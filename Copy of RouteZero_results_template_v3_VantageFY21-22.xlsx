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fileSharing readOnlyRecommended="1"/>
  <workbookPr/>
  <mc:AlternateContent xmlns:mc="http://schemas.openxmlformats.org/markup-compatibility/2006">
    <mc:Choice Requires="x15">
      <x15ac:absPath xmlns:x15ac="http://schemas.microsoft.com/office/spreadsheetml/2010/11/ac" url="https://vantagespecialties-my.sharepoint.com/personal/dan_dizio_vantagegrp_com/Documents/Documents/Sustainability/Reporting/Scope 1 2 3 Data/"/>
    </mc:Choice>
  </mc:AlternateContent>
  <xr:revisionPtr revIDLastSave="17" documentId="8_{F575FC0B-B9A4-4265-B416-BB2B22A4EF73}" xr6:coauthVersionLast="47" xr6:coauthVersionMax="47" xr10:uidLastSave="{35AE83C4-586D-4B66-AB0C-A6F27DB37968}"/>
  <bookViews>
    <workbookView xWindow="57480" yWindow="-120" windowWidth="29040" windowHeight="15720" activeTab="1" xr2:uid="{00000000-000D-0000-FFFF-FFFF00000000}"/>
  </bookViews>
  <sheets>
    <sheet name="hierarchy" sheetId="4" r:id="rId1"/>
    <sheet name="data" sheetId="3" r:id="rId2"/>
    <sheet name="emissions" sheetId="1" r:id="rId3"/>
    <sheet name="RESULTS" sheetId="5" r:id="rId4"/>
  </sheets>
  <definedNames>
    <definedName name="Slicer_Reporting_Period_Name">#N/A</definedName>
    <definedName name="Slicer_Reporting_unit_name">#N/A</definedName>
    <definedName name="Slicer_Scope">#N/A</definedName>
    <definedName name="Slicer_Scope_Category">#N/A</definedName>
  </definedNames>
  <calcPr calcId="191028"/>
  <pivotCaches>
    <pivotCache cacheId="6"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O2" i="1" l="1"/>
  <c r="AO3" i="1"/>
  <c r="AO4" i="1"/>
  <c r="AO5" i="1"/>
  <c r="AO6" i="1"/>
  <c r="AO7" i="1"/>
  <c r="AO8" i="1"/>
  <c r="AO9" i="1"/>
  <c r="AO10" i="1"/>
  <c r="AO11" i="1"/>
  <c r="AO12" i="1"/>
  <c r="AO13" i="1"/>
  <c r="AO14" i="1"/>
  <c r="AO15" i="1"/>
  <c r="AO16" i="1"/>
  <c r="AO17" i="1"/>
  <c r="AO18" i="1"/>
  <c r="AO19" i="1"/>
  <c r="AO20" i="1"/>
  <c r="AO21" i="1"/>
  <c r="AO22" i="1"/>
  <c r="AO23" i="1"/>
  <c r="AO24" i="1"/>
  <c r="AO25" i="1"/>
  <c r="AO26" i="1"/>
  <c r="AO27" i="1"/>
  <c r="AO28" i="1"/>
  <c r="AO29" i="1"/>
  <c r="AO30" i="1"/>
  <c r="AO31" i="1"/>
  <c r="AO32" i="1"/>
  <c r="AO33" i="1"/>
  <c r="AO34" i="1"/>
  <c r="AO35" i="1"/>
  <c r="AO36" i="1"/>
  <c r="AO37" i="1"/>
  <c r="AO38" i="1"/>
  <c r="AO39" i="1"/>
  <c r="AO40" i="1"/>
  <c r="AO41" i="1"/>
  <c r="AO42" i="1"/>
  <c r="AO43" i="1"/>
  <c r="AO44" i="1"/>
  <c r="AO45" i="1"/>
  <c r="AO46" i="1"/>
  <c r="AO47" i="1"/>
  <c r="AO48" i="1"/>
  <c r="AO49" i="1"/>
  <c r="AO50" i="1"/>
  <c r="AO51" i="1"/>
  <c r="AO52" i="1"/>
  <c r="AO53" i="1"/>
  <c r="AO54" i="1"/>
  <c r="AO55" i="1"/>
  <c r="AO56" i="1"/>
  <c r="AO57" i="1"/>
  <c r="AO58" i="1"/>
  <c r="AO59" i="1"/>
  <c r="AO60" i="1"/>
  <c r="AO61" i="1"/>
  <c r="AO62" i="1"/>
  <c r="AO63" i="1"/>
  <c r="AO64" i="1"/>
  <c r="AO65" i="1"/>
  <c r="AO66" i="1"/>
  <c r="AO67" i="1"/>
  <c r="AO68" i="1"/>
  <c r="AO69" i="1"/>
  <c r="AO70" i="1"/>
  <c r="AO71" i="1"/>
  <c r="AO72" i="1"/>
  <c r="AO73" i="1"/>
  <c r="AO74" i="1"/>
  <c r="AO75" i="1"/>
  <c r="AO76" i="1"/>
  <c r="AO77" i="1"/>
  <c r="AO78" i="1"/>
  <c r="AO79" i="1"/>
  <c r="AO80" i="1"/>
  <c r="AO81" i="1"/>
  <c r="AO82" i="1"/>
  <c r="AO83" i="1"/>
  <c r="AO84" i="1"/>
  <c r="AO85" i="1"/>
  <c r="AO86" i="1"/>
  <c r="AO87" i="1"/>
  <c r="AO88" i="1"/>
  <c r="AO89" i="1"/>
  <c r="AO90" i="1"/>
  <c r="AO91" i="1"/>
  <c r="AO92" i="1"/>
  <c r="AO93" i="1"/>
  <c r="AO94" i="1"/>
  <c r="AO95" i="1"/>
  <c r="AO96" i="1"/>
  <c r="AO97" i="1"/>
  <c r="AO98" i="1"/>
  <c r="AO99" i="1"/>
  <c r="AO100" i="1"/>
  <c r="AO101" i="1"/>
  <c r="AO102" i="1"/>
  <c r="AO103" i="1"/>
  <c r="AO104" i="1"/>
  <c r="AO105" i="1"/>
  <c r="AO106" i="1"/>
  <c r="AO107" i="1"/>
  <c r="AO108" i="1"/>
  <c r="AO109" i="1"/>
  <c r="AO110" i="1"/>
  <c r="AO111" i="1"/>
  <c r="AO112" i="1"/>
  <c r="AO113" i="1"/>
  <c r="AO114" i="1"/>
  <c r="AO115" i="1"/>
  <c r="AO116" i="1"/>
  <c r="AO117" i="1"/>
  <c r="AO118" i="1"/>
  <c r="AO119" i="1"/>
  <c r="AO120" i="1"/>
  <c r="AO121" i="1"/>
  <c r="AO122" i="1"/>
  <c r="AO123" i="1"/>
  <c r="AO124" i="1"/>
  <c r="AO125" i="1"/>
  <c r="AO126" i="1"/>
  <c r="AO127" i="1"/>
  <c r="AO128" i="1"/>
  <c r="AO129" i="1"/>
  <c r="AO130" i="1"/>
  <c r="AO131" i="1"/>
  <c r="AO132" i="1"/>
  <c r="AO133" i="1"/>
  <c r="AO134" i="1"/>
  <c r="AO135" i="1"/>
  <c r="AO136" i="1"/>
  <c r="AO137" i="1"/>
  <c r="AO138" i="1"/>
  <c r="AO139" i="1"/>
  <c r="AO140" i="1"/>
  <c r="AO141" i="1"/>
  <c r="AO142" i="1"/>
  <c r="AO143" i="1"/>
  <c r="AO144" i="1"/>
  <c r="AO145" i="1"/>
  <c r="AO146" i="1"/>
  <c r="AO147" i="1"/>
  <c r="AO148" i="1"/>
  <c r="AO149" i="1"/>
  <c r="AO150" i="1"/>
  <c r="AO151" i="1"/>
  <c r="AO152" i="1"/>
  <c r="AO153" i="1"/>
  <c r="AO154" i="1"/>
  <c r="AO155" i="1"/>
  <c r="AO156" i="1"/>
  <c r="AO157" i="1"/>
  <c r="AO158" i="1"/>
  <c r="AO159" i="1"/>
  <c r="AO160" i="1"/>
  <c r="AO161" i="1"/>
  <c r="AO162" i="1"/>
  <c r="AO163" i="1"/>
  <c r="AO164" i="1"/>
  <c r="AO165" i="1"/>
  <c r="AO166" i="1"/>
  <c r="AO167" i="1"/>
  <c r="AO168" i="1"/>
  <c r="AO169" i="1"/>
  <c r="AO170" i="1"/>
  <c r="AO171" i="1"/>
  <c r="AO172" i="1"/>
  <c r="AO173" i="1"/>
  <c r="AO174" i="1"/>
  <c r="AO175" i="1"/>
  <c r="AO176" i="1"/>
  <c r="AO177" i="1"/>
  <c r="AO178" i="1"/>
  <c r="AO179" i="1"/>
  <c r="AO180" i="1"/>
  <c r="AO181" i="1"/>
  <c r="AO182" i="1"/>
  <c r="AO183" i="1"/>
  <c r="AO184" i="1"/>
  <c r="AO185" i="1"/>
  <c r="AO186" i="1"/>
  <c r="AO187" i="1"/>
  <c r="AO188" i="1"/>
  <c r="AO189" i="1"/>
  <c r="AO190" i="1"/>
  <c r="AO191" i="1"/>
  <c r="AO192" i="1"/>
  <c r="AO193" i="1"/>
  <c r="AO194" i="1"/>
  <c r="AO195" i="1"/>
  <c r="AO196" i="1"/>
  <c r="AO197" i="1"/>
  <c r="AO198" i="1"/>
  <c r="AO199" i="1"/>
  <c r="AO200" i="1"/>
  <c r="AO201" i="1"/>
  <c r="AO202" i="1"/>
  <c r="AO203" i="1"/>
  <c r="AO204" i="1"/>
  <c r="AO205" i="1"/>
  <c r="AO206" i="1"/>
  <c r="AO207" i="1"/>
  <c r="AO208" i="1"/>
  <c r="AO209" i="1"/>
  <c r="AO210" i="1"/>
  <c r="AO211" i="1"/>
  <c r="AO212" i="1"/>
  <c r="AO213" i="1"/>
  <c r="AO214" i="1"/>
  <c r="AO215" i="1"/>
  <c r="AO216" i="1"/>
  <c r="AO217" i="1"/>
  <c r="AO218" i="1"/>
  <c r="AO219" i="1"/>
  <c r="AO220" i="1"/>
  <c r="AO221" i="1"/>
  <c r="AO222" i="1"/>
  <c r="AO223" i="1"/>
  <c r="AO224" i="1"/>
  <c r="AO225" i="1"/>
  <c r="AO226" i="1"/>
  <c r="AO227" i="1"/>
  <c r="AO228" i="1"/>
  <c r="AO229" i="1"/>
  <c r="AO230" i="1"/>
  <c r="AO231" i="1"/>
  <c r="AO232" i="1"/>
  <c r="AO233" i="1"/>
  <c r="AO234" i="1"/>
  <c r="AO235" i="1"/>
  <c r="AO236" i="1"/>
  <c r="AO237" i="1"/>
  <c r="AO238" i="1"/>
  <c r="AO239" i="1"/>
  <c r="AO240" i="1"/>
  <c r="AO241" i="1"/>
  <c r="AO242" i="1"/>
  <c r="AO243" i="1"/>
  <c r="AO244" i="1"/>
  <c r="AO245" i="1"/>
  <c r="AO246" i="1"/>
  <c r="AO247" i="1"/>
  <c r="AO248" i="1"/>
  <c r="AO249" i="1"/>
  <c r="AO250" i="1"/>
  <c r="AO251" i="1"/>
  <c r="AO252" i="1"/>
  <c r="AO253" i="1"/>
  <c r="AO254" i="1"/>
  <c r="AO255" i="1"/>
  <c r="AO256" i="1"/>
  <c r="AO257" i="1"/>
  <c r="AO258" i="1"/>
  <c r="AO259" i="1"/>
  <c r="AO260" i="1"/>
  <c r="AO261" i="1"/>
  <c r="AO262" i="1"/>
  <c r="AO263" i="1"/>
  <c r="AO264" i="1"/>
  <c r="AO265" i="1"/>
  <c r="AO266" i="1"/>
  <c r="AO267" i="1"/>
  <c r="AO268" i="1"/>
  <c r="AO269" i="1"/>
  <c r="AO270" i="1"/>
  <c r="AO271" i="1"/>
  <c r="AO272" i="1"/>
  <c r="AO273" i="1"/>
  <c r="AO274" i="1"/>
  <c r="AO275" i="1"/>
  <c r="AO276" i="1"/>
  <c r="AO277" i="1"/>
  <c r="AO278" i="1"/>
  <c r="AO279" i="1"/>
  <c r="AO280" i="1"/>
  <c r="AO281" i="1"/>
  <c r="AO282" i="1"/>
  <c r="AO283" i="1"/>
  <c r="AO284" i="1"/>
  <c r="AO285" i="1"/>
  <c r="AO286" i="1"/>
  <c r="AO287" i="1"/>
  <c r="AO288" i="1"/>
  <c r="AO289" i="1"/>
  <c r="AO290" i="1"/>
  <c r="AO291" i="1"/>
  <c r="AO292" i="1"/>
  <c r="AO293" i="1"/>
  <c r="AO294" i="1"/>
  <c r="AO295" i="1"/>
  <c r="AO296" i="1"/>
  <c r="AO297" i="1"/>
  <c r="AO298" i="1"/>
  <c r="AO299" i="1"/>
  <c r="AO300" i="1"/>
  <c r="AO301" i="1"/>
  <c r="AO302" i="1"/>
  <c r="AO303" i="1"/>
  <c r="AO304" i="1"/>
  <c r="AO305" i="1"/>
  <c r="AO306" i="1"/>
  <c r="AO307" i="1"/>
  <c r="AO308" i="1"/>
  <c r="AO309" i="1"/>
  <c r="AO310" i="1"/>
  <c r="AO311" i="1"/>
  <c r="AO312" i="1"/>
  <c r="AO313" i="1"/>
  <c r="AO314" i="1"/>
  <c r="AO315" i="1"/>
  <c r="AO316" i="1"/>
  <c r="AO317" i="1"/>
  <c r="AO318" i="1"/>
  <c r="AO319" i="1"/>
  <c r="AO320" i="1"/>
  <c r="AO321" i="1"/>
  <c r="AO322" i="1"/>
  <c r="AO323" i="1"/>
  <c r="AO324" i="1"/>
  <c r="AO325" i="1"/>
  <c r="AO326" i="1"/>
  <c r="AO327" i="1"/>
  <c r="AO328" i="1"/>
  <c r="AO329" i="1"/>
  <c r="AO330" i="1"/>
  <c r="AO331" i="1"/>
  <c r="AO332" i="1"/>
  <c r="AO333" i="1"/>
  <c r="AO334" i="1"/>
  <c r="AO335" i="1"/>
  <c r="AO336" i="1"/>
  <c r="AO337" i="1"/>
  <c r="AO338" i="1"/>
  <c r="AO339" i="1"/>
  <c r="AO340" i="1"/>
  <c r="AO341" i="1"/>
  <c r="AO342" i="1"/>
  <c r="AO343" i="1"/>
  <c r="AO344" i="1"/>
  <c r="AO345" i="1"/>
  <c r="AO346" i="1"/>
  <c r="AO347" i="1"/>
  <c r="AO348" i="1"/>
  <c r="AO349" i="1"/>
  <c r="AO350" i="1"/>
  <c r="AO351" i="1"/>
  <c r="AO352" i="1"/>
  <c r="AO353" i="1"/>
  <c r="AO354" i="1"/>
  <c r="AO355" i="1"/>
  <c r="AO356" i="1"/>
  <c r="AO357" i="1"/>
  <c r="AO358" i="1"/>
  <c r="AO359" i="1"/>
  <c r="AO360" i="1"/>
  <c r="AO361" i="1"/>
  <c r="AO362" i="1"/>
  <c r="AO363" i="1"/>
  <c r="AO364" i="1"/>
  <c r="AO365" i="1"/>
  <c r="AO366" i="1"/>
  <c r="AO367" i="1"/>
  <c r="AO368" i="1"/>
  <c r="AO369" i="1"/>
  <c r="AO370" i="1"/>
  <c r="AO371" i="1"/>
  <c r="AO372" i="1"/>
  <c r="AO373" i="1"/>
  <c r="AO374" i="1"/>
  <c r="AO375" i="1"/>
  <c r="AO376" i="1"/>
  <c r="AO377" i="1"/>
  <c r="AO378" i="1"/>
  <c r="AO379" i="1"/>
  <c r="AO380" i="1"/>
  <c r="AO381" i="1"/>
  <c r="AO382" i="1"/>
  <c r="AO383" i="1"/>
  <c r="AO384" i="1"/>
  <c r="AO385" i="1"/>
  <c r="AO386" i="1"/>
  <c r="AO387" i="1"/>
  <c r="AO388" i="1"/>
  <c r="AO389" i="1"/>
  <c r="AO390" i="1"/>
  <c r="AO391" i="1"/>
  <c r="AO392" i="1"/>
  <c r="AO393" i="1"/>
  <c r="AO394" i="1"/>
  <c r="AO395" i="1"/>
  <c r="AO396" i="1"/>
  <c r="AO397" i="1"/>
  <c r="AO398" i="1"/>
  <c r="AO399" i="1"/>
  <c r="AO400" i="1"/>
  <c r="AO401" i="1"/>
  <c r="AO402" i="1"/>
  <c r="AO403" i="1"/>
  <c r="AO404" i="1"/>
  <c r="AO405" i="1"/>
  <c r="AO406" i="1"/>
  <c r="AO407" i="1"/>
  <c r="AO408" i="1"/>
  <c r="AO409" i="1"/>
  <c r="AO410" i="1"/>
  <c r="AO411" i="1"/>
  <c r="AO412" i="1"/>
  <c r="AO413" i="1"/>
  <c r="AO414" i="1"/>
  <c r="AO415" i="1"/>
  <c r="AO416" i="1"/>
  <c r="AO417" i="1"/>
  <c r="AO418" i="1"/>
  <c r="AO419" i="1"/>
  <c r="AO420" i="1"/>
  <c r="AO421" i="1"/>
  <c r="AO422" i="1"/>
  <c r="AO423" i="1"/>
  <c r="AO424" i="1"/>
  <c r="AO425" i="1"/>
  <c r="AO426" i="1"/>
  <c r="AO427" i="1"/>
  <c r="AO428" i="1"/>
  <c r="AO429" i="1"/>
  <c r="AO430" i="1"/>
  <c r="AO431" i="1"/>
  <c r="AO432" i="1"/>
  <c r="AO433" i="1"/>
  <c r="AO434" i="1"/>
  <c r="AO435" i="1"/>
  <c r="AO436" i="1"/>
  <c r="AO437" i="1"/>
  <c r="AO438" i="1"/>
  <c r="AO439" i="1"/>
  <c r="AO440" i="1"/>
  <c r="AO441" i="1"/>
  <c r="AO442" i="1"/>
  <c r="AO443" i="1"/>
  <c r="AO444" i="1"/>
  <c r="AO445" i="1"/>
  <c r="AO446" i="1"/>
  <c r="AO447" i="1"/>
  <c r="AO448" i="1"/>
  <c r="AO449" i="1"/>
  <c r="AO450" i="1"/>
  <c r="AO451" i="1"/>
  <c r="AO452" i="1"/>
  <c r="AO453" i="1"/>
  <c r="AO454" i="1"/>
  <c r="AO455" i="1"/>
  <c r="AO456" i="1"/>
  <c r="AO457" i="1"/>
  <c r="AO458" i="1"/>
  <c r="AO459" i="1"/>
  <c r="AO460" i="1"/>
  <c r="AO461" i="1"/>
  <c r="AO462" i="1"/>
  <c r="AO463" i="1"/>
  <c r="AO464" i="1"/>
  <c r="AO465" i="1"/>
  <c r="AO466" i="1"/>
  <c r="AO467" i="1"/>
  <c r="AO468" i="1"/>
  <c r="AO469" i="1"/>
  <c r="AO470" i="1"/>
  <c r="AO471" i="1"/>
  <c r="AO472" i="1"/>
  <c r="AO473" i="1"/>
  <c r="AO474" i="1"/>
  <c r="AO475" i="1"/>
  <c r="AO476" i="1"/>
  <c r="AO477" i="1"/>
  <c r="AO478" i="1"/>
  <c r="AO479" i="1"/>
  <c r="AO480" i="1"/>
  <c r="AO481" i="1"/>
  <c r="AO482" i="1"/>
  <c r="AO483" i="1"/>
  <c r="AO484" i="1"/>
  <c r="AO485" i="1"/>
  <c r="AO486" i="1"/>
  <c r="AO487" i="1"/>
  <c r="AO488" i="1"/>
  <c r="AO489" i="1"/>
  <c r="AO490" i="1"/>
  <c r="AO491" i="1"/>
  <c r="AO492" i="1"/>
  <c r="AO493" i="1"/>
  <c r="AO494" i="1"/>
  <c r="AO495" i="1"/>
  <c r="AO496" i="1"/>
  <c r="AO497" i="1"/>
  <c r="AO498" i="1"/>
  <c r="AO499" i="1"/>
  <c r="AO500" i="1"/>
  <c r="AO501" i="1"/>
  <c r="AO502" i="1"/>
  <c r="AO503" i="1"/>
  <c r="AO504" i="1"/>
  <c r="AO505" i="1"/>
  <c r="AO506" i="1"/>
  <c r="AO507" i="1"/>
  <c r="AO508" i="1"/>
  <c r="AO509" i="1"/>
  <c r="AO510" i="1"/>
  <c r="AO511" i="1"/>
  <c r="AO512" i="1"/>
  <c r="AO513" i="1"/>
  <c r="AO514" i="1"/>
  <c r="AO515" i="1"/>
  <c r="AO516" i="1"/>
  <c r="AO517" i="1"/>
  <c r="AO518" i="1"/>
  <c r="AO519" i="1"/>
  <c r="AO520" i="1"/>
  <c r="AO521" i="1"/>
  <c r="AO522" i="1"/>
  <c r="AO523" i="1"/>
  <c r="AO524" i="1"/>
  <c r="AO525" i="1"/>
  <c r="AO526" i="1"/>
  <c r="AO527" i="1"/>
  <c r="AO528" i="1"/>
  <c r="AO529" i="1"/>
  <c r="AO530" i="1"/>
  <c r="AO531" i="1"/>
  <c r="AO532" i="1"/>
  <c r="AO533" i="1"/>
  <c r="AO534" i="1"/>
  <c r="AO535" i="1"/>
  <c r="AO536" i="1"/>
  <c r="AO537" i="1"/>
  <c r="AO538" i="1"/>
  <c r="AO539" i="1"/>
  <c r="AO540" i="1"/>
  <c r="AO541" i="1"/>
  <c r="AO542" i="1"/>
  <c r="AO543" i="1"/>
  <c r="AO544" i="1"/>
  <c r="AO545" i="1"/>
  <c r="AO546" i="1"/>
  <c r="AO547" i="1"/>
  <c r="AO548" i="1"/>
  <c r="AO549" i="1"/>
  <c r="AO550" i="1"/>
  <c r="AO551" i="1"/>
  <c r="AO552" i="1"/>
  <c r="AO553" i="1"/>
  <c r="AO554" i="1"/>
  <c r="AO555" i="1"/>
  <c r="AO556" i="1"/>
  <c r="AO557" i="1"/>
  <c r="AO558" i="1"/>
  <c r="AO559" i="1"/>
  <c r="AO560" i="1"/>
  <c r="AO561" i="1"/>
  <c r="AO562" i="1"/>
  <c r="AO563" i="1"/>
  <c r="AO564" i="1"/>
  <c r="AO565" i="1"/>
  <c r="AO566" i="1"/>
  <c r="AO567" i="1"/>
  <c r="AO568" i="1"/>
  <c r="AO569" i="1"/>
  <c r="AO570" i="1"/>
  <c r="AO571" i="1"/>
  <c r="AO572" i="1"/>
  <c r="AO573" i="1"/>
  <c r="AO574" i="1"/>
  <c r="AO575" i="1"/>
  <c r="AO576" i="1"/>
  <c r="AO577" i="1"/>
  <c r="AO578" i="1"/>
  <c r="AO579" i="1"/>
  <c r="AO580" i="1"/>
  <c r="AO581" i="1"/>
  <c r="AO582" i="1"/>
  <c r="AO583" i="1"/>
  <c r="AO584" i="1"/>
  <c r="AO585" i="1"/>
  <c r="AO586" i="1"/>
  <c r="AO587" i="1"/>
  <c r="AO588" i="1"/>
  <c r="AO589" i="1"/>
  <c r="AO590" i="1"/>
  <c r="AO591" i="1"/>
  <c r="AO592" i="1"/>
  <c r="AO593" i="1"/>
  <c r="AO594" i="1"/>
  <c r="AO595" i="1"/>
  <c r="AO596" i="1"/>
  <c r="AO597" i="1"/>
  <c r="AO598" i="1"/>
  <c r="AO599" i="1"/>
  <c r="AO600" i="1"/>
  <c r="AO601" i="1"/>
  <c r="AO602" i="1"/>
  <c r="AO603" i="1"/>
  <c r="AO604" i="1"/>
  <c r="AO605" i="1"/>
  <c r="AO606" i="1"/>
  <c r="AO607" i="1"/>
  <c r="AO608" i="1"/>
  <c r="AO609" i="1"/>
  <c r="AO610" i="1"/>
  <c r="AO611" i="1"/>
  <c r="AO612" i="1"/>
  <c r="AO613" i="1"/>
  <c r="AO614" i="1"/>
  <c r="AO615" i="1"/>
  <c r="AO616" i="1"/>
  <c r="AO617" i="1"/>
  <c r="AO618" i="1"/>
  <c r="AO619" i="1"/>
  <c r="AO620" i="1"/>
  <c r="AO621" i="1"/>
  <c r="AO622" i="1"/>
  <c r="AO623" i="1"/>
  <c r="AO624" i="1"/>
  <c r="AO625" i="1"/>
  <c r="AO626" i="1"/>
  <c r="AO627" i="1"/>
  <c r="AO628" i="1"/>
  <c r="AO629" i="1"/>
  <c r="AO630" i="1"/>
  <c r="AO631" i="1"/>
  <c r="AO632" i="1"/>
  <c r="AO633" i="1"/>
  <c r="AO634" i="1"/>
  <c r="AO635" i="1"/>
  <c r="AO636" i="1"/>
  <c r="AO637" i="1"/>
  <c r="AO638" i="1"/>
  <c r="AO639" i="1"/>
  <c r="AO640" i="1"/>
  <c r="AO641" i="1"/>
  <c r="AO642" i="1"/>
  <c r="AO643" i="1"/>
  <c r="AO644" i="1"/>
  <c r="AO645" i="1"/>
  <c r="AO646" i="1"/>
  <c r="AO647" i="1"/>
  <c r="AO648" i="1"/>
  <c r="AO649" i="1"/>
  <c r="AO650" i="1"/>
  <c r="AO651" i="1"/>
  <c r="AO652" i="1"/>
  <c r="AO653" i="1"/>
  <c r="AO654" i="1"/>
  <c r="AO655" i="1"/>
  <c r="AO656" i="1"/>
  <c r="AO657" i="1"/>
  <c r="AO658" i="1"/>
  <c r="AO659" i="1"/>
  <c r="AO660" i="1"/>
  <c r="AO661" i="1"/>
  <c r="AO662" i="1"/>
  <c r="AO663" i="1"/>
  <c r="AO664" i="1"/>
  <c r="AO665" i="1"/>
  <c r="AO666" i="1"/>
  <c r="AO667" i="1"/>
  <c r="AO668" i="1"/>
  <c r="AO669" i="1"/>
  <c r="AO670" i="1"/>
  <c r="AO671" i="1"/>
  <c r="AO672" i="1"/>
  <c r="AO673" i="1"/>
  <c r="AO674" i="1"/>
  <c r="AO675" i="1"/>
  <c r="AO676" i="1"/>
  <c r="AO677" i="1"/>
  <c r="AO678" i="1"/>
  <c r="AO679" i="1"/>
  <c r="AO680" i="1"/>
  <c r="AO681" i="1"/>
  <c r="AO682" i="1"/>
  <c r="AO683" i="1"/>
  <c r="AO684" i="1"/>
  <c r="AO685" i="1"/>
  <c r="AO686" i="1"/>
  <c r="AO687" i="1"/>
  <c r="AO688" i="1"/>
  <c r="AO689" i="1"/>
  <c r="AO690" i="1"/>
  <c r="AO691" i="1"/>
  <c r="AO692" i="1"/>
  <c r="AO693" i="1"/>
  <c r="AO694" i="1"/>
  <c r="AO695" i="1"/>
  <c r="AO696" i="1"/>
  <c r="AO697" i="1"/>
  <c r="AO698" i="1"/>
  <c r="AO699" i="1"/>
  <c r="AO700" i="1"/>
  <c r="AO701" i="1"/>
  <c r="AO702" i="1"/>
  <c r="AO703" i="1"/>
  <c r="AO704" i="1"/>
  <c r="AO705" i="1"/>
  <c r="AO706" i="1"/>
  <c r="AO707" i="1"/>
  <c r="AO708" i="1"/>
  <c r="AO709" i="1"/>
  <c r="AO710" i="1"/>
  <c r="AO711" i="1"/>
  <c r="AO712" i="1"/>
  <c r="AO713" i="1"/>
  <c r="AO714" i="1"/>
  <c r="AO715" i="1"/>
  <c r="AO716" i="1"/>
  <c r="AO717" i="1"/>
  <c r="AO718" i="1"/>
  <c r="AO719" i="1"/>
  <c r="AO720" i="1"/>
  <c r="AO721" i="1"/>
  <c r="AO722" i="1"/>
  <c r="AO723" i="1"/>
  <c r="AO724" i="1"/>
  <c r="AO725" i="1"/>
  <c r="AO726" i="1"/>
  <c r="AO727" i="1"/>
  <c r="AO728" i="1"/>
  <c r="AO729" i="1"/>
  <c r="AO730" i="1"/>
  <c r="AO731" i="1"/>
  <c r="AO732" i="1"/>
  <c r="AO733" i="1"/>
  <c r="AO734" i="1"/>
  <c r="AO735" i="1"/>
  <c r="AO736" i="1"/>
  <c r="AO737" i="1"/>
  <c r="AO738" i="1"/>
  <c r="AO739" i="1"/>
  <c r="AO740" i="1"/>
  <c r="AO741" i="1"/>
  <c r="AO742" i="1"/>
  <c r="AO743" i="1"/>
  <c r="AO744" i="1"/>
  <c r="AO745" i="1"/>
  <c r="AO746" i="1"/>
  <c r="AO747" i="1"/>
  <c r="AO748" i="1"/>
  <c r="AO749" i="1"/>
  <c r="AO750" i="1"/>
  <c r="AO751" i="1"/>
  <c r="AO752" i="1"/>
  <c r="AO753" i="1"/>
  <c r="AO754" i="1"/>
  <c r="AO755" i="1"/>
  <c r="AO756" i="1"/>
  <c r="AO757" i="1"/>
  <c r="AO758" i="1"/>
  <c r="AO759" i="1"/>
  <c r="AO760" i="1"/>
  <c r="AO761" i="1"/>
  <c r="AO762" i="1"/>
  <c r="AO763" i="1"/>
  <c r="AO764" i="1"/>
  <c r="AO765" i="1"/>
  <c r="AO766" i="1"/>
  <c r="AO767" i="1"/>
  <c r="AO768" i="1"/>
  <c r="AO769" i="1"/>
  <c r="AO770" i="1"/>
  <c r="AO771" i="1"/>
  <c r="AO772" i="1"/>
  <c r="AO773" i="1"/>
  <c r="AO774" i="1"/>
  <c r="AO775" i="1"/>
  <c r="AO776" i="1"/>
  <c r="AO777" i="1"/>
  <c r="AO778" i="1"/>
  <c r="AO779" i="1"/>
  <c r="AO780" i="1"/>
  <c r="AO781" i="1"/>
  <c r="AO782" i="1"/>
  <c r="AO783" i="1"/>
  <c r="AO784" i="1"/>
  <c r="AO785" i="1"/>
  <c r="AO786" i="1"/>
  <c r="AO787" i="1"/>
  <c r="AO788" i="1"/>
  <c r="AO789" i="1"/>
  <c r="AO790" i="1"/>
  <c r="AO791" i="1"/>
  <c r="AO792" i="1"/>
  <c r="AO793" i="1"/>
  <c r="AO794" i="1"/>
  <c r="AO795" i="1"/>
  <c r="AO796" i="1"/>
  <c r="AO797" i="1"/>
  <c r="AO798" i="1"/>
  <c r="AO799" i="1"/>
  <c r="AO800" i="1"/>
  <c r="AO801" i="1"/>
  <c r="AO802" i="1"/>
  <c r="AO803" i="1"/>
  <c r="AO804" i="1"/>
  <c r="AO805" i="1"/>
  <c r="AO806" i="1"/>
  <c r="AO807" i="1"/>
  <c r="AO808" i="1"/>
  <c r="AO809" i="1"/>
  <c r="AO810" i="1"/>
  <c r="AO811" i="1"/>
  <c r="AO812" i="1"/>
  <c r="AO813" i="1"/>
  <c r="AO814" i="1"/>
  <c r="AO815" i="1"/>
  <c r="AO816" i="1"/>
  <c r="AO817" i="1"/>
  <c r="AO818" i="1"/>
  <c r="AO819" i="1"/>
  <c r="AO820" i="1"/>
  <c r="AO821" i="1"/>
  <c r="AO822" i="1"/>
  <c r="AO823" i="1"/>
  <c r="AO824" i="1"/>
  <c r="AO825" i="1"/>
  <c r="AO826" i="1"/>
  <c r="AO827" i="1"/>
  <c r="AO828" i="1"/>
  <c r="AO829" i="1"/>
  <c r="AO830" i="1"/>
  <c r="AO831" i="1"/>
  <c r="AO832" i="1"/>
  <c r="AO833" i="1"/>
  <c r="AO834" i="1"/>
  <c r="AO835" i="1"/>
  <c r="AO836" i="1"/>
  <c r="AO837" i="1"/>
  <c r="AO838" i="1"/>
  <c r="AO839" i="1"/>
  <c r="AO840" i="1"/>
  <c r="AO841" i="1"/>
  <c r="AO842" i="1"/>
  <c r="AO843" i="1"/>
  <c r="AO844" i="1"/>
  <c r="AO845" i="1"/>
  <c r="AO846" i="1"/>
  <c r="AO847" i="1"/>
  <c r="AO848" i="1"/>
  <c r="AO849" i="1"/>
  <c r="AO850" i="1"/>
  <c r="AO851" i="1"/>
  <c r="AO852" i="1"/>
  <c r="AO853" i="1"/>
  <c r="AO854" i="1"/>
  <c r="AO855" i="1"/>
  <c r="AO856" i="1"/>
  <c r="AO857" i="1"/>
  <c r="AO858" i="1"/>
  <c r="AO859" i="1"/>
  <c r="AO860" i="1"/>
  <c r="AO861" i="1"/>
  <c r="AO862" i="1"/>
  <c r="AO863" i="1"/>
  <c r="AO864" i="1"/>
  <c r="AO865" i="1"/>
  <c r="AO866" i="1"/>
  <c r="AO867" i="1"/>
  <c r="AO868" i="1"/>
  <c r="AO869" i="1"/>
  <c r="AO870" i="1"/>
  <c r="AO871" i="1"/>
  <c r="AO872" i="1"/>
  <c r="AO873" i="1"/>
  <c r="AO874" i="1"/>
  <c r="AO875" i="1"/>
  <c r="AO876" i="1"/>
  <c r="AO877" i="1"/>
  <c r="AO878" i="1"/>
  <c r="AO879" i="1"/>
  <c r="AO880" i="1"/>
  <c r="AO881" i="1"/>
  <c r="AO882" i="1"/>
  <c r="AO883" i="1"/>
  <c r="AO884" i="1"/>
  <c r="AO885" i="1"/>
  <c r="AO886" i="1"/>
  <c r="AO887" i="1"/>
  <c r="AO888" i="1"/>
  <c r="AO889" i="1"/>
  <c r="AO890" i="1"/>
  <c r="AO891" i="1"/>
  <c r="AO892" i="1"/>
  <c r="AO893" i="1"/>
  <c r="AO894" i="1"/>
  <c r="AO895" i="1"/>
  <c r="AO896" i="1"/>
  <c r="AO897" i="1"/>
  <c r="AO898" i="1"/>
  <c r="AO899" i="1"/>
  <c r="AO900" i="1"/>
  <c r="AO901" i="1"/>
  <c r="AO902" i="1"/>
  <c r="AO903" i="1"/>
  <c r="AO904" i="1"/>
  <c r="AO905" i="1"/>
  <c r="AO906" i="1"/>
  <c r="AO907" i="1"/>
  <c r="AO908" i="1"/>
  <c r="AO909" i="1"/>
  <c r="AO910" i="1"/>
  <c r="AO911" i="1"/>
  <c r="AO912" i="1"/>
  <c r="AO913" i="1"/>
  <c r="AO914" i="1"/>
  <c r="AO915" i="1"/>
  <c r="AO916" i="1"/>
  <c r="AO917" i="1"/>
  <c r="AO918" i="1"/>
  <c r="AO919" i="1"/>
  <c r="AO920" i="1"/>
  <c r="AO921" i="1"/>
  <c r="AO922" i="1"/>
  <c r="AO923" i="1"/>
  <c r="AO924" i="1"/>
  <c r="AO925" i="1"/>
  <c r="AO926" i="1"/>
  <c r="AO927" i="1"/>
  <c r="AO928" i="1"/>
  <c r="AO929" i="1"/>
  <c r="AO930" i="1"/>
  <c r="AO931" i="1"/>
  <c r="AO932" i="1"/>
  <c r="AO933" i="1"/>
  <c r="AO934" i="1"/>
  <c r="AO935" i="1"/>
  <c r="AO936" i="1"/>
  <c r="AO937" i="1"/>
  <c r="AO938" i="1"/>
  <c r="AO939" i="1"/>
  <c r="AO940" i="1"/>
  <c r="AO941" i="1"/>
  <c r="AO942" i="1"/>
  <c r="AO943" i="1"/>
  <c r="AO944" i="1"/>
  <c r="AO945" i="1"/>
  <c r="AO946" i="1"/>
  <c r="AO947" i="1"/>
  <c r="AO948" i="1"/>
  <c r="AO949" i="1"/>
  <c r="AO950" i="1"/>
  <c r="AO951" i="1"/>
  <c r="AO952" i="1"/>
  <c r="AO953" i="1"/>
  <c r="AO954" i="1"/>
  <c r="AO955" i="1"/>
  <c r="AO956" i="1"/>
  <c r="AO957" i="1"/>
  <c r="AO958" i="1"/>
  <c r="AO959" i="1"/>
  <c r="AO960" i="1"/>
  <c r="AO961" i="1"/>
  <c r="AO962" i="1"/>
  <c r="AO963" i="1"/>
  <c r="AO964" i="1"/>
  <c r="AO965" i="1"/>
  <c r="AO966" i="1"/>
  <c r="AO967" i="1"/>
  <c r="AO968" i="1"/>
  <c r="AO969" i="1"/>
  <c r="AO970" i="1"/>
  <c r="AO971" i="1"/>
  <c r="AO972" i="1"/>
  <c r="AO973" i="1"/>
  <c r="AO974" i="1"/>
  <c r="AO975" i="1"/>
  <c r="AO976" i="1"/>
  <c r="AO977" i="1"/>
  <c r="AO978" i="1"/>
  <c r="AO979" i="1"/>
  <c r="AO980" i="1"/>
  <c r="AO981" i="1"/>
  <c r="AO982" i="1"/>
  <c r="AO983" i="1"/>
  <c r="AO984" i="1"/>
  <c r="AO985" i="1"/>
  <c r="AO986" i="1"/>
  <c r="AO987" i="1"/>
  <c r="AO988" i="1"/>
  <c r="AO989" i="1"/>
  <c r="AO990" i="1"/>
  <c r="AO991" i="1"/>
  <c r="AO992" i="1"/>
  <c r="AO993" i="1"/>
  <c r="AO994" i="1"/>
  <c r="AO995" i="1"/>
  <c r="AO996" i="1"/>
  <c r="AO997" i="1"/>
  <c r="AO998" i="1"/>
  <c r="AO999" i="1"/>
  <c r="AO1000" i="1"/>
  <c r="AO1001" i="1"/>
  <c r="AO1002" i="1"/>
  <c r="AO1003" i="1"/>
  <c r="AO1004" i="1"/>
  <c r="AO1005" i="1"/>
  <c r="AO1006" i="1"/>
  <c r="AO1007" i="1"/>
  <c r="AO1008" i="1"/>
  <c r="AO1009" i="1"/>
  <c r="AO1010" i="1"/>
  <c r="AO1011" i="1"/>
  <c r="AO1012" i="1"/>
  <c r="AO1013" i="1"/>
  <c r="AO1014" i="1"/>
  <c r="AO1015" i="1"/>
  <c r="AO1016" i="1"/>
  <c r="AO1017" i="1"/>
  <c r="AO1018" i="1"/>
  <c r="AO1019" i="1"/>
  <c r="AO1020" i="1"/>
  <c r="AO1021" i="1"/>
  <c r="AO1022" i="1"/>
  <c r="AO1023" i="1"/>
  <c r="AO1024" i="1"/>
  <c r="AO1025" i="1"/>
  <c r="AO1026" i="1"/>
  <c r="AO1027" i="1"/>
  <c r="AO1028" i="1"/>
  <c r="AO1029" i="1"/>
  <c r="AO1030" i="1"/>
  <c r="AO1031" i="1"/>
  <c r="AO1032" i="1"/>
  <c r="AO1033" i="1"/>
  <c r="AO1034" i="1"/>
  <c r="AO1035" i="1"/>
  <c r="AO1036" i="1"/>
  <c r="AO1037" i="1"/>
  <c r="AO1038" i="1"/>
  <c r="AO1039" i="1"/>
  <c r="AO1040" i="1"/>
  <c r="AO1041" i="1"/>
  <c r="AO1042" i="1"/>
  <c r="AO1043" i="1"/>
  <c r="AO1044" i="1"/>
  <c r="AO1045" i="1"/>
  <c r="AO1046" i="1"/>
  <c r="AO1047" i="1"/>
  <c r="AO1048" i="1"/>
  <c r="AO1049" i="1"/>
  <c r="AO1050" i="1"/>
  <c r="AO1051" i="1"/>
  <c r="AO1052" i="1"/>
  <c r="AO1053" i="1"/>
  <c r="AO1054" i="1"/>
  <c r="AO1055" i="1"/>
  <c r="AO1056" i="1"/>
  <c r="AO1057" i="1"/>
  <c r="AO1058" i="1"/>
  <c r="AO1059" i="1"/>
  <c r="AO1060" i="1"/>
  <c r="AO1061" i="1"/>
  <c r="AO1062" i="1"/>
  <c r="AO1063" i="1"/>
  <c r="AO1064" i="1"/>
  <c r="AO1065" i="1"/>
  <c r="AO1066" i="1"/>
  <c r="AO1067" i="1"/>
  <c r="AO1068" i="1"/>
  <c r="AO1069" i="1"/>
  <c r="AO1070" i="1"/>
  <c r="AO1071" i="1"/>
  <c r="AO1072" i="1"/>
  <c r="AO1073" i="1"/>
  <c r="AO1074" i="1"/>
  <c r="AO1075" i="1"/>
  <c r="AO1076" i="1"/>
  <c r="AO1077" i="1"/>
  <c r="AO1078" i="1"/>
  <c r="AO1079" i="1"/>
  <c r="AO1080" i="1"/>
  <c r="AO1081" i="1"/>
  <c r="AO1082" i="1"/>
  <c r="AO1083" i="1"/>
  <c r="AO1084" i="1"/>
  <c r="AO1085" i="1"/>
  <c r="AO1086" i="1"/>
  <c r="AO1087" i="1"/>
  <c r="AO1088" i="1"/>
  <c r="AO1089" i="1"/>
  <c r="AO1090" i="1"/>
  <c r="AO1091" i="1"/>
  <c r="AO1092" i="1"/>
  <c r="AO1093" i="1"/>
  <c r="AO1094" i="1"/>
  <c r="AO1095" i="1"/>
  <c r="AO1096" i="1"/>
  <c r="AO1097" i="1"/>
  <c r="AO1098" i="1"/>
  <c r="AO1099" i="1"/>
  <c r="AO1100" i="1"/>
  <c r="AO1101" i="1"/>
  <c r="AO1102" i="1"/>
  <c r="AO1103" i="1"/>
  <c r="AO1104" i="1"/>
  <c r="AO1105" i="1"/>
  <c r="AO1106" i="1"/>
  <c r="AO1107" i="1"/>
  <c r="AO1108" i="1"/>
  <c r="AO1109" i="1"/>
  <c r="AO1110" i="1"/>
  <c r="AO1111" i="1"/>
  <c r="AO1112" i="1"/>
  <c r="AO1113" i="1"/>
  <c r="AO1114" i="1"/>
  <c r="AO1115" i="1"/>
  <c r="AO1116" i="1"/>
  <c r="AO1117" i="1"/>
  <c r="AO1118" i="1"/>
  <c r="AO1119" i="1"/>
  <c r="AO1120" i="1"/>
  <c r="AO1121" i="1"/>
  <c r="AO1122" i="1"/>
  <c r="AO1123" i="1"/>
  <c r="AO1124" i="1"/>
  <c r="AO1125" i="1"/>
  <c r="AO1126" i="1"/>
  <c r="AO1127" i="1"/>
  <c r="AO1128" i="1"/>
  <c r="AO1129" i="1"/>
  <c r="AO1130" i="1"/>
  <c r="AO1131" i="1"/>
  <c r="AO1132" i="1"/>
  <c r="AO1133" i="1"/>
  <c r="AO1134" i="1"/>
  <c r="AO1135" i="1"/>
  <c r="AO1136" i="1"/>
  <c r="AO1137" i="1"/>
  <c r="AO1138" i="1"/>
  <c r="AO1139" i="1"/>
  <c r="AO1140" i="1"/>
  <c r="AO1141" i="1"/>
  <c r="AO1142" i="1"/>
  <c r="AO1143" i="1"/>
  <c r="AO1144" i="1"/>
  <c r="AO1145" i="1"/>
  <c r="AO1146" i="1"/>
  <c r="AO1147" i="1"/>
  <c r="AO1148" i="1"/>
  <c r="AO1149" i="1"/>
  <c r="AO1150" i="1"/>
  <c r="AO1151" i="1"/>
  <c r="AO1152" i="1"/>
  <c r="AO1153" i="1"/>
  <c r="AO1154" i="1"/>
  <c r="AO1155" i="1"/>
  <c r="AO1156" i="1"/>
  <c r="AO1157" i="1"/>
  <c r="AO1158" i="1"/>
  <c r="AO1159" i="1"/>
  <c r="AO1160" i="1"/>
  <c r="AO1161" i="1"/>
  <c r="AO1162" i="1"/>
  <c r="AO1163" i="1"/>
  <c r="AO1164" i="1"/>
  <c r="AO1165" i="1"/>
  <c r="AO1166" i="1"/>
  <c r="AO1167" i="1"/>
  <c r="AO1168" i="1"/>
  <c r="AO1169" i="1"/>
  <c r="AO1170" i="1"/>
  <c r="AO1171" i="1"/>
  <c r="AO1172" i="1"/>
  <c r="AO1173" i="1"/>
  <c r="AO1174" i="1"/>
  <c r="AO1175" i="1"/>
  <c r="AO1176" i="1"/>
  <c r="AO1177" i="1"/>
  <c r="AO1178" i="1"/>
  <c r="AO1179" i="1"/>
  <c r="AO1180" i="1"/>
  <c r="AO1181" i="1"/>
  <c r="AO1182" i="1"/>
  <c r="AO1183" i="1"/>
  <c r="AO1184" i="1"/>
  <c r="AO1185" i="1"/>
  <c r="AO1186" i="1"/>
  <c r="AO1187" i="1"/>
  <c r="AO1188" i="1"/>
  <c r="AO1189" i="1"/>
  <c r="AO1190" i="1"/>
  <c r="AO1191" i="1"/>
  <c r="AO1192" i="1"/>
  <c r="AO1193" i="1"/>
  <c r="AO1194" i="1"/>
  <c r="AO1195" i="1"/>
  <c r="AO1196" i="1"/>
  <c r="AO1197" i="1"/>
  <c r="AO1198" i="1"/>
  <c r="AO1199" i="1"/>
  <c r="AO1200" i="1"/>
  <c r="AO1201" i="1"/>
  <c r="AO1202" i="1"/>
  <c r="AO1203" i="1"/>
  <c r="AO1204" i="1"/>
  <c r="AO1205" i="1"/>
  <c r="AO1206" i="1"/>
  <c r="AO1207" i="1"/>
  <c r="AO1208" i="1"/>
  <c r="AO1209" i="1"/>
  <c r="AO1210" i="1"/>
  <c r="AO1211" i="1"/>
  <c r="AO1212" i="1"/>
  <c r="AO1213" i="1"/>
  <c r="AO1214" i="1"/>
  <c r="AO1215" i="1"/>
  <c r="AO1216" i="1"/>
  <c r="AO1217" i="1"/>
  <c r="AO1218" i="1"/>
  <c r="AO1219" i="1"/>
  <c r="AO1220" i="1"/>
  <c r="AO1221" i="1"/>
  <c r="AO1222" i="1"/>
  <c r="AO1223" i="1"/>
  <c r="AO1224" i="1"/>
  <c r="AO1225" i="1"/>
  <c r="AO1226" i="1"/>
  <c r="AO1227" i="1"/>
  <c r="AO1228" i="1"/>
  <c r="AO1229" i="1"/>
  <c r="AO1230" i="1"/>
  <c r="AO1231" i="1"/>
  <c r="AO1232" i="1"/>
  <c r="AO1233" i="1"/>
  <c r="AO1234" i="1"/>
  <c r="AO1235" i="1"/>
  <c r="AO1236" i="1"/>
  <c r="AO1237" i="1"/>
  <c r="AO1238" i="1"/>
  <c r="AO1239" i="1"/>
  <c r="AO1240" i="1"/>
  <c r="AO1241" i="1"/>
  <c r="AO1242" i="1"/>
  <c r="AO1243" i="1"/>
  <c r="AO1244" i="1"/>
  <c r="AO1245" i="1"/>
  <c r="AO1246" i="1"/>
  <c r="AO1247" i="1"/>
  <c r="AO1248" i="1"/>
  <c r="AO1249" i="1"/>
  <c r="AO1250" i="1"/>
  <c r="AO1251" i="1"/>
  <c r="AO1252" i="1"/>
  <c r="AO1253" i="1"/>
  <c r="AO1254" i="1"/>
  <c r="AO1255" i="1"/>
  <c r="AO1256" i="1"/>
  <c r="AO1257" i="1"/>
  <c r="AO1258" i="1"/>
  <c r="AO1259" i="1"/>
  <c r="AO1260" i="1"/>
  <c r="AO1261" i="1"/>
  <c r="AO1262" i="1"/>
  <c r="AO1263" i="1"/>
  <c r="AO1264" i="1"/>
  <c r="AO1265" i="1"/>
  <c r="AO1266" i="1"/>
  <c r="AO1267" i="1"/>
  <c r="AO1268" i="1"/>
  <c r="AO1269" i="1"/>
  <c r="AO1270" i="1"/>
  <c r="AO1271" i="1"/>
  <c r="AO1272" i="1"/>
  <c r="AO1273" i="1"/>
  <c r="AO1274" i="1"/>
  <c r="AO1275" i="1"/>
  <c r="AO1276" i="1"/>
  <c r="AO1277" i="1"/>
  <c r="AO1278" i="1"/>
  <c r="AO1279" i="1"/>
  <c r="AO1280" i="1"/>
  <c r="AO1281" i="1"/>
  <c r="AO1282" i="1"/>
  <c r="AO1283" i="1"/>
  <c r="AO1284" i="1"/>
  <c r="AO1285" i="1"/>
  <c r="AO1286" i="1"/>
  <c r="AO1287" i="1"/>
  <c r="AO1288" i="1"/>
  <c r="AO1289" i="1"/>
  <c r="AO1290" i="1"/>
  <c r="AO1291" i="1"/>
  <c r="AO1292" i="1"/>
  <c r="AO1293" i="1"/>
  <c r="AO1294" i="1"/>
  <c r="AO1295" i="1"/>
  <c r="AO1296" i="1"/>
  <c r="AO1297" i="1"/>
  <c r="AO1298" i="1"/>
  <c r="AO1299" i="1"/>
  <c r="AO1300" i="1"/>
  <c r="AO1301" i="1"/>
  <c r="AO1302" i="1"/>
  <c r="AO1303" i="1"/>
  <c r="AO1304" i="1"/>
  <c r="AO1305" i="1"/>
  <c r="AO1306" i="1"/>
  <c r="AO1307" i="1"/>
  <c r="AO1308" i="1"/>
  <c r="AO1309" i="1"/>
  <c r="AO1310" i="1"/>
  <c r="AO1311" i="1"/>
  <c r="AO1312" i="1"/>
  <c r="AO1313" i="1"/>
  <c r="AO1314" i="1"/>
  <c r="AO1315" i="1"/>
  <c r="AO1316" i="1"/>
  <c r="AO1317" i="1"/>
  <c r="AO1318" i="1"/>
  <c r="AO1319" i="1"/>
  <c r="AO1320" i="1"/>
  <c r="AO1321" i="1"/>
  <c r="AO1322" i="1"/>
  <c r="AO1323" i="1"/>
  <c r="AO1324" i="1"/>
  <c r="AO1325" i="1"/>
  <c r="AO1326" i="1"/>
  <c r="AO1327" i="1"/>
  <c r="AO1328" i="1"/>
  <c r="AO1329" i="1"/>
  <c r="AO1330" i="1"/>
  <c r="AO1331" i="1"/>
  <c r="AO1332" i="1"/>
  <c r="AO1333" i="1"/>
  <c r="AO1334" i="1"/>
  <c r="AO1335" i="1"/>
  <c r="AO1336" i="1"/>
  <c r="AO1337" i="1"/>
  <c r="AO1338" i="1"/>
  <c r="AO1339" i="1"/>
  <c r="AO1340" i="1"/>
  <c r="AO1341" i="1"/>
  <c r="AO1342" i="1"/>
  <c r="AO1343" i="1"/>
  <c r="AO1344" i="1"/>
  <c r="AO1345" i="1"/>
  <c r="AO1346" i="1"/>
  <c r="AO1347" i="1"/>
  <c r="AO1348" i="1"/>
  <c r="AO1349" i="1"/>
  <c r="AO1350" i="1"/>
  <c r="AO1351" i="1"/>
  <c r="AO1352" i="1"/>
  <c r="AO1353" i="1"/>
  <c r="AO1354" i="1"/>
  <c r="AO1355" i="1"/>
  <c r="AO1356" i="1"/>
  <c r="AO1357" i="1"/>
  <c r="AO1358" i="1"/>
  <c r="AO1359" i="1"/>
  <c r="AO1360" i="1"/>
  <c r="AO1361" i="1"/>
  <c r="AO1362" i="1"/>
  <c r="AO1363" i="1"/>
  <c r="AO1364" i="1"/>
  <c r="AO1365" i="1"/>
  <c r="AO1366" i="1"/>
  <c r="AO1367" i="1"/>
  <c r="AO1368" i="1"/>
  <c r="AO1369" i="1"/>
  <c r="AO1370" i="1"/>
  <c r="AO1371" i="1"/>
  <c r="AO1372" i="1"/>
  <c r="AO1373" i="1"/>
  <c r="AO1374" i="1"/>
  <c r="AO1375" i="1"/>
  <c r="AO1376" i="1"/>
  <c r="AO1377" i="1"/>
  <c r="AO1378" i="1"/>
  <c r="AO1379" i="1"/>
  <c r="AO1380" i="1"/>
  <c r="AO1381" i="1"/>
  <c r="AO1382" i="1"/>
  <c r="AO1383" i="1"/>
  <c r="AO1384" i="1"/>
  <c r="AO1385" i="1"/>
  <c r="AO1386" i="1"/>
  <c r="AO1387" i="1"/>
  <c r="AO1388" i="1"/>
  <c r="AO1389" i="1"/>
  <c r="AO1390" i="1"/>
  <c r="AO1391" i="1"/>
  <c r="AO1392" i="1"/>
  <c r="AO1393" i="1"/>
  <c r="AO1394" i="1"/>
  <c r="AO1395" i="1"/>
  <c r="AO1396" i="1"/>
  <c r="AO1397" i="1"/>
  <c r="AO1398" i="1"/>
  <c r="AO1399" i="1"/>
  <c r="AO1400" i="1"/>
  <c r="AO1401" i="1"/>
  <c r="AO1402" i="1"/>
  <c r="AO1403" i="1"/>
  <c r="AO1404" i="1"/>
  <c r="AO1405" i="1"/>
  <c r="AO1406" i="1"/>
  <c r="AO1407" i="1"/>
  <c r="AO1408" i="1"/>
  <c r="AO1409" i="1"/>
  <c r="AO1410" i="1"/>
  <c r="AO1411" i="1"/>
  <c r="AO1412" i="1"/>
  <c r="AO1413" i="1"/>
  <c r="AO1414" i="1"/>
  <c r="AO1415" i="1"/>
  <c r="AO1416" i="1"/>
  <c r="AO1417" i="1"/>
  <c r="AO1418" i="1"/>
  <c r="AO1419" i="1"/>
  <c r="AO1420" i="1"/>
  <c r="AO1421" i="1"/>
  <c r="AO1422" i="1"/>
  <c r="AO1423" i="1"/>
  <c r="AO1424" i="1"/>
  <c r="AO1425" i="1"/>
  <c r="AO1426" i="1"/>
  <c r="AO1427" i="1"/>
  <c r="AO1428" i="1"/>
  <c r="AO1429" i="1"/>
  <c r="AO1430" i="1"/>
  <c r="AO1431" i="1"/>
  <c r="AO1432" i="1"/>
  <c r="AO1433" i="1"/>
  <c r="AO1434" i="1"/>
  <c r="AO1435" i="1"/>
  <c r="AO1436" i="1"/>
  <c r="AO1437" i="1"/>
  <c r="AO1438" i="1"/>
  <c r="AO1439" i="1"/>
  <c r="AO1440" i="1"/>
  <c r="AO1441" i="1"/>
  <c r="AO1442" i="1"/>
  <c r="AO1443" i="1"/>
  <c r="AO1444" i="1"/>
  <c r="AO1445" i="1"/>
  <c r="AO1446" i="1"/>
  <c r="AO1447" i="1"/>
  <c r="AO1448" i="1"/>
  <c r="AO1449" i="1"/>
  <c r="AO1450" i="1"/>
  <c r="AO1451" i="1"/>
  <c r="AO1452" i="1"/>
  <c r="AO1453" i="1"/>
  <c r="AO1454" i="1"/>
  <c r="AO1455" i="1"/>
  <c r="AO1456" i="1"/>
  <c r="AO1457" i="1"/>
  <c r="AO1458" i="1"/>
  <c r="AO1459" i="1"/>
  <c r="AO1460" i="1"/>
  <c r="AO1461" i="1"/>
  <c r="AO1462" i="1"/>
  <c r="AO1463" i="1"/>
  <c r="AO1464" i="1"/>
  <c r="AO1465" i="1"/>
  <c r="AO1466" i="1"/>
  <c r="AO1467" i="1"/>
  <c r="AO1468" i="1"/>
  <c r="AO1469" i="1"/>
  <c r="AO1470" i="1"/>
  <c r="AO1471" i="1"/>
  <c r="AO1472" i="1"/>
  <c r="AO1473" i="1"/>
  <c r="AO1474" i="1"/>
  <c r="AO1475" i="1"/>
  <c r="AO1476" i="1"/>
  <c r="AO1477" i="1"/>
  <c r="AO1478" i="1"/>
  <c r="AO1479" i="1"/>
  <c r="AO1480" i="1"/>
  <c r="AO1481" i="1"/>
  <c r="AO1482" i="1"/>
  <c r="AO1483" i="1"/>
  <c r="AO1484" i="1"/>
  <c r="AO1485" i="1"/>
  <c r="AO1486" i="1"/>
  <c r="AO1487" i="1"/>
  <c r="AO1488" i="1"/>
  <c r="AO1489" i="1"/>
  <c r="AO1490" i="1"/>
  <c r="AO1491" i="1"/>
  <c r="AO1492" i="1"/>
  <c r="AO1493" i="1"/>
  <c r="AO1494" i="1"/>
  <c r="AO1495" i="1"/>
  <c r="AO1496" i="1"/>
  <c r="AO1497" i="1"/>
  <c r="AO1498" i="1"/>
  <c r="AO1499" i="1"/>
  <c r="AO1500" i="1"/>
  <c r="AO1501" i="1"/>
  <c r="AO1502" i="1"/>
  <c r="AO1503" i="1"/>
  <c r="AO1504" i="1"/>
  <c r="AO1505" i="1"/>
  <c r="AO1506" i="1"/>
  <c r="AO1507" i="1"/>
  <c r="AO1508" i="1"/>
  <c r="AO1509" i="1"/>
  <c r="AO1510" i="1"/>
  <c r="AO1511" i="1"/>
  <c r="AO1512" i="1"/>
  <c r="AO1513" i="1"/>
  <c r="AO1514" i="1"/>
  <c r="AO1515" i="1"/>
  <c r="AO1516" i="1"/>
  <c r="AO1517" i="1"/>
  <c r="AO1518" i="1"/>
  <c r="AO1519" i="1"/>
  <c r="AO1520" i="1"/>
  <c r="AO1521" i="1"/>
  <c r="AO1522" i="1"/>
  <c r="AO1523" i="1"/>
  <c r="AO1524" i="1"/>
  <c r="AO1525" i="1"/>
  <c r="AO1526" i="1"/>
  <c r="AO1527" i="1"/>
  <c r="AO1528" i="1"/>
  <c r="AO1529" i="1"/>
  <c r="AO1530" i="1"/>
  <c r="AO1531" i="1"/>
  <c r="AO1532" i="1"/>
  <c r="AO1533" i="1"/>
  <c r="AO1534" i="1"/>
  <c r="AO1535" i="1"/>
  <c r="AO1536" i="1"/>
  <c r="AO1537" i="1"/>
  <c r="AO1538" i="1"/>
  <c r="AO1539" i="1"/>
  <c r="AO1540" i="1"/>
  <c r="AO1541" i="1"/>
  <c r="AO1542" i="1"/>
  <c r="AO1543" i="1"/>
  <c r="AO1544" i="1"/>
  <c r="AO1545" i="1"/>
  <c r="AO1546" i="1"/>
  <c r="AO1547" i="1"/>
  <c r="AO1548" i="1"/>
  <c r="AO1549" i="1"/>
  <c r="AO1550" i="1"/>
  <c r="AO1551" i="1"/>
  <c r="AO1552" i="1"/>
  <c r="AO1553" i="1"/>
  <c r="AO1554" i="1"/>
  <c r="AO1555" i="1"/>
  <c r="AO1556" i="1"/>
  <c r="AO1557" i="1"/>
  <c r="AO1558" i="1"/>
  <c r="AO1559" i="1"/>
  <c r="AO1560" i="1"/>
  <c r="AO1561" i="1"/>
  <c r="AO1562" i="1"/>
  <c r="AO1563" i="1"/>
  <c r="AO1564" i="1"/>
  <c r="AO1565" i="1"/>
  <c r="AO1566" i="1"/>
  <c r="AO1567" i="1"/>
  <c r="AO1568" i="1"/>
  <c r="AO1569" i="1"/>
  <c r="AO1570" i="1"/>
  <c r="AO1571" i="1"/>
  <c r="AO1572" i="1"/>
  <c r="AO1573" i="1"/>
  <c r="AO1574" i="1"/>
  <c r="AO1575" i="1"/>
  <c r="AO1576" i="1"/>
  <c r="AO1577" i="1"/>
  <c r="AO1578" i="1"/>
  <c r="AO1579" i="1"/>
  <c r="AO1580" i="1"/>
  <c r="AO1581" i="1"/>
  <c r="AO1582" i="1"/>
  <c r="AO1583" i="1"/>
  <c r="AO1584" i="1"/>
  <c r="AO1585" i="1"/>
  <c r="AO1586" i="1"/>
  <c r="AO1587" i="1"/>
  <c r="AO1588" i="1"/>
  <c r="AO1589" i="1"/>
  <c r="AO1590" i="1"/>
  <c r="AO1591" i="1"/>
  <c r="AO1592" i="1"/>
  <c r="AO1593" i="1"/>
  <c r="AO1594" i="1"/>
  <c r="AO1595" i="1"/>
  <c r="AO1596" i="1"/>
  <c r="AO1597" i="1"/>
  <c r="AO1598" i="1"/>
  <c r="AO1599" i="1"/>
  <c r="AO1600" i="1"/>
  <c r="AO1601" i="1"/>
  <c r="AO1602" i="1"/>
  <c r="AO1603" i="1"/>
  <c r="AO1604" i="1"/>
  <c r="AO1605" i="1"/>
  <c r="AO1606" i="1"/>
  <c r="AO1607" i="1"/>
  <c r="AO1608" i="1"/>
  <c r="AO1609" i="1"/>
  <c r="AO1610" i="1"/>
  <c r="AO1611" i="1"/>
  <c r="AO1612" i="1"/>
  <c r="AO1613" i="1"/>
  <c r="AO1614" i="1"/>
  <c r="AO1615" i="1"/>
  <c r="AO1616" i="1"/>
  <c r="AO1617" i="1"/>
  <c r="AO1618" i="1"/>
  <c r="AO1619" i="1"/>
  <c r="AO1620" i="1"/>
  <c r="AO1621" i="1"/>
  <c r="AO1622" i="1"/>
  <c r="AO1623" i="1"/>
  <c r="AO1624" i="1"/>
  <c r="AO1625" i="1"/>
  <c r="AO1626" i="1"/>
  <c r="AO1627" i="1"/>
  <c r="AO1628" i="1"/>
  <c r="AO1629" i="1"/>
  <c r="AO1630" i="1"/>
  <c r="AO1631" i="1"/>
  <c r="AO1632" i="1"/>
  <c r="AO1633" i="1"/>
  <c r="AO1634" i="1"/>
  <c r="AO1635" i="1"/>
  <c r="AO1636" i="1"/>
  <c r="AO1637" i="1"/>
  <c r="AO1638" i="1"/>
  <c r="AO1639" i="1"/>
  <c r="AO1640" i="1"/>
  <c r="AO1641" i="1"/>
  <c r="AO1642" i="1"/>
  <c r="AO1643" i="1"/>
  <c r="AO1644" i="1"/>
  <c r="AO1645" i="1"/>
  <c r="AO1646" i="1"/>
  <c r="AO1647" i="1"/>
  <c r="AO1648" i="1"/>
  <c r="AO1649" i="1"/>
  <c r="AO1650" i="1"/>
  <c r="AO1651" i="1"/>
  <c r="AO1652" i="1"/>
  <c r="AO1653" i="1"/>
  <c r="AO1654" i="1"/>
  <c r="AO1655" i="1"/>
  <c r="AO1656" i="1"/>
  <c r="AO1657" i="1"/>
  <c r="AO1658" i="1"/>
  <c r="AO1659" i="1"/>
  <c r="AO1660" i="1"/>
  <c r="AO1661" i="1"/>
  <c r="AO1662" i="1"/>
  <c r="AO1663" i="1"/>
  <c r="AO1664" i="1"/>
  <c r="AO1665" i="1"/>
  <c r="AO1666" i="1"/>
  <c r="AO1667" i="1"/>
  <c r="AO1668" i="1"/>
  <c r="AO1669" i="1"/>
  <c r="AO1670" i="1"/>
  <c r="AO1671" i="1"/>
  <c r="AO1672" i="1"/>
  <c r="AO1673" i="1"/>
  <c r="AO1674" i="1"/>
  <c r="AO1675" i="1"/>
  <c r="AO1676" i="1"/>
  <c r="AO1677" i="1"/>
  <c r="AO1678" i="1"/>
  <c r="AO1679" i="1"/>
  <c r="AO1680" i="1"/>
  <c r="AO1681" i="1"/>
  <c r="AO1682" i="1"/>
  <c r="AO1683" i="1"/>
  <c r="AO1684" i="1"/>
  <c r="AO1685" i="1"/>
  <c r="AO1686" i="1"/>
  <c r="AO1687" i="1"/>
  <c r="AO1688" i="1"/>
  <c r="AO1689" i="1"/>
  <c r="AO1690" i="1"/>
  <c r="AO1691" i="1"/>
  <c r="AO1692" i="1"/>
  <c r="AO1693" i="1"/>
  <c r="AO1694" i="1"/>
  <c r="AO1695" i="1"/>
  <c r="AO1696" i="1"/>
  <c r="AO1697" i="1"/>
  <c r="AO1698" i="1"/>
  <c r="AO1699" i="1"/>
  <c r="AO1700" i="1"/>
  <c r="AO1701" i="1"/>
  <c r="AO1702" i="1"/>
  <c r="AO1703" i="1"/>
  <c r="AO1704" i="1"/>
  <c r="AO1705" i="1"/>
  <c r="AO1706" i="1"/>
  <c r="AO1707" i="1"/>
  <c r="AO1708" i="1"/>
  <c r="AO1709" i="1"/>
  <c r="AO1710" i="1"/>
  <c r="AO1711" i="1"/>
  <c r="AO1712" i="1"/>
  <c r="AO1713" i="1"/>
  <c r="AO1714" i="1"/>
  <c r="AO1715" i="1"/>
  <c r="AO1716" i="1"/>
  <c r="AO1717" i="1"/>
  <c r="AO1718" i="1"/>
  <c r="AO1719" i="1"/>
  <c r="AO1720" i="1"/>
  <c r="AO1721" i="1"/>
  <c r="AO1722" i="1"/>
  <c r="AO1723" i="1"/>
  <c r="AO1724" i="1"/>
  <c r="AO1725" i="1"/>
  <c r="AO1726" i="1"/>
  <c r="AO1727" i="1"/>
  <c r="AO1728" i="1"/>
  <c r="AO1729" i="1"/>
  <c r="AO1730" i="1"/>
  <c r="AO1731" i="1"/>
  <c r="AO1732" i="1"/>
  <c r="AO1733" i="1"/>
  <c r="AO1734" i="1"/>
  <c r="AO1735" i="1"/>
  <c r="AO1736" i="1"/>
  <c r="AO1737" i="1"/>
  <c r="AO1738" i="1"/>
  <c r="AO1739" i="1"/>
  <c r="AO1740" i="1"/>
  <c r="AO1741" i="1"/>
  <c r="AO1742" i="1"/>
  <c r="AO1743" i="1"/>
  <c r="AO1744" i="1"/>
  <c r="AO1745" i="1"/>
  <c r="AO1746" i="1"/>
  <c r="AO1747" i="1"/>
  <c r="AO1748" i="1"/>
  <c r="AO1749" i="1"/>
  <c r="AO1750" i="1"/>
  <c r="AO1751" i="1"/>
  <c r="AO1752" i="1"/>
  <c r="AO1753" i="1"/>
  <c r="AO1754" i="1"/>
  <c r="AO1755" i="1"/>
  <c r="AO1756" i="1"/>
  <c r="AO1757" i="1"/>
  <c r="AO1758" i="1"/>
  <c r="AO1759" i="1"/>
  <c r="AO1760" i="1"/>
  <c r="AO1761" i="1"/>
  <c r="AO1762" i="1"/>
  <c r="AO1763" i="1"/>
  <c r="AO1764" i="1"/>
  <c r="AO1765" i="1"/>
  <c r="AO1766" i="1"/>
  <c r="AO1767" i="1"/>
  <c r="AO1768" i="1"/>
  <c r="AO1769" i="1"/>
  <c r="AO1770" i="1"/>
  <c r="AO1771" i="1"/>
  <c r="AO1772" i="1"/>
  <c r="AO1773" i="1"/>
  <c r="AO1774" i="1"/>
  <c r="AO1775" i="1"/>
  <c r="AO1776" i="1"/>
  <c r="AO1777" i="1"/>
  <c r="AO1778" i="1"/>
  <c r="AO1779" i="1"/>
  <c r="AO1780" i="1"/>
  <c r="AO1781" i="1"/>
  <c r="AO1782" i="1"/>
  <c r="AO1783" i="1"/>
  <c r="AO1784" i="1"/>
  <c r="AO1785" i="1"/>
  <c r="AO1786" i="1"/>
  <c r="AO1787" i="1"/>
  <c r="AO1788" i="1"/>
  <c r="AO1789" i="1"/>
  <c r="AO1790" i="1"/>
  <c r="AO1791" i="1"/>
  <c r="AO1792" i="1"/>
  <c r="AO1793" i="1"/>
  <c r="AO1794" i="1"/>
  <c r="AO1795" i="1"/>
  <c r="AO1796" i="1"/>
  <c r="AO1797" i="1"/>
  <c r="AO1798" i="1"/>
  <c r="AO1799" i="1"/>
  <c r="AO1800" i="1"/>
  <c r="AO1801" i="1"/>
  <c r="AO1802" i="1"/>
  <c r="AO1803" i="1"/>
  <c r="AO1804" i="1"/>
  <c r="AO1805" i="1"/>
  <c r="AO1806" i="1"/>
  <c r="AO1807" i="1"/>
  <c r="AO1808" i="1"/>
  <c r="AO1809" i="1"/>
  <c r="AO1810" i="1"/>
  <c r="AO1811" i="1"/>
  <c r="AO1812" i="1"/>
  <c r="AO1813" i="1"/>
  <c r="AO1814" i="1"/>
  <c r="AO1815" i="1"/>
  <c r="AO1816" i="1"/>
  <c r="AO1817" i="1"/>
  <c r="AO1818" i="1"/>
  <c r="AO1819" i="1"/>
  <c r="AO1820" i="1"/>
  <c r="AO1821" i="1"/>
  <c r="AO1822" i="1"/>
  <c r="AO1823" i="1"/>
  <c r="AO1824" i="1"/>
  <c r="AO1825" i="1"/>
  <c r="AO1826" i="1"/>
  <c r="AO1827" i="1"/>
  <c r="AO1828" i="1"/>
  <c r="AO1829" i="1"/>
  <c r="AO1830" i="1"/>
  <c r="AO1831" i="1"/>
  <c r="AO1832" i="1"/>
  <c r="AO1833" i="1"/>
  <c r="AO1834" i="1"/>
  <c r="AO1835" i="1"/>
  <c r="AO1836" i="1"/>
  <c r="AO1837" i="1"/>
  <c r="AO1838" i="1"/>
  <c r="AO1839" i="1"/>
  <c r="AO1840" i="1"/>
  <c r="AO1841" i="1"/>
  <c r="AO1842" i="1"/>
  <c r="AO1843" i="1"/>
  <c r="AO1844" i="1"/>
  <c r="AO1845" i="1"/>
  <c r="AO1846" i="1"/>
  <c r="AO1847" i="1"/>
  <c r="AO1848" i="1"/>
  <c r="AO1849" i="1"/>
  <c r="AO1850" i="1"/>
  <c r="AO1851" i="1"/>
  <c r="AO1852" i="1"/>
  <c r="AO1853" i="1"/>
  <c r="AO1854" i="1"/>
  <c r="AO1855" i="1"/>
  <c r="AO1856" i="1"/>
  <c r="AO1857" i="1"/>
  <c r="AO1858" i="1"/>
  <c r="AO1859" i="1"/>
  <c r="AO1860" i="1"/>
  <c r="AO1861" i="1"/>
  <c r="AO1862" i="1"/>
  <c r="AO1863" i="1"/>
  <c r="AO1864" i="1"/>
  <c r="AO1865" i="1"/>
  <c r="AO1866" i="1"/>
  <c r="AO1867" i="1"/>
  <c r="AO1868" i="1"/>
  <c r="AO1869" i="1"/>
  <c r="AO1870" i="1"/>
  <c r="AO1871" i="1"/>
  <c r="AO1872" i="1"/>
  <c r="AO1873" i="1"/>
  <c r="AO1874" i="1"/>
  <c r="AO1875" i="1"/>
  <c r="AO1876" i="1"/>
  <c r="AO1877" i="1"/>
  <c r="AO1878" i="1"/>
  <c r="AO1879" i="1"/>
  <c r="AO1880" i="1"/>
  <c r="AO1881" i="1"/>
  <c r="AO1882" i="1"/>
  <c r="AO1883" i="1"/>
  <c r="AO1884" i="1"/>
  <c r="AO1885" i="1"/>
  <c r="AO1886" i="1"/>
  <c r="AO1887" i="1"/>
  <c r="AO1888" i="1"/>
  <c r="AO1889" i="1"/>
  <c r="AO1890" i="1"/>
  <c r="AO1891" i="1"/>
  <c r="AO1892" i="1"/>
  <c r="AO1893" i="1"/>
  <c r="AO1894" i="1"/>
  <c r="AO1895" i="1"/>
  <c r="AO1896" i="1"/>
  <c r="AO1897" i="1"/>
  <c r="AO1898" i="1"/>
  <c r="AO1899" i="1"/>
  <c r="AO1900" i="1"/>
  <c r="AO1901" i="1"/>
  <c r="AO1902" i="1"/>
  <c r="AO1903" i="1"/>
  <c r="AO1904" i="1"/>
  <c r="AO1905" i="1"/>
  <c r="AO1906" i="1"/>
  <c r="AO1907" i="1"/>
  <c r="AO1908" i="1"/>
  <c r="AO1909" i="1"/>
  <c r="AO1910" i="1"/>
  <c r="AO1911" i="1"/>
  <c r="AO1912" i="1"/>
  <c r="AO1913" i="1"/>
  <c r="AO1914" i="1"/>
  <c r="AO1915" i="1"/>
  <c r="AO1916" i="1"/>
  <c r="AO1917" i="1"/>
  <c r="AO1918" i="1"/>
  <c r="AO1919" i="1"/>
  <c r="AO1920" i="1"/>
  <c r="AO1921" i="1"/>
  <c r="AO1922" i="1"/>
  <c r="AO1923" i="1"/>
  <c r="AO1924" i="1"/>
  <c r="AO1925" i="1"/>
  <c r="AO1926" i="1"/>
  <c r="AO1927" i="1"/>
  <c r="AO1928" i="1"/>
  <c r="AO1929" i="1"/>
  <c r="AO1930" i="1"/>
  <c r="AO1931" i="1"/>
  <c r="AO1932" i="1"/>
  <c r="AO1933" i="1"/>
  <c r="AO1934" i="1"/>
  <c r="AO1935" i="1"/>
  <c r="AO1936" i="1"/>
  <c r="AO1937" i="1"/>
  <c r="AO1938" i="1"/>
  <c r="AO1939" i="1"/>
  <c r="AO1940" i="1"/>
  <c r="AO1941" i="1"/>
  <c r="AO1942" i="1"/>
  <c r="AO1943" i="1"/>
  <c r="AO1944" i="1"/>
  <c r="AO1945" i="1"/>
  <c r="AO1946" i="1"/>
  <c r="AO1947" i="1"/>
  <c r="AO1948" i="1"/>
  <c r="AO1949" i="1"/>
  <c r="AO1950" i="1"/>
  <c r="AO1951" i="1"/>
  <c r="AO1952" i="1"/>
  <c r="AO1953" i="1"/>
  <c r="AO1954" i="1"/>
  <c r="AO1955" i="1"/>
  <c r="AO1956" i="1"/>
  <c r="AO1957" i="1"/>
  <c r="AO1958" i="1"/>
  <c r="AO1959" i="1"/>
  <c r="AO1960" i="1"/>
  <c r="AO1961" i="1"/>
  <c r="AO1962" i="1"/>
  <c r="AO1963" i="1"/>
  <c r="AO1964" i="1"/>
  <c r="AO1965" i="1"/>
  <c r="AO1966" i="1"/>
  <c r="AO1967" i="1"/>
  <c r="AO1968" i="1"/>
  <c r="AO1969" i="1"/>
  <c r="AO1970" i="1"/>
  <c r="AO1971" i="1"/>
  <c r="AO1972" i="1"/>
  <c r="AO1973" i="1"/>
  <c r="AO1974" i="1"/>
  <c r="AO1975" i="1"/>
  <c r="AO1976" i="1"/>
  <c r="AO1977" i="1"/>
  <c r="AO1978" i="1"/>
  <c r="AO1979" i="1"/>
  <c r="AO1980" i="1"/>
  <c r="AO1981" i="1"/>
  <c r="AO1982" i="1"/>
  <c r="AO1983" i="1"/>
  <c r="AO1984" i="1"/>
  <c r="AO1985" i="1"/>
  <c r="AO1986" i="1"/>
  <c r="AO1987" i="1"/>
  <c r="AO1988" i="1"/>
  <c r="AO1989" i="1"/>
  <c r="AO1990" i="1"/>
  <c r="AO1991" i="1"/>
  <c r="AO1992" i="1"/>
  <c r="AO1993" i="1"/>
  <c r="AO1994" i="1"/>
  <c r="AO1995" i="1"/>
  <c r="AO1996" i="1"/>
  <c r="AO1997" i="1"/>
  <c r="AO1998" i="1"/>
  <c r="AO1999" i="1"/>
  <c r="AO2000" i="1"/>
  <c r="AO2001" i="1"/>
  <c r="AO2002" i="1"/>
  <c r="AO2003" i="1"/>
  <c r="AO2004" i="1"/>
  <c r="AO2005" i="1"/>
  <c r="AO2006" i="1"/>
  <c r="AO2007" i="1"/>
  <c r="AO2008" i="1"/>
  <c r="AO2009" i="1"/>
  <c r="AO2010" i="1"/>
  <c r="AO2011" i="1"/>
  <c r="AO2012" i="1"/>
  <c r="AO2013" i="1"/>
  <c r="AO2014" i="1"/>
  <c r="AO2015" i="1"/>
  <c r="AO2016" i="1"/>
  <c r="AO2017" i="1"/>
  <c r="AO2018" i="1"/>
  <c r="AO2019" i="1"/>
  <c r="AO2020" i="1"/>
  <c r="AO2021" i="1"/>
  <c r="AO2022" i="1"/>
  <c r="AO2023" i="1"/>
  <c r="AO2024" i="1"/>
  <c r="AO2025" i="1"/>
  <c r="AO2026" i="1"/>
  <c r="AO2027" i="1"/>
  <c r="AO2028" i="1"/>
  <c r="AO2029" i="1"/>
  <c r="AO2030" i="1"/>
  <c r="AO2031" i="1"/>
  <c r="AO2032" i="1"/>
  <c r="AO2033" i="1"/>
  <c r="AO2034" i="1"/>
  <c r="AO2035" i="1"/>
  <c r="AO2036" i="1"/>
  <c r="AO2037" i="1"/>
  <c r="AO2038" i="1"/>
  <c r="AO2039" i="1"/>
  <c r="AO2040" i="1"/>
  <c r="AO2041" i="1"/>
  <c r="AO2042" i="1"/>
  <c r="AO2043" i="1"/>
  <c r="AO2044" i="1"/>
  <c r="AO2045" i="1"/>
  <c r="AO2046" i="1"/>
  <c r="AO2047" i="1"/>
  <c r="AO2048" i="1"/>
  <c r="AO2049" i="1"/>
  <c r="AO2050" i="1"/>
  <c r="AO2051" i="1"/>
  <c r="AO2052" i="1"/>
  <c r="AO2053" i="1"/>
  <c r="AO2054" i="1"/>
  <c r="AO2055" i="1"/>
  <c r="AO2056" i="1"/>
  <c r="AO2057" i="1"/>
  <c r="AO2058" i="1"/>
  <c r="AO2059" i="1"/>
  <c r="AO2060" i="1"/>
  <c r="AO2061" i="1"/>
  <c r="AO2062" i="1"/>
  <c r="AO2063" i="1"/>
  <c r="AO2064" i="1"/>
  <c r="AO2065" i="1"/>
  <c r="AO2066" i="1"/>
  <c r="AO2067" i="1"/>
  <c r="AO2068" i="1"/>
  <c r="AO2069" i="1"/>
  <c r="AO2070" i="1"/>
  <c r="AO2071" i="1"/>
  <c r="AO2072" i="1"/>
  <c r="AO2073" i="1"/>
  <c r="AO2074" i="1"/>
  <c r="AO2075" i="1"/>
  <c r="AO2076" i="1"/>
  <c r="AO2077" i="1"/>
  <c r="AO2078" i="1"/>
  <c r="AO2079" i="1"/>
  <c r="AO2080" i="1"/>
  <c r="AO2081" i="1"/>
  <c r="AO2082" i="1"/>
  <c r="AO2083" i="1"/>
  <c r="AO2084" i="1"/>
  <c r="AO2085" i="1"/>
  <c r="AO2086" i="1"/>
  <c r="AO2087" i="1"/>
  <c r="AO2088" i="1"/>
  <c r="AO2089" i="1"/>
  <c r="AO2090" i="1"/>
  <c r="AO2091" i="1"/>
  <c r="AO2092" i="1"/>
  <c r="AO2093" i="1"/>
  <c r="AO2094" i="1"/>
  <c r="AO2095" i="1"/>
  <c r="AO2096" i="1"/>
  <c r="AO2097" i="1"/>
  <c r="AO2098" i="1"/>
  <c r="AO2099" i="1"/>
  <c r="AO2100" i="1"/>
  <c r="AO2101" i="1"/>
  <c r="AO2102" i="1"/>
  <c r="AO2103" i="1"/>
  <c r="AO2104" i="1"/>
  <c r="AO2105" i="1"/>
  <c r="AO2106" i="1"/>
  <c r="AO2107" i="1"/>
  <c r="AO2108" i="1"/>
  <c r="AO2109" i="1"/>
  <c r="AO2110" i="1"/>
  <c r="AO2111" i="1"/>
  <c r="AO2112" i="1"/>
  <c r="AO2113" i="1"/>
  <c r="AO2114" i="1"/>
  <c r="AO2115" i="1"/>
  <c r="AO2116" i="1"/>
  <c r="AO2117" i="1"/>
  <c r="AO2118" i="1"/>
  <c r="AO2119" i="1"/>
  <c r="AO2120" i="1"/>
  <c r="AO2121" i="1"/>
  <c r="AO2122" i="1"/>
  <c r="AO2123" i="1"/>
  <c r="AO2124" i="1"/>
  <c r="AO2125" i="1"/>
  <c r="AO2126" i="1"/>
  <c r="AO2127" i="1"/>
  <c r="AO2128" i="1"/>
  <c r="AO2129" i="1"/>
  <c r="AO2130" i="1"/>
  <c r="AO2131" i="1"/>
  <c r="AO2132" i="1"/>
  <c r="AO2133" i="1"/>
  <c r="AO2134" i="1"/>
  <c r="AO2135" i="1"/>
  <c r="AO2136" i="1"/>
  <c r="AO2137" i="1"/>
  <c r="AO2138" i="1"/>
  <c r="AO2139" i="1"/>
  <c r="AO2140" i="1"/>
  <c r="AO2141" i="1"/>
  <c r="AO2142" i="1"/>
  <c r="AO2143" i="1"/>
  <c r="AO2144" i="1"/>
  <c r="AO2145" i="1"/>
  <c r="AO2146" i="1"/>
  <c r="AO2147" i="1"/>
  <c r="AO2148" i="1"/>
  <c r="AO2149" i="1"/>
  <c r="AO2150" i="1"/>
  <c r="AO2151" i="1"/>
  <c r="AO2152" i="1"/>
  <c r="AO2153" i="1"/>
  <c r="AO2154" i="1"/>
  <c r="AO2155" i="1"/>
  <c r="AO2156" i="1"/>
  <c r="AO2157" i="1"/>
  <c r="AO2158" i="1"/>
  <c r="AO2159" i="1"/>
  <c r="AO2160" i="1"/>
  <c r="AO2161" i="1"/>
  <c r="AO2162" i="1"/>
  <c r="AO2163" i="1"/>
  <c r="AO2164" i="1"/>
  <c r="AO2165" i="1"/>
  <c r="AO2166" i="1"/>
  <c r="AO2167" i="1"/>
  <c r="AO2168" i="1"/>
  <c r="AO2169" i="1"/>
  <c r="AO2170" i="1"/>
  <c r="AO2171" i="1"/>
  <c r="AO2172" i="1"/>
  <c r="AO2173" i="1"/>
  <c r="AO2174" i="1"/>
  <c r="AO2175" i="1"/>
  <c r="AO2176" i="1"/>
  <c r="AO2177" i="1"/>
  <c r="AO2178" i="1"/>
  <c r="AO2179" i="1"/>
  <c r="AO2180" i="1"/>
  <c r="AO2181" i="1"/>
  <c r="AO2182" i="1"/>
  <c r="AO2183" i="1"/>
  <c r="AO2184" i="1"/>
  <c r="AO2185" i="1"/>
  <c r="AO2186" i="1"/>
  <c r="AO2187" i="1"/>
  <c r="AO2188" i="1"/>
  <c r="AO2189" i="1"/>
  <c r="AO2190" i="1"/>
  <c r="AO2191" i="1"/>
  <c r="AO2192" i="1"/>
  <c r="AO2193" i="1"/>
  <c r="AO2194" i="1"/>
  <c r="AO2195" i="1"/>
  <c r="AO2196" i="1"/>
  <c r="AO2197" i="1"/>
  <c r="AO2198" i="1"/>
  <c r="AO2199" i="1"/>
  <c r="AO2200" i="1"/>
  <c r="AO2201" i="1"/>
  <c r="AO2202" i="1"/>
  <c r="AO2203" i="1"/>
  <c r="AO2204" i="1"/>
  <c r="AO2205" i="1"/>
  <c r="AO2206" i="1"/>
  <c r="AO2207" i="1"/>
  <c r="AO2208" i="1"/>
  <c r="AO2209" i="1"/>
  <c r="AO2210" i="1"/>
  <c r="AO2211" i="1"/>
  <c r="AO2212" i="1"/>
  <c r="AO2213" i="1"/>
  <c r="AO2214" i="1"/>
  <c r="AO2215" i="1"/>
  <c r="AO2216" i="1"/>
  <c r="AO2217" i="1"/>
  <c r="AO2218" i="1"/>
  <c r="AO2219" i="1"/>
  <c r="AO2220" i="1"/>
  <c r="AO2221" i="1"/>
  <c r="AO2222" i="1"/>
  <c r="AO2223" i="1"/>
  <c r="AO2224" i="1"/>
  <c r="AO2225" i="1"/>
  <c r="AO2226" i="1"/>
  <c r="AO2227" i="1"/>
  <c r="AO2228" i="1"/>
  <c r="AO2229" i="1"/>
  <c r="AO2230" i="1"/>
  <c r="AO2231" i="1"/>
  <c r="AO2232" i="1"/>
  <c r="AO2233" i="1"/>
  <c r="AO2234" i="1"/>
  <c r="AO2235" i="1"/>
  <c r="AO2236" i="1"/>
  <c r="AO2237" i="1"/>
  <c r="AO2238" i="1"/>
  <c r="AO2239" i="1"/>
  <c r="AO2240" i="1"/>
  <c r="AO2241" i="1"/>
  <c r="AO2242" i="1"/>
  <c r="AO2243" i="1"/>
  <c r="AO2244" i="1"/>
  <c r="AO2245" i="1"/>
  <c r="AO2246" i="1"/>
  <c r="AO2247" i="1"/>
  <c r="AO2248" i="1"/>
  <c r="AO2249" i="1"/>
  <c r="AO2250" i="1"/>
  <c r="AO2251" i="1"/>
  <c r="AO2252" i="1"/>
  <c r="AO2253" i="1"/>
  <c r="AO2254" i="1"/>
  <c r="AO2255" i="1"/>
  <c r="AO2256" i="1"/>
  <c r="AO2257" i="1"/>
  <c r="AO2258" i="1"/>
  <c r="AO2259" i="1"/>
  <c r="AO2260" i="1"/>
  <c r="AO2261" i="1"/>
  <c r="AO2262" i="1"/>
  <c r="AO2263" i="1"/>
  <c r="AO2264" i="1"/>
  <c r="AO2265" i="1"/>
  <c r="AO2266" i="1"/>
  <c r="AO2267" i="1"/>
  <c r="AO2268" i="1"/>
  <c r="AO2269" i="1"/>
  <c r="AO2270" i="1"/>
  <c r="AO2271" i="1"/>
  <c r="AO2272" i="1"/>
  <c r="AO2273" i="1"/>
  <c r="AO2274" i="1"/>
  <c r="AO2275" i="1"/>
  <c r="AO2276" i="1"/>
  <c r="AO2277" i="1"/>
  <c r="AO2278" i="1"/>
  <c r="AO2279" i="1"/>
  <c r="AO2280" i="1"/>
  <c r="AO2281" i="1"/>
  <c r="AO2282" i="1"/>
  <c r="AO2283" i="1"/>
  <c r="AO2284" i="1"/>
  <c r="AO2285" i="1"/>
  <c r="AO2286" i="1"/>
  <c r="AO2287" i="1"/>
  <c r="AO2288" i="1"/>
  <c r="AO2289" i="1"/>
  <c r="AO2290" i="1"/>
  <c r="AO2291" i="1"/>
  <c r="AO2292" i="1"/>
  <c r="AO2293" i="1"/>
  <c r="AO2294" i="1"/>
  <c r="AO2295" i="1"/>
  <c r="AO2296" i="1"/>
  <c r="AO2297" i="1"/>
  <c r="AO2298" i="1"/>
  <c r="AO2299" i="1"/>
  <c r="AO2300" i="1"/>
  <c r="AO2301" i="1"/>
  <c r="AO2302" i="1"/>
  <c r="AO2303" i="1"/>
  <c r="AO2304" i="1"/>
  <c r="AO2305" i="1"/>
  <c r="AO2306" i="1"/>
  <c r="AO2307" i="1"/>
  <c r="AO2308" i="1"/>
  <c r="AO2309" i="1"/>
  <c r="AO2310" i="1"/>
  <c r="AO2311" i="1"/>
  <c r="AO2312" i="1"/>
  <c r="AO2313" i="1"/>
  <c r="AO2314" i="1"/>
  <c r="AO2315" i="1"/>
  <c r="AO2316" i="1"/>
  <c r="AO2317" i="1"/>
  <c r="AO2318" i="1"/>
  <c r="AO2319" i="1"/>
  <c r="AO2320" i="1"/>
  <c r="AO2321" i="1"/>
  <c r="AO2322" i="1"/>
  <c r="AO2323" i="1"/>
  <c r="AO2324" i="1"/>
  <c r="AO2325" i="1"/>
  <c r="AO2326" i="1"/>
  <c r="AO2327" i="1"/>
  <c r="AO2328" i="1"/>
  <c r="AO2329" i="1"/>
  <c r="AO2330" i="1"/>
  <c r="AO2331" i="1"/>
  <c r="AO2332" i="1"/>
  <c r="AO2333" i="1"/>
  <c r="AO2334" i="1"/>
  <c r="AO2335" i="1"/>
  <c r="AO2336" i="1"/>
  <c r="AO2337" i="1"/>
  <c r="AO2338" i="1"/>
  <c r="AO2339" i="1"/>
  <c r="AO2340" i="1"/>
  <c r="AO2341" i="1"/>
  <c r="AO2342" i="1"/>
  <c r="AO2343" i="1"/>
  <c r="AO2344" i="1"/>
  <c r="AO2345" i="1"/>
  <c r="AO2346" i="1"/>
  <c r="AO2347" i="1"/>
  <c r="AO2348" i="1"/>
  <c r="AO2349" i="1"/>
  <c r="AO2350" i="1"/>
  <c r="AO2351" i="1"/>
  <c r="AO2352" i="1"/>
  <c r="AO2353" i="1"/>
  <c r="AO2354" i="1"/>
  <c r="AO2355" i="1"/>
  <c r="AO2356" i="1"/>
  <c r="AO2357" i="1"/>
  <c r="AO2358" i="1"/>
  <c r="AO2359" i="1"/>
  <c r="AO2360" i="1"/>
  <c r="AO2361" i="1"/>
  <c r="AO2362" i="1"/>
  <c r="AO2363" i="1"/>
  <c r="AO2364" i="1"/>
  <c r="AO2365" i="1"/>
  <c r="AO2366" i="1"/>
  <c r="AO2367" i="1"/>
  <c r="AO2368" i="1"/>
  <c r="AO2369" i="1"/>
  <c r="AO2370" i="1"/>
  <c r="AO2371" i="1"/>
  <c r="AO2372" i="1"/>
  <c r="AO2373" i="1"/>
  <c r="AO2374" i="1"/>
  <c r="AO2375" i="1"/>
  <c r="AO2376" i="1"/>
  <c r="AO2377" i="1"/>
  <c r="AO2378" i="1"/>
  <c r="AO2379" i="1"/>
  <c r="AO2380" i="1"/>
  <c r="AO2381" i="1"/>
  <c r="AO2382" i="1"/>
  <c r="AO2383" i="1"/>
  <c r="AO2384" i="1"/>
  <c r="AO2385" i="1"/>
  <c r="AO2386" i="1"/>
  <c r="AO2387" i="1"/>
  <c r="AO2388" i="1"/>
  <c r="AO2389" i="1"/>
  <c r="AO2390" i="1"/>
  <c r="AO2391" i="1"/>
  <c r="AO2392" i="1"/>
  <c r="AO2393" i="1"/>
  <c r="AO2394" i="1"/>
  <c r="AO2395" i="1"/>
  <c r="AO2396" i="1"/>
  <c r="AO2397" i="1"/>
  <c r="AO2398" i="1"/>
  <c r="AO2399" i="1"/>
  <c r="AO2400" i="1"/>
  <c r="AO2401" i="1"/>
  <c r="AO2402" i="1"/>
  <c r="AO2403" i="1"/>
  <c r="AO2404" i="1"/>
  <c r="AO2405" i="1"/>
  <c r="AO2406" i="1"/>
  <c r="AO2407" i="1"/>
  <c r="AO2408" i="1"/>
  <c r="AO2409" i="1"/>
  <c r="AO2410" i="1"/>
  <c r="AO2411" i="1"/>
  <c r="AO2412" i="1"/>
  <c r="AO2413" i="1"/>
  <c r="AO2414" i="1"/>
  <c r="AO2415" i="1"/>
  <c r="AO2416" i="1"/>
  <c r="AO2417" i="1"/>
  <c r="AO2418" i="1"/>
  <c r="AO2419" i="1"/>
  <c r="AO2420" i="1"/>
  <c r="AO2421" i="1"/>
  <c r="AO2422" i="1"/>
  <c r="AO2423" i="1"/>
  <c r="AO2424" i="1"/>
  <c r="AO2425" i="1"/>
  <c r="AO2426" i="1"/>
  <c r="AO2427" i="1"/>
  <c r="AO2428" i="1"/>
  <c r="AO2429" i="1"/>
  <c r="AO2430" i="1"/>
  <c r="AO2431" i="1"/>
  <c r="AO2432" i="1"/>
  <c r="AO2433" i="1"/>
  <c r="AO2434" i="1"/>
  <c r="AO2435" i="1"/>
  <c r="AO2436" i="1"/>
  <c r="AO2437" i="1"/>
  <c r="AO2438" i="1"/>
  <c r="AO2439" i="1"/>
  <c r="AO2440" i="1"/>
  <c r="AO2441" i="1"/>
  <c r="AO2442" i="1"/>
  <c r="AO2443" i="1"/>
  <c r="AO2444" i="1"/>
  <c r="AO2445" i="1"/>
  <c r="AO2446" i="1"/>
  <c r="AO2447" i="1"/>
  <c r="AO2448" i="1"/>
  <c r="AO2449" i="1"/>
  <c r="AO2450" i="1"/>
  <c r="AO2451" i="1"/>
  <c r="AO2452" i="1"/>
  <c r="AO2453" i="1"/>
  <c r="AO2454" i="1"/>
  <c r="AO2455" i="1"/>
  <c r="AO2456" i="1"/>
  <c r="AO2457" i="1"/>
  <c r="AO2458" i="1"/>
  <c r="AO2459" i="1"/>
  <c r="AO2460" i="1"/>
  <c r="AO2461" i="1"/>
  <c r="AO2462" i="1"/>
  <c r="AO2463" i="1"/>
  <c r="AO2464" i="1"/>
  <c r="AO2465" i="1"/>
  <c r="AO2466" i="1"/>
  <c r="AO2467" i="1"/>
  <c r="AO2468" i="1"/>
  <c r="AP2" i="1"/>
  <c r="AP3" i="1"/>
  <c r="AP4" i="1"/>
  <c r="AP5"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P34" i="1"/>
  <c r="AP35" i="1"/>
  <c r="AP36" i="1"/>
  <c r="AP37" i="1"/>
  <c r="AP38" i="1"/>
  <c r="AP39" i="1"/>
  <c r="AP40" i="1"/>
  <c r="AP41" i="1"/>
  <c r="AP42" i="1"/>
  <c r="AP43" i="1"/>
  <c r="AP44" i="1"/>
  <c r="AP45" i="1"/>
  <c r="AP46" i="1"/>
  <c r="AP47" i="1"/>
  <c r="AP48" i="1"/>
  <c r="AP49" i="1"/>
  <c r="AP50" i="1"/>
  <c r="AP51" i="1"/>
  <c r="AP52" i="1"/>
  <c r="AP53" i="1"/>
  <c r="AP54" i="1"/>
  <c r="AP55" i="1"/>
  <c r="AP56" i="1"/>
  <c r="AP57" i="1"/>
  <c r="AP58" i="1"/>
  <c r="AP59" i="1"/>
  <c r="AP60" i="1"/>
  <c r="AP61" i="1"/>
  <c r="AP62" i="1"/>
  <c r="AP63" i="1"/>
  <c r="AP64" i="1"/>
  <c r="AP65" i="1"/>
  <c r="AP66" i="1"/>
  <c r="AP67" i="1"/>
  <c r="AP68" i="1"/>
  <c r="AP69" i="1"/>
  <c r="AP70" i="1"/>
  <c r="AP71" i="1"/>
  <c r="AP72" i="1"/>
  <c r="AP73" i="1"/>
  <c r="AP74" i="1"/>
  <c r="AP75" i="1"/>
  <c r="AP76" i="1"/>
  <c r="AP77" i="1"/>
  <c r="AP78" i="1"/>
  <c r="AP79" i="1"/>
  <c r="AP80" i="1"/>
  <c r="AP81" i="1"/>
  <c r="AP82" i="1"/>
  <c r="AP83" i="1"/>
  <c r="AP84" i="1"/>
  <c r="AP85" i="1"/>
  <c r="AP86" i="1"/>
  <c r="AP87" i="1"/>
  <c r="AP88" i="1"/>
  <c r="AP89" i="1"/>
  <c r="AP90" i="1"/>
  <c r="AP91" i="1"/>
  <c r="AP92" i="1"/>
  <c r="AP93" i="1"/>
  <c r="AP94" i="1"/>
  <c r="AP95" i="1"/>
  <c r="AP96" i="1"/>
  <c r="AP97" i="1"/>
  <c r="AP98" i="1"/>
  <c r="AP99" i="1"/>
  <c r="AP100" i="1"/>
  <c r="AP101" i="1"/>
  <c r="AP102" i="1"/>
  <c r="AP103" i="1"/>
  <c r="AP104" i="1"/>
  <c r="AP105" i="1"/>
  <c r="AP106" i="1"/>
  <c r="AP107" i="1"/>
  <c r="AP108" i="1"/>
  <c r="AP109" i="1"/>
  <c r="AP110" i="1"/>
  <c r="AP111" i="1"/>
  <c r="AP112" i="1"/>
  <c r="AP113" i="1"/>
  <c r="AP114" i="1"/>
  <c r="AP115" i="1"/>
  <c r="AP116" i="1"/>
  <c r="AP117" i="1"/>
  <c r="AP118" i="1"/>
  <c r="AP119" i="1"/>
  <c r="AP120" i="1"/>
  <c r="AP121" i="1"/>
  <c r="AP122" i="1"/>
  <c r="AP123" i="1"/>
  <c r="AP124" i="1"/>
  <c r="AP125" i="1"/>
  <c r="AP126" i="1"/>
  <c r="AP127" i="1"/>
  <c r="AP128" i="1"/>
  <c r="AP129" i="1"/>
  <c r="AP130" i="1"/>
  <c r="AP131" i="1"/>
  <c r="AP132" i="1"/>
  <c r="AP133" i="1"/>
  <c r="AP134" i="1"/>
  <c r="AP135" i="1"/>
  <c r="AP136" i="1"/>
  <c r="AP137" i="1"/>
  <c r="AP138" i="1"/>
  <c r="AP139" i="1"/>
  <c r="AP140" i="1"/>
  <c r="AP141" i="1"/>
  <c r="AP142" i="1"/>
  <c r="AP143" i="1"/>
  <c r="AP144" i="1"/>
  <c r="AP145" i="1"/>
  <c r="AP146" i="1"/>
  <c r="AP147" i="1"/>
  <c r="AP148" i="1"/>
  <c r="AP149" i="1"/>
  <c r="AP150" i="1"/>
  <c r="AP151" i="1"/>
  <c r="AP152" i="1"/>
  <c r="AP153" i="1"/>
  <c r="AP154" i="1"/>
  <c r="AP155" i="1"/>
  <c r="AP156" i="1"/>
  <c r="AP157" i="1"/>
  <c r="AP158" i="1"/>
  <c r="AP159" i="1"/>
  <c r="AP160" i="1"/>
  <c r="AP161" i="1"/>
  <c r="AP162" i="1"/>
  <c r="AP163" i="1"/>
  <c r="AP164" i="1"/>
  <c r="AP165" i="1"/>
  <c r="AP166" i="1"/>
  <c r="AP167" i="1"/>
  <c r="AP168" i="1"/>
  <c r="AP169" i="1"/>
  <c r="AP170" i="1"/>
  <c r="AP171" i="1"/>
  <c r="AP172" i="1"/>
  <c r="AP173" i="1"/>
  <c r="AP174" i="1"/>
  <c r="AP175" i="1"/>
  <c r="AP176" i="1"/>
  <c r="AP177" i="1"/>
  <c r="AP178" i="1"/>
  <c r="AP179" i="1"/>
  <c r="AP180" i="1"/>
  <c r="AP181" i="1"/>
  <c r="AP182" i="1"/>
  <c r="AP183" i="1"/>
  <c r="AP184" i="1"/>
  <c r="AP185" i="1"/>
  <c r="AP186" i="1"/>
  <c r="AP187" i="1"/>
  <c r="AP188" i="1"/>
  <c r="AP189" i="1"/>
  <c r="AP190" i="1"/>
  <c r="AP191" i="1"/>
  <c r="AP192" i="1"/>
  <c r="AP193" i="1"/>
  <c r="AP194" i="1"/>
  <c r="AP195" i="1"/>
  <c r="AP196" i="1"/>
  <c r="AP197" i="1"/>
  <c r="AP198" i="1"/>
  <c r="AP199" i="1"/>
  <c r="AP200" i="1"/>
  <c r="AP201" i="1"/>
  <c r="AP202" i="1"/>
  <c r="AP203" i="1"/>
  <c r="AP204" i="1"/>
  <c r="AP205" i="1"/>
  <c r="AP206" i="1"/>
  <c r="AP207" i="1"/>
  <c r="AP208" i="1"/>
  <c r="AP209" i="1"/>
  <c r="AP210" i="1"/>
  <c r="AP211" i="1"/>
  <c r="AP212" i="1"/>
  <c r="AP213" i="1"/>
  <c r="AP214" i="1"/>
  <c r="AP215" i="1"/>
  <c r="AP216" i="1"/>
  <c r="AP217" i="1"/>
  <c r="AP218" i="1"/>
  <c r="AP219" i="1"/>
  <c r="AP220" i="1"/>
  <c r="AP221" i="1"/>
  <c r="AP222" i="1"/>
  <c r="AP223" i="1"/>
  <c r="AP224" i="1"/>
  <c r="AP225" i="1"/>
  <c r="AP226" i="1"/>
  <c r="AP227" i="1"/>
  <c r="AP228" i="1"/>
  <c r="AP229" i="1"/>
  <c r="AP230" i="1"/>
  <c r="AP231" i="1"/>
  <c r="AP232" i="1"/>
  <c r="AP233" i="1"/>
  <c r="AP234" i="1"/>
  <c r="AP235" i="1"/>
  <c r="AP236" i="1"/>
  <c r="AP237" i="1"/>
  <c r="AP238" i="1"/>
  <c r="AP239" i="1"/>
  <c r="AP240" i="1"/>
  <c r="AP241" i="1"/>
  <c r="AP242" i="1"/>
  <c r="AP243" i="1"/>
  <c r="AP244" i="1"/>
  <c r="AP245" i="1"/>
  <c r="AP246" i="1"/>
  <c r="AP247" i="1"/>
  <c r="AP248" i="1"/>
  <c r="AP249" i="1"/>
  <c r="AP250" i="1"/>
  <c r="AP251" i="1"/>
  <c r="AP252" i="1"/>
  <c r="AP253" i="1"/>
  <c r="AP254" i="1"/>
  <c r="AP255" i="1"/>
  <c r="AP256" i="1"/>
  <c r="AP257" i="1"/>
  <c r="AP258" i="1"/>
  <c r="AP259" i="1"/>
  <c r="AP260" i="1"/>
  <c r="AP261" i="1"/>
  <c r="AP262" i="1"/>
  <c r="AP263" i="1"/>
  <c r="AP264" i="1"/>
  <c r="AP265" i="1"/>
  <c r="AP266" i="1"/>
  <c r="AP267" i="1"/>
  <c r="AP268" i="1"/>
  <c r="AP269" i="1"/>
  <c r="AP270" i="1"/>
  <c r="AP271" i="1"/>
  <c r="AP272" i="1"/>
  <c r="AP273" i="1"/>
  <c r="AP274" i="1"/>
  <c r="AP275" i="1"/>
  <c r="AP276" i="1"/>
  <c r="AP277" i="1"/>
  <c r="AP278" i="1"/>
  <c r="AP279" i="1"/>
  <c r="AP280" i="1"/>
  <c r="AP281" i="1"/>
  <c r="AP282" i="1"/>
  <c r="AP283" i="1"/>
  <c r="AP284" i="1"/>
  <c r="AP285" i="1"/>
  <c r="AP286" i="1"/>
  <c r="AP287" i="1"/>
  <c r="AP288" i="1"/>
  <c r="AP289" i="1"/>
  <c r="AP290" i="1"/>
  <c r="AP291" i="1"/>
  <c r="AP292" i="1"/>
  <c r="AP293" i="1"/>
  <c r="AP294" i="1"/>
  <c r="AP295" i="1"/>
  <c r="AP296" i="1"/>
  <c r="AP297" i="1"/>
  <c r="AP298" i="1"/>
  <c r="AP299" i="1"/>
  <c r="AP300" i="1"/>
  <c r="AP301" i="1"/>
  <c r="AP302" i="1"/>
  <c r="AP303" i="1"/>
  <c r="AP304" i="1"/>
  <c r="AP305" i="1"/>
  <c r="AP306" i="1"/>
  <c r="AP307" i="1"/>
  <c r="AP308" i="1"/>
  <c r="AP309" i="1"/>
  <c r="AP310" i="1"/>
  <c r="AP311" i="1"/>
  <c r="AP312" i="1"/>
  <c r="AP313" i="1"/>
  <c r="AP314" i="1"/>
  <c r="AP315" i="1"/>
  <c r="AP316" i="1"/>
  <c r="AP317" i="1"/>
  <c r="AP318" i="1"/>
  <c r="AP319" i="1"/>
  <c r="AP320" i="1"/>
  <c r="AP321" i="1"/>
  <c r="AP322" i="1"/>
  <c r="AP323" i="1"/>
  <c r="AP324" i="1"/>
  <c r="AP325" i="1"/>
  <c r="AP326" i="1"/>
  <c r="AP327" i="1"/>
  <c r="AP328" i="1"/>
  <c r="AP329" i="1"/>
  <c r="AP330" i="1"/>
  <c r="AP331" i="1"/>
  <c r="AP332" i="1"/>
  <c r="AP333" i="1"/>
  <c r="AP334" i="1"/>
  <c r="AP335" i="1"/>
  <c r="AP336" i="1"/>
  <c r="AP337" i="1"/>
  <c r="AP338" i="1"/>
  <c r="AP339" i="1"/>
  <c r="AP340" i="1"/>
  <c r="AP341" i="1"/>
  <c r="AP342" i="1"/>
  <c r="AP343" i="1"/>
  <c r="AP344" i="1"/>
  <c r="AP345" i="1"/>
  <c r="AP346" i="1"/>
  <c r="AP347" i="1"/>
  <c r="AP348" i="1"/>
  <c r="AP349" i="1"/>
  <c r="AP350" i="1"/>
  <c r="AP351" i="1"/>
  <c r="AP352" i="1"/>
  <c r="AP353" i="1"/>
  <c r="AP354" i="1"/>
  <c r="AP355" i="1"/>
  <c r="AP356" i="1"/>
  <c r="AP357" i="1"/>
  <c r="AP358" i="1"/>
  <c r="AP359" i="1"/>
  <c r="AP360" i="1"/>
  <c r="AP361" i="1"/>
  <c r="AP362" i="1"/>
  <c r="AP363" i="1"/>
  <c r="AP364" i="1"/>
  <c r="AP365" i="1"/>
  <c r="AP366" i="1"/>
  <c r="AP367" i="1"/>
  <c r="AP368" i="1"/>
  <c r="AP369" i="1"/>
  <c r="AP370" i="1"/>
  <c r="AP371" i="1"/>
  <c r="AP372" i="1"/>
  <c r="AP373" i="1"/>
  <c r="AP374" i="1"/>
  <c r="AP375" i="1"/>
  <c r="AP376" i="1"/>
  <c r="AP377" i="1"/>
  <c r="AP378" i="1"/>
  <c r="AP379" i="1"/>
  <c r="AP380" i="1"/>
  <c r="AP381" i="1"/>
  <c r="AP382" i="1"/>
  <c r="AP383" i="1"/>
  <c r="AP384" i="1"/>
  <c r="AP385" i="1"/>
  <c r="AP386" i="1"/>
  <c r="AP387" i="1"/>
  <c r="AP388" i="1"/>
  <c r="AP389" i="1"/>
  <c r="AP390" i="1"/>
  <c r="AP391" i="1"/>
  <c r="AP392" i="1"/>
  <c r="AP393" i="1"/>
  <c r="AP394" i="1"/>
  <c r="AP395" i="1"/>
  <c r="AP396" i="1"/>
  <c r="AP397" i="1"/>
  <c r="AP398" i="1"/>
  <c r="AP399" i="1"/>
  <c r="AP400" i="1"/>
  <c r="AP401" i="1"/>
  <c r="AP402" i="1"/>
  <c r="AP403" i="1"/>
  <c r="AP404" i="1"/>
  <c r="AP405" i="1"/>
  <c r="AP406" i="1"/>
  <c r="AP407" i="1"/>
  <c r="AP408" i="1"/>
  <c r="AP409" i="1"/>
  <c r="AP410" i="1"/>
  <c r="AP411" i="1"/>
  <c r="AP412" i="1"/>
  <c r="AP413" i="1"/>
  <c r="AP414" i="1"/>
  <c r="AP415" i="1"/>
  <c r="AP416" i="1"/>
  <c r="AP417" i="1"/>
  <c r="AP418" i="1"/>
  <c r="AP419" i="1"/>
  <c r="AP420" i="1"/>
  <c r="AP421" i="1"/>
  <c r="AP422" i="1"/>
  <c r="AP423" i="1"/>
  <c r="AP424" i="1"/>
  <c r="AP425" i="1"/>
  <c r="AP426" i="1"/>
  <c r="AP427" i="1"/>
  <c r="AP428" i="1"/>
  <c r="AP429" i="1"/>
  <c r="AP430" i="1"/>
  <c r="AP431" i="1"/>
  <c r="AP432" i="1"/>
  <c r="AP433" i="1"/>
  <c r="AP434" i="1"/>
  <c r="AP435" i="1"/>
  <c r="AP436" i="1"/>
  <c r="AP437" i="1"/>
  <c r="AP438" i="1"/>
  <c r="AP439" i="1"/>
  <c r="AP440" i="1"/>
  <c r="AP441" i="1"/>
  <c r="AP442" i="1"/>
  <c r="AP443" i="1"/>
  <c r="AP444" i="1"/>
  <c r="AP445" i="1"/>
  <c r="AP446" i="1"/>
  <c r="AP447" i="1"/>
  <c r="AP448" i="1"/>
  <c r="AP449" i="1"/>
  <c r="AP450" i="1"/>
  <c r="AP451" i="1"/>
  <c r="AP452" i="1"/>
  <c r="AP453" i="1"/>
  <c r="AP454" i="1"/>
  <c r="AP455" i="1"/>
  <c r="AP456" i="1"/>
  <c r="AP457" i="1"/>
  <c r="AP458" i="1"/>
  <c r="AP459" i="1"/>
  <c r="AP460" i="1"/>
  <c r="AP461" i="1"/>
  <c r="AP462" i="1"/>
  <c r="AP463" i="1"/>
  <c r="AP464" i="1"/>
  <c r="AP465" i="1"/>
  <c r="AP466" i="1"/>
  <c r="AP467" i="1"/>
  <c r="AP468" i="1"/>
  <c r="AP469" i="1"/>
  <c r="AP470" i="1"/>
  <c r="AP471" i="1"/>
  <c r="AP472" i="1"/>
  <c r="AP473" i="1"/>
  <c r="AP474" i="1"/>
  <c r="AP475" i="1"/>
  <c r="AP476" i="1"/>
  <c r="AP477" i="1"/>
  <c r="AP478" i="1"/>
  <c r="AP479" i="1"/>
  <c r="AP480" i="1"/>
  <c r="AP481" i="1"/>
  <c r="AP482" i="1"/>
  <c r="AP483" i="1"/>
  <c r="AP484" i="1"/>
  <c r="AP485" i="1"/>
  <c r="AP486" i="1"/>
  <c r="AP487" i="1"/>
  <c r="AP488" i="1"/>
  <c r="AP489" i="1"/>
  <c r="AP490" i="1"/>
  <c r="AP491" i="1"/>
  <c r="AP492" i="1"/>
  <c r="AP493" i="1"/>
  <c r="AP494" i="1"/>
  <c r="AP495" i="1"/>
  <c r="AP496" i="1"/>
  <c r="AP497" i="1"/>
  <c r="AP498" i="1"/>
  <c r="AP499" i="1"/>
  <c r="AP500" i="1"/>
  <c r="AP501" i="1"/>
  <c r="AP502" i="1"/>
  <c r="AP503" i="1"/>
  <c r="AP504" i="1"/>
  <c r="AP505" i="1"/>
  <c r="AP506" i="1"/>
  <c r="AP507" i="1"/>
  <c r="AP508" i="1"/>
  <c r="AP509" i="1"/>
  <c r="AP510" i="1"/>
  <c r="AP511" i="1"/>
  <c r="AP512" i="1"/>
  <c r="AP513" i="1"/>
  <c r="AP514" i="1"/>
  <c r="AP515" i="1"/>
  <c r="AP516" i="1"/>
  <c r="AP517" i="1"/>
  <c r="AP518" i="1"/>
  <c r="AP519" i="1"/>
  <c r="AP520" i="1"/>
  <c r="AP521" i="1"/>
  <c r="AP522" i="1"/>
  <c r="AP523" i="1"/>
  <c r="AP524" i="1"/>
  <c r="AP525" i="1"/>
  <c r="AP526" i="1"/>
  <c r="AP527" i="1"/>
  <c r="AP528" i="1"/>
  <c r="AP529" i="1"/>
  <c r="AP530" i="1"/>
  <c r="AP531" i="1"/>
  <c r="AP532" i="1"/>
  <c r="AP533" i="1"/>
  <c r="AP534" i="1"/>
  <c r="AP535" i="1"/>
  <c r="AP536" i="1"/>
  <c r="AP537" i="1"/>
  <c r="AP538" i="1"/>
  <c r="AP539" i="1"/>
  <c r="AP540" i="1"/>
  <c r="AP541" i="1"/>
  <c r="AP542" i="1"/>
  <c r="AP543" i="1"/>
  <c r="AP544" i="1"/>
  <c r="AP545" i="1"/>
  <c r="AP546" i="1"/>
  <c r="AP547" i="1"/>
  <c r="AP548" i="1"/>
  <c r="AP549" i="1"/>
  <c r="AP550" i="1"/>
  <c r="AP551" i="1"/>
  <c r="AP552" i="1"/>
  <c r="AP553" i="1"/>
  <c r="AP554" i="1"/>
  <c r="AP555" i="1"/>
  <c r="AP556" i="1"/>
  <c r="AP557" i="1"/>
  <c r="AP558" i="1"/>
  <c r="AP559" i="1"/>
  <c r="AP560" i="1"/>
  <c r="AP561" i="1"/>
  <c r="AP562" i="1"/>
  <c r="AP563" i="1"/>
  <c r="AP564" i="1"/>
  <c r="AP565" i="1"/>
  <c r="AP566" i="1"/>
  <c r="AP567" i="1"/>
  <c r="AP568" i="1"/>
  <c r="AP569" i="1"/>
  <c r="AP570" i="1"/>
  <c r="AP571" i="1"/>
  <c r="AP572" i="1"/>
  <c r="AP573" i="1"/>
  <c r="AP574" i="1"/>
  <c r="AP575" i="1"/>
  <c r="AP576" i="1"/>
  <c r="AP577" i="1"/>
  <c r="AP578" i="1"/>
  <c r="AP579" i="1"/>
  <c r="AP580" i="1"/>
  <c r="AP581" i="1"/>
  <c r="AP582" i="1"/>
  <c r="AP583" i="1"/>
  <c r="AP584" i="1"/>
  <c r="AP585" i="1"/>
  <c r="AP586" i="1"/>
  <c r="AP587" i="1"/>
  <c r="AP588" i="1"/>
  <c r="AP589" i="1"/>
  <c r="AP590" i="1"/>
  <c r="AP591" i="1"/>
  <c r="AP592" i="1"/>
  <c r="AP593" i="1"/>
  <c r="AP594" i="1"/>
  <c r="AP595" i="1"/>
  <c r="AP596" i="1"/>
  <c r="AP597" i="1"/>
  <c r="AP598" i="1"/>
  <c r="AP599" i="1"/>
  <c r="AP600" i="1"/>
  <c r="AP601" i="1"/>
  <c r="AP602" i="1"/>
  <c r="AP603" i="1"/>
  <c r="AP604" i="1"/>
  <c r="AP605" i="1"/>
  <c r="AP606" i="1"/>
  <c r="AP607" i="1"/>
  <c r="AP608" i="1"/>
  <c r="AP609" i="1"/>
  <c r="AP610" i="1"/>
  <c r="AP611" i="1"/>
  <c r="AP612" i="1"/>
  <c r="AP613" i="1"/>
  <c r="AP614" i="1"/>
  <c r="AP615" i="1"/>
  <c r="AP616" i="1"/>
  <c r="AP617" i="1"/>
  <c r="AP618" i="1"/>
  <c r="AP619" i="1"/>
  <c r="AP620" i="1"/>
  <c r="AP621" i="1"/>
  <c r="AP622" i="1"/>
  <c r="AP623" i="1"/>
  <c r="AP624" i="1"/>
  <c r="AP625" i="1"/>
  <c r="AP626" i="1"/>
  <c r="AP627" i="1"/>
  <c r="AP628" i="1"/>
  <c r="AP629" i="1"/>
  <c r="AP630" i="1"/>
  <c r="AP631" i="1"/>
  <c r="AP632" i="1"/>
  <c r="AP633" i="1"/>
  <c r="AP634" i="1"/>
  <c r="AP635" i="1"/>
  <c r="AP636" i="1"/>
  <c r="AP637" i="1"/>
  <c r="AP638" i="1"/>
  <c r="AP639" i="1"/>
  <c r="AP640" i="1"/>
  <c r="AP641" i="1"/>
  <c r="AP642" i="1"/>
  <c r="AP643" i="1"/>
  <c r="AP644" i="1"/>
  <c r="AP645" i="1"/>
  <c r="AP646" i="1"/>
  <c r="AP647" i="1"/>
  <c r="AP648" i="1"/>
  <c r="AP649" i="1"/>
  <c r="AP650" i="1"/>
  <c r="AP651" i="1"/>
  <c r="AP652" i="1"/>
  <c r="AP653" i="1"/>
  <c r="AP654" i="1"/>
  <c r="AP655" i="1"/>
  <c r="AP656" i="1"/>
  <c r="AP657" i="1"/>
  <c r="AP658" i="1"/>
  <c r="AP659" i="1"/>
  <c r="AP660" i="1"/>
  <c r="AP661" i="1"/>
  <c r="AP662" i="1"/>
  <c r="AP663" i="1"/>
  <c r="AP664" i="1"/>
  <c r="AP665" i="1"/>
  <c r="AP666" i="1"/>
  <c r="AP667" i="1"/>
  <c r="AP668" i="1"/>
  <c r="AP669" i="1"/>
  <c r="AP670" i="1"/>
  <c r="AP671" i="1"/>
  <c r="AP672" i="1"/>
  <c r="AP673" i="1"/>
  <c r="AP674" i="1"/>
  <c r="AP675" i="1"/>
  <c r="AP676" i="1"/>
  <c r="AP677" i="1"/>
  <c r="AP678" i="1"/>
  <c r="AP679" i="1"/>
  <c r="AP680" i="1"/>
  <c r="AP681" i="1"/>
  <c r="AP682" i="1"/>
  <c r="AP683" i="1"/>
  <c r="AP684" i="1"/>
  <c r="AP685" i="1"/>
  <c r="AP686" i="1"/>
  <c r="AP687" i="1"/>
  <c r="AP688" i="1"/>
  <c r="AP689" i="1"/>
  <c r="AP690" i="1"/>
  <c r="AP691" i="1"/>
  <c r="AP692" i="1"/>
  <c r="AP693" i="1"/>
  <c r="AP694" i="1"/>
  <c r="AP695" i="1"/>
  <c r="AP696" i="1"/>
  <c r="AP697" i="1"/>
  <c r="AP698" i="1"/>
  <c r="AP699" i="1"/>
  <c r="AP700" i="1"/>
  <c r="AP701" i="1"/>
  <c r="AP702" i="1"/>
  <c r="AP703" i="1"/>
  <c r="AP704" i="1"/>
  <c r="AP705" i="1"/>
  <c r="AP706" i="1"/>
  <c r="AP707" i="1"/>
  <c r="AP708" i="1"/>
  <c r="AP709" i="1"/>
  <c r="AP710" i="1"/>
  <c r="AP711" i="1"/>
  <c r="AP712" i="1"/>
  <c r="AP713" i="1"/>
  <c r="AP714" i="1"/>
  <c r="AP715" i="1"/>
  <c r="AP716" i="1"/>
  <c r="AP717" i="1"/>
  <c r="AP718" i="1"/>
  <c r="AP719" i="1"/>
  <c r="AP720" i="1"/>
  <c r="AP721" i="1"/>
  <c r="AP722" i="1"/>
  <c r="AP723" i="1"/>
  <c r="AP724" i="1"/>
  <c r="AP725" i="1"/>
  <c r="AP726" i="1"/>
  <c r="AP727" i="1"/>
  <c r="AP728" i="1"/>
  <c r="AP729" i="1"/>
  <c r="AP730" i="1"/>
  <c r="AP731" i="1"/>
  <c r="AP732" i="1"/>
  <c r="AP733" i="1"/>
  <c r="AP734" i="1"/>
  <c r="AP735" i="1"/>
  <c r="AP736" i="1"/>
  <c r="AP737" i="1"/>
  <c r="AP738" i="1"/>
  <c r="AP739" i="1"/>
  <c r="AP740" i="1"/>
  <c r="AP741" i="1"/>
  <c r="AP742" i="1"/>
  <c r="AP743" i="1"/>
  <c r="AP744" i="1"/>
  <c r="AP745" i="1"/>
  <c r="AP746" i="1"/>
  <c r="AP747" i="1"/>
  <c r="AP748" i="1"/>
  <c r="AP749" i="1"/>
  <c r="AP750" i="1"/>
  <c r="AP751" i="1"/>
  <c r="AP752" i="1"/>
  <c r="AP753" i="1"/>
  <c r="AP754" i="1"/>
  <c r="AP755" i="1"/>
  <c r="AP756" i="1"/>
  <c r="AP757" i="1"/>
  <c r="AP758" i="1"/>
  <c r="AP759" i="1"/>
  <c r="AP760" i="1"/>
  <c r="AP761" i="1"/>
  <c r="AP762" i="1"/>
  <c r="AP763" i="1"/>
  <c r="AP764" i="1"/>
  <c r="AP765" i="1"/>
  <c r="AP766" i="1"/>
  <c r="AP767" i="1"/>
  <c r="AP768" i="1"/>
  <c r="AP769" i="1"/>
  <c r="AP770" i="1"/>
  <c r="AP771" i="1"/>
  <c r="AP772" i="1"/>
  <c r="AP773" i="1"/>
  <c r="AP774" i="1"/>
  <c r="AP775" i="1"/>
  <c r="AP776" i="1"/>
  <c r="AP777" i="1"/>
  <c r="AP778" i="1"/>
  <c r="AP779" i="1"/>
  <c r="AP780" i="1"/>
  <c r="AP781" i="1"/>
  <c r="AP782" i="1"/>
  <c r="AP783" i="1"/>
  <c r="AP784" i="1"/>
  <c r="AP785" i="1"/>
  <c r="AP786" i="1"/>
  <c r="AP787" i="1"/>
  <c r="AP788" i="1"/>
  <c r="AP789" i="1"/>
  <c r="AP790" i="1"/>
  <c r="AP791" i="1"/>
  <c r="AP792" i="1"/>
  <c r="AP793" i="1"/>
  <c r="AP794" i="1"/>
  <c r="AP795" i="1"/>
  <c r="AP796" i="1"/>
  <c r="AP797" i="1"/>
  <c r="AP798" i="1"/>
  <c r="AP799" i="1"/>
  <c r="AP800" i="1"/>
  <c r="AP801" i="1"/>
  <c r="AP802" i="1"/>
  <c r="AP803" i="1"/>
  <c r="AP804" i="1"/>
  <c r="AP805" i="1"/>
  <c r="AP806" i="1"/>
  <c r="AP807" i="1"/>
  <c r="AP808" i="1"/>
  <c r="AP809" i="1"/>
  <c r="AP810" i="1"/>
  <c r="AP811" i="1"/>
  <c r="AP812" i="1"/>
  <c r="AP813" i="1"/>
  <c r="AP814" i="1"/>
  <c r="AP815" i="1"/>
  <c r="AP816" i="1"/>
  <c r="AP817" i="1"/>
  <c r="AP818" i="1"/>
  <c r="AP819" i="1"/>
  <c r="AP820" i="1"/>
  <c r="AP821" i="1"/>
  <c r="AP822" i="1"/>
  <c r="AP823" i="1"/>
  <c r="AP824" i="1"/>
  <c r="AP825" i="1"/>
  <c r="AP826" i="1"/>
  <c r="AP827" i="1"/>
  <c r="AP828" i="1"/>
  <c r="AP829" i="1"/>
  <c r="AP830" i="1"/>
  <c r="AP831" i="1"/>
  <c r="AP832" i="1"/>
  <c r="AP833" i="1"/>
  <c r="AP834" i="1"/>
  <c r="AP835" i="1"/>
  <c r="AP836" i="1"/>
  <c r="AP837" i="1"/>
  <c r="AP838" i="1"/>
  <c r="AP839" i="1"/>
  <c r="AP840" i="1"/>
  <c r="AP841" i="1"/>
  <c r="AP842" i="1"/>
  <c r="AP843" i="1"/>
  <c r="AP844" i="1"/>
  <c r="AP845" i="1"/>
  <c r="AP846" i="1"/>
  <c r="AP847" i="1"/>
  <c r="AP848" i="1"/>
  <c r="AP849" i="1"/>
  <c r="AP850" i="1"/>
  <c r="AP851" i="1"/>
  <c r="AP852" i="1"/>
  <c r="AP853" i="1"/>
  <c r="AP854" i="1"/>
  <c r="AP855" i="1"/>
  <c r="AP856" i="1"/>
  <c r="AP857" i="1"/>
  <c r="AP858" i="1"/>
  <c r="AP859" i="1"/>
  <c r="AP860" i="1"/>
  <c r="AP861" i="1"/>
  <c r="AP862" i="1"/>
  <c r="AP863" i="1"/>
  <c r="AP864" i="1"/>
  <c r="AP865" i="1"/>
  <c r="AP866" i="1"/>
  <c r="AP867" i="1"/>
  <c r="AP868" i="1"/>
  <c r="AP869" i="1"/>
  <c r="AP870" i="1"/>
  <c r="AP871" i="1"/>
  <c r="AP872" i="1"/>
  <c r="AP873" i="1"/>
  <c r="AP874" i="1"/>
  <c r="AP875" i="1"/>
  <c r="AP876" i="1"/>
  <c r="AP877" i="1"/>
  <c r="AP878" i="1"/>
  <c r="AP879" i="1"/>
  <c r="AP880" i="1"/>
  <c r="AP881" i="1"/>
  <c r="AP882" i="1"/>
  <c r="AP883" i="1"/>
  <c r="AP884" i="1"/>
  <c r="AP885" i="1"/>
  <c r="AP886" i="1"/>
  <c r="AP887" i="1"/>
  <c r="AP888" i="1"/>
  <c r="AP889" i="1"/>
  <c r="AP890" i="1"/>
  <c r="AP891" i="1"/>
  <c r="AP892" i="1"/>
  <c r="AP893" i="1"/>
  <c r="AP894" i="1"/>
  <c r="AP895" i="1"/>
  <c r="AP896" i="1"/>
  <c r="AP897" i="1"/>
  <c r="AP898" i="1"/>
  <c r="AP899" i="1"/>
  <c r="AP900" i="1"/>
  <c r="AP901" i="1"/>
  <c r="AP902" i="1"/>
  <c r="AP903" i="1"/>
  <c r="AP904" i="1"/>
  <c r="AP905" i="1"/>
  <c r="AP906" i="1"/>
  <c r="AP907" i="1"/>
  <c r="AP908" i="1"/>
  <c r="AP909" i="1"/>
  <c r="AP910" i="1"/>
  <c r="AP911" i="1"/>
  <c r="AP912" i="1"/>
  <c r="AP913" i="1"/>
  <c r="AP914" i="1"/>
  <c r="AP915" i="1"/>
  <c r="AP916" i="1"/>
  <c r="AP917" i="1"/>
  <c r="AP918" i="1"/>
  <c r="AP919" i="1"/>
  <c r="AP920" i="1"/>
  <c r="AP921" i="1"/>
  <c r="AP922" i="1"/>
  <c r="AP923" i="1"/>
  <c r="AP924" i="1"/>
  <c r="AP925" i="1"/>
  <c r="AP926" i="1"/>
  <c r="AP927" i="1"/>
  <c r="AP928" i="1"/>
  <c r="AP929" i="1"/>
  <c r="AP930" i="1"/>
  <c r="AP931" i="1"/>
  <c r="AP932" i="1"/>
  <c r="AP933" i="1"/>
  <c r="AP934" i="1"/>
  <c r="AP935" i="1"/>
  <c r="AP936" i="1"/>
  <c r="AP937" i="1"/>
  <c r="AP938" i="1"/>
  <c r="AP939" i="1"/>
  <c r="AP940" i="1"/>
  <c r="AP941" i="1"/>
  <c r="AP942" i="1"/>
  <c r="AP943" i="1"/>
  <c r="AP944" i="1"/>
  <c r="AP945" i="1"/>
  <c r="AP946" i="1"/>
  <c r="AP947" i="1"/>
  <c r="AP948" i="1"/>
  <c r="AP949" i="1"/>
  <c r="AP950" i="1"/>
  <c r="AP951" i="1"/>
  <c r="AP952" i="1"/>
  <c r="AP953" i="1"/>
  <c r="AP954" i="1"/>
  <c r="AP955" i="1"/>
  <c r="AP956" i="1"/>
  <c r="AP957" i="1"/>
  <c r="AP958" i="1"/>
  <c r="AP959" i="1"/>
  <c r="AP960" i="1"/>
  <c r="AP961" i="1"/>
  <c r="AP962" i="1"/>
  <c r="AP963" i="1"/>
  <c r="AP964" i="1"/>
  <c r="AP965" i="1"/>
  <c r="AP966" i="1"/>
  <c r="AP967" i="1"/>
  <c r="AP968" i="1"/>
  <c r="AP969" i="1"/>
  <c r="AP970" i="1"/>
  <c r="AP971" i="1"/>
  <c r="AP972" i="1"/>
  <c r="AP973" i="1"/>
  <c r="AP974" i="1"/>
  <c r="AP975" i="1"/>
  <c r="AP976" i="1"/>
  <c r="AP977" i="1"/>
  <c r="AP978" i="1"/>
  <c r="AP979" i="1"/>
  <c r="AP980" i="1"/>
  <c r="AP981" i="1"/>
  <c r="AP982" i="1"/>
  <c r="AP983" i="1"/>
  <c r="AP984" i="1"/>
  <c r="AP985" i="1"/>
  <c r="AP986" i="1"/>
  <c r="AP987" i="1"/>
  <c r="AP988" i="1"/>
  <c r="AP989" i="1"/>
  <c r="AP990" i="1"/>
  <c r="AP991" i="1"/>
  <c r="AP992" i="1"/>
  <c r="AP993" i="1"/>
  <c r="AP994" i="1"/>
  <c r="AP995" i="1"/>
  <c r="AP996" i="1"/>
  <c r="AP997" i="1"/>
  <c r="AP998" i="1"/>
  <c r="AP999" i="1"/>
  <c r="AP1000" i="1"/>
  <c r="AP1001" i="1"/>
  <c r="AP1002" i="1"/>
  <c r="AP1003" i="1"/>
  <c r="AP1004" i="1"/>
  <c r="AP1005" i="1"/>
  <c r="AP1006" i="1"/>
  <c r="AP1007" i="1"/>
  <c r="AP1008" i="1"/>
  <c r="AP1009" i="1"/>
  <c r="AP1010" i="1"/>
  <c r="AP1011" i="1"/>
  <c r="AP1012" i="1"/>
  <c r="AP1013" i="1"/>
  <c r="AP1014" i="1"/>
  <c r="AP1015" i="1"/>
  <c r="AP1016" i="1"/>
  <c r="AP1017" i="1"/>
  <c r="AP1018" i="1"/>
  <c r="AP1019" i="1"/>
  <c r="AP1020" i="1"/>
  <c r="AP1021" i="1"/>
  <c r="AP1022" i="1"/>
  <c r="AP1023" i="1"/>
  <c r="AP1024" i="1"/>
  <c r="AP1025" i="1"/>
  <c r="AP1026" i="1"/>
  <c r="AP1027" i="1"/>
  <c r="AP1028" i="1"/>
  <c r="AP1029" i="1"/>
  <c r="AP1030" i="1"/>
  <c r="AP1031" i="1"/>
  <c r="AP1032" i="1"/>
  <c r="AP1033" i="1"/>
  <c r="AP1034" i="1"/>
  <c r="AP1035" i="1"/>
  <c r="AP1036" i="1"/>
  <c r="AP1037" i="1"/>
  <c r="AP1038" i="1"/>
  <c r="AP1039" i="1"/>
  <c r="AP1040" i="1"/>
  <c r="AP1041" i="1"/>
  <c r="AP1042" i="1"/>
  <c r="AP1043" i="1"/>
  <c r="AP1044" i="1"/>
  <c r="AP1045" i="1"/>
  <c r="AP1046" i="1"/>
  <c r="AP1047" i="1"/>
  <c r="AP1048" i="1"/>
  <c r="AP1049" i="1"/>
  <c r="AP1050" i="1"/>
  <c r="AP1051" i="1"/>
  <c r="AP1052" i="1"/>
  <c r="AP1053" i="1"/>
  <c r="AP1054" i="1"/>
  <c r="AP1055" i="1"/>
  <c r="AP1056" i="1"/>
  <c r="AP1057" i="1"/>
  <c r="AP1058" i="1"/>
  <c r="AP1059" i="1"/>
  <c r="AP1060" i="1"/>
  <c r="AP1061" i="1"/>
  <c r="AP1062" i="1"/>
  <c r="AP1063" i="1"/>
  <c r="AP1064" i="1"/>
  <c r="AP1065" i="1"/>
  <c r="AP1066" i="1"/>
  <c r="AP1067" i="1"/>
  <c r="AP1068" i="1"/>
  <c r="AP1069" i="1"/>
  <c r="AP1070" i="1"/>
  <c r="AP1071" i="1"/>
  <c r="AP1072" i="1"/>
  <c r="AP1073" i="1"/>
  <c r="AP1074" i="1"/>
  <c r="AP1075" i="1"/>
  <c r="AP1076" i="1"/>
  <c r="AP1077" i="1"/>
  <c r="AP1078" i="1"/>
  <c r="AP1079" i="1"/>
  <c r="AP1080" i="1"/>
  <c r="AP1081" i="1"/>
  <c r="AP1082" i="1"/>
  <c r="AP1083" i="1"/>
  <c r="AP1084" i="1"/>
  <c r="AP1085" i="1"/>
  <c r="AP1086" i="1"/>
  <c r="AP1087" i="1"/>
  <c r="AP1088" i="1"/>
  <c r="AP1089" i="1"/>
  <c r="AP1090" i="1"/>
  <c r="AP1091" i="1"/>
  <c r="AP1092" i="1"/>
  <c r="AP1093" i="1"/>
  <c r="AP1094" i="1"/>
  <c r="AP1095" i="1"/>
  <c r="AP1096" i="1"/>
  <c r="AP1097" i="1"/>
  <c r="AP1098" i="1"/>
  <c r="AP1099" i="1"/>
  <c r="AP1100" i="1"/>
  <c r="AP1101" i="1"/>
  <c r="AP1102" i="1"/>
  <c r="AP1103" i="1"/>
  <c r="AP1104" i="1"/>
  <c r="AP1105" i="1"/>
  <c r="AP1106" i="1"/>
  <c r="AP1107" i="1"/>
  <c r="AP1108" i="1"/>
  <c r="AP1109" i="1"/>
  <c r="AP1110" i="1"/>
  <c r="AP1111" i="1"/>
  <c r="AP1112" i="1"/>
  <c r="AP1113" i="1"/>
  <c r="AP1114" i="1"/>
  <c r="AP1115" i="1"/>
  <c r="AP1116" i="1"/>
  <c r="AP1117" i="1"/>
  <c r="AP1118" i="1"/>
  <c r="AP1119" i="1"/>
  <c r="AP1120" i="1"/>
  <c r="AP1121" i="1"/>
  <c r="AP1122" i="1"/>
  <c r="AP1123" i="1"/>
  <c r="AP1124" i="1"/>
  <c r="AP1125" i="1"/>
  <c r="AP1126" i="1"/>
  <c r="AP1127" i="1"/>
  <c r="AP1128" i="1"/>
  <c r="AP1129" i="1"/>
  <c r="AP1130" i="1"/>
  <c r="AP1131" i="1"/>
  <c r="AP1132" i="1"/>
  <c r="AP1133" i="1"/>
  <c r="AP1134" i="1"/>
  <c r="AP1135" i="1"/>
  <c r="AP1136" i="1"/>
  <c r="AP1137" i="1"/>
  <c r="AP1138" i="1"/>
  <c r="AP1139" i="1"/>
  <c r="AP1140" i="1"/>
  <c r="AP1141" i="1"/>
  <c r="AP1142" i="1"/>
  <c r="AP1143" i="1"/>
  <c r="AP1144" i="1"/>
  <c r="AP1145" i="1"/>
  <c r="AP1146" i="1"/>
  <c r="AP1147" i="1"/>
  <c r="AP1148" i="1"/>
  <c r="AP1149" i="1"/>
  <c r="AP1150" i="1"/>
  <c r="AP1151" i="1"/>
  <c r="AP1152" i="1"/>
  <c r="AP1153" i="1"/>
  <c r="AP1154" i="1"/>
  <c r="AP1155" i="1"/>
  <c r="AP1156" i="1"/>
  <c r="AP1157" i="1"/>
  <c r="AP1158" i="1"/>
  <c r="AP1159" i="1"/>
  <c r="AP1160" i="1"/>
  <c r="AP1161" i="1"/>
  <c r="AP1162" i="1"/>
  <c r="AP1163" i="1"/>
  <c r="AP1164" i="1"/>
  <c r="AP1165" i="1"/>
  <c r="AP1166" i="1"/>
  <c r="AP1167" i="1"/>
  <c r="AP1168" i="1"/>
  <c r="AP1169" i="1"/>
  <c r="AP1170" i="1"/>
  <c r="AP1171" i="1"/>
  <c r="AP1172" i="1"/>
  <c r="AP1173" i="1"/>
  <c r="AP1174" i="1"/>
  <c r="AP1175" i="1"/>
  <c r="AP1176" i="1"/>
  <c r="AP1177" i="1"/>
  <c r="AP1178" i="1"/>
  <c r="AP1179" i="1"/>
  <c r="AP1180" i="1"/>
  <c r="AP1181" i="1"/>
  <c r="AP1182" i="1"/>
  <c r="AP1183" i="1"/>
  <c r="AP1184" i="1"/>
  <c r="AP1185" i="1"/>
  <c r="AP1186" i="1"/>
  <c r="AP1187" i="1"/>
  <c r="AP1188" i="1"/>
  <c r="AP1189" i="1"/>
  <c r="AP1190" i="1"/>
  <c r="AP1191" i="1"/>
  <c r="AP1192" i="1"/>
  <c r="AP1193" i="1"/>
  <c r="AP1194" i="1"/>
  <c r="AP1195" i="1"/>
  <c r="AP1196" i="1"/>
  <c r="AP1197" i="1"/>
  <c r="AP1198" i="1"/>
  <c r="AP1199" i="1"/>
  <c r="AP1200" i="1"/>
  <c r="AP1201" i="1"/>
  <c r="AP1202" i="1"/>
  <c r="AP1203" i="1"/>
  <c r="AP1204" i="1"/>
  <c r="AP1205" i="1"/>
  <c r="AP1206" i="1"/>
  <c r="AP1207" i="1"/>
  <c r="AP1208" i="1"/>
  <c r="AP1209" i="1"/>
  <c r="AP1210" i="1"/>
  <c r="AP1211" i="1"/>
  <c r="AP1212" i="1"/>
  <c r="AP1213" i="1"/>
  <c r="AP1214" i="1"/>
  <c r="AP1215" i="1"/>
  <c r="AP1216" i="1"/>
  <c r="AP1217" i="1"/>
  <c r="AP1218" i="1"/>
  <c r="AP1219" i="1"/>
  <c r="AP1220" i="1"/>
  <c r="AP1221" i="1"/>
  <c r="AP1222" i="1"/>
  <c r="AP1223" i="1"/>
  <c r="AP1224" i="1"/>
  <c r="AP1225" i="1"/>
  <c r="AP1226" i="1"/>
  <c r="AP1227" i="1"/>
  <c r="AP1228" i="1"/>
  <c r="AP1229" i="1"/>
  <c r="AP1230" i="1"/>
  <c r="AP1231" i="1"/>
  <c r="AP1232" i="1"/>
  <c r="AP1233" i="1"/>
  <c r="AP1234" i="1"/>
  <c r="AP1235" i="1"/>
  <c r="AP1236" i="1"/>
  <c r="AP1237" i="1"/>
  <c r="AP1238" i="1"/>
  <c r="AP1239" i="1"/>
  <c r="AP1240" i="1"/>
  <c r="AP1241" i="1"/>
  <c r="AP1242" i="1"/>
  <c r="AP1243" i="1"/>
  <c r="AP1244" i="1"/>
  <c r="AP1245" i="1"/>
  <c r="AP1246" i="1"/>
  <c r="AP1247" i="1"/>
  <c r="AP1248" i="1"/>
  <c r="AP1249" i="1"/>
  <c r="AP1250" i="1"/>
  <c r="AP1251" i="1"/>
  <c r="AP1252" i="1"/>
  <c r="AP1253" i="1"/>
  <c r="AP1254" i="1"/>
  <c r="AP1255" i="1"/>
  <c r="AP1256" i="1"/>
  <c r="AP1257" i="1"/>
  <c r="AP1258" i="1"/>
  <c r="AP1259" i="1"/>
  <c r="AP1260" i="1"/>
  <c r="AP1261" i="1"/>
  <c r="AP1262" i="1"/>
  <c r="AP1263" i="1"/>
  <c r="AP1264" i="1"/>
  <c r="AP1265" i="1"/>
  <c r="AP1266" i="1"/>
  <c r="AP1267" i="1"/>
  <c r="AP1268" i="1"/>
  <c r="AP1269" i="1"/>
  <c r="AP1270" i="1"/>
  <c r="AP1271" i="1"/>
  <c r="AP1272" i="1"/>
  <c r="AP1273" i="1"/>
  <c r="AP1274" i="1"/>
  <c r="AP1275" i="1"/>
  <c r="AP1276" i="1"/>
  <c r="AP1277" i="1"/>
  <c r="AP1278" i="1"/>
  <c r="AP1279" i="1"/>
  <c r="AP1280" i="1"/>
  <c r="AP1281" i="1"/>
  <c r="AP1282" i="1"/>
  <c r="AP1283" i="1"/>
  <c r="AP1284" i="1"/>
  <c r="AP1285" i="1"/>
  <c r="AP1286" i="1"/>
  <c r="AP1287" i="1"/>
  <c r="AP1288" i="1"/>
  <c r="AP1289" i="1"/>
  <c r="AP1290" i="1"/>
  <c r="AP1291" i="1"/>
  <c r="AP1292" i="1"/>
  <c r="AP1293" i="1"/>
  <c r="AP1294" i="1"/>
  <c r="AP1295" i="1"/>
  <c r="AP1296" i="1"/>
  <c r="AP1297" i="1"/>
  <c r="AP1298" i="1"/>
  <c r="AP1299" i="1"/>
  <c r="AP1300" i="1"/>
  <c r="AP1301" i="1"/>
  <c r="AP1302" i="1"/>
  <c r="AP1303" i="1"/>
  <c r="AP1304" i="1"/>
  <c r="AP1305" i="1"/>
  <c r="AP1306" i="1"/>
  <c r="AP1307" i="1"/>
  <c r="AP1308" i="1"/>
  <c r="AP1309" i="1"/>
  <c r="AP1310" i="1"/>
  <c r="AP1311" i="1"/>
  <c r="AP1312" i="1"/>
  <c r="AP1313" i="1"/>
  <c r="AP1314" i="1"/>
  <c r="AP1315" i="1"/>
  <c r="AP1316" i="1"/>
  <c r="AP1317" i="1"/>
  <c r="AP1318" i="1"/>
  <c r="AP1319" i="1"/>
  <c r="AP1320" i="1"/>
  <c r="AP1321" i="1"/>
  <c r="AP1322" i="1"/>
  <c r="AP1323" i="1"/>
  <c r="AP1324" i="1"/>
  <c r="AP1325" i="1"/>
  <c r="AP1326" i="1"/>
  <c r="AP1327" i="1"/>
  <c r="AP1328" i="1"/>
  <c r="AP1329" i="1"/>
  <c r="AP1330" i="1"/>
  <c r="AP1331" i="1"/>
  <c r="AP1332" i="1"/>
  <c r="AP1333" i="1"/>
  <c r="AP1334" i="1"/>
  <c r="AP1335" i="1"/>
  <c r="AP1336" i="1"/>
  <c r="AP1337" i="1"/>
  <c r="AP1338" i="1"/>
  <c r="AP1339" i="1"/>
  <c r="AP1340" i="1"/>
  <c r="AP1341" i="1"/>
  <c r="AP1342" i="1"/>
  <c r="AP1343" i="1"/>
  <c r="AP1344" i="1"/>
  <c r="AP1345" i="1"/>
  <c r="AP1346" i="1"/>
  <c r="AP1347" i="1"/>
  <c r="AP1348" i="1"/>
  <c r="AP1349" i="1"/>
  <c r="AP1350" i="1"/>
  <c r="AP1351" i="1"/>
  <c r="AP1352" i="1"/>
  <c r="AP1353" i="1"/>
  <c r="AP1354" i="1"/>
  <c r="AP1355" i="1"/>
  <c r="AP1356" i="1"/>
  <c r="AP1357" i="1"/>
  <c r="AP1358" i="1"/>
  <c r="AP1359" i="1"/>
  <c r="AP1360" i="1"/>
  <c r="AP1361" i="1"/>
  <c r="AP1362" i="1"/>
  <c r="AP1363" i="1"/>
  <c r="AP1364" i="1"/>
  <c r="AP1365" i="1"/>
  <c r="AP1366" i="1"/>
  <c r="AP1367" i="1"/>
  <c r="AP1368" i="1"/>
  <c r="AP1369" i="1"/>
  <c r="AP1370" i="1"/>
  <c r="AP1371" i="1"/>
  <c r="AP1372" i="1"/>
  <c r="AP1373" i="1"/>
  <c r="AP1374" i="1"/>
  <c r="AP1375" i="1"/>
  <c r="AP1376" i="1"/>
  <c r="AP1377" i="1"/>
  <c r="AP1378" i="1"/>
  <c r="AP1379" i="1"/>
  <c r="AP1380" i="1"/>
  <c r="AP1381" i="1"/>
  <c r="AP1382" i="1"/>
  <c r="AP1383" i="1"/>
  <c r="AP1384" i="1"/>
  <c r="AP1385" i="1"/>
  <c r="AP1386" i="1"/>
  <c r="AP1387" i="1"/>
  <c r="AP1388" i="1"/>
  <c r="AP1389" i="1"/>
  <c r="AP1390" i="1"/>
  <c r="AP1391" i="1"/>
  <c r="AP1392" i="1"/>
  <c r="AP1393" i="1"/>
  <c r="AP1394" i="1"/>
  <c r="AP1395" i="1"/>
  <c r="AP1396" i="1"/>
  <c r="AP1397" i="1"/>
  <c r="AP1398" i="1"/>
  <c r="AP1399" i="1"/>
  <c r="AP1400" i="1"/>
  <c r="AP1401" i="1"/>
  <c r="AP1402" i="1"/>
  <c r="AP1403" i="1"/>
  <c r="AP1404" i="1"/>
  <c r="AP1405" i="1"/>
  <c r="AP1406" i="1"/>
  <c r="AP1407" i="1"/>
  <c r="AP1408" i="1"/>
  <c r="AP1409" i="1"/>
  <c r="AP1410" i="1"/>
  <c r="AP1411" i="1"/>
  <c r="AP1412" i="1"/>
  <c r="AP1413" i="1"/>
  <c r="AP1414" i="1"/>
  <c r="AP1415" i="1"/>
  <c r="AP1416" i="1"/>
  <c r="AP1417" i="1"/>
  <c r="AP1418" i="1"/>
  <c r="AP1419" i="1"/>
  <c r="AP1420" i="1"/>
  <c r="AP1421" i="1"/>
  <c r="AP1422" i="1"/>
  <c r="AP1423" i="1"/>
  <c r="AP1424" i="1"/>
  <c r="AP1425" i="1"/>
  <c r="AP1426" i="1"/>
  <c r="AP1427" i="1"/>
  <c r="AP1428" i="1"/>
  <c r="AP1429" i="1"/>
  <c r="AP1430" i="1"/>
  <c r="AP1431" i="1"/>
  <c r="AP1432" i="1"/>
  <c r="AP1433" i="1"/>
  <c r="AP1434" i="1"/>
  <c r="AP1435" i="1"/>
  <c r="AP1436" i="1"/>
  <c r="AP1437" i="1"/>
  <c r="AP1438" i="1"/>
  <c r="AP1439" i="1"/>
  <c r="AP1440" i="1"/>
  <c r="AP1441" i="1"/>
  <c r="AP1442" i="1"/>
  <c r="AP1443" i="1"/>
  <c r="AP1444" i="1"/>
  <c r="AP1445" i="1"/>
  <c r="AP1446" i="1"/>
  <c r="AP1447" i="1"/>
  <c r="AP1448" i="1"/>
  <c r="AP1449" i="1"/>
  <c r="AP1450" i="1"/>
  <c r="AP1451" i="1"/>
  <c r="AP1452" i="1"/>
  <c r="AP1453" i="1"/>
  <c r="AP1454" i="1"/>
  <c r="AP1455" i="1"/>
  <c r="AP1456" i="1"/>
  <c r="AP1457" i="1"/>
  <c r="AP1458" i="1"/>
  <c r="AP1459" i="1"/>
  <c r="AP1460" i="1"/>
  <c r="AP1461" i="1"/>
  <c r="AP1462" i="1"/>
  <c r="AP1463" i="1"/>
  <c r="AP1464" i="1"/>
  <c r="AP1465" i="1"/>
  <c r="AP1466" i="1"/>
  <c r="AP1467" i="1"/>
  <c r="AP1468" i="1"/>
  <c r="AP1469" i="1"/>
  <c r="AP1470" i="1"/>
  <c r="AP1471" i="1"/>
  <c r="AP1472" i="1"/>
  <c r="AP1473" i="1"/>
  <c r="AP1474" i="1"/>
  <c r="AP1475" i="1"/>
  <c r="AP1476" i="1"/>
  <c r="AP1477" i="1"/>
  <c r="AP1478" i="1"/>
  <c r="AP1479" i="1"/>
  <c r="AP1480" i="1"/>
  <c r="AP1481" i="1"/>
  <c r="AP1482" i="1"/>
  <c r="AP1483" i="1"/>
  <c r="AP1484" i="1"/>
  <c r="AP1485" i="1"/>
  <c r="AP1486" i="1"/>
  <c r="AP1487" i="1"/>
  <c r="AP1488" i="1"/>
  <c r="AP1489" i="1"/>
  <c r="AP1490" i="1"/>
  <c r="AP1491" i="1"/>
  <c r="AP1492" i="1"/>
  <c r="AP1493" i="1"/>
  <c r="AP1494" i="1"/>
  <c r="AP1495" i="1"/>
  <c r="AP1496" i="1"/>
  <c r="AP1497" i="1"/>
  <c r="AP1498" i="1"/>
  <c r="AP1499" i="1"/>
  <c r="AP1500" i="1"/>
  <c r="AP1501" i="1"/>
  <c r="AP1502" i="1"/>
  <c r="AP1503" i="1"/>
  <c r="AP1504" i="1"/>
  <c r="AP1505" i="1"/>
  <c r="AP1506" i="1"/>
  <c r="AP1507" i="1"/>
  <c r="AP1508" i="1"/>
  <c r="AP1509" i="1"/>
  <c r="AP1510" i="1"/>
  <c r="AP1511" i="1"/>
  <c r="AP1512" i="1"/>
  <c r="AP1513" i="1"/>
  <c r="AP1514" i="1"/>
  <c r="AP1515" i="1"/>
  <c r="AP1516" i="1"/>
  <c r="AP1517" i="1"/>
  <c r="AP1518" i="1"/>
  <c r="AP1519" i="1"/>
  <c r="AP1520" i="1"/>
  <c r="AP1521" i="1"/>
  <c r="AP1522" i="1"/>
  <c r="AP1523" i="1"/>
  <c r="AP1524" i="1"/>
  <c r="AP1525" i="1"/>
  <c r="AP1526" i="1"/>
  <c r="AP1527" i="1"/>
  <c r="AP1528" i="1"/>
  <c r="AP1529" i="1"/>
  <c r="AP1530" i="1"/>
  <c r="AP1531" i="1"/>
  <c r="AP1532" i="1"/>
  <c r="AP1533" i="1"/>
  <c r="AP1534" i="1"/>
  <c r="AP1535" i="1"/>
  <c r="AP1536" i="1"/>
  <c r="AP1537" i="1"/>
  <c r="AP1538" i="1"/>
  <c r="AP1539" i="1"/>
  <c r="AP1540" i="1"/>
  <c r="AP1541" i="1"/>
  <c r="AP1542" i="1"/>
  <c r="AP1543" i="1"/>
  <c r="AP1544" i="1"/>
  <c r="AP1545" i="1"/>
  <c r="AP1546" i="1"/>
  <c r="AP1547" i="1"/>
  <c r="AP1548" i="1"/>
  <c r="AP1549" i="1"/>
  <c r="AP1550" i="1"/>
  <c r="AP1551" i="1"/>
  <c r="AP1552" i="1"/>
  <c r="AP1553" i="1"/>
  <c r="AP1554" i="1"/>
  <c r="AP1555" i="1"/>
  <c r="AP1556" i="1"/>
  <c r="AP1557" i="1"/>
  <c r="AP1558" i="1"/>
  <c r="AP1559" i="1"/>
  <c r="AP1560" i="1"/>
  <c r="AP1561" i="1"/>
  <c r="AP1562" i="1"/>
  <c r="AP1563" i="1"/>
  <c r="AP1564" i="1"/>
  <c r="AP1565" i="1"/>
  <c r="AP1566" i="1"/>
  <c r="AP1567" i="1"/>
  <c r="AP1568" i="1"/>
  <c r="AP1569" i="1"/>
  <c r="AP1570" i="1"/>
  <c r="AP1571" i="1"/>
  <c r="AP1572" i="1"/>
  <c r="AP1573" i="1"/>
  <c r="AP1574" i="1"/>
  <c r="AP1575" i="1"/>
  <c r="AP1576" i="1"/>
  <c r="AP1577" i="1"/>
  <c r="AP1578" i="1"/>
  <c r="AP1579" i="1"/>
  <c r="AP1580" i="1"/>
  <c r="AP1581" i="1"/>
  <c r="AP1582" i="1"/>
  <c r="AP1583" i="1"/>
  <c r="AP1584" i="1"/>
  <c r="AP1585" i="1"/>
  <c r="AP1586" i="1"/>
  <c r="AP1587" i="1"/>
  <c r="AP1588" i="1"/>
  <c r="AP1589" i="1"/>
  <c r="AP1590" i="1"/>
  <c r="AP1591" i="1"/>
  <c r="AP1592" i="1"/>
  <c r="AP1593" i="1"/>
  <c r="AP1594" i="1"/>
  <c r="AP1595" i="1"/>
  <c r="AP1596" i="1"/>
  <c r="AP1597" i="1"/>
  <c r="AP1598" i="1"/>
  <c r="AP1599" i="1"/>
  <c r="AP1600" i="1"/>
  <c r="AP1601" i="1"/>
  <c r="AP1602" i="1"/>
  <c r="AP1603" i="1"/>
  <c r="AP1604" i="1"/>
  <c r="AP1605" i="1"/>
  <c r="AP1606" i="1"/>
  <c r="AP1607" i="1"/>
  <c r="AP1608" i="1"/>
  <c r="AP1609" i="1"/>
  <c r="AP1610" i="1"/>
  <c r="AP1611" i="1"/>
  <c r="AP1612" i="1"/>
  <c r="AP1613" i="1"/>
  <c r="AP1614" i="1"/>
  <c r="AP1615" i="1"/>
  <c r="AP1616" i="1"/>
  <c r="AP1617" i="1"/>
  <c r="AP1618" i="1"/>
  <c r="AP1619" i="1"/>
  <c r="AP1620" i="1"/>
  <c r="AP1621" i="1"/>
  <c r="AP1622" i="1"/>
  <c r="AP1623" i="1"/>
  <c r="AP1624" i="1"/>
  <c r="AP1625" i="1"/>
  <c r="AP1626" i="1"/>
  <c r="AP1627" i="1"/>
  <c r="AP1628" i="1"/>
  <c r="AP1629" i="1"/>
  <c r="AP1630" i="1"/>
  <c r="AP1631" i="1"/>
  <c r="AP1632" i="1"/>
  <c r="AP1633" i="1"/>
  <c r="AP1634" i="1"/>
  <c r="AP1635" i="1"/>
  <c r="AP1636" i="1"/>
  <c r="AP1637" i="1"/>
  <c r="AP1638" i="1"/>
  <c r="AP1639" i="1"/>
  <c r="AP1640" i="1"/>
  <c r="AP1641" i="1"/>
  <c r="AP1642" i="1"/>
  <c r="AP1643" i="1"/>
  <c r="AP1644" i="1"/>
  <c r="AP1645" i="1"/>
  <c r="AP1646" i="1"/>
  <c r="AP1647" i="1"/>
  <c r="AP1648" i="1"/>
  <c r="AP1649" i="1"/>
  <c r="AP1650" i="1"/>
  <c r="AP1651" i="1"/>
  <c r="AP1652" i="1"/>
  <c r="AP1653" i="1"/>
  <c r="AP1654" i="1"/>
  <c r="AP1655" i="1"/>
  <c r="AP1656" i="1"/>
  <c r="AP1657" i="1"/>
  <c r="AP1658" i="1"/>
  <c r="AP1659" i="1"/>
  <c r="AP1660" i="1"/>
  <c r="AP1661" i="1"/>
  <c r="AP1662" i="1"/>
  <c r="AP1663" i="1"/>
  <c r="AP1664" i="1"/>
  <c r="AP1665" i="1"/>
  <c r="AP1666" i="1"/>
  <c r="AP1667" i="1"/>
  <c r="AP1668" i="1"/>
  <c r="AP1669" i="1"/>
  <c r="AP1670" i="1"/>
  <c r="AP1671" i="1"/>
  <c r="AP1672" i="1"/>
  <c r="AP1673" i="1"/>
  <c r="AP1674" i="1"/>
  <c r="AP1675" i="1"/>
  <c r="AP1676" i="1"/>
  <c r="AP1677" i="1"/>
  <c r="AP1678" i="1"/>
  <c r="AP1679" i="1"/>
  <c r="AP1680" i="1"/>
  <c r="AP1681" i="1"/>
  <c r="AP1682" i="1"/>
  <c r="AP1683" i="1"/>
  <c r="AP1684" i="1"/>
  <c r="AP1685" i="1"/>
  <c r="AP1686" i="1"/>
  <c r="AP1687" i="1"/>
  <c r="AP1688" i="1"/>
  <c r="AP1689" i="1"/>
  <c r="AP1690" i="1"/>
  <c r="AP1691" i="1"/>
  <c r="AP1692" i="1"/>
  <c r="AP1693" i="1"/>
  <c r="AP1694" i="1"/>
  <c r="AP1695" i="1"/>
  <c r="AP1696" i="1"/>
  <c r="AP1697" i="1"/>
  <c r="AP1698" i="1"/>
  <c r="AP1699" i="1"/>
  <c r="AP1700" i="1"/>
  <c r="AP1701" i="1"/>
  <c r="AP1702" i="1"/>
  <c r="AP1703" i="1"/>
  <c r="AP1704" i="1"/>
  <c r="AP1705" i="1"/>
  <c r="AP1706" i="1"/>
  <c r="AP1707" i="1"/>
  <c r="AP1708" i="1"/>
  <c r="AP1709" i="1"/>
  <c r="AP1710" i="1"/>
  <c r="AP1711" i="1"/>
  <c r="AP1712" i="1"/>
  <c r="AP1713" i="1"/>
  <c r="AP1714" i="1"/>
  <c r="AP1715" i="1"/>
  <c r="AP1716" i="1"/>
  <c r="AP1717" i="1"/>
  <c r="AP1718" i="1"/>
  <c r="AP1719" i="1"/>
  <c r="AP1720" i="1"/>
  <c r="AP1721" i="1"/>
  <c r="AP1722" i="1"/>
  <c r="AP1723" i="1"/>
  <c r="AP1724" i="1"/>
  <c r="AP1725" i="1"/>
  <c r="AP1726" i="1"/>
  <c r="AP1727" i="1"/>
  <c r="AP1728" i="1"/>
  <c r="AP1729" i="1"/>
  <c r="AP1730" i="1"/>
  <c r="AP1731" i="1"/>
  <c r="AP1732" i="1"/>
  <c r="AP1733" i="1"/>
  <c r="AP1734" i="1"/>
  <c r="AP1735" i="1"/>
  <c r="AP1736" i="1"/>
  <c r="AP1737" i="1"/>
  <c r="AP1738" i="1"/>
  <c r="AP1739" i="1"/>
  <c r="AP1740" i="1"/>
  <c r="AP1741" i="1"/>
  <c r="AP1742" i="1"/>
  <c r="AP1743" i="1"/>
  <c r="AP1744" i="1"/>
  <c r="AP1745" i="1"/>
  <c r="AP1746" i="1"/>
  <c r="AP1747" i="1"/>
  <c r="AP1748" i="1"/>
  <c r="AP1749" i="1"/>
  <c r="AP1750" i="1"/>
  <c r="AP1751" i="1"/>
  <c r="AP1752" i="1"/>
  <c r="AP1753" i="1"/>
  <c r="AP1754" i="1"/>
  <c r="AP1755" i="1"/>
  <c r="AP1756" i="1"/>
  <c r="AP1757" i="1"/>
  <c r="AP1758" i="1"/>
  <c r="AP1759" i="1"/>
  <c r="AP1760" i="1"/>
  <c r="AP1761" i="1"/>
  <c r="AP1762" i="1"/>
  <c r="AP1763" i="1"/>
  <c r="AP1764" i="1"/>
  <c r="AP1765" i="1"/>
  <c r="AP1766" i="1"/>
  <c r="AP1767" i="1"/>
  <c r="AP1768" i="1"/>
  <c r="AP1769" i="1"/>
  <c r="AP1770" i="1"/>
  <c r="AP1771" i="1"/>
  <c r="AP1772" i="1"/>
  <c r="AP1773" i="1"/>
  <c r="AP1774" i="1"/>
  <c r="AP1775" i="1"/>
  <c r="AP1776" i="1"/>
  <c r="AP1777" i="1"/>
  <c r="AP1778" i="1"/>
  <c r="AP1779" i="1"/>
  <c r="AP1780" i="1"/>
  <c r="AP1781" i="1"/>
  <c r="AP1782" i="1"/>
  <c r="AP1783" i="1"/>
  <c r="AP1784" i="1"/>
  <c r="AP1785" i="1"/>
  <c r="AP1786" i="1"/>
  <c r="AP1787" i="1"/>
  <c r="AP1788" i="1"/>
  <c r="AP1789" i="1"/>
  <c r="AP1790" i="1"/>
  <c r="AP1791" i="1"/>
  <c r="AP1792" i="1"/>
  <c r="AP1793" i="1"/>
  <c r="AP1794" i="1"/>
  <c r="AP1795" i="1"/>
  <c r="AP1796" i="1"/>
  <c r="AP1797" i="1"/>
  <c r="AP1798" i="1"/>
  <c r="AP1799" i="1"/>
  <c r="AP1800" i="1"/>
  <c r="AP1801" i="1"/>
  <c r="AP1802" i="1"/>
  <c r="AP1803" i="1"/>
  <c r="AP1804" i="1"/>
  <c r="AP1805" i="1"/>
  <c r="AP1806" i="1"/>
  <c r="AP1807" i="1"/>
  <c r="AP1808" i="1"/>
  <c r="AP1809" i="1"/>
  <c r="AP1810" i="1"/>
  <c r="AP1811" i="1"/>
  <c r="AP1812" i="1"/>
  <c r="AP1813" i="1"/>
  <c r="AP1814" i="1"/>
  <c r="AP1815" i="1"/>
  <c r="AP1816" i="1"/>
  <c r="AP1817" i="1"/>
  <c r="AP1818" i="1"/>
  <c r="AP1819" i="1"/>
  <c r="AP1820" i="1"/>
  <c r="AP1821" i="1"/>
  <c r="AP1822" i="1"/>
  <c r="AP1823" i="1"/>
  <c r="AP1824" i="1"/>
  <c r="AP1825" i="1"/>
  <c r="AP1826" i="1"/>
  <c r="AP1827" i="1"/>
  <c r="AP1828" i="1"/>
  <c r="AP1829" i="1"/>
  <c r="AP1830" i="1"/>
  <c r="AP1831" i="1"/>
  <c r="AP1832" i="1"/>
  <c r="AP1833" i="1"/>
  <c r="AP1834" i="1"/>
  <c r="AP1835" i="1"/>
  <c r="AP1836" i="1"/>
  <c r="AP1837" i="1"/>
  <c r="AP1838" i="1"/>
  <c r="AP1839" i="1"/>
  <c r="AP1840" i="1"/>
  <c r="AP1841" i="1"/>
  <c r="AP1842" i="1"/>
  <c r="AP1843" i="1"/>
  <c r="AP1844" i="1"/>
  <c r="AP1845" i="1"/>
  <c r="AP1846" i="1"/>
  <c r="AP1847" i="1"/>
  <c r="AP1848" i="1"/>
  <c r="AP1849" i="1"/>
  <c r="AP1850" i="1"/>
  <c r="AP1851" i="1"/>
  <c r="AP1852" i="1"/>
  <c r="AP1853" i="1"/>
  <c r="AP1854" i="1"/>
  <c r="AP1855" i="1"/>
  <c r="AP1856" i="1"/>
  <c r="AP1857" i="1"/>
  <c r="AP1858" i="1"/>
  <c r="AP1859" i="1"/>
  <c r="AP1860" i="1"/>
  <c r="AP1861" i="1"/>
  <c r="AP1862" i="1"/>
  <c r="AP1863" i="1"/>
  <c r="AP1864" i="1"/>
  <c r="AP1865" i="1"/>
  <c r="AP1866" i="1"/>
  <c r="AP1867" i="1"/>
  <c r="AP1868" i="1"/>
  <c r="AP1869" i="1"/>
  <c r="AP1870" i="1"/>
  <c r="AP1871" i="1"/>
  <c r="AP1872" i="1"/>
  <c r="AP1873" i="1"/>
  <c r="AP1874" i="1"/>
  <c r="AP1875" i="1"/>
  <c r="AP1876" i="1"/>
  <c r="AP1877" i="1"/>
  <c r="AP1878" i="1"/>
  <c r="AP1879" i="1"/>
  <c r="AP1880" i="1"/>
  <c r="AP1881" i="1"/>
  <c r="AP1882" i="1"/>
  <c r="AP1883" i="1"/>
  <c r="AP1884" i="1"/>
  <c r="AP1885" i="1"/>
  <c r="AP1886" i="1"/>
  <c r="AP1887" i="1"/>
  <c r="AP1888" i="1"/>
  <c r="AP1889" i="1"/>
  <c r="AP1890" i="1"/>
  <c r="AP1891" i="1"/>
  <c r="AP1892" i="1"/>
  <c r="AP1893" i="1"/>
  <c r="AP1894" i="1"/>
  <c r="AP1895" i="1"/>
  <c r="AP1896" i="1"/>
  <c r="AP1897" i="1"/>
  <c r="AP1898" i="1"/>
  <c r="AP1899" i="1"/>
  <c r="AP1900" i="1"/>
  <c r="AP1901" i="1"/>
  <c r="AP1902" i="1"/>
  <c r="AP1903" i="1"/>
  <c r="AP1904" i="1"/>
  <c r="AP1905" i="1"/>
  <c r="AP1906" i="1"/>
  <c r="AP1907" i="1"/>
  <c r="AP1908" i="1"/>
  <c r="AP1909" i="1"/>
  <c r="AP1910" i="1"/>
  <c r="AP1911" i="1"/>
  <c r="AP1912" i="1"/>
  <c r="AP1913" i="1"/>
  <c r="AP1914" i="1"/>
  <c r="AP1915" i="1"/>
  <c r="AP1916" i="1"/>
  <c r="AP1917" i="1"/>
  <c r="AP1918" i="1"/>
  <c r="AP1919" i="1"/>
  <c r="AP1920" i="1"/>
  <c r="AP1921" i="1"/>
  <c r="AP1922" i="1"/>
  <c r="AP1923" i="1"/>
  <c r="AP1924" i="1"/>
  <c r="AP1925" i="1"/>
  <c r="AP1926" i="1"/>
  <c r="AP1927" i="1"/>
  <c r="AP1928" i="1"/>
  <c r="AP1929" i="1"/>
  <c r="AP1930" i="1"/>
  <c r="AP1931" i="1"/>
  <c r="AP1932" i="1"/>
  <c r="AP1933" i="1"/>
  <c r="AP1934" i="1"/>
  <c r="AP1935" i="1"/>
  <c r="AP1936" i="1"/>
  <c r="AP1937" i="1"/>
  <c r="AP1938" i="1"/>
  <c r="AP1939" i="1"/>
  <c r="AP1940" i="1"/>
  <c r="AP1941" i="1"/>
  <c r="AP1942" i="1"/>
  <c r="AP1943" i="1"/>
  <c r="AP1944" i="1"/>
  <c r="AP1945" i="1"/>
  <c r="AP1946" i="1"/>
  <c r="AP1947" i="1"/>
  <c r="AP1948" i="1"/>
  <c r="AP1949" i="1"/>
  <c r="AP1950" i="1"/>
  <c r="AP1951" i="1"/>
  <c r="AP1952" i="1"/>
  <c r="AP1953" i="1"/>
  <c r="AP1954" i="1"/>
  <c r="AP1955" i="1"/>
  <c r="AP1956" i="1"/>
  <c r="AP1957" i="1"/>
  <c r="AP1958" i="1"/>
  <c r="AP1959" i="1"/>
  <c r="AP1960" i="1"/>
  <c r="AP1961" i="1"/>
  <c r="AP1962" i="1"/>
  <c r="AP1963" i="1"/>
  <c r="AP1964" i="1"/>
  <c r="AP1965" i="1"/>
  <c r="AP1966" i="1"/>
  <c r="AP1967" i="1"/>
  <c r="AP1968" i="1"/>
  <c r="AP1969" i="1"/>
  <c r="AP1970" i="1"/>
  <c r="AP1971" i="1"/>
  <c r="AP1972" i="1"/>
  <c r="AP1973" i="1"/>
  <c r="AP1974" i="1"/>
  <c r="AP1975" i="1"/>
  <c r="AP1976" i="1"/>
  <c r="AP1977" i="1"/>
  <c r="AP1978" i="1"/>
  <c r="AP1979" i="1"/>
  <c r="AP1980" i="1"/>
  <c r="AP1981" i="1"/>
  <c r="AP1982" i="1"/>
  <c r="AP1983" i="1"/>
  <c r="AP1984" i="1"/>
  <c r="AP1985" i="1"/>
  <c r="AP1986" i="1"/>
  <c r="AP1987" i="1"/>
  <c r="AP1988" i="1"/>
  <c r="AP1989" i="1"/>
  <c r="AP1990" i="1"/>
  <c r="AP1991" i="1"/>
  <c r="AP1992" i="1"/>
  <c r="AP1993" i="1"/>
  <c r="AP1994" i="1"/>
  <c r="AP1995" i="1"/>
  <c r="AP1996" i="1"/>
  <c r="AP1997" i="1"/>
  <c r="AP1998" i="1"/>
  <c r="AP1999" i="1"/>
  <c r="AP2000" i="1"/>
  <c r="AP2001" i="1"/>
  <c r="AP2002" i="1"/>
  <c r="AP2003" i="1"/>
  <c r="AP2004" i="1"/>
  <c r="AP2005" i="1"/>
  <c r="AP2006" i="1"/>
  <c r="AP2007" i="1"/>
  <c r="AP2008" i="1"/>
  <c r="AP2009" i="1"/>
  <c r="AP2010" i="1"/>
  <c r="AP2011" i="1"/>
  <c r="AP2012" i="1"/>
  <c r="AP2013" i="1"/>
  <c r="AP2014" i="1"/>
  <c r="AP2015" i="1"/>
  <c r="AP2016" i="1"/>
  <c r="AP2017" i="1"/>
  <c r="AP2018" i="1"/>
  <c r="AP2019" i="1"/>
  <c r="AP2020" i="1"/>
  <c r="AP2021" i="1"/>
  <c r="AP2022" i="1"/>
  <c r="AP2023" i="1"/>
  <c r="AP2024" i="1"/>
  <c r="AP2025" i="1"/>
  <c r="AP2026" i="1"/>
  <c r="AP2027" i="1"/>
  <c r="AP2028" i="1"/>
  <c r="AP2029" i="1"/>
  <c r="AP2030" i="1"/>
  <c r="AP2031" i="1"/>
  <c r="AP2032" i="1"/>
  <c r="AP2033" i="1"/>
  <c r="AP2034" i="1"/>
  <c r="AP2035" i="1"/>
  <c r="AP2036" i="1"/>
  <c r="AP2037" i="1"/>
  <c r="AP2038" i="1"/>
  <c r="AP2039" i="1"/>
  <c r="AP2040" i="1"/>
  <c r="AP2041" i="1"/>
  <c r="AP2042" i="1"/>
  <c r="AP2043" i="1"/>
  <c r="AP2044" i="1"/>
  <c r="AP2045" i="1"/>
  <c r="AP2046" i="1"/>
  <c r="AP2047" i="1"/>
  <c r="AP2048" i="1"/>
  <c r="AP2049" i="1"/>
  <c r="AP2050" i="1"/>
  <c r="AP2051" i="1"/>
  <c r="AP2052" i="1"/>
  <c r="AP2053" i="1"/>
  <c r="AP2054" i="1"/>
  <c r="AP2055" i="1"/>
  <c r="AP2056" i="1"/>
  <c r="AP2057" i="1"/>
  <c r="AP2058" i="1"/>
  <c r="AP2059" i="1"/>
  <c r="AP2060" i="1"/>
  <c r="AP2061" i="1"/>
  <c r="AP2062" i="1"/>
  <c r="AP2063" i="1"/>
  <c r="AP2064" i="1"/>
  <c r="AP2065" i="1"/>
  <c r="AP2066" i="1"/>
  <c r="AP2067" i="1"/>
  <c r="AP2068" i="1"/>
  <c r="AP2069" i="1"/>
  <c r="AP2070" i="1"/>
  <c r="AP2071" i="1"/>
  <c r="AP2072" i="1"/>
  <c r="AP2073" i="1"/>
  <c r="AP2074" i="1"/>
  <c r="AP2075" i="1"/>
  <c r="AP2076" i="1"/>
  <c r="AP2077" i="1"/>
  <c r="AP2078" i="1"/>
  <c r="AP2079" i="1"/>
  <c r="AP2080" i="1"/>
  <c r="AP2081" i="1"/>
  <c r="AP2082" i="1"/>
  <c r="AP2083" i="1"/>
  <c r="AP2084" i="1"/>
  <c r="AP2085" i="1"/>
  <c r="AP2086" i="1"/>
  <c r="AP2087" i="1"/>
  <c r="AP2088" i="1"/>
  <c r="AP2089" i="1"/>
  <c r="AP2090" i="1"/>
  <c r="AP2091" i="1"/>
  <c r="AP2092" i="1"/>
  <c r="AP2093" i="1"/>
  <c r="AP2094" i="1"/>
  <c r="AP2095" i="1"/>
  <c r="AP2096" i="1"/>
  <c r="AP2097" i="1"/>
  <c r="AP2098" i="1"/>
  <c r="AP2099" i="1"/>
  <c r="AP2100" i="1"/>
  <c r="AP2101" i="1"/>
  <c r="AP2102" i="1"/>
  <c r="AP2103" i="1"/>
  <c r="AP2104" i="1"/>
  <c r="AP2105" i="1"/>
  <c r="AP2106" i="1"/>
  <c r="AP2107" i="1"/>
  <c r="AP2108" i="1"/>
  <c r="AP2109" i="1"/>
  <c r="AP2110" i="1"/>
  <c r="AP2111" i="1"/>
  <c r="AP2112" i="1"/>
  <c r="AP2113" i="1"/>
  <c r="AP2114" i="1"/>
  <c r="AP2115" i="1"/>
  <c r="AP2116" i="1"/>
  <c r="AP2117" i="1"/>
  <c r="AP2118" i="1"/>
  <c r="AP2119" i="1"/>
  <c r="AP2120" i="1"/>
  <c r="AP2121" i="1"/>
  <c r="AP2122" i="1"/>
  <c r="AP2123" i="1"/>
  <c r="AP2124" i="1"/>
  <c r="AP2125" i="1"/>
  <c r="AP2126" i="1"/>
  <c r="AP2127" i="1"/>
  <c r="AP2128" i="1"/>
  <c r="AP2129" i="1"/>
  <c r="AP2130" i="1"/>
  <c r="AP2131" i="1"/>
  <c r="AP2132" i="1"/>
  <c r="AP2133" i="1"/>
  <c r="AP2134" i="1"/>
  <c r="AP2135" i="1"/>
  <c r="AP2136" i="1"/>
  <c r="AP2137" i="1"/>
  <c r="AP2138" i="1"/>
  <c r="AP2139" i="1"/>
  <c r="AP2140" i="1"/>
  <c r="AP2141" i="1"/>
  <c r="AP2142" i="1"/>
  <c r="AP2143" i="1"/>
  <c r="AP2144" i="1"/>
  <c r="AP2145" i="1"/>
  <c r="AP2146" i="1"/>
  <c r="AP2147" i="1"/>
  <c r="AP2148" i="1"/>
  <c r="AP2149" i="1"/>
  <c r="AP2150" i="1"/>
  <c r="AP2151" i="1"/>
  <c r="AP2152" i="1"/>
  <c r="AP2153" i="1"/>
  <c r="AP2154" i="1"/>
  <c r="AP2155" i="1"/>
  <c r="AP2156" i="1"/>
  <c r="AP2157" i="1"/>
  <c r="AP2158" i="1"/>
  <c r="AP2159" i="1"/>
  <c r="AP2160" i="1"/>
  <c r="AP2161" i="1"/>
  <c r="AP2162" i="1"/>
  <c r="AP2163" i="1"/>
  <c r="AP2164" i="1"/>
  <c r="AP2165" i="1"/>
  <c r="AP2166" i="1"/>
  <c r="AP2167" i="1"/>
  <c r="AP2168" i="1"/>
  <c r="AP2169" i="1"/>
  <c r="AP2170" i="1"/>
  <c r="AP2171" i="1"/>
  <c r="AP2172" i="1"/>
  <c r="AP2173" i="1"/>
  <c r="AP2174" i="1"/>
  <c r="AP2175" i="1"/>
  <c r="AP2176" i="1"/>
  <c r="AP2177" i="1"/>
  <c r="AP2178" i="1"/>
  <c r="AP2179" i="1"/>
  <c r="AP2180" i="1"/>
  <c r="AP2181" i="1"/>
  <c r="AP2182" i="1"/>
  <c r="AP2183" i="1"/>
  <c r="AP2184" i="1"/>
  <c r="AP2185" i="1"/>
  <c r="AP2186" i="1"/>
  <c r="AP2187" i="1"/>
  <c r="AP2188" i="1"/>
  <c r="AP2189" i="1"/>
  <c r="AP2190" i="1"/>
  <c r="AP2191" i="1"/>
  <c r="AP2192" i="1"/>
  <c r="AP2193" i="1"/>
  <c r="AP2194" i="1"/>
  <c r="AP2195" i="1"/>
  <c r="AP2196" i="1"/>
  <c r="AP2197" i="1"/>
  <c r="AP2198" i="1"/>
  <c r="AP2199" i="1"/>
  <c r="AP2200" i="1"/>
  <c r="AP2201" i="1"/>
  <c r="AP2202" i="1"/>
  <c r="AP2203" i="1"/>
  <c r="AP2204" i="1"/>
  <c r="AP2205" i="1"/>
  <c r="AP2206" i="1"/>
  <c r="AP2207" i="1"/>
  <c r="AP2208" i="1"/>
  <c r="AP2209" i="1"/>
  <c r="AP2210" i="1"/>
  <c r="AP2211" i="1"/>
  <c r="AP2212" i="1"/>
  <c r="AP2213" i="1"/>
  <c r="AP2214" i="1"/>
  <c r="AP2215" i="1"/>
  <c r="AP2216" i="1"/>
  <c r="AP2217" i="1"/>
  <c r="AP2218" i="1"/>
  <c r="AP2219" i="1"/>
  <c r="AP2220" i="1"/>
  <c r="AP2221" i="1"/>
  <c r="AP2222" i="1"/>
  <c r="AP2223" i="1"/>
  <c r="AP2224" i="1"/>
  <c r="AP2225" i="1"/>
  <c r="AP2226" i="1"/>
  <c r="AP2227" i="1"/>
  <c r="AP2228" i="1"/>
  <c r="AP2229" i="1"/>
  <c r="AP2230" i="1"/>
  <c r="AP2231" i="1"/>
  <c r="AP2232" i="1"/>
  <c r="AP2233" i="1"/>
  <c r="AP2234" i="1"/>
  <c r="AP2235" i="1"/>
  <c r="AP2236" i="1"/>
  <c r="AP2237" i="1"/>
  <c r="AP2238" i="1"/>
  <c r="AP2239" i="1"/>
  <c r="AP2240" i="1"/>
  <c r="AP2241" i="1"/>
  <c r="AP2242" i="1"/>
  <c r="AP2243" i="1"/>
  <c r="AP2244" i="1"/>
  <c r="AP2245" i="1"/>
  <c r="AP2246" i="1"/>
  <c r="AP2247" i="1"/>
  <c r="AP2248" i="1"/>
  <c r="AP2249" i="1"/>
  <c r="AP2250" i="1"/>
  <c r="AP2251" i="1"/>
  <c r="AP2252" i="1"/>
  <c r="AP2253" i="1"/>
  <c r="AP2254" i="1"/>
  <c r="AP2255" i="1"/>
  <c r="AP2256" i="1"/>
  <c r="AP2257" i="1"/>
  <c r="AP2258" i="1"/>
  <c r="AP2259" i="1"/>
  <c r="AP2260" i="1"/>
  <c r="AP2261" i="1"/>
  <c r="AP2262" i="1"/>
  <c r="AP2263" i="1"/>
  <c r="AP2264" i="1"/>
  <c r="AP2265" i="1"/>
  <c r="AP2266" i="1"/>
  <c r="AP2267" i="1"/>
  <c r="AP2268" i="1"/>
  <c r="AP2269" i="1"/>
  <c r="AP2270" i="1"/>
  <c r="AP2271" i="1"/>
  <c r="AP2272" i="1"/>
  <c r="AP2273" i="1"/>
  <c r="AP2274" i="1"/>
  <c r="AP2275" i="1"/>
  <c r="AP2276" i="1"/>
  <c r="AP2277" i="1"/>
  <c r="AP2278" i="1"/>
  <c r="AP2279" i="1"/>
  <c r="AP2280" i="1"/>
  <c r="AP2281" i="1"/>
  <c r="AP2282" i="1"/>
  <c r="AP2283" i="1"/>
  <c r="AP2284" i="1"/>
  <c r="AP2285" i="1"/>
  <c r="AP2286" i="1"/>
  <c r="AP2287" i="1"/>
  <c r="AP2288" i="1"/>
  <c r="AP2289" i="1"/>
  <c r="AP2290" i="1"/>
  <c r="AP2291" i="1"/>
  <c r="AP2292" i="1"/>
  <c r="AP2293" i="1"/>
  <c r="AP2294" i="1"/>
  <c r="AP2295" i="1"/>
  <c r="AP2296" i="1"/>
  <c r="AP2297" i="1"/>
  <c r="AP2298" i="1"/>
  <c r="AP2299" i="1"/>
  <c r="AP2300" i="1"/>
  <c r="AP2301" i="1"/>
  <c r="AP2302" i="1"/>
  <c r="AP2303" i="1"/>
  <c r="AP2304" i="1"/>
  <c r="AP2305" i="1"/>
  <c r="AP2306" i="1"/>
  <c r="AP2307" i="1"/>
  <c r="AP2308" i="1"/>
  <c r="AP2309" i="1"/>
  <c r="AP2310" i="1"/>
  <c r="AP2311" i="1"/>
  <c r="AP2312" i="1"/>
  <c r="AP2313" i="1"/>
  <c r="AP2314" i="1"/>
  <c r="AP2315" i="1"/>
  <c r="AP2316" i="1"/>
  <c r="AP2317" i="1"/>
  <c r="AP2318" i="1"/>
  <c r="AP2319" i="1"/>
  <c r="AP2320" i="1"/>
  <c r="AP2321" i="1"/>
  <c r="AP2322" i="1"/>
  <c r="AP2323" i="1"/>
  <c r="AP2324" i="1"/>
  <c r="AP2325" i="1"/>
  <c r="AP2326" i="1"/>
  <c r="AP2327" i="1"/>
  <c r="AP2328" i="1"/>
  <c r="AP2329" i="1"/>
  <c r="AP2330" i="1"/>
  <c r="AP2331" i="1"/>
  <c r="AP2332" i="1"/>
  <c r="AP2333" i="1"/>
  <c r="AP2334" i="1"/>
  <c r="AP2335" i="1"/>
  <c r="AP2336" i="1"/>
  <c r="AP2337" i="1"/>
  <c r="AP2338" i="1"/>
  <c r="AP2339" i="1"/>
  <c r="AP2340" i="1"/>
  <c r="AP2341" i="1"/>
  <c r="AP2342" i="1"/>
  <c r="AP2343" i="1"/>
  <c r="AP2344" i="1"/>
  <c r="AP2345" i="1"/>
  <c r="AP2346" i="1"/>
  <c r="AP2347" i="1"/>
  <c r="AP2348" i="1"/>
  <c r="AP2349" i="1"/>
  <c r="AP2350" i="1"/>
  <c r="AP2351" i="1"/>
  <c r="AP2352" i="1"/>
  <c r="AP2353" i="1"/>
  <c r="AP2354" i="1"/>
  <c r="AP2355" i="1"/>
  <c r="AP2356" i="1"/>
  <c r="AP2357" i="1"/>
  <c r="AP2358" i="1"/>
  <c r="AP2359" i="1"/>
  <c r="AP2360" i="1"/>
  <c r="AP2361" i="1"/>
  <c r="AP2362" i="1"/>
  <c r="AP2363" i="1"/>
  <c r="AP2364" i="1"/>
  <c r="AP2365" i="1"/>
  <c r="AP2366" i="1"/>
  <c r="AP2367" i="1"/>
  <c r="AP2368" i="1"/>
  <c r="AP2369" i="1"/>
  <c r="AP2370" i="1"/>
  <c r="AP2371" i="1"/>
  <c r="AP2372" i="1"/>
  <c r="AP2373" i="1"/>
  <c r="AP2374" i="1"/>
  <c r="AP2375" i="1"/>
  <c r="AP2376" i="1"/>
  <c r="AP2377" i="1"/>
  <c r="AP2378" i="1"/>
  <c r="AP2379" i="1"/>
  <c r="AP2380" i="1"/>
  <c r="AP2381" i="1"/>
  <c r="AP2382" i="1"/>
  <c r="AP2383" i="1"/>
  <c r="AP2384" i="1"/>
  <c r="AP2385" i="1"/>
  <c r="AP2386" i="1"/>
  <c r="AP2387" i="1"/>
  <c r="AP2388" i="1"/>
  <c r="AP2389" i="1"/>
  <c r="AP2390" i="1"/>
  <c r="AP2391" i="1"/>
  <c r="AP2392" i="1"/>
  <c r="AP2393" i="1"/>
  <c r="AP2394" i="1"/>
  <c r="AP2395" i="1"/>
  <c r="AP2396" i="1"/>
  <c r="AP2397" i="1"/>
  <c r="AP2398" i="1"/>
  <c r="AP2399" i="1"/>
  <c r="AP2400" i="1"/>
  <c r="AP2401" i="1"/>
  <c r="AP2402" i="1"/>
  <c r="AP2403" i="1"/>
  <c r="AP2404" i="1"/>
  <c r="AP2405" i="1"/>
  <c r="AP2406" i="1"/>
  <c r="AP2407" i="1"/>
  <c r="AP2408" i="1"/>
  <c r="AP2409" i="1"/>
  <c r="AP2410" i="1"/>
  <c r="AP2411" i="1"/>
  <c r="AP2412" i="1"/>
  <c r="AP2413" i="1"/>
  <c r="AP2414" i="1"/>
  <c r="AP2415" i="1"/>
  <c r="AP2416" i="1"/>
  <c r="AP2417" i="1"/>
  <c r="AP2418" i="1"/>
  <c r="AP2419" i="1"/>
  <c r="AP2420" i="1"/>
  <c r="AP2421" i="1"/>
  <c r="AP2422" i="1"/>
  <c r="AP2423" i="1"/>
  <c r="AP2424" i="1"/>
  <c r="AP2425" i="1"/>
  <c r="AP2426" i="1"/>
  <c r="AP2427" i="1"/>
  <c r="AP2428" i="1"/>
  <c r="AP2429" i="1"/>
  <c r="AP2430" i="1"/>
  <c r="AP2431" i="1"/>
  <c r="AP2432" i="1"/>
  <c r="AP2433" i="1"/>
  <c r="AP2434" i="1"/>
  <c r="AP2435" i="1"/>
  <c r="AP2436" i="1"/>
  <c r="AP2437" i="1"/>
  <c r="AP2438" i="1"/>
  <c r="AP2439" i="1"/>
  <c r="AP2440" i="1"/>
  <c r="AP2441" i="1"/>
  <c r="AP2442" i="1"/>
  <c r="AP2443" i="1"/>
  <c r="AP2444" i="1"/>
  <c r="AP2445" i="1"/>
  <c r="AP2446" i="1"/>
  <c r="AP2447" i="1"/>
  <c r="AP2448" i="1"/>
  <c r="AP2449" i="1"/>
  <c r="AP2450" i="1"/>
  <c r="AP2451" i="1"/>
  <c r="AP2452" i="1"/>
  <c r="AP2453" i="1"/>
  <c r="AP2454" i="1"/>
  <c r="AP2455" i="1"/>
  <c r="AP2456" i="1"/>
  <c r="AP2457" i="1"/>
  <c r="AP2458" i="1"/>
  <c r="AP2459" i="1"/>
  <c r="AP2460" i="1"/>
  <c r="AP2461" i="1"/>
  <c r="AP2462" i="1"/>
  <c r="AP2463" i="1"/>
  <c r="AP2464" i="1"/>
  <c r="AP2465" i="1"/>
  <c r="AP2466" i="1"/>
  <c r="AP2467" i="1"/>
  <c r="AP2468" i="1"/>
  <c r="AQ2" i="1"/>
  <c r="AQ3" i="1"/>
  <c r="AR3" i="1" s="1"/>
  <c r="AQ4" i="1"/>
  <c r="AR4" i="1" s="1"/>
  <c r="AQ5" i="1"/>
  <c r="AR5" i="1" s="1"/>
  <c r="AQ6" i="1"/>
  <c r="AR6" i="1" s="1"/>
  <c r="AQ7" i="1"/>
  <c r="AR7" i="1" s="1"/>
  <c r="AQ8" i="1"/>
  <c r="AR8" i="1" s="1"/>
  <c r="AQ9" i="1"/>
  <c r="AR9" i="1" s="1"/>
  <c r="AQ10" i="1"/>
  <c r="AQ11" i="1"/>
  <c r="AR11" i="1" s="1"/>
  <c r="AQ12" i="1"/>
  <c r="AQ13" i="1"/>
  <c r="AQ14" i="1"/>
  <c r="AR14" i="1" s="1"/>
  <c r="AQ15" i="1"/>
  <c r="AR15" i="1" s="1"/>
  <c r="AQ16" i="1"/>
  <c r="AR16" i="1" s="1"/>
  <c r="AQ17" i="1"/>
  <c r="AR17" i="1" s="1"/>
  <c r="AQ18" i="1"/>
  <c r="AR18" i="1" s="1"/>
  <c r="AQ19" i="1"/>
  <c r="AR19" i="1" s="1"/>
  <c r="AQ20" i="1"/>
  <c r="AR20" i="1" s="1"/>
  <c r="AQ21" i="1"/>
  <c r="AR21" i="1" s="1"/>
  <c r="AQ22" i="1"/>
  <c r="AQ23" i="1"/>
  <c r="AR23" i="1" s="1"/>
  <c r="AQ24" i="1"/>
  <c r="AQ25" i="1"/>
  <c r="AQ26" i="1"/>
  <c r="AQ27" i="1"/>
  <c r="AR27" i="1" s="1"/>
  <c r="AQ28" i="1"/>
  <c r="AR28" i="1" s="1"/>
  <c r="AQ29" i="1"/>
  <c r="AR29" i="1" s="1"/>
  <c r="AQ30" i="1"/>
  <c r="AR30" i="1" s="1"/>
  <c r="AQ31" i="1"/>
  <c r="AR31" i="1" s="1"/>
  <c r="AQ32" i="1"/>
  <c r="AR32" i="1" s="1"/>
  <c r="AQ33" i="1"/>
  <c r="AR33" i="1" s="1"/>
  <c r="AQ34" i="1"/>
  <c r="AQ35" i="1"/>
  <c r="AR35" i="1" s="1"/>
  <c r="AQ36" i="1"/>
  <c r="AQ37" i="1"/>
  <c r="AQ38" i="1"/>
  <c r="AQ39" i="1"/>
  <c r="AR39" i="1" s="1"/>
  <c r="AQ40" i="1"/>
  <c r="AR40" i="1" s="1"/>
  <c r="AQ41" i="1"/>
  <c r="AR41" i="1" s="1"/>
  <c r="AQ42" i="1"/>
  <c r="AR42" i="1" s="1"/>
  <c r="AQ43" i="1"/>
  <c r="AR43" i="1" s="1"/>
  <c r="AQ44" i="1"/>
  <c r="AR44" i="1" s="1"/>
  <c r="AQ45" i="1"/>
  <c r="AR45" i="1" s="1"/>
  <c r="AQ46" i="1"/>
  <c r="AQ47" i="1"/>
  <c r="AR47" i="1" s="1"/>
  <c r="AQ48" i="1"/>
  <c r="AQ49" i="1"/>
  <c r="AQ50" i="1"/>
  <c r="AR50" i="1" s="1"/>
  <c r="AQ51" i="1"/>
  <c r="AR51" i="1" s="1"/>
  <c r="AQ52" i="1"/>
  <c r="AR52" i="1" s="1"/>
  <c r="AQ53" i="1"/>
  <c r="AR53" i="1" s="1"/>
  <c r="AQ54" i="1"/>
  <c r="AR54" i="1" s="1"/>
  <c r="AQ55" i="1"/>
  <c r="AR55" i="1" s="1"/>
  <c r="AQ56" i="1"/>
  <c r="AR56" i="1" s="1"/>
  <c r="AQ57" i="1"/>
  <c r="AR57" i="1" s="1"/>
  <c r="AQ58" i="1"/>
  <c r="AQ59" i="1"/>
  <c r="AR59" i="1" s="1"/>
  <c r="AQ60" i="1"/>
  <c r="AQ61" i="1"/>
  <c r="AQ62" i="1"/>
  <c r="AQ63" i="1"/>
  <c r="AQ64" i="1"/>
  <c r="AR64" i="1" s="1"/>
  <c r="AQ65" i="1"/>
  <c r="AR65" i="1" s="1"/>
  <c r="AQ66" i="1"/>
  <c r="AR66" i="1" s="1"/>
  <c r="AQ67" i="1"/>
  <c r="AR67" i="1" s="1"/>
  <c r="AQ68" i="1"/>
  <c r="AR68" i="1" s="1"/>
  <c r="AQ69" i="1"/>
  <c r="AR69" i="1" s="1"/>
  <c r="AQ70" i="1"/>
  <c r="AQ71" i="1"/>
  <c r="AR71" i="1" s="1"/>
  <c r="AQ72" i="1"/>
  <c r="AQ73" i="1"/>
  <c r="AQ74" i="1"/>
  <c r="AR74" i="1" s="1"/>
  <c r="AQ75" i="1"/>
  <c r="AR75" i="1" s="1"/>
  <c r="AQ76" i="1"/>
  <c r="AR76" i="1" s="1"/>
  <c r="AQ77" i="1"/>
  <c r="AR77" i="1" s="1"/>
  <c r="AQ78" i="1"/>
  <c r="AR78" i="1" s="1"/>
  <c r="AQ79" i="1"/>
  <c r="AR79" i="1" s="1"/>
  <c r="AQ80" i="1"/>
  <c r="AR80" i="1" s="1"/>
  <c r="AQ81" i="1"/>
  <c r="AR81" i="1" s="1"/>
  <c r="AQ82" i="1"/>
  <c r="AQ83" i="1"/>
  <c r="AR83" i="1" s="1"/>
  <c r="AQ84" i="1"/>
  <c r="AQ85" i="1"/>
  <c r="AQ86" i="1"/>
  <c r="AQ87" i="1"/>
  <c r="AQ88" i="1"/>
  <c r="AR88" i="1" s="1"/>
  <c r="AQ89" i="1"/>
  <c r="AR89" i="1" s="1"/>
  <c r="AQ90" i="1"/>
  <c r="AR90" i="1" s="1"/>
  <c r="AQ91" i="1"/>
  <c r="AR91" i="1" s="1"/>
  <c r="AQ92" i="1"/>
  <c r="AR92" i="1" s="1"/>
  <c r="AQ93" i="1"/>
  <c r="AR93" i="1" s="1"/>
  <c r="AQ94" i="1"/>
  <c r="AQ95" i="1"/>
  <c r="AR95" i="1" s="1"/>
  <c r="AQ96" i="1"/>
  <c r="AQ97" i="1"/>
  <c r="AQ98" i="1"/>
  <c r="AQ99" i="1"/>
  <c r="AQ100" i="1"/>
  <c r="AR100" i="1" s="1"/>
  <c r="AQ101" i="1"/>
  <c r="AR101" i="1" s="1"/>
  <c r="AQ102" i="1"/>
  <c r="AR102" i="1" s="1"/>
  <c r="AQ103" i="1"/>
  <c r="AR103" i="1" s="1"/>
  <c r="AQ104" i="1"/>
  <c r="AR104" i="1" s="1"/>
  <c r="AQ105" i="1"/>
  <c r="AR105" i="1" s="1"/>
  <c r="AQ106" i="1"/>
  <c r="AQ107" i="1"/>
  <c r="AR107" i="1" s="1"/>
  <c r="AQ108" i="1"/>
  <c r="AQ109" i="1"/>
  <c r="AQ110" i="1"/>
  <c r="AR110" i="1" s="1"/>
  <c r="AQ111" i="1"/>
  <c r="AR111" i="1" s="1"/>
  <c r="AQ112" i="1"/>
  <c r="AR112" i="1" s="1"/>
  <c r="AQ113" i="1"/>
  <c r="AR113" i="1" s="1"/>
  <c r="AQ114" i="1"/>
  <c r="AR114" i="1" s="1"/>
  <c r="AQ115" i="1"/>
  <c r="AR115" i="1" s="1"/>
  <c r="AQ116" i="1"/>
  <c r="AR116" i="1" s="1"/>
  <c r="AQ117" i="1"/>
  <c r="AR117" i="1" s="1"/>
  <c r="AQ118" i="1"/>
  <c r="AQ119" i="1"/>
  <c r="AR119" i="1" s="1"/>
  <c r="AQ120" i="1"/>
  <c r="AQ121" i="1"/>
  <c r="AQ122" i="1"/>
  <c r="AQ123" i="1"/>
  <c r="AR123" i="1" s="1"/>
  <c r="AQ124" i="1"/>
  <c r="AR124" i="1" s="1"/>
  <c r="AQ125" i="1"/>
  <c r="AR125" i="1" s="1"/>
  <c r="AQ126" i="1"/>
  <c r="AR126" i="1" s="1"/>
  <c r="AQ127" i="1"/>
  <c r="AR127" i="1" s="1"/>
  <c r="AQ128" i="1"/>
  <c r="AR128" i="1" s="1"/>
  <c r="AQ129" i="1"/>
  <c r="AR129" i="1" s="1"/>
  <c r="AQ130" i="1"/>
  <c r="AQ131" i="1"/>
  <c r="AR131" i="1" s="1"/>
  <c r="AQ132" i="1"/>
  <c r="AQ133" i="1"/>
  <c r="AQ134" i="1"/>
  <c r="AQ135" i="1"/>
  <c r="AR135" i="1" s="1"/>
  <c r="AQ136" i="1"/>
  <c r="AR136" i="1" s="1"/>
  <c r="AQ137" i="1"/>
  <c r="AR137" i="1" s="1"/>
  <c r="AQ138" i="1"/>
  <c r="AR138" i="1" s="1"/>
  <c r="AQ139" i="1"/>
  <c r="AR139" i="1" s="1"/>
  <c r="AQ140" i="1"/>
  <c r="AR140" i="1" s="1"/>
  <c r="AQ141" i="1"/>
  <c r="AR141" i="1" s="1"/>
  <c r="AQ142" i="1"/>
  <c r="AQ143" i="1"/>
  <c r="AR143" i="1" s="1"/>
  <c r="AQ144" i="1"/>
  <c r="AQ145" i="1"/>
  <c r="AQ146" i="1"/>
  <c r="AR146" i="1" s="1"/>
  <c r="AQ147" i="1"/>
  <c r="AR147" i="1" s="1"/>
  <c r="AQ148" i="1"/>
  <c r="AR148" i="1" s="1"/>
  <c r="AQ149" i="1"/>
  <c r="AR149" i="1" s="1"/>
  <c r="AQ150" i="1"/>
  <c r="AR150" i="1" s="1"/>
  <c r="AQ151" i="1"/>
  <c r="AR151" i="1" s="1"/>
  <c r="AQ152" i="1"/>
  <c r="AR152" i="1" s="1"/>
  <c r="AQ153" i="1"/>
  <c r="AR153" i="1" s="1"/>
  <c r="AQ154" i="1"/>
  <c r="AR154" i="1" s="1"/>
  <c r="AQ155" i="1"/>
  <c r="AR155" i="1" s="1"/>
  <c r="AQ156" i="1"/>
  <c r="AQ157" i="1"/>
  <c r="AQ158" i="1"/>
  <c r="AQ159" i="1"/>
  <c r="AR159" i="1" s="1"/>
  <c r="AQ160" i="1"/>
  <c r="AR160" i="1" s="1"/>
  <c r="AQ161" i="1"/>
  <c r="AR161" i="1" s="1"/>
  <c r="AQ162" i="1"/>
  <c r="AR162" i="1" s="1"/>
  <c r="AQ163" i="1"/>
  <c r="AR163" i="1" s="1"/>
  <c r="AQ164" i="1"/>
  <c r="AR164" i="1" s="1"/>
  <c r="AQ165" i="1"/>
  <c r="AR165" i="1" s="1"/>
  <c r="AQ166" i="1"/>
  <c r="AQ167" i="1"/>
  <c r="AR167" i="1" s="1"/>
  <c r="AQ168" i="1"/>
  <c r="AQ169" i="1"/>
  <c r="AQ170" i="1"/>
  <c r="AQ171" i="1"/>
  <c r="AR171" i="1" s="1"/>
  <c r="AQ172" i="1"/>
  <c r="AR172" i="1" s="1"/>
  <c r="AQ173" i="1"/>
  <c r="AR173" i="1" s="1"/>
  <c r="AQ174" i="1"/>
  <c r="AR174" i="1" s="1"/>
  <c r="AQ175" i="1"/>
  <c r="AR175" i="1" s="1"/>
  <c r="AQ176" i="1"/>
  <c r="AR176" i="1" s="1"/>
  <c r="AQ177" i="1"/>
  <c r="AR177" i="1" s="1"/>
  <c r="AQ178" i="1"/>
  <c r="AQ179" i="1"/>
  <c r="AR179" i="1" s="1"/>
  <c r="AQ180" i="1"/>
  <c r="AQ181" i="1"/>
  <c r="AQ182" i="1"/>
  <c r="AR182" i="1" s="1"/>
  <c r="AQ183" i="1"/>
  <c r="AR183" i="1" s="1"/>
  <c r="AQ184" i="1"/>
  <c r="AR184" i="1" s="1"/>
  <c r="AQ185" i="1"/>
  <c r="AR185" i="1" s="1"/>
  <c r="AQ186" i="1"/>
  <c r="AR186" i="1" s="1"/>
  <c r="AQ187" i="1"/>
  <c r="AR187" i="1" s="1"/>
  <c r="AQ188" i="1"/>
  <c r="AR188" i="1" s="1"/>
  <c r="AQ189" i="1"/>
  <c r="AR189" i="1" s="1"/>
  <c r="AQ190" i="1"/>
  <c r="AQ191" i="1"/>
  <c r="AQ192" i="1"/>
  <c r="AQ193" i="1"/>
  <c r="AQ194" i="1"/>
  <c r="AQ195" i="1"/>
  <c r="AR195" i="1" s="1"/>
  <c r="AQ196" i="1"/>
  <c r="AR196" i="1" s="1"/>
  <c r="AQ197" i="1"/>
  <c r="AR197" i="1" s="1"/>
  <c r="AQ198" i="1"/>
  <c r="AR198" i="1" s="1"/>
  <c r="AQ199" i="1"/>
  <c r="AR199" i="1" s="1"/>
  <c r="AQ200" i="1"/>
  <c r="AR200" i="1" s="1"/>
  <c r="AQ201" i="1"/>
  <c r="AR201" i="1" s="1"/>
  <c r="AQ202" i="1"/>
  <c r="AR202" i="1" s="1"/>
  <c r="AQ203" i="1"/>
  <c r="AR203" i="1" s="1"/>
  <c r="AQ204" i="1"/>
  <c r="AQ205" i="1"/>
  <c r="AQ206" i="1"/>
  <c r="AQ207" i="1"/>
  <c r="AR207" i="1" s="1"/>
  <c r="AQ208" i="1"/>
  <c r="AR208" i="1" s="1"/>
  <c r="AQ209" i="1"/>
  <c r="AR209" i="1" s="1"/>
  <c r="AQ210" i="1"/>
  <c r="AR210" i="1" s="1"/>
  <c r="AQ211" i="1"/>
  <c r="AR211" i="1" s="1"/>
  <c r="AQ212" i="1"/>
  <c r="AR212" i="1" s="1"/>
  <c r="AQ213" i="1"/>
  <c r="AR213" i="1" s="1"/>
  <c r="AQ214" i="1"/>
  <c r="AQ215" i="1"/>
  <c r="AQ216" i="1"/>
  <c r="AQ217" i="1"/>
  <c r="AQ218" i="1"/>
  <c r="AQ219" i="1"/>
  <c r="AQ220" i="1"/>
  <c r="AQ221" i="1"/>
  <c r="AR221" i="1" s="1"/>
  <c r="AQ222" i="1"/>
  <c r="AR222" i="1" s="1"/>
  <c r="AQ223" i="1"/>
  <c r="AR223" i="1" s="1"/>
  <c r="AQ224" i="1"/>
  <c r="AR224" i="1" s="1"/>
  <c r="AQ225" i="1"/>
  <c r="AR225" i="1" s="1"/>
  <c r="AQ226" i="1"/>
  <c r="AQ227" i="1"/>
  <c r="AQ228" i="1"/>
  <c r="AQ229" i="1"/>
  <c r="AQ230" i="1"/>
  <c r="AQ231" i="1"/>
  <c r="AR231" i="1" s="1"/>
  <c r="AQ232" i="1"/>
  <c r="AR232" i="1" s="1"/>
  <c r="AQ233" i="1"/>
  <c r="AR233" i="1" s="1"/>
  <c r="AQ234" i="1"/>
  <c r="AR234" i="1" s="1"/>
  <c r="AQ235" i="1"/>
  <c r="AR235" i="1" s="1"/>
  <c r="AQ236" i="1"/>
  <c r="AR236" i="1" s="1"/>
  <c r="AQ237" i="1"/>
  <c r="AR237" i="1" s="1"/>
  <c r="AQ238" i="1"/>
  <c r="AQ239" i="1"/>
  <c r="AQ240" i="1"/>
  <c r="AQ241" i="1"/>
  <c r="AQ242" i="1"/>
  <c r="AQ243" i="1"/>
  <c r="AR243" i="1" s="1"/>
  <c r="AQ244" i="1"/>
  <c r="AR244" i="1" s="1"/>
  <c r="AQ245" i="1"/>
  <c r="AR245" i="1" s="1"/>
  <c r="AQ246" i="1"/>
  <c r="AR246" i="1" s="1"/>
  <c r="AQ247" i="1"/>
  <c r="AR247" i="1" s="1"/>
  <c r="AQ248" i="1"/>
  <c r="AR248" i="1" s="1"/>
  <c r="AQ249" i="1"/>
  <c r="AR249" i="1" s="1"/>
  <c r="AQ250" i="1"/>
  <c r="AQ251" i="1"/>
  <c r="AQ252" i="1"/>
  <c r="AQ253" i="1"/>
  <c r="AQ254" i="1"/>
  <c r="AQ255" i="1"/>
  <c r="AR255" i="1" s="1"/>
  <c r="AQ256" i="1"/>
  <c r="AR256" i="1" s="1"/>
  <c r="AQ257" i="1"/>
  <c r="AR257" i="1" s="1"/>
  <c r="AQ258" i="1"/>
  <c r="AR258" i="1" s="1"/>
  <c r="AQ259" i="1"/>
  <c r="AR259" i="1" s="1"/>
  <c r="AQ260" i="1"/>
  <c r="AR260" i="1" s="1"/>
  <c r="AQ261" i="1"/>
  <c r="AR261" i="1" s="1"/>
  <c r="AQ262" i="1"/>
  <c r="AQ263" i="1"/>
  <c r="AR263" i="1" s="1"/>
  <c r="AQ264" i="1"/>
  <c r="AQ265" i="1"/>
  <c r="AQ266" i="1"/>
  <c r="AR266" i="1" s="1"/>
  <c r="AQ267" i="1"/>
  <c r="AR267" i="1" s="1"/>
  <c r="AQ268" i="1"/>
  <c r="AR268" i="1" s="1"/>
  <c r="AQ269" i="1"/>
  <c r="AR269" i="1" s="1"/>
  <c r="AQ270" i="1"/>
  <c r="AR270" i="1" s="1"/>
  <c r="AQ271" i="1"/>
  <c r="AR271" i="1" s="1"/>
  <c r="AQ272" i="1"/>
  <c r="AR272" i="1" s="1"/>
  <c r="AQ273" i="1"/>
  <c r="AR273" i="1" s="1"/>
  <c r="AQ274" i="1"/>
  <c r="AQ275" i="1"/>
  <c r="AQ276" i="1"/>
  <c r="AQ277" i="1"/>
  <c r="AQ278" i="1"/>
  <c r="AQ279" i="1"/>
  <c r="AR279" i="1" s="1"/>
  <c r="AQ280" i="1"/>
  <c r="AR280" i="1" s="1"/>
  <c r="AQ281" i="1"/>
  <c r="AR281" i="1" s="1"/>
  <c r="AQ282" i="1"/>
  <c r="AR282" i="1" s="1"/>
  <c r="AQ283" i="1"/>
  <c r="AR283" i="1" s="1"/>
  <c r="AQ284" i="1"/>
  <c r="AR284" i="1" s="1"/>
  <c r="AQ285" i="1"/>
  <c r="AR285" i="1" s="1"/>
  <c r="AQ286" i="1"/>
  <c r="AQ287" i="1"/>
  <c r="AR287" i="1" s="1"/>
  <c r="AQ288" i="1"/>
  <c r="AQ289" i="1"/>
  <c r="AQ290" i="1"/>
  <c r="AR290" i="1" s="1"/>
  <c r="AQ291" i="1"/>
  <c r="AR291" i="1" s="1"/>
  <c r="AQ292" i="1"/>
  <c r="AR292" i="1" s="1"/>
  <c r="AQ293" i="1"/>
  <c r="AR293" i="1" s="1"/>
  <c r="AQ294" i="1"/>
  <c r="AR294" i="1" s="1"/>
  <c r="AQ295" i="1"/>
  <c r="AR295" i="1" s="1"/>
  <c r="AQ296" i="1"/>
  <c r="AR296" i="1" s="1"/>
  <c r="AQ297" i="1"/>
  <c r="AR297" i="1" s="1"/>
  <c r="AQ298" i="1"/>
  <c r="AQ299" i="1"/>
  <c r="AR299" i="1" s="1"/>
  <c r="AQ300" i="1"/>
  <c r="AQ301" i="1"/>
  <c r="AQ302" i="1"/>
  <c r="AQ303" i="1"/>
  <c r="AR303" i="1" s="1"/>
  <c r="AQ304" i="1"/>
  <c r="AR304" i="1" s="1"/>
  <c r="AQ305" i="1"/>
  <c r="AR305" i="1" s="1"/>
  <c r="AQ306" i="1"/>
  <c r="AR306" i="1" s="1"/>
  <c r="AQ307" i="1"/>
  <c r="AR307" i="1" s="1"/>
  <c r="AQ308" i="1"/>
  <c r="AR308" i="1" s="1"/>
  <c r="AQ309" i="1"/>
  <c r="AR309" i="1" s="1"/>
  <c r="AQ310" i="1"/>
  <c r="AQ311" i="1"/>
  <c r="AQ312" i="1"/>
  <c r="AQ313" i="1"/>
  <c r="AQ314" i="1"/>
  <c r="AQ315" i="1"/>
  <c r="AR315" i="1" s="1"/>
  <c r="AQ316" i="1"/>
  <c r="AR316" i="1" s="1"/>
  <c r="AQ317" i="1"/>
  <c r="AR317" i="1" s="1"/>
  <c r="AQ318" i="1"/>
  <c r="AR318" i="1" s="1"/>
  <c r="AQ319" i="1"/>
  <c r="AR319" i="1" s="1"/>
  <c r="AQ320" i="1"/>
  <c r="AR320" i="1" s="1"/>
  <c r="AQ321" i="1"/>
  <c r="AR321" i="1" s="1"/>
  <c r="AQ322" i="1"/>
  <c r="AQ323" i="1"/>
  <c r="AR323" i="1" s="1"/>
  <c r="AQ324" i="1"/>
  <c r="AQ325" i="1"/>
  <c r="AQ326" i="1"/>
  <c r="AR326" i="1" s="1"/>
  <c r="AQ327" i="1"/>
  <c r="AR327" i="1" s="1"/>
  <c r="AQ328" i="1"/>
  <c r="AR328" i="1" s="1"/>
  <c r="AQ329" i="1"/>
  <c r="AR329" i="1" s="1"/>
  <c r="AQ330" i="1"/>
  <c r="AR330" i="1" s="1"/>
  <c r="AQ331" i="1"/>
  <c r="AQ332" i="1"/>
  <c r="AR332" i="1" s="1"/>
  <c r="AQ333" i="1"/>
  <c r="AR333" i="1" s="1"/>
  <c r="AQ334" i="1"/>
  <c r="AQ335" i="1"/>
  <c r="AR335" i="1" s="1"/>
  <c r="AQ336" i="1"/>
  <c r="AQ337" i="1"/>
  <c r="AQ338" i="1"/>
  <c r="AQ339" i="1"/>
  <c r="AR339" i="1" s="1"/>
  <c r="AQ340" i="1"/>
  <c r="AR340" i="1" s="1"/>
  <c r="AQ341" i="1"/>
  <c r="AR341" i="1" s="1"/>
  <c r="AQ342" i="1"/>
  <c r="AR342" i="1" s="1"/>
  <c r="AQ343" i="1"/>
  <c r="AR343" i="1" s="1"/>
  <c r="AQ344" i="1"/>
  <c r="AR344" i="1" s="1"/>
  <c r="AQ345" i="1"/>
  <c r="AR345" i="1" s="1"/>
  <c r="AQ346" i="1"/>
  <c r="AQ347" i="1"/>
  <c r="AR347" i="1" s="1"/>
  <c r="AQ348" i="1"/>
  <c r="AQ349" i="1"/>
  <c r="AQ350" i="1"/>
  <c r="AR350" i="1" s="1"/>
  <c r="AQ351" i="1"/>
  <c r="AR351" i="1" s="1"/>
  <c r="AQ352" i="1"/>
  <c r="AR352" i="1" s="1"/>
  <c r="AQ353" i="1"/>
  <c r="AR353" i="1" s="1"/>
  <c r="AQ354" i="1"/>
  <c r="AR354" i="1" s="1"/>
  <c r="AQ355" i="1"/>
  <c r="AR355" i="1" s="1"/>
  <c r="AQ356" i="1"/>
  <c r="AR356" i="1" s="1"/>
  <c r="AQ357" i="1"/>
  <c r="AR357" i="1" s="1"/>
  <c r="AQ358" i="1"/>
  <c r="AQ359" i="1"/>
  <c r="AQ360" i="1"/>
  <c r="AQ361" i="1"/>
  <c r="AQ362" i="1"/>
  <c r="AQ363" i="1"/>
  <c r="AR363" i="1" s="1"/>
  <c r="AQ364" i="1"/>
  <c r="AR364" i="1" s="1"/>
  <c r="AQ365" i="1"/>
  <c r="AR365" i="1" s="1"/>
  <c r="AQ366" i="1"/>
  <c r="AR366" i="1" s="1"/>
  <c r="AQ367" i="1"/>
  <c r="AR367" i="1" s="1"/>
  <c r="AQ368" i="1"/>
  <c r="AR368" i="1" s="1"/>
  <c r="AQ369" i="1"/>
  <c r="AR369" i="1" s="1"/>
  <c r="AQ370" i="1"/>
  <c r="AQ371" i="1"/>
  <c r="AQ372" i="1"/>
  <c r="AQ373" i="1"/>
  <c r="AQ374" i="1"/>
  <c r="AR374" i="1" s="1"/>
  <c r="AQ375" i="1"/>
  <c r="AR375" i="1" s="1"/>
  <c r="AQ376" i="1"/>
  <c r="AR376" i="1" s="1"/>
  <c r="AQ377" i="1"/>
  <c r="AR377" i="1" s="1"/>
  <c r="AQ378" i="1"/>
  <c r="AR378" i="1" s="1"/>
  <c r="AQ379" i="1"/>
  <c r="AR379" i="1" s="1"/>
  <c r="AQ380" i="1"/>
  <c r="AR380" i="1" s="1"/>
  <c r="AQ381" i="1"/>
  <c r="AR381" i="1" s="1"/>
  <c r="AQ382" i="1"/>
  <c r="AQ383" i="1"/>
  <c r="AQ384" i="1"/>
  <c r="AQ385" i="1"/>
  <c r="AQ386" i="1"/>
  <c r="AQ387" i="1"/>
  <c r="AQ388" i="1"/>
  <c r="AR388" i="1" s="1"/>
  <c r="AQ389" i="1"/>
  <c r="AR389" i="1" s="1"/>
  <c r="AQ390" i="1"/>
  <c r="AR390" i="1" s="1"/>
  <c r="AQ391" i="1"/>
  <c r="AR391" i="1" s="1"/>
  <c r="AQ392" i="1"/>
  <c r="AR392" i="1" s="1"/>
  <c r="AQ393" i="1"/>
  <c r="AR393" i="1" s="1"/>
  <c r="AQ394" i="1"/>
  <c r="AQ395" i="1"/>
  <c r="AR395" i="1" s="1"/>
  <c r="AQ396" i="1"/>
  <c r="AQ397" i="1"/>
  <c r="AQ398" i="1"/>
  <c r="AQ399" i="1"/>
  <c r="AR399" i="1" s="1"/>
  <c r="AQ400" i="1"/>
  <c r="AR400" i="1" s="1"/>
  <c r="AQ401" i="1"/>
  <c r="AR401" i="1" s="1"/>
  <c r="AQ402" i="1"/>
  <c r="AR402" i="1" s="1"/>
  <c r="AQ403" i="1"/>
  <c r="AR403" i="1" s="1"/>
  <c r="AQ404" i="1"/>
  <c r="AR404" i="1" s="1"/>
  <c r="AQ405" i="1"/>
  <c r="AR405" i="1" s="1"/>
  <c r="AQ406" i="1"/>
  <c r="AQ407" i="1"/>
  <c r="AQ408" i="1"/>
  <c r="AQ409" i="1"/>
  <c r="AQ410" i="1"/>
  <c r="AQ411" i="1"/>
  <c r="AR411" i="1" s="1"/>
  <c r="AQ412" i="1"/>
  <c r="AR412" i="1" s="1"/>
  <c r="AQ413" i="1"/>
  <c r="AR413" i="1" s="1"/>
  <c r="AQ414" i="1"/>
  <c r="AR414" i="1" s="1"/>
  <c r="AQ415" i="1"/>
  <c r="AR415" i="1" s="1"/>
  <c r="AQ416" i="1"/>
  <c r="AR416" i="1" s="1"/>
  <c r="AQ417" i="1"/>
  <c r="AR417" i="1" s="1"/>
  <c r="AQ418" i="1"/>
  <c r="AQ419" i="1"/>
  <c r="AQ420" i="1"/>
  <c r="AQ421" i="1"/>
  <c r="AQ422" i="1"/>
  <c r="AQ423" i="1"/>
  <c r="AR423" i="1" s="1"/>
  <c r="AQ424" i="1"/>
  <c r="AR424" i="1" s="1"/>
  <c r="AQ425" i="1"/>
  <c r="AR425" i="1" s="1"/>
  <c r="AQ426" i="1"/>
  <c r="AR426" i="1" s="1"/>
  <c r="AQ427" i="1"/>
  <c r="AR427" i="1" s="1"/>
  <c r="AQ428" i="1"/>
  <c r="AR428" i="1" s="1"/>
  <c r="AQ429" i="1"/>
  <c r="AR429" i="1" s="1"/>
  <c r="AQ430" i="1"/>
  <c r="AQ431" i="1"/>
  <c r="AR431" i="1" s="1"/>
  <c r="AQ432" i="1"/>
  <c r="AQ433" i="1"/>
  <c r="AQ434" i="1"/>
  <c r="AR434" i="1" s="1"/>
  <c r="AQ435" i="1"/>
  <c r="AR435" i="1" s="1"/>
  <c r="AQ436" i="1"/>
  <c r="AR436" i="1" s="1"/>
  <c r="AQ437" i="1"/>
  <c r="AR437" i="1" s="1"/>
  <c r="AQ438" i="1"/>
  <c r="AR438" i="1" s="1"/>
  <c r="AQ439" i="1"/>
  <c r="AR439" i="1" s="1"/>
  <c r="AQ440" i="1"/>
  <c r="AR440" i="1" s="1"/>
  <c r="AQ441" i="1"/>
  <c r="AR441" i="1" s="1"/>
  <c r="AQ442" i="1"/>
  <c r="AQ443" i="1"/>
  <c r="AR443" i="1" s="1"/>
  <c r="AQ444" i="1"/>
  <c r="AQ445" i="1"/>
  <c r="AQ446" i="1"/>
  <c r="AQ447" i="1"/>
  <c r="AR447" i="1" s="1"/>
  <c r="AQ448" i="1"/>
  <c r="AR448" i="1" s="1"/>
  <c r="AQ449" i="1"/>
  <c r="AR449" i="1" s="1"/>
  <c r="AQ450" i="1"/>
  <c r="AR450" i="1" s="1"/>
  <c r="AQ451" i="1"/>
  <c r="AR451" i="1" s="1"/>
  <c r="AQ452" i="1"/>
  <c r="AR452" i="1" s="1"/>
  <c r="AQ453" i="1"/>
  <c r="AR453" i="1" s="1"/>
  <c r="AQ454" i="1"/>
  <c r="AQ455" i="1"/>
  <c r="AR455" i="1" s="1"/>
  <c r="AQ456" i="1"/>
  <c r="AQ457" i="1"/>
  <c r="AQ458" i="1"/>
  <c r="AQ459" i="1"/>
  <c r="AR459" i="1" s="1"/>
  <c r="AQ460" i="1"/>
  <c r="AR460" i="1" s="1"/>
  <c r="AQ461" i="1"/>
  <c r="AR461" i="1" s="1"/>
  <c r="AQ462" i="1"/>
  <c r="AR462" i="1" s="1"/>
  <c r="AQ463" i="1"/>
  <c r="AR463" i="1" s="1"/>
  <c r="AQ464" i="1"/>
  <c r="AR464" i="1" s="1"/>
  <c r="AQ465" i="1"/>
  <c r="AR465" i="1" s="1"/>
  <c r="AQ466" i="1"/>
  <c r="AQ467" i="1"/>
  <c r="AR467" i="1" s="1"/>
  <c r="AQ468" i="1"/>
  <c r="AQ469" i="1"/>
  <c r="AQ470" i="1"/>
  <c r="AR470" i="1" s="1"/>
  <c r="AQ471" i="1"/>
  <c r="AR471" i="1" s="1"/>
  <c r="AQ472" i="1"/>
  <c r="AR472" i="1" s="1"/>
  <c r="AQ473" i="1"/>
  <c r="AR473" i="1" s="1"/>
  <c r="AQ474" i="1"/>
  <c r="AR474" i="1" s="1"/>
  <c r="AQ475" i="1"/>
  <c r="AR475" i="1" s="1"/>
  <c r="AQ476" i="1"/>
  <c r="AR476" i="1" s="1"/>
  <c r="AQ477" i="1"/>
  <c r="AR477" i="1" s="1"/>
  <c r="AQ478" i="1"/>
  <c r="AQ479" i="1"/>
  <c r="AQ480" i="1"/>
  <c r="AQ481" i="1"/>
  <c r="AQ482" i="1"/>
  <c r="AQ483" i="1"/>
  <c r="AQ484" i="1"/>
  <c r="AR484" i="1" s="1"/>
  <c r="AQ485" i="1"/>
  <c r="AR485" i="1" s="1"/>
  <c r="AQ486" i="1"/>
  <c r="AR486" i="1" s="1"/>
  <c r="AQ487" i="1"/>
  <c r="AR487" i="1" s="1"/>
  <c r="AQ488" i="1"/>
  <c r="AR488" i="1" s="1"/>
  <c r="AQ489" i="1"/>
  <c r="AR489" i="1" s="1"/>
  <c r="AQ490" i="1"/>
  <c r="AQ491" i="1"/>
  <c r="AR491" i="1" s="1"/>
  <c r="AQ492" i="1"/>
  <c r="AQ493" i="1"/>
  <c r="AQ494" i="1"/>
  <c r="AR494" i="1" s="1"/>
  <c r="AQ495" i="1"/>
  <c r="AR495" i="1" s="1"/>
  <c r="AQ496" i="1"/>
  <c r="AR496" i="1" s="1"/>
  <c r="AQ497" i="1"/>
  <c r="AR497" i="1" s="1"/>
  <c r="AQ498" i="1"/>
  <c r="AR498" i="1" s="1"/>
  <c r="AQ499" i="1"/>
  <c r="AR499" i="1" s="1"/>
  <c r="AQ500" i="1"/>
  <c r="AR500" i="1" s="1"/>
  <c r="AQ501" i="1"/>
  <c r="AR501" i="1" s="1"/>
  <c r="AQ502" i="1"/>
  <c r="AQ503" i="1"/>
  <c r="AQ504" i="1"/>
  <c r="AQ505" i="1"/>
  <c r="AQ506" i="1"/>
  <c r="AQ507" i="1"/>
  <c r="AR507" i="1" s="1"/>
  <c r="AQ508" i="1"/>
  <c r="AR508" i="1" s="1"/>
  <c r="AQ509" i="1"/>
  <c r="AR509" i="1" s="1"/>
  <c r="AQ510" i="1"/>
  <c r="AR510" i="1" s="1"/>
  <c r="AQ511" i="1"/>
  <c r="AR511" i="1" s="1"/>
  <c r="AQ512" i="1"/>
  <c r="AR512" i="1" s="1"/>
  <c r="AQ513" i="1"/>
  <c r="AR513" i="1" s="1"/>
  <c r="AQ514" i="1"/>
  <c r="AQ515" i="1"/>
  <c r="AQ516" i="1"/>
  <c r="AQ517" i="1"/>
  <c r="AQ518" i="1"/>
  <c r="AQ519" i="1"/>
  <c r="AQ520" i="1"/>
  <c r="AR520" i="1" s="1"/>
  <c r="AQ521" i="1"/>
  <c r="AR521" i="1" s="1"/>
  <c r="AQ522" i="1"/>
  <c r="AR522" i="1" s="1"/>
  <c r="AQ523" i="1"/>
  <c r="AR523" i="1" s="1"/>
  <c r="AQ524" i="1"/>
  <c r="AR524" i="1" s="1"/>
  <c r="AQ525" i="1"/>
  <c r="AR525" i="1" s="1"/>
  <c r="AQ526" i="1"/>
  <c r="AQ527" i="1"/>
  <c r="AR527" i="1" s="1"/>
  <c r="AQ528" i="1"/>
  <c r="AQ529" i="1"/>
  <c r="AQ530" i="1"/>
  <c r="AR530" i="1" s="1"/>
  <c r="AQ531" i="1"/>
  <c r="AR531" i="1" s="1"/>
  <c r="AQ532" i="1"/>
  <c r="AR532" i="1" s="1"/>
  <c r="AQ533" i="1"/>
  <c r="AR533" i="1" s="1"/>
  <c r="AQ534" i="1"/>
  <c r="AR534" i="1" s="1"/>
  <c r="AQ535" i="1"/>
  <c r="AR535" i="1" s="1"/>
  <c r="AQ536" i="1"/>
  <c r="AR536" i="1" s="1"/>
  <c r="AQ537" i="1"/>
  <c r="AR537" i="1" s="1"/>
  <c r="AQ538" i="1"/>
  <c r="AQ539" i="1"/>
  <c r="AQ540" i="1"/>
  <c r="AQ541" i="1"/>
  <c r="AQ542" i="1"/>
  <c r="AQ543" i="1"/>
  <c r="AR543" i="1" s="1"/>
  <c r="AQ544" i="1"/>
  <c r="AR544" i="1" s="1"/>
  <c r="AQ545" i="1"/>
  <c r="AR545" i="1" s="1"/>
  <c r="AQ546" i="1"/>
  <c r="AR546" i="1" s="1"/>
  <c r="AQ547" i="1"/>
  <c r="AR547" i="1" s="1"/>
  <c r="AQ548" i="1"/>
  <c r="AR548" i="1" s="1"/>
  <c r="AQ549" i="1"/>
  <c r="AR549" i="1" s="1"/>
  <c r="AQ550" i="1"/>
  <c r="AQ551" i="1"/>
  <c r="AR551" i="1" s="1"/>
  <c r="AQ552" i="1"/>
  <c r="AQ553" i="1"/>
  <c r="AQ554" i="1"/>
  <c r="AR554" i="1" s="1"/>
  <c r="AQ555" i="1"/>
  <c r="AR555" i="1" s="1"/>
  <c r="AQ556" i="1"/>
  <c r="AR556" i="1" s="1"/>
  <c r="AQ557" i="1"/>
  <c r="AR557" i="1" s="1"/>
  <c r="AQ558" i="1"/>
  <c r="AR558" i="1" s="1"/>
  <c r="AQ559" i="1"/>
  <c r="AQ560" i="1"/>
  <c r="AR560" i="1" s="1"/>
  <c r="AQ561" i="1"/>
  <c r="AR561" i="1" s="1"/>
  <c r="AQ562" i="1"/>
  <c r="AQ563" i="1"/>
  <c r="AQ564" i="1"/>
  <c r="AQ565" i="1"/>
  <c r="AQ566" i="1"/>
  <c r="AQ567" i="1"/>
  <c r="AR567" i="1" s="1"/>
  <c r="AQ568" i="1"/>
  <c r="AR568" i="1" s="1"/>
  <c r="AQ569" i="1"/>
  <c r="AR569" i="1" s="1"/>
  <c r="AQ570" i="1"/>
  <c r="AR570" i="1" s="1"/>
  <c r="AQ571" i="1"/>
  <c r="AR571" i="1" s="1"/>
  <c r="AQ572" i="1"/>
  <c r="AR572" i="1" s="1"/>
  <c r="AQ573" i="1"/>
  <c r="AR573" i="1" s="1"/>
  <c r="AQ574" i="1"/>
  <c r="AQ575" i="1"/>
  <c r="AR575" i="1" s="1"/>
  <c r="AQ576" i="1"/>
  <c r="AQ577" i="1"/>
  <c r="AQ578" i="1"/>
  <c r="AQ579" i="1"/>
  <c r="AQ580" i="1"/>
  <c r="AR580" i="1" s="1"/>
  <c r="AQ581" i="1"/>
  <c r="AR581" i="1" s="1"/>
  <c r="AQ582" i="1"/>
  <c r="AR582" i="1" s="1"/>
  <c r="AQ583" i="1"/>
  <c r="AR583" i="1" s="1"/>
  <c r="AQ584" i="1"/>
  <c r="AR584" i="1" s="1"/>
  <c r="AQ585" i="1"/>
  <c r="AR585" i="1" s="1"/>
  <c r="AQ586" i="1"/>
  <c r="AR586" i="1" s="1"/>
  <c r="AQ587" i="1"/>
  <c r="AR587" i="1" s="1"/>
  <c r="AQ588" i="1"/>
  <c r="AQ589" i="1"/>
  <c r="AQ590" i="1"/>
  <c r="AR590" i="1" s="1"/>
  <c r="AQ591" i="1"/>
  <c r="AR591" i="1" s="1"/>
  <c r="AQ592" i="1"/>
  <c r="AR592" i="1" s="1"/>
  <c r="AQ593" i="1"/>
  <c r="AR593" i="1" s="1"/>
  <c r="AQ594" i="1"/>
  <c r="AR594" i="1" s="1"/>
  <c r="AQ595" i="1"/>
  <c r="AR595" i="1" s="1"/>
  <c r="AQ596" i="1"/>
  <c r="AR596" i="1" s="1"/>
  <c r="AQ597" i="1"/>
  <c r="AR597" i="1" s="1"/>
  <c r="AQ598" i="1"/>
  <c r="AQ599" i="1"/>
  <c r="AQ600" i="1"/>
  <c r="AQ601" i="1"/>
  <c r="AQ602" i="1"/>
  <c r="AQ603" i="1"/>
  <c r="AR603" i="1" s="1"/>
  <c r="AQ604" i="1"/>
  <c r="AR604" i="1" s="1"/>
  <c r="AQ605" i="1"/>
  <c r="AR605" i="1" s="1"/>
  <c r="AQ606" i="1"/>
  <c r="AR606" i="1" s="1"/>
  <c r="AQ607" i="1"/>
  <c r="AQ608" i="1"/>
  <c r="AR608" i="1" s="1"/>
  <c r="AQ609" i="1"/>
  <c r="AR609" i="1" s="1"/>
  <c r="AQ610" i="1"/>
  <c r="AQ611" i="1"/>
  <c r="AR611" i="1" s="1"/>
  <c r="AQ612" i="1"/>
  <c r="AQ613" i="1"/>
  <c r="AQ614" i="1"/>
  <c r="AR614" i="1" s="1"/>
  <c r="AQ615" i="1"/>
  <c r="AR615" i="1" s="1"/>
  <c r="AQ616" i="1"/>
  <c r="AR616" i="1" s="1"/>
  <c r="AQ617" i="1"/>
  <c r="AR617" i="1" s="1"/>
  <c r="AQ618" i="1"/>
  <c r="AR618" i="1" s="1"/>
  <c r="AQ619" i="1"/>
  <c r="AR619" i="1" s="1"/>
  <c r="AQ620" i="1"/>
  <c r="AR620" i="1" s="1"/>
  <c r="AQ621" i="1"/>
  <c r="AR621" i="1" s="1"/>
  <c r="AQ622" i="1"/>
  <c r="AQ623" i="1"/>
  <c r="AQ624" i="1"/>
  <c r="AQ625" i="1"/>
  <c r="AQ626" i="1"/>
  <c r="AQ627" i="1"/>
  <c r="AR627" i="1" s="1"/>
  <c r="AQ628" i="1"/>
  <c r="AR628" i="1" s="1"/>
  <c r="AQ629" i="1"/>
  <c r="AR629" i="1" s="1"/>
  <c r="AQ630" i="1"/>
  <c r="AR630" i="1" s="1"/>
  <c r="AQ631" i="1"/>
  <c r="AR631" i="1" s="1"/>
  <c r="AQ632" i="1"/>
  <c r="AR632" i="1" s="1"/>
  <c r="AQ633" i="1"/>
  <c r="AR633" i="1" s="1"/>
  <c r="AQ634" i="1"/>
  <c r="AQ635" i="1"/>
  <c r="AR635" i="1" s="1"/>
  <c r="AQ636" i="1"/>
  <c r="AQ637" i="1"/>
  <c r="AQ638" i="1"/>
  <c r="AQ639" i="1"/>
  <c r="AR639" i="1" s="1"/>
  <c r="AQ640" i="1"/>
  <c r="AR640" i="1" s="1"/>
  <c r="AQ641" i="1"/>
  <c r="AR641" i="1" s="1"/>
  <c r="AQ642" i="1"/>
  <c r="AR642" i="1" s="1"/>
  <c r="AQ643" i="1"/>
  <c r="AR643" i="1" s="1"/>
  <c r="AQ644" i="1"/>
  <c r="AR644" i="1" s="1"/>
  <c r="AQ645" i="1"/>
  <c r="AR645" i="1" s="1"/>
  <c r="AQ646" i="1"/>
  <c r="AQ647" i="1"/>
  <c r="AQ648" i="1"/>
  <c r="AQ649" i="1"/>
  <c r="AQ650" i="1"/>
  <c r="AR650" i="1" s="1"/>
  <c r="AQ651" i="1"/>
  <c r="AR651" i="1" s="1"/>
  <c r="AQ652" i="1"/>
  <c r="AR652" i="1" s="1"/>
  <c r="AQ653" i="1"/>
  <c r="AR653" i="1" s="1"/>
  <c r="AQ654" i="1"/>
  <c r="AR654" i="1" s="1"/>
  <c r="AQ655" i="1"/>
  <c r="AR655" i="1" s="1"/>
  <c r="AQ656" i="1"/>
  <c r="AR656" i="1" s="1"/>
  <c r="AQ657" i="1"/>
  <c r="AR657" i="1" s="1"/>
  <c r="AQ658" i="1"/>
  <c r="AR658" i="1" s="1"/>
  <c r="AQ659" i="1"/>
  <c r="AQ660" i="1"/>
  <c r="AQ661" i="1"/>
  <c r="AQ662" i="1"/>
  <c r="AQ663" i="1"/>
  <c r="AR663" i="1" s="1"/>
  <c r="AQ664" i="1"/>
  <c r="AR664" i="1" s="1"/>
  <c r="AQ665" i="1"/>
  <c r="AR665" i="1" s="1"/>
  <c r="AQ666" i="1"/>
  <c r="AR666" i="1" s="1"/>
  <c r="AQ667" i="1"/>
  <c r="AR667" i="1" s="1"/>
  <c r="AQ668" i="1"/>
  <c r="AR668" i="1" s="1"/>
  <c r="AQ669" i="1"/>
  <c r="AR669" i="1" s="1"/>
  <c r="AQ670" i="1"/>
  <c r="AQ671" i="1"/>
  <c r="AQ672" i="1"/>
  <c r="AQ673" i="1"/>
  <c r="AR673" i="1" s="1"/>
  <c r="AQ674" i="1"/>
  <c r="AR674" i="1" s="1"/>
  <c r="AQ675" i="1"/>
  <c r="AR675" i="1" s="1"/>
  <c r="AQ676" i="1"/>
  <c r="AR676" i="1" s="1"/>
  <c r="AQ677" i="1"/>
  <c r="AR677" i="1" s="1"/>
  <c r="AQ678" i="1"/>
  <c r="AR678" i="1" s="1"/>
  <c r="AQ679" i="1"/>
  <c r="AR679" i="1" s="1"/>
  <c r="AQ680" i="1"/>
  <c r="AR680" i="1" s="1"/>
  <c r="AQ681" i="1"/>
  <c r="AR681" i="1" s="1"/>
  <c r="AQ682" i="1"/>
  <c r="AQ683" i="1"/>
  <c r="AR683" i="1" s="1"/>
  <c r="AQ684" i="1"/>
  <c r="AQ685" i="1"/>
  <c r="AQ686" i="1"/>
  <c r="AR686" i="1" s="1"/>
  <c r="AQ687" i="1"/>
  <c r="AR687" i="1" s="1"/>
  <c r="AQ688" i="1"/>
  <c r="AR688" i="1" s="1"/>
  <c r="AQ689" i="1"/>
  <c r="AR689" i="1" s="1"/>
  <c r="AQ690" i="1"/>
  <c r="AR690" i="1" s="1"/>
  <c r="AQ691" i="1"/>
  <c r="AR691" i="1" s="1"/>
  <c r="AQ692" i="1"/>
  <c r="AR692" i="1" s="1"/>
  <c r="AQ693" i="1"/>
  <c r="AR693" i="1" s="1"/>
  <c r="AQ694" i="1"/>
  <c r="AQ695" i="1"/>
  <c r="AR695" i="1" s="1"/>
  <c r="AQ696" i="1"/>
  <c r="AQ697" i="1"/>
  <c r="AR697" i="1" s="1"/>
  <c r="AQ698" i="1"/>
  <c r="AQ699" i="1"/>
  <c r="AR699" i="1" s="1"/>
  <c r="AQ700" i="1"/>
  <c r="AR700" i="1" s="1"/>
  <c r="AQ701" i="1"/>
  <c r="AR701" i="1" s="1"/>
  <c r="AQ702" i="1"/>
  <c r="AR702" i="1" s="1"/>
  <c r="AQ703" i="1"/>
  <c r="AR703" i="1" s="1"/>
  <c r="AQ704" i="1"/>
  <c r="AR704" i="1" s="1"/>
  <c r="AQ705" i="1"/>
  <c r="AR705" i="1" s="1"/>
  <c r="AQ706" i="1"/>
  <c r="AQ707" i="1"/>
  <c r="AR707" i="1" s="1"/>
  <c r="AQ708" i="1"/>
  <c r="AQ709" i="1"/>
  <c r="AQ710" i="1"/>
  <c r="AQ711" i="1"/>
  <c r="AR711" i="1" s="1"/>
  <c r="AQ712" i="1"/>
  <c r="AR712" i="1" s="1"/>
  <c r="AQ713" i="1"/>
  <c r="AR713" i="1" s="1"/>
  <c r="AQ714" i="1"/>
  <c r="AR714" i="1" s="1"/>
  <c r="AQ715" i="1"/>
  <c r="AR715" i="1" s="1"/>
  <c r="AQ716" i="1"/>
  <c r="AR716" i="1" s="1"/>
  <c r="AQ717" i="1"/>
  <c r="AR717" i="1" s="1"/>
  <c r="AQ718" i="1"/>
  <c r="AQ719" i="1"/>
  <c r="AR719" i="1" s="1"/>
  <c r="AQ720" i="1"/>
  <c r="AQ721" i="1"/>
  <c r="AR721" i="1" s="1"/>
  <c r="AQ722" i="1"/>
  <c r="AQ723" i="1"/>
  <c r="AR723" i="1" s="1"/>
  <c r="AQ724" i="1"/>
  <c r="AR724" i="1" s="1"/>
  <c r="AQ725" i="1"/>
  <c r="AR725" i="1" s="1"/>
  <c r="AQ726" i="1"/>
  <c r="AR726" i="1" s="1"/>
  <c r="AQ727" i="1"/>
  <c r="AR727" i="1" s="1"/>
  <c r="AQ728" i="1"/>
  <c r="AR728" i="1" s="1"/>
  <c r="AQ729" i="1"/>
  <c r="AR729" i="1" s="1"/>
  <c r="AQ730" i="1"/>
  <c r="AQ731" i="1"/>
  <c r="AR731" i="1" s="1"/>
  <c r="AQ732" i="1"/>
  <c r="AQ733" i="1"/>
  <c r="AQ734" i="1"/>
  <c r="AQ735" i="1"/>
  <c r="AQ736" i="1"/>
  <c r="AR736" i="1" s="1"/>
  <c r="AQ737" i="1"/>
  <c r="AR737" i="1" s="1"/>
  <c r="AQ738" i="1"/>
  <c r="AR738" i="1" s="1"/>
  <c r="AQ739" i="1"/>
  <c r="AR739" i="1" s="1"/>
  <c r="AQ740" i="1"/>
  <c r="AR740" i="1" s="1"/>
  <c r="AQ741" i="1"/>
  <c r="AR741" i="1" s="1"/>
  <c r="AQ742" i="1"/>
  <c r="AQ743" i="1"/>
  <c r="AQ744" i="1"/>
  <c r="AQ745" i="1"/>
  <c r="AR745" i="1" s="1"/>
  <c r="AQ746" i="1"/>
  <c r="AQ747" i="1"/>
  <c r="AQ748" i="1"/>
  <c r="AR748" i="1" s="1"/>
  <c r="AQ749" i="1"/>
  <c r="AR749" i="1" s="1"/>
  <c r="AQ750" i="1"/>
  <c r="AR750" i="1" s="1"/>
  <c r="AQ751" i="1"/>
  <c r="AR751" i="1" s="1"/>
  <c r="AQ752" i="1"/>
  <c r="AR752" i="1" s="1"/>
  <c r="AQ753" i="1"/>
  <c r="AR753" i="1" s="1"/>
  <c r="AQ754" i="1"/>
  <c r="AQ755" i="1"/>
  <c r="AQ756" i="1"/>
  <c r="AQ757" i="1"/>
  <c r="AQ758" i="1"/>
  <c r="AQ759" i="1"/>
  <c r="AR759" i="1" s="1"/>
  <c r="AQ760" i="1"/>
  <c r="AR760" i="1" s="1"/>
  <c r="AQ761" i="1"/>
  <c r="AR761" i="1" s="1"/>
  <c r="AQ762" i="1"/>
  <c r="AR762" i="1" s="1"/>
  <c r="AQ763" i="1"/>
  <c r="AR763" i="1" s="1"/>
  <c r="AQ764" i="1"/>
  <c r="AR764" i="1" s="1"/>
  <c r="AQ765" i="1"/>
  <c r="AR765" i="1" s="1"/>
  <c r="AQ766" i="1"/>
  <c r="AQ767" i="1"/>
  <c r="AQ768" i="1"/>
  <c r="AQ769" i="1"/>
  <c r="AR769" i="1" s="1"/>
  <c r="AQ770" i="1"/>
  <c r="AQ771" i="1"/>
  <c r="AR771" i="1" s="1"/>
  <c r="AQ772" i="1"/>
  <c r="AR772" i="1" s="1"/>
  <c r="AQ773" i="1"/>
  <c r="AR773" i="1" s="1"/>
  <c r="AQ774" i="1"/>
  <c r="AR774" i="1" s="1"/>
  <c r="AQ775" i="1"/>
  <c r="AR775" i="1" s="1"/>
  <c r="AQ776" i="1"/>
  <c r="AR776" i="1" s="1"/>
  <c r="AQ777" i="1"/>
  <c r="AR777" i="1" s="1"/>
  <c r="AQ778" i="1"/>
  <c r="AR778" i="1" s="1"/>
  <c r="AQ779" i="1"/>
  <c r="AR779" i="1" s="1"/>
  <c r="AQ780" i="1"/>
  <c r="AQ781" i="1"/>
  <c r="AQ782" i="1"/>
  <c r="AQ783" i="1"/>
  <c r="AR783" i="1" s="1"/>
  <c r="AQ784" i="1"/>
  <c r="AR784" i="1" s="1"/>
  <c r="AQ785" i="1"/>
  <c r="AR785" i="1" s="1"/>
  <c r="AQ786" i="1"/>
  <c r="AR786" i="1" s="1"/>
  <c r="AQ787" i="1"/>
  <c r="AR787" i="1" s="1"/>
  <c r="AQ788" i="1"/>
  <c r="AR788" i="1" s="1"/>
  <c r="AQ789" i="1"/>
  <c r="AR789" i="1" s="1"/>
  <c r="AQ790" i="1"/>
  <c r="AQ791" i="1"/>
  <c r="AR791" i="1" s="1"/>
  <c r="AQ792" i="1"/>
  <c r="AQ793" i="1"/>
  <c r="AR793" i="1" s="1"/>
  <c r="AQ794" i="1"/>
  <c r="AR794" i="1" s="1"/>
  <c r="AQ795" i="1"/>
  <c r="AR795" i="1" s="1"/>
  <c r="AQ796" i="1"/>
  <c r="AR796" i="1" s="1"/>
  <c r="AQ797" i="1"/>
  <c r="AR797" i="1" s="1"/>
  <c r="AQ798" i="1"/>
  <c r="AR798" i="1" s="1"/>
  <c r="AQ799" i="1"/>
  <c r="AR799" i="1" s="1"/>
  <c r="AQ800" i="1"/>
  <c r="AR800" i="1" s="1"/>
  <c r="AQ801" i="1"/>
  <c r="AR801" i="1" s="1"/>
  <c r="AQ802" i="1"/>
  <c r="AQ803" i="1"/>
  <c r="AR803" i="1" s="1"/>
  <c r="AQ804" i="1"/>
  <c r="AQ805" i="1"/>
  <c r="AQ806" i="1"/>
  <c r="AQ807" i="1"/>
  <c r="AR807" i="1" s="1"/>
  <c r="AQ808" i="1"/>
  <c r="AR808" i="1" s="1"/>
  <c r="AQ809" i="1"/>
  <c r="AR809" i="1" s="1"/>
  <c r="AQ810" i="1"/>
  <c r="AR810" i="1" s="1"/>
  <c r="AQ811" i="1"/>
  <c r="AR811" i="1" s="1"/>
  <c r="AQ812" i="1"/>
  <c r="AR812" i="1" s="1"/>
  <c r="AQ813" i="1"/>
  <c r="AR813" i="1" s="1"/>
  <c r="AQ814" i="1"/>
  <c r="AR814" i="1" s="1"/>
  <c r="AQ815" i="1"/>
  <c r="AR815" i="1" s="1"/>
  <c r="AQ816" i="1"/>
  <c r="AQ817" i="1"/>
  <c r="AR817" i="1" s="1"/>
  <c r="AQ818" i="1"/>
  <c r="AQ819" i="1"/>
  <c r="AQ820" i="1"/>
  <c r="AQ821" i="1"/>
  <c r="AR821" i="1" s="1"/>
  <c r="AQ822" i="1"/>
  <c r="AR822" i="1" s="1"/>
  <c r="AQ823" i="1"/>
  <c r="AR823" i="1" s="1"/>
  <c r="AQ824" i="1"/>
  <c r="AR824" i="1" s="1"/>
  <c r="AQ825" i="1"/>
  <c r="AR825" i="1" s="1"/>
  <c r="AQ826" i="1"/>
  <c r="AQ827" i="1"/>
  <c r="AR827" i="1" s="1"/>
  <c r="AQ828" i="1"/>
  <c r="AQ829" i="1"/>
  <c r="AQ830" i="1"/>
  <c r="AR830" i="1" s="1"/>
  <c r="AQ831" i="1"/>
  <c r="AR831" i="1" s="1"/>
  <c r="AQ832" i="1"/>
  <c r="AR832" i="1" s="1"/>
  <c r="AQ833" i="1"/>
  <c r="AR833" i="1" s="1"/>
  <c r="AQ834" i="1"/>
  <c r="AR834" i="1" s="1"/>
  <c r="AQ835" i="1"/>
  <c r="AR835" i="1" s="1"/>
  <c r="AQ836" i="1"/>
  <c r="AR836" i="1" s="1"/>
  <c r="AQ837" i="1"/>
  <c r="AR837" i="1" s="1"/>
  <c r="AQ838" i="1"/>
  <c r="AQ839" i="1"/>
  <c r="AR839" i="1" s="1"/>
  <c r="AQ840" i="1"/>
  <c r="AQ841" i="1"/>
  <c r="AR841" i="1" s="1"/>
  <c r="AQ842" i="1"/>
  <c r="AQ843" i="1"/>
  <c r="AQ844" i="1"/>
  <c r="AR844" i="1" s="1"/>
  <c r="AQ845" i="1"/>
  <c r="AR845" i="1" s="1"/>
  <c r="AQ846" i="1"/>
  <c r="AR846" i="1" s="1"/>
  <c r="AQ847" i="1"/>
  <c r="AR847" i="1" s="1"/>
  <c r="AQ848" i="1"/>
  <c r="AR848" i="1" s="1"/>
  <c r="AQ849" i="1"/>
  <c r="AR849" i="1" s="1"/>
  <c r="AQ850" i="1"/>
  <c r="AQ851" i="1"/>
  <c r="AR851" i="1" s="1"/>
  <c r="AQ852" i="1"/>
  <c r="AQ853" i="1"/>
  <c r="AQ854" i="1"/>
  <c r="AQ855" i="1"/>
  <c r="AR855" i="1" s="1"/>
  <c r="AQ856" i="1"/>
  <c r="AR856" i="1" s="1"/>
  <c r="AQ857" i="1"/>
  <c r="AR857" i="1" s="1"/>
  <c r="AQ858" i="1"/>
  <c r="AR858" i="1" s="1"/>
  <c r="AQ859" i="1"/>
  <c r="AR859" i="1" s="1"/>
  <c r="AQ860" i="1"/>
  <c r="AR860" i="1" s="1"/>
  <c r="AQ861" i="1"/>
  <c r="AR861" i="1" s="1"/>
  <c r="AQ862" i="1"/>
  <c r="AQ863" i="1"/>
  <c r="AR863" i="1" s="1"/>
  <c r="AQ864" i="1"/>
  <c r="AQ865" i="1"/>
  <c r="AR865" i="1" s="1"/>
  <c r="AQ866" i="1"/>
  <c r="AR866" i="1" s="1"/>
  <c r="AQ867" i="1"/>
  <c r="AR867" i="1" s="1"/>
  <c r="AQ868" i="1"/>
  <c r="AR868" i="1" s="1"/>
  <c r="AQ869" i="1"/>
  <c r="AR869" i="1" s="1"/>
  <c r="AQ870" i="1"/>
  <c r="AR870" i="1" s="1"/>
  <c r="AQ871" i="1"/>
  <c r="AR871" i="1" s="1"/>
  <c r="AQ872" i="1"/>
  <c r="AR872" i="1" s="1"/>
  <c r="AQ873" i="1"/>
  <c r="AR873" i="1" s="1"/>
  <c r="AQ874" i="1"/>
  <c r="AQ875" i="1"/>
  <c r="AR875" i="1" s="1"/>
  <c r="AQ876" i="1"/>
  <c r="AQ877" i="1"/>
  <c r="AQ878" i="1"/>
  <c r="AQ879" i="1"/>
  <c r="AR879" i="1" s="1"/>
  <c r="AQ880" i="1"/>
  <c r="AR880" i="1" s="1"/>
  <c r="AQ881" i="1"/>
  <c r="AR881" i="1" s="1"/>
  <c r="AQ882" i="1"/>
  <c r="AR882" i="1" s="1"/>
  <c r="AQ883" i="1"/>
  <c r="AR883" i="1" s="1"/>
  <c r="AQ884" i="1"/>
  <c r="AR884" i="1" s="1"/>
  <c r="AQ885" i="1"/>
  <c r="AR885" i="1" s="1"/>
  <c r="AQ886" i="1"/>
  <c r="AR886" i="1" s="1"/>
  <c r="AQ887" i="1"/>
  <c r="AQ888" i="1"/>
  <c r="AQ889" i="1"/>
  <c r="AR889" i="1" s="1"/>
  <c r="AQ890" i="1"/>
  <c r="AQ891" i="1"/>
  <c r="AQ892" i="1"/>
  <c r="AR892" i="1" s="1"/>
  <c r="AQ893" i="1"/>
  <c r="AR893" i="1" s="1"/>
  <c r="AQ894" i="1"/>
  <c r="AR894" i="1" s="1"/>
  <c r="AQ895" i="1"/>
  <c r="AR895" i="1" s="1"/>
  <c r="AQ896" i="1"/>
  <c r="AR896" i="1" s="1"/>
  <c r="AQ897" i="1"/>
  <c r="AR897" i="1" s="1"/>
  <c r="AQ898" i="1"/>
  <c r="AQ899" i="1"/>
  <c r="AR899" i="1" s="1"/>
  <c r="AQ900" i="1"/>
  <c r="AQ901" i="1"/>
  <c r="AQ902" i="1"/>
  <c r="AR902" i="1" s="1"/>
  <c r="AQ903" i="1"/>
  <c r="AR903" i="1" s="1"/>
  <c r="AQ904" i="1"/>
  <c r="AR904" i="1" s="1"/>
  <c r="AQ905" i="1"/>
  <c r="AR905" i="1" s="1"/>
  <c r="AQ906" i="1"/>
  <c r="AR906" i="1" s="1"/>
  <c r="AQ907" i="1"/>
  <c r="AR907" i="1" s="1"/>
  <c r="AQ908" i="1"/>
  <c r="AR908" i="1" s="1"/>
  <c r="AQ909" i="1"/>
  <c r="AR909" i="1" s="1"/>
  <c r="AQ910" i="1"/>
  <c r="AQ911" i="1"/>
  <c r="AR911" i="1" s="1"/>
  <c r="AQ912" i="1"/>
  <c r="AQ913" i="1"/>
  <c r="AR913" i="1" s="1"/>
  <c r="AQ914" i="1"/>
  <c r="AQ915" i="1"/>
  <c r="AR915" i="1" s="1"/>
  <c r="AQ916" i="1"/>
  <c r="AR916" i="1" s="1"/>
  <c r="AQ917" i="1"/>
  <c r="AR917" i="1" s="1"/>
  <c r="AQ918" i="1"/>
  <c r="AR918" i="1" s="1"/>
  <c r="AQ919" i="1"/>
  <c r="AR919" i="1" s="1"/>
  <c r="AQ920" i="1"/>
  <c r="AR920" i="1" s="1"/>
  <c r="AQ921" i="1"/>
  <c r="AR921" i="1" s="1"/>
  <c r="AQ922" i="1"/>
  <c r="AQ923" i="1"/>
  <c r="AQ924" i="1"/>
  <c r="AQ925" i="1"/>
  <c r="AQ926" i="1"/>
  <c r="AQ927" i="1"/>
  <c r="AR927" i="1" s="1"/>
  <c r="AQ928" i="1"/>
  <c r="AR928" i="1" s="1"/>
  <c r="AQ929" i="1"/>
  <c r="AR929" i="1" s="1"/>
  <c r="AQ930" i="1"/>
  <c r="AR930" i="1" s="1"/>
  <c r="AQ931" i="1"/>
  <c r="AR931" i="1" s="1"/>
  <c r="AQ932" i="1"/>
  <c r="AR932" i="1" s="1"/>
  <c r="AQ933" i="1"/>
  <c r="AR933" i="1" s="1"/>
  <c r="AQ934" i="1"/>
  <c r="AQ935" i="1"/>
  <c r="AR935" i="1" s="1"/>
  <c r="AQ936" i="1"/>
  <c r="AQ937" i="1"/>
  <c r="AR937" i="1" s="1"/>
  <c r="AQ938" i="1"/>
  <c r="AR938" i="1" s="1"/>
  <c r="AQ939" i="1"/>
  <c r="AR939" i="1" s="1"/>
  <c r="AQ940" i="1"/>
  <c r="AR940" i="1" s="1"/>
  <c r="AQ941" i="1"/>
  <c r="AR941" i="1" s="1"/>
  <c r="AQ942" i="1"/>
  <c r="AR942" i="1" s="1"/>
  <c r="AQ943" i="1"/>
  <c r="AR943" i="1" s="1"/>
  <c r="AQ944" i="1"/>
  <c r="AR944" i="1" s="1"/>
  <c r="AQ945" i="1"/>
  <c r="AR945" i="1" s="1"/>
  <c r="AQ946" i="1"/>
  <c r="AQ947" i="1"/>
  <c r="AR947" i="1" s="1"/>
  <c r="AQ948" i="1"/>
  <c r="AQ949" i="1"/>
  <c r="AQ950" i="1"/>
  <c r="AQ951" i="1"/>
  <c r="AR951" i="1" s="1"/>
  <c r="AQ952" i="1"/>
  <c r="AR952" i="1" s="1"/>
  <c r="AQ953" i="1"/>
  <c r="AR953" i="1" s="1"/>
  <c r="AQ954" i="1"/>
  <c r="AR954" i="1" s="1"/>
  <c r="AQ955" i="1"/>
  <c r="AR955" i="1" s="1"/>
  <c r="AQ956" i="1"/>
  <c r="AR956" i="1" s="1"/>
  <c r="AQ957" i="1"/>
  <c r="AR957" i="1" s="1"/>
  <c r="AQ958" i="1"/>
  <c r="AQ959" i="1"/>
  <c r="AR959" i="1" s="1"/>
  <c r="AQ960" i="1"/>
  <c r="AQ961" i="1"/>
  <c r="AR961" i="1" s="1"/>
  <c r="AQ962" i="1"/>
  <c r="AQ963" i="1"/>
  <c r="AQ964" i="1"/>
  <c r="AR964" i="1" s="1"/>
  <c r="AQ965" i="1"/>
  <c r="AR965" i="1" s="1"/>
  <c r="AQ966" i="1"/>
  <c r="AR966" i="1" s="1"/>
  <c r="AQ967" i="1"/>
  <c r="AR967" i="1" s="1"/>
  <c r="AQ968" i="1"/>
  <c r="AR968" i="1" s="1"/>
  <c r="AQ969" i="1"/>
  <c r="AR969" i="1" s="1"/>
  <c r="AQ970" i="1"/>
  <c r="AQ971" i="1"/>
  <c r="AR971" i="1" s="1"/>
  <c r="AQ972" i="1"/>
  <c r="AQ973" i="1"/>
  <c r="AQ974" i="1"/>
  <c r="AR974" i="1" s="1"/>
  <c r="AQ975" i="1"/>
  <c r="AR975" i="1" s="1"/>
  <c r="AQ976" i="1"/>
  <c r="AR976" i="1" s="1"/>
  <c r="AQ977" i="1"/>
  <c r="AR977" i="1" s="1"/>
  <c r="AQ978" i="1"/>
  <c r="AR978" i="1" s="1"/>
  <c r="AQ979" i="1"/>
  <c r="AR979" i="1" s="1"/>
  <c r="AQ980" i="1"/>
  <c r="AR980" i="1" s="1"/>
  <c r="AQ981" i="1"/>
  <c r="AR981" i="1" s="1"/>
  <c r="AQ982" i="1"/>
  <c r="AQ983" i="1"/>
  <c r="AQ984" i="1"/>
  <c r="AR984" i="1" s="1"/>
  <c r="AQ985" i="1"/>
  <c r="AR985" i="1" s="1"/>
  <c r="AQ986" i="1"/>
  <c r="AQ987" i="1"/>
  <c r="AR987" i="1" s="1"/>
  <c r="AQ988" i="1"/>
  <c r="AR988" i="1" s="1"/>
  <c r="AQ989" i="1"/>
  <c r="AR989" i="1" s="1"/>
  <c r="AQ990" i="1"/>
  <c r="AR990" i="1" s="1"/>
  <c r="AQ991" i="1"/>
  <c r="AR991" i="1" s="1"/>
  <c r="AQ992" i="1"/>
  <c r="AR992" i="1" s="1"/>
  <c r="AQ993" i="1"/>
  <c r="AR993" i="1" s="1"/>
  <c r="AQ994" i="1"/>
  <c r="AQ995" i="1"/>
  <c r="AQ996" i="1"/>
  <c r="AQ997" i="1"/>
  <c r="AQ998" i="1"/>
  <c r="AR998" i="1" s="1"/>
  <c r="AQ999" i="1"/>
  <c r="AR999" i="1" s="1"/>
  <c r="AQ1000" i="1"/>
  <c r="AR1000" i="1" s="1"/>
  <c r="AQ1001" i="1"/>
  <c r="AR1001" i="1" s="1"/>
  <c r="AQ1002" i="1"/>
  <c r="AR1002" i="1" s="1"/>
  <c r="AQ1003" i="1"/>
  <c r="AR1003" i="1" s="1"/>
  <c r="AQ1004" i="1"/>
  <c r="AR1004" i="1" s="1"/>
  <c r="AQ1005" i="1"/>
  <c r="AR1005" i="1" s="1"/>
  <c r="AQ1006" i="1"/>
  <c r="AR1006" i="1" s="1"/>
  <c r="AQ1007" i="1"/>
  <c r="AR1007" i="1" s="1"/>
  <c r="AQ1008" i="1"/>
  <c r="AQ1009" i="1"/>
  <c r="AR1009" i="1" s="1"/>
  <c r="AQ1010" i="1"/>
  <c r="AR1010" i="1" s="1"/>
  <c r="AQ1011" i="1"/>
  <c r="AR1011" i="1" s="1"/>
  <c r="AQ1012" i="1"/>
  <c r="AR1012" i="1" s="1"/>
  <c r="AQ1013" i="1"/>
  <c r="AR1013" i="1" s="1"/>
  <c r="AQ1014" i="1"/>
  <c r="AR1014" i="1" s="1"/>
  <c r="AQ1015" i="1"/>
  <c r="AQ1016" i="1"/>
  <c r="AR1016" i="1" s="1"/>
  <c r="AQ1017" i="1"/>
  <c r="AR1017" i="1" s="1"/>
  <c r="AQ1018" i="1"/>
  <c r="AR1018" i="1" s="1"/>
  <c r="AQ1019" i="1"/>
  <c r="AR1019" i="1" s="1"/>
  <c r="AQ1020" i="1"/>
  <c r="AR1020" i="1" s="1"/>
  <c r="AQ1021" i="1"/>
  <c r="AQ1022" i="1"/>
  <c r="AQ1023" i="1"/>
  <c r="AQ1024" i="1"/>
  <c r="AR1024" i="1" s="1"/>
  <c r="AQ1025" i="1"/>
  <c r="AR1025" i="1" s="1"/>
  <c r="AQ1026" i="1"/>
  <c r="AR1026" i="1" s="1"/>
  <c r="AQ1027" i="1"/>
  <c r="AR1027" i="1" s="1"/>
  <c r="AQ1028" i="1"/>
  <c r="AR1028" i="1" s="1"/>
  <c r="AQ1029" i="1"/>
  <c r="AR1029" i="1" s="1"/>
  <c r="AQ1030" i="1"/>
  <c r="AQ1031" i="1"/>
  <c r="AR1031" i="1" s="1"/>
  <c r="AQ1032" i="1"/>
  <c r="AQ1033" i="1"/>
  <c r="AR1033" i="1" s="1"/>
  <c r="AQ1034" i="1"/>
  <c r="AQ1035" i="1"/>
  <c r="AR1035" i="1" s="1"/>
  <c r="AQ1036" i="1"/>
  <c r="AR1036" i="1" s="1"/>
  <c r="AQ1037" i="1"/>
  <c r="AR1037" i="1" s="1"/>
  <c r="AQ1038" i="1"/>
  <c r="AR1038" i="1" s="1"/>
  <c r="AQ1039" i="1"/>
  <c r="AR1039" i="1" s="1"/>
  <c r="AQ1040" i="1"/>
  <c r="AR1040" i="1" s="1"/>
  <c r="AQ1041" i="1"/>
  <c r="AR1041" i="1" s="1"/>
  <c r="AQ1042" i="1"/>
  <c r="AR1042" i="1" s="1"/>
  <c r="AQ1043" i="1"/>
  <c r="AQ1044" i="1"/>
  <c r="AQ1045" i="1"/>
  <c r="AQ1046" i="1"/>
  <c r="AR1046" i="1" s="1"/>
  <c r="AQ1047" i="1"/>
  <c r="AR1047" i="1" s="1"/>
  <c r="AQ1048" i="1"/>
  <c r="AR1048" i="1" s="1"/>
  <c r="AQ1049" i="1"/>
  <c r="AR1049" i="1" s="1"/>
  <c r="AQ1050" i="1"/>
  <c r="AR1050" i="1" s="1"/>
  <c r="AQ1051" i="1"/>
  <c r="AR1051" i="1" s="1"/>
  <c r="AQ1052" i="1"/>
  <c r="AR1052" i="1" s="1"/>
  <c r="AQ1053" i="1"/>
  <c r="AR1053" i="1" s="1"/>
  <c r="AQ1054" i="1"/>
  <c r="AQ1055" i="1"/>
  <c r="AR1055" i="1" s="1"/>
  <c r="AQ1056" i="1"/>
  <c r="AQ1057" i="1"/>
  <c r="AR1057" i="1" s="1"/>
  <c r="AQ1058" i="1"/>
  <c r="AQ1059" i="1"/>
  <c r="AR1059" i="1" s="1"/>
  <c r="AQ1060" i="1"/>
  <c r="AR1060" i="1" s="1"/>
  <c r="AQ1061" i="1"/>
  <c r="AR1061" i="1" s="1"/>
  <c r="AQ1062" i="1"/>
  <c r="AR1062" i="1" s="1"/>
  <c r="AQ1063" i="1"/>
  <c r="AR1063" i="1" s="1"/>
  <c r="AQ1064" i="1"/>
  <c r="AR1064" i="1" s="1"/>
  <c r="AQ1065" i="1"/>
  <c r="AR1065" i="1" s="1"/>
  <c r="AQ1066" i="1"/>
  <c r="AQ1067" i="1"/>
  <c r="AR1067" i="1" s="1"/>
  <c r="AQ1068" i="1"/>
  <c r="AQ1069" i="1"/>
  <c r="AQ1070" i="1"/>
  <c r="AQ1071" i="1"/>
  <c r="AR1071" i="1" s="1"/>
  <c r="AQ1072" i="1"/>
  <c r="AR1072" i="1" s="1"/>
  <c r="AQ1073" i="1"/>
  <c r="AR1073" i="1" s="1"/>
  <c r="AQ1074" i="1"/>
  <c r="AR1074" i="1" s="1"/>
  <c r="AQ1075" i="1"/>
  <c r="AR1075" i="1" s="1"/>
  <c r="AQ1076" i="1"/>
  <c r="AR1076" i="1" s="1"/>
  <c r="AQ1077" i="1"/>
  <c r="AR1077" i="1" s="1"/>
  <c r="AQ1078" i="1"/>
  <c r="AQ1079" i="1"/>
  <c r="AR1079" i="1" s="1"/>
  <c r="AQ1080" i="1"/>
  <c r="AQ1081" i="1"/>
  <c r="AR1081" i="1" s="1"/>
  <c r="AQ1082" i="1"/>
  <c r="AR1082" i="1" s="1"/>
  <c r="AQ1083" i="1"/>
  <c r="AR1083" i="1" s="1"/>
  <c r="AQ1084" i="1"/>
  <c r="AR1084" i="1" s="1"/>
  <c r="AQ1085" i="1"/>
  <c r="AR1085" i="1" s="1"/>
  <c r="AQ1086" i="1"/>
  <c r="AR1086" i="1" s="1"/>
  <c r="AQ1087" i="1"/>
  <c r="AR1087" i="1" s="1"/>
  <c r="AQ1088" i="1"/>
  <c r="AR1088" i="1" s="1"/>
  <c r="AQ1089" i="1"/>
  <c r="AR1089" i="1" s="1"/>
  <c r="AQ1090" i="1"/>
  <c r="AQ1091" i="1"/>
  <c r="AQ1092" i="1"/>
  <c r="AR1092" i="1" s="1"/>
  <c r="AQ1093" i="1"/>
  <c r="AQ1094" i="1"/>
  <c r="AQ1095" i="1"/>
  <c r="AQ1096" i="1"/>
  <c r="AR1096" i="1" s="1"/>
  <c r="AQ1097" i="1"/>
  <c r="AR1097" i="1" s="1"/>
  <c r="AQ1098" i="1"/>
  <c r="AR1098" i="1" s="1"/>
  <c r="AQ1099" i="1"/>
  <c r="AR1099" i="1" s="1"/>
  <c r="AQ1100" i="1"/>
  <c r="AR1100" i="1" s="1"/>
  <c r="AQ1101" i="1"/>
  <c r="AR1101" i="1" s="1"/>
  <c r="AQ1102" i="1"/>
  <c r="AR1102" i="1" s="1"/>
  <c r="AQ1103" i="1"/>
  <c r="AR1103" i="1" s="1"/>
  <c r="AQ1104" i="1"/>
  <c r="AQ1105" i="1"/>
  <c r="AR1105" i="1" s="1"/>
  <c r="AQ1106" i="1"/>
  <c r="AR1106" i="1" s="1"/>
  <c r="AQ1107" i="1"/>
  <c r="AR1107" i="1" s="1"/>
  <c r="AQ1108" i="1"/>
  <c r="AR1108" i="1" s="1"/>
  <c r="AQ1109" i="1"/>
  <c r="AR1109" i="1" s="1"/>
  <c r="AQ1110" i="1"/>
  <c r="AR1110" i="1" s="1"/>
  <c r="AQ1111" i="1"/>
  <c r="AR1111" i="1" s="1"/>
  <c r="AQ1112" i="1"/>
  <c r="AR1112" i="1" s="1"/>
  <c r="AQ1113" i="1"/>
  <c r="AR1113" i="1" s="1"/>
  <c r="AQ1114" i="1"/>
  <c r="AQ1115" i="1"/>
  <c r="AR1115" i="1" s="1"/>
  <c r="AQ1116" i="1"/>
  <c r="AQ1117" i="1"/>
  <c r="AQ1118" i="1"/>
  <c r="AQ1119" i="1"/>
  <c r="AR1119" i="1" s="1"/>
  <c r="AQ1120" i="1"/>
  <c r="AR1120" i="1" s="1"/>
  <c r="AQ1121" i="1"/>
  <c r="AR1121" i="1" s="1"/>
  <c r="AQ1122" i="1"/>
  <c r="AR1122" i="1" s="1"/>
  <c r="AQ1123" i="1"/>
  <c r="AR1123" i="1" s="1"/>
  <c r="AQ1124" i="1"/>
  <c r="AR1124" i="1" s="1"/>
  <c r="AQ1125" i="1"/>
  <c r="AR1125" i="1" s="1"/>
  <c r="AQ1126" i="1"/>
  <c r="AQ1127" i="1"/>
  <c r="AR1127" i="1" s="1"/>
  <c r="AQ1128" i="1"/>
  <c r="AQ1129" i="1"/>
  <c r="AR1129" i="1" s="1"/>
  <c r="AQ1130" i="1"/>
  <c r="AR1130" i="1" s="1"/>
  <c r="AQ1131" i="1"/>
  <c r="AR1131" i="1" s="1"/>
  <c r="AQ1132" i="1"/>
  <c r="AR1132" i="1" s="1"/>
  <c r="AQ1133" i="1"/>
  <c r="AR1133" i="1" s="1"/>
  <c r="AQ1134" i="1"/>
  <c r="AR1134" i="1" s="1"/>
  <c r="AQ1135" i="1"/>
  <c r="AR1135" i="1" s="1"/>
  <c r="AQ1136" i="1"/>
  <c r="AR1136" i="1" s="1"/>
  <c r="AQ1137" i="1"/>
  <c r="AR1137" i="1" s="1"/>
  <c r="AQ1138" i="1"/>
  <c r="AQ1139" i="1"/>
  <c r="AR1139" i="1" s="1"/>
  <c r="AQ1140" i="1"/>
  <c r="AQ1141" i="1"/>
  <c r="AQ1142" i="1"/>
  <c r="AQ1143" i="1"/>
  <c r="AR1143" i="1" s="1"/>
  <c r="AQ1144" i="1"/>
  <c r="AR1144" i="1" s="1"/>
  <c r="AQ1145" i="1"/>
  <c r="AR1145" i="1" s="1"/>
  <c r="AQ1146" i="1"/>
  <c r="AR1146" i="1" s="1"/>
  <c r="AQ1147" i="1"/>
  <c r="AR1147" i="1" s="1"/>
  <c r="AQ1148" i="1"/>
  <c r="AR1148" i="1" s="1"/>
  <c r="AQ1149" i="1"/>
  <c r="AR1149" i="1" s="1"/>
  <c r="AQ1150" i="1"/>
  <c r="AQ1151" i="1"/>
  <c r="AR1151" i="1" s="1"/>
  <c r="AQ1152" i="1"/>
  <c r="AQ1153" i="1"/>
  <c r="AR1153" i="1" s="1"/>
  <c r="AQ1154" i="1"/>
  <c r="AQ1155" i="1"/>
  <c r="AR1155" i="1" s="1"/>
  <c r="AQ1156" i="1"/>
  <c r="AR1156" i="1" s="1"/>
  <c r="AQ1157" i="1"/>
  <c r="AR1157" i="1" s="1"/>
  <c r="AQ1158" i="1"/>
  <c r="AR1158" i="1" s="1"/>
  <c r="AQ1159" i="1"/>
  <c r="AR1159" i="1" s="1"/>
  <c r="AQ1160" i="1"/>
  <c r="AR1160" i="1" s="1"/>
  <c r="AQ1161" i="1"/>
  <c r="AR1161" i="1" s="1"/>
  <c r="AQ1162" i="1"/>
  <c r="AQ1163" i="1"/>
  <c r="AR1163" i="1" s="1"/>
  <c r="AQ1164" i="1"/>
  <c r="AQ1165" i="1"/>
  <c r="AQ1166" i="1"/>
  <c r="AR1166" i="1" s="1"/>
  <c r="AQ1167" i="1"/>
  <c r="AR1167" i="1" s="1"/>
  <c r="AQ1168" i="1"/>
  <c r="AR1168" i="1" s="1"/>
  <c r="AQ1169" i="1"/>
  <c r="AR1169" i="1" s="1"/>
  <c r="AQ1170" i="1"/>
  <c r="AR1170" i="1" s="1"/>
  <c r="AQ1171" i="1"/>
  <c r="AR1171" i="1" s="1"/>
  <c r="AQ1172" i="1"/>
  <c r="AR1172" i="1" s="1"/>
  <c r="AQ1173" i="1"/>
  <c r="AR1173" i="1" s="1"/>
  <c r="AQ1174" i="1"/>
  <c r="AQ1175" i="1"/>
  <c r="AR1175" i="1" s="1"/>
  <c r="AQ1176" i="1"/>
  <c r="AR1176" i="1" s="1"/>
  <c r="AQ1177" i="1"/>
  <c r="AR1177" i="1" s="1"/>
  <c r="AQ1178" i="1"/>
  <c r="AQ1179" i="1"/>
  <c r="AR1179" i="1" s="1"/>
  <c r="AQ1180" i="1"/>
  <c r="AR1180" i="1" s="1"/>
  <c r="AQ1181" i="1"/>
  <c r="AR1181" i="1" s="1"/>
  <c r="AQ1182" i="1"/>
  <c r="AR1182" i="1" s="1"/>
  <c r="AQ1183" i="1"/>
  <c r="AR1183" i="1" s="1"/>
  <c r="AQ1184" i="1"/>
  <c r="AR1184" i="1" s="1"/>
  <c r="AQ1185" i="1"/>
  <c r="AR1185" i="1" s="1"/>
  <c r="AQ1186" i="1"/>
  <c r="AQ1187" i="1"/>
  <c r="AQ1188" i="1"/>
  <c r="AQ1189" i="1"/>
  <c r="AQ1190" i="1"/>
  <c r="AQ1191" i="1"/>
  <c r="AR1191" i="1" s="1"/>
  <c r="AQ1192" i="1"/>
  <c r="AR1192" i="1" s="1"/>
  <c r="AQ1193" i="1"/>
  <c r="AR1193" i="1" s="1"/>
  <c r="AQ1194" i="1"/>
  <c r="AR1194" i="1" s="1"/>
  <c r="AQ1195" i="1"/>
  <c r="AR1195" i="1" s="1"/>
  <c r="AQ1196" i="1"/>
  <c r="AR1196" i="1" s="1"/>
  <c r="AQ1197" i="1"/>
  <c r="AR1197" i="1" s="1"/>
  <c r="AQ1198" i="1"/>
  <c r="AQ1199" i="1"/>
  <c r="AQ1200" i="1"/>
  <c r="AQ1201" i="1"/>
  <c r="AR1201" i="1" s="1"/>
  <c r="AQ1202" i="1"/>
  <c r="AR1202" i="1" s="1"/>
  <c r="AQ1203" i="1"/>
  <c r="AR1203" i="1" s="1"/>
  <c r="AQ1204" i="1"/>
  <c r="AR1204" i="1" s="1"/>
  <c r="AQ1205" i="1"/>
  <c r="AR1205" i="1" s="1"/>
  <c r="AQ1206" i="1"/>
  <c r="AR1206" i="1" s="1"/>
  <c r="AQ1207" i="1"/>
  <c r="AR1207" i="1" s="1"/>
  <c r="AQ1208" i="1"/>
  <c r="AR1208" i="1" s="1"/>
  <c r="AQ1209" i="1"/>
  <c r="AR1209" i="1" s="1"/>
  <c r="AQ1210" i="1"/>
  <c r="AR1210" i="1" s="1"/>
  <c r="AQ1211" i="1"/>
  <c r="AR1211" i="1" s="1"/>
  <c r="AQ1212" i="1"/>
  <c r="AQ1213" i="1"/>
  <c r="AQ1214" i="1"/>
  <c r="AQ1215" i="1"/>
  <c r="AR1215" i="1" s="1"/>
  <c r="AQ1216" i="1"/>
  <c r="AR1216" i="1" s="1"/>
  <c r="AQ1217" i="1"/>
  <c r="AR1217" i="1" s="1"/>
  <c r="AQ1218" i="1"/>
  <c r="AR1218" i="1" s="1"/>
  <c r="AQ1219" i="1"/>
  <c r="AR1219" i="1" s="1"/>
  <c r="AQ1220" i="1"/>
  <c r="AR1220" i="1" s="1"/>
  <c r="AQ1221" i="1"/>
  <c r="AR1221" i="1" s="1"/>
  <c r="AQ1222" i="1"/>
  <c r="AQ1223" i="1"/>
  <c r="AR1223" i="1" s="1"/>
  <c r="AQ1224" i="1"/>
  <c r="AQ1225" i="1"/>
  <c r="AR1225" i="1" s="1"/>
  <c r="AQ1226" i="1"/>
  <c r="AQ1227" i="1"/>
  <c r="AR1227" i="1" s="1"/>
  <c r="AQ1228" i="1"/>
  <c r="AR1228" i="1" s="1"/>
  <c r="AQ1229" i="1"/>
  <c r="AR1229" i="1" s="1"/>
  <c r="AQ1230" i="1"/>
  <c r="AR1230" i="1" s="1"/>
  <c r="AQ1231" i="1"/>
  <c r="AR1231" i="1" s="1"/>
  <c r="AQ1232" i="1"/>
  <c r="AR1232" i="1" s="1"/>
  <c r="AQ1233" i="1"/>
  <c r="AR1233" i="1" s="1"/>
  <c r="AQ1234" i="1"/>
  <c r="AR1234" i="1" s="1"/>
  <c r="AQ1235" i="1"/>
  <c r="AR1235" i="1" s="1"/>
  <c r="AQ1236" i="1"/>
  <c r="AQ1237" i="1"/>
  <c r="AQ1238" i="1"/>
  <c r="AQ1239" i="1"/>
  <c r="AR1239" i="1" s="1"/>
  <c r="AQ1240" i="1"/>
  <c r="AR1240" i="1" s="1"/>
  <c r="AQ1241" i="1"/>
  <c r="AR1241" i="1" s="1"/>
  <c r="AQ1242" i="1"/>
  <c r="AR1242" i="1" s="1"/>
  <c r="AQ1243" i="1"/>
  <c r="AR1243" i="1" s="1"/>
  <c r="AQ1244" i="1"/>
  <c r="AR1244" i="1" s="1"/>
  <c r="AQ1245" i="1"/>
  <c r="AR1245" i="1" s="1"/>
  <c r="AQ1246" i="1"/>
  <c r="AQ1247" i="1"/>
  <c r="AQ1248" i="1"/>
  <c r="AQ1249" i="1"/>
  <c r="AR1249" i="1" s="1"/>
  <c r="AQ1250" i="1"/>
  <c r="AR1250" i="1" s="1"/>
  <c r="AQ1251" i="1"/>
  <c r="AR1251" i="1" s="1"/>
  <c r="AQ1252" i="1"/>
  <c r="AR1252" i="1" s="1"/>
  <c r="AQ1253" i="1"/>
  <c r="AR1253" i="1" s="1"/>
  <c r="AQ1254" i="1"/>
  <c r="AR1254" i="1" s="1"/>
  <c r="AQ1255" i="1"/>
  <c r="AR1255" i="1" s="1"/>
  <c r="AQ1256" i="1"/>
  <c r="AR1256" i="1" s="1"/>
  <c r="AQ1257" i="1"/>
  <c r="AR1257" i="1" s="1"/>
  <c r="AQ1258" i="1"/>
  <c r="AQ1259" i="1"/>
  <c r="AQ1260" i="1"/>
  <c r="AQ1261" i="1"/>
  <c r="AQ1262" i="1"/>
  <c r="AQ1263" i="1"/>
  <c r="AR1263" i="1" s="1"/>
  <c r="AQ1264" i="1"/>
  <c r="AR1264" i="1" s="1"/>
  <c r="AQ1265" i="1"/>
  <c r="AR1265" i="1" s="1"/>
  <c r="AQ1266" i="1"/>
  <c r="AR1266" i="1" s="1"/>
  <c r="AQ1267" i="1"/>
  <c r="AR1267" i="1" s="1"/>
  <c r="AQ1268" i="1"/>
  <c r="AR1268" i="1" s="1"/>
  <c r="AQ1269" i="1"/>
  <c r="AR1269" i="1" s="1"/>
  <c r="AQ1270" i="1"/>
  <c r="AQ1271" i="1"/>
  <c r="AR1271" i="1" s="1"/>
  <c r="AQ1272" i="1"/>
  <c r="AQ1273" i="1"/>
  <c r="AR1273" i="1" s="1"/>
  <c r="AQ1274" i="1"/>
  <c r="AQ1275" i="1"/>
  <c r="AR1275" i="1" s="1"/>
  <c r="AQ1276" i="1"/>
  <c r="AR1276" i="1" s="1"/>
  <c r="AQ1277" i="1"/>
  <c r="AR1277" i="1" s="1"/>
  <c r="AQ1278" i="1"/>
  <c r="AR1278" i="1" s="1"/>
  <c r="AQ1279" i="1"/>
  <c r="AR1279" i="1" s="1"/>
  <c r="AQ1280" i="1"/>
  <c r="AR1280" i="1" s="1"/>
  <c r="AQ1281" i="1"/>
  <c r="AR1281" i="1" s="1"/>
  <c r="AQ1282" i="1"/>
  <c r="AQ1283" i="1"/>
  <c r="AQ1284" i="1"/>
  <c r="AQ1285" i="1"/>
  <c r="AQ1286" i="1"/>
  <c r="AQ1287" i="1"/>
  <c r="AR1287" i="1" s="1"/>
  <c r="AQ1288" i="1"/>
  <c r="AR1288" i="1" s="1"/>
  <c r="AQ1289" i="1"/>
  <c r="AR1289" i="1" s="1"/>
  <c r="AQ1290" i="1"/>
  <c r="AR1290" i="1" s="1"/>
  <c r="AQ1291" i="1"/>
  <c r="AR1291" i="1" s="1"/>
  <c r="AQ1292" i="1"/>
  <c r="AR1292" i="1" s="1"/>
  <c r="AQ1293" i="1"/>
  <c r="AR1293" i="1" s="1"/>
  <c r="AQ1294" i="1"/>
  <c r="AR1294" i="1" s="1"/>
  <c r="AQ1295" i="1"/>
  <c r="AQ1296" i="1"/>
  <c r="AQ1297" i="1"/>
  <c r="AR1297" i="1" s="1"/>
  <c r="AQ1298" i="1"/>
  <c r="AR1298" i="1" s="1"/>
  <c r="AQ1299" i="1"/>
  <c r="AR1299" i="1" s="1"/>
  <c r="AQ1300" i="1"/>
  <c r="AR1300" i="1" s="1"/>
  <c r="AQ1301" i="1"/>
  <c r="AR1301" i="1" s="1"/>
  <c r="AQ1302" i="1"/>
  <c r="AR1302" i="1" s="1"/>
  <c r="AQ1303" i="1"/>
  <c r="AR1303" i="1" s="1"/>
  <c r="AQ1304" i="1"/>
  <c r="AR1304" i="1" s="1"/>
  <c r="AQ1305" i="1"/>
  <c r="AR1305" i="1" s="1"/>
  <c r="AQ1306" i="1"/>
  <c r="AQ1307" i="1"/>
  <c r="AR1307" i="1" s="1"/>
  <c r="AQ1308" i="1"/>
  <c r="AQ1309" i="1"/>
  <c r="AR1309" i="1" s="1"/>
  <c r="AQ1310" i="1"/>
  <c r="AQ1311" i="1"/>
  <c r="AR1311" i="1" s="1"/>
  <c r="AQ1312" i="1"/>
  <c r="AR1312" i="1" s="1"/>
  <c r="AQ1313" i="1"/>
  <c r="AR1313" i="1" s="1"/>
  <c r="AQ1314" i="1"/>
  <c r="AR1314" i="1" s="1"/>
  <c r="AQ1315" i="1"/>
  <c r="AR1315" i="1" s="1"/>
  <c r="AQ1316" i="1"/>
  <c r="AR1316" i="1" s="1"/>
  <c r="AQ1317" i="1"/>
  <c r="AR1317" i="1" s="1"/>
  <c r="AQ1318" i="1"/>
  <c r="AQ1319" i="1"/>
  <c r="AR1319" i="1" s="1"/>
  <c r="AQ1320" i="1"/>
  <c r="AQ1321" i="1"/>
  <c r="AR1321" i="1" s="1"/>
  <c r="AQ1322" i="1"/>
  <c r="AR1322" i="1" s="1"/>
  <c r="AQ1323" i="1"/>
  <c r="AR1323" i="1" s="1"/>
  <c r="AQ1324" i="1"/>
  <c r="AR1324" i="1" s="1"/>
  <c r="AQ1325" i="1"/>
  <c r="AR1325" i="1" s="1"/>
  <c r="AQ1326" i="1"/>
  <c r="AR1326" i="1" s="1"/>
  <c r="AQ1327" i="1"/>
  <c r="AR1327" i="1" s="1"/>
  <c r="AQ1328" i="1"/>
  <c r="AR1328" i="1" s="1"/>
  <c r="AQ1329" i="1"/>
  <c r="AR1329" i="1" s="1"/>
  <c r="AQ1330" i="1"/>
  <c r="AQ1331" i="1"/>
  <c r="AR1331" i="1" s="1"/>
  <c r="AQ1332" i="1"/>
  <c r="AQ1333" i="1"/>
  <c r="AR1333" i="1" s="1"/>
  <c r="AQ1334" i="1"/>
  <c r="AR1334" i="1" s="1"/>
  <c r="AQ1335" i="1"/>
  <c r="AR1335" i="1" s="1"/>
  <c r="AQ1336" i="1"/>
  <c r="AR1336" i="1" s="1"/>
  <c r="AQ1337" i="1"/>
  <c r="AR1337" i="1" s="1"/>
  <c r="AQ1338" i="1"/>
  <c r="AR1338" i="1" s="1"/>
  <c r="AQ1339" i="1"/>
  <c r="AR1339" i="1" s="1"/>
  <c r="AQ1340" i="1"/>
  <c r="AR1340" i="1" s="1"/>
  <c r="AQ1341" i="1"/>
  <c r="AR1341" i="1" s="1"/>
  <c r="AQ1342" i="1"/>
  <c r="AQ1343" i="1"/>
  <c r="AR1343" i="1" s="1"/>
  <c r="AQ1344" i="1"/>
  <c r="AQ1345" i="1"/>
  <c r="AR1345" i="1" s="1"/>
  <c r="AQ1346" i="1"/>
  <c r="AQ1347" i="1"/>
  <c r="AR1347" i="1" s="1"/>
  <c r="AQ1348" i="1"/>
  <c r="AR1348" i="1" s="1"/>
  <c r="AQ1349" i="1"/>
  <c r="AR1349" i="1" s="1"/>
  <c r="AQ1350" i="1"/>
  <c r="AR1350" i="1" s="1"/>
  <c r="AQ1351" i="1"/>
  <c r="AR1351" i="1" s="1"/>
  <c r="AQ1352" i="1"/>
  <c r="AR1352" i="1" s="1"/>
  <c r="AQ1353" i="1"/>
  <c r="AR1353" i="1" s="1"/>
  <c r="AQ1354" i="1"/>
  <c r="AQ1355" i="1"/>
  <c r="AR1355" i="1" s="1"/>
  <c r="AQ1356" i="1"/>
  <c r="AR1356" i="1" s="1"/>
  <c r="AQ1357" i="1"/>
  <c r="AQ1358" i="1"/>
  <c r="AQ1359" i="1"/>
  <c r="AR1359" i="1" s="1"/>
  <c r="AQ1360" i="1"/>
  <c r="AR1360" i="1" s="1"/>
  <c r="AQ1361" i="1"/>
  <c r="AR1361" i="1" s="1"/>
  <c r="AQ1362" i="1"/>
  <c r="AR1362" i="1" s="1"/>
  <c r="AQ1363" i="1"/>
  <c r="AR1363" i="1" s="1"/>
  <c r="AQ1364" i="1"/>
  <c r="AR1364" i="1" s="1"/>
  <c r="AQ1365" i="1"/>
  <c r="AR1365" i="1" s="1"/>
  <c r="AQ1366" i="1"/>
  <c r="AR1366" i="1" s="1"/>
  <c r="AQ1367" i="1"/>
  <c r="AR1367" i="1" s="1"/>
  <c r="AQ1368" i="1"/>
  <c r="AQ1369" i="1"/>
  <c r="AR1369" i="1" s="1"/>
  <c r="AQ1370" i="1"/>
  <c r="AR1370" i="1" s="1"/>
  <c r="AQ1371" i="1"/>
  <c r="AR1371" i="1" s="1"/>
  <c r="AQ1372" i="1"/>
  <c r="AR1372" i="1" s="1"/>
  <c r="AQ1373" i="1"/>
  <c r="AR1373" i="1" s="1"/>
  <c r="AQ1374" i="1"/>
  <c r="AR1374" i="1" s="1"/>
  <c r="AQ1375" i="1"/>
  <c r="AR1375" i="1" s="1"/>
  <c r="AQ1376" i="1"/>
  <c r="AR1376" i="1" s="1"/>
  <c r="AQ1377" i="1"/>
  <c r="AR1377" i="1" s="1"/>
  <c r="AQ1378" i="1"/>
  <c r="AQ1379" i="1"/>
  <c r="AR1379" i="1" s="1"/>
  <c r="AQ1380" i="1"/>
  <c r="AQ1381" i="1"/>
  <c r="AR1381" i="1" s="1"/>
  <c r="AQ1382" i="1"/>
  <c r="AQ1383" i="1"/>
  <c r="AQ1384" i="1"/>
  <c r="AR1384" i="1" s="1"/>
  <c r="AQ1385" i="1"/>
  <c r="AR1385" i="1" s="1"/>
  <c r="AQ1386" i="1"/>
  <c r="AR1386" i="1" s="1"/>
  <c r="AQ1387" i="1"/>
  <c r="AR1387" i="1" s="1"/>
  <c r="AQ1388" i="1"/>
  <c r="AR1388" i="1" s="1"/>
  <c r="AQ1389" i="1"/>
  <c r="AR1389" i="1" s="1"/>
  <c r="AQ1390" i="1"/>
  <c r="AQ1391" i="1"/>
  <c r="AR1391" i="1" s="1"/>
  <c r="AQ1392" i="1"/>
  <c r="AQ1393" i="1"/>
  <c r="AR1393" i="1" s="1"/>
  <c r="AQ1394" i="1"/>
  <c r="AQ1395" i="1"/>
  <c r="AR1395" i="1" s="1"/>
  <c r="AQ1396" i="1"/>
  <c r="AR1396" i="1" s="1"/>
  <c r="AQ1397" i="1"/>
  <c r="AR1397" i="1" s="1"/>
  <c r="AQ1398" i="1"/>
  <c r="AR1398" i="1" s="1"/>
  <c r="AQ1399" i="1"/>
  <c r="AQ1400" i="1"/>
  <c r="AR1400" i="1" s="1"/>
  <c r="AQ1401" i="1"/>
  <c r="AR1401" i="1" s="1"/>
  <c r="AQ1402" i="1"/>
  <c r="AQ1403" i="1"/>
  <c r="AR1403" i="1" s="1"/>
  <c r="AQ1404" i="1"/>
  <c r="AQ1405" i="1"/>
  <c r="AQ1406" i="1"/>
  <c r="AR1406" i="1" s="1"/>
  <c r="AQ1407" i="1"/>
  <c r="AR1407" i="1" s="1"/>
  <c r="AQ1408" i="1"/>
  <c r="AR1408" i="1" s="1"/>
  <c r="AQ1409" i="1"/>
  <c r="AR1409" i="1" s="1"/>
  <c r="AQ1410" i="1"/>
  <c r="AR1410" i="1" s="1"/>
  <c r="AQ1411" i="1"/>
  <c r="AR1411" i="1" s="1"/>
  <c r="AQ1412" i="1"/>
  <c r="AR1412" i="1" s="1"/>
  <c r="AQ1413" i="1"/>
  <c r="AR1413" i="1" s="1"/>
  <c r="AQ1414" i="1"/>
  <c r="AQ1415" i="1"/>
  <c r="AR1415" i="1" s="1"/>
  <c r="AQ1416" i="1"/>
  <c r="AR1416" i="1" s="1"/>
  <c r="AQ1417" i="1"/>
  <c r="AR1417" i="1" s="1"/>
  <c r="AQ1418" i="1"/>
  <c r="AQ1419" i="1"/>
  <c r="AQ1420" i="1"/>
  <c r="AR1420" i="1" s="1"/>
  <c r="AQ1421" i="1"/>
  <c r="AR1421" i="1" s="1"/>
  <c r="AQ1422" i="1"/>
  <c r="AR1422" i="1" s="1"/>
  <c r="AQ1423" i="1"/>
  <c r="AR1423" i="1" s="1"/>
  <c r="AQ1424" i="1"/>
  <c r="AR1424" i="1" s="1"/>
  <c r="AQ1425" i="1"/>
  <c r="AR1425" i="1" s="1"/>
  <c r="AQ1426" i="1"/>
  <c r="AQ1427" i="1"/>
  <c r="AR1427" i="1" s="1"/>
  <c r="AQ1428" i="1"/>
  <c r="AQ1429" i="1"/>
  <c r="AQ1430" i="1"/>
  <c r="AQ1431" i="1"/>
  <c r="AR1431" i="1" s="1"/>
  <c r="AQ1432" i="1"/>
  <c r="AR1432" i="1" s="1"/>
  <c r="AQ1433" i="1"/>
  <c r="AR1433" i="1" s="1"/>
  <c r="AQ1434" i="1"/>
  <c r="AR1434" i="1" s="1"/>
  <c r="AQ1435" i="1"/>
  <c r="AR1435" i="1" s="1"/>
  <c r="AQ1436" i="1"/>
  <c r="AR1436" i="1" s="1"/>
  <c r="AQ1437" i="1"/>
  <c r="AR1437" i="1" s="1"/>
  <c r="AQ1438" i="1"/>
  <c r="AQ1439" i="1"/>
  <c r="AR1439" i="1" s="1"/>
  <c r="AQ1440" i="1"/>
  <c r="AR1440" i="1" s="1"/>
  <c r="AQ1441" i="1"/>
  <c r="AR1441" i="1" s="1"/>
  <c r="AQ1442" i="1"/>
  <c r="AR1442" i="1" s="1"/>
  <c r="AQ1443" i="1"/>
  <c r="AR1443" i="1" s="1"/>
  <c r="AQ1444" i="1"/>
  <c r="AR1444" i="1" s="1"/>
  <c r="AQ1445" i="1"/>
  <c r="AR1445" i="1" s="1"/>
  <c r="AQ1446" i="1"/>
  <c r="AR1446" i="1" s="1"/>
  <c r="AQ1447" i="1"/>
  <c r="AR1447" i="1" s="1"/>
  <c r="AQ1448" i="1"/>
  <c r="AR1448" i="1" s="1"/>
  <c r="AQ1449" i="1"/>
  <c r="AR1449" i="1" s="1"/>
  <c r="AQ1450" i="1"/>
  <c r="AR1450" i="1" s="1"/>
  <c r="AQ1451" i="1"/>
  <c r="AR1451" i="1" s="1"/>
  <c r="AQ1452" i="1"/>
  <c r="AQ1453" i="1"/>
  <c r="AQ1454" i="1"/>
  <c r="AQ1455" i="1"/>
  <c r="AR1455" i="1" s="1"/>
  <c r="AQ1456" i="1"/>
  <c r="AR1456" i="1" s="1"/>
  <c r="AQ1457" i="1"/>
  <c r="AR1457" i="1" s="1"/>
  <c r="AQ1458" i="1"/>
  <c r="AR1458" i="1" s="1"/>
  <c r="AQ1459" i="1"/>
  <c r="AR1459" i="1" s="1"/>
  <c r="AQ1460" i="1"/>
  <c r="AR1460" i="1" s="1"/>
  <c r="AQ1461" i="1"/>
  <c r="AR1461" i="1" s="1"/>
  <c r="AQ1462" i="1"/>
  <c r="AQ1463" i="1"/>
  <c r="AR1463" i="1" s="1"/>
  <c r="AQ1464" i="1"/>
  <c r="AR1464" i="1" s="1"/>
  <c r="AQ1465" i="1"/>
  <c r="AR1465" i="1" s="1"/>
  <c r="AQ1466" i="1"/>
  <c r="AQ1467" i="1"/>
  <c r="AQ1468" i="1"/>
  <c r="AR1468" i="1" s="1"/>
  <c r="AQ1469" i="1"/>
  <c r="AR1469" i="1" s="1"/>
  <c r="AQ1470" i="1"/>
  <c r="AR1470" i="1" s="1"/>
  <c r="AQ1471" i="1"/>
  <c r="AR1471" i="1" s="1"/>
  <c r="AQ1472" i="1"/>
  <c r="AR1472" i="1" s="1"/>
  <c r="AQ1473" i="1"/>
  <c r="AR1473" i="1" s="1"/>
  <c r="AQ1474" i="1"/>
  <c r="AQ1475" i="1"/>
  <c r="AQ1476" i="1"/>
  <c r="AQ1477" i="1"/>
  <c r="AR1477" i="1" s="1"/>
  <c r="AQ1478" i="1"/>
  <c r="AR1478" i="1" s="1"/>
  <c r="AQ1479" i="1"/>
  <c r="AR1479" i="1" s="1"/>
  <c r="AQ1480" i="1"/>
  <c r="AR1480" i="1" s="1"/>
  <c r="AQ1481" i="1"/>
  <c r="AR1481" i="1" s="1"/>
  <c r="AQ1482" i="1"/>
  <c r="AR1482" i="1" s="1"/>
  <c r="AQ1483" i="1"/>
  <c r="AR1483" i="1" s="1"/>
  <c r="AQ1484" i="1"/>
  <c r="AR1484" i="1" s="1"/>
  <c r="AQ1485" i="1"/>
  <c r="AR1485" i="1" s="1"/>
  <c r="AQ1486" i="1"/>
  <c r="AQ1487" i="1"/>
  <c r="AR1487" i="1" s="1"/>
  <c r="AQ1488" i="1"/>
  <c r="AQ1489" i="1"/>
  <c r="AR1489" i="1" s="1"/>
  <c r="AQ1490" i="1"/>
  <c r="AR1490" i="1" s="1"/>
  <c r="AQ1491" i="1"/>
  <c r="AR1491" i="1" s="1"/>
  <c r="AQ1492" i="1"/>
  <c r="AR1492" i="1" s="1"/>
  <c r="AQ1493" i="1"/>
  <c r="AR1493" i="1" s="1"/>
  <c r="AQ1494" i="1"/>
  <c r="AR1494" i="1" s="1"/>
  <c r="AQ1495" i="1"/>
  <c r="AR1495" i="1" s="1"/>
  <c r="AQ1496" i="1"/>
  <c r="AR1496" i="1" s="1"/>
  <c r="AQ1497" i="1"/>
  <c r="AR1497" i="1" s="1"/>
  <c r="AQ1498" i="1"/>
  <c r="AQ1499" i="1"/>
  <c r="AR1499" i="1" s="1"/>
  <c r="AQ1500" i="1"/>
  <c r="AQ1501" i="1"/>
  <c r="AQ1502" i="1"/>
  <c r="AQ1503" i="1"/>
  <c r="AR1503" i="1" s="1"/>
  <c r="AQ1504" i="1"/>
  <c r="AR1504" i="1" s="1"/>
  <c r="AQ1505" i="1"/>
  <c r="AR1505" i="1" s="1"/>
  <c r="AQ1506" i="1"/>
  <c r="AR1506" i="1" s="1"/>
  <c r="AQ1507" i="1"/>
  <c r="AR1507" i="1" s="1"/>
  <c r="AQ1508" i="1"/>
  <c r="AR1508" i="1" s="1"/>
  <c r="AQ1509" i="1"/>
  <c r="AR1509" i="1" s="1"/>
  <c r="AQ1510" i="1"/>
  <c r="AQ1511" i="1"/>
  <c r="AR1511" i="1" s="1"/>
  <c r="AQ1512" i="1"/>
  <c r="AR1512" i="1" s="1"/>
  <c r="AQ1513" i="1"/>
  <c r="AR1513" i="1" s="1"/>
  <c r="AQ1514" i="1"/>
  <c r="AQ1515" i="1"/>
  <c r="AR1515" i="1" s="1"/>
  <c r="AQ1516" i="1"/>
  <c r="AR1516" i="1" s="1"/>
  <c r="AQ1517" i="1"/>
  <c r="AR1517" i="1" s="1"/>
  <c r="AQ1518" i="1"/>
  <c r="AR1518" i="1" s="1"/>
  <c r="AQ1519" i="1"/>
  <c r="AR1519" i="1" s="1"/>
  <c r="AQ1520" i="1"/>
  <c r="AR1520" i="1" s="1"/>
  <c r="AQ1521" i="1"/>
  <c r="AR1521" i="1" s="1"/>
  <c r="AQ1522" i="1"/>
  <c r="AQ1523" i="1"/>
  <c r="AR1523" i="1" s="1"/>
  <c r="AQ1524" i="1"/>
  <c r="AR1524" i="1" s="1"/>
  <c r="AQ1525" i="1"/>
  <c r="AR1525" i="1" s="1"/>
  <c r="AQ1526" i="1"/>
  <c r="AR1526" i="1" s="1"/>
  <c r="AQ1527" i="1"/>
  <c r="AR1527" i="1" s="1"/>
  <c r="AQ1528" i="1"/>
  <c r="AR1528" i="1" s="1"/>
  <c r="AQ1529" i="1"/>
  <c r="AR1529" i="1" s="1"/>
  <c r="AQ1530" i="1"/>
  <c r="AR1530" i="1" s="1"/>
  <c r="AQ1531" i="1"/>
  <c r="AR1531" i="1" s="1"/>
  <c r="AQ1532" i="1"/>
  <c r="AR1532" i="1" s="1"/>
  <c r="AQ1533" i="1"/>
  <c r="AR1533" i="1" s="1"/>
  <c r="AQ1534" i="1"/>
  <c r="AQ1535" i="1"/>
  <c r="AR1535" i="1" s="1"/>
  <c r="AQ1536" i="1"/>
  <c r="AQ1537" i="1"/>
  <c r="AR1537" i="1" s="1"/>
  <c r="AQ1538" i="1"/>
  <c r="AQ1539" i="1"/>
  <c r="AQ1540" i="1"/>
  <c r="AQ1541" i="1"/>
  <c r="AR1541" i="1" s="1"/>
  <c r="AQ1542" i="1"/>
  <c r="AR1542" i="1" s="1"/>
  <c r="AQ1543" i="1"/>
  <c r="AR1543" i="1" s="1"/>
  <c r="AQ1544" i="1"/>
  <c r="AR1544" i="1" s="1"/>
  <c r="AQ1545" i="1"/>
  <c r="AR1545" i="1" s="1"/>
  <c r="AQ1546" i="1"/>
  <c r="AR1546" i="1" s="1"/>
  <c r="AQ1547" i="1"/>
  <c r="AR1547" i="1" s="1"/>
  <c r="AQ1548" i="1"/>
  <c r="AQ1549" i="1"/>
  <c r="AQ1550" i="1"/>
  <c r="AQ1551" i="1"/>
  <c r="AR1551" i="1" s="1"/>
  <c r="AQ1552" i="1"/>
  <c r="AR1552" i="1" s="1"/>
  <c r="AQ1553" i="1"/>
  <c r="AR1553" i="1" s="1"/>
  <c r="AQ1554" i="1"/>
  <c r="AR1554" i="1" s="1"/>
  <c r="AQ1555" i="1"/>
  <c r="AR1555" i="1" s="1"/>
  <c r="AQ1556" i="1"/>
  <c r="AR1556" i="1" s="1"/>
  <c r="AQ1557" i="1"/>
  <c r="AR1557" i="1" s="1"/>
  <c r="AQ1558" i="1"/>
  <c r="AQ1559" i="1"/>
  <c r="AR1559" i="1" s="1"/>
  <c r="AQ1560" i="1"/>
  <c r="AQ1561" i="1"/>
  <c r="AR1561" i="1" s="1"/>
  <c r="AQ1562" i="1"/>
  <c r="AR1562" i="1" s="1"/>
  <c r="AQ1563" i="1"/>
  <c r="AR1563" i="1" s="1"/>
  <c r="AQ1564" i="1"/>
  <c r="AR1564" i="1" s="1"/>
  <c r="AQ1565" i="1"/>
  <c r="AR1565" i="1" s="1"/>
  <c r="AQ1566" i="1"/>
  <c r="AR1566" i="1" s="1"/>
  <c r="AQ1567" i="1"/>
  <c r="AR1567" i="1" s="1"/>
  <c r="AQ1568" i="1"/>
  <c r="AR1568" i="1" s="1"/>
  <c r="AQ1569" i="1"/>
  <c r="AR1569" i="1" s="1"/>
  <c r="AQ1570" i="1"/>
  <c r="AQ1571" i="1"/>
  <c r="AR1571" i="1" s="1"/>
  <c r="AQ1572" i="1"/>
  <c r="AR1572" i="1" s="1"/>
  <c r="AQ1573" i="1"/>
  <c r="AQ1574" i="1"/>
  <c r="AQ1575" i="1"/>
  <c r="AR1575" i="1" s="1"/>
  <c r="AQ1576" i="1"/>
  <c r="AR1576" i="1" s="1"/>
  <c r="AQ1577" i="1"/>
  <c r="AR1577" i="1" s="1"/>
  <c r="AQ1578" i="1"/>
  <c r="AR1578" i="1" s="1"/>
  <c r="AQ1579" i="1"/>
  <c r="AR1579" i="1" s="1"/>
  <c r="AQ1580" i="1"/>
  <c r="AR1580" i="1" s="1"/>
  <c r="AQ1581" i="1"/>
  <c r="AR1581" i="1" s="1"/>
  <c r="AQ1582" i="1"/>
  <c r="AQ1583" i="1"/>
  <c r="AR1583" i="1" s="1"/>
  <c r="AQ1584" i="1"/>
  <c r="AQ1585" i="1"/>
  <c r="AR1585" i="1" s="1"/>
  <c r="AQ1586" i="1"/>
  <c r="AQ1587" i="1"/>
  <c r="AQ1588" i="1"/>
  <c r="AR1588" i="1" s="1"/>
  <c r="AQ1589" i="1"/>
  <c r="AR1589" i="1" s="1"/>
  <c r="AQ1590" i="1"/>
  <c r="AR1590" i="1" s="1"/>
  <c r="AQ1591" i="1"/>
  <c r="AR1591" i="1" s="1"/>
  <c r="AQ1592" i="1"/>
  <c r="AR1592" i="1" s="1"/>
  <c r="AQ1593" i="1"/>
  <c r="AR1593" i="1" s="1"/>
  <c r="AQ1594" i="1"/>
  <c r="AQ1595" i="1"/>
  <c r="AR1595" i="1" s="1"/>
  <c r="AQ1596" i="1"/>
  <c r="AQ1597" i="1"/>
  <c r="AR1597" i="1" s="1"/>
  <c r="AQ1598" i="1"/>
  <c r="AR1598" i="1" s="1"/>
  <c r="AQ1599" i="1"/>
  <c r="AR1599" i="1" s="1"/>
  <c r="AQ1600" i="1"/>
  <c r="AR1600" i="1" s="1"/>
  <c r="AQ1601" i="1"/>
  <c r="AR1601" i="1" s="1"/>
  <c r="AQ1602" i="1"/>
  <c r="AR1602" i="1" s="1"/>
  <c r="AQ1603" i="1"/>
  <c r="AR1603" i="1" s="1"/>
  <c r="AQ1604" i="1"/>
  <c r="AR1604" i="1" s="1"/>
  <c r="AQ1605" i="1"/>
  <c r="AR1605" i="1" s="1"/>
  <c r="AQ1606" i="1"/>
  <c r="AQ1607" i="1"/>
  <c r="AR1607" i="1" s="1"/>
  <c r="AQ1608" i="1"/>
  <c r="AQ1609" i="1"/>
  <c r="AR1609" i="1" s="1"/>
  <c r="AQ1610" i="1"/>
  <c r="AQ1611" i="1"/>
  <c r="AR1611" i="1" s="1"/>
  <c r="AQ1612" i="1"/>
  <c r="AR1612" i="1" s="1"/>
  <c r="AQ1613" i="1"/>
  <c r="AR1613" i="1" s="1"/>
  <c r="AQ1614" i="1"/>
  <c r="AR1614" i="1" s="1"/>
  <c r="AQ1615" i="1"/>
  <c r="AR1615" i="1" s="1"/>
  <c r="AQ1616" i="1"/>
  <c r="AR1616" i="1" s="1"/>
  <c r="AQ1617" i="1"/>
  <c r="AR1617" i="1" s="1"/>
  <c r="AQ1618" i="1"/>
  <c r="AQ1619" i="1"/>
  <c r="AQ1620" i="1"/>
  <c r="AQ1621" i="1"/>
  <c r="AQ1622" i="1"/>
  <c r="AQ1623" i="1"/>
  <c r="AR1623" i="1" s="1"/>
  <c r="AQ1624" i="1"/>
  <c r="AR1624" i="1" s="1"/>
  <c r="AQ1625" i="1"/>
  <c r="AR1625" i="1" s="1"/>
  <c r="AQ1626" i="1"/>
  <c r="AR1626" i="1" s="1"/>
  <c r="AQ1627" i="1"/>
  <c r="AR1627" i="1" s="1"/>
  <c r="AQ1628" i="1"/>
  <c r="AR1628" i="1" s="1"/>
  <c r="AQ1629" i="1"/>
  <c r="AR1629" i="1" s="1"/>
  <c r="AQ1630" i="1"/>
  <c r="AR1630" i="1" s="1"/>
  <c r="AQ1631" i="1"/>
  <c r="AQ1632" i="1"/>
  <c r="AQ1633" i="1"/>
  <c r="AR1633" i="1" s="1"/>
  <c r="AQ1634" i="1"/>
  <c r="AR1634" i="1" s="1"/>
  <c r="AQ1635" i="1"/>
  <c r="AR1635" i="1" s="1"/>
  <c r="AQ1636" i="1"/>
  <c r="AR1636" i="1" s="1"/>
  <c r="AQ1637" i="1"/>
  <c r="AR1637" i="1" s="1"/>
  <c r="AQ1638" i="1"/>
  <c r="AR1638" i="1" s="1"/>
  <c r="AQ1639" i="1"/>
  <c r="AR1639" i="1" s="1"/>
  <c r="AQ1640" i="1"/>
  <c r="AR1640" i="1" s="1"/>
  <c r="AQ1641" i="1"/>
  <c r="AR1641" i="1" s="1"/>
  <c r="AQ1642" i="1"/>
  <c r="AQ1643" i="1"/>
  <c r="AQ1644" i="1"/>
  <c r="AR1644" i="1" s="1"/>
  <c r="AQ1645" i="1"/>
  <c r="AR1645" i="1" s="1"/>
  <c r="AQ1646" i="1"/>
  <c r="AR1646" i="1" s="1"/>
  <c r="AQ1647" i="1"/>
  <c r="AR1647" i="1" s="1"/>
  <c r="AQ1648" i="1"/>
  <c r="AR1648" i="1" s="1"/>
  <c r="AQ1649" i="1"/>
  <c r="AR1649" i="1" s="1"/>
  <c r="AQ1650" i="1"/>
  <c r="AR1650" i="1" s="1"/>
  <c r="AQ1651" i="1"/>
  <c r="AR1651" i="1" s="1"/>
  <c r="AQ1652" i="1"/>
  <c r="AR1652" i="1" s="1"/>
  <c r="AQ1653" i="1"/>
  <c r="AR1653" i="1" s="1"/>
  <c r="AQ1654" i="1"/>
  <c r="AQ1655" i="1"/>
  <c r="AR1655" i="1" s="1"/>
  <c r="AQ1656" i="1"/>
  <c r="AQ1657" i="1"/>
  <c r="AR1657" i="1" s="1"/>
  <c r="AQ1658" i="1"/>
  <c r="AQ1659" i="1"/>
  <c r="AR1659" i="1" s="1"/>
  <c r="AQ1660" i="1"/>
  <c r="AR1660" i="1" s="1"/>
  <c r="AQ1661" i="1"/>
  <c r="AR1661" i="1" s="1"/>
  <c r="AQ1662" i="1"/>
  <c r="AR1662" i="1" s="1"/>
  <c r="AQ1663" i="1"/>
  <c r="AR1663" i="1" s="1"/>
  <c r="AQ1664" i="1"/>
  <c r="AR1664" i="1" s="1"/>
  <c r="AQ1665" i="1"/>
  <c r="AR1665" i="1" s="1"/>
  <c r="AQ1666" i="1"/>
  <c r="AQ1667" i="1"/>
  <c r="AR1667" i="1" s="1"/>
  <c r="AQ1668" i="1"/>
  <c r="AQ1669" i="1"/>
  <c r="AQ1670" i="1"/>
  <c r="AQ1671" i="1"/>
  <c r="AR1671" i="1" s="1"/>
  <c r="AQ1672" i="1"/>
  <c r="AR1672" i="1" s="1"/>
  <c r="AQ1673" i="1"/>
  <c r="AR1673" i="1" s="1"/>
  <c r="AQ1674" i="1"/>
  <c r="AR1674" i="1" s="1"/>
  <c r="AQ1675" i="1"/>
  <c r="AR1675" i="1" s="1"/>
  <c r="AQ1676" i="1"/>
  <c r="AR1676" i="1" s="1"/>
  <c r="AQ1677" i="1"/>
  <c r="AR1677" i="1" s="1"/>
  <c r="AQ1678" i="1"/>
  <c r="AQ1679" i="1"/>
  <c r="AR1679" i="1" s="1"/>
  <c r="AQ1680" i="1"/>
  <c r="AR1680" i="1" s="1"/>
  <c r="AQ1681" i="1"/>
  <c r="AR1681" i="1" s="1"/>
  <c r="AQ1682" i="1"/>
  <c r="AR1682" i="1" s="1"/>
  <c r="AQ1683" i="1"/>
  <c r="AR1683" i="1" s="1"/>
  <c r="AQ1684" i="1"/>
  <c r="AR1684" i="1" s="1"/>
  <c r="AQ1685" i="1"/>
  <c r="AR1685" i="1" s="1"/>
  <c r="AQ1686" i="1"/>
  <c r="AR1686" i="1" s="1"/>
  <c r="AQ1687" i="1"/>
  <c r="AR1687" i="1" s="1"/>
  <c r="AQ1688" i="1"/>
  <c r="AR1688" i="1" s="1"/>
  <c r="AQ1689" i="1"/>
  <c r="AR1689" i="1" s="1"/>
  <c r="AQ1690" i="1"/>
  <c r="AQ1691" i="1"/>
  <c r="AQ1692" i="1"/>
  <c r="AQ1693" i="1"/>
  <c r="AQ1694" i="1"/>
  <c r="AQ1695" i="1"/>
  <c r="AQ1696" i="1"/>
  <c r="AR1696" i="1" s="1"/>
  <c r="AQ1697" i="1"/>
  <c r="AR1697" i="1" s="1"/>
  <c r="AQ1698" i="1"/>
  <c r="AR1698" i="1" s="1"/>
  <c r="AQ1699" i="1"/>
  <c r="AR1699" i="1" s="1"/>
  <c r="AQ1700" i="1"/>
  <c r="AR1700" i="1" s="1"/>
  <c r="AQ1701" i="1"/>
  <c r="AR1701" i="1" s="1"/>
  <c r="AQ1702" i="1"/>
  <c r="AR1702" i="1" s="1"/>
  <c r="AQ1703" i="1"/>
  <c r="AR1703" i="1" s="1"/>
  <c r="AQ1704" i="1"/>
  <c r="AQ1705" i="1"/>
  <c r="AR1705" i="1" s="1"/>
  <c r="AQ1706" i="1"/>
  <c r="AQ1707" i="1"/>
  <c r="AR1707" i="1" s="1"/>
  <c r="AQ1708" i="1"/>
  <c r="AR1708" i="1" s="1"/>
  <c r="AQ1709" i="1"/>
  <c r="AR1709" i="1" s="1"/>
  <c r="AQ1710" i="1"/>
  <c r="AR1710" i="1" s="1"/>
  <c r="AQ1711" i="1"/>
  <c r="AR1711" i="1" s="1"/>
  <c r="AQ1712" i="1"/>
  <c r="AR1712" i="1" s="1"/>
  <c r="AQ1713" i="1"/>
  <c r="AR1713" i="1" s="1"/>
  <c r="AQ1714" i="1"/>
  <c r="AQ1715" i="1"/>
  <c r="AR1715" i="1" s="1"/>
  <c r="AQ1716" i="1"/>
  <c r="AR1716" i="1" s="1"/>
  <c r="AQ1717" i="1"/>
  <c r="AR1717" i="1" s="1"/>
  <c r="AQ1718" i="1"/>
  <c r="AR1718" i="1" s="1"/>
  <c r="AQ1719" i="1"/>
  <c r="AR1719" i="1" s="1"/>
  <c r="AQ1720" i="1"/>
  <c r="AR1720" i="1" s="1"/>
  <c r="AQ1721" i="1"/>
  <c r="AR1721" i="1" s="1"/>
  <c r="AQ1722" i="1"/>
  <c r="AR1722" i="1" s="1"/>
  <c r="AQ1723" i="1"/>
  <c r="AR1723" i="1" s="1"/>
  <c r="AQ1724" i="1"/>
  <c r="AR1724" i="1" s="1"/>
  <c r="AQ1725" i="1"/>
  <c r="AR1725" i="1" s="1"/>
  <c r="AQ1726" i="1"/>
  <c r="AQ1727" i="1"/>
  <c r="AR1727" i="1" s="1"/>
  <c r="AQ1728" i="1"/>
  <c r="AQ1729" i="1"/>
  <c r="AR1729" i="1" s="1"/>
  <c r="AQ1730" i="1"/>
  <c r="AR1730" i="1" s="1"/>
  <c r="AQ1731" i="1"/>
  <c r="AR1731" i="1" s="1"/>
  <c r="AQ1732" i="1"/>
  <c r="AR1732" i="1" s="1"/>
  <c r="AQ1733" i="1"/>
  <c r="AR1733" i="1" s="1"/>
  <c r="AQ1734" i="1"/>
  <c r="AR1734" i="1" s="1"/>
  <c r="AQ1735" i="1"/>
  <c r="AR1735" i="1" s="1"/>
  <c r="AQ1736" i="1"/>
  <c r="AR1736" i="1" s="1"/>
  <c r="AQ1737" i="1"/>
  <c r="AR1737" i="1" s="1"/>
  <c r="AQ1738" i="1"/>
  <c r="AQ1739" i="1"/>
  <c r="AR1739" i="1" s="1"/>
  <c r="AQ1740" i="1"/>
  <c r="AQ1741" i="1"/>
  <c r="AQ1742" i="1"/>
  <c r="AQ1743" i="1"/>
  <c r="AR1743" i="1" s="1"/>
  <c r="AQ1744" i="1"/>
  <c r="AR1744" i="1" s="1"/>
  <c r="AQ1745" i="1"/>
  <c r="AR1745" i="1" s="1"/>
  <c r="AQ1746" i="1"/>
  <c r="AR1746" i="1" s="1"/>
  <c r="AQ1747" i="1"/>
  <c r="AR1747" i="1" s="1"/>
  <c r="AQ1748" i="1"/>
  <c r="AR1748" i="1" s="1"/>
  <c r="AQ1749" i="1"/>
  <c r="AR1749" i="1" s="1"/>
  <c r="AQ1750" i="1"/>
  <c r="AR1750" i="1" s="1"/>
  <c r="AQ1751" i="1"/>
  <c r="AR1751" i="1" s="1"/>
  <c r="AQ1752" i="1"/>
  <c r="AQ1753" i="1"/>
  <c r="AR1753" i="1" s="1"/>
  <c r="AQ1754" i="1"/>
  <c r="AQ1755" i="1"/>
  <c r="AR1755" i="1" s="1"/>
  <c r="AQ1756" i="1"/>
  <c r="AR1756" i="1" s="1"/>
  <c r="AQ1757" i="1"/>
  <c r="AR1757" i="1" s="1"/>
  <c r="AQ1758" i="1"/>
  <c r="AR1758" i="1" s="1"/>
  <c r="AQ1759" i="1"/>
  <c r="AR1759" i="1" s="1"/>
  <c r="AQ1760" i="1"/>
  <c r="AR1760" i="1" s="1"/>
  <c r="AQ1761" i="1"/>
  <c r="AR1761" i="1" s="1"/>
  <c r="AQ1762" i="1"/>
  <c r="AQ1763" i="1"/>
  <c r="AR1763" i="1" s="1"/>
  <c r="AQ1764" i="1"/>
  <c r="AR1764" i="1" s="1"/>
  <c r="AQ1765" i="1"/>
  <c r="AQ1766" i="1"/>
  <c r="AR1766" i="1" s="1"/>
  <c r="AQ1767" i="1"/>
  <c r="AR1767" i="1" s="1"/>
  <c r="AQ1768" i="1"/>
  <c r="AR1768" i="1" s="1"/>
  <c r="AQ1769" i="1"/>
  <c r="AR1769" i="1" s="1"/>
  <c r="AQ1770" i="1"/>
  <c r="AR1770" i="1" s="1"/>
  <c r="AQ1771" i="1"/>
  <c r="AR1771" i="1" s="1"/>
  <c r="AQ1772" i="1"/>
  <c r="AR1772" i="1" s="1"/>
  <c r="AQ1773" i="1"/>
  <c r="AR1773" i="1" s="1"/>
  <c r="AQ1774" i="1"/>
  <c r="AQ1775" i="1"/>
  <c r="AR1775" i="1" s="1"/>
  <c r="AQ1776" i="1"/>
  <c r="AQ1777" i="1"/>
  <c r="AR1777" i="1" s="1"/>
  <c r="AQ1778" i="1"/>
  <c r="AQ1779" i="1"/>
  <c r="AQ1780" i="1"/>
  <c r="AR1780" i="1" s="1"/>
  <c r="AQ1781" i="1"/>
  <c r="AR1781" i="1" s="1"/>
  <c r="AQ1782" i="1"/>
  <c r="AR1782" i="1" s="1"/>
  <c r="AQ1783" i="1"/>
  <c r="AR1783" i="1" s="1"/>
  <c r="AQ1784" i="1"/>
  <c r="AR1784" i="1" s="1"/>
  <c r="AQ1785" i="1"/>
  <c r="AR1785" i="1" s="1"/>
  <c r="AQ1786" i="1"/>
  <c r="AR1786" i="1" s="1"/>
  <c r="AQ1787" i="1"/>
  <c r="AR1787" i="1" s="1"/>
  <c r="AQ1788" i="1"/>
  <c r="AR1788" i="1" s="1"/>
  <c r="AQ1789" i="1"/>
  <c r="AQ1790" i="1"/>
  <c r="AQ1791" i="1"/>
  <c r="AR1791" i="1" s="1"/>
  <c r="AQ1792" i="1"/>
  <c r="AR1792" i="1" s="1"/>
  <c r="AQ1793" i="1"/>
  <c r="AR1793" i="1" s="1"/>
  <c r="AQ1794" i="1"/>
  <c r="AR1794" i="1" s="1"/>
  <c r="AQ1795" i="1"/>
  <c r="AR1795" i="1" s="1"/>
  <c r="AQ1796" i="1"/>
  <c r="AR1796" i="1" s="1"/>
  <c r="AQ1797" i="1"/>
  <c r="AR1797" i="1" s="1"/>
  <c r="AQ1798" i="1"/>
  <c r="AQ1799" i="1"/>
  <c r="AR1799" i="1" s="1"/>
  <c r="AQ1800" i="1"/>
  <c r="AR1800" i="1" s="1"/>
  <c r="AQ1801" i="1"/>
  <c r="AR1801" i="1" s="1"/>
  <c r="AQ1802" i="1"/>
  <c r="AQ1803" i="1"/>
  <c r="AR1803" i="1" s="1"/>
  <c r="AQ1804" i="1"/>
  <c r="AR1804" i="1" s="1"/>
  <c r="AQ1805" i="1"/>
  <c r="AR1805" i="1" s="1"/>
  <c r="AQ1806" i="1"/>
  <c r="AR1806" i="1" s="1"/>
  <c r="AQ1807" i="1"/>
  <c r="AR1807" i="1" s="1"/>
  <c r="AQ1808" i="1"/>
  <c r="AR1808" i="1" s="1"/>
  <c r="AQ1809" i="1"/>
  <c r="AR1809" i="1" s="1"/>
  <c r="AQ1810" i="1"/>
  <c r="AQ1811" i="1"/>
  <c r="AR1811" i="1" s="1"/>
  <c r="AQ1812" i="1"/>
  <c r="AR1812" i="1" s="1"/>
  <c r="AQ1813" i="1"/>
  <c r="AQ1814" i="1"/>
  <c r="AR1814" i="1" s="1"/>
  <c r="AQ1815" i="1"/>
  <c r="AR1815" i="1" s="1"/>
  <c r="AQ1816" i="1"/>
  <c r="AR1816" i="1" s="1"/>
  <c r="AQ1817" i="1"/>
  <c r="AR1817" i="1" s="1"/>
  <c r="AQ1818" i="1"/>
  <c r="AR1818" i="1" s="1"/>
  <c r="AQ1819" i="1"/>
  <c r="AR1819" i="1" s="1"/>
  <c r="AQ1820" i="1"/>
  <c r="AR1820" i="1" s="1"/>
  <c r="AQ1821" i="1"/>
  <c r="AR1821" i="1" s="1"/>
  <c r="AQ1822" i="1"/>
  <c r="AQ1823" i="1"/>
  <c r="AR1823" i="1" s="1"/>
  <c r="AQ1824" i="1"/>
  <c r="AQ1825" i="1"/>
  <c r="AR1825" i="1" s="1"/>
  <c r="AQ1826" i="1"/>
  <c r="AQ1827" i="1"/>
  <c r="AR1827" i="1" s="1"/>
  <c r="AQ1828" i="1"/>
  <c r="AR1828" i="1" s="1"/>
  <c r="AQ1829" i="1"/>
  <c r="AR1829" i="1" s="1"/>
  <c r="AQ1830" i="1"/>
  <c r="AR1830" i="1" s="1"/>
  <c r="AQ1831" i="1"/>
  <c r="AR1831" i="1" s="1"/>
  <c r="AQ1832" i="1"/>
  <c r="AR1832" i="1" s="1"/>
  <c r="AQ1833" i="1"/>
  <c r="AR1833" i="1" s="1"/>
  <c r="AQ1834" i="1"/>
  <c r="AQ1835" i="1"/>
  <c r="AR1835" i="1" s="1"/>
  <c r="AQ1836" i="1"/>
  <c r="AQ1837" i="1"/>
  <c r="AR1837" i="1" s="1"/>
  <c r="AQ1838" i="1"/>
  <c r="AQ1839" i="1"/>
  <c r="AQ1840" i="1"/>
  <c r="AR1840" i="1" s="1"/>
  <c r="AQ1841" i="1"/>
  <c r="AR1841" i="1" s="1"/>
  <c r="AQ1842" i="1"/>
  <c r="AR1842" i="1" s="1"/>
  <c r="AQ1843" i="1"/>
  <c r="AR1843" i="1" s="1"/>
  <c r="AQ1844" i="1"/>
  <c r="AR1844" i="1" s="1"/>
  <c r="AQ1845" i="1"/>
  <c r="AR1845" i="1" s="1"/>
  <c r="AQ1846" i="1"/>
  <c r="AQ1847" i="1"/>
  <c r="AQ1848" i="1"/>
  <c r="AR1848" i="1" s="1"/>
  <c r="AQ1849" i="1"/>
  <c r="AR1849" i="1" s="1"/>
  <c r="AQ1850" i="1"/>
  <c r="AR1850" i="1" s="1"/>
  <c r="AQ1851" i="1"/>
  <c r="AR1851" i="1" s="1"/>
  <c r="AQ1852" i="1"/>
  <c r="AR1852" i="1" s="1"/>
  <c r="AQ1853" i="1"/>
  <c r="AR1853" i="1" s="1"/>
  <c r="AQ1854" i="1"/>
  <c r="AR1854" i="1" s="1"/>
  <c r="AQ1855" i="1"/>
  <c r="AR1855" i="1" s="1"/>
  <c r="AQ1856" i="1"/>
  <c r="AR1856" i="1" s="1"/>
  <c r="AQ1857" i="1"/>
  <c r="AR1857" i="1" s="1"/>
  <c r="AQ1858" i="1"/>
  <c r="AR1858" i="1" s="1"/>
  <c r="AQ1859" i="1"/>
  <c r="AR1859" i="1" s="1"/>
  <c r="AQ1860" i="1"/>
  <c r="AQ1861" i="1"/>
  <c r="AQ1862" i="1"/>
  <c r="AQ1863" i="1"/>
  <c r="AR1863" i="1" s="1"/>
  <c r="AQ1864" i="1"/>
  <c r="AR1864" i="1" s="1"/>
  <c r="AQ1865" i="1"/>
  <c r="AR1865" i="1" s="1"/>
  <c r="AQ1866" i="1"/>
  <c r="AR1866" i="1" s="1"/>
  <c r="AQ1867" i="1"/>
  <c r="AR1867" i="1" s="1"/>
  <c r="AQ1868" i="1"/>
  <c r="AR1868" i="1" s="1"/>
  <c r="AQ1869" i="1"/>
  <c r="AR1869" i="1" s="1"/>
  <c r="AQ1870" i="1"/>
  <c r="AQ1871" i="1"/>
  <c r="AQ1872" i="1"/>
  <c r="AR1872" i="1" s="1"/>
  <c r="AQ1873" i="1"/>
  <c r="AR1873" i="1" s="1"/>
  <c r="AQ1874" i="1"/>
  <c r="AQ1875" i="1"/>
  <c r="AR1875" i="1" s="1"/>
  <c r="AQ1876" i="1"/>
  <c r="AR1876" i="1" s="1"/>
  <c r="AQ1877" i="1"/>
  <c r="AR1877" i="1" s="1"/>
  <c r="AQ1878" i="1"/>
  <c r="AR1878" i="1" s="1"/>
  <c r="AQ1879" i="1"/>
  <c r="AR1879" i="1" s="1"/>
  <c r="AQ1880" i="1"/>
  <c r="AR1880" i="1" s="1"/>
  <c r="AQ1881" i="1"/>
  <c r="AR1881" i="1" s="1"/>
  <c r="AQ1882" i="1"/>
  <c r="AQ1883" i="1"/>
  <c r="AR1883" i="1" s="1"/>
  <c r="AQ1884" i="1"/>
  <c r="AQ1885" i="1"/>
  <c r="AQ1886" i="1"/>
  <c r="AQ1887" i="1"/>
  <c r="AR1887" i="1" s="1"/>
  <c r="AQ1888" i="1"/>
  <c r="AR1888" i="1" s="1"/>
  <c r="AQ1889" i="1"/>
  <c r="AR1889" i="1" s="1"/>
  <c r="AQ1890" i="1"/>
  <c r="AR1890" i="1" s="1"/>
  <c r="AQ1891" i="1"/>
  <c r="AR1891" i="1" s="1"/>
  <c r="AQ1892" i="1"/>
  <c r="AR1892" i="1" s="1"/>
  <c r="AQ1893" i="1"/>
  <c r="AR1893" i="1" s="1"/>
  <c r="AQ1894" i="1"/>
  <c r="AQ1895" i="1"/>
  <c r="AR1895" i="1" s="1"/>
  <c r="AQ1896" i="1"/>
  <c r="AQ1897" i="1"/>
  <c r="AR1897" i="1" s="1"/>
  <c r="AQ1898" i="1"/>
  <c r="AR1898" i="1" s="1"/>
  <c r="AQ1899" i="1"/>
  <c r="AR1899" i="1" s="1"/>
  <c r="AQ1900" i="1"/>
  <c r="AR1900" i="1" s="1"/>
  <c r="AQ1901" i="1"/>
  <c r="AR1901" i="1" s="1"/>
  <c r="AQ1902" i="1"/>
  <c r="AR1902" i="1" s="1"/>
  <c r="AQ1903" i="1"/>
  <c r="AR1903" i="1" s="1"/>
  <c r="AQ1904" i="1"/>
  <c r="AR1904" i="1" s="1"/>
  <c r="AQ1905" i="1"/>
  <c r="AR1905" i="1" s="1"/>
  <c r="AQ1906" i="1"/>
  <c r="AQ1907" i="1"/>
  <c r="AR1907" i="1" s="1"/>
  <c r="AQ1908" i="1"/>
  <c r="AQ1909" i="1"/>
  <c r="AQ1910" i="1"/>
  <c r="AQ1911" i="1"/>
  <c r="AR1911" i="1" s="1"/>
  <c r="AQ1912" i="1"/>
  <c r="AR1912" i="1" s="1"/>
  <c r="AQ1913" i="1"/>
  <c r="AR1913" i="1" s="1"/>
  <c r="AQ1914" i="1"/>
  <c r="AR1914" i="1" s="1"/>
  <c r="AQ1915" i="1"/>
  <c r="AR1915" i="1" s="1"/>
  <c r="AQ1916" i="1"/>
  <c r="AR1916" i="1" s="1"/>
  <c r="AQ1917" i="1"/>
  <c r="AR1917" i="1" s="1"/>
  <c r="AQ1918" i="1"/>
  <c r="AQ1919" i="1"/>
  <c r="AR1919" i="1" s="1"/>
  <c r="AQ1920" i="1"/>
  <c r="AQ1921" i="1"/>
  <c r="AR1921" i="1" s="1"/>
  <c r="AQ1922" i="1"/>
  <c r="AQ1923" i="1"/>
  <c r="AR1923" i="1" s="1"/>
  <c r="AQ1924" i="1"/>
  <c r="AR1924" i="1" s="1"/>
  <c r="AQ1925" i="1"/>
  <c r="AR1925" i="1" s="1"/>
  <c r="AQ1926" i="1"/>
  <c r="AR1926" i="1" s="1"/>
  <c r="AQ1927" i="1"/>
  <c r="AR1927" i="1" s="1"/>
  <c r="AQ1928" i="1"/>
  <c r="AR1928" i="1" s="1"/>
  <c r="AQ1929" i="1"/>
  <c r="AR1929" i="1" s="1"/>
  <c r="AQ1930" i="1"/>
  <c r="AQ1931" i="1"/>
  <c r="AR1931" i="1" s="1"/>
  <c r="AQ1932" i="1"/>
  <c r="AR1932" i="1" s="1"/>
  <c r="AQ1933" i="1"/>
  <c r="AR1933" i="1" s="1"/>
  <c r="AQ1934" i="1"/>
  <c r="AQ1935" i="1"/>
  <c r="AR1935" i="1" s="1"/>
  <c r="AQ1936" i="1"/>
  <c r="AR1936" i="1" s="1"/>
  <c r="AQ1937" i="1"/>
  <c r="AR1937" i="1" s="1"/>
  <c r="AQ1938" i="1"/>
  <c r="AR1938" i="1" s="1"/>
  <c r="AQ1939" i="1"/>
  <c r="AR1939" i="1" s="1"/>
  <c r="AQ1940" i="1"/>
  <c r="AR1940" i="1" s="1"/>
  <c r="AQ1941" i="1"/>
  <c r="AR1941" i="1" s="1"/>
  <c r="AQ1942" i="1"/>
  <c r="AQ1943" i="1"/>
  <c r="AR1943" i="1" s="1"/>
  <c r="AQ1944" i="1"/>
  <c r="AQ1945" i="1"/>
  <c r="AR1945" i="1" s="1"/>
  <c r="AQ1946" i="1"/>
  <c r="AR1946" i="1" s="1"/>
  <c r="AQ1947" i="1"/>
  <c r="AR1947" i="1" s="1"/>
  <c r="AQ1948" i="1"/>
  <c r="AR1948" i="1" s="1"/>
  <c r="AQ1949" i="1"/>
  <c r="AR1949" i="1" s="1"/>
  <c r="AQ1950" i="1"/>
  <c r="AR1950" i="1" s="1"/>
  <c r="AQ1951" i="1"/>
  <c r="AR1951" i="1" s="1"/>
  <c r="AQ1952" i="1"/>
  <c r="AR1952" i="1" s="1"/>
  <c r="AQ1953" i="1"/>
  <c r="AR1953" i="1" s="1"/>
  <c r="AQ1954" i="1"/>
  <c r="AQ1955" i="1"/>
  <c r="AR1955" i="1" s="1"/>
  <c r="AQ1956" i="1"/>
  <c r="AQ1957" i="1"/>
  <c r="AR1957" i="1" s="1"/>
  <c r="AQ1958" i="1"/>
  <c r="AQ1959" i="1"/>
  <c r="AR1959" i="1" s="1"/>
  <c r="AQ1960" i="1"/>
  <c r="AR1960" i="1" s="1"/>
  <c r="AQ1961" i="1"/>
  <c r="AR1961" i="1" s="1"/>
  <c r="AQ1962" i="1"/>
  <c r="AR1962" i="1" s="1"/>
  <c r="AQ1963" i="1"/>
  <c r="AR1963" i="1" s="1"/>
  <c r="AQ1964" i="1"/>
  <c r="AR1964" i="1" s="1"/>
  <c r="AQ1965" i="1"/>
  <c r="AR1965" i="1" s="1"/>
  <c r="AQ1966" i="1"/>
  <c r="AQ1967" i="1"/>
  <c r="AR1967" i="1" s="1"/>
  <c r="AQ1968" i="1"/>
  <c r="AQ1969" i="1"/>
  <c r="AR1969" i="1" s="1"/>
  <c r="AQ1970" i="1"/>
  <c r="AQ1971" i="1"/>
  <c r="AQ1972" i="1"/>
  <c r="AR1972" i="1" s="1"/>
  <c r="AQ1973" i="1"/>
  <c r="AR1973" i="1" s="1"/>
  <c r="AQ1974" i="1"/>
  <c r="AR1974" i="1" s="1"/>
  <c r="AQ1975" i="1"/>
  <c r="AR1975" i="1" s="1"/>
  <c r="AQ1976" i="1"/>
  <c r="AR1976" i="1" s="1"/>
  <c r="AQ1977" i="1"/>
  <c r="AR1977" i="1" s="1"/>
  <c r="AQ1978" i="1"/>
  <c r="AQ1979" i="1"/>
  <c r="AR1979" i="1" s="1"/>
  <c r="AQ1980" i="1"/>
  <c r="AQ1981" i="1"/>
  <c r="AQ1982" i="1"/>
  <c r="AR1982" i="1" s="1"/>
  <c r="AQ1983" i="1"/>
  <c r="AR1983" i="1" s="1"/>
  <c r="AQ1984" i="1"/>
  <c r="AR1984" i="1" s="1"/>
  <c r="AQ1985" i="1"/>
  <c r="AR1985" i="1" s="1"/>
  <c r="AQ1986" i="1"/>
  <c r="AR1986" i="1" s="1"/>
  <c r="AQ1987" i="1"/>
  <c r="AR1987" i="1" s="1"/>
  <c r="AQ1988" i="1"/>
  <c r="AR1988" i="1" s="1"/>
  <c r="AQ1989" i="1"/>
  <c r="AR1989" i="1" s="1"/>
  <c r="AQ1990" i="1"/>
  <c r="AQ1991" i="1"/>
  <c r="AR1991" i="1" s="1"/>
  <c r="AQ1992" i="1"/>
  <c r="AR1992" i="1" s="1"/>
  <c r="AQ1993" i="1"/>
  <c r="AR1993" i="1" s="1"/>
  <c r="AQ1994" i="1"/>
  <c r="AQ1995" i="1"/>
  <c r="AR1995" i="1" s="1"/>
  <c r="AQ1996" i="1"/>
  <c r="AR1996" i="1" s="1"/>
  <c r="AQ1997" i="1"/>
  <c r="AR1997" i="1" s="1"/>
  <c r="AQ1998" i="1"/>
  <c r="AR1998" i="1" s="1"/>
  <c r="AQ1999" i="1"/>
  <c r="AR1999" i="1" s="1"/>
  <c r="AQ2000" i="1"/>
  <c r="AR2000" i="1" s="1"/>
  <c r="AQ2001" i="1"/>
  <c r="AR2001" i="1" s="1"/>
  <c r="AQ2002" i="1"/>
  <c r="AQ2003" i="1"/>
  <c r="AR2003" i="1" s="1"/>
  <c r="AQ2004" i="1"/>
  <c r="AQ2005" i="1"/>
  <c r="AQ2006" i="1"/>
  <c r="AQ2007" i="1"/>
  <c r="AR2007" i="1" s="1"/>
  <c r="AQ2008" i="1"/>
  <c r="AR2008" i="1" s="1"/>
  <c r="AQ2009" i="1"/>
  <c r="AR2009" i="1" s="1"/>
  <c r="AQ2010" i="1"/>
  <c r="AR2010" i="1" s="1"/>
  <c r="AQ2011" i="1"/>
  <c r="AR2011" i="1" s="1"/>
  <c r="AQ2012" i="1"/>
  <c r="AR2012" i="1" s="1"/>
  <c r="AQ2013" i="1"/>
  <c r="AR2013" i="1" s="1"/>
  <c r="AQ2014" i="1"/>
  <c r="AR2014" i="1" s="1"/>
  <c r="AQ2015" i="1"/>
  <c r="AR2015" i="1" s="1"/>
  <c r="AQ2016" i="1"/>
  <c r="AQ2017" i="1"/>
  <c r="AR2017" i="1" s="1"/>
  <c r="AQ2018" i="1"/>
  <c r="AQ2019" i="1"/>
  <c r="AR2019" i="1" s="1"/>
  <c r="AQ2020" i="1"/>
  <c r="AR2020" i="1" s="1"/>
  <c r="AQ2021" i="1"/>
  <c r="AR2021" i="1" s="1"/>
  <c r="AQ2022" i="1"/>
  <c r="AR2022" i="1" s="1"/>
  <c r="AQ2023" i="1"/>
  <c r="AR2023" i="1" s="1"/>
  <c r="AQ2024" i="1"/>
  <c r="AR2024" i="1" s="1"/>
  <c r="AQ2025" i="1"/>
  <c r="AR2025" i="1" s="1"/>
  <c r="AQ2026" i="1"/>
  <c r="AQ2027" i="1"/>
  <c r="AR2027" i="1" s="1"/>
  <c r="AQ2028" i="1"/>
  <c r="AR2028" i="1" s="1"/>
  <c r="AQ2029" i="1"/>
  <c r="AR2029" i="1" s="1"/>
  <c r="AQ2030" i="1"/>
  <c r="AR2030" i="1" s="1"/>
  <c r="AQ2031" i="1"/>
  <c r="AR2031" i="1" s="1"/>
  <c r="AQ2032" i="1"/>
  <c r="AR2032" i="1" s="1"/>
  <c r="AQ2033" i="1"/>
  <c r="AR2033" i="1" s="1"/>
  <c r="AQ2034" i="1"/>
  <c r="AR2034" i="1" s="1"/>
  <c r="AQ2035" i="1"/>
  <c r="AR2035" i="1" s="1"/>
  <c r="AQ2036" i="1"/>
  <c r="AR2036" i="1" s="1"/>
  <c r="AQ2037" i="1"/>
  <c r="AR2037" i="1" s="1"/>
  <c r="AQ2038" i="1"/>
  <c r="AQ2039" i="1"/>
  <c r="AR2039" i="1" s="1"/>
  <c r="AQ2040" i="1"/>
  <c r="AR2040" i="1" s="1"/>
  <c r="AQ2041" i="1"/>
  <c r="AR2041" i="1" s="1"/>
  <c r="AQ2042" i="1"/>
  <c r="AQ2043" i="1"/>
  <c r="AQ2044" i="1"/>
  <c r="AR2044" i="1" s="1"/>
  <c r="AQ2045" i="1"/>
  <c r="AR2045" i="1" s="1"/>
  <c r="AQ2046" i="1"/>
  <c r="AR2046" i="1" s="1"/>
  <c r="AQ2047" i="1"/>
  <c r="AR2047" i="1" s="1"/>
  <c r="AQ2048" i="1"/>
  <c r="AR2048" i="1" s="1"/>
  <c r="AQ2049" i="1"/>
  <c r="AR2049" i="1" s="1"/>
  <c r="AQ2050" i="1"/>
  <c r="AR2050" i="1" s="1"/>
  <c r="AQ2051" i="1"/>
  <c r="AR2051" i="1" s="1"/>
  <c r="AQ2052" i="1"/>
  <c r="AR2052" i="1" s="1"/>
  <c r="AQ2053" i="1"/>
  <c r="AR2053" i="1" s="1"/>
  <c r="AQ2054" i="1"/>
  <c r="AQ2055" i="1"/>
  <c r="AQ2056" i="1"/>
  <c r="AR2056" i="1" s="1"/>
  <c r="AQ2057" i="1"/>
  <c r="AR2057" i="1" s="1"/>
  <c r="AQ2058" i="1"/>
  <c r="AR2058" i="1" s="1"/>
  <c r="AQ2059" i="1"/>
  <c r="AR2059" i="1" s="1"/>
  <c r="AQ2060" i="1"/>
  <c r="AR2060" i="1" s="1"/>
  <c r="AQ2061" i="1"/>
  <c r="AR2061" i="1" s="1"/>
  <c r="AQ2062" i="1"/>
  <c r="AQ2063" i="1"/>
  <c r="AQ2064" i="1"/>
  <c r="AQ2065" i="1"/>
  <c r="AR2065" i="1" s="1"/>
  <c r="AQ2066" i="1"/>
  <c r="AQ2067" i="1"/>
  <c r="AR2067" i="1" s="1"/>
  <c r="AQ2068" i="1"/>
  <c r="AR2068" i="1" s="1"/>
  <c r="AQ2069" i="1"/>
  <c r="AR2069" i="1" s="1"/>
  <c r="AQ2070" i="1"/>
  <c r="AR2070" i="1" s="1"/>
  <c r="AQ2071" i="1"/>
  <c r="AR2071" i="1" s="1"/>
  <c r="AQ2072" i="1"/>
  <c r="AR2072" i="1" s="1"/>
  <c r="AQ2073" i="1"/>
  <c r="AR2073" i="1" s="1"/>
  <c r="AQ2074" i="1"/>
  <c r="AQ2075" i="1"/>
  <c r="AQ2076" i="1"/>
  <c r="AQ2077" i="1"/>
  <c r="AR2077" i="1" s="1"/>
  <c r="AQ2078" i="1"/>
  <c r="AR2078" i="1" s="1"/>
  <c r="AQ2079" i="1"/>
  <c r="AR2079" i="1" s="1"/>
  <c r="AQ2080" i="1"/>
  <c r="AR2080" i="1" s="1"/>
  <c r="AQ2081" i="1"/>
  <c r="AR2081" i="1" s="1"/>
  <c r="AQ2082" i="1"/>
  <c r="AR2082" i="1" s="1"/>
  <c r="AQ2083" i="1"/>
  <c r="AR2083" i="1" s="1"/>
  <c r="AQ2084" i="1"/>
  <c r="AR2084" i="1" s="1"/>
  <c r="AQ2085" i="1"/>
  <c r="AR2085" i="1" s="1"/>
  <c r="AQ2086" i="1"/>
  <c r="AR2086" i="1" s="1"/>
  <c r="AQ2087" i="1"/>
  <c r="AR2087" i="1" s="1"/>
  <c r="AQ2088" i="1"/>
  <c r="AR2088" i="1" s="1"/>
  <c r="AQ2089" i="1"/>
  <c r="AR2089" i="1" s="1"/>
  <c r="AQ2090" i="1"/>
  <c r="AQ2091" i="1"/>
  <c r="AR2091" i="1" s="1"/>
  <c r="AQ2092" i="1"/>
  <c r="AR2092" i="1" s="1"/>
  <c r="AQ2093" i="1"/>
  <c r="AR2093" i="1" s="1"/>
  <c r="AQ2094" i="1"/>
  <c r="AR2094" i="1" s="1"/>
  <c r="AQ2095" i="1"/>
  <c r="AR2095" i="1" s="1"/>
  <c r="AQ2096" i="1"/>
  <c r="AR2096" i="1" s="1"/>
  <c r="AQ2097" i="1"/>
  <c r="AR2097" i="1" s="1"/>
  <c r="AQ2098" i="1"/>
  <c r="AQ2099" i="1"/>
  <c r="AR2099" i="1" s="1"/>
  <c r="AQ2100" i="1"/>
  <c r="AQ2101" i="1"/>
  <c r="AQ2102" i="1"/>
  <c r="AQ2103" i="1"/>
  <c r="AQ2104" i="1"/>
  <c r="AR2104" i="1" s="1"/>
  <c r="AQ2105" i="1"/>
  <c r="AR2105" i="1" s="1"/>
  <c r="AQ2106" i="1"/>
  <c r="AR2106" i="1" s="1"/>
  <c r="AQ2107" i="1"/>
  <c r="AR2107" i="1" s="1"/>
  <c r="AQ2108" i="1"/>
  <c r="AR2108" i="1" s="1"/>
  <c r="AQ2109" i="1"/>
  <c r="AR2109" i="1" s="1"/>
  <c r="AQ2110" i="1"/>
  <c r="AQ2111" i="1"/>
  <c r="AR2111" i="1" s="1"/>
  <c r="AQ2112" i="1"/>
  <c r="AR2112" i="1" s="1"/>
  <c r="AQ2113" i="1"/>
  <c r="AR2113" i="1" s="1"/>
  <c r="AQ2114" i="1"/>
  <c r="AQ2115" i="1"/>
  <c r="AR2115" i="1" s="1"/>
  <c r="AQ2116" i="1"/>
  <c r="AR2116" i="1" s="1"/>
  <c r="AQ2117" i="1"/>
  <c r="AR2117" i="1" s="1"/>
  <c r="AQ2118" i="1"/>
  <c r="AR2118" i="1" s="1"/>
  <c r="AQ2119" i="1"/>
  <c r="AR2119" i="1" s="1"/>
  <c r="AQ2120" i="1"/>
  <c r="AR2120" i="1" s="1"/>
  <c r="AQ2121" i="1"/>
  <c r="AR2121" i="1" s="1"/>
  <c r="AQ2122" i="1"/>
  <c r="AQ2123" i="1"/>
  <c r="AR2123" i="1" s="1"/>
  <c r="AQ2124" i="1"/>
  <c r="AR2124" i="1" s="1"/>
  <c r="AQ2125" i="1"/>
  <c r="AR2125" i="1" s="1"/>
  <c r="AQ2126" i="1"/>
  <c r="AR2126" i="1" s="1"/>
  <c r="AQ2127" i="1"/>
  <c r="AR2127" i="1" s="1"/>
  <c r="AQ2128" i="1"/>
  <c r="AR2128" i="1" s="1"/>
  <c r="AQ2129" i="1"/>
  <c r="AR2129" i="1" s="1"/>
  <c r="AQ2130" i="1"/>
  <c r="AR2130" i="1" s="1"/>
  <c r="AQ2131" i="1"/>
  <c r="AR2131" i="1" s="1"/>
  <c r="AQ2132" i="1"/>
  <c r="AR2132" i="1" s="1"/>
  <c r="AQ2133" i="1"/>
  <c r="AR2133" i="1" s="1"/>
  <c r="AQ2134" i="1"/>
  <c r="AR2134" i="1" s="1"/>
  <c r="AQ2135" i="1"/>
  <c r="AR2135" i="1" s="1"/>
  <c r="AQ2136" i="1"/>
  <c r="AR2136" i="1" s="1"/>
  <c r="AQ2137" i="1"/>
  <c r="AR2137" i="1" s="1"/>
  <c r="AQ2138" i="1"/>
  <c r="AR2138" i="1" s="1"/>
  <c r="AQ2139" i="1"/>
  <c r="AR2139" i="1" s="1"/>
  <c r="AQ2140" i="1"/>
  <c r="AR2140" i="1" s="1"/>
  <c r="AQ2141" i="1"/>
  <c r="AR2141" i="1" s="1"/>
  <c r="AQ2142" i="1"/>
  <c r="AR2142" i="1" s="1"/>
  <c r="AQ2143" i="1"/>
  <c r="AR2143" i="1" s="1"/>
  <c r="AQ2144" i="1"/>
  <c r="AR2144" i="1" s="1"/>
  <c r="AQ2145" i="1"/>
  <c r="AR2145" i="1" s="1"/>
  <c r="AQ2146" i="1"/>
  <c r="AQ2147" i="1"/>
  <c r="AR2147" i="1" s="1"/>
  <c r="AQ2148" i="1"/>
  <c r="AQ2149" i="1"/>
  <c r="AQ2150" i="1"/>
  <c r="AQ2151" i="1"/>
  <c r="AR2151" i="1" s="1"/>
  <c r="AQ2152" i="1"/>
  <c r="AR2152" i="1" s="1"/>
  <c r="AQ2153" i="1"/>
  <c r="AR2153" i="1" s="1"/>
  <c r="AQ2154" i="1"/>
  <c r="AR2154" i="1" s="1"/>
  <c r="AQ2155" i="1"/>
  <c r="AR2155" i="1" s="1"/>
  <c r="AQ2156" i="1"/>
  <c r="AR2156" i="1" s="1"/>
  <c r="AQ2157" i="1"/>
  <c r="AR2157" i="1" s="1"/>
  <c r="AQ2158" i="1"/>
  <c r="AQ2159" i="1"/>
  <c r="AR2159" i="1" s="1"/>
  <c r="AQ2160" i="1"/>
  <c r="AQ2161" i="1"/>
  <c r="AR2161" i="1" s="1"/>
  <c r="AQ2162" i="1"/>
  <c r="AQ2163" i="1"/>
  <c r="AR2163" i="1" s="1"/>
  <c r="AQ2164" i="1"/>
  <c r="AR2164" i="1" s="1"/>
  <c r="AQ2165" i="1"/>
  <c r="AR2165" i="1" s="1"/>
  <c r="AQ2166" i="1"/>
  <c r="AR2166" i="1" s="1"/>
  <c r="AQ2167" i="1"/>
  <c r="AR2167" i="1" s="1"/>
  <c r="AQ2168" i="1"/>
  <c r="AR2168" i="1" s="1"/>
  <c r="AQ2169" i="1"/>
  <c r="AR2169" i="1" s="1"/>
  <c r="AQ2170" i="1"/>
  <c r="AR2170" i="1" s="1"/>
  <c r="AQ2171" i="1"/>
  <c r="AR2171" i="1" s="1"/>
  <c r="AQ2172" i="1"/>
  <c r="AR2172" i="1" s="1"/>
  <c r="AQ2173" i="1"/>
  <c r="AR2173" i="1" s="1"/>
  <c r="AQ2174" i="1"/>
  <c r="AR2174" i="1" s="1"/>
  <c r="AQ2175" i="1"/>
  <c r="AR2175" i="1" s="1"/>
  <c r="AQ2176" i="1"/>
  <c r="AR2176" i="1" s="1"/>
  <c r="AQ2177" i="1"/>
  <c r="AR2177" i="1" s="1"/>
  <c r="AQ2178" i="1"/>
  <c r="AR2178" i="1" s="1"/>
  <c r="AQ2179" i="1"/>
  <c r="AR2179" i="1" s="1"/>
  <c r="AQ2180" i="1"/>
  <c r="AR2180" i="1" s="1"/>
  <c r="AQ2181" i="1"/>
  <c r="AR2181" i="1" s="1"/>
  <c r="AQ2182" i="1"/>
  <c r="AR2182" i="1" s="1"/>
  <c r="AQ2183" i="1"/>
  <c r="AR2183" i="1" s="1"/>
  <c r="AQ2184" i="1"/>
  <c r="AQ2185" i="1"/>
  <c r="AR2185" i="1" s="1"/>
  <c r="AQ2186" i="1"/>
  <c r="AQ2187" i="1"/>
  <c r="AR2187" i="1" s="1"/>
  <c r="AQ2188" i="1"/>
  <c r="AR2188" i="1" s="1"/>
  <c r="AQ2189" i="1"/>
  <c r="AR2189" i="1" s="1"/>
  <c r="AQ2190" i="1"/>
  <c r="AR2190" i="1" s="1"/>
  <c r="AQ2191" i="1"/>
  <c r="AR2191" i="1" s="1"/>
  <c r="AQ2192" i="1"/>
  <c r="AR2192" i="1" s="1"/>
  <c r="AQ2193" i="1"/>
  <c r="AR2193" i="1" s="1"/>
  <c r="AQ2194" i="1"/>
  <c r="AQ2195" i="1"/>
  <c r="AR2195" i="1" s="1"/>
  <c r="AQ2196" i="1"/>
  <c r="AR2196" i="1" s="1"/>
  <c r="AQ2197" i="1"/>
  <c r="AR2197" i="1" s="1"/>
  <c r="AQ2198" i="1"/>
  <c r="AQ2199" i="1"/>
  <c r="AR2199" i="1" s="1"/>
  <c r="AQ2200" i="1"/>
  <c r="AR2200" i="1" s="1"/>
  <c r="AQ2201" i="1"/>
  <c r="AR2201" i="1" s="1"/>
  <c r="AQ2202" i="1"/>
  <c r="AR2202" i="1" s="1"/>
  <c r="AQ2203" i="1"/>
  <c r="AR2203" i="1" s="1"/>
  <c r="AQ2204" i="1"/>
  <c r="AR2204" i="1" s="1"/>
  <c r="AQ2205" i="1"/>
  <c r="AR2205" i="1" s="1"/>
  <c r="AQ2206" i="1"/>
  <c r="AQ2207" i="1"/>
  <c r="AR2207" i="1" s="1"/>
  <c r="AQ2208" i="1"/>
  <c r="AR2208" i="1" s="1"/>
  <c r="AQ2209" i="1"/>
  <c r="AR2209" i="1" s="1"/>
  <c r="AQ2210" i="1"/>
  <c r="AQ2211" i="1"/>
  <c r="AQ2212" i="1"/>
  <c r="AR2212" i="1" s="1"/>
  <c r="AQ2213" i="1"/>
  <c r="AR2213" i="1" s="1"/>
  <c r="AQ2214" i="1"/>
  <c r="AR2214" i="1" s="1"/>
  <c r="AQ2215" i="1"/>
  <c r="AR2215" i="1" s="1"/>
  <c r="AQ2216" i="1"/>
  <c r="AR2216" i="1" s="1"/>
  <c r="AQ2217" i="1"/>
  <c r="AR2217" i="1" s="1"/>
  <c r="AQ2218" i="1"/>
  <c r="AQ2219" i="1"/>
  <c r="AR2219" i="1" s="1"/>
  <c r="AQ2220" i="1"/>
  <c r="AQ2221" i="1"/>
  <c r="AR2221" i="1" s="1"/>
  <c r="AQ2222" i="1"/>
  <c r="AR2222" i="1" s="1"/>
  <c r="AQ2223" i="1"/>
  <c r="AR2223" i="1" s="1"/>
  <c r="AQ2224" i="1"/>
  <c r="AR2224" i="1" s="1"/>
  <c r="AQ2225" i="1"/>
  <c r="AR2225" i="1" s="1"/>
  <c r="AQ2226" i="1"/>
  <c r="AR2226" i="1" s="1"/>
  <c r="AQ2227" i="1"/>
  <c r="AR2227" i="1" s="1"/>
  <c r="AQ2228" i="1"/>
  <c r="AR2228" i="1" s="1"/>
  <c r="AQ2229" i="1"/>
  <c r="AR2229" i="1" s="1"/>
  <c r="AQ2230" i="1"/>
  <c r="AQ2231" i="1"/>
  <c r="AR2231" i="1" s="1"/>
  <c r="AQ2232" i="1"/>
  <c r="AQ2233" i="1"/>
  <c r="AR2233" i="1" s="1"/>
  <c r="AQ2234" i="1"/>
  <c r="AQ2235" i="1"/>
  <c r="AR2235" i="1" s="1"/>
  <c r="AQ2236" i="1"/>
  <c r="AR2236" i="1" s="1"/>
  <c r="AQ2237" i="1"/>
  <c r="AR2237" i="1" s="1"/>
  <c r="AQ2238" i="1"/>
  <c r="AR2238" i="1" s="1"/>
  <c r="AQ2239" i="1"/>
  <c r="AR2239" i="1" s="1"/>
  <c r="AQ2240" i="1"/>
  <c r="AR2240" i="1" s="1"/>
  <c r="AQ2241" i="1"/>
  <c r="AR2241" i="1" s="1"/>
  <c r="AQ2242" i="1"/>
  <c r="AQ2243" i="1"/>
  <c r="AR2243" i="1" s="1"/>
  <c r="AQ2244" i="1"/>
  <c r="AQ2245" i="1"/>
  <c r="AQ2246" i="1"/>
  <c r="AQ2247" i="1"/>
  <c r="AR2247" i="1" s="1"/>
  <c r="AQ2248" i="1"/>
  <c r="AR2248" i="1" s="1"/>
  <c r="AQ2249" i="1"/>
  <c r="AR2249" i="1" s="1"/>
  <c r="AQ2250" i="1"/>
  <c r="AR2250" i="1" s="1"/>
  <c r="AQ2251" i="1"/>
  <c r="AR2251" i="1" s="1"/>
  <c r="AQ2252" i="1"/>
  <c r="AR2252" i="1" s="1"/>
  <c r="AQ2253" i="1"/>
  <c r="AR2253" i="1" s="1"/>
  <c r="AQ2254" i="1"/>
  <c r="AQ2255" i="1"/>
  <c r="AQ2256" i="1"/>
  <c r="AR2256" i="1" s="1"/>
  <c r="AQ2257" i="1"/>
  <c r="AR2257" i="1" s="1"/>
  <c r="AQ2258" i="1"/>
  <c r="AR2258" i="1" s="1"/>
  <c r="AQ2259" i="1"/>
  <c r="AR2259" i="1" s="1"/>
  <c r="AQ2260" i="1"/>
  <c r="AR2260" i="1" s="1"/>
  <c r="AQ2261" i="1"/>
  <c r="AR2261" i="1" s="1"/>
  <c r="AQ2262" i="1"/>
  <c r="AR2262" i="1" s="1"/>
  <c r="AQ2263" i="1"/>
  <c r="AR2263" i="1" s="1"/>
  <c r="AQ2264" i="1"/>
  <c r="AR2264" i="1" s="1"/>
  <c r="AQ2265" i="1"/>
  <c r="AR2265" i="1" s="1"/>
  <c r="AQ2266" i="1"/>
  <c r="AR2266" i="1" s="1"/>
  <c r="AQ2267" i="1"/>
  <c r="AR2267" i="1" s="1"/>
  <c r="AQ2268" i="1"/>
  <c r="AQ2269" i="1"/>
  <c r="AR2269" i="1" s="1"/>
  <c r="AQ2270" i="1"/>
  <c r="AR2270" i="1" s="1"/>
  <c r="AQ2271" i="1"/>
  <c r="AR2271" i="1" s="1"/>
  <c r="AQ2272" i="1"/>
  <c r="AR2272" i="1" s="1"/>
  <c r="AQ2273" i="1"/>
  <c r="AR2273" i="1" s="1"/>
  <c r="AQ2274" i="1"/>
  <c r="AR2274" i="1" s="1"/>
  <c r="AQ2275" i="1"/>
  <c r="AR2275" i="1" s="1"/>
  <c r="AQ2276" i="1"/>
  <c r="AR2276" i="1" s="1"/>
  <c r="AQ2277" i="1"/>
  <c r="AR2277" i="1" s="1"/>
  <c r="AQ2278" i="1"/>
  <c r="AR2278" i="1" s="1"/>
  <c r="AQ2279" i="1"/>
  <c r="AR2279" i="1" s="1"/>
  <c r="AQ2280" i="1"/>
  <c r="AQ2281" i="1"/>
  <c r="AR2281" i="1" s="1"/>
  <c r="AQ2282" i="1"/>
  <c r="AQ2283" i="1"/>
  <c r="AR2283" i="1" s="1"/>
  <c r="AQ2284" i="1"/>
  <c r="AR2284" i="1" s="1"/>
  <c r="AQ2285" i="1"/>
  <c r="AR2285" i="1" s="1"/>
  <c r="AQ2286" i="1"/>
  <c r="AR2286" i="1" s="1"/>
  <c r="AQ2287" i="1"/>
  <c r="AR2287" i="1" s="1"/>
  <c r="AQ2288" i="1"/>
  <c r="AR2288" i="1" s="1"/>
  <c r="AQ2289" i="1"/>
  <c r="AR2289" i="1" s="1"/>
  <c r="AQ2290" i="1"/>
  <c r="AQ2291" i="1"/>
  <c r="AQ2292" i="1"/>
  <c r="AQ2293" i="1"/>
  <c r="AR2293" i="1" s="1"/>
  <c r="AQ2294" i="1"/>
  <c r="AQ2295" i="1"/>
  <c r="AQ2296" i="1"/>
  <c r="AR2296" i="1" s="1"/>
  <c r="AQ2297" i="1"/>
  <c r="AR2297" i="1" s="1"/>
  <c r="AQ2298" i="1"/>
  <c r="AR2298" i="1" s="1"/>
  <c r="AQ2299" i="1"/>
  <c r="AR2299" i="1" s="1"/>
  <c r="AQ2300" i="1"/>
  <c r="AR2300" i="1" s="1"/>
  <c r="AQ2301" i="1"/>
  <c r="AR2301" i="1" s="1"/>
  <c r="AQ2302" i="1"/>
  <c r="AQ2303" i="1"/>
  <c r="AR2303" i="1" s="1"/>
  <c r="AQ2304" i="1"/>
  <c r="AR2304" i="1" s="1"/>
  <c r="AQ2305" i="1"/>
  <c r="AR2305" i="1" s="1"/>
  <c r="AQ2306" i="1"/>
  <c r="AR2306" i="1" s="1"/>
  <c r="AQ2307" i="1"/>
  <c r="AR2307" i="1" s="1"/>
  <c r="AQ2308" i="1"/>
  <c r="AR2308" i="1" s="1"/>
  <c r="AQ2309" i="1"/>
  <c r="AR2309" i="1" s="1"/>
  <c r="AQ2310" i="1"/>
  <c r="AR2310" i="1" s="1"/>
  <c r="AQ2311" i="1"/>
  <c r="AR2311" i="1" s="1"/>
  <c r="AQ2312" i="1"/>
  <c r="AR2312" i="1" s="1"/>
  <c r="AQ2313" i="1"/>
  <c r="AR2313" i="1" s="1"/>
  <c r="AQ2314" i="1"/>
  <c r="AR2314" i="1" s="1"/>
  <c r="AQ2315" i="1"/>
  <c r="AR2315" i="1" s="1"/>
  <c r="AQ2316" i="1"/>
  <c r="AQ2317" i="1"/>
  <c r="AR2317" i="1" s="1"/>
  <c r="AQ2318" i="1"/>
  <c r="AQ2319" i="1"/>
  <c r="AR2319" i="1" s="1"/>
  <c r="AQ2320" i="1"/>
  <c r="AR2320" i="1" s="1"/>
  <c r="AQ2321" i="1"/>
  <c r="AR2321" i="1" s="1"/>
  <c r="AQ2322" i="1"/>
  <c r="AR2322" i="1" s="1"/>
  <c r="AQ2323" i="1"/>
  <c r="AR2323" i="1" s="1"/>
  <c r="AQ2324" i="1"/>
  <c r="AR2324" i="1" s="1"/>
  <c r="AQ2325" i="1"/>
  <c r="AR2325" i="1" s="1"/>
  <c r="AQ2326" i="1"/>
  <c r="AQ2327" i="1"/>
  <c r="AR2327" i="1" s="1"/>
  <c r="AQ2328" i="1"/>
  <c r="AQ2329" i="1"/>
  <c r="AR2329" i="1" s="1"/>
  <c r="AQ2330" i="1"/>
  <c r="AQ2331" i="1"/>
  <c r="AR2331" i="1" s="1"/>
  <c r="AQ2332" i="1"/>
  <c r="AR2332" i="1" s="1"/>
  <c r="AQ2333" i="1"/>
  <c r="AR2333" i="1" s="1"/>
  <c r="AQ2334" i="1"/>
  <c r="AR2334" i="1" s="1"/>
  <c r="AQ2335" i="1"/>
  <c r="AR2335" i="1" s="1"/>
  <c r="AQ2336" i="1"/>
  <c r="AR2336" i="1" s="1"/>
  <c r="AQ2337" i="1"/>
  <c r="AR2337" i="1" s="1"/>
  <c r="AQ2338" i="1"/>
  <c r="AQ2339" i="1"/>
  <c r="AR2339" i="1" s="1"/>
  <c r="AQ2340" i="1"/>
  <c r="AR2340" i="1" s="1"/>
  <c r="AQ2341" i="1"/>
  <c r="AR2341" i="1" s="1"/>
  <c r="AQ2342" i="1"/>
  <c r="AQ2343" i="1"/>
  <c r="AR2343" i="1" s="1"/>
  <c r="AQ2344" i="1"/>
  <c r="AR2344" i="1" s="1"/>
  <c r="AQ2345" i="1"/>
  <c r="AR2345" i="1" s="1"/>
  <c r="AQ2346" i="1"/>
  <c r="AR2346" i="1" s="1"/>
  <c r="AQ2347" i="1"/>
  <c r="AR2347" i="1" s="1"/>
  <c r="AQ2348" i="1"/>
  <c r="AR2348" i="1" s="1"/>
  <c r="AQ2349" i="1"/>
  <c r="AR2349" i="1" s="1"/>
  <c r="AQ2350" i="1"/>
  <c r="AQ2351" i="1"/>
  <c r="AR2351" i="1" s="1"/>
  <c r="AQ2352" i="1"/>
  <c r="AR2352" i="1" s="1"/>
  <c r="AQ2353" i="1"/>
  <c r="AR2353" i="1" s="1"/>
  <c r="AQ2354" i="1"/>
  <c r="AR2354" i="1" s="1"/>
  <c r="AQ2355" i="1"/>
  <c r="AR2355" i="1" s="1"/>
  <c r="AQ2356" i="1"/>
  <c r="AR2356" i="1" s="1"/>
  <c r="AQ2357" i="1"/>
  <c r="AR2357" i="1" s="1"/>
  <c r="AQ2358" i="1"/>
  <c r="AR2358" i="1" s="1"/>
  <c r="AQ2359" i="1"/>
  <c r="AR2359" i="1" s="1"/>
  <c r="AQ2360" i="1"/>
  <c r="AR2360" i="1" s="1"/>
  <c r="AQ2361" i="1"/>
  <c r="AR2361" i="1" s="1"/>
  <c r="AQ2362" i="1"/>
  <c r="AQ2363" i="1"/>
  <c r="AR2363" i="1" s="1"/>
  <c r="AQ2364" i="1"/>
  <c r="AR2364" i="1" s="1"/>
  <c r="AQ2365" i="1"/>
  <c r="AQ2366" i="1"/>
  <c r="AQ2367" i="1"/>
  <c r="AR2367" i="1" s="1"/>
  <c r="AQ2368" i="1"/>
  <c r="AR2368" i="1" s="1"/>
  <c r="AQ2369" i="1"/>
  <c r="AR2369" i="1" s="1"/>
  <c r="AQ2370" i="1"/>
  <c r="AR2370" i="1" s="1"/>
  <c r="AQ2371" i="1"/>
  <c r="AR2371" i="1" s="1"/>
  <c r="AQ2372" i="1"/>
  <c r="AR2372" i="1" s="1"/>
  <c r="AQ2373" i="1"/>
  <c r="AR2373" i="1" s="1"/>
  <c r="AQ2374" i="1"/>
  <c r="AQ2375" i="1"/>
  <c r="AR2375" i="1" s="1"/>
  <c r="AQ2376" i="1"/>
  <c r="AQ2377" i="1"/>
  <c r="AR2377" i="1" s="1"/>
  <c r="AQ2378" i="1"/>
  <c r="AQ2379" i="1"/>
  <c r="AQ2380" i="1"/>
  <c r="AR2380" i="1" s="1"/>
  <c r="AQ2381" i="1"/>
  <c r="AR2381" i="1" s="1"/>
  <c r="AQ2382" i="1"/>
  <c r="AR2382" i="1" s="1"/>
  <c r="AQ2383" i="1"/>
  <c r="AR2383" i="1" s="1"/>
  <c r="AQ2384" i="1"/>
  <c r="AR2384" i="1" s="1"/>
  <c r="AQ2385" i="1"/>
  <c r="AR2385" i="1" s="1"/>
  <c r="AQ2386" i="1"/>
  <c r="AQ2387" i="1"/>
  <c r="AR2387" i="1" s="1"/>
  <c r="AQ2388" i="1"/>
  <c r="AQ2389" i="1"/>
  <c r="AR2389" i="1" s="1"/>
  <c r="AQ2390" i="1"/>
  <c r="AR2390" i="1" s="1"/>
  <c r="AQ2391" i="1"/>
  <c r="AR2391" i="1" s="1"/>
  <c r="AQ2392" i="1"/>
  <c r="AR2392" i="1" s="1"/>
  <c r="AQ2393" i="1"/>
  <c r="AR2393" i="1" s="1"/>
  <c r="AQ2394" i="1"/>
  <c r="AR2394" i="1" s="1"/>
  <c r="AQ2395" i="1"/>
  <c r="AR2395" i="1" s="1"/>
  <c r="AQ2396" i="1"/>
  <c r="AR2396" i="1" s="1"/>
  <c r="AQ2397" i="1"/>
  <c r="AR2397" i="1" s="1"/>
  <c r="AQ2398" i="1"/>
  <c r="AQ2399" i="1"/>
  <c r="AR2399" i="1" s="1"/>
  <c r="AQ2400" i="1"/>
  <c r="AQ2401" i="1"/>
  <c r="AR2401" i="1" s="1"/>
  <c r="AQ2402" i="1"/>
  <c r="AR2402" i="1" s="1"/>
  <c r="AQ2403" i="1"/>
  <c r="AR2403" i="1" s="1"/>
  <c r="AQ2404" i="1"/>
  <c r="AR2404" i="1" s="1"/>
  <c r="AQ2405" i="1"/>
  <c r="AR2405" i="1" s="1"/>
  <c r="AQ2406" i="1"/>
  <c r="AR2406" i="1" s="1"/>
  <c r="AQ2407" i="1"/>
  <c r="AR2407" i="1" s="1"/>
  <c r="AQ2408" i="1"/>
  <c r="AR2408" i="1" s="1"/>
  <c r="AQ2409" i="1"/>
  <c r="AR2409" i="1" s="1"/>
  <c r="AQ2410" i="1"/>
  <c r="AR2410" i="1" s="1"/>
  <c r="AQ2411" i="1"/>
  <c r="AR2411" i="1" s="1"/>
  <c r="AQ2412" i="1"/>
  <c r="AQ2413" i="1"/>
  <c r="AR2413" i="1" s="1"/>
  <c r="AQ2414" i="1"/>
  <c r="AQ2415" i="1"/>
  <c r="AR2415" i="1" s="1"/>
  <c r="AQ2416" i="1"/>
  <c r="AR2416" i="1" s="1"/>
  <c r="AQ2417" i="1"/>
  <c r="AR2417" i="1" s="1"/>
  <c r="AQ2418" i="1"/>
  <c r="AR2418" i="1" s="1"/>
  <c r="AQ2419" i="1"/>
  <c r="AR2419" i="1" s="1"/>
  <c r="AQ2420" i="1"/>
  <c r="AR2420" i="1" s="1"/>
  <c r="AQ2421" i="1"/>
  <c r="AR2421" i="1" s="1"/>
  <c r="AQ2422" i="1"/>
  <c r="AR2422" i="1" s="1"/>
  <c r="AQ2423" i="1"/>
  <c r="AR2423" i="1" s="1"/>
  <c r="AQ2424" i="1"/>
  <c r="AQ2425" i="1"/>
  <c r="AR2425" i="1" s="1"/>
  <c r="AQ2426" i="1"/>
  <c r="AQ2427" i="1"/>
  <c r="AR2427" i="1" s="1"/>
  <c r="AQ2428" i="1"/>
  <c r="AR2428" i="1" s="1"/>
  <c r="AQ2429" i="1"/>
  <c r="AR2429" i="1" s="1"/>
  <c r="AQ2430" i="1"/>
  <c r="AR2430" i="1" s="1"/>
  <c r="AQ2431" i="1"/>
  <c r="AR2431" i="1" s="1"/>
  <c r="AQ2432" i="1"/>
  <c r="AR2432" i="1" s="1"/>
  <c r="AQ2433" i="1"/>
  <c r="AR2433" i="1" s="1"/>
  <c r="AQ2434" i="1"/>
  <c r="AQ2435" i="1"/>
  <c r="AR2435" i="1" s="1"/>
  <c r="AQ2436" i="1"/>
  <c r="AQ2437" i="1"/>
  <c r="AQ2438" i="1"/>
  <c r="AQ2439" i="1"/>
  <c r="AR2439" i="1" s="1"/>
  <c r="AQ2440" i="1"/>
  <c r="AR2440" i="1" s="1"/>
  <c r="AQ2441" i="1"/>
  <c r="AR2441" i="1" s="1"/>
  <c r="AQ2442" i="1"/>
  <c r="AR2442" i="1" s="1"/>
  <c r="AQ2443" i="1"/>
  <c r="AR2443" i="1" s="1"/>
  <c r="AQ2444" i="1"/>
  <c r="AR2444" i="1" s="1"/>
  <c r="AQ2445" i="1"/>
  <c r="AR2445" i="1" s="1"/>
  <c r="AQ2446" i="1"/>
  <c r="AQ2447" i="1"/>
  <c r="AR2447" i="1" s="1"/>
  <c r="AQ2448" i="1"/>
  <c r="AQ2449" i="1"/>
  <c r="AR2449" i="1" s="1"/>
  <c r="AQ2450" i="1"/>
  <c r="AR2450" i="1" s="1"/>
  <c r="AQ2451" i="1"/>
  <c r="AR2451" i="1" s="1"/>
  <c r="AQ2452" i="1"/>
  <c r="AR2452" i="1" s="1"/>
  <c r="AQ2453" i="1"/>
  <c r="AR2453" i="1" s="1"/>
  <c r="AQ2454" i="1"/>
  <c r="AR2454" i="1" s="1"/>
  <c r="AQ2455" i="1"/>
  <c r="AR2455" i="1" s="1"/>
  <c r="AQ2456" i="1"/>
  <c r="AR2456" i="1" s="1"/>
  <c r="AQ2457" i="1"/>
  <c r="AR2457" i="1" s="1"/>
  <c r="AQ2458" i="1"/>
  <c r="AR2458" i="1" s="1"/>
  <c r="AQ2459" i="1"/>
  <c r="AR2459" i="1" s="1"/>
  <c r="AQ2460" i="1"/>
  <c r="AR2460" i="1" s="1"/>
  <c r="AQ2461" i="1"/>
  <c r="AQ2462" i="1"/>
  <c r="AQ2463" i="1"/>
  <c r="AQ2464" i="1"/>
  <c r="AR2464" i="1" s="1"/>
  <c r="AQ2465" i="1"/>
  <c r="AR2465" i="1" s="1"/>
  <c r="AQ2466" i="1"/>
  <c r="AR2466" i="1" s="1"/>
  <c r="AQ2467" i="1"/>
  <c r="AR2467" i="1" s="1"/>
  <c r="AQ2468" i="1"/>
  <c r="AR2468" i="1" s="1"/>
  <c r="AR2" i="1"/>
  <c r="AR10" i="1"/>
  <c r="AR12" i="1"/>
  <c r="AR13" i="1"/>
  <c r="AR22" i="1"/>
  <c r="AR24" i="1"/>
  <c r="AR25" i="1"/>
  <c r="AR26" i="1"/>
  <c r="AR34" i="1"/>
  <c r="AR36" i="1"/>
  <c r="AR37" i="1"/>
  <c r="AR38" i="1"/>
  <c r="AR46" i="1"/>
  <c r="AR48" i="1"/>
  <c r="AR49" i="1"/>
  <c r="AR58" i="1"/>
  <c r="AR60" i="1"/>
  <c r="AR61" i="1"/>
  <c r="AR62" i="1"/>
  <c r="AR63" i="1"/>
  <c r="AR70" i="1"/>
  <c r="AR72" i="1"/>
  <c r="AR73" i="1"/>
  <c r="AR82" i="1"/>
  <c r="AR84" i="1"/>
  <c r="AR85" i="1"/>
  <c r="AR86" i="1"/>
  <c r="AR87" i="1"/>
  <c r="AR94" i="1"/>
  <c r="AR96" i="1"/>
  <c r="AR97" i="1"/>
  <c r="AR98" i="1"/>
  <c r="AR99" i="1"/>
  <c r="AR106" i="1"/>
  <c r="AR108" i="1"/>
  <c r="AR109" i="1"/>
  <c r="AR118" i="1"/>
  <c r="AR120" i="1"/>
  <c r="AR121" i="1"/>
  <c r="AR122" i="1"/>
  <c r="AR130" i="1"/>
  <c r="AR132" i="1"/>
  <c r="AR133" i="1"/>
  <c r="AR134" i="1"/>
  <c r="AR142" i="1"/>
  <c r="AR144" i="1"/>
  <c r="AR145" i="1"/>
  <c r="AR156" i="1"/>
  <c r="AR157" i="1"/>
  <c r="AR158" i="1"/>
  <c r="AR166" i="1"/>
  <c r="AR168" i="1"/>
  <c r="AR169" i="1"/>
  <c r="AR170" i="1"/>
  <c r="AR178" i="1"/>
  <c r="AR180" i="1"/>
  <c r="AR181" i="1"/>
  <c r="AR190" i="1"/>
  <c r="AR191" i="1"/>
  <c r="AR192" i="1"/>
  <c r="AR193" i="1"/>
  <c r="AR194" i="1"/>
  <c r="AR204" i="1"/>
  <c r="AR205" i="1"/>
  <c r="AR206" i="1"/>
  <c r="AR214" i="1"/>
  <c r="AR215" i="1"/>
  <c r="AR216" i="1"/>
  <c r="AR217" i="1"/>
  <c r="AR218" i="1"/>
  <c r="AR219" i="1"/>
  <c r="AR220" i="1"/>
  <c r="AR226" i="1"/>
  <c r="AR227" i="1"/>
  <c r="AR228" i="1"/>
  <c r="AR229" i="1"/>
  <c r="AR230" i="1"/>
  <c r="AR238" i="1"/>
  <c r="AR239" i="1"/>
  <c r="AR240" i="1"/>
  <c r="AR241" i="1"/>
  <c r="AR242" i="1"/>
  <c r="AR250" i="1"/>
  <c r="AR251" i="1"/>
  <c r="AR252" i="1"/>
  <c r="AR253" i="1"/>
  <c r="AR254" i="1"/>
  <c r="AR262" i="1"/>
  <c r="AR264" i="1"/>
  <c r="AR265" i="1"/>
  <c r="AR274" i="1"/>
  <c r="AR275" i="1"/>
  <c r="AR276" i="1"/>
  <c r="AR277" i="1"/>
  <c r="AR278" i="1"/>
  <c r="AR286" i="1"/>
  <c r="AR288" i="1"/>
  <c r="AR289" i="1"/>
  <c r="AR298" i="1"/>
  <c r="AR300" i="1"/>
  <c r="AR301" i="1"/>
  <c r="AR302" i="1"/>
  <c r="AR310" i="1"/>
  <c r="AR311" i="1"/>
  <c r="AR312" i="1"/>
  <c r="AR313" i="1"/>
  <c r="AR314" i="1"/>
  <c r="AR322" i="1"/>
  <c r="AR324" i="1"/>
  <c r="AR325" i="1"/>
  <c r="AR331" i="1"/>
  <c r="AR334" i="1"/>
  <c r="AR336" i="1"/>
  <c r="AR337" i="1"/>
  <c r="AR338" i="1"/>
  <c r="AR346" i="1"/>
  <c r="AR348" i="1"/>
  <c r="AR349" i="1"/>
  <c r="AR358" i="1"/>
  <c r="AR359" i="1"/>
  <c r="AR360" i="1"/>
  <c r="AR361" i="1"/>
  <c r="AR362" i="1"/>
  <c r="AR370" i="1"/>
  <c r="AR371" i="1"/>
  <c r="AR372" i="1"/>
  <c r="AR373" i="1"/>
  <c r="AR382" i="1"/>
  <c r="AR383" i="1"/>
  <c r="AR384" i="1"/>
  <c r="AR385" i="1"/>
  <c r="AR386" i="1"/>
  <c r="AR387" i="1"/>
  <c r="AR394" i="1"/>
  <c r="AR396" i="1"/>
  <c r="AR397" i="1"/>
  <c r="AR398" i="1"/>
  <c r="AR406" i="1"/>
  <c r="AR407" i="1"/>
  <c r="AR408" i="1"/>
  <c r="AR409" i="1"/>
  <c r="AR410" i="1"/>
  <c r="AR418" i="1"/>
  <c r="AR419" i="1"/>
  <c r="AR420" i="1"/>
  <c r="AR421" i="1"/>
  <c r="AR422" i="1"/>
  <c r="AR430" i="1"/>
  <c r="AR432" i="1"/>
  <c r="AR433" i="1"/>
  <c r="AR442" i="1"/>
  <c r="AR444" i="1"/>
  <c r="AR445" i="1"/>
  <c r="AR446" i="1"/>
  <c r="AR454" i="1"/>
  <c r="AR456" i="1"/>
  <c r="AR457" i="1"/>
  <c r="AR458" i="1"/>
  <c r="AR466" i="1"/>
  <c r="AR468" i="1"/>
  <c r="AR469" i="1"/>
  <c r="AR478" i="1"/>
  <c r="AR479" i="1"/>
  <c r="AR480" i="1"/>
  <c r="AR481" i="1"/>
  <c r="AR482" i="1"/>
  <c r="AR483" i="1"/>
  <c r="AR490" i="1"/>
  <c r="AR492" i="1"/>
  <c r="AR493" i="1"/>
  <c r="AR502" i="1"/>
  <c r="AR503" i="1"/>
  <c r="AR504" i="1"/>
  <c r="AR505" i="1"/>
  <c r="AR506" i="1"/>
  <c r="AR514" i="1"/>
  <c r="AR515" i="1"/>
  <c r="AR516" i="1"/>
  <c r="AR517" i="1"/>
  <c r="AR518" i="1"/>
  <c r="AR519" i="1"/>
  <c r="AR526" i="1"/>
  <c r="AR528" i="1"/>
  <c r="AR529" i="1"/>
  <c r="AR538" i="1"/>
  <c r="AR539" i="1"/>
  <c r="AR540" i="1"/>
  <c r="AR541" i="1"/>
  <c r="AR542" i="1"/>
  <c r="AR550" i="1"/>
  <c r="AR552" i="1"/>
  <c r="AR553" i="1"/>
  <c r="AR559" i="1"/>
  <c r="AR562" i="1"/>
  <c r="AR563" i="1"/>
  <c r="AR564" i="1"/>
  <c r="AR565" i="1"/>
  <c r="AR566" i="1"/>
  <c r="AR574" i="1"/>
  <c r="AR576" i="1"/>
  <c r="AR577" i="1"/>
  <c r="AR578" i="1"/>
  <c r="AR579" i="1"/>
  <c r="AR588" i="1"/>
  <c r="AR589" i="1"/>
  <c r="AR598" i="1"/>
  <c r="AR599" i="1"/>
  <c r="AR600" i="1"/>
  <c r="AR601" i="1"/>
  <c r="AR602" i="1"/>
  <c r="AR607" i="1"/>
  <c r="AR610" i="1"/>
  <c r="AR612" i="1"/>
  <c r="AR613" i="1"/>
  <c r="AR622" i="1"/>
  <c r="AR623" i="1"/>
  <c r="AR624" i="1"/>
  <c r="AR625" i="1"/>
  <c r="AR626" i="1"/>
  <c r="AR634" i="1"/>
  <c r="AR636" i="1"/>
  <c r="AR637" i="1"/>
  <c r="AR638" i="1"/>
  <c r="AR646" i="1"/>
  <c r="AR647" i="1"/>
  <c r="AR648" i="1"/>
  <c r="AR649" i="1"/>
  <c r="AR659" i="1"/>
  <c r="AR660" i="1"/>
  <c r="AR661" i="1"/>
  <c r="AR662" i="1"/>
  <c r="AR670" i="1"/>
  <c r="AR671" i="1"/>
  <c r="AR672" i="1"/>
  <c r="AR682" i="1"/>
  <c r="AR684" i="1"/>
  <c r="AR685" i="1"/>
  <c r="AR694" i="1"/>
  <c r="AR696" i="1"/>
  <c r="AR698" i="1"/>
  <c r="AR706" i="1"/>
  <c r="AR708" i="1"/>
  <c r="AR709" i="1"/>
  <c r="AR710" i="1"/>
  <c r="AR718" i="1"/>
  <c r="AR720" i="1"/>
  <c r="AR722" i="1"/>
  <c r="AR730" i="1"/>
  <c r="AR732" i="1"/>
  <c r="AR733" i="1"/>
  <c r="AR734" i="1"/>
  <c r="AR735" i="1"/>
  <c r="AR742" i="1"/>
  <c r="AR743" i="1"/>
  <c r="AR744" i="1"/>
  <c r="AR746" i="1"/>
  <c r="AR747" i="1"/>
  <c r="AR754" i="1"/>
  <c r="AR755" i="1"/>
  <c r="AR756" i="1"/>
  <c r="AR757" i="1"/>
  <c r="AR758" i="1"/>
  <c r="AR766" i="1"/>
  <c r="AR767" i="1"/>
  <c r="AR768" i="1"/>
  <c r="AR770" i="1"/>
  <c r="AR780" i="1"/>
  <c r="AR781" i="1"/>
  <c r="AR782" i="1"/>
  <c r="AR790" i="1"/>
  <c r="AR792" i="1"/>
  <c r="AR802" i="1"/>
  <c r="AR804" i="1"/>
  <c r="AR805" i="1"/>
  <c r="AR806" i="1"/>
  <c r="AR816" i="1"/>
  <c r="AR818" i="1"/>
  <c r="AR819" i="1"/>
  <c r="AR820" i="1"/>
  <c r="AR826" i="1"/>
  <c r="AR828" i="1"/>
  <c r="AR829" i="1"/>
  <c r="AR838" i="1"/>
  <c r="AR840" i="1"/>
  <c r="AR842" i="1"/>
  <c r="AR843" i="1"/>
  <c r="AR850" i="1"/>
  <c r="AR852" i="1"/>
  <c r="AR853" i="1"/>
  <c r="AR854" i="1"/>
  <c r="AR862" i="1"/>
  <c r="AR864" i="1"/>
  <c r="AR874" i="1"/>
  <c r="AR876" i="1"/>
  <c r="AR877" i="1"/>
  <c r="AR878" i="1"/>
  <c r="AR887" i="1"/>
  <c r="AR888" i="1"/>
  <c r="AR890" i="1"/>
  <c r="AR891" i="1"/>
  <c r="AR898" i="1"/>
  <c r="AR900" i="1"/>
  <c r="AR901" i="1"/>
  <c r="AR910" i="1"/>
  <c r="AR912" i="1"/>
  <c r="AR914" i="1"/>
  <c r="AR922" i="1"/>
  <c r="AR923" i="1"/>
  <c r="AR924" i="1"/>
  <c r="AR925" i="1"/>
  <c r="AR926" i="1"/>
  <c r="AR934" i="1"/>
  <c r="AR936" i="1"/>
  <c r="AR946" i="1"/>
  <c r="AR948" i="1"/>
  <c r="AR949" i="1"/>
  <c r="AR950" i="1"/>
  <c r="AR958" i="1"/>
  <c r="AR960" i="1"/>
  <c r="AR962" i="1"/>
  <c r="AR963" i="1"/>
  <c r="AR970" i="1"/>
  <c r="AR972" i="1"/>
  <c r="AR973" i="1"/>
  <c r="AR982" i="1"/>
  <c r="AR983" i="1"/>
  <c r="AR986" i="1"/>
  <c r="AR994" i="1"/>
  <c r="AR995" i="1"/>
  <c r="AR996" i="1"/>
  <c r="AR997" i="1"/>
  <c r="AR1008" i="1"/>
  <c r="AR1015" i="1"/>
  <c r="AR1021" i="1"/>
  <c r="AR1022" i="1"/>
  <c r="AR1023" i="1"/>
  <c r="AR1030" i="1"/>
  <c r="AR1032" i="1"/>
  <c r="AR1034" i="1"/>
  <c r="AR1043" i="1"/>
  <c r="AR1044" i="1"/>
  <c r="AR1045" i="1"/>
  <c r="AR1054" i="1"/>
  <c r="AR1056" i="1"/>
  <c r="AR1058" i="1"/>
  <c r="AR1066" i="1"/>
  <c r="AR1068" i="1"/>
  <c r="AR1069" i="1"/>
  <c r="AR1070" i="1"/>
  <c r="AR1078" i="1"/>
  <c r="AR1080" i="1"/>
  <c r="AR1090" i="1"/>
  <c r="AR1091" i="1"/>
  <c r="AR1093" i="1"/>
  <c r="AR1094" i="1"/>
  <c r="AR1095" i="1"/>
  <c r="AR1104" i="1"/>
  <c r="AR1114" i="1"/>
  <c r="AR1116" i="1"/>
  <c r="AR1117" i="1"/>
  <c r="AR1118" i="1"/>
  <c r="AR1126" i="1"/>
  <c r="AR1128" i="1"/>
  <c r="AR1138" i="1"/>
  <c r="AR1140" i="1"/>
  <c r="AR1141" i="1"/>
  <c r="AR1142" i="1"/>
  <c r="AR1150" i="1"/>
  <c r="AR1152" i="1"/>
  <c r="AR1154" i="1"/>
  <c r="AR1162" i="1"/>
  <c r="AR1164" i="1"/>
  <c r="AR1165" i="1"/>
  <c r="AR1174" i="1"/>
  <c r="AR1178" i="1"/>
  <c r="AR1186" i="1"/>
  <c r="AR1187" i="1"/>
  <c r="AR1188" i="1"/>
  <c r="AR1189" i="1"/>
  <c r="AR1190" i="1"/>
  <c r="AR1198" i="1"/>
  <c r="AR1199" i="1"/>
  <c r="AR1200" i="1"/>
  <c r="AR1212" i="1"/>
  <c r="AR1213" i="1"/>
  <c r="AR1214" i="1"/>
  <c r="AR1222" i="1"/>
  <c r="AR1224" i="1"/>
  <c r="AR1226" i="1"/>
  <c r="AR1236" i="1"/>
  <c r="AR1237" i="1"/>
  <c r="AR1238" i="1"/>
  <c r="AR1246" i="1"/>
  <c r="AR1247" i="1"/>
  <c r="AR1248" i="1"/>
  <c r="AR1258" i="1"/>
  <c r="AR1259" i="1"/>
  <c r="AR1260" i="1"/>
  <c r="AR1261" i="1"/>
  <c r="AR1262" i="1"/>
  <c r="AR1270" i="1"/>
  <c r="AR1272" i="1"/>
  <c r="AR1274" i="1"/>
  <c r="AR1282" i="1"/>
  <c r="AR1283" i="1"/>
  <c r="AR1284" i="1"/>
  <c r="AR1285" i="1"/>
  <c r="AR1286" i="1"/>
  <c r="AR1295" i="1"/>
  <c r="AR1296" i="1"/>
  <c r="AR1306" i="1"/>
  <c r="AR1308" i="1"/>
  <c r="AR1310" i="1"/>
  <c r="AR1318" i="1"/>
  <c r="AR1320" i="1"/>
  <c r="AR1330" i="1"/>
  <c r="AR1332" i="1"/>
  <c r="AR1342" i="1"/>
  <c r="AR1344" i="1"/>
  <c r="AR1346" i="1"/>
  <c r="AR1354" i="1"/>
  <c r="AR1357" i="1"/>
  <c r="AR1358" i="1"/>
  <c r="AR1368" i="1"/>
  <c r="AR1378" i="1"/>
  <c r="AR1380" i="1"/>
  <c r="AR1382" i="1"/>
  <c r="AR1383" i="1"/>
  <c r="AR1390" i="1"/>
  <c r="AR1392" i="1"/>
  <c r="AR1394" i="1"/>
  <c r="AR1399" i="1"/>
  <c r="AR1402" i="1"/>
  <c r="AR1404" i="1"/>
  <c r="AR1405" i="1"/>
  <c r="AR1414" i="1"/>
  <c r="AR1418" i="1"/>
  <c r="AR1419" i="1"/>
  <c r="AR1426" i="1"/>
  <c r="AR1428" i="1"/>
  <c r="AR1429" i="1"/>
  <c r="AR1430" i="1"/>
  <c r="AR1438" i="1"/>
  <c r="AR1452" i="1"/>
  <c r="AR1453" i="1"/>
  <c r="AR1454" i="1"/>
  <c r="AR1462" i="1"/>
  <c r="AR1466" i="1"/>
  <c r="AR1467" i="1"/>
  <c r="AR1474" i="1"/>
  <c r="AR1475" i="1"/>
  <c r="AR1476" i="1"/>
  <c r="AR1486" i="1"/>
  <c r="AR1488" i="1"/>
  <c r="AR1498" i="1"/>
  <c r="AR1500" i="1"/>
  <c r="AR1501" i="1"/>
  <c r="AR1502" i="1"/>
  <c r="AR1510" i="1"/>
  <c r="AR1514" i="1"/>
  <c r="AR1522" i="1"/>
  <c r="AR1534" i="1"/>
  <c r="AR1536" i="1"/>
  <c r="AR1538" i="1"/>
  <c r="AR1539" i="1"/>
  <c r="AR1540" i="1"/>
  <c r="AR1548" i="1"/>
  <c r="AR1549" i="1"/>
  <c r="AR1550" i="1"/>
  <c r="AR1558" i="1"/>
  <c r="AR1560" i="1"/>
  <c r="AR1570" i="1"/>
  <c r="AR1573" i="1"/>
  <c r="AR1574" i="1"/>
  <c r="AR1582" i="1"/>
  <c r="AR1584" i="1"/>
  <c r="AR1586" i="1"/>
  <c r="AR1587" i="1"/>
  <c r="AR1594" i="1"/>
  <c r="AR1596" i="1"/>
  <c r="AR1606" i="1"/>
  <c r="AR1608" i="1"/>
  <c r="AR1610" i="1"/>
  <c r="AR1618" i="1"/>
  <c r="AR1619" i="1"/>
  <c r="AR1620" i="1"/>
  <c r="AR1621" i="1"/>
  <c r="AR1622" i="1"/>
  <c r="AR1631" i="1"/>
  <c r="AR1632" i="1"/>
  <c r="AR1642" i="1"/>
  <c r="AR1643" i="1"/>
  <c r="AR1654" i="1"/>
  <c r="AR1656" i="1"/>
  <c r="AR1658" i="1"/>
  <c r="AR1666" i="1"/>
  <c r="AR1668" i="1"/>
  <c r="AR1669" i="1"/>
  <c r="AR1670" i="1"/>
  <c r="AR1678" i="1"/>
  <c r="AR1690" i="1"/>
  <c r="AR1691" i="1"/>
  <c r="AR1692" i="1"/>
  <c r="AR1693" i="1"/>
  <c r="AR1694" i="1"/>
  <c r="AR1695" i="1"/>
  <c r="AR1704" i="1"/>
  <c r="AR1706" i="1"/>
  <c r="AR1714" i="1"/>
  <c r="AR1726" i="1"/>
  <c r="AR1728" i="1"/>
  <c r="AR1738" i="1"/>
  <c r="AR1740" i="1"/>
  <c r="AR1741" i="1"/>
  <c r="AR1742" i="1"/>
  <c r="AR1752" i="1"/>
  <c r="AR1754" i="1"/>
  <c r="AR1762" i="1"/>
  <c r="AR1765" i="1"/>
  <c r="AR1774" i="1"/>
  <c r="AR1776" i="1"/>
  <c r="AR1778" i="1"/>
  <c r="AR1779" i="1"/>
  <c r="AR1789" i="1"/>
  <c r="AR1790" i="1"/>
  <c r="AR1798" i="1"/>
  <c r="AR1802" i="1"/>
  <c r="AR1810" i="1"/>
  <c r="AR1813" i="1"/>
  <c r="AR1822" i="1"/>
  <c r="AR1824" i="1"/>
  <c r="AR1826" i="1"/>
  <c r="AR1834" i="1"/>
  <c r="AR1836" i="1"/>
  <c r="AR1838" i="1"/>
  <c r="AR1839" i="1"/>
  <c r="AR1846" i="1"/>
  <c r="AR1847" i="1"/>
  <c r="AR1860" i="1"/>
  <c r="AR1861" i="1"/>
  <c r="AR1862" i="1"/>
  <c r="AR1870" i="1"/>
  <c r="AR1871" i="1"/>
  <c r="AR1874" i="1"/>
  <c r="AR1882" i="1"/>
  <c r="AR1884" i="1"/>
  <c r="AR1885" i="1"/>
  <c r="AR1886" i="1"/>
  <c r="AR1894" i="1"/>
  <c r="AR1896" i="1"/>
  <c r="AR1906" i="1"/>
  <c r="AR1908" i="1"/>
  <c r="AR1909" i="1"/>
  <c r="AR1910" i="1"/>
  <c r="AR1918" i="1"/>
  <c r="AR1920" i="1"/>
  <c r="AR1922" i="1"/>
  <c r="AR1930" i="1"/>
  <c r="AR1934" i="1"/>
  <c r="AR1942" i="1"/>
  <c r="AR1944" i="1"/>
  <c r="AR1954" i="1"/>
  <c r="AR1956" i="1"/>
  <c r="AR1958" i="1"/>
  <c r="AR1966" i="1"/>
  <c r="AR1968" i="1"/>
  <c r="AR1970" i="1"/>
  <c r="AR1971" i="1"/>
  <c r="AR1978" i="1"/>
  <c r="AR1980" i="1"/>
  <c r="AR1981" i="1"/>
  <c r="AR1990" i="1"/>
  <c r="AR1994" i="1"/>
  <c r="AR2002" i="1"/>
  <c r="AR2004" i="1"/>
  <c r="AR2005" i="1"/>
  <c r="AR2006" i="1"/>
  <c r="AR2016" i="1"/>
  <c r="AR2018" i="1"/>
  <c r="AR2026" i="1"/>
  <c r="AR2038" i="1"/>
  <c r="AR2042" i="1"/>
  <c r="AR2043" i="1"/>
  <c r="AR2054" i="1"/>
  <c r="AR2055" i="1"/>
  <c r="AR2062" i="1"/>
  <c r="AR2063" i="1"/>
  <c r="AR2064" i="1"/>
  <c r="AR2066" i="1"/>
  <c r="AR2074" i="1"/>
  <c r="AR2075" i="1"/>
  <c r="AR2076" i="1"/>
  <c r="AR2090" i="1"/>
  <c r="AR2098" i="1"/>
  <c r="AR2100" i="1"/>
  <c r="AR2101" i="1"/>
  <c r="AR2102" i="1"/>
  <c r="AR2103" i="1"/>
  <c r="AR2110" i="1"/>
  <c r="AR2114" i="1"/>
  <c r="AR2122" i="1"/>
  <c r="AR2146" i="1"/>
  <c r="AR2148" i="1"/>
  <c r="AR2149" i="1"/>
  <c r="AR2150" i="1"/>
  <c r="AR2158" i="1"/>
  <c r="AR2160" i="1"/>
  <c r="AR2162" i="1"/>
  <c r="AR2184" i="1"/>
  <c r="AR2186" i="1"/>
  <c r="AR2194" i="1"/>
  <c r="AR2198" i="1"/>
  <c r="AR2206" i="1"/>
  <c r="AR2210" i="1"/>
  <c r="AR2211" i="1"/>
  <c r="AR2218" i="1"/>
  <c r="AR2220" i="1"/>
  <c r="AR2230" i="1"/>
  <c r="AR2232" i="1"/>
  <c r="AR2234" i="1"/>
  <c r="AR2242" i="1"/>
  <c r="AR2244" i="1"/>
  <c r="AR2245" i="1"/>
  <c r="AR2246" i="1"/>
  <c r="AR2254" i="1"/>
  <c r="AR2255" i="1"/>
  <c r="AR2268" i="1"/>
  <c r="AR2280" i="1"/>
  <c r="AR2282" i="1"/>
  <c r="AR2290" i="1"/>
  <c r="AR2291" i="1"/>
  <c r="AR2292" i="1"/>
  <c r="AR2294" i="1"/>
  <c r="AR2295" i="1"/>
  <c r="AR2302" i="1"/>
  <c r="AR2316" i="1"/>
  <c r="AR2318" i="1"/>
  <c r="AR2326" i="1"/>
  <c r="AR2328" i="1"/>
  <c r="AR2330" i="1"/>
  <c r="AR2338" i="1"/>
  <c r="AR2342" i="1"/>
  <c r="AR2350" i="1"/>
  <c r="AR2362" i="1"/>
  <c r="AR2365" i="1"/>
  <c r="AR2366" i="1"/>
  <c r="AR2374" i="1"/>
  <c r="AR2376" i="1"/>
  <c r="AR2378" i="1"/>
  <c r="AR2379" i="1"/>
  <c r="AR2386" i="1"/>
  <c r="AR2388" i="1"/>
  <c r="AR2398" i="1"/>
  <c r="AR2400" i="1"/>
  <c r="AR2412" i="1"/>
  <c r="AR2414" i="1"/>
  <c r="AR2424" i="1"/>
  <c r="AR2426" i="1"/>
  <c r="AR2434" i="1"/>
  <c r="AR2436" i="1"/>
  <c r="AR2437" i="1"/>
  <c r="AR2438" i="1"/>
  <c r="AR2446" i="1"/>
  <c r="AR2448" i="1"/>
  <c r="AR2461" i="1"/>
  <c r="AR2462" i="1"/>
  <c r="AR2463" i="1"/>
  <c r="B1" i="5"/>
</calcChain>
</file>

<file path=xl/sharedStrings.xml><?xml version="1.0" encoding="utf-8"?>
<sst xmlns="http://schemas.openxmlformats.org/spreadsheetml/2006/main" count="58454" uniqueCount="1064">
  <si>
    <t>Name</t>
  </si>
  <si>
    <t>Parent Name</t>
  </si>
  <si>
    <t>Reporting Unit Type</t>
  </si>
  <si>
    <t>Open Date</t>
  </si>
  <si>
    <t>Close Date</t>
  </si>
  <si>
    <t>Country</t>
  </si>
  <si>
    <t>Sub-region</t>
  </si>
  <si>
    <t>Region</t>
  </si>
  <si>
    <t>State</t>
  </si>
  <si>
    <t>Postcode</t>
  </si>
  <si>
    <t>Latitude</t>
  </si>
  <si>
    <t>Longitude</t>
  </si>
  <si>
    <t>Viewers</t>
  </si>
  <si>
    <t>Data Managers</t>
  </si>
  <si>
    <t>Approvers</t>
  </si>
  <si>
    <t>ID2</t>
  </si>
  <si>
    <t>Reporting Unit Name</t>
  </si>
  <si>
    <t>Reporting Period Name</t>
  </si>
  <si>
    <t>Activity Group</t>
  </si>
  <si>
    <t>Start Period</t>
  </si>
  <si>
    <t>End Period</t>
  </si>
  <si>
    <t>Activity</t>
  </si>
  <si>
    <t>Quantity</t>
  </si>
  <si>
    <t>Unit</t>
  </si>
  <si>
    <t>Data Quality</t>
  </si>
  <si>
    <t>User</t>
  </si>
  <si>
    <t>Created Date</t>
  </si>
  <si>
    <t>Calculation Status</t>
  </si>
  <si>
    <t>Calculation Date</t>
  </si>
  <si>
    <t>Note</t>
  </si>
  <si>
    <t>Evidence</t>
  </si>
  <si>
    <t>Record ID</t>
  </si>
  <si>
    <t>Reporting Unit</t>
  </si>
  <si>
    <t>Reporting Period Start Date</t>
  </si>
  <si>
    <t>Reporting Period End Date</t>
  </si>
  <si>
    <t>Record Start Date</t>
  </si>
  <si>
    <t>Record End Date</t>
  </si>
  <si>
    <t>Calculation Created At</t>
  </si>
  <si>
    <t>Calculation Updated At</t>
  </si>
  <si>
    <t>Reporting Period Year</t>
  </si>
  <si>
    <t>Model Name</t>
  </si>
  <si>
    <t>Model Alias</t>
  </si>
  <si>
    <t>Model type</t>
  </si>
  <si>
    <t>Custom Factor</t>
  </si>
  <si>
    <t>Emission Factor Name</t>
  </si>
  <si>
    <t>Scope</t>
  </si>
  <si>
    <t>Scope Category</t>
  </si>
  <si>
    <t>Matched Region</t>
  </si>
  <si>
    <t>Matched Sub-region</t>
  </si>
  <si>
    <t>Matched Country Code</t>
  </si>
  <si>
    <t>Matched Country Region</t>
  </si>
  <si>
    <t>Market-based</t>
  </si>
  <si>
    <t>Impact Type</t>
  </si>
  <si>
    <t>kgCO2e</t>
  </si>
  <si>
    <t>EF Impact Value</t>
  </si>
  <si>
    <t>EF Impact Unit</t>
  </si>
  <si>
    <t>Consumption Value Multiplier</t>
  </si>
  <si>
    <t>Consumption Value in EF Unit</t>
  </si>
  <si>
    <t>Assessment Report</t>
  </si>
  <si>
    <t>Author</t>
  </si>
  <si>
    <t>Source</t>
  </si>
  <si>
    <t>Published Year</t>
  </si>
  <si>
    <t>Data Year</t>
  </si>
  <si>
    <t>Location tCO2e</t>
  </si>
  <si>
    <t>Market tCO2e</t>
  </si>
  <si>
    <t>Reporting unit name</t>
  </si>
  <si>
    <t>Reporting unit type2</t>
  </si>
  <si>
    <t>Emissions by Scope</t>
  </si>
  <si>
    <t>Emissions by Scope, S3 cateory, and activity group</t>
  </si>
  <si>
    <t>Emissions by reporting unit type, Scope, and category</t>
  </si>
  <si>
    <t>Emissions by reporting unit</t>
  </si>
  <si>
    <t>Location (tCO2e)</t>
  </si>
  <si>
    <t>Market (tCO2e)</t>
  </si>
  <si>
    <t>Grand Total</t>
  </si>
  <si>
    <t>Emissions by Reporting Period</t>
  </si>
  <si>
    <t>Data quality by Reporting Period</t>
  </si>
  <si>
    <t>Top of Hierarchy &gt; Scope 3 Inventory</t>
  </si>
  <si>
    <t>FY22 (Jan. 1, 2022 - Dec. 31, 2022)</t>
  </si>
  <si>
    <t>12. End-of-life treatment of sold products</t>
  </si>
  <si>
    <t>01-Oct-22</t>
  </si>
  <si>
    <t>31-Dec-22</t>
  </si>
  <si>
    <t>metric tonnes</t>
  </si>
  <si>
    <t>Estimated</t>
  </si>
  <si>
    <t>Daniella Giardetti</t>
  </si>
  <si>
    <t>03-Aug-23, 19:32</t>
  </si>
  <si>
    <t>Calculated</t>
  </si>
  <si>
    <t>1. Purchased goods and services</t>
  </si>
  <si>
    <t>01-Jan-22</t>
  </si>
  <si>
    <t>03-Aug-23, 19:29</t>
  </si>
  <si>
    <t>08-Aug-23, 19:56</t>
  </si>
  <si>
    <t>2. Capital goods</t>
  </si>
  <si>
    <t>03-Aug-23, 19:30</t>
  </si>
  <si>
    <t>4. Upstream transportation and distribution</t>
  </si>
  <si>
    <t>03-Aug-23, 19:31</t>
  </si>
  <si>
    <t>5. Waste generated in operations</t>
  </si>
  <si>
    <t>08-Aug-23, 19:57</t>
  </si>
  <si>
    <t>11. Use of sold products</t>
  </si>
  <si>
    <t>FY21 (Jan. 1, 2021 - Dec. 31, 2021)</t>
  </si>
  <si>
    <t>01-Oct-21</t>
  </si>
  <si>
    <t>31-Dec-21</t>
  </si>
  <si>
    <t>03-Aug-23, 20:01</t>
  </si>
  <si>
    <t>08-Aug-23, 19:58</t>
  </si>
  <si>
    <t>04-Aug-23, 16:27</t>
  </si>
  <si>
    <t>08-Aug-23, 19:59</t>
  </si>
  <si>
    <t>04-Aug-23, 16:28</t>
  </si>
  <si>
    <t>04-Aug-23, 16:29</t>
  </si>
  <si>
    <t>01-Jan-21</t>
  </si>
  <si>
    <t>Top of Hierarchy &gt; Middle East / Africa &gt; Vantage_South Africa</t>
  </si>
  <si>
    <t>Electricity (non-renewable)</t>
  </si>
  <si>
    <t>Kilowatt hours</t>
  </si>
  <si>
    <t>Actual Data</t>
  </si>
  <si>
    <t>Frank Greene</t>
  </si>
  <si>
    <t>09-May-23, 16:29</t>
  </si>
  <si>
    <t>20-Jul-23, 00:40</t>
  </si>
  <si>
    <t>landlord invoice</t>
  </si>
  <si>
    <t>Vantage South Africa 2022 Sustainability Electricity and Water Data.pdf</t>
  </si>
  <si>
    <t>Refrigerant gasses</t>
  </si>
  <si>
    <t>R-134A</t>
  </si>
  <si>
    <t>kilograms</t>
  </si>
  <si>
    <t>25-Jul-23, 17:50</t>
  </si>
  <si>
    <t>Estimated from square footage. Assumed R134a.</t>
  </si>
  <si>
    <t>Gaseous fuel activities</t>
  </si>
  <si>
    <t>LPG</t>
  </si>
  <si>
    <t>09-May-23, 17:15</t>
  </si>
  <si>
    <t>Estimated based off last year</t>
  </si>
  <si>
    <t>27-Feb-23, 16:27</t>
  </si>
  <si>
    <t>03-Aug-23, 20:20</t>
  </si>
  <si>
    <t>Vantage South Africa 2021 Sustainability Electricity and Water Data, South Africa electricity and natural gas accounting (2).xlsx</t>
  </si>
  <si>
    <t>HFC-134a</t>
  </si>
  <si>
    <t>Jordyn Dean</t>
  </si>
  <si>
    <t>18-Jul-23, 19:37</t>
  </si>
  <si>
    <t>South Africa electricity and natural gas accounting (1).xlsx</t>
  </si>
  <si>
    <t>Top of Hierarchy &gt; Asia Pacific &gt; Vantage_Shanghai</t>
  </si>
  <si>
    <t>28-Apr-23, 19:46</t>
  </si>
  <si>
    <t>Bill of eletronic and water of office (1).pdf, Shanghai electricity accounting.xlsx</t>
  </si>
  <si>
    <t>Natural gas</t>
  </si>
  <si>
    <t>Hundred Thousand BTUs</t>
  </si>
  <si>
    <t>Estimated from square footage (CBECS 2012)</t>
  </si>
  <si>
    <t>03-Aug-23, 20:59</t>
  </si>
  <si>
    <t>Y2021Vantage Shanghai  (1).xlsx, Electronic and water bill Y2021 (1).PDF</t>
  </si>
  <si>
    <t>British Thermal Units</t>
  </si>
  <si>
    <t>Liquid fuel activities</t>
  </si>
  <si>
    <t>Diesel (100% mineral diesel)</t>
  </si>
  <si>
    <t>litres</t>
  </si>
  <si>
    <t>Top of Hierarchy &gt; Asia Pacific &gt; Vantage_Mumbai</t>
  </si>
  <si>
    <t>08-May-23, 17:22</t>
  </si>
  <si>
    <t>shared facility; not sure actual value but have estimation</t>
  </si>
  <si>
    <t>Diesel (average biofuel blend)</t>
  </si>
  <si>
    <t>US liquid gallons</t>
  </si>
  <si>
    <t>08-May-23, 17:23</t>
  </si>
  <si>
    <t>Propane</t>
  </si>
  <si>
    <t>Top of Hierarchy &gt; Europe &gt; Vantage_Paris</t>
  </si>
  <si>
    <t>16-Mar-23, 21:16</t>
  </si>
  <si>
    <t>This site closed Dec 31 2021</t>
  </si>
  <si>
    <t>joules</t>
  </si>
  <si>
    <t>18-Apr-23, 21:48</t>
  </si>
  <si>
    <t>Aviation spirit</t>
  </si>
  <si>
    <t>18-Apr-23, 21:47</t>
  </si>
  <si>
    <t>HFC-23</t>
  </si>
  <si>
    <t>Kilotonne</t>
  </si>
  <si>
    <t>cubic feet</t>
  </si>
  <si>
    <t>09-May-23, 19:25</t>
  </si>
  <si>
    <t>Dylan Stogsdill</t>
  </si>
  <si>
    <t>Paris Electricity Accounting</t>
  </si>
  <si>
    <t>Top of Hierarchy &gt; Europe &gt; Vantage_Leuna</t>
  </si>
  <si>
    <t>26-Apr-23, 17:34</t>
  </si>
  <si>
    <t>InfraLeuna_Strom_Dampf_2022.zip, Energieträger 2022.xls</t>
  </si>
  <si>
    <t>26-Apr-23, 17:35</t>
  </si>
  <si>
    <t>Petrol (average biofuel blend)</t>
  </si>
  <si>
    <t>OneDrive_2023-05-02 (1).zip, Auswertung für Betankung 2022.xlsx</t>
  </si>
  <si>
    <t>26-Apr-23, 17:39</t>
  </si>
  <si>
    <t>Gas oil</t>
  </si>
  <si>
    <t>02-May-23, 21:57</t>
  </si>
  <si>
    <t>02-May-23, 22:08</t>
  </si>
  <si>
    <t>02-May-23, 22:09</t>
  </si>
  <si>
    <t>R410A</t>
  </si>
  <si>
    <t>26-Apr-23, 17:41</t>
  </si>
  <si>
    <t>Alexander AR2-22-07-197_Kältemittel.pdf, Alexander_AR2-22-02-034.pdf</t>
  </si>
  <si>
    <t>R407C</t>
  </si>
  <si>
    <t>27-Apr-23, 16:49</t>
  </si>
  <si>
    <t>Alexander AR2-22-07-198_Kältemittel.pdf</t>
  </si>
  <si>
    <t>Heat, Steam and Chilled Water</t>
  </si>
  <si>
    <t>Purchased Heat/Steam</t>
  </si>
  <si>
    <t>InfraLeuna_Strom_Dampf_2022.zip, Energieträger 2022.xlsx</t>
  </si>
  <si>
    <t>Energietrager 2021</t>
  </si>
  <si>
    <t>Leuna Bills</t>
  </si>
  <si>
    <t>Missing Diesel Receipt</t>
  </si>
  <si>
    <t>Petrol (100% mineral petrol)</t>
  </si>
  <si>
    <t>19-Jul-23, 19:31</t>
  </si>
  <si>
    <t>27-Feb-23, 18:18</t>
  </si>
  <si>
    <t>Top of Hierarchy &gt; Europe &gt; Vantage_Les Borges</t>
  </si>
  <si>
    <t>10-May-23, 17:16</t>
  </si>
  <si>
    <t>See december invoice it says last year use is 138430 kWh</t>
  </si>
  <si>
    <t>OneDrive_2023-05-10.zip, WATER, ELECTRICITY AND GAS.xlsx</t>
  </si>
  <si>
    <t>Megawatt hours</t>
  </si>
  <si>
    <t>10-May-23, 17:42</t>
  </si>
  <si>
    <t>MWh GNL - not sure what GNL means</t>
  </si>
  <si>
    <t>OneDrive_2023-05-10 (1).zip, WATER, ELECTRICITY AND GAS.xlsx</t>
  </si>
  <si>
    <t>10-May-23, 17:17</t>
  </si>
  <si>
    <t>18-Jul-23, 19:02</t>
  </si>
  <si>
    <t>VTG220501833</t>
  </si>
  <si>
    <t>Was confirmed 208 MWh from site; attached invoices allow you estimate using histogram, comes around ~208</t>
  </si>
  <si>
    <t>Les Borges Electricity Invoices 2021.pdf, Les Borges accounting.xlsx, Les Borges electricity accounting</t>
  </si>
  <si>
    <t>Les Borges Natural Gas Proofs.zip</t>
  </si>
  <si>
    <t>Top of Hierarchy &gt; Europe &gt; Vantage_Granollers</t>
  </si>
  <si>
    <t>04-May-23, 20:10</t>
  </si>
  <si>
    <t>Granollers electricity accounting 2022.xlsx, VTG230500652.pdf, VTG230500215.pdf, 2022_1064.pdf</t>
  </si>
  <si>
    <t>gigajoules</t>
  </si>
  <si>
    <t>Granollers electricity accounting</t>
  </si>
  <si>
    <t>cubic metres</t>
  </si>
  <si>
    <t>Top of Hierarchy &gt; South America &gt; Vantage_Sao Paulo</t>
  </si>
  <si>
    <t>20-Apr-23, 19:15</t>
  </si>
  <si>
    <t>510015674695.pdf, Sao Paulo electricity accoutning 2022.xlsx</t>
  </si>
  <si>
    <t>20-Apr-23, 19:10</t>
  </si>
  <si>
    <t>20-Apr-23, 19:09</t>
  </si>
  <si>
    <t>pounds</t>
  </si>
  <si>
    <t>20-Apr-23, 19:18</t>
  </si>
  <si>
    <t>We know it is R410A but do not know the total refilled by the vendor in 2022</t>
  </si>
  <si>
    <t>R-410A</t>
  </si>
  <si>
    <t>We know it is R410A but do not know the total refilled by the vendor in 2022 - ESTIMATED BY ANTHESIS</t>
  </si>
  <si>
    <t>Brazil electricity accounting (1).xlsx</t>
  </si>
  <si>
    <t>Top of Hierarchy &gt; South America &gt; Vantage_Santiago</t>
  </si>
  <si>
    <t>20-Apr-23, 21:02</t>
  </si>
  <si>
    <t>OneDrive_2023-04-20 (1).zip, Chile electricity accounting 2022 FINAL.xls</t>
  </si>
  <si>
    <t>20-Apr-23, 20:28</t>
  </si>
  <si>
    <t>Chile electricity accounting.xlsx</t>
  </si>
  <si>
    <t>Top of Hierarchy &gt; South America &gt; Vantage_Lima</t>
  </si>
  <si>
    <t>20-Apr-23, 20:23</t>
  </si>
  <si>
    <t>20-Apr-23, 20:24</t>
  </si>
  <si>
    <t>Top of Hierarchy &gt; South America &gt; Vantage_Guatemala City</t>
  </si>
  <si>
    <t>20-Apr-23, 21:41</t>
  </si>
  <si>
    <t>OneDrive_2023-04-20 (2).zip, Guatemala electricity accounting 2022.xlsx</t>
  </si>
  <si>
    <t>20-Apr-23, 21:39</t>
  </si>
  <si>
    <t>03-Aug-23, 20:18</t>
  </si>
  <si>
    <t>Guatemala electricity accounting, OneDrive_2023-08-03.zip</t>
  </si>
  <si>
    <t>Top of Hierarchy &gt; South America &gt; Vantage_Buenos Aires</t>
  </si>
  <si>
    <t>20-Apr-23, 19:34</t>
  </si>
  <si>
    <t>Top of Hierarchy &gt; South America &gt; Vantage_Bogotá</t>
  </si>
  <si>
    <t>20-Apr-23, 19:31</t>
  </si>
  <si>
    <t>20-Apr-23, 19:30</t>
  </si>
  <si>
    <t>Top of Hierarchy &gt; South America &gt; Vantage_Argentina Farm (Agrinsa)</t>
  </si>
  <si>
    <t>20-Apr-23, 18:44</t>
  </si>
  <si>
    <t>OneDrive_2023-04-20.zip, Consumo eléctrico 2022 (3).xlsx</t>
  </si>
  <si>
    <t>20-Apr-23, 19:01</t>
  </si>
  <si>
    <t>19-Apr-23, 23:04</t>
  </si>
  <si>
    <t>OneDrive_2_4-19-2023.zip, OneDrive_1_4-19-2023.zip, Fuel consumption 2022.xlsx</t>
  </si>
  <si>
    <t>19-Apr-23, 23:05</t>
  </si>
  <si>
    <t>19-Apr-23, 23:06</t>
  </si>
  <si>
    <t>19-Apr-23, 23:07</t>
  </si>
  <si>
    <t>19-Apr-23, 23:08</t>
  </si>
  <si>
    <t>HFC-32</t>
  </si>
  <si>
    <t>Megatonne</t>
  </si>
  <si>
    <t>20-Apr-23, 19:20</t>
  </si>
  <si>
    <t>We know we use HFC-32 but do not know the amount
6 splits
Capacity: 6000 F
Refrigerant: R-32</t>
  </si>
  <si>
    <t>24-Feb-23, 17:18</t>
  </si>
  <si>
    <t>Top of Hierarchy &gt; North America &gt; Vantage_Delta</t>
  </si>
  <si>
    <t>27-Apr-23, 18:46</t>
  </si>
  <si>
    <t>Delta Site 2022 Utility Tracker (1).xlsx, OneDrive_2023-04-27.zip</t>
  </si>
  <si>
    <t>27-Apr-23, 18:53</t>
  </si>
  <si>
    <t>Delta Site 2022 Utility Tracker (1).xlsx, OneDrive_2023-04-27 (1).zip</t>
  </si>
  <si>
    <t>27-Apr-23, 19:15</t>
  </si>
  <si>
    <t>no fuel usage</t>
  </si>
  <si>
    <t>18-Jul-23, 22:47</t>
  </si>
  <si>
    <t>Delta Utilities Tracker 2021, Delta 2021 Electricity Invoices</t>
  </si>
  <si>
    <t>18-Jul-23, 22:49</t>
  </si>
  <si>
    <t>Delta Utilities Tracker 2021, Delta 2021 Natural Gas Invoices</t>
  </si>
  <si>
    <t>19-Jul-23, 19:36</t>
  </si>
  <si>
    <t>Top of Hierarchy &gt; North America &gt; Vantage_Warren</t>
  </si>
  <si>
    <t>21-Apr-23, 22:48</t>
  </si>
  <si>
    <t>JERSEY CENTRAL POWER ACCT 100116500321 12.14.22.pdf, JERSEY CENTRAL POWER ACCT 100116372598  12.14.22.pdf, Warren electricity accounting 2022.xlsx</t>
  </si>
  <si>
    <t>03-May-23, 20:46</t>
  </si>
  <si>
    <t>no fuel use</t>
  </si>
  <si>
    <t>R-22</t>
  </si>
  <si>
    <t>04-May-23, 18:48</t>
  </si>
  <si>
    <t>Unknown volume</t>
  </si>
  <si>
    <t>Unknown volume - ESTIMATED BY ANTHESIS</t>
  </si>
  <si>
    <t>Warren accounting</t>
  </si>
  <si>
    <t>Top of Hierarchy &gt; North America &gt; Vantage_Tucson</t>
  </si>
  <si>
    <t>03-May-23, 19:29</t>
  </si>
  <si>
    <t>Tucson electricity accounting 2022.xlsx, OneDrive_2023-05-03 (3).zip, OneDrive_2023-05-03 (4).zip</t>
  </si>
  <si>
    <t>02-May-23, 18:15</t>
  </si>
  <si>
    <t>OneDrive_2023-05-02.zip, Gas accounting Tucson 2022.xlsx</t>
  </si>
  <si>
    <t>28-Apr-23, 20:11</t>
  </si>
  <si>
    <t>02-May-23, 20:14</t>
  </si>
  <si>
    <t>chiller</t>
  </si>
  <si>
    <t>HFC-134</t>
  </si>
  <si>
    <t>Error</t>
  </si>
  <si>
    <t>Sample refrigerator</t>
  </si>
  <si>
    <t>03-May-23, 16:22</t>
  </si>
  <si>
    <t>Tucson AC Unit</t>
  </si>
  <si>
    <t>23-Aug-23, 16:54</t>
  </si>
  <si>
    <t>Estimated from square footage. Known gas type is R-410a</t>
  </si>
  <si>
    <t>28-Apr-23, 20:10</t>
  </si>
  <si>
    <t>OneDrive_2023-04-28.zip, Tucson propane accounting.xlsx</t>
  </si>
  <si>
    <t>Tucson gas, electricity and propane accounting</t>
  </si>
  <si>
    <t>23-Aug-23, 15:43</t>
  </si>
  <si>
    <t>23-Aug-23, 15:45</t>
  </si>
  <si>
    <t>19-Jul-23, 20:05</t>
  </si>
  <si>
    <t>18-Jul-23, 23:16</t>
  </si>
  <si>
    <t>Top of Hierarchy &gt; North America &gt; Vantage_Tlalnepantla de Baz</t>
  </si>
  <si>
    <t>20-Apr-23, 23:04</t>
  </si>
  <si>
    <t>Office Electricity January-October 2022.pdf, Office Electricity December 2022.pdf, 2022 Mexico Electricity accounting for Office (warehouse not available).xlsx</t>
  </si>
  <si>
    <t>20-Apr-23, 23:05</t>
  </si>
  <si>
    <t>grams</t>
  </si>
  <si>
    <t>20-Apr-23, 22:32</t>
  </si>
  <si>
    <t>Unknown amount of refilled refrigerant, but I know it is R410A
Warehouse: Air-conditioning R410 A 220V
Office: (2) Air-conditioning R-410A 60HZ"</t>
  </si>
  <si>
    <t>Unknown amount of refilled refrigerant, but I know it is R410A. Warehouse: Air-conditioning R410 A 220V. Office: (2) Air-conditioning R-410A 60HZ" - ESTIMATED BY ANTHESIS</t>
  </si>
  <si>
    <t>Mexico electricity accounting</t>
  </si>
  <si>
    <t>Top of Hierarchy &gt; North America &gt; Vantage_Pittsburgh</t>
  </si>
  <si>
    <t>21-Mar-23, 18:19</t>
  </si>
  <si>
    <t>Electricity December 2022</t>
  </si>
  <si>
    <t>21-Mar-23, 17:26</t>
  </si>
  <si>
    <t>Natural Gas December 2022.pdf</t>
  </si>
  <si>
    <t>28-Apr-23, 23:30</t>
  </si>
  <si>
    <t>Pittsburgh electricity and gas accounting</t>
  </si>
  <si>
    <t>Top of Hierarchy &gt; North America &gt; Vantage_Linden</t>
  </si>
  <si>
    <t>21-Apr-23, 22:03</t>
  </si>
  <si>
    <t>OneDrive_2023-04-21 (3).zip, OneDrive_2023-04-21 (4).zip, Linden electricity accounting 2022.xlsx</t>
  </si>
  <si>
    <t>03-May-23, 20:07</t>
  </si>
  <si>
    <t>Linden gas accounting 2022.xlsx, OneDrive_2023-05-03 (5).zip, OneDrive_2023-05-03 (5).zip, OneDrive_2023-05-03 (6).zip</t>
  </si>
  <si>
    <t>03-May-23, 21:17</t>
  </si>
  <si>
    <t>Linden propane accounting 2022.xlsx, OneDrive_2023-05-03 (10).zip, OneDrive_2023-05-03 (9).zip</t>
  </si>
  <si>
    <t>04-May-23, 18:54</t>
  </si>
  <si>
    <t>Linde Gas</t>
  </si>
  <si>
    <t>Linden NJ Propane Usage - 2022.xlsx</t>
  </si>
  <si>
    <t>Linden electricity accounting</t>
  </si>
  <si>
    <t>Linden gas accounting</t>
  </si>
  <si>
    <t>18-Jul-23, 23:03</t>
  </si>
  <si>
    <t>Top of Hierarchy &gt; North America &gt; Vantage_Gurnee</t>
  </si>
  <si>
    <t>21-Mar-23, 23:01</t>
  </si>
  <si>
    <t>Gurnee electricity accounting 2022.xlsx, _2023_01_17_html_invoice_44057307_LEGAL (1).pdf</t>
  </si>
  <si>
    <t>21-Mar-23, 22:29</t>
  </si>
  <si>
    <t>Gurnee Gas 2022.pdf, Gurnee gas accounting 2022.xlsx</t>
  </si>
  <si>
    <t>05-May-23, 19:43</t>
  </si>
  <si>
    <t>Fuel 0081034  VANTAGE SPECIALTIES.pdf</t>
  </si>
  <si>
    <t>28-Apr-23, 18:39</t>
  </si>
  <si>
    <t>Vantage Refrigerant Mgt Report 2022_041123.pdf</t>
  </si>
  <si>
    <t>28-Apr-23, 18:40</t>
  </si>
  <si>
    <t>28-Apr-23, 18:41</t>
  </si>
  <si>
    <t>03-May-23, 20:31</t>
  </si>
  <si>
    <t>Vantage_Specialties_Propane_Usage_2022 - Sheet3 (1).pdf</t>
  </si>
  <si>
    <t>Gurnee accounting</t>
  </si>
  <si>
    <t>14-Jul-23, 20:43</t>
  </si>
  <si>
    <t>00796916 OLSON (1)</t>
  </si>
  <si>
    <t>19-Jul-23, 20:03</t>
  </si>
  <si>
    <t>03-Aug-23, 20:50</t>
  </si>
  <si>
    <t>Vantage Refrigerant Mgt Report 2021 (1).pdf</t>
  </si>
  <si>
    <t>R-407C</t>
  </si>
  <si>
    <t>19-Jul-23, 20:04</t>
  </si>
  <si>
    <t>03-Aug-23, 20:49</t>
  </si>
  <si>
    <t>18-Jul-23, 22:58</t>
  </si>
  <si>
    <t>04-Aug-23, 23:44</t>
  </si>
  <si>
    <t>Propane Consumption Spreadsheet Gurnee (1) (1).xls, 0076916 OLSON (1).pdf</t>
  </si>
  <si>
    <t>Top of Hierarchy &gt; North America &gt; Vantage_Fairfield</t>
  </si>
  <si>
    <t>03-May-23, 20:26</t>
  </si>
  <si>
    <t>Fairfield Gas and electricity accounting 2022.xlsx, OneDrive_2023-05-03 (8).zip</t>
  </si>
  <si>
    <t>03-May-23, 20:27</t>
  </si>
  <si>
    <t>Fairfield Gas and electricity accounting 2022.xlsx, OneDrive_2023-05-03 (7).zip</t>
  </si>
  <si>
    <t>26-Apr-23, 16:38</t>
  </si>
  <si>
    <t>HFC-41</t>
  </si>
  <si>
    <t>26-Apr-23, 16:39</t>
  </si>
  <si>
    <t>no refrigerants used</t>
  </si>
  <si>
    <t>09-May-23, 17:35</t>
  </si>
  <si>
    <t>I got the info on the refrigerants use on our roof units
The type of refrigerant is R410A
When its refilled its about 5.8 pounds of pressure and they are refilled twice a year</t>
  </si>
  <si>
    <t>28-Apr-23, 23:28</t>
  </si>
  <si>
    <t>Fairfield Gas and electricity accounting</t>
  </si>
  <si>
    <t>19-Jul-23, 19:56</t>
  </si>
  <si>
    <t>Top of Hierarchy &gt; North America &gt; Vantage_Englewood</t>
  </si>
  <si>
    <t>21-Mar-23, 20:21</t>
  </si>
  <si>
    <t>Electricity December 2022.pdf</t>
  </si>
  <si>
    <t>21-Mar-23, 20:14</t>
  </si>
  <si>
    <t>Englewood Gas December 2022.pdf, Englewood gas accoutning 2022.xlsx</t>
  </si>
  <si>
    <t>05-May-23, 19:58</t>
  </si>
  <si>
    <t>No liquid fuel use</t>
  </si>
  <si>
    <t>R-507</t>
  </si>
  <si>
    <t>02-May-23, 20:13</t>
  </si>
  <si>
    <t>Told directly by invoice agent at Superior Mech</t>
  </si>
  <si>
    <t>05-May-23, 19:59</t>
  </si>
  <si>
    <t>The refrigerant is R-507 and R410A in both chillers and HVAC units. Unsure how much</t>
  </si>
  <si>
    <t>All forklifts are electric</t>
  </si>
  <si>
    <t>R507A</t>
  </si>
  <si>
    <t>19-Jul-23, 19:51</t>
  </si>
  <si>
    <t>Top of Hierarchy &gt; North America &gt; Vantage_Deerfield</t>
  </si>
  <si>
    <t>04-May-23, 18:36</t>
  </si>
  <si>
    <t>COMED (DEERFIELD)_05042023.pdf</t>
  </si>
  <si>
    <t>04-May-23, 18:37</t>
  </si>
  <si>
    <t>megajoules</t>
  </si>
  <si>
    <t>Top of Hierarchy &gt; North America &gt; Vantage_Dateland</t>
  </si>
  <si>
    <t>02-May-23, 19:24</t>
  </si>
  <si>
    <t>Dateland electric accounting 2022.xlsx, OneDrive_2023-05-02 (2).zip</t>
  </si>
  <si>
    <t>02-May-23, 19:00</t>
  </si>
  <si>
    <t>OneDrive_2023-05-02.zip, Dateland gas accounting 2022.xlsx</t>
  </si>
  <si>
    <t>25-Apr-23, 22:36</t>
  </si>
  <si>
    <t>OneDrive_2023-04-25.zip, Dateland liquid fuel accounting.xlsx</t>
  </si>
  <si>
    <t>25-Apr-23, 22:38</t>
  </si>
  <si>
    <t>R404A</t>
  </si>
  <si>
    <t>Unknown amount; ice maker</t>
  </si>
  <si>
    <t>AC Unit - unsure how much used</t>
  </si>
  <si>
    <t>28-Apr-23, 22:14</t>
  </si>
  <si>
    <t>amgs_202899892_20221104_24454593_9884600375.pdf</t>
  </si>
  <si>
    <t>03-Aug-23, 20:42</t>
  </si>
  <si>
    <t>Electricity Invoices Dateland 2021, ELN Utility Recap Electricity.xlsx</t>
  </si>
  <si>
    <t>03-Aug-23, 20:43</t>
  </si>
  <si>
    <t>Natural Gas Invoices Dateland 2021, ELN Utility Recap Natural Gas.xlsx</t>
  </si>
  <si>
    <t>03-Aug-23, 20:39</t>
  </si>
  <si>
    <t>ELN Utility Recap Fuels.xlsx, Missing Diesel Invoice from 091621.pdf</t>
  </si>
  <si>
    <t>03-Aug-23, 20:38</t>
  </si>
  <si>
    <t>19-Jul-23, 19:28</t>
  </si>
  <si>
    <t>18-Jul-23, 22:34</t>
  </si>
  <si>
    <t>Dateland Propane invoices, ELN Utility Recap Fuels</t>
  </si>
  <si>
    <t>Top of Hierarchy &gt; North America &gt; Vantage_Costa_Rica</t>
  </si>
  <si>
    <t>20-Apr-23, 21:57</t>
  </si>
  <si>
    <t>03-May-23, 21:21</t>
  </si>
  <si>
    <t>Costa Rica LPG 2022 Accounting.xlsx, OneDrive_2023-04-20 (3).zip</t>
  </si>
  <si>
    <t>18-Jul-23, 22:03</t>
  </si>
  <si>
    <t>Costa Rica LPG 2021 Accounting, GAS2021-DALSA 2021</t>
  </si>
  <si>
    <t>Top of Hierarchy &gt; North America &gt; Vantage_Chicago</t>
  </si>
  <si>
    <t>21-Mar-23, 23:03</t>
  </si>
  <si>
    <t>Invoice_1862623024_20230114.pdf, Chicago electricity and gas accounting 2022.xlsx</t>
  </si>
  <si>
    <t>21-Mar-23, 22:17</t>
  </si>
  <si>
    <t>Gas Chicago 2022.pdf, Chicago electricity and gas accounting 2022.xlsx</t>
  </si>
  <si>
    <t>28-Apr-23, 22:29</t>
  </si>
  <si>
    <t>Invoice - 2023-04-28T082836.287.PDF, Chicago Liquid Fuel Accounting 2022.xlsx</t>
  </si>
  <si>
    <t>01-May-23, 20:16</t>
  </si>
  <si>
    <t>NOT SURE HOW MUCH WAS FILLED</t>
  </si>
  <si>
    <t>22-Jun-23, 20:46</t>
  </si>
  <si>
    <t>Refrigerant report - Vantage Oleochemicals.xlsx</t>
  </si>
  <si>
    <t>22-Jun-23, 20:47</t>
  </si>
  <si>
    <t>Carbon Dioxide</t>
  </si>
  <si>
    <t>18-Jul-23, 23:21</t>
  </si>
  <si>
    <t>03-Aug-23, 20:28</t>
  </si>
  <si>
    <t>OneDrive_2023-08-03 (2).zip</t>
  </si>
  <si>
    <t>28-Apr-23, 22:35</t>
  </si>
  <si>
    <t>Chicago Liquid Fuel Accounting 2022.xlsx, Propane Chicago 2022.zip</t>
  </si>
  <si>
    <t>27-Feb-23, 14:14</t>
  </si>
  <si>
    <t>Chicago accounting</t>
  </si>
  <si>
    <t>18-Jul-23, 23:20</t>
  </si>
  <si>
    <t>03-Aug-23, 20:27</t>
  </si>
  <si>
    <t>OneDrive_2023-08-03 (1).zip</t>
  </si>
  <si>
    <t>19-Jul-23, 19:34</t>
  </si>
  <si>
    <t>03-Aug-23, 20:30</t>
  </si>
  <si>
    <t>Refrigerant report - Vantage Oleochemicals (1).xlsx</t>
  </si>
  <si>
    <t>19-Jul-23, 19:35</t>
  </si>
  <si>
    <t>18-Jul-23, 21:52</t>
  </si>
  <si>
    <t>Top of Hierarchy &gt; North America &gt; Vantage_Carnegie</t>
  </si>
  <si>
    <t>21-Mar-23, 20:57</t>
  </si>
  <si>
    <t>Electricity Part 1 Carnegie December 2022.pdf, Carnegie electricity accounting 2022.xlsx</t>
  </si>
  <si>
    <t>21-Mar-23, 21:31</t>
  </si>
  <si>
    <t>Electricity Part 2 Carnegie December 2022.pdf, Carnegie electricity accounting 2022.xlsx</t>
  </si>
  <si>
    <t>21-Mar-23, 20:08</t>
  </si>
  <si>
    <t>Carnegie Gas December 2022.pdf</t>
  </si>
  <si>
    <t>05-May-23, 19:54</t>
  </si>
  <si>
    <t>no liquid fuel</t>
  </si>
  <si>
    <t>21-Jun-23, 17:39</t>
  </si>
  <si>
    <t>No refills in last 2 years, 7 units are R410A</t>
  </si>
  <si>
    <t>OneDrive_2023-05-05.zip, Carnegie propane accounting 2022.xlsx</t>
  </si>
  <si>
    <t>Carnegie gas and electricity accounting</t>
  </si>
  <si>
    <t>23-Aug-23, 15:41</t>
  </si>
  <si>
    <t>Gas is R-410a. Frank confirmed no refills in FY21 and FY22</t>
  </si>
  <si>
    <t>18-Jul-23, 21:22</t>
  </si>
  <si>
    <t>Column1</t>
  </si>
  <si>
    <t>Column2</t>
  </si>
  <si>
    <t>Column3</t>
  </si>
  <si>
    <t>Asia Pacific</t>
  </si>
  <si>
    <t>Top of Hierarchy</t>
  </si>
  <si>
    <t>31/12/2100</t>
  </si>
  <si>
    <t>Asia</t>
  </si>
  <si>
    <t>jrohde.env@gmail.com</t>
  </si>
  <si>
    <t>Europe</t>
  </si>
  <si>
    <t>Middle East / Africa</t>
  </si>
  <si>
    <t>Africa</t>
  </si>
  <si>
    <t>North America</t>
  </si>
  <si>
    <t>Americas</t>
  </si>
  <si>
    <t>South America</t>
  </si>
  <si>
    <t>Vantage_Granollers</t>
  </si>
  <si>
    <t>Labratory</t>
  </si>
  <si>
    <t>31/12/2022</t>
  </si>
  <si>
    <t>Spain</t>
  </si>
  <si>
    <t>Southern Europe</t>
  </si>
  <si>
    <t>Vantage_South Africa</t>
  </si>
  <si>
    <t>South Africa</t>
  </si>
  <si>
    <t>Sub-Saharan Africa</t>
  </si>
  <si>
    <t>jordyn.dean@anthesisgroup.com</t>
  </si>
  <si>
    <t>Vantage_Chicago</t>
  </si>
  <si>
    <t>United States of America</t>
  </si>
  <si>
    <t>Northern America</t>
  </si>
  <si>
    <t>IL</t>
  </si>
  <si>
    <t>Vantage_Dateland</t>
  </si>
  <si>
    <t>AZ</t>
  </si>
  <si>
    <t>Vantage_Argentina Farm (Agrinsa)</t>
  </si>
  <si>
    <t>Argentina</t>
  </si>
  <si>
    <t>Latin America and the Caribbean</t>
  </si>
  <si>
    <t>Vantage_Shanghai</t>
  </si>
  <si>
    <t>Warehouse</t>
  </si>
  <si>
    <t>China</t>
  </si>
  <si>
    <t>Eastern Asia</t>
  </si>
  <si>
    <t>Vantage_Linden</t>
  </si>
  <si>
    <t>NJ</t>
  </si>
  <si>
    <t>Vantage_Tlalnepantla de Baz</t>
  </si>
  <si>
    <t>Mexico</t>
  </si>
  <si>
    <t>Vantage_Mumbai</t>
  </si>
  <si>
    <t>Office</t>
  </si>
  <si>
    <t>India</t>
  </si>
  <si>
    <t>Southern Asia</t>
  </si>
  <si>
    <t>Vantage_Les Borges</t>
  </si>
  <si>
    <t>Vantage_Carnegie</t>
  </si>
  <si>
    <t>PA</t>
  </si>
  <si>
    <t>Vantage_Deerfield</t>
  </si>
  <si>
    <t>Vantage_Englewood</t>
  </si>
  <si>
    <t>OH</t>
  </si>
  <si>
    <t>Vantage_Fairfield</t>
  </si>
  <si>
    <t>Vantage_Gurnee</t>
  </si>
  <si>
    <t>Vantage_Pittsburgh</t>
  </si>
  <si>
    <t>Vantage_Tucson</t>
  </si>
  <si>
    <t>Vantage_Warren</t>
  </si>
  <si>
    <t>Vantage_Bogotá</t>
  </si>
  <si>
    <t>Colombia</t>
  </si>
  <si>
    <t>Vantage_Lima</t>
  </si>
  <si>
    <t>Peru</t>
  </si>
  <si>
    <t>Vantage_Delta</t>
  </si>
  <si>
    <t>Factory</t>
  </si>
  <si>
    <t>15/10/2022</t>
  </si>
  <si>
    <t>CO</t>
  </si>
  <si>
    <t>Vantage_Buenos Aires</t>
  </si>
  <si>
    <t>Vantage_Paris</t>
  </si>
  <si>
    <t>Unspecified Facility Type</t>
  </si>
  <si>
    <t>France</t>
  </si>
  <si>
    <t>Western Europe</t>
  </si>
  <si>
    <t>Vantage_Costa_Rica</t>
  </si>
  <si>
    <t>Costa Rica</t>
  </si>
  <si>
    <t>Vantage_Guatemala City</t>
  </si>
  <si>
    <t>Guatemala</t>
  </si>
  <si>
    <t>Vantage_Santiago</t>
  </si>
  <si>
    <t>Chile</t>
  </si>
  <si>
    <t>Vantage_Sao Paulo</t>
  </si>
  <si>
    <t>Brazil</t>
  </si>
  <si>
    <t>Vantage_Leuna</t>
  </si>
  <si>
    <t>Office (with heat &amp; steam)</t>
  </si>
  <si>
    <t>Germany</t>
  </si>
  <si>
    <t>Organisation</t>
  </si>
  <si>
    <t>Scope 3 Inventory</t>
  </si>
  <si>
    <t>31/01/1900</t>
  </si>
  <si>
    <t>31/12/2099</t>
  </si>
  <si>
    <t>Category 2 (Capital Goods)</t>
  </si>
  <si>
    <t>Category 4 (Upstream Transportation and Distribution)</t>
  </si>
  <si>
    <t>Category 6 (Business Travel)</t>
  </si>
  <si>
    <t>Category 5 (Waste Generated in Operations)</t>
  </si>
  <si>
    <t>Category 1 (Purchased Goods and Services)</t>
  </si>
  <si>
    <t>FY22</t>
  </si>
  <si>
    <t>2023-05-08, 17:22</t>
  </si>
  <si>
    <t>2023-07-20, 00:40</t>
  </si>
  <si>
    <t>electricity</t>
  </si>
  <si>
    <t>Electricity</t>
  </si>
  <si>
    <t>model</t>
  </si>
  <si>
    <t>ELECTRICITY; INDIA</t>
  </si>
  <si>
    <t>Scope 2</t>
  </si>
  <si>
    <t>N/A</t>
  </si>
  <si>
    <t>IN</t>
  </si>
  <si>
    <t>CH4</t>
  </si>
  <si>
    <t>RESTRICTED</t>
  </si>
  <si>
    <t>KWH</t>
  </si>
  <si>
    <t>AR4</t>
  </si>
  <si>
    <t>IEA</t>
  </si>
  <si>
    <t>IEA (2022)</t>
  </si>
  <si>
    <t>CO2</t>
  </si>
  <si>
    <t>CO2E</t>
  </si>
  <si>
    <t>N2O</t>
  </si>
  <si>
    <t>electricity__t+d__wtt</t>
  </si>
  <si>
    <t>Electricity T&amp;D WTT</t>
  </si>
  <si>
    <t>t+d_wtt</t>
  </si>
  <si>
    <t>ELECTRICITY T&amp;D WTT; INDIA</t>
  </si>
  <si>
    <t>Scope 3</t>
  </si>
  <si>
    <t>3: Fuel- and Energy-Related Activities</t>
  </si>
  <si>
    <t>Anthesis</t>
  </si>
  <si>
    <t>Anthesis (2022)</t>
  </si>
  <si>
    <t>electricity__wtt</t>
  </si>
  <si>
    <t>Electricity WTT</t>
  </si>
  <si>
    <t>wtt</t>
  </si>
  <si>
    <t>ELECTRICITY WTT; INDIA</t>
  </si>
  <si>
    <t>electricity__t+d</t>
  </si>
  <si>
    <t>Electricity T&amp;D</t>
  </si>
  <si>
    <t>t+d</t>
  </si>
  <si>
    <t>ELECTRICITY; TRANSMISSION AND DISTRIBUTION; INDIA</t>
  </si>
  <si>
    <t>2023-05-08, 17:23</t>
  </si>
  <si>
    <t>diesel_avg_biofuel_blend</t>
  </si>
  <si>
    <t>Diesel (Average Biofuel Blend)</t>
  </si>
  <si>
    <t>FUELS; LIQUID FUELS; DIESEL (AVERAGE BIOFUEL BLEND)</t>
  </si>
  <si>
    <t>Scope 1</t>
  </si>
  <si>
    <t>LITRES</t>
  </si>
  <si>
    <t>Defra</t>
  </si>
  <si>
    <t>Defra (2022)</t>
  </si>
  <si>
    <t>diesel_avg_biofuel_blend__wtt</t>
  </si>
  <si>
    <t>Diesel (Average Biofuel Blend) WTT</t>
  </si>
  <si>
    <t>WTT- FUELS; LIQUID FUELS; DIESEL (AVERAGE BIOFUEL BLEND)</t>
  </si>
  <si>
    <t>propane</t>
  </si>
  <si>
    <t>FUELS; GASEOUS FUELS; PROPANE</t>
  </si>
  <si>
    <t>propane__wtt</t>
  </si>
  <si>
    <t>Propane WTT</t>
  </si>
  <si>
    <t>WTT- FUELS; GASEOUS FUELS; PROPANE</t>
  </si>
  <si>
    <t>FY21</t>
  </si>
  <si>
    <t>2023-02-27, 16:27</t>
  </si>
  <si>
    <t>IEA (2021)</t>
  </si>
  <si>
    <t>WTT- UK &amp; OVERSEAS ELEC; WTT- OVERSEAS ELECTRICITY (T&amp;D); ELECTRICITY: INDIA</t>
  </si>
  <si>
    <t>Defra (2021)</t>
  </si>
  <si>
    <t>WTT- UK &amp; OVERSEAS ELEC; WTT- OVERSEAS ELECTRICITY (GENERATION); ELECTRICITY: INDIA</t>
  </si>
  <si>
    <t>natural_gas</t>
  </si>
  <si>
    <t>Natural Gas</t>
  </si>
  <si>
    <t>FUELS; GASEOUS FUELS; NATURAL GAS</t>
  </si>
  <si>
    <t>KWH (GROSS CV)</t>
  </si>
  <si>
    <t>natural_gas__wtt</t>
  </si>
  <si>
    <t>Natural Gas WTT</t>
  </si>
  <si>
    <t>WTT- FUELS; WTT- GASEOUS FUELS; NATURAL GAS</t>
  </si>
  <si>
    <t>diesel_100p_mineral_diesel</t>
  </si>
  <si>
    <t>Diesel (100% Mineral Diesel)</t>
  </si>
  <si>
    <t>FUELS; LIQUID FUELS; DIESEL (100% MINERAL DIESEL)</t>
  </si>
  <si>
    <t>diesel_100p_mineral_diesel__wtt</t>
  </si>
  <si>
    <t>Diesel (100% Mineral Diesel) WTT</t>
  </si>
  <si>
    <t>WTT- FUELS; WTT- LIQUID FUELS; DIESEL (100% MINERAL DIESEL)</t>
  </si>
  <si>
    <t>2023-02-27, 16:28</t>
  </si>
  <si>
    <t>hfc-134a</t>
  </si>
  <si>
    <t>HFC-134A</t>
  </si>
  <si>
    <t>REFRIGERANT: R-134A</t>
  </si>
  <si>
    <t>KG</t>
  </si>
  <si>
    <t>IPCC</t>
  </si>
  <si>
    <t>IPCC (2021)</t>
  </si>
  <si>
    <t>2023-04-28, 19:47</t>
  </si>
  <si>
    <t>ELECTRICITY; PEOPLE'S REPUBLIC OF CHINA</t>
  </si>
  <si>
    <t>CN</t>
  </si>
  <si>
    <t>ELECTRICITY T&amp;D WTT; CHINA</t>
  </si>
  <si>
    <t>ELECTRICITY WTT; CHINA</t>
  </si>
  <si>
    <t>ELECTRICITY; TRANSMISSION AND DISTRIBUTION; PEOPLE'S REPUBLIC OF CHINA</t>
  </si>
  <si>
    <t>2023-07-25, 17:50</t>
  </si>
  <si>
    <t>WTT- FUELS; GASEOUS FUELS; NATURAL GAS</t>
  </si>
  <si>
    <t>2023-08-03, 20:59</t>
  </si>
  <si>
    <t>WTT- UK &amp; OVERSEAS ELEC; WTT- OVERSEAS ELECTRICITY (T&amp;D); ELECTRICITY: PEOPLE'S REP. OF CHINA</t>
  </si>
  <si>
    <t>WTT- UK &amp; OVERSEAS ELEC; WTT- OVERSEAS ELECTRICITY (GENERATION); ELECTRICITY: PEOPLE'S REP. OF CHINA</t>
  </si>
  <si>
    <t>2023-05-04, 20:10</t>
  </si>
  <si>
    <t>ELECTRICITY; SPAIN</t>
  </si>
  <si>
    <t>ES</t>
  </si>
  <si>
    <t>CO2E MKT</t>
  </si>
  <si>
    <t>AIB</t>
  </si>
  <si>
    <t>AIB (2022)</t>
  </si>
  <si>
    <t>ELECTRICITY T&amp;D WTT; SPAIN</t>
  </si>
  <si>
    <t>ELECTRICITY; SPAIN; T&amp;D WTT Estimated</t>
  </si>
  <si>
    <t>The T&amp;D WTT factor was calculated using the ratio: ELECTRICITY; SPAIN, IEA to ELECTRICITY; TRANSMISSION AND DISTRIBUTION; SPAIN, IEA CO2e factor</t>
  </si>
  <si>
    <t>ELECTRICITY WTT; SPAIN</t>
  </si>
  <si>
    <t>ELECTRICITY; SPAIN; WTT Estimated</t>
  </si>
  <si>
    <t>The WTT factor was calculated using the ratio: ELECTRICITY; SPAIN, IEA to WTT- UK &amp; OVERSEAS ELEC; WTT- OVERSEAS ELECTRICITY (GENERATION); ELECTRICITY: SPAIN, Defra CO2e factor</t>
  </si>
  <si>
    <t>ELECTRICITY; TRANSMISSION AND DISTRIBUTION; SPAIN</t>
  </si>
  <si>
    <t>ELECTRICITY; SPAIN; T&amp;D Estimated</t>
  </si>
  <si>
    <t>The T&amp;D factor was calculated using the ratio: ELECTRICITY; SPAIN, IEA to ELECTRICITY; TRANSMISSION AND DISTRIBUTION; SPAIN, IEA CO2e factor</t>
  </si>
  <si>
    <t>AIB (2021)</t>
  </si>
  <si>
    <t>WTT- UK &amp; OVERSEAS ELEC; WTT- OVERSEAS ELECTRICITY (T&amp;D); ELECTRICITY: SPAIN</t>
  </si>
  <si>
    <t>WTT- UK &amp; OVERSEAS ELEC; WTT- OVERSEAS ELECTRICITY (GENERATION); ELECTRICITY: SPAIN</t>
  </si>
  <si>
    <t>petrol_100p_mineral_petrol</t>
  </si>
  <si>
    <t>Petrol (100% Mineral Petrol)</t>
  </si>
  <si>
    <t>FUELS; LIQUID FUELS; PETROL (100% MINERAL PETROL)</t>
  </si>
  <si>
    <t>petrol_100p_mineral_petrol__wtt</t>
  </si>
  <si>
    <t>Petrol (100% Mineral Petrol) WTT</t>
  </si>
  <si>
    <t>WTT- FUELS; WTT- LIQUID FUELS; PETROL (100% MINERAL PETROL)</t>
  </si>
  <si>
    <t>2023-05-10, 17:16</t>
  </si>
  <si>
    <t>2023-05-10, 17:42</t>
  </si>
  <si>
    <t>2023-05-10, 17:17</t>
  </si>
  <si>
    <t>2023-07-18, 19:02</t>
  </si>
  <si>
    <t>r410a</t>
  </si>
  <si>
    <t>REFRIGERANT: R-410A</t>
  </si>
  <si>
    <t>2023-04-26, 17:34</t>
  </si>
  <si>
    <t>ELECTRICITY; GERMANY</t>
  </si>
  <si>
    <t>DE</t>
  </si>
  <si>
    <t>ELECTRICITY T&amp;D WTT; GERMANY</t>
  </si>
  <si>
    <t>ELECTRICITY; GERMANY; T&amp;D WTT Estimated</t>
  </si>
  <si>
    <t>The T&amp;D WTT factor was calculated using the ratio: ELECTRICITY; GERMANY, IEA to ELECTRICITY; TRANSMISSION AND DISTRIBUTION; GERMANY, IEA CO2e factor</t>
  </si>
  <si>
    <t>ELECTRICITY WTT; GERMANY</t>
  </si>
  <si>
    <t>ELECTRICITY; GERMANY; WTT Estimated</t>
  </si>
  <si>
    <t>The WTT factor was calculated using the ratio: ELECTRICITY; GERMANY, IEA to WTT- UK &amp; OVERSEAS ELEC; WTT- OVERSEAS ELECTRICITY (GENERATION); ELECTRICITY: GERMANY, Defra CO2e factor</t>
  </si>
  <si>
    <t>ELECTRICITY; TRANSMISSION AND DISTRIBUTION; GERMANY</t>
  </si>
  <si>
    <t>ELECTRICITY; GERMANY; T&amp;D Estimated</t>
  </si>
  <si>
    <t>The T&amp;D factor was calculated using the ratio: ELECTRICITY; GERMANY, IEA to ELECTRICITY; TRANSMISSION AND DISTRIBUTION; GERMANY, IEA CO2e factor</t>
  </si>
  <si>
    <t>2023-04-26, 17:35</t>
  </si>
  <si>
    <t>2023-04-26, 17:36</t>
  </si>
  <si>
    <t>petrol_avg_biofuel_blend</t>
  </si>
  <si>
    <t>Petrol (Average Biofuel Blend)</t>
  </si>
  <si>
    <t>FUELS; LIQUID FUELS; PETROL (AVERAGE BIOFUEL BLEND)</t>
  </si>
  <si>
    <t>petrol_avg_biofuel_blend__wtt</t>
  </si>
  <si>
    <t>Petrol (Average Biofuel Blend) WTT</t>
  </si>
  <si>
    <t>WTT- FUELS; LIQUID FUELS; PETROL (AVERAGE BIOFUEL BLEND)</t>
  </si>
  <si>
    <t>2023-04-26, 17:39</t>
  </si>
  <si>
    <t>2023-05-02, 21:57</t>
  </si>
  <si>
    <t>gas_oil</t>
  </si>
  <si>
    <t>Gas Oil</t>
  </si>
  <si>
    <t>FUELS; LIQUID FUELS; GAS OIL</t>
  </si>
  <si>
    <t>gas_oil__wtt</t>
  </si>
  <si>
    <t>Gas Oil WTT</t>
  </si>
  <si>
    <t>WTT- FUELS; LIQUID FUELS; GAS OIL</t>
  </si>
  <si>
    <t>2023-05-02, 22:08</t>
  </si>
  <si>
    <t>2023-05-02, 22:09</t>
  </si>
  <si>
    <t>2023-04-26, 17:41</t>
  </si>
  <si>
    <t>2023-04-27, 16:49</t>
  </si>
  <si>
    <t>r407c</t>
  </si>
  <si>
    <t>REFRIGERANT: R-407C</t>
  </si>
  <si>
    <t>heat_steam_district</t>
  </si>
  <si>
    <t>Heat and Steam District</t>
  </si>
  <si>
    <t>HEAT AND STEAM; HEAT AND STEAM; DISTRICT HEAT AND STEAM; 2020</t>
  </si>
  <si>
    <t>heat_steam_district__t+d__wtt</t>
  </si>
  <si>
    <t>Heat and Steam District T&amp;D WTT</t>
  </si>
  <si>
    <t>WTT- HEAT AND STEAM; WTT- HEAT AND STEAM; ONSITE HEAT AND STEAM; 2020</t>
  </si>
  <si>
    <t>heat_steam_district__wtt</t>
  </si>
  <si>
    <t>Heat and Steam District WTT</t>
  </si>
  <si>
    <t>WTT- HEAT AND STEAM; WTT- DISTRICT HEAT &amp; STEAM DISTRIBUTION; 5% LOSS; 2020</t>
  </si>
  <si>
    <t>heat_steam_district__t+d</t>
  </si>
  <si>
    <t>Heat and Steam District T&amp;D</t>
  </si>
  <si>
    <t>TRANSMISSION AND DISTRIBUTION; DISTRIBUTION - DISTRICT HEAT &amp; STEAM; 5% LOSS</t>
  </si>
  <si>
    <t>WTT- UK &amp; OVERSEAS ELEC; WTT- OVERSEAS ELECTRICITY (T&amp;D); ELECTRICITY: GERMANY</t>
  </si>
  <si>
    <t>WTT- UK &amp; OVERSEAS ELEC; WTT- OVERSEAS ELECTRICITY (GENERATION); ELECTRICITY: GERMANY</t>
  </si>
  <si>
    <t>2023-07-19, 19:31</t>
  </si>
  <si>
    <t>2023-02-27, 18:18</t>
  </si>
  <si>
    <t>HEAT AND STEAM; HEAT AND STEAM; DISTRICT HEAT AND STEAM</t>
  </si>
  <si>
    <t>WTT- HEAT AND STEAM; WTT- HEAT AND STEAM; ONSITE HEAT AND STEAM</t>
  </si>
  <si>
    <t>WTT- HEAT AND STEAM; WTT- DISTRICT HEAT &amp; STEAM DISTRIBUTION; 5% LOSS</t>
  </si>
  <si>
    <t>2023-03-16, 21:16</t>
  </si>
  <si>
    <t>ELECTRICITY; FRANCE</t>
  </si>
  <si>
    <t>FR</t>
  </si>
  <si>
    <t>ELECTRICITY T&amp;D WTT; FRANCE</t>
  </si>
  <si>
    <t>ELECTRICITY; FRANCE; T&amp;D WTT Estimated</t>
  </si>
  <si>
    <t>The T&amp;D WTT factor was calculated using the ratio: ELECTRICITY; FRANCE, IEA to ELECTRICITY; TRANSMISSION AND DISTRIBUTION; FRANCE, IEA CO2e factor</t>
  </si>
  <si>
    <t>ELECTRICITY WTT; FRANCE</t>
  </si>
  <si>
    <t>ELECTRICITY; FRANCE; WTT Estimated</t>
  </si>
  <si>
    <t>The WTT factor was calculated using the ratio: ELECTRICITY; FRANCE, IEA to WTT- UK &amp; OVERSEAS ELEC; WTT- OVERSEAS ELECTRICITY (GENERATION); ELECTRICITY: FRANCE, Defra CO2e factor</t>
  </si>
  <si>
    <t>ELECTRICITY; TRANSMISSION AND DISTRIBUTION; FRANCE</t>
  </si>
  <si>
    <t>ELECTRICITY; FRANCE; T&amp;D Estimated</t>
  </si>
  <si>
    <t>The T&amp;D factor was calculated using the ratio: ELECTRICITY; FRANCE, IEA to ELECTRICITY; TRANSMISSION AND DISTRIBUTION; FRANCE, IEA CO2e factor</t>
  </si>
  <si>
    <t>2023-04-18, 21:48</t>
  </si>
  <si>
    <t>2023-04-18, 21:47</t>
  </si>
  <si>
    <t>aviation_spirit</t>
  </si>
  <si>
    <t>Aviation Spirit</t>
  </si>
  <si>
    <t>FUELS; LIQUID FUELS; AVIATION SPIRIT</t>
  </si>
  <si>
    <t>aviation_spirit__wtt</t>
  </si>
  <si>
    <t>Aviation Spirit WTT</t>
  </si>
  <si>
    <t>WTT- FUELS; LIQUID FUELS; AVIATION SPIRIT</t>
  </si>
  <si>
    <t>hfc-23</t>
  </si>
  <si>
    <t>REFRIGERANT: R-23</t>
  </si>
  <si>
    <t>2023-05-09, 19:25</t>
  </si>
  <si>
    <t>lpg</t>
  </si>
  <si>
    <t>FUELS; GASEOUS FUELS; LPG</t>
  </si>
  <si>
    <t>lpg__wtt</t>
  </si>
  <si>
    <t>LPG WTT</t>
  </si>
  <si>
    <t>WTT- FUELS; GASEOUS FUELS; LPG</t>
  </si>
  <si>
    <t>WTT- UK &amp; OVERSEAS ELEC; WTT- OVERSEAS ELECTRICITY (T&amp;D); ELECTRICITY: FRANCE</t>
  </si>
  <si>
    <t>WTT- UK &amp; OVERSEAS ELEC; WTT- OVERSEAS ELECTRICITY (GENERATION); ELECTRICITY: FRANCE</t>
  </si>
  <si>
    <t>2023-05-09, 16:29</t>
  </si>
  <si>
    <t>ELECTRICITY; SOUTH AFRICA</t>
  </si>
  <si>
    <t>ZA</t>
  </si>
  <si>
    <t>ELECTRICITY T&amp;D WTT; SOUTH AFRICA</t>
  </si>
  <si>
    <t>ELECTRICITY WTT; SOUTH AFRICA</t>
  </si>
  <si>
    <t>ELECTRICITY; TRANSMISSION AND DISTRIBUTION; SOUTH AFRICA</t>
  </si>
  <si>
    <t>2023-05-09, 17:15</t>
  </si>
  <si>
    <t>TONNES</t>
  </si>
  <si>
    <t>2023-08-03, 20:20</t>
  </si>
  <si>
    <t>WTT- UK &amp; OVERSEAS ELEC; WTT- OVERSEAS ELECTRICITY (T&amp;D); ELECTRICITY: SOUTH AFRICA</t>
  </si>
  <si>
    <t>WTT- UK &amp; OVERSEAS ELEC; WTT- OVERSEAS ELECTRICITY (GENERATION); ELECTRICITY: SOUTH AFRICA</t>
  </si>
  <si>
    <t>2023-07-18, 19:37</t>
  </si>
  <si>
    <t>WTT- FUELS; WTT- GASEOUS FUELS; LPG</t>
  </si>
  <si>
    <t>2023-03-21, 20:57</t>
  </si>
  <si>
    <t>ELECTRICITY; UNITED STATES - RFCW</t>
  </si>
  <si>
    <t>US</t>
  </si>
  <si>
    <t>RFCW</t>
  </si>
  <si>
    <t>USEPA</t>
  </si>
  <si>
    <t>USEPA (2022)</t>
  </si>
  <si>
    <t>kWh</t>
  </si>
  <si>
    <t>Supplier</t>
  </si>
  <si>
    <t>ELECTRICITY T&amp;D WTT; UNITED STATES - RFCW</t>
  </si>
  <si>
    <t>ELECTRICITY; UNITED STATES - RFCW; T&amp;D WTT Estimated</t>
  </si>
  <si>
    <t>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  to estimate the T&amp;D WTT factor.</t>
  </si>
  <si>
    <t>ELECTRICITY WTT; UNITED STATES - RFCW</t>
  </si>
  <si>
    <t>ELECTRICITY; UNITED STATES - RFCW; WTT Estimated</t>
  </si>
  <si>
    <t>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RFCW, Green-eto estimate the WTT factor.</t>
  </si>
  <si>
    <t>ELECTRICITY; TRANSMISSION AND DISTRIBUTION; UNITED STATES - RFCW</t>
  </si>
  <si>
    <t>ELECTRICITY; UNITED STATES - RFCW; T&amp;D Estimated</t>
  </si>
  <si>
    <t>The median T&amp;D to generation factor ratio of all countries within the region Northern America was taken to be ELECTRICITY; UNITED STATES - SRSO, USEPA to ELECTRICITY; TRANSMISSION AND DISTRIBUTION; UNITED STATES - SRSO, USEPA: 0.051. This was applied to the base factor ELECTRICITY; UNITED STATES - RFCW, Green-eto estimate the T&amp;D factor.</t>
  </si>
  <si>
    <t>2023-03-21, 21:31</t>
  </si>
  <si>
    <t>2023-03-21, 20:08</t>
  </si>
  <si>
    <t>NATURAL GAS, NATURAL GAS</t>
  </si>
  <si>
    <t>SCF</t>
  </si>
  <si>
    <t>CUBIC METRES</t>
  </si>
  <si>
    <t>2023-05-05, 19:54</t>
  </si>
  <si>
    <t>PETROLEUM PRODUCTS, DISTILLATE FUEL OIL NO. 2</t>
  </si>
  <si>
    <t>GALLON (US LIQUID)</t>
  </si>
  <si>
    <t>USEPA Emission Factors Hub (Last Modified: March 2020)</t>
  </si>
  <si>
    <t>2023-06-21, 17:39</t>
  </si>
  <si>
    <t>PETROLEUM PRODUCTS, PROPANE</t>
  </si>
  <si>
    <t>USEPA (2021)</t>
  </si>
  <si>
    <t>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ELECTRICITY; TRANSMISSION AND DISTRIBUTION; UNITED STATES - RFCW, USEPA to estimate the T&amp;D WTT factor.</t>
  </si>
  <si>
    <t>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RFCW, USEPAto estimate the WTT factor.</t>
  </si>
  <si>
    <t>2023-08-23, 15:41</t>
  </si>
  <si>
    <t>2023-07-18, 21:22</t>
  </si>
  <si>
    <t>WTT- FUELS; WTT- GASEOUS FUELS; PROPANE</t>
  </si>
  <si>
    <t>2023-04-21, 20:09</t>
  </si>
  <si>
    <t>2023-03-21, 22:17</t>
  </si>
  <si>
    <t>MMBTU</t>
  </si>
  <si>
    <t>2023-04-28, 22:29</t>
  </si>
  <si>
    <t>2023-05-01, 20:16</t>
  </si>
  <si>
    <t>2023-06-22, 20:46</t>
  </si>
  <si>
    <t>2023-06-22, 20:47</t>
  </si>
  <si>
    <t>r22</t>
  </si>
  <si>
    <t>REFRIGERANT: R-22</t>
  </si>
  <si>
    <t>2023-07-18, 23:28</t>
  </si>
  <si>
    <t>2023-08-03, 20:28</t>
  </si>
  <si>
    <t>co2</t>
  </si>
  <si>
    <t>REFRIGERANT &amp; OTHER; KYOTO PROTOCOL - STANDARD; CARBON DIOXIDE</t>
  </si>
  <si>
    <t>2023-04-28, 22:35</t>
  </si>
  <si>
    <t>2023-02-27, 14:14</t>
  </si>
  <si>
    <t>2023-07-18, 23:20</t>
  </si>
  <si>
    <t>2023-08-03, 20:27</t>
  </si>
  <si>
    <t>2023-07-19, 19:34</t>
  </si>
  <si>
    <t>2023-08-03, 20:30</t>
  </si>
  <si>
    <t>2023-07-19, 19:35</t>
  </si>
  <si>
    <t>2023-07-18, 21:52</t>
  </si>
  <si>
    <t>ELECTRICITY; COSTA RICA</t>
  </si>
  <si>
    <t>CR</t>
  </si>
  <si>
    <t>ELECTRICITY T&amp;D WTT; COSTA RICA</t>
  </si>
  <si>
    <t>ELECTRICITY WTT; COSTA RICA</t>
  </si>
  <si>
    <t>ELECTRICITY; TRANSMISSION AND DISTRIBUTION; COSTA RICA</t>
  </si>
  <si>
    <t>2023-04-20, 21:57</t>
  </si>
  <si>
    <t>2023-05-03, 21:21</t>
  </si>
  <si>
    <t>PETROLEUM PRODUCTS, LIQUEFIED PETROLEUM GASES (LPG)</t>
  </si>
  <si>
    <t>ELECTRICITY; COSTA RICA; T&amp;D WTT Estimated</t>
  </si>
  <si>
    <t>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T&amp;D factor ELECTRICITY; TRANSMISSION AND DISTRIBUTION; COSTA RICA, IEA to estimate the T&amp;D WTT factor.</t>
  </si>
  <si>
    <t>ELECTRICITY; COSTA RICA; WTT Estimated</t>
  </si>
  <si>
    <t>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base factor ELECTRICITY; COSTA RICA, IEAto estimate the WTT factor.</t>
  </si>
  <si>
    <t>2023-07-18, 22:03</t>
  </si>
  <si>
    <t>2023-05-02, 19:24</t>
  </si>
  <si>
    <t>ELECTRICITY; UNITED STATES - AZNM</t>
  </si>
  <si>
    <t>AZNM</t>
  </si>
  <si>
    <t>Green-e</t>
  </si>
  <si>
    <t>Green-e (2022)</t>
  </si>
  <si>
    <t>ELECTRICITY T&amp;D WTT; UNITED STATES - AZNM</t>
  </si>
  <si>
    <t>ELECTRICITY; UNITED STATES - AZNM; T&amp;D WTT Estimated</t>
  </si>
  <si>
    <t>ELECTRICITY WTT; UNITED STATES - AZNM</t>
  </si>
  <si>
    <t>ELECTRICITY; UNITED STATES - AZNM; WTT Estimated</t>
  </si>
  <si>
    <t>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AZNM, Green-eto estimate the WTT factor.</t>
  </si>
  <si>
    <t>ELECTRICITY; TRANSMISSION AND DISTRIBUTION; UNITED STATES - AZNM</t>
  </si>
  <si>
    <t>ELECTRICITY; UNITED STATES - AZNM; T&amp;D Estimated</t>
  </si>
  <si>
    <t>The median T&amp;D to generation factor ratio of all countries within the region Northern America was taken to be ELECTRICITY; UNITED STATES - SRSO, USEPA to ELECTRICITY; TRANSMISSION AND DISTRIBUTION; UNITED STATES - SRSO, USEPA: 0.051. This was applied to the base factor ELECTRICITY; UNITED STATES - AZNM, Green-eto estimate the T&amp;D factor.</t>
  </si>
  <si>
    <t>2023-05-02, 19:00</t>
  </si>
  <si>
    <t>2023-04-25, 22:36</t>
  </si>
  <si>
    <t>PETROLEUM PRODUCTS, MOTOR GASOLINE</t>
  </si>
  <si>
    <t>2023-04-25, 22:38</t>
  </si>
  <si>
    <t>2023-05-02, 20:13</t>
  </si>
  <si>
    <t>r404a</t>
  </si>
  <si>
    <t>REFRIGERANT: R-404A</t>
  </si>
  <si>
    <t>2023-05-03, 16:22</t>
  </si>
  <si>
    <t>2023-04-28, 22:14</t>
  </si>
  <si>
    <t>2023-08-03, 20:42</t>
  </si>
  <si>
    <t>Green-e (2021)</t>
  </si>
  <si>
    <t>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ELECTRICITY; TRANSMISSION AND DISTRIBUTION; UNITED STATES - AZNM, USEPA to estimate the T&amp;D WTT factor.</t>
  </si>
  <si>
    <t>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AZNM, USEPAto estimate the WTT factor.</t>
  </si>
  <si>
    <t>The WTT factor was calculated using the ratio of the CO2e factors: ELECTRICITY; UNITED STATES - AZNM, USEPA to ELECTRICITY; UNITED STATES - AZNM; WTT Estimated, Anthesis 0.264 and applying that to the grid gen factor ELECTRICITY; UNITED STATES - AZNM Green-e 0.433</t>
  </si>
  <si>
    <t>The T&amp;D factor was calculated using the ratio of the CO2e factors: ELECTRICITY; UNITED STATES - AZNM, USEPA to ELECTRICITY; TRANSMISSION AND DISTRIBUTION; UNITED STATES - AZNM, USEPA 0.054 and applying that to the grid gen factor ELECTRICITY; UNITED STATES - AZNM Green-e 0.433</t>
  </si>
  <si>
    <t>2023-08-03, 20:43</t>
  </si>
  <si>
    <t>2023-08-03, 20:39</t>
  </si>
  <si>
    <t>2023-08-03, 20:38</t>
  </si>
  <si>
    <t>WTT- FUELS; WTT- LIQUID FUELS; DIESEL (AVERAGE BIOFUEL BLEND)</t>
  </si>
  <si>
    <t>2023-07-19, 19:28</t>
  </si>
  <si>
    <t>2023-07-18, 22:34</t>
  </si>
  <si>
    <t>2023-05-04, 18:36</t>
  </si>
  <si>
    <t>2023-05-04, 18:37</t>
  </si>
  <si>
    <t>2023-04-27, 18:46</t>
  </si>
  <si>
    <t>ELECTRICITY; UNITED STATES - RMPA</t>
  </si>
  <si>
    <t>RMPA</t>
  </si>
  <si>
    <t>ELECTRICITY T&amp;D WTT; UNITED STATES - RMPA</t>
  </si>
  <si>
    <t>ELECTRICITY; UNITED STATES - RMPA; T&amp;D WTT Estimated</t>
  </si>
  <si>
    <t>ELECTRICITY WTT; UNITED STATES - RMPA</t>
  </si>
  <si>
    <t>ELECTRICITY; UNITED STATES - RMPA; WTT Estimated</t>
  </si>
  <si>
    <t>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RMPA, Green-eto estimate the WTT factor.</t>
  </si>
  <si>
    <t>ELECTRICITY; TRANSMISSION AND DISTRIBUTION; UNITED STATES - RMPA</t>
  </si>
  <si>
    <t>ELECTRICITY; UNITED STATES - RMPA; T&amp;D Estimated</t>
  </si>
  <si>
    <t>The median T&amp;D to generation factor ratio of all countries within the region Northern America was taken to be ELECTRICITY; UNITED STATES - SRSO, USEPA to ELECTRICITY; TRANSMISSION AND DISTRIBUTION; UNITED STATES - SRSO, USEPA: 0.051. This was applied to the base factor ELECTRICITY; UNITED STATES - RMPA, Green-eto estimate the T&amp;D factor.</t>
  </si>
  <si>
    <t>2023-04-27, 18:53</t>
  </si>
  <si>
    <t>2023-04-27, 19:15</t>
  </si>
  <si>
    <t>WTT- FUELS; LIQUID FUELS; DIESEL (100% MINERAL DIESEL)</t>
  </si>
  <si>
    <t>hfc-32</t>
  </si>
  <si>
    <t>REFRIGERANT: R-32</t>
  </si>
  <si>
    <t>2023-07-18, 22:47</t>
  </si>
  <si>
    <t>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ELECTRICITY; TRANSMISSION AND DISTRIBUTION; UNITED STATES - RMPA, USEPA to estimate the T&amp;D WTT factor.</t>
  </si>
  <si>
    <t>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RMPA, USEPAto estimate the WTT factor.</t>
  </si>
  <si>
    <t>2023-07-18, 22:49</t>
  </si>
  <si>
    <t>2023-07-19, 19:36</t>
  </si>
  <si>
    <t>2023-03-21, 20:21</t>
  </si>
  <si>
    <t>2023-03-21, 20:14</t>
  </si>
  <si>
    <t>2023-05-05, 19:58</t>
  </si>
  <si>
    <t>r507</t>
  </si>
  <si>
    <t>REFRIGERANT: R-507</t>
  </si>
  <si>
    <t>2023-05-05, 19:59</t>
  </si>
  <si>
    <t>2023-05-03, 20:26</t>
  </si>
  <si>
    <t>ELECTRICITY; UNITED STATES - RFCE</t>
  </si>
  <si>
    <t>RFCE</t>
  </si>
  <si>
    <t>ELECTRICITY T&amp;D WTT; UNITED STATES - RFCE</t>
  </si>
  <si>
    <t>ELECTRICITY; UNITED STATES - RFCE; T&amp;D WTT Estimated</t>
  </si>
  <si>
    <t>ELECTRICITY WTT; UNITED STATES - RFCE</t>
  </si>
  <si>
    <t>ELECTRICITY; UNITED STATES - RFCE; WTT Estimated</t>
  </si>
  <si>
    <t>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RFCE, Green-eto estimate the WTT factor.</t>
  </si>
  <si>
    <t>ELECTRICITY; TRANSMISSION AND DISTRIBUTION; UNITED STATES - RFCE</t>
  </si>
  <si>
    <t>ELECTRICITY; UNITED STATES - RFCE; T&amp;D Estimated</t>
  </si>
  <si>
    <t>The median T&amp;D to generation factor ratio of all countries within the region Northern America was taken to be ELECTRICITY; UNITED STATES - SRSO, USEPA to ELECTRICITY; TRANSMISSION AND DISTRIBUTION; UNITED STATES - SRSO, USEPA: 0.051. This was applied to the base factor ELECTRICITY; UNITED STATES - RFCE, Green-eto estimate the T&amp;D factor.</t>
  </si>
  <si>
    <t>2023-05-03, 20:27</t>
  </si>
  <si>
    <t>2023-04-26, 16:38</t>
  </si>
  <si>
    <t>WTT- FUELS; LIQUID FUELS; PETROL (100% MINERAL PETROL)</t>
  </si>
  <si>
    <t>2023-04-26, 16:39</t>
  </si>
  <si>
    <t>hfc-41</t>
  </si>
  <si>
    <t>REFRIGERANT: R-41</t>
  </si>
  <si>
    <t>2023-05-09, 17:35</t>
  </si>
  <si>
    <t>2023-04-28, 23:28</t>
  </si>
  <si>
    <t>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ELECTRICITY; TRANSMISSION AND DISTRIBUTION; UNITED STATES - RFCE, USEPA to estimate the T&amp;D WTT factor.</t>
  </si>
  <si>
    <t>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RFCE, USEPAto estimate the WTT factor.</t>
  </si>
  <si>
    <t>2023-07-19, 19:56</t>
  </si>
  <si>
    <t>2023-03-21, 23:01</t>
  </si>
  <si>
    <t>ELECTRICITY; UNITED STATES - SRMW</t>
  </si>
  <si>
    <t>SRMW</t>
  </si>
  <si>
    <t>ELECTRICITY T&amp;D WTT; UNITED STATES - SRMW</t>
  </si>
  <si>
    <t>ELECTRICITY; UNITED STATES - SRMW; T&amp;D WTT Estimated</t>
  </si>
  <si>
    <t>ELECTRICITY WTT; UNITED STATES - SRMW</t>
  </si>
  <si>
    <t>ELECTRICITY; UNITED STATES - SRMW; WTT Estimated</t>
  </si>
  <si>
    <t>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SRMW, Green-eto estimate the WTT factor.</t>
  </si>
  <si>
    <t>ELECTRICITY; TRANSMISSION AND DISTRIBUTION; UNITED STATES - SRMW</t>
  </si>
  <si>
    <t>ELECTRICITY; UNITED STATES - SRMW; T&amp;D Estimated</t>
  </si>
  <si>
    <t>The median T&amp;D to generation factor ratio of all countries within the region Northern America was taken to be ELECTRICITY; UNITED STATES - SRSO, USEPA to ELECTRICITY; TRANSMISSION AND DISTRIBUTION; UNITED STATES - SRSO, USEPA: 0.051. This was applied to the base factor ELECTRICITY; UNITED STATES - SRMW, Green-eto estimate the T&amp;D factor.</t>
  </si>
  <si>
    <t>2023-03-21, 22:29</t>
  </si>
  <si>
    <t>2023-05-05, 19:43</t>
  </si>
  <si>
    <t>2023-04-28, 18:39</t>
  </si>
  <si>
    <t>2023-04-28, 18:40</t>
  </si>
  <si>
    <t>2023-04-28, 18:41</t>
  </si>
  <si>
    <t>2023-05-03, 20:31</t>
  </si>
  <si>
    <t>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ELECTRICITY; TRANSMISSION AND DISTRIBUTION; UNITED STATES - SRMW, USEPA to estimate the T&amp;D WTT factor.</t>
  </si>
  <si>
    <t>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SRMW, USEPAto estimate the WTT factor.</t>
  </si>
  <si>
    <t>2023-07-14, 20:43</t>
  </si>
  <si>
    <t>2023-07-19, 20:03</t>
  </si>
  <si>
    <t>2023-08-03, 20:50</t>
  </si>
  <si>
    <t>2023-07-19, 20:04</t>
  </si>
  <si>
    <t>2023-08-03, 20:49</t>
  </si>
  <si>
    <t>2023-07-18, 23:00</t>
  </si>
  <si>
    <t>2023-08-04, 23:44</t>
  </si>
  <si>
    <t>2023-04-21, 22:03</t>
  </si>
  <si>
    <t>2023-05-03, 20:07</t>
  </si>
  <si>
    <t>2023-05-03, 21:17</t>
  </si>
  <si>
    <t>2023-05-04, 18:54</t>
  </si>
  <si>
    <t>2023-07-18, 23:03</t>
  </si>
  <si>
    <t>2023-03-21, 18:19</t>
  </si>
  <si>
    <t>2023-03-21, 17:26</t>
  </si>
  <si>
    <t>2023-04-28, 23:30</t>
  </si>
  <si>
    <t>2023-04-20, 23:04</t>
  </si>
  <si>
    <t>ELECTRICITY; MEXICO</t>
  </si>
  <si>
    <t>MX</t>
  </si>
  <si>
    <t>ELECTRICITY T&amp;D WTT; MEXICO</t>
  </si>
  <si>
    <t>ELECTRICITY WTT; MEXICO</t>
  </si>
  <si>
    <t>ELECTRICITY; TRANSMISSION AND DISTRIBUTION; MEXICO</t>
  </si>
  <si>
    <t>2023-04-20, 23:05</t>
  </si>
  <si>
    <t>2023-04-20, 22:32</t>
  </si>
  <si>
    <t>WTT- UK &amp; OVERSEAS ELEC; WTT- OVERSEAS ELECTRICITY (T&amp;D); ELECTRICITY: MEXICO</t>
  </si>
  <si>
    <t>WTT- UK &amp; OVERSEAS ELEC; WTT- OVERSEAS ELECTRICITY (GENERATION); ELECTRICITY: MEXICO</t>
  </si>
  <si>
    <t>2023-05-03, 19:29</t>
  </si>
  <si>
    <t>2023-05-02, 18:15</t>
  </si>
  <si>
    <t>2023-04-28, 20:11</t>
  </si>
  <si>
    <t>2023-05-02, 20:14</t>
  </si>
  <si>
    <t>2023-08-23, 16:54</t>
  </si>
  <si>
    <t>2023-04-28, 20:10</t>
  </si>
  <si>
    <t>2023-08-23, 15:45</t>
  </si>
  <si>
    <t>2023-07-19, 20:05</t>
  </si>
  <si>
    <t>2023-07-18, 23:16</t>
  </si>
  <si>
    <t>2023-04-21, 22:48</t>
  </si>
  <si>
    <t>2023-05-03, 20:47</t>
  </si>
  <si>
    <t>2023-05-04, 18:48</t>
  </si>
  <si>
    <t>2023-08-03, 19:29</t>
  </si>
  <si>
    <t>2023-08-08, 19:56</t>
  </si>
  <si>
    <t>1: Purchased Goods and Services</t>
  </si>
  <si>
    <t>2023-08-03, 19:30</t>
  </si>
  <si>
    <t>2: Capital Goods</t>
  </si>
  <si>
    <t>2023-08-03, 19:31</t>
  </si>
  <si>
    <t>4: Upstream Transportation and Distribution</t>
  </si>
  <si>
    <t>2023-08-08, 19:57</t>
  </si>
  <si>
    <t>5: Waste Generated in Operations</t>
  </si>
  <si>
    <t>2023-08-03, 19:32</t>
  </si>
  <si>
    <t>11: Use of Sold Products</t>
  </si>
  <si>
    <t>12: End-of-Life Treatment of Sold Products</t>
  </si>
  <si>
    <t>2023-08-08, 19:58</t>
  </si>
  <si>
    <t>2023-08-03, 20:01</t>
  </si>
  <si>
    <t>2023-08-04, 16:27</t>
  </si>
  <si>
    <t>2023-08-08, 19:59</t>
  </si>
  <si>
    <t>2023-08-04, 16:28</t>
  </si>
  <si>
    <t>2023-08-04, 16:29</t>
  </si>
  <si>
    <t>2023-04-20, 18:44</t>
  </si>
  <si>
    <t>ELECTRICITY; ARGENTINA</t>
  </si>
  <si>
    <t>AR</t>
  </si>
  <si>
    <t>ELECTRICITY T&amp;D WTT; ARGENTINA</t>
  </si>
  <si>
    <t>ELECTRICITY WTT; ARGENTINA</t>
  </si>
  <si>
    <t>ELECTRICITY; TRANSMISSION AND DISTRIBUTION; ARGENTINA</t>
  </si>
  <si>
    <t>2023-04-20, 19:01</t>
  </si>
  <si>
    <t>2023-04-19, 23:04</t>
  </si>
  <si>
    <t>2023-04-19, 23:05</t>
  </si>
  <si>
    <t>2023-04-19, 23:06</t>
  </si>
  <si>
    <t>2023-04-19, 23:07</t>
  </si>
  <si>
    <t>2023-04-19, 23:08</t>
  </si>
  <si>
    <t>2023-04-20, 19:20</t>
  </si>
  <si>
    <t>2023-02-24, 17:18</t>
  </si>
  <si>
    <t>ELECTRICITY; ARGENTINA; T&amp;D WTT Estimated</t>
  </si>
  <si>
    <t>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T&amp;D factor ELECTRICITY; TRANSMISSION AND DISTRIBUTION; ARGENTINA, IEA to estimate the T&amp;D WTT factor.</t>
  </si>
  <si>
    <t>ELECTRICITY; ARGENTINA; WTT Estimated</t>
  </si>
  <si>
    <t>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base factor ELECTRICITY; ARGENTINA, IEAto estimate the WTT factor.</t>
  </si>
  <si>
    <t>ELECTRICITY; COLOMBIA</t>
  </si>
  <si>
    <t>ELECTRICITY T&amp;D WTT; COLOMBIA</t>
  </si>
  <si>
    <t>ELECTRICITY WTT; COLOMBIA</t>
  </si>
  <si>
    <t>ELECTRICITY; TRANSMISSION AND DISTRIBUTION; COLOMBIA</t>
  </si>
  <si>
    <t>2023-04-20, 19:31</t>
  </si>
  <si>
    <t>2023-04-20, 19:30</t>
  </si>
  <si>
    <t>ELECTRICITY; COLOMBIA; T&amp;D WTT Estimated</t>
  </si>
  <si>
    <t>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T&amp;D factor ELECTRICITY; TRANSMISSION AND DISTRIBUTION; COLOMBIA, IEA to estimate the T&amp;D WTT factor.</t>
  </si>
  <si>
    <t>ELECTRICITY; COLOMBIA; WTT Estimated</t>
  </si>
  <si>
    <t>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base factor ELECTRICITY; COLOMBIA, IEAto estimate the WTT factor.</t>
  </si>
  <si>
    <t>2023-04-20, 19:34</t>
  </si>
  <si>
    <t>2023-04-20, 19:35</t>
  </si>
  <si>
    <t>2023-04-20, 21:41</t>
  </si>
  <si>
    <t>ELECTRICITY; GUATEMALA</t>
  </si>
  <si>
    <t>GT</t>
  </si>
  <si>
    <t>ELECTRICITY T&amp;D WTT; GUATEMALA</t>
  </si>
  <si>
    <t>ELECTRICITY WTT; GUATEMALA</t>
  </si>
  <si>
    <t>ELECTRICITY; TRANSMISSION AND DISTRIBUTION; GUATEMALA</t>
  </si>
  <si>
    <t>2023-04-20, 21:39</t>
  </si>
  <si>
    <t>2023-08-03, 20:18</t>
  </si>
  <si>
    <t>ELECTRICITY; GUATEMALA; T&amp;D WTT Estimated</t>
  </si>
  <si>
    <t>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T&amp;D factor ELECTRICITY; TRANSMISSION AND DISTRIBUTION; GUATEMALA, IEA to estimate the T&amp;D WTT factor.</t>
  </si>
  <si>
    <t>ELECTRICITY; GUATEMALA; WTT Estimated</t>
  </si>
  <si>
    <t>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base factor ELECTRICITY; GUATEMALA, IEAto estimate the WTT factor.</t>
  </si>
  <si>
    <t>ELECTRICITY; PERU</t>
  </si>
  <si>
    <t>PE</t>
  </si>
  <si>
    <t>ELECTRICITY T&amp;D WTT; PERU</t>
  </si>
  <si>
    <t>ELECTRICITY WTT; PERU</t>
  </si>
  <si>
    <t>ELECTRICITY; TRANSMISSION AND DISTRIBUTION; PERU</t>
  </si>
  <si>
    <t>2023-04-20, 20:23</t>
  </si>
  <si>
    <t>2023-04-20, 20:24</t>
  </si>
  <si>
    <t>ELECTRICITY; PERU; T&amp;D WTT Estimated</t>
  </si>
  <si>
    <t>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T&amp;D factor ELECTRICITY; TRANSMISSION AND DISTRIBUTION; PERU, IEA to estimate the T&amp;D WTT factor.</t>
  </si>
  <si>
    <t>ELECTRICITY; PERU; WTT Estimated</t>
  </si>
  <si>
    <t>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base factor ELECTRICITY; PERU, IEAto estimate the WTT factor.</t>
  </si>
  <si>
    <t>2023-04-20, 21:02</t>
  </si>
  <si>
    <t>ELECTRICITY; CHILE</t>
  </si>
  <si>
    <t>CL</t>
  </si>
  <si>
    <t>ELECTRICITY T&amp;D WTT; CHILE</t>
  </si>
  <si>
    <t>ELECTRICITY WTT; CHILE</t>
  </si>
  <si>
    <t>ELECTRICITY; TRANSMISSION AND DISTRIBUTION; CHILE</t>
  </si>
  <si>
    <t>2023-04-20, 20:28</t>
  </si>
  <si>
    <t>ELECTRICITY; CHILE; T&amp;D WTT Estimated</t>
  </si>
  <si>
    <t>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T&amp;D factor ELECTRICITY; TRANSMISSION AND DISTRIBUTION; CHILE, IEA to estimate the T&amp;D WTT factor.</t>
  </si>
  <si>
    <t>ELECTRICITY; CHILE; WTT Estimated</t>
  </si>
  <si>
    <t>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base factor ELECTRICITY; CHILE, IEAto estimate the WTT factor.</t>
  </si>
  <si>
    <t>2023-04-20, 19:15</t>
  </si>
  <si>
    <t>ELECTRICITY; BRAZIL</t>
  </si>
  <si>
    <t>BR</t>
  </si>
  <si>
    <t>ELECTRICITY T&amp;D WTT; BRAZIL</t>
  </si>
  <si>
    <t>ELECTRICITY WTT; BRAZIL</t>
  </si>
  <si>
    <t>ELECTRICITY; TRANSMISSION AND DISTRIBUTION; BRAZIL</t>
  </si>
  <si>
    <t>2023-04-20, 19:10</t>
  </si>
  <si>
    <t>2023-04-20, 19:09</t>
  </si>
  <si>
    <t>2023-04-20, 19:18</t>
  </si>
  <si>
    <t>WTT- UK &amp; OVERSEAS ELEC; WTT- OVERSEAS ELECTRICITY (T&amp;D); ELECTRICITY: BRAZIL</t>
  </si>
  <si>
    <t>WTT- UK &amp; OVERSEAS ELEC; WTT- OVERSEAS ELECTRICITY (GENERATION); ELECTRICITY: BRAZIL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</si>
</sst>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dd/mm/yyyy"/>
  </numFmts>
  <fonts count="7" x14ac:knownFonts="1">
    <font>
      <sz val="11"/>
      <color theme="1"/>
      <name val="Calibri"/>
      <family val="2"/>
      <scheme val="minor"/>
    </font>
    <font>
      <b/>
      <sz val="11"/>
      <name val="Calibri"/>
      <family val="2"/>
    </font>
    <font>
      <sz val="11"/>
      <color rgb="FF9C0006"/>
      <name val="Calibri"/>
      <family val="2"/>
      <scheme val="minor"/>
    </font>
    <font>
      <b/>
      <sz val="11"/>
      <color theme="0"/>
      <name val="Calibri"/>
      <family val="2"/>
      <scheme val="minor"/>
    </font>
    <font>
      <b/>
      <sz val="11"/>
      <color rgb="FF9C0006"/>
      <name val="Calibri"/>
      <family val="2"/>
      <scheme val="minor"/>
    </font>
    <font>
      <sz val="8"/>
      <name val="Calibri"/>
      <family val="2"/>
      <scheme val="minor"/>
    </font>
    <font>
      <sz val="11"/>
      <color theme="1"/>
      <name val="Calibri"/>
      <family val="2"/>
      <scheme val="minor"/>
    </font>
  </fonts>
  <fills count="5">
    <fill>
      <patternFill patternType="none"/>
    </fill>
    <fill>
      <patternFill patternType="gray125"/>
    </fill>
    <fill>
      <patternFill patternType="solid">
        <fgColor rgb="FFFFC7CE"/>
      </patternFill>
    </fill>
    <fill>
      <patternFill patternType="solid">
        <fgColor rgb="FFFFFF00"/>
        <bgColor indexed="64"/>
      </patternFill>
    </fill>
    <fill>
      <patternFill patternType="solid">
        <fgColor theme="9" tint="-0.249977111117893"/>
        <bgColor indexed="64"/>
      </patternFill>
    </fill>
  </fills>
  <borders count="1">
    <border>
      <left/>
      <right/>
      <top/>
      <bottom/>
      <diagonal/>
    </border>
  </borders>
  <cellStyleXfs count="3">
    <xf numFmtId="0" fontId="0" fillId="0" borderId="0"/>
    <xf numFmtId="0" fontId="2" fillId="2" borderId="0" applyNumberFormat="0" applyBorder="0" applyAlignment="0" applyProtection="0"/>
    <xf numFmtId="9" fontId="6" fillId="0" borderId="0" applyFont="0" applyFill="0" applyBorder="0" applyAlignment="0" applyProtection="0"/>
  </cellStyleXfs>
  <cellXfs count="18">
    <xf numFmtId="0" fontId="0" fillId="0" borderId="0" xfId="0"/>
    <xf numFmtId="0" fontId="1" fillId="0" borderId="0" xfId="0" applyFont="1"/>
    <xf numFmtId="164" fontId="0" fillId="0" borderId="0" xfId="0" applyNumberFormat="1"/>
    <xf numFmtId="14" fontId="0" fillId="0" borderId="0" xfId="0" applyNumberFormat="1"/>
    <xf numFmtId="0" fontId="0" fillId="0" borderId="0" xfId="0" applyAlignment="1">
      <alignment horizontal="left"/>
    </xf>
    <xf numFmtId="3" fontId="0" fillId="0" borderId="0" xfId="0" applyNumberFormat="1" applyAlignment="1">
      <alignment horizontal="center"/>
    </xf>
    <xf numFmtId="0" fontId="0" fillId="0" borderId="0" xfId="0" applyAlignment="1">
      <alignment horizontal="center"/>
    </xf>
    <xf numFmtId="0" fontId="0" fillId="0" borderId="0" xfId="0" applyAlignment="1">
      <alignment horizontal="left" indent="1"/>
    </xf>
    <xf numFmtId="0" fontId="0" fillId="0" borderId="0" xfId="0" applyAlignment="1">
      <alignment horizontal="left" indent="2"/>
    </xf>
    <xf numFmtId="9" fontId="0" fillId="0" borderId="0" xfId="0" applyNumberFormat="1" applyAlignment="1">
      <alignment horizontal="center"/>
    </xf>
    <xf numFmtId="0" fontId="4" fillId="2" borderId="0" xfId="1" applyFont="1" applyAlignment="1">
      <alignment horizontal="center"/>
    </xf>
    <xf numFmtId="0" fontId="1" fillId="3" borderId="0" xfId="0" applyFont="1" applyFill="1"/>
    <xf numFmtId="165" fontId="0" fillId="0" borderId="0" xfId="0" applyNumberFormat="1"/>
    <xf numFmtId="11" fontId="0" fillId="0" borderId="0" xfId="0" applyNumberFormat="1"/>
    <xf numFmtId="0" fontId="0" fillId="0" borderId="0" xfId="0" applyAlignment="1">
      <alignment wrapText="1"/>
    </xf>
    <xf numFmtId="9" fontId="0" fillId="0" borderId="0" xfId="2" applyFont="1"/>
    <xf numFmtId="0" fontId="3" fillId="4" borderId="0" xfId="0" applyFont="1" applyFill="1" applyAlignment="1">
      <alignment horizontal="center"/>
    </xf>
    <xf numFmtId="15" fontId="0" fillId="0" borderId="0" xfId="0" applyNumberFormat="1"/>
  </cellXfs>
  <cellStyles count="3">
    <cellStyle name="Bad" xfId="1" builtinId="27"/>
    <cellStyle name="Normal" xfId="0" builtinId="0"/>
    <cellStyle name="Percent" xfId="2" builtinId="5"/>
  </cellStyles>
  <dxfs count="35">
    <dxf>
      <font>
        <color rgb="FF006100"/>
      </font>
      <fill>
        <patternFill>
          <bgColor rgb="FFC6EFCE"/>
        </patternFill>
      </fill>
    </dxf>
    <dxf>
      <alignment horizontal="center"/>
    </dxf>
    <dxf>
      <numFmt numFmtId="3" formatCode="#,##0"/>
    </dxf>
    <dxf>
      <alignment horizontal="center"/>
    </dxf>
    <dxf>
      <alignment horizontal="center"/>
    </dxf>
    <dxf>
      <numFmt numFmtId="3" formatCode="#,##0"/>
    </dxf>
    <dxf>
      <alignment horizontal="center"/>
    </dxf>
    <dxf>
      <alignment horizontal="center"/>
    </dxf>
    <dxf>
      <numFmt numFmtId="3" formatCode="#,##0"/>
    </dxf>
    <dxf>
      <alignment horizontal="center"/>
    </dxf>
    <dxf>
      <numFmt numFmtId="13" formatCode="0%"/>
    </dxf>
    <dxf>
      <numFmt numFmtId="14" formatCode="0.00%"/>
    </dxf>
    <dxf>
      <numFmt numFmtId="14" formatCode="0.00%"/>
    </dxf>
    <dxf>
      <alignment horizontal="center"/>
    </dxf>
    <dxf>
      <alignment horizontal="center"/>
    </dxf>
    <dxf>
      <alignment horizontal="center"/>
    </dxf>
    <dxf>
      <numFmt numFmtId="3" formatCode="#,##0"/>
    </dxf>
    <dxf>
      <alignment horizontal="center"/>
    </dxf>
    <dxf>
      <alignment horizontal="center"/>
    </dxf>
    <dxf>
      <numFmt numFmtId="3" formatCode="#,##0"/>
    </dxf>
    <dxf>
      <alignment horizontal="center"/>
    </dxf>
    <dxf>
      <numFmt numFmtId="0" formatCode="General"/>
    </dxf>
    <dxf>
      <numFmt numFmtId="0" formatCode="General"/>
    </dxf>
    <dxf>
      <numFmt numFmtId="0" formatCode="General"/>
    </dxf>
    <dxf>
      <numFmt numFmtId="0" formatCode="General"/>
    </dxf>
    <dxf>
      <numFmt numFmtId="164" formatCode="yyyy\-mm\-dd"/>
    </dxf>
    <dxf>
      <numFmt numFmtId="164" formatCode="yyyy\-mm\-dd"/>
    </dxf>
    <dxf>
      <numFmt numFmtId="164" formatCode="yyyy\-mm\-dd"/>
    </dxf>
    <dxf>
      <numFmt numFmtId="164" formatCode="yyyy\-mm\-dd"/>
    </dxf>
    <dxf>
      <font>
        <b/>
        <i val="0"/>
        <strike val="0"/>
        <condense val="0"/>
        <extend val="0"/>
        <outline val="0"/>
        <shadow val="0"/>
        <u val="none"/>
        <vertAlign val="baseline"/>
        <sz val="11"/>
        <color auto="1"/>
        <name val="Calibri"/>
        <scheme val="none"/>
      </font>
    </dxf>
    <dxf>
      <numFmt numFmtId="165" formatCode="dd/mm/yyyy"/>
    </dxf>
    <dxf>
      <numFmt numFmtId="165" formatCode="dd/mm/yyyy"/>
    </dxf>
    <dxf>
      <font>
        <b/>
        <i val="0"/>
        <strike val="0"/>
        <condense val="0"/>
        <extend val="0"/>
        <outline val="0"/>
        <shadow val="0"/>
        <u val="none"/>
        <vertAlign val="baseline"/>
        <sz val="11"/>
        <color auto="1"/>
        <name val="Calibri"/>
        <family val="2"/>
        <scheme val="none"/>
      </font>
    </dxf>
    <dxf>
      <numFmt numFmtId="165" formatCode="dd/mm/yyyy"/>
    </dxf>
    <dxf>
      <numFmt numFmtId="165" formatCode="dd/mm/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editAs="oneCell">
    <xdr:from>
      <xdr:col>0</xdr:col>
      <xdr:colOff>352425</xdr:colOff>
      <xdr:row>1</xdr:row>
      <xdr:rowOff>171450</xdr:rowOff>
    </xdr:from>
    <xdr:to>
      <xdr:col>1</xdr:col>
      <xdr:colOff>1818217</xdr:colOff>
      <xdr:row>8</xdr:row>
      <xdr:rowOff>57149</xdr:rowOff>
    </xdr:to>
    <mc:AlternateContent xmlns:mc="http://schemas.openxmlformats.org/markup-compatibility/2006" xmlns:a14="http://schemas.microsoft.com/office/drawing/2010/main">
      <mc:Choice Requires="a14">
        <xdr:graphicFrame macro="">
          <xdr:nvGraphicFramePr>
            <xdr:cNvPr id="2" name="Reporting Period Name">
              <a:extLst>
                <a:ext uri="{FF2B5EF4-FFF2-40B4-BE49-F238E27FC236}">
                  <a16:creationId xmlns:a16="http://schemas.microsoft.com/office/drawing/2014/main" id="{A0E37D80-2401-24CD-AED3-2A1DF79AD22B}"/>
                </a:ext>
              </a:extLst>
            </xdr:cNvPr>
            <xdr:cNvGraphicFramePr/>
          </xdr:nvGraphicFramePr>
          <xdr:xfrm>
            <a:off x="0" y="0"/>
            <a:ext cx="0" cy="0"/>
          </xdr:xfrm>
          <a:graphic>
            <a:graphicData uri="http://schemas.microsoft.com/office/drawing/2010/slicer">
              <sle:slicer xmlns:sle="http://schemas.microsoft.com/office/drawing/2010/slicer" name="Reporting Period Name"/>
            </a:graphicData>
          </a:graphic>
        </xdr:graphicFrame>
      </mc:Choice>
      <mc:Fallback xmlns="">
        <xdr:sp macro="" textlink="">
          <xdr:nvSpPr>
            <xdr:cNvPr id="0" name=""/>
            <xdr:cNvSpPr>
              <a:spLocks noTextEdit="1"/>
            </xdr:cNvSpPr>
          </xdr:nvSpPr>
          <xdr:spPr>
            <a:xfrm>
              <a:off x="352425" y="361950"/>
              <a:ext cx="1825625" cy="12191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361950</xdr:colOff>
      <xdr:row>8</xdr:row>
      <xdr:rowOff>180975</xdr:rowOff>
    </xdr:from>
    <xdr:to>
      <xdr:col>1</xdr:col>
      <xdr:colOff>1827742</xdr:colOff>
      <xdr:row>15</xdr:row>
      <xdr:rowOff>76200</xdr:rowOff>
    </xdr:to>
    <mc:AlternateContent xmlns:mc="http://schemas.openxmlformats.org/markup-compatibility/2006" xmlns:a14="http://schemas.microsoft.com/office/drawing/2010/main">
      <mc:Choice Requires="a14">
        <xdr:graphicFrame macro="">
          <xdr:nvGraphicFramePr>
            <xdr:cNvPr id="4" name="Scope">
              <a:extLst>
                <a:ext uri="{FF2B5EF4-FFF2-40B4-BE49-F238E27FC236}">
                  <a16:creationId xmlns:a16="http://schemas.microsoft.com/office/drawing/2014/main" id="{A5D4E1BB-3859-D1BC-6163-C7569094FE6D}"/>
                </a:ext>
              </a:extLst>
            </xdr:cNvPr>
            <xdr:cNvGraphicFramePr/>
          </xdr:nvGraphicFramePr>
          <xdr:xfrm>
            <a:off x="0" y="0"/>
            <a:ext cx="0" cy="0"/>
          </xdr:xfrm>
          <a:graphic>
            <a:graphicData uri="http://schemas.microsoft.com/office/drawing/2010/slicer">
              <sle:slicer xmlns:sle="http://schemas.microsoft.com/office/drawing/2010/slicer" name="Scope"/>
            </a:graphicData>
          </a:graphic>
        </xdr:graphicFrame>
      </mc:Choice>
      <mc:Fallback xmlns="">
        <xdr:sp macro="" textlink="">
          <xdr:nvSpPr>
            <xdr:cNvPr id="0" name=""/>
            <xdr:cNvSpPr>
              <a:spLocks noTextEdit="1"/>
            </xdr:cNvSpPr>
          </xdr:nvSpPr>
          <xdr:spPr>
            <a:xfrm>
              <a:off x="361950" y="1704975"/>
              <a:ext cx="1825625" cy="12287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355600</xdr:colOff>
      <xdr:row>16</xdr:row>
      <xdr:rowOff>19051</xdr:rowOff>
    </xdr:from>
    <xdr:to>
      <xdr:col>1</xdr:col>
      <xdr:colOff>1824567</xdr:colOff>
      <xdr:row>28</xdr:row>
      <xdr:rowOff>63501</xdr:rowOff>
    </xdr:to>
    <mc:AlternateContent xmlns:mc="http://schemas.openxmlformats.org/markup-compatibility/2006" xmlns:a14="http://schemas.microsoft.com/office/drawing/2010/main">
      <mc:Choice Requires="a14">
        <xdr:graphicFrame macro="">
          <xdr:nvGraphicFramePr>
            <xdr:cNvPr id="6" name="Scope Category">
              <a:extLst>
                <a:ext uri="{FF2B5EF4-FFF2-40B4-BE49-F238E27FC236}">
                  <a16:creationId xmlns:a16="http://schemas.microsoft.com/office/drawing/2014/main" id="{54EDD22F-09E3-34E3-DC48-847B317CF082}"/>
                </a:ext>
              </a:extLst>
            </xdr:cNvPr>
            <xdr:cNvGraphicFramePr/>
          </xdr:nvGraphicFramePr>
          <xdr:xfrm>
            <a:off x="0" y="0"/>
            <a:ext cx="0" cy="0"/>
          </xdr:xfrm>
          <a:graphic>
            <a:graphicData uri="http://schemas.microsoft.com/office/drawing/2010/slicer">
              <sle:slicer xmlns:sle="http://schemas.microsoft.com/office/drawing/2010/slicer" name="Scope Category"/>
            </a:graphicData>
          </a:graphic>
        </xdr:graphicFrame>
      </mc:Choice>
      <mc:Fallback xmlns="">
        <xdr:sp macro="" textlink="">
          <xdr:nvSpPr>
            <xdr:cNvPr id="0" name=""/>
            <xdr:cNvSpPr>
              <a:spLocks noTextEdit="1"/>
            </xdr:cNvSpPr>
          </xdr:nvSpPr>
          <xdr:spPr>
            <a:xfrm>
              <a:off x="355600" y="3067051"/>
              <a:ext cx="1828800" cy="23304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355600</xdr:colOff>
      <xdr:row>28</xdr:row>
      <xdr:rowOff>177800</xdr:rowOff>
    </xdr:from>
    <xdr:to>
      <xdr:col>1</xdr:col>
      <xdr:colOff>1824567</xdr:colOff>
      <xdr:row>51</xdr:row>
      <xdr:rowOff>42333</xdr:rowOff>
    </xdr:to>
    <mc:AlternateContent xmlns:mc="http://schemas.openxmlformats.org/markup-compatibility/2006" xmlns:a14="http://schemas.microsoft.com/office/drawing/2010/main">
      <mc:Choice Requires="a14">
        <xdr:graphicFrame macro="">
          <xdr:nvGraphicFramePr>
            <xdr:cNvPr id="7" name="Reporting unit name">
              <a:extLst>
                <a:ext uri="{FF2B5EF4-FFF2-40B4-BE49-F238E27FC236}">
                  <a16:creationId xmlns:a16="http://schemas.microsoft.com/office/drawing/2014/main" id="{76D2905F-0B8B-4217-89CD-8E203D5CE589}"/>
                </a:ext>
              </a:extLst>
            </xdr:cNvPr>
            <xdr:cNvGraphicFramePr/>
          </xdr:nvGraphicFramePr>
          <xdr:xfrm>
            <a:off x="0" y="0"/>
            <a:ext cx="0" cy="0"/>
          </xdr:xfrm>
          <a:graphic>
            <a:graphicData uri="http://schemas.microsoft.com/office/drawing/2010/slicer">
              <sle:slicer xmlns:sle="http://schemas.microsoft.com/office/drawing/2010/slicer" name="Reporting unit name"/>
            </a:graphicData>
          </a:graphic>
        </xdr:graphicFrame>
      </mc:Choice>
      <mc:Fallback xmlns="">
        <xdr:sp macro="" textlink="">
          <xdr:nvSpPr>
            <xdr:cNvPr id="0" name=""/>
            <xdr:cNvSpPr>
              <a:spLocks noTextEdit="1"/>
            </xdr:cNvSpPr>
          </xdr:nvSpPr>
          <xdr:spPr>
            <a:xfrm>
              <a:off x="355600" y="5511800"/>
              <a:ext cx="1828800" cy="424603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iella Giardetti" refreshedDate="45161.641434490739" createdVersion="8" refreshedVersion="8" minRefreshableVersion="3" recordCount="2467" xr:uid="{D36294AB-BD3D-4ABA-B9F4-7428AEEB59AE}">
  <cacheSource type="worksheet">
    <worksheetSource name="emissions"/>
  </cacheSource>
  <cacheFields count="44">
    <cacheField name="Record ID" numFmtId="0">
      <sharedItems containsSemiMixedTypes="0" containsString="0" containsNumber="1" containsInteger="1" minValue="4621" maxValue="1677409"/>
    </cacheField>
    <cacheField name="Reporting Unit" numFmtId="0">
      <sharedItems/>
    </cacheField>
    <cacheField name="Reporting Unit Type" numFmtId="0">
      <sharedItems containsBlank="1" count="17">
        <s v="Office"/>
        <s v="Warehouse"/>
        <s v="Labratory"/>
        <s v="Office (with heat &amp; steam)"/>
        <s v="Unspecified Facility Type"/>
        <s v="Factory"/>
        <s v="Scope 3 Inventory"/>
        <m u="1"/>
        <s v="Spaces without Operational Control" u="1"/>
        <s v="Business Travel" u="1"/>
        <e v="#N/A" u="1"/>
        <s v="Locations" u="1"/>
        <s v="Employee Commute" u="1"/>
        <s v="Standard Office" u="1"/>
        <e v="#VALUE!" u="1"/>
        <s v="Country" u="1"/>
        <s v="Owned Standard Office" u="1"/>
      </sharedItems>
    </cacheField>
    <cacheField name="Reporting Period Name" numFmtId="0">
      <sharedItems containsBlank="1" count="4">
        <s v="FY22"/>
        <s v="FY21"/>
        <m u="1"/>
        <s v="FY2022 GHG Inventory Period" u="1"/>
      </sharedItems>
    </cacheField>
    <cacheField name="Reporting Period Start Date" numFmtId="0">
      <sharedItems containsSemiMixedTypes="0" containsNonDate="0" containsDate="1" containsString="0" minDate="2021-01-01T00:00:00" maxDate="2022-01-02T00:00:00"/>
    </cacheField>
    <cacheField name="Reporting Period End Date" numFmtId="0">
      <sharedItems containsSemiMixedTypes="0" containsNonDate="0" containsDate="1" containsString="0" minDate="2021-12-31T00:00:00" maxDate="2023-01-01T00:00:00"/>
    </cacheField>
    <cacheField name="Activity Group" numFmtId="0">
      <sharedItems containsBlank="1" count="22">
        <s v="Electricity (non-renewable)"/>
        <s v="Liquid fuel activities"/>
        <s v="Gaseous fuel activities"/>
        <s v="Natural gas"/>
        <s v="Refrigerant gasses"/>
        <s v="Heat, Steam and Chilled Water"/>
        <s v="1. Purchased goods and services"/>
        <s v="2. Capital goods"/>
        <s v="4. Upstream transportation and distribution"/>
        <s v="5. Waste generated in operations"/>
        <s v="11. Use of sold products"/>
        <s v="12. End-of-life treatment of sold products"/>
        <m u="1"/>
        <s v="Electricity (purchased)" u="1"/>
        <s v="Waste activities" u="1"/>
        <s v="Rail activities" u="1"/>
        <s v="Air travel activities" u="1"/>
        <s v="Scope 2 - direct upload" u="1"/>
        <s v="Scope 3 - direct upload" u="1"/>
        <s v="Average car activities" u="1"/>
        <s v="Water activities" u="1"/>
        <s v="Purchased Energy" u="1"/>
      </sharedItems>
    </cacheField>
    <cacheField name="Record Start Date" numFmtId="0">
      <sharedItems containsSemiMixedTypes="0" containsNonDate="0" containsDate="1" containsString="0" minDate="2021-01-01T00:00:00" maxDate="2022-10-02T00:00:00"/>
    </cacheField>
    <cacheField name="Record End Date" numFmtId="0">
      <sharedItems containsSemiMixedTypes="0" containsNonDate="0" containsDate="1" containsString="0" minDate="2021-12-31T00:00:00" maxDate="2023-01-01T00:00:00"/>
    </cacheField>
    <cacheField name="Activity" numFmtId="0">
      <sharedItems/>
    </cacheField>
    <cacheField name="Quantity" numFmtId="0">
      <sharedItems containsSemiMixedTypes="0" containsString="0" containsNumber="1" minValue="0" maxValue="234222690.69999999"/>
    </cacheField>
    <cacheField name="Unit" numFmtId="0">
      <sharedItems/>
    </cacheField>
    <cacheField name="Data Quality" numFmtId="0">
      <sharedItems containsBlank="1" count="3">
        <s v="Estimated"/>
        <s v="Actual Data"/>
        <m u="1"/>
      </sharedItems>
    </cacheField>
    <cacheField name="Note" numFmtId="0">
      <sharedItems containsBlank="1"/>
    </cacheField>
    <cacheField name="Calculation Created At" numFmtId="0">
      <sharedItems/>
    </cacheField>
    <cacheField name="Calculation Updated At" numFmtId="0">
      <sharedItems/>
    </cacheField>
    <cacheField name="Reporting Period Year" numFmtId="0">
      <sharedItems containsSemiMixedTypes="0" containsString="0" containsNumber="1" containsInteger="1" minValue="2021" maxValue="2022"/>
    </cacheField>
    <cacheField name="Model Name" numFmtId="0">
      <sharedItems/>
    </cacheField>
    <cacheField name="Model Alias" numFmtId="0">
      <sharedItems/>
    </cacheField>
    <cacheField name="Model type" numFmtId="0">
      <sharedItems/>
    </cacheField>
    <cacheField name="Custom Factor" numFmtId="0">
      <sharedItems/>
    </cacheField>
    <cacheField name="Emission Factor Name" numFmtId="0">
      <sharedItems/>
    </cacheField>
    <cacheField name="Scope" numFmtId="0">
      <sharedItems containsBlank="1" count="4">
        <s v="Scope 2"/>
        <s v="Scope 3"/>
        <s v="Scope 1"/>
        <m u="1"/>
      </sharedItems>
    </cacheField>
    <cacheField name="Scope Category" numFmtId="0">
      <sharedItems containsBlank="1" count="11">
        <s v="N/A"/>
        <s v="3: Fuel- and Energy-Related Activities"/>
        <s v="1: Purchased Goods and Services"/>
        <s v="2: Capital Goods"/>
        <s v="4: Upstream Transportation and Distribution"/>
        <s v="5: Waste Generated in Operations"/>
        <s v="11: Use of Sold Products"/>
        <s v="12: End-of-Life Treatment of Sold Products"/>
        <m u="1"/>
        <s v="8: Upstream Leased Assets" u="1"/>
        <s v="7: Employee Commuting" u="1"/>
      </sharedItems>
    </cacheField>
    <cacheField name="Matched Region" numFmtId="0">
      <sharedItems containsBlank="1"/>
    </cacheField>
    <cacheField name="Matched Sub-region" numFmtId="0">
      <sharedItems containsBlank="1"/>
    </cacheField>
    <cacheField name="Matched Country Code" numFmtId="0">
      <sharedItems containsBlank="1"/>
    </cacheField>
    <cacheField name="Matched Country Region" numFmtId="0">
      <sharedItems containsBlank="1"/>
    </cacheField>
    <cacheField name="Market-based" numFmtId="0">
      <sharedItems containsSemiMixedTypes="0" containsString="0" containsNumber="1" containsInteger="1" minValue="0" maxValue="1"/>
    </cacheField>
    <cacheField name="Impact Type" numFmtId="0">
      <sharedItems/>
    </cacheField>
    <cacheField name="kgCO2e" numFmtId="0">
      <sharedItems containsSemiMixedTypes="0" containsString="0" containsNumber="1" minValue="0" maxValue="805776030"/>
    </cacheField>
    <cacheField name="EF Impact Value" numFmtId="0">
      <sharedItems containsMixedTypes="1" containsNumber="1" minValue="0" maxValue="14800"/>
    </cacheField>
    <cacheField name="EF Impact Unit" numFmtId="0">
      <sharedItems/>
    </cacheField>
    <cacheField name="Consumption Value Multiplier" numFmtId="0">
      <sharedItems containsSemiMixedTypes="0" containsString="0" containsNumber="1" minValue="0" maxValue="1000000000"/>
    </cacheField>
    <cacheField name="Consumption Value in EF Unit" numFmtId="0">
      <sharedItems containsSemiMixedTypes="0" containsString="0" containsNumber="1" minValue="0" maxValue="805776030"/>
    </cacheField>
    <cacheField name="Assessment Report" numFmtId="0">
      <sharedItems containsBlank="1"/>
    </cacheField>
    <cacheField name="Author" numFmtId="0">
      <sharedItems containsBlank="1"/>
    </cacheField>
    <cacheField name="Source" numFmtId="0">
      <sharedItems longText="1"/>
    </cacheField>
    <cacheField name="Published Year" numFmtId="0">
      <sharedItems containsSemiMixedTypes="0" containsString="0" containsNumber="1" containsInteger="1" minValue="2021" maxValue="2022"/>
    </cacheField>
    <cacheField name="Data Year" numFmtId="0">
      <sharedItems containsString="0" containsBlank="1" containsNumber="1" containsInteger="1" minValue="2007" maxValue="2022"/>
    </cacheField>
    <cacheField name="Location tCO2e" numFmtId="0">
      <sharedItems containsSemiMixedTypes="0" containsString="0" containsNumber="1" minValue="0" maxValue="805776.03"/>
    </cacheField>
    <cacheField name="Market tCO2e" numFmtId="0">
      <sharedItems containsSemiMixedTypes="0" containsString="0" containsNumber="1" minValue="0" maxValue="805776.03"/>
    </cacheField>
    <cacheField name="Reporting unit name" numFmtId="0">
      <sharedItems containsBlank="1" count="107">
        <s v="Vantage_Mumbai"/>
        <s v="Vantage_Shanghai"/>
        <s v="Vantage_Granollers"/>
        <s v="Vantage_Les Borges"/>
        <s v="Vantage_Leuna"/>
        <s v="Vantage_Paris"/>
        <s v="Vantage_South Africa"/>
        <s v="Vantage_Carnegie"/>
        <s v="Vantage_Chicago"/>
        <s v="Vantage_Costa_Rica"/>
        <s v="Vantage_Dateland"/>
        <s v="Vantage_Deerfield"/>
        <s v="Vantage_Delta"/>
        <s v="Vantage_Englewood"/>
        <s v="Vantage_Fairfield"/>
        <s v="Vantage_Gurnee"/>
        <s v="Vantage_Linden"/>
        <s v="Vantage_Pittsburgh"/>
        <s v="Vantage_Tlalnepantla de Baz"/>
        <s v="Vantage_Tucson"/>
        <s v="Vantage_Warren"/>
        <s v="Scope 3 Inventory"/>
        <s v="Vantage_Argentina Farm (Agrinsa)"/>
        <s v="Vantage_Bogotá"/>
        <s v="Vantage_Buenos Aires"/>
        <s v="Vantage_Guatemala City"/>
        <s v="Vantage_Lima"/>
        <s v="Vantage_Santiago"/>
        <s v="Vantage_Sao Paulo"/>
        <m u="1"/>
        <s v="Spain WFH" u="1"/>
        <s v="Gothenburg" u="1"/>
        <s v="Mexico WeWork" u="1"/>
        <s v="Bristol (Victoria St)" u="1"/>
        <e v="#VALUE!" u="1"/>
        <s v="Amsterdam Equinix Vodafone Co Lo" u="1"/>
        <s v="Harrogate" u="1"/>
        <s v="Tukwila Sabey Co Lo" u="1"/>
        <s v="San Francisco Leased Office" u="1"/>
        <s v="Johannesburg" u="1"/>
        <s v="Tel Aviv Leased Office" u="1"/>
        <s v="London (Long Lane)" u="1"/>
        <s v="Cape Town" u="1"/>
        <s v="Colombia WFH" u="1"/>
        <s v="Utrecht" u="1"/>
        <s v="Las Vegas Co Lo" u="1"/>
        <s v="Guelph" u="1"/>
        <s v="Dublin Equinix Co Lo 2 (DB4)" u="1"/>
        <s v="Helsinki" u="1"/>
        <s v="Ashburn Equinix Co Lo (DC6)" u="1"/>
        <s v="Tokyo Leased Office" u="1"/>
        <s v="Dubai" u="1"/>
        <s v="Sydney Leased Office" u="1"/>
        <s v="Milan" u="1"/>
        <s v="Manlleu Office" u="1"/>
        <s v="Dublin Leased Office" u="1"/>
        <s v="Manchester" u="1"/>
        <s v="Manila" u="1"/>
        <s v="Boulder" u="1"/>
        <s v="Manlleu Warehouse" u="1"/>
        <s v="Chicago Leased Office" u="1"/>
        <s v="Lavola Business Travel" u="1"/>
        <s v="Ashburn Equinix Co Lo (DC11)" u="1"/>
        <s v="Chicago Cyxtera Co Lo" u="1"/>
        <s v="Harrison Leased Office" u="1"/>
        <s v="Oxford" u="1"/>
        <s v="Englewood Flexential Co Lo" u="1"/>
        <s v="Cairo Leased Office" u="1"/>
        <s v="Paris Sungard Co Lo" u="1"/>
        <s v="Bristol (Baldwin St)" u="1"/>
        <s v="Frankfurt Equinix Co Lo" u="1"/>
        <s v="Madrid" u="1"/>
        <s v="Frankfurt WeWork" u="1"/>
        <s v="Dublin Equinix Co Lo 1 (DB2)" u="1"/>
        <s v="Andorra la Vella" u="1"/>
        <s v="Bogotá" u="1"/>
        <s v="Lavola Employee Commute" u="1"/>
        <s v="Berkshire Equinix Co Lo (LD7)" u="1"/>
        <s v="Elk Grove Co Lo" u="1"/>
        <s v="Tukwila Cyxtera Co Lo" u="1"/>
        <s v="Berkshire Equinix Co Lo (LD6)" u="1"/>
        <s v="London (Euston Rd)" u="1"/>
        <s v="Melbourne WeWork" u="1"/>
        <s v="Sao Paulo Leased Office" u="1"/>
        <s v="Amsterdam Equinix Co Lo" u="1"/>
        <s v="Seattle Leased Office" u="1"/>
        <s v="Paris Leased Office" u="1"/>
        <s v="All Other Subsidiaries Business Travel" u="1"/>
        <s v="Singapore WeWork" u="1"/>
        <s v="Dublin" u="1"/>
        <s v="Pamplona" u="1"/>
        <s v="Barcelona Office" u="1"/>
        <s v="Edinburgh" u="1"/>
        <s v="Walnut Creek Leased Office" u="1"/>
        <s v="CNG Business Travel" u="1"/>
        <s v="Gothenburg Leased Office" u="1"/>
        <s v="Paris Equinix Co Lo" u="1"/>
        <s v="Warrenville Leased Office" u="1"/>
        <s v="Andorra WFH" u="1"/>
        <s v="Stockholm" u="1"/>
        <s v="Frankfurt" u="1"/>
        <s v="Chicago Equinix Co Lo" u="1"/>
        <s v="London Leased Office" u="1"/>
        <s v="Barcelona (CosmoCaixa)" u="1"/>
        <s v="Leuven" u="1"/>
        <s v="Richardson Sungard Co Lo" u="1"/>
        <s v="CNG Employee Commute" u="1"/>
      </sharedItems>
    </cacheField>
    <cacheField name="Reporting unit type2" numFmtId="0">
      <sharedItems/>
    </cacheField>
  </cacheFields>
  <extLst>
    <ext xmlns:x14="http://schemas.microsoft.com/office/spreadsheetml/2009/9/main" uri="{725AE2AE-9491-48be-B2B4-4EB974FC3084}">
      <x14:pivotCacheDefinition pivotCacheId="4761050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67">
  <r>
    <n v="293319"/>
    <s v="Top of Hierarchy &gt; Asia Pacific &gt; Vantage_Mumbai"/>
    <x v="0"/>
    <x v="0"/>
    <d v="2022-01-01T00:00:00"/>
    <d v="2022-12-31T00:00:00"/>
    <x v="0"/>
    <d v="2022-01-01T00:00:00"/>
    <d v="2022-12-31T00:00:00"/>
    <s v="Electricity (non-renewable)"/>
    <n v="1000"/>
    <s v="Kilowatt hours"/>
    <x v="0"/>
    <s v="shared facility; not sure actual value but have estimation"/>
    <s v="2023-05-08, 17:22"/>
    <s v="2023-07-20, 00:40"/>
    <n v="2022"/>
    <s v="electricity"/>
    <s v="Electricity"/>
    <s v="model"/>
    <b v="0"/>
    <s v="ELECTRICITY; INDIA"/>
    <x v="0"/>
    <x v="0"/>
    <s v="Asia"/>
    <s v="Southern Asia"/>
    <s v="IN"/>
    <m/>
    <n v="0"/>
    <s v="CH4"/>
    <n v="0.3"/>
    <s v="RESTRICTED"/>
    <s v="KWH"/>
    <n v="1"/>
    <n v="1000"/>
    <s v="AR4"/>
    <s v="IEA"/>
    <s v="IEA (2022)"/>
    <n v="2022"/>
    <n v="2020"/>
    <n v="0"/>
    <n v="0"/>
    <x v="0"/>
    <s v="Office"/>
  </r>
  <r>
    <n v="293319"/>
    <s v="Top of Hierarchy &gt; Asia Pacific &gt; Vantage_Mumbai"/>
    <x v="0"/>
    <x v="0"/>
    <d v="2022-01-01T00:00:00"/>
    <d v="2022-12-31T00:00:00"/>
    <x v="0"/>
    <d v="2022-01-01T00:00:00"/>
    <d v="2022-12-31T00:00:00"/>
    <s v="Electricity (non-renewable)"/>
    <n v="1000"/>
    <s v="Kilowatt hours"/>
    <x v="0"/>
    <s v="shared facility; not sure actual value but have estimation"/>
    <s v="2023-05-08, 17:22"/>
    <s v="2023-07-20, 00:40"/>
    <n v="2022"/>
    <s v="electricity"/>
    <s v="Electricity"/>
    <s v="model"/>
    <b v="0"/>
    <s v="ELECTRICITY; INDIA"/>
    <x v="0"/>
    <x v="0"/>
    <s v="Asia"/>
    <s v="Southern Asia"/>
    <s v="IN"/>
    <m/>
    <n v="0"/>
    <s v="CO2"/>
    <n v="689.3"/>
    <s v="RESTRICTED"/>
    <s v="KWH"/>
    <n v="1"/>
    <n v="1000"/>
    <s v="AR4"/>
    <s v="IEA"/>
    <s v="IEA (2022)"/>
    <n v="2022"/>
    <n v="2020"/>
    <n v="0"/>
    <n v="0"/>
    <x v="0"/>
    <s v="Office"/>
  </r>
  <r>
    <n v="293319"/>
    <s v="Top of Hierarchy &gt; Asia Pacific &gt; Vantage_Mumbai"/>
    <x v="0"/>
    <x v="0"/>
    <d v="2022-01-01T00:00:00"/>
    <d v="2022-12-31T00:00:00"/>
    <x v="0"/>
    <d v="2022-01-01T00:00:00"/>
    <d v="2022-12-31T00:00:00"/>
    <s v="Electricity (non-renewable)"/>
    <n v="1000"/>
    <s v="Kilowatt hours"/>
    <x v="0"/>
    <s v="shared facility; not sure actual value but have estimation"/>
    <s v="2023-05-08, 17:22"/>
    <s v="2023-07-20, 00:40"/>
    <n v="2022"/>
    <s v="electricity"/>
    <s v="Electricity"/>
    <s v="model"/>
    <b v="0"/>
    <s v="ELECTRICITY; INDIA"/>
    <x v="0"/>
    <x v="0"/>
    <s v="Asia"/>
    <s v="Southern Asia"/>
    <s v="IN"/>
    <m/>
    <n v="0"/>
    <s v="CO2E"/>
    <n v="692.9"/>
    <s v="RESTRICTED"/>
    <s v="KWH"/>
    <n v="1"/>
    <n v="1000"/>
    <s v="AR4"/>
    <s v="IEA"/>
    <s v="IEA (2022)"/>
    <n v="2022"/>
    <n v="2020"/>
    <n v="0.69289999999999996"/>
    <n v="0"/>
    <x v="0"/>
    <s v="Office"/>
  </r>
  <r>
    <n v="293319"/>
    <s v="Top of Hierarchy &gt; Asia Pacific &gt; Vantage_Mumbai"/>
    <x v="0"/>
    <x v="0"/>
    <d v="2022-01-01T00:00:00"/>
    <d v="2022-12-31T00:00:00"/>
    <x v="0"/>
    <d v="2022-01-01T00:00:00"/>
    <d v="2022-12-31T00:00:00"/>
    <s v="Electricity (non-renewable)"/>
    <n v="1000"/>
    <s v="Kilowatt hours"/>
    <x v="0"/>
    <s v="shared facility; not sure actual value but have estimation"/>
    <s v="2023-05-08, 17:22"/>
    <s v="2023-07-20, 00:40"/>
    <n v="2022"/>
    <s v="electricity"/>
    <s v="Electricity"/>
    <s v="model"/>
    <b v="0"/>
    <s v="ELECTRICITY; INDIA"/>
    <x v="0"/>
    <x v="0"/>
    <s v="Asia"/>
    <s v="Southern Asia"/>
    <s v="IN"/>
    <m/>
    <n v="0"/>
    <s v="N2O"/>
    <n v="3.3"/>
    <s v="RESTRICTED"/>
    <s v="KWH"/>
    <n v="1"/>
    <n v="1000"/>
    <s v="AR4"/>
    <s v="IEA"/>
    <s v="IEA (2022)"/>
    <n v="2022"/>
    <n v="2020"/>
    <n v="0"/>
    <n v="0"/>
    <x v="0"/>
    <s v="Office"/>
  </r>
  <r>
    <n v="293319"/>
    <s v="Top of Hierarchy &gt; Asia Pacific &gt; Vantage_Mumbai"/>
    <x v="0"/>
    <x v="0"/>
    <d v="2022-01-01T00:00:00"/>
    <d v="2022-12-31T00:00:00"/>
    <x v="0"/>
    <d v="2022-01-01T00:00:00"/>
    <d v="2022-12-31T00:00:00"/>
    <s v="Electricity (non-renewable)"/>
    <n v="1000"/>
    <s v="Kilowatt hours"/>
    <x v="0"/>
    <s v="shared facility; not sure actual value but have estimation"/>
    <s v="2023-05-08, 17:22"/>
    <s v="2023-07-20, 00:40"/>
    <n v="2022"/>
    <s v="electricity"/>
    <s v="Electricity"/>
    <s v="model"/>
    <b v="0"/>
    <s v="ELECTRICITY; INDIA"/>
    <x v="0"/>
    <x v="0"/>
    <s v="Asia"/>
    <s v="Southern Asia"/>
    <s v="IN"/>
    <m/>
    <n v="1"/>
    <s v="CH4"/>
    <n v="0.3"/>
    <s v="RESTRICTED"/>
    <s v="KWH"/>
    <n v="1"/>
    <n v="1000"/>
    <s v="AR4"/>
    <s v="IEA"/>
    <s v="IEA (2022)"/>
    <n v="2022"/>
    <n v="2020"/>
    <n v="0"/>
    <n v="0"/>
    <x v="0"/>
    <s v="Office"/>
  </r>
  <r>
    <n v="293319"/>
    <s v="Top of Hierarchy &gt; Asia Pacific &gt; Vantage_Mumbai"/>
    <x v="0"/>
    <x v="0"/>
    <d v="2022-01-01T00:00:00"/>
    <d v="2022-12-31T00:00:00"/>
    <x v="0"/>
    <d v="2022-01-01T00:00:00"/>
    <d v="2022-12-31T00:00:00"/>
    <s v="Electricity (non-renewable)"/>
    <n v="1000"/>
    <s v="Kilowatt hours"/>
    <x v="0"/>
    <s v="shared facility; not sure actual value but have estimation"/>
    <s v="2023-05-08, 17:22"/>
    <s v="2023-07-20, 00:40"/>
    <n v="2022"/>
    <s v="electricity"/>
    <s v="Electricity"/>
    <s v="model"/>
    <b v="0"/>
    <s v="ELECTRICITY; INDIA"/>
    <x v="0"/>
    <x v="0"/>
    <s v="Asia"/>
    <s v="Southern Asia"/>
    <s v="IN"/>
    <m/>
    <n v="1"/>
    <s v="CO2"/>
    <n v="689.3"/>
    <s v="RESTRICTED"/>
    <s v="KWH"/>
    <n v="1"/>
    <n v="1000"/>
    <s v="AR4"/>
    <s v="IEA"/>
    <s v="IEA (2022)"/>
    <n v="2022"/>
    <n v="2020"/>
    <n v="0"/>
    <n v="0"/>
    <x v="0"/>
    <s v="Office"/>
  </r>
  <r>
    <n v="293319"/>
    <s v="Top of Hierarchy &gt; Asia Pacific &gt; Vantage_Mumbai"/>
    <x v="0"/>
    <x v="0"/>
    <d v="2022-01-01T00:00:00"/>
    <d v="2022-12-31T00:00:00"/>
    <x v="0"/>
    <d v="2022-01-01T00:00:00"/>
    <d v="2022-12-31T00:00:00"/>
    <s v="Electricity (non-renewable)"/>
    <n v="1000"/>
    <s v="Kilowatt hours"/>
    <x v="0"/>
    <s v="shared facility; not sure actual value but have estimation"/>
    <s v="2023-05-08, 17:22"/>
    <s v="2023-07-20, 00:40"/>
    <n v="2022"/>
    <s v="electricity"/>
    <s v="Electricity"/>
    <s v="model"/>
    <b v="0"/>
    <s v="ELECTRICITY; INDIA"/>
    <x v="0"/>
    <x v="0"/>
    <s v="Asia"/>
    <s v="Southern Asia"/>
    <s v="IN"/>
    <m/>
    <n v="1"/>
    <s v="CO2E"/>
    <n v="692.9"/>
    <s v="RESTRICTED"/>
    <s v="KWH"/>
    <n v="1"/>
    <n v="1000"/>
    <s v="AR4"/>
    <s v="IEA"/>
    <s v="IEA (2022)"/>
    <n v="2022"/>
    <n v="2020"/>
    <n v="0"/>
    <n v="0.69289999999999996"/>
    <x v="0"/>
    <s v="Office"/>
  </r>
  <r>
    <n v="293319"/>
    <s v="Top of Hierarchy &gt; Asia Pacific &gt; Vantage_Mumbai"/>
    <x v="0"/>
    <x v="0"/>
    <d v="2022-01-01T00:00:00"/>
    <d v="2022-12-31T00:00:00"/>
    <x v="0"/>
    <d v="2022-01-01T00:00:00"/>
    <d v="2022-12-31T00:00:00"/>
    <s v="Electricity (non-renewable)"/>
    <n v="1000"/>
    <s v="Kilowatt hours"/>
    <x v="0"/>
    <s v="shared facility; not sure actual value but have estimation"/>
    <s v="2023-05-08, 17:22"/>
    <s v="2023-07-20, 00:40"/>
    <n v="2022"/>
    <s v="electricity"/>
    <s v="Electricity"/>
    <s v="model"/>
    <b v="0"/>
    <s v="ELECTRICITY; INDIA"/>
    <x v="0"/>
    <x v="0"/>
    <s v="Asia"/>
    <s v="Southern Asia"/>
    <s v="IN"/>
    <m/>
    <n v="1"/>
    <s v="N2O"/>
    <n v="3.3"/>
    <s v="RESTRICTED"/>
    <s v="KWH"/>
    <n v="1"/>
    <n v="1000"/>
    <s v="AR4"/>
    <s v="IEA"/>
    <s v="IEA (2022)"/>
    <n v="2022"/>
    <n v="2020"/>
    <n v="0"/>
    <n v="0"/>
    <x v="0"/>
    <s v="Office"/>
  </r>
  <r>
    <n v="293319"/>
    <s v="Top of Hierarchy &gt; Asia Pacific &gt; Vantage_Mumbai"/>
    <x v="0"/>
    <x v="0"/>
    <d v="2022-01-01T00:00:00"/>
    <d v="2022-12-31T00:00:00"/>
    <x v="0"/>
    <d v="2022-01-01T00:00:00"/>
    <d v="2022-12-31T00:00:00"/>
    <s v="Electricity (non-renewable)"/>
    <n v="1000"/>
    <s v="Kilowatt hours"/>
    <x v="0"/>
    <s v="shared facility; not sure actual value but have estimation"/>
    <s v="2023-05-08, 17:22"/>
    <s v="2023-07-20, 00:40"/>
    <n v="2022"/>
    <s v="electricity__t+d__wtt"/>
    <s v="Electricity T&amp;D WTT"/>
    <s v="t+d_wtt"/>
    <b v="0"/>
    <s v="ELECTRICITY T&amp;D WTT; INDIA"/>
    <x v="1"/>
    <x v="1"/>
    <s v="Asia"/>
    <s v="Southern Asia"/>
    <s v="IN"/>
    <m/>
    <n v="0"/>
    <s v="CO2E"/>
    <n v="28.278960470000001"/>
    <n v="2.8278959999999999E-2"/>
    <s v="KWH"/>
    <n v="1"/>
    <n v="1000"/>
    <s v="AR4"/>
    <s v="Anthesis"/>
    <s v="Anthesis (2022)"/>
    <n v="2022"/>
    <n v="2020"/>
    <n v="2.827896047E-2"/>
    <n v="0"/>
    <x v="0"/>
    <s v="Office"/>
  </r>
  <r>
    <n v="293319"/>
    <s v="Top of Hierarchy &gt; Asia Pacific &gt; Vantage_Mumbai"/>
    <x v="0"/>
    <x v="0"/>
    <d v="2022-01-01T00:00:00"/>
    <d v="2022-12-31T00:00:00"/>
    <x v="0"/>
    <d v="2022-01-01T00:00:00"/>
    <d v="2022-12-31T00:00:00"/>
    <s v="Electricity (non-renewable)"/>
    <n v="1000"/>
    <s v="Kilowatt hours"/>
    <x v="0"/>
    <s v="shared facility; not sure actual value but have estimation"/>
    <s v="2023-05-08, 17:22"/>
    <s v="2023-07-20, 00:40"/>
    <n v="2022"/>
    <s v="electricity__t+d__wtt"/>
    <s v="Electricity T&amp;D WTT"/>
    <s v="t+d_wtt"/>
    <b v="0"/>
    <s v="ELECTRICITY T&amp;D WTT; INDIA"/>
    <x v="1"/>
    <x v="1"/>
    <s v="Asia"/>
    <s v="Southern Asia"/>
    <s v="IN"/>
    <m/>
    <n v="1"/>
    <s v="CO2E"/>
    <n v="28.278960470000001"/>
    <n v="2.8278959999999999E-2"/>
    <s v="KWH"/>
    <n v="1"/>
    <n v="1000"/>
    <s v="AR4"/>
    <s v="Anthesis"/>
    <s v="Anthesis (2022)"/>
    <n v="2022"/>
    <n v="2020"/>
    <n v="0"/>
    <n v="2.827896047E-2"/>
    <x v="0"/>
    <s v="Office"/>
  </r>
  <r>
    <n v="293319"/>
    <s v="Top of Hierarchy &gt; Asia Pacific &gt; Vantage_Mumbai"/>
    <x v="0"/>
    <x v="0"/>
    <d v="2022-01-01T00:00:00"/>
    <d v="2022-12-31T00:00:00"/>
    <x v="0"/>
    <d v="2022-01-01T00:00:00"/>
    <d v="2022-12-31T00:00:00"/>
    <s v="Electricity (non-renewable)"/>
    <n v="1000"/>
    <s v="Kilowatt hours"/>
    <x v="0"/>
    <s v="shared facility; not sure actual value but have estimation"/>
    <s v="2023-05-08, 17:22"/>
    <s v="2023-07-20, 00:40"/>
    <n v="2022"/>
    <s v="electricity__wtt"/>
    <s v="Electricity WTT"/>
    <s v="wtt"/>
    <b v="0"/>
    <s v="ELECTRICITY WTT; INDIA"/>
    <x v="1"/>
    <x v="1"/>
    <s v="Asia"/>
    <s v="Southern Asia"/>
    <s v="IN"/>
    <m/>
    <n v="0"/>
    <s v="CO2E"/>
    <n v="159.82456529999999"/>
    <n v="0.159824565"/>
    <s v="KWH"/>
    <n v="1"/>
    <n v="1000"/>
    <s v="AR4"/>
    <s v="Anthesis"/>
    <s v="Anthesis (2022)"/>
    <n v="2022"/>
    <n v="2020"/>
    <n v="0.1598245653"/>
    <n v="0"/>
    <x v="0"/>
    <s v="Office"/>
  </r>
  <r>
    <n v="293319"/>
    <s v="Top of Hierarchy &gt; Asia Pacific &gt; Vantage_Mumbai"/>
    <x v="0"/>
    <x v="0"/>
    <d v="2022-01-01T00:00:00"/>
    <d v="2022-12-31T00:00:00"/>
    <x v="0"/>
    <d v="2022-01-01T00:00:00"/>
    <d v="2022-12-31T00:00:00"/>
    <s v="Electricity (non-renewable)"/>
    <n v="1000"/>
    <s v="Kilowatt hours"/>
    <x v="0"/>
    <s v="shared facility; not sure actual value but have estimation"/>
    <s v="2023-05-08, 17:22"/>
    <s v="2023-07-20, 00:40"/>
    <n v="2022"/>
    <s v="electricity__wtt"/>
    <s v="Electricity WTT"/>
    <s v="wtt"/>
    <b v="0"/>
    <s v="ELECTRICITY WTT; INDIA"/>
    <x v="1"/>
    <x v="1"/>
    <s v="Asia"/>
    <s v="Southern Asia"/>
    <s v="IN"/>
    <m/>
    <n v="1"/>
    <s v="CO2E"/>
    <n v="159.82456529999999"/>
    <n v="0.159824565"/>
    <s v="KWH"/>
    <n v="1"/>
    <n v="1000"/>
    <s v="AR4"/>
    <s v="Anthesis"/>
    <s v="Anthesis (2022)"/>
    <n v="2022"/>
    <n v="2020"/>
    <n v="0"/>
    <n v="0.1598245653"/>
    <x v="0"/>
    <s v="Office"/>
  </r>
  <r>
    <n v="293319"/>
    <s v="Top of Hierarchy &gt; Asia Pacific &gt; Vantage_Mumbai"/>
    <x v="0"/>
    <x v="0"/>
    <d v="2022-01-01T00:00:00"/>
    <d v="2022-12-31T00:00:00"/>
    <x v="0"/>
    <d v="2022-01-01T00:00:00"/>
    <d v="2022-12-31T00:00:00"/>
    <s v="Electricity (non-renewable)"/>
    <n v="1000"/>
    <s v="Kilowatt hours"/>
    <x v="0"/>
    <s v="shared facility; not sure actual value but have estimation"/>
    <s v="2023-05-08, 17:22"/>
    <s v="2023-07-20, 00:40"/>
    <n v="2022"/>
    <s v="electricity__t+d"/>
    <s v="Electricity T&amp;D"/>
    <s v="t+d"/>
    <b v="0"/>
    <s v="ELECTRICITY; TRANSMISSION AND DISTRIBUTION; INDIA"/>
    <x v="1"/>
    <x v="1"/>
    <s v="Asia"/>
    <s v="Southern Asia"/>
    <s v="IN"/>
    <m/>
    <n v="0"/>
    <s v="CO2E"/>
    <n v="122.6"/>
    <s v="RESTRICTED"/>
    <s v="KWH"/>
    <n v="1"/>
    <n v="1000"/>
    <s v="AR4"/>
    <s v="IEA"/>
    <s v="IEA (2022)"/>
    <n v="2022"/>
    <n v="2020"/>
    <n v="0.1226"/>
    <n v="0"/>
    <x v="0"/>
    <s v="Office"/>
  </r>
  <r>
    <n v="293319"/>
    <s v="Top of Hierarchy &gt; Asia Pacific &gt; Vantage_Mumbai"/>
    <x v="0"/>
    <x v="0"/>
    <d v="2022-01-01T00:00:00"/>
    <d v="2022-12-31T00:00:00"/>
    <x v="0"/>
    <d v="2022-01-01T00:00:00"/>
    <d v="2022-12-31T00:00:00"/>
    <s v="Electricity (non-renewable)"/>
    <n v="1000"/>
    <s v="Kilowatt hours"/>
    <x v="0"/>
    <s v="shared facility; not sure actual value but have estimation"/>
    <s v="2023-05-08, 17:22"/>
    <s v="2023-07-20, 00:40"/>
    <n v="2022"/>
    <s v="electricity__t+d"/>
    <s v="Electricity T&amp;D"/>
    <s v="t+d"/>
    <b v="0"/>
    <s v="ELECTRICITY; TRANSMISSION AND DISTRIBUTION; INDIA"/>
    <x v="1"/>
    <x v="1"/>
    <s v="Asia"/>
    <s v="Southern Asia"/>
    <s v="IN"/>
    <m/>
    <n v="1"/>
    <s v="CO2E"/>
    <n v="122.6"/>
    <s v="RESTRICTED"/>
    <s v="KWH"/>
    <n v="1"/>
    <n v="1000"/>
    <s v="AR4"/>
    <s v="IEA"/>
    <s v="IEA (2022)"/>
    <n v="2022"/>
    <n v="2020"/>
    <n v="0"/>
    <n v="0.1226"/>
    <x v="0"/>
    <s v="Office"/>
  </r>
  <r>
    <n v="293321"/>
    <s v="Top of Hierarchy &gt; Asia Pacific &gt; Vantage_Mumbai"/>
    <x v="0"/>
    <x v="0"/>
    <d v="2022-01-01T00:00:00"/>
    <d v="2022-12-31T00:00:00"/>
    <x v="1"/>
    <d v="2022-01-01T00:00:00"/>
    <d v="2022-12-31T00:00:00"/>
    <s v="Diesel (average biofuel blend)"/>
    <n v="0"/>
    <s v="US liquid gallons"/>
    <x v="1"/>
    <m/>
    <s v="2023-05-08, 17:23"/>
    <s v="2023-07-20, 00:40"/>
    <n v="2022"/>
    <s v="diesel_avg_biofuel_blend"/>
    <s v="Diesel (Average Biofuel Blend)"/>
    <s v="model"/>
    <b v="0"/>
    <s v="FUELS; LIQUID FUELS; DIESEL (AVERAGE BIOFUEL BLEND)"/>
    <x v="2"/>
    <x v="0"/>
    <m/>
    <m/>
    <m/>
    <m/>
    <n v="0"/>
    <s v="CH4"/>
    <n v="0"/>
    <n v="2.5999999999999998E-4"/>
    <s v="LITRES"/>
    <n v="3.7854100000000002"/>
    <n v="0"/>
    <s v="AR4"/>
    <s v="Defra"/>
    <s v="Defra (2022)"/>
    <n v="2022"/>
    <n v="2020"/>
    <n v="0"/>
    <n v="0"/>
    <x v="0"/>
    <s v="Office"/>
  </r>
  <r>
    <n v="293321"/>
    <s v="Top of Hierarchy &gt; Asia Pacific &gt; Vantage_Mumbai"/>
    <x v="0"/>
    <x v="0"/>
    <d v="2022-01-01T00:00:00"/>
    <d v="2022-12-31T00:00:00"/>
    <x v="1"/>
    <d v="2022-01-01T00:00:00"/>
    <d v="2022-12-31T00:00:00"/>
    <s v="Diesel (average biofuel blend)"/>
    <n v="0"/>
    <s v="US liquid gallons"/>
    <x v="1"/>
    <m/>
    <s v="2023-05-08, 17:23"/>
    <s v="2023-07-20, 00:40"/>
    <n v="2022"/>
    <s v="diesel_avg_biofuel_blend"/>
    <s v="Diesel (Average Biofuel Blend)"/>
    <s v="model"/>
    <b v="0"/>
    <s v="FUELS; LIQUID FUELS; DIESEL (AVERAGE BIOFUEL BLEND)"/>
    <x v="2"/>
    <x v="0"/>
    <m/>
    <m/>
    <m/>
    <m/>
    <n v="0"/>
    <s v="CO2"/>
    <n v="0"/>
    <n v="2.5205799999999998"/>
    <s v="LITRES"/>
    <n v="3.7854100000000002"/>
    <n v="0"/>
    <s v="AR4"/>
    <s v="Defra"/>
    <s v="Defra (2022)"/>
    <n v="2022"/>
    <n v="2020"/>
    <n v="0"/>
    <n v="0"/>
    <x v="0"/>
    <s v="Office"/>
  </r>
  <r>
    <n v="293321"/>
    <s v="Top of Hierarchy &gt; Asia Pacific &gt; Vantage_Mumbai"/>
    <x v="0"/>
    <x v="0"/>
    <d v="2022-01-01T00:00:00"/>
    <d v="2022-12-31T00:00:00"/>
    <x v="1"/>
    <d v="2022-01-01T00:00:00"/>
    <d v="2022-12-31T00:00:00"/>
    <s v="Diesel (average biofuel blend)"/>
    <n v="0"/>
    <s v="US liquid gallons"/>
    <x v="1"/>
    <m/>
    <s v="2023-05-08, 17:23"/>
    <s v="2023-07-20, 00:40"/>
    <n v="2022"/>
    <s v="diesel_avg_biofuel_blend"/>
    <s v="Diesel (Average Biofuel Blend)"/>
    <s v="model"/>
    <b v="0"/>
    <s v="FUELS; LIQUID FUELS; DIESEL (AVERAGE BIOFUEL BLEND)"/>
    <x v="2"/>
    <x v="0"/>
    <m/>
    <m/>
    <m/>
    <m/>
    <n v="0"/>
    <s v="CO2E"/>
    <n v="0"/>
    <n v="2.5578400000000001"/>
    <s v="LITRES"/>
    <n v="3.7854100000000002"/>
    <n v="0"/>
    <s v="AR4"/>
    <s v="Defra"/>
    <s v="Defra (2022)"/>
    <n v="2022"/>
    <n v="2020"/>
    <n v="0"/>
    <n v="0"/>
    <x v="0"/>
    <s v="Office"/>
  </r>
  <r>
    <n v="293321"/>
    <s v="Top of Hierarchy &gt; Asia Pacific &gt; Vantage_Mumbai"/>
    <x v="0"/>
    <x v="0"/>
    <d v="2022-01-01T00:00:00"/>
    <d v="2022-12-31T00:00:00"/>
    <x v="1"/>
    <d v="2022-01-01T00:00:00"/>
    <d v="2022-12-31T00:00:00"/>
    <s v="Diesel (average biofuel blend)"/>
    <n v="0"/>
    <s v="US liquid gallons"/>
    <x v="1"/>
    <m/>
    <s v="2023-05-08, 17:23"/>
    <s v="2023-07-20, 00:40"/>
    <n v="2022"/>
    <s v="diesel_avg_biofuel_blend"/>
    <s v="Diesel (Average Biofuel Blend)"/>
    <s v="model"/>
    <b v="0"/>
    <s v="FUELS; LIQUID FUELS; DIESEL (AVERAGE BIOFUEL BLEND)"/>
    <x v="2"/>
    <x v="0"/>
    <m/>
    <m/>
    <m/>
    <m/>
    <n v="0"/>
    <s v="N2O"/>
    <n v="0"/>
    <n v="3.6999999999999998E-2"/>
    <s v="LITRES"/>
    <n v="3.7854100000000002"/>
    <n v="0"/>
    <s v="AR4"/>
    <s v="Defra"/>
    <s v="Defra (2022)"/>
    <n v="2022"/>
    <n v="2020"/>
    <n v="0"/>
    <n v="0"/>
    <x v="0"/>
    <s v="Office"/>
  </r>
  <r>
    <n v="293321"/>
    <s v="Top of Hierarchy &gt; Asia Pacific &gt; Vantage_Mumbai"/>
    <x v="0"/>
    <x v="0"/>
    <d v="2022-01-01T00:00:00"/>
    <d v="2022-12-31T00:00:00"/>
    <x v="1"/>
    <d v="2022-01-01T00:00:00"/>
    <d v="2022-12-31T00:00:00"/>
    <s v="Diesel (average biofuel blend)"/>
    <n v="0"/>
    <s v="US liquid gallons"/>
    <x v="1"/>
    <m/>
    <s v="2023-05-08, 17:23"/>
    <s v="2023-07-20, 00:40"/>
    <n v="2022"/>
    <s v="diesel_avg_biofuel_blend"/>
    <s v="Diesel (Average Biofuel Blend)"/>
    <s v="model"/>
    <b v="0"/>
    <s v="FUELS; LIQUID FUELS; DIESEL (AVERAGE BIOFUEL BLEND)"/>
    <x v="2"/>
    <x v="0"/>
    <m/>
    <m/>
    <m/>
    <m/>
    <n v="1"/>
    <s v="CH4"/>
    <n v="0"/>
    <n v="2.5999999999999998E-4"/>
    <s v="LITRES"/>
    <n v="3.7854100000000002"/>
    <n v="0"/>
    <s v="AR4"/>
    <s v="Defra"/>
    <s v="Defra (2022)"/>
    <n v="2022"/>
    <n v="2020"/>
    <n v="0"/>
    <n v="0"/>
    <x v="0"/>
    <s v="Office"/>
  </r>
  <r>
    <n v="293321"/>
    <s v="Top of Hierarchy &gt; Asia Pacific &gt; Vantage_Mumbai"/>
    <x v="0"/>
    <x v="0"/>
    <d v="2022-01-01T00:00:00"/>
    <d v="2022-12-31T00:00:00"/>
    <x v="1"/>
    <d v="2022-01-01T00:00:00"/>
    <d v="2022-12-31T00:00:00"/>
    <s v="Diesel (average biofuel blend)"/>
    <n v="0"/>
    <s v="US liquid gallons"/>
    <x v="1"/>
    <m/>
    <s v="2023-05-08, 17:23"/>
    <s v="2023-07-20, 00:40"/>
    <n v="2022"/>
    <s v="diesel_avg_biofuel_blend"/>
    <s v="Diesel (Average Biofuel Blend)"/>
    <s v="model"/>
    <b v="0"/>
    <s v="FUELS; LIQUID FUELS; DIESEL (AVERAGE BIOFUEL BLEND)"/>
    <x v="2"/>
    <x v="0"/>
    <m/>
    <m/>
    <m/>
    <m/>
    <n v="1"/>
    <s v="CO2"/>
    <n v="0"/>
    <n v="2.5205799999999998"/>
    <s v="LITRES"/>
    <n v="3.7854100000000002"/>
    <n v="0"/>
    <s v="AR4"/>
    <s v="Defra"/>
    <s v="Defra (2022)"/>
    <n v="2022"/>
    <n v="2020"/>
    <n v="0"/>
    <n v="0"/>
    <x v="0"/>
    <s v="Office"/>
  </r>
  <r>
    <n v="293321"/>
    <s v="Top of Hierarchy &gt; Asia Pacific &gt; Vantage_Mumbai"/>
    <x v="0"/>
    <x v="0"/>
    <d v="2022-01-01T00:00:00"/>
    <d v="2022-12-31T00:00:00"/>
    <x v="1"/>
    <d v="2022-01-01T00:00:00"/>
    <d v="2022-12-31T00:00:00"/>
    <s v="Diesel (average biofuel blend)"/>
    <n v="0"/>
    <s v="US liquid gallons"/>
    <x v="1"/>
    <m/>
    <s v="2023-05-08, 17:23"/>
    <s v="2023-07-20, 00:40"/>
    <n v="2022"/>
    <s v="diesel_avg_biofuel_blend"/>
    <s v="Diesel (Average Biofuel Blend)"/>
    <s v="model"/>
    <b v="0"/>
    <s v="FUELS; LIQUID FUELS; DIESEL (AVERAGE BIOFUEL BLEND)"/>
    <x v="2"/>
    <x v="0"/>
    <m/>
    <m/>
    <m/>
    <m/>
    <n v="1"/>
    <s v="CO2E"/>
    <n v="0"/>
    <n v="2.5578400000000001"/>
    <s v="LITRES"/>
    <n v="3.7854100000000002"/>
    <n v="0"/>
    <s v="AR4"/>
    <s v="Defra"/>
    <s v="Defra (2022)"/>
    <n v="2022"/>
    <n v="2020"/>
    <n v="0"/>
    <n v="0"/>
    <x v="0"/>
    <s v="Office"/>
  </r>
  <r>
    <n v="293321"/>
    <s v="Top of Hierarchy &gt; Asia Pacific &gt; Vantage_Mumbai"/>
    <x v="0"/>
    <x v="0"/>
    <d v="2022-01-01T00:00:00"/>
    <d v="2022-12-31T00:00:00"/>
    <x v="1"/>
    <d v="2022-01-01T00:00:00"/>
    <d v="2022-12-31T00:00:00"/>
    <s v="Diesel (average biofuel blend)"/>
    <n v="0"/>
    <s v="US liquid gallons"/>
    <x v="1"/>
    <m/>
    <s v="2023-05-08, 17:23"/>
    <s v="2023-07-20, 00:40"/>
    <n v="2022"/>
    <s v="diesel_avg_biofuel_blend"/>
    <s v="Diesel (Average Biofuel Blend)"/>
    <s v="model"/>
    <b v="0"/>
    <s v="FUELS; LIQUID FUELS; DIESEL (AVERAGE BIOFUEL BLEND)"/>
    <x v="2"/>
    <x v="0"/>
    <m/>
    <m/>
    <m/>
    <m/>
    <n v="1"/>
    <s v="N2O"/>
    <n v="0"/>
    <n v="3.6999999999999998E-2"/>
    <s v="LITRES"/>
    <n v="3.7854100000000002"/>
    <n v="0"/>
    <s v="AR4"/>
    <s v="Defra"/>
    <s v="Defra (2022)"/>
    <n v="2022"/>
    <n v="2020"/>
    <n v="0"/>
    <n v="0"/>
    <x v="0"/>
    <s v="Office"/>
  </r>
  <r>
    <n v="293321"/>
    <s v="Top of Hierarchy &gt; Asia Pacific &gt; Vantage_Mumbai"/>
    <x v="0"/>
    <x v="0"/>
    <d v="2022-01-01T00:00:00"/>
    <d v="2022-12-31T00:00:00"/>
    <x v="1"/>
    <d v="2022-01-01T00:00:00"/>
    <d v="2022-12-31T00:00:00"/>
    <s v="Diesel (average biofuel blend)"/>
    <n v="0"/>
    <s v="US liquid gallons"/>
    <x v="1"/>
    <m/>
    <s v="2023-05-08, 17:23"/>
    <s v="2023-07-20, 00:40"/>
    <n v="2022"/>
    <s v="diesel_avg_biofuel_blend__wtt"/>
    <s v="Diesel (Average Biofuel Blend) WTT"/>
    <s v="wtt"/>
    <b v="0"/>
    <s v="WTT- FUELS; LIQUID FUELS; DIESEL (AVERAGE BIOFUEL BLEND)"/>
    <x v="1"/>
    <x v="1"/>
    <m/>
    <m/>
    <m/>
    <m/>
    <n v="0"/>
    <s v="CO2E"/>
    <n v="0"/>
    <n v="0.60985999999999996"/>
    <s v="LITRES"/>
    <n v="3.7854100000000002"/>
    <n v="0"/>
    <s v="AR4"/>
    <s v="Defra"/>
    <s v="Defra (2022)"/>
    <n v="2022"/>
    <n v="2020"/>
    <n v="0"/>
    <n v="0"/>
    <x v="0"/>
    <s v="Office"/>
  </r>
  <r>
    <n v="293321"/>
    <s v="Top of Hierarchy &gt; Asia Pacific &gt; Vantage_Mumbai"/>
    <x v="0"/>
    <x v="0"/>
    <d v="2022-01-01T00:00:00"/>
    <d v="2022-12-31T00:00:00"/>
    <x v="1"/>
    <d v="2022-01-01T00:00:00"/>
    <d v="2022-12-31T00:00:00"/>
    <s v="Diesel (average biofuel blend)"/>
    <n v="0"/>
    <s v="US liquid gallons"/>
    <x v="1"/>
    <m/>
    <s v="2023-05-08, 17:23"/>
    <s v="2023-07-20, 00:40"/>
    <n v="2022"/>
    <s v="diesel_avg_biofuel_blend__wtt"/>
    <s v="Diesel (Average Biofuel Blend) WTT"/>
    <s v="wtt"/>
    <b v="0"/>
    <s v="WTT- FUELS; LIQUID FUELS; DIESEL (AVERAGE BIOFUEL BLEND)"/>
    <x v="1"/>
    <x v="1"/>
    <m/>
    <m/>
    <m/>
    <m/>
    <n v="1"/>
    <s v="CO2E"/>
    <n v="0"/>
    <n v="0.60985999999999996"/>
    <s v="LITRES"/>
    <n v="3.7854100000000002"/>
    <n v="0"/>
    <s v="AR4"/>
    <s v="Defra"/>
    <s v="Defra (2022)"/>
    <n v="2022"/>
    <n v="2020"/>
    <n v="0"/>
    <n v="0"/>
    <x v="0"/>
    <s v="Office"/>
  </r>
  <r>
    <n v="293323"/>
    <s v="Top of Hierarchy &gt; Asia Pacific &gt; Vantage_Mumbai"/>
    <x v="0"/>
    <x v="0"/>
    <d v="2022-01-01T00:00:00"/>
    <d v="2022-12-31T00:00:00"/>
    <x v="2"/>
    <d v="2022-01-01T00:00:00"/>
    <d v="2022-12-31T00:00:00"/>
    <s v="Propane"/>
    <n v="0"/>
    <s v="US liquid gallons"/>
    <x v="1"/>
    <m/>
    <s v="2023-05-08, 17:23"/>
    <s v="2023-07-20, 00:40"/>
    <n v="2022"/>
    <s v="propane"/>
    <s v="Propane"/>
    <s v="model"/>
    <b v="0"/>
    <s v="FUELS; GASEOUS FUELS; PROPANE"/>
    <x v="2"/>
    <x v="0"/>
    <m/>
    <m/>
    <m/>
    <m/>
    <n v="0"/>
    <s v="CH4"/>
    <n v="0"/>
    <n v="1.1900000000000001E-3"/>
    <s v="LITRES"/>
    <n v="3.7854100000000002"/>
    <n v="0"/>
    <s v="AR4"/>
    <s v="Defra"/>
    <s v="Defra (2022)"/>
    <n v="2022"/>
    <n v="2020"/>
    <n v="0"/>
    <n v="0"/>
    <x v="0"/>
    <s v="Office"/>
  </r>
  <r>
    <n v="293323"/>
    <s v="Top of Hierarchy &gt; Asia Pacific &gt; Vantage_Mumbai"/>
    <x v="0"/>
    <x v="0"/>
    <d v="2022-01-01T00:00:00"/>
    <d v="2022-12-31T00:00:00"/>
    <x v="2"/>
    <d v="2022-01-01T00:00:00"/>
    <d v="2022-12-31T00:00:00"/>
    <s v="Propane"/>
    <n v="0"/>
    <s v="US liquid gallons"/>
    <x v="1"/>
    <m/>
    <s v="2023-05-08, 17:23"/>
    <s v="2023-07-20, 00:40"/>
    <n v="2022"/>
    <s v="propane"/>
    <s v="Propane"/>
    <s v="model"/>
    <b v="0"/>
    <s v="FUELS; GASEOUS FUELS; PROPANE"/>
    <x v="2"/>
    <x v="0"/>
    <m/>
    <m/>
    <m/>
    <m/>
    <n v="0"/>
    <s v="CO2"/>
    <n v="0"/>
    <n v="1.5414000000000001"/>
    <s v="LITRES"/>
    <n v="3.7854100000000002"/>
    <n v="0"/>
    <s v="AR4"/>
    <s v="Defra"/>
    <s v="Defra (2022)"/>
    <n v="2022"/>
    <n v="2020"/>
    <n v="0"/>
    <n v="0"/>
    <x v="0"/>
    <s v="Office"/>
  </r>
  <r>
    <n v="293323"/>
    <s v="Top of Hierarchy &gt; Asia Pacific &gt; Vantage_Mumbai"/>
    <x v="0"/>
    <x v="0"/>
    <d v="2022-01-01T00:00:00"/>
    <d v="2022-12-31T00:00:00"/>
    <x v="2"/>
    <d v="2022-01-01T00:00:00"/>
    <d v="2022-12-31T00:00:00"/>
    <s v="Propane"/>
    <n v="0"/>
    <s v="US liquid gallons"/>
    <x v="1"/>
    <m/>
    <s v="2023-05-08, 17:23"/>
    <s v="2023-07-20, 00:40"/>
    <n v="2022"/>
    <s v="propane"/>
    <s v="Propane"/>
    <s v="model"/>
    <b v="0"/>
    <s v="FUELS; GASEOUS FUELS; PROPANE"/>
    <x v="2"/>
    <x v="0"/>
    <m/>
    <m/>
    <m/>
    <m/>
    <n v="0"/>
    <s v="CO2E"/>
    <n v="0"/>
    <n v="1.5435399999999999"/>
    <s v="LITRES"/>
    <n v="3.7854100000000002"/>
    <n v="0"/>
    <s v="AR4"/>
    <s v="Defra"/>
    <s v="Defra (2022)"/>
    <n v="2022"/>
    <n v="2020"/>
    <n v="0"/>
    <n v="0"/>
    <x v="0"/>
    <s v="Office"/>
  </r>
  <r>
    <n v="293323"/>
    <s v="Top of Hierarchy &gt; Asia Pacific &gt; Vantage_Mumbai"/>
    <x v="0"/>
    <x v="0"/>
    <d v="2022-01-01T00:00:00"/>
    <d v="2022-12-31T00:00:00"/>
    <x v="2"/>
    <d v="2022-01-01T00:00:00"/>
    <d v="2022-12-31T00:00:00"/>
    <s v="Propane"/>
    <n v="0"/>
    <s v="US liquid gallons"/>
    <x v="1"/>
    <m/>
    <s v="2023-05-08, 17:23"/>
    <s v="2023-07-20, 00:40"/>
    <n v="2022"/>
    <s v="propane"/>
    <s v="Propane"/>
    <s v="model"/>
    <b v="0"/>
    <s v="FUELS; GASEOUS FUELS; PROPANE"/>
    <x v="2"/>
    <x v="0"/>
    <m/>
    <m/>
    <m/>
    <m/>
    <n v="0"/>
    <s v="N2O"/>
    <n v="0"/>
    <n v="9.5E-4"/>
    <s v="LITRES"/>
    <n v="3.7854100000000002"/>
    <n v="0"/>
    <s v="AR4"/>
    <s v="Defra"/>
    <s v="Defra (2022)"/>
    <n v="2022"/>
    <n v="2020"/>
    <n v="0"/>
    <n v="0"/>
    <x v="0"/>
    <s v="Office"/>
  </r>
  <r>
    <n v="293323"/>
    <s v="Top of Hierarchy &gt; Asia Pacific &gt; Vantage_Mumbai"/>
    <x v="0"/>
    <x v="0"/>
    <d v="2022-01-01T00:00:00"/>
    <d v="2022-12-31T00:00:00"/>
    <x v="2"/>
    <d v="2022-01-01T00:00:00"/>
    <d v="2022-12-31T00:00:00"/>
    <s v="Propane"/>
    <n v="0"/>
    <s v="US liquid gallons"/>
    <x v="1"/>
    <m/>
    <s v="2023-05-08, 17:23"/>
    <s v="2023-07-20, 00:40"/>
    <n v="2022"/>
    <s v="propane"/>
    <s v="Propane"/>
    <s v="model"/>
    <b v="0"/>
    <s v="FUELS; GASEOUS FUELS; PROPANE"/>
    <x v="2"/>
    <x v="0"/>
    <m/>
    <m/>
    <m/>
    <m/>
    <n v="1"/>
    <s v="CH4"/>
    <n v="0"/>
    <n v="1.1900000000000001E-3"/>
    <s v="LITRES"/>
    <n v="3.7854100000000002"/>
    <n v="0"/>
    <s v="AR4"/>
    <s v="Defra"/>
    <s v="Defra (2022)"/>
    <n v="2022"/>
    <n v="2020"/>
    <n v="0"/>
    <n v="0"/>
    <x v="0"/>
    <s v="Office"/>
  </r>
  <r>
    <n v="293323"/>
    <s v="Top of Hierarchy &gt; Asia Pacific &gt; Vantage_Mumbai"/>
    <x v="0"/>
    <x v="0"/>
    <d v="2022-01-01T00:00:00"/>
    <d v="2022-12-31T00:00:00"/>
    <x v="2"/>
    <d v="2022-01-01T00:00:00"/>
    <d v="2022-12-31T00:00:00"/>
    <s v="Propane"/>
    <n v="0"/>
    <s v="US liquid gallons"/>
    <x v="1"/>
    <m/>
    <s v="2023-05-08, 17:23"/>
    <s v="2023-07-20, 00:40"/>
    <n v="2022"/>
    <s v="propane"/>
    <s v="Propane"/>
    <s v="model"/>
    <b v="0"/>
    <s v="FUELS; GASEOUS FUELS; PROPANE"/>
    <x v="2"/>
    <x v="0"/>
    <m/>
    <m/>
    <m/>
    <m/>
    <n v="1"/>
    <s v="CO2"/>
    <n v="0"/>
    <n v="1.5414000000000001"/>
    <s v="LITRES"/>
    <n v="3.7854100000000002"/>
    <n v="0"/>
    <s v="AR4"/>
    <s v="Defra"/>
    <s v="Defra (2022)"/>
    <n v="2022"/>
    <n v="2020"/>
    <n v="0"/>
    <n v="0"/>
    <x v="0"/>
    <s v="Office"/>
  </r>
  <r>
    <n v="293323"/>
    <s v="Top of Hierarchy &gt; Asia Pacific &gt; Vantage_Mumbai"/>
    <x v="0"/>
    <x v="0"/>
    <d v="2022-01-01T00:00:00"/>
    <d v="2022-12-31T00:00:00"/>
    <x v="2"/>
    <d v="2022-01-01T00:00:00"/>
    <d v="2022-12-31T00:00:00"/>
    <s v="Propane"/>
    <n v="0"/>
    <s v="US liquid gallons"/>
    <x v="1"/>
    <m/>
    <s v="2023-05-08, 17:23"/>
    <s v="2023-07-20, 00:40"/>
    <n v="2022"/>
    <s v="propane"/>
    <s v="Propane"/>
    <s v="model"/>
    <b v="0"/>
    <s v="FUELS; GASEOUS FUELS; PROPANE"/>
    <x v="2"/>
    <x v="0"/>
    <m/>
    <m/>
    <m/>
    <m/>
    <n v="1"/>
    <s v="CO2E"/>
    <n v="0"/>
    <n v="1.5435399999999999"/>
    <s v="LITRES"/>
    <n v="3.7854100000000002"/>
    <n v="0"/>
    <s v="AR4"/>
    <s v="Defra"/>
    <s v="Defra (2022)"/>
    <n v="2022"/>
    <n v="2020"/>
    <n v="0"/>
    <n v="0"/>
    <x v="0"/>
    <s v="Office"/>
  </r>
  <r>
    <n v="293323"/>
    <s v="Top of Hierarchy &gt; Asia Pacific &gt; Vantage_Mumbai"/>
    <x v="0"/>
    <x v="0"/>
    <d v="2022-01-01T00:00:00"/>
    <d v="2022-12-31T00:00:00"/>
    <x v="2"/>
    <d v="2022-01-01T00:00:00"/>
    <d v="2022-12-31T00:00:00"/>
    <s v="Propane"/>
    <n v="0"/>
    <s v="US liquid gallons"/>
    <x v="1"/>
    <m/>
    <s v="2023-05-08, 17:23"/>
    <s v="2023-07-20, 00:40"/>
    <n v="2022"/>
    <s v="propane"/>
    <s v="Propane"/>
    <s v="model"/>
    <b v="0"/>
    <s v="FUELS; GASEOUS FUELS; PROPANE"/>
    <x v="2"/>
    <x v="0"/>
    <m/>
    <m/>
    <m/>
    <m/>
    <n v="1"/>
    <s v="N2O"/>
    <n v="0"/>
    <n v="9.5E-4"/>
    <s v="LITRES"/>
    <n v="3.7854100000000002"/>
    <n v="0"/>
    <s v="AR4"/>
    <s v="Defra"/>
    <s v="Defra (2022)"/>
    <n v="2022"/>
    <n v="2020"/>
    <n v="0"/>
    <n v="0"/>
    <x v="0"/>
    <s v="Office"/>
  </r>
  <r>
    <n v="293323"/>
    <s v="Top of Hierarchy &gt; Asia Pacific &gt; Vantage_Mumbai"/>
    <x v="0"/>
    <x v="0"/>
    <d v="2022-01-01T00:00:00"/>
    <d v="2022-12-31T00:00:00"/>
    <x v="2"/>
    <d v="2022-01-01T00:00:00"/>
    <d v="2022-12-31T00:00:00"/>
    <s v="Propane"/>
    <n v="0"/>
    <s v="US liquid gallons"/>
    <x v="1"/>
    <m/>
    <s v="2023-05-08, 17:23"/>
    <s v="2023-07-20, 00:40"/>
    <n v="2022"/>
    <s v="propane__wtt"/>
    <s v="Propane WTT"/>
    <s v="wtt"/>
    <b v="0"/>
    <s v="WTT- FUELS; GASEOUS FUELS; PROPANE"/>
    <x v="1"/>
    <x v="1"/>
    <m/>
    <m/>
    <m/>
    <m/>
    <n v="0"/>
    <s v="CO2E"/>
    <n v="0"/>
    <n v="0.18046000000000001"/>
    <s v="LITRES"/>
    <n v="3.7854100000000002"/>
    <n v="0"/>
    <s v="AR4"/>
    <s v="Defra"/>
    <s v="Defra (2022)"/>
    <n v="2022"/>
    <n v="2020"/>
    <n v="0"/>
    <n v="0"/>
    <x v="0"/>
    <s v="Office"/>
  </r>
  <r>
    <n v="293323"/>
    <s v="Top of Hierarchy &gt; Asia Pacific &gt; Vantage_Mumbai"/>
    <x v="0"/>
    <x v="0"/>
    <d v="2022-01-01T00:00:00"/>
    <d v="2022-12-31T00:00:00"/>
    <x v="2"/>
    <d v="2022-01-01T00:00:00"/>
    <d v="2022-12-31T00:00:00"/>
    <s v="Propane"/>
    <n v="0"/>
    <s v="US liquid gallons"/>
    <x v="1"/>
    <m/>
    <s v="2023-05-08, 17:23"/>
    <s v="2023-07-20, 00:40"/>
    <n v="2022"/>
    <s v="propane__wtt"/>
    <s v="Propane WTT"/>
    <s v="wtt"/>
    <b v="0"/>
    <s v="WTT- FUELS; GASEOUS FUELS; PROPANE"/>
    <x v="1"/>
    <x v="1"/>
    <m/>
    <m/>
    <m/>
    <m/>
    <n v="1"/>
    <s v="CO2E"/>
    <n v="0"/>
    <n v="0.18046000000000001"/>
    <s v="LITRES"/>
    <n v="3.7854100000000002"/>
    <n v="0"/>
    <s v="AR4"/>
    <s v="Defra"/>
    <s v="Defra (2022)"/>
    <n v="2022"/>
    <n v="2020"/>
    <n v="0"/>
    <n v="0"/>
    <x v="0"/>
    <s v="Office"/>
  </r>
  <r>
    <n v="4957"/>
    <s v="Top of Hierarchy &gt; Asia Pacific &gt; Vantage_Mumbai"/>
    <x v="0"/>
    <x v="1"/>
    <d v="2021-01-01T00:00:00"/>
    <d v="2021-12-31T00:00:00"/>
    <x v="0"/>
    <d v="2021-01-01T00:00:00"/>
    <d v="2021-12-31T00:00:00"/>
    <s v="Electricity (non-renewable)"/>
    <n v="2441.65"/>
    <s v="Kilowatt hours"/>
    <x v="0"/>
    <m/>
    <s v="2023-02-27, 16:27"/>
    <s v="2023-07-20, 00:40"/>
    <n v="2021"/>
    <s v="electricity"/>
    <s v="Electricity"/>
    <s v="model"/>
    <b v="0"/>
    <s v="ELECTRICITY; INDIA"/>
    <x v="0"/>
    <x v="0"/>
    <s v="Asia"/>
    <s v="Southern Asia"/>
    <s v="IN"/>
    <m/>
    <n v="0"/>
    <s v="CH4"/>
    <n v="0.73249500000000001"/>
    <s v="RESTRICTED"/>
    <s v="KWH"/>
    <n v="1"/>
    <n v="2441.65"/>
    <s v="AR4"/>
    <s v="IEA"/>
    <s v="IEA (2021)"/>
    <n v="2021"/>
    <n v="2019"/>
    <n v="0"/>
    <n v="0"/>
    <x v="0"/>
    <s v="Office"/>
  </r>
  <r>
    <n v="4957"/>
    <s v="Top of Hierarchy &gt; Asia Pacific &gt; Vantage_Mumbai"/>
    <x v="0"/>
    <x v="1"/>
    <d v="2021-01-01T00:00:00"/>
    <d v="2021-12-31T00:00:00"/>
    <x v="0"/>
    <d v="2021-01-01T00:00:00"/>
    <d v="2021-12-31T00:00:00"/>
    <s v="Electricity (non-renewable)"/>
    <n v="2441.65"/>
    <s v="Kilowatt hours"/>
    <x v="0"/>
    <m/>
    <s v="2023-02-27, 16:27"/>
    <s v="2023-07-20, 00:40"/>
    <n v="2021"/>
    <s v="electricity"/>
    <s v="Electricity"/>
    <s v="model"/>
    <b v="0"/>
    <s v="ELECTRICITY; INDIA"/>
    <x v="0"/>
    <x v="0"/>
    <s v="Asia"/>
    <s v="Southern Asia"/>
    <s v="IN"/>
    <m/>
    <n v="0"/>
    <s v="CO2"/>
    <n v="1763.8479600000001"/>
    <s v="RESTRICTED"/>
    <s v="KWH"/>
    <n v="1"/>
    <n v="2441.65"/>
    <s v="AR4"/>
    <s v="IEA"/>
    <s v="IEA (2021)"/>
    <n v="2021"/>
    <n v="2019"/>
    <n v="0"/>
    <n v="0"/>
    <x v="0"/>
    <s v="Office"/>
  </r>
  <r>
    <n v="4957"/>
    <s v="Top of Hierarchy &gt; Asia Pacific &gt; Vantage_Mumbai"/>
    <x v="0"/>
    <x v="1"/>
    <d v="2021-01-01T00:00:00"/>
    <d v="2021-12-31T00:00:00"/>
    <x v="0"/>
    <d v="2021-01-01T00:00:00"/>
    <d v="2021-12-31T00:00:00"/>
    <s v="Electricity (non-renewable)"/>
    <n v="2441.65"/>
    <s v="Kilowatt hours"/>
    <x v="0"/>
    <m/>
    <s v="2023-02-27, 16:27"/>
    <s v="2023-07-20, 00:40"/>
    <n v="2021"/>
    <s v="electricity"/>
    <s v="Electricity"/>
    <s v="model"/>
    <b v="0"/>
    <s v="ELECTRICITY; INDIA"/>
    <x v="0"/>
    <x v="0"/>
    <s v="Asia"/>
    <s v="Southern Asia"/>
    <s v="IN"/>
    <m/>
    <n v="0"/>
    <s v="CO2E"/>
    <n v="1772.882065"/>
    <s v="RESTRICTED"/>
    <s v="KWH"/>
    <n v="1"/>
    <n v="2441.65"/>
    <s v="AR4"/>
    <s v="IEA"/>
    <s v="IEA (2021)"/>
    <n v="2021"/>
    <n v="2019"/>
    <n v="1.7728820650000001"/>
    <n v="0"/>
    <x v="0"/>
    <s v="Office"/>
  </r>
  <r>
    <n v="4957"/>
    <s v="Top of Hierarchy &gt; Asia Pacific &gt; Vantage_Mumbai"/>
    <x v="0"/>
    <x v="1"/>
    <d v="2021-01-01T00:00:00"/>
    <d v="2021-12-31T00:00:00"/>
    <x v="0"/>
    <d v="2021-01-01T00:00:00"/>
    <d v="2021-12-31T00:00:00"/>
    <s v="Electricity (non-renewable)"/>
    <n v="2441.65"/>
    <s v="Kilowatt hours"/>
    <x v="0"/>
    <m/>
    <s v="2023-02-27, 16:27"/>
    <s v="2023-07-20, 00:40"/>
    <n v="2021"/>
    <s v="electricity"/>
    <s v="Electricity"/>
    <s v="model"/>
    <b v="0"/>
    <s v="ELECTRICITY; INDIA"/>
    <x v="0"/>
    <x v="0"/>
    <s v="Asia"/>
    <s v="Southern Asia"/>
    <s v="IN"/>
    <m/>
    <n v="0"/>
    <s v="N2O"/>
    <n v="8.3016100000000002"/>
    <s v="RESTRICTED"/>
    <s v="KWH"/>
    <n v="1"/>
    <n v="2441.65"/>
    <s v="AR4"/>
    <s v="IEA"/>
    <s v="IEA (2021)"/>
    <n v="2021"/>
    <n v="2019"/>
    <n v="0"/>
    <n v="0"/>
    <x v="0"/>
    <s v="Office"/>
  </r>
  <r>
    <n v="4957"/>
    <s v="Top of Hierarchy &gt; Asia Pacific &gt; Vantage_Mumbai"/>
    <x v="0"/>
    <x v="1"/>
    <d v="2021-01-01T00:00:00"/>
    <d v="2021-12-31T00:00:00"/>
    <x v="0"/>
    <d v="2021-01-01T00:00:00"/>
    <d v="2021-12-31T00:00:00"/>
    <s v="Electricity (non-renewable)"/>
    <n v="2441.65"/>
    <s v="Kilowatt hours"/>
    <x v="0"/>
    <m/>
    <s v="2023-02-27, 16:27"/>
    <s v="2023-07-20, 00:40"/>
    <n v="2021"/>
    <s v="electricity"/>
    <s v="Electricity"/>
    <s v="model"/>
    <b v="0"/>
    <s v="ELECTRICITY; INDIA"/>
    <x v="0"/>
    <x v="0"/>
    <s v="Asia"/>
    <s v="Southern Asia"/>
    <s v="IN"/>
    <m/>
    <n v="1"/>
    <s v="CH4"/>
    <n v="0.73249500000000001"/>
    <s v="RESTRICTED"/>
    <s v="KWH"/>
    <n v="1"/>
    <n v="2441.65"/>
    <s v="AR4"/>
    <s v="IEA"/>
    <s v="IEA (2021)"/>
    <n v="2021"/>
    <n v="2019"/>
    <n v="0"/>
    <n v="0"/>
    <x v="0"/>
    <s v="Office"/>
  </r>
  <r>
    <n v="4957"/>
    <s v="Top of Hierarchy &gt; Asia Pacific &gt; Vantage_Mumbai"/>
    <x v="0"/>
    <x v="1"/>
    <d v="2021-01-01T00:00:00"/>
    <d v="2021-12-31T00:00:00"/>
    <x v="0"/>
    <d v="2021-01-01T00:00:00"/>
    <d v="2021-12-31T00:00:00"/>
    <s v="Electricity (non-renewable)"/>
    <n v="2441.65"/>
    <s v="Kilowatt hours"/>
    <x v="0"/>
    <m/>
    <s v="2023-02-27, 16:27"/>
    <s v="2023-07-20, 00:40"/>
    <n v="2021"/>
    <s v="electricity"/>
    <s v="Electricity"/>
    <s v="model"/>
    <b v="0"/>
    <s v="ELECTRICITY; INDIA"/>
    <x v="0"/>
    <x v="0"/>
    <s v="Asia"/>
    <s v="Southern Asia"/>
    <s v="IN"/>
    <m/>
    <n v="1"/>
    <s v="CO2"/>
    <n v="1763.8479600000001"/>
    <s v="RESTRICTED"/>
    <s v="KWH"/>
    <n v="1"/>
    <n v="2441.65"/>
    <s v="AR4"/>
    <s v="IEA"/>
    <s v="IEA (2021)"/>
    <n v="2021"/>
    <n v="2019"/>
    <n v="0"/>
    <n v="0"/>
    <x v="0"/>
    <s v="Office"/>
  </r>
  <r>
    <n v="4957"/>
    <s v="Top of Hierarchy &gt; Asia Pacific &gt; Vantage_Mumbai"/>
    <x v="0"/>
    <x v="1"/>
    <d v="2021-01-01T00:00:00"/>
    <d v="2021-12-31T00:00:00"/>
    <x v="0"/>
    <d v="2021-01-01T00:00:00"/>
    <d v="2021-12-31T00:00:00"/>
    <s v="Electricity (non-renewable)"/>
    <n v="2441.65"/>
    <s v="Kilowatt hours"/>
    <x v="0"/>
    <m/>
    <s v="2023-02-27, 16:27"/>
    <s v="2023-07-20, 00:40"/>
    <n v="2021"/>
    <s v="electricity"/>
    <s v="Electricity"/>
    <s v="model"/>
    <b v="0"/>
    <s v="ELECTRICITY; INDIA"/>
    <x v="0"/>
    <x v="0"/>
    <s v="Asia"/>
    <s v="Southern Asia"/>
    <s v="IN"/>
    <m/>
    <n v="1"/>
    <s v="CO2E"/>
    <n v="1772.882065"/>
    <s v="RESTRICTED"/>
    <s v="KWH"/>
    <n v="1"/>
    <n v="2441.65"/>
    <s v="AR4"/>
    <s v="IEA"/>
    <s v="IEA (2021)"/>
    <n v="2021"/>
    <n v="2019"/>
    <n v="0"/>
    <n v="1.7728820650000001"/>
    <x v="0"/>
    <s v="Office"/>
  </r>
  <r>
    <n v="4957"/>
    <s v="Top of Hierarchy &gt; Asia Pacific &gt; Vantage_Mumbai"/>
    <x v="0"/>
    <x v="1"/>
    <d v="2021-01-01T00:00:00"/>
    <d v="2021-12-31T00:00:00"/>
    <x v="0"/>
    <d v="2021-01-01T00:00:00"/>
    <d v="2021-12-31T00:00:00"/>
    <s v="Electricity (non-renewable)"/>
    <n v="2441.65"/>
    <s v="Kilowatt hours"/>
    <x v="0"/>
    <m/>
    <s v="2023-02-27, 16:27"/>
    <s v="2023-07-20, 00:40"/>
    <n v="2021"/>
    <s v="electricity"/>
    <s v="Electricity"/>
    <s v="model"/>
    <b v="0"/>
    <s v="ELECTRICITY; INDIA"/>
    <x v="0"/>
    <x v="0"/>
    <s v="Asia"/>
    <s v="Southern Asia"/>
    <s v="IN"/>
    <m/>
    <n v="1"/>
    <s v="N2O"/>
    <n v="8.3016100000000002"/>
    <s v="RESTRICTED"/>
    <s v="KWH"/>
    <n v="1"/>
    <n v="2441.65"/>
    <s v="AR4"/>
    <s v="IEA"/>
    <s v="IEA (2021)"/>
    <n v="2021"/>
    <n v="2019"/>
    <n v="0"/>
    <n v="0"/>
    <x v="0"/>
    <s v="Office"/>
  </r>
  <r>
    <n v="4957"/>
    <s v="Top of Hierarchy &gt; Asia Pacific &gt; Vantage_Mumbai"/>
    <x v="0"/>
    <x v="1"/>
    <d v="2021-01-01T00:00:00"/>
    <d v="2021-12-31T00:00:00"/>
    <x v="0"/>
    <d v="2021-01-01T00:00:00"/>
    <d v="2021-12-31T00:00:00"/>
    <s v="Electricity (non-renewable)"/>
    <n v="2441.65"/>
    <s v="Kilowatt hours"/>
    <x v="0"/>
    <m/>
    <s v="2023-02-27, 16:27"/>
    <s v="2023-07-20, 00:40"/>
    <n v="2021"/>
    <s v="electricity__t+d__wtt"/>
    <s v="Electricity T&amp;D WTT"/>
    <s v="t+d_wtt"/>
    <b v="0"/>
    <s v="WTT- UK &amp; OVERSEAS ELEC; WTT- OVERSEAS ELECTRICITY (T&amp;D); ELECTRICITY: INDIA"/>
    <x v="1"/>
    <x v="1"/>
    <s v="Asia"/>
    <s v="Southern Asia"/>
    <s v="IN"/>
    <m/>
    <n v="0"/>
    <s v="CO2E"/>
    <n v="91.888338140000002"/>
    <n v="3.7633706000000003E-2"/>
    <s v="KWH"/>
    <n v="1"/>
    <n v="2441.65"/>
    <s v="AR4"/>
    <s v="Defra"/>
    <s v="Defra (2021)"/>
    <n v="2021"/>
    <n v="2019"/>
    <n v="9.1888338139999998E-2"/>
    <n v="0"/>
    <x v="0"/>
    <s v="Office"/>
  </r>
  <r>
    <n v="4957"/>
    <s v="Top of Hierarchy &gt; Asia Pacific &gt; Vantage_Mumbai"/>
    <x v="0"/>
    <x v="1"/>
    <d v="2021-01-01T00:00:00"/>
    <d v="2021-12-31T00:00:00"/>
    <x v="0"/>
    <d v="2021-01-01T00:00:00"/>
    <d v="2021-12-31T00:00:00"/>
    <s v="Electricity (non-renewable)"/>
    <n v="2441.65"/>
    <s v="Kilowatt hours"/>
    <x v="0"/>
    <m/>
    <s v="2023-02-27, 16:27"/>
    <s v="2023-07-20, 00:40"/>
    <n v="2021"/>
    <s v="electricity__t+d__wtt"/>
    <s v="Electricity T&amp;D WTT"/>
    <s v="t+d_wtt"/>
    <b v="0"/>
    <s v="WTT- UK &amp; OVERSEAS ELEC; WTT- OVERSEAS ELECTRICITY (T&amp;D); ELECTRICITY: INDIA"/>
    <x v="1"/>
    <x v="1"/>
    <s v="Asia"/>
    <s v="Southern Asia"/>
    <s v="IN"/>
    <m/>
    <n v="1"/>
    <s v="CO2E"/>
    <n v="91.888338140000002"/>
    <n v="3.7633706000000003E-2"/>
    <s v="KWH"/>
    <n v="1"/>
    <n v="2441.65"/>
    <s v="AR4"/>
    <s v="Defra"/>
    <s v="Defra (2021)"/>
    <n v="2021"/>
    <n v="2019"/>
    <n v="0"/>
    <n v="9.1888338139999998E-2"/>
    <x v="0"/>
    <s v="Office"/>
  </r>
  <r>
    <n v="4957"/>
    <s v="Top of Hierarchy &gt; Asia Pacific &gt; Vantage_Mumbai"/>
    <x v="0"/>
    <x v="1"/>
    <d v="2021-01-01T00:00:00"/>
    <d v="2021-12-31T00:00:00"/>
    <x v="0"/>
    <d v="2021-01-01T00:00:00"/>
    <d v="2021-12-31T00:00:00"/>
    <s v="Electricity (non-renewable)"/>
    <n v="2441.65"/>
    <s v="Kilowatt hours"/>
    <x v="0"/>
    <m/>
    <s v="2023-02-27, 16:27"/>
    <s v="2023-07-20, 00:40"/>
    <n v="2021"/>
    <s v="electricity__wtt"/>
    <s v="Electricity WTT"/>
    <s v="wtt"/>
    <b v="0"/>
    <s v="WTT- UK &amp; OVERSEAS ELEC; WTT- OVERSEAS ELECTRICITY (GENERATION); ELECTRICITY: INDIA"/>
    <x v="1"/>
    <x v="1"/>
    <s v="Asia"/>
    <s v="Southern Asia"/>
    <s v="IN"/>
    <m/>
    <n v="0"/>
    <s v="CO2E"/>
    <n v="408.93362009999998"/>
    <n v="0.16748248900000001"/>
    <s v="KWH"/>
    <n v="1"/>
    <n v="2441.65"/>
    <s v="AR4"/>
    <s v="Defra"/>
    <s v="Defra (2021)"/>
    <n v="2021"/>
    <n v="2019"/>
    <n v="0.40893362010000001"/>
    <n v="0"/>
    <x v="0"/>
    <s v="Office"/>
  </r>
  <r>
    <n v="4957"/>
    <s v="Top of Hierarchy &gt; Asia Pacific &gt; Vantage_Mumbai"/>
    <x v="0"/>
    <x v="1"/>
    <d v="2021-01-01T00:00:00"/>
    <d v="2021-12-31T00:00:00"/>
    <x v="0"/>
    <d v="2021-01-01T00:00:00"/>
    <d v="2021-12-31T00:00:00"/>
    <s v="Electricity (non-renewable)"/>
    <n v="2441.65"/>
    <s v="Kilowatt hours"/>
    <x v="0"/>
    <m/>
    <s v="2023-02-27, 16:27"/>
    <s v="2023-07-20, 00:40"/>
    <n v="2021"/>
    <s v="electricity__wtt"/>
    <s v="Electricity WTT"/>
    <s v="wtt"/>
    <b v="0"/>
    <s v="WTT- UK &amp; OVERSEAS ELEC; WTT- OVERSEAS ELECTRICITY (GENERATION); ELECTRICITY: INDIA"/>
    <x v="1"/>
    <x v="1"/>
    <s v="Asia"/>
    <s v="Southern Asia"/>
    <s v="IN"/>
    <m/>
    <n v="1"/>
    <s v="CO2E"/>
    <n v="408.93362009999998"/>
    <n v="0.16748248900000001"/>
    <s v="KWH"/>
    <n v="1"/>
    <n v="2441.65"/>
    <s v="AR4"/>
    <s v="Defra"/>
    <s v="Defra (2021)"/>
    <n v="2021"/>
    <n v="2019"/>
    <n v="0"/>
    <n v="0.40893362010000001"/>
    <x v="0"/>
    <s v="Office"/>
  </r>
  <r>
    <n v="4957"/>
    <s v="Top of Hierarchy &gt; Asia Pacific &gt; Vantage_Mumbai"/>
    <x v="0"/>
    <x v="1"/>
    <d v="2021-01-01T00:00:00"/>
    <d v="2021-12-31T00:00:00"/>
    <x v="0"/>
    <d v="2021-01-01T00:00:00"/>
    <d v="2021-12-31T00:00:00"/>
    <s v="Electricity (non-renewable)"/>
    <n v="2441.65"/>
    <s v="Kilowatt hours"/>
    <x v="0"/>
    <m/>
    <s v="2023-02-27, 16:27"/>
    <s v="2023-07-20, 00:40"/>
    <n v="2021"/>
    <s v="electricity__t+d"/>
    <s v="Electricity T&amp;D"/>
    <s v="t+d"/>
    <b v="0"/>
    <s v="ELECTRICITY; TRANSMISSION AND DISTRIBUTION; INDIA"/>
    <x v="1"/>
    <x v="1"/>
    <s v="Asia"/>
    <s v="Southern Asia"/>
    <s v="IN"/>
    <m/>
    <n v="0"/>
    <s v="CO2E"/>
    <n v="318.146995"/>
    <s v="RESTRICTED"/>
    <s v="KWH"/>
    <n v="1"/>
    <n v="2441.65"/>
    <s v="AR4"/>
    <s v="IEA"/>
    <s v="IEA (2021)"/>
    <n v="2021"/>
    <n v="2019"/>
    <n v="0.31814699499999999"/>
    <n v="0"/>
    <x v="0"/>
    <s v="Office"/>
  </r>
  <r>
    <n v="4957"/>
    <s v="Top of Hierarchy &gt; Asia Pacific &gt; Vantage_Mumbai"/>
    <x v="0"/>
    <x v="1"/>
    <d v="2021-01-01T00:00:00"/>
    <d v="2021-12-31T00:00:00"/>
    <x v="0"/>
    <d v="2021-01-01T00:00:00"/>
    <d v="2021-12-31T00:00:00"/>
    <s v="Electricity (non-renewable)"/>
    <n v="2441.65"/>
    <s v="Kilowatt hours"/>
    <x v="0"/>
    <m/>
    <s v="2023-02-27, 16:27"/>
    <s v="2023-07-20, 00:40"/>
    <n v="2021"/>
    <s v="electricity__t+d"/>
    <s v="Electricity T&amp;D"/>
    <s v="t+d"/>
    <b v="0"/>
    <s v="ELECTRICITY; TRANSMISSION AND DISTRIBUTION; INDIA"/>
    <x v="1"/>
    <x v="1"/>
    <s v="Asia"/>
    <s v="Southern Asia"/>
    <s v="IN"/>
    <m/>
    <n v="1"/>
    <s v="CO2E"/>
    <n v="318.146995"/>
    <s v="RESTRICTED"/>
    <s v="KWH"/>
    <n v="1"/>
    <n v="2441.65"/>
    <s v="AR4"/>
    <s v="IEA"/>
    <s v="IEA (2021)"/>
    <n v="2021"/>
    <n v="2019"/>
    <n v="0"/>
    <n v="0.31814699499999999"/>
    <x v="0"/>
    <s v="Office"/>
  </r>
  <r>
    <n v="4984"/>
    <s v="Top of Hierarchy &gt; Asia Pacific &gt; Vantage_Mumbai"/>
    <x v="0"/>
    <x v="1"/>
    <d v="2021-01-01T00:00:00"/>
    <d v="2021-12-31T00:00:00"/>
    <x v="3"/>
    <d v="2021-01-01T00:00:00"/>
    <d v="2021-12-31T00:00:00"/>
    <s v="Natural gas"/>
    <n v="0"/>
    <s v="British Thermal Units"/>
    <x v="0"/>
    <m/>
    <s v="2023-02-27, 16:27"/>
    <s v="2023-07-20, 00:40"/>
    <n v="2021"/>
    <s v="natural_gas"/>
    <s v="Natural Gas"/>
    <s v="model"/>
    <b v="0"/>
    <s v="FUELS; GASEOUS FUELS; NATURAL GAS"/>
    <x v="2"/>
    <x v="0"/>
    <m/>
    <m/>
    <m/>
    <m/>
    <n v="0"/>
    <s v="CH4"/>
    <n v="0"/>
    <n v="2.5000000000000001E-4"/>
    <s v="KWH (GROSS CV)"/>
    <n v="2.9306999999999998E-4"/>
    <n v="0"/>
    <s v="AR4"/>
    <s v="Defra"/>
    <s v="Defra (2021)"/>
    <n v="2021"/>
    <n v="2019"/>
    <n v="0"/>
    <n v="0"/>
    <x v="0"/>
    <s v="Office"/>
  </r>
  <r>
    <n v="4984"/>
    <s v="Top of Hierarchy &gt; Asia Pacific &gt; Vantage_Mumbai"/>
    <x v="0"/>
    <x v="1"/>
    <d v="2021-01-01T00:00:00"/>
    <d v="2021-12-31T00:00:00"/>
    <x v="3"/>
    <d v="2021-01-01T00:00:00"/>
    <d v="2021-12-31T00:00:00"/>
    <s v="Natural gas"/>
    <n v="0"/>
    <s v="British Thermal Units"/>
    <x v="0"/>
    <m/>
    <s v="2023-02-27, 16:27"/>
    <s v="2023-07-20, 00:40"/>
    <n v="2021"/>
    <s v="natural_gas"/>
    <s v="Natural Gas"/>
    <s v="model"/>
    <b v="0"/>
    <s v="FUELS; GASEOUS FUELS; NATURAL GAS"/>
    <x v="2"/>
    <x v="0"/>
    <m/>
    <m/>
    <m/>
    <m/>
    <n v="0"/>
    <s v="CO2"/>
    <n v="0"/>
    <n v="0.18282000000000001"/>
    <s v="KWH (GROSS CV)"/>
    <n v="2.9306999999999998E-4"/>
    <n v="0"/>
    <s v="AR4"/>
    <s v="Defra"/>
    <s v="Defra (2021)"/>
    <n v="2021"/>
    <n v="2019"/>
    <n v="0"/>
    <n v="0"/>
    <x v="0"/>
    <s v="Office"/>
  </r>
  <r>
    <n v="4984"/>
    <s v="Top of Hierarchy &gt; Asia Pacific &gt; Vantage_Mumbai"/>
    <x v="0"/>
    <x v="1"/>
    <d v="2021-01-01T00:00:00"/>
    <d v="2021-12-31T00:00:00"/>
    <x v="3"/>
    <d v="2021-01-01T00:00:00"/>
    <d v="2021-12-31T00:00:00"/>
    <s v="Natural gas"/>
    <n v="0"/>
    <s v="British Thermal Units"/>
    <x v="0"/>
    <m/>
    <s v="2023-02-27, 16:27"/>
    <s v="2023-07-20, 00:40"/>
    <n v="2021"/>
    <s v="natural_gas"/>
    <s v="Natural Gas"/>
    <s v="model"/>
    <b v="0"/>
    <s v="FUELS; GASEOUS FUELS; NATURAL GAS"/>
    <x v="2"/>
    <x v="0"/>
    <m/>
    <m/>
    <m/>
    <m/>
    <n v="0"/>
    <s v="CO2E"/>
    <n v="0"/>
    <n v="0.18317"/>
    <s v="KWH (GROSS CV)"/>
    <n v="2.9306999999999998E-4"/>
    <n v="0"/>
    <s v="AR4"/>
    <s v="Defra"/>
    <s v="Defra (2021)"/>
    <n v="2021"/>
    <n v="2019"/>
    <n v="0"/>
    <n v="0"/>
    <x v="0"/>
    <s v="Office"/>
  </r>
  <r>
    <n v="4984"/>
    <s v="Top of Hierarchy &gt; Asia Pacific &gt; Vantage_Mumbai"/>
    <x v="0"/>
    <x v="1"/>
    <d v="2021-01-01T00:00:00"/>
    <d v="2021-12-31T00:00:00"/>
    <x v="3"/>
    <d v="2021-01-01T00:00:00"/>
    <d v="2021-12-31T00:00:00"/>
    <s v="Natural gas"/>
    <n v="0"/>
    <s v="British Thermal Units"/>
    <x v="0"/>
    <m/>
    <s v="2023-02-27, 16:27"/>
    <s v="2023-07-20, 00:40"/>
    <n v="2021"/>
    <s v="natural_gas"/>
    <s v="Natural Gas"/>
    <s v="model"/>
    <b v="0"/>
    <s v="FUELS; GASEOUS FUELS; NATURAL GAS"/>
    <x v="2"/>
    <x v="0"/>
    <m/>
    <m/>
    <m/>
    <m/>
    <n v="0"/>
    <s v="N2O"/>
    <n v="0"/>
    <n v="1E-4"/>
    <s v="KWH (GROSS CV)"/>
    <n v="2.9306999999999998E-4"/>
    <n v="0"/>
    <s v="AR4"/>
    <s v="Defra"/>
    <s v="Defra (2021)"/>
    <n v="2021"/>
    <n v="2019"/>
    <n v="0"/>
    <n v="0"/>
    <x v="0"/>
    <s v="Office"/>
  </r>
  <r>
    <n v="4984"/>
    <s v="Top of Hierarchy &gt; Asia Pacific &gt; Vantage_Mumbai"/>
    <x v="0"/>
    <x v="1"/>
    <d v="2021-01-01T00:00:00"/>
    <d v="2021-12-31T00:00:00"/>
    <x v="3"/>
    <d v="2021-01-01T00:00:00"/>
    <d v="2021-12-31T00:00:00"/>
    <s v="Natural gas"/>
    <n v="0"/>
    <s v="British Thermal Units"/>
    <x v="0"/>
    <m/>
    <s v="2023-02-27, 16:27"/>
    <s v="2023-07-20, 00:40"/>
    <n v="2021"/>
    <s v="natural_gas"/>
    <s v="Natural Gas"/>
    <s v="model"/>
    <b v="0"/>
    <s v="FUELS; GASEOUS FUELS; NATURAL GAS"/>
    <x v="2"/>
    <x v="0"/>
    <m/>
    <m/>
    <m/>
    <m/>
    <n v="1"/>
    <s v="CH4"/>
    <n v="0"/>
    <n v="2.5000000000000001E-4"/>
    <s v="KWH (GROSS CV)"/>
    <n v="2.9306999999999998E-4"/>
    <n v="0"/>
    <s v="AR4"/>
    <s v="Defra"/>
    <s v="Defra (2021)"/>
    <n v="2021"/>
    <n v="2019"/>
    <n v="0"/>
    <n v="0"/>
    <x v="0"/>
    <s v="Office"/>
  </r>
  <r>
    <n v="4984"/>
    <s v="Top of Hierarchy &gt; Asia Pacific &gt; Vantage_Mumbai"/>
    <x v="0"/>
    <x v="1"/>
    <d v="2021-01-01T00:00:00"/>
    <d v="2021-12-31T00:00:00"/>
    <x v="3"/>
    <d v="2021-01-01T00:00:00"/>
    <d v="2021-12-31T00:00:00"/>
    <s v="Natural gas"/>
    <n v="0"/>
    <s v="British Thermal Units"/>
    <x v="0"/>
    <m/>
    <s v="2023-02-27, 16:27"/>
    <s v="2023-07-20, 00:40"/>
    <n v="2021"/>
    <s v="natural_gas"/>
    <s v="Natural Gas"/>
    <s v="model"/>
    <b v="0"/>
    <s v="FUELS; GASEOUS FUELS; NATURAL GAS"/>
    <x v="2"/>
    <x v="0"/>
    <m/>
    <m/>
    <m/>
    <m/>
    <n v="1"/>
    <s v="CO2"/>
    <n v="0"/>
    <n v="0.18282000000000001"/>
    <s v="KWH (GROSS CV)"/>
    <n v="2.9306999999999998E-4"/>
    <n v="0"/>
    <s v="AR4"/>
    <s v="Defra"/>
    <s v="Defra (2021)"/>
    <n v="2021"/>
    <n v="2019"/>
    <n v="0"/>
    <n v="0"/>
    <x v="0"/>
    <s v="Office"/>
  </r>
  <r>
    <n v="4984"/>
    <s v="Top of Hierarchy &gt; Asia Pacific &gt; Vantage_Mumbai"/>
    <x v="0"/>
    <x v="1"/>
    <d v="2021-01-01T00:00:00"/>
    <d v="2021-12-31T00:00:00"/>
    <x v="3"/>
    <d v="2021-01-01T00:00:00"/>
    <d v="2021-12-31T00:00:00"/>
    <s v="Natural gas"/>
    <n v="0"/>
    <s v="British Thermal Units"/>
    <x v="0"/>
    <m/>
    <s v="2023-02-27, 16:27"/>
    <s v="2023-07-20, 00:40"/>
    <n v="2021"/>
    <s v="natural_gas"/>
    <s v="Natural Gas"/>
    <s v="model"/>
    <b v="0"/>
    <s v="FUELS; GASEOUS FUELS; NATURAL GAS"/>
    <x v="2"/>
    <x v="0"/>
    <m/>
    <m/>
    <m/>
    <m/>
    <n v="1"/>
    <s v="CO2E"/>
    <n v="0"/>
    <n v="0.18317"/>
    <s v="KWH (GROSS CV)"/>
    <n v="2.9306999999999998E-4"/>
    <n v="0"/>
    <s v="AR4"/>
    <s v="Defra"/>
    <s v="Defra (2021)"/>
    <n v="2021"/>
    <n v="2019"/>
    <n v="0"/>
    <n v="0"/>
    <x v="0"/>
    <s v="Office"/>
  </r>
  <r>
    <n v="4984"/>
    <s v="Top of Hierarchy &gt; Asia Pacific &gt; Vantage_Mumbai"/>
    <x v="0"/>
    <x v="1"/>
    <d v="2021-01-01T00:00:00"/>
    <d v="2021-12-31T00:00:00"/>
    <x v="3"/>
    <d v="2021-01-01T00:00:00"/>
    <d v="2021-12-31T00:00:00"/>
    <s v="Natural gas"/>
    <n v="0"/>
    <s v="British Thermal Units"/>
    <x v="0"/>
    <m/>
    <s v="2023-02-27, 16:27"/>
    <s v="2023-07-20, 00:40"/>
    <n v="2021"/>
    <s v="natural_gas"/>
    <s v="Natural Gas"/>
    <s v="model"/>
    <b v="0"/>
    <s v="FUELS; GASEOUS FUELS; NATURAL GAS"/>
    <x v="2"/>
    <x v="0"/>
    <m/>
    <m/>
    <m/>
    <m/>
    <n v="1"/>
    <s v="N2O"/>
    <n v="0"/>
    <n v="1E-4"/>
    <s v="KWH (GROSS CV)"/>
    <n v="2.9306999999999998E-4"/>
    <n v="0"/>
    <s v="AR4"/>
    <s v="Defra"/>
    <s v="Defra (2021)"/>
    <n v="2021"/>
    <n v="2019"/>
    <n v="0"/>
    <n v="0"/>
    <x v="0"/>
    <s v="Office"/>
  </r>
  <r>
    <n v="4984"/>
    <s v="Top of Hierarchy &gt; Asia Pacific &gt; Vantage_Mumbai"/>
    <x v="0"/>
    <x v="1"/>
    <d v="2021-01-01T00:00:00"/>
    <d v="2021-12-31T00:00:00"/>
    <x v="3"/>
    <d v="2021-01-01T00:00:00"/>
    <d v="2021-12-31T00:00:00"/>
    <s v="Natural gas"/>
    <n v="0"/>
    <s v="British Thermal Units"/>
    <x v="0"/>
    <m/>
    <s v="2023-02-27, 16:27"/>
    <s v="2023-07-20, 00:40"/>
    <n v="2021"/>
    <s v="natural_gas__wtt"/>
    <s v="Natural Gas WTT"/>
    <s v="wtt"/>
    <b v="0"/>
    <s v="WTT- FUELS; WTT- GASEOUS FUELS; NATURAL GAS"/>
    <x v="1"/>
    <x v="1"/>
    <m/>
    <m/>
    <m/>
    <m/>
    <n v="0"/>
    <s v="CO2E"/>
    <n v="0"/>
    <n v="3.1350000000000003E-2"/>
    <s v="KWH (GROSS CV)"/>
    <n v="2.9306999999999998E-4"/>
    <n v="0"/>
    <s v="AR4"/>
    <s v="Defra"/>
    <s v="Defra (2021)"/>
    <n v="2021"/>
    <n v="2019"/>
    <n v="0"/>
    <n v="0"/>
    <x v="0"/>
    <s v="Office"/>
  </r>
  <r>
    <n v="4984"/>
    <s v="Top of Hierarchy &gt; Asia Pacific &gt; Vantage_Mumbai"/>
    <x v="0"/>
    <x v="1"/>
    <d v="2021-01-01T00:00:00"/>
    <d v="2021-12-31T00:00:00"/>
    <x v="3"/>
    <d v="2021-01-01T00:00:00"/>
    <d v="2021-12-31T00:00:00"/>
    <s v="Natural gas"/>
    <n v="0"/>
    <s v="British Thermal Units"/>
    <x v="0"/>
    <m/>
    <s v="2023-02-27, 16:27"/>
    <s v="2023-07-20, 00:40"/>
    <n v="2021"/>
    <s v="natural_gas__wtt"/>
    <s v="Natural Gas WTT"/>
    <s v="wtt"/>
    <b v="0"/>
    <s v="WTT- FUELS; WTT- GASEOUS FUELS; NATURAL GAS"/>
    <x v="1"/>
    <x v="1"/>
    <m/>
    <m/>
    <m/>
    <m/>
    <n v="1"/>
    <s v="CO2E"/>
    <n v="0"/>
    <n v="3.1350000000000003E-2"/>
    <s v="KWH (GROSS CV)"/>
    <n v="2.9306999999999998E-4"/>
    <n v="0"/>
    <s v="AR4"/>
    <s v="Defra"/>
    <s v="Defra (2021)"/>
    <n v="2021"/>
    <n v="2019"/>
    <n v="0"/>
    <n v="0"/>
    <x v="0"/>
    <s v="Office"/>
  </r>
  <r>
    <n v="5018"/>
    <s v="Top of Hierarchy &gt; Asia Pacific &gt; Vantage_Mumbai"/>
    <x v="0"/>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0"/>
    <s v="CH4"/>
    <n v="0"/>
    <n v="2.5999999999999998E-4"/>
    <s v="LITRES"/>
    <n v="1"/>
    <n v="0"/>
    <s v="AR4"/>
    <s v="Defra"/>
    <s v="Defra (2021)"/>
    <n v="2021"/>
    <n v="2019"/>
    <n v="0"/>
    <n v="0"/>
    <x v="0"/>
    <s v="Office"/>
  </r>
  <r>
    <n v="5018"/>
    <s v="Top of Hierarchy &gt; Asia Pacific &gt; Vantage_Mumbai"/>
    <x v="0"/>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0"/>
    <s v="CO2"/>
    <n v="0"/>
    <n v="2.6680700000000002"/>
    <s v="LITRES"/>
    <n v="1"/>
    <n v="0"/>
    <s v="AR4"/>
    <s v="Defra"/>
    <s v="Defra (2021)"/>
    <n v="2021"/>
    <n v="2019"/>
    <n v="0"/>
    <n v="0"/>
    <x v="0"/>
    <s v="Office"/>
  </r>
  <r>
    <n v="5018"/>
    <s v="Top of Hierarchy &gt; Asia Pacific &gt; Vantage_Mumbai"/>
    <x v="0"/>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0"/>
    <s v="CO2E"/>
    <n v="0"/>
    <n v="2.70553"/>
    <s v="LITRES"/>
    <n v="1"/>
    <n v="0"/>
    <s v="AR4"/>
    <s v="Defra"/>
    <s v="Defra (2021)"/>
    <n v="2021"/>
    <n v="2019"/>
    <n v="0"/>
    <n v="0"/>
    <x v="0"/>
    <s v="Office"/>
  </r>
  <r>
    <n v="5018"/>
    <s v="Top of Hierarchy &gt; Asia Pacific &gt; Vantage_Mumbai"/>
    <x v="0"/>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0"/>
    <s v="N2O"/>
    <n v="0"/>
    <n v="3.7199999999999997E-2"/>
    <s v="LITRES"/>
    <n v="1"/>
    <n v="0"/>
    <s v="AR4"/>
    <s v="Defra"/>
    <s v="Defra (2021)"/>
    <n v="2021"/>
    <n v="2019"/>
    <n v="0"/>
    <n v="0"/>
    <x v="0"/>
    <s v="Office"/>
  </r>
  <r>
    <n v="5018"/>
    <s v="Top of Hierarchy &gt; Asia Pacific &gt; Vantage_Mumbai"/>
    <x v="0"/>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1"/>
    <s v="CH4"/>
    <n v="0"/>
    <n v="2.5999999999999998E-4"/>
    <s v="LITRES"/>
    <n v="1"/>
    <n v="0"/>
    <s v="AR4"/>
    <s v="Defra"/>
    <s v="Defra (2021)"/>
    <n v="2021"/>
    <n v="2019"/>
    <n v="0"/>
    <n v="0"/>
    <x v="0"/>
    <s v="Office"/>
  </r>
  <r>
    <n v="5018"/>
    <s v="Top of Hierarchy &gt; Asia Pacific &gt; Vantage_Mumbai"/>
    <x v="0"/>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1"/>
    <s v="CO2"/>
    <n v="0"/>
    <n v="2.6680700000000002"/>
    <s v="LITRES"/>
    <n v="1"/>
    <n v="0"/>
    <s v="AR4"/>
    <s v="Defra"/>
    <s v="Defra (2021)"/>
    <n v="2021"/>
    <n v="2019"/>
    <n v="0"/>
    <n v="0"/>
    <x v="0"/>
    <s v="Office"/>
  </r>
  <r>
    <n v="5018"/>
    <s v="Top of Hierarchy &gt; Asia Pacific &gt; Vantage_Mumbai"/>
    <x v="0"/>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1"/>
    <s v="CO2E"/>
    <n v="0"/>
    <n v="2.70553"/>
    <s v="LITRES"/>
    <n v="1"/>
    <n v="0"/>
    <s v="AR4"/>
    <s v="Defra"/>
    <s v="Defra (2021)"/>
    <n v="2021"/>
    <n v="2019"/>
    <n v="0"/>
    <n v="0"/>
    <x v="0"/>
    <s v="Office"/>
  </r>
  <r>
    <n v="5018"/>
    <s v="Top of Hierarchy &gt; Asia Pacific &gt; Vantage_Mumbai"/>
    <x v="0"/>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1"/>
    <s v="N2O"/>
    <n v="0"/>
    <n v="3.7199999999999997E-2"/>
    <s v="LITRES"/>
    <n v="1"/>
    <n v="0"/>
    <s v="AR4"/>
    <s v="Defra"/>
    <s v="Defra (2021)"/>
    <n v="2021"/>
    <n v="2019"/>
    <n v="0"/>
    <n v="0"/>
    <x v="0"/>
    <s v="Office"/>
  </r>
  <r>
    <n v="5018"/>
    <s v="Top of Hierarchy &gt; Asia Pacific &gt; Vantage_Mumbai"/>
    <x v="0"/>
    <x v="1"/>
    <d v="2021-01-01T00:00:00"/>
    <d v="2021-12-31T00:00:00"/>
    <x v="1"/>
    <d v="2021-01-01T00:00:00"/>
    <d v="2021-12-31T00:00:00"/>
    <s v="Diesel (100% mineral diesel)"/>
    <n v="0"/>
    <s v="litres"/>
    <x v="0"/>
    <m/>
    <s v="2023-02-27, 16:27"/>
    <s v="2023-07-20, 00:40"/>
    <n v="2021"/>
    <s v="diesel_100p_mineral_diesel__wtt"/>
    <s v="Diesel (100% Mineral Diesel) WTT"/>
    <s v="wtt"/>
    <b v="0"/>
    <s v="WTT- FUELS; WTT- LIQUID FUELS; DIESEL (100% MINERAL DIESEL)"/>
    <x v="1"/>
    <x v="1"/>
    <m/>
    <m/>
    <m/>
    <m/>
    <n v="0"/>
    <s v="CO2E"/>
    <n v="0"/>
    <n v="0.62873999999999997"/>
    <s v="LITRES"/>
    <n v="1"/>
    <n v="0"/>
    <s v="AR4"/>
    <s v="Defra"/>
    <s v="Defra (2021)"/>
    <n v="2021"/>
    <n v="2019"/>
    <n v="0"/>
    <n v="0"/>
    <x v="0"/>
    <s v="Office"/>
  </r>
  <r>
    <n v="5018"/>
    <s v="Top of Hierarchy &gt; Asia Pacific &gt; Vantage_Mumbai"/>
    <x v="0"/>
    <x v="1"/>
    <d v="2021-01-01T00:00:00"/>
    <d v="2021-12-31T00:00:00"/>
    <x v="1"/>
    <d v="2021-01-01T00:00:00"/>
    <d v="2021-12-31T00:00:00"/>
    <s v="Diesel (100% mineral diesel)"/>
    <n v="0"/>
    <s v="litres"/>
    <x v="0"/>
    <m/>
    <s v="2023-02-27, 16:27"/>
    <s v="2023-07-20, 00:40"/>
    <n v="2021"/>
    <s v="diesel_100p_mineral_diesel__wtt"/>
    <s v="Diesel (100% Mineral Diesel) WTT"/>
    <s v="wtt"/>
    <b v="0"/>
    <s v="WTT- FUELS; WTT- LIQUID FUELS; DIESEL (100% MINERAL DIESEL)"/>
    <x v="1"/>
    <x v="1"/>
    <m/>
    <m/>
    <m/>
    <m/>
    <n v="1"/>
    <s v="CO2E"/>
    <n v="0"/>
    <n v="0.62873999999999997"/>
    <s v="LITRES"/>
    <n v="1"/>
    <n v="0"/>
    <s v="AR4"/>
    <s v="Defra"/>
    <s v="Defra (2021)"/>
    <n v="2021"/>
    <n v="2019"/>
    <n v="0"/>
    <n v="0"/>
    <x v="0"/>
    <s v="Office"/>
  </r>
  <r>
    <n v="5043"/>
    <s v="Top of Hierarchy &gt; Asia Pacific &gt; Vantage_Mumbai"/>
    <x v="0"/>
    <x v="1"/>
    <d v="2021-01-01T00:00:00"/>
    <d v="2021-12-31T00:00:00"/>
    <x v="4"/>
    <d v="2021-01-01T00:00:00"/>
    <d v="2021-12-31T00:00:00"/>
    <s v="HFC-134a"/>
    <n v="6.4600000000000005E-2"/>
    <s v="kilograms"/>
    <x v="0"/>
    <m/>
    <s v="2023-02-27, 16:28"/>
    <s v="2023-07-20, 00:40"/>
    <n v="2021"/>
    <s v="hfc-134a"/>
    <s v="HFC-134A"/>
    <s v="model"/>
    <b v="0"/>
    <s v="REFRIGERANT: R-134A"/>
    <x v="2"/>
    <x v="0"/>
    <m/>
    <m/>
    <m/>
    <m/>
    <n v="0"/>
    <s v="CO2E"/>
    <n v="92.378"/>
    <n v="1430"/>
    <s v="KG"/>
    <n v="1"/>
    <n v="6.4600000000000005E-2"/>
    <s v="AR4"/>
    <s v="IPCC"/>
    <s v="IPCC (2021)"/>
    <n v="2021"/>
    <n v="2007"/>
    <n v="9.2378000000000002E-2"/>
    <n v="0"/>
    <x v="0"/>
    <s v="Office"/>
  </r>
  <r>
    <n v="5043"/>
    <s v="Top of Hierarchy &gt; Asia Pacific &gt; Vantage_Mumbai"/>
    <x v="0"/>
    <x v="1"/>
    <d v="2021-01-01T00:00:00"/>
    <d v="2021-12-31T00:00:00"/>
    <x v="4"/>
    <d v="2021-01-01T00:00:00"/>
    <d v="2021-12-31T00:00:00"/>
    <s v="HFC-134a"/>
    <n v="6.4600000000000005E-2"/>
    <s v="kilograms"/>
    <x v="0"/>
    <m/>
    <s v="2023-02-27, 16:28"/>
    <s v="2023-07-20, 00:40"/>
    <n v="2021"/>
    <s v="hfc-134a"/>
    <s v="HFC-134A"/>
    <s v="model"/>
    <b v="0"/>
    <s v="REFRIGERANT: R-134A"/>
    <x v="2"/>
    <x v="0"/>
    <m/>
    <m/>
    <m/>
    <m/>
    <n v="1"/>
    <s v="CO2E"/>
    <n v="92.378"/>
    <n v="1430"/>
    <s v="KG"/>
    <n v="1"/>
    <n v="6.4600000000000005E-2"/>
    <s v="AR4"/>
    <s v="IPCC"/>
    <s v="IPCC (2021)"/>
    <n v="2021"/>
    <n v="2007"/>
    <n v="0"/>
    <n v="9.2378000000000002E-2"/>
    <x v="0"/>
    <s v="Office"/>
  </r>
  <r>
    <n v="283987"/>
    <s v="Top of Hierarchy &gt; Asia Pacific &gt; Vantage_Shanghai"/>
    <x v="1"/>
    <x v="0"/>
    <d v="2022-01-01T00:00:00"/>
    <d v="2022-12-31T00:00:00"/>
    <x v="0"/>
    <d v="2022-01-01T00:00:00"/>
    <d v="2022-12-31T00:00:00"/>
    <s v="Electricity (non-renewable)"/>
    <n v="29409"/>
    <s v="Kilowatt hours"/>
    <x v="1"/>
    <m/>
    <s v="2023-04-28, 19:47"/>
    <s v="2023-07-20, 00:40"/>
    <n v="2022"/>
    <s v="electricity"/>
    <s v="Electricity"/>
    <s v="model"/>
    <b v="0"/>
    <s v="ELECTRICITY; PEOPLE'S REPUBLIC OF CHINA"/>
    <x v="0"/>
    <x v="0"/>
    <s v="Asia"/>
    <s v="Eastern Asia"/>
    <s v="CN"/>
    <m/>
    <n v="0"/>
    <s v="CH4"/>
    <n v="11.7636"/>
    <s v="RESTRICTED"/>
    <s v="KWH"/>
    <n v="1"/>
    <n v="29409"/>
    <s v="AR4"/>
    <s v="IEA"/>
    <s v="IEA (2022)"/>
    <n v="2022"/>
    <n v="2020"/>
    <n v="0"/>
    <n v="0"/>
    <x v="1"/>
    <s v="Warehouse"/>
  </r>
  <r>
    <n v="283987"/>
    <s v="Top of Hierarchy &gt; Asia Pacific &gt; Vantage_Shanghai"/>
    <x v="1"/>
    <x v="0"/>
    <d v="2022-01-01T00:00:00"/>
    <d v="2022-12-31T00:00:00"/>
    <x v="0"/>
    <d v="2022-01-01T00:00:00"/>
    <d v="2022-12-31T00:00:00"/>
    <s v="Electricity (non-renewable)"/>
    <n v="29409"/>
    <s v="Kilowatt hours"/>
    <x v="1"/>
    <m/>
    <s v="2023-04-28, 19:47"/>
    <s v="2023-07-20, 00:40"/>
    <n v="2022"/>
    <s v="electricity"/>
    <s v="Electricity"/>
    <s v="model"/>
    <b v="0"/>
    <s v="ELECTRICITY; PEOPLE'S REPUBLIC OF CHINA"/>
    <x v="0"/>
    <x v="0"/>
    <s v="Asia"/>
    <s v="Eastern Asia"/>
    <s v="CN"/>
    <m/>
    <n v="0"/>
    <s v="CO2"/>
    <n v="18065.948700000001"/>
    <s v="RESTRICTED"/>
    <s v="KWH"/>
    <n v="1"/>
    <n v="29409"/>
    <s v="AR4"/>
    <s v="IEA"/>
    <s v="IEA (2022)"/>
    <n v="2022"/>
    <n v="2020"/>
    <n v="0"/>
    <n v="0"/>
    <x v="1"/>
    <s v="Warehouse"/>
  </r>
  <r>
    <n v="283987"/>
    <s v="Top of Hierarchy &gt; Asia Pacific &gt; Vantage_Shanghai"/>
    <x v="1"/>
    <x v="0"/>
    <d v="2022-01-01T00:00:00"/>
    <d v="2022-12-31T00:00:00"/>
    <x v="0"/>
    <d v="2022-01-01T00:00:00"/>
    <d v="2022-12-31T00:00:00"/>
    <s v="Electricity (non-renewable)"/>
    <n v="29409"/>
    <s v="Kilowatt hours"/>
    <x v="1"/>
    <m/>
    <s v="2023-04-28, 19:47"/>
    <s v="2023-07-20, 00:40"/>
    <n v="2022"/>
    <s v="electricity"/>
    <s v="Electricity"/>
    <s v="model"/>
    <b v="0"/>
    <s v="ELECTRICITY; PEOPLE'S REPUBLIC OF CHINA"/>
    <x v="0"/>
    <x v="0"/>
    <s v="Asia"/>
    <s v="Eastern Asia"/>
    <s v="CN"/>
    <m/>
    <n v="0"/>
    <s v="CO2E"/>
    <n v="18162.9984"/>
    <s v="RESTRICTED"/>
    <s v="KWH"/>
    <n v="1"/>
    <n v="29409"/>
    <s v="AR4"/>
    <s v="IEA"/>
    <s v="IEA (2022)"/>
    <n v="2022"/>
    <n v="2020"/>
    <n v="18.162998399999999"/>
    <n v="0"/>
    <x v="1"/>
    <s v="Warehouse"/>
  </r>
  <r>
    <n v="283987"/>
    <s v="Top of Hierarchy &gt; Asia Pacific &gt; Vantage_Shanghai"/>
    <x v="1"/>
    <x v="0"/>
    <d v="2022-01-01T00:00:00"/>
    <d v="2022-12-31T00:00:00"/>
    <x v="0"/>
    <d v="2022-01-01T00:00:00"/>
    <d v="2022-12-31T00:00:00"/>
    <s v="Electricity (non-renewable)"/>
    <n v="29409"/>
    <s v="Kilowatt hours"/>
    <x v="1"/>
    <m/>
    <s v="2023-04-28, 19:47"/>
    <s v="2023-07-20, 00:40"/>
    <n v="2022"/>
    <s v="electricity"/>
    <s v="Electricity"/>
    <s v="model"/>
    <b v="0"/>
    <s v="ELECTRICITY; PEOPLE'S REPUBLIC OF CHINA"/>
    <x v="0"/>
    <x v="0"/>
    <s v="Asia"/>
    <s v="Eastern Asia"/>
    <s v="CN"/>
    <m/>
    <n v="0"/>
    <s v="N2O"/>
    <n v="85.286100000000005"/>
    <s v="RESTRICTED"/>
    <s v="KWH"/>
    <n v="1"/>
    <n v="29409"/>
    <s v="AR4"/>
    <s v="IEA"/>
    <s v="IEA (2022)"/>
    <n v="2022"/>
    <n v="2020"/>
    <n v="0"/>
    <n v="0"/>
    <x v="1"/>
    <s v="Warehouse"/>
  </r>
  <r>
    <n v="283987"/>
    <s v="Top of Hierarchy &gt; Asia Pacific &gt; Vantage_Shanghai"/>
    <x v="1"/>
    <x v="0"/>
    <d v="2022-01-01T00:00:00"/>
    <d v="2022-12-31T00:00:00"/>
    <x v="0"/>
    <d v="2022-01-01T00:00:00"/>
    <d v="2022-12-31T00:00:00"/>
    <s v="Electricity (non-renewable)"/>
    <n v="29409"/>
    <s v="Kilowatt hours"/>
    <x v="1"/>
    <m/>
    <s v="2023-04-28, 19:47"/>
    <s v="2023-07-20, 00:40"/>
    <n v="2022"/>
    <s v="electricity"/>
    <s v="Electricity"/>
    <s v="model"/>
    <b v="0"/>
    <s v="ELECTRICITY; PEOPLE'S REPUBLIC OF CHINA"/>
    <x v="0"/>
    <x v="0"/>
    <s v="Asia"/>
    <s v="Eastern Asia"/>
    <s v="CN"/>
    <m/>
    <n v="1"/>
    <s v="CH4"/>
    <n v="11.7636"/>
    <s v="RESTRICTED"/>
    <s v="KWH"/>
    <n v="1"/>
    <n v="29409"/>
    <s v="AR4"/>
    <s v="IEA"/>
    <s v="IEA (2022)"/>
    <n v="2022"/>
    <n v="2020"/>
    <n v="0"/>
    <n v="0"/>
    <x v="1"/>
    <s v="Warehouse"/>
  </r>
  <r>
    <n v="283987"/>
    <s v="Top of Hierarchy &gt; Asia Pacific &gt; Vantage_Shanghai"/>
    <x v="1"/>
    <x v="0"/>
    <d v="2022-01-01T00:00:00"/>
    <d v="2022-12-31T00:00:00"/>
    <x v="0"/>
    <d v="2022-01-01T00:00:00"/>
    <d v="2022-12-31T00:00:00"/>
    <s v="Electricity (non-renewable)"/>
    <n v="29409"/>
    <s v="Kilowatt hours"/>
    <x v="1"/>
    <m/>
    <s v="2023-04-28, 19:47"/>
    <s v="2023-07-20, 00:40"/>
    <n v="2022"/>
    <s v="electricity"/>
    <s v="Electricity"/>
    <s v="model"/>
    <b v="0"/>
    <s v="ELECTRICITY; PEOPLE'S REPUBLIC OF CHINA"/>
    <x v="0"/>
    <x v="0"/>
    <s v="Asia"/>
    <s v="Eastern Asia"/>
    <s v="CN"/>
    <m/>
    <n v="1"/>
    <s v="CO2"/>
    <n v="18065.948700000001"/>
    <s v="RESTRICTED"/>
    <s v="KWH"/>
    <n v="1"/>
    <n v="29409"/>
    <s v="AR4"/>
    <s v="IEA"/>
    <s v="IEA (2022)"/>
    <n v="2022"/>
    <n v="2020"/>
    <n v="0"/>
    <n v="0"/>
    <x v="1"/>
    <s v="Warehouse"/>
  </r>
  <r>
    <n v="283987"/>
    <s v="Top of Hierarchy &gt; Asia Pacific &gt; Vantage_Shanghai"/>
    <x v="1"/>
    <x v="0"/>
    <d v="2022-01-01T00:00:00"/>
    <d v="2022-12-31T00:00:00"/>
    <x v="0"/>
    <d v="2022-01-01T00:00:00"/>
    <d v="2022-12-31T00:00:00"/>
    <s v="Electricity (non-renewable)"/>
    <n v="29409"/>
    <s v="Kilowatt hours"/>
    <x v="1"/>
    <m/>
    <s v="2023-04-28, 19:47"/>
    <s v="2023-07-20, 00:40"/>
    <n v="2022"/>
    <s v="electricity"/>
    <s v="Electricity"/>
    <s v="model"/>
    <b v="0"/>
    <s v="ELECTRICITY; PEOPLE'S REPUBLIC OF CHINA"/>
    <x v="0"/>
    <x v="0"/>
    <s v="Asia"/>
    <s v="Eastern Asia"/>
    <s v="CN"/>
    <m/>
    <n v="1"/>
    <s v="CO2E"/>
    <n v="18162.9984"/>
    <s v="RESTRICTED"/>
    <s v="KWH"/>
    <n v="1"/>
    <n v="29409"/>
    <s v="AR4"/>
    <s v="IEA"/>
    <s v="IEA (2022)"/>
    <n v="2022"/>
    <n v="2020"/>
    <n v="0"/>
    <n v="18.162998399999999"/>
    <x v="1"/>
    <s v="Warehouse"/>
  </r>
  <r>
    <n v="283987"/>
    <s v="Top of Hierarchy &gt; Asia Pacific &gt; Vantage_Shanghai"/>
    <x v="1"/>
    <x v="0"/>
    <d v="2022-01-01T00:00:00"/>
    <d v="2022-12-31T00:00:00"/>
    <x v="0"/>
    <d v="2022-01-01T00:00:00"/>
    <d v="2022-12-31T00:00:00"/>
    <s v="Electricity (non-renewable)"/>
    <n v="29409"/>
    <s v="Kilowatt hours"/>
    <x v="1"/>
    <m/>
    <s v="2023-04-28, 19:47"/>
    <s v="2023-07-20, 00:40"/>
    <n v="2022"/>
    <s v="electricity"/>
    <s v="Electricity"/>
    <s v="model"/>
    <b v="0"/>
    <s v="ELECTRICITY; PEOPLE'S REPUBLIC OF CHINA"/>
    <x v="0"/>
    <x v="0"/>
    <s v="Asia"/>
    <s v="Eastern Asia"/>
    <s v="CN"/>
    <m/>
    <n v="1"/>
    <s v="N2O"/>
    <n v="85.286100000000005"/>
    <s v="RESTRICTED"/>
    <s v="KWH"/>
    <n v="1"/>
    <n v="29409"/>
    <s v="AR4"/>
    <s v="IEA"/>
    <s v="IEA (2022)"/>
    <n v="2022"/>
    <n v="2020"/>
    <n v="0"/>
    <n v="0"/>
    <x v="1"/>
    <s v="Warehouse"/>
  </r>
  <r>
    <n v="283987"/>
    <s v="Top of Hierarchy &gt; Asia Pacific &gt; Vantage_Shanghai"/>
    <x v="1"/>
    <x v="0"/>
    <d v="2022-01-01T00:00:00"/>
    <d v="2022-12-31T00:00:00"/>
    <x v="0"/>
    <d v="2022-01-01T00:00:00"/>
    <d v="2022-12-31T00:00:00"/>
    <s v="Electricity (non-renewable)"/>
    <n v="29409"/>
    <s v="Kilowatt hours"/>
    <x v="1"/>
    <m/>
    <s v="2023-04-28, 19:47"/>
    <s v="2023-07-20, 00:40"/>
    <n v="2022"/>
    <s v="electricity__t+d__wtt"/>
    <s v="Electricity T&amp;D WTT"/>
    <s v="t+d_wtt"/>
    <b v="0"/>
    <s v="ELECTRICITY T&amp;D WTT; CHINA"/>
    <x v="1"/>
    <x v="1"/>
    <s v="Asia"/>
    <s v="Eastern Asia"/>
    <s v="CN"/>
    <m/>
    <n v="0"/>
    <s v="CO2E"/>
    <n v="212.27430960000001"/>
    <n v="7.2180050000000004E-3"/>
    <s v="KWH"/>
    <n v="1"/>
    <n v="29409"/>
    <s v="AR4"/>
    <s v="Anthesis"/>
    <s v="Anthesis (2022)"/>
    <n v="2022"/>
    <n v="2020"/>
    <n v="0.21227430960000002"/>
    <n v="0"/>
    <x v="1"/>
    <s v="Warehouse"/>
  </r>
  <r>
    <n v="283987"/>
    <s v="Top of Hierarchy &gt; Asia Pacific &gt; Vantage_Shanghai"/>
    <x v="1"/>
    <x v="0"/>
    <d v="2022-01-01T00:00:00"/>
    <d v="2022-12-31T00:00:00"/>
    <x v="0"/>
    <d v="2022-01-01T00:00:00"/>
    <d v="2022-12-31T00:00:00"/>
    <s v="Electricity (non-renewable)"/>
    <n v="29409"/>
    <s v="Kilowatt hours"/>
    <x v="1"/>
    <m/>
    <s v="2023-04-28, 19:47"/>
    <s v="2023-07-20, 00:40"/>
    <n v="2022"/>
    <s v="electricity__t+d__wtt"/>
    <s v="Electricity T&amp;D WTT"/>
    <s v="t+d_wtt"/>
    <b v="0"/>
    <s v="ELECTRICITY T&amp;D WTT; CHINA"/>
    <x v="1"/>
    <x v="1"/>
    <s v="Asia"/>
    <s v="Eastern Asia"/>
    <s v="CN"/>
    <m/>
    <n v="1"/>
    <s v="CO2E"/>
    <n v="212.27430960000001"/>
    <n v="7.2180050000000004E-3"/>
    <s v="KWH"/>
    <n v="1"/>
    <n v="29409"/>
    <s v="AR4"/>
    <s v="Anthesis"/>
    <s v="Anthesis (2022)"/>
    <n v="2022"/>
    <n v="2020"/>
    <n v="0"/>
    <n v="0.21227430960000002"/>
    <x v="1"/>
    <s v="Warehouse"/>
  </r>
  <r>
    <n v="283987"/>
    <s v="Top of Hierarchy &gt; Asia Pacific &gt; Vantage_Shanghai"/>
    <x v="1"/>
    <x v="0"/>
    <d v="2022-01-01T00:00:00"/>
    <d v="2022-12-31T00:00:00"/>
    <x v="0"/>
    <d v="2022-01-01T00:00:00"/>
    <d v="2022-12-31T00:00:00"/>
    <s v="Electricity (non-renewable)"/>
    <n v="29409"/>
    <s v="Kilowatt hours"/>
    <x v="1"/>
    <m/>
    <s v="2023-04-28, 19:47"/>
    <s v="2023-07-20, 00:40"/>
    <n v="2022"/>
    <s v="electricity__wtt"/>
    <s v="Electricity WTT"/>
    <s v="wtt"/>
    <b v="0"/>
    <s v="ELECTRICITY WTT; CHINA"/>
    <x v="1"/>
    <x v="1"/>
    <s v="Asia"/>
    <s v="Eastern Asia"/>
    <s v="CN"/>
    <m/>
    <n v="0"/>
    <s v="CO2E"/>
    <n v="4750.0222329999997"/>
    <n v="0.161515938"/>
    <s v="KWH"/>
    <n v="1"/>
    <n v="29409"/>
    <s v="AR4"/>
    <s v="Anthesis"/>
    <s v="Anthesis (2022)"/>
    <n v="2022"/>
    <n v="2020"/>
    <n v="4.7500222329999993"/>
    <n v="0"/>
    <x v="1"/>
    <s v="Warehouse"/>
  </r>
  <r>
    <n v="283987"/>
    <s v="Top of Hierarchy &gt; Asia Pacific &gt; Vantage_Shanghai"/>
    <x v="1"/>
    <x v="0"/>
    <d v="2022-01-01T00:00:00"/>
    <d v="2022-12-31T00:00:00"/>
    <x v="0"/>
    <d v="2022-01-01T00:00:00"/>
    <d v="2022-12-31T00:00:00"/>
    <s v="Electricity (non-renewable)"/>
    <n v="29409"/>
    <s v="Kilowatt hours"/>
    <x v="1"/>
    <m/>
    <s v="2023-04-28, 19:47"/>
    <s v="2023-07-20, 00:40"/>
    <n v="2022"/>
    <s v="electricity__wtt"/>
    <s v="Electricity WTT"/>
    <s v="wtt"/>
    <b v="0"/>
    <s v="ELECTRICITY WTT; CHINA"/>
    <x v="1"/>
    <x v="1"/>
    <s v="Asia"/>
    <s v="Eastern Asia"/>
    <s v="CN"/>
    <m/>
    <n v="1"/>
    <s v="CO2E"/>
    <n v="4750.0222329999997"/>
    <n v="0.161515938"/>
    <s v="KWH"/>
    <n v="1"/>
    <n v="29409"/>
    <s v="AR4"/>
    <s v="Anthesis"/>
    <s v="Anthesis (2022)"/>
    <n v="2022"/>
    <n v="2020"/>
    <n v="0"/>
    <n v="4.7500222329999993"/>
    <x v="1"/>
    <s v="Warehouse"/>
  </r>
  <r>
    <n v="283987"/>
    <s v="Top of Hierarchy &gt; Asia Pacific &gt; Vantage_Shanghai"/>
    <x v="1"/>
    <x v="0"/>
    <d v="2022-01-01T00:00:00"/>
    <d v="2022-12-31T00:00:00"/>
    <x v="0"/>
    <d v="2022-01-01T00:00:00"/>
    <d v="2022-12-31T00:00:00"/>
    <s v="Electricity (non-renewable)"/>
    <n v="29409"/>
    <s v="Kilowatt hours"/>
    <x v="1"/>
    <m/>
    <s v="2023-04-28, 19:47"/>
    <s v="2023-07-20, 00:40"/>
    <n v="2022"/>
    <s v="electricity__t+d"/>
    <s v="Electricity T&amp;D"/>
    <s v="t+d"/>
    <b v="0"/>
    <s v="ELECTRICITY; TRANSMISSION AND DISTRIBUTION; PEOPLE'S REPUBLIC OF CHINA"/>
    <x v="1"/>
    <x v="1"/>
    <s v="Asia"/>
    <s v="Eastern Asia"/>
    <s v="CN"/>
    <m/>
    <n v="0"/>
    <s v="CO2E"/>
    <n v="811.6884"/>
    <s v="RESTRICTED"/>
    <s v="KWH"/>
    <n v="1"/>
    <n v="29409"/>
    <s v="AR4"/>
    <s v="IEA"/>
    <s v="IEA (2022)"/>
    <n v="2022"/>
    <n v="2020"/>
    <n v="0.81168839999999998"/>
    <n v="0"/>
    <x v="1"/>
    <s v="Warehouse"/>
  </r>
  <r>
    <n v="283987"/>
    <s v="Top of Hierarchy &gt; Asia Pacific &gt; Vantage_Shanghai"/>
    <x v="1"/>
    <x v="0"/>
    <d v="2022-01-01T00:00:00"/>
    <d v="2022-12-31T00:00:00"/>
    <x v="0"/>
    <d v="2022-01-01T00:00:00"/>
    <d v="2022-12-31T00:00:00"/>
    <s v="Electricity (non-renewable)"/>
    <n v="29409"/>
    <s v="Kilowatt hours"/>
    <x v="1"/>
    <m/>
    <s v="2023-04-28, 19:47"/>
    <s v="2023-07-20, 00:40"/>
    <n v="2022"/>
    <s v="electricity__t+d"/>
    <s v="Electricity T&amp;D"/>
    <s v="t+d"/>
    <b v="0"/>
    <s v="ELECTRICITY; TRANSMISSION AND DISTRIBUTION; PEOPLE'S REPUBLIC OF CHINA"/>
    <x v="1"/>
    <x v="1"/>
    <s v="Asia"/>
    <s v="Eastern Asia"/>
    <s v="CN"/>
    <m/>
    <n v="1"/>
    <s v="CO2E"/>
    <n v="811.6884"/>
    <s v="RESTRICTED"/>
    <s v="KWH"/>
    <n v="1"/>
    <n v="29409"/>
    <s v="AR4"/>
    <s v="IEA"/>
    <s v="IEA (2022)"/>
    <n v="2022"/>
    <n v="2020"/>
    <n v="0"/>
    <n v="0.81168839999999998"/>
    <x v="1"/>
    <s v="Warehouse"/>
  </r>
  <r>
    <n v="1590441"/>
    <s v="Top of Hierarchy &gt; Asia Pacific &gt; Vantage_Shanghai"/>
    <x v="1"/>
    <x v="0"/>
    <d v="2022-01-01T00:00:00"/>
    <d v="2022-12-31T00:00:00"/>
    <x v="3"/>
    <d v="2022-01-01T00:00:00"/>
    <d v="2022-12-31T00:00:00"/>
    <s v="Natural gas"/>
    <n v="3788.4519110000001"/>
    <s v="Hundred Thousand BTUs"/>
    <x v="0"/>
    <s v="Estimated from square footage (CBECS 2012)"/>
    <s v="2023-07-25, 17:50"/>
    <s v="2023-07-25, 17:50"/>
    <n v="2022"/>
    <s v="natural_gas"/>
    <s v="Natural Gas"/>
    <s v="model"/>
    <b v="0"/>
    <s v="FUELS; GASEOUS FUELS; NATURAL GAS"/>
    <x v="2"/>
    <x v="0"/>
    <m/>
    <m/>
    <m/>
    <m/>
    <n v="0"/>
    <s v="CH4"/>
    <n v="27.750504960000001"/>
    <n v="2.5000000000000001E-4"/>
    <s v="KWH (GROSS CV)"/>
    <n v="29.3001"/>
    <n v="111002.01979999999"/>
    <s v="AR4"/>
    <s v="Defra"/>
    <s v="Defra (2022)"/>
    <n v="2022"/>
    <n v="2020"/>
    <n v="0"/>
    <n v="0"/>
    <x v="1"/>
    <s v="Warehouse"/>
  </r>
  <r>
    <n v="1590441"/>
    <s v="Top of Hierarchy &gt; Asia Pacific &gt; Vantage_Shanghai"/>
    <x v="1"/>
    <x v="0"/>
    <d v="2022-01-01T00:00:00"/>
    <d v="2022-12-31T00:00:00"/>
    <x v="3"/>
    <d v="2022-01-01T00:00:00"/>
    <d v="2022-12-31T00:00:00"/>
    <s v="Natural gas"/>
    <n v="3788.4519110000001"/>
    <s v="Hundred Thousand BTUs"/>
    <x v="0"/>
    <s v="Estimated from square footage (CBECS 2012)"/>
    <s v="2023-07-25, 17:50"/>
    <s v="2023-07-25, 17:50"/>
    <n v="2022"/>
    <s v="natural_gas"/>
    <s v="Natural Gas"/>
    <s v="model"/>
    <b v="0"/>
    <s v="FUELS; GASEOUS FUELS; NATURAL GAS"/>
    <x v="2"/>
    <x v="0"/>
    <m/>
    <m/>
    <m/>
    <m/>
    <n v="0"/>
    <s v="CO2"/>
    <n v="20223.457989999999"/>
    <n v="0.18218999999999999"/>
    <s v="KWH (GROSS CV)"/>
    <n v="29.3001"/>
    <n v="111002.01979999999"/>
    <s v="AR4"/>
    <s v="Defra"/>
    <s v="Defra (2022)"/>
    <n v="2022"/>
    <n v="2020"/>
    <n v="0"/>
    <n v="0"/>
    <x v="1"/>
    <s v="Warehouse"/>
  </r>
  <r>
    <n v="1590441"/>
    <s v="Top of Hierarchy &gt; Asia Pacific &gt; Vantage_Shanghai"/>
    <x v="1"/>
    <x v="0"/>
    <d v="2022-01-01T00:00:00"/>
    <d v="2022-12-31T00:00:00"/>
    <x v="3"/>
    <d v="2022-01-01T00:00:00"/>
    <d v="2022-12-31T00:00:00"/>
    <s v="Natural gas"/>
    <n v="3788.4519110000001"/>
    <s v="Hundred Thousand BTUs"/>
    <x v="0"/>
    <s v="Estimated from square footage (CBECS 2012)"/>
    <s v="2023-07-25, 17:50"/>
    <s v="2023-07-25, 17:50"/>
    <n v="2022"/>
    <s v="natural_gas"/>
    <s v="Natural Gas"/>
    <s v="model"/>
    <b v="0"/>
    <s v="FUELS; GASEOUS FUELS; NATURAL GAS"/>
    <x v="2"/>
    <x v="0"/>
    <m/>
    <m/>
    <m/>
    <m/>
    <n v="0"/>
    <s v="CO2E"/>
    <n v="20262.308700000001"/>
    <n v="0.18254000000000001"/>
    <s v="KWH (GROSS CV)"/>
    <n v="29.3001"/>
    <n v="111002.01979999999"/>
    <s v="AR4"/>
    <s v="Defra"/>
    <s v="Defra (2022)"/>
    <n v="2022"/>
    <n v="2020"/>
    <n v="20.262308700000002"/>
    <n v="0"/>
    <x v="1"/>
    <s v="Warehouse"/>
  </r>
  <r>
    <n v="1590441"/>
    <s v="Top of Hierarchy &gt; Asia Pacific &gt; Vantage_Shanghai"/>
    <x v="1"/>
    <x v="0"/>
    <d v="2022-01-01T00:00:00"/>
    <d v="2022-12-31T00:00:00"/>
    <x v="3"/>
    <d v="2022-01-01T00:00:00"/>
    <d v="2022-12-31T00:00:00"/>
    <s v="Natural gas"/>
    <n v="3788.4519110000001"/>
    <s v="Hundred Thousand BTUs"/>
    <x v="0"/>
    <s v="Estimated from square footage (CBECS 2012)"/>
    <s v="2023-07-25, 17:50"/>
    <s v="2023-07-25, 17:50"/>
    <n v="2022"/>
    <s v="natural_gas"/>
    <s v="Natural Gas"/>
    <s v="model"/>
    <b v="0"/>
    <s v="FUELS; GASEOUS FUELS; NATURAL GAS"/>
    <x v="2"/>
    <x v="0"/>
    <m/>
    <m/>
    <m/>
    <m/>
    <n v="0"/>
    <s v="N2O"/>
    <n v="11.10020198"/>
    <n v="1E-4"/>
    <s v="KWH (GROSS CV)"/>
    <n v="29.3001"/>
    <n v="111002.01979999999"/>
    <s v="AR4"/>
    <s v="Defra"/>
    <s v="Defra (2022)"/>
    <n v="2022"/>
    <n v="2020"/>
    <n v="0"/>
    <n v="0"/>
    <x v="1"/>
    <s v="Warehouse"/>
  </r>
  <r>
    <n v="1590441"/>
    <s v="Top of Hierarchy &gt; Asia Pacific &gt; Vantage_Shanghai"/>
    <x v="1"/>
    <x v="0"/>
    <d v="2022-01-01T00:00:00"/>
    <d v="2022-12-31T00:00:00"/>
    <x v="3"/>
    <d v="2022-01-01T00:00:00"/>
    <d v="2022-12-31T00:00:00"/>
    <s v="Natural gas"/>
    <n v="3788.4519110000001"/>
    <s v="Hundred Thousand BTUs"/>
    <x v="0"/>
    <s v="Estimated from square footage (CBECS 2012)"/>
    <s v="2023-07-25, 17:50"/>
    <s v="2023-07-25, 17:50"/>
    <n v="2022"/>
    <s v="natural_gas"/>
    <s v="Natural Gas"/>
    <s v="model"/>
    <b v="0"/>
    <s v="FUELS; GASEOUS FUELS; NATURAL GAS"/>
    <x v="2"/>
    <x v="0"/>
    <m/>
    <m/>
    <m/>
    <m/>
    <n v="1"/>
    <s v="CH4"/>
    <n v="27.750504960000001"/>
    <n v="2.5000000000000001E-4"/>
    <s v="KWH (GROSS CV)"/>
    <n v="29.3001"/>
    <n v="111002.01979999999"/>
    <s v="AR4"/>
    <s v="Defra"/>
    <s v="Defra (2022)"/>
    <n v="2022"/>
    <n v="2020"/>
    <n v="0"/>
    <n v="0"/>
    <x v="1"/>
    <s v="Warehouse"/>
  </r>
  <r>
    <n v="1590441"/>
    <s v="Top of Hierarchy &gt; Asia Pacific &gt; Vantage_Shanghai"/>
    <x v="1"/>
    <x v="0"/>
    <d v="2022-01-01T00:00:00"/>
    <d v="2022-12-31T00:00:00"/>
    <x v="3"/>
    <d v="2022-01-01T00:00:00"/>
    <d v="2022-12-31T00:00:00"/>
    <s v="Natural gas"/>
    <n v="3788.4519110000001"/>
    <s v="Hundred Thousand BTUs"/>
    <x v="0"/>
    <s v="Estimated from square footage (CBECS 2012)"/>
    <s v="2023-07-25, 17:50"/>
    <s v="2023-07-25, 17:50"/>
    <n v="2022"/>
    <s v="natural_gas"/>
    <s v="Natural Gas"/>
    <s v="model"/>
    <b v="0"/>
    <s v="FUELS; GASEOUS FUELS; NATURAL GAS"/>
    <x v="2"/>
    <x v="0"/>
    <m/>
    <m/>
    <m/>
    <m/>
    <n v="1"/>
    <s v="CO2"/>
    <n v="20223.457989999999"/>
    <n v="0.18218999999999999"/>
    <s v="KWH (GROSS CV)"/>
    <n v="29.3001"/>
    <n v="111002.01979999999"/>
    <s v="AR4"/>
    <s v="Defra"/>
    <s v="Defra (2022)"/>
    <n v="2022"/>
    <n v="2020"/>
    <n v="0"/>
    <n v="0"/>
    <x v="1"/>
    <s v="Warehouse"/>
  </r>
  <r>
    <n v="1590441"/>
    <s v="Top of Hierarchy &gt; Asia Pacific &gt; Vantage_Shanghai"/>
    <x v="1"/>
    <x v="0"/>
    <d v="2022-01-01T00:00:00"/>
    <d v="2022-12-31T00:00:00"/>
    <x v="3"/>
    <d v="2022-01-01T00:00:00"/>
    <d v="2022-12-31T00:00:00"/>
    <s v="Natural gas"/>
    <n v="3788.4519110000001"/>
    <s v="Hundred Thousand BTUs"/>
    <x v="0"/>
    <s v="Estimated from square footage (CBECS 2012)"/>
    <s v="2023-07-25, 17:50"/>
    <s v="2023-07-25, 17:50"/>
    <n v="2022"/>
    <s v="natural_gas"/>
    <s v="Natural Gas"/>
    <s v="model"/>
    <b v="0"/>
    <s v="FUELS; GASEOUS FUELS; NATURAL GAS"/>
    <x v="2"/>
    <x v="0"/>
    <m/>
    <m/>
    <m/>
    <m/>
    <n v="1"/>
    <s v="CO2E"/>
    <n v="20262.308700000001"/>
    <n v="0.18254000000000001"/>
    <s v="KWH (GROSS CV)"/>
    <n v="29.3001"/>
    <n v="111002.01979999999"/>
    <s v="AR4"/>
    <s v="Defra"/>
    <s v="Defra (2022)"/>
    <n v="2022"/>
    <n v="2020"/>
    <n v="0"/>
    <n v="20.262308700000002"/>
    <x v="1"/>
    <s v="Warehouse"/>
  </r>
  <r>
    <n v="1590441"/>
    <s v="Top of Hierarchy &gt; Asia Pacific &gt; Vantage_Shanghai"/>
    <x v="1"/>
    <x v="0"/>
    <d v="2022-01-01T00:00:00"/>
    <d v="2022-12-31T00:00:00"/>
    <x v="3"/>
    <d v="2022-01-01T00:00:00"/>
    <d v="2022-12-31T00:00:00"/>
    <s v="Natural gas"/>
    <n v="3788.4519110000001"/>
    <s v="Hundred Thousand BTUs"/>
    <x v="0"/>
    <s v="Estimated from square footage (CBECS 2012)"/>
    <s v="2023-07-25, 17:50"/>
    <s v="2023-07-25, 17:50"/>
    <n v="2022"/>
    <s v="natural_gas"/>
    <s v="Natural Gas"/>
    <s v="model"/>
    <b v="0"/>
    <s v="FUELS; GASEOUS FUELS; NATURAL GAS"/>
    <x v="2"/>
    <x v="0"/>
    <m/>
    <m/>
    <m/>
    <m/>
    <n v="1"/>
    <s v="N2O"/>
    <n v="11.10020198"/>
    <n v="1E-4"/>
    <s v="KWH (GROSS CV)"/>
    <n v="29.3001"/>
    <n v="111002.01979999999"/>
    <s v="AR4"/>
    <s v="Defra"/>
    <s v="Defra (2022)"/>
    <n v="2022"/>
    <n v="2020"/>
    <n v="0"/>
    <n v="0"/>
    <x v="1"/>
    <s v="Warehouse"/>
  </r>
  <r>
    <n v="1590441"/>
    <s v="Top of Hierarchy &gt; Asia Pacific &gt; Vantage_Shanghai"/>
    <x v="1"/>
    <x v="0"/>
    <d v="2022-01-01T00:00:00"/>
    <d v="2022-12-31T00:00:00"/>
    <x v="3"/>
    <d v="2022-01-01T00:00:00"/>
    <d v="2022-12-31T00:00:00"/>
    <s v="Natural gas"/>
    <n v="3788.4519110000001"/>
    <s v="Hundred Thousand BTUs"/>
    <x v="0"/>
    <s v="Estimated from square footage (CBECS 2012)"/>
    <s v="2023-07-25, 17:50"/>
    <s v="2023-07-25, 17:50"/>
    <n v="2022"/>
    <s v="natural_gas__wtt"/>
    <s v="Natural Gas WTT"/>
    <s v="wtt"/>
    <b v="0"/>
    <s v="WTT- FUELS; GASEOUS FUELS; NATURAL GAS"/>
    <x v="1"/>
    <x v="1"/>
    <m/>
    <m/>
    <m/>
    <m/>
    <n v="0"/>
    <s v="CO2E"/>
    <n v="3452.1628169999999"/>
    <n v="3.1099999999999999E-2"/>
    <s v="KWH (GROSS CV)"/>
    <n v="29.3001"/>
    <n v="111002.01979999999"/>
    <s v="AR4"/>
    <s v="Defra"/>
    <s v="Defra (2022)"/>
    <n v="2022"/>
    <n v="2020"/>
    <n v="3.4521628170000001"/>
    <n v="0"/>
    <x v="1"/>
    <s v="Warehouse"/>
  </r>
  <r>
    <n v="1590441"/>
    <s v="Top of Hierarchy &gt; Asia Pacific &gt; Vantage_Shanghai"/>
    <x v="1"/>
    <x v="0"/>
    <d v="2022-01-01T00:00:00"/>
    <d v="2022-12-31T00:00:00"/>
    <x v="3"/>
    <d v="2022-01-01T00:00:00"/>
    <d v="2022-12-31T00:00:00"/>
    <s v="Natural gas"/>
    <n v="3788.4519110000001"/>
    <s v="Hundred Thousand BTUs"/>
    <x v="0"/>
    <s v="Estimated from square footage (CBECS 2012)"/>
    <s v="2023-07-25, 17:50"/>
    <s v="2023-07-25, 17:50"/>
    <n v="2022"/>
    <s v="natural_gas__wtt"/>
    <s v="Natural Gas WTT"/>
    <s v="wtt"/>
    <b v="0"/>
    <s v="WTT- FUELS; GASEOUS FUELS; NATURAL GAS"/>
    <x v="1"/>
    <x v="1"/>
    <m/>
    <m/>
    <m/>
    <m/>
    <n v="1"/>
    <s v="CO2E"/>
    <n v="3452.1628169999999"/>
    <n v="3.1099999999999999E-2"/>
    <s v="KWH (GROSS CV)"/>
    <n v="29.3001"/>
    <n v="111002.01979999999"/>
    <s v="AR4"/>
    <s v="Defra"/>
    <s v="Defra (2022)"/>
    <n v="2022"/>
    <n v="2020"/>
    <n v="0"/>
    <n v="3.4521628170000001"/>
    <x v="1"/>
    <s v="Warehouse"/>
  </r>
  <r>
    <n v="1590449"/>
    <s v="Top of Hierarchy &gt; Asia Pacific &gt; Vantage_Shanghai"/>
    <x v="1"/>
    <x v="0"/>
    <d v="2022-01-01T00:00:00"/>
    <d v="2022-12-31T00:00:00"/>
    <x v="4"/>
    <d v="2022-01-01T00:00:00"/>
    <d v="2022-12-31T00:00:00"/>
    <s v="R-134A"/>
    <n v="2.7555584"/>
    <s v="kilograms"/>
    <x v="0"/>
    <s v="Estimated from square footage. Assumed R134a."/>
    <s v="2023-07-25, 17:50"/>
    <s v="2023-07-25, 17:50"/>
    <n v="2022"/>
    <s v="hfc-134a"/>
    <s v="HFC-134A"/>
    <s v="model"/>
    <b v="0"/>
    <s v="REFRIGERANT: R-134A"/>
    <x v="2"/>
    <x v="0"/>
    <m/>
    <m/>
    <m/>
    <m/>
    <n v="0"/>
    <s v="CO2E"/>
    <n v="3940.4485119999999"/>
    <n v="1430"/>
    <s v="KG"/>
    <n v="1"/>
    <n v="2.7555584"/>
    <s v="AR4"/>
    <s v="IPCC"/>
    <s v="IPCC (2021)"/>
    <n v="2022"/>
    <n v="2007"/>
    <n v="3.9404485120000001"/>
    <n v="0"/>
    <x v="1"/>
    <s v="Warehouse"/>
  </r>
  <r>
    <n v="1590449"/>
    <s v="Top of Hierarchy &gt; Asia Pacific &gt; Vantage_Shanghai"/>
    <x v="1"/>
    <x v="0"/>
    <d v="2022-01-01T00:00:00"/>
    <d v="2022-12-31T00:00:00"/>
    <x v="4"/>
    <d v="2022-01-01T00:00:00"/>
    <d v="2022-12-31T00:00:00"/>
    <s v="R-134A"/>
    <n v="2.7555584"/>
    <s v="kilograms"/>
    <x v="0"/>
    <s v="Estimated from square footage. Assumed R134a."/>
    <s v="2023-07-25, 17:50"/>
    <s v="2023-07-25, 17:50"/>
    <n v="2022"/>
    <s v="hfc-134a"/>
    <s v="HFC-134A"/>
    <s v="model"/>
    <b v="0"/>
    <s v="REFRIGERANT: R-134A"/>
    <x v="2"/>
    <x v="0"/>
    <m/>
    <m/>
    <m/>
    <m/>
    <n v="1"/>
    <s v="CO2E"/>
    <n v="3940.4485119999999"/>
    <n v="1430"/>
    <s v="KG"/>
    <n v="1"/>
    <n v="2.7555584"/>
    <s v="AR4"/>
    <s v="IPCC"/>
    <s v="IPCC (2021)"/>
    <n v="2022"/>
    <n v="2007"/>
    <n v="0"/>
    <n v="3.9404485120000001"/>
    <x v="1"/>
    <s v="Warehouse"/>
  </r>
  <r>
    <n v="4962"/>
    <s v="Top of Hierarchy &gt; Asia Pacific &gt; Vantage_Shanghai"/>
    <x v="1"/>
    <x v="1"/>
    <d v="2021-01-01T00:00:00"/>
    <d v="2021-12-31T00:00:00"/>
    <x v="0"/>
    <d v="2021-01-01T00:00:00"/>
    <d v="2021-12-31T00:00:00"/>
    <s v="Electricity (non-renewable)"/>
    <n v="32374"/>
    <s v="Kilowatt hours"/>
    <x v="0"/>
    <m/>
    <s v="2023-02-27, 16:27"/>
    <s v="2023-08-03, 20:59"/>
    <n v="2021"/>
    <s v="electricity"/>
    <s v="Electricity"/>
    <s v="model"/>
    <b v="0"/>
    <s v="ELECTRICITY; PEOPLE'S REPUBLIC OF CHINA"/>
    <x v="0"/>
    <x v="0"/>
    <s v="Asia"/>
    <s v="Eastern Asia"/>
    <s v="CN"/>
    <m/>
    <n v="0"/>
    <s v="CH4"/>
    <n v="9.7121999999999993"/>
    <s v="RESTRICTED"/>
    <s v="KWH"/>
    <n v="1"/>
    <n v="32374"/>
    <s v="AR4"/>
    <s v="IEA"/>
    <s v="IEA (2021)"/>
    <n v="2021"/>
    <n v="2019"/>
    <n v="0"/>
    <n v="0"/>
    <x v="1"/>
    <s v="Warehouse"/>
  </r>
  <r>
    <n v="4962"/>
    <s v="Top of Hierarchy &gt; Asia Pacific &gt; Vantage_Shanghai"/>
    <x v="1"/>
    <x v="1"/>
    <d v="2021-01-01T00:00:00"/>
    <d v="2021-12-31T00:00:00"/>
    <x v="0"/>
    <d v="2021-01-01T00:00:00"/>
    <d v="2021-12-31T00:00:00"/>
    <s v="Electricity (non-renewable)"/>
    <n v="32374"/>
    <s v="Kilowatt hours"/>
    <x v="0"/>
    <m/>
    <s v="2023-02-27, 16:27"/>
    <s v="2023-08-03, 20:59"/>
    <n v="2021"/>
    <s v="electricity"/>
    <s v="Electricity"/>
    <s v="model"/>
    <b v="0"/>
    <s v="ELECTRICITY; PEOPLE'S REPUBLIC OF CHINA"/>
    <x v="0"/>
    <x v="0"/>
    <s v="Asia"/>
    <s v="Eastern Asia"/>
    <s v="CN"/>
    <m/>
    <n v="0"/>
    <s v="CO2"/>
    <n v="20149.577600000001"/>
    <s v="RESTRICTED"/>
    <s v="KWH"/>
    <n v="1"/>
    <n v="32374"/>
    <s v="AR4"/>
    <s v="IEA"/>
    <s v="IEA (2021)"/>
    <n v="2021"/>
    <n v="2019"/>
    <n v="0"/>
    <n v="0"/>
    <x v="1"/>
    <s v="Warehouse"/>
  </r>
  <r>
    <n v="4962"/>
    <s v="Top of Hierarchy &gt; Asia Pacific &gt; Vantage_Shanghai"/>
    <x v="1"/>
    <x v="1"/>
    <d v="2021-01-01T00:00:00"/>
    <d v="2021-12-31T00:00:00"/>
    <x v="0"/>
    <d v="2021-01-01T00:00:00"/>
    <d v="2021-12-31T00:00:00"/>
    <s v="Electricity (non-renewable)"/>
    <n v="32374"/>
    <s v="Kilowatt hours"/>
    <x v="0"/>
    <m/>
    <s v="2023-02-27, 16:27"/>
    <s v="2023-08-03, 20:59"/>
    <n v="2021"/>
    <s v="electricity"/>
    <s v="Electricity"/>
    <s v="model"/>
    <b v="0"/>
    <s v="ELECTRICITY; PEOPLE'S REPUBLIC OF CHINA"/>
    <x v="0"/>
    <x v="0"/>
    <s v="Asia"/>
    <s v="Eastern Asia"/>
    <s v="CN"/>
    <m/>
    <n v="0"/>
    <s v="CO2E"/>
    <n v="20256.411800000002"/>
    <s v="RESTRICTED"/>
    <s v="KWH"/>
    <n v="1"/>
    <n v="32374"/>
    <s v="AR4"/>
    <s v="IEA"/>
    <s v="IEA (2021)"/>
    <n v="2021"/>
    <n v="2019"/>
    <n v="20.256411800000002"/>
    <n v="0"/>
    <x v="1"/>
    <s v="Warehouse"/>
  </r>
  <r>
    <n v="4962"/>
    <s v="Top of Hierarchy &gt; Asia Pacific &gt; Vantage_Shanghai"/>
    <x v="1"/>
    <x v="1"/>
    <d v="2021-01-01T00:00:00"/>
    <d v="2021-12-31T00:00:00"/>
    <x v="0"/>
    <d v="2021-01-01T00:00:00"/>
    <d v="2021-12-31T00:00:00"/>
    <s v="Electricity (non-renewable)"/>
    <n v="32374"/>
    <s v="Kilowatt hours"/>
    <x v="0"/>
    <m/>
    <s v="2023-02-27, 16:27"/>
    <s v="2023-08-03, 20:59"/>
    <n v="2021"/>
    <s v="electricity"/>
    <s v="Electricity"/>
    <s v="model"/>
    <b v="0"/>
    <s v="ELECTRICITY; PEOPLE'S REPUBLIC OF CHINA"/>
    <x v="0"/>
    <x v="0"/>
    <s v="Asia"/>
    <s v="Eastern Asia"/>
    <s v="CN"/>
    <m/>
    <n v="0"/>
    <s v="N2O"/>
    <n v="97.122"/>
    <s v="RESTRICTED"/>
    <s v="KWH"/>
    <n v="1"/>
    <n v="32374"/>
    <s v="AR4"/>
    <s v="IEA"/>
    <s v="IEA (2021)"/>
    <n v="2021"/>
    <n v="2019"/>
    <n v="0"/>
    <n v="0"/>
    <x v="1"/>
    <s v="Warehouse"/>
  </r>
  <r>
    <n v="4962"/>
    <s v="Top of Hierarchy &gt; Asia Pacific &gt; Vantage_Shanghai"/>
    <x v="1"/>
    <x v="1"/>
    <d v="2021-01-01T00:00:00"/>
    <d v="2021-12-31T00:00:00"/>
    <x v="0"/>
    <d v="2021-01-01T00:00:00"/>
    <d v="2021-12-31T00:00:00"/>
    <s v="Electricity (non-renewable)"/>
    <n v="32374"/>
    <s v="Kilowatt hours"/>
    <x v="0"/>
    <m/>
    <s v="2023-02-27, 16:27"/>
    <s v="2023-08-03, 20:59"/>
    <n v="2021"/>
    <s v="electricity"/>
    <s v="Electricity"/>
    <s v="model"/>
    <b v="0"/>
    <s v="ELECTRICITY; PEOPLE'S REPUBLIC OF CHINA"/>
    <x v="0"/>
    <x v="0"/>
    <s v="Asia"/>
    <s v="Eastern Asia"/>
    <s v="CN"/>
    <m/>
    <n v="1"/>
    <s v="CH4"/>
    <n v="9.7121999999999993"/>
    <s v="RESTRICTED"/>
    <s v="KWH"/>
    <n v="1"/>
    <n v="32374"/>
    <s v="AR4"/>
    <s v="IEA"/>
    <s v="IEA (2021)"/>
    <n v="2021"/>
    <n v="2019"/>
    <n v="0"/>
    <n v="0"/>
    <x v="1"/>
    <s v="Warehouse"/>
  </r>
  <r>
    <n v="4962"/>
    <s v="Top of Hierarchy &gt; Asia Pacific &gt; Vantage_Shanghai"/>
    <x v="1"/>
    <x v="1"/>
    <d v="2021-01-01T00:00:00"/>
    <d v="2021-12-31T00:00:00"/>
    <x v="0"/>
    <d v="2021-01-01T00:00:00"/>
    <d v="2021-12-31T00:00:00"/>
    <s v="Electricity (non-renewable)"/>
    <n v="32374"/>
    <s v="Kilowatt hours"/>
    <x v="0"/>
    <m/>
    <s v="2023-02-27, 16:27"/>
    <s v="2023-08-03, 20:59"/>
    <n v="2021"/>
    <s v="electricity"/>
    <s v="Electricity"/>
    <s v="model"/>
    <b v="0"/>
    <s v="ELECTRICITY; PEOPLE'S REPUBLIC OF CHINA"/>
    <x v="0"/>
    <x v="0"/>
    <s v="Asia"/>
    <s v="Eastern Asia"/>
    <s v="CN"/>
    <m/>
    <n v="1"/>
    <s v="CO2"/>
    <n v="20149.577600000001"/>
    <s v="RESTRICTED"/>
    <s v="KWH"/>
    <n v="1"/>
    <n v="32374"/>
    <s v="AR4"/>
    <s v="IEA"/>
    <s v="IEA (2021)"/>
    <n v="2021"/>
    <n v="2019"/>
    <n v="0"/>
    <n v="0"/>
    <x v="1"/>
    <s v="Warehouse"/>
  </r>
  <r>
    <n v="4962"/>
    <s v="Top of Hierarchy &gt; Asia Pacific &gt; Vantage_Shanghai"/>
    <x v="1"/>
    <x v="1"/>
    <d v="2021-01-01T00:00:00"/>
    <d v="2021-12-31T00:00:00"/>
    <x v="0"/>
    <d v="2021-01-01T00:00:00"/>
    <d v="2021-12-31T00:00:00"/>
    <s v="Electricity (non-renewable)"/>
    <n v="32374"/>
    <s v="Kilowatt hours"/>
    <x v="0"/>
    <m/>
    <s v="2023-02-27, 16:27"/>
    <s v="2023-08-03, 20:59"/>
    <n v="2021"/>
    <s v="electricity"/>
    <s v="Electricity"/>
    <s v="model"/>
    <b v="0"/>
    <s v="ELECTRICITY; PEOPLE'S REPUBLIC OF CHINA"/>
    <x v="0"/>
    <x v="0"/>
    <s v="Asia"/>
    <s v="Eastern Asia"/>
    <s v="CN"/>
    <m/>
    <n v="1"/>
    <s v="CO2E"/>
    <n v="20256.411800000002"/>
    <s v="RESTRICTED"/>
    <s v="KWH"/>
    <n v="1"/>
    <n v="32374"/>
    <s v="AR4"/>
    <s v="IEA"/>
    <s v="IEA (2021)"/>
    <n v="2021"/>
    <n v="2019"/>
    <n v="0"/>
    <n v="20.256411800000002"/>
    <x v="1"/>
    <s v="Warehouse"/>
  </r>
  <r>
    <n v="4962"/>
    <s v="Top of Hierarchy &gt; Asia Pacific &gt; Vantage_Shanghai"/>
    <x v="1"/>
    <x v="1"/>
    <d v="2021-01-01T00:00:00"/>
    <d v="2021-12-31T00:00:00"/>
    <x v="0"/>
    <d v="2021-01-01T00:00:00"/>
    <d v="2021-12-31T00:00:00"/>
    <s v="Electricity (non-renewable)"/>
    <n v="32374"/>
    <s v="Kilowatt hours"/>
    <x v="0"/>
    <m/>
    <s v="2023-02-27, 16:27"/>
    <s v="2023-08-03, 20:59"/>
    <n v="2021"/>
    <s v="electricity"/>
    <s v="Electricity"/>
    <s v="model"/>
    <b v="0"/>
    <s v="ELECTRICITY; PEOPLE'S REPUBLIC OF CHINA"/>
    <x v="0"/>
    <x v="0"/>
    <s v="Asia"/>
    <s v="Eastern Asia"/>
    <s v="CN"/>
    <m/>
    <n v="1"/>
    <s v="N2O"/>
    <n v="97.122"/>
    <s v="RESTRICTED"/>
    <s v="KWH"/>
    <n v="1"/>
    <n v="32374"/>
    <s v="AR4"/>
    <s v="IEA"/>
    <s v="IEA (2021)"/>
    <n v="2021"/>
    <n v="2019"/>
    <n v="0"/>
    <n v="0"/>
    <x v="1"/>
    <s v="Warehouse"/>
  </r>
  <r>
    <n v="4962"/>
    <s v="Top of Hierarchy &gt; Asia Pacific &gt; Vantage_Shanghai"/>
    <x v="1"/>
    <x v="1"/>
    <d v="2021-01-01T00:00:00"/>
    <d v="2021-12-31T00:00:00"/>
    <x v="0"/>
    <d v="2021-01-01T00:00:00"/>
    <d v="2021-12-31T00:00:00"/>
    <s v="Electricity (non-renewable)"/>
    <n v="32374"/>
    <s v="Kilowatt hours"/>
    <x v="0"/>
    <m/>
    <s v="2023-02-27, 16:27"/>
    <s v="2023-08-03, 20:59"/>
    <n v="2021"/>
    <s v="electricity__t+d__wtt"/>
    <s v="Electricity T&amp;D WTT"/>
    <s v="t+d_wtt"/>
    <b v="0"/>
    <s v="WTT- UK &amp; OVERSEAS ELEC; WTT- OVERSEAS ELECTRICITY (T&amp;D); ELECTRICITY: PEOPLE'S REP. OF CHINA"/>
    <x v="1"/>
    <x v="1"/>
    <s v="Asia"/>
    <s v="Eastern Asia"/>
    <s v="CN"/>
    <m/>
    <n v="0"/>
    <s v="CO2E"/>
    <n v="295.31271989999999"/>
    <n v="9.1219100000000004E-3"/>
    <s v="KWH"/>
    <n v="1"/>
    <n v="32374"/>
    <s v="AR4"/>
    <s v="Defra"/>
    <s v="Defra (2021)"/>
    <n v="2021"/>
    <n v="2019"/>
    <n v="0.29531271989999996"/>
    <n v="0"/>
    <x v="1"/>
    <s v="Warehouse"/>
  </r>
  <r>
    <n v="4962"/>
    <s v="Top of Hierarchy &gt; Asia Pacific &gt; Vantage_Shanghai"/>
    <x v="1"/>
    <x v="1"/>
    <d v="2021-01-01T00:00:00"/>
    <d v="2021-12-31T00:00:00"/>
    <x v="0"/>
    <d v="2021-01-01T00:00:00"/>
    <d v="2021-12-31T00:00:00"/>
    <s v="Electricity (non-renewable)"/>
    <n v="32374"/>
    <s v="Kilowatt hours"/>
    <x v="0"/>
    <m/>
    <s v="2023-02-27, 16:27"/>
    <s v="2023-08-03, 20:59"/>
    <n v="2021"/>
    <s v="electricity__t+d__wtt"/>
    <s v="Electricity T&amp;D WTT"/>
    <s v="t+d_wtt"/>
    <b v="0"/>
    <s v="WTT- UK &amp; OVERSEAS ELEC; WTT- OVERSEAS ELECTRICITY (T&amp;D); ELECTRICITY: PEOPLE'S REP. OF CHINA"/>
    <x v="1"/>
    <x v="1"/>
    <s v="Asia"/>
    <s v="Eastern Asia"/>
    <s v="CN"/>
    <m/>
    <n v="1"/>
    <s v="CO2E"/>
    <n v="295.31271989999999"/>
    <n v="9.1219100000000004E-3"/>
    <s v="KWH"/>
    <n v="1"/>
    <n v="32374"/>
    <s v="AR4"/>
    <s v="Defra"/>
    <s v="Defra (2021)"/>
    <n v="2021"/>
    <n v="2019"/>
    <n v="0"/>
    <n v="0.29531271989999996"/>
    <x v="1"/>
    <s v="Warehouse"/>
  </r>
  <r>
    <n v="4962"/>
    <s v="Top of Hierarchy &gt; Asia Pacific &gt; Vantage_Shanghai"/>
    <x v="1"/>
    <x v="1"/>
    <d v="2021-01-01T00:00:00"/>
    <d v="2021-12-31T00:00:00"/>
    <x v="0"/>
    <d v="2021-01-01T00:00:00"/>
    <d v="2021-12-31T00:00:00"/>
    <s v="Electricity (non-renewable)"/>
    <n v="32374"/>
    <s v="Kilowatt hours"/>
    <x v="0"/>
    <m/>
    <s v="2023-02-27, 16:27"/>
    <s v="2023-08-03, 20:59"/>
    <n v="2021"/>
    <s v="electricity__wtt"/>
    <s v="Electricity WTT"/>
    <s v="wtt"/>
    <b v="0"/>
    <s v="WTT- UK &amp; OVERSEAS ELEC; WTT- OVERSEAS ELECTRICITY (GENERATION); ELECTRICITY: PEOPLE'S REP. OF CHINA"/>
    <x v="1"/>
    <x v="1"/>
    <s v="Asia"/>
    <s v="Eastern Asia"/>
    <s v="CN"/>
    <m/>
    <n v="0"/>
    <s v="CO2E"/>
    <n v="5305.1155859999999"/>
    <n v="0.16386963600000001"/>
    <s v="KWH"/>
    <n v="1"/>
    <n v="32374"/>
    <s v="AR4"/>
    <s v="Defra"/>
    <s v="Defra (2021)"/>
    <n v="2021"/>
    <n v="2019"/>
    <n v="5.3051155860000003"/>
    <n v="0"/>
    <x v="1"/>
    <s v="Warehouse"/>
  </r>
  <r>
    <n v="4962"/>
    <s v="Top of Hierarchy &gt; Asia Pacific &gt; Vantage_Shanghai"/>
    <x v="1"/>
    <x v="1"/>
    <d v="2021-01-01T00:00:00"/>
    <d v="2021-12-31T00:00:00"/>
    <x v="0"/>
    <d v="2021-01-01T00:00:00"/>
    <d v="2021-12-31T00:00:00"/>
    <s v="Electricity (non-renewable)"/>
    <n v="32374"/>
    <s v="Kilowatt hours"/>
    <x v="0"/>
    <m/>
    <s v="2023-02-27, 16:27"/>
    <s v="2023-08-03, 20:59"/>
    <n v="2021"/>
    <s v="electricity__wtt"/>
    <s v="Electricity WTT"/>
    <s v="wtt"/>
    <b v="0"/>
    <s v="WTT- UK &amp; OVERSEAS ELEC; WTT- OVERSEAS ELECTRICITY (GENERATION); ELECTRICITY: PEOPLE'S REP. OF CHINA"/>
    <x v="1"/>
    <x v="1"/>
    <s v="Asia"/>
    <s v="Eastern Asia"/>
    <s v="CN"/>
    <m/>
    <n v="1"/>
    <s v="CO2E"/>
    <n v="5305.1155859999999"/>
    <n v="0.16386963600000001"/>
    <s v="KWH"/>
    <n v="1"/>
    <n v="32374"/>
    <s v="AR4"/>
    <s v="Defra"/>
    <s v="Defra (2021)"/>
    <n v="2021"/>
    <n v="2019"/>
    <n v="0"/>
    <n v="5.3051155860000003"/>
    <x v="1"/>
    <s v="Warehouse"/>
  </r>
  <r>
    <n v="4962"/>
    <s v="Top of Hierarchy &gt; Asia Pacific &gt; Vantage_Shanghai"/>
    <x v="1"/>
    <x v="1"/>
    <d v="2021-01-01T00:00:00"/>
    <d v="2021-12-31T00:00:00"/>
    <x v="0"/>
    <d v="2021-01-01T00:00:00"/>
    <d v="2021-12-31T00:00:00"/>
    <s v="Electricity (non-renewable)"/>
    <n v="32374"/>
    <s v="Kilowatt hours"/>
    <x v="0"/>
    <m/>
    <s v="2023-02-27, 16:27"/>
    <s v="2023-08-03, 20:59"/>
    <n v="2021"/>
    <s v="electricity__t+d"/>
    <s v="Electricity T&amp;D"/>
    <s v="t+d"/>
    <b v="0"/>
    <s v="ELECTRICITY; TRANSMISSION AND DISTRIBUTION; PEOPLE'S REPUBLIC OF CHINA"/>
    <x v="1"/>
    <x v="1"/>
    <s v="Asia"/>
    <s v="Eastern Asia"/>
    <s v="CN"/>
    <m/>
    <n v="0"/>
    <s v="CO2E"/>
    <n v="964.74519999999995"/>
    <s v="RESTRICTED"/>
    <s v="KWH"/>
    <n v="1"/>
    <n v="32374"/>
    <s v="AR4"/>
    <s v="IEA"/>
    <s v="IEA (2021)"/>
    <n v="2021"/>
    <n v="2019"/>
    <n v="0.96474519999999997"/>
    <n v="0"/>
    <x v="1"/>
    <s v="Warehouse"/>
  </r>
  <r>
    <n v="4962"/>
    <s v="Top of Hierarchy &gt; Asia Pacific &gt; Vantage_Shanghai"/>
    <x v="1"/>
    <x v="1"/>
    <d v="2021-01-01T00:00:00"/>
    <d v="2021-12-31T00:00:00"/>
    <x v="0"/>
    <d v="2021-01-01T00:00:00"/>
    <d v="2021-12-31T00:00:00"/>
    <s v="Electricity (non-renewable)"/>
    <n v="32374"/>
    <s v="Kilowatt hours"/>
    <x v="0"/>
    <m/>
    <s v="2023-02-27, 16:27"/>
    <s v="2023-08-03, 20:59"/>
    <n v="2021"/>
    <s v="electricity__t+d"/>
    <s v="Electricity T&amp;D"/>
    <s v="t+d"/>
    <b v="0"/>
    <s v="ELECTRICITY; TRANSMISSION AND DISTRIBUTION; PEOPLE'S REPUBLIC OF CHINA"/>
    <x v="1"/>
    <x v="1"/>
    <s v="Asia"/>
    <s v="Eastern Asia"/>
    <s v="CN"/>
    <m/>
    <n v="1"/>
    <s v="CO2E"/>
    <n v="964.74519999999995"/>
    <s v="RESTRICTED"/>
    <s v="KWH"/>
    <n v="1"/>
    <n v="32374"/>
    <s v="AR4"/>
    <s v="IEA"/>
    <s v="IEA (2021)"/>
    <n v="2021"/>
    <n v="2019"/>
    <n v="0"/>
    <n v="0.96474519999999997"/>
    <x v="1"/>
    <s v="Warehouse"/>
  </r>
  <r>
    <n v="4988"/>
    <s v="Top of Hierarchy &gt; Asia Pacific &gt; Vantage_Shanghai"/>
    <x v="1"/>
    <x v="1"/>
    <d v="2021-01-01T00:00:00"/>
    <d v="2021-12-31T00:00:00"/>
    <x v="3"/>
    <d v="2021-01-01T00:00:00"/>
    <d v="2021-12-31T00:00:00"/>
    <s v="Natural gas"/>
    <n v="234222690.69999999"/>
    <s v="British Thermal Units"/>
    <x v="0"/>
    <m/>
    <s v="2023-02-27, 16:27"/>
    <s v="2023-07-20, 00:40"/>
    <n v="2021"/>
    <s v="natural_gas"/>
    <s v="Natural Gas"/>
    <s v="model"/>
    <b v="0"/>
    <s v="FUELS; GASEOUS FUELS; NATURAL GAS"/>
    <x v="2"/>
    <x v="0"/>
    <m/>
    <m/>
    <m/>
    <m/>
    <n v="0"/>
    <s v="CH4"/>
    <n v="17.160910990000001"/>
    <n v="2.5000000000000001E-4"/>
    <s v="KWH (GROSS CV)"/>
    <n v="2.9306999999999998E-4"/>
    <n v="68643.643960000001"/>
    <s v="AR4"/>
    <s v="Defra"/>
    <s v="Defra (2021)"/>
    <n v="2021"/>
    <n v="2019"/>
    <n v="0"/>
    <n v="0"/>
    <x v="1"/>
    <s v="Warehouse"/>
  </r>
  <r>
    <n v="4988"/>
    <s v="Top of Hierarchy &gt; Asia Pacific &gt; Vantage_Shanghai"/>
    <x v="1"/>
    <x v="1"/>
    <d v="2021-01-01T00:00:00"/>
    <d v="2021-12-31T00:00:00"/>
    <x v="3"/>
    <d v="2021-01-01T00:00:00"/>
    <d v="2021-12-31T00:00:00"/>
    <s v="Natural gas"/>
    <n v="234222690.69999999"/>
    <s v="British Thermal Units"/>
    <x v="0"/>
    <m/>
    <s v="2023-02-27, 16:27"/>
    <s v="2023-07-20, 00:40"/>
    <n v="2021"/>
    <s v="natural_gas"/>
    <s v="Natural Gas"/>
    <s v="model"/>
    <b v="0"/>
    <s v="FUELS; GASEOUS FUELS; NATURAL GAS"/>
    <x v="2"/>
    <x v="0"/>
    <m/>
    <m/>
    <m/>
    <m/>
    <n v="0"/>
    <s v="CO2"/>
    <n v="12549.430990000001"/>
    <n v="0.18282000000000001"/>
    <s v="KWH (GROSS CV)"/>
    <n v="2.9306999999999998E-4"/>
    <n v="68643.643960000001"/>
    <s v="AR4"/>
    <s v="Defra"/>
    <s v="Defra (2021)"/>
    <n v="2021"/>
    <n v="2019"/>
    <n v="0"/>
    <n v="0"/>
    <x v="1"/>
    <s v="Warehouse"/>
  </r>
  <r>
    <n v="4988"/>
    <s v="Top of Hierarchy &gt; Asia Pacific &gt; Vantage_Shanghai"/>
    <x v="1"/>
    <x v="1"/>
    <d v="2021-01-01T00:00:00"/>
    <d v="2021-12-31T00:00:00"/>
    <x v="3"/>
    <d v="2021-01-01T00:00:00"/>
    <d v="2021-12-31T00:00:00"/>
    <s v="Natural gas"/>
    <n v="234222690.69999999"/>
    <s v="British Thermal Units"/>
    <x v="0"/>
    <m/>
    <s v="2023-02-27, 16:27"/>
    <s v="2023-07-20, 00:40"/>
    <n v="2021"/>
    <s v="natural_gas"/>
    <s v="Natural Gas"/>
    <s v="model"/>
    <b v="0"/>
    <s v="FUELS; GASEOUS FUELS; NATURAL GAS"/>
    <x v="2"/>
    <x v="0"/>
    <m/>
    <m/>
    <m/>
    <m/>
    <n v="0"/>
    <s v="CO2E"/>
    <n v="12573.456260000001"/>
    <n v="0.18317"/>
    <s v="KWH (GROSS CV)"/>
    <n v="2.9306999999999998E-4"/>
    <n v="68643.643960000001"/>
    <s v="AR4"/>
    <s v="Defra"/>
    <s v="Defra (2021)"/>
    <n v="2021"/>
    <n v="2019"/>
    <n v="12.57345626"/>
    <n v="0"/>
    <x v="1"/>
    <s v="Warehouse"/>
  </r>
  <r>
    <n v="4988"/>
    <s v="Top of Hierarchy &gt; Asia Pacific &gt; Vantage_Shanghai"/>
    <x v="1"/>
    <x v="1"/>
    <d v="2021-01-01T00:00:00"/>
    <d v="2021-12-31T00:00:00"/>
    <x v="3"/>
    <d v="2021-01-01T00:00:00"/>
    <d v="2021-12-31T00:00:00"/>
    <s v="Natural gas"/>
    <n v="234222690.69999999"/>
    <s v="British Thermal Units"/>
    <x v="0"/>
    <m/>
    <s v="2023-02-27, 16:27"/>
    <s v="2023-07-20, 00:40"/>
    <n v="2021"/>
    <s v="natural_gas"/>
    <s v="Natural Gas"/>
    <s v="model"/>
    <b v="0"/>
    <s v="FUELS; GASEOUS FUELS; NATURAL GAS"/>
    <x v="2"/>
    <x v="0"/>
    <m/>
    <m/>
    <m/>
    <m/>
    <n v="0"/>
    <s v="N2O"/>
    <n v="6.864364396"/>
    <n v="1E-4"/>
    <s v="KWH (GROSS CV)"/>
    <n v="2.9306999999999998E-4"/>
    <n v="68643.643960000001"/>
    <s v="AR4"/>
    <s v="Defra"/>
    <s v="Defra (2021)"/>
    <n v="2021"/>
    <n v="2019"/>
    <n v="0"/>
    <n v="0"/>
    <x v="1"/>
    <s v="Warehouse"/>
  </r>
  <r>
    <n v="4988"/>
    <s v="Top of Hierarchy &gt; Asia Pacific &gt; Vantage_Shanghai"/>
    <x v="1"/>
    <x v="1"/>
    <d v="2021-01-01T00:00:00"/>
    <d v="2021-12-31T00:00:00"/>
    <x v="3"/>
    <d v="2021-01-01T00:00:00"/>
    <d v="2021-12-31T00:00:00"/>
    <s v="Natural gas"/>
    <n v="234222690.69999999"/>
    <s v="British Thermal Units"/>
    <x v="0"/>
    <m/>
    <s v="2023-02-27, 16:27"/>
    <s v="2023-07-20, 00:40"/>
    <n v="2021"/>
    <s v="natural_gas"/>
    <s v="Natural Gas"/>
    <s v="model"/>
    <b v="0"/>
    <s v="FUELS; GASEOUS FUELS; NATURAL GAS"/>
    <x v="2"/>
    <x v="0"/>
    <m/>
    <m/>
    <m/>
    <m/>
    <n v="1"/>
    <s v="CH4"/>
    <n v="17.160910990000001"/>
    <n v="2.5000000000000001E-4"/>
    <s v="KWH (GROSS CV)"/>
    <n v="2.9306999999999998E-4"/>
    <n v="68643.643960000001"/>
    <s v="AR4"/>
    <s v="Defra"/>
    <s v="Defra (2021)"/>
    <n v="2021"/>
    <n v="2019"/>
    <n v="0"/>
    <n v="0"/>
    <x v="1"/>
    <s v="Warehouse"/>
  </r>
  <r>
    <n v="4988"/>
    <s v="Top of Hierarchy &gt; Asia Pacific &gt; Vantage_Shanghai"/>
    <x v="1"/>
    <x v="1"/>
    <d v="2021-01-01T00:00:00"/>
    <d v="2021-12-31T00:00:00"/>
    <x v="3"/>
    <d v="2021-01-01T00:00:00"/>
    <d v="2021-12-31T00:00:00"/>
    <s v="Natural gas"/>
    <n v="234222690.69999999"/>
    <s v="British Thermal Units"/>
    <x v="0"/>
    <m/>
    <s v="2023-02-27, 16:27"/>
    <s v="2023-07-20, 00:40"/>
    <n v="2021"/>
    <s v="natural_gas"/>
    <s v="Natural Gas"/>
    <s v="model"/>
    <b v="0"/>
    <s v="FUELS; GASEOUS FUELS; NATURAL GAS"/>
    <x v="2"/>
    <x v="0"/>
    <m/>
    <m/>
    <m/>
    <m/>
    <n v="1"/>
    <s v="CO2"/>
    <n v="12549.430990000001"/>
    <n v="0.18282000000000001"/>
    <s v="KWH (GROSS CV)"/>
    <n v="2.9306999999999998E-4"/>
    <n v="68643.643960000001"/>
    <s v="AR4"/>
    <s v="Defra"/>
    <s v="Defra (2021)"/>
    <n v="2021"/>
    <n v="2019"/>
    <n v="0"/>
    <n v="0"/>
    <x v="1"/>
    <s v="Warehouse"/>
  </r>
  <r>
    <n v="4988"/>
    <s v="Top of Hierarchy &gt; Asia Pacific &gt; Vantage_Shanghai"/>
    <x v="1"/>
    <x v="1"/>
    <d v="2021-01-01T00:00:00"/>
    <d v="2021-12-31T00:00:00"/>
    <x v="3"/>
    <d v="2021-01-01T00:00:00"/>
    <d v="2021-12-31T00:00:00"/>
    <s v="Natural gas"/>
    <n v="234222690.69999999"/>
    <s v="British Thermal Units"/>
    <x v="0"/>
    <m/>
    <s v="2023-02-27, 16:27"/>
    <s v="2023-07-20, 00:40"/>
    <n v="2021"/>
    <s v="natural_gas"/>
    <s v="Natural Gas"/>
    <s v="model"/>
    <b v="0"/>
    <s v="FUELS; GASEOUS FUELS; NATURAL GAS"/>
    <x v="2"/>
    <x v="0"/>
    <m/>
    <m/>
    <m/>
    <m/>
    <n v="1"/>
    <s v="CO2E"/>
    <n v="12573.456260000001"/>
    <n v="0.18317"/>
    <s v="KWH (GROSS CV)"/>
    <n v="2.9306999999999998E-4"/>
    <n v="68643.643960000001"/>
    <s v="AR4"/>
    <s v="Defra"/>
    <s v="Defra (2021)"/>
    <n v="2021"/>
    <n v="2019"/>
    <n v="0"/>
    <n v="12.57345626"/>
    <x v="1"/>
    <s v="Warehouse"/>
  </r>
  <r>
    <n v="4988"/>
    <s v="Top of Hierarchy &gt; Asia Pacific &gt; Vantage_Shanghai"/>
    <x v="1"/>
    <x v="1"/>
    <d v="2021-01-01T00:00:00"/>
    <d v="2021-12-31T00:00:00"/>
    <x v="3"/>
    <d v="2021-01-01T00:00:00"/>
    <d v="2021-12-31T00:00:00"/>
    <s v="Natural gas"/>
    <n v="234222690.69999999"/>
    <s v="British Thermal Units"/>
    <x v="0"/>
    <m/>
    <s v="2023-02-27, 16:27"/>
    <s v="2023-07-20, 00:40"/>
    <n v="2021"/>
    <s v="natural_gas"/>
    <s v="Natural Gas"/>
    <s v="model"/>
    <b v="0"/>
    <s v="FUELS; GASEOUS FUELS; NATURAL GAS"/>
    <x v="2"/>
    <x v="0"/>
    <m/>
    <m/>
    <m/>
    <m/>
    <n v="1"/>
    <s v="N2O"/>
    <n v="6.864364396"/>
    <n v="1E-4"/>
    <s v="KWH (GROSS CV)"/>
    <n v="2.9306999999999998E-4"/>
    <n v="68643.643960000001"/>
    <s v="AR4"/>
    <s v="Defra"/>
    <s v="Defra (2021)"/>
    <n v="2021"/>
    <n v="2019"/>
    <n v="0"/>
    <n v="0"/>
    <x v="1"/>
    <s v="Warehouse"/>
  </r>
  <r>
    <n v="4988"/>
    <s v="Top of Hierarchy &gt; Asia Pacific &gt; Vantage_Shanghai"/>
    <x v="1"/>
    <x v="1"/>
    <d v="2021-01-01T00:00:00"/>
    <d v="2021-12-31T00:00:00"/>
    <x v="3"/>
    <d v="2021-01-01T00:00:00"/>
    <d v="2021-12-31T00:00:00"/>
    <s v="Natural gas"/>
    <n v="234222690.69999999"/>
    <s v="British Thermal Units"/>
    <x v="0"/>
    <m/>
    <s v="2023-02-27, 16:27"/>
    <s v="2023-07-20, 00:40"/>
    <n v="2021"/>
    <s v="natural_gas__wtt"/>
    <s v="Natural Gas WTT"/>
    <s v="wtt"/>
    <b v="0"/>
    <s v="WTT- FUELS; WTT- GASEOUS FUELS; NATURAL GAS"/>
    <x v="1"/>
    <x v="1"/>
    <m/>
    <m/>
    <m/>
    <m/>
    <n v="0"/>
    <s v="CO2E"/>
    <n v="2151.9782380000001"/>
    <n v="3.1350000000000003E-2"/>
    <s v="KWH (GROSS CV)"/>
    <n v="2.9306999999999998E-4"/>
    <n v="68643.643960000001"/>
    <s v="AR4"/>
    <s v="Defra"/>
    <s v="Defra (2021)"/>
    <n v="2021"/>
    <n v="2019"/>
    <n v="2.1519782380000003"/>
    <n v="0"/>
    <x v="1"/>
    <s v="Warehouse"/>
  </r>
  <r>
    <n v="4988"/>
    <s v="Top of Hierarchy &gt; Asia Pacific &gt; Vantage_Shanghai"/>
    <x v="1"/>
    <x v="1"/>
    <d v="2021-01-01T00:00:00"/>
    <d v="2021-12-31T00:00:00"/>
    <x v="3"/>
    <d v="2021-01-01T00:00:00"/>
    <d v="2021-12-31T00:00:00"/>
    <s v="Natural gas"/>
    <n v="234222690.69999999"/>
    <s v="British Thermal Units"/>
    <x v="0"/>
    <m/>
    <s v="2023-02-27, 16:27"/>
    <s v="2023-07-20, 00:40"/>
    <n v="2021"/>
    <s v="natural_gas__wtt"/>
    <s v="Natural Gas WTT"/>
    <s v="wtt"/>
    <b v="0"/>
    <s v="WTT- FUELS; WTT- GASEOUS FUELS; NATURAL GAS"/>
    <x v="1"/>
    <x v="1"/>
    <m/>
    <m/>
    <m/>
    <m/>
    <n v="1"/>
    <s v="CO2E"/>
    <n v="2151.9782380000001"/>
    <n v="3.1350000000000003E-2"/>
    <s v="KWH (GROSS CV)"/>
    <n v="2.9306999999999998E-4"/>
    <n v="68643.643960000001"/>
    <s v="AR4"/>
    <s v="Defra"/>
    <s v="Defra (2021)"/>
    <n v="2021"/>
    <n v="2019"/>
    <n v="0"/>
    <n v="2.1519782380000003"/>
    <x v="1"/>
    <s v="Warehouse"/>
  </r>
  <r>
    <n v="5021"/>
    <s v="Top of Hierarchy &gt; Asia Pacific &gt; Vantage_Shanghai"/>
    <x v="1"/>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0"/>
    <s v="CH4"/>
    <n v="0"/>
    <n v="2.5999999999999998E-4"/>
    <s v="LITRES"/>
    <n v="1"/>
    <n v="0"/>
    <s v="AR4"/>
    <s v="Defra"/>
    <s v="Defra (2021)"/>
    <n v="2021"/>
    <n v="2019"/>
    <n v="0"/>
    <n v="0"/>
    <x v="1"/>
    <s v="Warehouse"/>
  </r>
  <r>
    <n v="5021"/>
    <s v="Top of Hierarchy &gt; Asia Pacific &gt; Vantage_Shanghai"/>
    <x v="1"/>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0"/>
    <s v="CO2"/>
    <n v="0"/>
    <n v="2.6680700000000002"/>
    <s v="LITRES"/>
    <n v="1"/>
    <n v="0"/>
    <s v="AR4"/>
    <s v="Defra"/>
    <s v="Defra (2021)"/>
    <n v="2021"/>
    <n v="2019"/>
    <n v="0"/>
    <n v="0"/>
    <x v="1"/>
    <s v="Warehouse"/>
  </r>
  <r>
    <n v="5021"/>
    <s v="Top of Hierarchy &gt; Asia Pacific &gt; Vantage_Shanghai"/>
    <x v="1"/>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0"/>
    <s v="CO2E"/>
    <n v="0"/>
    <n v="2.70553"/>
    <s v="LITRES"/>
    <n v="1"/>
    <n v="0"/>
    <s v="AR4"/>
    <s v="Defra"/>
    <s v="Defra (2021)"/>
    <n v="2021"/>
    <n v="2019"/>
    <n v="0"/>
    <n v="0"/>
    <x v="1"/>
    <s v="Warehouse"/>
  </r>
  <r>
    <n v="5021"/>
    <s v="Top of Hierarchy &gt; Asia Pacific &gt; Vantage_Shanghai"/>
    <x v="1"/>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0"/>
    <s v="N2O"/>
    <n v="0"/>
    <n v="3.7199999999999997E-2"/>
    <s v="LITRES"/>
    <n v="1"/>
    <n v="0"/>
    <s v="AR4"/>
    <s v="Defra"/>
    <s v="Defra (2021)"/>
    <n v="2021"/>
    <n v="2019"/>
    <n v="0"/>
    <n v="0"/>
    <x v="1"/>
    <s v="Warehouse"/>
  </r>
  <r>
    <n v="5021"/>
    <s v="Top of Hierarchy &gt; Asia Pacific &gt; Vantage_Shanghai"/>
    <x v="1"/>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1"/>
    <s v="CH4"/>
    <n v="0"/>
    <n v="2.5999999999999998E-4"/>
    <s v="LITRES"/>
    <n v="1"/>
    <n v="0"/>
    <s v="AR4"/>
    <s v="Defra"/>
    <s v="Defra (2021)"/>
    <n v="2021"/>
    <n v="2019"/>
    <n v="0"/>
    <n v="0"/>
    <x v="1"/>
    <s v="Warehouse"/>
  </r>
  <r>
    <n v="5021"/>
    <s v="Top of Hierarchy &gt; Asia Pacific &gt; Vantage_Shanghai"/>
    <x v="1"/>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1"/>
    <s v="CO2"/>
    <n v="0"/>
    <n v="2.6680700000000002"/>
    <s v="LITRES"/>
    <n v="1"/>
    <n v="0"/>
    <s v="AR4"/>
    <s v="Defra"/>
    <s v="Defra (2021)"/>
    <n v="2021"/>
    <n v="2019"/>
    <n v="0"/>
    <n v="0"/>
    <x v="1"/>
    <s v="Warehouse"/>
  </r>
  <r>
    <n v="5021"/>
    <s v="Top of Hierarchy &gt; Asia Pacific &gt; Vantage_Shanghai"/>
    <x v="1"/>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1"/>
    <s v="CO2E"/>
    <n v="0"/>
    <n v="2.70553"/>
    <s v="LITRES"/>
    <n v="1"/>
    <n v="0"/>
    <s v="AR4"/>
    <s v="Defra"/>
    <s v="Defra (2021)"/>
    <n v="2021"/>
    <n v="2019"/>
    <n v="0"/>
    <n v="0"/>
    <x v="1"/>
    <s v="Warehouse"/>
  </r>
  <r>
    <n v="5021"/>
    <s v="Top of Hierarchy &gt; Asia Pacific &gt; Vantage_Shanghai"/>
    <x v="1"/>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1"/>
    <s v="N2O"/>
    <n v="0"/>
    <n v="3.7199999999999997E-2"/>
    <s v="LITRES"/>
    <n v="1"/>
    <n v="0"/>
    <s v="AR4"/>
    <s v="Defra"/>
    <s v="Defra (2021)"/>
    <n v="2021"/>
    <n v="2019"/>
    <n v="0"/>
    <n v="0"/>
    <x v="1"/>
    <s v="Warehouse"/>
  </r>
  <r>
    <n v="5021"/>
    <s v="Top of Hierarchy &gt; Asia Pacific &gt; Vantage_Shanghai"/>
    <x v="1"/>
    <x v="1"/>
    <d v="2021-01-01T00:00:00"/>
    <d v="2021-12-31T00:00:00"/>
    <x v="1"/>
    <d v="2021-01-01T00:00:00"/>
    <d v="2021-12-31T00:00:00"/>
    <s v="Diesel (100% mineral diesel)"/>
    <n v="0"/>
    <s v="litres"/>
    <x v="0"/>
    <m/>
    <s v="2023-02-27, 16:27"/>
    <s v="2023-07-20, 00:40"/>
    <n v="2021"/>
    <s v="diesel_100p_mineral_diesel__wtt"/>
    <s v="Diesel (100% Mineral Diesel) WTT"/>
    <s v="wtt"/>
    <b v="0"/>
    <s v="WTT- FUELS; WTT- LIQUID FUELS; DIESEL (100% MINERAL DIESEL)"/>
    <x v="1"/>
    <x v="1"/>
    <m/>
    <m/>
    <m/>
    <m/>
    <n v="0"/>
    <s v="CO2E"/>
    <n v="0"/>
    <n v="0.62873999999999997"/>
    <s v="LITRES"/>
    <n v="1"/>
    <n v="0"/>
    <s v="AR4"/>
    <s v="Defra"/>
    <s v="Defra (2021)"/>
    <n v="2021"/>
    <n v="2019"/>
    <n v="0"/>
    <n v="0"/>
    <x v="1"/>
    <s v="Warehouse"/>
  </r>
  <r>
    <n v="5021"/>
    <s v="Top of Hierarchy &gt; Asia Pacific &gt; Vantage_Shanghai"/>
    <x v="1"/>
    <x v="1"/>
    <d v="2021-01-01T00:00:00"/>
    <d v="2021-12-31T00:00:00"/>
    <x v="1"/>
    <d v="2021-01-01T00:00:00"/>
    <d v="2021-12-31T00:00:00"/>
    <s v="Diesel (100% mineral diesel)"/>
    <n v="0"/>
    <s v="litres"/>
    <x v="0"/>
    <m/>
    <s v="2023-02-27, 16:27"/>
    <s v="2023-07-20, 00:40"/>
    <n v="2021"/>
    <s v="diesel_100p_mineral_diesel__wtt"/>
    <s v="Diesel (100% Mineral Diesel) WTT"/>
    <s v="wtt"/>
    <b v="0"/>
    <s v="WTT- FUELS; WTT- LIQUID FUELS; DIESEL (100% MINERAL DIESEL)"/>
    <x v="1"/>
    <x v="1"/>
    <m/>
    <m/>
    <m/>
    <m/>
    <n v="1"/>
    <s v="CO2E"/>
    <n v="0"/>
    <n v="0.62873999999999997"/>
    <s v="LITRES"/>
    <n v="1"/>
    <n v="0"/>
    <s v="AR4"/>
    <s v="Defra"/>
    <s v="Defra (2021)"/>
    <n v="2021"/>
    <n v="2019"/>
    <n v="0"/>
    <n v="0"/>
    <x v="1"/>
    <s v="Warehouse"/>
  </r>
  <r>
    <n v="5047"/>
    <s v="Top of Hierarchy &gt; Asia Pacific &gt; Vantage_Shanghai"/>
    <x v="1"/>
    <x v="1"/>
    <d v="2021-01-01T00:00:00"/>
    <d v="2021-12-31T00:00:00"/>
    <x v="4"/>
    <d v="2021-01-01T00:00:00"/>
    <d v="2021-12-31T00:00:00"/>
    <s v="HFC-134a"/>
    <n v="2.7555999999999998"/>
    <s v="kilograms"/>
    <x v="0"/>
    <m/>
    <s v="2023-02-27, 16:28"/>
    <s v="2023-07-20, 00:40"/>
    <n v="2021"/>
    <s v="hfc-134a"/>
    <s v="HFC-134A"/>
    <s v="model"/>
    <b v="0"/>
    <s v="REFRIGERANT: R-134A"/>
    <x v="2"/>
    <x v="0"/>
    <m/>
    <m/>
    <m/>
    <m/>
    <n v="0"/>
    <s v="CO2E"/>
    <n v="3940.5079999999998"/>
    <n v="1430"/>
    <s v="KG"/>
    <n v="1"/>
    <n v="2.7555999999999998"/>
    <s v="AR4"/>
    <s v="IPCC"/>
    <s v="IPCC (2021)"/>
    <n v="2021"/>
    <n v="2007"/>
    <n v="3.9405079999999999"/>
    <n v="0"/>
    <x v="1"/>
    <s v="Warehouse"/>
  </r>
  <r>
    <n v="5047"/>
    <s v="Top of Hierarchy &gt; Asia Pacific &gt; Vantage_Shanghai"/>
    <x v="1"/>
    <x v="1"/>
    <d v="2021-01-01T00:00:00"/>
    <d v="2021-12-31T00:00:00"/>
    <x v="4"/>
    <d v="2021-01-01T00:00:00"/>
    <d v="2021-12-31T00:00:00"/>
    <s v="HFC-134a"/>
    <n v="2.7555999999999998"/>
    <s v="kilograms"/>
    <x v="0"/>
    <m/>
    <s v="2023-02-27, 16:28"/>
    <s v="2023-07-20, 00:40"/>
    <n v="2021"/>
    <s v="hfc-134a"/>
    <s v="HFC-134A"/>
    <s v="model"/>
    <b v="0"/>
    <s v="REFRIGERANT: R-134A"/>
    <x v="2"/>
    <x v="0"/>
    <m/>
    <m/>
    <m/>
    <m/>
    <n v="1"/>
    <s v="CO2E"/>
    <n v="3940.5079999999998"/>
    <n v="1430"/>
    <s v="KG"/>
    <n v="1"/>
    <n v="2.7555999999999998"/>
    <s v="AR4"/>
    <s v="IPCC"/>
    <s v="IPCC (2021)"/>
    <n v="2021"/>
    <n v="2007"/>
    <n v="0"/>
    <n v="3.9405079999999999"/>
    <x v="1"/>
    <s v="Warehouse"/>
  </r>
  <r>
    <n v="291428"/>
    <s v="Top of Hierarchy &gt; Europe &gt; Vantage_Granollers"/>
    <x v="2"/>
    <x v="0"/>
    <d v="2022-01-01T00:00:00"/>
    <d v="2022-12-31T00:00:00"/>
    <x v="0"/>
    <d v="2022-01-01T00:00:00"/>
    <d v="2022-12-31T00:00:00"/>
    <s v="Electricity (non-renewable)"/>
    <n v="24291"/>
    <s v="Kilowatt hours"/>
    <x v="1"/>
    <m/>
    <s v="2023-05-04, 20:10"/>
    <s v="2023-07-20, 00:40"/>
    <n v="2022"/>
    <s v="electricity"/>
    <s v="Electricity"/>
    <s v="model"/>
    <b v="0"/>
    <s v="ELECTRICITY; SPAIN"/>
    <x v="0"/>
    <x v="0"/>
    <s v="Europe"/>
    <s v="Southern Europe"/>
    <s v="ES"/>
    <m/>
    <n v="0"/>
    <s v="CH4"/>
    <n v="7.2873000000000001"/>
    <s v="RESTRICTED"/>
    <s v="KWH"/>
    <n v="1"/>
    <n v="24291"/>
    <s v="AR4"/>
    <s v="IEA"/>
    <s v="IEA (2022)"/>
    <n v="2022"/>
    <n v="2020"/>
    <n v="0"/>
    <n v="0"/>
    <x v="2"/>
    <s v="Labratory"/>
  </r>
  <r>
    <n v="291428"/>
    <s v="Top of Hierarchy &gt; Europe &gt; Vantage_Granollers"/>
    <x v="2"/>
    <x v="0"/>
    <d v="2022-01-01T00:00:00"/>
    <d v="2022-12-31T00:00:00"/>
    <x v="0"/>
    <d v="2022-01-01T00:00:00"/>
    <d v="2022-12-31T00:00:00"/>
    <s v="Electricity (non-renewable)"/>
    <n v="24291"/>
    <s v="Kilowatt hours"/>
    <x v="1"/>
    <m/>
    <s v="2023-05-04, 20:10"/>
    <s v="2023-07-20, 00:40"/>
    <n v="2022"/>
    <s v="electricity"/>
    <s v="Electricity"/>
    <s v="model"/>
    <b v="0"/>
    <s v="ELECTRICITY; SPAIN"/>
    <x v="0"/>
    <x v="0"/>
    <s v="Europe"/>
    <s v="Southern Europe"/>
    <s v="ES"/>
    <m/>
    <n v="0"/>
    <s v="CO2"/>
    <n v="3631.5045"/>
    <s v="RESTRICTED"/>
    <s v="KWH"/>
    <n v="1"/>
    <n v="24291"/>
    <s v="AR4"/>
    <s v="IEA"/>
    <s v="IEA (2022)"/>
    <n v="2022"/>
    <n v="2020"/>
    <n v="0"/>
    <n v="0"/>
    <x v="2"/>
    <s v="Labratory"/>
  </r>
  <r>
    <n v="291428"/>
    <s v="Top of Hierarchy &gt; Europe &gt; Vantage_Granollers"/>
    <x v="2"/>
    <x v="0"/>
    <d v="2022-01-01T00:00:00"/>
    <d v="2022-12-31T00:00:00"/>
    <x v="0"/>
    <d v="2022-01-01T00:00:00"/>
    <d v="2022-12-31T00:00:00"/>
    <s v="Electricity (non-renewable)"/>
    <n v="24291"/>
    <s v="Kilowatt hours"/>
    <x v="1"/>
    <m/>
    <s v="2023-05-04, 20:10"/>
    <s v="2023-07-20, 00:40"/>
    <n v="2022"/>
    <s v="electricity"/>
    <s v="Electricity"/>
    <s v="model"/>
    <b v="0"/>
    <s v="ELECTRICITY; SPAIN"/>
    <x v="0"/>
    <x v="0"/>
    <s v="Europe"/>
    <s v="Southern Europe"/>
    <s v="ES"/>
    <m/>
    <n v="0"/>
    <s v="CO2E"/>
    <n v="3650.9373000000001"/>
    <s v="RESTRICTED"/>
    <s v="KWH"/>
    <n v="1"/>
    <n v="24291"/>
    <s v="AR4"/>
    <s v="IEA"/>
    <s v="IEA (2022)"/>
    <n v="2022"/>
    <n v="2020"/>
    <n v="3.6509372999999998"/>
    <n v="0"/>
    <x v="2"/>
    <s v="Labratory"/>
  </r>
  <r>
    <n v="291428"/>
    <s v="Top of Hierarchy &gt; Europe &gt; Vantage_Granollers"/>
    <x v="2"/>
    <x v="0"/>
    <d v="2022-01-01T00:00:00"/>
    <d v="2022-12-31T00:00:00"/>
    <x v="0"/>
    <d v="2022-01-01T00:00:00"/>
    <d v="2022-12-31T00:00:00"/>
    <s v="Electricity (non-renewable)"/>
    <n v="24291"/>
    <s v="Kilowatt hours"/>
    <x v="1"/>
    <m/>
    <s v="2023-05-04, 20:10"/>
    <s v="2023-07-20, 00:40"/>
    <n v="2022"/>
    <s v="electricity"/>
    <s v="Electricity"/>
    <s v="model"/>
    <b v="0"/>
    <s v="ELECTRICITY; SPAIN"/>
    <x v="0"/>
    <x v="0"/>
    <s v="Europe"/>
    <s v="Southern Europe"/>
    <s v="ES"/>
    <m/>
    <n v="0"/>
    <s v="N2O"/>
    <n v="12.1455"/>
    <s v="RESTRICTED"/>
    <s v="KWH"/>
    <n v="1"/>
    <n v="24291"/>
    <s v="AR4"/>
    <s v="IEA"/>
    <s v="IEA (2022)"/>
    <n v="2022"/>
    <n v="2020"/>
    <n v="0"/>
    <n v="0"/>
    <x v="2"/>
    <s v="Labratory"/>
  </r>
  <r>
    <n v="291428"/>
    <s v="Top of Hierarchy &gt; Europe &gt; Vantage_Granollers"/>
    <x v="2"/>
    <x v="0"/>
    <d v="2022-01-01T00:00:00"/>
    <d v="2022-12-31T00:00:00"/>
    <x v="0"/>
    <d v="2022-01-01T00:00:00"/>
    <d v="2022-12-31T00:00:00"/>
    <s v="Electricity (non-renewable)"/>
    <n v="24291"/>
    <s v="Kilowatt hours"/>
    <x v="1"/>
    <m/>
    <s v="2023-05-04, 20:10"/>
    <s v="2023-07-20, 00:40"/>
    <n v="2022"/>
    <s v="electricity"/>
    <s v="Electricity"/>
    <s v="model"/>
    <b v="0"/>
    <s v="ELECTRICITY; SPAIN"/>
    <x v="0"/>
    <x v="0"/>
    <s v="Europe"/>
    <s v="Southern Europe"/>
    <s v="ES"/>
    <m/>
    <n v="1"/>
    <s v="CO2E MKT"/>
    <n v="7211.1900999999998"/>
    <n v="0.29686674499999999"/>
    <s v="KWH"/>
    <n v="1"/>
    <n v="24291"/>
    <s v="AR4"/>
    <s v="AIB"/>
    <s v="AIB (2022)"/>
    <n v="2022"/>
    <n v="2021"/>
    <n v="0"/>
    <n v="7.2111900999999996"/>
    <x v="2"/>
    <s v="Labratory"/>
  </r>
  <r>
    <n v="291428"/>
    <s v="Top of Hierarchy &gt; Europe &gt; Vantage_Granollers"/>
    <x v="2"/>
    <x v="0"/>
    <d v="2022-01-01T00:00:00"/>
    <d v="2022-12-31T00:00:00"/>
    <x v="0"/>
    <d v="2022-01-01T00:00:00"/>
    <d v="2022-12-31T00:00:00"/>
    <s v="Electricity (non-renewable)"/>
    <n v="24291"/>
    <s v="Kilowatt hours"/>
    <x v="1"/>
    <m/>
    <s v="2023-05-04, 20:10"/>
    <s v="2023-07-20, 00:40"/>
    <n v="2022"/>
    <s v="electricity__t+d__wtt"/>
    <s v="Electricity T&amp;D WTT"/>
    <s v="t+d_wtt"/>
    <b v="0"/>
    <s v="ELECTRICITY T&amp;D WTT; SPAIN"/>
    <x v="1"/>
    <x v="1"/>
    <s v="Europe"/>
    <s v="Southern Europe"/>
    <s v="ES"/>
    <m/>
    <n v="0"/>
    <s v="CO2E"/>
    <n v="111.771111"/>
    <n v="4.601338E-3"/>
    <s v="KWH"/>
    <n v="1"/>
    <n v="24291"/>
    <s v="AR4"/>
    <s v="Anthesis"/>
    <s v="Anthesis (2022)"/>
    <n v="2022"/>
    <n v="2020"/>
    <n v="0.11177111100000001"/>
    <n v="0"/>
    <x v="2"/>
    <s v="Labratory"/>
  </r>
  <r>
    <n v="291428"/>
    <s v="Top of Hierarchy &gt; Europe &gt; Vantage_Granollers"/>
    <x v="2"/>
    <x v="0"/>
    <d v="2022-01-01T00:00:00"/>
    <d v="2022-12-31T00:00:00"/>
    <x v="0"/>
    <d v="2022-01-01T00:00:00"/>
    <d v="2022-12-31T00:00:00"/>
    <s v="Electricity (non-renewable)"/>
    <n v="24291"/>
    <s v="Kilowatt hours"/>
    <x v="1"/>
    <m/>
    <s v="2023-05-04, 20:10"/>
    <s v="2023-07-20, 00:40"/>
    <n v="2022"/>
    <s v="electricity__t+d__wtt"/>
    <s v="Electricity T&amp;D WTT"/>
    <s v="t+d_wtt"/>
    <b v="0"/>
    <s v="ELECTRICITY; SPAIN; T&amp;D WTT Estimated"/>
    <x v="1"/>
    <x v="1"/>
    <s v="Europe"/>
    <s v="Southern Europe"/>
    <s v="ES"/>
    <m/>
    <n v="1"/>
    <s v="CO2E MKT"/>
    <n v="57.687663149999999"/>
    <n v="2.3748570000000002E-3"/>
    <s v="KWH"/>
    <n v="1"/>
    <n v="24291"/>
    <s v="AR4"/>
    <s v="Anthesis"/>
    <s v="The T&amp;D WTT factor was calculated using the ratio: ELECTRICITY; SPAIN, IEA to ELECTRICITY; TRANSMISSION AND DISTRIBUTION; SPAIN, IEA CO2e factor"/>
    <n v="2022"/>
    <n v="2020"/>
    <n v="0"/>
    <n v="5.7687663149999999E-2"/>
    <x v="2"/>
    <s v="Labratory"/>
  </r>
  <r>
    <n v="291428"/>
    <s v="Top of Hierarchy &gt; Europe &gt; Vantage_Granollers"/>
    <x v="2"/>
    <x v="0"/>
    <d v="2022-01-01T00:00:00"/>
    <d v="2022-12-31T00:00:00"/>
    <x v="0"/>
    <d v="2022-01-01T00:00:00"/>
    <d v="2022-12-31T00:00:00"/>
    <s v="Electricity (non-renewable)"/>
    <n v="24291"/>
    <s v="Kilowatt hours"/>
    <x v="1"/>
    <m/>
    <s v="2023-05-04, 20:10"/>
    <s v="2023-07-20, 00:40"/>
    <n v="2022"/>
    <s v="electricity__wtt"/>
    <s v="Electricity WTT"/>
    <s v="wtt"/>
    <b v="0"/>
    <s v="ELECTRICITY WTT; SPAIN"/>
    <x v="1"/>
    <x v="1"/>
    <s v="Europe"/>
    <s v="Southern Europe"/>
    <s v="ES"/>
    <m/>
    <n v="0"/>
    <s v="CO2E"/>
    <n v="1150.629999"/>
    <n v="4.7368572999999997E-2"/>
    <s v="KWH"/>
    <n v="1"/>
    <n v="24291"/>
    <s v="AR4"/>
    <s v="Anthesis"/>
    <s v="Anthesis (2022)"/>
    <n v="2022"/>
    <n v="2020"/>
    <n v="1.150629999"/>
    <n v="0"/>
    <x v="2"/>
    <s v="Labratory"/>
  </r>
  <r>
    <n v="291428"/>
    <s v="Top of Hierarchy &gt; Europe &gt; Vantage_Granollers"/>
    <x v="2"/>
    <x v="0"/>
    <d v="2022-01-01T00:00:00"/>
    <d v="2022-12-31T00:00:00"/>
    <x v="0"/>
    <d v="2022-01-01T00:00:00"/>
    <d v="2022-12-31T00:00:00"/>
    <s v="Electricity (non-renewable)"/>
    <n v="24291"/>
    <s v="Kilowatt hours"/>
    <x v="1"/>
    <m/>
    <s v="2023-05-04, 20:10"/>
    <s v="2023-07-20, 00:40"/>
    <n v="2022"/>
    <s v="electricity__wtt"/>
    <s v="Electricity WTT"/>
    <s v="wtt"/>
    <b v="0"/>
    <s v="ELECTRICITY; SPAIN; WTT Estimated"/>
    <x v="1"/>
    <x v="1"/>
    <s v="Europe"/>
    <s v="Southern Europe"/>
    <s v="ES"/>
    <m/>
    <n v="1"/>
    <s v="CO2E MKT"/>
    <n v="2202.1694470000002"/>
    <n v="9.0657834000000007E-2"/>
    <s v="KWH"/>
    <n v="1"/>
    <n v="24291"/>
    <s v="AR4"/>
    <s v="Anthesis"/>
    <s v="The WTT factor was calculated using the ratio: ELECTRICITY; SPAIN, IEA to WTT- UK &amp; OVERSEAS ELEC; WTT- OVERSEAS ELECTRICITY (GENERATION); ELECTRICITY: SPAIN, Defra CO2e factor"/>
    <n v="2022"/>
    <n v="2020"/>
    <n v="0"/>
    <n v="2.2021694470000002"/>
    <x v="2"/>
    <s v="Labratory"/>
  </r>
  <r>
    <n v="291428"/>
    <s v="Top of Hierarchy &gt; Europe &gt; Vantage_Granollers"/>
    <x v="2"/>
    <x v="0"/>
    <d v="2022-01-01T00:00:00"/>
    <d v="2022-12-31T00:00:00"/>
    <x v="0"/>
    <d v="2022-01-01T00:00:00"/>
    <d v="2022-12-31T00:00:00"/>
    <s v="Electricity (non-renewable)"/>
    <n v="24291"/>
    <s v="Kilowatt hours"/>
    <x v="1"/>
    <m/>
    <s v="2023-05-04, 20:10"/>
    <s v="2023-07-20, 00:40"/>
    <n v="2022"/>
    <s v="electricity__t+d"/>
    <s v="Electricity T&amp;D"/>
    <s v="t+d"/>
    <b v="0"/>
    <s v="ELECTRICITY; TRANSMISSION AND DISTRIBUTION; SPAIN"/>
    <x v="1"/>
    <x v="1"/>
    <s v="Europe"/>
    <s v="Southern Europe"/>
    <s v="ES"/>
    <m/>
    <n v="0"/>
    <s v="CO2E"/>
    <n v="354.64859999999999"/>
    <s v="RESTRICTED"/>
    <s v="KWH"/>
    <n v="1"/>
    <n v="24291"/>
    <s v="AR4"/>
    <s v="IEA"/>
    <s v="IEA (2022)"/>
    <n v="2022"/>
    <n v="2020"/>
    <n v="0.35464859999999998"/>
    <n v="0"/>
    <x v="2"/>
    <s v="Labratory"/>
  </r>
  <r>
    <n v="291428"/>
    <s v="Top of Hierarchy &gt; Europe &gt; Vantage_Granollers"/>
    <x v="2"/>
    <x v="0"/>
    <d v="2022-01-01T00:00:00"/>
    <d v="2022-12-31T00:00:00"/>
    <x v="0"/>
    <d v="2022-01-01T00:00:00"/>
    <d v="2022-12-31T00:00:00"/>
    <s v="Electricity (non-renewable)"/>
    <n v="24291"/>
    <s v="Kilowatt hours"/>
    <x v="1"/>
    <m/>
    <s v="2023-05-04, 20:10"/>
    <s v="2023-07-20, 00:40"/>
    <n v="2022"/>
    <s v="electricity__t+d"/>
    <s v="Electricity T&amp;D"/>
    <s v="t+d"/>
    <b v="0"/>
    <s v="ELECTRICITY; SPAIN; T&amp;D Estimated"/>
    <x v="1"/>
    <x v="1"/>
    <s v="Europe"/>
    <s v="Southern Europe"/>
    <s v="ES"/>
    <m/>
    <n v="1"/>
    <s v="CO2E MKT"/>
    <n v="634.89393849999999"/>
    <n v="2.6137002999999999E-2"/>
    <s v="KWH"/>
    <n v="1"/>
    <n v="24291"/>
    <s v="AR4"/>
    <s v="Anthesis"/>
    <s v="The T&amp;D factor was calculated using the ratio: ELECTRICITY; SPAIN, IEA to ELECTRICITY; TRANSMISSION AND DISTRIBUTION; SPAIN, IEA CO2e factor"/>
    <n v="2022"/>
    <n v="2020"/>
    <n v="0"/>
    <n v="0.63489393849999998"/>
    <x v="2"/>
    <s v="Labratory"/>
  </r>
  <r>
    <n v="1590442"/>
    <s v="Top of Hierarchy &gt; Europe &gt; Vantage_Granollers"/>
    <x v="2"/>
    <x v="0"/>
    <d v="2022-01-01T00:00:00"/>
    <d v="2022-12-31T00:00:00"/>
    <x v="3"/>
    <d v="2022-01-01T00:00:00"/>
    <d v="2022-12-31T00:00:00"/>
    <s v="Natural gas"/>
    <n v="976.7102582"/>
    <s v="Hundred Thousand BTUs"/>
    <x v="0"/>
    <s v="Estimated from square footage (CBECS 2012)"/>
    <s v="2023-07-25, 17:50"/>
    <s v="2023-07-25, 17:50"/>
    <n v="2022"/>
    <s v="natural_gas"/>
    <s v="Natural Gas"/>
    <s v="model"/>
    <b v="0"/>
    <s v="FUELS; GASEOUS FUELS; NATURAL GAS"/>
    <x v="2"/>
    <x v="0"/>
    <s v="Europe"/>
    <m/>
    <m/>
    <m/>
    <n v="0"/>
    <s v="CH4"/>
    <n v="7.1544270589999996"/>
    <n v="2.5000000000000001E-4"/>
    <s v="KWH (GROSS CV)"/>
    <n v="29.3001"/>
    <n v="28617.70824"/>
    <s v="AR4"/>
    <s v="Defra"/>
    <s v="Defra (2022)"/>
    <n v="2022"/>
    <n v="2020"/>
    <n v="0"/>
    <n v="0"/>
    <x v="2"/>
    <s v="Labratory"/>
  </r>
  <r>
    <n v="1590442"/>
    <s v="Top of Hierarchy &gt; Europe &gt; Vantage_Granollers"/>
    <x v="2"/>
    <x v="0"/>
    <d v="2022-01-01T00:00:00"/>
    <d v="2022-12-31T00:00:00"/>
    <x v="3"/>
    <d v="2022-01-01T00:00:00"/>
    <d v="2022-12-31T00:00:00"/>
    <s v="Natural gas"/>
    <n v="976.7102582"/>
    <s v="Hundred Thousand BTUs"/>
    <x v="0"/>
    <s v="Estimated from square footage (CBECS 2012)"/>
    <s v="2023-07-25, 17:50"/>
    <s v="2023-07-25, 17:50"/>
    <n v="2022"/>
    <s v="natural_gas"/>
    <s v="Natural Gas"/>
    <s v="model"/>
    <b v="0"/>
    <s v="FUELS; GASEOUS FUELS; NATURAL GAS"/>
    <x v="2"/>
    <x v="0"/>
    <s v="Europe"/>
    <m/>
    <m/>
    <m/>
    <n v="0"/>
    <s v="CO2"/>
    <n v="5213.8602639999999"/>
    <n v="0.18218999999999999"/>
    <s v="KWH (GROSS CV)"/>
    <n v="29.3001"/>
    <n v="28617.70824"/>
    <s v="AR4"/>
    <s v="Defra"/>
    <s v="Defra (2022)"/>
    <n v="2022"/>
    <n v="2020"/>
    <n v="0"/>
    <n v="0"/>
    <x v="2"/>
    <s v="Labratory"/>
  </r>
  <r>
    <n v="1590442"/>
    <s v="Top of Hierarchy &gt; Europe &gt; Vantage_Granollers"/>
    <x v="2"/>
    <x v="0"/>
    <d v="2022-01-01T00:00:00"/>
    <d v="2022-12-31T00:00:00"/>
    <x v="3"/>
    <d v="2022-01-01T00:00:00"/>
    <d v="2022-12-31T00:00:00"/>
    <s v="Natural gas"/>
    <n v="976.7102582"/>
    <s v="Hundred Thousand BTUs"/>
    <x v="0"/>
    <s v="Estimated from square footage (CBECS 2012)"/>
    <s v="2023-07-25, 17:50"/>
    <s v="2023-07-25, 17:50"/>
    <n v="2022"/>
    <s v="natural_gas"/>
    <s v="Natural Gas"/>
    <s v="model"/>
    <b v="0"/>
    <s v="FUELS; GASEOUS FUELS; NATURAL GAS"/>
    <x v="2"/>
    <x v="0"/>
    <s v="Europe"/>
    <m/>
    <m/>
    <m/>
    <n v="0"/>
    <s v="CO2E"/>
    <n v="5223.8764620000002"/>
    <n v="0.18254000000000001"/>
    <s v="KWH (GROSS CV)"/>
    <n v="29.3001"/>
    <n v="28617.70824"/>
    <s v="AR4"/>
    <s v="Defra"/>
    <s v="Defra (2022)"/>
    <n v="2022"/>
    <n v="2020"/>
    <n v="5.2238764619999998"/>
    <n v="0"/>
    <x v="2"/>
    <s v="Labratory"/>
  </r>
  <r>
    <n v="1590442"/>
    <s v="Top of Hierarchy &gt; Europe &gt; Vantage_Granollers"/>
    <x v="2"/>
    <x v="0"/>
    <d v="2022-01-01T00:00:00"/>
    <d v="2022-12-31T00:00:00"/>
    <x v="3"/>
    <d v="2022-01-01T00:00:00"/>
    <d v="2022-12-31T00:00:00"/>
    <s v="Natural gas"/>
    <n v="976.7102582"/>
    <s v="Hundred Thousand BTUs"/>
    <x v="0"/>
    <s v="Estimated from square footage (CBECS 2012)"/>
    <s v="2023-07-25, 17:50"/>
    <s v="2023-07-25, 17:50"/>
    <n v="2022"/>
    <s v="natural_gas"/>
    <s v="Natural Gas"/>
    <s v="model"/>
    <b v="0"/>
    <s v="FUELS; GASEOUS FUELS; NATURAL GAS"/>
    <x v="2"/>
    <x v="0"/>
    <s v="Europe"/>
    <m/>
    <m/>
    <m/>
    <n v="0"/>
    <s v="N2O"/>
    <n v="2.8617708240000002"/>
    <n v="1E-4"/>
    <s v="KWH (GROSS CV)"/>
    <n v="29.3001"/>
    <n v="28617.70824"/>
    <s v="AR4"/>
    <s v="Defra"/>
    <s v="Defra (2022)"/>
    <n v="2022"/>
    <n v="2020"/>
    <n v="0"/>
    <n v="0"/>
    <x v="2"/>
    <s v="Labratory"/>
  </r>
  <r>
    <n v="1590442"/>
    <s v="Top of Hierarchy &gt; Europe &gt; Vantage_Granollers"/>
    <x v="2"/>
    <x v="0"/>
    <d v="2022-01-01T00:00:00"/>
    <d v="2022-12-31T00:00:00"/>
    <x v="3"/>
    <d v="2022-01-01T00:00:00"/>
    <d v="2022-12-31T00:00:00"/>
    <s v="Natural gas"/>
    <n v="976.7102582"/>
    <s v="Hundred Thousand BTUs"/>
    <x v="0"/>
    <s v="Estimated from square footage (CBECS 2012)"/>
    <s v="2023-07-25, 17:50"/>
    <s v="2023-07-25, 17:50"/>
    <n v="2022"/>
    <s v="natural_gas"/>
    <s v="Natural Gas"/>
    <s v="model"/>
    <b v="0"/>
    <s v="FUELS; GASEOUS FUELS; NATURAL GAS"/>
    <x v="2"/>
    <x v="0"/>
    <s v="Europe"/>
    <m/>
    <m/>
    <m/>
    <n v="1"/>
    <s v="CH4"/>
    <n v="7.1544270589999996"/>
    <n v="2.5000000000000001E-4"/>
    <s v="KWH (GROSS CV)"/>
    <n v="29.3001"/>
    <n v="28617.70824"/>
    <s v="AR4"/>
    <s v="Defra"/>
    <s v="Defra (2022)"/>
    <n v="2022"/>
    <n v="2020"/>
    <n v="0"/>
    <n v="0"/>
    <x v="2"/>
    <s v="Labratory"/>
  </r>
  <r>
    <n v="1590442"/>
    <s v="Top of Hierarchy &gt; Europe &gt; Vantage_Granollers"/>
    <x v="2"/>
    <x v="0"/>
    <d v="2022-01-01T00:00:00"/>
    <d v="2022-12-31T00:00:00"/>
    <x v="3"/>
    <d v="2022-01-01T00:00:00"/>
    <d v="2022-12-31T00:00:00"/>
    <s v="Natural gas"/>
    <n v="976.7102582"/>
    <s v="Hundred Thousand BTUs"/>
    <x v="0"/>
    <s v="Estimated from square footage (CBECS 2012)"/>
    <s v="2023-07-25, 17:50"/>
    <s v="2023-07-25, 17:50"/>
    <n v="2022"/>
    <s v="natural_gas"/>
    <s v="Natural Gas"/>
    <s v="model"/>
    <b v="0"/>
    <s v="FUELS; GASEOUS FUELS; NATURAL GAS"/>
    <x v="2"/>
    <x v="0"/>
    <s v="Europe"/>
    <m/>
    <m/>
    <m/>
    <n v="1"/>
    <s v="CO2"/>
    <n v="5213.8602639999999"/>
    <n v="0.18218999999999999"/>
    <s v="KWH (GROSS CV)"/>
    <n v="29.3001"/>
    <n v="28617.70824"/>
    <s v="AR4"/>
    <s v="Defra"/>
    <s v="Defra (2022)"/>
    <n v="2022"/>
    <n v="2020"/>
    <n v="0"/>
    <n v="0"/>
    <x v="2"/>
    <s v="Labratory"/>
  </r>
  <r>
    <n v="1590442"/>
    <s v="Top of Hierarchy &gt; Europe &gt; Vantage_Granollers"/>
    <x v="2"/>
    <x v="0"/>
    <d v="2022-01-01T00:00:00"/>
    <d v="2022-12-31T00:00:00"/>
    <x v="3"/>
    <d v="2022-01-01T00:00:00"/>
    <d v="2022-12-31T00:00:00"/>
    <s v="Natural gas"/>
    <n v="976.7102582"/>
    <s v="Hundred Thousand BTUs"/>
    <x v="0"/>
    <s v="Estimated from square footage (CBECS 2012)"/>
    <s v="2023-07-25, 17:50"/>
    <s v="2023-07-25, 17:50"/>
    <n v="2022"/>
    <s v="natural_gas"/>
    <s v="Natural Gas"/>
    <s v="model"/>
    <b v="0"/>
    <s v="FUELS; GASEOUS FUELS; NATURAL GAS"/>
    <x v="2"/>
    <x v="0"/>
    <s v="Europe"/>
    <m/>
    <m/>
    <m/>
    <n v="1"/>
    <s v="CO2E"/>
    <n v="5223.8764620000002"/>
    <n v="0.18254000000000001"/>
    <s v="KWH (GROSS CV)"/>
    <n v="29.3001"/>
    <n v="28617.70824"/>
    <s v="AR4"/>
    <s v="Defra"/>
    <s v="Defra (2022)"/>
    <n v="2022"/>
    <n v="2020"/>
    <n v="0"/>
    <n v="5.2238764619999998"/>
    <x v="2"/>
    <s v="Labratory"/>
  </r>
  <r>
    <n v="1590442"/>
    <s v="Top of Hierarchy &gt; Europe &gt; Vantage_Granollers"/>
    <x v="2"/>
    <x v="0"/>
    <d v="2022-01-01T00:00:00"/>
    <d v="2022-12-31T00:00:00"/>
    <x v="3"/>
    <d v="2022-01-01T00:00:00"/>
    <d v="2022-12-31T00:00:00"/>
    <s v="Natural gas"/>
    <n v="976.7102582"/>
    <s v="Hundred Thousand BTUs"/>
    <x v="0"/>
    <s v="Estimated from square footage (CBECS 2012)"/>
    <s v="2023-07-25, 17:50"/>
    <s v="2023-07-25, 17:50"/>
    <n v="2022"/>
    <s v="natural_gas"/>
    <s v="Natural Gas"/>
    <s v="model"/>
    <b v="0"/>
    <s v="FUELS; GASEOUS FUELS; NATURAL GAS"/>
    <x v="2"/>
    <x v="0"/>
    <s v="Europe"/>
    <m/>
    <m/>
    <m/>
    <n v="1"/>
    <s v="N2O"/>
    <n v="2.8617708240000002"/>
    <n v="1E-4"/>
    <s v="KWH (GROSS CV)"/>
    <n v="29.3001"/>
    <n v="28617.70824"/>
    <s v="AR4"/>
    <s v="Defra"/>
    <s v="Defra (2022)"/>
    <n v="2022"/>
    <n v="2020"/>
    <n v="0"/>
    <n v="0"/>
    <x v="2"/>
    <s v="Labratory"/>
  </r>
  <r>
    <n v="1590442"/>
    <s v="Top of Hierarchy &gt; Europe &gt; Vantage_Granollers"/>
    <x v="2"/>
    <x v="0"/>
    <d v="2022-01-01T00:00:00"/>
    <d v="2022-12-31T00:00:00"/>
    <x v="3"/>
    <d v="2022-01-01T00:00:00"/>
    <d v="2022-12-31T00:00:00"/>
    <s v="Natural gas"/>
    <n v="976.7102582"/>
    <s v="Hundred Thousand BTUs"/>
    <x v="0"/>
    <s v="Estimated from square footage (CBECS 2012)"/>
    <s v="2023-07-25, 17:50"/>
    <s v="2023-07-25, 17:50"/>
    <n v="2022"/>
    <s v="natural_gas__wtt"/>
    <s v="Natural Gas WTT"/>
    <s v="wtt"/>
    <b v="0"/>
    <s v="WTT- FUELS; GASEOUS FUELS; NATURAL GAS"/>
    <x v="1"/>
    <x v="1"/>
    <s v="Europe"/>
    <m/>
    <m/>
    <m/>
    <n v="0"/>
    <s v="CO2E"/>
    <n v="890.01072620000002"/>
    <n v="3.1099999999999999E-2"/>
    <s v="KWH (GROSS CV)"/>
    <n v="29.3001"/>
    <n v="28617.70824"/>
    <s v="AR4"/>
    <s v="Defra"/>
    <s v="Defra (2022)"/>
    <n v="2022"/>
    <n v="2020"/>
    <n v="0.89001072619999999"/>
    <n v="0"/>
    <x v="2"/>
    <s v="Labratory"/>
  </r>
  <r>
    <n v="1590442"/>
    <s v="Top of Hierarchy &gt; Europe &gt; Vantage_Granollers"/>
    <x v="2"/>
    <x v="0"/>
    <d v="2022-01-01T00:00:00"/>
    <d v="2022-12-31T00:00:00"/>
    <x v="3"/>
    <d v="2022-01-01T00:00:00"/>
    <d v="2022-12-31T00:00:00"/>
    <s v="Natural gas"/>
    <n v="976.7102582"/>
    <s v="Hundred Thousand BTUs"/>
    <x v="0"/>
    <s v="Estimated from square footage (CBECS 2012)"/>
    <s v="2023-07-25, 17:50"/>
    <s v="2023-07-25, 17:50"/>
    <n v="2022"/>
    <s v="natural_gas__wtt"/>
    <s v="Natural Gas WTT"/>
    <s v="wtt"/>
    <b v="0"/>
    <s v="WTT- FUELS; GASEOUS FUELS; NATURAL GAS"/>
    <x v="1"/>
    <x v="1"/>
    <s v="Europe"/>
    <m/>
    <m/>
    <m/>
    <n v="1"/>
    <s v="CO2E"/>
    <n v="890.01072620000002"/>
    <n v="3.1099999999999999E-2"/>
    <s v="KWH (GROSS CV)"/>
    <n v="29.3001"/>
    <n v="28617.70824"/>
    <s v="AR4"/>
    <s v="Defra"/>
    <s v="Defra (2022)"/>
    <n v="2022"/>
    <n v="2020"/>
    <n v="0"/>
    <n v="0.89001072619999999"/>
    <x v="2"/>
    <s v="Labratory"/>
  </r>
  <r>
    <n v="291430"/>
    <s v="Top of Hierarchy &gt; Europe &gt; Vantage_Granollers"/>
    <x v="2"/>
    <x v="0"/>
    <d v="2022-01-01T00:00:00"/>
    <d v="2022-12-31T00:00:00"/>
    <x v="1"/>
    <d v="2022-01-01T00:00:00"/>
    <d v="2022-12-31T00:00:00"/>
    <s v="Diesel (average biofuel blend)"/>
    <n v="0"/>
    <s v="gigajoules"/>
    <x v="1"/>
    <m/>
    <s v="2023-05-04, 20:10"/>
    <s v="2023-07-20, 00:40"/>
    <n v="2022"/>
    <s v="diesel_avg_biofuel_blend"/>
    <s v="Diesel (Average Biofuel Blend)"/>
    <s v="model"/>
    <b v="0"/>
    <s v="FUELS; LIQUID FUELS; DIESEL (AVERAGE BIOFUEL BLEND)"/>
    <x v="2"/>
    <x v="0"/>
    <s v="Europe"/>
    <m/>
    <m/>
    <m/>
    <n v="0"/>
    <s v="CH4"/>
    <n v="0"/>
    <n v="2.0000000000000002E-5"/>
    <s v="KWH (GROSS CV)"/>
    <n v="277.77777780000002"/>
    <n v="0"/>
    <s v="AR4"/>
    <s v="Defra"/>
    <s v="Defra (2022)"/>
    <n v="2022"/>
    <n v="2020"/>
    <n v="0"/>
    <n v="0"/>
    <x v="2"/>
    <s v="Labratory"/>
  </r>
  <r>
    <n v="291430"/>
    <s v="Top of Hierarchy &gt; Europe &gt; Vantage_Granollers"/>
    <x v="2"/>
    <x v="0"/>
    <d v="2022-01-01T00:00:00"/>
    <d v="2022-12-31T00:00:00"/>
    <x v="1"/>
    <d v="2022-01-01T00:00:00"/>
    <d v="2022-12-31T00:00:00"/>
    <s v="Diesel (average biofuel blend)"/>
    <n v="0"/>
    <s v="gigajoules"/>
    <x v="1"/>
    <m/>
    <s v="2023-05-04, 20:10"/>
    <s v="2023-07-20, 00:40"/>
    <n v="2022"/>
    <s v="diesel_avg_biofuel_blend"/>
    <s v="Diesel (Average Biofuel Blend)"/>
    <s v="model"/>
    <b v="0"/>
    <s v="FUELS; LIQUID FUELS; DIESEL (AVERAGE BIOFUEL BLEND)"/>
    <x v="2"/>
    <x v="0"/>
    <s v="Europe"/>
    <m/>
    <m/>
    <m/>
    <n v="0"/>
    <s v="CO2"/>
    <n v="0"/>
    <n v="0.23763999999999999"/>
    <s v="KWH (GROSS CV)"/>
    <n v="277.77777780000002"/>
    <n v="0"/>
    <s v="AR4"/>
    <s v="Defra"/>
    <s v="Defra (2022)"/>
    <n v="2022"/>
    <n v="2020"/>
    <n v="0"/>
    <n v="0"/>
    <x v="2"/>
    <s v="Labratory"/>
  </r>
  <r>
    <n v="291430"/>
    <s v="Top of Hierarchy &gt; Europe &gt; Vantage_Granollers"/>
    <x v="2"/>
    <x v="0"/>
    <d v="2022-01-01T00:00:00"/>
    <d v="2022-12-31T00:00:00"/>
    <x v="1"/>
    <d v="2022-01-01T00:00:00"/>
    <d v="2022-12-31T00:00:00"/>
    <s v="Diesel (average biofuel blend)"/>
    <n v="0"/>
    <s v="gigajoules"/>
    <x v="1"/>
    <m/>
    <s v="2023-05-04, 20:10"/>
    <s v="2023-07-20, 00:40"/>
    <n v="2022"/>
    <s v="diesel_avg_biofuel_blend"/>
    <s v="Diesel (Average Biofuel Blend)"/>
    <s v="model"/>
    <b v="0"/>
    <s v="FUELS; LIQUID FUELS; DIESEL (AVERAGE BIOFUEL BLEND)"/>
    <x v="2"/>
    <x v="0"/>
    <s v="Europe"/>
    <m/>
    <m/>
    <m/>
    <n v="0"/>
    <s v="CO2E"/>
    <n v="0"/>
    <n v="0.24115"/>
    <s v="KWH (GROSS CV)"/>
    <n v="277.77777780000002"/>
    <n v="0"/>
    <s v="AR4"/>
    <s v="Defra"/>
    <s v="Defra (2022)"/>
    <n v="2022"/>
    <n v="2020"/>
    <n v="0"/>
    <n v="0"/>
    <x v="2"/>
    <s v="Labratory"/>
  </r>
  <r>
    <n v="291430"/>
    <s v="Top of Hierarchy &gt; Europe &gt; Vantage_Granollers"/>
    <x v="2"/>
    <x v="0"/>
    <d v="2022-01-01T00:00:00"/>
    <d v="2022-12-31T00:00:00"/>
    <x v="1"/>
    <d v="2022-01-01T00:00:00"/>
    <d v="2022-12-31T00:00:00"/>
    <s v="Diesel (average biofuel blend)"/>
    <n v="0"/>
    <s v="gigajoules"/>
    <x v="1"/>
    <m/>
    <s v="2023-05-04, 20:10"/>
    <s v="2023-07-20, 00:40"/>
    <n v="2022"/>
    <s v="diesel_avg_biofuel_blend"/>
    <s v="Diesel (Average Biofuel Blend)"/>
    <s v="model"/>
    <b v="0"/>
    <s v="FUELS; LIQUID FUELS; DIESEL (AVERAGE BIOFUEL BLEND)"/>
    <x v="2"/>
    <x v="0"/>
    <s v="Europe"/>
    <m/>
    <m/>
    <m/>
    <n v="0"/>
    <s v="N2O"/>
    <n v="0"/>
    <n v="3.49E-3"/>
    <s v="KWH (GROSS CV)"/>
    <n v="277.77777780000002"/>
    <n v="0"/>
    <s v="AR4"/>
    <s v="Defra"/>
    <s v="Defra (2022)"/>
    <n v="2022"/>
    <n v="2020"/>
    <n v="0"/>
    <n v="0"/>
    <x v="2"/>
    <s v="Labratory"/>
  </r>
  <r>
    <n v="291430"/>
    <s v="Top of Hierarchy &gt; Europe &gt; Vantage_Granollers"/>
    <x v="2"/>
    <x v="0"/>
    <d v="2022-01-01T00:00:00"/>
    <d v="2022-12-31T00:00:00"/>
    <x v="1"/>
    <d v="2022-01-01T00:00:00"/>
    <d v="2022-12-31T00:00:00"/>
    <s v="Diesel (average biofuel blend)"/>
    <n v="0"/>
    <s v="gigajoules"/>
    <x v="1"/>
    <m/>
    <s v="2023-05-04, 20:10"/>
    <s v="2023-07-20, 00:40"/>
    <n v="2022"/>
    <s v="diesel_avg_biofuel_blend"/>
    <s v="Diesel (Average Biofuel Blend)"/>
    <s v="model"/>
    <b v="0"/>
    <s v="FUELS; LIQUID FUELS; DIESEL (AVERAGE BIOFUEL BLEND)"/>
    <x v="2"/>
    <x v="0"/>
    <s v="Europe"/>
    <m/>
    <m/>
    <m/>
    <n v="1"/>
    <s v="CH4"/>
    <n v="0"/>
    <n v="2.0000000000000002E-5"/>
    <s v="KWH (GROSS CV)"/>
    <n v="277.77777780000002"/>
    <n v="0"/>
    <s v="AR4"/>
    <s v="Defra"/>
    <s v="Defra (2022)"/>
    <n v="2022"/>
    <n v="2020"/>
    <n v="0"/>
    <n v="0"/>
    <x v="2"/>
    <s v="Labratory"/>
  </r>
  <r>
    <n v="291430"/>
    <s v="Top of Hierarchy &gt; Europe &gt; Vantage_Granollers"/>
    <x v="2"/>
    <x v="0"/>
    <d v="2022-01-01T00:00:00"/>
    <d v="2022-12-31T00:00:00"/>
    <x v="1"/>
    <d v="2022-01-01T00:00:00"/>
    <d v="2022-12-31T00:00:00"/>
    <s v="Diesel (average biofuel blend)"/>
    <n v="0"/>
    <s v="gigajoules"/>
    <x v="1"/>
    <m/>
    <s v="2023-05-04, 20:10"/>
    <s v="2023-07-20, 00:40"/>
    <n v="2022"/>
    <s v="diesel_avg_biofuel_blend"/>
    <s v="Diesel (Average Biofuel Blend)"/>
    <s v="model"/>
    <b v="0"/>
    <s v="FUELS; LIQUID FUELS; DIESEL (AVERAGE BIOFUEL BLEND)"/>
    <x v="2"/>
    <x v="0"/>
    <s v="Europe"/>
    <m/>
    <m/>
    <m/>
    <n v="1"/>
    <s v="CO2"/>
    <n v="0"/>
    <n v="0.23763999999999999"/>
    <s v="KWH (GROSS CV)"/>
    <n v="277.77777780000002"/>
    <n v="0"/>
    <s v="AR4"/>
    <s v="Defra"/>
    <s v="Defra (2022)"/>
    <n v="2022"/>
    <n v="2020"/>
    <n v="0"/>
    <n v="0"/>
    <x v="2"/>
    <s v="Labratory"/>
  </r>
  <r>
    <n v="291430"/>
    <s v="Top of Hierarchy &gt; Europe &gt; Vantage_Granollers"/>
    <x v="2"/>
    <x v="0"/>
    <d v="2022-01-01T00:00:00"/>
    <d v="2022-12-31T00:00:00"/>
    <x v="1"/>
    <d v="2022-01-01T00:00:00"/>
    <d v="2022-12-31T00:00:00"/>
    <s v="Diesel (average biofuel blend)"/>
    <n v="0"/>
    <s v="gigajoules"/>
    <x v="1"/>
    <m/>
    <s v="2023-05-04, 20:10"/>
    <s v="2023-07-20, 00:40"/>
    <n v="2022"/>
    <s v="diesel_avg_biofuel_blend"/>
    <s v="Diesel (Average Biofuel Blend)"/>
    <s v="model"/>
    <b v="0"/>
    <s v="FUELS; LIQUID FUELS; DIESEL (AVERAGE BIOFUEL BLEND)"/>
    <x v="2"/>
    <x v="0"/>
    <s v="Europe"/>
    <m/>
    <m/>
    <m/>
    <n v="1"/>
    <s v="CO2E"/>
    <n v="0"/>
    <n v="0.24115"/>
    <s v="KWH (GROSS CV)"/>
    <n v="277.77777780000002"/>
    <n v="0"/>
    <s v="AR4"/>
    <s v="Defra"/>
    <s v="Defra (2022)"/>
    <n v="2022"/>
    <n v="2020"/>
    <n v="0"/>
    <n v="0"/>
    <x v="2"/>
    <s v="Labratory"/>
  </r>
  <r>
    <n v="291430"/>
    <s v="Top of Hierarchy &gt; Europe &gt; Vantage_Granollers"/>
    <x v="2"/>
    <x v="0"/>
    <d v="2022-01-01T00:00:00"/>
    <d v="2022-12-31T00:00:00"/>
    <x v="1"/>
    <d v="2022-01-01T00:00:00"/>
    <d v="2022-12-31T00:00:00"/>
    <s v="Diesel (average biofuel blend)"/>
    <n v="0"/>
    <s v="gigajoules"/>
    <x v="1"/>
    <m/>
    <s v="2023-05-04, 20:10"/>
    <s v="2023-07-20, 00:40"/>
    <n v="2022"/>
    <s v="diesel_avg_biofuel_blend"/>
    <s v="Diesel (Average Biofuel Blend)"/>
    <s v="model"/>
    <b v="0"/>
    <s v="FUELS; LIQUID FUELS; DIESEL (AVERAGE BIOFUEL BLEND)"/>
    <x v="2"/>
    <x v="0"/>
    <s v="Europe"/>
    <m/>
    <m/>
    <m/>
    <n v="1"/>
    <s v="N2O"/>
    <n v="0"/>
    <n v="3.49E-3"/>
    <s v="KWH (GROSS CV)"/>
    <n v="277.77777780000002"/>
    <n v="0"/>
    <s v="AR4"/>
    <s v="Defra"/>
    <s v="Defra (2022)"/>
    <n v="2022"/>
    <n v="2020"/>
    <n v="0"/>
    <n v="0"/>
    <x v="2"/>
    <s v="Labratory"/>
  </r>
  <r>
    <n v="291430"/>
    <s v="Top of Hierarchy &gt; Europe &gt; Vantage_Granollers"/>
    <x v="2"/>
    <x v="0"/>
    <d v="2022-01-01T00:00:00"/>
    <d v="2022-12-31T00:00:00"/>
    <x v="1"/>
    <d v="2022-01-01T00:00:00"/>
    <d v="2022-12-31T00:00:00"/>
    <s v="Diesel (average biofuel blend)"/>
    <n v="0"/>
    <s v="gigajoules"/>
    <x v="1"/>
    <m/>
    <s v="2023-05-04, 20:10"/>
    <s v="2023-07-20, 00:40"/>
    <n v="2022"/>
    <s v="diesel_avg_biofuel_blend__wtt"/>
    <s v="Diesel (Average Biofuel Blend) WTT"/>
    <s v="wtt"/>
    <b v="0"/>
    <s v="WTT- FUELS; LIQUID FUELS; DIESEL (AVERAGE BIOFUEL BLEND)"/>
    <x v="1"/>
    <x v="1"/>
    <s v="Europe"/>
    <m/>
    <m/>
    <m/>
    <n v="0"/>
    <s v="CO2E"/>
    <n v="0"/>
    <n v="5.7500000000000002E-2"/>
    <s v="KWH (GROSS CV)"/>
    <n v="277.77777780000002"/>
    <n v="0"/>
    <s v="AR4"/>
    <s v="Defra"/>
    <s v="Defra (2022)"/>
    <n v="2022"/>
    <n v="2020"/>
    <n v="0"/>
    <n v="0"/>
    <x v="2"/>
    <s v="Labratory"/>
  </r>
  <r>
    <n v="291430"/>
    <s v="Top of Hierarchy &gt; Europe &gt; Vantage_Granollers"/>
    <x v="2"/>
    <x v="0"/>
    <d v="2022-01-01T00:00:00"/>
    <d v="2022-12-31T00:00:00"/>
    <x v="1"/>
    <d v="2022-01-01T00:00:00"/>
    <d v="2022-12-31T00:00:00"/>
    <s v="Diesel (average biofuel blend)"/>
    <n v="0"/>
    <s v="gigajoules"/>
    <x v="1"/>
    <m/>
    <s v="2023-05-04, 20:10"/>
    <s v="2023-07-20, 00:40"/>
    <n v="2022"/>
    <s v="diesel_avg_biofuel_blend__wtt"/>
    <s v="Diesel (Average Biofuel Blend) WTT"/>
    <s v="wtt"/>
    <b v="0"/>
    <s v="WTT- FUELS; LIQUID FUELS; DIESEL (AVERAGE BIOFUEL BLEND)"/>
    <x v="1"/>
    <x v="1"/>
    <s v="Europe"/>
    <m/>
    <m/>
    <m/>
    <n v="1"/>
    <s v="CO2E"/>
    <n v="0"/>
    <n v="5.7500000000000002E-2"/>
    <s v="KWH (GROSS CV)"/>
    <n v="277.77777780000002"/>
    <n v="0"/>
    <s v="AR4"/>
    <s v="Defra"/>
    <s v="Defra (2022)"/>
    <n v="2022"/>
    <n v="2020"/>
    <n v="0"/>
    <n v="0"/>
    <x v="2"/>
    <s v="Labratory"/>
  </r>
  <r>
    <n v="1590450"/>
    <s v="Top of Hierarchy &gt; Europe &gt; Vantage_Granollers"/>
    <x v="2"/>
    <x v="0"/>
    <d v="2022-01-01T00:00:00"/>
    <d v="2022-12-31T00:00:00"/>
    <x v="4"/>
    <d v="2022-01-01T00:00:00"/>
    <d v="2022-12-31T00:00:00"/>
    <s v="R-134A"/>
    <n v="0.71041739999999998"/>
    <s v="kilograms"/>
    <x v="0"/>
    <s v="Estimated from square footage. Assumed R134a."/>
    <s v="2023-07-25, 17:50"/>
    <s v="2023-07-25, 17:50"/>
    <n v="2022"/>
    <s v="hfc-134a"/>
    <s v="HFC-134A"/>
    <s v="model"/>
    <b v="0"/>
    <s v="REFRIGERANT: R-134A"/>
    <x v="2"/>
    <x v="0"/>
    <m/>
    <m/>
    <m/>
    <m/>
    <n v="0"/>
    <s v="CO2E"/>
    <n v="1015.896882"/>
    <n v="1430"/>
    <s v="KG"/>
    <n v="1"/>
    <n v="0.71041739999999998"/>
    <s v="AR4"/>
    <s v="IPCC"/>
    <s v="IPCC (2021)"/>
    <n v="2022"/>
    <n v="2007"/>
    <n v="1.0158968820000001"/>
    <n v="0"/>
    <x v="2"/>
    <s v="Labratory"/>
  </r>
  <r>
    <n v="1590450"/>
    <s v="Top of Hierarchy &gt; Europe &gt; Vantage_Granollers"/>
    <x v="2"/>
    <x v="0"/>
    <d v="2022-01-01T00:00:00"/>
    <d v="2022-12-31T00:00:00"/>
    <x v="4"/>
    <d v="2022-01-01T00:00:00"/>
    <d v="2022-12-31T00:00:00"/>
    <s v="R-134A"/>
    <n v="0.71041739999999998"/>
    <s v="kilograms"/>
    <x v="0"/>
    <s v="Estimated from square footage. Assumed R134a."/>
    <s v="2023-07-25, 17:50"/>
    <s v="2023-07-25, 17:50"/>
    <n v="2022"/>
    <s v="hfc-134a"/>
    <s v="HFC-134A"/>
    <s v="model"/>
    <b v="0"/>
    <s v="REFRIGERANT: R-134A"/>
    <x v="2"/>
    <x v="0"/>
    <m/>
    <m/>
    <m/>
    <m/>
    <n v="1"/>
    <s v="CO2E"/>
    <n v="1015.896882"/>
    <n v="1430"/>
    <s v="KG"/>
    <n v="1"/>
    <n v="0.71041739999999998"/>
    <s v="AR4"/>
    <s v="IPCC"/>
    <s v="IPCC (2021)"/>
    <n v="2022"/>
    <n v="2007"/>
    <n v="0"/>
    <n v="1.0158968820000001"/>
    <x v="2"/>
    <s v="Labratory"/>
  </r>
  <r>
    <n v="291432"/>
    <s v="Top of Hierarchy &gt; Europe &gt; Vantage_Granollers"/>
    <x v="2"/>
    <x v="0"/>
    <d v="2022-01-01T00:00:00"/>
    <d v="2022-12-31T00:00:00"/>
    <x v="2"/>
    <d v="2022-01-01T00:00:00"/>
    <d v="2022-12-31T00:00:00"/>
    <s v="Propane"/>
    <n v="0"/>
    <s v="gigajoules"/>
    <x v="1"/>
    <m/>
    <s v="2023-05-04, 20:10"/>
    <s v="2023-07-20, 00:40"/>
    <n v="2022"/>
    <s v="propane"/>
    <s v="Propane"/>
    <s v="model"/>
    <b v="0"/>
    <s v="FUELS; GASEOUS FUELS; PROPANE"/>
    <x v="2"/>
    <x v="0"/>
    <s v="Europe"/>
    <m/>
    <m/>
    <m/>
    <n v="0"/>
    <s v="CH4"/>
    <n v="0"/>
    <n v="1.6000000000000001E-4"/>
    <s v="KWH (GROSS CV)"/>
    <n v="277.77777780000002"/>
    <n v="0"/>
    <s v="AR4"/>
    <s v="Defra"/>
    <s v="Defra (2022)"/>
    <n v="2022"/>
    <n v="2020"/>
    <n v="0"/>
    <n v="0"/>
    <x v="2"/>
    <s v="Labratory"/>
  </r>
  <r>
    <n v="291432"/>
    <s v="Top of Hierarchy &gt; Europe &gt; Vantage_Granollers"/>
    <x v="2"/>
    <x v="0"/>
    <d v="2022-01-01T00:00:00"/>
    <d v="2022-12-31T00:00:00"/>
    <x v="2"/>
    <d v="2022-01-01T00:00:00"/>
    <d v="2022-12-31T00:00:00"/>
    <s v="Propane"/>
    <n v="0"/>
    <s v="gigajoules"/>
    <x v="1"/>
    <m/>
    <s v="2023-05-04, 20:10"/>
    <s v="2023-07-20, 00:40"/>
    <n v="2022"/>
    <s v="propane"/>
    <s v="Propane"/>
    <s v="model"/>
    <b v="0"/>
    <s v="FUELS; GASEOUS FUELS; PROPANE"/>
    <x v="2"/>
    <x v="0"/>
    <s v="Europe"/>
    <m/>
    <m/>
    <m/>
    <n v="0"/>
    <s v="CO2"/>
    <n v="0"/>
    <n v="0.21381"/>
    <s v="KWH (GROSS CV)"/>
    <n v="277.77777780000002"/>
    <n v="0"/>
    <s v="AR4"/>
    <s v="Defra"/>
    <s v="Defra (2022)"/>
    <n v="2022"/>
    <n v="2020"/>
    <n v="0"/>
    <n v="0"/>
    <x v="2"/>
    <s v="Labratory"/>
  </r>
  <r>
    <n v="291432"/>
    <s v="Top of Hierarchy &gt; Europe &gt; Vantage_Granollers"/>
    <x v="2"/>
    <x v="0"/>
    <d v="2022-01-01T00:00:00"/>
    <d v="2022-12-31T00:00:00"/>
    <x v="2"/>
    <d v="2022-01-01T00:00:00"/>
    <d v="2022-12-31T00:00:00"/>
    <s v="Propane"/>
    <n v="0"/>
    <s v="gigajoules"/>
    <x v="1"/>
    <m/>
    <s v="2023-05-04, 20:10"/>
    <s v="2023-07-20, 00:40"/>
    <n v="2022"/>
    <s v="propane"/>
    <s v="Propane"/>
    <s v="model"/>
    <b v="0"/>
    <s v="FUELS; GASEOUS FUELS; PROPANE"/>
    <x v="2"/>
    <x v="0"/>
    <s v="Europe"/>
    <m/>
    <m/>
    <m/>
    <n v="0"/>
    <s v="CO2E"/>
    <n v="0"/>
    <n v="0.21410000000000001"/>
    <s v="KWH (GROSS CV)"/>
    <n v="277.77777780000002"/>
    <n v="0"/>
    <s v="AR4"/>
    <s v="Defra"/>
    <s v="Defra (2022)"/>
    <n v="2022"/>
    <n v="2020"/>
    <n v="0"/>
    <n v="0"/>
    <x v="2"/>
    <s v="Labratory"/>
  </r>
  <r>
    <n v="291432"/>
    <s v="Top of Hierarchy &gt; Europe &gt; Vantage_Granollers"/>
    <x v="2"/>
    <x v="0"/>
    <d v="2022-01-01T00:00:00"/>
    <d v="2022-12-31T00:00:00"/>
    <x v="2"/>
    <d v="2022-01-01T00:00:00"/>
    <d v="2022-12-31T00:00:00"/>
    <s v="Propane"/>
    <n v="0"/>
    <s v="gigajoules"/>
    <x v="1"/>
    <m/>
    <s v="2023-05-04, 20:10"/>
    <s v="2023-07-20, 00:40"/>
    <n v="2022"/>
    <s v="propane"/>
    <s v="Propane"/>
    <s v="model"/>
    <b v="0"/>
    <s v="FUELS; GASEOUS FUELS; PROPANE"/>
    <x v="2"/>
    <x v="0"/>
    <s v="Europe"/>
    <m/>
    <m/>
    <m/>
    <n v="0"/>
    <s v="N2O"/>
    <n v="0"/>
    <n v="1.2999999999999999E-4"/>
    <s v="KWH (GROSS CV)"/>
    <n v="277.77777780000002"/>
    <n v="0"/>
    <s v="AR4"/>
    <s v="Defra"/>
    <s v="Defra (2022)"/>
    <n v="2022"/>
    <n v="2020"/>
    <n v="0"/>
    <n v="0"/>
    <x v="2"/>
    <s v="Labratory"/>
  </r>
  <r>
    <n v="291432"/>
    <s v="Top of Hierarchy &gt; Europe &gt; Vantage_Granollers"/>
    <x v="2"/>
    <x v="0"/>
    <d v="2022-01-01T00:00:00"/>
    <d v="2022-12-31T00:00:00"/>
    <x v="2"/>
    <d v="2022-01-01T00:00:00"/>
    <d v="2022-12-31T00:00:00"/>
    <s v="Propane"/>
    <n v="0"/>
    <s v="gigajoules"/>
    <x v="1"/>
    <m/>
    <s v="2023-05-04, 20:10"/>
    <s v="2023-07-20, 00:40"/>
    <n v="2022"/>
    <s v="propane"/>
    <s v="Propane"/>
    <s v="model"/>
    <b v="0"/>
    <s v="FUELS; GASEOUS FUELS; PROPANE"/>
    <x v="2"/>
    <x v="0"/>
    <s v="Europe"/>
    <m/>
    <m/>
    <m/>
    <n v="1"/>
    <s v="CH4"/>
    <n v="0"/>
    <n v="1.6000000000000001E-4"/>
    <s v="KWH (GROSS CV)"/>
    <n v="277.77777780000002"/>
    <n v="0"/>
    <s v="AR4"/>
    <s v="Defra"/>
    <s v="Defra (2022)"/>
    <n v="2022"/>
    <n v="2020"/>
    <n v="0"/>
    <n v="0"/>
    <x v="2"/>
    <s v="Labratory"/>
  </r>
  <r>
    <n v="291432"/>
    <s v="Top of Hierarchy &gt; Europe &gt; Vantage_Granollers"/>
    <x v="2"/>
    <x v="0"/>
    <d v="2022-01-01T00:00:00"/>
    <d v="2022-12-31T00:00:00"/>
    <x v="2"/>
    <d v="2022-01-01T00:00:00"/>
    <d v="2022-12-31T00:00:00"/>
    <s v="Propane"/>
    <n v="0"/>
    <s v="gigajoules"/>
    <x v="1"/>
    <m/>
    <s v="2023-05-04, 20:10"/>
    <s v="2023-07-20, 00:40"/>
    <n v="2022"/>
    <s v="propane"/>
    <s v="Propane"/>
    <s v="model"/>
    <b v="0"/>
    <s v="FUELS; GASEOUS FUELS; PROPANE"/>
    <x v="2"/>
    <x v="0"/>
    <s v="Europe"/>
    <m/>
    <m/>
    <m/>
    <n v="1"/>
    <s v="CO2"/>
    <n v="0"/>
    <n v="0.21381"/>
    <s v="KWH (GROSS CV)"/>
    <n v="277.77777780000002"/>
    <n v="0"/>
    <s v="AR4"/>
    <s v="Defra"/>
    <s v="Defra (2022)"/>
    <n v="2022"/>
    <n v="2020"/>
    <n v="0"/>
    <n v="0"/>
    <x v="2"/>
    <s v="Labratory"/>
  </r>
  <r>
    <n v="291432"/>
    <s v="Top of Hierarchy &gt; Europe &gt; Vantage_Granollers"/>
    <x v="2"/>
    <x v="0"/>
    <d v="2022-01-01T00:00:00"/>
    <d v="2022-12-31T00:00:00"/>
    <x v="2"/>
    <d v="2022-01-01T00:00:00"/>
    <d v="2022-12-31T00:00:00"/>
    <s v="Propane"/>
    <n v="0"/>
    <s v="gigajoules"/>
    <x v="1"/>
    <m/>
    <s v="2023-05-04, 20:10"/>
    <s v="2023-07-20, 00:40"/>
    <n v="2022"/>
    <s v="propane"/>
    <s v="Propane"/>
    <s v="model"/>
    <b v="0"/>
    <s v="FUELS; GASEOUS FUELS; PROPANE"/>
    <x v="2"/>
    <x v="0"/>
    <s v="Europe"/>
    <m/>
    <m/>
    <m/>
    <n v="1"/>
    <s v="CO2E"/>
    <n v="0"/>
    <n v="0.21410000000000001"/>
    <s v="KWH (GROSS CV)"/>
    <n v="277.77777780000002"/>
    <n v="0"/>
    <s v="AR4"/>
    <s v="Defra"/>
    <s v="Defra (2022)"/>
    <n v="2022"/>
    <n v="2020"/>
    <n v="0"/>
    <n v="0"/>
    <x v="2"/>
    <s v="Labratory"/>
  </r>
  <r>
    <n v="291432"/>
    <s v="Top of Hierarchy &gt; Europe &gt; Vantage_Granollers"/>
    <x v="2"/>
    <x v="0"/>
    <d v="2022-01-01T00:00:00"/>
    <d v="2022-12-31T00:00:00"/>
    <x v="2"/>
    <d v="2022-01-01T00:00:00"/>
    <d v="2022-12-31T00:00:00"/>
    <s v="Propane"/>
    <n v="0"/>
    <s v="gigajoules"/>
    <x v="1"/>
    <m/>
    <s v="2023-05-04, 20:10"/>
    <s v="2023-07-20, 00:40"/>
    <n v="2022"/>
    <s v="propane"/>
    <s v="Propane"/>
    <s v="model"/>
    <b v="0"/>
    <s v="FUELS; GASEOUS FUELS; PROPANE"/>
    <x v="2"/>
    <x v="0"/>
    <s v="Europe"/>
    <m/>
    <m/>
    <m/>
    <n v="1"/>
    <s v="N2O"/>
    <n v="0"/>
    <n v="1.2999999999999999E-4"/>
    <s v="KWH (GROSS CV)"/>
    <n v="277.77777780000002"/>
    <n v="0"/>
    <s v="AR4"/>
    <s v="Defra"/>
    <s v="Defra (2022)"/>
    <n v="2022"/>
    <n v="2020"/>
    <n v="0"/>
    <n v="0"/>
    <x v="2"/>
    <s v="Labratory"/>
  </r>
  <r>
    <n v="291432"/>
    <s v="Top of Hierarchy &gt; Europe &gt; Vantage_Granollers"/>
    <x v="2"/>
    <x v="0"/>
    <d v="2022-01-01T00:00:00"/>
    <d v="2022-12-31T00:00:00"/>
    <x v="2"/>
    <d v="2022-01-01T00:00:00"/>
    <d v="2022-12-31T00:00:00"/>
    <s v="Propane"/>
    <n v="0"/>
    <s v="gigajoules"/>
    <x v="1"/>
    <m/>
    <s v="2023-05-04, 20:10"/>
    <s v="2023-07-20, 00:40"/>
    <n v="2022"/>
    <s v="propane__wtt"/>
    <s v="Propane WTT"/>
    <s v="wtt"/>
    <b v="0"/>
    <s v="WTT- FUELS; GASEOUS FUELS; PROPANE"/>
    <x v="1"/>
    <x v="1"/>
    <s v="Europe"/>
    <m/>
    <m/>
    <m/>
    <n v="0"/>
    <s v="CO2E"/>
    <n v="0"/>
    <n v="2.503E-2"/>
    <s v="KWH (GROSS CV)"/>
    <n v="277.77777780000002"/>
    <n v="0"/>
    <s v="AR4"/>
    <s v="Defra"/>
    <s v="Defra (2022)"/>
    <n v="2022"/>
    <n v="2020"/>
    <n v="0"/>
    <n v="0"/>
    <x v="2"/>
    <s v="Labratory"/>
  </r>
  <r>
    <n v="291432"/>
    <s v="Top of Hierarchy &gt; Europe &gt; Vantage_Granollers"/>
    <x v="2"/>
    <x v="0"/>
    <d v="2022-01-01T00:00:00"/>
    <d v="2022-12-31T00:00:00"/>
    <x v="2"/>
    <d v="2022-01-01T00:00:00"/>
    <d v="2022-12-31T00:00:00"/>
    <s v="Propane"/>
    <n v="0"/>
    <s v="gigajoules"/>
    <x v="1"/>
    <m/>
    <s v="2023-05-04, 20:10"/>
    <s v="2023-07-20, 00:40"/>
    <n v="2022"/>
    <s v="propane__wtt"/>
    <s v="Propane WTT"/>
    <s v="wtt"/>
    <b v="0"/>
    <s v="WTT- FUELS; GASEOUS FUELS; PROPANE"/>
    <x v="1"/>
    <x v="1"/>
    <s v="Europe"/>
    <m/>
    <m/>
    <m/>
    <n v="1"/>
    <s v="CO2E"/>
    <n v="0"/>
    <n v="2.503E-2"/>
    <s v="KWH (GROSS CV)"/>
    <n v="277.77777780000002"/>
    <n v="0"/>
    <s v="AR4"/>
    <s v="Defra"/>
    <s v="Defra (2022)"/>
    <n v="2022"/>
    <n v="2020"/>
    <n v="0"/>
    <n v="0"/>
    <x v="2"/>
    <s v="Labratory"/>
  </r>
  <r>
    <n v="4950"/>
    <s v="Top of Hierarchy &gt; Europe &gt; Vantage_Granollers"/>
    <x v="2"/>
    <x v="1"/>
    <d v="2021-01-01T00:00:00"/>
    <d v="2021-12-31T00:00:00"/>
    <x v="0"/>
    <d v="2021-01-01T00:00:00"/>
    <d v="2021-12-31T00:00:00"/>
    <s v="Electricity (non-renewable)"/>
    <n v="22298"/>
    <s v="Kilowatt hours"/>
    <x v="1"/>
    <m/>
    <s v="2023-02-27, 16:27"/>
    <s v="2023-07-20, 00:40"/>
    <n v="2021"/>
    <s v="electricity"/>
    <s v="Electricity"/>
    <s v="model"/>
    <b v="0"/>
    <s v="ELECTRICITY; SPAIN"/>
    <x v="0"/>
    <x v="0"/>
    <s v="Europe"/>
    <s v="Southern Europe"/>
    <s v="ES"/>
    <m/>
    <n v="0"/>
    <s v="CH4"/>
    <n v="6.6894"/>
    <s v="RESTRICTED"/>
    <s v="KWH"/>
    <n v="1"/>
    <n v="22298"/>
    <s v="AR4"/>
    <s v="IEA"/>
    <s v="IEA (2021)"/>
    <n v="2021"/>
    <n v="2019"/>
    <n v="0"/>
    <n v="0"/>
    <x v="2"/>
    <s v="Labratory"/>
  </r>
  <r>
    <n v="4950"/>
    <s v="Top of Hierarchy &gt; Europe &gt; Vantage_Granollers"/>
    <x v="2"/>
    <x v="1"/>
    <d v="2021-01-01T00:00:00"/>
    <d v="2021-12-31T00:00:00"/>
    <x v="0"/>
    <d v="2021-01-01T00:00:00"/>
    <d v="2021-12-31T00:00:00"/>
    <s v="Electricity (non-renewable)"/>
    <n v="22298"/>
    <s v="Kilowatt hours"/>
    <x v="1"/>
    <m/>
    <s v="2023-02-27, 16:27"/>
    <s v="2023-07-20, 00:40"/>
    <n v="2021"/>
    <s v="electricity"/>
    <s v="Electricity"/>
    <s v="model"/>
    <b v="0"/>
    <s v="ELECTRICITY; SPAIN"/>
    <x v="0"/>
    <x v="0"/>
    <s v="Europe"/>
    <s v="Southern Europe"/>
    <s v="ES"/>
    <m/>
    <n v="0"/>
    <s v="CO2"/>
    <n v="4274.5266000000001"/>
    <s v="RESTRICTED"/>
    <s v="KWH"/>
    <n v="1"/>
    <n v="22298"/>
    <s v="AR4"/>
    <s v="IEA"/>
    <s v="IEA (2021)"/>
    <n v="2021"/>
    <n v="2019"/>
    <n v="0"/>
    <n v="0"/>
    <x v="2"/>
    <s v="Labratory"/>
  </r>
  <r>
    <n v="4950"/>
    <s v="Top of Hierarchy &gt; Europe &gt; Vantage_Granollers"/>
    <x v="2"/>
    <x v="1"/>
    <d v="2021-01-01T00:00:00"/>
    <d v="2021-12-31T00:00:00"/>
    <x v="0"/>
    <d v="2021-01-01T00:00:00"/>
    <d v="2021-12-31T00:00:00"/>
    <s v="Electricity (non-renewable)"/>
    <n v="22298"/>
    <s v="Kilowatt hours"/>
    <x v="1"/>
    <m/>
    <s v="2023-02-27, 16:27"/>
    <s v="2023-07-20, 00:40"/>
    <n v="2021"/>
    <s v="electricity"/>
    <s v="Electricity"/>
    <s v="model"/>
    <b v="0"/>
    <s v="ELECTRICITY; SPAIN"/>
    <x v="0"/>
    <x v="0"/>
    <s v="Europe"/>
    <s v="Southern Europe"/>
    <s v="ES"/>
    <m/>
    <n v="0"/>
    <s v="CO2E"/>
    <n v="4294.5947999999999"/>
    <s v="RESTRICTED"/>
    <s v="KWH"/>
    <n v="1"/>
    <n v="22298"/>
    <s v="AR4"/>
    <s v="IEA"/>
    <s v="IEA (2021)"/>
    <n v="2021"/>
    <n v="2019"/>
    <n v="4.2945947999999996"/>
    <n v="0"/>
    <x v="2"/>
    <s v="Labratory"/>
  </r>
  <r>
    <n v="4950"/>
    <s v="Top of Hierarchy &gt; Europe &gt; Vantage_Granollers"/>
    <x v="2"/>
    <x v="1"/>
    <d v="2021-01-01T00:00:00"/>
    <d v="2021-12-31T00:00:00"/>
    <x v="0"/>
    <d v="2021-01-01T00:00:00"/>
    <d v="2021-12-31T00:00:00"/>
    <s v="Electricity (non-renewable)"/>
    <n v="22298"/>
    <s v="Kilowatt hours"/>
    <x v="1"/>
    <m/>
    <s v="2023-02-27, 16:27"/>
    <s v="2023-07-20, 00:40"/>
    <n v="2021"/>
    <s v="electricity"/>
    <s v="Electricity"/>
    <s v="model"/>
    <b v="0"/>
    <s v="ELECTRICITY; SPAIN"/>
    <x v="0"/>
    <x v="0"/>
    <s v="Europe"/>
    <s v="Southern Europe"/>
    <s v="ES"/>
    <m/>
    <n v="0"/>
    <s v="N2O"/>
    <n v="13.3788"/>
    <s v="RESTRICTED"/>
    <s v="KWH"/>
    <n v="1"/>
    <n v="22298"/>
    <s v="AR4"/>
    <s v="IEA"/>
    <s v="IEA (2021)"/>
    <n v="2021"/>
    <n v="2019"/>
    <n v="0"/>
    <n v="0"/>
    <x v="2"/>
    <s v="Labratory"/>
  </r>
  <r>
    <n v="4950"/>
    <s v="Top of Hierarchy &gt; Europe &gt; Vantage_Granollers"/>
    <x v="2"/>
    <x v="1"/>
    <d v="2021-01-01T00:00:00"/>
    <d v="2021-12-31T00:00:00"/>
    <x v="0"/>
    <d v="2021-01-01T00:00:00"/>
    <d v="2021-12-31T00:00:00"/>
    <s v="Electricity (non-renewable)"/>
    <n v="22298"/>
    <s v="Kilowatt hours"/>
    <x v="1"/>
    <m/>
    <s v="2023-02-27, 16:27"/>
    <s v="2023-07-20, 00:40"/>
    <n v="2021"/>
    <s v="electricity"/>
    <s v="Electricity"/>
    <s v="model"/>
    <b v="0"/>
    <s v="ELECTRICITY; SPAIN"/>
    <x v="0"/>
    <x v="0"/>
    <s v="Europe"/>
    <s v="Southern Europe"/>
    <s v="ES"/>
    <m/>
    <n v="1"/>
    <s v="CO2E MKT"/>
    <n v="6414.1621100000002"/>
    <n v="0.28765638700000001"/>
    <s v="KWH"/>
    <n v="1"/>
    <n v="22298"/>
    <s v="AR4"/>
    <s v="AIB"/>
    <s v="AIB (2021)"/>
    <n v="2021"/>
    <n v="2020"/>
    <n v="0"/>
    <n v="6.4141621100000004"/>
    <x v="2"/>
    <s v="Labratory"/>
  </r>
  <r>
    <n v="4950"/>
    <s v="Top of Hierarchy &gt; Europe &gt; Vantage_Granollers"/>
    <x v="2"/>
    <x v="1"/>
    <d v="2021-01-01T00:00:00"/>
    <d v="2021-12-31T00:00:00"/>
    <x v="0"/>
    <d v="2021-01-01T00:00:00"/>
    <d v="2021-12-31T00:00:00"/>
    <s v="Electricity (non-renewable)"/>
    <n v="22298"/>
    <s v="Kilowatt hours"/>
    <x v="1"/>
    <m/>
    <s v="2023-02-27, 16:27"/>
    <s v="2023-07-20, 00:40"/>
    <n v="2021"/>
    <s v="electricity__t+d__wtt"/>
    <s v="Electricity T&amp;D WTT"/>
    <s v="t+d_wtt"/>
    <b v="0"/>
    <s v="WTT- UK &amp; OVERSEAS ELEC; WTT- OVERSEAS ELECTRICITY (T&amp;D); ELECTRICITY: SPAIN"/>
    <x v="1"/>
    <x v="1"/>
    <s v="Europe"/>
    <s v="Southern Europe"/>
    <s v="ES"/>
    <m/>
    <n v="0"/>
    <s v="CO2E"/>
    <n v="144.26239989999999"/>
    <n v="6.4697460000000002E-3"/>
    <s v="KWH"/>
    <n v="1"/>
    <n v="22298"/>
    <s v="AR4"/>
    <s v="Defra"/>
    <s v="Defra (2021)"/>
    <n v="2021"/>
    <n v="2019"/>
    <n v="0.1442623999"/>
    <n v="0"/>
    <x v="2"/>
    <s v="Labratory"/>
  </r>
  <r>
    <n v="4950"/>
    <s v="Top of Hierarchy &gt; Europe &gt; Vantage_Granollers"/>
    <x v="2"/>
    <x v="1"/>
    <d v="2021-01-01T00:00:00"/>
    <d v="2021-12-31T00:00:00"/>
    <x v="0"/>
    <d v="2021-01-01T00:00:00"/>
    <d v="2021-12-31T00:00:00"/>
    <s v="Electricity (non-renewable)"/>
    <n v="22298"/>
    <s v="Kilowatt hours"/>
    <x v="1"/>
    <m/>
    <s v="2023-02-27, 16:27"/>
    <s v="2023-07-20, 00:40"/>
    <n v="2021"/>
    <s v="electricity__t+d__wtt"/>
    <s v="Electricity T&amp;D WTT"/>
    <s v="t+d_wtt"/>
    <b v="0"/>
    <s v="ELECTRICITY; SPAIN; T&amp;D WTT Estimated"/>
    <x v="1"/>
    <x v="1"/>
    <s v="Europe"/>
    <s v="Southern Europe"/>
    <s v="ES"/>
    <m/>
    <n v="1"/>
    <s v="CO2E MKT"/>
    <n v="52.95457219"/>
    <n v="2.3748570000000002E-3"/>
    <s v="KWH"/>
    <n v="1"/>
    <n v="22298"/>
    <s v="AR4"/>
    <s v="Anthesis"/>
    <s v="The T&amp;D WTT factor was calculated using the ratio: ELECTRICITY; SPAIN, IEA to ELECTRICITY; TRANSMISSION AND DISTRIBUTION; SPAIN, IEA CO2e factor"/>
    <n v="2021"/>
    <n v="2020"/>
    <n v="0"/>
    <n v="5.295457219E-2"/>
    <x v="2"/>
    <s v="Labratory"/>
  </r>
  <r>
    <n v="4950"/>
    <s v="Top of Hierarchy &gt; Europe &gt; Vantage_Granollers"/>
    <x v="2"/>
    <x v="1"/>
    <d v="2021-01-01T00:00:00"/>
    <d v="2021-12-31T00:00:00"/>
    <x v="0"/>
    <d v="2021-01-01T00:00:00"/>
    <d v="2021-12-31T00:00:00"/>
    <s v="Electricity (non-renewable)"/>
    <n v="22298"/>
    <s v="Kilowatt hours"/>
    <x v="1"/>
    <m/>
    <s v="2023-02-27, 16:27"/>
    <s v="2023-07-20, 00:40"/>
    <n v="2021"/>
    <s v="electricity__wtt"/>
    <s v="Electricity WTT"/>
    <s v="wtt"/>
    <b v="0"/>
    <s v="WTT- UK &amp; OVERSEAS ELEC; WTT- OVERSEAS ELECTRICITY (GENERATION); ELECTRICITY: SPAIN"/>
    <x v="1"/>
    <x v="1"/>
    <s v="Europe"/>
    <s v="Southern Europe"/>
    <s v="ES"/>
    <m/>
    <n v="0"/>
    <s v="CO2E"/>
    <n v="1353.485203"/>
    <n v="6.0699848000000001E-2"/>
    <s v="KWH"/>
    <n v="1"/>
    <n v="22298"/>
    <s v="AR4"/>
    <s v="Defra"/>
    <s v="Defra (2021)"/>
    <n v="2021"/>
    <n v="2019"/>
    <n v="1.353485203"/>
    <n v="0"/>
    <x v="2"/>
    <s v="Labratory"/>
  </r>
  <r>
    <n v="4950"/>
    <s v="Top of Hierarchy &gt; Europe &gt; Vantage_Granollers"/>
    <x v="2"/>
    <x v="1"/>
    <d v="2021-01-01T00:00:00"/>
    <d v="2021-12-31T00:00:00"/>
    <x v="0"/>
    <d v="2021-01-01T00:00:00"/>
    <d v="2021-12-31T00:00:00"/>
    <s v="Electricity (non-renewable)"/>
    <n v="22298"/>
    <s v="Kilowatt hours"/>
    <x v="1"/>
    <m/>
    <s v="2023-02-27, 16:27"/>
    <s v="2023-07-20, 00:40"/>
    <n v="2021"/>
    <s v="electricity__wtt"/>
    <s v="Electricity WTT"/>
    <s v="wtt"/>
    <b v="0"/>
    <s v="ELECTRICITY; SPAIN; WTT Estimated"/>
    <x v="1"/>
    <x v="1"/>
    <s v="Europe"/>
    <s v="Southern Europe"/>
    <s v="ES"/>
    <m/>
    <n v="1"/>
    <s v="CO2E MKT"/>
    <n v="2021.488384"/>
    <n v="9.0657834000000007E-2"/>
    <s v="KWH"/>
    <n v="1"/>
    <n v="22298"/>
    <s v="AR4"/>
    <s v="Anthesis"/>
    <s v="The WTT factor was calculated using the ratio: ELECTRICITY; SPAIN, IEA to WTT- UK &amp; OVERSEAS ELEC; WTT- OVERSEAS ELECTRICITY (GENERATION); ELECTRICITY: SPAIN, Defra CO2e factor"/>
    <n v="2021"/>
    <n v="2020"/>
    <n v="0"/>
    <n v="2.021488384"/>
    <x v="2"/>
    <s v="Labratory"/>
  </r>
  <r>
    <n v="4950"/>
    <s v="Top of Hierarchy &gt; Europe &gt; Vantage_Granollers"/>
    <x v="2"/>
    <x v="1"/>
    <d v="2021-01-01T00:00:00"/>
    <d v="2021-12-31T00:00:00"/>
    <x v="0"/>
    <d v="2021-01-01T00:00:00"/>
    <d v="2021-12-31T00:00:00"/>
    <s v="Electricity (non-renewable)"/>
    <n v="22298"/>
    <s v="Kilowatt hours"/>
    <x v="1"/>
    <m/>
    <s v="2023-02-27, 16:27"/>
    <s v="2023-07-20, 00:40"/>
    <n v="2021"/>
    <s v="electricity__t+d"/>
    <s v="Electricity T&amp;D"/>
    <s v="t+d"/>
    <b v="0"/>
    <s v="ELECTRICITY; TRANSMISSION AND DISTRIBUTION; SPAIN"/>
    <x v="1"/>
    <x v="1"/>
    <s v="Europe"/>
    <s v="Southern Europe"/>
    <s v="ES"/>
    <m/>
    <n v="0"/>
    <s v="CO2E"/>
    <n v="390.21499999999997"/>
    <s v="RESTRICTED"/>
    <s v="KWH"/>
    <n v="1"/>
    <n v="22298"/>
    <s v="AR4"/>
    <s v="IEA"/>
    <s v="IEA (2021)"/>
    <n v="2021"/>
    <n v="2019"/>
    <n v="0.39021499999999998"/>
    <n v="0"/>
    <x v="2"/>
    <s v="Labratory"/>
  </r>
  <r>
    <n v="4950"/>
    <s v="Top of Hierarchy &gt; Europe &gt; Vantage_Granollers"/>
    <x v="2"/>
    <x v="1"/>
    <d v="2021-01-01T00:00:00"/>
    <d v="2021-12-31T00:00:00"/>
    <x v="0"/>
    <d v="2021-01-01T00:00:00"/>
    <d v="2021-12-31T00:00:00"/>
    <s v="Electricity (non-renewable)"/>
    <n v="22298"/>
    <s v="Kilowatt hours"/>
    <x v="1"/>
    <m/>
    <s v="2023-02-27, 16:27"/>
    <s v="2023-07-20, 00:40"/>
    <n v="2021"/>
    <s v="electricity__t+d"/>
    <s v="Electricity T&amp;D"/>
    <s v="t+d"/>
    <b v="0"/>
    <s v="ELECTRICITY; SPAIN; T&amp;D Estimated"/>
    <x v="1"/>
    <x v="1"/>
    <s v="Europe"/>
    <s v="Southern Europe"/>
    <s v="ES"/>
    <m/>
    <n v="1"/>
    <s v="CO2E MKT"/>
    <n v="582.80289159999995"/>
    <n v="2.6137002999999999E-2"/>
    <s v="KWH"/>
    <n v="1"/>
    <n v="22298"/>
    <s v="AR4"/>
    <s v="Anthesis"/>
    <s v="The T&amp;D factor was calculated using the ratio: ELECTRICITY; SPAIN, IEA to ELECTRICITY; TRANSMISSION AND DISTRIBUTION; SPAIN, IEA CO2e factor"/>
    <n v="2021"/>
    <n v="2020"/>
    <n v="0"/>
    <n v="0.58280289159999998"/>
    <x v="2"/>
    <s v="Labratory"/>
  </r>
  <r>
    <n v="4977"/>
    <s v="Top of Hierarchy &gt; Europe &gt; Vantage_Granollers"/>
    <x v="2"/>
    <x v="1"/>
    <d v="2021-01-01T00:00:00"/>
    <d v="2021-12-31T00:00:00"/>
    <x v="3"/>
    <d v="2021-01-01T00:00:00"/>
    <d v="2021-12-31T00:00:00"/>
    <s v="Natural gas"/>
    <n v="60385537.439999998"/>
    <s v="British Thermal Units"/>
    <x v="0"/>
    <m/>
    <s v="2023-02-27, 16:27"/>
    <s v="2023-07-20, 00:40"/>
    <n v="2021"/>
    <s v="natural_gas"/>
    <s v="Natural Gas"/>
    <s v="model"/>
    <b v="0"/>
    <s v="FUELS; GASEOUS FUELS; NATURAL GAS"/>
    <x v="2"/>
    <x v="0"/>
    <s v="Europe"/>
    <m/>
    <m/>
    <m/>
    <n v="0"/>
    <s v="CH4"/>
    <n v="4.4242973640000001"/>
    <n v="2.5000000000000001E-4"/>
    <s v="KWH (GROSS CV)"/>
    <n v="2.9306999999999998E-4"/>
    <n v="17697.189460000001"/>
    <s v="AR4"/>
    <s v="Defra"/>
    <s v="Defra (2021)"/>
    <n v="2021"/>
    <n v="2019"/>
    <n v="0"/>
    <n v="0"/>
    <x v="2"/>
    <s v="Labratory"/>
  </r>
  <r>
    <n v="4977"/>
    <s v="Top of Hierarchy &gt; Europe &gt; Vantage_Granollers"/>
    <x v="2"/>
    <x v="1"/>
    <d v="2021-01-01T00:00:00"/>
    <d v="2021-12-31T00:00:00"/>
    <x v="3"/>
    <d v="2021-01-01T00:00:00"/>
    <d v="2021-12-31T00:00:00"/>
    <s v="Natural gas"/>
    <n v="60385537.439999998"/>
    <s v="British Thermal Units"/>
    <x v="0"/>
    <m/>
    <s v="2023-02-27, 16:27"/>
    <s v="2023-07-20, 00:40"/>
    <n v="2021"/>
    <s v="natural_gas"/>
    <s v="Natural Gas"/>
    <s v="model"/>
    <b v="0"/>
    <s v="FUELS; GASEOUS FUELS; NATURAL GAS"/>
    <x v="2"/>
    <x v="0"/>
    <s v="Europe"/>
    <m/>
    <m/>
    <m/>
    <n v="0"/>
    <s v="CO2"/>
    <n v="3235.400177"/>
    <n v="0.18282000000000001"/>
    <s v="KWH (GROSS CV)"/>
    <n v="2.9306999999999998E-4"/>
    <n v="17697.189460000001"/>
    <s v="AR4"/>
    <s v="Defra"/>
    <s v="Defra (2021)"/>
    <n v="2021"/>
    <n v="2019"/>
    <n v="0"/>
    <n v="0"/>
    <x v="2"/>
    <s v="Labratory"/>
  </r>
  <r>
    <n v="4977"/>
    <s v="Top of Hierarchy &gt; Europe &gt; Vantage_Granollers"/>
    <x v="2"/>
    <x v="1"/>
    <d v="2021-01-01T00:00:00"/>
    <d v="2021-12-31T00:00:00"/>
    <x v="3"/>
    <d v="2021-01-01T00:00:00"/>
    <d v="2021-12-31T00:00:00"/>
    <s v="Natural gas"/>
    <n v="60385537.439999998"/>
    <s v="British Thermal Units"/>
    <x v="0"/>
    <m/>
    <s v="2023-02-27, 16:27"/>
    <s v="2023-07-20, 00:40"/>
    <n v="2021"/>
    <s v="natural_gas"/>
    <s v="Natural Gas"/>
    <s v="model"/>
    <b v="0"/>
    <s v="FUELS; GASEOUS FUELS; NATURAL GAS"/>
    <x v="2"/>
    <x v="0"/>
    <s v="Europe"/>
    <m/>
    <m/>
    <m/>
    <n v="0"/>
    <s v="CO2E"/>
    <n v="3241.5941929999999"/>
    <n v="0.18317"/>
    <s v="KWH (GROSS CV)"/>
    <n v="2.9306999999999998E-4"/>
    <n v="17697.189460000001"/>
    <s v="AR4"/>
    <s v="Defra"/>
    <s v="Defra (2021)"/>
    <n v="2021"/>
    <n v="2019"/>
    <n v="3.2415941930000001"/>
    <n v="0"/>
    <x v="2"/>
    <s v="Labratory"/>
  </r>
  <r>
    <n v="4977"/>
    <s v="Top of Hierarchy &gt; Europe &gt; Vantage_Granollers"/>
    <x v="2"/>
    <x v="1"/>
    <d v="2021-01-01T00:00:00"/>
    <d v="2021-12-31T00:00:00"/>
    <x v="3"/>
    <d v="2021-01-01T00:00:00"/>
    <d v="2021-12-31T00:00:00"/>
    <s v="Natural gas"/>
    <n v="60385537.439999998"/>
    <s v="British Thermal Units"/>
    <x v="0"/>
    <m/>
    <s v="2023-02-27, 16:27"/>
    <s v="2023-07-20, 00:40"/>
    <n v="2021"/>
    <s v="natural_gas"/>
    <s v="Natural Gas"/>
    <s v="model"/>
    <b v="0"/>
    <s v="FUELS; GASEOUS FUELS; NATURAL GAS"/>
    <x v="2"/>
    <x v="0"/>
    <s v="Europe"/>
    <m/>
    <m/>
    <m/>
    <n v="0"/>
    <s v="N2O"/>
    <n v="1.769718946"/>
    <n v="1E-4"/>
    <s v="KWH (GROSS CV)"/>
    <n v="2.9306999999999998E-4"/>
    <n v="17697.189460000001"/>
    <s v="AR4"/>
    <s v="Defra"/>
    <s v="Defra (2021)"/>
    <n v="2021"/>
    <n v="2019"/>
    <n v="0"/>
    <n v="0"/>
    <x v="2"/>
    <s v="Labratory"/>
  </r>
  <r>
    <n v="4977"/>
    <s v="Top of Hierarchy &gt; Europe &gt; Vantage_Granollers"/>
    <x v="2"/>
    <x v="1"/>
    <d v="2021-01-01T00:00:00"/>
    <d v="2021-12-31T00:00:00"/>
    <x v="3"/>
    <d v="2021-01-01T00:00:00"/>
    <d v="2021-12-31T00:00:00"/>
    <s v="Natural gas"/>
    <n v="60385537.439999998"/>
    <s v="British Thermal Units"/>
    <x v="0"/>
    <m/>
    <s v="2023-02-27, 16:27"/>
    <s v="2023-07-20, 00:40"/>
    <n v="2021"/>
    <s v="natural_gas"/>
    <s v="Natural Gas"/>
    <s v="model"/>
    <b v="0"/>
    <s v="FUELS; GASEOUS FUELS; NATURAL GAS"/>
    <x v="2"/>
    <x v="0"/>
    <s v="Europe"/>
    <m/>
    <m/>
    <m/>
    <n v="1"/>
    <s v="CH4"/>
    <n v="4.4242973640000001"/>
    <n v="2.5000000000000001E-4"/>
    <s v="KWH (GROSS CV)"/>
    <n v="2.9306999999999998E-4"/>
    <n v="17697.189460000001"/>
    <s v="AR4"/>
    <s v="Defra"/>
    <s v="Defra (2021)"/>
    <n v="2021"/>
    <n v="2019"/>
    <n v="0"/>
    <n v="0"/>
    <x v="2"/>
    <s v="Labratory"/>
  </r>
  <r>
    <n v="4977"/>
    <s v="Top of Hierarchy &gt; Europe &gt; Vantage_Granollers"/>
    <x v="2"/>
    <x v="1"/>
    <d v="2021-01-01T00:00:00"/>
    <d v="2021-12-31T00:00:00"/>
    <x v="3"/>
    <d v="2021-01-01T00:00:00"/>
    <d v="2021-12-31T00:00:00"/>
    <s v="Natural gas"/>
    <n v="60385537.439999998"/>
    <s v="British Thermal Units"/>
    <x v="0"/>
    <m/>
    <s v="2023-02-27, 16:27"/>
    <s v="2023-07-20, 00:40"/>
    <n v="2021"/>
    <s v="natural_gas"/>
    <s v="Natural Gas"/>
    <s v="model"/>
    <b v="0"/>
    <s v="FUELS; GASEOUS FUELS; NATURAL GAS"/>
    <x v="2"/>
    <x v="0"/>
    <s v="Europe"/>
    <m/>
    <m/>
    <m/>
    <n v="1"/>
    <s v="CO2"/>
    <n v="3235.400177"/>
    <n v="0.18282000000000001"/>
    <s v="KWH (GROSS CV)"/>
    <n v="2.9306999999999998E-4"/>
    <n v="17697.189460000001"/>
    <s v="AR4"/>
    <s v="Defra"/>
    <s v="Defra (2021)"/>
    <n v="2021"/>
    <n v="2019"/>
    <n v="0"/>
    <n v="0"/>
    <x v="2"/>
    <s v="Labratory"/>
  </r>
  <r>
    <n v="4977"/>
    <s v="Top of Hierarchy &gt; Europe &gt; Vantage_Granollers"/>
    <x v="2"/>
    <x v="1"/>
    <d v="2021-01-01T00:00:00"/>
    <d v="2021-12-31T00:00:00"/>
    <x v="3"/>
    <d v="2021-01-01T00:00:00"/>
    <d v="2021-12-31T00:00:00"/>
    <s v="Natural gas"/>
    <n v="60385537.439999998"/>
    <s v="British Thermal Units"/>
    <x v="0"/>
    <m/>
    <s v="2023-02-27, 16:27"/>
    <s v="2023-07-20, 00:40"/>
    <n v="2021"/>
    <s v="natural_gas"/>
    <s v="Natural Gas"/>
    <s v="model"/>
    <b v="0"/>
    <s v="FUELS; GASEOUS FUELS; NATURAL GAS"/>
    <x v="2"/>
    <x v="0"/>
    <s v="Europe"/>
    <m/>
    <m/>
    <m/>
    <n v="1"/>
    <s v="CO2E"/>
    <n v="3241.5941929999999"/>
    <n v="0.18317"/>
    <s v="KWH (GROSS CV)"/>
    <n v="2.9306999999999998E-4"/>
    <n v="17697.189460000001"/>
    <s v="AR4"/>
    <s v="Defra"/>
    <s v="Defra (2021)"/>
    <n v="2021"/>
    <n v="2019"/>
    <n v="0"/>
    <n v="3.2415941930000001"/>
    <x v="2"/>
    <s v="Labratory"/>
  </r>
  <r>
    <n v="4977"/>
    <s v="Top of Hierarchy &gt; Europe &gt; Vantage_Granollers"/>
    <x v="2"/>
    <x v="1"/>
    <d v="2021-01-01T00:00:00"/>
    <d v="2021-12-31T00:00:00"/>
    <x v="3"/>
    <d v="2021-01-01T00:00:00"/>
    <d v="2021-12-31T00:00:00"/>
    <s v="Natural gas"/>
    <n v="60385537.439999998"/>
    <s v="British Thermal Units"/>
    <x v="0"/>
    <m/>
    <s v="2023-02-27, 16:27"/>
    <s v="2023-07-20, 00:40"/>
    <n v="2021"/>
    <s v="natural_gas"/>
    <s v="Natural Gas"/>
    <s v="model"/>
    <b v="0"/>
    <s v="FUELS; GASEOUS FUELS; NATURAL GAS"/>
    <x v="2"/>
    <x v="0"/>
    <s v="Europe"/>
    <m/>
    <m/>
    <m/>
    <n v="1"/>
    <s v="N2O"/>
    <n v="1.769718946"/>
    <n v="1E-4"/>
    <s v="KWH (GROSS CV)"/>
    <n v="2.9306999999999998E-4"/>
    <n v="17697.189460000001"/>
    <s v="AR4"/>
    <s v="Defra"/>
    <s v="Defra (2021)"/>
    <n v="2021"/>
    <n v="2019"/>
    <n v="0"/>
    <n v="0"/>
    <x v="2"/>
    <s v="Labratory"/>
  </r>
  <r>
    <n v="4977"/>
    <s v="Top of Hierarchy &gt; Europe &gt; Vantage_Granollers"/>
    <x v="2"/>
    <x v="1"/>
    <d v="2021-01-01T00:00:00"/>
    <d v="2021-12-31T00:00:00"/>
    <x v="3"/>
    <d v="2021-01-01T00:00:00"/>
    <d v="2021-12-31T00:00:00"/>
    <s v="Natural gas"/>
    <n v="60385537.439999998"/>
    <s v="British Thermal Units"/>
    <x v="0"/>
    <m/>
    <s v="2023-02-27, 16:27"/>
    <s v="2023-07-20, 00:40"/>
    <n v="2021"/>
    <s v="natural_gas__wtt"/>
    <s v="Natural Gas WTT"/>
    <s v="wtt"/>
    <b v="0"/>
    <s v="WTT- FUELS; WTT- GASEOUS FUELS; NATURAL GAS"/>
    <x v="1"/>
    <x v="1"/>
    <s v="Europe"/>
    <m/>
    <m/>
    <m/>
    <n v="0"/>
    <s v="CO2E"/>
    <n v="554.80688950000001"/>
    <n v="3.1350000000000003E-2"/>
    <s v="KWH (GROSS CV)"/>
    <n v="2.9306999999999998E-4"/>
    <n v="17697.189460000001"/>
    <s v="AR4"/>
    <s v="Defra"/>
    <s v="Defra (2021)"/>
    <n v="2021"/>
    <n v="2019"/>
    <n v="0.55480688950000001"/>
    <n v="0"/>
    <x v="2"/>
    <s v="Labratory"/>
  </r>
  <r>
    <n v="4977"/>
    <s v="Top of Hierarchy &gt; Europe &gt; Vantage_Granollers"/>
    <x v="2"/>
    <x v="1"/>
    <d v="2021-01-01T00:00:00"/>
    <d v="2021-12-31T00:00:00"/>
    <x v="3"/>
    <d v="2021-01-01T00:00:00"/>
    <d v="2021-12-31T00:00:00"/>
    <s v="Natural gas"/>
    <n v="60385537.439999998"/>
    <s v="British Thermal Units"/>
    <x v="0"/>
    <m/>
    <s v="2023-02-27, 16:27"/>
    <s v="2023-07-20, 00:40"/>
    <n v="2021"/>
    <s v="natural_gas__wtt"/>
    <s v="Natural Gas WTT"/>
    <s v="wtt"/>
    <b v="0"/>
    <s v="WTT- FUELS; WTT- GASEOUS FUELS; NATURAL GAS"/>
    <x v="1"/>
    <x v="1"/>
    <s v="Europe"/>
    <m/>
    <m/>
    <m/>
    <n v="1"/>
    <s v="CO2E"/>
    <n v="554.80688950000001"/>
    <n v="3.1350000000000003E-2"/>
    <s v="KWH (GROSS CV)"/>
    <n v="2.9306999999999998E-4"/>
    <n v="17697.189460000001"/>
    <s v="AR4"/>
    <s v="Defra"/>
    <s v="Defra (2021)"/>
    <n v="2021"/>
    <n v="2019"/>
    <n v="0"/>
    <n v="0.55480688950000001"/>
    <x v="2"/>
    <s v="Labratory"/>
  </r>
  <r>
    <n v="5010"/>
    <s v="Top of Hierarchy &gt; Europe &gt; Vantage_Granollers"/>
    <x v="2"/>
    <x v="1"/>
    <d v="2021-01-01T00:00:00"/>
    <d v="2021-12-31T00:00:00"/>
    <x v="1"/>
    <d v="2021-01-01T00:00:00"/>
    <d v="2021-12-31T00:00:00"/>
    <s v="Petrol (100% mineral petrol)"/>
    <n v="0"/>
    <s v="cubic metres"/>
    <x v="1"/>
    <m/>
    <s v="2023-02-27, 16:27"/>
    <s v="2023-07-20, 00:40"/>
    <n v="2021"/>
    <s v="petrol_100p_mineral_petrol"/>
    <s v="Petrol (100% Mineral Petrol)"/>
    <s v="model"/>
    <b v="0"/>
    <s v="FUELS; LIQUID FUELS; PETROL (100% MINERAL PETROL)"/>
    <x v="2"/>
    <x v="0"/>
    <s v="Europe"/>
    <m/>
    <m/>
    <m/>
    <n v="0"/>
    <s v="CH4"/>
    <n v="0"/>
    <n v="7.3200000000000001E-3"/>
    <s v="LITRES"/>
    <n v="1000"/>
    <n v="0"/>
    <s v="AR4"/>
    <s v="Defra"/>
    <s v="Defra (2021)"/>
    <n v="2021"/>
    <n v="2019"/>
    <n v="0"/>
    <n v="0"/>
    <x v="2"/>
    <s v="Labratory"/>
  </r>
  <r>
    <n v="5010"/>
    <s v="Top of Hierarchy &gt; Europe &gt; Vantage_Granollers"/>
    <x v="2"/>
    <x v="1"/>
    <d v="2021-01-01T00:00:00"/>
    <d v="2021-12-31T00:00:00"/>
    <x v="1"/>
    <d v="2021-01-01T00:00:00"/>
    <d v="2021-12-31T00:00:00"/>
    <s v="Petrol (100% mineral petrol)"/>
    <n v="0"/>
    <s v="cubic metres"/>
    <x v="1"/>
    <m/>
    <s v="2023-02-27, 16:27"/>
    <s v="2023-07-20, 00:40"/>
    <n v="2021"/>
    <s v="petrol_100p_mineral_petrol"/>
    <s v="Petrol (100% Mineral Petrol)"/>
    <s v="model"/>
    <b v="0"/>
    <s v="FUELS; LIQUID FUELS; PETROL (100% MINERAL PETROL)"/>
    <x v="2"/>
    <x v="0"/>
    <s v="Europe"/>
    <m/>
    <m/>
    <m/>
    <n v="0"/>
    <s v="CO2"/>
    <n v="0"/>
    <n v="2.3256700000000001"/>
    <s v="LITRES"/>
    <n v="1000"/>
    <n v="0"/>
    <s v="AR4"/>
    <s v="Defra"/>
    <s v="Defra (2021)"/>
    <n v="2021"/>
    <n v="2019"/>
    <n v="0"/>
    <n v="0"/>
    <x v="2"/>
    <s v="Labratory"/>
  </r>
  <r>
    <n v="5010"/>
    <s v="Top of Hierarchy &gt; Europe &gt; Vantage_Granollers"/>
    <x v="2"/>
    <x v="1"/>
    <d v="2021-01-01T00:00:00"/>
    <d v="2021-12-31T00:00:00"/>
    <x v="1"/>
    <d v="2021-01-01T00:00:00"/>
    <d v="2021-12-31T00:00:00"/>
    <s v="Petrol (100% mineral petrol)"/>
    <n v="0"/>
    <s v="cubic metres"/>
    <x v="1"/>
    <m/>
    <s v="2023-02-27, 16:27"/>
    <s v="2023-07-20, 00:40"/>
    <n v="2021"/>
    <s v="petrol_100p_mineral_petrol"/>
    <s v="Petrol (100% Mineral Petrol)"/>
    <s v="model"/>
    <b v="0"/>
    <s v="FUELS; LIQUID FUELS; PETROL (100% MINERAL PETROL)"/>
    <x v="2"/>
    <x v="0"/>
    <s v="Europe"/>
    <m/>
    <m/>
    <m/>
    <n v="0"/>
    <s v="CO2E"/>
    <n v="0"/>
    <n v="2.3397000000000001"/>
    <s v="LITRES"/>
    <n v="1000"/>
    <n v="0"/>
    <s v="AR4"/>
    <s v="Defra"/>
    <s v="Defra (2021)"/>
    <n v="2021"/>
    <n v="2019"/>
    <n v="0"/>
    <n v="0"/>
    <x v="2"/>
    <s v="Labratory"/>
  </r>
  <r>
    <n v="5010"/>
    <s v="Top of Hierarchy &gt; Europe &gt; Vantage_Granollers"/>
    <x v="2"/>
    <x v="1"/>
    <d v="2021-01-01T00:00:00"/>
    <d v="2021-12-31T00:00:00"/>
    <x v="1"/>
    <d v="2021-01-01T00:00:00"/>
    <d v="2021-12-31T00:00:00"/>
    <s v="Petrol (100% mineral petrol)"/>
    <n v="0"/>
    <s v="cubic metres"/>
    <x v="1"/>
    <m/>
    <s v="2023-02-27, 16:27"/>
    <s v="2023-07-20, 00:40"/>
    <n v="2021"/>
    <s v="petrol_100p_mineral_petrol"/>
    <s v="Petrol (100% Mineral Petrol)"/>
    <s v="model"/>
    <b v="0"/>
    <s v="FUELS; LIQUID FUELS; PETROL (100% MINERAL PETROL)"/>
    <x v="2"/>
    <x v="0"/>
    <s v="Europe"/>
    <m/>
    <m/>
    <m/>
    <n v="0"/>
    <s v="N2O"/>
    <n v="0"/>
    <n v="6.7099999999999998E-3"/>
    <s v="LITRES"/>
    <n v="1000"/>
    <n v="0"/>
    <s v="AR4"/>
    <s v="Defra"/>
    <s v="Defra (2021)"/>
    <n v="2021"/>
    <n v="2019"/>
    <n v="0"/>
    <n v="0"/>
    <x v="2"/>
    <s v="Labratory"/>
  </r>
  <r>
    <n v="5010"/>
    <s v="Top of Hierarchy &gt; Europe &gt; Vantage_Granollers"/>
    <x v="2"/>
    <x v="1"/>
    <d v="2021-01-01T00:00:00"/>
    <d v="2021-12-31T00:00:00"/>
    <x v="1"/>
    <d v="2021-01-01T00:00:00"/>
    <d v="2021-12-31T00:00:00"/>
    <s v="Petrol (100% mineral petrol)"/>
    <n v="0"/>
    <s v="cubic metres"/>
    <x v="1"/>
    <m/>
    <s v="2023-02-27, 16:27"/>
    <s v="2023-07-20, 00:40"/>
    <n v="2021"/>
    <s v="petrol_100p_mineral_petrol"/>
    <s v="Petrol (100% Mineral Petrol)"/>
    <s v="model"/>
    <b v="0"/>
    <s v="FUELS; LIQUID FUELS; PETROL (100% MINERAL PETROL)"/>
    <x v="2"/>
    <x v="0"/>
    <s v="Europe"/>
    <m/>
    <m/>
    <m/>
    <n v="1"/>
    <s v="CH4"/>
    <n v="0"/>
    <n v="7.3200000000000001E-3"/>
    <s v="LITRES"/>
    <n v="1000"/>
    <n v="0"/>
    <s v="AR4"/>
    <s v="Defra"/>
    <s v="Defra (2021)"/>
    <n v="2021"/>
    <n v="2019"/>
    <n v="0"/>
    <n v="0"/>
    <x v="2"/>
    <s v="Labratory"/>
  </r>
  <r>
    <n v="5010"/>
    <s v="Top of Hierarchy &gt; Europe &gt; Vantage_Granollers"/>
    <x v="2"/>
    <x v="1"/>
    <d v="2021-01-01T00:00:00"/>
    <d v="2021-12-31T00:00:00"/>
    <x v="1"/>
    <d v="2021-01-01T00:00:00"/>
    <d v="2021-12-31T00:00:00"/>
    <s v="Petrol (100% mineral petrol)"/>
    <n v="0"/>
    <s v="cubic metres"/>
    <x v="1"/>
    <m/>
    <s v="2023-02-27, 16:27"/>
    <s v="2023-07-20, 00:40"/>
    <n v="2021"/>
    <s v="petrol_100p_mineral_petrol"/>
    <s v="Petrol (100% Mineral Petrol)"/>
    <s v="model"/>
    <b v="0"/>
    <s v="FUELS; LIQUID FUELS; PETROL (100% MINERAL PETROL)"/>
    <x v="2"/>
    <x v="0"/>
    <s v="Europe"/>
    <m/>
    <m/>
    <m/>
    <n v="1"/>
    <s v="CO2"/>
    <n v="0"/>
    <n v="2.3256700000000001"/>
    <s v="LITRES"/>
    <n v="1000"/>
    <n v="0"/>
    <s v="AR4"/>
    <s v="Defra"/>
    <s v="Defra (2021)"/>
    <n v="2021"/>
    <n v="2019"/>
    <n v="0"/>
    <n v="0"/>
    <x v="2"/>
    <s v="Labratory"/>
  </r>
  <r>
    <n v="5010"/>
    <s v="Top of Hierarchy &gt; Europe &gt; Vantage_Granollers"/>
    <x v="2"/>
    <x v="1"/>
    <d v="2021-01-01T00:00:00"/>
    <d v="2021-12-31T00:00:00"/>
    <x v="1"/>
    <d v="2021-01-01T00:00:00"/>
    <d v="2021-12-31T00:00:00"/>
    <s v="Petrol (100% mineral petrol)"/>
    <n v="0"/>
    <s v="cubic metres"/>
    <x v="1"/>
    <m/>
    <s v="2023-02-27, 16:27"/>
    <s v="2023-07-20, 00:40"/>
    <n v="2021"/>
    <s v="petrol_100p_mineral_petrol"/>
    <s v="Petrol (100% Mineral Petrol)"/>
    <s v="model"/>
    <b v="0"/>
    <s v="FUELS; LIQUID FUELS; PETROL (100% MINERAL PETROL)"/>
    <x v="2"/>
    <x v="0"/>
    <s v="Europe"/>
    <m/>
    <m/>
    <m/>
    <n v="1"/>
    <s v="CO2E"/>
    <n v="0"/>
    <n v="2.3397000000000001"/>
    <s v="LITRES"/>
    <n v="1000"/>
    <n v="0"/>
    <s v="AR4"/>
    <s v="Defra"/>
    <s v="Defra (2021)"/>
    <n v="2021"/>
    <n v="2019"/>
    <n v="0"/>
    <n v="0"/>
    <x v="2"/>
    <s v="Labratory"/>
  </r>
  <r>
    <n v="5010"/>
    <s v="Top of Hierarchy &gt; Europe &gt; Vantage_Granollers"/>
    <x v="2"/>
    <x v="1"/>
    <d v="2021-01-01T00:00:00"/>
    <d v="2021-12-31T00:00:00"/>
    <x v="1"/>
    <d v="2021-01-01T00:00:00"/>
    <d v="2021-12-31T00:00:00"/>
    <s v="Petrol (100% mineral petrol)"/>
    <n v="0"/>
    <s v="cubic metres"/>
    <x v="1"/>
    <m/>
    <s v="2023-02-27, 16:27"/>
    <s v="2023-07-20, 00:40"/>
    <n v="2021"/>
    <s v="petrol_100p_mineral_petrol"/>
    <s v="Petrol (100% Mineral Petrol)"/>
    <s v="model"/>
    <b v="0"/>
    <s v="FUELS; LIQUID FUELS; PETROL (100% MINERAL PETROL)"/>
    <x v="2"/>
    <x v="0"/>
    <s v="Europe"/>
    <m/>
    <m/>
    <m/>
    <n v="1"/>
    <s v="N2O"/>
    <n v="0"/>
    <n v="6.7099999999999998E-3"/>
    <s v="LITRES"/>
    <n v="1000"/>
    <n v="0"/>
    <s v="AR4"/>
    <s v="Defra"/>
    <s v="Defra (2021)"/>
    <n v="2021"/>
    <n v="2019"/>
    <n v="0"/>
    <n v="0"/>
    <x v="2"/>
    <s v="Labratory"/>
  </r>
  <r>
    <n v="5010"/>
    <s v="Top of Hierarchy &gt; Europe &gt; Vantage_Granollers"/>
    <x v="2"/>
    <x v="1"/>
    <d v="2021-01-01T00:00:00"/>
    <d v="2021-12-31T00:00:00"/>
    <x v="1"/>
    <d v="2021-01-01T00:00:00"/>
    <d v="2021-12-31T00:00:00"/>
    <s v="Petrol (100% mineral petrol)"/>
    <n v="0"/>
    <s v="cubic metres"/>
    <x v="1"/>
    <m/>
    <s v="2023-02-27, 16:27"/>
    <s v="2023-07-20, 00:40"/>
    <n v="2021"/>
    <s v="petrol_100p_mineral_petrol__wtt"/>
    <s v="Petrol (100% Mineral Petrol) WTT"/>
    <s v="wtt"/>
    <b v="0"/>
    <s v="WTT- FUELS; WTT- LIQUID FUELS; PETROL (100% MINERAL PETROL)"/>
    <x v="1"/>
    <x v="1"/>
    <s v="Europe"/>
    <m/>
    <m/>
    <m/>
    <n v="0"/>
    <s v="CO2E"/>
    <n v="0"/>
    <n v="0.60282999999999998"/>
    <s v="LITRES"/>
    <n v="1000"/>
    <n v="0"/>
    <s v="AR4"/>
    <s v="Defra"/>
    <s v="Defra (2021)"/>
    <n v="2021"/>
    <n v="2019"/>
    <n v="0"/>
    <n v="0"/>
    <x v="2"/>
    <s v="Labratory"/>
  </r>
  <r>
    <n v="5010"/>
    <s v="Top of Hierarchy &gt; Europe &gt; Vantage_Granollers"/>
    <x v="2"/>
    <x v="1"/>
    <d v="2021-01-01T00:00:00"/>
    <d v="2021-12-31T00:00:00"/>
    <x v="1"/>
    <d v="2021-01-01T00:00:00"/>
    <d v="2021-12-31T00:00:00"/>
    <s v="Petrol (100% mineral petrol)"/>
    <n v="0"/>
    <s v="cubic metres"/>
    <x v="1"/>
    <m/>
    <s v="2023-02-27, 16:27"/>
    <s v="2023-07-20, 00:40"/>
    <n v="2021"/>
    <s v="petrol_100p_mineral_petrol__wtt"/>
    <s v="Petrol (100% Mineral Petrol) WTT"/>
    <s v="wtt"/>
    <b v="0"/>
    <s v="WTT- FUELS; WTT- LIQUID FUELS; PETROL (100% MINERAL PETROL)"/>
    <x v="1"/>
    <x v="1"/>
    <s v="Europe"/>
    <m/>
    <m/>
    <m/>
    <n v="1"/>
    <s v="CO2E"/>
    <n v="0"/>
    <n v="0.60282999999999998"/>
    <s v="LITRES"/>
    <n v="1000"/>
    <n v="0"/>
    <s v="AR4"/>
    <s v="Defra"/>
    <s v="Defra (2021)"/>
    <n v="2021"/>
    <n v="2019"/>
    <n v="0"/>
    <n v="0"/>
    <x v="2"/>
    <s v="Labratory"/>
  </r>
  <r>
    <n v="5036"/>
    <s v="Top of Hierarchy &gt; Europe &gt; Vantage_Granollers"/>
    <x v="2"/>
    <x v="1"/>
    <d v="2021-01-01T00:00:00"/>
    <d v="2021-12-31T00:00:00"/>
    <x v="4"/>
    <d v="2021-01-01T00:00:00"/>
    <d v="2021-12-31T00:00:00"/>
    <s v="HFC-134a"/>
    <n v="0.71040000000000003"/>
    <s v="kilograms"/>
    <x v="0"/>
    <m/>
    <s v="2023-02-27, 16:28"/>
    <s v="2023-07-20, 00:40"/>
    <n v="2021"/>
    <s v="hfc-134a"/>
    <s v="HFC-134A"/>
    <s v="model"/>
    <b v="0"/>
    <s v="REFRIGERANT: R-134A"/>
    <x v="2"/>
    <x v="0"/>
    <m/>
    <m/>
    <m/>
    <m/>
    <n v="0"/>
    <s v="CO2E"/>
    <n v="1015.872"/>
    <n v="1430"/>
    <s v="KG"/>
    <n v="1"/>
    <n v="0.71040000000000003"/>
    <s v="AR4"/>
    <s v="IPCC"/>
    <s v="IPCC (2021)"/>
    <n v="2021"/>
    <n v="2007"/>
    <n v="1.0158719999999999"/>
    <n v="0"/>
    <x v="2"/>
    <s v="Labratory"/>
  </r>
  <r>
    <n v="5036"/>
    <s v="Top of Hierarchy &gt; Europe &gt; Vantage_Granollers"/>
    <x v="2"/>
    <x v="1"/>
    <d v="2021-01-01T00:00:00"/>
    <d v="2021-12-31T00:00:00"/>
    <x v="4"/>
    <d v="2021-01-01T00:00:00"/>
    <d v="2021-12-31T00:00:00"/>
    <s v="HFC-134a"/>
    <n v="0.71040000000000003"/>
    <s v="kilograms"/>
    <x v="0"/>
    <m/>
    <s v="2023-02-27, 16:28"/>
    <s v="2023-07-20, 00:40"/>
    <n v="2021"/>
    <s v="hfc-134a"/>
    <s v="HFC-134A"/>
    <s v="model"/>
    <b v="0"/>
    <s v="REFRIGERANT: R-134A"/>
    <x v="2"/>
    <x v="0"/>
    <m/>
    <m/>
    <m/>
    <m/>
    <n v="1"/>
    <s v="CO2E"/>
    <n v="1015.872"/>
    <n v="1430"/>
    <s v="KG"/>
    <n v="1"/>
    <n v="0.71040000000000003"/>
    <s v="AR4"/>
    <s v="IPCC"/>
    <s v="IPCC (2021)"/>
    <n v="2021"/>
    <n v="2007"/>
    <n v="0"/>
    <n v="1.0158719999999999"/>
    <x v="2"/>
    <s v="Labratory"/>
  </r>
  <r>
    <n v="295023"/>
    <s v="Top of Hierarchy &gt; Europe &gt; Vantage_Les Borges"/>
    <x v="0"/>
    <x v="0"/>
    <d v="2022-01-01T00:00:00"/>
    <d v="2022-12-31T00:00:00"/>
    <x v="0"/>
    <d v="2022-01-01T00:00:00"/>
    <d v="2022-12-31T00:00:00"/>
    <s v="Electricity (non-renewable)"/>
    <n v="138430"/>
    <s v="Kilowatt hours"/>
    <x v="1"/>
    <s v="See december invoice it says last year use is 138430 kWh"/>
    <s v="2023-05-10, 17:16"/>
    <s v="2023-07-20, 00:40"/>
    <n v="2022"/>
    <s v="electricity"/>
    <s v="Electricity"/>
    <s v="model"/>
    <b v="0"/>
    <s v="ELECTRICITY; SPAIN"/>
    <x v="0"/>
    <x v="0"/>
    <s v="Europe"/>
    <s v="Southern Europe"/>
    <s v="ES"/>
    <m/>
    <n v="0"/>
    <s v="CH4"/>
    <n v="41.529000000000003"/>
    <s v="RESTRICTED"/>
    <s v="KWH"/>
    <n v="1"/>
    <n v="138430"/>
    <s v="AR4"/>
    <s v="IEA"/>
    <s v="IEA (2022)"/>
    <n v="2022"/>
    <n v="2020"/>
    <n v="0"/>
    <n v="0"/>
    <x v="3"/>
    <s v="Office"/>
  </r>
  <r>
    <n v="295023"/>
    <s v="Top of Hierarchy &gt; Europe &gt; Vantage_Les Borges"/>
    <x v="0"/>
    <x v="0"/>
    <d v="2022-01-01T00:00:00"/>
    <d v="2022-12-31T00:00:00"/>
    <x v="0"/>
    <d v="2022-01-01T00:00:00"/>
    <d v="2022-12-31T00:00:00"/>
    <s v="Electricity (non-renewable)"/>
    <n v="138430"/>
    <s v="Kilowatt hours"/>
    <x v="1"/>
    <s v="See december invoice it says last year use is 138430 kWh"/>
    <s v="2023-05-10, 17:16"/>
    <s v="2023-07-20, 00:40"/>
    <n v="2022"/>
    <s v="electricity"/>
    <s v="Electricity"/>
    <s v="model"/>
    <b v="0"/>
    <s v="ELECTRICITY; SPAIN"/>
    <x v="0"/>
    <x v="0"/>
    <s v="Europe"/>
    <s v="Southern Europe"/>
    <s v="ES"/>
    <m/>
    <n v="0"/>
    <s v="CO2"/>
    <n v="20695.285"/>
    <s v="RESTRICTED"/>
    <s v="KWH"/>
    <n v="1"/>
    <n v="138430"/>
    <s v="AR4"/>
    <s v="IEA"/>
    <s v="IEA (2022)"/>
    <n v="2022"/>
    <n v="2020"/>
    <n v="0"/>
    <n v="0"/>
    <x v="3"/>
    <s v="Office"/>
  </r>
  <r>
    <n v="295023"/>
    <s v="Top of Hierarchy &gt; Europe &gt; Vantage_Les Borges"/>
    <x v="0"/>
    <x v="0"/>
    <d v="2022-01-01T00:00:00"/>
    <d v="2022-12-31T00:00:00"/>
    <x v="0"/>
    <d v="2022-01-01T00:00:00"/>
    <d v="2022-12-31T00:00:00"/>
    <s v="Electricity (non-renewable)"/>
    <n v="138430"/>
    <s v="Kilowatt hours"/>
    <x v="1"/>
    <s v="See december invoice it says last year use is 138430 kWh"/>
    <s v="2023-05-10, 17:16"/>
    <s v="2023-07-20, 00:40"/>
    <n v="2022"/>
    <s v="electricity"/>
    <s v="Electricity"/>
    <s v="model"/>
    <b v="0"/>
    <s v="ELECTRICITY; SPAIN"/>
    <x v="0"/>
    <x v="0"/>
    <s v="Europe"/>
    <s v="Southern Europe"/>
    <s v="ES"/>
    <m/>
    <n v="0"/>
    <s v="CO2E"/>
    <n v="20806.028999999999"/>
    <s v="RESTRICTED"/>
    <s v="KWH"/>
    <n v="1"/>
    <n v="138430"/>
    <s v="AR4"/>
    <s v="IEA"/>
    <s v="IEA (2022)"/>
    <n v="2022"/>
    <n v="2020"/>
    <n v="20.806028999999999"/>
    <n v="0"/>
    <x v="3"/>
    <s v="Office"/>
  </r>
  <r>
    <n v="295023"/>
    <s v="Top of Hierarchy &gt; Europe &gt; Vantage_Les Borges"/>
    <x v="0"/>
    <x v="0"/>
    <d v="2022-01-01T00:00:00"/>
    <d v="2022-12-31T00:00:00"/>
    <x v="0"/>
    <d v="2022-01-01T00:00:00"/>
    <d v="2022-12-31T00:00:00"/>
    <s v="Electricity (non-renewable)"/>
    <n v="138430"/>
    <s v="Kilowatt hours"/>
    <x v="1"/>
    <s v="See december invoice it says last year use is 138430 kWh"/>
    <s v="2023-05-10, 17:16"/>
    <s v="2023-07-20, 00:40"/>
    <n v="2022"/>
    <s v="electricity"/>
    <s v="Electricity"/>
    <s v="model"/>
    <b v="0"/>
    <s v="ELECTRICITY; SPAIN"/>
    <x v="0"/>
    <x v="0"/>
    <s v="Europe"/>
    <s v="Southern Europe"/>
    <s v="ES"/>
    <m/>
    <n v="0"/>
    <s v="N2O"/>
    <n v="69.215000000000003"/>
    <s v="RESTRICTED"/>
    <s v="KWH"/>
    <n v="1"/>
    <n v="138430"/>
    <s v="AR4"/>
    <s v="IEA"/>
    <s v="IEA (2022)"/>
    <n v="2022"/>
    <n v="2020"/>
    <n v="0"/>
    <n v="0"/>
    <x v="3"/>
    <s v="Office"/>
  </r>
  <r>
    <n v="295023"/>
    <s v="Top of Hierarchy &gt; Europe &gt; Vantage_Les Borges"/>
    <x v="0"/>
    <x v="0"/>
    <d v="2022-01-01T00:00:00"/>
    <d v="2022-12-31T00:00:00"/>
    <x v="0"/>
    <d v="2022-01-01T00:00:00"/>
    <d v="2022-12-31T00:00:00"/>
    <s v="Electricity (non-renewable)"/>
    <n v="138430"/>
    <s v="Kilowatt hours"/>
    <x v="1"/>
    <s v="See december invoice it says last year use is 138430 kWh"/>
    <s v="2023-05-10, 17:16"/>
    <s v="2023-07-20, 00:40"/>
    <n v="2022"/>
    <s v="electricity"/>
    <s v="Electricity"/>
    <s v="model"/>
    <b v="0"/>
    <s v="ELECTRICITY; SPAIN"/>
    <x v="0"/>
    <x v="0"/>
    <s v="Europe"/>
    <s v="Southern Europe"/>
    <s v="ES"/>
    <m/>
    <n v="1"/>
    <s v="CO2E MKT"/>
    <n v="41095.263500000001"/>
    <n v="0.29686674499999999"/>
    <s v="KWH"/>
    <n v="1"/>
    <n v="138430"/>
    <s v="AR4"/>
    <s v="AIB"/>
    <s v="AIB (2022)"/>
    <n v="2022"/>
    <n v="2021"/>
    <n v="0"/>
    <n v="41.095263500000001"/>
    <x v="3"/>
    <s v="Office"/>
  </r>
  <r>
    <n v="295023"/>
    <s v="Top of Hierarchy &gt; Europe &gt; Vantage_Les Borges"/>
    <x v="0"/>
    <x v="0"/>
    <d v="2022-01-01T00:00:00"/>
    <d v="2022-12-31T00:00:00"/>
    <x v="0"/>
    <d v="2022-01-01T00:00:00"/>
    <d v="2022-12-31T00:00:00"/>
    <s v="Electricity (non-renewable)"/>
    <n v="138430"/>
    <s v="Kilowatt hours"/>
    <x v="1"/>
    <s v="See december invoice it says last year use is 138430 kWh"/>
    <s v="2023-05-10, 17:16"/>
    <s v="2023-07-20, 00:40"/>
    <n v="2022"/>
    <s v="electricity__t+d__wtt"/>
    <s v="Electricity T&amp;D WTT"/>
    <s v="t+d_wtt"/>
    <b v="0"/>
    <s v="ELECTRICITY T&amp;D WTT; SPAIN"/>
    <x v="1"/>
    <x v="1"/>
    <s v="Europe"/>
    <s v="Southern Europe"/>
    <s v="ES"/>
    <m/>
    <n v="0"/>
    <s v="CO2E"/>
    <n v="636.96327440000005"/>
    <n v="4.601338E-3"/>
    <s v="KWH"/>
    <n v="1"/>
    <n v="138430"/>
    <s v="AR4"/>
    <s v="Anthesis"/>
    <s v="Anthesis (2022)"/>
    <n v="2022"/>
    <n v="2020"/>
    <n v="0.6369632744"/>
    <n v="0"/>
    <x v="3"/>
    <s v="Office"/>
  </r>
  <r>
    <n v="295023"/>
    <s v="Top of Hierarchy &gt; Europe &gt; Vantage_Les Borges"/>
    <x v="0"/>
    <x v="0"/>
    <d v="2022-01-01T00:00:00"/>
    <d v="2022-12-31T00:00:00"/>
    <x v="0"/>
    <d v="2022-01-01T00:00:00"/>
    <d v="2022-12-31T00:00:00"/>
    <s v="Electricity (non-renewable)"/>
    <n v="138430"/>
    <s v="Kilowatt hours"/>
    <x v="1"/>
    <s v="See december invoice it says last year use is 138430 kWh"/>
    <s v="2023-05-10, 17:16"/>
    <s v="2023-07-20, 00:40"/>
    <n v="2022"/>
    <s v="electricity__t+d__wtt"/>
    <s v="Electricity T&amp;D WTT"/>
    <s v="t+d_wtt"/>
    <b v="0"/>
    <s v="ELECTRICITY; SPAIN; T&amp;D WTT Estimated"/>
    <x v="1"/>
    <x v="1"/>
    <s v="Europe"/>
    <s v="Southern Europe"/>
    <s v="ES"/>
    <m/>
    <n v="1"/>
    <s v="CO2E MKT"/>
    <n v="328.75152159999999"/>
    <n v="2.3748570000000002E-3"/>
    <s v="KWH"/>
    <n v="1"/>
    <n v="138430"/>
    <s v="AR4"/>
    <s v="Anthesis"/>
    <s v="The T&amp;D WTT factor was calculated using the ratio: ELECTRICITY; SPAIN, IEA to ELECTRICITY; TRANSMISSION AND DISTRIBUTION; SPAIN, IEA CO2e factor"/>
    <n v="2022"/>
    <n v="2020"/>
    <n v="0"/>
    <n v="0.32875152159999999"/>
    <x v="3"/>
    <s v="Office"/>
  </r>
  <r>
    <n v="295023"/>
    <s v="Top of Hierarchy &gt; Europe &gt; Vantage_Les Borges"/>
    <x v="0"/>
    <x v="0"/>
    <d v="2022-01-01T00:00:00"/>
    <d v="2022-12-31T00:00:00"/>
    <x v="0"/>
    <d v="2022-01-01T00:00:00"/>
    <d v="2022-12-31T00:00:00"/>
    <s v="Electricity (non-renewable)"/>
    <n v="138430"/>
    <s v="Kilowatt hours"/>
    <x v="1"/>
    <s v="See december invoice it says last year use is 138430 kWh"/>
    <s v="2023-05-10, 17:16"/>
    <s v="2023-07-20, 00:40"/>
    <n v="2022"/>
    <s v="electricity__wtt"/>
    <s v="Electricity WTT"/>
    <s v="wtt"/>
    <b v="0"/>
    <s v="ELECTRICITY WTT; SPAIN"/>
    <x v="1"/>
    <x v="1"/>
    <s v="Europe"/>
    <s v="Southern Europe"/>
    <s v="ES"/>
    <m/>
    <n v="0"/>
    <s v="CO2E"/>
    <n v="6557.2315170000002"/>
    <n v="4.7368572999999997E-2"/>
    <s v="KWH"/>
    <n v="1"/>
    <n v="138430"/>
    <s v="AR4"/>
    <s v="Anthesis"/>
    <s v="Anthesis (2022)"/>
    <n v="2022"/>
    <n v="2020"/>
    <n v="6.557231517"/>
    <n v="0"/>
    <x v="3"/>
    <s v="Office"/>
  </r>
  <r>
    <n v="295023"/>
    <s v="Top of Hierarchy &gt; Europe &gt; Vantage_Les Borges"/>
    <x v="0"/>
    <x v="0"/>
    <d v="2022-01-01T00:00:00"/>
    <d v="2022-12-31T00:00:00"/>
    <x v="0"/>
    <d v="2022-01-01T00:00:00"/>
    <d v="2022-12-31T00:00:00"/>
    <s v="Electricity (non-renewable)"/>
    <n v="138430"/>
    <s v="Kilowatt hours"/>
    <x v="1"/>
    <s v="See december invoice it says last year use is 138430 kWh"/>
    <s v="2023-05-10, 17:16"/>
    <s v="2023-07-20, 00:40"/>
    <n v="2022"/>
    <s v="electricity__wtt"/>
    <s v="Electricity WTT"/>
    <s v="wtt"/>
    <b v="0"/>
    <s v="ELECTRICITY; SPAIN; WTT Estimated"/>
    <x v="1"/>
    <x v="1"/>
    <s v="Europe"/>
    <s v="Southern Europe"/>
    <s v="ES"/>
    <m/>
    <n v="1"/>
    <s v="CO2E MKT"/>
    <n v="12549.76397"/>
    <n v="9.0657834000000007E-2"/>
    <s v="KWH"/>
    <n v="1"/>
    <n v="138430"/>
    <s v="AR4"/>
    <s v="Anthesis"/>
    <s v="The WTT factor was calculated using the ratio: ELECTRICITY; SPAIN, IEA to WTT- UK &amp; OVERSEAS ELEC; WTT- OVERSEAS ELECTRICITY (GENERATION); ELECTRICITY: SPAIN, Defra CO2e factor"/>
    <n v="2022"/>
    <n v="2020"/>
    <n v="0"/>
    <n v="12.549763970000001"/>
    <x v="3"/>
    <s v="Office"/>
  </r>
  <r>
    <n v="295023"/>
    <s v="Top of Hierarchy &gt; Europe &gt; Vantage_Les Borges"/>
    <x v="0"/>
    <x v="0"/>
    <d v="2022-01-01T00:00:00"/>
    <d v="2022-12-31T00:00:00"/>
    <x v="0"/>
    <d v="2022-01-01T00:00:00"/>
    <d v="2022-12-31T00:00:00"/>
    <s v="Electricity (non-renewable)"/>
    <n v="138430"/>
    <s v="Kilowatt hours"/>
    <x v="1"/>
    <s v="See december invoice it says last year use is 138430 kWh"/>
    <s v="2023-05-10, 17:16"/>
    <s v="2023-07-20, 00:40"/>
    <n v="2022"/>
    <s v="electricity__t+d"/>
    <s v="Electricity T&amp;D"/>
    <s v="t+d"/>
    <b v="0"/>
    <s v="ELECTRICITY; TRANSMISSION AND DISTRIBUTION; SPAIN"/>
    <x v="1"/>
    <x v="1"/>
    <s v="Europe"/>
    <s v="Southern Europe"/>
    <s v="ES"/>
    <m/>
    <n v="0"/>
    <s v="CO2E"/>
    <n v="2021.078"/>
    <s v="RESTRICTED"/>
    <s v="KWH"/>
    <n v="1"/>
    <n v="138430"/>
    <s v="AR4"/>
    <s v="IEA"/>
    <s v="IEA (2022)"/>
    <n v="2022"/>
    <n v="2020"/>
    <n v="2.0210780000000002"/>
    <n v="0"/>
    <x v="3"/>
    <s v="Office"/>
  </r>
  <r>
    <n v="295023"/>
    <s v="Top of Hierarchy &gt; Europe &gt; Vantage_Les Borges"/>
    <x v="0"/>
    <x v="0"/>
    <d v="2022-01-01T00:00:00"/>
    <d v="2022-12-31T00:00:00"/>
    <x v="0"/>
    <d v="2022-01-01T00:00:00"/>
    <d v="2022-12-31T00:00:00"/>
    <s v="Electricity (non-renewable)"/>
    <n v="138430"/>
    <s v="Kilowatt hours"/>
    <x v="1"/>
    <s v="See december invoice it says last year use is 138430 kWh"/>
    <s v="2023-05-10, 17:16"/>
    <s v="2023-07-20, 00:40"/>
    <n v="2022"/>
    <s v="electricity__t+d"/>
    <s v="Electricity T&amp;D"/>
    <s v="t+d"/>
    <b v="0"/>
    <s v="ELECTRICITY; SPAIN; T&amp;D Estimated"/>
    <x v="1"/>
    <x v="1"/>
    <s v="Europe"/>
    <s v="Southern Europe"/>
    <s v="ES"/>
    <m/>
    <n v="1"/>
    <s v="CO2E MKT"/>
    <n v="3618.145317"/>
    <n v="2.6137002999999999E-2"/>
    <s v="KWH"/>
    <n v="1"/>
    <n v="138430"/>
    <s v="AR4"/>
    <s v="Anthesis"/>
    <s v="The T&amp;D factor was calculated using the ratio: ELECTRICITY; SPAIN, IEA to ELECTRICITY; TRANSMISSION AND DISTRIBUTION; SPAIN, IEA CO2e factor"/>
    <n v="2022"/>
    <n v="2020"/>
    <n v="0"/>
    <n v="3.6181453170000002"/>
    <x v="3"/>
    <s v="Office"/>
  </r>
  <r>
    <n v="295038"/>
    <s v="Top of Hierarchy &gt; Europe &gt; Vantage_Les Borges"/>
    <x v="0"/>
    <x v="0"/>
    <d v="2022-01-01T00:00:00"/>
    <d v="2022-12-31T00:00:00"/>
    <x v="3"/>
    <d v="2022-01-01T00:00:00"/>
    <d v="2022-12-31T00:00:00"/>
    <s v="Natural gas"/>
    <n v="476.67899999999997"/>
    <s v="Megawatt hours"/>
    <x v="1"/>
    <s v="MWh GNL - not sure what GNL means"/>
    <s v="2023-05-10, 17:42"/>
    <s v="2023-07-20, 00:40"/>
    <n v="2022"/>
    <s v="natural_gas"/>
    <s v="Natural Gas"/>
    <s v="model"/>
    <b v="0"/>
    <s v="FUELS; GASEOUS FUELS; NATURAL GAS"/>
    <x v="2"/>
    <x v="0"/>
    <s v="Europe"/>
    <m/>
    <m/>
    <m/>
    <n v="0"/>
    <s v="CH4"/>
    <n v="119.16974999999999"/>
    <n v="2.5000000000000001E-4"/>
    <s v="KWH (GROSS CV)"/>
    <n v="1000"/>
    <n v="476679"/>
    <s v="AR4"/>
    <s v="Defra"/>
    <s v="Defra (2022)"/>
    <n v="2022"/>
    <n v="2020"/>
    <n v="0"/>
    <n v="0"/>
    <x v="3"/>
    <s v="Office"/>
  </r>
  <r>
    <n v="295038"/>
    <s v="Top of Hierarchy &gt; Europe &gt; Vantage_Les Borges"/>
    <x v="0"/>
    <x v="0"/>
    <d v="2022-01-01T00:00:00"/>
    <d v="2022-12-31T00:00:00"/>
    <x v="3"/>
    <d v="2022-01-01T00:00:00"/>
    <d v="2022-12-31T00:00:00"/>
    <s v="Natural gas"/>
    <n v="476.67899999999997"/>
    <s v="Megawatt hours"/>
    <x v="1"/>
    <s v="MWh GNL - not sure what GNL means"/>
    <s v="2023-05-10, 17:42"/>
    <s v="2023-07-20, 00:40"/>
    <n v="2022"/>
    <s v="natural_gas"/>
    <s v="Natural Gas"/>
    <s v="model"/>
    <b v="0"/>
    <s v="FUELS; GASEOUS FUELS; NATURAL GAS"/>
    <x v="2"/>
    <x v="0"/>
    <s v="Europe"/>
    <m/>
    <m/>
    <m/>
    <n v="0"/>
    <s v="CO2"/>
    <n v="86846.147010000001"/>
    <n v="0.18218999999999999"/>
    <s v="KWH (GROSS CV)"/>
    <n v="1000"/>
    <n v="476679"/>
    <s v="AR4"/>
    <s v="Defra"/>
    <s v="Defra (2022)"/>
    <n v="2022"/>
    <n v="2020"/>
    <n v="0"/>
    <n v="0"/>
    <x v="3"/>
    <s v="Office"/>
  </r>
  <r>
    <n v="295038"/>
    <s v="Top of Hierarchy &gt; Europe &gt; Vantage_Les Borges"/>
    <x v="0"/>
    <x v="0"/>
    <d v="2022-01-01T00:00:00"/>
    <d v="2022-12-31T00:00:00"/>
    <x v="3"/>
    <d v="2022-01-01T00:00:00"/>
    <d v="2022-12-31T00:00:00"/>
    <s v="Natural gas"/>
    <n v="476.67899999999997"/>
    <s v="Megawatt hours"/>
    <x v="1"/>
    <s v="MWh GNL - not sure what GNL means"/>
    <s v="2023-05-10, 17:42"/>
    <s v="2023-07-20, 00:40"/>
    <n v="2022"/>
    <s v="natural_gas"/>
    <s v="Natural Gas"/>
    <s v="model"/>
    <b v="0"/>
    <s v="FUELS; GASEOUS FUELS; NATURAL GAS"/>
    <x v="2"/>
    <x v="0"/>
    <s v="Europe"/>
    <m/>
    <m/>
    <m/>
    <n v="0"/>
    <s v="CO2E"/>
    <n v="87012.984660000002"/>
    <n v="0.18254000000000001"/>
    <s v="KWH (GROSS CV)"/>
    <n v="1000"/>
    <n v="476679"/>
    <s v="AR4"/>
    <s v="Defra"/>
    <s v="Defra (2022)"/>
    <n v="2022"/>
    <n v="2020"/>
    <n v="87.012984660000001"/>
    <n v="0"/>
    <x v="3"/>
    <s v="Office"/>
  </r>
  <r>
    <n v="295038"/>
    <s v="Top of Hierarchy &gt; Europe &gt; Vantage_Les Borges"/>
    <x v="0"/>
    <x v="0"/>
    <d v="2022-01-01T00:00:00"/>
    <d v="2022-12-31T00:00:00"/>
    <x v="3"/>
    <d v="2022-01-01T00:00:00"/>
    <d v="2022-12-31T00:00:00"/>
    <s v="Natural gas"/>
    <n v="476.67899999999997"/>
    <s v="Megawatt hours"/>
    <x v="1"/>
    <s v="MWh GNL - not sure what GNL means"/>
    <s v="2023-05-10, 17:42"/>
    <s v="2023-07-20, 00:40"/>
    <n v="2022"/>
    <s v="natural_gas"/>
    <s v="Natural Gas"/>
    <s v="model"/>
    <b v="0"/>
    <s v="FUELS; GASEOUS FUELS; NATURAL GAS"/>
    <x v="2"/>
    <x v="0"/>
    <s v="Europe"/>
    <m/>
    <m/>
    <m/>
    <n v="0"/>
    <s v="N2O"/>
    <n v="47.667900000000003"/>
    <n v="1E-4"/>
    <s v="KWH (GROSS CV)"/>
    <n v="1000"/>
    <n v="476679"/>
    <s v="AR4"/>
    <s v="Defra"/>
    <s v="Defra (2022)"/>
    <n v="2022"/>
    <n v="2020"/>
    <n v="0"/>
    <n v="0"/>
    <x v="3"/>
    <s v="Office"/>
  </r>
  <r>
    <n v="295038"/>
    <s v="Top of Hierarchy &gt; Europe &gt; Vantage_Les Borges"/>
    <x v="0"/>
    <x v="0"/>
    <d v="2022-01-01T00:00:00"/>
    <d v="2022-12-31T00:00:00"/>
    <x v="3"/>
    <d v="2022-01-01T00:00:00"/>
    <d v="2022-12-31T00:00:00"/>
    <s v="Natural gas"/>
    <n v="476.67899999999997"/>
    <s v="Megawatt hours"/>
    <x v="1"/>
    <s v="MWh GNL - not sure what GNL means"/>
    <s v="2023-05-10, 17:42"/>
    <s v="2023-07-20, 00:40"/>
    <n v="2022"/>
    <s v="natural_gas"/>
    <s v="Natural Gas"/>
    <s v="model"/>
    <b v="0"/>
    <s v="FUELS; GASEOUS FUELS; NATURAL GAS"/>
    <x v="2"/>
    <x v="0"/>
    <s v="Europe"/>
    <m/>
    <m/>
    <m/>
    <n v="1"/>
    <s v="CH4"/>
    <n v="119.16974999999999"/>
    <n v="2.5000000000000001E-4"/>
    <s v="KWH (GROSS CV)"/>
    <n v="1000"/>
    <n v="476679"/>
    <s v="AR4"/>
    <s v="Defra"/>
    <s v="Defra (2022)"/>
    <n v="2022"/>
    <n v="2020"/>
    <n v="0"/>
    <n v="0"/>
    <x v="3"/>
    <s v="Office"/>
  </r>
  <r>
    <n v="295038"/>
    <s v="Top of Hierarchy &gt; Europe &gt; Vantage_Les Borges"/>
    <x v="0"/>
    <x v="0"/>
    <d v="2022-01-01T00:00:00"/>
    <d v="2022-12-31T00:00:00"/>
    <x v="3"/>
    <d v="2022-01-01T00:00:00"/>
    <d v="2022-12-31T00:00:00"/>
    <s v="Natural gas"/>
    <n v="476.67899999999997"/>
    <s v="Megawatt hours"/>
    <x v="1"/>
    <s v="MWh GNL - not sure what GNL means"/>
    <s v="2023-05-10, 17:42"/>
    <s v="2023-07-20, 00:40"/>
    <n v="2022"/>
    <s v="natural_gas"/>
    <s v="Natural Gas"/>
    <s v="model"/>
    <b v="0"/>
    <s v="FUELS; GASEOUS FUELS; NATURAL GAS"/>
    <x v="2"/>
    <x v="0"/>
    <s v="Europe"/>
    <m/>
    <m/>
    <m/>
    <n v="1"/>
    <s v="CO2"/>
    <n v="86846.147010000001"/>
    <n v="0.18218999999999999"/>
    <s v="KWH (GROSS CV)"/>
    <n v="1000"/>
    <n v="476679"/>
    <s v="AR4"/>
    <s v="Defra"/>
    <s v="Defra (2022)"/>
    <n v="2022"/>
    <n v="2020"/>
    <n v="0"/>
    <n v="0"/>
    <x v="3"/>
    <s v="Office"/>
  </r>
  <r>
    <n v="295038"/>
    <s v="Top of Hierarchy &gt; Europe &gt; Vantage_Les Borges"/>
    <x v="0"/>
    <x v="0"/>
    <d v="2022-01-01T00:00:00"/>
    <d v="2022-12-31T00:00:00"/>
    <x v="3"/>
    <d v="2022-01-01T00:00:00"/>
    <d v="2022-12-31T00:00:00"/>
    <s v="Natural gas"/>
    <n v="476.67899999999997"/>
    <s v="Megawatt hours"/>
    <x v="1"/>
    <s v="MWh GNL - not sure what GNL means"/>
    <s v="2023-05-10, 17:42"/>
    <s v="2023-07-20, 00:40"/>
    <n v="2022"/>
    <s v="natural_gas"/>
    <s v="Natural Gas"/>
    <s v="model"/>
    <b v="0"/>
    <s v="FUELS; GASEOUS FUELS; NATURAL GAS"/>
    <x v="2"/>
    <x v="0"/>
    <s v="Europe"/>
    <m/>
    <m/>
    <m/>
    <n v="1"/>
    <s v="CO2E"/>
    <n v="87012.984660000002"/>
    <n v="0.18254000000000001"/>
    <s v="KWH (GROSS CV)"/>
    <n v="1000"/>
    <n v="476679"/>
    <s v="AR4"/>
    <s v="Defra"/>
    <s v="Defra (2022)"/>
    <n v="2022"/>
    <n v="2020"/>
    <n v="0"/>
    <n v="87.012984660000001"/>
    <x v="3"/>
    <s v="Office"/>
  </r>
  <r>
    <n v="295038"/>
    <s v="Top of Hierarchy &gt; Europe &gt; Vantage_Les Borges"/>
    <x v="0"/>
    <x v="0"/>
    <d v="2022-01-01T00:00:00"/>
    <d v="2022-12-31T00:00:00"/>
    <x v="3"/>
    <d v="2022-01-01T00:00:00"/>
    <d v="2022-12-31T00:00:00"/>
    <s v="Natural gas"/>
    <n v="476.67899999999997"/>
    <s v="Megawatt hours"/>
    <x v="1"/>
    <s v="MWh GNL - not sure what GNL means"/>
    <s v="2023-05-10, 17:42"/>
    <s v="2023-07-20, 00:40"/>
    <n v="2022"/>
    <s v="natural_gas"/>
    <s v="Natural Gas"/>
    <s v="model"/>
    <b v="0"/>
    <s v="FUELS; GASEOUS FUELS; NATURAL GAS"/>
    <x v="2"/>
    <x v="0"/>
    <s v="Europe"/>
    <m/>
    <m/>
    <m/>
    <n v="1"/>
    <s v="N2O"/>
    <n v="47.667900000000003"/>
    <n v="1E-4"/>
    <s v="KWH (GROSS CV)"/>
    <n v="1000"/>
    <n v="476679"/>
    <s v="AR4"/>
    <s v="Defra"/>
    <s v="Defra (2022)"/>
    <n v="2022"/>
    <n v="2020"/>
    <n v="0"/>
    <n v="0"/>
    <x v="3"/>
    <s v="Office"/>
  </r>
  <r>
    <n v="295038"/>
    <s v="Top of Hierarchy &gt; Europe &gt; Vantage_Les Borges"/>
    <x v="0"/>
    <x v="0"/>
    <d v="2022-01-01T00:00:00"/>
    <d v="2022-12-31T00:00:00"/>
    <x v="3"/>
    <d v="2022-01-01T00:00:00"/>
    <d v="2022-12-31T00:00:00"/>
    <s v="Natural gas"/>
    <n v="476.67899999999997"/>
    <s v="Megawatt hours"/>
    <x v="1"/>
    <s v="MWh GNL - not sure what GNL means"/>
    <s v="2023-05-10, 17:42"/>
    <s v="2023-07-20, 00:40"/>
    <n v="2022"/>
    <s v="natural_gas__wtt"/>
    <s v="Natural Gas WTT"/>
    <s v="wtt"/>
    <b v="0"/>
    <s v="WTT- FUELS; GASEOUS FUELS; NATURAL GAS"/>
    <x v="1"/>
    <x v="1"/>
    <s v="Europe"/>
    <m/>
    <m/>
    <m/>
    <n v="0"/>
    <s v="CO2E"/>
    <n v="14824.716899999999"/>
    <n v="3.1099999999999999E-2"/>
    <s v="KWH (GROSS CV)"/>
    <n v="1000"/>
    <n v="476679"/>
    <s v="AR4"/>
    <s v="Defra"/>
    <s v="Defra (2022)"/>
    <n v="2022"/>
    <n v="2020"/>
    <n v="14.8247169"/>
    <n v="0"/>
    <x v="3"/>
    <s v="Office"/>
  </r>
  <r>
    <n v="295038"/>
    <s v="Top of Hierarchy &gt; Europe &gt; Vantage_Les Borges"/>
    <x v="0"/>
    <x v="0"/>
    <d v="2022-01-01T00:00:00"/>
    <d v="2022-12-31T00:00:00"/>
    <x v="3"/>
    <d v="2022-01-01T00:00:00"/>
    <d v="2022-12-31T00:00:00"/>
    <s v="Natural gas"/>
    <n v="476.67899999999997"/>
    <s v="Megawatt hours"/>
    <x v="1"/>
    <s v="MWh GNL - not sure what GNL means"/>
    <s v="2023-05-10, 17:42"/>
    <s v="2023-07-20, 00:40"/>
    <n v="2022"/>
    <s v="natural_gas__wtt"/>
    <s v="Natural Gas WTT"/>
    <s v="wtt"/>
    <b v="0"/>
    <s v="WTT- FUELS; GASEOUS FUELS; NATURAL GAS"/>
    <x v="1"/>
    <x v="1"/>
    <s v="Europe"/>
    <m/>
    <m/>
    <m/>
    <n v="1"/>
    <s v="CO2E"/>
    <n v="14824.716899999999"/>
    <n v="3.1099999999999999E-2"/>
    <s v="KWH (GROSS CV)"/>
    <n v="1000"/>
    <n v="476679"/>
    <s v="AR4"/>
    <s v="Defra"/>
    <s v="Defra (2022)"/>
    <n v="2022"/>
    <n v="2020"/>
    <n v="0"/>
    <n v="14.8247169"/>
    <x v="3"/>
    <s v="Office"/>
  </r>
  <r>
    <n v="295025"/>
    <s v="Top of Hierarchy &gt; Europe &gt; Vantage_Les Borges"/>
    <x v="0"/>
    <x v="0"/>
    <d v="2022-01-01T00:00:00"/>
    <d v="2022-12-31T00:00:00"/>
    <x v="1"/>
    <d v="2022-01-01T00:00:00"/>
    <d v="2022-12-31T00:00:00"/>
    <s v="Diesel (average biofuel blend)"/>
    <n v="0"/>
    <s v="cubic feet"/>
    <x v="1"/>
    <m/>
    <s v="2023-05-10, 17:17"/>
    <s v="2023-07-20, 00:40"/>
    <n v="2022"/>
    <s v="diesel_avg_biofuel_blend"/>
    <s v="Diesel (Average Biofuel Blend)"/>
    <s v="model"/>
    <b v="0"/>
    <s v="FUELS; LIQUID FUELS; DIESEL (AVERAGE BIOFUEL BLEND)"/>
    <x v="2"/>
    <x v="0"/>
    <s v="Europe"/>
    <m/>
    <m/>
    <m/>
    <n v="0"/>
    <s v="CH4"/>
    <n v="0"/>
    <n v="2.5999999999999998E-4"/>
    <s v="LITRES"/>
    <n v="28.316800000000001"/>
    <n v="0"/>
    <s v="AR4"/>
    <s v="Defra"/>
    <s v="Defra (2022)"/>
    <n v="2022"/>
    <n v="2020"/>
    <n v="0"/>
    <n v="0"/>
    <x v="3"/>
    <s v="Office"/>
  </r>
  <r>
    <n v="295025"/>
    <s v="Top of Hierarchy &gt; Europe &gt; Vantage_Les Borges"/>
    <x v="0"/>
    <x v="0"/>
    <d v="2022-01-01T00:00:00"/>
    <d v="2022-12-31T00:00:00"/>
    <x v="1"/>
    <d v="2022-01-01T00:00:00"/>
    <d v="2022-12-31T00:00:00"/>
    <s v="Diesel (average biofuel blend)"/>
    <n v="0"/>
    <s v="cubic feet"/>
    <x v="1"/>
    <m/>
    <s v="2023-05-10, 17:17"/>
    <s v="2023-07-20, 00:40"/>
    <n v="2022"/>
    <s v="diesel_avg_biofuel_blend"/>
    <s v="Diesel (Average Biofuel Blend)"/>
    <s v="model"/>
    <b v="0"/>
    <s v="FUELS; LIQUID FUELS; DIESEL (AVERAGE BIOFUEL BLEND)"/>
    <x v="2"/>
    <x v="0"/>
    <s v="Europe"/>
    <m/>
    <m/>
    <m/>
    <n v="0"/>
    <s v="CO2"/>
    <n v="0"/>
    <n v="2.5205799999999998"/>
    <s v="LITRES"/>
    <n v="28.316800000000001"/>
    <n v="0"/>
    <s v="AR4"/>
    <s v="Defra"/>
    <s v="Defra (2022)"/>
    <n v="2022"/>
    <n v="2020"/>
    <n v="0"/>
    <n v="0"/>
    <x v="3"/>
    <s v="Office"/>
  </r>
  <r>
    <n v="295025"/>
    <s v="Top of Hierarchy &gt; Europe &gt; Vantage_Les Borges"/>
    <x v="0"/>
    <x v="0"/>
    <d v="2022-01-01T00:00:00"/>
    <d v="2022-12-31T00:00:00"/>
    <x v="1"/>
    <d v="2022-01-01T00:00:00"/>
    <d v="2022-12-31T00:00:00"/>
    <s v="Diesel (average biofuel blend)"/>
    <n v="0"/>
    <s v="cubic feet"/>
    <x v="1"/>
    <m/>
    <s v="2023-05-10, 17:17"/>
    <s v="2023-07-20, 00:40"/>
    <n v="2022"/>
    <s v="diesel_avg_biofuel_blend"/>
    <s v="Diesel (Average Biofuel Blend)"/>
    <s v="model"/>
    <b v="0"/>
    <s v="FUELS; LIQUID FUELS; DIESEL (AVERAGE BIOFUEL BLEND)"/>
    <x v="2"/>
    <x v="0"/>
    <s v="Europe"/>
    <m/>
    <m/>
    <m/>
    <n v="0"/>
    <s v="CO2E"/>
    <n v="0"/>
    <n v="2.5578400000000001"/>
    <s v="LITRES"/>
    <n v="28.316800000000001"/>
    <n v="0"/>
    <s v="AR4"/>
    <s v="Defra"/>
    <s v="Defra (2022)"/>
    <n v="2022"/>
    <n v="2020"/>
    <n v="0"/>
    <n v="0"/>
    <x v="3"/>
    <s v="Office"/>
  </r>
  <r>
    <n v="295025"/>
    <s v="Top of Hierarchy &gt; Europe &gt; Vantage_Les Borges"/>
    <x v="0"/>
    <x v="0"/>
    <d v="2022-01-01T00:00:00"/>
    <d v="2022-12-31T00:00:00"/>
    <x v="1"/>
    <d v="2022-01-01T00:00:00"/>
    <d v="2022-12-31T00:00:00"/>
    <s v="Diesel (average biofuel blend)"/>
    <n v="0"/>
    <s v="cubic feet"/>
    <x v="1"/>
    <m/>
    <s v="2023-05-10, 17:17"/>
    <s v="2023-07-20, 00:40"/>
    <n v="2022"/>
    <s v="diesel_avg_biofuel_blend"/>
    <s v="Diesel (Average Biofuel Blend)"/>
    <s v="model"/>
    <b v="0"/>
    <s v="FUELS; LIQUID FUELS; DIESEL (AVERAGE BIOFUEL BLEND)"/>
    <x v="2"/>
    <x v="0"/>
    <s v="Europe"/>
    <m/>
    <m/>
    <m/>
    <n v="0"/>
    <s v="N2O"/>
    <n v="0"/>
    <n v="3.6999999999999998E-2"/>
    <s v="LITRES"/>
    <n v="28.316800000000001"/>
    <n v="0"/>
    <s v="AR4"/>
    <s v="Defra"/>
    <s v="Defra (2022)"/>
    <n v="2022"/>
    <n v="2020"/>
    <n v="0"/>
    <n v="0"/>
    <x v="3"/>
    <s v="Office"/>
  </r>
  <r>
    <n v="295025"/>
    <s v="Top of Hierarchy &gt; Europe &gt; Vantage_Les Borges"/>
    <x v="0"/>
    <x v="0"/>
    <d v="2022-01-01T00:00:00"/>
    <d v="2022-12-31T00:00:00"/>
    <x v="1"/>
    <d v="2022-01-01T00:00:00"/>
    <d v="2022-12-31T00:00:00"/>
    <s v="Diesel (average biofuel blend)"/>
    <n v="0"/>
    <s v="cubic feet"/>
    <x v="1"/>
    <m/>
    <s v="2023-05-10, 17:17"/>
    <s v="2023-07-20, 00:40"/>
    <n v="2022"/>
    <s v="diesel_avg_biofuel_blend"/>
    <s v="Diesel (Average Biofuel Blend)"/>
    <s v="model"/>
    <b v="0"/>
    <s v="FUELS; LIQUID FUELS; DIESEL (AVERAGE BIOFUEL BLEND)"/>
    <x v="2"/>
    <x v="0"/>
    <s v="Europe"/>
    <m/>
    <m/>
    <m/>
    <n v="1"/>
    <s v="CH4"/>
    <n v="0"/>
    <n v="2.5999999999999998E-4"/>
    <s v="LITRES"/>
    <n v="28.316800000000001"/>
    <n v="0"/>
    <s v="AR4"/>
    <s v="Defra"/>
    <s v="Defra (2022)"/>
    <n v="2022"/>
    <n v="2020"/>
    <n v="0"/>
    <n v="0"/>
    <x v="3"/>
    <s v="Office"/>
  </r>
  <r>
    <n v="295025"/>
    <s v="Top of Hierarchy &gt; Europe &gt; Vantage_Les Borges"/>
    <x v="0"/>
    <x v="0"/>
    <d v="2022-01-01T00:00:00"/>
    <d v="2022-12-31T00:00:00"/>
    <x v="1"/>
    <d v="2022-01-01T00:00:00"/>
    <d v="2022-12-31T00:00:00"/>
    <s v="Diesel (average biofuel blend)"/>
    <n v="0"/>
    <s v="cubic feet"/>
    <x v="1"/>
    <m/>
    <s v="2023-05-10, 17:17"/>
    <s v="2023-07-20, 00:40"/>
    <n v="2022"/>
    <s v="diesel_avg_biofuel_blend"/>
    <s v="Diesel (Average Biofuel Blend)"/>
    <s v="model"/>
    <b v="0"/>
    <s v="FUELS; LIQUID FUELS; DIESEL (AVERAGE BIOFUEL BLEND)"/>
    <x v="2"/>
    <x v="0"/>
    <s v="Europe"/>
    <m/>
    <m/>
    <m/>
    <n v="1"/>
    <s v="CO2"/>
    <n v="0"/>
    <n v="2.5205799999999998"/>
    <s v="LITRES"/>
    <n v="28.316800000000001"/>
    <n v="0"/>
    <s v="AR4"/>
    <s v="Defra"/>
    <s v="Defra (2022)"/>
    <n v="2022"/>
    <n v="2020"/>
    <n v="0"/>
    <n v="0"/>
    <x v="3"/>
    <s v="Office"/>
  </r>
  <r>
    <n v="295025"/>
    <s v="Top of Hierarchy &gt; Europe &gt; Vantage_Les Borges"/>
    <x v="0"/>
    <x v="0"/>
    <d v="2022-01-01T00:00:00"/>
    <d v="2022-12-31T00:00:00"/>
    <x v="1"/>
    <d v="2022-01-01T00:00:00"/>
    <d v="2022-12-31T00:00:00"/>
    <s v="Diesel (average biofuel blend)"/>
    <n v="0"/>
    <s v="cubic feet"/>
    <x v="1"/>
    <m/>
    <s v="2023-05-10, 17:17"/>
    <s v="2023-07-20, 00:40"/>
    <n v="2022"/>
    <s v="diesel_avg_biofuel_blend"/>
    <s v="Diesel (Average Biofuel Blend)"/>
    <s v="model"/>
    <b v="0"/>
    <s v="FUELS; LIQUID FUELS; DIESEL (AVERAGE BIOFUEL BLEND)"/>
    <x v="2"/>
    <x v="0"/>
    <s v="Europe"/>
    <m/>
    <m/>
    <m/>
    <n v="1"/>
    <s v="CO2E"/>
    <n v="0"/>
    <n v="2.5578400000000001"/>
    <s v="LITRES"/>
    <n v="28.316800000000001"/>
    <n v="0"/>
    <s v="AR4"/>
    <s v="Defra"/>
    <s v="Defra (2022)"/>
    <n v="2022"/>
    <n v="2020"/>
    <n v="0"/>
    <n v="0"/>
    <x v="3"/>
    <s v="Office"/>
  </r>
  <r>
    <n v="295025"/>
    <s v="Top of Hierarchy &gt; Europe &gt; Vantage_Les Borges"/>
    <x v="0"/>
    <x v="0"/>
    <d v="2022-01-01T00:00:00"/>
    <d v="2022-12-31T00:00:00"/>
    <x v="1"/>
    <d v="2022-01-01T00:00:00"/>
    <d v="2022-12-31T00:00:00"/>
    <s v="Diesel (average biofuel blend)"/>
    <n v="0"/>
    <s v="cubic feet"/>
    <x v="1"/>
    <m/>
    <s v="2023-05-10, 17:17"/>
    <s v="2023-07-20, 00:40"/>
    <n v="2022"/>
    <s v="diesel_avg_biofuel_blend"/>
    <s v="Diesel (Average Biofuel Blend)"/>
    <s v="model"/>
    <b v="0"/>
    <s v="FUELS; LIQUID FUELS; DIESEL (AVERAGE BIOFUEL BLEND)"/>
    <x v="2"/>
    <x v="0"/>
    <s v="Europe"/>
    <m/>
    <m/>
    <m/>
    <n v="1"/>
    <s v="N2O"/>
    <n v="0"/>
    <n v="3.6999999999999998E-2"/>
    <s v="LITRES"/>
    <n v="28.316800000000001"/>
    <n v="0"/>
    <s v="AR4"/>
    <s v="Defra"/>
    <s v="Defra (2022)"/>
    <n v="2022"/>
    <n v="2020"/>
    <n v="0"/>
    <n v="0"/>
    <x v="3"/>
    <s v="Office"/>
  </r>
  <r>
    <n v="295025"/>
    <s v="Top of Hierarchy &gt; Europe &gt; Vantage_Les Borges"/>
    <x v="0"/>
    <x v="0"/>
    <d v="2022-01-01T00:00:00"/>
    <d v="2022-12-31T00:00:00"/>
    <x v="1"/>
    <d v="2022-01-01T00:00:00"/>
    <d v="2022-12-31T00:00:00"/>
    <s v="Diesel (average biofuel blend)"/>
    <n v="0"/>
    <s v="cubic feet"/>
    <x v="1"/>
    <m/>
    <s v="2023-05-10, 17:17"/>
    <s v="2023-07-20, 00:40"/>
    <n v="2022"/>
    <s v="diesel_avg_biofuel_blend__wtt"/>
    <s v="Diesel (Average Biofuel Blend) WTT"/>
    <s v="wtt"/>
    <b v="0"/>
    <s v="WTT- FUELS; LIQUID FUELS; DIESEL (AVERAGE BIOFUEL BLEND)"/>
    <x v="1"/>
    <x v="1"/>
    <s v="Europe"/>
    <m/>
    <m/>
    <m/>
    <n v="0"/>
    <s v="CO2E"/>
    <n v="0"/>
    <n v="0.60985999999999996"/>
    <s v="LITRES"/>
    <n v="28.316800000000001"/>
    <n v="0"/>
    <s v="AR4"/>
    <s v="Defra"/>
    <s v="Defra (2022)"/>
    <n v="2022"/>
    <n v="2020"/>
    <n v="0"/>
    <n v="0"/>
    <x v="3"/>
    <s v="Office"/>
  </r>
  <r>
    <n v="295025"/>
    <s v="Top of Hierarchy &gt; Europe &gt; Vantage_Les Borges"/>
    <x v="0"/>
    <x v="0"/>
    <d v="2022-01-01T00:00:00"/>
    <d v="2022-12-31T00:00:00"/>
    <x v="1"/>
    <d v="2022-01-01T00:00:00"/>
    <d v="2022-12-31T00:00:00"/>
    <s v="Diesel (average biofuel blend)"/>
    <n v="0"/>
    <s v="cubic feet"/>
    <x v="1"/>
    <m/>
    <s v="2023-05-10, 17:17"/>
    <s v="2023-07-20, 00:40"/>
    <n v="2022"/>
    <s v="diesel_avg_biofuel_blend__wtt"/>
    <s v="Diesel (Average Biofuel Blend) WTT"/>
    <s v="wtt"/>
    <b v="0"/>
    <s v="WTT- FUELS; LIQUID FUELS; DIESEL (AVERAGE BIOFUEL BLEND)"/>
    <x v="1"/>
    <x v="1"/>
    <s v="Europe"/>
    <m/>
    <m/>
    <m/>
    <n v="1"/>
    <s v="CO2E"/>
    <n v="0"/>
    <n v="0.60985999999999996"/>
    <s v="LITRES"/>
    <n v="28.316800000000001"/>
    <n v="0"/>
    <s v="AR4"/>
    <s v="Defra"/>
    <s v="Defra (2022)"/>
    <n v="2022"/>
    <n v="2020"/>
    <n v="0"/>
    <n v="0"/>
    <x v="3"/>
    <s v="Office"/>
  </r>
  <r>
    <n v="1230923"/>
    <s v="Top of Hierarchy &gt; Europe &gt; Vantage_Les Borges"/>
    <x v="0"/>
    <x v="0"/>
    <d v="2022-01-01T00:00:00"/>
    <d v="2022-12-31T00:00:00"/>
    <x v="4"/>
    <d v="2022-01-01T00:00:00"/>
    <d v="2022-12-31T00:00:00"/>
    <s v="R410A"/>
    <n v="0.3"/>
    <s v="kilograms"/>
    <x v="0"/>
    <m/>
    <s v="2023-07-18, 19:02"/>
    <s v="2023-07-20, 00:40"/>
    <n v="2022"/>
    <s v="r410a"/>
    <s v="R410A"/>
    <s v="model"/>
    <b v="0"/>
    <s v="REFRIGERANT: R-410A"/>
    <x v="2"/>
    <x v="0"/>
    <m/>
    <m/>
    <m/>
    <m/>
    <n v="0"/>
    <s v="CO2E"/>
    <n v="626.4"/>
    <n v="2088"/>
    <s v="KG"/>
    <n v="1"/>
    <n v="0.3"/>
    <s v="AR4"/>
    <s v="IPCC"/>
    <s v="IPCC (2021)"/>
    <n v="2022"/>
    <n v="2007"/>
    <n v="0.62639999999999996"/>
    <n v="0"/>
    <x v="3"/>
    <s v="Office"/>
  </r>
  <r>
    <n v="1230923"/>
    <s v="Top of Hierarchy &gt; Europe &gt; Vantage_Les Borges"/>
    <x v="0"/>
    <x v="0"/>
    <d v="2022-01-01T00:00:00"/>
    <d v="2022-12-31T00:00:00"/>
    <x v="4"/>
    <d v="2022-01-01T00:00:00"/>
    <d v="2022-12-31T00:00:00"/>
    <s v="R410A"/>
    <n v="0.3"/>
    <s v="kilograms"/>
    <x v="0"/>
    <m/>
    <s v="2023-07-18, 19:02"/>
    <s v="2023-07-20, 00:40"/>
    <n v="2022"/>
    <s v="r410a"/>
    <s v="R410A"/>
    <s v="model"/>
    <b v="0"/>
    <s v="REFRIGERANT: R-410A"/>
    <x v="2"/>
    <x v="0"/>
    <m/>
    <m/>
    <m/>
    <m/>
    <n v="1"/>
    <s v="CO2E"/>
    <n v="626.4"/>
    <n v="2088"/>
    <s v="KG"/>
    <n v="1"/>
    <n v="0.3"/>
    <s v="AR4"/>
    <s v="IPCC"/>
    <s v="IPCC (2021)"/>
    <n v="2022"/>
    <n v="2007"/>
    <n v="0"/>
    <n v="0.62639999999999996"/>
    <x v="3"/>
    <s v="Office"/>
  </r>
  <r>
    <n v="295029"/>
    <s v="Top of Hierarchy &gt; Europe &gt; Vantage_Les Borges"/>
    <x v="0"/>
    <x v="0"/>
    <d v="2022-01-01T00:00:00"/>
    <d v="2022-12-31T00:00:00"/>
    <x v="2"/>
    <d v="2022-01-01T00:00:00"/>
    <d v="2022-12-31T00:00:00"/>
    <s v="Propane"/>
    <n v="0"/>
    <s v="Hundred Thousand BTUs"/>
    <x v="1"/>
    <m/>
    <s v="2023-05-10, 17:17"/>
    <s v="2023-07-20, 00:40"/>
    <n v="2022"/>
    <s v="propane"/>
    <s v="Propane"/>
    <s v="model"/>
    <b v="0"/>
    <s v="FUELS; GASEOUS FUELS; PROPANE"/>
    <x v="2"/>
    <x v="0"/>
    <s v="Europe"/>
    <m/>
    <m/>
    <m/>
    <n v="0"/>
    <s v="CH4"/>
    <n v="0"/>
    <n v="1.6000000000000001E-4"/>
    <s v="KWH (GROSS CV)"/>
    <n v="29.3001"/>
    <n v="0"/>
    <s v="AR4"/>
    <s v="Defra"/>
    <s v="Defra (2022)"/>
    <n v="2022"/>
    <n v="2020"/>
    <n v="0"/>
    <n v="0"/>
    <x v="3"/>
    <s v="Office"/>
  </r>
  <r>
    <n v="295029"/>
    <s v="Top of Hierarchy &gt; Europe &gt; Vantage_Les Borges"/>
    <x v="0"/>
    <x v="0"/>
    <d v="2022-01-01T00:00:00"/>
    <d v="2022-12-31T00:00:00"/>
    <x v="2"/>
    <d v="2022-01-01T00:00:00"/>
    <d v="2022-12-31T00:00:00"/>
    <s v="Propane"/>
    <n v="0"/>
    <s v="Hundred Thousand BTUs"/>
    <x v="1"/>
    <m/>
    <s v="2023-05-10, 17:17"/>
    <s v="2023-07-20, 00:40"/>
    <n v="2022"/>
    <s v="propane"/>
    <s v="Propane"/>
    <s v="model"/>
    <b v="0"/>
    <s v="FUELS; GASEOUS FUELS; PROPANE"/>
    <x v="2"/>
    <x v="0"/>
    <s v="Europe"/>
    <m/>
    <m/>
    <m/>
    <n v="0"/>
    <s v="CO2"/>
    <n v="0"/>
    <n v="0.21381"/>
    <s v="KWH (GROSS CV)"/>
    <n v="29.3001"/>
    <n v="0"/>
    <s v="AR4"/>
    <s v="Defra"/>
    <s v="Defra (2022)"/>
    <n v="2022"/>
    <n v="2020"/>
    <n v="0"/>
    <n v="0"/>
    <x v="3"/>
    <s v="Office"/>
  </r>
  <r>
    <n v="295029"/>
    <s v="Top of Hierarchy &gt; Europe &gt; Vantage_Les Borges"/>
    <x v="0"/>
    <x v="0"/>
    <d v="2022-01-01T00:00:00"/>
    <d v="2022-12-31T00:00:00"/>
    <x v="2"/>
    <d v="2022-01-01T00:00:00"/>
    <d v="2022-12-31T00:00:00"/>
    <s v="Propane"/>
    <n v="0"/>
    <s v="Hundred Thousand BTUs"/>
    <x v="1"/>
    <m/>
    <s v="2023-05-10, 17:17"/>
    <s v="2023-07-20, 00:40"/>
    <n v="2022"/>
    <s v="propane"/>
    <s v="Propane"/>
    <s v="model"/>
    <b v="0"/>
    <s v="FUELS; GASEOUS FUELS; PROPANE"/>
    <x v="2"/>
    <x v="0"/>
    <s v="Europe"/>
    <m/>
    <m/>
    <m/>
    <n v="0"/>
    <s v="CO2E"/>
    <n v="0"/>
    <n v="0.21410000000000001"/>
    <s v="KWH (GROSS CV)"/>
    <n v="29.3001"/>
    <n v="0"/>
    <s v="AR4"/>
    <s v="Defra"/>
    <s v="Defra (2022)"/>
    <n v="2022"/>
    <n v="2020"/>
    <n v="0"/>
    <n v="0"/>
    <x v="3"/>
    <s v="Office"/>
  </r>
  <r>
    <n v="295029"/>
    <s v="Top of Hierarchy &gt; Europe &gt; Vantage_Les Borges"/>
    <x v="0"/>
    <x v="0"/>
    <d v="2022-01-01T00:00:00"/>
    <d v="2022-12-31T00:00:00"/>
    <x v="2"/>
    <d v="2022-01-01T00:00:00"/>
    <d v="2022-12-31T00:00:00"/>
    <s v="Propane"/>
    <n v="0"/>
    <s v="Hundred Thousand BTUs"/>
    <x v="1"/>
    <m/>
    <s v="2023-05-10, 17:17"/>
    <s v="2023-07-20, 00:40"/>
    <n v="2022"/>
    <s v="propane"/>
    <s v="Propane"/>
    <s v="model"/>
    <b v="0"/>
    <s v="FUELS; GASEOUS FUELS; PROPANE"/>
    <x v="2"/>
    <x v="0"/>
    <s v="Europe"/>
    <m/>
    <m/>
    <m/>
    <n v="0"/>
    <s v="N2O"/>
    <n v="0"/>
    <n v="1.2999999999999999E-4"/>
    <s v="KWH (GROSS CV)"/>
    <n v="29.3001"/>
    <n v="0"/>
    <s v="AR4"/>
    <s v="Defra"/>
    <s v="Defra (2022)"/>
    <n v="2022"/>
    <n v="2020"/>
    <n v="0"/>
    <n v="0"/>
    <x v="3"/>
    <s v="Office"/>
  </r>
  <r>
    <n v="295029"/>
    <s v="Top of Hierarchy &gt; Europe &gt; Vantage_Les Borges"/>
    <x v="0"/>
    <x v="0"/>
    <d v="2022-01-01T00:00:00"/>
    <d v="2022-12-31T00:00:00"/>
    <x v="2"/>
    <d v="2022-01-01T00:00:00"/>
    <d v="2022-12-31T00:00:00"/>
    <s v="Propane"/>
    <n v="0"/>
    <s v="Hundred Thousand BTUs"/>
    <x v="1"/>
    <m/>
    <s v="2023-05-10, 17:17"/>
    <s v="2023-07-20, 00:40"/>
    <n v="2022"/>
    <s v="propane"/>
    <s v="Propane"/>
    <s v="model"/>
    <b v="0"/>
    <s v="FUELS; GASEOUS FUELS; PROPANE"/>
    <x v="2"/>
    <x v="0"/>
    <s v="Europe"/>
    <m/>
    <m/>
    <m/>
    <n v="1"/>
    <s v="CH4"/>
    <n v="0"/>
    <n v="1.6000000000000001E-4"/>
    <s v="KWH (GROSS CV)"/>
    <n v="29.3001"/>
    <n v="0"/>
    <s v="AR4"/>
    <s v="Defra"/>
    <s v="Defra (2022)"/>
    <n v="2022"/>
    <n v="2020"/>
    <n v="0"/>
    <n v="0"/>
    <x v="3"/>
    <s v="Office"/>
  </r>
  <r>
    <n v="295029"/>
    <s v="Top of Hierarchy &gt; Europe &gt; Vantage_Les Borges"/>
    <x v="0"/>
    <x v="0"/>
    <d v="2022-01-01T00:00:00"/>
    <d v="2022-12-31T00:00:00"/>
    <x v="2"/>
    <d v="2022-01-01T00:00:00"/>
    <d v="2022-12-31T00:00:00"/>
    <s v="Propane"/>
    <n v="0"/>
    <s v="Hundred Thousand BTUs"/>
    <x v="1"/>
    <m/>
    <s v="2023-05-10, 17:17"/>
    <s v="2023-07-20, 00:40"/>
    <n v="2022"/>
    <s v="propane"/>
    <s v="Propane"/>
    <s v="model"/>
    <b v="0"/>
    <s v="FUELS; GASEOUS FUELS; PROPANE"/>
    <x v="2"/>
    <x v="0"/>
    <s v="Europe"/>
    <m/>
    <m/>
    <m/>
    <n v="1"/>
    <s v="CO2"/>
    <n v="0"/>
    <n v="0.21381"/>
    <s v="KWH (GROSS CV)"/>
    <n v="29.3001"/>
    <n v="0"/>
    <s v="AR4"/>
    <s v="Defra"/>
    <s v="Defra (2022)"/>
    <n v="2022"/>
    <n v="2020"/>
    <n v="0"/>
    <n v="0"/>
    <x v="3"/>
    <s v="Office"/>
  </r>
  <r>
    <n v="295029"/>
    <s v="Top of Hierarchy &gt; Europe &gt; Vantage_Les Borges"/>
    <x v="0"/>
    <x v="0"/>
    <d v="2022-01-01T00:00:00"/>
    <d v="2022-12-31T00:00:00"/>
    <x v="2"/>
    <d v="2022-01-01T00:00:00"/>
    <d v="2022-12-31T00:00:00"/>
    <s v="Propane"/>
    <n v="0"/>
    <s v="Hundred Thousand BTUs"/>
    <x v="1"/>
    <m/>
    <s v="2023-05-10, 17:17"/>
    <s v="2023-07-20, 00:40"/>
    <n v="2022"/>
    <s v="propane"/>
    <s v="Propane"/>
    <s v="model"/>
    <b v="0"/>
    <s v="FUELS; GASEOUS FUELS; PROPANE"/>
    <x v="2"/>
    <x v="0"/>
    <s v="Europe"/>
    <m/>
    <m/>
    <m/>
    <n v="1"/>
    <s v="CO2E"/>
    <n v="0"/>
    <n v="0.21410000000000001"/>
    <s v="KWH (GROSS CV)"/>
    <n v="29.3001"/>
    <n v="0"/>
    <s v="AR4"/>
    <s v="Defra"/>
    <s v="Defra (2022)"/>
    <n v="2022"/>
    <n v="2020"/>
    <n v="0"/>
    <n v="0"/>
    <x v="3"/>
    <s v="Office"/>
  </r>
  <r>
    <n v="295029"/>
    <s v="Top of Hierarchy &gt; Europe &gt; Vantage_Les Borges"/>
    <x v="0"/>
    <x v="0"/>
    <d v="2022-01-01T00:00:00"/>
    <d v="2022-12-31T00:00:00"/>
    <x v="2"/>
    <d v="2022-01-01T00:00:00"/>
    <d v="2022-12-31T00:00:00"/>
    <s v="Propane"/>
    <n v="0"/>
    <s v="Hundred Thousand BTUs"/>
    <x v="1"/>
    <m/>
    <s v="2023-05-10, 17:17"/>
    <s v="2023-07-20, 00:40"/>
    <n v="2022"/>
    <s v="propane"/>
    <s v="Propane"/>
    <s v="model"/>
    <b v="0"/>
    <s v="FUELS; GASEOUS FUELS; PROPANE"/>
    <x v="2"/>
    <x v="0"/>
    <s v="Europe"/>
    <m/>
    <m/>
    <m/>
    <n v="1"/>
    <s v="N2O"/>
    <n v="0"/>
    <n v="1.2999999999999999E-4"/>
    <s v="KWH (GROSS CV)"/>
    <n v="29.3001"/>
    <n v="0"/>
    <s v="AR4"/>
    <s v="Defra"/>
    <s v="Defra (2022)"/>
    <n v="2022"/>
    <n v="2020"/>
    <n v="0"/>
    <n v="0"/>
    <x v="3"/>
    <s v="Office"/>
  </r>
  <r>
    <n v="295029"/>
    <s v="Top of Hierarchy &gt; Europe &gt; Vantage_Les Borges"/>
    <x v="0"/>
    <x v="0"/>
    <d v="2022-01-01T00:00:00"/>
    <d v="2022-12-31T00:00:00"/>
    <x v="2"/>
    <d v="2022-01-01T00:00:00"/>
    <d v="2022-12-31T00:00:00"/>
    <s v="Propane"/>
    <n v="0"/>
    <s v="Hundred Thousand BTUs"/>
    <x v="1"/>
    <m/>
    <s v="2023-05-10, 17:17"/>
    <s v="2023-07-20, 00:40"/>
    <n v="2022"/>
    <s v="propane__wtt"/>
    <s v="Propane WTT"/>
    <s v="wtt"/>
    <b v="0"/>
    <s v="WTT- FUELS; GASEOUS FUELS; PROPANE"/>
    <x v="1"/>
    <x v="1"/>
    <s v="Europe"/>
    <m/>
    <m/>
    <m/>
    <n v="0"/>
    <s v="CO2E"/>
    <n v="0"/>
    <n v="2.503E-2"/>
    <s v="KWH (GROSS CV)"/>
    <n v="29.3001"/>
    <n v="0"/>
    <s v="AR4"/>
    <s v="Defra"/>
    <s v="Defra (2022)"/>
    <n v="2022"/>
    <n v="2020"/>
    <n v="0"/>
    <n v="0"/>
    <x v="3"/>
    <s v="Office"/>
  </r>
  <r>
    <n v="295029"/>
    <s v="Top of Hierarchy &gt; Europe &gt; Vantage_Les Borges"/>
    <x v="0"/>
    <x v="0"/>
    <d v="2022-01-01T00:00:00"/>
    <d v="2022-12-31T00:00:00"/>
    <x v="2"/>
    <d v="2022-01-01T00:00:00"/>
    <d v="2022-12-31T00:00:00"/>
    <s v="Propane"/>
    <n v="0"/>
    <s v="Hundred Thousand BTUs"/>
    <x v="1"/>
    <m/>
    <s v="2023-05-10, 17:17"/>
    <s v="2023-07-20, 00:40"/>
    <n v="2022"/>
    <s v="propane__wtt"/>
    <s v="Propane WTT"/>
    <s v="wtt"/>
    <b v="0"/>
    <s v="WTT- FUELS; GASEOUS FUELS; PROPANE"/>
    <x v="1"/>
    <x v="1"/>
    <s v="Europe"/>
    <m/>
    <m/>
    <m/>
    <n v="1"/>
    <s v="CO2E"/>
    <n v="0"/>
    <n v="2.503E-2"/>
    <s v="KWH (GROSS CV)"/>
    <n v="29.3001"/>
    <n v="0"/>
    <s v="AR4"/>
    <s v="Defra"/>
    <s v="Defra (2022)"/>
    <n v="2022"/>
    <n v="2020"/>
    <n v="0"/>
    <n v="0"/>
    <x v="3"/>
    <s v="Office"/>
  </r>
  <r>
    <n v="4953"/>
    <s v="Top of Hierarchy &gt; Europe &gt; Vantage_Les Borges"/>
    <x v="0"/>
    <x v="1"/>
    <d v="2021-01-01T00:00:00"/>
    <d v="2021-12-31T00:00:00"/>
    <x v="0"/>
    <d v="2021-01-01T00:00:00"/>
    <d v="2021-12-31T00:00:00"/>
    <s v="Electricity (non-renewable)"/>
    <n v="208000"/>
    <s v="Kilowatt hours"/>
    <x v="1"/>
    <s v="Was confirmed 208 MWh from site; attached invoices allow you estimate using histogram, comes around ~208"/>
    <s v="2023-02-27, 16:27"/>
    <s v="2023-07-20, 00:40"/>
    <n v="2021"/>
    <s v="electricity"/>
    <s v="Electricity"/>
    <s v="model"/>
    <b v="0"/>
    <s v="ELECTRICITY; SPAIN"/>
    <x v="0"/>
    <x v="0"/>
    <s v="Europe"/>
    <s v="Southern Europe"/>
    <s v="ES"/>
    <m/>
    <n v="0"/>
    <s v="CH4"/>
    <n v="62.4"/>
    <s v="RESTRICTED"/>
    <s v="KWH"/>
    <n v="1"/>
    <n v="208000"/>
    <s v="AR4"/>
    <s v="IEA"/>
    <s v="IEA (2021)"/>
    <n v="2021"/>
    <n v="2019"/>
    <n v="0"/>
    <n v="0"/>
    <x v="3"/>
    <s v="Office"/>
  </r>
  <r>
    <n v="4953"/>
    <s v="Top of Hierarchy &gt; Europe &gt; Vantage_Les Borges"/>
    <x v="0"/>
    <x v="1"/>
    <d v="2021-01-01T00:00:00"/>
    <d v="2021-12-31T00:00:00"/>
    <x v="0"/>
    <d v="2021-01-01T00:00:00"/>
    <d v="2021-12-31T00:00:00"/>
    <s v="Electricity (non-renewable)"/>
    <n v="208000"/>
    <s v="Kilowatt hours"/>
    <x v="1"/>
    <s v="Was confirmed 208 MWh from site; attached invoices allow you estimate using histogram, comes around ~208"/>
    <s v="2023-02-27, 16:27"/>
    <s v="2023-07-20, 00:40"/>
    <n v="2021"/>
    <s v="electricity"/>
    <s v="Electricity"/>
    <s v="model"/>
    <b v="0"/>
    <s v="ELECTRICITY; SPAIN"/>
    <x v="0"/>
    <x v="0"/>
    <s v="Europe"/>
    <s v="Southern Europe"/>
    <s v="ES"/>
    <m/>
    <n v="0"/>
    <s v="CO2"/>
    <n v="39873.599999999999"/>
    <s v="RESTRICTED"/>
    <s v="KWH"/>
    <n v="1"/>
    <n v="208000"/>
    <s v="AR4"/>
    <s v="IEA"/>
    <s v="IEA (2021)"/>
    <n v="2021"/>
    <n v="2019"/>
    <n v="0"/>
    <n v="0"/>
    <x v="3"/>
    <s v="Office"/>
  </r>
  <r>
    <n v="4953"/>
    <s v="Top of Hierarchy &gt; Europe &gt; Vantage_Les Borges"/>
    <x v="0"/>
    <x v="1"/>
    <d v="2021-01-01T00:00:00"/>
    <d v="2021-12-31T00:00:00"/>
    <x v="0"/>
    <d v="2021-01-01T00:00:00"/>
    <d v="2021-12-31T00:00:00"/>
    <s v="Electricity (non-renewable)"/>
    <n v="208000"/>
    <s v="Kilowatt hours"/>
    <x v="1"/>
    <s v="Was confirmed 208 MWh from site; attached invoices allow you estimate using histogram, comes around ~208"/>
    <s v="2023-02-27, 16:27"/>
    <s v="2023-07-20, 00:40"/>
    <n v="2021"/>
    <s v="electricity"/>
    <s v="Electricity"/>
    <s v="model"/>
    <b v="0"/>
    <s v="ELECTRICITY; SPAIN"/>
    <x v="0"/>
    <x v="0"/>
    <s v="Europe"/>
    <s v="Southern Europe"/>
    <s v="ES"/>
    <m/>
    <n v="0"/>
    <s v="CO2E"/>
    <n v="40060.800000000003"/>
    <s v="RESTRICTED"/>
    <s v="KWH"/>
    <n v="1"/>
    <n v="208000"/>
    <s v="AR4"/>
    <s v="IEA"/>
    <s v="IEA (2021)"/>
    <n v="2021"/>
    <n v="2019"/>
    <n v="40.0608"/>
    <n v="0"/>
    <x v="3"/>
    <s v="Office"/>
  </r>
  <r>
    <n v="4953"/>
    <s v="Top of Hierarchy &gt; Europe &gt; Vantage_Les Borges"/>
    <x v="0"/>
    <x v="1"/>
    <d v="2021-01-01T00:00:00"/>
    <d v="2021-12-31T00:00:00"/>
    <x v="0"/>
    <d v="2021-01-01T00:00:00"/>
    <d v="2021-12-31T00:00:00"/>
    <s v="Electricity (non-renewable)"/>
    <n v="208000"/>
    <s v="Kilowatt hours"/>
    <x v="1"/>
    <s v="Was confirmed 208 MWh from site; attached invoices allow you estimate using histogram, comes around ~208"/>
    <s v="2023-02-27, 16:27"/>
    <s v="2023-07-20, 00:40"/>
    <n v="2021"/>
    <s v="electricity"/>
    <s v="Electricity"/>
    <s v="model"/>
    <b v="0"/>
    <s v="ELECTRICITY; SPAIN"/>
    <x v="0"/>
    <x v="0"/>
    <s v="Europe"/>
    <s v="Southern Europe"/>
    <s v="ES"/>
    <m/>
    <n v="0"/>
    <s v="N2O"/>
    <n v="124.8"/>
    <s v="RESTRICTED"/>
    <s v="KWH"/>
    <n v="1"/>
    <n v="208000"/>
    <s v="AR4"/>
    <s v="IEA"/>
    <s v="IEA (2021)"/>
    <n v="2021"/>
    <n v="2019"/>
    <n v="0"/>
    <n v="0"/>
    <x v="3"/>
    <s v="Office"/>
  </r>
  <r>
    <n v="4953"/>
    <s v="Top of Hierarchy &gt; Europe &gt; Vantage_Les Borges"/>
    <x v="0"/>
    <x v="1"/>
    <d v="2021-01-01T00:00:00"/>
    <d v="2021-12-31T00:00:00"/>
    <x v="0"/>
    <d v="2021-01-01T00:00:00"/>
    <d v="2021-12-31T00:00:00"/>
    <s v="Electricity (non-renewable)"/>
    <n v="208000"/>
    <s v="Kilowatt hours"/>
    <x v="1"/>
    <s v="Was confirmed 208 MWh from site; attached invoices allow you estimate using histogram, comes around ~208"/>
    <s v="2023-02-27, 16:27"/>
    <s v="2023-07-20, 00:40"/>
    <n v="2021"/>
    <s v="electricity"/>
    <s v="Electricity"/>
    <s v="model"/>
    <b v="0"/>
    <s v="ELECTRICITY; SPAIN"/>
    <x v="0"/>
    <x v="0"/>
    <s v="Europe"/>
    <s v="Southern Europe"/>
    <s v="ES"/>
    <m/>
    <n v="1"/>
    <s v="CO2E MKT"/>
    <n v="59832.528429999998"/>
    <n v="0.28765638700000001"/>
    <s v="KWH"/>
    <n v="1"/>
    <n v="208000"/>
    <s v="AR4"/>
    <s v="AIB"/>
    <s v="AIB (2021)"/>
    <n v="2021"/>
    <n v="2020"/>
    <n v="0"/>
    <n v="59.832528429999996"/>
    <x v="3"/>
    <s v="Office"/>
  </r>
  <r>
    <n v="4953"/>
    <s v="Top of Hierarchy &gt; Europe &gt; Vantage_Les Borges"/>
    <x v="0"/>
    <x v="1"/>
    <d v="2021-01-01T00:00:00"/>
    <d v="2021-12-31T00:00:00"/>
    <x v="0"/>
    <d v="2021-01-01T00:00:00"/>
    <d v="2021-12-31T00:00:00"/>
    <s v="Electricity (non-renewable)"/>
    <n v="208000"/>
    <s v="Kilowatt hours"/>
    <x v="1"/>
    <s v="Was confirmed 208 MWh from site; attached invoices allow you estimate using histogram, comes around ~208"/>
    <s v="2023-02-27, 16:27"/>
    <s v="2023-07-20, 00:40"/>
    <n v="2021"/>
    <s v="electricity__t+d__wtt"/>
    <s v="Electricity T&amp;D WTT"/>
    <s v="t+d_wtt"/>
    <b v="0"/>
    <s v="WTT- UK &amp; OVERSEAS ELEC; WTT- OVERSEAS ELECTRICITY (T&amp;D); ELECTRICITY: SPAIN"/>
    <x v="1"/>
    <x v="1"/>
    <s v="Europe"/>
    <s v="Southern Europe"/>
    <s v="ES"/>
    <m/>
    <n v="0"/>
    <s v="CO2E"/>
    <n v="1345.7072009999999"/>
    <n v="6.4697460000000002E-3"/>
    <s v="KWH"/>
    <n v="1"/>
    <n v="208000"/>
    <s v="AR4"/>
    <s v="Defra"/>
    <s v="Defra (2021)"/>
    <n v="2021"/>
    <n v="2019"/>
    <n v="1.345707201"/>
    <n v="0"/>
    <x v="3"/>
    <s v="Office"/>
  </r>
  <r>
    <n v="4953"/>
    <s v="Top of Hierarchy &gt; Europe &gt; Vantage_Les Borges"/>
    <x v="0"/>
    <x v="1"/>
    <d v="2021-01-01T00:00:00"/>
    <d v="2021-12-31T00:00:00"/>
    <x v="0"/>
    <d v="2021-01-01T00:00:00"/>
    <d v="2021-12-31T00:00:00"/>
    <s v="Electricity (non-renewable)"/>
    <n v="208000"/>
    <s v="Kilowatt hours"/>
    <x v="1"/>
    <s v="Was confirmed 208 MWh from site; attached invoices allow you estimate using histogram, comes around ~208"/>
    <s v="2023-02-27, 16:27"/>
    <s v="2023-07-20, 00:40"/>
    <n v="2021"/>
    <s v="electricity__t+d__wtt"/>
    <s v="Electricity T&amp;D WTT"/>
    <s v="t+d_wtt"/>
    <b v="0"/>
    <s v="ELECTRICITY; SPAIN; T&amp;D WTT Estimated"/>
    <x v="1"/>
    <x v="1"/>
    <s v="Europe"/>
    <s v="Southern Europe"/>
    <s v="ES"/>
    <m/>
    <n v="1"/>
    <s v="CO2E MKT"/>
    <n v="493.97035679999999"/>
    <n v="2.3748570000000002E-3"/>
    <s v="KWH"/>
    <n v="1"/>
    <n v="208000"/>
    <s v="AR4"/>
    <s v="Anthesis"/>
    <s v="The T&amp;D WTT factor was calculated using the ratio: ELECTRICITY; SPAIN, IEA to ELECTRICITY; TRANSMISSION AND DISTRIBUTION; SPAIN, IEA CO2e factor"/>
    <n v="2021"/>
    <n v="2020"/>
    <n v="0"/>
    <n v="0.49397035680000001"/>
    <x v="3"/>
    <s v="Office"/>
  </r>
  <r>
    <n v="4953"/>
    <s v="Top of Hierarchy &gt; Europe &gt; Vantage_Les Borges"/>
    <x v="0"/>
    <x v="1"/>
    <d v="2021-01-01T00:00:00"/>
    <d v="2021-12-31T00:00:00"/>
    <x v="0"/>
    <d v="2021-01-01T00:00:00"/>
    <d v="2021-12-31T00:00:00"/>
    <s v="Electricity (non-renewable)"/>
    <n v="208000"/>
    <s v="Kilowatt hours"/>
    <x v="1"/>
    <s v="Was confirmed 208 MWh from site; attached invoices allow you estimate using histogram, comes around ~208"/>
    <s v="2023-02-27, 16:27"/>
    <s v="2023-07-20, 00:40"/>
    <n v="2021"/>
    <s v="electricity__wtt"/>
    <s v="Electricity WTT"/>
    <s v="wtt"/>
    <b v="0"/>
    <s v="WTT- UK &amp; OVERSEAS ELEC; WTT- OVERSEAS ELECTRICITY (GENERATION); ELECTRICITY: SPAIN"/>
    <x v="1"/>
    <x v="1"/>
    <s v="Europe"/>
    <s v="Southern Europe"/>
    <s v="ES"/>
    <m/>
    <n v="0"/>
    <s v="CO2E"/>
    <n v="12625.568310000001"/>
    <n v="6.0699848000000001E-2"/>
    <s v="KWH"/>
    <n v="1"/>
    <n v="208000"/>
    <s v="AR4"/>
    <s v="Defra"/>
    <s v="Defra (2021)"/>
    <n v="2021"/>
    <n v="2019"/>
    <n v="12.62556831"/>
    <n v="0"/>
    <x v="3"/>
    <s v="Office"/>
  </r>
  <r>
    <n v="4953"/>
    <s v="Top of Hierarchy &gt; Europe &gt; Vantage_Les Borges"/>
    <x v="0"/>
    <x v="1"/>
    <d v="2021-01-01T00:00:00"/>
    <d v="2021-12-31T00:00:00"/>
    <x v="0"/>
    <d v="2021-01-01T00:00:00"/>
    <d v="2021-12-31T00:00:00"/>
    <s v="Electricity (non-renewable)"/>
    <n v="208000"/>
    <s v="Kilowatt hours"/>
    <x v="1"/>
    <s v="Was confirmed 208 MWh from site; attached invoices allow you estimate using histogram, comes around ~208"/>
    <s v="2023-02-27, 16:27"/>
    <s v="2023-07-20, 00:40"/>
    <n v="2021"/>
    <s v="electricity__wtt"/>
    <s v="Electricity WTT"/>
    <s v="wtt"/>
    <b v="0"/>
    <s v="ELECTRICITY; SPAIN; WTT Estimated"/>
    <x v="1"/>
    <x v="1"/>
    <s v="Europe"/>
    <s v="Southern Europe"/>
    <s v="ES"/>
    <m/>
    <n v="1"/>
    <s v="CO2E MKT"/>
    <n v="18856.82949"/>
    <n v="9.0657834000000007E-2"/>
    <s v="KWH"/>
    <n v="1"/>
    <n v="208000"/>
    <s v="AR4"/>
    <s v="Anthesis"/>
    <s v="The WTT factor was calculated using the ratio: ELECTRICITY; SPAIN, IEA to WTT- UK &amp; OVERSEAS ELEC; WTT- OVERSEAS ELECTRICITY (GENERATION); ELECTRICITY: SPAIN, Defra CO2e factor"/>
    <n v="2021"/>
    <n v="2020"/>
    <n v="0"/>
    <n v="18.856829489999999"/>
    <x v="3"/>
    <s v="Office"/>
  </r>
  <r>
    <n v="4953"/>
    <s v="Top of Hierarchy &gt; Europe &gt; Vantage_Les Borges"/>
    <x v="0"/>
    <x v="1"/>
    <d v="2021-01-01T00:00:00"/>
    <d v="2021-12-31T00:00:00"/>
    <x v="0"/>
    <d v="2021-01-01T00:00:00"/>
    <d v="2021-12-31T00:00:00"/>
    <s v="Electricity (non-renewable)"/>
    <n v="208000"/>
    <s v="Kilowatt hours"/>
    <x v="1"/>
    <s v="Was confirmed 208 MWh from site; attached invoices allow you estimate using histogram, comes around ~208"/>
    <s v="2023-02-27, 16:27"/>
    <s v="2023-07-20, 00:40"/>
    <n v="2021"/>
    <s v="electricity__t+d"/>
    <s v="Electricity T&amp;D"/>
    <s v="t+d"/>
    <b v="0"/>
    <s v="ELECTRICITY; TRANSMISSION AND DISTRIBUTION; SPAIN"/>
    <x v="1"/>
    <x v="1"/>
    <s v="Europe"/>
    <s v="Southern Europe"/>
    <s v="ES"/>
    <m/>
    <n v="0"/>
    <s v="CO2E"/>
    <n v="3640"/>
    <s v="RESTRICTED"/>
    <s v="KWH"/>
    <n v="1"/>
    <n v="208000"/>
    <s v="AR4"/>
    <s v="IEA"/>
    <s v="IEA (2021)"/>
    <n v="2021"/>
    <n v="2019"/>
    <n v="3.64"/>
    <n v="0"/>
    <x v="3"/>
    <s v="Office"/>
  </r>
  <r>
    <n v="4953"/>
    <s v="Top of Hierarchy &gt; Europe &gt; Vantage_Les Borges"/>
    <x v="0"/>
    <x v="1"/>
    <d v="2021-01-01T00:00:00"/>
    <d v="2021-12-31T00:00:00"/>
    <x v="0"/>
    <d v="2021-01-01T00:00:00"/>
    <d v="2021-12-31T00:00:00"/>
    <s v="Electricity (non-renewable)"/>
    <n v="208000"/>
    <s v="Kilowatt hours"/>
    <x v="1"/>
    <s v="Was confirmed 208 MWh from site; attached invoices allow you estimate using histogram, comes around ~208"/>
    <s v="2023-02-27, 16:27"/>
    <s v="2023-07-20, 00:40"/>
    <n v="2021"/>
    <s v="electricity__t+d"/>
    <s v="Electricity T&amp;D"/>
    <s v="t+d"/>
    <b v="0"/>
    <s v="ELECTRICITY; SPAIN; T&amp;D Estimated"/>
    <x v="1"/>
    <x v="1"/>
    <s v="Europe"/>
    <s v="Southern Europe"/>
    <s v="ES"/>
    <m/>
    <n v="1"/>
    <s v="CO2E MKT"/>
    <n v="5436.4966119999999"/>
    <n v="2.6137002999999999E-2"/>
    <s v="KWH"/>
    <n v="1"/>
    <n v="208000"/>
    <s v="AR4"/>
    <s v="Anthesis"/>
    <s v="The T&amp;D factor was calculated using the ratio: ELECTRICITY; SPAIN, IEA to ELECTRICITY; TRANSMISSION AND DISTRIBUTION; SPAIN, IEA CO2e factor"/>
    <n v="2021"/>
    <n v="2020"/>
    <n v="0"/>
    <n v="5.436496612"/>
    <x v="3"/>
    <s v="Office"/>
  </r>
  <r>
    <n v="4980"/>
    <s v="Top of Hierarchy &gt; Europe &gt; Vantage_Les Borges"/>
    <x v="0"/>
    <x v="1"/>
    <d v="2021-01-01T00:00:00"/>
    <d v="2021-12-31T00:00:00"/>
    <x v="3"/>
    <d v="2021-01-01T00:00:00"/>
    <d v="2021-12-31T00:00:00"/>
    <s v="Natural gas"/>
    <n v="604.1"/>
    <s v="Megawatt hours"/>
    <x v="0"/>
    <m/>
    <s v="2023-02-27, 16:27"/>
    <s v="2023-07-20, 00:40"/>
    <n v="2021"/>
    <s v="natural_gas"/>
    <s v="Natural Gas"/>
    <s v="model"/>
    <b v="0"/>
    <s v="FUELS; GASEOUS FUELS; NATURAL GAS"/>
    <x v="2"/>
    <x v="0"/>
    <s v="Europe"/>
    <m/>
    <m/>
    <m/>
    <n v="0"/>
    <s v="CH4"/>
    <n v="151.02500000000001"/>
    <n v="2.5000000000000001E-4"/>
    <s v="KWH (GROSS CV)"/>
    <n v="1000"/>
    <n v="604100"/>
    <s v="AR4"/>
    <s v="Defra"/>
    <s v="Defra (2021)"/>
    <n v="2021"/>
    <n v="2019"/>
    <n v="0"/>
    <n v="0"/>
    <x v="3"/>
    <s v="Office"/>
  </r>
  <r>
    <n v="4980"/>
    <s v="Top of Hierarchy &gt; Europe &gt; Vantage_Les Borges"/>
    <x v="0"/>
    <x v="1"/>
    <d v="2021-01-01T00:00:00"/>
    <d v="2021-12-31T00:00:00"/>
    <x v="3"/>
    <d v="2021-01-01T00:00:00"/>
    <d v="2021-12-31T00:00:00"/>
    <s v="Natural gas"/>
    <n v="604.1"/>
    <s v="Megawatt hours"/>
    <x v="0"/>
    <m/>
    <s v="2023-02-27, 16:27"/>
    <s v="2023-07-20, 00:40"/>
    <n v="2021"/>
    <s v="natural_gas"/>
    <s v="Natural Gas"/>
    <s v="model"/>
    <b v="0"/>
    <s v="FUELS; GASEOUS FUELS; NATURAL GAS"/>
    <x v="2"/>
    <x v="0"/>
    <s v="Europe"/>
    <m/>
    <m/>
    <m/>
    <n v="0"/>
    <s v="CO2"/>
    <n v="110441.56200000001"/>
    <n v="0.18282000000000001"/>
    <s v="KWH (GROSS CV)"/>
    <n v="1000"/>
    <n v="604100"/>
    <s v="AR4"/>
    <s v="Defra"/>
    <s v="Defra (2021)"/>
    <n v="2021"/>
    <n v="2019"/>
    <n v="0"/>
    <n v="0"/>
    <x v="3"/>
    <s v="Office"/>
  </r>
  <r>
    <n v="4980"/>
    <s v="Top of Hierarchy &gt; Europe &gt; Vantage_Les Borges"/>
    <x v="0"/>
    <x v="1"/>
    <d v="2021-01-01T00:00:00"/>
    <d v="2021-12-31T00:00:00"/>
    <x v="3"/>
    <d v="2021-01-01T00:00:00"/>
    <d v="2021-12-31T00:00:00"/>
    <s v="Natural gas"/>
    <n v="604.1"/>
    <s v="Megawatt hours"/>
    <x v="0"/>
    <m/>
    <s v="2023-02-27, 16:27"/>
    <s v="2023-07-20, 00:40"/>
    <n v="2021"/>
    <s v="natural_gas"/>
    <s v="Natural Gas"/>
    <s v="model"/>
    <b v="0"/>
    <s v="FUELS; GASEOUS FUELS; NATURAL GAS"/>
    <x v="2"/>
    <x v="0"/>
    <s v="Europe"/>
    <m/>
    <m/>
    <m/>
    <n v="0"/>
    <s v="CO2E"/>
    <n v="110652.997"/>
    <n v="0.18317"/>
    <s v="KWH (GROSS CV)"/>
    <n v="1000"/>
    <n v="604100"/>
    <s v="AR4"/>
    <s v="Defra"/>
    <s v="Defra (2021)"/>
    <n v="2021"/>
    <n v="2019"/>
    <n v="110.652997"/>
    <n v="0"/>
    <x v="3"/>
    <s v="Office"/>
  </r>
  <r>
    <n v="4980"/>
    <s v="Top of Hierarchy &gt; Europe &gt; Vantage_Les Borges"/>
    <x v="0"/>
    <x v="1"/>
    <d v="2021-01-01T00:00:00"/>
    <d v="2021-12-31T00:00:00"/>
    <x v="3"/>
    <d v="2021-01-01T00:00:00"/>
    <d v="2021-12-31T00:00:00"/>
    <s v="Natural gas"/>
    <n v="604.1"/>
    <s v="Megawatt hours"/>
    <x v="0"/>
    <m/>
    <s v="2023-02-27, 16:27"/>
    <s v="2023-07-20, 00:40"/>
    <n v="2021"/>
    <s v="natural_gas"/>
    <s v="Natural Gas"/>
    <s v="model"/>
    <b v="0"/>
    <s v="FUELS; GASEOUS FUELS; NATURAL GAS"/>
    <x v="2"/>
    <x v="0"/>
    <s v="Europe"/>
    <m/>
    <m/>
    <m/>
    <n v="0"/>
    <s v="N2O"/>
    <n v="60.41"/>
    <n v="1E-4"/>
    <s v="KWH (GROSS CV)"/>
    <n v="1000"/>
    <n v="604100"/>
    <s v="AR4"/>
    <s v="Defra"/>
    <s v="Defra (2021)"/>
    <n v="2021"/>
    <n v="2019"/>
    <n v="0"/>
    <n v="0"/>
    <x v="3"/>
    <s v="Office"/>
  </r>
  <r>
    <n v="4980"/>
    <s v="Top of Hierarchy &gt; Europe &gt; Vantage_Les Borges"/>
    <x v="0"/>
    <x v="1"/>
    <d v="2021-01-01T00:00:00"/>
    <d v="2021-12-31T00:00:00"/>
    <x v="3"/>
    <d v="2021-01-01T00:00:00"/>
    <d v="2021-12-31T00:00:00"/>
    <s v="Natural gas"/>
    <n v="604.1"/>
    <s v="Megawatt hours"/>
    <x v="0"/>
    <m/>
    <s v="2023-02-27, 16:27"/>
    <s v="2023-07-20, 00:40"/>
    <n v="2021"/>
    <s v="natural_gas"/>
    <s v="Natural Gas"/>
    <s v="model"/>
    <b v="0"/>
    <s v="FUELS; GASEOUS FUELS; NATURAL GAS"/>
    <x v="2"/>
    <x v="0"/>
    <s v="Europe"/>
    <m/>
    <m/>
    <m/>
    <n v="1"/>
    <s v="CH4"/>
    <n v="151.02500000000001"/>
    <n v="2.5000000000000001E-4"/>
    <s v="KWH (GROSS CV)"/>
    <n v="1000"/>
    <n v="604100"/>
    <s v="AR4"/>
    <s v="Defra"/>
    <s v="Defra (2021)"/>
    <n v="2021"/>
    <n v="2019"/>
    <n v="0"/>
    <n v="0"/>
    <x v="3"/>
    <s v="Office"/>
  </r>
  <r>
    <n v="4980"/>
    <s v="Top of Hierarchy &gt; Europe &gt; Vantage_Les Borges"/>
    <x v="0"/>
    <x v="1"/>
    <d v="2021-01-01T00:00:00"/>
    <d v="2021-12-31T00:00:00"/>
    <x v="3"/>
    <d v="2021-01-01T00:00:00"/>
    <d v="2021-12-31T00:00:00"/>
    <s v="Natural gas"/>
    <n v="604.1"/>
    <s v="Megawatt hours"/>
    <x v="0"/>
    <m/>
    <s v="2023-02-27, 16:27"/>
    <s v="2023-07-20, 00:40"/>
    <n v="2021"/>
    <s v="natural_gas"/>
    <s v="Natural Gas"/>
    <s v="model"/>
    <b v="0"/>
    <s v="FUELS; GASEOUS FUELS; NATURAL GAS"/>
    <x v="2"/>
    <x v="0"/>
    <s v="Europe"/>
    <m/>
    <m/>
    <m/>
    <n v="1"/>
    <s v="CO2"/>
    <n v="110441.56200000001"/>
    <n v="0.18282000000000001"/>
    <s v="KWH (GROSS CV)"/>
    <n v="1000"/>
    <n v="604100"/>
    <s v="AR4"/>
    <s v="Defra"/>
    <s v="Defra (2021)"/>
    <n v="2021"/>
    <n v="2019"/>
    <n v="0"/>
    <n v="0"/>
    <x v="3"/>
    <s v="Office"/>
  </r>
  <r>
    <n v="4980"/>
    <s v="Top of Hierarchy &gt; Europe &gt; Vantage_Les Borges"/>
    <x v="0"/>
    <x v="1"/>
    <d v="2021-01-01T00:00:00"/>
    <d v="2021-12-31T00:00:00"/>
    <x v="3"/>
    <d v="2021-01-01T00:00:00"/>
    <d v="2021-12-31T00:00:00"/>
    <s v="Natural gas"/>
    <n v="604.1"/>
    <s v="Megawatt hours"/>
    <x v="0"/>
    <m/>
    <s v="2023-02-27, 16:27"/>
    <s v="2023-07-20, 00:40"/>
    <n v="2021"/>
    <s v="natural_gas"/>
    <s v="Natural Gas"/>
    <s v="model"/>
    <b v="0"/>
    <s v="FUELS; GASEOUS FUELS; NATURAL GAS"/>
    <x v="2"/>
    <x v="0"/>
    <s v="Europe"/>
    <m/>
    <m/>
    <m/>
    <n v="1"/>
    <s v="CO2E"/>
    <n v="110652.997"/>
    <n v="0.18317"/>
    <s v="KWH (GROSS CV)"/>
    <n v="1000"/>
    <n v="604100"/>
    <s v="AR4"/>
    <s v="Defra"/>
    <s v="Defra (2021)"/>
    <n v="2021"/>
    <n v="2019"/>
    <n v="0"/>
    <n v="110.652997"/>
    <x v="3"/>
    <s v="Office"/>
  </r>
  <r>
    <n v="4980"/>
    <s v="Top of Hierarchy &gt; Europe &gt; Vantage_Les Borges"/>
    <x v="0"/>
    <x v="1"/>
    <d v="2021-01-01T00:00:00"/>
    <d v="2021-12-31T00:00:00"/>
    <x v="3"/>
    <d v="2021-01-01T00:00:00"/>
    <d v="2021-12-31T00:00:00"/>
    <s v="Natural gas"/>
    <n v="604.1"/>
    <s v="Megawatt hours"/>
    <x v="0"/>
    <m/>
    <s v="2023-02-27, 16:27"/>
    <s v="2023-07-20, 00:40"/>
    <n v="2021"/>
    <s v="natural_gas"/>
    <s v="Natural Gas"/>
    <s v="model"/>
    <b v="0"/>
    <s v="FUELS; GASEOUS FUELS; NATURAL GAS"/>
    <x v="2"/>
    <x v="0"/>
    <s v="Europe"/>
    <m/>
    <m/>
    <m/>
    <n v="1"/>
    <s v="N2O"/>
    <n v="60.41"/>
    <n v="1E-4"/>
    <s v="KWH (GROSS CV)"/>
    <n v="1000"/>
    <n v="604100"/>
    <s v="AR4"/>
    <s v="Defra"/>
    <s v="Defra (2021)"/>
    <n v="2021"/>
    <n v="2019"/>
    <n v="0"/>
    <n v="0"/>
    <x v="3"/>
    <s v="Office"/>
  </r>
  <r>
    <n v="4980"/>
    <s v="Top of Hierarchy &gt; Europe &gt; Vantage_Les Borges"/>
    <x v="0"/>
    <x v="1"/>
    <d v="2021-01-01T00:00:00"/>
    <d v="2021-12-31T00:00:00"/>
    <x v="3"/>
    <d v="2021-01-01T00:00:00"/>
    <d v="2021-12-31T00:00:00"/>
    <s v="Natural gas"/>
    <n v="604.1"/>
    <s v="Megawatt hours"/>
    <x v="0"/>
    <m/>
    <s v="2023-02-27, 16:27"/>
    <s v="2023-07-20, 00:40"/>
    <n v="2021"/>
    <s v="natural_gas__wtt"/>
    <s v="Natural Gas WTT"/>
    <s v="wtt"/>
    <b v="0"/>
    <s v="WTT- FUELS; WTT- GASEOUS FUELS; NATURAL GAS"/>
    <x v="1"/>
    <x v="1"/>
    <s v="Europe"/>
    <m/>
    <m/>
    <m/>
    <n v="0"/>
    <s v="CO2E"/>
    <n v="18938.535"/>
    <n v="3.1350000000000003E-2"/>
    <s v="KWH (GROSS CV)"/>
    <n v="1000"/>
    <n v="604100"/>
    <s v="AR4"/>
    <s v="Defra"/>
    <s v="Defra (2021)"/>
    <n v="2021"/>
    <n v="2019"/>
    <n v="18.938534999999998"/>
    <n v="0"/>
    <x v="3"/>
    <s v="Office"/>
  </r>
  <r>
    <n v="4980"/>
    <s v="Top of Hierarchy &gt; Europe &gt; Vantage_Les Borges"/>
    <x v="0"/>
    <x v="1"/>
    <d v="2021-01-01T00:00:00"/>
    <d v="2021-12-31T00:00:00"/>
    <x v="3"/>
    <d v="2021-01-01T00:00:00"/>
    <d v="2021-12-31T00:00:00"/>
    <s v="Natural gas"/>
    <n v="604.1"/>
    <s v="Megawatt hours"/>
    <x v="0"/>
    <m/>
    <s v="2023-02-27, 16:27"/>
    <s v="2023-07-20, 00:40"/>
    <n v="2021"/>
    <s v="natural_gas__wtt"/>
    <s v="Natural Gas WTT"/>
    <s v="wtt"/>
    <b v="0"/>
    <s v="WTT- FUELS; WTT- GASEOUS FUELS; NATURAL GAS"/>
    <x v="1"/>
    <x v="1"/>
    <s v="Europe"/>
    <m/>
    <m/>
    <m/>
    <n v="1"/>
    <s v="CO2E"/>
    <n v="18938.535"/>
    <n v="3.1350000000000003E-2"/>
    <s v="KWH (GROSS CV)"/>
    <n v="1000"/>
    <n v="604100"/>
    <s v="AR4"/>
    <s v="Defra"/>
    <s v="Defra (2021)"/>
    <n v="2021"/>
    <n v="2019"/>
    <n v="0"/>
    <n v="18.938534999999998"/>
    <x v="3"/>
    <s v="Office"/>
  </r>
  <r>
    <n v="5013"/>
    <s v="Top of Hierarchy &gt; Europe &gt; Vantage_Les Borges"/>
    <x v="0"/>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s v="Europe"/>
    <m/>
    <m/>
    <m/>
    <n v="0"/>
    <s v="CH4"/>
    <n v="0"/>
    <n v="2.5999999999999998E-4"/>
    <s v="LITRES"/>
    <n v="1"/>
    <n v="0"/>
    <s v="AR4"/>
    <s v="Defra"/>
    <s v="Defra (2021)"/>
    <n v="2021"/>
    <n v="2019"/>
    <n v="0"/>
    <n v="0"/>
    <x v="3"/>
    <s v="Office"/>
  </r>
  <r>
    <n v="5013"/>
    <s v="Top of Hierarchy &gt; Europe &gt; Vantage_Les Borges"/>
    <x v="0"/>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s v="Europe"/>
    <m/>
    <m/>
    <m/>
    <n v="0"/>
    <s v="CO2"/>
    <n v="0"/>
    <n v="2.6680700000000002"/>
    <s v="LITRES"/>
    <n v="1"/>
    <n v="0"/>
    <s v="AR4"/>
    <s v="Defra"/>
    <s v="Defra (2021)"/>
    <n v="2021"/>
    <n v="2019"/>
    <n v="0"/>
    <n v="0"/>
    <x v="3"/>
    <s v="Office"/>
  </r>
  <r>
    <n v="5013"/>
    <s v="Top of Hierarchy &gt; Europe &gt; Vantage_Les Borges"/>
    <x v="0"/>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s v="Europe"/>
    <m/>
    <m/>
    <m/>
    <n v="0"/>
    <s v="CO2E"/>
    <n v="0"/>
    <n v="2.70553"/>
    <s v="LITRES"/>
    <n v="1"/>
    <n v="0"/>
    <s v="AR4"/>
    <s v="Defra"/>
    <s v="Defra (2021)"/>
    <n v="2021"/>
    <n v="2019"/>
    <n v="0"/>
    <n v="0"/>
    <x v="3"/>
    <s v="Office"/>
  </r>
  <r>
    <n v="5013"/>
    <s v="Top of Hierarchy &gt; Europe &gt; Vantage_Les Borges"/>
    <x v="0"/>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s v="Europe"/>
    <m/>
    <m/>
    <m/>
    <n v="0"/>
    <s v="N2O"/>
    <n v="0"/>
    <n v="3.7199999999999997E-2"/>
    <s v="LITRES"/>
    <n v="1"/>
    <n v="0"/>
    <s v="AR4"/>
    <s v="Defra"/>
    <s v="Defra (2021)"/>
    <n v="2021"/>
    <n v="2019"/>
    <n v="0"/>
    <n v="0"/>
    <x v="3"/>
    <s v="Office"/>
  </r>
  <r>
    <n v="5013"/>
    <s v="Top of Hierarchy &gt; Europe &gt; Vantage_Les Borges"/>
    <x v="0"/>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s v="Europe"/>
    <m/>
    <m/>
    <m/>
    <n v="1"/>
    <s v="CH4"/>
    <n v="0"/>
    <n v="2.5999999999999998E-4"/>
    <s v="LITRES"/>
    <n v="1"/>
    <n v="0"/>
    <s v="AR4"/>
    <s v="Defra"/>
    <s v="Defra (2021)"/>
    <n v="2021"/>
    <n v="2019"/>
    <n v="0"/>
    <n v="0"/>
    <x v="3"/>
    <s v="Office"/>
  </r>
  <r>
    <n v="5013"/>
    <s v="Top of Hierarchy &gt; Europe &gt; Vantage_Les Borges"/>
    <x v="0"/>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s v="Europe"/>
    <m/>
    <m/>
    <m/>
    <n v="1"/>
    <s v="CO2"/>
    <n v="0"/>
    <n v="2.6680700000000002"/>
    <s v="LITRES"/>
    <n v="1"/>
    <n v="0"/>
    <s v="AR4"/>
    <s v="Defra"/>
    <s v="Defra (2021)"/>
    <n v="2021"/>
    <n v="2019"/>
    <n v="0"/>
    <n v="0"/>
    <x v="3"/>
    <s v="Office"/>
  </r>
  <r>
    <n v="5013"/>
    <s v="Top of Hierarchy &gt; Europe &gt; Vantage_Les Borges"/>
    <x v="0"/>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s v="Europe"/>
    <m/>
    <m/>
    <m/>
    <n v="1"/>
    <s v="CO2E"/>
    <n v="0"/>
    <n v="2.70553"/>
    <s v="LITRES"/>
    <n v="1"/>
    <n v="0"/>
    <s v="AR4"/>
    <s v="Defra"/>
    <s v="Defra (2021)"/>
    <n v="2021"/>
    <n v="2019"/>
    <n v="0"/>
    <n v="0"/>
    <x v="3"/>
    <s v="Office"/>
  </r>
  <r>
    <n v="5013"/>
    <s v="Top of Hierarchy &gt; Europe &gt; Vantage_Les Borges"/>
    <x v="0"/>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s v="Europe"/>
    <m/>
    <m/>
    <m/>
    <n v="1"/>
    <s v="N2O"/>
    <n v="0"/>
    <n v="3.7199999999999997E-2"/>
    <s v="LITRES"/>
    <n v="1"/>
    <n v="0"/>
    <s v="AR4"/>
    <s v="Defra"/>
    <s v="Defra (2021)"/>
    <n v="2021"/>
    <n v="2019"/>
    <n v="0"/>
    <n v="0"/>
    <x v="3"/>
    <s v="Office"/>
  </r>
  <r>
    <n v="5013"/>
    <s v="Top of Hierarchy &gt; Europe &gt; Vantage_Les Borges"/>
    <x v="0"/>
    <x v="1"/>
    <d v="2021-01-01T00:00:00"/>
    <d v="2021-12-31T00:00:00"/>
    <x v="1"/>
    <d v="2021-01-01T00:00:00"/>
    <d v="2021-12-31T00:00:00"/>
    <s v="Diesel (100% mineral diesel)"/>
    <n v="0"/>
    <s v="litres"/>
    <x v="0"/>
    <m/>
    <s v="2023-02-27, 16:27"/>
    <s v="2023-07-20, 00:40"/>
    <n v="2021"/>
    <s v="diesel_100p_mineral_diesel__wtt"/>
    <s v="Diesel (100% Mineral Diesel) WTT"/>
    <s v="wtt"/>
    <b v="0"/>
    <s v="WTT- FUELS; WTT- LIQUID FUELS; DIESEL (100% MINERAL DIESEL)"/>
    <x v="1"/>
    <x v="1"/>
    <s v="Europe"/>
    <m/>
    <m/>
    <m/>
    <n v="0"/>
    <s v="CO2E"/>
    <n v="0"/>
    <n v="0.62873999999999997"/>
    <s v="LITRES"/>
    <n v="1"/>
    <n v="0"/>
    <s v="AR4"/>
    <s v="Defra"/>
    <s v="Defra (2021)"/>
    <n v="2021"/>
    <n v="2019"/>
    <n v="0"/>
    <n v="0"/>
    <x v="3"/>
    <s v="Office"/>
  </r>
  <r>
    <n v="5013"/>
    <s v="Top of Hierarchy &gt; Europe &gt; Vantage_Les Borges"/>
    <x v="0"/>
    <x v="1"/>
    <d v="2021-01-01T00:00:00"/>
    <d v="2021-12-31T00:00:00"/>
    <x v="1"/>
    <d v="2021-01-01T00:00:00"/>
    <d v="2021-12-31T00:00:00"/>
    <s v="Diesel (100% mineral diesel)"/>
    <n v="0"/>
    <s v="litres"/>
    <x v="0"/>
    <m/>
    <s v="2023-02-27, 16:27"/>
    <s v="2023-07-20, 00:40"/>
    <n v="2021"/>
    <s v="diesel_100p_mineral_diesel__wtt"/>
    <s v="Diesel (100% Mineral Diesel) WTT"/>
    <s v="wtt"/>
    <b v="0"/>
    <s v="WTT- FUELS; WTT- LIQUID FUELS; DIESEL (100% MINERAL DIESEL)"/>
    <x v="1"/>
    <x v="1"/>
    <s v="Europe"/>
    <m/>
    <m/>
    <m/>
    <n v="1"/>
    <s v="CO2E"/>
    <n v="0"/>
    <n v="0.62873999999999997"/>
    <s v="LITRES"/>
    <n v="1"/>
    <n v="0"/>
    <s v="AR4"/>
    <s v="Defra"/>
    <s v="Defra (2021)"/>
    <n v="2021"/>
    <n v="2019"/>
    <n v="0"/>
    <n v="0"/>
    <x v="3"/>
    <s v="Office"/>
  </r>
  <r>
    <n v="5039"/>
    <s v="Top of Hierarchy &gt; Europe &gt; Vantage_Les Borges"/>
    <x v="0"/>
    <x v="1"/>
    <d v="2021-01-01T00:00:00"/>
    <d v="2021-12-31T00:00:00"/>
    <x v="4"/>
    <d v="2021-01-01T00:00:00"/>
    <d v="2021-12-31T00:00:00"/>
    <s v="R410A"/>
    <n v="10.573700000000001"/>
    <s v="kilograms"/>
    <x v="0"/>
    <m/>
    <s v="2023-02-27, 16:28"/>
    <s v="2023-07-20, 00:40"/>
    <n v="2021"/>
    <s v="r410a"/>
    <s v="R410A"/>
    <s v="model"/>
    <b v="0"/>
    <s v="REFRIGERANT: R-410A"/>
    <x v="2"/>
    <x v="0"/>
    <m/>
    <m/>
    <m/>
    <m/>
    <n v="0"/>
    <s v="CO2E"/>
    <n v="22077.885600000001"/>
    <n v="2088"/>
    <s v="KG"/>
    <n v="1"/>
    <n v="10.573700000000001"/>
    <s v="AR4"/>
    <s v="IPCC"/>
    <s v="IPCC (2021)"/>
    <n v="2021"/>
    <n v="2007"/>
    <n v="22.077885600000002"/>
    <n v="0"/>
    <x v="3"/>
    <s v="Office"/>
  </r>
  <r>
    <n v="5039"/>
    <s v="Top of Hierarchy &gt; Europe &gt; Vantage_Les Borges"/>
    <x v="0"/>
    <x v="1"/>
    <d v="2021-01-01T00:00:00"/>
    <d v="2021-12-31T00:00:00"/>
    <x v="4"/>
    <d v="2021-01-01T00:00:00"/>
    <d v="2021-12-31T00:00:00"/>
    <s v="R410A"/>
    <n v="10.573700000000001"/>
    <s v="kilograms"/>
    <x v="0"/>
    <m/>
    <s v="2023-02-27, 16:28"/>
    <s v="2023-07-20, 00:40"/>
    <n v="2021"/>
    <s v="r410a"/>
    <s v="R410A"/>
    <s v="model"/>
    <b v="0"/>
    <s v="REFRIGERANT: R-410A"/>
    <x v="2"/>
    <x v="0"/>
    <m/>
    <m/>
    <m/>
    <m/>
    <n v="1"/>
    <s v="CO2E"/>
    <n v="22077.885600000001"/>
    <n v="2088"/>
    <s v="KG"/>
    <n v="1"/>
    <n v="10.573700000000001"/>
    <s v="AR4"/>
    <s v="IPCC"/>
    <s v="IPCC (2021)"/>
    <n v="2021"/>
    <n v="2007"/>
    <n v="0"/>
    <n v="22.077885600000002"/>
    <x v="3"/>
    <s v="Office"/>
  </r>
  <r>
    <n v="255499"/>
    <s v="Top of Hierarchy &gt; Europe &gt; Vantage_Leuna"/>
    <x v="3"/>
    <x v="0"/>
    <d v="2022-01-01T00:00:00"/>
    <d v="2022-12-31T00:00:00"/>
    <x v="0"/>
    <d v="2022-01-01T00:00:00"/>
    <d v="2022-12-31T00:00:00"/>
    <s v="Electricity (non-renewable)"/>
    <n v="15237808"/>
    <s v="Kilowatt hours"/>
    <x v="1"/>
    <m/>
    <s v="2023-04-26, 17:34"/>
    <s v="2023-07-20, 00:40"/>
    <n v="2022"/>
    <s v="electricity"/>
    <s v="Electricity"/>
    <s v="model"/>
    <b v="0"/>
    <s v="ELECTRICITY; GERMANY"/>
    <x v="0"/>
    <x v="0"/>
    <s v="Europe"/>
    <s v="Western Europe"/>
    <s v="DE"/>
    <m/>
    <n v="0"/>
    <s v="CH4"/>
    <n v="4571.3424000000005"/>
    <s v="RESTRICTED"/>
    <s v="KWH"/>
    <n v="1"/>
    <n v="15237808"/>
    <s v="AR4"/>
    <s v="IEA"/>
    <s v="IEA (2022)"/>
    <n v="2022"/>
    <n v="2020"/>
    <n v="0"/>
    <n v="0"/>
    <x v="4"/>
    <s v="Office (with heat &amp; steam)"/>
  </r>
  <r>
    <n v="255499"/>
    <s v="Top of Hierarchy &gt; Europe &gt; Vantage_Leuna"/>
    <x v="3"/>
    <x v="0"/>
    <d v="2022-01-01T00:00:00"/>
    <d v="2022-12-31T00:00:00"/>
    <x v="0"/>
    <d v="2022-01-01T00:00:00"/>
    <d v="2022-12-31T00:00:00"/>
    <s v="Electricity (non-renewable)"/>
    <n v="15237808"/>
    <s v="Kilowatt hours"/>
    <x v="1"/>
    <m/>
    <s v="2023-04-26, 17:34"/>
    <s v="2023-07-20, 00:40"/>
    <n v="2022"/>
    <s v="electricity"/>
    <s v="Electricity"/>
    <s v="model"/>
    <b v="0"/>
    <s v="ELECTRICITY; GERMANY"/>
    <x v="0"/>
    <x v="0"/>
    <s v="Europe"/>
    <s v="Western Europe"/>
    <s v="DE"/>
    <m/>
    <n v="0"/>
    <s v="CO2"/>
    <n v="4522581.4139999999"/>
    <s v="RESTRICTED"/>
    <s v="KWH"/>
    <n v="1"/>
    <n v="15237808"/>
    <s v="AR4"/>
    <s v="IEA"/>
    <s v="IEA (2022)"/>
    <n v="2022"/>
    <n v="2020"/>
    <n v="0"/>
    <n v="0"/>
    <x v="4"/>
    <s v="Office (with heat &amp; steam)"/>
  </r>
  <r>
    <n v="255499"/>
    <s v="Top of Hierarchy &gt; Europe &gt; Vantage_Leuna"/>
    <x v="3"/>
    <x v="0"/>
    <d v="2022-01-01T00:00:00"/>
    <d v="2022-12-31T00:00:00"/>
    <x v="0"/>
    <d v="2022-01-01T00:00:00"/>
    <d v="2022-12-31T00:00:00"/>
    <s v="Electricity (non-renewable)"/>
    <n v="15237808"/>
    <s v="Kilowatt hours"/>
    <x v="1"/>
    <m/>
    <s v="2023-04-26, 17:34"/>
    <s v="2023-07-20, 00:40"/>
    <n v="2022"/>
    <s v="electricity"/>
    <s v="Electricity"/>
    <s v="model"/>
    <b v="0"/>
    <s v="ELECTRICITY; GERMANY"/>
    <x v="0"/>
    <x v="0"/>
    <s v="Europe"/>
    <s v="Western Europe"/>
    <s v="DE"/>
    <m/>
    <n v="0"/>
    <s v="CO2E"/>
    <n v="4548485.6880000001"/>
    <s v="RESTRICTED"/>
    <s v="KWH"/>
    <n v="1"/>
    <n v="15237808"/>
    <s v="AR4"/>
    <s v="IEA"/>
    <s v="IEA (2022)"/>
    <n v="2022"/>
    <n v="2020"/>
    <n v="4548.4856879999998"/>
    <n v="0"/>
    <x v="4"/>
    <s v="Office (with heat &amp; steam)"/>
  </r>
  <r>
    <n v="255499"/>
    <s v="Top of Hierarchy &gt; Europe &gt; Vantage_Leuna"/>
    <x v="3"/>
    <x v="0"/>
    <d v="2022-01-01T00:00:00"/>
    <d v="2022-12-31T00:00:00"/>
    <x v="0"/>
    <d v="2022-01-01T00:00:00"/>
    <d v="2022-12-31T00:00:00"/>
    <s v="Electricity (non-renewable)"/>
    <n v="15237808"/>
    <s v="Kilowatt hours"/>
    <x v="1"/>
    <m/>
    <s v="2023-04-26, 17:34"/>
    <s v="2023-07-20, 00:40"/>
    <n v="2022"/>
    <s v="electricity"/>
    <s v="Electricity"/>
    <s v="model"/>
    <b v="0"/>
    <s v="ELECTRICITY; GERMANY"/>
    <x v="0"/>
    <x v="0"/>
    <s v="Europe"/>
    <s v="Western Europe"/>
    <s v="DE"/>
    <m/>
    <n v="0"/>
    <s v="N2O"/>
    <n v="21332.931199999999"/>
    <s v="RESTRICTED"/>
    <s v="KWH"/>
    <n v="1"/>
    <n v="15237808"/>
    <s v="AR4"/>
    <s v="IEA"/>
    <s v="IEA (2022)"/>
    <n v="2022"/>
    <n v="2020"/>
    <n v="0"/>
    <n v="0"/>
    <x v="4"/>
    <s v="Office (with heat &amp; steam)"/>
  </r>
  <r>
    <n v="255499"/>
    <s v="Top of Hierarchy &gt; Europe &gt; Vantage_Leuna"/>
    <x v="3"/>
    <x v="0"/>
    <d v="2022-01-01T00:00:00"/>
    <d v="2022-12-31T00:00:00"/>
    <x v="0"/>
    <d v="2022-01-01T00:00:00"/>
    <d v="2022-12-31T00:00:00"/>
    <s v="Electricity (non-renewable)"/>
    <n v="15237808"/>
    <s v="Kilowatt hours"/>
    <x v="1"/>
    <m/>
    <s v="2023-04-26, 17:34"/>
    <s v="2023-07-20, 00:40"/>
    <n v="2022"/>
    <s v="electricity"/>
    <s v="Electricity"/>
    <s v="model"/>
    <b v="0"/>
    <s v="ELECTRICITY; GERMANY"/>
    <x v="0"/>
    <x v="0"/>
    <s v="Europe"/>
    <s v="Western Europe"/>
    <s v="DE"/>
    <m/>
    <n v="1"/>
    <s v="CO2E MKT"/>
    <n v="9472214.1180000007"/>
    <n v="0.62162576899999999"/>
    <s v="KWH"/>
    <n v="1"/>
    <n v="15237808"/>
    <s v="AR4"/>
    <s v="AIB"/>
    <s v="AIB (2022)"/>
    <n v="2022"/>
    <n v="2021"/>
    <n v="0"/>
    <n v="9472.2141179999999"/>
    <x v="4"/>
    <s v="Office (with heat &amp; steam)"/>
  </r>
  <r>
    <n v="255499"/>
    <s v="Top of Hierarchy &gt; Europe &gt; Vantage_Leuna"/>
    <x v="3"/>
    <x v="0"/>
    <d v="2022-01-01T00:00:00"/>
    <d v="2022-12-31T00:00:00"/>
    <x v="0"/>
    <d v="2022-01-01T00:00:00"/>
    <d v="2022-12-31T00:00:00"/>
    <s v="Electricity (non-renewable)"/>
    <n v="15237808"/>
    <s v="Kilowatt hours"/>
    <x v="1"/>
    <m/>
    <s v="2023-04-26, 17:34"/>
    <s v="2023-07-20, 00:40"/>
    <n v="2022"/>
    <s v="electricity__t+d__wtt"/>
    <s v="Electricity T&amp;D WTT"/>
    <s v="t+d_wtt"/>
    <b v="0"/>
    <s v="ELECTRICITY T&amp;D WTT; GERMANY"/>
    <x v="1"/>
    <x v="1"/>
    <s v="Europe"/>
    <s v="Western Europe"/>
    <s v="DE"/>
    <m/>
    <n v="0"/>
    <s v="CO2E"/>
    <n v="68206.239199999996"/>
    <n v="4.4761189999999998E-3"/>
    <s v="KWH"/>
    <n v="1"/>
    <n v="15237808"/>
    <s v="AR4"/>
    <s v="Anthesis"/>
    <s v="Anthesis (2022)"/>
    <n v="2022"/>
    <n v="2020"/>
    <n v="68.206239199999999"/>
    <n v="0"/>
    <x v="4"/>
    <s v="Office (with heat &amp; steam)"/>
  </r>
  <r>
    <n v="255499"/>
    <s v="Top of Hierarchy &gt; Europe &gt; Vantage_Leuna"/>
    <x v="3"/>
    <x v="0"/>
    <d v="2022-01-01T00:00:00"/>
    <d v="2022-12-31T00:00:00"/>
    <x v="0"/>
    <d v="2022-01-01T00:00:00"/>
    <d v="2022-12-31T00:00:00"/>
    <s v="Electricity (non-renewable)"/>
    <n v="15237808"/>
    <s v="Kilowatt hours"/>
    <x v="1"/>
    <m/>
    <s v="2023-04-26, 17:34"/>
    <s v="2023-07-20, 00:40"/>
    <n v="2022"/>
    <s v="electricity__t+d__wtt"/>
    <s v="Electricity T&amp;D WTT"/>
    <s v="t+d_wtt"/>
    <b v="0"/>
    <s v="ELECTRICITY; GERMANY; T&amp;D WTT Estimated"/>
    <x v="1"/>
    <x v="1"/>
    <s v="Europe"/>
    <s v="Western Europe"/>
    <s v="DE"/>
    <m/>
    <n v="1"/>
    <s v="CO2E MKT"/>
    <n v="19289.374479999999"/>
    <n v="1.2658890000000001E-3"/>
    <s v="KWH"/>
    <n v="1"/>
    <n v="15237808"/>
    <s v="AR4"/>
    <s v="Anthesis"/>
    <s v="The T&amp;D WTT factor was calculated using the ratio: ELECTRICITY; GERMANY, IEA to ELECTRICITY; TRANSMISSION AND DISTRIBUTION; GERMANY, IEA CO2e factor"/>
    <n v="2022"/>
    <n v="2020"/>
    <n v="0"/>
    <n v="19.289374479999999"/>
    <x v="4"/>
    <s v="Office (with heat &amp; steam)"/>
  </r>
  <r>
    <n v="255499"/>
    <s v="Top of Hierarchy &gt; Europe &gt; Vantage_Leuna"/>
    <x v="3"/>
    <x v="0"/>
    <d v="2022-01-01T00:00:00"/>
    <d v="2022-12-31T00:00:00"/>
    <x v="0"/>
    <d v="2022-01-01T00:00:00"/>
    <d v="2022-12-31T00:00:00"/>
    <s v="Electricity (non-renewable)"/>
    <n v="15237808"/>
    <s v="Kilowatt hours"/>
    <x v="1"/>
    <m/>
    <s v="2023-04-26, 17:34"/>
    <s v="2023-07-20, 00:40"/>
    <n v="2022"/>
    <s v="electricity__wtt"/>
    <s v="Electricity WTT"/>
    <s v="wtt"/>
    <b v="0"/>
    <s v="ELECTRICITY WTT; GERMANY"/>
    <x v="1"/>
    <x v="1"/>
    <s v="Europe"/>
    <s v="Western Europe"/>
    <s v="DE"/>
    <m/>
    <n v="0"/>
    <s v="CO2E"/>
    <n v="1423745.622"/>
    <n v="9.3435067999999996E-2"/>
    <s v="KWH"/>
    <n v="1"/>
    <n v="15237808"/>
    <s v="AR4"/>
    <s v="Anthesis"/>
    <s v="Anthesis (2022)"/>
    <n v="2022"/>
    <n v="2020"/>
    <n v="1423.7456219999999"/>
    <n v="0"/>
    <x v="4"/>
    <s v="Office (with heat &amp; steam)"/>
  </r>
  <r>
    <n v="255499"/>
    <s v="Top of Hierarchy &gt; Europe &gt; Vantage_Leuna"/>
    <x v="3"/>
    <x v="0"/>
    <d v="2022-01-01T00:00:00"/>
    <d v="2022-12-31T00:00:00"/>
    <x v="0"/>
    <d v="2022-01-01T00:00:00"/>
    <d v="2022-12-31T00:00:00"/>
    <s v="Electricity (non-renewable)"/>
    <n v="15237808"/>
    <s v="Kilowatt hours"/>
    <x v="1"/>
    <m/>
    <s v="2023-04-26, 17:34"/>
    <s v="2023-07-20, 00:40"/>
    <n v="2022"/>
    <s v="electricity__wtt"/>
    <s v="Electricity WTT"/>
    <s v="wtt"/>
    <b v="0"/>
    <s v="ELECTRICITY; GERMANY; WTT Estimated"/>
    <x v="1"/>
    <x v="1"/>
    <s v="Europe"/>
    <s v="Western Europe"/>
    <s v="DE"/>
    <m/>
    <n v="1"/>
    <s v="CO2E MKT"/>
    <n v="2824824.93"/>
    <n v="0.18538263099999999"/>
    <s v="KWH"/>
    <n v="1"/>
    <n v="15237808"/>
    <s v="AR4"/>
    <s v="Anthesis"/>
    <s v="The WTT factor was calculated using the ratio: ELECTRICITY; GERMANY, IEA to WTT- UK &amp; OVERSEAS ELEC; WTT- OVERSEAS ELECTRICITY (GENERATION); ELECTRICITY: GERMANY, Defra CO2e factor"/>
    <n v="2022"/>
    <n v="2020"/>
    <n v="0"/>
    <n v="2824.8249300000002"/>
    <x v="4"/>
    <s v="Office (with heat &amp; steam)"/>
  </r>
  <r>
    <n v="255499"/>
    <s v="Top of Hierarchy &gt; Europe &gt; Vantage_Leuna"/>
    <x v="3"/>
    <x v="0"/>
    <d v="2022-01-01T00:00:00"/>
    <d v="2022-12-31T00:00:00"/>
    <x v="0"/>
    <d v="2022-01-01T00:00:00"/>
    <d v="2022-12-31T00:00:00"/>
    <s v="Electricity (non-renewable)"/>
    <n v="15237808"/>
    <s v="Kilowatt hours"/>
    <x v="1"/>
    <m/>
    <s v="2023-04-26, 17:34"/>
    <s v="2023-07-20, 00:40"/>
    <n v="2022"/>
    <s v="electricity__t+d"/>
    <s v="Electricity T&amp;D"/>
    <s v="t+d"/>
    <b v="0"/>
    <s v="ELECTRICITY; TRANSMISSION AND DISTRIBUTION; GERMANY"/>
    <x v="1"/>
    <x v="1"/>
    <s v="Europe"/>
    <s v="Western Europe"/>
    <s v="DE"/>
    <m/>
    <n v="0"/>
    <s v="CO2E"/>
    <n v="217900.6544"/>
    <s v="RESTRICTED"/>
    <s v="KWH"/>
    <n v="1"/>
    <n v="15237808"/>
    <s v="AR4"/>
    <s v="IEA"/>
    <s v="IEA (2022)"/>
    <n v="2022"/>
    <n v="2020"/>
    <n v="217.90065440000001"/>
    <n v="0"/>
    <x v="4"/>
    <s v="Office (with heat &amp; steam)"/>
  </r>
  <r>
    <n v="255499"/>
    <s v="Top of Hierarchy &gt; Europe &gt; Vantage_Leuna"/>
    <x v="3"/>
    <x v="0"/>
    <d v="2022-01-01T00:00:00"/>
    <d v="2022-12-31T00:00:00"/>
    <x v="0"/>
    <d v="2022-01-01T00:00:00"/>
    <d v="2022-12-31T00:00:00"/>
    <s v="Electricity (non-renewable)"/>
    <n v="15237808"/>
    <s v="Kilowatt hours"/>
    <x v="1"/>
    <m/>
    <s v="2023-04-26, 17:34"/>
    <s v="2023-07-20, 00:40"/>
    <n v="2022"/>
    <s v="electricity__t+d"/>
    <s v="Electricity T&amp;D"/>
    <s v="t+d"/>
    <b v="0"/>
    <s v="ELECTRICITY; GERMANY; T&amp;D Estimated"/>
    <x v="1"/>
    <x v="1"/>
    <s v="Europe"/>
    <s v="Western Europe"/>
    <s v="DE"/>
    <m/>
    <n v="1"/>
    <s v="CO2E MKT"/>
    <n v="417226.66489999997"/>
    <n v="2.7381016000000001E-2"/>
    <s v="KWH"/>
    <n v="1"/>
    <n v="15237808"/>
    <s v="AR4"/>
    <s v="Anthesis"/>
    <s v="The T&amp;D factor was calculated using the ratio: ELECTRICITY; GERMANY, IEA to ELECTRICITY; TRANSMISSION AND DISTRIBUTION; GERMANY, IEA CO2e factor"/>
    <n v="2022"/>
    <n v="2020"/>
    <n v="0"/>
    <n v="417.22666489999995"/>
    <x v="4"/>
    <s v="Office (with heat &amp; steam)"/>
  </r>
  <r>
    <n v="255501"/>
    <s v="Top of Hierarchy &gt; Europe &gt; Vantage_Leuna"/>
    <x v="3"/>
    <x v="0"/>
    <d v="2022-01-01T00:00:00"/>
    <d v="2022-12-31T00:00:00"/>
    <x v="3"/>
    <d v="2022-01-01T00:00:00"/>
    <d v="2022-12-31T00:00:00"/>
    <s v="Natural gas"/>
    <n v="333"/>
    <s v="Kilowatt hours"/>
    <x v="1"/>
    <m/>
    <s v="2023-04-26, 17:35"/>
    <s v="2023-07-20, 00:40"/>
    <n v="2022"/>
    <s v="natural_gas"/>
    <s v="Natural Gas"/>
    <s v="model"/>
    <b v="0"/>
    <s v="FUELS; GASEOUS FUELS; NATURAL GAS"/>
    <x v="2"/>
    <x v="0"/>
    <s v="Europe"/>
    <m/>
    <m/>
    <m/>
    <n v="0"/>
    <s v="CH4"/>
    <n v="8.3250000000000005E-2"/>
    <n v="2.5000000000000001E-4"/>
    <s v="KWH (GROSS CV)"/>
    <n v="1"/>
    <n v="333"/>
    <s v="AR4"/>
    <s v="Defra"/>
    <s v="Defra (2022)"/>
    <n v="2022"/>
    <n v="2020"/>
    <n v="0"/>
    <n v="0"/>
    <x v="4"/>
    <s v="Office (with heat &amp; steam)"/>
  </r>
  <r>
    <n v="255501"/>
    <s v="Top of Hierarchy &gt; Europe &gt; Vantage_Leuna"/>
    <x v="3"/>
    <x v="0"/>
    <d v="2022-01-01T00:00:00"/>
    <d v="2022-12-31T00:00:00"/>
    <x v="3"/>
    <d v="2022-01-01T00:00:00"/>
    <d v="2022-12-31T00:00:00"/>
    <s v="Natural gas"/>
    <n v="333"/>
    <s v="Kilowatt hours"/>
    <x v="1"/>
    <m/>
    <s v="2023-04-26, 17:35"/>
    <s v="2023-07-20, 00:40"/>
    <n v="2022"/>
    <s v="natural_gas"/>
    <s v="Natural Gas"/>
    <s v="model"/>
    <b v="0"/>
    <s v="FUELS; GASEOUS FUELS; NATURAL GAS"/>
    <x v="2"/>
    <x v="0"/>
    <s v="Europe"/>
    <m/>
    <m/>
    <m/>
    <n v="0"/>
    <s v="CO2"/>
    <n v="60.669269999999997"/>
    <n v="0.18218999999999999"/>
    <s v="KWH (GROSS CV)"/>
    <n v="1"/>
    <n v="333"/>
    <s v="AR4"/>
    <s v="Defra"/>
    <s v="Defra (2022)"/>
    <n v="2022"/>
    <n v="2020"/>
    <n v="0"/>
    <n v="0"/>
    <x v="4"/>
    <s v="Office (with heat &amp; steam)"/>
  </r>
  <r>
    <n v="255501"/>
    <s v="Top of Hierarchy &gt; Europe &gt; Vantage_Leuna"/>
    <x v="3"/>
    <x v="0"/>
    <d v="2022-01-01T00:00:00"/>
    <d v="2022-12-31T00:00:00"/>
    <x v="3"/>
    <d v="2022-01-01T00:00:00"/>
    <d v="2022-12-31T00:00:00"/>
    <s v="Natural gas"/>
    <n v="333"/>
    <s v="Kilowatt hours"/>
    <x v="1"/>
    <m/>
    <s v="2023-04-26, 17:35"/>
    <s v="2023-07-20, 00:40"/>
    <n v="2022"/>
    <s v="natural_gas"/>
    <s v="Natural Gas"/>
    <s v="model"/>
    <b v="0"/>
    <s v="FUELS; GASEOUS FUELS; NATURAL GAS"/>
    <x v="2"/>
    <x v="0"/>
    <s v="Europe"/>
    <m/>
    <m/>
    <m/>
    <n v="0"/>
    <s v="CO2E"/>
    <n v="60.785820000000001"/>
    <n v="0.18254000000000001"/>
    <s v="KWH (GROSS CV)"/>
    <n v="1"/>
    <n v="333"/>
    <s v="AR4"/>
    <s v="Defra"/>
    <s v="Defra (2022)"/>
    <n v="2022"/>
    <n v="2020"/>
    <n v="6.0785820000000004E-2"/>
    <n v="0"/>
    <x v="4"/>
    <s v="Office (with heat &amp; steam)"/>
  </r>
  <r>
    <n v="255501"/>
    <s v="Top of Hierarchy &gt; Europe &gt; Vantage_Leuna"/>
    <x v="3"/>
    <x v="0"/>
    <d v="2022-01-01T00:00:00"/>
    <d v="2022-12-31T00:00:00"/>
    <x v="3"/>
    <d v="2022-01-01T00:00:00"/>
    <d v="2022-12-31T00:00:00"/>
    <s v="Natural gas"/>
    <n v="333"/>
    <s v="Kilowatt hours"/>
    <x v="1"/>
    <m/>
    <s v="2023-04-26, 17:35"/>
    <s v="2023-07-20, 00:40"/>
    <n v="2022"/>
    <s v="natural_gas"/>
    <s v="Natural Gas"/>
    <s v="model"/>
    <b v="0"/>
    <s v="FUELS; GASEOUS FUELS; NATURAL GAS"/>
    <x v="2"/>
    <x v="0"/>
    <s v="Europe"/>
    <m/>
    <m/>
    <m/>
    <n v="0"/>
    <s v="N2O"/>
    <n v="3.3300000000000003E-2"/>
    <n v="1E-4"/>
    <s v="KWH (GROSS CV)"/>
    <n v="1"/>
    <n v="333"/>
    <s v="AR4"/>
    <s v="Defra"/>
    <s v="Defra (2022)"/>
    <n v="2022"/>
    <n v="2020"/>
    <n v="0"/>
    <n v="0"/>
    <x v="4"/>
    <s v="Office (with heat &amp; steam)"/>
  </r>
  <r>
    <n v="255501"/>
    <s v="Top of Hierarchy &gt; Europe &gt; Vantage_Leuna"/>
    <x v="3"/>
    <x v="0"/>
    <d v="2022-01-01T00:00:00"/>
    <d v="2022-12-31T00:00:00"/>
    <x v="3"/>
    <d v="2022-01-01T00:00:00"/>
    <d v="2022-12-31T00:00:00"/>
    <s v="Natural gas"/>
    <n v="333"/>
    <s v="Kilowatt hours"/>
    <x v="1"/>
    <m/>
    <s v="2023-04-26, 17:35"/>
    <s v="2023-07-20, 00:40"/>
    <n v="2022"/>
    <s v="natural_gas"/>
    <s v="Natural Gas"/>
    <s v="model"/>
    <b v="0"/>
    <s v="FUELS; GASEOUS FUELS; NATURAL GAS"/>
    <x v="2"/>
    <x v="0"/>
    <s v="Europe"/>
    <m/>
    <m/>
    <m/>
    <n v="1"/>
    <s v="CH4"/>
    <n v="8.3250000000000005E-2"/>
    <n v="2.5000000000000001E-4"/>
    <s v="KWH (GROSS CV)"/>
    <n v="1"/>
    <n v="333"/>
    <s v="AR4"/>
    <s v="Defra"/>
    <s v="Defra (2022)"/>
    <n v="2022"/>
    <n v="2020"/>
    <n v="0"/>
    <n v="0"/>
    <x v="4"/>
    <s v="Office (with heat &amp; steam)"/>
  </r>
  <r>
    <n v="255501"/>
    <s v="Top of Hierarchy &gt; Europe &gt; Vantage_Leuna"/>
    <x v="3"/>
    <x v="0"/>
    <d v="2022-01-01T00:00:00"/>
    <d v="2022-12-31T00:00:00"/>
    <x v="3"/>
    <d v="2022-01-01T00:00:00"/>
    <d v="2022-12-31T00:00:00"/>
    <s v="Natural gas"/>
    <n v="333"/>
    <s v="Kilowatt hours"/>
    <x v="1"/>
    <m/>
    <s v="2023-04-26, 17:35"/>
    <s v="2023-07-20, 00:40"/>
    <n v="2022"/>
    <s v="natural_gas"/>
    <s v="Natural Gas"/>
    <s v="model"/>
    <b v="0"/>
    <s v="FUELS; GASEOUS FUELS; NATURAL GAS"/>
    <x v="2"/>
    <x v="0"/>
    <s v="Europe"/>
    <m/>
    <m/>
    <m/>
    <n v="1"/>
    <s v="CO2"/>
    <n v="60.669269999999997"/>
    <n v="0.18218999999999999"/>
    <s v="KWH (GROSS CV)"/>
    <n v="1"/>
    <n v="333"/>
    <s v="AR4"/>
    <s v="Defra"/>
    <s v="Defra (2022)"/>
    <n v="2022"/>
    <n v="2020"/>
    <n v="0"/>
    <n v="0"/>
    <x v="4"/>
    <s v="Office (with heat &amp; steam)"/>
  </r>
  <r>
    <n v="255501"/>
    <s v="Top of Hierarchy &gt; Europe &gt; Vantage_Leuna"/>
    <x v="3"/>
    <x v="0"/>
    <d v="2022-01-01T00:00:00"/>
    <d v="2022-12-31T00:00:00"/>
    <x v="3"/>
    <d v="2022-01-01T00:00:00"/>
    <d v="2022-12-31T00:00:00"/>
    <s v="Natural gas"/>
    <n v="333"/>
    <s v="Kilowatt hours"/>
    <x v="1"/>
    <m/>
    <s v="2023-04-26, 17:35"/>
    <s v="2023-07-20, 00:40"/>
    <n v="2022"/>
    <s v="natural_gas"/>
    <s v="Natural Gas"/>
    <s v="model"/>
    <b v="0"/>
    <s v="FUELS; GASEOUS FUELS; NATURAL GAS"/>
    <x v="2"/>
    <x v="0"/>
    <s v="Europe"/>
    <m/>
    <m/>
    <m/>
    <n v="1"/>
    <s v="CO2E"/>
    <n v="60.785820000000001"/>
    <n v="0.18254000000000001"/>
    <s v="KWH (GROSS CV)"/>
    <n v="1"/>
    <n v="333"/>
    <s v="AR4"/>
    <s v="Defra"/>
    <s v="Defra (2022)"/>
    <n v="2022"/>
    <n v="2020"/>
    <n v="0"/>
    <n v="6.0785820000000004E-2"/>
    <x v="4"/>
    <s v="Office (with heat &amp; steam)"/>
  </r>
  <r>
    <n v="255501"/>
    <s v="Top of Hierarchy &gt; Europe &gt; Vantage_Leuna"/>
    <x v="3"/>
    <x v="0"/>
    <d v="2022-01-01T00:00:00"/>
    <d v="2022-12-31T00:00:00"/>
    <x v="3"/>
    <d v="2022-01-01T00:00:00"/>
    <d v="2022-12-31T00:00:00"/>
    <s v="Natural gas"/>
    <n v="333"/>
    <s v="Kilowatt hours"/>
    <x v="1"/>
    <m/>
    <s v="2023-04-26, 17:35"/>
    <s v="2023-07-20, 00:40"/>
    <n v="2022"/>
    <s v="natural_gas"/>
    <s v="Natural Gas"/>
    <s v="model"/>
    <b v="0"/>
    <s v="FUELS; GASEOUS FUELS; NATURAL GAS"/>
    <x v="2"/>
    <x v="0"/>
    <s v="Europe"/>
    <m/>
    <m/>
    <m/>
    <n v="1"/>
    <s v="N2O"/>
    <n v="3.3300000000000003E-2"/>
    <n v="1E-4"/>
    <s v="KWH (GROSS CV)"/>
    <n v="1"/>
    <n v="333"/>
    <s v="AR4"/>
    <s v="Defra"/>
    <s v="Defra (2022)"/>
    <n v="2022"/>
    <n v="2020"/>
    <n v="0"/>
    <n v="0"/>
    <x v="4"/>
    <s v="Office (with heat &amp; steam)"/>
  </r>
  <r>
    <n v="255501"/>
    <s v="Top of Hierarchy &gt; Europe &gt; Vantage_Leuna"/>
    <x v="3"/>
    <x v="0"/>
    <d v="2022-01-01T00:00:00"/>
    <d v="2022-12-31T00:00:00"/>
    <x v="3"/>
    <d v="2022-01-01T00:00:00"/>
    <d v="2022-12-31T00:00:00"/>
    <s v="Natural gas"/>
    <n v="333"/>
    <s v="Kilowatt hours"/>
    <x v="1"/>
    <m/>
    <s v="2023-04-26, 17:35"/>
    <s v="2023-07-20, 00:40"/>
    <n v="2022"/>
    <s v="natural_gas__wtt"/>
    <s v="Natural Gas WTT"/>
    <s v="wtt"/>
    <b v="0"/>
    <s v="WTT- FUELS; GASEOUS FUELS; NATURAL GAS"/>
    <x v="1"/>
    <x v="1"/>
    <s v="Europe"/>
    <m/>
    <m/>
    <m/>
    <n v="0"/>
    <s v="CO2E"/>
    <n v="10.356299999999999"/>
    <n v="3.1099999999999999E-2"/>
    <s v="KWH (GROSS CV)"/>
    <n v="1"/>
    <n v="333"/>
    <s v="AR4"/>
    <s v="Defra"/>
    <s v="Defra (2022)"/>
    <n v="2022"/>
    <n v="2020"/>
    <n v="1.0356299999999999E-2"/>
    <n v="0"/>
    <x v="4"/>
    <s v="Office (with heat &amp; steam)"/>
  </r>
  <r>
    <n v="255501"/>
    <s v="Top of Hierarchy &gt; Europe &gt; Vantage_Leuna"/>
    <x v="3"/>
    <x v="0"/>
    <d v="2022-01-01T00:00:00"/>
    <d v="2022-12-31T00:00:00"/>
    <x v="3"/>
    <d v="2022-01-01T00:00:00"/>
    <d v="2022-12-31T00:00:00"/>
    <s v="Natural gas"/>
    <n v="333"/>
    <s v="Kilowatt hours"/>
    <x v="1"/>
    <m/>
    <s v="2023-04-26, 17:35"/>
    <s v="2023-07-20, 00:40"/>
    <n v="2022"/>
    <s v="natural_gas__wtt"/>
    <s v="Natural Gas WTT"/>
    <s v="wtt"/>
    <b v="0"/>
    <s v="WTT- FUELS; GASEOUS FUELS; NATURAL GAS"/>
    <x v="1"/>
    <x v="1"/>
    <s v="Europe"/>
    <m/>
    <m/>
    <m/>
    <n v="1"/>
    <s v="CO2E"/>
    <n v="10.356299999999999"/>
    <n v="3.1099999999999999E-2"/>
    <s v="KWH (GROSS CV)"/>
    <n v="1"/>
    <n v="333"/>
    <s v="AR4"/>
    <s v="Defra"/>
    <s v="Defra (2022)"/>
    <n v="2022"/>
    <n v="2020"/>
    <n v="0"/>
    <n v="1.0356299999999999E-2"/>
    <x v="4"/>
    <s v="Office (with heat &amp; steam)"/>
  </r>
  <r>
    <n v="255503"/>
    <s v="Top of Hierarchy &gt; Europe &gt; Vantage_Leuna"/>
    <x v="3"/>
    <x v="0"/>
    <d v="2022-01-01T00:00:00"/>
    <d v="2022-12-31T00:00:00"/>
    <x v="1"/>
    <d v="2022-01-01T00:00:00"/>
    <d v="2022-12-31T00:00:00"/>
    <s v="Petrol (average biofuel blend)"/>
    <n v="5895.22"/>
    <s v="litres"/>
    <x v="1"/>
    <m/>
    <s v="2023-04-26, 17:36"/>
    <s v="2023-07-20, 00:40"/>
    <n v="2022"/>
    <s v="petrol_avg_biofuel_blend"/>
    <s v="Petrol (Average Biofuel Blend)"/>
    <s v="model"/>
    <b v="0"/>
    <s v="FUELS; LIQUID FUELS; PETROL (AVERAGE BIOFUEL BLEND)"/>
    <x v="2"/>
    <x v="0"/>
    <s v="Europe"/>
    <m/>
    <m/>
    <m/>
    <n v="0"/>
    <s v="CH4"/>
    <n v="42.445583999999997"/>
    <n v="7.1999999999999998E-3"/>
    <s v="LITRES"/>
    <n v="1"/>
    <n v="5895.22"/>
    <s v="AR4"/>
    <s v="Defra"/>
    <s v="Defra (2022)"/>
    <n v="2022"/>
    <n v="2020"/>
    <n v="0"/>
    <n v="0"/>
    <x v="4"/>
    <s v="Office (with heat &amp; steam)"/>
  </r>
  <r>
    <n v="255503"/>
    <s v="Top of Hierarchy &gt; Europe &gt; Vantage_Leuna"/>
    <x v="3"/>
    <x v="0"/>
    <d v="2022-01-01T00:00:00"/>
    <d v="2022-12-31T00:00:00"/>
    <x v="1"/>
    <d v="2022-01-01T00:00:00"/>
    <d v="2022-12-31T00:00:00"/>
    <s v="Petrol (average biofuel blend)"/>
    <n v="5895.22"/>
    <s v="litres"/>
    <x v="1"/>
    <m/>
    <s v="2023-04-26, 17:36"/>
    <s v="2023-07-20, 00:40"/>
    <n v="2022"/>
    <s v="petrol_avg_biofuel_blend"/>
    <s v="Petrol (Average Biofuel Blend)"/>
    <s v="model"/>
    <b v="0"/>
    <s v="FUELS; LIQUID FUELS; PETROL (AVERAGE BIOFUEL BLEND)"/>
    <x v="2"/>
    <x v="0"/>
    <s v="Europe"/>
    <m/>
    <m/>
    <m/>
    <n v="0"/>
    <s v="CO2"/>
    <n v="12663.22732"/>
    <n v="2.14805"/>
    <s v="LITRES"/>
    <n v="1"/>
    <n v="5895.22"/>
    <s v="AR4"/>
    <s v="Defra"/>
    <s v="Defra (2022)"/>
    <n v="2022"/>
    <n v="2020"/>
    <n v="0"/>
    <n v="0"/>
    <x v="4"/>
    <s v="Office (with heat &amp; steam)"/>
  </r>
  <r>
    <n v="255503"/>
    <s v="Top of Hierarchy &gt; Europe &gt; Vantage_Leuna"/>
    <x v="3"/>
    <x v="0"/>
    <d v="2022-01-01T00:00:00"/>
    <d v="2022-12-31T00:00:00"/>
    <x v="1"/>
    <d v="2022-01-01T00:00:00"/>
    <d v="2022-12-31T00:00:00"/>
    <s v="Petrol (average biofuel blend)"/>
    <n v="5895.22"/>
    <s v="litres"/>
    <x v="1"/>
    <m/>
    <s v="2023-04-26, 17:36"/>
    <s v="2023-07-20, 00:40"/>
    <n v="2022"/>
    <s v="petrol_avg_biofuel_blend"/>
    <s v="Petrol (Average Biofuel Blend)"/>
    <s v="model"/>
    <b v="0"/>
    <s v="FUELS; LIQUID FUELS; PETROL (AVERAGE BIOFUEL BLEND)"/>
    <x v="2"/>
    <x v="0"/>
    <s v="Europe"/>
    <m/>
    <m/>
    <m/>
    <n v="0"/>
    <s v="CO2E"/>
    <n v="12744.58136"/>
    <n v="2.1618499999999998"/>
    <s v="LITRES"/>
    <n v="1"/>
    <n v="5895.22"/>
    <s v="AR4"/>
    <s v="Defra"/>
    <s v="Defra (2022)"/>
    <n v="2022"/>
    <n v="2020"/>
    <n v="12.74458136"/>
    <n v="0"/>
    <x v="4"/>
    <s v="Office (with heat &amp; steam)"/>
  </r>
  <r>
    <n v="255503"/>
    <s v="Top of Hierarchy &gt; Europe &gt; Vantage_Leuna"/>
    <x v="3"/>
    <x v="0"/>
    <d v="2022-01-01T00:00:00"/>
    <d v="2022-12-31T00:00:00"/>
    <x v="1"/>
    <d v="2022-01-01T00:00:00"/>
    <d v="2022-12-31T00:00:00"/>
    <s v="Petrol (average biofuel blend)"/>
    <n v="5895.22"/>
    <s v="litres"/>
    <x v="1"/>
    <m/>
    <s v="2023-04-26, 17:36"/>
    <s v="2023-07-20, 00:40"/>
    <n v="2022"/>
    <s v="petrol_avg_biofuel_blend"/>
    <s v="Petrol (Average Biofuel Blend)"/>
    <s v="model"/>
    <b v="0"/>
    <s v="FUELS; LIQUID FUELS; PETROL (AVERAGE BIOFUEL BLEND)"/>
    <x v="2"/>
    <x v="0"/>
    <s v="Europe"/>
    <m/>
    <m/>
    <m/>
    <n v="0"/>
    <s v="N2O"/>
    <n v="38.908451999999997"/>
    <n v="6.6E-3"/>
    <s v="LITRES"/>
    <n v="1"/>
    <n v="5895.22"/>
    <s v="AR4"/>
    <s v="Defra"/>
    <s v="Defra (2022)"/>
    <n v="2022"/>
    <n v="2020"/>
    <n v="0"/>
    <n v="0"/>
    <x v="4"/>
    <s v="Office (with heat &amp; steam)"/>
  </r>
  <r>
    <n v="255503"/>
    <s v="Top of Hierarchy &gt; Europe &gt; Vantage_Leuna"/>
    <x v="3"/>
    <x v="0"/>
    <d v="2022-01-01T00:00:00"/>
    <d v="2022-12-31T00:00:00"/>
    <x v="1"/>
    <d v="2022-01-01T00:00:00"/>
    <d v="2022-12-31T00:00:00"/>
    <s v="Petrol (average biofuel blend)"/>
    <n v="5895.22"/>
    <s v="litres"/>
    <x v="1"/>
    <m/>
    <s v="2023-04-26, 17:36"/>
    <s v="2023-07-20, 00:40"/>
    <n v="2022"/>
    <s v="petrol_avg_biofuel_blend"/>
    <s v="Petrol (Average Biofuel Blend)"/>
    <s v="model"/>
    <b v="0"/>
    <s v="FUELS; LIQUID FUELS; PETROL (AVERAGE BIOFUEL BLEND)"/>
    <x v="2"/>
    <x v="0"/>
    <s v="Europe"/>
    <m/>
    <m/>
    <m/>
    <n v="1"/>
    <s v="CH4"/>
    <n v="42.445583999999997"/>
    <n v="7.1999999999999998E-3"/>
    <s v="LITRES"/>
    <n v="1"/>
    <n v="5895.22"/>
    <s v="AR4"/>
    <s v="Defra"/>
    <s v="Defra (2022)"/>
    <n v="2022"/>
    <n v="2020"/>
    <n v="0"/>
    <n v="0"/>
    <x v="4"/>
    <s v="Office (with heat &amp; steam)"/>
  </r>
  <r>
    <n v="255503"/>
    <s v="Top of Hierarchy &gt; Europe &gt; Vantage_Leuna"/>
    <x v="3"/>
    <x v="0"/>
    <d v="2022-01-01T00:00:00"/>
    <d v="2022-12-31T00:00:00"/>
    <x v="1"/>
    <d v="2022-01-01T00:00:00"/>
    <d v="2022-12-31T00:00:00"/>
    <s v="Petrol (average biofuel blend)"/>
    <n v="5895.22"/>
    <s v="litres"/>
    <x v="1"/>
    <m/>
    <s v="2023-04-26, 17:36"/>
    <s v="2023-07-20, 00:40"/>
    <n v="2022"/>
    <s v="petrol_avg_biofuel_blend"/>
    <s v="Petrol (Average Biofuel Blend)"/>
    <s v="model"/>
    <b v="0"/>
    <s v="FUELS; LIQUID FUELS; PETROL (AVERAGE BIOFUEL BLEND)"/>
    <x v="2"/>
    <x v="0"/>
    <s v="Europe"/>
    <m/>
    <m/>
    <m/>
    <n v="1"/>
    <s v="CO2"/>
    <n v="12663.22732"/>
    <n v="2.14805"/>
    <s v="LITRES"/>
    <n v="1"/>
    <n v="5895.22"/>
    <s v="AR4"/>
    <s v="Defra"/>
    <s v="Defra (2022)"/>
    <n v="2022"/>
    <n v="2020"/>
    <n v="0"/>
    <n v="0"/>
    <x v="4"/>
    <s v="Office (with heat &amp; steam)"/>
  </r>
  <r>
    <n v="255503"/>
    <s v="Top of Hierarchy &gt; Europe &gt; Vantage_Leuna"/>
    <x v="3"/>
    <x v="0"/>
    <d v="2022-01-01T00:00:00"/>
    <d v="2022-12-31T00:00:00"/>
    <x v="1"/>
    <d v="2022-01-01T00:00:00"/>
    <d v="2022-12-31T00:00:00"/>
    <s v="Petrol (average biofuel blend)"/>
    <n v="5895.22"/>
    <s v="litres"/>
    <x v="1"/>
    <m/>
    <s v="2023-04-26, 17:36"/>
    <s v="2023-07-20, 00:40"/>
    <n v="2022"/>
    <s v="petrol_avg_biofuel_blend"/>
    <s v="Petrol (Average Biofuel Blend)"/>
    <s v="model"/>
    <b v="0"/>
    <s v="FUELS; LIQUID FUELS; PETROL (AVERAGE BIOFUEL BLEND)"/>
    <x v="2"/>
    <x v="0"/>
    <s v="Europe"/>
    <m/>
    <m/>
    <m/>
    <n v="1"/>
    <s v="CO2E"/>
    <n v="12744.58136"/>
    <n v="2.1618499999999998"/>
    <s v="LITRES"/>
    <n v="1"/>
    <n v="5895.22"/>
    <s v="AR4"/>
    <s v="Defra"/>
    <s v="Defra (2022)"/>
    <n v="2022"/>
    <n v="2020"/>
    <n v="0"/>
    <n v="12.74458136"/>
    <x v="4"/>
    <s v="Office (with heat &amp; steam)"/>
  </r>
  <r>
    <n v="255503"/>
    <s v="Top of Hierarchy &gt; Europe &gt; Vantage_Leuna"/>
    <x v="3"/>
    <x v="0"/>
    <d v="2022-01-01T00:00:00"/>
    <d v="2022-12-31T00:00:00"/>
    <x v="1"/>
    <d v="2022-01-01T00:00:00"/>
    <d v="2022-12-31T00:00:00"/>
    <s v="Petrol (average biofuel blend)"/>
    <n v="5895.22"/>
    <s v="litres"/>
    <x v="1"/>
    <m/>
    <s v="2023-04-26, 17:36"/>
    <s v="2023-07-20, 00:40"/>
    <n v="2022"/>
    <s v="petrol_avg_biofuel_blend"/>
    <s v="Petrol (Average Biofuel Blend)"/>
    <s v="model"/>
    <b v="0"/>
    <s v="FUELS; LIQUID FUELS; PETROL (AVERAGE BIOFUEL BLEND)"/>
    <x v="2"/>
    <x v="0"/>
    <s v="Europe"/>
    <m/>
    <m/>
    <m/>
    <n v="1"/>
    <s v="N2O"/>
    <n v="38.908451999999997"/>
    <n v="6.6E-3"/>
    <s v="LITRES"/>
    <n v="1"/>
    <n v="5895.22"/>
    <s v="AR4"/>
    <s v="Defra"/>
    <s v="Defra (2022)"/>
    <n v="2022"/>
    <n v="2020"/>
    <n v="0"/>
    <n v="0"/>
    <x v="4"/>
    <s v="Office (with heat &amp; steam)"/>
  </r>
  <r>
    <n v="255503"/>
    <s v="Top of Hierarchy &gt; Europe &gt; Vantage_Leuna"/>
    <x v="3"/>
    <x v="0"/>
    <d v="2022-01-01T00:00:00"/>
    <d v="2022-12-31T00:00:00"/>
    <x v="1"/>
    <d v="2022-01-01T00:00:00"/>
    <d v="2022-12-31T00:00:00"/>
    <s v="Petrol (average biofuel blend)"/>
    <n v="5895.22"/>
    <s v="litres"/>
    <x v="1"/>
    <m/>
    <s v="2023-04-26, 17:36"/>
    <s v="2023-07-20, 00:40"/>
    <n v="2022"/>
    <s v="petrol_avg_biofuel_blend__wtt"/>
    <s v="Petrol (Average Biofuel Blend) WTT"/>
    <s v="wtt"/>
    <b v="0"/>
    <s v="WTT- FUELS; LIQUID FUELS; PETROL (AVERAGE BIOFUEL BLEND)"/>
    <x v="1"/>
    <x v="1"/>
    <s v="Europe"/>
    <m/>
    <m/>
    <m/>
    <n v="0"/>
    <s v="CO2E"/>
    <n v="3615.4205219999999"/>
    <n v="0.61328000000000005"/>
    <s v="LITRES"/>
    <n v="1"/>
    <n v="5895.22"/>
    <s v="AR4"/>
    <s v="Defra"/>
    <s v="Defra (2022)"/>
    <n v="2022"/>
    <n v="2020"/>
    <n v="3.615420522"/>
    <n v="0"/>
    <x v="4"/>
    <s v="Office (with heat &amp; steam)"/>
  </r>
  <r>
    <n v="255503"/>
    <s v="Top of Hierarchy &gt; Europe &gt; Vantage_Leuna"/>
    <x v="3"/>
    <x v="0"/>
    <d v="2022-01-01T00:00:00"/>
    <d v="2022-12-31T00:00:00"/>
    <x v="1"/>
    <d v="2022-01-01T00:00:00"/>
    <d v="2022-12-31T00:00:00"/>
    <s v="Petrol (average biofuel blend)"/>
    <n v="5895.22"/>
    <s v="litres"/>
    <x v="1"/>
    <m/>
    <s v="2023-04-26, 17:36"/>
    <s v="2023-07-20, 00:40"/>
    <n v="2022"/>
    <s v="petrol_avg_biofuel_blend__wtt"/>
    <s v="Petrol (Average Biofuel Blend) WTT"/>
    <s v="wtt"/>
    <b v="0"/>
    <s v="WTT- FUELS; LIQUID FUELS; PETROL (AVERAGE BIOFUEL BLEND)"/>
    <x v="1"/>
    <x v="1"/>
    <s v="Europe"/>
    <m/>
    <m/>
    <m/>
    <n v="1"/>
    <s v="CO2E"/>
    <n v="3615.4205219999999"/>
    <n v="0.61328000000000005"/>
    <s v="LITRES"/>
    <n v="1"/>
    <n v="5895.22"/>
    <s v="AR4"/>
    <s v="Defra"/>
    <s v="Defra (2022)"/>
    <n v="2022"/>
    <n v="2020"/>
    <n v="0"/>
    <n v="3.615420522"/>
    <x v="4"/>
    <s v="Office (with heat &amp; steam)"/>
  </r>
  <r>
    <n v="255506"/>
    <s v="Top of Hierarchy &gt; Europe &gt; Vantage_Leuna"/>
    <x v="3"/>
    <x v="0"/>
    <d v="2022-01-01T00:00:00"/>
    <d v="2022-12-31T00:00:00"/>
    <x v="1"/>
    <d v="2022-01-01T00:00:00"/>
    <d v="2022-12-31T00:00:00"/>
    <s v="Diesel (average biofuel blend)"/>
    <n v="9842.58"/>
    <s v="litres"/>
    <x v="1"/>
    <m/>
    <s v="2023-04-26, 17:39"/>
    <s v="2023-07-20, 00:40"/>
    <n v="2022"/>
    <s v="diesel_avg_biofuel_blend"/>
    <s v="Diesel (Average Biofuel Blend)"/>
    <s v="model"/>
    <b v="0"/>
    <s v="FUELS; LIQUID FUELS; DIESEL (AVERAGE BIOFUEL BLEND)"/>
    <x v="2"/>
    <x v="0"/>
    <s v="Europe"/>
    <m/>
    <m/>
    <m/>
    <n v="0"/>
    <s v="CH4"/>
    <n v="2.5590708000000002"/>
    <n v="2.5999999999999998E-4"/>
    <s v="LITRES"/>
    <n v="1"/>
    <n v="9842.58"/>
    <s v="AR4"/>
    <s v="Defra"/>
    <s v="Defra (2022)"/>
    <n v="2022"/>
    <n v="2020"/>
    <n v="0"/>
    <n v="0"/>
    <x v="4"/>
    <s v="Office (with heat &amp; steam)"/>
  </r>
  <r>
    <n v="255506"/>
    <s v="Top of Hierarchy &gt; Europe &gt; Vantage_Leuna"/>
    <x v="3"/>
    <x v="0"/>
    <d v="2022-01-01T00:00:00"/>
    <d v="2022-12-31T00:00:00"/>
    <x v="1"/>
    <d v="2022-01-01T00:00:00"/>
    <d v="2022-12-31T00:00:00"/>
    <s v="Diesel (average biofuel blend)"/>
    <n v="9842.58"/>
    <s v="litres"/>
    <x v="1"/>
    <m/>
    <s v="2023-04-26, 17:39"/>
    <s v="2023-07-20, 00:40"/>
    <n v="2022"/>
    <s v="diesel_avg_biofuel_blend"/>
    <s v="Diesel (Average Biofuel Blend)"/>
    <s v="model"/>
    <b v="0"/>
    <s v="FUELS; LIQUID FUELS; DIESEL (AVERAGE BIOFUEL BLEND)"/>
    <x v="2"/>
    <x v="0"/>
    <s v="Europe"/>
    <m/>
    <m/>
    <m/>
    <n v="0"/>
    <s v="CO2"/>
    <n v="24809.010300000002"/>
    <n v="2.5205799999999998"/>
    <s v="LITRES"/>
    <n v="1"/>
    <n v="9842.58"/>
    <s v="AR4"/>
    <s v="Defra"/>
    <s v="Defra (2022)"/>
    <n v="2022"/>
    <n v="2020"/>
    <n v="0"/>
    <n v="0"/>
    <x v="4"/>
    <s v="Office (with heat &amp; steam)"/>
  </r>
  <r>
    <n v="255506"/>
    <s v="Top of Hierarchy &gt; Europe &gt; Vantage_Leuna"/>
    <x v="3"/>
    <x v="0"/>
    <d v="2022-01-01T00:00:00"/>
    <d v="2022-12-31T00:00:00"/>
    <x v="1"/>
    <d v="2022-01-01T00:00:00"/>
    <d v="2022-12-31T00:00:00"/>
    <s v="Diesel (average biofuel blend)"/>
    <n v="9842.58"/>
    <s v="litres"/>
    <x v="1"/>
    <m/>
    <s v="2023-04-26, 17:39"/>
    <s v="2023-07-20, 00:40"/>
    <n v="2022"/>
    <s v="diesel_avg_biofuel_blend"/>
    <s v="Diesel (Average Biofuel Blend)"/>
    <s v="model"/>
    <b v="0"/>
    <s v="FUELS; LIQUID FUELS; DIESEL (AVERAGE BIOFUEL BLEND)"/>
    <x v="2"/>
    <x v="0"/>
    <s v="Europe"/>
    <m/>
    <m/>
    <m/>
    <n v="0"/>
    <s v="CO2E"/>
    <n v="25175.74483"/>
    <n v="2.5578400000000001"/>
    <s v="LITRES"/>
    <n v="1"/>
    <n v="9842.58"/>
    <s v="AR4"/>
    <s v="Defra"/>
    <s v="Defra (2022)"/>
    <n v="2022"/>
    <n v="2020"/>
    <n v="25.175744829999999"/>
    <n v="0"/>
    <x v="4"/>
    <s v="Office (with heat &amp; steam)"/>
  </r>
  <r>
    <n v="255506"/>
    <s v="Top of Hierarchy &gt; Europe &gt; Vantage_Leuna"/>
    <x v="3"/>
    <x v="0"/>
    <d v="2022-01-01T00:00:00"/>
    <d v="2022-12-31T00:00:00"/>
    <x v="1"/>
    <d v="2022-01-01T00:00:00"/>
    <d v="2022-12-31T00:00:00"/>
    <s v="Diesel (average biofuel blend)"/>
    <n v="9842.58"/>
    <s v="litres"/>
    <x v="1"/>
    <m/>
    <s v="2023-04-26, 17:39"/>
    <s v="2023-07-20, 00:40"/>
    <n v="2022"/>
    <s v="diesel_avg_biofuel_blend"/>
    <s v="Diesel (Average Biofuel Blend)"/>
    <s v="model"/>
    <b v="0"/>
    <s v="FUELS; LIQUID FUELS; DIESEL (AVERAGE BIOFUEL BLEND)"/>
    <x v="2"/>
    <x v="0"/>
    <s v="Europe"/>
    <m/>
    <m/>
    <m/>
    <n v="0"/>
    <s v="N2O"/>
    <n v="364.17545999999999"/>
    <n v="3.6999999999999998E-2"/>
    <s v="LITRES"/>
    <n v="1"/>
    <n v="9842.58"/>
    <s v="AR4"/>
    <s v="Defra"/>
    <s v="Defra (2022)"/>
    <n v="2022"/>
    <n v="2020"/>
    <n v="0"/>
    <n v="0"/>
    <x v="4"/>
    <s v="Office (with heat &amp; steam)"/>
  </r>
  <r>
    <n v="255506"/>
    <s v="Top of Hierarchy &gt; Europe &gt; Vantage_Leuna"/>
    <x v="3"/>
    <x v="0"/>
    <d v="2022-01-01T00:00:00"/>
    <d v="2022-12-31T00:00:00"/>
    <x v="1"/>
    <d v="2022-01-01T00:00:00"/>
    <d v="2022-12-31T00:00:00"/>
    <s v="Diesel (average biofuel blend)"/>
    <n v="9842.58"/>
    <s v="litres"/>
    <x v="1"/>
    <m/>
    <s v="2023-04-26, 17:39"/>
    <s v="2023-07-20, 00:40"/>
    <n v="2022"/>
    <s v="diesel_avg_biofuel_blend"/>
    <s v="Diesel (Average Biofuel Blend)"/>
    <s v="model"/>
    <b v="0"/>
    <s v="FUELS; LIQUID FUELS; DIESEL (AVERAGE BIOFUEL BLEND)"/>
    <x v="2"/>
    <x v="0"/>
    <s v="Europe"/>
    <m/>
    <m/>
    <m/>
    <n v="1"/>
    <s v="CH4"/>
    <n v="2.5590708000000002"/>
    <n v="2.5999999999999998E-4"/>
    <s v="LITRES"/>
    <n v="1"/>
    <n v="9842.58"/>
    <s v="AR4"/>
    <s v="Defra"/>
    <s v="Defra (2022)"/>
    <n v="2022"/>
    <n v="2020"/>
    <n v="0"/>
    <n v="0"/>
    <x v="4"/>
    <s v="Office (with heat &amp; steam)"/>
  </r>
  <r>
    <n v="255506"/>
    <s v="Top of Hierarchy &gt; Europe &gt; Vantage_Leuna"/>
    <x v="3"/>
    <x v="0"/>
    <d v="2022-01-01T00:00:00"/>
    <d v="2022-12-31T00:00:00"/>
    <x v="1"/>
    <d v="2022-01-01T00:00:00"/>
    <d v="2022-12-31T00:00:00"/>
    <s v="Diesel (average biofuel blend)"/>
    <n v="9842.58"/>
    <s v="litres"/>
    <x v="1"/>
    <m/>
    <s v="2023-04-26, 17:39"/>
    <s v="2023-07-20, 00:40"/>
    <n v="2022"/>
    <s v="diesel_avg_biofuel_blend"/>
    <s v="Diesel (Average Biofuel Blend)"/>
    <s v="model"/>
    <b v="0"/>
    <s v="FUELS; LIQUID FUELS; DIESEL (AVERAGE BIOFUEL BLEND)"/>
    <x v="2"/>
    <x v="0"/>
    <s v="Europe"/>
    <m/>
    <m/>
    <m/>
    <n v="1"/>
    <s v="CO2"/>
    <n v="24809.010300000002"/>
    <n v="2.5205799999999998"/>
    <s v="LITRES"/>
    <n v="1"/>
    <n v="9842.58"/>
    <s v="AR4"/>
    <s v="Defra"/>
    <s v="Defra (2022)"/>
    <n v="2022"/>
    <n v="2020"/>
    <n v="0"/>
    <n v="0"/>
    <x v="4"/>
    <s v="Office (with heat &amp; steam)"/>
  </r>
  <r>
    <n v="255506"/>
    <s v="Top of Hierarchy &gt; Europe &gt; Vantage_Leuna"/>
    <x v="3"/>
    <x v="0"/>
    <d v="2022-01-01T00:00:00"/>
    <d v="2022-12-31T00:00:00"/>
    <x v="1"/>
    <d v="2022-01-01T00:00:00"/>
    <d v="2022-12-31T00:00:00"/>
    <s v="Diesel (average biofuel blend)"/>
    <n v="9842.58"/>
    <s v="litres"/>
    <x v="1"/>
    <m/>
    <s v="2023-04-26, 17:39"/>
    <s v="2023-07-20, 00:40"/>
    <n v="2022"/>
    <s v="diesel_avg_biofuel_blend"/>
    <s v="Diesel (Average Biofuel Blend)"/>
    <s v="model"/>
    <b v="0"/>
    <s v="FUELS; LIQUID FUELS; DIESEL (AVERAGE BIOFUEL BLEND)"/>
    <x v="2"/>
    <x v="0"/>
    <s v="Europe"/>
    <m/>
    <m/>
    <m/>
    <n v="1"/>
    <s v="CO2E"/>
    <n v="25175.74483"/>
    <n v="2.5578400000000001"/>
    <s v="LITRES"/>
    <n v="1"/>
    <n v="9842.58"/>
    <s v="AR4"/>
    <s v="Defra"/>
    <s v="Defra (2022)"/>
    <n v="2022"/>
    <n v="2020"/>
    <n v="0"/>
    <n v="25.175744829999999"/>
    <x v="4"/>
    <s v="Office (with heat &amp; steam)"/>
  </r>
  <r>
    <n v="255506"/>
    <s v="Top of Hierarchy &gt; Europe &gt; Vantage_Leuna"/>
    <x v="3"/>
    <x v="0"/>
    <d v="2022-01-01T00:00:00"/>
    <d v="2022-12-31T00:00:00"/>
    <x v="1"/>
    <d v="2022-01-01T00:00:00"/>
    <d v="2022-12-31T00:00:00"/>
    <s v="Diesel (average biofuel blend)"/>
    <n v="9842.58"/>
    <s v="litres"/>
    <x v="1"/>
    <m/>
    <s v="2023-04-26, 17:39"/>
    <s v="2023-07-20, 00:40"/>
    <n v="2022"/>
    <s v="diesel_avg_biofuel_blend"/>
    <s v="Diesel (Average Biofuel Blend)"/>
    <s v="model"/>
    <b v="0"/>
    <s v="FUELS; LIQUID FUELS; DIESEL (AVERAGE BIOFUEL BLEND)"/>
    <x v="2"/>
    <x v="0"/>
    <s v="Europe"/>
    <m/>
    <m/>
    <m/>
    <n v="1"/>
    <s v="N2O"/>
    <n v="364.17545999999999"/>
    <n v="3.6999999999999998E-2"/>
    <s v="LITRES"/>
    <n v="1"/>
    <n v="9842.58"/>
    <s v="AR4"/>
    <s v="Defra"/>
    <s v="Defra (2022)"/>
    <n v="2022"/>
    <n v="2020"/>
    <n v="0"/>
    <n v="0"/>
    <x v="4"/>
    <s v="Office (with heat &amp; steam)"/>
  </r>
  <r>
    <n v="255506"/>
    <s v="Top of Hierarchy &gt; Europe &gt; Vantage_Leuna"/>
    <x v="3"/>
    <x v="0"/>
    <d v="2022-01-01T00:00:00"/>
    <d v="2022-12-31T00:00:00"/>
    <x v="1"/>
    <d v="2022-01-01T00:00:00"/>
    <d v="2022-12-31T00:00:00"/>
    <s v="Diesel (average biofuel blend)"/>
    <n v="9842.58"/>
    <s v="litres"/>
    <x v="1"/>
    <m/>
    <s v="2023-04-26, 17:39"/>
    <s v="2023-07-20, 00:40"/>
    <n v="2022"/>
    <s v="diesel_avg_biofuel_blend__wtt"/>
    <s v="Diesel (Average Biofuel Blend) WTT"/>
    <s v="wtt"/>
    <b v="0"/>
    <s v="WTT- FUELS; LIQUID FUELS; DIESEL (AVERAGE BIOFUEL BLEND)"/>
    <x v="1"/>
    <x v="1"/>
    <s v="Europe"/>
    <m/>
    <m/>
    <m/>
    <n v="0"/>
    <s v="CO2E"/>
    <n v="6002.5958389999996"/>
    <n v="0.60985999999999996"/>
    <s v="LITRES"/>
    <n v="1"/>
    <n v="9842.58"/>
    <s v="AR4"/>
    <s v="Defra"/>
    <s v="Defra (2022)"/>
    <n v="2022"/>
    <n v="2020"/>
    <n v="6.0025958389999996"/>
    <n v="0"/>
    <x v="4"/>
    <s v="Office (with heat &amp; steam)"/>
  </r>
  <r>
    <n v="255506"/>
    <s v="Top of Hierarchy &gt; Europe &gt; Vantage_Leuna"/>
    <x v="3"/>
    <x v="0"/>
    <d v="2022-01-01T00:00:00"/>
    <d v="2022-12-31T00:00:00"/>
    <x v="1"/>
    <d v="2022-01-01T00:00:00"/>
    <d v="2022-12-31T00:00:00"/>
    <s v="Diesel (average biofuel blend)"/>
    <n v="9842.58"/>
    <s v="litres"/>
    <x v="1"/>
    <m/>
    <s v="2023-04-26, 17:39"/>
    <s v="2023-07-20, 00:40"/>
    <n v="2022"/>
    <s v="diesel_avg_biofuel_blend__wtt"/>
    <s v="Diesel (Average Biofuel Blend) WTT"/>
    <s v="wtt"/>
    <b v="0"/>
    <s v="WTT- FUELS; LIQUID FUELS; DIESEL (AVERAGE BIOFUEL BLEND)"/>
    <x v="1"/>
    <x v="1"/>
    <s v="Europe"/>
    <m/>
    <m/>
    <m/>
    <n v="1"/>
    <s v="CO2E"/>
    <n v="6002.5958389999996"/>
    <n v="0.60985999999999996"/>
    <s v="LITRES"/>
    <n v="1"/>
    <n v="9842.58"/>
    <s v="AR4"/>
    <s v="Defra"/>
    <s v="Defra (2022)"/>
    <n v="2022"/>
    <n v="2020"/>
    <n v="0"/>
    <n v="6.0025958389999996"/>
    <x v="4"/>
    <s v="Office (with heat &amp; steam)"/>
  </r>
  <r>
    <n v="290088"/>
    <s v="Top of Hierarchy &gt; Europe &gt; Vantage_Leuna"/>
    <x v="3"/>
    <x v="0"/>
    <d v="2022-01-01T00:00:00"/>
    <d v="2022-12-31T00:00:00"/>
    <x v="1"/>
    <d v="2022-01-01T00:00:00"/>
    <d v="2022-12-31T00:00:00"/>
    <s v="Gas oil"/>
    <n v="48.14"/>
    <s v="litres"/>
    <x v="1"/>
    <m/>
    <s v="2023-05-02, 21:57"/>
    <s v="2023-07-20, 00:40"/>
    <n v="2022"/>
    <s v="gas_oil"/>
    <s v="Gas Oil"/>
    <s v="model"/>
    <b v="0"/>
    <s v="FUELS; LIQUID FUELS; GAS OIL"/>
    <x v="2"/>
    <x v="0"/>
    <s v="Europe"/>
    <m/>
    <m/>
    <m/>
    <n v="0"/>
    <s v="CH4"/>
    <n v="0.13527339999999999"/>
    <n v="2.81E-3"/>
    <s v="LITRES"/>
    <n v="1"/>
    <n v="48.14"/>
    <s v="AR4"/>
    <s v="Defra"/>
    <s v="Defra (2022)"/>
    <n v="2022"/>
    <n v="2020"/>
    <n v="0"/>
    <n v="0"/>
    <x v="4"/>
    <s v="Office (with heat &amp; steam)"/>
  </r>
  <r>
    <n v="290088"/>
    <s v="Top of Hierarchy &gt; Europe &gt; Vantage_Leuna"/>
    <x v="3"/>
    <x v="0"/>
    <d v="2022-01-01T00:00:00"/>
    <d v="2022-12-31T00:00:00"/>
    <x v="1"/>
    <d v="2022-01-01T00:00:00"/>
    <d v="2022-12-31T00:00:00"/>
    <s v="Gas oil"/>
    <n v="48.14"/>
    <s v="litres"/>
    <x v="1"/>
    <m/>
    <s v="2023-05-02, 21:57"/>
    <s v="2023-07-20, 00:40"/>
    <n v="2022"/>
    <s v="gas_oil"/>
    <s v="Gas Oil"/>
    <s v="model"/>
    <b v="0"/>
    <s v="FUELS; LIQUID FUELS; GAS OIL"/>
    <x v="2"/>
    <x v="0"/>
    <s v="Europe"/>
    <m/>
    <m/>
    <m/>
    <n v="0"/>
    <s v="CO2"/>
    <n v="131.14154379999999"/>
    <n v="2.72417"/>
    <s v="LITRES"/>
    <n v="1"/>
    <n v="48.14"/>
    <s v="AR4"/>
    <s v="Defra"/>
    <s v="Defra (2022)"/>
    <n v="2022"/>
    <n v="2020"/>
    <n v="0"/>
    <n v="0"/>
    <x v="4"/>
    <s v="Office (with heat &amp; steam)"/>
  </r>
  <r>
    <n v="290088"/>
    <s v="Top of Hierarchy &gt; Europe &gt; Vantage_Leuna"/>
    <x v="3"/>
    <x v="0"/>
    <d v="2022-01-01T00:00:00"/>
    <d v="2022-12-31T00:00:00"/>
    <x v="1"/>
    <d v="2022-01-01T00:00:00"/>
    <d v="2022-12-31T00:00:00"/>
    <s v="Gas oil"/>
    <n v="48.14"/>
    <s v="litres"/>
    <x v="1"/>
    <m/>
    <s v="2023-05-02, 21:57"/>
    <s v="2023-07-20, 00:40"/>
    <n v="2022"/>
    <s v="gas_oil"/>
    <s v="Gas Oil"/>
    <s v="model"/>
    <b v="0"/>
    <s v="FUELS; LIQUID FUELS; GAS OIL"/>
    <x v="2"/>
    <x v="0"/>
    <s v="Europe"/>
    <m/>
    <m/>
    <m/>
    <n v="0"/>
    <s v="CO2E"/>
    <n v="132.79755979999999"/>
    <n v="2.7585700000000002"/>
    <s v="LITRES"/>
    <n v="1"/>
    <n v="48.14"/>
    <s v="AR4"/>
    <s v="Defra"/>
    <s v="Defra (2022)"/>
    <n v="2022"/>
    <n v="2020"/>
    <n v="0.13279755979999999"/>
    <n v="0"/>
    <x v="4"/>
    <s v="Office (with heat &amp; steam)"/>
  </r>
  <r>
    <n v="290088"/>
    <s v="Top of Hierarchy &gt; Europe &gt; Vantage_Leuna"/>
    <x v="3"/>
    <x v="0"/>
    <d v="2022-01-01T00:00:00"/>
    <d v="2022-12-31T00:00:00"/>
    <x v="1"/>
    <d v="2022-01-01T00:00:00"/>
    <d v="2022-12-31T00:00:00"/>
    <s v="Gas oil"/>
    <n v="48.14"/>
    <s v="litres"/>
    <x v="1"/>
    <m/>
    <s v="2023-05-02, 21:57"/>
    <s v="2023-07-20, 00:40"/>
    <n v="2022"/>
    <s v="gas_oil"/>
    <s v="Gas Oil"/>
    <s v="model"/>
    <b v="0"/>
    <s v="FUELS; LIQUID FUELS; GAS OIL"/>
    <x v="2"/>
    <x v="0"/>
    <s v="Europe"/>
    <m/>
    <m/>
    <m/>
    <n v="0"/>
    <s v="N2O"/>
    <n v="1.5207425999999999"/>
    <n v="3.159E-2"/>
    <s v="LITRES"/>
    <n v="1"/>
    <n v="48.14"/>
    <s v="AR4"/>
    <s v="Defra"/>
    <s v="Defra (2022)"/>
    <n v="2022"/>
    <n v="2020"/>
    <n v="0"/>
    <n v="0"/>
    <x v="4"/>
    <s v="Office (with heat &amp; steam)"/>
  </r>
  <r>
    <n v="290088"/>
    <s v="Top of Hierarchy &gt; Europe &gt; Vantage_Leuna"/>
    <x v="3"/>
    <x v="0"/>
    <d v="2022-01-01T00:00:00"/>
    <d v="2022-12-31T00:00:00"/>
    <x v="1"/>
    <d v="2022-01-01T00:00:00"/>
    <d v="2022-12-31T00:00:00"/>
    <s v="Gas oil"/>
    <n v="48.14"/>
    <s v="litres"/>
    <x v="1"/>
    <m/>
    <s v="2023-05-02, 21:57"/>
    <s v="2023-07-20, 00:40"/>
    <n v="2022"/>
    <s v="gas_oil"/>
    <s v="Gas Oil"/>
    <s v="model"/>
    <b v="0"/>
    <s v="FUELS; LIQUID FUELS; GAS OIL"/>
    <x v="2"/>
    <x v="0"/>
    <s v="Europe"/>
    <m/>
    <m/>
    <m/>
    <n v="1"/>
    <s v="CH4"/>
    <n v="0.13527339999999999"/>
    <n v="2.81E-3"/>
    <s v="LITRES"/>
    <n v="1"/>
    <n v="48.14"/>
    <s v="AR4"/>
    <s v="Defra"/>
    <s v="Defra (2022)"/>
    <n v="2022"/>
    <n v="2020"/>
    <n v="0"/>
    <n v="0"/>
    <x v="4"/>
    <s v="Office (with heat &amp; steam)"/>
  </r>
  <r>
    <n v="290088"/>
    <s v="Top of Hierarchy &gt; Europe &gt; Vantage_Leuna"/>
    <x v="3"/>
    <x v="0"/>
    <d v="2022-01-01T00:00:00"/>
    <d v="2022-12-31T00:00:00"/>
    <x v="1"/>
    <d v="2022-01-01T00:00:00"/>
    <d v="2022-12-31T00:00:00"/>
    <s v="Gas oil"/>
    <n v="48.14"/>
    <s v="litres"/>
    <x v="1"/>
    <m/>
    <s v="2023-05-02, 21:57"/>
    <s v="2023-07-20, 00:40"/>
    <n v="2022"/>
    <s v="gas_oil"/>
    <s v="Gas Oil"/>
    <s v="model"/>
    <b v="0"/>
    <s v="FUELS; LIQUID FUELS; GAS OIL"/>
    <x v="2"/>
    <x v="0"/>
    <s v="Europe"/>
    <m/>
    <m/>
    <m/>
    <n v="1"/>
    <s v="CO2"/>
    <n v="131.14154379999999"/>
    <n v="2.72417"/>
    <s v="LITRES"/>
    <n v="1"/>
    <n v="48.14"/>
    <s v="AR4"/>
    <s v="Defra"/>
    <s v="Defra (2022)"/>
    <n v="2022"/>
    <n v="2020"/>
    <n v="0"/>
    <n v="0"/>
    <x v="4"/>
    <s v="Office (with heat &amp; steam)"/>
  </r>
  <r>
    <n v="290088"/>
    <s v="Top of Hierarchy &gt; Europe &gt; Vantage_Leuna"/>
    <x v="3"/>
    <x v="0"/>
    <d v="2022-01-01T00:00:00"/>
    <d v="2022-12-31T00:00:00"/>
    <x v="1"/>
    <d v="2022-01-01T00:00:00"/>
    <d v="2022-12-31T00:00:00"/>
    <s v="Gas oil"/>
    <n v="48.14"/>
    <s v="litres"/>
    <x v="1"/>
    <m/>
    <s v="2023-05-02, 21:57"/>
    <s v="2023-07-20, 00:40"/>
    <n v="2022"/>
    <s v="gas_oil"/>
    <s v="Gas Oil"/>
    <s v="model"/>
    <b v="0"/>
    <s v="FUELS; LIQUID FUELS; GAS OIL"/>
    <x v="2"/>
    <x v="0"/>
    <s v="Europe"/>
    <m/>
    <m/>
    <m/>
    <n v="1"/>
    <s v="CO2E"/>
    <n v="132.79755979999999"/>
    <n v="2.7585700000000002"/>
    <s v="LITRES"/>
    <n v="1"/>
    <n v="48.14"/>
    <s v="AR4"/>
    <s v="Defra"/>
    <s v="Defra (2022)"/>
    <n v="2022"/>
    <n v="2020"/>
    <n v="0"/>
    <n v="0.13279755979999999"/>
    <x v="4"/>
    <s v="Office (with heat &amp; steam)"/>
  </r>
  <r>
    <n v="290088"/>
    <s v="Top of Hierarchy &gt; Europe &gt; Vantage_Leuna"/>
    <x v="3"/>
    <x v="0"/>
    <d v="2022-01-01T00:00:00"/>
    <d v="2022-12-31T00:00:00"/>
    <x v="1"/>
    <d v="2022-01-01T00:00:00"/>
    <d v="2022-12-31T00:00:00"/>
    <s v="Gas oil"/>
    <n v="48.14"/>
    <s v="litres"/>
    <x v="1"/>
    <m/>
    <s v="2023-05-02, 21:57"/>
    <s v="2023-07-20, 00:40"/>
    <n v="2022"/>
    <s v="gas_oil"/>
    <s v="Gas Oil"/>
    <s v="model"/>
    <b v="0"/>
    <s v="FUELS; LIQUID FUELS; GAS OIL"/>
    <x v="2"/>
    <x v="0"/>
    <s v="Europe"/>
    <m/>
    <m/>
    <m/>
    <n v="1"/>
    <s v="N2O"/>
    <n v="1.5207425999999999"/>
    <n v="3.159E-2"/>
    <s v="LITRES"/>
    <n v="1"/>
    <n v="48.14"/>
    <s v="AR4"/>
    <s v="Defra"/>
    <s v="Defra (2022)"/>
    <n v="2022"/>
    <n v="2020"/>
    <n v="0"/>
    <n v="0"/>
    <x v="4"/>
    <s v="Office (with heat &amp; steam)"/>
  </r>
  <r>
    <n v="290088"/>
    <s v="Top of Hierarchy &gt; Europe &gt; Vantage_Leuna"/>
    <x v="3"/>
    <x v="0"/>
    <d v="2022-01-01T00:00:00"/>
    <d v="2022-12-31T00:00:00"/>
    <x v="1"/>
    <d v="2022-01-01T00:00:00"/>
    <d v="2022-12-31T00:00:00"/>
    <s v="Gas oil"/>
    <n v="48.14"/>
    <s v="litres"/>
    <x v="1"/>
    <m/>
    <s v="2023-05-02, 21:57"/>
    <s v="2023-07-20, 00:40"/>
    <n v="2022"/>
    <s v="gas_oil__wtt"/>
    <s v="Gas Oil WTT"/>
    <s v="wtt"/>
    <b v="0"/>
    <s v="WTT- FUELS; LIQUID FUELS; GAS OIL"/>
    <x v="1"/>
    <x v="1"/>
    <s v="Europe"/>
    <m/>
    <m/>
    <m/>
    <n v="0"/>
    <s v="CO2E"/>
    <n v="30.449994199999999"/>
    <n v="0.63253000000000004"/>
    <s v="LITRES"/>
    <n v="1"/>
    <n v="48.14"/>
    <s v="AR4"/>
    <s v="Defra"/>
    <s v="Defra (2022)"/>
    <n v="2022"/>
    <n v="2020"/>
    <n v="3.04499942E-2"/>
    <n v="0"/>
    <x v="4"/>
    <s v="Office (with heat &amp; steam)"/>
  </r>
  <r>
    <n v="290088"/>
    <s v="Top of Hierarchy &gt; Europe &gt; Vantage_Leuna"/>
    <x v="3"/>
    <x v="0"/>
    <d v="2022-01-01T00:00:00"/>
    <d v="2022-12-31T00:00:00"/>
    <x v="1"/>
    <d v="2022-01-01T00:00:00"/>
    <d v="2022-12-31T00:00:00"/>
    <s v="Gas oil"/>
    <n v="48.14"/>
    <s v="litres"/>
    <x v="1"/>
    <m/>
    <s v="2023-05-02, 21:57"/>
    <s v="2023-07-20, 00:40"/>
    <n v="2022"/>
    <s v="gas_oil__wtt"/>
    <s v="Gas Oil WTT"/>
    <s v="wtt"/>
    <b v="0"/>
    <s v="WTT- FUELS; LIQUID FUELS; GAS OIL"/>
    <x v="1"/>
    <x v="1"/>
    <s v="Europe"/>
    <m/>
    <m/>
    <m/>
    <n v="1"/>
    <s v="CO2E"/>
    <n v="30.449994199999999"/>
    <n v="0.63253000000000004"/>
    <s v="LITRES"/>
    <n v="1"/>
    <n v="48.14"/>
    <s v="AR4"/>
    <s v="Defra"/>
    <s v="Defra (2022)"/>
    <n v="2022"/>
    <n v="2020"/>
    <n v="0"/>
    <n v="3.04499942E-2"/>
    <x v="4"/>
    <s v="Office (with heat &amp; steam)"/>
  </r>
  <r>
    <n v="290090"/>
    <s v="Top of Hierarchy &gt; Europe &gt; Vantage_Leuna"/>
    <x v="3"/>
    <x v="0"/>
    <d v="2022-01-01T00:00:00"/>
    <d v="2022-12-31T00:00:00"/>
    <x v="1"/>
    <d v="2022-01-01T00:00:00"/>
    <d v="2022-12-31T00:00:00"/>
    <s v="Petrol (average biofuel blend)"/>
    <n v="89.92"/>
    <s v="litres"/>
    <x v="1"/>
    <m/>
    <s v="2023-05-02, 22:08"/>
    <s v="2023-07-20, 00:40"/>
    <n v="2022"/>
    <s v="petrol_avg_biofuel_blend"/>
    <s v="Petrol (Average Biofuel Blend)"/>
    <s v="model"/>
    <b v="0"/>
    <s v="FUELS; LIQUID FUELS; PETROL (AVERAGE BIOFUEL BLEND)"/>
    <x v="2"/>
    <x v="0"/>
    <s v="Europe"/>
    <m/>
    <m/>
    <m/>
    <n v="0"/>
    <s v="CH4"/>
    <n v="0.647424"/>
    <n v="7.1999999999999998E-3"/>
    <s v="LITRES"/>
    <n v="1"/>
    <n v="89.92"/>
    <s v="AR4"/>
    <s v="Defra"/>
    <s v="Defra (2022)"/>
    <n v="2022"/>
    <n v="2020"/>
    <n v="0"/>
    <n v="0"/>
    <x v="4"/>
    <s v="Office (with heat &amp; steam)"/>
  </r>
  <r>
    <n v="290090"/>
    <s v="Top of Hierarchy &gt; Europe &gt; Vantage_Leuna"/>
    <x v="3"/>
    <x v="0"/>
    <d v="2022-01-01T00:00:00"/>
    <d v="2022-12-31T00:00:00"/>
    <x v="1"/>
    <d v="2022-01-01T00:00:00"/>
    <d v="2022-12-31T00:00:00"/>
    <s v="Petrol (average biofuel blend)"/>
    <n v="89.92"/>
    <s v="litres"/>
    <x v="1"/>
    <m/>
    <s v="2023-05-02, 22:08"/>
    <s v="2023-07-20, 00:40"/>
    <n v="2022"/>
    <s v="petrol_avg_biofuel_blend"/>
    <s v="Petrol (Average Biofuel Blend)"/>
    <s v="model"/>
    <b v="0"/>
    <s v="FUELS; LIQUID FUELS; PETROL (AVERAGE BIOFUEL BLEND)"/>
    <x v="2"/>
    <x v="0"/>
    <s v="Europe"/>
    <m/>
    <m/>
    <m/>
    <n v="0"/>
    <s v="CO2"/>
    <n v="193.15265600000001"/>
    <n v="2.14805"/>
    <s v="LITRES"/>
    <n v="1"/>
    <n v="89.92"/>
    <s v="AR4"/>
    <s v="Defra"/>
    <s v="Defra (2022)"/>
    <n v="2022"/>
    <n v="2020"/>
    <n v="0"/>
    <n v="0"/>
    <x v="4"/>
    <s v="Office (with heat &amp; steam)"/>
  </r>
  <r>
    <n v="290090"/>
    <s v="Top of Hierarchy &gt; Europe &gt; Vantage_Leuna"/>
    <x v="3"/>
    <x v="0"/>
    <d v="2022-01-01T00:00:00"/>
    <d v="2022-12-31T00:00:00"/>
    <x v="1"/>
    <d v="2022-01-01T00:00:00"/>
    <d v="2022-12-31T00:00:00"/>
    <s v="Petrol (average biofuel blend)"/>
    <n v="89.92"/>
    <s v="litres"/>
    <x v="1"/>
    <m/>
    <s v="2023-05-02, 22:08"/>
    <s v="2023-07-20, 00:40"/>
    <n v="2022"/>
    <s v="petrol_avg_biofuel_blend"/>
    <s v="Petrol (Average Biofuel Blend)"/>
    <s v="model"/>
    <b v="0"/>
    <s v="FUELS; LIQUID FUELS; PETROL (AVERAGE BIOFUEL BLEND)"/>
    <x v="2"/>
    <x v="0"/>
    <s v="Europe"/>
    <m/>
    <m/>
    <m/>
    <n v="0"/>
    <s v="CO2E"/>
    <n v="194.393552"/>
    <n v="2.1618499999999998"/>
    <s v="LITRES"/>
    <n v="1"/>
    <n v="89.92"/>
    <s v="AR4"/>
    <s v="Defra"/>
    <s v="Defra (2022)"/>
    <n v="2022"/>
    <n v="2020"/>
    <n v="0.194393552"/>
    <n v="0"/>
    <x v="4"/>
    <s v="Office (with heat &amp; steam)"/>
  </r>
  <r>
    <n v="290090"/>
    <s v="Top of Hierarchy &gt; Europe &gt; Vantage_Leuna"/>
    <x v="3"/>
    <x v="0"/>
    <d v="2022-01-01T00:00:00"/>
    <d v="2022-12-31T00:00:00"/>
    <x v="1"/>
    <d v="2022-01-01T00:00:00"/>
    <d v="2022-12-31T00:00:00"/>
    <s v="Petrol (average biofuel blend)"/>
    <n v="89.92"/>
    <s v="litres"/>
    <x v="1"/>
    <m/>
    <s v="2023-05-02, 22:08"/>
    <s v="2023-07-20, 00:40"/>
    <n v="2022"/>
    <s v="petrol_avg_biofuel_blend"/>
    <s v="Petrol (Average Biofuel Blend)"/>
    <s v="model"/>
    <b v="0"/>
    <s v="FUELS; LIQUID FUELS; PETROL (AVERAGE BIOFUEL BLEND)"/>
    <x v="2"/>
    <x v="0"/>
    <s v="Europe"/>
    <m/>
    <m/>
    <m/>
    <n v="0"/>
    <s v="N2O"/>
    <n v="0.593472"/>
    <n v="6.6E-3"/>
    <s v="LITRES"/>
    <n v="1"/>
    <n v="89.92"/>
    <s v="AR4"/>
    <s v="Defra"/>
    <s v="Defra (2022)"/>
    <n v="2022"/>
    <n v="2020"/>
    <n v="0"/>
    <n v="0"/>
    <x v="4"/>
    <s v="Office (with heat &amp; steam)"/>
  </r>
  <r>
    <n v="290090"/>
    <s v="Top of Hierarchy &gt; Europe &gt; Vantage_Leuna"/>
    <x v="3"/>
    <x v="0"/>
    <d v="2022-01-01T00:00:00"/>
    <d v="2022-12-31T00:00:00"/>
    <x v="1"/>
    <d v="2022-01-01T00:00:00"/>
    <d v="2022-12-31T00:00:00"/>
    <s v="Petrol (average biofuel blend)"/>
    <n v="89.92"/>
    <s v="litres"/>
    <x v="1"/>
    <m/>
    <s v="2023-05-02, 22:08"/>
    <s v="2023-07-20, 00:40"/>
    <n v="2022"/>
    <s v="petrol_avg_biofuel_blend"/>
    <s v="Petrol (Average Biofuel Blend)"/>
    <s v="model"/>
    <b v="0"/>
    <s v="FUELS; LIQUID FUELS; PETROL (AVERAGE BIOFUEL BLEND)"/>
    <x v="2"/>
    <x v="0"/>
    <s v="Europe"/>
    <m/>
    <m/>
    <m/>
    <n v="1"/>
    <s v="CH4"/>
    <n v="0.647424"/>
    <n v="7.1999999999999998E-3"/>
    <s v="LITRES"/>
    <n v="1"/>
    <n v="89.92"/>
    <s v="AR4"/>
    <s v="Defra"/>
    <s v="Defra (2022)"/>
    <n v="2022"/>
    <n v="2020"/>
    <n v="0"/>
    <n v="0"/>
    <x v="4"/>
    <s v="Office (with heat &amp; steam)"/>
  </r>
  <r>
    <n v="290090"/>
    <s v="Top of Hierarchy &gt; Europe &gt; Vantage_Leuna"/>
    <x v="3"/>
    <x v="0"/>
    <d v="2022-01-01T00:00:00"/>
    <d v="2022-12-31T00:00:00"/>
    <x v="1"/>
    <d v="2022-01-01T00:00:00"/>
    <d v="2022-12-31T00:00:00"/>
    <s v="Petrol (average biofuel blend)"/>
    <n v="89.92"/>
    <s v="litres"/>
    <x v="1"/>
    <m/>
    <s v="2023-05-02, 22:08"/>
    <s v="2023-07-20, 00:40"/>
    <n v="2022"/>
    <s v="petrol_avg_biofuel_blend"/>
    <s v="Petrol (Average Biofuel Blend)"/>
    <s v="model"/>
    <b v="0"/>
    <s v="FUELS; LIQUID FUELS; PETROL (AVERAGE BIOFUEL BLEND)"/>
    <x v="2"/>
    <x v="0"/>
    <s v="Europe"/>
    <m/>
    <m/>
    <m/>
    <n v="1"/>
    <s v="CO2"/>
    <n v="193.15265600000001"/>
    <n v="2.14805"/>
    <s v="LITRES"/>
    <n v="1"/>
    <n v="89.92"/>
    <s v="AR4"/>
    <s v="Defra"/>
    <s v="Defra (2022)"/>
    <n v="2022"/>
    <n v="2020"/>
    <n v="0"/>
    <n v="0"/>
    <x v="4"/>
    <s v="Office (with heat &amp; steam)"/>
  </r>
  <r>
    <n v="290090"/>
    <s v="Top of Hierarchy &gt; Europe &gt; Vantage_Leuna"/>
    <x v="3"/>
    <x v="0"/>
    <d v="2022-01-01T00:00:00"/>
    <d v="2022-12-31T00:00:00"/>
    <x v="1"/>
    <d v="2022-01-01T00:00:00"/>
    <d v="2022-12-31T00:00:00"/>
    <s v="Petrol (average biofuel blend)"/>
    <n v="89.92"/>
    <s v="litres"/>
    <x v="1"/>
    <m/>
    <s v="2023-05-02, 22:08"/>
    <s v="2023-07-20, 00:40"/>
    <n v="2022"/>
    <s v="petrol_avg_biofuel_blend"/>
    <s v="Petrol (Average Biofuel Blend)"/>
    <s v="model"/>
    <b v="0"/>
    <s v="FUELS; LIQUID FUELS; PETROL (AVERAGE BIOFUEL BLEND)"/>
    <x v="2"/>
    <x v="0"/>
    <s v="Europe"/>
    <m/>
    <m/>
    <m/>
    <n v="1"/>
    <s v="CO2E"/>
    <n v="194.393552"/>
    <n v="2.1618499999999998"/>
    <s v="LITRES"/>
    <n v="1"/>
    <n v="89.92"/>
    <s v="AR4"/>
    <s v="Defra"/>
    <s v="Defra (2022)"/>
    <n v="2022"/>
    <n v="2020"/>
    <n v="0"/>
    <n v="0.194393552"/>
    <x v="4"/>
    <s v="Office (with heat &amp; steam)"/>
  </r>
  <r>
    <n v="290090"/>
    <s v="Top of Hierarchy &gt; Europe &gt; Vantage_Leuna"/>
    <x v="3"/>
    <x v="0"/>
    <d v="2022-01-01T00:00:00"/>
    <d v="2022-12-31T00:00:00"/>
    <x v="1"/>
    <d v="2022-01-01T00:00:00"/>
    <d v="2022-12-31T00:00:00"/>
    <s v="Petrol (average biofuel blend)"/>
    <n v="89.92"/>
    <s v="litres"/>
    <x v="1"/>
    <m/>
    <s v="2023-05-02, 22:08"/>
    <s v="2023-07-20, 00:40"/>
    <n v="2022"/>
    <s v="petrol_avg_biofuel_blend"/>
    <s v="Petrol (Average Biofuel Blend)"/>
    <s v="model"/>
    <b v="0"/>
    <s v="FUELS; LIQUID FUELS; PETROL (AVERAGE BIOFUEL BLEND)"/>
    <x v="2"/>
    <x v="0"/>
    <s v="Europe"/>
    <m/>
    <m/>
    <m/>
    <n v="1"/>
    <s v="N2O"/>
    <n v="0.593472"/>
    <n v="6.6E-3"/>
    <s v="LITRES"/>
    <n v="1"/>
    <n v="89.92"/>
    <s v="AR4"/>
    <s v="Defra"/>
    <s v="Defra (2022)"/>
    <n v="2022"/>
    <n v="2020"/>
    <n v="0"/>
    <n v="0"/>
    <x v="4"/>
    <s v="Office (with heat &amp; steam)"/>
  </r>
  <r>
    <n v="290090"/>
    <s v="Top of Hierarchy &gt; Europe &gt; Vantage_Leuna"/>
    <x v="3"/>
    <x v="0"/>
    <d v="2022-01-01T00:00:00"/>
    <d v="2022-12-31T00:00:00"/>
    <x v="1"/>
    <d v="2022-01-01T00:00:00"/>
    <d v="2022-12-31T00:00:00"/>
    <s v="Petrol (average biofuel blend)"/>
    <n v="89.92"/>
    <s v="litres"/>
    <x v="1"/>
    <m/>
    <s v="2023-05-02, 22:08"/>
    <s v="2023-07-20, 00:40"/>
    <n v="2022"/>
    <s v="petrol_avg_biofuel_blend__wtt"/>
    <s v="Petrol (Average Biofuel Blend) WTT"/>
    <s v="wtt"/>
    <b v="0"/>
    <s v="WTT- FUELS; LIQUID FUELS; PETROL (AVERAGE BIOFUEL BLEND)"/>
    <x v="1"/>
    <x v="1"/>
    <s v="Europe"/>
    <m/>
    <m/>
    <m/>
    <n v="0"/>
    <s v="CO2E"/>
    <n v="55.146137600000003"/>
    <n v="0.61328000000000005"/>
    <s v="LITRES"/>
    <n v="1"/>
    <n v="89.92"/>
    <s v="AR4"/>
    <s v="Defra"/>
    <s v="Defra (2022)"/>
    <n v="2022"/>
    <n v="2020"/>
    <n v="5.5146137600000006E-2"/>
    <n v="0"/>
    <x v="4"/>
    <s v="Office (with heat &amp; steam)"/>
  </r>
  <r>
    <n v="290090"/>
    <s v="Top of Hierarchy &gt; Europe &gt; Vantage_Leuna"/>
    <x v="3"/>
    <x v="0"/>
    <d v="2022-01-01T00:00:00"/>
    <d v="2022-12-31T00:00:00"/>
    <x v="1"/>
    <d v="2022-01-01T00:00:00"/>
    <d v="2022-12-31T00:00:00"/>
    <s v="Petrol (average biofuel blend)"/>
    <n v="89.92"/>
    <s v="litres"/>
    <x v="1"/>
    <m/>
    <s v="2023-05-02, 22:08"/>
    <s v="2023-07-20, 00:40"/>
    <n v="2022"/>
    <s v="petrol_avg_biofuel_blend__wtt"/>
    <s v="Petrol (Average Biofuel Blend) WTT"/>
    <s v="wtt"/>
    <b v="0"/>
    <s v="WTT- FUELS; LIQUID FUELS; PETROL (AVERAGE BIOFUEL BLEND)"/>
    <x v="1"/>
    <x v="1"/>
    <s v="Europe"/>
    <m/>
    <m/>
    <m/>
    <n v="1"/>
    <s v="CO2E"/>
    <n v="55.146137600000003"/>
    <n v="0.61328000000000005"/>
    <s v="LITRES"/>
    <n v="1"/>
    <n v="89.92"/>
    <s v="AR4"/>
    <s v="Defra"/>
    <s v="Defra (2022)"/>
    <n v="2022"/>
    <n v="2020"/>
    <n v="0"/>
    <n v="5.5146137600000006E-2"/>
    <x v="4"/>
    <s v="Office (with heat &amp; steam)"/>
  </r>
  <r>
    <n v="290092"/>
    <s v="Top of Hierarchy &gt; Europe &gt; Vantage_Leuna"/>
    <x v="3"/>
    <x v="0"/>
    <d v="2022-01-01T00:00:00"/>
    <d v="2022-12-31T00:00:00"/>
    <x v="1"/>
    <d v="2022-01-01T00:00:00"/>
    <d v="2022-12-31T00:00:00"/>
    <s v="Petrol (average biofuel blend)"/>
    <n v="55.95"/>
    <s v="litres"/>
    <x v="1"/>
    <m/>
    <s v="2023-05-02, 22:09"/>
    <s v="2023-07-20, 00:40"/>
    <n v="2022"/>
    <s v="petrol_avg_biofuel_blend"/>
    <s v="Petrol (Average Biofuel Blend)"/>
    <s v="model"/>
    <b v="0"/>
    <s v="FUELS; LIQUID FUELS; PETROL (AVERAGE BIOFUEL BLEND)"/>
    <x v="2"/>
    <x v="0"/>
    <s v="Europe"/>
    <m/>
    <m/>
    <m/>
    <n v="0"/>
    <s v="CH4"/>
    <n v="0.40283999999999998"/>
    <n v="7.1999999999999998E-3"/>
    <s v="LITRES"/>
    <n v="1"/>
    <n v="55.95"/>
    <s v="AR4"/>
    <s v="Defra"/>
    <s v="Defra (2022)"/>
    <n v="2022"/>
    <n v="2020"/>
    <n v="0"/>
    <n v="0"/>
    <x v="4"/>
    <s v="Office (with heat &amp; steam)"/>
  </r>
  <r>
    <n v="290092"/>
    <s v="Top of Hierarchy &gt; Europe &gt; Vantage_Leuna"/>
    <x v="3"/>
    <x v="0"/>
    <d v="2022-01-01T00:00:00"/>
    <d v="2022-12-31T00:00:00"/>
    <x v="1"/>
    <d v="2022-01-01T00:00:00"/>
    <d v="2022-12-31T00:00:00"/>
    <s v="Petrol (average biofuel blend)"/>
    <n v="55.95"/>
    <s v="litres"/>
    <x v="1"/>
    <m/>
    <s v="2023-05-02, 22:09"/>
    <s v="2023-07-20, 00:40"/>
    <n v="2022"/>
    <s v="petrol_avg_biofuel_blend"/>
    <s v="Petrol (Average Biofuel Blend)"/>
    <s v="model"/>
    <b v="0"/>
    <s v="FUELS; LIQUID FUELS; PETROL (AVERAGE BIOFUEL BLEND)"/>
    <x v="2"/>
    <x v="0"/>
    <s v="Europe"/>
    <m/>
    <m/>
    <m/>
    <n v="0"/>
    <s v="CO2"/>
    <n v="120.1833975"/>
    <n v="2.14805"/>
    <s v="LITRES"/>
    <n v="1"/>
    <n v="55.95"/>
    <s v="AR4"/>
    <s v="Defra"/>
    <s v="Defra (2022)"/>
    <n v="2022"/>
    <n v="2020"/>
    <n v="0"/>
    <n v="0"/>
    <x v="4"/>
    <s v="Office (with heat &amp; steam)"/>
  </r>
  <r>
    <n v="290092"/>
    <s v="Top of Hierarchy &gt; Europe &gt; Vantage_Leuna"/>
    <x v="3"/>
    <x v="0"/>
    <d v="2022-01-01T00:00:00"/>
    <d v="2022-12-31T00:00:00"/>
    <x v="1"/>
    <d v="2022-01-01T00:00:00"/>
    <d v="2022-12-31T00:00:00"/>
    <s v="Petrol (average biofuel blend)"/>
    <n v="55.95"/>
    <s v="litres"/>
    <x v="1"/>
    <m/>
    <s v="2023-05-02, 22:09"/>
    <s v="2023-07-20, 00:40"/>
    <n v="2022"/>
    <s v="petrol_avg_biofuel_blend"/>
    <s v="Petrol (Average Biofuel Blend)"/>
    <s v="model"/>
    <b v="0"/>
    <s v="FUELS; LIQUID FUELS; PETROL (AVERAGE BIOFUEL BLEND)"/>
    <x v="2"/>
    <x v="0"/>
    <s v="Europe"/>
    <m/>
    <m/>
    <m/>
    <n v="0"/>
    <s v="CO2E"/>
    <n v="120.9555075"/>
    <n v="2.1618499999999998"/>
    <s v="LITRES"/>
    <n v="1"/>
    <n v="55.95"/>
    <s v="AR4"/>
    <s v="Defra"/>
    <s v="Defra (2022)"/>
    <n v="2022"/>
    <n v="2020"/>
    <n v="0.12095550749999999"/>
    <n v="0"/>
    <x v="4"/>
    <s v="Office (with heat &amp; steam)"/>
  </r>
  <r>
    <n v="290092"/>
    <s v="Top of Hierarchy &gt; Europe &gt; Vantage_Leuna"/>
    <x v="3"/>
    <x v="0"/>
    <d v="2022-01-01T00:00:00"/>
    <d v="2022-12-31T00:00:00"/>
    <x v="1"/>
    <d v="2022-01-01T00:00:00"/>
    <d v="2022-12-31T00:00:00"/>
    <s v="Petrol (average biofuel blend)"/>
    <n v="55.95"/>
    <s v="litres"/>
    <x v="1"/>
    <m/>
    <s v="2023-05-02, 22:09"/>
    <s v="2023-07-20, 00:40"/>
    <n v="2022"/>
    <s v="petrol_avg_biofuel_blend"/>
    <s v="Petrol (Average Biofuel Blend)"/>
    <s v="model"/>
    <b v="0"/>
    <s v="FUELS; LIQUID FUELS; PETROL (AVERAGE BIOFUEL BLEND)"/>
    <x v="2"/>
    <x v="0"/>
    <s v="Europe"/>
    <m/>
    <m/>
    <m/>
    <n v="0"/>
    <s v="N2O"/>
    <n v="0.36926999999999999"/>
    <n v="6.6E-3"/>
    <s v="LITRES"/>
    <n v="1"/>
    <n v="55.95"/>
    <s v="AR4"/>
    <s v="Defra"/>
    <s v="Defra (2022)"/>
    <n v="2022"/>
    <n v="2020"/>
    <n v="0"/>
    <n v="0"/>
    <x v="4"/>
    <s v="Office (with heat &amp; steam)"/>
  </r>
  <r>
    <n v="290092"/>
    <s v="Top of Hierarchy &gt; Europe &gt; Vantage_Leuna"/>
    <x v="3"/>
    <x v="0"/>
    <d v="2022-01-01T00:00:00"/>
    <d v="2022-12-31T00:00:00"/>
    <x v="1"/>
    <d v="2022-01-01T00:00:00"/>
    <d v="2022-12-31T00:00:00"/>
    <s v="Petrol (average biofuel blend)"/>
    <n v="55.95"/>
    <s v="litres"/>
    <x v="1"/>
    <m/>
    <s v="2023-05-02, 22:09"/>
    <s v="2023-07-20, 00:40"/>
    <n v="2022"/>
    <s v="petrol_avg_biofuel_blend"/>
    <s v="Petrol (Average Biofuel Blend)"/>
    <s v="model"/>
    <b v="0"/>
    <s v="FUELS; LIQUID FUELS; PETROL (AVERAGE BIOFUEL BLEND)"/>
    <x v="2"/>
    <x v="0"/>
    <s v="Europe"/>
    <m/>
    <m/>
    <m/>
    <n v="1"/>
    <s v="CH4"/>
    <n v="0.40283999999999998"/>
    <n v="7.1999999999999998E-3"/>
    <s v="LITRES"/>
    <n v="1"/>
    <n v="55.95"/>
    <s v="AR4"/>
    <s v="Defra"/>
    <s v="Defra (2022)"/>
    <n v="2022"/>
    <n v="2020"/>
    <n v="0"/>
    <n v="0"/>
    <x v="4"/>
    <s v="Office (with heat &amp; steam)"/>
  </r>
  <r>
    <n v="290092"/>
    <s v="Top of Hierarchy &gt; Europe &gt; Vantage_Leuna"/>
    <x v="3"/>
    <x v="0"/>
    <d v="2022-01-01T00:00:00"/>
    <d v="2022-12-31T00:00:00"/>
    <x v="1"/>
    <d v="2022-01-01T00:00:00"/>
    <d v="2022-12-31T00:00:00"/>
    <s v="Petrol (average biofuel blend)"/>
    <n v="55.95"/>
    <s v="litres"/>
    <x v="1"/>
    <m/>
    <s v="2023-05-02, 22:09"/>
    <s v="2023-07-20, 00:40"/>
    <n v="2022"/>
    <s v="petrol_avg_biofuel_blend"/>
    <s v="Petrol (Average Biofuel Blend)"/>
    <s v="model"/>
    <b v="0"/>
    <s v="FUELS; LIQUID FUELS; PETROL (AVERAGE BIOFUEL BLEND)"/>
    <x v="2"/>
    <x v="0"/>
    <s v="Europe"/>
    <m/>
    <m/>
    <m/>
    <n v="1"/>
    <s v="CO2"/>
    <n v="120.1833975"/>
    <n v="2.14805"/>
    <s v="LITRES"/>
    <n v="1"/>
    <n v="55.95"/>
    <s v="AR4"/>
    <s v="Defra"/>
    <s v="Defra (2022)"/>
    <n v="2022"/>
    <n v="2020"/>
    <n v="0"/>
    <n v="0"/>
    <x v="4"/>
    <s v="Office (with heat &amp; steam)"/>
  </r>
  <r>
    <n v="290092"/>
    <s v="Top of Hierarchy &gt; Europe &gt; Vantage_Leuna"/>
    <x v="3"/>
    <x v="0"/>
    <d v="2022-01-01T00:00:00"/>
    <d v="2022-12-31T00:00:00"/>
    <x v="1"/>
    <d v="2022-01-01T00:00:00"/>
    <d v="2022-12-31T00:00:00"/>
    <s v="Petrol (average biofuel blend)"/>
    <n v="55.95"/>
    <s v="litres"/>
    <x v="1"/>
    <m/>
    <s v="2023-05-02, 22:09"/>
    <s v="2023-07-20, 00:40"/>
    <n v="2022"/>
    <s v="petrol_avg_biofuel_blend"/>
    <s v="Petrol (Average Biofuel Blend)"/>
    <s v="model"/>
    <b v="0"/>
    <s v="FUELS; LIQUID FUELS; PETROL (AVERAGE BIOFUEL BLEND)"/>
    <x v="2"/>
    <x v="0"/>
    <s v="Europe"/>
    <m/>
    <m/>
    <m/>
    <n v="1"/>
    <s v="CO2E"/>
    <n v="120.9555075"/>
    <n v="2.1618499999999998"/>
    <s v="LITRES"/>
    <n v="1"/>
    <n v="55.95"/>
    <s v="AR4"/>
    <s v="Defra"/>
    <s v="Defra (2022)"/>
    <n v="2022"/>
    <n v="2020"/>
    <n v="0"/>
    <n v="0.12095550749999999"/>
    <x v="4"/>
    <s v="Office (with heat &amp; steam)"/>
  </r>
  <r>
    <n v="290092"/>
    <s v="Top of Hierarchy &gt; Europe &gt; Vantage_Leuna"/>
    <x v="3"/>
    <x v="0"/>
    <d v="2022-01-01T00:00:00"/>
    <d v="2022-12-31T00:00:00"/>
    <x v="1"/>
    <d v="2022-01-01T00:00:00"/>
    <d v="2022-12-31T00:00:00"/>
    <s v="Petrol (average biofuel blend)"/>
    <n v="55.95"/>
    <s v="litres"/>
    <x v="1"/>
    <m/>
    <s v="2023-05-02, 22:09"/>
    <s v="2023-07-20, 00:40"/>
    <n v="2022"/>
    <s v="petrol_avg_biofuel_blend"/>
    <s v="Petrol (Average Biofuel Blend)"/>
    <s v="model"/>
    <b v="0"/>
    <s v="FUELS; LIQUID FUELS; PETROL (AVERAGE BIOFUEL BLEND)"/>
    <x v="2"/>
    <x v="0"/>
    <s v="Europe"/>
    <m/>
    <m/>
    <m/>
    <n v="1"/>
    <s v="N2O"/>
    <n v="0.36926999999999999"/>
    <n v="6.6E-3"/>
    <s v="LITRES"/>
    <n v="1"/>
    <n v="55.95"/>
    <s v="AR4"/>
    <s v="Defra"/>
    <s v="Defra (2022)"/>
    <n v="2022"/>
    <n v="2020"/>
    <n v="0"/>
    <n v="0"/>
    <x v="4"/>
    <s v="Office (with heat &amp; steam)"/>
  </r>
  <r>
    <n v="290092"/>
    <s v="Top of Hierarchy &gt; Europe &gt; Vantage_Leuna"/>
    <x v="3"/>
    <x v="0"/>
    <d v="2022-01-01T00:00:00"/>
    <d v="2022-12-31T00:00:00"/>
    <x v="1"/>
    <d v="2022-01-01T00:00:00"/>
    <d v="2022-12-31T00:00:00"/>
    <s v="Petrol (average biofuel blend)"/>
    <n v="55.95"/>
    <s v="litres"/>
    <x v="1"/>
    <m/>
    <s v="2023-05-02, 22:09"/>
    <s v="2023-07-20, 00:40"/>
    <n v="2022"/>
    <s v="petrol_avg_biofuel_blend__wtt"/>
    <s v="Petrol (Average Biofuel Blend) WTT"/>
    <s v="wtt"/>
    <b v="0"/>
    <s v="WTT- FUELS; LIQUID FUELS; PETROL (AVERAGE BIOFUEL BLEND)"/>
    <x v="1"/>
    <x v="1"/>
    <s v="Europe"/>
    <m/>
    <m/>
    <m/>
    <n v="0"/>
    <s v="CO2E"/>
    <n v="34.313015999999998"/>
    <n v="0.61328000000000005"/>
    <s v="LITRES"/>
    <n v="1"/>
    <n v="55.95"/>
    <s v="AR4"/>
    <s v="Defra"/>
    <s v="Defra (2022)"/>
    <n v="2022"/>
    <n v="2020"/>
    <n v="3.4313015999999995E-2"/>
    <n v="0"/>
    <x v="4"/>
    <s v="Office (with heat &amp; steam)"/>
  </r>
  <r>
    <n v="290092"/>
    <s v="Top of Hierarchy &gt; Europe &gt; Vantage_Leuna"/>
    <x v="3"/>
    <x v="0"/>
    <d v="2022-01-01T00:00:00"/>
    <d v="2022-12-31T00:00:00"/>
    <x v="1"/>
    <d v="2022-01-01T00:00:00"/>
    <d v="2022-12-31T00:00:00"/>
    <s v="Petrol (average biofuel blend)"/>
    <n v="55.95"/>
    <s v="litres"/>
    <x v="1"/>
    <m/>
    <s v="2023-05-02, 22:09"/>
    <s v="2023-07-20, 00:40"/>
    <n v="2022"/>
    <s v="petrol_avg_biofuel_blend__wtt"/>
    <s v="Petrol (Average Biofuel Blend) WTT"/>
    <s v="wtt"/>
    <b v="0"/>
    <s v="WTT- FUELS; LIQUID FUELS; PETROL (AVERAGE BIOFUEL BLEND)"/>
    <x v="1"/>
    <x v="1"/>
    <s v="Europe"/>
    <m/>
    <m/>
    <m/>
    <n v="1"/>
    <s v="CO2E"/>
    <n v="34.313015999999998"/>
    <n v="0.61328000000000005"/>
    <s v="LITRES"/>
    <n v="1"/>
    <n v="55.95"/>
    <s v="AR4"/>
    <s v="Defra"/>
    <s v="Defra (2022)"/>
    <n v="2022"/>
    <n v="2020"/>
    <n v="0"/>
    <n v="3.4313015999999995E-2"/>
    <x v="4"/>
    <s v="Office (with heat &amp; steam)"/>
  </r>
  <r>
    <n v="290094"/>
    <s v="Top of Hierarchy &gt; Europe &gt; Vantage_Leuna"/>
    <x v="3"/>
    <x v="0"/>
    <d v="2022-01-01T00:00:00"/>
    <d v="2022-12-31T00:00:00"/>
    <x v="1"/>
    <d v="2022-01-01T00:00:00"/>
    <d v="2022-12-31T00:00:00"/>
    <s v="Petrol (average biofuel blend)"/>
    <n v="53.18"/>
    <s v="litres"/>
    <x v="1"/>
    <m/>
    <s v="2023-05-02, 22:09"/>
    <s v="2023-07-20, 00:40"/>
    <n v="2022"/>
    <s v="petrol_avg_biofuel_blend"/>
    <s v="Petrol (Average Biofuel Blend)"/>
    <s v="model"/>
    <b v="0"/>
    <s v="FUELS; LIQUID FUELS; PETROL (AVERAGE BIOFUEL BLEND)"/>
    <x v="2"/>
    <x v="0"/>
    <s v="Europe"/>
    <m/>
    <m/>
    <m/>
    <n v="0"/>
    <s v="CH4"/>
    <n v="0.38289600000000001"/>
    <n v="7.1999999999999998E-3"/>
    <s v="LITRES"/>
    <n v="1"/>
    <n v="53.18"/>
    <s v="AR4"/>
    <s v="Defra"/>
    <s v="Defra (2022)"/>
    <n v="2022"/>
    <n v="2020"/>
    <n v="0"/>
    <n v="0"/>
    <x v="4"/>
    <s v="Office (with heat &amp; steam)"/>
  </r>
  <r>
    <n v="290094"/>
    <s v="Top of Hierarchy &gt; Europe &gt; Vantage_Leuna"/>
    <x v="3"/>
    <x v="0"/>
    <d v="2022-01-01T00:00:00"/>
    <d v="2022-12-31T00:00:00"/>
    <x v="1"/>
    <d v="2022-01-01T00:00:00"/>
    <d v="2022-12-31T00:00:00"/>
    <s v="Petrol (average biofuel blend)"/>
    <n v="53.18"/>
    <s v="litres"/>
    <x v="1"/>
    <m/>
    <s v="2023-05-02, 22:09"/>
    <s v="2023-07-20, 00:40"/>
    <n v="2022"/>
    <s v="petrol_avg_biofuel_blend"/>
    <s v="Petrol (Average Biofuel Blend)"/>
    <s v="model"/>
    <b v="0"/>
    <s v="FUELS; LIQUID FUELS; PETROL (AVERAGE BIOFUEL BLEND)"/>
    <x v="2"/>
    <x v="0"/>
    <s v="Europe"/>
    <m/>
    <m/>
    <m/>
    <n v="0"/>
    <s v="CO2"/>
    <n v="114.233299"/>
    <n v="2.14805"/>
    <s v="LITRES"/>
    <n v="1"/>
    <n v="53.18"/>
    <s v="AR4"/>
    <s v="Defra"/>
    <s v="Defra (2022)"/>
    <n v="2022"/>
    <n v="2020"/>
    <n v="0"/>
    <n v="0"/>
    <x v="4"/>
    <s v="Office (with heat &amp; steam)"/>
  </r>
  <r>
    <n v="290094"/>
    <s v="Top of Hierarchy &gt; Europe &gt; Vantage_Leuna"/>
    <x v="3"/>
    <x v="0"/>
    <d v="2022-01-01T00:00:00"/>
    <d v="2022-12-31T00:00:00"/>
    <x v="1"/>
    <d v="2022-01-01T00:00:00"/>
    <d v="2022-12-31T00:00:00"/>
    <s v="Petrol (average biofuel blend)"/>
    <n v="53.18"/>
    <s v="litres"/>
    <x v="1"/>
    <m/>
    <s v="2023-05-02, 22:09"/>
    <s v="2023-07-20, 00:40"/>
    <n v="2022"/>
    <s v="petrol_avg_biofuel_blend"/>
    <s v="Petrol (Average Biofuel Blend)"/>
    <s v="model"/>
    <b v="0"/>
    <s v="FUELS; LIQUID FUELS; PETROL (AVERAGE BIOFUEL BLEND)"/>
    <x v="2"/>
    <x v="0"/>
    <s v="Europe"/>
    <m/>
    <m/>
    <m/>
    <n v="0"/>
    <s v="CO2E"/>
    <n v="114.96718300000001"/>
    <n v="2.1618499999999998"/>
    <s v="LITRES"/>
    <n v="1"/>
    <n v="53.18"/>
    <s v="AR4"/>
    <s v="Defra"/>
    <s v="Defra (2022)"/>
    <n v="2022"/>
    <n v="2020"/>
    <n v="0.114967183"/>
    <n v="0"/>
    <x v="4"/>
    <s v="Office (with heat &amp; steam)"/>
  </r>
  <r>
    <n v="290094"/>
    <s v="Top of Hierarchy &gt; Europe &gt; Vantage_Leuna"/>
    <x v="3"/>
    <x v="0"/>
    <d v="2022-01-01T00:00:00"/>
    <d v="2022-12-31T00:00:00"/>
    <x v="1"/>
    <d v="2022-01-01T00:00:00"/>
    <d v="2022-12-31T00:00:00"/>
    <s v="Petrol (average biofuel blend)"/>
    <n v="53.18"/>
    <s v="litres"/>
    <x v="1"/>
    <m/>
    <s v="2023-05-02, 22:09"/>
    <s v="2023-07-20, 00:40"/>
    <n v="2022"/>
    <s v="petrol_avg_biofuel_blend"/>
    <s v="Petrol (Average Biofuel Blend)"/>
    <s v="model"/>
    <b v="0"/>
    <s v="FUELS; LIQUID FUELS; PETROL (AVERAGE BIOFUEL BLEND)"/>
    <x v="2"/>
    <x v="0"/>
    <s v="Europe"/>
    <m/>
    <m/>
    <m/>
    <n v="0"/>
    <s v="N2O"/>
    <n v="0.35098800000000002"/>
    <n v="6.6E-3"/>
    <s v="LITRES"/>
    <n v="1"/>
    <n v="53.18"/>
    <s v="AR4"/>
    <s v="Defra"/>
    <s v="Defra (2022)"/>
    <n v="2022"/>
    <n v="2020"/>
    <n v="0"/>
    <n v="0"/>
    <x v="4"/>
    <s v="Office (with heat &amp; steam)"/>
  </r>
  <r>
    <n v="290094"/>
    <s v="Top of Hierarchy &gt; Europe &gt; Vantage_Leuna"/>
    <x v="3"/>
    <x v="0"/>
    <d v="2022-01-01T00:00:00"/>
    <d v="2022-12-31T00:00:00"/>
    <x v="1"/>
    <d v="2022-01-01T00:00:00"/>
    <d v="2022-12-31T00:00:00"/>
    <s v="Petrol (average biofuel blend)"/>
    <n v="53.18"/>
    <s v="litres"/>
    <x v="1"/>
    <m/>
    <s v="2023-05-02, 22:09"/>
    <s v="2023-07-20, 00:40"/>
    <n v="2022"/>
    <s v="petrol_avg_biofuel_blend"/>
    <s v="Petrol (Average Biofuel Blend)"/>
    <s v="model"/>
    <b v="0"/>
    <s v="FUELS; LIQUID FUELS; PETROL (AVERAGE BIOFUEL BLEND)"/>
    <x v="2"/>
    <x v="0"/>
    <s v="Europe"/>
    <m/>
    <m/>
    <m/>
    <n v="1"/>
    <s v="CH4"/>
    <n v="0.38289600000000001"/>
    <n v="7.1999999999999998E-3"/>
    <s v="LITRES"/>
    <n v="1"/>
    <n v="53.18"/>
    <s v="AR4"/>
    <s v="Defra"/>
    <s v="Defra (2022)"/>
    <n v="2022"/>
    <n v="2020"/>
    <n v="0"/>
    <n v="0"/>
    <x v="4"/>
    <s v="Office (with heat &amp; steam)"/>
  </r>
  <r>
    <n v="290094"/>
    <s v="Top of Hierarchy &gt; Europe &gt; Vantage_Leuna"/>
    <x v="3"/>
    <x v="0"/>
    <d v="2022-01-01T00:00:00"/>
    <d v="2022-12-31T00:00:00"/>
    <x v="1"/>
    <d v="2022-01-01T00:00:00"/>
    <d v="2022-12-31T00:00:00"/>
    <s v="Petrol (average biofuel blend)"/>
    <n v="53.18"/>
    <s v="litres"/>
    <x v="1"/>
    <m/>
    <s v="2023-05-02, 22:09"/>
    <s v="2023-07-20, 00:40"/>
    <n v="2022"/>
    <s v="petrol_avg_biofuel_blend"/>
    <s v="Petrol (Average Biofuel Blend)"/>
    <s v="model"/>
    <b v="0"/>
    <s v="FUELS; LIQUID FUELS; PETROL (AVERAGE BIOFUEL BLEND)"/>
    <x v="2"/>
    <x v="0"/>
    <s v="Europe"/>
    <m/>
    <m/>
    <m/>
    <n v="1"/>
    <s v="CO2"/>
    <n v="114.233299"/>
    <n v="2.14805"/>
    <s v="LITRES"/>
    <n v="1"/>
    <n v="53.18"/>
    <s v="AR4"/>
    <s v="Defra"/>
    <s v="Defra (2022)"/>
    <n v="2022"/>
    <n v="2020"/>
    <n v="0"/>
    <n v="0"/>
    <x v="4"/>
    <s v="Office (with heat &amp; steam)"/>
  </r>
  <r>
    <n v="290094"/>
    <s v="Top of Hierarchy &gt; Europe &gt; Vantage_Leuna"/>
    <x v="3"/>
    <x v="0"/>
    <d v="2022-01-01T00:00:00"/>
    <d v="2022-12-31T00:00:00"/>
    <x v="1"/>
    <d v="2022-01-01T00:00:00"/>
    <d v="2022-12-31T00:00:00"/>
    <s v="Petrol (average biofuel blend)"/>
    <n v="53.18"/>
    <s v="litres"/>
    <x v="1"/>
    <m/>
    <s v="2023-05-02, 22:09"/>
    <s v="2023-07-20, 00:40"/>
    <n v="2022"/>
    <s v="petrol_avg_biofuel_blend"/>
    <s v="Petrol (Average Biofuel Blend)"/>
    <s v="model"/>
    <b v="0"/>
    <s v="FUELS; LIQUID FUELS; PETROL (AVERAGE BIOFUEL BLEND)"/>
    <x v="2"/>
    <x v="0"/>
    <s v="Europe"/>
    <m/>
    <m/>
    <m/>
    <n v="1"/>
    <s v="CO2E"/>
    <n v="114.96718300000001"/>
    <n v="2.1618499999999998"/>
    <s v="LITRES"/>
    <n v="1"/>
    <n v="53.18"/>
    <s v="AR4"/>
    <s v="Defra"/>
    <s v="Defra (2022)"/>
    <n v="2022"/>
    <n v="2020"/>
    <n v="0"/>
    <n v="0.114967183"/>
    <x v="4"/>
    <s v="Office (with heat &amp; steam)"/>
  </r>
  <r>
    <n v="290094"/>
    <s v="Top of Hierarchy &gt; Europe &gt; Vantage_Leuna"/>
    <x v="3"/>
    <x v="0"/>
    <d v="2022-01-01T00:00:00"/>
    <d v="2022-12-31T00:00:00"/>
    <x v="1"/>
    <d v="2022-01-01T00:00:00"/>
    <d v="2022-12-31T00:00:00"/>
    <s v="Petrol (average biofuel blend)"/>
    <n v="53.18"/>
    <s v="litres"/>
    <x v="1"/>
    <m/>
    <s v="2023-05-02, 22:09"/>
    <s v="2023-07-20, 00:40"/>
    <n v="2022"/>
    <s v="petrol_avg_biofuel_blend"/>
    <s v="Petrol (Average Biofuel Blend)"/>
    <s v="model"/>
    <b v="0"/>
    <s v="FUELS; LIQUID FUELS; PETROL (AVERAGE BIOFUEL BLEND)"/>
    <x v="2"/>
    <x v="0"/>
    <s v="Europe"/>
    <m/>
    <m/>
    <m/>
    <n v="1"/>
    <s v="N2O"/>
    <n v="0.35098800000000002"/>
    <n v="6.6E-3"/>
    <s v="LITRES"/>
    <n v="1"/>
    <n v="53.18"/>
    <s v="AR4"/>
    <s v="Defra"/>
    <s v="Defra (2022)"/>
    <n v="2022"/>
    <n v="2020"/>
    <n v="0"/>
    <n v="0"/>
    <x v="4"/>
    <s v="Office (with heat &amp; steam)"/>
  </r>
  <r>
    <n v="290094"/>
    <s v="Top of Hierarchy &gt; Europe &gt; Vantage_Leuna"/>
    <x v="3"/>
    <x v="0"/>
    <d v="2022-01-01T00:00:00"/>
    <d v="2022-12-31T00:00:00"/>
    <x v="1"/>
    <d v="2022-01-01T00:00:00"/>
    <d v="2022-12-31T00:00:00"/>
    <s v="Petrol (average biofuel blend)"/>
    <n v="53.18"/>
    <s v="litres"/>
    <x v="1"/>
    <m/>
    <s v="2023-05-02, 22:09"/>
    <s v="2023-07-20, 00:40"/>
    <n v="2022"/>
    <s v="petrol_avg_biofuel_blend__wtt"/>
    <s v="Petrol (Average Biofuel Blend) WTT"/>
    <s v="wtt"/>
    <b v="0"/>
    <s v="WTT- FUELS; LIQUID FUELS; PETROL (AVERAGE BIOFUEL BLEND)"/>
    <x v="1"/>
    <x v="1"/>
    <s v="Europe"/>
    <m/>
    <m/>
    <m/>
    <n v="0"/>
    <s v="CO2E"/>
    <n v="32.614230399999997"/>
    <n v="0.61328000000000005"/>
    <s v="LITRES"/>
    <n v="1"/>
    <n v="53.18"/>
    <s v="AR4"/>
    <s v="Defra"/>
    <s v="Defra (2022)"/>
    <n v="2022"/>
    <n v="2020"/>
    <n v="3.2614230399999999E-2"/>
    <n v="0"/>
    <x v="4"/>
    <s v="Office (with heat &amp; steam)"/>
  </r>
  <r>
    <n v="290094"/>
    <s v="Top of Hierarchy &gt; Europe &gt; Vantage_Leuna"/>
    <x v="3"/>
    <x v="0"/>
    <d v="2022-01-01T00:00:00"/>
    <d v="2022-12-31T00:00:00"/>
    <x v="1"/>
    <d v="2022-01-01T00:00:00"/>
    <d v="2022-12-31T00:00:00"/>
    <s v="Petrol (average biofuel blend)"/>
    <n v="53.18"/>
    <s v="litres"/>
    <x v="1"/>
    <m/>
    <s v="2023-05-02, 22:09"/>
    <s v="2023-07-20, 00:40"/>
    <n v="2022"/>
    <s v="petrol_avg_biofuel_blend__wtt"/>
    <s v="Petrol (Average Biofuel Blend) WTT"/>
    <s v="wtt"/>
    <b v="0"/>
    <s v="WTT- FUELS; LIQUID FUELS; PETROL (AVERAGE BIOFUEL BLEND)"/>
    <x v="1"/>
    <x v="1"/>
    <s v="Europe"/>
    <m/>
    <m/>
    <m/>
    <n v="1"/>
    <s v="CO2E"/>
    <n v="32.614230399999997"/>
    <n v="0.61328000000000005"/>
    <s v="LITRES"/>
    <n v="1"/>
    <n v="53.18"/>
    <s v="AR4"/>
    <s v="Defra"/>
    <s v="Defra (2022)"/>
    <n v="2022"/>
    <n v="2020"/>
    <n v="0"/>
    <n v="3.2614230399999999E-2"/>
    <x v="4"/>
    <s v="Office (with heat &amp; steam)"/>
  </r>
  <r>
    <n v="255510"/>
    <s v="Top of Hierarchy &gt; Europe &gt; Vantage_Leuna"/>
    <x v="3"/>
    <x v="0"/>
    <d v="2022-01-01T00:00:00"/>
    <d v="2022-12-31T00:00:00"/>
    <x v="4"/>
    <d v="2022-01-01T00:00:00"/>
    <d v="2022-12-31T00:00:00"/>
    <s v="R410A"/>
    <n v="18.399999999999999"/>
    <s v="kilograms"/>
    <x v="1"/>
    <m/>
    <s v="2023-04-26, 17:41"/>
    <s v="2023-07-20, 00:40"/>
    <n v="2022"/>
    <s v="r410a"/>
    <s v="R410A"/>
    <s v="model"/>
    <b v="0"/>
    <s v="REFRIGERANT: R-410A"/>
    <x v="2"/>
    <x v="0"/>
    <m/>
    <m/>
    <m/>
    <m/>
    <n v="0"/>
    <s v="CO2E"/>
    <n v="38419.199999999997"/>
    <n v="2088"/>
    <s v="KG"/>
    <n v="1"/>
    <n v="18.399999999999999"/>
    <s v="AR4"/>
    <s v="IPCC"/>
    <s v="IPCC (2021)"/>
    <n v="2022"/>
    <n v="2007"/>
    <n v="38.419199999999996"/>
    <n v="0"/>
    <x v="4"/>
    <s v="Office (with heat &amp; steam)"/>
  </r>
  <r>
    <n v="255510"/>
    <s v="Top of Hierarchy &gt; Europe &gt; Vantage_Leuna"/>
    <x v="3"/>
    <x v="0"/>
    <d v="2022-01-01T00:00:00"/>
    <d v="2022-12-31T00:00:00"/>
    <x v="4"/>
    <d v="2022-01-01T00:00:00"/>
    <d v="2022-12-31T00:00:00"/>
    <s v="R410A"/>
    <n v="18.399999999999999"/>
    <s v="kilograms"/>
    <x v="1"/>
    <m/>
    <s v="2023-04-26, 17:41"/>
    <s v="2023-07-20, 00:40"/>
    <n v="2022"/>
    <s v="r410a"/>
    <s v="R410A"/>
    <s v="model"/>
    <b v="0"/>
    <s v="REFRIGERANT: R-410A"/>
    <x v="2"/>
    <x v="0"/>
    <m/>
    <m/>
    <m/>
    <m/>
    <n v="1"/>
    <s v="CO2E"/>
    <n v="38419.199999999997"/>
    <n v="2088"/>
    <s v="KG"/>
    <n v="1"/>
    <n v="18.399999999999999"/>
    <s v="AR4"/>
    <s v="IPCC"/>
    <s v="IPCC (2021)"/>
    <n v="2022"/>
    <n v="2007"/>
    <n v="0"/>
    <n v="38.419199999999996"/>
    <x v="4"/>
    <s v="Office (with heat &amp; steam)"/>
  </r>
  <r>
    <n v="261753"/>
    <s v="Top of Hierarchy &gt; Europe &gt; Vantage_Leuna"/>
    <x v="3"/>
    <x v="0"/>
    <d v="2022-01-01T00:00:00"/>
    <d v="2022-12-31T00:00:00"/>
    <x v="4"/>
    <d v="2022-01-01T00:00:00"/>
    <d v="2022-12-31T00:00:00"/>
    <s v="R407C"/>
    <n v="6.4"/>
    <s v="kilograms"/>
    <x v="1"/>
    <m/>
    <s v="2023-04-27, 16:49"/>
    <s v="2023-07-20, 00:40"/>
    <n v="2022"/>
    <s v="r407c"/>
    <s v="R407C"/>
    <s v="model"/>
    <b v="0"/>
    <s v="REFRIGERANT: R-407C"/>
    <x v="2"/>
    <x v="0"/>
    <m/>
    <m/>
    <m/>
    <m/>
    <n v="0"/>
    <s v="CO2E"/>
    <n v="11353.6"/>
    <n v="1774"/>
    <s v="KG"/>
    <n v="1"/>
    <n v="6.4"/>
    <s v="AR4"/>
    <s v="IPCC"/>
    <s v="IPCC (2021)"/>
    <n v="2022"/>
    <n v="2007"/>
    <n v="11.3536"/>
    <n v="0"/>
    <x v="4"/>
    <s v="Office (with heat &amp; steam)"/>
  </r>
  <r>
    <n v="261753"/>
    <s v="Top of Hierarchy &gt; Europe &gt; Vantage_Leuna"/>
    <x v="3"/>
    <x v="0"/>
    <d v="2022-01-01T00:00:00"/>
    <d v="2022-12-31T00:00:00"/>
    <x v="4"/>
    <d v="2022-01-01T00:00:00"/>
    <d v="2022-12-31T00:00:00"/>
    <s v="R407C"/>
    <n v="6.4"/>
    <s v="kilograms"/>
    <x v="1"/>
    <m/>
    <s v="2023-04-27, 16:49"/>
    <s v="2023-07-20, 00:40"/>
    <n v="2022"/>
    <s v="r407c"/>
    <s v="R407C"/>
    <s v="model"/>
    <b v="0"/>
    <s v="REFRIGERANT: R-407C"/>
    <x v="2"/>
    <x v="0"/>
    <m/>
    <m/>
    <m/>
    <m/>
    <n v="1"/>
    <s v="CO2E"/>
    <n v="11353.6"/>
    <n v="1774"/>
    <s v="KG"/>
    <n v="1"/>
    <n v="6.4"/>
    <s v="AR4"/>
    <s v="IPCC"/>
    <s v="IPCC (2021)"/>
    <n v="2022"/>
    <n v="2007"/>
    <n v="0"/>
    <n v="11.3536"/>
    <x v="4"/>
    <s v="Office (with heat &amp; steam)"/>
  </r>
  <r>
    <n v="255508"/>
    <s v="Top of Hierarchy &gt; Europe &gt; Vantage_Leuna"/>
    <x v="3"/>
    <x v="0"/>
    <d v="2022-01-01T00:00:00"/>
    <d v="2022-12-31T00:00:00"/>
    <x v="5"/>
    <d v="2022-01-01T00:00:00"/>
    <d v="2022-12-31T00:00:00"/>
    <s v="Purchased Heat/Steam"/>
    <n v="37799992"/>
    <s v="Kilowatt hours"/>
    <x v="1"/>
    <m/>
    <s v="2023-04-26, 17:41"/>
    <s v="2023-07-20, 00:40"/>
    <n v="2022"/>
    <s v="heat_steam_district"/>
    <s v="Heat and Steam District"/>
    <s v="model"/>
    <b v="0"/>
    <s v="HEAT AND STEAM; HEAT AND STEAM; DISTRICT HEAT AND STEAM; 2020"/>
    <x v="0"/>
    <x v="0"/>
    <s v="Europe"/>
    <m/>
    <m/>
    <m/>
    <n v="0"/>
    <s v="CH4"/>
    <n v="41201.991280000002"/>
    <n v="1.09E-3"/>
    <s v="KWH"/>
    <n v="1"/>
    <n v="37799992"/>
    <s v="AR4"/>
    <s v="Defra"/>
    <s v="Defra (2022)"/>
    <n v="2022"/>
    <n v="2020"/>
    <n v="0"/>
    <n v="0"/>
    <x v="4"/>
    <s v="Office (with heat &amp; steam)"/>
  </r>
  <r>
    <n v="255508"/>
    <s v="Top of Hierarchy &gt; Europe &gt; Vantage_Leuna"/>
    <x v="3"/>
    <x v="0"/>
    <d v="2022-01-01T00:00:00"/>
    <d v="2022-12-31T00:00:00"/>
    <x v="5"/>
    <d v="2022-01-01T00:00:00"/>
    <d v="2022-12-31T00:00:00"/>
    <s v="Purchased Heat/Steam"/>
    <n v="37799992"/>
    <s v="Kilowatt hours"/>
    <x v="1"/>
    <m/>
    <s v="2023-04-26, 17:41"/>
    <s v="2023-07-20, 00:40"/>
    <n v="2022"/>
    <s v="heat_steam_district"/>
    <s v="Heat and Steam District"/>
    <s v="model"/>
    <b v="0"/>
    <s v="HEAT AND STEAM; HEAT AND STEAM; DISTRICT HEAT AND STEAM; 2020"/>
    <x v="0"/>
    <x v="0"/>
    <s v="Europe"/>
    <m/>
    <m/>
    <m/>
    <n v="0"/>
    <s v="CO2"/>
    <n v="6390466.648"/>
    <n v="0.16905999999999999"/>
    <s v="KWH"/>
    <n v="1"/>
    <n v="37799992"/>
    <s v="AR4"/>
    <s v="Defra"/>
    <s v="Defra (2022)"/>
    <n v="2022"/>
    <n v="2020"/>
    <n v="0"/>
    <n v="0"/>
    <x v="4"/>
    <s v="Office (with heat &amp; steam)"/>
  </r>
  <r>
    <n v="255508"/>
    <s v="Top of Hierarchy &gt; Europe &gt; Vantage_Leuna"/>
    <x v="3"/>
    <x v="0"/>
    <d v="2022-01-01T00:00:00"/>
    <d v="2022-12-31T00:00:00"/>
    <x v="5"/>
    <d v="2022-01-01T00:00:00"/>
    <d v="2022-12-31T00:00:00"/>
    <s v="Purchased Heat/Steam"/>
    <n v="37799992"/>
    <s v="Kilowatt hours"/>
    <x v="1"/>
    <m/>
    <s v="2023-04-26, 17:41"/>
    <s v="2023-07-20, 00:40"/>
    <n v="2022"/>
    <s v="heat_steam_district"/>
    <s v="Heat and Steam District"/>
    <s v="model"/>
    <b v="0"/>
    <s v="HEAT AND STEAM; HEAT AND STEAM; DISTRICT HEAT AND STEAM; 2020"/>
    <x v="0"/>
    <x v="0"/>
    <s v="Europe"/>
    <m/>
    <m/>
    <m/>
    <n v="0"/>
    <s v="CO2E"/>
    <n v="6453592.6339999996"/>
    <n v="0.17072999999999999"/>
    <s v="KWH"/>
    <n v="1"/>
    <n v="37799992"/>
    <s v="AR4"/>
    <s v="Defra"/>
    <s v="Defra (2022)"/>
    <n v="2022"/>
    <n v="2020"/>
    <n v="6453.5926339999996"/>
    <n v="0"/>
    <x v="4"/>
    <s v="Office (with heat &amp; steam)"/>
  </r>
  <r>
    <n v="255508"/>
    <s v="Top of Hierarchy &gt; Europe &gt; Vantage_Leuna"/>
    <x v="3"/>
    <x v="0"/>
    <d v="2022-01-01T00:00:00"/>
    <d v="2022-12-31T00:00:00"/>
    <x v="5"/>
    <d v="2022-01-01T00:00:00"/>
    <d v="2022-12-31T00:00:00"/>
    <s v="Purchased Heat/Steam"/>
    <n v="37799992"/>
    <s v="Kilowatt hours"/>
    <x v="1"/>
    <m/>
    <s v="2023-04-26, 17:41"/>
    <s v="2023-07-20, 00:40"/>
    <n v="2022"/>
    <s v="heat_steam_district"/>
    <s v="Heat and Steam District"/>
    <s v="model"/>
    <b v="0"/>
    <s v="HEAT AND STEAM; HEAT AND STEAM; DISTRICT HEAT AND STEAM; 2020"/>
    <x v="0"/>
    <x v="0"/>
    <s v="Europe"/>
    <m/>
    <m/>
    <m/>
    <n v="0"/>
    <s v="N2O"/>
    <n v="21923.995360000001"/>
    <n v="5.8E-4"/>
    <s v="KWH"/>
    <n v="1"/>
    <n v="37799992"/>
    <s v="AR4"/>
    <s v="Defra"/>
    <s v="Defra (2022)"/>
    <n v="2022"/>
    <n v="2020"/>
    <n v="0"/>
    <n v="0"/>
    <x v="4"/>
    <s v="Office (with heat &amp; steam)"/>
  </r>
  <r>
    <n v="255508"/>
    <s v="Top of Hierarchy &gt; Europe &gt; Vantage_Leuna"/>
    <x v="3"/>
    <x v="0"/>
    <d v="2022-01-01T00:00:00"/>
    <d v="2022-12-31T00:00:00"/>
    <x v="5"/>
    <d v="2022-01-01T00:00:00"/>
    <d v="2022-12-31T00:00:00"/>
    <s v="Purchased Heat/Steam"/>
    <n v="37799992"/>
    <s v="Kilowatt hours"/>
    <x v="1"/>
    <m/>
    <s v="2023-04-26, 17:41"/>
    <s v="2023-07-20, 00:40"/>
    <n v="2022"/>
    <s v="heat_steam_district"/>
    <s v="Heat and Steam District"/>
    <s v="model"/>
    <b v="0"/>
    <s v="HEAT AND STEAM; HEAT AND STEAM; DISTRICT HEAT AND STEAM; 2020"/>
    <x v="0"/>
    <x v="0"/>
    <s v="Europe"/>
    <m/>
    <m/>
    <m/>
    <n v="1"/>
    <s v="CH4"/>
    <n v="41201.991280000002"/>
    <n v="1.09E-3"/>
    <s v="KWH"/>
    <n v="1"/>
    <n v="37799992"/>
    <s v="AR4"/>
    <s v="Defra"/>
    <s v="Defra (2022)"/>
    <n v="2022"/>
    <n v="2020"/>
    <n v="0"/>
    <n v="0"/>
    <x v="4"/>
    <s v="Office (with heat &amp; steam)"/>
  </r>
  <r>
    <n v="255508"/>
    <s v="Top of Hierarchy &gt; Europe &gt; Vantage_Leuna"/>
    <x v="3"/>
    <x v="0"/>
    <d v="2022-01-01T00:00:00"/>
    <d v="2022-12-31T00:00:00"/>
    <x v="5"/>
    <d v="2022-01-01T00:00:00"/>
    <d v="2022-12-31T00:00:00"/>
    <s v="Purchased Heat/Steam"/>
    <n v="37799992"/>
    <s v="Kilowatt hours"/>
    <x v="1"/>
    <m/>
    <s v="2023-04-26, 17:41"/>
    <s v="2023-07-20, 00:40"/>
    <n v="2022"/>
    <s v="heat_steam_district"/>
    <s v="Heat and Steam District"/>
    <s v="model"/>
    <b v="0"/>
    <s v="HEAT AND STEAM; HEAT AND STEAM; DISTRICT HEAT AND STEAM; 2020"/>
    <x v="0"/>
    <x v="0"/>
    <s v="Europe"/>
    <m/>
    <m/>
    <m/>
    <n v="1"/>
    <s v="CO2"/>
    <n v="6390466.648"/>
    <n v="0.16905999999999999"/>
    <s v="KWH"/>
    <n v="1"/>
    <n v="37799992"/>
    <s v="AR4"/>
    <s v="Defra"/>
    <s v="Defra (2022)"/>
    <n v="2022"/>
    <n v="2020"/>
    <n v="0"/>
    <n v="0"/>
    <x v="4"/>
    <s v="Office (with heat &amp; steam)"/>
  </r>
  <r>
    <n v="255508"/>
    <s v="Top of Hierarchy &gt; Europe &gt; Vantage_Leuna"/>
    <x v="3"/>
    <x v="0"/>
    <d v="2022-01-01T00:00:00"/>
    <d v="2022-12-31T00:00:00"/>
    <x v="5"/>
    <d v="2022-01-01T00:00:00"/>
    <d v="2022-12-31T00:00:00"/>
    <s v="Purchased Heat/Steam"/>
    <n v="37799992"/>
    <s v="Kilowatt hours"/>
    <x v="1"/>
    <m/>
    <s v="2023-04-26, 17:41"/>
    <s v="2023-07-20, 00:40"/>
    <n v="2022"/>
    <s v="heat_steam_district"/>
    <s v="Heat and Steam District"/>
    <s v="model"/>
    <b v="0"/>
    <s v="HEAT AND STEAM; HEAT AND STEAM; DISTRICT HEAT AND STEAM; 2020"/>
    <x v="0"/>
    <x v="0"/>
    <s v="Europe"/>
    <m/>
    <m/>
    <m/>
    <n v="1"/>
    <s v="CO2E"/>
    <n v="6453592.6339999996"/>
    <n v="0.17072999999999999"/>
    <s v="KWH"/>
    <n v="1"/>
    <n v="37799992"/>
    <s v="AR4"/>
    <s v="Defra"/>
    <s v="Defra (2022)"/>
    <n v="2022"/>
    <n v="2020"/>
    <n v="0"/>
    <n v="6453.5926339999996"/>
    <x v="4"/>
    <s v="Office (with heat &amp; steam)"/>
  </r>
  <r>
    <n v="255508"/>
    <s v="Top of Hierarchy &gt; Europe &gt; Vantage_Leuna"/>
    <x v="3"/>
    <x v="0"/>
    <d v="2022-01-01T00:00:00"/>
    <d v="2022-12-31T00:00:00"/>
    <x v="5"/>
    <d v="2022-01-01T00:00:00"/>
    <d v="2022-12-31T00:00:00"/>
    <s v="Purchased Heat/Steam"/>
    <n v="37799992"/>
    <s v="Kilowatt hours"/>
    <x v="1"/>
    <m/>
    <s v="2023-04-26, 17:41"/>
    <s v="2023-07-20, 00:40"/>
    <n v="2022"/>
    <s v="heat_steam_district"/>
    <s v="Heat and Steam District"/>
    <s v="model"/>
    <b v="0"/>
    <s v="HEAT AND STEAM; HEAT AND STEAM; DISTRICT HEAT AND STEAM; 2020"/>
    <x v="0"/>
    <x v="0"/>
    <s v="Europe"/>
    <m/>
    <m/>
    <m/>
    <n v="1"/>
    <s v="N2O"/>
    <n v="21923.995360000001"/>
    <n v="5.8E-4"/>
    <s v="KWH"/>
    <n v="1"/>
    <n v="37799992"/>
    <s v="AR4"/>
    <s v="Defra"/>
    <s v="Defra (2022)"/>
    <n v="2022"/>
    <n v="2020"/>
    <n v="0"/>
    <n v="0"/>
    <x v="4"/>
    <s v="Office (with heat &amp; steam)"/>
  </r>
  <r>
    <n v="255508"/>
    <s v="Top of Hierarchy &gt; Europe &gt; Vantage_Leuna"/>
    <x v="3"/>
    <x v="0"/>
    <d v="2022-01-01T00:00:00"/>
    <d v="2022-12-31T00:00:00"/>
    <x v="5"/>
    <d v="2022-01-01T00:00:00"/>
    <d v="2022-12-31T00:00:00"/>
    <s v="Purchased Heat/Steam"/>
    <n v="37799992"/>
    <s v="Kilowatt hours"/>
    <x v="1"/>
    <m/>
    <s v="2023-04-26, 17:41"/>
    <s v="2023-07-20, 00:40"/>
    <n v="2022"/>
    <s v="heat_steam_district__t+d__wtt"/>
    <s v="Heat and Steam District T&amp;D WTT"/>
    <s v="t+d_wtt"/>
    <b v="0"/>
    <s v="WTT- HEAT AND STEAM; WTT- HEAT AND STEAM; ONSITE HEAT AND STEAM; 2020"/>
    <x v="1"/>
    <x v="1"/>
    <s v="Europe"/>
    <m/>
    <m/>
    <m/>
    <n v="0"/>
    <s v="CO2E"/>
    <n v="1191833.7479999999"/>
    <n v="3.1530000000000002E-2"/>
    <s v="KWH"/>
    <n v="1"/>
    <n v="37799992"/>
    <s v="AR4"/>
    <s v="Defra"/>
    <s v="Defra (2022)"/>
    <n v="2022"/>
    <n v="2020"/>
    <n v="1191.833748"/>
    <n v="0"/>
    <x v="4"/>
    <s v="Office (with heat &amp; steam)"/>
  </r>
  <r>
    <n v="255508"/>
    <s v="Top of Hierarchy &gt; Europe &gt; Vantage_Leuna"/>
    <x v="3"/>
    <x v="0"/>
    <d v="2022-01-01T00:00:00"/>
    <d v="2022-12-31T00:00:00"/>
    <x v="5"/>
    <d v="2022-01-01T00:00:00"/>
    <d v="2022-12-31T00:00:00"/>
    <s v="Purchased Heat/Steam"/>
    <n v="37799992"/>
    <s v="Kilowatt hours"/>
    <x v="1"/>
    <m/>
    <s v="2023-04-26, 17:41"/>
    <s v="2023-07-20, 00:40"/>
    <n v="2022"/>
    <s v="heat_steam_district__t+d__wtt"/>
    <s v="Heat and Steam District T&amp;D WTT"/>
    <s v="t+d_wtt"/>
    <b v="0"/>
    <s v="WTT- HEAT AND STEAM; WTT- HEAT AND STEAM; ONSITE HEAT AND STEAM; 2020"/>
    <x v="1"/>
    <x v="1"/>
    <s v="Europe"/>
    <m/>
    <m/>
    <m/>
    <n v="1"/>
    <s v="CO2E"/>
    <n v="1191833.7479999999"/>
    <n v="3.1530000000000002E-2"/>
    <s v="KWH"/>
    <n v="1"/>
    <n v="37799992"/>
    <s v="AR4"/>
    <s v="Defra"/>
    <s v="Defra (2022)"/>
    <n v="2022"/>
    <n v="2020"/>
    <n v="0"/>
    <n v="1191.833748"/>
    <x v="4"/>
    <s v="Office (with heat &amp; steam)"/>
  </r>
  <r>
    <n v="255508"/>
    <s v="Top of Hierarchy &gt; Europe &gt; Vantage_Leuna"/>
    <x v="3"/>
    <x v="0"/>
    <d v="2022-01-01T00:00:00"/>
    <d v="2022-12-31T00:00:00"/>
    <x v="5"/>
    <d v="2022-01-01T00:00:00"/>
    <d v="2022-12-31T00:00:00"/>
    <s v="Purchased Heat/Steam"/>
    <n v="37799992"/>
    <s v="Kilowatt hours"/>
    <x v="1"/>
    <m/>
    <s v="2023-04-26, 17:41"/>
    <s v="2023-07-20, 00:40"/>
    <n v="2022"/>
    <s v="heat_steam_district__wtt"/>
    <s v="Heat and Steam District WTT"/>
    <s v="wtt"/>
    <b v="0"/>
    <s v="WTT- HEAT AND STEAM; WTT- DISTRICT HEAT &amp; STEAM DISTRIBUTION; 5% LOSS; 2020"/>
    <x v="1"/>
    <x v="1"/>
    <s v="Europe"/>
    <m/>
    <m/>
    <m/>
    <n v="0"/>
    <s v="CO2E"/>
    <n v="62747.986720000001"/>
    <n v="1.66E-3"/>
    <s v="KWH"/>
    <n v="1"/>
    <n v="37799992"/>
    <s v="AR4"/>
    <s v="Defra"/>
    <s v="Defra (2022)"/>
    <n v="2022"/>
    <n v="2020"/>
    <n v="62.74798672"/>
    <n v="0"/>
    <x v="4"/>
    <s v="Office (with heat &amp; steam)"/>
  </r>
  <r>
    <n v="255508"/>
    <s v="Top of Hierarchy &gt; Europe &gt; Vantage_Leuna"/>
    <x v="3"/>
    <x v="0"/>
    <d v="2022-01-01T00:00:00"/>
    <d v="2022-12-31T00:00:00"/>
    <x v="5"/>
    <d v="2022-01-01T00:00:00"/>
    <d v="2022-12-31T00:00:00"/>
    <s v="Purchased Heat/Steam"/>
    <n v="37799992"/>
    <s v="Kilowatt hours"/>
    <x v="1"/>
    <m/>
    <s v="2023-04-26, 17:41"/>
    <s v="2023-07-20, 00:40"/>
    <n v="2022"/>
    <s v="heat_steam_district__wtt"/>
    <s v="Heat and Steam District WTT"/>
    <s v="wtt"/>
    <b v="0"/>
    <s v="WTT- HEAT AND STEAM; WTT- DISTRICT HEAT &amp; STEAM DISTRIBUTION; 5% LOSS; 2020"/>
    <x v="1"/>
    <x v="1"/>
    <s v="Europe"/>
    <m/>
    <m/>
    <m/>
    <n v="1"/>
    <s v="CO2E"/>
    <n v="62747.986720000001"/>
    <n v="1.66E-3"/>
    <s v="KWH"/>
    <n v="1"/>
    <n v="37799992"/>
    <s v="AR4"/>
    <s v="Defra"/>
    <s v="Defra (2022)"/>
    <n v="2022"/>
    <n v="2020"/>
    <n v="0"/>
    <n v="62.74798672"/>
    <x v="4"/>
    <s v="Office (with heat &amp; steam)"/>
  </r>
  <r>
    <n v="255508"/>
    <s v="Top of Hierarchy &gt; Europe &gt; Vantage_Leuna"/>
    <x v="3"/>
    <x v="0"/>
    <d v="2022-01-01T00:00:00"/>
    <d v="2022-12-31T00:00:00"/>
    <x v="5"/>
    <d v="2022-01-01T00:00:00"/>
    <d v="2022-12-31T00:00:00"/>
    <s v="Purchased Heat/Steam"/>
    <n v="37799992"/>
    <s v="Kilowatt hours"/>
    <x v="1"/>
    <m/>
    <s v="2023-04-26, 17:41"/>
    <s v="2023-07-20, 00:40"/>
    <n v="2022"/>
    <s v="heat_steam_district__t+d"/>
    <s v="Heat and Steam District T&amp;D"/>
    <s v="t+d"/>
    <b v="0"/>
    <s v="TRANSMISSION AND DISTRIBUTION; DISTRIBUTION - DISTRICT HEAT &amp; STEAM; 5% LOSS"/>
    <x v="1"/>
    <x v="1"/>
    <s v="Europe"/>
    <m/>
    <m/>
    <m/>
    <n v="0"/>
    <s v="CH4"/>
    <n v="2267.9995199999998"/>
    <n v="6.0000000000000002E-5"/>
    <s v="KWH"/>
    <n v="1"/>
    <n v="37799992"/>
    <s v="AR4"/>
    <s v="Defra"/>
    <s v="Defra (2021)"/>
    <n v="2022"/>
    <n v="2019"/>
    <n v="0"/>
    <n v="0"/>
    <x v="4"/>
    <s v="Office (with heat &amp; steam)"/>
  </r>
  <r>
    <n v="255508"/>
    <s v="Top of Hierarchy &gt; Europe &gt; Vantage_Leuna"/>
    <x v="3"/>
    <x v="0"/>
    <d v="2022-01-01T00:00:00"/>
    <d v="2022-12-31T00:00:00"/>
    <x v="5"/>
    <d v="2022-01-01T00:00:00"/>
    <d v="2022-12-31T00:00:00"/>
    <s v="Purchased Heat/Steam"/>
    <n v="37799992"/>
    <s v="Kilowatt hours"/>
    <x v="1"/>
    <m/>
    <s v="2023-04-26, 17:41"/>
    <s v="2023-07-20, 00:40"/>
    <n v="2022"/>
    <s v="heat_steam_district__t+d"/>
    <s v="Heat and Steam District T&amp;D"/>
    <s v="t+d"/>
    <b v="0"/>
    <s v="TRANSMISSION AND DISTRIBUTION; DISTRIBUTION - DISTRICT HEAT &amp; STEAM; 5% LOSS"/>
    <x v="1"/>
    <x v="1"/>
    <s v="Europe"/>
    <m/>
    <m/>
    <m/>
    <n v="0"/>
    <s v="CO2"/>
    <n v="336419.92879999999"/>
    <n v="8.8999999999999999E-3"/>
    <s v="KWH"/>
    <n v="1"/>
    <n v="37799992"/>
    <s v="AR4"/>
    <s v="Defra"/>
    <s v="Defra (2021)"/>
    <n v="2022"/>
    <n v="2019"/>
    <n v="0"/>
    <n v="0"/>
    <x v="4"/>
    <s v="Office (with heat &amp; steam)"/>
  </r>
  <r>
    <n v="255508"/>
    <s v="Top of Hierarchy &gt; Europe &gt; Vantage_Leuna"/>
    <x v="3"/>
    <x v="0"/>
    <d v="2022-01-01T00:00:00"/>
    <d v="2022-12-31T00:00:00"/>
    <x v="5"/>
    <d v="2022-01-01T00:00:00"/>
    <d v="2022-12-31T00:00:00"/>
    <s v="Purchased Heat/Steam"/>
    <n v="37799992"/>
    <s v="Kilowatt hours"/>
    <x v="1"/>
    <m/>
    <s v="2023-04-26, 17:41"/>
    <s v="2023-07-20, 00:40"/>
    <n v="2022"/>
    <s v="heat_steam_district__t+d"/>
    <s v="Heat and Steam District T&amp;D"/>
    <s v="t+d"/>
    <b v="0"/>
    <s v="TRANSMISSION AND DISTRIBUTION; DISTRIBUTION - DISTRICT HEAT &amp; STEAM; 5% LOSS"/>
    <x v="1"/>
    <x v="1"/>
    <s v="Europe"/>
    <m/>
    <m/>
    <m/>
    <n v="0"/>
    <s v="CO2E"/>
    <n v="339821.92810000002"/>
    <n v="8.9899999999999997E-3"/>
    <s v="KWH"/>
    <n v="1"/>
    <n v="37799992"/>
    <s v="AR4"/>
    <s v="Defra"/>
    <s v="Defra (2021)"/>
    <n v="2022"/>
    <n v="2019"/>
    <n v="339.82192810000004"/>
    <n v="0"/>
    <x v="4"/>
    <s v="Office (with heat &amp; steam)"/>
  </r>
  <r>
    <n v="255508"/>
    <s v="Top of Hierarchy &gt; Europe &gt; Vantage_Leuna"/>
    <x v="3"/>
    <x v="0"/>
    <d v="2022-01-01T00:00:00"/>
    <d v="2022-12-31T00:00:00"/>
    <x v="5"/>
    <d v="2022-01-01T00:00:00"/>
    <d v="2022-12-31T00:00:00"/>
    <s v="Purchased Heat/Steam"/>
    <n v="37799992"/>
    <s v="Kilowatt hours"/>
    <x v="1"/>
    <m/>
    <s v="2023-04-26, 17:41"/>
    <s v="2023-07-20, 00:40"/>
    <n v="2022"/>
    <s v="heat_steam_district__t+d"/>
    <s v="Heat and Steam District T&amp;D"/>
    <s v="t+d"/>
    <b v="0"/>
    <s v="TRANSMISSION AND DISTRIBUTION; DISTRIBUTION - DISTRICT HEAT &amp; STEAM; 5% LOSS"/>
    <x v="1"/>
    <x v="1"/>
    <s v="Europe"/>
    <m/>
    <m/>
    <m/>
    <n v="0"/>
    <s v="N2O"/>
    <n v="1133.9997599999999"/>
    <n v="3.0000000000000001E-5"/>
    <s v="KWH"/>
    <n v="1"/>
    <n v="37799992"/>
    <s v="AR4"/>
    <s v="Defra"/>
    <s v="Defra (2021)"/>
    <n v="2022"/>
    <n v="2019"/>
    <n v="0"/>
    <n v="0"/>
    <x v="4"/>
    <s v="Office (with heat &amp; steam)"/>
  </r>
  <r>
    <n v="255508"/>
    <s v="Top of Hierarchy &gt; Europe &gt; Vantage_Leuna"/>
    <x v="3"/>
    <x v="0"/>
    <d v="2022-01-01T00:00:00"/>
    <d v="2022-12-31T00:00:00"/>
    <x v="5"/>
    <d v="2022-01-01T00:00:00"/>
    <d v="2022-12-31T00:00:00"/>
    <s v="Purchased Heat/Steam"/>
    <n v="37799992"/>
    <s v="Kilowatt hours"/>
    <x v="1"/>
    <m/>
    <s v="2023-04-26, 17:41"/>
    <s v="2023-07-20, 00:40"/>
    <n v="2022"/>
    <s v="heat_steam_district__t+d"/>
    <s v="Heat and Steam District T&amp;D"/>
    <s v="t+d"/>
    <b v="0"/>
    <s v="TRANSMISSION AND DISTRIBUTION; DISTRIBUTION - DISTRICT HEAT &amp; STEAM; 5% LOSS"/>
    <x v="1"/>
    <x v="1"/>
    <s v="Europe"/>
    <m/>
    <m/>
    <m/>
    <n v="1"/>
    <s v="CH4"/>
    <n v="2267.9995199999998"/>
    <n v="6.0000000000000002E-5"/>
    <s v="KWH"/>
    <n v="1"/>
    <n v="37799992"/>
    <s v="AR4"/>
    <s v="Defra"/>
    <s v="Defra (2021)"/>
    <n v="2022"/>
    <n v="2019"/>
    <n v="0"/>
    <n v="0"/>
    <x v="4"/>
    <s v="Office (with heat &amp; steam)"/>
  </r>
  <r>
    <n v="255508"/>
    <s v="Top of Hierarchy &gt; Europe &gt; Vantage_Leuna"/>
    <x v="3"/>
    <x v="0"/>
    <d v="2022-01-01T00:00:00"/>
    <d v="2022-12-31T00:00:00"/>
    <x v="5"/>
    <d v="2022-01-01T00:00:00"/>
    <d v="2022-12-31T00:00:00"/>
    <s v="Purchased Heat/Steam"/>
    <n v="37799992"/>
    <s v="Kilowatt hours"/>
    <x v="1"/>
    <m/>
    <s v="2023-04-26, 17:41"/>
    <s v="2023-07-20, 00:40"/>
    <n v="2022"/>
    <s v="heat_steam_district__t+d"/>
    <s v="Heat and Steam District T&amp;D"/>
    <s v="t+d"/>
    <b v="0"/>
    <s v="TRANSMISSION AND DISTRIBUTION; DISTRIBUTION - DISTRICT HEAT &amp; STEAM; 5% LOSS"/>
    <x v="1"/>
    <x v="1"/>
    <s v="Europe"/>
    <m/>
    <m/>
    <m/>
    <n v="1"/>
    <s v="CO2"/>
    <n v="336419.92879999999"/>
    <n v="8.8999999999999999E-3"/>
    <s v="KWH"/>
    <n v="1"/>
    <n v="37799992"/>
    <s v="AR4"/>
    <s v="Defra"/>
    <s v="Defra (2021)"/>
    <n v="2022"/>
    <n v="2019"/>
    <n v="0"/>
    <n v="0"/>
    <x v="4"/>
    <s v="Office (with heat &amp; steam)"/>
  </r>
  <r>
    <n v="255508"/>
    <s v="Top of Hierarchy &gt; Europe &gt; Vantage_Leuna"/>
    <x v="3"/>
    <x v="0"/>
    <d v="2022-01-01T00:00:00"/>
    <d v="2022-12-31T00:00:00"/>
    <x v="5"/>
    <d v="2022-01-01T00:00:00"/>
    <d v="2022-12-31T00:00:00"/>
    <s v="Purchased Heat/Steam"/>
    <n v="37799992"/>
    <s v="Kilowatt hours"/>
    <x v="1"/>
    <m/>
    <s v="2023-04-26, 17:41"/>
    <s v="2023-07-20, 00:40"/>
    <n v="2022"/>
    <s v="heat_steam_district__t+d"/>
    <s v="Heat and Steam District T&amp;D"/>
    <s v="t+d"/>
    <b v="0"/>
    <s v="TRANSMISSION AND DISTRIBUTION; DISTRIBUTION - DISTRICT HEAT &amp; STEAM; 5% LOSS"/>
    <x v="1"/>
    <x v="1"/>
    <s v="Europe"/>
    <m/>
    <m/>
    <m/>
    <n v="1"/>
    <s v="CO2E"/>
    <n v="339821.92810000002"/>
    <n v="8.9899999999999997E-3"/>
    <s v="KWH"/>
    <n v="1"/>
    <n v="37799992"/>
    <s v="AR4"/>
    <s v="Defra"/>
    <s v="Defra (2021)"/>
    <n v="2022"/>
    <n v="2019"/>
    <n v="0"/>
    <n v="339.82192810000004"/>
    <x v="4"/>
    <s v="Office (with heat &amp; steam)"/>
  </r>
  <r>
    <n v="255508"/>
    <s v="Top of Hierarchy &gt; Europe &gt; Vantage_Leuna"/>
    <x v="3"/>
    <x v="0"/>
    <d v="2022-01-01T00:00:00"/>
    <d v="2022-12-31T00:00:00"/>
    <x v="5"/>
    <d v="2022-01-01T00:00:00"/>
    <d v="2022-12-31T00:00:00"/>
    <s v="Purchased Heat/Steam"/>
    <n v="37799992"/>
    <s v="Kilowatt hours"/>
    <x v="1"/>
    <m/>
    <s v="2023-04-26, 17:41"/>
    <s v="2023-07-20, 00:40"/>
    <n v="2022"/>
    <s v="heat_steam_district__t+d"/>
    <s v="Heat and Steam District T&amp;D"/>
    <s v="t+d"/>
    <b v="0"/>
    <s v="TRANSMISSION AND DISTRIBUTION; DISTRIBUTION - DISTRICT HEAT &amp; STEAM; 5% LOSS"/>
    <x v="1"/>
    <x v="1"/>
    <s v="Europe"/>
    <m/>
    <m/>
    <m/>
    <n v="1"/>
    <s v="N2O"/>
    <n v="1133.9997599999999"/>
    <n v="3.0000000000000001E-5"/>
    <s v="KWH"/>
    <n v="1"/>
    <n v="37799992"/>
    <s v="AR4"/>
    <s v="Defra"/>
    <s v="Defra (2021)"/>
    <n v="2022"/>
    <n v="2019"/>
    <n v="0"/>
    <n v="0"/>
    <x v="4"/>
    <s v="Office (with heat &amp; steam)"/>
  </r>
  <r>
    <n v="4954"/>
    <s v="Top of Hierarchy &gt; Europe &gt; Vantage_Leuna"/>
    <x v="3"/>
    <x v="1"/>
    <d v="2021-01-01T00:00:00"/>
    <d v="2021-12-31T00:00:00"/>
    <x v="0"/>
    <d v="2021-01-01T00:00:00"/>
    <d v="2021-12-31T00:00:00"/>
    <s v="Electricity (non-renewable)"/>
    <n v="14654340"/>
    <s v="Kilowatt hours"/>
    <x v="1"/>
    <m/>
    <s v="2023-02-27, 16:27"/>
    <s v="2023-07-20, 00:40"/>
    <n v="2021"/>
    <s v="electricity"/>
    <s v="Electricity"/>
    <s v="model"/>
    <b v="0"/>
    <s v="ELECTRICITY; GERMANY"/>
    <x v="0"/>
    <x v="0"/>
    <s v="Europe"/>
    <s v="Western Europe"/>
    <s v="DE"/>
    <m/>
    <n v="0"/>
    <s v="CH4"/>
    <n v="4396.3019999999997"/>
    <s v="RESTRICTED"/>
    <s v="KWH"/>
    <n v="1"/>
    <n v="14654340"/>
    <s v="AR4"/>
    <s v="IEA"/>
    <s v="IEA (2021)"/>
    <n v="2021"/>
    <n v="2019"/>
    <n v="0"/>
    <n v="0"/>
    <x v="4"/>
    <s v="Office (with heat &amp; steam)"/>
  </r>
  <r>
    <n v="4954"/>
    <s v="Top of Hierarchy &gt; Europe &gt; Vantage_Leuna"/>
    <x v="3"/>
    <x v="1"/>
    <d v="2021-01-01T00:00:00"/>
    <d v="2021-12-31T00:00:00"/>
    <x v="0"/>
    <d v="2021-01-01T00:00:00"/>
    <d v="2021-12-31T00:00:00"/>
    <s v="Electricity (non-renewable)"/>
    <n v="14654340"/>
    <s v="Kilowatt hours"/>
    <x v="1"/>
    <m/>
    <s v="2023-02-27, 16:27"/>
    <s v="2023-07-20, 00:40"/>
    <n v="2021"/>
    <s v="electricity"/>
    <s v="Electricity"/>
    <s v="model"/>
    <b v="0"/>
    <s v="ELECTRICITY; GERMANY"/>
    <x v="0"/>
    <x v="0"/>
    <s v="Europe"/>
    <s v="Western Europe"/>
    <s v="DE"/>
    <m/>
    <n v="0"/>
    <s v="CO2"/>
    <n v="4854982.8420000002"/>
    <s v="RESTRICTED"/>
    <s v="KWH"/>
    <n v="1"/>
    <n v="14654340"/>
    <s v="AR4"/>
    <s v="IEA"/>
    <s v="IEA (2021)"/>
    <n v="2021"/>
    <n v="2019"/>
    <n v="0"/>
    <n v="0"/>
    <x v="4"/>
    <s v="Office (with heat &amp; steam)"/>
  </r>
  <r>
    <n v="4954"/>
    <s v="Top of Hierarchy &gt; Europe &gt; Vantage_Leuna"/>
    <x v="3"/>
    <x v="1"/>
    <d v="2021-01-01T00:00:00"/>
    <d v="2021-12-31T00:00:00"/>
    <x v="0"/>
    <d v="2021-01-01T00:00:00"/>
    <d v="2021-12-31T00:00:00"/>
    <s v="Electricity (non-renewable)"/>
    <n v="14654340"/>
    <s v="Kilowatt hours"/>
    <x v="1"/>
    <m/>
    <s v="2023-02-27, 16:27"/>
    <s v="2023-07-20, 00:40"/>
    <n v="2021"/>
    <s v="electricity"/>
    <s v="Electricity"/>
    <s v="model"/>
    <b v="0"/>
    <s v="ELECTRICITY; GERMANY"/>
    <x v="0"/>
    <x v="0"/>
    <s v="Europe"/>
    <s v="Western Europe"/>
    <s v="DE"/>
    <m/>
    <n v="0"/>
    <s v="CO2E"/>
    <n v="4881360.6540000001"/>
    <s v="RESTRICTED"/>
    <s v="KWH"/>
    <n v="1"/>
    <n v="14654340"/>
    <s v="AR4"/>
    <s v="IEA"/>
    <s v="IEA (2021)"/>
    <n v="2021"/>
    <n v="2019"/>
    <n v="4881.3606540000001"/>
    <n v="0"/>
    <x v="4"/>
    <s v="Office (with heat &amp; steam)"/>
  </r>
  <r>
    <n v="4954"/>
    <s v="Top of Hierarchy &gt; Europe &gt; Vantage_Leuna"/>
    <x v="3"/>
    <x v="1"/>
    <d v="2021-01-01T00:00:00"/>
    <d v="2021-12-31T00:00:00"/>
    <x v="0"/>
    <d v="2021-01-01T00:00:00"/>
    <d v="2021-12-31T00:00:00"/>
    <s v="Electricity (non-renewable)"/>
    <n v="14654340"/>
    <s v="Kilowatt hours"/>
    <x v="1"/>
    <m/>
    <s v="2023-02-27, 16:27"/>
    <s v="2023-07-20, 00:40"/>
    <n v="2021"/>
    <s v="electricity"/>
    <s v="Electricity"/>
    <s v="model"/>
    <b v="0"/>
    <s v="ELECTRICITY; GERMANY"/>
    <x v="0"/>
    <x v="0"/>
    <s v="Europe"/>
    <s v="Western Europe"/>
    <s v="DE"/>
    <m/>
    <n v="0"/>
    <s v="N2O"/>
    <n v="21981.51"/>
    <s v="RESTRICTED"/>
    <s v="KWH"/>
    <n v="1"/>
    <n v="14654340"/>
    <s v="AR4"/>
    <s v="IEA"/>
    <s v="IEA (2021)"/>
    <n v="2021"/>
    <n v="2019"/>
    <n v="0"/>
    <n v="0"/>
    <x v="4"/>
    <s v="Office (with heat &amp; steam)"/>
  </r>
  <r>
    <n v="4954"/>
    <s v="Top of Hierarchy &gt; Europe &gt; Vantage_Leuna"/>
    <x v="3"/>
    <x v="1"/>
    <d v="2021-01-01T00:00:00"/>
    <d v="2021-12-31T00:00:00"/>
    <x v="0"/>
    <d v="2021-01-01T00:00:00"/>
    <d v="2021-12-31T00:00:00"/>
    <s v="Electricity (non-renewable)"/>
    <n v="14654340"/>
    <s v="Kilowatt hours"/>
    <x v="1"/>
    <m/>
    <s v="2023-02-27, 16:27"/>
    <s v="2023-07-20, 00:40"/>
    <n v="2021"/>
    <s v="electricity"/>
    <s v="Electricity"/>
    <s v="model"/>
    <b v="0"/>
    <s v="ELECTRICITY; GERMANY"/>
    <x v="0"/>
    <x v="0"/>
    <s v="Europe"/>
    <s v="Western Europe"/>
    <s v="DE"/>
    <m/>
    <n v="1"/>
    <s v="CO2E MKT"/>
    <n v="8679000.9250000007"/>
    <n v="0.59224781999999998"/>
    <s v="KWH"/>
    <n v="1"/>
    <n v="14654340"/>
    <s v="AR4"/>
    <s v="AIB"/>
    <s v="AIB (2021)"/>
    <n v="2021"/>
    <n v="2020"/>
    <n v="0"/>
    <n v="8679.0009250000003"/>
    <x v="4"/>
    <s v="Office (with heat &amp; steam)"/>
  </r>
  <r>
    <n v="4954"/>
    <s v="Top of Hierarchy &gt; Europe &gt; Vantage_Leuna"/>
    <x v="3"/>
    <x v="1"/>
    <d v="2021-01-01T00:00:00"/>
    <d v="2021-12-31T00:00:00"/>
    <x v="0"/>
    <d v="2021-01-01T00:00:00"/>
    <d v="2021-12-31T00:00:00"/>
    <s v="Electricity (non-renewable)"/>
    <n v="14654340"/>
    <s v="Kilowatt hours"/>
    <x v="1"/>
    <m/>
    <s v="2023-02-27, 16:27"/>
    <s v="2023-07-20, 00:40"/>
    <n v="2021"/>
    <s v="electricity__t+d__wtt"/>
    <s v="Electricity T&amp;D WTT"/>
    <s v="t+d_wtt"/>
    <b v="0"/>
    <s v="WTT- UK &amp; OVERSEAS ELEC; WTT- OVERSEAS ELECTRICITY (T&amp;D); ELECTRICITY: GERMANY"/>
    <x v="1"/>
    <x v="1"/>
    <s v="Europe"/>
    <s v="Western Europe"/>
    <s v="DE"/>
    <m/>
    <n v="0"/>
    <s v="CO2E"/>
    <n v="79418.452480000007"/>
    <n v="5.4194489999999998E-3"/>
    <s v="KWH"/>
    <n v="1"/>
    <n v="14654340"/>
    <s v="AR4"/>
    <s v="Defra"/>
    <s v="Defra (2021)"/>
    <n v="2021"/>
    <n v="2019"/>
    <n v="79.418452480000013"/>
    <n v="0"/>
    <x v="4"/>
    <s v="Office (with heat &amp; steam)"/>
  </r>
  <r>
    <n v="4954"/>
    <s v="Top of Hierarchy &gt; Europe &gt; Vantage_Leuna"/>
    <x v="3"/>
    <x v="1"/>
    <d v="2021-01-01T00:00:00"/>
    <d v="2021-12-31T00:00:00"/>
    <x v="0"/>
    <d v="2021-01-01T00:00:00"/>
    <d v="2021-12-31T00:00:00"/>
    <s v="Electricity (non-renewable)"/>
    <n v="14654340"/>
    <s v="Kilowatt hours"/>
    <x v="1"/>
    <m/>
    <s v="2023-02-27, 16:27"/>
    <s v="2023-07-20, 00:40"/>
    <n v="2021"/>
    <s v="electricity__t+d__wtt"/>
    <s v="Electricity T&amp;D WTT"/>
    <s v="t+d_wtt"/>
    <b v="0"/>
    <s v="ELECTRICITY; GERMANY; T&amp;D WTT Estimated"/>
    <x v="1"/>
    <x v="1"/>
    <s v="Europe"/>
    <s v="Western Europe"/>
    <s v="DE"/>
    <m/>
    <n v="1"/>
    <s v="CO2E MKT"/>
    <n v="18550.76872"/>
    <n v="1.2658890000000001E-3"/>
    <s v="KWH"/>
    <n v="1"/>
    <n v="14654340"/>
    <s v="AR4"/>
    <s v="Anthesis"/>
    <s v="The T&amp;D WTT factor was calculated using the ratio: ELECTRICITY; GERMANY, IEA to ELECTRICITY; TRANSMISSION AND DISTRIBUTION; GERMANY, IEA CO2e factor"/>
    <n v="2021"/>
    <n v="2020"/>
    <n v="0"/>
    <n v="18.550768720000001"/>
    <x v="4"/>
    <s v="Office (with heat &amp; steam)"/>
  </r>
  <r>
    <n v="4954"/>
    <s v="Top of Hierarchy &gt; Europe &gt; Vantage_Leuna"/>
    <x v="3"/>
    <x v="1"/>
    <d v="2021-01-01T00:00:00"/>
    <d v="2021-12-31T00:00:00"/>
    <x v="0"/>
    <d v="2021-01-01T00:00:00"/>
    <d v="2021-12-31T00:00:00"/>
    <s v="Electricity (non-renewable)"/>
    <n v="14654340"/>
    <s v="Kilowatt hours"/>
    <x v="1"/>
    <m/>
    <s v="2023-02-27, 16:27"/>
    <s v="2023-07-20, 00:40"/>
    <n v="2021"/>
    <s v="electricity__wtt"/>
    <s v="Electricity WTT"/>
    <s v="wtt"/>
    <b v="0"/>
    <s v="WTT- UK &amp; OVERSEAS ELEC; WTT- OVERSEAS ELECTRICITY (GENERATION); ELECTRICITY: GERMANY"/>
    <x v="1"/>
    <x v="1"/>
    <s v="Europe"/>
    <s v="Western Europe"/>
    <s v="DE"/>
    <m/>
    <n v="0"/>
    <s v="CO2E"/>
    <n v="1527940.581"/>
    <n v="0.104265397"/>
    <s v="KWH"/>
    <n v="1"/>
    <n v="14654340"/>
    <s v="AR4"/>
    <s v="Defra"/>
    <s v="Defra (2021)"/>
    <n v="2021"/>
    <n v="2019"/>
    <n v="1527.9405810000001"/>
    <n v="0"/>
    <x v="4"/>
    <s v="Office (with heat &amp; steam)"/>
  </r>
  <r>
    <n v="4954"/>
    <s v="Top of Hierarchy &gt; Europe &gt; Vantage_Leuna"/>
    <x v="3"/>
    <x v="1"/>
    <d v="2021-01-01T00:00:00"/>
    <d v="2021-12-31T00:00:00"/>
    <x v="0"/>
    <d v="2021-01-01T00:00:00"/>
    <d v="2021-12-31T00:00:00"/>
    <s v="Electricity (non-renewable)"/>
    <n v="14654340"/>
    <s v="Kilowatt hours"/>
    <x v="1"/>
    <m/>
    <s v="2023-02-27, 16:27"/>
    <s v="2023-07-20, 00:40"/>
    <n v="2021"/>
    <s v="electricity__wtt"/>
    <s v="Electricity WTT"/>
    <s v="wtt"/>
    <b v="0"/>
    <s v="ELECTRICITY; GERMANY; WTT Estimated"/>
    <x v="1"/>
    <x v="1"/>
    <s v="Europe"/>
    <s v="Western Europe"/>
    <s v="DE"/>
    <m/>
    <n v="1"/>
    <s v="CO2E MKT"/>
    <n v="2716660.0980000002"/>
    <n v="0.18538263099999999"/>
    <s v="KWH"/>
    <n v="1"/>
    <n v="14654340"/>
    <s v="AR4"/>
    <s v="Anthesis"/>
    <s v="The WTT factor was calculated using the ratio: ELECTRICITY; GERMANY, IEA to WTT- UK &amp; OVERSEAS ELEC; WTT- OVERSEAS ELECTRICITY (GENERATION); ELECTRICITY: GERMANY, Defra CO2e factor"/>
    <n v="2021"/>
    <n v="2020"/>
    <n v="0"/>
    <n v="2716.6600980000003"/>
    <x v="4"/>
    <s v="Office (with heat &amp; steam)"/>
  </r>
  <r>
    <n v="4954"/>
    <s v="Top of Hierarchy &gt; Europe &gt; Vantage_Leuna"/>
    <x v="3"/>
    <x v="1"/>
    <d v="2021-01-01T00:00:00"/>
    <d v="2021-12-31T00:00:00"/>
    <x v="0"/>
    <d v="2021-01-01T00:00:00"/>
    <d v="2021-12-31T00:00:00"/>
    <s v="Electricity (non-renewable)"/>
    <n v="14654340"/>
    <s v="Kilowatt hours"/>
    <x v="1"/>
    <m/>
    <s v="2023-02-27, 16:27"/>
    <s v="2023-07-20, 00:40"/>
    <n v="2021"/>
    <s v="electricity__t+d"/>
    <s v="Electricity T&amp;D"/>
    <s v="t+d"/>
    <b v="0"/>
    <s v="ELECTRICITY; TRANSMISSION AND DISTRIBUTION; GERMANY"/>
    <x v="1"/>
    <x v="1"/>
    <s v="Europe"/>
    <s v="Western Europe"/>
    <s v="DE"/>
    <m/>
    <n v="0"/>
    <s v="CO2E"/>
    <n v="225676.83600000001"/>
    <s v="RESTRICTED"/>
    <s v="KWH"/>
    <n v="1"/>
    <n v="14654340"/>
    <s v="AR4"/>
    <s v="IEA"/>
    <s v="IEA (2021)"/>
    <n v="2021"/>
    <n v="2019"/>
    <n v="225.67683600000001"/>
    <n v="0"/>
    <x v="4"/>
    <s v="Office (with heat &amp; steam)"/>
  </r>
  <r>
    <n v="4954"/>
    <s v="Top of Hierarchy &gt; Europe &gt; Vantage_Leuna"/>
    <x v="3"/>
    <x v="1"/>
    <d v="2021-01-01T00:00:00"/>
    <d v="2021-12-31T00:00:00"/>
    <x v="0"/>
    <d v="2021-01-01T00:00:00"/>
    <d v="2021-12-31T00:00:00"/>
    <s v="Electricity (non-renewable)"/>
    <n v="14654340"/>
    <s v="Kilowatt hours"/>
    <x v="1"/>
    <m/>
    <s v="2023-02-27, 16:27"/>
    <s v="2023-07-20, 00:40"/>
    <n v="2021"/>
    <s v="electricity__t+d"/>
    <s v="Electricity T&amp;D"/>
    <s v="t+d"/>
    <b v="0"/>
    <s v="ELECTRICITY; GERMANY; T&amp;D Estimated"/>
    <x v="1"/>
    <x v="1"/>
    <s v="Europe"/>
    <s v="Western Europe"/>
    <s v="DE"/>
    <m/>
    <n v="1"/>
    <s v="CO2E MKT"/>
    <n v="401250.7182"/>
    <n v="2.7381016000000001E-2"/>
    <s v="KWH"/>
    <n v="1"/>
    <n v="14654340"/>
    <s v="AR4"/>
    <s v="Anthesis"/>
    <s v="The T&amp;D factor was calculated using the ratio: ELECTRICITY; GERMANY, IEA to ELECTRICITY; TRANSMISSION AND DISTRIBUTION; GERMANY, IEA CO2e factor"/>
    <n v="2021"/>
    <n v="2020"/>
    <n v="0"/>
    <n v="401.25071819999999"/>
    <x v="4"/>
    <s v="Office (with heat &amp; steam)"/>
  </r>
  <r>
    <n v="4981"/>
    <s v="Top of Hierarchy &gt; Europe &gt; Vantage_Leuna"/>
    <x v="3"/>
    <x v="1"/>
    <d v="2021-01-01T00:00:00"/>
    <d v="2021-12-31T00:00:00"/>
    <x v="3"/>
    <d v="2021-01-01T00:00:00"/>
    <d v="2021-12-31T00:00:00"/>
    <s v="Natural gas"/>
    <n v="948"/>
    <s v="Kilowatt hours"/>
    <x v="1"/>
    <m/>
    <s v="2023-02-27, 16:27"/>
    <s v="2023-07-20, 00:40"/>
    <n v="2021"/>
    <s v="natural_gas"/>
    <s v="Natural Gas"/>
    <s v="model"/>
    <b v="0"/>
    <s v="FUELS; GASEOUS FUELS; NATURAL GAS"/>
    <x v="2"/>
    <x v="0"/>
    <s v="Europe"/>
    <m/>
    <m/>
    <m/>
    <n v="0"/>
    <s v="CH4"/>
    <n v="0.23699999999999999"/>
    <n v="2.5000000000000001E-4"/>
    <s v="KWH (GROSS CV)"/>
    <n v="1"/>
    <n v="948"/>
    <s v="AR4"/>
    <s v="Defra"/>
    <s v="Defra (2021)"/>
    <n v="2021"/>
    <n v="2019"/>
    <n v="0"/>
    <n v="0"/>
    <x v="4"/>
    <s v="Office (with heat &amp; steam)"/>
  </r>
  <r>
    <n v="4981"/>
    <s v="Top of Hierarchy &gt; Europe &gt; Vantage_Leuna"/>
    <x v="3"/>
    <x v="1"/>
    <d v="2021-01-01T00:00:00"/>
    <d v="2021-12-31T00:00:00"/>
    <x v="3"/>
    <d v="2021-01-01T00:00:00"/>
    <d v="2021-12-31T00:00:00"/>
    <s v="Natural gas"/>
    <n v="948"/>
    <s v="Kilowatt hours"/>
    <x v="1"/>
    <m/>
    <s v="2023-02-27, 16:27"/>
    <s v="2023-07-20, 00:40"/>
    <n v="2021"/>
    <s v="natural_gas"/>
    <s v="Natural Gas"/>
    <s v="model"/>
    <b v="0"/>
    <s v="FUELS; GASEOUS FUELS; NATURAL GAS"/>
    <x v="2"/>
    <x v="0"/>
    <s v="Europe"/>
    <m/>
    <m/>
    <m/>
    <n v="0"/>
    <s v="CO2"/>
    <n v="173.31335999999999"/>
    <n v="0.18282000000000001"/>
    <s v="KWH (GROSS CV)"/>
    <n v="1"/>
    <n v="948"/>
    <s v="AR4"/>
    <s v="Defra"/>
    <s v="Defra (2021)"/>
    <n v="2021"/>
    <n v="2019"/>
    <n v="0"/>
    <n v="0"/>
    <x v="4"/>
    <s v="Office (with heat &amp; steam)"/>
  </r>
  <r>
    <n v="4981"/>
    <s v="Top of Hierarchy &gt; Europe &gt; Vantage_Leuna"/>
    <x v="3"/>
    <x v="1"/>
    <d v="2021-01-01T00:00:00"/>
    <d v="2021-12-31T00:00:00"/>
    <x v="3"/>
    <d v="2021-01-01T00:00:00"/>
    <d v="2021-12-31T00:00:00"/>
    <s v="Natural gas"/>
    <n v="948"/>
    <s v="Kilowatt hours"/>
    <x v="1"/>
    <m/>
    <s v="2023-02-27, 16:27"/>
    <s v="2023-07-20, 00:40"/>
    <n v="2021"/>
    <s v="natural_gas"/>
    <s v="Natural Gas"/>
    <s v="model"/>
    <b v="0"/>
    <s v="FUELS; GASEOUS FUELS; NATURAL GAS"/>
    <x v="2"/>
    <x v="0"/>
    <s v="Europe"/>
    <m/>
    <m/>
    <m/>
    <n v="0"/>
    <s v="CO2E"/>
    <n v="173.64516"/>
    <n v="0.18317"/>
    <s v="KWH (GROSS CV)"/>
    <n v="1"/>
    <n v="948"/>
    <s v="AR4"/>
    <s v="Defra"/>
    <s v="Defra (2021)"/>
    <n v="2021"/>
    <n v="2019"/>
    <n v="0.17364515999999999"/>
    <n v="0"/>
    <x v="4"/>
    <s v="Office (with heat &amp; steam)"/>
  </r>
  <r>
    <n v="4981"/>
    <s v="Top of Hierarchy &gt; Europe &gt; Vantage_Leuna"/>
    <x v="3"/>
    <x v="1"/>
    <d v="2021-01-01T00:00:00"/>
    <d v="2021-12-31T00:00:00"/>
    <x v="3"/>
    <d v="2021-01-01T00:00:00"/>
    <d v="2021-12-31T00:00:00"/>
    <s v="Natural gas"/>
    <n v="948"/>
    <s v="Kilowatt hours"/>
    <x v="1"/>
    <m/>
    <s v="2023-02-27, 16:27"/>
    <s v="2023-07-20, 00:40"/>
    <n v="2021"/>
    <s v="natural_gas"/>
    <s v="Natural Gas"/>
    <s v="model"/>
    <b v="0"/>
    <s v="FUELS; GASEOUS FUELS; NATURAL GAS"/>
    <x v="2"/>
    <x v="0"/>
    <s v="Europe"/>
    <m/>
    <m/>
    <m/>
    <n v="0"/>
    <s v="N2O"/>
    <n v="9.4799999999999995E-2"/>
    <n v="1E-4"/>
    <s v="KWH (GROSS CV)"/>
    <n v="1"/>
    <n v="948"/>
    <s v="AR4"/>
    <s v="Defra"/>
    <s v="Defra (2021)"/>
    <n v="2021"/>
    <n v="2019"/>
    <n v="0"/>
    <n v="0"/>
    <x v="4"/>
    <s v="Office (with heat &amp; steam)"/>
  </r>
  <r>
    <n v="4981"/>
    <s v="Top of Hierarchy &gt; Europe &gt; Vantage_Leuna"/>
    <x v="3"/>
    <x v="1"/>
    <d v="2021-01-01T00:00:00"/>
    <d v="2021-12-31T00:00:00"/>
    <x v="3"/>
    <d v="2021-01-01T00:00:00"/>
    <d v="2021-12-31T00:00:00"/>
    <s v="Natural gas"/>
    <n v="948"/>
    <s v="Kilowatt hours"/>
    <x v="1"/>
    <m/>
    <s v="2023-02-27, 16:27"/>
    <s v="2023-07-20, 00:40"/>
    <n v="2021"/>
    <s v="natural_gas"/>
    <s v="Natural Gas"/>
    <s v="model"/>
    <b v="0"/>
    <s v="FUELS; GASEOUS FUELS; NATURAL GAS"/>
    <x v="2"/>
    <x v="0"/>
    <s v="Europe"/>
    <m/>
    <m/>
    <m/>
    <n v="1"/>
    <s v="CH4"/>
    <n v="0.23699999999999999"/>
    <n v="2.5000000000000001E-4"/>
    <s v="KWH (GROSS CV)"/>
    <n v="1"/>
    <n v="948"/>
    <s v="AR4"/>
    <s v="Defra"/>
    <s v="Defra (2021)"/>
    <n v="2021"/>
    <n v="2019"/>
    <n v="0"/>
    <n v="0"/>
    <x v="4"/>
    <s v="Office (with heat &amp; steam)"/>
  </r>
  <r>
    <n v="4981"/>
    <s v="Top of Hierarchy &gt; Europe &gt; Vantage_Leuna"/>
    <x v="3"/>
    <x v="1"/>
    <d v="2021-01-01T00:00:00"/>
    <d v="2021-12-31T00:00:00"/>
    <x v="3"/>
    <d v="2021-01-01T00:00:00"/>
    <d v="2021-12-31T00:00:00"/>
    <s v="Natural gas"/>
    <n v="948"/>
    <s v="Kilowatt hours"/>
    <x v="1"/>
    <m/>
    <s v="2023-02-27, 16:27"/>
    <s v="2023-07-20, 00:40"/>
    <n v="2021"/>
    <s v="natural_gas"/>
    <s v="Natural Gas"/>
    <s v="model"/>
    <b v="0"/>
    <s v="FUELS; GASEOUS FUELS; NATURAL GAS"/>
    <x v="2"/>
    <x v="0"/>
    <s v="Europe"/>
    <m/>
    <m/>
    <m/>
    <n v="1"/>
    <s v="CO2"/>
    <n v="173.31335999999999"/>
    <n v="0.18282000000000001"/>
    <s v="KWH (GROSS CV)"/>
    <n v="1"/>
    <n v="948"/>
    <s v="AR4"/>
    <s v="Defra"/>
    <s v="Defra (2021)"/>
    <n v="2021"/>
    <n v="2019"/>
    <n v="0"/>
    <n v="0"/>
    <x v="4"/>
    <s v="Office (with heat &amp; steam)"/>
  </r>
  <r>
    <n v="4981"/>
    <s v="Top of Hierarchy &gt; Europe &gt; Vantage_Leuna"/>
    <x v="3"/>
    <x v="1"/>
    <d v="2021-01-01T00:00:00"/>
    <d v="2021-12-31T00:00:00"/>
    <x v="3"/>
    <d v="2021-01-01T00:00:00"/>
    <d v="2021-12-31T00:00:00"/>
    <s v="Natural gas"/>
    <n v="948"/>
    <s v="Kilowatt hours"/>
    <x v="1"/>
    <m/>
    <s v="2023-02-27, 16:27"/>
    <s v="2023-07-20, 00:40"/>
    <n v="2021"/>
    <s v="natural_gas"/>
    <s v="Natural Gas"/>
    <s v="model"/>
    <b v="0"/>
    <s v="FUELS; GASEOUS FUELS; NATURAL GAS"/>
    <x v="2"/>
    <x v="0"/>
    <s v="Europe"/>
    <m/>
    <m/>
    <m/>
    <n v="1"/>
    <s v="CO2E"/>
    <n v="173.64516"/>
    <n v="0.18317"/>
    <s v="KWH (GROSS CV)"/>
    <n v="1"/>
    <n v="948"/>
    <s v="AR4"/>
    <s v="Defra"/>
    <s v="Defra (2021)"/>
    <n v="2021"/>
    <n v="2019"/>
    <n v="0"/>
    <n v="0.17364515999999999"/>
    <x v="4"/>
    <s v="Office (with heat &amp; steam)"/>
  </r>
  <r>
    <n v="4981"/>
    <s v="Top of Hierarchy &gt; Europe &gt; Vantage_Leuna"/>
    <x v="3"/>
    <x v="1"/>
    <d v="2021-01-01T00:00:00"/>
    <d v="2021-12-31T00:00:00"/>
    <x v="3"/>
    <d v="2021-01-01T00:00:00"/>
    <d v="2021-12-31T00:00:00"/>
    <s v="Natural gas"/>
    <n v="948"/>
    <s v="Kilowatt hours"/>
    <x v="1"/>
    <m/>
    <s v="2023-02-27, 16:27"/>
    <s v="2023-07-20, 00:40"/>
    <n v="2021"/>
    <s v="natural_gas"/>
    <s v="Natural Gas"/>
    <s v="model"/>
    <b v="0"/>
    <s v="FUELS; GASEOUS FUELS; NATURAL GAS"/>
    <x v="2"/>
    <x v="0"/>
    <s v="Europe"/>
    <m/>
    <m/>
    <m/>
    <n v="1"/>
    <s v="N2O"/>
    <n v="9.4799999999999995E-2"/>
    <n v="1E-4"/>
    <s v="KWH (GROSS CV)"/>
    <n v="1"/>
    <n v="948"/>
    <s v="AR4"/>
    <s v="Defra"/>
    <s v="Defra (2021)"/>
    <n v="2021"/>
    <n v="2019"/>
    <n v="0"/>
    <n v="0"/>
    <x v="4"/>
    <s v="Office (with heat &amp; steam)"/>
  </r>
  <r>
    <n v="4981"/>
    <s v="Top of Hierarchy &gt; Europe &gt; Vantage_Leuna"/>
    <x v="3"/>
    <x v="1"/>
    <d v="2021-01-01T00:00:00"/>
    <d v="2021-12-31T00:00:00"/>
    <x v="3"/>
    <d v="2021-01-01T00:00:00"/>
    <d v="2021-12-31T00:00:00"/>
    <s v="Natural gas"/>
    <n v="948"/>
    <s v="Kilowatt hours"/>
    <x v="1"/>
    <m/>
    <s v="2023-02-27, 16:27"/>
    <s v="2023-07-20, 00:40"/>
    <n v="2021"/>
    <s v="natural_gas__wtt"/>
    <s v="Natural Gas WTT"/>
    <s v="wtt"/>
    <b v="0"/>
    <s v="WTT- FUELS; WTT- GASEOUS FUELS; NATURAL GAS"/>
    <x v="1"/>
    <x v="1"/>
    <s v="Europe"/>
    <m/>
    <m/>
    <m/>
    <n v="0"/>
    <s v="CO2E"/>
    <n v="29.719799999999999"/>
    <n v="3.1350000000000003E-2"/>
    <s v="KWH (GROSS CV)"/>
    <n v="1"/>
    <n v="948"/>
    <s v="AR4"/>
    <s v="Defra"/>
    <s v="Defra (2021)"/>
    <n v="2021"/>
    <n v="2019"/>
    <n v="2.9719799999999998E-2"/>
    <n v="0"/>
    <x v="4"/>
    <s v="Office (with heat &amp; steam)"/>
  </r>
  <r>
    <n v="4981"/>
    <s v="Top of Hierarchy &gt; Europe &gt; Vantage_Leuna"/>
    <x v="3"/>
    <x v="1"/>
    <d v="2021-01-01T00:00:00"/>
    <d v="2021-12-31T00:00:00"/>
    <x v="3"/>
    <d v="2021-01-01T00:00:00"/>
    <d v="2021-12-31T00:00:00"/>
    <s v="Natural gas"/>
    <n v="948"/>
    <s v="Kilowatt hours"/>
    <x v="1"/>
    <m/>
    <s v="2023-02-27, 16:27"/>
    <s v="2023-07-20, 00:40"/>
    <n v="2021"/>
    <s v="natural_gas__wtt"/>
    <s v="Natural Gas WTT"/>
    <s v="wtt"/>
    <b v="0"/>
    <s v="WTT- FUELS; WTT- GASEOUS FUELS; NATURAL GAS"/>
    <x v="1"/>
    <x v="1"/>
    <s v="Europe"/>
    <m/>
    <m/>
    <m/>
    <n v="1"/>
    <s v="CO2E"/>
    <n v="29.719799999999999"/>
    <n v="3.1350000000000003E-2"/>
    <s v="KWH (GROSS CV)"/>
    <n v="1"/>
    <n v="948"/>
    <s v="AR4"/>
    <s v="Defra"/>
    <s v="Defra (2021)"/>
    <n v="2021"/>
    <n v="2019"/>
    <n v="0"/>
    <n v="2.9719799999999998E-2"/>
    <x v="4"/>
    <s v="Office (with heat &amp; steam)"/>
  </r>
  <r>
    <n v="5014"/>
    <s v="Top of Hierarchy &gt; Europe &gt; Vantage_Leuna"/>
    <x v="3"/>
    <x v="1"/>
    <d v="2021-01-01T00:00:00"/>
    <d v="2021-12-31T00:00:00"/>
    <x v="1"/>
    <d v="2021-01-01T00:00:00"/>
    <d v="2021-12-31T00:00:00"/>
    <s v="Diesel (100% mineral diesel)"/>
    <n v="10606.83"/>
    <s v="litres"/>
    <x v="1"/>
    <m/>
    <s v="2023-02-27, 16:27"/>
    <s v="2023-07-20, 00:40"/>
    <n v="2021"/>
    <s v="diesel_100p_mineral_diesel"/>
    <s v="Diesel (100% Mineral Diesel)"/>
    <s v="model"/>
    <b v="0"/>
    <s v="FUELS; LIQUID FUELS; DIESEL (100% MINERAL DIESEL)"/>
    <x v="2"/>
    <x v="0"/>
    <s v="Europe"/>
    <m/>
    <m/>
    <m/>
    <n v="0"/>
    <s v="CH4"/>
    <n v="2.7577758000000001"/>
    <n v="2.5999999999999998E-4"/>
    <s v="LITRES"/>
    <n v="1"/>
    <n v="10606.83"/>
    <s v="AR4"/>
    <s v="Defra"/>
    <s v="Defra (2021)"/>
    <n v="2021"/>
    <n v="2019"/>
    <n v="0"/>
    <n v="0"/>
    <x v="4"/>
    <s v="Office (with heat &amp; steam)"/>
  </r>
  <r>
    <n v="5014"/>
    <s v="Top of Hierarchy &gt; Europe &gt; Vantage_Leuna"/>
    <x v="3"/>
    <x v="1"/>
    <d v="2021-01-01T00:00:00"/>
    <d v="2021-12-31T00:00:00"/>
    <x v="1"/>
    <d v="2021-01-01T00:00:00"/>
    <d v="2021-12-31T00:00:00"/>
    <s v="Diesel (100% mineral diesel)"/>
    <n v="10606.83"/>
    <s v="litres"/>
    <x v="1"/>
    <m/>
    <s v="2023-02-27, 16:27"/>
    <s v="2023-07-20, 00:40"/>
    <n v="2021"/>
    <s v="diesel_100p_mineral_diesel"/>
    <s v="Diesel (100% Mineral Diesel)"/>
    <s v="model"/>
    <b v="0"/>
    <s v="FUELS; LIQUID FUELS; DIESEL (100% MINERAL DIESEL)"/>
    <x v="2"/>
    <x v="0"/>
    <s v="Europe"/>
    <m/>
    <m/>
    <m/>
    <n v="0"/>
    <s v="CO2"/>
    <n v="28299.764920000001"/>
    <n v="2.6680700000000002"/>
    <s v="LITRES"/>
    <n v="1"/>
    <n v="10606.83"/>
    <s v="AR4"/>
    <s v="Defra"/>
    <s v="Defra (2021)"/>
    <n v="2021"/>
    <n v="2019"/>
    <n v="0"/>
    <n v="0"/>
    <x v="4"/>
    <s v="Office (with heat &amp; steam)"/>
  </r>
  <r>
    <n v="5014"/>
    <s v="Top of Hierarchy &gt; Europe &gt; Vantage_Leuna"/>
    <x v="3"/>
    <x v="1"/>
    <d v="2021-01-01T00:00:00"/>
    <d v="2021-12-31T00:00:00"/>
    <x v="1"/>
    <d v="2021-01-01T00:00:00"/>
    <d v="2021-12-31T00:00:00"/>
    <s v="Diesel (100% mineral diesel)"/>
    <n v="10606.83"/>
    <s v="litres"/>
    <x v="1"/>
    <m/>
    <s v="2023-02-27, 16:27"/>
    <s v="2023-07-20, 00:40"/>
    <n v="2021"/>
    <s v="diesel_100p_mineral_diesel"/>
    <s v="Diesel (100% Mineral Diesel)"/>
    <s v="model"/>
    <b v="0"/>
    <s v="FUELS; LIQUID FUELS; DIESEL (100% MINERAL DIESEL)"/>
    <x v="2"/>
    <x v="0"/>
    <s v="Europe"/>
    <m/>
    <m/>
    <m/>
    <n v="0"/>
    <s v="CO2E"/>
    <n v="28697.09677"/>
    <n v="2.70553"/>
    <s v="LITRES"/>
    <n v="1"/>
    <n v="10606.83"/>
    <s v="AR4"/>
    <s v="Defra"/>
    <s v="Defra (2021)"/>
    <n v="2021"/>
    <n v="2019"/>
    <n v="28.697096770000002"/>
    <n v="0"/>
    <x v="4"/>
    <s v="Office (with heat &amp; steam)"/>
  </r>
  <r>
    <n v="5014"/>
    <s v="Top of Hierarchy &gt; Europe &gt; Vantage_Leuna"/>
    <x v="3"/>
    <x v="1"/>
    <d v="2021-01-01T00:00:00"/>
    <d v="2021-12-31T00:00:00"/>
    <x v="1"/>
    <d v="2021-01-01T00:00:00"/>
    <d v="2021-12-31T00:00:00"/>
    <s v="Diesel (100% mineral diesel)"/>
    <n v="10606.83"/>
    <s v="litres"/>
    <x v="1"/>
    <m/>
    <s v="2023-02-27, 16:27"/>
    <s v="2023-07-20, 00:40"/>
    <n v="2021"/>
    <s v="diesel_100p_mineral_diesel"/>
    <s v="Diesel (100% Mineral Diesel)"/>
    <s v="model"/>
    <b v="0"/>
    <s v="FUELS; LIQUID FUELS; DIESEL (100% MINERAL DIESEL)"/>
    <x v="2"/>
    <x v="0"/>
    <s v="Europe"/>
    <m/>
    <m/>
    <m/>
    <n v="0"/>
    <s v="N2O"/>
    <n v="394.57407599999999"/>
    <n v="3.7199999999999997E-2"/>
    <s v="LITRES"/>
    <n v="1"/>
    <n v="10606.83"/>
    <s v="AR4"/>
    <s v="Defra"/>
    <s v="Defra (2021)"/>
    <n v="2021"/>
    <n v="2019"/>
    <n v="0"/>
    <n v="0"/>
    <x v="4"/>
    <s v="Office (with heat &amp; steam)"/>
  </r>
  <r>
    <n v="5014"/>
    <s v="Top of Hierarchy &gt; Europe &gt; Vantage_Leuna"/>
    <x v="3"/>
    <x v="1"/>
    <d v="2021-01-01T00:00:00"/>
    <d v="2021-12-31T00:00:00"/>
    <x v="1"/>
    <d v="2021-01-01T00:00:00"/>
    <d v="2021-12-31T00:00:00"/>
    <s v="Diesel (100% mineral diesel)"/>
    <n v="10606.83"/>
    <s v="litres"/>
    <x v="1"/>
    <m/>
    <s v="2023-02-27, 16:27"/>
    <s v="2023-07-20, 00:40"/>
    <n v="2021"/>
    <s v="diesel_100p_mineral_diesel"/>
    <s v="Diesel (100% Mineral Diesel)"/>
    <s v="model"/>
    <b v="0"/>
    <s v="FUELS; LIQUID FUELS; DIESEL (100% MINERAL DIESEL)"/>
    <x v="2"/>
    <x v="0"/>
    <s v="Europe"/>
    <m/>
    <m/>
    <m/>
    <n v="1"/>
    <s v="CH4"/>
    <n v="2.7577758000000001"/>
    <n v="2.5999999999999998E-4"/>
    <s v="LITRES"/>
    <n v="1"/>
    <n v="10606.83"/>
    <s v="AR4"/>
    <s v="Defra"/>
    <s v="Defra (2021)"/>
    <n v="2021"/>
    <n v="2019"/>
    <n v="0"/>
    <n v="0"/>
    <x v="4"/>
    <s v="Office (with heat &amp; steam)"/>
  </r>
  <r>
    <n v="5014"/>
    <s v="Top of Hierarchy &gt; Europe &gt; Vantage_Leuna"/>
    <x v="3"/>
    <x v="1"/>
    <d v="2021-01-01T00:00:00"/>
    <d v="2021-12-31T00:00:00"/>
    <x v="1"/>
    <d v="2021-01-01T00:00:00"/>
    <d v="2021-12-31T00:00:00"/>
    <s v="Diesel (100% mineral diesel)"/>
    <n v="10606.83"/>
    <s v="litres"/>
    <x v="1"/>
    <m/>
    <s v="2023-02-27, 16:27"/>
    <s v="2023-07-20, 00:40"/>
    <n v="2021"/>
    <s v="diesel_100p_mineral_diesel"/>
    <s v="Diesel (100% Mineral Diesel)"/>
    <s v="model"/>
    <b v="0"/>
    <s v="FUELS; LIQUID FUELS; DIESEL (100% MINERAL DIESEL)"/>
    <x v="2"/>
    <x v="0"/>
    <s v="Europe"/>
    <m/>
    <m/>
    <m/>
    <n v="1"/>
    <s v="CO2"/>
    <n v="28299.764920000001"/>
    <n v="2.6680700000000002"/>
    <s v="LITRES"/>
    <n v="1"/>
    <n v="10606.83"/>
    <s v="AR4"/>
    <s v="Defra"/>
    <s v="Defra (2021)"/>
    <n v="2021"/>
    <n v="2019"/>
    <n v="0"/>
    <n v="0"/>
    <x v="4"/>
    <s v="Office (with heat &amp; steam)"/>
  </r>
  <r>
    <n v="5014"/>
    <s v="Top of Hierarchy &gt; Europe &gt; Vantage_Leuna"/>
    <x v="3"/>
    <x v="1"/>
    <d v="2021-01-01T00:00:00"/>
    <d v="2021-12-31T00:00:00"/>
    <x v="1"/>
    <d v="2021-01-01T00:00:00"/>
    <d v="2021-12-31T00:00:00"/>
    <s v="Diesel (100% mineral diesel)"/>
    <n v="10606.83"/>
    <s v="litres"/>
    <x v="1"/>
    <m/>
    <s v="2023-02-27, 16:27"/>
    <s v="2023-07-20, 00:40"/>
    <n v="2021"/>
    <s v="diesel_100p_mineral_diesel"/>
    <s v="Diesel (100% Mineral Diesel)"/>
    <s v="model"/>
    <b v="0"/>
    <s v="FUELS; LIQUID FUELS; DIESEL (100% MINERAL DIESEL)"/>
    <x v="2"/>
    <x v="0"/>
    <s v="Europe"/>
    <m/>
    <m/>
    <m/>
    <n v="1"/>
    <s v="CO2E"/>
    <n v="28697.09677"/>
    <n v="2.70553"/>
    <s v="LITRES"/>
    <n v="1"/>
    <n v="10606.83"/>
    <s v="AR4"/>
    <s v="Defra"/>
    <s v="Defra (2021)"/>
    <n v="2021"/>
    <n v="2019"/>
    <n v="0"/>
    <n v="28.697096770000002"/>
    <x v="4"/>
    <s v="Office (with heat &amp; steam)"/>
  </r>
  <r>
    <n v="5014"/>
    <s v="Top of Hierarchy &gt; Europe &gt; Vantage_Leuna"/>
    <x v="3"/>
    <x v="1"/>
    <d v="2021-01-01T00:00:00"/>
    <d v="2021-12-31T00:00:00"/>
    <x v="1"/>
    <d v="2021-01-01T00:00:00"/>
    <d v="2021-12-31T00:00:00"/>
    <s v="Diesel (100% mineral diesel)"/>
    <n v="10606.83"/>
    <s v="litres"/>
    <x v="1"/>
    <m/>
    <s v="2023-02-27, 16:27"/>
    <s v="2023-07-20, 00:40"/>
    <n v="2021"/>
    <s v="diesel_100p_mineral_diesel"/>
    <s v="Diesel (100% Mineral Diesel)"/>
    <s v="model"/>
    <b v="0"/>
    <s v="FUELS; LIQUID FUELS; DIESEL (100% MINERAL DIESEL)"/>
    <x v="2"/>
    <x v="0"/>
    <s v="Europe"/>
    <m/>
    <m/>
    <m/>
    <n v="1"/>
    <s v="N2O"/>
    <n v="394.57407599999999"/>
    <n v="3.7199999999999997E-2"/>
    <s v="LITRES"/>
    <n v="1"/>
    <n v="10606.83"/>
    <s v="AR4"/>
    <s v="Defra"/>
    <s v="Defra (2021)"/>
    <n v="2021"/>
    <n v="2019"/>
    <n v="0"/>
    <n v="0"/>
    <x v="4"/>
    <s v="Office (with heat &amp; steam)"/>
  </r>
  <r>
    <n v="5014"/>
    <s v="Top of Hierarchy &gt; Europe &gt; Vantage_Leuna"/>
    <x v="3"/>
    <x v="1"/>
    <d v="2021-01-01T00:00:00"/>
    <d v="2021-12-31T00:00:00"/>
    <x v="1"/>
    <d v="2021-01-01T00:00:00"/>
    <d v="2021-12-31T00:00:00"/>
    <s v="Diesel (100% mineral diesel)"/>
    <n v="10606.83"/>
    <s v="litres"/>
    <x v="1"/>
    <m/>
    <s v="2023-02-27, 16:27"/>
    <s v="2023-07-20, 00:40"/>
    <n v="2021"/>
    <s v="diesel_100p_mineral_diesel__wtt"/>
    <s v="Diesel (100% Mineral Diesel) WTT"/>
    <s v="wtt"/>
    <b v="0"/>
    <s v="WTT- FUELS; WTT- LIQUID FUELS; DIESEL (100% MINERAL DIESEL)"/>
    <x v="1"/>
    <x v="1"/>
    <s v="Europe"/>
    <m/>
    <m/>
    <m/>
    <n v="0"/>
    <s v="CO2E"/>
    <n v="6668.9382939999996"/>
    <n v="0.62873999999999997"/>
    <s v="LITRES"/>
    <n v="1"/>
    <n v="10606.83"/>
    <s v="AR4"/>
    <s v="Defra"/>
    <s v="Defra (2021)"/>
    <n v="2021"/>
    <n v="2019"/>
    <n v="6.6689382939999993"/>
    <n v="0"/>
    <x v="4"/>
    <s v="Office (with heat &amp; steam)"/>
  </r>
  <r>
    <n v="5014"/>
    <s v="Top of Hierarchy &gt; Europe &gt; Vantage_Leuna"/>
    <x v="3"/>
    <x v="1"/>
    <d v="2021-01-01T00:00:00"/>
    <d v="2021-12-31T00:00:00"/>
    <x v="1"/>
    <d v="2021-01-01T00:00:00"/>
    <d v="2021-12-31T00:00:00"/>
    <s v="Diesel (100% mineral diesel)"/>
    <n v="10606.83"/>
    <s v="litres"/>
    <x v="1"/>
    <m/>
    <s v="2023-02-27, 16:27"/>
    <s v="2023-07-20, 00:40"/>
    <n v="2021"/>
    <s v="diesel_100p_mineral_diesel__wtt"/>
    <s v="Diesel (100% Mineral Diesel) WTT"/>
    <s v="wtt"/>
    <b v="0"/>
    <s v="WTT- FUELS; WTT- LIQUID FUELS; DIESEL (100% MINERAL DIESEL)"/>
    <x v="1"/>
    <x v="1"/>
    <s v="Europe"/>
    <m/>
    <m/>
    <m/>
    <n v="1"/>
    <s v="CO2E"/>
    <n v="6668.9382939999996"/>
    <n v="0.62873999999999997"/>
    <s v="LITRES"/>
    <n v="1"/>
    <n v="10606.83"/>
    <s v="AR4"/>
    <s v="Defra"/>
    <s v="Defra (2021)"/>
    <n v="2021"/>
    <n v="2019"/>
    <n v="0"/>
    <n v="6.6689382939999993"/>
    <x v="4"/>
    <s v="Office (with heat &amp; steam)"/>
  </r>
  <r>
    <n v="5015"/>
    <s v="Top of Hierarchy &gt; Europe &gt; Vantage_Leuna"/>
    <x v="3"/>
    <x v="1"/>
    <d v="2021-01-01T00:00:00"/>
    <d v="2021-12-31T00:00:00"/>
    <x v="1"/>
    <d v="2021-01-01T00:00:00"/>
    <d v="2021-12-31T00:00:00"/>
    <s v="Petrol (100% mineral petrol)"/>
    <n v="2679.19"/>
    <s v="litres"/>
    <x v="1"/>
    <m/>
    <s v="2023-02-27, 16:27"/>
    <s v="2023-07-20, 00:40"/>
    <n v="2021"/>
    <s v="petrol_100p_mineral_petrol"/>
    <s v="Petrol (100% Mineral Petrol)"/>
    <s v="model"/>
    <b v="0"/>
    <s v="FUELS; LIQUID FUELS; PETROL (100% MINERAL PETROL)"/>
    <x v="2"/>
    <x v="0"/>
    <s v="Europe"/>
    <m/>
    <m/>
    <m/>
    <n v="0"/>
    <s v="CH4"/>
    <n v="19.611670799999999"/>
    <n v="7.3200000000000001E-3"/>
    <s v="LITRES"/>
    <n v="1"/>
    <n v="2679.19"/>
    <s v="AR4"/>
    <s v="Defra"/>
    <s v="Defra (2021)"/>
    <n v="2021"/>
    <n v="2019"/>
    <n v="0"/>
    <n v="0"/>
    <x v="4"/>
    <s v="Office (with heat &amp; steam)"/>
  </r>
  <r>
    <n v="5015"/>
    <s v="Top of Hierarchy &gt; Europe &gt; Vantage_Leuna"/>
    <x v="3"/>
    <x v="1"/>
    <d v="2021-01-01T00:00:00"/>
    <d v="2021-12-31T00:00:00"/>
    <x v="1"/>
    <d v="2021-01-01T00:00:00"/>
    <d v="2021-12-31T00:00:00"/>
    <s v="Petrol (100% mineral petrol)"/>
    <n v="2679.19"/>
    <s v="litres"/>
    <x v="1"/>
    <m/>
    <s v="2023-02-27, 16:27"/>
    <s v="2023-07-20, 00:40"/>
    <n v="2021"/>
    <s v="petrol_100p_mineral_petrol"/>
    <s v="Petrol (100% Mineral Petrol)"/>
    <s v="model"/>
    <b v="0"/>
    <s v="FUELS; LIQUID FUELS; PETROL (100% MINERAL PETROL)"/>
    <x v="2"/>
    <x v="0"/>
    <s v="Europe"/>
    <m/>
    <m/>
    <m/>
    <n v="0"/>
    <s v="CO2"/>
    <n v="6230.9118070000004"/>
    <n v="2.3256700000000001"/>
    <s v="LITRES"/>
    <n v="1"/>
    <n v="2679.19"/>
    <s v="AR4"/>
    <s v="Defra"/>
    <s v="Defra (2021)"/>
    <n v="2021"/>
    <n v="2019"/>
    <n v="0"/>
    <n v="0"/>
    <x v="4"/>
    <s v="Office (with heat &amp; steam)"/>
  </r>
  <r>
    <n v="5015"/>
    <s v="Top of Hierarchy &gt; Europe &gt; Vantage_Leuna"/>
    <x v="3"/>
    <x v="1"/>
    <d v="2021-01-01T00:00:00"/>
    <d v="2021-12-31T00:00:00"/>
    <x v="1"/>
    <d v="2021-01-01T00:00:00"/>
    <d v="2021-12-31T00:00:00"/>
    <s v="Petrol (100% mineral petrol)"/>
    <n v="2679.19"/>
    <s v="litres"/>
    <x v="1"/>
    <m/>
    <s v="2023-02-27, 16:27"/>
    <s v="2023-07-20, 00:40"/>
    <n v="2021"/>
    <s v="petrol_100p_mineral_petrol"/>
    <s v="Petrol (100% Mineral Petrol)"/>
    <s v="model"/>
    <b v="0"/>
    <s v="FUELS; LIQUID FUELS; PETROL (100% MINERAL PETROL)"/>
    <x v="2"/>
    <x v="0"/>
    <s v="Europe"/>
    <m/>
    <m/>
    <m/>
    <n v="0"/>
    <s v="CO2E"/>
    <n v="6268.5008429999998"/>
    <n v="2.3397000000000001"/>
    <s v="LITRES"/>
    <n v="1"/>
    <n v="2679.19"/>
    <s v="AR4"/>
    <s v="Defra"/>
    <s v="Defra (2021)"/>
    <n v="2021"/>
    <n v="2019"/>
    <n v="6.268500843"/>
    <n v="0"/>
    <x v="4"/>
    <s v="Office (with heat &amp; steam)"/>
  </r>
  <r>
    <n v="5015"/>
    <s v="Top of Hierarchy &gt; Europe &gt; Vantage_Leuna"/>
    <x v="3"/>
    <x v="1"/>
    <d v="2021-01-01T00:00:00"/>
    <d v="2021-12-31T00:00:00"/>
    <x v="1"/>
    <d v="2021-01-01T00:00:00"/>
    <d v="2021-12-31T00:00:00"/>
    <s v="Petrol (100% mineral petrol)"/>
    <n v="2679.19"/>
    <s v="litres"/>
    <x v="1"/>
    <m/>
    <s v="2023-02-27, 16:27"/>
    <s v="2023-07-20, 00:40"/>
    <n v="2021"/>
    <s v="petrol_100p_mineral_petrol"/>
    <s v="Petrol (100% Mineral Petrol)"/>
    <s v="model"/>
    <b v="0"/>
    <s v="FUELS; LIQUID FUELS; PETROL (100% MINERAL PETROL)"/>
    <x v="2"/>
    <x v="0"/>
    <s v="Europe"/>
    <m/>
    <m/>
    <m/>
    <n v="0"/>
    <s v="N2O"/>
    <n v="17.977364900000001"/>
    <n v="6.7099999999999998E-3"/>
    <s v="LITRES"/>
    <n v="1"/>
    <n v="2679.19"/>
    <s v="AR4"/>
    <s v="Defra"/>
    <s v="Defra (2021)"/>
    <n v="2021"/>
    <n v="2019"/>
    <n v="0"/>
    <n v="0"/>
    <x v="4"/>
    <s v="Office (with heat &amp; steam)"/>
  </r>
  <r>
    <n v="5015"/>
    <s v="Top of Hierarchy &gt; Europe &gt; Vantage_Leuna"/>
    <x v="3"/>
    <x v="1"/>
    <d v="2021-01-01T00:00:00"/>
    <d v="2021-12-31T00:00:00"/>
    <x v="1"/>
    <d v="2021-01-01T00:00:00"/>
    <d v="2021-12-31T00:00:00"/>
    <s v="Petrol (100% mineral petrol)"/>
    <n v="2679.19"/>
    <s v="litres"/>
    <x v="1"/>
    <m/>
    <s v="2023-02-27, 16:27"/>
    <s v="2023-07-20, 00:40"/>
    <n v="2021"/>
    <s v="petrol_100p_mineral_petrol"/>
    <s v="Petrol (100% Mineral Petrol)"/>
    <s v="model"/>
    <b v="0"/>
    <s v="FUELS; LIQUID FUELS; PETROL (100% MINERAL PETROL)"/>
    <x v="2"/>
    <x v="0"/>
    <s v="Europe"/>
    <m/>
    <m/>
    <m/>
    <n v="1"/>
    <s v="CH4"/>
    <n v="19.611670799999999"/>
    <n v="7.3200000000000001E-3"/>
    <s v="LITRES"/>
    <n v="1"/>
    <n v="2679.19"/>
    <s v="AR4"/>
    <s v="Defra"/>
    <s v="Defra (2021)"/>
    <n v="2021"/>
    <n v="2019"/>
    <n v="0"/>
    <n v="0"/>
    <x v="4"/>
    <s v="Office (with heat &amp; steam)"/>
  </r>
  <r>
    <n v="5015"/>
    <s v="Top of Hierarchy &gt; Europe &gt; Vantage_Leuna"/>
    <x v="3"/>
    <x v="1"/>
    <d v="2021-01-01T00:00:00"/>
    <d v="2021-12-31T00:00:00"/>
    <x v="1"/>
    <d v="2021-01-01T00:00:00"/>
    <d v="2021-12-31T00:00:00"/>
    <s v="Petrol (100% mineral petrol)"/>
    <n v="2679.19"/>
    <s v="litres"/>
    <x v="1"/>
    <m/>
    <s v="2023-02-27, 16:27"/>
    <s v="2023-07-20, 00:40"/>
    <n v="2021"/>
    <s v="petrol_100p_mineral_petrol"/>
    <s v="Petrol (100% Mineral Petrol)"/>
    <s v="model"/>
    <b v="0"/>
    <s v="FUELS; LIQUID FUELS; PETROL (100% MINERAL PETROL)"/>
    <x v="2"/>
    <x v="0"/>
    <s v="Europe"/>
    <m/>
    <m/>
    <m/>
    <n v="1"/>
    <s v="CO2"/>
    <n v="6230.9118070000004"/>
    <n v="2.3256700000000001"/>
    <s v="LITRES"/>
    <n v="1"/>
    <n v="2679.19"/>
    <s v="AR4"/>
    <s v="Defra"/>
    <s v="Defra (2021)"/>
    <n v="2021"/>
    <n v="2019"/>
    <n v="0"/>
    <n v="0"/>
    <x v="4"/>
    <s v="Office (with heat &amp; steam)"/>
  </r>
  <r>
    <n v="5015"/>
    <s v="Top of Hierarchy &gt; Europe &gt; Vantage_Leuna"/>
    <x v="3"/>
    <x v="1"/>
    <d v="2021-01-01T00:00:00"/>
    <d v="2021-12-31T00:00:00"/>
    <x v="1"/>
    <d v="2021-01-01T00:00:00"/>
    <d v="2021-12-31T00:00:00"/>
    <s v="Petrol (100% mineral petrol)"/>
    <n v="2679.19"/>
    <s v="litres"/>
    <x v="1"/>
    <m/>
    <s v="2023-02-27, 16:27"/>
    <s v="2023-07-20, 00:40"/>
    <n v="2021"/>
    <s v="petrol_100p_mineral_petrol"/>
    <s v="Petrol (100% Mineral Petrol)"/>
    <s v="model"/>
    <b v="0"/>
    <s v="FUELS; LIQUID FUELS; PETROL (100% MINERAL PETROL)"/>
    <x v="2"/>
    <x v="0"/>
    <s v="Europe"/>
    <m/>
    <m/>
    <m/>
    <n v="1"/>
    <s v="CO2E"/>
    <n v="6268.5008429999998"/>
    <n v="2.3397000000000001"/>
    <s v="LITRES"/>
    <n v="1"/>
    <n v="2679.19"/>
    <s v="AR4"/>
    <s v="Defra"/>
    <s v="Defra (2021)"/>
    <n v="2021"/>
    <n v="2019"/>
    <n v="0"/>
    <n v="6.268500843"/>
    <x v="4"/>
    <s v="Office (with heat &amp; steam)"/>
  </r>
  <r>
    <n v="5015"/>
    <s v="Top of Hierarchy &gt; Europe &gt; Vantage_Leuna"/>
    <x v="3"/>
    <x v="1"/>
    <d v="2021-01-01T00:00:00"/>
    <d v="2021-12-31T00:00:00"/>
    <x v="1"/>
    <d v="2021-01-01T00:00:00"/>
    <d v="2021-12-31T00:00:00"/>
    <s v="Petrol (100% mineral petrol)"/>
    <n v="2679.19"/>
    <s v="litres"/>
    <x v="1"/>
    <m/>
    <s v="2023-02-27, 16:27"/>
    <s v="2023-07-20, 00:40"/>
    <n v="2021"/>
    <s v="petrol_100p_mineral_petrol"/>
    <s v="Petrol (100% Mineral Petrol)"/>
    <s v="model"/>
    <b v="0"/>
    <s v="FUELS; LIQUID FUELS; PETROL (100% MINERAL PETROL)"/>
    <x v="2"/>
    <x v="0"/>
    <s v="Europe"/>
    <m/>
    <m/>
    <m/>
    <n v="1"/>
    <s v="N2O"/>
    <n v="17.977364900000001"/>
    <n v="6.7099999999999998E-3"/>
    <s v="LITRES"/>
    <n v="1"/>
    <n v="2679.19"/>
    <s v="AR4"/>
    <s v="Defra"/>
    <s v="Defra (2021)"/>
    <n v="2021"/>
    <n v="2019"/>
    <n v="0"/>
    <n v="0"/>
    <x v="4"/>
    <s v="Office (with heat &amp; steam)"/>
  </r>
  <r>
    <n v="5015"/>
    <s v="Top of Hierarchy &gt; Europe &gt; Vantage_Leuna"/>
    <x v="3"/>
    <x v="1"/>
    <d v="2021-01-01T00:00:00"/>
    <d v="2021-12-31T00:00:00"/>
    <x v="1"/>
    <d v="2021-01-01T00:00:00"/>
    <d v="2021-12-31T00:00:00"/>
    <s v="Petrol (100% mineral petrol)"/>
    <n v="2679.19"/>
    <s v="litres"/>
    <x v="1"/>
    <m/>
    <s v="2023-02-27, 16:27"/>
    <s v="2023-07-20, 00:40"/>
    <n v="2021"/>
    <s v="petrol_100p_mineral_petrol__wtt"/>
    <s v="Petrol (100% Mineral Petrol) WTT"/>
    <s v="wtt"/>
    <b v="0"/>
    <s v="WTT- FUELS; WTT- LIQUID FUELS; PETROL (100% MINERAL PETROL)"/>
    <x v="1"/>
    <x v="1"/>
    <s v="Europe"/>
    <m/>
    <m/>
    <m/>
    <n v="0"/>
    <s v="CO2E"/>
    <n v="1615.096108"/>
    <n v="0.60282999999999998"/>
    <s v="LITRES"/>
    <n v="1"/>
    <n v="2679.19"/>
    <s v="AR4"/>
    <s v="Defra"/>
    <s v="Defra (2021)"/>
    <n v="2021"/>
    <n v="2019"/>
    <n v="1.6150961079999999"/>
    <n v="0"/>
    <x v="4"/>
    <s v="Office (with heat &amp; steam)"/>
  </r>
  <r>
    <n v="5015"/>
    <s v="Top of Hierarchy &gt; Europe &gt; Vantage_Leuna"/>
    <x v="3"/>
    <x v="1"/>
    <d v="2021-01-01T00:00:00"/>
    <d v="2021-12-31T00:00:00"/>
    <x v="1"/>
    <d v="2021-01-01T00:00:00"/>
    <d v="2021-12-31T00:00:00"/>
    <s v="Petrol (100% mineral petrol)"/>
    <n v="2679.19"/>
    <s v="litres"/>
    <x v="1"/>
    <m/>
    <s v="2023-02-27, 16:27"/>
    <s v="2023-07-20, 00:40"/>
    <n v="2021"/>
    <s v="petrol_100p_mineral_petrol__wtt"/>
    <s v="Petrol (100% Mineral Petrol) WTT"/>
    <s v="wtt"/>
    <b v="0"/>
    <s v="WTT- FUELS; WTT- LIQUID FUELS; PETROL (100% MINERAL PETROL)"/>
    <x v="1"/>
    <x v="1"/>
    <s v="Europe"/>
    <m/>
    <m/>
    <m/>
    <n v="1"/>
    <s v="CO2E"/>
    <n v="1615.096108"/>
    <n v="0.60282999999999998"/>
    <s v="LITRES"/>
    <n v="1"/>
    <n v="2679.19"/>
    <s v="AR4"/>
    <s v="Defra"/>
    <s v="Defra (2021)"/>
    <n v="2021"/>
    <n v="2019"/>
    <n v="0"/>
    <n v="1.6150961079999999"/>
    <x v="4"/>
    <s v="Office (with heat &amp; steam)"/>
  </r>
  <r>
    <n v="5040"/>
    <s v="Top of Hierarchy &gt; Europe &gt; Vantage_Leuna"/>
    <x v="3"/>
    <x v="1"/>
    <d v="2021-01-01T00:00:00"/>
    <d v="2021-12-31T00:00:00"/>
    <x v="4"/>
    <d v="2021-01-01T00:00:00"/>
    <d v="2021-12-31T00:00:00"/>
    <s v="R410A"/>
    <n v="34.4"/>
    <s v="kilograms"/>
    <x v="1"/>
    <m/>
    <s v="2023-02-27, 16:28"/>
    <s v="2023-07-20, 00:40"/>
    <n v="2021"/>
    <s v="r410a"/>
    <s v="R410A"/>
    <s v="model"/>
    <b v="0"/>
    <s v="REFRIGERANT: R-410A"/>
    <x v="2"/>
    <x v="0"/>
    <m/>
    <m/>
    <m/>
    <m/>
    <n v="0"/>
    <s v="CO2E"/>
    <n v="71827.199999999997"/>
    <n v="2088"/>
    <s v="KG"/>
    <n v="1"/>
    <n v="34.4"/>
    <s v="AR4"/>
    <s v="IPCC"/>
    <s v="IPCC (2021)"/>
    <n v="2021"/>
    <n v="2007"/>
    <n v="71.827199999999991"/>
    <n v="0"/>
    <x v="4"/>
    <s v="Office (with heat &amp; steam)"/>
  </r>
  <r>
    <n v="5040"/>
    <s v="Top of Hierarchy &gt; Europe &gt; Vantage_Leuna"/>
    <x v="3"/>
    <x v="1"/>
    <d v="2021-01-01T00:00:00"/>
    <d v="2021-12-31T00:00:00"/>
    <x v="4"/>
    <d v="2021-01-01T00:00:00"/>
    <d v="2021-12-31T00:00:00"/>
    <s v="R410A"/>
    <n v="34.4"/>
    <s v="kilograms"/>
    <x v="1"/>
    <m/>
    <s v="2023-02-27, 16:28"/>
    <s v="2023-07-20, 00:40"/>
    <n v="2021"/>
    <s v="r410a"/>
    <s v="R410A"/>
    <s v="model"/>
    <b v="0"/>
    <s v="REFRIGERANT: R-410A"/>
    <x v="2"/>
    <x v="0"/>
    <m/>
    <m/>
    <m/>
    <m/>
    <n v="1"/>
    <s v="CO2E"/>
    <n v="71827.199999999997"/>
    <n v="2088"/>
    <s v="KG"/>
    <n v="1"/>
    <n v="34.4"/>
    <s v="AR4"/>
    <s v="IPCC"/>
    <s v="IPCC (2021)"/>
    <n v="2021"/>
    <n v="2007"/>
    <n v="0"/>
    <n v="71.827199999999991"/>
    <x v="4"/>
    <s v="Office (with heat &amp; steam)"/>
  </r>
  <r>
    <n v="1257574"/>
    <s v="Top of Hierarchy &gt; Europe &gt; Vantage_Leuna"/>
    <x v="3"/>
    <x v="1"/>
    <d v="2021-01-01T00:00:00"/>
    <d v="2021-12-31T00:00:00"/>
    <x v="4"/>
    <d v="2021-01-01T00:00:00"/>
    <d v="2021-12-31T00:00:00"/>
    <s v="R407C"/>
    <n v="0"/>
    <s v="kilograms"/>
    <x v="1"/>
    <m/>
    <s v="2023-07-19, 19:31"/>
    <s v="2023-07-20, 00:40"/>
    <n v="2021"/>
    <s v="r407c"/>
    <s v="R407C"/>
    <s v="model"/>
    <b v="0"/>
    <s v="REFRIGERANT: R-407C"/>
    <x v="2"/>
    <x v="0"/>
    <m/>
    <m/>
    <m/>
    <m/>
    <n v="0"/>
    <s v="CO2E"/>
    <n v="0"/>
    <n v="1774"/>
    <s v="KG"/>
    <n v="1"/>
    <n v="0"/>
    <s v="AR4"/>
    <s v="IPCC"/>
    <s v="IPCC (2021)"/>
    <n v="2021"/>
    <n v="2007"/>
    <n v="0"/>
    <n v="0"/>
    <x v="4"/>
    <s v="Office (with heat &amp; steam)"/>
  </r>
  <r>
    <n v="1257574"/>
    <s v="Top of Hierarchy &gt; Europe &gt; Vantage_Leuna"/>
    <x v="3"/>
    <x v="1"/>
    <d v="2021-01-01T00:00:00"/>
    <d v="2021-12-31T00:00:00"/>
    <x v="4"/>
    <d v="2021-01-01T00:00:00"/>
    <d v="2021-12-31T00:00:00"/>
    <s v="R407C"/>
    <n v="0"/>
    <s v="kilograms"/>
    <x v="1"/>
    <m/>
    <s v="2023-07-19, 19:31"/>
    <s v="2023-07-20, 00:40"/>
    <n v="2021"/>
    <s v="r407c"/>
    <s v="R407C"/>
    <s v="model"/>
    <b v="0"/>
    <s v="REFRIGERANT: R-407C"/>
    <x v="2"/>
    <x v="0"/>
    <m/>
    <m/>
    <m/>
    <m/>
    <n v="1"/>
    <s v="CO2E"/>
    <n v="0"/>
    <n v="1774"/>
    <s v="KG"/>
    <n v="1"/>
    <n v="0"/>
    <s v="AR4"/>
    <s v="IPCC"/>
    <s v="IPCC (2021)"/>
    <n v="2021"/>
    <n v="2007"/>
    <n v="0"/>
    <n v="0"/>
    <x v="4"/>
    <s v="Office (with heat &amp; steam)"/>
  </r>
  <r>
    <n v="5169"/>
    <s v="Top of Hierarchy &gt; Europe &gt; Vantage_Leuna"/>
    <x v="3"/>
    <x v="1"/>
    <d v="2021-01-01T00:00:00"/>
    <d v="2021-12-31T00:00:00"/>
    <x v="5"/>
    <d v="2021-01-01T00:00:00"/>
    <d v="2021-12-31T00:00:00"/>
    <s v="Purchased Heat/Steam"/>
    <n v="37497000"/>
    <s v="Kilowatt hours"/>
    <x v="1"/>
    <m/>
    <s v="2023-02-27, 18:18"/>
    <s v="2023-07-20, 00:40"/>
    <n v="2021"/>
    <s v="heat_steam_district"/>
    <s v="Heat and Steam District"/>
    <s v="model"/>
    <b v="0"/>
    <s v="HEAT AND STEAM; HEAT AND STEAM; DISTRICT HEAT AND STEAM"/>
    <x v="0"/>
    <x v="0"/>
    <s v="Europe"/>
    <m/>
    <m/>
    <m/>
    <n v="0"/>
    <s v="CH4"/>
    <n v="40871.730000000003"/>
    <n v="1.09E-3"/>
    <s v="KWH"/>
    <n v="1"/>
    <n v="37497000"/>
    <s v="AR4"/>
    <s v="Defra"/>
    <s v="Defra (2021)"/>
    <n v="2021"/>
    <n v="2019"/>
    <n v="0"/>
    <n v="0"/>
    <x v="4"/>
    <s v="Office (with heat &amp; steam)"/>
  </r>
  <r>
    <n v="5169"/>
    <s v="Top of Hierarchy &gt; Europe &gt; Vantage_Leuna"/>
    <x v="3"/>
    <x v="1"/>
    <d v="2021-01-01T00:00:00"/>
    <d v="2021-12-31T00:00:00"/>
    <x v="5"/>
    <d v="2021-01-01T00:00:00"/>
    <d v="2021-12-31T00:00:00"/>
    <s v="Purchased Heat/Steam"/>
    <n v="37497000"/>
    <s v="Kilowatt hours"/>
    <x v="1"/>
    <m/>
    <s v="2023-02-27, 18:18"/>
    <s v="2023-07-20, 00:40"/>
    <n v="2021"/>
    <s v="heat_steam_district"/>
    <s v="Heat and Steam District"/>
    <s v="model"/>
    <b v="0"/>
    <s v="HEAT AND STEAM; HEAT AND STEAM; DISTRICT HEAT AND STEAM"/>
    <x v="0"/>
    <x v="0"/>
    <s v="Europe"/>
    <m/>
    <m/>
    <m/>
    <n v="0"/>
    <s v="CO2"/>
    <n v="6339242.8200000003"/>
    <n v="0.16905999999999999"/>
    <s v="KWH"/>
    <n v="1"/>
    <n v="37497000"/>
    <s v="AR4"/>
    <s v="Defra"/>
    <s v="Defra (2021)"/>
    <n v="2021"/>
    <n v="2019"/>
    <n v="0"/>
    <n v="0"/>
    <x v="4"/>
    <s v="Office (with heat &amp; steam)"/>
  </r>
  <r>
    <n v="5169"/>
    <s v="Top of Hierarchy &gt; Europe &gt; Vantage_Leuna"/>
    <x v="3"/>
    <x v="1"/>
    <d v="2021-01-01T00:00:00"/>
    <d v="2021-12-31T00:00:00"/>
    <x v="5"/>
    <d v="2021-01-01T00:00:00"/>
    <d v="2021-12-31T00:00:00"/>
    <s v="Purchased Heat/Steam"/>
    <n v="37497000"/>
    <s v="Kilowatt hours"/>
    <x v="1"/>
    <m/>
    <s v="2023-02-27, 18:18"/>
    <s v="2023-07-20, 00:40"/>
    <n v="2021"/>
    <s v="heat_steam_district"/>
    <s v="Heat and Steam District"/>
    <s v="model"/>
    <b v="0"/>
    <s v="HEAT AND STEAM; HEAT AND STEAM; DISTRICT HEAT AND STEAM"/>
    <x v="0"/>
    <x v="0"/>
    <s v="Europe"/>
    <m/>
    <m/>
    <m/>
    <n v="0"/>
    <s v="CO2E"/>
    <n v="6401862.8099999996"/>
    <n v="0.17072999999999999"/>
    <s v="KWH"/>
    <n v="1"/>
    <n v="37497000"/>
    <s v="AR4"/>
    <s v="Defra"/>
    <s v="Defra (2021)"/>
    <n v="2021"/>
    <n v="2019"/>
    <n v="6401.8628099999996"/>
    <n v="0"/>
    <x v="4"/>
    <s v="Office (with heat &amp; steam)"/>
  </r>
  <r>
    <n v="5169"/>
    <s v="Top of Hierarchy &gt; Europe &gt; Vantage_Leuna"/>
    <x v="3"/>
    <x v="1"/>
    <d v="2021-01-01T00:00:00"/>
    <d v="2021-12-31T00:00:00"/>
    <x v="5"/>
    <d v="2021-01-01T00:00:00"/>
    <d v="2021-12-31T00:00:00"/>
    <s v="Purchased Heat/Steam"/>
    <n v="37497000"/>
    <s v="Kilowatt hours"/>
    <x v="1"/>
    <m/>
    <s v="2023-02-27, 18:18"/>
    <s v="2023-07-20, 00:40"/>
    <n v="2021"/>
    <s v="heat_steam_district"/>
    <s v="Heat and Steam District"/>
    <s v="model"/>
    <b v="0"/>
    <s v="HEAT AND STEAM; HEAT AND STEAM; DISTRICT HEAT AND STEAM"/>
    <x v="0"/>
    <x v="0"/>
    <s v="Europe"/>
    <m/>
    <m/>
    <m/>
    <n v="0"/>
    <s v="N2O"/>
    <n v="21748.26"/>
    <n v="5.8E-4"/>
    <s v="KWH"/>
    <n v="1"/>
    <n v="37497000"/>
    <s v="AR4"/>
    <s v="Defra"/>
    <s v="Defra (2021)"/>
    <n v="2021"/>
    <n v="2019"/>
    <n v="0"/>
    <n v="0"/>
    <x v="4"/>
    <s v="Office (with heat &amp; steam)"/>
  </r>
  <r>
    <n v="5169"/>
    <s v="Top of Hierarchy &gt; Europe &gt; Vantage_Leuna"/>
    <x v="3"/>
    <x v="1"/>
    <d v="2021-01-01T00:00:00"/>
    <d v="2021-12-31T00:00:00"/>
    <x v="5"/>
    <d v="2021-01-01T00:00:00"/>
    <d v="2021-12-31T00:00:00"/>
    <s v="Purchased Heat/Steam"/>
    <n v="37497000"/>
    <s v="Kilowatt hours"/>
    <x v="1"/>
    <m/>
    <s v="2023-02-27, 18:18"/>
    <s v="2023-07-20, 00:40"/>
    <n v="2021"/>
    <s v="heat_steam_district"/>
    <s v="Heat and Steam District"/>
    <s v="model"/>
    <b v="0"/>
    <s v="HEAT AND STEAM; HEAT AND STEAM; DISTRICT HEAT AND STEAM"/>
    <x v="0"/>
    <x v="0"/>
    <s v="Europe"/>
    <m/>
    <m/>
    <m/>
    <n v="1"/>
    <s v="CH4"/>
    <n v="40871.730000000003"/>
    <n v="1.09E-3"/>
    <s v="KWH"/>
    <n v="1"/>
    <n v="37497000"/>
    <s v="AR4"/>
    <s v="Defra"/>
    <s v="Defra (2021)"/>
    <n v="2021"/>
    <n v="2019"/>
    <n v="0"/>
    <n v="0"/>
    <x v="4"/>
    <s v="Office (with heat &amp; steam)"/>
  </r>
  <r>
    <n v="5169"/>
    <s v="Top of Hierarchy &gt; Europe &gt; Vantage_Leuna"/>
    <x v="3"/>
    <x v="1"/>
    <d v="2021-01-01T00:00:00"/>
    <d v="2021-12-31T00:00:00"/>
    <x v="5"/>
    <d v="2021-01-01T00:00:00"/>
    <d v="2021-12-31T00:00:00"/>
    <s v="Purchased Heat/Steam"/>
    <n v="37497000"/>
    <s v="Kilowatt hours"/>
    <x v="1"/>
    <m/>
    <s v="2023-02-27, 18:18"/>
    <s v="2023-07-20, 00:40"/>
    <n v="2021"/>
    <s v="heat_steam_district"/>
    <s v="Heat and Steam District"/>
    <s v="model"/>
    <b v="0"/>
    <s v="HEAT AND STEAM; HEAT AND STEAM; DISTRICT HEAT AND STEAM"/>
    <x v="0"/>
    <x v="0"/>
    <s v="Europe"/>
    <m/>
    <m/>
    <m/>
    <n v="1"/>
    <s v="CO2"/>
    <n v="6339242.8200000003"/>
    <n v="0.16905999999999999"/>
    <s v="KWH"/>
    <n v="1"/>
    <n v="37497000"/>
    <s v="AR4"/>
    <s v="Defra"/>
    <s v="Defra (2021)"/>
    <n v="2021"/>
    <n v="2019"/>
    <n v="0"/>
    <n v="0"/>
    <x v="4"/>
    <s v="Office (with heat &amp; steam)"/>
  </r>
  <r>
    <n v="5169"/>
    <s v="Top of Hierarchy &gt; Europe &gt; Vantage_Leuna"/>
    <x v="3"/>
    <x v="1"/>
    <d v="2021-01-01T00:00:00"/>
    <d v="2021-12-31T00:00:00"/>
    <x v="5"/>
    <d v="2021-01-01T00:00:00"/>
    <d v="2021-12-31T00:00:00"/>
    <s v="Purchased Heat/Steam"/>
    <n v="37497000"/>
    <s v="Kilowatt hours"/>
    <x v="1"/>
    <m/>
    <s v="2023-02-27, 18:18"/>
    <s v="2023-07-20, 00:40"/>
    <n v="2021"/>
    <s v="heat_steam_district"/>
    <s v="Heat and Steam District"/>
    <s v="model"/>
    <b v="0"/>
    <s v="HEAT AND STEAM; HEAT AND STEAM; DISTRICT HEAT AND STEAM"/>
    <x v="0"/>
    <x v="0"/>
    <s v="Europe"/>
    <m/>
    <m/>
    <m/>
    <n v="1"/>
    <s v="CO2E"/>
    <n v="6401862.8099999996"/>
    <n v="0.17072999999999999"/>
    <s v="KWH"/>
    <n v="1"/>
    <n v="37497000"/>
    <s v="AR4"/>
    <s v="Defra"/>
    <s v="Defra (2021)"/>
    <n v="2021"/>
    <n v="2019"/>
    <n v="0"/>
    <n v="6401.8628099999996"/>
    <x v="4"/>
    <s v="Office (with heat &amp; steam)"/>
  </r>
  <r>
    <n v="5169"/>
    <s v="Top of Hierarchy &gt; Europe &gt; Vantage_Leuna"/>
    <x v="3"/>
    <x v="1"/>
    <d v="2021-01-01T00:00:00"/>
    <d v="2021-12-31T00:00:00"/>
    <x v="5"/>
    <d v="2021-01-01T00:00:00"/>
    <d v="2021-12-31T00:00:00"/>
    <s v="Purchased Heat/Steam"/>
    <n v="37497000"/>
    <s v="Kilowatt hours"/>
    <x v="1"/>
    <m/>
    <s v="2023-02-27, 18:18"/>
    <s v="2023-07-20, 00:40"/>
    <n v="2021"/>
    <s v="heat_steam_district"/>
    <s v="Heat and Steam District"/>
    <s v="model"/>
    <b v="0"/>
    <s v="HEAT AND STEAM; HEAT AND STEAM; DISTRICT HEAT AND STEAM"/>
    <x v="0"/>
    <x v="0"/>
    <s v="Europe"/>
    <m/>
    <m/>
    <m/>
    <n v="1"/>
    <s v="N2O"/>
    <n v="21748.26"/>
    <n v="5.8E-4"/>
    <s v="KWH"/>
    <n v="1"/>
    <n v="37497000"/>
    <s v="AR4"/>
    <s v="Defra"/>
    <s v="Defra (2021)"/>
    <n v="2021"/>
    <n v="2019"/>
    <n v="0"/>
    <n v="0"/>
    <x v="4"/>
    <s v="Office (with heat &amp; steam)"/>
  </r>
  <r>
    <n v="5169"/>
    <s v="Top of Hierarchy &gt; Europe &gt; Vantage_Leuna"/>
    <x v="3"/>
    <x v="1"/>
    <d v="2021-01-01T00:00:00"/>
    <d v="2021-12-31T00:00:00"/>
    <x v="5"/>
    <d v="2021-01-01T00:00:00"/>
    <d v="2021-12-31T00:00:00"/>
    <s v="Purchased Heat/Steam"/>
    <n v="37497000"/>
    <s v="Kilowatt hours"/>
    <x v="1"/>
    <m/>
    <s v="2023-02-27, 18:18"/>
    <s v="2023-07-20, 00:40"/>
    <n v="2021"/>
    <s v="heat_steam_district__t+d__wtt"/>
    <s v="Heat and Steam District T&amp;D WTT"/>
    <s v="t+d_wtt"/>
    <b v="0"/>
    <s v="WTT- HEAT AND STEAM; WTT- HEAT AND STEAM; ONSITE HEAT AND STEAM"/>
    <x v="1"/>
    <x v="1"/>
    <s v="Europe"/>
    <m/>
    <m/>
    <m/>
    <n v="0"/>
    <s v="CO2E"/>
    <n v="1182280.4099999999"/>
    <n v="3.1530000000000002E-2"/>
    <s v="KWH"/>
    <n v="1"/>
    <n v="37497000"/>
    <s v="AR4"/>
    <s v="Defra"/>
    <s v="Defra (2021)"/>
    <n v="2021"/>
    <n v="2019"/>
    <n v="1182.2804099999998"/>
    <n v="0"/>
    <x v="4"/>
    <s v="Office (with heat &amp; steam)"/>
  </r>
  <r>
    <n v="5169"/>
    <s v="Top of Hierarchy &gt; Europe &gt; Vantage_Leuna"/>
    <x v="3"/>
    <x v="1"/>
    <d v="2021-01-01T00:00:00"/>
    <d v="2021-12-31T00:00:00"/>
    <x v="5"/>
    <d v="2021-01-01T00:00:00"/>
    <d v="2021-12-31T00:00:00"/>
    <s v="Purchased Heat/Steam"/>
    <n v="37497000"/>
    <s v="Kilowatt hours"/>
    <x v="1"/>
    <m/>
    <s v="2023-02-27, 18:18"/>
    <s v="2023-07-20, 00:40"/>
    <n v="2021"/>
    <s v="heat_steam_district__t+d__wtt"/>
    <s v="Heat and Steam District T&amp;D WTT"/>
    <s v="t+d_wtt"/>
    <b v="0"/>
    <s v="WTT- HEAT AND STEAM; WTT- HEAT AND STEAM; ONSITE HEAT AND STEAM"/>
    <x v="1"/>
    <x v="1"/>
    <s v="Europe"/>
    <m/>
    <m/>
    <m/>
    <n v="1"/>
    <s v="CO2E"/>
    <n v="1182280.4099999999"/>
    <n v="3.1530000000000002E-2"/>
    <s v="KWH"/>
    <n v="1"/>
    <n v="37497000"/>
    <s v="AR4"/>
    <s v="Defra"/>
    <s v="Defra (2021)"/>
    <n v="2021"/>
    <n v="2019"/>
    <n v="0"/>
    <n v="1182.2804099999998"/>
    <x v="4"/>
    <s v="Office (with heat &amp; steam)"/>
  </r>
  <r>
    <n v="5169"/>
    <s v="Top of Hierarchy &gt; Europe &gt; Vantage_Leuna"/>
    <x v="3"/>
    <x v="1"/>
    <d v="2021-01-01T00:00:00"/>
    <d v="2021-12-31T00:00:00"/>
    <x v="5"/>
    <d v="2021-01-01T00:00:00"/>
    <d v="2021-12-31T00:00:00"/>
    <s v="Purchased Heat/Steam"/>
    <n v="37497000"/>
    <s v="Kilowatt hours"/>
    <x v="1"/>
    <m/>
    <s v="2023-02-27, 18:18"/>
    <s v="2023-07-20, 00:40"/>
    <n v="2021"/>
    <s v="heat_steam_district__wtt"/>
    <s v="Heat and Steam District WTT"/>
    <s v="wtt"/>
    <b v="0"/>
    <s v="WTT- HEAT AND STEAM; WTT- DISTRICT HEAT &amp; STEAM DISTRIBUTION; 5% LOSS"/>
    <x v="1"/>
    <x v="1"/>
    <s v="Europe"/>
    <m/>
    <m/>
    <m/>
    <n v="0"/>
    <s v="CO2E"/>
    <n v="62225.284740000003"/>
    <n v="1.659474E-3"/>
    <s v="KWH"/>
    <n v="1"/>
    <n v="37497000"/>
    <s v="AR4"/>
    <s v="Defra"/>
    <s v="Defra (2021)"/>
    <n v="2021"/>
    <n v="2019"/>
    <n v="62.225284739999999"/>
    <n v="0"/>
    <x v="4"/>
    <s v="Office (with heat &amp; steam)"/>
  </r>
  <r>
    <n v="5169"/>
    <s v="Top of Hierarchy &gt; Europe &gt; Vantage_Leuna"/>
    <x v="3"/>
    <x v="1"/>
    <d v="2021-01-01T00:00:00"/>
    <d v="2021-12-31T00:00:00"/>
    <x v="5"/>
    <d v="2021-01-01T00:00:00"/>
    <d v="2021-12-31T00:00:00"/>
    <s v="Purchased Heat/Steam"/>
    <n v="37497000"/>
    <s v="Kilowatt hours"/>
    <x v="1"/>
    <m/>
    <s v="2023-02-27, 18:18"/>
    <s v="2023-07-20, 00:40"/>
    <n v="2021"/>
    <s v="heat_steam_district__wtt"/>
    <s v="Heat and Steam District WTT"/>
    <s v="wtt"/>
    <b v="0"/>
    <s v="WTT- HEAT AND STEAM; WTT- DISTRICT HEAT &amp; STEAM DISTRIBUTION; 5% LOSS"/>
    <x v="1"/>
    <x v="1"/>
    <s v="Europe"/>
    <m/>
    <m/>
    <m/>
    <n v="1"/>
    <s v="CO2E"/>
    <n v="62225.284740000003"/>
    <n v="1.659474E-3"/>
    <s v="KWH"/>
    <n v="1"/>
    <n v="37497000"/>
    <s v="AR4"/>
    <s v="Defra"/>
    <s v="Defra (2021)"/>
    <n v="2021"/>
    <n v="2019"/>
    <n v="0"/>
    <n v="62.225284739999999"/>
    <x v="4"/>
    <s v="Office (with heat &amp; steam)"/>
  </r>
  <r>
    <n v="5169"/>
    <s v="Top of Hierarchy &gt; Europe &gt; Vantage_Leuna"/>
    <x v="3"/>
    <x v="1"/>
    <d v="2021-01-01T00:00:00"/>
    <d v="2021-12-31T00:00:00"/>
    <x v="5"/>
    <d v="2021-01-01T00:00:00"/>
    <d v="2021-12-31T00:00:00"/>
    <s v="Purchased Heat/Steam"/>
    <n v="37497000"/>
    <s v="Kilowatt hours"/>
    <x v="1"/>
    <m/>
    <s v="2023-02-27, 18:18"/>
    <s v="2023-07-20, 00:40"/>
    <n v="2021"/>
    <s v="heat_steam_district__t+d"/>
    <s v="Heat and Steam District T&amp;D"/>
    <s v="t+d"/>
    <b v="0"/>
    <s v="TRANSMISSION AND DISTRIBUTION; DISTRIBUTION - DISTRICT HEAT &amp; STEAM; 5% LOSS"/>
    <x v="1"/>
    <x v="1"/>
    <s v="Europe"/>
    <m/>
    <m/>
    <m/>
    <n v="0"/>
    <s v="CH4"/>
    <n v="2249.8200000000002"/>
    <n v="6.0000000000000002E-5"/>
    <s v="KWH"/>
    <n v="1"/>
    <n v="37497000"/>
    <s v="AR4"/>
    <s v="Defra"/>
    <s v="Defra (2021)"/>
    <n v="2021"/>
    <n v="2019"/>
    <n v="0"/>
    <n v="0"/>
    <x v="4"/>
    <s v="Office (with heat &amp; steam)"/>
  </r>
  <r>
    <n v="5169"/>
    <s v="Top of Hierarchy &gt; Europe &gt; Vantage_Leuna"/>
    <x v="3"/>
    <x v="1"/>
    <d v="2021-01-01T00:00:00"/>
    <d v="2021-12-31T00:00:00"/>
    <x v="5"/>
    <d v="2021-01-01T00:00:00"/>
    <d v="2021-12-31T00:00:00"/>
    <s v="Purchased Heat/Steam"/>
    <n v="37497000"/>
    <s v="Kilowatt hours"/>
    <x v="1"/>
    <m/>
    <s v="2023-02-27, 18:18"/>
    <s v="2023-07-20, 00:40"/>
    <n v="2021"/>
    <s v="heat_steam_district__t+d"/>
    <s v="Heat and Steam District T&amp;D"/>
    <s v="t+d"/>
    <b v="0"/>
    <s v="TRANSMISSION AND DISTRIBUTION; DISTRIBUTION - DISTRICT HEAT &amp; STEAM; 5% LOSS"/>
    <x v="1"/>
    <x v="1"/>
    <s v="Europe"/>
    <m/>
    <m/>
    <m/>
    <n v="0"/>
    <s v="CO2"/>
    <n v="333723.3"/>
    <n v="8.8999999999999999E-3"/>
    <s v="KWH"/>
    <n v="1"/>
    <n v="37497000"/>
    <s v="AR4"/>
    <s v="Defra"/>
    <s v="Defra (2021)"/>
    <n v="2021"/>
    <n v="2019"/>
    <n v="0"/>
    <n v="0"/>
    <x v="4"/>
    <s v="Office (with heat &amp; steam)"/>
  </r>
  <r>
    <n v="5169"/>
    <s v="Top of Hierarchy &gt; Europe &gt; Vantage_Leuna"/>
    <x v="3"/>
    <x v="1"/>
    <d v="2021-01-01T00:00:00"/>
    <d v="2021-12-31T00:00:00"/>
    <x v="5"/>
    <d v="2021-01-01T00:00:00"/>
    <d v="2021-12-31T00:00:00"/>
    <s v="Purchased Heat/Steam"/>
    <n v="37497000"/>
    <s v="Kilowatt hours"/>
    <x v="1"/>
    <m/>
    <s v="2023-02-27, 18:18"/>
    <s v="2023-07-20, 00:40"/>
    <n v="2021"/>
    <s v="heat_steam_district__t+d"/>
    <s v="Heat and Steam District T&amp;D"/>
    <s v="t+d"/>
    <b v="0"/>
    <s v="TRANSMISSION AND DISTRIBUTION; DISTRIBUTION - DISTRICT HEAT &amp; STEAM; 5% LOSS"/>
    <x v="1"/>
    <x v="1"/>
    <s v="Europe"/>
    <m/>
    <m/>
    <m/>
    <n v="0"/>
    <s v="CO2E"/>
    <n v="337098.03"/>
    <n v="8.9899999999999997E-3"/>
    <s v="KWH"/>
    <n v="1"/>
    <n v="37497000"/>
    <s v="AR4"/>
    <s v="Defra"/>
    <s v="Defra (2021)"/>
    <n v="2021"/>
    <n v="2019"/>
    <n v="337.09803000000005"/>
    <n v="0"/>
    <x v="4"/>
    <s v="Office (with heat &amp; steam)"/>
  </r>
  <r>
    <n v="5169"/>
    <s v="Top of Hierarchy &gt; Europe &gt; Vantage_Leuna"/>
    <x v="3"/>
    <x v="1"/>
    <d v="2021-01-01T00:00:00"/>
    <d v="2021-12-31T00:00:00"/>
    <x v="5"/>
    <d v="2021-01-01T00:00:00"/>
    <d v="2021-12-31T00:00:00"/>
    <s v="Purchased Heat/Steam"/>
    <n v="37497000"/>
    <s v="Kilowatt hours"/>
    <x v="1"/>
    <m/>
    <s v="2023-02-27, 18:18"/>
    <s v="2023-07-20, 00:40"/>
    <n v="2021"/>
    <s v="heat_steam_district__t+d"/>
    <s v="Heat and Steam District T&amp;D"/>
    <s v="t+d"/>
    <b v="0"/>
    <s v="TRANSMISSION AND DISTRIBUTION; DISTRIBUTION - DISTRICT HEAT &amp; STEAM; 5% LOSS"/>
    <x v="1"/>
    <x v="1"/>
    <s v="Europe"/>
    <m/>
    <m/>
    <m/>
    <n v="0"/>
    <s v="N2O"/>
    <n v="1124.9100000000001"/>
    <n v="3.0000000000000001E-5"/>
    <s v="KWH"/>
    <n v="1"/>
    <n v="37497000"/>
    <s v="AR4"/>
    <s v="Defra"/>
    <s v="Defra (2021)"/>
    <n v="2021"/>
    <n v="2019"/>
    <n v="0"/>
    <n v="0"/>
    <x v="4"/>
    <s v="Office (with heat &amp; steam)"/>
  </r>
  <r>
    <n v="5169"/>
    <s v="Top of Hierarchy &gt; Europe &gt; Vantage_Leuna"/>
    <x v="3"/>
    <x v="1"/>
    <d v="2021-01-01T00:00:00"/>
    <d v="2021-12-31T00:00:00"/>
    <x v="5"/>
    <d v="2021-01-01T00:00:00"/>
    <d v="2021-12-31T00:00:00"/>
    <s v="Purchased Heat/Steam"/>
    <n v="37497000"/>
    <s v="Kilowatt hours"/>
    <x v="1"/>
    <m/>
    <s v="2023-02-27, 18:18"/>
    <s v="2023-07-20, 00:40"/>
    <n v="2021"/>
    <s v="heat_steam_district__t+d"/>
    <s v="Heat and Steam District T&amp;D"/>
    <s v="t+d"/>
    <b v="0"/>
    <s v="TRANSMISSION AND DISTRIBUTION; DISTRIBUTION - DISTRICT HEAT &amp; STEAM; 5% LOSS"/>
    <x v="1"/>
    <x v="1"/>
    <s v="Europe"/>
    <m/>
    <m/>
    <m/>
    <n v="1"/>
    <s v="CH4"/>
    <n v="2249.8200000000002"/>
    <n v="6.0000000000000002E-5"/>
    <s v="KWH"/>
    <n v="1"/>
    <n v="37497000"/>
    <s v="AR4"/>
    <s v="Defra"/>
    <s v="Defra (2021)"/>
    <n v="2021"/>
    <n v="2019"/>
    <n v="0"/>
    <n v="0"/>
    <x v="4"/>
    <s v="Office (with heat &amp; steam)"/>
  </r>
  <r>
    <n v="5169"/>
    <s v="Top of Hierarchy &gt; Europe &gt; Vantage_Leuna"/>
    <x v="3"/>
    <x v="1"/>
    <d v="2021-01-01T00:00:00"/>
    <d v="2021-12-31T00:00:00"/>
    <x v="5"/>
    <d v="2021-01-01T00:00:00"/>
    <d v="2021-12-31T00:00:00"/>
    <s v="Purchased Heat/Steam"/>
    <n v="37497000"/>
    <s v="Kilowatt hours"/>
    <x v="1"/>
    <m/>
    <s v="2023-02-27, 18:18"/>
    <s v="2023-07-20, 00:40"/>
    <n v="2021"/>
    <s v="heat_steam_district__t+d"/>
    <s v="Heat and Steam District T&amp;D"/>
    <s v="t+d"/>
    <b v="0"/>
    <s v="TRANSMISSION AND DISTRIBUTION; DISTRIBUTION - DISTRICT HEAT &amp; STEAM; 5% LOSS"/>
    <x v="1"/>
    <x v="1"/>
    <s v="Europe"/>
    <m/>
    <m/>
    <m/>
    <n v="1"/>
    <s v="CO2"/>
    <n v="333723.3"/>
    <n v="8.8999999999999999E-3"/>
    <s v="KWH"/>
    <n v="1"/>
    <n v="37497000"/>
    <s v="AR4"/>
    <s v="Defra"/>
    <s v="Defra (2021)"/>
    <n v="2021"/>
    <n v="2019"/>
    <n v="0"/>
    <n v="0"/>
    <x v="4"/>
    <s v="Office (with heat &amp; steam)"/>
  </r>
  <r>
    <n v="5169"/>
    <s v="Top of Hierarchy &gt; Europe &gt; Vantage_Leuna"/>
    <x v="3"/>
    <x v="1"/>
    <d v="2021-01-01T00:00:00"/>
    <d v="2021-12-31T00:00:00"/>
    <x v="5"/>
    <d v="2021-01-01T00:00:00"/>
    <d v="2021-12-31T00:00:00"/>
    <s v="Purchased Heat/Steam"/>
    <n v="37497000"/>
    <s v="Kilowatt hours"/>
    <x v="1"/>
    <m/>
    <s v="2023-02-27, 18:18"/>
    <s v="2023-07-20, 00:40"/>
    <n v="2021"/>
    <s v="heat_steam_district__t+d"/>
    <s v="Heat and Steam District T&amp;D"/>
    <s v="t+d"/>
    <b v="0"/>
    <s v="TRANSMISSION AND DISTRIBUTION; DISTRIBUTION - DISTRICT HEAT &amp; STEAM; 5% LOSS"/>
    <x v="1"/>
    <x v="1"/>
    <s v="Europe"/>
    <m/>
    <m/>
    <m/>
    <n v="1"/>
    <s v="CO2E"/>
    <n v="337098.03"/>
    <n v="8.9899999999999997E-3"/>
    <s v="KWH"/>
    <n v="1"/>
    <n v="37497000"/>
    <s v="AR4"/>
    <s v="Defra"/>
    <s v="Defra (2021)"/>
    <n v="2021"/>
    <n v="2019"/>
    <n v="0"/>
    <n v="337.09803000000005"/>
    <x v="4"/>
    <s v="Office (with heat &amp; steam)"/>
  </r>
  <r>
    <n v="5169"/>
    <s v="Top of Hierarchy &gt; Europe &gt; Vantage_Leuna"/>
    <x v="3"/>
    <x v="1"/>
    <d v="2021-01-01T00:00:00"/>
    <d v="2021-12-31T00:00:00"/>
    <x v="5"/>
    <d v="2021-01-01T00:00:00"/>
    <d v="2021-12-31T00:00:00"/>
    <s v="Purchased Heat/Steam"/>
    <n v="37497000"/>
    <s v="Kilowatt hours"/>
    <x v="1"/>
    <m/>
    <s v="2023-02-27, 18:18"/>
    <s v="2023-07-20, 00:40"/>
    <n v="2021"/>
    <s v="heat_steam_district__t+d"/>
    <s v="Heat and Steam District T&amp;D"/>
    <s v="t+d"/>
    <b v="0"/>
    <s v="TRANSMISSION AND DISTRIBUTION; DISTRIBUTION - DISTRICT HEAT &amp; STEAM; 5% LOSS"/>
    <x v="1"/>
    <x v="1"/>
    <s v="Europe"/>
    <m/>
    <m/>
    <m/>
    <n v="1"/>
    <s v="N2O"/>
    <n v="1124.9100000000001"/>
    <n v="3.0000000000000001E-5"/>
    <s v="KWH"/>
    <n v="1"/>
    <n v="37497000"/>
    <s v="AR4"/>
    <s v="Defra"/>
    <s v="Defra (2021)"/>
    <n v="2021"/>
    <n v="2019"/>
    <n v="0"/>
    <n v="0"/>
    <x v="4"/>
    <s v="Office (with heat &amp; steam)"/>
  </r>
  <r>
    <n v="11229"/>
    <s v="Top of Hierarchy &gt; Europe &gt; Vantage_Paris"/>
    <x v="4"/>
    <x v="0"/>
    <d v="2022-01-01T00:00:00"/>
    <d v="2022-12-31T00:00:00"/>
    <x v="0"/>
    <d v="2022-01-01T00:00:00"/>
    <d v="2022-12-31T00:00:00"/>
    <s v="Electricity (non-renewable)"/>
    <n v="0"/>
    <s v="Kilowatt hours"/>
    <x v="1"/>
    <s v="This site closed Dec 31 2021"/>
    <s v="2023-03-16, 21:16"/>
    <s v="2023-07-20, 00:40"/>
    <n v="2022"/>
    <s v="electricity"/>
    <s v="Electricity"/>
    <s v="model"/>
    <b v="0"/>
    <s v="ELECTRICITY; FRANCE"/>
    <x v="0"/>
    <x v="0"/>
    <s v="Europe"/>
    <s v="Western Europe"/>
    <s v="FR"/>
    <m/>
    <n v="0"/>
    <s v="CH4"/>
    <n v="0"/>
    <s v="RESTRICTED"/>
    <s v="KWH"/>
    <n v="1"/>
    <n v="0"/>
    <s v="AR4"/>
    <s v="IEA"/>
    <s v="IEA (2022)"/>
    <n v="2022"/>
    <n v="2020"/>
    <n v="0"/>
    <n v="0"/>
    <x v="5"/>
    <s v="Unspecified Facility Type"/>
  </r>
  <r>
    <n v="11229"/>
    <s v="Top of Hierarchy &gt; Europe &gt; Vantage_Paris"/>
    <x v="4"/>
    <x v="0"/>
    <d v="2022-01-01T00:00:00"/>
    <d v="2022-12-31T00:00:00"/>
    <x v="0"/>
    <d v="2022-01-01T00:00:00"/>
    <d v="2022-12-31T00:00:00"/>
    <s v="Electricity (non-renewable)"/>
    <n v="0"/>
    <s v="Kilowatt hours"/>
    <x v="1"/>
    <s v="This site closed Dec 31 2021"/>
    <s v="2023-03-16, 21:16"/>
    <s v="2023-07-20, 00:40"/>
    <n v="2022"/>
    <s v="electricity"/>
    <s v="Electricity"/>
    <s v="model"/>
    <b v="0"/>
    <s v="ELECTRICITY; FRANCE"/>
    <x v="0"/>
    <x v="0"/>
    <s v="Europe"/>
    <s v="Western Europe"/>
    <s v="FR"/>
    <m/>
    <n v="0"/>
    <s v="CO2"/>
    <n v="0"/>
    <s v="RESTRICTED"/>
    <s v="KWH"/>
    <n v="1"/>
    <n v="0"/>
    <s v="AR4"/>
    <s v="IEA"/>
    <s v="IEA (2022)"/>
    <n v="2022"/>
    <n v="2020"/>
    <n v="0"/>
    <n v="0"/>
    <x v="5"/>
    <s v="Unspecified Facility Type"/>
  </r>
  <r>
    <n v="11229"/>
    <s v="Top of Hierarchy &gt; Europe &gt; Vantage_Paris"/>
    <x v="4"/>
    <x v="0"/>
    <d v="2022-01-01T00:00:00"/>
    <d v="2022-12-31T00:00:00"/>
    <x v="0"/>
    <d v="2022-01-01T00:00:00"/>
    <d v="2022-12-31T00:00:00"/>
    <s v="Electricity (non-renewable)"/>
    <n v="0"/>
    <s v="Kilowatt hours"/>
    <x v="1"/>
    <s v="This site closed Dec 31 2021"/>
    <s v="2023-03-16, 21:16"/>
    <s v="2023-07-20, 00:40"/>
    <n v="2022"/>
    <s v="electricity"/>
    <s v="Electricity"/>
    <s v="model"/>
    <b v="0"/>
    <s v="ELECTRICITY; FRANCE"/>
    <x v="0"/>
    <x v="0"/>
    <s v="Europe"/>
    <s v="Western Europe"/>
    <s v="FR"/>
    <m/>
    <n v="0"/>
    <s v="CO2E"/>
    <n v="0"/>
    <s v="RESTRICTED"/>
    <s v="KWH"/>
    <n v="1"/>
    <n v="0"/>
    <s v="AR4"/>
    <s v="IEA"/>
    <s v="IEA (2022)"/>
    <n v="2022"/>
    <n v="2020"/>
    <n v="0"/>
    <n v="0"/>
    <x v="5"/>
    <s v="Unspecified Facility Type"/>
  </r>
  <r>
    <n v="11229"/>
    <s v="Top of Hierarchy &gt; Europe &gt; Vantage_Paris"/>
    <x v="4"/>
    <x v="0"/>
    <d v="2022-01-01T00:00:00"/>
    <d v="2022-12-31T00:00:00"/>
    <x v="0"/>
    <d v="2022-01-01T00:00:00"/>
    <d v="2022-12-31T00:00:00"/>
    <s v="Electricity (non-renewable)"/>
    <n v="0"/>
    <s v="Kilowatt hours"/>
    <x v="1"/>
    <s v="This site closed Dec 31 2021"/>
    <s v="2023-03-16, 21:16"/>
    <s v="2023-07-20, 00:40"/>
    <n v="2022"/>
    <s v="electricity"/>
    <s v="Electricity"/>
    <s v="model"/>
    <b v="0"/>
    <s v="ELECTRICITY; FRANCE"/>
    <x v="0"/>
    <x v="0"/>
    <s v="Europe"/>
    <s v="Western Europe"/>
    <s v="FR"/>
    <m/>
    <n v="0"/>
    <s v="N2O"/>
    <n v="0"/>
    <s v="RESTRICTED"/>
    <s v="KWH"/>
    <n v="1"/>
    <n v="0"/>
    <s v="AR4"/>
    <s v="IEA"/>
    <s v="IEA (2022)"/>
    <n v="2022"/>
    <n v="2020"/>
    <n v="0"/>
    <n v="0"/>
    <x v="5"/>
    <s v="Unspecified Facility Type"/>
  </r>
  <r>
    <n v="11229"/>
    <s v="Top of Hierarchy &gt; Europe &gt; Vantage_Paris"/>
    <x v="4"/>
    <x v="0"/>
    <d v="2022-01-01T00:00:00"/>
    <d v="2022-12-31T00:00:00"/>
    <x v="0"/>
    <d v="2022-01-01T00:00:00"/>
    <d v="2022-12-31T00:00:00"/>
    <s v="Electricity (non-renewable)"/>
    <n v="0"/>
    <s v="Kilowatt hours"/>
    <x v="1"/>
    <s v="This site closed Dec 31 2021"/>
    <s v="2023-03-16, 21:16"/>
    <s v="2023-07-20, 00:40"/>
    <n v="2022"/>
    <s v="electricity"/>
    <s v="Electricity"/>
    <s v="model"/>
    <b v="0"/>
    <s v="ELECTRICITY; FRANCE"/>
    <x v="0"/>
    <x v="0"/>
    <s v="Europe"/>
    <s v="Western Europe"/>
    <s v="FR"/>
    <m/>
    <n v="1"/>
    <s v="CO2E MKT"/>
    <n v="0"/>
    <n v="4.9783384E-2"/>
    <s v="KWH"/>
    <n v="1"/>
    <n v="0"/>
    <s v="AR4"/>
    <s v="AIB"/>
    <s v="AIB (2022)"/>
    <n v="2022"/>
    <n v="2021"/>
    <n v="0"/>
    <n v="0"/>
    <x v="5"/>
    <s v="Unspecified Facility Type"/>
  </r>
  <r>
    <n v="11229"/>
    <s v="Top of Hierarchy &gt; Europe &gt; Vantage_Paris"/>
    <x v="4"/>
    <x v="0"/>
    <d v="2022-01-01T00:00:00"/>
    <d v="2022-12-31T00:00:00"/>
    <x v="0"/>
    <d v="2022-01-01T00:00:00"/>
    <d v="2022-12-31T00:00:00"/>
    <s v="Electricity (non-renewable)"/>
    <n v="0"/>
    <s v="Kilowatt hours"/>
    <x v="1"/>
    <s v="This site closed Dec 31 2021"/>
    <s v="2023-03-16, 21:16"/>
    <s v="2023-07-20, 00:40"/>
    <n v="2022"/>
    <s v="electricity__t+d__wtt"/>
    <s v="Electricity T&amp;D WTT"/>
    <s v="t+d_wtt"/>
    <b v="0"/>
    <s v="ELECTRICITY T&amp;D WTT; FRANCE"/>
    <x v="1"/>
    <x v="1"/>
    <s v="Europe"/>
    <s v="Western Europe"/>
    <s v="FR"/>
    <m/>
    <n v="0"/>
    <s v="CO2E"/>
    <n v="0"/>
    <n v="4.7043399999999999E-4"/>
    <s v="KWH"/>
    <n v="1"/>
    <n v="0"/>
    <s v="AR4"/>
    <s v="Anthesis"/>
    <s v="Anthesis (2022)"/>
    <n v="2022"/>
    <n v="2020"/>
    <n v="0"/>
    <n v="0"/>
    <x v="5"/>
    <s v="Unspecified Facility Type"/>
  </r>
  <r>
    <n v="11229"/>
    <s v="Top of Hierarchy &gt; Europe &gt; Vantage_Paris"/>
    <x v="4"/>
    <x v="0"/>
    <d v="2022-01-01T00:00:00"/>
    <d v="2022-12-31T00:00:00"/>
    <x v="0"/>
    <d v="2022-01-01T00:00:00"/>
    <d v="2022-12-31T00:00:00"/>
    <s v="Electricity (non-renewable)"/>
    <n v="0"/>
    <s v="Kilowatt hours"/>
    <x v="1"/>
    <s v="This site closed Dec 31 2021"/>
    <s v="2023-03-16, 21:16"/>
    <s v="2023-07-20, 00:40"/>
    <n v="2022"/>
    <s v="electricity__t+d__wtt"/>
    <s v="Electricity T&amp;D WTT"/>
    <s v="t+d_wtt"/>
    <b v="0"/>
    <s v="ELECTRICITY; FRANCE; T&amp;D WTT Estimated"/>
    <x v="1"/>
    <x v="1"/>
    <s v="Europe"/>
    <s v="Western Europe"/>
    <s v="FR"/>
    <m/>
    <n v="1"/>
    <s v="CO2E MKT"/>
    <n v="0"/>
    <n v="2.5437600000000001E-4"/>
    <s v="KWH"/>
    <n v="1"/>
    <n v="0"/>
    <s v="AR4"/>
    <s v="Anthesis"/>
    <s v="The T&amp;D WTT factor was calculated using the ratio: ELECTRICITY; FRANCE, IEA to ELECTRICITY; TRANSMISSION AND DISTRIBUTION; FRANCE, IEA CO2e factor"/>
    <n v="2022"/>
    <n v="2020"/>
    <n v="0"/>
    <n v="0"/>
    <x v="5"/>
    <s v="Unspecified Facility Type"/>
  </r>
  <r>
    <n v="11229"/>
    <s v="Top of Hierarchy &gt; Europe &gt; Vantage_Paris"/>
    <x v="4"/>
    <x v="0"/>
    <d v="2022-01-01T00:00:00"/>
    <d v="2022-12-31T00:00:00"/>
    <x v="0"/>
    <d v="2022-01-01T00:00:00"/>
    <d v="2022-12-31T00:00:00"/>
    <s v="Electricity (non-renewable)"/>
    <n v="0"/>
    <s v="Kilowatt hours"/>
    <x v="1"/>
    <s v="This site closed Dec 31 2021"/>
    <s v="2023-03-16, 21:16"/>
    <s v="2023-07-20, 00:40"/>
    <n v="2022"/>
    <s v="electricity__wtt"/>
    <s v="Electricity WTT"/>
    <s v="wtt"/>
    <b v="0"/>
    <s v="ELECTRICITY WTT; FRANCE"/>
    <x v="1"/>
    <x v="1"/>
    <s v="Europe"/>
    <s v="Western Europe"/>
    <s v="FR"/>
    <m/>
    <n v="0"/>
    <s v="CO2E"/>
    <n v="0"/>
    <n v="7.4463009999999998E-3"/>
    <s v="KWH"/>
    <n v="1"/>
    <n v="0"/>
    <s v="AR4"/>
    <s v="Anthesis"/>
    <s v="Anthesis (2022)"/>
    <n v="2022"/>
    <n v="2020"/>
    <n v="0"/>
    <n v="0"/>
    <x v="5"/>
    <s v="Unspecified Facility Type"/>
  </r>
  <r>
    <n v="11229"/>
    <s v="Top of Hierarchy &gt; Europe &gt; Vantage_Paris"/>
    <x v="4"/>
    <x v="0"/>
    <d v="2022-01-01T00:00:00"/>
    <d v="2022-12-31T00:00:00"/>
    <x v="0"/>
    <d v="2022-01-01T00:00:00"/>
    <d v="2022-12-31T00:00:00"/>
    <s v="Electricity (non-renewable)"/>
    <n v="0"/>
    <s v="Kilowatt hours"/>
    <x v="1"/>
    <s v="This site closed Dec 31 2021"/>
    <s v="2023-03-16, 21:16"/>
    <s v="2023-07-20, 00:40"/>
    <n v="2022"/>
    <s v="electricity__wtt"/>
    <s v="Electricity WTT"/>
    <s v="wtt"/>
    <b v="0"/>
    <s v="ELECTRICITY; FRANCE; WTT Estimated"/>
    <x v="1"/>
    <x v="1"/>
    <s v="Europe"/>
    <s v="Western Europe"/>
    <s v="FR"/>
    <m/>
    <n v="1"/>
    <s v="CO2E MKT"/>
    <n v="0"/>
    <n v="8.0858890000000006E-3"/>
    <s v="KWH"/>
    <n v="1"/>
    <n v="0"/>
    <s v="AR4"/>
    <s v="Anthesis"/>
    <s v="The WTT factor was calculated using the ratio: ELECTRICITY; FRANCE, IEA to WTT- UK &amp; OVERSEAS ELEC; WTT- OVERSEAS ELECTRICITY (GENERATION); ELECTRICITY: FRANCE, Defra CO2e factor"/>
    <n v="2022"/>
    <n v="2020"/>
    <n v="0"/>
    <n v="0"/>
    <x v="5"/>
    <s v="Unspecified Facility Type"/>
  </r>
  <r>
    <n v="11229"/>
    <s v="Top of Hierarchy &gt; Europe &gt; Vantage_Paris"/>
    <x v="4"/>
    <x v="0"/>
    <d v="2022-01-01T00:00:00"/>
    <d v="2022-12-31T00:00:00"/>
    <x v="0"/>
    <d v="2022-01-01T00:00:00"/>
    <d v="2022-12-31T00:00:00"/>
    <s v="Electricity (non-renewable)"/>
    <n v="0"/>
    <s v="Kilowatt hours"/>
    <x v="1"/>
    <s v="This site closed Dec 31 2021"/>
    <s v="2023-03-16, 21:16"/>
    <s v="2023-07-20, 00:40"/>
    <n v="2022"/>
    <s v="electricity__t+d"/>
    <s v="Electricity T&amp;D"/>
    <s v="t+d"/>
    <b v="0"/>
    <s v="ELECTRICITY; TRANSMISSION AND DISTRIBUTION; FRANCE"/>
    <x v="1"/>
    <x v="1"/>
    <s v="Europe"/>
    <s v="Western Europe"/>
    <s v="FR"/>
    <m/>
    <n v="0"/>
    <s v="CO2E"/>
    <n v="0"/>
    <s v="RESTRICTED"/>
    <s v="KWH"/>
    <n v="1"/>
    <n v="0"/>
    <s v="AR4"/>
    <s v="IEA"/>
    <s v="IEA (2022)"/>
    <n v="2022"/>
    <n v="2020"/>
    <n v="0"/>
    <n v="0"/>
    <x v="5"/>
    <s v="Unspecified Facility Type"/>
  </r>
  <r>
    <n v="11229"/>
    <s v="Top of Hierarchy &gt; Europe &gt; Vantage_Paris"/>
    <x v="4"/>
    <x v="0"/>
    <d v="2022-01-01T00:00:00"/>
    <d v="2022-12-31T00:00:00"/>
    <x v="0"/>
    <d v="2022-01-01T00:00:00"/>
    <d v="2022-12-31T00:00:00"/>
    <s v="Electricity (non-renewable)"/>
    <n v="0"/>
    <s v="Kilowatt hours"/>
    <x v="1"/>
    <s v="This site closed Dec 31 2021"/>
    <s v="2023-03-16, 21:16"/>
    <s v="2023-07-20, 00:40"/>
    <n v="2022"/>
    <s v="electricity__t+d"/>
    <s v="Electricity T&amp;D"/>
    <s v="t+d"/>
    <b v="0"/>
    <s v="ELECTRICITY; FRANCE; T&amp;D Estimated"/>
    <x v="1"/>
    <x v="1"/>
    <s v="Europe"/>
    <s v="Western Europe"/>
    <s v="FR"/>
    <m/>
    <n v="1"/>
    <s v="CO2E MKT"/>
    <n v="0"/>
    <n v="3.9118879999999997E-3"/>
    <s v="KWH"/>
    <n v="1"/>
    <n v="0"/>
    <s v="AR4"/>
    <s v="Anthesis"/>
    <s v="The T&amp;D factor was calculated using the ratio: ELECTRICITY; FRANCE, IEA to ELECTRICITY; TRANSMISSION AND DISTRIBUTION; FRANCE, IEA CO2e factor"/>
    <n v="2022"/>
    <n v="2020"/>
    <n v="0"/>
    <n v="0"/>
    <x v="5"/>
    <s v="Unspecified Facility Type"/>
  </r>
  <r>
    <n v="232861"/>
    <s v="Top of Hierarchy &gt; Europe &gt; Vantage_Paris"/>
    <x v="4"/>
    <x v="0"/>
    <d v="2022-01-01T00:00:00"/>
    <d v="2022-12-31T00:00:00"/>
    <x v="3"/>
    <d v="2022-01-01T00:00:00"/>
    <d v="2022-12-31T00:00:00"/>
    <s v="Natural gas"/>
    <n v="0"/>
    <s v="joules"/>
    <x v="1"/>
    <s v="This site closed Dec 31 2021"/>
    <s v="2023-04-18, 21:48"/>
    <s v="2023-07-20, 00:40"/>
    <n v="2022"/>
    <s v="natural_gas"/>
    <s v="Natural Gas"/>
    <s v="model"/>
    <b v="0"/>
    <s v="FUELS; GASEOUS FUELS; NATURAL GAS"/>
    <x v="2"/>
    <x v="0"/>
    <s v="Europe"/>
    <m/>
    <m/>
    <m/>
    <n v="0"/>
    <s v="CH4"/>
    <n v="0"/>
    <n v="2.5000000000000001E-4"/>
    <s v="KWH (GROSS CV)"/>
    <n v="2.8000000000000002E-7"/>
    <n v="0"/>
    <s v="AR4"/>
    <s v="Defra"/>
    <s v="Defra (2022)"/>
    <n v="2022"/>
    <n v="2020"/>
    <n v="0"/>
    <n v="0"/>
    <x v="5"/>
    <s v="Unspecified Facility Type"/>
  </r>
  <r>
    <n v="232861"/>
    <s v="Top of Hierarchy &gt; Europe &gt; Vantage_Paris"/>
    <x v="4"/>
    <x v="0"/>
    <d v="2022-01-01T00:00:00"/>
    <d v="2022-12-31T00:00:00"/>
    <x v="3"/>
    <d v="2022-01-01T00:00:00"/>
    <d v="2022-12-31T00:00:00"/>
    <s v="Natural gas"/>
    <n v="0"/>
    <s v="joules"/>
    <x v="1"/>
    <s v="This site closed Dec 31 2021"/>
    <s v="2023-04-18, 21:48"/>
    <s v="2023-07-20, 00:40"/>
    <n v="2022"/>
    <s v="natural_gas"/>
    <s v="Natural Gas"/>
    <s v="model"/>
    <b v="0"/>
    <s v="FUELS; GASEOUS FUELS; NATURAL GAS"/>
    <x v="2"/>
    <x v="0"/>
    <s v="Europe"/>
    <m/>
    <m/>
    <m/>
    <n v="0"/>
    <s v="CO2"/>
    <n v="0"/>
    <n v="0.18218999999999999"/>
    <s v="KWH (GROSS CV)"/>
    <n v="2.8000000000000002E-7"/>
    <n v="0"/>
    <s v="AR4"/>
    <s v="Defra"/>
    <s v="Defra (2022)"/>
    <n v="2022"/>
    <n v="2020"/>
    <n v="0"/>
    <n v="0"/>
    <x v="5"/>
    <s v="Unspecified Facility Type"/>
  </r>
  <r>
    <n v="232861"/>
    <s v="Top of Hierarchy &gt; Europe &gt; Vantage_Paris"/>
    <x v="4"/>
    <x v="0"/>
    <d v="2022-01-01T00:00:00"/>
    <d v="2022-12-31T00:00:00"/>
    <x v="3"/>
    <d v="2022-01-01T00:00:00"/>
    <d v="2022-12-31T00:00:00"/>
    <s v="Natural gas"/>
    <n v="0"/>
    <s v="joules"/>
    <x v="1"/>
    <s v="This site closed Dec 31 2021"/>
    <s v="2023-04-18, 21:48"/>
    <s v="2023-07-20, 00:40"/>
    <n v="2022"/>
    <s v="natural_gas"/>
    <s v="Natural Gas"/>
    <s v="model"/>
    <b v="0"/>
    <s v="FUELS; GASEOUS FUELS; NATURAL GAS"/>
    <x v="2"/>
    <x v="0"/>
    <s v="Europe"/>
    <m/>
    <m/>
    <m/>
    <n v="0"/>
    <s v="CO2E"/>
    <n v="0"/>
    <n v="0.18254000000000001"/>
    <s v="KWH (GROSS CV)"/>
    <n v="2.8000000000000002E-7"/>
    <n v="0"/>
    <s v="AR4"/>
    <s v="Defra"/>
    <s v="Defra (2022)"/>
    <n v="2022"/>
    <n v="2020"/>
    <n v="0"/>
    <n v="0"/>
    <x v="5"/>
    <s v="Unspecified Facility Type"/>
  </r>
  <r>
    <n v="232861"/>
    <s v="Top of Hierarchy &gt; Europe &gt; Vantage_Paris"/>
    <x v="4"/>
    <x v="0"/>
    <d v="2022-01-01T00:00:00"/>
    <d v="2022-12-31T00:00:00"/>
    <x v="3"/>
    <d v="2022-01-01T00:00:00"/>
    <d v="2022-12-31T00:00:00"/>
    <s v="Natural gas"/>
    <n v="0"/>
    <s v="joules"/>
    <x v="1"/>
    <s v="This site closed Dec 31 2021"/>
    <s v="2023-04-18, 21:48"/>
    <s v="2023-07-20, 00:40"/>
    <n v="2022"/>
    <s v="natural_gas"/>
    <s v="Natural Gas"/>
    <s v="model"/>
    <b v="0"/>
    <s v="FUELS; GASEOUS FUELS; NATURAL GAS"/>
    <x v="2"/>
    <x v="0"/>
    <s v="Europe"/>
    <m/>
    <m/>
    <m/>
    <n v="0"/>
    <s v="N2O"/>
    <n v="0"/>
    <n v="1E-4"/>
    <s v="KWH (GROSS CV)"/>
    <n v="2.8000000000000002E-7"/>
    <n v="0"/>
    <s v="AR4"/>
    <s v="Defra"/>
    <s v="Defra (2022)"/>
    <n v="2022"/>
    <n v="2020"/>
    <n v="0"/>
    <n v="0"/>
    <x v="5"/>
    <s v="Unspecified Facility Type"/>
  </r>
  <r>
    <n v="232861"/>
    <s v="Top of Hierarchy &gt; Europe &gt; Vantage_Paris"/>
    <x v="4"/>
    <x v="0"/>
    <d v="2022-01-01T00:00:00"/>
    <d v="2022-12-31T00:00:00"/>
    <x v="3"/>
    <d v="2022-01-01T00:00:00"/>
    <d v="2022-12-31T00:00:00"/>
    <s v="Natural gas"/>
    <n v="0"/>
    <s v="joules"/>
    <x v="1"/>
    <s v="This site closed Dec 31 2021"/>
    <s v="2023-04-18, 21:48"/>
    <s v="2023-07-20, 00:40"/>
    <n v="2022"/>
    <s v="natural_gas"/>
    <s v="Natural Gas"/>
    <s v="model"/>
    <b v="0"/>
    <s v="FUELS; GASEOUS FUELS; NATURAL GAS"/>
    <x v="2"/>
    <x v="0"/>
    <s v="Europe"/>
    <m/>
    <m/>
    <m/>
    <n v="1"/>
    <s v="CH4"/>
    <n v="0"/>
    <n v="2.5000000000000001E-4"/>
    <s v="KWH (GROSS CV)"/>
    <n v="2.8000000000000002E-7"/>
    <n v="0"/>
    <s v="AR4"/>
    <s v="Defra"/>
    <s v="Defra (2022)"/>
    <n v="2022"/>
    <n v="2020"/>
    <n v="0"/>
    <n v="0"/>
    <x v="5"/>
    <s v="Unspecified Facility Type"/>
  </r>
  <r>
    <n v="232861"/>
    <s v="Top of Hierarchy &gt; Europe &gt; Vantage_Paris"/>
    <x v="4"/>
    <x v="0"/>
    <d v="2022-01-01T00:00:00"/>
    <d v="2022-12-31T00:00:00"/>
    <x v="3"/>
    <d v="2022-01-01T00:00:00"/>
    <d v="2022-12-31T00:00:00"/>
    <s v="Natural gas"/>
    <n v="0"/>
    <s v="joules"/>
    <x v="1"/>
    <s v="This site closed Dec 31 2021"/>
    <s v="2023-04-18, 21:48"/>
    <s v="2023-07-20, 00:40"/>
    <n v="2022"/>
    <s v="natural_gas"/>
    <s v="Natural Gas"/>
    <s v="model"/>
    <b v="0"/>
    <s v="FUELS; GASEOUS FUELS; NATURAL GAS"/>
    <x v="2"/>
    <x v="0"/>
    <s v="Europe"/>
    <m/>
    <m/>
    <m/>
    <n v="1"/>
    <s v="CO2"/>
    <n v="0"/>
    <n v="0.18218999999999999"/>
    <s v="KWH (GROSS CV)"/>
    <n v="2.8000000000000002E-7"/>
    <n v="0"/>
    <s v="AR4"/>
    <s v="Defra"/>
    <s v="Defra (2022)"/>
    <n v="2022"/>
    <n v="2020"/>
    <n v="0"/>
    <n v="0"/>
    <x v="5"/>
    <s v="Unspecified Facility Type"/>
  </r>
  <r>
    <n v="232861"/>
    <s v="Top of Hierarchy &gt; Europe &gt; Vantage_Paris"/>
    <x v="4"/>
    <x v="0"/>
    <d v="2022-01-01T00:00:00"/>
    <d v="2022-12-31T00:00:00"/>
    <x v="3"/>
    <d v="2022-01-01T00:00:00"/>
    <d v="2022-12-31T00:00:00"/>
    <s v="Natural gas"/>
    <n v="0"/>
    <s v="joules"/>
    <x v="1"/>
    <s v="This site closed Dec 31 2021"/>
    <s v="2023-04-18, 21:48"/>
    <s v="2023-07-20, 00:40"/>
    <n v="2022"/>
    <s v="natural_gas"/>
    <s v="Natural Gas"/>
    <s v="model"/>
    <b v="0"/>
    <s v="FUELS; GASEOUS FUELS; NATURAL GAS"/>
    <x v="2"/>
    <x v="0"/>
    <s v="Europe"/>
    <m/>
    <m/>
    <m/>
    <n v="1"/>
    <s v="CO2E"/>
    <n v="0"/>
    <n v="0.18254000000000001"/>
    <s v="KWH (GROSS CV)"/>
    <n v="2.8000000000000002E-7"/>
    <n v="0"/>
    <s v="AR4"/>
    <s v="Defra"/>
    <s v="Defra (2022)"/>
    <n v="2022"/>
    <n v="2020"/>
    <n v="0"/>
    <n v="0"/>
    <x v="5"/>
    <s v="Unspecified Facility Type"/>
  </r>
  <r>
    <n v="232861"/>
    <s v="Top of Hierarchy &gt; Europe &gt; Vantage_Paris"/>
    <x v="4"/>
    <x v="0"/>
    <d v="2022-01-01T00:00:00"/>
    <d v="2022-12-31T00:00:00"/>
    <x v="3"/>
    <d v="2022-01-01T00:00:00"/>
    <d v="2022-12-31T00:00:00"/>
    <s v="Natural gas"/>
    <n v="0"/>
    <s v="joules"/>
    <x v="1"/>
    <s v="This site closed Dec 31 2021"/>
    <s v="2023-04-18, 21:48"/>
    <s v="2023-07-20, 00:40"/>
    <n v="2022"/>
    <s v="natural_gas"/>
    <s v="Natural Gas"/>
    <s v="model"/>
    <b v="0"/>
    <s v="FUELS; GASEOUS FUELS; NATURAL GAS"/>
    <x v="2"/>
    <x v="0"/>
    <s v="Europe"/>
    <m/>
    <m/>
    <m/>
    <n v="1"/>
    <s v="N2O"/>
    <n v="0"/>
    <n v="1E-4"/>
    <s v="KWH (GROSS CV)"/>
    <n v="2.8000000000000002E-7"/>
    <n v="0"/>
    <s v="AR4"/>
    <s v="Defra"/>
    <s v="Defra (2022)"/>
    <n v="2022"/>
    <n v="2020"/>
    <n v="0"/>
    <n v="0"/>
    <x v="5"/>
    <s v="Unspecified Facility Type"/>
  </r>
  <r>
    <n v="232861"/>
    <s v="Top of Hierarchy &gt; Europe &gt; Vantage_Paris"/>
    <x v="4"/>
    <x v="0"/>
    <d v="2022-01-01T00:00:00"/>
    <d v="2022-12-31T00:00:00"/>
    <x v="3"/>
    <d v="2022-01-01T00:00:00"/>
    <d v="2022-12-31T00:00:00"/>
    <s v="Natural gas"/>
    <n v="0"/>
    <s v="joules"/>
    <x v="1"/>
    <s v="This site closed Dec 31 2021"/>
    <s v="2023-04-18, 21:48"/>
    <s v="2023-07-20, 00:40"/>
    <n v="2022"/>
    <s v="natural_gas__wtt"/>
    <s v="Natural Gas WTT"/>
    <s v="wtt"/>
    <b v="0"/>
    <s v="WTT- FUELS; GASEOUS FUELS; NATURAL GAS"/>
    <x v="1"/>
    <x v="1"/>
    <s v="Europe"/>
    <m/>
    <m/>
    <m/>
    <n v="0"/>
    <s v="CO2E"/>
    <n v="0"/>
    <n v="3.1099999999999999E-2"/>
    <s v="KWH (GROSS CV)"/>
    <n v="2.8000000000000002E-7"/>
    <n v="0"/>
    <s v="AR4"/>
    <s v="Defra"/>
    <s v="Defra (2022)"/>
    <n v="2022"/>
    <n v="2020"/>
    <n v="0"/>
    <n v="0"/>
    <x v="5"/>
    <s v="Unspecified Facility Type"/>
  </r>
  <r>
    <n v="232861"/>
    <s v="Top of Hierarchy &gt; Europe &gt; Vantage_Paris"/>
    <x v="4"/>
    <x v="0"/>
    <d v="2022-01-01T00:00:00"/>
    <d v="2022-12-31T00:00:00"/>
    <x v="3"/>
    <d v="2022-01-01T00:00:00"/>
    <d v="2022-12-31T00:00:00"/>
    <s v="Natural gas"/>
    <n v="0"/>
    <s v="joules"/>
    <x v="1"/>
    <s v="This site closed Dec 31 2021"/>
    <s v="2023-04-18, 21:48"/>
    <s v="2023-07-20, 00:40"/>
    <n v="2022"/>
    <s v="natural_gas__wtt"/>
    <s v="Natural Gas WTT"/>
    <s v="wtt"/>
    <b v="0"/>
    <s v="WTT- FUELS; GASEOUS FUELS; NATURAL GAS"/>
    <x v="1"/>
    <x v="1"/>
    <s v="Europe"/>
    <m/>
    <m/>
    <m/>
    <n v="1"/>
    <s v="CO2E"/>
    <n v="0"/>
    <n v="3.1099999999999999E-2"/>
    <s v="KWH (GROSS CV)"/>
    <n v="2.8000000000000002E-7"/>
    <n v="0"/>
    <s v="AR4"/>
    <s v="Defra"/>
    <s v="Defra (2022)"/>
    <n v="2022"/>
    <n v="2020"/>
    <n v="0"/>
    <n v="0"/>
    <x v="5"/>
    <s v="Unspecified Facility Type"/>
  </r>
  <r>
    <n v="232859"/>
    <s v="Top of Hierarchy &gt; Europe &gt; Vantage_Paris"/>
    <x v="4"/>
    <x v="0"/>
    <d v="2022-01-01T00:00:00"/>
    <d v="2022-12-31T00:00:00"/>
    <x v="1"/>
    <d v="2022-01-01T00:00:00"/>
    <d v="2022-12-31T00:00:00"/>
    <s v="Aviation spirit"/>
    <n v="0"/>
    <s v="British Thermal Units"/>
    <x v="1"/>
    <s v="This site closed Dec 31 2021"/>
    <s v="2023-04-18, 21:47"/>
    <s v="2023-07-20, 00:40"/>
    <n v="2022"/>
    <s v="aviation_spirit"/>
    <s v="Aviation Spirit"/>
    <s v="model"/>
    <b v="0"/>
    <s v="FUELS; LIQUID FUELS; AVIATION SPIRIT"/>
    <x v="2"/>
    <x v="0"/>
    <s v="Europe"/>
    <m/>
    <m/>
    <m/>
    <n v="0"/>
    <s v="CH4"/>
    <n v="0"/>
    <n v="2.6900000000000001E-3"/>
    <s v="KWH (GROSS CV)"/>
    <n v="2.9306999999999998E-4"/>
    <n v="0"/>
    <s v="AR4"/>
    <s v="Defra"/>
    <s v="Defra (2022)"/>
    <n v="2022"/>
    <n v="2020"/>
    <n v="0"/>
    <n v="0"/>
    <x v="5"/>
    <s v="Unspecified Facility Type"/>
  </r>
  <r>
    <n v="232859"/>
    <s v="Top of Hierarchy &gt; Europe &gt; Vantage_Paris"/>
    <x v="4"/>
    <x v="0"/>
    <d v="2022-01-01T00:00:00"/>
    <d v="2022-12-31T00:00:00"/>
    <x v="1"/>
    <d v="2022-01-01T00:00:00"/>
    <d v="2022-12-31T00:00:00"/>
    <s v="Aviation spirit"/>
    <n v="0"/>
    <s v="British Thermal Units"/>
    <x v="1"/>
    <s v="This site closed Dec 31 2021"/>
    <s v="2023-04-18, 21:47"/>
    <s v="2023-07-20, 00:40"/>
    <n v="2022"/>
    <s v="aviation_spirit"/>
    <s v="Aviation Spirit"/>
    <s v="model"/>
    <b v="0"/>
    <s v="FUELS; LIQUID FUELS; AVIATION SPIRIT"/>
    <x v="2"/>
    <x v="0"/>
    <s v="Europe"/>
    <m/>
    <m/>
    <m/>
    <n v="0"/>
    <s v="CO2"/>
    <n v="0"/>
    <n v="0.23877999999999999"/>
    <s v="KWH (GROSS CV)"/>
    <n v="2.9306999999999998E-4"/>
    <n v="0"/>
    <s v="AR4"/>
    <s v="Defra"/>
    <s v="Defra (2022)"/>
    <n v="2022"/>
    <n v="2020"/>
    <n v="0"/>
    <n v="0"/>
    <x v="5"/>
    <s v="Unspecified Facility Type"/>
  </r>
  <r>
    <n v="232859"/>
    <s v="Top of Hierarchy &gt; Europe &gt; Vantage_Paris"/>
    <x v="4"/>
    <x v="0"/>
    <d v="2022-01-01T00:00:00"/>
    <d v="2022-12-31T00:00:00"/>
    <x v="1"/>
    <d v="2022-01-01T00:00:00"/>
    <d v="2022-12-31T00:00:00"/>
    <s v="Aviation spirit"/>
    <n v="0"/>
    <s v="British Thermal Units"/>
    <x v="1"/>
    <s v="This site closed Dec 31 2021"/>
    <s v="2023-04-18, 21:47"/>
    <s v="2023-07-20, 00:40"/>
    <n v="2022"/>
    <s v="aviation_spirit"/>
    <s v="Aviation Spirit"/>
    <s v="model"/>
    <b v="0"/>
    <s v="FUELS; LIQUID FUELS; AVIATION SPIRIT"/>
    <x v="2"/>
    <x v="0"/>
    <s v="Europe"/>
    <m/>
    <m/>
    <m/>
    <n v="0"/>
    <s v="CO2E"/>
    <n v="0"/>
    <n v="0.24374999999999999"/>
    <s v="KWH (GROSS CV)"/>
    <n v="2.9306999999999998E-4"/>
    <n v="0"/>
    <s v="AR4"/>
    <s v="Defra"/>
    <s v="Defra (2022)"/>
    <n v="2022"/>
    <n v="2020"/>
    <n v="0"/>
    <n v="0"/>
    <x v="5"/>
    <s v="Unspecified Facility Type"/>
  </r>
  <r>
    <n v="232859"/>
    <s v="Top of Hierarchy &gt; Europe &gt; Vantage_Paris"/>
    <x v="4"/>
    <x v="0"/>
    <d v="2022-01-01T00:00:00"/>
    <d v="2022-12-31T00:00:00"/>
    <x v="1"/>
    <d v="2022-01-01T00:00:00"/>
    <d v="2022-12-31T00:00:00"/>
    <s v="Aviation spirit"/>
    <n v="0"/>
    <s v="British Thermal Units"/>
    <x v="1"/>
    <s v="This site closed Dec 31 2021"/>
    <s v="2023-04-18, 21:47"/>
    <s v="2023-07-20, 00:40"/>
    <n v="2022"/>
    <s v="aviation_spirit"/>
    <s v="Aviation Spirit"/>
    <s v="model"/>
    <b v="0"/>
    <s v="FUELS; LIQUID FUELS; AVIATION SPIRIT"/>
    <x v="2"/>
    <x v="0"/>
    <s v="Europe"/>
    <m/>
    <m/>
    <m/>
    <n v="0"/>
    <s v="N2O"/>
    <n v="0"/>
    <n v="2.2799999999999999E-3"/>
    <s v="KWH (GROSS CV)"/>
    <n v="2.9306999999999998E-4"/>
    <n v="0"/>
    <s v="AR4"/>
    <s v="Defra"/>
    <s v="Defra (2022)"/>
    <n v="2022"/>
    <n v="2020"/>
    <n v="0"/>
    <n v="0"/>
    <x v="5"/>
    <s v="Unspecified Facility Type"/>
  </r>
  <r>
    <n v="232859"/>
    <s v="Top of Hierarchy &gt; Europe &gt; Vantage_Paris"/>
    <x v="4"/>
    <x v="0"/>
    <d v="2022-01-01T00:00:00"/>
    <d v="2022-12-31T00:00:00"/>
    <x v="1"/>
    <d v="2022-01-01T00:00:00"/>
    <d v="2022-12-31T00:00:00"/>
    <s v="Aviation spirit"/>
    <n v="0"/>
    <s v="British Thermal Units"/>
    <x v="1"/>
    <s v="This site closed Dec 31 2021"/>
    <s v="2023-04-18, 21:47"/>
    <s v="2023-07-20, 00:40"/>
    <n v="2022"/>
    <s v="aviation_spirit"/>
    <s v="Aviation Spirit"/>
    <s v="model"/>
    <b v="0"/>
    <s v="FUELS; LIQUID FUELS; AVIATION SPIRIT"/>
    <x v="2"/>
    <x v="0"/>
    <s v="Europe"/>
    <m/>
    <m/>
    <m/>
    <n v="1"/>
    <s v="CH4"/>
    <n v="0"/>
    <n v="2.6900000000000001E-3"/>
    <s v="KWH (GROSS CV)"/>
    <n v="2.9306999999999998E-4"/>
    <n v="0"/>
    <s v="AR4"/>
    <s v="Defra"/>
    <s v="Defra (2022)"/>
    <n v="2022"/>
    <n v="2020"/>
    <n v="0"/>
    <n v="0"/>
    <x v="5"/>
    <s v="Unspecified Facility Type"/>
  </r>
  <r>
    <n v="232859"/>
    <s v="Top of Hierarchy &gt; Europe &gt; Vantage_Paris"/>
    <x v="4"/>
    <x v="0"/>
    <d v="2022-01-01T00:00:00"/>
    <d v="2022-12-31T00:00:00"/>
    <x v="1"/>
    <d v="2022-01-01T00:00:00"/>
    <d v="2022-12-31T00:00:00"/>
    <s v="Aviation spirit"/>
    <n v="0"/>
    <s v="British Thermal Units"/>
    <x v="1"/>
    <s v="This site closed Dec 31 2021"/>
    <s v="2023-04-18, 21:47"/>
    <s v="2023-07-20, 00:40"/>
    <n v="2022"/>
    <s v="aviation_spirit"/>
    <s v="Aviation Spirit"/>
    <s v="model"/>
    <b v="0"/>
    <s v="FUELS; LIQUID FUELS; AVIATION SPIRIT"/>
    <x v="2"/>
    <x v="0"/>
    <s v="Europe"/>
    <m/>
    <m/>
    <m/>
    <n v="1"/>
    <s v="CO2"/>
    <n v="0"/>
    <n v="0.23877999999999999"/>
    <s v="KWH (GROSS CV)"/>
    <n v="2.9306999999999998E-4"/>
    <n v="0"/>
    <s v="AR4"/>
    <s v="Defra"/>
    <s v="Defra (2022)"/>
    <n v="2022"/>
    <n v="2020"/>
    <n v="0"/>
    <n v="0"/>
    <x v="5"/>
    <s v="Unspecified Facility Type"/>
  </r>
  <r>
    <n v="232859"/>
    <s v="Top of Hierarchy &gt; Europe &gt; Vantage_Paris"/>
    <x v="4"/>
    <x v="0"/>
    <d v="2022-01-01T00:00:00"/>
    <d v="2022-12-31T00:00:00"/>
    <x v="1"/>
    <d v="2022-01-01T00:00:00"/>
    <d v="2022-12-31T00:00:00"/>
    <s v="Aviation spirit"/>
    <n v="0"/>
    <s v="British Thermal Units"/>
    <x v="1"/>
    <s v="This site closed Dec 31 2021"/>
    <s v="2023-04-18, 21:47"/>
    <s v="2023-07-20, 00:40"/>
    <n v="2022"/>
    <s v="aviation_spirit"/>
    <s v="Aviation Spirit"/>
    <s v="model"/>
    <b v="0"/>
    <s v="FUELS; LIQUID FUELS; AVIATION SPIRIT"/>
    <x v="2"/>
    <x v="0"/>
    <s v="Europe"/>
    <m/>
    <m/>
    <m/>
    <n v="1"/>
    <s v="CO2E"/>
    <n v="0"/>
    <n v="0.24374999999999999"/>
    <s v="KWH (GROSS CV)"/>
    <n v="2.9306999999999998E-4"/>
    <n v="0"/>
    <s v="AR4"/>
    <s v="Defra"/>
    <s v="Defra (2022)"/>
    <n v="2022"/>
    <n v="2020"/>
    <n v="0"/>
    <n v="0"/>
    <x v="5"/>
    <s v="Unspecified Facility Type"/>
  </r>
  <r>
    <n v="232859"/>
    <s v="Top of Hierarchy &gt; Europe &gt; Vantage_Paris"/>
    <x v="4"/>
    <x v="0"/>
    <d v="2022-01-01T00:00:00"/>
    <d v="2022-12-31T00:00:00"/>
    <x v="1"/>
    <d v="2022-01-01T00:00:00"/>
    <d v="2022-12-31T00:00:00"/>
    <s v="Aviation spirit"/>
    <n v="0"/>
    <s v="British Thermal Units"/>
    <x v="1"/>
    <s v="This site closed Dec 31 2021"/>
    <s v="2023-04-18, 21:47"/>
    <s v="2023-07-20, 00:40"/>
    <n v="2022"/>
    <s v="aviation_spirit"/>
    <s v="Aviation Spirit"/>
    <s v="model"/>
    <b v="0"/>
    <s v="FUELS; LIQUID FUELS; AVIATION SPIRIT"/>
    <x v="2"/>
    <x v="0"/>
    <s v="Europe"/>
    <m/>
    <m/>
    <m/>
    <n v="1"/>
    <s v="N2O"/>
    <n v="0"/>
    <n v="2.2799999999999999E-3"/>
    <s v="KWH (GROSS CV)"/>
    <n v="2.9306999999999998E-4"/>
    <n v="0"/>
    <s v="AR4"/>
    <s v="Defra"/>
    <s v="Defra (2022)"/>
    <n v="2022"/>
    <n v="2020"/>
    <n v="0"/>
    <n v="0"/>
    <x v="5"/>
    <s v="Unspecified Facility Type"/>
  </r>
  <r>
    <n v="232859"/>
    <s v="Top of Hierarchy &gt; Europe &gt; Vantage_Paris"/>
    <x v="4"/>
    <x v="0"/>
    <d v="2022-01-01T00:00:00"/>
    <d v="2022-12-31T00:00:00"/>
    <x v="1"/>
    <d v="2022-01-01T00:00:00"/>
    <d v="2022-12-31T00:00:00"/>
    <s v="Aviation spirit"/>
    <n v="0"/>
    <s v="British Thermal Units"/>
    <x v="1"/>
    <s v="This site closed Dec 31 2021"/>
    <s v="2023-04-18, 21:47"/>
    <s v="2023-07-20, 00:40"/>
    <n v="2022"/>
    <s v="aviation_spirit__wtt"/>
    <s v="Aviation Spirit WTT"/>
    <s v="wtt"/>
    <b v="0"/>
    <s v="WTT- FUELS; LIQUID FUELS; AVIATION SPIRIT"/>
    <x v="1"/>
    <x v="1"/>
    <s v="Europe"/>
    <m/>
    <m/>
    <m/>
    <n v="0"/>
    <s v="CO2E"/>
    <n v="0"/>
    <n v="6.2239999999999997E-2"/>
    <s v="KWH (GROSS CV)"/>
    <n v="2.9306999999999998E-4"/>
    <n v="0"/>
    <s v="AR4"/>
    <s v="Defra"/>
    <s v="Defra (2022)"/>
    <n v="2022"/>
    <n v="2020"/>
    <n v="0"/>
    <n v="0"/>
    <x v="5"/>
    <s v="Unspecified Facility Type"/>
  </r>
  <r>
    <n v="232859"/>
    <s v="Top of Hierarchy &gt; Europe &gt; Vantage_Paris"/>
    <x v="4"/>
    <x v="0"/>
    <d v="2022-01-01T00:00:00"/>
    <d v="2022-12-31T00:00:00"/>
    <x v="1"/>
    <d v="2022-01-01T00:00:00"/>
    <d v="2022-12-31T00:00:00"/>
    <s v="Aviation spirit"/>
    <n v="0"/>
    <s v="British Thermal Units"/>
    <x v="1"/>
    <s v="This site closed Dec 31 2021"/>
    <s v="2023-04-18, 21:47"/>
    <s v="2023-07-20, 00:40"/>
    <n v="2022"/>
    <s v="aviation_spirit__wtt"/>
    <s v="Aviation Spirit WTT"/>
    <s v="wtt"/>
    <b v="0"/>
    <s v="WTT- FUELS; LIQUID FUELS; AVIATION SPIRIT"/>
    <x v="1"/>
    <x v="1"/>
    <s v="Europe"/>
    <m/>
    <m/>
    <m/>
    <n v="1"/>
    <s v="CO2E"/>
    <n v="0"/>
    <n v="6.2239999999999997E-2"/>
    <s v="KWH (GROSS CV)"/>
    <n v="2.9306999999999998E-4"/>
    <n v="0"/>
    <s v="AR4"/>
    <s v="Defra"/>
    <s v="Defra (2022)"/>
    <n v="2022"/>
    <n v="2020"/>
    <n v="0"/>
    <n v="0"/>
    <x v="5"/>
    <s v="Unspecified Facility Type"/>
  </r>
  <r>
    <n v="232863"/>
    <s v="Top of Hierarchy &gt; Europe &gt; Vantage_Paris"/>
    <x v="4"/>
    <x v="0"/>
    <d v="2022-01-01T00:00:00"/>
    <d v="2022-12-31T00:00:00"/>
    <x v="4"/>
    <d v="2022-01-01T00:00:00"/>
    <d v="2022-12-31T00:00:00"/>
    <s v="HFC-23"/>
    <n v="0"/>
    <s v="Kilotonne"/>
    <x v="1"/>
    <s v="This site closed Dec 31 2021"/>
    <s v="2023-04-18, 21:48"/>
    <s v="2023-07-20, 00:40"/>
    <n v="2022"/>
    <s v="hfc-23"/>
    <s v="HFC-23"/>
    <s v="model"/>
    <b v="0"/>
    <s v="REFRIGERANT: R-23"/>
    <x v="2"/>
    <x v="0"/>
    <m/>
    <m/>
    <m/>
    <m/>
    <n v="0"/>
    <s v="CO2E"/>
    <n v="0"/>
    <n v="14800"/>
    <s v="KG"/>
    <n v="1000000"/>
    <n v="0"/>
    <s v="AR4"/>
    <s v="IPCC"/>
    <s v="IPCC (2021)"/>
    <n v="2022"/>
    <n v="2007"/>
    <n v="0"/>
    <n v="0"/>
    <x v="5"/>
    <s v="Unspecified Facility Type"/>
  </r>
  <r>
    <n v="232863"/>
    <s v="Top of Hierarchy &gt; Europe &gt; Vantage_Paris"/>
    <x v="4"/>
    <x v="0"/>
    <d v="2022-01-01T00:00:00"/>
    <d v="2022-12-31T00:00:00"/>
    <x v="4"/>
    <d v="2022-01-01T00:00:00"/>
    <d v="2022-12-31T00:00:00"/>
    <s v="HFC-23"/>
    <n v="0"/>
    <s v="Kilotonne"/>
    <x v="1"/>
    <s v="This site closed Dec 31 2021"/>
    <s v="2023-04-18, 21:48"/>
    <s v="2023-07-20, 00:40"/>
    <n v="2022"/>
    <s v="hfc-23"/>
    <s v="HFC-23"/>
    <s v="model"/>
    <b v="0"/>
    <s v="REFRIGERANT: R-23"/>
    <x v="2"/>
    <x v="0"/>
    <m/>
    <m/>
    <m/>
    <m/>
    <n v="1"/>
    <s v="CO2E"/>
    <n v="0"/>
    <n v="14800"/>
    <s v="KG"/>
    <n v="1000000"/>
    <n v="0"/>
    <s v="AR4"/>
    <s v="IPCC"/>
    <s v="IPCC (2021)"/>
    <n v="2022"/>
    <n v="2007"/>
    <n v="0"/>
    <n v="0"/>
    <x v="5"/>
    <s v="Unspecified Facility Type"/>
  </r>
  <r>
    <n v="294648"/>
    <s v="Top of Hierarchy &gt; Europe &gt; Vantage_Paris"/>
    <x v="4"/>
    <x v="0"/>
    <d v="2022-01-01T00:00:00"/>
    <d v="2022-12-31T00:00:00"/>
    <x v="2"/>
    <d v="2022-01-01T00:00:00"/>
    <d v="2022-12-31T00:00:00"/>
    <s v="LPG"/>
    <n v="0"/>
    <s v="cubic feet"/>
    <x v="1"/>
    <m/>
    <s v="2023-05-09, 19:25"/>
    <s v="2023-07-20, 00:40"/>
    <n v="2022"/>
    <s v="lpg"/>
    <s v="LPG"/>
    <s v="model"/>
    <b v="0"/>
    <s v="FUELS; GASEOUS FUELS; LPG"/>
    <x v="2"/>
    <x v="0"/>
    <s v="Europe"/>
    <m/>
    <m/>
    <m/>
    <n v="0"/>
    <s v="CH4"/>
    <n v="0"/>
    <n v="1.2099999999999999E-3"/>
    <s v="LITRES"/>
    <n v="28.316800000000001"/>
    <n v="0"/>
    <s v="AR4"/>
    <s v="Defra"/>
    <s v="Defra (2022)"/>
    <n v="2022"/>
    <n v="2020"/>
    <n v="0"/>
    <n v="0"/>
    <x v="5"/>
    <s v="Unspecified Facility Type"/>
  </r>
  <r>
    <n v="294648"/>
    <s v="Top of Hierarchy &gt; Europe &gt; Vantage_Paris"/>
    <x v="4"/>
    <x v="0"/>
    <d v="2022-01-01T00:00:00"/>
    <d v="2022-12-31T00:00:00"/>
    <x v="2"/>
    <d v="2022-01-01T00:00:00"/>
    <d v="2022-12-31T00:00:00"/>
    <s v="LPG"/>
    <n v="0"/>
    <s v="cubic feet"/>
    <x v="1"/>
    <m/>
    <s v="2023-05-09, 19:25"/>
    <s v="2023-07-20, 00:40"/>
    <n v="2022"/>
    <s v="lpg"/>
    <s v="LPG"/>
    <s v="model"/>
    <b v="0"/>
    <s v="FUELS; GASEOUS FUELS; LPG"/>
    <x v="2"/>
    <x v="0"/>
    <s v="Europe"/>
    <m/>
    <m/>
    <m/>
    <n v="0"/>
    <s v="CO2"/>
    <n v="0"/>
    <n v="1.55491"/>
    <s v="LITRES"/>
    <n v="28.316800000000001"/>
    <n v="0"/>
    <s v="AR4"/>
    <s v="Defra"/>
    <s v="Defra (2022)"/>
    <n v="2022"/>
    <n v="2020"/>
    <n v="0"/>
    <n v="0"/>
    <x v="5"/>
    <s v="Unspecified Facility Type"/>
  </r>
  <r>
    <n v="294648"/>
    <s v="Top of Hierarchy &gt; Europe &gt; Vantage_Paris"/>
    <x v="4"/>
    <x v="0"/>
    <d v="2022-01-01T00:00:00"/>
    <d v="2022-12-31T00:00:00"/>
    <x v="2"/>
    <d v="2022-01-01T00:00:00"/>
    <d v="2022-12-31T00:00:00"/>
    <s v="LPG"/>
    <n v="0"/>
    <s v="cubic feet"/>
    <x v="1"/>
    <m/>
    <s v="2023-05-09, 19:25"/>
    <s v="2023-07-20, 00:40"/>
    <n v="2022"/>
    <s v="lpg"/>
    <s v="LPG"/>
    <s v="model"/>
    <b v="0"/>
    <s v="FUELS; GASEOUS FUELS; LPG"/>
    <x v="2"/>
    <x v="0"/>
    <s v="Europe"/>
    <m/>
    <m/>
    <m/>
    <n v="0"/>
    <s v="CO2E"/>
    <n v="0"/>
    <n v="1.5570900000000001"/>
    <s v="LITRES"/>
    <n v="28.316800000000001"/>
    <n v="0"/>
    <s v="AR4"/>
    <s v="Defra"/>
    <s v="Defra (2022)"/>
    <n v="2022"/>
    <n v="2020"/>
    <n v="0"/>
    <n v="0"/>
    <x v="5"/>
    <s v="Unspecified Facility Type"/>
  </r>
  <r>
    <n v="294648"/>
    <s v="Top of Hierarchy &gt; Europe &gt; Vantage_Paris"/>
    <x v="4"/>
    <x v="0"/>
    <d v="2022-01-01T00:00:00"/>
    <d v="2022-12-31T00:00:00"/>
    <x v="2"/>
    <d v="2022-01-01T00:00:00"/>
    <d v="2022-12-31T00:00:00"/>
    <s v="LPG"/>
    <n v="0"/>
    <s v="cubic feet"/>
    <x v="1"/>
    <m/>
    <s v="2023-05-09, 19:25"/>
    <s v="2023-07-20, 00:40"/>
    <n v="2022"/>
    <s v="lpg"/>
    <s v="LPG"/>
    <s v="model"/>
    <b v="0"/>
    <s v="FUELS; GASEOUS FUELS; LPG"/>
    <x v="2"/>
    <x v="0"/>
    <s v="Europe"/>
    <m/>
    <m/>
    <m/>
    <n v="0"/>
    <s v="N2O"/>
    <n v="0"/>
    <n v="9.7000000000000005E-4"/>
    <s v="LITRES"/>
    <n v="28.316800000000001"/>
    <n v="0"/>
    <s v="AR4"/>
    <s v="Defra"/>
    <s v="Defra (2022)"/>
    <n v="2022"/>
    <n v="2020"/>
    <n v="0"/>
    <n v="0"/>
    <x v="5"/>
    <s v="Unspecified Facility Type"/>
  </r>
  <r>
    <n v="294648"/>
    <s v="Top of Hierarchy &gt; Europe &gt; Vantage_Paris"/>
    <x v="4"/>
    <x v="0"/>
    <d v="2022-01-01T00:00:00"/>
    <d v="2022-12-31T00:00:00"/>
    <x v="2"/>
    <d v="2022-01-01T00:00:00"/>
    <d v="2022-12-31T00:00:00"/>
    <s v="LPG"/>
    <n v="0"/>
    <s v="cubic feet"/>
    <x v="1"/>
    <m/>
    <s v="2023-05-09, 19:25"/>
    <s v="2023-07-20, 00:40"/>
    <n v="2022"/>
    <s v="lpg"/>
    <s v="LPG"/>
    <s v="model"/>
    <b v="0"/>
    <s v="FUELS; GASEOUS FUELS; LPG"/>
    <x v="2"/>
    <x v="0"/>
    <s v="Europe"/>
    <m/>
    <m/>
    <m/>
    <n v="1"/>
    <s v="CH4"/>
    <n v="0"/>
    <n v="1.2099999999999999E-3"/>
    <s v="LITRES"/>
    <n v="28.316800000000001"/>
    <n v="0"/>
    <s v="AR4"/>
    <s v="Defra"/>
    <s v="Defra (2022)"/>
    <n v="2022"/>
    <n v="2020"/>
    <n v="0"/>
    <n v="0"/>
    <x v="5"/>
    <s v="Unspecified Facility Type"/>
  </r>
  <r>
    <n v="294648"/>
    <s v="Top of Hierarchy &gt; Europe &gt; Vantage_Paris"/>
    <x v="4"/>
    <x v="0"/>
    <d v="2022-01-01T00:00:00"/>
    <d v="2022-12-31T00:00:00"/>
    <x v="2"/>
    <d v="2022-01-01T00:00:00"/>
    <d v="2022-12-31T00:00:00"/>
    <s v="LPG"/>
    <n v="0"/>
    <s v="cubic feet"/>
    <x v="1"/>
    <m/>
    <s v="2023-05-09, 19:25"/>
    <s v="2023-07-20, 00:40"/>
    <n v="2022"/>
    <s v="lpg"/>
    <s v="LPG"/>
    <s v="model"/>
    <b v="0"/>
    <s v="FUELS; GASEOUS FUELS; LPG"/>
    <x v="2"/>
    <x v="0"/>
    <s v="Europe"/>
    <m/>
    <m/>
    <m/>
    <n v="1"/>
    <s v="CO2"/>
    <n v="0"/>
    <n v="1.55491"/>
    <s v="LITRES"/>
    <n v="28.316800000000001"/>
    <n v="0"/>
    <s v="AR4"/>
    <s v="Defra"/>
    <s v="Defra (2022)"/>
    <n v="2022"/>
    <n v="2020"/>
    <n v="0"/>
    <n v="0"/>
    <x v="5"/>
    <s v="Unspecified Facility Type"/>
  </r>
  <r>
    <n v="294648"/>
    <s v="Top of Hierarchy &gt; Europe &gt; Vantage_Paris"/>
    <x v="4"/>
    <x v="0"/>
    <d v="2022-01-01T00:00:00"/>
    <d v="2022-12-31T00:00:00"/>
    <x v="2"/>
    <d v="2022-01-01T00:00:00"/>
    <d v="2022-12-31T00:00:00"/>
    <s v="LPG"/>
    <n v="0"/>
    <s v="cubic feet"/>
    <x v="1"/>
    <m/>
    <s v="2023-05-09, 19:25"/>
    <s v="2023-07-20, 00:40"/>
    <n v="2022"/>
    <s v="lpg"/>
    <s v="LPG"/>
    <s v="model"/>
    <b v="0"/>
    <s v="FUELS; GASEOUS FUELS; LPG"/>
    <x v="2"/>
    <x v="0"/>
    <s v="Europe"/>
    <m/>
    <m/>
    <m/>
    <n v="1"/>
    <s v="CO2E"/>
    <n v="0"/>
    <n v="1.5570900000000001"/>
    <s v="LITRES"/>
    <n v="28.316800000000001"/>
    <n v="0"/>
    <s v="AR4"/>
    <s v="Defra"/>
    <s v="Defra (2022)"/>
    <n v="2022"/>
    <n v="2020"/>
    <n v="0"/>
    <n v="0"/>
    <x v="5"/>
    <s v="Unspecified Facility Type"/>
  </r>
  <r>
    <n v="294648"/>
    <s v="Top of Hierarchy &gt; Europe &gt; Vantage_Paris"/>
    <x v="4"/>
    <x v="0"/>
    <d v="2022-01-01T00:00:00"/>
    <d v="2022-12-31T00:00:00"/>
    <x v="2"/>
    <d v="2022-01-01T00:00:00"/>
    <d v="2022-12-31T00:00:00"/>
    <s v="LPG"/>
    <n v="0"/>
    <s v="cubic feet"/>
    <x v="1"/>
    <m/>
    <s v="2023-05-09, 19:25"/>
    <s v="2023-07-20, 00:40"/>
    <n v="2022"/>
    <s v="lpg"/>
    <s v="LPG"/>
    <s v="model"/>
    <b v="0"/>
    <s v="FUELS; GASEOUS FUELS; LPG"/>
    <x v="2"/>
    <x v="0"/>
    <s v="Europe"/>
    <m/>
    <m/>
    <m/>
    <n v="1"/>
    <s v="N2O"/>
    <n v="0"/>
    <n v="9.7000000000000005E-4"/>
    <s v="LITRES"/>
    <n v="28.316800000000001"/>
    <n v="0"/>
    <s v="AR4"/>
    <s v="Defra"/>
    <s v="Defra (2022)"/>
    <n v="2022"/>
    <n v="2020"/>
    <n v="0"/>
    <n v="0"/>
    <x v="5"/>
    <s v="Unspecified Facility Type"/>
  </r>
  <r>
    <n v="294648"/>
    <s v="Top of Hierarchy &gt; Europe &gt; Vantage_Paris"/>
    <x v="4"/>
    <x v="0"/>
    <d v="2022-01-01T00:00:00"/>
    <d v="2022-12-31T00:00:00"/>
    <x v="2"/>
    <d v="2022-01-01T00:00:00"/>
    <d v="2022-12-31T00:00:00"/>
    <s v="LPG"/>
    <n v="0"/>
    <s v="cubic feet"/>
    <x v="1"/>
    <m/>
    <s v="2023-05-09, 19:25"/>
    <s v="2023-07-20, 00:40"/>
    <n v="2022"/>
    <s v="lpg__wtt"/>
    <s v="LPG WTT"/>
    <s v="wtt"/>
    <b v="0"/>
    <s v="WTT- FUELS; GASEOUS FUELS; LPG"/>
    <x v="1"/>
    <x v="1"/>
    <s v="Europe"/>
    <m/>
    <m/>
    <m/>
    <n v="0"/>
    <s v="CO2E"/>
    <n v="0"/>
    <n v="0.18382999999999999"/>
    <s v="LITRES"/>
    <n v="28.316800000000001"/>
    <n v="0"/>
    <s v="AR4"/>
    <s v="Defra"/>
    <s v="Defra (2022)"/>
    <n v="2022"/>
    <n v="2020"/>
    <n v="0"/>
    <n v="0"/>
    <x v="5"/>
    <s v="Unspecified Facility Type"/>
  </r>
  <r>
    <n v="294648"/>
    <s v="Top of Hierarchy &gt; Europe &gt; Vantage_Paris"/>
    <x v="4"/>
    <x v="0"/>
    <d v="2022-01-01T00:00:00"/>
    <d v="2022-12-31T00:00:00"/>
    <x v="2"/>
    <d v="2022-01-01T00:00:00"/>
    <d v="2022-12-31T00:00:00"/>
    <s v="LPG"/>
    <n v="0"/>
    <s v="cubic feet"/>
    <x v="1"/>
    <m/>
    <s v="2023-05-09, 19:25"/>
    <s v="2023-07-20, 00:40"/>
    <n v="2022"/>
    <s v="lpg__wtt"/>
    <s v="LPG WTT"/>
    <s v="wtt"/>
    <b v="0"/>
    <s v="WTT- FUELS; GASEOUS FUELS; LPG"/>
    <x v="1"/>
    <x v="1"/>
    <s v="Europe"/>
    <m/>
    <m/>
    <m/>
    <n v="1"/>
    <s v="CO2E"/>
    <n v="0"/>
    <n v="0.18382999999999999"/>
    <s v="LITRES"/>
    <n v="28.316800000000001"/>
    <n v="0"/>
    <s v="AR4"/>
    <s v="Defra"/>
    <s v="Defra (2022)"/>
    <n v="2022"/>
    <n v="2020"/>
    <n v="0"/>
    <n v="0"/>
    <x v="5"/>
    <s v="Unspecified Facility Type"/>
  </r>
  <r>
    <n v="4958"/>
    <s v="Top of Hierarchy &gt; Europe &gt; Vantage_Paris"/>
    <x v="4"/>
    <x v="1"/>
    <d v="2021-01-01T00:00:00"/>
    <d v="2021-12-31T00:00:00"/>
    <x v="0"/>
    <d v="2021-01-01T00:00:00"/>
    <d v="2021-12-31T00:00:00"/>
    <s v="Electricity (non-renewable)"/>
    <n v="23387"/>
    <s v="Kilowatt hours"/>
    <x v="1"/>
    <m/>
    <s v="2023-02-27, 16:27"/>
    <s v="2023-07-20, 00:40"/>
    <n v="2021"/>
    <s v="electricity"/>
    <s v="Electricity"/>
    <s v="model"/>
    <b v="0"/>
    <s v="ELECTRICITY; FRANCE"/>
    <x v="0"/>
    <x v="0"/>
    <s v="Europe"/>
    <s v="Western Europe"/>
    <s v="FR"/>
    <m/>
    <n v="0"/>
    <s v="CH4"/>
    <n v="2.3386999999999998"/>
    <s v="RESTRICTED"/>
    <s v="KWH"/>
    <n v="1"/>
    <n v="23387"/>
    <s v="AR4"/>
    <s v="IEA"/>
    <s v="IEA (2021)"/>
    <n v="2021"/>
    <n v="2019"/>
    <n v="0"/>
    <n v="0"/>
    <x v="5"/>
    <s v="Unspecified Facility Type"/>
  </r>
  <r>
    <n v="4958"/>
    <s v="Top of Hierarchy &gt; Europe &gt; Vantage_Paris"/>
    <x v="4"/>
    <x v="1"/>
    <d v="2021-01-01T00:00:00"/>
    <d v="2021-12-31T00:00:00"/>
    <x v="0"/>
    <d v="2021-01-01T00:00:00"/>
    <d v="2021-12-31T00:00:00"/>
    <s v="Electricity (non-renewable)"/>
    <n v="23387"/>
    <s v="Kilowatt hours"/>
    <x v="1"/>
    <m/>
    <s v="2023-02-27, 16:27"/>
    <s v="2023-07-20, 00:40"/>
    <n v="2021"/>
    <s v="electricity"/>
    <s v="Electricity"/>
    <s v="model"/>
    <b v="0"/>
    <s v="ELECTRICITY; FRANCE"/>
    <x v="0"/>
    <x v="0"/>
    <s v="Europe"/>
    <s v="Western Europe"/>
    <s v="FR"/>
    <m/>
    <n v="0"/>
    <s v="CO2"/>
    <n v="1323.7041999999999"/>
    <s v="RESTRICTED"/>
    <s v="KWH"/>
    <n v="1"/>
    <n v="23387"/>
    <s v="AR4"/>
    <s v="IEA"/>
    <s v="IEA (2021)"/>
    <n v="2021"/>
    <n v="2019"/>
    <n v="0"/>
    <n v="0"/>
    <x v="5"/>
    <s v="Unspecified Facility Type"/>
  </r>
  <r>
    <n v="4958"/>
    <s v="Top of Hierarchy &gt; Europe &gt; Vantage_Paris"/>
    <x v="4"/>
    <x v="1"/>
    <d v="2021-01-01T00:00:00"/>
    <d v="2021-12-31T00:00:00"/>
    <x v="0"/>
    <d v="2021-01-01T00:00:00"/>
    <d v="2021-12-31T00:00:00"/>
    <s v="Electricity (non-renewable)"/>
    <n v="23387"/>
    <s v="Kilowatt hours"/>
    <x v="1"/>
    <m/>
    <s v="2023-02-27, 16:27"/>
    <s v="2023-07-20, 00:40"/>
    <n v="2021"/>
    <s v="electricity"/>
    <s v="Electricity"/>
    <s v="model"/>
    <b v="0"/>
    <s v="ELECTRICITY; FRANCE"/>
    <x v="0"/>
    <x v="0"/>
    <s v="Europe"/>
    <s v="Western Europe"/>
    <s v="FR"/>
    <m/>
    <n v="0"/>
    <s v="CO2E"/>
    <n v="1330.7203"/>
    <s v="RESTRICTED"/>
    <s v="KWH"/>
    <n v="1"/>
    <n v="23387"/>
    <s v="AR4"/>
    <s v="IEA"/>
    <s v="IEA (2021)"/>
    <n v="2021"/>
    <n v="2019"/>
    <n v="1.3307202999999999"/>
    <n v="0"/>
    <x v="5"/>
    <s v="Unspecified Facility Type"/>
  </r>
  <r>
    <n v="4958"/>
    <s v="Top of Hierarchy &gt; Europe &gt; Vantage_Paris"/>
    <x v="4"/>
    <x v="1"/>
    <d v="2021-01-01T00:00:00"/>
    <d v="2021-12-31T00:00:00"/>
    <x v="0"/>
    <d v="2021-01-01T00:00:00"/>
    <d v="2021-12-31T00:00:00"/>
    <s v="Electricity (non-renewable)"/>
    <n v="23387"/>
    <s v="Kilowatt hours"/>
    <x v="1"/>
    <m/>
    <s v="2023-02-27, 16:27"/>
    <s v="2023-07-20, 00:40"/>
    <n v="2021"/>
    <s v="electricity"/>
    <s v="Electricity"/>
    <s v="model"/>
    <b v="0"/>
    <s v="ELECTRICITY; FRANCE"/>
    <x v="0"/>
    <x v="0"/>
    <s v="Europe"/>
    <s v="Western Europe"/>
    <s v="FR"/>
    <m/>
    <n v="0"/>
    <s v="N2O"/>
    <n v="4.6773999999999996"/>
    <s v="RESTRICTED"/>
    <s v="KWH"/>
    <n v="1"/>
    <n v="23387"/>
    <s v="AR4"/>
    <s v="IEA"/>
    <s v="IEA (2021)"/>
    <n v="2021"/>
    <n v="2019"/>
    <n v="0"/>
    <n v="0"/>
    <x v="5"/>
    <s v="Unspecified Facility Type"/>
  </r>
  <r>
    <n v="4958"/>
    <s v="Top of Hierarchy &gt; Europe &gt; Vantage_Paris"/>
    <x v="4"/>
    <x v="1"/>
    <d v="2021-01-01T00:00:00"/>
    <d v="2021-12-31T00:00:00"/>
    <x v="0"/>
    <d v="2021-01-01T00:00:00"/>
    <d v="2021-12-31T00:00:00"/>
    <s v="Electricity (non-renewable)"/>
    <n v="23387"/>
    <s v="Kilowatt hours"/>
    <x v="1"/>
    <m/>
    <s v="2023-02-27, 16:27"/>
    <s v="2023-07-20, 00:40"/>
    <n v="2021"/>
    <s v="electricity"/>
    <s v="Electricity"/>
    <s v="model"/>
    <b v="0"/>
    <s v="ELECTRICITY; FRANCE"/>
    <x v="0"/>
    <x v="0"/>
    <s v="Europe"/>
    <s v="Western Europe"/>
    <s v="FR"/>
    <m/>
    <n v="1"/>
    <s v="CO2E MKT"/>
    <n v="1406.9267990000001"/>
    <n v="6.0158497999999998E-2"/>
    <s v="KWH"/>
    <n v="1"/>
    <n v="23387"/>
    <s v="AR4"/>
    <s v="AIB"/>
    <s v="AIB (2021)"/>
    <n v="2021"/>
    <n v="2020"/>
    <n v="0"/>
    <n v="1.4069267990000001"/>
    <x v="5"/>
    <s v="Unspecified Facility Type"/>
  </r>
  <r>
    <n v="4958"/>
    <s v="Top of Hierarchy &gt; Europe &gt; Vantage_Paris"/>
    <x v="4"/>
    <x v="1"/>
    <d v="2021-01-01T00:00:00"/>
    <d v="2021-12-31T00:00:00"/>
    <x v="0"/>
    <d v="2021-01-01T00:00:00"/>
    <d v="2021-12-31T00:00:00"/>
    <s v="Electricity (non-renewable)"/>
    <n v="23387"/>
    <s v="Kilowatt hours"/>
    <x v="1"/>
    <m/>
    <s v="2023-02-27, 16:27"/>
    <s v="2023-07-20, 00:40"/>
    <n v="2021"/>
    <s v="electricity__t+d__wtt"/>
    <s v="Electricity T&amp;D WTT"/>
    <s v="t+d_wtt"/>
    <b v="0"/>
    <s v="WTT- UK &amp; OVERSEAS ELEC; WTT- OVERSEAS ELECTRICITY (T&amp;D); ELECTRICITY: FRANCE"/>
    <x v="1"/>
    <x v="1"/>
    <s v="Europe"/>
    <s v="Western Europe"/>
    <s v="FR"/>
    <m/>
    <n v="0"/>
    <s v="CO2E"/>
    <n v="15.68245333"/>
    <n v="6.70563E-4"/>
    <s v="KWH"/>
    <n v="1"/>
    <n v="23387"/>
    <s v="AR4"/>
    <s v="Defra"/>
    <s v="Defra (2021)"/>
    <n v="2021"/>
    <n v="2019"/>
    <n v="1.5682453329999999E-2"/>
    <n v="0"/>
    <x v="5"/>
    <s v="Unspecified Facility Type"/>
  </r>
  <r>
    <n v="4958"/>
    <s v="Top of Hierarchy &gt; Europe &gt; Vantage_Paris"/>
    <x v="4"/>
    <x v="1"/>
    <d v="2021-01-01T00:00:00"/>
    <d v="2021-12-31T00:00:00"/>
    <x v="0"/>
    <d v="2021-01-01T00:00:00"/>
    <d v="2021-12-31T00:00:00"/>
    <s v="Electricity (non-renewable)"/>
    <n v="23387"/>
    <s v="Kilowatt hours"/>
    <x v="1"/>
    <m/>
    <s v="2023-02-27, 16:27"/>
    <s v="2023-07-20, 00:40"/>
    <n v="2021"/>
    <s v="electricity__t+d__wtt"/>
    <s v="Electricity T&amp;D WTT"/>
    <s v="t+d_wtt"/>
    <b v="0"/>
    <s v="ELECTRICITY; FRANCE; T&amp;D WTT Estimated"/>
    <x v="1"/>
    <x v="1"/>
    <s v="Europe"/>
    <s v="Western Europe"/>
    <s v="FR"/>
    <m/>
    <n v="1"/>
    <s v="CO2E MKT"/>
    <n v="5.9490883339999998"/>
    <n v="2.5437600000000001E-4"/>
    <s v="KWH"/>
    <n v="1"/>
    <n v="23387"/>
    <s v="AR4"/>
    <s v="Anthesis"/>
    <s v="The T&amp;D WTT factor was calculated using the ratio: ELECTRICITY; FRANCE, IEA to ELECTRICITY; TRANSMISSION AND DISTRIBUTION; FRANCE, IEA CO2e factor"/>
    <n v="2021"/>
    <n v="2020"/>
    <n v="0"/>
    <n v="5.9490883339999995E-3"/>
    <x v="5"/>
    <s v="Unspecified Facility Type"/>
  </r>
  <r>
    <n v="4958"/>
    <s v="Top of Hierarchy &gt; Europe &gt; Vantage_Paris"/>
    <x v="4"/>
    <x v="1"/>
    <d v="2021-01-01T00:00:00"/>
    <d v="2021-12-31T00:00:00"/>
    <x v="0"/>
    <d v="2021-01-01T00:00:00"/>
    <d v="2021-12-31T00:00:00"/>
    <s v="Electricity (non-renewable)"/>
    <n v="23387"/>
    <s v="Kilowatt hours"/>
    <x v="1"/>
    <m/>
    <s v="2023-02-27, 16:27"/>
    <s v="2023-07-20, 00:40"/>
    <n v="2021"/>
    <s v="electricity__wtt"/>
    <s v="Electricity WTT"/>
    <s v="wtt"/>
    <b v="0"/>
    <s v="WTT- UK &amp; OVERSEAS ELEC; WTT- OVERSEAS ELECTRICITY (GENERATION); ELECTRICITY: FRANCE"/>
    <x v="1"/>
    <x v="1"/>
    <s v="Europe"/>
    <s v="Western Europe"/>
    <s v="FR"/>
    <m/>
    <n v="0"/>
    <s v="CO2E"/>
    <n v="178.86179730000001"/>
    <n v="7.6479149999999999E-3"/>
    <s v="KWH"/>
    <n v="1"/>
    <n v="23387"/>
    <s v="AR4"/>
    <s v="Defra"/>
    <s v="Defra (2021)"/>
    <n v="2021"/>
    <n v="2019"/>
    <n v="0.17886179730000001"/>
    <n v="0"/>
    <x v="5"/>
    <s v="Unspecified Facility Type"/>
  </r>
  <r>
    <n v="4958"/>
    <s v="Top of Hierarchy &gt; Europe &gt; Vantage_Paris"/>
    <x v="4"/>
    <x v="1"/>
    <d v="2021-01-01T00:00:00"/>
    <d v="2021-12-31T00:00:00"/>
    <x v="0"/>
    <d v="2021-01-01T00:00:00"/>
    <d v="2021-12-31T00:00:00"/>
    <s v="Electricity (non-renewable)"/>
    <n v="23387"/>
    <s v="Kilowatt hours"/>
    <x v="1"/>
    <m/>
    <s v="2023-02-27, 16:27"/>
    <s v="2023-07-20, 00:40"/>
    <n v="2021"/>
    <s v="electricity__wtt"/>
    <s v="Electricity WTT"/>
    <s v="wtt"/>
    <b v="0"/>
    <s v="ELECTRICITY; FRANCE; WTT Estimated"/>
    <x v="1"/>
    <x v="1"/>
    <s v="Europe"/>
    <s v="Western Europe"/>
    <s v="FR"/>
    <m/>
    <n v="1"/>
    <s v="CO2E MKT"/>
    <n v="189.10469459999999"/>
    <n v="8.0858890000000006E-3"/>
    <s v="KWH"/>
    <n v="1"/>
    <n v="23387"/>
    <s v="AR4"/>
    <s v="Anthesis"/>
    <s v="The WTT factor was calculated using the ratio: ELECTRICITY; FRANCE, IEA to WTT- UK &amp; OVERSEAS ELEC; WTT- OVERSEAS ELECTRICITY (GENERATION); ELECTRICITY: FRANCE, Defra CO2e factor"/>
    <n v="2021"/>
    <n v="2020"/>
    <n v="0"/>
    <n v="0.18910469459999998"/>
    <x v="5"/>
    <s v="Unspecified Facility Type"/>
  </r>
  <r>
    <n v="4958"/>
    <s v="Top of Hierarchy &gt; Europe &gt; Vantage_Paris"/>
    <x v="4"/>
    <x v="1"/>
    <d v="2021-01-01T00:00:00"/>
    <d v="2021-12-31T00:00:00"/>
    <x v="0"/>
    <d v="2021-01-01T00:00:00"/>
    <d v="2021-12-31T00:00:00"/>
    <s v="Electricity (non-renewable)"/>
    <n v="23387"/>
    <s v="Kilowatt hours"/>
    <x v="1"/>
    <m/>
    <s v="2023-02-27, 16:27"/>
    <s v="2023-07-20, 00:40"/>
    <n v="2021"/>
    <s v="electricity__t+d"/>
    <s v="Electricity T&amp;D"/>
    <s v="t+d"/>
    <b v="0"/>
    <s v="ELECTRICITY; TRANSMISSION AND DISTRIBUTION; FRANCE"/>
    <x v="1"/>
    <x v="1"/>
    <s v="Europe"/>
    <s v="Western Europe"/>
    <s v="FR"/>
    <m/>
    <n v="0"/>
    <s v="CO2E"/>
    <n v="86.531899999999993"/>
    <s v="RESTRICTED"/>
    <s v="KWH"/>
    <n v="1"/>
    <n v="23387"/>
    <s v="AR4"/>
    <s v="IEA"/>
    <s v="IEA (2021)"/>
    <n v="2021"/>
    <n v="2019"/>
    <n v="8.6531899999999995E-2"/>
    <n v="0"/>
    <x v="5"/>
    <s v="Unspecified Facility Type"/>
  </r>
  <r>
    <n v="4958"/>
    <s v="Top of Hierarchy &gt; Europe &gt; Vantage_Paris"/>
    <x v="4"/>
    <x v="1"/>
    <d v="2021-01-01T00:00:00"/>
    <d v="2021-12-31T00:00:00"/>
    <x v="0"/>
    <d v="2021-01-01T00:00:00"/>
    <d v="2021-12-31T00:00:00"/>
    <s v="Electricity (non-renewable)"/>
    <n v="23387"/>
    <s v="Kilowatt hours"/>
    <x v="1"/>
    <m/>
    <s v="2023-02-27, 16:27"/>
    <s v="2023-07-20, 00:40"/>
    <n v="2021"/>
    <s v="electricity__t+d"/>
    <s v="Electricity T&amp;D"/>
    <s v="t+d"/>
    <b v="0"/>
    <s v="ELECTRICITY; FRANCE; T&amp;D Estimated"/>
    <x v="1"/>
    <x v="1"/>
    <s v="Europe"/>
    <s v="Western Europe"/>
    <s v="FR"/>
    <m/>
    <n v="1"/>
    <s v="CO2E MKT"/>
    <n v="91.487331409999996"/>
    <n v="3.9118879999999997E-3"/>
    <s v="KWH"/>
    <n v="1"/>
    <n v="23387"/>
    <s v="AR4"/>
    <s v="Anthesis"/>
    <s v="The T&amp;D factor was calculated using the ratio: ELECTRICITY; FRANCE, IEA to ELECTRICITY; TRANSMISSION AND DISTRIBUTION; FRANCE, IEA CO2e factor"/>
    <n v="2021"/>
    <n v="2020"/>
    <n v="0"/>
    <n v="9.1487331409999997E-2"/>
    <x v="5"/>
    <s v="Unspecified Facility Type"/>
  </r>
  <r>
    <n v="294640"/>
    <s v="Top of Hierarchy &gt; Middle East / Africa &gt; Vantage_South Africa"/>
    <x v="2"/>
    <x v="0"/>
    <d v="2022-01-01T00:00:00"/>
    <d v="2022-12-31T00:00:00"/>
    <x v="0"/>
    <d v="2022-01-01T00:00:00"/>
    <d v="2022-12-31T00:00:00"/>
    <s v="Electricity (non-renewable)"/>
    <n v="41510.999000000003"/>
    <s v="Kilowatt hours"/>
    <x v="1"/>
    <s v="landlord invoice"/>
    <s v="2023-05-09, 16:29"/>
    <s v="2023-07-20, 00:40"/>
    <n v="2022"/>
    <s v="electricity"/>
    <s v="Electricity"/>
    <s v="model"/>
    <b v="0"/>
    <s v="ELECTRICITY; SOUTH AFRICA"/>
    <x v="0"/>
    <x v="0"/>
    <s v="Africa"/>
    <s v="Sub-Saharan Africa"/>
    <s v="ZA"/>
    <m/>
    <n v="0"/>
    <s v="CH4"/>
    <n v="12.453299700000001"/>
    <s v="RESTRICTED"/>
    <s v="KWH"/>
    <n v="1"/>
    <n v="41510.999000000003"/>
    <s v="AR4"/>
    <s v="IEA"/>
    <s v="IEA (2022)"/>
    <n v="2022"/>
    <n v="2020"/>
    <n v="0"/>
    <n v="0"/>
    <x v="6"/>
    <s v="Labratory"/>
  </r>
  <r>
    <n v="294640"/>
    <s v="Top of Hierarchy &gt; Middle East / Africa &gt; Vantage_South Africa"/>
    <x v="2"/>
    <x v="0"/>
    <d v="2022-01-01T00:00:00"/>
    <d v="2022-12-31T00:00:00"/>
    <x v="0"/>
    <d v="2022-01-01T00:00:00"/>
    <d v="2022-12-31T00:00:00"/>
    <s v="Electricity (non-renewable)"/>
    <n v="41510.999000000003"/>
    <s v="Kilowatt hours"/>
    <x v="1"/>
    <s v="landlord invoice"/>
    <s v="2023-05-09, 16:29"/>
    <s v="2023-07-20, 00:40"/>
    <n v="2022"/>
    <s v="electricity"/>
    <s v="Electricity"/>
    <s v="model"/>
    <b v="0"/>
    <s v="ELECTRICITY; SOUTH AFRICA"/>
    <x v="0"/>
    <x v="0"/>
    <s v="Africa"/>
    <s v="Sub-Saharan Africa"/>
    <s v="ZA"/>
    <m/>
    <n v="0"/>
    <s v="CO2"/>
    <n v="38347.86088"/>
    <s v="RESTRICTED"/>
    <s v="KWH"/>
    <n v="1"/>
    <n v="41510.999000000003"/>
    <s v="AR4"/>
    <s v="IEA"/>
    <s v="IEA (2022)"/>
    <n v="2022"/>
    <n v="2020"/>
    <n v="0"/>
    <n v="0"/>
    <x v="6"/>
    <s v="Labratory"/>
  </r>
  <r>
    <n v="294640"/>
    <s v="Top of Hierarchy &gt; Middle East / Africa &gt; Vantage_South Africa"/>
    <x v="2"/>
    <x v="0"/>
    <d v="2022-01-01T00:00:00"/>
    <d v="2022-12-31T00:00:00"/>
    <x v="0"/>
    <d v="2022-01-01T00:00:00"/>
    <d v="2022-12-31T00:00:00"/>
    <s v="Electricity (non-renewable)"/>
    <n v="41510.999000000003"/>
    <s v="Kilowatt hours"/>
    <x v="1"/>
    <s v="landlord invoice"/>
    <s v="2023-05-09, 16:29"/>
    <s v="2023-07-20, 00:40"/>
    <n v="2022"/>
    <s v="electricity"/>
    <s v="Electricity"/>
    <s v="model"/>
    <b v="0"/>
    <s v="ELECTRICITY; SOUTH AFRICA"/>
    <x v="0"/>
    <x v="0"/>
    <s v="Africa"/>
    <s v="Sub-Saharan Africa"/>
    <s v="ZA"/>
    <m/>
    <n v="0"/>
    <s v="CO2E"/>
    <n v="38542.962570000003"/>
    <s v="RESTRICTED"/>
    <s v="KWH"/>
    <n v="1"/>
    <n v="41510.999000000003"/>
    <s v="AR4"/>
    <s v="IEA"/>
    <s v="IEA (2022)"/>
    <n v="2022"/>
    <n v="2020"/>
    <n v="38.54296257"/>
    <n v="0"/>
    <x v="6"/>
    <s v="Labratory"/>
  </r>
  <r>
    <n v="294640"/>
    <s v="Top of Hierarchy &gt; Middle East / Africa &gt; Vantage_South Africa"/>
    <x v="2"/>
    <x v="0"/>
    <d v="2022-01-01T00:00:00"/>
    <d v="2022-12-31T00:00:00"/>
    <x v="0"/>
    <d v="2022-01-01T00:00:00"/>
    <d v="2022-12-31T00:00:00"/>
    <s v="Electricity (non-renewable)"/>
    <n v="41510.999000000003"/>
    <s v="Kilowatt hours"/>
    <x v="1"/>
    <s v="landlord invoice"/>
    <s v="2023-05-09, 16:29"/>
    <s v="2023-07-20, 00:40"/>
    <n v="2022"/>
    <s v="electricity"/>
    <s v="Electricity"/>
    <s v="model"/>
    <b v="0"/>
    <s v="ELECTRICITY; SOUTH AFRICA"/>
    <x v="0"/>
    <x v="0"/>
    <s v="Africa"/>
    <s v="Sub-Saharan Africa"/>
    <s v="ZA"/>
    <m/>
    <n v="0"/>
    <s v="N2O"/>
    <n v="182.64839559999999"/>
    <s v="RESTRICTED"/>
    <s v="KWH"/>
    <n v="1"/>
    <n v="41510.999000000003"/>
    <s v="AR4"/>
    <s v="IEA"/>
    <s v="IEA (2022)"/>
    <n v="2022"/>
    <n v="2020"/>
    <n v="0"/>
    <n v="0"/>
    <x v="6"/>
    <s v="Labratory"/>
  </r>
  <r>
    <n v="294640"/>
    <s v="Top of Hierarchy &gt; Middle East / Africa &gt; Vantage_South Africa"/>
    <x v="2"/>
    <x v="0"/>
    <d v="2022-01-01T00:00:00"/>
    <d v="2022-12-31T00:00:00"/>
    <x v="0"/>
    <d v="2022-01-01T00:00:00"/>
    <d v="2022-12-31T00:00:00"/>
    <s v="Electricity (non-renewable)"/>
    <n v="41510.999000000003"/>
    <s v="Kilowatt hours"/>
    <x v="1"/>
    <s v="landlord invoice"/>
    <s v="2023-05-09, 16:29"/>
    <s v="2023-07-20, 00:40"/>
    <n v="2022"/>
    <s v="electricity"/>
    <s v="Electricity"/>
    <s v="model"/>
    <b v="0"/>
    <s v="ELECTRICITY; SOUTH AFRICA"/>
    <x v="0"/>
    <x v="0"/>
    <s v="Africa"/>
    <s v="Sub-Saharan Africa"/>
    <s v="ZA"/>
    <m/>
    <n v="1"/>
    <s v="CH4"/>
    <n v="12.453299700000001"/>
    <s v="RESTRICTED"/>
    <s v="KWH"/>
    <n v="1"/>
    <n v="41510.999000000003"/>
    <s v="AR4"/>
    <s v="IEA"/>
    <s v="IEA (2022)"/>
    <n v="2022"/>
    <n v="2020"/>
    <n v="0"/>
    <n v="0"/>
    <x v="6"/>
    <s v="Labratory"/>
  </r>
  <r>
    <n v="294640"/>
    <s v="Top of Hierarchy &gt; Middle East / Africa &gt; Vantage_South Africa"/>
    <x v="2"/>
    <x v="0"/>
    <d v="2022-01-01T00:00:00"/>
    <d v="2022-12-31T00:00:00"/>
    <x v="0"/>
    <d v="2022-01-01T00:00:00"/>
    <d v="2022-12-31T00:00:00"/>
    <s v="Electricity (non-renewable)"/>
    <n v="41510.999000000003"/>
    <s v="Kilowatt hours"/>
    <x v="1"/>
    <s v="landlord invoice"/>
    <s v="2023-05-09, 16:29"/>
    <s v="2023-07-20, 00:40"/>
    <n v="2022"/>
    <s v="electricity"/>
    <s v="Electricity"/>
    <s v="model"/>
    <b v="0"/>
    <s v="ELECTRICITY; SOUTH AFRICA"/>
    <x v="0"/>
    <x v="0"/>
    <s v="Africa"/>
    <s v="Sub-Saharan Africa"/>
    <s v="ZA"/>
    <m/>
    <n v="1"/>
    <s v="CO2"/>
    <n v="38347.86088"/>
    <s v="RESTRICTED"/>
    <s v="KWH"/>
    <n v="1"/>
    <n v="41510.999000000003"/>
    <s v="AR4"/>
    <s v="IEA"/>
    <s v="IEA (2022)"/>
    <n v="2022"/>
    <n v="2020"/>
    <n v="0"/>
    <n v="0"/>
    <x v="6"/>
    <s v="Labratory"/>
  </r>
  <r>
    <n v="294640"/>
    <s v="Top of Hierarchy &gt; Middle East / Africa &gt; Vantage_South Africa"/>
    <x v="2"/>
    <x v="0"/>
    <d v="2022-01-01T00:00:00"/>
    <d v="2022-12-31T00:00:00"/>
    <x v="0"/>
    <d v="2022-01-01T00:00:00"/>
    <d v="2022-12-31T00:00:00"/>
    <s v="Electricity (non-renewable)"/>
    <n v="41510.999000000003"/>
    <s v="Kilowatt hours"/>
    <x v="1"/>
    <s v="landlord invoice"/>
    <s v="2023-05-09, 16:29"/>
    <s v="2023-07-20, 00:40"/>
    <n v="2022"/>
    <s v="electricity"/>
    <s v="Electricity"/>
    <s v="model"/>
    <b v="0"/>
    <s v="ELECTRICITY; SOUTH AFRICA"/>
    <x v="0"/>
    <x v="0"/>
    <s v="Africa"/>
    <s v="Sub-Saharan Africa"/>
    <s v="ZA"/>
    <m/>
    <n v="1"/>
    <s v="CO2E"/>
    <n v="38542.962570000003"/>
    <s v="RESTRICTED"/>
    <s v="KWH"/>
    <n v="1"/>
    <n v="41510.999000000003"/>
    <s v="AR4"/>
    <s v="IEA"/>
    <s v="IEA (2022)"/>
    <n v="2022"/>
    <n v="2020"/>
    <n v="0"/>
    <n v="38.54296257"/>
    <x v="6"/>
    <s v="Labratory"/>
  </r>
  <r>
    <n v="294640"/>
    <s v="Top of Hierarchy &gt; Middle East / Africa &gt; Vantage_South Africa"/>
    <x v="2"/>
    <x v="0"/>
    <d v="2022-01-01T00:00:00"/>
    <d v="2022-12-31T00:00:00"/>
    <x v="0"/>
    <d v="2022-01-01T00:00:00"/>
    <d v="2022-12-31T00:00:00"/>
    <s v="Electricity (non-renewable)"/>
    <n v="41510.999000000003"/>
    <s v="Kilowatt hours"/>
    <x v="1"/>
    <s v="landlord invoice"/>
    <s v="2023-05-09, 16:29"/>
    <s v="2023-07-20, 00:40"/>
    <n v="2022"/>
    <s v="electricity"/>
    <s v="Electricity"/>
    <s v="model"/>
    <b v="0"/>
    <s v="ELECTRICITY; SOUTH AFRICA"/>
    <x v="0"/>
    <x v="0"/>
    <s v="Africa"/>
    <s v="Sub-Saharan Africa"/>
    <s v="ZA"/>
    <m/>
    <n v="1"/>
    <s v="N2O"/>
    <n v="182.64839559999999"/>
    <s v="RESTRICTED"/>
    <s v="KWH"/>
    <n v="1"/>
    <n v="41510.999000000003"/>
    <s v="AR4"/>
    <s v="IEA"/>
    <s v="IEA (2022)"/>
    <n v="2022"/>
    <n v="2020"/>
    <n v="0"/>
    <n v="0"/>
    <x v="6"/>
    <s v="Labratory"/>
  </r>
  <r>
    <n v="294640"/>
    <s v="Top of Hierarchy &gt; Middle East / Africa &gt; Vantage_South Africa"/>
    <x v="2"/>
    <x v="0"/>
    <d v="2022-01-01T00:00:00"/>
    <d v="2022-12-31T00:00:00"/>
    <x v="0"/>
    <d v="2022-01-01T00:00:00"/>
    <d v="2022-12-31T00:00:00"/>
    <s v="Electricity (non-renewable)"/>
    <n v="41510.999000000003"/>
    <s v="Kilowatt hours"/>
    <x v="1"/>
    <s v="landlord invoice"/>
    <s v="2023-05-09, 16:29"/>
    <s v="2023-07-20, 00:40"/>
    <n v="2022"/>
    <s v="electricity__t+d__wtt"/>
    <s v="Electricity T&amp;D WTT"/>
    <s v="t+d_wtt"/>
    <b v="0"/>
    <s v="ELECTRICITY T&amp;D WTT; SOUTH AFRICA"/>
    <x v="1"/>
    <x v="1"/>
    <s v="Africa"/>
    <s v="Sub-Saharan Africa"/>
    <s v="ZA"/>
    <m/>
    <n v="0"/>
    <s v="CO2E"/>
    <n v="815.56282350000004"/>
    <n v="1.9646909000000001E-2"/>
    <s v="KWH"/>
    <n v="1"/>
    <n v="41510.999000000003"/>
    <s v="AR4"/>
    <s v="Anthesis"/>
    <s v="Anthesis (2022)"/>
    <n v="2022"/>
    <n v="2020"/>
    <n v="0.81556282350000009"/>
    <n v="0"/>
    <x v="6"/>
    <s v="Labratory"/>
  </r>
  <r>
    <n v="294640"/>
    <s v="Top of Hierarchy &gt; Middle East / Africa &gt; Vantage_South Africa"/>
    <x v="2"/>
    <x v="0"/>
    <d v="2022-01-01T00:00:00"/>
    <d v="2022-12-31T00:00:00"/>
    <x v="0"/>
    <d v="2022-01-01T00:00:00"/>
    <d v="2022-12-31T00:00:00"/>
    <s v="Electricity (non-renewable)"/>
    <n v="41510.999000000003"/>
    <s v="Kilowatt hours"/>
    <x v="1"/>
    <s v="landlord invoice"/>
    <s v="2023-05-09, 16:29"/>
    <s v="2023-07-20, 00:40"/>
    <n v="2022"/>
    <s v="electricity__t+d__wtt"/>
    <s v="Electricity T&amp;D WTT"/>
    <s v="t+d_wtt"/>
    <b v="0"/>
    <s v="ELECTRICITY T&amp;D WTT; SOUTH AFRICA"/>
    <x v="1"/>
    <x v="1"/>
    <s v="Africa"/>
    <s v="Sub-Saharan Africa"/>
    <s v="ZA"/>
    <m/>
    <n v="1"/>
    <s v="CO2E"/>
    <n v="815.56282350000004"/>
    <n v="1.9646909000000001E-2"/>
    <s v="KWH"/>
    <n v="1"/>
    <n v="41510.999000000003"/>
    <s v="AR4"/>
    <s v="Anthesis"/>
    <s v="Anthesis (2022)"/>
    <n v="2022"/>
    <n v="2020"/>
    <n v="0"/>
    <n v="0.81556282350000009"/>
    <x v="6"/>
    <s v="Labratory"/>
  </r>
  <r>
    <n v="294640"/>
    <s v="Top of Hierarchy &gt; Middle East / Africa &gt; Vantage_South Africa"/>
    <x v="2"/>
    <x v="0"/>
    <d v="2022-01-01T00:00:00"/>
    <d v="2022-12-31T00:00:00"/>
    <x v="0"/>
    <d v="2022-01-01T00:00:00"/>
    <d v="2022-12-31T00:00:00"/>
    <s v="Electricity (non-renewable)"/>
    <n v="41510.999000000003"/>
    <s v="Kilowatt hours"/>
    <x v="1"/>
    <s v="landlord invoice"/>
    <s v="2023-05-09, 16:29"/>
    <s v="2023-07-20, 00:40"/>
    <n v="2022"/>
    <s v="electricity__wtt"/>
    <s v="Electricity WTT"/>
    <s v="wtt"/>
    <b v="0"/>
    <s v="ELECTRICITY WTT; SOUTH AFRICA"/>
    <x v="1"/>
    <x v="1"/>
    <s v="Africa"/>
    <s v="Sub-Saharan Africa"/>
    <s v="ZA"/>
    <m/>
    <n v="0"/>
    <s v="CO2E"/>
    <n v="7330.5913030000002"/>
    <n v="0.176593951"/>
    <s v="KWH"/>
    <n v="1"/>
    <n v="41510.999000000003"/>
    <s v="AR4"/>
    <s v="Anthesis"/>
    <s v="Anthesis (2022)"/>
    <n v="2022"/>
    <n v="2020"/>
    <n v="7.3305913030000003"/>
    <n v="0"/>
    <x v="6"/>
    <s v="Labratory"/>
  </r>
  <r>
    <n v="294640"/>
    <s v="Top of Hierarchy &gt; Middle East / Africa &gt; Vantage_South Africa"/>
    <x v="2"/>
    <x v="0"/>
    <d v="2022-01-01T00:00:00"/>
    <d v="2022-12-31T00:00:00"/>
    <x v="0"/>
    <d v="2022-01-01T00:00:00"/>
    <d v="2022-12-31T00:00:00"/>
    <s v="Electricity (non-renewable)"/>
    <n v="41510.999000000003"/>
    <s v="Kilowatt hours"/>
    <x v="1"/>
    <s v="landlord invoice"/>
    <s v="2023-05-09, 16:29"/>
    <s v="2023-07-20, 00:40"/>
    <n v="2022"/>
    <s v="electricity__wtt"/>
    <s v="Electricity WTT"/>
    <s v="wtt"/>
    <b v="0"/>
    <s v="ELECTRICITY WTT; SOUTH AFRICA"/>
    <x v="1"/>
    <x v="1"/>
    <s v="Africa"/>
    <s v="Sub-Saharan Africa"/>
    <s v="ZA"/>
    <m/>
    <n v="1"/>
    <s v="CO2E"/>
    <n v="7330.5913030000002"/>
    <n v="0.176593951"/>
    <s v="KWH"/>
    <n v="1"/>
    <n v="41510.999000000003"/>
    <s v="AR4"/>
    <s v="Anthesis"/>
    <s v="Anthesis (2022)"/>
    <n v="2022"/>
    <n v="2020"/>
    <n v="0"/>
    <n v="7.3305913030000003"/>
    <x v="6"/>
    <s v="Labratory"/>
  </r>
  <r>
    <n v="294640"/>
    <s v="Top of Hierarchy &gt; Middle East / Africa &gt; Vantage_South Africa"/>
    <x v="2"/>
    <x v="0"/>
    <d v="2022-01-01T00:00:00"/>
    <d v="2022-12-31T00:00:00"/>
    <x v="0"/>
    <d v="2022-01-01T00:00:00"/>
    <d v="2022-12-31T00:00:00"/>
    <s v="Electricity (non-renewable)"/>
    <n v="41510.999000000003"/>
    <s v="Kilowatt hours"/>
    <x v="1"/>
    <s v="landlord invoice"/>
    <s v="2023-05-09, 16:29"/>
    <s v="2023-07-20, 00:40"/>
    <n v="2022"/>
    <s v="electricity__t+d"/>
    <s v="Electricity T&amp;D"/>
    <s v="t+d"/>
    <b v="0"/>
    <s v="ELECTRICITY; TRANSMISSION AND DISTRIBUTION; SOUTH AFRICA"/>
    <x v="1"/>
    <x v="1"/>
    <s v="Africa"/>
    <s v="Sub-Saharan Africa"/>
    <s v="ZA"/>
    <m/>
    <n v="0"/>
    <s v="CO2E"/>
    <n v="4288.0861969999996"/>
    <s v="RESTRICTED"/>
    <s v="KWH"/>
    <n v="1"/>
    <n v="41510.999000000003"/>
    <s v="AR4"/>
    <s v="IEA"/>
    <s v="IEA (2022)"/>
    <n v="2022"/>
    <n v="2020"/>
    <n v="4.2880861969999993"/>
    <n v="0"/>
    <x v="6"/>
    <s v="Labratory"/>
  </r>
  <r>
    <n v="294640"/>
    <s v="Top of Hierarchy &gt; Middle East / Africa &gt; Vantage_South Africa"/>
    <x v="2"/>
    <x v="0"/>
    <d v="2022-01-01T00:00:00"/>
    <d v="2022-12-31T00:00:00"/>
    <x v="0"/>
    <d v="2022-01-01T00:00:00"/>
    <d v="2022-12-31T00:00:00"/>
    <s v="Electricity (non-renewable)"/>
    <n v="41510.999000000003"/>
    <s v="Kilowatt hours"/>
    <x v="1"/>
    <s v="landlord invoice"/>
    <s v="2023-05-09, 16:29"/>
    <s v="2023-07-20, 00:40"/>
    <n v="2022"/>
    <s v="electricity__t+d"/>
    <s v="Electricity T&amp;D"/>
    <s v="t+d"/>
    <b v="0"/>
    <s v="ELECTRICITY; TRANSMISSION AND DISTRIBUTION; SOUTH AFRICA"/>
    <x v="1"/>
    <x v="1"/>
    <s v="Africa"/>
    <s v="Sub-Saharan Africa"/>
    <s v="ZA"/>
    <m/>
    <n v="1"/>
    <s v="CO2E"/>
    <n v="4288.0861969999996"/>
    <s v="RESTRICTED"/>
    <s v="KWH"/>
    <n v="1"/>
    <n v="41510.999000000003"/>
    <s v="AR4"/>
    <s v="IEA"/>
    <s v="IEA (2022)"/>
    <n v="2022"/>
    <n v="2020"/>
    <n v="0"/>
    <n v="4.2880861969999993"/>
    <x v="6"/>
    <s v="Labratory"/>
  </r>
  <r>
    <n v="1590451"/>
    <s v="Top of Hierarchy &gt; Middle East / Africa &gt; Vantage_South Africa"/>
    <x v="2"/>
    <x v="0"/>
    <d v="2022-01-01T00:00:00"/>
    <d v="2022-12-31T00:00:00"/>
    <x v="4"/>
    <d v="2022-01-01T00:00:00"/>
    <d v="2022-12-31T00:00:00"/>
    <s v="R-134A"/>
    <n v="4.8781994800000001"/>
    <s v="kilograms"/>
    <x v="0"/>
    <s v="Estimated from square footage. Assumed R134a."/>
    <s v="2023-07-25, 17:50"/>
    <s v="2023-07-25, 17:50"/>
    <n v="2022"/>
    <s v="hfc-134a"/>
    <s v="HFC-134A"/>
    <s v="model"/>
    <b v="0"/>
    <s v="REFRIGERANT: R-134A"/>
    <x v="2"/>
    <x v="0"/>
    <m/>
    <m/>
    <m/>
    <m/>
    <n v="0"/>
    <s v="CO2E"/>
    <n v="6975.8252560000001"/>
    <n v="1430"/>
    <s v="KG"/>
    <n v="1"/>
    <n v="4.8781994800000001"/>
    <s v="AR4"/>
    <s v="IPCC"/>
    <s v="IPCC (2021)"/>
    <n v="2022"/>
    <n v="2007"/>
    <n v="6.9758252560000003"/>
    <n v="0"/>
    <x v="6"/>
    <s v="Labratory"/>
  </r>
  <r>
    <n v="1590451"/>
    <s v="Top of Hierarchy &gt; Middle East / Africa &gt; Vantage_South Africa"/>
    <x v="2"/>
    <x v="0"/>
    <d v="2022-01-01T00:00:00"/>
    <d v="2022-12-31T00:00:00"/>
    <x v="4"/>
    <d v="2022-01-01T00:00:00"/>
    <d v="2022-12-31T00:00:00"/>
    <s v="R-134A"/>
    <n v="4.8781994800000001"/>
    <s v="kilograms"/>
    <x v="0"/>
    <s v="Estimated from square footage. Assumed R134a."/>
    <s v="2023-07-25, 17:50"/>
    <s v="2023-07-25, 17:50"/>
    <n v="2022"/>
    <s v="hfc-134a"/>
    <s v="HFC-134A"/>
    <s v="model"/>
    <b v="0"/>
    <s v="REFRIGERANT: R-134A"/>
    <x v="2"/>
    <x v="0"/>
    <m/>
    <m/>
    <m/>
    <m/>
    <n v="1"/>
    <s v="CO2E"/>
    <n v="6975.8252560000001"/>
    <n v="1430"/>
    <s v="KG"/>
    <n v="1"/>
    <n v="4.8781994800000001"/>
    <s v="AR4"/>
    <s v="IPCC"/>
    <s v="IPCC (2021)"/>
    <n v="2022"/>
    <n v="2007"/>
    <n v="0"/>
    <n v="6.9758252560000003"/>
    <x v="6"/>
    <s v="Labratory"/>
  </r>
  <r>
    <n v="294642"/>
    <s v="Top of Hierarchy &gt; Middle East / Africa &gt; Vantage_South Africa"/>
    <x v="2"/>
    <x v="0"/>
    <d v="2022-01-01T00:00:00"/>
    <d v="2022-12-31T00:00:00"/>
    <x v="2"/>
    <d v="2022-01-01T00:00:00"/>
    <d v="2022-12-31T00:00:00"/>
    <s v="LPG"/>
    <n v="228"/>
    <s v="kilograms"/>
    <x v="0"/>
    <s v="Estimated based off last year"/>
    <s v="2023-05-09, 17:15"/>
    <s v="2023-07-20, 00:40"/>
    <n v="2022"/>
    <s v="lpg"/>
    <s v="LPG"/>
    <s v="model"/>
    <b v="0"/>
    <s v="FUELS; GASEOUS FUELS; LPG"/>
    <x v="2"/>
    <x v="0"/>
    <m/>
    <m/>
    <m/>
    <m/>
    <n v="0"/>
    <s v="CH4"/>
    <n v="0.51983999999999997"/>
    <n v="2.2799999999999998"/>
    <s v="TONNES"/>
    <n v="1E-3"/>
    <n v="0.22800000000000001"/>
    <s v="AR4"/>
    <s v="Defra"/>
    <s v="Defra (2022)"/>
    <n v="2022"/>
    <n v="2020"/>
    <n v="0"/>
    <n v="0"/>
    <x v="6"/>
    <s v="Labratory"/>
  </r>
  <r>
    <n v="294642"/>
    <s v="Top of Hierarchy &gt; Middle East / Africa &gt; Vantage_South Africa"/>
    <x v="2"/>
    <x v="0"/>
    <d v="2022-01-01T00:00:00"/>
    <d v="2022-12-31T00:00:00"/>
    <x v="2"/>
    <d v="2022-01-01T00:00:00"/>
    <d v="2022-12-31T00:00:00"/>
    <s v="LPG"/>
    <n v="228"/>
    <s v="kilograms"/>
    <x v="0"/>
    <s v="Estimated based off last year"/>
    <s v="2023-05-09, 17:15"/>
    <s v="2023-07-20, 00:40"/>
    <n v="2022"/>
    <s v="lpg"/>
    <s v="LPG"/>
    <s v="model"/>
    <b v="0"/>
    <s v="FUELS; GASEOUS FUELS; LPG"/>
    <x v="2"/>
    <x v="0"/>
    <m/>
    <m/>
    <m/>
    <m/>
    <n v="0"/>
    <s v="CO2"/>
    <n v="669.22104000000002"/>
    <n v="2935.18"/>
    <s v="TONNES"/>
    <n v="1E-3"/>
    <n v="0.22800000000000001"/>
    <s v="AR4"/>
    <s v="Defra"/>
    <s v="Defra (2022)"/>
    <n v="2022"/>
    <n v="2020"/>
    <n v="0"/>
    <n v="0"/>
    <x v="6"/>
    <s v="Labratory"/>
  </r>
  <r>
    <n v="294642"/>
    <s v="Top of Hierarchy &gt; Middle East / Africa &gt; Vantage_South Africa"/>
    <x v="2"/>
    <x v="0"/>
    <d v="2022-01-01T00:00:00"/>
    <d v="2022-12-31T00:00:00"/>
    <x v="2"/>
    <d v="2022-01-01T00:00:00"/>
    <d v="2022-12-31T00:00:00"/>
    <s v="LPG"/>
    <n v="228"/>
    <s v="kilograms"/>
    <x v="0"/>
    <s v="Estimated based off last year"/>
    <s v="2023-05-09, 17:15"/>
    <s v="2023-07-20, 00:40"/>
    <n v="2022"/>
    <s v="lpg"/>
    <s v="LPG"/>
    <s v="model"/>
    <b v="0"/>
    <s v="FUELS; GASEOUS FUELS; LPG"/>
    <x v="2"/>
    <x v="0"/>
    <m/>
    <m/>
    <m/>
    <m/>
    <n v="0"/>
    <s v="CO2E"/>
    <n v="670.15812000000005"/>
    <n v="2939.29"/>
    <s v="TONNES"/>
    <n v="1E-3"/>
    <n v="0.22800000000000001"/>
    <s v="AR4"/>
    <s v="Defra"/>
    <s v="Defra (2022)"/>
    <n v="2022"/>
    <n v="2020"/>
    <n v="0.67015812000000008"/>
    <n v="0"/>
    <x v="6"/>
    <s v="Labratory"/>
  </r>
  <r>
    <n v="294642"/>
    <s v="Top of Hierarchy &gt; Middle East / Africa &gt; Vantage_South Africa"/>
    <x v="2"/>
    <x v="0"/>
    <d v="2022-01-01T00:00:00"/>
    <d v="2022-12-31T00:00:00"/>
    <x v="2"/>
    <d v="2022-01-01T00:00:00"/>
    <d v="2022-12-31T00:00:00"/>
    <s v="LPG"/>
    <n v="228"/>
    <s v="kilograms"/>
    <x v="0"/>
    <s v="Estimated based off last year"/>
    <s v="2023-05-09, 17:15"/>
    <s v="2023-07-20, 00:40"/>
    <n v="2022"/>
    <s v="lpg"/>
    <s v="LPG"/>
    <s v="model"/>
    <b v="0"/>
    <s v="FUELS; GASEOUS FUELS; LPG"/>
    <x v="2"/>
    <x v="0"/>
    <m/>
    <m/>
    <m/>
    <m/>
    <n v="0"/>
    <s v="N2O"/>
    <n v="0.41724"/>
    <n v="1.83"/>
    <s v="TONNES"/>
    <n v="1E-3"/>
    <n v="0.22800000000000001"/>
    <s v="AR4"/>
    <s v="Defra"/>
    <s v="Defra (2022)"/>
    <n v="2022"/>
    <n v="2020"/>
    <n v="0"/>
    <n v="0"/>
    <x v="6"/>
    <s v="Labratory"/>
  </r>
  <r>
    <n v="294642"/>
    <s v="Top of Hierarchy &gt; Middle East / Africa &gt; Vantage_South Africa"/>
    <x v="2"/>
    <x v="0"/>
    <d v="2022-01-01T00:00:00"/>
    <d v="2022-12-31T00:00:00"/>
    <x v="2"/>
    <d v="2022-01-01T00:00:00"/>
    <d v="2022-12-31T00:00:00"/>
    <s v="LPG"/>
    <n v="228"/>
    <s v="kilograms"/>
    <x v="0"/>
    <s v="Estimated based off last year"/>
    <s v="2023-05-09, 17:15"/>
    <s v="2023-07-20, 00:40"/>
    <n v="2022"/>
    <s v="lpg"/>
    <s v="LPG"/>
    <s v="model"/>
    <b v="0"/>
    <s v="FUELS; GASEOUS FUELS; LPG"/>
    <x v="2"/>
    <x v="0"/>
    <m/>
    <m/>
    <m/>
    <m/>
    <n v="1"/>
    <s v="CH4"/>
    <n v="0.51983999999999997"/>
    <n v="2.2799999999999998"/>
    <s v="TONNES"/>
    <n v="1E-3"/>
    <n v="0.22800000000000001"/>
    <s v="AR4"/>
    <s v="Defra"/>
    <s v="Defra (2022)"/>
    <n v="2022"/>
    <n v="2020"/>
    <n v="0"/>
    <n v="0"/>
    <x v="6"/>
    <s v="Labratory"/>
  </r>
  <r>
    <n v="294642"/>
    <s v="Top of Hierarchy &gt; Middle East / Africa &gt; Vantage_South Africa"/>
    <x v="2"/>
    <x v="0"/>
    <d v="2022-01-01T00:00:00"/>
    <d v="2022-12-31T00:00:00"/>
    <x v="2"/>
    <d v="2022-01-01T00:00:00"/>
    <d v="2022-12-31T00:00:00"/>
    <s v="LPG"/>
    <n v="228"/>
    <s v="kilograms"/>
    <x v="0"/>
    <s v="Estimated based off last year"/>
    <s v="2023-05-09, 17:15"/>
    <s v="2023-07-20, 00:40"/>
    <n v="2022"/>
    <s v="lpg"/>
    <s v="LPG"/>
    <s v="model"/>
    <b v="0"/>
    <s v="FUELS; GASEOUS FUELS; LPG"/>
    <x v="2"/>
    <x v="0"/>
    <m/>
    <m/>
    <m/>
    <m/>
    <n v="1"/>
    <s v="CO2"/>
    <n v="669.22104000000002"/>
    <n v="2935.18"/>
    <s v="TONNES"/>
    <n v="1E-3"/>
    <n v="0.22800000000000001"/>
    <s v="AR4"/>
    <s v="Defra"/>
    <s v="Defra (2022)"/>
    <n v="2022"/>
    <n v="2020"/>
    <n v="0"/>
    <n v="0"/>
    <x v="6"/>
    <s v="Labratory"/>
  </r>
  <r>
    <n v="294642"/>
    <s v="Top of Hierarchy &gt; Middle East / Africa &gt; Vantage_South Africa"/>
    <x v="2"/>
    <x v="0"/>
    <d v="2022-01-01T00:00:00"/>
    <d v="2022-12-31T00:00:00"/>
    <x v="2"/>
    <d v="2022-01-01T00:00:00"/>
    <d v="2022-12-31T00:00:00"/>
    <s v="LPG"/>
    <n v="228"/>
    <s v="kilograms"/>
    <x v="0"/>
    <s v="Estimated based off last year"/>
    <s v="2023-05-09, 17:15"/>
    <s v="2023-07-20, 00:40"/>
    <n v="2022"/>
    <s v="lpg"/>
    <s v="LPG"/>
    <s v="model"/>
    <b v="0"/>
    <s v="FUELS; GASEOUS FUELS; LPG"/>
    <x v="2"/>
    <x v="0"/>
    <m/>
    <m/>
    <m/>
    <m/>
    <n v="1"/>
    <s v="CO2E"/>
    <n v="670.15812000000005"/>
    <n v="2939.29"/>
    <s v="TONNES"/>
    <n v="1E-3"/>
    <n v="0.22800000000000001"/>
    <s v="AR4"/>
    <s v="Defra"/>
    <s v="Defra (2022)"/>
    <n v="2022"/>
    <n v="2020"/>
    <n v="0"/>
    <n v="0.67015812000000008"/>
    <x v="6"/>
    <s v="Labratory"/>
  </r>
  <r>
    <n v="294642"/>
    <s v="Top of Hierarchy &gt; Middle East / Africa &gt; Vantage_South Africa"/>
    <x v="2"/>
    <x v="0"/>
    <d v="2022-01-01T00:00:00"/>
    <d v="2022-12-31T00:00:00"/>
    <x v="2"/>
    <d v="2022-01-01T00:00:00"/>
    <d v="2022-12-31T00:00:00"/>
    <s v="LPG"/>
    <n v="228"/>
    <s v="kilograms"/>
    <x v="0"/>
    <s v="Estimated based off last year"/>
    <s v="2023-05-09, 17:15"/>
    <s v="2023-07-20, 00:40"/>
    <n v="2022"/>
    <s v="lpg"/>
    <s v="LPG"/>
    <s v="model"/>
    <b v="0"/>
    <s v="FUELS; GASEOUS FUELS; LPG"/>
    <x v="2"/>
    <x v="0"/>
    <m/>
    <m/>
    <m/>
    <m/>
    <n v="1"/>
    <s v="N2O"/>
    <n v="0.41724"/>
    <n v="1.83"/>
    <s v="TONNES"/>
    <n v="1E-3"/>
    <n v="0.22800000000000001"/>
    <s v="AR4"/>
    <s v="Defra"/>
    <s v="Defra (2022)"/>
    <n v="2022"/>
    <n v="2020"/>
    <n v="0"/>
    <n v="0"/>
    <x v="6"/>
    <s v="Labratory"/>
  </r>
  <r>
    <n v="294642"/>
    <s v="Top of Hierarchy &gt; Middle East / Africa &gt; Vantage_South Africa"/>
    <x v="2"/>
    <x v="0"/>
    <d v="2022-01-01T00:00:00"/>
    <d v="2022-12-31T00:00:00"/>
    <x v="2"/>
    <d v="2022-01-01T00:00:00"/>
    <d v="2022-12-31T00:00:00"/>
    <s v="LPG"/>
    <n v="228"/>
    <s v="kilograms"/>
    <x v="0"/>
    <s v="Estimated based off last year"/>
    <s v="2023-05-09, 17:15"/>
    <s v="2023-07-20, 00:40"/>
    <n v="2022"/>
    <s v="lpg__wtt"/>
    <s v="LPG WTT"/>
    <s v="wtt"/>
    <b v="0"/>
    <s v="WTT- FUELS; GASEOUS FUELS; LPG"/>
    <x v="1"/>
    <x v="1"/>
    <m/>
    <m/>
    <m/>
    <m/>
    <n v="0"/>
    <s v="CO2E"/>
    <n v="79.118120399999995"/>
    <n v="347.0093"/>
    <s v="TONNES"/>
    <n v="1E-3"/>
    <n v="0.22800000000000001"/>
    <s v="AR4"/>
    <s v="Defra"/>
    <s v="Defra (2022)"/>
    <n v="2022"/>
    <n v="2020"/>
    <n v="7.9118120399999992E-2"/>
    <n v="0"/>
    <x v="6"/>
    <s v="Labratory"/>
  </r>
  <r>
    <n v="294642"/>
    <s v="Top of Hierarchy &gt; Middle East / Africa &gt; Vantage_South Africa"/>
    <x v="2"/>
    <x v="0"/>
    <d v="2022-01-01T00:00:00"/>
    <d v="2022-12-31T00:00:00"/>
    <x v="2"/>
    <d v="2022-01-01T00:00:00"/>
    <d v="2022-12-31T00:00:00"/>
    <s v="LPG"/>
    <n v="228"/>
    <s v="kilograms"/>
    <x v="0"/>
    <s v="Estimated based off last year"/>
    <s v="2023-05-09, 17:15"/>
    <s v="2023-07-20, 00:40"/>
    <n v="2022"/>
    <s v="lpg__wtt"/>
    <s v="LPG WTT"/>
    <s v="wtt"/>
    <b v="0"/>
    <s v="WTT- FUELS; GASEOUS FUELS; LPG"/>
    <x v="1"/>
    <x v="1"/>
    <m/>
    <m/>
    <m/>
    <m/>
    <n v="1"/>
    <s v="CO2E"/>
    <n v="79.118120399999995"/>
    <n v="347.0093"/>
    <s v="TONNES"/>
    <n v="1E-3"/>
    <n v="0.22800000000000001"/>
    <s v="AR4"/>
    <s v="Defra"/>
    <s v="Defra (2022)"/>
    <n v="2022"/>
    <n v="2020"/>
    <n v="0"/>
    <n v="7.9118120399999992E-2"/>
    <x v="6"/>
    <s v="Labratory"/>
  </r>
  <r>
    <n v="4963"/>
    <s v="Top of Hierarchy &gt; Middle East / Africa &gt; Vantage_South Africa"/>
    <x v="2"/>
    <x v="1"/>
    <d v="2021-01-01T00:00:00"/>
    <d v="2021-12-31T00:00:00"/>
    <x v="0"/>
    <d v="2021-01-01T00:00:00"/>
    <d v="2021-12-31T00:00:00"/>
    <s v="Electricity (non-renewable)"/>
    <n v="43695.567999999999"/>
    <s v="Kilowatt hours"/>
    <x v="1"/>
    <m/>
    <s v="2023-02-27, 16:27"/>
    <s v="2023-08-03, 20:20"/>
    <n v="2021"/>
    <s v="electricity"/>
    <s v="Electricity"/>
    <s v="model"/>
    <b v="0"/>
    <s v="ELECTRICITY; SOUTH AFRICA"/>
    <x v="0"/>
    <x v="0"/>
    <s v="Africa"/>
    <s v="Sub-Saharan Africa"/>
    <s v="ZA"/>
    <m/>
    <n v="0"/>
    <s v="CH4"/>
    <n v="13.108670399999999"/>
    <s v="RESTRICTED"/>
    <s v="KWH"/>
    <n v="1"/>
    <n v="43695.567999999999"/>
    <s v="AR4"/>
    <s v="IEA"/>
    <s v="IEA (2021)"/>
    <n v="2021"/>
    <n v="2019"/>
    <n v="0"/>
    <n v="0"/>
    <x v="6"/>
    <s v="Labratory"/>
  </r>
  <r>
    <n v="4963"/>
    <s v="Top of Hierarchy &gt; Middle East / Africa &gt; Vantage_South Africa"/>
    <x v="2"/>
    <x v="1"/>
    <d v="2021-01-01T00:00:00"/>
    <d v="2021-12-31T00:00:00"/>
    <x v="0"/>
    <d v="2021-01-01T00:00:00"/>
    <d v="2021-12-31T00:00:00"/>
    <s v="Electricity (non-renewable)"/>
    <n v="43695.567999999999"/>
    <s v="Kilowatt hours"/>
    <x v="1"/>
    <m/>
    <s v="2023-02-27, 16:27"/>
    <s v="2023-08-03, 20:20"/>
    <n v="2021"/>
    <s v="electricity"/>
    <s v="Electricity"/>
    <s v="model"/>
    <b v="0"/>
    <s v="ELECTRICITY; SOUTH AFRICA"/>
    <x v="0"/>
    <x v="0"/>
    <s v="Africa"/>
    <s v="Sub-Saharan Africa"/>
    <s v="ZA"/>
    <m/>
    <n v="0"/>
    <s v="CO2"/>
    <n v="40719.899819999999"/>
    <s v="RESTRICTED"/>
    <s v="KWH"/>
    <n v="1"/>
    <n v="43695.567999999999"/>
    <s v="AR4"/>
    <s v="IEA"/>
    <s v="IEA (2021)"/>
    <n v="2021"/>
    <n v="2019"/>
    <n v="0"/>
    <n v="0"/>
    <x v="6"/>
    <s v="Labratory"/>
  </r>
  <r>
    <n v="4963"/>
    <s v="Top of Hierarchy &gt; Middle East / Africa &gt; Vantage_South Africa"/>
    <x v="2"/>
    <x v="1"/>
    <d v="2021-01-01T00:00:00"/>
    <d v="2021-12-31T00:00:00"/>
    <x v="0"/>
    <d v="2021-01-01T00:00:00"/>
    <d v="2021-12-31T00:00:00"/>
    <s v="Electricity (non-renewable)"/>
    <n v="43695.567999999999"/>
    <s v="Kilowatt hours"/>
    <x v="1"/>
    <m/>
    <s v="2023-02-27, 16:27"/>
    <s v="2023-08-03, 20:20"/>
    <n v="2021"/>
    <s v="electricity"/>
    <s v="Electricity"/>
    <s v="model"/>
    <b v="0"/>
    <s v="ELECTRICITY; SOUTH AFRICA"/>
    <x v="0"/>
    <x v="0"/>
    <s v="Africa"/>
    <s v="Sub-Saharan Africa"/>
    <s v="ZA"/>
    <m/>
    <n v="0"/>
    <s v="CO2E"/>
    <n v="40925.268989999997"/>
    <s v="RESTRICTED"/>
    <s v="KWH"/>
    <n v="1"/>
    <n v="43695.567999999999"/>
    <s v="AR4"/>
    <s v="IEA"/>
    <s v="IEA (2021)"/>
    <n v="2021"/>
    <n v="2019"/>
    <n v="40.925268989999999"/>
    <n v="0"/>
    <x v="6"/>
    <s v="Labratory"/>
  </r>
  <r>
    <n v="4963"/>
    <s v="Top of Hierarchy &gt; Middle East / Africa &gt; Vantage_South Africa"/>
    <x v="2"/>
    <x v="1"/>
    <d v="2021-01-01T00:00:00"/>
    <d v="2021-12-31T00:00:00"/>
    <x v="0"/>
    <d v="2021-01-01T00:00:00"/>
    <d v="2021-12-31T00:00:00"/>
    <s v="Electricity (non-renewable)"/>
    <n v="43695.567999999999"/>
    <s v="Kilowatt hours"/>
    <x v="1"/>
    <m/>
    <s v="2023-02-27, 16:27"/>
    <s v="2023-08-03, 20:20"/>
    <n v="2021"/>
    <s v="electricity"/>
    <s v="Electricity"/>
    <s v="model"/>
    <b v="0"/>
    <s v="ELECTRICITY; SOUTH AFRICA"/>
    <x v="0"/>
    <x v="0"/>
    <s v="Africa"/>
    <s v="Sub-Saharan Africa"/>
    <s v="ZA"/>
    <m/>
    <n v="0"/>
    <s v="N2O"/>
    <n v="192.2604992"/>
    <s v="RESTRICTED"/>
    <s v="KWH"/>
    <n v="1"/>
    <n v="43695.567999999999"/>
    <s v="AR4"/>
    <s v="IEA"/>
    <s v="IEA (2021)"/>
    <n v="2021"/>
    <n v="2019"/>
    <n v="0"/>
    <n v="0"/>
    <x v="6"/>
    <s v="Labratory"/>
  </r>
  <r>
    <n v="4963"/>
    <s v="Top of Hierarchy &gt; Middle East / Africa &gt; Vantage_South Africa"/>
    <x v="2"/>
    <x v="1"/>
    <d v="2021-01-01T00:00:00"/>
    <d v="2021-12-31T00:00:00"/>
    <x v="0"/>
    <d v="2021-01-01T00:00:00"/>
    <d v="2021-12-31T00:00:00"/>
    <s v="Electricity (non-renewable)"/>
    <n v="43695.567999999999"/>
    <s v="Kilowatt hours"/>
    <x v="1"/>
    <m/>
    <s v="2023-02-27, 16:27"/>
    <s v="2023-08-03, 20:20"/>
    <n v="2021"/>
    <s v="electricity"/>
    <s v="Electricity"/>
    <s v="model"/>
    <b v="0"/>
    <s v="ELECTRICITY; SOUTH AFRICA"/>
    <x v="0"/>
    <x v="0"/>
    <s v="Africa"/>
    <s v="Sub-Saharan Africa"/>
    <s v="ZA"/>
    <m/>
    <n v="1"/>
    <s v="CH4"/>
    <n v="13.108670399999999"/>
    <s v="RESTRICTED"/>
    <s v="KWH"/>
    <n v="1"/>
    <n v="43695.567999999999"/>
    <s v="AR4"/>
    <s v="IEA"/>
    <s v="IEA (2021)"/>
    <n v="2021"/>
    <n v="2019"/>
    <n v="0"/>
    <n v="0"/>
    <x v="6"/>
    <s v="Labratory"/>
  </r>
  <r>
    <n v="4963"/>
    <s v="Top of Hierarchy &gt; Middle East / Africa &gt; Vantage_South Africa"/>
    <x v="2"/>
    <x v="1"/>
    <d v="2021-01-01T00:00:00"/>
    <d v="2021-12-31T00:00:00"/>
    <x v="0"/>
    <d v="2021-01-01T00:00:00"/>
    <d v="2021-12-31T00:00:00"/>
    <s v="Electricity (non-renewable)"/>
    <n v="43695.567999999999"/>
    <s v="Kilowatt hours"/>
    <x v="1"/>
    <m/>
    <s v="2023-02-27, 16:27"/>
    <s v="2023-08-03, 20:20"/>
    <n v="2021"/>
    <s v="electricity"/>
    <s v="Electricity"/>
    <s v="model"/>
    <b v="0"/>
    <s v="ELECTRICITY; SOUTH AFRICA"/>
    <x v="0"/>
    <x v="0"/>
    <s v="Africa"/>
    <s v="Sub-Saharan Africa"/>
    <s v="ZA"/>
    <m/>
    <n v="1"/>
    <s v="CO2"/>
    <n v="40719.899819999999"/>
    <s v="RESTRICTED"/>
    <s v="KWH"/>
    <n v="1"/>
    <n v="43695.567999999999"/>
    <s v="AR4"/>
    <s v="IEA"/>
    <s v="IEA (2021)"/>
    <n v="2021"/>
    <n v="2019"/>
    <n v="0"/>
    <n v="0"/>
    <x v="6"/>
    <s v="Labratory"/>
  </r>
  <r>
    <n v="4963"/>
    <s v="Top of Hierarchy &gt; Middle East / Africa &gt; Vantage_South Africa"/>
    <x v="2"/>
    <x v="1"/>
    <d v="2021-01-01T00:00:00"/>
    <d v="2021-12-31T00:00:00"/>
    <x v="0"/>
    <d v="2021-01-01T00:00:00"/>
    <d v="2021-12-31T00:00:00"/>
    <s v="Electricity (non-renewable)"/>
    <n v="43695.567999999999"/>
    <s v="Kilowatt hours"/>
    <x v="1"/>
    <m/>
    <s v="2023-02-27, 16:27"/>
    <s v="2023-08-03, 20:20"/>
    <n v="2021"/>
    <s v="electricity"/>
    <s v="Electricity"/>
    <s v="model"/>
    <b v="0"/>
    <s v="ELECTRICITY; SOUTH AFRICA"/>
    <x v="0"/>
    <x v="0"/>
    <s v="Africa"/>
    <s v="Sub-Saharan Africa"/>
    <s v="ZA"/>
    <m/>
    <n v="1"/>
    <s v="CO2E"/>
    <n v="40925.268989999997"/>
    <s v="RESTRICTED"/>
    <s v="KWH"/>
    <n v="1"/>
    <n v="43695.567999999999"/>
    <s v="AR4"/>
    <s v="IEA"/>
    <s v="IEA (2021)"/>
    <n v="2021"/>
    <n v="2019"/>
    <n v="0"/>
    <n v="40.925268989999999"/>
    <x v="6"/>
    <s v="Labratory"/>
  </r>
  <r>
    <n v="4963"/>
    <s v="Top of Hierarchy &gt; Middle East / Africa &gt; Vantage_South Africa"/>
    <x v="2"/>
    <x v="1"/>
    <d v="2021-01-01T00:00:00"/>
    <d v="2021-12-31T00:00:00"/>
    <x v="0"/>
    <d v="2021-01-01T00:00:00"/>
    <d v="2021-12-31T00:00:00"/>
    <s v="Electricity (non-renewable)"/>
    <n v="43695.567999999999"/>
    <s v="Kilowatt hours"/>
    <x v="1"/>
    <m/>
    <s v="2023-02-27, 16:27"/>
    <s v="2023-08-03, 20:20"/>
    <n v="2021"/>
    <s v="electricity"/>
    <s v="Electricity"/>
    <s v="model"/>
    <b v="0"/>
    <s v="ELECTRICITY; SOUTH AFRICA"/>
    <x v="0"/>
    <x v="0"/>
    <s v="Africa"/>
    <s v="Sub-Saharan Africa"/>
    <s v="ZA"/>
    <m/>
    <n v="1"/>
    <s v="N2O"/>
    <n v="192.2604992"/>
    <s v="RESTRICTED"/>
    <s v="KWH"/>
    <n v="1"/>
    <n v="43695.567999999999"/>
    <s v="AR4"/>
    <s v="IEA"/>
    <s v="IEA (2021)"/>
    <n v="2021"/>
    <n v="2019"/>
    <n v="0"/>
    <n v="0"/>
    <x v="6"/>
    <s v="Labratory"/>
  </r>
  <r>
    <n v="4963"/>
    <s v="Top of Hierarchy &gt; Middle East / Africa &gt; Vantage_South Africa"/>
    <x v="2"/>
    <x v="1"/>
    <d v="2021-01-01T00:00:00"/>
    <d v="2021-12-31T00:00:00"/>
    <x v="0"/>
    <d v="2021-01-01T00:00:00"/>
    <d v="2021-12-31T00:00:00"/>
    <s v="Electricity (non-renewable)"/>
    <n v="43695.567999999999"/>
    <s v="Kilowatt hours"/>
    <x v="1"/>
    <m/>
    <s v="2023-02-27, 16:27"/>
    <s v="2023-08-03, 20:20"/>
    <n v="2021"/>
    <s v="electricity__t+d__wtt"/>
    <s v="Electricity T&amp;D WTT"/>
    <s v="t+d_wtt"/>
    <b v="0"/>
    <s v="WTT- UK &amp; OVERSEAS ELEC; WTT- OVERSEAS ELECTRICITY (T&amp;D); ELECTRICITY: SOUTH AFRICA"/>
    <x v="1"/>
    <x v="1"/>
    <s v="Africa"/>
    <s v="Sub-Saharan Africa"/>
    <s v="ZA"/>
    <m/>
    <n v="0"/>
    <s v="CO2E"/>
    <n v="861.53206039999998"/>
    <n v="1.9716692000000001E-2"/>
    <s v="KWH"/>
    <n v="1"/>
    <n v="43695.567999999999"/>
    <s v="AR4"/>
    <s v="Defra"/>
    <s v="Defra (2021)"/>
    <n v="2021"/>
    <n v="2019"/>
    <n v="0.86153206039999997"/>
    <n v="0"/>
    <x v="6"/>
    <s v="Labratory"/>
  </r>
  <r>
    <n v="4963"/>
    <s v="Top of Hierarchy &gt; Middle East / Africa &gt; Vantage_South Africa"/>
    <x v="2"/>
    <x v="1"/>
    <d v="2021-01-01T00:00:00"/>
    <d v="2021-12-31T00:00:00"/>
    <x v="0"/>
    <d v="2021-01-01T00:00:00"/>
    <d v="2021-12-31T00:00:00"/>
    <s v="Electricity (non-renewable)"/>
    <n v="43695.567999999999"/>
    <s v="Kilowatt hours"/>
    <x v="1"/>
    <m/>
    <s v="2023-02-27, 16:27"/>
    <s v="2023-08-03, 20:20"/>
    <n v="2021"/>
    <s v="electricity__t+d__wtt"/>
    <s v="Electricity T&amp;D WTT"/>
    <s v="t+d_wtt"/>
    <b v="0"/>
    <s v="WTT- UK &amp; OVERSEAS ELEC; WTT- OVERSEAS ELECTRICITY (T&amp;D); ELECTRICITY: SOUTH AFRICA"/>
    <x v="1"/>
    <x v="1"/>
    <s v="Africa"/>
    <s v="Sub-Saharan Africa"/>
    <s v="ZA"/>
    <m/>
    <n v="1"/>
    <s v="CO2E"/>
    <n v="861.53206039999998"/>
    <n v="1.9716692000000001E-2"/>
    <s v="KWH"/>
    <n v="1"/>
    <n v="43695.567999999999"/>
    <s v="AR4"/>
    <s v="Defra"/>
    <s v="Defra (2021)"/>
    <n v="2021"/>
    <n v="2019"/>
    <n v="0"/>
    <n v="0.86153206039999997"/>
    <x v="6"/>
    <s v="Labratory"/>
  </r>
  <r>
    <n v="4963"/>
    <s v="Top of Hierarchy &gt; Middle East / Africa &gt; Vantage_South Africa"/>
    <x v="2"/>
    <x v="1"/>
    <d v="2021-01-01T00:00:00"/>
    <d v="2021-12-31T00:00:00"/>
    <x v="0"/>
    <d v="2021-01-01T00:00:00"/>
    <d v="2021-12-31T00:00:00"/>
    <s v="Electricity (non-renewable)"/>
    <n v="43695.567999999999"/>
    <s v="Kilowatt hours"/>
    <x v="1"/>
    <m/>
    <s v="2023-02-27, 16:27"/>
    <s v="2023-08-03, 20:20"/>
    <n v="2021"/>
    <s v="electricity__wtt"/>
    <s v="Electricity WTT"/>
    <s v="wtt"/>
    <b v="0"/>
    <s v="WTT- UK &amp; OVERSEAS ELEC; WTT- OVERSEAS ELECTRICITY (GENERATION); ELECTRICITY: SOUTH AFRICA"/>
    <x v="1"/>
    <x v="1"/>
    <s v="Africa"/>
    <s v="Sub-Saharan Africa"/>
    <s v="ZA"/>
    <m/>
    <n v="0"/>
    <s v="CO2E"/>
    <n v="7783.688666"/>
    <n v="0.17813451199999999"/>
    <s v="KWH"/>
    <n v="1"/>
    <n v="43695.567999999999"/>
    <s v="AR4"/>
    <s v="Defra"/>
    <s v="Defra (2021)"/>
    <n v="2021"/>
    <n v="2019"/>
    <n v="7.7836886659999998"/>
    <n v="0"/>
    <x v="6"/>
    <s v="Labratory"/>
  </r>
  <r>
    <n v="4963"/>
    <s v="Top of Hierarchy &gt; Middle East / Africa &gt; Vantage_South Africa"/>
    <x v="2"/>
    <x v="1"/>
    <d v="2021-01-01T00:00:00"/>
    <d v="2021-12-31T00:00:00"/>
    <x v="0"/>
    <d v="2021-01-01T00:00:00"/>
    <d v="2021-12-31T00:00:00"/>
    <s v="Electricity (non-renewable)"/>
    <n v="43695.567999999999"/>
    <s v="Kilowatt hours"/>
    <x v="1"/>
    <m/>
    <s v="2023-02-27, 16:27"/>
    <s v="2023-08-03, 20:20"/>
    <n v="2021"/>
    <s v="electricity__wtt"/>
    <s v="Electricity WTT"/>
    <s v="wtt"/>
    <b v="0"/>
    <s v="WTT- UK &amp; OVERSEAS ELEC; WTT- OVERSEAS ELECTRICITY (GENERATION); ELECTRICITY: SOUTH AFRICA"/>
    <x v="1"/>
    <x v="1"/>
    <s v="Africa"/>
    <s v="Sub-Saharan Africa"/>
    <s v="ZA"/>
    <m/>
    <n v="1"/>
    <s v="CO2E"/>
    <n v="7783.688666"/>
    <n v="0.17813451199999999"/>
    <s v="KWH"/>
    <n v="1"/>
    <n v="43695.567999999999"/>
    <s v="AR4"/>
    <s v="Defra"/>
    <s v="Defra (2021)"/>
    <n v="2021"/>
    <n v="2019"/>
    <n v="0"/>
    <n v="7.7836886659999998"/>
    <x v="6"/>
    <s v="Labratory"/>
  </r>
  <r>
    <n v="4963"/>
    <s v="Top of Hierarchy &gt; Middle East / Africa &gt; Vantage_South Africa"/>
    <x v="2"/>
    <x v="1"/>
    <d v="2021-01-01T00:00:00"/>
    <d v="2021-12-31T00:00:00"/>
    <x v="0"/>
    <d v="2021-01-01T00:00:00"/>
    <d v="2021-12-31T00:00:00"/>
    <s v="Electricity (non-renewable)"/>
    <n v="43695.567999999999"/>
    <s v="Kilowatt hours"/>
    <x v="1"/>
    <m/>
    <s v="2023-02-27, 16:27"/>
    <s v="2023-08-03, 20:20"/>
    <n v="2021"/>
    <s v="electricity__t+d"/>
    <s v="Electricity T&amp;D"/>
    <s v="t+d"/>
    <b v="0"/>
    <s v="ELECTRICITY; TRANSMISSION AND DISTRIBUTION; SOUTH AFRICA"/>
    <x v="1"/>
    <x v="1"/>
    <s v="Africa"/>
    <s v="Sub-Saharan Africa"/>
    <s v="ZA"/>
    <m/>
    <n v="0"/>
    <s v="CO2E"/>
    <n v="3823.3622"/>
    <s v="RESTRICTED"/>
    <s v="KWH"/>
    <n v="1"/>
    <n v="43695.567999999999"/>
    <s v="AR4"/>
    <s v="IEA"/>
    <s v="IEA (2021)"/>
    <n v="2021"/>
    <n v="2019"/>
    <n v="3.8233622"/>
    <n v="0"/>
    <x v="6"/>
    <s v="Labratory"/>
  </r>
  <r>
    <n v="4963"/>
    <s v="Top of Hierarchy &gt; Middle East / Africa &gt; Vantage_South Africa"/>
    <x v="2"/>
    <x v="1"/>
    <d v="2021-01-01T00:00:00"/>
    <d v="2021-12-31T00:00:00"/>
    <x v="0"/>
    <d v="2021-01-01T00:00:00"/>
    <d v="2021-12-31T00:00:00"/>
    <s v="Electricity (non-renewable)"/>
    <n v="43695.567999999999"/>
    <s v="Kilowatt hours"/>
    <x v="1"/>
    <m/>
    <s v="2023-02-27, 16:27"/>
    <s v="2023-08-03, 20:20"/>
    <n v="2021"/>
    <s v="electricity__t+d"/>
    <s v="Electricity T&amp;D"/>
    <s v="t+d"/>
    <b v="0"/>
    <s v="ELECTRICITY; TRANSMISSION AND DISTRIBUTION; SOUTH AFRICA"/>
    <x v="1"/>
    <x v="1"/>
    <s v="Africa"/>
    <s v="Sub-Saharan Africa"/>
    <s v="ZA"/>
    <m/>
    <n v="1"/>
    <s v="CO2E"/>
    <n v="3823.3622"/>
    <s v="RESTRICTED"/>
    <s v="KWH"/>
    <n v="1"/>
    <n v="43695.567999999999"/>
    <s v="AR4"/>
    <s v="IEA"/>
    <s v="IEA (2021)"/>
    <n v="2021"/>
    <n v="2019"/>
    <n v="0"/>
    <n v="3.8233622"/>
    <x v="6"/>
    <s v="Labratory"/>
  </r>
  <r>
    <n v="5048"/>
    <s v="Top of Hierarchy &gt; Middle East / Africa &gt; Vantage_South Africa"/>
    <x v="2"/>
    <x v="1"/>
    <d v="2021-01-01T00:00:00"/>
    <d v="2021-12-31T00:00:00"/>
    <x v="4"/>
    <d v="2021-01-01T00:00:00"/>
    <d v="2021-12-31T00:00:00"/>
    <s v="HFC-134a"/>
    <n v="4.8781999999999996"/>
    <s v="kilograms"/>
    <x v="0"/>
    <m/>
    <s v="2023-02-27, 16:28"/>
    <s v="2023-07-20, 00:40"/>
    <n v="2021"/>
    <s v="hfc-134a"/>
    <s v="HFC-134A"/>
    <s v="model"/>
    <b v="0"/>
    <s v="REFRIGERANT: R-134A"/>
    <x v="2"/>
    <x v="0"/>
    <m/>
    <m/>
    <m/>
    <m/>
    <n v="0"/>
    <s v="CO2E"/>
    <n v="6975.826"/>
    <n v="1430"/>
    <s v="KG"/>
    <n v="1"/>
    <n v="4.8781999999999996"/>
    <s v="AR4"/>
    <s v="IPCC"/>
    <s v="IPCC (2021)"/>
    <n v="2021"/>
    <n v="2007"/>
    <n v="6.9758259999999996"/>
    <n v="0"/>
    <x v="6"/>
    <s v="Labratory"/>
  </r>
  <r>
    <n v="5048"/>
    <s v="Top of Hierarchy &gt; Middle East / Africa &gt; Vantage_South Africa"/>
    <x v="2"/>
    <x v="1"/>
    <d v="2021-01-01T00:00:00"/>
    <d v="2021-12-31T00:00:00"/>
    <x v="4"/>
    <d v="2021-01-01T00:00:00"/>
    <d v="2021-12-31T00:00:00"/>
    <s v="HFC-134a"/>
    <n v="4.8781999999999996"/>
    <s v="kilograms"/>
    <x v="0"/>
    <m/>
    <s v="2023-02-27, 16:28"/>
    <s v="2023-07-20, 00:40"/>
    <n v="2021"/>
    <s v="hfc-134a"/>
    <s v="HFC-134A"/>
    <s v="model"/>
    <b v="0"/>
    <s v="REFRIGERANT: R-134A"/>
    <x v="2"/>
    <x v="0"/>
    <m/>
    <m/>
    <m/>
    <m/>
    <n v="1"/>
    <s v="CO2E"/>
    <n v="6975.826"/>
    <n v="1430"/>
    <s v="KG"/>
    <n v="1"/>
    <n v="4.8781999999999996"/>
    <s v="AR4"/>
    <s v="IPCC"/>
    <s v="IPCC (2021)"/>
    <n v="2021"/>
    <n v="2007"/>
    <n v="0"/>
    <n v="6.9758259999999996"/>
    <x v="6"/>
    <s v="Labratory"/>
  </r>
  <r>
    <n v="1230929"/>
    <s v="Top of Hierarchy &gt; Middle East / Africa &gt; Vantage_South Africa"/>
    <x v="2"/>
    <x v="1"/>
    <d v="2021-01-01T00:00:00"/>
    <d v="2021-12-31T00:00:00"/>
    <x v="2"/>
    <d v="2021-01-01T00:00:00"/>
    <d v="2021-12-31T00:00:00"/>
    <s v="LPG"/>
    <n v="228"/>
    <s v="kilograms"/>
    <x v="1"/>
    <m/>
    <s v="2023-07-18, 19:37"/>
    <s v="2023-07-20, 00:40"/>
    <n v="2021"/>
    <s v="lpg"/>
    <s v="LPG"/>
    <s v="model"/>
    <b v="0"/>
    <s v="FUELS; GASEOUS FUELS; LPG"/>
    <x v="2"/>
    <x v="0"/>
    <m/>
    <m/>
    <m/>
    <m/>
    <n v="0"/>
    <s v="CH4"/>
    <n v="0.51983999999999997"/>
    <n v="2.2799999999999998"/>
    <s v="TONNES"/>
    <n v="1E-3"/>
    <n v="0.22800000000000001"/>
    <s v="AR4"/>
    <s v="Defra"/>
    <s v="Defra (2021)"/>
    <n v="2021"/>
    <n v="2019"/>
    <n v="0"/>
    <n v="0"/>
    <x v="6"/>
    <s v="Labratory"/>
  </r>
  <r>
    <n v="1230929"/>
    <s v="Top of Hierarchy &gt; Middle East / Africa &gt; Vantage_South Africa"/>
    <x v="2"/>
    <x v="1"/>
    <d v="2021-01-01T00:00:00"/>
    <d v="2021-12-31T00:00:00"/>
    <x v="2"/>
    <d v="2021-01-01T00:00:00"/>
    <d v="2021-12-31T00:00:00"/>
    <s v="LPG"/>
    <n v="228"/>
    <s v="kilograms"/>
    <x v="1"/>
    <m/>
    <s v="2023-07-18, 19:37"/>
    <s v="2023-07-20, 00:40"/>
    <n v="2021"/>
    <s v="lpg"/>
    <s v="LPG"/>
    <s v="model"/>
    <b v="0"/>
    <s v="FUELS; GASEOUS FUELS; LPG"/>
    <x v="2"/>
    <x v="0"/>
    <m/>
    <m/>
    <m/>
    <m/>
    <n v="0"/>
    <s v="CO2"/>
    <n v="669.22104000000002"/>
    <n v="2935.18"/>
    <s v="TONNES"/>
    <n v="1E-3"/>
    <n v="0.22800000000000001"/>
    <s v="AR4"/>
    <s v="Defra"/>
    <s v="Defra (2021)"/>
    <n v="2021"/>
    <n v="2019"/>
    <n v="0"/>
    <n v="0"/>
    <x v="6"/>
    <s v="Labratory"/>
  </r>
  <r>
    <n v="1230929"/>
    <s v="Top of Hierarchy &gt; Middle East / Africa &gt; Vantage_South Africa"/>
    <x v="2"/>
    <x v="1"/>
    <d v="2021-01-01T00:00:00"/>
    <d v="2021-12-31T00:00:00"/>
    <x v="2"/>
    <d v="2021-01-01T00:00:00"/>
    <d v="2021-12-31T00:00:00"/>
    <s v="LPG"/>
    <n v="228"/>
    <s v="kilograms"/>
    <x v="1"/>
    <m/>
    <s v="2023-07-18, 19:37"/>
    <s v="2023-07-20, 00:40"/>
    <n v="2021"/>
    <s v="lpg"/>
    <s v="LPG"/>
    <s v="model"/>
    <b v="0"/>
    <s v="FUELS; GASEOUS FUELS; LPG"/>
    <x v="2"/>
    <x v="0"/>
    <m/>
    <m/>
    <m/>
    <m/>
    <n v="0"/>
    <s v="CO2E"/>
    <n v="670.15812000000005"/>
    <n v="2939.29"/>
    <s v="TONNES"/>
    <n v="1E-3"/>
    <n v="0.22800000000000001"/>
    <s v="AR4"/>
    <s v="Defra"/>
    <s v="Defra (2021)"/>
    <n v="2021"/>
    <n v="2019"/>
    <n v="0.67015812000000008"/>
    <n v="0"/>
    <x v="6"/>
    <s v="Labratory"/>
  </r>
  <r>
    <n v="1230929"/>
    <s v="Top of Hierarchy &gt; Middle East / Africa &gt; Vantage_South Africa"/>
    <x v="2"/>
    <x v="1"/>
    <d v="2021-01-01T00:00:00"/>
    <d v="2021-12-31T00:00:00"/>
    <x v="2"/>
    <d v="2021-01-01T00:00:00"/>
    <d v="2021-12-31T00:00:00"/>
    <s v="LPG"/>
    <n v="228"/>
    <s v="kilograms"/>
    <x v="1"/>
    <m/>
    <s v="2023-07-18, 19:37"/>
    <s v="2023-07-20, 00:40"/>
    <n v="2021"/>
    <s v="lpg"/>
    <s v="LPG"/>
    <s v="model"/>
    <b v="0"/>
    <s v="FUELS; GASEOUS FUELS; LPG"/>
    <x v="2"/>
    <x v="0"/>
    <m/>
    <m/>
    <m/>
    <m/>
    <n v="0"/>
    <s v="N2O"/>
    <n v="0.41724"/>
    <n v="1.83"/>
    <s v="TONNES"/>
    <n v="1E-3"/>
    <n v="0.22800000000000001"/>
    <s v="AR4"/>
    <s v="Defra"/>
    <s v="Defra (2021)"/>
    <n v="2021"/>
    <n v="2019"/>
    <n v="0"/>
    <n v="0"/>
    <x v="6"/>
    <s v="Labratory"/>
  </r>
  <r>
    <n v="1230929"/>
    <s v="Top of Hierarchy &gt; Middle East / Africa &gt; Vantage_South Africa"/>
    <x v="2"/>
    <x v="1"/>
    <d v="2021-01-01T00:00:00"/>
    <d v="2021-12-31T00:00:00"/>
    <x v="2"/>
    <d v="2021-01-01T00:00:00"/>
    <d v="2021-12-31T00:00:00"/>
    <s v="LPG"/>
    <n v="228"/>
    <s v="kilograms"/>
    <x v="1"/>
    <m/>
    <s v="2023-07-18, 19:37"/>
    <s v="2023-07-20, 00:40"/>
    <n v="2021"/>
    <s v="lpg"/>
    <s v="LPG"/>
    <s v="model"/>
    <b v="0"/>
    <s v="FUELS; GASEOUS FUELS; LPG"/>
    <x v="2"/>
    <x v="0"/>
    <m/>
    <m/>
    <m/>
    <m/>
    <n v="1"/>
    <s v="CH4"/>
    <n v="0.51983999999999997"/>
    <n v="2.2799999999999998"/>
    <s v="TONNES"/>
    <n v="1E-3"/>
    <n v="0.22800000000000001"/>
    <s v="AR4"/>
    <s v="Defra"/>
    <s v="Defra (2021)"/>
    <n v="2021"/>
    <n v="2019"/>
    <n v="0"/>
    <n v="0"/>
    <x v="6"/>
    <s v="Labratory"/>
  </r>
  <r>
    <n v="1230929"/>
    <s v="Top of Hierarchy &gt; Middle East / Africa &gt; Vantage_South Africa"/>
    <x v="2"/>
    <x v="1"/>
    <d v="2021-01-01T00:00:00"/>
    <d v="2021-12-31T00:00:00"/>
    <x v="2"/>
    <d v="2021-01-01T00:00:00"/>
    <d v="2021-12-31T00:00:00"/>
    <s v="LPG"/>
    <n v="228"/>
    <s v="kilograms"/>
    <x v="1"/>
    <m/>
    <s v="2023-07-18, 19:37"/>
    <s v="2023-07-20, 00:40"/>
    <n v="2021"/>
    <s v="lpg"/>
    <s v="LPG"/>
    <s v="model"/>
    <b v="0"/>
    <s v="FUELS; GASEOUS FUELS; LPG"/>
    <x v="2"/>
    <x v="0"/>
    <m/>
    <m/>
    <m/>
    <m/>
    <n v="1"/>
    <s v="CO2"/>
    <n v="669.22104000000002"/>
    <n v="2935.18"/>
    <s v="TONNES"/>
    <n v="1E-3"/>
    <n v="0.22800000000000001"/>
    <s v="AR4"/>
    <s v="Defra"/>
    <s v="Defra (2021)"/>
    <n v="2021"/>
    <n v="2019"/>
    <n v="0"/>
    <n v="0"/>
    <x v="6"/>
    <s v="Labratory"/>
  </r>
  <r>
    <n v="1230929"/>
    <s v="Top of Hierarchy &gt; Middle East / Africa &gt; Vantage_South Africa"/>
    <x v="2"/>
    <x v="1"/>
    <d v="2021-01-01T00:00:00"/>
    <d v="2021-12-31T00:00:00"/>
    <x v="2"/>
    <d v="2021-01-01T00:00:00"/>
    <d v="2021-12-31T00:00:00"/>
    <s v="LPG"/>
    <n v="228"/>
    <s v="kilograms"/>
    <x v="1"/>
    <m/>
    <s v="2023-07-18, 19:37"/>
    <s v="2023-07-20, 00:40"/>
    <n v="2021"/>
    <s v="lpg"/>
    <s v="LPG"/>
    <s v="model"/>
    <b v="0"/>
    <s v="FUELS; GASEOUS FUELS; LPG"/>
    <x v="2"/>
    <x v="0"/>
    <m/>
    <m/>
    <m/>
    <m/>
    <n v="1"/>
    <s v="CO2E"/>
    <n v="670.15812000000005"/>
    <n v="2939.29"/>
    <s v="TONNES"/>
    <n v="1E-3"/>
    <n v="0.22800000000000001"/>
    <s v="AR4"/>
    <s v="Defra"/>
    <s v="Defra (2021)"/>
    <n v="2021"/>
    <n v="2019"/>
    <n v="0"/>
    <n v="0.67015812000000008"/>
    <x v="6"/>
    <s v="Labratory"/>
  </r>
  <r>
    <n v="1230929"/>
    <s v="Top of Hierarchy &gt; Middle East / Africa &gt; Vantage_South Africa"/>
    <x v="2"/>
    <x v="1"/>
    <d v="2021-01-01T00:00:00"/>
    <d v="2021-12-31T00:00:00"/>
    <x v="2"/>
    <d v="2021-01-01T00:00:00"/>
    <d v="2021-12-31T00:00:00"/>
    <s v="LPG"/>
    <n v="228"/>
    <s v="kilograms"/>
    <x v="1"/>
    <m/>
    <s v="2023-07-18, 19:37"/>
    <s v="2023-07-20, 00:40"/>
    <n v="2021"/>
    <s v="lpg"/>
    <s v="LPG"/>
    <s v="model"/>
    <b v="0"/>
    <s v="FUELS; GASEOUS FUELS; LPG"/>
    <x v="2"/>
    <x v="0"/>
    <m/>
    <m/>
    <m/>
    <m/>
    <n v="1"/>
    <s v="N2O"/>
    <n v="0.41724"/>
    <n v="1.83"/>
    <s v="TONNES"/>
    <n v="1E-3"/>
    <n v="0.22800000000000001"/>
    <s v="AR4"/>
    <s v="Defra"/>
    <s v="Defra (2021)"/>
    <n v="2021"/>
    <n v="2019"/>
    <n v="0"/>
    <n v="0"/>
    <x v="6"/>
    <s v="Labratory"/>
  </r>
  <r>
    <n v="1230929"/>
    <s v="Top of Hierarchy &gt; Middle East / Africa &gt; Vantage_South Africa"/>
    <x v="2"/>
    <x v="1"/>
    <d v="2021-01-01T00:00:00"/>
    <d v="2021-12-31T00:00:00"/>
    <x v="2"/>
    <d v="2021-01-01T00:00:00"/>
    <d v="2021-12-31T00:00:00"/>
    <s v="LPG"/>
    <n v="228"/>
    <s v="kilograms"/>
    <x v="1"/>
    <m/>
    <s v="2023-07-18, 19:37"/>
    <s v="2023-07-20, 00:40"/>
    <n v="2021"/>
    <s v="lpg__wtt"/>
    <s v="LPG WTT"/>
    <s v="wtt"/>
    <b v="0"/>
    <s v="WTT- FUELS; WTT- GASEOUS FUELS; LPG"/>
    <x v="1"/>
    <x v="1"/>
    <m/>
    <m/>
    <m/>
    <m/>
    <n v="0"/>
    <s v="CO2E"/>
    <n v="79.118120399999995"/>
    <n v="347.0093"/>
    <s v="TONNES"/>
    <n v="1E-3"/>
    <n v="0.22800000000000001"/>
    <s v="AR4"/>
    <s v="Defra"/>
    <s v="Defra (2021)"/>
    <n v="2021"/>
    <n v="2019"/>
    <n v="7.9118120399999992E-2"/>
    <n v="0"/>
    <x v="6"/>
    <s v="Labratory"/>
  </r>
  <r>
    <n v="1230929"/>
    <s v="Top of Hierarchy &gt; Middle East / Africa &gt; Vantage_South Africa"/>
    <x v="2"/>
    <x v="1"/>
    <d v="2021-01-01T00:00:00"/>
    <d v="2021-12-31T00:00:00"/>
    <x v="2"/>
    <d v="2021-01-01T00:00:00"/>
    <d v="2021-12-31T00:00:00"/>
    <s v="LPG"/>
    <n v="228"/>
    <s v="kilograms"/>
    <x v="1"/>
    <m/>
    <s v="2023-07-18, 19:37"/>
    <s v="2023-07-20, 00:40"/>
    <n v="2021"/>
    <s v="lpg__wtt"/>
    <s v="LPG WTT"/>
    <s v="wtt"/>
    <b v="0"/>
    <s v="WTT- FUELS; WTT- GASEOUS FUELS; LPG"/>
    <x v="1"/>
    <x v="1"/>
    <m/>
    <m/>
    <m/>
    <m/>
    <n v="1"/>
    <s v="CO2E"/>
    <n v="79.118120399999995"/>
    <n v="347.0093"/>
    <s v="TONNES"/>
    <n v="1E-3"/>
    <n v="0.22800000000000001"/>
    <s v="AR4"/>
    <s v="Defra"/>
    <s v="Defra (2021)"/>
    <n v="2021"/>
    <n v="2019"/>
    <n v="0"/>
    <n v="7.9118120399999992E-2"/>
    <x v="6"/>
    <s v="Labratory"/>
  </r>
  <r>
    <n v="20144"/>
    <s v="Top of Hierarchy &gt; North America &gt; Vantage_Carnegie"/>
    <x v="0"/>
    <x v="0"/>
    <d v="2022-01-01T00:00:00"/>
    <d v="2022-12-31T00:00:00"/>
    <x v="0"/>
    <d v="2022-01-01T00:00:00"/>
    <d v="2022-12-31T00:00:00"/>
    <s v="Electricity (non-renewable)"/>
    <n v="51796"/>
    <s v="Kilowatt hours"/>
    <x v="1"/>
    <m/>
    <s v="2023-03-21, 20:57"/>
    <s v="2023-07-20, 00:40"/>
    <n v="2022"/>
    <s v="electricity"/>
    <s v="Electricity"/>
    <s v="model"/>
    <b v="0"/>
    <s v="ELECTRICITY; UNITED STATES - RFCW"/>
    <x v="0"/>
    <x v="0"/>
    <s v="Americas"/>
    <s v="Northern America"/>
    <s v="US"/>
    <s v="RFCW"/>
    <n v="0"/>
    <s v="CH4"/>
    <n v="50.512681350000001"/>
    <n v="9.7522400000000001E-4"/>
    <s v="KWH"/>
    <n v="1"/>
    <n v="51796"/>
    <s v="AR4"/>
    <s v="USEPA"/>
    <s v="USEPA (2022)"/>
    <n v="2022"/>
    <n v="2020"/>
    <n v="0"/>
    <n v="0"/>
    <x v="7"/>
    <s v="Office"/>
  </r>
  <r>
    <n v="20144"/>
    <s v="Top of Hierarchy &gt; North America &gt; Vantage_Carnegie"/>
    <x v="0"/>
    <x v="0"/>
    <d v="2022-01-01T00:00:00"/>
    <d v="2022-12-31T00:00:00"/>
    <x v="0"/>
    <d v="2022-01-01T00:00:00"/>
    <d v="2022-12-31T00:00:00"/>
    <s v="Electricity (non-renewable)"/>
    <n v="51796"/>
    <s v="Kilowatt hours"/>
    <x v="1"/>
    <m/>
    <s v="2023-03-21, 20:57"/>
    <s v="2023-07-20, 00:40"/>
    <n v="2022"/>
    <s v="electricity"/>
    <s v="Electricity"/>
    <s v="model"/>
    <b v="0"/>
    <s v="ELECTRICITY; UNITED STATES - RFCW"/>
    <x v="0"/>
    <x v="0"/>
    <s v="Americas"/>
    <s v="Northern America"/>
    <s v="US"/>
    <s v="RFCW"/>
    <n v="0"/>
    <s v="CO2"/>
    <n v="23141.31597"/>
    <n v="0.44677805199999998"/>
    <s v="KWH"/>
    <n v="1"/>
    <n v="51796"/>
    <s v="AR4"/>
    <s v="USEPA"/>
    <s v="USEPA (2022)"/>
    <n v="2022"/>
    <n v="2020"/>
    <n v="0"/>
    <n v="0"/>
    <x v="7"/>
    <s v="Office"/>
  </r>
  <r>
    <n v="20144"/>
    <s v="Top of Hierarchy &gt; North America &gt; Vantage_Carnegie"/>
    <x v="0"/>
    <x v="0"/>
    <d v="2022-01-01T00:00:00"/>
    <d v="2022-12-31T00:00:00"/>
    <x v="0"/>
    <d v="2022-01-01T00:00:00"/>
    <d v="2022-12-31T00:00:00"/>
    <s v="Electricity (non-renewable)"/>
    <n v="51796"/>
    <s v="Kilowatt hours"/>
    <x v="1"/>
    <m/>
    <s v="2023-03-21, 20:57"/>
    <s v="2023-07-20, 00:40"/>
    <n v="2022"/>
    <s v="electricity"/>
    <s v="Electricity"/>
    <s v="model"/>
    <b v="0"/>
    <s v="ELECTRICITY; UNITED STATES - RFCW"/>
    <x v="0"/>
    <x v="0"/>
    <s v="Americas"/>
    <s v="Northern America"/>
    <s v="US"/>
    <s v="RFCW"/>
    <n v="0"/>
    <s v="CO2E"/>
    <n v="23275.844160000001"/>
    <n v="0.44937532200000002"/>
    <s v="KWH"/>
    <n v="1"/>
    <n v="51796"/>
    <s v="AR4"/>
    <s v="USEPA"/>
    <s v="USEPA (2022)"/>
    <n v="2022"/>
    <n v="2020"/>
    <n v="23.275844160000002"/>
    <n v="0"/>
    <x v="7"/>
    <s v="Office"/>
  </r>
  <r>
    <n v="20144"/>
    <s v="Top of Hierarchy &gt; North America &gt; Vantage_Carnegie"/>
    <x v="0"/>
    <x v="0"/>
    <d v="2022-01-01T00:00:00"/>
    <d v="2022-12-31T00:00:00"/>
    <x v="0"/>
    <d v="2022-01-01T00:00:00"/>
    <d v="2022-12-31T00:00:00"/>
    <s v="Electricity (non-renewable)"/>
    <n v="51796"/>
    <s v="Kilowatt hours"/>
    <x v="1"/>
    <m/>
    <s v="2023-03-21, 20:57"/>
    <s v="2023-07-20, 00:40"/>
    <n v="2022"/>
    <s v="electricity"/>
    <s v="Electricity"/>
    <s v="model"/>
    <b v="0"/>
    <s v="ELECTRICITY; UNITED STATES - RFCW"/>
    <x v="0"/>
    <x v="0"/>
    <s v="Americas"/>
    <s v="Northern America"/>
    <s v="US"/>
    <s v="RFCW"/>
    <n v="0"/>
    <s v="N2O"/>
    <n v="84.015510939999999"/>
    <n v="1.622046E-3"/>
    <s v="KWH"/>
    <n v="1"/>
    <n v="51796"/>
    <s v="AR4"/>
    <s v="USEPA"/>
    <s v="USEPA (2022)"/>
    <n v="2022"/>
    <n v="2020"/>
    <n v="0"/>
    <n v="0"/>
    <x v="7"/>
    <s v="Office"/>
  </r>
  <r>
    <n v="20144"/>
    <s v="Top of Hierarchy &gt; North America &gt; Vantage_Carnegie"/>
    <x v="0"/>
    <x v="0"/>
    <d v="2022-01-01T00:00:00"/>
    <d v="2022-12-31T00:00:00"/>
    <x v="0"/>
    <d v="2022-01-01T00:00:00"/>
    <d v="2022-12-31T00:00:00"/>
    <s v="Electricity (non-renewable)"/>
    <n v="51796"/>
    <s v="Kilowatt hours"/>
    <x v="1"/>
    <m/>
    <s v="2023-03-21, 20:57"/>
    <s v="2023-07-20, 00:40"/>
    <n v="2022"/>
    <s v="electricity"/>
    <s v="Electricity"/>
    <s v="model"/>
    <b v="1"/>
    <s v="ELECTRICITY; UNITED STATES - RFCW"/>
    <x v="0"/>
    <x v="0"/>
    <m/>
    <m/>
    <m/>
    <m/>
    <n v="1"/>
    <s v="CO2E MKT"/>
    <n v="20329.122289999999"/>
    <n v="0.39248440600000001"/>
    <s v="KWH"/>
    <n v="1"/>
    <n v="51796"/>
    <m/>
    <m/>
    <s v="Supplier"/>
    <n v="2022"/>
    <m/>
    <n v="0"/>
    <n v="20.329122290000001"/>
    <x v="7"/>
    <s v="Office"/>
  </r>
  <r>
    <n v="20144"/>
    <s v="Top of Hierarchy &gt; North America &gt; Vantage_Carnegie"/>
    <x v="0"/>
    <x v="0"/>
    <d v="2022-01-01T00:00:00"/>
    <d v="2022-12-31T00:00:00"/>
    <x v="0"/>
    <d v="2022-01-01T00:00:00"/>
    <d v="2022-12-31T00:00:00"/>
    <s v="Electricity (non-renewable)"/>
    <n v="51796"/>
    <s v="Kilowatt hours"/>
    <x v="1"/>
    <m/>
    <s v="2023-03-21, 20:57"/>
    <s v="2023-07-20, 00:40"/>
    <n v="2022"/>
    <s v="electricity__t+d__wtt"/>
    <s v="Electricity T&amp;D WTT"/>
    <s v="t+d_wtt"/>
    <b v="0"/>
    <s v="ELECTRICITY T&amp;D WTT; UNITED STATES - RFCW"/>
    <x v="1"/>
    <x v="1"/>
    <s v="Americas"/>
    <s v="Northern America"/>
    <s v="US"/>
    <s v="RFCW"/>
    <n v="0"/>
    <s v="CO2E"/>
    <n v="364.46834410000002"/>
    <n v="7.0366120000000002E-3"/>
    <s v="KWH"/>
    <n v="1"/>
    <n v="51796"/>
    <s v="AR4"/>
    <s v="Anthesis"/>
    <s v="Anthesis (2022)"/>
    <n v="2022"/>
    <n v="2020"/>
    <n v="0.36446834410000001"/>
    <n v="0"/>
    <x v="7"/>
    <s v="Office"/>
  </r>
  <r>
    <n v="20144"/>
    <s v="Top of Hierarchy &gt; North America &gt; Vantage_Carnegie"/>
    <x v="0"/>
    <x v="0"/>
    <d v="2022-01-01T00:00:00"/>
    <d v="2022-12-31T00:00:00"/>
    <x v="0"/>
    <d v="2022-01-01T00:00:00"/>
    <d v="2022-12-31T00:00:00"/>
    <s v="Electricity (non-renewable)"/>
    <n v="51796"/>
    <s v="Kilowatt hours"/>
    <x v="1"/>
    <m/>
    <s v="2023-03-21, 20:57"/>
    <s v="2023-07-20, 00:40"/>
    <n v="2022"/>
    <s v="electricity__t+d__wtt"/>
    <s v="Electricity T&amp;D WTT"/>
    <s v="t+d_wtt"/>
    <b v="0"/>
    <s v="ELECTRICITY; UNITED STATES - RFCW; T&amp;D WTT Estimated"/>
    <x v="1"/>
    <x v="1"/>
    <s v="Americas"/>
    <s v="Northern America"/>
    <s v="US"/>
    <s v="RFCW"/>
    <n v="1"/>
    <s v="CO2E MKT"/>
    <n v="338.07787189999999"/>
    <n v="6.5271039999999997E-3"/>
    <s v="KWH"/>
    <n v="1"/>
    <n v="51796"/>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  to estimate the T&amp;D WTT factor."/>
    <n v="2022"/>
    <n v="2019"/>
    <n v="0"/>
    <n v="0.33807787189999999"/>
    <x v="7"/>
    <s v="Office"/>
  </r>
  <r>
    <n v="20144"/>
    <s v="Top of Hierarchy &gt; North America &gt; Vantage_Carnegie"/>
    <x v="0"/>
    <x v="0"/>
    <d v="2022-01-01T00:00:00"/>
    <d v="2022-12-31T00:00:00"/>
    <x v="0"/>
    <d v="2022-01-01T00:00:00"/>
    <d v="2022-12-31T00:00:00"/>
    <s v="Electricity (non-renewable)"/>
    <n v="51796"/>
    <s v="Kilowatt hours"/>
    <x v="1"/>
    <m/>
    <s v="2023-03-21, 20:57"/>
    <s v="2023-07-20, 00:40"/>
    <n v="2022"/>
    <s v="electricity__wtt"/>
    <s v="Electricity WTT"/>
    <s v="wtt"/>
    <b v="0"/>
    <s v="ELECTRICITY WTT; UNITED STATES - RFCW"/>
    <x v="1"/>
    <x v="1"/>
    <s v="Americas"/>
    <s v="Northern America"/>
    <s v="US"/>
    <s v="RFCW"/>
    <n v="0"/>
    <s v="CO2E"/>
    <n v="6512.2928650000003"/>
    <n v="0.125729648"/>
    <s v="KWH"/>
    <n v="1"/>
    <n v="51796"/>
    <s v="AR4"/>
    <s v="Anthesis"/>
    <s v="Anthesis (2022)"/>
    <n v="2022"/>
    <n v="2020"/>
    <n v="6.512292865"/>
    <n v="0"/>
    <x v="7"/>
    <s v="Office"/>
  </r>
  <r>
    <n v="20144"/>
    <s v="Top of Hierarchy &gt; North America &gt; Vantage_Carnegie"/>
    <x v="0"/>
    <x v="0"/>
    <d v="2022-01-01T00:00:00"/>
    <d v="2022-12-31T00:00:00"/>
    <x v="0"/>
    <d v="2022-01-01T00:00:00"/>
    <d v="2022-12-31T00:00:00"/>
    <s v="Electricity (non-renewable)"/>
    <n v="51796"/>
    <s v="Kilowatt hours"/>
    <x v="1"/>
    <m/>
    <s v="2023-03-21, 20:57"/>
    <s v="2023-07-20, 00:40"/>
    <n v="2022"/>
    <s v="electricity__wtt"/>
    <s v="Electricity WTT"/>
    <s v="wtt"/>
    <b v="0"/>
    <s v="ELECTRICITY; UNITED STATES - RFCW; WTT Estimated"/>
    <x v="1"/>
    <x v="1"/>
    <s v="Americas"/>
    <s v="Northern America"/>
    <s v="US"/>
    <s v="RFCW"/>
    <n v="1"/>
    <s v="CO2E MKT"/>
    <n v="6628.9778800000004"/>
    <n v="0.12798242900000001"/>
    <s v="KWH"/>
    <n v="1"/>
    <n v="51796"/>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RFCW, Green-eto estimate the WTT factor."/>
    <n v="2022"/>
    <n v="2019"/>
    <n v="0"/>
    <n v="6.6289778800000008"/>
    <x v="7"/>
    <s v="Office"/>
  </r>
  <r>
    <n v="20144"/>
    <s v="Top of Hierarchy &gt; North America &gt; Vantage_Carnegie"/>
    <x v="0"/>
    <x v="0"/>
    <d v="2022-01-01T00:00:00"/>
    <d v="2022-12-31T00:00:00"/>
    <x v="0"/>
    <d v="2022-01-01T00:00:00"/>
    <d v="2022-12-31T00:00:00"/>
    <s v="Electricity (non-renewable)"/>
    <n v="51796"/>
    <s v="Kilowatt hours"/>
    <x v="1"/>
    <m/>
    <s v="2023-03-21, 20:57"/>
    <s v="2023-07-20, 00:40"/>
    <n v="2022"/>
    <s v="electricity__t+d"/>
    <s v="Electricity T&amp;D"/>
    <s v="t+d"/>
    <b v="0"/>
    <s v="ELECTRICITY; TRANSMISSION AND DISTRIBUTION; UNITED STATES - RFCW"/>
    <x v="1"/>
    <x v="1"/>
    <s v="Americas"/>
    <s v="Northern America"/>
    <s v="US"/>
    <s v="RFCW"/>
    <n v="0"/>
    <s v="CO2E"/>
    <n v="1233.619741"/>
    <n v="2.3816891999999999E-2"/>
    <s v="KWH"/>
    <n v="1"/>
    <n v="51796"/>
    <s v="AR4"/>
    <s v="USEPA"/>
    <s v="USEPA (2022)"/>
    <n v="2022"/>
    <n v="2020"/>
    <n v="1.233619741"/>
    <n v="0"/>
    <x v="7"/>
    <s v="Office"/>
  </r>
  <r>
    <n v="20144"/>
    <s v="Top of Hierarchy &gt; North America &gt; Vantage_Carnegie"/>
    <x v="0"/>
    <x v="0"/>
    <d v="2022-01-01T00:00:00"/>
    <d v="2022-12-31T00:00:00"/>
    <x v="0"/>
    <d v="2022-01-01T00:00:00"/>
    <d v="2022-12-31T00:00:00"/>
    <s v="Electricity (non-renewable)"/>
    <n v="51796"/>
    <s v="Kilowatt hours"/>
    <x v="1"/>
    <m/>
    <s v="2023-03-21, 20:57"/>
    <s v="2023-07-20, 00:40"/>
    <n v="2022"/>
    <s v="electricity__t+d"/>
    <s v="Electricity T&amp;D"/>
    <s v="t+d"/>
    <b v="0"/>
    <s v="ELECTRICITY; UNITED STATES - RFCW; T&amp;D Estimated"/>
    <x v="1"/>
    <x v="1"/>
    <s v="Americas"/>
    <s v="Northern America"/>
    <s v="US"/>
    <s v="RFCW"/>
    <n v="1"/>
    <s v="CO2E MKT"/>
    <n v="1279.7697949999999"/>
    <n v="2.4707889E-2"/>
    <s v="KWH"/>
    <n v="1"/>
    <n v="51796"/>
    <s v="AR4"/>
    <s v="Anthesis"/>
    <s v="The median T&amp;D to generation factor ratio of all countries within the region Northern America was taken to be ELECTRICITY; UNITED STATES - SRSO, USEPA to ELECTRICITY; TRANSMISSION AND DISTRIBUTION; UNITED STATES - SRSO, USEPA: 0.051. This was applied to the base factor ELECTRICITY; UNITED STATES - RFCW, Green-eto estimate the T&amp;D factor."/>
    <n v="2022"/>
    <n v="2019"/>
    <n v="0"/>
    <n v="1.279769795"/>
    <x v="7"/>
    <s v="Office"/>
  </r>
  <r>
    <n v="20565"/>
    <s v="Top of Hierarchy &gt; North America &gt; Vantage_Carnegie"/>
    <x v="0"/>
    <x v="0"/>
    <d v="2022-01-01T00:00:00"/>
    <d v="2022-12-31T00:00:00"/>
    <x v="0"/>
    <d v="2022-01-01T00:00:00"/>
    <d v="2022-12-31T00:00:00"/>
    <s v="Electricity (non-renewable)"/>
    <n v="1455979"/>
    <s v="Kilowatt hours"/>
    <x v="1"/>
    <m/>
    <s v="2023-03-21, 21:31"/>
    <s v="2023-07-20, 00:40"/>
    <n v="2022"/>
    <s v="electricity"/>
    <s v="Electricity"/>
    <s v="model"/>
    <b v="0"/>
    <s v="ELECTRICITY; UNITED STATES - RFCW"/>
    <x v="0"/>
    <x v="0"/>
    <s v="Americas"/>
    <s v="Northern America"/>
    <s v="US"/>
    <s v="RFCW"/>
    <n v="0"/>
    <s v="CH4"/>
    <n v="1419.9050749999999"/>
    <n v="9.7522400000000001E-4"/>
    <s v="KWH"/>
    <n v="1"/>
    <n v="1455979"/>
    <s v="AR4"/>
    <s v="USEPA"/>
    <s v="USEPA (2022)"/>
    <n v="2022"/>
    <n v="2020"/>
    <n v="0"/>
    <n v="0"/>
    <x v="7"/>
    <s v="Office"/>
  </r>
  <r>
    <n v="20565"/>
    <s v="Top of Hierarchy &gt; North America &gt; Vantage_Carnegie"/>
    <x v="0"/>
    <x v="0"/>
    <d v="2022-01-01T00:00:00"/>
    <d v="2022-12-31T00:00:00"/>
    <x v="0"/>
    <d v="2022-01-01T00:00:00"/>
    <d v="2022-12-31T00:00:00"/>
    <s v="Electricity (non-renewable)"/>
    <n v="1455979"/>
    <s v="Kilowatt hours"/>
    <x v="1"/>
    <m/>
    <s v="2023-03-21, 21:31"/>
    <s v="2023-07-20, 00:40"/>
    <n v="2022"/>
    <s v="electricity"/>
    <s v="Electricity"/>
    <s v="model"/>
    <b v="0"/>
    <s v="ELECTRICITY; UNITED STATES - RFCW"/>
    <x v="0"/>
    <x v="0"/>
    <s v="Americas"/>
    <s v="Northern America"/>
    <s v="US"/>
    <s v="RFCW"/>
    <n v="0"/>
    <s v="CO2"/>
    <n v="650499.46109999996"/>
    <n v="0.44677805199999998"/>
    <s v="KWH"/>
    <n v="1"/>
    <n v="1455979"/>
    <s v="AR4"/>
    <s v="USEPA"/>
    <s v="USEPA (2022)"/>
    <n v="2022"/>
    <n v="2020"/>
    <n v="0"/>
    <n v="0"/>
    <x v="7"/>
    <s v="Office"/>
  </r>
  <r>
    <n v="20565"/>
    <s v="Top of Hierarchy &gt; North America &gt; Vantage_Carnegie"/>
    <x v="0"/>
    <x v="0"/>
    <d v="2022-01-01T00:00:00"/>
    <d v="2022-12-31T00:00:00"/>
    <x v="0"/>
    <d v="2022-01-01T00:00:00"/>
    <d v="2022-12-31T00:00:00"/>
    <s v="Electricity (non-renewable)"/>
    <n v="1455979"/>
    <s v="Kilowatt hours"/>
    <x v="1"/>
    <m/>
    <s v="2023-03-21, 21:31"/>
    <s v="2023-07-20, 00:40"/>
    <n v="2022"/>
    <s v="electricity"/>
    <s v="Electricity"/>
    <s v="model"/>
    <b v="0"/>
    <s v="ELECTRICITY; UNITED STATES - RFCW"/>
    <x v="0"/>
    <x v="0"/>
    <s v="Americas"/>
    <s v="Northern America"/>
    <s v="US"/>
    <s v="RFCW"/>
    <n v="0"/>
    <s v="CO2E"/>
    <n v="654281.03159999999"/>
    <n v="0.44937532200000002"/>
    <s v="KWH"/>
    <n v="1"/>
    <n v="1455979"/>
    <s v="AR4"/>
    <s v="USEPA"/>
    <s v="USEPA (2022)"/>
    <n v="2022"/>
    <n v="2020"/>
    <n v="654.28103160000001"/>
    <n v="0"/>
    <x v="7"/>
    <s v="Office"/>
  </r>
  <r>
    <n v="20565"/>
    <s v="Top of Hierarchy &gt; North America &gt; Vantage_Carnegie"/>
    <x v="0"/>
    <x v="0"/>
    <d v="2022-01-01T00:00:00"/>
    <d v="2022-12-31T00:00:00"/>
    <x v="0"/>
    <d v="2022-01-01T00:00:00"/>
    <d v="2022-12-31T00:00:00"/>
    <s v="Electricity (non-renewable)"/>
    <n v="1455979"/>
    <s v="Kilowatt hours"/>
    <x v="1"/>
    <m/>
    <s v="2023-03-21, 21:31"/>
    <s v="2023-07-20, 00:40"/>
    <n v="2022"/>
    <s v="electricity"/>
    <s v="Electricity"/>
    <s v="model"/>
    <b v="0"/>
    <s v="ELECTRICITY; UNITED STATES - RFCW"/>
    <x v="0"/>
    <x v="0"/>
    <s v="Americas"/>
    <s v="Northern America"/>
    <s v="US"/>
    <s v="RFCW"/>
    <n v="0"/>
    <s v="N2O"/>
    <n v="2361.6653719999999"/>
    <n v="1.622046E-3"/>
    <s v="KWH"/>
    <n v="1"/>
    <n v="1455979"/>
    <s v="AR4"/>
    <s v="USEPA"/>
    <s v="USEPA (2022)"/>
    <n v="2022"/>
    <n v="2020"/>
    <n v="0"/>
    <n v="0"/>
    <x v="7"/>
    <s v="Office"/>
  </r>
  <r>
    <n v="20565"/>
    <s v="Top of Hierarchy &gt; North America &gt; Vantage_Carnegie"/>
    <x v="0"/>
    <x v="0"/>
    <d v="2022-01-01T00:00:00"/>
    <d v="2022-12-31T00:00:00"/>
    <x v="0"/>
    <d v="2022-01-01T00:00:00"/>
    <d v="2022-12-31T00:00:00"/>
    <s v="Electricity (non-renewable)"/>
    <n v="1455979"/>
    <s v="Kilowatt hours"/>
    <x v="1"/>
    <m/>
    <s v="2023-03-21, 21:31"/>
    <s v="2023-07-20, 00:40"/>
    <n v="2022"/>
    <s v="electricity"/>
    <s v="Electricity"/>
    <s v="model"/>
    <b v="1"/>
    <s v="ELECTRICITY; UNITED STATES - RFCW"/>
    <x v="0"/>
    <x v="0"/>
    <m/>
    <m/>
    <m/>
    <m/>
    <n v="1"/>
    <s v="CO2E MKT"/>
    <n v="571449.05299999996"/>
    <n v="0.39248440600000001"/>
    <s v="KWH"/>
    <n v="1"/>
    <n v="1455979"/>
    <m/>
    <m/>
    <s v="Supplier"/>
    <n v="2022"/>
    <m/>
    <n v="0"/>
    <n v="571.44905299999994"/>
    <x v="7"/>
    <s v="Office"/>
  </r>
  <r>
    <n v="20565"/>
    <s v="Top of Hierarchy &gt; North America &gt; Vantage_Carnegie"/>
    <x v="0"/>
    <x v="0"/>
    <d v="2022-01-01T00:00:00"/>
    <d v="2022-12-31T00:00:00"/>
    <x v="0"/>
    <d v="2022-01-01T00:00:00"/>
    <d v="2022-12-31T00:00:00"/>
    <s v="Electricity (non-renewable)"/>
    <n v="1455979"/>
    <s v="Kilowatt hours"/>
    <x v="1"/>
    <m/>
    <s v="2023-03-21, 21:31"/>
    <s v="2023-07-20, 00:40"/>
    <n v="2022"/>
    <s v="electricity__t+d__wtt"/>
    <s v="Electricity T&amp;D WTT"/>
    <s v="t+d_wtt"/>
    <b v="0"/>
    <s v="ELECTRICITY T&amp;D WTT; UNITED STATES - RFCW"/>
    <x v="1"/>
    <x v="1"/>
    <s v="Americas"/>
    <s v="Northern America"/>
    <s v="US"/>
    <s v="RFCW"/>
    <n v="0"/>
    <s v="CO2E"/>
    <n v="10245.15899"/>
    <n v="7.0366120000000002E-3"/>
    <s v="KWH"/>
    <n v="1"/>
    <n v="1455979"/>
    <s v="AR4"/>
    <s v="Anthesis"/>
    <s v="Anthesis (2022)"/>
    <n v="2022"/>
    <n v="2020"/>
    <n v="10.24515899"/>
    <n v="0"/>
    <x v="7"/>
    <s v="Office"/>
  </r>
  <r>
    <n v="20565"/>
    <s v="Top of Hierarchy &gt; North America &gt; Vantage_Carnegie"/>
    <x v="0"/>
    <x v="0"/>
    <d v="2022-01-01T00:00:00"/>
    <d v="2022-12-31T00:00:00"/>
    <x v="0"/>
    <d v="2022-01-01T00:00:00"/>
    <d v="2022-12-31T00:00:00"/>
    <s v="Electricity (non-renewable)"/>
    <n v="1455979"/>
    <s v="Kilowatt hours"/>
    <x v="1"/>
    <m/>
    <s v="2023-03-21, 21:31"/>
    <s v="2023-07-20, 00:40"/>
    <n v="2022"/>
    <s v="electricity__t+d__wtt"/>
    <s v="Electricity T&amp;D WTT"/>
    <s v="t+d_wtt"/>
    <b v="0"/>
    <s v="ELECTRICITY; UNITED STATES - RFCW; T&amp;D WTT Estimated"/>
    <x v="1"/>
    <x v="1"/>
    <s v="Americas"/>
    <s v="Northern America"/>
    <s v="US"/>
    <s v="RFCW"/>
    <n v="1"/>
    <s v="CO2E MKT"/>
    <n v="9503.3261610000009"/>
    <n v="6.5271039999999997E-3"/>
    <s v="KWH"/>
    <n v="1"/>
    <n v="1455979"/>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  to estimate the T&amp;D WTT factor."/>
    <n v="2022"/>
    <n v="2019"/>
    <n v="0"/>
    <n v="9.5033261610000004"/>
    <x v="7"/>
    <s v="Office"/>
  </r>
  <r>
    <n v="20565"/>
    <s v="Top of Hierarchy &gt; North America &gt; Vantage_Carnegie"/>
    <x v="0"/>
    <x v="0"/>
    <d v="2022-01-01T00:00:00"/>
    <d v="2022-12-31T00:00:00"/>
    <x v="0"/>
    <d v="2022-01-01T00:00:00"/>
    <d v="2022-12-31T00:00:00"/>
    <s v="Electricity (non-renewable)"/>
    <n v="1455979"/>
    <s v="Kilowatt hours"/>
    <x v="1"/>
    <m/>
    <s v="2023-03-21, 21:31"/>
    <s v="2023-07-20, 00:40"/>
    <n v="2022"/>
    <s v="electricity__wtt"/>
    <s v="Electricity WTT"/>
    <s v="wtt"/>
    <b v="0"/>
    <s v="ELECTRICITY WTT; UNITED STATES - RFCW"/>
    <x v="1"/>
    <x v="1"/>
    <s v="Americas"/>
    <s v="Northern America"/>
    <s v="US"/>
    <s v="RFCW"/>
    <n v="0"/>
    <s v="CO2E"/>
    <n v="183059.72760000001"/>
    <n v="0.125729648"/>
    <s v="KWH"/>
    <n v="1"/>
    <n v="1455979"/>
    <s v="AR4"/>
    <s v="Anthesis"/>
    <s v="Anthesis (2022)"/>
    <n v="2022"/>
    <n v="2020"/>
    <n v="183.0597276"/>
    <n v="0"/>
    <x v="7"/>
    <s v="Office"/>
  </r>
  <r>
    <n v="20565"/>
    <s v="Top of Hierarchy &gt; North America &gt; Vantage_Carnegie"/>
    <x v="0"/>
    <x v="0"/>
    <d v="2022-01-01T00:00:00"/>
    <d v="2022-12-31T00:00:00"/>
    <x v="0"/>
    <d v="2022-01-01T00:00:00"/>
    <d v="2022-12-31T00:00:00"/>
    <s v="Electricity (non-renewable)"/>
    <n v="1455979"/>
    <s v="Kilowatt hours"/>
    <x v="1"/>
    <m/>
    <s v="2023-03-21, 21:31"/>
    <s v="2023-07-20, 00:40"/>
    <n v="2022"/>
    <s v="electricity__wtt"/>
    <s v="Electricity WTT"/>
    <s v="wtt"/>
    <b v="0"/>
    <s v="ELECTRICITY; UNITED STATES - RFCW; WTT Estimated"/>
    <x v="1"/>
    <x v="1"/>
    <s v="Americas"/>
    <s v="Northern America"/>
    <s v="US"/>
    <s v="RFCW"/>
    <n v="1"/>
    <s v="CO2E MKT"/>
    <n v="186339.7286"/>
    <n v="0.12798242900000001"/>
    <s v="KWH"/>
    <n v="1"/>
    <n v="1455979"/>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RFCW, Green-eto estimate the WTT factor."/>
    <n v="2022"/>
    <n v="2019"/>
    <n v="0"/>
    <n v="186.3397286"/>
    <x v="7"/>
    <s v="Office"/>
  </r>
  <r>
    <n v="20565"/>
    <s v="Top of Hierarchy &gt; North America &gt; Vantage_Carnegie"/>
    <x v="0"/>
    <x v="0"/>
    <d v="2022-01-01T00:00:00"/>
    <d v="2022-12-31T00:00:00"/>
    <x v="0"/>
    <d v="2022-01-01T00:00:00"/>
    <d v="2022-12-31T00:00:00"/>
    <s v="Electricity (non-renewable)"/>
    <n v="1455979"/>
    <s v="Kilowatt hours"/>
    <x v="1"/>
    <m/>
    <s v="2023-03-21, 21:31"/>
    <s v="2023-07-20, 00:40"/>
    <n v="2022"/>
    <s v="electricity__t+d"/>
    <s v="Electricity T&amp;D"/>
    <s v="t+d"/>
    <b v="0"/>
    <s v="ELECTRICITY; TRANSMISSION AND DISTRIBUTION; UNITED STATES - RFCW"/>
    <x v="1"/>
    <x v="1"/>
    <s v="Americas"/>
    <s v="Northern America"/>
    <s v="US"/>
    <s v="RFCW"/>
    <n v="0"/>
    <s v="CO2E"/>
    <n v="34676.894670000001"/>
    <n v="2.3816891999999999E-2"/>
    <s v="KWH"/>
    <n v="1"/>
    <n v="1455979"/>
    <s v="AR4"/>
    <s v="USEPA"/>
    <s v="USEPA (2022)"/>
    <n v="2022"/>
    <n v="2020"/>
    <n v="34.676894670000003"/>
    <n v="0"/>
    <x v="7"/>
    <s v="Office"/>
  </r>
  <r>
    <n v="20565"/>
    <s v="Top of Hierarchy &gt; North America &gt; Vantage_Carnegie"/>
    <x v="0"/>
    <x v="0"/>
    <d v="2022-01-01T00:00:00"/>
    <d v="2022-12-31T00:00:00"/>
    <x v="0"/>
    <d v="2022-01-01T00:00:00"/>
    <d v="2022-12-31T00:00:00"/>
    <s v="Electricity (non-renewable)"/>
    <n v="1455979"/>
    <s v="Kilowatt hours"/>
    <x v="1"/>
    <m/>
    <s v="2023-03-21, 21:31"/>
    <s v="2023-07-20, 00:40"/>
    <n v="2022"/>
    <s v="electricity__t+d"/>
    <s v="Electricity T&amp;D"/>
    <s v="t+d"/>
    <b v="0"/>
    <s v="ELECTRICITY; UNITED STATES - RFCW; T&amp;D Estimated"/>
    <x v="1"/>
    <x v="1"/>
    <s v="Americas"/>
    <s v="Northern America"/>
    <s v="US"/>
    <s v="RFCW"/>
    <n v="1"/>
    <s v="CO2E MKT"/>
    <n v="35974.166839999998"/>
    <n v="2.4707889E-2"/>
    <s v="KWH"/>
    <n v="1"/>
    <n v="1455979"/>
    <s v="AR4"/>
    <s v="Anthesis"/>
    <s v="The median T&amp;D to generation factor ratio of all countries within the region Northern America was taken to be ELECTRICITY; UNITED STATES - SRSO, USEPA to ELECTRICITY; TRANSMISSION AND DISTRIBUTION; UNITED STATES - SRSO, USEPA: 0.051. This was applied to the base factor ELECTRICITY; UNITED STATES - RFCW, Green-eto estimate the T&amp;D factor."/>
    <n v="2022"/>
    <n v="2019"/>
    <n v="0"/>
    <n v="35.974166839999995"/>
    <x v="7"/>
    <s v="Office"/>
  </r>
  <r>
    <n v="20126"/>
    <s v="Top of Hierarchy &gt; North America &gt; Vantage_Carnegie"/>
    <x v="0"/>
    <x v="0"/>
    <d v="2022-01-01T00:00:00"/>
    <d v="2022-12-31T00:00:00"/>
    <x v="3"/>
    <d v="2022-01-01T00:00:00"/>
    <d v="2022-12-31T00:00:00"/>
    <s v="Natural gas"/>
    <n v="24338400"/>
    <s v="cubic feet"/>
    <x v="1"/>
    <m/>
    <s v="2023-03-21, 20:08"/>
    <s v="2023-07-20, 00:40"/>
    <n v="2022"/>
    <s v="natural_gas"/>
    <s v="Natural Gas"/>
    <s v="model"/>
    <b v="0"/>
    <s v="NATURAL GAS, NATURAL GAS"/>
    <x v="2"/>
    <x v="0"/>
    <s v="Americas"/>
    <s v="Northern America"/>
    <s v="US"/>
    <m/>
    <n v="0"/>
    <s v="CH4"/>
    <n v="626.71379999999999"/>
    <n v="2.5749999999999999E-5"/>
    <s v="SCF"/>
    <n v="1"/>
    <n v="24338400"/>
    <s v="AR4"/>
    <s v="USEPA"/>
    <s v="USEPA (2022)"/>
    <n v="2022"/>
    <n v="2022"/>
    <n v="0"/>
    <n v="0"/>
    <x v="7"/>
    <s v="Office"/>
  </r>
  <r>
    <n v="20126"/>
    <s v="Top of Hierarchy &gt; North America &gt; Vantage_Carnegie"/>
    <x v="0"/>
    <x v="0"/>
    <d v="2022-01-01T00:00:00"/>
    <d v="2022-12-31T00:00:00"/>
    <x v="3"/>
    <d v="2022-01-01T00:00:00"/>
    <d v="2022-12-31T00:00:00"/>
    <s v="Natural gas"/>
    <n v="24338400"/>
    <s v="cubic feet"/>
    <x v="1"/>
    <m/>
    <s v="2023-03-21, 20:08"/>
    <s v="2023-07-20, 00:40"/>
    <n v="2022"/>
    <s v="natural_gas"/>
    <s v="Natural Gas"/>
    <s v="model"/>
    <b v="0"/>
    <s v="NATURAL GAS, NATURAL GAS"/>
    <x v="2"/>
    <x v="0"/>
    <s v="Americas"/>
    <s v="Northern America"/>
    <s v="US"/>
    <m/>
    <n v="0"/>
    <s v="CO2"/>
    <n v="1324982.496"/>
    <n v="5.4440000000000002E-2"/>
    <s v="SCF"/>
    <n v="1"/>
    <n v="24338400"/>
    <s v="AR4"/>
    <s v="USEPA"/>
    <s v="USEPA (2022)"/>
    <n v="2022"/>
    <n v="2022"/>
    <n v="0"/>
    <n v="0"/>
    <x v="7"/>
    <s v="Office"/>
  </r>
  <r>
    <n v="20126"/>
    <s v="Top of Hierarchy &gt; North America &gt; Vantage_Carnegie"/>
    <x v="0"/>
    <x v="0"/>
    <d v="2022-01-01T00:00:00"/>
    <d v="2022-12-31T00:00:00"/>
    <x v="3"/>
    <d v="2022-01-01T00:00:00"/>
    <d v="2022-12-31T00:00:00"/>
    <s v="Natural gas"/>
    <n v="24338400"/>
    <s v="cubic feet"/>
    <x v="1"/>
    <m/>
    <s v="2023-03-21, 20:08"/>
    <s v="2023-07-20, 00:40"/>
    <n v="2022"/>
    <s v="natural_gas"/>
    <s v="Natural Gas"/>
    <s v="model"/>
    <b v="0"/>
    <s v="NATURAL GAS, NATURAL GAS"/>
    <x v="2"/>
    <x v="0"/>
    <s v="Americas"/>
    <s v="Northern America"/>
    <s v="US"/>
    <m/>
    <n v="0"/>
    <s v="CO2E"/>
    <n v="1326334.4939999999"/>
    <n v="5.4495549999999997E-2"/>
    <s v="SCF"/>
    <n v="1"/>
    <n v="24338400"/>
    <s v="AR4"/>
    <s v="USEPA"/>
    <s v="USEPA (2022)"/>
    <n v="2022"/>
    <n v="2022"/>
    <n v="1326.3344939999999"/>
    <n v="0"/>
    <x v="7"/>
    <s v="Office"/>
  </r>
  <r>
    <n v="20126"/>
    <s v="Top of Hierarchy &gt; North America &gt; Vantage_Carnegie"/>
    <x v="0"/>
    <x v="0"/>
    <d v="2022-01-01T00:00:00"/>
    <d v="2022-12-31T00:00:00"/>
    <x v="3"/>
    <d v="2022-01-01T00:00:00"/>
    <d v="2022-12-31T00:00:00"/>
    <s v="Natural gas"/>
    <n v="24338400"/>
    <s v="cubic feet"/>
    <x v="1"/>
    <m/>
    <s v="2023-03-21, 20:08"/>
    <s v="2023-07-20, 00:40"/>
    <n v="2022"/>
    <s v="natural_gas"/>
    <s v="Natural Gas"/>
    <s v="model"/>
    <b v="0"/>
    <s v="NATURAL GAS, NATURAL GAS"/>
    <x v="2"/>
    <x v="0"/>
    <s v="Americas"/>
    <s v="Northern America"/>
    <s v="US"/>
    <m/>
    <n v="0"/>
    <s v="N2O"/>
    <n v="725.28431999999998"/>
    <n v="2.9799999999999999E-5"/>
    <s v="SCF"/>
    <n v="1"/>
    <n v="24338400"/>
    <s v="AR4"/>
    <s v="USEPA"/>
    <s v="USEPA (2022)"/>
    <n v="2022"/>
    <n v="2022"/>
    <n v="0"/>
    <n v="0"/>
    <x v="7"/>
    <s v="Office"/>
  </r>
  <r>
    <n v="20126"/>
    <s v="Top of Hierarchy &gt; North America &gt; Vantage_Carnegie"/>
    <x v="0"/>
    <x v="0"/>
    <d v="2022-01-01T00:00:00"/>
    <d v="2022-12-31T00:00:00"/>
    <x v="3"/>
    <d v="2022-01-01T00:00:00"/>
    <d v="2022-12-31T00:00:00"/>
    <s v="Natural gas"/>
    <n v="24338400"/>
    <s v="cubic feet"/>
    <x v="1"/>
    <m/>
    <s v="2023-03-21, 20:08"/>
    <s v="2023-07-20, 00:40"/>
    <n v="2022"/>
    <s v="natural_gas"/>
    <s v="Natural Gas"/>
    <s v="model"/>
    <b v="0"/>
    <s v="NATURAL GAS, NATURAL GAS"/>
    <x v="2"/>
    <x v="0"/>
    <s v="Americas"/>
    <s v="Northern America"/>
    <s v="US"/>
    <m/>
    <n v="1"/>
    <s v="CH4"/>
    <n v="626.71379999999999"/>
    <n v="2.5749999999999999E-5"/>
    <s v="SCF"/>
    <n v="1"/>
    <n v="24338400"/>
    <s v="AR4"/>
    <s v="USEPA"/>
    <s v="USEPA (2022)"/>
    <n v="2022"/>
    <n v="2022"/>
    <n v="0"/>
    <n v="0"/>
    <x v="7"/>
    <s v="Office"/>
  </r>
  <r>
    <n v="20126"/>
    <s v="Top of Hierarchy &gt; North America &gt; Vantage_Carnegie"/>
    <x v="0"/>
    <x v="0"/>
    <d v="2022-01-01T00:00:00"/>
    <d v="2022-12-31T00:00:00"/>
    <x v="3"/>
    <d v="2022-01-01T00:00:00"/>
    <d v="2022-12-31T00:00:00"/>
    <s v="Natural gas"/>
    <n v="24338400"/>
    <s v="cubic feet"/>
    <x v="1"/>
    <m/>
    <s v="2023-03-21, 20:08"/>
    <s v="2023-07-20, 00:40"/>
    <n v="2022"/>
    <s v="natural_gas"/>
    <s v="Natural Gas"/>
    <s v="model"/>
    <b v="0"/>
    <s v="NATURAL GAS, NATURAL GAS"/>
    <x v="2"/>
    <x v="0"/>
    <s v="Americas"/>
    <s v="Northern America"/>
    <s v="US"/>
    <m/>
    <n v="1"/>
    <s v="CO2"/>
    <n v="1324982.496"/>
    <n v="5.4440000000000002E-2"/>
    <s v="SCF"/>
    <n v="1"/>
    <n v="24338400"/>
    <s v="AR4"/>
    <s v="USEPA"/>
    <s v="USEPA (2022)"/>
    <n v="2022"/>
    <n v="2022"/>
    <n v="0"/>
    <n v="0"/>
    <x v="7"/>
    <s v="Office"/>
  </r>
  <r>
    <n v="20126"/>
    <s v="Top of Hierarchy &gt; North America &gt; Vantage_Carnegie"/>
    <x v="0"/>
    <x v="0"/>
    <d v="2022-01-01T00:00:00"/>
    <d v="2022-12-31T00:00:00"/>
    <x v="3"/>
    <d v="2022-01-01T00:00:00"/>
    <d v="2022-12-31T00:00:00"/>
    <s v="Natural gas"/>
    <n v="24338400"/>
    <s v="cubic feet"/>
    <x v="1"/>
    <m/>
    <s v="2023-03-21, 20:08"/>
    <s v="2023-07-20, 00:40"/>
    <n v="2022"/>
    <s v="natural_gas"/>
    <s v="Natural Gas"/>
    <s v="model"/>
    <b v="0"/>
    <s v="NATURAL GAS, NATURAL GAS"/>
    <x v="2"/>
    <x v="0"/>
    <s v="Americas"/>
    <s v="Northern America"/>
    <s v="US"/>
    <m/>
    <n v="1"/>
    <s v="CO2E"/>
    <n v="1326334.4939999999"/>
    <n v="5.4495549999999997E-2"/>
    <s v="SCF"/>
    <n v="1"/>
    <n v="24338400"/>
    <s v="AR4"/>
    <s v="USEPA"/>
    <s v="USEPA (2022)"/>
    <n v="2022"/>
    <n v="2022"/>
    <n v="0"/>
    <n v="1326.3344939999999"/>
    <x v="7"/>
    <s v="Office"/>
  </r>
  <r>
    <n v="20126"/>
    <s v="Top of Hierarchy &gt; North America &gt; Vantage_Carnegie"/>
    <x v="0"/>
    <x v="0"/>
    <d v="2022-01-01T00:00:00"/>
    <d v="2022-12-31T00:00:00"/>
    <x v="3"/>
    <d v="2022-01-01T00:00:00"/>
    <d v="2022-12-31T00:00:00"/>
    <s v="Natural gas"/>
    <n v="24338400"/>
    <s v="cubic feet"/>
    <x v="1"/>
    <m/>
    <s v="2023-03-21, 20:08"/>
    <s v="2023-07-20, 00:40"/>
    <n v="2022"/>
    <s v="natural_gas"/>
    <s v="Natural Gas"/>
    <s v="model"/>
    <b v="0"/>
    <s v="NATURAL GAS, NATURAL GAS"/>
    <x v="2"/>
    <x v="0"/>
    <s v="Americas"/>
    <s v="Northern America"/>
    <s v="US"/>
    <m/>
    <n v="1"/>
    <s v="N2O"/>
    <n v="725.28431999999998"/>
    <n v="2.9799999999999999E-5"/>
    <s v="SCF"/>
    <n v="1"/>
    <n v="24338400"/>
    <s v="AR4"/>
    <s v="USEPA"/>
    <s v="USEPA (2022)"/>
    <n v="2022"/>
    <n v="2022"/>
    <n v="0"/>
    <n v="0"/>
    <x v="7"/>
    <s v="Office"/>
  </r>
  <r>
    <n v="20126"/>
    <s v="Top of Hierarchy &gt; North America &gt; Vantage_Carnegie"/>
    <x v="0"/>
    <x v="0"/>
    <d v="2022-01-01T00:00:00"/>
    <d v="2022-12-31T00:00:00"/>
    <x v="3"/>
    <d v="2022-01-01T00:00:00"/>
    <d v="2022-12-31T00:00:00"/>
    <s v="Natural gas"/>
    <n v="24338400"/>
    <s v="cubic feet"/>
    <x v="1"/>
    <m/>
    <s v="2023-03-21, 20:08"/>
    <s v="2023-07-20, 00:40"/>
    <n v="2022"/>
    <s v="natural_gas__wtt"/>
    <s v="Natural Gas WTT"/>
    <s v="wtt"/>
    <b v="0"/>
    <s v="WTT- FUELS; GASEOUS FUELS; NATURAL GAS"/>
    <x v="1"/>
    <x v="1"/>
    <m/>
    <m/>
    <m/>
    <m/>
    <n v="0"/>
    <s v="CO2E"/>
    <n v="236666.33679999999"/>
    <n v="0.34339999999999998"/>
    <s v="CUBIC METRES"/>
    <n v="2.83168E-2"/>
    <n v="689185.60510000004"/>
    <s v="AR4"/>
    <s v="Defra"/>
    <s v="Defra (2022)"/>
    <n v="2022"/>
    <n v="2020"/>
    <n v="236.66633679999998"/>
    <n v="0"/>
    <x v="7"/>
    <s v="Office"/>
  </r>
  <r>
    <n v="20126"/>
    <s v="Top of Hierarchy &gt; North America &gt; Vantage_Carnegie"/>
    <x v="0"/>
    <x v="0"/>
    <d v="2022-01-01T00:00:00"/>
    <d v="2022-12-31T00:00:00"/>
    <x v="3"/>
    <d v="2022-01-01T00:00:00"/>
    <d v="2022-12-31T00:00:00"/>
    <s v="Natural gas"/>
    <n v="24338400"/>
    <s v="cubic feet"/>
    <x v="1"/>
    <m/>
    <s v="2023-03-21, 20:08"/>
    <s v="2023-07-20, 00:40"/>
    <n v="2022"/>
    <s v="natural_gas__wtt"/>
    <s v="Natural Gas WTT"/>
    <s v="wtt"/>
    <b v="0"/>
    <s v="WTT- FUELS; GASEOUS FUELS; NATURAL GAS"/>
    <x v="1"/>
    <x v="1"/>
    <m/>
    <m/>
    <m/>
    <m/>
    <n v="1"/>
    <s v="CO2E"/>
    <n v="236666.33679999999"/>
    <n v="0.34339999999999998"/>
    <s v="CUBIC METRES"/>
    <n v="2.83168E-2"/>
    <n v="689185.60510000004"/>
    <s v="AR4"/>
    <s v="Defra"/>
    <s v="Defra (2022)"/>
    <n v="2022"/>
    <n v="2020"/>
    <n v="0"/>
    <n v="236.66633679999998"/>
    <x v="7"/>
    <s v="Office"/>
  </r>
  <r>
    <n v="292831"/>
    <s v="Top of Hierarchy &gt; North America &gt; Vantage_Carnegie"/>
    <x v="0"/>
    <x v="0"/>
    <d v="2022-01-01T00:00:00"/>
    <d v="2022-12-31T00:00:00"/>
    <x v="1"/>
    <d v="2022-01-01T00:00:00"/>
    <d v="2022-12-31T00:00:00"/>
    <s v="Diesel (average biofuel blend)"/>
    <n v="0"/>
    <s v="US liquid gallons"/>
    <x v="1"/>
    <s v="no liquid fuel"/>
    <s v="2023-05-05, 19:54"/>
    <s v="2023-07-20, 00:40"/>
    <n v="2022"/>
    <s v="diesel_avg_biofuel_blend"/>
    <s v="Diesel (Average Biofuel Blend)"/>
    <s v="model"/>
    <b v="0"/>
    <s v="PETROLEUM PRODUCTS, DISTILLATE FUEL OIL NO. 2"/>
    <x v="2"/>
    <x v="0"/>
    <s v="Americas"/>
    <s v="Northern America"/>
    <s v="US"/>
    <m/>
    <n v="0"/>
    <s v="CH4"/>
    <n v="0"/>
    <n v="1.025E-2"/>
    <s v="GALLON (US LIQUID)"/>
    <n v="1"/>
    <n v="0"/>
    <s v="AR4"/>
    <s v="USEPA"/>
    <s v="USEPA (2022)"/>
    <n v="2022"/>
    <n v="2022"/>
    <n v="0"/>
    <n v="0"/>
    <x v="7"/>
    <s v="Office"/>
  </r>
  <r>
    <n v="292831"/>
    <s v="Top of Hierarchy &gt; North America &gt; Vantage_Carnegie"/>
    <x v="0"/>
    <x v="0"/>
    <d v="2022-01-01T00:00:00"/>
    <d v="2022-12-31T00:00:00"/>
    <x v="1"/>
    <d v="2022-01-01T00:00:00"/>
    <d v="2022-12-31T00:00:00"/>
    <s v="Diesel (average biofuel blend)"/>
    <n v="0"/>
    <s v="US liquid gallons"/>
    <x v="1"/>
    <s v="no liquid fuel"/>
    <s v="2023-05-05, 19:54"/>
    <s v="2023-07-20, 00:40"/>
    <n v="2022"/>
    <s v="diesel_avg_biofuel_blend"/>
    <s v="Diesel (Average Biofuel Blend)"/>
    <s v="model"/>
    <b v="0"/>
    <s v="PETROLEUM PRODUCTS, DISTILLATE FUEL OIL NO. 2"/>
    <x v="2"/>
    <x v="0"/>
    <s v="Americas"/>
    <s v="Northern America"/>
    <s v="US"/>
    <m/>
    <n v="0"/>
    <s v="CO2"/>
    <n v="0"/>
    <n v="10.210000000000001"/>
    <s v="GALLON (US LIQUID)"/>
    <n v="1"/>
    <n v="0"/>
    <s v="AR4"/>
    <s v="USEPA"/>
    <s v="USEPA (2022)"/>
    <n v="2022"/>
    <n v="2022"/>
    <n v="0"/>
    <n v="0"/>
    <x v="7"/>
    <s v="Office"/>
  </r>
  <r>
    <n v="292831"/>
    <s v="Top of Hierarchy &gt; North America &gt; Vantage_Carnegie"/>
    <x v="0"/>
    <x v="0"/>
    <d v="2022-01-01T00:00:00"/>
    <d v="2022-12-31T00:00:00"/>
    <x v="1"/>
    <d v="2022-01-01T00:00:00"/>
    <d v="2022-12-31T00:00:00"/>
    <s v="Diesel (average biofuel blend)"/>
    <n v="0"/>
    <s v="US liquid gallons"/>
    <x v="1"/>
    <s v="no liquid fuel"/>
    <s v="2023-05-05, 19:54"/>
    <s v="2023-07-20, 00:40"/>
    <n v="2022"/>
    <s v="diesel_avg_biofuel_blend"/>
    <s v="Diesel (Average Biofuel Blend)"/>
    <s v="model"/>
    <b v="0"/>
    <s v="PETROLEUM PRODUCTS, DISTILLATE FUEL OIL NO. 2"/>
    <x v="2"/>
    <x v="0"/>
    <s v="Americas"/>
    <s v="Northern America"/>
    <s v="US"/>
    <m/>
    <n v="0"/>
    <s v="CO2E"/>
    <n v="0"/>
    <n v="10.24409"/>
    <s v="GALLON (US LIQUID)"/>
    <n v="1"/>
    <n v="0"/>
    <s v="AR4"/>
    <s v="USEPA"/>
    <s v="USEPA Emission Factors Hub (Last Modified: March 2020)"/>
    <n v="2022"/>
    <n v="2021"/>
    <n v="0"/>
    <n v="0"/>
    <x v="7"/>
    <s v="Office"/>
  </r>
  <r>
    <n v="292831"/>
    <s v="Top of Hierarchy &gt; North America &gt; Vantage_Carnegie"/>
    <x v="0"/>
    <x v="0"/>
    <d v="2022-01-01T00:00:00"/>
    <d v="2022-12-31T00:00:00"/>
    <x v="1"/>
    <d v="2022-01-01T00:00:00"/>
    <d v="2022-12-31T00:00:00"/>
    <s v="Diesel (average biofuel blend)"/>
    <n v="0"/>
    <s v="US liquid gallons"/>
    <x v="1"/>
    <s v="no liquid fuel"/>
    <s v="2023-05-05, 19:54"/>
    <s v="2023-07-20, 00:40"/>
    <n v="2022"/>
    <s v="diesel_avg_biofuel_blend"/>
    <s v="Diesel (Average Biofuel Blend)"/>
    <s v="model"/>
    <b v="0"/>
    <s v="PETROLEUM PRODUCTS, DISTILLATE FUEL OIL NO. 2"/>
    <x v="2"/>
    <x v="0"/>
    <s v="Americas"/>
    <s v="Northern America"/>
    <s v="US"/>
    <m/>
    <n v="0"/>
    <s v="N2O"/>
    <n v="0"/>
    <n v="2.384E-2"/>
    <s v="GALLON (US LIQUID)"/>
    <n v="1"/>
    <n v="0"/>
    <s v="AR4"/>
    <s v="USEPA"/>
    <s v="USEPA (2022)"/>
    <n v="2022"/>
    <n v="2022"/>
    <n v="0"/>
    <n v="0"/>
    <x v="7"/>
    <s v="Office"/>
  </r>
  <r>
    <n v="292831"/>
    <s v="Top of Hierarchy &gt; North America &gt; Vantage_Carnegie"/>
    <x v="0"/>
    <x v="0"/>
    <d v="2022-01-01T00:00:00"/>
    <d v="2022-12-31T00:00:00"/>
    <x v="1"/>
    <d v="2022-01-01T00:00:00"/>
    <d v="2022-12-31T00:00:00"/>
    <s v="Diesel (average biofuel blend)"/>
    <n v="0"/>
    <s v="US liquid gallons"/>
    <x v="1"/>
    <s v="no liquid fuel"/>
    <s v="2023-05-05, 19:54"/>
    <s v="2023-07-20, 00:40"/>
    <n v="2022"/>
    <s v="diesel_avg_biofuel_blend"/>
    <s v="Diesel (Average Biofuel Blend)"/>
    <s v="model"/>
    <b v="0"/>
    <s v="PETROLEUM PRODUCTS, DISTILLATE FUEL OIL NO. 2"/>
    <x v="2"/>
    <x v="0"/>
    <s v="Americas"/>
    <s v="Northern America"/>
    <s v="US"/>
    <m/>
    <n v="1"/>
    <s v="CH4"/>
    <n v="0"/>
    <n v="1.025E-2"/>
    <s v="GALLON (US LIQUID)"/>
    <n v="1"/>
    <n v="0"/>
    <s v="AR4"/>
    <s v="USEPA"/>
    <s v="USEPA (2022)"/>
    <n v="2022"/>
    <n v="2022"/>
    <n v="0"/>
    <n v="0"/>
    <x v="7"/>
    <s v="Office"/>
  </r>
  <r>
    <n v="292831"/>
    <s v="Top of Hierarchy &gt; North America &gt; Vantage_Carnegie"/>
    <x v="0"/>
    <x v="0"/>
    <d v="2022-01-01T00:00:00"/>
    <d v="2022-12-31T00:00:00"/>
    <x v="1"/>
    <d v="2022-01-01T00:00:00"/>
    <d v="2022-12-31T00:00:00"/>
    <s v="Diesel (average biofuel blend)"/>
    <n v="0"/>
    <s v="US liquid gallons"/>
    <x v="1"/>
    <s v="no liquid fuel"/>
    <s v="2023-05-05, 19:54"/>
    <s v="2023-07-20, 00:40"/>
    <n v="2022"/>
    <s v="diesel_avg_biofuel_blend"/>
    <s v="Diesel (Average Biofuel Blend)"/>
    <s v="model"/>
    <b v="0"/>
    <s v="PETROLEUM PRODUCTS, DISTILLATE FUEL OIL NO. 2"/>
    <x v="2"/>
    <x v="0"/>
    <s v="Americas"/>
    <s v="Northern America"/>
    <s v="US"/>
    <m/>
    <n v="1"/>
    <s v="CO2"/>
    <n v="0"/>
    <n v="10.210000000000001"/>
    <s v="GALLON (US LIQUID)"/>
    <n v="1"/>
    <n v="0"/>
    <s v="AR4"/>
    <s v="USEPA"/>
    <s v="USEPA (2022)"/>
    <n v="2022"/>
    <n v="2022"/>
    <n v="0"/>
    <n v="0"/>
    <x v="7"/>
    <s v="Office"/>
  </r>
  <r>
    <n v="292831"/>
    <s v="Top of Hierarchy &gt; North America &gt; Vantage_Carnegie"/>
    <x v="0"/>
    <x v="0"/>
    <d v="2022-01-01T00:00:00"/>
    <d v="2022-12-31T00:00:00"/>
    <x v="1"/>
    <d v="2022-01-01T00:00:00"/>
    <d v="2022-12-31T00:00:00"/>
    <s v="Diesel (average biofuel blend)"/>
    <n v="0"/>
    <s v="US liquid gallons"/>
    <x v="1"/>
    <s v="no liquid fuel"/>
    <s v="2023-05-05, 19:54"/>
    <s v="2023-07-20, 00:40"/>
    <n v="2022"/>
    <s v="diesel_avg_biofuel_blend"/>
    <s v="Diesel (Average Biofuel Blend)"/>
    <s v="model"/>
    <b v="0"/>
    <s v="PETROLEUM PRODUCTS, DISTILLATE FUEL OIL NO. 2"/>
    <x v="2"/>
    <x v="0"/>
    <s v="Americas"/>
    <s v="Northern America"/>
    <s v="US"/>
    <m/>
    <n v="1"/>
    <s v="CO2E"/>
    <n v="0"/>
    <n v="10.24409"/>
    <s v="GALLON (US LIQUID)"/>
    <n v="1"/>
    <n v="0"/>
    <s v="AR4"/>
    <s v="USEPA"/>
    <s v="USEPA Emission Factors Hub (Last Modified: March 2020)"/>
    <n v="2022"/>
    <n v="2021"/>
    <n v="0"/>
    <n v="0"/>
    <x v="7"/>
    <s v="Office"/>
  </r>
  <r>
    <n v="292831"/>
    <s v="Top of Hierarchy &gt; North America &gt; Vantage_Carnegie"/>
    <x v="0"/>
    <x v="0"/>
    <d v="2022-01-01T00:00:00"/>
    <d v="2022-12-31T00:00:00"/>
    <x v="1"/>
    <d v="2022-01-01T00:00:00"/>
    <d v="2022-12-31T00:00:00"/>
    <s v="Diesel (average biofuel blend)"/>
    <n v="0"/>
    <s v="US liquid gallons"/>
    <x v="1"/>
    <s v="no liquid fuel"/>
    <s v="2023-05-05, 19:54"/>
    <s v="2023-07-20, 00:40"/>
    <n v="2022"/>
    <s v="diesel_avg_biofuel_blend"/>
    <s v="Diesel (Average Biofuel Blend)"/>
    <s v="model"/>
    <b v="0"/>
    <s v="PETROLEUM PRODUCTS, DISTILLATE FUEL OIL NO. 2"/>
    <x v="2"/>
    <x v="0"/>
    <s v="Americas"/>
    <s v="Northern America"/>
    <s v="US"/>
    <m/>
    <n v="1"/>
    <s v="N2O"/>
    <n v="0"/>
    <n v="2.384E-2"/>
    <s v="GALLON (US LIQUID)"/>
    <n v="1"/>
    <n v="0"/>
    <s v="AR4"/>
    <s v="USEPA"/>
    <s v="USEPA (2022)"/>
    <n v="2022"/>
    <n v="2022"/>
    <n v="0"/>
    <n v="0"/>
    <x v="7"/>
    <s v="Office"/>
  </r>
  <r>
    <n v="292831"/>
    <s v="Top of Hierarchy &gt; North America &gt; Vantage_Carnegie"/>
    <x v="0"/>
    <x v="0"/>
    <d v="2022-01-01T00:00:00"/>
    <d v="2022-12-31T00:00:00"/>
    <x v="1"/>
    <d v="2022-01-01T00:00:00"/>
    <d v="2022-12-31T00:00:00"/>
    <s v="Diesel (average biofuel blend)"/>
    <n v="0"/>
    <s v="US liquid gallons"/>
    <x v="1"/>
    <s v="no liquid fuel"/>
    <s v="2023-05-05, 19:54"/>
    <s v="2023-07-20, 00:40"/>
    <n v="2022"/>
    <s v="diesel_avg_biofuel_blend__wtt"/>
    <s v="Diesel (Average Biofuel Blend) WTT"/>
    <s v="wtt"/>
    <b v="0"/>
    <s v="WTT- FUELS; LIQUID FUELS; DIESEL (AVERAGE BIOFUEL BLEND)"/>
    <x v="1"/>
    <x v="1"/>
    <m/>
    <m/>
    <m/>
    <m/>
    <n v="0"/>
    <s v="CO2E"/>
    <n v="0"/>
    <n v="0.60985999999999996"/>
    <s v="LITRES"/>
    <n v="3.7854100000000002"/>
    <n v="0"/>
    <s v="AR4"/>
    <s v="Defra"/>
    <s v="Defra (2022)"/>
    <n v="2022"/>
    <n v="2020"/>
    <n v="0"/>
    <n v="0"/>
    <x v="7"/>
    <s v="Office"/>
  </r>
  <r>
    <n v="292831"/>
    <s v="Top of Hierarchy &gt; North America &gt; Vantage_Carnegie"/>
    <x v="0"/>
    <x v="0"/>
    <d v="2022-01-01T00:00:00"/>
    <d v="2022-12-31T00:00:00"/>
    <x v="1"/>
    <d v="2022-01-01T00:00:00"/>
    <d v="2022-12-31T00:00:00"/>
    <s v="Diesel (average biofuel blend)"/>
    <n v="0"/>
    <s v="US liquid gallons"/>
    <x v="1"/>
    <s v="no liquid fuel"/>
    <s v="2023-05-05, 19:54"/>
    <s v="2023-07-20, 00:40"/>
    <n v="2022"/>
    <s v="diesel_avg_biofuel_blend__wtt"/>
    <s v="Diesel (Average Biofuel Blend) WTT"/>
    <s v="wtt"/>
    <b v="0"/>
    <s v="WTT- FUELS; LIQUID FUELS; DIESEL (AVERAGE BIOFUEL BLEND)"/>
    <x v="1"/>
    <x v="1"/>
    <m/>
    <m/>
    <m/>
    <m/>
    <n v="1"/>
    <s v="CO2E"/>
    <n v="0"/>
    <n v="0.60985999999999996"/>
    <s v="LITRES"/>
    <n v="3.7854100000000002"/>
    <n v="0"/>
    <s v="AR4"/>
    <s v="Defra"/>
    <s v="Defra (2022)"/>
    <n v="2022"/>
    <n v="2020"/>
    <n v="0"/>
    <n v="0"/>
    <x v="7"/>
    <s v="Office"/>
  </r>
  <r>
    <n v="786297"/>
    <s v="Top of Hierarchy &gt; North America &gt; Vantage_Carnegie"/>
    <x v="0"/>
    <x v="0"/>
    <d v="2022-01-01T00:00:00"/>
    <d v="2022-12-31T00:00:00"/>
    <x v="4"/>
    <d v="2022-01-01T00:00:00"/>
    <d v="2022-12-31T00:00:00"/>
    <s v="R410A"/>
    <n v="0"/>
    <s v="grams"/>
    <x v="1"/>
    <s v="No refills in last 2 years, 7 units are R410A"/>
    <s v="2023-06-21, 17:39"/>
    <s v="2023-07-20, 00:40"/>
    <n v="2022"/>
    <s v="r410a"/>
    <s v="R410A"/>
    <s v="model"/>
    <b v="0"/>
    <s v="REFRIGERANT: R-410A"/>
    <x v="2"/>
    <x v="0"/>
    <m/>
    <m/>
    <m/>
    <m/>
    <n v="0"/>
    <s v="CO2E"/>
    <n v="0"/>
    <n v="2088"/>
    <s v="KG"/>
    <n v="1E-3"/>
    <n v="0"/>
    <s v="AR4"/>
    <s v="IPCC"/>
    <s v="IPCC (2021)"/>
    <n v="2022"/>
    <n v="2007"/>
    <n v="0"/>
    <n v="0"/>
    <x v="7"/>
    <s v="Office"/>
  </r>
  <r>
    <n v="786297"/>
    <s v="Top of Hierarchy &gt; North America &gt; Vantage_Carnegie"/>
    <x v="0"/>
    <x v="0"/>
    <d v="2022-01-01T00:00:00"/>
    <d v="2022-12-31T00:00:00"/>
    <x v="4"/>
    <d v="2022-01-01T00:00:00"/>
    <d v="2022-12-31T00:00:00"/>
    <s v="R410A"/>
    <n v="0"/>
    <s v="grams"/>
    <x v="1"/>
    <s v="No refills in last 2 years, 7 units are R410A"/>
    <s v="2023-06-21, 17:39"/>
    <s v="2023-07-20, 00:40"/>
    <n v="2022"/>
    <s v="r410a"/>
    <s v="R410A"/>
    <s v="model"/>
    <b v="0"/>
    <s v="REFRIGERANT: R-410A"/>
    <x v="2"/>
    <x v="0"/>
    <m/>
    <m/>
    <m/>
    <m/>
    <n v="1"/>
    <s v="CO2E"/>
    <n v="0"/>
    <n v="2088"/>
    <s v="KG"/>
    <n v="1E-3"/>
    <n v="0"/>
    <s v="AR4"/>
    <s v="IPCC"/>
    <s v="IPCC (2021)"/>
    <n v="2022"/>
    <n v="2007"/>
    <n v="0"/>
    <n v="0"/>
    <x v="7"/>
    <s v="Office"/>
  </r>
  <r>
    <n v="292833"/>
    <s v="Top of Hierarchy &gt; North America &gt; Vantage_Carnegie"/>
    <x v="0"/>
    <x v="0"/>
    <d v="2022-01-01T00:00:00"/>
    <d v="2022-12-31T00:00:00"/>
    <x v="2"/>
    <d v="2022-01-01T00:00:00"/>
    <d v="2022-12-31T00:00:00"/>
    <s v="Propane"/>
    <n v="445.4"/>
    <s v="US liquid gallons"/>
    <x v="1"/>
    <m/>
    <s v="2023-05-05, 19:54"/>
    <s v="2023-07-20, 00:40"/>
    <n v="2022"/>
    <s v="propane"/>
    <s v="Propane"/>
    <s v="model"/>
    <b v="0"/>
    <s v="PETROLEUM PRODUCTS, PROPANE"/>
    <x v="2"/>
    <x v="0"/>
    <s v="Americas"/>
    <s v="Northern America"/>
    <s v="US"/>
    <m/>
    <n v="0"/>
    <s v="CH4"/>
    <n v="3.0064500000000001"/>
    <n v="6.7499999999999999E-3"/>
    <s v="GALLON (US LIQUID)"/>
    <n v="1"/>
    <n v="445.4"/>
    <s v="AR4"/>
    <s v="USEPA"/>
    <s v="USEPA Emission Factors Hub (Last Modified: March 2020)"/>
    <n v="2022"/>
    <n v="2021"/>
    <n v="0"/>
    <n v="0"/>
    <x v="7"/>
    <s v="Office"/>
  </r>
  <r>
    <n v="292833"/>
    <s v="Top of Hierarchy &gt; North America &gt; Vantage_Carnegie"/>
    <x v="0"/>
    <x v="0"/>
    <d v="2022-01-01T00:00:00"/>
    <d v="2022-12-31T00:00:00"/>
    <x v="2"/>
    <d v="2022-01-01T00:00:00"/>
    <d v="2022-12-31T00:00:00"/>
    <s v="Propane"/>
    <n v="445.4"/>
    <s v="US liquid gallons"/>
    <x v="1"/>
    <m/>
    <s v="2023-05-05, 19:54"/>
    <s v="2023-07-20, 00:40"/>
    <n v="2022"/>
    <s v="propane"/>
    <s v="Propane"/>
    <s v="model"/>
    <b v="0"/>
    <s v="PETROLEUM PRODUCTS, PROPANE"/>
    <x v="2"/>
    <x v="0"/>
    <s v="Americas"/>
    <s v="Northern America"/>
    <s v="US"/>
    <m/>
    <n v="0"/>
    <s v="CO2"/>
    <n v="2547.6880000000001"/>
    <n v="5.72"/>
    <s v="GALLON (US LIQUID)"/>
    <n v="1"/>
    <n v="445.4"/>
    <s v="AR4"/>
    <s v="USEPA"/>
    <s v="USEPA (2022)"/>
    <n v="2022"/>
    <n v="2022"/>
    <n v="0"/>
    <n v="0"/>
    <x v="7"/>
    <s v="Office"/>
  </r>
  <r>
    <n v="292833"/>
    <s v="Top of Hierarchy &gt; North America &gt; Vantage_Carnegie"/>
    <x v="0"/>
    <x v="0"/>
    <d v="2022-01-01T00:00:00"/>
    <d v="2022-12-31T00:00:00"/>
    <x v="2"/>
    <d v="2022-01-01T00:00:00"/>
    <d v="2022-12-31T00:00:00"/>
    <s v="Propane"/>
    <n v="445.4"/>
    <s v="US liquid gallons"/>
    <x v="1"/>
    <m/>
    <s v="2023-05-05, 19:54"/>
    <s v="2023-07-20, 00:40"/>
    <n v="2022"/>
    <s v="propane"/>
    <s v="Propane"/>
    <s v="model"/>
    <b v="0"/>
    <s v="PETROLEUM PRODUCTS, PROPANE"/>
    <x v="2"/>
    <x v="0"/>
    <s v="Americas"/>
    <s v="Northern America"/>
    <s v="US"/>
    <m/>
    <n v="0"/>
    <s v="CO2E"/>
    <n v="2557.3309100000001"/>
    <n v="5.7416499999999999"/>
    <s v="GALLON (US LIQUID)"/>
    <n v="1"/>
    <n v="445.4"/>
    <s v="AR4"/>
    <s v="USEPA"/>
    <s v="USEPA (2022)"/>
    <n v="2022"/>
    <n v="2022"/>
    <n v="2.5573309100000001"/>
    <n v="0"/>
    <x v="7"/>
    <s v="Office"/>
  </r>
  <r>
    <n v="292833"/>
    <s v="Top of Hierarchy &gt; North America &gt; Vantage_Carnegie"/>
    <x v="0"/>
    <x v="0"/>
    <d v="2022-01-01T00:00:00"/>
    <d v="2022-12-31T00:00:00"/>
    <x v="2"/>
    <d v="2022-01-01T00:00:00"/>
    <d v="2022-12-31T00:00:00"/>
    <s v="Propane"/>
    <n v="445.4"/>
    <s v="US liquid gallons"/>
    <x v="1"/>
    <m/>
    <s v="2023-05-05, 19:54"/>
    <s v="2023-07-20, 00:40"/>
    <n v="2022"/>
    <s v="propane"/>
    <s v="Propane"/>
    <s v="model"/>
    <b v="0"/>
    <s v="PETROLEUM PRODUCTS, PROPANE"/>
    <x v="2"/>
    <x v="0"/>
    <s v="Americas"/>
    <s v="Northern America"/>
    <s v="US"/>
    <m/>
    <n v="0"/>
    <s v="N2O"/>
    <n v="6.6364599999999996"/>
    <n v="1.49E-2"/>
    <s v="GALLON (US LIQUID)"/>
    <n v="1"/>
    <n v="445.4"/>
    <s v="AR4"/>
    <s v="USEPA"/>
    <s v="USEPA Emission Factors Hub (Last Modified: March 2020)"/>
    <n v="2022"/>
    <n v="2021"/>
    <n v="0"/>
    <n v="0"/>
    <x v="7"/>
    <s v="Office"/>
  </r>
  <r>
    <n v="292833"/>
    <s v="Top of Hierarchy &gt; North America &gt; Vantage_Carnegie"/>
    <x v="0"/>
    <x v="0"/>
    <d v="2022-01-01T00:00:00"/>
    <d v="2022-12-31T00:00:00"/>
    <x v="2"/>
    <d v="2022-01-01T00:00:00"/>
    <d v="2022-12-31T00:00:00"/>
    <s v="Propane"/>
    <n v="445.4"/>
    <s v="US liquid gallons"/>
    <x v="1"/>
    <m/>
    <s v="2023-05-05, 19:54"/>
    <s v="2023-07-20, 00:40"/>
    <n v="2022"/>
    <s v="propane"/>
    <s v="Propane"/>
    <s v="model"/>
    <b v="0"/>
    <s v="PETROLEUM PRODUCTS, PROPANE"/>
    <x v="2"/>
    <x v="0"/>
    <s v="Americas"/>
    <s v="Northern America"/>
    <s v="US"/>
    <m/>
    <n v="1"/>
    <s v="CH4"/>
    <n v="3.0064500000000001"/>
    <n v="6.7499999999999999E-3"/>
    <s v="GALLON (US LIQUID)"/>
    <n v="1"/>
    <n v="445.4"/>
    <s v="AR4"/>
    <s v="USEPA"/>
    <s v="USEPA Emission Factors Hub (Last Modified: March 2020)"/>
    <n v="2022"/>
    <n v="2021"/>
    <n v="0"/>
    <n v="0"/>
    <x v="7"/>
    <s v="Office"/>
  </r>
  <r>
    <n v="292833"/>
    <s v="Top of Hierarchy &gt; North America &gt; Vantage_Carnegie"/>
    <x v="0"/>
    <x v="0"/>
    <d v="2022-01-01T00:00:00"/>
    <d v="2022-12-31T00:00:00"/>
    <x v="2"/>
    <d v="2022-01-01T00:00:00"/>
    <d v="2022-12-31T00:00:00"/>
    <s v="Propane"/>
    <n v="445.4"/>
    <s v="US liquid gallons"/>
    <x v="1"/>
    <m/>
    <s v="2023-05-05, 19:54"/>
    <s v="2023-07-20, 00:40"/>
    <n v="2022"/>
    <s v="propane"/>
    <s v="Propane"/>
    <s v="model"/>
    <b v="0"/>
    <s v="PETROLEUM PRODUCTS, PROPANE"/>
    <x v="2"/>
    <x v="0"/>
    <s v="Americas"/>
    <s v="Northern America"/>
    <s v="US"/>
    <m/>
    <n v="1"/>
    <s v="CO2"/>
    <n v="2547.6880000000001"/>
    <n v="5.72"/>
    <s v="GALLON (US LIQUID)"/>
    <n v="1"/>
    <n v="445.4"/>
    <s v="AR4"/>
    <s v="USEPA"/>
    <s v="USEPA (2022)"/>
    <n v="2022"/>
    <n v="2022"/>
    <n v="0"/>
    <n v="0"/>
    <x v="7"/>
    <s v="Office"/>
  </r>
  <r>
    <n v="292833"/>
    <s v="Top of Hierarchy &gt; North America &gt; Vantage_Carnegie"/>
    <x v="0"/>
    <x v="0"/>
    <d v="2022-01-01T00:00:00"/>
    <d v="2022-12-31T00:00:00"/>
    <x v="2"/>
    <d v="2022-01-01T00:00:00"/>
    <d v="2022-12-31T00:00:00"/>
    <s v="Propane"/>
    <n v="445.4"/>
    <s v="US liquid gallons"/>
    <x v="1"/>
    <m/>
    <s v="2023-05-05, 19:54"/>
    <s v="2023-07-20, 00:40"/>
    <n v="2022"/>
    <s v="propane"/>
    <s v="Propane"/>
    <s v="model"/>
    <b v="0"/>
    <s v="PETROLEUM PRODUCTS, PROPANE"/>
    <x v="2"/>
    <x v="0"/>
    <s v="Americas"/>
    <s v="Northern America"/>
    <s v="US"/>
    <m/>
    <n v="1"/>
    <s v="CO2E"/>
    <n v="2557.3309100000001"/>
    <n v="5.7416499999999999"/>
    <s v="GALLON (US LIQUID)"/>
    <n v="1"/>
    <n v="445.4"/>
    <s v="AR4"/>
    <s v="USEPA"/>
    <s v="USEPA (2022)"/>
    <n v="2022"/>
    <n v="2022"/>
    <n v="0"/>
    <n v="2.5573309100000001"/>
    <x v="7"/>
    <s v="Office"/>
  </r>
  <r>
    <n v="292833"/>
    <s v="Top of Hierarchy &gt; North America &gt; Vantage_Carnegie"/>
    <x v="0"/>
    <x v="0"/>
    <d v="2022-01-01T00:00:00"/>
    <d v="2022-12-31T00:00:00"/>
    <x v="2"/>
    <d v="2022-01-01T00:00:00"/>
    <d v="2022-12-31T00:00:00"/>
    <s v="Propane"/>
    <n v="445.4"/>
    <s v="US liquid gallons"/>
    <x v="1"/>
    <m/>
    <s v="2023-05-05, 19:54"/>
    <s v="2023-07-20, 00:40"/>
    <n v="2022"/>
    <s v="propane"/>
    <s v="Propane"/>
    <s v="model"/>
    <b v="0"/>
    <s v="PETROLEUM PRODUCTS, PROPANE"/>
    <x v="2"/>
    <x v="0"/>
    <s v="Americas"/>
    <s v="Northern America"/>
    <s v="US"/>
    <m/>
    <n v="1"/>
    <s v="N2O"/>
    <n v="6.6364599999999996"/>
    <n v="1.49E-2"/>
    <s v="GALLON (US LIQUID)"/>
    <n v="1"/>
    <n v="445.4"/>
    <s v="AR4"/>
    <s v="USEPA"/>
    <s v="USEPA Emission Factors Hub (Last Modified: March 2020)"/>
    <n v="2022"/>
    <n v="2021"/>
    <n v="0"/>
    <n v="0"/>
    <x v="7"/>
    <s v="Office"/>
  </r>
  <r>
    <n v="292833"/>
    <s v="Top of Hierarchy &gt; North America &gt; Vantage_Carnegie"/>
    <x v="0"/>
    <x v="0"/>
    <d v="2022-01-01T00:00:00"/>
    <d v="2022-12-31T00:00:00"/>
    <x v="2"/>
    <d v="2022-01-01T00:00:00"/>
    <d v="2022-12-31T00:00:00"/>
    <s v="Propane"/>
    <n v="445.4"/>
    <s v="US liquid gallons"/>
    <x v="1"/>
    <m/>
    <s v="2023-05-05, 19:54"/>
    <s v="2023-07-20, 00:40"/>
    <n v="2022"/>
    <s v="propane__wtt"/>
    <s v="Propane WTT"/>
    <s v="wtt"/>
    <b v="0"/>
    <s v="WTT- FUELS; GASEOUS FUELS; PROPANE"/>
    <x v="1"/>
    <x v="1"/>
    <m/>
    <m/>
    <m/>
    <m/>
    <n v="0"/>
    <s v="CO2E"/>
    <n v="304.25946049999999"/>
    <n v="0.18046000000000001"/>
    <s v="LITRES"/>
    <n v="3.7854100000000002"/>
    <n v="1686.021614"/>
    <s v="AR4"/>
    <s v="Defra"/>
    <s v="Defra (2022)"/>
    <n v="2022"/>
    <n v="2020"/>
    <n v="0.30425946049999997"/>
    <n v="0"/>
    <x v="7"/>
    <s v="Office"/>
  </r>
  <r>
    <n v="292833"/>
    <s v="Top of Hierarchy &gt; North America &gt; Vantage_Carnegie"/>
    <x v="0"/>
    <x v="0"/>
    <d v="2022-01-01T00:00:00"/>
    <d v="2022-12-31T00:00:00"/>
    <x v="2"/>
    <d v="2022-01-01T00:00:00"/>
    <d v="2022-12-31T00:00:00"/>
    <s v="Propane"/>
    <n v="445.4"/>
    <s v="US liquid gallons"/>
    <x v="1"/>
    <m/>
    <s v="2023-05-05, 19:54"/>
    <s v="2023-07-20, 00:40"/>
    <n v="2022"/>
    <s v="propane__wtt"/>
    <s v="Propane WTT"/>
    <s v="wtt"/>
    <b v="0"/>
    <s v="WTT- FUELS; GASEOUS FUELS; PROPANE"/>
    <x v="1"/>
    <x v="1"/>
    <m/>
    <m/>
    <m/>
    <m/>
    <n v="1"/>
    <s v="CO2E"/>
    <n v="304.25946049999999"/>
    <n v="0.18046000000000001"/>
    <s v="LITRES"/>
    <n v="3.7854100000000002"/>
    <n v="1686.021614"/>
    <s v="AR4"/>
    <s v="Defra"/>
    <s v="Defra (2022)"/>
    <n v="2022"/>
    <n v="2020"/>
    <n v="0"/>
    <n v="0.30425946049999997"/>
    <x v="7"/>
    <s v="Office"/>
  </r>
  <r>
    <n v="4943"/>
    <s v="Top of Hierarchy &gt; North America &gt; Vantage_Carnegie"/>
    <x v="0"/>
    <x v="1"/>
    <d v="2021-01-01T00:00:00"/>
    <d v="2021-12-31T00:00:00"/>
    <x v="0"/>
    <d v="2021-01-01T00:00:00"/>
    <d v="2021-12-31T00:00:00"/>
    <s v="Electricity (non-renewable)"/>
    <n v="1392124"/>
    <s v="Kilowatt hours"/>
    <x v="1"/>
    <m/>
    <s v="2023-02-27, 16:27"/>
    <s v="2023-07-20, 00:40"/>
    <n v="2021"/>
    <s v="electricity"/>
    <s v="Electricity"/>
    <s v="model"/>
    <b v="0"/>
    <s v="ELECTRICITY; UNITED STATES - RFCW"/>
    <x v="0"/>
    <x v="0"/>
    <s v="Americas"/>
    <s v="Northern America"/>
    <s v="US"/>
    <s v="RFCW"/>
    <n v="0"/>
    <s v="CH4"/>
    <n v="1562.8556410000001"/>
    <n v="1.122641E-3"/>
    <s v="KWH"/>
    <n v="1"/>
    <n v="1392124"/>
    <s v="AR4"/>
    <s v="USEPA"/>
    <s v="USEPA (2021)"/>
    <n v="2021"/>
    <n v="2019"/>
    <n v="0"/>
    <n v="0"/>
    <x v="7"/>
    <s v="Office"/>
  </r>
  <r>
    <n v="4943"/>
    <s v="Top of Hierarchy &gt; North America &gt; Vantage_Carnegie"/>
    <x v="0"/>
    <x v="1"/>
    <d v="2021-01-01T00:00:00"/>
    <d v="2021-12-31T00:00:00"/>
    <x v="0"/>
    <d v="2021-01-01T00:00:00"/>
    <d v="2021-12-31T00:00:00"/>
    <s v="Electricity (non-renewable)"/>
    <n v="1392124"/>
    <s v="Kilowatt hours"/>
    <x v="1"/>
    <m/>
    <s v="2023-02-27, 16:27"/>
    <s v="2023-07-20, 00:40"/>
    <n v="2021"/>
    <s v="electricity"/>
    <s v="Electricity"/>
    <s v="model"/>
    <b v="0"/>
    <s v="ELECTRICITY; UNITED STATES - RFCW"/>
    <x v="0"/>
    <x v="0"/>
    <s v="Americas"/>
    <s v="Northern America"/>
    <s v="US"/>
    <s v="RFCW"/>
    <n v="0"/>
    <s v="CO2"/>
    <n v="674193.19090000005"/>
    <n v="0.484291048"/>
    <s v="KWH"/>
    <n v="1"/>
    <n v="1392124"/>
    <s v="AR4"/>
    <s v="USEPA"/>
    <s v="USEPA (2021)"/>
    <n v="2021"/>
    <n v="2019"/>
    <n v="0"/>
    <n v="0"/>
    <x v="7"/>
    <s v="Office"/>
  </r>
  <r>
    <n v="4943"/>
    <s v="Top of Hierarchy &gt; North America &gt; Vantage_Carnegie"/>
    <x v="0"/>
    <x v="1"/>
    <d v="2021-01-01T00:00:00"/>
    <d v="2021-12-31T00:00:00"/>
    <x v="0"/>
    <d v="2021-01-01T00:00:00"/>
    <d v="2021-12-31T00:00:00"/>
    <s v="Electricity (non-renewable)"/>
    <n v="1392124"/>
    <s v="Kilowatt hours"/>
    <x v="1"/>
    <m/>
    <s v="2023-02-27, 16:27"/>
    <s v="2023-07-20, 00:40"/>
    <n v="2021"/>
    <s v="electricity"/>
    <s v="Electricity"/>
    <s v="model"/>
    <b v="0"/>
    <s v="ELECTRICITY; UNITED STATES - RFCW"/>
    <x v="0"/>
    <x v="0"/>
    <s v="Americas"/>
    <s v="Northern America"/>
    <s v="US"/>
    <s v="RFCW"/>
    <n v="0"/>
    <s v="CO2E"/>
    <n v="678390.48439999996"/>
    <n v="0.48730607599999998"/>
    <s v="KWH"/>
    <n v="1"/>
    <n v="1392124"/>
    <s v="AR4"/>
    <s v="USEPA"/>
    <s v="USEPA (2021)"/>
    <n v="2021"/>
    <n v="2019"/>
    <n v="678.39048439999999"/>
    <n v="0"/>
    <x v="7"/>
    <s v="Office"/>
  </r>
  <r>
    <n v="4943"/>
    <s v="Top of Hierarchy &gt; North America &gt; Vantage_Carnegie"/>
    <x v="0"/>
    <x v="1"/>
    <d v="2021-01-01T00:00:00"/>
    <d v="2021-12-31T00:00:00"/>
    <x v="0"/>
    <d v="2021-01-01T00:00:00"/>
    <d v="2021-12-31T00:00:00"/>
    <s v="Electricity (non-renewable)"/>
    <n v="1392124"/>
    <s v="Kilowatt hours"/>
    <x v="1"/>
    <m/>
    <s v="2023-02-27, 16:27"/>
    <s v="2023-07-20, 00:40"/>
    <n v="2021"/>
    <s v="electricity"/>
    <s v="Electricity"/>
    <s v="model"/>
    <b v="0"/>
    <s v="ELECTRICITY; UNITED STATES - RFCW"/>
    <x v="0"/>
    <x v="0"/>
    <s v="Americas"/>
    <s v="Northern America"/>
    <s v="US"/>
    <s v="RFCW"/>
    <n v="0"/>
    <s v="N2O"/>
    <n v="2634.437872"/>
    <n v="1.8923869999999999E-3"/>
    <s v="KWH"/>
    <n v="1"/>
    <n v="1392124"/>
    <s v="AR4"/>
    <s v="USEPA"/>
    <s v="USEPA (2021)"/>
    <n v="2021"/>
    <n v="2019"/>
    <n v="0"/>
    <n v="0"/>
    <x v="7"/>
    <s v="Office"/>
  </r>
  <r>
    <n v="4943"/>
    <s v="Top of Hierarchy &gt; North America &gt; Vantage_Carnegie"/>
    <x v="0"/>
    <x v="1"/>
    <d v="2021-01-01T00:00:00"/>
    <d v="2021-12-31T00:00:00"/>
    <x v="0"/>
    <d v="2021-01-01T00:00:00"/>
    <d v="2021-12-31T00:00:00"/>
    <s v="Electricity (non-renewable)"/>
    <n v="1392124"/>
    <s v="Kilowatt hours"/>
    <x v="1"/>
    <m/>
    <s v="2023-02-27, 16:27"/>
    <s v="2023-07-20, 00:40"/>
    <n v="2021"/>
    <s v="electricity"/>
    <s v="Electricity"/>
    <s v="model"/>
    <b v="1"/>
    <s v="ELECTRICITY; UNITED STATES - RFCW"/>
    <x v="0"/>
    <x v="0"/>
    <m/>
    <m/>
    <m/>
    <m/>
    <n v="1"/>
    <s v="CO2E MKT"/>
    <n v="546386.96120000002"/>
    <n v="0.39248440600000001"/>
    <s v="KWH"/>
    <n v="1"/>
    <n v="1392124"/>
    <m/>
    <m/>
    <s v="Supplier"/>
    <n v="2021"/>
    <m/>
    <n v="0"/>
    <n v="546.38696119999997"/>
    <x v="7"/>
    <s v="Office"/>
  </r>
  <r>
    <n v="4943"/>
    <s v="Top of Hierarchy &gt; North America &gt; Vantage_Carnegie"/>
    <x v="0"/>
    <x v="1"/>
    <d v="2021-01-01T00:00:00"/>
    <d v="2021-12-31T00:00:00"/>
    <x v="0"/>
    <d v="2021-01-01T00:00:00"/>
    <d v="2021-12-31T00:00:00"/>
    <s v="Electricity (non-renewable)"/>
    <n v="1392124"/>
    <s v="Kilowatt hours"/>
    <x v="1"/>
    <m/>
    <s v="2023-02-27, 16:27"/>
    <s v="2023-07-20, 00:40"/>
    <n v="2021"/>
    <s v="electricity__t+d__wtt"/>
    <s v="Electricity T&amp;D WTT"/>
    <s v="t+d_wtt"/>
    <b v="0"/>
    <s v="ELECTRICITY; UNITED STATES - RFCW; T&amp;D WTT Estimated"/>
    <x v="1"/>
    <x v="1"/>
    <s v="Americas"/>
    <s v="Northern America"/>
    <s v="US"/>
    <s v="RFCW"/>
    <n v="0"/>
    <s v="CH4"/>
    <n v="21.055905899999999"/>
    <n v="1.5125E-5"/>
    <s v="KWH"/>
    <n v="1"/>
    <n v="1392124"/>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ELECTRICITY; TRANSMISSION AND DISTRIBUTION; UNITED STATES - RFCW, USEPA to estimate the T&amp;D WTT factor."/>
    <n v="2021"/>
    <n v="2019"/>
    <n v="0"/>
    <n v="0"/>
    <x v="7"/>
    <s v="Office"/>
  </r>
  <r>
    <n v="4943"/>
    <s v="Top of Hierarchy &gt; North America &gt; Vantage_Carnegie"/>
    <x v="0"/>
    <x v="1"/>
    <d v="2021-01-01T00:00:00"/>
    <d v="2021-12-31T00:00:00"/>
    <x v="0"/>
    <d v="2021-01-01T00:00:00"/>
    <d v="2021-12-31T00:00:00"/>
    <s v="Electricity (non-renewable)"/>
    <n v="1392124"/>
    <s v="Kilowatt hours"/>
    <x v="1"/>
    <m/>
    <s v="2023-02-27, 16:27"/>
    <s v="2023-07-20, 00:40"/>
    <n v="2021"/>
    <s v="electricity__t+d__wtt"/>
    <s v="Electricity T&amp;D WTT"/>
    <s v="t+d_wtt"/>
    <b v="0"/>
    <s v="ELECTRICITY; UNITED STATES - RFCW; T&amp;D WTT Estimated"/>
    <x v="1"/>
    <x v="1"/>
    <s v="Americas"/>
    <s v="Northern America"/>
    <s v="US"/>
    <s v="RFCW"/>
    <n v="0"/>
    <s v="CO2"/>
    <n v="9083.2115360000007"/>
    <n v="6.524714E-3"/>
    <s v="KWH"/>
    <n v="1"/>
    <n v="1392124"/>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ELECTRICITY; TRANSMISSION AND DISTRIBUTION; UNITED STATES - RFCW, USEPA to estimate the T&amp;D WTT factor."/>
    <n v="2021"/>
    <n v="2019"/>
    <n v="0"/>
    <n v="0"/>
    <x v="7"/>
    <s v="Office"/>
  </r>
  <r>
    <n v="4943"/>
    <s v="Top of Hierarchy &gt; North America &gt; Vantage_Carnegie"/>
    <x v="0"/>
    <x v="1"/>
    <d v="2021-01-01T00:00:00"/>
    <d v="2021-12-31T00:00:00"/>
    <x v="0"/>
    <d v="2021-01-01T00:00:00"/>
    <d v="2021-12-31T00:00:00"/>
    <s v="Electricity (non-renewable)"/>
    <n v="1392124"/>
    <s v="Kilowatt hours"/>
    <x v="1"/>
    <m/>
    <s v="2023-02-27, 16:27"/>
    <s v="2023-07-20, 00:40"/>
    <n v="2021"/>
    <s v="electricity__t+d__wtt"/>
    <s v="Electricity T&amp;D WTT"/>
    <s v="t+d_wtt"/>
    <b v="0"/>
    <s v="ELECTRICITY; UNITED STATES - RFCW; T&amp;D WTT Estimated"/>
    <x v="1"/>
    <x v="1"/>
    <s v="Americas"/>
    <s v="Northern America"/>
    <s v="US"/>
    <s v="RFCW"/>
    <n v="0"/>
    <s v="CO2E"/>
    <n v="9139.7604680000004"/>
    <n v="6.5653350000000003E-3"/>
    <s v="KWH"/>
    <n v="1"/>
    <n v="1392124"/>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ELECTRICITY; TRANSMISSION AND DISTRIBUTION; UNITED STATES - RFCW, USEPA to estimate the T&amp;D WTT factor."/>
    <n v="2021"/>
    <n v="2019"/>
    <n v="9.1397604680000004"/>
    <n v="0"/>
    <x v="7"/>
    <s v="Office"/>
  </r>
  <r>
    <n v="4943"/>
    <s v="Top of Hierarchy &gt; North America &gt; Vantage_Carnegie"/>
    <x v="0"/>
    <x v="1"/>
    <d v="2021-01-01T00:00:00"/>
    <d v="2021-12-31T00:00:00"/>
    <x v="0"/>
    <d v="2021-01-01T00:00:00"/>
    <d v="2021-12-31T00:00:00"/>
    <s v="Electricity (non-renewable)"/>
    <n v="1392124"/>
    <s v="Kilowatt hours"/>
    <x v="1"/>
    <m/>
    <s v="2023-02-27, 16:27"/>
    <s v="2023-07-20, 00:40"/>
    <n v="2021"/>
    <s v="electricity__t+d__wtt"/>
    <s v="Electricity T&amp;D WTT"/>
    <s v="t+d_wtt"/>
    <b v="0"/>
    <s v="ELECTRICITY; UNITED STATES - RFCW; T&amp;D WTT Estimated"/>
    <x v="1"/>
    <x v="1"/>
    <s v="Americas"/>
    <s v="Northern America"/>
    <s v="US"/>
    <s v="RFCW"/>
    <n v="0"/>
    <s v="N2O"/>
    <n v="35.493026020000002"/>
    <n v="2.54956E-5"/>
    <s v="KWH"/>
    <n v="1"/>
    <n v="1392124"/>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ELECTRICITY; TRANSMISSION AND DISTRIBUTION; UNITED STATES - RFCW, USEPA to estimate the T&amp;D WTT factor."/>
    <n v="2021"/>
    <n v="2019"/>
    <n v="0"/>
    <n v="0"/>
    <x v="7"/>
    <s v="Office"/>
  </r>
  <r>
    <n v="4943"/>
    <s v="Top of Hierarchy &gt; North America &gt; Vantage_Carnegie"/>
    <x v="0"/>
    <x v="1"/>
    <d v="2021-01-01T00:00:00"/>
    <d v="2021-12-31T00:00:00"/>
    <x v="0"/>
    <d v="2021-01-01T00:00:00"/>
    <d v="2021-12-31T00:00:00"/>
    <s v="Electricity (non-renewable)"/>
    <n v="1392124"/>
    <s v="Kilowatt hours"/>
    <x v="1"/>
    <m/>
    <s v="2023-02-27, 16:27"/>
    <s v="2023-07-20, 00:40"/>
    <n v="2021"/>
    <s v="electricity__t+d__wtt"/>
    <s v="Electricity T&amp;D WTT"/>
    <s v="t+d_wtt"/>
    <b v="0"/>
    <s v="ELECTRICITY; UNITED STATES - RFCW; T&amp;D WTT Estimated"/>
    <x v="1"/>
    <x v="1"/>
    <s v="Americas"/>
    <s v="Northern America"/>
    <s v="US"/>
    <s v="RFCW"/>
    <n v="1"/>
    <s v="CO2E MKT"/>
    <n v="9086.5379429999994"/>
    <n v="6.5271039999999997E-3"/>
    <s v="KWH"/>
    <n v="1"/>
    <n v="1392124"/>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  to estimate the T&amp;D WTT factor."/>
    <n v="2021"/>
    <n v="2019"/>
    <n v="0"/>
    <n v="9.0865379429999997"/>
    <x v="7"/>
    <s v="Office"/>
  </r>
  <r>
    <n v="4943"/>
    <s v="Top of Hierarchy &gt; North America &gt; Vantage_Carnegie"/>
    <x v="0"/>
    <x v="1"/>
    <d v="2021-01-01T00:00:00"/>
    <d v="2021-12-31T00:00:00"/>
    <x v="0"/>
    <d v="2021-01-01T00:00:00"/>
    <d v="2021-12-31T00:00:00"/>
    <s v="Electricity (non-renewable)"/>
    <n v="1392124"/>
    <s v="Kilowatt hours"/>
    <x v="1"/>
    <m/>
    <s v="2023-02-27, 16:27"/>
    <s v="2023-07-20, 00:40"/>
    <n v="2021"/>
    <s v="electricity__wtt"/>
    <s v="Electricity WTT"/>
    <s v="wtt"/>
    <b v="0"/>
    <s v="ELECTRICITY; UNITED STATES - RFCW; WTT Estimated"/>
    <x v="1"/>
    <x v="1"/>
    <s v="Americas"/>
    <s v="Northern America"/>
    <s v="US"/>
    <s v="RFCW"/>
    <n v="0"/>
    <s v="CH4"/>
    <n v="412.86089989999999"/>
    <n v="2.96569E-4"/>
    <s v="KWH"/>
    <n v="1"/>
    <n v="1392124"/>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RFCW, USEPAto estimate the WTT factor."/>
    <n v="2021"/>
    <n v="2019"/>
    <n v="0"/>
    <n v="0"/>
    <x v="7"/>
    <s v="Office"/>
  </r>
  <r>
    <n v="4943"/>
    <s v="Top of Hierarchy &gt; North America &gt; Vantage_Carnegie"/>
    <x v="0"/>
    <x v="1"/>
    <d v="2021-01-01T00:00:00"/>
    <d v="2021-12-31T00:00:00"/>
    <x v="0"/>
    <d v="2021-01-01T00:00:00"/>
    <d v="2021-12-31T00:00:00"/>
    <s v="Electricity (non-renewable)"/>
    <n v="1392124"/>
    <s v="Kilowatt hours"/>
    <x v="1"/>
    <m/>
    <s v="2023-02-27, 16:27"/>
    <s v="2023-07-20, 00:40"/>
    <n v="2021"/>
    <s v="electricity__wtt"/>
    <s v="Electricity WTT"/>
    <s v="wtt"/>
    <b v="0"/>
    <s v="ELECTRICITY; UNITED STATES - RFCW; WTT Estimated"/>
    <x v="1"/>
    <x v="1"/>
    <s v="Americas"/>
    <s v="Northern America"/>
    <s v="US"/>
    <s v="RFCW"/>
    <n v="0"/>
    <s v="CO2"/>
    <n v="178102.18700000001"/>
    <n v="0.12793557699999999"/>
    <s v="KWH"/>
    <n v="1"/>
    <n v="1392124"/>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RFCW, USEPAto estimate the WTT factor."/>
    <n v="2021"/>
    <n v="2019"/>
    <n v="0"/>
    <n v="0"/>
    <x v="7"/>
    <s v="Office"/>
  </r>
  <r>
    <n v="4943"/>
    <s v="Top of Hierarchy &gt; North America &gt; Vantage_Carnegie"/>
    <x v="0"/>
    <x v="1"/>
    <d v="2021-01-01T00:00:00"/>
    <d v="2021-12-31T00:00:00"/>
    <x v="0"/>
    <d v="2021-01-01T00:00:00"/>
    <d v="2021-12-31T00:00:00"/>
    <s v="Electricity (non-renewable)"/>
    <n v="1392124"/>
    <s v="Kilowatt hours"/>
    <x v="1"/>
    <m/>
    <s v="2023-02-27, 16:27"/>
    <s v="2023-07-20, 00:40"/>
    <n v="2021"/>
    <s v="electricity__wtt"/>
    <s v="Electricity WTT"/>
    <s v="wtt"/>
    <b v="0"/>
    <s v="ELECTRICITY; UNITED STATES - RFCW; WTT Estimated"/>
    <x v="1"/>
    <x v="1"/>
    <s v="Americas"/>
    <s v="Northern America"/>
    <s v="US"/>
    <s v="RFCW"/>
    <n v="0"/>
    <s v="CO2E"/>
    <n v="179210.9896"/>
    <n v="0.12873205900000001"/>
    <s v="KWH"/>
    <n v="1"/>
    <n v="1392124"/>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RFCW, USEPAto estimate the WTT factor."/>
    <n v="2021"/>
    <n v="2019"/>
    <n v="179.2109896"/>
    <n v="0"/>
    <x v="7"/>
    <s v="Office"/>
  </r>
  <r>
    <n v="4943"/>
    <s v="Top of Hierarchy &gt; North America &gt; Vantage_Carnegie"/>
    <x v="0"/>
    <x v="1"/>
    <d v="2021-01-01T00:00:00"/>
    <d v="2021-12-31T00:00:00"/>
    <x v="0"/>
    <d v="2021-01-01T00:00:00"/>
    <d v="2021-12-31T00:00:00"/>
    <s v="Electricity (non-renewable)"/>
    <n v="1392124"/>
    <s v="Kilowatt hours"/>
    <x v="1"/>
    <m/>
    <s v="2023-02-27, 16:27"/>
    <s v="2023-07-20, 00:40"/>
    <n v="2021"/>
    <s v="electricity__wtt"/>
    <s v="Electricity WTT"/>
    <s v="wtt"/>
    <b v="0"/>
    <s v="ELECTRICITY; UNITED STATES - RFCW; WTT Estimated"/>
    <x v="1"/>
    <x v="1"/>
    <s v="Americas"/>
    <s v="Northern America"/>
    <s v="US"/>
    <s v="RFCW"/>
    <n v="0"/>
    <s v="N2O"/>
    <n v="695.94168660000003"/>
    <n v="4.9991399999999996E-4"/>
    <s v="KWH"/>
    <n v="1"/>
    <n v="1392124"/>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RFCW, USEPAto estimate the WTT factor."/>
    <n v="2021"/>
    <n v="2019"/>
    <n v="0"/>
    <n v="0"/>
    <x v="7"/>
    <s v="Office"/>
  </r>
  <r>
    <n v="4943"/>
    <s v="Top of Hierarchy &gt; North America &gt; Vantage_Carnegie"/>
    <x v="0"/>
    <x v="1"/>
    <d v="2021-01-01T00:00:00"/>
    <d v="2021-12-31T00:00:00"/>
    <x v="0"/>
    <d v="2021-01-01T00:00:00"/>
    <d v="2021-12-31T00:00:00"/>
    <s v="Electricity (non-renewable)"/>
    <n v="1392124"/>
    <s v="Kilowatt hours"/>
    <x v="1"/>
    <m/>
    <s v="2023-02-27, 16:27"/>
    <s v="2023-07-20, 00:40"/>
    <n v="2021"/>
    <s v="electricity__wtt"/>
    <s v="Electricity WTT"/>
    <s v="wtt"/>
    <b v="0"/>
    <s v="ELECTRICITY; UNITED STATES - RFCW; WTT Estimated"/>
    <x v="1"/>
    <x v="1"/>
    <s v="Americas"/>
    <s v="Northern America"/>
    <s v="US"/>
    <s v="RFCW"/>
    <n v="1"/>
    <s v="CO2E MKT"/>
    <n v="178167.41070000001"/>
    <n v="0.12798242900000001"/>
    <s v="KWH"/>
    <n v="1"/>
    <n v="1392124"/>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RFCW, Green-eto estimate the WTT factor."/>
    <n v="2021"/>
    <n v="2019"/>
    <n v="0"/>
    <n v="178.1674107"/>
    <x v="7"/>
    <s v="Office"/>
  </r>
  <r>
    <n v="4943"/>
    <s v="Top of Hierarchy &gt; North America &gt; Vantage_Carnegie"/>
    <x v="0"/>
    <x v="1"/>
    <d v="2021-01-01T00:00:00"/>
    <d v="2021-12-31T00:00:00"/>
    <x v="0"/>
    <d v="2021-01-01T00:00:00"/>
    <d v="2021-12-31T00:00:00"/>
    <s v="Electricity (non-renewable)"/>
    <n v="1392124"/>
    <s v="Kilowatt hours"/>
    <x v="1"/>
    <m/>
    <s v="2023-02-27, 16:27"/>
    <s v="2023-07-20, 00:40"/>
    <n v="2021"/>
    <s v="electricity__t+d"/>
    <s v="Electricity T&amp;D"/>
    <s v="t+d"/>
    <b v="0"/>
    <s v="ELECTRICITY; TRANSMISSION AND DISTRIBUTION; UNITED STATES - RFCW"/>
    <x v="1"/>
    <x v="1"/>
    <s v="Americas"/>
    <s v="Northern America"/>
    <s v="US"/>
    <s v="RFCW"/>
    <n v="0"/>
    <s v="CO2E"/>
    <n v="34597.914709999997"/>
    <n v="2.4852610000000001E-2"/>
    <s v="KWH"/>
    <n v="1"/>
    <n v="1392124"/>
    <s v="AR4"/>
    <s v="USEPA"/>
    <s v="USEPA (2021)"/>
    <n v="2021"/>
    <n v="2019"/>
    <n v="34.597914709999998"/>
    <n v="0"/>
    <x v="7"/>
    <s v="Office"/>
  </r>
  <r>
    <n v="4943"/>
    <s v="Top of Hierarchy &gt; North America &gt; Vantage_Carnegie"/>
    <x v="0"/>
    <x v="1"/>
    <d v="2021-01-01T00:00:00"/>
    <d v="2021-12-31T00:00:00"/>
    <x v="0"/>
    <d v="2021-01-01T00:00:00"/>
    <d v="2021-12-31T00:00:00"/>
    <s v="Electricity (non-renewable)"/>
    <n v="1392124"/>
    <s v="Kilowatt hours"/>
    <x v="1"/>
    <m/>
    <s v="2023-02-27, 16:27"/>
    <s v="2023-07-20, 00:40"/>
    <n v="2021"/>
    <s v="electricity__t+d"/>
    <s v="Electricity T&amp;D"/>
    <s v="t+d"/>
    <b v="0"/>
    <s v="ELECTRICITY; UNITED STATES - RFCW; T&amp;D Estimated"/>
    <x v="1"/>
    <x v="1"/>
    <s v="Americas"/>
    <s v="Northern America"/>
    <s v="US"/>
    <s v="RFCW"/>
    <n v="1"/>
    <s v="CO2E MKT"/>
    <n v="34396.444620000002"/>
    <n v="2.4707889E-2"/>
    <s v="KWH"/>
    <n v="1"/>
    <n v="1392124"/>
    <s v="AR4"/>
    <s v="Anthesis"/>
    <s v="The median T&amp;D to generation factor ratio of all countries within the region Northern America was taken to be ELECTRICITY; UNITED STATES - SRSO, USEPA to ELECTRICITY; TRANSMISSION AND DISTRIBUTION; UNITED STATES - SRSO, USEPA: 0.051. This was applied to the base factor ELECTRICITY; UNITED STATES - RFCW, Green-eto estimate the T&amp;D factor."/>
    <n v="2021"/>
    <n v="2019"/>
    <n v="0"/>
    <n v="34.396444620000004"/>
    <x v="7"/>
    <s v="Office"/>
  </r>
  <r>
    <n v="4970"/>
    <s v="Top of Hierarchy &gt; North America &gt; Vantage_Carnegie"/>
    <x v="0"/>
    <x v="1"/>
    <d v="2021-01-01T00:00:00"/>
    <d v="2021-12-31T00:00:00"/>
    <x v="3"/>
    <d v="2021-01-01T00:00:00"/>
    <d v="2021-12-31T00:00:00"/>
    <s v="Natural gas"/>
    <n v="22490600"/>
    <s v="cubic feet"/>
    <x v="1"/>
    <m/>
    <s v="2023-02-27, 16:27"/>
    <s v="2023-07-20, 00:40"/>
    <n v="2021"/>
    <s v="natural_gas"/>
    <s v="Natural Gas"/>
    <s v="model"/>
    <b v="0"/>
    <s v="NATURAL GAS, NATURAL GAS"/>
    <x v="2"/>
    <x v="0"/>
    <s v="Americas"/>
    <s v="Northern America"/>
    <s v="US"/>
    <m/>
    <n v="0"/>
    <s v="CH4"/>
    <n v="579.13295000000005"/>
    <n v="2.5749999999999999E-5"/>
    <s v="SCF"/>
    <n v="1"/>
    <n v="22490600"/>
    <s v="AR4"/>
    <s v="USEPA"/>
    <s v="USEPA Emission Factors Hub (Last Modified: March 2020)"/>
    <n v="2021"/>
    <n v="2020"/>
    <n v="0"/>
    <n v="0"/>
    <x v="7"/>
    <s v="Office"/>
  </r>
  <r>
    <n v="4970"/>
    <s v="Top of Hierarchy &gt; North America &gt; Vantage_Carnegie"/>
    <x v="0"/>
    <x v="1"/>
    <d v="2021-01-01T00:00:00"/>
    <d v="2021-12-31T00:00:00"/>
    <x v="3"/>
    <d v="2021-01-01T00:00:00"/>
    <d v="2021-12-31T00:00:00"/>
    <s v="Natural gas"/>
    <n v="22490600"/>
    <s v="cubic feet"/>
    <x v="1"/>
    <m/>
    <s v="2023-02-27, 16:27"/>
    <s v="2023-07-20, 00:40"/>
    <n v="2021"/>
    <s v="natural_gas"/>
    <s v="Natural Gas"/>
    <s v="model"/>
    <b v="0"/>
    <s v="NATURAL GAS, NATURAL GAS"/>
    <x v="2"/>
    <x v="0"/>
    <s v="Americas"/>
    <s v="Northern America"/>
    <s v="US"/>
    <m/>
    <n v="0"/>
    <s v="CO2"/>
    <n v="1224388.264"/>
    <n v="5.4440000000000002E-2"/>
    <s v="SCF"/>
    <n v="1"/>
    <n v="22490600"/>
    <s v="AR4"/>
    <s v="USEPA"/>
    <s v="USEPA (2021)"/>
    <n v="2021"/>
    <n v="2021"/>
    <n v="0"/>
    <n v="0"/>
    <x v="7"/>
    <s v="Office"/>
  </r>
  <r>
    <n v="4970"/>
    <s v="Top of Hierarchy &gt; North America &gt; Vantage_Carnegie"/>
    <x v="0"/>
    <x v="1"/>
    <d v="2021-01-01T00:00:00"/>
    <d v="2021-12-31T00:00:00"/>
    <x v="3"/>
    <d v="2021-01-01T00:00:00"/>
    <d v="2021-12-31T00:00:00"/>
    <s v="Natural gas"/>
    <n v="22490600"/>
    <s v="cubic feet"/>
    <x v="1"/>
    <m/>
    <s v="2023-02-27, 16:27"/>
    <s v="2023-07-20, 00:40"/>
    <n v="2021"/>
    <s v="natural_gas"/>
    <s v="Natural Gas"/>
    <s v="model"/>
    <b v="0"/>
    <s v="NATURAL GAS, NATURAL GAS"/>
    <x v="2"/>
    <x v="0"/>
    <s v="Americas"/>
    <s v="Northern America"/>
    <s v="US"/>
    <m/>
    <n v="0"/>
    <s v="CO2E"/>
    <n v="1225637.6170000001"/>
    <n v="5.4495549999999997E-2"/>
    <s v="SCF"/>
    <n v="1"/>
    <n v="22490600"/>
    <s v="AR4"/>
    <s v="USEPA"/>
    <s v="USEPA Emission Factors Hub (Last Modified: March 2020)"/>
    <n v="2021"/>
    <n v="2020"/>
    <n v="1225.6376170000001"/>
    <n v="0"/>
    <x v="7"/>
    <s v="Office"/>
  </r>
  <r>
    <n v="4970"/>
    <s v="Top of Hierarchy &gt; North America &gt; Vantage_Carnegie"/>
    <x v="0"/>
    <x v="1"/>
    <d v="2021-01-01T00:00:00"/>
    <d v="2021-12-31T00:00:00"/>
    <x v="3"/>
    <d v="2021-01-01T00:00:00"/>
    <d v="2021-12-31T00:00:00"/>
    <s v="Natural gas"/>
    <n v="22490600"/>
    <s v="cubic feet"/>
    <x v="1"/>
    <m/>
    <s v="2023-02-27, 16:27"/>
    <s v="2023-07-20, 00:40"/>
    <n v="2021"/>
    <s v="natural_gas"/>
    <s v="Natural Gas"/>
    <s v="model"/>
    <b v="0"/>
    <s v="NATURAL GAS, NATURAL GAS"/>
    <x v="2"/>
    <x v="0"/>
    <s v="Americas"/>
    <s v="Northern America"/>
    <s v="US"/>
    <m/>
    <n v="0"/>
    <s v="N2O"/>
    <n v="670.21987999999999"/>
    <n v="2.9799999999999999E-5"/>
    <s v="SCF"/>
    <n v="1"/>
    <n v="22490600"/>
    <s v="AR4"/>
    <s v="USEPA"/>
    <s v="USEPA (2021)"/>
    <n v="2021"/>
    <n v="2021"/>
    <n v="0"/>
    <n v="0"/>
    <x v="7"/>
    <s v="Office"/>
  </r>
  <r>
    <n v="4970"/>
    <s v="Top of Hierarchy &gt; North America &gt; Vantage_Carnegie"/>
    <x v="0"/>
    <x v="1"/>
    <d v="2021-01-01T00:00:00"/>
    <d v="2021-12-31T00:00:00"/>
    <x v="3"/>
    <d v="2021-01-01T00:00:00"/>
    <d v="2021-12-31T00:00:00"/>
    <s v="Natural gas"/>
    <n v="22490600"/>
    <s v="cubic feet"/>
    <x v="1"/>
    <m/>
    <s v="2023-02-27, 16:27"/>
    <s v="2023-07-20, 00:40"/>
    <n v="2021"/>
    <s v="natural_gas"/>
    <s v="Natural Gas"/>
    <s v="model"/>
    <b v="0"/>
    <s v="NATURAL GAS, NATURAL GAS"/>
    <x v="2"/>
    <x v="0"/>
    <s v="Americas"/>
    <s v="Northern America"/>
    <s v="US"/>
    <m/>
    <n v="1"/>
    <s v="CH4"/>
    <n v="579.13295000000005"/>
    <n v="2.5749999999999999E-5"/>
    <s v="SCF"/>
    <n v="1"/>
    <n v="22490600"/>
    <s v="AR4"/>
    <s v="USEPA"/>
    <s v="USEPA Emission Factors Hub (Last Modified: March 2020)"/>
    <n v="2021"/>
    <n v="2020"/>
    <n v="0"/>
    <n v="0"/>
    <x v="7"/>
    <s v="Office"/>
  </r>
  <r>
    <n v="4970"/>
    <s v="Top of Hierarchy &gt; North America &gt; Vantage_Carnegie"/>
    <x v="0"/>
    <x v="1"/>
    <d v="2021-01-01T00:00:00"/>
    <d v="2021-12-31T00:00:00"/>
    <x v="3"/>
    <d v="2021-01-01T00:00:00"/>
    <d v="2021-12-31T00:00:00"/>
    <s v="Natural gas"/>
    <n v="22490600"/>
    <s v="cubic feet"/>
    <x v="1"/>
    <m/>
    <s v="2023-02-27, 16:27"/>
    <s v="2023-07-20, 00:40"/>
    <n v="2021"/>
    <s v="natural_gas"/>
    <s v="Natural Gas"/>
    <s v="model"/>
    <b v="0"/>
    <s v="NATURAL GAS, NATURAL GAS"/>
    <x v="2"/>
    <x v="0"/>
    <s v="Americas"/>
    <s v="Northern America"/>
    <s v="US"/>
    <m/>
    <n v="1"/>
    <s v="CO2"/>
    <n v="1224388.264"/>
    <n v="5.4440000000000002E-2"/>
    <s v="SCF"/>
    <n v="1"/>
    <n v="22490600"/>
    <s v="AR4"/>
    <s v="USEPA"/>
    <s v="USEPA (2021)"/>
    <n v="2021"/>
    <n v="2021"/>
    <n v="0"/>
    <n v="0"/>
    <x v="7"/>
    <s v="Office"/>
  </r>
  <r>
    <n v="4970"/>
    <s v="Top of Hierarchy &gt; North America &gt; Vantage_Carnegie"/>
    <x v="0"/>
    <x v="1"/>
    <d v="2021-01-01T00:00:00"/>
    <d v="2021-12-31T00:00:00"/>
    <x v="3"/>
    <d v="2021-01-01T00:00:00"/>
    <d v="2021-12-31T00:00:00"/>
    <s v="Natural gas"/>
    <n v="22490600"/>
    <s v="cubic feet"/>
    <x v="1"/>
    <m/>
    <s v="2023-02-27, 16:27"/>
    <s v="2023-07-20, 00:40"/>
    <n v="2021"/>
    <s v="natural_gas"/>
    <s v="Natural Gas"/>
    <s v="model"/>
    <b v="0"/>
    <s v="NATURAL GAS, NATURAL GAS"/>
    <x v="2"/>
    <x v="0"/>
    <s v="Americas"/>
    <s v="Northern America"/>
    <s v="US"/>
    <m/>
    <n v="1"/>
    <s v="CO2E"/>
    <n v="1225637.6170000001"/>
    <n v="5.4495549999999997E-2"/>
    <s v="SCF"/>
    <n v="1"/>
    <n v="22490600"/>
    <s v="AR4"/>
    <s v="USEPA"/>
    <s v="USEPA Emission Factors Hub (Last Modified: March 2020)"/>
    <n v="2021"/>
    <n v="2020"/>
    <n v="0"/>
    <n v="1225.6376170000001"/>
    <x v="7"/>
    <s v="Office"/>
  </r>
  <r>
    <n v="4970"/>
    <s v="Top of Hierarchy &gt; North America &gt; Vantage_Carnegie"/>
    <x v="0"/>
    <x v="1"/>
    <d v="2021-01-01T00:00:00"/>
    <d v="2021-12-31T00:00:00"/>
    <x v="3"/>
    <d v="2021-01-01T00:00:00"/>
    <d v="2021-12-31T00:00:00"/>
    <s v="Natural gas"/>
    <n v="22490600"/>
    <s v="cubic feet"/>
    <x v="1"/>
    <m/>
    <s v="2023-02-27, 16:27"/>
    <s v="2023-07-20, 00:40"/>
    <n v="2021"/>
    <s v="natural_gas"/>
    <s v="Natural Gas"/>
    <s v="model"/>
    <b v="0"/>
    <s v="NATURAL GAS, NATURAL GAS"/>
    <x v="2"/>
    <x v="0"/>
    <s v="Americas"/>
    <s v="Northern America"/>
    <s v="US"/>
    <m/>
    <n v="1"/>
    <s v="N2O"/>
    <n v="670.21987999999999"/>
    <n v="2.9799999999999999E-5"/>
    <s v="SCF"/>
    <n v="1"/>
    <n v="22490600"/>
    <s v="AR4"/>
    <s v="USEPA"/>
    <s v="USEPA (2021)"/>
    <n v="2021"/>
    <n v="2021"/>
    <n v="0"/>
    <n v="0"/>
    <x v="7"/>
    <s v="Office"/>
  </r>
  <r>
    <n v="4970"/>
    <s v="Top of Hierarchy &gt; North America &gt; Vantage_Carnegie"/>
    <x v="0"/>
    <x v="1"/>
    <d v="2021-01-01T00:00:00"/>
    <d v="2021-12-31T00:00:00"/>
    <x v="3"/>
    <d v="2021-01-01T00:00:00"/>
    <d v="2021-12-31T00:00:00"/>
    <s v="Natural gas"/>
    <n v="22490600"/>
    <s v="cubic feet"/>
    <x v="1"/>
    <m/>
    <s v="2023-02-27, 16:27"/>
    <s v="2023-07-20, 00:40"/>
    <n v="2021"/>
    <s v="natural_gas__wtt"/>
    <s v="Natural Gas WTT"/>
    <s v="wtt"/>
    <b v="0"/>
    <s v="WTT- FUELS; WTT- GASEOUS FUELS; NATURAL GAS"/>
    <x v="1"/>
    <x v="1"/>
    <m/>
    <m/>
    <m/>
    <m/>
    <n v="0"/>
    <s v="CO2E"/>
    <n v="220309.61009999999"/>
    <n v="0.34593000000000002"/>
    <s v="CUBIC METRES"/>
    <n v="2.83168E-2"/>
    <n v="636861.82209999999"/>
    <s v="AR4"/>
    <s v="Defra"/>
    <s v="Defra (2021)"/>
    <n v="2021"/>
    <n v="2019"/>
    <n v="220.30961009999999"/>
    <n v="0"/>
    <x v="7"/>
    <s v="Office"/>
  </r>
  <r>
    <n v="4970"/>
    <s v="Top of Hierarchy &gt; North America &gt; Vantage_Carnegie"/>
    <x v="0"/>
    <x v="1"/>
    <d v="2021-01-01T00:00:00"/>
    <d v="2021-12-31T00:00:00"/>
    <x v="3"/>
    <d v="2021-01-01T00:00:00"/>
    <d v="2021-12-31T00:00:00"/>
    <s v="Natural gas"/>
    <n v="22490600"/>
    <s v="cubic feet"/>
    <x v="1"/>
    <m/>
    <s v="2023-02-27, 16:27"/>
    <s v="2023-07-20, 00:40"/>
    <n v="2021"/>
    <s v="natural_gas__wtt"/>
    <s v="Natural Gas WTT"/>
    <s v="wtt"/>
    <b v="0"/>
    <s v="WTT- FUELS; WTT- GASEOUS FUELS; NATURAL GAS"/>
    <x v="1"/>
    <x v="1"/>
    <m/>
    <m/>
    <m/>
    <m/>
    <n v="1"/>
    <s v="CO2E"/>
    <n v="220309.61009999999"/>
    <n v="0.34593000000000002"/>
    <s v="CUBIC METRES"/>
    <n v="2.83168E-2"/>
    <n v="636861.82209999999"/>
    <s v="AR4"/>
    <s v="Defra"/>
    <s v="Defra (2021)"/>
    <n v="2021"/>
    <n v="2019"/>
    <n v="0"/>
    <n v="220.30961009999999"/>
    <x v="7"/>
    <s v="Office"/>
  </r>
  <r>
    <n v="5029"/>
    <s v="Top of Hierarchy &gt; North America &gt; Vantage_Carnegie"/>
    <x v="0"/>
    <x v="1"/>
    <d v="2021-01-01T00:00:00"/>
    <d v="2021-12-31T00:00:00"/>
    <x v="4"/>
    <d v="2021-01-01T00:00:00"/>
    <d v="2021-12-31T00:00:00"/>
    <s v="R-410A"/>
    <n v="0"/>
    <s v="kilograms"/>
    <x v="1"/>
    <s v="Gas is R-410a. Frank confirmed no refills in FY21 and FY22"/>
    <s v="2023-02-27, 16:27"/>
    <s v="2023-08-23, 15:41"/>
    <n v="2021"/>
    <s v="r410a"/>
    <s v="R410A"/>
    <s v="model"/>
    <b v="0"/>
    <s v="REFRIGERANT: R-410A"/>
    <x v="2"/>
    <x v="0"/>
    <m/>
    <m/>
    <m/>
    <m/>
    <n v="0"/>
    <s v="CO2E"/>
    <n v="0"/>
    <n v="2088"/>
    <s v="KG"/>
    <n v="1"/>
    <n v="0"/>
    <s v="AR4"/>
    <s v="IPCC"/>
    <s v="IPCC (2021)"/>
    <n v="2021"/>
    <n v="2007"/>
    <n v="0"/>
    <n v="0"/>
    <x v="7"/>
    <s v="Office"/>
  </r>
  <r>
    <n v="5029"/>
    <s v="Top of Hierarchy &gt; North America &gt; Vantage_Carnegie"/>
    <x v="0"/>
    <x v="1"/>
    <d v="2021-01-01T00:00:00"/>
    <d v="2021-12-31T00:00:00"/>
    <x v="4"/>
    <d v="2021-01-01T00:00:00"/>
    <d v="2021-12-31T00:00:00"/>
    <s v="R-410A"/>
    <n v="0"/>
    <s v="kilograms"/>
    <x v="1"/>
    <s v="Gas is R-410a. Frank confirmed no refills in FY21 and FY22"/>
    <s v="2023-02-27, 16:27"/>
    <s v="2023-08-23, 15:41"/>
    <n v="2021"/>
    <s v="r410a"/>
    <s v="R410A"/>
    <s v="model"/>
    <b v="0"/>
    <s v="REFRIGERANT: R-410A"/>
    <x v="2"/>
    <x v="0"/>
    <m/>
    <m/>
    <m/>
    <m/>
    <n v="1"/>
    <s v="CO2E"/>
    <n v="0"/>
    <n v="2088"/>
    <s v="KG"/>
    <n v="1"/>
    <n v="0"/>
    <s v="AR4"/>
    <s v="IPCC"/>
    <s v="IPCC (2021)"/>
    <n v="2021"/>
    <n v="2007"/>
    <n v="0"/>
    <n v="0"/>
    <x v="7"/>
    <s v="Office"/>
  </r>
  <r>
    <n v="1230932"/>
    <s v="Top of Hierarchy &gt; North America &gt; Vantage_Carnegie"/>
    <x v="0"/>
    <x v="1"/>
    <d v="2021-01-01T00:00:00"/>
    <d v="2021-12-31T00:00:00"/>
    <x v="2"/>
    <d v="2021-01-01T00:00:00"/>
    <d v="2021-12-31T00:00:00"/>
    <s v="Propane"/>
    <n v="767.68"/>
    <s v="litres"/>
    <x v="1"/>
    <m/>
    <s v="2023-07-18, 21:22"/>
    <s v="2023-07-20, 00:40"/>
    <n v="2021"/>
    <s v="propane"/>
    <s v="Propane"/>
    <s v="model"/>
    <b v="0"/>
    <s v="PETROLEUM PRODUCTS, PROPANE"/>
    <x v="2"/>
    <x v="0"/>
    <s v="Americas"/>
    <s v="Northern America"/>
    <s v="US"/>
    <m/>
    <n v="0"/>
    <s v="CH4"/>
    <n v="1.368897969"/>
    <n v="6.7499999999999999E-3"/>
    <s v="GALLON (US LIQUID)"/>
    <n v="0.26417217999999998"/>
    <n v="202.7996991"/>
    <s v="AR4"/>
    <s v="USEPA"/>
    <s v="USEPA (2021)"/>
    <n v="2021"/>
    <n v="2021"/>
    <n v="0"/>
    <n v="0"/>
    <x v="7"/>
    <s v="Office"/>
  </r>
  <r>
    <n v="1230932"/>
    <s v="Top of Hierarchy &gt; North America &gt; Vantage_Carnegie"/>
    <x v="0"/>
    <x v="1"/>
    <d v="2021-01-01T00:00:00"/>
    <d v="2021-12-31T00:00:00"/>
    <x v="2"/>
    <d v="2021-01-01T00:00:00"/>
    <d v="2021-12-31T00:00:00"/>
    <s v="Propane"/>
    <n v="767.68"/>
    <s v="litres"/>
    <x v="1"/>
    <m/>
    <s v="2023-07-18, 21:22"/>
    <s v="2023-07-20, 00:40"/>
    <n v="2021"/>
    <s v="propane"/>
    <s v="Propane"/>
    <s v="model"/>
    <b v="0"/>
    <s v="PETROLEUM PRODUCTS, PROPANE"/>
    <x v="2"/>
    <x v="0"/>
    <s v="Americas"/>
    <s v="Northern America"/>
    <s v="US"/>
    <m/>
    <n v="0"/>
    <s v="CO2"/>
    <n v="1160.014279"/>
    <n v="5.72"/>
    <s v="GALLON (US LIQUID)"/>
    <n v="0.26417217999999998"/>
    <n v="202.7996991"/>
    <s v="AR4"/>
    <s v="USEPA"/>
    <s v="USEPA (2021)"/>
    <n v="2021"/>
    <n v="2021"/>
    <n v="0"/>
    <n v="0"/>
    <x v="7"/>
    <s v="Office"/>
  </r>
  <r>
    <n v="1230932"/>
    <s v="Top of Hierarchy &gt; North America &gt; Vantage_Carnegie"/>
    <x v="0"/>
    <x v="1"/>
    <d v="2021-01-01T00:00:00"/>
    <d v="2021-12-31T00:00:00"/>
    <x v="2"/>
    <d v="2021-01-01T00:00:00"/>
    <d v="2021-12-31T00:00:00"/>
    <s v="Propane"/>
    <n v="767.68"/>
    <s v="litres"/>
    <x v="1"/>
    <m/>
    <s v="2023-07-18, 21:22"/>
    <s v="2023-07-20, 00:40"/>
    <n v="2021"/>
    <s v="propane"/>
    <s v="Propane"/>
    <s v="model"/>
    <b v="0"/>
    <s v="PETROLEUM PRODUCTS, PROPANE"/>
    <x v="2"/>
    <x v="0"/>
    <s v="Americas"/>
    <s v="Northern America"/>
    <s v="US"/>
    <m/>
    <n v="0"/>
    <s v="CO2E"/>
    <n v="1164.4048929999999"/>
    <n v="5.7416499999999999"/>
    <s v="GALLON (US LIQUID)"/>
    <n v="0.26417217999999998"/>
    <n v="202.7996991"/>
    <s v="AR4"/>
    <s v="USEPA"/>
    <s v="USEPA (2021)"/>
    <n v="2021"/>
    <n v="2021"/>
    <n v="1.1644048929999999"/>
    <n v="0"/>
    <x v="7"/>
    <s v="Office"/>
  </r>
  <r>
    <n v="1230932"/>
    <s v="Top of Hierarchy &gt; North America &gt; Vantage_Carnegie"/>
    <x v="0"/>
    <x v="1"/>
    <d v="2021-01-01T00:00:00"/>
    <d v="2021-12-31T00:00:00"/>
    <x v="2"/>
    <d v="2021-01-01T00:00:00"/>
    <d v="2021-12-31T00:00:00"/>
    <s v="Propane"/>
    <n v="767.68"/>
    <s v="litres"/>
    <x v="1"/>
    <m/>
    <s v="2023-07-18, 21:22"/>
    <s v="2023-07-20, 00:40"/>
    <n v="2021"/>
    <s v="propane"/>
    <s v="Propane"/>
    <s v="model"/>
    <b v="0"/>
    <s v="PETROLEUM PRODUCTS, PROPANE"/>
    <x v="2"/>
    <x v="0"/>
    <s v="Americas"/>
    <s v="Northern America"/>
    <s v="US"/>
    <m/>
    <n v="0"/>
    <s v="N2O"/>
    <n v="3.0217155170000001"/>
    <n v="1.49E-2"/>
    <s v="GALLON (US LIQUID)"/>
    <n v="0.26417217999999998"/>
    <n v="202.7996991"/>
    <s v="AR4"/>
    <s v="USEPA"/>
    <s v="USEPA (2021)"/>
    <n v="2021"/>
    <n v="2021"/>
    <n v="0"/>
    <n v="0"/>
    <x v="7"/>
    <s v="Office"/>
  </r>
  <r>
    <n v="1230932"/>
    <s v="Top of Hierarchy &gt; North America &gt; Vantage_Carnegie"/>
    <x v="0"/>
    <x v="1"/>
    <d v="2021-01-01T00:00:00"/>
    <d v="2021-12-31T00:00:00"/>
    <x v="2"/>
    <d v="2021-01-01T00:00:00"/>
    <d v="2021-12-31T00:00:00"/>
    <s v="Propane"/>
    <n v="767.68"/>
    <s v="litres"/>
    <x v="1"/>
    <m/>
    <s v="2023-07-18, 21:22"/>
    <s v="2023-07-20, 00:40"/>
    <n v="2021"/>
    <s v="propane"/>
    <s v="Propane"/>
    <s v="model"/>
    <b v="0"/>
    <s v="PETROLEUM PRODUCTS, PROPANE"/>
    <x v="2"/>
    <x v="0"/>
    <s v="Americas"/>
    <s v="Northern America"/>
    <s v="US"/>
    <m/>
    <n v="1"/>
    <s v="CH4"/>
    <n v="1.368897969"/>
    <n v="6.7499999999999999E-3"/>
    <s v="GALLON (US LIQUID)"/>
    <n v="0.26417217999999998"/>
    <n v="202.7996991"/>
    <s v="AR4"/>
    <s v="USEPA"/>
    <s v="USEPA (2021)"/>
    <n v="2021"/>
    <n v="2021"/>
    <n v="0"/>
    <n v="0"/>
    <x v="7"/>
    <s v="Office"/>
  </r>
  <r>
    <n v="1230932"/>
    <s v="Top of Hierarchy &gt; North America &gt; Vantage_Carnegie"/>
    <x v="0"/>
    <x v="1"/>
    <d v="2021-01-01T00:00:00"/>
    <d v="2021-12-31T00:00:00"/>
    <x v="2"/>
    <d v="2021-01-01T00:00:00"/>
    <d v="2021-12-31T00:00:00"/>
    <s v="Propane"/>
    <n v="767.68"/>
    <s v="litres"/>
    <x v="1"/>
    <m/>
    <s v="2023-07-18, 21:22"/>
    <s v="2023-07-20, 00:40"/>
    <n v="2021"/>
    <s v="propane"/>
    <s v="Propane"/>
    <s v="model"/>
    <b v="0"/>
    <s v="PETROLEUM PRODUCTS, PROPANE"/>
    <x v="2"/>
    <x v="0"/>
    <s v="Americas"/>
    <s v="Northern America"/>
    <s v="US"/>
    <m/>
    <n v="1"/>
    <s v="CO2"/>
    <n v="1160.014279"/>
    <n v="5.72"/>
    <s v="GALLON (US LIQUID)"/>
    <n v="0.26417217999999998"/>
    <n v="202.7996991"/>
    <s v="AR4"/>
    <s v="USEPA"/>
    <s v="USEPA (2021)"/>
    <n v="2021"/>
    <n v="2021"/>
    <n v="0"/>
    <n v="0"/>
    <x v="7"/>
    <s v="Office"/>
  </r>
  <r>
    <n v="1230932"/>
    <s v="Top of Hierarchy &gt; North America &gt; Vantage_Carnegie"/>
    <x v="0"/>
    <x v="1"/>
    <d v="2021-01-01T00:00:00"/>
    <d v="2021-12-31T00:00:00"/>
    <x v="2"/>
    <d v="2021-01-01T00:00:00"/>
    <d v="2021-12-31T00:00:00"/>
    <s v="Propane"/>
    <n v="767.68"/>
    <s v="litres"/>
    <x v="1"/>
    <m/>
    <s v="2023-07-18, 21:22"/>
    <s v="2023-07-20, 00:40"/>
    <n v="2021"/>
    <s v="propane"/>
    <s v="Propane"/>
    <s v="model"/>
    <b v="0"/>
    <s v="PETROLEUM PRODUCTS, PROPANE"/>
    <x v="2"/>
    <x v="0"/>
    <s v="Americas"/>
    <s v="Northern America"/>
    <s v="US"/>
    <m/>
    <n v="1"/>
    <s v="CO2E"/>
    <n v="1164.4048929999999"/>
    <n v="5.7416499999999999"/>
    <s v="GALLON (US LIQUID)"/>
    <n v="0.26417217999999998"/>
    <n v="202.7996991"/>
    <s v="AR4"/>
    <s v="USEPA"/>
    <s v="USEPA (2021)"/>
    <n v="2021"/>
    <n v="2021"/>
    <n v="0"/>
    <n v="1.1644048929999999"/>
    <x v="7"/>
    <s v="Office"/>
  </r>
  <r>
    <n v="1230932"/>
    <s v="Top of Hierarchy &gt; North America &gt; Vantage_Carnegie"/>
    <x v="0"/>
    <x v="1"/>
    <d v="2021-01-01T00:00:00"/>
    <d v="2021-12-31T00:00:00"/>
    <x v="2"/>
    <d v="2021-01-01T00:00:00"/>
    <d v="2021-12-31T00:00:00"/>
    <s v="Propane"/>
    <n v="767.68"/>
    <s v="litres"/>
    <x v="1"/>
    <m/>
    <s v="2023-07-18, 21:22"/>
    <s v="2023-07-20, 00:40"/>
    <n v="2021"/>
    <s v="propane"/>
    <s v="Propane"/>
    <s v="model"/>
    <b v="0"/>
    <s v="PETROLEUM PRODUCTS, PROPANE"/>
    <x v="2"/>
    <x v="0"/>
    <s v="Americas"/>
    <s v="Northern America"/>
    <s v="US"/>
    <m/>
    <n v="1"/>
    <s v="N2O"/>
    <n v="3.0217155170000001"/>
    <n v="1.49E-2"/>
    <s v="GALLON (US LIQUID)"/>
    <n v="0.26417217999999998"/>
    <n v="202.7996991"/>
    <s v="AR4"/>
    <s v="USEPA"/>
    <s v="USEPA (2021)"/>
    <n v="2021"/>
    <n v="2021"/>
    <n v="0"/>
    <n v="0"/>
    <x v="7"/>
    <s v="Office"/>
  </r>
  <r>
    <n v="1230932"/>
    <s v="Top of Hierarchy &gt; North America &gt; Vantage_Carnegie"/>
    <x v="0"/>
    <x v="1"/>
    <d v="2021-01-01T00:00:00"/>
    <d v="2021-12-31T00:00:00"/>
    <x v="2"/>
    <d v="2021-01-01T00:00:00"/>
    <d v="2021-12-31T00:00:00"/>
    <s v="Propane"/>
    <n v="767.68"/>
    <s v="litres"/>
    <x v="1"/>
    <m/>
    <s v="2023-07-18, 21:22"/>
    <s v="2023-07-20, 00:40"/>
    <n v="2021"/>
    <s v="propane__wtt"/>
    <s v="Propane WTT"/>
    <s v="wtt"/>
    <b v="0"/>
    <s v="WTT- FUELS; WTT- GASEOUS FUELS; PROPANE"/>
    <x v="1"/>
    <x v="1"/>
    <m/>
    <m/>
    <m/>
    <m/>
    <n v="0"/>
    <s v="CO2E"/>
    <n v="138.5355328"/>
    <n v="0.18046000000000001"/>
    <s v="LITRES"/>
    <n v="1"/>
    <n v="767.68"/>
    <s v="AR4"/>
    <s v="Defra"/>
    <s v="Defra (2021)"/>
    <n v="2021"/>
    <n v="2019"/>
    <n v="0.1385355328"/>
    <n v="0"/>
    <x v="7"/>
    <s v="Office"/>
  </r>
  <r>
    <n v="1230932"/>
    <s v="Top of Hierarchy &gt; North America &gt; Vantage_Carnegie"/>
    <x v="0"/>
    <x v="1"/>
    <d v="2021-01-01T00:00:00"/>
    <d v="2021-12-31T00:00:00"/>
    <x v="2"/>
    <d v="2021-01-01T00:00:00"/>
    <d v="2021-12-31T00:00:00"/>
    <s v="Propane"/>
    <n v="767.68"/>
    <s v="litres"/>
    <x v="1"/>
    <m/>
    <s v="2023-07-18, 21:22"/>
    <s v="2023-07-20, 00:40"/>
    <n v="2021"/>
    <s v="propane__wtt"/>
    <s v="Propane WTT"/>
    <s v="wtt"/>
    <b v="0"/>
    <s v="WTT- FUELS; WTT- GASEOUS FUELS; PROPANE"/>
    <x v="1"/>
    <x v="1"/>
    <m/>
    <m/>
    <m/>
    <m/>
    <n v="1"/>
    <s v="CO2E"/>
    <n v="138.5355328"/>
    <n v="0.18046000000000001"/>
    <s v="LITRES"/>
    <n v="1"/>
    <n v="767.68"/>
    <s v="AR4"/>
    <s v="Defra"/>
    <s v="Defra (2021)"/>
    <n v="2021"/>
    <n v="2019"/>
    <n v="0"/>
    <n v="0.1385355328"/>
    <x v="7"/>
    <s v="Office"/>
  </r>
  <r>
    <n v="20579"/>
    <s v="Top of Hierarchy &gt; North America &gt; Vantage_Chicago"/>
    <x v="2"/>
    <x v="0"/>
    <d v="2022-01-01T00:00:00"/>
    <d v="2022-12-31T00:00:00"/>
    <x v="0"/>
    <d v="2022-01-01T00:00:00"/>
    <d v="2022-12-31T00:00:00"/>
    <s v="Electricity (non-renewable)"/>
    <n v="32905016"/>
    <s v="Kilowatt hours"/>
    <x v="1"/>
    <m/>
    <s v="2023-04-21, 20:09"/>
    <s v="2023-07-20, 00:40"/>
    <n v="2022"/>
    <s v="electricity"/>
    <s v="Electricity"/>
    <s v="model"/>
    <b v="0"/>
    <s v="ELECTRICITY; UNITED STATES - RFCW"/>
    <x v="0"/>
    <x v="0"/>
    <s v="Americas"/>
    <s v="Northern America"/>
    <s v="US"/>
    <s v="RFCW"/>
    <n v="0"/>
    <s v="CH4"/>
    <n v="32089.748009999999"/>
    <n v="9.7522400000000001E-4"/>
    <s v="KWH"/>
    <n v="1"/>
    <n v="32905016"/>
    <s v="AR4"/>
    <s v="USEPA"/>
    <s v="USEPA (2022)"/>
    <n v="2022"/>
    <n v="2020"/>
    <n v="0"/>
    <n v="0"/>
    <x v="8"/>
    <s v="Labratory"/>
  </r>
  <r>
    <n v="20579"/>
    <s v="Top of Hierarchy &gt; North America &gt; Vantage_Chicago"/>
    <x v="2"/>
    <x v="0"/>
    <d v="2022-01-01T00:00:00"/>
    <d v="2022-12-31T00:00:00"/>
    <x v="0"/>
    <d v="2022-01-01T00:00:00"/>
    <d v="2022-12-31T00:00:00"/>
    <s v="Electricity (non-renewable)"/>
    <n v="32905016"/>
    <s v="Kilowatt hours"/>
    <x v="1"/>
    <m/>
    <s v="2023-04-21, 20:09"/>
    <s v="2023-07-20, 00:40"/>
    <n v="2022"/>
    <s v="electricity"/>
    <s v="Electricity"/>
    <s v="model"/>
    <b v="0"/>
    <s v="ELECTRICITY; UNITED STATES - RFCW"/>
    <x v="0"/>
    <x v="0"/>
    <s v="Americas"/>
    <s v="Northern America"/>
    <s v="US"/>
    <s v="RFCW"/>
    <n v="0"/>
    <s v="CO2"/>
    <n v="14701238.939999999"/>
    <n v="0.44677805199999998"/>
    <s v="KWH"/>
    <n v="1"/>
    <n v="32905016"/>
    <s v="AR4"/>
    <s v="USEPA"/>
    <s v="USEPA (2022)"/>
    <n v="2022"/>
    <n v="2020"/>
    <n v="0"/>
    <n v="0"/>
    <x v="8"/>
    <s v="Labratory"/>
  </r>
  <r>
    <n v="20579"/>
    <s v="Top of Hierarchy &gt; North America &gt; Vantage_Chicago"/>
    <x v="2"/>
    <x v="0"/>
    <d v="2022-01-01T00:00:00"/>
    <d v="2022-12-31T00:00:00"/>
    <x v="0"/>
    <d v="2022-01-01T00:00:00"/>
    <d v="2022-12-31T00:00:00"/>
    <s v="Electricity (non-renewable)"/>
    <n v="32905016"/>
    <s v="Kilowatt hours"/>
    <x v="1"/>
    <m/>
    <s v="2023-04-21, 20:09"/>
    <s v="2023-07-20, 00:40"/>
    <n v="2022"/>
    <s v="electricity"/>
    <s v="Electricity"/>
    <s v="model"/>
    <b v="0"/>
    <s v="ELECTRICITY; UNITED STATES - RFCW"/>
    <x v="0"/>
    <x v="0"/>
    <s v="Americas"/>
    <s v="Northern America"/>
    <s v="US"/>
    <s v="RFCW"/>
    <n v="0"/>
    <s v="CO2E"/>
    <n v="14786702.15"/>
    <n v="0.44937532200000002"/>
    <s v="KWH"/>
    <n v="1"/>
    <n v="32905016"/>
    <s v="AR4"/>
    <s v="USEPA"/>
    <s v="USEPA (2022)"/>
    <n v="2022"/>
    <n v="2020"/>
    <n v="14786.702150000001"/>
    <n v="0"/>
    <x v="8"/>
    <s v="Labratory"/>
  </r>
  <r>
    <n v="20579"/>
    <s v="Top of Hierarchy &gt; North America &gt; Vantage_Chicago"/>
    <x v="2"/>
    <x v="0"/>
    <d v="2022-01-01T00:00:00"/>
    <d v="2022-12-31T00:00:00"/>
    <x v="0"/>
    <d v="2022-01-01T00:00:00"/>
    <d v="2022-12-31T00:00:00"/>
    <s v="Electricity (non-renewable)"/>
    <n v="32905016"/>
    <s v="Kilowatt hours"/>
    <x v="1"/>
    <m/>
    <s v="2023-04-21, 20:09"/>
    <s v="2023-07-20, 00:40"/>
    <n v="2022"/>
    <s v="electricity"/>
    <s v="Electricity"/>
    <s v="model"/>
    <b v="0"/>
    <s v="ELECTRICITY; UNITED STATES - RFCW"/>
    <x v="0"/>
    <x v="0"/>
    <s v="Americas"/>
    <s v="Northern America"/>
    <s v="US"/>
    <s v="RFCW"/>
    <n v="0"/>
    <s v="N2O"/>
    <n v="53373.459949999997"/>
    <n v="1.622046E-3"/>
    <s v="KWH"/>
    <n v="1"/>
    <n v="32905016"/>
    <s v="AR4"/>
    <s v="USEPA"/>
    <s v="USEPA (2022)"/>
    <n v="2022"/>
    <n v="2020"/>
    <n v="0"/>
    <n v="0"/>
    <x v="8"/>
    <s v="Labratory"/>
  </r>
  <r>
    <n v="20579"/>
    <s v="Top of Hierarchy &gt; North America &gt; Vantage_Chicago"/>
    <x v="2"/>
    <x v="0"/>
    <d v="2022-01-01T00:00:00"/>
    <d v="2022-12-31T00:00:00"/>
    <x v="0"/>
    <d v="2022-01-01T00:00:00"/>
    <d v="2022-12-31T00:00:00"/>
    <s v="Electricity (non-renewable)"/>
    <n v="32905016"/>
    <s v="Kilowatt hours"/>
    <x v="1"/>
    <m/>
    <s v="2023-04-21, 20:09"/>
    <s v="2023-07-20, 00:40"/>
    <n v="2022"/>
    <s v="electricity"/>
    <s v="Electricity"/>
    <s v="model"/>
    <b v="1"/>
    <s v="ELECTRICITY; UNITED STATES - RFCW"/>
    <x v="0"/>
    <x v="0"/>
    <m/>
    <m/>
    <m/>
    <m/>
    <n v="1"/>
    <s v="CO2E MKT"/>
    <n v="12586727.539999999"/>
    <n v="0.382516986"/>
    <s v="KWH"/>
    <n v="1"/>
    <n v="32905016"/>
    <m/>
    <m/>
    <s v="Supplier"/>
    <n v="2022"/>
    <m/>
    <n v="0"/>
    <n v="12586.72754"/>
    <x v="8"/>
    <s v="Labratory"/>
  </r>
  <r>
    <n v="20579"/>
    <s v="Top of Hierarchy &gt; North America &gt; Vantage_Chicago"/>
    <x v="2"/>
    <x v="0"/>
    <d v="2022-01-01T00:00:00"/>
    <d v="2022-12-31T00:00:00"/>
    <x v="0"/>
    <d v="2022-01-01T00:00:00"/>
    <d v="2022-12-31T00:00:00"/>
    <s v="Electricity (non-renewable)"/>
    <n v="32905016"/>
    <s v="Kilowatt hours"/>
    <x v="1"/>
    <m/>
    <s v="2023-04-21, 20:09"/>
    <s v="2023-07-20, 00:40"/>
    <n v="2022"/>
    <s v="electricity__t+d__wtt"/>
    <s v="Electricity T&amp;D WTT"/>
    <s v="t+d_wtt"/>
    <b v="0"/>
    <s v="ELECTRICITY T&amp;D WTT; UNITED STATES - RFCW"/>
    <x v="1"/>
    <x v="1"/>
    <s v="Americas"/>
    <s v="Northern America"/>
    <s v="US"/>
    <s v="RFCW"/>
    <n v="0"/>
    <s v="CO2E"/>
    <n v="231539.82339999999"/>
    <n v="7.0366120000000002E-3"/>
    <s v="KWH"/>
    <n v="1"/>
    <n v="32905016"/>
    <s v="AR4"/>
    <s v="Anthesis"/>
    <s v="Anthesis (2022)"/>
    <n v="2022"/>
    <n v="2020"/>
    <n v="231.53982339999999"/>
    <n v="0"/>
    <x v="8"/>
    <s v="Labratory"/>
  </r>
  <r>
    <n v="20579"/>
    <s v="Top of Hierarchy &gt; North America &gt; Vantage_Chicago"/>
    <x v="2"/>
    <x v="0"/>
    <d v="2022-01-01T00:00:00"/>
    <d v="2022-12-31T00:00:00"/>
    <x v="0"/>
    <d v="2022-01-01T00:00:00"/>
    <d v="2022-12-31T00:00:00"/>
    <s v="Electricity (non-renewable)"/>
    <n v="32905016"/>
    <s v="Kilowatt hours"/>
    <x v="1"/>
    <m/>
    <s v="2023-04-21, 20:09"/>
    <s v="2023-07-20, 00:40"/>
    <n v="2022"/>
    <s v="electricity__t+d__wtt"/>
    <s v="Electricity T&amp;D WTT"/>
    <s v="t+d_wtt"/>
    <b v="0"/>
    <s v="ELECTRICITY; UNITED STATES - RFCW; T&amp;D WTT Estimated"/>
    <x v="1"/>
    <x v="1"/>
    <s v="Americas"/>
    <s v="Northern America"/>
    <s v="US"/>
    <s v="RFCW"/>
    <n v="1"/>
    <s v="CO2E MKT"/>
    <n v="214774.4572"/>
    <n v="6.5271039999999997E-3"/>
    <s v="KWH"/>
    <n v="1"/>
    <n v="32905016"/>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  to estimate the T&amp;D WTT factor."/>
    <n v="2022"/>
    <n v="2019"/>
    <n v="0"/>
    <n v="214.7744572"/>
    <x v="8"/>
    <s v="Labratory"/>
  </r>
  <r>
    <n v="20579"/>
    <s v="Top of Hierarchy &gt; North America &gt; Vantage_Chicago"/>
    <x v="2"/>
    <x v="0"/>
    <d v="2022-01-01T00:00:00"/>
    <d v="2022-12-31T00:00:00"/>
    <x v="0"/>
    <d v="2022-01-01T00:00:00"/>
    <d v="2022-12-31T00:00:00"/>
    <s v="Electricity (non-renewable)"/>
    <n v="32905016"/>
    <s v="Kilowatt hours"/>
    <x v="1"/>
    <m/>
    <s v="2023-04-21, 20:09"/>
    <s v="2023-07-20, 00:40"/>
    <n v="2022"/>
    <s v="electricity__wtt"/>
    <s v="Electricity WTT"/>
    <s v="wtt"/>
    <b v="0"/>
    <s v="ELECTRICITY WTT; UNITED STATES - RFCW"/>
    <x v="1"/>
    <x v="1"/>
    <s v="Americas"/>
    <s v="Northern America"/>
    <s v="US"/>
    <s v="RFCW"/>
    <n v="0"/>
    <s v="CO2E"/>
    <n v="4137136.09"/>
    <n v="0.125729648"/>
    <s v="KWH"/>
    <n v="1"/>
    <n v="32905016"/>
    <s v="AR4"/>
    <s v="Anthesis"/>
    <s v="Anthesis (2022)"/>
    <n v="2022"/>
    <n v="2020"/>
    <n v="4137.13609"/>
    <n v="0"/>
    <x v="8"/>
    <s v="Labratory"/>
  </r>
  <r>
    <n v="20579"/>
    <s v="Top of Hierarchy &gt; North America &gt; Vantage_Chicago"/>
    <x v="2"/>
    <x v="0"/>
    <d v="2022-01-01T00:00:00"/>
    <d v="2022-12-31T00:00:00"/>
    <x v="0"/>
    <d v="2022-01-01T00:00:00"/>
    <d v="2022-12-31T00:00:00"/>
    <s v="Electricity (non-renewable)"/>
    <n v="32905016"/>
    <s v="Kilowatt hours"/>
    <x v="1"/>
    <m/>
    <s v="2023-04-21, 20:09"/>
    <s v="2023-07-20, 00:40"/>
    <n v="2022"/>
    <s v="electricity__wtt"/>
    <s v="Electricity WTT"/>
    <s v="wtt"/>
    <b v="0"/>
    <s v="ELECTRICITY; UNITED STATES - RFCW; WTT Estimated"/>
    <x v="1"/>
    <x v="1"/>
    <s v="Americas"/>
    <s v="Northern America"/>
    <s v="US"/>
    <s v="RFCW"/>
    <n v="1"/>
    <s v="CO2E MKT"/>
    <n v="4211263.8660000004"/>
    <n v="0.12798242900000001"/>
    <s v="KWH"/>
    <n v="1"/>
    <n v="32905016"/>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RFCW, Green-eto estimate the WTT factor."/>
    <n v="2022"/>
    <n v="2019"/>
    <n v="0"/>
    <n v="4211.2638660000002"/>
    <x v="8"/>
    <s v="Labratory"/>
  </r>
  <r>
    <n v="20579"/>
    <s v="Top of Hierarchy &gt; North America &gt; Vantage_Chicago"/>
    <x v="2"/>
    <x v="0"/>
    <d v="2022-01-01T00:00:00"/>
    <d v="2022-12-31T00:00:00"/>
    <x v="0"/>
    <d v="2022-01-01T00:00:00"/>
    <d v="2022-12-31T00:00:00"/>
    <s v="Electricity (non-renewable)"/>
    <n v="32905016"/>
    <s v="Kilowatt hours"/>
    <x v="1"/>
    <m/>
    <s v="2023-04-21, 20:09"/>
    <s v="2023-07-20, 00:40"/>
    <n v="2022"/>
    <s v="electricity__t+d"/>
    <s v="Electricity T&amp;D"/>
    <s v="t+d"/>
    <b v="0"/>
    <s v="ELECTRICITY; TRANSMISSION AND DISTRIBUTION; UNITED STATES - RFCW"/>
    <x v="1"/>
    <x v="1"/>
    <s v="Americas"/>
    <s v="Northern America"/>
    <s v="US"/>
    <s v="RFCW"/>
    <n v="0"/>
    <s v="CO2E"/>
    <n v="783695.21400000004"/>
    <n v="2.3816891999999999E-2"/>
    <s v="KWH"/>
    <n v="1"/>
    <n v="32905016"/>
    <s v="AR4"/>
    <s v="USEPA"/>
    <s v="USEPA (2022)"/>
    <n v="2022"/>
    <n v="2020"/>
    <n v="783.69521400000008"/>
    <n v="0"/>
    <x v="8"/>
    <s v="Labratory"/>
  </r>
  <r>
    <n v="20579"/>
    <s v="Top of Hierarchy &gt; North America &gt; Vantage_Chicago"/>
    <x v="2"/>
    <x v="0"/>
    <d v="2022-01-01T00:00:00"/>
    <d v="2022-12-31T00:00:00"/>
    <x v="0"/>
    <d v="2022-01-01T00:00:00"/>
    <d v="2022-12-31T00:00:00"/>
    <s v="Electricity (non-renewable)"/>
    <n v="32905016"/>
    <s v="Kilowatt hours"/>
    <x v="1"/>
    <m/>
    <s v="2023-04-21, 20:09"/>
    <s v="2023-07-20, 00:40"/>
    <n v="2022"/>
    <s v="electricity__t+d"/>
    <s v="Electricity T&amp;D"/>
    <s v="t+d"/>
    <b v="0"/>
    <s v="ELECTRICITY; UNITED STATES - RFCW; T&amp;D Estimated"/>
    <x v="1"/>
    <x v="1"/>
    <s v="Americas"/>
    <s v="Northern America"/>
    <s v="US"/>
    <s v="RFCW"/>
    <n v="1"/>
    <s v="CO2E MKT"/>
    <n v="813013.46750000003"/>
    <n v="2.4707889E-2"/>
    <s v="KWH"/>
    <n v="1"/>
    <n v="32905016"/>
    <s v="AR4"/>
    <s v="Anthesis"/>
    <s v="The median T&amp;D to generation factor ratio of all countries within the region Northern America was taken to be ELECTRICITY; UNITED STATES - SRSO, USEPA to ELECTRICITY; TRANSMISSION AND DISTRIBUTION; UNITED STATES - SRSO, USEPA: 0.051. This was applied to the base factor ELECTRICITY; UNITED STATES - RFCW, Green-eto estimate the T&amp;D factor."/>
    <n v="2022"/>
    <n v="2019"/>
    <n v="0"/>
    <n v="813.01346750000005"/>
    <x v="8"/>
    <s v="Labratory"/>
  </r>
  <r>
    <n v="20569"/>
    <s v="Top of Hierarchy &gt; North America &gt; Vantage_Chicago"/>
    <x v="2"/>
    <x v="0"/>
    <d v="2022-01-01T00:00:00"/>
    <d v="2022-12-31T00:00:00"/>
    <x v="3"/>
    <d v="2022-01-01T00:00:00"/>
    <d v="2022-12-31T00:00:00"/>
    <s v="Natural gas"/>
    <n v="9186501"/>
    <s v="Hundred Thousand BTUs"/>
    <x v="1"/>
    <m/>
    <s v="2023-03-21, 22:17"/>
    <s v="2023-07-20, 00:40"/>
    <n v="2022"/>
    <s v="natural_gas"/>
    <s v="Natural Gas"/>
    <s v="model"/>
    <b v="0"/>
    <s v="NATURAL GAS, NATURAL GAS"/>
    <x v="2"/>
    <x v="0"/>
    <s v="Americas"/>
    <s v="Northern America"/>
    <s v="US"/>
    <m/>
    <n v="0"/>
    <s v="CH4"/>
    <n v="22966.252499999999"/>
    <n v="2.5000000000000001E-2"/>
    <s v="MMBTU"/>
    <n v="0.1"/>
    <n v="918650.1"/>
    <s v="AR4"/>
    <s v="USEPA"/>
    <s v="USEPA Emission Factors Hub (Last Modified: March 2020)"/>
    <n v="2022"/>
    <n v="2021"/>
    <n v="0"/>
    <n v="0"/>
    <x v="8"/>
    <s v="Labratory"/>
  </r>
  <r>
    <n v="20569"/>
    <s v="Top of Hierarchy &gt; North America &gt; Vantage_Chicago"/>
    <x v="2"/>
    <x v="0"/>
    <d v="2022-01-01T00:00:00"/>
    <d v="2022-12-31T00:00:00"/>
    <x v="3"/>
    <d v="2022-01-01T00:00:00"/>
    <d v="2022-12-31T00:00:00"/>
    <s v="Natural gas"/>
    <n v="9186501"/>
    <s v="Hundred Thousand BTUs"/>
    <x v="1"/>
    <m/>
    <s v="2023-03-21, 22:17"/>
    <s v="2023-07-20, 00:40"/>
    <n v="2022"/>
    <s v="natural_gas"/>
    <s v="Natural Gas"/>
    <s v="model"/>
    <b v="0"/>
    <s v="NATURAL GAS, NATURAL GAS"/>
    <x v="2"/>
    <x v="0"/>
    <s v="Americas"/>
    <s v="Northern America"/>
    <s v="US"/>
    <m/>
    <n v="0"/>
    <s v="CO2"/>
    <n v="48743574.310000002"/>
    <n v="53.06"/>
    <s v="MMBTU"/>
    <n v="0.1"/>
    <n v="918650.1"/>
    <s v="AR4"/>
    <s v="USEPA"/>
    <s v="USEPA (2022)"/>
    <n v="2022"/>
    <n v="2022"/>
    <n v="0"/>
    <n v="0"/>
    <x v="8"/>
    <s v="Labratory"/>
  </r>
  <r>
    <n v="20569"/>
    <s v="Top of Hierarchy &gt; North America &gt; Vantage_Chicago"/>
    <x v="2"/>
    <x v="0"/>
    <d v="2022-01-01T00:00:00"/>
    <d v="2022-12-31T00:00:00"/>
    <x v="3"/>
    <d v="2022-01-01T00:00:00"/>
    <d v="2022-12-31T00:00:00"/>
    <s v="Natural gas"/>
    <n v="9186501"/>
    <s v="Hundred Thousand BTUs"/>
    <x v="1"/>
    <m/>
    <s v="2023-03-21, 22:17"/>
    <s v="2023-07-20, 00:40"/>
    <n v="2022"/>
    <s v="natural_gas"/>
    <s v="Natural Gas"/>
    <s v="model"/>
    <b v="0"/>
    <s v="NATURAL GAS, NATURAL GAS"/>
    <x v="2"/>
    <x v="0"/>
    <s v="Americas"/>
    <s v="Northern America"/>
    <s v="US"/>
    <m/>
    <n v="0"/>
    <s v="CO2E"/>
    <n v="48793916.329999998"/>
    <n v="53.114800000000002"/>
    <s v="MMBTU"/>
    <n v="0.1"/>
    <n v="918650.1"/>
    <s v="AR4"/>
    <s v="USEPA"/>
    <s v="USEPA Emission Factors Hub (Last Modified: March 2020)"/>
    <n v="2022"/>
    <n v="2021"/>
    <n v="48793.91633"/>
    <n v="0"/>
    <x v="8"/>
    <s v="Labratory"/>
  </r>
  <r>
    <n v="20569"/>
    <s v="Top of Hierarchy &gt; North America &gt; Vantage_Chicago"/>
    <x v="2"/>
    <x v="0"/>
    <d v="2022-01-01T00:00:00"/>
    <d v="2022-12-31T00:00:00"/>
    <x v="3"/>
    <d v="2022-01-01T00:00:00"/>
    <d v="2022-12-31T00:00:00"/>
    <s v="Natural gas"/>
    <n v="9186501"/>
    <s v="Hundred Thousand BTUs"/>
    <x v="1"/>
    <m/>
    <s v="2023-03-21, 22:17"/>
    <s v="2023-07-20, 00:40"/>
    <n v="2022"/>
    <s v="natural_gas"/>
    <s v="Natural Gas"/>
    <s v="model"/>
    <b v="0"/>
    <s v="NATURAL GAS, NATURAL GAS"/>
    <x v="2"/>
    <x v="0"/>
    <s v="Americas"/>
    <s v="Northern America"/>
    <s v="US"/>
    <m/>
    <n v="0"/>
    <s v="N2O"/>
    <n v="27375.772980000002"/>
    <n v="2.98E-2"/>
    <s v="MMBTU"/>
    <n v="0.1"/>
    <n v="918650.1"/>
    <s v="AR4"/>
    <s v="USEPA"/>
    <s v="USEPA (2022)"/>
    <n v="2022"/>
    <n v="2022"/>
    <n v="0"/>
    <n v="0"/>
    <x v="8"/>
    <s v="Labratory"/>
  </r>
  <r>
    <n v="20569"/>
    <s v="Top of Hierarchy &gt; North America &gt; Vantage_Chicago"/>
    <x v="2"/>
    <x v="0"/>
    <d v="2022-01-01T00:00:00"/>
    <d v="2022-12-31T00:00:00"/>
    <x v="3"/>
    <d v="2022-01-01T00:00:00"/>
    <d v="2022-12-31T00:00:00"/>
    <s v="Natural gas"/>
    <n v="9186501"/>
    <s v="Hundred Thousand BTUs"/>
    <x v="1"/>
    <m/>
    <s v="2023-03-21, 22:17"/>
    <s v="2023-07-20, 00:40"/>
    <n v="2022"/>
    <s v="natural_gas"/>
    <s v="Natural Gas"/>
    <s v="model"/>
    <b v="0"/>
    <s v="NATURAL GAS, NATURAL GAS"/>
    <x v="2"/>
    <x v="0"/>
    <s v="Americas"/>
    <s v="Northern America"/>
    <s v="US"/>
    <m/>
    <n v="1"/>
    <s v="CH4"/>
    <n v="22966.252499999999"/>
    <n v="2.5000000000000001E-2"/>
    <s v="MMBTU"/>
    <n v="0.1"/>
    <n v="918650.1"/>
    <s v="AR4"/>
    <s v="USEPA"/>
    <s v="USEPA Emission Factors Hub (Last Modified: March 2020)"/>
    <n v="2022"/>
    <n v="2021"/>
    <n v="0"/>
    <n v="0"/>
    <x v="8"/>
    <s v="Labratory"/>
  </r>
  <r>
    <n v="20569"/>
    <s v="Top of Hierarchy &gt; North America &gt; Vantage_Chicago"/>
    <x v="2"/>
    <x v="0"/>
    <d v="2022-01-01T00:00:00"/>
    <d v="2022-12-31T00:00:00"/>
    <x v="3"/>
    <d v="2022-01-01T00:00:00"/>
    <d v="2022-12-31T00:00:00"/>
    <s v="Natural gas"/>
    <n v="9186501"/>
    <s v="Hundred Thousand BTUs"/>
    <x v="1"/>
    <m/>
    <s v="2023-03-21, 22:17"/>
    <s v="2023-07-20, 00:40"/>
    <n v="2022"/>
    <s v="natural_gas"/>
    <s v="Natural Gas"/>
    <s v="model"/>
    <b v="0"/>
    <s v="NATURAL GAS, NATURAL GAS"/>
    <x v="2"/>
    <x v="0"/>
    <s v="Americas"/>
    <s v="Northern America"/>
    <s v="US"/>
    <m/>
    <n v="1"/>
    <s v="CO2"/>
    <n v="48743574.310000002"/>
    <n v="53.06"/>
    <s v="MMBTU"/>
    <n v="0.1"/>
    <n v="918650.1"/>
    <s v="AR4"/>
    <s v="USEPA"/>
    <s v="USEPA (2022)"/>
    <n v="2022"/>
    <n v="2022"/>
    <n v="0"/>
    <n v="0"/>
    <x v="8"/>
    <s v="Labratory"/>
  </r>
  <r>
    <n v="20569"/>
    <s v="Top of Hierarchy &gt; North America &gt; Vantage_Chicago"/>
    <x v="2"/>
    <x v="0"/>
    <d v="2022-01-01T00:00:00"/>
    <d v="2022-12-31T00:00:00"/>
    <x v="3"/>
    <d v="2022-01-01T00:00:00"/>
    <d v="2022-12-31T00:00:00"/>
    <s v="Natural gas"/>
    <n v="9186501"/>
    <s v="Hundred Thousand BTUs"/>
    <x v="1"/>
    <m/>
    <s v="2023-03-21, 22:17"/>
    <s v="2023-07-20, 00:40"/>
    <n v="2022"/>
    <s v="natural_gas"/>
    <s v="Natural Gas"/>
    <s v="model"/>
    <b v="0"/>
    <s v="NATURAL GAS, NATURAL GAS"/>
    <x v="2"/>
    <x v="0"/>
    <s v="Americas"/>
    <s v="Northern America"/>
    <s v="US"/>
    <m/>
    <n v="1"/>
    <s v="CO2E"/>
    <n v="48793916.329999998"/>
    <n v="53.114800000000002"/>
    <s v="MMBTU"/>
    <n v="0.1"/>
    <n v="918650.1"/>
    <s v="AR4"/>
    <s v="USEPA"/>
    <s v="USEPA Emission Factors Hub (Last Modified: March 2020)"/>
    <n v="2022"/>
    <n v="2021"/>
    <n v="0"/>
    <n v="48793.91633"/>
    <x v="8"/>
    <s v="Labratory"/>
  </r>
  <r>
    <n v="20569"/>
    <s v="Top of Hierarchy &gt; North America &gt; Vantage_Chicago"/>
    <x v="2"/>
    <x v="0"/>
    <d v="2022-01-01T00:00:00"/>
    <d v="2022-12-31T00:00:00"/>
    <x v="3"/>
    <d v="2022-01-01T00:00:00"/>
    <d v="2022-12-31T00:00:00"/>
    <s v="Natural gas"/>
    <n v="9186501"/>
    <s v="Hundred Thousand BTUs"/>
    <x v="1"/>
    <m/>
    <s v="2023-03-21, 22:17"/>
    <s v="2023-07-20, 00:40"/>
    <n v="2022"/>
    <s v="natural_gas"/>
    <s v="Natural Gas"/>
    <s v="model"/>
    <b v="0"/>
    <s v="NATURAL GAS, NATURAL GAS"/>
    <x v="2"/>
    <x v="0"/>
    <s v="Americas"/>
    <s v="Northern America"/>
    <s v="US"/>
    <m/>
    <n v="1"/>
    <s v="N2O"/>
    <n v="27375.772980000002"/>
    <n v="2.98E-2"/>
    <s v="MMBTU"/>
    <n v="0.1"/>
    <n v="918650.1"/>
    <s v="AR4"/>
    <s v="USEPA"/>
    <s v="USEPA (2022)"/>
    <n v="2022"/>
    <n v="2022"/>
    <n v="0"/>
    <n v="0"/>
    <x v="8"/>
    <s v="Labratory"/>
  </r>
  <r>
    <n v="20569"/>
    <s v="Top of Hierarchy &gt; North America &gt; Vantage_Chicago"/>
    <x v="2"/>
    <x v="0"/>
    <d v="2022-01-01T00:00:00"/>
    <d v="2022-12-31T00:00:00"/>
    <x v="3"/>
    <d v="2022-01-01T00:00:00"/>
    <d v="2022-12-31T00:00:00"/>
    <s v="Natural gas"/>
    <n v="9186501"/>
    <s v="Hundred Thousand BTUs"/>
    <x v="1"/>
    <m/>
    <s v="2023-03-21, 22:17"/>
    <s v="2023-07-20, 00:40"/>
    <n v="2022"/>
    <s v="natural_gas__wtt"/>
    <s v="Natural Gas WTT"/>
    <s v="wtt"/>
    <b v="0"/>
    <s v="WTT- FUELS; GASEOUS FUELS; NATURAL GAS"/>
    <x v="1"/>
    <x v="1"/>
    <m/>
    <m/>
    <m/>
    <m/>
    <n v="0"/>
    <s v="CO2E"/>
    <n v="8371043.8760000002"/>
    <n v="3.1099999999999999E-2"/>
    <s v="KWH (GROSS CV)"/>
    <n v="29.3001"/>
    <n v="269165398"/>
    <s v="AR4"/>
    <s v="Defra"/>
    <s v="Defra (2022)"/>
    <n v="2022"/>
    <n v="2020"/>
    <n v="8371.0438759999997"/>
    <n v="0"/>
    <x v="8"/>
    <s v="Labratory"/>
  </r>
  <r>
    <n v="20569"/>
    <s v="Top of Hierarchy &gt; North America &gt; Vantage_Chicago"/>
    <x v="2"/>
    <x v="0"/>
    <d v="2022-01-01T00:00:00"/>
    <d v="2022-12-31T00:00:00"/>
    <x v="3"/>
    <d v="2022-01-01T00:00:00"/>
    <d v="2022-12-31T00:00:00"/>
    <s v="Natural gas"/>
    <n v="9186501"/>
    <s v="Hundred Thousand BTUs"/>
    <x v="1"/>
    <m/>
    <s v="2023-03-21, 22:17"/>
    <s v="2023-07-20, 00:40"/>
    <n v="2022"/>
    <s v="natural_gas__wtt"/>
    <s v="Natural Gas WTT"/>
    <s v="wtt"/>
    <b v="0"/>
    <s v="WTT- FUELS; GASEOUS FUELS; NATURAL GAS"/>
    <x v="1"/>
    <x v="1"/>
    <m/>
    <m/>
    <m/>
    <m/>
    <n v="1"/>
    <s v="CO2E"/>
    <n v="8371043.8760000002"/>
    <n v="3.1099999999999999E-2"/>
    <s v="KWH (GROSS CV)"/>
    <n v="29.3001"/>
    <n v="269165398"/>
    <s v="AR4"/>
    <s v="Defra"/>
    <s v="Defra (2022)"/>
    <n v="2022"/>
    <n v="2020"/>
    <n v="0"/>
    <n v="8371.0438759999997"/>
    <x v="8"/>
    <s v="Labratory"/>
  </r>
  <r>
    <n v="283996"/>
    <s v="Top of Hierarchy &gt; North America &gt; Vantage_Chicago"/>
    <x v="2"/>
    <x v="0"/>
    <d v="2022-01-01T00:00:00"/>
    <d v="2022-12-31T00:00:00"/>
    <x v="1"/>
    <d v="2022-01-01T00:00:00"/>
    <d v="2022-12-31T00:00:00"/>
    <s v="Diesel (average biofuel blend)"/>
    <n v="1775.9"/>
    <s v="US liquid gallons"/>
    <x v="1"/>
    <m/>
    <s v="2023-04-28, 22:29"/>
    <s v="2023-07-20, 00:40"/>
    <n v="2022"/>
    <s v="diesel_avg_biofuel_blend"/>
    <s v="Diesel (Average Biofuel Blend)"/>
    <s v="model"/>
    <b v="0"/>
    <s v="PETROLEUM PRODUCTS, DISTILLATE FUEL OIL NO. 2"/>
    <x v="2"/>
    <x v="0"/>
    <s v="Americas"/>
    <s v="Northern America"/>
    <s v="US"/>
    <m/>
    <n v="0"/>
    <s v="CH4"/>
    <n v="18.202974999999999"/>
    <n v="1.025E-2"/>
    <s v="GALLON (US LIQUID)"/>
    <n v="1"/>
    <n v="1775.9"/>
    <s v="AR4"/>
    <s v="USEPA"/>
    <s v="USEPA (2022)"/>
    <n v="2022"/>
    <n v="2022"/>
    <n v="0"/>
    <n v="0"/>
    <x v="8"/>
    <s v="Labratory"/>
  </r>
  <r>
    <n v="283996"/>
    <s v="Top of Hierarchy &gt; North America &gt; Vantage_Chicago"/>
    <x v="2"/>
    <x v="0"/>
    <d v="2022-01-01T00:00:00"/>
    <d v="2022-12-31T00:00:00"/>
    <x v="1"/>
    <d v="2022-01-01T00:00:00"/>
    <d v="2022-12-31T00:00:00"/>
    <s v="Diesel (average biofuel blend)"/>
    <n v="1775.9"/>
    <s v="US liquid gallons"/>
    <x v="1"/>
    <m/>
    <s v="2023-04-28, 22:29"/>
    <s v="2023-07-20, 00:40"/>
    <n v="2022"/>
    <s v="diesel_avg_biofuel_blend"/>
    <s v="Diesel (Average Biofuel Blend)"/>
    <s v="model"/>
    <b v="0"/>
    <s v="PETROLEUM PRODUCTS, DISTILLATE FUEL OIL NO. 2"/>
    <x v="2"/>
    <x v="0"/>
    <s v="Americas"/>
    <s v="Northern America"/>
    <s v="US"/>
    <m/>
    <n v="0"/>
    <s v="CO2"/>
    <n v="18131.938999999998"/>
    <n v="10.210000000000001"/>
    <s v="GALLON (US LIQUID)"/>
    <n v="1"/>
    <n v="1775.9"/>
    <s v="AR4"/>
    <s v="USEPA"/>
    <s v="USEPA (2022)"/>
    <n v="2022"/>
    <n v="2022"/>
    <n v="0"/>
    <n v="0"/>
    <x v="8"/>
    <s v="Labratory"/>
  </r>
  <r>
    <n v="283996"/>
    <s v="Top of Hierarchy &gt; North America &gt; Vantage_Chicago"/>
    <x v="2"/>
    <x v="0"/>
    <d v="2022-01-01T00:00:00"/>
    <d v="2022-12-31T00:00:00"/>
    <x v="1"/>
    <d v="2022-01-01T00:00:00"/>
    <d v="2022-12-31T00:00:00"/>
    <s v="Diesel (average biofuel blend)"/>
    <n v="1775.9"/>
    <s v="US liquid gallons"/>
    <x v="1"/>
    <m/>
    <s v="2023-04-28, 22:29"/>
    <s v="2023-07-20, 00:40"/>
    <n v="2022"/>
    <s v="diesel_avg_biofuel_blend"/>
    <s v="Diesel (Average Biofuel Blend)"/>
    <s v="model"/>
    <b v="0"/>
    <s v="PETROLEUM PRODUCTS, DISTILLATE FUEL OIL NO. 2"/>
    <x v="2"/>
    <x v="0"/>
    <s v="Americas"/>
    <s v="Northern America"/>
    <s v="US"/>
    <m/>
    <n v="0"/>
    <s v="CO2E"/>
    <n v="18192.479429999999"/>
    <n v="10.24409"/>
    <s v="GALLON (US LIQUID)"/>
    <n v="1"/>
    <n v="1775.9"/>
    <s v="AR4"/>
    <s v="USEPA"/>
    <s v="USEPA Emission Factors Hub (Last Modified: March 2020)"/>
    <n v="2022"/>
    <n v="2021"/>
    <n v="18.192479429999999"/>
    <n v="0"/>
    <x v="8"/>
    <s v="Labratory"/>
  </r>
  <r>
    <n v="283996"/>
    <s v="Top of Hierarchy &gt; North America &gt; Vantage_Chicago"/>
    <x v="2"/>
    <x v="0"/>
    <d v="2022-01-01T00:00:00"/>
    <d v="2022-12-31T00:00:00"/>
    <x v="1"/>
    <d v="2022-01-01T00:00:00"/>
    <d v="2022-12-31T00:00:00"/>
    <s v="Diesel (average biofuel blend)"/>
    <n v="1775.9"/>
    <s v="US liquid gallons"/>
    <x v="1"/>
    <m/>
    <s v="2023-04-28, 22:29"/>
    <s v="2023-07-20, 00:40"/>
    <n v="2022"/>
    <s v="diesel_avg_biofuel_blend"/>
    <s v="Diesel (Average Biofuel Blend)"/>
    <s v="model"/>
    <b v="0"/>
    <s v="PETROLEUM PRODUCTS, DISTILLATE FUEL OIL NO. 2"/>
    <x v="2"/>
    <x v="0"/>
    <s v="Americas"/>
    <s v="Northern America"/>
    <s v="US"/>
    <m/>
    <n v="0"/>
    <s v="N2O"/>
    <n v="42.337456000000003"/>
    <n v="2.384E-2"/>
    <s v="GALLON (US LIQUID)"/>
    <n v="1"/>
    <n v="1775.9"/>
    <s v="AR4"/>
    <s v="USEPA"/>
    <s v="USEPA (2022)"/>
    <n v="2022"/>
    <n v="2022"/>
    <n v="0"/>
    <n v="0"/>
    <x v="8"/>
    <s v="Labratory"/>
  </r>
  <r>
    <n v="283996"/>
    <s v="Top of Hierarchy &gt; North America &gt; Vantage_Chicago"/>
    <x v="2"/>
    <x v="0"/>
    <d v="2022-01-01T00:00:00"/>
    <d v="2022-12-31T00:00:00"/>
    <x v="1"/>
    <d v="2022-01-01T00:00:00"/>
    <d v="2022-12-31T00:00:00"/>
    <s v="Diesel (average biofuel blend)"/>
    <n v="1775.9"/>
    <s v="US liquid gallons"/>
    <x v="1"/>
    <m/>
    <s v="2023-04-28, 22:29"/>
    <s v="2023-07-20, 00:40"/>
    <n v="2022"/>
    <s v="diesel_avg_biofuel_blend"/>
    <s v="Diesel (Average Biofuel Blend)"/>
    <s v="model"/>
    <b v="0"/>
    <s v="PETROLEUM PRODUCTS, DISTILLATE FUEL OIL NO. 2"/>
    <x v="2"/>
    <x v="0"/>
    <s v="Americas"/>
    <s v="Northern America"/>
    <s v="US"/>
    <m/>
    <n v="1"/>
    <s v="CH4"/>
    <n v="18.202974999999999"/>
    <n v="1.025E-2"/>
    <s v="GALLON (US LIQUID)"/>
    <n v="1"/>
    <n v="1775.9"/>
    <s v="AR4"/>
    <s v="USEPA"/>
    <s v="USEPA (2022)"/>
    <n v="2022"/>
    <n v="2022"/>
    <n v="0"/>
    <n v="0"/>
    <x v="8"/>
    <s v="Labratory"/>
  </r>
  <r>
    <n v="283996"/>
    <s v="Top of Hierarchy &gt; North America &gt; Vantage_Chicago"/>
    <x v="2"/>
    <x v="0"/>
    <d v="2022-01-01T00:00:00"/>
    <d v="2022-12-31T00:00:00"/>
    <x v="1"/>
    <d v="2022-01-01T00:00:00"/>
    <d v="2022-12-31T00:00:00"/>
    <s v="Diesel (average biofuel blend)"/>
    <n v="1775.9"/>
    <s v="US liquid gallons"/>
    <x v="1"/>
    <m/>
    <s v="2023-04-28, 22:29"/>
    <s v="2023-07-20, 00:40"/>
    <n v="2022"/>
    <s v="diesel_avg_biofuel_blend"/>
    <s v="Diesel (Average Biofuel Blend)"/>
    <s v="model"/>
    <b v="0"/>
    <s v="PETROLEUM PRODUCTS, DISTILLATE FUEL OIL NO. 2"/>
    <x v="2"/>
    <x v="0"/>
    <s v="Americas"/>
    <s v="Northern America"/>
    <s v="US"/>
    <m/>
    <n v="1"/>
    <s v="CO2"/>
    <n v="18131.938999999998"/>
    <n v="10.210000000000001"/>
    <s v="GALLON (US LIQUID)"/>
    <n v="1"/>
    <n v="1775.9"/>
    <s v="AR4"/>
    <s v="USEPA"/>
    <s v="USEPA (2022)"/>
    <n v="2022"/>
    <n v="2022"/>
    <n v="0"/>
    <n v="0"/>
    <x v="8"/>
    <s v="Labratory"/>
  </r>
  <r>
    <n v="283996"/>
    <s v="Top of Hierarchy &gt; North America &gt; Vantage_Chicago"/>
    <x v="2"/>
    <x v="0"/>
    <d v="2022-01-01T00:00:00"/>
    <d v="2022-12-31T00:00:00"/>
    <x v="1"/>
    <d v="2022-01-01T00:00:00"/>
    <d v="2022-12-31T00:00:00"/>
    <s v="Diesel (average biofuel blend)"/>
    <n v="1775.9"/>
    <s v="US liquid gallons"/>
    <x v="1"/>
    <m/>
    <s v="2023-04-28, 22:29"/>
    <s v="2023-07-20, 00:40"/>
    <n v="2022"/>
    <s v="diesel_avg_biofuel_blend"/>
    <s v="Diesel (Average Biofuel Blend)"/>
    <s v="model"/>
    <b v="0"/>
    <s v="PETROLEUM PRODUCTS, DISTILLATE FUEL OIL NO. 2"/>
    <x v="2"/>
    <x v="0"/>
    <s v="Americas"/>
    <s v="Northern America"/>
    <s v="US"/>
    <m/>
    <n v="1"/>
    <s v="CO2E"/>
    <n v="18192.479429999999"/>
    <n v="10.24409"/>
    <s v="GALLON (US LIQUID)"/>
    <n v="1"/>
    <n v="1775.9"/>
    <s v="AR4"/>
    <s v="USEPA"/>
    <s v="USEPA Emission Factors Hub (Last Modified: March 2020)"/>
    <n v="2022"/>
    <n v="2021"/>
    <n v="0"/>
    <n v="18.192479429999999"/>
    <x v="8"/>
    <s v="Labratory"/>
  </r>
  <r>
    <n v="283996"/>
    <s v="Top of Hierarchy &gt; North America &gt; Vantage_Chicago"/>
    <x v="2"/>
    <x v="0"/>
    <d v="2022-01-01T00:00:00"/>
    <d v="2022-12-31T00:00:00"/>
    <x v="1"/>
    <d v="2022-01-01T00:00:00"/>
    <d v="2022-12-31T00:00:00"/>
    <s v="Diesel (average biofuel blend)"/>
    <n v="1775.9"/>
    <s v="US liquid gallons"/>
    <x v="1"/>
    <m/>
    <s v="2023-04-28, 22:29"/>
    <s v="2023-07-20, 00:40"/>
    <n v="2022"/>
    <s v="diesel_avg_biofuel_blend"/>
    <s v="Diesel (Average Biofuel Blend)"/>
    <s v="model"/>
    <b v="0"/>
    <s v="PETROLEUM PRODUCTS, DISTILLATE FUEL OIL NO. 2"/>
    <x v="2"/>
    <x v="0"/>
    <s v="Americas"/>
    <s v="Northern America"/>
    <s v="US"/>
    <m/>
    <n v="1"/>
    <s v="N2O"/>
    <n v="42.337456000000003"/>
    <n v="2.384E-2"/>
    <s v="GALLON (US LIQUID)"/>
    <n v="1"/>
    <n v="1775.9"/>
    <s v="AR4"/>
    <s v="USEPA"/>
    <s v="USEPA (2022)"/>
    <n v="2022"/>
    <n v="2022"/>
    <n v="0"/>
    <n v="0"/>
    <x v="8"/>
    <s v="Labratory"/>
  </r>
  <r>
    <n v="283996"/>
    <s v="Top of Hierarchy &gt; North America &gt; Vantage_Chicago"/>
    <x v="2"/>
    <x v="0"/>
    <d v="2022-01-01T00:00:00"/>
    <d v="2022-12-31T00:00:00"/>
    <x v="1"/>
    <d v="2022-01-01T00:00:00"/>
    <d v="2022-12-31T00:00:00"/>
    <s v="Diesel (average biofuel blend)"/>
    <n v="1775.9"/>
    <s v="US liquid gallons"/>
    <x v="1"/>
    <m/>
    <s v="2023-04-28, 22:29"/>
    <s v="2023-07-20, 00:40"/>
    <n v="2022"/>
    <s v="diesel_avg_biofuel_blend__wtt"/>
    <s v="Diesel (Average Biofuel Blend) WTT"/>
    <s v="wtt"/>
    <b v="0"/>
    <s v="WTT- FUELS; LIQUID FUELS; DIESEL (AVERAGE BIOFUEL BLEND)"/>
    <x v="1"/>
    <x v="1"/>
    <m/>
    <m/>
    <m/>
    <m/>
    <n v="0"/>
    <s v="CO2E"/>
    <n v="4099.7897160000002"/>
    <n v="0.60985999999999996"/>
    <s v="LITRES"/>
    <n v="3.7854100000000002"/>
    <n v="6722.5096190000004"/>
    <s v="AR4"/>
    <s v="Defra"/>
    <s v="Defra (2022)"/>
    <n v="2022"/>
    <n v="2020"/>
    <n v="4.0997897160000001"/>
    <n v="0"/>
    <x v="8"/>
    <s v="Labratory"/>
  </r>
  <r>
    <n v="283996"/>
    <s v="Top of Hierarchy &gt; North America &gt; Vantage_Chicago"/>
    <x v="2"/>
    <x v="0"/>
    <d v="2022-01-01T00:00:00"/>
    <d v="2022-12-31T00:00:00"/>
    <x v="1"/>
    <d v="2022-01-01T00:00:00"/>
    <d v="2022-12-31T00:00:00"/>
    <s v="Diesel (average biofuel blend)"/>
    <n v="1775.9"/>
    <s v="US liquid gallons"/>
    <x v="1"/>
    <m/>
    <s v="2023-04-28, 22:29"/>
    <s v="2023-07-20, 00:40"/>
    <n v="2022"/>
    <s v="diesel_avg_biofuel_blend__wtt"/>
    <s v="Diesel (Average Biofuel Blend) WTT"/>
    <s v="wtt"/>
    <b v="0"/>
    <s v="WTT- FUELS; LIQUID FUELS; DIESEL (AVERAGE BIOFUEL BLEND)"/>
    <x v="1"/>
    <x v="1"/>
    <m/>
    <m/>
    <m/>
    <m/>
    <n v="1"/>
    <s v="CO2E"/>
    <n v="4099.7897160000002"/>
    <n v="0.60985999999999996"/>
    <s v="LITRES"/>
    <n v="3.7854100000000002"/>
    <n v="6722.5096190000004"/>
    <s v="AR4"/>
    <s v="Defra"/>
    <s v="Defra (2022)"/>
    <n v="2022"/>
    <n v="2020"/>
    <n v="0"/>
    <n v="4.0997897160000001"/>
    <x v="8"/>
    <s v="Labratory"/>
  </r>
  <r>
    <n v="288915"/>
    <s v="Top of Hierarchy &gt; North America &gt; Vantage_Chicago"/>
    <x v="2"/>
    <x v="0"/>
    <d v="2022-01-01T00:00:00"/>
    <d v="2022-12-31T00:00:00"/>
    <x v="4"/>
    <d v="2022-01-01T00:00:00"/>
    <d v="2022-12-31T00:00:00"/>
    <s v="HFC-134a"/>
    <n v="0"/>
    <s v="grams"/>
    <x v="1"/>
    <s v="NOT SURE HOW MUCH WAS FILLED"/>
    <s v="2023-05-01, 20:16"/>
    <s v="2023-07-20, 00:40"/>
    <n v="2022"/>
    <s v="hfc-134a"/>
    <s v="HFC-134A"/>
    <s v="model"/>
    <b v="0"/>
    <s v="REFRIGERANT: R-134A"/>
    <x v="2"/>
    <x v="0"/>
    <m/>
    <m/>
    <m/>
    <m/>
    <n v="0"/>
    <s v="CO2E"/>
    <n v="0"/>
    <n v="1430"/>
    <s v="KG"/>
    <n v="1E-3"/>
    <n v="0"/>
    <s v="AR4"/>
    <s v="IPCC"/>
    <s v="IPCC (2021)"/>
    <n v="2022"/>
    <n v="2007"/>
    <n v="0"/>
    <n v="0"/>
    <x v="8"/>
    <s v="Labratory"/>
  </r>
  <r>
    <n v="288915"/>
    <s v="Top of Hierarchy &gt; North America &gt; Vantage_Chicago"/>
    <x v="2"/>
    <x v="0"/>
    <d v="2022-01-01T00:00:00"/>
    <d v="2022-12-31T00:00:00"/>
    <x v="4"/>
    <d v="2022-01-01T00:00:00"/>
    <d v="2022-12-31T00:00:00"/>
    <s v="HFC-134a"/>
    <n v="0"/>
    <s v="grams"/>
    <x v="1"/>
    <s v="NOT SURE HOW MUCH WAS FILLED"/>
    <s v="2023-05-01, 20:16"/>
    <s v="2023-07-20, 00:40"/>
    <n v="2022"/>
    <s v="hfc-134a"/>
    <s v="HFC-134A"/>
    <s v="model"/>
    <b v="0"/>
    <s v="REFRIGERANT: R-134A"/>
    <x v="2"/>
    <x v="0"/>
    <m/>
    <m/>
    <m/>
    <m/>
    <n v="1"/>
    <s v="CO2E"/>
    <n v="0"/>
    <n v="1430"/>
    <s v="KG"/>
    <n v="1E-3"/>
    <n v="0"/>
    <s v="AR4"/>
    <s v="IPCC"/>
    <s v="IPCC (2021)"/>
    <n v="2022"/>
    <n v="2007"/>
    <n v="0"/>
    <n v="0"/>
    <x v="8"/>
    <s v="Labratory"/>
  </r>
  <r>
    <n v="787641"/>
    <s v="Top of Hierarchy &gt; North America &gt; Vantage_Chicago"/>
    <x v="2"/>
    <x v="0"/>
    <d v="2022-01-01T00:00:00"/>
    <d v="2022-12-31T00:00:00"/>
    <x v="4"/>
    <d v="2022-01-01T00:00:00"/>
    <d v="2022-12-31T00:00:00"/>
    <s v="R410A"/>
    <n v="16"/>
    <s v="pounds"/>
    <x v="1"/>
    <m/>
    <s v="2023-06-22, 20:46"/>
    <s v="2023-07-20, 00:40"/>
    <n v="2022"/>
    <s v="r410a"/>
    <s v="R410A"/>
    <s v="model"/>
    <b v="0"/>
    <s v="REFRIGERANT: R-410A"/>
    <x v="2"/>
    <x v="0"/>
    <m/>
    <m/>
    <m/>
    <m/>
    <n v="0"/>
    <s v="CO2E"/>
    <n v="15153.631939999999"/>
    <n v="2088"/>
    <s v="KG"/>
    <n v="0.45359291000000002"/>
    <n v="7.2574865600000003"/>
    <s v="AR4"/>
    <s v="IPCC"/>
    <s v="IPCC (2021)"/>
    <n v="2022"/>
    <n v="2007"/>
    <n v="15.153631939999999"/>
    <n v="0"/>
    <x v="8"/>
    <s v="Labratory"/>
  </r>
  <r>
    <n v="787641"/>
    <s v="Top of Hierarchy &gt; North America &gt; Vantage_Chicago"/>
    <x v="2"/>
    <x v="0"/>
    <d v="2022-01-01T00:00:00"/>
    <d v="2022-12-31T00:00:00"/>
    <x v="4"/>
    <d v="2022-01-01T00:00:00"/>
    <d v="2022-12-31T00:00:00"/>
    <s v="R410A"/>
    <n v="16"/>
    <s v="pounds"/>
    <x v="1"/>
    <m/>
    <s v="2023-06-22, 20:46"/>
    <s v="2023-07-20, 00:40"/>
    <n v="2022"/>
    <s v="r410a"/>
    <s v="R410A"/>
    <s v="model"/>
    <b v="0"/>
    <s v="REFRIGERANT: R-410A"/>
    <x v="2"/>
    <x v="0"/>
    <m/>
    <m/>
    <m/>
    <m/>
    <n v="1"/>
    <s v="CO2E"/>
    <n v="15153.631939999999"/>
    <n v="2088"/>
    <s v="KG"/>
    <n v="0.45359291000000002"/>
    <n v="7.2574865600000003"/>
    <s v="AR4"/>
    <s v="IPCC"/>
    <s v="IPCC (2021)"/>
    <n v="2022"/>
    <n v="2007"/>
    <n v="0"/>
    <n v="15.153631939999999"/>
    <x v="8"/>
    <s v="Labratory"/>
  </r>
  <r>
    <n v="787643"/>
    <s v="Top of Hierarchy &gt; North America &gt; Vantage_Chicago"/>
    <x v="2"/>
    <x v="0"/>
    <d v="2022-01-01T00:00:00"/>
    <d v="2022-12-31T00:00:00"/>
    <x v="4"/>
    <d v="2022-01-01T00:00:00"/>
    <d v="2022-12-31T00:00:00"/>
    <s v="R-22"/>
    <n v="12"/>
    <s v="pounds"/>
    <x v="1"/>
    <m/>
    <s v="2023-06-22, 20:47"/>
    <s v="2023-07-20, 00:40"/>
    <n v="2022"/>
    <s v="r22"/>
    <s v="R-22"/>
    <s v="model"/>
    <b v="0"/>
    <s v="REFRIGERANT: R-22"/>
    <x v="2"/>
    <x v="0"/>
    <m/>
    <m/>
    <m/>
    <m/>
    <n v="0"/>
    <s v="CO2E"/>
    <n v="9852.0380050000003"/>
    <n v="1810"/>
    <s v="KG"/>
    <n v="0.45359291000000002"/>
    <n v="5.4431149200000002"/>
    <s v="AR4"/>
    <s v="IPCC"/>
    <s v="IPCC (2021)"/>
    <n v="2022"/>
    <n v="2007"/>
    <n v="9.8520380050000007"/>
    <n v="0"/>
    <x v="8"/>
    <s v="Labratory"/>
  </r>
  <r>
    <n v="787643"/>
    <s v="Top of Hierarchy &gt; North America &gt; Vantage_Chicago"/>
    <x v="2"/>
    <x v="0"/>
    <d v="2022-01-01T00:00:00"/>
    <d v="2022-12-31T00:00:00"/>
    <x v="4"/>
    <d v="2022-01-01T00:00:00"/>
    <d v="2022-12-31T00:00:00"/>
    <s v="R-22"/>
    <n v="12"/>
    <s v="pounds"/>
    <x v="1"/>
    <m/>
    <s v="2023-06-22, 20:47"/>
    <s v="2023-07-20, 00:40"/>
    <n v="2022"/>
    <s v="r22"/>
    <s v="R-22"/>
    <s v="model"/>
    <b v="0"/>
    <s v="REFRIGERANT: R-22"/>
    <x v="2"/>
    <x v="0"/>
    <m/>
    <m/>
    <m/>
    <m/>
    <n v="1"/>
    <s v="CO2E"/>
    <n v="9852.0380050000003"/>
    <n v="1810"/>
    <s v="KG"/>
    <n v="0.45359291000000002"/>
    <n v="5.4431149200000002"/>
    <s v="AR4"/>
    <s v="IPCC"/>
    <s v="IPCC (2021)"/>
    <n v="2022"/>
    <n v="2007"/>
    <n v="0"/>
    <n v="9.8520380050000007"/>
    <x v="8"/>
    <s v="Labratory"/>
  </r>
  <r>
    <n v="1239487"/>
    <s v="Top of Hierarchy &gt; North America &gt; Vantage_Chicago"/>
    <x v="2"/>
    <x v="0"/>
    <d v="2022-01-01T00:00:00"/>
    <d v="2022-12-31T00:00:00"/>
    <x v="4"/>
    <d v="2022-01-01T00:00:00"/>
    <d v="2022-12-31T00:00:00"/>
    <s v="Carbon Dioxide"/>
    <n v="85600"/>
    <s v="pounds"/>
    <x v="1"/>
    <m/>
    <s v="2023-07-18, 23:28"/>
    <s v="2023-08-03, 20:28"/>
    <n v="2022"/>
    <s v="co2"/>
    <s v="Carbon Dioxide"/>
    <s v="model"/>
    <b v="0"/>
    <s v="REFRIGERANT &amp; OTHER; KYOTO PROTOCOL - STANDARD; CARBON DIOXIDE"/>
    <x v="2"/>
    <x v="0"/>
    <m/>
    <m/>
    <m/>
    <m/>
    <n v="0"/>
    <s v="CO2E"/>
    <n v="38827.553099999997"/>
    <n v="1"/>
    <s v="KG"/>
    <n v="0.45359291000000002"/>
    <n v="38827.553099999997"/>
    <s v="AR4"/>
    <s v="Defra"/>
    <s v="Defra (2021)"/>
    <n v="2022"/>
    <n v="2019"/>
    <n v="38.827553099999996"/>
    <n v="0"/>
    <x v="8"/>
    <s v="Labratory"/>
  </r>
  <r>
    <n v="1239487"/>
    <s v="Top of Hierarchy &gt; North America &gt; Vantage_Chicago"/>
    <x v="2"/>
    <x v="0"/>
    <d v="2022-01-01T00:00:00"/>
    <d v="2022-12-31T00:00:00"/>
    <x v="4"/>
    <d v="2022-01-01T00:00:00"/>
    <d v="2022-12-31T00:00:00"/>
    <s v="Carbon Dioxide"/>
    <n v="85600"/>
    <s v="pounds"/>
    <x v="1"/>
    <m/>
    <s v="2023-07-18, 23:28"/>
    <s v="2023-08-03, 20:28"/>
    <n v="2022"/>
    <s v="co2"/>
    <s v="Carbon Dioxide"/>
    <s v="model"/>
    <b v="0"/>
    <s v="REFRIGERANT &amp; OTHER; KYOTO PROTOCOL - STANDARD; CARBON DIOXIDE"/>
    <x v="2"/>
    <x v="0"/>
    <m/>
    <m/>
    <m/>
    <m/>
    <n v="1"/>
    <s v="CO2E"/>
    <n v="38827.553099999997"/>
    <n v="1"/>
    <s v="KG"/>
    <n v="0.45359291000000002"/>
    <n v="38827.553099999997"/>
    <s v="AR4"/>
    <s v="Defra"/>
    <s v="Defra (2021)"/>
    <n v="2022"/>
    <n v="2019"/>
    <n v="0"/>
    <n v="38.827553099999996"/>
    <x v="8"/>
    <s v="Labratory"/>
  </r>
  <r>
    <n v="283998"/>
    <s v="Top of Hierarchy &gt; North America &gt; Vantage_Chicago"/>
    <x v="2"/>
    <x v="0"/>
    <d v="2022-01-01T00:00:00"/>
    <d v="2022-12-31T00:00:00"/>
    <x v="2"/>
    <d v="2022-01-01T00:00:00"/>
    <d v="2022-12-31T00:00:00"/>
    <s v="Propane"/>
    <n v="5896"/>
    <s v="pounds"/>
    <x v="1"/>
    <m/>
    <s v="2023-04-28, 22:35"/>
    <s v="2023-07-20, 00:40"/>
    <n v="2022"/>
    <s v="propane"/>
    <s v="Propane"/>
    <s v="model"/>
    <b v="0"/>
    <s v="FUELS; GASEOUS FUELS; PROPANE"/>
    <x v="2"/>
    <x v="0"/>
    <m/>
    <m/>
    <m/>
    <m/>
    <n v="0"/>
    <s v="CH4"/>
    <n v="6.1777869379999997"/>
    <n v="2.31"/>
    <s v="TONNES"/>
    <n v="4.5359000000000003E-4"/>
    <n v="2.6743666400000001"/>
    <s v="AR4"/>
    <s v="Defra"/>
    <s v="Defra (2022)"/>
    <n v="2022"/>
    <n v="2020"/>
    <n v="0"/>
    <n v="0"/>
    <x v="8"/>
    <s v="Labratory"/>
  </r>
  <r>
    <n v="283998"/>
    <s v="Top of Hierarchy &gt; North America &gt; Vantage_Chicago"/>
    <x v="2"/>
    <x v="0"/>
    <d v="2022-01-01T00:00:00"/>
    <d v="2022-12-31T00:00:00"/>
    <x v="2"/>
    <d v="2022-01-01T00:00:00"/>
    <d v="2022-12-31T00:00:00"/>
    <s v="Propane"/>
    <n v="5896"/>
    <s v="pounds"/>
    <x v="1"/>
    <m/>
    <s v="2023-04-28, 22:35"/>
    <s v="2023-07-20, 00:40"/>
    <n v="2022"/>
    <s v="propane"/>
    <s v="Propane"/>
    <s v="model"/>
    <b v="0"/>
    <s v="FUELS; GASEOUS FUELS; PROPANE"/>
    <x v="2"/>
    <x v="0"/>
    <m/>
    <m/>
    <m/>
    <m/>
    <n v="0"/>
    <s v="CO2"/>
    <n v="8005.4490999999998"/>
    <n v="2993.4"/>
    <s v="TONNES"/>
    <n v="4.5359000000000003E-4"/>
    <n v="2.6743666400000001"/>
    <s v="AR4"/>
    <s v="Defra"/>
    <s v="Defra (2022)"/>
    <n v="2022"/>
    <n v="2020"/>
    <n v="0"/>
    <n v="0"/>
    <x v="8"/>
    <s v="Labratory"/>
  </r>
  <r>
    <n v="283998"/>
    <s v="Top of Hierarchy &gt; North America &gt; Vantage_Chicago"/>
    <x v="2"/>
    <x v="0"/>
    <d v="2022-01-01T00:00:00"/>
    <d v="2022-12-31T00:00:00"/>
    <x v="2"/>
    <d v="2022-01-01T00:00:00"/>
    <d v="2022-12-31T00:00:00"/>
    <s v="Propane"/>
    <n v="5896"/>
    <s v="pounds"/>
    <x v="1"/>
    <m/>
    <s v="2023-04-28, 22:35"/>
    <s v="2023-07-20, 00:40"/>
    <n v="2022"/>
    <s v="propane"/>
    <s v="Propane"/>
    <s v="model"/>
    <b v="0"/>
    <s v="FUELS; GASEOUS FUELS; PROPANE"/>
    <x v="2"/>
    <x v="0"/>
    <m/>
    <m/>
    <m/>
    <m/>
    <n v="0"/>
    <s v="CO2E"/>
    <n v="8016.5744649999997"/>
    <n v="2997.56"/>
    <s v="TONNES"/>
    <n v="4.5359000000000003E-4"/>
    <n v="2.6743666400000001"/>
    <s v="AR4"/>
    <s v="Defra"/>
    <s v="Defra (2022)"/>
    <n v="2022"/>
    <n v="2020"/>
    <n v="8.0165744649999997"/>
    <n v="0"/>
    <x v="8"/>
    <s v="Labratory"/>
  </r>
  <r>
    <n v="283998"/>
    <s v="Top of Hierarchy &gt; North America &gt; Vantage_Chicago"/>
    <x v="2"/>
    <x v="0"/>
    <d v="2022-01-01T00:00:00"/>
    <d v="2022-12-31T00:00:00"/>
    <x v="2"/>
    <d v="2022-01-01T00:00:00"/>
    <d v="2022-12-31T00:00:00"/>
    <s v="Propane"/>
    <n v="5896"/>
    <s v="pounds"/>
    <x v="1"/>
    <m/>
    <s v="2023-04-28, 22:35"/>
    <s v="2023-07-20, 00:40"/>
    <n v="2022"/>
    <s v="propane"/>
    <s v="Propane"/>
    <s v="model"/>
    <b v="0"/>
    <s v="FUELS; GASEOUS FUELS; PROPANE"/>
    <x v="2"/>
    <x v="0"/>
    <m/>
    <m/>
    <m/>
    <m/>
    <n v="0"/>
    <s v="N2O"/>
    <n v="4.9475782840000004"/>
    <n v="1.85"/>
    <s v="TONNES"/>
    <n v="4.5359000000000003E-4"/>
    <n v="2.6743666400000001"/>
    <s v="AR4"/>
    <s v="Defra"/>
    <s v="Defra (2022)"/>
    <n v="2022"/>
    <n v="2020"/>
    <n v="0"/>
    <n v="0"/>
    <x v="8"/>
    <s v="Labratory"/>
  </r>
  <r>
    <n v="283998"/>
    <s v="Top of Hierarchy &gt; North America &gt; Vantage_Chicago"/>
    <x v="2"/>
    <x v="0"/>
    <d v="2022-01-01T00:00:00"/>
    <d v="2022-12-31T00:00:00"/>
    <x v="2"/>
    <d v="2022-01-01T00:00:00"/>
    <d v="2022-12-31T00:00:00"/>
    <s v="Propane"/>
    <n v="5896"/>
    <s v="pounds"/>
    <x v="1"/>
    <m/>
    <s v="2023-04-28, 22:35"/>
    <s v="2023-07-20, 00:40"/>
    <n v="2022"/>
    <s v="propane"/>
    <s v="Propane"/>
    <s v="model"/>
    <b v="0"/>
    <s v="FUELS; GASEOUS FUELS; PROPANE"/>
    <x v="2"/>
    <x v="0"/>
    <m/>
    <m/>
    <m/>
    <m/>
    <n v="1"/>
    <s v="CH4"/>
    <n v="6.1777869379999997"/>
    <n v="2.31"/>
    <s v="TONNES"/>
    <n v="4.5359000000000003E-4"/>
    <n v="2.6743666400000001"/>
    <s v="AR4"/>
    <s v="Defra"/>
    <s v="Defra (2022)"/>
    <n v="2022"/>
    <n v="2020"/>
    <n v="0"/>
    <n v="0"/>
    <x v="8"/>
    <s v="Labratory"/>
  </r>
  <r>
    <n v="283998"/>
    <s v="Top of Hierarchy &gt; North America &gt; Vantage_Chicago"/>
    <x v="2"/>
    <x v="0"/>
    <d v="2022-01-01T00:00:00"/>
    <d v="2022-12-31T00:00:00"/>
    <x v="2"/>
    <d v="2022-01-01T00:00:00"/>
    <d v="2022-12-31T00:00:00"/>
    <s v="Propane"/>
    <n v="5896"/>
    <s v="pounds"/>
    <x v="1"/>
    <m/>
    <s v="2023-04-28, 22:35"/>
    <s v="2023-07-20, 00:40"/>
    <n v="2022"/>
    <s v="propane"/>
    <s v="Propane"/>
    <s v="model"/>
    <b v="0"/>
    <s v="FUELS; GASEOUS FUELS; PROPANE"/>
    <x v="2"/>
    <x v="0"/>
    <m/>
    <m/>
    <m/>
    <m/>
    <n v="1"/>
    <s v="CO2"/>
    <n v="8005.4490999999998"/>
    <n v="2993.4"/>
    <s v="TONNES"/>
    <n v="4.5359000000000003E-4"/>
    <n v="2.6743666400000001"/>
    <s v="AR4"/>
    <s v="Defra"/>
    <s v="Defra (2022)"/>
    <n v="2022"/>
    <n v="2020"/>
    <n v="0"/>
    <n v="0"/>
    <x v="8"/>
    <s v="Labratory"/>
  </r>
  <r>
    <n v="283998"/>
    <s v="Top of Hierarchy &gt; North America &gt; Vantage_Chicago"/>
    <x v="2"/>
    <x v="0"/>
    <d v="2022-01-01T00:00:00"/>
    <d v="2022-12-31T00:00:00"/>
    <x v="2"/>
    <d v="2022-01-01T00:00:00"/>
    <d v="2022-12-31T00:00:00"/>
    <s v="Propane"/>
    <n v="5896"/>
    <s v="pounds"/>
    <x v="1"/>
    <m/>
    <s v="2023-04-28, 22:35"/>
    <s v="2023-07-20, 00:40"/>
    <n v="2022"/>
    <s v="propane"/>
    <s v="Propane"/>
    <s v="model"/>
    <b v="0"/>
    <s v="FUELS; GASEOUS FUELS; PROPANE"/>
    <x v="2"/>
    <x v="0"/>
    <m/>
    <m/>
    <m/>
    <m/>
    <n v="1"/>
    <s v="CO2E"/>
    <n v="8016.5744649999997"/>
    <n v="2997.56"/>
    <s v="TONNES"/>
    <n v="4.5359000000000003E-4"/>
    <n v="2.6743666400000001"/>
    <s v="AR4"/>
    <s v="Defra"/>
    <s v="Defra (2022)"/>
    <n v="2022"/>
    <n v="2020"/>
    <n v="0"/>
    <n v="8.0165744649999997"/>
    <x v="8"/>
    <s v="Labratory"/>
  </r>
  <r>
    <n v="283998"/>
    <s v="Top of Hierarchy &gt; North America &gt; Vantage_Chicago"/>
    <x v="2"/>
    <x v="0"/>
    <d v="2022-01-01T00:00:00"/>
    <d v="2022-12-31T00:00:00"/>
    <x v="2"/>
    <d v="2022-01-01T00:00:00"/>
    <d v="2022-12-31T00:00:00"/>
    <s v="Propane"/>
    <n v="5896"/>
    <s v="pounds"/>
    <x v="1"/>
    <m/>
    <s v="2023-04-28, 22:35"/>
    <s v="2023-07-20, 00:40"/>
    <n v="2022"/>
    <s v="propane"/>
    <s v="Propane"/>
    <s v="model"/>
    <b v="0"/>
    <s v="FUELS; GASEOUS FUELS; PROPANE"/>
    <x v="2"/>
    <x v="0"/>
    <m/>
    <m/>
    <m/>
    <m/>
    <n v="1"/>
    <s v="N2O"/>
    <n v="4.9475782840000004"/>
    <n v="1.85"/>
    <s v="TONNES"/>
    <n v="4.5359000000000003E-4"/>
    <n v="2.6743666400000001"/>
    <s v="AR4"/>
    <s v="Defra"/>
    <s v="Defra (2022)"/>
    <n v="2022"/>
    <n v="2020"/>
    <n v="0"/>
    <n v="0"/>
    <x v="8"/>
    <s v="Labratory"/>
  </r>
  <r>
    <n v="283998"/>
    <s v="Top of Hierarchy &gt; North America &gt; Vantage_Chicago"/>
    <x v="2"/>
    <x v="0"/>
    <d v="2022-01-01T00:00:00"/>
    <d v="2022-12-31T00:00:00"/>
    <x v="2"/>
    <d v="2022-01-01T00:00:00"/>
    <d v="2022-12-31T00:00:00"/>
    <s v="Propane"/>
    <n v="5896"/>
    <s v="pounds"/>
    <x v="1"/>
    <m/>
    <s v="2023-04-28, 22:35"/>
    <s v="2023-07-20, 00:40"/>
    <n v="2022"/>
    <s v="propane__wtt"/>
    <s v="Propane WTT"/>
    <s v="wtt"/>
    <b v="0"/>
    <s v="WTT- FUELS; GASEOUS FUELS; PROPANE"/>
    <x v="1"/>
    <x v="1"/>
    <m/>
    <m/>
    <m/>
    <m/>
    <n v="0"/>
    <s v="CO2E"/>
    <n v="937.246712"/>
    <n v="350.45558"/>
    <s v="TONNES"/>
    <n v="4.5359000000000003E-4"/>
    <n v="2.6743666400000001"/>
    <s v="AR4"/>
    <s v="Defra"/>
    <s v="Defra (2022)"/>
    <n v="2022"/>
    <n v="2020"/>
    <n v="0.93724671199999998"/>
    <n v="0"/>
    <x v="8"/>
    <s v="Labratory"/>
  </r>
  <r>
    <n v="283998"/>
    <s v="Top of Hierarchy &gt; North America &gt; Vantage_Chicago"/>
    <x v="2"/>
    <x v="0"/>
    <d v="2022-01-01T00:00:00"/>
    <d v="2022-12-31T00:00:00"/>
    <x v="2"/>
    <d v="2022-01-01T00:00:00"/>
    <d v="2022-12-31T00:00:00"/>
    <s v="Propane"/>
    <n v="5896"/>
    <s v="pounds"/>
    <x v="1"/>
    <m/>
    <s v="2023-04-28, 22:35"/>
    <s v="2023-07-20, 00:40"/>
    <n v="2022"/>
    <s v="propane__wtt"/>
    <s v="Propane WTT"/>
    <s v="wtt"/>
    <b v="0"/>
    <s v="WTT- FUELS; GASEOUS FUELS; PROPANE"/>
    <x v="1"/>
    <x v="1"/>
    <m/>
    <m/>
    <m/>
    <m/>
    <n v="1"/>
    <s v="CO2E"/>
    <n v="937.246712"/>
    <n v="350.45558"/>
    <s v="TONNES"/>
    <n v="4.5359000000000003E-4"/>
    <n v="2.6743666400000001"/>
    <s v="AR4"/>
    <s v="Defra"/>
    <s v="Defra (2022)"/>
    <n v="2022"/>
    <n v="2020"/>
    <n v="0"/>
    <n v="0.93724671199999998"/>
    <x v="8"/>
    <s v="Labratory"/>
  </r>
  <r>
    <n v="4672"/>
    <s v="Top of Hierarchy &gt; North America &gt; Vantage_Chicago"/>
    <x v="2"/>
    <x v="1"/>
    <d v="2021-01-01T00:00:00"/>
    <d v="2021-12-31T00:00:00"/>
    <x v="0"/>
    <d v="2021-01-01T00:00:00"/>
    <d v="2021-12-31T00:00:00"/>
    <s v="Electricity (non-renewable)"/>
    <n v="33498781"/>
    <s v="Kilowatt hours"/>
    <x v="1"/>
    <m/>
    <s v="2023-02-27, 14:14"/>
    <s v="2023-07-20, 00:40"/>
    <n v="2021"/>
    <s v="electricity"/>
    <s v="Electricity"/>
    <s v="model"/>
    <b v="0"/>
    <s v="ELECTRICITY; UNITED STATES - RFCW"/>
    <x v="0"/>
    <x v="0"/>
    <s v="Americas"/>
    <s v="Northern America"/>
    <s v="US"/>
    <s v="RFCW"/>
    <n v="0"/>
    <s v="CH4"/>
    <n v="37607.10888"/>
    <n v="1.122641E-3"/>
    <s v="KWH"/>
    <n v="1"/>
    <n v="33498781"/>
    <s v="AR4"/>
    <s v="USEPA"/>
    <s v="USEPA (2021)"/>
    <n v="2021"/>
    <n v="2019"/>
    <n v="0"/>
    <n v="0"/>
    <x v="8"/>
    <s v="Labratory"/>
  </r>
  <r>
    <n v="4672"/>
    <s v="Top of Hierarchy &gt; North America &gt; Vantage_Chicago"/>
    <x v="2"/>
    <x v="1"/>
    <d v="2021-01-01T00:00:00"/>
    <d v="2021-12-31T00:00:00"/>
    <x v="0"/>
    <d v="2021-01-01T00:00:00"/>
    <d v="2021-12-31T00:00:00"/>
    <s v="Electricity (non-renewable)"/>
    <n v="33498781"/>
    <s v="Kilowatt hours"/>
    <x v="1"/>
    <m/>
    <s v="2023-02-27, 14:14"/>
    <s v="2023-07-20, 00:40"/>
    <n v="2021"/>
    <s v="electricity"/>
    <s v="Electricity"/>
    <s v="model"/>
    <b v="0"/>
    <s v="ELECTRICITY; UNITED STATES - RFCW"/>
    <x v="0"/>
    <x v="0"/>
    <s v="Americas"/>
    <s v="Northern America"/>
    <s v="US"/>
    <s v="RFCW"/>
    <n v="0"/>
    <s v="CO2"/>
    <n v="16223159.76"/>
    <n v="0.484291048"/>
    <s v="KWH"/>
    <n v="1"/>
    <n v="33498781"/>
    <s v="AR4"/>
    <s v="USEPA"/>
    <s v="USEPA (2021)"/>
    <n v="2021"/>
    <n v="2019"/>
    <n v="0"/>
    <n v="0"/>
    <x v="8"/>
    <s v="Labratory"/>
  </r>
  <r>
    <n v="4672"/>
    <s v="Top of Hierarchy &gt; North America &gt; Vantage_Chicago"/>
    <x v="2"/>
    <x v="1"/>
    <d v="2021-01-01T00:00:00"/>
    <d v="2021-12-31T00:00:00"/>
    <x v="0"/>
    <d v="2021-01-01T00:00:00"/>
    <d v="2021-12-31T00:00:00"/>
    <s v="Electricity (non-renewable)"/>
    <n v="33498781"/>
    <s v="Kilowatt hours"/>
    <x v="1"/>
    <m/>
    <s v="2023-02-27, 14:14"/>
    <s v="2023-07-20, 00:40"/>
    <n v="2021"/>
    <s v="electricity"/>
    <s v="Electricity"/>
    <s v="model"/>
    <b v="0"/>
    <s v="ELECTRICITY; UNITED STATES - RFCW"/>
    <x v="0"/>
    <x v="0"/>
    <s v="Americas"/>
    <s v="Northern America"/>
    <s v="US"/>
    <s v="RFCW"/>
    <n v="0"/>
    <s v="CO2E"/>
    <n v="16324159.539999999"/>
    <n v="0.48730607599999998"/>
    <s v="KWH"/>
    <n v="1"/>
    <n v="33498781"/>
    <s v="AR4"/>
    <s v="USEPA"/>
    <s v="USEPA (2021)"/>
    <n v="2021"/>
    <n v="2019"/>
    <n v="16324.159539999999"/>
    <n v="0"/>
    <x v="8"/>
    <s v="Labratory"/>
  </r>
  <r>
    <n v="4672"/>
    <s v="Top of Hierarchy &gt; North America &gt; Vantage_Chicago"/>
    <x v="2"/>
    <x v="1"/>
    <d v="2021-01-01T00:00:00"/>
    <d v="2021-12-31T00:00:00"/>
    <x v="0"/>
    <d v="2021-01-01T00:00:00"/>
    <d v="2021-12-31T00:00:00"/>
    <s v="Electricity (non-renewable)"/>
    <n v="33498781"/>
    <s v="Kilowatt hours"/>
    <x v="1"/>
    <m/>
    <s v="2023-02-27, 14:14"/>
    <s v="2023-07-20, 00:40"/>
    <n v="2021"/>
    <s v="electricity"/>
    <s v="Electricity"/>
    <s v="model"/>
    <b v="0"/>
    <s v="ELECTRICITY; UNITED STATES - RFCW"/>
    <x v="0"/>
    <x v="0"/>
    <s v="Americas"/>
    <s v="Northern America"/>
    <s v="US"/>
    <s v="RFCW"/>
    <n v="0"/>
    <s v="N2O"/>
    <n v="63392.67"/>
    <n v="1.8923869999999999E-3"/>
    <s v="KWH"/>
    <n v="1"/>
    <n v="33498781"/>
    <s v="AR4"/>
    <s v="USEPA"/>
    <s v="USEPA (2021)"/>
    <n v="2021"/>
    <n v="2019"/>
    <n v="0"/>
    <n v="0"/>
    <x v="8"/>
    <s v="Labratory"/>
  </r>
  <r>
    <n v="4672"/>
    <s v="Top of Hierarchy &gt; North America &gt; Vantage_Chicago"/>
    <x v="2"/>
    <x v="1"/>
    <d v="2021-01-01T00:00:00"/>
    <d v="2021-12-31T00:00:00"/>
    <x v="0"/>
    <d v="2021-01-01T00:00:00"/>
    <d v="2021-12-31T00:00:00"/>
    <s v="Electricity (non-renewable)"/>
    <n v="33498781"/>
    <s v="Kilowatt hours"/>
    <x v="1"/>
    <m/>
    <s v="2023-02-27, 14:14"/>
    <s v="2023-07-20, 00:40"/>
    <n v="2021"/>
    <s v="electricity"/>
    <s v="Electricity"/>
    <s v="model"/>
    <b v="1"/>
    <s v="ELECTRICITY; UNITED STATES - RFCW"/>
    <x v="0"/>
    <x v="0"/>
    <m/>
    <m/>
    <m/>
    <m/>
    <n v="1"/>
    <s v="CO2E MKT"/>
    <n v="12813852.73"/>
    <n v="0.382516986"/>
    <s v="KWH"/>
    <n v="1"/>
    <n v="33498781"/>
    <m/>
    <m/>
    <s v="Supplier"/>
    <n v="2021"/>
    <m/>
    <n v="0"/>
    <n v="12813.852730000001"/>
    <x v="8"/>
    <s v="Labratory"/>
  </r>
  <r>
    <n v="4672"/>
    <s v="Top of Hierarchy &gt; North America &gt; Vantage_Chicago"/>
    <x v="2"/>
    <x v="1"/>
    <d v="2021-01-01T00:00:00"/>
    <d v="2021-12-31T00:00:00"/>
    <x v="0"/>
    <d v="2021-01-01T00:00:00"/>
    <d v="2021-12-31T00:00:00"/>
    <s v="Electricity (non-renewable)"/>
    <n v="33498781"/>
    <s v="Kilowatt hours"/>
    <x v="1"/>
    <m/>
    <s v="2023-02-27, 14:14"/>
    <s v="2023-07-20, 00:40"/>
    <n v="2021"/>
    <s v="electricity__t+d__wtt"/>
    <s v="Electricity T&amp;D WTT"/>
    <s v="t+d_wtt"/>
    <b v="0"/>
    <s v="ELECTRICITY; UNITED STATES - RFCW; T&amp;D WTT Estimated"/>
    <x v="1"/>
    <x v="1"/>
    <s v="Americas"/>
    <s v="Northern America"/>
    <s v="US"/>
    <s v="RFCW"/>
    <n v="0"/>
    <s v="CH4"/>
    <n v="506.66979400000002"/>
    <n v="1.5125E-5"/>
    <s v="KWH"/>
    <n v="1"/>
    <n v="33498781"/>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ELECTRICITY; TRANSMISSION AND DISTRIBUTION; UNITED STATES - RFCW, USEPA to estimate the T&amp;D WTT factor."/>
    <n v="2021"/>
    <n v="2019"/>
    <n v="0"/>
    <n v="0"/>
    <x v="8"/>
    <s v="Labratory"/>
  </r>
  <r>
    <n v="4672"/>
    <s v="Top of Hierarchy &gt; North America &gt; Vantage_Chicago"/>
    <x v="2"/>
    <x v="1"/>
    <d v="2021-01-01T00:00:00"/>
    <d v="2021-12-31T00:00:00"/>
    <x v="0"/>
    <d v="2021-01-01T00:00:00"/>
    <d v="2021-12-31T00:00:00"/>
    <s v="Electricity (non-renewable)"/>
    <n v="33498781"/>
    <s v="Kilowatt hours"/>
    <x v="1"/>
    <m/>
    <s v="2023-02-27, 14:14"/>
    <s v="2023-07-20, 00:40"/>
    <n v="2021"/>
    <s v="electricity__t+d__wtt"/>
    <s v="Electricity T&amp;D WTT"/>
    <s v="t+d_wtt"/>
    <b v="0"/>
    <s v="ELECTRICITY; UNITED STATES - RFCW; T&amp;D WTT Estimated"/>
    <x v="1"/>
    <x v="1"/>
    <s v="Americas"/>
    <s v="Northern America"/>
    <s v="US"/>
    <s v="RFCW"/>
    <n v="0"/>
    <s v="CO2"/>
    <n v="218569.97940000001"/>
    <n v="6.524714E-3"/>
    <s v="KWH"/>
    <n v="1"/>
    <n v="33498781"/>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ELECTRICITY; TRANSMISSION AND DISTRIBUTION; UNITED STATES - RFCW, USEPA to estimate the T&amp;D WTT factor."/>
    <n v="2021"/>
    <n v="2019"/>
    <n v="0"/>
    <n v="0"/>
    <x v="8"/>
    <s v="Labratory"/>
  </r>
  <r>
    <n v="4672"/>
    <s v="Top of Hierarchy &gt; North America &gt; Vantage_Chicago"/>
    <x v="2"/>
    <x v="1"/>
    <d v="2021-01-01T00:00:00"/>
    <d v="2021-12-31T00:00:00"/>
    <x v="0"/>
    <d v="2021-01-01T00:00:00"/>
    <d v="2021-12-31T00:00:00"/>
    <s v="Electricity (non-renewable)"/>
    <n v="33498781"/>
    <s v="Kilowatt hours"/>
    <x v="1"/>
    <m/>
    <s v="2023-02-27, 14:14"/>
    <s v="2023-07-20, 00:40"/>
    <n v="2021"/>
    <s v="electricity__t+d__wtt"/>
    <s v="Electricity T&amp;D WTT"/>
    <s v="t+d_wtt"/>
    <b v="0"/>
    <s v="ELECTRICITY; UNITED STATES - RFCW; T&amp;D WTT Estimated"/>
    <x v="1"/>
    <x v="1"/>
    <s v="Americas"/>
    <s v="Northern America"/>
    <s v="US"/>
    <s v="RFCW"/>
    <n v="0"/>
    <s v="CO2E"/>
    <n v="219930.7205"/>
    <n v="6.5653350000000003E-3"/>
    <s v="KWH"/>
    <n v="1"/>
    <n v="33498781"/>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ELECTRICITY; TRANSMISSION AND DISTRIBUTION; UNITED STATES - RFCW, USEPA to estimate the T&amp;D WTT factor."/>
    <n v="2021"/>
    <n v="2019"/>
    <n v="219.93072050000001"/>
    <n v="0"/>
    <x v="8"/>
    <s v="Labratory"/>
  </r>
  <r>
    <n v="4672"/>
    <s v="Top of Hierarchy &gt; North America &gt; Vantage_Chicago"/>
    <x v="2"/>
    <x v="1"/>
    <d v="2021-01-01T00:00:00"/>
    <d v="2021-12-31T00:00:00"/>
    <x v="0"/>
    <d v="2021-01-01T00:00:00"/>
    <d v="2021-12-31T00:00:00"/>
    <s v="Electricity (non-renewable)"/>
    <n v="33498781"/>
    <s v="Kilowatt hours"/>
    <x v="1"/>
    <m/>
    <s v="2023-02-27, 14:14"/>
    <s v="2023-07-20, 00:40"/>
    <n v="2021"/>
    <s v="electricity__t+d__wtt"/>
    <s v="Electricity T&amp;D WTT"/>
    <s v="t+d_wtt"/>
    <b v="0"/>
    <s v="ELECTRICITY; UNITED STATES - RFCW; T&amp;D WTT Estimated"/>
    <x v="1"/>
    <x v="1"/>
    <s v="Americas"/>
    <s v="Northern America"/>
    <s v="US"/>
    <s v="RFCW"/>
    <n v="0"/>
    <s v="N2O"/>
    <n v="854.07126489999996"/>
    <n v="2.54956E-5"/>
    <s v="KWH"/>
    <n v="1"/>
    <n v="33498781"/>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ELECTRICITY; TRANSMISSION AND DISTRIBUTION; UNITED STATES - RFCW, USEPA to estimate the T&amp;D WTT factor."/>
    <n v="2021"/>
    <n v="2019"/>
    <n v="0"/>
    <n v="0"/>
    <x v="8"/>
    <s v="Labratory"/>
  </r>
  <r>
    <n v="4672"/>
    <s v="Top of Hierarchy &gt; North America &gt; Vantage_Chicago"/>
    <x v="2"/>
    <x v="1"/>
    <d v="2021-01-01T00:00:00"/>
    <d v="2021-12-31T00:00:00"/>
    <x v="0"/>
    <d v="2021-01-01T00:00:00"/>
    <d v="2021-12-31T00:00:00"/>
    <s v="Electricity (non-renewable)"/>
    <n v="33498781"/>
    <s v="Kilowatt hours"/>
    <x v="1"/>
    <m/>
    <s v="2023-02-27, 14:14"/>
    <s v="2023-07-20, 00:40"/>
    <n v="2021"/>
    <s v="electricity__t+d__wtt"/>
    <s v="Electricity T&amp;D WTT"/>
    <s v="t+d_wtt"/>
    <b v="0"/>
    <s v="ELECTRICITY; UNITED STATES - RFCW; T&amp;D WTT Estimated"/>
    <x v="1"/>
    <x v="1"/>
    <s v="Americas"/>
    <s v="Northern America"/>
    <s v="US"/>
    <s v="RFCW"/>
    <n v="1"/>
    <s v="CO2E MKT"/>
    <n v="218650.02299999999"/>
    <n v="6.5271039999999997E-3"/>
    <s v="KWH"/>
    <n v="1"/>
    <n v="33498781"/>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  to estimate the T&amp;D WTT factor."/>
    <n v="2021"/>
    <n v="2019"/>
    <n v="0"/>
    <n v="218.65002299999998"/>
    <x v="8"/>
    <s v="Labratory"/>
  </r>
  <r>
    <n v="4672"/>
    <s v="Top of Hierarchy &gt; North America &gt; Vantage_Chicago"/>
    <x v="2"/>
    <x v="1"/>
    <d v="2021-01-01T00:00:00"/>
    <d v="2021-12-31T00:00:00"/>
    <x v="0"/>
    <d v="2021-01-01T00:00:00"/>
    <d v="2021-12-31T00:00:00"/>
    <s v="Electricity (non-renewable)"/>
    <n v="33498781"/>
    <s v="Kilowatt hours"/>
    <x v="1"/>
    <m/>
    <s v="2023-02-27, 14:14"/>
    <s v="2023-07-20, 00:40"/>
    <n v="2021"/>
    <s v="electricity__wtt"/>
    <s v="Electricity WTT"/>
    <s v="wtt"/>
    <b v="0"/>
    <s v="ELECTRICITY; UNITED STATES - RFCW; WTT Estimated"/>
    <x v="1"/>
    <x v="1"/>
    <s v="Americas"/>
    <s v="Northern America"/>
    <s v="US"/>
    <s v="RFCW"/>
    <n v="0"/>
    <s v="CH4"/>
    <n v="9934.7018439999993"/>
    <n v="2.96569E-4"/>
    <s v="KWH"/>
    <n v="1"/>
    <n v="33498781"/>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RFCW, USEPAto estimate the WTT factor."/>
    <n v="2021"/>
    <n v="2019"/>
    <n v="0"/>
    <n v="0"/>
    <x v="8"/>
    <s v="Labratory"/>
  </r>
  <r>
    <n v="4672"/>
    <s v="Top of Hierarchy &gt; North America &gt; Vantage_Chicago"/>
    <x v="2"/>
    <x v="1"/>
    <d v="2021-01-01T00:00:00"/>
    <d v="2021-12-31T00:00:00"/>
    <x v="0"/>
    <d v="2021-01-01T00:00:00"/>
    <d v="2021-12-31T00:00:00"/>
    <s v="Electricity (non-renewable)"/>
    <n v="33498781"/>
    <s v="Kilowatt hours"/>
    <x v="1"/>
    <m/>
    <s v="2023-02-27, 14:14"/>
    <s v="2023-07-20, 00:40"/>
    <n v="2021"/>
    <s v="electricity__wtt"/>
    <s v="Electricity WTT"/>
    <s v="wtt"/>
    <b v="0"/>
    <s v="ELECTRICITY; UNITED STATES - RFCW; WTT Estimated"/>
    <x v="1"/>
    <x v="1"/>
    <s v="Americas"/>
    <s v="Northern America"/>
    <s v="US"/>
    <s v="RFCW"/>
    <n v="0"/>
    <s v="CO2"/>
    <n v="4285685.8710000003"/>
    <n v="0.12793557699999999"/>
    <s v="KWH"/>
    <n v="1"/>
    <n v="33498781"/>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RFCW, USEPAto estimate the WTT factor."/>
    <n v="2021"/>
    <n v="2019"/>
    <n v="0"/>
    <n v="0"/>
    <x v="8"/>
    <s v="Labratory"/>
  </r>
  <r>
    <n v="4672"/>
    <s v="Top of Hierarchy &gt; North America &gt; Vantage_Chicago"/>
    <x v="2"/>
    <x v="1"/>
    <d v="2021-01-01T00:00:00"/>
    <d v="2021-12-31T00:00:00"/>
    <x v="0"/>
    <d v="2021-01-01T00:00:00"/>
    <d v="2021-12-31T00:00:00"/>
    <s v="Electricity (non-renewable)"/>
    <n v="33498781"/>
    <s v="Kilowatt hours"/>
    <x v="1"/>
    <m/>
    <s v="2023-02-27, 14:14"/>
    <s v="2023-07-20, 00:40"/>
    <n v="2021"/>
    <s v="electricity__wtt"/>
    <s v="Electricity WTT"/>
    <s v="wtt"/>
    <b v="0"/>
    <s v="ELECTRICITY; UNITED STATES - RFCW; WTT Estimated"/>
    <x v="1"/>
    <x v="1"/>
    <s v="Americas"/>
    <s v="Northern America"/>
    <s v="US"/>
    <s v="RFCW"/>
    <n v="0"/>
    <s v="CO2E"/>
    <n v="4312367.068"/>
    <n v="0.12873205900000001"/>
    <s v="KWH"/>
    <n v="1"/>
    <n v="33498781"/>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RFCW, USEPAto estimate the WTT factor."/>
    <n v="2021"/>
    <n v="2019"/>
    <n v="4312.3670679999996"/>
    <n v="0"/>
    <x v="8"/>
    <s v="Labratory"/>
  </r>
  <r>
    <n v="4672"/>
    <s v="Top of Hierarchy &gt; North America &gt; Vantage_Chicago"/>
    <x v="2"/>
    <x v="1"/>
    <d v="2021-01-01T00:00:00"/>
    <d v="2021-12-31T00:00:00"/>
    <x v="0"/>
    <d v="2021-01-01T00:00:00"/>
    <d v="2021-12-31T00:00:00"/>
    <s v="Electricity (non-renewable)"/>
    <n v="33498781"/>
    <s v="Kilowatt hours"/>
    <x v="1"/>
    <m/>
    <s v="2023-02-27, 14:14"/>
    <s v="2023-07-20, 00:40"/>
    <n v="2021"/>
    <s v="electricity__wtt"/>
    <s v="Electricity WTT"/>
    <s v="wtt"/>
    <b v="0"/>
    <s v="ELECTRICITY; UNITED STATES - RFCW; WTT Estimated"/>
    <x v="1"/>
    <x v="1"/>
    <s v="Americas"/>
    <s v="Northern America"/>
    <s v="US"/>
    <s v="RFCW"/>
    <n v="0"/>
    <s v="N2O"/>
    <n v="16746.49539"/>
    <n v="4.9991399999999996E-4"/>
    <s v="KWH"/>
    <n v="1"/>
    <n v="33498781"/>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RFCW, USEPAto estimate the WTT factor."/>
    <n v="2021"/>
    <n v="2019"/>
    <n v="0"/>
    <n v="0"/>
    <x v="8"/>
    <s v="Labratory"/>
  </r>
  <r>
    <n v="4672"/>
    <s v="Top of Hierarchy &gt; North America &gt; Vantage_Chicago"/>
    <x v="2"/>
    <x v="1"/>
    <d v="2021-01-01T00:00:00"/>
    <d v="2021-12-31T00:00:00"/>
    <x v="0"/>
    <d v="2021-01-01T00:00:00"/>
    <d v="2021-12-31T00:00:00"/>
    <s v="Electricity (non-renewable)"/>
    <n v="33498781"/>
    <s v="Kilowatt hours"/>
    <x v="1"/>
    <m/>
    <s v="2023-02-27, 14:14"/>
    <s v="2023-07-20, 00:40"/>
    <n v="2021"/>
    <s v="electricity__wtt"/>
    <s v="Electricity WTT"/>
    <s v="wtt"/>
    <b v="0"/>
    <s v="ELECTRICITY; UNITED STATES - RFCW; WTT Estimated"/>
    <x v="1"/>
    <x v="1"/>
    <s v="Americas"/>
    <s v="Northern America"/>
    <s v="US"/>
    <s v="RFCW"/>
    <n v="1"/>
    <s v="CO2E MKT"/>
    <n v="4287255.3530000001"/>
    <n v="0.12798242900000001"/>
    <s v="KWH"/>
    <n v="1"/>
    <n v="33498781"/>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RFCW, Green-eto estimate the WTT factor."/>
    <n v="2021"/>
    <n v="2019"/>
    <n v="0"/>
    <n v="4287.2553530000005"/>
    <x v="8"/>
    <s v="Labratory"/>
  </r>
  <r>
    <n v="4672"/>
    <s v="Top of Hierarchy &gt; North America &gt; Vantage_Chicago"/>
    <x v="2"/>
    <x v="1"/>
    <d v="2021-01-01T00:00:00"/>
    <d v="2021-12-31T00:00:00"/>
    <x v="0"/>
    <d v="2021-01-01T00:00:00"/>
    <d v="2021-12-31T00:00:00"/>
    <s v="Electricity (non-renewable)"/>
    <n v="33498781"/>
    <s v="Kilowatt hours"/>
    <x v="1"/>
    <m/>
    <s v="2023-02-27, 14:14"/>
    <s v="2023-07-20, 00:40"/>
    <n v="2021"/>
    <s v="electricity__t+d"/>
    <s v="Electricity T&amp;D"/>
    <s v="t+d"/>
    <b v="0"/>
    <s v="ELECTRICITY; TRANSMISSION AND DISTRIBUTION; UNITED STATES - RFCW"/>
    <x v="1"/>
    <x v="1"/>
    <s v="Americas"/>
    <s v="Northern America"/>
    <s v="US"/>
    <s v="RFCW"/>
    <n v="0"/>
    <s v="CO2E"/>
    <n v="832532.13639999996"/>
    <n v="2.4852610000000001E-2"/>
    <s v="KWH"/>
    <n v="1"/>
    <n v="33498781"/>
    <s v="AR4"/>
    <s v="USEPA"/>
    <s v="USEPA (2021)"/>
    <n v="2021"/>
    <n v="2019"/>
    <n v="832.53213640000001"/>
    <n v="0"/>
    <x v="8"/>
    <s v="Labratory"/>
  </r>
  <r>
    <n v="4672"/>
    <s v="Top of Hierarchy &gt; North America &gt; Vantage_Chicago"/>
    <x v="2"/>
    <x v="1"/>
    <d v="2021-01-01T00:00:00"/>
    <d v="2021-12-31T00:00:00"/>
    <x v="0"/>
    <d v="2021-01-01T00:00:00"/>
    <d v="2021-12-31T00:00:00"/>
    <s v="Electricity (non-renewable)"/>
    <n v="33498781"/>
    <s v="Kilowatt hours"/>
    <x v="1"/>
    <m/>
    <s v="2023-02-27, 14:14"/>
    <s v="2023-07-20, 00:40"/>
    <n v="2021"/>
    <s v="electricity__t+d"/>
    <s v="Electricity T&amp;D"/>
    <s v="t+d"/>
    <b v="0"/>
    <s v="ELECTRICITY; UNITED STATES - RFCW; T&amp;D Estimated"/>
    <x v="1"/>
    <x v="1"/>
    <s v="Americas"/>
    <s v="Northern America"/>
    <s v="US"/>
    <s v="RFCW"/>
    <n v="1"/>
    <s v="CO2E MKT"/>
    <n v="827684.147"/>
    <n v="2.4707889E-2"/>
    <s v="KWH"/>
    <n v="1"/>
    <n v="33498781"/>
    <s v="AR4"/>
    <s v="Anthesis"/>
    <s v="The median T&amp;D to generation factor ratio of all countries within the region Northern America was taken to be ELECTRICITY; UNITED STATES - SRSO, USEPA to ELECTRICITY; TRANSMISSION AND DISTRIBUTION; UNITED STATES - SRSO, USEPA: 0.051. This was applied to the base factor ELECTRICITY; UNITED STATES - RFCW, Green-eto estimate the T&amp;D factor."/>
    <n v="2021"/>
    <n v="2019"/>
    <n v="0"/>
    <n v="827.68414700000005"/>
    <x v="8"/>
    <s v="Labratory"/>
  </r>
  <r>
    <n v="4971"/>
    <s v="Top of Hierarchy &gt; North America &gt; Vantage_Chicago"/>
    <x v="2"/>
    <x v="1"/>
    <d v="2021-01-01T00:00:00"/>
    <d v="2021-12-31T00:00:00"/>
    <x v="3"/>
    <d v="2021-01-01T00:00:00"/>
    <d v="2021-12-31T00:00:00"/>
    <s v="Natural gas"/>
    <n v="9415099"/>
    <s v="Hundred Thousand BTUs"/>
    <x v="1"/>
    <m/>
    <s v="2023-02-27, 16:27"/>
    <s v="2023-07-20, 00:40"/>
    <n v="2021"/>
    <s v="natural_gas"/>
    <s v="Natural Gas"/>
    <s v="model"/>
    <b v="0"/>
    <s v="NATURAL GAS, NATURAL GAS"/>
    <x v="2"/>
    <x v="0"/>
    <s v="Americas"/>
    <s v="Northern America"/>
    <s v="US"/>
    <m/>
    <n v="0"/>
    <s v="CH4"/>
    <n v="23537.747500000001"/>
    <n v="2.5000000000000001E-2"/>
    <s v="MMBTU"/>
    <n v="0.1"/>
    <n v="941509.9"/>
    <s v="AR4"/>
    <s v="USEPA"/>
    <s v="USEPA (2021)"/>
    <n v="2021"/>
    <n v="2021"/>
    <n v="0"/>
    <n v="0"/>
    <x v="8"/>
    <s v="Labratory"/>
  </r>
  <r>
    <n v="4971"/>
    <s v="Top of Hierarchy &gt; North America &gt; Vantage_Chicago"/>
    <x v="2"/>
    <x v="1"/>
    <d v="2021-01-01T00:00:00"/>
    <d v="2021-12-31T00:00:00"/>
    <x v="3"/>
    <d v="2021-01-01T00:00:00"/>
    <d v="2021-12-31T00:00:00"/>
    <s v="Natural gas"/>
    <n v="9415099"/>
    <s v="Hundred Thousand BTUs"/>
    <x v="1"/>
    <m/>
    <s v="2023-02-27, 16:27"/>
    <s v="2023-07-20, 00:40"/>
    <n v="2021"/>
    <s v="natural_gas"/>
    <s v="Natural Gas"/>
    <s v="model"/>
    <b v="0"/>
    <s v="NATURAL GAS, NATURAL GAS"/>
    <x v="2"/>
    <x v="0"/>
    <s v="Americas"/>
    <s v="Northern America"/>
    <s v="US"/>
    <m/>
    <n v="0"/>
    <s v="CO2"/>
    <n v="49956515.289999999"/>
    <n v="53.06"/>
    <s v="MMBTU"/>
    <n v="0.1"/>
    <n v="941509.9"/>
    <s v="AR4"/>
    <s v="USEPA"/>
    <s v="USEPA Emission Factors Hub (Last Modified: March 2020)"/>
    <n v="2021"/>
    <n v="2020"/>
    <n v="0"/>
    <n v="0"/>
    <x v="8"/>
    <s v="Labratory"/>
  </r>
  <r>
    <n v="4971"/>
    <s v="Top of Hierarchy &gt; North America &gt; Vantage_Chicago"/>
    <x v="2"/>
    <x v="1"/>
    <d v="2021-01-01T00:00:00"/>
    <d v="2021-12-31T00:00:00"/>
    <x v="3"/>
    <d v="2021-01-01T00:00:00"/>
    <d v="2021-12-31T00:00:00"/>
    <s v="Natural gas"/>
    <n v="9415099"/>
    <s v="Hundred Thousand BTUs"/>
    <x v="1"/>
    <m/>
    <s v="2023-02-27, 16:27"/>
    <s v="2023-07-20, 00:40"/>
    <n v="2021"/>
    <s v="natural_gas"/>
    <s v="Natural Gas"/>
    <s v="model"/>
    <b v="0"/>
    <s v="NATURAL GAS, NATURAL GAS"/>
    <x v="2"/>
    <x v="0"/>
    <s v="Americas"/>
    <s v="Northern America"/>
    <s v="US"/>
    <m/>
    <n v="0"/>
    <s v="CO2E"/>
    <n v="50008110.039999999"/>
    <n v="53.114800000000002"/>
    <s v="MMBTU"/>
    <n v="0.1"/>
    <n v="941509.9"/>
    <s v="AR4"/>
    <s v="USEPA"/>
    <s v="USEPA (2021)"/>
    <n v="2021"/>
    <n v="2021"/>
    <n v="50008.11004"/>
    <n v="0"/>
    <x v="8"/>
    <s v="Labratory"/>
  </r>
  <r>
    <n v="4971"/>
    <s v="Top of Hierarchy &gt; North America &gt; Vantage_Chicago"/>
    <x v="2"/>
    <x v="1"/>
    <d v="2021-01-01T00:00:00"/>
    <d v="2021-12-31T00:00:00"/>
    <x v="3"/>
    <d v="2021-01-01T00:00:00"/>
    <d v="2021-12-31T00:00:00"/>
    <s v="Natural gas"/>
    <n v="9415099"/>
    <s v="Hundred Thousand BTUs"/>
    <x v="1"/>
    <m/>
    <s v="2023-02-27, 16:27"/>
    <s v="2023-07-20, 00:40"/>
    <n v="2021"/>
    <s v="natural_gas"/>
    <s v="Natural Gas"/>
    <s v="model"/>
    <b v="0"/>
    <s v="NATURAL GAS, NATURAL GAS"/>
    <x v="2"/>
    <x v="0"/>
    <s v="Americas"/>
    <s v="Northern America"/>
    <s v="US"/>
    <m/>
    <n v="0"/>
    <s v="N2O"/>
    <n v="28056.995019999998"/>
    <n v="2.98E-2"/>
    <s v="MMBTU"/>
    <n v="0.1"/>
    <n v="941509.9"/>
    <s v="AR4"/>
    <s v="USEPA"/>
    <s v="USEPA (2021)"/>
    <n v="2021"/>
    <n v="2021"/>
    <n v="0"/>
    <n v="0"/>
    <x v="8"/>
    <s v="Labratory"/>
  </r>
  <r>
    <n v="4971"/>
    <s v="Top of Hierarchy &gt; North America &gt; Vantage_Chicago"/>
    <x v="2"/>
    <x v="1"/>
    <d v="2021-01-01T00:00:00"/>
    <d v="2021-12-31T00:00:00"/>
    <x v="3"/>
    <d v="2021-01-01T00:00:00"/>
    <d v="2021-12-31T00:00:00"/>
    <s v="Natural gas"/>
    <n v="9415099"/>
    <s v="Hundred Thousand BTUs"/>
    <x v="1"/>
    <m/>
    <s v="2023-02-27, 16:27"/>
    <s v="2023-07-20, 00:40"/>
    <n v="2021"/>
    <s v="natural_gas"/>
    <s v="Natural Gas"/>
    <s v="model"/>
    <b v="0"/>
    <s v="NATURAL GAS, NATURAL GAS"/>
    <x v="2"/>
    <x v="0"/>
    <s v="Americas"/>
    <s v="Northern America"/>
    <s v="US"/>
    <m/>
    <n v="1"/>
    <s v="CH4"/>
    <n v="23537.747500000001"/>
    <n v="2.5000000000000001E-2"/>
    <s v="MMBTU"/>
    <n v="0.1"/>
    <n v="941509.9"/>
    <s v="AR4"/>
    <s v="USEPA"/>
    <s v="USEPA (2021)"/>
    <n v="2021"/>
    <n v="2021"/>
    <n v="0"/>
    <n v="0"/>
    <x v="8"/>
    <s v="Labratory"/>
  </r>
  <r>
    <n v="4971"/>
    <s v="Top of Hierarchy &gt; North America &gt; Vantage_Chicago"/>
    <x v="2"/>
    <x v="1"/>
    <d v="2021-01-01T00:00:00"/>
    <d v="2021-12-31T00:00:00"/>
    <x v="3"/>
    <d v="2021-01-01T00:00:00"/>
    <d v="2021-12-31T00:00:00"/>
    <s v="Natural gas"/>
    <n v="9415099"/>
    <s v="Hundred Thousand BTUs"/>
    <x v="1"/>
    <m/>
    <s v="2023-02-27, 16:27"/>
    <s v="2023-07-20, 00:40"/>
    <n v="2021"/>
    <s v="natural_gas"/>
    <s v="Natural Gas"/>
    <s v="model"/>
    <b v="0"/>
    <s v="NATURAL GAS, NATURAL GAS"/>
    <x v="2"/>
    <x v="0"/>
    <s v="Americas"/>
    <s v="Northern America"/>
    <s v="US"/>
    <m/>
    <n v="1"/>
    <s v="CO2"/>
    <n v="49956515.289999999"/>
    <n v="53.06"/>
    <s v="MMBTU"/>
    <n v="0.1"/>
    <n v="941509.9"/>
    <s v="AR4"/>
    <s v="USEPA"/>
    <s v="USEPA Emission Factors Hub (Last Modified: March 2020)"/>
    <n v="2021"/>
    <n v="2020"/>
    <n v="0"/>
    <n v="0"/>
    <x v="8"/>
    <s v="Labratory"/>
  </r>
  <r>
    <n v="4971"/>
    <s v="Top of Hierarchy &gt; North America &gt; Vantage_Chicago"/>
    <x v="2"/>
    <x v="1"/>
    <d v="2021-01-01T00:00:00"/>
    <d v="2021-12-31T00:00:00"/>
    <x v="3"/>
    <d v="2021-01-01T00:00:00"/>
    <d v="2021-12-31T00:00:00"/>
    <s v="Natural gas"/>
    <n v="9415099"/>
    <s v="Hundred Thousand BTUs"/>
    <x v="1"/>
    <m/>
    <s v="2023-02-27, 16:27"/>
    <s v="2023-07-20, 00:40"/>
    <n v="2021"/>
    <s v="natural_gas"/>
    <s v="Natural Gas"/>
    <s v="model"/>
    <b v="0"/>
    <s v="NATURAL GAS, NATURAL GAS"/>
    <x v="2"/>
    <x v="0"/>
    <s v="Americas"/>
    <s v="Northern America"/>
    <s v="US"/>
    <m/>
    <n v="1"/>
    <s v="CO2E"/>
    <n v="50008110.039999999"/>
    <n v="53.114800000000002"/>
    <s v="MMBTU"/>
    <n v="0.1"/>
    <n v="941509.9"/>
    <s v="AR4"/>
    <s v="USEPA"/>
    <s v="USEPA (2021)"/>
    <n v="2021"/>
    <n v="2021"/>
    <n v="0"/>
    <n v="50008.11004"/>
    <x v="8"/>
    <s v="Labratory"/>
  </r>
  <r>
    <n v="4971"/>
    <s v="Top of Hierarchy &gt; North America &gt; Vantage_Chicago"/>
    <x v="2"/>
    <x v="1"/>
    <d v="2021-01-01T00:00:00"/>
    <d v="2021-12-31T00:00:00"/>
    <x v="3"/>
    <d v="2021-01-01T00:00:00"/>
    <d v="2021-12-31T00:00:00"/>
    <s v="Natural gas"/>
    <n v="9415099"/>
    <s v="Hundred Thousand BTUs"/>
    <x v="1"/>
    <m/>
    <s v="2023-02-27, 16:27"/>
    <s v="2023-07-20, 00:40"/>
    <n v="2021"/>
    <s v="natural_gas"/>
    <s v="Natural Gas"/>
    <s v="model"/>
    <b v="0"/>
    <s v="NATURAL GAS, NATURAL GAS"/>
    <x v="2"/>
    <x v="0"/>
    <s v="Americas"/>
    <s v="Northern America"/>
    <s v="US"/>
    <m/>
    <n v="1"/>
    <s v="N2O"/>
    <n v="28056.995019999998"/>
    <n v="2.98E-2"/>
    <s v="MMBTU"/>
    <n v="0.1"/>
    <n v="941509.9"/>
    <s v="AR4"/>
    <s v="USEPA"/>
    <s v="USEPA (2021)"/>
    <n v="2021"/>
    <n v="2021"/>
    <n v="0"/>
    <n v="0"/>
    <x v="8"/>
    <s v="Labratory"/>
  </r>
  <r>
    <n v="4971"/>
    <s v="Top of Hierarchy &gt; North America &gt; Vantage_Chicago"/>
    <x v="2"/>
    <x v="1"/>
    <d v="2021-01-01T00:00:00"/>
    <d v="2021-12-31T00:00:00"/>
    <x v="3"/>
    <d v="2021-01-01T00:00:00"/>
    <d v="2021-12-31T00:00:00"/>
    <s v="Natural gas"/>
    <n v="9415099"/>
    <s v="Hundred Thousand BTUs"/>
    <x v="1"/>
    <m/>
    <s v="2023-02-27, 16:27"/>
    <s v="2023-07-20, 00:40"/>
    <n v="2021"/>
    <s v="natural_gas__wtt"/>
    <s v="Natural Gas WTT"/>
    <s v="wtt"/>
    <b v="0"/>
    <s v="WTT- FUELS; WTT- GASEOUS FUELS; NATURAL GAS"/>
    <x v="1"/>
    <x v="1"/>
    <m/>
    <m/>
    <m/>
    <m/>
    <n v="0"/>
    <s v="CO2E"/>
    <n v="8648315.7780000009"/>
    <n v="3.1350000000000003E-2"/>
    <s v="KWH (GROSS CV)"/>
    <n v="29.3001"/>
    <n v="275863342.19999999"/>
    <s v="AR4"/>
    <s v="Defra"/>
    <s v="Defra (2021)"/>
    <n v="2021"/>
    <n v="2019"/>
    <n v="8648.3157780000001"/>
    <n v="0"/>
    <x v="8"/>
    <s v="Labratory"/>
  </r>
  <r>
    <n v="4971"/>
    <s v="Top of Hierarchy &gt; North America &gt; Vantage_Chicago"/>
    <x v="2"/>
    <x v="1"/>
    <d v="2021-01-01T00:00:00"/>
    <d v="2021-12-31T00:00:00"/>
    <x v="3"/>
    <d v="2021-01-01T00:00:00"/>
    <d v="2021-12-31T00:00:00"/>
    <s v="Natural gas"/>
    <n v="9415099"/>
    <s v="Hundred Thousand BTUs"/>
    <x v="1"/>
    <m/>
    <s v="2023-02-27, 16:27"/>
    <s v="2023-07-20, 00:40"/>
    <n v="2021"/>
    <s v="natural_gas__wtt"/>
    <s v="Natural Gas WTT"/>
    <s v="wtt"/>
    <b v="0"/>
    <s v="WTT- FUELS; WTT- GASEOUS FUELS; NATURAL GAS"/>
    <x v="1"/>
    <x v="1"/>
    <m/>
    <m/>
    <m/>
    <m/>
    <n v="1"/>
    <s v="CO2E"/>
    <n v="8648315.7780000009"/>
    <n v="3.1350000000000003E-2"/>
    <s v="KWH (GROSS CV)"/>
    <n v="29.3001"/>
    <n v="275863342.19999999"/>
    <s v="AR4"/>
    <s v="Defra"/>
    <s v="Defra (2021)"/>
    <n v="2021"/>
    <n v="2019"/>
    <n v="0"/>
    <n v="8648.3157780000001"/>
    <x v="8"/>
    <s v="Labratory"/>
  </r>
  <r>
    <n v="5002"/>
    <s v="Top of Hierarchy &gt; North America &gt; Vantage_Chicago"/>
    <x v="2"/>
    <x v="1"/>
    <d v="2021-01-01T00:00:00"/>
    <d v="2021-12-31T00:00:00"/>
    <x v="1"/>
    <d v="2021-01-01T00:00:00"/>
    <d v="2021-12-31T00:00:00"/>
    <s v="Diesel (100% mineral diesel)"/>
    <n v="2243.5"/>
    <s v="US liquid gallons"/>
    <x v="1"/>
    <m/>
    <s v="2023-02-27, 16:27"/>
    <s v="2023-07-20, 00:40"/>
    <n v="2021"/>
    <s v="diesel_100p_mineral_diesel"/>
    <s v="Diesel (100% Mineral Diesel)"/>
    <s v="model"/>
    <b v="0"/>
    <s v="FUELS; LIQUID FUELS; DIESEL (100% MINERAL DIESEL)"/>
    <x v="2"/>
    <x v="0"/>
    <m/>
    <m/>
    <m/>
    <m/>
    <n v="0"/>
    <s v="CH4"/>
    <n v="2.208067507"/>
    <n v="2.5999999999999998E-4"/>
    <s v="LITRES"/>
    <n v="3.7854100000000002"/>
    <n v="8492.5673349999997"/>
    <s v="AR4"/>
    <s v="Defra"/>
    <s v="Defra (2021)"/>
    <n v="2021"/>
    <n v="2019"/>
    <n v="0"/>
    <n v="0"/>
    <x v="8"/>
    <s v="Labratory"/>
  </r>
  <r>
    <n v="5002"/>
    <s v="Top of Hierarchy &gt; North America &gt; Vantage_Chicago"/>
    <x v="2"/>
    <x v="1"/>
    <d v="2021-01-01T00:00:00"/>
    <d v="2021-12-31T00:00:00"/>
    <x v="1"/>
    <d v="2021-01-01T00:00:00"/>
    <d v="2021-12-31T00:00:00"/>
    <s v="Diesel (100% mineral diesel)"/>
    <n v="2243.5"/>
    <s v="US liquid gallons"/>
    <x v="1"/>
    <m/>
    <s v="2023-02-27, 16:27"/>
    <s v="2023-07-20, 00:40"/>
    <n v="2021"/>
    <s v="diesel_100p_mineral_diesel"/>
    <s v="Diesel (100% Mineral Diesel)"/>
    <s v="model"/>
    <b v="0"/>
    <s v="FUELS; LIQUID FUELS; DIESEL (100% MINERAL DIESEL)"/>
    <x v="2"/>
    <x v="0"/>
    <m/>
    <m/>
    <m/>
    <m/>
    <n v="0"/>
    <s v="CO2"/>
    <n v="22658.76413"/>
    <n v="2.6680700000000002"/>
    <s v="LITRES"/>
    <n v="3.7854100000000002"/>
    <n v="8492.5673349999997"/>
    <s v="AR4"/>
    <s v="Defra"/>
    <s v="Defra (2021)"/>
    <n v="2021"/>
    <n v="2019"/>
    <n v="0"/>
    <n v="0"/>
    <x v="8"/>
    <s v="Labratory"/>
  </r>
  <r>
    <n v="5002"/>
    <s v="Top of Hierarchy &gt; North America &gt; Vantage_Chicago"/>
    <x v="2"/>
    <x v="1"/>
    <d v="2021-01-01T00:00:00"/>
    <d v="2021-12-31T00:00:00"/>
    <x v="1"/>
    <d v="2021-01-01T00:00:00"/>
    <d v="2021-12-31T00:00:00"/>
    <s v="Diesel (100% mineral diesel)"/>
    <n v="2243.5"/>
    <s v="US liquid gallons"/>
    <x v="1"/>
    <m/>
    <s v="2023-02-27, 16:27"/>
    <s v="2023-07-20, 00:40"/>
    <n v="2021"/>
    <s v="diesel_100p_mineral_diesel"/>
    <s v="Diesel (100% Mineral Diesel)"/>
    <s v="model"/>
    <b v="0"/>
    <s v="FUELS; LIQUID FUELS; DIESEL (100% MINERAL DIESEL)"/>
    <x v="2"/>
    <x v="0"/>
    <m/>
    <m/>
    <m/>
    <m/>
    <n v="0"/>
    <s v="CO2E"/>
    <n v="22976.895700000001"/>
    <n v="2.70553"/>
    <s v="LITRES"/>
    <n v="3.7854100000000002"/>
    <n v="8492.5673349999997"/>
    <s v="AR4"/>
    <s v="Defra"/>
    <s v="Defra (2021)"/>
    <n v="2021"/>
    <n v="2019"/>
    <n v="22.9768957"/>
    <n v="0"/>
    <x v="8"/>
    <s v="Labratory"/>
  </r>
  <r>
    <n v="5002"/>
    <s v="Top of Hierarchy &gt; North America &gt; Vantage_Chicago"/>
    <x v="2"/>
    <x v="1"/>
    <d v="2021-01-01T00:00:00"/>
    <d v="2021-12-31T00:00:00"/>
    <x v="1"/>
    <d v="2021-01-01T00:00:00"/>
    <d v="2021-12-31T00:00:00"/>
    <s v="Diesel (100% mineral diesel)"/>
    <n v="2243.5"/>
    <s v="US liquid gallons"/>
    <x v="1"/>
    <m/>
    <s v="2023-02-27, 16:27"/>
    <s v="2023-07-20, 00:40"/>
    <n v="2021"/>
    <s v="diesel_100p_mineral_diesel"/>
    <s v="Diesel (100% Mineral Diesel)"/>
    <s v="model"/>
    <b v="0"/>
    <s v="FUELS; LIQUID FUELS; DIESEL (100% MINERAL DIESEL)"/>
    <x v="2"/>
    <x v="0"/>
    <m/>
    <m/>
    <m/>
    <m/>
    <n v="0"/>
    <s v="N2O"/>
    <n v="315.92350490000001"/>
    <n v="3.7199999999999997E-2"/>
    <s v="LITRES"/>
    <n v="3.7854100000000002"/>
    <n v="8492.5673349999997"/>
    <s v="AR4"/>
    <s v="Defra"/>
    <s v="Defra (2021)"/>
    <n v="2021"/>
    <n v="2019"/>
    <n v="0"/>
    <n v="0"/>
    <x v="8"/>
    <s v="Labratory"/>
  </r>
  <r>
    <n v="5002"/>
    <s v="Top of Hierarchy &gt; North America &gt; Vantage_Chicago"/>
    <x v="2"/>
    <x v="1"/>
    <d v="2021-01-01T00:00:00"/>
    <d v="2021-12-31T00:00:00"/>
    <x v="1"/>
    <d v="2021-01-01T00:00:00"/>
    <d v="2021-12-31T00:00:00"/>
    <s v="Diesel (100% mineral diesel)"/>
    <n v="2243.5"/>
    <s v="US liquid gallons"/>
    <x v="1"/>
    <m/>
    <s v="2023-02-27, 16:27"/>
    <s v="2023-07-20, 00:40"/>
    <n v="2021"/>
    <s v="diesel_100p_mineral_diesel"/>
    <s v="Diesel (100% Mineral Diesel)"/>
    <s v="model"/>
    <b v="0"/>
    <s v="FUELS; LIQUID FUELS; DIESEL (100% MINERAL DIESEL)"/>
    <x v="2"/>
    <x v="0"/>
    <m/>
    <m/>
    <m/>
    <m/>
    <n v="1"/>
    <s v="CH4"/>
    <n v="2.208067507"/>
    <n v="2.5999999999999998E-4"/>
    <s v="LITRES"/>
    <n v="3.7854100000000002"/>
    <n v="8492.5673349999997"/>
    <s v="AR4"/>
    <s v="Defra"/>
    <s v="Defra (2021)"/>
    <n v="2021"/>
    <n v="2019"/>
    <n v="0"/>
    <n v="0"/>
    <x v="8"/>
    <s v="Labratory"/>
  </r>
  <r>
    <n v="5002"/>
    <s v="Top of Hierarchy &gt; North America &gt; Vantage_Chicago"/>
    <x v="2"/>
    <x v="1"/>
    <d v="2021-01-01T00:00:00"/>
    <d v="2021-12-31T00:00:00"/>
    <x v="1"/>
    <d v="2021-01-01T00:00:00"/>
    <d v="2021-12-31T00:00:00"/>
    <s v="Diesel (100% mineral diesel)"/>
    <n v="2243.5"/>
    <s v="US liquid gallons"/>
    <x v="1"/>
    <m/>
    <s v="2023-02-27, 16:27"/>
    <s v="2023-07-20, 00:40"/>
    <n v="2021"/>
    <s v="diesel_100p_mineral_diesel"/>
    <s v="Diesel (100% Mineral Diesel)"/>
    <s v="model"/>
    <b v="0"/>
    <s v="FUELS; LIQUID FUELS; DIESEL (100% MINERAL DIESEL)"/>
    <x v="2"/>
    <x v="0"/>
    <m/>
    <m/>
    <m/>
    <m/>
    <n v="1"/>
    <s v="CO2"/>
    <n v="22658.76413"/>
    <n v="2.6680700000000002"/>
    <s v="LITRES"/>
    <n v="3.7854100000000002"/>
    <n v="8492.5673349999997"/>
    <s v="AR4"/>
    <s v="Defra"/>
    <s v="Defra (2021)"/>
    <n v="2021"/>
    <n v="2019"/>
    <n v="0"/>
    <n v="0"/>
    <x v="8"/>
    <s v="Labratory"/>
  </r>
  <r>
    <n v="5002"/>
    <s v="Top of Hierarchy &gt; North America &gt; Vantage_Chicago"/>
    <x v="2"/>
    <x v="1"/>
    <d v="2021-01-01T00:00:00"/>
    <d v="2021-12-31T00:00:00"/>
    <x v="1"/>
    <d v="2021-01-01T00:00:00"/>
    <d v="2021-12-31T00:00:00"/>
    <s v="Diesel (100% mineral diesel)"/>
    <n v="2243.5"/>
    <s v="US liquid gallons"/>
    <x v="1"/>
    <m/>
    <s v="2023-02-27, 16:27"/>
    <s v="2023-07-20, 00:40"/>
    <n v="2021"/>
    <s v="diesel_100p_mineral_diesel"/>
    <s v="Diesel (100% Mineral Diesel)"/>
    <s v="model"/>
    <b v="0"/>
    <s v="FUELS; LIQUID FUELS; DIESEL (100% MINERAL DIESEL)"/>
    <x v="2"/>
    <x v="0"/>
    <m/>
    <m/>
    <m/>
    <m/>
    <n v="1"/>
    <s v="CO2E"/>
    <n v="22976.895700000001"/>
    <n v="2.70553"/>
    <s v="LITRES"/>
    <n v="3.7854100000000002"/>
    <n v="8492.5673349999997"/>
    <s v="AR4"/>
    <s v="Defra"/>
    <s v="Defra (2021)"/>
    <n v="2021"/>
    <n v="2019"/>
    <n v="0"/>
    <n v="22.9768957"/>
    <x v="8"/>
    <s v="Labratory"/>
  </r>
  <r>
    <n v="5002"/>
    <s v="Top of Hierarchy &gt; North America &gt; Vantage_Chicago"/>
    <x v="2"/>
    <x v="1"/>
    <d v="2021-01-01T00:00:00"/>
    <d v="2021-12-31T00:00:00"/>
    <x v="1"/>
    <d v="2021-01-01T00:00:00"/>
    <d v="2021-12-31T00:00:00"/>
    <s v="Diesel (100% mineral diesel)"/>
    <n v="2243.5"/>
    <s v="US liquid gallons"/>
    <x v="1"/>
    <m/>
    <s v="2023-02-27, 16:27"/>
    <s v="2023-07-20, 00:40"/>
    <n v="2021"/>
    <s v="diesel_100p_mineral_diesel"/>
    <s v="Diesel (100% Mineral Diesel)"/>
    <s v="model"/>
    <b v="0"/>
    <s v="FUELS; LIQUID FUELS; DIESEL (100% MINERAL DIESEL)"/>
    <x v="2"/>
    <x v="0"/>
    <m/>
    <m/>
    <m/>
    <m/>
    <n v="1"/>
    <s v="N2O"/>
    <n v="315.92350490000001"/>
    <n v="3.7199999999999997E-2"/>
    <s v="LITRES"/>
    <n v="3.7854100000000002"/>
    <n v="8492.5673349999997"/>
    <s v="AR4"/>
    <s v="Defra"/>
    <s v="Defra (2021)"/>
    <n v="2021"/>
    <n v="2019"/>
    <n v="0"/>
    <n v="0"/>
    <x v="8"/>
    <s v="Labratory"/>
  </r>
  <r>
    <n v="5002"/>
    <s v="Top of Hierarchy &gt; North America &gt; Vantage_Chicago"/>
    <x v="2"/>
    <x v="1"/>
    <d v="2021-01-01T00:00:00"/>
    <d v="2021-12-31T00:00:00"/>
    <x v="1"/>
    <d v="2021-01-01T00:00:00"/>
    <d v="2021-12-31T00:00:00"/>
    <s v="Diesel (100% mineral diesel)"/>
    <n v="2243.5"/>
    <s v="US liquid gallons"/>
    <x v="1"/>
    <m/>
    <s v="2023-02-27, 16:27"/>
    <s v="2023-07-20, 00:40"/>
    <n v="2021"/>
    <s v="diesel_100p_mineral_diesel__wtt"/>
    <s v="Diesel (100% Mineral Diesel) WTT"/>
    <s v="wtt"/>
    <b v="0"/>
    <s v="WTT- FUELS; WTT- LIQUID FUELS; DIESEL (100% MINERAL DIESEL)"/>
    <x v="1"/>
    <x v="1"/>
    <m/>
    <m/>
    <m/>
    <m/>
    <n v="0"/>
    <s v="CO2E"/>
    <n v="5339.6167859999996"/>
    <n v="0.62873999999999997"/>
    <s v="LITRES"/>
    <n v="3.7854100000000002"/>
    <n v="8492.5673349999997"/>
    <s v="AR4"/>
    <s v="Defra"/>
    <s v="Defra (2021)"/>
    <n v="2021"/>
    <n v="2019"/>
    <n v="5.3396167859999997"/>
    <n v="0"/>
    <x v="8"/>
    <s v="Labratory"/>
  </r>
  <r>
    <n v="5002"/>
    <s v="Top of Hierarchy &gt; North America &gt; Vantage_Chicago"/>
    <x v="2"/>
    <x v="1"/>
    <d v="2021-01-01T00:00:00"/>
    <d v="2021-12-31T00:00:00"/>
    <x v="1"/>
    <d v="2021-01-01T00:00:00"/>
    <d v="2021-12-31T00:00:00"/>
    <s v="Diesel (100% mineral diesel)"/>
    <n v="2243.5"/>
    <s v="US liquid gallons"/>
    <x v="1"/>
    <m/>
    <s v="2023-02-27, 16:27"/>
    <s v="2023-07-20, 00:40"/>
    <n v="2021"/>
    <s v="diesel_100p_mineral_diesel__wtt"/>
    <s v="Diesel (100% Mineral Diesel) WTT"/>
    <s v="wtt"/>
    <b v="0"/>
    <s v="WTT- FUELS; WTT- LIQUID FUELS; DIESEL (100% MINERAL DIESEL)"/>
    <x v="1"/>
    <x v="1"/>
    <m/>
    <m/>
    <m/>
    <m/>
    <n v="1"/>
    <s v="CO2E"/>
    <n v="5339.6167859999996"/>
    <n v="0.62873999999999997"/>
    <s v="LITRES"/>
    <n v="3.7854100000000002"/>
    <n v="8492.5673349999997"/>
    <s v="AR4"/>
    <s v="Defra"/>
    <s v="Defra (2021)"/>
    <n v="2021"/>
    <n v="2019"/>
    <n v="0"/>
    <n v="5.3396167859999997"/>
    <x v="8"/>
    <s v="Labratory"/>
  </r>
  <r>
    <n v="5030"/>
    <s v="Top of Hierarchy &gt; North America &gt; Vantage_Chicago"/>
    <x v="2"/>
    <x v="1"/>
    <d v="2021-01-01T00:00:00"/>
    <d v="2021-12-31T00:00:00"/>
    <x v="4"/>
    <d v="2021-01-01T00:00:00"/>
    <d v="2021-12-31T00:00:00"/>
    <s v="HFC-134a"/>
    <n v="20.451599999999999"/>
    <s v="kilograms"/>
    <x v="0"/>
    <m/>
    <s v="2023-02-27, 16:27"/>
    <s v="2023-07-20, 00:40"/>
    <n v="2021"/>
    <s v="hfc-134a"/>
    <s v="HFC-134A"/>
    <s v="model"/>
    <b v="0"/>
    <s v="REFRIGERANT: R-134A"/>
    <x v="2"/>
    <x v="0"/>
    <m/>
    <m/>
    <m/>
    <m/>
    <n v="0"/>
    <s v="CO2E"/>
    <n v="29245.788"/>
    <n v="1430"/>
    <s v="KG"/>
    <n v="1"/>
    <n v="20.451599999999999"/>
    <s v="AR4"/>
    <s v="IPCC"/>
    <s v="IPCC (2021)"/>
    <n v="2021"/>
    <n v="2007"/>
    <n v="29.245788000000001"/>
    <n v="0"/>
    <x v="8"/>
    <s v="Labratory"/>
  </r>
  <r>
    <n v="5030"/>
    <s v="Top of Hierarchy &gt; North America &gt; Vantage_Chicago"/>
    <x v="2"/>
    <x v="1"/>
    <d v="2021-01-01T00:00:00"/>
    <d v="2021-12-31T00:00:00"/>
    <x v="4"/>
    <d v="2021-01-01T00:00:00"/>
    <d v="2021-12-31T00:00:00"/>
    <s v="HFC-134a"/>
    <n v="20.451599999999999"/>
    <s v="kilograms"/>
    <x v="0"/>
    <m/>
    <s v="2023-02-27, 16:27"/>
    <s v="2023-07-20, 00:40"/>
    <n v="2021"/>
    <s v="hfc-134a"/>
    <s v="HFC-134A"/>
    <s v="model"/>
    <b v="0"/>
    <s v="REFRIGERANT: R-134A"/>
    <x v="2"/>
    <x v="0"/>
    <m/>
    <m/>
    <m/>
    <m/>
    <n v="1"/>
    <s v="CO2E"/>
    <n v="29245.788"/>
    <n v="1430"/>
    <s v="KG"/>
    <n v="1"/>
    <n v="20.451599999999999"/>
    <s v="AR4"/>
    <s v="IPCC"/>
    <s v="IPCC (2021)"/>
    <n v="2021"/>
    <n v="2007"/>
    <n v="0"/>
    <n v="29.245788000000001"/>
    <x v="8"/>
    <s v="Labratory"/>
  </r>
  <r>
    <n v="1236896"/>
    <s v="Top of Hierarchy &gt; North America &gt; Vantage_Chicago"/>
    <x v="2"/>
    <x v="1"/>
    <d v="2021-01-01T00:00:00"/>
    <d v="2021-12-31T00:00:00"/>
    <x v="4"/>
    <d v="2021-01-01T00:00:00"/>
    <d v="2021-12-31T00:00:00"/>
    <s v="Carbon Dioxide"/>
    <n v="77000"/>
    <s v="pounds"/>
    <x v="1"/>
    <m/>
    <s v="2023-07-18, 23:20"/>
    <s v="2023-08-03, 20:27"/>
    <n v="2021"/>
    <s v="co2"/>
    <s v="Carbon Dioxide"/>
    <s v="model"/>
    <b v="0"/>
    <s v="REFRIGERANT &amp; OTHER; KYOTO PROTOCOL - STANDARD; CARBON DIOXIDE"/>
    <x v="2"/>
    <x v="0"/>
    <m/>
    <m/>
    <m/>
    <m/>
    <n v="0"/>
    <s v="CO2E"/>
    <n v="34926.654069999997"/>
    <n v="1"/>
    <s v="KG"/>
    <n v="0.45359291000000002"/>
    <n v="34926.654069999997"/>
    <s v="AR4"/>
    <s v="Defra"/>
    <s v="Defra (2021)"/>
    <n v="2021"/>
    <n v="2019"/>
    <n v="34.926654069999998"/>
    <n v="0"/>
    <x v="8"/>
    <s v="Labratory"/>
  </r>
  <r>
    <n v="1236896"/>
    <s v="Top of Hierarchy &gt; North America &gt; Vantage_Chicago"/>
    <x v="2"/>
    <x v="1"/>
    <d v="2021-01-01T00:00:00"/>
    <d v="2021-12-31T00:00:00"/>
    <x v="4"/>
    <d v="2021-01-01T00:00:00"/>
    <d v="2021-12-31T00:00:00"/>
    <s v="Carbon Dioxide"/>
    <n v="77000"/>
    <s v="pounds"/>
    <x v="1"/>
    <m/>
    <s v="2023-07-18, 23:20"/>
    <s v="2023-08-03, 20:27"/>
    <n v="2021"/>
    <s v="co2"/>
    <s v="Carbon Dioxide"/>
    <s v="model"/>
    <b v="0"/>
    <s v="REFRIGERANT &amp; OTHER; KYOTO PROTOCOL - STANDARD; CARBON DIOXIDE"/>
    <x v="2"/>
    <x v="0"/>
    <m/>
    <m/>
    <m/>
    <m/>
    <n v="1"/>
    <s v="CO2E"/>
    <n v="34926.654069999997"/>
    <n v="1"/>
    <s v="KG"/>
    <n v="0.45359291000000002"/>
    <n v="34926.654069999997"/>
    <s v="AR4"/>
    <s v="Defra"/>
    <s v="Defra (2021)"/>
    <n v="2021"/>
    <n v="2019"/>
    <n v="0"/>
    <n v="34.926654069999998"/>
    <x v="8"/>
    <s v="Labratory"/>
  </r>
  <r>
    <n v="1257576"/>
    <s v="Top of Hierarchy &gt; North America &gt; Vantage_Chicago"/>
    <x v="2"/>
    <x v="1"/>
    <d v="2021-01-01T00:00:00"/>
    <d v="2021-12-31T00:00:00"/>
    <x v="4"/>
    <d v="2021-01-01T00:00:00"/>
    <d v="2021-12-31T00:00:00"/>
    <s v="R-22"/>
    <n v="26"/>
    <s v="pounds"/>
    <x v="1"/>
    <m/>
    <s v="2023-07-19, 19:34"/>
    <s v="2023-08-03, 20:30"/>
    <n v="2021"/>
    <s v="r22"/>
    <s v="R-22"/>
    <s v="model"/>
    <b v="0"/>
    <s v="REFRIGERANT: R-22"/>
    <x v="2"/>
    <x v="0"/>
    <m/>
    <m/>
    <m/>
    <m/>
    <n v="0"/>
    <s v="CO2E"/>
    <n v="21346.082340000001"/>
    <n v="1810"/>
    <s v="KG"/>
    <n v="0.45359291000000002"/>
    <n v="11.793415660000001"/>
    <s v="AR4"/>
    <s v="IPCC"/>
    <s v="IPCC (2021)"/>
    <n v="2021"/>
    <n v="2007"/>
    <n v="21.346082340000002"/>
    <n v="0"/>
    <x v="8"/>
    <s v="Labratory"/>
  </r>
  <r>
    <n v="1257576"/>
    <s v="Top of Hierarchy &gt; North America &gt; Vantage_Chicago"/>
    <x v="2"/>
    <x v="1"/>
    <d v="2021-01-01T00:00:00"/>
    <d v="2021-12-31T00:00:00"/>
    <x v="4"/>
    <d v="2021-01-01T00:00:00"/>
    <d v="2021-12-31T00:00:00"/>
    <s v="R-22"/>
    <n v="26"/>
    <s v="pounds"/>
    <x v="1"/>
    <m/>
    <s v="2023-07-19, 19:34"/>
    <s v="2023-08-03, 20:30"/>
    <n v="2021"/>
    <s v="r22"/>
    <s v="R-22"/>
    <s v="model"/>
    <b v="0"/>
    <s v="REFRIGERANT: R-22"/>
    <x v="2"/>
    <x v="0"/>
    <m/>
    <m/>
    <m/>
    <m/>
    <n v="1"/>
    <s v="CO2E"/>
    <n v="21346.082340000001"/>
    <n v="1810"/>
    <s v="KG"/>
    <n v="0.45359291000000002"/>
    <n v="11.793415660000001"/>
    <s v="AR4"/>
    <s v="IPCC"/>
    <s v="IPCC (2021)"/>
    <n v="2021"/>
    <n v="2007"/>
    <n v="0"/>
    <n v="21.346082340000002"/>
    <x v="8"/>
    <s v="Labratory"/>
  </r>
  <r>
    <n v="1257578"/>
    <s v="Top of Hierarchy &gt; North America &gt; Vantage_Chicago"/>
    <x v="2"/>
    <x v="1"/>
    <d v="2021-01-01T00:00:00"/>
    <d v="2021-12-31T00:00:00"/>
    <x v="4"/>
    <d v="2021-01-01T00:00:00"/>
    <d v="2021-12-31T00:00:00"/>
    <s v="R-410A"/>
    <n v="24.5"/>
    <s v="pounds"/>
    <x v="1"/>
    <m/>
    <s v="2023-07-19, 19:35"/>
    <s v="2023-08-03, 20:30"/>
    <n v="2021"/>
    <s v="r410a"/>
    <s v="R410A"/>
    <s v="model"/>
    <b v="0"/>
    <s v="REFRIGERANT: R-410A"/>
    <x v="2"/>
    <x v="0"/>
    <m/>
    <m/>
    <m/>
    <m/>
    <n v="0"/>
    <s v="CO2E"/>
    <n v="23203.998899999999"/>
    <n v="2088"/>
    <s v="KG"/>
    <n v="0.45359291000000002"/>
    <n v="11.1130263"/>
    <s v="AR4"/>
    <s v="IPCC"/>
    <s v="IPCC (2021)"/>
    <n v="2021"/>
    <n v="2007"/>
    <n v="23.203998899999998"/>
    <n v="0"/>
    <x v="8"/>
    <s v="Labratory"/>
  </r>
  <r>
    <n v="1257578"/>
    <s v="Top of Hierarchy &gt; North America &gt; Vantage_Chicago"/>
    <x v="2"/>
    <x v="1"/>
    <d v="2021-01-01T00:00:00"/>
    <d v="2021-12-31T00:00:00"/>
    <x v="4"/>
    <d v="2021-01-01T00:00:00"/>
    <d v="2021-12-31T00:00:00"/>
    <s v="R-410A"/>
    <n v="24.5"/>
    <s v="pounds"/>
    <x v="1"/>
    <m/>
    <s v="2023-07-19, 19:35"/>
    <s v="2023-08-03, 20:30"/>
    <n v="2021"/>
    <s v="r410a"/>
    <s v="R410A"/>
    <s v="model"/>
    <b v="0"/>
    <s v="REFRIGERANT: R-410A"/>
    <x v="2"/>
    <x v="0"/>
    <m/>
    <m/>
    <m/>
    <m/>
    <n v="1"/>
    <s v="CO2E"/>
    <n v="23203.998899999999"/>
    <n v="2088"/>
    <s v="KG"/>
    <n v="0.45359291000000002"/>
    <n v="11.1130263"/>
    <s v="AR4"/>
    <s v="IPCC"/>
    <s v="IPCC (2021)"/>
    <n v="2021"/>
    <n v="2007"/>
    <n v="0"/>
    <n v="23.203998899999998"/>
    <x v="8"/>
    <s v="Labratory"/>
  </r>
  <r>
    <n v="1230941"/>
    <s v="Top of Hierarchy &gt; North America &gt; Vantage_Chicago"/>
    <x v="2"/>
    <x v="1"/>
    <d v="2021-01-01T00:00:00"/>
    <d v="2021-12-31T00:00:00"/>
    <x v="2"/>
    <d v="2021-01-01T00:00:00"/>
    <d v="2021-12-31T00:00:00"/>
    <s v="Propane"/>
    <n v="4690"/>
    <s v="pounds"/>
    <x v="1"/>
    <m/>
    <s v="2023-07-18, 21:52"/>
    <s v="2023-07-20, 00:40"/>
    <n v="2021"/>
    <s v="propane"/>
    <s v="Propane"/>
    <s v="model"/>
    <b v="0"/>
    <s v="FUELS; GASEOUS FUELS; PROPANE"/>
    <x v="2"/>
    <x v="0"/>
    <m/>
    <m/>
    <m/>
    <m/>
    <n v="0"/>
    <s v="CH4"/>
    <n v="4.9141487010000002"/>
    <n v="2.31"/>
    <s v="TONNES"/>
    <n v="4.5359000000000003E-4"/>
    <n v="2.1273371000000001"/>
    <s v="AR4"/>
    <s v="Defra"/>
    <s v="Defra (2021)"/>
    <n v="2021"/>
    <n v="2019"/>
    <n v="0"/>
    <n v="0"/>
    <x v="8"/>
    <s v="Labratory"/>
  </r>
  <r>
    <n v="1230941"/>
    <s v="Top of Hierarchy &gt; North America &gt; Vantage_Chicago"/>
    <x v="2"/>
    <x v="1"/>
    <d v="2021-01-01T00:00:00"/>
    <d v="2021-12-31T00:00:00"/>
    <x v="2"/>
    <d v="2021-01-01T00:00:00"/>
    <d v="2021-12-31T00:00:00"/>
    <s v="Propane"/>
    <n v="4690"/>
    <s v="pounds"/>
    <x v="1"/>
    <m/>
    <s v="2023-07-18, 21:52"/>
    <s v="2023-07-20, 00:40"/>
    <n v="2021"/>
    <s v="propane"/>
    <s v="Propane"/>
    <s v="model"/>
    <b v="0"/>
    <s v="FUELS; GASEOUS FUELS; PROPANE"/>
    <x v="2"/>
    <x v="0"/>
    <m/>
    <m/>
    <m/>
    <m/>
    <n v="0"/>
    <s v="CO2"/>
    <n v="6367.970875"/>
    <n v="2993.4"/>
    <s v="TONNES"/>
    <n v="4.5359000000000003E-4"/>
    <n v="2.1273371000000001"/>
    <s v="AR4"/>
    <s v="Defra"/>
    <s v="Defra (2021)"/>
    <n v="2021"/>
    <n v="2019"/>
    <n v="0"/>
    <n v="0"/>
    <x v="8"/>
    <s v="Labratory"/>
  </r>
  <r>
    <n v="1230941"/>
    <s v="Top of Hierarchy &gt; North America &gt; Vantage_Chicago"/>
    <x v="2"/>
    <x v="1"/>
    <d v="2021-01-01T00:00:00"/>
    <d v="2021-12-31T00:00:00"/>
    <x v="2"/>
    <d v="2021-01-01T00:00:00"/>
    <d v="2021-12-31T00:00:00"/>
    <s v="Propane"/>
    <n v="4690"/>
    <s v="pounds"/>
    <x v="1"/>
    <m/>
    <s v="2023-07-18, 21:52"/>
    <s v="2023-07-20, 00:40"/>
    <n v="2021"/>
    <s v="propane"/>
    <s v="Propane"/>
    <s v="model"/>
    <b v="0"/>
    <s v="FUELS; GASEOUS FUELS; PROPANE"/>
    <x v="2"/>
    <x v="0"/>
    <m/>
    <m/>
    <m/>
    <m/>
    <n v="0"/>
    <s v="CO2E"/>
    <n v="6376.8205969999999"/>
    <n v="2997.56"/>
    <s v="TONNES"/>
    <n v="4.5359000000000003E-4"/>
    <n v="2.1273371000000001"/>
    <s v="AR4"/>
    <s v="Defra"/>
    <s v="Defra (2021)"/>
    <n v="2021"/>
    <n v="2019"/>
    <n v="6.376820597"/>
    <n v="0"/>
    <x v="8"/>
    <s v="Labratory"/>
  </r>
  <r>
    <n v="1230941"/>
    <s v="Top of Hierarchy &gt; North America &gt; Vantage_Chicago"/>
    <x v="2"/>
    <x v="1"/>
    <d v="2021-01-01T00:00:00"/>
    <d v="2021-12-31T00:00:00"/>
    <x v="2"/>
    <d v="2021-01-01T00:00:00"/>
    <d v="2021-12-31T00:00:00"/>
    <s v="Propane"/>
    <n v="4690"/>
    <s v="pounds"/>
    <x v="1"/>
    <m/>
    <s v="2023-07-18, 21:52"/>
    <s v="2023-07-20, 00:40"/>
    <n v="2021"/>
    <s v="propane"/>
    <s v="Propane"/>
    <s v="model"/>
    <b v="0"/>
    <s v="FUELS; GASEOUS FUELS; PROPANE"/>
    <x v="2"/>
    <x v="0"/>
    <m/>
    <m/>
    <m/>
    <m/>
    <n v="0"/>
    <s v="N2O"/>
    <n v="3.9355736349999999"/>
    <n v="1.85"/>
    <s v="TONNES"/>
    <n v="4.5359000000000003E-4"/>
    <n v="2.1273371000000001"/>
    <s v="AR4"/>
    <s v="Defra"/>
    <s v="Defra (2021)"/>
    <n v="2021"/>
    <n v="2019"/>
    <n v="0"/>
    <n v="0"/>
    <x v="8"/>
    <s v="Labratory"/>
  </r>
  <r>
    <n v="1230941"/>
    <s v="Top of Hierarchy &gt; North America &gt; Vantage_Chicago"/>
    <x v="2"/>
    <x v="1"/>
    <d v="2021-01-01T00:00:00"/>
    <d v="2021-12-31T00:00:00"/>
    <x v="2"/>
    <d v="2021-01-01T00:00:00"/>
    <d v="2021-12-31T00:00:00"/>
    <s v="Propane"/>
    <n v="4690"/>
    <s v="pounds"/>
    <x v="1"/>
    <m/>
    <s v="2023-07-18, 21:52"/>
    <s v="2023-07-20, 00:40"/>
    <n v="2021"/>
    <s v="propane"/>
    <s v="Propane"/>
    <s v="model"/>
    <b v="0"/>
    <s v="FUELS; GASEOUS FUELS; PROPANE"/>
    <x v="2"/>
    <x v="0"/>
    <m/>
    <m/>
    <m/>
    <m/>
    <n v="1"/>
    <s v="CH4"/>
    <n v="4.9141487010000002"/>
    <n v="2.31"/>
    <s v="TONNES"/>
    <n v="4.5359000000000003E-4"/>
    <n v="2.1273371000000001"/>
    <s v="AR4"/>
    <s v="Defra"/>
    <s v="Defra (2021)"/>
    <n v="2021"/>
    <n v="2019"/>
    <n v="0"/>
    <n v="0"/>
    <x v="8"/>
    <s v="Labratory"/>
  </r>
  <r>
    <n v="1230941"/>
    <s v="Top of Hierarchy &gt; North America &gt; Vantage_Chicago"/>
    <x v="2"/>
    <x v="1"/>
    <d v="2021-01-01T00:00:00"/>
    <d v="2021-12-31T00:00:00"/>
    <x v="2"/>
    <d v="2021-01-01T00:00:00"/>
    <d v="2021-12-31T00:00:00"/>
    <s v="Propane"/>
    <n v="4690"/>
    <s v="pounds"/>
    <x v="1"/>
    <m/>
    <s v="2023-07-18, 21:52"/>
    <s v="2023-07-20, 00:40"/>
    <n v="2021"/>
    <s v="propane"/>
    <s v="Propane"/>
    <s v="model"/>
    <b v="0"/>
    <s v="FUELS; GASEOUS FUELS; PROPANE"/>
    <x v="2"/>
    <x v="0"/>
    <m/>
    <m/>
    <m/>
    <m/>
    <n v="1"/>
    <s v="CO2"/>
    <n v="6367.970875"/>
    <n v="2993.4"/>
    <s v="TONNES"/>
    <n v="4.5359000000000003E-4"/>
    <n v="2.1273371000000001"/>
    <s v="AR4"/>
    <s v="Defra"/>
    <s v="Defra (2021)"/>
    <n v="2021"/>
    <n v="2019"/>
    <n v="0"/>
    <n v="0"/>
    <x v="8"/>
    <s v="Labratory"/>
  </r>
  <r>
    <n v="1230941"/>
    <s v="Top of Hierarchy &gt; North America &gt; Vantage_Chicago"/>
    <x v="2"/>
    <x v="1"/>
    <d v="2021-01-01T00:00:00"/>
    <d v="2021-12-31T00:00:00"/>
    <x v="2"/>
    <d v="2021-01-01T00:00:00"/>
    <d v="2021-12-31T00:00:00"/>
    <s v="Propane"/>
    <n v="4690"/>
    <s v="pounds"/>
    <x v="1"/>
    <m/>
    <s v="2023-07-18, 21:52"/>
    <s v="2023-07-20, 00:40"/>
    <n v="2021"/>
    <s v="propane"/>
    <s v="Propane"/>
    <s v="model"/>
    <b v="0"/>
    <s v="FUELS; GASEOUS FUELS; PROPANE"/>
    <x v="2"/>
    <x v="0"/>
    <m/>
    <m/>
    <m/>
    <m/>
    <n v="1"/>
    <s v="CO2E"/>
    <n v="6376.8205969999999"/>
    <n v="2997.56"/>
    <s v="TONNES"/>
    <n v="4.5359000000000003E-4"/>
    <n v="2.1273371000000001"/>
    <s v="AR4"/>
    <s v="Defra"/>
    <s v="Defra (2021)"/>
    <n v="2021"/>
    <n v="2019"/>
    <n v="0"/>
    <n v="6.376820597"/>
    <x v="8"/>
    <s v="Labratory"/>
  </r>
  <r>
    <n v="1230941"/>
    <s v="Top of Hierarchy &gt; North America &gt; Vantage_Chicago"/>
    <x v="2"/>
    <x v="1"/>
    <d v="2021-01-01T00:00:00"/>
    <d v="2021-12-31T00:00:00"/>
    <x v="2"/>
    <d v="2021-01-01T00:00:00"/>
    <d v="2021-12-31T00:00:00"/>
    <s v="Propane"/>
    <n v="4690"/>
    <s v="pounds"/>
    <x v="1"/>
    <m/>
    <s v="2023-07-18, 21:52"/>
    <s v="2023-07-20, 00:40"/>
    <n v="2021"/>
    <s v="propane"/>
    <s v="Propane"/>
    <s v="model"/>
    <b v="0"/>
    <s v="FUELS; GASEOUS FUELS; PROPANE"/>
    <x v="2"/>
    <x v="0"/>
    <m/>
    <m/>
    <m/>
    <m/>
    <n v="1"/>
    <s v="N2O"/>
    <n v="3.9355736349999999"/>
    <n v="1.85"/>
    <s v="TONNES"/>
    <n v="4.5359000000000003E-4"/>
    <n v="2.1273371000000001"/>
    <s v="AR4"/>
    <s v="Defra"/>
    <s v="Defra (2021)"/>
    <n v="2021"/>
    <n v="2019"/>
    <n v="0"/>
    <n v="0"/>
    <x v="8"/>
    <s v="Labratory"/>
  </r>
  <r>
    <n v="1230941"/>
    <s v="Top of Hierarchy &gt; North America &gt; Vantage_Chicago"/>
    <x v="2"/>
    <x v="1"/>
    <d v="2021-01-01T00:00:00"/>
    <d v="2021-12-31T00:00:00"/>
    <x v="2"/>
    <d v="2021-01-01T00:00:00"/>
    <d v="2021-12-31T00:00:00"/>
    <s v="Propane"/>
    <n v="4690"/>
    <s v="pounds"/>
    <x v="1"/>
    <m/>
    <s v="2023-07-18, 21:52"/>
    <s v="2023-07-20, 00:40"/>
    <n v="2021"/>
    <s v="propane__wtt"/>
    <s v="Propane WTT"/>
    <s v="wtt"/>
    <b v="0"/>
    <s v="WTT- FUELS; WTT- GASEOUS FUELS; PROPANE"/>
    <x v="1"/>
    <x v="1"/>
    <m/>
    <m/>
    <m/>
    <m/>
    <n v="0"/>
    <s v="CO2E"/>
    <n v="745.53715720000002"/>
    <n v="350.45558"/>
    <s v="TONNES"/>
    <n v="4.5359000000000003E-4"/>
    <n v="2.1273371000000001"/>
    <s v="AR4"/>
    <s v="Defra"/>
    <s v="Defra (2021)"/>
    <n v="2021"/>
    <n v="2019"/>
    <n v="0.74553715720000002"/>
    <n v="0"/>
    <x v="8"/>
    <s v="Labratory"/>
  </r>
  <r>
    <n v="1230941"/>
    <s v="Top of Hierarchy &gt; North America &gt; Vantage_Chicago"/>
    <x v="2"/>
    <x v="1"/>
    <d v="2021-01-01T00:00:00"/>
    <d v="2021-12-31T00:00:00"/>
    <x v="2"/>
    <d v="2021-01-01T00:00:00"/>
    <d v="2021-12-31T00:00:00"/>
    <s v="Propane"/>
    <n v="4690"/>
    <s v="pounds"/>
    <x v="1"/>
    <m/>
    <s v="2023-07-18, 21:52"/>
    <s v="2023-07-20, 00:40"/>
    <n v="2021"/>
    <s v="propane__wtt"/>
    <s v="Propane WTT"/>
    <s v="wtt"/>
    <b v="0"/>
    <s v="WTT- FUELS; WTT- GASEOUS FUELS; PROPANE"/>
    <x v="1"/>
    <x v="1"/>
    <m/>
    <m/>
    <m/>
    <m/>
    <n v="1"/>
    <s v="CO2E"/>
    <n v="745.53715720000002"/>
    <n v="350.45558"/>
    <s v="TONNES"/>
    <n v="4.5359000000000003E-4"/>
    <n v="2.1273371000000001"/>
    <s v="AR4"/>
    <s v="Defra"/>
    <s v="Defra (2021)"/>
    <n v="2021"/>
    <n v="2019"/>
    <n v="0"/>
    <n v="0.74553715720000002"/>
    <x v="8"/>
    <s v="Labratory"/>
  </r>
  <r>
    <n v="1590445"/>
    <s v="Top of Hierarchy &gt; North America &gt; Vantage_Costa_Rica"/>
    <x v="4"/>
    <x v="0"/>
    <d v="2022-01-01T00:00:00"/>
    <d v="2022-12-31T00:00:00"/>
    <x v="0"/>
    <d v="2022-01-01T00:00:00"/>
    <d v="2022-12-31T00:00:00"/>
    <s v="Electricity (non-renewable)"/>
    <n v="162.785043"/>
    <s v="Kilowatt hours"/>
    <x v="0"/>
    <s v="Estimated from square footage (CBECS 2012)"/>
    <s v="2023-07-25, 17:50"/>
    <s v="2023-07-25, 17:50"/>
    <n v="2022"/>
    <s v="electricity"/>
    <s v="Electricity"/>
    <s v="model"/>
    <b v="0"/>
    <s v="ELECTRICITY; COSTA RICA"/>
    <x v="0"/>
    <x v="0"/>
    <s v="Americas"/>
    <s v="Latin America and the Caribbean"/>
    <s v="CR"/>
    <m/>
    <n v="0"/>
    <s v="CH4"/>
    <n v="0"/>
    <s v="RESTRICTED"/>
    <s v="KWH"/>
    <n v="1"/>
    <n v="162.785043"/>
    <s v="AR4"/>
    <s v="IEA"/>
    <s v="IEA (2022)"/>
    <n v="2022"/>
    <n v="2020"/>
    <n v="0"/>
    <n v="0"/>
    <x v="9"/>
    <s v="Unspecified Facility Type"/>
  </r>
  <r>
    <n v="1590445"/>
    <s v="Top of Hierarchy &gt; North America &gt; Vantage_Costa_Rica"/>
    <x v="4"/>
    <x v="0"/>
    <d v="2022-01-01T00:00:00"/>
    <d v="2022-12-31T00:00:00"/>
    <x v="0"/>
    <d v="2022-01-01T00:00:00"/>
    <d v="2022-12-31T00:00:00"/>
    <s v="Electricity (non-renewable)"/>
    <n v="162.785043"/>
    <s v="Kilowatt hours"/>
    <x v="0"/>
    <s v="Estimated from square footage (CBECS 2012)"/>
    <s v="2023-07-25, 17:50"/>
    <s v="2023-07-25, 17:50"/>
    <n v="2022"/>
    <s v="electricity"/>
    <s v="Electricity"/>
    <s v="model"/>
    <b v="0"/>
    <s v="ELECTRICITY; COSTA RICA"/>
    <x v="0"/>
    <x v="0"/>
    <s v="Americas"/>
    <s v="Latin America and the Caribbean"/>
    <s v="CR"/>
    <m/>
    <n v="0"/>
    <s v="CO2"/>
    <n v="0.29301307700000001"/>
    <s v="RESTRICTED"/>
    <s v="KWH"/>
    <n v="1"/>
    <n v="162.785043"/>
    <s v="AR4"/>
    <s v="IEA"/>
    <s v="IEA (2022)"/>
    <n v="2022"/>
    <n v="2020"/>
    <n v="0"/>
    <n v="0"/>
    <x v="9"/>
    <s v="Unspecified Facility Type"/>
  </r>
  <r>
    <n v="1590445"/>
    <s v="Top of Hierarchy &gt; North America &gt; Vantage_Costa_Rica"/>
    <x v="4"/>
    <x v="0"/>
    <d v="2022-01-01T00:00:00"/>
    <d v="2022-12-31T00:00:00"/>
    <x v="0"/>
    <d v="2022-01-01T00:00:00"/>
    <d v="2022-12-31T00:00:00"/>
    <s v="Electricity (non-renewable)"/>
    <n v="162.785043"/>
    <s v="Kilowatt hours"/>
    <x v="0"/>
    <s v="Estimated from square footage (CBECS 2012)"/>
    <s v="2023-07-25, 17:50"/>
    <s v="2023-07-25, 17:50"/>
    <n v="2022"/>
    <s v="electricity"/>
    <s v="Electricity"/>
    <s v="model"/>
    <b v="0"/>
    <s v="ELECTRICITY; COSTA RICA"/>
    <x v="0"/>
    <x v="0"/>
    <s v="Americas"/>
    <s v="Latin America and the Caribbean"/>
    <s v="CR"/>
    <m/>
    <n v="0"/>
    <s v="CO2E"/>
    <n v="0.29301307700000001"/>
    <s v="RESTRICTED"/>
    <s v="KWH"/>
    <n v="1"/>
    <n v="162.785043"/>
    <s v="AR4"/>
    <s v="IEA"/>
    <s v="IEA (2022)"/>
    <n v="2022"/>
    <n v="2020"/>
    <n v="2.9301307700000003E-4"/>
    <n v="0"/>
    <x v="9"/>
    <s v="Unspecified Facility Type"/>
  </r>
  <r>
    <n v="1590445"/>
    <s v="Top of Hierarchy &gt; North America &gt; Vantage_Costa_Rica"/>
    <x v="4"/>
    <x v="0"/>
    <d v="2022-01-01T00:00:00"/>
    <d v="2022-12-31T00:00:00"/>
    <x v="0"/>
    <d v="2022-01-01T00:00:00"/>
    <d v="2022-12-31T00:00:00"/>
    <s v="Electricity (non-renewable)"/>
    <n v="162.785043"/>
    <s v="Kilowatt hours"/>
    <x v="0"/>
    <s v="Estimated from square footage (CBECS 2012)"/>
    <s v="2023-07-25, 17:50"/>
    <s v="2023-07-25, 17:50"/>
    <n v="2022"/>
    <s v="electricity"/>
    <s v="Electricity"/>
    <s v="model"/>
    <b v="0"/>
    <s v="ELECTRICITY; COSTA RICA"/>
    <x v="0"/>
    <x v="0"/>
    <s v="Americas"/>
    <s v="Latin America and the Caribbean"/>
    <s v="CR"/>
    <m/>
    <n v="0"/>
    <s v="N2O"/>
    <n v="0"/>
    <s v="RESTRICTED"/>
    <s v="KWH"/>
    <n v="1"/>
    <n v="162.785043"/>
    <s v="AR4"/>
    <s v="IEA"/>
    <s v="IEA (2022)"/>
    <n v="2022"/>
    <n v="2020"/>
    <n v="0"/>
    <n v="0"/>
    <x v="9"/>
    <s v="Unspecified Facility Type"/>
  </r>
  <r>
    <n v="1590445"/>
    <s v="Top of Hierarchy &gt; North America &gt; Vantage_Costa_Rica"/>
    <x v="4"/>
    <x v="0"/>
    <d v="2022-01-01T00:00:00"/>
    <d v="2022-12-31T00:00:00"/>
    <x v="0"/>
    <d v="2022-01-01T00:00:00"/>
    <d v="2022-12-31T00:00:00"/>
    <s v="Electricity (non-renewable)"/>
    <n v="162.785043"/>
    <s v="Kilowatt hours"/>
    <x v="0"/>
    <s v="Estimated from square footage (CBECS 2012)"/>
    <s v="2023-07-25, 17:50"/>
    <s v="2023-07-25, 17:50"/>
    <n v="2022"/>
    <s v="electricity"/>
    <s v="Electricity"/>
    <s v="model"/>
    <b v="0"/>
    <s v="ELECTRICITY; COSTA RICA"/>
    <x v="0"/>
    <x v="0"/>
    <s v="Americas"/>
    <s v="Latin America and the Caribbean"/>
    <s v="CR"/>
    <m/>
    <n v="1"/>
    <s v="CH4"/>
    <n v="0"/>
    <s v="RESTRICTED"/>
    <s v="KWH"/>
    <n v="1"/>
    <n v="162.785043"/>
    <s v="AR4"/>
    <s v="IEA"/>
    <s v="IEA (2022)"/>
    <n v="2022"/>
    <n v="2020"/>
    <n v="0"/>
    <n v="0"/>
    <x v="9"/>
    <s v="Unspecified Facility Type"/>
  </r>
  <r>
    <n v="1590445"/>
    <s v="Top of Hierarchy &gt; North America &gt; Vantage_Costa_Rica"/>
    <x v="4"/>
    <x v="0"/>
    <d v="2022-01-01T00:00:00"/>
    <d v="2022-12-31T00:00:00"/>
    <x v="0"/>
    <d v="2022-01-01T00:00:00"/>
    <d v="2022-12-31T00:00:00"/>
    <s v="Electricity (non-renewable)"/>
    <n v="162.785043"/>
    <s v="Kilowatt hours"/>
    <x v="0"/>
    <s v="Estimated from square footage (CBECS 2012)"/>
    <s v="2023-07-25, 17:50"/>
    <s v="2023-07-25, 17:50"/>
    <n v="2022"/>
    <s v="electricity"/>
    <s v="Electricity"/>
    <s v="model"/>
    <b v="0"/>
    <s v="ELECTRICITY; COSTA RICA"/>
    <x v="0"/>
    <x v="0"/>
    <s v="Americas"/>
    <s v="Latin America and the Caribbean"/>
    <s v="CR"/>
    <m/>
    <n v="1"/>
    <s v="CO2"/>
    <n v="0.29301307700000001"/>
    <s v="RESTRICTED"/>
    <s v="KWH"/>
    <n v="1"/>
    <n v="162.785043"/>
    <s v="AR4"/>
    <s v="IEA"/>
    <s v="IEA (2022)"/>
    <n v="2022"/>
    <n v="2020"/>
    <n v="0"/>
    <n v="0"/>
    <x v="9"/>
    <s v="Unspecified Facility Type"/>
  </r>
  <r>
    <n v="1590445"/>
    <s v="Top of Hierarchy &gt; North America &gt; Vantage_Costa_Rica"/>
    <x v="4"/>
    <x v="0"/>
    <d v="2022-01-01T00:00:00"/>
    <d v="2022-12-31T00:00:00"/>
    <x v="0"/>
    <d v="2022-01-01T00:00:00"/>
    <d v="2022-12-31T00:00:00"/>
    <s v="Electricity (non-renewable)"/>
    <n v="162.785043"/>
    <s v="Kilowatt hours"/>
    <x v="0"/>
    <s v="Estimated from square footage (CBECS 2012)"/>
    <s v="2023-07-25, 17:50"/>
    <s v="2023-07-25, 17:50"/>
    <n v="2022"/>
    <s v="electricity"/>
    <s v="Electricity"/>
    <s v="model"/>
    <b v="0"/>
    <s v="ELECTRICITY; COSTA RICA"/>
    <x v="0"/>
    <x v="0"/>
    <s v="Americas"/>
    <s v="Latin America and the Caribbean"/>
    <s v="CR"/>
    <m/>
    <n v="1"/>
    <s v="CO2E"/>
    <n v="0.29301307700000001"/>
    <s v="RESTRICTED"/>
    <s v="KWH"/>
    <n v="1"/>
    <n v="162.785043"/>
    <s v="AR4"/>
    <s v="IEA"/>
    <s v="IEA (2022)"/>
    <n v="2022"/>
    <n v="2020"/>
    <n v="0"/>
    <n v="2.9301307700000003E-4"/>
    <x v="9"/>
    <s v="Unspecified Facility Type"/>
  </r>
  <r>
    <n v="1590445"/>
    <s v="Top of Hierarchy &gt; North America &gt; Vantage_Costa_Rica"/>
    <x v="4"/>
    <x v="0"/>
    <d v="2022-01-01T00:00:00"/>
    <d v="2022-12-31T00:00:00"/>
    <x v="0"/>
    <d v="2022-01-01T00:00:00"/>
    <d v="2022-12-31T00:00:00"/>
    <s v="Electricity (non-renewable)"/>
    <n v="162.785043"/>
    <s v="Kilowatt hours"/>
    <x v="0"/>
    <s v="Estimated from square footage (CBECS 2012)"/>
    <s v="2023-07-25, 17:50"/>
    <s v="2023-07-25, 17:50"/>
    <n v="2022"/>
    <s v="electricity"/>
    <s v="Electricity"/>
    <s v="model"/>
    <b v="0"/>
    <s v="ELECTRICITY; COSTA RICA"/>
    <x v="0"/>
    <x v="0"/>
    <s v="Americas"/>
    <s v="Latin America and the Caribbean"/>
    <s v="CR"/>
    <m/>
    <n v="1"/>
    <s v="N2O"/>
    <n v="0"/>
    <s v="RESTRICTED"/>
    <s v="KWH"/>
    <n v="1"/>
    <n v="162.785043"/>
    <s v="AR4"/>
    <s v="IEA"/>
    <s v="IEA (2022)"/>
    <n v="2022"/>
    <n v="2020"/>
    <n v="0"/>
    <n v="0"/>
    <x v="9"/>
    <s v="Unspecified Facility Type"/>
  </r>
  <r>
    <n v="1590445"/>
    <s v="Top of Hierarchy &gt; North America &gt; Vantage_Costa_Rica"/>
    <x v="4"/>
    <x v="0"/>
    <d v="2022-01-01T00:00:00"/>
    <d v="2022-12-31T00:00:00"/>
    <x v="0"/>
    <d v="2022-01-01T00:00:00"/>
    <d v="2022-12-31T00:00:00"/>
    <s v="Electricity (non-renewable)"/>
    <n v="162.785043"/>
    <s v="Kilowatt hours"/>
    <x v="0"/>
    <s v="Estimated from square footage (CBECS 2012)"/>
    <s v="2023-07-25, 17:50"/>
    <s v="2023-07-25, 17:50"/>
    <n v="2022"/>
    <s v="electricity__t+d__wtt"/>
    <s v="Electricity T&amp;D WTT"/>
    <s v="t+d_wtt"/>
    <b v="0"/>
    <s v="ELECTRICITY T&amp;D WTT; COSTA RICA"/>
    <x v="1"/>
    <x v="1"/>
    <s v="Americas"/>
    <s v="Latin America and the Caribbean"/>
    <s v="CR"/>
    <m/>
    <n v="0"/>
    <s v="CO2E"/>
    <n v="6.8967450000000001E-3"/>
    <n v="4.2367200000000003E-5"/>
    <s v="KWH"/>
    <n v="1"/>
    <n v="162.785043"/>
    <s v="AR4"/>
    <s v="Anthesis"/>
    <s v="Anthesis (2022)"/>
    <n v="2022"/>
    <n v="2020"/>
    <n v="6.8967450000000002E-6"/>
    <n v="0"/>
    <x v="9"/>
    <s v="Unspecified Facility Type"/>
  </r>
  <r>
    <n v="1590445"/>
    <s v="Top of Hierarchy &gt; North America &gt; Vantage_Costa_Rica"/>
    <x v="4"/>
    <x v="0"/>
    <d v="2022-01-01T00:00:00"/>
    <d v="2022-12-31T00:00:00"/>
    <x v="0"/>
    <d v="2022-01-01T00:00:00"/>
    <d v="2022-12-31T00:00:00"/>
    <s v="Electricity (non-renewable)"/>
    <n v="162.785043"/>
    <s v="Kilowatt hours"/>
    <x v="0"/>
    <s v="Estimated from square footage (CBECS 2012)"/>
    <s v="2023-07-25, 17:50"/>
    <s v="2023-07-25, 17:50"/>
    <n v="2022"/>
    <s v="electricity__t+d__wtt"/>
    <s v="Electricity T&amp;D WTT"/>
    <s v="t+d_wtt"/>
    <b v="0"/>
    <s v="ELECTRICITY T&amp;D WTT; COSTA RICA"/>
    <x v="1"/>
    <x v="1"/>
    <s v="Americas"/>
    <s v="Latin America and the Caribbean"/>
    <s v="CR"/>
    <m/>
    <n v="1"/>
    <s v="CO2E"/>
    <n v="6.8967450000000001E-3"/>
    <n v="4.2367200000000003E-5"/>
    <s v="KWH"/>
    <n v="1"/>
    <n v="162.785043"/>
    <s v="AR4"/>
    <s v="Anthesis"/>
    <s v="Anthesis (2022)"/>
    <n v="2022"/>
    <n v="2020"/>
    <n v="0"/>
    <n v="6.8967450000000002E-6"/>
    <x v="9"/>
    <s v="Unspecified Facility Type"/>
  </r>
  <r>
    <n v="1590445"/>
    <s v="Top of Hierarchy &gt; North America &gt; Vantage_Costa_Rica"/>
    <x v="4"/>
    <x v="0"/>
    <d v="2022-01-01T00:00:00"/>
    <d v="2022-12-31T00:00:00"/>
    <x v="0"/>
    <d v="2022-01-01T00:00:00"/>
    <d v="2022-12-31T00:00:00"/>
    <s v="Electricity (non-renewable)"/>
    <n v="162.785043"/>
    <s v="Kilowatt hours"/>
    <x v="0"/>
    <s v="Estimated from square footage (CBECS 2012)"/>
    <s v="2023-07-25, 17:50"/>
    <s v="2023-07-25, 17:50"/>
    <n v="2022"/>
    <s v="electricity__wtt"/>
    <s v="Electricity WTT"/>
    <s v="wtt"/>
    <b v="0"/>
    <s v="ELECTRICITY WTT; COSTA RICA"/>
    <x v="1"/>
    <x v="1"/>
    <s v="Americas"/>
    <s v="Latin America and the Caribbean"/>
    <s v="CR"/>
    <m/>
    <n v="0"/>
    <s v="CO2E"/>
    <n v="6.2070700999999999E-2"/>
    <n v="3.8130500000000002E-4"/>
    <s v="KWH"/>
    <n v="1"/>
    <n v="162.785043"/>
    <s v="AR4"/>
    <s v="Anthesis"/>
    <s v="Anthesis (2022)"/>
    <n v="2022"/>
    <n v="2020"/>
    <n v="6.2070700999999998E-5"/>
    <n v="0"/>
    <x v="9"/>
    <s v="Unspecified Facility Type"/>
  </r>
  <r>
    <n v="1590445"/>
    <s v="Top of Hierarchy &gt; North America &gt; Vantage_Costa_Rica"/>
    <x v="4"/>
    <x v="0"/>
    <d v="2022-01-01T00:00:00"/>
    <d v="2022-12-31T00:00:00"/>
    <x v="0"/>
    <d v="2022-01-01T00:00:00"/>
    <d v="2022-12-31T00:00:00"/>
    <s v="Electricity (non-renewable)"/>
    <n v="162.785043"/>
    <s v="Kilowatt hours"/>
    <x v="0"/>
    <s v="Estimated from square footage (CBECS 2012)"/>
    <s v="2023-07-25, 17:50"/>
    <s v="2023-07-25, 17:50"/>
    <n v="2022"/>
    <s v="electricity__wtt"/>
    <s v="Electricity WTT"/>
    <s v="wtt"/>
    <b v="0"/>
    <s v="ELECTRICITY WTT; COSTA RICA"/>
    <x v="1"/>
    <x v="1"/>
    <s v="Americas"/>
    <s v="Latin America and the Caribbean"/>
    <s v="CR"/>
    <m/>
    <n v="1"/>
    <s v="CO2E"/>
    <n v="6.2070700999999999E-2"/>
    <n v="3.8130500000000002E-4"/>
    <s v="KWH"/>
    <n v="1"/>
    <n v="162.785043"/>
    <s v="AR4"/>
    <s v="Anthesis"/>
    <s v="Anthesis (2022)"/>
    <n v="2022"/>
    <n v="2020"/>
    <n v="0"/>
    <n v="6.2070700999999998E-5"/>
    <x v="9"/>
    <s v="Unspecified Facility Type"/>
  </r>
  <r>
    <n v="1590445"/>
    <s v="Top of Hierarchy &gt; North America &gt; Vantage_Costa_Rica"/>
    <x v="4"/>
    <x v="0"/>
    <d v="2022-01-01T00:00:00"/>
    <d v="2022-12-31T00:00:00"/>
    <x v="0"/>
    <d v="2022-01-01T00:00:00"/>
    <d v="2022-12-31T00:00:00"/>
    <s v="Electricity (non-renewable)"/>
    <n v="162.785043"/>
    <s v="Kilowatt hours"/>
    <x v="0"/>
    <s v="Estimated from square footage (CBECS 2012)"/>
    <s v="2023-07-25, 17:50"/>
    <s v="2023-07-25, 17:50"/>
    <n v="2022"/>
    <s v="electricity__t+d"/>
    <s v="Electricity T&amp;D"/>
    <s v="t+d"/>
    <b v="0"/>
    <s v="ELECTRICITY; TRANSMISSION AND DISTRIBUTION; COSTA RICA"/>
    <x v="1"/>
    <x v="1"/>
    <s v="Americas"/>
    <s v="Latin America and the Caribbean"/>
    <s v="CR"/>
    <m/>
    <n v="0"/>
    <s v="CO2E"/>
    <n v="3.2557008999999998E-2"/>
    <s v="RESTRICTED"/>
    <s v="KWH"/>
    <n v="1"/>
    <n v="162.785043"/>
    <s v="AR4"/>
    <s v="IEA"/>
    <s v="IEA (2022)"/>
    <n v="2022"/>
    <n v="2020"/>
    <n v="3.2557008999999998E-5"/>
    <n v="0"/>
    <x v="9"/>
    <s v="Unspecified Facility Type"/>
  </r>
  <r>
    <n v="1590445"/>
    <s v="Top of Hierarchy &gt; North America &gt; Vantage_Costa_Rica"/>
    <x v="4"/>
    <x v="0"/>
    <d v="2022-01-01T00:00:00"/>
    <d v="2022-12-31T00:00:00"/>
    <x v="0"/>
    <d v="2022-01-01T00:00:00"/>
    <d v="2022-12-31T00:00:00"/>
    <s v="Electricity (non-renewable)"/>
    <n v="162.785043"/>
    <s v="Kilowatt hours"/>
    <x v="0"/>
    <s v="Estimated from square footage (CBECS 2012)"/>
    <s v="2023-07-25, 17:50"/>
    <s v="2023-07-25, 17:50"/>
    <n v="2022"/>
    <s v="electricity__t+d"/>
    <s v="Electricity T&amp;D"/>
    <s v="t+d"/>
    <b v="0"/>
    <s v="ELECTRICITY; TRANSMISSION AND DISTRIBUTION; COSTA RICA"/>
    <x v="1"/>
    <x v="1"/>
    <s v="Americas"/>
    <s v="Latin America and the Caribbean"/>
    <s v="CR"/>
    <m/>
    <n v="1"/>
    <s v="CO2E"/>
    <n v="3.2557008999999998E-2"/>
    <s v="RESTRICTED"/>
    <s v="KWH"/>
    <n v="1"/>
    <n v="162.785043"/>
    <s v="AR4"/>
    <s v="IEA"/>
    <s v="IEA (2022)"/>
    <n v="2022"/>
    <n v="2020"/>
    <n v="0"/>
    <n v="3.2557008999999998E-5"/>
    <x v="9"/>
    <s v="Unspecified Facility Type"/>
  </r>
  <r>
    <n v="237712"/>
    <s v="Top of Hierarchy &gt; North America &gt; Vantage_Costa_Rica"/>
    <x v="4"/>
    <x v="0"/>
    <d v="2022-01-01T00:00:00"/>
    <d v="2022-12-31T00:00:00"/>
    <x v="3"/>
    <d v="2022-01-01T00:00:00"/>
    <d v="2022-12-31T00:00:00"/>
    <s v="Natural gas"/>
    <n v="0"/>
    <s v="British Thermal Units"/>
    <x v="1"/>
    <m/>
    <s v="2023-04-20, 21:57"/>
    <s v="2023-07-20, 00:40"/>
    <n v="2022"/>
    <s v="natural_gas"/>
    <s v="Natural Gas"/>
    <s v="model"/>
    <b v="0"/>
    <s v="NATURAL GAS, NATURAL GAS"/>
    <x v="2"/>
    <x v="0"/>
    <s v="Americas"/>
    <m/>
    <m/>
    <m/>
    <n v="0"/>
    <s v="CH4"/>
    <n v="0"/>
    <n v="2.5000000000000001E-2"/>
    <s v="MMBTU"/>
    <n v="9.9999999999999995E-7"/>
    <n v="0"/>
    <s v="AR4"/>
    <s v="USEPA"/>
    <s v="USEPA Emission Factors Hub (Last Modified: March 2020)"/>
    <n v="2022"/>
    <n v="2021"/>
    <n v="0"/>
    <n v="0"/>
    <x v="9"/>
    <s v="Unspecified Facility Type"/>
  </r>
  <r>
    <n v="237712"/>
    <s v="Top of Hierarchy &gt; North America &gt; Vantage_Costa_Rica"/>
    <x v="4"/>
    <x v="0"/>
    <d v="2022-01-01T00:00:00"/>
    <d v="2022-12-31T00:00:00"/>
    <x v="3"/>
    <d v="2022-01-01T00:00:00"/>
    <d v="2022-12-31T00:00:00"/>
    <s v="Natural gas"/>
    <n v="0"/>
    <s v="British Thermal Units"/>
    <x v="1"/>
    <m/>
    <s v="2023-04-20, 21:57"/>
    <s v="2023-07-20, 00:40"/>
    <n v="2022"/>
    <s v="natural_gas"/>
    <s v="Natural Gas"/>
    <s v="model"/>
    <b v="0"/>
    <s v="NATURAL GAS, NATURAL GAS"/>
    <x v="2"/>
    <x v="0"/>
    <s v="Americas"/>
    <m/>
    <m/>
    <m/>
    <n v="0"/>
    <s v="CO2"/>
    <n v="0"/>
    <n v="53.06"/>
    <s v="MMBTU"/>
    <n v="9.9999999999999995E-7"/>
    <n v="0"/>
    <s v="AR4"/>
    <s v="USEPA"/>
    <s v="USEPA (2022)"/>
    <n v="2022"/>
    <n v="2022"/>
    <n v="0"/>
    <n v="0"/>
    <x v="9"/>
    <s v="Unspecified Facility Type"/>
  </r>
  <r>
    <n v="237712"/>
    <s v="Top of Hierarchy &gt; North America &gt; Vantage_Costa_Rica"/>
    <x v="4"/>
    <x v="0"/>
    <d v="2022-01-01T00:00:00"/>
    <d v="2022-12-31T00:00:00"/>
    <x v="3"/>
    <d v="2022-01-01T00:00:00"/>
    <d v="2022-12-31T00:00:00"/>
    <s v="Natural gas"/>
    <n v="0"/>
    <s v="British Thermal Units"/>
    <x v="1"/>
    <m/>
    <s v="2023-04-20, 21:57"/>
    <s v="2023-07-20, 00:40"/>
    <n v="2022"/>
    <s v="natural_gas"/>
    <s v="Natural Gas"/>
    <s v="model"/>
    <b v="0"/>
    <s v="NATURAL GAS, NATURAL GAS"/>
    <x v="2"/>
    <x v="0"/>
    <s v="Americas"/>
    <m/>
    <m/>
    <m/>
    <n v="0"/>
    <s v="CO2E"/>
    <n v="0"/>
    <n v="53.114800000000002"/>
    <s v="MMBTU"/>
    <n v="9.9999999999999995E-7"/>
    <n v="0"/>
    <s v="AR4"/>
    <s v="USEPA"/>
    <s v="USEPA Emission Factors Hub (Last Modified: March 2020)"/>
    <n v="2022"/>
    <n v="2021"/>
    <n v="0"/>
    <n v="0"/>
    <x v="9"/>
    <s v="Unspecified Facility Type"/>
  </r>
  <r>
    <n v="237712"/>
    <s v="Top of Hierarchy &gt; North America &gt; Vantage_Costa_Rica"/>
    <x v="4"/>
    <x v="0"/>
    <d v="2022-01-01T00:00:00"/>
    <d v="2022-12-31T00:00:00"/>
    <x v="3"/>
    <d v="2022-01-01T00:00:00"/>
    <d v="2022-12-31T00:00:00"/>
    <s v="Natural gas"/>
    <n v="0"/>
    <s v="British Thermal Units"/>
    <x v="1"/>
    <m/>
    <s v="2023-04-20, 21:57"/>
    <s v="2023-07-20, 00:40"/>
    <n v="2022"/>
    <s v="natural_gas"/>
    <s v="Natural Gas"/>
    <s v="model"/>
    <b v="0"/>
    <s v="NATURAL GAS, NATURAL GAS"/>
    <x v="2"/>
    <x v="0"/>
    <s v="Americas"/>
    <m/>
    <m/>
    <m/>
    <n v="0"/>
    <s v="N2O"/>
    <n v="0"/>
    <n v="2.98E-2"/>
    <s v="MMBTU"/>
    <n v="9.9999999999999995E-7"/>
    <n v="0"/>
    <s v="AR4"/>
    <s v="USEPA"/>
    <s v="USEPA (2022)"/>
    <n v="2022"/>
    <n v="2022"/>
    <n v="0"/>
    <n v="0"/>
    <x v="9"/>
    <s v="Unspecified Facility Type"/>
  </r>
  <r>
    <n v="237712"/>
    <s v="Top of Hierarchy &gt; North America &gt; Vantage_Costa_Rica"/>
    <x v="4"/>
    <x v="0"/>
    <d v="2022-01-01T00:00:00"/>
    <d v="2022-12-31T00:00:00"/>
    <x v="3"/>
    <d v="2022-01-01T00:00:00"/>
    <d v="2022-12-31T00:00:00"/>
    <s v="Natural gas"/>
    <n v="0"/>
    <s v="British Thermal Units"/>
    <x v="1"/>
    <m/>
    <s v="2023-04-20, 21:57"/>
    <s v="2023-07-20, 00:40"/>
    <n v="2022"/>
    <s v="natural_gas"/>
    <s v="Natural Gas"/>
    <s v="model"/>
    <b v="0"/>
    <s v="NATURAL GAS, NATURAL GAS"/>
    <x v="2"/>
    <x v="0"/>
    <s v="Americas"/>
    <m/>
    <m/>
    <m/>
    <n v="1"/>
    <s v="CH4"/>
    <n v="0"/>
    <n v="2.5000000000000001E-2"/>
    <s v="MMBTU"/>
    <n v="9.9999999999999995E-7"/>
    <n v="0"/>
    <s v="AR4"/>
    <s v="USEPA"/>
    <s v="USEPA Emission Factors Hub (Last Modified: March 2020)"/>
    <n v="2022"/>
    <n v="2021"/>
    <n v="0"/>
    <n v="0"/>
    <x v="9"/>
    <s v="Unspecified Facility Type"/>
  </r>
  <r>
    <n v="237712"/>
    <s v="Top of Hierarchy &gt; North America &gt; Vantage_Costa_Rica"/>
    <x v="4"/>
    <x v="0"/>
    <d v="2022-01-01T00:00:00"/>
    <d v="2022-12-31T00:00:00"/>
    <x v="3"/>
    <d v="2022-01-01T00:00:00"/>
    <d v="2022-12-31T00:00:00"/>
    <s v="Natural gas"/>
    <n v="0"/>
    <s v="British Thermal Units"/>
    <x v="1"/>
    <m/>
    <s v="2023-04-20, 21:57"/>
    <s v="2023-07-20, 00:40"/>
    <n v="2022"/>
    <s v="natural_gas"/>
    <s v="Natural Gas"/>
    <s v="model"/>
    <b v="0"/>
    <s v="NATURAL GAS, NATURAL GAS"/>
    <x v="2"/>
    <x v="0"/>
    <s v="Americas"/>
    <m/>
    <m/>
    <m/>
    <n v="1"/>
    <s v="CO2"/>
    <n v="0"/>
    <n v="53.06"/>
    <s v="MMBTU"/>
    <n v="9.9999999999999995E-7"/>
    <n v="0"/>
    <s v="AR4"/>
    <s v="USEPA"/>
    <s v="USEPA (2022)"/>
    <n v="2022"/>
    <n v="2022"/>
    <n v="0"/>
    <n v="0"/>
    <x v="9"/>
    <s v="Unspecified Facility Type"/>
  </r>
  <r>
    <n v="237712"/>
    <s v="Top of Hierarchy &gt; North America &gt; Vantage_Costa_Rica"/>
    <x v="4"/>
    <x v="0"/>
    <d v="2022-01-01T00:00:00"/>
    <d v="2022-12-31T00:00:00"/>
    <x v="3"/>
    <d v="2022-01-01T00:00:00"/>
    <d v="2022-12-31T00:00:00"/>
    <s v="Natural gas"/>
    <n v="0"/>
    <s v="British Thermal Units"/>
    <x v="1"/>
    <m/>
    <s v="2023-04-20, 21:57"/>
    <s v="2023-07-20, 00:40"/>
    <n v="2022"/>
    <s v="natural_gas"/>
    <s v="Natural Gas"/>
    <s v="model"/>
    <b v="0"/>
    <s v="NATURAL GAS, NATURAL GAS"/>
    <x v="2"/>
    <x v="0"/>
    <s v="Americas"/>
    <m/>
    <m/>
    <m/>
    <n v="1"/>
    <s v="CO2E"/>
    <n v="0"/>
    <n v="53.114800000000002"/>
    <s v="MMBTU"/>
    <n v="9.9999999999999995E-7"/>
    <n v="0"/>
    <s v="AR4"/>
    <s v="USEPA"/>
    <s v="USEPA Emission Factors Hub (Last Modified: March 2020)"/>
    <n v="2022"/>
    <n v="2021"/>
    <n v="0"/>
    <n v="0"/>
    <x v="9"/>
    <s v="Unspecified Facility Type"/>
  </r>
  <r>
    <n v="237712"/>
    <s v="Top of Hierarchy &gt; North America &gt; Vantage_Costa_Rica"/>
    <x v="4"/>
    <x v="0"/>
    <d v="2022-01-01T00:00:00"/>
    <d v="2022-12-31T00:00:00"/>
    <x v="3"/>
    <d v="2022-01-01T00:00:00"/>
    <d v="2022-12-31T00:00:00"/>
    <s v="Natural gas"/>
    <n v="0"/>
    <s v="British Thermal Units"/>
    <x v="1"/>
    <m/>
    <s v="2023-04-20, 21:57"/>
    <s v="2023-07-20, 00:40"/>
    <n v="2022"/>
    <s v="natural_gas"/>
    <s v="Natural Gas"/>
    <s v="model"/>
    <b v="0"/>
    <s v="NATURAL GAS, NATURAL GAS"/>
    <x v="2"/>
    <x v="0"/>
    <s v="Americas"/>
    <m/>
    <m/>
    <m/>
    <n v="1"/>
    <s v="N2O"/>
    <n v="0"/>
    <n v="2.98E-2"/>
    <s v="MMBTU"/>
    <n v="9.9999999999999995E-7"/>
    <n v="0"/>
    <s v="AR4"/>
    <s v="USEPA"/>
    <s v="USEPA (2022)"/>
    <n v="2022"/>
    <n v="2022"/>
    <n v="0"/>
    <n v="0"/>
    <x v="9"/>
    <s v="Unspecified Facility Type"/>
  </r>
  <r>
    <n v="237712"/>
    <s v="Top of Hierarchy &gt; North America &gt; Vantage_Costa_Rica"/>
    <x v="4"/>
    <x v="0"/>
    <d v="2022-01-01T00:00:00"/>
    <d v="2022-12-31T00:00:00"/>
    <x v="3"/>
    <d v="2022-01-01T00:00:00"/>
    <d v="2022-12-31T00:00:00"/>
    <s v="Natural gas"/>
    <n v="0"/>
    <s v="British Thermal Units"/>
    <x v="1"/>
    <m/>
    <s v="2023-04-20, 21:57"/>
    <s v="2023-07-20, 00:40"/>
    <n v="2022"/>
    <s v="natural_gas__wtt"/>
    <s v="Natural Gas WTT"/>
    <s v="wtt"/>
    <b v="0"/>
    <s v="WTT- FUELS; GASEOUS FUELS; NATURAL GAS"/>
    <x v="1"/>
    <x v="1"/>
    <m/>
    <m/>
    <m/>
    <m/>
    <n v="0"/>
    <s v="CO2E"/>
    <n v="0"/>
    <n v="3.1099999999999999E-2"/>
    <s v="KWH (GROSS CV)"/>
    <n v="2.9306999999999998E-4"/>
    <n v="0"/>
    <s v="AR4"/>
    <s v="Defra"/>
    <s v="Defra (2022)"/>
    <n v="2022"/>
    <n v="2020"/>
    <n v="0"/>
    <n v="0"/>
    <x v="9"/>
    <s v="Unspecified Facility Type"/>
  </r>
  <r>
    <n v="237712"/>
    <s v="Top of Hierarchy &gt; North America &gt; Vantage_Costa_Rica"/>
    <x v="4"/>
    <x v="0"/>
    <d v="2022-01-01T00:00:00"/>
    <d v="2022-12-31T00:00:00"/>
    <x v="3"/>
    <d v="2022-01-01T00:00:00"/>
    <d v="2022-12-31T00:00:00"/>
    <s v="Natural gas"/>
    <n v="0"/>
    <s v="British Thermal Units"/>
    <x v="1"/>
    <m/>
    <s v="2023-04-20, 21:57"/>
    <s v="2023-07-20, 00:40"/>
    <n v="2022"/>
    <s v="natural_gas__wtt"/>
    <s v="Natural Gas WTT"/>
    <s v="wtt"/>
    <b v="0"/>
    <s v="WTT- FUELS; GASEOUS FUELS; NATURAL GAS"/>
    <x v="1"/>
    <x v="1"/>
    <m/>
    <m/>
    <m/>
    <m/>
    <n v="1"/>
    <s v="CO2E"/>
    <n v="0"/>
    <n v="3.1099999999999999E-2"/>
    <s v="KWH (GROSS CV)"/>
    <n v="2.9306999999999998E-4"/>
    <n v="0"/>
    <s v="AR4"/>
    <s v="Defra"/>
    <s v="Defra (2022)"/>
    <n v="2022"/>
    <n v="2020"/>
    <n v="0"/>
    <n v="0"/>
    <x v="9"/>
    <s v="Unspecified Facility Type"/>
  </r>
  <r>
    <n v="1590452"/>
    <s v="Top of Hierarchy &gt; North America &gt; Vantage_Costa_Rica"/>
    <x v="4"/>
    <x v="0"/>
    <d v="2022-01-01T00:00:00"/>
    <d v="2022-12-31T00:00:00"/>
    <x v="4"/>
    <d v="2022-01-01T00:00:00"/>
    <d v="2022-12-31T00:00:00"/>
    <s v="R-134A"/>
    <n v="0.11840290000000001"/>
    <s v="kilograms"/>
    <x v="0"/>
    <s v="Estimated from square footage. Assumed R134a."/>
    <s v="2023-07-25, 17:50"/>
    <s v="2023-07-25, 17:50"/>
    <n v="2022"/>
    <s v="hfc-134a"/>
    <s v="HFC-134A"/>
    <s v="model"/>
    <b v="0"/>
    <s v="REFRIGERANT: R-134A"/>
    <x v="2"/>
    <x v="0"/>
    <m/>
    <m/>
    <m/>
    <m/>
    <n v="0"/>
    <s v="CO2E"/>
    <n v="169.316147"/>
    <n v="1430"/>
    <s v="KG"/>
    <n v="1"/>
    <n v="0.11840290000000001"/>
    <s v="AR4"/>
    <s v="IPCC"/>
    <s v="IPCC (2021)"/>
    <n v="2022"/>
    <n v="2007"/>
    <n v="0.169316147"/>
    <n v="0"/>
    <x v="9"/>
    <s v="Unspecified Facility Type"/>
  </r>
  <r>
    <n v="1590452"/>
    <s v="Top of Hierarchy &gt; North America &gt; Vantage_Costa_Rica"/>
    <x v="4"/>
    <x v="0"/>
    <d v="2022-01-01T00:00:00"/>
    <d v="2022-12-31T00:00:00"/>
    <x v="4"/>
    <d v="2022-01-01T00:00:00"/>
    <d v="2022-12-31T00:00:00"/>
    <s v="R-134A"/>
    <n v="0.11840290000000001"/>
    <s v="kilograms"/>
    <x v="0"/>
    <s v="Estimated from square footage. Assumed R134a."/>
    <s v="2023-07-25, 17:50"/>
    <s v="2023-07-25, 17:50"/>
    <n v="2022"/>
    <s v="hfc-134a"/>
    <s v="HFC-134A"/>
    <s v="model"/>
    <b v="0"/>
    <s v="REFRIGERANT: R-134A"/>
    <x v="2"/>
    <x v="0"/>
    <m/>
    <m/>
    <m/>
    <m/>
    <n v="1"/>
    <s v="CO2E"/>
    <n v="169.316147"/>
    <n v="1430"/>
    <s v="KG"/>
    <n v="1"/>
    <n v="0.11840290000000001"/>
    <s v="AR4"/>
    <s v="IPCC"/>
    <s v="IPCC (2021)"/>
    <n v="2022"/>
    <n v="2007"/>
    <n v="0"/>
    <n v="0.169316147"/>
    <x v="9"/>
    <s v="Unspecified Facility Type"/>
  </r>
  <r>
    <n v="291093"/>
    <s v="Top of Hierarchy &gt; North America &gt; Vantage_Costa_Rica"/>
    <x v="4"/>
    <x v="0"/>
    <d v="2022-01-01T00:00:00"/>
    <d v="2022-12-31T00:00:00"/>
    <x v="2"/>
    <d v="2022-01-01T00:00:00"/>
    <d v="2022-12-31T00:00:00"/>
    <s v="LPG"/>
    <n v="26479.3"/>
    <s v="litres"/>
    <x v="1"/>
    <m/>
    <s v="2023-05-03, 21:21"/>
    <s v="2023-07-20, 00:40"/>
    <n v="2022"/>
    <s v="lpg"/>
    <s v="LPG"/>
    <s v="model"/>
    <b v="0"/>
    <s v="PETROLEUM PRODUCTS, LIQUEFIED PETROLEUM GASES (LPG)"/>
    <x v="2"/>
    <x v="0"/>
    <s v="Americas"/>
    <m/>
    <m/>
    <m/>
    <n v="0"/>
    <s v="CH4"/>
    <n v="48.965660839999998"/>
    <n v="7.0000000000000001E-3"/>
    <s v="GALLON (US LIQUID)"/>
    <n v="0.26417217999999998"/>
    <n v="6995.0944060000002"/>
    <s v="AR4"/>
    <s v="USEPA"/>
    <s v="USEPA Emission Factors Hub (Last Modified: March 2020)"/>
    <n v="2022"/>
    <n v="2021"/>
    <n v="0"/>
    <n v="0"/>
    <x v="9"/>
    <s v="Unspecified Facility Type"/>
  </r>
  <r>
    <n v="291093"/>
    <s v="Top of Hierarchy &gt; North America &gt; Vantage_Costa_Rica"/>
    <x v="4"/>
    <x v="0"/>
    <d v="2022-01-01T00:00:00"/>
    <d v="2022-12-31T00:00:00"/>
    <x v="2"/>
    <d v="2022-01-01T00:00:00"/>
    <d v="2022-12-31T00:00:00"/>
    <s v="LPG"/>
    <n v="26479.3"/>
    <s v="litres"/>
    <x v="1"/>
    <m/>
    <s v="2023-05-03, 21:21"/>
    <s v="2023-07-20, 00:40"/>
    <n v="2022"/>
    <s v="lpg"/>
    <s v="LPG"/>
    <s v="model"/>
    <b v="0"/>
    <s v="PETROLEUM PRODUCTS, LIQUEFIED PETROLEUM GASES (LPG)"/>
    <x v="2"/>
    <x v="0"/>
    <s v="Americas"/>
    <m/>
    <m/>
    <m/>
    <n v="0"/>
    <s v="CO2"/>
    <n v="39732.136229999996"/>
    <n v="5.68"/>
    <s v="GALLON (US LIQUID)"/>
    <n v="0.26417217999999998"/>
    <n v="6995.0944060000002"/>
    <s v="AR4"/>
    <s v="USEPA"/>
    <s v="USEPA (2022)"/>
    <n v="2022"/>
    <n v="2022"/>
    <n v="0"/>
    <n v="0"/>
    <x v="9"/>
    <s v="Unspecified Facility Type"/>
  </r>
  <r>
    <n v="291093"/>
    <s v="Top of Hierarchy &gt; North America &gt; Vantage_Costa_Rica"/>
    <x v="4"/>
    <x v="0"/>
    <d v="2022-01-01T00:00:00"/>
    <d v="2022-12-31T00:00:00"/>
    <x v="2"/>
    <d v="2022-01-01T00:00:00"/>
    <d v="2022-12-31T00:00:00"/>
    <s v="LPG"/>
    <n v="26479.3"/>
    <s v="litres"/>
    <x v="1"/>
    <m/>
    <s v="2023-05-03, 21:21"/>
    <s v="2023-07-20, 00:40"/>
    <n v="2022"/>
    <s v="lpg"/>
    <s v="LPG"/>
    <s v="model"/>
    <b v="0"/>
    <s v="PETROLEUM PRODUCTS, LIQUEFIED PETROLEUM GASES (LPG)"/>
    <x v="2"/>
    <x v="0"/>
    <s v="Americas"/>
    <m/>
    <m/>
    <m/>
    <n v="0"/>
    <s v="CO2E"/>
    <n v="39906.174169999998"/>
    <n v="5.7048800000000002"/>
    <s v="GALLON (US LIQUID)"/>
    <n v="0.26417217999999998"/>
    <n v="6995.0944060000002"/>
    <s v="AR4"/>
    <s v="USEPA"/>
    <s v="USEPA (2022)"/>
    <n v="2022"/>
    <n v="2022"/>
    <n v="39.90617417"/>
    <n v="0"/>
    <x v="9"/>
    <s v="Unspecified Facility Type"/>
  </r>
  <r>
    <n v="291093"/>
    <s v="Top of Hierarchy &gt; North America &gt; Vantage_Costa_Rica"/>
    <x v="4"/>
    <x v="0"/>
    <d v="2022-01-01T00:00:00"/>
    <d v="2022-12-31T00:00:00"/>
    <x v="2"/>
    <d v="2022-01-01T00:00:00"/>
    <d v="2022-12-31T00:00:00"/>
    <s v="LPG"/>
    <n v="26479.3"/>
    <s v="litres"/>
    <x v="1"/>
    <m/>
    <s v="2023-05-03, 21:21"/>
    <s v="2023-07-20, 00:40"/>
    <n v="2022"/>
    <s v="lpg"/>
    <s v="LPG"/>
    <s v="model"/>
    <b v="0"/>
    <s v="PETROLEUM PRODUCTS, LIQUEFIED PETROLEUM GASES (LPG)"/>
    <x v="2"/>
    <x v="0"/>
    <s v="Americas"/>
    <m/>
    <m/>
    <m/>
    <n v="0"/>
    <s v="N2O"/>
    <n v="125.072288"/>
    <n v="1.788E-2"/>
    <s v="GALLON (US LIQUID)"/>
    <n v="0.26417217999999998"/>
    <n v="6995.0944060000002"/>
    <s v="AR4"/>
    <s v="USEPA"/>
    <s v="USEPA (2022)"/>
    <n v="2022"/>
    <n v="2022"/>
    <n v="0"/>
    <n v="0"/>
    <x v="9"/>
    <s v="Unspecified Facility Type"/>
  </r>
  <r>
    <n v="291093"/>
    <s v="Top of Hierarchy &gt; North America &gt; Vantage_Costa_Rica"/>
    <x v="4"/>
    <x v="0"/>
    <d v="2022-01-01T00:00:00"/>
    <d v="2022-12-31T00:00:00"/>
    <x v="2"/>
    <d v="2022-01-01T00:00:00"/>
    <d v="2022-12-31T00:00:00"/>
    <s v="LPG"/>
    <n v="26479.3"/>
    <s v="litres"/>
    <x v="1"/>
    <m/>
    <s v="2023-05-03, 21:21"/>
    <s v="2023-07-20, 00:40"/>
    <n v="2022"/>
    <s v="lpg"/>
    <s v="LPG"/>
    <s v="model"/>
    <b v="0"/>
    <s v="PETROLEUM PRODUCTS, LIQUEFIED PETROLEUM GASES (LPG)"/>
    <x v="2"/>
    <x v="0"/>
    <s v="Americas"/>
    <m/>
    <m/>
    <m/>
    <n v="1"/>
    <s v="CH4"/>
    <n v="48.965660839999998"/>
    <n v="7.0000000000000001E-3"/>
    <s v="GALLON (US LIQUID)"/>
    <n v="0.26417217999999998"/>
    <n v="6995.0944060000002"/>
    <s v="AR4"/>
    <s v="USEPA"/>
    <s v="USEPA Emission Factors Hub (Last Modified: March 2020)"/>
    <n v="2022"/>
    <n v="2021"/>
    <n v="0"/>
    <n v="0"/>
    <x v="9"/>
    <s v="Unspecified Facility Type"/>
  </r>
  <r>
    <n v="291093"/>
    <s v="Top of Hierarchy &gt; North America &gt; Vantage_Costa_Rica"/>
    <x v="4"/>
    <x v="0"/>
    <d v="2022-01-01T00:00:00"/>
    <d v="2022-12-31T00:00:00"/>
    <x v="2"/>
    <d v="2022-01-01T00:00:00"/>
    <d v="2022-12-31T00:00:00"/>
    <s v="LPG"/>
    <n v="26479.3"/>
    <s v="litres"/>
    <x v="1"/>
    <m/>
    <s v="2023-05-03, 21:21"/>
    <s v="2023-07-20, 00:40"/>
    <n v="2022"/>
    <s v="lpg"/>
    <s v="LPG"/>
    <s v="model"/>
    <b v="0"/>
    <s v="PETROLEUM PRODUCTS, LIQUEFIED PETROLEUM GASES (LPG)"/>
    <x v="2"/>
    <x v="0"/>
    <s v="Americas"/>
    <m/>
    <m/>
    <m/>
    <n v="1"/>
    <s v="CO2"/>
    <n v="39732.136229999996"/>
    <n v="5.68"/>
    <s v="GALLON (US LIQUID)"/>
    <n v="0.26417217999999998"/>
    <n v="6995.0944060000002"/>
    <s v="AR4"/>
    <s v="USEPA"/>
    <s v="USEPA (2022)"/>
    <n v="2022"/>
    <n v="2022"/>
    <n v="0"/>
    <n v="0"/>
    <x v="9"/>
    <s v="Unspecified Facility Type"/>
  </r>
  <r>
    <n v="291093"/>
    <s v="Top of Hierarchy &gt; North America &gt; Vantage_Costa_Rica"/>
    <x v="4"/>
    <x v="0"/>
    <d v="2022-01-01T00:00:00"/>
    <d v="2022-12-31T00:00:00"/>
    <x v="2"/>
    <d v="2022-01-01T00:00:00"/>
    <d v="2022-12-31T00:00:00"/>
    <s v="LPG"/>
    <n v="26479.3"/>
    <s v="litres"/>
    <x v="1"/>
    <m/>
    <s v="2023-05-03, 21:21"/>
    <s v="2023-07-20, 00:40"/>
    <n v="2022"/>
    <s v="lpg"/>
    <s v="LPG"/>
    <s v="model"/>
    <b v="0"/>
    <s v="PETROLEUM PRODUCTS, LIQUEFIED PETROLEUM GASES (LPG)"/>
    <x v="2"/>
    <x v="0"/>
    <s v="Americas"/>
    <m/>
    <m/>
    <m/>
    <n v="1"/>
    <s v="CO2E"/>
    <n v="39906.174169999998"/>
    <n v="5.7048800000000002"/>
    <s v="GALLON (US LIQUID)"/>
    <n v="0.26417217999999998"/>
    <n v="6995.0944060000002"/>
    <s v="AR4"/>
    <s v="USEPA"/>
    <s v="USEPA (2022)"/>
    <n v="2022"/>
    <n v="2022"/>
    <n v="0"/>
    <n v="39.90617417"/>
    <x v="9"/>
    <s v="Unspecified Facility Type"/>
  </r>
  <r>
    <n v="291093"/>
    <s v="Top of Hierarchy &gt; North America &gt; Vantage_Costa_Rica"/>
    <x v="4"/>
    <x v="0"/>
    <d v="2022-01-01T00:00:00"/>
    <d v="2022-12-31T00:00:00"/>
    <x v="2"/>
    <d v="2022-01-01T00:00:00"/>
    <d v="2022-12-31T00:00:00"/>
    <s v="LPG"/>
    <n v="26479.3"/>
    <s v="litres"/>
    <x v="1"/>
    <m/>
    <s v="2023-05-03, 21:21"/>
    <s v="2023-07-20, 00:40"/>
    <n v="2022"/>
    <s v="lpg"/>
    <s v="LPG"/>
    <s v="model"/>
    <b v="0"/>
    <s v="PETROLEUM PRODUCTS, LIQUEFIED PETROLEUM GASES (LPG)"/>
    <x v="2"/>
    <x v="0"/>
    <s v="Americas"/>
    <m/>
    <m/>
    <m/>
    <n v="1"/>
    <s v="N2O"/>
    <n v="125.072288"/>
    <n v="1.788E-2"/>
    <s v="GALLON (US LIQUID)"/>
    <n v="0.26417217999999998"/>
    <n v="6995.0944060000002"/>
    <s v="AR4"/>
    <s v="USEPA"/>
    <s v="USEPA (2022)"/>
    <n v="2022"/>
    <n v="2022"/>
    <n v="0"/>
    <n v="0"/>
    <x v="9"/>
    <s v="Unspecified Facility Type"/>
  </r>
  <r>
    <n v="291093"/>
    <s v="Top of Hierarchy &gt; North America &gt; Vantage_Costa_Rica"/>
    <x v="4"/>
    <x v="0"/>
    <d v="2022-01-01T00:00:00"/>
    <d v="2022-12-31T00:00:00"/>
    <x v="2"/>
    <d v="2022-01-01T00:00:00"/>
    <d v="2022-12-31T00:00:00"/>
    <s v="LPG"/>
    <n v="26479.3"/>
    <s v="litres"/>
    <x v="1"/>
    <m/>
    <s v="2023-05-03, 21:21"/>
    <s v="2023-07-20, 00:40"/>
    <n v="2022"/>
    <s v="lpg__wtt"/>
    <s v="LPG WTT"/>
    <s v="wtt"/>
    <b v="0"/>
    <s v="WTT- FUELS; GASEOUS FUELS; LPG"/>
    <x v="1"/>
    <x v="1"/>
    <m/>
    <m/>
    <m/>
    <m/>
    <n v="0"/>
    <s v="CO2E"/>
    <n v="4867.689719"/>
    <n v="0.18382999999999999"/>
    <s v="LITRES"/>
    <n v="1"/>
    <n v="26479.3"/>
    <s v="AR4"/>
    <s v="Defra"/>
    <s v="Defra (2022)"/>
    <n v="2022"/>
    <n v="2020"/>
    <n v="4.8676897190000004"/>
    <n v="0"/>
    <x v="9"/>
    <s v="Unspecified Facility Type"/>
  </r>
  <r>
    <n v="291093"/>
    <s v="Top of Hierarchy &gt; North America &gt; Vantage_Costa_Rica"/>
    <x v="4"/>
    <x v="0"/>
    <d v="2022-01-01T00:00:00"/>
    <d v="2022-12-31T00:00:00"/>
    <x v="2"/>
    <d v="2022-01-01T00:00:00"/>
    <d v="2022-12-31T00:00:00"/>
    <s v="LPG"/>
    <n v="26479.3"/>
    <s v="litres"/>
    <x v="1"/>
    <m/>
    <s v="2023-05-03, 21:21"/>
    <s v="2023-07-20, 00:40"/>
    <n v="2022"/>
    <s v="lpg__wtt"/>
    <s v="LPG WTT"/>
    <s v="wtt"/>
    <b v="0"/>
    <s v="WTT- FUELS; GASEOUS FUELS; LPG"/>
    <x v="1"/>
    <x v="1"/>
    <m/>
    <m/>
    <m/>
    <m/>
    <n v="1"/>
    <s v="CO2E"/>
    <n v="4867.689719"/>
    <n v="0.18382999999999999"/>
    <s v="LITRES"/>
    <n v="1"/>
    <n v="26479.3"/>
    <s v="AR4"/>
    <s v="Defra"/>
    <s v="Defra (2022)"/>
    <n v="2022"/>
    <n v="2020"/>
    <n v="0"/>
    <n v="4.8676897190000004"/>
    <x v="9"/>
    <s v="Unspecified Facility Type"/>
  </r>
  <r>
    <n v="4945"/>
    <s v="Top of Hierarchy &gt; North America &gt; Vantage_Costa_Rica"/>
    <x v="4"/>
    <x v="1"/>
    <d v="2021-01-01T00:00:00"/>
    <d v="2021-12-31T00:00:00"/>
    <x v="0"/>
    <d v="2021-01-01T00:00:00"/>
    <d v="2021-12-31T00:00:00"/>
    <s v="Electricity (non-renewable)"/>
    <n v="6766.5971"/>
    <s v="Kilowatt hours"/>
    <x v="0"/>
    <m/>
    <s v="2023-02-27, 16:27"/>
    <s v="2023-07-20, 00:40"/>
    <n v="2021"/>
    <s v="electricity"/>
    <s v="Electricity"/>
    <s v="model"/>
    <b v="0"/>
    <s v="ELECTRICITY; COSTA RICA"/>
    <x v="0"/>
    <x v="0"/>
    <s v="Americas"/>
    <s v="Latin America and the Caribbean"/>
    <s v="CR"/>
    <m/>
    <n v="0"/>
    <s v="CH4"/>
    <n v="0"/>
    <s v="RESTRICTED"/>
    <s v="KWH"/>
    <n v="1"/>
    <n v="6766.5971"/>
    <s v="AR4"/>
    <s v="IEA"/>
    <s v="IEA (2021)"/>
    <n v="2021"/>
    <n v="2019"/>
    <n v="0"/>
    <n v="0"/>
    <x v="9"/>
    <s v="Unspecified Facility Type"/>
  </r>
  <r>
    <n v="4945"/>
    <s v="Top of Hierarchy &gt; North America &gt; Vantage_Costa_Rica"/>
    <x v="4"/>
    <x v="1"/>
    <d v="2021-01-01T00:00:00"/>
    <d v="2021-12-31T00:00:00"/>
    <x v="0"/>
    <d v="2021-01-01T00:00:00"/>
    <d v="2021-12-31T00:00:00"/>
    <s v="Electricity (non-renewable)"/>
    <n v="6766.5971"/>
    <s v="Kilowatt hours"/>
    <x v="0"/>
    <m/>
    <s v="2023-02-27, 16:27"/>
    <s v="2023-07-20, 00:40"/>
    <n v="2021"/>
    <s v="electricity"/>
    <s v="Electricity"/>
    <s v="model"/>
    <b v="0"/>
    <s v="ELECTRICITY; COSTA RICA"/>
    <x v="0"/>
    <x v="0"/>
    <s v="Americas"/>
    <s v="Latin America and the Caribbean"/>
    <s v="CR"/>
    <m/>
    <n v="0"/>
    <s v="CO2"/>
    <n v="39.922922890000002"/>
    <s v="RESTRICTED"/>
    <s v="KWH"/>
    <n v="1"/>
    <n v="6766.5971"/>
    <s v="AR4"/>
    <s v="IEA"/>
    <s v="IEA (2021)"/>
    <n v="2021"/>
    <n v="2019"/>
    <n v="0"/>
    <n v="0"/>
    <x v="9"/>
    <s v="Unspecified Facility Type"/>
  </r>
  <r>
    <n v="4945"/>
    <s v="Top of Hierarchy &gt; North America &gt; Vantage_Costa_Rica"/>
    <x v="4"/>
    <x v="1"/>
    <d v="2021-01-01T00:00:00"/>
    <d v="2021-12-31T00:00:00"/>
    <x v="0"/>
    <d v="2021-01-01T00:00:00"/>
    <d v="2021-12-31T00:00:00"/>
    <s v="Electricity (non-renewable)"/>
    <n v="6766.5971"/>
    <s v="Kilowatt hours"/>
    <x v="0"/>
    <m/>
    <s v="2023-02-27, 16:27"/>
    <s v="2023-07-20, 00:40"/>
    <n v="2021"/>
    <s v="electricity"/>
    <s v="Electricity"/>
    <s v="model"/>
    <b v="0"/>
    <s v="ELECTRICITY; COSTA RICA"/>
    <x v="0"/>
    <x v="0"/>
    <s v="Americas"/>
    <s v="Latin America and the Caribbean"/>
    <s v="CR"/>
    <m/>
    <n v="0"/>
    <s v="CO2E"/>
    <n v="39.922922890000002"/>
    <s v="RESTRICTED"/>
    <s v="KWH"/>
    <n v="1"/>
    <n v="6766.5971"/>
    <s v="AR4"/>
    <s v="IEA"/>
    <s v="IEA (2021)"/>
    <n v="2021"/>
    <n v="2019"/>
    <n v="3.9922922890000004E-2"/>
    <n v="0"/>
    <x v="9"/>
    <s v="Unspecified Facility Type"/>
  </r>
  <r>
    <n v="4945"/>
    <s v="Top of Hierarchy &gt; North America &gt; Vantage_Costa_Rica"/>
    <x v="4"/>
    <x v="1"/>
    <d v="2021-01-01T00:00:00"/>
    <d v="2021-12-31T00:00:00"/>
    <x v="0"/>
    <d v="2021-01-01T00:00:00"/>
    <d v="2021-12-31T00:00:00"/>
    <s v="Electricity (non-renewable)"/>
    <n v="6766.5971"/>
    <s v="Kilowatt hours"/>
    <x v="0"/>
    <m/>
    <s v="2023-02-27, 16:27"/>
    <s v="2023-07-20, 00:40"/>
    <n v="2021"/>
    <s v="electricity"/>
    <s v="Electricity"/>
    <s v="model"/>
    <b v="0"/>
    <s v="ELECTRICITY; COSTA RICA"/>
    <x v="0"/>
    <x v="0"/>
    <s v="Americas"/>
    <s v="Latin America and the Caribbean"/>
    <s v="CR"/>
    <m/>
    <n v="0"/>
    <s v="N2O"/>
    <n v="0"/>
    <s v="RESTRICTED"/>
    <s v="KWH"/>
    <n v="1"/>
    <n v="6766.5971"/>
    <s v="AR4"/>
    <s v="IEA"/>
    <s v="IEA (2021)"/>
    <n v="2021"/>
    <n v="2019"/>
    <n v="0"/>
    <n v="0"/>
    <x v="9"/>
    <s v="Unspecified Facility Type"/>
  </r>
  <r>
    <n v="4945"/>
    <s v="Top of Hierarchy &gt; North America &gt; Vantage_Costa_Rica"/>
    <x v="4"/>
    <x v="1"/>
    <d v="2021-01-01T00:00:00"/>
    <d v="2021-12-31T00:00:00"/>
    <x v="0"/>
    <d v="2021-01-01T00:00:00"/>
    <d v="2021-12-31T00:00:00"/>
    <s v="Electricity (non-renewable)"/>
    <n v="6766.5971"/>
    <s v="Kilowatt hours"/>
    <x v="0"/>
    <m/>
    <s v="2023-02-27, 16:27"/>
    <s v="2023-07-20, 00:40"/>
    <n v="2021"/>
    <s v="electricity"/>
    <s v="Electricity"/>
    <s v="model"/>
    <b v="0"/>
    <s v="ELECTRICITY; COSTA RICA"/>
    <x v="0"/>
    <x v="0"/>
    <s v="Americas"/>
    <s v="Latin America and the Caribbean"/>
    <s v="CR"/>
    <m/>
    <n v="1"/>
    <s v="CH4"/>
    <n v="0"/>
    <s v="RESTRICTED"/>
    <s v="KWH"/>
    <n v="1"/>
    <n v="6766.5971"/>
    <s v="AR4"/>
    <s v="IEA"/>
    <s v="IEA (2021)"/>
    <n v="2021"/>
    <n v="2019"/>
    <n v="0"/>
    <n v="0"/>
    <x v="9"/>
    <s v="Unspecified Facility Type"/>
  </r>
  <r>
    <n v="4945"/>
    <s v="Top of Hierarchy &gt; North America &gt; Vantage_Costa_Rica"/>
    <x v="4"/>
    <x v="1"/>
    <d v="2021-01-01T00:00:00"/>
    <d v="2021-12-31T00:00:00"/>
    <x v="0"/>
    <d v="2021-01-01T00:00:00"/>
    <d v="2021-12-31T00:00:00"/>
    <s v="Electricity (non-renewable)"/>
    <n v="6766.5971"/>
    <s v="Kilowatt hours"/>
    <x v="0"/>
    <m/>
    <s v="2023-02-27, 16:27"/>
    <s v="2023-07-20, 00:40"/>
    <n v="2021"/>
    <s v="electricity"/>
    <s v="Electricity"/>
    <s v="model"/>
    <b v="0"/>
    <s v="ELECTRICITY; COSTA RICA"/>
    <x v="0"/>
    <x v="0"/>
    <s v="Americas"/>
    <s v="Latin America and the Caribbean"/>
    <s v="CR"/>
    <m/>
    <n v="1"/>
    <s v="CO2"/>
    <n v="39.922922890000002"/>
    <s v="RESTRICTED"/>
    <s v="KWH"/>
    <n v="1"/>
    <n v="6766.5971"/>
    <s v="AR4"/>
    <s v="IEA"/>
    <s v="IEA (2021)"/>
    <n v="2021"/>
    <n v="2019"/>
    <n v="0"/>
    <n v="0"/>
    <x v="9"/>
    <s v="Unspecified Facility Type"/>
  </r>
  <r>
    <n v="4945"/>
    <s v="Top of Hierarchy &gt; North America &gt; Vantage_Costa_Rica"/>
    <x v="4"/>
    <x v="1"/>
    <d v="2021-01-01T00:00:00"/>
    <d v="2021-12-31T00:00:00"/>
    <x v="0"/>
    <d v="2021-01-01T00:00:00"/>
    <d v="2021-12-31T00:00:00"/>
    <s v="Electricity (non-renewable)"/>
    <n v="6766.5971"/>
    <s v="Kilowatt hours"/>
    <x v="0"/>
    <m/>
    <s v="2023-02-27, 16:27"/>
    <s v="2023-07-20, 00:40"/>
    <n v="2021"/>
    <s v="electricity"/>
    <s v="Electricity"/>
    <s v="model"/>
    <b v="0"/>
    <s v="ELECTRICITY; COSTA RICA"/>
    <x v="0"/>
    <x v="0"/>
    <s v="Americas"/>
    <s v="Latin America and the Caribbean"/>
    <s v="CR"/>
    <m/>
    <n v="1"/>
    <s v="CO2E"/>
    <n v="39.922922890000002"/>
    <s v="RESTRICTED"/>
    <s v="KWH"/>
    <n v="1"/>
    <n v="6766.5971"/>
    <s v="AR4"/>
    <s v="IEA"/>
    <s v="IEA (2021)"/>
    <n v="2021"/>
    <n v="2019"/>
    <n v="0"/>
    <n v="3.9922922890000004E-2"/>
    <x v="9"/>
    <s v="Unspecified Facility Type"/>
  </r>
  <r>
    <n v="4945"/>
    <s v="Top of Hierarchy &gt; North America &gt; Vantage_Costa_Rica"/>
    <x v="4"/>
    <x v="1"/>
    <d v="2021-01-01T00:00:00"/>
    <d v="2021-12-31T00:00:00"/>
    <x v="0"/>
    <d v="2021-01-01T00:00:00"/>
    <d v="2021-12-31T00:00:00"/>
    <s v="Electricity (non-renewable)"/>
    <n v="6766.5971"/>
    <s v="Kilowatt hours"/>
    <x v="0"/>
    <m/>
    <s v="2023-02-27, 16:27"/>
    <s v="2023-07-20, 00:40"/>
    <n v="2021"/>
    <s v="electricity"/>
    <s v="Electricity"/>
    <s v="model"/>
    <b v="0"/>
    <s v="ELECTRICITY; COSTA RICA"/>
    <x v="0"/>
    <x v="0"/>
    <s v="Americas"/>
    <s v="Latin America and the Caribbean"/>
    <s v="CR"/>
    <m/>
    <n v="1"/>
    <s v="N2O"/>
    <n v="0"/>
    <s v="RESTRICTED"/>
    <s v="KWH"/>
    <n v="1"/>
    <n v="6766.5971"/>
    <s v="AR4"/>
    <s v="IEA"/>
    <s v="IEA (2021)"/>
    <n v="2021"/>
    <n v="2019"/>
    <n v="0"/>
    <n v="0"/>
    <x v="9"/>
    <s v="Unspecified Facility Type"/>
  </r>
  <r>
    <n v="4945"/>
    <s v="Top of Hierarchy &gt; North America &gt; Vantage_Costa_Rica"/>
    <x v="4"/>
    <x v="1"/>
    <d v="2021-01-01T00:00:00"/>
    <d v="2021-12-31T00:00:00"/>
    <x v="0"/>
    <d v="2021-01-01T00:00:00"/>
    <d v="2021-12-31T00:00:00"/>
    <s v="Electricity (non-renewable)"/>
    <n v="6766.5971"/>
    <s v="Kilowatt hours"/>
    <x v="0"/>
    <m/>
    <s v="2023-02-27, 16:27"/>
    <s v="2023-07-20, 00:40"/>
    <n v="2021"/>
    <s v="electricity__t+d__wtt"/>
    <s v="Electricity T&amp;D WTT"/>
    <s v="t+d_wtt"/>
    <b v="0"/>
    <s v="ELECTRICITY; COSTA RICA; T&amp;D WTT Estimated"/>
    <x v="1"/>
    <x v="1"/>
    <s v="Americas"/>
    <s v="Latin America and the Caribbean"/>
    <s v="CR"/>
    <m/>
    <n v="0"/>
    <s v="CH4"/>
    <n v="0"/>
    <n v="0"/>
    <s v="KWH"/>
    <n v="1"/>
    <n v="6766.5971"/>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T&amp;D factor ELECTRICITY; TRANSMISSION AND DISTRIBUTION; COSTA RICA, IEA to estimate the T&amp;D WTT factor."/>
    <n v="2021"/>
    <n v="2019"/>
    <n v="0"/>
    <n v="0"/>
    <x v="9"/>
    <s v="Unspecified Facility Type"/>
  </r>
  <r>
    <n v="4945"/>
    <s v="Top of Hierarchy &gt; North America &gt; Vantage_Costa_Rica"/>
    <x v="4"/>
    <x v="1"/>
    <d v="2021-01-01T00:00:00"/>
    <d v="2021-12-31T00:00:00"/>
    <x v="0"/>
    <d v="2021-01-01T00:00:00"/>
    <d v="2021-12-31T00:00:00"/>
    <s v="Electricity (non-renewable)"/>
    <n v="6766.5971"/>
    <s v="Kilowatt hours"/>
    <x v="0"/>
    <m/>
    <s v="2023-02-27, 16:27"/>
    <s v="2023-07-20, 00:40"/>
    <n v="2021"/>
    <s v="electricity__t+d__wtt"/>
    <s v="Electricity T&amp;D WTT"/>
    <s v="t+d_wtt"/>
    <b v="0"/>
    <s v="ELECTRICITY; COSTA RICA; T&amp;D WTT Estimated"/>
    <x v="1"/>
    <x v="1"/>
    <s v="Americas"/>
    <s v="Latin America and the Caribbean"/>
    <s v="CR"/>
    <m/>
    <n v="0"/>
    <s v="CO2"/>
    <n v="1.0100898229999999"/>
    <n v="1.49276E-4"/>
    <s v="KWH"/>
    <n v="1"/>
    <n v="6766.5971"/>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T&amp;D factor ELECTRICITY; TRANSMISSION AND DISTRIBUTION; COSTA RICA, IEA to estimate the T&amp;D WTT factor."/>
    <n v="2021"/>
    <n v="2019"/>
    <n v="0"/>
    <n v="0"/>
    <x v="9"/>
    <s v="Unspecified Facility Type"/>
  </r>
  <r>
    <n v="4945"/>
    <s v="Top of Hierarchy &gt; North America &gt; Vantage_Costa_Rica"/>
    <x v="4"/>
    <x v="1"/>
    <d v="2021-01-01T00:00:00"/>
    <d v="2021-12-31T00:00:00"/>
    <x v="0"/>
    <d v="2021-01-01T00:00:00"/>
    <d v="2021-12-31T00:00:00"/>
    <s v="Electricity (non-renewable)"/>
    <n v="6766.5971"/>
    <s v="Kilowatt hours"/>
    <x v="0"/>
    <m/>
    <s v="2023-02-27, 16:27"/>
    <s v="2023-07-20, 00:40"/>
    <n v="2021"/>
    <s v="electricity__t+d__wtt"/>
    <s v="Electricity T&amp;D WTT"/>
    <s v="t+d_wtt"/>
    <b v="0"/>
    <s v="ELECTRICITY; COSTA RICA; T&amp;D WTT Estimated"/>
    <x v="1"/>
    <x v="1"/>
    <s v="Americas"/>
    <s v="Latin America and the Caribbean"/>
    <s v="CR"/>
    <m/>
    <n v="0"/>
    <s v="CO2E"/>
    <n v="0.71670423299999997"/>
    <n v="1.05918E-4"/>
    <s v="KWH"/>
    <n v="1"/>
    <n v="6766.5971"/>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T&amp;D factor ELECTRICITY; TRANSMISSION AND DISTRIBUTION; COSTA RICA, IEA to estimate the T&amp;D WTT factor."/>
    <n v="2021"/>
    <n v="2019"/>
    <n v="7.1670423300000002E-4"/>
    <n v="0"/>
    <x v="9"/>
    <s v="Unspecified Facility Type"/>
  </r>
  <r>
    <n v="4945"/>
    <s v="Top of Hierarchy &gt; North America &gt; Vantage_Costa_Rica"/>
    <x v="4"/>
    <x v="1"/>
    <d v="2021-01-01T00:00:00"/>
    <d v="2021-12-31T00:00:00"/>
    <x v="0"/>
    <d v="2021-01-01T00:00:00"/>
    <d v="2021-12-31T00:00:00"/>
    <s v="Electricity (non-renewable)"/>
    <n v="6766.5971"/>
    <s v="Kilowatt hours"/>
    <x v="0"/>
    <m/>
    <s v="2023-02-27, 16:27"/>
    <s v="2023-07-20, 00:40"/>
    <n v="2021"/>
    <s v="electricity__t+d__wtt"/>
    <s v="Electricity T&amp;D WTT"/>
    <s v="t+d_wtt"/>
    <b v="0"/>
    <s v="ELECTRICITY; COSTA RICA; T&amp;D WTT Estimated"/>
    <x v="1"/>
    <x v="1"/>
    <s v="Americas"/>
    <s v="Latin America and the Caribbean"/>
    <s v="CR"/>
    <m/>
    <n v="0"/>
    <s v="N2O"/>
    <n v="0"/>
    <n v="0"/>
    <s v="KWH"/>
    <n v="1"/>
    <n v="6766.5971"/>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T&amp;D factor ELECTRICITY; TRANSMISSION AND DISTRIBUTION; COSTA RICA, IEA to estimate the T&amp;D WTT factor."/>
    <n v="2021"/>
    <n v="2019"/>
    <n v="0"/>
    <n v="0"/>
    <x v="9"/>
    <s v="Unspecified Facility Type"/>
  </r>
  <r>
    <n v="4945"/>
    <s v="Top of Hierarchy &gt; North America &gt; Vantage_Costa_Rica"/>
    <x v="4"/>
    <x v="1"/>
    <d v="2021-01-01T00:00:00"/>
    <d v="2021-12-31T00:00:00"/>
    <x v="0"/>
    <d v="2021-01-01T00:00:00"/>
    <d v="2021-12-31T00:00:00"/>
    <s v="Electricity (non-renewable)"/>
    <n v="6766.5971"/>
    <s v="Kilowatt hours"/>
    <x v="0"/>
    <m/>
    <s v="2023-02-27, 16:27"/>
    <s v="2023-07-20, 00:40"/>
    <n v="2021"/>
    <s v="electricity__t+d__wtt"/>
    <s v="Electricity T&amp;D WTT"/>
    <s v="t+d_wtt"/>
    <b v="0"/>
    <s v="ELECTRICITY; COSTA RICA; T&amp;D WTT Estimated"/>
    <x v="1"/>
    <x v="1"/>
    <s v="Americas"/>
    <s v="Latin America and the Caribbean"/>
    <s v="CR"/>
    <m/>
    <n v="1"/>
    <s v="CH4"/>
    <n v="0"/>
    <n v="0"/>
    <s v="KWH"/>
    <n v="1"/>
    <n v="6766.5971"/>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T&amp;D factor ELECTRICITY; TRANSMISSION AND DISTRIBUTION; COSTA RICA, IEA to estimate the T&amp;D WTT factor."/>
    <n v="2021"/>
    <n v="2019"/>
    <n v="0"/>
    <n v="0"/>
    <x v="9"/>
    <s v="Unspecified Facility Type"/>
  </r>
  <r>
    <n v="4945"/>
    <s v="Top of Hierarchy &gt; North America &gt; Vantage_Costa_Rica"/>
    <x v="4"/>
    <x v="1"/>
    <d v="2021-01-01T00:00:00"/>
    <d v="2021-12-31T00:00:00"/>
    <x v="0"/>
    <d v="2021-01-01T00:00:00"/>
    <d v="2021-12-31T00:00:00"/>
    <s v="Electricity (non-renewable)"/>
    <n v="6766.5971"/>
    <s v="Kilowatt hours"/>
    <x v="0"/>
    <m/>
    <s v="2023-02-27, 16:27"/>
    <s v="2023-07-20, 00:40"/>
    <n v="2021"/>
    <s v="electricity__t+d__wtt"/>
    <s v="Electricity T&amp;D WTT"/>
    <s v="t+d_wtt"/>
    <b v="0"/>
    <s v="ELECTRICITY; COSTA RICA; T&amp;D WTT Estimated"/>
    <x v="1"/>
    <x v="1"/>
    <s v="Americas"/>
    <s v="Latin America and the Caribbean"/>
    <s v="CR"/>
    <m/>
    <n v="1"/>
    <s v="CO2"/>
    <n v="1.0100898229999999"/>
    <n v="1.49276E-4"/>
    <s v="KWH"/>
    <n v="1"/>
    <n v="6766.5971"/>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T&amp;D factor ELECTRICITY; TRANSMISSION AND DISTRIBUTION; COSTA RICA, IEA to estimate the T&amp;D WTT factor."/>
    <n v="2021"/>
    <n v="2019"/>
    <n v="0"/>
    <n v="0"/>
    <x v="9"/>
    <s v="Unspecified Facility Type"/>
  </r>
  <r>
    <n v="4945"/>
    <s v="Top of Hierarchy &gt; North America &gt; Vantage_Costa_Rica"/>
    <x v="4"/>
    <x v="1"/>
    <d v="2021-01-01T00:00:00"/>
    <d v="2021-12-31T00:00:00"/>
    <x v="0"/>
    <d v="2021-01-01T00:00:00"/>
    <d v="2021-12-31T00:00:00"/>
    <s v="Electricity (non-renewable)"/>
    <n v="6766.5971"/>
    <s v="Kilowatt hours"/>
    <x v="0"/>
    <m/>
    <s v="2023-02-27, 16:27"/>
    <s v="2023-07-20, 00:40"/>
    <n v="2021"/>
    <s v="electricity__t+d__wtt"/>
    <s v="Electricity T&amp;D WTT"/>
    <s v="t+d_wtt"/>
    <b v="0"/>
    <s v="ELECTRICITY; COSTA RICA; T&amp;D WTT Estimated"/>
    <x v="1"/>
    <x v="1"/>
    <s v="Americas"/>
    <s v="Latin America and the Caribbean"/>
    <s v="CR"/>
    <m/>
    <n v="1"/>
    <s v="CO2E"/>
    <n v="0.71670423299999997"/>
    <n v="1.05918E-4"/>
    <s v="KWH"/>
    <n v="1"/>
    <n v="6766.5971"/>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T&amp;D factor ELECTRICITY; TRANSMISSION AND DISTRIBUTION; COSTA RICA, IEA to estimate the T&amp;D WTT factor."/>
    <n v="2021"/>
    <n v="2019"/>
    <n v="0"/>
    <n v="7.1670423300000002E-4"/>
    <x v="9"/>
    <s v="Unspecified Facility Type"/>
  </r>
  <r>
    <n v="4945"/>
    <s v="Top of Hierarchy &gt; North America &gt; Vantage_Costa_Rica"/>
    <x v="4"/>
    <x v="1"/>
    <d v="2021-01-01T00:00:00"/>
    <d v="2021-12-31T00:00:00"/>
    <x v="0"/>
    <d v="2021-01-01T00:00:00"/>
    <d v="2021-12-31T00:00:00"/>
    <s v="Electricity (non-renewable)"/>
    <n v="6766.5971"/>
    <s v="Kilowatt hours"/>
    <x v="0"/>
    <m/>
    <s v="2023-02-27, 16:27"/>
    <s v="2023-07-20, 00:40"/>
    <n v="2021"/>
    <s v="electricity__t+d__wtt"/>
    <s v="Electricity T&amp;D WTT"/>
    <s v="t+d_wtt"/>
    <b v="0"/>
    <s v="ELECTRICITY; COSTA RICA; T&amp;D WTT Estimated"/>
    <x v="1"/>
    <x v="1"/>
    <s v="Americas"/>
    <s v="Latin America and the Caribbean"/>
    <s v="CR"/>
    <m/>
    <n v="1"/>
    <s v="N2O"/>
    <n v="0"/>
    <n v="0"/>
    <s v="KWH"/>
    <n v="1"/>
    <n v="6766.5971"/>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T&amp;D factor ELECTRICITY; TRANSMISSION AND DISTRIBUTION; COSTA RICA, IEA to estimate the T&amp;D WTT factor."/>
    <n v="2021"/>
    <n v="2019"/>
    <n v="0"/>
    <n v="0"/>
    <x v="9"/>
    <s v="Unspecified Facility Type"/>
  </r>
  <r>
    <n v="4945"/>
    <s v="Top of Hierarchy &gt; North America &gt; Vantage_Costa_Rica"/>
    <x v="4"/>
    <x v="1"/>
    <d v="2021-01-01T00:00:00"/>
    <d v="2021-12-31T00:00:00"/>
    <x v="0"/>
    <d v="2021-01-01T00:00:00"/>
    <d v="2021-12-31T00:00:00"/>
    <s v="Electricity (non-renewable)"/>
    <n v="6766.5971"/>
    <s v="Kilowatt hours"/>
    <x v="0"/>
    <m/>
    <s v="2023-02-27, 16:27"/>
    <s v="2023-07-20, 00:40"/>
    <n v="2021"/>
    <s v="electricity__wtt"/>
    <s v="Electricity WTT"/>
    <s v="wtt"/>
    <b v="0"/>
    <s v="ELECTRICITY; COSTA RICA; WTT Estimated"/>
    <x v="1"/>
    <x v="1"/>
    <s v="Americas"/>
    <s v="Latin America and the Caribbean"/>
    <s v="CR"/>
    <m/>
    <n v="0"/>
    <s v="CH4"/>
    <n v="0"/>
    <n v="0"/>
    <s v="KWH"/>
    <n v="1"/>
    <n v="6766.5971"/>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base factor ELECTRICITY; COSTA RICA, IEAto estimate the WTT factor."/>
    <n v="2021"/>
    <n v="2019"/>
    <n v="0"/>
    <n v="0"/>
    <x v="9"/>
    <s v="Unspecified Facility Type"/>
  </r>
  <r>
    <n v="4945"/>
    <s v="Top of Hierarchy &gt; North America &gt; Vantage_Costa_Rica"/>
    <x v="4"/>
    <x v="1"/>
    <d v="2021-01-01T00:00:00"/>
    <d v="2021-12-31T00:00:00"/>
    <x v="0"/>
    <d v="2021-01-01T00:00:00"/>
    <d v="2021-12-31T00:00:00"/>
    <s v="Electricity (non-renewable)"/>
    <n v="6766.5971"/>
    <s v="Kilowatt hours"/>
    <x v="0"/>
    <m/>
    <s v="2023-02-27, 16:27"/>
    <s v="2023-07-20, 00:40"/>
    <n v="2021"/>
    <s v="electricity__wtt"/>
    <s v="Electricity WTT"/>
    <s v="wtt"/>
    <b v="0"/>
    <s v="ELECTRICITY; COSTA RICA; WTT Estimated"/>
    <x v="1"/>
    <x v="1"/>
    <s v="Americas"/>
    <s v="Latin America and the Caribbean"/>
    <s v="CR"/>
    <m/>
    <n v="0"/>
    <s v="CO2"/>
    <n v="8.4571099529999998"/>
    <n v="1.249832E-3"/>
    <s v="KWH"/>
    <n v="1"/>
    <n v="6766.5971"/>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base factor ELECTRICITY; COSTA RICA, IEAto estimate the WTT factor."/>
    <n v="2021"/>
    <n v="2019"/>
    <n v="0"/>
    <n v="0"/>
    <x v="9"/>
    <s v="Unspecified Facility Type"/>
  </r>
  <r>
    <n v="4945"/>
    <s v="Top of Hierarchy &gt; North America &gt; Vantage_Costa_Rica"/>
    <x v="4"/>
    <x v="1"/>
    <d v="2021-01-01T00:00:00"/>
    <d v="2021-12-31T00:00:00"/>
    <x v="0"/>
    <d v="2021-01-01T00:00:00"/>
    <d v="2021-12-31T00:00:00"/>
    <s v="Electricity (non-renewable)"/>
    <n v="6766.5971"/>
    <s v="Kilowatt hours"/>
    <x v="0"/>
    <m/>
    <s v="2023-02-27, 16:27"/>
    <s v="2023-07-20, 00:40"/>
    <n v="2021"/>
    <s v="electricity__wtt"/>
    <s v="Electricity WTT"/>
    <s v="wtt"/>
    <b v="0"/>
    <s v="ELECTRICITY; COSTA RICA; WTT Estimated"/>
    <x v="1"/>
    <x v="1"/>
    <s v="Americas"/>
    <s v="Latin America and the Caribbean"/>
    <s v="CR"/>
    <m/>
    <n v="0"/>
    <s v="CO2E"/>
    <n v="8.4571099529999998"/>
    <n v="1.249832E-3"/>
    <s v="KWH"/>
    <n v="1"/>
    <n v="6766.5971"/>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base factor ELECTRICITY; COSTA RICA, IEAto estimate the WTT factor."/>
    <n v="2021"/>
    <n v="2019"/>
    <n v="8.4571099529999992E-3"/>
    <n v="0"/>
    <x v="9"/>
    <s v="Unspecified Facility Type"/>
  </r>
  <r>
    <n v="4945"/>
    <s v="Top of Hierarchy &gt; North America &gt; Vantage_Costa_Rica"/>
    <x v="4"/>
    <x v="1"/>
    <d v="2021-01-01T00:00:00"/>
    <d v="2021-12-31T00:00:00"/>
    <x v="0"/>
    <d v="2021-01-01T00:00:00"/>
    <d v="2021-12-31T00:00:00"/>
    <s v="Electricity (non-renewable)"/>
    <n v="6766.5971"/>
    <s v="Kilowatt hours"/>
    <x v="0"/>
    <m/>
    <s v="2023-02-27, 16:27"/>
    <s v="2023-07-20, 00:40"/>
    <n v="2021"/>
    <s v="electricity__wtt"/>
    <s v="Electricity WTT"/>
    <s v="wtt"/>
    <b v="0"/>
    <s v="ELECTRICITY; COSTA RICA; WTT Estimated"/>
    <x v="1"/>
    <x v="1"/>
    <s v="Americas"/>
    <s v="Latin America and the Caribbean"/>
    <s v="CR"/>
    <m/>
    <n v="0"/>
    <s v="N2O"/>
    <n v="0"/>
    <n v="0"/>
    <s v="KWH"/>
    <n v="1"/>
    <n v="6766.5971"/>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base factor ELECTRICITY; COSTA RICA, IEAto estimate the WTT factor."/>
    <n v="2021"/>
    <n v="2019"/>
    <n v="0"/>
    <n v="0"/>
    <x v="9"/>
    <s v="Unspecified Facility Type"/>
  </r>
  <r>
    <n v="4945"/>
    <s v="Top of Hierarchy &gt; North America &gt; Vantage_Costa_Rica"/>
    <x v="4"/>
    <x v="1"/>
    <d v="2021-01-01T00:00:00"/>
    <d v="2021-12-31T00:00:00"/>
    <x v="0"/>
    <d v="2021-01-01T00:00:00"/>
    <d v="2021-12-31T00:00:00"/>
    <s v="Electricity (non-renewable)"/>
    <n v="6766.5971"/>
    <s v="Kilowatt hours"/>
    <x v="0"/>
    <m/>
    <s v="2023-02-27, 16:27"/>
    <s v="2023-07-20, 00:40"/>
    <n v="2021"/>
    <s v="electricity__wtt"/>
    <s v="Electricity WTT"/>
    <s v="wtt"/>
    <b v="0"/>
    <s v="ELECTRICITY; COSTA RICA; WTT Estimated"/>
    <x v="1"/>
    <x v="1"/>
    <s v="Americas"/>
    <s v="Latin America and the Caribbean"/>
    <s v="CR"/>
    <m/>
    <n v="1"/>
    <s v="CH4"/>
    <n v="0"/>
    <n v="0"/>
    <s v="KWH"/>
    <n v="1"/>
    <n v="6766.5971"/>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base factor ELECTRICITY; COSTA RICA, IEAto estimate the WTT factor."/>
    <n v="2021"/>
    <n v="2019"/>
    <n v="0"/>
    <n v="0"/>
    <x v="9"/>
    <s v="Unspecified Facility Type"/>
  </r>
  <r>
    <n v="4945"/>
    <s v="Top of Hierarchy &gt; North America &gt; Vantage_Costa_Rica"/>
    <x v="4"/>
    <x v="1"/>
    <d v="2021-01-01T00:00:00"/>
    <d v="2021-12-31T00:00:00"/>
    <x v="0"/>
    <d v="2021-01-01T00:00:00"/>
    <d v="2021-12-31T00:00:00"/>
    <s v="Electricity (non-renewable)"/>
    <n v="6766.5971"/>
    <s v="Kilowatt hours"/>
    <x v="0"/>
    <m/>
    <s v="2023-02-27, 16:27"/>
    <s v="2023-07-20, 00:40"/>
    <n v="2021"/>
    <s v="electricity__wtt"/>
    <s v="Electricity WTT"/>
    <s v="wtt"/>
    <b v="0"/>
    <s v="ELECTRICITY; COSTA RICA; WTT Estimated"/>
    <x v="1"/>
    <x v="1"/>
    <s v="Americas"/>
    <s v="Latin America and the Caribbean"/>
    <s v="CR"/>
    <m/>
    <n v="1"/>
    <s v="CO2"/>
    <n v="8.4571099529999998"/>
    <n v="1.249832E-3"/>
    <s v="KWH"/>
    <n v="1"/>
    <n v="6766.5971"/>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base factor ELECTRICITY; COSTA RICA, IEAto estimate the WTT factor."/>
    <n v="2021"/>
    <n v="2019"/>
    <n v="0"/>
    <n v="0"/>
    <x v="9"/>
    <s v="Unspecified Facility Type"/>
  </r>
  <r>
    <n v="4945"/>
    <s v="Top of Hierarchy &gt; North America &gt; Vantage_Costa_Rica"/>
    <x v="4"/>
    <x v="1"/>
    <d v="2021-01-01T00:00:00"/>
    <d v="2021-12-31T00:00:00"/>
    <x v="0"/>
    <d v="2021-01-01T00:00:00"/>
    <d v="2021-12-31T00:00:00"/>
    <s v="Electricity (non-renewable)"/>
    <n v="6766.5971"/>
    <s v="Kilowatt hours"/>
    <x v="0"/>
    <m/>
    <s v="2023-02-27, 16:27"/>
    <s v="2023-07-20, 00:40"/>
    <n v="2021"/>
    <s v="electricity__wtt"/>
    <s v="Electricity WTT"/>
    <s v="wtt"/>
    <b v="0"/>
    <s v="ELECTRICITY; COSTA RICA; WTT Estimated"/>
    <x v="1"/>
    <x v="1"/>
    <s v="Americas"/>
    <s v="Latin America and the Caribbean"/>
    <s v="CR"/>
    <m/>
    <n v="1"/>
    <s v="CO2E"/>
    <n v="8.4571099529999998"/>
    <n v="1.249832E-3"/>
    <s v="KWH"/>
    <n v="1"/>
    <n v="6766.5971"/>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base factor ELECTRICITY; COSTA RICA, IEAto estimate the WTT factor."/>
    <n v="2021"/>
    <n v="2019"/>
    <n v="0"/>
    <n v="8.4571099529999992E-3"/>
    <x v="9"/>
    <s v="Unspecified Facility Type"/>
  </r>
  <r>
    <n v="4945"/>
    <s v="Top of Hierarchy &gt; North America &gt; Vantage_Costa_Rica"/>
    <x v="4"/>
    <x v="1"/>
    <d v="2021-01-01T00:00:00"/>
    <d v="2021-12-31T00:00:00"/>
    <x v="0"/>
    <d v="2021-01-01T00:00:00"/>
    <d v="2021-12-31T00:00:00"/>
    <s v="Electricity (non-renewable)"/>
    <n v="6766.5971"/>
    <s v="Kilowatt hours"/>
    <x v="0"/>
    <m/>
    <s v="2023-02-27, 16:27"/>
    <s v="2023-07-20, 00:40"/>
    <n v="2021"/>
    <s v="electricity__wtt"/>
    <s v="Electricity WTT"/>
    <s v="wtt"/>
    <b v="0"/>
    <s v="ELECTRICITY; COSTA RICA; WTT Estimated"/>
    <x v="1"/>
    <x v="1"/>
    <s v="Americas"/>
    <s v="Latin America and the Caribbean"/>
    <s v="CR"/>
    <m/>
    <n v="1"/>
    <s v="N2O"/>
    <n v="0"/>
    <n v="0"/>
    <s v="KWH"/>
    <n v="1"/>
    <n v="6766.5971"/>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base factor ELECTRICITY; COSTA RICA, IEAto estimate the WTT factor."/>
    <n v="2021"/>
    <n v="2019"/>
    <n v="0"/>
    <n v="0"/>
    <x v="9"/>
    <s v="Unspecified Facility Type"/>
  </r>
  <r>
    <n v="4945"/>
    <s v="Top of Hierarchy &gt; North America &gt; Vantage_Costa_Rica"/>
    <x v="4"/>
    <x v="1"/>
    <d v="2021-01-01T00:00:00"/>
    <d v="2021-12-31T00:00:00"/>
    <x v="0"/>
    <d v="2021-01-01T00:00:00"/>
    <d v="2021-12-31T00:00:00"/>
    <s v="Electricity (non-renewable)"/>
    <n v="6766.5971"/>
    <s v="Kilowatt hours"/>
    <x v="0"/>
    <m/>
    <s v="2023-02-27, 16:27"/>
    <s v="2023-07-20, 00:40"/>
    <n v="2021"/>
    <s v="electricity__t+d"/>
    <s v="Electricity T&amp;D"/>
    <s v="t+d"/>
    <b v="0"/>
    <s v="ELECTRICITY; TRANSMISSION AND DISTRIBUTION; COSTA RICA"/>
    <x v="1"/>
    <x v="1"/>
    <s v="Americas"/>
    <s v="Latin America and the Caribbean"/>
    <s v="CR"/>
    <m/>
    <n v="0"/>
    <s v="CO2E"/>
    <n v="3.3832985500000001"/>
    <s v="RESTRICTED"/>
    <s v="KWH"/>
    <n v="1"/>
    <n v="6766.5971"/>
    <s v="AR4"/>
    <s v="IEA"/>
    <s v="IEA (2021)"/>
    <n v="2021"/>
    <n v="2019"/>
    <n v="3.3832985500000003E-3"/>
    <n v="0"/>
    <x v="9"/>
    <s v="Unspecified Facility Type"/>
  </r>
  <r>
    <n v="4945"/>
    <s v="Top of Hierarchy &gt; North America &gt; Vantage_Costa_Rica"/>
    <x v="4"/>
    <x v="1"/>
    <d v="2021-01-01T00:00:00"/>
    <d v="2021-12-31T00:00:00"/>
    <x v="0"/>
    <d v="2021-01-01T00:00:00"/>
    <d v="2021-12-31T00:00:00"/>
    <s v="Electricity (non-renewable)"/>
    <n v="6766.5971"/>
    <s v="Kilowatt hours"/>
    <x v="0"/>
    <m/>
    <s v="2023-02-27, 16:27"/>
    <s v="2023-07-20, 00:40"/>
    <n v="2021"/>
    <s v="electricity__t+d"/>
    <s v="Electricity T&amp;D"/>
    <s v="t+d"/>
    <b v="0"/>
    <s v="ELECTRICITY; TRANSMISSION AND DISTRIBUTION; COSTA RICA"/>
    <x v="1"/>
    <x v="1"/>
    <s v="Americas"/>
    <s v="Latin America and the Caribbean"/>
    <s v="CR"/>
    <m/>
    <n v="1"/>
    <s v="CO2E"/>
    <n v="3.3832985500000001"/>
    <s v="RESTRICTED"/>
    <s v="KWH"/>
    <n v="1"/>
    <n v="6766.5971"/>
    <s v="AR4"/>
    <s v="IEA"/>
    <s v="IEA (2021)"/>
    <n v="2021"/>
    <n v="2019"/>
    <n v="0"/>
    <n v="3.3832985500000003E-3"/>
    <x v="9"/>
    <s v="Unspecified Facility Type"/>
  </r>
  <r>
    <n v="4972"/>
    <s v="Top of Hierarchy &gt; North America &gt; Vantage_Costa_Rica"/>
    <x v="4"/>
    <x v="1"/>
    <d v="2021-01-01T00:00:00"/>
    <d v="2021-12-31T00:00:00"/>
    <x v="3"/>
    <d v="2021-01-01T00:00:00"/>
    <d v="2021-12-31T00:00:00"/>
    <s v="Natural gas"/>
    <n v="0"/>
    <s v="Hundred Thousand BTUs"/>
    <x v="0"/>
    <m/>
    <s v="2023-02-27, 16:27"/>
    <s v="2023-07-20, 00:40"/>
    <n v="2021"/>
    <s v="natural_gas"/>
    <s v="Natural Gas"/>
    <s v="model"/>
    <b v="0"/>
    <s v="NATURAL GAS, NATURAL GAS"/>
    <x v="2"/>
    <x v="0"/>
    <s v="Americas"/>
    <m/>
    <m/>
    <m/>
    <n v="0"/>
    <s v="CH4"/>
    <n v="0"/>
    <n v="2.5000000000000001E-2"/>
    <s v="MMBTU"/>
    <n v="0.1"/>
    <n v="0"/>
    <s v="AR4"/>
    <s v="USEPA"/>
    <s v="USEPA (2021)"/>
    <n v="2021"/>
    <n v="2021"/>
    <n v="0"/>
    <n v="0"/>
    <x v="9"/>
    <s v="Unspecified Facility Type"/>
  </r>
  <r>
    <n v="4972"/>
    <s v="Top of Hierarchy &gt; North America &gt; Vantage_Costa_Rica"/>
    <x v="4"/>
    <x v="1"/>
    <d v="2021-01-01T00:00:00"/>
    <d v="2021-12-31T00:00:00"/>
    <x v="3"/>
    <d v="2021-01-01T00:00:00"/>
    <d v="2021-12-31T00:00:00"/>
    <s v="Natural gas"/>
    <n v="0"/>
    <s v="Hundred Thousand BTUs"/>
    <x v="0"/>
    <m/>
    <s v="2023-02-27, 16:27"/>
    <s v="2023-07-20, 00:40"/>
    <n v="2021"/>
    <s v="natural_gas"/>
    <s v="Natural Gas"/>
    <s v="model"/>
    <b v="0"/>
    <s v="NATURAL GAS, NATURAL GAS"/>
    <x v="2"/>
    <x v="0"/>
    <s v="Americas"/>
    <m/>
    <m/>
    <m/>
    <n v="0"/>
    <s v="CO2"/>
    <n v="0"/>
    <n v="53.06"/>
    <s v="MMBTU"/>
    <n v="0.1"/>
    <n v="0"/>
    <s v="AR4"/>
    <s v="USEPA"/>
    <s v="USEPA Emission Factors Hub (Last Modified: March 2020)"/>
    <n v="2021"/>
    <n v="2020"/>
    <n v="0"/>
    <n v="0"/>
    <x v="9"/>
    <s v="Unspecified Facility Type"/>
  </r>
  <r>
    <n v="4972"/>
    <s v="Top of Hierarchy &gt; North America &gt; Vantage_Costa_Rica"/>
    <x v="4"/>
    <x v="1"/>
    <d v="2021-01-01T00:00:00"/>
    <d v="2021-12-31T00:00:00"/>
    <x v="3"/>
    <d v="2021-01-01T00:00:00"/>
    <d v="2021-12-31T00:00:00"/>
    <s v="Natural gas"/>
    <n v="0"/>
    <s v="Hundred Thousand BTUs"/>
    <x v="0"/>
    <m/>
    <s v="2023-02-27, 16:27"/>
    <s v="2023-07-20, 00:40"/>
    <n v="2021"/>
    <s v="natural_gas"/>
    <s v="Natural Gas"/>
    <s v="model"/>
    <b v="0"/>
    <s v="NATURAL GAS, NATURAL GAS"/>
    <x v="2"/>
    <x v="0"/>
    <s v="Americas"/>
    <m/>
    <m/>
    <m/>
    <n v="0"/>
    <s v="CO2E"/>
    <n v="0"/>
    <n v="53.114800000000002"/>
    <s v="MMBTU"/>
    <n v="0.1"/>
    <n v="0"/>
    <s v="AR4"/>
    <s v="USEPA"/>
    <s v="USEPA (2021)"/>
    <n v="2021"/>
    <n v="2021"/>
    <n v="0"/>
    <n v="0"/>
    <x v="9"/>
    <s v="Unspecified Facility Type"/>
  </r>
  <r>
    <n v="4972"/>
    <s v="Top of Hierarchy &gt; North America &gt; Vantage_Costa_Rica"/>
    <x v="4"/>
    <x v="1"/>
    <d v="2021-01-01T00:00:00"/>
    <d v="2021-12-31T00:00:00"/>
    <x v="3"/>
    <d v="2021-01-01T00:00:00"/>
    <d v="2021-12-31T00:00:00"/>
    <s v="Natural gas"/>
    <n v="0"/>
    <s v="Hundred Thousand BTUs"/>
    <x v="0"/>
    <m/>
    <s v="2023-02-27, 16:27"/>
    <s v="2023-07-20, 00:40"/>
    <n v="2021"/>
    <s v="natural_gas"/>
    <s v="Natural Gas"/>
    <s v="model"/>
    <b v="0"/>
    <s v="NATURAL GAS, NATURAL GAS"/>
    <x v="2"/>
    <x v="0"/>
    <s v="Americas"/>
    <m/>
    <m/>
    <m/>
    <n v="0"/>
    <s v="N2O"/>
    <n v="0"/>
    <n v="2.98E-2"/>
    <s v="MMBTU"/>
    <n v="0.1"/>
    <n v="0"/>
    <s v="AR4"/>
    <s v="USEPA"/>
    <s v="USEPA (2021)"/>
    <n v="2021"/>
    <n v="2021"/>
    <n v="0"/>
    <n v="0"/>
    <x v="9"/>
    <s v="Unspecified Facility Type"/>
  </r>
  <r>
    <n v="4972"/>
    <s v="Top of Hierarchy &gt; North America &gt; Vantage_Costa_Rica"/>
    <x v="4"/>
    <x v="1"/>
    <d v="2021-01-01T00:00:00"/>
    <d v="2021-12-31T00:00:00"/>
    <x v="3"/>
    <d v="2021-01-01T00:00:00"/>
    <d v="2021-12-31T00:00:00"/>
    <s v="Natural gas"/>
    <n v="0"/>
    <s v="Hundred Thousand BTUs"/>
    <x v="0"/>
    <m/>
    <s v="2023-02-27, 16:27"/>
    <s v="2023-07-20, 00:40"/>
    <n v="2021"/>
    <s v="natural_gas"/>
    <s v="Natural Gas"/>
    <s v="model"/>
    <b v="0"/>
    <s v="NATURAL GAS, NATURAL GAS"/>
    <x v="2"/>
    <x v="0"/>
    <s v="Americas"/>
    <m/>
    <m/>
    <m/>
    <n v="1"/>
    <s v="CH4"/>
    <n v="0"/>
    <n v="2.5000000000000001E-2"/>
    <s v="MMBTU"/>
    <n v="0.1"/>
    <n v="0"/>
    <s v="AR4"/>
    <s v="USEPA"/>
    <s v="USEPA (2021)"/>
    <n v="2021"/>
    <n v="2021"/>
    <n v="0"/>
    <n v="0"/>
    <x v="9"/>
    <s v="Unspecified Facility Type"/>
  </r>
  <r>
    <n v="4972"/>
    <s v="Top of Hierarchy &gt; North America &gt; Vantage_Costa_Rica"/>
    <x v="4"/>
    <x v="1"/>
    <d v="2021-01-01T00:00:00"/>
    <d v="2021-12-31T00:00:00"/>
    <x v="3"/>
    <d v="2021-01-01T00:00:00"/>
    <d v="2021-12-31T00:00:00"/>
    <s v="Natural gas"/>
    <n v="0"/>
    <s v="Hundred Thousand BTUs"/>
    <x v="0"/>
    <m/>
    <s v="2023-02-27, 16:27"/>
    <s v="2023-07-20, 00:40"/>
    <n v="2021"/>
    <s v="natural_gas"/>
    <s v="Natural Gas"/>
    <s v="model"/>
    <b v="0"/>
    <s v="NATURAL GAS, NATURAL GAS"/>
    <x v="2"/>
    <x v="0"/>
    <s v="Americas"/>
    <m/>
    <m/>
    <m/>
    <n v="1"/>
    <s v="CO2"/>
    <n v="0"/>
    <n v="53.06"/>
    <s v="MMBTU"/>
    <n v="0.1"/>
    <n v="0"/>
    <s v="AR4"/>
    <s v="USEPA"/>
    <s v="USEPA Emission Factors Hub (Last Modified: March 2020)"/>
    <n v="2021"/>
    <n v="2020"/>
    <n v="0"/>
    <n v="0"/>
    <x v="9"/>
    <s v="Unspecified Facility Type"/>
  </r>
  <r>
    <n v="4972"/>
    <s v="Top of Hierarchy &gt; North America &gt; Vantage_Costa_Rica"/>
    <x v="4"/>
    <x v="1"/>
    <d v="2021-01-01T00:00:00"/>
    <d v="2021-12-31T00:00:00"/>
    <x v="3"/>
    <d v="2021-01-01T00:00:00"/>
    <d v="2021-12-31T00:00:00"/>
    <s v="Natural gas"/>
    <n v="0"/>
    <s v="Hundred Thousand BTUs"/>
    <x v="0"/>
    <m/>
    <s v="2023-02-27, 16:27"/>
    <s v="2023-07-20, 00:40"/>
    <n v="2021"/>
    <s v="natural_gas"/>
    <s v="Natural Gas"/>
    <s v="model"/>
    <b v="0"/>
    <s v="NATURAL GAS, NATURAL GAS"/>
    <x v="2"/>
    <x v="0"/>
    <s v="Americas"/>
    <m/>
    <m/>
    <m/>
    <n v="1"/>
    <s v="CO2E"/>
    <n v="0"/>
    <n v="53.114800000000002"/>
    <s v="MMBTU"/>
    <n v="0.1"/>
    <n v="0"/>
    <s v="AR4"/>
    <s v="USEPA"/>
    <s v="USEPA (2021)"/>
    <n v="2021"/>
    <n v="2021"/>
    <n v="0"/>
    <n v="0"/>
    <x v="9"/>
    <s v="Unspecified Facility Type"/>
  </r>
  <r>
    <n v="4972"/>
    <s v="Top of Hierarchy &gt; North America &gt; Vantage_Costa_Rica"/>
    <x v="4"/>
    <x v="1"/>
    <d v="2021-01-01T00:00:00"/>
    <d v="2021-12-31T00:00:00"/>
    <x v="3"/>
    <d v="2021-01-01T00:00:00"/>
    <d v="2021-12-31T00:00:00"/>
    <s v="Natural gas"/>
    <n v="0"/>
    <s v="Hundred Thousand BTUs"/>
    <x v="0"/>
    <m/>
    <s v="2023-02-27, 16:27"/>
    <s v="2023-07-20, 00:40"/>
    <n v="2021"/>
    <s v="natural_gas"/>
    <s v="Natural Gas"/>
    <s v="model"/>
    <b v="0"/>
    <s v="NATURAL GAS, NATURAL GAS"/>
    <x v="2"/>
    <x v="0"/>
    <s v="Americas"/>
    <m/>
    <m/>
    <m/>
    <n v="1"/>
    <s v="N2O"/>
    <n v="0"/>
    <n v="2.98E-2"/>
    <s v="MMBTU"/>
    <n v="0.1"/>
    <n v="0"/>
    <s v="AR4"/>
    <s v="USEPA"/>
    <s v="USEPA (2021)"/>
    <n v="2021"/>
    <n v="2021"/>
    <n v="0"/>
    <n v="0"/>
    <x v="9"/>
    <s v="Unspecified Facility Type"/>
  </r>
  <r>
    <n v="4972"/>
    <s v="Top of Hierarchy &gt; North America &gt; Vantage_Costa_Rica"/>
    <x v="4"/>
    <x v="1"/>
    <d v="2021-01-01T00:00:00"/>
    <d v="2021-12-31T00:00:00"/>
    <x v="3"/>
    <d v="2021-01-01T00:00:00"/>
    <d v="2021-12-31T00:00:00"/>
    <s v="Natural gas"/>
    <n v="0"/>
    <s v="Hundred Thousand BTUs"/>
    <x v="0"/>
    <m/>
    <s v="2023-02-27, 16:27"/>
    <s v="2023-07-20, 00:40"/>
    <n v="2021"/>
    <s v="natural_gas__wtt"/>
    <s v="Natural Gas WTT"/>
    <s v="wtt"/>
    <b v="0"/>
    <s v="WTT- FUELS; WTT- GASEOUS FUELS; NATURAL GAS"/>
    <x v="1"/>
    <x v="1"/>
    <m/>
    <m/>
    <m/>
    <m/>
    <n v="0"/>
    <s v="CO2E"/>
    <n v="0"/>
    <n v="3.1350000000000003E-2"/>
    <s v="KWH (GROSS CV)"/>
    <n v="29.3001"/>
    <n v="0"/>
    <s v="AR4"/>
    <s v="Defra"/>
    <s v="Defra (2021)"/>
    <n v="2021"/>
    <n v="2019"/>
    <n v="0"/>
    <n v="0"/>
    <x v="9"/>
    <s v="Unspecified Facility Type"/>
  </r>
  <r>
    <n v="4972"/>
    <s v="Top of Hierarchy &gt; North America &gt; Vantage_Costa_Rica"/>
    <x v="4"/>
    <x v="1"/>
    <d v="2021-01-01T00:00:00"/>
    <d v="2021-12-31T00:00:00"/>
    <x v="3"/>
    <d v="2021-01-01T00:00:00"/>
    <d v="2021-12-31T00:00:00"/>
    <s v="Natural gas"/>
    <n v="0"/>
    <s v="Hundred Thousand BTUs"/>
    <x v="0"/>
    <m/>
    <s v="2023-02-27, 16:27"/>
    <s v="2023-07-20, 00:40"/>
    <n v="2021"/>
    <s v="natural_gas__wtt"/>
    <s v="Natural Gas WTT"/>
    <s v="wtt"/>
    <b v="0"/>
    <s v="WTT- FUELS; WTT- GASEOUS FUELS; NATURAL GAS"/>
    <x v="1"/>
    <x v="1"/>
    <m/>
    <m/>
    <m/>
    <m/>
    <n v="1"/>
    <s v="CO2E"/>
    <n v="0"/>
    <n v="3.1350000000000003E-2"/>
    <s v="KWH (GROSS CV)"/>
    <n v="29.3001"/>
    <n v="0"/>
    <s v="AR4"/>
    <s v="Defra"/>
    <s v="Defra (2021)"/>
    <n v="2021"/>
    <n v="2019"/>
    <n v="0"/>
    <n v="0"/>
    <x v="9"/>
    <s v="Unspecified Facility Type"/>
  </r>
  <r>
    <n v="5004"/>
    <s v="Top of Hierarchy &gt; North America &gt; Vantage_Costa_Rica"/>
    <x v="4"/>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0"/>
    <s v="CH4"/>
    <n v="0"/>
    <n v="2.5999999999999998E-4"/>
    <s v="LITRES"/>
    <n v="1"/>
    <n v="0"/>
    <s v="AR4"/>
    <s v="Defra"/>
    <s v="Defra (2021)"/>
    <n v="2021"/>
    <n v="2019"/>
    <n v="0"/>
    <n v="0"/>
    <x v="9"/>
    <s v="Unspecified Facility Type"/>
  </r>
  <r>
    <n v="5004"/>
    <s v="Top of Hierarchy &gt; North America &gt; Vantage_Costa_Rica"/>
    <x v="4"/>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0"/>
    <s v="CO2"/>
    <n v="0"/>
    <n v="2.6680700000000002"/>
    <s v="LITRES"/>
    <n v="1"/>
    <n v="0"/>
    <s v="AR4"/>
    <s v="Defra"/>
    <s v="Defra (2021)"/>
    <n v="2021"/>
    <n v="2019"/>
    <n v="0"/>
    <n v="0"/>
    <x v="9"/>
    <s v="Unspecified Facility Type"/>
  </r>
  <r>
    <n v="5004"/>
    <s v="Top of Hierarchy &gt; North America &gt; Vantage_Costa_Rica"/>
    <x v="4"/>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0"/>
    <s v="CO2E"/>
    <n v="0"/>
    <n v="2.70553"/>
    <s v="LITRES"/>
    <n v="1"/>
    <n v="0"/>
    <s v="AR4"/>
    <s v="Defra"/>
    <s v="Defra (2021)"/>
    <n v="2021"/>
    <n v="2019"/>
    <n v="0"/>
    <n v="0"/>
    <x v="9"/>
    <s v="Unspecified Facility Type"/>
  </r>
  <r>
    <n v="5004"/>
    <s v="Top of Hierarchy &gt; North America &gt; Vantage_Costa_Rica"/>
    <x v="4"/>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0"/>
    <s v="N2O"/>
    <n v="0"/>
    <n v="3.7199999999999997E-2"/>
    <s v="LITRES"/>
    <n v="1"/>
    <n v="0"/>
    <s v="AR4"/>
    <s v="Defra"/>
    <s v="Defra (2021)"/>
    <n v="2021"/>
    <n v="2019"/>
    <n v="0"/>
    <n v="0"/>
    <x v="9"/>
    <s v="Unspecified Facility Type"/>
  </r>
  <r>
    <n v="5004"/>
    <s v="Top of Hierarchy &gt; North America &gt; Vantage_Costa_Rica"/>
    <x v="4"/>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1"/>
    <s v="CH4"/>
    <n v="0"/>
    <n v="2.5999999999999998E-4"/>
    <s v="LITRES"/>
    <n v="1"/>
    <n v="0"/>
    <s v="AR4"/>
    <s v="Defra"/>
    <s v="Defra (2021)"/>
    <n v="2021"/>
    <n v="2019"/>
    <n v="0"/>
    <n v="0"/>
    <x v="9"/>
    <s v="Unspecified Facility Type"/>
  </r>
  <r>
    <n v="5004"/>
    <s v="Top of Hierarchy &gt; North America &gt; Vantage_Costa_Rica"/>
    <x v="4"/>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1"/>
    <s v="CO2"/>
    <n v="0"/>
    <n v="2.6680700000000002"/>
    <s v="LITRES"/>
    <n v="1"/>
    <n v="0"/>
    <s v="AR4"/>
    <s v="Defra"/>
    <s v="Defra (2021)"/>
    <n v="2021"/>
    <n v="2019"/>
    <n v="0"/>
    <n v="0"/>
    <x v="9"/>
    <s v="Unspecified Facility Type"/>
  </r>
  <r>
    <n v="5004"/>
    <s v="Top of Hierarchy &gt; North America &gt; Vantage_Costa_Rica"/>
    <x v="4"/>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1"/>
    <s v="CO2E"/>
    <n v="0"/>
    <n v="2.70553"/>
    <s v="LITRES"/>
    <n v="1"/>
    <n v="0"/>
    <s v="AR4"/>
    <s v="Defra"/>
    <s v="Defra (2021)"/>
    <n v="2021"/>
    <n v="2019"/>
    <n v="0"/>
    <n v="0"/>
    <x v="9"/>
    <s v="Unspecified Facility Type"/>
  </r>
  <r>
    <n v="5004"/>
    <s v="Top of Hierarchy &gt; North America &gt; Vantage_Costa_Rica"/>
    <x v="4"/>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1"/>
    <s v="N2O"/>
    <n v="0"/>
    <n v="3.7199999999999997E-2"/>
    <s v="LITRES"/>
    <n v="1"/>
    <n v="0"/>
    <s v="AR4"/>
    <s v="Defra"/>
    <s v="Defra (2021)"/>
    <n v="2021"/>
    <n v="2019"/>
    <n v="0"/>
    <n v="0"/>
    <x v="9"/>
    <s v="Unspecified Facility Type"/>
  </r>
  <r>
    <n v="5004"/>
    <s v="Top of Hierarchy &gt; North America &gt; Vantage_Costa_Rica"/>
    <x v="4"/>
    <x v="1"/>
    <d v="2021-01-01T00:00:00"/>
    <d v="2021-12-31T00:00:00"/>
    <x v="1"/>
    <d v="2021-01-01T00:00:00"/>
    <d v="2021-12-31T00:00:00"/>
    <s v="Diesel (100% mineral diesel)"/>
    <n v="0"/>
    <s v="litres"/>
    <x v="0"/>
    <m/>
    <s v="2023-02-27, 16:27"/>
    <s v="2023-07-20, 00:40"/>
    <n v="2021"/>
    <s v="diesel_100p_mineral_diesel__wtt"/>
    <s v="Diesel (100% Mineral Diesel) WTT"/>
    <s v="wtt"/>
    <b v="0"/>
    <s v="WTT- FUELS; WTT- LIQUID FUELS; DIESEL (100% MINERAL DIESEL)"/>
    <x v="1"/>
    <x v="1"/>
    <m/>
    <m/>
    <m/>
    <m/>
    <n v="0"/>
    <s v="CO2E"/>
    <n v="0"/>
    <n v="0.62873999999999997"/>
    <s v="LITRES"/>
    <n v="1"/>
    <n v="0"/>
    <s v="AR4"/>
    <s v="Defra"/>
    <s v="Defra (2021)"/>
    <n v="2021"/>
    <n v="2019"/>
    <n v="0"/>
    <n v="0"/>
    <x v="9"/>
    <s v="Unspecified Facility Type"/>
  </r>
  <r>
    <n v="5004"/>
    <s v="Top of Hierarchy &gt; North America &gt; Vantage_Costa_Rica"/>
    <x v="4"/>
    <x v="1"/>
    <d v="2021-01-01T00:00:00"/>
    <d v="2021-12-31T00:00:00"/>
    <x v="1"/>
    <d v="2021-01-01T00:00:00"/>
    <d v="2021-12-31T00:00:00"/>
    <s v="Diesel (100% mineral diesel)"/>
    <n v="0"/>
    <s v="litres"/>
    <x v="0"/>
    <m/>
    <s v="2023-02-27, 16:27"/>
    <s v="2023-07-20, 00:40"/>
    <n v="2021"/>
    <s v="diesel_100p_mineral_diesel__wtt"/>
    <s v="Diesel (100% Mineral Diesel) WTT"/>
    <s v="wtt"/>
    <b v="0"/>
    <s v="WTT- FUELS; WTT- LIQUID FUELS; DIESEL (100% MINERAL DIESEL)"/>
    <x v="1"/>
    <x v="1"/>
    <m/>
    <m/>
    <m/>
    <m/>
    <n v="1"/>
    <s v="CO2E"/>
    <n v="0"/>
    <n v="0.62873999999999997"/>
    <s v="LITRES"/>
    <n v="1"/>
    <n v="0"/>
    <s v="AR4"/>
    <s v="Defra"/>
    <s v="Defra (2021)"/>
    <n v="2021"/>
    <n v="2019"/>
    <n v="0"/>
    <n v="0"/>
    <x v="9"/>
    <s v="Unspecified Facility Type"/>
  </r>
  <r>
    <n v="5031"/>
    <s v="Top of Hierarchy &gt; North America &gt; Vantage_Costa_Rica"/>
    <x v="4"/>
    <x v="1"/>
    <d v="2021-01-01T00:00:00"/>
    <d v="2021-12-31T00:00:00"/>
    <x v="4"/>
    <d v="2021-01-01T00:00:00"/>
    <d v="2021-12-31T00:00:00"/>
    <s v="HFC-134a"/>
    <n v="0.11840000000000001"/>
    <s v="kilograms"/>
    <x v="0"/>
    <m/>
    <s v="2023-02-27, 16:27"/>
    <s v="2023-07-20, 00:40"/>
    <n v="2021"/>
    <s v="hfc-134a"/>
    <s v="HFC-134A"/>
    <s v="model"/>
    <b v="0"/>
    <s v="REFRIGERANT: R-134A"/>
    <x v="2"/>
    <x v="0"/>
    <m/>
    <m/>
    <m/>
    <m/>
    <n v="0"/>
    <s v="CO2E"/>
    <n v="169.31200000000001"/>
    <n v="1430"/>
    <s v="KG"/>
    <n v="1"/>
    <n v="0.11840000000000001"/>
    <s v="AR4"/>
    <s v="IPCC"/>
    <s v="IPCC (2021)"/>
    <n v="2021"/>
    <n v="2007"/>
    <n v="0.16931200000000002"/>
    <n v="0"/>
    <x v="9"/>
    <s v="Unspecified Facility Type"/>
  </r>
  <r>
    <n v="5031"/>
    <s v="Top of Hierarchy &gt; North America &gt; Vantage_Costa_Rica"/>
    <x v="4"/>
    <x v="1"/>
    <d v="2021-01-01T00:00:00"/>
    <d v="2021-12-31T00:00:00"/>
    <x v="4"/>
    <d v="2021-01-01T00:00:00"/>
    <d v="2021-12-31T00:00:00"/>
    <s v="HFC-134a"/>
    <n v="0.11840000000000001"/>
    <s v="kilograms"/>
    <x v="0"/>
    <m/>
    <s v="2023-02-27, 16:27"/>
    <s v="2023-07-20, 00:40"/>
    <n v="2021"/>
    <s v="hfc-134a"/>
    <s v="HFC-134A"/>
    <s v="model"/>
    <b v="0"/>
    <s v="REFRIGERANT: R-134A"/>
    <x v="2"/>
    <x v="0"/>
    <m/>
    <m/>
    <m/>
    <m/>
    <n v="1"/>
    <s v="CO2E"/>
    <n v="169.31200000000001"/>
    <n v="1430"/>
    <s v="KG"/>
    <n v="1"/>
    <n v="0.11840000000000001"/>
    <s v="AR4"/>
    <s v="IPCC"/>
    <s v="IPCC (2021)"/>
    <n v="2021"/>
    <n v="2007"/>
    <n v="0"/>
    <n v="0.16931200000000002"/>
    <x v="9"/>
    <s v="Unspecified Facility Type"/>
  </r>
  <r>
    <n v="1230943"/>
    <s v="Top of Hierarchy &gt; North America &gt; Vantage_Costa_Rica"/>
    <x v="4"/>
    <x v="1"/>
    <d v="2021-01-01T00:00:00"/>
    <d v="2021-12-31T00:00:00"/>
    <x v="2"/>
    <d v="2021-01-01T00:00:00"/>
    <d v="2021-12-31T00:00:00"/>
    <s v="LPG"/>
    <n v="22596.5"/>
    <s v="litres"/>
    <x v="1"/>
    <m/>
    <s v="2023-07-18, 22:03"/>
    <s v="2023-07-20, 00:40"/>
    <n v="2021"/>
    <s v="lpg"/>
    <s v="LPG"/>
    <s v="model"/>
    <b v="0"/>
    <s v="PETROLEUM PRODUCTS, LIQUEFIED PETROLEUM GASES (LPG)"/>
    <x v="2"/>
    <x v="0"/>
    <s v="Americas"/>
    <m/>
    <m/>
    <m/>
    <n v="0"/>
    <s v="CH4"/>
    <n v="41.785566660000001"/>
    <n v="7.0000000000000001E-3"/>
    <s v="GALLON (US LIQUID)"/>
    <n v="0.26417217999999998"/>
    <n v="5969.3666649999996"/>
    <s v="AR4"/>
    <s v="USEPA"/>
    <s v="USEPA Emission Factors Hub (Last Modified: March 2020)"/>
    <n v="2021"/>
    <n v="2020"/>
    <n v="0"/>
    <n v="0"/>
    <x v="9"/>
    <s v="Unspecified Facility Type"/>
  </r>
  <r>
    <n v="1230943"/>
    <s v="Top of Hierarchy &gt; North America &gt; Vantage_Costa_Rica"/>
    <x v="4"/>
    <x v="1"/>
    <d v="2021-01-01T00:00:00"/>
    <d v="2021-12-31T00:00:00"/>
    <x v="2"/>
    <d v="2021-01-01T00:00:00"/>
    <d v="2021-12-31T00:00:00"/>
    <s v="LPG"/>
    <n v="22596.5"/>
    <s v="litres"/>
    <x v="1"/>
    <m/>
    <s v="2023-07-18, 22:03"/>
    <s v="2023-07-20, 00:40"/>
    <n v="2021"/>
    <s v="lpg"/>
    <s v="LPG"/>
    <s v="model"/>
    <b v="0"/>
    <s v="PETROLEUM PRODUCTS, LIQUEFIED PETROLEUM GASES (LPG)"/>
    <x v="2"/>
    <x v="0"/>
    <s v="Americas"/>
    <m/>
    <m/>
    <m/>
    <n v="0"/>
    <s v="CO2"/>
    <n v="33906.002659999998"/>
    <n v="5.68"/>
    <s v="GALLON (US LIQUID)"/>
    <n v="0.26417217999999998"/>
    <n v="5969.3666649999996"/>
    <s v="AR4"/>
    <s v="USEPA"/>
    <s v="USEPA (2021)"/>
    <n v="2021"/>
    <n v="2021"/>
    <n v="0"/>
    <n v="0"/>
    <x v="9"/>
    <s v="Unspecified Facility Type"/>
  </r>
  <r>
    <n v="1230943"/>
    <s v="Top of Hierarchy &gt; North America &gt; Vantage_Costa_Rica"/>
    <x v="4"/>
    <x v="1"/>
    <d v="2021-01-01T00:00:00"/>
    <d v="2021-12-31T00:00:00"/>
    <x v="2"/>
    <d v="2021-01-01T00:00:00"/>
    <d v="2021-12-31T00:00:00"/>
    <s v="LPG"/>
    <n v="22596.5"/>
    <s v="litres"/>
    <x v="1"/>
    <m/>
    <s v="2023-07-18, 22:03"/>
    <s v="2023-07-20, 00:40"/>
    <n v="2021"/>
    <s v="lpg"/>
    <s v="LPG"/>
    <s v="model"/>
    <b v="0"/>
    <s v="PETROLEUM PRODUCTS, LIQUEFIED PETROLEUM GASES (LPG)"/>
    <x v="2"/>
    <x v="0"/>
    <s v="Americas"/>
    <m/>
    <m/>
    <m/>
    <n v="0"/>
    <s v="CO2E"/>
    <n v="34054.520499999999"/>
    <n v="5.7048800000000002"/>
    <s v="GALLON (US LIQUID)"/>
    <n v="0.26417217999999998"/>
    <n v="5969.3666649999996"/>
    <s v="AR4"/>
    <s v="USEPA"/>
    <s v="USEPA Emission Factors Hub (Last Modified: March 2020)"/>
    <n v="2021"/>
    <n v="2020"/>
    <n v="34.054520499999995"/>
    <n v="0"/>
    <x v="9"/>
    <s v="Unspecified Facility Type"/>
  </r>
  <r>
    <n v="1230943"/>
    <s v="Top of Hierarchy &gt; North America &gt; Vantage_Costa_Rica"/>
    <x v="4"/>
    <x v="1"/>
    <d v="2021-01-01T00:00:00"/>
    <d v="2021-12-31T00:00:00"/>
    <x v="2"/>
    <d v="2021-01-01T00:00:00"/>
    <d v="2021-12-31T00:00:00"/>
    <s v="LPG"/>
    <n v="22596.5"/>
    <s v="litres"/>
    <x v="1"/>
    <m/>
    <s v="2023-07-18, 22:03"/>
    <s v="2023-07-20, 00:40"/>
    <n v="2021"/>
    <s v="lpg"/>
    <s v="LPG"/>
    <s v="model"/>
    <b v="0"/>
    <s v="PETROLEUM PRODUCTS, LIQUEFIED PETROLEUM GASES (LPG)"/>
    <x v="2"/>
    <x v="0"/>
    <s v="Americas"/>
    <m/>
    <m/>
    <m/>
    <n v="0"/>
    <s v="N2O"/>
    <n v="106.732276"/>
    <n v="1.788E-2"/>
    <s v="GALLON (US LIQUID)"/>
    <n v="0.26417217999999998"/>
    <n v="5969.3666649999996"/>
    <s v="AR4"/>
    <s v="USEPA"/>
    <s v="USEPA Emission Factors Hub (Last Modified: March 2020)"/>
    <n v="2021"/>
    <n v="2020"/>
    <n v="0"/>
    <n v="0"/>
    <x v="9"/>
    <s v="Unspecified Facility Type"/>
  </r>
  <r>
    <n v="1230943"/>
    <s v="Top of Hierarchy &gt; North America &gt; Vantage_Costa_Rica"/>
    <x v="4"/>
    <x v="1"/>
    <d v="2021-01-01T00:00:00"/>
    <d v="2021-12-31T00:00:00"/>
    <x v="2"/>
    <d v="2021-01-01T00:00:00"/>
    <d v="2021-12-31T00:00:00"/>
    <s v="LPG"/>
    <n v="22596.5"/>
    <s v="litres"/>
    <x v="1"/>
    <m/>
    <s v="2023-07-18, 22:03"/>
    <s v="2023-07-20, 00:40"/>
    <n v="2021"/>
    <s v="lpg"/>
    <s v="LPG"/>
    <s v="model"/>
    <b v="0"/>
    <s v="PETROLEUM PRODUCTS, LIQUEFIED PETROLEUM GASES (LPG)"/>
    <x v="2"/>
    <x v="0"/>
    <s v="Americas"/>
    <m/>
    <m/>
    <m/>
    <n v="1"/>
    <s v="CH4"/>
    <n v="41.785566660000001"/>
    <n v="7.0000000000000001E-3"/>
    <s v="GALLON (US LIQUID)"/>
    <n v="0.26417217999999998"/>
    <n v="5969.3666649999996"/>
    <s v="AR4"/>
    <s v="USEPA"/>
    <s v="USEPA Emission Factors Hub (Last Modified: March 2020)"/>
    <n v="2021"/>
    <n v="2020"/>
    <n v="0"/>
    <n v="0"/>
    <x v="9"/>
    <s v="Unspecified Facility Type"/>
  </r>
  <r>
    <n v="1230943"/>
    <s v="Top of Hierarchy &gt; North America &gt; Vantage_Costa_Rica"/>
    <x v="4"/>
    <x v="1"/>
    <d v="2021-01-01T00:00:00"/>
    <d v="2021-12-31T00:00:00"/>
    <x v="2"/>
    <d v="2021-01-01T00:00:00"/>
    <d v="2021-12-31T00:00:00"/>
    <s v="LPG"/>
    <n v="22596.5"/>
    <s v="litres"/>
    <x v="1"/>
    <m/>
    <s v="2023-07-18, 22:03"/>
    <s v="2023-07-20, 00:40"/>
    <n v="2021"/>
    <s v="lpg"/>
    <s v="LPG"/>
    <s v="model"/>
    <b v="0"/>
    <s v="PETROLEUM PRODUCTS, LIQUEFIED PETROLEUM GASES (LPG)"/>
    <x v="2"/>
    <x v="0"/>
    <s v="Americas"/>
    <m/>
    <m/>
    <m/>
    <n v="1"/>
    <s v="CO2"/>
    <n v="33906.002659999998"/>
    <n v="5.68"/>
    <s v="GALLON (US LIQUID)"/>
    <n v="0.26417217999999998"/>
    <n v="5969.3666649999996"/>
    <s v="AR4"/>
    <s v="USEPA"/>
    <s v="USEPA (2021)"/>
    <n v="2021"/>
    <n v="2021"/>
    <n v="0"/>
    <n v="0"/>
    <x v="9"/>
    <s v="Unspecified Facility Type"/>
  </r>
  <r>
    <n v="1230943"/>
    <s v="Top of Hierarchy &gt; North America &gt; Vantage_Costa_Rica"/>
    <x v="4"/>
    <x v="1"/>
    <d v="2021-01-01T00:00:00"/>
    <d v="2021-12-31T00:00:00"/>
    <x v="2"/>
    <d v="2021-01-01T00:00:00"/>
    <d v="2021-12-31T00:00:00"/>
    <s v="LPG"/>
    <n v="22596.5"/>
    <s v="litres"/>
    <x v="1"/>
    <m/>
    <s v="2023-07-18, 22:03"/>
    <s v="2023-07-20, 00:40"/>
    <n v="2021"/>
    <s v="lpg"/>
    <s v="LPG"/>
    <s v="model"/>
    <b v="0"/>
    <s v="PETROLEUM PRODUCTS, LIQUEFIED PETROLEUM GASES (LPG)"/>
    <x v="2"/>
    <x v="0"/>
    <s v="Americas"/>
    <m/>
    <m/>
    <m/>
    <n v="1"/>
    <s v="CO2E"/>
    <n v="34054.520499999999"/>
    <n v="5.7048800000000002"/>
    <s v="GALLON (US LIQUID)"/>
    <n v="0.26417217999999998"/>
    <n v="5969.3666649999996"/>
    <s v="AR4"/>
    <s v="USEPA"/>
    <s v="USEPA Emission Factors Hub (Last Modified: March 2020)"/>
    <n v="2021"/>
    <n v="2020"/>
    <n v="0"/>
    <n v="34.054520499999995"/>
    <x v="9"/>
    <s v="Unspecified Facility Type"/>
  </r>
  <r>
    <n v="1230943"/>
    <s v="Top of Hierarchy &gt; North America &gt; Vantage_Costa_Rica"/>
    <x v="4"/>
    <x v="1"/>
    <d v="2021-01-01T00:00:00"/>
    <d v="2021-12-31T00:00:00"/>
    <x v="2"/>
    <d v="2021-01-01T00:00:00"/>
    <d v="2021-12-31T00:00:00"/>
    <s v="LPG"/>
    <n v="22596.5"/>
    <s v="litres"/>
    <x v="1"/>
    <m/>
    <s v="2023-07-18, 22:03"/>
    <s v="2023-07-20, 00:40"/>
    <n v="2021"/>
    <s v="lpg"/>
    <s v="LPG"/>
    <s v="model"/>
    <b v="0"/>
    <s v="PETROLEUM PRODUCTS, LIQUEFIED PETROLEUM GASES (LPG)"/>
    <x v="2"/>
    <x v="0"/>
    <s v="Americas"/>
    <m/>
    <m/>
    <m/>
    <n v="1"/>
    <s v="N2O"/>
    <n v="106.732276"/>
    <n v="1.788E-2"/>
    <s v="GALLON (US LIQUID)"/>
    <n v="0.26417217999999998"/>
    <n v="5969.3666649999996"/>
    <s v="AR4"/>
    <s v="USEPA"/>
    <s v="USEPA Emission Factors Hub (Last Modified: March 2020)"/>
    <n v="2021"/>
    <n v="2020"/>
    <n v="0"/>
    <n v="0"/>
    <x v="9"/>
    <s v="Unspecified Facility Type"/>
  </r>
  <r>
    <n v="1230943"/>
    <s v="Top of Hierarchy &gt; North America &gt; Vantage_Costa_Rica"/>
    <x v="4"/>
    <x v="1"/>
    <d v="2021-01-01T00:00:00"/>
    <d v="2021-12-31T00:00:00"/>
    <x v="2"/>
    <d v="2021-01-01T00:00:00"/>
    <d v="2021-12-31T00:00:00"/>
    <s v="LPG"/>
    <n v="22596.5"/>
    <s v="litres"/>
    <x v="1"/>
    <m/>
    <s v="2023-07-18, 22:03"/>
    <s v="2023-07-20, 00:40"/>
    <n v="2021"/>
    <s v="lpg__wtt"/>
    <s v="LPG WTT"/>
    <s v="wtt"/>
    <b v="0"/>
    <s v="WTT- FUELS; WTT- GASEOUS FUELS; LPG"/>
    <x v="1"/>
    <x v="1"/>
    <m/>
    <m/>
    <m/>
    <m/>
    <n v="0"/>
    <s v="CO2E"/>
    <n v="4153.9145950000002"/>
    <n v="0.18382999999999999"/>
    <s v="LITRES"/>
    <n v="1"/>
    <n v="22596.5"/>
    <s v="AR4"/>
    <s v="Defra"/>
    <s v="Defra (2021)"/>
    <n v="2021"/>
    <n v="2019"/>
    <n v="4.1539145949999998"/>
    <n v="0"/>
    <x v="9"/>
    <s v="Unspecified Facility Type"/>
  </r>
  <r>
    <n v="1230943"/>
    <s v="Top of Hierarchy &gt; North America &gt; Vantage_Costa_Rica"/>
    <x v="4"/>
    <x v="1"/>
    <d v="2021-01-01T00:00:00"/>
    <d v="2021-12-31T00:00:00"/>
    <x v="2"/>
    <d v="2021-01-01T00:00:00"/>
    <d v="2021-12-31T00:00:00"/>
    <s v="LPG"/>
    <n v="22596.5"/>
    <s v="litres"/>
    <x v="1"/>
    <m/>
    <s v="2023-07-18, 22:03"/>
    <s v="2023-07-20, 00:40"/>
    <n v="2021"/>
    <s v="lpg__wtt"/>
    <s v="LPG WTT"/>
    <s v="wtt"/>
    <b v="0"/>
    <s v="WTT- FUELS; WTT- GASEOUS FUELS; LPG"/>
    <x v="1"/>
    <x v="1"/>
    <m/>
    <m/>
    <m/>
    <m/>
    <n v="1"/>
    <s v="CO2E"/>
    <n v="4153.9145950000002"/>
    <n v="0.18382999999999999"/>
    <s v="LITRES"/>
    <n v="1"/>
    <n v="22596.5"/>
    <s v="AR4"/>
    <s v="Defra"/>
    <s v="Defra (2021)"/>
    <n v="2021"/>
    <n v="2019"/>
    <n v="0"/>
    <n v="4.1539145949999998"/>
    <x v="9"/>
    <s v="Unspecified Facility Type"/>
  </r>
  <r>
    <n v="290053"/>
    <s v="Top of Hierarchy &gt; North America &gt; Vantage_Dateland"/>
    <x v="2"/>
    <x v="0"/>
    <d v="2022-01-01T00:00:00"/>
    <d v="2022-12-31T00:00:00"/>
    <x v="0"/>
    <d v="2022-01-01T00:00:00"/>
    <d v="2022-12-31T00:00:00"/>
    <s v="Electricity (non-renewable)"/>
    <n v="3896174"/>
    <s v="Kilowatt hours"/>
    <x v="1"/>
    <m/>
    <s v="2023-05-02, 19:24"/>
    <s v="2023-07-20, 00:40"/>
    <n v="2022"/>
    <s v="electricity"/>
    <s v="Electricity"/>
    <s v="model"/>
    <b v="0"/>
    <s v="ELECTRICITY; UNITED STATES - AZNM"/>
    <x v="0"/>
    <x v="0"/>
    <s v="Americas"/>
    <s v="Northern America"/>
    <s v="US"/>
    <s v="AZNM"/>
    <n v="0"/>
    <s v="CH4"/>
    <n v="2385.8209780000002"/>
    <n v="6.1235E-4"/>
    <s v="KWH"/>
    <n v="1"/>
    <n v="3896174"/>
    <s v="AR4"/>
    <s v="USEPA"/>
    <s v="USEPA (2022)"/>
    <n v="2022"/>
    <n v="2020"/>
    <n v="0"/>
    <n v="0"/>
    <x v="10"/>
    <s v="Labratory"/>
  </r>
  <r>
    <n v="290053"/>
    <s v="Top of Hierarchy &gt; North America &gt; Vantage_Dateland"/>
    <x v="2"/>
    <x v="0"/>
    <d v="2022-01-01T00:00:00"/>
    <d v="2022-12-31T00:00:00"/>
    <x v="0"/>
    <d v="2022-01-01T00:00:00"/>
    <d v="2022-12-31T00:00:00"/>
    <s v="Electricity (non-renewable)"/>
    <n v="3896174"/>
    <s v="Kilowatt hours"/>
    <x v="1"/>
    <m/>
    <s v="2023-05-02, 19:24"/>
    <s v="2023-07-20, 00:40"/>
    <n v="2022"/>
    <s v="electricity"/>
    <s v="Electricity"/>
    <s v="model"/>
    <b v="0"/>
    <s v="ELECTRICITY; UNITED STATES - AZNM"/>
    <x v="0"/>
    <x v="0"/>
    <s v="Americas"/>
    <s v="Northern America"/>
    <s v="US"/>
    <s v="AZNM"/>
    <n v="0"/>
    <s v="CO2"/>
    <n v="1496203.121"/>
    <n v="0.38401855800000001"/>
    <s v="KWH"/>
    <n v="1"/>
    <n v="3896174"/>
    <s v="AR4"/>
    <s v="USEPA"/>
    <s v="USEPA (2022)"/>
    <n v="2022"/>
    <n v="2020"/>
    <n v="0"/>
    <n v="0"/>
    <x v="10"/>
    <s v="Labratory"/>
  </r>
  <r>
    <n v="290053"/>
    <s v="Top of Hierarchy &gt; North America &gt; Vantage_Dateland"/>
    <x v="2"/>
    <x v="0"/>
    <d v="2022-01-01T00:00:00"/>
    <d v="2022-12-31T00:00:00"/>
    <x v="0"/>
    <d v="2022-01-01T00:00:00"/>
    <d v="2022-12-31T00:00:00"/>
    <s v="Electricity (non-renewable)"/>
    <n v="3896174"/>
    <s v="Kilowatt hours"/>
    <x v="1"/>
    <m/>
    <s v="2023-05-02, 19:24"/>
    <s v="2023-07-20, 00:40"/>
    <n v="2022"/>
    <s v="electricity"/>
    <s v="Electricity"/>
    <s v="model"/>
    <b v="0"/>
    <s v="ELECTRICITY; UNITED STATES - AZNM"/>
    <x v="0"/>
    <x v="0"/>
    <s v="Americas"/>
    <s v="Northern America"/>
    <s v="US"/>
    <s v="AZNM"/>
    <n v="0"/>
    <s v="CO2E"/>
    <n v="1502275.477"/>
    <n v="0.38557710099999998"/>
    <s v="KWH"/>
    <n v="1"/>
    <n v="3896174"/>
    <s v="AR4"/>
    <s v="USEPA"/>
    <s v="USEPA (2022)"/>
    <n v="2022"/>
    <n v="2020"/>
    <n v="1502.2754769999999"/>
    <n v="0"/>
    <x v="10"/>
    <s v="Labratory"/>
  </r>
  <r>
    <n v="290053"/>
    <s v="Top of Hierarchy &gt; North America &gt; Vantage_Dateland"/>
    <x v="2"/>
    <x v="0"/>
    <d v="2022-01-01T00:00:00"/>
    <d v="2022-12-31T00:00:00"/>
    <x v="0"/>
    <d v="2022-01-01T00:00:00"/>
    <d v="2022-12-31T00:00:00"/>
    <s v="Electricity (non-renewable)"/>
    <n v="3896174"/>
    <s v="Kilowatt hours"/>
    <x v="1"/>
    <m/>
    <s v="2023-05-02, 19:24"/>
    <s v="2023-07-20, 00:40"/>
    <n v="2022"/>
    <s v="electricity"/>
    <s v="Electricity"/>
    <s v="model"/>
    <b v="0"/>
    <s v="ELECTRICITY; UNITED STATES - AZNM"/>
    <x v="0"/>
    <x v="0"/>
    <s v="Americas"/>
    <s v="Northern America"/>
    <s v="US"/>
    <s v="AZNM"/>
    <n v="0"/>
    <s v="N2O"/>
    <n v="3686.53523"/>
    <n v="9.4619400000000003E-4"/>
    <s v="KWH"/>
    <n v="1"/>
    <n v="3896174"/>
    <s v="AR4"/>
    <s v="USEPA"/>
    <s v="USEPA (2022)"/>
    <n v="2022"/>
    <n v="2020"/>
    <n v="0"/>
    <n v="0"/>
    <x v="10"/>
    <s v="Labratory"/>
  </r>
  <r>
    <n v="290053"/>
    <s v="Top of Hierarchy &gt; North America &gt; Vantage_Dateland"/>
    <x v="2"/>
    <x v="0"/>
    <d v="2022-01-01T00:00:00"/>
    <d v="2022-12-31T00:00:00"/>
    <x v="0"/>
    <d v="2022-01-01T00:00:00"/>
    <d v="2022-12-31T00:00:00"/>
    <s v="Electricity (non-renewable)"/>
    <n v="3896174"/>
    <s v="Kilowatt hours"/>
    <x v="1"/>
    <m/>
    <s v="2023-05-02, 19:24"/>
    <s v="2023-07-20, 00:40"/>
    <n v="2022"/>
    <s v="electricity"/>
    <s v="Electricity"/>
    <s v="model"/>
    <b v="0"/>
    <s v="ELECTRICITY; UNITED STATES - AZNM"/>
    <x v="0"/>
    <x v="0"/>
    <s v="Americas"/>
    <s v="Northern America"/>
    <s v="US"/>
    <s v="AZNM"/>
    <n v="1"/>
    <s v="CO2E MKT"/>
    <n v="1499008.6470000001"/>
    <n v="0.38473863000000003"/>
    <s v="KWH"/>
    <n v="1"/>
    <n v="3896174"/>
    <s v="AR4"/>
    <s v="Green-e"/>
    <s v="Green-e (2022)"/>
    <n v="2022"/>
    <n v="2020"/>
    <n v="0"/>
    <n v="1499.0086470000001"/>
    <x v="10"/>
    <s v="Labratory"/>
  </r>
  <r>
    <n v="290053"/>
    <s v="Top of Hierarchy &gt; North America &gt; Vantage_Dateland"/>
    <x v="2"/>
    <x v="0"/>
    <d v="2022-01-01T00:00:00"/>
    <d v="2022-12-31T00:00:00"/>
    <x v="0"/>
    <d v="2022-01-01T00:00:00"/>
    <d v="2022-12-31T00:00:00"/>
    <s v="Electricity (non-renewable)"/>
    <n v="3896174"/>
    <s v="Kilowatt hours"/>
    <x v="1"/>
    <m/>
    <s v="2023-05-02, 19:24"/>
    <s v="2023-07-20, 00:40"/>
    <n v="2022"/>
    <s v="electricity__t+d__wtt"/>
    <s v="Electricity T&amp;D WTT"/>
    <s v="t+d_wtt"/>
    <b v="0"/>
    <s v="ELECTRICITY T&amp;D WTT; UNITED STATES - AZNM"/>
    <x v="1"/>
    <x v="1"/>
    <s v="Americas"/>
    <s v="Northern America"/>
    <s v="US"/>
    <s v="AZNM"/>
    <n v="0"/>
    <s v="CO2E"/>
    <n v="23523.608919999999"/>
    <n v="6.0376179999999998E-3"/>
    <s v="KWH"/>
    <n v="1"/>
    <n v="3896174"/>
    <s v="AR4"/>
    <s v="Anthesis"/>
    <s v="Anthesis (2022)"/>
    <n v="2022"/>
    <n v="2020"/>
    <n v="23.523608919999997"/>
    <n v="0"/>
    <x v="10"/>
    <s v="Labratory"/>
  </r>
  <r>
    <n v="290053"/>
    <s v="Top of Hierarchy &gt; North America &gt; Vantage_Dateland"/>
    <x v="2"/>
    <x v="0"/>
    <d v="2022-01-01T00:00:00"/>
    <d v="2022-12-31T00:00:00"/>
    <x v="0"/>
    <d v="2022-01-01T00:00:00"/>
    <d v="2022-12-31T00:00:00"/>
    <s v="Electricity (non-renewable)"/>
    <n v="3896174"/>
    <s v="Kilowatt hours"/>
    <x v="1"/>
    <m/>
    <s v="2023-05-02, 19:24"/>
    <s v="2023-07-20, 00:40"/>
    <n v="2022"/>
    <s v="electricity__t+d__wtt"/>
    <s v="Electricity T&amp;D WTT"/>
    <s v="t+d_wtt"/>
    <b v="0"/>
    <s v="ELECTRICITY; UNITED STATES - AZNM; T&amp;D WTT Estimated"/>
    <x v="1"/>
    <x v="1"/>
    <s v="Americas"/>
    <s v="Northern America"/>
    <s v="US"/>
    <s v="AZNM"/>
    <n v="1"/>
    <s v="CO2E MKT"/>
    <n v="22735.918099999999"/>
    <n v="5.8354469999999997E-3"/>
    <s v="KWH"/>
    <n v="1"/>
    <n v="3896174"/>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  to estimate the T&amp;D WTT factor."/>
    <n v="2022"/>
    <n v="2019"/>
    <n v="0"/>
    <n v="22.735918099999999"/>
    <x v="10"/>
    <s v="Labratory"/>
  </r>
  <r>
    <n v="290053"/>
    <s v="Top of Hierarchy &gt; North America &gt; Vantage_Dateland"/>
    <x v="2"/>
    <x v="0"/>
    <d v="2022-01-01T00:00:00"/>
    <d v="2022-12-31T00:00:00"/>
    <x v="0"/>
    <d v="2022-01-01T00:00:00"/>
    <d v="2022-12-31T00:00:00"/>
    <s v="Electricity (non-renewable)"/>
    <n v="3896174"/>
    <s v="Kilowatt hours"/>
    <x v="1"/>
    <m/>
    <s v="2023-05-02, 19:24"/>
    <s v="2023-07-20, 00:40"/>
    <n v="2022"/>
    <s v="electricity__wtt"/>
    <s v="Electricity WTT"/>
    <s v="wtt"/>
    <b v="0"/>
    <s v="ELECTRICITY WTT; UNITED STATES - AZNM"/>
    <x v="1"/>
    <x v="1"/>
    <s v="Americas"/>
    <s v="Northern America"/>
    <s v="US"/>
    <s v="AZNM"/>
    <n v="0"/>
    <s v="CO2E"/>
    <n v="420318.06890000001"/>
    <n v="0.107879697"/>
    <s v="KWH"/>
    <n v="1"/>
    <n v="3896174"/>
    <s v="AR4"/>
    <s v="Anthesis"/>
    <s v="Anthesis (2022)"/>
    <n v="2022"/>
    <n v="2020"/>
    <n v="420.31806890000001"/>
    <n v="0"/>
    <x v="10"/>
    <s v="Labratory"/>
  </r>
  <r>
    <n v="290053"/>
    <s v="Top of Hierarchy &gt; North America &gt; Vantage_Dateland"/>
    <x v="2"/>
    <x v="0"/>
    <d v="2022-01-01T00:00:00"/>
    <d v="2022-12-31T00:00:00"/>
    <x v="0"/>
    <d v="2022-01-01T00:00:00"/>
    <d v="2022-12-31T00:00:00"/>
    <s v="Electricity (non-renewable)"/>
    <n v="3896174"/>
    <s v="Kilowatt hours"/>
    <x v="1"/>
    <m/>
    <s v="2023-05-02, 19:24"/>
    <s v="2023-07-20, 00:40"/>
    <n v="2022"/>
    <s v="electricity__wtt"/>
    <s v="Electricity WTT"/>
    <s v="wtt"/>
    <b v="0"/>
    <s v="ELECTRICITY; UNITED STATES - AZNM; WTT Estimated"/>
    <x v="1"/>
    <x v="1"/>
    <s v="Americas"/>
    <s v="Northern America"/>
    <s v="US"/>
    <s v="AZNM"/>
    <n v="1"/>
    <s v="CO2E MKT"/>
    <n v="445802.31569999998"/>
    <n v="0.114420536"/>
    <s v="KWH"/>
    <n v="1"/>
    <n v="3896174"/>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AZNM, Green-eto estimate the WTT factor."/>
    <n v="2022"/>
    <n v="2019"/>
    <n v="0"/>
    <n v="445.80231569999995"/>
    <x v="10"/>
    <s v="Labratory"/>
  </r>
  <r>
    <n v="290053"/>
    <s v="Top of Hierarchy &gt; North America &gt; Vantage_Dateland"/>
    <x v="2"/>
    <x v="0"/>
    <d v="2022-01-01T00:00:00"/>
    <d v="2022-12-31T00:00:00"/>
    <x v="0"/>
    <d v="2022-01-01T00:00:00"/>
    <d v="2022-12-31T00:00:00"/>
    <s v="Electricity (non-renewable)"/>
    <n v="3896174"/>
    <s v="Kilowatt hours"/>
    <x v="1"/>
    <m/>
    <s v="2023-05-02, 19:24"/>
    <s v="2023-07-20, 00:40"/>
    <n v="2022"/>
    <s v="electricity__t+d"/>
    <s v="Electricity T&amp;D"/>
    <s v="t+d"/>
    <b v="0"/>
    <s v="ELECTRICITY; TRANSMISSION AND DISTRIBUTION; UNITED STATES - AZNM"/>
    <x v="1"/>
    <x v="1"/>
    <s v="Americas"/>
    <s v="Northern America"/>
    <s v="US"/>
    <s v="AZNM"/>
    <n v="0"/>
    <s v="CO2E"/>
    <n v="79620.600290000002"/>
    <n v="2.0435585999999999E-2"/>
    <s v="KWH"/>
    <n v="1"/>
    <n v="3896174"/>
    <s v="AR4"/>
    <s v="USEPA"/>
    <s v="USEPA (2022)"/>
    <n v="2022"/>
    <n v="2020"/>
    <n v="79.620600289999999"/>
    <n v="0"/>
    <x v="10"/>
    <s v="Labratory"/>
  </r>
  <r>
    <n v="290053"/>
    <s v="Top of Hierarchy &gt; North America &gt; Vantage_Dateland"/>
    <x v="2"/>
    <x v="0"/>
    <d v="2022-01-01T00:00:00"/>
    <d v="2022-12-31T00:00:00"/>
    <x v="0"/>
    <d v="2022-01-01T00:00:00"/>
    <d v="2022-12-31T00:00:00"/>
    <s v="Electricity (non-renewable)"/>
    <n v="3896174"/>
    <s v="Kilowatt hours"/>
    <x v="1"/>
    <m/>
    <s v="2023-05-02, 19:24"/>
    <s v="2023-07-20, 00:40"/>
    <n v="2022"/>
    <s v="electricity__t+d"/>
    <s v="Electricity T&amp;D"/>
    <s v="t+d"/>
    <b v="0"/>
    <s v="ELECTRICITY; UNITED STATES - AZNM; T&amp;D Estimated"/>
    <x v="1"/>
    <x v="1"/>
    <s v="Americas"/>
    <s v="Northern America"/>
    <s v="US"/>
    <s v="AZNM"/>
    <n v="1"/>
    <s v="CO2E MKT"/>
    <n v="86065.20465"/>
    <n v="2.2089672000000001E-2"/>
    <s v="KWH"/>
    <n v="1"/>
    <n v="3896174"/>
    <s v="AR4"/>
    <s v="Anthesis"/>
    <s v="The median T&amp;D to generation factor ratio of all countries within the region Northern America was taken to be ELECTRICITY; UNITED STATES - SRSO, USEPA to ELECTRICITY; TRANSMISSION AND DISTRIBUTION; UNITED STATES - SRSO, USEPA: 0.051. This was applied to the base factor ELECTRICITY; UNITED STATES - AZNM, Green-eto estimate the T&amp;D factor."/>
    <n v="2022"/>
    <n v="2019"/>
    <n v="0"/>
    <n v="86.065204649999998"/>
    <x v="10"/>
    <s v="Labratory"/>
  </r>
  <r>
    <n v="290050"/>
    <s v="Top of Hierarchy &gt; North America &gt; Vantage_Dateland"/>
    <x v="2"/>
    <x v="0"/>
    <d v="2022-01-01T00:00:00"/>
    <d v="2022-12-31T00:00:00"/>
    <x v="3"/>
    <d v="2022-01-01T00:00:00"/>
    <d v="2022-12-31T00:00:00"/>
    <s v="Natural gas"/>
    <n v="70156.36"/>
    <s v="Hundred Thousand BTUs"/>
    <x v="1"/>
    <m/>
    <s v="2023-05-02, 19:00"/>
    <s v="2023-07-20, 00:40"/>
    <n v="2022"/>
    <s v="natural_gas"/>
    <s v="Natural Gas"/>
    <s v="model"/>
    <b v="0"/>
    <s v="NATURAL GAS, NATURAL GAS"/>
    <x v="2"/>
    <x v="0"/>
    <s v="Americas"/>
    <s v="Northern America"/>
    <s v="US"/>
    <m/>
    <n v="0"/>
    <s v="CH4"/>
    <n v="175.39089999999999"/>
    <n v="2.5000000000000001E-2"/>
    <s v="MMBTU"/>
    <n v="0.1"/>
    <n v="7015.6360000000004"/>
    <s v="AR4"/>
    <s v="USEPA"/>
    <s v="USEPA Emission Factors Hub (Last Modified: March 2020)"/>
    <n v="2022"/>
    <n v="2021"/>
    <n v="0"/>
    <n v="0"/>
    <x v="10"/>
    <s v="Labratory"/>
  </r>
  <r>
    <n v="290050"/>
    <s v="Top of Hierarchy &gt; North America &gt; Vantage_Dateland"/>
    <x v="2"/>
    <x v="0"/>
    <d v="2022-01-01T00:00:00"/>
    <d v="2022-12-31T00:00:00"/>
    <x v="3"/>
    <d v="2022-01-01T00:00:00"/>
    <d v="2022-12-31T00:00:00"/>
    <s v="Natural gas"/>
    <n v="70156.36"/>
    <s v="Hundred Thousand BTUs"/>
    <x v="1"/>
    <m/>
    <s v="2023-05-02, 19:00"/>
    <s v="2023-07-20, 00:40"/>
    <n v="2022"/>
    <s v="natural_gas"/>
    <s v="Natural Gas"/>
    <s v="model"/>
    <b v="0"/>
    <s v="NATURAL GAS, NATURAL GAS"/>
    <x v="2"/>
    <x v="0"/>
    <s v="Americas"/>
    <s v="Northern America"/>
    <s v="US"/>
    <m/>
    <n v="0"/>
    <s v="CO2"/>
    <n v="372249.64620000002"/>
    <n v="53.06"/>
    <s v="MMBTU"/>
    <n v="0.1"/>
    <n v="7015.6360000000004"/>
    <s v="AR4"/>
    <s v="USEPA"/>
    <s v="USEPA (2022)"/>
    <n v="2022"/>
    <n v="2022"/>
    <n v="0"/>
    <n v="0"/>
    <x v="10"/>
    <s v="Labratory"/>
  </r>
  <r>
    <n v="290050"/>
    <s v="Top of Hierarchy &gt; North America &gt; Vantage_Dateland"/>
    <x v="2"/>
    <x v="0"/>
    <d v="2022-01-01T00:00:00"/>
    <d v="2022-12-31T00:00:00"/>
    <x v="3"/>
    <d v="2022-01-01T00:00:00"/>
    <d v="2022-12-31T00:00:00"/>
    <s v="Natural gas"/>
    <n v="70156.36"/>
    <s v="Hundred Thousand BTUs"/>
    <x v="1"/>
    <m/>
    <s v="2023-05-02, 19:00"/>
    <s v="2023-07-20, 00:40"/>
    <n v="2022"/>
    <s v="natural_gas"/>
    <s v="Natural Gas"/>
    <s v="model"/>
    <b v="0"/>
    <s v="NATURAL GAS, NATURAL GAS"/>
    <x v="2"/>
    <x v="0"/>
    <s v="Americas"/>
    <s v="Northern America"/>
    <s v="US"/>
    <m/>
    <n v="0"/>
    <s v="CO2E"/>
    <n v="372634.103"/>
    <n v="53.114800000000002"/>
    <s v="MMBTU"/>
    <n v="0.1"/>
    <n v="7015.6360000000004"/>
    <s v="AR4"/>
    <s v="USEPA"/>
    <s v="USEPA Emission Factors Hub (Last Modified: March 2020)"/>
    <n v="2022"/>
    <n v="2021"/>
    <n v="372.63410299999998"/>
    <n v="0"/>
    <x v="10"/>
    <s v="Labratory"/>
  </r>
  <r>
    <n v="290050"/>
    <s v="Top of Hierarchy &gt; North America &gt; Vantage_Dateland"/>
    <x v="2"/>
    <x v="0"/>
    <d v="2022-01-01T00:00:00"/>
    <d v="2022-12-31T00:00:00"/>
    <x v="3"/>
    <d v="2022-01-01T00:00:00"/>
    <d v="2022-12-31T00:00:00"/>
    <s v="Natural gas"/>
    <n v="70156.36"/>
    <s v="Hundred Thousand BTUs"/>
    <x v="1"/>
    <m/>
    <s v="2023-05-02, 19:00"/>
    <s v="2023-07-20, 00:40"/>
    <n v="2022"/>
    <s v="natural_gas"/>
    <s v="Natural Gas"/>
    <s v="model"/>
    <b v="0"/>
    <s v="NATURAL GAS, NATURAL GAS"/>
    <x v="2"/>
    <x v="0"/>
    <s v="Americas"/>
    <s v="Northern America"/>
    <s v="US"/>
    <m/>
    <n v="0"/>
    <s v="N2O"/>
    <n v="209.06595279999999"/>
    <n v="2.98E-2"/>
    <s v="MMBTU"/>
    <n v="0.1"/>
    <n v="7015.6360000000004"/>
    <s v="AR4"/>
    <s v="USEPA"/>
    <s v="USEPA (2022)"/>
    <n v="2022"/>
    <n v="2022"/>
    <n v="0"/>
    <n v="0"/>
    <x v="10"/>
    <s v="Labratory"/>
  </r>
  <r>
    <n v="290050"/>
    <s v="Top of Hierarchy &gt; North America &gt; Vantage_Dateland"/>
    <x v="2"/>
    <x v="0"/>
    <d v="2022-01-01T00:00:00"/>
    <d v="2022-12-31T00:00:00"/>
    <x v="3"/>
    <d v="2022-01-01T00:00:00"/>
    <d v="2022-12-31T00:00:00"/>
    <s v="Natural gas"/>
    <n v="70156.36"/>
    <s v="Hundred Thousand BTUs"/>
    <x v="1"/>
    <m/>
    <s v="2023-05-02, 19:00"/>
    <s v="2023-07-20, 00:40"/>
    <n v="2022"/>
    <s v="natural_gas"/>
    <s v="Natural Gas"/>
    <s v="model"/>
    <b v="0"/>
    <s v="NATURAL GAS, NATURAL GAS"/>
    <x v="2"/>
    <x v="0"/>
    <s v="Americas"/>
    <s v="Northern America"/>
    <s v="US"/>
    <m/>
    <n v="1"/>
    <s v="CH4"/>
    <n v="175.39089999999999"/>
    <n v="2.5000000000000001E-2"/>
    <s v="MMBTU"/>
    <n v="0.1"/>
    <n v="7015.6360000000004"/>
    <s v="AR4"/>
    <s v="USEPA"/>
    <s v="USEPA Emission Factors Hub (Last Modified: March 2020)"/>
    <n v="2022"/>
    <n v="2021"/>
    <n v="0"/>
    <n v="0"/>
    <x v="10"/>
    <s v="Labratory"/>
  </r>
  <r>
    <n v="290050"/>
    <s v="Top of Hierarchy &gt; North America &gt; Vantage_Dateland"/>
    <x v="2"/>
    <x v="0"/>
    <d v="2022-01-01T00:00:00"/>
    <d v="2022-12-31T00:00:00"/>
    <x v="3"/>
    <d v="2022-01-01T00:00:00"/>
    <d v="2022-12-31T00:00:00"/>
    <s v="Natural gas"/>
    <n v="70156.36"/>
    <s v="Hundred Thousand BTUs"/>
    <x v="1"/>
    <m/>
    <s v="2023-05-02, 19:00"/>
    <s v="2023-07-20, 00:40"/>
    <n v="2022"/>
    <s v="natural_gas"/>
    <s v="Natural Gas"/>
    <s v="model"/>
    <b v="0"/>
    <s v="NATURAL GAS, NATURAL GAS"/>
    <x v="2"/>
    <x v="0"/>
    <s v="Americas"/>
    <s v="Northern America"/>
    <s v="US"/>
    <m/>
    <n v="1"/>
    <s v="CO2"/>
    <n v="372249.64620000002"/>
    <n v="53.06"/>
    <s v="MMBTU"/>
    <n v="0.1"/>
    <n v="7015.6360000000004"/>
    <s v="AR4"/>
    <s v="USEPA"/>
    <s v="USEPA (2022)"/>
    <n v="2022"/>
    <n v="2022"/>
    <n v="0"/>
    <n v="0"/>
    <x v="10"/>
    <s v="Labratory"/>
  </r>
  <r>
    <n v="290050"/>
    <s v="Top of Hierarchy &gt; North America &gt; Vantage_Dateland"/>
    <x v="2"/>
    <x v="0"/>
    <d v="2022-01-01T00:00:00"/>
    <d v="2022-12-31T00:00:00"/>
    <x v="3"/>
    <d v="2022-01-01T00:00:00"/>
    <d v="2022-12-31T00:00:00"/>
    <s v="Natural gas"/>
    <n v="70156.36"/>
    <s v="Hundred Thousand BTUs"/>
    <x v="1"/>
    <m/>
    <s v="2023-05-02, 19:00"/>
    <s v="2023-07-20, 00:40"/>
    <n v="2022"/>
    <s v="natural_gas"/>
    <s v="Natural Gas"/>
    <s v="model"/>
    <b v="0"/>
    <s v="NATURAL GAS, NATURAL GAS"/>
    <x v="2"/>
    <x v="0"/>
    <s v="Americas"/>
    <s v="Northern America"/>
    <s v="US"/>
    <m/>
    <n v="1"/>
    <s v="CO2E"/>
    <n v="372634.103"/>
    <n v="53.114800000000002"/>
    <s v="MMBTU"/>
    <n v="0.1"/>
    <n v="7015.6360000000004"/>
    <s v="AR4"/>
    <s v="USEPA"/>
    <s v="USEPA Emission Factors Hub (Last Modified: March 2020)"/>
    <n v="2022"/>
    <n v="2021"/>
    <n v="0"/>
    <n v="372.63410299999998"/>
    <x v="10"/>
    <s v="Labratory"/>
  </r>
  <r>
    <n v="290050"/>
    <s v="Top of Hierarchy &gt; North America &gt; Vantage_Dateland"/>
    <x v="2"/>
    <x v="0"/>
    <d v="2022-01-01T00:00:00"/>
    <d v="2022-12-31T00:00:00"/>
    <x v="3"/>
    <d v="2022-01-01T00:00:00"/>
    <d v="2022-12-31T00:00:00"/>
    <s v="Natural gas"/>
    <n v="70156.36"/>
    <s v="Hundred Thousand BTUs"/>
    <x v="1"/>
    <m/>
    <s v="2023-05-02, 19:00"/>
    <s v="2023-07-20, 00:40"/>
    <n v="2022"/>
    <s v="natural_gas"/>
    <s v="Natural Gas"/>
    <s v="model"/>
    <b v="0"/>
    <s v="NATURAL GAS, NATURAL GAS"/>
    <x v="2"/>
    <x v="0"/>
    <s v="Americas"/>
    <s v="Northern America"/>
    <s v="US"/>
    <m/>
    <n v="1"/>
    <s v="N2O"/>
    <n v="209.06595279999999"/>
    <n v="2.98E-2"/>
    <s v="MMBTU"/>
    <n v="0.1"/>
    <n v="7015.6360000000004"/>
    <s v="AR4"/>
    <s v="USEPA"/>
    <s v="USEPA (2022)"/>
    <n v="2022"/>
    <n v="2022"/>
    <n v="0"/>
    <n v="0"/>
    <x v="10"/>
    <s v="Labratory"/>
  </r>
  <r>
    <n v="290050"/>
    <s v="Top of Hierarchy &gt; North America &gt; Vantage_Dateland"/>
    <x v="2"/>
    <x v="0"/>
    <d v="2022-01-01T00:00:00"/>
    <d v="2022-12-31T00:00:00"/>
    <x v="3"/>
    <d v="2022-01-01T00:00:00"/>
    <d v="2022-12-31T00:00:00"/>
    <s v="Natural gas"/>
    <n v="70156.36"/>
    <s v="Hundred Thousand BTUs"/>
    <x v="1"/>
    <m/>
    <s v="2023-05-02, 19:00"/>
    <s v="2023-07-20, 00:40"/>
    <n v="2022"/>
    <s v="natural_gas__wtt"/>
    <s v="Natural Gas WTT"/>
    <s v="wtt"/>
    <b v="0"/>
    <s v="WTT- FUELS; GASEOUS FUELS; NATURAL GAS"/>
    <x v="1"/>
    <x v="1"/>
    <m/>
    <m/>
    <m/>
    <m/>
    <n v="0"/>
    <s v="CO2E"/>
    <n v="63928.798110000003"/>
    <n v="3.1099999999999999E-2"/>
    <s v="KWH (GROSS CV)"/>
    <n v="29.3001"/>
    <n v="2055588.3640000001"/>
    <s v="AR4"/>
    <s v="Defra"/>
    <s v="Defra (2022)"/>
    <n v="2022"/>
    <n v="2020"/>
    <n v="63.928798110000002"/>
    <n v="0"/>
    <x v="10"/>
    <s v="Labratory"/>
  </r>
  <r>
    <n v="290050"/>
    <s v="Top of Hierarchy &gt; North America &gt; Vantage_Dateland"/>
    <x v="2"/>
    <x v="0"/>
    <d v="2022-01-01T00:00:00"/>
    <d v="2022-12-31T00:00:00"/>
    <x v="3"/>
    <d v="2022-01-01T00:00:00"/>
    <d v="2022-12-31T00:00:00"/>
    <s v="Natural gas"/>
    <n v="70156.36"/>
    <s v="Hundred Thousand BTUs"/>
    <x v="1"/>
    <m/>
    <s v="2023-05-02, 19:00"/>
    <s v="2023-07-20, 00:40"/>
    <n v="2022"/>
    <s v="natural_gas__wtt"/>
    <s v="Natural Gas WTT"/>
    <s v="wtt"/>
    <b v="0"/>
    <s v="WTT- FUELS; GASEOUS FUELS; NATURAL GAS"/>
    <x v="1"/>
    <x v="1"/>
    <m/>
    <m/>
    <m/>
    <m/>
    <n v="1"/>
    <s v="CO2E"/>
    <n v="63928.798110000003"/>
    <n v="3.1099999999999999E-2"/>
    <s v="KWH (GROSS CV)"/>
    <n v="29.3001"/>
    <n v="2055588.3640000001"/>
    <s v="AR4"/>
    <s v="Defra"/>
    <s v="Defra (2022)"/>
    <n v="2022"/>
    <n v="2020"/>
    <n v="0"/>
    <n v="63.928798110000002"/>
    <x v="10"/>
    <s v="Labratory"/>
  </r>
  <r>
    <n v="250119"/>
    <s v="Top of Hierarchy &gt; North America &gt; Vantage_Dateland"/>
    <x v="2"/>
    <x v="0"/>
    <d v="2022-01-01T00:00:00"/>
    <d v="2022-12-31T00:00:00"/>
    <x v="1"/>
    <d v="2022-01-01T00:00:00"/>
    <d v="2022-12-31T00:00:00"/>
    <s v="Petrol (average biofuel blend)"/>
    <n v="16368"/>
    <s v="US liquid gallons"/>
    <x v="1"/>
    <m/>
    <s v="2023-04-25, 22:36"/>
    <s v="2023-07-20, 00:40"/>
    <n v="2022"/>
    <s v="petrol_avg_biofuel_blend"/>
    <s v="Petrol (Average Biofuel Blend)"/>
    <s v="model"/>
    <b v="0"/>
    <s v="PETROLEUM PRODUCTS, MOTOR GASOLINE"/>
    <x v="2"/>
    <x v="0"/>
    <s v="Americas"/>
    <s v="Northern America"/>
    <s v="US"/>
    <m/>
    <n v="0"/>
    <s v="CH4"/>
    <n v="155.49600000000001"/>
    <n v="9.4999999999999998E-3"/>
    <s v="GALLON (US LIQUID)"/>
    <n v="1"/>
    <n v="16368"/>
    <s v="AR4"/>
    <s v="USEPA"/>
    <s v="USEPA (2022)"/>
    <n v="2022"/>
    <n v="2022"/>
    <n v="0"/>
    <n v="0"/>
    <x v="10"/>
    <s v="Labratory"/>
  </r>
  <r>
    <n v="250119"/>
    <s v="Top of Hierarchy &gt; North America &gt; Vantage_Dateland"/>
    <x v="2"/>
    <x v="0"/>
    <d v="2022-01-01T00:00:00"/>
    <d v="2022-12-31T00:00:00"/>
    <x v="1"/>
    <d v="2022-01-01T00:00:00"/>
    <d v="2022-12-31T00:00:00"/>
    <s v="Petrol (average biofuel blend)"/>
    <n v="16368"/>
    <s v="US liquid gallons"/>
    <x v="1"/>
    <m/>
    <s v="2023-04-25, 22:36"/>
    <s v="2023-07-20, 00:40"/>
    <n v="2022"/>
    <s v="petrol_avg_biofuel_blend"/>
    <s v="Petrol (Average Biofuel Blend)"/>
    <s v="model"/>
    <b v="0"/>
    <s v="PETROLEUM PRODUCTS, MOTOR GASOLINE"/>
    <x v="2"/>
    <x v="0"/>
    <s v="Americas"/>
    <s v="Northern America"/>
    <s v="US"/>
    <m/>
    <n v="0"/>
    <s v="CO2"/>
    <n v="143711.04000000001"/>
    <n v="8.7799999999999994"/>
    <s v="GALLON (US LIQUID)"/>
    <n v="1"/>
    <n v="16368"/>
    <s v="AR4"/>
    <s v="USEPA"/>
    <s v="USEPA (2022)"/>
    <n v="2022"/>
    <n v="2022"/>
    <n v="0"/>
    <n v="0"/>
    <x v="10"/>
    <s v="Labratory"/>
  </r>
  <r>
    <n v="250119"/>
    <s v="Top of Hierarchy &gt; North America &gt; Vantage_Dateland"/>
    <x v="2"/>
    <x v="0"/>
    <d v="2022-01-01T00:00:00"/>
    <d v="2022-12-31T00:00:00"/>
    <x v="1"/>
    <d v="2022-01-01T00:00:00"/>
    <d v="2022-12-31T00:00:00"/>
    <s v="Petrol (average biofuel blend)"/>
    <n v="16368"/>
    <s v="US liquid gallons"/>
    <x v="1"/>
    <m/>
    <s v="2023-04-25, 22:36"/>
    <s v="2023-07-20, 00:40"/>
    <n v="2022"/>
    <s v="petrol_avg_biofuel_blend"/>
    <s v="Petrol (Average Biofuel Blend)"/>
    <s v="model"/>
    <b v="0"/>
    <s v="PETROLEUM PRODUCTS, MOTOR GASOLINE"/>
    <x v="2"/>
    <x v="0"/>
    <s v="Americas"/>
    <s v="Northern America"/>
    <s v="US"/>
    <m/>
    <n v="0"/>
    <s v="CO2E"/>
    <n v="144256.74909999999"/>
    <n v="8.8133400000000002"/>
    <s v="GALLON (US LIQUID)"/>
    <n v="1"/>
    <n v="16368"/>
    <s v="AR4"/>
    <s v="USEPA"/>
    <s v="USEPA (2022)"/>
    <n v="2022"/>
    <n v="2022"/>
    <n v="144.25674909999998"/>
    <n v="0"/>
    <x v="10"/>
    <s v="Labratory"/>
  </r>
  <r>
    <n v="250119"/>
    <s v="Top of Hierarchy &gt; North America &gt; Vantage_Dateland"/>
    <x v="2"/>
    <x v="0"/>
    <d v="2022-01-01T00:00:00"/>
    <d v="2022-12-31T00:00:00"/>
    <x v="1"/>
    <d v="2022-01-01T00:00:00"/>
    <d v="2022-12-31T00:00:00"/>
    <s v="Petrol (average biofuel blend)"/>
    <n v="16368"/>
    <s v="US liquid gallons"/>
    <x v="1"/>
    <m/>
    <s v="2023-04-25, 22:36"/>
    <s v="2023-07-20, 00:40"/>
    <n v="2022"/>
    <s v="petrol_avg_biofuel_blend"/>
    <s v="Petrol (Average Biofuel Blend)"/>
    <s v="model"/>
    <b v="0"/>
    <s v="PETROLEUM PRODUCTS, MOTOR GASOLINE"/>
    <x v="2"/>
    <x v="0"/>
    <s v="Americas"/>
    <s v="Northern America"/>
    <s v="US"/>
    <m/>
    <n v="0"/>
    <s v="N2O"/>
    <n v="390.21312"/>
    <n v="2.384E-2"/>
    <s v="GALLON (US LIQUID)"/>
    <n v="1"/>
    <n v="16368"/>
    <s v="AR4"/>
    <s v="USEPA"/>
    <s v="USEPA Emission Factors Hub (Last Modified: March 2020)"/>
    <n v="2022"/>
    <n v="2021"/>
    <n v="0"/>
    <n v="0"/>
    <x v="10"/>
    <s v="Labratory"/>
  </r>
  <r>
    <n v="250119"/>
    <s v="Top of Hierarchy &gt; North America &gt; Vantage_Dateland"/>
    <x v="2"/>
    <x v="0"/>
    <d v="2022-01-01T00:00:00"/>
    <d v="2022-12-31T00:00:00"/>
    <x v="1"/>
    <d v="2022-01-01T00:00:00"/>
    <d v="2022-12-31T00:00:00"/>
    <s v="Petrol (average biofuel blend)"/>
    <n v="16368"/>
    <s v="US liquid gallons"/>
    <x v="1"/>
    <m/>
    <s v="2023-04-25, 22:36"/>
    <s v="2023-07-20, 00:40"/>
    <n v="2022"/>
    <s v="petrol_avg_biofuel_blend"/>
    <s v="Petrol (Average Biofuel Blend)"/>
    <s v="model"/>
    <b v="0"/>
    <s v="PETROLEUM PRODUCTS, MOTOR GASOLINE"/>
    <x v="2"/>
    <x v="0"/>
    <s v="Americas"/>
    <s v="Northern America"/>
    <s v="US"/>
    <m/>
    <n v="1"/>
    <s v="CH4"/>
    <n v="155.49600000000001"/>
    <n v="9.4999999999999998E-3"/>
    <s v="GALLON (US LIQUID)"/>
    <n v="1"/>
    <n v="16368"/>
    <s v="AR4"/>
    <s v="USEPA"/>
    <s v="USEPA (2022)"/>
    <n v="2022"/>
    <n v="2022"/>
    <n v="0"/>
    <n v="0"/>
    <x v="10"/>
    <s v="Labratory"/>
  </r>
  <r>
    <n v="250119"/>
    <s v="Top of Hierarchy &gt; North America &gt; Vantage_Dateland"/>
    <x v="2"/>
    <x v="0"/>
    <d v="2022-01-01T00:00:00"/>
    <d v="2022-12-31T00:00:00"/>
    <x v="1"/>
    <d v="2022-01-01T00:00:00"/>
    <d v="2022-12-31T00:00:00"/>
    <s v="Petrol (average biofuel blend)"/>
    <n v="16368"/>
    <s v="US liquid gallons"/>
    <x v="1"/>
    <m/>
    <s v="2023-04-25, 22:36"/>
    <s v="2023-07-20, 00:40"/>
    <n v="2022"/>
    <s v="petrol_avg_biofuel_blend"/>
    <s v="Petrol (Average Biofuel Blend)"/>
    <s v="model"/>
    <b v="0"/>
    <s v="PETROLEUM PRODUCTS, MOTOR GASOLINE"/>
    <x v="2"/>
    <x v="0"/>
    <s v="Americas"/>
    <s v="Northern America"/>
    <s v="US"/>
    <m/>
    <n v="1"/>
    <s v="CO2"/>
    <n v="143711.04000000001"/>
    <n v="8.7799999999999994"/>
    <s v="GALLON (US LIQUID)"/>
    <n v="1"/>
    <n v="16368"/>
    <s v="AR4"/>
    <s v="USEPA"/>
    <s v="USEPA (2022)"/>
    <n v="2022"/>
    <n v="2022"/>
    <n v="0"/>
    <n v="0"/>
    <x v="10"/>
    <s v="Labratory"/>
  </r>
  <r>
    <n v="250119"/>
    <s v="Top of Hierarchy &gt; North America &gt; Vantage_Dateland"/>
    <x v="2"/>
    <x v="0"/>
    <d v="2022-01-01T00:00:00"/>
    <d v="2022-12-31T00:00:00"/>
    <x v="1"/>
    <d v="2022-01-01T00:00:00"/>
    <d v="2022-12-31T00:00:00"/>
    <s v="Petrol (average biofuel blend)"/>
    <n v="16368"/>
    <s v="US liquid gallons"/>
    <x v="1"/>
    <m/>
    <s v="2023-04-25, 22:36"/>
    <s v="2023-07-20, 00:40"/>
    <n v="2022"/>
    <s v="petrol_avg_biofuel_blend"/>
    <s v="Petrol (Average Biofuel Blend)"/>
    <s v="model"/>
    <b v="0"/>
    <s v="PETROLEUM PRODUCTS, MOTOR GASOLINE"/>
    <x v="2"/>
    <x v="0"/>
    <s v="Americas"/>
    <s v="Northern America"/>
    <s v="US"/>
    <m/>
    <n v="1"/>
    <s v="CO2E"/>
    <n v="144256.74909999999"/>
    <n v="8.8133400000000002"/>
    <s v="GALLON (US LIQUID)"/>
    <n v="1"/>
    <n v="16368"/>
    <s v="AR4"/>
    <s v="USEPA"/>
    <s v="USEPA (2022)"/>
    <n v="2022"/>
    <n v="2022"/>
    <n v="0"/>
    <n v="144.25674909999998"/>
    <x v="10"/>
    <s v="Labratory"/>
  </r>
  <r>
    <n v="250119"/>
    <s v="Top of Hierarchy &gt; North America &gt; Vantage_Dateland"/>
    <x v="2"/>
    <x v="0"/>
    <d v="2022-01-01T00:00:00"/>
    <d v="2022-12-31T00:00:00"/>
    <x v="1"/>
    <d v="2022-01-01T00:00:00"/>
    <d v="2022-12-31T00:00:00"/>
    <s v="Petrol (average biofuel blend)"/>
    <n v="16368"/>
    <s v="US liquid gallons"/>
    <x v="1"/>
    <m/>
    <s v="2023-04-25, 22:36"/>
    <s v="2023-07-20, 00:40"/>
    <n v="2022"/>
    <s v="petrol_avg_biofuel_blend"/>
    <s v="Petrol (Average Biofuel Blend)"/>
    <s v="model"/>
    <b v="0"/>
    <s v="PETROLEUM PRODUCTS, MOTOR GASOLINE"/>
    <x v="2"/>
    <x v="0"/>
    <s v="Americas"/>
    <s v="Northern America"/>
    <s v="US"/>
    <m/>
    <n v="1"/>
    <s v="N2O"/>
    <n v="390.21312"/>
    <n v="2.384E-2"/>
    <s v="GALLON (US LIQUID)"/>
    <n v="1"/>
    <n v="16368"/>
    <s v="AR4"/>
    <s v="USEPA"/>
    <s v="USEPA Emission Factors Hub (Last Modified: March 2020)"/>
    <n v="2022"/>
    <n v="2021"/>
    <n v="0"/>
    <n v="0"/>
    <x v="10"/>
    <s v="Labratory"/>
  </r>
  <r>
    <n v="250119"/>
    <s v="Top of Hierarchy &gt; North America &gt; Vantage_Dateland"/>
    <x v="2"/>
    <x v="0"/>
    <d v="2022-01-01T00:00:00"/>
    <d v="2022-12-31T00:00:00"/>
    <x v="1"/>
    <d v="2022-01-01T00:00:00"/>
    <d v="2022-12-31T00:00:00"/>
    <s v="Petrol (average biofuel blend)"/>
    <n v="16368"/>
    <s v="US liquid gallons"/>
    <x v="1"/>
    <m/>
    <s v="2023-04-25, 22:36"/>
    <s v="2023-07-20, 00:40"/>
    <n v="2022"/>
    <s v="petrol_avg_biofuel_blend__wtt"/>
    <s v="Petrol (Average Biofuel Blend) WTT"/>
    <s v="wtt"/>
    <b v="0"/>
    <s v="WTT- FUELS; LIQUID FUELS; PETROL (AVERAGE BIOFUEL BLEND)"/>
    <x v="1"/>
    <x v="1"/>
    <m/>
    <m/>
    <m/>
    <m/>
    <n v="0"/>
    <s v="CO2E"/>
    <n v="37998.57789"/>
    <n v="0.61328000000000005"/>
    <s v="LITRES"/>
    <n v="3.7854100000000002"/>
    <n v="61959.590880000003"/>
    <s v="AR4"/>
    <s v="Defra"/>
    <s v="Defra (2022)"/>
    <n v="2022"/>
    <n v="2020"/>
    <n v="37.99857789"/>
    <n v="0"/>
    <x v="10"/>
    <s v="Labratory"/>
  </r>
  <r>
    <n v="250119"/>
    <s v="Top of Hierarchy &gt; North America &gt; Vantage_Dateland"/>
    <x v="2"/>
    <x v="0"/>
    <d v="2022-01-01T00:00:00"/>
    <d v="2022-12-31T00:00:00"/>
    <x v="1"/>
    <d v="2022-01-01T00:00:00"/>
    <d v="2022-12-31T00:00:00"/>
    <s v="Petrol (average biofuel blend)"/>
    <n v="16368"/>
    <s v="US liquid gallons"/>
    <x v="1"/>
    <m/>
    <s v="2023-04-25, 22:36"/>
    <s v="2023-07-20, 00:40"/>
    <n v="2022"/>
    <s v="petrol_avg_biofuel_blend__wtt"/>
    <s v="Petrol (Average Biofuel Blend) WTT"/>
    <s v="wtt"/>
    <b v="0"/>
    <s v="WTT- FUELS; LIQUID FUELS; PETROL (AVERAGE BIOFUEL BLEND)"/>
    <x v="1"/>
    <x v="1"/>
    <m/>
    <m/>
    <m/>
    <m/>
    <n v="1"/>
    <s v="CO2E"/>
    <n v="37998.57789"/>
    <n v="0.61328000000000005"/>
    <s v="LITRES"/>
    <n v="3.7854100000000002"/>
    <n v="61959.590880000003"/>
    <s v="AR4"/>
    <s v="Defra"/>
    <s v="Defra (2022)"/>
    <n v="2022"/>
    <n v="2020"/>
    <n v="0"/>
    <n v="37.99857789"/>
    <x v="10"/>
    <s v="Labratory"/>
  </r>
  <r>
    <n v="250121"/>
    <s v="Top of Hierarchy &gt; North America &gt; Vantage_Dateland"/>
    <x v="2"/>
    <x v="0"/>
    <d v="2022-01-01T00:00:00"/>
    <d v="2022-12-31T00:00:00"/>
    <x v="1"/>
    <d v="2022-01-01T00:00:00"/>
    <d v="2022-12-31T00:00:00"/>
    <s v="Diesel (average biofuel blend)"/>
    <n v="12837"/>
    <s v="US liquid gallons"/>
    <x v="1"/>
    <m/>
    <s v="2023-04-25, 22:36"/>
    <s v="2023-07-20, 00:40"/>
    <n v="2022"/>
    <s v="diesel_avg_biofuel_blend"/>
    <s v="Diesel (Average Biofuel Blend)"/>
    <s v="model"/>
    <b v="0"/>
    <s v="PETROLEUM PRODUCTS, DISTILLATE FUEL OIL NO. 2"/>
    <x v="2"/>
    <x v="0"/>
    <s v="Americas"/>
    <s v="Northern America"/>
    <s v="US"/>
    <m/>
    <n v="0"/>
    <s v="CH4"/>
    <n v="131.57925"/>
    <n v="1.025E-2"/>
    <s v="GALLON (US LIQUID)"/>
    <n v="1"/>
    <n v="12837"/>
    <s v="AR4"/>
    <s v="USEPA"/>
    <s v="USEPA (2022)"/>
    <n v="2022"/>
    <n v="2022"/>
    <n v="0"/>
    <n v="0"/>
    <x v="10"/>
    <s v="Labratory"/>
  </r>
  <r>
    <n v="250121"/>
    <s v="Top of Hierarchy &gt; North America &gt; Vantage_Dateland"/>
    <x v="2"/>
    <x v="0"/>
    <d v="2022-01-01T00:00:00"/>
    <d v="2022-12-31T00:00:00"/>
    <x v="1"/>
    <d v="2022-01-01T00:00:00"/>
    <d v="2022-12-31T00:00:00"/>
    <s v="Diesel (average biofuel blend)"/>
    <n v="12837"/>
    <s v="US liquid gallons"/>
    <x v="1"/>
    <m/>
    <s v="2023-04-25, 22:36"/>
    <s v="2023-07-20, 00:40"/>
    <n v="2022"/>
    <s v="diesel_avg_biofuel_blend"/>
    <s v="Diesel (Average Biofuel Blend)"/>
    <s v="model"/>
    <b v="0"/>
    <s v="PETROLEUM PRODUCTS, DISTILLATE FUEL OIL NO. 2"/>
    <x v="2"/>
    <x v="0"/>
    <s v="Americas"/>
    <s v="Northern America"/>
    <s v="US"/>
    <m/>
    <n v="0"/>
    <s v="CO2"/>
    <n v="131065.77"/>
    <n v="10.210000000000001"/>
    <s v="GALLON (US LIQUID)"/>
    <n v="1"/>
    <n v="12837"/>
    <s v="AR4"/>
    <s v="USEPA"/>
    <s v="USEPA (2022)"/>
    <n v="2022"/>
    <n v="2022"/>
    <n v="0"/>
    <n v="0"/>
    <x v="10"/>
    <s v="Labratory"/>
  </r>
  <r>
    <n v="250121"/>
    <s v="Top of Hierarchy &gt; North America &gt; Vantage_Dateland"/>
    <x v="2"/>
    <x v="0"/>
    <d v="2022-01-01T00:00:00"/>
    <d v="2022-12-31T00:00:00"/>
    <x v="1"/>
    <d v="2022-01-01T00:00:00"/>
    <d v="2022-12-31T00:00:00"/>
    <s v="Diesel (average biofuel blend)"/>
    <n v="12837"/>
    <s v="US liquid gallons"/>
    <x v="1"/>
    <m/>
    <s v="2023-04-25, 22:36"/>
    <s v="2023-07-20, 00:40"/>
    <n v="2022"/>
    <s v="diesel_avg_biofuel_blend"/>
    <s v="Diesel (Average Biofuel Blend)"/>
    <s v="model"/>
    <b v="0"/>
    <s v="PETROLEUM PRODUCTS, DISTILLATE FUEL OIL NO. 2"/>
    <x v="2"/>
    <x v="0"/>
    <s v="Americas"/>
    <s v="Northern America"/>
    <s v="US"/>
    <m/>
    <n v="0"/>
    <s v="CO2E"/>
    <n v="131503.38329999999"/>
    <n v="10.24409"/>
    <s v="GALLON (US LIQUID)"/>
    <n v="1"/>
    <n v="12837"/>
    <s v="AR4"/>
    <s v="USEPA"/>
    <s v="USEPA Emission Factors Hub (Last Modified: March 2020)"/>
    <n v="2022"/>
    <n v="2021"/>
    <n v="131.5033833"/>
    <n v="0"/>
    <x v="10"/>
    <s v="Labratory"/>
  </r>
  <r>
    <n v="250121"/>
    <s v="Top of Hierarchy &gt; North America &gt; Vantage_Dateland"/>
    <x v="2"/>
    <x v="0"/>
    <d v="2022-01-01T00:00:00"/>
    <d v="2022-12-31T00:00:00"/>
    <x v="1"/>
    <d v="2022-01-01T00:00:00"/>
    <d v="2022-12-31T00:00:00"/>
    <s v="Diesel (average biofuel blend)"/>
    <n v="12837"/>
    <s v="US liquid gallons"/>
    <x v="1"/>
    <m/>
    <s v="2023-04-25, 22:36"/>
    <s v="2023-07-20, 00:40"/>
    <n v="2022"/>
    <s v="diesel_avg_biofuel_blend"/>
    <s v="Diesel (Average Biofuel Blend)"/>
    <s v="model"/>
    <b v="0"/>
    <s v="PETROLEUM PRODUCTS, DISTILLATE FUEL OIL NO. 2"/>
    <x v="2"/>
    <x v="0"/>
    <s v="Americas"/>
    <s v="Northern America"/>
    <s v="US"/>
    <m/>
    <n v="0"/>
    <s v="N2O"/>
    <n v="306.03408000000002"/>
    <n v="2.384E-2"/>
    <s v="GALLON (US LIQUID)"/>
    <n v="1"/>
    <n v="12837"/>
    <s v="AR4"/>
    <s v="USEPA"/>
    <s v="USEPA (2022)"/>
    <n v="2022"/>
    <n v="2022"/>
    <n v="0"/>
    <n v="0"/>
    <x v="10"/>
    <s v="Labratory"/>
  </r>
  <r>
    <n v="250121"/>
    <s v="Top of Hierarchy &gt; North America &gt; Vantage_Dateland"/>
    <x v="2"/>
    <x v="0"/>
    <d v="2022-01-01T00:00:00"/>
    <d v="2022-12-31T00:00:00"/>
    <x v="1"/>
    <d v="2022-01-01T00:00:00"/>
    <d v="2022-12-31T00:00:00"/>
    <s v="Diesel (average biofuel blend)"/>
    <n v="12837"/>
    <s v="US liquid gallons"/>
    <x v="1"/>
    <m/>
    <s v="2023-04-25, 22:36"/>
    <s v="2023-07-20, 00:40"/>
    <n v="2022"/>
    <s v="diesel_avg_biofuel_blend"/>
    <s v="Diesel (Average Biofuel Blend)"/>
    <s v="model"/>
    <b v="0"/>
    <s v="PETROLEUM PRODUCTS, DISTILLATE FUEL OIL NO. 2"/>
    <x v="2"/>
    <x v="0"/>
    <s v="Americas"/>
    <s v="Northern America"/>
    <s v="US"/>
    <m/>
    <n v="1"/>
    <s v="CH4"/>
    <n v="131.57925"/>
    <n v="1.025E-2"/>
    <s v="GALLON (US LIQUID)"/>
    <n v="1"/>
    <n v="12837"/>
    <s v="AR4"/>
    <s v="USEPA"/>
    <s v="USEPA (2022)"/>
    <n v="2022"/>
    <n v="2022"/>
    <n v="0"/>
    <n v="0"/>
    <x v="10"/>
    <s v="Labratory"/>
  </r>
  <r>
    <n v="250121"/>
    <s v="Top of Hierarchy &gt; North America &gt; Vantage_Dateland"/>
    <x v="2"/>
    <x v="0"/>
    <d v="2022-01-01T00:00:00"/>
    <d v="2022-12-31T00:00:00"/>
    <x v="1"/>
    <d v="2022-01-01T00:00:00"/>
    <d v="2022-12-31T00:00:00"/>
    <s v="Diesel (average biofuel blend)"/>
    <n v="12837"/>
    <s v="US liquid gallons"/>
    <x v="1"/>
    <m/>
    <s v="2023-04-25, 22:36"/>
    <s v="2023-07-20, 00:40"/>
    <n v="2022"/>
    <s v="diesel_avg_biofuel_blend"/>
    <s v="Diesel (Average Biofuel Blend)"/>
    <s v="model"/>
    <b v="0"/>
    <s v="PETROLEUM PRODUCTS, DISTILLATE FUEL OIL NO. 2"/>
    <x v="2"/>
    <x v="0"/>
    <s v="Americas"/>
    <s v="Northern America"/>
    <s v="US"/>
    <m/>
    <n v="1"/>
    <s v="CO2"/>
    <n v="131065.77"/>
    <n v="10.210000000000001"/>
    <s v="GALLON (US LIQUID)"/>
    <n v="1"/>
    <n v="12837"/>
    <s v="AR4"/>
    <s v="USEPA"/>
    <s v="USEPA (2022)"/>
    <n v="2022"/>
    <n v="2022"/>
    <n v="0"/>
    <n v="0"/>
    <x v="10"/>
    <s v="Labratory"/>
  </r>
  <r>
    <n v="250121"/>
    <s v="Top of Hierarchy &gt; North America &gt; Vantage_Dateland"/>
    <x v="2"/>
    <x v="0"/>
    <d v="2022-01-01T00:00:00"/>
    <d v="2022-12-31T00:00:00"/>
    <x v="1"/>
    <d v="2022-01-01T00:00:00"/>
    <d v="2022-12-31T00:00:00"/>
    <s v="Diesel (average biofuel blend)"/>
    <n v="12837"/>
    <s v="US liquid gallons"/>
    <x v="1"/>
    <m/>
    <s v="2023-04-25, 22:36"/>
    <s v="2023-07-20, 00:40"/>
    <n v="2022"/>
    <s v="diesel_avg_biofuel_blend"/>
    <s v="Diesel (Average Biofuel Blend)"/>
    <s v="model"/>
    <b v="0"/>
    <s v="PETROLEUM PRODUCTS, DISTILLATE FUEL OIL NO. 2"/>
    <x v="2"/>
    <x v="0"/>
    <s v="Americas"/>
    <s v="Northern America"/>
    <s v="US"/>
    <m/>
    <n v="1"/>
    <s v="CO2E"/>
    <n v="131503.38329999999"/>
    <n v="10.24409"/>
    <s v="GALLON (US LIQUID)"/>
    <n v="1"/>
    <n v="12837"/>
    <s v="AR4"/>
    <s v="USEPA"/>
    <s v="USEPA Emission Factors Hub (Last Modified: March 2020)"/>
    <n v="2022"/>
    <n v="2021"/>
    <n v="0"/>
    <n v="131.5033833"/>
    <x v="10"/>
    <s v="Labratory"/>
  </r>
  <r>
    <n v="250121"/>
    <s v="Top of Hierarchy &gt; North America &gt; Vantage_Dateland"/>
    <x v="2"/>
    <x v="0"/>
    <d v="2022-01-01T00:00:00"/>
    <d v="2022-12-31T00:00:00"/>
    <x v="1"/>
    <d v="2022-01-01T00:00:00"/>
    <d v="2022-12-31T00:00:00"/>
    <s v="Diesel (average biofuel blend)"/>
    <n v="12837"/>
    <s v="US liquid gallons"/>
    <x v="1"/>
    <m/>
    <s v="2023-04-25, 22:36"/>
    <s v="2023-07-20, 00:40"/>
    <n v="2022"/>
    <s v="diesel_avg_biofuel_blend"/>
    <s v="Diesel (Average Biofuel Blend)"/>
    <s v="model"/>
    <b v="0"/>
    <s v="PETROLEUM PRODUCTS, DISTILLATE FUEL OIL NO. 2"/>
    <x v="2"/>
    <x v="0"/>
    <s v="Americas"/>
    <s v="Northern America"/>
    <s v="US"/>
    <m/>
    <n v="1"/>
    <s v="N2O"/>
    <n v="306.03408000000002"/>
    <n v="2.384E-2"/>
    <s v="GALLON (US LIQUID)"/>
    <n v="1"/>
    <n v="12837"/>
    <s v="AR4"/>
    <s v="USEPA"/>
    <s v="USEPA (2022)"/>
    <n v="2022"/>
    <n v="2022"/>
    <n v="0"/>
    <n v="0"/>
    <x v="10"/>
    <s v="Labratory"/>
  </r>
  <r>
    <n v="250121"/>
    <s v="Top of Hierarchy &gt; North America &gt; Vantage_Dateland"/>
    <x v="2"/>
    <x v="0"/>
    <d v="2022-01-01T00:00:00"/>
    <d v="2022-12-31T00:00:00"/>
    <x v="1"/>
    <d v="2022-01-01T00:00:00"/>
    <d v="2022-12-31T00:00:00"/>
    <s v="Diesel (average biofuel blend)"/>
    <n v="12837"/>
    <s v="US liquid gallons"/>
    <x v="1"/>
    <m/>
    <s v="2023-04-25, 22:36"/>
    <s v="2023-07-20, 00:40"/>
    <n v="2022"/>
    <s v="diesel_avg_biofuel_blend__wtt"/>
    <s v="Diesel (Average Biofuel Blend) WTT"/>
    <s v="wtt"/>
    <b v="0"/>
    <s v="WTT- FUELS; LIQUID FUELS; DIESEL (AVERAGE BIOFUEL BLEND)"/>
    <x v="1"/>
    <x v="1"/>
    <m/>
    <m/>
    <m/>
    <m/>
    <n v="0"/>
    <s v="CO2E"/>
    <n v="29635.11492"/>
    <n v="0.60985999999999996"/>
    <s v="LITRES"/>
    <n v="3.7854100000000002"/>
    <n v="48593.308169999997"/>
    <s v="AR4"/>
    <s v="Defra"/>
    <s v="Defra (2022)"/>
    <n v="2022"/>
    <n v="2020"/>
    <n v="29.635114919999999"/>
    <n v="0"/>
    <x v="10"/>
    <s v="Labratory"/>
  </r>
  <r>
    <n v="250121"/>
    <s v="Top of Hierarchy &gt; North America &gt; Vantage_Dateland"/>
    <x v="2"/>
    <x v="0"/>
    <d v="2022-01-01T00:00:00"/>
    <d v="2022-12-31T00:00:00"/>
    <x v="1"/>
    <d v="2022-01-01T00:00:00"/>
    <d v="2022-12-31T00:00:00"/>
    <s v="Diesel (average biofuel blend)"/>
    <n v="12837"/>
    <s v="US liquid gallons"/>
    <x v="1"/>
    <m/>
    <s v="2023-04-25, 22:36"/>
    <s v="2023-07-20, 00:40"/>
    <n v="2022"/>
    <s v="diesel_avg_biofuel_blend__wtt"/>
    <s v="Diesel (Average Biofuel Blend) WTT"/>
    <s v="wtt"/>
    <b v="0"/>
    <s v="WTT- FUELS; LIQUID FUELS; DIESEL (AVERAGE BIOFUEL BLEND)"/>
    <x v="1"/>
    <x v="1"/>
    <m/>
    <m/>
    <m/>
    <m/>
    <n v="1"/>
    <s v="CO2E"/>
    <n v="29635.11492"/>
    <n v="0.60985999999999996"/>
    <s v="LITRES"/>
    <n v="3.7854100000000002"/>
    <n v="48593.308169999997"/>
    <s v="AR4"/>
    <s v="Defra"/>
    <s v="Defra (2022)"/>
    <n v="2022"/>
    <n v="2020"/>
    <n v="0"/>
    <n v="29.635114919999999"/>
    <x v="10"/>
    <s v="Labratory"/>
  </r>
  <r>
    <n v="250123"/>
    <s v="Top of Hierarchy &gt; North America &gt; Vantage_Dateland"/>
    <x v="2"/>
    <x v="0"/>
    <d v="2022-01-01T00:00:00"/>
    <d v="2022-12-31T00:00:00"/>
    <x v="1"/>
    <d v="2022-01-01T00:00:00"/>
    <d v="2022-12-31T00:00:00"/>
    <s v="Diesel (average biofuel blend)"/>
    <n v="4365"/>
    <s v="US liquid gallons"/>
    <x v="1"/>
    <m/>
    <s v="2023-04-25, 22:38"/>
    <s v="2023-07-20, 00:40"/>
    <n v="2022"/>
    <s v="diesel_avg_biofuel_blend"/>
    <s v="Diesel (Average Biofuel Blend)"/>
    <s v="model"/>
    <b v="0"/>
    <s v="PETROLEUM PRODUCTS, DISTILLATE FUEL OIL NO. 2"/>
    <x v="2"/>
    <x v="0"/>
    <s v="Americas"/>
    <s v="Northern America"/>
    <s v="US"/>
    <m/>
    <n v="0"/>
    <s v="CH4"/>
    <n v="44.741250000000001"/>
    <n v="1.025E-2"/>
    <s v="GALLON (US LIQUID)"/>
    <n v="1"/>
    <n v="4365"/>
    <s v="AR4"/>
    <s v="USEPA"/>
    <s v="USEPA (2022)"/>
    <n v="2022"/>
    <n v="2022"/>
    <n v="0"/>
    <n v="0"/>
    <x v="10"/>
    <s v="Labratory"/>
  </r>
  <r>
    <n v="250123"/>
    <s v="Top of Hierarchy &gt; North America &gt; Vantage_Dateland"/>
    <x v="2"/>
    <x v="0"/>
    <d v="2022-01-01T00:00:00"/>
    <d v="2022-12-31T00:00:00"/>
    <x v="1"/>
    <d v="2022-01-01T00:00:00"/>
    <d v="2022-12-31T00:00:00"/>
    <s v="Diesel (average biofuel blend)"/>
    <n v="4365"/>
    <s v="US liquid gallons"/>
    <x v="1"/>
    <m/>
    <s v="2023-04-25, 22:38"/>
    <s v="2023-07-20, 00:40"/>
    <n v="2022"/>
    <s v="diesel_avg_biofuel_blend"/>
    <s v="Diesel (Average Biofuel Blend)"/>
    <s v="model"/>
    <b v="0"/>
    <s v="PETROLEUM PRODUCTS, DISTILLATE FUEL OIL NO. 2"/>
    <x v="2"/>
    <x v="0"/>
    <s v="Americas"/>
    <s v="Northern America"/>
    <s v="US"/>
    <m/>
    <n v="0"/>
    <s v="CO2"/>
    <n v="44566.65"/>
    <n v="10.210000000000001"/>
    <s v="GALLON (US LIQUID)"/>
    <n v="1"/>
    <n v="4365"/>
    <s v="AR4"/>
    <s v="USEPA"/>
    <s v="USEPA (2022)"/>
    <n v="2022"/>
    <n v="2022"/>
    <n v="0"/>
    <n v="0"/>
    <x v="10"/>
    <s v="Labratory"/>
  </r>
  <r>
    <n v="250123"/>
    <s v="Top of Hierarchy &gt; North America &gt; Vantage_Dateland"/>
    <x v="2"/>
    <x v="0"/>
    <d v="2022-01-01T00:00:00"/>
    <d v="2022-12-31T00:00:00"/>
    <x v="1"/>
    <d v="2022-01-01T00:00:00"/>
    <d v="2022-12-31T00:00:00"/>
    <s v="Diesel (average biofuel blend)"/>
    <n v="4365"/>
    <s v="US liquid gallons"/>
    <x v="1"/>
    <m/>
    <s v="2023-04-25, 22:38"/>
    <s v="2023-07-20, 00:40"/>
    <n v="2022"/>
    <s v="diesel_avg_biofuel_blend"/>
    <s v="Diesel (Average Biofuel Blend)"/>
    <s v="model"/>
    <b v="0"/>
    <s v="PETROLEUM PRODUCTS, DISTILLATE FUEL OIL NO. 2"/>
    <x v="2"/>
    <x v="0"/>
    <s v="Americas"/>
    <s v="Northern America"/>
    <s v="US"/>
    <m/>
    <n v="0"/>
    <s v="CO2E"/>
    <n v="44715.452850000001"/>
    <n v="10.24409"/>
    <s v="GALLON (US LIQUID)"/>
    <n v="1"/>
    <n v="4365"/>
    <s v="AR4"/>
    <s v="USEPA"/>
    <s v="USEPA Emission Factors Hub (Last Modified: March 2020)"/>
    <n v="2022"/>
    <n v="2021"/>
    <n v="44.715452849999998"/>
    <n v="0"/>
    <x v="10"/>
    <s v="Labratory"/>
  </r>
  <r>
    <n v="250123"/>
    <s v="Top of Hierarchy &gt; North America &gt; Vantage_Dateland"/>
    <x v="2"/>
    <x v="0"/>
    <d v="2022-01-01T00:00:00"/>
    <d v="2022-12-31T00:00:00"/>
    <x v="1"/>
    <d v="2022-01-01T00:00:00"/>
    <d v="2022-12-31T00:00:00"/>
    <s v="Diesel (average biofuel blend)"/>
    <n v="4365"/>
    <s v="US liquid gallons"/>
    <x v="1"/>
    <m/>
    <s v="2023-04-25, 22:38"/>
    <s v="2023-07-20, 00:40"/>
    <n v="2022"/>
    <s v="diesel_avg_biofuel_blend"/>
    <s v="Diesel (Average Biofuel Blend)"/>
    <s v="model"/>
    <b v="0"/>
    <s v="PETROLEUM PRODUCTS, DISTILLATE FUEL OIL NO. 2"/>
    <x v="2"/>
    <x v="0"/>
    <s v="Americas"/>
    <s v="Northern America"/>
    <s v="US"/>
    <m/>
    <n v="0"/>
    <s v="N2O"/>
    <n v="104.0616"/>
    <n v="2.384E-2"/>
    <s v="GALLON (US LIQUID)"/>
    <n v="1"/>
    <n v="4365"/>
    <s v="AR4"/>
    <s v="USEPA"/>
    <s v="USEPA (2022)"/>
    <n v="2022"/>
    <n v="2022"/>
    <n v="0"/>
    <n v="0"/>
    <x v="10"/>
    <s v="Labratory"/>
  </r>
  <r>
    <n v="250123"/>
    <s v="Top of Hierarchy &gt; North America &gt; Vantage_Dateland"/>
    <x v="2"/>
    <x v="0"/>
    <d v="2022-01-01T00:00:00"/>
    <d v="2022-12-31T00:00:00"/>
    <x v="1"/>
    <d v="2022-01-01T00:00:00"/>
    <d v="2022-12-31T00:00:00"/>
    <s v="Diesel (average biofuel blend)"/>
    <n v="4365"/>
    <s v="US liquid gallons"/>
    <x v="1"/>
    <m/>
    <s v="2023-04-25, 22:38"/>
    <s v="2023-07-20, 00:40"/>
    <n v="2022"/>
    <s v="diesel_avg_biofuel_blend"/>
    <s v="Diesel (Average Biofuel Blend)"/>
    <s v="model"/>
    <b v="0"/>
    <s v="PETROLEUM PRODUCTS, DISTILLATE FUEL OIL NO. 2"/>
    <x v="2"/>
    <x v="0"/>
    <s v="Americas"/>
    <s v="Northern America"/>
    <s v="US"/>
    <m/>
    <n v="1"/>
    <s v="CH4"/>
    <n v="44.741250000000001"/>
    <n v="1.025E-2"/>
    <s v="GALLON (US LIQUID)"/>
    <n v="1"/>
    <n v="4365"/>
    <s v="AR4"/>
    <s v="USEPA"/>
    <s v="USEPA (2022)"/>
    <n v="2022"/>
    <n v="2022"/>
    <n v="0"/>
    <n v="0"/>
    <x v="10"/>
    <s v="Labratory"/>
  </r>
  <r>
    <n v="250123"/>
    <s v="Top of Hierarchy &gt; North America &gt; Vantage_Dateland"/>
    <x v="2"/>
    <x v="0"/>
    <d v="2022-01-01T00:00:00"/>
    <d v="2022-12-31T00:00:00"/>
    <x v="1"/>
    <d v="2022-01-01T00:00:00"/>
    <d v="2022-12-31T00:00:00"/>
    <s v="Diesel (average biofuel blend)"/>
    <n v="4365"/>
    <s v="US liquid gallons"/>
    <x v="1"/>
    <m/>
    <s v="2023-04-25, 22:38"/>
    <s v="2023-07-20, 00:40"/>
    <n v="2022"/>
    <s v="diesel_avg_biofuel_blend"/>
    <s v="Diesel (Average Biofuel Blend)"/>
    <s v="model"/>
    <b v="0"/>
    <s v="PETROLEUM PRODUCTS, DISTILLATE FUEL OIL NO. 2"/>
    <x v="2"/>
    <x v="0"/>
    <s v="Americas"/>
    <s v="Northern America"/>
    <s v="US"/>
    <m/>
    <n v="1"/>
    <s v="CO2"/>
    <n v="44566.65"/>
    <n v="10.210000000000001"/>
    <s v="GALLON (US LIQUID)"/>
    <n v="1"/>
    <n v="4365"/>
    <s v="AR4"/>
    <s v="USEPA"/>
    <s v="USEPA (2022)"/>
    <n v="2022"/>
    <n v="2022"/>
    <n v="0"/>
    <n v="0"/>
    <x v="10"/>
    <s v="Labratory"/>
  </r>
  <r>
    <n v="250123"/>
    <s v="Top of Hierarchy &gt; North America &gt; Vantage_Dateland"/>
    <x v="2"/>
    <x v="0"/>
    <d v="2022-01-01T00:00:00"/>
    <d v="2022-12-31T00:00:00"/>
    <x v="1"/>
    <d v="2022-01-01T00:00:00"/>
    <d v="2022-12-31T00:00:00"/>
    <s v="Diesel (average biofuel blend)"/>
    <n v="4365"/>
    <s v="US liquid gallons"/>
    <x v="1"/>
    <m/>
    <s v="2023-04-25, 22:38"/>
    <s v="2023-07-20, 00:40"/>
    <n v="2022"/>
    <s v="diesel_avg_biofuel_blend"/>
    <s v="Diesel (Average Biofuel Blend)"/>
    <s v="model"/>
    <b v="0"/>
    <s v="PETROLEUM PRODUCTS, DISTILLATE FUEL OIL NO. 2"/>
    <x v="2"/>
    <x v="0"/>
    <s v="Americas"/>
    <s v="Northern America"/>
    <s v="US"/>
    <m/>
    <n v="1"/>
    <s v="CO2E"/>
    <n v="44715.452850000001"/>
    <n v="10.24409"/>
    <s v="GALLON (US LIQUID)"/>
    <n v="1"/>
    <n v="4365"/>
    <s v="AR4"/>
    <s v="USEPA"/>
    <s v="USEPA Emission Factors Hub (Last Modified: March 2020)"/>
    <n v="2022"/>
    <n v="2021"/>
    <n v="0"/>
    <n v="44.715452849999998"/>
    <x v="10"/>
    <s v="Labratory"/>
  </r>
  <r>
    <n v="250123"/>
    <s v="Top of Hierarchy &gt; North America &gt; Vantage_Dateland"/>
    <x v="2"/>
    <x v="0"/>
    <d v="2022-01-01T00:00:00"/>
    <d v="2022-12-31T00:00:00"/>
    <x v="1"/>
    <d v="2022-01-01T00:00:00"/>
    <d v="2022-12-31T00:00:00"/>
    <s v="Diesel (average biofuel blend)"/>
    <n v="4365"/>
    <s v="US liquid gallons"/>
    <x v="1"/>
    <m/>
    <s v="2023-04-25, 22:38"/>
    <s v="2023-07-20, 00:40"/>
    <n v="2022"/>
    <s v="diesel_avg_biofuel_blend"/>
    <s v="Diesel (Average Biofuel Blend)"/>
    <s v="model"/>
    <b v="0"/>
    <s v="PETROLEUM PRODUCTS, DISTILLATE FUEL OIL NO. 2"/>
    <x v="2"/>
    <x v="0"/>
    <s v="Americas"/>
    <s v="Northern America"/>
    <s v="US"/>
    <m/>
    <n v="1"/>
    <s v="N2O"/>
    <n v="104.0616"/>
    <n v="2.384E-2"/>
    <s v="GALLON (US LIQUID)"/>
    <n v="1"/>
    <n v="4365"/>
    <s v="AR4"/>
    <s v="USEPA"/>
    <s v="USEPA (2022)"/>
    <n v="2022"/>
    <n v="2022"/>
    <n v="0"/>
    <n v="0"/>
    <x v="10"/>
    <s v="Labratory"/>
  </r>
  <r>
    <n v="250123"/>
    <s v="Top of Hierarchy &gt; North America &gt; Vantage_Dateland"/>
    <x v="2"/>
    <x v="0"/>
    <d v="2022-01-01T00:00:00"/>
    <d v="2022-12-31T00:00:00"/>
    <x v="1"/>
    <d v="2022-01-01T00:00:00"/>
    <d v="2022-12-31T00:00:00"/>
    <s v="Diesel (average biofuel blend)"/>
    <n v="4365"/>
    <s v="US liquid gallons"/>
    <x v="1"/>
    <m/>
    <s v="2023-04-25, 22:38"/>
    <s v="2023-07-20, 00:40"/>
    <n v="2022"/>
    <s v="diesel_avg_biofuel_blend__wtt"/>
    <s v="Diesel (Average Biofuel Blend) WTT"/>
    <s v="wtt"/>
    <b v="0"/>
    <s v="WTT- FUELS; LIQUID FUELS; DIESEL (AVERAGE BIOFUEL BLEND)"/>
    <x v="1"/>
    <x v="1"/>
    <m/>
    <m/>
    <m/>
    <m/>
    <n v="0"/>
    <s v="CO2E"/>
    <n v="10076.908670000001"/>
    <n v="0.60985999999999996"/>
    <s v="LITRES"/>
    <n v="3.7854100000000002"/>
    <n v="16523.31465"/>
    <s v="AR4"/>
    <s v="Defra"/>
    <s v="Defra (2022)"/>
    <n v="2022"/>
    <n v="2020"/>
    <n v="10.07690867"/>
    <n v="0"/>
    <x v="10"/>
    <s v="Labratory"/>
  </r>
  <r>
    <n v="250123"/>
    <s v="Top of Hierarchy &gt; North America &gt; Vantage_Dateland"/>
    <x v="2"/>
    <x v="0"/>
    <d v="2022-01-01T00:00:00"/>
    <d v="2022-12-31T00:00:00"/>
    <x v="1"/>
    <d v="2022-01-01T00:00:00"/>
    <d v="2022-12-31T00:00:00"/>
    <s v="Diesel (average biofuel blend)"/>
    <n v="4365"/>
    <s v="US liquid gallons"/>
    <x v="1"/>
    <m/>
    <s v="2023-04-25, 22:38"/>
    <s v="2023-07-20, 00:40"/>
    <n v="2022"/>
    <s v="diesel_avg_biofuel_blend__wtt"/>
    <s v="Diesel (Average Biofuel Blend) WTT"/>
    <s v="wtt"/>
    <b v="0"/>
    <s v="WTT- FUELS; LIQUID FUELS; DIESEL (AVERAGE BIOFUEL BLEND)"/>
    <x v="1"/>
    <x v="1"/>
    <m/>
    <m/>
    <m/>
    <m/>
    <n v="1"/>
    <s v="CO2E"/>
    <n v="10076.908670000001"/>
    <n v="0.60985999999999996"/>
    <s v="LITRES"/>
    <n v="3.7854100000000002"/>
    <n v="16523.31465"/>
    <s v="AR4"/>
    <s v="Defra"/>
    <s v="Defra (2022)"/>
    <n v="2022"/>
    <n v="2020"/>
    <n v="0"/>
    <n v="10.07690867"/>
    <x v="10"/>
    <s v="Labratory"/>
  </r>
  <r>
    <n v="290057"/>
    <s v="Top of Hierarchy &gt; North America &gt; Vantage_Dateland"/>
    <x v="2"/>
    <x v="0"/>
    <d v="2022-01-01T00:00:00"/>
    <d v="2022-12-31T00:00:00"/>
    <x v="4"/>
    <d v="2022-01-01T00:00:00"/>
    <d v="2022-12-31T00:00:00"/>
    <s v="R404A"/>
    <n v="0"/>
    <s v="pounds"/>
    <x v="1"/>
    <s v="Unknown amount; ice maker"/>
    <s v="2023-05-02, 20:13"/>
    <s v="2023-07-20, 00:40"/>
    <n v="2022"/>
    <s v="r404a"/>
    <s v="R404A"/>
    <s v="model"/>
    <b v="0"/>
    <s v="REFRIGERANT: R-404A"/>
    <x v="2"/>
    <x v="0"/>
    <m/>
    <m/>
    <m/>
    <m/>
    <n v="0"/>
    <s v="CO2E"/>
    <n v="0"/>
    <n v="3922"/>
    <s v="KG"/>
    <n v="0.45359291000000002"/>
    <n v="0"/>
    <s v="AR4"/>
    <s v="IPCC"/>
    <s v="IPCC (2021)"/>
    <n v="2022"/>
    <n v="2007"/>
    <n v="0"/>
    <n v="0"/>
    <x v="10"/>
    <s v="Labratory"/>
  </r>
  <r>
    <n v="290057"/>
    <s v="Top of Hierarchy &gt; North America &gt; Vantage_Dateland"/>
    <x v="2"/>
    <x v="0"/>
    <d v="2022-01-01T00:00:00"/>
    <d v="2022-12-31T00:00:00"/>
    <x v="4"/>
    <d v="2022-01-01T00:00:00"/>
    <d v="2022-12-31T00:00:00"/>
    <s v="R404A"/>
    <n v="0"/>
    <s v="pounds"/>
    <x v="1"/>
    <s v="Unknown amount; ice maker"/>
    <s v="2023-05-02, 20:13"/>
    <s v="2023-07-20, 00:40"/>
    <n v="2022"/>
    <s v="r404a"/>
    <s v="R404A"/>
    <s v="model"/>
    <b v="0"/>
    <s v="REFRIGERANT: R-404A"/>
    <x v="2"/>
    <x v="0"/>
    <m/>
    <m/>
    <m/>
    <m/>
    <n v="1"/>
    <s v="CO2E"/>
    <n v="0"/>
    <n v="3922"/>
    <s v="KG"/>
    <n v="0.45359291000000002"/>
    <n v="0"/>
    <s v="AR4"/>
    <s v="IPCC"/>
    <s v="IPCC (2021)"/>
    <n v="2022"/>
    <n v="2007"/>
    <n v="0"/>
    <n v="0"/>
    <x v="10"/>
    <s v="Labratory"/>
  </r>
  <r>
    <n v="291056"/>
    <s v="Top of Hierarchy &gt; North America &gt; Vantage_Dateland"/>
    <x v="2"/>
    <x v="0"/>
    <d v="2022-01-01T00:00:00"/>
    <d v="2022-12-31T00:00:00"/>
    <x v="4"/>
    <d v="2022-01-01T00:00:00"/>
    <d v="2022-12-31T00:00:00"/>
    <s v="R410A"/>
    <n v="0"/>
    <s v="pounds"/>
    <x v="0"/>
    <s v="AC Unit - unsure how much used"/>
    <s v="2023-05-03, 16:22"/>
    <s v="2023-07-20, 00:40"/>
    <n v="2022"/>
    <s v="r410a"/>
    <s v="R410A"/>
    <s v="model"/>
    <b v="0"/>
    <s v="REFRIGERANT: R-410A"/>
    <x v="2"/>
    <x v="0"/>
    <m/>
    <m/>
    <m/>
    <m/>
    <n v="0"/>
    <s v="CO2E"/>
    <n v="0"/>
    <n v="2088"/>
    <s v="KG"/>
    <n v="0.45359291000000002"/>
    <n v="0"/>
    <s v="AR4"/>
    <s v="IPCC"/>
    <s v="IPCC (2021)"/>
    <n v="2022"/>
    <n v="2007"/>
    <n v="0"/>
    <n v="0"/>
    <x v="10"/>
    <s v="Labratory"/>
  </r>
  <r>
    <n v="291056"/>
    <s v="Top of Hierarchy &gt; North America &gt; Vantage_Dateland"/>
    <x v="2"/>
    <x v="0"/>
    <d v="2022-01-01T00:00:00"/>
    <d v="2022-12-31T00:00:00"/>
    <x v="4"/>
    <d v="2022-01-01T00:00:00"/>
    <d v="2022-12-31T00:00:00"/>
    <s v="R410A"/>
    <n v="0"/>
    <s v="pounds"/>
    <x v="0"/>
    <s v="AC Unit - unsure how much used"/>
    <s v="2023-05-03, 16:22"/>
    <s v="2023-07-20, 00:40"/>
    <n v="2022"/>
    <s v="r410a"/>
    <s v="R410A"/>
    <s v="model"/>
    <b v="0"/>
    <s v="REFRIGERANT: R-410A"/>
    <x v="2"/>
    <x v="0"/>
    <m/>
    <m/>
    <m/>
    <m/>
    <n v="1"/>
    <s v="CO2E"/>
    <n v="0"/>
    <n v="2088"/>
    <s v="KG"/>
    <n v="0.45359291000000002"/>
    <n v="0"/>
    <s v="AR4"/>
    <s v="IPCC"/>
    <s v="IPCC (2021)"/>
    <n v="2022"/>
    <n v="2007"/>
    <n v="0"/>
    <n v="0"/>
    <x v="10"/>
    <s v="Labratory"/>
  </r>
  <r>
    <n v="283994"/>
    <s v="Top of Hierarchy &gt; North America &gt; Vantage_Dateland"/>
    <x v="2"/>
    <x v="0"/>
    <d v="2022-01-01T00:00:00"/>
    <d v="2022-12-31T00:00:00"/>
    <x v="2"/>
    <d v="2022-01-01T00:00:00"/>
    <d v="2022-12-31T00:00:00"/>
    <s v="Propane"/>
    <n v="710"/>
    <s v="US liquid gallons"/>
    <x v="1"/>
    <m/>
    <s v="2023-04-28, 22:14"/>
    <s v="2023-07-20, 00:40"/>
    <n v="2022"/>
    <s v="propane"/>
    <s v="Propane"/>
    <s v="model"/>
    <b v="0"/>
    <s v="PETROLEUM PRODUCTS, PROPANE"/>
    <x v="2"/>
    <x v="0"/>
    <s v="Americas"/>
    <s v="Northern America"/>
    <s v="US"/>
    <m/>
    <n v="0"/>
    <s v="CH4"/>
    <n v="4.7925000000000004"/>
    <n v="6.7499999999999999E-3"/>
    <s v="GALLON (US LIQUID)"/>
    <n v="1"/>
    <n v="710"/>
    <s v="AR4"/>
    <s v="USEPA"/>
    <s v="USEPA Emission Factors Hub (Last Modified: March 2020)"/>
    <n v="2022"/>
    <n v="2021"/>
    <n v="0"/>
    <n v="0"/>
    <x v="10"/>
    <s v="Labratory"/>
  </r>
  <r>
    <n v="283994"/>
    <s v="Top of Hierarchy &gt; North America &gt; Vantage_Dateland"/>
    <x v="2"/>
    <x v="0"/>
    <d v="2022-01-01T00:00:00"/>
    <d v="2022-12-31T00:00:00"/>
    <x v="2"/>
    <d v="2022-01-01T00:00:00"/>
    <d v="2022-12-31T00:00:00"/>
    <s v="Propane"/>
    <n v="710"/>
    <s v="US liquid gallons"/>
    <x v="1"/>
    <m/>
    <s v="2023-04-28, 22:14"/>
    <s v="2023-07-20, 00:40"/>
    <n v="2022"/>
    <s v="propane"/>
    <s v="Propane"/>
    <s v="model"/>
    <b v="0"/>
    <s v="PETROLEUM PRODUCTS, PROPANE"/>
    <x v="2"/>
    <x v="0"/>
    <s v="Americas"/>
    <s v="Northern America"/>
    <s v="US"/>
    <m/>
    <n v="0"/>
    <s v="CO2"/>
    <n v="4061.2"/>
    <n v="5.72"/>
    <s v="GALLON (US LIQUID)"/>
    <n v="1"/>
    <n v="710"/>
    <s v="AR4"/>
    <s v="USEPA"/>
    <s v="USEPA (2022)"/>
    <n v="2022"/>
    <n v="2022"/>
    <n v="0"/>
    <n v="0"/>
    <x v="10"/>
    <s v="Labratory"/>
  </r>
  <r>
    <n v="283994"/>
    <s v="Top of Hierarchy &gt; North America &gt; Vantage_Dateland"/>
    <x v="2"/>
    <x v="0"/>
    <d v="2022-01-01T00:00:00"/>
    <d v="2022-12-31T00:00:00"/>
    <x v="2"/>
    <d v="2022-01-01T00:00:00"/>
    <d v="2022-12-31T00:00:00"/>
    <s v="Propane"/>
    <n v="710"/>
    <s v="US liquid gallons"/>
    <x v="1"/>
    <m/>
    <s v="2023-04-28, 22:14"/>
    <s v="2023-07-20, 00:40"/>
    <n v="2022"/>
    <s v="propane"/>
    <s v="Propane"/>
    <s v="model"/>
    <b v="0"/>
    <s v="PETROLEUM PRODUCTS, PROPANE"/>
    <x v="2"/>
    <x v="0"/>
    <s v="Americas"/>
    <s v="Northern America"/>
    <s v="US"/>
    <m/>
    <n v="0"/>
    <s v="CO2E"/>
    <n v="4076.5715"/>
    <n v="5.7416499999999999"/>
    <s v="GALLON (US LIQUID)"/>
    <n v="1"/>
    <n v="710"/>
    <s v="AR4"/>
    <s v="USEPA"/>
    <s v="USEPA (2022)"/>
    <n v="2022"/>
    <n v="2022"/>
    <n v="4.0765715"/>
    <n v="0"/>
    <x v="10"/>
    <s v="Labratory"/>
  </r>
  <r>
    <n v="283994"/>
    <s v="Top of Hierarchy &gt; North America &gt; Vantage_Dateland"/>
    <x v="2"/>
    <x v="0"/>
    <d v="2022-01-01T00:00:00"/>
    <d v="2022-12-31T00:00:00"/>
    <x v="2"/>
    <d v="2022-01-01T00:00:00"/>
    <d v="2022-12-31T00:00:00"/>
    <s v="Propane"/>
    <n v="710"/>
    <s v="US liquid gallons"/>
    <x v="1"/>
    <m/>
    <s v="2023-04-28, 22:14"/>
    <s v="2023-07-20, 00:40"/>
    <n v="2022"/>
    <s v="propane"/>
    <s v="Propane"/>
    <s v="model"/>
    <b v="0"/>
    <s v="PETROLEUM PRODUCTS, PROPANE"/>
    <x v="2"/>
    <x v="0"/>
    <s v="Americas"/>
    <s v="Northern America"/>
    <s v="US"/>
    <m/>
    <n v="0"/>
    <s v="N2O"/>
    <n v="10.579000000000001"/>
    <n v="1.49E-2"/>
    <s v="GALLON (US LIQUID)"/>
    <n v="1"/>
    <n v="710"/>
    <s v="AR4"/>
    <s v="USEPA"/>
    <s v="USEPA Emission Factors Hub (Last Modified: March 2020)"/>
    <n v="2022"/>
    <n v="2021"/>
    <n v="0"/>
    <n v="0"/>
    <x v="10"/>
    <s v="Labratory"/>
  </r>
  <r>
    <n v="283994"/>
    <s v="Top of Hierarchy &gt; North America &gt; Vantage_Dateland"/>
    <x v="2"/>
    <x v="0"/>
    <d v="2022-01-01T00:00:00"/>
    <d v="2022-12-31T00:00:00"/>
    <x v="2"/>
    <d v="2022-01-01T00:00:00"/>
    <d v="2022-12-31T00:00:00"/>
    <s v="Propane"/>
    <n v="710"/>
    <s v="US liquid gallons"/>
    <x v="1"/>
    <m/>
    <s v="2023-04-28, 22:14"/>
    <s v="2023-07-20, 00:40"/>
    <n v="2022"/>
    <s v="propane"/>
    <s v="Propane"/>
    <s v="model"/>
    <b v="0"/>
    <s v="PETROLEUM PRODUCTS, PROPANE"/>
    <x v="2"/>
    <x v="0"/>
    <s v="Americas"/>
    <s v="Northern America"/>
    <s v="US"/>
    <m/>
    <n v="1"/>
    <s v="CH4"/>
    <n v="4.7925000000000004"/>
    <n v="6.7499999999999999E-3"/>
    <s v="GALLON (US LIQUID)"/>
    <n v="1"/>
    <n v="710"/>
    <s v="AR4"/>
    <s v="USEPA"/>
    <s v="USEPA Emission Factors Hub (Last Modified: March 2020)"/>
    <n v="2022"/>
    <n v="2021"/>
    <n v="0"/>
    <n v="0"/>
    <x v="10"/>
    <s v="Labratory"/>
  </r>
  <r>
    <n v="283994"/>
    <s v="Top of Hierarchy &gt; North America &gt; Vantage_Dateland"/>
    <x v="2"/>
    <x v="0"/>
    <d v="2022-01-01T00:00:00"/>
    <d v="2022-12-31T00:00:00"/>
    <x v="2"/>
    <d v="2022-01-01T00:00:00"/>
    <d v="2022-12-31T00:00:00"/>
    <s v="Propane"/>
    <n v="710"/>
    <s v="US liquid gallons"/>
    <x v="1"/>
    <m/>
    <s v="2023-04-28, 22:14"/>
    <s v="2023-07-20, 00:40"/>
    <n v="2022"/>
    <s v="propane"/>
    <s v="Propane"/>
    <s v="model"/>
    <b v="0"/>
    <s v="PETROLEUM PRODUCTS, PROPANE"/>
    <x v="2"/>
    <x v="0"/>
    <s v="Americas"/>
    <s v="Northern America"/>
    <s v="US"/>
    <m/>
    <n v="1"/>
    <s v="CO2"/>
    <n v="4061.2"/>
    <n v="5.72"/>
    <s v="GALLON (US LIQUID)"/>
    <n v="1"/>
    <n v="710"/>
    <s v="AR4"/>
    <s v="USEPA"/>
    <s v="USEPA (2022)"/>
    <n v="2022"/>
    <n v="2022"/>
    <n v="0"/>
    <n v="0"/>
    <x v="10"/>
    <s v="Labratory"/>
  </r>
  <r>
    <n v="283994"/>
    <s v="Top of Hierarchy &gt; North America &gt; Vantage_Dateland"/>
    <x v="2"/>
    <x v="0"/>
    <d v="2022-01-01T00:00:00"/>
    <d v="2022-12-31T00:00:00"/>
    <x v="2"/>
    <d v="2022-01-01T00:00:00"/>
    <d v="2022-12-31T00:00:00"/>
    <s v="Propane"/>
    <n v="710"/>
    <s v="US liquid gallons"/>
    <x v="1"/>
    <m/>
    <s v="2023-04-28, 22:14"/>
    <s v="2023-07-20, 00:40"/>
    <n v="2022"/>
    <s v="propane"/>
    <s v="Propane"/>
    <s v="model"/>
    <b v="0"/>
    <s v="PETROLEUM PRODUCTS, PROPANE"/>
    <x v="2"/>
    <x v="0"/>
    <s v="Americas"/>
    <s v="Northern America"/>
    <s v="US"/>
    <m/>
    <n v="1"/>
    <s v="CO2E"/>
    <n v="4076.5715"/>
    <n v="5.7416499999999999"/>
    <s v="GALLON (US LIQUID)"/>
    <n v="1"/>
    <n v="710"/>
    <s v="AR4"/>
    <s v="USEPA"/>
    <s v="USEPA (2022)"/>
    <n v="2022"/>
    <n v="2022"/>
    <n v="0"/>
    <n v="4.0765715"/>
    <x v="10"/>
    <s v="Labratory"/>
  </r>
  <r>
    <n v="283994"/>
    <s v="Top of Hierarchy &gt; North America &gt; Vantage_Dateland"/>
    <x v="2"/>
    <x v="0"/>
    <d v="2022-01-01T00:00:00"/>
    <d v="2022-12-31T00:00:00"/>
    <x v="2"/>
    <d v="2022-01-01T00:00:00"/>
    <d v="2022-12-31T00:00:00"/>
    <s v="Propane"/>
    <n v="710"/>
    <s v="US liquid gallons"/>
    <x v="1"/>
    <m/>
    <s v="2023-04-28, 22:14"/>
    <s v="2023-07-20, 00:40"/>
    <n v="2022"/>
    <s v="propane"/>
    <s v="Propane"/>
    <s v="model"/>
    <b v="0"/>
    <s v="PETROLEUM PRODUCTS, PROPANE"/>
    <x v="2"/>
    <x v="0"/>
    <s v="Americas"/>
    <s v="Northern America"/>
    <s v="US"/>
    <m/>
    <n v="1"/>
    <s v="N2O"/>
    <n v="10.579000000000001"/>
    <n v="1.49E-2"/>
    <s v="GALLON (US LIQUID)"/>
    <n v="1"/>
    <n v="710"/>
    <s v="AR4"/>
    <s v="USEPA"/>
    <s v="USEPA Emission Factors Hub (Last Modified: March 2020)"/>
    <n v="2022"/>
    <n v="2021"/>
    <n v="0"/>
    <n v="0"/>
    <x v="10"/>
    <s v="Labratory"/>
  </r>
  <r>
    <n v="283994"/>
    <s v="Top of Hierarchy &gt; North America &gt; Vantage_Dateland"/>
    <x v="2"/>
    <x v="0"/>
    <d v="2022-01-01T00:00:00"/>
    <d v="2022-12-31T00:00:00"/>
    <x v="2"/>
    <d v="2022-01-01T00:00:00"/>
    <d v="2022-12-31T00:00:00"/>
    <s v="Propane"/>
    <n v="710"/>
    <s v="US liquid gallons"/>
    <x v="1"/>
    <m/>
    <s v="2023-04-28, 22:14"/>
    <s v="2023-07-20, 00:40"/>
    <n v="2022"/>
    <s v="propane__wtt"/>
    <s v="Propane WTT"/>
    <s v="wtt"/>
    <b v="0"/>
    <s v="WTT- FUELS; GASEOUS FUELS; PROPANE"/>
    <x v="1"/>
    <x v="1"/>
    <m/>
    <m/>
    <m/>
    <m/>
    <n v="0"/>
    <s v="CO2E"/>
    <n v="485.01171290000002"/>
    <n v="0.18046000000000001"/>
    <s v="LITRES"/>
    <n v="3.7854100000000002"/>
    <n v="2687.6410999999998"/>
    <s v="AR4"/>
    <s v="Defra"/>
    <s v="Defra (2022)"/>
    <n v="2022"/>
    <n v="2020"/>
    <n v="0.4850117129"/>
    <n v="0"/>
    <x v="10"/>
    <s v="Labratory"/>
  </r>
  <r>
    <n v="283994"/>
    <s v="Top of Hierarchy &gt; North America &gt; Vantage_Dateland"/>
    <x v="2"/>
    <x v="0"/>
    <d v="2022-01-01T00:00:00"/>
    <d v="2022-12-31T00:00:00"/>
    <x v="2"/>
    <d v="2022-01-01T00:00:00"/>
    <d v="2022-12-31T00:00:00"/>
    <s v="Propane"/>
    <n v="710"/>
    <s v="US liquid gallons"/>
    <x v="1"/>
    <m/>
    <s v="2023-04-28, 22:14"/>
    <s v="2023-07-20, 00:40"/>
    <n v="2022"/>
    <s v="propane__wtt"/>
    <s v="Propane WTT"/>
    <s v="wtt"/>
    <b v="0"/>
    <s v="WTT- FUELS; GASEOUS FUELS; PROPANE"/>
    <x v="1"/>
    <x v="1"/>
    <m/>
    <m/>
    <m/>
    <m/>
    <n v="1"/>
    <s v="CO2E"/>
    <n v="485.01171290000002"/>
    <n v="0.18046000000000001"/>
    <s v="LITRES"/>
    <n v="3.7854100000000002"/>
    <n v="2687.6410999999998"/>
    <s v="AR4"/>
    <s v="Defra"/>
    <s v="Defra (2022)"/>
    <n v="2022"/>
    <n v="2020"/>
    <n v="0"/>
    <n v="0.4850117129"/>
    <x v="10"/>
    <s v="Labratory"/>
  </r>
  <r>
    <n v="4946"/>
    <s v="Top of Hierarchy &gt; North America &gt; Vantage_Dateland"/>
    <x v="2"/>
    <x v="1"/>
    <d v="2021-01-01T00:00:00"/>
    <d v="2021-12-31T00:00:00"/>
    <x v="0"/>
    <d v="2021-01-01T00:00:00"/>
    <d v="2021-12-31T00:00:00"/>
    <s v="Electricity (non-renewable)"/>
    <n v="5074767"/>
    <s v="Kilowatt hours"/>
    <x v="1"/>
    <m/>
    <s v="2023-02-27, 16:27"/>
    <s v="2023-08-03, 20:42"/>
    <n v="2021"/>
    <s v="electricity"/>
    <s v="Electricity"/>
    <s v="model"/>
    <b v="0"/>
    <s v="ELECTRICITY; UNITED STATES - AZNM"/>
    <x v="0"/>
    <x v="0"/>
    <s v="Americas"/>
    <s v="Northern America"/>
    <s v="US"/>
    <s v="AZNM"/>
    <n v="0"/>
    <s v="CH4"/>
    <n v="3913.1885040000002"/>
    <n v="7.7110700000000004E-4"/>
    <s v="KWH"/>
    <n v="1"/>
    <n v="5074767"/>
    <s v="AR4"/>
    <s v="USEPA"/>
    <s v="USEPA (2021)"/>
    <n v="2021"/>
    <n v="2019"/>
    <n v="0"/>
    <n v="0"/>
    <x v="10"/>
    <s v="Labratory"/>
  </r>
  <r>
    <n v="4946"/>
    <s v="Top of Hierarchy &gt; North America &gt; Vantage_Dateland"/>
    <x v="2"/>
    <x v="1"/>
    <d v="2021-01-01T00:00:00"/>
    <d v="2021-12-31T00:00:00"/>
    <x v="0"/>
    <d v="2021-01-01T00:00:00"/>
    <d v="2021-12-31T00:00:00"/>
    <s v="Electricity (non-renewable)"/>
    <n v="5074767"/>
    <s v="Kilowatt hours"/>
    <x v="1"/>
    <m/>
    <s v="2023-02-27, 16:27"/>
    <s v="2023-08-03, 20:42"/>
    <n v="2021"/>
    <s v="electricity"/>
    <s v="Electricity"/>
    <s v="model"/>
    <b v="0"/>
    <s v="ELECTRICITY; UNITED STATES - AZNM"/>
    <x v="0"/>
    <x v="0"/>
    <s v="Americas"/>
    <s v="Northern America"/>
    <s v="US"/>
    <s v="AZNM"/>
    <n v="0"/>
    <s v="CO2"/>
    <n v="2192124.4640000002"/>
    <n v="0.43196553900000001"/>
    <s v="KWH"/>
    <n v="1"/>
    <n v="5074767"/>
    <s v="AR4"/>
    <s v="USEPA"/>
    <s v="USEPA (2021)"/>
    <n v="2021"/>
    <n v="2019"/>
    <n v="0"/>
    <n v="0"/>
    <x v="10"/>
    <s v="Labratory"/>
  </r>
  <r>
    <n v="4946"/>
    <s v="Top of Hierarchy &gt; North America &gt; Vantage_Dateland"/>
    <x v="2"/>
    <x v="1"/>
    <d v="2021-01-01T00:00:00"/>
    <d v="2021-12-31T00:00:00"/>
    <x v="0"/>
    <d v="2021-01-01T00:00:00"/>
    <d v="2021-12-31T00:00:00"/>
    <s v="Electricity (non-renewable)"/>
    <n v="5074767"/>
    <s v="Kilowatt hours"/>
    <x v="1"/>
    <m/>
    <s v="2023-02-27, 16:27"/>
    <s v="2023-08-03, 20:42"/>
    <n v="2021"/>
    <s v="electricity"/>
    <s v="Electricity"/>
    <s v="model"/>
    <b v="0"/>
    <s v="ELECTRICITY; UNITED STATES - AZNM"/>
    <x v="0"/>
    <x v="0"/>
    <s v="Americas"/>
    <s v="Northern America"/>
    <s v="US"/>
    <s v="AZNM"/>
    <n v="0"/>
    <s v="CO2E"/>
    <n v="2202897.2420000001"/>
    <n v="0.43408835200000001"/>
    <s v="KWH"/>
    <n v="1"/>
    <n v="5074767"/>
    <s v="AR4"/>
    <s v="USEPA"/>
    <s v="USEPA (2021)"/>
    <n v="2021"/>
    <n v="2019"/>
    <n v="2202.897242"/>
    <n v="0"/>
    <x v="10"/>
    <s v="Labratory"/>
  </r>
  <r>
    <n v="4946"/>
    <s v="Top of Hierarchy &gt; North America &gt; Vantage_Dateland"/>
    <x v="2"/>
    <x v="1"/>
    <d v="2021-01-01T00:00:00"/>
    <d v="2021-12-31T00:00:00"/>
    <x v="0"/>
    <d v="2021-01-01T00:00:00"/>
    <d v="2021-12-31T00:00:00"/>
    <s v="Electricity (non-renewable)"/>
    <n v="5074767"/>
    <s v="Kilowatt hours"/>
    <x v="1"/>
    <m/>
    <s v="2023-02-27, 16:27"/>
    <s v="2023-08-03, 20:42"/>
    <n v="2021"/>
    <s v="electricity"/>
    <s v="Electricity"/>
    <s v="model"/>
    <b v="0"/>
    <s v="ELECTRICITY; UNITED STATES - AZNM"/>
    <x v="0"/>
    <x v="0"/>
    <s v="Americas"/>
    <s v="Northern America"/>
    <s v="US"/>
    <s v="AZNM"/>
    <n v="0"/>
    <s v="N2O"/>
    <n v="6859.5892599999997"/>
    <n v="1.3517049999999999E-3"/>
    <s v="KWH"/>
    <n v="1"/>
    <n v="5074767"/>
    <s v="AR4"/>
    <s v="USEPA"/>
    <s v="USEPA (2021)"/>
    <n v="2021"/>
    <n v="2019"/>
    <n v="0"/>
    <n v="0"/>
    <x v="10"/>
    <s v="Labratory"/>
  </r>
  <r>
    <n v="4946"/>
    <s v="Top of Hierarchy &gt; North America &gt; Vantage_Dateland"/>
    <x v="2"/>
    <x v="1"/>
    <d v="2021-01-01T00:00:00"/>
    <d v="2021-12-31T00:00:00"/>
    <x v="0"/>
    <d v="2021-01-01T00:00:00"/>
    <d v="2021-12-31T00:00:00"/>
    <s v="Electricity (non-renewable)"/>
    <n v="5074767"/>
    <s v="Kilowatt hours"/>
    <x v="1"/>
    <m/>
    <s v="2023-02-27, 16:27"/>
    <s v="2023-08-03, 20:42"/>
    <n v="2021"/>
    <s v="electricity"/>
    <s v="Electricity"/>
    <s v="model"/>
    <b v="0"/>
    <s v="ELECTRICITY; UNITED STATES - AZNM"/>
    <x v="0"/>
    <x v="0"/>
    <s v="Americas"/>
    <s v="Northern America"/>
    <s v="US"/>
    <s v="AZNM"/>
    <n v="1"/>
    <s v="CO2E MKT"/>
    <n v="2198037.983"/>
    <n v="0.43313081799999997"/>
    <s v="KWH"/>
    <n v="1"/>
    <n v="5074767"/>
    <s v="AR4"/>
    <s v="Green-e"/>
    <s v="Green-e (2021)"/>
    <n v="2021"/>
    <n v="2019"/>
    <n v="0"/>
    <n v="2198.0379830000002"/>
    <x v="10"/>
    <s v="Labratory"/>
  </r>
  <r>
    <n v="4946"/>
    <s v="Top of Hierarchy &gt; North America &gt; Vantage_Dateland"/>
    <x v="2"/>
    <x v="1"/>
    <d v="2021-01-01T00:00:00"/>
    <d v="2021-12-31T00:00:00"/>
    <x v="0"/>
    <d v="2021-01-01T00:00:00"/>
    <d v="2021-12-31T00:00:00"/>
    <s v="Electricity (non-renewable)"/>
    <n v="5074767"/>
    <s v="Kilowatt hours"/>
    <x v="1"/>
    <m/>
    <s v="2023-02-27, 16:27"/>
    <s v="2023-08-03, 20:42"/>
    <n v="2021"/>
    <s v="electricity__t+d__wtt"/>
    <s v="Electricity T&amp;D WTT"/>
    <s v="t+d_wtt"/>
    <b v="0"/>
    <s v="ELECTRICITY; UNITED STATES - AZNM; T&amp;D WTT Estimated"/>
    <x v="1"/>
    <x v="1"/>
    <s v="Americas"/>
    <s v="Northern America"/>
    <s v="US"/>
    <s v="AZNM"/>
    <n v="0"/>
    <s v="CH4"/>
    <n v="52.721266610000001"/>
    <n v="1.03889E-5"/>
    <s v="KWH"/>
    <n v="1"/>
    <n v="5074767"/>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ELECTRICITY; TRANSMISSION AND DISTRIBUTION; UNITED STATES - AZNM, USEPA to estimate the T&amp;D WTT factor."/>
    <n v="2021"/>
    <n v="2019"/>
    <n v="0"/>
    <n v="0"/>
    <x v="10"/>
    <s v="Labratory"/>
  </r>
  <r>
    <n v="4946"/>
    <s v="Top of Hierarchy &gt; North America &gt; Vantage_Dateland"/>
    <x v="2"/>
    <x v="1"/>
    <d v="2021-01-01T00:00:00"/>
    <d v="2021-12-31T00:00:00"/>
    <x v="0"/>
    <d v="2021-01-01T00:00:00"/>
    <d v="2021-12-31T00:00:00"/>
    <s v="Electricity (non-renewable)"/>
    <n v="5074767"/>
    <s v="Kilowatt hours"/>
    <x v="1"/>
    <m/>
    <s v="2023-02-27, 16:27"/>
    <s v="2023-08-03, 20:42"/>
    <n v="2021"/>
    <s v="electricity__t+d__wtt"/>
    <s v="Electricity T&amp;D WTT"/>
    <s v="t+d_wtt"/>
    <b v="0"/>
    <s v="ELECTRICITY; UNITED STATES - AZNM; T&amp;D WTT Estimated"/>
    <x v="1"/>
    <x v="1"/>
    <s v="Americas"/>
    <s v="Northern America"/>
    <s v="US"/>
    <s v="AZNM"/>
    <n v="0"/>
    <s v="CO2"/>
    <n v="29533.864320000001"/>
    <n v="5.8197479999999996E-3"/>
    <s v="KWH"/>
    <n v="1"/>
    <n v="5074767"/>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ELECTRICITY; TRANSMISSION AND DISTRIBUTION; UNITED STATES - AZNM, USEPA to estimate the T&amp;D WTT factor."/>
    <n v="2021"/>
    <n v="2019"/>
    <n v="0"/>
    <n v="0"/>
    <x v="10"/>
    <s v="Labratory"/>
  </r>
  <r>
    <n v="4946"/>
    <s v="Top of Hierarchy &gt; North America &gt; Vantage_Dateland"/>
    <x v="2"/>
    <x v="1"/>
    <d v="2021-01-01T00:00:00"/>
    <d v="2021-12-31T00:00:00"/>
    <x v="0"/>
    <d v="2021-01-01T00:00:00"/>
    <d v="2021-12-31T00:00:00"/>
    <s v="Electricity (non-renewable)"/>
    <n v="5074767"/>
    <s v="Kilowatt hours"/>
    <x v="1"/>
    <m/>
    <s v="2023-02-27, 16:27"/>
    <s v="2023-08-03, 20:42"/>
    <n v="2021"/>
    <s v="electricity__t+d__wtt"/>
    <s v="Electricity T&amp;D WTT"/>
    <s v="t+d_wtt"/>
    <b v="0"/>
    <s v="ELECTRICITY; UNITED STATES - AZNM; T&amp;D WTT Estimated"/>
    <x v="1"/>
    <x v="1"/>
    <s v="Americas"/>
    <s v="Northern America"/>
    <s v="US"/>
    <s v="AZNM"/>
    <n v="0"/>
    <s v="CO2E"/>
    <n v="29679.002860000001"/>
    <n v="5.8483479999999997E-3"/>
    <s v="KWH"/>
    <n v="1"/>
    <n v="5074767"/>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ELECTRICITY; TRANSMISSION AND DISTRIBUTION; UNITED STATES - AZNM, USEPA to estimate the T&amp;D WTT factor."/>
    <n v="2021"/>
    <n v="2019"/>
    <n v="29.679002860000001"/>
    <n v="0"/>
    <x v="10"/>
    <s v="Labratory"/>
  </r>
  <r>
    <n v="4946"/>
    <s v="Top of Hierarchy &gt; North America &gt; Vantage_Dateland"/>
    <x v="2"/>
    <x v="1"/>
    <d v="2021-01-01T00:00:00"/>
    <d v="2021-12-31T00:00:00"/>
    <x v="0"/>
    <d v="2021-01-01T00:00:00"/>
    <d v="2021-12-31T00:00:00"/>
    <s v="Electricity (non-renewable)"/>
    <n v="5074767"/>
    <s v="Kilowatt hours"/>
    <x v="1"/>
    <m/>
    <s v="2023-02-27, 16:27"/>
    <s v="2023-08-03, 20:42"/>
    <n v="2021"/>
    <s v="electricity__t+d__wtt"/>
    <s v="Electricity T&amp;D WTT"/>
    <s v="t+d_wtt"/>
    <b v="0"/>
    <s v="ELECTRICITY; UNITED STATES - AZNM; T&amp;D WTT Estimated"/>
    <x v="1"/>
    <x v="1"/>
    <s v="Americas"/>
    <s v="Northern America"/>
    <s v="US"/>
    <s v="AZNM"/>
    <n v="0"/>
    <s v="N2O"/>
    <n v="92.417279109999996"/>
    <n v="1.8211099999999999E-5"/>
    <s v="KWH"/>
    <n v="1"/>
    <n v="5074767"/>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ELECTRICITY; TRANSMISSION AND DISTRIBUTION; UNITED STATES - AZNM, USEPA to estimate the T&amp;D WTT factor."/>
    <n v="2021"/>
    <n v="2019"/>
    <n v="0"/>
    <n v="0"/>
    <x v="10"/>
    <s v="Labratory"/>
  </r>
  <r>
    <n v="4946"/>
    <s v="Top of Hierarchy &gt; North America &gt; Vantage_Dateland"/>
    <x v="2"/>
    <x v="1"/>
    <d v="2021-01-01T00:00:00"/>
    <d v="2021-12-31T00:00:00"/>
    <x v="0"/>
    <d v="2021-01-01T00:00:00"/>
    <d v="2021-12-31T00:00:00"/>
    <s v="Electricity (non-renewable)"/>
    <n v="5074767"/>
    <s v="Kilowatt hours"/>
    <x v="1"/>
    <m/>
    <s v="2023-02-27, 16:27"/>
    <s v="2023-08-03, 20:42"/>
    <n v="2021"/>
    <s v="electricity__t+d__wtt"/>
    <s v="Electricity T&amp;D WTT"/>
    <s v="t+d_wtt"/>
    <b v="0"/>
    <s v="ELECTRICITY; UNITED STATES - AZNM; T&amp;D WTT Estimated"/>
    <x v="1"/>
    <x v="1"/>
    <s v="Americas"/>
    <s v="Northern America"/>
    <s v="US"/>
    <s v="AZNM"/>
    <n v="1"/>
    <s v="CO2E MKT"/>
    <n v="31204.989939999999"/>
    <n v="6.1490490000000002E-3"/>
    <s v="KWH"/>
    <n v="1"/>
    <n v="5074767"/>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  to estimate the T&amp;D WTT factor."/>
    <n v="2021"/>
    <n v="2019"/>
    <n v="0"/>
    <n v="31.204989940000001"/>
    <x v="10"/>
    <s v="Labratory"/>
  </r>
  <r>
    <n v="4946"/>
    <s v="Top of Hierarchy &gt; North America &gt; Vantage_Dateland"/>
    <x v="2"/>
    <x v="1"/>
    <d v="2021-01-01T00:00:00"/>
    <d v="2021-12-31T00:00:00"/>
    <x v="0"/>
    <d v="2021-01-01T00:00:00"/>
    <d v="2021-12-31T00:00:00"/>
    <s v="Electricity (non-renewable)"/>
    <n v="5074767"/>
    <s v="Kilowatt hours"/>
    <x v="1"/>
    <m/>
    <s v="2023-02-27, 16:27"/>
    <s v="2023-08-03, 20:42"/>
    <n v="2021"/>
    <s v="electricity__wtt"/>
    <s v="Electricity WTT"/>
    <s v="wtt"/>
    <b v="0"/>
    <s v="ELECTRICITY; UNITED STATES - AZNM; WTT Estimated"/>
    <x v="1"/>
    <x v="1"/>
    <s v="Americas"/>
    <s v="Northern America"/>
    <s v="US"/>
    <s v="AZNM"/>
    <n v="0"/>
    <s v="CH4"/>
    <n v="1033.7503260000001"/>
    <n v="2.03704E-4"/>
    <s v="KWH"/>
    <n v="1"/>
    <n v="5074767"/>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AZNM, USEPAto estimate the WTT factor."/>
    <n v="2021"/>
    <n v="2019"/>
    <n v="0"/>
    <n v="0"/>
    <x v="10"/>
    <s v="Labratory"/>
  </r>
  <r>
    <n v="4946"/>
    <s v="Top of Hierarchy &gt; North America &gt; Vantage_Dateland"/>
    <x v="2"/>
    <x v="1"/>
    <d v="2021-01-01T00:00:00"/>
    <d v="2021-12-31T00:00:00"/>
    <x v="0"/>
    <d v="2021-01-01T00:00:00"/>
    <d v="2021-12-31T00:00:00"/>
    <s v="Electricity (non-renewable)"/>
    <n v="5074767"/>
    <s v="Kilowatt hours"/>
    <x v="1"/>
    <m/>
    <s v="2023-02-27, 16:27"/>
    <s v="2023-08-03, 20:42"/>
    <n v="2021"/>
    <s v="electricity__wtt"/>
    <s v="Electricity WTT"/>
    <s v="wtt"/>
    <b v="0"/>
    <s v="ELECTRICITY; UNITED STATES - AZNM; WTT Estimated"/>
    <x v="1"/>
    <x v="1"/>
    <s v="Americas"/>
    <s v="Northern America"/>
    <s v="US"/>
    <s v="AZNM"/>
    <n v="0"/>
    <s v="CO2"/>
    <n v="579095.3787"/>
    <n v="0.114112703"/>
    <s v="KWH"/>
    <n v="1"/>
    <n v="5074767"/>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AZNM, USEPAto estimate the WTT factor."/>
    <n v="2021"/>
    <n v="2019"/>
    <n v="0"/>
    <n v="0"/>
    <x v="10"/>
    <s v="Labratory"/>
  </r>
  <r>
    <n v="4946"/>
    <s v="Top of Hierarchy &gt; North America &gt; Vantage_Dateland"/>
    <x v="2"/>
    <x v="1"/>
    <d v="2021-01-01T00:00:00"/>
    <d v="2021-12-31T00:00:00"/>
    <x v="0"/>
    <d v="2021-01-01T00:00:00"/>
    <d v="2021-12-31T00:00:00"/>
    <s v="Electricity (non-renewable)"/>
    <n v="5074767"/>
    <s v="Kilowatt hours"/>
    <x v="1"/>
    <m/>
    <s v="2023-02-27, 16:27"/>
    <s v="2023-08-03, 20:42"/>
    <n v="2021"/>
    <s v="electricity__wtt"/>
    <s v="Electricity WTT"/>
    <s v="wtt"/>
    <b v="0"/>
    <s v="ELECTRICITY; UNITED STATES - AZNM; WTT Estimated"/>
    <x v="1"/>
    <x v="1"/>
    <s v="Americas"/>
    <s v="Northern America"/>
    <s v="US"/>
    <s v="AZNM"/>
    <n v="0"/>
    <s v="CO2E"/>
    <n v="581941.23259999999"/>
    <n v="0.114673488"/>
    <s v="KWH"/>
    <n v="1"/>
    <n v="5074767"/>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AZNM, USEPAto estimate the WTT factor."/>
    <n v="2021"/>
    <n v="2019"/>
    <n v="581.94123260000003"/>
    <n v="0"/>
    <x v="10"/>
    <s v="Labratory"/>
  </r>
  <r>
    <n v="4946"/>
    <s v="Top of Hierarchy &gt; North America &gt; Vantage_Dateland"/>
    <x v="2"/>
    <x v="1"/>
    <d v="2021-01-01T00:00:00"/>
    <d v="2021-12-31T00:00:00"/>
    <x v="0"/>
    <d v="2021-01-01T00:00:00"/>
    <d v="2021-12-31T00:00:00"/>
    <s v="Electricity (non-renewable)"/>
    <n v="5074767"/>
    <s v="Kilowatt hours"/>
    <x v="1"/>
    <m/>
    <s v="2023-02-27, 16:27"/>
    <s v="2023-08-03, 20:42"/>
    <n v="2021"/>
    <s v="electricity__wtt"/>
    <s v="Electricity WTT"/>
    <s v="wtt"/>
    <b v="0"/>
    <s v="ELECTRICITY; UNITED STATES - AZNM; WTT Estimated"/>
    <x v="1"/>
    <x v="1"/>
    <s v="Americas"/>
    <s v="Northern America"/>
    <s v="US"/>
    <s v="AZNM"/>
    <n v="0"/>
    <s v="N2O"/>
    <n v="1812.1035119999999"/>
    <n v="3.5708099999999998E-4"/>
    <s v="KWH"/>
    <n v="1"/>
    <n v="5074767"/>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AZNM, USEPAto estimate the WTT factor."/>
    <n v="2021"/>
    <n v="2019"/>
    <n v="0"/>
    <n v="0"/>
    <x v="10"/>
    <s v="Labratory"/>
  </r>
  <r>
    <n v="4946"/>
    <s v="Top of Hierarchy &gt; North America &gt; Vantage_Dateland"/>
    <x v="2"/>
    <x v="1"/>
    <d v="2021-01-01T00:00:00"/>
    <d v="2021-12-31T00:00:00"/>
    <x v="0"/>
    <d v="2021-01-01T00:00:00"/>
    <d v="2021-12-31T00:00:00"/>
    <s v="Electricity (non-renewable)"/>
    <n v="5074767"/>
    <s v="Kilowatt hours"/>
    <x v="1"/>
    <m/>
    <s v="2023-02-27, 16:27"/>
    <s v="2023-08-03, 20:42"/>
    <n v="2021"/>
    <s v="electricity__wtt"/>
    <s v="Electricity WTT"/>
    <s v="wtt"/>
    <b v="0"/>
    <s v="ELECTRICITY; UNITED STATES - AZNM; WTT Estimated"/>
    <x v="1"/>
    <x v="1"/>
    <s v="Americas"/>
    <s v="Northern America"/>
    <s v="US"/>
    <s v="AZNM"/>
    <n v="1"/>
    <s v="CO2E MKT"/>
    <n v="580657.55790000001"/>
    <n v="0.114420536"/>
    <s v="KWH"/>
    <n v="1"/>
    <n v="5074767"/>
    <s v="AR4"/>
    <s v="Anthesis"/>
    <s v="The WTT factor was calculated using the ratio of the CO2e factors: ELECTRICITY; UNITED STATES - AZNM, USEPA to ELECTRICITY; UNITED STATES - AZNM; WTT Estimated, Anthesis 0.264 and applying that to the grid gen factor ELECTRICITY; UNITED STATES - AZNM Green-e 0.433"/>
    <n v="2021"/>
    <n v="2019"/>
    <n v="0"/>
    <n v="580.65755790000003"/>
    <x v="10"/>
    <s v="Labratory"/>
  </r>
  <r>
    <n v="4946"/>
    <s v="Top of Hierarchy &gt; North America &gt; Vantage_Dateland"/>
    <x v="2"/>
    <x v="1"/>
    <d v="2021-01-01T00:00:00"/>
    <d v="2021-12-31T00:00:00"/>
    <x v="0"/>
    <d v="2021-01-01T00:00:00"/>
    <d v="2021-12-31T00:00:00"/>
    <s v="Electricity (non-renewable)"/>
    <n v="5074767"/>
    <s v="Kilowatt hours"/>
    <x v="1"/>
    <m/>
    <s v="2023-02-27, 16:27"/>
    <s v="2023-08-03, 20:42"/>
    <n v="2021"/>
    <s v="electricity__t+d"/>
    <s v="Electricity T&amp;D"/>
    <s v="t+d"/>
    <b v="0"/>
    <s v="ELECTRICITY; TRANSMISSION AND DISTRIBUTION; UNITED STATES - AZNM"/>
    <x v="1"/>
    <x v="1"/>
    <s v="Americas"/>
    <s v="Northern America"/>
    <s v="US"/>
    <s v="AZNM"/>
    <n v="0"/>
    <s v="CO2E"/>
    <n v="118385.4155"/>
    <n v="2.3328247E-2"/>
    <s v="KWH"/>
    <n v="1"/>
    <n v="5074767"/>
    <s v="AR4"/>
    <s v="USEPA"/>
    <s v="USEPA (2021)"/>
    <n v="2021"/>
    <n v="2019"/>
    <n v="118.38541550000001"/>
    <n v="0"/>
    <x v="10"/>
    <s v="Labratory"/>
  </r>
  <r>
    <n v="4946"/>
    <s v="Top of Hierarchy &gt; North America &gt; Vantage_Dateland"/>
    <x v="2"/>
    <x v="1"/>
    <d v="2021-01-01T00:00:00"/>
    <d v="2021-12-31T00:00:00"/>
    <x v="0"/>
    <d v="2021-01-01T00:00:00"/>
    <d v="2021-12-31T00:00:00"/>
    <s v="Electricity (non-renewable)"/>
    <n v="5074767"/>
    <s v="Kilowatt hours"/>
    <x v="1"/>
    <m/>
    <s v="2023-02-27, 16:27"/>
    <s v="2023-08-03, 20:42"/>
    <n v="2021"/>
    <s v="electricity__t+d"/>
    <s v="Electricity T&amp;D"/>
    <s v="t+d"/>
    <b v="0"/>
    <s v="ELECTRICITY; UNITED STATES - AZNM; T&amp;D Estimated"/>
    <x v="1"/>
    <x v="1"/>
    <s v="Americas"/>
    <s v="Northern America"/>
    <s v="US"/>
    <s v="AZNM"/>
    <n v="1"/>
    <s v="CO2E MKT"/>
    <n v="118124.2752"/>
    <n v="2.3276788E-2"/>
    <s v="KWH"/>
    <n v="1"/>
    <n v="5074767"/>
    <s v="AR4"/>
    <s v="Anthesis"/>
    <s v="The T&amp;D factor was calculated using the ratio of the CO2e factors: ELECTRICITY; UNITED STATES - AZNM, USEPA to ELECTRICITY; TRANSMISSION AND DISTRIBUTION; UNITED STATES - AZNM, USEPA 0.054 and applying that to the grid gen factor ELECTRICITY; UNITED STATES - AZNM Green-e 0.433"/>
    <n v="2021"/>
    <n v="2019"/>
    <n v="0"/>
    <n v="118.1242752"/>
    <x v="10"/>
    <s v="Labratory"/>
  </r>
  <r>
    <n v="4973"/>
    <s v="Top of Hierarchy &gt; North America &gt; Vantage_Dateland"/>
    <x v="2"/>
    <x v="1"/>
    <d v="2021-01-01T00:00:00"/>
    <d v="2021-12-31T00:00:00"/>
    <x v="3"/>
    <d v="2021-01-01T00:00:00"/>
    <d v="2021-12-31T00:00:00"/>
    <s v="Natural gas"/>
    <n v="72687"/>
    <s v="Hundred Thousand BTUs"/>
    <x v="1"/>
    <m/>
    <s v="2023-02-27, 16:27"/>
    <s v="2023-08-03, 20:43"/>
    <n v="2021"/>
    <s v="natural_gas"/>
    <s v="Natural Gas"/>
    <s v="model"/>
    <b v="0"/>
    <s v="NATURAL GAS, NATURAL GAS"/>
    <x v="2"/>
    <x v="0"/>
    <s v="Americas"/>
    <s v="Northern America"/>
    <s v="US"/>
    <m/>
    <n v="0"/>
    <s v="CH4"/>
    <n v="181.7175"/>
    <n v="2.5000000000000001E-2"/>
    <s v="MMBTU"/>
    <n v="0.1"/>
    <n v="7268.7"/>
    <s v="AR4"/>
    <s v="USEPA"/>
    <s v="USEPA (2021)"/>
    <n v="2021"/>
    <n v="2021"/>
    <n v="0"/>
    <n v="0"/>
    <x v="10"/>
    <s v="Labratory"/>
  </r>
  <r>
    <n v="4973"/>
    <s v="Top of Hierarchy &gt; North America &gt; Vantage_Dateland"/>
    <x v="2"/>
    <x v="1"/>
    <d v="2021-01-01T00:00:00"/>
    <d v="2021-12-31T00:00:00"/>
    <x v="3"/>
    <d v="2021-01-01T00:00:00"/>
    <d v="2021-12-31T00:00:00"/>
    <s v="Natural gas"/>
    <n v="72687"/>
    <s v="Hundred Thousand BTUs"/>
    <x v="1"/>
    <m/>
    <s v="2023-02-27, 16:27"/>
    <s v="2023-08-03, 20:43"/>
    <n v="2021"/>
    <s v="natural_gas"/>
    <s v="Natural Gas"/>
    <s v="model"/>
    <b v="0"/>
    <s v="NATURAL GAS, NATURAL GAS"/>
    <x v="2"/>
    <x v="0"/>
    <s v="Americas"/>
    <s v="Northern America"/>
    <s v="US"/>
    <m/>
    <n v="0"/>
    <s v="CO2"/>
    <n v="385677.22200000001"/>
    <n v="53.06"/>
    <s v="MMBTU"/>
    <n v="0.1"/>
    <n v="7268.7"/>
    <s v="AR4"/>
    <s v="USEPA"/>
    <s v="USEPA Emission Factors Hub (Last Modified: March 2020)"/>
    <n v="2021"/>
    <n v="2020"/>
    <n v="0"/>
    <n v="0"/>
    <x v="10"/>
    <s v="Labratory"/>
  </r>
  <r>
    <n v="4973"/>
    <s v="Top of Hierarchy &gt; North America &gt; Vantage_Dateland"/>
    <x v="2"/>
    <x v="1"/>
    <d v="2021-01-01T00:00:00"/>
    <d v="2021-12-31T00:00:00"/>
    <x v="3"/>
    <d v="2021-01-01T00:00:00"/>
    <d v="2021-12-31T00:00:00"/>
    <s v="Natural gas"/>
    <n v="72687"/>
    <s v="Hundred Thousand BTUs"/>
    <x v="1"/>
    <m/>
    <s v="2023-02-27, 16:27"/>
    <s v="2023-08-03, 20:43"/>
    <n v="2021"/>
    <s v="natural_gas"/>
    <s v="Natural Gas"/>
    <s v="model"/>
    <b v="0"/>
    <s v="NATURAL GAS, NATURAL GAS"/>
    <x v="2"/>
    <x v="0"/>
    <s v="Americas"/>
    <s v="Northern America"/>
    <s v="US"/>
    <m/>
    <n v="0"/>
    <s v="CO2E"/>
    <n v="386075.54680000001"/>
    <n v="53.114800000000002"/>
    <s v="MMBTU"/>
    <n v="0.1"/>
    <n v="7268.7"/>
    <s v="AR4"/>
    <s v="USEPA"/>
    <s v="USEPA (2021)"/>
    <n v="2021"/>
    <n v="2021"/>
    <n v="386.07554679999998"/>
    <n v="0"/>
    <x v="10"/>
    <s v="Labratory"/>
  </r>
  <r>
    <n v="4973"/>
    <s v="Top of Hierarchy &gt; North America &gt; Vantage_Dateland"/>
    <x v="2"/>
    <x v="1"/>
    <d v="2021-01-01T00:00:00"/>
    <d v="2021-12-31T00:00:00"/>
    <x v="3"/>
    <d v="2021-01-01T00:00:00"/>
    <d v="2021-12-31T00:00:00"/>
    <s v="Natural gas"/>
    <n v="72687"/>
    <s v="Hundred Thousand BTUs"/>
    <x v="1"/>
    <m/>
    <s v="2023-02-27, 16:27"/>
    <s v="2023-08-03, 20:43"/>
    <n v="2021"/>
    <s v="natural_gas"/>
    <s v="Natural Gas"/>
    <s v="model"/>
    <b v="0"/>
    <s v="NATURAL GAS, NATURAL GAS"/>
    <x v="2"/>
    <x v="0"/>
    <s v="Americas"/>
    <s v="Northern America"/>
    <s v="US"/>
    <m/>
    <n v="0"/>
    <s v="N2O"/>
    <n v="216.60726"/>
    <n v="2.98E-2"/>
    <s v="MMBTU"/>
    <n v="0.1"/>
    <n v="7268.7"/>
    <s v="AR4"/>
    <s v="USEPA"/>
    <s v="USEPA (2021)"/>
    <n v="2021"/>
    <n v="2021"/>
    <n v="0"/>
    <n v="0"/>
    <x v="10"/>
    <s v="Labratory"/>
  </r>
  <r>
    <n v="4973"/>
    <s v="Top of Hierarchy &gt; North America &gt; Vantage_Dateland"/>
    <x v="2"/>
    <x v="1"/>
    <d v="2021-01-01T00:00:00"/>
    <d v="2021-12-31T00:00:00"/>
    <x v="3"/>
    <d v="2021-01-01T00:00:00"/>
    <d v="2021-12-31T00:00:00"/>
    <s v="Natural gas"/>
    <n v="72687"/>
    <s v="Hundred Thousand BTUs"/>
    <x v="1"/>
    <m/>
    <s v="2023-02-27, 16:27"/>
    <s v="2023-08-03, 20:43"/>
    <n v="2021"/>
    <s v="natural_gas"/>
    <s v="Natural Gas"/>
    <s v="model"/>
    <b v="0"/>
    <s v="NATURAL GAS, NATURAL GAS"/>
    <x v="2"/>
    <x v="0"/>
    <s v="Americas"/>
    <s v="Northern America"/>
    <s v="US"/>
    <m/>
    <n v="1"/>
    <s v="CH4"/>
    <n v="181.7175"/>
    <n v="2.5000000000000001E-2"/>
    <s v="MMBTU"/>
    <n v="0.1"/>
    <n v="7268.7"/>
    <s v="AR4"/>
    <s v="USEPA"/>
    <s v="USEPA (2021)"/>
    <n v="2021"/>
    <n v="2021"/>
    <n v="0"/>
    <n v="0"/>
    <x v="10"/>
    <s v="Labratory"/>
  </r>
  <r>
    <n v="4973"/>
    <s v="Top of Hierarchy &gt; North America &gt; Vantage_Dateland"/>
    <x v="2"/>
    <x v="1"/>
    <d v="2021-01-01T00:00:00"/>
    <d v="2021-12-31T00:00:00"/>
    <x v="3"/>
    <d v="2021-01-01T00:00:00"/>
    <d v="2021-12-31T00:00:00"/>
    <s v="Natural gas"/>
    <n v="72687"/>
    <s v="Hundred Thousand BTUs"/>
    <x v="1"/>
    <m/>
    <s v="2023-02-27, 16:27"/>
    <s v="2023-08-03, 20:43"/>
    <n v="2021"/>
    <s v="natural_gas"/>
    <s v="Natural Gas"/>
    <s v="model"/>
    <b v="0"/>
    <s v="NATURAL GAS, NATURAL GAS"/>
    <x v="2"/>
    <x v="0"/>
    <s v="Americas"/>
    <s v="Northern America"/>
    <s v="US"/>
    <m/>
    <n v="1"/>
    <s v="CO2"/>
    <n v="385677.22200000001"/>
    <n v="53.06"/>
    <s v="MMBTU"/>
    <n v="0.1"/>
    <n v="7268.7"/>
    <s v="AR4"/>
    <s v="USEPA"/>
    <s v="USEPA Emission Factors Hub (Last Modified: March 2020)"/>
    <n v="2021"/>
    <n v="2020"/>
    <n v="0"/>
    <n v="0"/>
    <x v="10"/>
    <s v="Labratory"/>
  </r>
  <r>
    <n v="4973"/>
    <s v="Top of Hierarchy &gt; North America &gt; Vantage_Dateland"/>
    <x v="2"/>
    <x v="1"/>
    <d v="2021-01-01T00:00:00"/>
    <d v="2021-12-31T00:00:00"/>
    <x v="3"/>
    <d v="2021-01-01T00:00:00"/>
    <d v="2021-12-31T00:00:00"/>
    <s v="Natural gas"/>
    <n v="72687"/>
    <s v="Hundred Thousand BTUs"/>
    <x v="1"/>
    <m/>
    <s v="2023-02-27, 16:27"/>
    <s v="2023-08-03, 20:43"/>
    <n v="2021"/>
    <s v="natural_gas"/>
    <s v="Natural Gas"/>
    <s v="model"/>
    <b v="0"/>
    <s v="NATURAL GAS, NATURAL GAS"/>
    <x v="2"/>
    <x v="0"/>
    <s v="Americas"/>
    <s v="Northern America"/>
    <s v="US"/>
    <m/>
    <n v="1"/>
    <s v="CO2E"/>
    <n v="386075.54680000001"/>
    <n v="53.114800000000002"/>
    <s v="MMBTU"/>
    <n v="0.1"/>
    <n v="7268.7"/>
    <s v="AR4"/>
    <s v="USEPA"/>
    <s v="USEPA (2021)"/>
    <n v="2021"/>
    <n v="2021"/>
    <n v="0"/>
    <n v="386.07554679999998"/>
    <x v="10"/>
    <s v="Labratory"/>
  </r>
  <r>
    <n v="4973"/>
    <s v="Top of Hierarchy &gt; North America &gt; Vantage_Dateland"/>
    <x v="2"/>
    <x v="1"/>
    <d v="2021-01-01T00:00:00"/>
    <d v="2021-12-31T00:00:00"/>
    <x v="3"/>
    <d v="2021-01-01T00:00:00"/>
    <d v="2021-12-31T00:00:00"/>
    <s v="Natural gas"/>
    <n v="72687"/>
    <s v="Hundred Thousand BTUs"/>
    <x v="1"/>
    <m/>
    <s v="2023-02-27, 16:27"/>
    <s v="2023-08-03, 20:43"/>
    <n v="2021"/>
    <s v="natural_gas"/>
    <s v="Natural Gas"/>
    <s v="model"/>
    <b v="0"/>
    <s v="NATURAL GAS, NATURAL GAS"/>
    <x v="2"/>
    <x v="0"/>
    <s v="Americas"/>
    <s v="Northern America"/>
    <s v="US"/>
    <m/>
    <n v="1"/>
    <s v="N2O"/>
    <n v="216.60726"/>
    <n v="2.98E-2"/>
    <s v="MMBTU"/>
    <n v="0.1"/>
    <n v="7268.7"/>
    <s v="AR4"/>
    <s v="USEPA"/>
    <s v="USEPA (2021)"/>
    <n v="2021"/>
    <n v="2021"/>
    <n v="0"/>
    <n v="0"/>
    <x v="10"/>
    <s v="Labratory"/>
  </r>
  <r>
    <n v="4973"/>
    <s v="Top of Hierarchy &gt; North America &gt; Vantage_Dateland"/>
    <x v="2"/>
    <x v="1"/>
    <d v="2021-01-01T00:00:00"/>
    <d v="2021-12-31T00:00:00"/>
    <x v="3"/>
    <d v="2021-01-01T00:00:00"/>
    <d v="2021-12-31T00:00:00"/>
    <s v="Natural gas"/>
    <n v="72687"/>
    <s v="Hundred Thousand BTUs"/>
    <x v="1"/>
    <m/>
    <s v="2023-02-27, 16:27"/>
    <s v="2023-08-03, 20:43"/>
    <n v="2021"/>
    <s v="natural_gas__wtt"/>
    <s v="Natural Gas WTT"/>
    <s v="wtt"/>
    <b v="0"/>
    <s v="WTT- FUELS; WTT- GASEOUS FUELS; NATURAL GAS"/>
    <x v="1"/>
    <x v="1"/>
    <m/>
    <m/>
    <m/>
    <m/>
    <n v="0"/>
    <s v="CO2E"/>
    <n v="66767.235159999997"/>
    <n v="3.1350000000000003E-2"/>
    <s v="KWH (GROSS CV)"/>
    <n v="29.3001"/>
    <n v="2129736.3689999999"/>
    <s v="AR4"/>
    <s v="Defra"/>
    <s v="Defra (2021)"/>
    <n v="2021"/>
    <n v="2019"/>
    <n v="66.767235159999998"/>
    <n v="0"/>
    <x v="10"/>
    <s v="Labratory"/>
  </r>
  <r>
    <n v="4973"/>
    <s v="Top of Hierarchy &gt; North America &gt; Vantage_Dateland"/>
    <x v="2"/>
    <x v="1"/>
    <d v="2021-01-01T00:00:00"/>
    <d v="2021-12-31T00:00:00"/>
    <x v="3"/>
    <d v="2021-01-01T00:00:00"/>
    <d v="2021-12-31T00:00:00"/>
    <s v="Natural gas"/>
    <n v="72687"/>
    <s v="Hundred Thousand BTUs"/>
    <x v="1"/>
    <m/>
    <s v="2023-02-27, 16:27"/>
    <s v="2023-08-03, 20:43"/>
    <n v="2021"/>
    <s v="natural_gas__wtt"/>
    <s v="Natural Gas WTT"/>
    <s v="wtt"/>
    <b v="0"/>
    <s v="WTT- FUELS; WTT- GASEOUS FUELS; NATURAL GAS"/>
    <x v="1"/>
    <x v="1"/>
    <m/>
    <m/>
    <m/>
    <m/>
    <n v="1"/>
    <s v="CO2E"/>
    <n v="66767.235159999997"/>
    <n v="3.1350000000000003E-2"/>
    <s v="KWH (GROSS CV)"/>
    <n v="29.3001"/>
    <n v="2129736.3689999999"/>
    <s v="AR4"/>
    <s v="Defra"/>
    <s v="Defra (2021)"/>
    <n v="2021"/>
    <n v="2019"/>
    <n v="0"/>
    <n v="66.767235159999998"/>
    <x v="10"/>
    <s v="Labratory"/>
  </r>
  <r>
    <n v="5005"/>
    <s v="Top of Hierarchy &gt; North America &gt; Vantage_Dateland"/>
    <x v="2"/>
    <x v="1"/>
    <d v="2021-01-01T00:00:00"/>
    <d v="2021-12-31T00:00:00"/>
    <x v="1"/>
    <d v="2021-01-01T00:00:00"/>
    <d v="2021-12-31T00:00:00"/>
    <s v="Petrol (100% mineral petrol)"/>
    <n v="22533"/>
    <s v="US liquid gallons"/>
    <x v="1"/>
    <m/>
    <s v="2023-02-27, 16:27"/>
    <s v="2023-08-03, 20:39"/>
    <n v="2021"/>
    <s v="petrol_100p_mineral_petrol"/>
    <s v="Petrol (100% Mineral Petrol)"/>
    <s v="model"/>
    <b v="0"/>
    <s v="FUELS; LIQUID FUELS; PETROL (100% MINERAL PETROL)"/>
    <x v="2"/>
    <x v="0"/>
    <m/>
    <m/>
    <m/>
    <m/>
    <n v="0"/>
    <s v="CH4"/>
    <n v="624.37143060000005"/>
    <n v="7.3200000000000001E-3"/>
    <s v="LITRES"/>
    <n v="3.7854100000000002"/>
    <n v="85296.643530000001"/>
    <s v="AR4"/>
    <s v="Defra"/>
    <s v="Defra (2021)"/>
    <n v="2021"/>
    <n v="2019"/>
    <n v="0"/>
    <n v="0"/>
    <x v="10"/>
    <s v="Labratory"/>
  </r>
  <r>
    <n v="5005"/>
    <s v="Top of Hierarchy &gt; North America &gt; Vantage_Dateland"/>
    <x v="2"/>
    <x v="1"/>
    <d v="2021-01-01T00:00:00"/>
    <d v="2021-12-31T00:00:00"/>
    <x v="1"/>
    <d v="2021-01-01T00:00:00"/>
    <d v="2021-12-31T00:00:00"/>
    <s v="Petrol (100% mineral petrol)"/>
    <n v="22533"/>
    <s v="US liquid gallons"/>
    <x v="1"/>
    <m/>
    <s v="2023-02-27, 16:27"/>
    <s v="2023-08-03, 20:39"/>
    <n v="2021"/>
    <s v="petrol_100p_mineral_petrol"/>
    <s v="Petrol (100% Mineral Petrol)"/>
    <s v="model"/>
    <b v="0"/>
    <s v="FUELS; LIQUID FUELS; PETROL (100% MINERAL PETROL)"/>
    <x v="2"/>
    <x v="0"/>
    <m/>
    <m/>
    <m/>
    <m/>
    <n v="0"/>
    <s v="CO2"/>
    <n v="198371.845"/>
    <n v="2.3256700000000001"/>
    <s v="LITRES"/>
    <n v="3.7854100000000002"/>
    <n v="85296.643530000001"/>
    <s v="AR4"/>
    <s v="Defra"/>
    <s v="Defra (2021)"/>
    <n v="2021"/>
    <n v="2019"/>
    <n v="0"/>
    <n v="0"/>
    <x v="10"/>
    <s v="Labratory"/>
  </r>
  <r>
    <n v="5005"/>
    <s v="Top of Hierarchy &gt; North America &gt; Vantage_Dateland"/>
    <x v="2"/>
    <x v="1"/>
    <d v="2021-01-01T00:00:00"/>
    <d v="2021-12-31T00:00:00"/>
    <x v="1"/>
    <d v="2021-01-01T00:00:00"/>
    <d v="2021-12-31T00:00:00"/>
    <s v="Petrol (100% mineral petrol)"/>
    <n v="22533"/>
    <s v="US liquid gallons"/>
    <x v="1"/>
    <m/>
    <s v="2023-02-27, 16:27"/>
    <s v="2023-08-03, 20:39"/>
    <n v="2021"/>
    <s v="petrol_100p_mineral_petrol"/>
    <s v="Petrol (100% Mineral Petrol)"/>
    <s v="model"/>
    <b v="0"/>
    <s v="FUELS; LIQUID FUELS; PETROL (100% MINERAL PETROL)"/>
    <x v="2"/>
    <x v="0"/>
    <m/>
    <m/>
    <m/>
    <m/>
    <n v="0"/>
    <s v="CO2E"/>
    <n v="199568.5569"/>
    <n v="2.3397000000000001"/>
    <s v="LITRES"/>
    <n v="3.7854100000000002"/>
    <n v="85296.643530000001"/>
    <s v="AR4"/>
    <s v="Defra"/>
    <s v="Defra (2021)"/>
    <n v="2021"/>
    <n v="2019"/>
    <n v="199.5685569"/>
    <n v="0"/>
    <x v="10"/>
    <s v="Labratory"/>
  </r>
  <r>
    <n v="5005"/>
    <s v="Top of Hierarchy &gt; North America &gt; Vantage_Dateland"/>
    <x v="2"/>
    <x v="1"/>
    <d v="2021-01-01T00:00:00"/>
    <d v="2021-12-31T00:00:00"/>
    <x v="1"/>
    <d v="2021-01-01T00:00:00"/>
    <d v="2021-12-31T00:00:00"/>
    <s v="Petrol (100% mineral petrol)"/>
    <n v="22533"/>
    <s v="US liquid gallons"/>
    <x v="1"/>
    <m/>
    <s v="2023-02-27, 16:27"/>
    <s v="2023-08-03, 20:39"/>
    <n v="2021"/>
    <s v="petrol_100p_mineral_petrol"/>
    <s v="Petrol (100% Mineral Petrol)"/>
    <s v="model"/>
    <b v="0"/>
    <s v="FUELS; LIQUID FUELS; PETROL (100% MINERAL PETROL)"/>
    <x v="2"/>
    <x v="0"/>
    <m/>
    <m/>
    <m/>
    <m/>
    <n v="0"/>
    <s v="N2O"/>
    <n v="572.34047810000004"/>
    <n v="6.7099999999999998E-3"/>
    <s v="LITRES"/>
    <n v="3.7854100000000002"/>
    <n v="85296.643530000001"/>
    <s v="AR4"/>
    <s v="Defra"/>
    <s v="Defra (2021)"/>
    <n v="2021"/>
    <n v="2019"/>
    <n v="0"/>
    <n v="0"/>
    <x v="10"/>
    <s v="Labratory"/>
  </r>
  <r>
    <n v="5005"/>
    <s v="Top of Hierarchy &gt; North America &gt; Vantage_Dateland"/>
    <x v="2"/>
    <x v="1"/>
    <d v="2021-01-01T00:00:00"/>
    <d v="2021-12-31T00:00:00"/>
    <x v="1"/>
    <d v="2021-01-01T00:00:00"/>
    <d v="2021-12-31T00:00:00"/>
    <s v="Petrol (100% mineral petrol)"/>
    <n v="22533"/>
    <s v="US liquid gallons"/>
    <x v="1"/>
    <m/>
    <s v="2023-02-27, 16:27"/>
    <s v="2023-08-03, 20:39"/>
    <n v="2021"/>
    <s v="petrol_100p_mineral_petrol"/>
    <s v="Petrol (100% Mineral Petrol)"/>
    <s v="model"/>
    <b v="0"/>
    <s v="FUELS; LIQUID FUELS; PETROL (100% MINERAL PETROL)"/>
    <x v="2"/>
    <x v="0"/>
    <m/>
    <m/>
    <m/>
    <m/>
    <n v="1"/>
    <s v="CH4"/>
    <n v="624.37143060000005"/>
    <n v="7.3200000000000001E-3"/>
    <s v="LITRES"/>
    <n v="3.7854100000000002"/>
    <n v="85296.643530000001"/>
    <s v="AR4"/>
    <s v="Defra"/>
    <s v="Defra (2021)"/>
    <n v="2021"/>
    <n v="2019"/>
    <n v="0"/>
    <n v="0"/>
    <x v="10"/>
    <s v="Labratory"/>
  </r>
  <r>
    <n v="5005"/>
    <s v="Top of Hierarchy &gt; North America &gt; Vantage_Dateland"/>
    <x v="2"/>
    <x v="1"/>
    <d v="2021-01-01T00:00:00"/>
    <d v="2021-12-31T00:00:00"/>
    <x v="1"/>
    <d v="2021-01-01T00:00:00"/>
    <d v="2021-12-31T00:00:00"/>
    <s v="Petrol (100% mineral petrol)"/>
    <n v="22533"/>
    <s v="US liquid gallons"/>
    <x v="1"/>
    <m/>
    <s v="2023-02-27, 16:27"/>
    <s v="2023-08-03, 20:39"/>
    <n v="2021"/>
    <s v="petrol_100p_mineral_petrol"/>
    <s v="Petrol (100% Mineral Petrol)"/>
    <s v="model"/>
    <b v="0"/>
    <s v="FUELS; LIQUID FUELS; PETROL (100% MINERAL PETROL)"/>
    <x v="2"/>
    <x v="0"/>
    <m/>
    <m/>
    <m/>
    <m/>
    <n v="1"/>
    <s v="CO2"/>
    <n v="198371.845"/>
    <n v="2.3256700000000001"/>
    <s v="LITRES"/>
    <n v="3.7854100000000002"/>
    <n v="85296.643530000001"/>
    <s v="AR4"/>
    <s v="Defra"/>
    <s v="Defra (2021)"/>
    <n v="2021"/>
    <n v="2019"/>
    <n v="0"/>
    <n v="0"/>
    <x v="10"/>
    <s v="Labratory"/>
  </r>
  <r>
    <n v="5005"/>
    <s v="Top of Hierarchy &gt; North America &gt; Vantage_Dateland"/>
    <x v="2"/>
    <x v="1"/>
    <d v="2021-01-01T00:00:00"/>
    <d v="2021-12-31T00:00:00"/>
    <x v="1"/>
    <d v="2021-01-01T00:00:00"/>
    <d v="2021-12-31T00:00:00"/>
    <s v="Petrol (100% mineral petrol)"/>
    <n v="22533"/>
    <s v="US liquid gallons"/>
    <x v="1"/>
    <m/>
    <s v="2023-02-27, 16:27"/>
    <s v="2023-08-03, 20:39"/>
    <n v="2021"/>
    <s v="petrol_100p_mineral_petrol"/>
    <s v="Petrol (100% Mineral Petrol)"/>
    <s v="model"/>
    <b v="0"/>
    <s v="FUELS; LIQUID FUELS; PETROL (100% MINERAL PETROL)"/>
    <x v="2"/>
    <x v="0"/>
    <m/>
    <m/>
    <m/>
    <m/>
    <n v="1"/>
    <s v="CO2E"/>
    <n v="199568.5569"/>
    <n v="2.3397000000000001"/>
    <s v="LITRES"/>
    <n v="3.7854100000000002"/>
    <n v="85296.643530000001"/>
    <s v="AR4"/>
    <s v="Defra"/>
    <s v="Defra (2021)"/>
    <n v="2021"/>
    <n v="2019"/>
    <n v="0"/>
    <n v="199.5685569"/>
    <x v="10"/>
    <s v="Labratory"/>
  </r>
  <r>
    <n v="5005"/>
    <s v="Top of Hierarchy &gt; North America &gt; Vantage_Dateland"/>
    <x v="2"/>
    <x v="1"/>
    <d v="2021-01-01T00:00:00"/>
    <d v="2021-12-31T00:00:00"/>
    <x v="1"/>
    <d v="2021-01-01T00:00:00"/>
    <d v="2021-12-31T00:00:00"/>
    <s v="Petrol (100% mineral petrol)"/>
    <n v="22533"/>
    <s v="US liquid gallons"/>
    <x v="1"/>
    <m/>
    <s v="2023-02-27, 16:27"/>
    <s v="2023-08-03, 20:39"/>
    <n v="2021"/>
    <s v="petrol_100p_mineral_petrol"/>
    <s v="Petrol (100% Mineral Petrol)"/>
    <s v="model"/>
    <b v="0"/>
    <s v="FUELS; LIQUID FUELS; PETROL (100% MINERAL PETROL)"/>
    <x v="2"/>
    <x v="0"/>
    <m/>
    <m/>
    <m/>
    <m/>
    <n v="1"/>
    <s v="N2O"/>
    <n v="572.34047810000004"/>
    <n v="6.7099999999999998E-3"/>
    <s v="LITRES"/>
    <n v="3.7854100000000002"/>
    <n v="85296.643530000001"/>
    <s v="AR4"/>
    <s v="Defra"/>
    <s v="Defra (2021)"/>
    <n v="2021"/>
    <n v="2019"/>
    <n v="0"/>
    <n v="0"/>
    <x v="10"/>
    <s v="Labratory"/>
  </r>
  <r>
    <n v="5005"/>
    <s v="Top of Hierarchy &gt; North America &gt; Vantage_Dateland"/>
    <x v="2"/>
    <x v="1"/>
    <d v="2021-01-01T00:00:00"/>
    <d v="2021-12-31T00:00:00"/>
    <x v="1"/>
    <d v="2021-01-01T00:00:00"/>
    <d v="2021-12-31T00:00:00"/>
    <s v="Petrol (100% mineral petrol)"/>
    <n v="22533"/>
    <s v="US liquid gallons"/>
    <x v="1"/>
    <m/>
    <s v="2023-02-27, 16:27"/>
    <s v="2023-08-03, 20:39"/>
    <n v="2021"/>
    <s v="petrol_100p_mineral_petrol__wtt"/>
    <s v="Petrol (100% Mineral Petrol) WTT"/>
    <s v="wtt"/>
    <b v="0"/>
    <s v="WTT- FUELS; WTT- LIQUID FUELS; PETROL (100% MINERAL PETROL)"/>
    <x v="1"/>
    <x v="1"/>
    <m/>
    <m/>
    <m/>
    <m/>
    <n v="0"/>
    <s v="CO2E"/>
    <n v="51419.375619999999"/>
    <n v="0.60282999999999998"/>
    <s v="LITRES"/>
    <n v="3.7854100000000002"/>
    <n v="85296.643530000001"/>
    <s v="AR4"/>
    <s v="Defra"/>
    <s v="Defra (2021)"/>
    <n v="2021"/>
    <n v="2019"/>
    <n v="51.419375619999997"/>
    <n v="0"/>
    <x v="10"/>
    <s v="Labratory"/>
  </r>
  <r>
    <n v="5005"/>
    <s v="Top of Hierarchy &gt; North America &gt; Vantage_Dateland"/>
    <x v="2"/>
    <x v="1"/>
    <d v="2021-01-01T00:00:00"/>
    <d v="2021-12-31T00:00:00"/>
    <x v="1"/>
    <d v="2021-01-01T00:00:00"/>
    <d v="2021-12-31T00:00:00"/>
    <s v="Petrol (100% mineral petrol)"/>
    <n v="22533"/>
    <s v="US liquid gallons"/>
    <x v="1"/>
    <m/>
    <s v="2023-02-27, 16:27"/>
    <s v="2023-08-03, 20:39"/>
    <n v="2021"/>
    <s v="petrol_100p_mineral_petrol__wtt"/>
    <s v="Petrol (100% Mineral Petrol) WTT"/>
    <s v="wtt"/>
    <b v="0"/>
    <s v="WTT- FUELS; WTT- LIQUID FUELS; PETROL (100% MINERAL PETROL)"/>
    <x v="1"/>
    <x v="1"/>
    <m/>
    <m/>
    <m/>
    <m/>
    <n v="1"/>
    <s v="CO2E"/>
    <n v="51419.375619999999"/>
    <n v="0.60282999999999998"/>
    <s v="LITRES"/>
    <n v="3.7854100000000002"/>
    <n v="85296.643530000001"/>
    <s v="AR4"/>
    <s v="Defra"/>
    <s v="Defra (2021)"/>
    <n v="2021"/>
    <n v="2019"/>
    <n v="0"/>
    <n v="51.419375619999997"/>
    <x v="10"/>
    <s v="Labratory"/>
  </r>
  <r>
    <n v="5006"/>
    <s v="Top of Hierarchy &gt; North America &gt; Vantage_Dateland"/>
    <x v="2"/>
    <x v="1"/>
    <d v="2021-01-01T00:00:00"/>
    <d v="2021-12-31T00:00:00"/>
    <x v="1"/>
    <d v="2021-01-01T00:00:00"/>
    <d v="2021-12-31T00:00:00"/>
    <s v="Diesel (average biofuel blend)"/>
    <n v="19846"/>
    <s v="US liquid gallons"/>
    <x v="1"/>
    <m/>
    <s v="2023-02-27, 16:27"/>
    <s v="2023-08-03, 20:38"/>
    <n v="2021"/>
    <s v="diesel_avg_biofuel_blend"/>
    <s v="Diesel (Average Biofuel Blend)"/>
    <s v="model"/>
    <b v="0"/>
    <s v="PETROLEUM PRODUCTS, DISTILLATE FUEL OIL NO. 2"/>
    <x v="2"/>
    <x v="0"/>
    <s v="Americas"/>
    <s v="Northern America"/>
    <s v="US"/>
    <m/>
    <n v="0"/>
    <s v="CH4"/>
    <n v="203.42150000000001"/>
    <n v="1.025E-2"/>
    <s v="GALLON (US LIQUID)"/>
    <n v="1"/>
    <n v="19846"/>
    <s v="AR4"/>
    <s v="USEPA"/>
    <s v="USEPA (2021)"/>
    <n v="2021"/>
    <n v="2021"/>
    <n v="0"/>
    <n v="0"/>
    <x v="10"/>
    <s v="Labratory"/>
  </r>
  <r>
    <n v="5006"/>
    <s v="Top of Hierarchy &gt; North America &gt; Vantage_Dateland"/>
    <x v="2"/>
    <x v="1"/>
    <d v="2021-01-01T00:00:00"/>
    <d v="2021-12-31T00:00:00"/>
    <x v="1"/>
    <d v="2021-01-01T00:00:00"/>
    <d v="2021-12-31T00:00:00"/>
    <s v="Diesel (average biofuel blend)"/>
    <n v="19846"/>
    <s v="US liquid gallons"/>
    <x v="1"/>
    <m/>
    <s v="2023-02-27, 16:27"/>
    <s v="2023-08-03, 20:38"/>
    <n v="2021"/>
    <s v="diesel_avg_biofuel_blend"/>
    <s v="Diesel (Average Biofuel Blend)"/>
    <s v="model"/>
    <b v="0"/>
    <s v="PETROLEUM PRODUCTS, DISTILLATE FUEL OIL NO. 2"/>
    <x v="2"/>
    <x v="0"/>
    <s v="Americas"/>
    <s v="Northern America"/>
    <s v="US"/>
    <m/>
    <n v="0"/>
    <s v="CO2"/>
    <n v="202627.66"/>
    <n v="10.210000000000001"/>
    <s v="GALLON (US LIQUID)"/>
    <n v="1"/>
    <n v="19846"/>
    <s v="AR4"/>
    <s v="USEPA"/>
    <s v="USEPA (2021)"/>
    <n v="2021"/>
    <n v="2021"/>
    <n v="0"/>
    <n v="0"/>
    <x v="10"/>
    <s v="Labratory"/>
  </r>
  <r>
    <n v="5006"/>
    <s v="Top of Hierarchy &gt; North America &gt; Vantage_Dateland"/>
    <x v="2"/>
    <x v="1"/>
    <d v="2021-01-01T00:00:00"/>
    <d v="2021-12-31T00:00:00"/>
    <x v="1"/>
    <d v="2021-01-01T00:00:00"/>
    <d v="2021-12-31T00:00:00"/>
    <s v="Diesel (average biofuel blend)"/>
    <n v="19846"/>
    <s v="US liquid gallons"/>
    <x v="1"/>
    <m/>
    <s v="2023-02-27, 16:27"/>
    <s v="2023-08-03, 20:38"/>
    <n v="2021"/>
    <s v="diesel_avg_biofuel_blend"/>
    <s v="Diesel (Average Biofuel Blend)"/>
    <s v="model"/>
    <b v="0"/>
    <s v="PETROLEUM PRODUCTS, DISTILLATE FUEL OIL NO. 2"/>
    <x v="2"/>
    <x v="0"/>
    <s v="Americas"/>
    <s v="Northern America"/>
    <s v="US"/>
    <m/>
    <n v="0"/>
    <s v="CO2E"/>
    <n v="203304.2101"/>
    <n v="10.24409"/>
    <s v="GALLON (US LIQUID)"/>
    <n v="1"/>
    <n v="19846"/>
    <s v="AR4"/>
    <s v="USEPA"/>
    <s v="USEPA Emission Factors Hub (Last Modified: March 2020)"/>
    <n v="2021"/>
    <n v="2020"/>
    <n v="203.30421010000001"/>
    <n v="0"/>
    <x v="10"/>
    <s v="Labratory"/>
  </r>
  <r>
    <n v="5006"/>
    <s v="Top of Hierarchy &gt; North America &gt; Vantage_Dateland"/>
    <x v="2"/>
    <x v="1"/>
    <d v="2021-01-01T00:00:00"/>
    <d v="2021-12-31T00:00:00"/>
    <x v="1"/>
    <d v="2021-01-01T00:00:00"/>
    <d v="2021-12-31T00:00:00"/>
    <s v="Diesel (average biofuel blend)"/>
    <n v="19846"/>
    <s v="US liquid gallons"/>
    <x v="1"/>
    <m/>
    <s v="2023-02-27, 16:27"/>
    <s v="2023-08-03, 20:38"/>
    <n v="2021"/>
    <s v="diesel_avg_biofuel_blend"/>
    <s v="Diesel (Average Biofuel Blend)"/>
    <s v="model"/>
    <b v="0"/>
    <s v="PETROLEUM PRODUCTS, DISTILLATE FUEL OIL NO. 2"/>
    <x v="2"/>
    <x v="0"/>
    <s v="Americas"/>
    <s v="Northern America"/>
    <s v="US"/>
    <m/>
    <n v="0"/>
    <s v="N2O"/>
    <n v="473.12864000000002"/>
    <n v="2.384E-2"/>
    <s v="GALLON (US LIQUID)"/>
    <n v="1"/>
    <n v="19846"/>
    <s v="AR4"/>
    <s v="USEPA"/>
    <s v="USEPA (2021)"/>
    <n v="2021"/>
    <n v="2021"/>
    <n v="0"/>
    <n v="0"/>
    <x v="10"/>
    <s v="Labratory"/>
  </r>
  <r>
    <n v="5006"/>
    <s v="Top of Hierarchy &gt; North America &gt; Vantage_Dateland"/>
    <x v="2"/>
    <x v="1"/>
    <d v="2021-01-01T00:00:00"/>
    <d v="2021-12-31T00:00:00"/>
    <x v="1"/>
    <d v="2021-01-01T00:00:00"/>
    <d v="2021-12-31T00:00:00"/>
    <s v="Diesel (average biofuel blend)"/>
    <n v="19846"/>
    <s v="US liquid gallons"/>
    <x v="1"/>
    <m/>
    <s v="2023-02-27, 16:27"/>
    <s v="2023-08-03, 20:38"/>
    <n v="2021"/>
    <s v="diesel_avg_biofuel_blend"/>
    <s v="Diesel (Average Biofuel Blend)"/>
    <s v="model"/>
    <b v="0"/>
    <s v="PETROLEUM PRODUCTS, DISTILLATE FUEL OIL NO. 2"/>
    <x v="2"/>
    <x v="0"/>
    <s v="Americas"/>
    <s v="Northern America"/>
    <s v="US"/>
    <m/>
    <n v="1"/>
    <s v="CH4"/>
    <n v="203.42150000000001"/>
    <n v="1.025E-2"/>
    <s v="GALLON (US LIQUID)"/>
    <n v="1"/>
    <n v="19846"/>
    <s v="AR4"/>
    <s v="USEPA"/>
    <s v="USEPA (2021)"/>
    <n v="2021"/>
    <n v="2021"/>
    <n v="0"/>
    <n v="0"/>
    <x v="10"/>
    <s v="Labratory"/>
  </r>
  <r>
    <n v="5006"/>
    <s v="Top of Hierarchy &gt; North America &gt; Vantage_Dateland"/>
    <x v="2"/>
    <x v="1"/>
    <d v="2021-01-01T00:00:00"/>
    <d v="2021-12-31T00:00:00"/>
    <x v="1"/>
    <d v="2021-01-01T00:00:00"/>
    <d v="2021-12-31T00:00:00"/>
    <s v="Diesel (average biofuel blend)"/>
    <n v="19846"/>
    <s v="US liquid gallons"/>
    <x v="1"/>
    <m/>
    <s v="2023-02-27, 16:27"/>
    <s v="2023-08-03, 20:38"/>
    <n v="2021"/>
    <s v="diesel_avg_biofuel_blend"/>
    <s v="Diesel (Average Biofuel Blend)"/>
    <s v="model"/>
    <b v="0"/>
    <s v="PETROLEUM PRODUCTS, DISTILLATE FUEL OIL NO. 2"/>
    <x v="2"/>
    <x v="0"/>
    <s v="Americas"/>
    <s v="Northern America"/>
    <s v="US"/>
    <m/>
    <n v="1"/>
    <s v="CO2"/>
    <n v="202627.66"/>
    <n v="10.210000000000001"/>
    <s v="GALLON (US LIQUID)"/>
    <n v="1"/>
    <n v="19846"/>
    <s v="AR4"/>
    <s v="USEPA"/>
    <s v="USEPA (2021)"/>
    <n v="2021"/>
    <n v="2021"/>
    <n v="0"/>
    <n v="0"/>
    <x v="10"/>
    <s v="Labratory"/>
  </r>
  <r>
    <n v="5006"/>
    <s v="Top of Hierarchy &gt; North America &gt; Vantage_Dateland"/>
    <x v="2"/>
    <x v="1"/>
    <d v="2021-01-01T00:00:00"/>
    <d v="2021-12-31T00:00:00"/>
    <x v="1"/>
    <d v="2021-01-01T00:00:00"/>
    <d v="2021-12-31T00:00:00"/>
    <s v="Diesel (average biofuel blend)"/>
    <n v="19846"/>
    <s v="US liquid gallons"/>
    <x v="1"/>
    <m/>
    <s v="2023-02-27, 16:27"/>
    <s v="2023-08-03, 20:38"/>
    <n v="2021"/>
    <s v="diesel_avg_biofuel_blend"/>
    <s v="Diesel (Average Biofuel Blend)"/>
    <s v="model"/>
    <b v="0"/>
    <s v="PETROLEUM PRODUCTS, DISTILLATE FUEL OIL NO. 2"/>
    <x v="2"/>
    <x v="0"/>
    <s v="Americas"/>
    <s v="Northern America"/>
    <s v="US"/>
    <m/>
    <n v="1"/>
    <s v="CO2E"/>
    <n v="203304.2101"/>
    <n v="10.24409"/>
    <s v="GALLON (US LIQUID)"/>
    <n v="1"/>
    <n v="19846"/>
    <s v="AR4"/>
    <s v="USEPA"/>
    <s v="USEPA Emission Factors Hub (Last Modified: March 2020)"/>
    <n v="2021"/>
    <n v="2020"/>
    <n v="0"/>
    <n v="203.30421010000001"/>
    <x v="10"/>
    <s v="Labratory"/>
  </r>
  <r>
    <n v="5006"/>
    <s v="Top of Hierarchy &gt; North America &gt; Vantage_Dateland"/>
    <x v="2"/>
    <x v="1"/>
    <d v="2021-01-01T00:00:00"/>
    <d v="2021-12-31T00:00:00"/>
    <x v="1"/>
    <d v="2021-01-01T00:00:00"/>
    <d v="2021-12-31T00:00:00"/>
    <s v="Diesel (average biofuel blend)"/>
    <n v="19846"/>
    <s v="US liquid gallons"/>
    <x v="1"/>
    <m/>
    <s v="2023-02-27, 16:27"/>
    <s v="2023-08-03, 20:38"/>
    <n v="2021"/>
    <s v="diesel_avg_biofuel_blend"/>
    <s v="Diesel (Average Biofuel Blend)"/>
    <s v="model"/>
    <b v="0"/>
    <s v="PETROLEUM PRODUCTS, DISTILLATE FUEL OIL NO. 2"/>
    <x v="2"/>
    <x v="0"/>
    <s v="Americas"/>
    <s v="Northern America"/>
    <s v="US"/>
    <m/>
    <n v="1"/>
    <s v="N2O"/>
    <n v="473.12864000000002"/>
    <n v="2.384E-2"/>
    <s v="GALLON (US LIQUID)"/>
    <n v="1"/>
    <n v="19846"/>
    <s v="AR4"/>
    <s v="USEPA"/>
    <s v="USEPA (2021)"/>
    <n v="2021"/>
    <n v="2021"/>
    <n v="0"/>
    <n v="0"/>
    <x v="10"/>
    <s v="Labratory"/>
  </r>
  <r>
    <n v="5006"/>
    <s v="Top of Hierarchy &gt; North America &gt; Vantage_Dateland"/>
    <x v="2"/>
    <x v="1"/>
    <d v="2021-01-01T00:00:00"/>
    <d v="2021-12-31T00:00:00"/>
    <x v="1"/>
    <d v="2021-01-01T00:00:00"/>
    <d v="2021-12-31T00:00:00"/>
    <s v="Diesel (average biofuel blend)"/>
    <n v="19846"/>
    <s v="US liquid gallons"/>
    <x v="1"/>
    <m/>
    <s v="2023-02-27, 16:27"/>
    <s v="2023-08-03, 20:38"/>
    <n v="2021"/>
    <s v="diesel_avg_biofuel_blend__wtt"/>
    <s v="Diesel (Average Biofuel Blend) WTT"/>
    <s v="wtt"/>
    <b v="0"/>
    <s v="WTT- FUELS; WTT- LIQUID FUELS; DIESEL (AVERAGE BIOFUEL BLEND)"/>
    <x v="1"/>
    <x v="1"/>
    <m/>
    <m/>
    <m/>
    <m/>
    <n v="0"/>
    <s v="CO2E"/>
    <n v="45815.883049999997"/>
    <n v="0.60985999999999996"/>
    <s v="LITRES"/>
    <n v="3.7854100000000002"/>
    <n v="75125.246859999999"/>
    <s v="AR4"/>
    <s v="Defra"/>
    <s v="Defra (2021)"/>
    <n v="2021"/>
    <n v="2019"/>
    <n v="45.815883049999997"/>
    <n v="0"/>
    <x v="10"/>
    <s v="Labratory"/>
  </r>
  <r>
    <n v="5006"/>
    <s v="Top of Hierarchy &gt; North America &gt; Vantage_Dateland"/>
    <x v="2"/>
    <x v="1"/>
    <d v="2021-01-01T00:00:00"/>
    <d v="2021-12-31T00:00:00"/>
    <x v="1"/>
    <d v="2021-01-01T00:00:00"/>
    <d v="2021-12-31T00:00:00"/>
    <s v="Diesel (average biofuel blend)"/>
    <n v="19846"/>
    <s v="US liquid gallons"/>
    <x v="1"/>
    <m/>
    <s v="2023-02-27, 16:27"/>
    <s v="2023-08-03, 20:38"/>
    <n v="2021"/>
    <s v="diesel_avg_biofuel_blend__wtt"/>
    <s v="Diesel (Average Biofuel Blend) WTT"/>
    <s v="wtt"/>
    <b v="0"/>
    <s v="WTT- FUELS; WTT- LIQUID FUELS; DIESEL (AVERAGE BIOFUEL BLEND)"/>
    <x v="1"/>
    <x v="1"/>
    <m/>
    <m/>
    <m/>
    <m/>
    <n v="1"/>
    <s v="CO2E"/>
    <n v="45815.883049999997"/>
    <n v="0.60985999999999996"/>
    <s v="LITRES"/>
    <n v="3.7854100000000002"/>
    <n v="75125.246859999999"/>
    <s v="AR4"/>
    <s v="Defra"/>
    <s v="Defra (2021)"/>
    <n v="2021"/>
    <n v="2019"/>
    <n v="0"/>
    <n v="45.815883049999997"/>
    <x v="10"/>
    <s v="Labratory"/>
  </r>
  <r>
    <n v="5032"/>
    <s v="Top of Hierarchy &gt; North America &gt; Vantage_Dateland"/>
    <x v="2"/>
    <x v="1"/>
    <d v="2021-01-01T00:00:00"/>
    <d v="2021-12-31T00:00:00"/>
    <x v="4"/>
    <d v="2021-01-01T00:00:00"/>
    <d v="2021-12-31T00:00:00"/>
    <s v="R410A"/>
    <n v="0.64080000000000004"/>
    <s v="kilograms"/>
    <x v="0"/>
    <m/>
    <s v="2023-02-27, 16:27"/>
    <s v="2023-07-20, 00:40"/>
    <n v="2021"/>
    <s v="r410a"/>
    <s v="R410A"/>
    <s v="model"/>
    <b v="0"/>
    <s v="REFRIGERANT: R-410A"/>
    <x v="2"/>
    <x v="0"/>
    <m/>
    <m/>
    <m/>
    <m/>
    <n v="0"/>
    <s v="CO2E"/>
    <n v="1337.9903999999999"/>
    <n v="2088"/>
    <s v="KG"/>
    <n v="1"/>
    <n v="0.64080000000000004"/>
    <s v="AR4"/>
    <s v="IPCC"/>
    <s v="IPCC (2021)"/>
    <n v="2021"/>
    <n v="2007"/>
    <n v="1.3379903999999998"/>
    <n v="0"/>
    <x v="10"/>
    <s v="Labratory"/>
  </r>
  <r>
    <n v="5032"/>
    <s v="Top of Hierarchy &gt; North America &gt; Vantage_Dateland"/>
    <x v="2"/>
    <x v="1"/>
    <d v="2021-01-01T00:00:00"/>
    <d v="2021-12-31T00:00:00"/>
    <x v="4"/>
    <d v="2021-01-01T00:00:00"/>
    <d v="2021-12-31T00:00:00"/>
    <s v="R410A"/>
    <n v="0.64080000000000004"/>
    <s v="kilograms"/>
    <x v="0"/>
    <m/>
    <s v="2023-02-27, 16:27"/>
    <s v="2023-07-20, 00:40"/>
    <n v="2021"/>
    <s v="r410a"/>
    <s v="R410A"/>
    <s v="model"/>
    <b v="0"/>
    <s v="REFRIGERANT: R-410A"/>
    <x v="2"/>
    <x v="0"/>
    <m/>
    <m/>
    <m/>
    <m/>
    <n v="1"/>
    <s v="CO2E"/>
    <n v="1337.9903999999999"/>
    <n v="2088"/>
    <s v="KG"/>
    <n v="1"/>
    <n v="0.64080000000000004"/>
    <s v="AR4"/>
    <s v="IPCC"/>
    <s v="IPCC (2021)"/>
    <n v="2021"/>
    <n v="2007"/>
    <n v="0"/>
    <n v="1.3379903999999998"/>
    <x v="10"/>
    <s v="Labratory"/>
  </r>
  <r>
    <n v="1257572"/>
    <s v="Top of Hierarchy &gt; North America &gt; Vantage_Dateland"/>
    <x v="2"/>
    <x v="1"/>
    <d v="2021-01-01T00:00:00"/>
    <d v="2021-12-31T00:00:00"/>
    <x v="4"/>
    <d v="2021-01-01T00:00:00"/>
    <d v="2021-12-31T00:00:00"/>
    <s v="R404A"/>
    <n v="0.64080000000000004"/>
    <s v="kilograms"/>
    <x v="1"/>
    <m/>
    <s v="2023-07-19, 19:28"/>
    <s v="2023-07-20, 00:40"/>
    <n v="2021"/>
    <s v="r404a"/>
    <s v="R404A"/>
    <s v="model"/>
    <b v="0"/>
    <s v="REFRIGERANT: R-404A"/>
    <x v="2"/>
    <x v="0"/>
    <m/>
    <m/>
    <m/>
    <m/>
    <n v="0"/>
    <s v="CO2E"/>
    <n v="2513.2175999999999"/>
    <n v="3922"/>
    <s v="KG"/>
    <n v="1"/>
    <n v="0.64080000000000004"/>
    <s v="AR4"/>
    <s v="IPCC"/>
    <s v="IPCC (2021)"/>
    <n v="2021"/>
    <n v="2007"/>
    <n v="2.5132175999999999"/>
    <n v="0"/>
    <x v="10"/>
    <s v="Labratory"/>
  </r>
  <r>
    <n v="1257572"/>
    <s v="Top of Hierarchy &gt; North America &gt; Vantage_Dateland"/>
    <x v="2"/>
    <x v="1"/>
    <d v="2021-01-01T00:00:00"/>
    <d v="2021-12-31T00:00:00"/>
    <x v="4"/>
    <d v="2021-01-01T00:00:00"/>
    <d v="2021-12-31T00:00:00"/>
    <s v="R404A"/>
    <n v="0.64080000000000004"/>
    <s v="kilograms"/>
    <x v="1"/>
    <m/>
    <s v="2023-07-19, 19:28"/>
    <s v="2023-07-20, 00:40"/>
    <n v="2021"/>
    <s v="r404a"/>
    <s v="R404A"/>
    <s v="model"/>
    <b v="0"/>
    <s v="REFRIGERANT: R-404A"/>
    <x v="2"/>
    <x v="0"/>
    <m/>
    <m/>
    <m/>
    <m/>
    <n v="1"/>
    <s v="CO2E"/>
    <n v="2513.2175999999999"/>
    <n v="3922"/>
    <s v="KG"/>
    <n v="1"/>
    <n v="0.64080000000000004"/>
    <s v="AR4"/>
    <s v="IPCC"/>
    <s v="IPCC (2021)"/>
    <n v="2021"/>
    <n v="2007"/>
    <n v="0"/>
    <n v="2.5132175999999999"/>
    <x v="10"/>
    <s v="Labratory"/>
  </r>
  <r>
    <n v="1234347"/>
    <s v="Top of Hierarchy &gt; North America &gt; Vantage_Dateland"/>
    <x v="2"/>
    <x v="1"/>
    <d v="2021-01-01T00:00:00"/>
    <d v="2021-12-31T00:00:00"/>
    <x v="2"/>
    <d v="2021-01-01T00:00:00"/>
    <d v="2021-12-31T00:00:00"/>
    <s v="Propane"/>
    <n v="1647.1"/>
    <s v="US liquid gallons"/>
    <x v="1"/>
    <m/>
    <s v="2023-07-18, 22:34"/>
    <s v="2023-07-20, 00:40"/>
    <n v="2021"/>
    <s v="propane"/>
    <s v="Propane"/>
    <s v="model"/>
    <b v="0"/>
    <s v="PETROLEUM PRODUCTS, PROPANE"/>
    <x v="2"/>
    <x v="0"/>
    <s v="Americas"/>
    <s v="Northern America"/>
    <s v="US"/>
    <m/>
    <n v="0"/>
    <s v="CH4"/>
    <n v="11.117925"/>
    <n v="6.7499999999999999E-3"/>
    <s v="GALLON (US LIQUID)"/>
    <n v="1"/>
    <n v="1647.1"/>
    <s v="AR4"/>
    <s v="USEPA"/>
    <s v="USEPA (2021)"/>
    <n v="2021"/>
    <n v="2021"/>
    <n v="0"/>
    <n v="0"/>
    <x v="10"/>
    <s v="Labratory"/>
  </r>
  <r>
    <n v="1234347"/>
    <s v="Top of Hierarchy &gt; North America &gt; Vantage_Dateland"/>
    <x v="2"/>
    <x v="1"/>
    <d v="2021-01-01T00:00:00"/>
    <d v="2021-12-31T00:00:00"/>
    <x v="2"/>
    <d v="2021-01-01T00:00:00"/>
    <d v="2021-12-31T00:00:00"/>
    <s v="Propane"/>
    <n v="1647.1"/>
    <s v="US liquid gallons"/>
    <x v="1"/>
    <m/>
    <s v="2023-07-18, 22:34"/>
    <s v="2023-07-20, 00:40"/>
    <n v="2021"/>
    <s v="propane"/>
    <s v="Propane"/>
    <s v="model"/>
    <b v="0"/>
    <s v="PETROLEUM PRODUCTS, PROPANE"/>
    <x v="2"/>
    <x v="0"/>
    <s v="Americas"/>
    <s v="Northern America"/>
    <s v="US"/>
    <m/>
    <n v="0"/>
    <s v="CO2"/>
    <n v="9421.4120000000003"/>
    <n v="5.72"/>
    <s v="GALLON (US LIQUID)"/>
    <n v="1"/>
    <n v="1647.1"/>
    <s v="AR4"/>
    <s v="USEPA"/>
    <s v="USEPA (2021)"/>
    <n v="2021"/>
    <n v="2021"/>
    <n v="0"/>
    <n v="0"/>
    <x v="10"/>
    <s v="Labratory"/>
  </r>
  <r>
    <n v="1234347"/>
    <s v="Top of Hierarchy &gt; North America &gt; Vantage_Dateland"/>
    <x v="2"/>
    <x v="1"/>
    <d v="2021-01-01T00:00:00"/>
    <d v="2021-12-31T00:00:00"/>
    <x v="2"/>
    <d v="2021-01-01T00:00:00"/>
    <d v="2021-12-31T00:00:00"/>
    <s v="Propane"/>
    <n v="1647.1"/>
    <s v="US liquid gallons"/>
    <x v="1"/>
    <m/>
    <s v="2023-07-18, 22:34"/>
    <s v="2023-07-20, 00:40"/>
    <n v="2021"/>
    <s v="propane"/>
    <s v="Propane"/>
    <s v="model"/>
    <b v="0"/>
    <s v="PETROLEUM PRODUCTS, PROPANE"/>
    <x v="2"/>
    <x v="0"/>
    <s v="Americas"/>
    <s v="Northern America"/>
    <s v="US"/>
    <m/>
    <n v="0"/>
    <s v="CO2E"/>
    <n v="9457.071715"/>
    <n v="5.7416499999999999"/>
    <s v="GALLON (US LIQUID)"/>
    <n v="1"/>
    <n v="1647.1"/>
    <s v="AR4"/>
    <s v="USEPA"/>
    <s v="USEPA (2021)"/>
    <n v="2021"/>
    <n v="2021"/>
    <n v="9.4570717149999997"/>
    <n v="0"/>
    <x v="10"/>
    <s v="Labratory"/>
  </r>
  <r>
    <n v="1234347"/>
    <s v="Top of Hierarchy &gt; North America &gt; Vantage_Dateland"/>
    <x v="2"/>
    <x v="1"/>
    <d v="2021-01-01T00:00:00"/>
    <d v="2021-12-31T00:00:00"/>
    <x v="2"/>
    <d v="2021-01-01T00:00:00"/>
    <d v="2021-12-31T00:00:00"/>
    <s v="Propane"/>
    <n v="1647.1"/>
    <s v="US liquid gallons"/>
    <x v="1"/>
    <m/>
    <s v="2023-07-18, 22:34"/>
    <s v="2023-07-20, 00:40"/>
    <n v="2021"/>
    <s v="propane"/>
    <s v="Propane"/>
    <s v="model"/>
    <b v="0"/>
    <s v="PETROLEUM PRODUCTS, PROPANE"/>
    <x v="2"/>
    <x v="0"/>
    <s v="Americas"/>
    <s v="Northern America"/>
    <s v="US"/>
    <m/>
    <n v="0"/>
    <s v="N2O"/>
    <n v="24.541789999999999"/>
    <n v="1.49E-2"/>
    <s v="GALLON (US LIQUID)"/>
    <n v="1"/>
    <n v="1647.1"/>
    <s v="AR4"/>
    <s v="USEPA"/>
    <s v="USEPA (2021)"/>
    <n v="2021"/>
    <n v="2021"/>
    <n v="0"/>
    <n v="0"/>
    <x v="10"/>
    <s v="Labratory"/>
  </r>
  <r>
    <n v="1234347"/>
    <s v="Top of Hierarchy &gt; North America &gt; Vantage_Dateland"/>
    <x v="2"/>
    <x v="1"/>
    <d v="2021-01-01T00:00:00"/>
    <d v="2021-12-31T00:00:00"/>
    <x v="2"/>
    <d v="2021-01-01T00:00:00"/>
    <d v="2021-12-31T00:00:00"/>
    <s v="Propane"/>
    <n v="1647.1"/>
    <s v="US liquid gallons"/>
    <x v="1"/>
    <m/>
    <s v="2023-07-18, 22:34"/>
    <s v="2023-07-20, 00:40"/>
    <n v="2021"/>
    <s v="propane"/>
    <s v="Propane"/>
    <s v="model"/>
    <b v="0"/>
    <s v="PETROLEUM PRODUCTS, PROPANE"/>
    <x v="2"/>
    <x v="0"/>
    <s v="Americas"/>
    <s v="Northern America"/>
    <s v="US"/>
    <m/>
    <n v="1"/>
    <s v="CH4"/>
    <n v="11.117925"/>
    <n v="6.7499999999999999E-3"/>
    <s v="GALLON (US LIQUID)"/>
    <n v="1"/>
    <n v="1647.1"/>
    <s v="AR4"/>
    <s v="USEPA"/>
    <s v="USEPA (2021)"/>
    <n v="2021"/>
    <n v="2021"/>
    <n v="0"/>
    <n v="0"/>
    <x v="10"/>
    <s v="Labratory"/>
  </r>
  <r>
    <n v="1234347"/>
    <s v="Top of Hierarchy &gt; North America &gt; Vantage_Dateland"/>
    <x v="2"/>
    <x v="1"/>
    <d v="2021-01-01T00:00:00"/>
    <d v="2021-12-31T00:00:00"/>
    <x v="2"/>
    <d v="2021-01-01T00:00:00"/>
    <d v="2021-12-31T00:00:00"/>
    <s v="Propane"/>
    <n v="1647.1"/>
    <s v="US liquid gallons"/>
    <x v="1"/>
    <m/>
    <s v="2023-07-18, 22:34"/>
    <s v="2023-07-20, 00:40"/>
    <n v="2021"/>
    <s v="propane"/>
    <s v="Propane"/>
    <s v="model"/>
    <b v="0"/>
    <s v="PETROLEUM PRODUCTS, PROPANE"/>
    <x v="2"/>
    <x v="0"/>
    <s v="Americas"/>
    <s v="Northern America"/>
    <s v="US"/>
    <m/>
    <n v="1"/>
    <s v="CO2"/>
    <n v="9421.4120000000003"/>
    <n v="5.72"/>
    <s v="GALLON (US LIQUID)"/>
    <n v="1"/>
    <n v="1647.1"/>
    <s v="AR4"/>
    <s v="USEPA"/>
    <s v="USEPA (2021)"/>
    <n v="2021"/>
    <n v="2021"/>
    <n v="0"/>
    <n v="0"/>
    <x v="10"/>
    <s v="Labratory"/>
  </r>
  <r>
    <n v="1234347"/>
    <s v="Top of Hierarchy &gt; North America &gt; Vantage_Dateland"/>
    <x v="2"/>
    <x v="1"/>
    <d v="2021-01-01T00:00:00"/>
    <d v="2021-12-31T00:00:00"/>
    <x v="2"/>
    <d v="2021-01-01T00:00:00"/>
    <d v="2021-12-31T00:00:00"/>
    <s v="Propane"/>
    <n v="1647.1"/>
    <s v="US liquid gallons"/>
    <x v="1"/>
    <m/>
    <s v="2023-07-18, 22:34"/>
    <s v="2023-07-20, 00:40"/>
    <n v="2021"/>
    <s v="propane"/>
    <s v="Propane"/>
    <s v="model"/>
    <b v="0"/>
    <s v="PETROLEUM PRODUCTS, PROPANE"/>
    <x v="2"/>
    <x v="0"/>
    <s v="Americas"/>
    <s v="Northern America"/>
    <s v="US"/>
    <m/>
    <n v="1"/>
    <s v="CO2E"/>
    <n v="9457.071715"/>
    <n v="5.7416499999999999"/>
    <s v="GALLON (US LIQUID)"/>
    <n v="1"/>
    <n v="1647.1"/>
    <s v="AR4"/>
    <s v="USEPA"/>
    <s v="USEPA (2021)"/>
    <n v="2021"/>
    <n v="2021"/>
    <n v="0"/>
    <n v="9.4570717149999997"/>
    <x v="10"/>
    <s v="Labratory"/>
  </r>
  <r>
    <n v="1234347"/>
    <s v="Top of Hierarchy &gt; North America &gt; Vantage_Dateland"/>
    <x v="2"/>
    <x v="1"/>
    <d v="2021-01-01T00:00:00"/>
    <d v="2021-12-31T00:00:00"/>
    <x v="2"/>
    <d v="2021-01-01T00:00:00"/>
    <d v="2021-12-31T00:00:00"/>
    <s v="Propane"/>
    <n v="1647.1"/>
    <s v="US liquid gallons"/>
    <x v="1"/>
    <m/>
    <s v="2023-07-18, 22:34"/>
    <s v="2023-07-20, 00:40"/>
    <n v="2021"/>
    <s v="propane"/>
    <s v="Propane"/>
    <s v="model"/>
    <b v="0"/>
    <s v="PETROLEUM PRODUCTS, PROPANE"/>
    <x v="2"/>
    <x v="0"/>
    <s v="Americas"/>
    <s v="Northern America"/>
    <s v="US"/>
    <m/>
    <n v="1"/>
    <s v="N2O"/>
    <n v="24.541789999999999"/>
    <n v="1.49E-2"/>
    <s v="GALLON (US LIQUID)"/>
    <n v="1"/>
    <n v="1647.1"/>
    <s v="AR4"/>
    <s v="USEPA"/>
    <s v="USEPA (2021)"/>
    <n v="2021"/>
    <n v="2021"/>
    <n v="0"/>
    <n v="0"/>
    <x v="10"/>
    <s v="Labratory"/>
  </r>
  <r>
    <n v="1234347"/>
    <s v="Top of Hierarchy &gt; North America &gt; Vantage_Dateland"/>
    <x v="2"/>
    <x v="1"/>
    <d v="2021-01-01T00:00:00"/>
    <d v="2021-12-31T00:00:00"/>
    <x v="2"/>
    <d v="2021-01-01T00:00:00"/>
    <d v="2021-12-31T00:00:00"/>
    <s v="Propane"/>
    <n v="1647.1"/>
    <s v="US liquid gallons"/>
    <x v="1"/>
    <m/>
    <s v="2023-07-18, 22:34"/>
    <s v="2023-07-20, 00:40"/>
    <n v="2021"/>
    <s v="propane__wtt"/>
    <s v="Propane WTT"/>
    <s v="wtt"/>
    <b v="0"/>
    <s v="WTT- FUELS; WTT- GASEOUS FUELS; PROPANE"/>
    <x v="1"/>
    <x v="1"/>
    <m/>
    <m/>
    <m/>
    <m/>
    <n v="0"/>
    <s v="CO2E"/>
    <n v="1125.158862"/>
    <n v="0.18046000000000001"/>
    <s v="LITRES"/>
    <n v="3.7854100000000002"/>
    <n v="6234.9488110000002"/>
    <s v="AR4"/>
    <s v="Defra"/>
    <s v="Defra (2021)"/>
    <n v="2021"/>
    <n v="2019"/>
    <n v="1.1251588619999999"/>
    <n v="0"/>
    <x v="10"/>
    <s v="Labratory"/>
  </r>
  <r>
    <n v="1234347"/>
    <s v="Top of Hierarchy &gt; North America &gt; Vantage_Dateland"/>
    <x v="2"/>
    <x v="1"/>
    <d v="2021-01-01T00:00:00"/>
    <d v="2021-12-31T00:00:00"/>
    <x v="2"/>
    <d v="2021-01-01T00:00:00"/>
    <d v="2021-12-31T00:00:00"/>
    <s v="Propane"/>
    <n v="1647.1"/>
    <s v="US liquid gallons"/>
    <x v="1"/>
    <m/>
    <s v="2023-07-18, 22:34"/>
    <s v="2023-07-20, 00:40"/>
    <n v="2021"/>
    <s v="propane__wtt"/>
    <s v="Propane WTT"/>
    <s v="wtt"/>
    <b v="0"/>
    <s v="WTT- FUELS; WTT- GASEOUS FUELS; PROPANE"/>
    <x v="1"/>
    <x v="1"/>
    <m/>
    <m/>
    <m/>
    <m/>
    <n v="1"/>
    <s v="CO2E"/>
    <n v="1125.158862"/>
    <n v="0.18046000000000001"/>
    <s v="LITRES"/>
    <n v="3.7854100000000002"/>
    <n v="6234.9488110000002"/>
    <s v="AR4"/>
    <s v="Defra"/>
    <s v="Defra (2021)"/>
    <n v="2021"/>
    <n v="2019"/>
    <n v="0"/>
    <n v="1.1251588619999999"/>
    <x v="10"/>
    <s v="Labratory"/>
  </r>
  <r>
    <n v="291418"/>
    <s v="Top of Hierarchy &gt; North America &gt; Vantage_Deerfield"/>
    <x v="0"/>
    <x v="0"/>
    <d v="2022-01-01T00:00:00"/>
    <d v="2022-12-31T00:00:00"/>
    <x v="0"/>
    <d v="2022-01-01T00:00:00"/>
    <d v="2022-12-31T00:00:00"/>
    <s v="Electricity (non-renewable)"/>
    <n v="57577"/>
    <s v="Kilowatt hours"/>
    <x v="1"/>
    <m/>
    <s v="2023-05-04, 18:36"/>
    <s v="2023-07-20, 00:40"/>
    <n v="2022"/>
    <s v="electricity"/>
    <s v="Electricity"/>
    <s v="model"/>
    <b v="0"/>
    <s v="ELECTRICITY; UNITED STATES - RFCW"/>
    <x v="0"/>
    <x v="0"/>
    <s v="Americas"/>
    <s v="Northern America"/>
    <s v="US"/>
    <s v="RFCW"/>
    <n v="0"/>
    <s v="CH4"/>
    <n v="56.150448959999999"/>
    <n v="9.7522400000000001E-4"/>
    <s v="KWH"/>
    <n v="1"/>
    <n v="57577"/>
    <s v="AR4"/>
    <s v="USEPA"/>
    <s v="USEPA (2022)"/>
    <n v="2022"/>
    <n v="2020"/>
    <n v="0"/>
    <n v="0"/>
    <x v="11"/>
    <s v="Office"/>
  </r>
  <r>
    <n v="291418"/>
    <s v="Top of Hierarchy &gt; North America &gt; Vantage_Deerfield"/>
    <x v="0"/>
    <x v="0"/>
    <d v="2022-01-01T00:00:00"/>
    <d v="2022-12-31T00:00:00"/>
    <x v="0"/>
    <d v="2022-01-01T00:00:00"/>
    <d v="2022-12-31T00:00:00"/>
    <s v="Electricity (non-renewable)"/>
    <n v="57577"/>
    <s v="Kilowatt hours"/>
    <x v="1"/>
    <m/>
    <s v="2023-05-04, 18:36"/>
    <s v="2023-07-20, 00:40"/>
    <n v="2022"/>
    <s v="electricity"/>
    <s v="Electricity"/>
    <s v="model"/>
    <b v="0"/>
    <s v="ELECTRICITY; UNITED STATES - RFCW"/>
    <x v="0"/>
    <x v="0"/>
    <s v="Americas"/>
    <s v="Northern America"/>
    <s v="US"/>
    <s v="RFCW"/>
    <n v="0"/>
    <s v="CO2"/>
    <n v="25724.139889999999"/>
    <n v="0.44677805199999998"/>
    <s v="KWH"/>
    <n v="1"/>
    <n v="57577"/>
    <s v="AR4"/>
    <s v="USEPA"/>
    <s v="USEPA (2022)"/>
    <n v="2022"/>
    <n v="2020"/>
    <n v="0"/>
    <n v="0"/>
    <x v="11"/>
    <s v="Office"/>
  </r>
  <r>
    <n v="291418"/>
    <s v="Top of Hierarchy &gt; North America &gt; Vantage_Deerfield"/>
    <x v="0"/>
    <x v="0"/>
    <d v="2022-01-01T00:00:00"/>
    <d v="2022-12-31T00:00:00"/>
    <x v="0"/>
    <d v="2022-01-01T00:00:00"/>
    <d v="2022-12-31T00:00:00"/>
    <s v="Electricity (non-renewable)"/>
    <n v="57577"/>
    <s v="Kilowatt hours"/>
    <x v="1"/>
    <m/>
    <s v="2023-05-04, 18:36"/>
    <s v="2023-07-20, 00:40"/>
    <n v="2022"/>
    <s v="electricity"/>
    <s v="Electricity"/>
    <s v="model"/>
    <b v="0"/>
    <s v="ELECTRICITY; UNITED STATES - RFCW"/>
    <x v="0"/>
    <x v="0"/>
    <s v="Americas"/>
    <s v="Northern America"/>
    <s v="US"/>
    <s v="RFCW"/>
    <n v="0"/>
    <s v="CO2E"/>
    <n v="25873.6829"/>
    <n v="0.44937532200000002"/>
    <s v="KWH"/>
    <n v="1"/>
    <n v="57577"/>
    <s v="AR4"/>
    <s v="USEPA"/>
    <s v="USEPA (2022)"/>
    <n v="2022"/>
    <n v="2020"/>
    <n v="25.873682899999999"/>
    <n v="0"/>
    <x v="11"/>
    <s v="Office"/>
  </r>
  <r>
    <n v="291418"/>
    <s v="Top of Hierarchy &gt; North America &gt; Vantage_Deerfield"/>
    <x v="0"/>
    <x v="0"/>
    <d v="2022-01-01T00:00:00"/>
    <d v="2022-12-31T00:00:00"/>
    <x v="0"/>
    <d v="2022-01-01T00:00:00"/>
    <d v="2022-12-31T00:00:00"/>
    <s v="Electricity (non-renewable)"/>
    <n v="57577"/>
    <s v="Kilowatt hours"/>
    <x v="1"/>
    <m/>
    <s v="2023-05-04, 18:36"/>
    <s v="2023-07-20, 00:40"/>
    <n v="2022"/>
    <s v="electricity"/>
    <s v="Electricity"/>
    <s v="model"/>
    <b v="0"/>
    <s v="ELECTRICITY; UNITED STATES - RFCW"/>
    <x v="0"/>
    <x v="0"/>
    <s v="Americas"/>
    <s v="Northern America"/>
    <s v="US"/>
    <s v="RFCW"/>
    <n v="0"/>
    <s v="N2O"/>
    <n v="93.392560689999996"/>
    <n v="1.622046E-3"/>
    <s v="KWH"/>
    <n v="1"/>
    <n v="57577"/>
    <s v="AR4"/>
    <s v="USEPA"/>
    <s v="USEPA (2022)"/>
    <n v="2022"/>
    <n v="2020"/>
    <n v="0"/>
    <n v="0"/>
    <x v="11"/>
    <s v="Office"/>
  </r>
  <r>
    <n v="291418"/>
    <s v="Top of Hierarchy &gt; North America &gt; Vantage_Deerfield"/>
    <x v="0"/>
    <x v="0"/>
    <d v="2022-01-01T00:00:00"/>
    <d v="2022-12-31T00:00:00"/>
    <x v="0"/>
    <d v="2022-01-01T00:00:00"/>
    <d v="2022-12-31T00:00:00"/>
    <s v="Electricity (non-renewable)"/>
    <n v="57577"/>
    <s v="Kilowatt hours"/>
    <x v="1"/>
    <m/>
    <s v="2023-05-04, 18:36"/>
    <s v="2023-07-20, 00:40"/>
    <n v="2022"/>
    <s v="electricity"/>
    <s v="Electricity"/>
    <s v="model"/>
    <b v="0"/>
    <s v="ELECTRICITY; UNITED STATES - RFCW"/>
    <x v="0"/>
    <x v="0"/>
    <s v="Americas"/>
    <s v="Northern America"/>
    <s v="US"/>
    <s v="RFCW"/>
    <n v="1"/>
    <s v="CO2E MKT"/>
    <n v="25773.52893"/>
    <n v="0.44763584299999998"/>
    <s v="KWH"/>
    <n v="1"/>
    <n v="57577"/>
    <s v="AR4"/>
    <s v="Green-e"/>
    <s v="Green-e (2022)"/>
    <n v="2022"/>
    <n v="2020"/>
    <n v="0"/>
    <n v="25.773528930000001"/>
    <x v="11"/>
    <s v="Office"/>
  </r>
  <r>
    <n v="291418"/>
    <s v="Top of Hierarchy &gt; North America &gt; Vantage_Deerfield"/>
    <x v="0"/>
    <x v="0"/>
    <d v="2022-01-01T00:00:00"/>
    <d v="2022-12-31T00:00:00"/>
    <x v="0"/>
    <d v="2022-01-01T00:00:00"/>
    <d v="2022-12-31T00:00:00"/>
    <s v="Electricity (non-renewable)"/>
    <n v="57577"/>
    <s v="Kilowatt hours"/>
    <x v="1"/>
    <m/>
    <s v="2023-05-04, 18:36"/>
    <s v="2023-07-20, 00:40"/>
    <n v="2022"/>
    <s v="electricity__t+d__wtt"/>
    <s v="Electricity T&amp;D WTT"/>
    <s v="t+d_wtt"/>
    <b v="0"/>
    <s v="ELECTRICITY T&amp;D WTT; UNITED STATES - RFCW"/>
    <x v="1"/>
    <x v="1"/>
    <s v="Americas"/>
    <s v="Northern America"/>
    <s v="US"/>
    <s v="RFCW"/>
    <n v="0"/>
    <s v="CO2E"/>
    <n v="405.14699680000001"/>
    <n v="7.0366120000000002E-3"/>
    <s v="KWH"/>
    <n v="1"/>
    <n v="57577"/>
    <s v="AR4"/>
    <s v="Anthesis"/>
    <s v="Anthesis (2022)"/>
    <n v="2022"/>
    <n v="2020"/>
    <n v="0.40514699679999999"/>
    <n v="0"/>
    <x v="11"/>
    <s v="Office"/>
  </r>
  <r>
    <n v="291418"/>
    <s v="Top of Hierarchy &gt; North America &gt; Vantage_Deerfield"/>
    <x v="0"/>
    <x v="0"/>
    <d v="2022-01-01T00:00:00"/>
    <d v="2022-12-31T00:00:00"/>
    <x v="0"/>
    <d v="2022-01-01T00:00:00"/>
    <d v="2022-12-31T00:00:00"/>
    <s v="Electricity (non-renewable)"/>
    <n v="57577"/>
    <s v="Kilowatt hours"/>
    <x v="1"/>
    <m/>
    <s v="2023-05-04, 18:36"/>
    <s v="2023-07-20, 00:40"/>
    <n v="2022"/>
    <s v="electricity__t+d__wtt"/>
    <s v="Electricity T&amp;D WTT"/>
    <s v="t+d_wtt"/>
    <b v="0"/>
    <s v="ELECTRICITY; UNITED STATES - RFCW; T&amp;D WTT Estimated"/>
    <x v="1"/>
    <x v="1"/>
    <s v="Americas"/>
    <s v="Northern America"/>
    <s v="US"/>
    <s v="RFCW"/>
    <n v="1"/>
    <s v="CO2E MKT"/>
    <n v="375.81105930000001"/>
    <n v="6.5271039999999997E-3"/>
    <s v="KWH"/>
    <n v="1"/>
    <n v="57577"/>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  to estimate the T&amp;D WTT factor."/>
    <n v="2022"/>
    <n v="2019"/>
    <n v="0"/>
    <n v="0.37581105930000003"/>
    <x v="11"/>
    <s v="Office"/>
  </r>
  <r>
    <n v="291418"/>
    <s v="Top of Hierarchy &gt; North America &gt; Vantage_Deerfield"/>
    <x v="0"/>
    <x v="0"/>
    <d v="2022-01-01T00:00:00"/>
    <d v="2022-12-31T00:00:00"/>
    <x v="0"/>
    <d v="2022-01-01T00:00:00"/>
    <d v="2022-12-31T00:00:00"/>
    <s v="Electricity (non-renewable)"/>
    <n v="57577"/>
    <s v="Kilowatt hours"/>
    <x v="1"/>
    <m/>
    <s v="2023-05-04, 18:36"/>
    <s v="2023-07-20, 00:40"/>
    <n v="2022"/>
    <s v="electricity__wtt"/>
    <s v="Electricity WTT"/>
    <s v="wtt"/>
    <b v="0"/>
    <s v="ELECTRICITY WTT; UNITED STATES - RFCW"/>
    <x v="1"/>
    <x v="1"/>
    <s v="Americas"/>
    <s v="Northern America"/>
    <s v="US"/>
    <s v="RFCW"/>
    <n v="0"/>
    <s v="CO2E"/>
    <n v="7239.1359620000003"/>
    <n v="0.125729648"/>
    <s v="KWH"/>
    <n v="1"/>
    <n v="57577"/>
    <s v="AR4"/>
    <s v="Anthesis"/>
    <s v="Anthesis (2022)"/>
    <n v="2022"/>
    <n v="2020"/>
    <n v="7.2391359620000006"/>
    <n v="0"/>
    <x v="11"/>
    <s v="Office"/>
  </r>
  <r>
    <n v="291418"/>
    <s v="Top of Hierarchy &gt; North America &gt; Vantage_Deerfield"/>
    <x v="0"/>
    <x v="0"/>
    <d v="2022-01-01T00:00:00"/>
    <d v="2022-12-31T00:00:00"/>
    <x v="0"/>
    <d v="2022-01-01T00:00:00"/>
    <d v="2022-12-31T00:00:00"/>
    <s v="Electricity (non-renewable)"/>
    <n v="57577"/>
    <s v="Kilowatt hours"/>
    <x v="1"/>
    <m/>
    <s v="2023-05-04, 18:36"/>
    <s v="2023-07-20, 00:40"/>
    <n v="2022"/>
    <s v="electricity__wtt"/>
    <s v="Electricity WTT"/>
    <s v="wtt"/>
    <b v="0"/>
    <s v="ELECTRICITY; UNITED STATES - RFCW; WTT Estimated"/>
    <x v="1"/>
    <x v="1"/>
    <s v="Americas"/>
    <s v="Northern America"/>
    <s v="US"/>
    <s v="RFCW"/>
    <n v="1"/>
    <s v="CO2E MKT"/>
    <n v="7368.8443010000001"/>
    <n v="0.12798242900000001"/>
    <s v="KWH"/>
    <n v="1"/>
    <n v="57577"/>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RFCW, Green-eto estimate the WTT factor."/>
    <n v="2022"/>
    <n v="2019"/>
    <n v="0"/>
    <n v="7.3688443010000002"/>
    <x v="11"/>
    <s v="Office"/>
  </r>
  <r>
    <n v="291418"/>
    <s v="Top of Hierarchy &gt; North America &gt; Vantage_Deerfield"/>
    <x v="0"/>
    <x v="0"/>
    <d v="2022-01-01T00:00:00"/>
    <d v="2022-12-31T00:00:00"/>
    <x v="0"/>
    <d v="2022-01-01T00:00:00"/>
    <d v="2022-12-31T00:00:00"/>
    <s v="Electricity (non-renewable)"/>
    <n v="57577"/>
    <s v="Kilowatt hours"/>
    <x v="1"/>
    <m/>
    <s v="2023-05-04, 18:36"/>
    <s v="2023-07-20, 00:40"/>
    <n v="2022"/>
    <s v="electricity__t+d"/>
    <s v="Electricity T&amp;D"/>
    <s v="t+d"/>
    <b v="0"/>
    <s v="ELECTRICITY; TRANSMISSION AND DISTRIBUTION; UNITED STATES - RFCW"/>
    <x v="1"/>
    <x v="1"/>
    <s v="Americas"/>
    <s v="Northern America"/>
    <s v="US"/>
    <s v="RFCW"/>
    <n v="0"/>
    <s v="CO2E"/>
    <n v="1371.305194"/>
    <n v="2.3816891999999999E-2"/>
    <s v="KWH"/>
    <n v="1"/>
    <n v="57577"/>
    <s v="AR4"/>
    <s v="USEPA"/>
    <s v="USEPA (2022)"/>
    <n v="2022"/>
    <n v="2020"/>
    <n v="1.3713051940000001"/>
    <n v="0"/>
    <x v="11"/>
    <s v="Office"/>
  </r>
  <r>
    <n v="291418"/>
    <s v="Top of Hierarchy &gt; North America &gt; Vantage_Deerfield"/>
    <x v="0"/>
    <x v="0"/>
    <d v="2022-01-01T00:00:00"/>
    <d v="2022-12-31T00:00:00"/>
    <x v="0"/>
    <d v="2022-01-01T00:00:00"/>
    <d v="2022-12-31T00:00:00"/>
    <s v="Electricity (non-renewable)"/>
    <n v="57577"/>
    <s v="Kilowatt hours"/>
    <x v="1"/>
    <m/>
    <s v="2023-05-04, 18:36"/>
    <s v="2023-07-20, 00:40"/>
    <n v="2022"/>
    <s v="electricity__t+d"/>
    <s v="Electricity T&amp;D"/>
    <s v="t+d"/>
    <b v="0"/>
    <s v="ELECTRICITY; UNITED STATES - RFCW; T&amp;D Estimated"/>
    <x v="1"/>
    <x v="1"/>
    <s v="Americas"/>
    <s v="Northern America"/>
    <s v="US"/>
    <s v="RFCW"/>
    <n v="1"/>
    <s v="CO2E MKT"/>
    <n v="1422.606098"/>
    <n v="2.4707889E-2"/>
    <s v="KWH"/>
    <n v="1"/>
    <n v="57577"/>
    <s v="AR4"/>
    <s v="Anthesis"/>
    <s v="The median T&amp;D to generation factor ratio of all countries within the region Northern America was taken to be ELECTRICITY; UNITED STATES - SRSO, USEPA to ELECTRICITY; TRANSMISSION AND DISTRIBUTION; UNITED STATES - SRSO, USEPA: 0.051. This was applied to the base factor ELECTRICITY; UNITED STATES - RFCW, Green-eto estimate the T&amp;D factor."/>
    <n v="2022"/>
    <n v="2019"/>
    <n v="0"/>
    <n v="1.4226060979999999"/>
    <x v="11"/>
    <s v="Office"/>
  </r>
  <r>
    <n v="1590443"/>
    <s v="Top of Hierarchy &gt; North America &gt; Vantage_Deerfield"/>
    <x v="0"/>
    <x v="0"/>
    <d v="2022-01-01T00:00:00"/>
    <d v="2022-12-31T00:00:00"/>
    <x v="3"/>
    <d v="2022-01-01T00:00:00"/>
    <d v="2022-12-31T00:00:00"/>
    <s v="Natural gas"/>
    <n v="4735.2239280000003"/>
    <s v="Hundred Thousand BTUs"/>
    <x v="0"/>
    <s v="Estimated from square footage (CBECS 2012)"/>
    <s v="2023-07-25, 17:50"/>
    <s v="2023-07-25, 17:50"/>
    <n v="2022"/>
    <s v="natural_gas"/>
    <s v="Natural Gas"/>
    <s v="model"/>
    <b v="0"/>
    <s v="NATURAL GAS, NATURAL GAS"/>
    <x v="2"/>
    <x v="0"/>
    <s v="Americas"/>
    <s v="Northern America"/>
    <s v="US"/>
    <m/>
    <n v="0"/>
    <s v="CH4"/>
    <n v="11.83805982"/>
    <n v="2.5000000000000001E-2"/>
    <s v="MMBTU"/>
    <n v="0.1"/>
    <n v="473.52239279999998"/>
    <s v="AR4"/>
    <s v="USEPA"/>
    <s v="USEPA Emission Factors Hub (Last Modified: March 2020)"/>
    <n v="2022"/>
    <n v="2021"/>
    <n v="0"/>
    <n v="0"/>
    <x v="11"/>
    <s v="Office"/>
  </r>
  <r>
    <n v="1590443"/>
    <s v="Top of Hierarchy &gt; North America &gt; Vantage_Deerfield"/>
    <x v="0"/>
    <x v="0"/>
    <d v="2022-01-01T00:00:00"/>
    <d v="2022-12-31T00:00:00"/>
    <x v="3"/>
    <d v="2022-01-01T00:00:00"/>
    <d v="2022-12-31T00:00:00"/>
    <s v="Natural gas"/>
    <n v="4735.2239280000003"/>
    <s v="Hundred Thousand BTUs"/>
    <x v="0"/>
    <s v="Estimated from square footage (CBECS 2012)"/>
    <s v="2023-07-25, 17:50"/>
    <s v="2023-07-25, 17:50"/>
    <n v="2022"/>
    <s v="natural_gas"/>
    <s v="Natural Gas"/>
    <s v="model"/>
    <b v="0"/>
    <s v="NATURAL GAS, NATURAL GAS"/>
    <x v="2"/>
    <x v="0"/>
    <s v="Americas"/>
    <s v="Northern America"/>
    <s v="US"/>
    <m/>
    <n v="0"/>
    <s v="CO2"/>
    <n v="25125.098160000001"/>
    <n v="53.06"/>
    <s v="MMBTU"/>
    <n v="0.1"/>
    <n v="473.52239279999998"/>
    <s v="AR4"/>
    <s v="USEPA"/>
    <s v="USEPA (2022)"/>
    <n v="2022"/>
    <n v="2022"/>
    <n v="0"/>
    <n v="0"/>
    <x v="11"/>
    <s v="Office"/>
  </r>
  <r>
    <n v="1590443"/>
    <s v="Top of Hierarchy &gt; North America &gt; Vantage_Deerfield"/>
    <x v="0"/>
    <x v="0"/>
    <d v="2022-01-01T00:00:00"/>
    <d v="2022-12-31T00:00:00"/>
    <x v="3"/>
    <d v="2022-01-01T00:00:00"/>
    <d v="2022-12-31T00:00:00"/>
    <s v="Natural gas"/>
    <n v="4735.2239280000003"/>
    <s v="Hundred Thousand BTUs"/>
    <x v="0"/>
    <s v="Estimated from square footage (CBECS 2012)"/>
    <s v="2023-07-25, 17:50"/>
    <s v="2023-07-25, 17:50"/>
    <n v="2022"/>
    <s v="natural_gas"/>
    <s v="Natural Gas"/>
    <s v="model"/>
    <b v="0"/>
    <s v="NATURAL GAS, NATURAL GAS"/>
    <x v="2"/>
    <x v="0"/>
    <s v="Americas"/>
    <s v="Northern America"/>
    <s v="US"/>
    <m/>
    <n v="0"/>
    <s v="CO2E"/>
    <n v="25151.047190000001"/>
    <n v="53.114800000000002"/>
    <s v="MMBTU"/>
    <n v="0.1"/>
    <n v="473.52239279999998"/>
    <s v="AR4"/>
    <s v="USEPA"/>
    <s v="USEPA Emission Factors Hub (Last Modified: March 2020)"/>
    <n v="2022"/>
    <n v="2021"/>
    <n v="25.15104719"/>
    <n v="0"/>
    <x v="11"/>
    <s v="Office"/>
  </r>
  <r>
    <n v="1590443"/>
    <s v="Top of Hierarchy &gt; North America &gt; Vantage_Deerfield"/>
    <x v="0"/>
    <x v="0"/>
    <d v="2022-01-01T00:00:00"/>
    <d v="2022-12-31T00:00:00"/>
    <x v="3"/>
    <d v="2022-01-01T00:00:00"/>
    <d v="2022-12-31T00:00:00"/>
    <s v="Natural gas"/>
    <n v="4735.2239280000003"/>
    <s v="Hundred Thousand BTUs"/>
    <x v="0"/>
    <s v="Estimated from square footage (CBECS 2012)"/>
    <s v="2023-07-25, 17:50"/>
    <s v="2023-07-25, 17:50"/>
    <n v="2022"/>
    <s v="natural_gas"/>
    <s v="Natural Gas"/>
    <s v="model"/>
    <b v="0"/>
    <s v="NATURAL GAS, NATURAL GAS"/>
    <x v="2"/>
    <x v="0"/>
    <s v="Americas"/>
    <s v="Northern America"/>
    <s v="US"/>
    <m/>
    <n v="0"/>
    <s v="N2O"/>
    <n v="14.110967309999999"/>
    <n v="2.98E-2"/>
    <s v="MMBTU"/>
    <n v="0.1"/>
    <n v="473.52239279999998"/>
    <s v="AR4"/>
    <s v="USEPA"/>
    <s v="USEPA (2022)"/>
    <n v="2022"/>
    <n v="2022"/>
    <n v="0"/>
    <n v="0"/>
    <x v="11"/>
    <s v="Office"/>
  </r>
  <r>
    <n v="1590443"/>
    <s v="Top of Hierarchy &gt; North America &gt; Vantage_Deerfield"/>
    <x v="0"/>
    <x v="0"/>
    <d v="2022-01-01T00:00:00"/>
    <d v="2022-12-31T00:00:00"/>
    <x v="3"/>
    <d v="2022-01-01T00:00:00"/>
    <d v="2022-12-31T00:00:00"/>
    <s v="Natural gas"/>
    <n v="4735.2239280000003"/>
    <s v="Hundred Thousand BTUs"/>
    <x v="0"/>
    <s v="Estimated from square footage (CBECS 2012)"/>
    <s v="2023-07-25, 17:50"/>
    <s v="2023-07-25, 17:50"/>
    <n v="2022"/>
    <s v="natural_gas"/>
    <s v="Natural Gas"/>
    <s v="model"/>
    <b v="0"/>
    <s v="NATURAL GAS, NATURAL GAS"/>
    <x v="2"/>
    <x v="0"/>
    <s v="Americas"/>
    <s v="Northern America"/>
    <s v="US"/>
    <m/>
    <n v="1"/>
    <s v="CH4"/>
    <n v="11.83805982"/>
    <n v="2.5000000000000001E-2"/>
    <s v="MMBTU"/>
    <n v="0.1"/>
    <n v="473.52239279999998"/>
    <s v="AR4"/>
    <s v="USEPA"/>
    <s v="USEPA Emission Factors Hub (Last Modified: March 2020)"/>
    <n v="2022"/>
    <n v="2021"/>
    <n v="0"/>
    <n v="0"/>
    <x v="11"/>
    <s v="Office"/>
  </r>
  <r>
    <n v="1590443"/>
    <s v="Top of Hierarchy &gt; North America &gt; Vantage_Deerfield"/>
    <x v="0"/>
    <x v="0"/>
    <d v="2022-01-01T00:00:00"/>
    <d v="2022-12-31T00:00:00"/>
    <x v="3"/>
    <d v="2022-01-01T00:00:00"/>
    <d v="2022-12-31T00:00:00"/>
    <s v="Natural gas"/>
    <n v="4735.2239280000003"/>
    <s v="Hundred Thousand BTUs"/>
    <x v="0"/>
    <s v="Estimated from square footage (CBECS 2012)"/>
    <s v="2023-07-25, 17:50"/>
    <s v="2023-07-25, 17:50"/>
    <n v="2022"/>
    <s v="natural_gas"/>
    <s v="Natural Gas"/>
    <s v="model"/>
    <b v="0"/>
    <s v="NATURAL GAS, NATURAL GAS"/>
    <x v="2"/>
    <x v="0"/>
    <s v="Americas"/>
    <s v="Northern America"/>
    <s v="US"/>
    <m/>
    <n v="1"/>
    <s v="CO2"/>
    <n v="25125.098160000001"/>
    <n v="53.06"/>
    <s v="MMBTU"/>
    <n v="0.1"/>
    <n v="473.52239279999998"/>
    <s v="AR4"/>
    <s v="USEPA"/>
    <s v="USEPA (2022)"/>
    <n v="2022"/>
    <n v="2022"/>
    <n v="0"/>
    <n v="0"/>
    <x v="11"/>
    <s v="Office"/>
  </r>
  <r>
    <n v="1590443"/>
    <s v="Top of Hierarchy &gt; North America &gt; Vantage_Deerfield"/>
    <x v="0"/>
    <x v="0"/>
    <d v="2022-01-01T00:00:00"/>
    <d v="2022-12-31T00:00:00"/>
    <x v="3"/>
    <d v="2022-01-01T00:00:00"/>
    <d v="2022-12-31T00:00:00"/>
    <s v="Natural gas"/>
    <n v="4735.2239280000003"/>
    <s v="Hundred Thousand BTUs"/>
    <x v="0"/>
    <s v="Estimated from square footage (CBECS 2012)"/>
    <s v="2023-07-25, 17:50"/>
    <s v="2023-07-25, 17:50"/>
    <n v="2022"/>
    <s v="natural_gas"/>
    <s v="Natural Gas"/>
    <s v="model"/>
    <b v="0"/>
    <s v="NATURAL GAS, NATURAL GAS"/>
    <x v="2"/>
    <x v="0"/>
    <s v="Americas"/>
    <s v="Northern America"/>
    <s v="US"/>
    <m/>
    <n v="1"/>
    <s v="CO2E"/>
    <n v="25151.047190000001"/>
    <n v="53.114800000000002"/>
    <s v="MMBTU"/>
    <n v="0.1"/>
    <n v="473.52239279999998"/>
    <s v="AR4"/>
    <s v="USEPA"/>
    <s v="USEPA Emission Factors Hub (Last Modified: March 2020)"/>
    <n v="2022"/>
    <n v="2021"/>
    <n v="0"/>
    <n v="25.15104719"/>
    <x v="11"/>
    <s v="Office"/>
  </r>
  <r>
    <n v="1590443"/>
    <s v="Top of Hierarchy &gt; North America &gt; Vantage_Deerfield"/>
    <x v="0"/>
    <x v="0"/>
    <d v="2022-01-01T00:00:00"/>
    <d v="2022-12-31T00:00:00"/>
    <x v="3"/>
    <d v="2022-01-01T00:00:00"/>
    <d v="2022-12-31T00:00:00"/>
    <s v="Natural gas"/>
    <n v="4735.2239280000003"/>
    <s v="Hundred Thousand BTUs"/>
    <x v="0"/>
    <s v="Estimated from square footage (CBECS 2012)"/>
    <s v="2023-07-25, 17:50"/>
    <s v="2023-07-25, 17:50"/>
    <n v="2022"/>
    <s v="natural_gas"/>
    <s v="Natural Gas"/>
    <s v="model"/>
    <b v="0"/>
    <s v="NATURAL GAS, NATURAL GAS"/>
    <x v="2"/>
    <x v="0"/>
    <s v="Americas"/>
    <s v="Northern America"/>
    <s v="US"/>
    <m/>
    <n v="1"/>
    <s v="N2O"/>
    <n v="14.110967309999999"/>
    <n v="2.98E-2"/>
    <s v="MMBTU"/>
    <n v="0.1"/>
    <n v="473.52239279999998"/>
    <s v="AR4"/>
    <s v="USEPA"/>
    <s v="USEPA (2022)"/>
    <n v="2022"/>
    <n v="2022"/>
    <n v="0"/>
    <n v="0"/>
    <x v="11"/>
    <s v="Office"/>
  </r>
  <r>
    <n v="1590443"/>
    <s v="Top of Hierarchy &gt; North America &gt; Vantage_Deerfield"/>
    <x v="0"/>
    <x v="0"/>
    <d v="2022-01-01T00:00:00"/>
    <d v="2022-12-31T00:00:00"/>
    <x v="3"/>
    <d v="2022-01-01T00:00:00"/>
    <d v="2022-12-31T00:00:00"/>
    <s v="Natural gas"/>
    <n v="4735.2239280000003"/>
    <s v="Hundred Thousand BTUs"/>
    <x v="0"/>
    <s v="Estimated from square footage (CBECS 2012)"/>
    <s v="2023-07-25, 17:50"/>
    <s v="2023-07-25, 17:50"/>
    <n v="2022"/>
    <s v="natural_gas__wtt"/>
    <s v="Natural Gas WTT"/>
    <s v="wtt"/>
    <b v="0"/>
    <s v="WTT- FUELS; GASEOUS FUELS; NATURAL GAS"/>
    <x v="1"/>
    <x v="1"/>
    <m/>
    <m/>
    <m/>
    <m/>
    <n v="0"/>
    <s v="CO2E"/>
    <n v="4314.8928260000002"/>
    <n v="3.1099999999999999E-2"/>
    <s v="KWH (GROSS CV)"/>
    <n v="29.3001"/>
    <n v="138742.53460000001"/>
    <s v="AR4"/>
    <s v="Defra"/>
    <s v="Defra (2022)"/>
    <n v="2022"/>
    <n v="2020"/>
    <n v="4.3148928260000003"/>
    <n v="0"/>
    <x v="11"/>
    <s v="Office"/>
  </r>
  <r>
    <n v="1590443"/>
    <s v="Top of Hierarchy &gt; North America &gt; Vantage_Deerfield"/>
    <x v="0"/>
    <x v="0"/>
    <d v="2022-01-01T00:00:00"/>
    <d v="2022-12-31T00:00:00"/>
    <x v="3"/>
    <d v="2022-01-01T00:00:00"/>
    <d v="2022-12-31T00:00:00"/>
    <s v="Natural gas"/>
    <n v="4735.2239280000003"/>
    <s v="Hundred Thousand BTUs"/>
    <x v="0"/>
    <s v="Estimated from square footage (CBECS 2012)"/>
    <s v="2023-07-25, 17:50"/>
    <s v="2023-07-25, 17:50"/>
    <n v="2022"/>
    <s v="natural_gas__wtt"/>
    <s v="Natural Gas WTT"/>
    <s v="wtt"/>
    <b v="0"/>
    <s v="WTT- FUELS; GASEOUS FUELS; NATURAL GAS"/>
    <x v="1"/>
    <x v="1"/>
    <m/>
    <m/>
    <m/>
    <m/>
    <n v="1"/>
    <s v="CO2E"/>
    <n v="4314.8928260000002"/>
    <n v="3.1099999999999999E-2"/>
    <s v="KWH (GROSS CV)"/>
    <n v="29.3001"/>
    <n v="138742.53460000001"/>
    <s v="AR4"/>
    <s v="Defra"/>
    <s v="Defra (2022)"/>
    <n v="2022"/>
    <n v="2020"/>
    <n v="0"/>
    <n v="4.3148928260000003"/>
    <x v="11"/>
    <s v="Office"/>
  </r>
  <r>
    <n v="291420"/>
    <s v="Top of Hierarchy &gt; North America &gt; Vantage_Deerfield"/>
    <x v="0"/>
    <x v="0"/>
    <d v="2022-01-01T00:00:00"/>
    <d v="2022-12-31T00:00:00"/>
    <x v="1"/>
    <d v="2022-01-01T00:00:00"/>
    <d v="2022-12-31T00:00:00"/>
    <s v="Diesel (average biofuel blend)"/>
    <n v="0"/>
    <s v="joules"/>
    <x v="1"/>
    <m/>
    <s v="2023-05-04, 18:37"/>
    <s v="2023-07-20, 00:40"/>
    <n v="2022"/>
    <s v="diesel_avg_biofuel_blend"/>
    <s v="Diesel (Average Biofuel Blend)"/>
    <s v="model"/>
    <b v="0"/>
    <s v="PETROLEUM PRODUCTS, DISTILLATE FUEL OIL NO. 2"/>
    <x v="2"/>
    <x v="0"/>
    <s v="Americas"/>
    <s v="Northern America"/>
    <s v="US"/>
    <m/>
    <n v="0"/>
    <s v="CH4"/>
    <n v="0"/>
    <n v="7.4999999999999997E-2"/>
    <s v="MMBTU"/>
    <n v="0"/>
    <n v="0"/>
    <s v="AR4"/>
    <s v="USEPA"/>
    <s v="USEPA (2022)"/>
    <n v="2022"/>
    <n v="2022"/>
    <n v="0"/>
    <n v="0"/>
    <x v="11"/>
    <s v="Office"/>
  </r>
  <r>
    <n v="291420"/>
    <s v="Top of Hierarchy &gt; North America &gt; Vantage_Deerfield"/>
    <x v="0"/>
    <x v="0"/>
    <d v="2022-01-01T00:00:00"/>
    <d v="2022-12-31T00:00:00"/>
    <x v="1"/>
    <d v="2022-01-01T00:00:00"/>
    <d v="2022-12-31T00:00:00"/>
    <s v="Diesel (average biofuel blend)"/>
    <n v="0"/>
    <s v="joules"/>
    <x v="1"/>
    <m/>
    <s v="2023-05-04, 18:37"/>
    <s v="2023-07-20, 00:40"/>
    <n v="2022"/>
    <s v="diesel_avg_biofuel_blend"/>
    <s v="Diesel (Average Biofuel Blend)"/>
    <s v="model"/>
    <b v="0"/>
    <s v="PETROLEUM PRODUCTS, DISTILLATE FUEL OIL NO. 2"/>
    <x v="2"/>
    <x v="0"/>
    <s v="Americas"/>
    <s v="Northern America"/>
    <s v="US"/>
    <m/>
    <n v="0"/>
    <s v="CO2"/>
    <n v="0"/>
    <n v="73.959999999999994"/>
    <s v="MMBTU"/>
    <n v="0"/>
    <n v="0"/>
    <s v="AR4"/>
    <s v="USEPA"/>
    <s v="USEPA (2022)"/>
    <n v="2022"/>
    <n v="2022"/>
    <n v="0"/>
    <n v="0"/>
    <x v="11"/>
    <s v="Office"/>
  </r>
  <r>
    <n v="291420"/>
    <s v="Top of Hierarchy &gt; North America &gt; Vantage_Deerfield"/>
    <x v="0"/>
    <x v="0"/>
    <d v="2022-01-01T00:00:00"/>
    <d v="2022-12-31T00:00:00"/>
    <x v="1"/>
    <d v="2022-01-01T00:00:00"/>
    <d v="2022-12-31T00:00:00"/>
    <s v="Diesel (average biofuel blend)"/>
    <n v="0"/>
    <s v="joules"/>
    <x v="1"/>
    <m/>
    <s v="2023-05-04, 18:37"/>
    <s v="2023-07-20, 00:40"/>
    <n v="2022"/>
    <s v="diesel_avg_biofuel_blend"/>
    <s v="Diesel (Average Biofuel Blend)"/>
    <s v="model"/>
    <b v="0"/>
    <s v="PETROLEUM PRODUCTS, DISTILLATE FUEL OIL NO. 2"/>
    <x v="2"/>
    <x v="0"/>
    <s v="Americas"/>
    <s v="Northern America"/>
    <s v="US"/>
    <m/>
    <n v="0"/>
    <s v="CO2E"/>
    <n v="0"/>
    <n v="74.213800000000006"/>
    <s v="MMBTU"/>
    <n v="0"/>
    <n v="0"/>
    <s v="AR4"/>
    <s v="USEPA"/>
    <s v="USEPA Emission Factors Hub (Last Modified: March 2020)"/>
    <n v="2022"/>
    <n v="2021"/>
    <n v="0"/>
    <n v="0"/>
    <x v="11"/>
    <s v="Office"/>
  </r>
  <r>
    <n v="291420"/>
    <s v="Top of Hierarchy &gt; North America &gt; Vantage_Deerfield"/>
    <x v="0"/>
    <x v="0"/>
    <d v="2022-01-01T00:00:00"/>
    <d v="2022-12-31T00:00:00"/>
    <x v="1"/>
    <d v="2022-01-01T00:00:00"/>
    <d v="2022-12-31T00:00:00"/>
    <s v="Diesel (average biofuel blend)"/>
    <n v="0"/>
    <s v="joules"/>
    <x v="1"/>
    <m/>
    <s v="2023-05-04, 18:37"/>
    <s v="2023-07-20, 00:40"/>
    <n v="2022"/>
    <s v="diesel_avg_biofuel_blend"/>
    <s v="Diesel (Average Biofuel Blend)"/>
    <s v="model"/>
    <b v="0"/>
    <s v="PETROLEUM PRODUCTS, DISTILLATE FUEL OIL NO. 2"/>
    <x v="2"/>
    <x v="0"/>
    <s v="Americas"/>
    <s v="Northern America"/>
    <s v="US"/>
    <m/>
    <n v="0"/>
    <s v="N2O"/>
    <n v="0"/>
    <n v="0.17879999999999999"/>
    <s v="MMBTU"/>
    <n v="0"/>
    <n v="0"/>
    <s v="AR4"/>
    <s v="USEPA"/>
    <s v="USEPA (2022)"/>
    <n v="2022"/>
    <n v="2022"/>
    <n v="0"/>
    <n v="0"/>
    <x v="11"/>
    <s v="Office"/>
  </r>
  <r>
    <n v="291420"/>
    <s v="Top of Hierarchy &gt; North America &gt; Vantage_Deerfield"/>
    <x v="0"/>
    <x v="0"/>
    <d v="2022-01-01T00:00:00"/>
    <d v="2022-12-31T00:00:00"/>
    <x v="1"/>
    <d v="2022-01-01T00:00:00"/>
    <d v="2022-12-31T00:00:00"/>
    <s v="Diesel (average biofuel blend)"/>
    <n v="0"/>
    <s v="joules"/>
    <x v="1"/>
    <m/>
    <s v="2023-05-04, 18:37"/>
    <s v="2023-07-20, 00:40"/>
    <n v="2022"/>
    <s v="diesel_avg_biofuel_blend"/>
    <s v="Diesel (Average Biofuel Blend)"/>
    <s v="model"/>
    <b v="0"/>
    <s v="PETROLEUM PRODUCTS, DISTILLATE FUEL OIL NO. 2"/>
    <x v="2"/>
    <x v="0"/>
    <s v="Americas"/>
    <s v="Northern America"/>
    <s v="US"/>
    <m/>
    <n v="1"/>
    <s v="CH4"/>
    <n v="0"/>
    <n v="7.4999999999999997E-2"/>
    <s v="MMBTU"/>
    <n v="0"/>
    <n v="0"/>
    <s v="AR4"/>
    <s v="USEPA"/>
    <s v="USEPA (2022)"/>
    <n v="2022"/>
    <n v="2022"/>
    <n v="0"/>
    <n v="0"/>
    <x v="11"/>
    <s v="Office"/>
  </r>
  <r>
    <n v="291420"/>
    <s v="Top of Hierarchy &gt; North America &gt; Vantage_Deerfield"/>
    <x v="0"/>
    <x v="0"/>
    <d v="2022-01-01T00:00:00"/>
    <d v="2022-12-31T00:00:00"/>
    <x v="1"/>
    <d v="2022-01-01T00:00:00"/>
    <d v="2022-12-31T00:00:00"/>
    <s v="Diesel (average biofuel blend)"/>
    <n v="0"/>
    <s v="joules"/>
    <x v="1"/>
    <m/>
    <s v="2023-05-04, 18:37"/>
    <s v="2023-07-20, 00:40"/>
    <n v="2022"/>
    <s v="diesel_avg_biofuel_blend"/>
    <s v="Diesel (Average Biofuel Blend)"/>
    <s v="model"/>
    <b v="0"/>
    <s v="PETROLEUM PRODUCTS, DISTILLATE FUEL OIL NO. 2"/>
    <x v="2"/>
    <x v="0"/>
    <s v="Americas"/>
    <s v="Northern America"/>
    <s v="US"/>
    <m/>
    <n v="1"/>
    <s v="CO2"/>
    <n v="0"/>
    <n v="73.959999999999994"/>
    <s v="MMBTU"/>
    <n v="0"/>
    <n v="0"/>
    <s v="AR4"/>
    <s v="USEPA"/>
    <s v="USEPA (2022)"/>
    <n v="2022"/>
    <n v="2022"/>
    <n v="0"/>
    <n v="0"/>
    <x v="11"/>
    <s v="Office"/>
  </r>
  <r>
    <n v="291420"/>
    <s v="Top of Hierarchy &gt; North America &gt; Vantage_Deerfield"/>
    <x v="0"/>
    <x v="0"/>
    <d v="2022-01-01T00:00:00"/>
    <d v="2022-12-31T00:00:00"/>
    <x v="1"/>
    <d v="2022-01-01T00:00:00"/>
    <d v="2022-12-31T00:00:00"/>
    <s v="Diesel (average biofuel blend)"/>
    <n v="0"/>
    <s v="joules"/>
    <x v="1"/>
    <m/>
    <s v="2023-05-04, 18:37"/>
    <s v="2023-07-20, 00:40"/>
    <n v="2022"/>
    <s v="diesel_avg_biofuel_blend"/>
    <s v="Diesel (Average Biofuel Blend)"/>
    <s v="model"/>
    <b v="0"/>
    <s v="PETROLEUM PRODUCTS, DISTILLATE FUEL OIL NO. 2"/>
    <x v="2"/>
    <x v="0"/>
    <s v="Americas"/>
    <s v="Northern America"/>
    <s v="US"/>
    <m/>
    <n v="1"/>
    <s v="CO2E"/>
    <n v="0"/>
    <n v="74.213800000000006"/>
    <s v="MMBTU"/>
    <n v="0"/>
    <n v="0"/>
    <s v="AR4"/>
    <s v="USEPA"/>
    <s v="USEPA Emission Factors Hub (Last Modified: March 2020)"/>
    <n v="2022"/>
    <n v="2021"/>
    <n v="0"/>
    <n v="0"/>
    <x v="11"/>
    <s v="Office"/>
  </r>
  <r>
    <n v="291420"/>
    <s v="Top of Hierarchy &gt; North America &gt; Vantage_Deerfield"/>
    <x v="0"/>
    <x v="0"/>
    <d v="2022-01-01T00:00:00"/>
    <d v="2022-12-31T00:00:00"/>
    <x v="1"/>
    <d v="2022-01-01T00:00:00"/>
    <d v="2022-12-31T00:00:00"/>
    <s v="Diesel (average biofuel blend)"/>
    <n v="0"/>
    <s v="joules"/>
    <x v="1"/>
    <m/>
    <s v="2023-05-04, 18:37"/>
    <s v="2023-07-20, 00:40"/>
    <n v="2022"/>
    <s v="diesel_avg_biofuel_blend"/>
    <s v="Diesel (Average Biofuel Blend)"/>
    <s v="model"/>
    <b v="0"/>
    <s v="PETROLEUM PRODUCTS, DISTILLATE FUEL OIL NO. 2"/>
    <x v="2"/>
    <x v="0"/>
    <s v="Americas"/>
    <s v="Northern America"/>
    <s v="US"/>
    <m/>
    <n v="1"/>
    <s v="N2O"/>
    <n v="0"/>
    <n v="0.17879999999999999"/>
    <s v="MMBTU"/>
    <n v="0"/>
    <n v="0"/>
    <s v="AR4"/>
    <s v="USEPA"/>
    <s v="USEPA (2022)"/>
    <n v="2022"/>
    <n v="2022"/>
    <n v="0"/>
    <n v="0"/>
    <x v="11"/>
    <s v="Office"/>
  </r>
  <r>
    <n v="291420"/>
    <s v="Top of Hierarchy &gt; North America &gt; Vantage_Deerfield"/>
    <x v="0"/>
    <x v="0"/>
    <d v="2022-01-01T00:00:00"/>
    <d v="2022-12-31T00:00:00"/>
    <x v="1"/>
    <d v="2022-01-01T00:00:00"/>
    <d v="2022-12-31T00:00:00"/>
    <s v="Diesel (average biofuel blend)"/>
    <n v="0"/>
    <s v="joules"/>
    <x v="1"/>
    <m/>
    <s v="2023-05-04, 18:37"/>
    <s v="2023-07-20, 00:40"/>
    <n v="2022"/>
    <s v="diesel_avg_biofuel_blend__wtt"/>
    <s v="Diesel (Average Biofuel Blend) WTT"/>
    <s v="wtt"/>
    <b v="0"/>
    <s v="WTT- FUELS; LIQUID FUELS; DIESEL (AVERAGE BIOFUEL BLEND)"/>
    <x v="1"/>
    <x v="1"/>
    <m/>
    <m/>
    <m/>
    <m/>
    <n v="0"/>
    <s v="CO2E"/>
    <n v="0"/>
    <n v="5.7500000000000002E-2"/>
    <s v="KWH (GROSS CV)"/>
    <n v="2.8000000000000002E-7"/>
    <n v="0"/>
    <s v="AR4"/>
    <s v="Defra"/>
    <s v="Defra (2022)"/>
    <n v="2022"/>
    <n v="2020"/>
    <n v="0"/>
    <n v="0"/>
    <x v="11"/>
    <s v="Office"/>
  </r>
  <r>
    <n v="291420"/>
    <s v="Top of Hierarchy &gt; North America &gt; Vantage_Deerfield"/>
    <x v="0"/>
    <x v="0"/>
    <d v="2022-01-01T00:00:00"/>
    <d v="2022-12-31T00:00:00"/>
    <x v="1"/>
    <d v="2022-01-01T00:00:00"/>
    <d v="2022-12-31T00:00:00"/>
    <s v="Diesel (average biofuel blend)"/>
    <n v="0"/>
    <s v="joules"/>
    <x v="1"/>
    <m/>
    <s v="2023-05-04, 18:37"/>
    <s v="2023-07-20, 00:40"/>
    <n v="2022"/>
    <s v="diesel_avg_biofuel_blend__wtt"/>
    <s v="Diesel (Average Biofuel Blend) WTT"/>
    <s v="wtt"/>
    <b v="0"/>
    <s v="WTT- FUELS; LIQUID FUELS; DIESEL (AVERAGE BIOFUEL BLEND)"/>
    <x v="1"/>
    <x v="1"/>
    <m/>
    <m/>
    <m/>
    <m/>
    <n v="1"/>
    <s v="CO2E"/>
    <n v="0"/>
    <n v="5.7500000000000002E-2"/>
    <s v="KWH (GROSS CV)"/>
    <n v="2.8000000000000002E-7"/>
    <n v="0"/>
    <s v="AR4"/>
    <s v="Defra"/>
    <s v="Defra (2022)"/>
    <n v="2022"/>
    <n v="2020"/>
    <n v="0"/>
    <n v="0"/>
    <x v="11"/>
    <s v="Office"/>
  </r>
  <r>
    <n v="1590453"/>
    <s v="Top of Hierarchy &gt; North America &gt; Vantage_Deerfield"/>
    <x v="0"/>
    <x v="0"/>
    <d v="2022-01-01T00:00:00"/>
    <d v="2022-12-31T00:00:00"/>
    <x v="4"/>
    <d v="2022-01-01T00:00:00"/>
    <d v="2022-12-31T00:00:00"/>
    <s v="R-134A"/>
    <n v="3.4441999999999999"/>
    <s v="kilograms"/>
    <x v="0"/>
    <s v="Estimated from square footage. Assumed R134a."/>
    <s v="2023-07-25, 17:50"/>
    <s v="2023-07-25, 17:50"/>
    <n v="2022"/>
    <s v="hfc-134a"/>
    <s v="HFC-134A"/>
    <s v="model"/>
    <b v="0"/>
    <s v="REFRIGERANT: R-134A"/>
    <x v="2"/>
    <x v="0"/>
    <m/>
    <m/>
    <m/>
    <m/>
    <n v="0"/>
    <s v="CO2E"/>
    <n v="4925.2060000000001"/>
    <n v="1430"/>
    <s v="KG"/>
    <n v="1"/>
    <n v="3.4441999999999999"/>
    <s v="AR4"/>
    <s v="IPCC"/>
    <s v="IPCC (2021)"/>
    <n v="2022"/>
    <n v="2007"/>
    <n v="4.9252060000000002"/>
    <n v="0"/>
    <x v="11"/>
    <s v="Office"/>
  </r>
  <r>
    <n v="1590453"/>
    <s v="Top of Hierarchy &gt; North America &gt; Vantage_Deerfield"/>
    <x v="0"/>
    <x v="0"/>
    <d v="2022-01-01T00:00:00"/>
    <d v="2022-12-31T00:00:00"/>
    <x v="4"/>
    <d v="2022-01-01T00:00:00"/>
    <d v="2022-12-31T00:00:00"/>
    <s v="R-134A"/>
    <n v="3.4441999999999999"/>
    <s v="kilograms"/>
    <x v="0"/>
    <s v="Estimated from square footage. Assumed R134a."/>
    <s v="2023-07-25, 17:50"/>
    <s v="2023-07-25, 17:50"/>
    <n v="2022"/>
    <s v="hfc-134a"/>
    <s v="HFC-134A"/>
    <s v="model"/>
    <b v="0"/>
    <s v="REFRIGERANT: R-134A"/>
    <x v="2"/>
    <x v="0"/>
    <m/>
    <m/>
    <m/>
    <m/>
    <n v="1"/>
    <s v="CO2E"/>
    <n v="4925.2060000000001"/>
    <n v="1430"/>
    <s v="KG"/>
    <n v="1"/>
    <n v="3.4441999999999999"/>
    <s v="AR4"/>
    <s v="IPCC"/>
    <s v="IPCC (2021)"/>
    <n v="2022"/>
    <n v="2007"/>
    <n v="0"/>
    <n v="4.9252060000000002"/>
    <x v="11"/>
    <s v="Office"/>
  </r>
  <r>
    <n v="291422"/>
    <s v="Top of Hierarchy &gt; North America &gt; Vantage_Deerfield"/>
    <x v="0"/>
    <x v="0"/>
    <d v="2022-01-01T00:00:00"/>
    <d v="2022-12-31T00:00:00"/>
    <x v="2"/>
    <d v="2022-01-01T00:00:00"/>
    <d v="2022-12-31T00:00:00"/>
    <s v="Propane"/>
    <n v="0"/>
    <s v="megajoules"/>
    <x v="1"/>
    <m/>
    <s v="2023-05-04, 18:37"/>
    <s v="2023-07-20, 00:40"/>
    <n v="2022"/>
    <s v="propane"/>
    <s v="Propane"/>
    <s v="model"/>
    <b v="0"/>
    <s v="PETROLEUM PRODUCTS, PROPANE"/>
    <x v="2"/>
    <x v="0"/>
    <s v="Americas"/>
    <s v="Northern America"/>
    <s v="US"/>
    <m/>
    <n v="0"/>
    <s v="CH4"/>
    <n v="0"/>
    <n v="7.4999999999999997E-2"/>
    <s v="MMBTU"/>
    <n v="9.4782000000000004E-4"/>
    <n v="0"/>
    <s v="AR4"/>
    <s v="USEPA"/>
    <s v="USEPA (2022)"/>
    <n v="2022"/>
    <n v="2022"/>
    <n v="0"/>
    <n v="0"/>
    <x v="11"/>
    <s v="Office"/>
  </r>
  <r>
    <n v="291422"/>
    <s v="Top of Hierarchy &gt; North America &gt; Vantage_Deerfield"/>
    <x v="0"/>
    <x v="0"/>
    <d v="2022-01-01T00:00:00"/>
    <d v="2022-12-31T00:00:00"/>
    <x v="2"/>
    <d v="2022-01-01T00:00:00"/>
    <d v="2022-12-31T00:00:00"/>
    <s v="Propane"/>
    <n v="0"/>
    <s v="megajoules"/>
    <x v="1"/>
    <m/>
    <s v="2023-05-04, 18:37"/>
    <s v="2023-07-20, 00:40"/>
    <n v="2022"/>
    <s v="propane"/>
    <s v="Propane"/>
    <s v="model"/>
    <b v="0"/>
    <s v="PETROLEUM PRODUCTS, PROPANE"/>
    <x v="2"/>
    <x v="0"/>
    <s v="Americas"/>
    <s v="Northern America"/>
    <s v="US"/>
    <m/>
    <n v="0"/>
    <s v="CO2"/>
    <n v="0"/>
    <n v="62.87"/>
    <s v="MMBTU"/>
    <n v="9.4782000000000004E-4"/>
    <n v="0"/>
    <s v="AR4"/>
    <s v="USEPA"/>
    <s v="USEPA (2022)"/>
    <n v="2022"/>
    <n v="2022"/>
    <n v="0"/>
    <n v="0"/>
    <x v="11"/>
    <s v="Office"/>
  </r>
  <r>
    <n v="291422"/>
    <s v="Top of Hierarchy &gt; North America &gt; Vantage_Deerfield"/>
    <x v="0"/>
    <x v="0"/>
    <d v="2022-01-01T00:00:00"/>
    <d v="2022-12-31T00:00:00"/>
    <x v="2"/>
    <d v="2022-01-01T00:00:00"/>
    <d v="2022-12-31T00:00:00"/>
    <s v="Propane"/>
    <n v="0"/>
    <s v="megajoules"/>
    <x v="1"/>
    <m/>
    <s v="2023-05-04, 18:37"/>
    <s v="2023-07-20, 00:40"/>
    <n v="2022"/>
    <s v="propane"/>
    <s v="Propane"/>
    <s v="model"/>
    <b v="0"/>
    <s v="PETROLEUM PRODUCTS, PROPANE"/>
    <x v="2"/>
    <x v="0"/>
    <s v="Americas"/>
    <s v="Northern America"/>
    <s v="US"/>
    <m/>
    <n v="0"/>
    <s v="CO2E"/>
    <n v="0"/>
    <n v="63.123800000000003"/>
    <s v="MMBTU"/>
    <n v="9.4782000000000004E-4"/>
    <n v="0"/>
    <s v="AR4"/>
    <s v="USEPA"/>
    <s v="USEPA (2022)"/>
    <n v="2022"/>
    <n v="2022"/>
    <n v="0"/>
    <n v="0"/>
    <x v="11"/>
    <s v="Office"/>
  </r>
  <r>
    <n v="291422"/>
    <s v="Top of Hierarchy &gt; North America &gt; Vantage_Deerfield"/>
    <x v="0"/>
    <x v="0"/>
    <d v="2022-01-01T00:00:00"/>
    <d v="2022-12-31T00:00:00"/>
    <x v="2"/>
    <d v="2022-01-01T00:00:00"/>
    <d v="2022-12-31T00:00:00"/>
    <s v="Propane"/>
    <n v="0"/>
    <s v="megajoules"/>
    <x v="1"/>
    <m/>
    <s v="2023-05-04, 18:37"/>
    <s v="2023-07-20, 00:40"/>
    <n v="2022"/>
    <s v="propane"/>
    <s v="Propane"/>
    <s v="model"/>
    <b v="0"/>
    <s v="PETROLEUM PRODUCTS, PROPANE"/>
    <x v="2"/>
    <x v="0"/>
    <s v="Americas"/>
    <s v="Northern America"/>
    <s v="US"/>
    <m/>
    <n v="0"/>
    <s v="N2O"/>
    <n v="0"/>
    <n v="0.17879999999999999"/>
    <s v="MMBTU"/>
    <n v="9.4782000000000004E-4"/>
    <n v="0"/>
    <s v="AR4"/>
    <s v="USEPA"/>
    <s v="USEPA Emission Factors Hub (Last Modified: March 2020)"/>
    <n v="2022"/>
    <n v="2021"/>
    <n v="0"/>
    <n v="0"/>
    <x v="11"/>
    <s v="Office"/>
  </r>
  <r>
    <n v="291422"/>
    <s v="Top of Hierarchy &gt; North America &gt; Vantage_Deerfield"/>
    <x v="0"/>
    <x v="0"/>
    <d v="2022-01-01T00:00:00"/>
    <d v="2022-12-31T00:00:00"/>
    <x v="2"/>
    <d v="2022-01-01T00:00:00"/>
    <d v="2022-12-31T00:00:00"/>
    <s v="Propane"/>
    <n v="0"/>
    <s v="megajoules"/>
    <x v="1"/>
    <m/>
    <s v="2023-05-04, 18:37"/>
    <s v="2023-07-20, 00:40"/>
    <n v="2022"/>
    <s v="propane"/>
    <s v="Propane"/>
    <s v="model"/>
    <b v="0"/>
    <s v="PETROLEUM PRODUCTS, PROPANE"/>
    <x v="2"/>
    <x v="0"/>
    <s v="Americas"/>
    <s v="Northern America"/>
    <s v="US"/>
    <m/>
    <n v="1"/>
    <s v="CH4"/>
    <n v="0"/>
    <n v="7.4999999999999997E-2"/>
    <s v="MMBTU"/>
    <n v="9.4782000000000004E-4"/>
    <n v="0"/>
    <s v="AR4"/>
    <s v="USEPA"/>
    <s v="USEPA (2022)"/>
    <n v="2022"/>
    <n v="2022"/>
    <n v="0"/>
    <n v="0"/>
    <x v="11"/>
    <s v="Office"/>
  </r>
  <r>
    <n v="291422"/>
    <s v="Top of Hierarchy &gt; North America &gt; Vantage_Deerfield"/>
    <x v="0"/>
    <x v="0"/>
    <d v="2022-01-01T00:00:00"/>
    <d v="2022-12-31T00:00:00"/>
    <x v="2"/>
    <d v="2022-01-01T00:00:00"/>
    <d v="2022-12-31T00:00:00"/>
    <s v="Propane"/>
    <n v="0"/>
    <s v="megajoules"/>
    <x v="1"/>
    <m/>
    <s v="2023-05-04, 18:37"/>
    <s v="2023-07-20, 00:40"/>
    <n v="2022"/>
    <s v="propane"/>
    <s v="Propane"/>
    <s v="model"/>
    <b v="0"/>
    <s v="PETROLEUM PRODUCTS, PROPANE"/>
    <x v="2"/>
    <x v="0"/>
    <s v="Americas"/>
    <s v="Northern America"/>
    <s v="US"/>
    <m/>
    <n v="1"/>
    <s v="CO2"/>
    <n v="0"/>
    <n v="62.87"/>
    <s v="MMBTU"/>
    <n v="9.4782000000000004E-4"/>
    <n v="0"/>
    <s v="AR4"/>
    <s v="USEPA"/>
    <s v="USEPA (2022)"/>
    <n v="2022"/>
    <n v="2022"/>
    <n v="0"/>
    <n v="0"/>
    <x v="11"/>
    <s v="Office"/>
  </r>
  <r>
    <n v="291422"/>
    <s v="Top of Hierarchy &gt; North America &gt; Vantage_Deerfield"/>
    <x v="0"/>
    <x v="0"/>
    <d v="2022-01-01T00:00:00"/>
    <d v="2022-12-31T00:00:00"/>
    <x v="2"/>
    <d v="2022-01-01T00:00:00"/>
    <d v="2022-12-31T00:00:00"/>
    <s v="Propane"/>
    <n v="0"/>
    <s v="megajoules"/>
    <x v="1"/>
    <m/>
    <s v="2023-05-04, 18:37"/>
    <s v="2023-07-20, 00:40"/>
    <n v="2022"/>
    <s v="propane"/>
    <s v="Propane"/>
    <s v="model"/>
    <b v="0"/>
    <s v="PETROLEUM PRODUCTS, PROPANE"/>
    <x v="2"/>
    <x v="0"/>
    <s v="Americas"/>
    <s v="Northern America"/>
    <s v="US"/>
    <m/>
    <n v="1"/>
    <s v="CO2E"/>
    <n v="0"/>
    <n v="63.123800000000003"/>
    <s v="MMBTU"/>
    <n v="9.4782000000000004E-4"/>
    <n v="0"/>
    <s v="AR4"/>
    <s v="USEPA"/>
    <s v="USEPA (2022)"/>
    <n v="2022"/>
    <n v="2022"/>
    <n v="0"/>
    <n v="0"/>
    <x v="11"/>
    <s v="Office"/>
  </r>
  <r>
    <n v="291422"/>
    <s v="Top of Hierarchy &gt; North America &gt; Vantage_Deerfield"/>
    <x v="0"/>
    <x v="0"/>
    <d v="2022-01-01T00:00:00"/>
    <d v="2022-12-31T00:00:00"/>
    <x v="2"/>
    <d v="2022-01-01T00:00:00"/>
    <d v="2022-12-31T00:00:00"/>
    <s v="Propane"/>
    <n v="0"/>
    <s v="megajoules"/>
    <x v="1"/>
    <m/>
    <s v="2023-05-04, 18:37"/>
    <s v="2023-07-20, 00:40"/>
    <n v="2022"/>
    <s v="propane"/>
    <s v="Propane"/>
    <s v="model"/>
    <b v="0"/>
    <s v="PETROLEUM PRODUCTS, PROPANE"/>
    <x v="2"/>
    <x v="0"/>
    <s v="Americas"/>
    <s v="Northern America"/>
    <s v="US"/>
    <m/>
    <n v="1"/>
    <s v="N2O"/>
    <n v="0"/>
    <n v="0.17879999999999999"/>
    <s v="MMBTU"/>
    <n v="9.4782000000000004E-4"/>
    <n v="0"/>
    <s v="AR4"/>
    <s v="USEPA"/>
    <s v="USEPA Emission Factors Hub (Last Modified: March 2020)"/>
    <n v="2022"/>
    <n v="2021"/>
    <n v="0"/>
    <n v="0"/>
    <x v="11"/>
    <s v="Office"/>
  </r>
  <r>
    <n v="291422"/>
    <s v="Top of Hierarchy &gt; North America &gt; Vantage_Deerfield"/>
    <x v="0"/>
    <x v="0"/>
    <d v="2022-01-01T00:00:00"/>
    <d v="2022-12-31T00:00:00"/>
    <x v="2"/>
    <d v="2022-01-01T00:00:00"/>
    <d v="2022-12-31T00:00:00"/>
    <s v="Propane"/>
    <n v="0"/>
    <s v="megajoules"/>
    <x v="1"/>
    <m/>
    <s v="2023-05-04, 18:37"/>
    <s v="2023-07-20, 00:40"/>
    <n v="2022"/>
    <s v="propane__wtt"/>
    <s v="Propane WTT"/>
    <s v="wtt"/>
    <b v="0"/>
    <s v="WTT- FUELS; GASEOUS FUELS; PROPANE"/>
    <x v="1"/>
    <x v="1"/>
    <m/>
    <m/>
    <m/>
    <m/>
    <n v="0"/>
    <s v="CO2E"/>
    <n v="0"/>
    <n v="2.503E-2"/>
    <s v="KWH (GROSS CV)"/>
    <n v="0.27777777999999997"/>
    <n v="0"/>
    <s v="AR4"/>
    <s v="Defra"/>
    <s v="Defra (2022)"/>
    <n v="2022"/>
    <n v="2020"/>
    <n v="0"/>
    <n v="0"/>
    <x v="11"/>
    <s v="Office"/>
  </r>
  <r>
    <n v="291422"/>
    <s v="Top of Hierarchy &gt; North America &gt; Vantage_Deerfield"/>
    <x v="0"/>
    <x v="0"/>
    <d v="2022-01-01T00:00:00"/>
    <d v="2022-12-31T00:00:00"/>
    <x v="2"/>
    <d v="2022-01-01T00:00:00"/>
    <d v="2022-12-31T00:00:00"/>
    <s v="Propane"/>
    <n v="0"/>
    <s v="megajoules"/>
    <x v="1"/>
    <m/>
    <s v="2023-05-04, 18:37"/>
    <s v="2023-07-20, 00:40"/>
    <n v="2022"/>
    <s v="propane__wtt"/>
    <s v="Propane WTT"/>
    <s v="wtt"/>
    <b v="0"/>
    <s v="WTT- FUELS; GASEOUS FUELS; PROPANE"/>
    <x v="1"/>
    <x v="1"/>
    <m/>
    <m/>
    <m/>
    <m/>
    <n v="1"/>
    <s v="CO2E"/>
    <n v="0"/>
    <n v="2.503E-2"/>
    <s v="KWH (GROSS CV)"/>
    <n v="0.27777777999999997"/>
    <n v="0"/>
    <s v="AR4"/>
    <s v="Defra"/>
    <s v="Defra (2022)"/>
    <n v="2022"/>
    <n v="2020"/>
    <n v="0"/>
    <n v="0"/>
    <x v="11"/>
    <s v="Office"/>
  </r>
  <r>
    <n v="4947"/>
    <s v="Top of Hierarchy &gt; North America &gt; Vantage_Deerfield"/>
    <x v="0"/>
    <x v="1"/>
    <d v="2021-01-01T00:00:00"/>
    <d v="2021-12-31T00:00:00"/>
    <x v="0"/>
    <d v="2021-01-01T00:00:00"/>
    <d v="2021-12-31T00:00:00"/>
    <s v="Electricity (non-renewable)"/>
    <n v="2118683.08"/>
    <s v="Kilowatt hours"/>
    <x v="0"/>
    <m/>
    <s v="2023-02-27, 16:27"/>
    <s v="2023-07-20, 00:40"/>
    <n v="2021"/>
    <s v="electricity"/>
    <s v="Electricity"/>
    <s v="model"/>
    <b v="0"/>
    <s v="ELECTRICITY; UNITED STATES - RFCW"/>
    <x v="0"/>
    <x v="0"/>
    <s v="Americas"/>
    <s v="Northern America"/>
    <s v="US"/>
    <s v="RFCW"/>
    <n v="0"/>
    <s v="CH4"/>
    <n v="2378.5207369999998"/>
    <n v="1.122641E-3"/>
    <s v="KWH"/>
    <n v="1"/>
    <n v="2118683.08"/>
    <s v="AR4"/>
    <s v="USEPA"/>
    <s v="USEPA (2021)"/>
    <n v="2021"/>
    <n v="2019"/>
    <n v="0"/>
    <n v="0"/>
    <x v="11"/>
    <s v="Office"/>
  </r>
  <r>
    <n v="4947"/>
    <s v="Top of Hierarchy &gt; North America &gt; Vantage_Deerfield"/>
    <x v="0"/>
    <x v="1"/>
    <d v="2021-01-01T00:00:00"/>
    <d v="2021-12-31T00:00:00"/>
    <x v="0"/>
    <d v="2021-01-01T00:00:00"/>
    <d v="2021-12-31T00:00:00"/>
    <s v="Electricity (non-renewable)"/>
    <n v="2118683.08"/>
    <s v="Kilowatt hours"/>
    <x v="0"/>
    <m/>
    <s v="2023-02-27, 16:27"/>
    <s v="2023-07-20, 00:40"/>
    <n v="2021"/>
    <s v="electricity"/>
    <s v="Electricity"/>
    <s v="model"/>
    <b v="0"/>
    <s v="ELECTRICITY; UNITED STATES - RFCW"/>
    <x v="0"/>
    <x v="0"/>
    <s v="Americas"/>
    <s v="Northern America"/>
    <s v="US"/>
    <s v="RFCW"/>
    <n v="0"/>
    <s v="CO2"/>
    <n v="1026059.249"/>
    <n v="0.484291048"/>
    <s v="KWH"/>
    <n v="1"/>
    <n v="2118683.08"/>
    <s v="AR4"/>
    <s v="USEPA"/>
    <s v="USEPA (2021)"/>
    <n v="2021"/>
    <n v="2019"/>
    <n v="0"/>
    <n v="0"/>
    <x v="11"/>
    <s v="Office"/>
  </r>
  <r>
    <n v="4947"/>
    <s v="Top of Hierarchy &gt; North America &gt; Vantage_Deerfield"/>
    <x v="0"/>
    <x v="1"/>
    <d v="2021-01-01T00:00:00"/>
    <d v="2021-12-31T00:00:00"/>
    <x v="0"/>
    <d v="2021-01-01T00:00:00"/>
    <d v="2021-12-31T00:00:00"/>
    <s v="Electricity (non-renewable)"/>
    <n v="2118683.08"/>
    <s v="Kilowatt hours"/>
    <x v="0"/>
    <m/>
    <s v="2023-02-27, 16:27"/>
    <s v="2023-07-20, 00:40"/>
    <n v="2021"/>
    <s v="electricity"/>
    <s v="Electricity"/>
    <s v="model"/>
    <b v="0"/>
    <s v="ELECTRICITY; UNITED STATES - RFCW"/>
    <x v="0"/>
    <x v="0"/>
    <s v="Americas"/>
    <s v="Northern America"/>
    <s v="US"/>
    <s v="RFCW"/>
    <n v="0"/>
    <s v="CO2E"/>
    <n v="1032447.139"/>
    <n v="0.48730607599999998"/>
    <s v="KWH"/>
    <n v="1"/>
    <n v="2118683.08"/>
    <s v="AR4"/>
    <s v="USEPA"/>
    <s v="USEPA (2021)"/>
    <n v="2021"/>
    <n v="2019"/>
    <n v="1032.4471389999999"/>
    <n v="0"/>
    <x v="11"/>
    <s v="Office"/>
  </r>
  <r>
    <n v="4947"/>
    <s v="Top of Hierarchy &gt; North America &gt; Vantage_Deerfield"/>
    <x v="0"/>
    <x v="1"/>
    <d v="2021-01-01T00:00:00"/>
    <d v="2021-12-31T00:00:00"/>
    <x v="0"/>
    <d v="2021-01-01T00:00:00"/>
    <d v="2021-12-31T00:00:00"/>
    <s v="Electricity (non-renewable)"/>
    <n v="2118683.08"/>
    <s v="Kilowatt hours"/>
    <x v="0"/>
    <m/>
    <s v="2023-02-27, 16:27"/>
    <s v="2023-07-20, 00:40"/>
    <n v="2021"/>
    <s v="electricity"/>
    <s v="Electricity"/>
    <s v="model"/>
    <b v="0"/>
    <s v="ELECTRICITY; UNITED STATES - RFCW"/>
    <x v="0"/>
    <x v="0"/>
    <s v="Americas"/>
    <s v="Northern America"/>
    <s v="US"/>
    <s v="RFCW"/>
    <n v="0"/>
    <s v="N2O"/>
    <n v="4009.3690969999998"/>
    <n v="1.8923869999999999E-3"/>
    <s v="KWH"/>
    <n v="1"/>
    <n v="2118683.08"/>
    <s v="AR4"/>
    <s v="USEPA"/>
    <s v="USEPA (2021)"/>
    <n v="2021"/>
    <n v="2019"/>
    <n v="0"/>
    <n v="0"/>
    <x v="11"/>
    <s v="Office"/>
  </r>
  <r>
    <n v="4947"/>
    <s v="Top of Hierarchy &gt; North America &gt; Vantage_Deerfield"/>
    <x v="0"/>
    <x v="1"/>
    <d v="2021-01-01T00:00:00"/>
    <d v="2021-12-31T00:00:00"/>
    <x v="0"/>
    <d v="2021-01-01T00:00:00"/>
    <d v="2021-12-31T00:00:00"/>
    <s v="Electricity (non-renewable)"/>
    <n v="2118683.08"/>
    <s v="Kilowatt hours"/>
    <x v="0"/>
    <m/>
    <s v="2023-02-27, 16:27"/>
    <s v="2023-07-20, 00:40"/>
    <n v="2021"/>
    <s v="electricity"/>
    <s v="Electricity"/>
    <s v="model"/>
    <b v="0"/>
    <s v="ELECTRICITY; UNITED STATES - RFCW"/>
    <x v="0"/>
    <x v="0"/>
    <s v="Americas"/>
    <s v="Northern America"/>
    <s v="US"/>
    <s v="RFCW"/>
    <n v="1"/>
    <s v="CO2E MKT"/>
    <n v="1026435.007"/>
    <n v="0.48446840299999999"/>
    <s v="KWH"/>
    <n v="1"/>
    <n v="2118683.08"/>
    <s v="AR4"/>
    <s v="Green-e"/>
    <s v="Green-e (2021)"/>
    <n v="2021"/>
    <n v="2019"/>
    <n v="0"/>
    <n v="1026.435007"/>
    <x v="11"/>
    <s v="Office"/>
  </r>
  <r>
    <n v="4947"/>
    <s v="Top of Hierarchy &gt; North America &gt; Vantage_Deerfield"/>
    <x v="0"/>
    <x v="1"/>
    <d v="2021-01-01T00:00:00"/>
    <d v="2021-12-31T00:00:00"/>
    <x v="0"/>
    <d v="2021-01-01T00:00:00"/>
    <d v="2021-12-31T00:00:00"/>
    <s v="Electricity (non-renewable)"/>
    <n v="2118683.08"/>
    <s v="Kilowatt hours"/>
    <x v="0"/>
    <m/>
    <s v="2023-02-27, 16:27"/>
    <s v="2023-07-20, 00:40"/>
    <n v="2021"/>
    <s v="electricity__t+d__wtt"/>
    <s v="Electricity T&amp;D WTT"/>
    <s v="t+d_wtt"/>
    <b v="0"/>
    <s v="ELECTRICITY; UNITED STATES - RFCW; T&amp;D WTT Estimated"/>
    <x v="1"/>
    <x v="1"/>
    <s v="Americas"/>
    <s v="Northern America"/>
    <s v="US"/>
    <s v="RFCW"/>
    <n v="0"/>
    <s v="CH4"/>
    <n v="32.045127839999999"/>
    <n v="1.5125E-5"/>
    <s v="KWH"/>
    <n v="1"/>
    <n v="2118683.08"/>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ELECTRICITY; TRANSMISSION AND DISTRIBUTION; UNITED STATES - RFCW, USEPA to estimate the T&amp;D WTT factor."/>
    <n v="2021"/>
    <n v="2019"/>
    <n v="0"/>
    <n v="0"/>
    <x v="11"/>
    <s v="Office"/>
  </r>
  <r>
    <n v="4947"/>
    <s v="Top of Hierarchy &gt; North America &gt; Vantage_Deerfield"/>
    <x v="0"/>
    <x v="1"/>
    <d v="2021-01-01T00:00:00"/>
    <d v="2021-12-31T00:00:00"/>
    <x v="0"/>
    <d v="2021-01-01T00:00:00"/>
    <d v="2021-12-31T00:00:00"/>
    <s v="Electricity (non-renewable)"/>
    <n v="2118683.08"/>
    <s v="Kilowatt hours"/>
    <x v="0"/>
    <m/>
    <s v="2023-02-27, 16:27"/>
    <s v="2023-07-20, 00:40"/>
    <n v="2021"/>
    <s v="electricity__t+d__wtt"/>
    <s v="Electricity T&amp;D WTT"/>
    <s v="t+d_wtt"/>
    <b v="0"/>
    <s v="ELECTRICITY; UNITED STATES - RFCW; T&amp;D WTT Estimated"/>
    <x v="1"/>
    <x v="1"/>
    <s v="Americas"/>
    <s v="Northern America"/>
    <s v="US"/>
    <s v="RFCW"/>
    <n v="0"/>
    <s v="CO2"/>
    <n v="13823.80204"/>
    <n v="6.524714E-3"/>
    <s v="KWH"/>
    <n v="1"/>
    <n v="2118683.08"/>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ELECTRICITY; TRANSMISSION AND DISTRIBUTION; UNITED STATES - RFCW, USEPA to estimate the T&amp;D WTT factor."/>
    <n v="2021"/>
    <n v="2019"/>
    <n v="0"/>
    <n v="0"/>
    <x v="11"/>
    <s v="Office"/>
  </r>
  <r>
    <n v="4947"/>
    <s v="Top of Hierarchy &gt; North America &gt; Vantage_Deerfield"/>
    <x v="0"/>
    <x v="1"/>
    <d v="2021-01-01T00:00:00"/>
    <d v="2021-12-31T00:00:00"/>
    <x v="0"/>
    <d v="2021-01-01T00:00:00"/>
    <d v="2021-12-31T00:00:00"/>
    <s v="Electricity (non-renewable)"/>
    <n v="2118683.08"/>
    <s v="Kilowatt hours"/>
    <x v="0"/>
    <m/>
    <s v="2023-02-27, 16:27"/>
    <s v="2023-07-20, 00:40"/>
    <n v="2021"/>
    <s v="electricity__t+d__wtt"/>
    <s v="Electricity T&amp;D WTT"/>
    <s v="t+d_wtt"/>
    <b v="0"/>
    <s v="ELECTRICITY; UNITED STATES - RFCW; T&amp;D WTT Estimated"/>
    <x v="1"/>
    <x v="1"/>
    <s v="Americas"/>
    <s v="Northern America"/>
    <s v="US"/>
    <s v="RFCW"/>
    <n v="0"/>
    <s v="CO2E"/>
    <n v="13909.864250000001"/>
    <n v="6.5653350000000003E-3"/>
    <s v="KWH"/>
    <n v="1"/>
    <n v="2118683.08"/>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ELECTRICITY; TRANSMISSION AND DISTRIBUTION; UNITED STATES - RFCW, USEPA to estimate the T&amp;D WTT factor."/>
    <n v="2021"/>
    <n v="2019"/>
    <n v="13.90986425"/>
    <n v="0"/>
    <x v="11"/>
    <s v="Office"/>
  </r>
  <r>
    <n v="4947"/>
    <s v="Top of Hierarchy &gt; North America &gt; Vantage_Deerfield"/>
    <x v="0"/>
    <x v="1"/>
    <d v="2021-01-01T00:00:00"/>
    <d v="2021-12-31T00:00:00"/>
    <x v="0"/>
    <d v="2021-01-01T00:00:00"/>
    <d v="2021-12-31T00:00:00"/>
    <s v="Electricity (non-renewable)"/>
    <n v="2118683.08"/>
    <s v="Kilowatt hours"/>
    <x v="0"/>
    <m/>
    <s v="2023-02-27, 16:27"/>
    <s v="2023-07-20, 00:40"/>
    <n v="2021"/>
    <s v="electricity__t+d__wtt"/>
    <s v="Electricity T&amp;D WTT"/>
    <s v="t+d_wtt"/>
    <b v="0"/>
    <s v="ELECTRICITY; UNITED STATES - RFCW; T&amp;D WTT Estimated"/>
    <x v="1"/>
    <x v="1"/>
    <s v="Americas"/>
    <s v="Northern America"/>
    <s v="US"/>
    <s v="RFCW"/>
    <n v="0"/>
    <s v="N2O"/>
    <n v="54.017080149999998"/>
    <n v="2.54956E-5"/>
    <s v="KWH"/>
    <n v="1"/>
    <n v="2118683.08"/>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ELECTRICITY; TRANSMISSION AND DISTRIBUTION; UNITED STATES - RFCW, USEPA to estimate the T&amp;D WTT factor."/>
    <n v="2021"/>
    <n v="2019"/>
    <n v="0"/>
    <n v="0"/>
    <x v="11"/>
    <s v="Office"/>
  </r>
  <r>
    <n v="4947"/>
    <s v="Top of Hierarchy &gt; North America &gt; Vantage_Deerfield"/>
    <x v="0"/>
    <x v="1"/>
    <d v="2021-01-01T00:00:00"/>
    <d v="2021-12-31T00:00:00"/>
    <x v="0"/>
    <d v="2021-01-01T00:00:00"/>
    <d v="2021-12-31T00:00:00"/>
    <s v="Electricity (non-renewable)"/>
    <n v="2118683.08"/>
    <s v="Kilowatt hours"/>
    <x v="0"/>
    <m/>
    <s v="2023-02-27, 16:27"/>
    <s v="2023-07-20, 00:40"/>
    <n v="2021"/>
    <s v="electricity__t+d__wtt"/>
    <s v="Electricity T&amp;D WTT"/>
    <s v="t+d_wtt"/>
    <b v="0"/>
    <s v="ELECTRICITY; UNITED STATES - RFCW; T&amp;D WTT Estimated"/>
    <x v="1"/>
    <x v="1"/>
    <s v="Americas"/>
    <s v="Northern America"/>
    <s v="US"/>
    <s v="RFCW"/>
    <n v="1"/>
    <s v="CO2E MKT"/>
    <n v="13828.864519999999"/>
    <n v="6.5271039999999997E-3"/>
    <s v="KWH"/>
    <n v="1"/>
    <n v="2118683.08"/>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  to estimate the T&amp;D WTT factor."/>
    <n v="2021"/>
    <n v="2019"/>
    <n v="0"/>
    <n v="13.82886452"/>
    <x v="11"/>
    <s v="Office"/>
  </r>
  <r>
    <n v="4947"/>
    <s v="Top of Hierarchy &gt; North America &gt; Vantage_Deerfield"/>
    <x v="0"/>
    <x v="1"/>
    <d v="2021-01-01T00:00:00"/>
    <d v="2021-12-31T00:00:00"/>
    <x v="0"/>
    <d v="2021-01-01T00:00:00"/>
    <d v="2021-12-31T00:00:00"/>
    <s v="Electricity (non-renewable)"/>
    <n v="2118683.08"/>
    <s v="Kilowatt hours"/>
    <x v="0"/>
    <m/>
    <s v="2023-02-27, 16:27"/>
    <s v="2023-07-20, 00:40"/>
    <n v="2021"/>
    <s v="electricity__wtt"/>
    <s v="Electricity WTT"/>
    <s v="wtt"/>
    <b v="0"/>
    <s v="ELECTRICITY; UNITED STATES - RFCW; WTT Estimated"/>
    <x v="1"/>
    <x v="1"/>
    <s v="Americas"/>
    <s v="Northern America"/>
    <s v="US"/>
    <s v="RFCW"/>
    <n v="0"/>
    <s v="CH4"/>
    <n v="628.33584010000004"/>
    <n v="2.96569E-4"/>
    <s v="KWH"/>
    <n v="1"/>
    <n v="2118683.08"/>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RFCW, USEPAto estimate the WTT factor."/>
    <n v="2021"/>
    <n v="2019"/>
    <n v="0"/>
    <n v="0"/>
    <x v="11"/>
    <s v="Office"/>
  </r>
  <r>
    <n v="4947"/>
    <s v="Top of Hierarchy &gt; North America &gt; Vantage_Deerfield"/>
    <x v="0"/>
    <x v="1"/>
    <d v="2021-01-01T00:00:00"/>
    <d v="2021-12-31T00:00:00"/>
    <x v="0"/>
    <d v="2021-01-01T00:00:00"/>
    <d v="2021-12-31T00:00:00"/>
    <s v="Electricity (non-renewable)"/>
    <n v="2118683.08"/>
    <s v="Kilowatt hours"/>
    <x v="0"/>
    <m/>
    <s v="2023-02-27, 16:27"/>
    <s v="2023-07-20, 00:40"/>
    <n v="2021"/>
    <s v="electricity__wtt"/>
    <s v="Electricity WTT"/>
    <s v="wtt"/>
    <b v="0"/>
    <s v="ELECTRICITY; UNITED STATES - RFCW; WTT Estimated"/>
    <x v="1"/>
    <x v="1"/>
    <s v="Americas"/>
    <s v="Northern America"/>
    <s v="US"/>
    <s v="RFCW"/>
    <n v="0"/>
    <s v="CO2"/>
    <n v="271054.94199999998"/>
    <n v="0.12793557699999999"/>
    <s v="KWH"/>
    <n v="1"/>
    <n v="2118683.08"/>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RFCW, USEPAto estimate the WTT factor."/>
    <n v="2021"/>
    <n v="2019"/>
    <n v="0"/>
    <n v="0"/>
    <x v="11"/>
    <s v="Office"/>
  </r>
  <r>
    <n v="4947"/>
    <s v="Top of Hierarchy &gt; North America &gt; Vantage_Deerfield"/>
    <x v="0"/>
    <x v="1"/>
    <d v="2021-01-01T00:00:00"/>
    <d v="2021-12-31T00:00:00"/>
    <x v="0"/>
    <d v="2021-01-01T00:00:00"/>
    <d v="2021-12-31T00:00:00"/>
    <s v="Electricity (non-renewable)"/>
    <n v="2118683.08"/>
    <s v="Kilowatt hours"/>
    <x v="0"/>
    <m/>
    <s v="2023-02-27, 16:27"/>
    <s v="2023-07-20, 00:40"/>
    <n v="2021"/>
    <s v="electricity__wtt"/>
    <s v="Electricity WTT"/>
    <s v="wtt"/>
    <b v="0"/>
    <s v="ELECTRICITY; UNITED STATES - RFCW; WTT Estimated"/>
    <x v="1"/>
    <x v="1"/>
    <s v="Americas"/>
    <s v="Northern America"/>
    <s v="US"/>
    <s v="RFCW"/>
    <n v="0"/>
    <s v="CO2E"/>
    <n v="272742.4363"/>
    <n v="0.12873205900000001"/>
    <s v="KWH"/>
    <n v="1"/>
    <n v="2118683.08"/>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RFCW, USEPAto estimate the WTT factor."/>
    <n v="2021"/>
    <n v="2019"/>
    <n v="272.74243630000001"/>
    <n v="0"/>
    <x v="11"/>
    <s v="Office"/>
  </r>
  <r>
    <n v="4947"/>
    <s v="Top of Hierarchy &gt; North America &gt; Vantage_Deerfield"/>
    <x v="0"/>
    <x v="1"/>
    <d v="2021-01-01T00:00:00"/>
    <d v="2021-12-31T00:00:00"/>
    <x v="0"/>
    <d v="2021-01-01T00:00:00"/>
    <d v="2021-12-31T00:00:00"/>
    <s v="Electricity (non-renewable)"/>
    <n v="2118683.08"/>
    <s v="Kilowatt hours"/>
    <x v="0"/>
    <m/>
    <s v="2023-02-27, 16:27"/>
    <s v="2023-07-20, 00:40"/>
    <n v="2021"/>
    <s v="electricity__wtt"/>
    <s v="Electricity WTT"/>
    <s v="wtt"/>
    <b v="0"/>
    <s v="ELECTRICITY; UNITED STATES - RFCW; WTT Estimated"/>
    <x v="1"/>
    <x v="1"/>
    <s v="Americas"/>
    <s v="Northern America"/>
    <s v="US"/>
    <s v="RFCW"/>
    <n v="0"/>
    <s v="N2O"/>
    <n v="1059.1584339999999"/>
    <n v="4.9991399999999996E-4"/>
    <s v="KWH"/>
    <n v="1"/>
    <n v="2118683.08"/>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RFCW, USEPAto estimate the WTT factor."/>
    <n v="2021"/>
    <n v="2019"/>
    <n v="0"/>
    <n v="0"/>
    <x v="11"/>
    <s v="Office"/>
  </r>
  <r>
    <n v="4947"/>
    <s v="Top of Hierarchy &gt; North America &gt; Vantage_Deerfield"/>
    <x v="0"/>
    <x v="1"/>
    <d v="2021-01-01T00:00:00"/>
    <d v="2021-12-31T00:00:00"/>
    <x v="0"/>
    <d v="2021-01-01T00:00:00"/>
    <d v="2021-12-31T00:00:00"/>
    <s v="Electricity (non-renewable)"/>
    <n v="2118683.08"/>
    <s v="Kilowatt hours"/>
    <x v="0"/>
    <m/>
    <s v="2023-02-27, 16:27"/>
    <s v="2023-07-20, 00:40"/>
    <n v="2021"/>
    <s v="electricity__wtt"/>
    <s v="Electricity WTT"/>
    <s v="wtt"/>
    <b v="0"/>
    <s v="ELECTRICITY; UNITED STATES - RFCW; WTT Estimated"/>
    <x v="1"/>
    <x v="1"/>
    <s v="Americas"/>
    <s v="Northern America"/>
    <s v="US"/>
    <s v="RFCW"/>
    <n v="1"/>
    <s v="CO2E MKT"/>
    <n v="271154.20640000002"/>
    <n v="0.12798242900000001"/>
    <s v="KWH"/>
    <n v="1"/>
    <n v="2118683.08"/>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RFCW, Green-eto estimate the WTT factor."/>
    <n v="2021"/>
    <n v="2019"/>
    <n v="0"/>
    <n v="271.15420640000002"/>
    <x v="11"/>
    <s v="Office"/>
  </r>
  <r>
    <n v="4947"/>
    <s v="Top of Hierarchy &gt; North America &gt; Vantage_Deerfield"/>
    <x v="0"/>
    <x v="1"/>
    <d v="2021-01-01T00:00:00"/>
    <d v="2021-12-31T00:00:00"/>
    <x v="0"/>
    <d v="2021-01-01T00:00:00"/>
    <d v="2021-12-31T00:00:00"/>
    <s v="Electricity (non-renewable)"/>
    <n v="2118683.08"/>
    <s v="Kilowatt hours"/>
    <x v="0"/>
    <m/>
    <s v="2023-02-27, 16:27"/>
    <s v="2023-07-20, 00:40"/>
    <n v="2021"/>
    <s v="electricity__t+d"/>
    <s v="Electricity T&amp;D"/>
    <s v="t+d"/>
    <b v="0"/>
    <s v="ELECTRICITY; TRANSMISSION AND DISTRIBUTION; UNITED STATES - RFCW"/>
    <x v="1"/>
    <x v="1"/>
    <s v="Americas"/>
    <s v="Northern America"/>
    <s v="US"/>
    <s v="RFCW"/>
    <n v="0"/>
    <s v="CO2E"/>
    <n v="52654.804089999998"/>
    <n v="2.4852610000000001E-2"/>
    <s v="KWH"/>
    <n v="1"/>
    <n v="2118683.08"/>
    <s v="AR4"/>
    <s v="USEPA"/>
    <s v="USEPA (2021)"/>
    <n v="2021"/>
    <n v="2019"/>
    <n v="52.654804089999999"/>
    <n v="0"/>
    <x v="11"/>
    <s v="Office"/>
  </r>
  <r>
    <n v="4947"/>
    <s v="Top of Hierarchy &gt; North America &gt; Vantage_Deerfield"/>
    <x v="0"/>
    <x v="1"/>
    <d v="2021-01-01T00:00:00"/>
    <d v="2021-12-31T00:00:00"/>
    <x v="0"/>
    <d v="2021-01-01T00:00:00"/>
    <d v="2021-12-31T00:00:00"/>
    <s v="Electricity (non-renewable)"/>
    <n v="2118683.08"/>
    <s v="Kilowatt hours"/>
    <x v="0"/>
    <m/>
    <s v="2023-02-27, 16:27"/>
    <s v="2023-07-20, 00:40"/>
    <n v="2021"/>
    <s v="electricity__t+d"/>
    <s v="Electricity T&amp;D"/>
    <s v="t+d"/>
    <b v="0"/>
    <s v="ELECTRICITY; UNITED STATES - RFCW; T&amp;D Estimated"/>
    <x v="1"/>
    <x v="1"/>
    <s v="Americas"/>
    <s v="Northern America"/>
    <s v="US"/>
    <s v="RFCW"/>
    <n v="1"/>
    <s v="CO2E MKT"/>
    <n v="52348.185380000003"/>
    <n v="2.4707889E-2"/>
    <s v="KWH"/>
    <n v="1"/>
    <n v="2118683.08"/>
    <s v="AR4"/>
    <s v="Anthesis"/>
    <s v="The median T&amp;D to generation factor ratio of all countries within the region Northern America was taken to be ELECTRICITY; UNITED STATES - SRSO, USEPA to ELECTRICITY; TRANSMISSION AND DISTRIBUTION; UNITED STATES - SRSO, USEPA: 0.051. This was applied to the base factor ELECTRICITY; UNITED STATES - RFCW, Green-eto estimate the T&amp;D factor."/>
    <n v="2021"/>
    <n v="2019"/>
    <n v="0"/>
    <n v="52.348185380000004"/>
    <x v="11"/>
    <s v="Office"/>
  </r>
  <r>
    <n v="4974"/>
    <s v="Top of Hierarchy &gt; North America &gt; Vantage_Deerfield"/>
    <x v="0"/>
    <x v="1"/>
    <d v="2021-01-01T00:00:00"/>
    <d v="2021-12-31T00:00:00"/>
    <x v="3"/>
    <d v="2021-01-01T00:00:00"/>
    <d v="2021-12-31T00:00:00"/>
    <s v="Natural gas"/>
    <n v="103326000"/>
    <s v="British Thermal Units"/>
    <x v="0"/>
    <m/>
    <s v="2023-02-27, 16:27"/>
    <s v="2023-07-20, 00:40"/>
    <n v="2021"/>
    <s v="natural_gas"/>
    <s v="Natural Gas"/>
    <s v="model"/>
    <b v="0"/>
    <s v="NATURAL GAS, NATURAL GAS"/>
    <x v="2"/>
    <x v="0"/>
    <s v="Americas"/>
    <s v="Northern America"/>
    <s v="US"/>
    <m/>
    <n v="0"/>
    <s v="CH4"/>
    <n v="2.5831499999999998"/>
    <n v="2.5000000000000001E-2"/>
    <s v="MMBTU"/>
    <n v="9.9999999999999995E-7"/>
    <n v="103.32599999999999"/>
    <s v="AR4"/>
    <s v="USEPA"/>
    <s v="USEPA (2021)"/>
    <n v="2021"/>
    <n v="2021"/>
    <n v="0"/>
    <n v="0"/>
    <x v="11"/>
    <s v="Office"/>
  </r>
  <r>
    <n v="4974"/>
    <s v="Top of Hierarchy &gt; North America &gt; Vantage_Deerfield"/>
    <x v="0"/>
    <x v="1"/>
    <d v="2021-01-01T00:00:00"/>
    <d v="2021-12-31T00:00:00"/>
    <x v="3"/>
    <d v="2021-01-01T00:00:00"/>
    <d v="2021-12-31T00:00:00"/>
    <s v="Natural gas"/>
    <n v="103326000"/>
    <s v="British Thermal Units"/>
    <x v="0"/>
    <m/>
    <s v="2023-02-27, 16:27"/>
    <s v="2023-07-20, 00:40"/>
    <n v="2021"/>
    <s v="natural_gas"/>
    <s v="Natural Gas"/>
    <s v="model"/>
    <b v="0"/>
    <s v="NATURAL GAS, NATURAL GAS"/>
    <x v="2"/>
    <x v="0"/>
    <s v="Americas"/>
    <s v="Northern America"/>
    <s v="US"/>
    <m/>
    <n v="0"/>
    <s v="CO2"/>
    <n v="5482.4775600000003"/>
    <n v="53.06"/>
    <s v="MMBTU"/>
    <n v="9.9999999999999995E-7"/>
    <n v="103.32599999999999"/>
    <s v="AR4"/>
    <s v="USEPA"/>
    <s v="USEPA Emission Factors Hub (Last Modified: March 2020)"/>
    <n v="2021"/>
    <n v="2020"/>
    <n v="0"/>
    <n v="0"/>
    <x v="11"/>
    <s v="Office"/>
  </r>
  <r>
    <n v="4974"/>
    <s v="Top of Hierarchy &gt; North America &gt; Vantage_Deerfield"/>
    <x v="0"/>
    <x v="1"/>
    <d v="2021-01-01T00:00:00"/>
    <d v="2021-12-31T00:00:00"/>
    <x v="3"/>
    <d v="2021-01-01T00:00:00"/>
    <d v="2021-12-31T00:00:00"/>
    <s v="Natural gas"/>
    <n v="103326000"/>
    <s v="British Thermal Units"/>
    <x v="0"/>
    <m/>
    <s v="2023-02-27, 16:27"/>
    <s v="2023-07-20, 00:40"/>
    <n v="2021"/>
    <s v="natural_gas"/>
    <s v="Natural Gas"/>
    <s v="model"/>
    <b v="0"/>
    <s v="NATURAL GAS, NATURAL GAS"/>
    <x v="2"/>
    <x v="0"/>
    <s v="Americas"/>
    <s v="Northern America"/>
    <s v="US"/>
    <m/>
    <n v="0"/>
    <s v="CO2E"/>
    <n v="5488.1398250000002"/>
    <n v="53.114800000000002"/>
    <s v="MMBTU"/>
    <n v="9.9999999999999995E-7"/>
    <n v="103.32599999999999"/>
    <s v="AR4"/>
    <s v="USEPA"/>
    <s v="USEPA (2021)"/>
    <n v="2021"/>
    <n v="2021"/>
    <n v="5.4881398250000002"/>
    <n v="0"/>
    <x v="11"/>
    <s v="Office"/>
  </r>
  <r>
    <n v="4974"/>
    <s v="Top of Hierarchy &gt; North America &gt; Vantage_Deerfield"/>
    <x v="0"/>
    <x v="1"/>
    <d v="2021-01-01T00:00:00"/>
    <d v="2021-12-31T00:00:00"/>
    <x v="3"/>
    <d v="2021-01-01T00:00:00"/>
    <d v="2021-12-31T00:00:00"/>
    <s v="Natural gas"/>
    <n v="103326000"/>
    <s v="British Thermal Units"/>
    <x v="0"/>
    <m/>
    <s v="2023-02-27, 16:27"/>
    <s v="2023-07-20, 00:40"/>
    <n v="2021"/>
    <s v="natural_gas"/>
    <s v="Natural Gas"/>
    <s v="model"/>
    <b v="0"/>
    <s v="NATURAL GAS, NATURAL GAS"/>
    <x v="2"/>
    <x v="0"/>
    <s v="Americas"/>
    <s v="Northern America"/>
    <s v="US"/>
    <m/>
    <n v="0"/>
    <s v="N2O"/>
    <n v="3.0791148000000002"/>
    <n v="2.98E-2"/>
    <s v="MMBTU"/>
    <n v="9.9999999999999995E-7"/>
    <n v="103.32599999999999"/>
    <s v="AR4"/>
    <s v="USEPA"/>
    <s v="USEPA (2021)"/>
    <n v="2021"/>
    <n v="2021"/>
    <n v="0"/>
    <n v="0"/>
    <x v="11"/>
    <s v="Office"/>
  </r>
  <r>
    <n v="4974"/>
    <s v="Top of Hierarchy &gt; North America &gt; Vantage_Deerfield"/>
    <x v="0"/>
    <x v="1"/>
    <d v="2021-01-01T00:00:00"/>
    <d v="2021-12-31T00:00:00"/>
    <x v="3"/>
    <d v="2021-01-01T00:00:00"/>
    <d v="2021-12-31T00:00:00"/>
    <s v="Natural gas"/>
    <n v="103326000"/>
    <s v="British Thermal Units"/>
    <x v="0"/>
    <m/>
    <s v="2023-02-27, 16:27"/>
    <s v="2023-07-20, 00:40"/>
    <n v="2021"/>
    <s v="natural_gas"/>
    <s v="Natural Gas"/>
    <s v="model"/>
    <b v="0"/>
    <s v="NATURAL GAS, NATURAL GAS"/>
    <x v="2"/>
    <x v="0"/>
    <s v="Americas"/>
    <s v="Northern America"/>
    <s v="US"/>
    <m/>
    <n v="1"/>
    <s v="CH4"/>
    <n v="2.5831499999999998"/>
    <n v="2.5000000000000001E-2"/>
    <s v="MMBTU"/>
    <n v="9.9999999999999995E-7"/>
    <n v="103.32599999999999"/>
    <s v="AR4"/>
    <s v="USEPA"/>
    <s v="USEPA (2021)"/>
    <n v="2021"/>
    <n v="2021"/>
    <n v="0"/>
    <n v="0"/>
    <x v="11"/>
    <s v="Office"/>
  </r>
  <r>
    <n v="4974"/>
    <s v="Top of Hierarchy &gt; North America &gt; Vantage_Deerfield"/>
    <x v="0"/>
    <x v="1"/>
    <d v="2021-01-01T00:00:00"/>
    <d v="2021-12-31T00:00:00"/>
    <x v="3"/>
    <d v="2021-01-01T00:00:00"/>
    <d v="2021-12-31T00:00:00"/>
    <s v="Natural gas"/>
    <n v="103326000"/>
    <s v="British Thermal Units"/>
    <x v="0"/>
    <m/>
    <s v="2023-02-27, 16:27"/>
    <s v="2023-07-20, 00:40"/>
    <n v="2021"/>
    <s v="natural_gas"/>
    <s v="Natural Gas"/>
    <s v="model"/>
    <b v="0"/>
    <s v="NATURAL GAS, NATURAL GAS"/>
    <x v="2"/>
    <x v="0"/>
    <s v="Americas"/>
    <s v="Northern America"/>
    <s v="US"/>
    <m/>
    <n v="1"/>
    <s v="CO2"/>
    <n v="5482.4775600000003"/>
    <n v="53.06"/>
    <s v="MMBTU"/>
    <n v="9.9999999999999995E-7"/>
    <n v="103.32599999999999"/>
    <s v="AR4"/>
    <s v="USEPA"/>
    <s v="USEPA Emission Factors Hub (Last Modified: March 2020)"/>
    <n v="2021"/>
    <n v="2020"/>
    <n v="0"/>
    <n v="0"/>
    <x v="11"/>
    <s v="Office"/>
  </r>
  <r>
    <n v="4974"/>
    <s v="Top of Hierarchy &gt; North America &gt; Vantage_Deerfield"/>
    <x v="0"/>
    <x v="1"/>
    <d v="2021-01-01T00:00:00"/>
    <d v="2021-12-31T00:00:00"/>
    <x v="3"/>
    <d v="2021-01-01T00:00:00"/>
    <d v="2021-12-31T00:00:00"/>
    <s v="Natural gas"/>
    <n v="103326000"/>
    <s v="British Thermal Units"/>
    <x v="0"/>
    <m/>
    <s v="2023-02-27, 16:27"/>
    <s v="2023-07-20, 00:40"/>
    <n v="2021"/>
    <s v="natural_gas"/>
    <s v="Natural Gas"/>
    <s v="model"/>
    <b v="0"/>
    <s v="NATURAL GAS, NATURAL GAS"/>
    <x v="2"/>
    <x v="0"/>
    <s v="Americas"/>
    <s v="Northern America"/>
    <s v="US"/>
    <m/>
    <n v="1"/>
    <s v="CO2E"/>
    <n v="5488.1398250000002"/>
    <n v="53.114800000000002"/>
    <s v="MMBTU"/>
    <n v="9.9999999999999995E-7"/>
    <n v="103.32599999999999"/>
    <s v="AR4"/>
    <s v="USEPA"/>
    <s v="USEPA (2021)"/>
    <n v="2021"/>
    <n v="2021"/>
    <n v="0"/>
    <n v="5.4881398250000002"/>
    <x v="11"/>
    <s v="Office"/>
  </r>
  <r>
    <n v="4974"/>
    <s v="Top of Hierarchy &gt; North America &gt; Vantage_Deerfield"/>
    <x v="0"/>
    <x v="1"/>
    <d v="2021-01-01T00:00:00"/>
    <d v="2021-12-31T00:00:00"/>
    <x v="3"/>
    <d v="2021-01-01T00:00:00"/>
    <d v="2021-12-31T00:00:00"/>
    <s v="Natural gas"/>
    <n v="103326000"/>
    <s v="British Thermal Units"/>
    <x v="0"/>
    <m/>
    <s v="2023-02-27, 16:27"/>
    <s v="2023-07-20, 00:40"/>
    <n v="2021"/>
    <s v="natural_gas"/>
    <s v="Natural Gas"/>
    <s v="model"/>
    <b v="0"/>
    <s v="NATURAL GAS, NATURAL GAS"/>
    <x v="2"/>
    <x v="0"/>
    <s v="Americas"/>
    <s v="Northern America"/>
    <s v="US"/>
    <m/>
    <n v="1"/>
    <s v="N2O"/>
    <n v="3.0791148000000002"/>
    <n v="2.98E-2"/>
    <s v="MMBTU"/>
    <n v="9.9999999999999995E-7"/>
    <n v="103.32599999999999"/>
    <s v="AR4"/>
    <s v="USEPA"/>
    <s v="USEPA (2021)"/>
    <n v="2021"/>
    <n v="2021"/>
    <n v="0"/>
    <n v="0"/>
    <x v="11"/>
    <s v="Office"/>
  </r>
  <r>
    <n v="4974"/>
    <s v="Top of Hierarchy &gt; North America &gt; Vantage_Deerfield"/>
    <x v="0"/>
    <x v="1"/>
    <d v="2021-01-01T00:00:00"/>
    <d v="2021-12-31T00:00:00"/>
    <x v="3"/>
    <d v="2021-01-01T00:00:00"/>
    <d v="2021-12-31T00:00:00"/>
    <s v="Natural gas"/>
    <n v="103326000"/>
    <s v="British Thermal Units"/>
    <x v="0"/>
    <m/>
    <s v="2023-02-27, 16:27"/>
    <s v="2023-07-20, 00:40"/>
    <n v="2021"/>
    <s v="natural_gas__wtt"/>
    <s v="Natural Gas WTT"/>
    <s v="wtt"/>
    <b v="0"/>
    <s v="WTT- FUELS; WTT- GASEOUS FUELS; NATURAL GAS"/>
    <x v="1"/>
    <x v="1"/>
    <m/>
    <m/>
    <m/>
    <m/>
    <n v="0"/>
    <s v="CO2E"/>
    <n v="949.33288819999996"/>
    <n v="3.1350000000000003E-2"/>
    <s v="KWH (GROSS CV)"/>
    <n v="2.9306999999999998E-4"/>
    <n v="30281.750820000001"/>
    <s v="AR4"/>
    <s v="Defra"/>
    <s v="Defra (2021)"/>
    <n v="2021"/>
    <n v="2019"/>
    <n v="0.94933288819999995"/>
    <n v="0"/>
    <x v="11"/>
    <s v="Office"/>
  </r>
  <r>
    <n v="4974"/>
    <s v="Top of Hierarchy &gt; North America &gt; Vantage_Deerfield"/>
    <x v="0"/>
    <x v="1"/>
    <d v="2021-01-01T00:00:00"/>
    <d v="2021-12-31T00:00:00"/>
    <x v="3"/>
    <d v="2021-01-01T00:00:00"/>
    <d v="2021-12-31T00:00:00"/>
    <s v="Natural gas"/>
    <n v="103326000"/>
    <s v="British Thermal Units"/>
    <x v="0"/>
    <m/>
    <s v="2023-02-27, 16:27"/>
    <s v="2023-07-20, 00:40"/>
    <n v="2021"/>
    <s v="natural_gas__wtt"/>
    <s v="Natural Gas WTT"/>
    <s v="wtt"/>
    <b v="0"/>
    <s v="WTT- FUELS; WTT- GASEOUS FUELS; NATURAL GAS"/>
    <x v="1"/>
    <x v="1"/>
    <m/>
    <m/>
    <m/>
    <m/>
    <n v="1"/>
    <s v="CO2E"/>
    <n v="949.33288819999996"/>
    <n v="3.1350000000000003E-2"/>
    <s v="KWH (GROSS CV)"/>
    <n v="2.9306999999999998E-4"/>
    <n v="30281.750820000001"/>
    <s v="AR4"/>
    <s v="Defra"/>
    <s v="Defra (2021)"/>
    <n v="2021"/>
    <n v="2019"/>
    <n v="0"/>
    <n v="0.94933288819999995"/>
    <x v="11"/>
    <s v="Office"/>
  </r>
  <r>
    <n v="5007"/>
    <s v="Top of Hierarchy &gt; North America &gt; Vantage_Deerfield"/>
    <x v="0"/>
    <x v="1"/>
    <d v="2021-01-01T00:00:00"/>
    <d v="2021-12-31T00:00:00"/>
    <x v="1"/>
    <d v="2021-01-01T00:00:00"/>
    <d v="2021-12-31T00:00:00"/>
    <s v="Petrol (100% mineral petrol)"/>
    <n v="0"/>
    <s v="Kilowatt hours"/>
    <x v="1"/>
    <m/>
    <s v="2023-02-27, 16:27"/>
    <s v="2023-07-20, 00:40"/>
    <n v="2021"/>
    <s v="petrol_100p_mineral_petrol"/>
    <s v="Petrol (100% Mineral Petrol)"/>
    <s v="model"/>
    <b v="0"/>
    <s v="FUELS; LIQUID FUELS; PETROL (100% MINERAL PETROL)"/>
    <x v="2"/>
    <x v="0"/>
    <m/>
    <m/>
    <m/>
    <m/>
    <n v="0"/>
    <s v="CH4"/>
    <n v="0"/>
    <n v="7.6000000000000004E-4"/>
    <s v="KWH (GROSS CV)"/>
    <n v="1"/>
    <n v="0"/>
    <s v="AR4"/>
    <s v="Defra"/>
    <s v="Defra (2021)"/>
    <n v="2021"/>
    <n v="2019"/>
    <n v="0"/>
    <n v="0"/>
    <x v="11"/>
    <s v="Office"/>
  </r>
  <r>
    <n v="5007"/>
    <s v="Top of Hierarchy &gt; North America &gt; Vantage_Deerfield"/>
    <x v="0"/>
    <x v="1"/>
    <d v="2021-01-01T00:00:00"/>
    <d v="2021-12-31T00:00:00"/>
    <x v="1"/>
    <d v="2021-01-01T00:00:00"/>
    <d v="2021-12-31T00:00:00"/>
    <s v="Petrol (100% mineral petrol)"/>
    <n v="0"/>
    <s v="Kilowatt hours"/>
    <x v="1"/>
    <m/>
    <s v="2023-02-27, 16:27"/>
    <s v="2023-07-20, 00:40"/>
    <n v="2021"/>
    <s v="petrol_100p_mineral_petrol"/>
    <s v="Petrol (100% Mineral Petrol)"/>
    <s v="model"/>
    <b v="0"/>
    <s v="FUELS; LIQUID FUELS; PETROL (100% MINERAL PETROL)"/>
    <x v="2"/>
    <x v="0"/>
    <m/>
    <m/>
    <m/>
    <m/>
    <n v="0"/>
    <s v="CO2"/>
    <n v="0"/>
    <n v="0.24013000000000001"/>
    <s v="KWH (GROSS CV)"/>
    <n v="1"/>
    <n v="0"/>
    <s v="AR4"/>
    <s v="Defra"/>
    <s v="Defra (2021)"/>
    <n v="2021"/>
    <n v="2019"/>
    <n v="0"/>
    <n v="0"/>
    <x v="11"/>
    <s v="Office"/>
  </r>
  <r>
    <n v="5007"/>
    <s v="Top of Hierarchy &gt; North America &gt; Vantage_Deerfield"/>
    <x v="0"/>
    <x v="1"/>
    <d v="2021-01-01T00:00:00"/>
    <d v="2021-12-31T00:00:00"/>
    <x v="1"/>
    <d v="2021-01-01T00:00:00"/>
    <d v="2021-12-31T00:00:00"/>
    <s v="Petrol (100% mineral petrol)"/>
    <n v="0"/>
    <s v="Kilowatt hours"/>
    <x v="1"/>
    <m/>
    <s v="2023-02-27, 16:27"/>
    <s v="2023-07-20, 00:40"/>
    <n v="2021"/>
    <s v="petrol_100p_mineral_petrol"/>
    <s v="Petrol (100% Mineral Petrol)"/>
    <s v="model"/>
    <b v="0"/>
    <s v="FUELS; LIQUID FUELS; PETROL (100% MINERAL PETROL)"/>
    <x v="2"/>
    <x v="0"/>
    <m/>
    <m/>
    <m/>
    <m/>
    <n v="0"/>
    <s v="CO2E"/>
    <n v="0"/>
    <n v="0.24157999999999999"/>
    <s v="KWH (GROSS CV)"/>
    <n v="1"/>
    <n v="0"/>
    <s v="AR4"/>
    <s v="Defra"/>
    <s v="Defra (2021)"/>
    <n v="2021"/>
    <n v="2019"/>
    <n v="0"/>
    <n v="0"/>
    <x v="11"/>
    <s v="Office"/>
  </r>
  <r>
    <n v="5007"/>
    <s v="Top of Hierarchy &gt; North America &gt; Vantage_Deerfield"/>
    <x v="0"/>
    <x v="1"/>
    <d v="2021-01-01T00:00:00"/>
    <d v="2021-12-31T00:00:00"/>
    <x v="1"/>
    <d v="2021-01-01T00:00:00"/>
    <d v="2021-12-31T00:00:00"/>
    <s v="Petrol (100% mineral petrol)"/>
    <n v="0"/>
    <s v="Kilowatt hours"/>
    <x v="1"/>
    <m/>
    <s v="2023-02-27, 16:27"/>
    <s v="2023-07-20, 00:40"/>
    <n v="2021"/>
    <s v="petrol_100p_mineral_petrol"/>
    <s v="Petrol (100% Mineral Petrol)"/>
    <s v="model"/>
    <b v="0"/>
    <s v="FUELS; LIQUID FUELS; PETROL (100% MINERAL PETROL)"/>
    <x v="2"/>
    <x v="0"/>
    <m/>
    <m/>
    <m/>
    <m/>
    <n v="0"/>
    <s v="N2O"/>
    <n v="0"/>
    <n v="6.8999999999999997E-4"/>
    <s v="KWH (GROSS CV)"/>
    <n v="1"/>
    <n v="0"/>
    <s v="AR4"/>
    <s v="Defra"/>
    <s v="Defra (2021)"/>
    <n v="2021"/>
    <n v="2019"/>
    <n v="0"/>
    <n v="0"/>
    <x v="11"/>
    <s v="Office"/>
  </r>
  <r>
    <n v="5007"/>
    <s v="Top of Hierarchy &gt; North America &gt; Vantage_Deerfield"/>
    <x v="0"/>
    <x v="1"/>
    <d v="2021-01-01T00:00:00"/>
    <d v="2021-12-31T00:00:00"/>
    <x v="1"/>
    <d v="2021-01-01T00:00:00"/>
    <d v="2021-12-31T00:00:00"/>
    <s v="Petrol (100% mineral petrol)"/>
    <n v="0"/>
    <s v="Kilowatt hours"/>
    <x v="1"/>
    <m/>
    <s v="2023-02-27, 16:27"/>
    <s v="2023-07-20, 00:40"/>
    <n v="2021"/>
    <s v="petrol_100p_mineral_petrol"/>
    <s v="Petrol (100% Mineral Petrol)"/>
    <s v="model"/>
    <b v="0"/>
    <s v="FUELS; LIQUID FUELS; PETROL (100% MINERAL PETROL)"/>
    <x v="2"/>
    <x v="0"/>
    <m/>
    <m/>
    <m/>
    <m/>
    <n v="1"/>
    <s v="CH4"/>
    <n v="0"/>
    <n v="7.6000000000000004E-4"/>
    <s v="KWH (GROSS CV)"/>
    <n v="1"/>
    <n v="0"/>
    <s v="AR4"/>
    <s v="Defra"/>
    <s v="Defra (2021)"/>
    <n v="2021"/>
    <n v="2019"/>
    <n v="0"/>
    <n v="0"/>
    <x v="11"/>
    <s v="Office"/>
  </r>
  <r>
    <n v="5007"/>
    <s v="Top of Hierarchy &gt; North America &gt; Vantage_Deerfield"/>
    <x v="0"/>
    <x v="1"/>
    <d v="2021-01-01T00:00:00"/>
    <d v="2021-12-31T00:00:00"/>
    <x v="1"/>
    <d v="2021-01-01T00:00:00"/>
    <d v="2021-12-31T00:00:00"/>
    <s v="Petrol (100% mineral petrol)"/>
    <n v="0"/>
    <s v="Kilowatt hours"/>
    <x v="1"/>
    <m/>
    <s v="2023-02-27, 16:27"/>
    <s v="2023-07-20, 00:40"/>
    <n v="2021"/>
    <s v="petrol_100p_mineral_petrol"/>
    <s v="Petrol (100% Mineral Petrol)"/>
    <s v="model"/>
    <b v="0"/>
    <s v="FUELS; LIQUID FUELS; PETROL (100% MINERAL PETROL)"/>
    <x v="2"/>
    <x v="0"/>
    <m/>
    <m/>
    <m/>
    <m/>
    <n v="1"/>
    <s v="CO2"/>
    <n v="0"/>
    <n v="0.24013000000000001"/>
    <s v="KWH (GROSS CV)"/>
    <n v="1"/>
    <n v="0"/>
    <s v="AR4"/>
    <s v="Defra"/>
    <s v="Defra (2021)"/>
    <n v="2021"/>
    <n v="2019"/>
    <n v="0"/>
    <n v="0"/>
    <x v="11"/>
    <s v="Office"/>
  </r>
  <r>
    <n v="5007"/>
    <s v="Top of Hierarchy &gt; North America &gt; Vantage_Deerfield"/>
    <x v="0"/>
    <x v="1"/>
    <d v="2021-01-01T00:00:00"/>
    <d v="2021-12-31T00:00:00"/>
    <x v="1"/>
    <d v="2021-01-01T00:00:00"/>
    <d v="2021-12-31T00:00:00"/>
    <s v="Petrol (100% mineral petrol)"/>
    <n v="0"/>
    <s v="Kilowatt hours"/>
    <x v="1"/>
    <m/>
    <s v="2023-02-27, 16:27"/>
    <s v="2023-07-20, 00:40"/>
    <n v="2021"/>
    <s v="petrol_100p_mineral_petrol"/>
    <s v="Petrol (100% Mineral Petrol)"/>
    <s v="model"/>
    <b v="0"/>
    <s v="FUELS; LIQUID FUELS; PETROL (100% MINERAL PETROL)"/>
    <x v="2"/>
    <x v="0"/>
    <m/>
    <m/>
    <m/>
    <m/>
    <n v="1"/>
    <s v="CO2E"/>
    <n v="0"/>
    <n v="0.24157999999999999"/>
    <s v="KWH (GROSS CV)"/>
    <n v="1"/>
    <n v="0"/>
    <s v="AR4"/>
    <s v="Defra"/>
    <s v="Defra (2021)"/>
    <n v="2021"/>
    <n v="2019"/>
    <n v="0"/>
    <n v="0"/>
    <x v="11"/>
    <s v="Office"/>
  </r>
  <r>
    <n v="5007"/>
    <s v="Top of Hierarchy &gt; North America &gt; Vantage_Deerfield"/>
    <x v="0"/>
    <x v="1"/>
    <d v="2021-01-01T00:00:00"/>
    <d v="2021-12-31T00:00:00"/>
    <x v="1"/>
    <d v="2021-01-01T00:00:00"/>
    <d v="2021-12-31T00:00:00"/>
    <s v="Petrol (100% mineral petrol)"/>
    <n v="0"/>
    <s v="Kilowatt hours"/>
    <x v="1"/>
    <m/>
    <s v="2023-02-27, 16:27"/>
    <s v="2023-07-20, 00:40"/>
    <n v="2021"/>
    <s v="petrol_100p_mineral_petrol"/>
    <s v="Petrol (100% Mineral Petrol)"/>
    <s v="model"/>
    <b v="0"/>
    <s v="FUELS; LIQUID FUELS; PETROL (100% MINERAL PETROL)"/>
    <x v="2"/>
    <x v="0"/>
    <m/>
    <m/>
    <m/>
    <m/>
    <n v="1"/>
    <s v="N2O"/>
    <n v="0"/>
    <n v="6.8999999999999997E-4"/>
    <s v="KWH (GROSS CV)"/>
    <n v="1"/>
    <n v="0"/>
    <s v="AR4"/>
    <s v="Defra"/>
    <s v="Defra (2021)"/>
    <n v="2021"/>
    <n v="2019"/>
    <n v="0"/>
    <n v="0"/>
    <x v="11"/>
    <s v="Office"/>
  </r>
  <r>
    <n v="5007"/>
    <s v="Top of Hierarchy &gt; North America &gt; Vantage_Deerfield"/>
    <x v="0"/>
    <x v="1"/>
    <d v="2021-01-01T00:00:00"/>
    <d v="2021-12-31T00:00:00"/>
    <x v="1"/>
    <d v="2021-01-01T00:00:00"/>
    <d v="2021-12-31T00:00:00"/>
    <s v="Petrol (100% mineral petrol)"/>
    <n v="0"/>
    <s v="Kilowatt hours"/>
    <x v="1"/>
    <m/>
    <s v="2023-02-27, 16:27"/>
    <s v="2023-07-20, 00:40"/>
    <n v="2021"/>
    <s v="petrol_100p_mineral_petrol__wtt"/>
    <s v="Petrol (100% Mineral Petrol) WTT"/>
    <s v="wtt"/>
    <b v="0"/>
    <s v="WTT- FUELS; WTT- LIQUID FUELS; PETROL (100% MINERAL PETROL)"/>
    <x v="1"/>
    <x v="1"/>
    <m/>
    <m/>
    <m/>
    <m/>
    <n v="0"/>
    <s v="CO2E"/>
    <n v="0"/>
    <n v="6.2239999999999997E-2"/>
    <s v="KWH (GROSS CV)"/>
    <n v="1"/>
    <n v="0"/>
    <s v="AR4"/>
    <s v="Defra"/>
    <s v="Defra (2021)"/>
    <n v="2021"/>
    <n v="2019"/>
    <n v="0"/>
    <n v="0"/>
    <x v="11"/>
    <s v="Office"/>
  </r>
  <r>
    <n v="5007"/>
    <s v="Top of Hierarchy &gt; North America &gt; Vantage_Deerfield"/>
    <x v="0"/>
    <x v="1"/>
    <d v="2021-01-01T00:00:00"/>
    <d v="2021-12-31T00:00:00"/>
    <x v="1"/>
    <d v="2021-01-01T00:00:00"/>
    <d v="2021-12-31T00:00:00"/>
    <s v="Petrol (100% mineral petrol)"/>
    <n v="0"/>
    <s v="Kilowatt hours"/>
    <x v="1"/>
    <m/>
    <s v="2023-02-27, 16:27"/>
    <s v="2023-07-20, 00:40"/>
    <n v="2021"/>
    <s v="petrol_100p_mineral_petrol__wtt"/>
    <s v="Petrol (100% Mineral Petrol) WTT"/>
    <s v="wtt"/>
    <b v="0"/>
    <s v="WTT- FUELS; WTT- LIQUID FUELS; PETROL (100% MINERAL PETROL)"/>
    <x v="1"/>
    <x v="1"/>
    <m/>
    <m/>
    <m/>
    <m/>
    <n v="1"/>
    <s v="CO2E"/>
    <n v="0"/>
    <n v="6.2239999999999997E-2"/>
    <s v="KWH (GROSS CV)"/>
    <n v="1"/>
    <n v="0"/>
    <s v="AR4"/>
    <s v="Defra"/>
    <s v="Defra (2021)"/>
    <n v="2021"/>
    <n v="2019"/>
    <n v="0"/>
    <n v="0"/>
    <x v="11"/>
    <s v="Office"/>
  </r>
  <r>
    <n v="5033"/>
    <s v="Top of Hierarchy &gt; North America &gt; Vantage_Deerfield"/>
    <x v="0"/>
    <x v="1"/>
    <d v="2021-01-01T00:00:00"/>
    <d v="2021-12-31T00:00:00"/>
    <x v="4"/>
    <d v="2021-01-01T00:00:00"/>
    <d v="2021-12-31T00:00:00"/>
    <s v="HFC-134a"/>
    <n v="3.4441999999999999"/>
    <s v="kilograms"/>
    <x v="0"/>
    <m/>
    <s v="2023-02-27, 16:27"/>
    <s v="2023-07-20, 00:40"/>
    <n v="2021"/>
    <s v="hfc-134a"/>
    <s v="HFC-134A"/>
    <s v="model"/>
    <b v="0"/>
    <s v="REFRIGERANT: R-134A"/>
    <x v="2"/>
    <x v="0"/>
    <m/>
    <m/>
    <m/>
    <m/>
    <n v="0"/>
    <s v="CO2E"/>
    <n v="4925.2060000000001"/>
    <n v="1430"/>
    <s v="KG"/>
    <n v="1"/>
    <n v="3.4441999999999999"/>
    <s v="AR4"/>
    <s v="IPCC"/>
    <s v="IPCC (2021)"/>
    <n v="2021"/>
    <n v="2007"/>
    <n v="4.9252060000000002"/>
    <n v="0"/>
    <x v="11"/>
    <s v="Office"/>
  </r>
  <r>
    <n v="5033"/>
    <s v="Top of Hierarchy &gt; North America &gt; Vantage_Deerfield"/>
    <x v="0"/>
    <x v="1"/>
    <d v="2021-01-01T00:00:00"/>
    <d v="2021-12-31T00:00:00"/>
    <x v="4"/>
    <d v="2021-01-01T00:00:00"/>
    <d v="2021-12-31T00:00:00"/>
    <s v="HFC-134a"/>
    <n v="3.4441999999999999"/>
    <s v="kilograms"/>
    <x v="0"/>
    <m/>
    <s v="2023-02-27, 16:27"/>
    <s v="2023-07-20, 00:40"/>
    <n v="2021"/>
    <s v="hfc-134a"/>
    <s v="HFC-134A"/>
    <s v="model"/>
    <b v="0"/>
    <s v="REFRIGERANT: R-134A"/>
    <x v="2"/>
    <x v="0"/>
    <m/>
    <m/>
    <m/>
    <m/>
    <n v="1"/>
    <s v="CO2E"/>
    <n v="4925.2060000000001"/>
    <n v="1430"/>
    <s v="KG"/>
    <n v="1"/>
    <n v="3.4441999999999999"/>
    <s v="AR4"/>
    <s v="IPCC"/>
    <s v="IPCC (2021)"/>
    <n v="2021"/>
    <n v="2007"/>
    <n v="0"/>
    <n v="4.9252060000000002"/>
    <x v="11"/>
    <s v="Office"/>
  </r>
  <r>
    <n v="261765"/>
    <s v="Top of Hierarchy &gt; North America &gt; Vantage_Delta"/>
    <x v="5"/>
    <x v="0"/>
    <d v="2022-01-01T00:00:00"/>
    <d v="2022-12-31T00:00:00"/>
    <x v="0"/>
    <d v="2022-01-01T00:00:00"/>
    <d v="2022-12-31T00:00:00"/>
    <s v="Electricity (non-renewable)"/>
    <n v="72408"/>
    <s v="Kilowatt hours"/>
    <x v="1"/>
    <m/>
    <s v="2023-04-27, 18:46"/>
    <s v="2023-07-20, 00:40"/>
    <n v="2022"/>
    <s v="electricity"/>
    <s v="Electricity"/>
    <s v="model"/>
    <b v="0"/>
    <s v="ELECTRICITY; UNITED STATES - RMPA"/>
    <x v="0"/>
    <x v="0"/>
    <s v="Americas"/>
    <s v="Northern America"/>
    <s v="US"/>
    <s v="RMPA"/>
    <n v="0"/>
    <s v="CH4"/>
    <n v="82.930383730000003"/>
    <n v="1.1453209999999999E-3"/>
    <s v="KWH"/>
    <n v="1"/>
    <n v="72408"/>
    <s v="AR4"/>
    <s v="USEPA"/>
    <s v="USEPA (2022)"/>
    <n v="2022"/>
    <n v="2020"/>
    <n v="0"/>
    <n v="0"/>
    <x v="12"/>
    <s v="Factory"/>
  </r>
  <r>
    <n v="261765"/>
    <s v="Top of Hierarchy &gt; North America &gt; Vantage_Delta"/>
    <x v="5"/>
    <x v="0"/>
    <d v="2022-01-01T00:00:00"/>
    <d v="2022-12-31T00:00:00"/>
    <x v="0"/>
    <d v="2022-01-01T00:00:00"/>
    <d v="2022-12-31T00:00:00"/>
    <s v="Electricity (non-renewable)"/>
    <n v="72408"/>
    <s v="Kilowatt hours"/>
    <x v="1"/>
    <m/>
    <s v="2023-04-27, 18:46"/>
    <s v="2023-07-20, 00:40"/>
    <n v="2022"/>
    <s v="electricity"/>
    <s v="Electricity"/>
    <s v="model"/>
    <b v="0"/>
    <s v="ELECTRICITY; UNITED STATES - RMPA"/>
    <x v="0"/>
    <x v="0"/>
    <s v="Americas"/>
    <s v="Northern America"/>
    <s v="US"/>
    <s v="RMPA"/>
    <n v="0"/>
    <s v="CO2"/>
    <n v="37599.519289999997"/>
    <n v="0.51927299900000001"/>
    <s v="KWH"/>
    <n v="1"/>
    <n v="72408"/>
    <s v="AR4"/>
    <s v="USEPA"/>
    <s v="USEPA (2022)"/>
    <n v="2022"/>
    <n v="2020"/>
    <n v="0"/>
    <n v="0"/>
    <x v="12"/>
    <s v="Factory"/>
  </r>
  <r>
    <n v="261765"/>
    <s v="Top of Hierarchy &gt; North America &gt; Vantage_Delta"/>
    <x v="5"/>
    <x v="0"/>
    <d v="2022-01-01T00:00:00"/>
    <d v="2022-12-31T00:00:00"/>
    <x v="0"/>
    <d v="2022-01-01T00:00:00"/>
    <d v="2022-12-31T00:00:00"/>
    <s v="Electricity (non-renewable)"/>
    <n v="72408"/>
    <s v="Kilowatt hours"/>
    <x v="1"/>
    <m/>
    <s v="2023-04-27, 18:46"/>
    <s v="2023-07-20, 00:40"/>
    <n v="2022"/>
    <s v="electricity"/>
    <s v="Electricity"/>
    <s v="model"/>
    <b v="0"/>
    <s v="ELECTRICITY; UNITED STATES - RMPA"/>
    <x v="0"/>
    <x v="0"/>
    <s v="Americas"/>
    <s v="Northern America"/>
    <s v="US"/>
    <s v="RMPA"/>
    <n v="0"/>
    <s v="CO2E"/>
    <n v="37819.473660000003"/>
    <n v="0.52231070700000004"/>
    <s v="KWH"/>
    <n v="1"/>
    <n v="72408"/>
    <s v="AR4"/>
    <s v="USEPA"/>
    <s v="USEPA (2022)"/>
    <n v="2022"/>
    <n v="2020"/>
    <n v="37.81947366"/>
    <n v="0"/>
    <x v="12"/>
    <s v="Factory"/>
  </r>
  <r>
    <n v="261765"/>
    <s v="Top of Hierarchy &gt; North America &gt; Vantage_Delta"/>
    <x v="5"/>
    <x v="0"/>
    <d v="2022-01-01T00:00:00"/>
    <d v="2022-12-31T00:00:00"/>
    <x v="0"/>
    <d v="2022-01-01T00:00:00"/>
    <d v="2022-12-31T00:00:00"/>
    <s v="Electricity (non-renewable)"/>
    <n v="72408"/>
    <s v="Kilowatt hours"/>
    <x v="1"/>
    <m/>
    <s v="2023-04-27, 18:46"/>
    <s v="2023-07-20, 00:40"/>
    <n v="2022"/>
    <s v="electricity"/>
    <s v="Electricity"/>
    <s v="model"/>
    <b v="0"/>
    <s v="ELECTRICITY; UNITED STATES - RMPA"/>
    <x v="0"/>
    <x v="0"/>
    <s v="Americas"/>
    <s v="Northern America"/>
    <s v="US"/>
    <s v="RMPA"/>
    <n v="0"/>
    <s v="N2O"/>
    <n v="137.02398450000001"/>
    <n v="1.8923869999999999E-3"/>
    <s v="KWH"/>
    <n v="1"/>
    <n v="72408"/>
    <s v="AR4"/>
    <s v="USEPA"/>
    <s v="USEPA (2022)"/>
    <n v="2022"/>
    <n v="2020"/>
    <n v="0"/>
    <n v="0"/>
    <x v="12"/>
    <s v="Factory"/>
  </r>
  <r>
    <n v="261765"/>
    <s v="Top of Hierarchy &gt; North America &gt; Vantage_Delta"/>
    <x v="5"/>
    <x v="0"/>
    <d v="2022-01-01T00:00:00"/>
    <d v="2022-12-31T00:00:00"/>
    <x v="0"/>
    <d v="2022-01-01T00:00:00"/>
    <d v="2022-12-31T00:00:00"/>
    <s v="Electricity (non-renewable)"/>
    <n v="72408"/>
    <s v="Kilowatt hours"/>
    <x v="1"/>
    <m/>
    <s v="2023-04-27, 18:46"/>
    <s v="2023-07-20, 00:40"/>
    <n v="2022"/>
    <s v="electricity"/>
    <s v="Electricity"/>
    <s v="model"/>
    <b v="0"/>
    <s v="ELECTRICITY; UNITED STATES - RMPA"/>
    <x v="0"/>
    <x v="0"/>
    <s v="Americas"/>
    <s v="Northern America"/>
    <s v="US"/>
    <s v="RMPA"/>
    <n v="1"/>
    <s v="CO2E MKT"/>
    <n v="38370.142119999997"/>
    <n v="0.52991578399999995"/>
    <s v="KWH"/>
    <n v="1"/>
    <n v="72408"/>
    <s v="AR4"/>
    <s v="Green-e"/>
    <s v="Green-e (2022)"/>
    <n v="2022"/>
    <n v="2020"/>
    <n v="0"/>
    <n v="38.370142119999997"/>
    <x v="12"/>
    <s v="Factory"/>
  </r>
  <r>
    <n v="261765"/>
    <s v="Top of Hierarchy &gt; North America &gt; Vantage_Delta"/>
    <x v="5"/>
    <x v="0"/>
    <d v="2022-01-01T00:00:00"/>
    <d v="2022-12-31T00:00:00"/>
    <x v="0"/>
    <d v="2022-01-01T00:00:00"/>
    <d v="2022-12-31T00:00:00"/>
    <s v="Electricity (non-renewable)"/>
    <n v="72408"/>
    <s v="Kilowatt hours"/>
    <x v="1"/>
    <m/>
    <s v="2023-04-27, 18:46"/>
    <s v="2023-07-20, 00:40"/>
    <n v="2022"/>
    <s v="electricity__t+d__wtt"/>
    <s v="Electricity T&amp;D WTT"/>
    <s v="t+d_wtt"/>
    <b v="0"/>
    <s v="ELECTRICITY T&amp;D WTT; UNITED STATES - RMPA"/>
    <x v="1"/>
    <x v="1"/>
    <s v="Americas"/>
    <s v="Northern America"/>
    <s v="US"/>
    <s v="RMPA"/>
    <n v="0"/>
    <s v="CO2E"/>
    <n v="592.20197740000003"/>
    <n v="8.1786819999999996E-3"/>
    <s v="KWH"/>
    <n v="1"/>
    <n v="72408"/>
    <s v="AR4"/>
    <s v="Anthesis"/>
    <s v="Anthesis (2022)"/>
    <n v="2022"/>
    <n v="2020"/>
    <n v="0.59220197740000002"/>
    <n v="0"/>
    <x v="12"/>
    <s v="Factory"/>
  </r>
  <r>
    <n v="261765"/>
    <s v="Top of Hierarchy &gt; North America &gt; Vantage_Delta"/>
    <x v="5"/>
    <x v="0"/>
    <d v="2022-01-01T00:00:00"/>
    <d v="2022-12-31T00:00:00"/>
    <x v="0"/>
    <d v="2022-01-01T00:00:00"/>
    <d v="2022-12-31T00:00:00"/>
    <s v="Electricity (non-renewable)"/>
    <n v="72408"/>
    <s v="Kilowatt hours"/>
    <x v="1"/>
    <m/>
    <s v="2023-04-27, 18:46"/>
    <s v="2023-07-20, 00:40"/>
    <n v="2022"/>
    <s v="electricity__t+d__wtt"/>
    <s v="Electricity T&amp;D WTT"/>
    <s v="t+d_wtt"/>
    <b v="0"/>
    <s v="ELECTRICITY; UNITED STATES - RMPA; T&amp;D WTT Estimated"/>
    <x v="1"/>
    <x v="1"/>
    <s v="Americas"/>
    <s v="Northern America"/>
    <s v="US"/>
    <s v="RMPA"/>
    <n v="1"/>
    <s v="CO2E MKT"/>
    <n v="564.12671520000004"/>
    <n v="7.7909449999999996E-3"/>
    <s v="KWH"/>
    <n v="1"/>
    <n v="72408"/>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  to estimate the T&amp;D WTT factor."/>
    <n v="2022"/>
    <n v="2019"/>
    <n v="0"/>
    <n v="0.56412671520000002"/>
    <x v="12"/>
    <s v="Factory"/>
  </r>
  <r>
    <n v="261765"/>
    <s v="Top of Hierarchy &gt; North America &gt; Vantage_Delta"/>
    <x v="5"/>
    <x v="0"/>
    <d v="2022-01-01T00:00:00"/>
    <d v="2022-12-31T00:00:00"/>
    <x v="0"/>
    <d v="2022-01-01T00:00:00"/>
    <d v="2022-12-31T00:00:00"/>
    <s v="Electricity (non-renewable)"/>
    <n v="72408"/>
    <s v="Kilowatt hours"/>
    <x v="1"/>
    <m/>
    <s v="2023-04-27, 18:46"/>
    <s v="2023-07-20, 00:40"/>
    <n v="2022"/>
    <s v="electricity__wtt"/>
    <s v="Electricity WTT"/>
    <s v="wtt"/>
    <b v="0"/>
    <s v="ELECTRICITY WTT; UNITED STATES - RMPA"/>
    <x v="1"/>
    <x v="1"/>
    <s v="Americas"/>
    <s v="Northern America"/>
    <s v="US"/>
    <s v="RMPA"/>
    <n v="0"/>
    <s v="CO2E"/>
    <n v="10581.420239999999"/>
    <n v="0.14613606600000001"/>
    <s v="KWH"/>
    <n v="1"/>
    <n v="72408"/>
    <s v="AR4"/>
    <s v="Anthesis"/>
    <s v="Anthesis (2022)"/>
    <n v="2022"/>
    <n v="2020"/>
    <n v="10.58142024"/>
    <n v="0"/>
    <x v="12"/>
    <s v="Factory"/>
  </r>
  <r>
    <n v="261765"/>
    <s v="Top of Hierarchy &gt; North America &gt; Vantage_Delta"/>
    <x v="5"/>
    <x v="0"/>
    <d v="2022-01-01T00:00:00"/>
    <d v="2022-12-31T00:00:00"/>
    <x v="0"/>
    <d v="2022-01-01T00:00:00"/>
    <d v="2022-12-31T00:00:00"/>
    <s v="Electricity (non-renewable)"/>
    <n v="72408"/>
    <s v="Kilowatt hours"/>
    <x v="1"/>
    <m/>
    <s v="2023-04-27, 18:46"/>
    <s v="2023-07-20, 00:40"/>
    <n v="2022"/>
    <s v="electricity__wtt"/>
    <s v="Electricity WTT"/>
    <s v="wtt"/>
    <b v="0"/>
    <s v="ELECTRICITY; UNITED STATES - RMPA; WTT Estimated"/>
    <x v="1"/>
    <x v="1"/>
    <s v="Americas"/>
    <s v="Northern America"/>
    <s v="US"/>
    <s v="RMPA"/>
    <n v="1"/>
    <s v="CO2E MKT"/>
    <n v="11061.308139999999"/>
    <n v="0.15276361899999999"/>
    <s v="KWH"/>
    <n v="1"/>
    <n v="72408"/>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RMPA, Green-eto estimate the WTT factor."/>
    <n v="2022"/>
    <n v="2019"/>
    <n v="0"/>
    <n v="11.06130814"/>
    <x v="12"/>
    <s v="Factory"/>
  </r>
  <r>
    <n v="261765"/>
    <s v="Top of Hierarchy &gt; North America &gt; Vantage_Delta"/>
    <x v="5"/>
    <x v="0"/>
    <d v="2022-01-01T00:00:00"/>
    <d v="2022-12-31T00:00:00"/>
    <x v="0"/>
    <d v="2022-01-01T00:00:00"/>
    <d v="2022-12-31T00:00:00"/>
    <s v="Electricity (non-renewable)"/>
    <n v="72408"/>
    <s v="Kilowatt hours"/>
    <x v="1"/>
    <m/>
    <s v="2023-04-27, 18:46"/>
    <s v="2023-07-20, 00:40"/>
    <n v="2022"/>
    <s v="electricity__t+d"/>
    <s v="Electricity T&amp;D"/>
    <s v="t+d"/>
    <b v="0"/>
    <s v="ELECTRICITY; TRANSMISSION AND DISTRIBUTION; UNITED STATES - RMPA"/>
    <x v="1"/>
    <x v="1"/>
    <s v="Americas"/>
    <s v="Northern America"/>
    <s v="US"/>
    <s v="RMPA"/>
    <n v="0"/>
    <s v="CO2E"/>
    <n v="2004.432104"/>
    <n v="2.7682466999999999E-2"/>
    <s v="KWH"/>
    <n v="1"/>
    <n v="72408"/>
    <s v="AR4"/>
    <s v="USEPA"/>
    <s v="USEPA (2022)"/>
    <n v="2022"/>
    <n v="2020"/>
    <n v="2.0044321040000002"/>
    <n v="0"/>
    <x v="12"/>
    <s v="Factory"/>
  </r>
  <r>
    <n v="261765"/>
    <s v="Top of Hierarchy &gt; North America &gt; Vantage_Delta"/>
    <x v="5"/>
    <x v="0"/>
    <d v="2022-01-01T00:00:00"/>
    <d v="2022-12-31T00:00:00"/>
    <x v="0"/>
    <d v="2022-01-01T00:00:00"/>
    <d v="2022-12-31T00:00:00"/>
    <s v="Electricity (non-renewable)"/>
    <n v="72408"/>
    <s v="Kilowatt hours"/>
    <x v="1"/>
    <m/>
    <s v="2023-04-27, 18:46"/>
    <s v="2023-07-20, 00:40"/>
    <n v="2022"/>
    <s v="electricity__t+d"/>
    <s v="Electricity T&amp;D"/>
    <s v="t+d"/>
    <b v="0"/>
    <s v="ELECTRICITY; UNITED STATES - RMPA; T&amp;D Estimated"/>
    <x v="1"/>
    <x v="1"/>
    <s v="Americas"/>
    <s v="Northern America"/>
    <s v="US"/>
    <s v="RMPA"/>
    <n v="1"/>
    <s v="CO2E MKT"/>
    <n v="2135.4616510000001"/>
    <n v="2.9492068E-2"/>
    <s v="KWH"/>
    <n v="1"/>
    <n v="72408"/>
    <s v="AR4"/>
    <s v="Anthesis"/>
    <s v="The median T&amp;D to generation factor ratio of all countries within the region Northern America was taken to be ELECTRICITY; UNITED STATES - SRSO, USEPA to ELECTRICITY; TRANSMISSION AND DISTRIBUTION; UNITED STATES - SRSO, USEPA: 0.051. This was applied to the base factor ELECTRICITY; UNITED STATES - RMPA, Green-eto estimate the T&amp;D factor."/>
    <n v="2022"/>
    <n v="2019"/>
    <n v="0"/>
    <n v="2.135461651"/>
    <x v="12"/>
    <s v="Factory"/>
  </r>
  <r>
    <n v="261769"/>
    <s v="Top of Hierarchy &gt; North America &gt; Vantage_Delta"/>
    <x v="5"/>
    <x v="0"/>
    <d v="2022-01-01T00:00:00"/>
    <d v="2022-12-31T00:00:00"/>
    <x v="3"/>
    <d v="2022-01-01T00:00:00"/>
    <d v="2022-12-31T00:00:00"/>
    <s v="Natural gas"/>
    <n v="11984"/>
    <s v="Hundred Thousand BTUs"/>
    <x v="1"/>
    <m/>
    <s v="2023-04-27, 18:53"/>
    <s v="2023-07-20, 00:40"/>
    <n v="2022"/>
    <s v="natural_gas"/>
    <s v="Natural Gas"/>
    <s v="model"/>
    <b v="0"/>
    <s v="NATURAL GAS, NATURAL GAS"/>
    <x v="2"/>
    <x v="0"/>
    <s v="Americas"/>
    <s v="Northern America"/>
    <s v="US"/>
    <m/>
    <n v="0"/>
    <s v="CH4"/>
    <n v="29.96"/>
    <n v="2.5000000000000001E-2"/>
    <s v="MMBTU"/>
    <n v="0.1"/>
    <n v="1198.4000000000001"/>
    <s v="AR4"/>
    <s v="USEPA"/>
    <s v="USEPA Emission Factors Hub (Last Modified: March 2020)"/>
    <n v="2022"/>
    <n v="2021"/>
    <n v="0"/>
    <n v="0"/>
    <x v="12"/>
    <s v="Factory"/>
  </r>
  <r>
    <n v="261769"/>
    <s v="Top of Hierarchy &gt; North America &gt; Vantage_Delta"/>
    <x v="5"/>
    <x v="0"/>
    <d v="2022-01-01T00:00:00"/>
    <d v="2022-12-31T00:00:00"/>
    <x v="3"/>
    <d v="2022-01-01T00:00:00"/>
    <d v="2022-12-31T00:00:00"/>
    <s v="Natural gas"/>
    <n v="11984"/>
    <s v="Hundred Thousand BTUs"/>
    <x v="1"/>
    <m/>
    <s v="2023-04-27, 18:53"/>
    <s v="2023-07-20, 00:40"/>
    <n v="2022"/>
    <s v="natural_gas"/>
    <s v="Natural Gas"/>
    <s v="model"/>
    <b v="0"/>
    <s v="NATURAL GAS, NATURAL GAS"/>
    <x v="2"/>
    <x v="0"/>
    <s v="Americas"/>
    <s v="Northern America"/>
    <s v="US"/>
    <m/>
    <n v="0"/>
    <s v="CO2"/>
    <n v="63587.103999999999"/>
    <n v="53.06"/>
    <s v="MMBTU"/>
    <n v="0.1"/>
    <n v="1198.4000000000001"/>
    <s v="AR4"/>
    <s v="USEPA"/>
    <s v="USEPA (2022)"/>
    <n v="2022"/>
    <n v="2022"/>
    <n v="0"/>
    <n v="0"/>
    <x v="12"/>
    <s v="Factory"/>
  </r>
  <r>
    <n v="261769"/>
    <s v="Top of Hierarchy &gt; North America &gt; Vantage_Delta"/>
    <x v="5"/>
    <x v="0"/>
    <d v="2022-01-01T00:00:00"/>
    <d v="2022-12-31T00:00:00"/>
    <x v="3"/>
    <d v="2022-01-01T00:00:00"/>
    <d v="2022-12-31T00:00:00"/>
    <s v="Natural gas"/>
    <n v="11984"/>
    <s v="Hundred Thousand BTUs"/>
    <x v="1"/>
    <m/>
    <s v="2023-04-27, 18:53"/>
    <s v="2023-07-20, 00:40"/>
    <n v="2022"/>
    <s v="natural_gas"/>
    <s v="Natural Gas"/>
    <s v="model"/>
    <b v="0"/>
    <s v="NATURAL GAS, NATURAL GAS"/>
    <x v="2"/>
    <x v="0"/>
    <s v="Americas"/>
    <s v="Northern America"/>
    <s v="US"/>
    <m/>
    <n v="0"/>
    <s v="CO2E"/>
    <n v="63652.776319999997"/>
    <n v="53.114800000000002"/>
    <s v="MMBTU"/>
    <n v="0.1"/>
    <n v="1198.4000000000001"/>
    <s v="AR4"/>
    <s v="USEPA"/>
    <s v="USEPA Emission Factors Hub (Last Modified: March 2020)"/>
    <n v="2022"/>
    <n v="2021"/>
    <n v="63.652776319999994"/>
    <n v="0"/>
    <x v="12"/>
    <s v="Factory"/>
  </r>
  <r>
    <n v="261769"/>
    <s v="Top of Hierarchy &gt; North America &gt; Vantage_Delta"/>
    <x v="5"/>
    <x v="0"/>
    <d v="2022-01-01T00:00:00"/>
    <d v="2022-12-31T00:00:00"/>
    <x v="3"/>
    <d v="2022-01-01T00:00:00"/>
    <d v="2022-12-31T00:00:00"/>
    <s v="Natural gas"/>
    <n v="11984"/>
    <s v="Hundred Thousand BTUs"/>
    <x v="1"/>
    <m/>
    <s v="2023-04-27, 18:53"/>
    <s v="2023-07-20, 00:40"/>
    <n v="2022"/>
    <s v="natural_gas"/>
    <s v="Natural Gas"/>
    <s v="model"/>
    <b v="0"/>
    <s v="NATURAL GAS, NATURAL GAS"/>
    <x v="2"/>
    <x v="0"/>
    <s v="Americas"/>
    <s v="Northern America"/>
    <s v="US"/>
    <m/>
    <n v="0"/>
    <s v="N2O"/>
    <n v="35.712319999999998"/>
    <n v="2.98E-2"/>
    <s v="MMBTU"/>
    <n v="0.1"/>
    <n v="1198.4000000000001"/>
    <s v="AR4"/>
    <s v="USEPA"/>
    <s v="USEPA (2022)"/>
    <n v="2022"/>
    <n v="2022"/>
    <n v="0"/>
    <n v="0"/>
    <x v="12"/>
    <s v="Factory"/>
  </r>
  <r>
    <n v="261769"/>
    <s v="Top of Hierarchy &gt; North America &gt; Vantage_Delta"/>
    <x v="5"/>
    <x v="0"/>
    <d v="2022-01-01T00:00:00"/>
    <d v="2022-12-31T00:00:00"/>
    <x v="3"/>
    <d v="2022-01-01T00:00:00"/>
    <d v="2022-12-31T00:00:00"/>
    <s v="Natural gas"/>
    <n v="11984"/>
    <s v="Hundred Thousand BTUs"/>
    <x v="1"/>
    <m/>
    <s v="2023-04-27, 18:53"/>
    <s v="2023-07-20, 00:40"/>
    <n v="2022"/>
    <s v="natural_gas"/>
    <s v="Natural Gas"/>
    <s v="model"/>
    <b v="0"/>
    <s v="NATURAL GAS, NATURAL GAS"/>
    <x v="2"/>
    <x v="0"/>
    <s v="Americas"/>
    <s v="Northern America"/>
    <s v="US"/>
    <m/>
    <n v="1"/>
    <s v="CH4"/>
    <n v="29.96"/>
    <n v="2.5000000000000001E-2"/>
    <s v="MMBTU"/>
    <n v="0.1"/>
    <n v="1198.4000000000001"/>
    <s v="AR4"/>
    <s v="USEPA"/>
    <s v="USEPA Emission Factors Hub (Last Modified: March 2020)"/>
    <n v="2022"/>
    <n v="2021"/>
    <n v="0"/>
    <n v="0"/>
    <x v="12"/>
    <s v="Factory"/>
  </r>
  <r>
    <n v="261769"/>
    <s v="Top of Hierarchy &gt; North America &gt; Vantage_Delta"/>
    <x v="5"/>
    <x v="0"/>
    <d v="2022-01-01T00:00:00"/>
    <d v="2022-12-31T00:00:00"/>
    <x v="3"/>
    <d v="2022-01-01T00:00:00"/>
    <d v="2022-12-31T00:00:00"/>
    <s v="Natural gas"/>
    <n v="11984"/>
    <s v="Hundred Thousand BTUs"/>
    <x v="1"/>
    <m/>
    <s v="2023-04-27, 18:53"/>
    <s v="2023-07-20, 00:40"/>
    <n v="2022"/>
    <s v="natural_gas"/>
    <s v="Natural Gas"/>
    <s v="model"/>
    <b v="0"/>
    <s v="NATURAL GAS, NATURAL GAS"/>
    <x v="2"/>
    <x v="0"/>
    <s v="Americas"/>
    <s v="Northern America"/>
    <s v="US"/>
    <m/>
    <n v="1"/>
    <s v="CO2"/>
    <n v="63587.103999999999"/>
    <n v="53.06"/>
    <s v="MMBTU"/>
    <n v="0.1"/>
    <n v="1198.4000000000001"/>
    <s v="AR4"/>
    <s v="USEPA"/>
    <s v="USEPA (2022)"/>
    <n v="2022"/>
    <n v="2022"/>
    <n v="0"/>
    <n v="0"/>
    <x v="12"/>
    <s v="Factory"/>
  </r>
  <r>
    <n v="261769"/>
    <s v="Top of Hierarchy &gt; North America &gt; Vantage_Delta"/>
    <x v="5"/>
    <x v="0"/>
    <d v="2022-01-01T00:00:00"/>
    <d v="2022-12-31T00:00:00"/>
    <x v="3"/>
    <d v="2022-01-01T00:00:00"/>
    <d v="2022-12-31T00:00:00"/>
    <s v="Natural gas"/>
    <n v="11984"/>
    <s v="Hundred Thousand BTUs"/>
    <x v="1"/>
    <m/>
    <s v="2023-04-27, 18:53"/>
    <s v="2023-07-20, 00:40"/>
    <n v="2022"/>
    <s v="natural_gas"/>
    <s v="Natural Gas"/>
    <s v="model"/>
    <b v="0"/>
    <s v="NATURAL GAS, NATURAL GAS"/>
    <x v="2"/>
    <x v="0"/>
    <s v="Americas"/>
    <s v="Northern America"/>
    <s v="US"/>
    <m/>
    <n v="1"/>
    <s v="CO2E"/>
    <n v="63652.776319999997"/>
    <n v="53.114800000000002"/>
    <s v="MMBTU"/>
    <n v="0.1"/>
    <n v="1198.4000000000001"/>
    <s v="AR4"/>
    <s v="USEPA"/>
    <s v="USEPA Emission Factors Hub (Last Modified: March 2020)"/>
    <n v="2022"/>
    <n v="2021"/>
    <n v="0"/>
    <n v="63.652776319999994"/>
    <x v="12"/>
    <s v="Factory"/>
  </r>
  <r>
    <n v="261769"/>
    <s v="Top of Hierarchy &gt; North America &gt; Vantage_Delta"/>
    <x v="5"/>
    <x v="0"/>
    <d v="2022-01-01T00:00:00"/>
    <d v="2022-12-31T00:00:00"/>
    <x v="3"/>
    <d v="2022-01-01T00:00:00"/>
    <d v="2022-12-31T00:00:00"/>
    <s v="Natural gas"/>
    <n v="11984"/>
    <s v="Hundred Thousand BTUs"/>
    <x v="1"/>
    <m/>
    <s v="2023-04-27, 18:53"/>
    <s v="2023-07-20, 00:40"/>
    <n v="2022"/>
    <s v="natural_gas"/>
    <s v="Natural Gas"/>
    <s v="model"/>
    <b v="0"/>
    <s v="NATURAL GAS, NATURAL GAS"/>
    <x v="2"/>
    <x v="0"/>
    <s v="Americas"/>
    <s v="Northern America"/>
    <s v="US"/>
    <m/>
    <n v="1"/>
    <s v="N2O"/>
    <n v="35.712319999999998"/>
    <n v="2.98E-2"/>
    <s v="MMBTU"/>
    <n v="0.1"/>
    <n v="1198.4000000000001"/>
    <s v="AR4"/>
    <s v="USEPA"/>
    <s v="USEPA (2022)"/>
    <n v="2022"/>
    <n v="2022"/>
    <n v="0"/>
    <n v="0"/>
    <x v="12"/>
    <s v="Factory"/>
  </r>
  <r>
    <n v="261769"/>
    <s v="Top of Hierarchy &gt; North America &gt; Vantage_Delta"/>
    <x v="5"/>
    <x v="0"/>
    <d v="2022-01-01T00:00:00"/>
    <d v="2022-12-31T00:00:00"/>
    <x v="3"/>
    <d v="2022-01-01T00:00:00"/>
    <d v="2022-12-31T00:00:00"/>
    <s v="Natural gas"/>
    <n v="11984"/>
    <s v="Hundred Thousand BTUs"/>
    <x v="1"/>
    <m/>
    <s v="2023-04-27, 18:53"/>
    <s v="2023-07-20, 00:40"/>
    <n v="2022"/>
    <s v="natural_gas__wtt"/>
    <s v="Natural Gas WTT"/>
    <s v="wtt"/>
    <b v="0"/>
    <s v="WTT- FUELS; GASEOUS FUELS; NATURAL GAS"/>
    <x v="1"/>
    <x v="1"/>
    <m/>
    <m/>
    <m/>
    <m/>
    <n v="0"/>
    <s v="CO2E"/>
    <n v="10920.21759"/>
    <n v="3.1099999999999999E-2"/>
    <s v="KWH (GROSS CV)"/>
    <n v="29.3001"/>
    <n v="351132.39840000001"/>
    <s v="AR4"/>
    <s v="Defra"/>
    <s v="Defra (2022)"/>
    <n v="2022"/>
    <n v="2020"/>
    <n v="10.92021759"/>
    <n v="0"/>
    <x v="12"/>
    <s v="Factory"/>
  </r>
  <r>
    <n v="261769"/>
    <s v="Top of Hierarchy &gt; North America &gt; Vantage_Delta"/>
    <x v="5"/>
    <x v="0"/>
    <d v="2022-01-01T00:00:00"/>
    <d v="2022-12-31T00:00:00"/>
    <x v="3"/>
    <d v="2022-01-01T00:00:00"/>
    <d v="2022-12-31T00:00:00"/>
    <s v="Natural gas"/>
    <n v="11984"/>
    <s v="Hundred Thousand BTUs"/>
    <x v="1"/>
    <m/>
    <s v="2023-04-27, 18:53"/>
    <s v="2023-07-20, 00:40"/>
    <n v="2022"/>
    <s v="natural_gas__wtt"/>
    <s v="Natural Gas WTT"/>
    <s v="wtt"/>
    <b v="0"/>
    <s v="WTT- FUELS; GASEOUS FUELS; NATURAL GAS"/>
    <x v="1"/>
    <x v="1"/>
    <m/>
    <m/>
    <m/>
    <m/>
    <n v="1"/>
    <s v="CO2E"/>
    <n v="10920.21759"/>
    <n v="3.1099999999999999E-2"/>
    <s v="KWH (GROSS CV)"/>
    <n v="29.3001"/>
    <n v="351132.39840000001"/>
    <s v="AR4"/>
    <s v="Defra"/>
    <s v="Defra (2022)"/>
    <n v="2022"/>
    <n v="2020"/>
    <n v="0"/>
    <n v="10.92021759"/>
    <x v="12"/>
    <s v="Factory"/>
  </r>
  <r>
    <n v="261781"/>
    <s v="Top of Hierarchy &gt; North America &gt; Vantage_Delta"/>
    <x v="5"/>
    <x v="0"/>
    <d v="2022-01-01T00:00:00"/>
    <d v="2022-12-31T00:00:00"/>
    <x v="1"/>
    <d v="2022-01-01T00:00:00"/>
    <d v="2022-12-31T00:00:00"/>
    <s v="Diesel (100% mineral diesel)"/>
    <n v="0"/>
    <s v="British Thermal Units"/>
    <x v="1"/>
    <s v="no fuel usage"/>
    <s v="2023-04-27, 19:15"/>
    <s v="2023-07-20, 00:40"/>
    <n v="2022"/>
    <s v="diesel_100p_mineral_diesel"/>
    <s v="Diesel (100% Mineral Diesel)"/>
    <s v="model"/>
    <b v="0"/>
    <s v="FUELS; LIQUID FUELS; DIESEL (100% MINERAL DIESEL)"/>
    <x v="2"/>
    <x v="0"/>
    <m/>
    <m/>
    <m/>
    <m/>
    <n v="0"/>
    <s v="CH4"/>
    <n v="0"/>
    <n v="2.0000000000000002E-5"/>
    <s v="KWH (GROSS CV)"/>
    <n v="2.9306999999999998E-4"/>
    <n v="0"/>
    <s v="AR4"/>
    <s v="Defra"/>
    <s v="Defra (2022)"/>
    <n v="2022"/>
    <n v="2020"/>
    <n v="0"/>
    <n v="0"/>
    <x v="12"/>
    <s v="Factory"/>
  </r>
  <r>
    <n v="261781"/>
    <s v="Top of Hierarchy &gt; North America &gt; Vantage_Delta"/>
    <x v="5"/>
    <x v="0"/>
    <d v="2022-01-01T00:00:00"/>
    <d v="2022-12-31T00:00:00"/>
    <x v="1"/>
    <d v="2022-01-01T00:00:00"/>
    <d v="2022-12-31T00:00:00"/>
    <s v="Diesel (100% mineral diesel)"/>
    <n v="0"/>
    <s v="British Thermal Units"/>
    <x v="1"/>
    <s v="no fuel usage"/>
    <s v="2023-04-27, 19:15"/>
    <s v="2023-07-20, 00:40"/>
    <n v="2022"/>
    <s v="diesel_100p_mineral_diesel"/>
    <s v="Diesel (100% Mineral Diesel)"/>
    <s v="model"/>
    <b v="0"/>
    <s v="FUELS; LIQUID FUELS; DIESEL (100% MINERAL DIESEL)"/>
    <x v="2"/>
    <x v="0"/>
    <m/>
    <m/>
    <m/>
    <m/>
    <n v="0"/>
    <s v="CO2"/>
    <n v="0"/>
    <n v="0.24970999999999999"/>
    <s v="KWH (GROSS CV)"/>
    <n v="2.9306999999999998E-4"/>
    <n v="0"/>
    <s v="AR4"/>
    <s v="Defra"/>
    <s v="Defra (2022)"/>
    <n v="2022"/>
    <n v="2020"/>
    <n v="0"/>
    <n v="0"/>
    <x v="12"/>
    <s v="Factory"/>
  </r>
  <r>
    <n v="261781"/>
    <s v="Top of Hierarchy &gt; North America &gt; Vantage_Delta"/>
    <x v="5"/>
    <x v="0"/>
    <d v="2022-01-01T00:00:00"/>
    <d v="2022-12-31T00:00:00"/>
    <x v="1"/>
    <d v="2022-01-01T00:00:00"/>
    <d v="2022-12-31T00:00:00"/>
    <s v="Diesel (100% mineral diesel)"/>
    <n v="0"/>
    <s v="British Thermal Units"/>
    <x v="1"/>
    <s v="no fuel usage"/>
    <s v="2023-04-27, 19:15"/>
    <s v="2023-07-20, 00:40"/>
    <n v="2022"/>
    <s v="diesel_100p_mineral_diesel"/>
    <s v="Diesel (100% Mineral Diesel)"/>
    <s v="model"/>
    <b v="0"/>
    <s v="FUELS; LIQUID FUELS; DIESEL (100% MINERAL DIESEL)"/>
    <x v="2"/>
    <x v="0"/>
    <m/>
    <m/>
    <m/>
    <m/>
    <n v="0"/>
    <s v="CO2E"/>
    <n v="0"/>
    <n v="0.25320999999999999"/>
    <s v="KWH (GROSS CV)"/>
    <n v="2.9306999999999998E-4"/>
    <n v="0"/>
    <s v="AR4"/>
    <s v="Defra"/>
    <s v="Defra (2022)"/>
    <n v="2022"/>
    <n v="2020"/>
    <n v="0"/>
    <n v="0"/>
    <x v="12"/>
    <s v="Factory"/>
  </r>
  <r>
    <n v="261781"/>
    <s v="Top of Hierarchy &gt; North America &gt; Vantage_Delta"/>
    <x v="5"/>
    <x v="0"/>
    <d v="2022-01-01T00:00:00"/>
    <d v="2022-12-31T00:00:00"/>
    <x v="1"/>
    <d v="2022-01-01T00:00:00"/>
    <d v="2022-12-31T00:00:00"/>
    <s v="Diesel (100% mineral diesel)"/>
    <n v="0"/>
    <s v="British Thermal Units"/>
    <x v="1"/>
    <s v="no fuel usage"/>
    <s v="2023-04-27, 19:15"/>
    <s v="2023-07-20, 00:40"/>
    <n v="2022"/>
    <s v="diesel_100p_mineral_diesel"/>
    <s v="Diesel (100% Mineral Diesel)"/>
    <s v="model"/>
    <b v="0"/>
    <s v="FUELS; LIQUID FUELS; DIESEL (100% MINERAL DIESEL)"/>
    <x v="2"/>
    <x v="0"/>
    <m/>
    <m/>
    <m/>
    <m/>
    <n v="0"/>
    <s v="N2O"/>
    <n v="0"/>
    <n v="3.48E-3"/>
    <s v="KWH (GROSS CV)"/>
    <n v="2.9306999999999998E-4"/>
    <n v="0"/>
    <s v="AR4"/>
    <s v="Defra"/>
    <s v="Defra (2022)"/>
    <n v="2022"/>
    <n v="2020"/>
    <n v="0"/>
    <n v="0"/>
    <x v="12"/>
    <s v="Factory"/>
  </r>
  <r>
    <n v="261781"/>
    <s v="Top of Hierarchy &gt; North America &gt; Vantage_Delta"/>
    <x v="5"/>
    <x v="0"/>
    <d v="2022-01-01T00:00:00"/>
    <d v="2022-12-31T00:00:00"/>
    <x v="1"/>
    <d v="2022-01-01T00:00:00"/>
    <d v="2022-12-31T00:00:00"/>
    <s v="Diesel (100% mineral diesel)"/>
    <n v="0"/>
    <s v="British Thermal Units"/>
    <x v="1"/>
    <s v="no fuel usage"/>
    <s v="2023-04-27, 19:15"/>
    <s v="2023-07-20, 00:40"/>
    <n v="2022"/>
    <s v="diesel_100p_mineral_diesel"/>
    <s v="Diesel (100% Mineral Diesel)"/>
    <s v="model"/>
    <b v="0"/>
    <s v="FUELS; LIQUID FUELS; DIESEL (100% MINERAL DIESEL)"/>
    <x v="2"/>
    <x v="0"/>
    <m/>
    <m/>
    <m/>
    <m/>
    <n v="1"/>
    <s v="CH4"/>
    <n v="0"/>
    <n v="2.0000000000000002E-5"/>
    <s v="KWH (GROSS CV)"/>
    <n v="2.9306999999999998E-4"/>
    <n v="0"/>
    <s v="AR4"/>
    <s v="Defra"/>
    <s v="Defra (2022)"/>
    <n v="2022"/>
    <n v="2020"/>
    <n v="0"/>
    <n v="0"/>
    <x v="12"/>
    <s v="Factory"/>
  </r>
  <r>
    <n v="261781"/>
    <s v="Top of Hierarchy &gt; North America &gt; Vantage_Delta"/>
    <x v="5"/>
    <x v="0"/>
    <d v="2022-01-01T00:00:00"/>
    <d v="2022-12-31T00:00:00"/>
    <x v="1"/>
    <d v="2022-01-01T00:00:00"/>
    <d v="2022-12-31T00:00:00"/>
    <s v="Diesel (100% mineral diesel)"/>
    <n v="0"/>
    <s v="British Thermal Units"/>
    <x v="1"/>
    <s v="no fuel usage"/>
    <s v="2023-04-27, 19:15"/>
    <s v="2023-07-20, 00:40"/>
    <n v="2022"/>
    <s v="diesel_100p_mineral_diesel"/>
    <s v="Diesel (100% Mineral Diesel)"/>
    <s v="model"/>
    <b v="0"/>
    <s v="FUELS; LIQUID FUELS; DIESEL (100% MINERAL DIESEL)"/>
    <x v="2"/>
    <x v="0"/>
    <m/>
    <m/>
    <m/>
    <m/>
    <n v="1"/>
    <s v="CO2"/>
    <n v="0"/>
    <n v="0.24970999999999999"/>
    <s v="KWH (GROSS CV)"/>
    <n v="2.9306999999999998E-4"/>
    <n v="0"/>
    <s v="AR4"/>
    <s v="Defra"/>
    <s v="Defra (2022)"/>
    <n v="2022"/>
    <n v="2020"/>
    <n v="0"/>
    <n v="0"/>
    <x v="12"/>
    <s v="Factory"/>
  </r>
  <r>
    <n v="261781"/>
    <s v="Top of Hierarchy &gt; North America &gt; Vantage_Delta"/>
    <x v="5"/>
    <x v="0"/>
    <d v="2022-01-01T00:00:00"/>
    <d v="2022-12-31T00:00:00"/>
    <x v="1"/>
    <d v="2022-01-01T00:00:00"/>
    <d v="2022-12-31T00:00:00"/>
    <s v="Diesel (100% mineral diesel)"/>
    <n v="0"/>
    <s v="British Thermal Units"/>
    <x v="1"/>
    <s v="no fuel usage"/>
    <s v="2023-04-27, 19:15"/>
    <s v="2023-07-20, 00:40"/>
    <n v="2022"/>
    <s v="diesel_100p_mineral_diesel"/>
    <s v="Diesel (100% Mineral Diesel)"/>
    <s v="model"/>
    <b v="0"/>
    <s v="FUELS; LIQUID FUELS; DIESEL (100% MINERAL DIESEL)"/>
    <x v="2"/>
    <x v="0"/>
    <m/>
    <m/>
    <m/>
    <m/>
    <n v="1"/>
    <s v="CO2E"/>
    <n v="0"/>
    <n v="0.25320999999999999"/>
    <s v="KWH (GROSS CV)"/>
    <n v="2.9306999999999998E-4"/>
    <n v="0"/>
    <s v="AR4"/>
    <s v="Defra"/>
    <s v="Defra (2022)"/>
    <n v="2022"/>
    <n v="2020"/>
    <n v="0"/>
    <n v="0"/>
    <x v="12"/>
    <s v="Factory"/>
  </r>
  <r>
    <n v="261781"/>
    <s v="Top of Hierarchy &gt; North America &gt; Vantage_Delta"/>
    <x v="5"/>
    <x v="0"/>
    <d v="2022-01-01T00:00:00"/>
    <d v="2022-12-31T00:00:00"/>
    <x v="1"/>
    <d v="2022-01-01T00:00:00"/>
    <d v="2022-12-31T00:00:00"/>
    <s v="Diesel (100% mineral diesel)"/>
    <n v="0"/>
    <s v="British Thermal Units"/>
    <x v="1"/>
    <s v="no fuel usage"/>
    <s v="2023-04-27, 19:15"/>
    <s v="2023-07-20, 00:40"/>
    <n v="2022"/>
    <s v="diesel_100p_mineral_diesel"/>
    <s v="Diesel (100% Mineral Diesel)"/>
    <s v="model"/>
    <b v="0"/>
    <s v="FUELS; LIQUID FUELS; DIESEL (100% MINERAL DIESEL)"/>
    <x v="2"/>
    <x v="0"/>
    <m/>
    <m/>
    <m/>
    <m/>
    <n v="1"/>
    <s v="N2O"/>
    <n v="0"/>
    <n v="3.48E-3"/>
    <s v="KWH (GROSS CV)"/>
    <n v="2.9306999999999998E-4"/>
    <n v="0"/>
    <s v="AR4"/>
    <s v="Defra"/>
    <s v="Defra (2022)"/>
    <n v="2022"/>
    <n v="2020"/>
    <n v="0"/>
    <n v="0"/>
    <x v="12"/>
    <s v="Factory"/>
  </r>
  <r>
    <n v="261781"/>
    <s v="Top of Hierarchy &gt; North America &gt; Vantage_Delta"/>
    <x v="5"/>
    <x v="0"/>
    <d v="2022-01-01T00:00:00"/>
    <d v="2022-12-31T00:00:00"/>
    <x v="1"/>
    <d v="2022-01-01T00:00:00"/>
    <d v="2022-12-31T00:00:00"/>
    <s v="Diesel (100% mineral diesel)"/>
    <n v="0"/>
    <s v="British Thermal Units"/>
    <x v="1"/>
    <s v="no fuel usage"/>
    <s v="2023-04-27, 19:15"/>
    <s v="2023-07-20, 00:40"/>
    <n v="2022"/>
    <s v="diesel_100p_mineral_diesel__wtt"/>
    <s v="Diesel (100% Mineral Diesel) WTT"/>
    <s v="wtt"/>
    <b v="0"/>
    <s v="WTT- FUELS; LIQUID FUELS; DIESEL (100% MINERAL DIESEL)"/>
    <x v="1"/>
    <x v="1"/>
    <m/>
    <m/>
    <m/>
    <m/>
    <n v="0"/>
    <s v="CO2E"/>
    <n v="0"/>
    <n v="5.8880000000000002E-2"/>
    <s v="KWH (GROSS CV)"/>
    <n v="2.9306999999999998E-4"/>
    <n v="0"/>
    <s v="AR4"/>
    <s v="Defra"/>
    <s v="Defra (2022)"/>
    <n v="2022"/>
    <n v="2020"/>
    <n v="0"/>
    <n v="0"/>
    <x v="12"/>
    <s v="Factory"/>
  </r>
  <r>
    <n v="261781"/>
    <s v="Top of Hierarchy &gt; North America &gt; Vantage_Delta"/>
    <x v="5"/>
    <x v="0"/>
    <d v="2022-01-01T00:00:00"/>
    <d v="2022-12-31T00:00:00"/>
    <x v="1"/>
    <d v="2022-01-01T00:00:00"/>
    <d v="2022-12-31T00:00:00"/>
    <s v="Diesel (100% mineral diesel)"/>
    <n v="0"/>
    <s v="British Thermal Units"/>
    <x v="1"/>
    <s v="no fuel usage"/>
    <s v="2023-04-27, 19:15"/>
    <s v="2023-07-20, 00:40"/>
    <n v="2022"/>
    <s v="diesel_100p_mineral_diesel__wtt"/>
    <s v="Diesel (100% Mineral Diesel) WTT"/>
    <s v="wtt"/>
    <b v="0"/>
    <s v="WTT- FUELS; LIQUID FUELS; DIESEL (100% MINERAL DIESEL)"/>
    <x v="1"/>
    <x v="1"/>
    <m/>
    <m/>
    <m/>
    <m/>
    <n v="1"/>
    <s v="CO2E"/>
    <n v="0"/>
    <n v="5.8880000000000002E-2"/>
    <s v="KWH (GROSS CV)"/>
    <n v="2.9306999999999998E-4"/>
    <n v="0"/>
    <s v="AR4"/>
    <s v="Defra"/>
    <s v="Defra (2022)"/>
    <n v="2022"/>
    <n v="2020"/>
    <n v="0"/>
    <n v="0"/>
    <x v="12"/>
    <s v="Factory"/>
  </r>
  <r>
    <n v="261783"/>
    <s v="Top of Hierarchy &gt; North America &gt; Vantage_Delta"/>
    <x v="5"/>
    <x v="0"/>
    <d v="2022-01-01T00:00:00"/>
    <d v="2022-12-31T00:00:00"/>
    <x v="4"/>
    <d v="2022-01-01T00:00:00"/>
    <d v="2022-12-31T00:00:00"/>
    <s v="HFC-32"/>
    <n v="0"/>
    <s v="kilograms"/>
    <x v="1"/>
    <m/>
    <s v="2023-04-27, 19:15"/>
    <s v="2023-07-20, 00:40"/>
    <n v="2022"/>
    <s v="hfc-32"/>
    <s v="HFC-32"/>
    <s v="model"/>
    <b v="0"/>
    <s v="REFRIGERANT: R-32"/>
    <x v="2"/>
    <x v="0"/>
    <m/>
    <m/>
    <m/>
    <m/>
    <n v="0"/>
    <s v="CO2E"/>
    <n v="0"/>
    <n v="675"/>
    <s v="KG"/>
    <n v="1"/>
    <n v="0"/>
    <s v="AR4"/>
    <s v="IPCC"/>
    <s v="IPCC (2021)"/>
    <n v="2022"/>
    <n v="2007"/>
    <n v="0"/>
    <n v="0"/>
    <x v="12"/>
    <s v="Factory"/>
  </r>
  <r>
    <n v="261783"/>
    <s v="Top of Hierarchy &gt; North America &gt; Vantage_Delta"/>
    <x v="5"/>
    <x v="0"/>
    <d v="2022-01-01T00:00:00"/>
    <d v="2022-12-31T00:00:00"/>
    <x v="4"/>
    <d v="2022-01-01T00:00:00"/>
    <d v="2022-12-31T00:00:00"/>
    <s v="HFC-32"/>
    <n v="0"/>
    <s v="kilograms"/>
    <x v="1"/>
    <m/>
    <s v="2023-04-27, 19:15"/>
    <s v="2023-07-20, 00:40"/>
    <n v="2022"/>
    <s v="hfc-32"/>
    <s v="HFC-32"/>
    <s v="model"/>
    <b v="0"/>
    <s v="REFRIGERANT: R-32"/>
    <x v="2"/>
    <x v="0"/>
    <m/>
    <m/>
    <m/>
    <m/>
    <n v="1"/>
    <s v="CO2E"/>
    <n v="0"/>
    <n v="675"/>
    <s v="KG"/>
    <n v="1"/>
    <n v="0"/>
    <s v="AR4"/>
    <s v="IPCC"/>
    <s v="IPCC (2021)"/>
    <n v="2022"/>
    <n v="2007"/>
    <n v="0"/>
    <n v="0"/>
    <x v="12"/>
    <s v="Factory"/>
  </r>
  <r>
    <n v="1234355"/>
    <s v="Top of Hierarchy &gt; North America &gt; Vantage_Delta"/>
    <x v="5"/>
    <x v="1"/>
    <d v="2021-01-01T00:00:00"/>
    <d v="2021-12-31T00:00:00"/>
    <x v="0"/>
    <d v="2021-01-01T00:00:00"/>
    <d v="2021-12-31T00:00:00"/>
    <s v="Electricity (non-renewable)"/>
    <n v="89463"/>
    <s v="Kilowatt hours"/>
    <x v="1"/>
    <m/>
    <s v="2023-07-18, 22:47"/>
    <s v="2023-07-20, 00:40"/>
    <n v="2021"/>
    <s v="electricity"/>
    <s v="Electricity"/>
    <s v="model"/>
    <b v="0"/>
    <s v="ELECTRICITY; UNITED STATES - RMPA"/>
    <x v="0"/>
    <x v="0"/>
    <s v="Americas"/>
    <s v="Northern America"/>
    <s v="US"/>
    <s v="RMPA"/>
    <n v="0"/>
    <s v="CH4"/>
    <n v="118.6957225"/>
    <n v="1.3267579999999999E-3"/>
    <s v="KWH"/>
    <n v="1"/>
    <n v="89463"/>
    <s v="AR4"/>
    <s v="USEPA"/>
    <s v="USEPA (2021)"/>
    <n v="2021"/>
    <n v="2019"/>
    <n v="0"/>
    <n v="0"/>
    <x v="12"/>
    <s v="Factory"/>
  </r>
  <r>
    <n v="1234355"/>
    <s v="Top of Hierarchy &gt; North America &gt; Vantage_Delta"/>
    <x v="5"/>
    <x v="1"/>
    <d v="2021-01-01T00:00:00"/>
    <d v="2021-12-31T00:00:00"/>
    <x v="0"/>
    <d v="2021-01-01T00:00:00"/>
    <d v="2021-12-31T00:00:00"/>
    <s v="Electricity (non-renewable)"/>
    <n v="89463"/>
    <s v="Kilowatt hours"/>
    <x v="1"/>
    <m/>
    <s v="2023-07-18, 22:47"/>
    <s v="2023-07-20, 00:40"/>
    <n v="2021"/>
    <s v="electricity"/>
    <s v="Electricity"/>
    <s v="model"/>
    <b v="0"/>
    <s v="ELECTRICITY; UNITED STATES - RMPA"/>
    <x v="0"/>
    <x v="0"/>
    <s v="Americas"/>
    <s v="Northern America"/>
    <s v="US"/>
    <s v="RMPA"/>
    <n v="0"/>
    <s v="CO2"/>
    <n v="50424.824090000002"/>
    <n v="0.56363886799999996"/>
    <s v="KWH"/>
    <n v="1"/>
    <n v="89463"/>
    <s v="AR4"/>
    <s v="USEPA"/>
    <s v="USEPA (2021)"/>
    <n v="2021"/>
    <n v="2019"/>
    <n v="0"/>
    <n v="0"/>
    <x v="12"/>
    <s v="Factory"/>
  </r>
  <r>
    <n v="1234355"/>
    <s v="Top of Hierarchy &gt; North America &gt; Vantage_Delta"/>
    <x v="5"/>
    <x v="1"/>
    <d v="2021-01-01T00:00:00"/>
    <d v="2021-12-31T00:00:00"/>
    <x v="0"/>
    <d v="2021-01-01T00:00:00"/>
    <d v="2021-12-31T00:00:00"/>
    <s v="Electricity (non-renewable)"/>
    <n v="89463"/>
    <s v="Kilowatt hours"/>
    <x v="1"/>
    <m/>
    <s v="2023-07-18, 22:47"/>
    <s v="2023-07-20, 00:40"/>
    <n v="2021"/>
    <s v="electricity"/>
    <s v="Electricity"/>
    <s v="model"/>
    <b v="0"/>
    <s v="ELECTRICITY; UNITED STATES - RMPA"/>
    <x v="0"/>
    <x v="0"/>
    <s v="Americas"/>
    <s v="Northern America"/>
    <s v="US"/>
    <s v="RMPA"/>
    <n v="0"/>
    <s v="CO2E"/>
    <n v="50749.096749999997"/>
    <n v="0.56726352499999999"/>
    <s v="KWH"/>
    <n v="1"/>
    <n v="89463"/>
    <s v="AR4"/>
    <s v="USEPA"/>
    <s v="USEPA (2021)"/>
    <n v="2021"/>
    <n v="2019"/>
    <n v="50.74909675"/>
    <n v="0"/>
    <x v="12"/>
    <s v="Factory"/>
  </r>
  <r>
    <n v="1234355"/>
    <s v="Top of Hierarchy &gt; North America &gt; Vantage_Delta"/>
    <x v="5"/>
    <x v="1"/>
    <d v="2021-01-01T00:00:00"/>
    <d v="2021-12-31T00:00:00"/>
    <x v="0"/>
    <d v="2021-01-01T00:00:00"/>
    <d v="2021-12-31T00:00:00"/>
    <s v="Electricity (non-renewable)"/>
    <n v="89463"/>
    <s v="Kilowatt hours"/>
    <x v="1"/>
    <m/>
    <s v="2023-07-18, 22:47"/>
    <s v="2023-07-20, 00:40"/>
    <n v="2021"/>
    <s v="electricity"/>
    <s v="Electricity"/>
    <s v="model"/>
    <b v="0"/>
    <s v="ELECTRICITY; UNITED STATES - RMPA"/>
    <x v="0"/>
    <x v="0"/>
    <s v="Americas"/>
    <s v="Northern America"/>
    <s v="US"/>
    <s v="RMPA"/>
    <n v="0"/>
    <s v="N2O"/>
    <n v="205.5769334"/>
    <n v="2.2978989999999999E-3"/>
    <s v="KWH"/>
    <n v="1"/>
    <n v="89463"/>
    <s v="AR4"/>
    <s v="USEPA"/>
    <s v="USEPA (2021)"/>
    <n v="2021"/>
    <n v="2019"/>
    <n v="0"/>
    <n v="0"/>
    <x v="12"/>
    <s v="Factory"/>
  </r>
  <r>
    <n v="1234355"/>
    <s v="Top of Hierarchy &gt; North America &gt; Vantage_Delta"/>
    <x v="5"/>
    <x v="1"/>
    <d v="2021-01-01T00:00:00"/>
    <d v="2021-12-31T00:00:00"/>
    <x v="0"/>
    <d v="2021-01-01T00:00:00"/>
    <d v="2021-12-31T00:00:00"/>
    <s v="Electricity (non-renewable)"/>
    <n v="89463"/>
    <s v="Kilowatt hours"/>
    <x v="1"/>
    <m/>
    <s v="2023-07-18, 22:47"/>
    <s v="2023-07-20, 00:40"/>
    <n v="2021"/>
    <s v="electricity"/>
    <s v="Electricity"/>
    <s v="model"/>
    <b v="0"/>
    <s v="ELECTRICITY; UNITED STATES - RMPA"/>
    <x v="0"/>
    <x v="0"/>
    <s v="Americas"/>
    <s v="Northern America"/>
    <s v="US"/>
    <s v="RMPA"/>
    <n v="1"/>
    <s v="CO2E MKT"/>
    <n v="51734.291530000002"/>
    <n v="0.57827584099999996"/>
    <s v="KWH"/>
    <n v="1"/>
    <n v="89463"/>
    <s v="AR4"/>
    <s v="Green-e"/>
    <s v="Green-e (2021)"/>
    <n v="2021"/>
    <n v="2019"/>
    <n v="0"/>
    <n v="51.73429153"/>
    <x v="12"/>
    <s v="Factory"/>
  </r>
  <r>
    <n v="1234355"/>
    <s v="Top of Hierarchy &gt; North America &gt; Vantage_Delta"/>
    <x v="5"/>
    <x v="1"/>
    <d v="2021-01-01T00:00:00"/>
    <d v="2021-12-31T00:00:00"/>
    <x v="0"/>
    <d v="2021-01-01T00:00:00"/>
    <d v="2021-12-31T00:00:00"/>
    <s v="Electricity (non-renewable)"/>
    <n v="89463"/>
    <s v="Kilowatt hours"/>
    <x v="1"/>
    <m/>
    <s v="2023-07-18, 22:47"/>
    <s v="2023-07-20, 00:40"/>
    <n v="2021"/>
    <s v="electricity__t+d__wtt"/>
    <s v="Electricity T&amp;D WTT"/>
    <s v="t+d_wtt"/>
    <b v="0"/>
    <s v="ELECTRICITY; UNITED STATES - RMPA; T&amp;D WTT Estimated"/>
    <x v="1"/>
    <x v="1"/>
    <s v="Americas"/>
    <s v="Northern America"/>
    <s v="US"/>
    <s v="RMPA"/>
    <n v="0"/>
    <s v="CH4"/>
    <n v="1.5991534329999999"/>
    <n v="1.7875000000000001E-5"/>
    <s v="KWH"/>
    <n v="1"/>
    <n v="89463"/>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ELECTRICITY; TRANSMISSION AND DISTRIBUTION; UNITED STATES - RMPA, USEPA to estimate the T&amp;D WTT factor."/>
    <n v="2021"/>
    <n v="2019"/>
    <n v="0"/>
    <n v="0"/>
    <x v="12"/>
    <s v="Factory"/>
  </r>
  <r>
    <n v="1234355"/>
    <s v="Top of Hierarchy &gt; North America &gt; Vantage_Delta"/>
    <x v="5"/>
    <x v="1"/>
    <d v="2021-01-01T00:00:00"/>
    <d v="2021-12-31T00:00:00"/>
    <x v="0"/>
    <d v="2021-01-01T00:00:00"/>
    <d v="2021-12-31T00:00:00"/>
    <s v="Electricity (non-renewable)"/>
    <n v="89463"/>
    <s v="Kilowatt hours"/>
    <x v="1"/>
    <m/>
    <s v="2023-07-18, 22:47"/>
    <s v="2023-07-20, 00:40"/>
    <n v="2021"/>
    <s v="electricity__t+d__wtt"/>
    <s v="Electricity T&amp;D WTT"/>
    <s v="t+d_wtt"/>
    <b v="0"/>
    <s v="ELECTRICITY; UNITED STATES - RMPA; T&amp;D WTT Estimated"/>
    <x v="1"/>
    <x v="1"/>
    <s v="Americas"/>
    <s v="Northern America"/>
    <s v="US"/>
    <s v="RMPA"/>
    <n v="0"/>
    <s v="CO2"/>
    <n v="679.35919560000002"/>
    <n v="7.5937449999999998E-3"/>
    <s v="KWH"/>
    <n v="1"/>
    <n v="89463"/>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ELECTRICITY; TRANSMISSION AND DISTRIBUTION; UNITED STATES - RMPA, USEPA to estimate the T&amp;D WTT factor."/>
    <n v="2021"/>
    <n v="2019"/>
    <n v="0"/>
    <n v="0"/>
    <x v="12"/>
    <s v="Factory"/>
  </r>
  <r>
    <n v="1234355"/>
    <s v="Top of Hierarchy &gt; North America &gt; Vantage_Delta"/>
    <x v="5"/>
    <x v="1"/>
    <d v="2021-01-01T00:00:00"/>
    <d v="2021-12-31T00:00:00"/>
    <x v="0"/>
    <d v="2021-01-01T00:00:00"/>
    <d v="2021-12-31T00:00:00"/>
    <s v="Electricity (non-renewable)"/>
    <n v="89463"/>
    <s v="Kilowatt hours"/>
    <x v="1"/>
    <m/>
    <s v="2023-07-18, 22:47"/>
    <s v="2023-07-20, 00:40"/>
    <n v="2021"/>
    <s v="electricity__t+d__wtt"/>
    <s v="Electricity T&amp;D WTT"/>
    <s v="t+d_wtt"/>
    <b v="0"/>
    <s v="ELECTRICITY; UNITED STATES - RMPA; T&amp;D WTT Estimated"/>
    <x v="1"/>
    <x v="1"/>
    <s v="Americas"/>
    <s v="Northern America"/>
    <s v="US"/>
    <s v="RMPA"/>
    <n v="0"/>
    <s v="CO2E"/>
    <n v="683.72802809999996"/>
    <n v="7.642579E-3"/>
    <s v="KWH"/>
    <n v="1"/>
    <n v="89463"/>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ELECTRICITY; TRANSMISSION AND DISTRIBUTION; UNITED STATES - RMPA, USEPA to estimate the T&amp;D WTT factor."/>
    <n v="2021"/>
    <n v="2019"/>
    <n v="0.6837280281"/>
    <n v="0"/>
    <x v="12"/>
    <s v="Factory"/>
  </r>
  <r>
    <n v="1234355"/>
    <s v="Top of Hierarchy &gt; North America &gt; Vantage_Delta"/>
    <x v="5"/>
    <x v="1"/>
    <d v="2021-01-01T00:00:00"/>
    <d v="2021-12-31T00:00:00"/>
    <x v="0"/>
    <d v="2021-01-01T00:00:00"/>
    <d v="2021-12-31T00:00:00"/>
    <s v="Electricity (non-renewable)"/>
    <n v="89463"/>
    <s v="Kilowatt hours"/>
    <x v="1"/>
    <m/>
    <s v="2023-07-18, 22:47"/>
    <s v="2023-07-20, 00:40"/>
    <n v="2021"/>
    <s v="electricity__t+d__wtt"/>
    <s v="Electricity T&amp;D WTT"/>
    <s v="t+d_wtt"/>
    <b v="0"/>
    <s v="ELECTRICITY; UNITED STATES - RMPA; T&amp;D WTT Estimated"/>
    <x v="1"/>
    <x v="1"/>
    <s v="Americas"/>
    <s v="Northern America"/>
    <s v="US"/>
    <s v="RMPA"/>
    <n v="0"/>
    <s v="N2O"/>
    <n v="2.769679075"/>
    <n v="3.0958899999999999E-5"/>
    <s v="KWH"/>
    <n v="1"/>
    <n v="89463"/>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ELECTRICITY; TRANSMISSION AND DISTRIBUTION; UNITED STATES - RMPA, USEPA to estimate the T&amp;D WTT factor."/>
    <n v="2021"/>
    <n v="2019"/>
    <n v="0"/>
    <n v="0"/>
    <x v="12"/>
    <s v="Factory"/>
  </r>
  <r>
    <n v="1234355"/>
    <s v="Top of Hierarchy &gt; North America &gt; Vantage_Delta"/>
    <x v="5"/>
    <x v="1"/>
    <d v="2021-01-01T00:00:00"/>
    <d v="2021-12-31T00:00:00"/>
    <x v="0"/>
    <d v="2021-01-01T00:00:00"/>
    <d v="2021-12-31T00:00:00"/>
    <s v="Electricity (non-renewable)"/>
    <n v="89463"/>
    <s v="Kilowatt hours"/>
    <x v="1"/>
    <m/>
    <s v="2023-07-18, 22:47"/>
    <s v="2023-07-20, 00:40"/>
    <n v="2021"/>
    <s v="electricity__t+d__wtt"/>
    <s v="Electricity T&amp;D WTT"/>
    <s v="t+d_wtt"/>
    <b v="0"/>
    <s v="ELECTRICITY; UNITED STATES - RMPA; T&amp;D WTT Estimated"/>
    <x v="1"/>
    <x v="1"/>
    <s v="Americas"/>
    <s v="Northern America"/>
    <s v="US"/>
    <s v="RMPA"/>
    <n v="1"/>
    <s v="CO2E MKT"/>
    <n v="697.00127499999996"/>
    <n v="7.7909449999999996E-3"/>
    <s v="KWH"/>
    <n v="1"/>
    <n v="89463"/>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  to estimate the T&amp;D WTT factor."/>
    <n v="2021"/>
    <n v="2019"/>
    <n v="0"/>
    <n v="0.69700127499999998"/>
    <x v="12"/>
    <s v="Factory"/>
  </r>
  <r>
    <n v="1234355"/>
    <s v="Top of Hierarchy &gt; North America &gt; Vantage_Delta"/>
    <x v="5"/>
    <x v="1"/>
    <d v="2021-01-01T00:00:00"/>
    <d v="2021-12-31T00:00:00"/>
    <x v="0"/>
    <d v="2021-01-01T00:00:00"/>
    <d v="2021-12-31T00:00:00"/>
    <s v="Electricity (non-renewable)"/>
    <n v="89463"/>
    <s v="Kilowatt hours"/>
    <x v="1"/>
    <m/>
    <s v="2023-07-18, 22:47"/>
    <s v="2023-07-20, 00:40"/>
    <n v="2021"/>
    <s v="electricity__wtt"/>
    <s v="Electricity WTT"/>
    <s v="wtt"/>
    <b v="0"/>
    <s v="ELECTRICITY; UNITED STATES - RMPA; WTT Estimated"/>
    <x v="1"/>
    <x v="1"/>
    <s v="Americas"/>
    <s v="Northern America"/>
    <s v="US"/>
    <s v="RMPA"/>
    <n v="0"/>
    <s v="CH4"/>
    <n v="31.355949679999998"/>
    <n v="3.5049099999999998E-4"/>
    <s v="KWH"/>
    <n v="1"/>
    <n v="89463"/>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RMPA, USEPAto estimate the WTT factor."/>
    <n v="2021"/>
    <n v="2019"/>
    <n v="0"/>
    <n v="0"/>
    <x v="12"/>
    <s v="Factory"/>
  </r>
  <r>
    <n v="1234355"/>
    <s v="Top of Hierarchy &gt; North America &gt; Vantage_Delta"/>
    <x v="5"/>
    <x v="1"/>
    <d v="2021-01-01T00:00:00"/>
    <d v="2021-12-31T00:00:00"/>
    <x v="0"/>
    <d v="2021-01-01T00:00:00"/>
    <d v="2021-12-31T00:00:00"/>
    <s v="Electricity (non-renewable)"/>
    <n v="89463"/>
    <s v="Kilowatt hours"/>
    <x v="1"/>
    <m/>
    <s v="2023-07-18, 22:47"/>
    <s v="2023-07-20, 00:40"/>
    <n v="2021"/>
    <s v="electricity__wtt"/>
    <s v="Electricity WTT"/>
    <s v="wtt"/>
    <b v="0"/>
    <s v="ELECTRICITY; UNITED STATES - RMPA; WTT Estimated"/>
    <x v="1"/>
    <x v="1"/>
    <s v="Americas"/>
    <s v="Northern America"/>
    <s v="US"/>
    <s v="RMPA"/>
    <n v="0"/>
    <s v="CO2"/>
    <n v="13320.768539999999"/>
    <n v="0.148896958"/>
    <s v="KWH"/>
    <n v="1"/>
    <n v="89463"/>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RMPA, USEPAto estimate the WTT factor."/>
    <n v="2021"/>
    <n v="2019"/>
    <n v="0"/>
    <n v="0"/>
    <x v="12"/>
    <s v="Factory"/>
  </r>
  <r>
    <n v="1234355"/>
    <s v="Top of Hierarchy &gt; North America &gt; Vantage_Delta"/>
    <x v="5"/>
    <x v="1"/>
    <d v="2021-01-01T00:00:00"/>
    <d v="2021-12-31T00:00:00"/>
    <x v="0"/>
    <d v="2021-01-01T00:00:00"/>
    <d v="2021-12-31T00:00:00"/>
    <s v="Electricity (non-renewable)"/>
    <n v="89463"/>
    <s v="Kilowatt hours"/>
    <x v="1"/>
    <m/>
    <s v="2023-07-18, 22:47"/>
    <s v="2023-07-20, 00:40"/>
    <n v="2021"/>
    <s v="electricity__wtt"/>
    <s v="Electricity WTT"/>
    <s v="wtt"/>
    <b v="0"/>
    <s v="ELECTRICITY; UNITED STATES - RMPA; WTT Estimated"/>
    <x v="1"/>
    <x v="1"/>
    <s v="Americas"/>
    <s v="Northern America"/>
    <s v="US"/>
    <s v="RMPA"/>
    <n v="0"/>
    <s v="CO2E"/>
    <n v="13406.431920000001"/>
    <n v="0.14985448600000001"/>
    <s v="KWH"/>
    <n v="1"/>
    <n v="89463"/>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RMPA, USEPAto estimate the WTT factor."/>
    <n v="2021"/>
    <n v="2019"/>
    <n v="13.406431920000001"/>
    <n v="0"/>
    <x v="12"/>
    <s v="Factory"/>
  </r>
  <r>
    <n v="1234355"/>
    <s v="Top of Hierarchy &gt; North America &gt; Vantage_Delta"/>
    <x v="5"/>
    <x v="1"/>
    <d v="2021-01-01T00:00:00"/>
    <d v="2021-12-31T00:00:00"/>
    <x v="0"/>
    <d v="2021-01-01T00:00:00"/>
    <d v="2021-12-31T00:00:00"/>
    <s v="Electricity (non-renewable)"/>
    <n v="89463"/>
    <s v="Kilowatt hours"/>
    <x v="1"/>
    <m/>
    <s v="2023-07-18, 22:47"/>
    <s v="2023-07-20, 00:40"/>
    <n v="2021"/>
    <s v="electricity__wtt"/>
    <s v="Electricity WTT"/>
    <s v="wtt"/>
    <b v="0"/>
    <s v="ELECTRICITY; UNITED STATES - RMPA; WTT Estimated"/>
    <x v="1"/>
    <x v="1"/>
    <s v="Americas"/>
    <s v="Northern America"/>
    <s v="US"/>
    <s v="RMPA"/>
    <n v="0"/>
    <s v="N2O"/>
    <n v="54.307432839999997"/>
    <n v="6.0703799999999996E-4"/>
    <s v="KWH"/>
    <n v="1"/>
    <n v="89463"/>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RMPA, USEPAto estimate the WTT factor."/>
    <n v="2021"/>
    <n v="2019"/>
    <n v="0"/>
    <n v="0"/>
    <x v="12"/>
    <s v="Factory"/>
  </r>
  <r>
    <n v="1234355"/>
    <s v="Top of Hierarchy &gt; North America &gt; Vantage_Delta"/>
    <x v="5"/>
    <x v="1"/>
    <d v="2021-01-01T00:00:00"/>
    <d v="2021-12-31T00:00:00"/>
    <x v="0"/>
    <d v="2021-01-01T00:00:00"/>
    <d v="2021-12-31T00:00:00"/>
    <s v="Electricity (non-renewable)"/>
    <n v="89463"/>
    <s v="Kilowatt hours"/>
    <x v="1"/>
    <m/>
    <s v="2023-07-18, 22:47"/>
    <s v="2023-07-20, 00:40"/>
    <n v="2021"/>
    <s v="electricity__wtt"/>
    <s v="Electricity WTT"/>
    <s v="wtt"/>
    <b v="0"/>
    <s v="ELECTRICITY; UNITED STATES - RMPA; WTT Estimated"/>
    <x v="1"/>
    <x v="1"/>
    <s v="Americas"/>
    <s v="Northern America"/>
    <s v="US"/>
    <s v="RMPA"/>
    <n v="1"/>
    <s v="CO2E MKT"/>
    <n v="13666.69167"/>
    <n v="0.15276361899999999"/>
    <s v="KWH"/>
    <n v="1"/>
    <n v="89463"/>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RMPA, Green-eto estimate the WTT factor."/>
    <n v="2021"/>
    <n v="2019"/>
    <n v="0"/>
    <n v="13.666691670000001"/>
    <x v="12"/>
    <s v="Factory"/>
  </r>
  <r>
    <n v="1234355"/>
    <s v="Top of Hierarchy &gt; North America &gt; Vantage_Delta"/>
    <x v="5"/>
    <x v="1"/>
    <d v="2021-01-01T00:00:00"/>
    <d v="2021-12-31T00:00:00"/>
    <x v="0"/>
    <d v="2021-01-01T00:00:00"/>
    <d v="2021-12-31T00:00:00"/>
    <s v="Electricity (non-renewable)"/>
    <n v="89463"/>
    <s v="Kilowatt hours"/>
    <x v="1"/>
    <m/>
    <s v="2023-07-18, 22:47"/>
    <s v="2023-07-20, 00:40"/>
    <n v="2021"/>
    <s v="electricity__t+d"/>
    <s v="Electricity T&amp;D"/>
    <s v="t+d"/>
    <b v="0"/>
    <s v="ELECTRICITY; TRANSMISSION AND DISTRIBUTION; UNITED STATES - RMPA"/>
    <x v="1"/>
    <x v="1"/>
    <s v="Americas"/>
    <s v="Northern America"/>
    <s v="US"/>
    <s v="RMPA"/>
    <n v="0"/>
    <s v="CO2E"/>
    <n v="2588.2039340000001"/>
    <n v="2.8930440000000002E-2"/>
    <s v="KWH"/>
    <n v="1"/>
    <n v="89463"/>
    <s v="AR4"/>
    <s v="USEPA"/>
    <s v="USEPA (2021)"/>
    <n v="2021"/>
    <n v="2019"/>
    <n v="2.588203934"/>
    <n v="0"/>
    <x v="12"/>
    <s v="Factory"/>
  </r>
  <r>
    <n v="1234355"/>
    <s v="Top of Hierarchy &gt; North America &gt; Vantage_Delta"/>
    <x v="5"/>
    <x v="1"/>
    <d v="2021-01-01T00:00:00"/>
    <d v="2021-12-31T00:00:00"/>
    <x v="0"/>
    <d v="2021-01-01T00:00:00"/>
    <d v="2021-12-31T00:00:00"/>
    <s v="Electricity (non-renewable)"/>
    <n v="89463"/>
    <s v="Kilowatt hours"/>
    <x v="1"/>
    <m/>
    <s v="2023-07-18, 22:47"/>
    <s v="2023-07-20, 00:40"/>
    <n v="2021"/>
    <s v="electricity__t+d"/>
    <s v="Electricity T&amp;D"/>
    <s v="t+d"/>
    <b v="0"/>
    <s v="ELECTRICITY; UNITED STATES - RMPA; T&amp;D Estimated"/>
    <x v="1"/>
    <x v="1"/>
    <s v="Americas"/>
    <s v="Northern America"/>
    <s v="US"/>
    <s v="RMPA"/>
    <n v="1"/>
    <s v="CO2E MKT"/>
    <n v="2638.4488679999999"/>
    <n v="2.9492068E-2"/>
    <s v="KWH"/>
    <n v="1"/>
    <n v="89463"/>
    <s v="AR4"/>
    <s v="Anthesis"/>
    <s v="The median T&amp;D to generation factor ratio of all countries within the region Northern America was taken to be ELECTRICITY; UNITED STATES - SRSO, USEPA to ELECTRICITY; TRANSMISSION AND DISTRIBUTION; UNITED STATES - SRSO, USEPA: 0.051. This was applied to the base factor ELECTRICITY; UNITED STATES - RMPA, Green-eto estimate the T&amp;D factor."/>
    <n v="2021"/>
    <n v="2019"/>
    <n v="0"/>
    <n v="2.6384488679999998"/>
    <x v="12"/>
    <s v="Factory"/>
  </r>
  <r>
    <n v="1234357"/>
    <s v="Top of Hierarchy &gt; North America &gt; Vantage_Delta"/>
    <x v="5"/>
    <x v="1"/>
    <d v="2021-01-01T00:00:00"/>
    <d v="2021-12-31T00:00:00"/>
    <x v="3"/>
    <d v="2021-01-01T00:00:00"/>
    <d v="2021-12-31T00:00:00"/>
    <s v="Natural gas"/>
    <n v="12191"/>
    <s v="Hundred Thousand BTUs"/>
    <x v="1"/>
    <m/>
    <s v="2023-07-18, 22:49"/>
    <s v="2023-07-20, 00:40"/>
    <n v="2021"/>
    <s v="natural_gas"/>
    <s v="Natural Gas"/>
    <s v="model"/>
    <b v="0"/>
    <s v="NATURAL GAS, NATURAL GAS"/>
    <x v="2"/>
    <x v="0"/>
    <s v="Americas"/>
    <s v="Northern America"/>
    <s v="US"/>
    <m/>
    <n v="0"/>
    <s v="CH4"/>
    <n v="30.477499999999999"/>
    <n v="2.5000000000000001E-2"/>
    <s v="MMBTU"/>
    <n v="0.1"/>
    <n v="1219.0999999999999"/>
    <s v="AR4"/>
    <s v="USEPA"/>
    <s v="USEPA (2021)"/>
    <n v="2021"/>
    <n v="2021"/>
    <n v="0"/>
    <n v="0"/>
    <x v="12"/>
    <s v="Factory"/>
  </r>
  <r>
    <n v="1234357"/>
    <s v="Top of Hierarchy &gt; North America &gt; Vantage_Delta"/>
    <x v="5"/>
    <x v="1"/>
    <d v="2021-01-01T00:00:00"/>
    <d v="2021-12-31T00:00:00"/>
    <x v="3"/>
    <d v="2021-01-01T00:00:00"/>
    <d v="2021-12-31T00:00:00"/>
    <s v="Natural gas"/>
    <n v="12191"/>
    <s v="Hundred Thousand BTUs"/>
    <x v="1"/>
    <m/>
    <s v="2023-07-18, 22:49"/>
    <s v="2023-07-20, 00:40"/>
    <n v="2021"/>
    <s v="natural_gas"/>
    <s v="Natural Gas"/>
    <s v="model"/>
    <b v="0"/>
    <s v="NATURAL GAS, NATURAL GAS"/>
    <x v="2"/>
    <x v="0"/>
    <s v="Americas"/>
    <s v="Northern America"/>
    <s v="US"/>
    <m/>
    <n v="0"/>
    <s v="CO2"/>
    <n v="64685.446000000004"/>
    <n v="53.06"/>
    <s v="MMBTU"/>
    <n v="0.1"/>
    <n v="1219.0999999999999"/>
    <s v="AR4"/>
    <s v="USEPA"/>
    <s v="USEPA Emission Factors Hub (Last Modified: March 2020)"/>
    <n v="2021"/>
    <n v="2020"/>
    <n v="0"/>
    <n v="0"/>
    <x v="12"/>
    <s v="Factory"/>
  </r>
  <r>
    <n v="1234357"/>
    <s v="Top of Hierarchy &gt; North America &gt; Vantage_Delta"/>
    <x v="5"/>
    <x v="1"/>
    <d v="2021-01-01T00:00:00"/>
    <d v="2021-12-31T00:00:00"/>
    <x v="3"/>
    <d v="2021-01-01T00:00:00"/>
    <d v="2021-12-31T00:00:00"/>
    <s v="Natural gas"/>
    <n v="12191"/>
    <s v="Hundred Thousand BTUs"/>
    <x v="1"/>
    <m/>
    <s v="2023-07-18, 22:49"/>
    <s v="2023-07-20, 00:40"/>
    <n v="2021"/>
    <s v="natural_gas"/>
    <s v="Natural Gas"/>
    <s v="model"/>
    <b v="0"/>
    <s v="NATURAL GAS, NATURAL GAS"/>
    <x v="2"/>
    <x v="0"/>
    <s v="Americas"/>
    <s v="Northern America"/>
    <s v="US"/>
    <m/>
    <n v="0"/>
    <s v="CO2E"/>
    <n v="64752.252679999998"/>
    <n v="53.114800000000002"/>
    <s v="MMBTU"/>
    <n v="0.1"/>
    <n v="1219.0999999999999"/>
    <s v="AR4"/>
    <s v="USEPA"/>
    <s v="USEPA (2021)"/>
    <n v="2021"/>
    <n v="2021"/>
    <n v="64.752252679999998"/>
    <n v="0"/>
    <x v="12"/>
    <s v="Factory"/>
  </r>
  <r>
    <n v="1234357"/>
    <s v="Top of Hierarchy &gt; North America &gt; Vantage_Delta"/>
    <x v="5"/>
    <x v="1"/>
    <d v="2021-01-01T00:00:00"/>
    <d v="2021-12-31T00:00:00"/>
    <x v="3"/>
    <d v="2021-01-01T00:00:00"/>
    <d v="2021-12-31T00:00:00"/>
    <s v="Natural gas"/>
    <n v="12191"/>
    <s v="Hundred Thousand BTUs"/>
    <x v="1"/>
    <m/>
    <s v="2023-07-18, 22:49"/>
    <s v="2023-07-20, 00:40"/>
    <n v="2021"/>
    <s v="natural_gas"/>
    <s v="Natural Gas"/>
    <s v="model"/>
    <b v="0"/>
    <s v="NATURAL GAS, NATURAL GAS"/>
    <x v="2"/>
    <x v="0"/>
    <s v="Americas"/>
    <s v="Northern America"/>
    <s v="US"/>
    <m/>
    <n v="0"/>
    <s v="N2O"/>
    <n v="36.329180000000001"/>
    <n v="2.98E-2"/>
    <s v="MMBTU"/>
    <n v="0.1"/>
    <n v="1219.0999999999999"/>
    <s v="AR4"/>
    <s v="USEPA"/>
    <s v="USEPA (2021)"/>
    <n v="2021"/>
    <n v="2021"/>
    <n v="0"/>
    <n v="0"/>
    <x v="12"/>
    <s v="Factory"/>
  </r>
  <r>
    <n v="1234357"/>
    <s v="Top of Hierarchy &gt; North America &gt; Vantage_Delta"/>
    <x v="5"/>
    <x v="1"/>
    <d v="2021-01-01T00:00:00"/>
    <d v="2021-12-31T00:00:00"/>
    <x v="3"/>
    <d v="2021-01-01T00:00:00"/>
    <d v="2021-12-31T00:00:00"/>
    <s v="Natural gas"/>
    <n v="12191"/>
    <s v="Hundred Thousand BTUs"/>
    <x v="1"/>
    <m/>
    <s v="2023-07-18, 22:49"/>
    <s v="2023-07-20, 00:40"/>
    <n v="2021"/>
    <s v="natural_gas"/>
    <s v="Natural Gas"/>
    <s v="model"/>
    <b v="0"/>
    <s v="NATURAL GAS, NATURAL GAS"/>
    <x v="2"/>
    <x v="0"/>
    <s v="Americas"/>
    <s v="Northern America"/>
    <s v="US"/>
    <m/>
    <n v="1"/>
    <s v="CH4"/>
    <n v="30.477499999999999"/>
    <n v="2.5000000000000001E-2"/>
    <s v="MMBTU"/>
    <n v="0.1"/>
    <n v="1219.0999999999999"/>
    <s v="AR4"/>
    <s v="USEPA"/>
    <s v="USEPA (2021)"/>
    <n v="2021"/>
    <n v="2021"/>
    <n v="0"/>
    <n v="0"/>
    <x v="12"/>
    <s v="Factory"/>
  </r>
  <r>
    <n v="1234357"/>
    <s v="Top of Hierarchy &gt; North America &gt; Vantage_Delta"/>
    <x v="5"/>
    <x v="1"/>
    <d v="2021-01-01T00:00:00"/>
    <d v="2021-12-31T00:00:00"/>
    <x v="3"/>
    <d v="2021-01-01T00:00:00"/>
    <d v="2021-12-31T00:00:00"/>
    <s v="Natural gas"/>
    <n v="12191"/>
    <s v="Hundred Thousand BTUs"/>
    <x v="1"/>
    <m/>
    <s v="2023-07-18, 22:49"/>
    <s v="2023-07-20, 00:40"/>
    <n v="2021"/>
    <s v="natural_gas"/>
    <s v="Natural Gas"/>
    <s v="model"/>
    <b v="0"/>
    <s v="NATURAL GAS, NATURAL GAS"/>
    <x v="2"/>
    <x v="0"/>
    <s v="Americas"/>
    <s v="Northern America"/>
    <s v="US"/>
    <m/>
    <n v="1"/>
    <s v="CO2"/>
    <n v="64685.446000000004"/>
    <n v="53.06"/>
    <s v="MMBTU"/>
    <n v="0.1"/>
    <n v="1219.0999999999999"/>
    <s v="AR4"/>
    <s v="USEPA"/>
    <s v="USEPA Emission Factors Hub (Last Modified: March 2020)"/>
    <n v="2021"/>
    <n v="2020"/>
    <n v="0"/>
    <n v="0"/>
    <x v="12"/>
    <s v="Factory"/>
  </r>
  <r>
    <n v="1234357"/>
    <s v="Top of Hierarchy &gt; North America &gt; Vantage_Delta"/>
    <x v="5"/>
    <x v="1"/>
    <d v="2021-01-01T00:00:00"/>
    <d v="2021-12-31T00:00:00"/>
    <x v="3"/>
    <d v="2021-01-01T00:00:00"/>
    <d v="2021-12-31T00:00:00"/>
    <s v="Natural gas"/>
    <n v="12191"/>
    <s v="Hundred Thousand BTUs"/>
    <x v="1"/>
    <m/>
    <s v="2023-07-18, 22:49"/>
    <s v="2023-07-20, 00:40"/>
    <n v="2021"/>
    <s v="natural_gas"/>
    <s v="Natural Gas"/>
    <s v="model"/>
    <b v="0"/>
    <s v="NATURAL GAS, NATURAL GAS"/>
    <x v="2"/>
    <x v="0"/>
    <s v="Americas"/>
    <s v="Northern America"/>
    <s v="US"/>
    <m/>
    <n v="1"/>
    <s v="CO2E"/>
    <n v="64752.252679999998"/>
    <n v="53.114800000000002"/>
    <s v="MMBTU"/>
    <n v="0.1"/>
    <n v="1219.0999999999999"/>
    <s v="AR4"/>
    <s v="USEPA"/>
    <s v="USEPA (2021)"/>
    <n v="2021"/>
    <n v="2021"/>
    <n v="0"/>
    <n v="64.752252679999998"/>
    <x v="12"/>
    <s v="Factory"/>
  </r>
  <r>
    <n v="1234357"/>
    <s v="Top of Hierarchy &gt; North America &gt; Vantage_Delta"/>
    <x v="5"/>
    <x v="1"/>
    <d v="2021-01-01T00:00:00"/>
    <d v="2021-12-31T00:00:00"/>
    <x v="3"/>
    <d v="2021-01-01T00:00:00"/>
    <d v="2021-12-31T00:00:00"/>
    <s v="Natural gas"/>
    <n v="12191"/>
    <s v="Hundred Thousand BTUs"/>
    <x v="1"/>
    <m/>
    <s v="2023-07-18, 22:49"/>
    <s v="2023-07-20, 00:40"/>
    <n v="2021"/>
    <s v="natural_gas"/>
    <s v="Natural Gas"/>
    <s v="model"/>
    <b v="0"/>
    <s v="NATURAL GAS, NATURAL GAS"/>
    <x v="2"/>
    <x v="0"/>
    <s v="Americas"/>
    <s v="Northern America"/>
    <s v="US"/>
    <m/>
    <n v="1"/>
    <s v="N2O"/>
    <n v="36.329180000000001"/>
    <n v="2.98E-2"/>
    <s v="MMBTU"/>
    <n v="0.1"/>
    <n v="1219.0999999999999"/>
    <s v="AR4"/>
    <s v="USEPA"/>
    <s v="USEPA (2021)"/>
    <n v="2021"/>
    <n v="2021"/>
    <n v="0"/>
    <n v="0"/>
    <x v="12"/>
    <s v="Factory"/>
  </r>
  <r>
    <n v="1234357"/>
    <s v="Top of Hierarchy &gt; North America &gt; Vantage_Delta"/>
    <x v="5"/>
    <x v="1"/>
    <d v="2021-01-01T00:00:00"/>
    <d v="2021-12-31T00:00:00"/>
    <x v="3"/>
    <d v="2021-01-01T00:00:00"/>
    <d v="2021-12-31T00:00:00"/>
    <s v="Natural gas"/>
    <n v="12191"/>
    <s v="Hundred Thousand BTUs"/>
    <x v="1"/>
    <m/>
    <s v="2023-07-18, 22:49"/>
    <s v="2023-07-20, 00:40"/>
    <n v="2021"/>
    <s v="natural_gas__wtt"/>
    <s v="Natural Gas WTT"/>
    <s v="wtt"/>
    <b v="0"/>
    <s v="WTT- FUELS; WTT- GASEOUS FUELS; NATURAL GAS"/>
    <x v="1"/>
    <x v="1"/>
    <m/>
    <m/>
    <m/>
    <m/>
    <n v="0"/>
    <s v="CO2E"/>
    <n v="11198.14222"/>
    <n v="3.1350000000000003E-2"/>
    <s v="KWH (GROSS CV)"/>
    <n v="29.3001"/>
    <n v="357197.51909999998"/>
    <s v="AR4"/>
    <s v="Defra"/>
    <s v="Defra (2021)"/>
    <n v="2021"/>
    <n v="2019"/>
    <n v="11.198142219999999"/>
    <n v="0"/>
    <x v="12"/>
    <s v="Factory"/>
  </r>
  <r>
    <n v="1234357"/>
    <s v="Top of Hierarchy &gt; North America &gt; Vantage_Delta"/>
    <x v="5"/>
    <x v="1"/>
    <d v="2021-01-01T00:00:00"/>
    <d v="2021-12-31T00:00:00"/>
    <x v="3"/>
    <d v="2021-01-01T00:00:00"/>
    <d v="2021-12-31T00:00:00"/>
    <s v="Natural gas"/>
    <n v="12191"/>
    <s v="Hundred Thousand BTUs"/>
    <x v="1"/>
    <m/>
    <s v="2023-07-18, 22:49"/>
    <s v="2023-07-20, 00:40"/>
    <n v="2021"/>
    <s v="natural_gas__wtt"/>
    <s v="Natural Gas WTT"/>
    <s v="wtt"/>
    <b v="0"/>
    <s v="WTT- FUELS; WTT- GASEOUS FUELS; NATURAL GAS"/>
    <x v="1"/>
    <x v="1"/>
    <m/>
    <m/>
    <m/>
    <m/>
    <n v="1"/>
    <s v="CO2E"/>
    <n v="11198.14222"/>
    <n v="3.1350000000000003E-2"/>
    <s v="KWH (GROSS CV)"/>
    <n v="29.3001"/>
    <n v="357197.51909999998"/>
    <s v="AR4"/>
    <s v="Defra"/>
    <s v="Defra (2021)"/>
    <n v="2021"/>
    <n v="2019"/>
    <n v="0"/>
    <n v="11.198142219999999"/>
    <x v="12"/>
    <s v="Factory"/>
  </r>
  <r>
    <n v="1257580"/>
    <s v="Top of Hierarchy &gt; North America &gt; Vantage_Delta"/>
    <x v="5"/>
    <x v="1"/>
    <d v="2021-01-01T00:00:00"/>
    <d v="2021-12-31T00:00:00"/>
    <x v="4"/>
    <d v="2021-01-01T00:00:00"/>
    <d v="2021-12-31T00:00:00"/>
    <s v="HFC-32"/>
    <n v="0"/>
    <s v="kilograms"/>
    <x v="0"/>
    <m/>
    <s v="2023-07-19, 19:36"/>
    <s v="2023-07-20, 00:40"/>
    <n v="2021"/>
    <s v="hfc-32"/>
    <s v="HFC-32"/>
    <s v="model"/>
    <b v="0"/>
    <s v="REFRIGERANT: R-32"/>
    <x v="2"/>
    <x v="0"/>
    <m/>
    <m/>
    <m/>
    <m/>
    <n v="0"/>
    <s v="CO2E"/>
    <n v="0"/>
    <n v="675"/>
    <s v="KG"/>
    <n v="1"/>
    <n v="0"/>
    <s v="AR4"/>
    <s v="IPCC"/>
    <s v="IPCC (2021)"/>
    <n v="2021"/>
    <n v="2007"/>
    <n v="0"/>
    <n v="0"/>
    <x v="12"/>
    <s v="Factory"/>
  </r>
  <r>
    <n v="1257580"/>
    <s v="Top of Hierarchy &gt; North America &gt; Vantage_Delta"/>
    <x v="5"/>
    <x v="1"/>
    <d v="2021-01-01T00:00:00"/>
    <d v="2021-12-31T00:00:00"/>
    <x v="4"/>
    <d v="2021-01-01T00:00:00"/>
    <d v="2021-12-31T00:00:00"/>
    <s v="HFC-32"/>
    <n v="0"/>
    <s v="kilograms"/>
    <x v="0"/>
    <m/>
    <s v="2023-07-19, 19:36"/>
    <s v="2023-07-20, 00:40"/>
    <n v="2021"/>
    <s v="hfc-32"/>
    <s v="HFC-32"/>
    <s v="model"/>
    <b v="0"/>
    <s v="REFRIGERANT: R-32"/>
    <x v="2"/>
    <x v="0"/>
    <m/>
    <m/>
    <m/>
    <m/>
    <n v="1"/>
    <s v="CO2E"/>
    <n v="0"/>
    <n v="675"/>
    <s v="KG"/>
    <n v="1"/>
    <n v="0"/>
    <s v="AR4"/>
    <s v="IPCC"/>
    <s v="IPCC (2021)"/>
    <n v="2021"/>
    <n v="2007"/>
    <n v="0"/>
    <n v="0"/>
    <x v="12"/>
    <s v="Factory"/>
  </r>
  <r>
    <n v="20131"/>
    <s v="Top of Hierarchy &gt; North America &gt; Vantage_Englewood"/>
    <x v="0"/>
    <x v="0"/>
    <d v="2022-01-01T00:00:00"/>
    <d v="2022-12-31T00:00:00"/>
    <x v="0"/>
    <d v="2022-01-01T00:00:00"/>
    <d v="2022-12-31T00:00:00"/>
    <s v="Electricity (non-renewable)"/>
    <n v="1828445"/>
    <s v="Kilowatt hours"/>
    <x v="1"/>
    <m/>
    <s v="2023-03-21, 20:21"/>
    <s v="2023-07-20, 00:40"/>
    <n v="2022"/>
    <s v="electricity"/>
    <s v="Electricity"/>
    <s v="model"/>
    <b v="0"/>
    <s v="ELECTRICITY; UNITED STATES - RFCW"/>
    <x v="0"/>
    <x v="0"/>
    <s v="Americas"/>
    <s v="Northern America"/>
    <s v="US"/>
    <s v="RFCW"/>
    <n v="0"/>
    <s v="CH4"/>
    <n v="1783.142707"/>
    <n v="9.7522400000000001E-4"/>
    <s v="KWH"/>
    <n v="1"/>
    <n v="1828445"/>
    <s v="AR4"/>
    <s v="USEPA"/>
    <s v="USEPA (2022)"/>
    <n v="2022"/>
    <n v="2020"/>
    <n v="0"/>
    <n v="0"/>
    <x v="13"/>
    <s v="Office"/>
  </r>
  <r>
    <n v="20131"/>
    <s v="Top of Hierarchy &gt; North America &gt; Vantage_Englewood"/>
    <x v="0"/>
    <x v="0"/>
    <d v="2022-01-01T00:00:00"/>
    <d v="2022-12-31T00:00:00"/>
    <x v="0"/>
    <d v="2022-01-01T00:00:00"/>
    <d v="2022-12-31T00:00:00"/>
    <s v="Electricity (non-renewable)"/>
    <n v="1828445"/>
    <s v="Kilowatt hours"/>
    <x v="1"/>
    <m/>
    <s v="2023-03-21, 20:21"/>
    <s v="2023-07-20, 00:40"/>
    <n v="2022"/>
    <s v="electricity"/>
    <s v="Electricity"/>
    <s v="model"/>
    <b v="0"/>
    <s v="ELECTRICITY; UNITED STATES - RFCW"/>
    <x v="0"/>
    <x v="0"/>
    <s v="Americas"/>
    <s v="Northern America"/>
    <s v="US"/>
    <s v="RFCW"/>
    <n v="0"/>
    <s v="CO2"/>
    <n v="816909.09499999997"/>
    <n v="0.44677805199999998"/>
    <s v="KWH"/>
    <n v="1"/>
    <n v="1828445"/>
    <s v="AR4"/>
    <s v="USEPA"/>
    <s v="USEPA (2022)"/>
    <n v="2022"/>
    <n v="2020"/>
    <n v="0"/>
    <n v="0"/>
    <x v="13"/>
    <s v="Office"/>
  </r>
  <r>
    <n v="20131"/>
    <s v="Top of Hierarchy &gt; North America &gt; Vantage_Englewood"/>
    <x v="0"/>
    <x v="0"/>
    <d v="2022-01-01T00:00:00"/>
    <d v="2022-12-31T00:00:00"/>
    <x v="0"/>
    <d v="2022-01-01T00:00:00"/>
    <d v="2022-12-31T00:00:00"/>
    <s v="Electricity (non-renewable)"/>
    <n v="1828445"/>
    <s v="Kilowatt hours"/>
    <x v="1"/>
    <m/>
    <s v="2023-03-21, 20:21"/>
    <s v="2023-07-20, 00:40"/>
    <n v="2022"/>
    <s v="electricity"/>
    <s v="Electricity"/>
    <s v="model"/>
    <b v="0"/>
    <s v="ELECTRICITY; UNITED STATES - RFCW"/>
    <x v="0"/>
    <x v="0"/>
    <s v="Americas"/>
    <s v="Northern America"/>
    <s v="US"/>
    <s v="RFCW"/>
    <n v="0"/>
    <s v="CO2E"/>
    <n v="821658.06019999995"/>
    <n v="0.44937532200000002"/>
    <s v="KWH"/>
    <n v="1"/>
    <n v="1828445"/>
    <s v="AR4"/>
    <s v="USEPA"/>
    <s v="USEPA (2022)"/>
    <n v="2022"/>
    <n v="2020"/>
    <n v="821.65806019999991"/>
    <n v="0"/>
    <x v="13"/>
    <s v="Office"/>
  </r>
  <r>
    <n v="20131"/>
    <s v="Top of Hierarchy &gt; North America &gt; Vantage_Englewood"/>
    <x v="0"/>
    <x v="0"/>
    <d v="2022-01-01T00:00:00"/>
    <d v="2022-12-31T00:00:00"/>
    <x v="0"/>
    <d v="2022-01-01T00:00:00"/>
    <d v="2022-12-31T00:00:00"/>
    <s v="Electricity (non-renewable)"/>
    <n v="1828445"/>
    <s v="Kilowatt hours"/>
    <x v="1"/>
    <m/>
    <s v="2023-03-21, 20:21"/>
    <s v="2023-07-20, 00:40"/>
    <n v="2022"/>
    <s v="electricity"/>
    <s v="Electricity"/>
    <s v="model"/>
    <b v="0"/>
    <s v="ELECTRICITY; UNITED STATES - RFCW"/>
    <x v="0"/>
    <x v="0"/>
    <s v="Americas"/>
    <s v="Northern America"/>
    <s v="US"/>
    <s v="RFCW"/>
    <n v="0"/>
    <s v="N2O"/>
    <n v="2965.8224749999999"/>
    <n v="1.622046E-3"/>
    <s v="KWH"/>
    <n v="1"/>
    <n v="1828445"/>
    <s v="AR4"/>
    <s v="USEPA"/>
    <s v="USEPA (2022)"/>
    <n v="2022"/>
    <n v="2020"/>
    <n v="0"/>
    <n v="0"/>
    <x v="13"/>
    <s v="Office"/>
  </r>
  <r>
    <n v="20131"/>
    <s v="Top of Hierarchy &gt; North America &gt; Vantage_Englewood"/>
    <x v="0"/>
    <x v="0"/>
    <d v="2022-01-01T00:00:00"/>
    <d v="2022-12-31T00:00:00"/>
    <x v="0"/>
    <d v="2022-01-01T00:00:00"/>
    <d v="2022-12-31T00:00:00"/>
    <s v="Electricity (non-renewable)"/>
    <n v="1828445"/>
    <s v="Kilowatt hours"/>
    <x v="1"/>
    <m/>
    <s v="2023-03-21, 20:21"/>
    <s v="2023-07-20, 00:40"/>
    <n v="2022"/>
    <s v="electricity"/>
    <s v="Electricity"/>
    <s v="model"/>
    <b v="0"/>
    <s v="ELECTRICITY; UNITED STATES - RFCW"/>
    <x v="0"/>
    <x v="0"/>
    <s v="Americas"/>
    <s v="Northern America"/>
    <s v="US"/>
    <s v="RFCW"/>
    <n v="1"/>
    <s v="CO2E MKT"/>
    <n v="818477.51879999996"/>
    <n v="0.44763584299999998"/>
    <s v="KWH"/>
    <n v="1"/>
    <n v="1828445"/>
    <s v="AR4"/>
    <s v="Green-e"/>
    <s v="Green-e (2022)"/>
    <n v="2022"/>
    <n v="2020"/>
    <n v="0"/>
    <n v="818.47751879999998"/>
    <x v="13"/>
    <s v="Office"/>
  </r>
  <r>
    <n v="20131"/>
    <s v="Top of Hierarchy &gt; North America &gt; Vantage_Englewood"/>
    <x v="0"/>
    <x v="0"/>
    <d v="2022-01-01T00:00:00"/>
    <d v="2022-12-31T00:00:00"/>
    <x v="0"/>
    <d v="2022-01-01T00:00:00"/>
    <d v="2022-12-31T00:00:00"/>
    <s v="Electricity (non-renewable)"/>
    <n v="1828445"/>
    <s v="Kilowatt hours"/>
    <x v="1"/>
    <m/>
    <s v="2023-03-21, 20:21"/>
    <s v="2023-07-20, 00:40"/>
    <n v="2022"/>
    <s v="electricity__t+d__wtt"/>
    <s v="Electricity T&amp;D WTT"/>
    <s v="t+d_wtt"/>
    <b v="0"/>
    <s v="ELECTRICITY T&amp;D WTT; UNITED STATES - RFCW"/>
    <x v="1"/>
    <x v="1"/>
    <s v="Americas"/>
    <s v="Northern America"/>
    <s v="US"/>
    <s v="RFCW"/>
    <n v="0"/>
    <s v="CO2E"/>
    <n v="12866.057640000001"/>
    <n v="7.0366120000000002E-3"/>
    <s v="KWH"/>
    <n v="1"/>
    <n v="1828445"/>
    <s v="AR4"/>
    <s v="Anthesis"/>
    <s v="Anthesis (2022)"/>
    <n v="2022"/>
    <n v="2020"/>
    <n v="12.866057640000001"/>
    <n v="0"/>
    <x v="13"/>
    <s v="Office"/>
  </r>
  <r>
    <n v="20131"/>
    <s v="Top of Hierarchy &gt; North America &gt; Vantage_Englewood"/>
    <x v="0"/>
    <x v="0"/>
    <d v="2022-01-01T00:00:00"/>
    <d v="2022-12-31T00:00:00"/>
    <x v="0"/>
    <d v="2022-01-01T00:00:00"/>
    <d v="2022-12-31T00:00:00"/>
    <s v="Electricity (non-renewable)"/>
    <n v="1828445"/>
    <s v="Kilowatt hours"/>
    <x v="1"/>
    <m/>
    <s v="2023-03-21, 20:21"/>
    <s v="2023-07-20, 00:40"/>
    <n v="2022"/>
    <s v="electricity__t+d__wtt"/>
    <s v="Electricity T&amp;D WTT"/>
    <s v="t+d_wtt"/>
    <b v="0"/>
    <s v="ELECTRICITY; UNITED STATES - RFCW; T&amp;D WTT Estimated"/>
    <x v="1"/>
    <x v="1"/>
    <s v="Americas"/>
    <s v="Northern America"/>
    <s v="US"/>
    <s v="RFCW"/>
    <n v="1"/>
    <s v="CO2E MKT"/>
    <n v="11934.450430000001"/>
    <n v="6.5271039999999997E-3"/>
    <s v="KWH"/>
    <n v="1"/>
    <n v="1828445"/>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  to estimate the T&amp;D WTT factor."/>
    <n v="2022"/>
    <n v="2019"/>
    <n v="0"/>
    <n v="11.93445043"/>
    <x v="13"/>
    <s v="Office"/>
  </r>
  <r>
    <n v="20131"/>
    <s v="Top of Hierarchy &gt; North America &gt; Vantage_Englewood"/>
    <x v="0"/>
    <x v="0"/>
    <d v="2022-01-01T00:00:00"/>
    <d v="2022-12-31T00:00:00"/>
    <x v="0"/>
    <d v="2022-01-01T00:00:00"/>
    <d v="2022-12-31T00:00:00"/>
    <s v="Electricity (non-renewable)"/>
    <n v="1828445"/>
    <s v="Kilowatt hours"/>
    <x v="1"/>
    <m/>
    <s v="2023-03-21, 20:21"/>
    <s v="2023-07-20, 00:40"/>
    <n v="2022"/>
    <s v="electricity__wtt"/>
    <s v="Electricity WTT"/>
    <s v="wtt"/>
    <b v="0"/>
    <s v="ELECTRICITY WTT; UNITED STATES - RFCW"/>
    <x v="1"/>
    <x v="1"/>
    <s v="Americas"/>
    <s v="Northern America"/>
    <s v="US"/>
    <s v="RFCW"/>
    <n v="0"/>
    <s v="CO2E"/>
    <n v="229889.74679999999"/>
    <n v="0.125729648"/>
    <s v="KWH"/>
    <n v="1"/>
    <n v="1828445"/>
    <s v="AR4"/>
    <s v="Anthesis"/>
    <s v="Anthesis (2022)"/>
    <n v="2022"/>
    <n v="2020"/>
    <n v="229.88974679999998"/>
    <n v="0"/>
    <x v="13"/>
    <s v="Office"/>
  </r>
  <r>
    <n v="20131"/>
    <s v="Top of Hierarchy &gt; North America &gt; Vantage_Englewood"/>
    <x v="0"/>
    <x v="0"/>
    <d v="2022-01-01T00:00:00"/>
    <d v="2022-12-31T00:00:00"/>
    <x v="0"/>
    <d v="2022-01-01T00:00:00"/>
    <d v="2022-12-31T00:00:00"/>
    <s v="Electricity (non-renewable)"/>
    <n v="1828445"/>
    <s v="Kilowatt hours"/>
    <x v="1"/>
    <m/>
    <s v="2023-03-21, 20:21"/>
    <s v="2023-07-20, 00:40"/>
    <n v="2022"/>
    <s v="electricity__wtt"/>
    <s v="Electricity WTT"/>
    <s v="wtt"/>
    <b v="0"/>
    <s v="ELECTRICITY; UNITED STATES - RFCW; WTT Estimated"/>
    <x v="1"/>
    <x v="1"/>
    <s v="Americas"/>
    <s v="Northern America"/>
    <s v="US"/>
    <s v="RFCW"/>
    <n v="1"/>
    <s v="CO2E MKT"/>
    <n v="234008.83199999999"/>
    <n v="0.12798242900000001"/>
    <s v="KWH"/>
    <n v="1"/>
    <n v="1828445"/>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RFCW, Green-eto estimate the WTT factor."/>
    <n v="2022"/>
    <n v="2019"/>
    <n v="0"/>
    <n v="234.00883199999998"/>
    <x v="13"/>
    <s v="Office"/>
  </r>
  <r>
    <n v="20131"/>
    <s v="Top of Hierarchy &gt; North America &gt; Vantage_Englewood"/>
    <x v="0"/>
    <x v="0"/>
    <d v="2022-01-01T00:00:00"/>
    <d v="2022-12-31T00:00:00"/>
    <x v="0"/>
    <d v="2022-01-01T00:00:00"/>
    <d v="2022-12-31T00:00:00"/>
    <s v="Electricity (non-renewable)"/>
    <n v="1828445"/>
    <s v="Kilowatt hours"/>
    <x v="1"/>
    <m/>
    <s v="2023-03-21, 20:21"/>
    <s v="2023-07-20, 00:40"/>
    <n v="2022"/>
    <s v="electricity__t+d"/>
    <s v="Electricity T&amp;D"/>
    <s v="t+d"/>
    <b v="0"/>
    <s v="ELECTRICITY; TRANSMISSION AND DISTRIBUTION; UNITED STATES - RFCW"/>
    <x v="1"/>
    <x v="1"/>
    <s v="Americas"/>
    <s v="Northern America"/>
    <s v="US"/>
    <s v="RFCW"/>
    <n v="0"/>
    <s v="CO2E"/>
    <n v="43547.877189999999"/>
    <n v="2.3816891999999999E-2"/>
    <s v="KWH"/>
    <n v="1"/>
    <n v="1828445"/>
    <s v="AR4"/>
    <s v="USEPA"/>
    <s v="USEPA (2022)"/>
    <n v="2022"/>
    <n v="2020"/>
    <n v="43.547877190000001"/>
    <n v="0"/>
    <x v="13"/>
    <s v="Office"/>
  </r>
  <r>
    <n v="20131"/>
    <s v="Top of Hierarchy &gt; North America &gt; Vantage_Englewood"/>
    <x v="0"/>
    <x v="0"/>
    <d v="2022-01-01T00:00:00"/>
    <d v="2022-12-31T00:00:00"/>
    <x v="0"/>
    <d v="2022-01-01T00:00:00"/>
    <d v="2022-12-31T00:00:00"/>
    <s v="Electricity (non-renewable)"/>
    <n v="1828445"/>
    <s v="Kilowatt hours"/>
    <x v="1"/>
    <m/>
    <s v="2023-03-21, 20:21"/>
    <s v="2023-07-20, 00:40"/>
    <n v="2022"/>
    <s v="electricity__t+d"/>
    <s v="Electricity T&amp;D"/>
    <s v="t+d"/>
    <b v="0"/>
    <s v="ELECTRICITY; UNITED STATES - RFCW; T&amp;D Estimated"/>
    <x v="1"/>
    <x v="1"/>
    <s v="Americas"/>
    <s v="Northern America"/>
    <s v="US"/>
    <s v="RFCW"/>
    <n v="1"/>
    <s v="CO2E MKT"/>
    <n v="45177.015249999997"/>
    <n v="2.4707889E-2"/>
    <s v="KWH"/>
    <n v="1"/>
    <n v="1828445"/>
    <s v="AR4"/>
    <s v="Anthesis"/>
    <s v="The median T&amp;D to generation factor ratio of all countries within the region Northern America was taken to be ELECTRICITY; UNITED STATES - SRSO, USEPA to ELECTRICITY; TRANSMISSION AND DISTRIBUTION; UNITED STATES - SRSO, USEPA: 0.051. This was applied to the base factor ELECTRICITY; UNITED STATES - RFCW, Green-eto estimate the T&amp;D factor."/>
    <n v="2022"/>
    <n v="2019"/>
    <n v="0"/>
    <n v="45.177015249999997"/>
    <x v="13"/>
    <s v="Office"/>
  </r>
  <r>
    <n v="20129"/>
    <s v="Top of Hierarchy &gt; North America &gt; Vantage_Englewood"/>
    <x v="0"/>
    <x v="0"/>
    <d v="2022-01-01T00:00:00"/>
    <d v="2022-12-31T00:00:00"/>
    <x v="3"/>
    <d v="2022-01-01T00:00:00"/>
    <d v="2022-12-31T00:00:00"/>
    <s v="Natural gas"/>
    <n v="33973395"/>
    <s v="cubic feet"/>
    <x v="1"/>
    <m/>
    <s v="2023-03-21, 20:14"/>
    <s v="2023-07-20, 00:40"/>
    <n v="2022"/>
    <s v="natural_gas"/>
    <s v="Natural Gas"/>
    <s v="model"/>
    <b v="0"/>
    <s v="NATURAL GAS, NATURAL GAS"/>
    <x v="2"/>
    <x v="0"/>
    <s v="Americas"/>
    <s v="Northern America"/>
    <s v="US"/>
    <m/>
    <n v="0"/>
    <s v="CH4"/>
    <n v="874.81492130000004"/>
    <n v="2.5749999999999999E-5"/>
    <s v="SCF"/>
    <n v="1"/>
    <n v="33973395"/>
    <s v="AR4"/>
    <s v="USEPA"/>
    <s v="USEPA (2022)"/>
    <n v="2022"/>
    <n v="2022"/>
    <n v="0"/>
    <n v="0"/>
    <x v="13"/>
    <s v="Office"/>
  </r>
  <r>
    <n v="20129"/>
    <s v="Top of Hierarchy &gt; North America &gt; Vantage_Englewood"/>
    <x v="0"/>
    <x v="0"/>
    <d v="2022-01-01T00:00:00"/>
    <d v="2022-12-31T00:00:00"/>
    <x v="3"/>
    <d v="2022-01-01T00:00:00"/>
    <d v="2022-12-31T00:00:00"/>
    <s v="Natural gas"/>
    <n v="33973395"/>
    <s v="cubic feet"/>
    <x v="1"/>
    <m/>
    <s v="2023-03-21, 20:14"/>
    <s v="2023-07-20, 00:40"/>
    <n v="2022"/>
    <s v="natural_gas"/>
    <s v="Natural Gas"/>
    <s v="model"/>
    <b v="0"/>
    <s v="NATURAL GAS, NATURAL GAS"/>
    <x v="2"/>
    <x v="0"/>
    <s v="Americas"/>
    <s v="Northern America"/>
    <s v="US"/>
    <m/>
    <n v="0"/>
    <s v="CO2"/>
    <n v="1849511.6240000001"/>
    <n v="5.4440000000000002E-2"/>
    <s v="SCF"/>
    <n v="1"/>
    <n v="33973395"/>
    <s v="AR4"/>
    <s v="USEPA"/>
    <s v="USEPA (2022)"/>
    <n v="2022"/>
    <n v="2022"/>
    <n v="0"/>
    <n v="0"/>
    <x v="13"/>
    <s v="Office"/>
  </r>
  <r>
    <n v="20129"/>
    <s v="Top of Hierarchy &gt; North America &gt; Vantage_Englewood"/>
    <x v="0"/>
    <x v="0"/>
    <d v="2022-01-01T00:00:00"/>
    <d v="2022-12-31T00:00:00"/>
    <x v="3"/>
    <d v="2022-01-01T00:00:00"/>
    <d v="2022-12-31T00:00:00"/>
    <s v="Natural gas"/>
    <n v="33973395"/>
    <s v="cubic feet"/>
    <x v="1"/>
    <m/>
    <s v="2023-03-21, 20:14"/>
    <s v="2023-07-20, 00:40"/>
    <n v="2022"/>
    <s v="natural_gas"/>
    <s v="Natural Gas"/>
    <s v="model"/>
    <b v="0"/>
    <s v="NATURAL GAS, NATURAL GAS"/>
    <x v="2"/>
    <x v="0"/>
    <s v="Americas"/>
    <s v="Northern America"/>
    <s v="US"/>
    <m/>
    <n v="0"/>
    <s v="CO2E"/>
    <n v="1851398.8459999999"/>
    <n v="5.4495549999999997E-2"/>
    <s v="SCF"/>
    <n v="1"/>
    <n v="33973395"/>
    <s v="AR4"/>
    <s v="USEPA"/>
    <s v="USEPA (2022)"/>
    <n v="2022"/>
    <n v="2022"/>
    <n v="1851.3988459999998"/>
    <n v="0"/>
    <x v="13"/>
    <s v="Office"/>
  </r>
  <r>
    <n v="20129"/>
    <s v="Top of Hierarchy &gt; North America &gt; Vantage_Englewood"/>
    <x v="0"/>
    <x v="0"/>
    <d v="2022-01-01T00:00:00"/>
    <d v="2022-12-31T00:00:00"/>
    <x v="3"/>
    <d v="2022-01-01T00:00:00"/>
    <d v="2022-12-31T00:00:00"/>
    <s v="Natural gas"/>
    <n v="33973395"/>
    <s v="cubic feet"/>
    <x v="1"/>
    <m/>
    <s v="2023-03-21, 20:14"/>
    <s v="2023-07-20, 00:40"/>
    <n v="2022"/>
    <s v="natural_gas"/>
    <s v="Natural Gas"/>
    <s v="model"/>
    <b v="0"/>
    <s v="NATURAL GAS, NATURAL GAS"/>
    <x v="2"/>
    <x v="0"/>
    <s v="Americas"/>
    <s v="Northern America"/>
    <s v="US"/>
    <m/>
    <n v="0"/>
    <s v="N2O"/>
    <n v="1012.4071709999999"/>
    <n v="2.9799999999999999E-5"/>
    <s v="SCF"/>
    <n v="1"/>
    <n v="33973395"/>
    <s v="AR4"/>
    <s v="USEPA"/>
    <s v="USEPA (2022)"/>
    <n v="2022"/>
    <n v="2022"/>
    <n v="0"/>
    <n v="0"/>
    <x v="13"/>
    <s v="Office"/>
  </r>
  <r>
    <n v="20129"/>
    <s v="Top of Hierarchy &gt; North America &gt; Vantage_Englewood"/>
    <x v="0"/>
    <x v="0"/>
    <d v="2022-01-01T00:00:00"/>
    <d v="2022-12-31T00:00:00"/>
    <x v="3"/>
    <d v="2022-01-01T00:00:00"/>
    <d v="2022-12-31T00:00:00"/>
    <s v="Natural gas"/>
    <n v="33973395"/>
    <s v="cubic feet"/>
    <x v="1"/>
    <m/>
    <s v="2023-03-21, 20:14"/>
    <s v="2023-07-20, 00:40"/>
    <n v="2022"/>
    <s v="natural_gas"/>
    <s v="Natural Gas"/>
    <s v="model"/>
    <b v="0"/>
    <s v="NATURAL GAS, NATURAL GAS"/>
    <x v="2"/>
    <x v="0"/>
    <s v="Americas"/>
    <s v="Northern America"/>
    <s v="US"/>
    <m/>
    <n v="1"/>
    <s v="CH4"/>
    <n v="874.81492130000004"/>
    <n v="2.5749999999999999E-5"/>
    <s v="SCF"/>
    <n v="1"/>
    <n v="33973395"/>
    <s v="AR4"/>
    <s v="USEPA"/>
    <s v="USEPA (2022)"/>
    <n v="2022"/>
    <n v="2022"/>
    <n v="0"/>
    <n v="0"/>
    <x v="13"/>
    <s v="Office"/>
  </r>
  <r>
    <n v="20129"/>
    <s v="Top of Hierarchy &gt; North America &gt; Vantage_Englewood"/>
    <x v="0"/>
    <x v="0"/>
    <d v="2022-01-01T00:00:00"/>
    <d v="2022-12-31T00:00:00"/>
    <x v="3"/>
    <d v="2022-01-01T00:00:00"/>
    <d v="2022-12-31T00:00:00"/>
    <s v="Natural gas"/>
    <n v="33973395"/>
    <s v="cubic feet"/>
    <x v="1"/>
    <m/>
    <s v="2023-03-21, 20:14"/>
    <s v="2023-07-20, 00:40"/>
    <n v="2022"/>
    <s v="natural_gas"/>
    <s v="Natural Gas"/>
    <s v="model"/>
    <b v="0"/>
    <s v="NATURAL GAS, NATURAL GAS"/>
    <x v="2"/>
    <x v="0"/>
    <s v="Americas"/>
    <s v="Northern America"/>
    <s v="US"/>
    <m/>
    <n v="1"/>
    <s v="CO2"/>
    <n v="1849511.6240000001"/>
    <n v="5.4440000000000002E-2"/>
    <s v="SCF"/>
    <n v="1"/>
    <n v="33973395"/>
    <s v="AR4"/>
    <s v="USEPA"/>
    <s v="USEPA (2022)"/>
    <n v="2022"/>
    <n v="2022"/>
    <n v="0"/>
    <n v="0"/>
    <x v="13"/>
    <s v="Office"/>
  </r>
  <r>
    <n v="20129"/>
    <s v="Top of Hierarchy &gt; North America &gt; Vantage_Englewood"/>
    <x v="0"/>
    <x v="0"/>
    <d v="2022-01-01T00:00:00"/>
    <d v="2022-12-31T00:00:00"/>
    <x v="3"/>
    <d v="2022-01-01T00:00:00"/>
    <d v="2022-12-31T00:00:00"/>
    <s v="Natural gas"/>
    <n v="33973395"/>
    <s v="cubic feet"/>
    <x v="1"/>
    <m/>
    <s v="2023-03-21, 20:14"/>
    <s v="2023-07-20, 00:40"/>
    <n v="2022"/>
    <s v="natural_gas"/>
    <s v="Natural Gas"/>
    <s v="model"/>
    <b v="0"/>
    <s v="NATURAL GAS, NATURAL GAS"/>
    <x v="2"/>
    <x v="0"/>
    <s v="Americas"/>
    <s v="Northern America"/>
    <s v="US"/>
    <m/>
    <n v="1"/>
    <s v="CO2E"/>
    <n v="1851398.8459999999"/>
    <n v="5.4495549999999997E-2"/>
    <s v="SCF"/>
    <n v="1"/>
    <n v="33973395"/>
    <s v="AR4"/>
    <s v="USEPA"/>
    <s v="USEPA (2022)"/>
    <n v="2022"/>
    <n v="2022"/>
    <n v="0"/>
    <n v="1851.3988459999998"/>
    <x v="13"/>
    <s v="Office"/>
  </r>
  <r>
    <n v="20129"/>
    <s v="Top of Hierarchy &gt; North America &gt; Vantage_Englewood"/>
    <x v="0"/>
    <x v="0"/>
    <d v="2022-01-01T00:00:00"/>
    <d v="2022-12-31T00:00:00"/>
    <x v="3"/>
    <d v="2022-01-01T00:00:00"/>
    <d v="2022-12-31T00:00:00"/>
    <s v="Natural gas"/>
    <n v="33973395"/>
    <s v="cubic feet"/>
    <x v="1"/>
    <m/>
    <s v="2023-03-21, 20:14"/>
    <s v="2023-07-20, 00:40"/>
    <n v="2022"/>
    <s v="natural_gas"/>
    <s v="Natural Gas"/>
    <s v="model"/>
    <b v="0"/>
    <s v="NATURAL GAS, NATURAL GAS"/>
    <x v="2"/>
    <x v="0"/>
    <s v="Americas"/>
    <s v="Northern America"/>
    <s v="US"/>
    <m/>
    <n v="1"/>
    <s v="N2O"/>
    <n v="1012.4071709999999"/>
    <n v="2.9799999999999999E-5"/>
    <s v="SCF"/>
    <n v="1"/>
    <n v="33973395"/>
    <s v="AR4"/>
    <s v="USEPA"/>
    <s v="USEPA (2022)"/>
    <n v="2022"/>
    <n v="2022"/>
    <n v="0"/>
    <n v="0"/>
    <x v="13"/>
    <s v="Office"/>
  </r>
  <r>
    <n v="20129"/>
    <s v="Top of Hierarchy &gt; North America &gt; Vantage_Englewood"/>
    <x v="0"/>
    <x v="0"/>
    <d v="2022-01-01T00:00:00"/>
    <d v="2022-12-31T00:00:00"/>
    <x v="3"/>
    <d v="2022-01-01T00:00:00"/>
    <d v="2022-12-31T00:00:00"/>
    <s v="Natural gas"/>
    <n v="33973395"/>
    <s v="cubic feet"/>
    <x v="1"/>
    <m/>
    <s v="2023-03-21, 20:14"/>
    <s v="2023-07-20, 00:40"/>
    <n v="2022"/>
    <s v="natural_gas__wtt"/>
    <s v="Natural Gas WTT"/>
    <s v="wtt"/>
    <b v="0"/>
    <s v="WTT- FUELS; GASEOUS FUELS; NATURAL GAS"/>
    <x v="1"/>
    <x v="1"/>
    <m/>
    <m/>
    <m/>
    <m/>
    <n v="0"/>
    <s v="CO2E"/>
    <n v="330356.92330000002"/>
    <n v="0.34339999999999998"/>
    <s v="CUBIC METRES"/>
    <n v="2.83168E-2"/>
    <n v="962017.83149999997"/>
    <s v="AR4"/>
    <s v="Defra"/>
    <s v="Defra (2022)"/>
    <n v="2022"/>
    <n v="2020"/>
    <n v="330.35692330000001"/>
    <n v="0"/>
    <x v="13"/>
    <s v="Office"/>
  </r>
  <r>
    <n v="20129"/>
    <s v="Top of Hierarchy &gt; North America &gt; Vantage_Englewood"/>
    <x v="0"/>
    <x v="0"/>
    <d v="2022-01-01T00:00:00"/>
    <d v="2022-12-31T00:00:00"/>
    <x v="3"/>
    <d v="2022-01-01T00:00:00"/>
    <d v="2022-12-31T00:00:00"/>
    <s v="Natural gas"/>
    <n v="33973395"/>
    <s v="cubic feet"/>
    <x v="1"/>
    <m/>
    <s v="2023-03-21, 20:14"/>
    <s v="2023-07-20, 00:40"/>
    <n v="2022"/>
    <s v="natural_gas__wtt"/>
    <s v="Natural Gas WTT"/>
    <s v="wtt"/>
    <b v="0"/>
    <s v="WTT- FUELS; GASEOUS FUELS; NATURAL GAS"/>
    <x v="1"/>
    <x v="1"/>
    <m/>
    <m/>
    <m/>
    <m/>
    <n v="1"/>
    <s v="CO2E"/>
    <n v="330356.92330000002"/>
    <n v="0.34339999999999998"/>
    <s v="CUBIC METRES"/>
    <n v="2.83168E-2"/>
    <n v="962017.83149999997"/>
    <s v="AR4"/>
    <s v="Defra"/>
    <s v="Defra (2022)"/>
    <n v="2022"/>
    <n v="2020"/>
    <n v="0"/>
    <n v="330.35692330000001"/>
    <x v="13"/>
    <s v="Office"/>
  </r>
  <r>
    <n v="292839"/>
    <s v="Top of Hierarchy &gt; North America &gt; Vantage_Englewood"/>
    <x v="0"/>
    <x v="0"/>
    <d v="2022-01-01T00:00:00"/>
    <d v="2022-12-31T00:00:00"/>
    <x v="1"/>
    <d v="2022-01-01T00:00:00"/>
    <d v="2022-12-31T00:00:00"/>
    <s v="Diesel (average biofuel blend)"/>
    <n v="0"/>
    <s v="grams"/>
    <x v="1"/>
    <s v="No liquid fuel use"/>
    <s v="2023-05-05, 19:58"/>
    <s v="2023-07-20, 00:40"/>
    <n v="2022"/>
    <s v="diesel_avg_biofuel_blend"/>
    <s v="Diesel (Average Biofuel Blend)"/>
    <s v="model"/>
    <b v="0"/>
    <s v="FUELS; LIQUID FUELS; DIESEL (AVERAGE BIOFUEL BLEND)"/>
    <x v="2"/>
    <x v="0"/>
    <m/>
    <m/>
    <m/>
    <m/>
    <n v="0"/>
    <s v="CH4"/>
    <n v="0"/>
    <n v="0.31"/>
    <s v="TONNES"/>
    <n v="9.9999999999999995E-7"/>
    <n v="0"/>
    <s v="AR4"/>
    <s v="Defra"/>
    <s v="Defra (2022)"/>
    <n v="2022"/>
    <n v="2020"/>
    <n v="0"/>
    <n v="0"/>
    <x v="13"/>
    <s v="Office"/>
  </r>
  <r>
    <n v="292839"/>
    <s v="Top of Hierarchy &gt; North America &gt; Vantage_Englewood"/>
    <x v="0"/>
    <x v="0"/>
    <d v="2022-01-01T00:00:00"/>
    <d v="2022-12-31T00:00:00"/>
    <x v="1"/>
    <d v="2022-01-01T00:00:00"/>
    <d v="2022-12-31T00:00:00"/>
    <s v="Diesel (average biofuel blend)"/>
    <n v="0"/>
    <s v="grams"/>
    <x v="1"/>
    <s v="No liquid fuel use"/>
    <s v="2023-05-05, 19:58"/>
    <s v="2023-07-20, 00:40"/>
    <n v="2022"/>
    <s v="diesel_avg_biofuel_blend"/>
    <s v="Diesel (Average Biofuel Blend)"/>
    <s v="model"/>
    <b v="0"/>
    <s v="FUELS; LIQUID FUELS; DIESEL (AVERAGE BIOFUEL BLEND)"/>
    <x v="2"/>
    <x v="0"/>
    <m/>
    <m/>
    <m/>
    <m/>
    <n v="0"/>
    <s v="CO2"/>
    <n v="0"/>
    <n v="2988.85"/>
    <s v="TONNES"/>
    <n v="9.9999999999999995E-7"/>
    <n v="0"/>
    <s v="AR4"/>
    <s v="Defra"/>
    <s v="Defra (2022)"/>
    <n v="2022"/>
    <n v="2020"/>
    <n v="0"/>
    <n v="0"/>
    <x v="13"/>
    <s v="Office"/>
  </r>
  <r>
    <n v="292839"/>
    <s v="Top of Hierarchy &gt; North America &gt; Vantage_Englewood"/>
    <x v="0"/>
    <x v="0"/>
    <d v="2022-01-01T00:00:00"/>
    <d v="2022-12-31T00:00:00"/>
    <x v="1"/>
    <d v="2022-01-01T00:00:00"/>
    <d v="2022-12-31T00:00:00"/>
    <s v="Diesel (average biofuel blend)"/>
    <n v="0"/>
    <s v="grams"/>
    <x v="1"/>
    <s v="No liquid fuel use"/>
    <s v="2023-05-05, 19:58"/>
    <s v="2023-07-20, 00:40"/>
    <n v="2022"/>
    <s v="diesel_avg_biofuel_blend"/>
    <s v="Diesel (Average Biofuel Blend)"/>
    <s v="model"/>
    <b v="0"/>
    <s v="FUELS; LIQUID FUELS; DIESEL (AVERAGE BIOFUEL BLEND)"/>
    <x v="2"/>
    <x v="0"/>
    <m/>
    <m/>
    <m/>
    <m/>
    <n v="0"/>
    <s v="CO2E"/>
    <n v="0"/>
    <n v="3032.89"/>
    <s v="TONNES"/>
    <n v="9.9999999999999995E-7"/>
    <n v="0"/>
    <s v="AR4"/>
    <s v="Defra"/>
    <s v="Defra (2022)"/>
    <n v="2022"/>
    <n v="2020"/>
    <n v="0"/>
    <n v="0"/>
    <x v="13"/>
    <s v="Office"/>
  </r>
  <r>
    <n v="292839"/>
    <s v="Top of Hierarchy &gt; North America &gt; Vantage_Englewood"/>
    <x v="0"/>
    <x v="0"/>
    <d v="2022-01-01T00:00:00"/>
    <d v="2022-12-31T00:00:00"/>
    <x v="1"/>
    <d v="2022-01-01T00:00:00"/>
    <d v="2022-12-31T00:00:00"/>
    <s v="Diesel (average biofuel blend)"/>
    <n v="0"/>
    <s v="grams"/>
    <x v="1"/>
    <s v="No liquid fuel use"/>
    <s v="2023-05-05, 19:58"/>
    <s v="2023-07-20, 00:40"/>
    <n v="2022"/>
    <s v="diesel_avg_biofuel_blend"/>
    <s v="Diesel (Average Biofuel Blend)"/>
    <s v="model"/>
    <b v="0"/>
    <s v="FUELS; LIQUID FUELS; DIESEL (AVERAGE BIOFUEL BLEND)"/>
    <x v="2"/>
    <x v="0"/>
    <m/>
    <m/>
    <m/>
    <m/>
    <n v="0"/>
    <s v="N2O"/>
    <n v="0"/>
    <n v="43.73"/>
    <s v="TONNES"/>
    <n v="9.9999999999999995E-7"/>
    <n v="0"/>
    <s v="AR4"/>
    <s v="Defra"/>
    <s v="Defra (2022)"/>
    <n v="2022"/>
    <n v="2020"/>
    <n v="0"/>
    <n v="0"/>
    <x v="13"/>
    <s v="Office"/>
  </r>
  <r>
    <n v="292839"/>
    <s v="Top of Hierarchy &gt; North America &gt; Vantage_Englewood"/>
    <x v="0"/>
    <x v="0"/>
    <d v="2022-01-01T00:00:00"/>
    <d v="2022-12-31T00:00:00"/>
    <x v="1"/>
    <d v="2022-01-01T00:00:00"/>
    <d v="2022-12-31T00:00:00"/>
    <s v="Diesel (average biofuel blend)"/>
    <n v="0"/>
    <s v="grams"/>
    <x v="1"/>
    <s v="No liquid fuel use"/>
    <s v="2023-05-05, 19:58"/>
    <s v="2023-07-20, 00:40"/>
    <n v="2022"/>
    <s v="diesel_avg_biofuel_blend"/>
    <s v="Diesel (Average Biofuel Blend)"/>
    <s v="model"/>
    <b v="0"/>
    <s v="FUELS; LIQUID FUELS; DIESEL (AVERAGE BIOFUEL BLEND)"/>
    <x v="2"/>
    <x v="0"/>
    <m/>
    <m/>
    <m/>
    <m/>
    <n v="1"/>
    <s v="CH4"/>
    <n v="0"/>
    <n v="0.31"/>
    <s v="TONNES"/>
    <n v="9.9999999999999995E-7"/>
    <n v="0"/>
    <s v="AR4"/>
    <s v="Defra"/>
    <s v="Defra (2022)"/>
    <n v="2022"/>
    <n v="2020"/>
    <n v="0"/>
    <n v="0"/>
    <x v="13"/>
    <s v="Office"/>
  </r>
  <r>
    <n v="292839"/>
    <s v="Top of Hierarchy &gt; North America &gt; Vantage_Englewood"/>
    <x v="0"/>
    <x v="0"/>
    <d v="2022-01-01T00:00:00"/>
    <d v="2022-12-31T00:00:00"/>
    <x v="1"/>
    <d v="2022-01-01T00:00:00"/>
    <d v="2022-12-31T00:00:00"/>
    <s v="Diesel (average biofuel blend)"/>
    <n v="0"/>
    <s v="grams"/>
    <x v="1"/>
    <s v="No liquid fuel use"/>
    <s v="2023-05-05, 19:58"/>
    <s v="2023-07-20, 00:40"/>
    <n v="2022"/>
    <s v="diesel_avg_biofuel_blend"/>
    <s v="Diesel (Average Biofuel Blend)"/>
    <s v="model"/>
    <b v="0"/>
    <s v="FUELS; LIQUID FUELS; DIESEL (AVERAGE BIOFUEL BLEND)"/>
    <x v="2"/>
    <x v="0"/>
    <m/>
    <m/>
    <m/>
    <m/>
    <n v="1"/>
    <s v="CO2"/>
    <n v="0"/>
    <n v="2988.85"/>
    <s v="TONNES"/>
    <n v="9.9999999999999995E-7"/>
    <n v="0"/>
    <s v="AR4"/>
    <s v="Defra"/>
    <s v="Defra (2022)"/>
    <n v="2022"/>
    <n v="2020"/>
    <n v="0"/>
    <n v="0"/>
    <x v="13"/>
    <s v="Office"/>
  </r>
  <r>
    <n v="292839"/>
    <s v="Top of Hierarchy &gt; North America &gt; Vantage_Englewood"/>
    <x v="0"/>
    <x v="0"/>
    <d v="2022-01-01T00:00:00"/>
    <d v="2022-12-31T00:00:00"/>
    <x v="1"/>
    <d v="2022-01-01T00:00:00"/>
    <d v="2022-12-31T00:00:00"/>
    <s v="Diesel (average biofuel blend)"/>
    <n v="0"/>
    <s v="grams"/>
    <x v="1"/>
    <s v="No liquid fuel use"/>
    <s v="2023-05-05, 19:58"/>
    <s v="2023-07-20, 00:40"/>
    <n v="2022"/>
    <s v="diesel_avg_biofuel_blend"/>
    <s v="Diesel (Average Biofuel Blend)"/>
    <s v="model"/>
    <b v="0"/>
    <s v="FUELS; LIQUID FUELS; DIESEL (AVERAGE BIOFUEL BLEND)"/>
    <x v="2"/>
    <x v="0"/>
    <m/>
    <m/>
    <m/>
    <m/>
    <n v="1"/>
    <s v="CO2E"/>
    <n v="0"/>
    <n v="3032.89"/>
    <s v="TONNES"/>
    <n v="9.9999999999999995E-7"/>
    <n v="0"/>
    <s v="AR4"/>
    <s v="Defra"/>
    <s v="Defra (2022)"/>
    <n v="2022"/>
    <n v="2020"/>
    <n v="0"/>
    <n v="0"/>
    <x v="13"/>
    <s v="Office"/>
  </r>
  <r>
    <n v="292839"/>
    <s v="Top of Hierarchy &gt; North America &gt; Vantage_Englewood"/>
    <x v="0"/>
    <x v="0"/>
    <d v="2022-01-01T00:00:00"/>
    <d v="2022-12-31T00:00:00"/>
    <x v="1"/>
    <d v="2022-01-01T00:00:00"/>
    <d v="2022-12-31T00:00:00"/>
    <s v="Diesel (average biofuel blend)"/>
    <n v="0"/>
    <s v="grams"/>
    <x v="1"/>
    <s v="No liquid fuel use"/>
    <s v="2023-05-05, 19:58"/>
    <s v="2023-07-20, 00:40"/>
    <n v="2022"/>
    <s v="diesel_avg_biofuel_blend"/>
    <s v="Diesel (Average Biofuel Blend)"/>
    <s v="model"/>
    <b v="0"/>
    <s v="FUELS; LIQUID FUELS; DIESEL (AVERAGE BIOFUEL BLEND)"/>
    <x v="2"/>
    <x v="0"/>
    <m/>
    <m/>
    <m/>
    <m/>
    <n v="1"/>
    <s v="N2O"/>
    <n v="0"/>
    <n v="43.73"/>
    <s v="TONNES"/>
    <n v="9.9999999999999995E-7"/>
    <n v="0"/>
    <s v="AR4"/>
    <s v="Defra"/>
    <s v="Defra (2022)"/>
    <n v="2022"/>
    <n v="2020"/>
    <n v="0"/>
    <n v="0"/>
    <x v="13"/>
    <s v="Office"/>
  </r>
  <r>
    <n v="292839"/>
    <s v="Top of Hierarchy &gt; North America &gt; Vantage_Englewood"/>
    <x v="0"/>
    <x v="0"/>
    <d v="2022-01-01T00:00:00"/>
    <d v="2022-12-31T00:00:00"/>
    <x v="1"/>
    <d v="2022-01-01T00:00:00"/>
    <d v="2022-12-31T00:00:00"/>
    <s v="Diesel (average biofuel blend)"/>
    <n v="0"/>
    <s v="grams"/>
    <x v="1"/>
    <s v="No liquid fuel use"/>
    <s v="2023-05-05, 19:58"/>
    <s v="2023-07-20, 00:40"/>
    <n v="2022"/>
    <s v="diesel_avg_biofuel_blend__wtt"/>
    <s v="Diesel (Average Biofuel Blend) WTT"/>
    <s v="wtt"/>
    <b v="0"/>
    <s v="WTT- FUELS; LIQUID FUELS; DIESEL (AVERAGE BIOFUEL BLEND)"/>
    <x v="1"/>
    <x v="1"/>
    <m/>
    <m/>
    <m/>
    <m/>
    <n v="0"/>
    <s v="CO2E"/>
    <n v="0"/>
    <n v="720.72856999999999"/>
    <s v="TONNES"/>
    <n v="9.9999999999999995E-7"/>
    <n v="0"/>
    <s v="AR4"/>
    <s v="Defra"/>
    <s v="Defra (2022)"/>
    <n v="2022"/>
    <n v="2020"/>
    <n v="0"/>
    <n v="0"/>
    <x v="13"/>
    <s v="Office"/>
  </r>
  <r>
    <n v="292839"/>
    <s v="Top of Hierarchy &gt; North America &gt; Vantage_Englewood"/>
    <x v="0"/>
    <x v="0"/>
    <d v="2022-01-01T00:00:00"/>
    <d v="2022-12-31T00:00:00"/>
    <x v="1"/>
    <d v="2022-01-01T00:00:00"/>
    <d v="2022-12-31T00:00:00"/>
    <s v="Diesel (average biofuel blend)"/>
    <n v="0"/>
    <s v="grams"/>
    <x v="1"/>
    <s v="No liquid fuel use"/>
    <s v="2023-05-05, 19:58"/>
    <s v="2023-07-20, 00:40"/>
    <n v="2022"/>
    <s v="diesel_avg_biofuel_blend__wtt"/>
    <s v="Diesel (Average Biofuel Blend) WTT"/>
    <s v="wtt"/>
    <b v="0"/>
    <s v="WTT- FUELS; LIQUID FUELS; DIESEL (AVERAGE BIOFUEL BLEND)"/>
    <x v="1"/>
    <x v="1"/>
    <m/>
    <m/>
    <m/>
    <m/>
    <n v="1"/>
    <s v="CO2E"/>
    <n v="0"/>
    <n v="720.72856999999999"/>
    <s v="TONNES"/>
    <n v="9.9999999999999995E-7"/>
    <n v="0"/>
    <s v="AR4"/>
    <s v="Defra"/>
    <s v="Defra (2022)"/>
    <n v="2022"/>
    <n v="2020"/>
    <n v="0"/>
    <n v="0"/>
    <x v="13"/>
    <s v="Office"/>
  </r>
  <r>
    <n v="290055"/>
    <s v="Top of Hierarchy &gt; North America &gt; Vantage_Englewood"/>
    <x v="0"/>
    <x v="0"/>
    <d v="2022-01-01T00:00:00"/>
    <d v="2022-12-31T00:00:00"/>
    <x v="4"/>
    <d v="2022-01-01T00:00:00"/>
    <d v="2022-12-31T00:00:00"/>
    <s v="R-507"/>
    <n v="80"/>
    <s v="pounds"/>
    <x v="1"/>
    <s v="Told directly by invoice agent at Superior Mech"/>
    <s v="2023-05-02, 20:13"/>
    <s v="2023-07-20, 00:40"/>
    <n v="2022"/>
    <s v="r507"/>
    <s v="R-507"/>
    <s v="model"/>
    <b v="0"/>
    <s v="REFRIGERANT: R-507"/>
    <x v="2"/>
    <x v="0"/>
    <m/>
    <m/>
    <m/>
    <m/>
    <n v="0"/>
    <s v="CO2E"/>
    <n v="144605.4197"/>
    <n v="3985"/>
    <s v="KG"/>
    <n v="0.45359291000000002"/>
    <n v="36.287432799999998"/>
    <s v="AR4"/>
    <s v="IPCC"/>
    <s v="IPCC (2021)"/>
    <n v="2022"/>
    <n v="2007"/>
    <n v="144.6054197"/>
    <n v="0"/>
    <x v="13"/>
    <s v="Office"/>
  </r>
  <r>
    <n v="290055"/>
    <s v="Top of Hierarchy &gt; North America &gt; Vantage_Englewood"/>
    <x v="0"/>
    <x v="0"/>
    <d v="2022-01-01T00:00:00"/>
    <d v="2022-12-31T00:00:00"/>
    <x v="4"/>
    <d v="2022-01-01T00:00:00"/>
    <d v="2022-12-31T00:00:00"/>
    <s v="R-507"/>
    <n v="80"/>
    <s v="pounds"/>
    <x v="1"/>
    <s v="Told directly by invoice agent at Superior Mech"/>
    <s v="2023-05-02, 20:13"/>
    <s v="2023-07-20, 00:40"/>
    <n v="2022"/>
    <s v="r507"/>
    <s v="R-507"/>
    <s v="model"/>
    <b v="0"/>
    <s v="REFRIGERANT: R-507"/>
    <x v="2"/>
    <x v="0"/>
    <m/>
    <m/>
    <m/>
    <m/>
    <n v="1"/>
    <s v="CO2E"/>
    <n v="144605.4197"/>
    <n v="3985"/>
    <s v="KG"/>
    <n v="0.45359291000000002"/>
    <n v="36.287432799999998"/>
    <s v="AR4"/>
    <s v="IPCC"/>
    <s v="IPCC (2021)"/>
    <n v="2022"/>
    <n v="2007"/>
    <n v="0"/>
    <n v="144.6054197"/>
    <x v="13"/>
    <s v="Office"/>
  </r>
  <r>
    <n v="292844"/>
    <s v="Top of Hierarchy &gt; North America &gt; Vantage_Englewood"/>
    <x v="0"/>
    <x v="0"/>
    <d v="2022-01-01T00:00:00"/>
    <d v="2022-12-31T00:00:00"/>
    <x v="4"/>
    <d v="2022-01-01T00:00:00"/>
    <d v="2022-12-31T00:00:00"/>
    <s v="R410A"/>
    <n v="0"/>
    <s v="pounds"/>
    <x v="1"/>
    <s v="The refrigerant is R-507 and R410A in both chillers and HVAC units. Unsure how much"/>
    <s v="2023-05-05, 19:59"/>
    <s v="2023-07-20, 00:40"/>
    <n v="2022"/>
    <s v="r410a"/>
    <s v="R410A"/>
    <s v="model"/>
    <b v="0"/>
    <s v="REFRIGERANT: R-410A"/>
    <x v="2"/>
    <x v="0"/>
    <m/>
    <m/>
    <m/>
    <m/>
    <n v="0"/>
    <s v="CO2E"/>
    <n v="0"/>
    <n v="2088"/>
    <s v="KG"/>
    <n v="0.45359291000000002"/>
    <n v="0"/>
    <s v="AR4"/>
    <s v="IPCC"/>
    <s v="IPCC (2021)"/>
    <n v="2022"/>
    <n v="2007"/>
    <n v="0"/>
    <n v="0"/>
    <x v="13"/>
    <s v="Office"/>
  </r>
  <r>
    <n v="292844"/>
    <s v="Top of Hierarchy &gt; North America &gt; Vantage_Englewood"/>
    <x v="0"/>
    <x v="0"/>
    <d v="2022-01-01T00:00:00"/>
    <d v="2022-12-31T00:00:00"/>
    <x v="4"/>
    <d v="2022-01-01T00:00:00"/>
    <d v="2022-12-31T00:00:00"/>
    <s v="R410A"/>
    <n v="0"/>
    <s v="pounds"/>
    <x v="1"/>
    <s v="The refrigerant is R-507 and R410A in both chillers and HVAC units. Unsure how much"/>
    <s v="2023-05-05, 19:59"/>
    <s v="2023-07-20, 00:40"/>
    <n v="2022"/>
    <s v="r410a"/>
    <s v="R410A"/>
    <s v="model"/>
    <b v="0"/>
    <s v="REFRIGERANT: R-410A"/>
    <x v="2"/>
    <x v="0"/>
    <m/>
    <m/>
    <m/>
    <m/>
    <n v="1"/>
    <s v="CO2E"/>
    <n v="0"/>
    <n v="2088"/>
    <s v="KG"/>
    <n v="0.45359291000000002"/>
    <n v="0"/>
    <s v="AR4"/>
    <s v="IPCC"/>
    <s v="IPCC (2021)"/>
    <n v="2022"/>
    <n v="2007"/>
    <n v="0"/>
    <n v="0"/>
    <x v="13"/>
    <s v="Office"/>
  </r>
  <r>
    <n v="292841"/>
    <s v="Top of Hierarchy &gt; North America &gt; Vantage_Englewood"/>
    <x v="0"/>
    <x v="0"/>
    <d v="2022-01-01T00:00:00"/>
    <d v="2022-12-31T00:00:00"/>
    <x v="2"/>
    <d v="2022-01-01T00:00:00"/>
    <d v="2022-12-31T00:00:00"/>
    <s v="Propane"/>
    <n v="0"/>
    <s v="US liquid gallons"/>
    <x v="1"/>
    <s v="All forklifts are electric"/>
    <s v="2023-05-05, 19:59"/>
    <s v="2023-07-20, 00:40"/>
    <n v="2022"/>
    <s v="propane"/>
    <s v="Propane"/>
    <s v="model"/>
    <b v="0"/>
    <s v="PETROLEUM PRODUCTS, PROPANE"/>
    <x v="2"/>
    <x v="0"/>
    <s v="Americas"/>
    <s v="Northern America"/>
    <s v="US"/>
    <m/>
    <n v="0"/>
    <s v="CH4"/>
    <n v="0"/>
    <n v="6.7499999999999999E-3"/>
    <s v="GALLON (US LIQUID)"/>
    <n v="1"/>
    <n v="0"/>
    <s v="AR4"/>
    <s v="USEPA"/>
    <s v="USEPA Emission Factors Hub (Last Modified: March 2020)"/>
    <n v="2022"/>
    <n v="2021"/>
    <n v="0"/>
    <n v="0"/>
    <x v="13"/>
    <s v="Office"/>
  </r>
  <r>
    <n v="292841"/>
    <s v="Top of Hierarchy &gt; North America &gt; Vantage_Englewood"/>
    <x v="0"/>
    <x v="0"/>
    <d v="2022-01-01T00:00:00"/>
    <d v="2022-12-31T00:00:00"/>
    <x v="2"/>
    <d v="2022-01-01T00:00:00"/>
    <d v="2022-12-31T00:00:00"/>
    <s v="Propane"/>
    <n v="0"/>
    <s v="US liquid gallons"/>
    <x v="1"/>
    <s v="All forklifts are electric"/>
    <s v="2023-05-05, 19:59"/>
    <s v="2023-07-20, 00:40"/>
    <n v="2022"/>
    <s v="propane"/>
    <s v="Propane"/>
    <s v="model"/>
    <b v="0"/>
    <s v="PETROLEUM PRODUCTS, PROPANE"/>
    <x v="2"/>
    <x v="0"/>
    <s v="Americas"/>
    <s v="Northern America"/>
    <s v="US"/>
    <m/>
    <n v="0"/>
    <s v="CO2"/>
    <n v="0"/>
    <n v="5.72"/>
    <s v="GALLON (US LIQUID)"/>
    <n v="1"/>
    <n v="0"/>
    <s v="AR4"/>
    <s v="USEPA"/>
    <s v="USEPA (2022)"/>
    <n v="2022"/>
    <n v="2022"/>
    <n v="0"/>
    <n v="0"/>
    <x v="13"/>
    <s v="Office"/>
  </r>
  <r>
    <n v="292841"/>
    <s v="Top of Hierarchy &gt; North America &gt; Vantage_Englewood"/>
    <x v="0"/>
    <x v="0"/>
    <d v="2022-01-01T00:00:00"/>
    <d v="2022-12-31T00:00:00"/>
    <x v="2"/>
    <d v="2022-01-01T00:00:00"/>
    <d v="2022-12-31T00:00:00"/>
    <s v="Propane"/>
    <n v="0"/>
    <s v="US liquid gallons"/>
    <x v="1"/>
    <s v="All forklifts are electric"/>
    <s v="2023-05-05, 19:59"/>
    <s v="2023-07-20, 00:40"/>
    <n v="2022"/>
    <s v="propane"/>
    <s v="Propane"/>
    <s v="model"/>
    <b v="0"/>
    <s v="PETROLEUM PRODUCTS, PROPANE"/>
    <x v="2"/>
    <x v="0"/>
    <s v="Americas"/>
    <s v="Northern America"/>
    <s v="US"/>
    <m/>
    <n v="0"/>
    <s v="CO2E"/>
    <n v="0"/>
    <n v="5.7416499999999999"/>
    <s v="GALLON (US LIQUID)"/>
    <n v="1"/>
    <n v="0"/>
    <s v="AR4"/>
    <s v="USEPA"/>
    <s v="USEPA (2022)"/>
    <n v="2022"/>
    <n v="2022"/>
    <n v="0"/>
    <n v="0"/>
    <x v="13"/>
    <s v="Office"/>
  </r>
  <r>
    <n v="292841"/>
    <s v="Top of Hierarchy &gt; North America &gt; Vantage_Englewood"/>
    <x v="0"/>
    <x v="0"/>
    <d v="2022-01-01T00:00:00"/>
    <d v="2022-12-31T00:00:00"/>
    <x v="2"/>
    <d v="2022-01-01T00:00:00"/>
    <d v="2022-12-31T00:00:00"/>
    <s v="Propane"/>
    <n v="0"/>
    <s v="US liquid gallons"/>
    <x v="1"/>
    <s v="All forklifts are electric"/>
    <s v="2023-05-05, 19:59"/>
    <s v="2023-07-20, 00:40"/>
    <n v="2022"/>
    <s v="propane"/>
    <s v="Propane"/>
    <s v="model"/>
    <b v="0"/>
    <s v="PETROLEUM PRODUCTS, PROPANE"/>
    <x v="2"/>
    <x v="0"/>
    <s v="Americas"/>
    <s v="Northern America"/>
    <s v="US"/>
    <m/>
    <n v="0"/>
    <s v="N2O"/>
    <n v="0"/>
    <n v="1.49E-2"/>
    <s v="GALLON (US LIQUID)"/>
    <n v="1"/>
    <n v="0"/>
    <s v="AR4"/>
    <s v="USEPA"/>
    <s v="USEPA Emission Factors Hub (Last Modified: March 2020)"/>
    <n v="2022"/>
    <n v="2021"/>
    <n v="0"/>
    <n v="0"/>
    <x v="13"/>
    <s v="Office"/>
  </r>
  <r>
    <n v="292841"/>
    <s v="Top of Hierarchy &gt; North America &gt; Vantage_Englewood"/>
    <x v="0"/>
    <x v="0"/>
    <d v="2022-01-01T00:00:00"/>
    <d v="2022-12-31T00:00:00"/>
    <x v="2"/>
    <d v="2022-01-01T00:00:00"/>
    <d v="2022-12-31T00:00:00"/>
    <s v="Propane"/>
    <n v="0"/>
    <s v="US liquid gallons"/>
    <x v="1"/>
    <s v="All forklifts are electric"/>
    <s v="2023-05-05, 19:59"/>
    <s v="2023-07-20, 00:40"/>
    <n v="2022"/>
    <s v="propane"/>
    <s v="Propane"/>
    <s v="model"/>
    <b v="0"/>
    <s v="PETROLEUM PRODUCTS, PROPANE"/>
    <x v="2"/>
    <x v="0"/>
    <s v="Americas"/>
    <s v="Northern America"/>
    <s v="US"/>
    <m/>
    <n v="1"/>
    <s v="CH4"/>
    <n v="0"/>
    <n v="6.7499999999999999E-3"/>
    <s v="GALLON (US LIQUID)"/>
    <n v="1"/>
    <n v="0"/>
    <s v="AR4"/>
    <s v="USEPA"/>
    <s v="USEPA Emission Factors Hub (Last Modified: March 2020)"/>
    <n v="2022"/>
    <n v="2021"/>
    <n v="0"/>
    <n v="0"/>
    <x v="13"/>
    <s v="Office"/>
  </r>
  <r>
    <n v="292841"/>
    <s v="Top of Hierarchy &gt; North America &gt; Vantage_Englewood"/>
    <x v="0"/>
    <x v="0"/>
    <d v="2022-01-01T00:00:00"/>
    <d v="2022-12-31T00:00:00"/>
    <x v="2"/>
    <d v="2022-01-01T00:00:00"/>
    <d v="2022-12-31T00:00:00"/>
    <s v="Propane"/>
    <n v="0"/>
    <s v="US liquid gallons"/>
    <x v="1"/>
    <s v="All forklifts are electric"/>
    <s v="2023-05-05, 19:59"/>
    <s v="2023-07-20, 00:40"/>
    <n v="2022"/>
    <s v="propane"/>
    <s v="Propane"/>
    <s v="model"/>
    <b v="0"/>
    <s v="PETROLEUM PRODUCTS, PROPANE"/>
    <x v="2"/>
    <x v="0"/>
    <s v="Americas"/>
    <s v="Northern America"/>
    <s v="US"/>
    <m/>
    <n v="1"/>
    <s v="CO2"/>
    <n v="0"/>
    <n v="5.72"/>
    <s v="GALLON (US LIQUID)"/>
    <n v="1"/>
    <n v="0"/>
    <s v="AR4"/>
    <s v="USEPA"/>
    <s v="USEPA (2022)"/>
    <n v="2022"/>
    <n v="2022"/>
    <n v="0"/>
    <n v="0"/>
    <x v="13"/>
    <s v="Office"/>
  </r>
  <r>
    <n v="292841"/>
    <s v="Top of Hierarchy &gt; North America &gt; Vantage_Englewood"/>
    <x v="0"/>
    <x v="0"/>
    <d v="2022-01-01T00:00:00"/>
    <d v="2022-12-31T00:00:00"/>
    <x v="2"/>
    <d v="2022-01-01T00:00:00"/>
    <d v="2022-12-31T00:00:00"/>
    <s v="Propane"/>
    <n v="0"/>
    <s v="US liquid gallons"/>
    <x v="1"/>
    <s v="All forklifts are electric"/>
    <s v="2023-05-05, 19:59"/>
    <s v="2023-07-20, 00:40"/>
    <n v="2022"/>
    <s v="propane"/>
    <s v="Propane"/>
    <s v="model"/>
    <b v="0"/>
    <s v="PETROLEUM PRODUCTS, PROPANE"/>
    <x v="2"/>
    <x v="0"/>
    <s v="Americas"/>
    <s v="Northern America"/>
    <s v="US"/>
    <m/>
    <n v="1"/>
    <s v="CO2E"/>
    <n v="0"/>
    <n v="5.7416499999999999"/>
    <s v="GALLON (US LIQUID)"/>
    <n v="1"/>
    <n v="0"/>
    <s v="AR4"/>
    <s v="USEPA"/>
    <s v="USEPA (2022)"/>
    <n v="2022"/>
    <n v="2022"/>
    <n v="0"/>
    <n v="0"/>
    <x v="13"/>
    <s v="Office"/>
  </r>
  <r>
    <n v="292841"/>
    <s v="Top of Hierarchy &gt; North America &gt; Vantage_Englewood"/>
    <x v="0"/>
    <x v="0"/>
    <d v="2022-01-01T00:00:00"/>
    <d v="2022-12-31T00:00:00"/>
    <x v="2"/>
    <d v="2022-01-01T00:00:00"/>
    <d v="2022-12-31T00:00:00"/>
    <s v="Propane"/>
    <n v="0"/>
    <s v="US liquid gallons"/>
    <x v="1"/>
    <s v="All forklifts are electric"/>
    <s v="2023-05-05, 19:59"/>
    <s v="2023-07-20, 00:40"/>
    <n v="2022"/>
    <s v="propane"/>
    <s v="Propane"/>
    <s v="model"/>
    <b v="0"/>
    <s v="PETROLEUM PRODUCTS, PROPANE"/>
    <x v="2"/>
    <x v="0"/>
    <s v="Americas"/>
    <s v="Northern America"/>
    <s v="US"/>
    <m/>
    <n v="1"/>
    <s v="N2O"/>
    <n v="0"/>
    <n v="1.49E-2"/>
    <s v="GALLON (US LIQUID)"/>
    <n v="1"/>
    <n v="0"/>
    <s v="AR4"/>
    <s v="USEPA"/>
    <s v="USEPA Emission Factors Hub (Last Modified: March 2020)"/>
    <n v="2022"/>
    <n v="2021"/>
    <n v="0"/>
    <n v="0"/>
    <x v="13"/>
    <s v="Office"/>
  </r>
  <r>
    <n v="292841"/>
    <s v="Top of Hierarchy &gt; North America &gt; Vantage_Englewood"/>
    <x v="0"/>
    <x v="0"/>
    <d v="2022-01-01T00:00:00"/>
    <d v="2022-12-31T00:00:00"/>
    <x v="2"/>
    <d v="2022-01-01T00:00:00"/>
    <d v="2022-12-31T00:00:00"/>
    <s v="Propane"/>
    <n v="0"/>
    <s v="US liquid gallons"/>
    <x v="1"/>
    <s v="All forklifts are electric"/>
    <s v="2023-05-05, 19:59"/>
    <s v="2023-07-20, 00:40"/>
    <n v="2022"/>
    <s v="propane__wtt"/>
    <s v="Propane WTT"/>
    <s v="wtt"/>
    <b v="0"/>
    <s v="WTT- FUELS; GASEOUS FUELS; PROPANE"/>
    <x v="1"/>
    <x v="1"/>
    <m/>
    <m/>
    <m/>
    <m/>
    <n v="0"/>
    <s v="CO2E"/>
    <n v="0"/>
    <n v="0.18046000000000001"/>
    <s v="LITRES"/>
    <n v="3.7854100000000002"/>
    <n v="0"/>
    <s v="AR4"/>
    <s v="Defra"/>
    <s v="Defra (2022)"/>
    <n v="2022"/>
    <n v="2020"/>
    <n v="0"/>
    <n v="0"/>
    <x v="13"/>
    <s v="Office"/>
  </r>
  <r>
    <n v="292841"/>
    <s v="Top of Hierarchy &gt; North America &gt; Vantage_Englewood"/>
    <x v="0"/>
    <x v="0"/>
    <d v="2022-01-01T00:00:00"/>
    <d v="2022-12-31T00:00:00"/>
    <x v="2"/>
    <d v="2022-01-01T00:00:00"/>
    <d v="2022-12-31T00:00:00"/>
    <s v="Propane"/>
    <n v="0"/>
    <s v="US liquid gallons"/>
    <x v="1"/>
    <s v="All forklifts are electric"/>
    <s v="2023-05-05, 19:59"/>
    <s v="2023-07-20, 00:40"/>
    <n v="2022"/>
    <s v="propane__wtt"/>
    <s v="Propane WTT"/>
    <s v="wtt"/>
    <b v="0"/>
    <s v="WTT- FUELS; GASEOUS FUELS; PROPANE"/>
    <x v="1"/>
    <x v="1"/>
    <m/>
    <m/>
    <m/>
    <m/>
    <n v="1"/>
    <s v="CO2E"/>
    <n v="0"/>
    <n v="0.18046000000000001"/>
    <s v="LITRES"/>
    <n v="3.7854100000000002"/>
    <n v="0"/>
    <s v="AR4"/>
    <s v="Defra"/>
    <s v="Defra (2022)"/>
    <n v="2022"/>
    <n v="2020"/>
    <n v="0"/>
    <n v="0"/>
    <x v="13"/>
    <s v="Office"/>
  </r>
  <r>
    <n v="4948"/>
    <s v="Top of Hierarchy &gt; North America &gt; Vantage_Englewood"/>
    <x v="0"/>
    <x v="1"/>
    <d v="2021-01-01T00:00:00"/>
    <d v="2021-12-31T00:00:00"/>
    <x v="0"/>
    <d v="2021-01-01T00:00:00"/>
    <d v="2021-12-31T00:00:00"/>
    <s v="Electricity (non-renewable)"/>
    <n v="1827719"/>
    <s v="Kilowatt hours"/>
    <x v="1"/>
    <m/>
    <s v="2023-02-27, 16:27"/>
    <s v="2023-07-20, 00:40"/>
    <n v="2021"/>
    <s v="electricity"/>
    <s v="Electricity"/>
    <s v="model"/>
    <b v="0"/>
    <s v="ELECTRICITY; UNITED STATES - RFCW"/>
    <x v="0"/>
    <x v="0"/>
    <s v="Americas"/>
    <s v="Northern America"/>
    <s v="US"/>
    <s v="RFCW"/>
    <n v="0"/>
    <s v="CH4"/>
    <n v="2051.8724969999998"/>
    <n v="1.122641E-3"/>
    <s v="KWH"/>
    <n v="1"/>
    <n v="1827719"/>
    <s v="AR4"/>
    <s v="USEPA"/>
    <s v="USEPA (2021)"/>
    <n v="2021"/>
    <n v="2019"/>
    <n v="0"/>
    <n v="0"/>
    <x v="13"/>
    <s v="Office"/>
  </r>
  <r>
    <n v="4948"/>
    <s v="Top of Hierarchy &gt; North America &gt; Vantage_Englewood"/>
    <x v="0"/>
    <x v="1"/>
    <d v="2021-01-01T00:00:00"/>
    <d v="2021-12-31T00:00:00"/>
    <x v="0"/>
    <d v="2021-01-01T00:00:00"/>
    <d v="2021-12-31T00:00:00"/>
    <s v="Electricity (non-renewable)"/>
    <n v="1827719"/>
    <s v="Kilowatt hours"/>
    <x v="1"/>
    <m/>
    <s v="2023-02-27, 16:27"/>
    <s v="2023-07-20, 00:40"/>
    <n v="2021"/>
    <s v="electricity"/>
    <s v="Electricity"/>
    <s v="model"/>
    <b v="0"/>
    <s v="ELECTRICITY; UNITED STATES - RFCW"/>
    <x v="0"/>
    <x v="0"/>
    <s v="Americas"/>
    <s v="Northern America"/>
    <s v="US"/>
    <s v="RFCW"/>
    <n v="0"/>
    <s v="CO2"/>
    <n v="885147.95"/>
    <n v="0.484291048"/>
    <s v="KWH"/>
    <n v="1"/>
    <n v="1827719"/>
    <s v="AR4"/>
    <s v="USEPA"/>
    <s v="USEPA (2021)"/>
    <n v="2021"/>
    <n v="2019"/>
    <n v="0"/>
    <n v="0"/>
    <x v="13"/>
    <s v="Office"/>
  </r>
  <r>
    <n v="4948"/>
    <s v="Top of Hierarchy &gt; North America &gt; Vantage_Englewood"/>
    <x v="0"/>
    <x v="1"/>
    <d v="2021-01-01T00:00:00"/>
    <d v="2021-12-31T00:00:00"/>
    <x v="0"/>
    <d v="2021-01-01T00:00:00"/>
    <d v="2021-12-31T00:00:00"/>
    <s v="Electricity (non-renewable)"/>
    <n v="1827719"/>
    <s v="Kilowatt hours"/>
    <x v="1"/>
    <m/>
    <s v="2023-02-27, 16:27"/>
    <s v="2023-07-20, 00:40"/>
    <n v="2021"/>
    <s v="electricity"/>
    <s v="Electricity"/>
    <s v="model"/>
    <b v="0"/>
    <s v="ELECTRICITY; UNITED STATES - RFCW"/>
    <x v="0"/>
    <x v="0"/>
    <s v="Americas"/>
    <s v="Northern America"/>
    <s v="US"/>
    <s v="RFCW"/>
    <n v="0"/>
    <s v="CO2E"/>
    <n v="890658.57479999994"/>
    <n v="0.48730607599999998"/>
    <s v="KWH"/>
    <n v="1"/>
    <n v="1827719"/>
    <s v="AR4"/>
    <s v="USEPA"/>
    <s v="USEPA (2021)"/>
    <n v="2021"/>
    <n v="2019"/>
    <n v="890.6585748"/>
    <n v="0"/>
    <x v="13"/>
    <s v="Office"/>
  </r>
  <r>
    <n v="4948"/>
    <s v="Top of Hierarchy &gt; North America &gt; Vantage_Englewood"/>
    <x v="0"/>
    <x v="1"/>
    <d v="2021-01-01T00:00:00"/>
    <d v="2021-12-31T00:00:00"/>
    <x v="0"/>
    <d v="2021-01-01T00:00:00"/>
    <d v="2021-12-31T00:00:00"/>
    <s v="Electricity (non-renewable)"/>
    <n v="1827719"/>
    <s v="Kilowatt hours"/>
    <x v="1"/>
    <m/>
    <s v="2023-02-27, 16:27"/>
    <s v="2023-07-20, 00:40"/>
    <n v="2021"/>
    <s v="electricity"/>
    <s v="Electricity"/>
    <s v="model"/>
    <b v="0"/>
    <s v="ELECTRICITY; UNITED STATES - RFCW"/>
    <x v="0"/>
    <x v="0"/>
    <s v="Americas"/>
    <s v="Northern America"/>
    <s v="US"/>
    <s v="RFCW"/>
    <n v="0"/>
    <s v="N2O"/>
    <n v="3458.7523470000001"/>
    <n v="1.8923869999999999E-3"/>
    <s v="KWH"/>
    <n v="1"/>
    <n v="1827719"/>
    <s v="AR4"/>
    <s v="USEPA"/>
    <s v="USEPA (2021)"/>
    <n v="2021"/>
    <n v="2019"/>
    <n v="0"/>
    <n v="0"/>
    <x v="13"/>
    <s v="Office"/>
  </r>
  <r>
    <n v="4948"/>
    <s v="Top of Hierarchy &gt; North America &gt; Vantage_Englewood"/>
    <x v="0"/>
    <x v="1"/>
    <d v="2021-01-01T00:00:00"/>
    <d v="2021-12-31T00:00:00"/>
    <x v="0"/>
    <d v="2021-01-01T00:00:00"/>
    <d v="2021-12-31T00:00:00"/>
    <s v="Electricity (non-renewable)"/>
    <n v="1827719"/>
    <s v="Kilowatt hours"/>
    <x v="1"/>
    <m/>
    <s v="2023-02-27, 16:27"/>
    <s v="2023-07-20, 00:40"/>
    <n v="2021"/>
    <s v="electricity"/>
    <s v="Electricity"/>
    <s v="model"/>
    <b v="0"/>
    <s v="ELECTRICITY; UNITED STATES - RFCW"/>
    <x v="0"/>
    <x v="0"/>
    <s v="Americas"/>
    <s v="Northern America"/>
    <s v="US"/>
    <s v="RFCW"/>
    <n v="1"/>
    <s v="CO2E MKT"/>
    <n v="885472.10439999995"/>
    <n v="0.48446840299999999"/>
    <s v="KWH"/>
    <n v="1"/>
    <n v="1827719"/>
    <s v="AR4"/>
    <s v="Green-e"/>
    <s v="Green-e (2021)"/>
    <n v="2021"/>
    <n v="2019"/>
    <n v="0"/>
    <n v="885.47210439999992"/>
    <x v="13"/>
    <s v="Office"/>
  </r>
  <r>
    <n v="4948"/>
    <s v="Top of Hierarchy &gt; North America &gt; Vantage_Englewood"/>
    <x v="0"/>
    <x v="1"/>
    <d v="2021-01-01T00:00:00"/>
    <d v="2021-12-31T00:00:00"/>
    <x v="0"/>
    <d v="2021-01-01T00:00:00"/>
    <d v="2021-12-31T00:00:00"/>
    <s v="Electricity (non-renewable)"/>
    <n v="1827719"/>
    <s v="Kilowatt hours"/>
    <x v="1"/>
    <m/>
    <s v="2023-02-27, 16:27"/>
    <s v="2023-07-20, 00:40"/>
    <n v="2021"/>
    <s v="electricity__t+d__wtt"/>
    <s v="Electricity T&amp;D WTT"/>
    <s v="t+d_wtt"/>
    <b v="0"/>
    <s v="ELECTRICITY; UNITED STATES - RFCW; T&amp;D WTT Estimated"/>
    <x v="1"/>
    <x v="1"/>
    <s v="Americas"/>
    <s v="Northern America"/>
    <s v="US"/>
    <s v="RFCW"/>
    <n v="0"/>
    <s v="CH4"/>
    <n v="27.644289780000001"/>
    <n v="1.5125E-5"/>
    <s v="KWH"/>
    <n v="1"/>
    <n v="1827719"/>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ELECTRICITY; TRANSMISSION AND DISTRIBUTION; UNITED STATES - RFCW, USEPA to estimate the T&amp;D WTT factor."/>
    <n v="2021"/>
    <n v="2019"/>
    <n v="0"/>
    <n v="0"/>
    <x v="13"/>
    <s v="Office"/>
  </r>
  <r>
    <n v="4948"/>
    <s v="Top of Hierarchy &gt; North America &gt; Vantage_Englewood"/>
    <x v="0"/>
    <x v="1"/>
    <d v="2021-01-01T00:00:00"/>
    <d v="2021-12-31T00:00:00"/>
    <x v="0"/>
    <d v="2021-01-01T00:00:00"/>
    <d v="2021-12-31T00:00:00"/>
    <s v="Electricity (non-renewable)"/>
    <n v="1827719"/>
    <s v="Kilowatt hours"/>
    <x v="1"/>
    <m/>
    <s v="2023-02-27, 16:27"/>
    <s v="2023-07-20, 00:40"/>
    <n v="2021"/>
    <s v="electricity__t+d__wtt"/>
    <s v="Electricity T&amp;D WTT"/>
    <s v="t+d_wtt"/>
    <b v="0"/>
    <s v="ELECTRICITY; UNITED STATES - RFCW; T&amp;D WTT Estimated"/>
    <x v="1"/>
    <x v="1"/>
    <s v="Americas"/>
    <s v="Northern America"/>
    <s v="US"/>
    <s v="RFCW"/>
    <n v="0"/>
    <s v="CO2"/>
    <n v="11925.344510000001"/>
    <n v="6.524714E-3"/>
    <s v="KWH"/>
    <n v="1"/>
    <n v="1827719"/>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ELECTRICITY; TRANSMISSION AND DISTRIBUTION; UNITED STATES - RFCW, USEPA to estimate the T&amp;D WTT factor."/>
    <n v="2021"/>
    <n v="2019"/>
    <n v="0"/>
    <n v="0"/>
    <x v="13"/>
    <s v="Office"/>
  </r>
  <r>
    <n v="4948"/>
    <s v="Top of Hierarchy &gt; North America &gt; Vantage_Englewood"/>
    <x v="0"/>
    <x v="1"/>
    <d v="2021-01-01T00:00:00"/>
    <d v="2021-12-31T00:00:00"/>
    <x v="0"/>
    <d v="2021-01-01T00:00:00"/>
    <d v="2021-12-31T00:00:00"/>
    <s v="Electricity (non-renewable)"/>
    <n v="1827719"/>
    <s v="Kilowatt hours"/>
    <x v="1"/>
    <m/>
    <s v="2023-02-27, 16:27"/>
    <s v="2023-07-20, 00:40"/>
    <n v="2021"/>
    <s v="electricity__t+d__wtt"/>
    <s v="Electricity T&amp;D WTT"/>
    <s v="t+d_wtt"/>
    <b v="0"/>
    <s v="ELECTRICITY; UNITED STATES - RFCW; T&amp;D WTT Estimated"/>
    <x v="1"/>
    <x v="1"/>
    <s v="Americas"/>
    <s v="Northern America"/>
    <s v="US"/>
    <s v="RFCW"/>
    <n v="0"/>
    <s v="CO2E"/>
    <n v="11999.587579999999"/>
    <n v="6.5653350000000003E-3"/>
    <s v="KWH"/>
    <n v="1"/>
    <n v="1827719"/>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ELECTRICITY; TRANSMISSION AND DISTRIBUTION; UNITED STATES - RFCW, USEPA to estimate the T&amp;D WTT factor."/>
    <n v="2021"/>
    <n v="2019"/>
    <n v="11.99958758"/>
    <n v="0"/>
    <x v="13"/>
    <s v="Office"/>
  </r>
  <r>
    <n v="4948"/>
    <s v="Top of Hierarchy &gt; North America &gt; Vantage_Englewood"/>
    <x v="0"/>
    <x v="1"/>
    <d v="2021-01-01T00:00:00"/>
    <d v="2021-12-31T00:00:00"/>
    <x v="0"/>
    <d v="2021-01-01T00:00:00"/>
    <d v="2021-12-31T00:00:00"/>
    <s v="Electricity (non-renewable)"/>
    <n v="1827719"/>
    <s v="Kilowatt hours"/>
    <x v="1"/>
    <m/>
    <s v="2023-02-27, 16:27"/>
    <s v="2023-07-20, 00:40"/>
    <n v="2021"/>
    <s v="electricity__t+d__wtt"/>
    <s v="Electricity T&amp;D WTT"/>
    <s v="t+d_wtt"/>
    <b v="0"/>
    <s v="ELECTRICITY; UNITED STATES - RFCW; T&amp;D WTT Estimated"/>
    <x v="1"/>
    <x v="1"/>
    <s v="Americas"/>
    <s v="Northern America"/>
    <s v="US"/>
    <s v="RFCW"/>
    <n v="0"/>
    <s v="N2O"/>
    <n v="46.59877857"/>
    <n v="2.54956E-5"/>
    <s v="KWH"/>
    <n v="1"/>
    <n v="1827719"/>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ELECTRICITY; TRANSMISSION AND DISTRIBUTION; UNITED STATES - RFCW, USEPA to estimate the T&amp;D WTT factor."/>
    <n v="2021"/>
    <n v="2019"/>
    <n v="0"/>
    <n v="0"/>
    <x v="13"/>
    <s v="Office"/>
  </r>
  <r>
    <n v="4948"/>
    <s v="Top of Hierarchy &gt; North America &gt; Vantage_Englewood"/>
    <x v="0"/>
    <x v="1"/>
    <d v="2021-01-01T00:00:00"/>
    <d v="2021-12-31T00:00:00"/>
    <x v="0"/>
    <d v="2021-01-01T00:00:00"/>
    <d v="2021-12-31T00:00:00"/>
    <s v="Electricity (non-renewable)"/>
    <n v="1827719"/>
    <s v="Kilowatt hours"/>
    <x v="1"/>
    <m/>
    <s v="2023-02-27, 16:27"/>
    <s v="2023-07-20, 00:40"/>
    <n v="2021"/>
    <s v="electricity__t+d__wtt"/>
    <s v="Electricity T&amp;D WTT"/>
    <s v="t+d_wtt"/>
    <b v="0"/>
    <s v="ELECTRICITY; UNITED STATES - RFCW; T&amp;D WTT Estimated"/>
    <x v="1"/>
    <x v="1"/>
    <s v="Americas"/>
    <s v="Northern America"/>
    <s v="US"/>
    <s v="RFCW"/>
    <n v="1"/>
    <s v="CO2E MKT"/>
    <n v="11929.71175"/>
    <n v="6.5271039999999997E-3"/>
    <s v="KWH"/>
    <n v="1"/>
    <n v="1827719"/>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  to estimate the T&amp;D WTT factor."/>
    <n v="2021"/>
    <n v="2019"/>
    <n v="0"/>
    <n v="11.929711750000001"/>
    <x v="13"/>
    <s v="Office"/>
  </r>
  <r>
    <n v="4948"/>
    <s v="Top of Hierarchy &gt; North America &gt; Vantage_Englewood"/>
    <x v="0"/>
    <x v="1"/>
    <d v="2021-01-01T00:00:00"/>
    <d v="2021-12-31T00:00:00"/>
    <x v="0"/>
    <d v="2021-01-01T00:00:00"/>
    <d v="2021-12-31T00:00:00"/>
    <s v="Electricity (non-renewable)"/>
    <n v="1827719"/>
    <s v="Kilowatt hours"/>
    <x v="1"/>
    <m/>
    <s v="2023-02-27, 16:27"/>
    <s v="2023-07-20, 00:40"/>
    <n v="2021"/>
    <s v="electricity__wtt"/>
    <s v="Electricity WTT"/>
    <s v="wtt"/>
    <b v="0"/>
    <s v="ELECTRICITY; UNITED STATES - RFCW; WTT Estimated"/>
    <x v="1"/>
    <x v="1"/>
    <s v="Americas"/>
    <s v="Northern America"/>
    <s v="US"/>
    <s v="RFCW"/>
    <n v="0"/>
    <s v="CH4"/>
    <n v="542.04489769999998"/>
    <n v="2.96569E-4"/>
    <s v="KWH"/>
    <n v="1"/>
    <n v="1827719"/>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RFCW, USEPAto estimate the WTT factor."/>
    <n v="2021"/>
    <n v="2019"/>
    <n v="0"/>
    <n v="0"/>
    <x v="13"/>
    <s v="Office"/>
  </r>
  <r>
    <n v="4948"/>
    <s v="Top of Hierarchy &gt; North America &gt; Vantage_Englewood"/>
    <x v="0"/>
    <x v="1"/>
    <d v="2021-01-01T00:00:00"/>
    <d v="2021-12-31T00:00:00"/>
    <x v="0"/>
    <d v="2021-01-01T00:00:00"/>
    <d v="2021-12-31T00:00:00"/>
    <s v="Electricity (non-renewable)"/>
    <n v="1827719"/>
    <s v="Kilowatt hours"/>
    <x v="1"/>
    <m/>
    <s v="2023-02-27, 16:27"/>
    <s v="2023-07-20, 00:40"/>
    <n v="2021"/>
    <s v="electricity__wtt"/>
    <s v="Electricity WTT"/>
    <s v="wtt"/>
    <b v="0"/>
    <s v="ELECTRICITY; UNITED STATES - RFCW; WTT Estimated"/>
    <x v="1"/>
    <x v="1"/>
    <s v="Americas"/>
    <s v="Northern America"/>
    <s v="US"/>
    <s v="RFCW"/>
    <n v="0"/>
    <s v="CO2"/>
    <n v="233830.28460000001"/>
    <n v="0.12793557699999999"/>
    <s v="KWH"/>
    <n v="1"/>
    <n v="1827719"/>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RFCW, USEPAto estimate the WTT factor."/>
    <n v="2021"/>
    <n v="2019"/>
    <n v="0"/>
    <n v="0"/>
    <x v="13"/>
    <s v="Office"/>
  </r>
  <r>
    <n v="4948"/>
    <s v="Top of Hierarchy &gt; North America &gt; Vantage_Englewood"/>
    <x v="0"/>
    <x v="1"/>
    <d v="2021-01-01T00:00:00"/>
    <d v="2021-12-31T00:00:00"/>
    <x v="0"/>
    <d v="2021-01-01T00:00:00"/>
    <d v="2021-12-31T00:00:00"/>
    <s v="Electricity (non-renewable)"/>
    <n v="1827719"/>
    <s v="Kilowatt hours"/>
    <x v="1"/>
    <m/>
    <s v="2023-02-27, 16:27"/>
    <s v="2023-07-20, 00:40"/>
    <n v="2021"/>
    <s v="electricity__wtt"/>
    <s v="Electricity WTT"/>
    <s v="wtt"/>
    <b v="0"/>
    <s v="ELECTRICITY; UNITED STATES - RFCW; WTT Estimated"/>
    <x v="1"/>
    <x v="1"/>
    <s v="Americas"/>
    <s v="Northern America"/>
    <s v="US"/>
    <s v="RFCW"/>
    <n v="0"/>
    <s v="CO2E"/>
    <n v="235286.03099999999"/>
    <n v="0.12873205900000001"/>
    <s v="KWH"/>
    <n v="1"/>
    <n v="1827719"/>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RFCW, USEPAto estimate the WTT factor."/>
    <n v="2021"/>
    <n v="2019"/>
    <n v="235.28603099999998"/>
    <n v="0"/>
    <x v="13"/>
    <s v="Office"/>
  </r>
  <r>
    <n v="4948"/>
    <s v="Top of Hierarchy &gt; North America &gt; Vantage_Englewood"/>
    <x v="0"/>
    <x v="1"/>
    <d v="2021-01-01T00:00:00"/>
    <d v="2021-12-31T00:00:00"/>
    <x v="0"/>
    <d v="2021-01-01T00:00:00"/>
    <d v="2021-12-31T00:00:00"/>
    <s v="Electricity (non-renewable)"/>
    <n v="1827719"/>
    <s v="Kilowatt hours"/>
    <x v="1"/>
    <m/>
    <s v="2023-02-27, 16:27"/>
    <s v="2023-07-20, 00:40"/>
    <n v="2021"/>
    <s v="electricity__wtt"/>
    <s v="Electricity WTT"/>
    <s v="wtt"/>
    <b v="0"/>
    <s v="ELECTRICITY; UNITED STATES - RFCW; WTT Estimated"/>
    <x v="1"/>
    <x v="1"/>
    <s v="Americas"/>
    <s v="Northern America"/>
    <s v="US"/>
    <s v="RFCW"/>
    <n v="0"/>
    <s v="N2O"/>
    <n v="913.70154060000004"/>
    <n v="4.9991399999999996E-4"/>
    <s v="KWH"/>
    <n v="1"/>
    <n v="1827719"/>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RFCW, USEPAto estimate the WTT factor."/>
    <n v="2021"/>
    <n v="2019"/>
    <n v="0"/>
    <n v="0"/>
    <x v="13"/>
    <s v="Office"/>
  </r>
  <r>
    <n v="4948"/>
    <s v="Top of Hierarchy &gt; North America &gt; Vantage_Englewood"/>
    <x v="0"/>
    <x v="1"/>
    <d v="2021-01-01T00:00:00"/>
    <d v="2021-12-31T00:00:00"/>
    <x v="0"/>
    <d v="2021-01-01T00:00:00"/>
    <d v="2021-12-31T00:00:00"/>
    <s v="Electricity (non-renewable)"/>
    <n v="1827719"/>
    <s v="Kilowatt hours"/>
    <x v="1"/>
    <m/>
    <s v="2023-02-27, 16:27"/>
    <s v="2023-07-20, 00:40"/>
    <n v="2021"/>
    <s v="electricity__wtt"/>
    <s v="Electricity WTT"/>
    <s v="wtt"/>
    <b v="0"/>
    <s v="ELECTRICITY; UNITED STATES - RFCW; WTT Estimated"/>
    <x v="1"/>
    <x v="1"/>
    <s v="Americas"/>
    <s v="Northern America"/>
    <s v="US"/>
    <s v="RFCW"/>
    <n v="1"/>
    <s v="CO2E MKT"/>
    <n v="233915.9167"/>
    <n v="0.12798242900000001"/>
    <s v="KWH"/>
    <n v="1"/>
    <n v="1827719"/>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RFCW, Green-eto estimate the WTT factor."/>
    <n v="2021"/>
    <n v="2019"/>
    <n v="0"/>
    <n v="233.9159167"/>
    <x v="13"/>
    <s v="Office"/>
  </r>
  <r>
    <n v="4948"/>
    <s v="Top of Hierarchy &gt; North America &gt; Vantage_Englewood"/>
    <x v="0"/>
    <x v="1"/>
    <d v="2021-01-01T00:00:00"/>
    <d v="2021-12-31T00:00:00"/>
    <x v="0"/>
    <d v="2021-01-01T00:00:00"/>
    <d v="2021-12-31T00:00:00"/>
    <s v="Electricity (non-renewable)"/>
    <n v="1827719"/>
    <s v="Kilowatt hours"/>
    <x v="1"/>
    <m/>
    <s v="2023-02-27, 16:27"/>
    <s v="2023-07-20, 00:40"/>
    <n v="2021"/>
    <s v="electricity__t+d"/>
    <s v="Electricity T&amp;D"/>
    <s v="t+d"/>
    <b v="0"/>
    <s v="ELECTRICITY; TRANSMISSION AND DISTRIBUTION; UNITED STATES - RFCW"/>
    <x v="1"/>
    <x v="1"/>
    <s v="Americas"/>
    <s v="Northern America"/>
    <s v="US"/>
    <s v="RFCW"/>
    <n v="0"/>
    <s v="CO2E"/>
    <n v="45423.587319999999"/>
    <n v="2.4852610000000001E-2"/>
    <s v="KWH"/>
    <n v="1"/>
    <n v="1827719"/>
    <s v="AR4"/>
    <s v="USEPA"/>
    <s v="USEPA (2021)"/>
    <n v="2021"/>
    <n v="2019"/>
    <n v="45.423587319999996"/>
    <n v="0"/>
    <x v="13"/>
    <s v="Office"/>
  </r>
  <r>
    <n v="4948"/>
    <s v="Top of Hierarchy &gt; North America &gt; Vantage_Englewood"/>
    <x v="0"/>
    <x v="1"/>
    <d v="2021-01-01T00:00:00"/>
    <d v="2021-12-31T00:00:00"/>
    <x v="0"/>
    <d v="2021-01-01T00:00:00"/>
    <d v="2021-12-31T00:00:00"/>
    <s v="Electricity (non-renewable)"/>
    <n v="1827719"/>
    <s v="Kilowatt hours"/>
    <x v="1"/>
    <m/>
    <s v="2023-02-27, 16:27"/>
    <s v="2023-07-20, 00:40"/>
    <n v="2021"/>
    <s v="electricity__t+d"/>
    <s v="Electricity T&amp;D"/>
    <s v="t+d"/>
    <b v="0"/>
    <s v="ELECTRICITY; UNITED STATES - RFCW; T&amp;D Estimated"/>
    <x v="1"/>
    <x v="1"/>
    <s v="Americas"/>
    <s v="Northern America"/>
    <s v="US"/>
    <s v="RFCW"/>
    <n v="1"/>
    <s v="CO2E MKT"/>
    <n v="45159.077319999997"/>
    <n v="2.4707889E-2"/>
    <s v="KWH"/>
    <n v="1"/>
    <n v="1827719"/>
    <s v="AR4"/>
    <s v="Anthesis"/>
    <s v="The median T&amp;D to generation factor ratio of all countries within the region Northern America was taken to be ELECTRICITY; UNITED STATES - SRSO, USEPA to ELECTRICITY; TRANSMISSION AND DISTRIBUTION; UNITED STATES - SRSO, USEPA: 0.051. This was applied to the base factor ELECTRICITY; UNITED STATES - RFCW, Green-eto estimate the T&amp;D factor."/>
    <n v="2021"/>
    <n v="2019"/>
    <n v="0"/>
    <n v="45.159077319999994"/>
    <x v="13"/>
    <s v="Office"/>
  </r>
  <r>
    <n v="4975"/>
    <s v="Top of Hierarchy &gt; North America &gt; Vantage_Englewood"/>
    <x v="0"/>
    <x v="1"/>
    <d v="2021-01-01T00:00:00"/>
    <d v="2021-12-31T00:00:00"/>
    <x v="3"/>
    <d v="2021-01-01T00:00:00"/>
    <d v="2021-12-31T00:00:00"/>
    <s v="Natural gas"/>
    <n v="3078539.5"/>
    <s v="cubic feet"/>
    <x v="1"/>
    <m/>
    <s v="2023-02-27, 16:27"/>
    <s v="2023-07-20, 00:40"/>
    <n v="2021"/>
    <s v="natural_gas"/>
    <s v="Natural Gas"/>
    <s v="model"/>
    <b v="0"/>
    <s v="NATURAL GAS, NATURAL GAS"/>
    <x v="2"/>
    <x v="0"/>
    <s v="Americas"/>
    <s v="Northern America"/>
    <s v="US"/>
    <m/>
    <n v="0"/>
    <s v="CH4"/>
    <n v="79.27239213"/>
    <n v="2.5749999999999999E-5"/>
    <s v="SCF"/>
    <n v="1"/>
    <n v="3078539.5"/>
    <s v="AR4"/>
    <s v="USEPA"/>
    <s v="USEPA Emission Factors Hub (Last Modified: March 2020)"/>
    <n v="2021"/>
    <n v="2020"/>
    <n v="0"/>
    <n v="0"/>
    <x v="13"/>
    <s v="Office"/>
  </r>
  <r>
    <n v="4975"/>
    <s v="Top of Hierarchy &gt; North America &gt; Vantage_Englewood"/>
    <x v="0"/>
    <x v="1"/>
    <d v="2021-01-01T00:00:00"/>
    <d v="2021-12-31T00:00:00"/>
    <x v="3"/>
    <d v="2021-01-01T00:00:00"/>
    <d v="2021-12-31T00:00:00"/>
    <s v="Natural gas"/>
    <n v="3078539.5"/>
    <s v="cubic feet"/>
    <x v="1"/>
    <m/>
    <s v="2023-02-27, 16:27"/>
    <s v="2023-07-20, 00:40"/>
    <n v="2021"/>
    <s v="natural_gas"/>
    <s v="Natural Gas"/>
    <s v="model"/>
    <b v="0"/>
    <s v="NATURAL GAS, NATURAL GAS"/>
    <x v="2"/>
    <x v="0"/>
    <s v="Americas"/>
    <s v="Northern America"/>
    <s v="US"/>
    <m/>
    <n v="0"/>
    <s v="CO2"/>
    <n v="167595.69039999999"/>
    <n v="5.4440000000000002E-2"/>
    <s v="SCF"/>
    <n v="1"/>
    <n v="3078539.5"/>
    <s v="AR4"/>
    <s v="USEPA"/>
    <s v="USEPA (2021)"/>
    <n v="2021"/>
    <n v="2021"/>
    <n v="0"/>
    <n v="0"/>
    <x v="13"/>
    <s v="Office"/>
  </r>
  <r>
    <n v="4975"/>
    <s v="Top of Hierarchy &gt; North America &gt; Vantage_Englewood"/>
    <x v="0"/>
    <x v="1"/>
    <d v="2021-01-01T00:00:00"/>
    <d v="2021-12-31T00:00:00"/>
    <x v="3"/>
    <d v="2021-01-01T00:00:00"/>
    <d v="2021-12-31T00:00:00"/>
    <s v="Natural gas"/>
    <n v="3078539.5"/>
    <s v="cubic feet"/>
    <x v="1"/>
    <m/>
    <s v="2023-02-27, 16:27"/>
    <s v="2023-07-20, 00:40"/>
    <n v="2021"/>
    <s v="natural_gas"/>
    <s v="Natural Gas"/>
    <s v="model"/>
    <b v="0"/>
    <s v="NATURAL GAS, NATURAL GAS"/>
    <x v="2"/>
    <x v="0"/>
    <s v="Americas"/>
    <s v="Northern America"/>
    <s v="US"/>
    <m/>
    <n v="0"/>
    <s v="CO2E"/>
    <n v="167766.70319999999"/>
    <n v="5.4495549999999997E-2"/>
    <s v="SCF"/>
    <n v="1"/>
    <n v="3078539.5"/>
    <s v="AR4"/>
    <s v="USEPA"/>
    <s v="USEPA Emission Factors Hub (Last Modified: March 2020)"/>
    <n v="2021"/>
    <n v="2020"/>
    <n v="167.76670319999999"/>
    <n v="0"/>
    <x v="13"/>
    <s v="Office"/>
  </r>
  <r>
    <n v="4975"/>
    <s v="Top of Hierarchy &gt; North America &gt; Vantage_Englewood"/>
    <x v="0"/>
    <x v="1"/>
    <d v="2021-01-01T00:00:00"/>
    <d v="2021-12-31T00:00:00"/>
    <x v="3"/>
    <d v="2021-01-01T00:00:00"/>
    <d v="2021-12-31T00:00:00"/>
    <s v="Natural gas"/>
    <n v="3078539.5"/>
    <s v="cubic feet"/>
    <x v="1"/>
    <m/>
    <s v="2023-02-27, 16:27"/>
    <s v="2023-07-20, 00:40"/>
    <n v="2021"/>
    <s v="natural_gas"/>
    <s v="Natural Gas"/>
    <s v="model"/>
    <b v="0"/>
    <s v="NATURAL GAS, NATURAL GAS"/>
    <x v="2"/>
    <x v="0"/>
    <s v="Americas"/>
    <s v="Northern America"/>
    <s v="US"/>
    <m/>
    <n v="0"/>
    <s v="N2O"/>
    <n v="91.740477100000007"/>
    <n v="2.9799999999999999E-5"/>
    <s v="SCF"/>
    <n v="1"/>
    <n v="3078539.5"/>
    <s v="AR4"/>
    <s v="USEPA"/>
    <s v="USEPA (2021)"/>
    <n v="2021"/>
    <n v="2021"/>
    <n v="0"/>
    <n v="0"/>
    <x v="13"/>
    <s v="Office"/>
  </r>
  <r>
    <n v="4975"/>
    <s v="Top of Hierarchy &gt; North America &gt; Vantage_Englewood"/>
    <x v="0"/>
    <x v="1"/>
    <d v="2021-01-01T00:00:00"/>
    <d v="2021-12-31T00:00:00"/>
    <x v="3"/>
    <d v="2021-01-01T00:00:00"/>
    <d v="2021-12-31T00:00:00"/>
    <s v="Natural gas"/>
    <n v="3078539.5"/>
    <s v="cubic feet"/>
    <x v="1"/>
    <m/>
    <s v="2023-02-27, 16:27"/>
    <s v="2023-07-20, 00:40"/>
    <n v="2021"/>
    <s v="natural_gas"/>
    <s v="Natural Gas"/>
    <s v="model"/>
    <b v="0"/>
    <s v="NATURAL GAS, NATURAL GAS"/>
    <x v="2"/>
    <x v="0"/>
    <s v="Americas"/>
    <s v="Northern America"/>
    <s v="US"/>
    <m/>
    <n v="1"/>
    <s v="CH4"/>
    <n v="79.27239213"/>
    <n v="2.5749999999999999E-5"/>
    <s v="SCF"/>
    <n v="1"/>
    <n v="3078539.5"/>
    <s v="AR4"/>
    <s v="USEPA"/>
    <s v="USEPA Emission Factors Hub (Last Modified: March 2020)"/>
    <n v="2021"/>
    <n v="2020"/>
    <n v="0"/>
    <n v="0"/>
    <x v="13"/>
    <s v="Office"/>
  </r>
  <r>
    <n v="4975"/>
    <s v="Top of Hierarchy &gt; North America &gt; Vantage_Englewood"/>
    <x v="0"/>
    <x v="1"/>
    <d v="2021-01-01T00:00:00"/>
    <d v="2021-12-31T00:00:00"/>
    <x v="3"/>
    <d v="2021-01-01T00:00:00"/>
    <d v="2021-12-31T00:00:00"/>
    <s v="Natural gas"/>
    <n v="3078539.5"/>
    <s v="cubic feet"/>
    <x v="1"/>
    <m/>
    <s v="2023-02-27, 16:27"/>
    <s v="2023-07-20, 00:40"/>
    <n v="2021"/>
    <s v="natural_gas"/>
    <s v="Natural Gas"/>
    <s v="model"/>
    <b v="0"/>
    <s v="NATURAL GAS, NATURAL GAS"/>
    <x v="2"/>
    <x v="0"/>
    <s v="Americas"/>
    <s v="Northern America"/>
    <s v="US"/>
    <m/>
    <n v="1"/>
    <s v="CO2"/>
    <n v="167595.69039999999"/>
    <n v="5.4440000000000002E-2"/>
    <s v="SCF"/>
    <n v="1"/>
    <n v="3078539.5"/>
    <s v="AR4"/>
    <s v="USEPA"/>
    <s v="USEPA (2021)"/>
    <n v="2021"/>
    <n v="2021"/>
    <n v="0"/>
    <n v="0"/>
    <x v="13"/>
    <s v="Office"/>
  </r>
  <r>
    <n v="4975"/>
    <s v="Top of Hierarchy &gt; North America &gt; Vantage_Englewood"/>
    <x v="0"/>
    <x v="1"/>
    <d v="2021-01-01T00:00:00"/>
    <d v="2021-12-31T00:00:00"/>
    <x v="3"/>
    <d v="2021-01-01T00:00:00"/>
    <d v="2021-12-31T00:00:00"/>
    <s v="Natural gas"/>
    <n v="3078539.5"/>
    <s v="cubic feet"/>
    <x v="1"/>
    <m/>
    <s v="2023-02-27, 16:27"/>
    <s v="2023-07-20, 00:40"/>
    <n v="2021"/>
    <s v="natural_gas"/>
    <s v="Natural Gas"/>
    <s v="model"/>
    <b v="0"/>
    <s v="NATURAL GAS, NATURAL GAS"/>
    <x v="2"/>
    <x v="0"/>
    <s v="Americas"/>
    <s v="Northern America"/>
    <s v="US"/>
    <m/>
    <n v="1"/>
    <s v="CO2E"/>
    <n v="167766.70319999999"/>
    <n v="5.4495549999999997E-2"/>
    <s v="SCF"/>
    <n v="1"/>
    <n v="3078539.5"/>
    <s v="AR4"/>
    <s v="USEPA"/>
    <s v="USEPA Emission Factors Hub (Last Modified: March 2020)"/>
    <n v="2021"/>
    <n v="2020"/>
    <n v="0"/>
    <n v="167.76670319999999"/>
    <x v="13"/>
    <s v="Office"/>
  </r>
  <r>
    <n v="4975"/>
    <s v="Top of Hierarchy &gt; North America &gt; Vantage_Englewood"/>
    <x v="0"/>
    <x v="1"/>
    <d v="2021-01-01T00:00:00"/>
    <d v="2021-12-31T00:00:00"/>
    <x v="3"/>
    <d v="2021-01-01T00:00:00"/>
    <d v="2021-12-31T00:00:00"/>
    <s v="Natural gas"/>
    <n v="3078539.5"/>
    <s v="cubic feet"/>
    <x v="1"/>
    <m/>
    <s v="2023-02-27, 16:27"/>
    <s v="2023-07-20, 00:40"/>
    <n v="2021"/>
    <s v="natural_gas"/>
    <s v="Natural Gas"/>
    <s v="model"/>
    <b v="0"/>
    <s v="NATURAL GAS, NATURAL GAS"/>
    <x v="2"/>
    <x v="0"/>
    <s v="Americas"/>
    <s v="Northern America"/>
    <s v="US"/>
    <m/>
    <n v="1"/>
    <s v="N2O"/>
    <n v="91.740477100000007"/>
    <n v="2.9799999999999999E-5"/>
    <s v="SCF"/>
    <n v="1"/>
    <n v="3078539.5"/>
    <s v="AR4"/>
    <s v="USEPA"/>
    <s v="USEPA (2021)"/>
    <n v="2021"/>
    <n v="2021"/>
    <n v="0"/>
    <n v="0"/>
    <x v="13"/>
    <s v="Office"/>
  </r>
  <r>
    <n v="4975"/>
    <s v="Top of Hierarchy &gt; North America &gt; Vantage_Englewood"/>
    <x v="0"/>
    <x v="1"/>
    <d v="2021-01-01T00:00:00"/>
    <d v="2021-12-31T00:00:00"/>
    <x v="3"/>
    <d v="2021-01-01T00:00:00"/>
    <d v="2021-12-31T00:00:00"/>
    <s v="Natural gas"/>
    <n v="3078539.5"/>
    <s v="cubic feet"/>
    <x v="1"/>
    <m/>
    <s v="2023-02-27, 16:27"/>
    <s v="2023-07-20, 00:40"/>
    <n v="2021"/>
    <s v="natural_gas__wtt"/>
    <s v="Natural Gas WTT"/>
    <s v="wtt"/>
    <b v="0"/>
    <s v="WTT- FUELS; WTT- GASEOUS FUELS; NATURAL GAS"/>
    <x v="1"/>
    <x v="1"/>
    <m/>
    <m/>
    <m/>
    <m/>
    <n v="0"/>
    <s v="CO2E"/>
    <n v="30156.235799999999"/>
    <n v="0.34593000000000002"/>
    <s v="CUBIC METRES"/>
    <n v="2.83168E-2"/>
    <n v="87174.387310000006"/>
    <s v="AR4"/>
    <s v="Defra"/>
    <s v="Defra (2021)"/>
    <n v="2021"/>
    <n v="2019"/>
    <n v="30.156235799999997"/>
    <n v="0"/>
    <x v="13"/>
    <s v="Office"/>
  </r>
  <r>
    <n v="4975"/>
    <s v="Top of Hierarchy &gt; North America &gt; Vantage_Englewood"/>
    <x v="0"/>
    <x v="1"/>
    <d v="2021-01-01T00:00:00"/>
    <d v="2021-12-31T00:00:00"/>
    <x v="3"/>
    <d v="2021-01-01T00:00:00"/>
    <d v="2021-12-31T00:00:00"/>
    <s v="Natural gas"/>
    <n v="3078539.5"/>
    <s v="cubic feet"/>
    <x v="1"/>
    <m/>
    <s v="2023-02-27, 16:27"/>
    <s v="2023-07-20, 00:40"/>
    <n v="2021"/>
    <s v="natural_gas__wtt"/>
    <s v="Natural Gas WTT"/>
    <s v="wtt"/>
    <b v="0"/>
    <s v="WTT- FUELS; WTT- GASEOUS FUELS; NATURAL GAS"/>
    <x v="1"/>
    <x v="1"/>
    <m/>
    <m/>
    <m/>
    <m/>
    <n v="1"/>
    <s v="CO2E"/>
    <n v="30156.235799999999"/>
    <n v="0.34593000000000002"/>
    <s v="CUBIC METRES"/>
    <n v="2.83168E-2"/>
    <n v="87174.387310000006"/>
    <s v="AR4"/>
    <s v="Defra"/>
    <s v="Defra (2021)"/>
    <n v="2021"/>
    <n v="2019"/>
    <n v="0"/>
    <n v="30.156235799999997"/>
    <x v="13"/>
    <s v="Office"/>
  </r>
  <r>
    <n v="5008"/>
    <s v="Top of Hierarchy &gt; North America &gt; Vantage_Englewood"/>
    <x v="0"/>
    <x v="1"/>
    <d v="2021-01-01T00:00:00"/>
    <d v="2021-12-31T00:00:00"/>
    <x v="1"/>
    <d v="2021-01-01T00:00:00"/>
    <d v="2021-12-31T00:00:00"/>
    <s v="Petrol (100% mineral petrol)"/>
    <n v="0"/>
    <s v="cubic metres"/>
    <x v="1"/>
    <m/>
    <s v="2023-02-27, 16:27"/>
    <s v="2023-07-20, 00:40"/>
    <n v="2021"/>
    <s v="petrol_100p_mineral_petrol"/>
    <s v="Petrol (100% Mineral Petrol)"/>
    <s v="model"/>
    <b v="0"/>
    <s v="FUELS; LIQUID FUELS; PETROL (100% MINERAL PETROL)"/>
    <x v="2"/>
    <x v="0"/>
    <m/>
    <m/>
    <m/>
    <m/>
    <n v="0"/>
    <s v="CH4"/>
    <n v="0"/>
    <n v="7.3200000000000001E-3"/>
    <s v="LITRES"/>
    <n v="1000"/>
    <n v="0"/>
    <s v="AR4"/>
    <s v="Defra"/>
    <s v="Defra (2021)"/>
    <n v="2021"/>
    <n v="2019"/>
    <n v="0"/>
    <n v="0"/>
    <x v="13"/>
    <s v="Office"/>
  </r>
  <r>
    <n v="5008"/>
    <s v="Top of Hierarchy &gt; North America &gt; Vantage_Englewood"/>
    <x v="0"/>
    <x v="1"/>
    <d v="2021-01-01T00:00:00"/>
    <d v="2021-12-31T00:00:00"/>
    <x v="1"/>
    <d v="2021-01-01T00:00:00"/>
    <d v="2021-12-31T00:00:00"/>
    <s v="Petrol (100% mineral petrol)"/>
    <n v="0"/>
    <s v="cubic metres"/>
    <x v="1"/>
    <m/>
    <s v="2023-02-27, 16:27"/>
    <s v="2023-07-20, 00:40"/>
    <n v="2021"/>
    <s v="petrol_100p_mineral_petrol"/>
    <s v="Petrol (100% Mineral Petrol)"/>
    <s v="model"/>
    <b v="0"/>
    <s v="FUELS; LIQUID FUELS; PETROL (100% MINERAL PETROL)"/>
    <x v="2"/>
    <x v="0"/>
    <m/>
    <m/>
    <m/>
    <m/>
    <n v="0"/>
    <s v="CO2"/>
    <n v="0"/>
    <n v="2.3256700000000001"/>
    <s v="LITRES"/>
    <n v="1000"/>
    <n v="0"/>
    <s v="AR4"/>
    <s v="Defra"/>
    <s v="Defra (2021)"/>
    <n v="2021"/>
    <n v="2019"/>
    <n v="0"/>
    <n v="0"/>
    <x v="13"/>
    <s v="Office"/>
  </r>
  <r>
    <n v="5008"/>
    <s v="Top of Hierarchy &gt; North America &gt; Vantage_Englewood"/>
    <x v="0"/>
    <x v="1"/>
    <d v="2021-01-01T00:00:00"/>
    <d v="2021-12-31T00:00:00"/>
    <x v="1"/>
    <d v="2021-01-01T00:00:00"/>
    <d v="2021-12-31T00:00:00"/>
    <s v="Petrol (100% mineral petrol)"/>
    <n v="0"/>
    <s v="cubic metres"/>
    <x v="1"/>
    <m/>
    <s v="2023-02-27, 16:27"/>
    <s v="2023-07-20, 00:40"/>
    <n v="2021"/>
    <s v="petrol_100p_mineral_petrol"/>
    <s v="Petrol (100% Mineral Petrol)"/>
    <s v="model"/>
    <b v="0"/>
    <s v="FUELS; LIQUID FUELS; PETROL (100% MINERAL PETROL)"/>
    <x v="2"/>
    <x v="0"/>
    <m/>
    <m/>
    <m/>
    <m/>
    <n v="0"/>
    <s v="CO2E"/>
    <n v="0"/>
    <n v="2.3397000000000001"/>
    <s v="LITRES"/>
    <n v="1000"/>
    <n v="0"/>
    <s v="AR4"/>
    <s v="Defra"/>
    <s v="Defra (2021)"/>
    <n v="2021"/>
    <n v="2019"/>
    <n v="0"/>
    <n v="0"/>
    <x v="13"/>
    <s v="Office"/>
  </r>
  <r>
    <n v="5008"/>
    <s v="Top of Hierarchy &gt; North America &gt; Vantage_Englewood"/>
    <x v="0"/>
    <x v="1"/>
    <d v="2021-01-01T00:00:00"/>
    <d v="2021-12-31T00:00:00"/>
    <x v="1"/>
    <d v="2021-01-01T00:00:00"/>
    <d v="2021-12-31T00:00:00"/>
    <s v="Petrol (100% mineral petrol)"/>
    <n v="0"/>
    <s v="cubic metres"/>
    <x v="1"/>
    <m/>
    <s v="2023-02-27, 16:27"/>
    <s v="2023-07-20, 00:40"/>
    <n v="2021"/>
    <s v="petrol_100p_mineral_petrol"/>
    <s v="Petrol (100% Mineral Petrol)"/>
    <s v="model"/>
    <b v="0"/>
    <s v="FUELS; LIQUID FUELS; PETROL (100% MINERAL PETROL)"/>
    <x v="2"/>
    <x v="0"/>
    <m/>
    <m/>
    <m/>
    <m/>
    <n v="0"/>
    <s v="N2O"/>
    <n v="0"/>
    <n v="6.7099999999999998E-3"/>
    <s v="LITRES"/>
    <n v="1000"/>
    <n v="0"/>
    <s v="AR4"/>
    <s v="Defra"/>
    <s v="Defra (2021)"/>
    <n v="2021"/>
    <n v="2019"/>
    <n v="0"/>
    <n v="0"/>
    <x v="13"/>
    <s v="Office"/>
  </r>
  <r>
    <n v="5008"/>
    <s v="Top of Hierarchy &gt; North America &gt; Vantage_Englewood"/>
    <x v="0"/>
    <x v="1"/>
    <d v="2021-01-01T00:00:00"/>
    <d v="2021-12-31T00:00:00"/>
    <x v="1"/>
    <d v="2021-01-01T00:00:00"/>
    <d v="2021-12-31T00:00:00"/>
    <s v="Petrol (100% mineral petrol)"/>
    <n v="0"/>
    <s v="cubic metres"/>
    <x v="1"/>
    <m/>
    <s v="2023-02-27, 16:27"/>
    <s v="2023-07-20, 00:40"/>
    <n v="2021"/>
    <s v="petrol_100p_mineral_petrol"/>
    <s v="Petrol (100% Mineral Petrol)"/>
    <s v="model"/>
    <b v="0"/>
    <s v="FUELS; LIQUID FUELS; PETROL (100% MINERAL PETROL)"/>
    <x v="2"/>
    <x v="0"/>
    <m/>
    <m/>
    <m/>
    <m/>
    <n v="1"/>
    <s v="CH4"/>
    <n v="0"/>
    <n v="7.3200000000000001E-3"/>
    <s v="LITRES"/>
    <n v="1000"/>
    <n v="0"/>
    <s v="AR4"/>
    <s v="Defra"/>
    <s v="Defra (2021)"/>
    <n v="2021"/>
    <n v="2019"/>
    <n v="0"/>
    <n v="0"/>
    <x v="13"/>
    <s v="Office"/>
  </r>
  <r>
    <n v="5008"/>
    <s v="Top of Hierarchy &gt; North America &gt; Vantage_Englewood"/>
    <x v="0"/>
    <x v="1"/>
    <d v="2021-01-01T00:00:00"/>
    <d v="2021-12-31T00:00:00"/>
    <x v="1"/>
    <d v="2021-01-01T00:00:00"/>
    <d v="2021-12-31T00:00:00"/>
    <s v="Petrol (100% mineral petrol)"/>
    <n v="0"/>
    <s v="cubic metres"/>
    <x v="1"/>
    <m/>
    <s v="2023-02-27, 16:27"/>
    <s v="2023-07-20, 00:40"/>
    <n v="2021"/>
    <s v="petrol_100p_mineral_petrol"/>
    <s v="Petrol (100% Mineral Petrol)"/>
    <s v="model"/>
    <b v="0"/>
    <s v="FUELS; LIQUID FUELS; PETROL (100% MINERAL PETROL)"/>
    <x v="2"/>
    <x v="0"/>
    <m/>
    <m/>
    <m/>
    <m/>
    <n v="1"/>
    <s v="CO2"/>
    <n v="0"/>
    <n v="2.3256700000000001"/>
    <s v="LITRES"/>
    <n v="1000"/>
    <n v="0"/>
    <s v="AR4"/>
    <s v="Defra"/>
    <s v="Defra (2021)"/>
    <n v="2021"/>
    <n v="2019"/>
    <n v="0"/>
    <n v="0"/>
    <x v="13"/>
    <s v="Office"/>
  </r>
  <r>
    <n v="5008"/>
    <s v="Top of Hierarchy &gt; North America &gt; Vantage_Englewood"/>
    <x v="0"/>
    <x v="1"/>
    <d v="2021-01-01T00:00:00"/>
    <d v="2021-12-31T00:00:00"/>
    <x v="1"/>
    <d v="2021-01-01T00:00:00"/>
    <d v="2021-12-31T00:00:00"/>
    <s v="Petrol (100% mineral petrol)"/>
    <n v="0"/>
    <s v="cubic metres"/>
    <x v="1"/>
    <m/>
    <s v="2023-02-27, 16:27"/>
    <s v="2023-07-20, 00:40"/>
    <n v="2021"/>
    <s v="petrol_100p_mineral_petrol"/>
    <s v="Petrol (100% Mineral Petrol)"/>
    <s v="model"/>
    <b v="0"/>
    <s v="FUELS; LIQUID FUELS; PETROL (100% MINERAL PETROL)"/>
    <x v="2"/>
    <x v="0"/>
    <m/>
    <m/>
    <m/>
    <m/>
    <n v="1"/>
    <s v="CO2E"/>
    <n v="0"/>
    <n v="2.3397000000000001"/>
    <s v="LITRES"/>
    <n v="1000"/>
    <n v="0"/>
    <s v="AR4"/>
    <s v="Defra"/>
    <s v="Defra (2021)"/>
    <n v="2021"/>
    <n v="2019"/>
    <n v="0"/>
    <n v="0"/>
    <x v="13"/>
    <s v="Office"/>
  </r>
  <r>
    <n v="5008"/>
    <s v="Top of Hierarchy &gt; North America &gt; Vantage_Englewood"/>
    <x v="0"/>
    <x v="1"/>
    <d v="2021-01-01T00:00:00"/>
    <d v="2021-12-31T00:00:00"/>
    <x v="1"/>
    <d v="2021-01-01T00:00:00"/>
    <d v="2021-12-31T00:00:00"/>
    <s v="Petrol (100% mineral petrol)"/>
    <n v="0"/>
    <s v="cubic metres"/>
    <x v="1"/>
    <m/>
    <s v="2023-02-27, 16:27"/>
    <s v="2023-07-20, 00:40"/>
    <n v="2021"/>
    <s v="petrol_100p_mineral_petrol"/>
    <s v="Petrol (100% Mineral Petrol)"/>
    <s v="model"/>
    <b v="0"/>
    <s v="FUELS; LIQUID FUELS; PETROL (100% MINERAL PETROL)"/>
    <x v="2"/>
    <x v="0"/>
    <m/>
    <m/>
    <m/>
    <m/>
    <n v="1"/>
    <s v="N2O"/>
    <n v="0"/>
    <n v="6.7099999999999998E-3"/>
    <s v="LITRES"/>
    <n v="1000"/>
    <n v="0"/>
    <s v="AR4"/>
    <s v="Defra"/>
    <s v="Defra (2021)"/>
    <n v="2021"/>
    <n v="2019"/>
    <n v="0"/>
    <n v="0"/>
    <x v="13"/>
    <s v="Office"/>
  </r>
  <r>
    <n v="5008"/>
    <s v="Top of Hierarchy &gt; North America &gt; Vantage_Englewood"/>
    <x v="0"/>
    <x v="1"/>
    <d v="2021-01-01T00:00:00"/>
    <d v="2021-12-31T00:00:00"/>
    <x v="1"/>
    <d v="2021-01-01T00:00:00"/>
    <d v="2021-12-31T00:00:00"/>
    <s v="Petrol (100% mineral petrol)"/>
    <n v="0"/>
    <s v="cubic metres"/>
    <x v="1"/>
    <m/>
    <s v="2023-02-27, 16:27"/>
    <s v="2023-07-20, 00:40"/>
    <n v="2021"/>
    <s v="petrol_100p_mineral_petrol__wtt"/>
    <s v="Petrol (100% Mineral Petrol) WTT"/>
    <s v="wtt"/>
    <b v="0"/>
    <s v="WTT- FUELS; WTT- LIQUID FUELS; PETROL (100% MINERAL PETROL)"/>
    <x v="1"/>
    <x v="1"/>
    <m/>
    <m/>
    <m/>
    <m/>
    <n v="0"/>
    <s v="CO2E"/>
    <n v="0"/>
    <n v="0.60282999999999998"/>
    <s v="LITRES"/>
    <n v="1000"/>
    <n v="0"/>
    <s v="AR4"/>
    <s v="Defra"/>
    <s v="Defra (2021)"/>
    <n v="2021"/>
    <n v="2019"/>
    <n v="0"/>
    <n v="0"/>
    <x v="13"/>
    <s v="Office"/>
  </r>
  <r>
    <n v="5008"/>
    <s v="Top of Hierarchy &gt; North America &gt; Vantage_Englewood"/>
    <x v="0"/>
    <x v="1"/>
    <d v="2021-01-01T00:00:00"/>
    <d v="2021-12-31T00:00:00"/>
    <x v="1"/>
    <d v="2021-01-01T00:00:00"/>
    <d v="2021-12-31T00:00:00"/>
    <s v="Petrol (100% mineral petrol)"/>
    <n v="0"/>
    <s v="cubic metres"/>
    <x v="1"/>
    <m/>
    <s v="2023-02-27, 16:27"/>
    <s v="2023-07-20, 00:40"/>
    <n v="2021"/>
    <s v="petrol_100p_mineral_petrol__wtt"/>
    <s v="Petrol (100% Mineral Petrol) WTT"/>
    <s v="wtt"/>
    <b v="0"/>
    <s v="WTT- FUELS; WTT- LIQUID FUELS; PETROL (100% MINERAL PETROL)"/>
    <x v="1"/>
    <x v="1"/>
    <m/>
    <m/>
    <m/>
    <m/>
    <n v="1"/>
    <s v="CO2E"/>
    <n v="0"/>
    <n v="0.60282999999999998"/>
    <s v="LITRES"/>
    <n v="1000"/>
    <n v="0"/>
    <s v="AR4"/>
    <s v="Defra"/>
    <s v="Defra (2021)"/>
    <n v="2021"/>
    <n v="2019"/>
    <n v="0"/>
    <n v="0"/>
    <x v="13"/>
    <s v="Office"/>
  </r>
  <r>
    <n v="5034"/>
    <s v="Top of Hierarchy &gt; North America &gt; Vantage_Englewood"/>
    <x v="0"/>
    <x v="1"/>
    <d v="2021-01-01T00:00:00"/>
    <d v="2021-12-31T00:00:00"/>
    <x v="4"/>
    <d v="2021-01-01T00:00:00"/>
    <d v="2021-12-31T00:00:00"/>
    <s v="R410A"/>
    <n v="8.1258999999999997"/>
    <s v="kilograms"/>
    <x v="0"/>
    <m/>
    <s v="2023-02-27, 16:28"/>
    <s v="2023-07-20, 00:40"/>
    <n v="2021"/>
    <s v="r410a"/>
    <s v="R410A"/>
    <s v="model"/>
    <b v="0"/>
    <s v="REFRIGERANT: R-410A"/>
    <x v="2"/>
    <x v="0"/>
    <m/>
    <m/>
    <m/>
    <m/>
    <n v="0"/>
    <s v="CO2E"/>
    <n v="16966.879199999999"/>
    <n v="2088"/>
    <s v="KG"/>
    <n v="1"/>
    <n v="8.1258999999999997"/>
    <s v="AR4"/>
    <s v="IPCC"/>
    <s v="IPCC (2021)"/>
    <n v="2021"/>
    <n v="2007"/>
    <n v="16.966879200000001"/>
    <n v="0"/>
    <x v="13"/>
    <s v="Office"/>
  </r>
  <r>
    <n v="5034"/>
    <s v="Top of Hierarchy &gt; North America &gt; Vantage_Englewood"/>
    <x v="0"/>
    <x v="1"/>
    <d v="2021-01-01T00:00:00"/>
    <d v="2021-12-31T00:00:00"/>
    <x v="4"/>
    <d v="2021-01-01T00:00:00"/>
    <d v="2021-12-31T00:00:00"/>
    <s v="R410A"/>
    <n v="8.1258999999999997"/>
    <s v="kilograms"/>
    <x v="0"/>
    <m/>
    <s v="2023-02-27, 16:28"/>
    <s v="2023-07-20, 00:40"/>
    <n v="2021"/>
    <s v="r410a"/>
    <s v="R410A"/>
    <s v="model"/>
    <b v="0"/>
    <s v="REFRIGERANT: R-410A"/>
    <x v="2"/>
    <x v="0"/>
    <m/>
    <m/>
    <m/>
    <m/>
    <n v="1"/>
    <s v="CO2E"/>
    <n v="16966.879199999999"/>
    <n v="2088"/>
    <s v="KG"/>
    <n v="1"/>
    <n v="8.1258999999999997"/>
    <s v="AR4"/>
    <s v="IPCC"/>
    <s v="IPCC (2021)"/>
    <n v="2021"/>
    <n v="2007"/>
    <n v="0"/>
    <n v="16.966879200000001"/>
    <x v="13"/>
    <s v="Office"/>
  </r>
  <r>
    <n v="291076"/>
    <s v="Top of Hierarchy &gt; North America &gt; Vantage_Fairfield"/>
    <x v="0"/>
    <x v="0"/>
    <d v="2022-01-01T00:00:00"/>
    <d v="2022-12-31T00:00:00"/>
    <x v="0"/>
    <d v="2022-01-01T00:00:00"/>
    <d v="2022-12-31T00:00:00"/>
    <s v="Electricity (non-renewable)"/>
    <n v="367966"/>
    <s v="Kilowatt hours"/>
    <x v="1"/>
    <m/>
    <s v="2023-05-03, 20:26"/>
    <s v="2023-07-20, 00:40"/>
    <n v="2022"/>
    <s v="electricity"/>
    <s v="Electricity"/>
    <s v="model"/>
    <b v="0"/>
    <s v="ELECTRICITY; UNITED STATES - RFCE"/>
    <x v="0"/>
    <x v="0"/>
    <s v="Americas"/>
    <s v="Northern America"/>
    <s v="US"/>
    <s v="RFCE"/>
    <n v="0"/>
    <s v="CH4"/>
    <n v="187.76989130000001"/>
    <n v="5.1029099999999996E-4"/>
    <s v="KWH"/>
    <n v="1"/>
    <n v="367966"/>
    <s v="AR4"/>
    <s v="USEPA"/>
    <s v="USEPA (2022)"/>
    <n v="2022"/>
    <n v="2020"/>
    <n v="0"/>
    <n v="0"/>
    <x v="14"/>
    <s v="Office"/>
  </r>
  <r>
    <n v="291076"/>
    <s v="Top of Hierarchy &gt; North America &gt; Vantage_Fairfield"/>
    <x v="0"/>
    <x v="0"/>
    <d v="2022-01-01T00:00:00"/>
    <d v="2022-12-31T00:00:00"/>
    <x v="0"/>
    <d v="2022-01-01T00:00:00"/>
    <d v="2022-12-31T00:00:00"/>
    <s v="Electricity (non-renewable)"/>
    <n v="367966"/>
    <s v="Kilowatt hours"/>
    <x v="1"/>
    <m/>
    <s v="2023-05-03, 20:26"/>
    <s v="2023-07-20, 00:40"/>
    <n v="2022"/>
    <s v="electricity"/>
    <s v="Electricity"/>
    <s v="model"/>
    <b v="0"/>
    <s v="ELECTRICITY; UNITED STATES - RFCE"/>
    <x v="0"/>
    <x v="0"/>
    <s v="Americas"/>
    <s v="Northern America"/>
    <s v="US"/>
    <s v="RFCE"/>
    <n v="0"/>
    <s v="CO2"/>
    <n v="108899.5269"/>
    <n v="0.29594997099999998"/>
    <s v="KWH"/>
    <n v="1"/>
    <n v="367966"/>
    <s v="AR4"/>
    <s v="USEPA"/>
    <s v="USEPA (2022)"/>
    <n v="2022"/>
    <n v="2020"/>
    <n v="0"/>
    <n v="0"/>
    <x v="14"/>
    <s v="Office"/>
  </r>
  <r>
    <n v="291076"/>
    <s v="Top of Hierarchy &gt; North America &gt; Vantage_Fairfield"/>
    <x v="0"/>
    <x v="0"/>
    <d v="2022-01-01T00:00:00"/>
    <d v="2022-12-31T00:00:00"/>
    <x v="0"/>
    <d v="2022-01-01T00:00:00"/>
    <d v="2022-12-31T00:00:00"/>
    <s v="Electricity (non-renewable)"/>
    <n v="367966"/>
    <s v="Kilowatt hours"/>
    <x v="1"/>
    <m/>
    <s v="2023-05-03, 20:26"/>
    <s v="2023-07-20, 00:40"/>
    <n v="2022"/>
    <s v="electricity"/>
    <s v="Electricity"/>
    <s v="model"/>
    <b v="0"/>
    <s v="ELECTRICITY; UNITED STATES - RFCE"/>
    <x v="0"/>
    <x v="0"/>
    <s v="Americas"/>
    <s v="Northern America"/>
    <s v="US"/>
    <s v="RFCE"/>
    <n v="0"/>
    <s v="CO2E"/>
    <n v="109385.7257"/>
    <n v="0.297271285"/>
    <s v="KWH"/>
    <n v="1"/>
    <n v="367966"/>
    <s v="AR4"/>
    <s v="USEPA"/>
    <s v="USEPA (2022)"/>
    <n v="2022"/>
    <n v="2020"/>
    <n v="109.38572569999999"/>
    <n v="0"/>
    <x v="14"/>
    <s v="Office"/>
  </r>
  <r>
    <n v="291076"/>
    <s v="Top of Hierarchy &gt; North America &gt; Vantage_Fairfield"/>
    <x v="0"/>
    <x v="0"/>
    <d v="2022-01-01T00:00:00"/>
    <d v="2022-12-31T00:00:00"/>
    <x v="0"/>
    <d v="2022-01-01T00:00:00"/>
    <d v="2022-12-31T00:00:00"/>
    <s v="Electricity (non-renewable)"/>
    <n v="367966"/>
    <s v="Kilowatt hours"/>
    <x v="1"/>
    <m/>
    <s v="2023-05-03, 20:26"/>
    <s v="2023-07-20, 00:40"/>
    <n v="2022"/>
    <s v="electricity"/>
    <s v="Electricity"/>
    <s v="model"/>
    <b v="0"/>
    <s v="ELECTRICITY; UNITED STATES - RFCE"/>
    <x v="0"/>
    <x v="0"/>
    <s v="Americas"/>
    <s v="Northern America"/>
    <s v="US"/>
    <s v="RFCE"/>
    <n v="0"/>
    <s v="N2O"/>
    <n v="298.42894719999998"/>
    <n v="8.1102300000000002E-4"/>
    <s v="KWH"/>
    <n v="1"/>
    <n v="367966"/>
    <s v="AR4"/>
    <s v="USEPA"/>
    <s v="USEPA (2022)"/>
    <n v="2022"/>
    <n v="2020"/>
    <n v="0"/>
    <n v="0"/>
    <x v="14"/>
    <s v="Office"/>
  </r>
  <r>
    <n v="291076"/>
    <s v="Top of Hierarchy &gt; North America &gt; Vantage_Fairfield"/>
    <x v="0"/>
    <x v="0"/>
    <d v="2022-01-01T00:00:00"/>
    <d v="2022-12-31T00:00:00"/>
    <x v="0"/>
    <d v="2022-01-01T00:00:00"/>
    <d v="2022-12-31T00:00:00"/>
    <s v="Electricity (non-renewable)"/>
    <n v="367966"/>
    <s v="Kilowatt hours"/>
    <x v="1"/>
    <m/>
    <s v="2023-05-03, 20:26"/>
    <s v="2023-07-20, 00:40"/>
    <n v="2022"/>
    <s v="electricity"/>
    <s v="Electricity"/>
    <s v="model"/>
    <b v="0"/>
    <s v="ELECTRICITY; UNITED STATES - RFCE"/>
    <x v="0"/>
    <x v="0"/>
    <s v="Americas"/>
    <s v="Northern America"/>
    <s v="US"/>
    <s v="RFCE"/>
    <n v="1"/>
    <s v="CO2E MKT"/>
    <n v="108934.9005"/>
    <n v="0.296046103"/>
    <s v="KWH"/>
    <n v="1"/>
    <n v="367966"/>
    <s v="AR4"/>
    <s v="Green-e"/>
    <s v="Green-e (2022)"/>
    <n v="2022"/>
    <n v="2020"/>
    <n v="0"/>
    <n v="108.9349005"/>
    <x v="14"/>
    <s v="Office"/>
  </r>
  <r>
    <n v="291076"/>
    <s v="Top of Hierarchy &gt; North America &gt; Vantage_Fairfield"/>
    <x v="0"/>
    <x v="0"/>
    <d v="2022-01-01T00:00:00"/>
    <d v="2022-12-31T00:00:00"/>
    <x v="0"/>
    <d v="2022-01-01T00:00:00"/>
    <d v="2022-12-31T00:00:00"/>
    <s v="Electricity (non-renewable)"/>
    <n v="367966"/>
    <s v="Kilowatt hours"/>
    <x v="1"/>
    <m/>
    <s v="2023-05-03, 20:26"/>
    <s v="2023-07-20, 00:40"/>
    <n v="2022"/>
    <s v="electricity__t+d__wtt"/>
    <s v="Electricity T&amp;D WTT"/>
    <s v="t+d_wtt"/>
    <b v="0"/>
    <s v="ELECTRICITY T&amp;D WTT; UNITED STATES - RFCE"/>
    <x v="1"/>
    <x v="1"/>
    <s v="Americas"/>
    <s v="Northern America"/>
    <s v="US"/>
    <s v="RFCE"/>
    <n v="0"/>
    <s v="CO2E"/>
    <n v="1712.833014"/>
    <n v="4.6548680000000004E-3"/>
    <s v="KWH"/>
    <n v="1"/>
    <n v="367966"/>
    <s v="AR4"/>
    <s v="Anthesis"/>
    <s v="Anthesis (2022)"/>
    <n v="2022"/>
    <n v="2020"/>
    <n v="1.7128330140000001"/>
    <n v="0"/>
    <x v="14"/>
    <s v="Office"/>
  </r>
  <r>
    <n v="291076"/>
    <s v="Top of Hierarchy &gt; North America &gt; Vantage_Fairfield"/>
    <x v="0"/>
    <x v="0"/>
    <d v="2022-01-01T00:00:00"/>
    <d v="2022-12-31T00:00:00"/>
    <x v="0"/>
    <d v="2022-01-01T00:00:00"/>
    <d v="2022-12-31T00:00:00"/>
    <s v="Electricity (non-renewable)"/>
    <n v="367966"/>
    <s v="Kilowatt hours"/>
    <x v="1"/>
    <m/>
    <s v="2023-05-03, 20:26"/>
    <s v="2023-07-20, 00:40"/>
    <n v="2022"/>
    <s v="electricity__t+d__wtt"/>
    <s v="Electricity T&amp;D WTT"/>
    <s v="t+d_wtt"/>
    <b v="0"/>
    <s v="ELECTRICITY; UNITED STATES - RFCE; T&amp;D WTT Estimated"/>
    <x v="1"/>
    <x v="1"/>
    <s v="Americas"/>
    <s v="Northern America"/>
    <s v="US"/>
    <s v="RFCE"/>
    <n v="1"/>
    <s v="CO2E MKT"/>
    <n v="1563.375313"/>
    <n v="4.2486950000000002E-3"/>
    <s v="KWH"/>
    <n v="1"/>
    <n v="367966"/>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  to estimate the T&amp;D WTT factor."/>
    <n v="2022"/>
    <n v="2019"/>
    <n v="0"/>
    <n v="1.5633753130000001"/>
    <x v="14"/>
    <s v="Office"/>
  </r>
  <r>
    <n v="291076"/>
    <s v="Top of Hierarchy &gt; North America &gt; Vantage_Fairfield"/>
    <x v="0"/>
    <x v="0"/>
    <d v="2022-01-01T00:00:00"/>
    <d v="2022-12-31T00:00:00"/>
    <x v="0"/>
    <d v="2022-01-01T00:00:00"/>
    <d v="2022-12-31T00:00:00"/>
    <s v="Electricity (non-renewable)"/>
    <n v="367966"/>
    <s v="Kilowatt hours"/>
    <x v="1"/>
    <m/>
    <s v="2023-05-03, 20:26"/>
    <s v="2023-07-20, 00:40"/>
    <n v="2022"/>
    <s v="electricity__wtt"/>
    <s v="Electricity WTT"/>
    <s v="wtt"/>
    <b v="0"/>
    <s v="ELECTRICITY WTT; UNITED STATES - RFCE"/>
    <x v="1"/>
    <x v="1"/>
    <s v="Americas"/>
    <s v="Northern America"/>
    <s v="US"/>
    <s v="RFCE"/>
    <n v="0"/>
    <s v="CO2E"/>
    <n v="30604.77102"/>
    <n v="8.3172823000000007E-2"/>
    <s v="KWH"/>
    <n v="1"/>
    <n v="367966"/>
    <s v="AR4"/>
    <s v="Anthesis"/>
    <s v="Anthesis (2022)"/>
    <n v="2022"/>
    <n v="2020"/>
    <n v="30.604771020000001"/>
    <n v="0"/>
    <x v="14"/>
    <s v="Office"/>
  </r>
  <r>
    <n v="291076"/>
    <s v="Top of Hierarchy &gt; North America &gt; Vantage_Fairfield"/>
    <x v="0"/>
    <x v="0"/>
    <d v="2022-01-01T00:00:00"/>
    <d v="2022-12-31T00:00:00"/>
    <x v="0"/>
    <d v="2022-01-01T00:00:00"/>
    <d v="2022-12-31T00:00:00"/>
    <s v="Electricity (non-renewable)"/>
    <n v="367966"/>
    <s v="Kilowatt hours"/>
    <x v="1"/>
    <m/>
    <s v="2023-05-03, 20:26"/>
    <s v="2023-07-20, 00:40"/>
    <n v="2022"/>
    <s v="electricity__wtt"/>
    <s v="Electricity WTT"/>
    <s v="wtt"/>
    <b v="0"/>
    <s v="ELECTRICITY; UNITED STATES - RFCE; WTT Estimated"/>
    <x v="1"/>
    <x v="1"/>
    <s v="Americas"/>
    <s v="Northern America"/>
    <s v="US"/>
    <s v="RFCE"/>
    <n v="1"/>
    <s v="CO2E MKT"/>
    <n v="30654.417890000001"/>
    <n v="8.3307746000000002E-2"/>
    <s v="KWH"/>
    <n v="1"/>
    <n v="367966"/>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RFCE, Green-eto estimate the WTT factor."/>
    <n v="2022"/>
    <n v="2019"/>
    <n v="0"/>
    <n v="30.654417890000001"/>
    <x v="14"/>
    <s v="Office"/>
  </r>
  <r>
    <n v="291076"/>
    <s v="Top of Hierarchy &gt; North America &gt; Vantage_Fairfield"/>
    <x v="0"/>
    <x v="0"/>
    <d v="2022-01-01T00:00:00"/>
    <d v="2022-12-31T00:00:00"/>
    <x v="0"/>
    <d v="2022-01-01T00:00:00"/>
    <d v="2022-12-31T00:00:00"/>
    <s v="Electricity (non-renewable)"/>
    <n v="367966"/>
    <s v="Kilowatt hours"/>
    <x v="1"/>
    <m/>
    <s v="2023-05-03, 20:26"/>
    <s v="2023-07-20, 00:40"/>
    <n v="2022"/>
    <s v="electricity__t+d"/>
    <s v="Electricity T&amp;D"/>
    <s v="t+d"/>
    <b v="0"/>
    <s v="ELECTRICITY; TRANSMISSION AND DISTRIBUTION; UNITED STATES - RFCE"/>
    <x v="1"/>
    <x v="1"/>
    <s v="Americas"/>
    <s v="Northern America"/>
    <s v="US"/>
    <s v="RFCE"/>
    <n v="0"/>
    <s v="CO2E"/>
    <n v="5797.4434620000002"/>
    <n v="1.5755378E-2"/>
    <s v="KWH"/>
    <n v="1"/>
    <n v="367966"/>
    <s v="AR4"/>
    <s v="USEPA"/>
    <s v="USEPA (2022)"/>
    <n v="2022"/>
    <n v="2020"/>
    <n v="5.7974434620000004"/>
    <n v="0"/>
    <x v="14"/>
    <s v="Office"/>
  </r>
  <r>
    <n v="291076"/>
    <s v="Top of Hierarchy &gt; North America &gt; Vantage_Fairfield"/>
    <x v="0"/>
    <x v="0"/>
    <d v="2022-01-01T00:00:00"/>
    <d v="2022-12-31T00:00:00"/>
    <x v="0"/>
    <d v="2022-01-01T00:00:00"/>
    <d v="2022-12-31T00:00:00"/>
    <s v="Electricity (non-renewable)"/>
    <n v="367966"/>
    <s v="Kilowatt hours"/>
    <x v="1"/>
    <m/>
    <s v="2023-05-03, 20:26"/>
    <s v="2023-07-20, 00:40"/>
    <n v="2022"/>
    <s v="electricity__t+d"/>
    <s v="Electricity T&amp;D"/>
    <s v="t+d"/>
    <b v="0"/>
    <s v="ELECTRICITY; UNITED STATES - RFCE; T&amp;D Estimated"/>
    <x v="1"/>
    <x v="1"/>
    <s v="Americas"/>
    <s v="Northern America"/>
    <s v="US"/>
    <s v="RFCE"/>
    <n v="1"/>
    <s v="CO2E MKT"/>
    <n v="5918.0463110000001"/>
    <n v="1.6083133999999999E-2"/>
    <s v="KWH"/>
    <n v="1"/>
    <n v="367966"/>
    <s v="AR4"/>
    <s v="Anthesis"/>
    <s v="The median T&amp;D to generation factor ratio of all countries within the region Northern America was taken to be ELECTRICITY; UNITED STATES - SRSO, USEPA to ELECTRICITY; TRANSMISSION AND DISTRIBUTION; UNITED STATES - SRSO, USEPA: 0.051. This was applied to the base factor ELECTRICITY; UNITED STATES - RFCE, Green-eto estimate the T&amp;D factor."/>
    <n v="2022"/>
    <n v="2019"/>
    <n v="0"/>
    <n v="5.9180463110000003"/>
    <x v="14"/>
    <s v="Office"/>
  </r>
  <r>
    <n v="291078"/>
    <s v="Top of Hierarchy &gt; North America &gt; Vantage_Fairfield"/>
    <x v="0"/>
    <x v="0"/>
    <d v="2022-01-01T00:00:00"/>
    <d v="2022-12-31T00:00:00"/>
    <x v="3"/>
    <d v="2022-01-01T00:00:00"/>
    <d v="2022-12-31T00:00:00"/>
    <s v="Natural gas"/>
    <n v="2145812"/>
    <s v="cubic feet"/>
    <x v="1"/>
    <m/>
    <s v="2023-05-03, 20:27"/>
    <s v="2023-07-20, 00:40"/>
    <n v="2022"/>
    <s v="natural_gas"/>
    <s v="Natural Gas"/>
    <s v="model"/>
    <b v="0"/>
    <s v="NATURAL GAS, NATURAL GAS"/>
    <x v="2"/>
    <x v="0"/>
    <s v="Americas"/>
    <s v="Northern America"/>
    <s v="US"/>
    <m/>
    <n v="0"/>
    <s v="CH4"/>
    <n v="55.254658999999997"/>
    <n v="2.5749999999999999E-5"/>
    <s v="SCF"/>
    <n v="1"/>
    <n v="2145812"/>
    <s v="AR4"/>
    <s v="USEPA"/>
    <s v="USEPA (2022)"/>
    <n v="2022"/>
    <n v="2022"/>
    <n v="0"/>
    <n v="0"/>
    <x v="14"/>
    <s v="Office"/>
  </r>
  <r>
    <n v="291078"/>
    <s v="Top of Hierarchy &gt; North America &gt; Vantage_Fairfield"/>
    <x v="0"/>
    <x v="0"/>
    <d v="2022-01-01T00:00:00"/>
    <d v="2022-12-31T00:00:00"/>
    <x v="3"/>
    <d v="2022-01-01T00:00:00"/>
    <d v="2022-12-31T00:00:00"/>
    <s v="Natural gas"/>
    <n v="2145812"/>
    <s v="cubic feet"/>
    <x v="1"/>
    <m/>
    <s v="2023-05-03, 20:27"/>
    <s v="2023-07-20, 00:40"/>
    <n v="2022"/>
    <s v="natural_gas"/>
    <s v="Natural Gas"/>
    <s v="model"/>
    <b v="0"/>
    <s v="NATURAL GAS, NATURAL GAS"/>
    <x v="2"/>
    <x v="0"/>
    <s v="Americas"/>
    <s v="Northern America"/>
    <s v="US"/>
    <m/>
    <n v="0"/>
    <s v="CO2"/>
    <n v="116818.0053"/>
    <n v="5.4440000000000002E-2"/>
    <s v="SCF"/>
    <n v="1"/>
    <n v="2145812"/>
    <s v="AR4"/>
    <s v="USEPA"/>
    <s v="USEPA (2022)"/>
    <n v="2022"/>
    <n v="2022"/>
    <n v="0"/>
    <n v="0"/>
    <x v="14"/>
    <s v="Office"/>
  </r>
  <r>
    <n v="291078"/>
    <s v="Top of Hierarchy &gt; North America &gt; Vantage_Fairfield"/>
    <x v="0"/>
    <x v="0"/>
    <d v="2022-01-01T00:00:00"/>
    <d v="2022-12-31T00:00:00"/>
    <x v="3"/>
    <d v="2022-01-01T00:00:00"/>
    <d v="2022-12-31T00:00:00"/>
    <s v="Natural gas"/>
    <n v="2145812"/>
    <s v="cubic feet"/>
    <x v="1"/>
    <m/>
    <s v="2023-05-03, 20:27"/>
    <s v="2023-07-20, 00:40"/>
    <n v="2022"/>
    <s v="natural_gas"/>
    <s v="Natural Gas"/>
    <s v="model"/>
    <b v="0"/>
    <s v="NATURAL GAS, NATURAL GAS"/>
    <x v="2"/>
    <x v="0"/>
    <s v="Americas"/>
    <s v="Northern America"/>
    <s v="US"/>
    <m/>
    <n v="0"/>
    <s v="CO2E"/>
    <n v="116937.20510000001"/>
    <n v="5.4495549999999997E-2"/>
    <s v="SCF"/>
    <n v="1"/>
    <n v="2145812"/>
    <s v="AR4"/>
    <s v="USEPA"/>
    <s v="USEPA (2022)"/>
    <n v="2022"/>
    <n v="2022"/>
    <n v="116.9372051"/>
    <n v="0"/>
    <x v="14"/>
    <s v="Office"/>
  </r>
  <r>
    <n v="291078"/>
    <s v="Top of Hierarchy &gt; North America &gt; Vantage_Fairfield"/>
    <x v="0"/>
    <x v="0"/>
    <d v="2022-01-01T00:00:00"/>
    <d v="2022-12-31T00:00:00"/>
    <x v="3"/>
    <d v="2022-01-01T00:00:00"/>
    <d v="2022-12-31T00:00:00"/>
    <s v="Natural gas"/>
    <n v="2145812"/>
    <s v="cubic feet"/>
    <x v="1"/>
    <m/>
    <s v="2023-05-03, 20:27"/>
    <s v="2023-07-20, 00:40"/>
    <n v="2022"/>
    <s v="natural_gas"/>
    <s v="Natural Gas"/>
    <s v="model"/>
    <b v="0"/>
    <s v="NATURAL GAS, NATURAL GAS"/>
    <x v="2"/>
    <x v="0"/>
    <s v="Americas"/>
    <s v="Northern America"/>
    <s v="US"/>
    <m/>
    <n v="0"/>
    <s v="N2O"/>
    <n v="63.9451976"/>
    <n v="2.9799999999999999E-5"/>
    <s v="SCF"/>
    <n v="1"/>
    <n v="2145812"/>
    <s v="AR4"/>
    <s v="USEPA"/>
    <s v="USEPA (2022)"/>
    <n v="2022"/>
    <n v="2022"/>
    <n v="0"/>
    <n v="0"/>
    <x v="14"/>
    <s v="Office"/>
  </r>
  <r>
    <n v="291078"/>
    <s v="Top of Hierarchy &gt; North America &gt; Vantage_Fairfield"/>
    <x v="0"/>
    <x v="0"/>
    <d v="2022-01-01T00:00:00"/>
    <d v="2022-12-31T00:00:00"/>
    <x v="3"/>
    <d v="2022-01-01T00:00:00"/>
    <d v="2022-12-31T00:00:00"/>
    <s v="Natural gas"/>
    <n v="2145812"/>
    <s v="cubic feet"/>
    <x v="1"/>
    <m/>
    <s v="2023-05-03, 20:27"/>
    <s v="2023-07-20, 00:40"/>
    <n v="2022"/>
    <s v="natural_gas"/>
    <s v="Natural Gas"/>
    <s v="model"/>
    <b v="0"/>
    <s v="NATURAL GAS, NATURAL GAS"/>
    <x v="2"/>
    <x v="0"/>
    <s v="Americas"/>
    <s v="Northern America"/>
    <s v="US"/>
    <m/>
    <n v="1"/>
    <s v="CH4"/>
    <n v="55.254658999999997"/>
    <n v="2.5749999999999999E-5"/>
    <s v="SCF"/>
    <n v="1"/>
    <n v="2145812"/>
    <s v="AR4"/>
    <s v="USEPA"/>
    <s v="USEPA (2022)"/>
    <n v="2022"/>
    <n v="2022"/>
    <n v="0"/>
    <n v="0"/>
    <x v="14"/>
    <s v="Office"/>
  </r>
  <r>
    <n v="291078"/>
    <s v="Top of Hierarchy &gt; North America &gt; Vantage_Fairfield"/>
    <x v="0"/>
    <x v="0"/>
    <d v="2022-01-01T00:00:00"/>
    <d v="2022-12-31T00:00:00"/>
    <x v="3"/>
    <d v="2022-01-01T00:00:00"/>
    <d v="2022-12-31T00:00:00"/>
    <s v="Natural gas"/>
    <n v="2145812"/>
    <s v="cubic feet"/>
    <x v="1"/>
    <m/>
    <s v="2023-05-03, 20:27"/>
    <s v="2023-07-20, 00:40"/>
    <n v="2022"/>
    <s v="natural_gas"/>
    <s v="Natural Gas"/>
    <s v="model"/>
    <b v="0"/>
    <s v="NATURAL GAS, NATURAL GAS"/>
    <x v="2"/>
    <x v="0"/>
    <s v="Americas"/>
    <s v="Northern America"/>
    <s v="US"/>
    <m/>
    <n v="1"/>
    <s v="CO2"/>
    <n v="116818.0053"/>
    <n v="5.4440000000000002E-2"/>
    <s v="SCF"/>
    <n v="1"/>
    <n v="2145812"/>
    <s v="AR4"/>
    <s v="USEPA"/>
    <s v="USEPA (2022)"/>
    <n v="2022"/>
    <n v="2022"/>
    <n v="0"/>
    <n v="0"/>
    <x v="14"/>
    <s v="Office"/>
  </r>
  <r>
    <n v="291078"/>
    <s v="Top of Hierarchy &gt; North America &gt; Vantage_Fairfield"/>
    <x v="0"/>
    <x v="0"/>
    <d v="2022-01-01T00:00:00"/>
    <d v="2022-12-31T00:00:00"/>
    <x v="3"/>
    <d v="2022-01-01T00:00:00"/>
    <d v="2022-12-31T00:00:00"/>
    <s v="Natural gas"/>
    <n v="2145812"/>
    <s v="cubic feet"/>
    <x v="1"/>
    <m/>
    <s v="2023-05-03, 20:27"/>
    <s v="2023-07-20, 00:40"/>
    <n v="2022"/>
    <s v="natural_gas"/>
    <s v="Natural Gas"/>
    <s v="model"/>
    <b v="0"/>
    <s v="NATURAL GAS, NATURAL GAS"/>
    <x v="2"/>
    <x v="0"/>
    <s v="Americas"/>
    <s v="Northern America"/>
    <s v="US"/>
    <m/>
    <n v="1"/>
    <s v="CO2E"/>
    <n v="116937.20510000001"/>
    <n v="5.4495549999999997E-2"/>
    <s v="SCF"/>
    <n v="1"/>
    <n v="2145812"/>
    <s v="AR4"/>
    <s v="USEPA"/>
    <s v="USEPA (2022)"/>
    <n v="2022"/>
    <n v="2022"/>
    <n v="0"/>
    <n v="116.9372051"/>
    <x v="14"/>
    <s v="Office"/>
  </r>
  <r>
    <n v="291078"/>
    <s v="Top of Hierarchy &gt; North America &gt; Vantage_Fairfield"/>
    <x v="0"/>
    <x v="0"/>
    <d v="2022-01-01T00:00:00"/>
    <d v="2022-12-31T00:00:00"/>
    <x v="3"/>
    <d v="2022-01-01T00:00:00"/>
    <d v="2022-12-31T00:00:00"/>
    <s v="Natural gas"/>
    <n v="2145812"/>
    <s v="cubic feet"/>
    <x v="1"/>
    <m/>
    <s v="2023-05-03, 20:27"/>
    <s v="2023-07-20, 00:40"/>
    <n v="2022"/>
    <s v="natural_gas"/>
    <s v="Natural Gas"/>
    <s v="model"/>
    <b v="0"/>
    <s v="NATURAL GAS, NATURAL GAS"/>
    <x v="2"/>
    <x v="0"/>
    <s v="Americas"/>
    <s v="Northern America"/>
    <s v="US"/>
    <m/>
    <n v="1"/>
    <s v="N2O"/>
    <n v="63.9451976"/>
    <n v="2.9799999999999999E-5"/>
    <s v="SCF"/>
    <n v="1"/>
    <n v="2145812"/>
    <s v="AR4"/>
    <s v="USEPA"/>
    <s v="USEPA (2022)"/>
    <n v="2022"/>
    <n v="2022"/>
    <n v="0"/>
    <n v="0"/>
    <x v="14"/>
    <s v="Office"/>
  </r>
  <r>
    <n v="291078"/>
    <s v="Top of Hierarchy &gt; North America &gt; Vantage_Fairfield"/>
    <x v="0"/>
    <x v="0"/>
    <d v="2022-01-01T00:00:00"/>
    <d v="2022-12-31T00:00:00"/>
    <x v="3"/>
    <d v="2022-01-01T00:00:00"/>
    <d v="2022-12-31T00:00:00"/>
    <s v="Natural gas"/>
    <n v="2145812"/>
    <s v="cubic feet"/>
    <x v="1"/>
    <m/>
    <s v="2023-05-03, 20:27"/>
    <s v="2023-07-20, 00:40"/>
    <n v="2022"/>
    <s v="natural_gas__wtt"/>
    <s v="Natural Gas WTT"/>
    <s v="wtt"/>
    <b v="0"/>
    <s v="WTT- FUELS; GASEOUS FUELS; NATURAL GAS"/>
    <x v="1"/>
    <x v="1"/>
    <m/>
    <m/>
    <m/>
    <m/>
    <n v="0"/>
    <s v="CO2E"/>
    <n v="20865.85254"/>
    <n v="0.34339999999999998"/>
    <s v="CUBIC METRES"/>
    <n v="2.83168E-2"/>
    <n v="60762.529240000003"/>
    <s v="AR4"/>
    <s v="Defra"/>
    <s v="Defra (2022)"/>
    <n v="2022"/>
    <n v="2020"/>
    <n v="20.865852539999999"/>
    <n v="0"/>
    <x v="14"/>
    <s v="Office"/>
  </r>
  <r>
    <n v="291078"/>
    <s v="Top of Hierarchy &gt; North America &gt; Vantage_Fairfield"/>
    <x v="0"/>
    <x v="0"/>
    <d v="2022-01-01T00:00:00"/>
    <d v="2022-12-31T00:00:00"/>
    <x v="3"/>
    <d v="2022-01-01T00:00:00"/>
    <d v="2022-12-31T00:00:00"/>
    <s v="Natural gas"/>
    <n v="2145812"/>
    <s v="cubic feet"/>
    <x v="1"/>
    <m/>
    <s v="2023-05-03, 20:27"/>
    <s v="2023-07-20, 00:40"/>
    <n v="2022"/>
    <s v="natural_gas__wtt"/>
    <s v="Natural Gas WTT"/>
    <s v="wtt"/>
    <b v="0"/>
    <s v="WTT- FUELS; GASEOUS FUELS; NATURAL GAS"/>
    <x v="1"/>
    <x v="1"/>
    <m/>
    <m/>
    <m/>
    <m/>
    <n v="1"/>
    <s v="CO2E"/>
    <n v="20865.85254"/>
    <n v="0.34339999999999998"/>
    <s v="CUBIC METRES"/>
    <n v="2.83168E-2"/>
    <n v="60762.529240000003"/>
    <s v="AR4"/>
    <s v="Defra"/>
    <s v="Defra (2022)"/>
    <n v="2022"/>
    <n v="2020"/>
    <n v="0"/>
    <n v="20.865852539999999"/>
    <x v="14"/>
    <s v="Office"/>
  </r>
  <r>
    <n v="255495"/>
    <s v="Top of Hierarchy &gt; North America &gt; Vantage_Fairfield"/>
    <x v="0"/>
    <x v="0"/>
    <d v="2022-01-01T00:00:00"/>
    <d v="2022-12-31T00:00:00"/>
    <x v="1"/>
    <d v="2022-01-01T00:00:00"/>
    <d v="2022-12-31T00:00:00"/>
    <s v="Petrol (100% mineral petrol)"/>
    <n v="0"/>
    <s v="British Thermal Units"/>
    <x v="1"/>
    <m/>
    <s v="2023-04-26, 16:38"/>
    <s v="2023-07-20, 00:40"/>
    <n v="2022"/>
    <s v="petrol_100p_mineral_petrol"/>
    <s v="Petrol (100% Mineral Petrol)"/>
    <s v="model"/>
    <b v="0"/>
    <s v="FUELS; LIQUID FUELS; PETROL (100% MINERAL PETROL)"/>
    <x v="2"/>
    <x v="0"/>
    <m/>
    <m/>
    <m/>
    <m/>
    <n v="0"/>
    <s v="CH4"/>
    <n v="0"/>
    <n v="7.6000000000000004E-4"/>
    <s v="KWH (GROSS CV)"/>
    <n v="2.9306999999999998E-4"/>
    <n v="0"/>
    <s v="AR4"/>
    <s v="Defra"/>
    <s v="Defra (2022)"/>
    <n v="2022"/>
    <n v="2020"/>
    <n v="0"/>
    <n v="0"/>
    <x v="14"/>
    <s v="Office"/>
  </r>
  <r>
    <n v="255495"/>
    <s v="Top of Hierarchy &gt; North America &gt; Vantage_Fairfield"/>
    <x v="0"/>
    <x v="0"/>
    <d v="2022-01-01T00:00:00"/>
    <d v="2022-12-31T00:00:00"/>
    <x v="1"/>
    <d v="2022-01-01T00:00:00"/>
    <d v="2022-12-31T00:00:00"/>
    <s v="Petrol (100% mineral petrol)"/>
    <n v="0"/>
    <s v="British Thermal Units"/>
    <x v="1"/>
    <m/>
    <s v="2023-04-26, 16:38"/>
    <s v="2023-07-20, 00:40"/>
    <n v="2022"/>
    <s v="petrol_100p_mineral_petrol"/>
    <s v="Petrol (100% Mineral Petrol)"/>
    <s v="model"/>
    <b v="0"/>
    <s v="FUELS; LIQUID FUELS; PETROL (100% MINERAL PETROL)"/>
    <x v="2"/>
    <x v="0"/>
    <m/>
    <m/>
    <m/>
    <m/>
    <n v="0"/>
    <s v="CO2"/>
    <n v="0"/>
    <n v="0.24010999999999999"/>
    <s v="KWH (GROSS CV)"/>
    <n v="2.9306999999999998E-4"/>
    <n v="0"/>
    <s v="AR4"/>
    <s v="Defra"/>
    <s v="Defra (2022)"/>
    <n v="2022"/>
    <n v="2020"/>
    <n v="0"/>
    <n v="0"/>
    <x v="14"/>
    <s v="Office"/>
  </r>
  <r>
    <n v="255495"/>
    <s v="Top of Hierarchy &gt; North America &gt; Vantage_Fairfield"/>
    <x v="0"/>
    <x v="0"/>
    <d v="2022-01-01T00:00:00"/>
    <d v="2022-12-31T00:00:00"/>
    <x v="1"/>
    <d v="2022-01-01T00:00:00"/>
    <d v="2022-12-31T00:00:00"/>
    <s v="Petrol (100% mineral petrol)"/>
    <n v="0"/>
    <s v="British Thermal Units"/>
    <x v="1"/>
    <m/>
    <s v="2023-04-26, 16:38"/>
    <s v="2023-07-20, 00:40"/>
    <n v="2022"/>
    <s v="petrol_100p_mineral_petrol"/>
    <s v="Petrol (100% Mineral Petrol)"/>
    <s v="model"/>
    <b v="0"/>
    <s v="FUELS; LIQUID FUELS; PETROL (100% MINERAL PETROL)"/>
    <x v="2"/>
    <x v="0"/>
    <m/>
    <m/>
    <m/>
    <m/>
    <n v="0"/>
    <s v="CO2E"/>
    <n v="0"/>
    <n v="0.24156"/>
    <s v="KWH (GROSS CV)"/>
    <n v="2.9306999999999998E-4"/>
    <n v="0"/>
    <s v="AR4"/>
    <s v="Defra"/>
    <s v="Defra (2022)"/>
    <n v="2022"/>
    <n v="2020"/>
    <n v="0"/>
    <n v="0"/>
    <x v="14"/>
    <s v="Office"/>
  </r>
  <r>
    <n v="255495"/>
    <s v="Top of Hierarchy &gt; North America &gt; Vantage_Fairfield"/>
    <x v="0"/>
    <x v="0"/>
    <d v="2022-01-01T00:00:00"/>
    <d v="2022-12-31T00:00:00"/>
    <x v="1"/>
    <d v="2022-01-01T00:00:00"/>
    <d v="2022-12-31T00:00:00"/>
    <s v="Petrol (100% mineral petrol)"/>
    <n v="0"/>
    <s v="British Thermal Units"/>
    <x v="1"/>
    <m/>
    <s v="2023-04-26, 16:38"/>
    <s v="2023-07-20, 00:40"/>
    <n v="2022"/>
    <s v="petrol_100p_mineral_petrol"/>
    <s v="Petrol (100% Mineral Petrol)"/>
    <s v="model"/>
    <b v="0"/>
    <s v="FUELS; LIQUID FUELS; PETROL (100% MINERAL PETROL)"/>
    <x v="2"/>
    <x v="0"/>
    <m/>
    <m/>
    <m/>
    <m/>
    <n v="0"/>
    <s v="N2O"/>
    <n v="0"/>
    <n v="6.8999999999999997E-4"/>
    <s v="KWH (GROSS CV)"/>
    <n v="2.9306999999999998E-4"/>
    <n v="0"/>
    <s v="AR4"/>
    <s v="Defra"/>
    <s v="Defra (2022)"/>
    <n v="2022"/>
    <n v="2020"/>
    <n v="0"/>
    <n v="0"/>
    <x v="14"/>
    <s v="Office"/>
  </r>
  <r>
    <n v="255495"/>
    <s v="Top of Hierarchy &gt; North America &gt; Vantage_Fairfield"/>
    <x v="0"/>
    <x v="0"/>
    <d v="2022-01-01T00:00:00"/>
    <d v="2022-12-31T00:00:00"/>
    <x v="1"/>
    <d v="2022-01-01T00:00:00"/>
    <d v="2022-12-31T00:00:00"/>
    <s v="Petrol (100% mineral petrol)"/>
    <n v="0"/>
    <s v="British Thermal Units"/>
    <x v="1"/>
    <m/>
    <s v="2023-04-26, 16:38"/>
    <s v="2023-07-20, 00:40"/>
    <n v="2022"/>
    <s v="petrol_100p_mineral_petrol"/>
    <s v="Petrol (100% Mineral Petrol)"/>
    <s v="model"/>
    <b v="0"/>
    <s v="FUELS; LIQUID FUELS; PETROL (100% MINERAL PETROL)"/>
    <x v="2"/>
    <x v="0"/>
    <m/>
    <m/>
    <m/>
    <m/>
    <n v="1"/>
    <s v="CH4"/>
    <n v="0"/>
    <n v="7.6000000000000004E-4"/>
    <s v="KWH (GROSS CV)"/>
    <n v="2.9306999999999998E-4"/>
    <n v="0"/>
    <s v="AR4"/>
    <s v="Defra"/>
    <s v="Defra (2022)"/>
    <n v="2022"/>
    <n v="2020"/>
    <n v="0"/>
    <n v="0"/>
    <x v="14"/>
    <s v="Office"/>
  </r>
  <r>
    <n v="255495"/>
    <s v="Top of Hierarchy &gt; North America &gt; Vantage_Fairfield"/>
    <x v="0"/>
    <x v="0"/>
    <d v="2022-01-01T00:00:00"/>
    <d v="2022-12-31T00:00:00"/>
    <x v="1"/>
    <d v="2022-01-01T00:00:00"/>
    <d v="2022-12-31T00:00:00"/>
    <s v="Petrol (100% mineral petrol)"/>
    <n v="0"/>
    <s v="British Thermal Units"/>
    <x v="1"/>
    <m/>
    <s v="2023-04-26, 16:38"/>
    <s v="2023-07-20, 00:40"/>
    <n v="2022"/>
    <s v="petrol_100p_mineral_petrol"/>
    <s v="Petrol (100% Mineral Petrol)"/>
    <s v="model"/>
    <b v="0"/>
    <s v="FUELS; LIQUID FUELS; PETROL (100% MINERAL PETROL)"/>
    <x v="2"/>
    <x v="0"/>
    <m/>
    <m/>
    <m/>
    <m/>
    <n v="1"/>
    <s v="CO2"/>
    <n v="0"/>
    <n v="0.24010999999999999"/>
    <s v="KWH (GROSS CV)"/>
    <n v="2.9306999999999998E-4"/>
    <n v="0"/>
    <s v="AR4"/>
    <s v="Defra"/>
    <s v="Defra (2022)"/>
    <n v="2022"/>
    <n v="2020"/>
    <n v="0"/>
    <n v="0"/>
    <x v="14"/>
    <s v="Office"/>
  </r>
  <r>
    <n v="255495"/>
    <s v="Top of Hierarchy &gt; North America &gt; Vantage_Fairfield"/>
    <x v="0"/>
    <x v="0"/>
    <d v="2022-01-01T00:00:00"/>
    <d v="2022-12-31T00:00:00"/>
    <x v="1"/>
    <d v="2022-01-01T00:00:00"/>
    <d v="2022-12-31T00:00:00"/>
    <s v="Petrol (100% mineral petrol)"/>
    <n v="0"/>
    <s v="British Thermal Units"/>
    <x v="1"/>
    <m/>
    <s v="2023-04-26, 16:38"/>
    <s v="2023-07-20, 00:40"/>
    <n v="2022"/>
    <s v="petrol_100p_mineral_petrol"/>
    <s v="Petrol (100% Mineral Petrol)"/>
    <s v="model"/>
    <b v="0"/>
    <s v="FUELS; LIQUID FUELS; PETROL (100% MINERAL PETROL)"/>
    <x v="2"/>
    <x v="0"/>
    <m/>
    <m/>
    <m/>
    <m/>
    <n v="1"/>
    <s v="CO2E"/>
    <n v="0"/>
    <n v="0.24156"/>
    <s v="KWH (GROSS CV)"/>
    <n v="2.9306999999999998E-4"/>
    <n v="0"/>
    <s v="AR4"/>
    <s v="Defra"/>
    <s v="Defra (2022)"/>
    <n v="2022"/>
    <n v="2020"/>
    <n v="0"/>
    <n v="0"/>
    <x v="14"/>
    <s v="Office"/>
  </r>
  <r>
    <n v="255495"/>
    <s v="Top of Hierarchy &gt; North America &gt; Vantage_Fairfield"/>
    <x v="0"/>
    <x v="0"/>
    <d v="2022-01-01T00:00:00"/>
    <d v="2022-12-31T00:00:00"/>
    <x v="1"/>
    <d v="2022-01-01T00:00:00"/>
    <d v="2022-12-31T00:00:00"/>
    <s v="Petrol (100% mineral petrol)"/>
    <n v="0"/>
    <s v="British Thermal Units"/>
    <x v="1"/>
    <m/>
    <s v="2023-04-26, 16:38"/>
    <s v="2023-07-20, 00:40"/>
    <n v="2022"/>
    <s v="petrol_100p_mineral_petrol"/>
    <s v="Petrol (100% Mineral Petrol)"/>
    <s v="model"/>
    <b v="0"/>
    <s v="FUELS; LIQUID FUELS; PETROL (100% MINERAL PETROL)"/>
    <x v="2"/>
    <x v="0"/>
    <m/>
    <m/>
    <m/>
    <m/>
    <n v="1"/>
    <s v="N2O"/>
    <n v="0"/>
    <n v="6.8999999999999997E-4"/>
    <s v="KWH (GROSS CV)"/>
    <n v="2.9306999999999998E-4"/>
    <n v="0"/>
    <s v="AR4"/>
    <s v="Defra"/>
    <s v="Defra (2022)"/>
    <n v="2022"/>
    <n v="2020"/>
    <n v="0"/>
    <n v="0"/>
    <x v="14"/>
    <s v="Office"/>
  </r>
  <r>
    <n v="255495"/>
    <s v="Top of Hierarchy &gt; North America &gt; Vantage_Fairfield"/>
    <x v="0"/>
    <x v="0"/>
    <d v="2022-01-01T00:00:00"/>
    <d v="2022-12-31T00:00:00"/>
    <x v="1"/>
    <d v="2022-01-01T00:00:00"/>
    <d v="2022-12-31T00:00:00"/>
    <s v="Petrol (100% mineral petrol)"/>
    <n v="0"/>
    <s v="British Thermal Units"/>
    <x v="1"/>
    <m/>
    <s v="2023-04-26, 16:38"/>
    <s v="2023-07-20, 00:40"/>
    <n v="2022"/>
    <s v="petrol_100p_mineral_petrol__wtt"/>
    <s v="Petrol (100% Mineral Petrol) WTT"/>
    <s v="wtt"/>
    <b v="0"/>
    <s v="WTT- FUELS; LIQUID FUELS; PETROL (100% MINERAL PETROL)"/>
    <x v="1"/>
    <x v="1"/>
    <m/>
    <m/>
    <m/>
    <m/>
    <n v="0"/>
    <s v="CO2E"/>
    <n v="0"/>
    <n v="6.2239999999999997E-2"/>
    <s v="KWH (GROSS CV)"/>
    <n v="2.9306999999999998E-4"/>
    <n v="0"/>
    <s v="AR4"/>
    <s v="Defra"/>
    <s v="Defra (2022)"/>
    <n v="2022"/>
    <n v="2020"/>
    <n v="0"/>
    <n v="0"/>
    <x v="14"/>
    <s v="Office"/>
  </r>
  <r>
    <n v="255495"/>
    <s v="Top of Hierarchy &gt; North America &gt; Vantage_Fairfield"/>
    <x v="0"/>
    <x v="0"/>
    <d v="2022-01-01T00:00:00"/>
    <d v="2022-12-31T00:00:00"/>
    <x v="1"/>
    <d v="2022-01-01T00:00:00"/>
    <d v="2022-12-31T00:00:00"/>
    <s v="Petrol (100% mineral petrol)"/>
    <n v="0"/>
    <s v="British Thermal Units"/>
    <x v="1"/>
    <m/>
    <s v="2023-04-26, 16:38"/>
    <s v="2023-07-20, 00:40"/>
    <n v="2022"/>
    <s v="petrol_100p_mineral_petrol__wtt"/>
    <s v="Petrol (100% Mineral Petrol) WTT"/>
    <s v="wtt"/>
    <b v="0"/>
    <s v="WTT- FUELS; LIQUID FUELS; PETROL (100% MINERAL PETROL)"/>
    <x v="1"/>
    <x v="1"/>
    <m/>
    <m/>
    <m/>
    <m/>
    <n v="1"/>
    <s v="CO2E"/>
    <n v="0"/>
    <n v="6.2239999999999997E-2"/>
    <s v="KWH (GROSS CV)"/>
    <n v="2.9306999999999998E-4"/>
    <n v="0"/>
    <s v="AR4"/>
    <s v="Defra"/>
    <s v="Defra (2022)"/>
    <n v="2022"/>
    <n v="2020"/>
    <n v="0"/>
    <n v="0"/>
    <x v="14"/>
    <s v="Office"/>
  </r>
  <r>
    <n v="255497"/>
    <s v="Top of Hierarchy &gt; North America &gt; Vantage_Fairfield"/>
    <x v="0"/>
    <x v="0"/>
    <d v="2022-01-01T00:00:00"/>
    <d v="2022-12-31T00:00:00"/>
    <x v="4"/>
    <d v="2022-01-01T00:00:00"/>
    <d v="2022-12-31T00:00:00"/>
    <s v="HFC-41"/>
    <n v="0"/>
    <s v="pounds"/>
    <x v="1"/>
    <s v="no refrigerants used"/>
    <s v="2023-04-26, 16:39"/>
    <s v="2023-07-20, 00:40"/>
    <n v="2022"/>
    <s v="hfc-41"/>
    <s v="HFC-41"/>
    <s v="model"/>
    <b v="0"/>
    <s v="REFRIGERANT: R-41"/>
    <x v="2"/>
    <x v="0"/>
    <m/>
    <m/>
    <m/>
    <m/>
    <n v="0"/>
    <s v="CO2E"/>
    <n v="0"/>
    <n v="92"/>
    <s v="KG"/>
    <n v="0.45359291000000002"/>
    <n v="0"/>
    <s v="AR4"/>
    <s v="IPCC"/>
    <s v="IPCC (2021)"/>
    <n v="2022"/>
    <n v="2007"/>
    <n v="0"/>
    <n v="0"/>
    <x v="14"/>
    <s v="Office"/>
  </r>
  <r>
    <n v="255497"/>
    <s v="Top of Hierarchy &gt; North America &gt; Vantage_Fairfield"/>
    <x v="0"/>
    <x v="0"/>
    <d v="2022-01-01T00:00:00"/>
    <d v="2022-12-31T00:00:00"/>
    <x v="4"/>
    <d v="2022-01-01T00:00:00"/>
    <d v="2022-12-31T00:00:00"/>
    <s v="HFC-41"/>
    <n v="0"/>
    <s v="pounds"/>
    <x v="1"/>
    <s v="no refrigerants used"/>
    <s v="2023-04-26, 16:39"/>
    <s v="2023-07-20, 00:40"/>
    <n v="2022"/>
    <s v="hfc-41"/>
    <s v="HFC-41"/>
    <s v="model"/>
    <b v="0"/>
    <s v="REFRIGERANT: R-41"/>
    <x v="2"/>
    <x v="0"/>
    <m/>
    <m/>
    <m/>
    <m/>
    <n v="1"/>
    <s v="CO2E"/>
    <n v="0"/>
    <n v="92"/>
    <s v="KG"/>
    <n v="0.45359291000000002"/>
    <n v="0"/>
    <s v="AR4"/>
    <s v="IPCC"/>
    <s v="IPCC (2021)"/>
    <n v="2022"/>
    <n v="2007"/>
    <n v="0"/>
    <n v="0"/>
    <x v="14"/>
    <s v="Office"/>
  </r>
  <r>
    <n v="294645"/>
    <s v="Top of Hierarchy &gt; North America &gt; Vantage_Fairfield"/>
    <x v="0"/>
    <x v="0"/>
    <d v="2022-01-01T00:00:00"/>
    <d v="2022-12-31T00:00:00"/>
    <x v="4"/>
    <d v="2022-01-01T00:00:00"/>
    <d v="2022-12-31T00:00:00"/>
    <s v="R410A"/>
    <n v="11.6"/>
    <s v="pounds"/>
    <x v="0"/>
    <s v="I got the info on the refrigerants use on our roof units_x000a__x000a_The type of refrigerant is R410A_x000a__x000a_When its refilled its about 5.8 pounds of pressure and they are refilled twice a year"/>
    <s v="2023-05-09, 17:35"/>
    <s v="2023-07-20, 00:40"/>
    <n v="2022"/>
    <s v="r410a"/>
    <s v="R410A"/>
    <s v="model"/>
    <b v="0"/>
    <s v="REFRIGERANT: R-410A"/>
    <x v="2"/>
    <x v="0"/>
    <m/>
    <m/>
    <m/>
    <m/>
    <n v="0"/>
    <s v="CO2E"/>
    <n v="10986.38315"/>
    <n v="2088"/>
    <s v="KG"/>
    <n v="0.45359291000000002"/>
    <n v="5.2616777600000004"/>
    <s v="AR4"/>
    <s v="IPCC"/>
    <s v="IPCC (2021)"/>
    <n v="2022"/>
    <n v="2007"/>
    <n v="10.98638315"/>
    <n v="0"/>
    <x v="14"/>
    <s v="Office"/>
  </r>
  <r>
    <n v="294645"/>
    <s v="Top of Hierarchy &gt; North America &gt; Vantage_Fairfield"/>
    <x v="0"/>
    <x v="0"/>
    <d v="2022-01-01T00:00:00"/>
    <d v="2022-12-31T00:00:00"/>
    <x v="4"/>
    <d v="2022-01-01T00:00:00"/>
    <d v="2022-12-31T00:00:00"/>
    <s v="R410A"/>
    <n v="11.6"/>
    <s v="pounds"/>
    <x v="0"/>
    <s v="I got the info on the refrigerants use on our roof units_x000a__x000a_The type of refrigerant is R410A_x000a__x000a_When its refilled its about 5.8 pounds of pressure and they are refilled twice a year"/>
    <s v="2023-05-09, 17:35"/>
    <s v="2023-07-20, 00:40"/>
    <n v="2022"/>
    <s v="r410a"/>
    <s v="R410A"/>
    <s v="model"/>
    <b v="0"/>
    <s v="REFRIGERANT: R-410A"/>
    <x v="2"/>
    <x v="0"/>
    <m/>
    <m/>
    <m/>
    <m/>
    <n v="1"/>
    <s v="CO2E"/>
    <n v="10986.38315"/>
    <n v="2088"/>
    <s v="KG"/>
    <n v="0.45359291000000002"/>
    <n v="5.2616777600000004"/>
    <s v="AR4"/>
    <s v="IPCC"/>
    <s v="IPCC (2021)"/>
    <n v="2022"/>
    <n v="2007"/>
    <n v="0"/>
    <n v="10.98638315"/>
    <x v="14"/>
    <s v="Office"/>
  </r>
  <r>
    <n v="284000"/>
    <s v="Top of Hierarchy &gt; North America &gt; Vantage_Fairfield"/>
    <x v="0"/>
    <x v="0"/>
    <d v="2022-01-01T00:00:00"/>
    <d v="2022-12-31T00:00:00"/>
    <x v="2"/>
    <d v="2022-01-01T00:00:00"/>
    <d v="2022-12-31T00:00:00"/>
    <s v="Propane"/>
    <n v="0"/>
    <s v="gigajoules"/>
    <x v="1"/>
    <m/>
    <s v="2023-04-28, 23:28"/>
    <s v="2023-07-20, 00:40"/>
    <n v="2022"/>
    <s v="propane"/>
    <s v="Propane"/>
    <s v="model"/>
    <b v="0"/>
    <s v="PETROLEUM PRODUCTS, PROPANE"/>
    <x v="2"/>
    <x v="0"/>
    <s v="Americas"/>
    <s v="Northern America"/>
    <s v="US"/>
    <m/>
    <n v="0"/>
    <s v="CH4"/>
    <n v="0"/>
    <n v="7.4999999999999997E-2"/>
    <s v="MMBTU"/>
    <n v="0.94781711999999996"/>
    <n v="0"/>
    <s v="AR4"/>
    <s v="USEPA"/>
    <s v="USEPA (2022)"/>
    <n v="2022"/>
    <n v="2022"/>
    <n v="0"/>
    <n v="0"/>
    <x v="14"/>
    <s v="Office"/>
  </r>
  <r>
    <n v="284000"/>
    <s v="Top of Hierarchy &gt; North America &gt; Vantage_Fairfield"/>
    <x v="0"/>
    <x v="0"/>
    <d v="2022-01-01T00:00:00"/>
    <d v="2022-12-31T00:00:00"/>
    <x v="2"/>
    <d v="2022-01-01T00:00:00"/>
    <d v="2022-12-31T00:00:00"/>
    <s v="Propane"/>
    <n v="0"/>
    <s v="gigajoules"/>
    <x v="1"/>
    <m/>
    <s v="2023-04-28, 23:28"/>
    <s v="2023-07-20, 00:40"/>
    <n v="2022"/>
    <s v="propane"/>
    <s v="Propane"/>
    <s v="model"/>
    <b v="0"/>
    <s v="PETROLEUM PRODUCTS, PROPANE"/>
    <x v="2"/>
    <x v="0"/>
    <s v="Americas"/>
    <s v="Northern America"/>
    <s v="US"/>
    <m/>
    <n v="0"/>
    <s v="CO2"/>
    <n v="0"/>
    <n v="62.87"/>
    <s v="MMBTU"/>
    <n v="0.94781711999999996"/>
    <n v="0"/>
    <s v="AR4"/>
    <s v="USEPA"/>
    <s v="USEPA (2022)"/>
    <n v="2022"/>
    <n v="2022"/>
    <n v="0"/>
    <n v="0"/>
    <x v="14"/>
    <s v="Office"/>
  </r>
  <r>
    <n v="284000"/>
    <s v="Top of Hierarchy &gt; North America &gt; Vantage_Fairfield"/>
    <x v="0"/>
    <x v="0"/>
    <d v="2022-01-01T00:00:00"/>
    <d v="2022-12-31T00:00:00"/>
    <x v="2"/>
    <d v="2022-01-01T00:00:00"/>
    <d v="2022-12-31T00:00:00"/>
    <s v="Propane"/>
    <n v="0"/>
    <s v="gigajoules"/>
    <x v="1"/>
    <m/>
    <s v="2023-04-28, 23:28"/>
    <s v="2023-07-20, 00:40"/>
    <n v="2022"/>
    <s v="propane"/>
    <s v="Propane"/>
    <s v="model"/>
    <b v="0"/>
    <s v="PETROLEUM PRODUCTS, PROPANE"/>
    <x v="2"/>
    <x v="0"/>
    <s v="Americas"/>
    <s v="Northern America"/>
    <s v="US"/>
    <m/>
    <n v="0"/>
    <s v="CO2E"/>
    <n v="0"/>
    <n v="63.123800000000003"/>
    <s v="MMBTU"/>
    <n v="0.94781711999999996"/>
    <n v="0"/>
    <s v="AR4"/>
    <s v="USEPA"/>
    <s v="USEPA (2022)"/>
    <n v="2022"/>
    <n v="2022"/>
    <n v="0"/>
    <n v="0"/>
    <x v="14"/>
    <s v="Office"/>
  </r>
  <r>
    <n v="284000"/>
    <s v="Top of Hierarchy &gt; North America &gt; Vantage_Fairfield"/>
    <x v="0"/>
    <x v="0"/>
    <d v="2022-01-01T00:00:00"/>
    <d v="2022-12-31T00:00:00"/>
    <x v="2"/>
    <d v="2022-01-01T00:00:00"/>
    <d v="2022-12-31T00:00:00"/>
    <s v="Propane"/>
    <n v="0"/>
    <s v="gigajoules"/>
    <x v="1"/>
    <m/>
    <s v="2023-04-28, 23:28"/>
    <s v="2023-07-20, 00:40"/>
    <n v="2022"/>
    <s v="propane"/>
    <s v="Propane"/>
    <s v="model"/>
    <b v="0"/>
    <s v="PETROLEUM PRODUCTS, PROPANE"/>
    <x v="2"/>
    <x v="0"/>
    <s v="Americas"/>
    <s v="Northern America"/>
    <s v="US"/>
    <m/>
    <n v="0"/>
    <s v="N2O"/>
    <n v="0"/>
    <n v="0.17879999999999999"/>
    <s v="MMBTU"/>
    <n v="0.94781711999999996"/>
    <n v="0"/>
    <s v="AR4"/>
    <s v="USEPA"/>
    <s v="USEPA Emission Factors Hub (Last Modified: March 2020)"/>
    <n v="2022"/>
    <n v="2021"/>
    <n v="0"/>
    <n v="0"/>
    <x v="14"/>
    <s v="Office"/>
  </r>
  <r>
    <n v="284000"/>
    <s v="Top of Hierarchy &gt; North America &gt; Vantage_Fairfield"/>
    <x v="0"/>
    <x v="0"/>
    <d v="2022-01-01T00:00:00"/>
    <d v="2022-12-31T00:00:00"/>
    <x v="2"/>
    <d v="2022-01-01T00:00:00"/>
    <d v="2022-12-31T00:00:00"/>
    <s v="Propane"/>
    <n v="0"/>
    <s v="gigajoules"/>
    <x v="1"/>
    <m/>
    <s v="2023-04-28, 23:28"/>
    <s v="2023-07-20, 00:40"/>
    <n v="2022"/>
    <s v="propane"/>
    <s v="Propane"/>
    <s v="model"/>
    <b v="0"/>
    <s v="PETROLEUM PRODUCTS, PROPANE"/>
    <x v="2"/>
    <x v="0"/>
    <s v="Americas"/>
    <s v="Northern America"/>
    <s v="US"/>
    <m/>
    <n v="1"/>
    <s v="CH4"/>
    <n v="0"/>
    <n v="7.4999999999999997E-2"/>
    <s v="MMBTU"/>
    <n v="0.94781711999999996"/>
    <n v="0"/>
    <s v="AR4"/>
    <s v="USEPA"/>
    <s v="USEPA (2022)"/>
    <n v="2022"/>
    <n v="2022"/>
    <n v="0"/>
    <n v="0"/>
    <x v="14"/>
    <s v="Office"/>
  </r>
  <r>
    <n v="284000"/>
    <s v="Top of Hierarchy &gt; North America &gt; Vantage_Fairfield"/>
    <x v="0"/>
    <x v="0"/>
    <d v="2022-01-01T00:00:00"/>
    <d v="2022-12-31T00:00:00"/>
    <x v="2"/>
    <d v="2022-01-01T00:00:00"/>
    <d v="2022-12-31T00:00:00"/>
    <s v="Propane"/>
    <n v="0"/>
    <s v="gigajoules"/>
    <x v="1"/>
    <m/>
    <s v="2023-04-28, 23:28"/>
    <s v="2023-07-20, 00:40"/>
    <n v="2022"/>
    <s v="propane"/>
    <s v="Propane"/>
    <s v="model"/>
    <b v="0"/>
    <s v="PETROLEUM PRODUCTS, PROPANE"/>
    <x v="2"/>
    <x v="0"/>
    <s v="Americas"/>
    <s v="Northern America"/>
    <s v="US"/>
    <m/>
    <n v="1"/>
    <s v="CO2"/>
    <n v="0"/>
    <n v="62.87"/>
    <s v="MMBTU"/>
    <n v="0.94781711999999996"/>
    <n v="0"/>
    <s v="AR4"/>
    <s v="USEPA"/>
    <s v="USEPA (2022)"/>
    <n v="2022"/>
    <n v="2022"/>
    <n v="0"/>
    <n v="0"/>
    <x v="14"/>
    <s v="Office"/>
  </r>
  <r>
    <n v="284000"/>
    <s v="Top of Hierarchy &gt; North America &gt; Vantage_Fairfield"/>
    <x v="0"/>
    <x v="0"/>
    <d v="2022-01-01T00:00:00"/>
    <d v="2022-12-31T00:00:00"/>
    <x v="2"/>
    <d v="2022-01-01T00:00:00"/>
    <d v="2022-12-31T00:00:00"/>
    <s v="Propane"/>
    <n v="0"/>
    <s v="gigajoules"/>
    <x v="1"/>
    <m/>
    <s v="2023-04-28, 23:28"/>
    <s v="2023-07-20, 00:40"/>
    <n v="2022"/>
    <s v="propane"/>
    <s v="Propane"/>
    <s v="model"/>
    <b v="0"/>
    <s v="PETROLEUM PRODUCTS, PROPANE"/>
    <x v="2"/>
    <x v="0"/>
    <s v="Americas"/>
    <s v="Northern America"/>
    <s v="US"/>
    <m/>
    <n v="1"/>
    <s v="CO2E"/>
    <n v="0"/>
    <n v="63.123800000000003"/>
    <s v="MMBTU"/>
    <n v="0.94781711999999996"/>
    <n v="0"/>
    <s v="AR4"/>
    <s v="USEPA"/>
    <s v="USEPA (2022)"/>
    <n v="2022"/>
    <n v="2022"/>
    <n v="0"/>
    <n v="0"/>
    <x v="14"/>
    <s v="Office"/>
  </r>
  <r>
    <n v="284000"/>
    <s v="Top of Hierarchy &gt; North America &gt; Vantage_Fairfield"/>
    <x v="0"/>
    <x v="0"/>
    <d v="2022-01-01T00:00:00"/>
    <d v="2022-12-31T00:00:00"/>
    <x v="2"/>
    <d v="2022-01-01T00:00:00"/>
    <d v="2022-12-31T00:00:00"/>
    <s v="Propane"/>
    <n v="0"/>
    <s v="gigajoules"/>
    <x v="1"/>
    <m/>
    <s v="2023-04-28, 23:28"/>
    <s v="2023-07-20, 00:40"/>
    <n v="2022"/>
    <s v="propane"/>
    <s v="Propane"/>
    <s v="model"/>
    <b v="0"/>
    <s v="PETROLEUM PRODUCTS, PROPANE"/>
    <x v="2"/>
    <x v="0"/>
    <s v="Americas"/>
    <s v="Northern America"/>
    <s v="US"/>
    <m/>
    <n v="1"/>
    <s v="N2O"/>
    <n v="0"/>
    <n v="0.17879999999999999"/>
    <s v="MMBTU"/>
    <n v="0.94781711999999996"/>
    <n v="0"/>
    <s v="AR4"/>
    <s v="USEPA"/>
    <s v="USEPA Emission Factors Hub (Last Modified: March 2020)"/>
    <n v="2022"/>
    <n v="2021"/>
    <n v="0"/>
    <n v="0"/>
    <x v="14"/>
    <s v="Office"/>
  </r>
  <r>
    <n v="284000"/>
    <s v="Top of Hierarchy &gt; North America &gt; Vantage_Fairfield"/>
    <x v="0"/>
    <x v="0"/>
    <d v="2022-01-01T00:00:00"/>
    <d v="2022-12-31T00:00:00"/>
    <x v="2"/>
    <d v="2022-01-01T00:00:00"/>
    <d v="2022-12-31T00:00:00"/>
    <s v="Propane"/>
    <n v="0"/>
    <s v="gigajoules"/>
    <x v="1"/>
    <m/>
    <s v="2023-04-28, 23:28"/>
    <s v="2023-07-20, 00:40"/>
    <n v="2022"/>
    <s v="propane__wtt"/>
    <s v="Propane WTT"/>
    <s v="wtt"/>
    <b v="0"/>
    <s v="WTT- FUELS; GASEOUS FUELS; PROPANE"/>
    <x v="1"/>
    <x v="1"/>
    <m/>
    <m/>
    <m/>
    <m/>
    <n v="0"/>
    <s v="CO2E"/>
    <n v="0"/>
    <n v="2.503E-2"/>
    <s v="KWH (GROSS CV)"/>
    <n v="277.77777780000002"/>
    <n v="0"/>
    <s v="AR4"/>
    <s v="Defra"/>
    <s v="Defra (2022)"/>
    <n v="2022"/>
    <n v="2020"/>
    <n v="0"/>
    <n v="0"/>
    <x v="14"/>
    <s v="Office"/>
  </r>
  <r>
    <n v="284000"/>
    <s v="Top of Hierarchy &gt; North America &gt; Vantage_Fairfield"/>
    <x v="0"/>
    <x v="0"/>
    <d v="2022-01-01T00:00:00"/>
    <d v="2022-12-31T00:00:00"/>
    <x v="2"/>
    <d v="2022-01-01T00:00:00"/>
    <d v="2022-12-31T00:00:00"/>
    <s v="Propane"/>
    <n v="0"/>
    <s v="gigajoules"/>
    <x v="1"/>
    <m/>
    <s v="2023-04-28, 23:28"/>
    <s v="2023-07-20, 00:40"/>
    <n v="2022"/>
    <s v="propane__wtt"/>
    <s v="Propane WTT"/>
    <s v="wtt"/>
    <b v="0"/>
    <s v="WTT- FUELS; GASEOUS FUELS; PROPANE"/>
    <x v="1"/>
    <x v="1"/>
    <m/>
    <m/>
    <m/>
    <m/>
    <n v="1"/>
    <s v="CO2E"/>
    <n v="0"/>
    <n v="2.503E-2"/>
    <s v="KWH (GROSS CV)"/>
    <n v="277.77777780000002"/>
    <n v="0"/>
    <s v="AR4"/>
    <s v="Defra"/>
    <s v="Defra (2022)"/>
    <n v="2022"/>
    <n v="2020"/>
    <n v="0"/>
    <n v="0"/>
    <x v="14"/>
    <s v="Office"/>
  </r>
  <r>
    <n v="4949"/>
    <s v="Top of Hierarchy &gt; North America &gt; Vantage_Fairfield"/>
    <x v="0"/>
    <x v="1"/>
    <d v="2021-01-01T00:00:00"/>
    <d v="2021-12-31T00:00:00"/>
    <x v="0"/>
    <d v="2021-01-01T00:00:00"/>
    <d v="2021-12-31T00:00:00"/>
    <s v="Electricity (non-renewable)"/>
    <n v="404720"/>
    <s v="Kilowatt hours"/>
    <x v="1"/>
    <m/>
    <s v="2023-02-27, 16:27"/>
    <s v="2023-07-20, 00:40"/>
    <n v="2021"/>
    <s v="electricity"/>
    <s v="Electricity"/>
    <s v="model"/>
    <b v="0"/>
    <s v="ELECTRICITY; UNITED STATES - RFCE"/>
    <x v="0"/>
    <x v="0"/>
    <s v="Americas"/>
    <s v="Northern America"/>
    <s v="US"/>
    <s v="RFCE"/>
    <n v="0"/>
    <s v="CH4"/>
    <n v="243.24072279999999"/>
    <n v="6.0101000000000002E-4"/>
    <s v="KWH"/>
    <n v="1"/>
    <n v="404720"/>
    <s v="AR4"/>
    <s v="USEPA"/>
    <s v="USEPA (2021)"/>
    <n v="2021"/>
    <n v="2019"/>
    <n v="0"/>
    <n v="0"/>
    <x v="14"/>
    <s v="Office"/>
  </r>
  <r>
    <n v="4949"/>
    <s v="Top of Hierarchy &gt; North America &gt; Vantage_Fairfield"/>
    <x v="0"/>
    <x v="1"/>
    <d v="2021-01-01T00:00:00"/>
    <d v="2021-12-31T00:00:00"/>
    <x v="0"/>
    <d v="2021-01-01T00:00:00"/>
    <d v="2021-12-31T00:00:00"/>
    <s v="Electricity (non-renewable)"/>
    <n v="404720"/>
    <s v="Kilowatt hours"/>
    <x v="1"/>
    <m/>
    <s v="2023-02-27, 16:27"/>
    <s v="2023-07-20, 00:40"/>
    <n v="2021"/>
    <s v="electricity"/>
    <s v="Electricity"/>
    <s v="model"/>
    <b v="0"/>
    <s v="ELECTRICITY; UNITED STATES - RFCE"/>
    <x v="0"/>
    <x v="0"/>
    <s v="Americas"/>
    <s v="Northern America"/>
    <s v="US"/>
    <s v="RFCE"/>
    <n v="0"/>
    <s v="CO2"/>
    <n v="127592.8849"/>
    <n v="0.31526211900000001"/>
    <s v="KWH"/>
    <n v="1"/>
    <n v="404720"/>
    <s v="AR4"/>
    <s v="USEPA"/>
    <s v="USEPA (2021)"/>
    <n v="2021"/>
    <n v="2019"/>
    <n v="0"/>
    <n v="0"/>
    <x v="14"/>
    <s v="Office"/>
  </r>
  <r>
    <n v="4949"/>
    <s v="Top of Hierarchy &gt; North America &gt; Vantage_Fairfield"/>
    <x v="0"/>
    <x v="1"/>
    <d v="2021-01-01T00:00:00"/>
    <d v="2021-12-31T00:00:00"/>
    <x v="0"/>
    <d v="2021-01-01T00:00:00"/>
    <d v="2021-12-31T00:00:00"/>
    <s v="Electricity (non-renewable)"/>
    <n v="404720"/>
    <s v="Kilowatt hours"/>
    <x v="1"/>
    <m/>
    <s v="2023-02-27, 16:27"/>
    <s v="2023-07-20, 00:40"/>
    <n v="2021"/>
    <s v="electricity"/>
    <s v="Electricity"/>
    <s v="model"/>
    <b v="0"/>
    <s v="ELECTRICITY; UNITED STATES - RFCE"/>
    <x v="0"/>
    <x v="0"/>
    <s v="Americas"/>
    <s v="Northern America"/>
    <s v="US"/>
    <s v="RFCE"/>
    <n v="0"/>
    <s v="CO2E"/>
    <n v="128219.06909999999"/>
    <n v="0.31680932299999998"/>
    <s v="KWH"/>
    <n v="1"/>
    <n v="404720"/>
    <s v="AR4"/>
    <s v="USEPA"/>
    <s v="USEPA (2021)"/>
    <n v="2021"/>
    <n v="2019"/>
    <n v="128.21906909999998"/>
    <n v="0"/>
    <x v="14"/>
    <s v="Office"/>
  </r>
  <r>
    <n v="4949"/>
    <s v="Top of Hierarchy &gt; North America &gt; Vantage_Fairfield"/>
    <x v="0"/>
    <x v="1"/>
    <d v="2021-01-01T00:00:00"/>
    <d v="2021-12-31T00:00:00"/>
    <x v="0"/>
    <d v="2021-01-01T00:00:00"/>
    <d v="2021-12-31T00:00:00"/>
    <s v="Electricity (non-renewable)"/>
    <n v="404720"/>
    <s v="Kilowatt hours"/>
    <x v="1"/>
    <m/>
    <s v="2023-02-27, 16:27"/>
    <s v="2023-07-20, 00:40"/>
    <n v="2021"/>
    <s v="electricity"/>
    <s v="Electricity"/>
    <s v="model"/>
    <b v="0"/>
    <s v="ELECTRICITY; UNITED STATES - RFCE"/>
    <x v="0"/>
    <x v="0"/>
    <s v="Americas"/>
    <s v="Northern America"/>
    <s v="US"/>
    <s v="RFCE"/>
    <n v="0"/>
    <s v="N2O"/>
    <n v="382.9435077"/>
    <n v="9.4619400000000003E-4"/>
    <s v="KWH"/>
    <n v="1"/>
    <n v="404720"/>
    <s v="AR4"/>
    <s v="USEPA"/>
    <s v="USEPA (2021)"/>
    <n v="2021"/>
    <n v="2019"/>
    <n v="0"/>
    <n v="0"/>
    <x v="14"/>
    <s v="Office"/>
  </r>
  <r>
    <n v="4949"/>
    <s v="Top of Hierarchy &gt; North America &gt; Vantage_Fairfield"/>
    <x v="0"/>
    <x v="1"/>
    <d v="2021-01-01T00:00:00"/>
    <d v="2021-12-31T00:00:00"/>
    <x v="0"/>
    <d v="2021-01-01T00:00:00"/>
    <d v="2021-12-31T00:00:00"/>
    <s v="Electricity (non-renewable)"/>
    <n v="404720"/>
    <s v="Kilowatt hours"/>
    <x v="1"/>
    <m/>
    <s v="2023-02-27, 16:27"/>
    <s v="2023-07-20, 00:40"/>
    <n v="2021"/>
    <s v="electricity"/>
    <s v="Electricity"/>
    <s v="model"/>
    <b v="0"/>
    <s v="ELECTRICITY; UNITED STATES - RFCE"/>
    <x v="0"/>
    <x v="0"/>
    <s v="Americas"/>
    <s v="Northern America"/>
    <s v="US"/>
    <s v="RFCE"/>
    <n v="1"/>
    <s v="CO2E MKT"/>
    <n v="127630.702"/>
    <n v="0.31535555900000001"/>
    <s v="KWH"/>
    <n v="1"/>
    <n v="404720"/>
    <s v="AR4"/>
    <s v="Green-e"/>
    <s v="Green-e (2021)"/>
    <n v="2021"/>
    <n v="2019"/>
    <n v="0"/>
    <n v="127.630702"/>
    <x v="14"/>
    <s v="Office"/>
  </r>
  <r>
    <n v="4949"/>
    <s v="Top of Hierarchy &gt; North America &gt; Vantage_Fairfield"/>
    <x v="0"/>
    <x v="1"/>
    <d v="2021-01-01T00:00:00"/>
    <d v="2021-12-31T00:00:00"/>
    <x v="0"/>
    <d v="2021-01-01T00:00:00"/>
    <d v="2021-12-31T00:00:00"/>
    <s v="Electricity (non-renewable)"/>
    <n v="404720"/>
    <s v="Kilowatt hours"/>
    <x v="1"/>
    <m/>
    <s v="2023-02-27, 16:27"/>
    <s v="2023-07-20, 00:40"/>
    <n v="2021"/>
    <s v="electricity__t+d__wtt"/>
    <s v="Electricity T&amp;D WTT"/>
    <s v="t+d_wtt"/>
    <b v="0"/>
    <s v="ELECTRICITY; UNITED STATES - RFCE; T&amp;D WTT Estimated"/>
    <x v="1"/>
    <x v="1"/>
    <s v="Americas"/>
    <s v="Northern America"/>
    <s v="US"/>
    <s v="RFCE"/>
    <n v="0"/>
    <s v="CH4"/>
    <n v="3.2771125090000002"/>
    <n v="8.0972299999999997E-6"/>
    <s v="KWH"/>
    <n v="1"/>
    <n v="404720"/>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ELECTRICITY; TRANSMISSION AND DISTRIBUTION; UNITED STATES - RFCE, USEPA to estimate the T&amp;D WTT factor."/>
    <n v="2021"/>
    <n v="2019"/>
    <n v="0"/>
    <n v="0"/>
    <x v="14"/>
    <s v="Office"/>
  </r>
  <r>
    <n v="4949"/>
    <s v="Top of Hierarchy &gt; North America &gt; Vantage_Fairfield"/>
    <x v="0"/>
    <x v="1"/>
    <d v="2021-01-01T00:00:00"/>
    <d v="2021-12-31T00:00:00"/>
    <x v="0"/>
    <d v="2021-01-01T00:00:00"/>
    <d v="2021-12-31T00:00:00"/>
    <s v="Electricity (non-renewable)"/>
    <n v="404720"/>
    <s v="Kilowatt hours"/>
    <x v="1"/>
    <m/>
    <s v="2023-02-27, 16:27"/>
    <s v="2023-07-20, 00:40"/>
    <n v="2021"/>
    <s v="electricity__t+d__wtt"/>
    <s v="Electricity T&amp;D WTT"/>
    <s v="t+d_wtt"/>
    <b v="0"/>
    <s v="ELECTRICITY; UNITED STATES - RFCE; T&amp;D WTT Estimated"/>
    <x v="1"/>
    <x v="1"/>
    <s v="Americas"/>
    <s v="Northern America"/>
    <s v="US"/>
    <s v="RFCE"/>
    <n v="0"/>
    <s v="CO2"/>
    <n v="1719.0223510000001"/>
    <n v="4.2474360000000003E-3"/>
    <s v="KWH"/>
    <n v="1"/>
    <n v="404720"/>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ELECTRICITY; TRANSMISSION AND DISTRIBUTION; UNITED STATES - RFCE, USEPA to estimate the T&amp;D WTT factor."/>
    <n v="2021"/>
    <n v="2019"/>
    <n v="0"/>
    <n v="0"/>
    <x v="14"/>
    <s v="Office"/>
  </r>
  <r>
    <n v="4949"/>
    <s v="Top of Hierarchy &gt; North America &gt; Vantage_Fairfield"/>
    <x v="0"/>
    <x v="1"/>
    <d v="2021-01-01T00:00:00"/>
    <d v="2021-12-31T00:00:00"/>
    <x v="0"/>
    <d v="2021-01-01T00:00:00"/>
    <d v="2021-12-31T00:00:00"/>
    <s v="Electricity (non-renewable)"/>
    <n v="404720"/>
    <s v="Kilowatt hours"/>
    <x v="1"/>
    <m/>
    <s v="2023-02-27, 16:27"/>
    <s v="2023-07-20, 00:40"/>
    <n v="2021"/>
    <s v="electricity__t+d__wtt"/>
    <s v="Electricity T&amp;D WTT"/>
    <s v="t+d_wtt"/>
    <b v="0"/>
    <s v="ELECTRICITY; UNITED STATES - RFCE; T&amp;D WTT Estimated"/>
    <x v="1"/>
    <x v="1"/>
    <s v="Americas"/>
    <s v="Northern America"/>
    <s v="US"/>
    <s v="RFCE"/>
    <n v="0"/>
    <s v="CO2E"/>
    <n v="1727.458752"/>
    <n v="4.2682809999999996E-3"/>
    <s v="KWH"/>
    <n v="1"/>
    <n v="404720"/>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ELECTRICITY; TRANSMISSION AND DISTRIBUTION; UNITED STATES - RFCE, USEPA to estimate the T&amp;D WTT factor."/>
    <n v="2021"/>
    <n v="2019"/>
    <n v="1.727458752"/>
    <n v="0"/>
    <x v="14"/>
    <s v="Office"/>
  </r>
  <r>
    <n v="4949"/>
    <s v="Top of Hierarchy &gt; North America &gt; Vantage_Fairfield"/>
    <x v="0"/>
    <x v="1"/>
    <d v="2021-01-01T00:00:00"/>
    <d v="2021-12-31T00:00:00"/>
    <x v="0"/>
    <d v="2021-01-01T00:00:00"/>
    <d v="2021-12-31T00:00:00"/>
    <s v="Electricity (non-renewable)"/>
    <n v="404720"/>
    <s v="Kilowatt hours"/>
    <x v="1"/>
    <m/>
    <s v="2023-02-27, 16:27"/>
    <s v="2023-07-20, 00:40"/>
    <n v="2021"/>
    <s v="electricity__t+d__wtt"/>
    <s v="Electricity T&amp;D WTT"/>
    <s v="t+d_wtt"/>
    <b v="0"/>
    <s v="ELECTRICITY; UNITED STATES - RFCE; T&amp;D WTT Estimated"/>
    <x v="1"/>
    <x v="1"/>
    <s v="Americas"/>
    <s v="Northern America"/>
    <s v="US"/>
    <s v="RFCE"/>
    <n v="0"/>
    <s v="N2O"/>
    <n v="5.1592880699999997"/>
    <n v="1.27478E-5"/>
    <s v="KWH"/>
    <n v="1"/>
    <n v="404720"/>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ELECTRICITY; TRANSMISSION AND DISTRIBUTION; UNITED STATES - RFCE, USEPA to estimate the T&amp;D WTT factor."/>
    <n v="2021"/>
    <n v="2019"/>
    <n v="0"/>
    <n v="0"/>
    <x v="14"/>
    <s v="Office"/>
  </r>
  <r>
    <n v="4949"/>
    <s v="Top of Hierarchy &gt; North America &gt; Vantage_Fairfield"/>
    <x v="0"/>
    <x v="1"/>
    <d v="2021-01-01T00:00:00"/>
    <d v="2021-12-31T00:00:00"/>
    <x v="0"/>
    <d v="2021-01-01T00:00:00"/>
    <d v="2021-12-31T00:00:00"/>
    <s v="Electricity (non-renewable)"/>
    <n v="404720"/>
    <s v="Kilowatt hours"/>
    <x v="1"/>
    <m/>
    <s v="2023-02-27, 16:27"/>
    <s v="2023-07-20, 00:40"/>
    <n v="2021"/>
    <s v="electricity__t+d__wtt"/>
    <s v="Electricity T&amp;D WTT"/>
    <s v="t+d_wtt"/>
    <b v="0"/>
    <s v="ELECTRICITY; UNITED STATES - RFCE; T&amp;D WTT Estimated"/>
    <x v="1"/>
    <x v="1"/>
    <s v="Americas"/>
    <s v="Northern America"/>
    <s v="US"/>
    <s v="RFCE"/>
    <n v="1"/>
    <s v="CO2E MKT"/>
    <n v="1719.531849"/>
    <n v="4.2486950000000002E-3"/>
    <s v="KWH"/>
    <n v="1"/>
    <n v="404720"/>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  to estimate the T&amp;D WTT factor."/>
    <n v="2021"/>
    <n v="2019"/>
    <n v="0"/>
    <n v="1.719531849"/>
    <x v="14"/>
    <s v="Office"/>
  </r>
  <r>
    <n v="4949"/>
    <s v="Top of Hierarchy &gt; North America &gt; Vantage_Fairfield"/>
    <x v="0"/>
    <x v="1"/>
    <d v="2021-01-01T00:00:00"/>
    <d v="2021-12-31T00:00:00"/>
    <x v="0"/>
    <d v="2021-01-01T00:00:00"/>
    <d v="2021-12-31T00:00:00"/>
    <s v="Electricity (non-renewable)"/>
    <n v="404720"/>
    <s v="Kilowatt hours"/>
    <x v="1"/>
    <m/>
    <s v="2023-02-27, 16:27"/>
    <s v="2023-07-20, 00:40"/>
    <n v="2021"/>
    <s v="electricity__wtt"/>
    <s v="Electricity WTT"/>
    <s v="wtt"/>
    <b v="0"/>
    <s v="ELECTRICITY; UNITED STATES - RFCE; WTT Estimated"/>
    <x v="1"/>
    <x v="1"/>
    <s v="Americas"/>
    <s v="Northern America"/>
    <s v="US"/>
    <s v="RFCE"/>
    <n v="0"/>
    <s v="CH4"/>
    <n v="64.257108009999996"/>
    <n v="1.5876900000000001E-4"/>
    <s v="KWH"/>
    <n v="1"/>
    <n v="404720"/>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RFCE, USEPAto estimate the WTT factor."/>
    <n v="2021"/>
    <n v="2019"/>
    <n v="0"/>
    <n v="0"/>
    <x v="14"/>
    <s v="Office"/>
  </r>
  <r>
    <n v="4949"/>
    <s v="Top of Hierarchy &gt; North America &gt; Vantage_Fairfield"/>
    <x v="0"/>
    <x v="1"/>
    <d v="2021-01-01T00:00:00"/>
    <d v="2021-12-31T00:00:00"/>
    <x v="0"/>
    <d v="2021-01-01T00:00:00"/>
    <d v="2021-12-31T00:00:00"/>
    <s v="Electricity (non-renewable)"/>
    <n v="404720"/>
    <s v="Kilowatt hours"/>
    <x v="1"/>
    <m/>
    <s v="2023-02-27, 16:27"/>
    <s v="2023-07-20, 00:40"/>
    <n v="2021"/>
    <s v="electricity__wtt"/>
    <s v="Electricity WTT"/>
    <s v="wtt"/>
    <b v="0"/>
    <s v="ELECTRICITY; UNITED STATES - RFCE; WTT Estimated"/>
    <x v="1"/>
    <x v="1"/>
    <s v="Americas"/>
    <s v="Northern America"/>
    <s v="US"/>
    <s v="RFCE"/>
    <n v="0"/>
    <s v="CO2"/>
    <n v="33706.320610000002"/>
    <n v="8.3283061000000005E-2"/>
    <s v="KWH"/>
    <n v="1"/>
    <n v="404720"/>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RFCE, USEPAto estimate the WTT factor."/>
    <n v="2021"/>
    <n v="2019"/>
    <n v="0"/>
    <n v="0"/>
    <x v="14"/>
    <s v="Office"/>
  </r>
  <r>
    <n v="4949"/>
    <s v="Top of Hierarchy &gt; North America &gt; Vantage_Fairfield"/>
    <x v="0"/>
    <x v="1"/>
    <d v="2021-01-01T00:00:00"/>
    <d v="2021-12-31T00:00:00"/>
    <x v="0"/>
    <d v="2021-01-01T00:00:00"/>
    <d v="2021-12-31T00:00:00"/>
    <s v="Electricity (non-renewable)"/>
    <n v="404720"/>
    <s v="Kilowatt hours"/>
    <x v="1"/>
    <m/>
    <s v="2023-02-27, 16:27"/>
    <s v="2023-07-20, 00:40"/>
    <n v="2021"/>
    <s v="electricity__wtt"/>
    <s v="Electricity WTT"/>
    <s v="wtt"/>
    <b v="0"/>
    <s v="ELECTRICITY; UNITED STATES - RFCE; WTT Estimated"/>
    <x v="1"/>
    <x v="1"/>
    <s v="Americas"/>
    <s v="Northern America"/>
    <s v="US"/>
    <s v="RFCE"/>
    <n v="0"/>
    <s v="CO2E"/>
    <n v="33871.740230000003"/>
    <n v="8.3691787000000004E-2"/>
    <s v="KWH"/>
    <n v="1"/>
    <n v="404720"/>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RFCE, USEPAto estimate the WTT factor."/>
    <n v="2021"/>
    <n v="2019"/>
    <n v="33.87174023"/>
    <n v="0"/>
    <x v="14"/>
    <s v="Office"/>
  </r>
  <r>
    <n v="4949"/>
    <s v="Top of Hierarchy &gt; North America &gt; Vantage_Fairfield"/>
    <x v="0"/>
    <x v="1"/>
    <d v="2021-01-01T00:00:00"/>
    <d v="2021-12-31T00:00:00"/>
    <x v="0"/>
    <d v="2021-01-01T00:00:00"/>
    <d v="2021-12-31T00:00:00"/>
    <s v="Electricity (non-renewable)"/>
    <n v="404720"/>
    <s v="Kilowatt hours"/>
    <x v="1"/>
    <m/>
    <s v="2023-02-27, 16:27"/>
    <s v="2023-07-20, 00:40"/>
    <n v="2021"/>
    <s v="electricity__wtt"/>
    <s v="Electricity WTT"/>
    <s v="wtt"/>
    <b v="0"/>
    <s v="ELECTRICITY; UNITED STATES - RFCE; WTT Estimated"/>
    <x v="1"/>
    <x v="1"/>
    <s v="Americas"/>
    <s v="Northern America"/>
    <s v="US"/>
    <s v="RFCE"/>
    <n v="0"/>
    <s v="N2O"/>
    <n v="101.1625112"/>
    <n v="2.4995699999999998E-4"/>
    <s v="KWH"/>
    <n v="1"/>
    <n v="404720"/>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RFCE, USEPAto estimate the WTT factor."/>
    <n v="2021"/>
    <n v="2019"/>
    <n v="0"/>
    <n v="0"/>
    <x v="14"/>
    <s v="Office"/>
  </r>
  <r>
    <n v="4949"/>
    <s v="Top of Hierarchy &gt; North America &gt; Vantage_Fairfield"/>
    <x v="0"/>
    <x v="1"/>
    <d v="2021-01-01T00:00:00"/>
    <d v="2021-12-31T00:00:00"/>
    <x v="0"/>
    <d v="2021-01-01T00:00:00"/>
    <d v="2021-12-31T00:00:00"/>
    <s v="Electricity (non-renewable)"/>
    <n v="404720"/>
    <s v="Kilowatt hours"/>
    <x v="1"/>
    <m/>
    <s v="2023-02-27, 16:27"/>
    <s v="2023-07-20, 00:40"/>
    <n v="2021"/>
    <s v="electricity__wtt"/>
    <s v="Electricity WTT"/>
    <s v="wtt"/>
    <b v="0"/>
    <s v="ELECTRICITY; UNITED STATES - RFCE; WTT Estimated"/>
    <x v="1"/>
    <x v="1"/>
    <s v="Americas"/>
    <s v="Northern America"/>
    <s v="US"/>
    <s v="RFCE"/>
    <n v="1"/>
    <s v="CO2E MKT"/>
    <n v="33716.310769999996"/>
    <n v="8.3307746000000002E-2"/>
    <s v="KWH"/>
    <n v="1"/>
    <n v="404720"/>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RFCE, Green-eto estimate the WTT factor."/>
    <n v="2021"/>
    <n v="2019"/>
    <n v="0"/>
    <n v="33.71631077"/>
    <x v="14"/>
    <s v="Office"/>
  </r>
  <r>
    <n v="4949"/>
    <s v="Top of Hierarchy &gt; North America &gt; Vantage_Fairfield"/>
    <x v="0"/>
    <x v="1"/>
    <d v="2021-01-01T00:00:00"/>
    <d v="2021-12-31T00:00:00"/>
    <x v="0"/>
    <d v="2021-01-01T00:00:00"/>
    <d v="2021-12-31T00:00:00"/>
    <s v="Electricity (non-renewable)"/>
    <n v="404720"/>
    <s v="Kilowatt hours"/>
    <x v="1"/>
    <m/>
    <s v="2023-02-27, 16:27"/>
    <s v="2023-07-20, 00:40"/>
    <n v="2021"/>
    <s v="electricity__t+d"/>
    <s v="Electricity T&amp;D"/>
    <s v="t+d"/>
    <b v="0"/>
    <s v="ELECTRICITY; TRANSMISSION AND DISTRIBUTION; UNITED STATES - RFCE"/>
    <x v="1"/>
    <x v="1"/>
    <s v="Americas"/>
    <s v="Northern America"/>
    <s v="US"/>
    <s v="RFCE"/>
    <n v="0"/>
    <s v="CO2E"/>
    <n v="6539.1725269999997"/>
    <n v="1.6157274999999999E-2"/>
    <s v="KWH"/>
    <n v="1"/>
    <n v="404720"/>
    <s v="AR4"/>
    <s v="USEPA"/>
    <s v="USEPA (2021)"/>
    <n v="2021"/>
    <n v="2019"/>
    <n v="6.5391725269999998"/>
    <n v="0"/>
    <x v="14"/>
    <s v="Office"/>
  </r>
  <r>
    <n v="4949"/>
    <s v="Top of Hierarchy &gt; North America &gt; Vantage_Fairfield"/>
    <x v="0"/>
    <x v="1"/>
    <d v="2021-01-01T00:00:00"/>
    <d v="2021-12-31T00:00:00"/>
    <x v="0"/>
    <d v="2021-01-01T00:00:00"/>
    <d v="2021-12-31T00:00:00"/>
    <s v="Electricity (non-renewable)"/>
    <n v="404720"/>
    <s v="Kilowatt hours"/>
    <x v="1"/>
    <m/>
    <s v="2023-02-27, 16:27"/>
    <s v="2023-07-20, 00:40"/>
    <n v="2021"/>
    <s v="electricity__t+d"/>
    <s v="Electricity T&amp;D"/>
    <s v="t+d"/>
    <b v="0"/>
    <s v="ELECTRICITY; UNITED STATES - RFCE; T&amp;D Estimated"/>
    <x v="1"/>
    <x v="1"/>
    <s v="Americas"/>
    <s v="Northern America"/>
    <s v="US"/>
    <s v="RFCE"/>
    <n v="1"/>
    <s v="CO2E MKT"/>
    <n v="6509.1657999999998"/>
    <n v="1.6083133999999999E-2"/>
    <s v="KWH"/>
    <n v="1"/>
    <n v="404720"/>
    <s v="AR4"/>
    <s v="Anthesis"/>
    <s v="The median T&amp;D to generation factor ratio of all countries within the region Northern America was taken to be ELECTRICITY; UNITED STATES - SRSO, USEPA to ELECTRICITY; TRANSMISSION AND DISTRIBUTION; UNITED STATES - SRSO, USEPA: 0.051. This was applied to the base factor ELECTRICITY; UNITED STATES - RFCE, Green-eto estimate the T&amp;D factor."/>
    <n v="2021"/>
    <n v="2019"/>
    <n v="0"/>
    <n v="6.5091657999999999"/>
    <x v="14"/>
    <s v="Office"/>
  </r>
  <r>
    <n v="4976"/>
    <s v="Top of Hierarchy &gt; North America &gt; Vantage_Fairfield"/>
    <x v="0"/>
    <x v="1"/>
    <d v="2021-01-01T00:00:00"/>
    <d v="2021-12-31T00:00:00"/>
    <x v="3"/>
    <d v="2021-01-01T00:00:00"/>
    <d v="2021-12-31T00:00:00"/>
    <s v="Natural gas"/>
    <n v="16621.580000000002"/>
    <s v="Hundred Thousand BTUs"/>
    <x v="1"/>
    <m/>
    <s v="2023-02-27, 16:27"/>
    <s v="2023-07-20, 00:40"/>
    <n v="2021"/>
    <s v="natural_gas"/>
    <s v="Natural Gas"/>
    <s v="model"/>
    <b v="0"/>
    <s v="NATURAL GAS, NATURAL GAS"/>
    <x v="2"/>
    <x v="0"/>
    <s v="Americas"/>
    <s v="Northern America"/>
    <s v="US"/>
    <m/>
    <n v="0"/>
    <s v="CH4"/>
    <n v="41.55395"/>
    <n v="2.5000000000000001E-2"/>
    <s v="MMBTU"/>
    <n v="0.1"/>
    <n v="1662.1579999999999"/>
    <s v="AR4"/>
    <s v="USEPA"/>
    <s v="USEPA (2021)"/>
    <n v="2021"/>
    <n v="2021"/>
    <n v="0"/>
    <n v="0"/>
    <x v="14"/>
    <s v="Office"/>
  </r>
  <r>
    <n v="4976"/>
    <s v="Top of Hierarchy &gt; North America &gt; Vantage_Fairfield"/>
    <x v="0"/>
    <x v="1"/>
    <d v="2021-01-01T00:00:00"/>
    <d v="2021-12-31T00:00:00"/>
    <x v="3"/>
    <d v="2021-01-01T00:00:00"/>
    <d v="2021-12-31T00:00:00"/>
    <s v="Natural gas"/>
    <n v="16621.580000000002"/>
    <s v="Hundred Thousand BTUs"/>
    <x v="1"/>
    <m/>
    <s v="2023-02-27, 16:27"/>
    <s v="2023-07-20, 00:40"/>
    <n v="2021"/>
    <s v="natural_gas"/>
    <s v="Natural Gas"/>
    <s v="model"/>
    <b v="0"/>
    <s v="NATURAL GAS, NATURAL GAS"/>
    <x v="2"/>
    <x v="0"/>
    <s v="Americas"/>
    <s v="Northern America"/>
    <s v="US"/>
    <m/>
    <n v="0"/>
    <s v="CO2"/>
    <n v="88194.103480000005"/>
    <n v="53.06"/>
    <s v="MMBTU"/>
    <n v="0.1"/>
    <n v="1662.1579999999999"/>
    <s v="AR4"/>
    <s v="USEPA"/>
    <s v="USEPA Emission Factors Hub (Last Modified: March 2020)"/>
    <n v="2021"/>
    <n v="2020"/>
    <n v="0"/>
    <n v="0"/>
    <x v="14"/>
    <s v="Office"/>
  </r>
  <r>
    <n v="4976"/>
    <s v="Top of Hierarchy &gt; North America &gt; Vantage_Fairfield"/>
    <x v="0"/>
    <x v="1"/>
    <d v="2021-01-01T00:00:00"/>
    <d v="2021-12-31T00:00:00"/>
    <x v="3"/>
    <d v="2021-01-01T00:00:00"/>
    <d v="2021-12-31T00:00:00"/>
    <s v="Natural gas"/>
    <n v="16621.580000000002"/>
    <s v="Hundred Thousand BTUs"/>
    <x v="1"/>
    <m/>
    <s v="2023-02-27, 16:27"/>
    <s v="2023-07-20, 00:40"/>
    <n v="2021"/>
    <s v="natural_gas"/>
    <s v="Natural Gas"/>
    <s v="model"/>
    <b v="0"/>
    <s v="NATURAL GAS, NATURAL GAS"/>
    <x v="2"/>
    <x v="0"/>
    <s v="Americas"/>
    <s v="Northern America"/>
    <s v="US"/>
    <m/>
    <n v="0"/>
    <s v="CO2E"/>
    <n v="88285.189740000002"/>
    <n v="53.114800000000002"/>
    <s v="MMBTU"/>
    <n v="0.1"/>
    <n v="1662.1579999999999"/>
    <s v="AR4"/>
    <s v="USEPA"/>
    <s v="USEPA (2021)"/>
    <n v="2021"/>
    <n v="2021"/>
    <n v="88.285189740000007"/>
    <n v="0"/>
    <x v="14"/>
    <s v="Office"/>
  </r>
  <r>
    <n v="4976"/>
    <s v="Top of Hierarchy &gt; North America &gt; Vantage_Fairfield"/>
    <x v="0"/>
    <x v="1"/>
    <d v="2021-01-01T00:00:00"/>
    <d v="2021-12-31T00:00:00"/>
    <x v="3"/>
    <d v="2021-01-01T00:00:00"/>
    <d v="2021-12-31T00:00:00"/>
    <s v="Natural gas"/>
    <n v="16621.580000000002"/>
    <s v="Hundred Thousand BTUs"/>
    <x v="1"/>
    <m/>
    <s v="2023-02-27, 16:27"/>
    <s v="2023-07-20, 00:40"/>
    <n v="2021"/>
    <s v="natural_gas"/>
    <s v="Natural Gas"/>
    <s v="model"/>
    <b v="0"/>
    <s v="NATURAL GAS, NATURAL GAS"/>
    <x v="2"/>
    <x v="0"/>
    <s v="Americas"/>
    <s v="Northern America"/>
    <s v="US"/>
    <m/>
    <n v="0"/>
    <s v="N2O"/>
    <n v="49.532308399999998"/>
    <n v="2.98E-2"/>
    <s v="MMBTU"/>
    <n v="0.1"/>
    <n v="1662.1579999999999"/>
    <s v="AR4"/>
    <s v="USEPA"/>
    <s v="USEPA (2021)"/>
    <n v="2021"/>
    <n v="2021"/>
    <n v="0"/>
    <n v="0"/>
    <x v="14"/>
    <s v="Office"/>
  </r>
  <r>
    <n v="4976"/>
    <s v="Top of Hierarchy &gt; North America &gt; Vantage_Fairfield"/>
    <x v="0"/>
    <x v="1"/>
    <d v="2021-01-01T00:00:00"/>
    <d v="2021-12-31T00:00:00"/>
    <x v="3"/>
    <d v="2021-01-01T00:00:00"/>
    <d v="2021-12-31T00:00:00"/>
    <s v="Natural gas"/>
    <n v="16621.580000000002"/>
    <s v="Hundred Thousand BTUs"/>
    <x v="1"/>
    <m/>
    <s v="2023-02-27, 16:27"/>
    <s v="2023-07-20, 00:40"/>
    <n v="2021"/>
    <s v="natural_gas"/>
    <s v="Natural Gas"/>
    <s v="model"/>
    <b v="0"/>
    <s v="NATURAL GAS, NATURAL GAS"/>
    <x v="2"/>
    <x v="0"/>
    <s v="Americas"/>
    <s v="Northern America"/>
    <s v="US"/>
    <m/>
    <n v="1"/>
    <s v="CH4"/>
    <n v="41.55395"/>
    <n v="2.5000000000000001E-2"/>
    <s v="MMBTU"/>
    <n v="0.1"/>
    <n v="1662.1579999999999"/>
    <s v="AR4"/>
    <s v="USEPA"/>
    <s v="USEPA (2021)"/>
    <n v="2021"/>
    <n v="2021"/>
    <n v="0"/>
    <n v="0"/>
    <x v="14"/>
    <s v="Office"/>
  </r>
  <r>
    <n v="4976"/>
    <s v="Top of Hierarchy &gt; North America &gt; Vantage_Fairfield"/>
    <x v="0"/>
    <x v="1"/>
    <d v="2021-01-01T00:00:00"/>
    <d v="2021-12-31T00:00:00"/>
    <x v="3"/>
    <d v="2021-01-01T00:00:00"/>
    <d v="2021-12-31T00:00:00"/>
    <s v="Natural gas"/>
    <n v="16621.580000000002"/>
    <s v="Hundred Thousand BTUs"/>
    <x v="1"/>
    <m/>
    <s v="2023-02-27, 16:27"/>
    <s v="2023-07-20, 00:40"/>
    <n v="2021"/>
    <s v="natural_gas"/>
    <s v="Natural Gas"/>
    <s v="model"/>
    <b v="0"/>
    <s v="NATURAL GAS, NATURAL GAS"/>
    <x v="2"/>
    <x v="0"/>
    <s v="Americas"/>
    <s v="Northern America"/>
    <s v="US"/>
    <m/>
    <n v="1"/>
    <s v="CO2"/>
    <n v="88194.103480000005"/>
    <n v="53.06"/>
    <s v="MMBTU"/>
    <n v="0.1"/>
    <n v="1662.1579999999999"/>
    <s v="AR4"/>
    <s v="USEPA"/>
    <s v="USEPA Emission Factors Hub (Last Modified: March 2020)"/>
    <n v="2021"/>
    <n v="2020"/>
    <n v="0"/>
    <n v="0"/>
    <x v="14"/>
    <s v="Office"/>
  </r>
  <r>
    <n v="4976"/>
    <s v="Top of Hierarchy &gt; North America &gt; Vantage_Fairfield"/>
    <x v="0"/>
    <x v="1"/>
    <d v="2021-01-01T00:00:00"/>
    <d v="2021-12-31T00:00:00"/>
    <x v="3"/>
    <d v="2021-01-01T00:00:00"/>
    <d v="2021-12-31T00:00:00"/>
    <s v="Natural gas"/>
    <n v="16621.580000000002"/>
    <s v="Hundred Thousand BTUs"/>
    <x v="1"/>
    <m/>
    <s v="2023-02-27, 16:27"/>
    <s v="2023-07-20, 00:40"/>
    <n v="2021"/>
    <s v="natural_gas"/>
    <s v="Natural Gas"/>
    <s v="model"/>
    <b v="0"/>
    <s v="NATURAL GAS, NATURAL GAS"/>
    <x v="2"/>
    <x v="0"/>
    <s v="Americas"/>
    <s v="Northern America"/>
    <s v="US"/>
    <m/>
    <n v="1"/>
    <s v="CO2E"/>
    <n v="88285.189740000002"/>
    <n v="53.114800000000002"/>
    <s v="MMBTU"/>
    <n v="0.1"/>
    <n v="1662.1579999999999"/>
    <s v="AR4"/>
    <s v="USEPA"/>
    <s v="USEPA (2021)"/>
    <n v="2021"/>
    <n v="2021"/>
    <n v="0"/>
    <n v="88.285189740000007"/>
    <x v="14"/>
    <s v="Office"/>
  </r>
  <r>
    <n v="4976"/>
    <s v="Top of Hierarchy &gt; North America &gt; Vantage_Fairfield"/>
    <x v="0"/>
    <x v="1"/>
    <d v="2021-01-01T00:00:00"/>
    <d v="2021-12-31T00:00:00"/>
    <x v="3"/>
    <d v="2021-01-01T00:00:00"/>
    <d v="2021-12-31T00:00:00"/>
    <s v="Natural gas"/>
    <n v="16621.580000000002"/>
    <s v="Hundred Thousand BTUs"/>
    <x v="1"/>
    <m/>
    <s v="2023-02-27, 16:27"/>
    <s v="2023-07-20, 00:40"/>
    <n v="2021"/>
    <s v="natural_gas"/>
    <s v="Natural Gas"/>
    <s v="model"/>
    <b v="0"/>
    <s v="NATURAL GAS, NATURAL GAS"/>
    <x v="2"/>
    <x v="0"/>
    <s v="Americas"/>
    <s v="Northern America"/>
    <s v="US"/>
    <m/>
    <n v="1"/>
    <s v="N2O"/>
    <n v="49.532308399999998"/>
    <n v="2.98E-2"/>
    <s v="MMBTU"/>
    <n v="0.1"/>
    <n v="1662.1579999999999"/>
    <s v="AR4"/>
    <s v="USEPA"/>
    <s v="USEPA (2021)"/>
    <n v="2021"/>
    <n v="2021"/>
    <n v="0"/>
    <n v="0"/>
    <x v="14"/>
    <s v="Office"/>
  </r>
  <r>
    <n v="4976"/>
    <s v="Top of Hierarchy &gt; North America &gt; Vantage_Fairfield"/>
    <x v="0"/>
    <x v="1"/>
    <d v="2021-01-01T00:00:00"/>
    <d v="2021-12-31T00:00:00"/>
    <x v="3"/>
    <d v="2021-01-01T00:00:00"/>
    <d v="2021-12-31T00:00:00"/>
    <s v="Natural gas"/>
    <n v="16621.580000000002"/>
    <s v="Hundred Thousand BTUs"/>
    <x v="1"/>
    <m/>
    <s v="2023-02-27, 16:27"/>
    <s v="2023-07-20, 00:40"/>
    <n v="2021"/>
    <s v="natural_gas__wtt"/>
    <s v="Natural Gas WTT"/>
    <s v="wtt"/>
    <b v="0"/>
    <s v="WTT- FUELS; WTT- GASEOUS FUELS; NATURAL GAS"/>
    <x v="1"/>
    <x v="1"/>
    <m/>
    <m/>
    <m/>
    <m/>
    <n v="0"/>
    <s v="CO2E"/>
    <n v="15267.88753"/>
    <n v="3.1350000000000003E-2"/>
    <s v="KWH (GROSS CV)"/>
    <n v="29.3001"/>
    <n v="487013.95620000002"/>
    <s v="AR4"/>
    <s v="Defra"/>
    <s v="Defra (2021)"/>
    <n v="2021"/>
    <n v="2019"/>
    <n v="15.267887529999999"/>
    <n v="0"/>
    <x v="14"/>
    <s v="Office"/>
  </r>
  <r>
    <n v="4976"/>
    <s v="Top of Hierarchy &gt; North America &gt; Vantage_Fairfield"/>
    <x v="0"/>
    <x v="1"/>
    <d v="2021-01-01T00:00:00"/>
    <d v="2021-12-31T00:00:00"/>
    <x v="3"/>
    <d v="2021-01-01T00:00:00"/>
    <d v="2021-12-31T00:00:00"/>
    <s v="Natural gas"/>
    <n v="16621.580000000002"/>
    <s v="Hundred Thousand BTUs"/>
    <x v="1"/>
    <m/>
    <s v="2023-02-27, 16:27"/>
    <s v="2023-07-20, 00:40"/>
    <n v="2021"/>
    <s v="natural_gas__wtt"/>
    <s v="Natural Gas WTT"/>
    <s v="wtt"/>
    <b v="0"/>
    <s v="WTT- FUELS; WTT- GASEOUS FUELS; NATURAL GAS"/>
    <x v="1"/>
    <x v="1"/>
    <m/>
    <m/>
    <m/>
    <m/>
    <n v="1"/>
    <s v="CO2E"/>
    <n v="15267.88753"/>
    <n v="3.1350000000000003E-2"/>
    <s v="KWH (GROSS CV)"/>
    <n v="29.3001"/>
    <n v="487013.95620000002"/>
    <s v="AR4"/>
    <s v="Defra"/>
    <s v="Defra (2021)"/>
    <n v="2021"/>
    <n v="2019"/>
    <n v="0"/>
    <n v="15.267887529999999"/>
    <x v="14"/>
    <s v="Office"/>
  </r>
  <r>
    <n v="5009"/>
    <s v="Top of Hierarchy &gt; North America &gt; Vantage_Fairfield"/>
    <x v="0"/>
    <x v="1"/>
    <d v="2021-01-01T00:00:00"/>
    <d v="2021-12-31T00:00:00"/>
    <x v="1"/>
    <d v="2021-01-01T00:00:00"/>
    <d v="2021-12-31T00:00:00"/>
    <s v="Petrol (100% mineral petrol)"/>
    <n v="0"/>
    <s v="cubic metres"/>
    <x v="1"/>
    <m/>
    <s v="2023-02-27, 16:27"/>
    <s v="2023-07-20, 00:40"/>
    <n v="2021"/>
    <s v="petrol_100p_mineral_petrol"/>
    <s v="Petrol (100% Mineral Petrol)"/>
    <s v="model"/>
    <b v="0"/>
    <s v="FUELS; LIQUID FUELS; PETROL (100% MINERAL PETROL)"/>
    <x v="2"/>
    <x v="0"/>
    <m/>
    <m/>
    <m/>
    <m/>
    <n v="0"/>
    <s v="CH4"/>
    <n v="0"/>
    <n v="7.3200000000000001E-3"/>
    <s v="LITRES"/>
    <n v="1000"/>
    <n v="0"/>
    <s v="AR4"/>
    <s v="Defra"/>
    <s v="Defra (2021)"/>
    <n v="2021"/>
    <n v="2019"/>
    <n v="0"/>
    <n v="0"/>
    <x v="14"/>
    <s v="Office"/>
  </r>
  <r>
    <n v="5009"/>
    <s v="Top of Hierarchy &gt; North America &gt; Vantage_Fairfield"/>
    <x v="0"/>
    <x v="1"/>
    <d v="2021-01-01T00:00:00"/>
    <d v="2021-12-31T00:00:00"/>
    <x v="1"/>
    <d v="2021-01-01T00:00:00"/>
    <d v="2021-12-31T00:00:00"/>
    <s v="Petrol (100% mineral petrol)"/>
    <n v="0"/>
    <s v="cubic metres"/>
    <x v="1"/>
    <m/>
    <s v="2023-02-27, 16:27"/>
    <s v="2023-07-20, 00:40"/>
    <n v="2021"/>
    <s v="petrol_100p_mineral_petrol"/>
    <s v="Petrol (100% Mineral Petrol)"/>
    <s v="model"/>
    <b v="0"/>
    <s v="FUELS; LIQUID FUELS; PETROL (100% MINERAL PETROL)"/>
    <x v="2"/>
    <x v="0"/>
    <m/>
    <m/>
    <m/>
    <m/>
    <n v="0"/>
    <s v="CO2"/>
    <n v="0"/>
    <n v="2.3256700000000001"/>
    <s v="LITRES"/>
    <n v="1000"/>
    <n v="0"/>
    <s v="AR4"/>
    <s v="Defra"/>
    <s v="Defra (2021)"/>
    <n v="2021"/>
    <n v="2019"/>
    <n v="0"/>
    <n v="0"/>
    <x v="14"/>
    <s v="Office"/>
  </r>
  <r>
    <n v="5009"/>
    <s v="Top of Hierarchy &gt; North America &gt; Vantage_Fairfield"/>
    <x v="0"/>
    <x v="1"/>
    <d v="2021-01-01T00:00:00"/>
    <d v="2021-12-31T00:00:00"/>
    <x v="1"/>
    <d v="2021-01-01T00:00:00"/>
    <d v="2021-12-31T00:00:00"/>
    <s v="Petrol (100% mineral petrol)"/>
    <n v="0"/>
    <s v="cubic metres"/>
    <x v="1"/>
    <m/>
    <s v="2023-02-27, 16:27"/>
    <s v="2023-07-20, 00:40"/>
    <n v="2021"/>
    <s v="petrol_100p_mineral_petrol"/>
    <s v="Petrol (100% Mineral Petrol)"/>
    <s v="model"/>
    <b v="0"/>
    <s v="FUELS; LIQUID FUELS; PETROL (100% MINERAL PETROL)"/>
    <x v="2"/>
    <x v="0"/>
    <m/>
    <m/>
    <m/>
    <m/>
    <n v="0"/>
    <s v="CO2E"/>
    <n v="0"/>
    <n v="2.3397000000000001"/>
    <s v="LITRES"/>
    <n v="1000"/>
    <n v="0"/>
    <s v="AR4"/>
    <s v="Defra"/>
    <s v="Defra (2021)"/>
    <n v="2021"/>
    <n v="2019"/>
    <n v="0"/>
    <n v="0"/>
    <x v="14"/>
    <s v="Office"/>
  </r>
  <r>
    <n v="5009"/>
    <s v="Top of Hierarchy &gt; North America &gt; Vantage_Fairfield"/>
    <x v="0"/>
    <x v="1"/>
    <d v="2021-01-01T00:00:00"/>
    <d v="2021-12-31T00:00:00"/>
    <x v="1"/>
    <d v="2021-01-01T00:00:00"/>
    <d v="2021-12-31T00:00:00"/>
    <s v="Petrol (100% mineral petrol)"/>
    <n v="0"/>
    <s v="cubic metres"/>
    <x v="1"/>
    <m/>
    <s v="2023-02-27, 16:27"/>
    <s v="2023-07-20, 00:40"/>
    <n v="2021"/>
    <s v="petrol_100p_mineral_petrol"/>
    <s v="Petrol (100% Mineral Petrol)"/>
    <s v="model"/>
    <b v="0"/>
    <s v="FUELS; LIQUID FUELS; PETROL (100% MINERAL PETROL)"/>
    <x v="2"/>
    <x v="0"/>
    <m/>
    <m/>
    <m/>
    <m/>
    <n v="0"/>
    <s v="N2O"/>
    <n v="0"/>
    <n v="6.7099999999999998E-3"/>
    <s v="LITRES"/>
    <n v="1000"/>
    <n v="0"/>
    <s v="AR4"/>
    <s v="Defra"/>
    <s v="Defra (2021)"/>
    <n v="2021"/>
    <n v="2019"/>
    <n v="0"/>
    <n v="0"/>
    <x v="14"/>
    <s v="Office"/>
  </r>
  <r>
    <n v="5009"/>
    <s v="Top of Hierarchy &gt; North America &gt; Vantage_Fairfield"/>
    <x v="0"/>
    <x v="1"/>
    <d v="2021-01-01T00:00:00"/>
    <d v="2021-12-31T00:00:00"/>
    <x v="1"/>
    <d v="2021-01-01T00:00:00"/>
    <d v="2021-12-31T00:00:00"/>
    <s v="Petrol (100% mineral petrol)"/>
    <n v="0"/>
    <s v="cubic metres"/>
    <x v="1"/>
    <m/>
    <s v="2023-02-27, 16:27"/>
    <s v="2023-07-20, 00:40"/>
    <n v="2021"/>
    <s v="petrol_100p_mineral_petrol"/>
    <s v="Petrol (100% Mineral Petrol)"/>
    <s v="model"/>
    <b v="0"/>
    <s v="FUELS; LIQUID FUELS; PETROL (100% MINERAL PETROL)"/>
    <x v="2"/>
    <x v="0"/>
    <m/>
    <m/>
    <m/>
    <m/>
    <n v="1"/>
    <s v="CH4"/>
    <n v="0"/>
    <n v="7.3200000000000001E-3"/>
    <s v="LITRES"/>
    <n v="1000"/>
    <n v="0"/>
    <s v="AR4"/>
    <s v="Defra"/>
    <s v="Defra (2021)"/>
    <n v="2021"/>
    <n v="2019"/>
    <n v="0"/>
    <n v="0"/>
    <x v="14"/>
    <s v="Office"/>
  </r>
  <r>
    <n v="5009"/>
    <s v="Top of Hierarchy &gt; North America &gt; Vantage_Fairfield"/>
    <x v="0"/>
    <x v="1"/>
    <d v="2021-01-01T00:00:00"/>
    <d v="2021-12-31T00:00:00"/>
    <x v="1"/>
    <d v="2021-01-01T00:00:00"/>
    <d v="2021-12-31T00:00:00"/>
    <s v="Petrol (100% mineral petrol)"/>
    <n v="0"/>
    <s v="cubic metres"/>
    <x v="1"/>
    <m/>
    <s v="2023-02-27, 16:27"/>
    <s v="2023-07-20, 00:40"/>
    <n v="2021"/>
    <s v="petrol_100p_mineral_petrol"/>
    <s v="Petrol (100% Mineral Petrol)"/>
    <s v="model"/>
    <b v="0"/>
    <s v="FUELS; LIQUID FUELS; PETROL (100% MINERAL PETROL)"/>
    <x v="2"/>
    <x v="0"/>
    <m/>
    <m/>
    <m/>
    <m/>
    <n v="1"/>
    <s v="CO2"/>
    <n v="0"/>
    <n v="2.3256700000000001"/>
    <s v="LITRES"/>
    <n v="1000"/>
    <n v="0"/>
    <s v="AR4"/>
    <s v="Defra"/>
    <s v="Defra (2021)"/>
    <n v="2021"/>
    <n v="2019"/>
    <n v="0"/>
    <n v="0"/>
    <x v="14"/>
    <s v="Office"/>
  </r>
  <r>
    <n v="5009"/>
    <s v="Top of Hierarchy &gt; North America &gt; Vantage_Fairfield"/>
    <x v="0"/>
    <x v="1"/>
    <d v="2021-01-01T00:00:00"/>
    <d v="2021-12-31T00:00:00"/>
    <x v="1"/>
    <d v="2021-01-01T00:00:00"/>
    <d v="2021-12-31T00:00:00"/>
    <s v="Petrol (100% mineral petrol)"/>
    <n v="0"/>
    <s v="cubic metres"/>
    <x v="1"/>
    <m/>
    <s v="2023-02-27, 16:27"/>
    <s v="2023-07-20, 00:40"/>
    <n v="2021"/>
    <s v="petrol_100p_mineral_petrol"/>
    <s v="Petrol (100% Mineral Petrol)"/>
    <s v="model"/>
    <b v="0"/>
    <s v="FUELS; LIQUID FUELS; PETROL (100% MINERAL PETROL)"/>
    <x v="2"/>
    <x v="0"/>
    <m/>
    <m/>
    <m/>
    <m/>
    <n v="1"/>
    <s v="CO2E"/>
    <n v="0"/>
    <n v="2.3397000000000001"/>
    <s v="LITRES"/>
    <n v="1000"/>
    <n v="0"/>
    <s v="AR4"/>
    <s v="Defra"/>
    <s v="Defra (2021)"/>
    <n v="2021"/>
    <n v="2019"/>
    <n v="0"/>
    <n v="0"/>
    <x v="14"/>
    <s v="Office"/>
  </r>
  <r>
    <n v="5009"/>
    <s v="Top of Hierarchy &gt; North America &gt; Vantage_Fairfield"/>
    <x v="0"/>
    <x v="1"/>
    <d v="2021-01-01T00:00:00"/>
    <d v="2021-12-31T00:00:00"/>
    <x v="1"/>
    <d v="2021-01-01T00:00:00"/>
    <d v="2021-12-31T00:00:00"/>
    <s v="Petrol (100% mineral petrol)"/>
    <n v="0"/>
    <s v="cubic metres"/>
    <x v="1"/>
    <m/>
    <s v="2023-02-27, 16:27"/>
    <s v="2023-07-20, 00:40"/>
    <n v="2021"/>
    <s v="petrol_100p_mineral_petrol"/>
    <s v="Petrol (100% Mineral Petrol)"/>
    <s v="model"/>
    <b v="0"/>
    <s v="FUELS; LIQUID FUELS; PETROL (100% MINERAL PETROL)"/>
    <x v="2"/>
    <x v="0"/>
    <m/>
    <m/>
    <m/>
    <m/>
    <n v="1"/>
    <s v="N2O"/>
    <n v="0"/>
    <n v="6.7099999999999998E-3"/>
    <s v="LITRES"/>
    <n v="1000"/>
    <n v="0"/>
    <s v="AR4"/>
    <s v="Defra"/>
    <s v="Defra (2021)"/>
    <n v="2021"/>
    <n v="2019"/>
    <n v="0"/>
    <n v="0"/>
    <x v="14"/>
    <s v="Office"/>
  </r>
  <r>
    <n v="5009"/>
    <s v="Top of Hierarchy &gt; North America &gt; Vantage_Fairfield"/>
    <x v="0"/>
    <x v="1"/>
    <d v="2021-01-01T00:00:00"/>
    <d v="2021-12-31T00:00:00"/>
    <x v="1"/>
    <d v="2021-01-01T00:00:00"/>
    <d v="2021-12-31T00:00:00"/>
    <s v="Petrol (100% mineral petrol)"/>
    <n v="0"/>
    <s v="cubic metres"/>
    <x v="1"/>
    <m/>
    <s v="2023-02-27, 16:27"/>
    <s v="2023-07-20, 00:40"/>
    <n v="2021"/>
    <s v="petrol_100p_mineral_petrol__wtt"/>
    <s v="Petrol (100% Mineral Petrol) WTT"/>
    <s v="wtt"/>
    <b v="0"/>
    <s v="WTT- FUELS; WTT- LIQUID FUELS; PETROL (100% MINERAL PETROL)"/>
    <x v="1"/>
    <x v="1"/>
    <m/>
    <m/>
    <m/>
    <m/>
    <n v="0"/>
    <s v="CO2E"/>
    <n v="0"/>
    <n v="0.60282999999999998"/>
    <s v="LITRES"/>
    <n v="1000"/>
    <n v="0"/>
    <s v="AR4"/>
    <s v="Defra"/>
    <s v="Defra (2021)"/>
    <n v="2021"/>
    <n v="2019"/>
    <n v="0"/>
    <n v="0"/>
    <x v="14"/>
    <s v="Office"/>
  </r>
  <r>
    <n v="5009"/>
    <s v="Top of Hierarchy &gt; North America &gt; Vantage_Fairfield"/>
    <x v="0"/>
    <x v="1"/>
    <d v="2021-01-01T00:00:00"/>
    <d v="2021-12-31T00:00:00"/>
    <x v="1"/>
    <d v="2021-01-01T00:00:00"/>
    <d v="2021-12-31T00:00:00"/>
    <s v="Petrol (100% mineral petrol)"/>
    <n v="0"/>
    <s v="cubic metres"/>
    <x v="1"/>
    <m/>
    <s v="2023-02-27, 16:27"/>
    <s v="2023-07-20, 00:40"/>
    <n v="2021"/>
    <s v="petrol_100p_mineral_petrol__wtt"/>
    <s v="Petrol (100% Mineral Petrol) WTT"/>
    <s v="wtt"/>
    <b v="0"/>
    <s v="WTT- FUELS; WTT- LIQUID FUELS; PETROL (100% MINERAL PETROL)"/>
    <x v="1"/>
    <x v="1"/>
    <m/>
    <m/>
    <m/>
    <m/>
    <n v="1"/>
    <s v="CO2E"/>
    <n v="0"/>
    <n v="0.60282999999999998"/>
    <s v="LITRES"/>
    <n v="1000"/>
    <n v="0"/>
    <s v="AR4"/>
    <s v="Defra"/>
    <s v="Defra (2021)"/>
    <n v="2021"/>
    <n v="2019"/>
    <n v="0"/>
    <n v="0"/>
    <x v="14"/>
    <s v="Office"/>
  </r>
  <r>
    <n v="5035"/>
    <s v="Top of Hierarchy &gt; North America &gt; Vantage_Fairfield"/>
    <x v="0"/>
    <x v="1"/>
    <d v="2021-01-01T00:00:00"/>
    <d v="2021-12-31T00:00:00"/>
    <x v="4"/>
    <d v="2021-01-01T00:00:00"/>
    <d v="2021-12-31T00:00:00"/>
    <s v="R410A"/>
    <n v="7.1048"/>
    <s v="kilograms"/>
    <x v="0"/>
    <m/>
    <s v="2023-02-27, 16:28"/>
    <s v="2023-07-20, 00:40"/>
    <n v="2021"/>
    <s v="r410a"/>
    <s v="R410A"/>
    <s v="model"/>
    <b v="0"/>
    <s v="REFRIGERANT: R-410A"/>
    <x v="2"/>
    <x v="0"/>
    <m/>
    <m/>
    <m/>
    <m/>
    <n v="0"/>
    <s v="CO2E"/>
    <n v="14834.822399999999"/>
    <n v="2088"/>
    <s v="KG"/>
    <n v="1"/>
    <n v="7.1048"/>
    <s v="AR4"/>
    <s v="IPCC"/>
    <s v="IPCC (2021)"/>
    <n v="2021"/>
    <n v="2007"/>
    <n v="14.834822399999998"/>
    <n v="0"/>
    <x v="14"/>
    <s v="Office"/>
  </r>
  <r>
    <n v="5035"/>
    <s v="Top of Hierarchy &gt; North America &gt; Vantage_Fairfield"/>
    <x v="0"/>
    <x v="1"/>
    <d v="2021-01-01T00:00:00"/>
    <d v="2021-12-31T00:00:00"/>
    <x v="4"/>
    <d v="2021-01-01T00:00:00"/>
    <d v="2021-12-31T00:00:00"/>
    <s v="R410A"/>
    <n v="7.1048"/>
    <s v="kilograms"/>
    <x v="0"/>
    <m/>
    <s v="2023-02-27, 16:28"/>
    <s v="2023-07-20, 00:40"/>
    <n v="2021"/>
    <s v="r410a"/>
    <s v="R410A"/>
    <s v="model"/>
    <b v="0"/>
    <s v="REFRIGERANT: R-410A"/>
    <x v="2"/>
    <x v="0"/>
    <m/>
    <m/>
    <m/>
    <m/>
    <n v="1"/>
    <s v="CO2E"/>
    <n v="14834.822399999999"/>
    <n v="2088"/>
    <s v="KG"/>
    <n v="1"/>
    <n v="7.1048"/>
    <s v="AR4"/>
    <s v="IPCC"/>
    <s v="IPCC (2021)"/>
    <n v="2021"/>
    <n v="2007"/>
    <n v="0"/>
    <n v="14.834822399999998"/>
    <x v="14"/>
    <s v="Office"/>
  </r>
  <r>
    <n v="1257589"/>
    <s v="Top of Hierarchy &gt; North America &gt; Vantage_Fairfield"/>
    <x v="0"/>
    <x v="1"/>
    <d v="2021-01-01T00:00:00"/>
    <d v="2021-12-31T00:00:00"/>
    <x v="4"/>
    <d v="2021-01-01T00:00:00"/>
    <d v="2021-12-31T00:00:00"/>
    <s v="HFC-41"/>
    <n v="7.1048"/>
    <s v="kilograms"/>
    <x v="1"/>
    <m/>
    <s v="2023-07-19, 19:56"/>
    <s v="2023-07-20, 00:40"/>
    <n v="2021"/>
    <s v="hfc-41"/>
    <s v="HFC-41"/>
    <s v="model"/>
    <b v="0"/>
    <s v="REFRIGERANT: R-41"/>
    <x v="2"/>
    <x v="0"/>
    <m/>
    <m/>
    <m/>
    <m/>
    <n v="0"/>
    <s v="CO2E"/>
    <n v="653.64160000000004"/>
    <n v="92"/>
    <s v="KG"/>
    <n v="1"/>
    <n v="7.1048"/>
    <s v="AR4"/>
    <s v="IPCC"/>
    <s v="IPCC (2021)"/>
    <n v="2021"/>
    <n v="2007"/>
    <n v="0.65364160000000004"/>
    <n v="0"/>
    <x v="14"/>
    <s v="Office"/>
  </r>
  <r>
    <n v="1257589"/>
    <s v="Top of Hierarchy &gt; North America &gt; Vantage_Fairfield"/>
    <x v="0"/>
    <x v="1"/>
    <d v="2021-01-01T00:00:00"/>
    <d v="2021-12-31T00:00:00"/>
    <x v="4"/>
    <d v="2021-01-01T00:00:00"/>
    <d v="2021-12-31T00:00:00"/>
    <s v="HFC-41"/>
    <n v="7.1048"/>
    <s v="kilograms"/>
    <x v="1"/>
    <m/>
    <s v="2023-07-19, 19:56"/>
    <s v="2023-07-20, 00:40"/>
    <n v="2021"/>
    <s v="hfc-41"/>
    <s v="HFC-41"/>
    <s v="model"/>
    <b v="0"/>
    <s v="REFRIGERANT: R-41"/>
    <x v="2"/>
    <x v="0"/>
    <m/>
    <m/>
    <m/>
    <m/>
    <n v="1"/>
    <s v="CO2E"/>
    <n v="653.64160000000004"/>
    <n v="92"/>
    <s v="KG"/>
    <n v="1"/>
    <n v="7.1048"/>
    <s v="AR4"/>
    <s v="IPCC"/>
    <s v="IPCC (2021)"/>
    <n v="2021"/>
    <n v="2007"/>
    <n v="0"/>
    <n v="0.65364160000000004"/>
    <x v="14"/>
    <s v="Office"/>
  </r>
  <r>
    <n v="20577"/>
    <s v="Top of Hierarchy &gt; North America &gt; Vantage_Gurnee"/>
    <x v="0"/>
    <x v="0"/>
    <d v="2022-01-01T00:00:00"/>
    <d v="2022-12-31T00:00:00"/>
    <x v="0"/>
    <d v="2022-01-01T00:00:00"/>
    <d v="2022-12-31T00:00:00"/>
    <s v="Electricity (non-renewable)"/>
    <n v="15129836"/>
    <s v="Kilowatt hours"/>
    <x v="1"/>
    <m/>
    <s v="2023-03-21, 23:01"/>
    <s v="2023-07-20, 00:40"/>
    <n v="2022"/>
    <s v="electricity"/>
    <s v="Electricity"/>
    <s v="model"/>
    <b v="0"/>
    <s v="ELECTRICITY; UNITED STATES - SRMW"/>
    <x v="0"/>
    <x v="0"/>
    <s v="Americas"/>
    <s v="Northern America"/>
    <s v="US"/>
    <s v="SRMW"/>
    <n v="0"/>
    <s v="CH4"/>
    <n v="26764.834859999999"/>
    <n v="1.7690099999999999E-3"/>
    <s v="KWH"/>
    <n v="1"/>
    <n v="15129836"/>
    <s v="AR4"/>
    <s v="USEPA"/>
    <s v="USEPA (2022)"/>
    <n v="2022"/>
    <n v="2020"/>
    <n v="0"/>
    <n v="0"/>
    <x v="15"/>
    <s v="Office"/>
  </r>
  <r>
    <n v="20577"/>
    <s v="Top of Hierarchy &gt; North America &gt; Vantage_Gurnee"/>
    <x v="0"/>
    <x v="0"/>
    <d v="2022-01-01T00:00:00"/>
    <d v="2022-12-31T00:00:00"/>
    <x v="0"/>
    <d v="2022-01-01T00:00:00"/>
    <d v="2022-12-31T00:00:00"/>
    <s v="Electricity (non-renewable)"/>
    <n v="15129836"/>
    <s v="Kilowatt hours"/>
    <x v="1"/>
    <m/>
    <s v="2023-03-21, 23:01"/>
    <s v="2023-07-20, 00:40"/>
    <n v="2022"/>
    <s v="electricity"/>
    <s v="Electricity"/>
    <s v="model"/>
    <b v="0"/>
    <s v="ELECTRICITY; UNITED STATES - SRMW"/>
    <x v="0"/>
    <x v="0"/>
    <s v="Americas"/>
    <s v="Northern America"/>
    <s v="US"/>
    <s v="SRMW"/>
    <n v="0"/>
    <s v="CO2"/>
    <n v="10161708.77"/>
    <n v="0.67163376900000005"/>
    <s v="KWH"/>
    <n v="1"/>
    <n v="15129836"/>
    <s v="AR4"/>
    <s v="USEPA"/>
    <s v="USEPA (2022)"/>
    <n v="2022"/>
    <n v="2020"/>
    <n v="0"/>
    <n v="0"/>
    <x v="15"/>
    <s v="Office"/>
  </r>
  <r>
    <n v="20577"/>
    <s v="Top of Hierarchy &gt; North America &gt; Vantage_Gurnee"/>
    <x v="0"/>
    <x v="0"/>
    <d v="2022-01-01T00:00:00"/>
    <d v="2022-12-31T00:00:00"/>
    <x v="0"/>
    <d v="2022-01-01T00:00:00"/>
    <d v="2022-12-31T00:00:00"/>
    <s v="Electricity (non-renewable)"/>
    <n v="15129836"/>
    <s v="Kilowatt hours"/>
    <x v="1"/>
    <m/>
    <s v="2023-03-21, 23:01"/>
    <s v="2023-07-20, 00:40"/>
    <n v="2022"/>
    <s v="electricity"/>
    <s v="Electricity"/>
    <s v="model"/>
    <b v="0"/>
    <s v="ELECTRICITY; UNITED STATES - SRMW"/>
    <x v="0"/>
    <x v="0"/>
    <s v="Americas"/>
    <s v="Northern America"/>
    <s v="US"/>
    <s v="SRMW"/>
    <n v="0"/>
    <s v="CO2E"/>
    <n v="10235511.09"/>
    <n v="0.67651170100000002"/>
    <s v="KWH"/>
    <n v="1"/>
    <n v="15129836"/>
    <s v="AR4"/>
    <s v="USEPA"/>
    <s v="USEPA (2022)"/>
    <n v="2022"/>
    <n v="2020"/>
    <n v="10235.51109"/>
    <n v="0"/>
    <x v="15"/>
    <s v="Office"/>
  </r>
  <r>
    <n v="20577"/>
    <s v="Top of Hierarchy &gt; North America &gt; Vantage_Gurnee"/>
    <x v="0"/>
    <x v="0"/>
    <d v="2022-01-01T00:00:00"/>
    <d v="2022-12-31T00:00:00"/>
    <x v="0"/>
    <d v="2022-01-01T00:00:00"/>
    <d v="2022-12-31T00:00:00"/>
    <s v="Electricity (non-renewable)"/>
    <n v="15129836"/>
    <s v="Kilowatt hours"/>
    <x v="1"/>
    <m/>
    <s v="2023-03-21, 23:01"/>
    <s v="2023-07-20, 00:40"/>
    <n v="2022"/>
    <s v="electricity"/>
    <s v="Electricity"/>
    <s v="model"/>
    <b v="0"/>
    <s v="ELECTRICITY; UNITED STATES - SRMW"/>
    <x v="0"/>
    <x v="0"/>
    <s v="Americas"/>
    <s v="Northern America"/>
    <s v="US"/>
    <s v="SRMW"/>
    <n v="0"/>
    <s v="N2O"/>
    <n v="47037.481570000004"/>
    <n v="3.1089220000000001E-3"/>
    <s v="KWH"/>
    <n v="1"/>
    <n v="15129836"/>
    <s v="AR4"/>
    <s v="USEPA"/>
    <s v="USEPA (2022)"/>
    <n v="2022"/>
    <n v="2020"/>
    <n v="0"/>
    <n v="0"/>
    <x v="15"/>
    <s v="Office"/>
  </r>
  <r>
    <n v="20577"/>
    <s v="Top of Hierarchy &gt; North America &gt; Vantage_Gurnee"/>
    <x v="0"/>
    <x v="0"/>
    <d v="2022-01-01T00:00:00"/>
    <d v="2022-12-31T00:00:00"/>
    <x v="0"/>
    <d v="2022-01-01T00:00:00"/>
    <d v="2022-12-31T00:00:00"/>
    <s v="Electricity (non-renewable)"/>
    <n v="15129836"/>
    <s v="Kilowatt hours"/>
    <x v="1"/>
    <m/>
    <s v="2023-03-21, 23:01"/>
    <s v="2023-07-20, 00:40"/>
    <n v="2022"/>
    <s v="electricity"/>
    <s v="Electricity"/>
    <s v="model"/>
    <b v="1"/>
    <s v="ELECTRICITY; UNITED STATES - SRMW"/>
    <x v="0"/>
    <x v="0"/>
    <m/>
    <m/>
    <m/>
    <m/>
    <n v="1"/>
    <s v="CO2E MKT"/>
    <n v="5787419.2609999999"/>
    <n v="0.382516986"/>
    <s v="KWH"/>
    <n v="1"/>
    <n v="15129836"/>
    <m/>
    <m/>
    <s v="Supplier"/>
    <n v="2022"/>
    <m/>
    <n v="0"/>
    <n v="5787.419261"/>
    <x v="15"/>
    <s v="Office"/>
  </r>
  <r>
    <n v="20577"/>
    <s v="Top of Hierarchy &gt; North America &gt; Vantage_Gurnee"/>
    <x v="0"/>
    <x v="0"/>
    <d v="2022-01-01T00:00:00"/>
    <d v="2022-12-31T00:00:00"/>
    <x v="0"/>
    <d v="2022-01-01T00:00:00"/>
    <d v="2022-12-31T00:00:00"/>
    <s v="Electricity (non-renewable)"/>
    <n v="15129836"/>
    <s v="Kilowatt hours"/>
    <x v="1"/>
    <m/>
    <s v="2023-03-21, 23:01"/>
    <s v="2023-07-20, 00:40"/>
    <n v="2022"/>
    <s v="electricity__t+d__wtt"/>
    <s v="Electricity T&amp;D WTT"/>
    <s v="t+d_wtt"/>
    <b v="0"/>
    <s v="ELECTRICITY T&amp;D WTT; UNITED STATES - SRMW"/>
    <x v="1"/>
    <x v="1"/>
    <s v="Americas"/>
    <s v="Northern America"/>
    <s v="US"/>
    <s v="SRMW"/>
    <n v="0"/>
    <s v="CO2E"/>
    <n v="160274.3063"/>
    <n v="1.0593261E-2"/>
    <s v="KWH"/>
    <n v="1"/>
    <n v="15129836"/>
    <s v="AR4"/>
    <s v="Anthesis"/>
    <s v="Anthesis (2022)"/>
    <n v="2022"/>
    <n v="2020"/>
    <n v="160.27430630000001"/>
    <n v="0"/>
    <x v="15"/>
    <s v="Office"/>
  </r>
  <r>
    <n v="20577"/>
    <s v="Top of Hierarchy &gt; North America &gt; Vantage_Gurnee"/>
    <x v="0"/>
    <x v="0"/>
    <d v="2022-01-01T00:00:00"/>
    <d v="2022-12-31T00:00:00"/>
    <x v="0"/>
    <d v="2022-01-01T00:00:00"/>
    <d v="2022-12-31T00:00:00"/>
    <s v="Electricity (non-renewable)"/>
    <n v="15129836"/>
    <s v="Kilowatt hours"/>
    <x v="1"/>
    <m/>
    <s v="2023-03-21, 23:01"/>
    <s v="2023-07-20, 00:40"/>
    <n v="2022"/>
    <s v="electricity__t+d__wtt"/>
    <s v="Electricity T&amp;D WTT"/>
    <s v="t+d_wtt"/>
    <b v="0"/>
    <s v="ELECTRICITY; UNITED STATES - SRMW; T&amp;D WTT Estimated"/>
    <x v="1"/>
    <x v="1"/>
    <s v="Americas"/>
    <s v="Northern America"/>
    <s v="US"/>
    <s v="SRMW"/>
    <n v="1"/>
    <s v="CO2E MKT"/>
    <n v="147221.67009999999"/>
    <n v="9.7305529999999994E-3"/>
    <s v="KWH"/>
    <n v="1"/>
    <n v="15129836"/>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  to estimate the T&amp;D WTT factor."/>
    <n v="2022"/>
    <n v="2019"/>
    <n v="0"/>
    <n v="147.22167009999998"/>
    <x v="15"/>
    <s v="Office"/>
  </r>
  <r>
    <n v="20577"/>
    <s v="Top of Hierarchy &gt; North America &gt; Vantage_Gurnee"/>
    <x v="0"/>
    <x v="0"/>
    <d v="2022-01-01T00:00:00"/>
    <d v="2022-12-31T00:00:00"/>
    <x v="0"/>
    <d v="2022-01-01T00:00:00"/>
    <d v="2022-12-31T00:00:00"/>
    <s v="Electricity (non-renewable)"/>
    <n v="15129836"/>
    <s v="Kilowatt hours"/>
    <x v="1"/>
    <m/>
    <s v="2023-03-21, 23:01"/>
    <s v="2023-07-20, 00:40"/>
    <n v="2022"/>
    <s v="electricity__wtt"/>
    <s v="Electricity WTT"/>
    <s v="wtt"/>
    <b v="0"/>
    <s v="ELECTRICITY WTT; UNITED STATES - SRMW"/>
    <x v="1"/>
    <x v="1"/>
    <s v="Americas"/>
    <s v="Northern America"/>
    <s v="US"/>
    <s v="SRMW"/>
    <n v="0"/>
    <s v="CO2E"/>
    <n v="2863769.2089999998"/>
    <n v="0.189279594"/>
    <s v="KWH"/>
    <n v="1"/>
    <n v="15129836"/>
    <s v="AR4"/>
    <s v="Anthesis"/>
    <s v="Anthesis (2022)"/>
    <n v="2022"/>
    <n v="2020"/>
    <n v="2863.7692089999996"/>
    <n v="0"/>
    <x v="15"/>
    <s v="Office"/>
  </r>
  <r>
    <n v="20577"/>
    <s v="Top of Hierarchy &gt; North America &gt; Vantage_Gurnee"/>
    <x v="0"/>
    <x v="0"/>
    <d v="2022-01-01T00:00:00"/>
    <d v="2022-12-31T00:00:00"/>
    <x v="0"/>
    <d v="2022-01-01T00:00:00"/>
    <d v="2022-12-31T00:00:00"/>
    <s v="Electricity (non-renewable)"/>
    <n v="15129836"/>
    <s v="Kilowatt hours"/>
    <x v="1"/>
    <m/>
    <s v="2023-03-21, 23:01"/>
    <s v="2023-07-20, 00:40"/>
    <n v="2022"/>
    <s v="electricity__wtt"/>
    <s v="Electricity WTT"/>
    <s v="wtt"/>
    <b v="0"/>
    <s v="ELECTRICITY; UNITED STATES - SRMW; WTT Estimated"/>
    <x v="1"/>
    <x v="1"/>
    <s v="Americas"/>
    <s v="Northern America"/>
    <s v="US"/>
    <s v="SRMW"/>
    <n v="1"/>
    <s v="CO2E MKT"/>
    <n v="2886699.4139999999"/>
    <n v="0.19079515599999999"/>
    <s v="KWH"/>
    <n v="1"/>
    <n v="15129836"/>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SRMW, Green-eto estimate the WTT factor."/>
    <n v="2022"/>
    <n v="2019"/>
    <n v="0"/>
    <n v="2886.6994139999997"/>
    <x v="15"/>
    <s v="Office"/>
  </r>
  <r>
    <n v="20577"/>
    <s v="Top of Hierarchy &gt; North America &gt; Vantage_Gurnee"/>
    <x v="0"/>
    <x v="0"/>
    <d v="2022-01-01T00:00:00"/>
    <d v="2022-12-31T00:00:00"/>
    <x v="0"/>
    <d v="2022-01-01T00:00:00"/>
    <d v="2022-12-31T00:00:00"/>
    <s v="Electricity (non-renewable)"/>
    <n v="15129836"/>
    <s v="Kilowatt hours"/>
    <x v="1"/>
    <m/>
    <s v="2023-03-21, 23:01"/>
    <s v="2023-07-20, 00:40"/>
    <n v="2022"/>
    <s v="electricity__t+d"/>
    <s v="Electricity T&amp;D"/>
    <s v="t+d"/>
    <b v="0"/>
    <s v="ELECTRICITY; TRANSMISSION AND DISTRIBUTION; UNITED STATES - SRMW"/>
    <x v="1"/>
    <x v="1"/>
    <s v="Americas"/>
    <s v="Northern America"/>
    <s v="US"/>
    <s v="SRMW"/>
    <n v="0"/>
    <s v="CO2E"/>
    <n v="542482.08770000003"/>
    <n v="3.5855119999999997E-2"/>
    <s v="KWH"/>
    <n v="1"/>
    <n v="15129836"/>
    <s v="AR4"/>
    <s v="USEPA"/>
    <s v="USEPA (2022)"/>
    <n v="2022"/>
    <n v="2020"/>
    <n v="542.48208770000008"/>
    <n v="0"/>
    <x v="15"/>
    <s v="Office"/>
  </r>
  <r>
    <n v="20577"/>
    <s v="Top of Hierarchy &gt; North America &gt; Vantage_Gurnee"/>
    <x v="0"/>
    <x v="0"/>
    <d v="2022-01-01T00:00:00"/>
    <d v="2022-12-31T00:00:00"/>
    <x v="0"/>
    <d v="2022-01-01T00:00:00"/>
    <d v="2022-12-31T00:00:00"/>
    <s v="Electricity (non-renewable)"/>
    <n v="15129836"/>
    <s v="Kilowatt hours"/>
    <x v="1"/>
    <m/>
    <s v="2023-03-21, 23:01"/>
    <s v="2023-07-20, 00:40"/>
    <n v="2022"/>
    <s v="electricity__t+d"/>
    <s v="Electricity T&amp;D"/>
    <s v="t+d"/>
    <b v="0"/>
    <s v="ELECTRICITY; UNITED STATES - SRMW; T&amp;D Estimated"/>
    <x v="1"/>
    <x v="1"/>
    <s v="Americas"/>
    <s v="Northern America"/>
    <s v="US"/>
    <s v="SRMW"/>
    <n v="1"/>
    <s v="CO2E MKT"/>
    <n v="557297.18550000002"/>
    <n v="3.6834317999999998E-2"/>
    <s v="KWH"/>
    <n v="1"/>
    <n v="15129836"/>
    <s v="AR4"/>
    <s v="Anthesis"/>
    <s v="The median T&amp;D to generation factor ratio of all countries within the region Northern America was taken to be ELECTRICITY; UNITED STATES - SRSO, USEPA to ELECTRICITY; TRANSMISSION AND DISTRIBUTION; UNITED STATES - SRSO, USEPA: 0.051. This was applied to the base factor ELECTRICITY; UNITED STATES - SRMW, Green-eto estimate the T&amp;D factor."/>
    <n v="2022"/>
    <n v="2019"/>
    <n v="0"/>
    <n v="557.29718550000007"/>
    <x v="15"/>
    <s v="Office"/>
  </r>
  <r>
    <n v="20575"/>
    <s v="Top of Hierarchy &gt; North America &gt; Vantage_Gurnee"/>
    <x v="0"/>
    <x v="0"/>
    <d v="2022-01-01T00:00:00"/>
    <d v="2022-12-31T00:00:00"/>
    <x v="3"/>
    <d v="2022-01-01T00:00:00"/>
    <d v="2022-12-31T00:00:00"/>
    <s v="Natural gas"/>
    <n v="2349743.2999999998"/>
    <s v="Hundred Thousand BTUs"/>
    <x v="1"/>
    <m/>
    <s v="2023-03-21, 22:29"/>
    <s v="2023-07-20, 00:40"/>
    <n v="2022"/>
    <s v="natural_gas"/>
    <s v="Natural Gas"/>
    <s v="model"/>
    <b v="0"/>
    <s v="NATURAL GAS, NATURAL GAS"/>
    <x v="2"/>
    <x v="0"/>
    <s v="Americas"/>
    <s v="Northern America"/>
    <s v="US"/>
    <m/>
    <n v="0"/>
    <s v="CH4"/>
    <n v="5874.3582500000002"/>
    <n v="2.5000000000000001E-2"/>
    <s v="MMBTU"/>
    <n v="0.1"/>
    <n v="234974.33"/>
    <s v="AR4"/>
    <s v="USEPA"/>
    <s v="USEPA Emission Factors Hub (Last Modified: March 2020)"/>
    <n v="2022"/>
    <n v="2021"/>
    <n v="0"/>
    <n v="0"/>
    <x v="15"/>
    <s v="Office"/>
  </r>
  <r>
    <n v="20575"/>
    <s v="Top of Hierarchy &gt; North America &gt; Vantage_Gurnee"/>
    <x v="0"/>
    <x v="0"/>
    <d v="2022-01-01T00:00:00"/>
    <d v="2022-12-31T00:00:00"/>
    <x v="3"/>
    <d v="2022-01-01T00:00:00"/>
    <d v="2022-12-31T00:00:00"/>
    <s v="Natural gas"/>
    <n v="2349743.2999999998"/>
    <s v="Hundred Thousand BTUs"/>
    <x v="1"/>
    <m/>
    <s v="2023-03-21, 22:29"/>
    <s v="2023-07-20, 00:40"/>
    <n v="2022"/>
    <s v="natural_gas"/>
    <s v="Natural Gas"/>
    <s v="model"/>
    <b v="0"/>
    <s v="NATURAL GAS, NATURAL GAS"/>
    <x v="2"/>
    <x v="0"/>
    <s v="Americas"/>
    <s v="Northern America"/>
    <s v="US"/>
    <m/>
    <n v="0"/>
    <s v="CO2"/>
    <n v="12467737.949999999"/>
    <n v="53.06"/>
    <s v="MMBTU"/>
    <n v="0.1"/>
    <n v="234974.33"/>
    <s v="AR4"/>
    <s v="USEPA"/>
    <s v="USEPA (2022)"/>
    <n v="2022"/>
    <n v="2022"/>
    <n v="0"/>
    <n v="0"/>
    <x v="15"/>
    <s v="Office"/>
  </r>
  <r>
    <n v="20575"/>
    <s v="Top of Hierarchy &gt; North America &gt; Vantage_Gurnee"/>
    <x v="0"/>
    <x v="0"/>
    <d v="2022-01-01T00:00:00"/>
    <d v="2022-12-31T00:00:00"/>
    <x v="3"/>
    <d v="2022-01-01T00:00:00"/>
    <d v="2022-12-31T00:00:00"/>
    <s v="Natural gas"/>
    <n v="2349743.2999999998"/>
    <s v="Hundred Thousand BTUs"/>
    <x v="1"/>
    <m/>
    <s v="2023-03-21, 22:29"/>
    <s v="2023-07-20, 00:40"/>
    <n v="2022"/>
    <s v="natural_gas"/>
    <s v="Natural Gas"/>
    <s v="model"/>
    <b v="0"/>
    <s v="NATURAL GAS, NATURAL GAS"/>
    <x v="2"/>
    <x v="0"/>
    <s v="Americas"/>
    <s v="Northern America"/>
    <s v="US"/>
    <m/>
    <n v="0"/>
    <s v="CO2E"/>
    <n v="12480614.539999999"/>
    <n v="53.114800000000002"/>
    <s v="MMBTU"/>
    <n v="0.1"/>
    <n v="234974.33"/>
    <s v="AR4"/>
    <s v="USEPA"/>
    <s v="USEPA Emission Factors Hub (Last Modified: March 2020)"/>
    <n v="2022"/>
    <n v="2021"/>
    <n v="12480.614539999999"/>
    <n v="0"/>
    <x v="15"/>
    <s v="Office"/>
  </r>
  <r>
    <n v="20575"/>
    <s v="Top of Hierarchy &gt; North America &gt; Vantage_Gurnee"/>
    <x v="0"/>
    <x v="0"/>
    <d v="2022-01-01T00:00:00"/>
    <d v="2022-12-31T00:00:00"/>
    <x v="3"/>
    <d v="2022-01-01T00:00:00"/>
    <d v="2022-12-31T00:00:00"/>
    <s v="Natural gas"/>
    <n v="2349743.2999999998"/>
    <s v="Hundred Thousand BTUs"/>
    <x v="1"/>
    <m/>
    <s v="2023-03-21, 22:29"/>
    <s v="2023-07-20, 00:40"/>
    <n v="2022"/>
    <s v="natural_gas"/>
    <s v="Natural Gas"/>
    <s v="model"/>
    <b v="0"/>
    <s v="NATURAL GAS, NATURAL GAS"/>
    <x v="2"/>
    <x v="0"/>
    <s v="Americas"/>
    <s v="Northern America"/>
    <s v="US"/>
    <m/>
    <n v="0"/>
    <s v="N2O"/>
    <n v="7002.2350340000003"/>
    <n v="2.98E-2"/>
    <s v="MMBTU"/>
    <n v="0.1"/>
    <n v="234974.33"/>
    <s v="AR4"/>
    <s v="USEPA"/>
    <s v="USEPA (2022)"/>
    <n v="2022"/>
    <n v="2022"/>
    <n v="0"/>
    <n v="0"/>
    <x v="15"/>
    <s v="Office"/>
  </r>
  <r>
    <n v="20575"/>
    <s v="Top of Hierarchy &gt; North America &gt; Vantage_Gurnee"/>
    <x v="0"/>
    <x v="0"/>
    <d v="2022-01-01T00:00:00"/>
    <d v="2022-12-31T00:00:00"/>
    <x v="3"/>
    <d v="2022-01-01T00:00:00"/>
    <d v="2022-12-31T00:00:00"/>
    <s v="Natural gas"/>
    <n v="2349743.2999999998"/>
    <s v="Hundred Thousand BTUs"/>
    <x v="1"/>
    <m/>
    <s v="2023-03-21, 22:29"/>
    <s v="2023-07-20, 00:40"/>
    <n v="2022"/>
    <s v="natural_gas"/>
    <s v="Natural Gas"/>
    <s v="model"/>
    <b v="0"/>
    <s v="NATURAL GAS, NATURAL GAS"/>
    <x v="2"/>
    <x v="0"/>
    <s v="Americas"/>
    <s v="Northern America"/>
    <s v="US"/>
    <m/>
    <n v="1"/>
    <s v="CH4"/>
    <n v="5874.3582500000002"/>
    <n v="2.5000000000000001E-2"/>
    <s v="MMBTU"/>
    <n v="0.1"/>
    <n v="234974.33"/>
    <s v="AR4"/>
    <s v="USEPA"/>
    <s v="USEPA Emission Factors Hub (Last Modified: March 2020)"/>
    <n v="2022"/>
    <n v="2021"/>
    <n v="0"/>
    <n v="0"/>
    <x v="15"/>
    <s v="Office"/>
  </r>
  <r>
    <n v="20575"/>
    <s v="Top of Hierarchy &gt; North America &gt; Vantage_Gurnee"/>
    <x v="0"/>
    <x v="0"/>
    <d v="2022-01-01T00:00:00"/>
    <d v="2022-12-31T00:00:00"/>
    <x v="3"/>
    <d v="2022-01-01T00:00:00"/>
    <d v="2022-12-31T00:00:00"/>
    <s v="Natural gas"/>
    <n v="2349743.2999999998"/>
    <s v="Hundred Thousand BTUs"/>
    <x v="1"/>
    <m/>
    <s v="2023-03-21, 22:29"/>
    <s v="2023-07-20, 00:40"/>
    <n v="2022"/>
    <s v="natural_gas"/>
    <s v="Natural Gas"/>
    <s v="model"/>
    <b v="0"/>
    <s v="NATURAL GAS, NATURAL GAS"/>
    <x v="2"/>
    <x v="0"/>
    <s v="Americas"/>
    <s v="Northern America"/>
    <s v="US"/>
    <m/>
    <n v="1"/>
    <s v="CO2"/>
    <n v="12467737.949999999"/>
    <n v="53.06"/>
    <s v="MMBTU"/>
    <n v="0.1"/>
    <n v="234974.33"/>
    <s v="AR4"/>
    <s v="USEPA"/>
    <s v="USEPA (2022)"/>
    <n v="2022"/>
    <n v="2022"/>
    <n v="0"/>
    <n v="0"/>
    <x v="15"/>
    <s v="Office"/>
  </r>
  <r>
    <n v="20575"/>
    <s v="Top of Hierarchy &gt; North America &gt; Vantage_Gurnee"/>
    <x v="0"/>
    <x v="0"/>
    <d v="2022-01-01T00:00:00"/>
    <d v="2022-12-31T00:00:00"/>
    <x v="3"/>
    <d v="2022-01-01T00:00:00"/>
    <d v="2022-12-31T00:00:00"/>
    <s v="Natural gas"/>
    <n v="2349743.2999999998"/>
    <s v="Hundred Thousand BTUs"/>
    <x v="1"/>
    <m/>
    <s v="2023-03-21, 22:29"/>
    <s v="2023-07-20, 00:40"/>
    <n v="2022"/>
    <s v="natural_gas"/>
    <s v="Natural Gas"/>
    <s v="model"/>
    <b v="0"/>
    <s v="NATURAL GAS, NATURAL GAS"/>
    <x v="2"/>
    <x v="0"/>
    <s v="Americas"/>
    <s v="Northern America"/>
    <s v="US"/>
    <m/>
    <n v="1"/>
    <s v="CO2E"/>
    <n v="12480614.539999999"/>
    <n v="53.114800000000002"/>
    <s v="MMBTU"/>
    <n v="0.1"/>
    <n v="234974.33"/>
    <s v="AR4"/>
    <s v="USEPA"/>
    <s v="USEPA Emission Factors Hub (Last Modified: March 2020)"/>
    <n v="2022"/>
    <n v="2021"/>
    <n v="0"/>
    <n v="12480.614539999999"/>
    <x v="15"/>
    <s v="Office"/>
  </r>
  <r>
    <n v="20575"/>
    <s v="Top of Hierarchy &gt; North America &gt; Vantage_Gurnee"/>
    <x v="0"/>
    <x v="0"/>
    <d v="2022-01-01T00:00:00"/>
    <d v="2022-12-31T00:00:00"/>
    <x v="3"/>
    <d v="2022-01-01T00:00:00"/>
    <d v="2022-12-31T00:00:00"/>
    <s v="Natural gas"/>
    <n v="2349743.2999999998"/>
    <s v="Hundred Thousand BTUs"/>
    <x v="1"/>
    <m/>
    <s v="2023-03-21, 22:29"/>
    <s v="2023-07-20, 00:40"/>
    <n v="2022"/>
    <s v="natural_gas"/>
    <s v="Natural Gas"/>
    <s v="model"/>
    <b v="0"/>
    <s v="NATURAL GAS, NATURAL GAS"/>
    <x v="2"/>
    <x v="0"/>
    <s v="Americas"/>
    <s v="Northern America"/>
    <s v="US"/>
    <m/>
    <n v="1"/>
    <s v="N2O"/>
    <n v="7002.2350340000003"/>
    <n v="2.98E-2"/>
    <s v="MMBTU"/>
    <n v="0.1"/>
    <n v="234974.33"/>
    <s v="AR4"/>
    <s v="USEPA"/>
    <s v="USEPA (2022)"/>
    <n v="2022"/>
    <n v="2022"/>
    <n v="0"/>
    <n v="0"/>
    <x v="15"/>
    <s v="Office"/>
  </r>
  <r>
    <n v="20575"/>
    <s v="Top of Hierarchy &gt; North America &gt; Vantage_Gurnee"/>
    <x v="0"/>
    <x v="0"/>
    <d v="2022-01-01T00:00:00"/>
    <d v="2022-12-31T00:00:00"/>
    <x v="3"/>
    <d v="2022-01-01T00:00:00"/>
    <d v="2022-12-31T00:00:00"/>
    <s v="Natural gas"/>
    <n v="2349743.2999999998"/>
    <s v="Hundred Thousand BTUs"/>
    <x v="1"/>
    <m/>
    <s v="2023-03-21, 22:29"/>
    <s v="2023-07-20, 00:40"/>
    <n v="2022"/>
    <s v="natural_gas__wtt"/>
    <s v="Natural Gas WTT"/>
    <s v="wtt"/>
    <b v="0"/>
    <s v="WTT- FUELS; GASEOUS FUELS; NATURAL GAS"/>
    <x v="1"/>
    <x v="1"/>
    <m/>
    <m/>
    <m/>
    <m/>
    <n v="0"/>
    <s v="CO2E"/>
    <n v="2141163.895"/>
    <n v="3.1099999999999999E-2"/>
    <s v="KWH (GROSS CV)"/>
    <n v="29.3001"/>
    <n v="68847713.659999996"/>
    <s v="AR4"/>
    <s v="Defra"/>
    <s v="Defra (2022)"/>
    <n v="2022"/>
    <n v="2020"/>
    <n v="2141.1638950000001"/>
    <n v="0"/>
    <x v="15"/>
    <s v="Office"/>
  </r>
  <r>
    <n v="20575"/>
    <s v="Top of Hierarchy &gt; North America &gt; Vantage_Gurnee"/>
    <x v="0"/>
    <x v="0"/>
    <d v="2022-01-01T00:00:00"/>
    <d v="2022-12-31T00:00:00"/>
    <x v="3"/>
    <d v="2022-01-01T00:00:00"/>
    <d v="2022-12-31T00:00:00"/>
    <s v="Natural gas"/>
    <n v="2349743.2999999998"/>
    <s v="Hundred Thousand BTUs"/>
    <x v="1"/>
    <m/>
    <s v="2023-03-21, 22:29"/>
    <s v="2023-07-20, 00:40"/>
    <n v="2022"/>
    <s v="natural_gas__wtt"/>
    <s v="Natural Gas WTT"/>
    <s v="wtt"/>
    <b v="0"/>
    <s v="WTT- FUELS; GASEOUS FUELS; NATURAL GAS"/>
    <x v="1"/>
    <x v="1"/>
    <m/>
    <m/>
    <m/>
    <m/>
    <n v="1"/>
    <s v="CO2E"/>
    <n v="2141163.895"/>
    <n v="3.1099999999999999E-2"/>
    <s v="KWH (GROSS CV)"/>
    <n v="29.3001"/>
    <n v="68847713.659999996"/>
    <s v="AR4"/>
    <s v="Defra"/>
    <s v="Defra (2022)"/>
    <n v="2022"/>
    <n v="2020"/>
    <n v="0"/>
    <n v="2141.1638950000001"/>
    <x v="15"/>
    <s v="Office"/>
  </r>
  <r>
    <n v="292829"/>
    <s v="Top of Hierarchy &gt; North America &gt; Vantage_Gurnee"/>
    <x v="0"/>
    <x v="0"/>
    <d v="2022-01-01T00:00:00"/>
    <d v="2022-12-31T00:00:00"/>
    <x v="1"/>
    <d v="2022-01-01T00:00:00"/>
    <d v="2022-12-31T00:00:00"/>
    <s v="Diesel (average biofuel blend)"/>
    <n v="180.9"/>
    <s v="US liquid gallons"/>
    <x v="1"/>
    <m/>
    <s v="2023-05-05, 19:43"/>
    <s v="2023-07-20, 00:40"/>
    <n v="2022"/>
    <s v="diesel_avg_biofuel_blend"/>
    <s v="Diesel (Average Biofuel Blend)"/>
    <s v="model"/>
    <b v="0"/>
    <s v="PETROLEUM PRODUCTS, DISTILLATE FUEL OIL NO. 2"/>
    <x v="2"/>
    <x v="0"/>
    <s v="Americas"/>
    <s v="Northern America"/>
    <s v="US"/>
    <m/>
    <n v="0"/>
    <s v="CH4"/>
    <n v="1.854225"/>
    <n v="1.025E-2"/>
    <s v="GALLON (US LIQUID)"/>
    <n v="1"/>
    <n v="180.9"/>
    <s v="AR4"/>
    <s v="USEPA"/>
    <s v="USEPA (2022)"/>
    <n v="2022"/>
    <n v="2022"/>
    <n v="0"/>
    <n v="0"/>
    <x v="15"/>
    <s v="Office"/>
  </r>
  <r>
    <n v="292829"/>
    <s v="Top of Hierarchy &gt; North America &gt; Vantage_Gurnee"/>
    <x v="0"/>
    <x v="0"/>
    <d v="2022-01-01T00:00:00"/>
    <d v="2022-12-31T00:00:00"/>
    <x v="1"/>
    <d v="2022-01-01T00:00:00"/>
    <d v="2022-12-31T00:00:00"/>
    <s v="Diesel (average biofuel blend)"/>
    <n v="180.9"/>
    <s v="US liquid gallons"/>
    <x v="1"/>
    <m/>
    <s v="2023-05-05, 19:43"/>
    <s v="2023-07-20, 00:40"/>
    <n v="2022"/>
    <s v="diesel_avg_biofuel_blend"/>
    <s v="Diesel (Average Biofuel Blend)"/>
    <s v="model"/>
    <b v="0"/>
    <s v="PETROLEUM PRODUCTS, DISTILLATE FUEL OIL NO. 2"/>
    <x v="2"/>
    <x v="0"/>
    <s v="Americas"/>
    <s v="Northern America"/>
    <s v="US"/>
    <m/>
    <n v="0"/>
    <s v="CO2"/>
    <n v="1846.989"/>
    <n v="10.210000000000001"/>
    <s v="GALLON (US LIQUID)"/>
    <n v="1"/>
    <n v="180.9"/>
    <s v="AR4"/>
    <s v="USEPA"/>
    <s v="USEPA (2022)"/>
    <n v="2022"/>
    <n v="2022"/>
    <n v="0"/>
    <n v="0"/>
    <x v="15"/>
    <s v="Office"/>
  </r>
  <r>
    <n v="292829"/>
    <s v="Top of Hierarchy &gt; North America &gt; Vantage_Gurnee"/>
    <x v="0"/>
    <x v="0"/>
    <d v="2022-01-01T00:00:00"/>
    <d v="2022-12-31T00:00:00"/>
    <x v="1"/>
    <d v="2022-01-01T00:00:00"/>
    <d v="2022-12-31T00:00:00"/>
    <s v="Diesel (average biofuel blend)"/>
    <n v="180.9"/>
    <s v="US liquid gallons"/>
    <x v="1"/>
    <m/>
    <s v="2023-05-05, 19:43"/>
    <s v="2023-07-20, 00:40"/>
    <n v="2022"/>
    <s v="diesel_avg_biofuel_blend"/>
    <s v="Diesel (Average Biofuel Blend)"/>
    <s v="model"/>
    <b v="0"/>
    <s v="PETROLEUM PRODUCTS, DISTILLATE FUEL OIL NO. 2"/>
    <x v="2"/>
    <x v="0"/>
    <s v="Americas"/>
    <s v="Northern America"/>
    <s v="US"/>
    <m/>
    <n v="0"/>
    <s v="CO2E"/>
    <n v="1853.1558809999999"/>
    <n v="10.24409"/>
    <s v="GALLON (US LIQUID)"/>
    <n v="1"/>
    <n v="180.9"/>
    <s v="AR4"/>
    <s v="USEPA"/>
    <s v="USEPA Emission Factors Hub (Last Modified: March 2020)"/>
    <n v="2022"/>
    <n v="2021"/>
    <n v="1.8531558809999999"/>
    <n v="0"/>
    <x v="15"/>
    <s v="Office"/>
  </r>
  <r>
    <n v="292829"/>
    <s v="Top of Hierarchy &gt; North America &gt; Vantage_Gurnee"/>
    <x v="0"/>
    <x v="0"/>
    <d v="2022-01-01T00:00:00"/>
    <d v="2022-12-31T00:00:00"/>
    <x v="1"/>
    <d v="2022-01-01T00:00:00"/>
    <d v="2022-12-31T00:00:00"/>
    <s v="Diesel (average biofuel blend)"/>
    <n v="180.9"/>
    <s v="US liquid gallons"/>
    <x v="1"/>
    <m/>
    <s v="2023-05-05, 19:43"/>
    <s v="2023-07-20, 00:40"/>
    <n v="2022"/>
    <s v="diesel_avg_biofuel_blend"/>
    <s v="Diesel (Average Biofuel Blend)"/>
    <s v="model"/>
    <b v="0"/>
    <s v="PETROLEUM PRODUCTS, DISTILLATE FUEL OIL NO. 2"/>
    <x v="2"/>
    <x v="0"/>
    <s v="Americas"/>
    <s v="Northern America"/>
    <s v="US"/>
    <m/>
    <n v="0"/>
    <s v="N2O"/>
    <n v="4.3126559999999996"/>
    <n v="2.384E-2"/>
    <s v="GALLON (US LIQUID)"/>
    <n v="1"/>
    <n v="180.9"/>
    <s v="AR4"/>
    <s v="USEPA"/>
    <s v="USEPA (2022)"/>
    <n v="2022"/>
    <n v="2022"/>
    <n v="0"/>
    <n v="0"/>
    <x v="15"/>
    <s v="Office"/>
  </r>
  <r>
    <n v="292829"/>
    <s v="Top of Hierarchy &gt; North America &gt; Vantage_Gurnee"/>
    <x v="0"/>
    <x v="0"/>
    <d v="2022-01-01T00:00:00"/>
    <d v="2022-12-31T00:00:00"/>
    <x v="1"/>
    <d v="2022-01-01T00:00:00"/>
    <d v="2022-12-31T00:00:00"/>
    <s v="Diesel (average biofuel blend)"/>
    <n v="180.9"/>
    <s v="US liquid gallons"/>
    <x v="1"/>
    <m/>
    <s v="2023-05-05, 19:43"/>
    <s v="2023-07-20, 00:40"/>
    <n v="2022"/>
    <s v="diesel_avg_biofuel_blend"/>
    <s v="Diesel (Average Biofuel Blend)"/>
    <s v="model"/>
    <b v="0"/>
    <s v="PETROLEUM PRODUCTS, DISTILLATE FUEL OIL NO. 2"/>
    <x v="2"/>
    <x v="0"/>
    <s v="Americas"/>
    <s v="Northern America"/>
    <s v="US"/>
    <m/>
    <n v="1"/>
    <s v="CH4"/>
    <n v="1.854225"/>
    <n v="1.025E-2"/>
    <s v="GALLON (US LIQUID)"/>
    <n v="1"/>
    <n v="180.9"/>
    <s v="AR4"/>
    <s v="USEPA"/>
    <s v="USEPA (2022)"/>
    <n v="2022"/>
    <n v="2022"/>
    <n v="0"/>
    <n v="0"/>
    <x v="15"/>
    <s v="Office"/>
  </r>
  <r>
    <n v="292829"/>
    <s v="Top of Hierarchy &gt; North America &gt; Vantage_Gurnee"/>
    <x v="0"/>
    <x v="0"/>
    <d v="2022-01-01T00:00:00"/>
    <d v="2022-12-31T00:00:00"/>
    <x v="1"/>
    <d v="2022-01-01T00:00:00"/>
    <d v="2022-12-31T00:00:00"/>
    <s v="Diesel (average biofuel blend)"/>
    <n v="180.9"/>
    <s v="US liquid gallons"/>
    <x v="1"/>
    <m/>
    <s v="2023-05-05, 19:43"/>
    <s v="2023-07-20, 00:40"/>
    <n v="2022"/>
    <s v="diesel_avg_biofuel_blend"/>
    <s v="Diesel (Average Biofuel Blend)"/>
    <s v="model"/>
    <b v="0"/>
    <s v="PETROLEUM PRODUCTS, DISTILLATE FUEL OIL NO. 2"/>
    <x v="2"/>
    <x v="0"/>
    <s v="Americas"/>
    <s v="Northern America"/>
    <s v="US"/>
    <m/>
    <n v="1"/>
    <s v="CO2"/>
    <n v="1846.989"/>
    <n v="10.210000000000001"/>
    <s v="GALLON (US LIQUID)"/>
    <n v="1"/>
    <n v="180.9"/>
    <s v="AR4"/>
    <s v="USEPA"/>
    <s v="USEPA (2022)"/>
    <n v="2022"/>
    <n v="2022"/>
    <n v="0"/>
    <n v="0"/>
    <x v="15"/>
    <s v="Office"/>
  </r>
  <r>
    <n v="292829"/>
    <s v="Top of Hierarchy &gt; North America &gt; Vantage_Gurnee"/>
    <x v="0"/>
    <x v="0"/>
    <d v="2022-01-01T00:00:00"/>
    <d v="2022-12-31T00:00:00"/>
    <x v="1"/>
    <d v="2022-01-01T00:00:00"/>
    <d v="2022-12-31T00:00:00"/>
    <s v="Diesel (average biofuel blend)"/>
    <n v="180.9"/>
    <s v="US liquid gallons"/>
    <x v="1"/>
    <m/>
    <s v="2023-05-05, 19:43"/>
    <s v="2023-07-20, 00:40"/>
    <n v="2022"/>
    <s v="diesel_avg_biofuel_blend"/>
    <s v="Diesel (Average Biofuel Blend)"/>
    <s v="model"/>
    <b v="0"/>
    <s v="PETROLEUM PRODUCTS, DISTILLATE FUEL OIL NO. 2"/>
    <x v="2"/>
    <x v="0"/>
    <s v="Americas"/>
    <s v="Northern America"/>
    <s v="US"/>
    <m/>
    <n v="1"/>
    <s v="CO2E"/>
    <n v="1853.1558809999999"/>
    <n v="10.24409"/>
    <s v="GALLON (US LIQUID)"/>
    <n v="1"/>
    <n v="180.9"/>
    <s v="AR4"/>
    <s v="USEPA"/>
    <s v="USEPA Emission Factors Hub (Last Modified: March 2020)"/>
    <n v="2022"/>
    <n v="2021"/>
    <n v="0"/>
    <n v="1.8531558809999999"/>
    <x v="15"/>
    <s v="Office"/>
  </r>
  <r>
    <n v="292829"/>
    <s v="Top of Hierarchy &gt; North America &gt; Vantage_Gurnee"/>
    <x v="0"/>
    <x v="0"/>
    <d v="2022-01-01T00:00:00"/>
    <d v="2022-12-31T00:00:00"/>
    <x v="1"/>
    <d v="2022-01-01T00:00:00"/>
    <d v="2022-12-31T00:00:00"/>
    <s v="Diesel (average biofuel blend)"/>
    <n v="180.9"/>
    <s v="US liquid gallons"/>
    <x v="1"/>
    <m/>
    <s v="2023-05-05, 19:43"/>
    <s v="2023-07-20, 00:40"/>
    <n v="2022"/>
    <s v="diesel_avg_biofuel_blend"/>
    <s v="Diesel (Average Biofuel Blend)"/>
    <s v="model"/>
    <b v="0"/>
    <s v="PETROLEUM PRODUCTS, DISTILLATE FUEL OIL NO. 2"/>
    <x v="2"/>
    <x v="0"/>
    <s v="Americas"/>
    <s v="Northern America"/>
    <s v="US"/>
    <m/>
    <n v="1"/>
    <s v="N2O"/>
    <n v="4.3126559999999996"/>
    <n v="2.384E-2"/>
    <s v="GALLON (US LIQUID)"/>
    <n v="1"/>
    <n v="180.9"/>
    <s v="AR4"/>
    <s v="USEPA"/>
    <s v="USEPA (2022)"/>
    <n v="2022"/>
    <n v="2022"/>
    <n v="0"/>
    <n v="0"/>
    <x v="15"/>
    <s v="Office"/>
  </r>
  <r>
    <n v="292829"/>
    <s v="Top of Hierarchy &gt; North America &gt; Vantage_Gurnee"/>
    <x v="0"/>
    <x v="0"/>
    <d v="2022-01-01T00:00:00"/>
    <d v="2022-12-31T00:00:00"/>
    <x v="1"/>
    <d v="2022-01-01T00:00:00"/>
    <d v="2022-12-31T00:00:00"/>
    <s v="Diesel (average biofuel blend)"/>
    <n v="180.9"/>
    <s v="US liquid gallons"/>
    <x v="1"/>
    <m/>
    <s v="2023-05-05, 19:43"/>
    <s v="2023-07-20, 00:40"/>
    <n v="2022"/>
    <s v="diesel_avg_biofuel_blend__wtt"/>
    <s v="Diesel (Average Biofuel Blend) WTT"/>
    <s v="wtt"/>
    <b v="0"/>
    <s v="WTT- FUELS; LIQUID FUELS; DIESEL (AVERAGE BIOFUEL BLEND)"/>
    <x v="1"/>
    <x v="1"/>
    <m/>
    <m/>
    <m/>
    <m/>
    <n v="0"/>
    <s v="CO2E"/>
    <n v="417.62033880000001"/>
    <n v="0.60985999999999996"/>
    <s v="LITRES"/>
    <n v="3.7854100000000002"/>
    <n v="684.78066899999999"/>
    <s v="AR4"/>
    <s v="Defra"/>
    <s v="Defra (2022)"/>
    <n v="2022"/>
    <n v="2020"/>
    <n v="0.41762033879999999"/>
    <n v="0"/>
    <x v="15"/>
    <s v="Office"/>
  </r>
  <r>
    <n v="292829"/>
    <s v="Top of Hierarchy &gt; North America &gt; Vantage_Gurnee"/>
    <x v="0"/>
    <x v="0"/>
    <d v="2022-01-01T00:00:00"/>
    <d v="2022-12-31T00:00:00"/>
    <x v="1"/>
    <d v="2022-01-01T00:00:00"/>
    <d v="2022-12-31T00:00:00"/>
    <s v="Diesel (average biofuel blend)"/>
    <n v="180.9"/>
    <s v="US liquid gallons"/>
    <x v="1"/>
    <m/>
    <s v="2023-05-05, 19:43"/>
    <s v="2023-07-20, 00:40"/>
    <n v="2022"/>
    <s v="diesel_avg_biofuel_blend__wtt"/>
    <s v="Diesel (Average Biofuel Blend) WTT"/>
    <s v="wtt"/>
    <b v="0"/>
    <s v="WTT- FUELS; LIQUID FUELS; DIESEL (AVERAGE BIOFUEL BLEND)"/>
    <x v="1"/>
    <x v="1"/>
    <m/>
    <m/>
    <m/>
    <m/>
    <n v="1"/>
    <s v="CO2E"/>
    <n v="417.62033880000001"/>
    <n v="0.60985999999999996"/>
    <s v="LITRES"/>
    <n v="3.7854100000000002"/>
    <n v="684.78066899999999"/>
    <s v="AR4"/>
    <s v="Defra"/>
    <s v="Defra (2022)"/>
    <n v="2022"/>
    <n v="2020"/>
    <n v="0"/>
    <n v="0.41762033879999999"/>
    <x v="15"/>
    <s v="Office"/>
  </r>
  <r>
    <n v="283977"/>
    <s v="Top of Hierarchy &gt; North America &gt; Vantage_Gurnee"/>
    <x v="0"/>
    <x v="0"/>
    <d v="2022-01-01T00:00:00"/>
    <d v="2022-12-31T00:00:00"/>
    <x v="4"/>
    <d v="2022-01-01T00:00:00"/>
    <d v="2022-12-31T00:00:00"/>
    <s v="R-22"/>
    <n v="28"/>
    <s v="pounds"/>
    <x v="1"/>
    <m/>
    <s v="2023-04-28, 18:39"/>
    <s v="2023-07-20, 00:40"/>
    <n v="2022"/>
    <s v="r22"/>
    <s v="R-22"/>
    <s v="model"/>
    <b v="0"/>
    <s v="REFRIGERANT: R-22"/>
    <x v="2"/>
    <x v="0"/>
    <m/>
    <m/>
    <m/>
    <m/>
    <n v="0"/>
    <s v="CO2E"/>
    <n v="22988.088680000001"/>
    <n v="1810"/>
    <s v="KG"/>
    <n v="0.45359291000000002"/>
    <n v="12.70060148"/>
    <s v="AR4"/>
    <s v="IPCC"/>
    <s v="IPCC (2021)"/>
    <n v="2022"/>
    <n v="2007"/>
    <n v="22.988088680000001"/>
    <n v="0"/>
    <x v="15"/>
    <s v="Office"/>
  </r>
  <r>
    <n v="283977"/>
    <s v="Top of Hierarchy &gt; North America &gt; Vantage_Gurnee"/>
    <x v="0"/>
    <x v="0"/>
    <d v="2022-01-01T00:00:00"/>
    <d v="2022-12-31T00:00:00"/>
    <x v="4"/>
    <d v="2022-01-01T00:00:00"/>
    <d v="2022-12-31T00:00:00"/>
    <s v="R-22"/>
    <n v="28"/>
    <s v="pounds"/>
    <x v="1"/>
    <m/>
    <s v="2023-04-28, 18:39"/>
    <s v="2023-07-20, 00:40"/>
    <n v="2022"/>
    <s v="r22"/>
    <s v="R-22"/>
    <s v="model"/>
    <b v="0"/>
    <s v="REFRIGERANT: R-22"/>
    <x v="2"/>
    <x v="0"/>
    <m/>
    <m/>
    <m/>
    <m/>
    <n v="1"/>
    <s v="CO2E"/>
    <n v="22988.088680000001"/>
    <n v="1810"/>
    <s v="KG"/>
    <n v="0.45359291000000002"/>
    <n v="12.70060148"/>
    <s v="AR4"/>
    <s v="IPCC"/>
    <s v="IPCC (2021)"/>
    <n v="2022"/>
    <n v="2007"/>
    <n v="0"/>
    <n v="22.988088680000001"/>
    <x v="15"/>
    <s v="Office"/>
  </r>
  <r>
    <n v="283979"/>
    <s v="Top of Hierarchy &gt; North America &gt; Vantage_Gurnee"/>
    <x v="0"/>
    <x v="0"/>
    <d v="2022-01-01T00:00:00"/>
    <d v="2022-12-31T00:00:00"/>
    <x v="4"/>
    <d v="2022-01-01T00:00:00"/>
    <d v="2022-12-31T00:00:00"/>
    <s v="HFC-134a"/>
    <n v="6"/>
    <s v="pounds"/>
    <x v="1"/>
    <m/>
    <s v="2023-04-28, 18:40"/>
    <s v="2023-07-20, 00:40"/>
    <n v="2022"/>
    <s v="hfc-134a"/>
    <s v="HFC-134A"/>
    <s v="model"/>
    <b v="0"/>
    <s v="REFRIGERANT: R-134A"/>
    <x v="2"/>
    <x v="0"/>
    <m/>
    <m/>
    <m/>
    <m/>
    <n v="0"/>
    <s v="CO2E"/>
    <n v="3891.8271679999998"/>
    <n v="1430"/>
    <s v="KG"/>
    <n v="0.45359291000000002"/>
    <n v="2.7215574600000001"/>
    <s v="AR4"/>
    <s v="IPCC"/>
    <s v="IPCC (2021)"/>
    <n v="2022"/>
    <n v="2007"/>
    <n v="3.8918271679999998"/>
    <n v="0"/>
    <x v="15"/>
    <s v="Office"/>
  </r>
  <r>
    <n v="283979"/>
    <s v="Top of Hierarchy &gt; North America &gt; Vantage_Gurnee"/>
    <x v="0"/>
    <x v="0"/>
    <d v="2022-01-01T00:00:00"/>
    <d v="2022-12-31T00:00:00"/>
    <x v="4"/>
    <d v="2022-01-01T00:00:00"/>
    <d v="2022-12-31T00:00:00"/>
    <s v="HFC-134a"/>
    <n v="6"/>
    <s v="pounds"/>
    <x v="1"/>
    <m/>
    <s v="2023-04-28, 18:40"/>
    <s v="2023-07-20, 00:40"/>
    <n v="2022"/>
    <s v="hfc-134a"/>
    <s v="HFC-134A"/>
    <s v="model"/>
    <b v="0"/>
    <s v="REFRIGERANT: R-134A"/>
    <x v="2"/>
    <x v="0"/>
    <m/>
    <m/>
    <m/>
    <m/>
    <n v="1"/>
    <s v="CO2E"/>
    <n v="3891.8271679999998"/>
    <n v="1430"/>
    <s v="KG"/>
    <n v="0.45359291000000002"/>
    <n v="2.7215574600000001"/>
    <s v="AR4"/>
    <s v="IPCC"/>
    <s v="IPCC (2021)"/>
    <n v="2022"/>
    <n v="2007"/>
    <n v="0"/>
    <n v="3.8918271679999998"/>
    <x v="15"/>
    <s v="Office"/>
  </r>
  <r>
    <n v="283981"/>
    <s v="Top of Hierarchy &gt; North America &gt; Vantage_Gurnee"/>
    <x v="0"/>
    <x v="0"/>
    <d v="2022-01-01T00:00:00"/>
    <d v="2022-12-31T00:00:00"/>
    <x v="4"/>
    <d v="2022-01-01T00:00:00"/>
    <d v="2022-12-31T00:00:00"/>
    <s v="R407C"/>
    <n v="22"/>
    <s v="pounds"/>
    <x v="1"/>
    <m/>
    <s v="2023-04-28, 18:41"/>
    <s v="2023-07-20, 00:40"/>
    <n v="2022"/>
    <s v="r407c"/>
    <s v="R407C"/>
    <s v="model"/>
    <b v="0"/>
    <s v="REFRIGERANT: R-407C"/>
    <x v="2"/>
    <x v="0"/>
    <m/>
    <m/>
    <m/>
    <m/>
    <n v="0"/>
    <s v="CO2E"/>
    <n v="17702.824089999998"/>
    <n v="1774"/>
    <s v="KG"/>
    <n v="0.45359291000000002"/>
    <n v="9.9790440199999999"/>
    <s v="AR4"/>
    <s v="IPCC"/>
    <s v="IPCC (2021)"/>
    <n v="2022"/>
    <n v="2007"/>
    <n v="17.70282409"/>
    <n v="0"/>
    <x v="15"/>
    <s v="Office"/>
  </r>
  <r>
    <n v="283981"/>
    <s v="Top of Hierarchy &gt; North America &gt; Vantage_Gurnee"/>
    <x v="0"/>
    <x v="0"/>
    <d v="2022-01-01T00:00:00"/>
    <d v="2022-12-31T00:00:00"/>
    <x v="4"/>
    <d v="2022-01-01T00:00:00"/>
    <d v="2022-12-31T00:00:00"/>
    <s v="R407C"/>
    <n v="22"/>
    <s v="pounds"/>
    <x v="1"/>
    <m/>
    <s v="2023-04-28, 18:41"/>
    <s v="2023-07-20, 00:40"/>
    <n v="2022"/>
    <s v="r407c"/>
    <s v="R407C"/>
    <s v="model"/>
    <b v="0"/>
    <s v="REFRIGERANT: R-407C"/>
    <x v="2"/>
    <x v="0"/>
    <m/>
    <m/>
    <m/>
    <m/>
    <n v="1"/>
    <s v="CO2E"/>
    <n v="17702.824089999998"/>
    <n v="1774"/>
    <s v="KG"/>
    <n v="0.45359291000000002"/>
    <n v="9.9790440199999999"/>
    <s v="AR4"/>
    <s v="IPCC"/>
    <s v="IPCC (2021)"/>
    <n v="2022"/>
    <n v="2007"/>
    <n v="0"/>
    <n v="17.70282409"/>
    <x v="15"/>
    <s v="Office"/>
  </r>
  <r>
    <n v="283983"/>
    <s v="Top of Hierarchy &gt; North America &gt; Vantage_Gurnee"/>
    <x v="0"/>
    <x v="0"/>
    <d v="2022-01-01T00:00:00"/>
    <d v="2022-12-31T00:00:00"/>
    <x v="4"/>
    <d v="2022-01-01T00:00:00"/>
    <d v="2022-12-31T00:00:00"/>
    <s v="R410A"/>
    <n v="3"/>
    <s v="pounds"/>
    <x v="1"/>
    <m/>
    <s v="2023-04-28, 18:41"/>
    <s v="2023-07-20, 00:40"/>
    <n v="2022"/>
    <s v="r410a"/>
    <s v="R410A"/>
    <s v="model"/>
    <b v="0"/>
    <s v="REFRIGERANT: R-410A"/>
    <x v="2"/>
    <x v="0"/>
    <m/>
    <m/>
    <m/>
    <m/>
    <n v="0"/>
    <s v="CO2E"/>
    <n v="2841.3059880000001"/>
    <n v="2088"/>
    <s v="KG"/>
    <n v="0.45359291000000002"/>
    <n v="1.36077873"/>
    <s v="AR4"/>
    <s v="IPCC"/>
    <s v="IPCC (2021)"/>
    <n v="2022"/>
    <n v="2007"/>
    <n v="2.8413059880000002"/>
    <n v="0"/>
    <x v="15"/>
    <s v="Office"/>
  </r>
  <r>
    <n v="283983"/>
    <s v="Top of Hierarchy &gt; North America &gt; Vantage_Gurnee"/>
    <x v="0"/>
    <x v="0"/>
    <d v="2022-01-01T00:00:00"/>
    <d v="2022-12-31T00:00:00"/>
    <x v="4"/>
    <d v="2022-01-01T00:00:00"/>
    <d v="2022-12-31T00:00:00"/>
    <s v="R410A"/>
    <n v="3"/>
    <s v="pounds"/>
    <x v="1"/>
    <m/>
    <s v="2023-04-28, 18:41"/>
    <s v="2023-07-20, 00:40"/>
    <n v="2022"/>
    <s v="r410a"/>
    <s v="R410A"/>
    <s v="model"/>
    <b v="0"/>
    <s v="REFRIGERANT: R-410A"/>
    <x v="2"/>
    <x v="0"/>
    <m/>
    <m/>
    <m/>
    <m/>
    <n v="1"/>
    <s v="CO2E"/>
    <n v="2841.3059880000001"/>
    <n v="2088"/>
    <s v="KG"/>
    <n v="0.45359291000000002"/>
    <n v="1.36077873"/>
    <s v="AR4"/>
    <s v="IPCC"/>
    <s v="IPCC (2021)"/>
    <n v="2022"/>
    <n v="2007"/>
    <n v="0"/>
    <n v="2.8413059880000002"/>
    <x v="15"/>
    <s v="Office"/>
  </r>
  <r>
    <n v="291080"/>
    <s v="Top of Hierarchy &gt; North America &gt; Vantage_Gurnee"/>
    <x v="0"/>
    <x v="0"/>
    <d v="2022-01-01T00:00:00"/>
    <d v="2022-12-31T00:00:00"/>
    <x v="2"/>
    <d v="2022-01-01T00:00:00"/>
    <d v="2022-12-31T00:00:00"/>
    <s v="Propane"/>
    <n v="31840"/>
    <s v="pounds"/>
    <x v="1"/>
    <m/>
    <s v="2023-05-03, 20:31"/>
    <s v="2023-07-20, 00:40"/>
    <n v="2022"/>
    <s v="propane"/>
    <s v="Propane"/>
    <s v="model"/>
    <b v="0"/>
    <s v="FUELS; GASEOUS FUELS; PROPANE"/>
    <x v="2"/>
    <x v="0"/>
    <m/>
    <m/>
    <m/>
    <m/>
    <n v="0"/>
    <s v="CH4"/>
    <n v="33.361725939999999"/>
    <n v="2.31"/>
    <s v="TONNES"/>
    <n v="4.5359000000000003E-4"/>
    <n v="14.442305599999999"/>
    <s v="AR4"/>
    <s v="Defra"/>
    <s v="Defra (2022)"/>
    <n v="2022"/>
    <n v="2020"/>
    <n v="0"/>
    <n v="0"/>
    <x v="15"/>
    <s v="Office"/>
  </r>
  <r>
    <n v="291080"/>
    <s v="Top of Hierarchy &gt; North America &gt; Vantage_Gurnee"/>
    <x v="0"/>
    <x v="0"/>
    <d v="2022-01-01T00:00:00"/>
    <d v="2022-12-31T00:00:00"/>
    <x v="2"/>
    <d v="2022-01-01T00:00:00"/>
    <d v="2022-12-31T00:00:00"/>
    <s v="Propane"/>
    <n v="31840"/>
    <s v="pounds"/>
    <x v="1"/>
    <m/>
    <s v="2023-05-03, 20:31"/>
    <s v="2023-07-20, 00:40"/>
    <n v="2022"/>
    <s v="propane"/>
    <s v="Propane"/>
    <s v="model"/>
    <b v="0"/>
    <s v="FUELS; GASEOUS FUELS; PROPANE"/>
    <x v="2"/>
    <x v="0"/>
    <m/>
    <m/>
    <m/>
    <m/>
    <n v="0"/>
    <s v="CO2"/>
    <n v="43231.597580000001"/>
    <n v="2993.4"/>
    <s v="TONNES"/>
    <n v="4.5359000000000003E-4"/>
    <n v="14.442305599999999"/>
    <s v="AR4"/>
    <s v="Defra"/>
    <s v="Defra (2022)"/>
    <n v="2022"/>
    <n v="2020"/>
    <n v="0"/>
    <n v="0"/>
    <x v="15"/>
    <s v="Office"/>
  </r>
  <r>
    <n v="291080"/>
    <s v="Top of Hierarchy &gt; North America &gt; Vantage_Gurnee"/>
    <x v="0"/>
    <x v="0"/>
    <d v="2022-01-01T00:00:00"/>
    <d v="2022-12-31T00:00:00"/>
    <x v="2"/>
    <d v="2022-01-01T00:00:00"/>
    <d v="2022-12-31T00:00:00"/>
    <s v="Propane"/>
    <n v="31840"/>
    <s v="pounds"/>
    <x v="1"/>
    <m/>
    <s v="2023-05-03, 20:31"/>
    <s v="2023-07-20, 00:40"/>
    <n v="2022"/>
    <s v="propane"/>
    <s v="Propane"/>
    <s v="model"/>
    <b v="0"/>
    <s v="FUELS; GASEOUS FUELS; PROPANE"/>
    <x v="2"/>
    <x v="0"/>
    <m/>
    <m/>
    <m/>
    <m/>
    <n v="0"/>
    <s v="CO2E"/>
    <n v="43291.67757"/>
    <n v="2997.56"/>
    <s v="TONNES"/>
    <n v="4.5359000000000003E-4"/>
    <n v="14.442305599999999"/>
    <s v="AR4"/>
    <s v="Defra"/>
    <s v="Defra (2022)"/>
    <n v="2022"/>
    <n v="2020"/>
    <n v="43.291677569999997"/>
    <n v="0"/>
    <x v="15"/>
    <s v="Office"/>
  </r>
  <r>
    <n v="291080"/>
    <s v="Top of Hierarchy &gt; North America &gt; Vantage_Gurnee"/>
    <x v="0"/>
    <x v="0"/>
    <d v="2022-01-01T00:00:00"/>
    <d v="2022-12-31T00:00:00"/>
    <x v="2"/>
    <d v="2022-01-01T00:00:00"/>
    <d v="2022-12-31T00:00:00"/>
    <s v="Propane"/>
    <n v="31840"/>
    <s v="pounds"/>
    <x v="1"/>
    <m/>
    <s v="2023-05-03, 20:31"/>
    <s v="2023-07-20, 00:40"/>
    <n v="2022"/>
    <s v="propane"/>
    <s v="Propane"/>
    <s v="model"/>
    <b v="0"/>
    <s v="FUELS; GASEOUS FUELS; PROPANE"/>
    <x v="2"/>
    <x v="0"/>
    <m/>
    <m/>
    <m/>
    <m/>
    <n v="0"/>
    <s v="N2O"/>
    <n v="26.71826536"/>
    <n v="1.85"/>
    <s v="TONNES"/>
    <n v="4.5359000000000003E-4"/>
    <n v="14.442305599999999"/>
    <s v="AR4"/>
    <s v="Defra"/>
    <s v="Defra (2022)"/>
    <n v="2022"/>
    <n v="2020"/>
    <n v="0"/>
    <n v="0"/>
    <x v="15"/>
    <s v="Office"/>
  </r>
  <r>
    <n v="291080"/>
    <s v="Top of Hierarchy &gt; North America &gt; Vantage_Gurnee"/>
    <x v="0"/>
    <x v="0"/>
    <d v="2022-01-01T00:00:00"/>
    <d v="2022-12-31T00:00:00"/>
    <x v="2"/>
    <d v="2022-01-01T00:00:00"/>
    <d v="2022-12-31T00:00:00"/>
    <s v="Propane"/>
    <n v="31840"/>
    <s v="pounds"/>
    <x v="1"/>
    <m/>
    <s v="2023-05-03, 20:31"/>
    <s v="2023-07-20, 00:40"/>
    <n v="2022"/>
    <s v="propane"/>
    <s v="Propane"/>
    <s v="model"/>
    <b v="0"/>
    <s v="FUELS; GASEOUS FUELS; PROPANE"/>
    <x v="2"/>
    <x v="0"/>
    <m/>
    <m/>
    <m/>
    <m/>
    <n v="1"/>
    <s v="CH4"/>
    <n v="33.361725939999999"/>
    <n v="2.31"/>
    <s v="TONNES"/>
    <n v="4.5359000000000003E-4"/>
    <n v="14.442305599999999"/>
    <s v="AR4"/>
    <s v="Defra"/>
    <s v="Defra (2022)"/>
    <n v="2022"/>
    <n v="2020"/>
    <n v="0"/>
    <n v="0"/>
    <x v="15"/>
    <s v="Office"/>
  </r>
  <r>
    <n v="291080"/>
    <s v="Top of Hierarchy &gt; North America &gt; Vantage_Gurnee"/>
    <x v="0"/>
    <x v="0"/>
    <d v="2022-01-01T00:00:00"/>
    <d v="2022-12-31T00:00:00"/>
    <x v="2"/>
    <d v="2022-01-01T00:00:00"/>
    <d v="2022-12-31T00:00:00"/>
    <s v="Propane"/>
    <n v="31840"/>
    <s v="pounds"/>
    <x v="1"/>
    <m/>
    <s v="2023-05-03, 20:31"/>
    <s v="2023-07-20, 00:40"/>
    <n v="2022"/>
    <s v="propane"/>
    <s v="Propane"/>
    <s v="model"/>
    <b v="0"/>
    <s v="FUELS; GASEOUS FUELS; PROPANE"/>
    <x v="2"/>
    <x v="0"/>
    <m/>
    <m/>
    <m/>
    <m/>
    <n v="1"/>
    <s v="CO2"/>
    <n v="43231.597580000001"/>
    <n v="2993.4"/>
    <s v="TONNES"/>
    <n v="4.5359000000000003E-4"/>
    <n v="14.442305599999999"/>
    <s v="AR4"/>
    <s v="Defra"/>
    <s v="Defra (2022)"/>
    <n v="2022"/>
    <n v="2020"/>
    <n v="0"/>
    <n v="0"/>
    <x v="15"/>
    <s v="Office"/>
  </r>
  <r>
    <n v="291080"/>
    <s v="Top of Hierarchy &gt; North America &gt; Vantage_Gurnee"/>
    <x v="0"/>
    <x v="0"/>
    <d v="2022-01-01T00:00:00"/>
    <d v="2022-12-31T00:00:00"/>
    <x v="2"/>
    <d v="2022-01-01T00:00:00"/>
    <d v="2022-12-31T00:00:00"/>
    <s v="Propane"/>
    <n v="31840"/>
    <s v="pounds"/>
    <x v="1"/>
    <m/>
    <s v="2023-05-03, 20:31"/>
    <s v="2023-07-20, 00:40"/>
    <n v="2022"/>
    <s v="propane"/>
    <s v="Propane"/>
    <s v="model"/>
    <b v="0"/>
    <s v="FUELS; GASEOUS FUELS; PROPANE"/>
    <x v="2"/>
    <x v="0"/>
    <m/>
    <m/>
    <m/>
    <m/>
    <n v="1"/>
    <s v="CO2E"/>
    <n v="43291.67757"/>
    <n v="2997.56"/>
    <s v="TONNES"/>
    <n v="4.5359000000000003E-4"/>
    <n v="14.442305599999999"/>
    <s v="AR4"/>
    <s v="Defra"/>
    <s v="Defra (2022)"/>
    <n v="2022"/>
    <n v="2020"/>
    <n v="0"/>
    <n v="43.291677569999997"/>
    <x v="15"/>
    <s v="Office"/>
  </r>
  <r>
    <n v="291080"/>
    <s v="Top of Hierarchy &gt; North America &gt; Vantage_Gurnee"/>
    <x v="0"/>
    <x v="0"/>
    <d v="2022-01-01T00:00:00"/>
    <d v="2022-12-31T00:00:00"/>
    <x v="2"/>
    <d v="2022-01-01T00:00:00"/>
    <d v="2022-12-31T00:00:00"/>
    <s v="Propane"/>
    <n v="31840"/>
    <s v="pounds"/>
    <x v="1"/>
    <m/>
    <s v="2023-05-03, 20:31"/>
    <s v="2023-07-20, 00:40"/>
    <n v="2022"/>
    <s v="propane"/>
    <s v="Propane"/>
    <s v="model"/>
    <b v="0"/>
    <s v="FUELS; GASEOUS FUELS; PROPANE"/>
    <x v="2"/>
    <x v="0"/>
    <m/>
    <m/>
    <m/>
    <m/>
    <n v="1"/>
    <s v="N2O"/>
    <n v="26.71826536"/>
    <n v="1.85"/>
    <s v="TONNES"/>
    <n v="4.5359000000000003E-4"/>
    <n v="14.442305599999999"/>
    <s v="AR4"/>
    <s v="Defra"/>
    <s v="Defra (2022)"/>
    <n v="2022"/>
    <n v="2020"/>
    <n v="0"/>
    <n v="0"/>
    <x v="15"/>
    <s v="Office"/>
  </r>
  <r>
    <n v="291080"/>
    <s v="Top of Hierarchy &gt; North America &gt; Vantage_Gurnee"/>
    <x v="0"/>
    <x v="0"/>
    <d v="2022-01-01T00:00:00"/>
    <d v="2022-12-31T00:00:00"/>
    <x v="2"/>
    <d v="2022-01-01T00:00:00"/>
    <d v="2022-12-31T00:00:00"/>
    <s v="Propane"/>
    <n v="31840"/>
    <s v="pounds"/>
    <x v="1"/>
    <m/>
    <s v="2023-05-03, 20:31"/>
    <s v="2023-07-20, 00:40"/>
    <n v="2022"/>
    <s v="propane__wtt"/>
    <s v="Propane WTT"/>
    <s v="wtt"/>
    <b v="0"/>
    <s v="WTT- FUELS; GASEOUS FUELS; PROPANE"/>
    <x v="1"/>
    <x v="1"/>
    <m/>
    <m/>
    <m/>
    <m/>
    <n v="0"/>
    <s v="CO2E"/>
    <n v="5061.3865859999996"/>
    <n v="350.45558"/>
    <s v="TONNES"/>
    <n v="4.5359000000000003E-4"/>
    <n v="14.442305599999999"/>
    <s v="AR4"/>
    <s v="Defra"/>
    <s v="Defra (2022)"/>
    <n v="2022"/>
    <n v="2020"/>
    <n v="5.0613865859999994"/>
    <n v="0"/>
    <x v="15"/>
    <s v="Office"/>
  </r>
  <r>
    <n v="291080"/>
    <s v="Top of Hierarchy &gt; North America &gt; Vantage_Gurnee"/>
    <x v="0"/>
    <x v="0"/>
    <d v="2022-01-01T00:00:00"/>
    <d v="2022-12-31T00:00:00"/>
    <x v="2"/>
    <d v="2022-01-01T00:00:00"/>
    <d v="2022-12-31T00:00:00"/>
    <s v="Propane"/>
    <n v="31840"/>
    <s v="pounds"/>
    <x v="1"/>
    <m/>
    <s v="2023-05-03, 20:31"/>
    <s v="2023-07-20, 00:40"/>
    <n v="2022"/>
    <s v="propane__wtt"/>
    <s v="Propane WTT"/>
    <s v="wtt"/>
    <b v="0"/>
    <s v="WTT- FUELS; GASEOUS FUELS; PROPANE"/>
    <x v="1"/>
    <x v="1"/>
    <m/>
    <m/>
    <m/>
    <m/>
    <n v="1"/>
    <s v="CO2E"/>
    <n v="5061.3865859999996"/>
    <n v="350.45558"/>
    <s v="TONNES"/>
    <n v="4.5359000000000003E-4"/>
    <n v="14.442305599999999"/>
    <s v="AR4"/>
    <s v="Defra"/>
    <s v="Defra (2022)"/>
    <n v="2022"/>
    <n v="2020"/>
    <n v="0"/>
    <n v="5.0613865859999994"/>
    <x v="15"/>
    <s v="Office"/>
  </r>
  <r>
    <n v="4952"/>
    <s v="Top of Hierarchy &gt; North America &gt; Vantage_Gurnee"/>
    <x v="0"/>
    <x v="1"/>
    <d v="2021-01-01T00:00:00"/>
    <d v="2021-12-31T00:00:00"/>
    <x v="0"/>
    <d v="2021-01-01T00:00:00"/>
    <d v="2021-12-31T00:00:00"/>
    <s v="Electricity (non-renewable)"/>
    <n v="15039084"/>
    <s v="Kilowatt hours"/>
    <x v="1"/>
    <m/>
    <s v="2023-02-27, 16:27"/>
    <s v="2023-07-20, 00:40"/>
    <n v="2021"/>
    <s v="electricity"/>
    <s v="Electricity"/>
    <s v="model"/>
    <b v="0"/>
    <s v="ELECTRICITY; UNITED STATES - SRMW"/>
    <x v="0"/>
    <x v="0"/>
    <s v="Americas"/>
    <s v="Northern America"/>
    <s v="US"/>
    <s v="SRMW"/>
    <n v="0"/>
    <s v="CH4"/>
    <n v="28821.31811"/>
    <n v="1.916428E-3"/>
    <s v="KWH"/>
    <n v="1"/>
    <n v="15039084"/>
    <s v="AR4"/>
    <s v="USEPA"/>
    <s v="USEPA (2021)"/>
    <n v="2021"/>
    <n v="2019"/>
    <n v="0"/>
    <n v="0"/>
    <x v="15"/>
    <s v="Office"/>
  </r>
  <r>
    <n v="4952"/>
    <s v="Top of Hierarchy &gt; North America &gt; Vantage_Gurnee"/>
    <x v="0"/>
    <x v="1"/>
    <d v="2021-01-01T00:00:00"/>
    <d v="2021-12-31T00:00:00"/>
    <x v="0"/>
    <d v="2021-01-01T00:00:00"/>
    <d v="2021-12-31T00:00:00"/>
    <s v="Electricity (non-renewable)"/>
    <n v="15039084"/>
    <s v="Kilowatt hours"/>
    <x v="1"/>
    <m/>
    <s v="2023-02-27, 16:27"/>
    <s v="2023-07-20, 00:40"/>
    <n v="2021"/>
    <s v="electricity"/>
    <s v="Electricity"/>
    <s v="model"/>
    <b v="0"/>
    <s v="ELECTRICITY; UNITED STATES - SRMW"/>
    <x v="0"/>
    <x v="0"/>
    <s v="Americas"/>
    <s v="Northern America"/>
    <s v="US"/>
    <s v="SRMW"/>
    <n v="0"/>
    <s v="CO2"/>
    <n v="10808103.439999999"/>
    <n v="0.71866766900000001"/>
    <s v="KWH"/>
    <n v="1"/>
    <n v="15039084"/>
    <s v="AR4"/>
    <s v="USEPA"/>
    <s v="USEPA (2021)"/>
    <n v="2021"/>
    <n v="2019"/>
    <n v="0"/>
    <n v="0"/>
    <x v="15"/>
    <s v="Office"/>
  </r>
  <r>
    <n v="4952"/>
    <s v="Top of Hierarchy &gt; North America &gt; Vantage_Gurnee"/>
    <x v="0"/>
    <x v="1"/>
    <d v="2021-01-01T00:00:00"/>
    <d v="2021-12-31T00:00:00"/>
    <x v="0"/>
    <d v="2021-01-01T00:00:00"/>
    <d v="2021-12-31T00:00:00"/>
    <s v="Electricity (non-renewable)"/>
    <n v="15039084"/>
    <s v="Kilowatt hours"/>
    <x v="1"/>
    <m/>
    <s v="2023-02-27, 16:27"/>
    <s v="2023-07-20, 00:40"/>
    <n v="2021"/>
    <s v="electricity"/>
    <s v="Electricity"/>
    <s v="model"/>
    <b v="0"/>
    <s v="ELECTRICITY; UNITED STATES - SRMW"/>
    <x v="0"/>
    <x v="0"/>
    <s v="Americas"/>
    <s v="Northern America"/>
    <s v="US"/>
    <s v="SRMW"/>
    <n v="0"/>
    <s v="CO2E"/>
    <n v="10887745.779999999"/>
    <n v="0.72396335999999994"/>
    <s v="KWH"/>
    <n v="1"/>
    <n v="15039084"/>
    <s v="AR4"/>
    <s v="USEPA"/>
    <s v="USEPA (2021)"/>
    <n v="2021"/>
    <n v="2019"/>
    <n v="10887.745779999999"/>
    <n v="0"/>
    <x v="15"/>
    <s v="Office"/>
  </r>
  <r>
    <n v="4952"/>
    <s v="Top of Hierarchy &gt; North America &gt; Vantage_Gurnee"/>
    <x v="0"/>
    <x v="1"/>
    <d v="2021-01-01T00:00:00"/>
    <d v="2021-12-31T00:00:00"/>
    <x v="0"/>
    <d v="2021-01-01T00:00:00"/>
    <d v="2021-12-31T00:00:00"/>
    <s v="Electricity (non-renewable)"/>
    <n v="15039084"/>
    <s v="Kilowatt hours"/>
    <x v="1"/>
    <m/>
    <s v="2023-02-27, 16:27"/>
    <s v="2023-07-20, 00:40"/>
    <n v="2021"/>
    <s v="electricity"/>
    <s v="Electricity"/>
    <s v="model"/>
    <b v="0"/>
    <s v="ELECTRICITY; UNITED STATES - SRMW"/>
    <x v="0"/>
    <x v="0"/>
    <s v="Americas"/>
    <s v="Northern America"/>
    <s v="US"/>
    <s v="SRMW"/>
    <n v="0"/>
    <s v="N2O"/>
    <n v="50821.022470000004"/>
    <n v="3.379263E-3"/>
    <s v="KWH"/>
    <n v="1"/>
    <n v="15039084"/>
    <s v="AR4"/>
    <s v="USEPA"/>
    <s v="USEPA (2021)"/>
    <n v="2021"/>
    <n v="2019"/>
    <n v="0"/>
    <n v="0"/>
    <x v="15"/>
    <s v="Office"/>
  </r>
  <r>
    <n v="4952"/>
    <s v="Top of Hierarchy &gt; North America &gt; Vantage_Gurnee"/>
    <x v="0"/>
    <x v="1"/>
    <d v="2021-01-01T00:00:00"/>
    <d v="2021-12-31T00:00:00"/>
    <x v="0"/>
    <d v="2021-01-01T00:00:00"/>
    <d v="2021-12-31T00:00:00"/>
    <s v="Electricity (non-renewable)"/>
    <n v="15039084"/>
    <s v="Kilowatt hours"/>
    <x v="1"/>
    <m/>
    <s v="2023-02-27, 16:27"/>
    <s v="2023-07-20, 00:40"/>
    <n v="2021"/>
    <s v="electricity"/>
    <s v="Electricity"/>
    <s v="model"/>
    <b v="1"/>
    <s v="ELECTRICITY; UNITED STATES - SRMW"/>
    <x v="0"/>
    <x v="0"/>
    <m/>
    <m/>
    <m/>
    <m/>
    <n v="1"/>
    <s v="CO2E MKT"/>
    <n v="5752705.0800000001"/>
    <n v="0.382516986"/>
    <s v="KWH"/>
    <n v="1"/>
    <n v="15039084"/>
    <m/>
    <m/>
    <s v="Supplier"/>
    <n v="2021"/>
    <m/>
    <n v="0"/>
    <n v="5752.7050799999997"/>
    <x v="15"/>
    <s v="Office"/>
  </r>
  <r>
    <n v="4952"/>
    <s v="Top of Hierarchy &gt; North America &gt; Vantage_Gurnee"/>
    <x v="0"/>
    <x v="1"/>
    <d v="2021-01-01T00:00:00"/>
    <d v="2021-12-31T00:00:00"/>
    <x v="0"/>
    <d v="2021-01-01T00:00:00"/>
    <d v="2021-12-31T00:00:00"/>
    <s v="Electricity (non-renewable)"/>
    <n v="15039084"/>
    <s v="Kilowatt hours"/>
    <x v="1"/>
    <m/>
    <s v="2023-02-27, 16:27"/>
    <s v="2023-07-20, 00:40"/>
    <n v="2021"/>
    <s v="electricity__t+d__wtt"/>
    <s v="Electricity T&amp;D WTT"/>
    <s v="t+d_wtt"/>
    <b v="0"/>
    <s v="ELECTRICITY; UNITED STATES - SRMW; T&amp;D WTT Estimated"/>
    <x v="1"/>
    <x v="1"/>
    <s v="Americas"/>
    <s v="Northern America"/>
    <s v="US"/>
    <s v="SRMW"/>
    <n v="0"/>
    <s v="CH4"/>
    <n v="388.30135439999998"/>
    <n v="2.5819499999999999E-5"/>
    <s v="KWH"/>
    <n v="1"/>
    <n v="15039084"/>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ELECTRICITY; TRANSMISSION AND DISTRIBUTION; UNITED STATES - SRMW, USEPA to estimate the T&amp;D WTT factor."/>
    <n v="2021"/>
    <n v="2019"/>
    <n v="0"/>
    <n v="0"/>
    <x v="15"/>
    <s v="Office"/>
  </r>
  <r>
    <n v="4952"/>
    <s v="Top of Hierarchy &gt; North America &gt; Vantage_Gurnee"/>
    <x v="0"/>
    <x v="1"/>
    <d v="2021-01-01T00:00:00"/>
    <d v="2021-12-31T00:00:00"/>
    <x v="0"/>
    <d v="2021-01-01T00:00:00"/>
    <d v="2021-12-31T00:00:00"/>
    <s v="Electricity (non-renewable)"/>
    <n v="15039084"/>
    <s v="Kilowatt hours"/>
    <x v="1"/>
    <m/>
    <s v="2023-02-27, 16:27"/>
    <s v="2023-07-20, 00:40"/>
    <n v="2021"/>
    <s v="electricity__t+d__wtt"/>
    <s v="Electricity T&amp;D WTT"/>
    <s v="t+d_wtt"/>
    <b v="0"/>
    <s v="ELECTRICITY; UNITED STATES - SRMW; T&amp;D WTT Estimated"/>
    <x v="1"/>
    <x v="1"/>
    <s v="Americas"/>
    <s v="Northern America"/>
    <s v="US"/>
    <s v="SRMW"/>
    <n v="0"/>
    <s v="CO2"/>
    <n v="145614.47839999999"/>
    <n v="9.6824029999999991E-3"/>
    <s v="KWH"/>
    <n v="1"/>
    <n v="15039084"/>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ELECTRICITY; TRANSMISSION AND DISTRIBUTION; UNITED STATES - SRMW, USEPA to estimate the T&amp;D WTT factor."/>
    <n v="2021"/>
    <n v="2019"/>
    <n v="0"/>
    <n v="0"/>
    <x v="15"/>
    <s v="Office"/>
  </r>
  <r>
    <n v="4952"/>
    <s v="Top of Hierarchy &gt; North America &gt; Vantage_Gurnee"/>
    <x v="0"/>
    <x v="1"/>
    <d v="2021-01-01T00:00:00"/>
    <d v="2021-12-31T00:00:00"/>
    <x v="0"/>
    <d v="2021-01-01T00:00:00"/>
    <d v="2021-12-31T00:00:00"/>
    <s v="Electricity (non-renewable)"/>
    <n v="15039084"/>
    <s v="Kilowatt hours"/>
    <x v="1"/>
    <m/>
    <s v="2023-02-27, 16:27"/>
    <s v="2023-07-20, 00:40"/>
    <n v="2021"/>
    <s v="electricity__t+d__wtt"/>
    <s v="Electricity T&amp;D WTT"/>
    <s v="t+d_wtt"/>
    <b v="0"/>
    <s v="ELECTRICITY; UNITED STATES - SRMW; T&amp;D WTT Estimated"/>
    <x v="1"/>
    <x v="1"/>
    <s v="Americas"/>
    <s v="Northern America"/>
    <s v="US"/>
    <s v="SRMW"/>
    <n v="0"/>
    <s v="CO2E"/>
    <n v="146687.4768"/>
    <n v="9.7537509999999997E-3"/>
    <s v="KWH"/>
    <n v="1"/>
    <n v="15039084"/>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ELECTRICITY; TRANSMISSION AND DISTRIBUTION; UNITED STATES - SRMW, USEPA to estimate the T&amp;D WTT factor."/>
    <n v="2021"/>
    <n v="2019"/>
    <n v="146.68747680000001"/>
    <n v="0"/>
    <x v="15"/>
    <s v="Office"/>
  </r>
  <r>
    <n v="4952"/>
    <s v="Top of Hierarchy &gt; North America &gt; Vantage_Gurnee"/>
    <x v="0"/>
    <x v="1"/>
    <d v="2021-01-01T00:00:00"/>
    <d v="2021-12-31T00:00:00"/>
    <x v="0"/>
    <d v="2021-01-01T00:00:00"/>
    <d v="2021-12-31T00:00:00"/>
    <s v="Electricity (non-renewable)"/>
    <n v="15039084"/>
    <s v="Kilowatt hours"/>
    <x v="1"/>
    <m/>
    <s v="2023-02-27, 16:27"/>
    <s v="2023-07-20, 00:40"/>
    <n v="2021"/>
    <s v="electricity__t+d__wtt"/>
    <s v="Electricity T&amp;D WTT"/>
    <s v="t+d_wtt"/>
    <b v="0"/>
    <s v="ELECTRICITY; UNITED STATES - SRMW; T&amp;D WTT Estimated"/>
    <x v="1"/>
    <x v="1"/>
    <s v="Americas"/>
    <s v="Northern America"/>
    <s v="US"/>
    <s v="SRMW"/>
    <n v="0"/>
    <s v="N2O"/>
    <n v="684.69706269999995"/>
    <n v="4.5527800000000001E-5"/>
    <s v="KWH"/>
    <n v="1"/>
    <n v="15039084"/>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ELECTRICITY; TRANSMISSION AND DISTRIBUTION; UNITED STATES - SRMW, USEPA to estimate the T&amp;D WTT factor."/>
    <n v="2021"/>
    <n v="2019"/>
    <n v="0"/>
    <n v="0"/>
    <x v="15"/>
    <s v="Office"/>
  </r>
  <r>
    <n v="4952"/>
    <s v="Top of Hierarchy &gt; North America &gt; Vantage_Gurnee"/>
    <x v="0"/>
    <x v="1"/>
    <d v="2021-01-01T00:00:00"/>
    <d v="2021-12-31T00:00:00"/>
    <x v="0"/>
    <d v="2021-01-01T00:00:00"/>
    <d v="2021-12-31T00:00:00"/>
    <s v="Electricity (non-renewable)"/>
    <n v="15039084"/>
    <s v="Kilowatt hours"/>
    <x v="1"/>
    <m/>
    <s v="2023-02-27, 16:27"/>
    <s v="2023-07-20, 00:40"/>
    <n v="2021"/>
    <s v="electricity__t+d__wtt"/>
    <s v="Electricity T&amp;D WTT"/>
    <s v="t+d_wtt"/>
    <b v="0"/>
    <s v="ELECTRICITY; UNITED STATES - SRMW; T&amp;D WTT Estimated"/>
    <x v="1"/>
    <x v="1"/>
    <s v="Americas"/>
    <s v="Northern America"/>
    <s v="US"/>
    <s v="SRMW"/>
    <n v="1"/>
    <s v="CO2E MKT"/>
    <n v="146338.603"/>
    <n v="9.7305529999999994E-3"/>
    <s v="KWH"/>
    <n v="1"/>
    <n v="15039084"/>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  to estimate the T&amp;D WTT factor."/>
    <n v="2021"/>
    <n v="2019"/>
    <n v="0"/>
    <n v="146.33860300000001"/>
    <x v="15"/>
    <s v="Office"/>
  </r>
  <r>
    <n v="4952"/>
    <s v="Top of Hierarchy &gt; North America &gt; Vantage_Gurnee"/>
    <x v="0"/>
    <x v="1"/>
    <d v="2021-01-01T00:00:00"/>
    <d v="2021-12-31T00:00:00"/>
    <x v="0"/>
    <d v="2021-01-01T00:00:00"/>
    <d v="2021-12-31T00:00:00"/>
    <s v="Electricity (non-renewable)"/>
    <n v="15039084"/>
    <s v="Kilowatt hours"/>
    <x v="1"/>
    <m/>
    <s v="2023-02-27, 16:27"/>
    <s v="2023-07-20, 00:40"/>
    <n v="2021"/>
    <s v="electricity__wtt"/>
    <s v="Electricity WTT"/>
    <s v="wtt"/>
    <b v="0"/>
    <s v="ELECTRICITY; UNITED STATES - SRMW; WTT Estimated"/>
    <x v="1"/>
    <x v="1"/>
    <s v="Americas"/>
    <s v="Northern America"/>
    <s v="US"/>
    <s v="SRMW"/>
    <n v="0"/>
    <s v="CH4"/>
    <n v="7613.7520469999999"/>
    <n v="5.0626399999999998E-4"/>
    <s v="KWH"/>
    <n v="1"/>
    <n v="15039084"/>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SRMW, USEPAto estimate the WTT factor."/>
    <n v="2021"/>
    <n v="2019"/>
    <n v="0"/>
    <n v="0"/>
    <x v="15"/>
    <s v="Office"/>
  </r>
  <r>
    <n v="4952"/>
    <s v="Top of Hierarchy &gt; North America &gt; Vantage_Gurnee"/>
    <x v="0"/>
    <x v="1"/>
    <d v="2021-01-01T00:00:00"/>
    <d v="2021-12-31T00:00:00"/>
    <x v="0"/>
    <d v="2021-01-01T00:00:00"/>
    <d v="2021-12-31T00:00:00"/>
    <s v="Electricity (non-renewable)"/>
    <n v="15039084"/>
    <s v="Kilowatt hours"/>
    <x v="1"/>
    <m/>
    <s v="2023-02-27, 16:27"/>
    <s v="2023-07-20, 00:40"/>
    <n v="2021"/>
    <s v="electricity__wtt"/>
    <s v="Electricity WTT"/>
    <s v="wtt"/>
    <b v="0"/>
    <s v="ELECTRICITY; UNITED STATES - SRMW; WTT Estimated"/>
    <x v="1"/>
    <x v="1"/>
    <s v="Americas"/>
    <s v="Northern America"/>
    <s v="US"/>
    <s v="SRMW"/>
    <n v="0"/>
    <s v="CO2"/>
    <n v="2855185.8509999998"/>
    <n v="0.189851047"/>
    <s v="KWH"/>
    <n v="1"/>
    <n v="15039084"/>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SRMW, USEPAto estimate the WTT factor."/>
    <n v="2021"/>
    <n v="2019"/>
    <n v="0"/>
    <n v="0"/>
    <x v="15"/>
    <s v="Office"/>
  </r>
  <r>
    <n v="4952"/>
    <s v="Top of Hierarchy &gt; North America &gt; Vantage_Gurnee"/>
    <x v="0"/>
    <x v="1"/>
    <d v="2021-01-01T00:00:00"/>
    <d v="2021-12-31T00:00:00"/>
    <x v="0"/>
    <d v="2021-01-01T00:00:00"/>
    <d v="2021-12-31T00:00:00"/>
    <s v="Electricity (non-renewable)"/>
    <n v="15039084"/>
    <s v="Kilowatt hours"/>
    <x v="1"/>
    <m/>
    <s v="2023-02-27, 16:27"/>
    <s v="2023-07-20, 00:40"/>
    <n v="2021"/>
    <s v="electricity__wtt"/>
    <s v="Electricity WTT"/>
    <s v="wtt"/>
    <b v="0"/>
    <s v="ELECTRICITY; UNITED STATES - SRMW; WTT Estimated"/>
    <x v="1"/>
    <x v="1"/>
    <s v="Americas"/>
    <s v="Northern America"/>
    <s v="US"/>
    <s v="SRMW"/>
    <n v="0"/>
    <s v="CO2E"/>
    <n v="2876225.0350000001"/>
    <n v="0.191250015"/>
    <s v="KWH"/>
    <n v="1"/>
    <n v="15039084"/>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SRMW, USEPAto estimate the WTT factor."/>
    <n v="2021"/>
    <n v="2019"/>
    <n v="2876.2250349999999"/>
    <n v="0"/>
    <x v="15"/>
    <s v="Office"/>
  </r>
  <r>
    <n v="4952"/>
    <s v="Top of Hierarchy &gt; North America &gt; Vantage_Gurnee"/>
    <x v="0"/>
    <x v="1"/>
    <d v="2021-01-01T00:00:00"/>
    <d v="2021-12-31T00:00:00"/>
    <x v="0"/>
    <d v="2021-01-01T00:00:00"/>
    <d v="2021-12-31T00:00:00"/>
    <s v="Electricity (non-renewable)"/>
    <n v="15039084"/>
    <s v="Kilowatt hours"/>
    <x v="1"/>
    <m/>
    <s v="2023-02-27, 16:27"/>
    <s v="2023-07-20, 00:40"/>
    <n v="2021"/>
    <s v="electricity__wtt"/>
    <s v="Electricity WTT"/>
    <s v="wtt"/>
    <b v="0"/>
    <s v="ELECTRICITY; UNITED STATES - SRMW; WTT Estimated"/>
    <x v="1"/>
    <x v="1"/>
    <s v="Americas"/>
    <s v="Northern America"/>
    <s v="US"/>
    <s v="SRMW"/>
    <n v="0"/>
    <s v="N2O"/>
    <n v="13425.4326"/>
    <n v="8.9270300000000001E-4"/>
    <s v="KWH"/>
    <n v="1"/>
    <n v="15039084"/>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SRMW, USEPAto estimate the WTT factor."/>
    <n v="2021"/>
    <n v="2019"/>
    <n v="0"/>
    <n v="0"/>
    <x v="15"/>
    <s v="Office"/>
  </r>
  <r>
    <n v="4952"/>
    <s v="Top of Hierarchy &gt; North America &gt; Vantage_Gurnee"/>
    <x v="0"/>
    <x v="1"/>
    <d v="2021-01-01T00:00:00"/>
    <d v="2021-12-31T00:00:00"/>
    <x v="0"/>
    <d v="2021-01-01T00:00:00"/>
    <d v="2021-12-31T00:00:00"/>
    <s v="Electricity (non-renewable)"/>
    <n v="15039084"/>
    <s v="Kilowatt hours"/>
    <x v="1"/>
    <m/>
    <s v="2023-02-27, 16:27"/>
    <s v="2023-07-20, 00:40"/>
    <n v="2021"/>
    <s v="electricity__wtt"/>
    <s v="Electricity WTT"/>
    <s v="wtt"/>
    <b v="0"/>
    <s v="ELECTRICITY; UNITED STATES - SRMW; WTT Estimated"/>
    <x v="1"/>
    <x v="1"/>
    <s v="Americas"/>
    <s v="Northern America"/>
    <s v="US"/>
    <s v="SRMW"/>
    <n v="1"/>
    <s v="CO2E MKT"/>
    <n v="2869384.372"/>
    <n v="0.19079515599999999"/>
    <s v="KWH"/>
    <n v="1"/>
    <n v="15039084"/>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SRMW, Green-eto estimate the WTT factor."/>
    <n v="2021"/>
    <n v="2019"/>
    <n v="0"/>
    <n v="2869.384372"/>
    <x v="15"/>
    <s v="Office"/>
  </r>
  <r>
    <n v="4952"/>
    <s v="Top of Hierarchy &gt; North America &gt; Vantage_Gurnee"/>
    <x v="0"/>
    <x v="1"/>
    <d v="2021-01-01T00:00:00"/>
    <d v="2021-12-31T00:00:00"/>
    <x v="0"/>
    <d v="2021-01-01T00:00:00"/>
    <d v="2021-12-31T00:00:00"/>
    <s v="Electricity (non-renewable)"/>
    <n v="15039084"/>
    <s v="Kilowatt hours"/>
    <x v="1"/>
    <m/>
    <s v="2023-02-27, 16:27"/>
    <s v="2023-07-20, 00:40"/>
    <n v="2021"/>
    <s v="electricity__t+d"/>
    <s v="Electricity T&amp;D"/>
    <s v="t+d"/>
    <b v="0"/>
    <s v="ELECTRICITY; TRANSMISSION AND DISTRIBUTION; UNITED STATES - SRMW"/>
    <x v="1"/>
    <x v="1"/>
    <s v="Americas"/>
    <s v="Northern America"/>
    <s v="US"/>
    <s v="SRMW"/>
    <n v="0"/>
    <s v="CO2E"/>
    <n v="555275.03469999996"/>
    <n v="3.6922130999999997E-2"/>
    <s v="KWH"/>
    <n v="1"/>
    <n v="15039084"/>
    <s v="AR4"/>
    <s v="USEPA"/>
    <s v="USEPA (2021)"/>
    <n v="2021"/>
    <n v="2019"/>
    <n v="555.27503469999999"/>
    <n v="0"/>
    <x v="15"/>
    <s v="Office"/>
  </r>
  <r>
    <n v="4952"/>
    <s v="Top of Hierarchy &gt; North America &gt; Vantage_Gurnee"/>
    <x v="0"/>
    <x v="1"/>
    <d v="2021-01-01T00:00:00"/>
    <d v="2021-12-31T00:00:00"/>
    <x v="0"/>
    <d v="2021-01-01T00:00:00"/>
    <d v="2021-12-31T00:00:00"/>
    <s v="Electricity (non-renewable)"/>
    <n v="15039084"/>
    <s v="Kilowatt hours"/>
    <x v="1"/>
    <m/>
    <s v="2023-02-27, 16:27"/>
    <s v="2023-07-20, 00:40"/>
    <n v="2021"/>
    <s v="electricity__t+d"/>
    <s v="Electricity T&amp;D"/>
    <s v="t+d"/>
    <b v="0"/>
    <s v="ELECTRICITY; UNITED STATES - SRMW; T&amp;D Estimated"/>
    <x v="1"/>
    <x v="1"/>
    <s v="Americas"/>
    <s v="Northern America"/>
    <s v="US"/>
    <s v="SRMW"/>
    <n v="1"/>
    <s v="CO2E MKT"/>
    <n v="553954.39760000003"/>
    <n v="3.6834317999999998E-2"/>
    <s v="KWH"/>
    <n v="1"/>
    <n v="15039084"/>
    <s v="AR4"/>
    <s v="Anthesis"/>
    <s v="The median T&amp;D to generation factor ratio of all countries within the region Northern America was taken to be ELECTRICITY; UNITED STATES - SRSO, USEPA to ELECTRICITY; TRANSMISSION AND DISTRIBUTION; UNITED STATES - SRSO, USEPA: 0.051. This was applied to the base factor ELECTRICITY; UNITED STATES - SRMW, Green-eto estimate the T&amp;D factor."/>
    <n v="2021"/>
    <n v="2019"/>
    <n v="0"/>
    <n v="553.95439759999999"/>
    <x v="15"/>
    <s v="Office"/>
  </r>
  <r>
    <n v="4979"/>
    <s v="Top of Hierarchy &gt; North America &gt; Vantage_Gurnee"/>
    <x v="0"/>
    <x v="1"/>
    <d v="2021-01-01T00:00:00"/>
    <d v="2021-12-31T00:00:00"/>
    <x v="3"/>
    <d v="2021-01-01T00:00:00"/>
    <d v="2021-12-31T00:00:00"/>
    <s v="Natural gas"/>
    <n v="2279211"/>
    <s v="Hundred Thousand BTUs"/>
    <x v="1"/>
    <m/>
    <s v="2023-02-27, 16:27"/>
    <s v="2023-07-20, 00:40"/>
    <n v="2021"/>
    <s v="natural_gas"/>
    <s v="Natural Gas"/>
    <s v="model"/>
    <b v="0"/>
    <s v="NATURAL GAS, NATURAL GAS"/>
    <x v="2"/>
    <x v="0"/>
    <s v="Americas"/>
    <s v="Northern America"/>
    <s v="US"/>
    <m/>
    <n v="0"/>
    <s v="CH4"/>
    <n v="5698.0275000000001"/>
    <n v="2.5000000000000001E-2"/>
    <s v="MMBTU"/>
    <n v="0.1"/>
    <n v="227921.1"/>
    <s v="AR4"/>
    <s v="USEPA"/>
    <s v="USEPA (2021)"/>
    <n v="2021"/>
    <n v="2021"/>
    <n v="0"/>
    <n v="0"/>
    <x v="15"/>
    <s v="Office"/>
  </r>
  <r>
    <n v="4979"/>
    <s v="Top of Hierarchy &gt; North America &gt; Vantage_Gurnee"/>
    <x v="0"/>
    <x v="1"/>
    <d v="2021-01-01T00:00:00"/>
    <d v="2021-12-31T00:00:00"/>
    <x v="3"/>
    <d v="2021-01-01T00:00:00"/>
    <d v="2021-12-31T00:00:00"/>
    <s v="Natural gas"/>
    <n v="2279211"/>
    <s v="Hundred Thousand BTUs"/>
    <x v="1"/>
    <m/>
    <s v="2023-02-27, 16:27"/>
    <s v="2023-07-20, 00:40"/>
    <n v="2021"/>
    <s v="natural_gas"/>
    <s v="Natural Gas"/>
    <s v="model"/>
    <b v="0"/>
    <s v="NATURAL GAS, NATURAL GAS"/>
    <x v="2"/>
    <x v="0"/>
    <s v="Americas"/>
    <s v="Northern America"/>
    <s v="US"/>
    <m/>
    <n v="0"/>
    <s v="CO2"/>
    <n v="12093493.57"/>
    <n v="53.06"/>
    <s v="MMBTU"/>
    <n v="0.1"/>
    <n v="227921.1"/>
    <s v="AR4"/>
    <s v="USEPA"/>
    <s v="USEPA Emission Factors Hub (Last Modified: March 2020)"/>
    <n v="2021"/>
    <n v="2020"/>
    <n v="0"/>
    <n v="0"/>
    <x v="15"/>
    <s v="Office"/>
  </r>
  <r>
    <n v="4979"/>
    <s v="Top of Hierarchy &gt; North America &gt; Vantage_Gurnee"/>
    <x v="0"/>
    <x v="1"/>
    <d v="2021-01-01T00:00:00"/>
    <d v="2021-12-31T00:00:00"/>
    <x v="3"/>
    <d v="2021-01-01T00:00:00"/>
    <d v="2021-12-31T00:00:00"/>
    <s v="Natural gas"/>
    <n v="2279211"/>
    <s v="Hundred Thousand BTUs"/>
    <x v="1"/>
    <m/>
    <s v="2023-02-27, 16:27"/>
    <s v="2023-07-20, 00:40"/>
    <n v="2021"/>
    <s v="natural_gas"/>
    <s v="Natural Gas"/>
    <s v="model"/>
    <b v="0"/>
    <s v="NATURAL GAS, NATURAL GAS"/>
    <x v="2"/>
    <x v="0"/>
    <s v="Americas"/>
    <s v="Northern America"/>
    <s v="US"/>
    <m/>
    <n v="0"/>
    <s v="CO2E"/>
    <n v="12105983.640000001"/>
    <n v="53.114800000000002"/>
    <s v="MMBTU"/>
    <n v="0.1"/>
    <n v="227921.1"/>
    <s v="AR4"/>
    <s v="USEPA"/>
    <s v="USEPA (2021)"/>
    <n v="2021"/>
    <n v="2021"/>
    <n v="12105.98364"/>
    <n v="0"/>
    <x v="15"/>
    <s v="Office"/>
  </r>
  <r>
    <n v="4979"/>
    <s v="Top of Hierarchy &gt; North America &gt; Vantage_Gurnee"/>
    <x v="0"/>
    <x v="1"/>
    <d v="2021-01-01T00:00:00"/>
    <d v="2021-12-31T00:00:00"/>
    <x v="3"/>
    <d v="2021-01-01T00:00:00"/>
    <d v="2021-12-31T00:00:00"/>
    <s v="Natural gas"/>
    <n v="2279211"/>
    <s v="Hundred Thousand BTUs"/>
    <x v="1"/>
    <m/>
    <s v="2023-02-27, 16:27"/>
    <s v="2023-07-20, 00:40"/>
    <n v="2021"/>
    <s v="natural_gas"/>
    <s v="Natural Gas"/>
    <s v="model"/>
    <b v="0"/>
    <s v="NATURAL GAS, NATURAL GAS"/>
    <x v="2"/>
    <x v="0"/>
    <s v="Americas"/>
    <s v="Northern America"/>
    <s v="US"/>
    <m/>
    <n v="0"/>
    <s v="N2O"/>
    <n v="6792.0487800000001"/>
    <n v="2.98E-2"/>
    <s v="MMBTU"/>
    <n v="0.1"/>
    <n v="227921.1"/>
    <s v="AR4"/>
    <s v="USEPA"/>
    <s v="USEPA (2021)"/>
    <n v="2021"/>
    <n v="2021"/>
    <n v="0"/>
    <n v="0"/>
    <x v="15"/>
    <s v="Office"/>
  </r>
  <r>
    <n v="4979"/>
    <s v="Top of Hierarchy &gt; North America &gt; Vantage_Gurnee"/>
    <x v="0"/>
    <x v="1"/>
    <d v="2021-01-01T00:00:00"/>
    <d v="2021-12-31T00:00:00"/>
    <x v="3"/>
    <d v="2021-01-01T00:00:00"/>
    <d v="2021-12-31T00:00:00"/>
    <s v="Natural gas"/>
    <n v="2279211"/>
    <s v="Hundred Thousand BTUs"/>
    <x v="1"/>
    <m/>
    <s v="2023-02-27, 16:27"/>
    <s v="2023-07-20, 00:40"/>
    <n v="2021"/>
    <s v="natural_gas"/>
    <s v="Natural Gas"/>
    <s v="model"/>
    <b v="0"/>
    <s v="NATURAL GAS, NATURAL GAS"/>
    <x v="2"/>
    <x v="0"/>
    <s v="Americas"/>
    <s v="Northern America"/>
    <s v="US"/>
    <m/>
    <n v="1"/>
    <s v="CH4"/>
    <n v="5698.0275000000001"/>
    <n v="2.5000000000000001E-2"/>
    <s v="MMBTU"/>
    <n v="0.1"/>
    <n v="227921.1"/>
    <s v="AR4"/>
    <s v="USEPA"/>
    <s v="USEPA (2021)"/>
    <n v="2021"/>
    <n v="2021"/>
    <n v="0"/>
    <n v="0"/>
    <x v="15"/>
    <s v="Office"/>
  </r>
  <r>
    <n v="4979"/>
    <s v="Top of Hierarchy &gt; North America &gt; Vantage_Gurnee"/>
    <x v="0"/>
    <x v="1"/>
    <d v="2021-01-01T00:00:00"/>
    <d v="2021-12-31T00:00:00"/>
    <x v="3"/>
    <d v="2021-01-01T00:00:00"/>
    <d v="2021-12-31T00:00:00"/>
    <s v="Natural gas"/>
    <n v="2279211"/>
    <s v="Hundred Thousand BTUs"/>
    <x v="1"/>
    <m/>
    <s v="2023-02-27, 16:27"/>
    <s v="2023-07-20, 00:40"/>
    <n v="2021"/>
    <s v="natural_gas"/>
    <s v="Natural Gas"/>
    <s v="model"/>
    <b v="0"/>
    <s v="NATURAL GAS, NATURAL GAS"/>
    <x v="2"/>
    <x v="0"/>
    <s v="Americas"/>
    <s v="Northern America"/>
    <s v="US"/>
    <m/>
    <n v="1"/>
    <s v="CO2"/>
    <n v="12093493.57"/>
    <n v="53.06"/>
    <s v="MMBTU"/>
    <n v="0.1"/>
    <n v="227921.1"/>
    <s v="AR4"/>
    <s v="USEPA"/>
    <s v="USEPA Emission Factors Hub (Last Modified: March 2020)"/>
    <n v="2021"/>
    <n v="2020"/>
    <n v="0"/>
    <n v="0"/>
    <x v="15"/>
    <s v="Office"/>
  </r>
  <r>
    <n v="4979"/>
    <s v="Top of Hierarchy &gt; North America &gt; Vantage_Gurnee"/>
    <x v="0"/>
    <x v="1"/>
    <d v="2021-01-01T00:00:00"/>
    <d v="2021-12-31T00:00:00"/>
    <x v="3"/>
    <d v="2021-01-01T00:00:00"/>
    <d v="2021-12-31T00:00:00"/>
    <s v="Natural gas"/>
    <n v="2279211"/>
    <s v="Hundred Thousand BTUs"/>
    <x v="1"/>
    <m/>
    <s v="2023-02-27, 16:27"/>
    <s v="2023-07-20, 00:40"/>
    <n v="2021"/>
    <s v="natural_gas"/>
    <s v="Natural Gas"/>
    <s v="model"/>
    <b v="0"/>
    <s v="NATURAL GAS, NATURAL GAS"/>
    <x v="2"/>
    <x v="0"/>
    <s v="Americas"/>
    <s v="Northern America"/>
    <s v="US"/>
    <m/>
    <n v="1"/>
    <s v="CO2E"/>
    <n v="12105983.640000001"/>
    <n v="53.114800000000002"/>
    <s v="MMBTU"/>
    <n v="0.1"/>
    <n v="227921.1"/>
    <s v="AR4"/>
    <s v="USEPA"/>
    <s v="USEPA (2021)"/>
    <n v="2021"/>
    <n v="2021"/>
    <n v="0"/>
    <n v="12105.98364"/>
    <x v="15"/>
    <s v="Office"/>
  </r>
  <r>
    <n v="4979"/>
    <s v="Top of Hierarchy &gt; North America &gt; Vantage_Gurnee"/>
    <x v="0"/>
    <x v="1"/>
    <d v="2021-01-01T00:00:00"/>
    <d v="2021-12-31T00:00:00"/>
    <x v="3"/>
    <d v="2021-01-01T00:00:00"/>
    <d v="2021-12-31T00:00:00"/>
    <s v="Natural gas"/>
    <n v="2279211"/>
    <s v="Hundred Thousand BTUs"/>
    <x v="1"/>
    <m/>
    <s v="2023-02-27, 16:27"/>
    <s v="2023-07-20, 00:40"/>
    <n v="2021"/>
    <s v="natural_gas"/>
    <s v="Natural Gas"/>
    <s v="model"/>
    <b v="0"/>
    <s v="NATURAL GAS, NATURAL GAS"/>
    <x v="2"/>
    <x v="0"/>
    <s v="Americas"/>
    <s v="Northern America"/>
    <s v="US"/>
    <m/>
    <n v="1"/>
    <s v="N2O"/>
    <n v="6792.0487800000001"/>
    <n v="2.98E-2"/>
    <s v="MMBTU"/>
    <n v="0.1"/>
    <n v="227921.1"/>
    <s v="AR4"/>
    <s v="USEPA"/>
    <s v="USEPA (2021)"/>
    <n v="2021"/>
    <n v="2021"/>
    <n v="0"/>
    <n v="0"/>
    <x v="15"/>
    <s v="Office"/>
  </r>
  <r>
    <n v="4979"/>
    <s v="Top of Hierarchy &gt; North America &gt; Vantage_Gurnee"/>
    <x v="0"/>
    <x v="1"/>
    <d v="2021-01-01T00:00:00"/>
    <d v="2021-12-31T00:00:00"/>
    <x v="3"/>
    <d v="2021-01-01T00:00:00"/>
    <d v="2021-12-31T00:00:00"/>
    <s v="Natural gas"/>
    <n v="2279211"/>
    <s v="Hundred Thousand BTUs"/>
    <x v="1"/>
    <m/>
    <s v="2023-02-27, 16:27"/>
    <s v="2023-07-20, 00:40"/>
    <n v="2021"/>
    <s v="natural_gas__wtt"/>
    <s v="Natural Gas WTT"/>
    <s v="wtt"/>
    <b v="0"/>
    <s v="WTT- FUELS; WTT- GASEOUS FUELS; NATURAL GAS"/>
    <x v="1"/>
    <x v="1"/>
    <m/>
    <m/>
    <m/>
    <m/>
    <n v="0"/>
    <s v="CO2E"/>
    <n v="2093587.8049999999"/>
    <n v="3.1350000000000003E-2"/>
    <s v="KWH (GROSS CV)"/>
    <n v="29.3001"/>
    <n v="66781110.219999999"/>
    <s v="AR4"/>
    <s v="Defra"/>
    <s v="Defra (2021)"/>
    <n v="2021"/>
    <n v="2019"/>
    <n v="2093.5878050000001"/>
    <n v="0"/>
    <x v="15"/>
    <s v="Office"/>
  </r>
  <r>
    <n v="4979"/>
    <s v="Top of Hierarchy &gt; North America &gt; Vantage_Gurnee"/>
    <x v="0"/>
    <x v="1"/>
    <d v="2021-01-01T00:00:00"/>
    <d v="2021-12-31T00:00:00"/>
    <x v="3"/>
    <d v="2021-01-01T00:00:00"/>
    <d v="2021-12-31T00:00:00"/>
    <s v="Natural gas"/>
    <n v="2279211"/>
    <s v="Hundred Thousand BTUs"/>
    <x v="1"/>
    <m/>
    <s v="2023-02-27, 16:27"/>
    <s v="2023-07-20, 00:40"/>
    <n v="2021"/>
    <s v="natural_gas__wtt"/>
    <s v="Natural Gas WTT"/>
    <s v="wtt"/>
    <b v="0"/>
    <s v="WTT- FUELS; WTT- GASEOUS FUELS; NATURAL GAS"/>
    <x v="1"/>
    <x v="1"/>
    <m/>
    <m/>
    <m/>
    <m/>
    <n v="1"/>
    <s v="CO2E"/>
    <n v="2093587.8049999999"/>
    <n v="3.1350000000000003E-2"/>
    <s v="KWH (GROSS CV)"/>
    <n v="29.3001"/>
    <n v="66781110.219999999"/>
    <s v="AR4"/>
    <s v="Defra"/>
    <s v="Defra (2021)"/>
    <n v="2021"/>
    <n v="2019"/>
    <n v="0"/>
    <n v="2093.5878050000001"/>
    <x v="15"/>
    <s v="Office"/>
  </r>
  <r>
    <n v="1208906"/>
    <s v="Top of Hierarchy &gt; North America &gt; Vantage_Gurnee"/>
    <x v="0"/>
    <x v="1"/>
    <d v="2021-01-01T00:00:00"/>
    <d v="2021-12-31T00:00:00"/>
    <x v="1"/>
    <d v="2021-01-01T00:00:00"/>
    <d v="2021-12-31T00:00:00"/>
    <s v="Diesel (average biofuel blend)"/>
    <n v="33.200000000000003"/>
    <s v="US liquid gallons"/>
    <x v="1"/>
    <m/>
    <s v="2023-07-14, 20:43"/>
    <s v="2023-07-20, 00:40"/>
    <n v="2021"/>
    <s v="diesel_avg_biofuel_blend"/>
    <s v="Diesel (Average Biofuel Blend)"/>
    <s v="model"/>
    <b v="0"/>
    <s v="PETROLEUM PRODUCTS, DISTILLATE FUEL OIL NO. 2"/>
    <x v="2"/>
    <x v="0"/>
    <s v="Americas"/>
    <s v="Northern America"/>
    <s v="US"/>
    <m/>
    <n v="0"/>
    <s v="CH4"/>
    <n v="0.34029999999999999"/>
    <n v="1.025E-2"/>
    <s v="GALLON (US LIQUID)"/>
    <n v="1"/>
    <n v="33.200000000000003"/>
    <s v="AR4"/>
    <s v="USEPA"/>
    <s v="USEPA (2021)"/>
    <n v="2021"/>
    <n v="2021"/>
    <n v="0"/>
    <n v="0"/>
    <x v="15"/>
    <s v="Office"/>
  </r>
  <r>
    <n v="1208906"/>
    <s v="Top of Hierarchy &gt; North America &gt; Vantage_Gurnee"/>
    <x v="0"/>
    <x v="1"/>
    <d v="2021-01-01T00:00:00"/>
    <d v="2021-12-31T00:00:00"/>
    <x v="1"/>
    <d v="2021-01-01T00:00:00"/>
    <d v="2021-12-31T00:00:00"/>
    <s v="Diesel (average biofuel blend)"/>
    <n v="33.200000000000003"/>
    <s v="US liquid gallons"/>
    <x v="1"/>
    <m/>
    <s v="2023-07-14, 20:43"/>
    <s v="2023-07-20, 00:40"/>
    <n v="2021"/>
    <s v="diesel_avg_biofuel_blend"/>
    <s v="Diesel (Average Biofuel Blend)"/>
    <s v="model"/>
    <b v="0"/>
    <s v="PETROLEUM PRODUCTS, DISTILLATE FUEL OIL NO. 2"/>
    <x v="2"/>
    <x v="0"/>
    <s v="Americas"/>
    <s v="Northern America"/>
    <s v="US"/>
    <m/>
    <n v="0"/>
    <s v="CO2"/>
    <n v="338.97199999999998"/>
    <n v="10.210000000000001"/>
    <s v="GALLON (US LIQUID)"/>
    <n v="1"/>
    <n v="33.200000000000003"/>
    <s v="AR4"/>
    <s v="USEPA"/>
    <s v="USEPA (2021)"/>
    <n v="2021"/>
    <n v="2021"/>
    <n v="0"/>
    <n v="0"/>
    <x v="15"/>
    <s v="Office"/>
  </r>
  <r>
    <n v="1208906"/>
    <s v="Top of Hierarchy &gt; North America &gt; Vantage_Gurnee"/>
    <x v="0"/>
    <x v="1"/>
    <d v="2021-01-01T00:00:00"/>
    <d v="2021-12-31T00:00:00"/>
    <x v="1"/>
    <d v="2021-01-01T00:00:00"/>
    <d v="2021-12-31T00:00:00"/>
    <s v="Diesel (average biofuel blend)"/>
    <n v="33.200000000000003"/>
    <s v="US liquid gallons"/>
    <x v="1"/>
    <m/>
    <s v="2023-07-14, 20:43"/>
    <s v="2023-07-20, 00:40"/>
    <n v="2021"/>
    <s v="diesel_avg_biofuel_blend"/>
    <s v="Diesel (Average Biofuel Blend)"/>
    <s v="model"/>
    <b v="0"/>
    <s v="PETROLEUM PRODUCTS, DISTILLATE FUEL OIL NO. 2"/>
    <x v="2"/>
    <x v="0"/>
    <s v="Americas"/>
    <s v="Northern America"/>
    <s v="US"/>
    <m/>
    <n v="0"/>
    <s v="CO2E"/>
    <n v="340.10378800000001"/>
    <n v="10.24409"/>
    <s v="GALLON (US LIQUID)"/>
    <n v="1"/>
    <n v="33.200000000000003"/>
    <s v="AR4"/>
    <s v="USEPA"/>
    <s v="USEPA Emission Factors Hub (Last Modified: March 2020)"/>
    <n v="2021"/>
    <n v="2020"/>
    <n v="0.34010378800000002"/>
    <n v="0"/>
    <x v="15"/>
    <s v="Office"/>
  </r>
  <r>
    <n v="1208906"/>
    <s v="Top of Hierarchy &gt; North America &gt; Vantage_Gurnee"/>
    <x v="0"/>
    <x v="1"/>
    <d v="2021-01-01T00:00:00"/>
    <d v="2021-12-31T00:00:00"/>
    <x v="1"/>
    <d v="2021-01-01T00:00:00"/>
    <d v="2021-12-31T00:00:00"/>
    <s v="Diesel (average biofuel blend)"/>
    <n v="33.200000000000003"/>
    <s v="US liquid gallons"/>
    <x v="1"/>
    <m/>
    <s v="2023-07-14, 20:43"/>
    <s v="2023-07-20, 00:40"/>
    <n v="2021"/>
    <s v="diesel_avg_biofuel_blend"/>
    <s v="Diesel (Average Biofuel Blend)"/>
    <s v="model"/>
    <b v="0"/>
    <s v="PETROLEUM PRODUCTS, DISTILLATE FUEL OIL NO. 2"/>
    <x v="2"/>
    <x v="0"/>
    <s v="Americas"/>
    <s v="Northern America"/>
    <s v="US"/>
    <m/>
    <n v="0"/>
    <s v="N2O"/>
    <n v="0.79148799999999997"/>
    <n v="2.384E-2"/>
    <s v="GALLON (US LIQUID)"/>
    <n v="1"/>
    <n v="33.200000000000003"/>
    <s v="AR4"/>
    <s v="USEPA"/>
    <s v="USEPA (2021)"/>
    <n v="2021"/>
    <n v="2021"/>
    <n v="0"/>
    <n v="0"/>
    <x v="15"/>
    <s v="Office"/>
  </r>
  <r>
    <n v="1208906"/>
    <s v="Top of Hierarchy &gt; North America &gt; Vantage_Gurnee"/>
    <x v="0"/>
    <x v="1"/>
    <d v="2021-01-01T00:00:00"/>
    <d v="2021-12-31T00:00:00"/>
    <x v="1"/>
    <d v="2021-01-01T00:00:00"/>
    <d v="2021-12-31T00:00:00"/>
    <s v="Diesel (average biofuel blend)"/>
    <n v="33.200000000000003"/>
    <s v="US liquid gallons"/>
    <x v="1"/>
    <m/>
    <s v="2023-07-14, 20:43"/>
    <s v="2023-07-20, 00:40"/>
    <n v="2021"/>
    <s v="diesel_avg_biofuel_blend"/>
    <s v="Diesel (Average Biofuel Blend)"/>
    <s v="model"/>
    <b v="0"/>
    <s v="PETROLEUM PRODUCTS, DISTILLATE FUEL OIL NO. 2"/>
    <x v="2"/>
    <x v="0"/>
    <s v="Americas"/>
    <s v="Northern America"/>
    <s v="US"/>
    <m/>
    <n v="1"/>
    <s v="CH4"/>
    <n v="0.34029999999999999"/>
    <n v="1.025E-2"/>
    <s v="GALLON (US LIQUID)"/>
    <n v="1"/>
    <n v="33.200000000000003"/>
    <s v="AR4"/>
    <s v="USEPA"/>
    <s v="USEPA (2021)"/>
    <n v="2021"/>
    <n v="2021"/>
    <n v="0"/>
    <n v="0"/>
    <x v="15"/>
    <s v="Office"/>
  </r>
  <r>
    <n v="1208906"/>
    <s v="Top of Hierarchy &gt; North America &gt; Vantage_Gurnee"/>
    <x v="0"/>
    <x v="1"/>
    <d v="2021-01-01T00:00:00"/>
    <d v="2021-12-31T00:00:00"/>
    <x v="1"/>
    <d v="2021-01-01T00:00:00"/>
    <d v="2021-12-31T00:00:00"/>
    <s v="Diesel (average biofuel blend)"/>
    <n v="33.200000000000003"/>
    <s v="US liquid gallons"/>
    <x v="1"/>
    <m/>
    <s v="2023-07-14, 20:43"/>
    <s v="2023-07-20, 00:40"/>
    <n v="2021"/>
    <s v="diesel_avg_biofuel_blend"/>
    <s v="Diesel (Average Biofuel Blend)"/>
    <s v="model"/>
    <b v="0"/>
    <s v="PETROLEUM PRODUCTS, DISTILLATE FUEL OIL NO. 2"/>
    <x v="2"/>
    <x v="0"/>
    <s v="Americas"/>
    <s v="Northern America"/>
    <s v="US"/>
    <m/>
    <n v="1"/>
    <s v="CO2"/>
    <n v="338.97199999999998"/>
    <n v="10.210000000000001"/>
    <s v="GALLON (US LIQUID)"/>
    <n v="1"/>
    <n v="33.200000000000003"/>
    <s v="AR4"/>
    <s v="USEPA"/>
    <s v="USEPA (2021)"/>
    <n v="2021"/>
    <n v="2021"/>
    <n v="0"/>
    <n v="0"/>
    <x v="15"/>
    <s v="Office"/>
  </r>
  <r>
    <n v="1208906"/>
    <s v="Top of Hierarchy &gt; North America &gt; Vantage_Gurnee"/>
    <x v="0"/>
    <x v="1"/>
    <d v="2021-01-01T00:00:00"/>
    <d v="2021-12-31T00:00:00"/>
    <x v="1"/>
    <d v="2021-01-01T00:00:00"/>
    <d v="2021-12-31T00:00:00"/>
    <s v="Diesel (average biofuel blend)"/>
    <n v="33.200000000000003"/>
    <s v="US liquid gallons"/>
    <x v="1"/>
    <m/>
    <s v="2023-07-14, 20:43"/>
    <s v="2023-07-20, 00:40"/>
    <n v="2021"/>
    <s v="diesel_avg_biofuel_blend"/>
    <s v="Diesel (Average Biofuel Blend)"/>
    <s v="model"/>
    <b v="0"/>
    <s v="PETROLEUM PRODUCTS, DISTILLATE FUEL OIL NO. 2"/>
    <x v="2"/>
    <x v="0"/>
    <s v="Americas"/>
    <s v="Northern America"/>
    <s v="US"/>
    <m/>
    <n v="1"/>
    <s v="CO2E"/>
    <n v="340.10378800000001"/>
    <n v="10.24409"/>
    <s v="GALLON (US LIQUID)"/>
    <n v="1"/>
    <n v="33.200000000000003"/>
    <s v="AR4"/>
    <s v="USEPA"/>
    <s v="USEPA Emission Factors Hub (Last Modified: March 2020)"/>
    <n v="2021"/>
    <n v="2020"/>
    <n v="0"/>
    <n v="0.34010378800000002"/>
    <x v="15"/>
    <s v="Office"/>
  </r>
  <r>
    <n v="1208906"/>
    <s v="Top of Hierarchy &gt; North America &gt; Vantage_Gurnee"/>
    <x v="0"/>
    <x v="1"/>
    <d v="2021-01-01T00:00:00"/>
    <d v="2021-12-31T00:00:00"/>
    <x v="1"/>
    <d v="2021-01-01T00:00:00"/>
    <d v="2021-12-31T00:00:00"/>
    <s v="Diesel (average biofuel blend)"/>
    <n v="33.200000000000003"/>
    <s v="US liquid gallons"/>
    <x v="1"/>
    <m/>
    <s v="2023-07-14, 20:43"/>
    <s v="2023-07-20, 00:40"/>
    <n v="2021"/>
    <s v="diesel_avg_biofuel_blend"/>
    <s v="Diesel (Average Biofuel Blend)"/>
    <s v="model"/>
    <b v="0"/>
    <s v="PETROLEUM PRODUCTS, DISTILLATE FUEL OIL NO. 2"/>
    <x v="2"/>
    <x v="0"/>
    <s v="Americas"/>
    <s v="Northern America"/>
    <s v="US"/>
    <m/>
    <n v="1"/>
    <s v="N2O"/>
    <n v="0.79148799999999997"/>
    <n v="2.384E-2"/>
    <s v="GALLON (US LIQUID)"/>
    <n v="1"/>
    <n v="33.200000000000003"/>
    <s v="AR4"/>
    <s v="USEPA"/>
    <s v="USEPA (2021)"/>
    <n v="2021"/>
    <n v="2021"/>
    <n v="0"/>
    <n v="0"/>
    <x v="15"/>
    <s v="Office"/>
  </r>
  <r>
    <n v="1208906"/>
    <s v="Top of Hierarchy &gt; North America &gt; Vantage_Gurnee"/>
    <x v="0"/>
    <x v="1"/>
    <d v="2021-01-01T00:00:00"/>
    <d v="2021-12-31T00:00:00"/>
    <x v="1"/>
    <d v="2021-01-01T00:00:00"/>
    <d v="2021-12-31T00:00:00"/>
    <s v="Diesel (average biofuel blend)"/>
    <n v="33.200000000000003"/>
    <s v="US liquid gallons"/>
    <x v="1"/>
    <m/>
    <s v="2023-07-14, 20:43"/>
    <s v="2023-07-20, 00:40"/>
    <n v="2021"/>
    <s v="diesel_avg_biofuel_blend__wtt"/>
    <s v="Diesel (Average Biofuel Blend) WTT"/>
    <s v="wtt"/>
    <b v="0"/>
    <s v="WTT- FUELS; WTT- LIQUID FUELS; DIESEL (AVERAGE BIOFUEL BLEND)"/>
    <x v="1"/>
    <x v="1"/>
    <m/>
    <m/>
    <m/>
    <m/>
    <n v="0"/>
    <s v="CO2E"/>
    <n v="76.644528730000005"/>
    <n v="0.60985999999999996"/>
    <s v="LITRES"/>
    <n v="3.7854100000000002"/>
    <n v="125.675612"/>
    <s v="AR4"/>
    <s v="Defra"/>
    <s v="Defra (2021)"/>
    <n v="2021"/>
    <n v="2019"/>
    <n v="7.6644528730000008E-2"/>
    <n v="0"/>
    <x v="15"/>
    <s v="Office"/>
  </r>
  <r>
    <n v="1208906"/>
    <s v="Top of Hierarchy &gt; North America &gt; Vantage_Gurnee"/>
    <x v="0"/>
    <x v="1"/>
    <d v="2021-01-01T00:00:00"/>
    <d v="2021-12-31T00:00:00"/>
    <x v="1"/>
    <d v="2021-01-01T00:00:00"/>
    <d v="2021-12-31T00:00:00"/>
    <s v="Diesel (average biofuel blend)"/>
    <n v="33.200000000000003"/>
    <s v="US liquid gallons"/>
    <x v="1"/>
    <m/>
    <s v="2023-07-14, 20:43"/>
    <s v="2023-07-20, 00:40"/>
    <n v="2021"/>
    <s v="diesel_avg_biofuel_blend__wtt"/>
    <s v="Diesel (Average Biofuel Blend) WTT"/>
    <s v="wtt"/>
    <b v="0"/>
    <s v="WTT- FUELS; WTT- LIQUID FUELS; DIESEL (AVERAGE BIOFUEL BLEND)"/>
    <x v="1"/>
    <x v="1"/>
    <m/>
    <m/>
    <m/>
    <m/>
    <n v="1"/>
    <s v="CO2E"/>
    <n v="76.644528730000005"/>
    <n v="0.60985999999999996"/>
    <s v="LITRES"/>
    <n v="3.7854100000000002"/>
    <n v="125.675612"/>
    <s v="AR4"/>
    <s v="Defra"/>
    <s v="Defra (2021)"/>
    <n v="2021"/>
    <n v="2019"/>
    <n v="0"/>
    <n v="7.6644528730000008E-2"/>
    <x v="15"/>
    <s v="Office"/>
  </r>
  <r>
    <n v="5038"/>
    <s v="Top of Hierarchy &gt; North America &gt; Vantage_Gurnee"/>
    <x v="0"/>
    <x v="1"/>
    <d v="2021-01-01T00:00:00"/>
    <d v="2021-12-31T00:00:00"/>
    <x v="4"/>
    <d v="2021-01-01T00:00:00"/>
    <d v="2021-12-31T00:00:00"/>
    <s v="HFC-134a"/>
    <n v="30.153199999999998"/>
    <s v="kilograms"/>
    <x v="0"/>
    <m/>
    <s v="2023-02-27, 16:28"/>
    <s v="2023-07-20, 00:40"/>
    <n v="2021"/>
    <s v="hfc-134a"/>
    <s v="HFC-134A"/>
    <s v="model"/>
    <b v="0"/>
    <s v="REFRIGERANT: R-134A"/>
    <x v="2"/>
    <x v="0"/>
    <m/>
    <m/>
    <m/>
    <m/>
    <n v="0"/>
    <s v="CO2E"/>
    <n v="43119.076000000001"/>
    <n v="1430"/>
    <s v="KG"/>
    <n v="1"/>
    <n v="30.153199999999998"/>
    <s v="AR4"/>
    <s v="IPCC"/>
    <s v="IPCC (2021)"/>
    <n v="2021"/>
    <n v="2007"/>
    <n v="43.119076"/>
    <n v="0"/>
    <x v="15"/>
    <s v="Office"/>
  </r>
  <r>
    <n v="5038"/>
    <s v="Top of Hierarchy &gt; North America &gt; Vantage_Gurnee"/>
    <x v="0"/>
    <x v="1"/>
    <d v="2021-01-01T00:00:00"/>
    <d v="2021-12-31T00:00:00"/>
    <x v="4"/>
    <d v="2021-01-01T00:00:00"/>
    <d v="2021-12-31T00:00:00"/>
    <s v="HFC-134a"/>
    <n v="30.153199999999998"/>
    <s v="kilograms"/>
    <x v="0"/>
    <m/>
    <s v="2023-02-27, 16:28"/>
    <s v="2023-07-20, 00:40"/>
    <n v="2021"/>
    <s v="hfc-134a"/>
    <s v="HFC-134A"/>
    <s v="model"/>
    <b v="0"/>
    <s v="REFRIGERANT: R-134A"/>
    <x v="2"/>
    <x v="0"/>
    <m/>
    <m/>
    <m/>
    <m/>
    <n v="1"/>
    <s v="CO2E"/>
    <n v="43119.076000000001"/>
    <n v="1430"/>
    <s v="KG"/>
    <n v="1"/>
    <n v="30.153199999999998"/>
    <s v="AR4"/>
    <s v="IPCC"/>
    <s v="IPCC (2021)"/>
    <n v="2021"/>
    <n v="2007"/>
    <n v="0"/>
    <n v="43.119076"/>
    <x v="15"/>
    <s v="Office"/>
  </r>
  <r>
    <n v="1257594"/>
    <s v="Top of Hierarchy &gt; North America &gt; Vantage_Gurnee"/>
    <x v="0"/>
    <x v="1"/>
    <d v="2021-01-01T00:00:00"/>
    <d v="2021-12-31T00:00:00"/>
    <x v="4"/>
    <d v="2021-01-01T00:00:00"/>
    <d v="2021-12-31T00:00:00"/>
    <s v="R-410A"/>
    <n v="26"/>
    <s v="pounds"/>
    <x v="1"/>
    <m/>
    <s v="2023-07-19, 20:03"/>
    <s v="2023-08-03, 20:50"/>
    <n v="2021"/>
    <s v="r410a"/>
    <s v="R410A"/>
    <s v="model"/>
    <b v="0"/>
    <s v="REFRIGERANT: R-410A"/>
    <x v="2"/>
    <x v="0"/>
    <m/>
    <m/>
    <m/>
    <m/>
    <n v="0"/>
    <s v="CO2E"/>
    <n v="24624.651900000001"/>
    <n v="2088"/>
    <s v="KG"/>
    <n v="0.45359291000000002"/>
    <n v="11.793415660000001"/>
    <s v="AR4"/>
    <s v="IPCC"/>
    <s v="IPCC (2021)"/>
    <n v="2021"/>
    <n v="2007"/>
    <n v="24.6246519"/>
    <n v="0"/>
    <x v="15"/>
    <s v="Office"/>
  </r>
  <r>
    <n v="1257594"/>
    <s v="Top of Hierarchy &gt; North America &gt; Vantage_Gurnee"/>
    <x v="0"/>
    <x v="1"/>
    <d v="2021-01-01T00:00:00"/>
    <d v="2021-12-31T00:00:00"/>
    <x v="4"/>
    <d v="2021-01-01T00:00:00"/>
    <d v="2021-12-31T00:00:00"/>
    <s v="R-410A"/>
    <n v="26"/>
    <s v="pounds"/>
    <x v="1"/>
    <m/>
    <s v="2023-07-19, 20:03"/>
    <s v="2023-08-03, 20:50"/>
    <n v="2021"/>
    <s v="r410a"/>
    <s v="R410A"/>
    <s v="model"/>
    <b v="0"/>
    <s v="REFRIGERANT: R-410A"/>
    <x v="2"/>
    <x v="0"/>
    <m/>
    <m/>
    <m/>
    <m/>
    <n v="1"/>
    <s v="CO2E"/>
    <n v="24624.651900000001"/>
    <n v="2088"/>
    <s v="KG"/>
    <n v="0.45359291000000002"/>
    <n v="11.793415660000001"/>
    <s v="AR4"/>
    <s v="IPCC"/>
    <s v="IPCC (2021)"/>
    <n v="2021"/>
    <n v="2007"/>
    <n v="0"/>
    <n v="24.6246519"/>
    <x v="15"/>
    <s v="Office"/>
  </r>
  <r>
    <n v="1257599"/>
    <s v="Top of Hierarchy &gt; North America &gt; Vantage_Gurnee"/>
    <x v="0"/>
    <x v="1"/>
    <d v="2021-01-01T00:00:00"/>
    <d v="2021-12-31T00:00:00"/>
    <x v="4"/>
    <d v="2021-01-01T00:00:00"/>
    <d v="2021-12-31T00:00:00"/>
    <s v="R-407C"/>
    <n v="25"/>
    <s v="kilograms"/>
    <x v="1"/>
    <m/>
    <s v="2023-07-19, 20:04"/>
    <s v="2023-08-03, 20:50"/>
    <n v="2021"/>
    <s v="r407c"/>
    <s v="R407C"/>
    <s v="model"/>
    <b v="0"/>
    <s v="REFRIGERANT: R-407C"/>
    <x v="2"/>
    <x v="0"/>
    <m/>
    <m/>
    <m/>
    <m/>
    <n v="0"/>
    <s v="CO2E"/>
    <n v="44350"/>
    <n v="1774"/>
    <s v="KG"/>
    <n v="1"/>
    <n v="25"/>
    <s v="AR4"/>
    <s v="IPCC"/>
    <s v="IPCC (2021)"/>
    <n v="2021"/>
    <n v="2007"/>
    <n v="44.35"/>
    <n v="0"/>
    <x v="15"/>
    <s v="Office"/>
  </r>
  <r>
    <n v="1257599"/>
    <s v="Top of Hierarchy &gt; North America &gt; Vantage_Gurnee"/>
    <x v="0"/>
    <x v="1"/>
    <d v="2021-01-01T00:00:00"/>
    <d v="2021-12-31T00:00:00"/>
    <x v="4"/>
    <d v="2021-01-01T00:00:00"/>
    <d v="2021-12-31T00:00:00"/>
    <s v="R-407C"/>
    <n v="25"/>
    <s v="kilograms"/>
    <x v="1"/>
    <m/>
    <s v="2023-07-19, 20:04"/>
    <s v="2023-08-03, 20:50"/>
    <n v="2021"/>
    <s v="r407c"/>
    <s v="R407C"/>
    <s v="model"/>
    <b v="0"/>
    <s v="REFRIGERANT: R-407C"/>
    <x v="2"/>
    <x v="0"/>
    <m/>
    <m/>
    <m/>
    <m/>
    <n v="1"/>
    <s v="CO2E"/>
    <n v="44350"/>
    <n v="1774"/>
    <s v="KG"/>
    <n v="1"/>
    <n v="25"/>
    <s v="AR4"/>
    <s v="IPCC"/>
    <s v="IPCC (2021)"/>
    <n v="2021"/>
    <n v="2007"/>
    <n v="0"/>
    <n v="44.35"/>
    <x v="15"/>
    <s v="Office"/>
  </r>
  <r>
    <n v="1257604"/>
    <s v="Top of Hierarchy &gt; North America &gt; Vantage_Gurnee"/>
    <x v="0"/>
    <x v="1"/>
    <d v="2021-01-01T00:00:00"/>
    <d v="2021-12-31T00:00:00"/>
    <x v="4"/>
    <d v="2021-01-01T00:00:00"/>
    <d v="2021-12-31T00:00:00"/>
    <s v="R-22"/>
    <n v="15"/>
    <s v="pounds"/>
    <x v="1"/>
    <m/>
    <s v="2023-07-19, 20:04"/>
    <s v="2023-08-03, 20:49"/>
    <n v="2021"/>
    <s v="r22"/>
    <s v="R-22"/>
    <s v="model"/>
    <b v="0"/>
    <s v="REFRIGERANT: R-22"/>
    <x v="2"/>
    <x v="0"/>
    <m/>
    <m/>
    <m/>
    <m/>
    <n v="0"/>
    <s v="CO2E"/>
    <n v="12315.04751"/>
    <n v="1810"/>
    <s v="KG"/>
    <n v="0.45359291000000002"/>
    <n v="6.80389365"/>
    <s v="AR4"/>
    <s v="IPCC"/>
    <s v="IPCC (2021)"/>
    <n v="2021"/>
    <n v="2007"/>
    <n v="12.315047510000001"/>
    <n v="0"/>
    <x v="15"/>
    <s v="Office"/>
  </r>
  <r>
    <n v="1257604"/>
    <s v="Top of Hierarchy &gt; North America &gt; Vantage_Gurnee"/>
    <x v="0"/>
    <x v="1"/>
    <d v="2021-01-01T00:00:00"/>
    <d v="2021-12-31T00:00:00"/>
    <x v="4"/>
    <d v="2021-01-01T00:00:00"/>
    <d v="2021-12-31T00:00:00"/>
    <s v="R-22"/>
    <n v="15"/>
    <s v="pounds"/>
    <x v="1"/>
    <m/>
    <s v="2023-07-19, 20:04"/>
    <s v="2023-08-03, 20:49"/>
    <n v="2021"/>
    <s v="r22"/>
    <s v="R-22"/>
    <s v="model"/>
    <b v="0"/>
    <s v="REFRIGERANT: R-22"/>
    <x v="2"/>
    <x v="0"/>
    <m/>
    <m/>
    <m/>
    <m/>
    <n v="1"/>
    <s v="CO2E"/>
    <n v="12315.04751"/>
    <n v="1810"/>
    <s v="KG"/>
    <n v="0.45359291000000002"/>
    <n v="6.80389365"/>
    <s v="AR4"/>
    <s v="IPCC"/>
    <s v="IPCC (2021)"/>
    <n v="2021"/>
    <n v="2007"/>
    <n v="0"/>
    <n v="12.315047510000001"/>
    <x v="15"/>
    <s v="Office"/>
  </r>
  <r>
    <n v="1236880"/>
    <s v="Top of Hierarchy &gt; North America &gt; Vantage_Gurnee"/>
    <x v="0"/>
    <x v="1"/>
    <d v="2021-01-01T00:00:00"/>
    <d v="2021-12-31T00:00:00"/>
    <x v="2"/>
    <d v="2021-01-01T00:00:00"/>
    <d v="2021-12-31T00:00:00"/>
    <s v="Propane"/>
    <n v="29376"/>
    <s v="pounds"/>
    <x v="1"/>
    <m/>
    <s v="2023-07-18, 23:00"/>
    <s v="2023-08-04, 23:44"/>
    <n v="2021"/>
    <s v="propane"/>
    <s v="Propane"/>
    <s v="model"/>
    <b v="0"/>
    <s v="FUELS; GASEOUS FUELS; PROPANE"/>
    <x v="2"/>
    <x v="0"/>
    <m/>
    <m/>
    <m/>
    <m/>
    <n v="0"/>
    <s v="CH4"/>
    <n v="30.779964230000001"/>
    <n v="2.31"/>
    <s v="TONNES"/>
    <n v="4.5359000000000003E-4"/>
    <n v="13.324659840000001"/>
    <s v="AR4"/>
    <s v="Defra"/>
    <s v="Defra (2021)"/>
    <n v="2021"/>
    <n v="2019"/>
    <n v="0"/>
    <n v="0"/>
    <x v="15"/>
    <s v="Office"/>
  </r>
  <r>
    <n v="1236880"/>
    <s v="Top of Hierarchy &gt; North America &gt; Vantage_Gurnee"/>
    <x v="0"/>
    <x v="1"/>
    <d v="2021-01-01T00:00:00"/>
    <d v="2021-12-31T00:00:00"/>
    <x v="2"/>
    <d v="2021-01-01T00:00:00"/>
    <d v="2021-12-31T00:00:00"/>
    <s v="Propane"/>
    <n v="29376"/>
    <s v="pounds"/>
    <x v="1"/>
    <m/>
    <s v="2023-07-18, 23:00"/>
    <s v="2023-08-04, 23:44"/>
    <n v="2021"/>
    <s v="propane"/>
    <s v="Propane"/>
    <s v="model"/>
    <b v="0"/>
    <s v="FUELS; GASEOUS FUELS; PROPANE"/>
    <x v="2"/>
    <x v="0"/>
    <m/>
    <m/>
    <m/>
    <m/>
    <n v="0"/>
    <s v="CO2"/>
    <n v="39886.036769999999"/>
    <n v="2993.4"/>
    <s v="TONNES"/>
    <n v="4.5359000000000003E-4"/>
    <n v="13.324659840000001"/>
    <s v="AR4"/>
    <s v="Defra"/>
    <s v="Defra (2021)"/>
    <n v="2021"/>
    <n v="2019"/>
    <n v="0"/>
    <n v="0"/>
    <x v="15"/>
    <s v="Office"/>
  </r>
  <r>
    <n v="1236880"/>
    <s v="Top of Hierarchy &gt; North America &gt; Vantage_Gurnee"/>
    <x v="0"/>
    <x v="1"/>
    <d v="2021-01-01T00:00:00"/>
    <d v="2021-12-31T00:00:00"/>
    <x v="2"/>
    <d v="2021-01-01T00:00:00"/>
    <d v="2021-12-31T00:00:00"/>
    <s v="Propane"/>
    <n v="29376"/>
    <s v="pounds"/>
    <x v="1"/>
    <m/>
    <s v="2023-07-18, 23:00"/>
    <s v="2023-08-04, 23:44"/>
    <n v="2021"/>
    <s v="propane"/>
    <s v="Propane"/>
    <s v="model"/>
    <b v="0"/>
    <s v="FUELS; GASEOUS FUELS; PROPANE"/>
    <x v="2"/>
    <x v="0"/>
    <m/>
    <m/>
    <m/>
    <m/>
    <n v="0"/>
    <s v="CO2E"/>
    <n v="39941.467349999999"/>
    <n v="2997.56"/>
    <s v="TONNES"/>
    <n v="4.5359000000000003E-4"/>
    <n v="13.324659840000001"/>
    <s v="AR4"/>
    <s v="Defra"/>
    <s v="Defra (2021)"/>
    <n v="2021"/>
    <n v="2019"/>
    <n v="39.941467349999996"/>
    <n v="0"/>
    <x v="15"/>
    <s v="Office"/>
  </r>
  <r>
    <n v="1236880"/>
    <s v="Top of Hierarchy &gt; North America &gt; Vantage_Gurnee"/>
    <x v="0"/>
    <x v="1"/>
    <d v="2021-01-01T00:00:00"/>
    <d v="2021-12-31T00:00:00"/>
    <x v="2"/>
    <d v="2021-01-01T00:00:00"/>
    <d v="2021-12-31T00:00:00"/>
    <s v="Propane"/>
    <n v="29376"/>
    <s v="pounds"/>
    <x v="1"/>
    <m/>
    <s v="2023-07-18, 23:00"/>
    <s v="2023-08-04, 23:44"/>
    <n v="2021"/>
    <s v="propane"/>
    <s v="Propane"/>
    <s v="model"/>
    <b v="0"/>
    <s v="FUELS; GASEOUS FUELS; PROPANE"/>
    <x v="2"/>
    <x v="0"/>
    <m/>
    <m/>
    <m/>
    <m/>
    <n v="0"/>
    <s v="N2O"/>
    <n v="24.650620700000001"/>
    <n v="1.85"/>
    <s v="TONNES"/>
    <n v="4.5359000000000003E-4"/>
    <n v="13.324659840000001"/>
    <s v="AR4"/>
    <s v="Defra"/>
    <s v="Defra (2021)"/>
    <n v="2021"/>
    <n v="2019"/>
    <n v="0"/>
    <n v="0"/>
    <x v="15"/>
    <s v="Office"/>
  </r>
  <r>
    <n v="1236880"/>
    <s v="Top of Hierarchy &gt; North America &gt; Vantage_Gurnee"/>
    <x v="0"/>
    <x v="1"/>
    <d v="2021-01-01T00:00:00"/>
    <d v="2021-12-31T00:00:00"/>
    <x v="2"/>
    <d v="2021-01-01T00:00:00"/>
    <d v="2021-12-31T00:00:00"/>
    <s v="Propane"/>
    <n v="29376"/>
    <s v="pounds"/>
    <x v="1"/>
    <m/>
    <s v="2023-07-18, 23:00"/>
    <s v="2023-08-04, 23:44"/>
    <n v="2021"/>
    <s v="propane"/>
    <s v="Propane"/>
    <s v="model"/>
    <b v="0"/>
    <s v="FUELS; GASEOUS FUELS; PROPANE"/>
    <x v="2"/>
    <x v="0"/>
    <m/>
    <m/>
    <m/>
    <m/>
    <n v="1"/>
    <s v="CH4"/>
    <n v="30.779964230000001"/>
    <n v="2.31"/>
    <s v="TONNES"/>
    <n v="4.5359000000000003E-4"/>
    <n v="13.324659840000001"/>
    <s v="AR4"/>
    <s v="Defra"/>
    <s v="Defra (2021)"/>
    <n v="2021"/>
    <n v="2019"/>
    <n v="0"/>
    <n v="0"/>
    <x v="15"/>
    <s v="Office"/>
  </r>
  <r>
    <n v="1236880"/>
    <s v="Top of Hierarchy &gt; North America &gt; Vantage_Gurnee"/>
    <x v="0"/>
    <x v="1"/>
    <d v="2021-01-01T00:00:00"/>
    <d v="2021-12-31T00:00:00"/>
    <x v="2"/>
    <d v="2021-01-01T00:00:00"/>
    <d v="2021-12-31T00:00:00"/>
    <s v="Propane"/>
    <n v="29376"/>
    <s v="pounds"/>
    <x v="1"/>
    <m/>
    <s v="2023-07-18, 23:00"/>
    <s v="2023-08-04, 23:44"/>
    <n v="2021"/>
    <s v="propane"/>
    <s v="Propane"/>
    <s v="model"/>
    <b v="0"/>
    <s v="FUELS; GASEOUS FUELS; PROPANE"/>
    <x v="2"/>
    <x v="0"/>
    <m/>
    <m/>
    <m/>
    <m/>
    <n v="1"/>
    <s v="CO2"/>
    <n v="39886.036769999999"/>
    <n v="2993.4"/>
    <s v="TONNES"/>
    <n v="4.5359000000000003E-4"/>
    <n v="13.324659840000001"/>
    <s v="AR4"/>
    <s v="Defra"/>
    <s v="Defra (2021)"/>
    <n v="2021"/>
    <n v="2019"/>
    <n v="0"/>
    <n v="0"/>
    <x v="15"/>
    <s v="Office"/>
  </r>
  <r>
    <n v="1236880"/>
    <s v="Top of Hierarchy &gt; North America &gt; Vantage_Gurnee"/>
    <x v="0"/>
    <x v="1"/>
    <d v="2021-01-01T00:00:00"/>
    <d v="2021-12-31T00:00:00"/>
    <x v="2"/>
    <d v="2021-01-01T00:00:00"/>
    <d v="2021-12-31T00:00:00"/>
    <s v="Propane"/>
    <n v="29376"/>
    <s v="pounds"/>
    <x v="1"/>
    <m/>
    <s v="2023-07-18, 23:00"/>
    <s v="2023-08-04, 23:44"/>
    <n v="2021"/>
    <s v="propane"/>
    <s v="Propane"/>
    <s v="model"/>
    <b v="0"/>
    <s v="FUELS; GASEOUS FUELS; PROPANE"/>
    <x v="2"/>
    <x v="0"/>
    <m/>
    <m/>
    <m/>
    <m/>
    <n v="1"/>
    <s v="CO2E"/>
    <n v="39941.467349999999"/>
    <n v="2997.56"/>
    <s v="TONNES"/>
    <n v="4.5359000000000003E-4"/>
    <n v="13.324659840000001"/>
    <s v="AR4"/>
    <s v="Defra"/>
    <s v="Defra (2021)"/>
    <n v="2021"/>
    <n v="2019"/>
    <n v="0"/>
    <n v="39.941467349999996"/>
    <x v="15"/>
    <s v="Office"/>
  </r>
  <r>
    <n v="1236880"/>
    <s v="Top of Hierarchy &gt; North America &gt; Vantage_Gurnee"/>
    <x v="0"/>
    <x v="1"/>
    <d v="2021-01-01T00:00:00"/>
    <d v="2021-12-31T00:00:00"/>
    <x v="2"/>
    <d v="2021-01-01T00:00:00"/>
    <d v="2021-12-31T00:00:00"/>
    <s v="Propane"/>
    <n v="29376"/>
    <s v="pounds"/>
    <x v="1"/>
    <m/>
    <s v="2023-07-18, 23:00"/>
    <s v="2023-08-04, 23:44"/>
    <n v="2021"/>
    <s v="propane"/>
    <s v="Propane"/>
    <s v="model"/>
    <b v="0"/>
    <s v="FUELS; GASEOUS FUELS; PROPANE"/>
    <x v="2"/>
    <x v="0"/>
    <m/>
    <m/>
    <m/>
    <m/>
    <n v="1"/>
    <s v="N2O"/>
    <n v="24.650620700000001"/>
    <n v="1.85"/>
    <s v="TONNES"/>
    <n v="4.5359000000000003E-4"/>
    <n v="13.324659840000001"/>
    <s v="AR4"/>
    <s v="Defra"/>
    <s v="Defra (2021)"/>
    <n v="2021"/>
    <n v="2019"/>
    <n v="0"/>
    <n v="0"/>
    <x v="15"/>
    <s v="Office"/>
  </r>
  <r>
    <n v="1236880"/>
    <s v="Top of Hierarchy &gt; North America &gt; Vantage_Gurnee"/>
    <x v="0"/>
    <x v="1"/>
    <d v="2021-01-01T00:00:00"/>
    <d v="2021-12-31T00:00:00"/>
    <x v="2"/>
    <d v="2021-01-01T00:00:00"/>
    <d v="2021-12-31T00:00:00"/>
    <s v="Propane"/>
    <n v="29376"/>
    <s v="pounds"/>
    <x v="1"/>
    <m/>
    <s v="2023-07-18, 23:00"/>
    <s v="2023-08-04, 23:44"/>
    <n v="2021"/>
    <s v="propane__wtt"/>
    <s v="Propane WTT"/>
    <s v="wtt"/>
    <b v="0"/>
    <s v="WTT- FUELS; WTT- GASEOUS FUELS; PROPANE"/>
    <x v="1"/>
    <x v="1"/>
    <m/>
    <m/>
    <m/>
    <m/>
    <n v="0"/>
    <s v="CO2E"/>
    <n v="4669.7013930000003"/>
    <n v="350.45558"/>
    <s v="TONNES"/>
    <n v="4.5359000000000003E-4"/>
    <n v="13.324659840000001"/>
    <s v="AR4"/>
    <s v="Defra"/>
    <s v="Defra (2021)"/>
    <n v="2021"/>
    <n v="2019"/>
    <n v="4.6697013930000004"/>
    <n v="0"/>
    <x v="15"/>
    <s v="Office"/>
  </r>
  <r>
    <n v="1236880"/>
    <s v="Top of Hierarchy &gt; North America &gt; Vantage_Gurnee"/>
    <x v="0"/>
    <x v="1"/>
    <d v="2021-01-01T00:00:00"/>
    <d v="2021-12-31T00:00:00"/>
    <x v="2"/>
    <d v="2021-01-01T00:00:00"/>
    <d v="2021-12-31T00:00:00"/>
    <s v="Propane"/>
    <n v="29376"/>
    <s v="pounds"/>
    <x v="1"/>
    <m/>
    <s v="2023-07-18, 23:00"/>
    <s v="2023-08-04, 23:44"/>
    <n v="2021"/>
    <s v="propane__wtt"/>
    <s v="Propane WTT"/>
    <s v="wtt"/>
    <b v="0"/>
    <s v="WTT- FUELS; WTT- GASEOUS FUELS; PROPANE"/>
    <x v="1"/>
    <x v="1"/>
    <m/>
    <m/>
    <m/>
    <m/>
    <n v="1"/>
    <s v="CO2E"/>
    <n v="4669.7013930000003"/>
    <n v="350.45558"/>
    <s v="TONNES"/>
    <n v="4.5359000000000003E-4"/>
    <n v="13.324659840000001"/>
    <s v="AR4"/>
    <s v="Defra"/>
    <s v="Defra (2021)"/>
    <n v="2021"/>
    <n v="2019"/>
    <n v="0"/>
    <n v="4.6697013930000004"/>
    <x v="15"/>
    <s v="Office"/>
  </r>
  <r>
    <n v="237860"/>
    <s v="Top of Hierarchy &gt; North America &gt; Vantage_Linden"/>
    <x v="1"/>
    <x v="0"/>
    <d v="2022-01-01T00:00:00"/>
    <d v="2022-12-31T00:00:00"/>
    <x v="0"/>
    <d v="2022-01-01T00:00:00"/>
    <d v="2022-12-31T00:00:00"/>
    <s v="Electricity (non-renewable)"/>
    <n v="1107522"/>
    <s v="Kilowatt hours"/>
    <x v="1"/>
    <m/>
    <s v="2023-04-21, 22:03"/>
    <s v="2023-07-20, 00:40"/>
    <n v="2022"/>
    <s v="electricity"/>
    <s v="Electricity"/>
    <s v="model"/>
    <b v="0"/>
    <s v="ELECTRICITY; UNITED STATES - RFCE"/>
    <x v="0"/>
    <x v="0"/>
    <s v="Americas"/>
    <s v="Northern America"/>
    <s v="US"/>
    <s v="RFCE"/>
    <n v="0"/>
    <s v="CH4"/>
    <n v="565.15896989999999"/>
    <n v="5.1029099999999996E-4"/>
    <s v="KWH"/>
    <n v="1"/>
    <n v="1107522"/>
    <s v="AR4"/>
    <s v="USEPA"/>
    <s v="USEPA (2022)"/>
    <n v="2022"/>
    <n v="2020"/>
    <n v="0"/>
    <n v="0"/>
    <x v="16"/>
    <s v="Warehouse"/>
  </r>
  <r>
    <n v="237860"/>
    <s v="Top of Hierarchy &gt; North America &gt; Vantage_Linden"/>
    <x v="1"/>
    <x v="0"/>
    <d v="2022-01-01T00:00:00"/>
    <d v="2022-12-31T00:00:00"/>
    <x v="0"/>
    <d v="2022-01-01T00:00:00"/>
    <d v="2022-12-31T00:00:00"/>
    <s v="Electricity (non-renewable)"/>
    <n v="1107522"/>
    <s v="Kilowatt hours"/>
    <x v="1"/>
    <m/>
    <s v="2023-04-21, 22:03"/>
    <s v="2023-07-20, 00:40"/>
    <n v="2022"/>
    <s v="electricity"/>
    <s v="Electricity"/>
    <s v="model"/>
    <b v="0"/>
    <s v="ELECTRICITY; UNITED STATES - RFCE"/>
    <x v="0"/>
    <x v="0"/>
    <s v="Americas"/>
    <s v="Northern America"/>
    <s v="US"/>
    <s v="RFCE"/>
    <n v="0"/>
    <s v="CO2"/>
    <n v="327771.10330000002"/>
    <n v="0.29594997099999998"/>
    <s v="KWH"/>
    <n v="1"/>
    <n v="1107522"/>
    <s v="AR4"/>
    <s v="USEPA"/>
    <s v="USEPA (2022)"/>
    <n v="2022"/>
    <n v="2020"/>
    <n v="0"/>
    <n v="0"/>
    <x v="16"/>
    <s v="Warehouse"/>
  </r>
  <r>
    <n v="237860"/>
    <s v="Top of Hierarchy &gt; North America &gt; Vantage_Linden"/>
    <x v="1"/>
    <x v="0"/>
    <d v="2022-01-01T00:00:00"/>
    <d v="2022-12-31T00:00:00"/>
    <x v="0"/>
    <d v="2022-01-01T00:00:00"/>
    <d v="2022-12-31T00:00:00"/>
    <s v="Electricity (non-renewable)"/>
    <n v="1107522"/>
    <s v="Kilowatt hours"/>
    <x v="1"/>
    <m/>
    <s v="2023-04-21, 22:03"/>
    <s v="2023-07-20, 00:40"/>
    <n v="2022"/>
    <s v="electricity"/>
    <s v="Electricity"/>
    <s v="model"/>
    <b v="0"/>
    <s v="ELECTRICITY; UNITED STATES - RFCE"/>
    <x v="0"/>
    <x v="0"/>
    <s v="Americas"/>
    <s v="Northern America"/>
    <s v="US"/>
    <s v="RFCE"/>
    <n v="0"/>
    <s v="CO2E"/>
    <n v="329234.48820000002"/>
    <n v="0.297271285"/>
    <s v="KWH"/>
    <n v="1"/>
    <n v="1107522"/>
    <s v="AR4"/>
    <s v="USEPA"/>
    <s v="USEPA (2022)"/>
    <n v="2022"/>
    <n v="2020"/>
    <n v="329.23448820000004"/>
    <n v="0"/>
    <x v="16"/>
    <s v="Warehouse"/>
  </r>
  <r>
    <n v="237860"/>
    <s v="Top of Hierarchy &gt; North America &gt; Vantage_Linden"/>
    <x v="1"/>
    <x v="0"/>
    <d v="2022-01-01T00:00:00"/>
    <d v="2022-12-31T00:00:00"/>
    <x v="0"/>
    <d v="2022-01-01T00:00:00"/>
    <d v="2022-12-31T00:00:00"/>
    <s v="Electricity (non-renewable)"/>
    <n v="1107522"/>
    <s v="Kilowatt hours"/>
    <x v="1"/>
    <m/>
    <s v="2023-04-21, 22:03"/>
    <s v="2023-07-20, 00:40"/>
    <n v="2022"/>
    <s v="electricity"/>
    <s v="Electricity"/>
    <s v="model"/>
    <b v="0"/>
    <s v="ELECTRICITY; UNITED STATES - RFCE"/>
    <x v="0"/>
    <x v="0"/>
    <s v="Americas"/>
    <s v="Northern America"/>
    <s v="US"/>
    <s v="RFCE"/>
    <n v="0"/>
    <s v="N2O"/>
    <n v="898.22598949999997"/>
    <n v="8.1102300000000002E-4"/>
    <s v="KWH"/>
    <n v="1"/>
    <n v="1107522"/>
    <s v="AR4"/>
    <s v="USEPA"/>
    <s v="USEPA (2022)"/>
    <n v="2022"/>
    <n v="2020"/>
    <n v="0"/>
    <n v="0"/>
    <x v="16"/>
    <s v="Warehouse"/>
  </r>
  <r>
    <n v="237860"/>
    <s v="Top of Hierarchy &gt; North America &gt; Vantage_Linden"/>
    <x v="1"/>
    <x v="0"/>
    <d v="2022-01-01T00:00:00"/>
    <d v="2022-12-31T00:00:00"/>
    <x v="0"/>
    <d v="2022-01-01T00:00:00"/>
    <d v="2022-12-31T00:00:00"/>
    <s v="Electricity (non-renewable)"/>
    <n v="1107522"/>
    <s v="Kilowatt hours"/>
    <x v="1"/>
    <m/>
    <s v="2023-04-21, 22:03"/>
    <s v="2023-07-20, 00:40"/>
    <n v="2022"/>
    <s v="electricity"/>
    <s v="Electricity"/>
    <s v="model"/>
    <b v="0"/>
    <s v="ELECTRICITY; UNITED STATES - RFCE"/>
    <x v="0"/>
    <x v="0"/>
    <s v="Americas"/>
    <s v="Northern America"/>
    <s v="US"/>
    <s v="RFCE"/>
    <n v="1"/>
    <s v="CO2E MKT"/>
    <n v="327877.57250000001"/>
    <n v="0.296046103"/>
    <s v="KWH"/>
    <n v="1"/>
    <n v="1107522"/>
    <s v="AR4"/>
    <s v="Green-e"/>
    <s v="Green-e (2022)"/>
    <n v="2022"/>
    <n v="2020"/>
    <n v="0"/>
    <n v="327.87757249999999"/>
    <x v="16"/>
    <s v="Warehouse"/>
  </r>
  <r>
    <n v="237860"/>
    <s v="Top of Hierarchy &gt; North America &gt; Vantage_Linden"/>
    <x v="1"/>
    <x v="0"/>
    <d v="2022-01-01T00:00:00"/>
    <d v="2022-12-31T00:00:00"/>
    <x v="0"/>
    <d v="2022-01-01T00:00:00"/>
    <d v="2022-12-31T00:00:00"/>
    <s v="Electricity (non-renewable)"/>
    <n v="1107522"/>
    <s v="Kilowatt hours"/>
    <x v="1"/>
    <m/>
    <s v="2023-04-21, 22:03"/>
    <s v="2023-07-20, 00:40"/>
    <n v="2022"/>
    <s v="electricity__t+d__wtt"/>
    <s v="Electricity T&amp;D WTT"/>
    <s v="t+d_wtt"/>
    <b v="0"/>
    <s v="ELECTRICITY T&amp;D WTT; UNITED STATES - RFCE"/>
    <x v="1"/>
    <x v="1"/>
    <s v="Americas"/>
    <s v="Northern America"/>
    <s v="US"/>
    <s v="RFCE"/>
    <n v="0"/>
    <s v="CO2E"/>
    <n v="5155.3682820000004"/>
    <n v="4.6548680000000004E-3"/>
    <s v="KWH"/>
    <n v="1"/>
    <n v="1107522"/>
    <s v="AR4"/>
    <s v="Anthesis"/>
    <s v="Anthesis (2022)"/>
    <n v="2022"/>
    <n v="2020"/>
    <n v="5.1553682820000004"/>
    <n v="0"/>
    <x v="16"/>
    <s v="Warehouse"/>
  </r>
  <r>
    <n v="237860"/>
    <s v="Top of Hierarchy &gt; North America &gt; Vantage_Linden"/>
    <x v="1"/>
    <x v="0"/>
    <d v="2022-01-01T00:00:00"/>
    <d v="2022-12-31T00:00:00"/>
    <x v="0"/>
    <d v="2022-01-01T00:00:00"/>
    <d v="2022-12-31T00:00:00"/>
    <s v="Electricity (non-renewable)"/>
    <n v="1107522"/>
    <s v="Kilowatt hours"/>
    <x v="1"/>
    <m/>
    <s v="2023-04-21, 22:03"/>
    <s v="2023-07-20, 00:40"/>
    <n v="2022"/>
    <s v="electricity__t+d__wtt"/>
    <s v="Electricity T&amp;D WTT"/>
    <s v="t+d_wtt"/>
    <b v="0"/>
    <s v="ELECTRICITY; UNITED STATES - RFCE; T&amp;D WTT Estimated"/>
    <x v="1"/>
    <x v="1"/>
    <s v="Americas"/>
    <s v="Northern America"/>
    <s v="US"/>
    <s v="RFCE"/>
    <n v="1"/>
    <s v="CO2E MKT"/>
    <n v="4705.5232079999996"/>
    <n v="4.2486950000000002E-3"/>
    <s v="KWH"/>
    <n v="1"/>
    <n v="1107522"/>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  to estimate the T&amp;D WTT factor."/>
    <n v="2022"/>
    <n v="2019"/>
    <n v="0"/>
    <n v="4.7055232079999998"/>
    <x v="16"/>
    <s v="Warehouse"/>
  </r>
  <r>
    <n v="237860"/>
    <s v="Top of Hierarchy &gt; North America &gt; Vantage_Linden"/>
    <x v="1"/>
    <x v="0"/>
    <d v="2022-01-01T00:00:00"/>
    <d v="2022-12-31T00:00:00"/>
    <x v="0"/>
    <d v="2022-01-01T00:00:00"/>
    <d v="2022-12-31T00:00:00"/>
    <s v="Electricity (non-renewable)"/>
    <n v="1107522"/>
    <s v="Kilowatt hours"/>
    <x v="1"/>
    <m/>
    <s v="2023-04-21, 22:03"/>
    <s v="2023-07-20, 00:40"/>
    <n v="2022"/>
    <s v="electricity__wtt"/>
    <s v="Electricity WTT"/>
    <s v="wtt"/>
    <b v="0"/>
    <s v="ELECTRICITY WTT; UNITED STATES - RFCE"/>
    <x v="1"/>
    <x v="1"/>
    <s v="Americas"/>
    <s v="Northern America"/>
    <s v="US"/>
    <s v="RFCE"/>
    <n v="0"/>
    <s v="CO2E"/>
    <n v="92115.731379999997"/>
    <n v="8.3172823000000007E-2"/>
    <s v="KWH"/>
    <n v="1"/>
    <n v="1107522"/>
    <s v="AR4"/>
    <s v="Anthesis"/>
    <s v="Anthesis (2022)"/>
    <n v="2022"/>
    <n v="2020"/>
    <n v="92.11573138"/>
    <n v="0"/>
    <x v="16"/>
    <s v="Warehouse"/>
  </r>
  <r>
    <n v="237860"/>
    <s v="Top of Hierarchy &gt; North America &gt; Vantage_Linden"/>
    <x v="1"/>
    <x v="0"/>
    <d v="2022-01-01T00:00:00"/>
    <d v="2022-12-31T00:00:00"/>
    <x v="0"/>
    <d v="2022-01-01T00:00:00"/>
    <d v="2022-12-31T00:00:00"/>
    <s v="Electricity (non-renewable)"/>
    <n v="1107522"/>
    <s v="Kilowatt hours"/>
    <x v="1"/>
    <m/>
    <s v="2023-04-21, 22:03"/>
    <s v="2023-07-20, 00:40"/>
    <n v="2022"/>
    <s v="electricity__wtt"/>
    <s v="Electricity WTT"/>
    <s v="wtt"/>
    <b v="0"/>
    <s v="ELECTRICITY; UNITED STATES - RFCE; WTT Estimated"/>
    <x v="1"/>
    <x v="1"/>
    <s v="Americas"/>
    <s v="Northern America"/>
    <s v="US"/>
    <s v="RFCE"/>
    <n v="1"/>
    <s v="CO2E MKT"/>
    <n v="92265.160950000005"/>
    <n v="8.3307746000000002E-2"/>
    <s v="KWH"/>
    <n v="1"/>
    <n v="1107522"/>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RFCE, Green-eto estimate the WTT factor."/>
    <n v="2022"/>
    <n v="2019"/>
    <n v="0"/>
    <n v="92.265160950000009"/>
    <x v="16"/>
    <s v="Warehouse"/>
  </r>
  <r>
    <n v="237860"/>
    <s v="Top of Hierarchy &gt; North America &gt; Vantage_Linden"/>
    <x v="1"/>
    <x v="0"/>
    <d v="2022-01-01T00:00:00"/>
    <d v="2022-12-31T00:00:00"/>
    <x v="0"/>
    <d v="2022-01-01T00:00:00"/>
    <d v="2022-12-31T00:00:00"/>
    <s v="Electricity (non-renewable)"/>
    <n v="1107522"/>
    <s v="Kilowatt hours"/>
    <x v="1"/>
    <m/>
    <s v="2023-04-21, 22:03"/>
    <s v="2023-07-20, 00:40"/>
    <n v="2022"/>
    <s v="electricity__t+d"/>
    <s v="Electricity T&amp;D"/>
    <s v="t+d"/>
    <b v="0"/>
    <s v="ELECTRICITY; TRANSMISSION AND DISTRIBUTION; UNITED STATES - RFCE"/>
    <x v="1"/>
    <x v="1"/>
    <s v="Americas"/>
    <s v="Northern America"/>
    <s v="US"/>
    <s v="RFCE"/>
    <n v="0"/>
    <s v="CO2E"/>
    <n v="17449.427879999999"/>
    <n v="1.5755378E-2"/>
    <s v="KWH"/>
    <n v="1"/>
    <n v="1107522"/>
    <s v="AR4"/>
    <s v="USEPA"/>
    <s v="USEPA (2022)"/>
    <n v="2022"/>
    <n v="2020"/>
    <n v="17.449427879999998"/>
    <n v="0"/>
    <x v="16"/>
    <s v="Warehouse"/>
  </r>
  <r>
    <n v="237860"/>
    <s v="Top of Hierarchy &gt; North America &gt; Vantage_Linden"/>
    <x v="1"/>
    <x v="0"/>
    <d v="2022-01-01T00:00:00"/>
    <d v="2022-12-31T00:00:00"/>
    <x v="0"/>
    <d v="2022-01-01T00:00:00"/>
    <d v="2022-12-31T00:00:00"/>
    <s v="Electricity (non-renewable)"/>
    <n v="1107522"/>
    <s v="Kilowatt hours"/>
    <x v="1"/>
    <m/>
    <s v="2023-04-21, 22:03"/>
    <s v="2023-07-20, 00:40"/>
    <n v="2022"/>
    <s v="electricity__t+d"/>
    <s v="Electricity T&amp;D"/>
    <s v="t+d"/>
    <b v="0"/>
    <s v="ELECTRICITY; UNITED STATES - RFCE; T&amp;D Estimated"/>
    <x v="1"/>
    <x v="1"/>
    <s v="Americas"/>
    <s v="Northern America"/>
    <s v="US"/>
    <s v="RFCE"/>
    <n v="1"/>
    <s v="CO2E MKT"/>
    <n v="17812.424210000001"/>
    <n v="1.6083133999999999E-2"/>
    <s v="KWH"/>
    <n v="1"/>
    <n v="1107522"/>
    <s v="AR4"/>
    <s v="Anthesis"/>
    <s v="The median T&amp;D to generation factor ratio of all countries within the region Northern America was taken to be ELECTRICITY; UNITED STATES - SRSO, USEPA to ELECTRICITY; TRANSMISSION AND DISTRIBUTION; UNITED STATES - SRSO, USEPA: 0.051. This was applied to the base factor ELECTRICITY; UNITED STATES - RFCE, Green-eto estimate the T&amp;D factor."/>
    <n v="2022"/>
    <n v="2019"/>
    <n v="0"/>
    <n v="17.81242421"/>
    <x v="16"/>
    <s v="Warehouse"/>
  </r>
  <r>
    <n v="291071"/>
    <s v="Top of Hierarchy &gt; North America &gt; Vantage_Linden"/>
    <x v="1"/>
    <x v="0"/>
    <d v="2022-01-01T00:00:00"/>
    <d v="2022-12-31T00:00:00"/>
    <x v="3"/>
    <d v="2022-01-01T00:00:00"/>
    <d v="2022-12-31T00:00:00"/>
    <s v="Natural gas"/>
    <n v="561300"/>
    <s v="cubic feet"/>
    <x v="1"/>
    <m/>
    <s v="2023-05-03, 20:07"/>
    <s v="2023-07-20, 00:40"/>
    <n v="2022"/>
    <s v="natural_gas"/>
    <s v="Natural Gas"/>
    <s v="model"/>
    <b v="0"/>
    <s v="NATURAL GAS, NATURAL GAS"/>
    <x v="2"/>
    <x v="0"/>
    <s v="Americas"/>
    <s v="Northern America"/>
    <s v="US"/>
    <m/>
    <n v="0"/>
    <s v="CH4"/>
    <n v="14.453474999999999"/>
    <n v="2.5749999999999999E-5"/>
    <s v="SCF"/>
    <n v="1"/>
    <n v="561300"/>
    <s v="AR4"/>
    <s v="USEPA"/>
    <s v="USEPA (2022)"/>
    <n v="2022"/>
    <n v="2022"/>
    <n v="0"/>
    <n v="0"/>
    <x v="16"/>
    <s v="Warehouse"/>
  </r>
  <r>
    <n v="291071"/>
    <s v="Top of Hierarchy &gt; North America &gt; Vantage_Linden"/>
    <x v="1"/>
    <x v="0"/>
    <d v="2022-01-01T00:00:00"/>
    <d v="2022-12-31T00:00:00"/>
    <x v="3"/>
    <d v="2022-01-01T00:00:00"/>
    <d v="2022-12-31T00:00:00"/>
    <s v="Natural gas"/>
    <n v="561300"/>
    <s v="cubic feet"/>
    <x v="1"/>
    <m/>
    <s v="2023-05-03, 20:07"/>
    <s v="2023-07-20, 00:40"/>
    <n v="2022"/>
    <s v="natural_gas"/>
    <s v="Natural Gas"/>
    <s v="model"/>
    <b v="0"/>
    <s v="NATURAL GAS, NATURAL GAS"/>
    <x v="2"/>
    <x v="0"/>
    <s v="Americas"/>
    <s v="Northern America"/>
    <s v="US"/>
    <m/>
    <n v="0"/>
    <s v="CO2"/>
    <n v="30557.171999999999"/>
    <n v="5.4440000000000002E-2"/>
    <s v="SCF"/>
    <n v="1"/>
    <n v="561300"/>
    <s v="AR4"/>
    <s v="USEPA"/>
    <s v="USEPA (2022)"/>
    <n v="2022"/>
    <n v="2022"/>
    <n v="0"/>
    <n v="0"/>
    <x v="16"/>
    <s v="Warehouse"/>
  </r>
  <r>
    <n v="291071"/>
    <s v="Top of Hierarchy &gt; North America &gt; Vantage_Linden"/>
    <x v="1"/>
    <x v="0"/>
    <d v="2022-01-01T00:00:00"/>
    <d v="2022-12-31T00:00:00"/>
    <x v="3"/>
    <d v="2022-01-01T00:00:00"/>
    <d v="2022-12-31T00:00:00"/>
    <s v="Natural gas"/>
    <n v="561300"/>
    <s v="cubic feet"/>
    <x v="1"/>
    <m/>
    <s v="2023-05-03, 20:07"/>
    <s v="2023-07-20, 00:40"/>
    <n v="2022"/>
    <s v="natural_gas"/>
    <s v="Natural Gas"/>
    <s v="model"/>
    <b v="0"/>
    <s v="NATURAL GAS, NATURAL GAS"/>
    <x v="2"/>
    <x v="0"/>
    <s v="Americas"/>
    <s v="Northern America"/>
    <s v="US"/>
    <m/>
    <n v="0"/>
    <s v="CO2E"/>
    <n v="30588.352220000001"/>
    <n v="5.4495549999999997E-2"/>
    <s v="SCF"/>
    <n v="1"/>
    <n v="561300"/>
    <s v="AR4"/>
    <s v="USEPA"/>
    <s v="USEPA (2022)"/>
    <n v="2022"/>
    <n v="2022"/>
    <n v="30.588352220000001"/>
    <n v="0"/>
    <x v="16"/>
    <s v="Warehouse"/>
  </r>
  <r>
    <n v="291071"/>
    <s v="Top of Hierarchy &gt; North America &gt; Vantage_Linden"/>
    <x v="1"/>
    <x v="0"/>
    <d v="2022-01-01T00:00:00"/>
    <d v="2022-12-31T00:00:00"/>
    <x v="3"/>
    <d v="2022-01-01T00:00:00"/>
    <d v="2022-12-31T00:00:00"/>
    <s v="Natural gas"/>
    <n v="561300"/>
    <s v="cubic feet"/>
    <x v="1"/>
    <m/>
    <s v="2023-05-03, 20:07"/>
    <s v="2023-07-20, 00:40"/>
    <n v="2022"/>
    <s v="natural_gas"/>
    <s v="Natural Gas"/>
    <s v="model"/>
    <b v="0"/>
    <s v="NATURAL GAS, NATURAL GAS"/>
    <x v="2"/>
    <x v="0"/>
    <s v="Americas"/>
    <s v="Northern America"/>
    <s v="US"/>
    <m/>
    <n v="0"/>
    <s v="N2O"/>
    <n v="16.726739999999999"/>
    <n v="2.9799999999999999E-5"/>
    <s v="SCF"/>
    <n v="1"/>
    <n v="561300"/>
    <s v="AR4"/>
    <s v="USEPA"/>
    <s v="USEPA (2022)"/>
    <n v="2022"/>
    <n v="2022"/>
    <n v="0"/>
    <n v="0"/>
    <x v="16"/>
    <s v="Warehouse"/>
  </r>
  <r>
    <n v="291071"/>
    <s v="Top of Hierarchy &gt; North America &gt; Vantage_Linden"/>
    <x v="1"/>
    <x v="0"/>
    <d v="2022-01-01T00:00:00"/>
    <d v="2022-12-31T00:00:00"/>
    <x v="3"/>
    <d v="2022-01-01T00:00:00"/>
    <d v="2022-12-31T00:00:00"/>
    <s v="Natural gas"/>
    <n v="561300"/>
    <s v="cubic feet"/>
    <x v="1"/>
    <m/>
    <s v="2023-05-03, 20:07"/>
    <s v="2023-07-20, 00:40"/>
    <n v="2022"/>
    <s v="natural_gas"/>
    <s v="Natural Gas"/>
    <s v="model"/>
    <b v="0"/>
    <s v="NATURAL GAS, NATURAL GAS"/>
    <x v="2"/>
    <x v="0"/>
    <s v="Americas"/>
    <s v="Northern America"/>
    <s v="US"/>
    <m/>
    <n v="1"/>
    <s v="CH4"/>
    <n v="14.453474999999999"/>
    <n v="2.5749999999999999E-5"/>
    <s v="SCF"/>
    <n v="1"/>
    <n v="561300"/>
    <s v="AR4"/>
    <s v="USEPA"/>
    <s v="USEPA (2022)"/>
    <n v="2022"/>
    <n v="2022"/>
    <n v="0"/>
    <n v="0"/>
    <x v="16"/>
    <s v="Warehouse"/>
  </r>
  <r>
    <n v="291071"/>
    <s v="Top of Hierarchy &gt; North America &gt; Vantage_Linden"/>
    <x v="1"/>
    <x v="0"/>
    <d v="2022-01-01T00:00:00"/>
    <d v="2022-12-31T00:00:00"/>
    <x v="3"/>
    <d v="2022-01-01T00:00:00"/>
    <d v="2022-12-31T00:00:00"/>
    <s v="Natural gas"/>
    <n v="561300"/>
    <s v="cubic feet"/>
    <x v="1"/>
    <m/>
    <s v="2023-05-03, 20:07"/>
    <s v="2023-07-20, 00:40"/>
    <n v="2022"/>
    <s v="natural_gas"/>
    <s v="Natural Gas"/>
    <s v="model"/>
    <b v="0"/>
    <s v="NATURAL GAS, NATURAL GAS"/>
    <x v="2"/>
    <x v="0"/>
    <s v="Americas"/>
    <s v="Northern America"/>
    <s v="US"/>
    <m/>
    <n v="1"/>
    <s v="CO2"/>
    <n v="30557.171999999999"/>
    <n v="5.4440000000000002E-2"/>
    <s v="SCF"/>
    <n v="1"/>
    <n v="561300"/>
    <s v="AR4"/>
    <s v="USEPA"/>
    <s v="USEPA (2022)"/>
    <n v="2022"/>
    <n v="2022"/>
    <n v="0"/>
    <n v="0"/>
    <x v="16"/>
    <s v="Warehouse"/>
  </r>
  <r>
    <n v="291071"/>
    <s v="Top of Hierarchy &gt; North America &gt; Vantage_Linden"/>
    <x v="1"/>
    <x v="0"/>
    <d v="2022-01-01T00:00:00"/>
    <d v="2022-12-31T00:00:00"/>
    <x v="3"/>
    <d v="2022-01-01T00:00:00"/>
    <d v="2022-12-31T00:00:00"/>
    <s v="Natural gas"/>
    <n v="561300"/>
    <s v="cubic feet"/>
    <x v="1"/>
    <m/>
    <s v="2023-05-03, 20:07"/>
    <s v="2023-07-20, 00:40"/>
    <n v="2022"/>
    <s v="natural_gas"/>
    <s v="Natural Gas"/>
    <s v="model"/>
    <b v="0"/>
    <s v="NATURAL GAS, NATURAL GAS"/>
    <x v="2"/>
    <x v="0"/>
    <s v="Americas"/>
    <s v="Northern America"/>
    <s v="US"/>
    <m/>
    <n v="1"/>
    <s v="CO2E"/>
    <n v="30588.352220000001"/>
    <n v="5.4495549999999997E-2"/>
    <s v="SCF"/>
    <n v="1"/>
    <n v="561300"/>
    <s v="AR4"/>
    <s v="USEPA"/>
    <s v="USEPA (2022)"/>
    <n v="2022"/>
    <n v="2022"/>
    <n v="0"/>
    <n v="30.588352220000001"/>
    <x v="16"/>
    <s v="Warehouse"/>
  </r>
  <r>
    <n v="291071"/>
    <s v="Top of Hierarchy &gt; North America &gt; Vantage_Linden"/>
    <x v="1"/>
    <x v="0"/>
    <d v="2022-01-01T00:00:00"/>
    <d v="2022-12-31T00:00:00"/>
    <x v="3"/>
    <d v="2022-01-01T00:00:00"/>
    <d v="2022-12-31T00:00:00"/>
    <s v="Natural gas"/>
    <n v="561300"/>
    <s v="cubic feet"/>
    <x v="1"/>
    <m/>
    <s v="2023-05-03, 20:07"/>
    <s v="2023-07-20, 00:40"/>
    <n v="2022"/>
    <s v="natural_gas"/>
    <s v="Natural Gas"/>
    <s v="model"/>
    <b v="0"/>
    <s v="NATURAL GAS, NATURAL GAS"/>
    <x v="2"/>
    <x v="0"/>
    <s v="Americas"/>
    <s v="Northern America"/>
    <s v="US"/>
    <m/>
    <n v="1"/>
    <s v="N2O"/>
    <n v="16.726739999999999"/>
    <n v="2.9799999999999999E-5"/>
    <s v="SCF"/>
    <n v="1"/>
    <n v="561300"/>
    <s v="AR4"/>
    <s v="USEPA"/>
    <s v="USEPA (2022)"/>
    <n v="2022"/>
    <n v="2022"/>
    <n v="0"/>
    <n v="0"/>
    <x v="16"/>
    <s v="Warehouse"/>
  </r>
  <r>
    <n v="291071"/>
    <s v="Top of Hierarchy &gt; North America &gt; Vantage_Linden"/>
    <x v="1"/>
    <x v="0"/>
    <d v="2022-01-01T00:00:00"/>
    <d v="2022-12-31T00:00:00"/>
    <x v="3"/>
    <d v="2022-01-01T00:00:00"/>
    <d v="2022-12-31T00:00:00"/>
    <s v="Natural gas"/>
    <n v="561300"/>
    <s v="cubic feet"/>
    <x v="1"/>
    <m/>
    <s v="2023-05-03, 20:07"/>
    <s v="2023-07-20, 00:40"/>
    <n v="2022"/>
    <s v="natural_gas__wtt"/>
    <s v="Natural Gas WTT"/>
    <s v="wtt"/>
    <b v="0"/>
    <s v="WTT- FUELS; GASEOUS FUELS; NATURAL GAS"/>
    <x v="1"/>
    <x v="1"/>
    <m/>
    <m/>
    <m/>
    <m/>
    <n v="0"/>
    <s v="CO2E"/>
    <n v="5458.0750930000004"/>
    <n v="0.34339999999999998"/>
    <s v="CUBIC METRES"/>
    <n v="2.83168E-2"/>
    <n v="15894.21984"/>
    <s v="AR4"/>
    <s v="Defra"/>
    <s v="Defra (2022)"/>
    <n v="2022"/>
    <n v="2020"/>
    <n v="5.4580750930000006"/>
    <n v="0"/>
    <x v="16"/>
    <s v="Warehouse"/>
  </r>
  <r>
    <n v="291071"/>
    <s v="Top of Hierarchy &gt; North America &gt; Vantage_Linden"/>
    <x v="1"/>
    <x v="0"/>
    <d v="2022-01-01T00:00:00"/>
    <d v="2022-12-31T00:00:00"/>
    <x v="3"/>
    <d v="2022-01-01T00:00:00"/>
    <d v="2022-12-31T00:00:00"/>
    <s v="Natural gas"/>
    <n v="561300"/>
    <s v="cubic feet"/>
    <x v="1"/>
    <m/>
    <s v="2023-05-03, 20:07"/>
    <s v="2023-07-20, 00:40"/>
    <n v="2022"/>
    <s v="natural_gas__wtt"/>
    <s v="Natural Gas WTT"/>
    <s v="wtt"/>
    <b v="0"/>
    <s v="WTT- FUELS; GASEOUS FUELS; NATURAL GAS"/>
    <x v="1"/>
    <x v="1"/>
    <m/>
    <m/>
    <m/>
    <m/>
    <n v="1"/>
    <s v="CO2E"/>
    <n v="5458.0750930000004"/>
    <n v="0.34339999999999998"/>
    <s v="CUBIC METRES"/>
    <n v="2.83168E-2"/>
    <n v="15894.21984"/>
    <s v="AR4"/>
    <s v="Defra"/>
    <s v="Defra (2022)"/>
    <n v="2022"/>
    <n v="2020"/>
    <n v="0"/>
    <n v="5.4580750930000006"/>
    <x v="16"/>
    <s v="Warehouse"/>
  </r>
  <r>
    <n v="1590454"/>
    <s v="Top of Hierarchy &gt; North America &gt; Vantage_Linden"/>
    <x v="1"/>
    <x v="0"/>
    <d v="2022-01-01T00:00:00"/>
    <d v="2022-12-31T00:00:00"/>
    <x v="4"/>
    <d v="2022-01-01T00:00:00"/>
    <d v="2022-12-31T00:00:00"/>
    <s v="R-134A"/>
    <n v="14.287000000000001"/>
    <s v="kilograms"/>
    <x v="0"/>
    <s v="Estimated from square footage. Assumed R134a."/>
    <s v="2023-07-25, 17:50"/>
    <s v="2023-07-25, 17:50"/>
    <n v="2022"/>
    <s v="hfc-134a"/>
    <s v="HFC-134A"/>
    <s v="model"/>
    <b v="0"/>
    <s v="REFRIGERANT: R-134A"/>
    <x v="2"/>
    <x v="0"/>
    <m/>
    <m/>
    <m/>
    <m/>
    <n v="0"/>
    <s v="CO2E"/>
    <n v="20430.41"/>
    <n v="1430"/>
    <s v="KG"/>
    <n v="1"/>
    <n v="14.287000000000001"/>
    <s v="AR4"/>
    <s v="IPCC"/>
    <s v="IPCC (2021)"/>
    <n v="2022"/>
    <n v="2007"/>
    <n v="20.430409999999998"/>
    <n v="0"/>
    <x v="16"/>
    <s v="Warehouse"/>
  </r>
  <r>
    <n v="1590454"/>
    <s v="Top of Hierarchy &gt; North America &gt; Vantage_Linden"/>
    <x v="1"/>
    <x v="0"/>
    <d v="2022-01-01T00:00:00"/>
    <d v="2022-12-31T00:00:00"/>
    <x v="4"/>
    <d v="2022-01-01T00:00:00"/>
    <d v="2022-12-31T00:00:00"/>
    <s v="R-134A"/>
    <n v="14.287000000000001"/>
    <s v="kilograms"/>
    <x v="0"/>
    <s v="Estimated from square footage. Assumed R134a."/>
    <s v="2023-07-25, 17:50"/>
    <s v="2023-07-25, 17:50"/>
    <n v="2022"/>
    <s v="hfc-134a"/>
    <s v="HFC-134A"/>
    <s v="model"/>
    <b v="0"/>
    <s v="REFRIGERANT: R-134A"/>
    <x v="2"/>
    <x v="0"/>
    <m/>
    <m/>
    <m/>
    <m/>
    <n v="1"/>
    <s v="CO2E"/>
    <n v="20430.41"/>
    <n v="1430"/>
    <s v="KG"/>
    <n v="1"/>
    <n v="14.287000000000001"/>
    <s v="AR4"/>
    <s v="IPCC"/>
    <s v="IPCC (2021)"/>
    <n v="2022"/>
    <n v="2007"/>
    <n v="0"/>
    <n v="20.430409999999998"/>
    <x v="16"/>
    <s v="Warehouse"/>
  </r>
  <r>
    <n v="291088"/>
    <s v="Top of Hierarchy &gt; North America &gt; Vantage_Linden"/>
    <x v="1"/>
    <x v="0"/>
    <d v="2022-01-01T00:00:00"/>
    <d v="2022-12-31T00:00:00"/>
    <x v="2"/>
    <d v="2022-01-01T00:00:00"/>
    <d v="2022-12-31T00:00:00"/>
    <s v="Propane"/>
    <n v="2706"/>
    <s v="pounds"/>
    <x v="1"/>
    <m/>
    <s v="2023-05-03, 21:17"/>
    <s v="2023-07-20, 00:40"/>
    <n v="2022"/>
    <s v="propane"/>
    <s v="Propane"/>
    <s v="model"/>
    <b v="0"/>
    <s v="FUELS; GASEOUS FUELS; PROPANE"/>
    <x v="2"/>
    <x v="0"/>
    <m/>
    <m/>
    <m/>
    <m/>
    <n v="0"/>
    <s v="CH4"/>
    <n v="2.8353275870000001"/>
    <n v="2.31"/>
    <s v="TONNES"/>
    <n v="4.5359000000000003E-4"/>
    <n v="1.2274145400000001"/>
    <s v="AR4"/>
    <s v="Defra"/>
    <s v="Defra (2022)"/>
    <n v="2022"/>
    <n v="2020"/>
    <n v="0"/>
    <n v="0"/>
    <x v="16"/>
    <s v="Warehouse"/>
  </r>
  <r>
    <n v="291088"/>
    <s v="Top of Hierarchy &gt; North America &gt; Vantage_Linden"/>
    <x v="1"/>
    <x v="0"/>
    <d v="2022-01-01T00:00:00"/>
    <d v="2022-12-31T00:00:00"/>
    <x v="2"/>
    <d v="2022-01-01T00:00:00"/>
    <d v="2022-12-31T00:00:00"/>
    <s v="Propane"/>
    <n v="2706"/>
    <s v="pounds"/>
    <x v="1"/>
    <m/>
    <s v="2023-05-03, 21:17"/>
    <s v="2023-07-20, 00:40"/>
    <n v="2022"/>
    <s v="propane"/>
    <s v="Propane"/>
    <s v="model"/>
    <b v="0"/>
    <s v="FUELS; GASEOUS FUELS; PROPANE"/>
    <x v="2"/>
    <x v="0"/>
    <m/>
    <m/>
    <m/>
    <m/>
    <n v="0"/>
    <s v="CO2"/>
    <n v="3674.1426839999999"/>
    <n v="2993.4"/>
    <s v="TONNES"/>
    <n v="4.5359000000000003E-4"/>
    <n v="1.2274145400000001"/>
    <s v="AR4"/>
    <s v="Defra"/>
    <s v="Defra (2022)"/>
    <n v="2022"/>
    <n v="2020"/>
    <n v="0"/>
    <n v="0"/>
    <x v="16"/>
    <s v="Warehouse"/>
  </r>
  <r>
    <n v="291088"/>
    <s v="Top of Hierarchy &gt; North America &gt; Vantage_Linden"/>
    <x v="1"/>
    <x v="0"/>
    <d v="2022-01-01T00:00:00"/>
    <d v="2022-12-31T00:00:00"/>
    <x v="2"/>
    <d v="2022-01-01T00:00:00"/>
    <d v="2022-12-31T00:00:00"/>
    <s v="Propane"/>
    <n v="2706"/>
    <s v="pounds"/>
    <x v="1"/>
    <m/>
    <s v="2023-05-03, 21:17"/>
    <s v="2023-07-20, 00:40"/>
    <n v="2022"/>
    <s v="propane"/>
    <s v="Propane"/>
    <s v="model"/>
    <b v="0"/>
    <s v="FUELS; GASEOUS FUELS; PROPANE"/>
    <x v="2"/>
    <x v="0"/>
    <m/>
    <m/>
    <m/>
    <m/>
    <n v="0"/>
    <s v="CO2E"/>
    <n v="3679.2487289999999"/>
    <n v="2997.56"/>
    <s v="TONNES"/>
    <n v="4.5359000000000003E-4"/>
    <n v="1.2274145400000001"/>
    <s v="AR4"/>
    <s v="Defra"/>
    <s v="Defra (2022)"/>
    <n v="2022"/>
    <n v="2020"/>
    <n v="3.6792487289999998"/>
    <n v="0"/>
    <x v="16"/>
    <s v="Warehouse"/>
  </r>
  <r>
    <n v="291088"/>
    <s v="Top of Hierarchy &gt; North America &gt; Vantage_Linden"/>
    <x v="1"/>
    <x v="0"/>
    <d v="2022-01-01T00:00:00"/>
    <d v="2022-12-31T00:00:00"/>
    <x v="2"/>
    <d v="2022-01-01T00:00:00"/>
    <d v="2022-12-31T00:00:00"/>
    <s v="Propane"/>
    <n v="2706"/>
    <s v="pounds"/>
    <x v="1"/>
    <m/>
    <s v="2023-05-03, 21:17"/>
    <s v="2023-07-20, 00:40"/>
    <n v="2022"/>
    <s v="propane"/>
    <s v="Propane"/>
    <s v="model"/>
    <b v="0"/>
    <s v="FUELS; GASEOUS FUELS; PROPANE"/>
    <x v="2"/>
    <x v="0"/>
    <m/>
    <m/>
    <m/>
    <m/>
    <n v="0"/>
    <s v="N2O"/>
    <n v="2.270716899"/>
    <n v="1.85"/>
    <s v="TONNES"/>
    <n v="4.5359000000000003E-4"/>
    <n v="1.2274145400000001"/>
    <s v="AR4"/>
    <s v="Defra"/>
    <s v="Defra (2022)"/>
    <n v="2022"/>
    <n v="2020"/>
    <n v="0"/>
    <n v="0"/>
    <x v="16"/>
    <s v="Warehouse"/>
  </r>
  <r>
    <n v="291088"/>
    <s v="Top of Hierarchy &gt; North America &gt; Vantage_Linden"/>
    <x v="1"/>
    <x v="0"/>
    <d v="2022-01-01T00:00:00"/>
    <d v="2022-12-31T00:00:00"/>
    <x v="2"/>
    <d v="2022-01-01T00:00:00"/>
    <d v="2022-12-31T00:00:00"/>
    <s v="Propane"/>
    <n v="2706"/>
    <s v="pounds"/>
    <x v="1"/>
    <m/>
    <s v="2023-05-03, 21:17"/>
    <s v="2023-07-20, 00:40"/>
    <n v="2022"/>
    <s v="propane"/>
    <s v="Propane"/>
    <s v="model"/>
    <b v="0"/>
    <s v="FUELS; GASEOUS FUELS; PROPANE"/>
    <x v="2"/>
    <x v="0"/>
    <m/>
    <m/>
    <m/>
    <m/>
    <n v="1"/>
    <s v="CH4"/>
    <n v="2.8353275870000001"/>
    <n v="2.31"/>
    <s v="TONNES"/>
    <n v="4.5359000000000003E-4"/>
    <n v="1.2274145400000001"/>
    <s v="AR4"/>
    <s v="Defra"/>
    <s v="Defra (2022)"/>
    <n v="2022"/>
    <n v="2020"/>
    <n v="0"/>
    <n v="0"/>
    <x v="16"/>
    <s v="Warehouse"/>
  </r>
  <r>
    <n v="291088"/>
    <s v="Top of Hierarchy &gt; North America &gt; Vantage_Linden"/>
    <x v="1"/>
    <x v="0"/>
    <d v="2022-01-01T00:00:00"/>
    <d v="2022-12-31T00:00:00"/>
    <x v="2"/>
    <d v="2022-01-01T00:00:00"/>
    <d v="2022-12-31T00:00:00"/>
    <s v="Propane"/>
    <n v="2706"/>
    <s v="pounds"/>
    <x v="1"/>
    <m/>
    <s v="2023-05-03, 21:17"/>
    <s v="2023-07-20, 00:40"/>
    <n v="2022"/>
    <s v="propane"/>
    <s v="Propane"/>
    <s v="model"/>
    <b v="0"/>
    <s v="FUELS; GASEOUS FUELS; PROPANE"/>
    <x v="2"/>
    <x v="0"/>
    <m/>
    <m/>
    <m/>
    <m/>
    <n v="1"/>
    <s v="CO2"/>
    <n v="3674.1426839999999"/>
    <n v="2993.4"/>
    <s v="TONNES"/>
    <n v="4.5359000000000003E-4"/>
    <n v="1.2274145400000001"/>
    <s v="AR4"/>
    <s v="Defra"/>
    <s v="Defra (2022)"/>
    <n v="2022"/>
    <n v="2020"/>
    <n v="0"/>
    <n v="0"/>
    <x v="16"/>
    <s v="Warehouse"/>
  </r>
  <r>
    <n v="291088"/>
    <s v="Top of Hierarchy &gt; North America &gt; Vantage_Linden"/>
    <x v="1"/>
    <x v="0"/>
    <d v="2022-01-01T00:00:00"/>
    <d v="2022-12-31T00:00:00"/>
    <x v="2"/>
    <d v="2022-01-01T00:00:00"/>
    <d v="2022-12-31T00:00:00"/>
    <s v="Propane"/>
    <n v="2706"/>
    <s v="pounds"/>
    <x v="1"/>
    <m/>
    <s v="2023-05-03, 21:17"/>
    <s v="2023-07-20, 00:40"/>
    <n v="2022"/>
    <s v="propane"/>
    <s v="Propane"/>
    <s v="model"/>
    <b v="0"/>
    <s v="FUELS; GASEOUS FUELS; PROPANE"/>
    <x v="2"/>
    <x v="0"/>
    <m/>
    <m/>
    <m/>
    <m/>
    <n v="1"/>
    <s v="CO2E"/>
    <n v="3679.2487289999999"/>
    <n v="2997.56"/>
    <s v="TONNES"/>
    <n v="4.5359000000000003E-4"/>
    <n v="1.2274145400000001"/>
    <s v="AR4"/>
    <s v="Defra"/>
    <s v="Defra (2022)"/>
    <n v="2022"/>
    <n v="2020"/>
    <n v="0"/>
    <n v="3.6792487289999998"/>
    <x v="16"/>
    <s v="Warehouse"/>
  </r>
  <r>
    <n v="291088"/>
    <s v="Top of Hierarchy &gt; North America &gt; Vantage_Linden"/>
    <x v="1"/>
    <x v="0"/>
    <d v="2022-01-01T00:00:00"/>
    <d v="2022-12-31T00:00:00"/>
    <x v="2"/>
    <d v="2022-01-01T00:00:00"/>
    <d v="2022-12-31T00:00:00"/>
    <s v="Propane"/>
    <n v="2706"/>
    <s v="pounds"/>
    <x v="1"/>
    <m/>
    <s v="2023-05-03, 21:17"/>
    <s v="2023-07-20, 00:40"/>
    <n v="2022"/>
    <s v="propane"/>
    <s v="Propane"/>
    <s v="model"/>
    <b v="0"/>
    <s v="FUELS; GASEOUS FUELS; PROPANE"/>
    <x v="2"/>
    <x v="0"/>
    <m/>
    <m/>
    <m/>
    <m/>
    <n v="1"/>
    <s v="N2O"/>
    <n v="2.270716899"/>
    <n v="1.85"/>
    <s v="TONNES"/>
    <n v="4.5359000000000003E-4"/>
    <n v="1.2274145400000001"/>
    <s v="AR4"/>
    <s v="Defra"/>
    <s v="Defra (2022)"/>
    <n v="2022"/>
    <n v="2020"/>
    <n v="0"/>
    <n v="0"/>
    <x v="16"/>
    <s v="Warehouse"/>
  </r>
  <r>
    <n v="291088"/>
    <s v="Top of Hierarchy &gt; North America &gt; Vantage_Linden"/>
    <x v="1"/>
    <x v="0"/>
    <d v="2022-01-01T00:00:00"/>
    <d v="2022-12-31T00:00:00"/>
    <x v="2"/>
    <d v="2022-01-01T00:00:00"/>
    <d v="2022-12-31T00:00:00"/>
    <s v="Propane"/>
    <n v="2706"/>
    <s v="pounds"/>
    <x v="1"/>
    <m/>
    <s v="2023-05-03, 21:17"/>
    <s v="2023-07-20, 00:40"/>
    <n v="2022"/>
    <s v="propane__wtt"/>
    <s v="Propane WTT"/>
    <s v="wtt"/>
    <b v="0"/>
    <s v="WTT- FUELS; GASEOUS FUELS; PROPANE"/>
    <x v="1"/>
    <x v="1"/>
    <m/>
    <m/>
    <m/>
    <m/>
    <n v="0"/>
    <s v="CO2E"/>
    <n v="430.15427449999999"/>
    <n v="350.45558"/>
    <s v="TONNES"/>
    <n v="4.5359000000000003E-4"/>
    <n v="1.2274145400000001"/>
    <s v="AR4"/>
    <s v="Defra"/>
    <s v="Defra (2022)"/>
    <n v="2022"/>
    <n v="2020"/>
    <n v="0.43015427449999999"/>
    <n v="0"/>
    <x v="16"/>
    <s v="Warehouse"/>
  </r>
  <r>
    <n v="291088"/>
    <s v="Top of Hierarchy &gt; North America &gt; Vantage_Linden"/>
    <x v="1"/>
    <x v="0"/>
    <d v="2022-01-01T00:00:00"/>
    <d v="2022-12-31T00:00:00"/>
    <x v="2"/>
    <d v="2022-01-01T00:00:00"/>
    <d v="2022-12-31T00:00:00"/>
    <s v="Propane"/>
    <n v="2706"/>
    <s v="pounds"/>
    <x v="1"/>
    <m/>
    <s v="2023-05-03, 21:17"/>
    <s v="2023-07-20, 00:40"/>
    <n v="2022"/>
    <s v="propane__wtt"/>
    <s v="Propane WTT"/>
    <s v="wtt"/>
    <b v="0"/>
    <s v="WTT- FUELS; GASEOUS FUELS; PROPANE"/>
    <x v="1"/>
    <x v="1"/>
    <m/>
    <m/>
    <m/>
    <m/>
    <n v="1"/>
    <s v="CO2E"/>
    <n v="430.15427449999999"/>
    <n v="350.45558"/>
    <s v="TONNES"/>
    <n v="4.5359000000000003E-4"/>
    <n v="1.2274145400000001"/>
    <s v="AR4"/>
    <s v="Defra"/>
    <s v="Defra (2022)"/>
    <n v="2022"/>
    <n v="2020"/>
    <n v="0"/>
    <n v="0.43015427449999999"/>
    <x v="16"/>
    <s v="Warehouse"/>
  </r>
  <r>
    <n v="291426"/>
    <s v="Top of Hierarchy &gt; North America &gt; Vantage_Linden"/>
    <x v="1"/>
    <x v="0"/>
    <d v="2022-01-01T00:00:00"/>
    <d v="2022-12-31T00:00:00"/>
    <x v="2"/>
    <d v="2022-01-01T00:00:00"/>
    <d v="2022-12-31T00:00:00"/>
    <s v="Propane"/>
    <n v="1774.31"/>
    <s v="US liquid gallons"/>
    <x v="1"/>
    <s v="Linde Gas"/>
    <s v="2023-05-04, 18:54"/>
    <s v="2023-07-20, 00:40"/>
    <n v="2022"/>
    <s v="propane"/>
    <s v="Propane"/>
    <s v="model"/>
    <b v="0"/>
    <s v="PETROLEUM PRODUCTS, PROPANE"/>
    <x v="2"/>
    <x v="0"/>
    <s v="Americas"/>
    <s v="Northern America"/>
    <s v="US"/>
    <m/>
    <n v="0"/>
    <s v="CH4"/>
    <n v="11.976592500000001"/>
    <n v="6.7499999999999999E-3"/>
    <s v="GALLON (US LIQUID)"/>
    <n v="1"/>
    <n v="1774.31"/>
    <s v="AR4"/>
    <s v="USEPA"/>
    <s v="USEPA Emission Factors Hub (Last Modified: March 2020)"/>
    <n v="2022"/>
    <n v="2021"/>
    <n v="0"/>
    <n v="0"/>
    <x v="16"/>
    <s v="Warehouse"/>
  </r>
  <r>
    <n v="291426"/>
    <s v="Top of Hierarchy &gt; North America &gt; Vantage_Linden"/>
    <x v="1"/>
    <x v="0"/>
    <d v="2022-01-01T00:00:00"/>
    <d v="2022-12-31T00:00:00"/>
    <x v="2"/>
    <d v="2022-01-01T00:00:00"/>
    <d v="2022-12-31T00:00:00"/>
    <s v="Propane"/>
    <n v="1774.31"/>
    <s v="US liquid gallons"/>
    <x v="1"/>
    <s v="Linde Gas"/>
    <s v="2023-05-04, 18:54"/>
    <s v="2023-07-20, 00:40"/>
    <n v="2022"/>
    <s v="propane"/>
    <s v="Propane"/>
    <s v="model"/>
    <b v="0"/>
    <s v="PETROLEUM PRODUCTS, PROPANE"/>
    <x v="2"/>
    <x v="0"/>
    <s v="Americas"/>
    <s v="Northern America"/>
    <s v="US"/>
    <m/>
    <n v="0"/>
    <s v="CO2"/>
    <n v="10149.0532"/>
    <n v="5.72"/>
    <s v="GALLON (US LIQUID)"/>
    <n v="1"/>
    <n v="1774.31"/>
    <s v="AR4"/>
    <s v="USEPA"/>
    <s v="USEPA (2022)"/>
    <n v="2022"/>
    <n v="2022"/>
    <n v="0"/>
    <n v="0"/>
    <x v="16"/>
    <s v="Warehouse"/>
  </r>
  <r>
    <n v="291426"/>
    <s v="Top of Hierarchy &gt; North America &gt; Vantage_Linden"/>
    <x v="1"/>
    <x v="0"/>
    <d v="2022-01-01T00:00:00"/>
    <d v="2022-12-31T00:00:00"/>
    <x v="2"/>
    <d v="2022-01-01T00:00:00"/>
    <d v="2022-12-31T00:00:00"/>
    <s v="Propane"/>
    <n v="1774.31"/>
    <s v="US liquid gallons"/>
    <x v="1"/>
    <s v="Linde Gas"/>
    <s v="2023-05-04, 18:54"/>
    <s v="2023-07-20, 00:40"/>
    <n v="2022"/>
    <s v="propane"/>
    <s v="Propane"/>
    <s v="model"/>
    <b v="0"/>
    <s v="PETROLEUM PRODUCTS, PROPANE"/>
    <x v="2"/>
    <x v="0"/>
    <s v="Americas"/>
    <s v="Northern America"/>
    <s v="US"/>
    <m/>
    <n v="0"/>
    <s v="CO2E"/>
    <n v="10187.46701"/>
    <n v="5.7416499999999999"/>
    <s v="GALLON (US LIQUID)"/>
    <n v="1"/>
    <n v="1774.31"/>
    <s v="AR4"/>
    <s v="USEPA"/>
    <s v="USEPA (2022)"/>
    <n v="2022"/>
    <n v="2022"/>
    <n v="10.187467010000001"/>
    <n v="0"/>
    <x v="16"/>
    <s v="Warehouse"/>
  </r>
  <r>
    <n v="291426"/>
    <s v="Top of Hierarchy &gt; North America &gt; Vantage_Linden"/>
    <x v="1"/>
    <x v="0"/>
    <d v="2022-01-01T00:00:00"/>
    <d v="2022-12-31T00:00:00"/>
    <x v="2"/>
    <d v="2022-01-01T00:00:00"/>
    <d v="2022-12-31T00:00:00"/>
    <s v="Propane"/>
    <n v="1774.31"/>
    <s v="US liquid gallons"/>
    <x v="1"/>
    <s v="Linde Gas"/>
    <s v="2023-05-04, 18:54"/>
    <s v="2023-07-20, 00:40"/>
    <n v="2022"/>
    <s v="propane"/>
    <s v="Propane"/>
    <s v="model"/>
    <b v="0"/>
    <s v="PETROLEUM PRODUCTS, PROPANE"/>
    <x v="2"/>
    <x v="0"/>
    <s v="Americas"/>
    <s v="Northern America"/>
    <s v="US"/>
    <m/>
    <n v="0"/>
    <s v="N2O"/>
    <n v="26.437218999999999"/>
    <n v="1.49E-2"/>
    <s v="GALLON (US LIQUID)"/>
    <n v="1"/>
    <n v="1774.31"/>
    <s v="AR4"/>
    <s v="USEPA"/>
    <s v="USEPA Emission Factors Hub (Last Modified: March 2020)"/>
    <n v="2022"/>
    <n v="2021"/>
    <n v="0"/>
    <n v="0"/>
    <x v="16"/>
    <s v="Warehouse"/>
  </r>
  <r>
    <n v="291426"/>
    <s v="Top of Hierarchy &gt; North America &gt; Vantage_Linden"/>
    <x v="1"/>
    <x v="0"/>
    <d v="2022-01-01T00:00:00"/>
    <d v="2022-12-31T00:00:00"/>
    <x v="2"/>
    <d v="2022-01-01T00:00:00"/>
    <d v="2022-12-31T00:00:00"/>
    <s v="Propane"/>
    <n v="1774.31"/>
    <s v="US liquid gallons"/>
    <x v="1"/>
    <s v="Linde Gas"/>
    <s v="2023-05-04, 18:54"/>
    <s v="2023-07-20, 00:40"/>
    <n v="2022"/>
    <s v="propane"/>
    <s v="Propane"/>
    <s v="model"/>
    <b v="0"/>
    <s v="PETROLEUM PRODUCTS, PROPANE"/>
    <x v="2"/>
    <x v="0"/>
    <s v="Americas"/>
    <s v="Northern America"/>
    <s v="US"/>
    <m/>
    <n v="1"/>
    <s v="CH4"/>
    <n v="11.976592500000001"/>
    <n v="6.7499999999999999E-3"/>
    <s v="GALLON (US LIQUID)"/>
    <n v="1"/>
    <n v="1774.31"/>
    <s v="AR4"/>
    <s v="USEPA"/>
    <s v="USEPA Emission Factors Hub (Last Modified: March 2020)"/>
    <n v="2022"/>
    <n v="2021"/>
    <n v="0"/>
    <n v="0"/>
    <x v="16"/>
    <s v="Warehouse"/>
  </r>
  <r>
    <n v="291426"/>
    <s v="Top of Hierarchy &gt; North America &gt; Vantage_Linden"/>
    <x v="1"/>
    <x v="0"/>
    <d v="2022-01-01T00:00:00"/>
    <d v="2022-12-31T00:00:00"/>
    <x v="2"/>
    <d v="2022-01-01T00:00:00"/>
    <d v="2022-12-31T00:00:00"/>
    <s v="Propane"/>
    <n v="1774.31"/>
    <s v="US liquid gallons"/>
    <x v="1"/>
    <s v="Linde Gas"/>
    <s v="2023-05-04, 18:54"/>
    <s v="2023-07-20, 00:40"/>
    <n v="2022"/>
    <s v="propane"/>
    <s v="Propane"/>
    <s v="model"/>
    <b v="0"/>
    <s v="PETROLEUM PRODUCTS, PROPANE"/>
    <x v="2"/>
    <x v="0"/>
    <s v="Americas"/>
    <s v="Northern America"/>
    <s v="US"/>
    <m/>
    <n v="1"/>
    <s v="CO2"/>
    <n v="10149.0532"/>
    <n v="5.72"/>
    <s v="GALLON (US LIQUID)"/>
    <n v="1"/>
    <n v="1774.31"/>
    <s v="AR4"/>
    <s v="USEPA"/>
    <s v="USEPA (2022)"/>
    <n v="2022"/>
    <n v="2022"/>
    <n v="0"/>
    <n v="0"/>
    <x v="16"/>
    <s v="Warehouse"/>
  </r>
  <r>
    <n v="291426"/>
    <s v="Top of Hierarchy &gt; North America &gt; Vantage_Linden"/>
    <x v="1"/>
    <x v="0"/>
    <d v="2022-01-01T00:00:00"/>
    <d v="2022-12-31T00:00:00"/>
    <x v="2"/>
    <d v="2022-01-01T00:00:00"/>
    <d v="2022-12-31T00:00:00"/>
    <s v="Propane"/>
    <n v="1774.31"/>
    <s v="US liquid gallons"/>
    <x v="1"/>
    <s v="Linde Gas"/>
    <s v="2023-05-04, 18:54"/>
    <s v="2023-07-20, 00:40"/>
    <n v="2022"/>
    <s v="propane"/>
    <s v="Propane"/>
    <s v="model"/>
    <b v="0"/>
    <s v="PETROLEUM PRODUCTS, PROPANE"/>
    <x v="2"/>
    <x v="0"/>
    <s v="Americas"/>
    <s v="Northern America"/>
    <s v="US"/>
    <m/>
    <n v="1"/>
    <s v="CO2E"/>
    <n v="10187.46701"/>
    <n v="5.7416499999999999"/>
    <s v="GALLON (US LIQUID)"/>
    <n v="1"/>
    <n v="1774.31"/>
    <s v="AR4"/>
    <s v="USEPA"/>
    <s v="USEPA (2022)"/>
    <n v="2022"/>
    <n v="2022"/>
    <n v="0"/>
    <n v="10.187467010000001"/>
    <x v="16"/>
    <s v="Warehouse"/>
  </r>
  <r>
    <n v="291426"/>
    <s v="Top of Hierarchy &gt; North America &gt; Vantage_Linden"/>
    <x v="1"/>
    <x v="0"/>
    <d v="2022-01-01T00:00:00"/>
    <d v="2022-12-31T00:00:00"/>
    <x v="2"/>
    <d v="2022-01-01T00:00:00"/>
    <d v="2022-12-31T00:00:00"/>
    <s v="Propane"/>
    <n v="1774.31"/>
    <s v="US liquid gallons"/>
    <x v="1"/>
    <s v="Linde Gas"/>
    <s v="2023-05-04, 18:54"/>
    <s v="2023-07-20, 00:40"/>
    <n v="2022"/>
    <s v="propane"/>
    <s v="Propane"/>
    <s v="model"/>
    <b v="0"/>
    <s v="PETROLEUM PRODUCTS, PROPANE"/>
    <x v="2"/>
    <x v="0"/>
    <s v="Americas"/>
    <s v="Northern America"/>
    <s v="US"/>
    <m/>
    <n v="1"/>
    <s v="N2O"/>
    <n v="26.437218999999999"/>
    <n v="1.49E-2"/>
    <s v="GALLON (US LIQUID)"/>
    <n v="1"/>
    <n v="1774.31"/>
    <s v="AR4"/>
    <s v="USEPA"/>
    <s v="USEPA Emission Factors Hub (Last Modified: March 2020)"/>
    <n v="2022"/>
    <n v="2021"/>
    <n v="0"/>
    <n v="0"/>
    <x v="16"/>
    <s v="Warehouse"/>
  </r>
  <r>
    <n v="291426"/>
    <s v="Top of Hierarchy &gt; North America &gt; Vantage_Linden"/>
    <x v="1"/>
    <x v="0"/>
    <d v="2022-01-01T00:00:00"/>
    <d v="2022-12-31T00:00:00"/>
    <x v="2"/>
    <d v="2022-01-01T00:00:00"/>
    <d v="2022-12-31T00:00:00"/>
    <s v="Propane"/>
    <n v="1774.31"/>
    <s v="US liquid gallons"/>
    <x v="1"/>
    <s v="Linde Gas"/>
    <s v="2023-05-04, 18:54"/>
    <s v="2023-07-20, 00:40"/>
    <n v="2022"/>
    <s v="propane__wtt"/>
    <s v="Propane WTT"/>
    <s v="wtt"/>
    <b v="0"/>
    <s v="WTT- FUELS; GASEOUS FUELS; PROPANE"/>
    <x v="1"/>
    <x v="1"/>
    <m/>
    <m/>
    <m/>
    <m/>
    <n v="0"/>
    <s v="CO2E"/>
    <n v="1212.057933"/>
    <n v="0.18046000000000001"/>
    <s v="LITRES"/>
    <n v="3.7854100000000002"/>
    <n v="6716.4908169999999"/>
    <s v="AR4"/>
    <s v="Defra"/>
    <s v="Defra (2022)"/>
    <n v="2022"/>
    <n v="2020"/>
    <n v="1.2120579330000001"/>
    <n v="0"/>
    <x v="16"/>
    <s v="Warehouse"/>
  </r>
  <r>
    <n v="291426"/>
    <s v="Top of Hierarchy &gt; North America &gt; Vantage_Linden"/>
    <x v="1"/>
    <x v="0"/>
    <d v="2022-01-01T00:00:00"/>
    <d v="2022-12-31T00:00:00"/>
    <x v="2"/>
    <d v="2022-01-01T00:00:00"/>
    <d v="2022-12-31T00:00:00"/>
    <s v="Propane"/>
    <n v="1774.31"/>
    <s v="US liquid gallons"/>
    <x v="1"/>
    <s v="Linde Gas"/>
    <s v="2023-05-04, 18:54"/>
    <s v="2023-07-20, 00:40"/>
    <n v="2022"/>
    <s v="propane__wtt"/>
    <s v="Propane WTT"/>
    <s v="wtt"/>
    <b v="0"/>
    <s v="WTT- FUELS; GASEOUS FUELS; PROPANE"/>
    <x v="1"/>
    <x v="1"/>
    <m/>
    <m/>
    <m/>
    <m/>
    <n v="1"/>
    <s v="CO2E"/>
    <n v="1212.057933"/>
    <n v="0.18046000000000001"/>
    <s v="LITRES"/>
    <n v="3.7854100000000002"/>
    <n v="6716.4908169999999"/>
    <s v="AR4"/>
    <s v="Defra"/>
    <s v="Defra (2022)"/>
    <n v="2022"/>
    <n v="2020"/>
    <n v="0"/>
    <n v="1.2120579330000001"/>
    <x v="16"/>
    <s v="Warehouse"/>
  </r>
  <r>
    <n v="4956"/>
    <s v="Top of Hierarchy &gt; North America &gt; Vantage_Linden"/>
    <x v="1"/>
    <x v="1"/>
    <d v="2021-01-01T00:00:00"/>
    <d v="2021-12-31T00:00:00"/>
    <x v="0"/>
    <d v="2021-01-01T00:00:00"/>
    <d v="2021-12-31T00:00:00"/>
    <s v="Electricity (non-renewable)"/>
    <n v="1487790"/>
    <s v="Kilowatt hours"/>
    <x v="0"/>
    <m/>
    <s v="2023-02-27, 16:27"/>
    <s v="2023-07-20, 00:40"/>
    <n v="2021"/>
    <s v="electricity"/>
    <s v="Electricity"/>
    <s v="model"/>
    <b v="0"/>
    <s v="ELECTRICITY; UNITED STATES - RFCE"/>
    <x v="0"/>
    <x v="0"/>
    <s v="Americas"/>
    <s v="Northern America"/>
    <s v="US"/>
    <s v="RFCE"/>
    <n v="0"/>
    <s v="CH4"/>
    <n v="894.17650460000004"/>
    <n v="6.0101000000000002E-4"/>
    <s v="KWH"/>
    <n v="1"/>
    <n v="1487790"/>
    <s v="AR4"/>
    <s v="USEPA"/>
    <s v="USEPA (2021)"/>
    <n v="2021"/>
    <n v="2019"/>
    <n v="0"/>
    <n v="0"/>
    <x v="16"/>
    <s v="Warehouse"/>
  </r>
  <r>
    <n v="4956"/>
    <s v="Top of Hierarchy &gt; North America &gt; Vantage_Linden"/>
    <x v="1"/>
    <x v="1"/>
    <d v="2021-01-01T00:00:00"/>
    <d v="2021-12-31T00:00:00"/>
    <x v="0"/>
    <d v="2021-01-01T00:00:00"/>
    <d v="2021-12-31T00:00:00"/>
    <s v="Electricity (non-renewable)"/>
    <n v="1487790"/>
    <s v="Kilowatt hours"/>
    <x v="0"/>
    <m/>
    <s v="2023-02-27, 16:27"/>
    <s v="2023-07-20, 00:40"/>
    <n v="2021"/>
    <s v="electricity"/>
    <s v="Electricity"/>
    <s v="model"/>
    <b v="0"/>
    <s v="ELECTRICITY; UNITED STATES - RFCE"/>
    <x v="0"/>
    <x v="0"/>
    <s v="Americas"/>
    <s v="Northern America"/>
    <s v="US"/>
    <s v="RFCE"/>
    <n v="0"/>
    <s v="CO2"/>
    <n v="469043.8285"/>
    <n v="0.31526211900000001"/>
    <s v="KWH"/>
    <n v="1"/>
    <n v="1487790"/>
    <s v="AR4"/>
    <s v="USEPA"/>
    <s v="USEPA (2021)"/>
    <n v="2021"/>
    <n v="2019"/>
    <n v="0"/>
    <n v="0"/>
    <x v="16"/>
    <s v="Warehouse"/>
  </r>
  <r>
    <n v="4956"/>
    <s v="Top of Hierarchy &gt; North America &gt; Vantage_Linden"/>
    <x v="1"/>
    <x v="1"/>
    <d v="2021-01-01T00:00:00"/>
    <d v="2021-12-31T00:00:00"/>
    <x v="0"/>
    <d v="2021-01-01T00:00:00"/>
    <d v="2021-12-31T00:00:00"/>
    <s v="Electricity (non-renewable)"/>
    <n v="1487790"/>
    <s v="Kilowatt hours"/>
    <x v="0"/>
    <m/>
    <s v="2023-02-27, 16:27"/>
    <s v="2023-07-20, 00:40"/>
    <n v="2021"/>
    <s v="electricity"/>
    <s v="Electricity"/>
    <s v="model"/>
    <b v="0"/>
    <s v="ELECTRICITY; UNITED STATES - RFCE"/>
    <x v="0"/>
    <x v="0"/>
    <s v="Americas"/>
    <s v="Northern America"/>
    <s v="US"/>
    <s v="RFCE"/>
    <n v="0"/>
    <s v="CO2E"/>
    <n v="471345.74249999999"/>
    <n v="0.31680932299999998"/>
    <s v="KWH"/>
    <n v="1"/>
    <n v="1487790"/>
    <s v="AR4"/>
    <s v="USEPA"/>
    <s v="USEPA (2021)"/>
    <n v="2021"/>
    <n v="2019"/>
    <n v="471.34574249999997"/>
    <n v="0"/>
    <x v="16"/>
    <s v="Warehouse"/>
  </r>
  <r>
    <n v="4956"/>
    <s v="Top of Hierarchy &gt; North America &gt; Vantage_Linden"/>
    <x v="1"/>
    <x v="1"/>
    <d v="2021-01-01T00:00:00"/>
    <d v="2021-12-31T00:00:00"/>
    <x v="0"/>
    <d v="2021-01-01T00:00:00"/>
    <d v="2021-12-31T00:00:00"/>
    <s v="Electricity (non-renewable)"/>
    <n v="1487790"/>
    <s v="Kilowatt hours"/>
    <x v="0"/>
    <m/>
    <s v="2023-02-27, 16:27"/>
    <s v="2023-07-20, 00:40"/>
    <n v="2021"/>
    <s v="electricity"/>
    <s v="Electricity"/>
    <s v="model"/>
    <b v="0"/>
    <s v="ELECTRICITY; UNITED STATES - RFCE"/>
    <x v="0"/>
    <x v="0"/>
    <s v="Americas"/>
    <s v="Northern America"/>
    <s v="US"/>
    <s v="RFCE"/>
    <n v="0"/>
    <s v="N2O"/>
    <n v="1407.7375010000001"/>
    <n v="9.4619400000000003E-4"/>
    <s v="KWH"/>
    <n v="1"/>
    <n v="1487790"/>
    <s v="AR4"/>
    <s v="USEPA"/>
    <s v="USEPA (2021)"/>
    <n v="2021"/>
    <n v="2019"/>
    <n v="0"/>
    <n v="0"/>
    <x v="16"/>
    <s v="Warehouse"/>
  </r>
  <r>
    <n v="4956"/>
    <s v="Top of Hierarchy &gt; North America &gt; Vantage_Linden"/>
    <x v="1"/>
    <x v="1"/>
    <d v="2021-01-01T00:00:00"/>
    <d v="2021-12-31T00:00:00"/>
    <x v="0"/>
    <d v="2021-01-01T00:00:00"/>
    <d v="2021-12-31T00:00:00"/>
    <s v="Electricity (non-renewable)"/>
    <n v="1487790"/>
    <s v="Kilowatt hours"/>
    <x v="0"/>
    <m/>
    <s v="2023-02-27, 16:27"/>
    <s v="2023-07-20, 00:40"/>
    <n v="2021"/>
    <s v="electricity"/>
    <s v="Electricity"/>
    <s v="model"/>
    <b v="0"/>
    <s v="ELECTRICITY; UNITED STATES - RFCE"/>
    <x v="0"/>
    <x v="0"/>
    <s v="Americas"/>
    <s v="Northern America"/>
    <s v="US"/>
    <s v="RFCE"/>
    <n v="1"/>
    <s v="CO2E MKT"/>
    <n v="469182.84759999998"/>
    <n v="0.31535555900000001"/>
    <s v="KWH"/>
    <n v="1"/>
    <n v="1487790"/>
    <s v="AR4"/>
    <s v="Green-e"/>
    <s v="Green-e (2021)"/>
    <n v="2021"/>
    <n v="2019"/>
    <n v="0"/>
    <n v="469.1828476"/>
    <x v="16"/>
    <s v="Warehouse"/>
  </r>
  <r>
    <n v="4956"/>
    <s v="Top of Hierarchy &gt; North America &gt; Vantage_Linden"/>
    <x v="1"/>
    <x v="1"/>
    <d v="2021-01-01T00:00:00"/>
    <d v="2021-12-31T00:00:00"/>
    <x v="0"/>
    <d v="2021-01-01T00:00:00"/>
    <d v="2021-12-31T00:00:00"/>
    <s v="Electricity (non-renewable)"/>
    <n v="1487790"/>
    <s v="Kilowatt hours"/>
    <x v="0"/>
    <m/>
    <s v="2023-02-27, 16:27"/>
    <s v="2023-07-20, 00:40"/>
    <n v="2021"/>
    <s v="electricity__t+d__wtt"/>
    <s v="Electricity T&amp;D WTT"/>
    <s v="t+d_wtt"/>
    <b v="0"/>
    <s v="ELECTRICITY; UNITED STATES - RFCE; T&amp;D WTT Estimated"/>
    <x v="1"/>
    <x v="1"/>
    <s v="Americas"/>
    <s v="Northern America"/>
    <s v="US"/>
    <s v="RFCE"/>
    <n v="0"/>
    <s v="CH4"/>
    <n v="12.046983640000001"/>
    <n v="8.0972299999999997E-6"/>
    <s v="KWH"/>
    <n v="1"/>
    <n v="1487790"/>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ELECTRICITY; TRANSMISSION AND DISTRIBUTION; UNITED STATES - RFCE, USEPA to estimate the T&amp;D WTT factor."/>
    <n v="2021"/>
    <n v="2019"/>
    <n v="0"/>
    <n v="0"/>
    <x v="16"/>
    <s v="Warehouse"/>
  </r>
  <r>
    <n v="4956"/>
    <s v="Top of Hierarchy &gt; North America &gt; Vantage_Linden"/>
    <x v="1"/>
    <x v="1"/>
    <d v="2021-01-01T00:00:00"/>
    <d v="2021-12-31T00:00:00"/>
    <x v="0"/>
    <d v="2021-01-01T00:00:00"/>
    <d v="2021-12-31T00:00:00"/>
    <s v="Electricity (non-renewable)"/>
    <n v="1487790"/>
    <s v="Kilowatt hours"/>
    <x v="0"/>
    <m/>
    <s v="2023-02-27, 16:27"/>
    <s v="2023-07-20, 00:40"/>
    <n v="2021"/>
    <s v="electricity__t+d__wtt"/>
    <s v="Electricity T&amp;D WTT"/>
    <s v="t+d_wtt"/>
    <b v="0"/>
    <s v="ELECTRICITY; UNITED STATES - RFCE; T&amp;D WTT Estimated"/>
    <x v="1"/>
    <x v="1"/>
    <s v="Americas"/>
    <s v="Northern America"/>
    <s v="US"/>
    <s v="RFCE"/>
    <n v="0"/>
    <s v="CO2"/>
    <n v="6319.2930020000003"/>
    <n v="4.2474360000000003E-3"/>
    <s v="KWH"/>
    <n v="1"/>
    <n v="1487790"/>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ELECTRICITY; TRANSMISSION AND DISTRIBUTION; UNITED STATES - RFCE, USEPA to estimate the T&amp;D WTT factor."/>
    <n v="2021"/>
    <n v="2019"/>
    <n v="0"/>
    <n v="0"/>
    <x v="16"/>
    <s v="Warehouse"/>
  </r>
  <r>
    <n v="4956"/>
    <s v="Top of Hierarchy &gt; North America &gt; Vantage_Linden"/>
    <x v="1"/>
    <x v="1"/>
    <d v="2021-01-01T00:00:00"/>
    <d v="2021-12-31T00:00:00"/>
    <x v="0"/>
    <d v="2021-01-01T00:00:00"/>
    <d v="2021-12-31T00:00:00"/>
    <s v="Electricity (non-renewable)"/>
    <n v="1487790"/>
    <s v="Kilowatt hours"/>
    <x v="0"/>
    <m/>
    <s v="2023-02-27, 16:27"/>
    <s v="2023-07-20, 00:40"/>
    <n v="2021"/>
    <s v="electricity__t+d__wtt"/>
    <s v="Electricity T&amp;D WTT"/>
    <s v="t+d_wtt"/>
    <b v="0"/>
    <s v="ELECTRICITY; UNITED STATES - RFCE; T&amp;D WTT Estimated"/>
    <x v="1"/>
    <x v="1"/>
    <s v="Americas"/>
    <s v="Northern America"/>
    <s v="US"/>
    <s v="RFCE"/>
    <n v="0"/>
    <s v="CO2E"/>
    <n v="6350.3060290000003"/>
    <n v="4.2682809999999996E-3"/>
    <s v="KWH"/>
    <n v="1"/>
    <n v="1487790"/>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ELECTRICITY; TRANSMISSION AND DISTRIBUTION; UNITED STATES - RFCE, USEPA to estimate the T&amp;D WTT factor."/>
    <n v="2021"/>
    <n v="2019"/>
    <n v="6.3503060290000004"/>
    <n v="0"/>
    <x v="16"/>
    <s v="Warehouse"/>
  </r>
  <r>
    <n v="4956"/>
    <s v="Top of Hierarchy &gt; North America &gt; Vantage_Linden"/>
    <x v="1"/>
    <x v="1"/>
    <d v="2021-01-01T00:00:00"/>
    <d v="2021-12-31T00:00:00"/>
    <x v="0"/>
    <d v="2021-01-01T00:00:00"/>
    <d v="2021-12-31T00:00:00"/>
    <s v="Electricity (non-renewable)"/>
    <n v="1487790"/>
    <s v="Kilowatt hours"/>
    <x v="0"/>
    <m/>
    <s v="2023-02-27, 16:27"/>
    <s v="2023-07-20, 00:40"/>
    <n v="2021"/>
    <s v="electricity__t+d__wtt"/>
    <s v="Electricity T&amp;D WTT"/>
    <s v="t+d_wtt"/>
    <b v="0"/>
    <s v="ELECTRICITY; UNITED STATES - RFCE; T&amp;D WTT Estimated"/>
    <x v="1"/>
    <x v="1"/>
    <s v="Americas"/>
    <s v="Northern America"/>
    <s v="US"/>
    <s v="RFCE"/>
    <n v="0"/>
    <s v="N2O"/>
    <n v="18.966043679999999"/>
    <n v="1.27478E-5"/>
    <s v="KWH"/>
    <n v="1"/>
    <n v="1487790"/>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ELECTRICITY; TRANSMISSION AND DISTRIBUTION; UNITED STATES - RFCE, USEPA to estimate the T&amp;D WTT factor."/>
    <n v="2021"/>
    <n v="2019"/>
    <n v="0"/>
    <n v="0"/>
    <x v="16"/>
    <s v="Warehouse"/>
  </r>
  <r>
    <n v="4956"/>
    <s v="Top of Hierarchy &gt; North America &gt; Vantage_Linden"/>
    <x v="1"/>
    <x v="1"/>
    <d v="2021-01-01T00:00:00"/>
    <d v="2021-12-31T00:00:00"/>
    <x v="0"/>
    <d v="2021-01-01T00:00:00"/>
    <d v="2021-12-31T00:00:00"/>
    <s v="Electricity (non-renewable)"/>
    <n v="1487790"/>
    <s v="Kilowatt hours"/>
    <x v="0"/>
    <m/>
    <s v="2023-02-27, 16:27"/>
    <s v="2023-07-20, 00:40"/>
    <n v="2021"/>
    <s v="electricity__t+d__wtt"/>
    <s v="Electricity T&amp;D WTT"/>
    <s v="t+d_wtt"/>
    <b v="0"/>
    <s v="ELECTRICITY; UNITED STATES - RFCE; T&amp;D WTT Estimated"/>
    <x v="1"/>
    <x v="1"/>
    <s v="Americas"/>
    <s v="Northern America"/>
    <s v="US"/>
    <s v="RFCE"/>
    <n v="1"/>
    <s v="CO2E MKT"/>
    <n v="6321.1659669999999"/>
    <n v="4.2486950000000002E-3"/>
    <s v="KWH"/>
    <n v="1"/>
    <n v="1487790"/>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  to estimate the T&amp;D WTT factor."/>
    <n v="2021"/>
    <n v="2019"/>
    <n v="0"/>
    <n v="6.3211659669999998"/>
    <x v="16"/>
    <s v="Warehouse"/>
  </r>
  <r>
    <n v="4956"/>
    <s v="Top of Hierarchy &gt; North America &gt; Vantage_Linden"/>
    <x v="1"/>
    <x v="1"/>
    <d v="2021-01-01T00:00:00"/>
    <d v="2021-12-31T00:00:00"/>
    <x v="0"/>
    <d v="2021-01-01T00:00:00"/>
    <d v="2021-12-31T00:00:00"/>
    <s v="Electricity (non-renewable)"/>
    <n v="1487790"/>
    <s v="Kilowatt hours"/>
    <x v="0"/>
    <m/>
    <s v="2023-02-27, 16:27"/>
    <s v="2023-07-20, 00:40"/>
    <n v="2021"/>
    <s v="electricity__wtt"/>
    <s v="Electricity WTT"/>
    <s v="wtt"/>
    <b v="0"/>
    <s v="ELECTRICITY; UNITED STATES - RFCE; WTT Estimated"/>
    <x v="1"/>
    <x v="1"/>
    <s v="Americas"/>
    <s v="Northern America"/>
    <s v="US"/>
    <s v="RFCE"/>
    <n v="0"/>
    <s v="CH4"/>
    <n v="236.21536549999999"/>
    <n v="1.5876900000000001E-4"/>
    <s v="KWH"/>
    <n v="1"/>
    <n v="1487790"/>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RFCE, USEPAto estimate the WTT factor."/>
    <n v="2021"/>
    <n v="2019"/>
    <n v="0"/>
    <n v="0"/>
    <x v="16"/>
    <s v="Warehouse"/>
  </r>
  <r>
    <n v="4956"/>
    <s v="Top of Hierarchy &gt; North America &gt; Vantage_Linden"/>
    <x v="1"/>
    <x v="1"/>
    <d v="2021-01-01T00:00:00"/>
    <d v="2021-12-31T00:00:00"/>
    <x v="0"/>
    <d v="2021-01-01T00:00:00"/>
    <d v="2021-12-31T00:00:00"/>
    <s v="Electricity (non-renewable)"/>
    <n v="1487790"/>
    <s v="Kilowatt hours"/>
    <x v="0"/>
    <m/>
    <s v="2023-02-27, 16:27"/>
    <s v="2023-07-20, 00:40"/>
    <n v="2021"/>
    <s v="electricity__wtt"/>
    <s v="Electricity WTT"/>
    <s v="wtt"/>
    <b v="0"/>
    <s v="ELECTRICITY; UNITED STATES - RFCE; WTT Estimated"/>
    <x v="1"/>
    <x v="1"/>
    <s v="Americas"/>
    <s v="Northern America"/>
    <s v="US"/>
    <s v="RFCE"/>
    <n v="0"/>
    <s v="CO2"/>
    <n v="123907.7059"/>
    <n v="8.3283061000000005E-2"/>
    <s v="KWH"/>
    <n v="1"/>
    <n v="1487790"/>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RFCE, USEPAto estimate the WTT factor."/>
    <n v="2021"/>
    <n v="2019"/>
    <n v="0"/>
    <n v="0"/>
    <x v="16"/>
    <s v="Warehouse"/>
  </r>
  <r>
    <n v="4956"/>
    <s v="Top of Hierarchy &gt; North America &gt; Vantage_Linden"/>
    <x v="1"/>
    <x v="1"/>
    <d v="2021-01-01T00:00:00"/>
    <d v="2021-12-31T00:00:00"/>
    <x v="0"/>
    <d v="2021-01-01T00:00:00"/>
    <d v="2021-12-31T00:00:00"/>
    <s v="Electricity (non-renewable)"/>
    <n v="1487790"/>
    <s v="Kilowatt hours"/>
    <x v="0"/>
    <m/>
    <s v="2023-02-27, 16:27"/>
    <s v="2023-07-20, 00:40"/>
    <n v="2021"/>
    <s v="electricity__wtt"/>
    <s v="Electricity WTT"/>
    <s v="wtt"/>
    <b v="0"/>
    <s v="ELECTRICITY; UNITED STATES - RFCE; WTT Estimated"/>
    <x v="1"/>
    <x v="1"/>
    <s v="Americas"/>
    <s v="Northern America"/>
    <s v="US"/>
    <s v="RFCE"/>
    <n v="0"/>
    <s v="CO2E"/>
    <n v="124515.8045"/>
    <n v="8.3691787000000004E-2"/>
    <s v="KWH"/>
    <n v="1"/>
    <n v="1487790"/>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RFCE, USEPAto estimate the WTT factor."/>
    <n v="2021"/>
    <n v="2019"/>
    <n v="124.5158045"/>
    <n v="0"/>
    <x v="16"/>
    <s v="Warehouse"/>
  </r>
  <r>
    <n v="4956"/>
    <s v="Top of Hierarchy &gt; North America &gt; Vantage_Linden"/>
    <x v="1"/>
    <x v="1"/>
    <d v="2021-01-01T00:00:00"/>
    <d v="2021-12-31T00:00:00"/>
    <x v="0"/>
    <d v="2021-01-01T00:00:00"/>
    <d v="2021-12-31T00:00:00"/>
    <s v="Electricity (non-renewable)"/>
    <n v="1487790"/>
    <s v="Kilowatt hours"/>
    <x v="0"/>
    <m/>
    <s v="2023-02-27, 16:27"/>
    <s v="2023-07-20, 00:40"/>
    <n v="2021"/>
    <s v="electricity__wtt"/>
    <s v="Electricity WTT"/>
    <s v="wtt"/>
    <b v="0"/>
    <s v="ELECTRICITY; UNITED STATES - RFCE; WTT Estimated"/>
    <x v="1"/>
    <x v="1"/>
    <s v="Americas"/>
    <s v="Northern America"/>
    <s v="US"/>
    <s v="RFCE"/>
    <n v="0"/>
    <s v="N2O"/>
    <n v="371.8832094"/>
    <n v="2.4995699999999998E-4"/>
    <s v="KWH"/>
    <n v="1"/>
    <n v="1487790"/>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RFCE, USEPAto estimate the WTT factor."/>
    <n v="2021"/>
    <n v="2019"/>
    <n v="0"/>
    <n v="0"/>
    <x v="16"/>
    <s v="Warehouse"/>
  </r>
  <r>
    <n v="4956"/>
    <s v="Top of Hierarchy &gt; North America &gt; Vantage_Linden"/>
    <x v="1"/>
    <x v="1"/>
    <d v="2021-01-01T00:00:00"/>
    <d v="2021-12-31T00:00:00"/>
    <x v="0"/>
    <d v="2021-01-01T00:00:00"/>
    <d v="2021-12-31T00:00:00"/>
    <s v="Electricity (non-renewable)"/>
    <n v="1487790"/>
    <s v="Kilowatt hours"/>
    <x v="0"/>
    <m/>
    <s v="2023-02-27, 16:27"/>
    <s v="2023-07-20, 00:40"/>
    <n v="2021"/>
    <s v="electricity__wtt"/>
    <s v="Electricity WTT"/>
    <s v="wtt"/>
    <b v="0"/>
    <s v="ELECTRICITY; UNITED STATES - RFCE; WTT Estimated"/>
    <x v="1"/>
    <x v="1"/>
    <s v="Americas"/>
    <s v="Northern America"/>
    <s v="US"/>
    <s v="RFCE"/>
    <n v="1"/>
    <s v="CO2E MKT"/>
    <n v="123944.4307"/>
    <n v="8.3307746000000002E-2"/>
    <s v="KWH"/>
    <n v="1"/>
    <n v="1487790"/>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RFCE, Green-eto estimate the WTT factor."/>
    <n v="2021"/>
    <n v="2019"/>
    <n v="0"/>
    <n v="123.9444307"/>
    <x v="16"/>
    <s v="Warehouse"/>
  </r>
  <r>
    <n v="4956"/>
    <s v="Top of Hierarchy &gt; North America &gt; Vantage_Linden"/>
    <x v="1"/>
    <x v="1"/>
    <d v="2021-01-01T00:00:00"/>
    <d v="2021-12-31T00:00:00"/>
    <x v="0"/>
    <d v="2021-01-01T00:00:00"/>
    <d v="2021-12-31T00:00:00"/>
    <s v="Electricity (non-renewable)"/>
    <n v="1487790"/>
    <s v="Kilowatt hours"/>
    <x v="0"/>
    <m/>
    <s v="2023-02-27, 16:27"/>
    <s v="2023-07-20, 00:40"/>
    <n v="2021"/>
    <s v="electricity__t+d"/>
    <s v="Electricity T&amp;D"/>
    <s v="t+d"/>
    <b v="0"/>
    <s v="ELECTRICITY; TRANSMISSION AND DISTRIBUTION; UNITED STATES - RFCE"/>
    <x v="1"/>
    <x v="1"/>
    <s v="Americas"/>
    <s v="Northern America"/>
    <s v="US"/>
    <s v="RFCE"/>
    <n v="0"/>
    <s v="CO2E"/>
    <n v="24038.632870000001"/>
    <n v="1.6157274999999999E-2"/>
    <s v="KWH"/>
    <n v="1"/>
    <n v="1487790"/>
    <s v="AR4"/>
    <s v="USEPA"/>
    <s v="USEPA (2021)"/>
    <n v="2021"/>
    <n v="2019"/>
    <n v="24.038632870000001"/>
    <n v="0"/>
    <x v="16"/>
    <s v="Warehouse"/>
  </r>
  <r>
    <n v="4956"/>
    <s v="Top of Hierarchy &gt; North America &gt; Vantage_Linden"/>
    <x v="1"/>
    <x v="1"/>
    <d v="2021-01-01T00:00:00"/>
    <d v="2021-12-31T00:00:00"/>
    <x v="0"/>
    <d v="2021-01-01T00:00:00"/>
    <d v="2021-12-31T00:00:00"/>
    <s v="Electricity (non-renewable)"/>
    <n v="1487790"/>
    <s v="Kilowatt hours"/>
    <x v="0"/>
    <m/>
    <s v="2023-02-27, 16:27"/>
    <s v="2023-07-20, 00:40"/>
    <n v="2021"/>
    <s v="electricity__t+d"/>
    <s v="Electricity T&amp;D"/>
    <s v="t+d"/>
    <b v="0"/>
    <s v="ELECTRICITY; UNITED STATES - RFCE; T&amp;D Estimated"/>
    <x v="1"/>
    <x v="1"/>
    <s v="Americas"/>
    <s v="Northern America"/>
    <s v="US"/>
    <s v="RFCE"/>
    <n v="1"/>
    <s v="CO2E MKT"/>
    <n v="23928.325229999999"/>
    <n v="1.6083133999999999E-2"/>
    <s v="KWH"/>
    <n v="1"/>
    <n v="1487790"/>
    <s v="AR4"/>
    <s v="Anthesis"/>
    <s v="The median T&amp;D to generation factor ratio of all countries within the region Northern America was taken to be ELECTRICITY; UNITED STATES - SRSO, USEPA to ELECTRICITY; TRANSMISSION AND DISTRIBUTION; UNITED STATES - SRSO, USEPA: 0.051. This was applied to the base factor ELECTRICITY; UNITED STATES - RFCE, Green-eto estimate the T&amp;D factor."/>
    <n v="2021"/>
    <n v="2019"/>
    <n v="0"/>
    <n v="23.928325229999999"/>
    <x v="16"/>
    <s v="Warehouse"/>
  </r>
  <r>
    <n v="4983"/>
    <s v="Top of Hierarchy &gt; North America &gt; Vantage_Linden"/>
    <x v="1"/>
    <x v="1"/>
    <d v="2021-01-01T00:00:00"/>
    <d v="2021-12-31T00:00:00"/>
    <x v="3"/>
    <d v="2021-01-01T00:00:00"/>
    <d v="2021-12-31T00:00:00"/>
    <s v="Natural gas"/>
    <n v="9261500"/>
    <s v="cubic feet"/>
    <x v="1"/>
    <m/>
    <s v="2023-02-27, 16:27"/>
    <s v="2023-07-20, 00:40"/>
    <n v="2021"/>
    <s v="natural_gas"/>
    <s v="Natural Gas"/>
    <s v="model"/>
    <b v="0"/>
    <s v="NATURAL GAS, NATURAL GAS"/>
    <x v="2"/>
    <x v="0"/>
    <s v="Americas"/>
    <s v="Northern America"/>
    <s v="US"/>
    <m/>
    <n v="0"/>
    <s v="CH4"/>
    <n v="238.48362499999999"/>
    <n v="2.5749999999999999E-5"/>
    <s v="SCF"/>
    <n v="1"/>
    <n v="9261500"/>
    <s v="AR4"/>
    <s v="USEPA"/>
    <s v="USEPA Emission Factors Hub (Last Modified: March 2020)"/>
    <n v="2021"/>
    <n v="2020"/>
    <n v="0"/>
    <n v="0"/>
    <x v="16"/>
    <s v="Warehouse"/>
  </r>
  <r>
    <n v="4983"/>
    <s v="Top of Hierarchy &gt; North America &gt; Vantage_Linden"/>
    <x v="1"/>
    <x v="1"/>
    <d v="2021-01-01T00:00:00"/>
    <d v="2021-12-31T00:00:00"/>
    <x v="3"/>
    <d v="2021-01-01T00:00:00"/>
    <d v="2021-12-31T00:00:00"/>
    <s v="Natural gas"/>
    <n v="9261500"/>
    <s v="cubic feet"/>
    <x v="1"/>
    <m/>
    <s v="2023-02-27, 16:27"/>
    <s v="2023-07-20, 00:40"/>
    <n v="2021"/>
    <s v="natural_gas"/>
    <s v="Natural Gas"/>
    <s v="model"/>
    <b v="0"/>
    <s v="NATURAL GAS, NATURAL GAS"/>
    <x v="2"/>
    <x v="0"/>
    <s v="Americas"/>
    <s v="Northern America"/>
    <s v="US"/>
    <m/>
    <n v="0"/>
    <s v="CO2"/>
    <n v="504196.06"/>
    <n v="5.4440000000000002E-2"/>
    <s v="SCF"/>
    <n v="1"/>
    <n v="9261500"/>
    <s v="AR4"/>
    <s v="USEPA"/>
    <s v="USEPA (2021)"/>
    <n v="2021"/>
    <n v="2021"/>
    <n v="0"/>
    <n v="0"/>
    <x v="16"/>
    <s v="Warehouse"/>
  </r>
  <r>
    <n v="4983"/>
    <s v="Top of Hierarchy &gt; North America &gt; Vantage_Linden"/>
    <x v="1"/>
    <x v="1"/>
    <d v="2021-01-01T00:00:00"/>
    <d v="2021-12-31T00:00:00"/>
    <x v="3"/>
    <d v="2021-01-01T00:00:00"/>
    <d v="2021-12-31T00:00:00"/>
    <s v="Natural gas"/>
    <n v="9261500"/>
    <s v="cubic feet"/>
    <x v="1"/>
    <m/>
    <s v="2023-02-27, 16:27"/>
    <s v="2023-07-20, 00:40"/>
    <n v="2021"/>
    <s v="natural_gas"/>
    <s v="Natural Gas"/>
    <s v="model"/>
    <b v="0"/>
    <s v="NATURAL GAS, NATURAL GAS"/>
    <x v="2"/>
    <x v="0"/>
    <s v="Americas"/>
    <s v="Northern America"/>
    <s v="US"/>
    <m/>
    <n v="0"/>
    <s v="CO2E"/>
    <n v="504710.53629999998"/>
    <n v="5.4495549999999997E-2"/>
    <s v="SCF"/>
    <n v="1"/>
    <n v="9261500"/>
    <s v="AR4"/>
    <s v="USEPA"/>
    <s v="USEPA Emission Factors Hub (Last Modified: March 2020)"/>
    <n v="2021"/>
    <n v="2020"/>
    <n v="504.7105363"/>
    <n v="0"/>
    <x v="16"/>
    <s v="Warehouse"/>
  </r>
  <r>
    <n v="4983"/>
    <s v="Top of Hierarchy &gt; North America &gt; Vantage_Linden"/>
    <x v="1"/>
    <x v="1"/>
    <d v="2021-01-01T00:00:00"/>
    <d v="2021-12-31T00:00:00"/>
    <x v="3"/>
    <d v="2021-01-01T00:00:00"/>
    <d v="2021-12-31T00:00:00"/>
    <s v="Natural gas"/>
    <n v="9261500"/>
    <s v="cubic feet"/>
    <x v="1"/>
    <m/>
    <s v="2023-02-27, 16:27"/>
    <s v="2023-07-20, 00:40"/>
    <n v="2021"/>
    <s v="natural_gas"/>
    <s v="Natural Gas"/>
    <s v="model"/>
    <b v="0"/>
    <s v="NATURAL GAS, NATURAL GAS"/>
    <x v="2"/>
    <x v="0"/>
    <s v="Americas"/>
    <s v="Northern America"/>
    <s v="US"/>
    <m/>
    <n v="0"/>
    <s v="N2O"/>
    <n v="275.99270000000001"/>
    <n v="2.9799999999999999E-5"/>
    <s v="SCF"/>
    <n v="1"/>
    <n v="9261500"/>
    <s v="AR4"/>
    <s v="USEPA"/>
    <s v="USEPA (2021)"/>
    <n v="2021"/>
    <n v="2021"/>
    <n v="0"/>
    <n v="0"/>
    <x v="16"/>
    <s v="Warehouse"/>
  </r>
  <r>
    <n v="4983"/>
    <s v="Top of Hierarchy &gt; North America &gt; Vantage_Linden"/>
    <x v="1"/>
    <x v="1"/>
    <d v="2021-01-01T00:00:00"/>
    <d v="2021-12-31T00:00:00"/>
    <x v="3"/>
    <d v="2021-01-01T00:00:00"/>
    <d v="2021-12-31T00:00:00"/>
    <s v="Natural gas"/>
    <n v="9261500"/>
    <s v="cubic feet"/>
    <x v="1"/>
    <m/>
    <s v="2023-02-27, 16:27"/>
    <s v="2023-07-20, 00:40"/>
    <n v="2021"/>
    <s v="natural_gas"/>
    <s v="Natural Gas"/>
    <s v="model"/>
    <b v="0"/>
    <s v="NATURAL GAS, NATURAL GAS"/>
    <x v="2"/>
    <x v="0"/>
    <s v="Americas"/>
    <s v="Northern America"/>
    <s v="US"/>
    <m/>
    <n v="1"/>
    <s v="CH4"/>
    <n v="238.48362499999999"/>
    <n v="2.5749999999999999E-5"/>
    <s v="SCF"/>
    <n v="1"/>
    <n v="9261500"/>
    <s v="AR4"/>
    <s v="USEPA"/>
    <s v="USEPA Emission Factors Hub (Last Modified: March 2020)"/>
    <n v="2021"/>
    <n v="2020"/>
    <n v="0"/>
    <n v="0"/>
    <x v="16"/>
    <s v="Warehouse"/>
  </r>
  <r>
    <n v="4983"/>
    <s v="Top of Hierarchy &gt; North America &gt; Vantage_Linden"/>
    <x v="1"/>
    <x v="1"/>
    <d v="2021-01-01T00:00:00"/>
    <d v="2021-12-31T00:00:00"/>
    <x v="3"/>
    <d v="2021-01-01T00:00:00"/>
    <d v="2021-12-31T00:00:00"/>
    <s v="Natural gas"/>
    <n v="9261500"/>
    <s v="cubic feet"/>
    <x v="1"/>
    <m/>
    <s v="2023-02-27, 16:27"/>
    <s v="2023-07-20, 00:40"/>
    <n v="2021"/>
    <s v="natural_gas"/>
    <s v="Natural Gas"/>
    <s v="model"/>
    <b v="0"/>
    <s v="NATURAL GAS, NATURAL GAS"/>
    <x v="2"/>
    <x v="0"/>
    <s v="Americas"/>
    <s v="Northern America"/>
    <s v="US"/>
    <m/>
    <n v="1"/>
    <s v="CO2"/>
    <n v="504196.06"/>
    <n v="5.4440000000000002E-2"/>
    <s v="SCF"/>
    <n v="1"/>
    <n v="9261500"/>
    <s v="AR4"/>
    <s v="USEPA"/>
    <s v="USEPA (2021)"/>
    <n v="2021"/>
    <n v="2021"/>
    <n v="0"/>
    <n v="0"/>
    <x v="16"/>
    <s v="Warehouse"/>
  </r>
  <r>
    <n v="4983"/>
    <s v="Top of Hierarchy &gt; North America &gt; Vantage_Linden"/>
    <x v="1"/>
    <x v="1"/>
    <d v="2021-01-01T00:00:00"/>
    <d v="2021-12-31T00:00:00"/>
    <x v="3"/>
    <d v="2021-01-01T00:00:00"/>
    <d v="2021-12-31T00:00:00"/>
    <s v="Natural gas"/>
    <n v="9261500"/>
    <s v="cubic feet"/>
    <x v="1"/>
    <m/>
    <s v="2023-02-27, 16:27"/>
    <s v="2023-07-20, 00:40"/>
    <n v="2021"/>
    <s v="natural_gas"/>
    <s v="Natural Gas"/>
    <s v="model"/>
    <b v="0"/>
    <s v="NATURAL GAS, NATURAL GAS"/>
    <x v="2"/>
    <x v="0"/>
    <s v="Americas"/>
    <s v="Northern America"/>
    <s v="US"/>
    <m/>
    <n v="1"/>
    <s v="CO2E"/>
    <n v="504710.53629999998"/>
    <n v="5.4495549999999997E-2"/>
    <s v="SCF"/>
    <n v="1"/>
    <n v="9261500"/>
    <s v="AR4"/>
    <s v="USEPA"/>
    <s v="USEPA Emission Factors Hub (Last Modified: March 2020)"/>
    <n v="2021"/>
    <n v="2020"/>
    <n v="0"/>
    <n v="504.7105363"/>
    <x v="16"/>
    <s v="Warehouse"/>
  </r>
  <r>
    <n v="4983"/>
    <s v="Top of Hierarchy &gt; North America &gt; Vantage_Linden"/>
    <x v="1"/>
    <x v="1"/>
    <d v="2021-01-01T00:00:00"/>
    <d v="2021-12-31T00:00:00"/>
    <x v="3"/>
    <d v="2021-01-01T00:00:00"/>
    <d v="2021-12-31T00:00:00"/>
    <s v="Natural gas"/>
    <n v="9261500"/>
    <s v="cubic feet"/>
    <x v="1"/>
    <m/>
    <s v="2023-02-27, 16:27"/>
    <s v="2023-07-20, 00:40"/>
    <n v="2021"/>
    <s v="natural_gas"/>
    <s v="Natural Gas"/>
    <s v="model"/>
    <b v="0"/>
    <s v="NATURAL GAS, NATURAL GAS"/>
    <x v="2"/>
    <x v="0"/>
    <s v="Americas"/>
    <s v="Northern America"/>
    <s v="US"/>
    <m/>
    <n v="1"/>
    <s v="N2O"/>
    <n v="275.99270000000001"/>
    <n v="2.9799999999999999E-5"/>
    <s v="SCF"/>
    <n v="1"/>
    <n v="9261500"/>
    <s v="AR4"/>
    <s v="USEPA"/>
    <s v="USEPA (2021)"/>
    <n v="2021"/>
    <n v="2021"/>
    <n v="0"/>
    <n v="0"/>
    <x v="16"/>
    <s v="Warehouse"/>
  </r>
  <r>
    <n v="4983"/>
    <s v="Top of Hierarchy &gt; North America &gt; Vantage_Linden"/>
    <x v="1"/>
    <x v="1"/>
    <d v="2021-01-01T00:00:00"/>
    <d v="2021-12-31T00:00:00"/>
    <x v="3"/>
    <d v="2021-01-01T00:00:00"/>
    <d v="2021-12-31T00:00:00"/>
    <s v="Natural gas"/>
    <n v="9261500"/>
    <s v="cubic feet"/>
    <x v="1"/>
    <m/>
    <s v="2023-02-27, 16:27"/>
    <s v="2023-07-20, 00:40"/>
    <n v="2021"/>
    <s v="natural_gas__wtt"/>
    <s v="Natural Gas WTT"/>
    <s v="wtt"/>
    <b v="0"/>
    <s v="WTT- FUELS; WTT- GASEOUS FUELS; NATURAL GAS"/>
    <x v="1"/>
    <x v="1"/>
    <m/>
    <m/>
    <m/>
    <m/>
    <n v="0"/>
    <s v="CO2E"/>
    <n v="90722.23302"/>
    <n v="0.34593000000000002"/>
    <s v="CUBIC METRES"/>
    <n v="2.83168E-2"/>
    <n v="262256.04320000001"/>
    <s v="AR4"/>
    <s v="Defra"/>
    <s v="Defra (2021)"/>
    <n v="2021"/>
    <n v="2019"/>
    <n v="90.722233020000004"/>
    <n v="0"/>
    <x v="16"/>
    <s v="Warehouse"/>
  </r>
  <r>
    <n v="4983"/>
    <s v="Top of Hierarchy &gt; North America &gt; Vantage_Linden"/>
    <x v="1"/>
    <x v="1"/>
    <d v="2021-01-01T00:00:00"/>
    <d v="2021-12-31T00:00:00"/>
    <x v="3"/>
    <d v="2021-01-01T00:00:00"/>
    <d v="2021-12-31T00:00:00"/>
    <s v="Natural gas"/>
    <n v="9261500"/>
    <s v="cubic feet"/>
    <x v="1"/>
    <m/>
    <s v="2023-02-27, 16:27"/>
    <s v="2023-07-20, 00:40"/>
    <n v="2021"/>
    <s v="natural_gas__wtt"/>
    <s v="Natural Gas WTT"/>
    <s v="wtt"/>
    <b v="0"/>
    <s v="WTT- FUELS; WTT- GASEOUS FUELS; NATURAL GAS"/>
    <x v="1"/>
    <x v="1"/>
    <m/>
    <m/>
    <m/>
    <m/>
    <n v="1"/>
    <s v="CO2E"/>
    <n v="90722.23302"/>
    <n v="0.34593000000000002"/>
    <s v="CUBIC METRES"/>
    <n v="2.83168E-2"/>
    <n v="262256.04320000001"/>
    <s v="AR4"/>
    <s v="Defra"/>
    <s v="Defra (2021)"/>
    <n v="2021"/>
    <n v="2019"/>
    <n v="0"/>
    <n v="90.722233020000004"/>
    <x v="16"/>
    <s v="Warehouse"/>
  </r>
  <r>
    <n v="5042"/>
    <s v="Top of Hierarchy &gt; North America &gt; Vantage_Linden"/>
    <x v="1"/>
    <x v="1"/>
    <d v="2021-01-01T00:00:00"/>
    <d v="2021-12-31T00:00:00"/>
    <x v="4"/>
    <d v="2021-01-01T00:00:00"/>
    <d v="2021-12-31T00:00:00"/>
    <s v="HFC-134a"/>
    <n v="14.287000000000001"/>
    <s v="kilograms"/>
    <x v="0"/>
    <m/>
    <s v="2023-02-27, 16:28"/>
    <s v="2023-07-20, 00:40"/>
    <n v="2021"/>
    <s v="hfc-134a"/>
    <s v="HFC-134A"/>
    <s v="model"/>
    <b v="0"/>
    <s v="REFRIGERANT: R-134A"/>
    <x v="2"/>
    <x v="0"/>
    <m/>
    <m/>
    <m/>
    <m/>
    <n v="0"/>
    <s v="CO2E"/>
    <n v="20430.41"/>
    <n v="1430"/>
    <s v="KG"/>
    <n v="1"/>
    <n v="14.287000000000001"/>
    <s v="AR4"/>
    <s v="IPCC"/>
    <s v="IPCC (2021)"/>
    <n v="2021"/>
    <n v="2007"/>
    <n v="20.430409999999998"/>
    <n v="0"/>
    <x v="16"/>
    <s v="Warehouse"/>
  </r>
  <r>
    <n v="5042"/>
    <s v="Top of Hierarchy &gt; North America &gt; Vantage_Linden"/>
    <x v="1"/>
    <x v="1"/>
    <d v="2021-01-01T00:00:00"/>
    <d v="2021-12-31T00:00:00"/>
    <x v="4"/>
    <d v="2021-01-01T00:00:00"/>
    <d v="2021-12-31T00:00:00"/>
    <s v="HFC-134a"/>
    <n v="14.287000000000001"/>
    <s v="kilograms"/>
    <x v="0"/>
    <m/>
    <s v="2023-02-27, 16:28"/>
    <s v="2023-07-20, 00:40"/>
    <n v="2021"/>
    <s v="hfc-134a"/>
    <s v="HFC-134A"/>
    <s v="model"/>
    <b v="0"/>
    <s v="REFRIGERANT: R-134A"/>
    <x v="2"/>
    <x v="0"/>
    <m/>
    <m/>
    <m/>
    <m/>
    <n v="1"/>
    <s v="CO2E"/>
    <n v="20430.41"/>
    <n v="1430"/>
    <s v="KG"/>
    <n v="1"/>
    <n v="14.287000000000001"/>
    <s v="AR4"/>
    <s v="IPCC"/>
    <s v="IPCC (2021)"/>
    <n v="2021"/>
    <n v="2007"/>
    <n v="0"/>
    <n v="20.430409999999998"/>
    <x v="16"/>
    <s v="Warehouse"/>
  </r>
  <r>
    <n v="1236884"/>
    <s v="Top of Hierarchy &gt; North America &gt; Vantage_Linden"/>
    <x v="1"/>
    <x v="1"/>
    <d v="2021-01-01T00:00:00"/>
    <d v="2021-12-31T00:00:00"/>
    <x v="2"/>
    <d v="2021-01-01T00:00:00"/>
    <d v="2021-12-31T00:00:00"/>
    <s v="Propane"/>
    <n v="5001"/>
    <s v="pounds"/>
    <x v="1"/>
    <m/>
    <s v="2023-07-18, 23:03"/>
    <s v="2023-07-20, 00:40"/>
    <n v="2021"/>
    <s v="propane"/>
    <s v="Propane"/>
    <s v="model"/>
    <b v="0"/>
    <s v="FUELS; GASEOUS FUELS; PROPANE"/>
    <x v="2"/>
    <x v="0"/>
    <m/>
    <m/>
    <m/>
    <m/>
    <n v="0"/>
    <s v="CH4"/>
    <n v="5.2400122930000004"/>
    <n v="2.31"/>
    <s v="TONNES"/>
    <n v="4.5359000000000003E-4"/>
    <n v="2.2684035900000001"/>
    <s v="AR4"/>
    <s v="Defra"/>
    <s v="Defra (2021)"/>
    <n v="2021"/>
    <n v="2019"/>
    <n v="0"/>
    <n v="0"/>
    <x v="16"/>
    <s v="Warehouse"/>
  </r>
  <r>
    <n v="1236884"/>
    <s v="Top of Hierarchy &gt; North America &gt; Vantage_Linden"/>
    <x v="1"/>
    <x v="1"/>
    <d v="2021-01-01T00:00:00"/>
    <d v="2021-12-31T00:00:00"/>
    <x v="2"/>
    <d v="2021-01-01T00:00:00"/>
    <d v="2021-12-31T00:00:00"/>
    <s v="Propane"/>
    <n v="5001"/>
    <s v="pounds"/>
    <x v="1"/>
    <m/>
    <s v="2023-07-18, 23:03"/>
    <s v="2023-07-20, 00:40"/>
    <n v="2021"/>
    <s v="propane"/>
    <s v="Propane"/>
    <s v="model"/>
    <b v="0"/>
    <s v="FUELS; GASEOUS FUELS; PROPANE"/>
    <x v="2"/>
    <x v="0"/>
    <m/>
    <m/>
    <m/>
    <m/>
    <n v="0"/>
    <s v="CO2"/>
    <n v="6790.2393060000004"/>
    <n v="2993.4"/>
    <s v="TONNES"/>
    <n v="4.5359000000000003E-4"/>
    <n v="2.2684035900000001"/>
    <s v="AR4"/>
    <s v="Defra"/>
    <s v="Defra (2021)"/>
    <n v="2021"/>
    <n v="2019"/>
    <n v="0"/>
    <n v="0"/>
    <x v="16"/>
    <s v="Warehouse"/>
  </r>
  <r>
    <n v="1236884"/>
    <s v="Top of Hierarchy &gt; North America &gt; Vantage_Linden"/>
    <x v="1"/>
    <x v="1"/>
    <d v="2021-01-01T00:00:00"/>
    <d v="2021-12-31T00:00:00"/>
    <x v="2"/>
    <d v="2021-01-01T00:00:00"/>
    <d v="2021-12-31T00:00:00"/>
    <s v="Propane"/>
    <n v="5001"/>
    <s v="pounds"/>
    <x v="1"/>
    <m/>
    <s v="2023-07-18, 23:03"/>
    <s v="2023-07-20, 00:40"/>
    <n v="2021"/>
    <s v="propane"/>
    <s v="Propane"/>
    <s v="model"/>
    <b v="0"/>
    <s v="FUELS; GASEOUS FUELS; PROPANE"/>
    <x v="2"/>
    <x v="0"/>
    <m/>
    <m/>
    <m/>
    <m/>
    <n v="0"/>
    <s v="CO2E"/>
    <n v="6799.6758650000002"/>
    <n v="2997.56"/>
    <s v="TONNES"/>
    <n v="4.5359000000000003E-4"/>
    <n v="2.2684035900000001"/>
    <s v="AR4"/>
    <s v="Defra"/>
    <s v="Defra (2021)"/>
    <n v="2021"/>
    <n v="2019"/>
    <n v="6.7996758650000002"/>
    <n v="0"/>
    <x v="16"/>
    <s v="Warehouse"/>
  </r>
  <r>
    <n v="1236884"/>
    <s v="Top of Hierarchy &gt; North America &gt; Vantage_Linden"/>
    <x v="1"/>
    <x v="1"/>
    <d v="2021-01-01T00:00:00"/>
    <d v="2021-12-31T00:00:00"/>
    <x v="2"/>
    <d v="2021-01-01T00:00:00"/>
    <d v="2021-12-31T00:00:00"/>
    <s v="Propane"/>
    <n v="5001"/>
    <s v="pounds"/>
    <x v="1"/>
    <m/>
    <s v="2023-07-18, 23:03"/>
    <s v="2023-07-20, 00:40"/>
    <n v="2021"/>
    <s v="propane"/>
    <s v="Propane"/>
    <s v="model"/>
    <b v="0"/>
    <s v="FUELS; GASEOUS FUELS; PROPANE"/>
    <x v="2"/>
    <x v="0"/>
    <m/>
    <m/>
    <m/>
    <m/>
    <n v="0"/>
    <s v="N2O"/>
    <n v="4.1965466420000004"/>
    <n v="1.85"/>
    <s v="TONNES"/>
    <n v="4.5359000000000003E-4"/>
    <n v="2.2684035900000001"/>
    <s v="AR4"/>
    <s v="Defra"/>
    <s v="Defra (2021)"/>
    <n v="2021"/>
    <n v="2019"/>
    <n v="0"/>
    <n v="0"/>
    <x v="16"/>
    <s v="Warehouse"/>
  </r>
  <r>
    <n v="1236884"/>
    <s v="Top of Hierarchy &gt; North America &gt; Vantage_Linden"/>
    <x v="1"/>
    <x v="1"/>
    <d v="2021-01-01T00:00:00"/>
    <d v="2021-12-31T00:00:00"/>
    <x v="2"/>
    <d v="2021-01-01T00:00:00"/>
    <d v="2021-12-31T00:00:00"/>
    <s v="Propane"/>
    <n v="5001"/>
    <s v="pounds"/>
    <x v="1"/>
    <m/>
    <s v="2023-07-18, 23:03"/>
    <s v="2023-07-20, 00:40"/>
    <n v="2021"/>
    <s v="propane"/>
    <s v="Propane"/>
    <s v="model"/>
    <b v="0"/>
    <s v="FUELS; GASEOUS FUELS; PROPANE"/>
    <x v="2"/>
    <x v="0"/>
    <m/>
    <m/>
    <m/>
    <m/>
    <n v="1"/>
    <s v="CH4"/>
    <n v="5.2400122930000004"/>
    <n v="2.31"/>
    <s v="TONNES"/>
    <n v="4.5359000000000003E-4"/>
    <n v="2.2684035900000001"/>
    <s v="AR4"/>
    <s v="Defra"/>
    <s v="Defra (2021)"/>
    <n v="2021"/>
    <n v="2019"/>
    <n v="0"/>
    <n v="0"/>
    <x v="16"/>
    <s v="Warehouse"/>
  </r>
  <r>
    <n v="1236884"/>
    <s v="Top of Hierarchy &gt; North America &gt; Vantage_Linden"/>
    <x v="1"/>
    <x v="1"/>
    <d v="2021-01-01T00:00:00"/>
    <d v="2021-12-31T00:00:00"/>
    <x v="2"/>
    <d v="2021-01-01T00:00:00"/>
    <d v="2021-12-31T00:00:00"/>
    <s v="Propane"/>
    <n v="5001"/>
    <s v="pounds"/>
    <x v="1"/>
    <m/>
    <s v="2023-07-18, 23:03"/>
    <s v="2023-07-20, 00:40"/>
    <n v="2021"/>
    <s v="propane"/>
    <s v="Propane"/>
    <s v="model"/>
    <b v="0"/>
    <s v="FUELS; GASEOUS FUELS; PROPANE"/>
    <x v="2"/>
    <x v="0"/>
    <m/>
    <m/>
    <m/>
    <m/>
    <n v="1"/>
    <s v="CO2"/>
    <n v="6790.2393060000004"/>
    <n v="2993.4"/>
    <s v="TONNES"/>
    <n v="4.5359000000000003E-4"/>
    <n v="2.2684035900000001"/>
    <s v="AR4"/>
    <s v="Defra"/>
    <s v="Defra (2021)"/>
    <n v="2021"/>
    <n v="2019"/>
    <n v="0"/>
    <n v="0"/>
    <x v="16"/>
    <s v="Warehouse"/>
  </r>
  <r>
    <n v="1236884"/>
    <s v="Top of Hierarchy &gt; North America &gt; Vantage_Linden"/>
    <x v="1"/>
    <x v="1"/>
    <d v="2021-01-01T00:00:00"/>
    <d v="2021-12-31T00:00:00"/>
    <x v="2"/>
    <d v="2021-01-01T00:00:00"/>
    <d v="2021-12-31T00:00:00"/>
    <s v="Propane"/>
    <n v="5001"/>
    <s v="pounds"/>
    <x v="1"/>
    <m/>
    <s v="2023-07-18, 23:03"/>
    <s v="2023-07-20, 00:40"/>
    <n v="2021"/>
    <s v="propane"/>
    <s v="Propane"/>
    <s v="model"/>
    <b v="0"/>
    <s v="FUELS; GASEOUS FUELS; PROPANE"/>
    <x v="2"/>
    <x v="0"/>
    <m/>
    <m/>
    <m/>
    <m/>
    <n v="1"/>
    <s v="CO2E"/>
    <n v="6799.6758650000002"/>
    <n v="2997.56"/>
    <s v="TONNES"/>
    <n v="4.5359000000000003E-4"/>
    <n v="2.2684035900000001"/>
    <s v="AR4"/>
    <s v="Defra"/>
    <s v="Defra (2021)"/>
    <n v="2021"/>
    <n v="2019"/>
    <n v="0"/>
    <n v="6.7996758650000002"/>
    <x v="16"/>
    <s v="Warehouse"/>
  </r>
  <r>
    <n v="1236884"/>
    <s v="Top of Hierarchy &gt; North America &gt; Vantage_Linden"/>
    <x v="1"/>
    <x v="1"/>
    <d v="2021-01-01T00:00:00"/>
    <d v="2021-12-31T00:00:00"/>
    <x v="2"/>
    <d v="2021-01-01T00:00:00"/>
    <d v="2021-12-31T00:00:00"/>
    <s v="Propane"/>
    <n v="5001"/>
    <s v="pounds"/>
    <x v="1"/>
    <m/>
    <s v="2023-07-18, 23:03"/>
    <s v="2023-07-20, 00:40"/>
    <n v="2021"/>
    <s v="propane"/>
    <s v="Propane"/>
    <s v="model"/>
    <b v="0"/>
    <s v="FUELS; GASEOUS FUELS; PROPANE"/>
    <x v="2"/>
    <x v="0"/>
    <m/>
    <m/>
    <m/>
    <m/>
    <n v="1"/>
    <s v="N2O"/>
    <n v="4.1965466420000004"/>
    <n v="1.85"/>
    <s v="TONNES"/>
    <n v="4.5359000000000003E-4"/>
    <n v="2.2684035900000001"/>
    <s v="AR4"/>
    <s v="Defra"/>
    <s v="Defra (2021)"/>
    <n v="2021"/>
    <n v="2019"/>
    <n v="0"/>
    <n v="0"/>
    <x v="16"/>
    <s v="Warehouse"/>
  </r>
  <r>
    <n v="1236884"/>
    <s v="Top of Hierarchy &gt; North America &gt; Vantage_Linden"/>
    <x v="1"/>
    <x v="1"/>
    <d v="2021-01-01T00:00:00"/>
    <d v="2021-12-31T00:00:00"/>
    <x v="2"/>
    <d v="2021-01-01T00:00:00"/>
    <d v="2021-12-31T00:00:00"/>
    <s v="Propane"/>
    <n v="5001"/>
    <s v="pounds"/>
    <x v="1"/>
    <m/>
    <s v="2023-07-18, 23:03"/>
    <s v="2023-07-20, 00:40"/>
    <n v="2021"/>
    <s v="propane__wtt"/>
    <s v="Propane WTT"/>
    <s v="wtt"/>
    <b v="0"/>
    <s v="WTT- FUELS; WTT- GASEOUS FUELS; PROPANE"/>
    <x v="1"/>
    <x v="1"/>
    <m/>
    <m/>
    <m/>
    <m/>
    <n v="0"/>
    <s v="CO2E"/>
    <n v="794.97469579999995"/>
    <n v="350.45558"/>
    <s v="TONNES"/>
    <n v="4.5359000000000003E-4"/>
    <n v="2.2684035900000001"/>
    <s v="AR4"/>
    <s v="Defra"/>
    <s v="Defra (2021)"/>
    <n v="2021"/>
    <n v="2019"/>
    <n v="0.79497469579999991"/>
    <n v="0"/>
    <x v="16"/>
    <s v="Warehouse"/>
  </r>
  <r>
    <n v="1236884"/>
    <s v="Top of Hierarchy &gt; North America &gt; Vantage_Linden"/>
    <x v="1"/>
    <x v="1"/>
    <d v="2021-01-01T00:00:00"/>
    <d v="2021-12-31T00:00:00"/>
    <x v="2"/>
    <d v="2021-01-01T00:00:00"/>
    <d v="2021-12-31T00:00:00"/>
    <s v="Propane"/>
    <n v="5001"/>
    <s v="pounds"/>
    <x v="1"/>
    <m/>
    <s v="2023-07-18, 23:03"/>
    <s v="2023-07-20, 00:40"/>
    <n v="2021"/>
    <s v="propane__wtt"/>
    <s v="Propane WTT"/>
    <s v="wtt"/>
    <b v="0"/>
    <s v="WTT- FUELS; WTT- GASEOUS FUELS; PROPANE"/>
    <x v="1"/>
    <x v="1"/>
    <m/>
    <m/>
    <m/>
    <m/>
    <n v="1"/>
    <s v="CO2E"/>
    <n v="794.97469579999995"/>
    <n v="350.45558"/>
    <s v="TONNES"/>
    <n v="4.5359000000000003E-4"/>
    <n v="2.2684035900000001"/>
    <s v="AR4"/>
    <s v="Defra"/>
    <s v="Defra (2021)"/>
    <n v="2021"/>
    <n v="2019"/>
    <n v="0"/>
    <n v="0.79497469579999991"/>
    <x v="16"/>
    <s v="Warehouse"/>
  </r>
  <r>
    <n v="20122"/>
    <s v="Top of Hierarchy &gt; North America &gt; Vantage_Pittsburgh"/>
    <x v="0"/>
    <x v="0"/>
    <d v="2022-01-01T00:00:00"/>
    <d v="2022-12-31T00:00:00"/>
    <x v="0"/>
    <d v="2022-01-01T00:00:00"/>
    <d v="2022-12-31T00:00:00"/>
    <s v="Electricity (non-renewable)"/>
    <n v="125011"/>
    <s v="Kilowatt hours"/>
    <x v="1"/>
    <m/>
    <s v="2023-03-21, 18:19"/>
    <s v="2023-07-20, 00:40"/>
    <n v="2022"/>
    <s v="electricity"/>
    <s v="Electricity"/>
    <s v="model"/>
    <b v="0"/>
    <s v="ELECTRICITY; UNITED STATES - RFCW"/>
    <x v="0"/>
    <x v="0"/>
    <s v="Americas"/>
    <s v="Northern America"/>
    <s v="US"/>
    <s v="RFCW"/>
    <n v="0"/>
    <s v="CH4"/>
    <n v="121.9136769"/>
    <n v="9.7522400000000001E-4"/>
    <s v="KWH"/>
    <n v="1"/>
    <n v="125011"/>
    <s v="AR4"/>
    <s v="USEPA"/>
    <s v="USEPA (2022)"/>
    <n v="2022"/>
    <n v="2020"/>
    <n v="0"/>
    <n v="0"/>
    <x v="17"/>
    <s v="Office"/>
  </r>
  <r>
    <n v="20122"/>
    <s v="Top of Hierarchy &gt; North America &gt; Vantage_Pittsburgh"/>
    <x v="0"/>
    <x v="0"/>
    <d v="2022-01-01T00:00:00"/>
    <d v="2022-12-31T00:00:00"/>
    <x v="0"/>
    <d v="2022-01-01T00:00:00"/>
    <d v="2022-12-31T00:00:00"/>
    <s v="Electricity (non-renewable)"/>
    <n v="125011"/>
    <s v="Kilowatt hours"/>
    <x v="1"/>
    <m/>
    <s v="2023-03-21, 18:19"/>
    <s v="2023-07-20, 00:40"/>
    <n v="2022"/>
    <s v="electricity"/>
    <s v="Electricity"/>
    <s v="model"/>
    <b v="0"/>
    <s v="ELECTRICITY; UNITED STATES - RFCW"/>
    <x v="0"/>
    <x v="0"/>
    <s v="Americas"/>
    <s v="Northern America"/>
    <s v="US"/>
    <s v="RFCW"/>
    <n v="0"/>
    <s v="CO2"/>
    <n v="55852.171040000001"/>
    <n v="0.44677805199999998"/>
    <s v="KWH"/>
    <n v="1"/>
    <n v="125011"/>
    <s v="AR4"/>
    <s v="USEPA"/>
    <s v="USEPA (2022)"/>
    <n v="2022"/>
    <n v="2020"/>
    <n v="0"/>
    <n v="0"/>
    <x v="17"/>
    <s v="Office"/>
  </r>
  <r>
    <n v="20122"/>
    <s v="Top of Hierarchy &gt; North America &gt; Vantage_Pittsburgh"/>
    <x v="0"/>
    <x v="0"/>
    <d v="2022-01-01T00:00:00"/>
    <d v="2022-12-31T00:00:00"/>
    <x v="0"/>
    <d v="2022-01-01T00:00:00"/>
    <d v="2022-12-31T00:00:00"/>
    <s v="Electricity (non-renewable)"/>
    <n v="125011"/>
    <s v="Kilowatt hours"/>
    <x v="1"/>
    <m/>
    <s v="2023-03-21, 18:19"/>
    <s v="2023-07-20, 00:40"/>
    <n v="2022"/>
    <s v="electricity"/>
    <s v="Electricity"/>
    <s v="model"/>
    <b v="0"/>
    <s v="ELECTRICITY; UNITED STATES - RFCW"/>
    <x v="0"/>
    <x v="0"/>
    <s v="Americas"/>
    <s v="Northern America"/>
    <s v="US"/>
    <s v="RFCW"/>
    <n v="0"/>
    <s v="CO2E"/>
    <n v="56176.858350000002"/>
    <n v="0.44937532200000002"/>
    <s v="KWH"/>
    <n v="1"/>
    <n v="125011"/>
    <s v="AR4"/>
    <s v="USEPA"/>
    <s v="USEPA (2022)"/>
    <n v="2022"/>
    <n v="2020"/>
    <n v="56.176858350000003"/>
    <n v="0"/>
    <x v="17"/>
    <s v="Office"/>
  </r>
  <r>
    <n v="20122"/>
    <s v="Top of Hierarchy &gt; North America &gt; Vantage_Pittsburgh"/>
    <x v="0"/>
    <x v="0"/>
    <d v="2022-01-01T00:00:00"/>
    <d v="2022-12-31T00:00:00"/>
    <x v="0"/>
    <d v="2022-01-01T00:00:00"/>
    <d v="2022-12-31T00:00:00"/>
    <s v="Electricity (non-renewable)"/>
    <n v="125011"/>
    <s v="Kilowatt hours"/>
    <x v="1"/>
    <m/>
    <s v="2023-03-21, 18:19"/>
    <s v="2023-07-20, 00:40"/>
    <n v="2022"/>
    <s v="electricity"/>
    <s v="Electricity"/>
    <s v="model"/>
    <b v="0"/>
    <s v="ELECTRICITY; UNITED STATES - RFCW"/>
    <x v="0"/>
    <x v="0"/>
    <s v="Americas"/>
    <s v="Northern America"/>
    <s v="US"/>
    <s v="RFCW"/>
    <n v="0"/>
    <s v="N2O"/>
    <n v="202.7736319"/>
    <n v="1.622046E-3"/>
    <s v="KWH"/>
    <n v="1"/>
    <n v="125011"/>
    <s v="AR4"/>
    <s v="USEPA"/>
    <s v="USEPA (2022)"/>
    <n v="2022"/>
    <n v="2020"/>
    <n v="0"/>
    <n v="0"/>
    <x v="17"/>
    <s v="Office"/>
  </r>
  <r>
    <n v="20122"/>
    <s v="Top of Hierarchy &gt; North America &gt; Vantage_Pittsburgh"/>
    <x v="0"/>
    <x v="0"/>
    <d v="2022-01-01T00:00:00"/>
    <d v="2022-12-31T00:00:00"/>
    <x v="0"/>
    <d v="2022-01-01T00:00:00"/>
    <d v="2022-12-31T00:00:00"/>
    <s v="Electricity (non-renewable)"/>
    <n v="125011"/>
    <s v="Kilowatt hours"/>
    <x v="1"/>
    <m/>
    <s v="2023-03-21, 18:19"/>
    <s v="2023-07-20, 00:40"/>
    <n v="2022"/>
    <s v="electricity"/>
    <s v="Electricity"/>
    <s v="model"/>
    <b v="0"/>
    <s v="ELECTRICITY; UNITED STATES - RFCW"/>
    <x v="0"/>
    <x v="0"/>
    <s v="Americas"/>
    <s v="Northern America"/>
    <s v="US"/>
    <s v="RFCW"/>
    <n v="1"/>
    <s v="CO2E MKT"/>
    <n v="55959.40436"/>
    <n v="0.44763584299999998"/>
    <s v="KWH"/>
    <n v="1"/>
    <n v="125011"/>
    <s v="AR4"/>
    <s v="Green-e"/>
    <s v="Green-e (2022)"/>
    <n v="2022"/>
    <n v="2020"/>
    <n v="0"/>
    <n v="55.959404360000001"/>
    <x v="17"/>
    <s v="Office"/>
  </r>
  <r>
    <n v="20122"/>
    <s v="Top of Hierarchy &gt; North America &gt; Vantage_Pittsburgh"/>
    <x v="0"/>
    <x v="0"/>
    <d v="2022-01-01T00:00:00"/>
    <d v="2022-12-31T00:00:00"/>
    <x v="0"/>
    <d v="2022-01-01T00:00:00"/>
    <d v="2022-12-31T00:00:00"/>
    <s v="Electricity (non-renewable)"/>
    <n v="125011"/>
    <s v="Kilowatt hours"/>
    <x v="1"/>
    <m/>
    <s v="2023-03-21, 18:19"/>
    <s v="2023-07-20, 00:40"/>
    <n v="2022"/>
    <s v="electricity__t+d__wtt"/>
    <s v="Electricity T&amp;D WTT"/>
    <s v="t+d_wtt"/>
    <b v="0"/>
    <s v="ELECTRICITY T&amp;D WTT; UNITED STATES - RFCW"/>
    <x v="1"/>
    <x v="1"/>
    <s v="Americas"/>
    <s v="Northern America"/>
    <s v="US"/>
    <s v="RFCW"/>
    <n v="0"/>
    <s v="CO2E"/>
    <n v="879.65387599999997"/>
    <n v="7.0366120000000002E-3"/>
    <s v="KWH"/>
    <n v="1"/>
    <n v="125011"/>
    <s v="AR4"/>
    <s v="Anthesis"/>
    <s v="Anthesis (2022)"/>
    <n v="2022"/>
    <n v="2020"/>
    <n v="0.879653876"/>
    <n v="0"/>
    <x v="17"/>
    <s v="Office"/>
  </r>
  <r>
    <n v="20122"/>
    <s v="Top of Hierarchy &gt; North America &gt; Vantage_Pittsburgh"/>
    <x v="0"/>
    <x v="0"/>
    <d v="2022-01-01T00:00:00"/>
    <d v="2022-12-31T00:00:00"/>
    <x v="0"/>
    <d v="2022-01-01T00:00:00"/>
    <d v="2022-12-31T00:00:00"/>
    <s v="Electricity (non-renewable)"/>
    <n v="125011"/>
    <s v="Kilowatt hours"/>
    <x v="1"/>
    <m/>
    <s v="2023-03-21, 18:19"/>
    <s v="2023-07-20, 00:40"/>
    <n v="2022"/>
    <s v="electricity__t+d__wtt"/>
    <s v="Electricity T&amp;D WTT"/>
    <s v="t+d_wtt"/>
    <b v="0"/>
    <s v="ELECTRICITY; UNITED STATES - RFCW; T&amp;D WTT Estimated"/>
    <x v="1"/>
    <x v="1"/>
    <s v="Americas"/>
    <s v="Northern America"/>
    <s v="US"/>
    <s v="RFCW"/>
    <n v="1"/>
    <s v="CO2E MKT"/>
    <n v="815.95978149999996"/>
    <n v="6.5271039999999997E-3"/>
    <s v="KWH"/>
    <n v="1"/>
    <n v="125011"/>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  to estimate the T&amp;D WTT factor."/>
    <n v="2022"/>
    <n v="2019"/>
    <n v="0"/>
    <n v="0.81595978149999993"/>
    <x v="17"/>
    <s v="Office"/>
  </r>
  <r>
    <n v="20122"/>
    <s v="Top of Hierarchy &gt; North America &gt; Vantage_Pittsburgh"/>
    <x v="0"/>
    <x v="0"/>
    <d v="2022-01-01T00:00:00"/>
    <d v="2022-12-31T00:00:00"/>
    <x v="0"/>
    <d v="2022-01-01T00:00:00"/>
    <d v="2022-12-31T00:00:00"/>
    <s v="Electricity (non-renewable)"/>
    <n v="125011"/>
    <s v="Kilowatt hours"/>
    <x v="1"/>
    <m/>
    <s v="2023-03-21, 18:19"/>
    <s v="2023-07-20, 00:40"/>
    <n v="2022"/>
    <s v="electricity__wtt"/>
    <s v="Electricity WTT"/>
    <s v="wtt"/>
    <b v="0"/>
    <s v="ELECTRICITY WTT; UNITED STATES - RFCW"/>
    <x v="1"/>
    <x v="1"/>
    <s v="Americas"/>
    <s v="Northern America"/>
    <s v="US"/>
    <s v="RFCW"/>
    <n v="0"/>
    <s v="CO2E"/>
    <n v="15717.58907"/>
    <n v="0.125729648"/>
    <s v="KWH"/>
    <n v="1"/>
    <n v="125011"/>
    <s v="AR4"/>
    <s v="Anthesis"/>
    <s v="Anthesis (2022)"/>
    <n v="2022"/>
    <n v="2020"/>
    <n v="15.717589070000001"/>
    <n v="0"/>
    <x v="17"/>
    <s v="Office"/>
  </r>
  <r>
    <n v="20122"/>
    <s v="Top of Hierarchy &gt; North America &gt; Vantage_Pittsburgh"/>
    <x v="0"/>
    <x v="0"/>
    <d v="2022-01-01T00:00:00"/>
    <d v="2022-12-31T00:00:00"/>
    <x v="0"/>
    <d v="2022-01-01T00:00:00"/>
    <d v="2022-12-31T00:00:00"/>
    <s v="Electricity (non-renewable)"/>
    <n v="125011"/>
    <s v="Kilowatt hours"/>
    <x v="1"/>
    <m/>
    <s v="2023-03-21, 18:19"/>
    <s v="2023-07-20, 00:40"/>
    <n v="2022"/>
    <s v="electricity__wtt"/>
    <s v="Electricity WTT"/>
    <s v="wtt"/>
    <b v="0"/>
    <s v="ELECTRICITY; UNITED STATES - RFCW; WTT Estimated"/>
    <x v="1"/>
    <x v="1"/>
    <s v="Americas"/>
    <s v="Northern America"/>
    <s v="US"/>
    <s v="RFCW"/>
    <n v="1"/>
    <s v="CO2E MKT"/>
    <n v="15999.2114"/>
    <n v="0.12798242900000001"/>
    <s v="KWH"/>
    <n v="1"/>
    <n v="125011"/>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RFCW, Green-eto estimate the WTT factor."/>
    <n v="2022"/>
    <n v="2019"/>
    <n v="0"/>
    <n v="15.9992114"/>
    <x v="17"/>
    <s v="Office"/>
  </r>
  <r>
    <n v="20122"/>
    <s v="Top of Hierarchy &gt; North America &gt; Vantage_Pittsburgh"/>
    <x v="0"/>
    <x v="0"/>
    <d v="2022-01-01T00:00:00"/>
    <d v="2022-12-31T00:00:00"/>
    <x v="0"/>
    <d v="2022-01-01T00:00:00"/>
    <d v="2022-12-31T00:00:00"/>
    <s v="Electricity (non-renewable)"/>
    <n v="125011"/>
    <s v="Kilowatt hours"/>
    <x v="1"/>
    <m/>
    <s v="2023-03-21, 18:19"/>
    <s v="2023-07-20, 00:40"/>
    <n v="2022"/>
    <s v="electricity__t+d"/>
    <s v="Electricity T&amp;D"/>
    <s v="t+d"/>
    <b v="0"/>
    <s v="ELECTRICITY; TRANSMISSION AND DISTRIBUTION; UNITED STATES - RFCW"/>
    <x v="1"/>
    <x v="1"/>
    <s v="Americas"/>
    <s v="Northern America"/>
    <s v="US"/>
    <s v="RFCW"/>
    <n v="0"/>
    <s v="CO2E"/>
    <n v="2977.3734920000002"/>
    <n v="2.3816891999999999E-2"/>
    <s v="KWH"/>
    <n v="1"/>
    <n v="125011"/>
    <s v="AR4"/>
    <s v="USEPA"/>
    <s v="USEPA (2022)"/>
    <n v="2022"/>
    <n v="2020"/>
    <n v="2.9773734920000003"/>
    <n v="0"/>
    <x v="17"/>
    <s v="Office"/>
  </r>
  <r>
    <n v="20122"/>
    <s v="Top of Hierarchy &gt; North America &gt; Vantage_Pittsburgh"/>
    <x v="0"/>
    <x v="0"/>
    <d v="2022-01-01T00:00:00"/>
    <d v="2022-12-31T00:00:00"/>
    <x v="0"/>
    <d v="2022-01-01T00:00:00"/>
    <d v="2022-12-31T00:00:00"/>
    <s v="Electricity (non-renewable)"/>
    <n v="125011"/>
    <s v="Kilowatt hours"/>
    <x v="1"/>
    <m/>
    <s v="2023-03-21, 18:19"/>
    <s v="2023-07-20, 00:40"/>
    <n v="2022"/>
    <s v="electricity__t+d"/>
    <s v="Electricity T&amp;D"/>
    <s v="t+d"/>
    <b v="0"/>
    <s v="ELECTRICITY; UNITED STATES - RFCW; T&amp;D Estimated"/>
    <x v="1"/>
    <x v="1"/>
    <s v="Americas"/>
    <s v="Northern America"/>
    <s v="US"/>
    <s v="RFCW"/>
    <n v="1"/>
    <s v="CO2E MKT"/>
    <n v="3088.757854"/>
    <n v="2.4707889E-2"/>
    <s v="KWH"/>
    <n v="1"/>
    <n v="125011"/>
    <s v="AR4"/>
    <s v="Anthesis"/>
    <s v="The median T&amp;D to generation factor ratio of all countries within the region Northern America was taken to be ELECTRICITY; UNITED STATES - SRSO, USEPA to ELECTRICITY; TRANSMISSION AND DISTRIBUTION; UNITED STATES - SRSO, USEPA: 0.051. This was applied to the base factor ELECTRICITY; UNITED STATES - RFCW, Green-eto estimate the T&amp;D factor."/>
    <n v="2022"/>
    <n v="2019"/>
    <n v="0"/>
    <n v="3.0887578539999998"/>
    <x v="17"/>
    <s v="Office"/>
  </r>
  <r>
    <n v="20060"/>
    <s v="Top of Hierarchy &gt; North America &gt; Vantage_Pittsburgh"/>
    <x v="0"/>
    <x v="0"/>
    <d v="2022-01-01T00:00:00"/>
    <d v="2022-12-31T00:00:00"/>
    <x v="3"/>
    <d v="2022-01-01T00:00:00"/>
    <d v="2022-12-31T00:00:00"/>
    <s v="Natural gas"/>
    <n v="958300"/>
    <s v="cubic feet"/>
    <x v="1"/>
    <m/>
    <s v="2023-03-21, 17:26"/>
    <s v="2023-07-20, 00:40"/>
    <n v="2022"/>
    <s v="natural_gas"/>
    <s v="Natural Gas"/>
    <s v="model"/>
    <b v="0"/>
    <s v="NATURAL GAS, NATURAL GAS"/>
    <x v="2"/>
    <x v="0"/>
    <s v="Americas"/>
    <s v="Northern America"/>
    <s v="US"/>
    <m/>
    <n v="0"/>
    <s v="CH4"/>
    <n v="24.676224999999999"/>
    <n v="2.5749999999999999E-5"/>
    <s v="SCF"/>
    <n v="1"/>
    <n v="958300"/>
    <s v="AR4"/>
    <s v="USEPA"/>
    <s v="USEPA (2022)"/>
    <n v="2022"/>
    <n v="2022"/>
    <n v="0"/>
    <n v="0"/>
    <x v="17"/>
    <s v="Office"/>
  </r>
  <r>
    <n v="20060"/>
    <s v="Top of Hierarchy &gt; North America &gt; Vantage_Pittsburgh"/>
    <x v="0"/>
    <x v="0"/>
    <d v="2022-01-01T00:00:00"/>
    <d v="2022-12-31T00:00:00"/>
    <x v="3"/>
    <d v="2022-01-01T00:00:00"/>
    <d v="2022-12-31T00:00:00"/>
    <s v="Natural gas"/>
    <n v="958300"/>
    <s v="cubic feet"/>
    <x v="1"/>
    <m/>
    <s v="2023-03-21, 17:26"/>
    <s v="2023-07-20, 00:40"/>
    <n v="2022"/>
    <s v="natural_gas"/>
    <s v="Natural Gas"/>
    <s v="model"/>
    <b v="0"/>
    <s v="NATURAL GAS, NATURAL GAS"/>
    <x v="2"/>
    <x v="0"/>
    <s v="Americas"/>
    <s v="Northern America"/>
    <s v="US"/>
    <m/>
    <n v="0"/>
    <s v="CO2"/>
    <n v="52169.851999999999"/>
    <n v="5.4440000000000002E-2"/>
    <s v="SCF"/>
    <n v="1"/>
    <n v="958300"/>
    <s v="AR4"/>
    <s v="USEPA"/>
    <s v="USEPA (2022)"/>
    <n v="2022"/>
    <n v="2022"/>
    <n v="0"/>
    <n v="0"/>
    <x v="17"/>
    <s v="Office"/>
  </r>
  <r>
    <n v="20060"/>
    <s v="Top of Hierarchy &gt; North America &gt; Vantage_Pittsburgh"/>
    <x v="0"/>
    <x v="0"/>
    <d v="2022-01-01T00:00:00"/>
    <d v="2022-12-31T00:00:00"/>
    <x v="3"/>
    <d v="2022-01-01T00:00:00"/>
    <d v="2022-12-31T00:00:00"/>
    <s v="Natural gas"/>
    <n v="958300"/>
    <s v="cubic feet"/>
    <x v="1"/>
    <m/>
    <s v="2023-03-21, 17:26"/>
    <s v="2023-07-20, 00:40"/>
    <n v="2022"/>
    <s v="natural_gas"/>
    <s v="Natural Gas"/>
    <s v="model"/>
    <b v="0"/>
    <s v="NATURAL GAS, NATURAL GAS"/>
    <x v="2"/>
    <x v="0"/>
    <s v="Americas"/>
    <s v="Northern America"/>
    <s v="US"/>
    <m/>
    <n v="0"/>
    <s v="CO2E"/>
    <n v="52223.085570000003"/>
    <n v="5.4495549999999997E-2"/>
    <s v="SCF"/>
    <n v="1"/>
    <n v="958300"/>
    <s v="AR4"/>
    <s v="USEPA"/>
    <s v="USEPA (2022)"/>
    <n v="2022"/>
    <n v="2022"/>
    <n v="52.223085570000002"/>
    <n v="0"/>
    <x v="17"/>
    <s v="Office"/>
  </r>
  <r>
    <n v="20060"/>
    <s v="Top of Hierarchy &gt; North America &gt; Vantage_Pittsburgh"/>
    <x v="0"/>
    <x v="0"/>
    <d v="2022-01-01T00:00:00"/>
    <d v="2022-12-31T00:00:00"/>
    <x v="3"/>
    <d v="2022-01-01T00:00:00"/>
    <d v="2022-12-31T00:00:00"/>
    <s v="Natural gas"/>
    <n v="958300"/>
    <s v="cubic feet"/>
    <x v="1"/>
    <m/>
    <s v="2023-03-21, 17:26"/>
    <s v="2023-07-20, 00:40"/>
    <n v="2022"/>
    <s v="natural_gas"/>
    <s v="Natural Gas"/>
    <s v="model"/>
    <b v="0"/>
    <s v="NATURAL GAS, NATURAL GAS"/>
    <x v="2"/>
    <x v="0"/>
    <s v="Americas"/>
    <s v="Northern America"/>
    <s v="US"/>
    <m/>
    <n v="0"/>
    <s v="N2O"/>
    <n v="28.55734"/>
    <n v="2.9799999999999999E-5"/>
    <s v="SCF"/>
    <n v="1"/>
    <n v="958300"/>
    <s v="AR4"/>
    <s v="USEPA"/>
    <s v="USEPA (2022)"/>
    <n v="2022"/>
    <n v="2022"/>
    <n v="0"/>
    <n v="0"/>
    <x v="17"/>
    <s v="Office"/>
  </r>
  <r>
    <n v="20060"/>
    <s v="Top of Hierarchy &gt; North America &gt; Vantage_Pittsburgh"/>
    <x v="0"/>
    <x v="0"/>
    <d v="2022-01-01T00:00:00"/>
    <d v="2022-12-31T00:00:00"/>
    <x v="3"/>
    <d v="2022-01-01T00:00:00"/>
    <d v="2022-12-31T00:00:00"/>
    <s v="Natural gas"/>
    <n v="958300"/>
    <s v="cubic feet"/>
    <x v="1"/>
    <m/>
    <s v="2023-03-21, 17:26"/>
    <s v="2023-07-20, 00:40"/>
    <n v="2022"/>
    <s v="natural_gas"/>
    <s v="Natural Gas"/>
    <s v="model"/>
    <b v="0"/>
    <s v="NATURAL GAS, NATURAL GAS"/>
    <x v="2"/>
    <x v="0"/>
    <s v="Americas"/>
    <s v="Northern America"/>
    <s v="US"/>
    <m/>
    <n v="1"/>
    <s v="CH4"/>
    <n v="24.676224999999999"/>
    <n v="2.5749999999999999E-5"/>
    <s v="SCF"/>
    <n v="1"/>
    <n v="958300"/>
    <s v="AR4"/>
    <s v="USEPA"/>
    <s v="USEPA (2022)"/>
    <n v="2022"/>
    <n v="2022"/>
    <n v="0"/>
    <n v="0"/>
    <x v="17"/>
    <s v="Office"/>
  </r>
  <r>
    <n v="20060"/>
    <s v="Top of Hierarchy &gt; North America &gt; Vantage_Pittsburgh"/>
    <x v="0"/>
    <x v="0"/>
    <d v="2022-01-01T00:00:00"/>
    <d v="2022-12-31T00:00:00"/>
    <x v="3"/>
    <d v="2022-01-01T00:00:00"/>
    <d v="2022-12-31T00:00:00"/>
    <s v="Natural gas"/>
    <n v="958300"/>
    <s v="cubic feet"/>
    <x v="1"/>
    <m/>
    <s v="2023-03-21, 17:26"/>
    <s v="2023-07-20, 00:40"/>
    <n v="2022"/>
    <s v="natural_gas"/>
    <s v="Natural Gas"/>
    <s v="model"/>
    <b v="0"/>
    <s v="NATURAL GAS, NATURAL GAS"/>
    <x v="2"/>
    <x v="0"/>
    <s v="Americas"/>
    <s v="Northern America"/>
    <s v="US"/>
    <m/>
    <n v="1"/>
    <s v="CO2"/>
    <n v="52169.851999999999"/>
    <n v="5.4440000000000002E-2"/>
    <s v="SCF"/>
    <n v="1"/>
    <n v="958300"/>
    <s v="AR4"/>
    <s v="USEPA"/>
    <s v="USEPA (2022)"/>
    <n v="2022"/>
    <n v="2022"/>
    <n v="0"/>
    <n v="0"/>
    <x v="17"/>
    <s v="Office"/>
  </r>
  <r>
    <n v="20060"/>
    <s v="Top of Hierarchy &gt; North America &gt; Vantage_Pittsburgh"/>
    <x v="0"/>
    <x v="0"/>
    <d v="2022-01-01T00:00:00"/>
    <d v="2022-12-31T00:00:00"/>
    <x v="3"/>
    <d v="2022-01-01T00:00:00"/>
    <d v="2022-12-31T00:00:00"/>
    <s v="Natural gas"/>
    <n v="958300"/>
    <s v="cubic feet"/>
    <x v="1"/>
    <m/>
    <s v="2023-03-21, 17:26"/>
    <s v="2023-07-20, 00:40"/>
    <n v="2022"/>
    <s v="natural_gas"/>
    <s v="Natural Gas"/>
    <s v="model"/>
    <b v="0"/>
    <s v="NATURAL GAS, NATURAL GAS"/>
    <x v="2"/>
    <x v="0"/>
    <s v="Americas"/>
    <s v="Northern America"/>
    <s v="US"/>
    <m/>
    <n v="1"/>
    <s v="CO2E"/>
    <n v="52223.085570000003"/>
    <n v="5.4495549999999997E-2"/>
    <s v="SCF"/>
    <n v="1"/>
    <n v="958300"/>
    <s v="AR4"/>
    <s v="USEPA"/>
    <s v="USEPA (2022)"/>
    <n v="2022"/>
    <n v="2022"/>
    <n v="0"/>
    <n v="52.223085570000002"/>
    <x v="17"/>
    <s v="Office"/>
  </r>
  <r>
    <n v="20060"/>
    <s v="Top of Hierarchy &gt; North America &gt; Vantage_Pittsburgh"/>
    <x v="0"/>
    <x v="0"/>
    <d v="2022-01-01T00:00:00"/>
    <d v="2022-12-31T00:00:00"/>
    <x v="3"/>
    <d v="2022-01-01T00:00:00"/>
    <d v="2022-12-31T00:00:00"/>
    <s v="Natural gas"/>
    <n v="958300"/>
    <s v="cubic feet"/>
    <x v="1"/>
    <m/>
    <s v="2023-03-21, 17:26"/>
    <s v="2023-07-20, 00:40"/>
    <n v="2022"/>
    <s v="natural_gas"/>
    <s v="Natural Gas"/>
    <s v="model"/>
    <b v="0"/>
    <s v="NATURAL GAS, NATURAL GAS"/>
    <x v="2"/>
    <x v="0"/>
    <s v="Americas"/>
    <s v="Northern America"/>
    <s v="US"/>
    <m/>
    <n v="1"/>
    <s v="N2O"/>
    <n v="28.55734"/>
    <n v="2.9799999999999999E-5"/>
    <s v="SCF"/>
    <n v="1"/>
    <n v="958300"/>
    <s v="AR4"/>
    <s v="USEPA"/>
    <s v="USEPA (2022)"/>
    <n v="2022"/>
    <n v="2022"/>
    <n v="0"/>
    <n v="0"/>
    <x v="17"/>
    <s v="Office"/>
  </r>
  <r>
    <n v="20060"/>
    <s v="Top of Hierarchy &gt; North America &gt; Vantage_Pittsburgh"/>
    <x v="0"/>
    <x v="0"/>
    <d v="2022-01-01T00:00:00"/>
    <d v="2022-12-31T00:00:00"/>
    <x v="3"/>
    <d v="2022-01-01T00:00:00"/>
    <d v="2022-12-31T00:00:00"/>
    <s v="Natural gas"/>
    <n v="958300"/>
    <s v="cubic feet"/>
    <x v="1"/>
    <m/>
    <s v="2023-03-21, 17:26"/>
    <s v="2023-07-20, 00:40"/>
    <n v="2022"/>
    <s v="natural_gas__wtt"/>
    <s v="Natural Gas WTT"/>
    <s v="wtt"/>
    <b v="0"/>
    <s v="WTT- FUELS; GASEOUS FUELS; NATURAL GAS"/>
    <x v="1"/>
    <x v="1"/>
    <m/>
    <m/>
    <m/>
    <m/>
    <n v="0"/>
    <s v="CO2E"/>
    <n v="9318.4987739999997"/>
    <n v="0.34339999999999998"/>
    <s v="CUBIC METRES"/>
    <n v="2.83168E-2"/>
    <n v="27135.989440000001"/>
    <s v="AR4"/>
    <s v="Defra"/>
    <s v="Defra (2022)"/>
    <n v="2022"/>
    <n v="2020"/>
    <n v="9.318498774"/>
    <n v="0"/>
    <x v="17"/>
    <s v="Office"/>
  </r>
  <r>
    <n v="20060"/>
    <s v="Top of Hierarchy &gt; North America &gt; Vantage_Pittsburgh"/>
    <x v="0"/>
    <x v="0"/>
    <d v="2022-01-01T00:00:00"/>
    <d v="2022-12-31T00:00:00"/>
    <x v="3"/>
    <d v="2022-01-01T00:00:00"/>
    <d v="2022-12-31T00:00:00"/>
    <s v="Natural gas"/>
    <n v="958300"/>
    <s v="cubic feet"/>
    <x v="1"/>
    <m/>
    <s v="2023-03-21, 17:26"/>
    <s v="2023-07-20, 00:40"/>
    <n v="2022"/>
    <s v="natural_gas__wtt"/>
    <s v="Natural Gas WTT"/>
    <s v="wtt"/>
    <b v="0"/>
    <s v="WTT- FUELS; GASEOUS FUELS; NATURAL GAS"/>
    <x v="1"/>
    <x v="1"/>
    <m/>
    <m/>
    <m/>
    <m/>
    <n v="1"/>
    <s v="CO2E"/>
    <n v="9318.4987739999997"/>
    <n v="0.34339999999999998"/>
    <s v="CUBIC METRES"/>
    <n v="2.83168E-2"/>
    <n v="27135.989440000001"/>
    <s v="AR4"/>
    <s v="Defra"/>
    <s v="Defra (2022)"/>
    <n v="2022"/>
    <n v="2020"/>
    <n v="0"/>
    <n v="9.318498774"/>
    <x v="17"/>
    <s v="Office"/>
  </r>
  <r>
    <n v="284002"/>
    <s v="Top of Hierarchy &gt; North America &gt; Vantage_Pittsburgh"/>
    <x v="0"/>
    <x v="0"/>
    <d v="2022-01-01T00:00:00"/>
    <d v="2022-12-31T00:00:00"/>
    <x v="1"/>
    <d v="2022-01-01T00:00:00"/>
    <d v="2022-12-31T00:00:00"/>
    <s v="Petrol (100% mineral petrol)"/>
    <n v="0"/>
    <s v="British Thermal Units"/>
    <x v="1"/>
    <m/>
    <s v="2023-04-28, 23:30"/>
    <s v="2023-07-20, 00:40"/>
    <n v="2022"/>
    <s v="petrol_100p_mineral_petrol"/>
    <s v="Petrol (100% Mineral Petrol)"/>
    <s v="model"/>
    <b v="0"/>
    <s v="FUELS; LIQUID FUELS; PETROL (100% MINERAL PETROL)"/>
    <x v="2"/>
    <x v="0"/>
    <m/>
    <m/>
    <m/>
    <m/>
    <n v="0"/>
    <s v="CH4"/>
    <n v="0"/>
    <n v="7.6000000000000004E-4"/>
    <s v="KWH (GROSS CV)"/>
    <n v="2.9306999999999998E-4"/>
    <n v="0"/>
    <s v="AR4"/>
    <s v="Defra"/>
    <s v="Defra (2022)"/>
    <n v="2022"/>
    <n v="2020"/>
    <n v="0"/>
    <n v="0"/>
    <x v="17"/>
    <s v="Office"/>
  </r>
  <r>
    <n v="284002"/>
    <s v="Top of Hierarchy &gt; North America &gt; Vantage_Pittsburgh"/>
    <x v="0"/>
    <x v="0"/>
    <d v="2022-01-01T00:00:00"/>
    <d v="2022-12-31T00:00:00"/>
    <x v="1"/>
    <d v="2022-01-01T00:00:00"/>
    <d v="2022-12-31T00:00:00"/>
    <s v="Petrol (100% mineral petrol)"/>
    <n v="0"/>
    <s v="British Thermal Units"/>
    <x v="1"/>
    <m/>
    <s v="2023-04-28, 23:30"/>
    <s v="2023-07-20, 00:40"/>
    <n v="2022"/>
    <s v="petrol_100p_mineral_petrol"/>
    <s v="Petrol (100% Mineral Petrol)"/>
    <s v="model"/>
    <b v="0"/>
    <s v="FUELS; LIQUID FUELS; PETROL (100% MINERAL PETROL)"/>
    <x v="2"/>
    <x v="0"/>
    <m/>
    <m/>
    <m/>
    <m/>
    <n v="0"/>
    <s v="CO2"/>
    <n v="0"/>
    <n v="0.24010999999999999"/>
    <s v="KWH (GROSS CV)"/>
    <n v="2.9306999999999998E-4"/>
    <n v="0"/>
    <s v="AR4"/>
    <s v="Defra"/>
    <s v="Defra (2022)"/>
    <n v="2022"/>
    <n v="2020"/>
    <n v="0"/>
    <n v="0"/>
    <x v="17"/>
    <s v="Office"/>
  </r>
  <r>
    <n v="284002"/>
    <s v="Top of Hierarchy &gt; North America &gt; Vantage_Pittsburgh"/>
    <x v="0"/>
    <x v="0"/>
    <d v="2022-01-01T00:00:00"/>
    <d v="2022-12-31T00:00:00"/>
    <x v="1"/>
    <d v="2022-01-01T00:00:00"/>
    <d v="2022-12-31T00:00:00"/>
    <s v="Petrol (100% mineral petrol)"/>
    <n v="0"/>
    <s v="British Thermal Units"/>
    <x v="1"/>
    <m/>
    <s v="2023-04-28, 23:30"/>
    <s v="2023-07-20, 00:40"/>
    <n v="2022"/>
    <s v="petrol_100p_mineral_petrol"/>
    <s v="Petrol (100% Mineral Petrol)"/>
    <s v="model"/>
    <b v="0"/>
    <s v="FUELS; LIQUID FUELS; PETROL (100% MINERAL PETROL)"/>
    <x v="2"/>
    <x v="0"/>
    <m/>
    <m/>
    <m/>
    <m/>
    <n v="0"/>
    <s v="CO2E"/>
    <n v="0"/>
    <n v="0.24156"/>
    <s v="KWH (GROSS CV)"/>
    <n v="2.9306999999999998E-4"/>
    <n v="0"/>
    <s v="AR4"/>
    <s v="Defra"/>
    <s v="Defra (2022)"/>
    <n v="2022"/>
    <n v="2020"/>
    <n v="0"/>
    <n v="0"/>
    <x v="17"/>
    <s v="Office"/>
  </r>
  <r>
    <n v="284002"/>
    <s v="Top of Hierarchy &gt; North America &gt; Vantage_Pittsburgh"/>
    <x v="0"/>
    <x v="0"/>
    <d v="2022-01-01T00:00:00"/>
    <d v="2022-12-31T00:00:00"/>
    <x v="1"/>
    <d v="2022-01-01T00:00:00"/>
    <d v="2022-12-31T00:00:00"/>
    <s v="Petrol (100% mineral petrol)"/>
    <n v="0"/>
    <s v="British Thermal Units"/>
    <x v="1"/>
    <m/>
    <s v="2023-04-28, 23:30"/>
    <s v="2023-07-20, 00:40"/>
    <n v="2022"/>
    <s v="petrol_100p_mineral_petrol"/>
    <s v="Petrol (100% Mineral Petrol)"/>
    <s v="model"/>
    <b v="0"/>
    <s v="FUELS; LIQUID FUELS; PETROL (100% MINERAL PETROL)"/>
    <x v="2"/>
    <x v="0"/>
    <m/>
    <m/>
    <m/>
    <m/>
    <n v="0"/>
    <s v="N2O"/>
    <n v="0"/>
    <n v="6.8999999999999997E-4"/>
    <s v="KWH (GROSS CV)"/>
    <n v="2.9306999999999998E-4"/>
    <n v="0"/>
    <s v="AR4"/>
    <s v="Defra"/>
    <s v="Defra (2022)"/>
    <n v="2022"/>
    <n v="2020"/>
    <n v="0"/>
    <n v="0"/>
    <x v="17"/>
    <s v="Office"/>
  </r>
  <r>
    <n v="284002"/>
    <s v="Top of Hierarchy &gt; North America &gt; Vantage_Pittsburgh"/>
    <x v="0"/>
    <x v="0"/>
    <d v="2022-01-01T00:00:00"/>
    <d v="2022-12-31T00:00:00"/>
    <x v="1"/>
    <d v="2022-01-01T00:00:00"/>
    <d v="2022-12-31T00:00:00"/>
    <s v="Petrol (100% mineral petrol)"/>
    <n v="0"/>
    <s v="British Thermal Units"/>
    <x v="1"/>
    <m/>
    <s v="2023-04-28, 23:30"/>
    <s v="2023-07-20, 00:40"/>
    <n v="2022"/>
    <s v="petrol_100p_mineral_petrol"/>
    <s v="Petrol (100% Mineral Petrol)"/>
    <s v="model"/>
    <b v="0"/>
    <s v="FUELS; LIQUID FUELS; PETROL (100% MINERAL PETROL)"/>
    <x v="2"/>
    <x v="0"/>
    <m/>
    <m/>
    <m/>
    <m/>
    <n v="1"/>
    <s v="CH4"/>
    <n v="0"/>
    <n v="7.6000000000000004E-4"/>
    <s v="KWH (GROSS CV)"/>
    <n v="2.9306999999999998E-4"/>
    <n v="0"/>
    <s v="AR4"/>
    <s v="Defra"/>
    <s v="Defra (2022)"/>
    <n v="2022"/>
    <n v="2020"/>
    <n v="0"/>
    <n v="0"/>
    <x v="17"/>
    <s v="Office"/>
  </r>
  <r>
    <n v="284002"/>
    <s v="Top of Hierarchy &gt; North America &gt; Vantage_Pittsburgh"/>
    <x v="0"/>
    <x v="0"/>
    <d v="2022-01-01T00:00:00"/>
    <d v="2022-12-31T00:00:00"/>
    <x v="1"/>
    <d v="2022-01-01T00:00:00"/>
    <d v="2022-12-31T00:00:00"/>
    <s v="Petrol (100% mineral petrol)"/>
    <n v="0"/>
    <s v="British Thermal Units"/>
    <x v="1"/>
    <m/>
    <s v="2023-04-28, 23:30"/>
    <s v="2023-07-20, 00:40"/>
    <n v="2022"/>
    <s v="petrol_100p_mineral_petrol"/>
    <s v="Petrol (100% Mineral Petrol)"/>
    <s v="model"/>
    <b v="0"/>
    <s v="FUELS; LIQUID FUELS; PETROL (100% MINERAL PETROL)"/>
    <x v="2"/>
    <x v="0"/>
    <m/>
    <m/>
    <m/>
    <m/>
    <n v="1"/>
    <s v="CO2"/>
    <n v="0"/>
    <n v="0.24010999999999999"/>
    <s v="KWH (GROSS CV)"/>
    <n v="2.9306999999999998E-4"/>
    <n v="0"/>
    <s v="AR4"/>
    <s v="Defra"/>
    <s v="Defra (2022)"/>
    <n v="2022"/>
    <n v="2020"/>
    <n v="0"/>
    <n v="0"/>
    <x v="17"/>
    <s v="Office"/>
  </r>
  <r>
    <n v="284002"/>
    <s v="Top of Hierarchy &gt; North America &gt; Vantage_Pittsburgh"/>
    <x v="0"/>
    <x v="0"/>
    <d v="2022-01-01T00:00:00"/>
    <d v="2022-12-31T00:00:00"/>
    <x v="1"/>
    <d v="2022-01-01T00:00:00"/>
    <d v="2022-12-31T00:00:00"/>
    <s v="Petrol (100% mineral petrol)"/>
    <n v="0"/>
    <s v="British Thermal Units"/>
    <x v="1"/>
    <m/>
    <s v="2023-04-28, 23:30"/>
    <s v="2023-07-20, 00:40"/>
    <n v="2022"/>
    <s v="petrol_100p_mineral_petrol"/>
    <s v="Petrol (100% Mineral Petrol)"/>
    <s v="model"/>
    <b v="0"/>
    <s v="FUELS; LIQUID FUELS; PETROL (100% MINERAL PETROL)"/>
    <x v="2"/>
    <x v="0"/>
    <m/>
    <m/>
    <m/>
    <m/>
    <n v="1"/>
    <s v="CO2E"/>
    <n v="0"/>
    <n v="0.24156"/>
    <s v="KWH (GROSS CV)"/>
    <n v="2.9306999999999998E-4"/>
    <n v="0"/>
    <s v="AR4"/>
    <s v="Defra"/>
    <s v="Defra (2022)"/>
    <n v="2022"/>
    <n v="2020"/>
    <n v="0"/>
    <n v="0"/>
    <x v="17"/>
    <s v="Office"/>
  </r>
  <r>
    <n v="284002"/>
    <s v="Top of Hierarchy &gt; North America &gt; Vantage_Pittsburgh"/>
    <x v="0"/>
    <x v="0"/>
    <d v="2022-01-01T00:00:00"/>
    <d v="2022-12-31T00:00:00"/>
    <x v="1"/>
    <d v="2022-01-01T00:00:00"/>
    <d v="2022-12-31T00:00:00"/>
    <s v="Petrol (100% mineral petrol)"/>
    <n v="0"/>
    <s v="British Thermal Units"/>
    <x v="1"/>
    <m/>
    <s v="2023-04-28, 23:30"/>
    <s v="2023-07-20, 00:40"/>
    <n v="2022"/>
    <s v="petrol_100p_mineral_petrol"/>
    <s v="Petrol (100% Mineral Petrol)"/>
    <s v="model"/>
    <b v="0"/>
    <s v="FUELS; LIQUID FUELS; PETROL (100% MINERAL PETROL)"/>
    <x v="2"/>
    <x v="0"/>
    <m/>
    <m/>
    <m/>
    <m/>
    <n v="1"/>
    <s v="N2O"/>
    <n v="0"/>
    <n v="6.8999999999999997E-4"/>
    <s v="KWH (GROSS CV)"/>
    <n v="2.9306999999999998E-4"/>
    <n v="0"/>
    <s v="AR4"/>
    <s v="Defra"/>
    <s v="Defra (2022)"/>
    <n v="2022"/>
    <n v="2020"/>
    <n v="0"/>
    <n v="0"/>
    <x v="17"/>
    <s v="Office"/>
  </r>
  <r>
    <n v="284002"/>
    <s v="Top of Hierarchy &gt; North America &gt; Vantage_Pittsburgh"/>
    <x v="0"/>
    <x v="0"/>
    <d v="2022-01-01T00:00:00"/>
    <d v="2022-12-31T00:00:00"/>
    <x v="1"/>
    <d v="2022-01-01T00:00:00"/>
    <d v="2022-12-31T00:00:00"/>
    <s v="Petrol (100% mineral petrol)"/>
    <n v="0"/>
    <s v="British Thermal Units"/>
    <x v="1"/>
    <m/>
    <s v="2023-04-28, 23:30"/>
    <s v="2023-07-20, 00:40"/>
    <n v="2022"/>
    <s v="petrol_100p_mineral_petrol__wtt"/>
    <s v="Petrol (100% Mineral Petrol) WTT"/>
    <s v="wtt"/>
    <b v="0"/>
    <s v="WTT- FUELS; LIQUID FUELS; PETROL (100% MINERAL PETROL)"/>
    <x v="1"/>
    <x v="1"/>
    <m/>
    <m/>
    <m/>
    <m/>
    <n v="0"/>
    <s v="CO2E"/>
    <n v="0"/>
    <n v="6.2239999999999997E-2"/>
    <s v="KWH (GROSS CV)"/>
    <n v="2.9306999999999998E-4"/>
    <n v="0"/>
    <s v="AR4"/>
    <s v="Defra"/>
    <s v="Defra (2022)"/>
    <n v="2022"/>
    <n v="2020"/>
    <n v="0"/>
    <n v="0"/>
    <x v="17"/>
    <s v="Office"/>
  </r>
  <r>
    <n v="284002"/>
    <s v="Top of Hierarchy &gt; North America &gt; Vantage_Pittsburgh"/>
    <x v="0"/>
    <x v="0"/>
    <d v="2022-01-01T00:00:00"/>
    <d v="2022-12-31T00:00:00"/>
    <x v="1"/>
    <d v="2022-01-01T00:00:00"/>
    <d v="2022-12-31T00:00:00"/>
    <s v="Petrol (100% mineral petrol)"/>
    <n v="0"/>
    <s v="British Thermal Units"/>
    <x v="1"/>
    <m/>
    <s v="2023-04-28, 23:30"/>
    <s v="2023-07-20, 00:40"/>
    <n v="2022"/>
    <s v="petrol_100p_mineral_petrol__wtt"/>
    <s v="Petrol (100% Mineral Petrol) WTT"/>
    <s v="wtt"/>
    <b v="0"/>
    <s v="WTT- FUELS; LIQUID FUELS; PETROL (100% MINERAL PETROL)"/>
    <x v="1"/>
    <x v="1"/>
    <m/>
    <m/>
    <m/>
    <m/>
    <n v="1"/>
    <s v="CO2E"/>
    <n v="0"/>
    <n v="6.2239999999999997E-2"/>
    <s v="KWH (GROSS CV)"/>
    <n v="2.9306999999999998E-4"/>
    <n v="0"/>
    <s v="AR4"/>
    <s v="Defra"/>
    <s v="Defra (2022)"/>
    <n v="2022"/>
    <n v="2020"/>
    <n v="0"/>
    <n v="0"/>
    <x v="17"/>
    <s v="Office"/>
  </r>
  <r>
    <n v="1590455"/>
    <s v="Top of Hierarchy &gt; North America &gt; Vantage_Pittsburgh"/>
    <x v="0"/>
    <x v="0"/>
    <d v="2022-01-01T00:00:00"/>
    <d v="2022-12-31T00:00:00"/>
    <x v="4"/>
    <d v="2022-01-01T00:00:00"/>
    <d v="2022-12-31T00:00:00"/>
    <s v="R-134A"/>
    <n v="5"/>
    <s v="kilograms"/>
    <x v="0"/>
    <s v="Estimated from square footage. Assumed R134a."/>
    <s v="2023-07-25, 17:50"/>
    <s v="2023-07-25, 17:50"/>
    <n v="2022"/>
    <s v="hfc-134a"/>
    <s v="HFC-134A"/>
    <s v="model"/>
    <b v="0"/>
    <s v="REFRIGERANT: R-134A"/>
    <x v="2"/>
    <x v="0"/>
    <m/>
    <m/>
    <m/>
    <m/>
    <n v="0"/>
    <s v="CO2E"/>
    <n v="7150"/>
    <n v="1430"/>
    <s v="KG"/>
    <n v="1"/>
    <n v="5"/>
    <s v="AR4"/>
    <s v="IPCC"/>
    <s v="IPCC (2021)"/>
    <n v="2022"/>
    <n v="2007"/>
    <n v="7.15"/>
    <n v="0"/>
    <x v="17"/>
    <s v="Office"/>
  </r>
  <r>
    <n v="1590455"/>
    <s v="Top of Hierarchy &gt; North America &gt; Vantage_Pittsburgh"/>
    <x v="0"/>
    <x v="0"/>
    <d v="2022-01-01T00:00:00"/>
    <d v="2022-12-31T00:00:00"/>
    <x v="4"/>
    <d v="2022-01-01T00:00:00"/>
    <d v="2022-12-31T00:00:00"/>
    <s v="R-134A"/>
    <n v="5"/>
    <s v="kilograms"/>
    <x v="0"/>
    <s v="Estimated from square footage. Assumed R134a."/>
    <s v="2023-07-25, 17:50"/>
    <s v="2023-07-25, 17:50"/>
    <n v="2022"/>
    <s v="hfc-134a"/>
    <s v="HFC-134A"/>
    <s v="model"/>
    <b v="0"/>
    <s v="REFRIGERANT: R-134A"/>
    <x v="2"/>
    <x v="0"/>
    <m/>
    <m/>
    <m/>
    <m/>
    <n v="1"/>
    <s v="CO2E"/>
    <n v="7150"/>
    <n v="1430"/>
    <s v="KG"/>
    <n v="1"/>
    <n v="5"/>
    <s v="AR4"/>
    <s v="IPCC"/>
    <s v="IPCC (2021)"/>
    <n v="2022"/>
    <n v="2007"/>
    <n v="0"/>
    <n v="7.15"/>
    <x v="17"/>
    <s v="Office"/>
  </r>
  <r>
    <n v="284004"/>
    <s v="Top of Hierarchy &gt; North America &gt; Vantage_Pittsburgh"/>
    <x v="0"/>
    <x v="0"/>
    <d v="2022-01-01T00:00:00"/>
    <d v="2022-12-31T00:00:00"/>
    <x v="2"/>
    <d v="2022-01-01T00:00:00"/>
    <d v="2022-12-31T00:00:00"/>
    <s v="Propane"/>
    <n v="0"/>
    <s v="gigajoules"/>
    <x v="1"/>
    <m/>
    <s v="2023-04-28, 23:30"/>
    <s v="2023-07-20, 00:40"/>
    <n v="2022"/>
    <s v="propane"/>
    <s v="Propane"/>
    <s v="model"/>
    <b v="0"/>
    <s v="PETROLEUM PRODUCTS, PROPANE"/>
    <x v="2"/>
    <x v="0"/>
    <s v="Americas"/>
    <s v="Northern America"/>
    <s v="US"/>
    <m/>
    <n v="0"/>
    <s v="CH4"/>
    <n v="0"/>
    <n v="7.4999999999999997E-2"/>
    <s v="MMBTU"/>
    <n v="0.94781711999999996"/>
    <n v="0"/>
    <s v="AR4"/>
    <s v="USEPA"/>
    <s v="USEPA (2022)"/>
    <n v="2022"/>
    <n v="2022"/>
    <n v="0"/>
    <n v="0"/>
    <x v="17"/>
    <s v="Office"/>
  </r>
  <r>
    <n v="284004"/>
    <s v="Top of Hierarchy &gt; North America &gt; Vantage_Pittsburgh"/>
    <x v="0"/>
    <x v="0"/>
    <d v="2022-01-01T00:00:00"/>
    <d v="2022-12-31T00:00:00"/>
    <x v="2"/>
    <d v="2022-01-01T00:00:00"/>
    <d v="2022-12-31T00:00:00"/>
    <s v="Propane"/>
    <n v="0"/>
    <s v="gigajoules"/>
    <x v="1"/>
    <m/>
    <s v="2023-04-28, 23:30"/>
    <s v="2023-07-20, 00:40"/>
    <n v="2022"/>
    <s v="propane"/>
    <s v="Propane"/>
    <s v="model"/>
    <b v="0"/>
    <s v="PETROLEUM PRODUCTS, PROPANE"/>
    <x v="2"/>
    <x v="0"/>
    <s v="Americas"/>
    <s v="Northern America"/>
    <s v="US"/>
    <m/>
    <n v="0"/>
    <s v="CO2"/>
    <n v="0"/>
    <n v="62.87"/>
    <s v="MMBTU"/>
    <n v="0.94781711999999996"/>
    <n v="0"/>
    <s v="AR4"/>
    <s v="USEPA"/>
    <s v="USEPA (2022)"/>
    <n v="2022"/>
    <n v="2022"/>
    <n v="0"/>
    <n v="0"/>
    <x v="17"/>
    <s v="Office"/>
  </r>
  <r>
    <n v="284004"/>
    <s v="Top of Hierarchy &gt; North America &gt; Vantage_Pittsburgh"/>
    <x v="0"/>
    <x v="0"/>
    <d v="2022-01-01T00:00:00"/>
    <d v="2022-12-31T00:00:00"/>
    <x v="2"/>
    <d v="2022-01-01T00:00:00"/>
    <d v="2022-12-31T00:00:00"/>
    <s v="Propane"/>
    <n v="0"/>
    <s v="gigajoules"/>
    <x v="1"/>
    <m/>
    <s v="2023-04-28, 23:30"/>
    <s v="2023-07-20, 00:40"/>
    <n v="2022"/>
    <s v="propane"/>
    <s v="Propane"/>
    <s v="model"/>
    <b v="0"/>
    <s v="PETROLEUM PRODUCTS, PROPANE"/>
    <x v="2"/>
    <x v="0"/>
    <s v="Americas"/>
    <s v="Northern America"/>
    <s v="US"/>
    <m/>
    <n v="0"/>
    <s v="CO2E"/>
    <n v="0"/>
    <n v="63.123800000000003"/>
    <s v="MMBTU"/>
    <n v="0.94781711999999996"/>
    <n v="0"/>
    <s v="AR4"/>
    <s v="USEPA"/>
    <s v="USEPA (2022)"/>
    <n v="2022"/>
    <n v="2022"/>
    <n v="0"/>
    <n v="0"/>
    <x v="17"/>
    <s v="Office"/>
  </r>
  <r>
    <n v="284004"/>
    <s v="Top of Hierarchy &gt; North America &gt; Vantage_Pittsburgh"/>
    <x v="0"/>
    <x v="0"/>
    <d v="2022-01-01T00:00:00"/>
    <d v="2022-12-31T00:00:00"/>
    <x v="2"/>
    <d v="2022-01-01T00:00:00"/>
    <d v="2022-12-31T00:00:00"/>
    <s v="Propane"/>
    <n v="0"/>
    <s v="gigajoules"/>
    <x v="1"/>
    <m/>
    <s v="2023-04-28, 23:30"/>
    <s v="2023-07-20, 00:40"/>
    <n v="2022"/>
    <s v="propane"/>
    <s v="Propane"/>
    <s v="model"/>
    <b v="0"/>
    <s v="PETROLEUM PRODUCTS, PROPANE"/>
    <x v="2"/>
    <x v="0"/>
    <s v="Americas"/>
    <s v="Northern America"/>
    <s v="US"/>
    <m/>
    <n v="0"/>
    <s v="N2O"/>
    <n v="0"/>
    <n v="0.17879999999999999"/>
    <s v="MMBTU"/>
    <n v="0.94781711999999996"/>
    <n v="0"/>
    <s v="AR4"/>
    <s v="USEPA"/>
    <s v="USEPA Emission Factors Hub (Last Modified: March 2020)"/>
    <n v="2022"/>
    <n v="2021"/>
    <n v="0"/>
    <n v="0"/>
    <x v="17"/>
    <s v="Office"/>
  </r>
  <r>
    <n v="284004"/>
    <s v="Top of Hierarchy &gt; North America &gt; Vantage_Pittsburgh"/>
    <x v="0"/>
    <x v="0"/>
    <d v="2022-01-01T00:00:00"/>
    <d v="2022-12-31T00:00:00"/>
    <x v="2"/>
    <d v="2022-01-01T00:00:00"/>
    <d v="2022-12-31T00:00:00"/>
    <s v="Propane"/>
    <n v="0"/>
    <s v="gigajoules"/>
    <x v="1"/>
    <m/>
    <s v="2023-04-28, 23:30"/>
    <s v="2023-07-20, 00:40"/>
    <n v="2022"/>
    <s v="propane"/>
    <s v="Propane"/>
    <s v="model"/>
    <b v="0"/>
    <s v="PETROLEUM PRODUCTS, PROPANE"/>
    <x v="2"/>
    <x v="0"/>
    <s v="Americas"/>
    <s v="Northern America"/>
    <s v="US"/>
    <m/>
    <n v="1"/>
    <s v="CH4"/>
    <n v="0"/>
    <n v="7.4999999999999997E-2"/>
    <s v="MMBTU"/>
    <n v="0.94781711999999996"/>
    <n v="0"/>
    <s v="AR4"/>
    <s v="USEPA"/>
    <s v="USEPA (2022)"/>
    <n v="2022"/>
    <n v="2022"/>
    <n v="0"/>
    <n v="0"/>
    <x v="17"/>
    <s v="Office"/>
  </r>
  <r>
    <n v="284004"/>
    <s v="Top of Hierarchy &gt; North America &gt; Vantage_Pittsburgh"/>
    <x v="0"/>
    <x v="0"/>
    <d v="2022-01-01T00:00:00"/>
    <d v="2022-12-31T00:00:00"/>
    <x v="2"/>
    <d v="2022-01-01T00:00:00"/>
    <d v="2022-12-31T00:00:00"/>
    <s v="Propane"/>
    <n v="0"/>
    <s v="gigajoules"/>
    <x v="1"/>
    <m/>
    <s v="2023-04-28, 23:30"/>
    <s v="2023-07-20, 00:40"/>
    <n v="2022"/>
    <s v="propane"/>
    <s v="Propane"/>
    <s v="model"/>
    <b v="0"/>
    <s v="PETROLEUM PRODUCTS, PROPANE"/>
    <x v="2"/>
    <x v="0"/>
    <s v="Americas"/>
    <s v="Northern America"/>
    <s v="US"/>
    <m/>
    <n v="1"/>
    <s v="CO2"/>
    <n v="0"/>
    <n v="62.87"/>
    <s v="MMBTU"/>
    <n v="0.94781711999999996"/>
    <n v="0"/>
    <s v="AR4"/>
    <s v="USEPA"/>
    <s v="USEPA (2022)"/>
    <n v="2022"/>
    <n v="2022"/>
    <n v="0"/>
    <n v="0"/>
    <x v="17"/>
    <s v="Office"/>
  </r>
  <r>
    <n v="284004"/>
    <s v="Top of Hierarchy &gt; North America &gt; Vantage_Pittsburgh"/>
    <x v="0"/>
    <x v="0"/>
    <d v="2022-01-01T00:00:00"/>
    <d v="2022-12-31T00:00:00"/>
    <x v="2"/>
    <d v="2022-01-01T00:00:00"/>
    <d v="2022-12-31T00:00:00"/>
    <s v="Propane"/>
    <n v="0"/>
    <s v="gigajoules"/>
    <x v="1"/>
    <m/>
    <s v="2023-04-28, 23:30"/>
    <s v="2023-07-20, 00:40"/>
    <n v="2022"/>
    <s v="propane"/>
    <s v="Propane"/>
    <s v="model"/>
    <b v="0"/>
    <s v="PETROLEUM PRODUCTS, PROPANE"/>
    <x v="2"/>
    <x v="0"/>
    <s v="Americas"/>
    <s v="Northern America"/>
    <s v="US"/>
    <m/>
    <n v="1"/>
    <s v="CO2E"/>
    <n v="0"/>
    <n v="63.123800000000003"/>
    <s v="MMBTU"/>
    <n v="0.94781711999999996"/>
    <n v="0"/>
    <s v="AR4"/>
    <s v="USEPA"/>
    <s v="USEPA (2022)"/>
    <n v="2022"/>
    <n v="2022"/>
    <n v="0"/>
    <n v="0"/>
    <x v="17"/>
    <s v="Office"/>
  </r>
  <r>
    <n v="284004"/>
    <s v="Top of Hierarchy &gt; North America &gt; Vantage_Pittsburgh"/>
    <x v="0"/>
    <x v="0"/>
    <d v="2022-01-01T00:00:00"/>
    <d v="2022-12-31T00:00:00"/>
    <x v="2"/>
    <d v="2022-01-01T00:00:00"/>
    <d v="2022-12-31T00:00:00"/>
    <s v="Propane"/>
    <n v="0"/>
    <s v="gigajoules"/>
    <x v="1"/>
    <m/>
    <s v="2023-04-28, 23:30"/>
    <s v="2023-07-20, 00:40"/>
    <n v="2022"/>
    <s v="propane"/>
    <s v="Propane"/>
    <s v="model"/>
    <b v="0"/>
    <s v="PETROLEUM PRODUCTS, PROPANE"/>
    <x v="2"/>
    <x v="0"/>
    <s v="Americas"/>
    <s v="Northern America"/>
    <s v="US"/>
    <m/>
    <n v="1"/>
    <s v="N2O"/>
    <n v="0"/>
    <n v="0.17879999999999999"/>
    <s v="MMBTU"/>
    <n v="0.94781711999999996"/>
    <n v="0"/>
    <s v="AR4"/>
    <s v="USEPA"/>
    <s v="USEPA Emission Factors Hub (Last Modified: March 2020)"/>
    <n v="2022"/>
    <n v="2021"/>
    <n v="0"/>
    <n v="0"/>
    <x v="17"/>
    <s v="Office"/>
  </r>
  <r>
    <n v="284004"/>
    <s v="Top of Hierarchy &gt; North America &gt; Vantage_Pittsburgh"/>
    <x v="0"/>
    <x v="0"/>
    <d v="2022-01-01T00:00:00"/>
    <d v="2022-12-31T00:00:00"/>
    <x v="2"/>
    <d v="2022-01-01T00:00:00"/>
    <d v="2022-12-31T00:00:00"/>
    <s v="Propane"/>
    <n v="0"/>
    <s v="gigajoules"/>
    <x v="1"/>
    <m/>
    <s v="2023-04-28, 23:30"/>
    <s v="2023-07-20, 00:40"/>
    <n v="2022"/>
    <s v="propane__wtt"/>
    <s v="Propane WTT"/>
    <s v="wtt"/>
    <b v="0"/>
    <s v="WTT- FUELS; GASEOUS FUELS; PROPANE"/>
    <x v="1"/>
    <x v="1"/>
    <m/>
    <m/>
    <m/>
    <m/>
    <n v="0"/>
    <s v="CO2E"/>
    <n v="0"/>
    <n v="2.503E-2"/>
    <s v="KWH (GROSS CV)"/>
    <n v="277.77777780000002"/>
    <n v="0"/>
    <s v="AR4"/>
    <s v="Defra"/>
    <s v="Defra (2022)"/>
    <n v="2022"/>
    <n v="2020"/>
    <n v="0"/>
    <n v="0"/>
    <x v="17"/>
    <s v="Office"/>
  </r>
  <r>
    <n v="284004"/>
    <s v="Top of Hierarchy &gt; North America &gt; Vantage_Pittsburgh"/>
    <x v="0"/>
    <x v="0"/>
    <d v="2022-01-01T00:00:00"/>
    <d v="2022-12-31T00:00:00"/>
    <x v="2"/>
    <d v="2022-01-01T00:00:00"/>
    <d v="2022-12-31T00:00:00"/>
    <s v="Propane"/>
    <n v="0"/>
    <s v="gigajoules"/>
    <x v="1"/>
    <m/>
    <s v="2023-04-28, 23:30"/>
    <s v="2023-07-20, 00:40"/>
    <n v="2022"/>
    <s v="propane__wtt"/>
    <s v="Propane WTT"/>
    <s v="wtt"/>
    <b v="0"/>
    <s v="WTT- FUELS; GASEOUS FUELS; PROPANE"/>
    <x v="1"/>
    <x v="1"/>
    <m/>
    <m/>
    <m/>
    <m/>
    <n v="1"/>
    <s v="CO2E"/>
    <n v="0"/>
    <n v="2.503E-2"/>
    <s v="KWH (GROSS CV)"/>
    <n v="277.77777780000002"/>
    <n v="0"/>
    <s v="AR4"/>
    <s v="Defra"/>
    <s v="Defra (2022)"/>
    <n v="2022"/>
    <n v="2020"/>
    <n v="0"/>
    <n v="0"/>
    <x v="17"/>
    <s v="Office"/>
  </r>
  <r>
    <n v="4959"/>
    <s v="Top of Hierarchy &gt; North America &gt; Vantage_Pittsburgh"/>
    <x v="0"/>
    <x v="1"/>
    <d v="2021-01-01T00:00:00"/>
    <d v="2021-12-31T00:00:00"/>
    <x v="0"/>
    <d v="2021-01-01T00:00:00"/>
    <d v="2021-12-31T00:00:00"/>
    <s v="Electricity (non-renewable)"/>
    <n v="94206"/>
    <s v="Kilowatt hours"/>
    <x v="1"/>
    <m/>
    <s v="2023-02-27, 16:27"/>
    <s v="2023-07-20, 00:40"/>
    <n v="2021"/>
    <s v="electricity"/>
    <s v="Electricity"/>
    <s v="model"/>
    <b v="0"/>
    <s v="ELECTRICITY; UNITED STATES - RFCW"/>
    <x v="0"/>
    <x v="0"/>
    <s v="Americas"/>
    <s v="Northern America"/>
    <s v="US"/>
    <s v="RFCW"/>
    <n v="0"/>
    <s v="CH4"/>
    <n v="105.759529"/>
    <n v="1.122641E-3"/>
    <s v="KWH"/>
    <n v="1"/>
    <n v="94206"/>
    <s v="AR4"/>
    <s v="USEPA"/>
    <s v="USEPA (2021)"/>
    <n v="2021"/>
    <n v="2019"/>
    <n v="0"/>
    <n v="0"/>
    <x v="17"/>
    <s v="Office"/>
  </r>
  <r>
    <n v="4959"/>
    <s v="Top of Hierarchy &gt; North America &gt; Vantage_Pittsburgh"/>
    <x v="0"/>
    <x v="1"/>
    <d v="2021-01-01T00:00:00"/>
    <d v="2021-12-31T00:00:00"/>
    <x v="0"/>
    <d v="2021-01-01T00:00:00"/>
    <d v="2021-12-31T00:00:00"/>
    <s v="Electricity (non-renewable)"/>
    <n v="94206"/>
    <s v="Kilowatt hours"/>
    <x v="1"/>
    <m/>
    <s v="2023-02-27, 16:27"/>
    <s v="2023-07-20, 00:40"/>
    <n v="2021"/>
    <s v="electricity"/>
    <s v="Electricity"/>
    <s v="model"/>
    <b v="0"/>
    <s v="ELECTRICITY; UNITED STATES - RFCW"/>
    <x v="0"/>
    <x v="0"/>
    <s v="Americas"/>
    <s v="Northern America"/>
    <s v="US"/>
    <s v="RFCW"/>
    <n v="0"/>
    <s v="CO2"/>
    <n v="45623.122470000002"/>
    <n v="0.484291048"/>
    <s v="KWH"/>
    <n v="1"/>
    <n v="94206"/>
    <s v="AR4"/>
    <s v="USEPA"/>
    <s v="USEPA (2021)"/>
    <n v="2021"/>
    <n v="2019"/>
    <n v="0"/>
    <n v="0"/>
    <x v="17"/>
    <s v="Office"/>
  </r>
  <r>
    <n v="4959"/>
    <s v="Top of Hierarchy &gt; North America &gt; Vantage_Pittsburgh"/>
    <x v="0"/>
    <x v="1"/>
    <d v="2021-01-01T00:00:00"/>
    <d v="2021-12-31T00:00:00"/>
    <x v="0"/>
    <d v="2021-01-01T00:00:00"/>
    <d v="2021-12-31T00:00:00"/>
    <s v="Electricity (non-renewable)"/>
    <n v="94206"/>
    <s v="Kilowatt hours"/>
    <x v="1"/>
    <m/>
    <s v="2023-02-27, 16:27"/>
    <s v="2023-07-20, 00:40"/>
    <n v="2021"/>
    <s v="electricity"/>
    <s v="Electricity"/>
    <s v="model"/>
    <b v="0"/>
    <s v="ELECTRICITY; UNITED STATES - RFCW"/>
    <x v="0"/>
    <x v="0"/>
    <s v="Americas"/>
    <s v="Northern America"/>
    <s v="US"/>
    <s v="RFCW"/>
    <n v="0"/>
    <s v="CO2E"/>
    <n v="45907.156239999997"/>
    <n v="0.48730607599999998"/>
    <s v="KWH"/>
    <n v="1"/>
    <n v="94206"/>
    <s v="AR4"/>
    <s v="USEPA"/>
    <s v="USEPA (2021)"/>
    <n v="2021"/>
    <n v="2019"/>
    <n v="45.907156239999999"/>
    <n v="0"/>
    <x v="17"/>
    <s v="Office"/>
  </r>
  <r>
    <n v="4959"/>
    <s v="Top of Hierarchy &gt; North America &gt; Vantage_Pittsburgh"/>
    <x v="0"/>
    <x v="1"/>
    <d v="2021-01-01T00:00:00"/>
    <d v="2021-12-31T00:00:00"/>
    <x v="0"/>
    <d v="2021-01-01T00:00:00"/>
    <d v="2021-12-31T00:00:00"/>
    <s v="Electricity (non-renewable)"/>
    <n v="94206"/>
    <s v="Kilowatt hours"/>
    <x v="1"/>
    <m/>
    <s v="2023-02-27, 16:27"/>
    <s v="2023-07-20, 00:40"/>
    <n v="2021"/>
    <s v="electricity"/>
    <s v="Electricity"/>
    <s v="model"/>
    <b v="0"/>
    <s v="ELECTRICITY; UNITED STATES - RFCW"/>
    <x v="0"/>
    <x v="0"/>
    <s v="Americas"/>
    <s v="Northern America"/>
    <s v="US"/>
    <s v="RFCW"/>
    <n v="0"/>
    <s v="N2O"/>
    <n v="178.27424439999999"/>
    <n v="1.8923869999999999E-3"/>
    <s v="KWH"/>
    <n v="1"/>
    <n v="94206"/>
    <s v="AR4"/>
    <s v="USEPA"/>
    <s v="USEPA (2021)"/>
    <n v="2021"/>
    <n v="2019"/>
    <n v="0"/>
    <n v="0"/>
    <x v="17"/>
    <s v="Office"/>
  </r>
  <r>
    <n v="4959"/>
    <s v="Top of Hierarchy &gt; North America &gt; Vantage_Pittsburgh"/>
    <x v="0"/>
    <x v="1"/>
    <d v="2021-01-01T00:00:00"/>
    <d v="2021-12-31T00:00:00"/>
    <x v="0"/>
    <d v="2021-01-01T00:00:00"/>
    <d v="2021-12-31T00:00:00"/>
    <s v="Electricity (non-renewable)"/>
    <n v="94206"/>
    <s v="Kilowatt hours"/>
    <x v="1"/>
    <m/>
    <s v="2023-02-27, 16:27"/>
    <s v="2023-07-20, 00:40"/>
    <n v="2021"/>
    <s v="electricity"/>
    <s v="Electricity"/>
    <s v="model"/>
    <b v="0"/>
    <s v="ELECTRICITY; UNITED STATES - RFCW"/>
    <x v="0"/>
    <x v="0"/>
    <s v="Americas"/>
    <s v="Northern America"/>
    <s v="US"/>
    <s v="RFCW"/>
    <n v="1"/>
    <s v="CO2E MKT"/>
    <n v="45639.83034"/>
    <n v="0.48446840299999999"/>
    <s v="KWH"/>
    <n v="1"/>
    <n v="94206"/>
    <s v="AR4"/>
    <s v="Green-e"/>
    <s v="Green-e (2021)"/>
    <n v="2021"/>
    <n v="2019"/>
    <n v="0"/>
    <n v="45.639830340000003"/>
    <x v="17"/>
    <s v="Office"/>
  </r>
  <r>
    <n v="4959"/>
    <s v="Top of Hierarchy &gt; North America &gt; Vantage_Pittsburgh"/>
    <x v="0"/>
    <x v="1"/>
    <d v="2021-01-01T00:00:00"/>
    <d v="2021-12-31T00:00:00"/>
    <x v="0"/>
    <d v="2021-01-01T00:00:00"/>
    <d v="2021-12-31T00:00:00"/>
    <s v="Electricity (non-renewable)"/>
    <n v="94206"/>
    <s v="Kilowatt hours"/>
    <x v="1"/>
    <m/>
    <s v="2023-02-27, 16:27"/>
    <s v="2023-07-20, 00:40"/>
    <n v="2021"/>
    <s v="electricity__t+d__wtt"/>
    <s v="Electricity T&amp;D WTT"/>
    <s v="t+d_wtt"/>
    <b v="0"/>
    <s v="ELECTRICITY; UNITED STATES - RFCW; T&amp;D WTT Estimated"/>
    <x v="1"/>
    <x v="1"/>
    <s v="Americas"/>
    <s v="Northern America"/>
    <s v="US"/>
    <s v="RFCW"/>
    <n v="0"/>
    <s v="CH4"/>
    <n v="1.424867807"/>
    <n v="1.5125E-5"/>
    <s v="KWH"/>
    <n v="1"/>
    <n v="94206"/>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ELECTRICITY; TRANSMISSION AND DISTRIBUTION; UNITED STATES - RFCW, USEPA to estimate the T&amp;D WTT factor."/>
    <n v="2021"/>
    <n v="2019"/>
    <n v="0"/>
    <n v="0"/>
    <x v="17"/>
    <s v="Office"/>
  </r>
  <r>
    <n v="4959"/>
    <s v="Top of Hierarchy &gt; North America &gt; Vantage_Pittsburgh"/>
    <x v="0"/>
    <x v="1"/>
    <d v="2021-01-01T00:00:00"/>
    <d v="2021-12-31T00:00:00"/>
    <x v="0"/>
    <d v="2021-01-01T00:00:00"/>
    <d v="2021-12-31T00:00:00"/>
    <s v="Electricity (non-renewable)"/>
    <n v="94206"/>
    <s v="Kilowatt hours"/>
    <x v="1"/>
    <m/>
    <s v="2023-02-27, 16:27"/>
    <s v="2023-07-20, 00:40"/>
    <n v="2021"/>
    <s v="electricity__t+d__wtt"/>
    <s v="Electricity T&amp;D WTT"/>
    <s v="t+d_wtt"/>
    <b v="0"/>
    <s v="ELECTRICITY; UNITED STATES - RFCW; T&amp;D WTT Estimated"/>
    <x v="1"/>
    <x v="1"/>
    <s v="Americas"/>
    <s v="Northern America"/>
    <s v="US"/>
    <s v="RFCW"/>
    <n v="0"/>
    <s v="CO2"/>
    <n v="614.66724650000003"/>
    <n v="6.524714E-3"/>
    <s v="KWH"/>
    <n v="1"/>
    <n v="94206"/>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ELECTRICITY; TRANSMISSION AND DISTRIBUTION; UNITED STATES - RFCW, USEPA to estimate the T&amp;D WTT factor."/>
    <n v="2021"/>
    <n v="2019"/>
    <n v="0"/>
    <n v="0"/>
    <x v="17"/>
    <s v="Office"/>
  </r>
  <r>
    <n v="4959"/>
    <s v="Top of Hierarchy &gt; North America &gt; Vantage_Pittsburgh"/>
    <x v="0"/>
    <x v="1"/>
    <d v="2021-01-01T00:00:00"/>
    <d v="2021-12-31T00:00:00"/>
    <x v="0"/>
    <d v="2021-01-01T00:00:00"/>
    <d v="2021-12-31T00:00:00"/>
    <s v="Electricity (non-renewable)"/>
    <n v="94206"/>
    <s v="Kilowatt hours"/>
    <x v="1"/>
    <m/>
    <s v="2023-02-27, 16:27"/>
    <s v="2023-07-20, 00:40"/>
    <n v="2021"/>
    <s v="electricity__t+d__wtt"/>
    <s v="Electricity T&amp;D WTT"/>
    <s v="t+d_wtt"/>
    <b v="0"/>
    <s v="ELECTRICITY; UNITED STATES - RFCW; T&amp;D WTT Estimated"/>
    <x v="1"/>
    <x v="1"/>
    <s v="Americas"/>
    <s v="Northern America"/>
    <s v="US"/>
    <s v="RFCW"/>
    <n v="0"/>
    <s v="CO2E"/>
    <n v="618.4939521"/>
    <n v="6.5653350000000003E-3"/>
    <s v="KWH"/>
    <n v="1"/>
    <n v="94206"/>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ELECTRICITY; TRANSMISSION AND DISTRIBUTION; UNITED STATES - RFCW, USEPA to estimate the T&amp;D WTT factor."/>
    <n v="2021"/>
    <n v="2019"/>
    <n v="0.61849395210000002"/>
    <n v="0"/>
    <x v="17"/>
    <s v="Office"/>
  </r>
  <r>
    <n v="4959"/>
    <s v="Top of Hierarchy &gt; North America &gt; Vantage_Pittsburgh"/>
    <x v="0"/>
    <x v="1"/>
    <d v="2021-01-01T00:00:00"/>
    <d v="2021-12-31T00:00:00"/>
    <x v="0"/>
    <d v="2021-01-01T00:00:00"/>
    <d v="2021-12-31T00:00:00"/>
    <s v="Electricity (non-renewable)"/>
    <n v="94206"/>
    <s v="Kilowatt hours"/>
    <x v="1"/>
    <m/>
    <s v="2023-02-27, 16:27"/>
    <s v="2023-07-20, 00:40"/>
    <n v="2021"/>
    <s v="electricity__t+d__wtt"/>
    <s v="Electricity T&amp;D WTT"/>
    <s v="t+d_wtt"/>
    <b v="0"/>
    <s v="ELECTRICITY; UNITED STATES - RFCW; T&amp;D WTT Estimated"/>
    <x v="1"/>
    <x v="1"/>
    <s v="Americas"/>
    <s v="Northern America"/>
    <s v="US"/>
    <s v="RFCW"/>
    <n v="0"/>
    <s v="N2O"/>
    <n v="2.4018377740000001"/>
    <n v="2.54956E-5"/>
    <s v="KWH"/>
    <n v="1"/>
    <n v="94206"/>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ELECTRICITY; TRANSMISSION AND DISTRIBUTION; UNITED STATES - RFCW, USEPA to estimate the T&amp;D WTT factor."/>
    <n v="2021"/>
    <n v="2019"/>
    <n v="0"/>
    <n v="0"/>
    <x v="17"/>
    <s v="Office"/>
  </r>
  <r>
    <n v="4959"/>
    <s v="Top of Hierarchy &gt; North America &gt; Vantage_Pittsburgh"/>
    <x v="0"/>
    <x v="1"/>
    <d v="2021-01-01T00:00:00"/>
    <d v="2021-12-31T00:00:00"/>
    <x v="0"/>
    <d v="2021-01-01T00:00:00"/>
    <d v="2021-12-31T00:00:00"/>
    <s v="Electricity (non-renewable)"/>
    <n v="94206"/>
    <s v="Kilowatt hours"/>
    <x v="1"/>
    <m/>
    <s v="2023-02-27, 16:27"/>
    <s v="2023-07-20, 00:40"/>
    <n v="2021"/>
    <s v="electricity__t+d__wtt"/>
    <s v="Electricity T&amp;D WTT"/>
    <s v="t+d_wtt"/>
    <b v="0"/>
    <s v="ELECTRICITY; UNITED STATES - RFCW; T&amp;D WTT Estimated"/>
    <x v="1"/>
    <x v="1"/>
    <s v="Americas"/>
    <s v="Northern America"/>
    <s v="US"/>
    <s v="RFCW"/>
    <n v="1"/>
    <s v="CO2E MKT"/>
    <n v="614.89234690000001"/>
    <n v="6.5271039999999997E-3"/>
    <s v="KWH"/>
    <n v="1"/>
    <n v="94206"/>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  to estimate the T&amp;D WTT factor."/>
    <n v="2021"/>
    <n v="2019"/>
    <n v="0"/>
    <n v="0.61489234690000005"/>
    <x v="17"/>
    <s v="Office"/>
  </r>
  <r>
    <n v="4959"/>
    <s v="Top of Hierarchy &gt; North America &gt; Vantage_Pittsburgh"/>
    <x v="0"/>
    <x v="1"/>
    <d v="2021-01-01T00:00:00"/>
    <d v="2021-12-31T00:00:00"/>
    <x v="0"/>
    <d v="2021-01-01T00:00:00"/>
    <d v="2021-12-31T00:00:00"/>
    <s v="Electricity (non-renewable)"/>
    <n v="94206"/>
    <s v="Kilowatt hours"/>
    <x v="1"/>
    <m/>
    <s v="2023-02-27, 16:27"/>
    <s v="2023-07-20, 00:40"/>
    <n v="2021"/>
    <s v="electricity__wtt"/>
    <s v="Electricity WTT"/>
    <s v="wtt"/>
    <b v="0"/>
    <s v="ELECTRICITY; UNITED STATES - RFCW; WTT Estimated"/>
    <x v="1"/>
    <x v="1"/>
    <s v="Americas"/>
    <s v="Northern America"/>
    <s v="US"/>
    <s v="RFCW"/>
    <n v="0"/>
    <s v="CH4"/>
    <n v="27.93858445"/>
    <n v="2.96569E-4"/>
    <s v="KWH"/>
    <n v="1"/>
    <n v="94206"/>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RFCW, USEPAto estimate the WTT factor."/>
    <n v="2021"/>
    <n v="2019"/>
    <n v="0"/>
    <n v="0"/>
    <x v="17"/>
    <s v="Office"/>
  </r>
  <r>
    <n v="4959"/>
    <s v="Top of Hierarchy &gt; North America &gt; Vantage_Pittsburgh"/>
    <x v="0"/>
    <x v="1"/>
    <d v="2021-01-01T00:00:00"/>
    <d v="2021-12-31T00:00:00"/>
    <x v="0"/>
    <d v="2021-01-01T00:00:00"/>
    <d v="2021-12-31T00:00:00"/>
    <s v="Electricity (non-renewable)"/>
    <n v="94206"/>
    <s v="Kilowatt hours"/>
    <x v="1"/>
    <m/>
    <s v="2023-02-27, 16:27"/>
    <s v="2023-07-20, 00:40"/>
    <n v="2021"/>
    <s v="electricity__wtt"/>
    <s v="Electricity WTT"/>
    <s v="wtt"/>
    <b v="0"/>
    <s v="ELECTRICITY; UNITED STATES - RFCW; WTT Estimated"/>
    <x v="1"/>
    <x v="1"/>
    <s v="Americas"/>
    <s v="Northern America"/>
    <s v="US"/>
    <s v="RFCW"/>
    <n v="0"/>
    <s v="CO2"/>
    <n v="12052.29895"/>
    <n v="0.12793557699999999"/>
    <s v="KWH"/>
    <n v="1"/>
    <n v="94206"/>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RFCW, USEPAto estimate the WTT factor."/>
    <n v="2021"/>
    <n v="2019"/>
    <n v="0"/>
    <n v="0"/>
    <x v="17"/>
    <s v="Office"/>
  </r>
  <r>
    <n v="4959"/>
    <s v="Top of Hierarchy &gt; North America &gt; Vantage_Pittsburgh"/>
    <x v="0"/>
    <x v="1"/>
    <d v="2021-01-01T00:00:00"/>
    <d v="2021-12-31T00:00:00"/>
    <x v="0"/>
    <d v="2021-01-01T00:00:00"/>
    <d v="2021-12-31T00:00:00"/>
    <s v="Electricity (non-renewable)"/>
    <n v="94206"/>
    <s v="Kilowatt hours"/>
    <x v="1"/>
    <m/>
    <s v="2023-02-27, 16:27"/>
    <s v="2023-07-20, 00:40"/>
    <n v="2021"/>
    <s v="electricity__wtt"/>
    <s v="Electricity WTT"/>
    <s v="wtt"/>
    <b v="0"/>
    <s v="ELECTRICITY; UNITED STATES - RFCW; WTT Estimated"/>
    <x v="1"/>
    <x v="1"/>
    <s v="Americas"/>
    <s v="Northern America"/>
    <s v="US"/>
    <s v="RFCW"/>
    <n v="0"/>
    <s v="CO2E"/>
    <n v="12127.33239"/>
    <n v="0.12873205900000001"/>
    <s v="KWH"/>
    <n v="1"/>
    <n v="94206"/>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RFCW, USEPAto estimate the WTT factor."/>
    <n v="2021"/>
    <n v="2019"/>
    <n v="12.127332389999999"/>
    <n v="0"/>
    <x v="17"/>
    <s v="Office"/>
  </r>
  <r>
    <n v="4959"/>
    <s v="Top of Hierarchy &gt; North America &gt; Vantage_Pittsburgh"/>
    <x v="0"/>
    <x v="1"/>
    <d v="2021-01-01T00:00:00"/>
    <d v="2021-12-31T00:00:00"/>
    <x v="0"/>
    <d v="2021-01-01T00:00:00"/>
    <d v="2021-12-31T00:00:00"/>
    <s v="Electricity (non-renewable)"/>
    <n v="94206"/>
    <s v="Kilowatt hours"/>
    <x v="1"/>
    <m/>
    <s v="2023-02-27, 16:27"/>
    <s v="2023-07-20, 00:40"/>
    <n v="2021"/>
    <s v="electricity__wtt"/>
    <s v="Electricity WTT"/>
    <s v="wtt"/>
    <b v="0"/>
    <s v="ELECTRICITY; UNITED STATES - RFCW; WTT Estimated"/>
    <x v="1"/>
    <x v="1"/>
    <s v="Americas"/>
    <s v="Northern America"/>
    <s v="US"/>
    <s v="RFCW"/>
    <n v="0"/>
    <s v="N2O"/>
    <n v="47.094858309999999"/>
    <n v="4.9991399999999996E-4"/>
    <s v="KWH"/>
    <n v="1"/>
    <n v="94206"/>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RFCW, USEPAto estimate the WTT factor."/>
    <n v="2021"/>
    <n v="2019"/>
    <n v="0"/>
    <n v="0"/>
    <x v="17"/>
    <s v="Office"/>
  </r>
  <r>
    <n v="4959"/>
    <s v="Top of Hierarchy &gt; North America &gt; Vantage_Pittsburgh"/>
    <x v="0"/>
    <x v="1"/>
    <d v="2021-01-01T00:00:00"/>
    <d v="2021-12-31T00:00:00"/>
    <x v="0"/>
    <d v="2021-01-01T00:00:00"/>
    <d v="2021-12-31T00:00:00"/>
    <s v="Electricity (non-renewable)"/>
    <n v="94206"/>
    <s v="Kilowatt hours"/>
    <x v="1"/>
    <m/>
    <s v="2023-02-27, 16:27"/>
    <s v="2023-07-20, 00:40"/>
    <n v="2021"/>
    <s v="electricity__wtt"/>
    <s v="Electricity WTT"/>
    <s v="wtt"/>
    <b v="0"/>
    <s v="ELECTRICITY; UNITED STATES - RFCW; WTT Estimated"/>
    <x v="1"/>
    <x v="1"/>
    <s v="Americas"/>
    <s v="Northern America"/>
    <s v="US"/>
    <s v="RFCW"/>
    <n v="1"/>
    <s v="CO2E MKT"/>
    <n v="12056.712680000001"/>
    <n v="0.12798242900000001"/>
    <s v="KWH"/>
    <n v="1"/>
    <n v="94206"/>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RFCW, Green-eto estimate the WTT factor."/>
    <n v="2021"/>
    <n v="2019"/>
    <n v="0"/>
    <n v="12.05671268"/>
    <x v="17"/>
    <s v="Office"/>
  </r>
  <r>
    <n v="4959"/>
    <s v="Top of Hierarchy &gt; North America &gt; Vantage_Pittsburgh"/>
    <x v="0"/>
    <x v="1"/>
    <d v="2021-01-01T00:00:00"/>
    <d v="2021-12-31T00:00:00"/>
    <x v="0"/>
    <d v="2021-01-01T00:00:00"/>
    <d v="2021-12-31T00:00:00"/>
    <s v="Electricity (non-renewable)"/>
    <n v="94206"/>
    <s v="Kilowatt hours"/>
    <x v="1"/>
    <m/>
    <s v="2023-02-27, 16:27"/>
    <s v="2023-07-20, 00:40"/>
    <n v="2021"/>
    <s v="electricity__t+d"/>
    <s v="Electricity T&amp;D"/>
    <s v="t+d"/>
    <b v="0"/>
    <s v="ELECTRICITY; TRANSMISSION AND DISTRIBUTION; UNITED STATES - RFCW"/>
    <x v="1"/>
    <x v="1"/>
    <s v="Americas"/>
    <s v="Northern America"/>
    <s v="US"/>
    <s v="RFCW"/>
    <n v="0"/>
    <s v="CO2E"/>
    <n v="2341.264968"/>
    <n v="2.4852610000000001E-2"/>
    <s v="KWH"/>
    <n v="1"/>
    <n v="94206"/>
    <s v="AR4"/>
    <s v="USEPA"/>
    <s v="USEPA (2021)"/>
    <n v="2021"/>
    <n v="2019"/>
    <n v="2.3412649679999999"/>
    <n v="0"/>
    <x v="17"/>
    <s v="Office"/>
  </r>
  <r>
    <n v="4959"/>
    <s v="Top of Hierarchy &gt; North America &gt; Vantage_Pittsburgh"/>
    <x v="0"/>
    <x v="1"/>
    <d v="2021-01-01T00:00:00"/>
    <d v="2021-12-31T00:00:00"/>
    <x v="0"/>
    <d v="2021-01-01T00:00:00"/>
    <d v="2021-12-31T00:00:00"/>
    <s v="Electricity (non-renewable)"/>
    <n v="94206"/>
    <s v="Kilowatt hours"/>
    <x v="1"/>
    <m/>
    <s v="2023-02-27, 16:27"/>
    <s v="2023-07-20, 00:40"/>
    <n v="2021"/>
    <s v="electricity__t+d"/>
    <s v="Electricity T&amp;D"/>
    <s v="t+d"/>
    <b v="0"/>
    <s v="ELECTRICITY; UNITED STATES - RFCW; T&amp;D Estimated"/>
    <x v="1"/>
    <x v="1"/>
    <s v="Americas"/>
    <s v="Northern America"/>
    <s v="US"/>
    <s v="RFCW"/>
    <n v="1"/>
    <s v="CO2E MKT"/>
    <n v="2327.631347"/>
    <n v="2.4707889E-2"/>
    <s v="KWH"/>
    <n v="1"/>
    <n v="94206"/>
    <s v="AR4"/>
    <s v="Anthesis"/>
    <s v="The median T&amp;D to generation factor ratio of all countries within the region Northern America was taken to be ELECTRICITY; UNITED STATES - SRSO, USEPA to ELECTRICITY; TRANSMISSION AND DISTRIBUTION; UNITED STATES - SRSO, USEPA: 0.051. This was applied to the base factor ELECTRICITY; UNITED STATES - RFCW, Green-eto estimate the T&amp;D factor."/>
    <n v="2021"/>
    <n v="2019"/>
    <n v="0"/>
    <n v="2.3276313470000001"/>
    <x v="17"/>
    <s v="Office"/>
  </r>
  <r>
    <n v="4985"/>
    <s v="Top of Hierarchy &gt; North America &gt; Vantage_Pittsburgh"/>
    <x v="0"/>
    <x v="1"/>
    <d v="2021-01-01T00:00:00"/>
    <d v="2021-12-31T00:00:00"/>
    <x v="3"/>
    <d v="2021-01-01T00:00:00"/>
    <d v="2021-12-31T00:00:00"/>
    <s v="Natural gas"/>
    <n v="9204.4120000000003"/>
    <s v="Hundred Thousand BTUs"/>
    <x v="1"/>
    <m/>
    <s v="2023-02-27, 16:27"/>
    <s v="2023-07-20, 00:40"/>
    <n v="2021"/>
    <s v="natural_gas"/>
    <s v="Natural Gas"/>
    <s v="model"/>
    <b v="0"/>
    <s v="NATURAL GAS, NATURAL GAS"/>
    <x v="2"/>
    <x v="0"/>
    <s v="Americas"/>
    <s v="Northern America"/>
    <s v="US"/>
    <m/>
    <n v="0"/>
    <s v="CH4"/>
    <n v="23.011030000000002"/>
    <n v="2.5000000000000001E-2"/>
    <s v="MMBTU"/>
    <n v="0.1"/>
    <n v="920.44119999999998"/>
    <s v="AR4"/>
    <s v="USEPA"/>
    <s v="USEPA (2021)"/>
    <n v="2021"/>
    <n v="2021"/>
    <n v="0"/>
    <n v="0"/>
    <x v="17"/>
    <s v="Office"/>
  </r>
  <r>
    <n v="4985"/>
    <s v="Top of Hierarchy &gt; North America &gt; Vantage_Pittsburgh"/>
    <x v="0"/>
    <x v="1"/>
    <d v="2021-01-01T00:00:00"/>
    <d v="2021-12-31T00:00:00"/>
    <x v="3"/>
    <d v="2021-01-01T00:00:00"/>
    <d v="2021-12-31T00:00:00"/>
    <s v="Natural gas"/>
    <n v="9204.4120000000003"/>
    <s v="Hundred Thousand BTUs"/>
    <x v="1"/>
    <m/>
    <s v="2023-02-27, 16:27"/>
    <s v="2023-07-20, 00:40"/>
    <n v="2021"/>
    <s v="natural_gas"/>
    <s v="Natural Gas"/>
    <s v="model"/>
    <b v="0"/>
    <s v="NATURAL GAS, NATURAL GAS"/>
    <x v="2"/>
    <x v="0"/>
    <s v="Americas"/>
    <s v="Northern America"/>
    <s v="US"/>
    <m/>
    <n v="0"/>
    <s v="CO2"/>
    <n v="48838.610070000002"/>
    <n v="53.06"/>
    <s v="MMBTU"/>
    <n v="0.1"/>
    <n v="920.44119999999998"/>
    <s v="AR4"/>
    <s v="USEPA"/>
    <s v="USEPA Emission Factors Hub (Last Modified: March 2020)"/>
    <n v="2021"/>
    <n v="2020"/>
    <n v="0"/>
    <n v="0"/>
    <x v="17"/>
    <s v="Office"/>
  </r>
  <r>
    <n v="4985"/>
    <s v="Top of Hierarchy &gt; North America &gt; Vantage_Pittsburgh"/>
    <x v="0"/>
    <x v="1"/>
    <d v="2021-01-01T00:00:00"/>
    <d v="2021-12-31T00:00:00"/>
    <x v="3"/>
    <d v="2021-01-01T00:00:00"/>
    <d v="2021-12-31T00:00:00"/>
    <s v="Natural gas"/>
    <n v="9204.4120000000003"/>
    <s v="Hundred Thousand BTUs"/>
    <x v="1"/>
    <m/>
    <s v="2023-02-27, 16:27"/>
    <s v="2023-07-20, 00:40"/>
    <n v="2021"/>
    <s v="natural_gas"/>
    <s v="Natural Gas"/>
    <s v="model"/>
    <b v="0"/>
    <s v="NATURAL GAS, NATURAL GAS"/>
    <x v="2"/>
    <x v="0"/>
    <s v="Americas"/>
    <s v="Northern America"/>
    <s v="US"/>
    <m/>
    <n v="0"/>
    <s v="CO2E"/>
    <n v="48889.05025"/>
    <n v="53.114800000000002"/>
    <s v="MMBTU"/>
    <n v="0.1"/>
    <n v="920.44119999999998"/>
    <s v="AR4"/>
    <s v="USEPA"/>
    <s v="USEPA (2021)"/>
    <n v="2021"/>
    <n v="2021"/>
    <n v="48.889050249999997"/>
    <n v="0"/>
    <x v="17"/>
    <s v="Office"/>
  </r>
  <r>
    <n v="4985"/>
    <s v="Top of Hierarchy &gt; North America &gt; Vantage_Pittsburgh"/>
    <x v="0"/>
    <x v="1"/>
    <d v="2021-01-01T00:00:00"/>
    <d v="2021-12-31T00:00:00"/>
    <x v="3"/>
    <d v="2021-01-01T00:00:00"/>
    <d v="2021-12-31T00:00:00"/>
    <s v="Natural gas"/>
    <n v="9204.4120000000003"/>
    <s v="Hundred Thousand BTUs"/>
    <x v="1"/>
    <m/>
    <s v="2023-02-27, 16:27"/>
    <s v="2023-07-20, 00:40"/>
    <n v="2021"/>
    <s v="natural_gas"/>
    <s v="Natural Gas"/>
    <s v="model"/>
    <b v="0"/>
    <s v="NATURAL GAS, NATURAL GAS"/>
    <x v="2"/>
    <x v="0"/>
    <s v="Americas"/>
    <s v="Northern America"/>
    <s v="US"/>
    <m/>
    <n v="0"/>
    <s v="N2O"/>
    <n v="27.429147759999999"/>
    <n v="2.98E-2"/>
    <s v="MMBTU"/>
    <n v="0.1"/>
    <n v="920.44119999999998"/>
    <s v="AR4"/>
    <s v="USEPA"/>
    <s v="USEPA (2021)"/>
    <n v="2021"/>
    <n v="2021"/>
    <n v="0"/>
    <n v="0"/>
    <x v="17"/>
    <s v="Office"/>
  </r>
  <r>
    <n v="4985"/>
    <s v="Top of Hierarchy &gt; North America &gt; Vantage_Pittsburgh"/>
    <x v="0"/>
    <x v="1"/>
    <d v="2021-01-01T00:00:00"/>
    <d v="2021-12-31T00:00:00"/>
    <x v="3"/>
    <d v="2021-01-01T00:00:00"/>
    <d v="2021-12-31T00:00:00"/>
    <s v="Natural gas"/>
    <n v="9204.4120000000003"/>
    <s v="Hundred Thousand BTUs"/>
    <x v="1"/>
    <m/>
    <s v="2023-02-27, 16:27"/>
    <s v="2023-07-20, 00:40"/>
    <n v="2021"/>
    <s v="natural_gas"/>
    <s v="Natural Gas"/>
    <s v="model"/>
    <b v="0"/>
    <s v="NATURAL GAS, NATURAL GAS"/>
    <x v="2"/>
    <x v="0"/>
    <s v="Americas"/>
    <s v="Northern America"/>
    <s v="US"/>
    <m/>
    <n v="1"/>
    <s v="CH4"/>
    <n v="23.011030000000002"/>
    <n v="2.5000000000000001E-2"/>
    <s v="MMBTU"/>
    <n v="0.1"/>
    <n v="920.44119999999998"/>
    <s v="AR4"/>
    <s v="USEPA"/>
    <s v="USEPA (2021)"/>
    <n v="2021"/>
    <n v="2021"/>
    <n v="0"/>
    <n v="0"/>
    <x v="17"/>
    <s v="Office"/>
  </r>
  <r>
    <n v="4985"/>
    <s v="Top of Hierarchy &gt; North America &gt; Vantage_Pittsburgh"/>
    <x v="0"/>
    <x v="1"/>
    <d v="2021-01-01T00:00:00"/>
    <d v="2021-12-31T00:00:00"/>
    <x v="3"/>
    <d v="2021-01-01T00:00:00"/>
    <d v="2021-12-31T00:00:00"/>
    <s v="Natural gas"/>
    <n v="9204.4120000000003"/>
    <s v="Hundred Thousand BTUs"/>
    <x v="1"/>
    <m/>
    <s v="2023-02-27, 16:27"/>
    <s v="2023-07-20, 00:40"/>
    <n v="2021"/>
    <s v="natural_gas"/>
    <s v="Natural Gas"/>
    <s v="model"/>
    <b v="0"/>
    <s v="NATURAL GAS, NATURAL GAS"/>
    <x v="2"/>
    <x v="0"/>
    <s v="Americas"/>
    <s v="Northern America"/>
    <s v="US"/>
    <m/>
    <n v="1"/>
    <s v="CO2"/>
    <n v="48838.610070000002"/>
    <n v="53.06"/>
    <s v="MMBTU"/>
    <n v="0.1"/>
    <n v="920.44119999999998"/>
    <s v="AR4"/>
    <s v="USEPA"/>
    <s v="USEPA Emission Factors Hub (Last Modified: March 2020)"/>
    <n v="2021"/>
    <n v="2020"/>
    <n v="0"/>
    <n v="0"/>
    <x v="17"/>
    <s v="Office"/>
  </r>
  <r>
    <n v="4985"/>
    <s v="Top of Hierarchy &gt; North America &gt; Vantage_Pittsburgh"/>
    <x v="0"/>
    <x v="1"/>
    <d v="2021-01-01T00:00:00"/>
    <d v="2021-12-31T00:00:00"/>
    <x v="3"/>
    <d v="2021-01-01T00:00:00"/>
    <d v="2021-12-31T00:00:00"/>
    <s v="Natural gas"/>
    <n v="9204.4120000000003"/>
    <s v="Hundred Thousand BTUs"/>
    <x v="1"/>
    <m/>
    <s v="2023-02-27, 16:27"/>
    <s v="2023-07-20, 00:40"/>
    <n v="2021"/>
    <s v="natural_gas"/>
    <s v="Natural Gas"/>
    <s v="model"/>
    <b v="0"/>
    <s v="NATURAL GAS, NATURAL GAS"/>
    <x v="2"/>
    <x v="0"/>
    <s v="Americas"/>
    <s v="Northern America"/>
    <s v="US"/>
    <m/>
    <n v="1"/>
    <s v="CO2E"/>
    <n v="48889.05025"/>
    <n v="53.114800000000002"/>
    <s v="MMBTU"/>
    <n v="0.1"/>
    <n v="920.44119999999998"/>
    <s v="AR4"/>
    <s v="USEPA"/>
    <s v="USEPA (2021)"/>
    <n v="2021"/>
    <n v="2021"/>
    <n v="0"/>
    <n v="48.889050249999997"/>
    <x v="17"/>
    <s v="Office"/>
  </r>
  <r>
    <n v="4985"/>
    <s v="Top of Hierarchy &gt; North America &gt; Vantage_Pittsburgh"/>
    <x v="0"/>
    <x v="1"/>
    <d v="2021-01-01T00:00:00"/>
    <d v="2021-12-31T00:00:00"/>
    <x v="3"/>
    <d v="2021-01-01T00:00:00"/>
    <d v="2021-12-31T00:00:00"/>
    <s v="Natural gas"/>
    <n v="9204.4120000000003"/>
    <s v="Hundred Thousand BTUs"/>
    <x v="1"/>
    <m/>
    <s v="2023-02-27, 16:27"/>
    <s v="2023-07-20, 00:40"/>
    <n v="2021"/>
    <s v="natural_gas"/>
    <s v="Natural Gas"/>
    <s v="model"/>
    <b v="0"/>
    <s v="NATURAL GAS, NATURAL GAS"/>
    <x v="2"/>
    <x v="0"/>
    <s v="Americas"/>
    <s v="Northern America"/>
    <s v="US"/>
    <m/>
    <n v="1"/>
    <s v="N2O"/>
    <n v="27.429147759999999"/>
    <n v="2.98E-2"/>
    <s v="MMBTU"/>
    <n v="0.1"/>
    <n v="920.44119999999998"/>
    <s v="AR4"/>
    <s v="USEPA"/>
    <s v="USEPA (2021)"/>
    <n v="2021"/>
    <n v="2021"/>
    <n v="0"/>
    <n v="0"/>
    <x v="17"/>
    <s v="Office"/>
  </r>
  <r>
    <n v="4985"/>
    <s v="Top of Hierarchy &gt; North America &gt; Vantage_Pittsburgh"/>
    <x v="0"/>
    <x v="1"/>
    <d v="2021-01-01T00:00:00"/>
    <d v="2021-12-31T00:00:00"/>
    <x v="3"/>
    <d v="2021-01-01T00:00:00"/>
    <d v="2021-12-31T00:00:00"/>
    <s v="Natural gas"/>
    <n v="9204.4120000000003"/>
    <s v="Hundred Thousand BTUs"/>
    <x v="1"/>
    <m/>
    <s v="2023-02-27, 16:27"/>
    <s v="2023-07-20, 00:40"/>
    <n v="2021"/>
    <s v="natural_gas__wtt"/>
    <s v="Natural Gas WTT"/>
    <s v="wtt"/>
    <b v="0"/>
    <s v="WTT- FUELS; WTT- GASEOUS FUELS; NATURAL GAS"/>
    <x v="1"/>
    <x v="1"/>
    <m/>
    <m/>
    <m/>
    <m/>
    <n v="0"/>
    <s v="CO2E"/>
    <n v="8454.7875199999999"/>
    <n v="3.1350000000000003E-2"/>
    <s v="KWH (GROSS CV)"/>
    <n v="29.3001"/>
    <n v="269690.19199999998"/>
    <s v="AR4"/>
    <s v="Defra"/>
    <s v="Defra (2021)"/>
    <n v="2021"/>
    <n v="2019"/>
    <n v="8.45478752"/>
    <n v="0"/>
    <x v="17"/>
    <s v="Office"/>
  </r>
  <r>
    <n v="4985"/>
    <s v="Top of Hierarchy &gt; North America &gt; Vantage_Pittsburgh"/>
    <x v="0"/>
    <x v="1"/>
    <d v="2021-01-01T00:00:00"/>
    <d v="2021-12-31T00:00:00"/>
    <x v="3"/>
    <d v="2021-01-01T00:00:00"/>
    <d v="2021-12-31T00:00:00"/>
    <s v="Natural gas"/>
    <n v="9204.4120000000003"/>
    <s v="Hundred Thousand BTUs"/>
    <x v="1"/>
    <m/>
    <s v="2023-02-27, 16:27"/>
    <s v="2023-07-20, 00:40"/>
    <n v="2021"/>
    <s v="natural_gas__wtt"/>
    <s v="Natural Gas WTT"/>
    <s v="wtt"/>
    <b v="0"/>
    <s v="WTT- FUELS; WTT- GASEOUS FUELS; NATURAL GAS"/>
    <x v="1"/>
    <x v="1"/>
    <m/>
    <m/>
    <m/>
    <m/>
    <n v="1"/>
    <s v="CO2E"/>
    <n v="8454.7875199999999"/>
    <n v="3.1350000000000003E-2"/>
    <s v="KWH (GROSS CV)"/>
    <n v="29.3001"/>
    <n v="269690.19199999998"/>
    <s v="AR4"/>
    <s v="Defra"/>
    <s v="Defra (2021)"/>
    <n v="2021"/>
    <n v="2019"/>
    <n v="0"/>
    <n v="8.45478752"/>
    <x v="17"/>
    <s v="Office"/>
  </r>
  <r>
    <n v="5019"/>
    <s v="Top of Hierarchy &gt; North America &gt; Vantage_Pittsburgh"/>
    <x v="0"/>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0"/>
    <s v="CH4"/>
    <n v="0"/>
    <n v="2.5999999999999998E-4"/>
    <s v="LITRES"/>
    <n v="1"/>
    <n v="0"/>
    <s v="AR4"/>
    <s v="Defra"/>
    <s v="Defra (2021)"/>
    <n v="2021"/>
    <n v="2019"/>
    <n v="0"/>
    <n v="0"/>
    <x v="17"/>
    <s v="Office"/>
  </r>
  <r>
    <n v="5019"/>
    <s v="Top of Hierarchy &gt; North America &gt; Vantage_Pittsburgh"/>
    <x v="0"/>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0"/>
    <s v="CO2"/>
    <n v="0"/>
    <n v="2.6680700000000002"/>
    <s v="LITRES"/>
    <n v="1"/>
    <n v="0"/>
    <s v="AR4"/>
    <s v="Defra"/>
    <s v="Defra (2021)"/>
    <n v="2021"/>
    <n v="2019"/>
    <n v="0"/>
    <n v="0"/>
    <x v="17"/>
    <s v="Office"/>
  </r>
  <r>
    <n v="5019"/>
    <s v="Top of Hierarchy &gt; North America &gt; Vantage_Pittsburgh"/>
    <x v="0"/>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0"/>
    <s v="CO2E"/>
    <n v="0"/>
    <n v="2.70553"/>
    <s v="LITRES"/>
    <n v="1"/>
    <n v="0"/>
    <s v="AR4"/>
    <s v="Defra"/>
    <s v="Defra (2021)"/>
    <n v="2021"/>
    <n v="2019"/>
    <n v="0"/>
    <n v="0"/>
    <x v="17"/>
    <s v="Office"/>
  </r>
  <r>
    <n v="5019"/>
    <s v="Top of Hierarchy &gt; North America &gt; Vantage_Pittsburgh"/>
    <x v="0"/>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0"/>
    <s v="N2O"/>
    <n v="0"/>
    <n v="3.7199999999999997E-2"/>
    <s v="LITRES"/>
    <n v="1"/>
    <n v="0"/>
    <s v="AR4"/>
    <s v="Defra"/>
    <s v="Defra (2021)"/>
    <n v="2021"/>
    <n v="2019"/>
    <n v="0"/>
    <n v="0"/>
    <x v="17"/>
    <s v="Office"/>
  </r>
  <r>
    <n v="5019"/>
    <s v="Top of Hierarchy &gt; North America &gt; Vantage_Pittsburgh"/>
    <x v="0"/>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1"/>
    <s v="CH4"/>
    <n v="0"/>
    <n v="2.5999999999999998E-4"/>
    <s v="LITRES"/>
    <n v="1"/>
    <n v="0"/>
    <s v="AR4"/>
    <s v="Defra"/>
    <s v="Defra (2021)"/>
    <n v="2021"/>
    <n v="2019"/>
    <n v="0"/>
    <n v="0"/>
    <x v="17"/>
    <s v="Office"/>
  </r>
  <r>
    <n v="5019"/>
    <s v="Top of Hierarchy &gt; North America &gt; Vantage_Pittsburgh"/>
    <x v="0"/>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1"/>
    <s v="CO2"/>
    <n v="0"/>
    <n v="2.6680700000000002"/>
    <s v="LITRES"/>
    <n v="1"/>
    <n v="0"/>
    <s v="AR4"/>
    <s v="Defra"/>
    <s v="Defra (2021)"/>
    <n v="2021"/>
    <n v="2019"/>
    <n v="0"/>
    <n v="0"/>
    <x v="17"/>
    <s v="Office"/>
  </r>
  <r>
    <n v="5019"/>
    <s v="Top of Hierarchy &gt; North America &gt; Vantage_Pittsburgh"/>
    <x v="0"/>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1"/>
    <s v="CO2E"/>
    <n v="0"/>
    <n v="2.70553"/>
    <s v="LITRES"/>
    <n v="1"/>
    <n v="0"/>
    <s v="AR4"/>
    <s v="Defra"/>
    <s v="Defra (2021)"/>
    <n v="2021"/>
    <n v="2019"/>
    <n v="0"/>
    <n v="0"/>
    <x v="17"/>
    <s v="Office"/>
  </r>
  <r>
    <n v="5019"/>
    <s v="Top of Hierarchy &gt; North America &gt; Vantage_Pittsburgh"/>
    <x v="0"/>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1"/>
    <s v="N2O"/>
    <n v="0"/>
    <n v="3.7199999999999997E-2"/>
    <s v="LITRES"/>
    <n v="1"/>
    <n v="0"/>
    <s v="AR4"/>
    <s v="Defra"/>
    <s v="Defra (2021)"/>
    <n v="2021"/>
    <n v="2019"/>
    <n v="0"/>
    <n v="0"/>
    <x v="17"/>
    <s v="Office"/>
  </r>
  <r>
    <n v="5019"/>
    <s v="Top of Hierarchy &gt; North America &gt; Vantage_Pittsburgh"/>
    <x v="0"/>
    <x v="1"/>
    <d v="2021-01-01T00:00:00"/>
    <d v="2021-12-31T00:00:00"/>
    <x v="1"/>
    <d v="2021-01-01T00:00:00"/>
    <d v="2021-12-31T00:00:00"/>
    <s v="Diesel (100% mineral diesel)"/>
    <n v="0"/>
    <s v="litres"/>
    <x v="0"/>
    <m/>
    <s v="2023-02-27, 16:27"/>
    <s v="2023-07-20, 00:40"/>
    <n v="2021"/>
    <s v="diesel_100p_mineral_diesel__wtt"/>
    <s v="Diesel (100% Mineral Diesel) WTT"/>
    <s v="wtt"/>
    <b v="0"/>
    <s v="WTT- FUELS; WTT- LIQUID FUELS; DIESEL (100% MINERAL DIESEL)"/>
    <x v="1"/>
    <x v="1"/>
    <m/>
    <m/>
    <m/>
    <m/>
    <n v="0"/>
    <s v="CO2E"/>
    <n v="0"/>
    <n v="0.62873999999999997"/>
    <s v="LITRES"/>
    <n v="1"/>
    <n v="0"/>
    <s v="AR4"/>
    <s v="Defra"/>
    <s v="Defra (2021)"/>
    <n v="2021"/>
    <n v="2019"/>
    <n v="0"/>
    <n v="0"/>
    <x v="17"/>
    <s v="Office"/>
  </r>
  <r>
    <n v="5019"/>
    <s v="Top of Hierarchy &gt; North America &gt; Vantage_Pittsburgh"/>
    <x v="0"/>
    <x v="1"/>
    <d v="2021-01-01T00:00:00"/>
    <d v="2021-12-31T00:00:00"/>
    <x v="1"/>
    <d v="2021-01-01T00:00:00"/>
    <d v="2021-12-31T00:00:00"/>
    <s v="Diesel (100% mineral diesel)"/>
    <n v="0"/>
    <s v="litres"/>
    <x v="0"/>
    <m/>
    <s v="2023-02-27, 16:27"/>
    <s v="2023-07-20, 00:40"/>
    <n v="2021"/>
    <s v="diesel_100p_mineral_diesel__wtt"/>
    <s v="Diesel (100% Mineral Diesel) WTT"/>
    <s v="wtt"/>
    <b v="0"/>
    <s v="WTT- FUELS; WTT- LIQUID FUELS; DIESEL (100% MINERAL DIESEL)"/>
    <x v="1"/>
    <x v="1"/>
    <m/>
    <m/>
    <m/>
    <m/>
    <n v="1"/>
    <s v="CO2E"/>
    <n v="0"/>
    <n v="0.62873999999999997"/>
    <s v="LITRES"/>
    <n v="1"/>
    <n v="0"/>
    <s v="AR4"/>
    <s v="Defra"/>
    <s v="Defra (2021)"/>
    <n v="2021"/>
    <n v="2019"/>
    <n v="0"/>
    <n v="0"/>
    <x v="17"/>
    <s v="Office"/>
  </r>
  <r>
    <n v="5044"/>
    <s v="Top of Hierarchy &gt; North America &gt; Vantage_Pittsburgh"/>
    <x v="0"/>
    <x v="1"/>
    <d v="2021-01-01T00:00:00"/>
    <d v="2021-12-31T00:00:00"/>
    <x v="4"/>
    <d v="2021-01-01T00:00:00"/>
    <d v="2021-12-31T00:00:00"/>
    <s v="HFC-134a"/>
    <n v="5"/>
    <s v="kilograms"/>
    <x v="0"/>
    <m/>
    <s v="2023-02-27, 16:28"/>
    <s v="2023-07-20, 00:40"/>
    <n v="2021"/>
    <s v="hfc-134a"/>
    <s v="HFC-134A"/>
    <s v="model"/>
    <b v="0"/>
    <s v="REFRIGERANT: R-134A"/>
    <x v="2"/>
    <x v="0"/>
    <m/>
    <m/>
    <m/>
    <m/>
    <n v="0"/>
    <s v="CO2E"/>
    <n v="7150"/>
    <n v="1430"/>
    <s v="KG"/>
    <n v="1"/>
    <n v="5"/>
    <s v="AR4"/>
    <s v="IPCC"/>
    <s v="IPCC (2021)"/>
    <n v="2021"/>
    <n v="2007"/>
    <n v="7.15"/>
    <n v="0"/>
    <x v="17"/>
    <s v="Office"/>
  </r>
  <r>
    <n v="5044"/>
    <s v="Top of Hierarchy &gt; North America &gt; Vantage_Pittsburgh"/>
    <x v="0"/>
    <x v="1"/>
    <d v="2021-01-01T00:00:00"/>
    <d v="2021-12-31T00:00:00"/>
    <x v="4"/>
    <d v="2021-01-01T00:00:00"/>
    <d v="2021-12-31T00:00:00"/>
    <s v="HFC-134a"/>
    <n v="5"/>
    <s v="kilograms"/>
    <x v="0"/>
    <m/>
    <s v="2023-02-27, 16:28"/>
    <s v="2023-07-20, 00:40"/>
    <n v="2021"/>
    <s v="hfc-134a"/>
    <s v="HFC-134A"/>
    <s v="model"/>
    <b v="0"/>
    <s v="REFRIGERANT: R-134A"/>
    <x v="2"/>
    <x v="0"/>
    <m/>
    <m/>
    <m/>
    <m/>
    <n v="1"/>
    <s v="CO2E"/>
    <n v="7150"/>
    <n v="1430"/>
    <s v="KG"/>
    <n v="1"/>
    <n v="5"/>
    <s v="AR4"/>
    <s v="IPCC"/>
    <s v="IPCC (2021)"/>
    <n v="2021"/>
    <n v="2007"/>
    <n v="0"/>
    <n v="7.15"/>
    <x v="17"/>
    <s v="Office"/>
  </r>
  <r>
    <n v="237718"/>
    <s v="Top of Hierarchy &gt; North America &gt; Vantage_Tlalnepantla de Baz"/>
    <x v="1"/>
    <x v="0"/>
    <d v="2022-01-01T00:00:00"/>
    <d v="2022-12-31T00:00:00"/>
    <x v="0"/>
    <d v="2022-01-01T00:00:00"/>
    <d v="2022-12-31T00:00:00"/>
    <s v="Electricity (non-renewable)"/>
    <n v="57321"/>
    <s v="Kilowatt hours"/>
    <x v="1"/>
    <m/>
    <s v="2023-04-20, 23:04"/>
    <s v="2023-07-20, 00:40"/>
    <n v="2022"/>
    <s v="electricity"/>
    <s v="Electricity"/>
    <s v="model"/>
    <b v="0"/>
    <s v="ELECTRICITY; MEXICO"/>
    <x v="0"/>
    <x v="0"/>
    <s v="Americas"/>
    <s v="Latin America and the Caribbean"/>
    <s v="MX"/>
    <m/>
    <n v="0"/>
    <s v="CH4"/>
    <n v="17.196300000000001"/>
    <s v="RESTRICTED"/>
    <s v="KWH"/>
    <n v="1"/>
    <n v="57321"/>
    <s v="AR4"/>
    <s v="IEA"/>
    <s v="IEA (2022)"/>
    <n v="2022"/>
    <n v="2020"/>
    <n v="0"/>
    <n v="0"/>
    <x v="18"/>
    <s v="Warehouse"/>
  </r>
  <r>
    <n v="237718"/>
    <s v="Top of Hierarchy &gt; North America &gt; Vantage_Tlalnepantla de Baz"/>
    <x v="1"/>
    <x v="0"/>
    <d v="2022-01-01T00:00:00"/>
    <d v="2022-12-31T00:00:00"/>
    <x v="0"/>
    <d v="2022-01-01T00:00:00"/>
    <d v="2022-12-31T00:00:00"/>
    <s v="Electricity (non-renewable)"/>
    <n v="57321"/>
    <s v="Kilowatt hours"/>
    <x v="1"/>
    <m/>
    <s v="2023-04-20, 23:04"/>
    <s v="2023-07-20, 00:40"/>
    <n v="2022"/>
    <s v="electricity"/>
    <s v="Electricity"/>
    <s v="model"/>
    <b v="0"/>
    <s v="ELECTRICITY; MEXICO"/>
    <x v="0"/>
    <x v="0"/>
    <s v="Americas"/>
    <s v="Latin America and the Caribbean"/>
    <s v="MX"/>
    <m/>
    <n v="0"/>
    <s v="CO2"/>
    <n v="22762.169099999999"/>
    <s v="RESTRICTED"/>
    <s v="KWH"/>
    <n v="1"/>
    <n v="57321"/>
    <s v="AR4"/>
    <s v="IEA"/>
    <s v="IEA (2022)"/>
    <n v="2022"/>
    <n v="2020"/>
    <n v="0"/>
    <n v="0"/>
    <x v="18"/>
    <s v="Warehouse"/>
  </r>
  <r>
    <n v="237718"/>
    <s v="Top of Hierarchy &gt; North America &gt; Vantage_Tlalnepantla de Baz"/>
    <x v="1"/>
    <x v="0"/>
    <d v="2022-01-01T00:00:00"/>
    <d v="2022-12-31T00:00:00"/>
    <x v="0"/>
    <d v="2022-01-01T00:00:00"/>
    <d v="2022-12-31T00:00:00"/>
    <s v="Electricity (non-renewable)"/>
    <n v="57321"/>
    <s v="Kilowatt hours"/>
    <x v="1"/>
    <m/>
    <s v="2023-04-20, 23:04"/>
    <s v="2023-07-20, 00:40"/>
    <n v="2022"/>
    <s v="electricity"/>
    <s v="Electricity"/>
    <s v="model"/>
    <b v="0"/>
    <s v="ELECTRICITY; MEXICO"/>
    <x v="0"/>
    <x v="0"/>
    <s v="Americas"/>
    <s v="Latin America and the Caribbean"/>
    <s v="MX"/>
    <m/>
    <n v="0"/>
    <s v="CO2E"/>
    <n v="22825.2222"/>
    <s v="RESTRICTED"/>
    <s v="KWH"/>
    <n v="1"/>
    <n v="57321"/>
    <s v="AR4"/>
    <s v="IEA"/>
    <s v="IEA (2022)"/>
    <n v="2022"/>
    <n v="2020"/>
    <n v="22.825222199999999"/>
    <n v="0"/>
    <x v="18"/>
    <s v="Warehouse"/>
  </r>
  <r>
    <n v="237718"/>
    <s v="Top of Hierarchy &gt; North America &gt; Vantage_Tlalnepantla de Baz"/>
    <x v="1"/>
    <x v="0"/>
    <d v="2022-01-01T00:00:00"/>
    <d v="2022-12-31T00:00:00"/>
    <x v="0"/>
    <d v="2022-01-01T00:00:00"/>
    <d v="2022-12-31T00:00:00"/>
    <s v="Electricity (non-renewable)"/>
    <n v="57321"/>
    <s v="Kilowatt hours"/>
    <x v="1"/>
    <m/>
    <s v="2023-04-20, 23:04"/>
    <s v="2023-07-20, 00:40"/>
    <n v="2022"/>
    <s v="electricity"/>
    <s v="Electricity"/>
    <s v="model"/>
    <b v="0"/>
    <s v="ELECTRICITY; MEXICO"/>
    <x v="0"/>
    <x v="0"/>
    <s v="Americas"/>
    <s v="Latin America and the Caribbean"/>
    <s v="MX"/>
    <m/>
    <n v="0"/>
    <s v="N2O"/>
    <n v="45.8568"/>
    <s v="RESTRICTED"/>
    <s v="KWH"/>
    <n v="1"/>
    <n v="57321"/>
    <s v="AR4"/>
    <s v="IEA"/>
    <s v="IEA (2022)"/>
    <n v="2022"/>
    <n v="2020"/>
    <n v="0"/>
    <n v="0"/>
    <x v="18"/>
    <s v="Warehouse"/>
  </r>
  <r>
    <n v="237718"/>
    <s v="Top of Hierarchy &gt; North America &gt; Vantage_Tlalnepantla de Baz"/>
    <x v="1"/>
    <x v="0"/>
    <d v="2022-01-01T00:00:00"/>
    <d v="2022-12-31T00:00:00"/>
    <x v="0"/>
    <d v="2022-01-01T00:00:00"/>
    <d v="2022-12-31T00:00:00"/>
    <s v="Electricity (non-renewable)"/>
    <n v="57321"/>
    <s v="Kilowatt hours"/>
    <x v="1"/>
    <m/>
    <s v="2023-04-20, 23:04"/>
    <s v="2023-07-20, 00:40"/>
    <n v="2022"/>
    <s v="electricity"/>
    <s v="Electricity"/>
    <s v="model"/>
    <b v="0"/>
    <s v="ELECTRICITY; MEXICO"/>
    <x v="0"/>
    <x v="0"/>
    <s v="Americas"/>
    <s v="Latin America and the Caribbean"/>
    <s v="MX"/>
    <m/>
    <n v="1"/>
    <s v="CH4"/>
    <n v="17.196300000000001"/>
    <s v="RESTRICTED"/>
    <s v="KWH"/>
    <n v="1"/>
    <n v="57321"/>
    <s v="AR4"/>
    <s v="IEA"/>
    <s v="IEA (2022)"/>
    <n v="2022"/>
    <n v="2020"/>
    <n v="0"/>
    <n v="0"/>
    <x v="18"/>
    <s v="Warehouse"/>
  </r>
  <r>
    <n v="237718"/>
    <s v="Top of Hierarchy &gt; North America &gt; Vantage_Tlalnepantla de Baz"/>
    <x v="1"/>
    <x v="0"/>
    <d v="2022-01-01T00:00:00"/>
    <d v="2022-12-31T00:00:00"/>
    <x v="0"/>
    <d v="2022-01-01T00:00:00"/>
    <d v="2022-12-31T00:00:00"/>
    <s v="Electricity (non-renewable)"/>
    <n v="57321"/>
    <s v="Kilowatt hours"/>
    <x v="1"/>
    <m/>
    <s v="2023-04-20, 23:04"/>
    <s v="2023-07-20, 00:40"/>
    <n v="2022"/>
    <s v="electricity"/>
    <s v="Electricity"/>
    <s v="model"/>
    <b v="0"/>
    <s v="ELECTRICITY; MEXICO"/>
    <x v="0"/>
    <x v="0"/>
    <s v="Americas"/>
    <s v="Latin America and the Caribbean"/>
    <s v="MX"/>
    <m/>
    <n v="1"/>
    <s v="CO2"/>
    <n v="22762.169099999999"/>
    <s v="RESTRICTED"/>
    <s v="KWH"/>
    <n v="1"/>
    <n v="57321"/>
    <s v="AR4"/>
    <s v="IEA"/>
    <s v="IEA (2022)"/>
    <n v="2022"/>
    <n v="2020"/>
    <n v="0"/>
    <n v="0"/>
    <x v="18"/>
    <s v="Warehouse"/>
  </r>
  <r>
    <n v="237718"/>
    <s v="Top of Hierarchy &gt; North America &gt; Vantage_Tlalnepantla de Baz"/>
    <x v="1"/>
    <x v="0"/>
    <d v="2022-01-01T00:00:00"/>
    <d v="2022-12-31T00:00:00"/>
    <x v="0"/>
    <d v="2022-01-01T00:00:00"/>
    <d v="2022-12-31T00:00:00"/>
    <s v="Electricity (non-renewable)"/>
    <n v="57321"/>
    <s v="Kilowatt hours"/>
    <x v="1"/>
    <m/>
    <s v="2023-04-20, 23:04"/>
    <s v="2023-07-20, 00:40"/>
    <n v="2022"/>
    <s v="electricity"/>
    <s v="Electricity"/>
    <s v="model"/>
    <b v="0"/>
    <s v="ELECTRICITY; MEXICO"/>
    <x v="0"/>
    <x v="0"/>
    <s v="Americas"/>
    <s v="Latin America and the Caribbean"/>
    <s v="MX"/>
    <m/>
    <n v="1"/>
    <s v="CO2E"/>
    <n v="22825.2222"/>
    <s v="RESTRICTED"/>
    <s v="KWH"/>
    <n v="1"/>
    <n v="57321"/>
    <s v="AR4"/>
    <s v="IEA"/>
    <s v="IEA (2022)"/>
    <n v="2022"/>
    <n v="2020"/>
    <n v="0"/>
    <n v="22.825222199999999"/>
    <x v="18"/>
    <s v="Warehouse"/>
  </r>
  <r>
    <n v="237718"/>
    <s v="Top of Hierarchy &gt; North America &gt; Vantage_Tlalnepantla de Baz"/>
    <x v="1"/>
    <x v="0"/>
    <d v="2022-01-01T00:00:00"/>
    <d v="2022-12-31T00:00:00"/>
    <x v="0"/>
    <d v="2022-01-01T00:00:00"/>
    <d v="2022-12-31T00:00:00"/>
    <s v="Electricity (non-renewable)"/>
    <n v="57321"/>
    <s v="Kilowatt hours"/>
    <x v="1"/>
    <m/>
    <s v="2023-04-20, 23:04"/>
    <s v="2023-07-20, 00:40"/>
    <n v="2022"/>
    <s v="electricity"/>
    <s v="Electricity"/>
    <s v="model"/>
    <b v="0"/>
    <s v="ELECTRICITY; MEXICO"/>
    <x v="0"/>
    <x v="0"/>
    <s v="Americas"/>
    <s v="Latin America and the Caribbean"/>
    <s v="MX"/>
    <m/>
    <n v="1"/>
    <s v="N2O"/>
    <n v="45.8568"/>
    <s v="RESTRICTED"/>
    <s v="KWH"/>
    <n v="1"/>
    <n v="57321"/>
    <s v="AR4"/>
    <s v="IEA"/>
    <s v="IEA (2022)"/>
    <n v="2022"/>
    <n v="2020"/>
    <n v="0"/>
    <n v="0"/>
    <x v="18"/>
    <s v="Warehouse"/>
  </r>
  <r>
    <n v="237718"/>
    <s v="Top of Hierarchy &gt; North America &gt; Vantage_Tlalnepantla de Baz"/>
    <x v="1"/>
    <x v="0"/>
    <d v="2022-01-01T00:00:00"/>
    <d v="2022-12-31T00:00:00"/>
    <x v="0"/>
    <d v="2022-01-01T00:00:00"/>
    <d v="2022-12-31T00:00:00"/>
    <s v="Electricity (non-renewable)"/>
    <n v="57321"/>
    <s v="Kilowatt hours"/>
    <x v="1"/>
    <m/>
    <s v="2023-04-20, 23:04"/>
    <s v="2023-07-20, 00:40"/>
    <n v="2022"/>
    <s v="electricity__t+d__wtt"/>
    <s v="Electricity T&amp;D WTT"/>
    <s v="t+d_wtt"/>
    <b v="0"/>
    <s v="ELECTRICITY T&amp;D WTT; MEXICO"/>
    <x v="1"/>
    <x v="1"/>
    <s v="Americas"/>
    <s v="Latin America and the Caribbean"/>
    <s v="MX"/>
    <m/>
    <n v="0"/>
    <s v="CO2E"/>
    <n v="657.08282159999999"/>
    <n v="1.1463213E-2"/>
    <s v="KWH"/>
    <n v="1"/>
    <n v="57321"/>
    <s v="AR4"/>
    <s v="Anthesis"/>
    <s v="Anthesis (2022)"/>
    <n v="2022"/>
    <n v="2020"/>
    <n v="0.65708282159999998"/>
    <n v="0"/>
    <x v="18"/>
    <s v="Warehouse"/>
  </r>
  <r>
    <n v="237718"/>
    <s v="Top of Hierarchy &gt; North America &gt; Vantage_Tlalnepantla de Baz"/>
    <x v="1"/>
    <x v="0"/>
    <d v="2022-01-01T00:00:00"/>
    <d v="2022-12-31T00:00:00"/>
    <x v="0"/>
    <d v="2022-01-01T00:00:00"/>
    <d v="2022-12-31T00:00:00"/>
    <s v="Electricity (non-renewable)"/>
    <n v="57321"/>
    <s v="Kilowatt hours"/>
    <x v="1"/>
    <m/>
    <s v="2023-04-20, 23:04"/>
    <s v="2023-07-20, 00:40"/>
    <n v="2022"/>
    <s v="electricity__t+d__wtt"/>
    <s v="Electricity T&amp;D WTT"/>
    <s v="t+d_wtt"/>
    <b v="0"/>
    <s v="ELECTRICITY T&amp;D WTT; MEXICO"/>
    <x v="1"/>
    <x v="1"/>
    <s v="Americas"/>
    <s v="Latin America and the Caribbean"/>
    <s v="MX"/>
    <m/>
    <n v="1"/>
    <s v="CO2E"/>
    <n v="657.08282159999999"/>
    <n v="1.1463213E-2"/>
    <s v="KWH"/>
    <n v="1"/>
    <n v="57321"/>
    <s v="AR4"/>
    <s v="Anthesis"/>
    <s v="Anthesis (2022)"/>
    <n v="2022"/>
    <n v="2020"/>
    <n v="0"/>
    <n v="0.65708282159999998"/>
    <x v="18"/>
    <s v="Warehouse"/>
  </r>
  <r>
    <n v="237718"/>
    <s v="Top of Hierarchy &gt; North America &gt; Vantage_Tlalnepantla de Baz"/>
    <x v="1"/>
    <x v="0"/>
    <d v="2022-01-01T00:00:00"/>
    <d v="2022-12-31T00:00:00"/>
    <x v="0"/>
    <d v="2022-01-01T00:00:00"/>
    <d v="2022-12-31T00:00:00"/>
    <s v="Electricity (non-renewable)"/>
    <n v="57321"/>
    <s v="Kilowatt hours"/>
    <x v="1"/>
    <m/>
    <s v="2023-04-20, 23:04"/>
    <s v="2023-07-20, 00:40"/>
    <n v="2022"/>
    <s v="electricity__wtt"/>
    <s v="Electricity WTT"/>
    <s v="wtt"/>
    <b v="0"/>
    <s v="ELECTRICITY WTT; MEXICO"/>
    <x v="1"/>
    <x v="1"/>
    <s v="Americas"/>
    <s v="Latin America and the Caribbean"/>
    <s v="MX"/>
    <m/>
    <n v="0"/>
    <s v="CO2E"/>
    <n v="5675.7132229999997"/>
    <n v="9.9016298000000003E-2"/>
    <s v="KWH"/>
    <n v="1"/>
    <n v="57321"/>
    <s v="AR4"/>
    <s v="Anthesis"/>
    <s v="Anthesis (2022)"/>
    <n v="2022"/>
    <n v="2020"/>
    <n v="5.6757132229999998"/>
    <n v="0"/>
    <x v="18"/>
    <s v="Warehouse"/>
  </r>
  <r>
    <n v="237718"/>
    <s v="Top of Hierarchy &gt; North America &gt; Vantage_Tlalnepantla de Baz"/>
    <x v="1"/>
    <x v="0"/>
    <d v="2022-01-01T00:00:00"/>
    <d v="2022-12-31T00:00:00"/>
    <x v="0"/>
    <d v="2022-01-01T00:00:00"/>
    <d v="2022-12-31T00:00:00"/>
    <s v="Electricity (non-renewable)"/>
    <n v="57321"/>
    <s v="Kilowatt hours"/>
    <x v="1"/>
    <m/>
    <s v="2023-04-20, 23:04"/>
    <s v="2023-07-20, 00:40"/>
    <n v="2022"/>
    <s v="electricity__wtt"/>
    <s v="Electricity WTT"/>
    <s v="wtt"/>
    <b v="0"/>
    <s v="ELECTRICITY WTT; MEXICO"/>
    <x v="1"/>
    <x v="1"/>
    <s v="Americas"/>
    <s v="Latin America and the Caribbean"/>
    <s v="MX"/>
    <m/>
    <n v="1"/>
    <s v="CO2E"/>
    <n v="5675.7132229999997"/>
    <n v="9.9016298000000003E-2"/>
    <s v="KWH"/>
    <n v="1"/>
    <n v="57321"/>
    <s v="AR4"/>
    <s v="Anthesis"/>
    <s v="Anthesis (2022)"/>
    <n v="2022"/>
    <n v="2020"/>
    <n v="0"/>
    <n v="5.6757132229999998"/>
    <x v="18"/>
    <s v="Warehouse"/>
  </r>
  <r>
    <n v="237718"/>
    <s v="Top of Hierarchy &gt; North America &gt; Vantage_Tlalnepantla de Baz"/>
    <x v="1"/>
    <x v="0"/>
    <d v="2022-01-01T00:00:00"/>
    <d v="2022-12-31T00:00:00"/>
    <x v="0"/>
    <d v="2022-01-01T00:00:00"/>
    <d v="2022-12-31T00:00:00"/>
    <s v="Electricity (non-renewable)"/>
    <n v="57321"/>
    <s v="Kilowatt hours"/>
    <x v="1"/>
    <m/>
    <s v="2023-04-20, 23:04"/>
    <s v="2023-07-20, 00:40"/>
    <n v="2022"/>
    <s v="electricity__t+d"/>
    <s v="Electricity T&amp;D"/>
    <s v="t+d"/>
    <b v="0"/>
    <s v="ELECTRICITY; TRANSMISSION AND DISTRIBUTION; MEXICO"/>
    <x v="1"/>
    <x v="1"/>
    <s v="Americas"/>
    <s v="Latin America and the Caribbean"/>
    <s v="MX"/>
    <m/>
    <n v="0"/>
    <s v="CO2E"/>
    <n v="2642.4980999999998"/>
    <s v="RESTRICTED"/>
    <s v="KWH"/>
    <n v="1"/>
    <n v="57321"/>
    <s v="AR4"/>
    <s v="IEA"/>
    <s v="IEA (2022)"/>
    <n v="2022"/>
    <n v="2020"/>
    <n v="2.6424980999999996"/>
    <n v="0"/>
    <x v="18"/>
    <s v="Warehouse"/>
  </r>
  <r>
    <n v="237718"/>
    <s v="Top of Hierarchy &gt; North America &gt; Vantage_Tlalnepantla de Baz"/>
    <x v="1"/>
    <x v="0"/>
    <d v="2022-01-01T00:00:00"/>
    <d v="2022-12-31T00:00:00"/>
    <x v="0"/>
    <d v="2022-01-01T00:00:00"/>
    <d v="2022-12-31T00:00:00"/>
    <s v="Electricity (non-renewable)"/>
    <n v="57321"/>
    <s v="Kilowatt hours"/>
    <x v="1"/>
    <m/>
    <s v="2023-04-20, 23:04"/>
    <s v="2023-07-20, 00:40"/>
    <n v="2022"/>
    <s v="electricity__t+d"/>
    <s v="Electricity T&amp;D"/>
    <s v="t+d"/>
    <b v="0"/>
    <s v="ELECTRICITY; TRANSMISSION AND DISTRIBUTION; MEXICO"/>
    <x v="1"/>
    <x v="1"/>
    <s v="Americas"/>
    <s v="Latin America and the Caribbean"/>
    <s v="MX"/>
    <m/>
    <n v="1"/>
    <s v="CO2E"/>
    <n v="2642.4980999999998"/>
    <s v="RESTRICTED"/>
    <s v="KWH"/>
    <n v="1"/>
    <n v="57321"/>
    <s v="AR4"/>
    <s v="IEA"/>
    <s v="IEA (2022)"/>
    <n v="2022"/>
    <n v="2020"/>
    <n v="0"/>
    <n v="2.6424980999999996"/>
    <x v="18"/>
    <s v="Warehouse"/>
  </r>
  <r>
    <n v="237720"/>
    <s v="Top of Hierarchy &gt; North America &gt; Vantage_Tlalnepantla de Baz"/>
    <x v="1"/>
    <x v="0"/>
    <d v="2022-01-01T00:00:00"/>
    <d v="2022-12-31T00:00:00"/>
    <x v="3"/>
    <d v="2022-01-01T00:00:00"/>
    <d v="2022-12-31T00:00:00"/>
    <s v="Natural gas"/>
    <n v="0"/>
    <s v="litres"/>
    <x v="1"/>
    <m/>
    <s v="2023-04-20, 23:05"/>
    <s v="2023-07-20, 00:40"/>
    <n v="2022"/>
    <s v="natural_gas"/>
    <s v="Natural Gas"/>
    <s v="model"/>
    <b v="0"/>
    <s v="NATURAL GAS, NATURAL GAS"/>
    <x v="2"/>
    <x v="0"/>
    <s v="Americas"/>
    <m/>
    <m/>
    <m/>
    <n v="0"/>
    <s v="CH4"/>
    <n v="0"/>
    <n v="2.5749999999999999E-5"/>
    <s v="SCF"/>
    <n v="3.5314720000000001E-2"/>
    <n v="0"/>
    <s v="AR4"/>
    <s v="USEPA"/>
    <s v="USEPA (2022)"/>
    <n v="2022"/>
    <n v="2022"/>
    <n v="0"/>
    <n v="0"/>
    <x v="18"/>
    <s v="Warehouse"/>
  </r>
  <r>
    <n v="237720"/>
    <s v="Top of Hierarchy &gt; North America &gt; Vantage_Tlalnepantla de Baz"/>
    <x v="1"/>
    <x v="0"/>
    <d v="2022-01-01T00:00:00"/>
    <d v="2022-12-31T00:00:00"/>
    <x v="3"/>
    <d v="2022-01-01T00:00:00"/>
    <d v="2022-12-31T00:00:00"/>
    <s v="Natural gas"/>
    <n v="0"/>
    <s v="litres"/>
    <x v="1"/>
    <m/>
    <s v="2023-04-20, 23:05"/>
    <s v="2023-07-20, 00:40"/>
    <n v="2022"/>
    <s v="natural_gas"/>
    <s v="Natural Gas"/>
    <s v="model"/>
    <b v="0"/>
    <s v="NATURAL GAS, NATURAL GAS"/>
    <x v="2"/>
    <x v="0"/>
    <s v="Americas"/>
    <m/>
    <m/>
    <m/>
    <n v="0"/>
    <s v="CO2"/>
    <n v="0"/>
    <n v="5.4440000000000002E-2"/>
    <s v="SCF"/>
    <n v="3.5314720000000001E-2"/>
    <n v="0"/>
    <s v="AR4"/>
    <s v="USEPA"/>
    <s v="USEPA (2022)"/>
    <n v="2022"/>
    <n v="2022"/>
    <n v="0"/>
    <n v="0"/>
    <x v="18"/>
    <s v="Warehouse"/>
  </r>
  <r>
    <n v="237720"/>
    <s v="Top of Hierarchy &gt; North America &gt; Vantage_Tlalnepantla de Baz"/>
    <x v="1"/>
    <x v="0"/>
    <d v="2022-01-01T00:00:00"/>
    <d v="2022-12-31T00:00:00"/>
    <x v="3"/>
    <d v="2022-01-01T00:00:00"/>
    <d v="2022-12-31T00:00:00"/>
    <s v="Natural gas"/>
    <n v="0"/>
    <s v="litres"/>
    <x v="1"/>
    <m/>
    <s v="2023-04-20, 23:05"/>
    <s v="2023-07-20, 00:40"/>
    <n v="2022"/>
    <s v="natural_gas"/>
    <s v="Natural Gas"/>
    <s v="model"/>
    <b v="0"/>
    <s v="NATURAL GAS, NATURAL GAS"/>
    <x v="2"/>
    <x v="0"/>
    <s v="Americas"/>
    <m/>
    <m/>
    <m/>
    <n v="0"/>
    <s v="CO2E"/>
    <n v="0"/>
    <n v="5.4495549999999997E-2"/>
    <s v="SCF"/>
    <n v="3.5314720000000001E-2"/>
    <n v="0"/>
    <s v="AR4"/>
    <s v="USEPA"/>
    <s v="USEPA (2022)"/>
    <n v="2022"/>
    <n v="2022"/>
    <n v="0"/>
    <n v="0"/>
    <x v="18"/>
    <s v="Warehouse"/>
  </r>
  <r>
    <n v="237720"/>
    <s v="Top of Hierarchy &gt; North America &gt; Vantage_Tlalnepantla de Baz"/>
    <x v="1"/>
    <x v="0"/>
    <d v="2022-01-01T00:00:00"/>
    <d v="2022-12-31T00:00:00"/>
    <x v="3"/>
    <d v="2022-01-01T00:00:00"/>
    <d v="2022-12-31T00:00:00"/>
    <s v="Natural gas"/>
    <n v="0"/>
    <s v="litres"/>
    <x v="1"/>
    <m/>
    <s v="2023-04-20, 23:05"/>
    <s v="2023-07-20, 00:40"/>
    <n v="2022"/>
    <s v="natural_gas"/>
    <s v="Natural Gas"/>
    <s v="model"/>
    <b v="0"/>
    <s v="NATURAL GAS, NATURAL GAS"/>
    <x v="2"/>
    <x v="0"/>
    <s v="Americas"/>
    <m/>
    <m/>
    <m/>
    <n v="0"/>
    <s v="N2O"/>
    <n v="0"/>
    <n v="2.9799999999999999E-5"/>
    <s v="SCF"/>
    <n v="3.5314720000000001E-2"/>
    <n v="0"/>
    <s v="AR4"/>
    <s v="USEPA"/>
    <s v="USEPA (2022)"/>
    <n v="2022"/>
    <n v="2022"/>
    <n v="0"/>
    <n v="0"/>
    <x v="18"/>
    <s v="Warehouse"/>
  </r>
  <r>
    <n v="237720"/>
    <s v="Top of Hierarchy &gt; North America &gt; Vantage_Tlalnepantla de Baz"/>
    <x v="1"/>
    <x v="0"/>
    <d v="2022-01-01T00:00:00"/>
    <d v="2022-12-31T00:00:00"/>
    <x v="3"/>
    <d v="2022-01-01T00:00:00"/>
    <d v="2022-12-31T00:00:00"/>
    <s v="Natural gas"/>
    <n v="0"/>
    <s v="litres"/>
    <x v="1"/>
    <m/>
    <s v="2023-04-20, 23:05"/>
    <s v="2023-07-20, 00:40"/>
    <n v="2022"/>
    <s v="natural_gas"/>
    <s v="Natural Gas"/>
    <s v="model"/>
    <b v="0"/>
    <s v="NATURAL GAS, NATURAL GAS"/>
    <x v="2"/>
    <x v="0"/>
    <s v="Americas"/>
    <m/>
    <m/>
    <m/>
    <n v="1"/>
    <s v="CH4"/>
    <n v="0"/>
    <n v="2.5749999999999999E-5"/>
    <s v="SCF"/>
    <n v="3.5314720000000001E-2"/>
    <n v="0"/>
    <s v="AR4"/>
    <s v="USEPA"/>
    <s v="USEPA (2022)"/>
    <n v="2022"/>
    <n v="2022"/>
    <n v="0"/>
    <n v="0"/>
    <x v="18"/>
    <s v="Warehouse"/>
  </r>
  <r>
    <n v="237720"/>
    <s v="Top of Hierarchy &gt; North America &gt; Vantage_Tlalnepantla de Baz"/>
    <x v="1"/>
    <x v="0"/>
    <d v="2022-01-01T00:00:00"/>
    <d v="2022-12-31T00:00:00"/>
    <x v="3"/>
    <d v="2022-01-01T00:00:00"/>
    <d v="2022-12-31T00:00:00"/>
    <s v="Natural gas"/>
    <n v="0"/>
    <s v="litres"/>
    <x v="1"/>
    <m/>
    <s v="2023-04-20, 23:05"/>
    <s v="2023-07-20, 00:40"/>
    <n v="2022"/>
    <s v="natural_gas"/>
    <s v="Natural Gas"/>
    <s v="model"/>
    <b v="0"/>
    <s v="NATURAL GAS, NATURAL GAS"/>
    <x v="2"/>
    <x v="0"/>
    <s v="Americas"/>
    <m/>
    <m/>
    <m/>
    <n v="1"/>
    <s v="CO2"/>
    <n v="0"/>
    <n v="5.4440000000000002E-2"/>
    <s v="SCF"/>
    <n v="3.5314720000000001E-2"/>
    <n v="0"/>
    <s v="AR4"/>
    <s v="USEPA"/>
    <s v="USEPA (2022)"/>
    <n v="2022"/>
    <n v="2022"/>
    <n v="0"/>
    <n v="0"/>
    <x v="18"/>
    <s v="Warehouse"/>
  </r>
  <r>
    <n v="237720"/>
    <s v="Top of Hierarchy &gt; North America &gt; Vantage_Tlalnepantla de Baz"/>
    <x v="1"/>
    <x v="0"/>
    <d v="2022-01-01T00:00:00"/>
    <d v="2022-12-31T00:00:00"/>
    <x v="3"/>
    <d v="2022-01-01T00:00:00"/>
    <d v="2022-12-31T00:00:00"/>
    <s v="Natural gas"/>
    <n v="0"/>
    <s v="litres"/>
    <x v="1"/>
    <m/>
    <s v="2023-04-20, 23:05"/>
    <s v="2023-07-20, 00:40"/>
    <n v="2022"/>
    <s v="natural_gas"/>
    <s v="Natural Gas"/>
    <s v="model"/>
    <b v="0"/>
    <s v="NATURAL GAS, NATURAL GAS"/>
    <x v="2"/>
    <x v="0"/>
    <s v="Americas"/>
    <m/>
    <m/>
    <m/>
    <n v="1"/>
    <s v="CO2E"/>
    <n v="0"/>
    <n v="5.4495549999999997E-2"/>
    <s v="SCF"/>
    <n v="3.5314720000000001E-2"/>
    <n v="0"/>
    <s v="AR4"/>
    <s v="USEPA"/>
    <s v="USEPA (2022)"/>
    <n v="2022"/>
    <n v="2022"/>
    <n v="0"/>
    <n v="0"/>
    <x v="18"/>
    <s v="Warehouse"/>
  </r>
  <r>
    <n v="237720"/>
    <s v="Top of Hierarchy &gt; North America &gt; Vantage_Tlalnepantla de Baz"/>
    <x v="1"/>
    <x v="0"/>
    <d v="2022-01-01T00:00:00"/>
    <d v="2022-12-31T00:00:00"/>
    <x v="3"/>
    <d v="2022-01-01T00:00:00"/>
    <d v="2022-12-31T00:00:00"/>
    <s v="Natural gas"/>
    <n v="0"/>
    <s v="litres"/>
    <x v="1"/>
    <m/>
    <s v="2023-04-20, 23:05"/>
    <s v="2023-07-20, 00:40"/>
    <n v="2022"/>
    <s v="natural_gas"/>
    <s v="Natural Gas"/>
    <s v="model"/>
    <b v="0"/>
    <s v="NATURAL GAS, NATURAL GAS"/>
    <x v="2"/>
    <x v="0"/>
    <s v="Americas"/>
    <m/>
    <m/>
    <m/>
    <n v="1"/>
    <s v="N2O"/>
    <n v="0"/>
    <n v="2.9799999999999999E-5"/>
    <s v="SCF"/>
    <n v="3.5314720000000001E-2"/>
    <n v="0"/>
    <s v="AR4"/>
    <s v="USEPA"/>
    <s v="USEPA (2022)"/>
    <n v="2022"/>
    <n v="2022"/>
    <n v="0"/>
    <n v="0"/>
    <x v="18"/>
    <s v="Warehouse"/>
  </r>
  <r>
    <n v="237720"/>
    <s v="Top of Hierarchy &gt; North America &gt; Vantage_Tlalnepantla de Baz"/>
    <x v="1"/>
    <x v="0"/>
    <d v="2022-01-01T00:00:00"/>
    <d v="2022-12-31T00:00:00"/>
    <x v="3"/>
    <d v="2022-01-01T00:00:00"/>
    <d v="2022-12-31T00:00:00"/>
    <s v="Natural gas"/>
    <n v="0"/>
    <s v="litres"/>
    <x v="1"/>
    <m/>
    <s v="2023-04-20, 23:05"/>
    <s v="2023-07-20, 00:40"/>
    <n v="2022"/>
    <s v="natural_gas__wtt"/>
    <s v="Natural Gas WTT"/>
    <s v="wtt"/>
    <b v="0"/>
    <s v="WTT- FUELS; GASEOUS FUELS; NATURAL GAS"/>
    <x v="1"/>
    <x v="1"/>
    <m/>
    <m/>
    <m/>
    <m/>
    <n v="0"/>
    <s v="CO2E"/>
    <n v="0"/>
    <n v="0.34339999999999998"/>
    <s v="CUBIC METRES"/>
    <n v="1E-3"/>
    <n v="0"/>
    <s v="AR4"/>
    <s v="Defra"/>
    <s v="Defra (2022)"/>
    <n v="2022"/>
    <n v="2020"/>
    <n v="0"/>
    <n v="0"/>
    <x v="18"/>
    <s v="Warehouse"/>
  </r>
  <r>
    <n v="237720"/>
    <s v="Top of Hierarchy &gt; North America &gt; Vantage_Tlalnepantla de Baz"/>
    <x v="1"/>
    <x v="0"/>
    <d v="2022-01-01T00:00:00"/>
    <d v="2022-12-31T00:00:00"/>
    <x v="3"/>
    <d v="2022-01-01T00:00:00"/>
    <d v="2022-12-31T00:00:00"/>
    <s v="Natural gas"/>
    <n v="0"/>
    <s v="litres"/>
    <x v="1"/>
    <m/>
    <s v="2023-04-20, 23:05"/>
    <s v="2023-07-20, 00:40"/>
    <n v="2022"/>
    <s v="natural_gas__wtt"/>
    <s v="Natural Gas WTT"/>
    <s v="wtt"/>
    <b v="0"/>
    <s v="WTT- FUELS; GASEOUS FUELS; NATURAL GAS"/>
    <x v="1"/>
    <x v="1"/>
    <m/>
    <m/>
    <m/>
    <m/>
    <n v="1"/>
    <s v="CO2E"/>
    <n v="0"/>
    <n v="0.34339999999999998"/>
    <s v="CUBIC METRES"/>
    <n v="1E-3"/>
    <n v="0"/>
    <s v="AR4"/>
    <s v="Defra"/>
    <s v="Defra (2022)"/>
    <n v="2022"/>
    <n v="2020"/>
    <n v="0"/>
    <n v="0"/>
    <x v="18"/>
    <s v="Warehouse"/>
  </r>
  <r>
    <n v="237716"/>
    <s v="Top of Hierarchy &gt; North America &gt; Vantage_Tlalnepantla de Baz"/>
    <x v="1"/>
    <x v="0"/>
    <d v="2022-01-01T00:00:00"/>
    <d v="2022-12-31T00:00:00"/>
    <x v="4"/>
    <d v="2022-01-01T00:00:00"/>
    <d v="2022-12-31T00:00:00"/>
    <s v="R410A"/>
    <n v="0"/>
    <s v="grams"/>
    <x v="1"/>
    <s v="Unknown amount of refilled refrigerant, but I know it is R410A_x000a__x000a_Warehouse: Air-conditioning R410 A 220V_x000a_Office: (2) Air-conditioning R-410A 60HZ&quot;"/>
    <s v="2023-04-20, 22:32"/>
    <s v="2023-07-20, 00:40"/>
    <n v="2022"/>
    <s v="r410a"/>
    <s v="R410A"/>
    <s v="model"/>
    <b v="0"/>
    <s v="REFRIGERANT: R-410A"/>
    <x v="2"/>
    <x v="0"/>
    <m/>
    <m/>
    <m/>
    <m/>
    <n v="0"/>
    <s v="CO2E"/>
    <n v="0"/>
    <n v="2088"/>
    <s v="KG"/>
    <n v="1E-3"/>
    <n v="0"/>
    <s v="AR4"/>
    <s v="IPCC"/>
    <s v="IPCC (2021)"/>
    <n v="2022"/>
    <n v="2007"/>
    <n v="0"/>
    <n v="0"/>
    <x v="18"/>
    <s v="Warehouse"/>
  </r>
  <r>
    <n v="237716"/>
    <s v="Top of Hierarchy &gt; North America &gt; Vantage_Tlalnepantla de Baz"/>
    <x v="1"/>
    <x v="0"/>
    <d v="2022-01-01T00:00:00"/>
    <d v="2022-12-31T00:00:00"/>
    <x v="4"/>
    <d v="2022-01-01T00:00:00"/>
    <d v="2022-12-31T00:00:00"/>
    <s v="R410A"/>
    <n v="0"/>
    <s v="grams"/>
    <x v="1"/>
    <s v="Unknown amount of refilled refrigerant, but I know it is R410A_x000a__x000a_Warehouse: Air-conditioning R410 A 220V_x000a_Office: (2) Air-conditioning R-410A 60HZ&quot;"/>
    <s v="2023-04-20, 22:32"/>
    <s v="2023-07-20, 00:40"/>
    <n v="2022"/>
    <s v="r410a"/>
    <s v="R410A"/>
    <s v="model"/>
    <b v="0"/>
    <s v="REFRIGERANT: R-410A"/>
    <x v="2"/>
    <x v="0"/>
    <m/>
    <m/>
    <m/>
    <m/>
    <n v="1"/>
    <s v="CO2E"/>
    <n v="0"/>
    <n v="2088"/>
    <s v="KG"/>
    <n v="1E-3"/>
    <n v="0"/>
    <s v="AR4"/>
    <s v="IPCC"/>
    <s v="IPCC (2021)"/>
    <n v="2022"/>
    <n v="2007"/>
    <n v="0"/>
    <n v="0"/>
    <x v="18"/>
    <s v="Warehouse"/>
  </r>
  <r>
    <n v="1590438"/>
    <s v="Top of Hierarchy &gt; North America &gt; Vantage_Tlalnepantla de Baz"/>
    <x v="1"/>
    <x v="0"/>
    <d v="2022-01-01T00:00:00"/>
    <d v="2022-12-31T00:00:00"/>
    <x v="4"/>
    <d v="2022-01-01T00:00:00"/>
    <d v="2022-12-31T00:00:00"/>
    <s v="R-410A"/>
    <n v="30.07343243"/>
    <s v="kilograms"/>
    <x v="0"/>
    <s v="Unknown amount of refilled refrigerant, but I know it is R410A. Warehouse: Air-conditioning R410 A 220V. Office: (2) Air-conditioning R-410A 60HZ&quot; - ESTIMATED BY ANTHESIS"/>
    <s v="2023-07-25, 17:50"/>
    <s v="2023-07-25, 17:50"/>
    <n v="2022"/>
    <s v="r410a"/>
    <s v="R410A"/>
    <s v="model"/>
    <b v="0"/>
    <s v="REFRIGERANT: R-410A"/>
    <x v="2"/>
    <x v="0"/>
    <m/>
    <m/>
    <m/>
    <m/>
    <n v="0"/>
    <s v="CO2E"/>
    <n v="62793.326910000003"/>
    <n v="2088"/>
    <s v="KG"/>
    <n v="1"/>
    <n v="30.07343243"/>
    <s v="AR4"/>
    <s v="IPCC"/>
    <s v="IPCC (2021)"/>
    <n v="2022"/>
    <n v="2007"/>
    <n v="62.793326910000005"/>
    <n v="0"/>
    <x v="18"/>
    <s v="Warehouse"/>
  </r>
  <r>
    <n v="1590438"/>
    <s v="Top of Hierarchy &gt; North America &gt; Vantage_Tlalnepantla de Baz"/>
    <x v="1"/>
    <x v="0"/>
    <d v="2022-01-01T00:00:00"/>
    <d v="2022-12-31T00:00:00"/>
    <x v="4"/>
    <d v="2022-01-01T00:00:00"/>
    <d v="2022-12-31T00:00:00"/>
    <s v="R-410A"/>
    <n v="30.07343243"/>
    <s v="kilograms"/>
    <x v="0"/>
    <s v="Unknown amount of refilled refrigerant, but I know it is R410A. Warehouse: Air-conditioning R410 A 220V. Office: (2) Air-conditioning R-410A 60HZ&quot; - ESTIMATED BY ANTHESIS"/>
    <s v="2023-07-25, 17:50"/>
    <s v="2023-07-25, 17:50"/>
    <n v="2022"/>
    <s v="r410a"/>
    <s v="R410A"/>
    <s v="model"/>
    <b v="0"/>
    <s v="REFRIGERANT: R-410A"/>
    <x v="2"/>
    <x v="0"/>
    <m/>
    <m/>
    <m/>
    <m/>
    <n v="1"/>
    <s v="CO2E"/>
    <n v="62793.326910000003"/>
    <n v="2088"/>
    <s v="KG"/>
    <n v="1"/>
    <n v="30.07343243"/>
    <s v="AR4"/>
    <s v="IPCC"/>
    <s v="IPCC (2021)"/>
    <n v="2022"/>
    <n v="2007"/>
    <n v="0"/>
    <n v="62.793326910000005"/>
    <x v="18"/>
    <s v="Warehouse"/>
  </r>
  <r>
    <n v="4964"/>
    <s v="Top of Hierarchy &gt; North America &gt; Vantage_Tlalnepantla de Baz"/>
    <x v="1"/>
    <x v="1"/>
    <d v="2021-01-01T00:00:00"/>
    <d v="2021-12-31T00:00:00"/>
    <x v="0"/>
    <d v="2021-01-01T00:00:00"/>
    <d v="2021-12-31T00:00:00"/>
    <s v="Electricity (non-renewable)"/>
    <n v="10714"/>
    <s v="Kilowatt hours"/>
    <x v="1"/>
    <m/>
    <s v="2023-02-27, 16:27"/>
    <s v="2023-07-20, 00:40"/>
    <n v="2021"/>
    <s v="electricity"/>
    <s v="Electricity"/>
    <s v="model"/>
    <b v="0"/>
    <s v="ELECTRICITY; MEXICO"/>
    <x v="0"/>
    <x v="0"/>
    <s v="Americas"/>
    <s v="Latin America and the Caribbean"/>
    <s v="MX"/>
    <m/>
    <n v="0"/>
    <s v="CH4"/>
    <n v="3.2141999999999999"/>
    <s v="RESTRICTED"/>
    <s v="KWH"/>
    <n v="1"/>
    <n v="10714"/>
    <s v="AR4"/>
    <s v="IEA"/>
    <s v="IEA (2021)"/>
    <n v="2021"/>
    <n v="2019"/>
    <n v="0"/>
    <n v="0"/>
    <x v="18"/>
    <s v="Warehouse"/>
  </r>
  <r>
    <n v="4964"/>
    <s v="Top of Hierarchy &gt; North America &gt; Vantage_Tlalnepantla de Baz"/>
    <x v="1"/>
    <x v="1"/>
    <d v="2021-01-01T00:00:00"/>
    <d v="2021-12-31T00:00:00"/>
    <x v="0"/>
    <d v="2021-01-01T00:00:00"/>
    <d v="2021-12-31T00:00:00"/>
    <s v="Electricity (non-renewable)"/>
    <n v="10714"/>
    <s v="Kilowatt hours"/>
    <x v="1"/>
    <m/>
    <s v="2023-02-27, 16:27"/>
    <s v="2023-07-20, 00:40"/>
    <n v="2021"/>
    <s v="electricity"/>
    <s v="Electricity"/>
    <s v="model"/>
    <b v="0"/>
    <s v="ELECTRICITY; MEXICO"/>
    <x v="0"/>
    <x v="0"/>
    <s v="Americas"/>
    <s v="Latin America and the Caribbean"/>
    <s v="MX"/>
    <m/>
    <n v="0"/>
    <s v="CO2"/>
    <n v="4248.1009999999997"/>
    <s v="RESTRICTED"/>
    <s v="KWH"/>
    <n v="1"/>
    <n v="10714"/>
    <s v="AR4"/>
    <s v="IEA"/>
    <s v="IEA (2021)"/>
    <n v="2021"/>
    <n v="2019"/>
    <n v="0"/>
    <n v="0"/>
    <x v="18"/>
    <s v="Warehouse"/>
  </r>
  <r>
    <n v="4964"/>
    <s v="Top of Hierarchy &gt; North America &gt; Vantage_Tlalnepantla de Baz"/>
    <x v="1"/>
    <x v="1"/>
    <d v="2021-01-01T00:00:00"/>
    <d v="2021-12-31T00:00:00"/>
    <x v="0"/>
    <d v="2021-01-01T00:00:00"/>
    <d v="2021-12-31T00:00:00"/>
    <s v="Electricity (non-renewable)"/>
    <n v="10714"/>
    <s v="Kilowatt hours"/>
    <x v="1"/>
    <m/>
    <s v="2023-02-27, 16:27"/>
    <s v="2023-07-20, 00:40"/>
    <n v="2021"/>
    <s v="electricity"/>
    <s v="Electricity"/>
    <s v="model"/>
    <b v="0"/>
    <s v="ELECTRICITY; MEXICO"/>
    <x v="0"/>
    <x v="0"/>
    <s v="Americas"/>
    <s v="Latin America and the Caribbean"/>
    <s v="MX"/>
    <m/>
    <n v="0"/>
    <s v="CO2E"/>
    <n v="4260.9578000000001"/>
    <s v="RESTRICTED"/>
    <s v="KWH"/>
    <n v="1"/>
    <n v="10714"/>
    <s v="AR4"/>
    <s v="IEA"/>
    <s v="IEA (2021)"/>
    <n v="2021"/>
    <n v="2019"/>
    <n v="4.2609577999999999"/>
    <n v="0"/>
    <x v="18"/>
    <s v="Warehouse"/>
  </r>
  <r>
    <n v="4964"/>
    <s v="Top of Hierarchy &gt; North America &gt; Vantage_Tlalnepantla de Baz"/>
    <x v="1"/>
    <x v="1"/>
    <d v="2021-01-01T00:00:00"/>
    <d v="2021-12-31T00:00:00"/>
    <x v="0"/>
    <d v="2021-01-01T00:00:00"/>
    <d v="2021-12-31T00:00:00"/>
    <s v="Electricity (non-renewable)"/>
    <n v="10714"/>
    <s v="Kilowatt hours"/>
    <x v="1"/>
    <m/>
    <s v="2023-02-27, 16:27"/>
    <s v="2023-07-20, 00:40"/>
    <n v="2021"/>
    <s v="electricity"/>
    <s v="Electricity"/>
    <s v="model"/>
    <b v="0"/>
    <s v="ELECTRICITY; MEXICO"/>
    <x v="0"/>
    <x v="0"/>
    <s v="Americas"/>
    <s v="Latin America and the Caribbean"/>
    <s v="MX"/>
    <m/>
    <n v="0"/>
    <s v="N2O"/>
    <n v="9.6425999999999998"/>
    <s v="RESTRICTED"/>
    <s v="KWH"/>
    <n v="1"/>
    <n v="10714"/>
    <s v="AR4"/>
    <s v="IEA"/>
    <s v="IEA (2021)"/>
    <n v="2021"/>
    <n v="2019"/>
    <n v="0"/>
    <n v="0"/>
    <x v="18"/>
    <s v="Warehouse"/>
  </r>
  <r>
    <n v="4964"/>
    <s v="Top of Hierarchy &gt; North America &gt; Vantage_Tlalnepantla de Baz"/>
    <x v="1"/>
    <x v="1"/>
    <d v="2021-01-01T00:00:00"/>
    <d v="2021-12-31T00:00:00"/>
    <x v="0"/>
    <d v="2021-01-01T00:00:00"/>
    <d v="2021-12-31T00:00:00"/>
    <s v="Electricity (non-renewable)"/>
    <n v="10714"/>
    <s v="Kilowatt hours"/>
    <x v="1"/>
    <m/>
    <s v="2023-02-27, 16:27"/>
    <s v="2023-07-20, 00:40"/>
    <n v="2021"/>
    <s v="electricity"/>
    <s v="Electricity"/>
    <s v="model"/>
    <b v="0"/>
    <s v="ELECTRICITY; MEXICO"/>
    <x v="0"/>
    <x v="0"/>
    <s v="Americas"/>
    <s v="Latin America and the Caribbean"/>
    <s v="MX"/>
    <m/>
    <n v="1"/>
    <s v="CH4"/>
    <n v="3.2141999999999999"/>
    <s v="RESTRICTED"/>
    <s v="KWH"/>
    <n v="1"/>
    <n v="10714"/>
    <s v="AR4"/>
    <s v="IEA"/>
    <s v="IEA (2021)"/>
    <n v="2021"/>
    <n v="2019"/>
    <n v="0"/>
    <n v="0"/>
    <x v="18"/>
    <s v="Warehouse"/>
  </r>
  <r>
    <n v="4964"/>
    <s v="Top of Hierarchy &gt; North America &gt; Vantage_Tlalnepantla de Baz"/>
    <x v="1"/>
    <x v="1"/>
    <d v="2021-01-01T00:00:00"/>
    <d v="2021-12-31T00:00:00"/>
    <x v="0"/>
    <d v="2021-01-01T00:00:00"/>
    <d v="2021-12-31T00:00:00"/>
    <s v="Electricity (non-renewable)"/>
    <n v="10714"/>
    <s v="Kilowatt hours"/>
    <x v="1"/>
    <m/>
    <s v="2023-02-27, 16:27"/>
    <s v="2023-07-20, 00:40"/>
    <n v="2021"/>
    <s v="electricity"/>
    <s v="Electricity"/>
    <s v="model"/>
    <b v="0"/>
    <s v="ELECTRICITY; MEXICO"/>
    <x v="0"/>
    <x v="0"/>
    <s v="Americas"/>
    <s v="Latin America and the Caribbean"/>
    <s v="MX"/>
    <m/>
    <n v="1"/>
    <s v="CO2"/>
    <n v="4248.1009999999997"/>
    <s v="RESTRICTED"/>
    <s v="KWH"/>
    <n v="1"/>
    <n v="10714"/>
    <s v="AR4"/>
    <s v="IEA"/>
    <s v="IEA (2021)"/>
    <n v="2021"/>
    <n v="2019"/>
    <n v="0"/>
    <n v="0"/>
    <x v="18"/>
    <s v="Warehouse"/>
  </r>
  <r>
    <n v="4964"/>
    <s v="Top of Hierarchy &gt; North America &gt; Vantage_Tlalnepantla de Baz"/>
    <x v="1"/>
    <x v="1"/>
    <d v="2021-01-01T00:00:00"/>
    <d v="2021-12-31T00:00:00"/>
    <x v="0"/>
    <d v="2021-01-01T00:00:00"/>
    <d v="2021-12-31T00:00:00"/>
    <s v="Electricity (non-renewable)"/>
    <n v="10714"/>
    <s v="Kilowatt hours"/>
    <x v="1"/>
    <m/>
    <s v="2023-02-27, 16:27"/>
    <s v="2023-07-20, 00:40"/>
    <n v="2021"/>
    <s v="electricity"/>
    <s v="Electricity"/>
    <s v="model"/>
    <b v="0"/>
    <s v="ELECTRICITY; MEXICO"/>
    <x v="0"/>
    <x v="0"/>
    <s v="Americas"/>
    <s v="Latin America and the Caribbean"/>
    <s v="MX"/>
    <m/>
    <n v="1"/>
    <s v="CO2E"/>
    <n v="4260.9578000000001"/>
    <s v="RESTRICTED"/>
    <s v="KWH"/>
    <n v="1"/>
    <n v="10714"/>
    <s v="AR4"/>
    <s v="IEA"/>
    <s v="IEA (2021)"/>
    <n v="2021"/>
    <n v="2019"/>
    <n v="0"/>
    <n v="4.2609577999999999"/>
    <x v="18"/>
    <s v="Warehouse"/>
  </r>
  <r>
    <n v="4964"/>
    <s v="Top of Hierarchy &gt; North America &gt; Vantage_Tlalnepantla de Baz"/>
    <x v="1"/>
    <x v="1"/>
    <d v="2021-01-01T00:00:00"/>
    <d v="2021-12-31T00:00:00"/>
    <x v="0"/>
    <d v="2021-01-01T00:00:00"/>
    <d v="2021-12-31T00:00:00"/>
    <s v="Electricity (non-renewable)"/>
    <n v="10714"/>
    <s v="Kilowatt hours"/>
    <x v="1"/>
    <m/>
    <s v="2023-02-27, 16:27"/>
    <s v="2023-07-20, 00:40"/>
    <n v="2021"/>
    <s v="electricity"/>
    <s v="Electricity"/>
    <s v="model"/>
    <b v="0"/>
    <s v="ELECTRICITY; MEXICO"/>
    <x v="0"/>
    <x v="0"/>
    <s v="Americas"/>
    <s v="Latin America and the Caribbean"/>
    <s v="MX"/>
    <m/>
    <n v="1"/>
    <s v="N2O"/>
    <n v="9.6425999999999998"/>
    <s v="RESTRICTED"/>
    <s v="KWH"/>
    <n v="1"/>
    <n v="10714"/>
    <s v="AR4"/>
    <s v="IEA"/>
    <s v="IEA (2021)"/>
    <n v="2021"/>
    <n v="2019"/>
    <n v="0"/>
    <n v="0"/>
    <x v="18"/>
    <s v="Warehouse"/>
  </r>
  <r>
    <n v="4964"/>
    <s v="Top of Hierarchy &gt; North America &gt; Vantage_Tlalnepantla de Baz"/>
    <x v="1"/>
    <x v="1"/>
    <d v="2021-01-01T00:00:00"/>
    <d v="2021-12-31T00:00:00"/>
    <x v="0"/>
    <d v="2021-01-01T00:00:00"/>
    <d v="2021-12-31T00:00:00"/>
    <s v="Electricity (non-renewable)"/>
    <n v="10714"/>
    <s v="Kilowatt hours"/>
    <x v="1"/>
    <m/>
    <s v="2023-02-27, 16:27"/>
    <s v="2023-07-20, 00:40"/>
    <n v="2021"/>
    <s v="electricity__t+d__wtt"/>
    <s v="Electricity T&amp;D WTT"/>
    <s v="t+d_wtt"/>
    <b v="0"/>
    <s v="WTT- UK &amp; OVERSEAS ELEC; WTT- OVERSEAS ELECTRICITY (T&amp;D); ELECTRICITY: MEXICO"/>
    <x v="1"/>
    <x v="1"/>
    <s v="Americas"/>
    <s v="Latin America and the Caribbean"/>
    <s v="MX"/>
    <m/>
    <n v="0"/>
    <s v="CO2E"/>
    <n v="175.48580670000001"/>
    <n v="1.6379112000000001E-2"/>
    <s v="KWH"/>
    <n v="1"/>
    <n v="10714"/>
    <s v="AR4"/>
    <s v="Defra"/>
    <s v="Defra (2021)"/>
    <n v="2021"/>
    <n v="2019"/>
    <n v="0.17548580670000002"/>
    <n v="0"/>
    <x v="18"/>
    <s v="Warehouse"/>
  </r>
  <r>
    <n v="4964"/>
    <s v="Top of Hierarchy &gt; North America &gt; Vantage_Tlalnepantla de Baz"/>
    <x v="1"/>
    <x v="1"/>
    <d v="2021-01-01T00:00:00"/>
    <d v="2021-12-31T00:00:00"/>
    <x v="0"/>
    <d v="2021-01-01T00:00:00"/>
    <d v="2021-12-31T00:00:00"/>
    <s v="Electricity (non-renewable)"/>
    <n v="10714"/>
    <s v="Kilowatt hours"/>
    <x v="1"/>
    <m/>
    <s v="2023-02-27, 16:27"/>
    <s v="2023-07-20, 00:40"/>
    <n v="2021"/>
    <s v="electricity__t+d__wtt"/>
    <s v="Electricity T&amp;D WTT"/>
    <s v="t+d_wtt"/>
    <b v="0"/>
    <s v="WTT- UK &amp; OVERSEAS ELEC; WTT- OVERSEAS ELECTRICITY (T&amp;D); ELECTRICITY: MEXICO"/>
    <x v="1"/>
    <x v="1"/>
    <s v="Americas"/>
    <s v="Latin America and the Caribbean"/>
    <s v="MX"/>
    <m/>
    <n v="1"/>
    <s v="CO2E"/>
    <n v="175.48580670000001"/>
    <n v="1.6379112000000001E-2"/>
    <s v="KWH"/>
    <n v="1"/>
    <n v="10714"/>
    <s v="AR4"/>
    <s v="Defra"/>
    <s v="Defra (2021)"/>
    <n v="2021"/>
    <n v="2019"/>
    <n v="0"/>
    <n v="0.17548580670000002"/>
    <x v="18"/>
    <s v="Warehouse"/>
  </r>
  <r>
    <n v="4964"/>
    <s v="Top of Hierarchy &gt; North America &gt; Vantage_Tlalnepantla de Baz"/>
    <x v="1"/>
    <x v="1"/>
    <d v="2021-01-01T00:00:00"/>
    <d v="2021-12-31T00:00:00"/>
    <x v="0"/>
    <d v="2021-01-01T00:00:00"/>
    <d v="2021-12-31T00:00:00"/>
    <s v="Electricity (non-renewable)"/>
    <n v="10714"/>
    <s v="Kilowatt hours"/>
    <x v="1"/>
    <m/>
    <s v="2023-02-27, 16:27"/>
    <s v="2023-07-20, 00:40"/>
    <n v="2021"/>
    <s v="electricity__wtt"/>
    <s v="Electricity WTT"/>
    <s v="wtt"/>
    <b v="0"/>
    <s v="WTT- UK &amp; OVERSEAS ELEC; WTT- OVERSEAS ELECTRICITY (GENERATION); ELECTRICITY: MEXICO"/>
    <x v="1"/>
    <x v="1"/>
    <s v="Americas"/>
    <s v="Latin America and the Caribbean"/>
    <s v="MX"/>
    <m/>
    <n v="0"/>
    <s v="CO2E"/>
    <n v="1059.528548"/>
    <n v="9.8891967999999997E-2"/>
    <s v="KWH"/>
    <n v="1"/>
    <n v="10714"/>
    <s v="AR4"/>
    <s v="Defra"/>
    <s v="Defra (2021)"/>
    <n v="2021"/>
    <n v="2019"/>
    <n v="1.0595285480000001"/>
    <n v="0"/>
    <x v="18"/>
    <s v="Warehouse"/>
  </r>
  <r>
    <n v="4964"/>
    <s v="Top of Hierarchy &gt; North America &gt; Vantage_Tlalnepantla de Baz"/>
    <x v="1"/>
    <x v="1"/>
    <d v="2021-01-01T00:00:00"/>
    <d v="2021-12-31T00:00:00"/>
    <x v="0"/>
    <d v="2021-01-01T00:00:00"/>
    <d v="2021-12-31T00:00:00"/>
    <s v="Electricity (non-renewable)"/>
    <n v="10714"/>
    <s v="Kilowatt hours"/>
    <x v="1"/>
    <m/>
    <s v="2023-02-27, 16:27"/>
    <s v="2023-07-20, 00:40"/>
    <n v="2021"/>
    <s v="electricity__wtt"/>
    <s v="Electricity WTT"/>
    <s v="wtt"/>
    <b v="0"/>
    <s v="WTT- UK &amp; OVERSEAS ELEC; WTT- OVERSEAS ELECTRICITY (GENERATION); ELECTRICITY: MEXICO"/>
    <x v="1"/>
    <x v="1"/>
    <s v="Americas"/>
    <s v="Latin America and the Caribbean"/>
    <s v="MX"/>
    <m/>
    <n v="1"/>
    <s v="CO2E"/>
    <n v="1059.528548"/>
    <n v="9.8891967999999997E-2"/>
    <s v="KWH"/>
    <n v="1"/>
    <n v="10714"/>
    <s v="AR4"/>
    <s v="Defra"/>
    <s v="Defra (2021)"/>
    <n v="2021"/>
    <n v="2019"/>
    <n v="0"/>
    <n v="1.0595285480000001"/>
    <x v="18"/>
    <s v="Warehouse"/>
  </r>
  <r>
    <n v="4964"/>
    <s v="Top of Hierarchy &gt; North America &gt; Vantage_Tlalnepantla de Baz"/>
    <x v="1"/>
    <x v="1"/>
    <d v="2021-01-01T00:00:00"/>
    <d v="2021-12-31T00:00:00"/>
    <x v="0"/>
    <d v="2021-01-01T00:00:00"/>
    <d v="2021-12-31T00:00:00"/>
    <s v="Electricity (non-renewable)"/>
    <n v="10714"/>
    <s v="Kilowatt hours"/>
    <x v="1"/>
    <m/>
    <s v="2023-02-27, 16:27"/>
    <s v="2023-07-20, 00:40"/>
    <n v="2021"/>
    <s v="electricity__t+d"/>
    <s v="Electricity T&amp;D"/>
    <s v="t+d"/>
    <b v="0"/>
    <s v="ELECTRICITY; TRANSMISSION AND DISTRIBUTION; MEXICO"/>
    <x v="1"/>
    <x v="1"/>
    <s v="Americas"/>
    <s v="Latin America and the Caribbean"/>
    <s v="MX"/>
    <m/>
    <n v="0"/>
    <s v="CO2E"/>
    <n v="508.91500000000002"/>
    <s v="RESTRICTED"/>
    <s v="KWH"/>
    <n v="1"/>
    <n v="10714"/>
    <s v="AR4"/>
    <s v="IEA"/>
    <s v="IEA (2021)"/>
    <n v="2021"/>
    <n v="2019"/>
    <n v="0.50891500000000001"/>
    <n v="0"/>
    <x v="18"/>
    <s v="Warehouse"/>
  </r>
  <r>
    <n v="4964"/>
    <s v="Top of Hierarchy &gt; North America &gt; Vantage_Tlalnepantla de Baz"/>
    <x v="1"/>
    <x v="1"/>
    <d v="2021-01-01T00:00:00"/>
    <d v="2021-12-31T00:00:00"/>
    <x v="0"/>
    <d v="2021-01-01T00:00:00"/>
    <d v="2021-12-31T00:00:00"/>
    <s v="Electricity (non-renewable)"/>
    <n v="10714"/>
    <s v="Kilowatt hours"/>
    <x v="1"/>
    <m/>
    <s v="2023-02-27, 16:27"/>
    <s v="2023-07-20, 00:40"/>
    <n v="2021"/>
    <s v="electricity__t+d"/>
    <s v="Electricity T&amp;D"/>
    <s v="t+d"/>
    <b v="0"/>
    <s v="ELECTRICITY; TRANSMISSION AND DISTRIBUTION; MEXICO"/>
    <x v="1"/>
    <x v="1"/>
    <s v="Americas"/>
    <s v="Latin America and the Caribbean"/>
    <s v="MX"/>
    <m/>
    <n v="1"/>
    <s v="CO2E"/>
    <n v="508.91500000000002"/>
    <s v="RESTRICTED"/>
    <s v="KWH"/>
    <n v="1"/>
    <n v="10714"/>
    <s v="AR4"/>
    <s v="IEA"/>
    <s v="IEA (2021)"/>
    <n v="2021"/>
    <n v="2019"/>
    <n v="0"/>
    <n v="0.50891500000000001"/>
    <x v="18"/>
    <s v="Warehouse"/>
  </r>
  <r>
    <n v="4989"/>
    <s v="Top of Hierarchy &gt; North America &gt; Vantage_Tlalnepantla de Baz"/>
    <x v="1"/>
    <x v="1"/>
    <d v="2021-01-01T00:00:00"/>
    <d v="2021-12-31T00:00:00"/>
    <x v="3"/>
    <d v="2021-01-01T00:00:00"/>
    <d v="2021-12-31T00:00:00"/>
    <s v="Natural gas"/>
    <n v="0"/>
    <s v="British Thermal Units"/>
    <x v="0"/>
    <m/>
    <s v="2023-02-27, 16:27"/>
    <s v="2023-07-20, 00:40"/>
    <n v="2021"/>
    <s v="natural_gas"/>
    <s v="Natural Gas"/>
    <s v="model"/>
    <b v="0"/>
    <s v="NATURAL GAS, NATURAL GAS"/>
    <x v="2"/>
    <x v="0"/>
    <s v="Americas"/>
    <m/>
    <m/>
    <m/>
    <n v="0"/>
    <s v="CH4"/>
    <n v="0"/>
    <n v="2.5000000000000001E-2"/>
    <s v="MMBTU"/>
    <n v="9.9999999999999995E-7"/>
    <n v="0"/>
    <s v="AR4"/>
    <s v="USEPA"/>
    <s v="USEPA (2021)"/>
    <n v="2021"/>
    <n v="2021"/>
    <n v="0"/>
    <n v="0"/>
    <x v="18"/>
    <s v="Warehouse"/>
  </r>
  <r>
    <n v="4989"/>
    <s v="Top of Hierarchy &gt; North America &gt; Vantage_Tlalnepantla de Baz"/>
    <x v="1"/>
    <x v="1"/>
    <d v="2021-01-01T00:00:00"/>
    <d v="2021-12-31T00:00:00"/>
    <x v="3"/>
    <d v="2021-01-01T00:00:00"/>
    <d v="2021-12-31T00:00:00"/>
    <s v="Natural gas"/>
    <n v="0"/>
    <s v="British Thermal Units"/>
    <x v="0"/>
    <m/>
    <s v="2023-02-27, 16:27"/>
    <s v="2023-07-20, 00:40"/>
    <n v="2021"/>
    <s v="natural_gas"/>
    <s v="Natural Gas"/>
    <s v="model"/>
    <b v="0"/>
    <s v="NATURAL GAS, NATURAL GAS"/>
    <x v="2"/>
    <x v="0"/>
    <s v="Americas"/>
    <m/>
    <m/>
    <m/>
    <n v="0"/>
    <s v="CO2"/>
    <n v="0"/>
    <n v="53.06"/>
    <s v="MMBTU"/>
    <n v="9.9999999999999995E-7"/>
    <n v="0"/>
    <s v="AR4"/>
    <s v="USEPA"/>
    <s v="USEPA Emission Factors Hub (Last Modified: March 2020)"/>
    <n v="2021"/>
    <n v="2020"/>
    <n v="0"/>
    <n v="0"/>
    <x v="18"/>
    <s v="Warehouse"/>
  </r>
  <r>
    <n v="4989"/>
    <s v="Top of Hierarchy &gt; North America &gt; Vantage_Tlalnepantla de Baz"/>
    <x v="1"/>
    <x v="1"/>
    <d v="2021-01-01T00:00:00"/>
    <d v="2021-12-31T00:00:00"/>
    <x v="3"/>
    <d v="2021-01-01T00:00:00"/>
    <d v="2021-12-31T00:00:00"/>
    <s v="Natural gas"/>
    <n v="0"/>
    <s v="British Thermal Units"/>
    <x v="0"/>
    <m/>
    <s v="2023-02-27, 16:27"/>
    <s v="2023-07-20, 00:40"/>
    <n v="2021"/>
    <s v="natural_gas"/>
    <s v="Natural Gas"/>
    <s v="model"/>
    <b v="0"/>
    <s v="NATURAL GAS, NATURAL GAS"/>
    <x v="2"/>
    <x v="0"/>
    <s v="Americas"/>
    <m/>
    <m/>
    <m/>
    <n v="0"/>
    <s v="CO2E"/>
    <n v="0"/>
    <n v="53.114800000000002"/>
    <s v="MMBTU"/>
    <n v="9.9999999999999995E-7"/>
    <n v="0"/>
    <s v="AR4"/>
    <s v="USEPA"/>
    <s v="USEPA (2021)"/>
    <n v="2021"/>
    <n v="2021"/>
    <n v="0"/>
    <n v="0"/>
    <x v="18"/>
    <s v="Warehouse"/>
  </r>
  <r>
    <n v="4989"/>
    <s v="Top of Hierarchy &gt; North America &gt; Vantage_Tlalnepantla de Baz"/>
    <x v="1"/>
    <x v="1"/>
    <d v="2021-01-01T00:00:00"/>
    <d v="2021-12-31T00:00:00"/>
    <x v="3"/>
    <d v="2021-01-01T00:00:00"/>
    <d v="2021-12-31T00:00:00"/>
    <s v="Natural gas"/>
    <n v="0"/>
    <s v="British Thermal Units"/>
    <x v="0"/>
    <m/>
    <s v="2023-02-27, 16:27"/>
    <s v="2023-07-20, 00:40"/>
    <n v="2021"/>
    <s v="natural_gas"/>
    <s v="Natural Gas"/>
    <s v="model"/>
    <b v="0"/>
    <s v="NATURAL GAS, NATURAL GAS"/>
    <x v="2"/>
    <x v="0"/>
    <s v="Americas"/>
    <m/>
    <m/>
    <m/>
    <n v="0"/>
    <s v="N2O"/>
    <n v="0"/>
    <n v="2.98E-2"/>
    <s v="MMBTU"/>
    <n v="9.9999999999999995E-7"/>
    <n v="0"/>
    <s v="AR4"/>
    <s v="USEPA"/>
    <s v="USEPA (2021)"/>
    <n v="2021"/>
    <n v="2021"/>
    <n v="0"/>
    <n v="0"/>
    <x v="18"/>
    <s v="Warehouse"/>
  </r>
  <r>
    <n v="4989"/>
    <s v="Top of Hierarchy &gt; North America &gt; Vantage_Tlalnepantla de Baz"/>
    <x v="1"/>
    <x v="1"/>
    <d v="2021-01-01T00:00:00"/>
    <d v="2021-12-31T00:00:00"/>
    <x v="3"/>
    <d v="2021-01-01T00:00:00"/>
    <d v="2021-12-31T00:00:00"/>
    <s v="Natural gas"/>
    <n v="0"/>
    <s v="British Thermal Units"/>
    <x v="0"/>
    <m/>
    <s v="2023-02-27, 16:27"/>
    <s v="2023-07-20, 00:40"/>
    <n v="2021"/>
    <s v="natural_gas"/>
    <s v="Natural Gas"/>
    <s v="model"/>
    <b v="0"/>
    <s v="NATURAL GAS, NATURAL GAS"/>
    <x v="2"/>
    <x v="0"/>
    <s v="Americas"/>
    <m/>
    <m/>
    <m/>
    <n v="1"/>
    <s v="CH4"/>
    <n v="0"/>
    <n v="2.5000000000000001E-2"/>
    <s v="MMBTU"/>
    <n v="9.9999999999999995E-7"/>
    <n v="0"/>
    <s v="AR4"/>
    <s v="USEPA"/>
    <s v="USEPA (2021)"/>
    <n v="2021"/>
    <n v="2021"/>
    <n v="0"/>
    <n v="0"/>
    <x v="18"/>
    <s v="Warehouse"/>
  </r>
  <r>
    <n v="4989"/>
    <s v="Top of Hierarchy &gt; North America &gt; Vantage_Tlalnepantla de Baz"/>
    <x v="1"/>
    <x v="1"/>
    <d v="2021-01-01T00:00:00"/>
    <d v="2021-12-31T00:00:00"/>
    <x v="3"/>
    <d v="2021-01-01T00:00:00"/>
    <d v="2021-12-31T00:00:00"/>
    <s v="Natural gas"/>
    <n v="0"/>
    <s v="British Thermal Units"/>
    <x v="0"/>
    <m/>
    <s v="2023-02-27, 16:27"/>
    <s v="2023-07-20, 00:40"/>
    <n v="2021"/>
    <s v="natural_gas"/>
    <s v="Natural Gas"/>
    <s v="model"/>
    <b v="0"/>
    <s v="NATURAL GAS, NATURAL GAS"/>
    <x v="2"/>
    <x v="0"/>
    <s v="Americas"/>
    <m/>
    <m/>
    <m/>
    <n v="1"/>
    <s v="CO2"/>
    <n v="0"/>
    <n v="53.06"/>
    <s v="MMBTU"/>
    <n v="9.9999999999999995E-7"/>
    <n v="0"/>
    <s v="AR4"/>
    <s v="USEPA"/>
    <s v="USEPA Emission Factors Hub (Last Modified: March 2020)"/>
    <n v="2021"/>
    <n v="2020"/>
    <n v="0"/>
    <n v="0"/>
    <x v="18"/>
    <s v="Warehouse"/>
  </r>
  <r>
    <n v="4989"/>
    <s v="Top of Hierarchy &gt; North America &gt; Vantage_Tlalnepantla de Baz"/>
    <x v="1"/>
    <x v="1"/>
    <d v="2021-01-01T00:00:00"/>
    <d v="2021-12-31T00:00:00"/>
    <x v="3"/>
    <d v="2021-01-01T00:00:00"/>
    <d v="2021-12-31T00:00:00"/>
    <s v="Natural gas"/>
    <n v="0"/>
    <s v="British Thermal Units"/>
    <x v="0"/>
    <m/>
    <s v="2023-02-27, 16:27"/>
    <s v="2023-07-20, 00:40"/>
    <n v="2021"/>
    <s v="natural_gas"/>
    <s v="Natural Gas"/>
    <s v="model"/>
    <b v="0"/>
    <s v="NATURAL GAS, NATURAL GAS"/>
    <x v="2"/>
    <x v="0"/>
    <s v="Americas"/>
    <m/>
    <m/>
    <m/>
    <n v="1"/>
    <s v="CO2E"/>
    <n v="0"/>
    <n v="53.114800000000002"/>
    <s v="MMBTU"/>
    <n v="9.9999999999999995E-7"/>
    <n v="0"/>
    <s v="AR4"/>
    <s v="USEPA"/>
    <s v="USEPA (2021)"/>
    <n v="2021"/>
    <n v="2021"/>
    <n v="0"/>
    <n v="0"/>
    <x v="18"/>
    <s v="Warehouse"/>
  </r>
  <r>
    <n v="4989"/>
    <s v="Top of Hierarchy &gt; North America &gt; Vantage_Tlalnepantla de Baz"/>
    <x v="1"/>
    <x v="1"/>
    <d v="2021-01-01T00:00:00"/>
    <d v="2021-12-31T00:00:00"/>
    <x v="3"/>
    <d v="2021-01-01T00:00:00"/>
    <d v="2021-12-31T00:00:00"/>
    <s v="Natural gas"/>
    <n v="0"/>
    <s v="British Thermal Units"/>
    <x v="0"/>
    <m/>
    <s v="2023-02-27, 16:27"/>
    <s v="2023-07-20, 00:40"/>
    <n v="2021"/>
    <s v="natural_gas"/>
    <s v="Natural Gas"/>
    <s v="model"/>
    <b v="0"/>
    <s v="NATURAL GAS, NATURAL GAS"/>
    <x v="2"/>
    <x v="0"/>
    <s v="Americas"/>
    <m/>
    <m/>
    <m/>
    <n v="1"/>
    <s v="N2O"/>
    <n v="0"/>
    <n v="2.98E-2"/>
    <s v="MMBTU"/>
    <n v="9.9999999999999995E-7"/>
    <n v="0"/>
    <s v="AR4"/>
    <s v="USEPA"/>
    <s v="USEPA (2021)"/>
    <n v="2021"/>
    <n v="2021"/>
    <n v="0"/>
    <n v="0"/>
    <x v="18"/>
    <s v="Warehouse"/>
  </r>
  <r>
    <n v="4989"/>
    <s v="Top of Hierarchy &gt; North America &gt; Vantage_Tlalnepantla de Baz"/>
    <x v="1"/>
    <x v="1"/>
    <d v="2021-01-01T00:00:00"/>
    <d v="2021-12-31T00:00:00"/>
    <x v="3"/>
    <d v="2021-01-01T00:00:00"/>
    <d v="2021-12-31T00:00:00"/>
    <s v="Natural gas"/>
    <n v="0"/>
    <s v="British Thermal Units"/>
    <x v="0"/>
    <m/>
    <s v="2023-02-27, 16:27"/>
    <s v="2023-07-20, 00:40"/>
    <n v="2021"/>
    <s v="natural_gas__wtt"/>
    <s v="Natural Gas WTT"/>
    <s v="wtt"/>
    <b v="0"/>
    <s v="WTT- FUELS; WTT- GASEOUS FUELS; NATURAL GAS"/>
    <x v="1"/>
    <x v="1"/>
    <m/>
    <m/>
    <m/>
    <m/>
    <n v="0"/>
    <s v="CO2E"/>
    <n v="0"/>
    <n v="3.1350000000000003E-2"/>
    <s v="KWH (GROSS CV)"/>
    <n v="2.9306999999999998E-4"/>
    <n v="0"/>
    <s v="AR4"/>
    <s v="Defra"/>
    <s v="Defra (2021)"/>
    <n v="2021"/>
    <n v="2019"/>
    <n v="0"/>
    <n v="0"/>
    <x v="18"/>
    <s v="Warehouse"/>
  </r>
  <r>
    <n v="4989"/>
    <s v="Top of Hierarchy &gt; North America &gt; Vantage_Tlalnepantla de Baz"/>
    <x v="1"/>
    <x v="1"/>
    <d v="2021-01-01T00:00:00"/>
    <d v="2021-12-31T00:00:00"/>
    <x v="3"/>
    <d v="2021-01-01T00:00:00"/>
    <d v="2021-12-31T00:00:00"/>
    <s v="Natural gas"/>
    <n v="0"/>
    <s v="British Thermal Units"/>
    <x v="0"/>
    <m/>
    <s v="2023-02-27, 16:27"/>
    <s v="2023-07-20, 00:40"/>
    <n v="2021"/>
    <s v="natural_gas__wtt"/>
    <s v="Natural Gas WTT"/>
    <s v="wtt"/>
    <b v="0"/>
    <s v="WTT- FUELS; WTT- GASEOUS FUELS; NATURAL GAS"/>
    <x v="1"/>
    <x v="1"/>
    <m/>
    <m/>
    <m/>
    <m/>
    <n v="1"/>
    <s v="CO2E"/>
    <n v="0"/>
    <n v="3.1350000000000003E-2"/>
    <s v="KWH (GROSS CV)"/>
    <n v="2.9306999999999998E-4"/>
    <n v="0"/>
    <s v="AR4"/>
    <s v="Defra"/>
    <s v="Defra (2021)"/>
    <n v="2021"/>
    <n v="2019"/>
    <n v="0"/>
    <n v="0"/>
    <x v="18"/>
    <s v="Warehouse"/>
  </r>
  <r>
    <n v="5023"/>
    <s v="Top of Hierarchy &gt; North America &gt; Vantage_Tlalnepantla de Baz"/>
    <x v="1"/>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0"/>
    <s v="CH4"/>
    <n v="0"/>
    <n v="2.5999999999999998E-4"/>
    <s v="LITRES"/>
    <n v="1"/>
    <n v="0"/>
    <s v="AR4"/>
    <s v="Defra"/>
    <s v="Defra (2021)"/>
    <n v="2021"/>
    <n v="2019"/>
    <n v="0"/>
    <n v="0"/>
    <x v="18"/>
    <s v="Warehouse"/>
  </r>
  <r>
    <n v="5023"/>
    <s v="Top of Hierarchy &gt; North America &gt; Vantage_Tlalnepantla de Baz"/>
    <x v="1"/>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0"/>
    <s v="CO2"/>
    <n v="0"/>
    <n v="2.6680700000000002"/>
    <s v="LITRES"/>
    <n v="1"/>
    <n v="0"/>
    <s v="AR4"/>
    <s v="Defra"/>
    <s v="Defra (2021)"/>
    <n v="2021"/>
    <n v="2019"/>
    <n v="0"/>
    <n v="0"/>
    <x v="18"/>
    <s v="Warehouse"/>
  </r>
  <r>
    <n v="5023"/>
    <s v="Top of Hierarchy &gt; North America &gt; Vantage_Tlalnepantla de Baz"/>
    <x v="1"/>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0"/>
    <s v="CO2E"/>
    <n v="0"/>
    <n v="2.70553"/>
    <s v="LITRES"/>
    <n v="1"/>
    <n v="0"/>
    <s v="AR4"/>
    <s v="Defra"/>
    <s v="Defra (2021)"/>
    <n v="2021"/>
    <n v="2019"/>
    <n v="0"/>
    <n v="0"/>
    <x v="18"/>
    <s v="Warehouse"/>
  </r>
  <r>
    <n v="5023"/>
    <s v="Top of Hierarchy &gt; North America &gt; Vantage_Tlalnepantla de Baz"/>
    <x v="1"/>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0"/>
    <s v="N2O"/>
    <n v="0"/>
    <n v="3.7199999999999997E-2"/>
    <s v="LITRES"/>
    <n v="1"/>
    <n v="0"/>
    <s v="AR4"/>
    <s v="Defra"/>
    <s v="Defra (2021)"/>
    <n v="2021"/>
    <n v="2019"/>
    <n v="0"/>
    <n v="0"/>
    <x v="18"/>
    <s v="Warehouse"/>
  </r>
  <r>
    <n v="5023"/>
    <s v="Top of Hierarchy &gt; North America &gt; Vantage_Tlalnepantla de Baz"/>
    <x v="1"/>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1"/>
    <s v="CH4"/>
    <n v="0"/>
    <n v="2.5999999999999998E-4"/>
    <s v="LITRES"/>
    <n v="1"/>
    <n v="0"/>
    <s v="AR4"/>
    <s v="Defra"/>
    <s v="Defra (2021)"/>
    <n v="2021"/>
    <n v="2019"/>
    <n v="0"/>
    <n v="0"/>
    <x v="18"/>
    <s v="Warehouse"/>
  </r>
  <r>
    <n v="5023"/>
    <s v="Top of Hierarchy &gt; North America &gt; Vantage_Tlalnepantla de Baz"/>
    <x v="1"/>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1"/>
    <s v="CO2"/>
    <n v="0"/>
    <n v="2.6680700000000002"/>
    <s v="LITRES"/>
    <n v="1"/>
    <n v="0"/>
    <s v="AR4"/>
    <s v="Defra"/>
    <s v="Defra (2021)"/>
    <n v="2021"/>
    <n v="2019"/>
    <n v="0"/>
    <n v="0"/>
    <x v="18"/>
    <s v="Warehouse"/>
  </r>
  <r>
    <n v="5023"/>
    <s v="Top of Hierarchy &gt; North America &gt; Vantage_Tlalnepantla de Baz"/>
    <x v="1"/>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1"/>
    <s v="CO2E"/>
    <n v="0"/>
    <n v="2.70553"/>
    <s v="LITRES"/>
    <n v="1"/>
    <n v="0"/>
    <s v="AR4"/>
    <s v="Defra"/>
    <s v="Defra (2021)"/>
    <n v="2021"/>
    <n v="2019"/>
    <n v="0"/>
    <n v="0"/>
    <x v="18"/>
    <s v="Warehouse"/>
  </r>
  <r>
    <n v="5023"/>
    <s v="Top of Hierarchy &gt; North America &gt; Vantage_Tlalnepantla de Baz"/>
    <x v="1"/>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1"/>
    <s v="N2O"/>
    <n v="0"/>
    <n v="3.7199999999999997E-2"/>
    <s v="LITRES"/>
    <n v="1"/>
    <n v="0"/>
    <s v="AR4"/>
    <s v="Defra"/>
    <s v="Defra (2021)"/>
    <n v="2021"/>
    <n v="2019"/>
    <n v="0"/>
    <n v="0"/>
    <x v="18"/>
    <s v="Warehouse"/>
  </r>
  <r>
    <n v="5023"/>
    <s v="Top of Hierarchy &gt; North America &gt; Vantage_Tlalnepantla de Baz"/>
    <x v="1"/>
    <x v="1"/>
    <d v="2021-01-01T00:00:00"/>
    <d v="2021-12-31T00:00:00"/>
    <x v="1"/>
    <d v="2021-01-01T00:00:00"/>
    <d v="2021-12-31T00:00:00"/>
    <s v="Diesel (100% mineral diesel)"/>
    <n v="0"/>
    <s v="litres"/>
    <x v="0"/>
    <m/>
    <s v="2023-02-27, 16:27"/>
    <s v="2023-07-20, 00:40"/>
    <n v="2021"/>
    <s v="diesel_100p_mineral_diesel__wtt"/>
    <s v="Diesel (100% Mineral Diesel) WTT"/>
    <s v="wtt"/>
    <b v="0"/>
    <s v="WTT- FUELS; WTT- LIQUID FUELS; DIESEL (100% MINERAL DIESEL)"/>
    <x v="1"/>
    <x v="1"/>
    <m/>
    <m/>
    <m/>
    <m/>
    <n v="0"/>
    <s v="CO2E"/>
    <n v="0"/>
    <n v="0.62873999999999997"/>
    <s v="LITRES"/>
    <n v="1"/>
    <n v="0"/>
    <s v="AR4"/>
    <s v="Defra"/>
    <s v="Defra (2021)"/>
    <n v="2021"/>
    <n v="2019"/>
    <n v="0"/>
    <n v="0"/>
    <x v="18"/>
    <s v="Warehouse"/>
  </r>
  <r>
    <n v="5023"/>
    <s v="Top of Hierarchy &gt; North America &gt; Vantage_Tlalnepantla de Baz"/>
    <x v="1"/>
    <x v="1"/>
    <d v="2021-01-01T00:00:00"/>
    <d v="2021-12-31T00:00:00"/>
    <x v="1"/>
    <d v="2021-01-01T00:00:00"/>
    <d v="2021-12-31T00:00:00"/>
    <s v="Diesel (100% mineral diesel)"/>
    <n v="0"/>
    <s v="litres"/>
    <x v="0"/>
    <m/>
    <s v="2023-02-27, 16:27"/>
    <s v="2023-07-20, 00:40"/>
    <n v="2021"/>
    <s v="diesel_100p_mineral_diesel__wtt"/>
    <s v="Diesel (100% Mineral Diesel) WTT"/>
    <s v="wtt"/>
    <b v="0"/>
    <s v="WTT- FUELS; WTT- LIQUID FUELS; DIESEL (100% MINERAL DIESEL)"/>
    <x v="1"/>
    <x v="1"/>
    <m/>
    <m/>
    <m/>
    <m/>
    <n v="1"/>
    <s v="CO2E"/>
    <n v="0"/>
    <n v="0.62873999999999997"/>
    <s v="LITRES"/>
    <n v="1"/>
    <n v="0"/>
    <s v="AR4"/>
    <s v="Defra"/>
    <s v="Defra (2021)"/>
    <n v="2021"/>
    <n v="2019"/>
    <n v="0"/>
    <n v="0"/>
    <x v="18"/>
    <s v="Warehouse"/>
  </r>
  <r>
    <n v="5049"/>
    <s v="Top of Hierarchy &gt; North America &gt; Vantage_Tlalnepantla de Baz"/>
    <x v="1"/>
    <x v="1"/>
    <d v="2021-01-01T00:00:00"/>
    <d v="2021-12-31T00:00:00"/>
    <x v="4"/>
    <d v="2021-01-01T00:00:00"/>
    <d v="2021-12-31T00:00:00"/>
    <s v="HFC-134a"/>
    <n v="30.073499999999999"/>
    <s v="kilograms"/>
    <x v="0"/>
    <m/>
    <s v="2023-02-27, 16:28"/>
    <s v="2023-07-20, 00:40"/>
    <n v="2021"/>
    <s v="hfc-134a"/>
    <s v="HFC-134A"/>
    <s v="model"/>
    <b v="0"/>
    <s v="REFRIGERANT: R-134A"/>
    <x v="2"/>
    <x v="0"/>
    <m/>
    <m/>
    <m/>
    <m/>
    <n v="0"/>
    <s v="CO2E"/>
    <n v="43005.105000000003"/>
    <n v="1430"/>
    <s v="KG"/>
    <n v="1"/>
    <n v="30.073499999999999"/>
    <s v="AR4"/>
    <s v="IPCC"/>
    <s v="IPCC (2021)"/>
    <n v="2021"/>
    <n v="2007"/>
    <n v="43.005105"/>
    <n v="0"/>
    <x v="18"/>
    <s v="Warehouse"/>
  </r>
  <r>
    <n v="5049"/>
    <s v="Top of Hierarchy &gt; North America &gt; Vantage_Tlalnepantla de Baz"/>
    <x v="1"/>
    <x v="1"/>
    <d v="2021-01-01T00:00:00"/>
    <d v="2021-12-31T00:00:00"/>
    <x v="4"/>
    <d v="2021-01-01T00:00:00"/>
    <d v="2021-12-31T00:00:00"/>
    <s v="HFC-134a"/>
    <n v="30.073499999999999"/>
    <s v="kilograms"/>
    <x v="0"/>
    <m/>
    <s v="2023-02-27, 16:28"/>
    <s v="2023-07-20, 00:40"/>
    <n v="2021"/>
    <s v="hfc-134a"/>
    <s v="HFC-134A"/>
    <s v="model"/>
    <b v="0"/>
    <s v="REFRIGERANT: R-134A"/>
    <x v="2"/>
    <x v="0"/>
    <m/>
    <m/>
    <m/>
    <m/>
    <n v="1"/>
    <s v="CO2E"/>
    <n v="43005.105000000003"/>
    <n v="1430"/>
    <s v="KG"/>
    <n v="1"/>
    <n v="30.073499999999999"/>
    <s v="AR4"/>
    <s v="IPCC"/>
    <s v="IPCC (2021)"/>
    <n v="2021"/>
    <n v="2007"/>
    <n v="0"/>
    <n v="43.005105"/>
    <x v="18"/>
    <s v="Warehouse"/>
  </r>
  <r>
    <n v="291069"/>
    <s v="Top of Hierarchy &gt; North America &gt; Vantage_Tucson"/>
    <x v="0"/>
    <x v="0"/>
    <d v="2022-01-01T00:00:00"/>
    <d v="2022-12-31T00:00:00"/>
    <x v="0"/>
    <d v="2022-01-01T00:00:00"/>
    <d v="2022-12-31T00:00:00"/>
    <s v="Electricity (non-renewable)"/>
    <n v="173808"/>
    <s v="Kilowatt hours"/>
    <x v="1"/>
    <m/>
    <s v="2023-05-03, 19:29"/>
    <s v="2023-07-20, 00:40"/>
    <n v="2022"/>
    <s v="electricity"/>
    <s v="Electricity"/>
    <s v="model"/>
    <b v="0"/>
    <s v="ELECTRICITY; UNITED STATES - AZNM"/>
    <x v="0"/>
    <x v="0"/>
    <s v="Americas"/>
    <s v="Northern America"/>
    <s v="US"/>
    <s v="AZNM"/>
    <n v="0"/>
    <s v="CH4"/>
    <n v="106.4312766"/>
    <n v="6.1235E-4"/>
    <s v="KWH"/>
    <n v="1"/>
    <n v="173808"/>
    <s v="AR4"/>
    <s v="USEPA"/>
    <s v="USEPA (2022)"/>
    <n v="2022"/>
    <n v="2020"/>
    <n v="0"/>
    <n v="0"/>
    <x v="19"/>
    <s v="Office"/>
  </r>
  <r>
    <n v="291069"/>
    <s v="Top of Hierarchy &gt; North America &gt; Vantage_Tucson"/>
    <x v="0"/>
    <x v="0"/>
    <d v="2022-01-01T00:00:00"/>
    <d v="2022-12-31T00:00:00"/>
    <x v="0"/>
    <d v="2022-01-01T00:00:00"/>
    <d v="2022-12-31T00:00:00"/>
    <s v="Electricity (non-renewable)"/>
    <n v="173808"/>
    <s v="Kilowatt hours"/>
    <x v="1"/>
    <m/>
    <s v="2023-05-03, 19:29"/>
    <s v="2023-07-20, 00:40"/>
    <n v="2022"/>
    <s v="electricity"/>
    <s v="Electricity"/>
    <s v="model"/>
    <b v="0"/>
    <s v="ELECTRICITY; UNITED STATES - AZNM"/>
    <x v="0"/>
    <x v="0"/>
    <s v="Americas"/>
    <s v="Northern America"/>
    <s v="US"/>
    <s v="AZNM"/>
    <n v="0"/>
    <s v="CO2"/>
    <n v="66745.497510000001"/>
    <n v="0.38401855800000001"/>
    <s v="KWH"/>
    <n v="1"/>
    <n v="173808"/>
    <s v="AR4"/>
    <s v="USEPA"/>
    <s v="USEPA (2022)"/>
    <n v="2022"/>
    <n v="2020"/>
    <n v="0"/>
    <n v="0"/>
    <x v="19"/>
    <s v="Office"/>
  </r>
  <r>
    <n v="291069"/>
    <s v="Top of Hierarchy &gt; North America &gt; Vantage_Tucson"/>
    <x v="0"/>
    <x v="0"/>
    <d v="2022-01-01T00:00:00"/>
    <d v="2022-12-31T00:00:00"/>
    <x v="0"/>
    <d v="2022-01-01T00:00:00"/>
    <d v="2022-12-31T00:00:00"/>
    <s v="Electricity (non-renewable)"/>
    <n v="173808"/>
    <s v="Kilowatt hours"/>
    <x v="1"/>
    <m/>
    <s v="2023-05-03, 19:29"/>
    <s v="2023-07-20, 00:40"/>
    <n v="2022"/>
    <s v="electricity"/>
    <s v="Electricity"/>
    <s v="model"/>
    <b v="0"/>
    <s v="ELECTRICITY; UNITED STATES - AZNM"/>
    <x v="0"/>
    <x v="0"/>
    <s v="Americas"/>
    <s v="Northern America"/>
    <s v="US"/>
    <s v="AZNM"/>
    <n v="0"/>
    <s v="CO2E"/>
    <n v="67016.384820000007"/>
    <n v="0.38557710099999998"/>
    <s v="KWH"/>
    <n v="1"/>
    <n v="173808"/>
    <s v="AR4"/>
    <s v="USEPA"/>
    <s v="USEPA (2022)"/>
    <n v="2022"/>
    <n v="2020"/>
    <n v="67.016384820000013"/>
    <n v="0"/>
    <x v="19"/>
    <s v="Office"/>
  </r>
  <r>
    <n v="291069"/>
    <s v="Top of Hierarchy &gt; North America &gt; Vantage_Tucson"/>
    <x v="0"/>
    <x v="0"/>
    <d v="2022-01-01T00:00:00"/>
    <d v="2022-12-31T00:00:00"/>
    <x v="0"/>
    <d v="2022-01-01T00:00:00"/>
    <d v="2022-12-31T00:00:00"/>
    <s v="Electricity (non-renewable)"/>
    <n v="173808"/>
    <s v="Kilowatt hours"/>
    <x v="1"/>
    <m/>
    <s v="2023-05-03, 19:29"/>
    <s v="2023-07-20, 00:40"/>
    <n v="2022"/>
    <s v="electricity"/>
    <s v="Electricity"/>
    <s v="model"/>
    <b v="0"/>
    <s v="ELECTRICITY; UNITED STATES - AZNM"/>
    <x v="0"/>
    <x v="0"/>
    <s v="Americas"/>
    <s v="Northern America"/>
    <s v="US"/>
    <s v="AZNM"/>
    <n v="0"/>
    <s v="N2O"/>
    <n v="164.45603180000001"/>
    <n v="9.4619400000000003E-4"/>
    <s v="KWH"/>
    <n v="1"/>
    <n v="173808"/>
    <s v="AR4"/>
    <s v="USEPA"/>
    <s v="USEPA (2022)"/>
    <n v="2022"/>
    <n v="2020"/>
    <n v="0"/>
    <n v="0"/>
    <x v="19"/>
    <s v="Office"/>
  </r>
  <r>
    <n v="291069"/>
    <s v="Top of Hierarchy &gt; North America &gt; Vantage_Tucson"/>
    <x v="0"/>
    <x v="0"/>
    <d v="2022-01-01T00:00:00"/>
    <d v="2022-12-31T00:00:00"/>
    <x v="0"/>
    <d v="2022-01-01T00:00:00"/>
    <d v="2022-12-31T00:00:00"/>
    <s v="Electricity (non-renewable)"/>
    <n v="173808"/>
    <s v="Kilowatt hours"/>
    <x v="1"/>
    <m/>
    <s v="2023-05-03, 19:29"/>
    <s v="2023-07-20, 00:40"/>
    <n v="2022"/>
    <s v="electricity"/>
    <s v="Electricity"/>
    <s v="model"/>
    <b v="0"/>
    <s v="ELECTRICITY; UNITED STATES - AZNM"/>
    <x v="0"/>
    <x v="0"/>
    <s v="Americas"/>
    <s v="Northern America"/>
    <s v="US"/>
    <s v="AZNM"/>
    <n v="1"/>
    <s v="CO2E MKT"/>
    <n v="66870.651800000007"/>
    <n v="0.38473863000000003"/>
    <s v="KWH"/>
    <n v="1"/>
    <n v="173808"/>
    <s v="AR4"/>
    <s v="Green-e"/>
    <s v="Green-e (2022)"/>
    <n v="2022"/>
    <n v="2020"/>
    <n v="0"/>
    <n v="66.870651800000005"/>
    <x v="19"/>
    <s v="Office"/>
  </r>
  <r>
    <n v="291069"/>
    <s v="Top of Hierarchy &gt; North America &gt; Vantage_Tucson"/>
    <x v="0"/>
    <x v="0"/>
    <d v="2022-01-01T00:00:00"/>
    <d v="2022-12-31T00:00:00"/>
    <x v="0"/>
    <d v="2022-01-01T00:00:00"/>
    <d v="2022-12-31T00:00:00"/>
    <s v="Electricity (non-renewable)"/>
    <n v="173808"/>
    <s v="Kilowatt hours"/>
    <x v="1"/>
    <m/>
    <s v="2023-05-03, 19:29"/>
    <s v="2023-07-20, 00:40"/>
    <n v="2022"/>
    <s v="electricity__t+d__wtt"/>
    <s v="Electricity T&amp;D WTT"/>
    <s v="t+d_wtt"/>
    <b v="0"/>
    <s v="ELECTRICITY T&amp;D WTT; UNITED STATES - AZNM"/>
    <x v="1"/>
    <x v="1"/>
    <s v="Americas"/>
    <s v="Northern America"/>
    <s v="US"/>
    <s v="AZNM"/>
    <n v="0"/>
    <s v="CO2E"/>
    <n v="1049.3862489999999"/>
    <n v="6.0376179999999998E-3"/>
    <s v="KWH"/>
    <n v="1"/>
    <n v="173808"/>
    <s v="AR4"/>
    <s v="Anthesis"/>
    <s v="Anthesis (2022)"/>
    <n v="2022"/>
    <n v="2020"/>
    <n v="1.0493862489999999"/>
    <n v="0"/>
    <x v="19"/>
    <s v="Office"/>
  </r>
  <r>
    <n v="291069"/>
    <s v="Top of Hierarchy &gt; North America &gt; Vantage_Tucson"/>
    <x v="0"/>
    <x v="0"/>
    <d v="2022-01-01T00:00:00"/>
    <d v="2022-12-31T00:00:00"/>
    <x v="0"/>
    <d v="2022-01-01T00:00:00"/>
    <d v="2022-12-31T00:00:00"/>
    <s v="Electricity (non-renewable)"/>
    <n v="173808"/>
    <s v="Kilowatt hours"/>
    <x v="1"/>
    <m/>
    <s v="2023-05-03, 19:29"/>
    <s v="2023-07-20, 00:40"/>
    <n v="2022"/>
    <s v="electricity__t+d__wtt"/>
    <s v="Electricity T&amp;D WTT"/>
    <s v="t+d_wtt"/>
    <b v="0"/>
    <s v="ELECTRICITY; UNITED STATES - AZNM; T&amp;D WTT Estimated"/>
    <x v="1"/>
    <x v="1"/>
    <s v="Americas"/>
    <s v="Northern America"/>
    <s v="US"/>
    <s v="AZNM"/>
    <n v="1"/>
    <s v="CO2E MKT"/>
    <n v="1014.247427"/>
    <n v="5.8354469999999997E-3"/>
    <s v="KWH"/>
    <n v="1"/>
    <n v="173808"/>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  to estimate the T&amp;D WTT factor."/>
    <n v="2022"/>
    <n v="2019"/>
    <n v="0"/>
    <n v="1.0142474269999999"/>
    <x v="19"/>
    <s v="Office"/>
  </r>
  <r>
    <n v="291069"/>
    <s v="Top of Hierarchy &gt; North America &gt; Vantage_Tucson"/>
    <x v="0"/>
    <x v="0"/>
    <d v="2022-01-01T00:00:00"/>
    <d v="2022-12-31T00:00:00"/>
    <x v="0"/>
    <d v="2022-01-01T00:00:00"/>
    <d v="2022-12-31T00:00:00"/>
    <s v="Electricity (non-renewable)"/>
    <n v="173808"/>
    <s v="Kilowatt hours"/>
    <x v="1"/>
    <m/>
    <s v="2023-05-03, 19:29"/>
    <s v="2023-07-20, 00:40"/>
    <n v="2022"/>
    <s v="electricity__wtt"/>
    <s v="Electricity WTT"/>
    <s v="wtt"/>
    <b v="0"/>
    <s v="ELECTRICITY WTT; UNITED STATES - AZNM"/>
    <x v="1"/>
    <x v="1"/>
    <s v="Americas"/>
    <s v="Northern America"/>
    <s v="US"/>
    <s v="AZNM"/>
    <n v="0"/>
    <s v="CO2E"/>
    <n v="18750.354299999999"/>
    <n v="0.107879697"/>
    <s v="KWH"/>
    <n v="1"/>
    <n v="173808"/>
    <s v="AR4"/>
    <s v="Anthesis"/>
    <s v="Anthesis (2022)"/>
    <n v="2022"/>
    <n v="2020"/>
    <n v="18.750354299999998"/>
    <n v="0"/>
    <x v="19"/>
    <s v="Office"/>
  </r>
  <r>
    <n v="291069"/>
    <s v="Top of Hierarchy &gt; North America &gt; Vantage_Tucson"/>
    <x v="0"/>
    <x v="0"/>
    <d v="2022-01-01T00:00:00"/>
    <d v="2022-12-31T00:00:00"/>
    <x v="0"/>
    <d v="2022-01-01T00:00:00"/>
    <d v="2022-12-31T00:00:00"/>
    <s v="Electricity (non-renewable)"/>
    <n v="173808"/>
    <s v="Kilowatt hours"/>
    <x v="1"/>
    <m/>
    <s v="2023-05-03, 19:29"/>
    <s v="2023-07-20, 00:40"/>
    <n v="2022"/>
    <s v="electricity__wtt"/>
    <s v="Electricity WTT"/>
    <s v="wtt"/>
    <b v="0"/>
    <s v="ELECTRICITY; UNITED STATES - AZNM; WTT Estimated"/>
    <x v="1"/>
    <x v="1"/>
    <s v="Americas"/>
    <s v="Northern America"/>
    <s v="US"/>
    <s v="AZNM"/>
    <n v="1"/>
    <s v="CO2E MKT"/>
    <n v="19887.204440000001"/>
    <n v="0.114420536"/>
    <s v="KWH"/>
    <n v="1"/>
    <n v="173808"/>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AZNM, Green-eto estimate the WTT factor."/>
    <n v="2022"/>
    <n v="2019"/>
    <n v="0"/>
    <n v="19.887204440000001"/>
    <x v="19"/>
    <s v="Office"/>
  </r>
  <r>
    <n v="291069"/>
    <s v="Top of Hierarchy &gt; North America &gt; Vantage_Tucson"/>
    <x v="0"/>
    <x v="0"/>
    <d v="2022-01-01T00:00:00"/>
    <d v="2022-12-31T00:00:00"/>
    <x v="0"/>
    <d v="2022-01-01T00:00:00"/>
    <d v="2022-12-31T00:00:00"/>
    <s v="Electricity (non-renewable)"/>
    <n v="173808"/>
    <s v="Kilowatt hours"/>
    <x v="1"/>
    <m/>
    <s v="2023-05-03, 19:29"/>
    <s v="2023-07-20, 00:40"/>
    <n v="2022"/>
    <s v="electricity__t+d"/>
    <s v="Electricity T&amp;D"/>
    <s v="t+d"/>
    <b v="0"/>
    <s v="ELECTRICITY; TRANSMISSION AND DISTRIBUTION; UNITED STATES - AZNM"/>
    <x v="1"/>
    <x v="1"/>
    <s v="Americas"/>
    <s v="Northern America"/>
    <s v="US"/>
    <s v="AZNM"/>
    <n v="0"/>
    <s v="CO2E"/>
    <n v="3551.8683959999998"/>
    <n v="2.0435585999999999E-2"/>
    <s v="KWH"/>
    <n v="1"/>
    <n v="173808"/>
    <s v="AR4"/>
    <s v="USEPA"/>
    <s v="USEPA (2022)"/>
    <n v="2022"/>
    <n v="2020"/>
    <n v="3.5518683959999997"/>
    <n v="0"/>
    <x v="19"/>
    <s v="Office"/>
  </r>
  <r>
    <n v="291069"/>
    <s v="Top of Hierarchy &gt; North America &gt; Vantage_Tucson"/>
    <x v="0"/>
    <x v="0"/>
    <d v="2022-01-01T00:00:00"/>
    <d v="2022-12-31T00:00:00"/>
    <x v="0"/>
    <d v="2022-01-01T00:00:00"/>
    <d v="2022-12-31T00:00:00"/>
    <s v="Electricity (non-renewable)"/>
    <n v="173808"/>
    <s v="Kilowatt hours"/>
    <x v="1"/>
    <m/>
    <s v="2023-05-03, 19:29"/>
    <s v="2023-07-20, 00:40"/>
    <n v="2022"/>
    <s v="electricity__t+d"/>
    <s v="Electricity T&amp;D"/>
    <s v="t+d"/>
    <b v="0"/>
    <s v="ELECTRICITY; UNITED STATES - AZNM; T&amp;D Estimated"/>
    <x v="1"/>
    <x v="1"/>
    <s v="Americas"/>
    <s v="Northern America"/>
    <s v="US"/>
    <s v="AZNM"/>
    <n v="1"/>
    <s v="CO2E MKT"/>
    <n v="3839.361664"/>
    <n v="2.2089672000000001E-2"/>
    <s v="KWH"/>
    <n v="1"/>
    <n v="173808"/>
    <s v="AR4"/>
    <s v="Anthesis"/>
    <s v="The median T&amp;D to generation factor ratio of all countries within the region Northern America was taken to be ELECTRICITY; UNITED STATES - SRSO, USEPA to ELECTRICITY; TRANSMISSION AND DISTRIBUTION; UNITED STATES - SRSO, USEPA: 0.051. This was applied to the base factor ELECTRICITY; UNITED STATES - AZNM, Green-eto estimate the T&amp;D factor."/>
    <n v="2022"/>
    <n v="2019"/>
    <n v="0"/>
    <n v="3.8393616640000001"/>
    <x v="19"/>
    <s v="Office"/>
  </r>
  <r>
    <n v="290047"/>
    <s v="Top of Hierarchy &gt; North America &gt; Vantage_Tucson"/>
    <x v="0"/>
    <x v="0"/>
    <d v="2022-01-01T00:00:00"/>
    <d v="2022-12-31T00:00:00"/>
    <x v="3"/>
    <d v="2022-01-01T00:00:00"/>
    <d v="2022-12-31T00:00:00"/>
    <s v="Natural gas"/>
    <n v="3992"/>
    <s v="Hundred Thousand BTUs"/>
    <x v="1"/>
    <m/>
    <s v="2023-05-02, 18:15"/>
    <s v="2023-07-20, 00:40"/>
    <n v="2022"/>
    <s v="natural_gas"/>
    <s v="Natural Gas"/>
    <s v="model"/>
    <b v="0"/>
    <s v="NATURAL GAS, NATURAL GAS"/>
    <x v="2"/>
    <x v="0"/>
    <s v="Americas"/>
    <s v="Northern America"/>
    <s v="US"/>
    <m/>
    <n v="0"/>
    <s v="CH4"/>
    <n v="9.98"/>
    <n v="2.5000000000000001E-2"/>
    <s v="MMBTU"/>
    <n v="0.1"/>
    <n v="399.2"/>
    <s v="AR4"/>
    <s v="USEPA"/>
    <s v="USEPA Emission Factors Hub (Last Modified: March 2020)"/>
    <n v="2022"/>
    <n v="2021"/>
    <n v="0"/>
    <n v="0"/>
    <x v="19"/>
    <s v="Office"/>
  </r>
  <r>
    <n v="290047"/>
    <s v="Top of Hierarchy &gt; North America &gt; Vantage_Tucson"/>
    <x v="0"/>
    <x v="0"/>
    <d v="2022-01-01T00:00:00"/>
    <d v="2022-12-31T00:00:00"/>
    <x v="3"/>
    <d v="2022-01-01T00:00:00"/>
    <d v="2022-12-31T00:00:00"/>
    <s v="Natural gas"/>
    <n v="3992"/>
    <s v="Hundred Thousand BTUs"/>
    <x v="1"/>
    <m/>
    <s v="2023-05-02, 18:15"/>
    <s v="2023-07-20, 00:40"/>
    <n v="2022"/>
    <s v="natural_gas"/>
    <s v="Natural Gas"/>
    <s v="model"/>
    <b v="0"/>
    <s v="NATURAL GAS, NATURAL GAS"/>
    <x v="2"/>
    <x v="0"/>
    <s v="Americas"/>
    <s v="Northern America"/>
    <s v="US"/>
    <m/>
    <n v="0"/>
    <s v="CO2"/>
    <n v="21181.552"/>
    <n v="53.06"/>
    <s v="MMBTU"/>
    <n v="0.1"/>
    <n v="399.2"/>
    <s v="AR4"/>
    <s v="USEPA"/>
    <s v="USEPA (2022)"/>
    <n v="2022"/>
    <n v="2022"/>
    <n v="0"/>
    <n v="0"/>
    <x v="19"/>
    <s v="Office"/>
  </r>
  <r>
    <n v="290047"/>
    <s v="Top of Hierarchy &gt; North America &gt; Vantage_Tucson"/>
    <x v="0"/>
    <x v="0"/>
    <d v="2022-01-01T00:00:00"/>
    <d v="2022-12-31T00:00:00"/>
    <x v="3"/>
    <d v="2022-01-01T00:00:00"/>
    <d v="2022-12-31T00:00:00"/>
    <s v="Natural gas"/>
    <n v="3992"/>
    <s v="Hundred Thousand BTUs"/>
    <x v="1"/>
    <m/>
    <s v="2023-05-02, 18:15"/>
    <s v="2023-07-20, 00:40"/>
    <n v="2022"/>
    <s v="natural_gas"/>
    <s v="Natural Gas"/>
    <s v="model"/>
    <b v="0"/>
    <s v="NATURAL GAS, NATURAL GAS"/>
    <x v="2"/>
    <x v="0"/>
    <s v="Americas"/>
    <s v="Northern America"/>
    <s v="US"/>
    <m/>
    <n v="0"/>
    <s v="CO2E"/>
    <n v="21203.428159999999"/>
    <n v="53.114800000000002"/>
    <s v="MMBTU"/>
    <n v="0.1"/>
    <n v="399.2"/>
    <s v="AR4"/>
    <s v="USEPA"/>
    <s v="USEPA Emission Factors Hub (Last Modified: March 2020)"/>
    <n v="2022"/>
    <n v="2021"/>
    <n v="21.203428159999998"/>
    <n v="0"/>
    <x v="19"/>
    <s v="Office"/>
  </r>
  <r>
    <n v="290047"/>
    <s v="Top of Hierarchy &gt; North America &gt; Vantage_Tucson"/>
    <x v="0"/>
    <x v="0"/>
    <d v="2022-01-01T00:00:00"/>
    <d v="2022-12-31T00:00:00"/>
    <x v="3"/>
    <d v="2022-01-01T00:00:00"/>
    <d v="2022-12-31T00:00:00"/>
    <s v="Natural gas"/>
    <n v="3992"/>
    <s v="Hundred Thousand BTUs"/>
    <x v="1"/>
    <m/>
    <s v="2023-05-02, 18:15"/>
    <s v="2023-07-20, 00:40"/>
    <n v="2022"/>
    <s v="natural_gas"/>
    <s v="Natural Gas"/>
    <s v="model"/>
    <b v="0"/>
    <s v="NATURAL GAS, NATURAL GAS"/>
    <x v="2"/>
    <x v="0"/>
    <s v="Americas"/>
    <s v="Northern America"/>
    <s v="US"/>
    <m/>
    <n v="0"/>
    <s v="N2O"/>
    <n v="11.89616"/>
    <n v="2.98E-2"/>
    <s v="MMBTU"/>
    <n v="0.1"/>
    <n v="399.2"/>
    <s v="AR4"/>
    <s v="USEPA"/>
    <s v="USEPA (2022)"/>
    <n v="2022"/>
    <n v="2022"/>
    <n v="0"/>
    <n v="0"/>
    <x v="19"/>
    <s v="Office"/>
  </r>
  <r>
    <n v="290047"/>
    <s v="Top of Hierarchy &gt; North America &gt; Vantage_Tucson"/>
    <x v="0"/>
    <x v="0"/>
    <d v="2022-01-01T00:00:00"/>
    <d v="2022-12-31T00:00:00"/>
    <x v="3"/>
    <d v="2022-01-01T00:00:00"/>
    <d v="2022-12-31T00:00:00"/>
    <s v="Natural gas"/>
    <n v="3992"/>
    <s v="Hundred Thousand BTUs"/>
    <x v="1"/>
    <m/>
    <s v="2023-05-02, 18:15"/>
    <s v="2023-07-20, 00:40"/>
    <n v="2022"/>
    <s v="natural_gas"/>
    <s v="Natural Gas"/>
    <s v="model"/>
    <b v="0"/>
    <s v="NATURAL GAS, NATURAL GAS"/>
    <x v="2"/>
    <x v="0"/>
    <s v="Americas"/>
    <s v="Northern America"/>
    <s v="US"/>
    <m/>
    <n v="1"/>
    <s v="CH4"/>
    <n v="9.98"/>
    <n v="2.5000000000000001E-2"/>
    <s v="MMBTU"/>
    <n v="0.1"/>
    <n v="399.2"/>
    <s v="AR4"/>
    <s v="USEPA"/>
    <s v="USEPA Emission Factors Hub (Last Modified: March 2020)"/>
    <n v="2022"/>
    <n v="2021"/>
    <n v="0"/>
    <n v="0"/>
    <x v="19"/>
    <s v="Office"/>
  </r>
  <r>
    <n v="290047"/>
    <s v="Top of Hierarchy &gt; North America &gt; Vantage_Tucson"/>
    <x v="0"/>
    <x v="0"/>
    <d v="2022-01-01T00:00:00"/>
    <d v="2022-12-31T00:00:00"/>
    <x v="3"/>
    <d v="2022-01-01T00:00:00"/>
    <d v="2022-12-31T00:00:00"/>
    <s v="Natural gas"/>
    <n v="3992"/>
    <s v="Hundred Thousand BTUs"/>
    <x v="1"/>
    <m/>
    <s v="2023-05-02, 18:15"/>
    <s v="2023-07-20, 00:40"/>
    <n v="2022"/>
    <s v="natural_gas"/>
    <s v="Natural Gas"/>
    <s v="model"/>
    <b v="0"/>
    <s v="NATURAL GAS, NATURAL GAS"/>
    <x v="2"/>
    <x v="0"/>
    <s v="Americas"/>
    <s v="Northern America"/>
    <s v="US"/>
    <m/>
    <n v="1"/>
    <s v="CO2"/>
    <n v="21181.552"/>
    <n v="53.06"/>
    <s v="MMBTU"/>
    <n v="0.1"/>
    <n v="399.2"/>
    <s v="AR4"/>
    <s v="USEPA"/>
    <s v="USEPA (2022)"/>
    <n v="2022"/>
    <n v="2022"/>
    <n v="0"/>
    <n v="0"/>
    <x v="19"/>
    <s v="Office"/>
  </r>
  <r>
    <n v="290047"/>
    <s v="Top of Hierarchy &gt; North America &gt; Vantage_Tucson"/>
    <x v="0"/>
    <x v="0"/>
    <d v="2022-01-01T00:00:00"/>
    <d v="2022-12-31T00:00:00"/>
    <x v="3"/>
    <d v="2022-01-01T00:00:00"/>
    <d v="2022-12-31T00:00:00"/>
    <s v="Natural gas"/>
    <n v="3992"/>
    <s v="Hundred Thousand BTUs"/>
    <x v="1"/>
    <m/>
    <s v="2023-05-02, 18:15"/>
    <s v="2023-07-20, 00:40"/>
    <n v="2022"/>
    <s v="natural_gas"/>
    <s v="Natural Gas"/>
    <s v="model"/>
    <b v="0"/>
    <s v="NATURAL GAS, NATURAL GAS"/>
    <x v="2"/>
    <x v="0"/>
    <s v="Americas"/>
    <s v="Northern America"/>
    <s v="US"/>
    <m/>
    <n v="1"/>
    <s v="CO2E"/>
    <n v="21203.428159999999"/>
    <n v="53.114800000000002"/>
    <s v="MMBTU"/>
    <n v="0.1"/>
    <n v="399.2"/>
    <s v="AR4"/>
    <s v="USEPA"/>
    <s v="USEPA Emission Factors Hub (Last Modified: March 2020)"/>
    <n v="2022"/>
    <n v="2021"/>
    <n v="0"/>
    <n v="21.203428159999998"/>
    <x v="19"/>
    <s v="Office"/>
  </r>
  <r>
    <n v="290047"/>
    <s v="Top of Hierarchy &gt; North America &gt; Vantage_Tucson"/>
    <x v="0"/>
    <x v="0"/>
    <d v="2022-01-01T00:00:00"/>
    <d v="2022-12-31T00:00:00"/>
    <x v="3"/>
    <d v="2022-01-01T00:00:00"/>
    <d v="2022-12-31T00:00:00"/>
    <s v="Natural gas"/>
    <n v="3992"/>
    <s v="Hundred Thousand BTUs"/>
    <x v="1"/>
    <m/>
    <s v="2023-05-02, 18:15"/>
    <s v="2023-07-20, 00:40"/>
    <n v="2022"/>
    <s v="natural_gas"/>
    <s v="Natural Gas"/>
    <s v="model"/>
    <b v="0"/>
    <s v="NATURAL GAS, NATURAL GAS"/>
    <x v="2"/>
    <x v="0"/>
    <s v="Americas"/>
    <s v="Northern America"/>
    <s v="US"/>
    <m/>
    <n v="1"/>
    <s v="N2O"/>
    <n v="11.89616"/>
    <n v="2.98E-2"/>
    <s v="MMBTU"/>
    <n v="0.1"/>
    <n v="399.2"/>
    <s v="AR4"/>
    <s v="USEPA"/>
    <s v="USEPA (2022)"/>
    <n v="2022"/>
    <n v="2022"/>
    <n v="0"/>
    <n v="0"/>
    <x v="19"/>
    <s v="Office"/>
  </r>
  <r>
    <n v="290047"/>
    <s v="Top of Hierarchy &gt; North America &gt; Vantage_Tucson"/>
    <x v="0"/>
    <x v="0"/>
    <d v="2022-01-01T00:00:00"/>
    <d v="2022-12-31T00:00:00"/>
    <x v="3"/>
    <d v="2022-01-01T00:00:00"/>
    <d v="2022-12-31T00:00:00"/>
    <s v="Natural gas"/>
    <n v="3992"/>
    <s v="Hundred Thousand BTUs"/>
    <x v="1"/>
    <m/>
    <s v="2023-05-02, 18:15"/>
    <s v="2023-07-20, 00:40"/>
    <n v="2022"/>
    <s v="natural_gas__wtt"/>
    <s v="Natural Gas WTT"/>
    <s v="wtt"/>
    <b v="0"/>
    <s v="WTT- FUELS; GASEOUS FUELS; NATURAL GAS"/>
    <x v="1"/>
    <x v="1"/>
    <m/>
    <m/>
    <m/>
    <m/>
    <n v="0"/>
    <s v="CO2E"/>
    <n v="3637.6425749999999"/>
    <n v="3.1099999999999999E-2"/>
    <s v="KWH (GROSS CV)"/>
    <n v="29.3001"/>
    <n v="116965.99920000001"/>
    <s v="AR4"/>
    <s v="Defra"/>
    <s v="Defra (2022)"/>
    <n v="2022"/>
    <n v="2020"/>
    <n v="3.6376425749999997"/>
    <n v="0"/>
    <x v="19"/>
    <s v="Office"/>
  </r>
  <r>
    <n v="290047"/>
    <s v="Top of Hierarchy &gt; North America &gt; Vantage_Tucson"/>
    <x v="0"/>
    <x v="0"/>
    <d v="2022-01-01T00:00:00"/>
    <d v="2022-12-31T00:00:00"/>
    <x v="3"/>
    <d v="2022-01-01T00:00:00"/>
    <d v="2022-12-31T00:00:00"/>
    <s v="Natural gas"/>
    <n v="3992"/>
    <s v="Hundred Thousand BTUs"/>
    <x v="1"/>
    <m/>
    <s v="2023-05-02, 18:15"/>
    <s v="2023-07-20, 00:40"/>
    <n v="2022"/>
    <s v="natural_gas__wtt"/>
    <s v="Natural Gas WTT"/>
    <s v="wtt"/>
    <b v="0"/>
    <s v="WTT- FUELS; GASEOUS FUELS; NATURAL GAS"/>
    <x v="1"/>
    <x v="1"/>
    <m/>
    <m/>
    <m/>
    <m/>
    <n v="1"/>
    <s v="CO2E"/>
    <n v="3637.6425749999999"/>
    <n v="3.1099999999999999E-2"/>
    <s v="KWH (GROSS CV)"/>
    <n v="29.3001"/>
    <n v="116965.99920000001"/>
    <s v="AR4"/>
    <s v="Defra"/>
    <s v="Defra (2022)"/>
    <n v="2022"/>
    <n v="2020"/>
    <n v="0"/>
    <n v="3.6376425749999997"/>
    <x v="19"/>
    <s v="Office"/>
  </r>
  <r>
    <n v="283991"/>
    <s v="Top of Hierarchy &gt; North America &gt; Vantage_Tucson"/>
    <x v="0"/>
    <x v="0"/>
    <d v="2022-01-01T00:00:00"/>
    <d v="2022-12-31T00:00:00"/>
    <x v="1"/>
    <d v="2022-01-01T00:00:00"/>
    <d v="2022-12-31T00:00:00"/>
    <s v="Petrol (100% mineral petrol)"/>
    <n v="0"/>
    <s v="US liquid gallons"/>
    <x v="1"/>
    <m/>
    <s v="2023-04-28, 20:11"/>
    <s v="2023-07-20, 00:40"/>
    <n v="2022"/>
    <s v="petrol_100p_mineral_petrol"/>
    <s v="Petrol (100% Mineral Petrol)"/>
    <s v="model"/>
    <b v="0"/>
    <s v="FUELS; LIQUID FUELS; PETROL (100% MINERAL PETROL)"/>
    <x v="2"/>
    <x v="0"/>
    <m/>
    <m/>
    <m/>
    <m/>
    <n v="0"/>
    <s v="CH4"/>
    <n v="0"/>
    <n v="7.3200000000000001E-3"/>
    <s v="LITRES"/>
    <n v="3.7854100000000002"/>
    <n v="0"/>
    <s v="AR4"/>
    <s v="Defra"/>
    <s v="Defra (2022)"/>
    <n v="2022"/>
    <n v="2020"/>
    <n v="0"/>
    <n v="0"/>
    <x v="19"/>
    <s v="Office"/>
  </r>
  <r>
    <n v="283991"/>
    <s v="Top of Hierarchy &gt; North America &gt; Vantage_Tucson"/>
    <x v="0"/>
    <x v="0"/>
    <d v="2022-01-01T00:00:00"/>
    <d v="2022-12-31T00:00:00"/>
    <x v="1"/>
    <d v="2022-01-01T00:00:00"/>
    <d v="2022-12-31T00:00:00"/>
    <s v="Petrol (100% mineral petrol)"/>
    <n v="0"/>
    <s v="US liquid gallons"/>
    <x v="1"/>
    <m/>
    <s v="2023-04-28, 20:11"/>
    <s v="2023-07-20, 00:40"/>
    <n v="2022"/>
    <s v="petrol_100p_mineral_petrol"/>
    <s v="Petrol (100% Mineral Petrol)"/>
    <s v="model"/>
    <b v="0"/>
    <s v="FUELS; LIQUID FUELS; PETROL (100% MINERAL PETROL)"/>
    <x v="2"/>
    <x v="0"/>
    <m/>
    <m/>
    <m/>
    <m/>
    <n v="0"/>
    <s v="CO2"/>
    <n v="0"/>
    <n v="2.3256700000000001"/>
    <s v="LITRES"/>
    <n v="3.7854100000000002"/>
    <n v="0"/>
    <s v="AR4"/>
    <s v="Defra"/>
    <s v="Defra (2022)"/>
    <n v="2022"/>
    <n v="2020"/>
    <n v="0"/>
    <n v="0"/>
    <x v="19"/>
    <s v="Office"/>
  </r>
  <r>
    <n v="283991"/>
    <s v="Top of Hierarchy &gt; North America &gt; Vantage_Tucson"/>
    <x v="0"/>
    <x v="0"/>
    <d v="2022-01-01T00:00:00"/>
    <d v="2022-12-31T00:00:00"/>
    <x v="1"/>
    <d v="2022-01-01T00:00:00"/>
    <d v="2022-12-31T00:00:00"/>
    <s v="Petrol (100% mineral petrol)"/>
    <n v="0"/>
    <s v="US liquid gallons"/>
    <x v="1"/>
    <m/>
    <s v="2023-04-28, 20:11"/>
    <s v="2023-07-20, 00:40"/>
    <n v="2022"/>
    <s v="petrol_100p_mineral_petrol"/>
    <s v="Petrol (100% Mineral Petrol)"/>
    <s v="model"/>
    <b v="0"/>
    <s v="FUELS; LIQUID FUELS; PETROL (100% MINERAL PETROL)"/>
    <x v="2"/>
    <x v="0"/>
    <m/>
    <m/>
    <m/>
    <m/>
    <n v="0"/>
    <s v="CO2E"/>
    <n v="0"/>
    <n v="2.3397000000000001"/>
    <s v="LITRES"/>
    <n v="3.7854100000000002"/>
    <n v="0"/>
    <s v="AR4"/>
    <s v="Defra"/>
    <s v="Defra (2022)"/>
    <n v="2022"/>
    <n v="2020"/>
    <n v="0"/>
    <n v="0"/>
    <x v="19"/>
    <s v="Office"/>
  </r>
  <r>
    <n v="283991"/>
    <s v="Top of Hierarchy &gt; North America &gt; Vantage_Tucson"/>
    <x v="0"/>
    <x v="0"/>
    <d v="2022-01-01T00:00:00"/>
    <d v="2022-12-31T00:00:00"/>
    <x v="1"/>
    <d v="2022-01-01T00:00:00"/>
    <d v="2022-12-31T00:00:00"/>
    <s v="Petrol (100% mineral petrol)"/>
    <n v="0"/>
    <s v="US liquid gallons"/>
    <x v="1"/>
    <m/>
    <s v="2023-04-28, 20:11"/>
    <s v="2023-07-20, 00:40"/>
    <n v="2022"/>
    <s v="petrol_100p_mineral_petrol"/>
    <s v="Petrol (100% Mineral Petrol)"/>
    <s v="model"/>
    <b v="0"/>
    <s v="FUELS; LIQUID FUELS; PETROL (100% MINERAL PETROL)"/>
    <x v="2"/>
    <x v="0"/>
    <m/>
    <m/>
    <m/>
    <m/>
    <n v="0"/>
    <s v="N2O"/>
    <n v="0"/>
    <n v="6.7099999999999998E-3"/>
    <s v="LITRES"/>
    <n v="3.7854100000000002"/>
    <n v="0"/>
    <s v="AR4"/>
    <s v="Defra"/>
    <s v="Defra (2022)"/>
    <n v="2022"/>
    <n v="2020"/>
    <n v="0"/>
    <n v="0"/>
    <x v="19"/>
    <s v="Office"/>
  </r>
  <r>
    <n v="283991"/>
    <s v="Top of Hierarchy &gt; North America &gt; Vantage_Tucson"/>
    <x v="0"/>
    <x v="0"/>
    <d v="2022-01-01T00:00:00"/>
    <d v="2022-12-31T00:00:00"/>
    <x v="1"/>
    <d v="2022-01-01T00:00:00"/>
    <d v="2022-12-31T00:00:00"/>
    <s v="Petrol (100% mineral petrol)"/>
    <n v="0"/>
    <s v="US liquid gallons"/>
    <x v="1"/>
    <m/>
    <s v="2023-04-28, 20:11"/>
    <s v="2023-07-20, 00:40"/>
    <n v="2022"/>
    <s v="petrol_100p_mineral_petrol"/>
    <s v="Petrol (100% Mineral Petrol)"/>
    <s v="model"/>
    <b v="0"/>
    <s v="FUELS; LIQUID FUELS; PETROL (100% MINERAL PETROL)"/>
    <x v="2"/>
    <x v="0"/>
    <m/>
    <m/>
    <m/>
    <m/>
    <n v="1"/>
    <s v="CH4"/>
    <n v="0"/>
    <n v="7.3200000000000001E-3"/>
    <s v="LITRES"/>
    <n v="3.7854100000000002"/>
    <n v="0"/>
    <s v="AR4"/>
    <s v="Defra"/>
    <s v="Defra (2022)"/>
    <n v="2022"/>
    <n v="2020"/>
    <n v="0"/>
    <n v="0"/>
    <x v="19"/>
    <s v="Office"/>
  </r>
  <r>
    <n v="283991"/>
    <s v="Top of Hierarchy &gt; North America &gt; Vantage_Tucson"/>
    <x v="0"/>
    <x v="0"/>
    <d v="2022-01-01T00:00:00"/>
    <d v="2022-12-31T00:00:00"/>
    <x v="1"/>
    <d v="2022-01-01T00:00:00"/>
    <d v="2022-12-31T00:00:00"/>
    <s v="Petrol (100% mineral petrol)"/>
    <n v="0"/>
    <s v="US liquid gallons"/>
    <x v="1"/>
    <m/>
    <s v="2023-04-28, 20:11"/>
    <s v="2023-07-20, 00:40"/>
    <n v="2022"/>
    <s v="petrol_100p_mineral_petrol"/>
    <s v="Petrol (100% Mineral Petrol)"/>
    <s v="model"/>
    <b v="0"/>
    <s v="FUELS; LIQUID FUELS; PETROL (100% MINERAL PETROL)"/>
    <x v="2"/>
    <x v="0"/>
    <m/>
    <m/>
    <m/>
    <m/>
    <n v="1"/>
    <s v="CO2"/>
    <n v="0"/>
    <n v="2.3256700000000001"/>
    <s v="LITRES"/>
    <n v="3.7854100000000002"/>
    <n v="0"/>
    <s v="AR4"/>
    <s v="Defra"/>
    <s v="Defra (2022)"/>
    <n v="2022"/>
    <n v="2020"/>
    <n v="0"/>
    <n v="0"/>
    <x v="19"/>
    <s v="Office"/>
  </r>
  <r>
    <n v="283991"/>
    <s v="Top of Hierarchy &gt; North America &gt; Vantage_Tucson"/>
    <x v="0"/>
    <x v="0"/>
    <d v="2022-01-01T00:00:00"/>
    <d v="2022-12-31T00:00:00"/>
    <x v="1"/>
    <d v="2022-01-01T00:00:00"/>
    <d v="2022-12-31T00:00:00"/>
    <s v="Petrol (100% mineral petrol)"/>
    <n v="0"/>
    <s v="US liquid gallons"/>
    <x v="1"/>
    <m/>
    <s v="2023-04-28, 20:11"/>
    <s v="2023-07-20, 00:40"/>
    <n v="2022"/>
    <s v="petrol_100p_mineral_petrol"/>
    <s v="Petrol (100% Mineral Petrol)"/>
    <s v="model"/>
    <b v="0"/>
    <s v="FUELS; LIQUID FUELS; PETROL (100% MINERAL PETROL)"/>
    <x v="2"/>
    <x v="0"/>
    <m/>
    <m/>
    <m/>
    <m/>
    <n v="1"/>
    <s v="CO2E"/>
    <n v="0"/>
    <n v="2.3397000000000001"/>
    <s v="LITRES"/>
    <n v="3.7854100000000002"/>
    <n v="0"/>
    <s v="AR4"/>
    <s v="Defra"/>
    <s v="Defra (2022)"/>
    <n v="2022"/>
    <n v="2020"/>
    <n v="0"/>
    <n v="0"/>
    <x v="19"/>
    <s v="Office"/>
  </r>
  <r>
    <n v="283991"/>
    <s v="Top of Hierarchy &gt; North America &gt; Vantage_Tucson"/>
    <x v="0"/>
    <x v="0"/>
    <d v="2022-01-01T00:00:00"/>
    <d v="2022-12-31T00:00:00"/>
    <x v="1"/>
    <d v="2022-01-01T00:00:00"/>
    <d v="2022-12-31T00:00:00"/>
    <s v="Petrol (100% mineral petrol)"/>
    <n v="0"/>
    <s v="US liquid gallons"/>
    <x v="1"/>
    <m/>
    <s v="2023-04-28, 20:11"/>
    <s v="2023-07-20, 00:40"/>
    <n v="2022"/>
    <s v="petrol_100p_mineral_petrol"/>
    <s v="Petrol (100% Mineral Petrol)"/>
    <s v="model"/>
    <b v="0"/>
    <s v="FUELS; LIQUID FUELS; PETROL (100% MINERAL PETROL)"/>
    <x v="2"/>
    <x v="0"/>
    <m/>
    <m/>
    <m/>
    <m/>
    <n v="1"/>
    <s v="N2O"/>
    <n v="0"/>
    <n v="6.7099999999999998E-3"/>
    <s v="LITRES"/>
    <n v="3.7854100000000002"/>
    <n v="0"/>
    <s v="AR4"/>
    <s v="Defra"/>
    <s v="Defra (2022)"/>
    <n v="2022"/>
    <n v="2020"/>
    <n v="0"/>
    <n v="0"/>
    <x v="19"/>
    <s v="Office"/>
  </r>
  <r>
    <n v="283991"/>
    <s v="Top of Hierarchy &gt; North America &gt; Vantage_Tucson"/>
    <x v="0"/>
    <x v="0"/>
    <d v="2022-01-01T00:00:00"/>
    <d v="2022-12-31T00:00:00"/>
    <x v="1"/>
    <d v="2022-01-01T00:00:00"/>
    <d v="2022-12-31T00:00:00"/>
    <s v="Petrol (100% mineral petrol)"/>
    <n v="0"/>
    <s v="US liquid gallons"/>
    <x v="1"/>
    <m/>
    <s v="2023-04-28, 20:11"/>
    <s v="2023-07-20, 00:40"/>
    <n v="2022"/>
    <s v="petrol_100p_mineral_petrol__wtt"/>
    <s v="Petrol (100% Mineral Petrol) WTT"/>
    <s v="wtt"/>
    <b v="0"/>
    <s v="WTT- FUELS; LIQUID FUELS; PETROL (100% MINERAL PETROL)"/>
    <x v="1"/>
    <x v="1"/>
    <m/>
    <m/>
    <m/>
    <m/>
    <n v="0"/>
    <s v="CO2E"/>
    <n v="0"/>
    <n v="0.60282999999999998"/>
    <s v="LITRES"/>
    <n v="3.7854100000000002"/>
    <n v="0"/>
    <s v="AR4"/>
    <s v="Defra"/>
    <s v="Defra (2022)"/>
    <n v="2022"/>
    <n v="2020"/>
    <n v="0"/>
    <n v="0"/>
    <x v="19"/>
    <s v="Office"/>
  </r>
  <r>
    <n v="283991"/>
    <s v="Top of Hierarchy &gt; North America &gt; Vantage_Tucson"/>
    <x v="0"/>
    <x v="0"/>
    <d v="2022-01-01T00:00:00"/>
    <d v="2022-12-31T00:00:00"/>
    <x v="1"/>
    <d v="2022-01-01T00:00:00"/>
    <d v="2022-12-31T00:00:00"/>
    <s v="Petrol (100% mineral petrol)"/>
    <n v="0"/>
    <s v="US liquid gallons"/>
    <x v="1"/>
    <m/>
    <s v="2023-04-28, 20:11"/>
    <s v="2023-07-20, 00:40"/>
    <n v="2022"/>
    <s v="petrol_100p_mineral_petrol__wtt"/>
    <s v="Petrol (100% Mineral Petrol) WTT"/>
    <s v="wtt"/>
    <b v="0"/>
    <s v="WTT- FUELS; LIQUID FUELS; PETROL (100% MINERAL PETROL)"/>
    <x v="1"/>
    <x v="1"/>
    <m/>
    <m/>
    <m/>
    <m/>
    <n v="1"/>
    <s v="CO2E"/>
    <n v="0"/>
    <n v="0.60282999999999998"/>
    <s v="LITRES"/>
    <n v="3.7854100000000002"/>
    <n v="0"/>
    <s v="AR4"/>
    <s v="Defra"/>
    <s v="Defra (2022)"/>
    <n v="2022"/>
    <n v="2020"/>
    <n v="0"/>
    <n v="0"/>
    <x v="19"/>
    <s v="Office"/>
  </r>
  <r>
    <n v="290059"/>
    <s v="Top of Hierarchy &gt; North America &gt; Vantage_Tucson"/>
    <x v="0"/>
    <x v="0"/>
    <d v="2022-01-01T00:00:00"/>
    <d v="2022-12-31T00:00:00"/>
    <x v="4"/>
    <d v="2022-01-01T00:00:00"/>
    <d v="2022-12-31T00:00:00"/>
    <s v="R410A"/>
    <n v="0"/>
    <s v="pounds"/>
    <x v="1"/>
    <s v="chiller"/>
    <s v="2023-05-02, 20:14"/>
    <s v="2023-07-20, 00:40"/>
    <n v="2022"/>
    <s v="r410a"/>
    <s v="R410A"/>
    <s v="model"/>
    <b v="0"/>
    <s v="REFRIGERANT: R-410A"/>
    <x v="2"/>
    <x v="0"/>
    <m/>
    <m/>
    <m/>
    <m/>
    <n v="0"/>
    <s v="CO2E"/>
    <n v="0"/>
    <n v="2088"/>
    <s v="KG"/>
    <n v="0.45359291000000002"/>
    <n v="0"/>
    <s v="AR4"/>
    <s v="IPCC"/>
    <s v="IPCC (2021)"/>
    <n v="2022"/>
    <n v="2007"/>
    <n v="0"/>
    <n v="0"/>
    <x v="19"/>
    <s v="Office"/>
  </r>
  <r>
    <n v="290059"/>
    <s v="Top of Hierarchy &gt; North America &gt; Vantage_Tucson"/>
    <x v="0"/>
    <x v="0"/>
    <d v="2022-01-01T00:00:00"/>
    <d v="2022-12-31T00:00:00"/>
    <x v="4"/>
    <d v="2022-01-01T00:00:00"/>
    <d v="2022-12-31T00:00:00"/>
    <s v="R410A"/>
    <n v="0"/>
    <s v="pounds"/>
    <x v="1"/>
    <s v="chiller"/>
    <s v="2023-05-02, 20:14"/>
    <s v="2023-07-20, 00:40"/>
    <n v="2022"/>
    <s v="r410a"/>
    <s v="R410A"/>
    <s v="model"/>
    <b v="0"/>
    <s v="REFRIGERANT: R-410A"/>
    <x v="2"/>
    <x v="0"/>
    <m/>
    <m/>
    <m/>
    <m/>
    <n v="1"/>
    <s v="CO2E"/>
    <n v="0"/>
    <n v="2088"/>
    <s v="KG"/>
    <n v="0.45359291000000002"/>
    <n v="0"/>
    <s v="AR4"/>
    <s v="IPCC"/>
    <s v="IPCC (2021)"/>
    <n v="2022"/>
    <n v="2007"/>
    <n v="0"/>
    <n v="0"/>
    <x v="19"/>
    <s v="Office"/>
  </r>
  <r>
    <n v="291054"/>
    <s v="Top of Hierarchy &gt; North America &gt; Vantage_Tucson"/>
    <x v="0"/>
    <x v="0"/>
    <d v="2022-01-01T00:00:00"/>
    <d v="2022-12-31T00:00:00"/>
    <x v="4"/>
    <d v="2022-01-01T00:00:00"/>
    <d v="2022-12-31T00:00:00"/>
    <s v="R410A"/>
    <n v="0"/>
    <s v="pounds"/>
    <x v="1"/>
    <s v="Tucson AC Unit"/>
    <s v="2023-05-03, 16:22"/>
    <s v="2023-07-20, 00:40"/>
    <n v="2022"/>
    <s v="r410a"/>
    <s v="R410A"/>
    <s v="model"/>
    <b v="0"/>
    <s v="REFRIGERANT: R-410A"/>
    <x v="2"/>
    <x v="0"/>
    <m/>
    <m/>
    <m/>
    <m/>
    <n v="0"/>
    <s v="CO2E"/>
    <n v="0"/>
    <n v="2088"/>
    <s v="KG"/>
    <n v="0.45359291000000002"/>
    <n v="0"/>
    <s v="AR4"/>
    <s v="IPCC"/>
    <s v="IPCC (2021)"/>
    <n v="2022"/>
    <n v="2007"/>
    <n v="0"/>
    <n v="0"/>
    <x v="19"/>
    <s v="Office"/>
  </r>
  <r>
    <n v="291054"/>
    <s v="Top of Hierarchy &gt; North America &gt; Vantage_Tucson"/>
    <x v="0"/>
    <x v="0"/>
    <d v="2022-01-01T00:00:00"/>
    <d v="2022-12-31T00:00:00"/>
    <x v="4"/>
    <d v="2022-01-01T00:00:00"/>
    <d v="2022-12-31T00:00:00"/>
    <s v="R410A"/>
    <n v="0"/>
    <s v="pounds"/>
    <x v="1"/>
    <s v="Tucson AC Unit"/>
    <s v="2023-05-03, 16:22"/>
    <s v="2023-07-20, 00:40"/>
    <n v="2022"/>
    <s v="r410a"/>
    <s v="R410A"/>
    <s v="model"/>
    <b v="0"/>
    <s v="REFRIGERANT: R-410A"/>
    <x v="2"/>
    <x v="0"/>
    <m/>
    <m/>
    <m/>
    <m/>
    <n v="1"/>
    <s v="CO2E"/>
    <n v="0"/>
    <n v="2088"/>
    <s v="KG"/>
    <n v="0.45359291000000002"/>
    <n v="0"/>
    <s v="AR4"/>
    <s v="IPCC"/>
    <s v="IPCC (2021)"/>
    <n v="2022"/>
    <n v="2007"/>
    <n v="0"/>
    <n v="0"/>
    <x v="19"/>
    <s v="Office"/>
  </r>
  <r>
    <n v="1590462"/>
    <s v="Top of Hierarchy &gt; North America &gt; Vantage_Tucson"/>
    <x v="0"/>
    <x v="0"/>
    <d v="2022-01-01T00:00:00"/>
    <d v="2022-12-31T00:00:00"/>
    <x v="4"/>
    <d v="2022-01-01T00:00:00"/>
    <d v="2022-12-31T00:00:00"/>
    <s v="R-410A"/>
    <n v="2.2258"/>
    <s v="kilograms"/>
    <x v="0"/>
    <s v="Estimated from square footage. Known gas type is R-410a"/>
    <s v="2023-07-25, 17:50"/>
    <s v="2023-08-23, 16:54"/>
    <n v="2022"/>
    <s v="r410a"/>
    <s v="R410A"/>
    <s v="model"/>
    <b v="0"/>
    <s v="REFRIGERANT: R-410A"/>
    <x v="2"/>
    <x v="0"/>
    <m/>
    <m/>
    <m/>
    <m/>
    <n v="0"/>
    <s v="CO2E"/>
    <n v="4647.4704000000002"/>
    <n v="2088"/>
    <s v="KG"/>
    <n v="1"/>
    <n v="2.2258"/>
    <s v="AR4"/>
    <s v="IPCC"/>
    <s v="IPCC (2021)"/>
    <n v="2022"/>
    <n v="2007"/>
    <n v="4.6474704000000004"/>
    <n v="0"/>
    <x v="19"/>
    <s v="Office"/>
  </r>
  <r>
    <n v="1590462"/>
    <s v="Top of Hierarchy &gt; North America &gt; Vantage_Tucson"/>
    <x v="0"/>
    <x v="0"/>
    <d v="2022-01-01T00:00:00"/>
    <d v="2022-12-31T00:00:00"/>
    <x v="4"/>
    <d v="2022-01-01T00:00:00"/>
    <d v="2022-12-31T00:00:00"/>
    <s v="R-410A"/>
    <n v="2.2258"/>
    <s v="kilograms"/>
    <x v="0"/>
    <s v="Estimated from square footage. Known gas type is R-410a"/>
    <s v="2023-07-25, 17:50"/>
    <s v="2023-08-23, 16:54"/>
    <n v="2022"/>
    <s v="r410a"/>
    <s v="R410A"/>
    <s v="model"/>
    <b v="0"/>
    <s v="REFRIGERANT: R-410A"/>
    <x v="2"/>
    <x v="0"/>
    <m/>
    <m/>
    <m/>
    <m/>
    <n v="1"/>
    <s v="CO2E"/>
    <n v="4647.4704000000002"/>
    <n v="2088"/>
    <s v="KG"/>
    <n v="1"/>
    <n v="2.2258"/>
    <s v="AR4"/>
    <s v="IPCC"/>
    <s v="IPCC (2021)"/>
    <n v="2022"/>
    <n v="2007"/>
    <n v="0"/>
    <n v="4.6474704000000004"/>
    <x v="19"/>
    <s v="Office"/>
  </r>
  <r>
    <n v="283989"/>
    <s v="Top of Hierarchy &gt; North America &gt; Vantage_Tucson"/>
    <x v="0"/>
    <x v="0"/>
    <d v="2022-01-01T00:00:00"/>
    <d v="2022-12-31T00:00:00"/>
    <x v="2"/>
    <d v="2022-01-01T00:00:00"/>
    <d v="2022-12-31T00:00:00"/>
    <s v="Propane"/>
    <n v="314.3"/>
    <s v="US liquid gallons"/>
    <x v="1"/>
    <m/>
    <s v="2023-04-28, 20:10"/>
    <s v="2023-07-20, 00:40"/>
    <n v="2022"/>
    <s v="propane"/>
    <s v="Propane"/>
    <s v="model"/>
    <b v="0"/>
    <s v="PETROLEUM PRODUCTS, PROPANE"/>
    <x v="2"/>
    <x v="0"/>
    <s v="Americas"/>
    <s v="Northern America"/>
    <s v="US"/>
    <m/>
    <n v="0"/>
    <s v="CH4"/>
    <n v="2.1215250000000001"/>
    <n v="6.7499999999999999E-3"/>
    <s v="GALLON (US LIQUID)"/>
    <n v="1"/>
    <n v="314.3"/>
    <s v="AR4"/>
    <s v="USEPA"/>
    <s v="USEPA Emission Factors Hub (Last Modified: March 2020)"/>
    <n v="2022"/>
    <n v="2021"/>
    <n v="0"/>
    <n v="0"/>
    <x v="19"/>
    <s v="Office"/>
  </r>
  <r>
    <n v="283989"/>
    <s v="Top of Hierarchy &gt; North America &gt; Vantage_Tucson"/>
    <x v="0"/>
    <x v="0"/>
    <d v="2022-01-01T00:00:00"/>
    <d v="2022-12-31T00:00:00"/>
    <x v="2"/>
    <d v="2022-01-01T00:00:00"/>
    <d v="2022-12-31T00:00:00"/>
    <s v="Propane"/>
    <n v="314.3"/>
    <s v="US liquid gallons"/>
    <x v="1"/>
    <m/>
    <s v="2023-04-28, 20:10"/>
    <s v="2023-07-20, 00:40"/>
    <n v="2022"/>
    <s v="propane"/>
    <s v="Propane"/>
    <s v="model"/>
    <b v="0"/>
    <s v="PETROLEUM PRODUCTS, PROPANE"/>
    <x v="2"/>
    <x v="0"/>
    <s v="Americas"/>
    <s v="Northern America"/>
    <s v="US"/>
    <m/>
    <n v="0"/>
    <s v="CO2"/>
    <n v="1797.796"/>
    <n v="5.72"/>
    <s v="GALLON (US LIQUID)"/>
    <n v="1"/>
    <n v="314.3"/>
    <s v="AR4"/>
    <s v="USEPA"/>
    <s v="USEPA (2022)"/>
    <n v="2022"/>
    <n v="2022"/>
    <n v="0"/>
    <n v="0"/>
    <x v="19"/>
    <s v="Office"/>
  </r>
  <r>
    <n v="283989"/>
    <s v="Top of Hierarchy &gt; North America &gt; Vantage_Tucson"/>
    <x v="0"/>
    <x v="0"/>
    <d v="2022-01-01T00:00:00"/>
    <d v="2022-12-31T00:00:00"/>
    <x v="2"/>
    <d v="2022-01-01T00:00:00"/>
    <d v="2022-12-31T00:00:00"/>
    <s v="Propane"/>
    <n v="314.3"/>
    <s v="US liquid gallons"/>
    <x v="1"/>
    <m/>
    <s v="2023-04-28, 20:10"/>
    <s v="2023-07-20, 00:40"/>
    <n v="2022"/>
    <s v="propane"/>
    <s v="Propane"/>
    <s v="model"/>
    <b v="0"/>
    <s v="PETROLEUM PRODUCTS, PROPANE"/>
    <x v="2"/>
    <x v="0"/>
    <s v="Americas"/>
    <s v="Northern America"/>
    <s v="US"/>
    <m/>
    <n v="0"/>
    <s v="CO2E"/>
    <n v="1804.6005950000001"/>
    <n v="5.7416499999999999"/>
    <s v="GALLON (US LIQUID)"/>
    <n v="1"/>
    <n v="314.3"/>
    <s v="AR4"/>
    <s v="USEPA"/>
    <s v="USEPA (2022)"/>
    <n v="2022"/>
    <n v="2022"/>
    <n v="1.8046005950000001"/>
    <n v="0"/>
    <x v="19"/>
    <s v="Office"/>
  </r>
  <r>
    <n v="283989"/>
    <s v="Top of Hierarchy &gt; North America &gt; Vantage_Tucson"/>
    <x v="0"/>
    <x v="0"/>
    <d v="2022-01-01T00:00:00"/>
    <d v="2022-12-31T00:00:00"/>
    <x v="2"/>
    <d v="2022-01-01T00:00:00"/>
    <d v="2022-12-31T00:00:00"/>
    <s v="Propane"/>
    <n v="314.3"/>
    <s v="US liquid gallons"/>
    <x v="1"/>
    <m/>
    <s v="2023-04-28, 20:10"/>
    <s v="2023-07-20, 00:40"/>
    <n v="2022"/>
    <s v="propane"/>
    <s v="Propane"/>
    <s v="model"/>
    <b v="0"/>
    <s v="PETROLEUM PRODUCTS, PROPANE"/>
    <x v="2"/>
    <x v="0"/>
    <s v="Americas"/>
    <s v="Northern America"/>
    <s v="US"/>
    <m/>
    <n v="0"/>
    <s v="N2O"/>
    <n v="4.6830699999999998"/>
    <n v="1.49E-2"/>
    <s v="GALLON (US LIQUID)"/>
    <n v="1"/>
    <n v="314.3"/>
    <s v="AR4"/>
    <s v="USEPA"/>
    <s v="USEPA Emission Factors Hub (Last Modified: March 2020)"/>
    <n v="2022"/>
    <n v="2021"/>
    <n v="0"/>
    <n v="0"/>
    <x v="19"/>
    <s v="Office"/>
  </r>
  <r>
    <n v="283989"/>
    <s v="Top of Hierarchy &gt; North America &gt; Vantage_Tucson"/>
    <x v="0"/>
    <x v="0"/>
    <d v="2022-01-01T00:00:00"/>
    <d v="2022-12-31T00:00:00"/>
    <x v="2"/>
    <d v="2022-01-01T00:00:00"/>
    <d v="2022-12-31T00:00:00"/>
    <s v="Propane"/>
    <n v="314.3"/>
    <s v="US liquid gallons"/>
    <x v="1"/>
    <m/>
    <s v="2023-04-28, 20:10"/>
    <s v="2023-07-20, 00:40"/>
    <n v="2022"/>
    <s v="propane"/>
    <s v="Propane"/>
    <s v="model"/>
    <b v="0"/>
    <s v="PETROLEUM PRODUCTS, PROPANE"/>
    <x v="2"/>
    <x v="0"/>
    <s v="Americas"/>
    <s v="Northern America"/>
    <s v="US"/>
    <m/>
    <n v="1"/>
    <s v="CH4"/>
    <n v="2.1215250000000001"/>
    <n v="6.7499999999999999E-3"/>
    <s v="GALLON (US LIQUID)"/>
    <n v="1"/>
    <n v="314.3"/>
    <s v="AR4"/>
    <s v="USEPA"/>
    <s v="USEPA Emission Factors Hub (Last Modified: March 2020)"/>
    <n v="2022"/>
    <n v="2021"/>
    <n v="0"/>
    <n v="0"/>
    <x v="19"/>
    <s v="Office"/>
  </r>
  <r>
    <n v="283989"/>
    <s v="Top of Hierarchy &gt; North America &gt; Vantage_Tucson"/>
    <x v="0"/>
    <x v="0"/>
    <d v="2022-01-01T00:00:00"/>
    <d v="2022-12-31T00:00:00"/>
    <x v="2"/>
    <d v="2022-01-01T00:00:00"/>
    <d v="2022-12-31T00:00:00"/>
    <s v="Propane"/>
    <n v="314.3"/>
    <s v="US liquid gallons"/>
    <x v="1"/>
    <m/>
    <s v="2023-04-28, 20:10"/>
    <s v="2023-07-20, 00:40"/>
    <n v="2022"/>
    <s v="propane"/>
    <s v="Propane"/>
    <s v="model"/>
    <b v="0"/>
    <s v="PETROLEUM PRODUCTS, PROPANE"/>
    <x v="2"/>
    <x v="0"/>
    <s v="Americas"/>
    <s v="Northern America"/>
    <s v="US"/>
    <m/>
    <n v="1"/>
    <s v="CO2"/>
    <n v="1797.796"/>
    <n v="5.72"/>
    <s v="GALLON (US LIQUID)"/>
    <n v="1"/>
    <n v="314.3"/>
    <s v="AR4"/>
    <s v="USEPA"/>
    <s v="USEPA (2022)"/>
    <n v="2022"/>
    <n v="2022"/>
    <n v="0"/>
    <n v="0"/>
    <x v="19"/>
    <s v="Office"/>
  </r>
  <r>
    <n v="283989"/>
    <s v="Top of Hierarchy &gt; North America &gt; Vantage_Tucson"/>
    <x v="0"/>
    <x v="0"/>
    <d v="2022-01-01T00:00:00"/>
    <d v="2022-12-31T00:00:00"/>
    <x v="2"/>
    <d v="2022-01-01T00:00:00"/>
    <d v="2022-12-31T00:00:00"/>
    <s v="Propane"/>
    <n v="314.3"/>
    <s v="US liquid gallons"/>
    <x v="1"/>
    <m/>
    <s v="2023-04-28, 20:10"/>
    <s v="2023-07-20, 00:40"/>
    <n v="2022"/>
    <s v="propane"/>
    <s v="Propane"/>
    <s v="model"/>
    <b v="0"/>
    <s v="PETROLEUM PRODUCTS, PROPANE"/>
    <x v="2"/>
    <x v="0"/>
    <s v="Americas"/>
    <s v="Northern America"/>
    <s v="US"/>
    <m/>
    <n v="1"/>
    <s v="CO2E"/>
    <n v="1804.6005950000001"/>
    <n v="5.7416499999999999"/>
    <s v="GALLON (US LIQUID)"/>
    <n v="1"/>
    <n v="314.3"/>
    <s v="AR4"/>
    <s v="USEPA"/>
    <s v="USEPA (2022)"/>
    <n v="2022"/>
    <n v="2022"/>
    <n v="0"/>
    <n v="1.8046005950000001"/>
    <x v="19"/>
    <s v="Office"/>
  </r>
  <r>
    <n v="283989"/>
    <s v="Top of Hierarchy &gt; North America &gt; Vantage_Tucson"/>
    <x v="0"/>
    <x v="0"/>
    <d v="2022-01-01T00:00:00"/>
    <d v="2022-12-31T00:00:00"/>
    <x v="2"/>
    <d v="2022-01-01T00:00:00"/>
    <d v="2022-12-31T00:00:00"/>
    <s v="Propane"/>
    <n v="314.3"/>
    <s v="US liquid gallons"/>
    <x v="1"/>
    <m/>
    <s v="2023-04-28, 20:10"/>
    <s v="2023-07-20, 00:40"/>
    <n v="2022"/>
    <s v="propane"/>
    <s v="Propane"/>
    <s v="model"/>
    <b v="0"/>
    <s v="PETROLEUM PRODUCTS, PROPANE"/>
    <x v="2"/>
    <x v="0"/>
    <s v="Americas"/>
    <s v="Northern America"/>
    <s v="US"/>
    <m/>
    <n v="1"/>
    <s v="N2O"/>
    <n v="4.6830699999999998"/>
    <n v="1.49E-2"/>
    <s v="GALLON (US LIQUID)"/>
    <n v="1"/>
    <n v="314.3"/>
    <s v="AR4"/>
    <s v="USEPA"/>
    <s v="USEPA Emission Factors Hub (Last Modified: March 2020)"/>
    <n v="2022"/>
    <n v="2021"/>
    <n v="0"/>
    <n v="0"/>
    <x v="19"/>
    <s v="Office"/>
  </r>
  <r>
    <n v="283989"/>
    <s v="Top of Hierarchy &gt; North America &gt; Vantage_Tucson"/>
    <x v="0"/>
    <x v="0"/>
    <d v="2022-01-01T00:00:00"/>
    <d v="2022-12-31T00:00:00"/>
    <x v="2"/>
    <d v="2022-01-01T00:00:00"/>
    <d v="2022-12-31T00:00:00"/>
    <s v="Propane"/>
    <n v="314.3"/>
    <s v="US liquid gallons"/>
    <x v="1"/>
    <m/>
    <s v="2023-04-28, 20:10"/>
    <s v="2023-07-20, 00:40"/>
    <n v="2022"/>
    <s v="propane__wtt"/>
    <s v="Propane WTT"/>
    <s v="wtt"/>
    <b v="0"/>
    <s v="WTT- FUELS; GASEOUS FUELS; PROPANE"/>
    <x v="1"/>
    <x v="1"/>
    <m/>
    <m/>
    <m/>
    <m/>
    <n v="0"/>
    <s v="CO2E"/>
    <n v="214.7030723"/>
    <n v="0.18046000000000001"/>
    <s v="LITRES"/>
    <n v="3.7854100000000002"/>
    <n v="1189.754363"/>
    <s v="AR4"/>
    <s v="Defra"/>
    <s v="Defra (2022)"/>
    <n v="2022"/>
    <n v="2020"/>
    <n v="0.21470307229999999"/>
    <n v="0"/>
    <x v="19"/>
    <s v="Office"/>
  </r>
  <r>
    <n v="283989"/>
    <s v="Top of Hierarchy &gt; North America &gt; Vantage_Tucson"/>
    <x v="0"/>
    <x v="0"/>
    <d v="2022-01-01T00:00:00"/>
    <d v="2022-12-31T00:00:00"/>
    <x v="2"/>
    <d v="2022-01-01T00:00:00"/>
    <d v="2022-12-31T00:00:00"/>
    <s v="Propane"/>
    <n v="314.3"/>
    <s v="US liquid gallons"/>
    <x v="1"/>
    <m/>
    <s v="2023-04-28, 20:10"/>
    <s v="2023-07-20, 00:40"/>
    <n v="2022"/>
    <s v="propane__wtt"/>
    <s v="Propane WTT"/>
    <s v="wtt"/>
    <b v="0"/>
    <s v="WTT- FUELS; GASEOUS FUELS; PROPANE"/>
    <x v="1"/>
    <x v="1"/>
    <m/>
    <m/>
    <m/>
    <m/>
    <n v="1"/>
    <s v="CO2E"/>
    <n v="214.7030723"/>
    <n v="0.18046000000000001"/>
    <s v="LITRES"/>
    <n v="3.7854100000000002"/>
    <n v="1189.754363"/>
    <s v="AR4"/>
    <s v="Defra"/>
    <s v="Defra (2022)"/>
    <n v="2022"/>
    <n v="2020"/>
    <n v="0"/>
    <n v="0.21470307229999999"/>
    <x v="19"/>
    <s v="Office"/>
  </r>
  <r>
    <n v="4965"/>
    <s v="Top of Hierarchy &gt; North America &gt; Vantage_Tucson"/>
    <x v="0"/>
    <x v="1"/>
    <d v="2021-01-01T00:00:00"/>
    <d v="2021-12-31T00:00:00"/>
    <x v="0"/>
    <d v="2021-01-01T00:00:00"/>
    <d v="2021-12-31T00:00:00"/>
    <s v="Electricity (non-renewable)"/>
    <n v="186947.86"/>
    <s v="Kilowatt hours"/>
    <x v="1"/>
    <m/>
    <s v="2023-02-27, 16:27"/>
    <s v="2023-07-20, 00:40"/>
    <n v="2021"/>
    <s v="electricity"/>
    <s v="Electricity"/>
    <s v="model"/>
    <b v="0"/>
    <s v="ELECTRICITY; UNITED STATES - AZNM"/>
    <x v="0"/>
    <x v="0"/>
    <s v="Americas"/>
    <s v="Northern America"/>
    <s v="US"/>
    <s v="AZNM"/>
    <n v="0"/>
    <s v="CH4"/>
    <n v="144.15680889999999"/>
    <n v="7.7110700000000004E-4"/>
    <s v="KWH"/>
    <n v="1"/>
    <n v="186947.86"/>
    <s v="AR4"/>
    <s v="USEPA"/>
    <s v="USEPA (2021)"/>
    <n v="2021"/>
    <n v="2019"/>
    <n v="0"/>
    <n v="0"/>
    <x v="19"/>
    <s v="Office"/>
  </r>
  <r>
    <n v="4965"/>
    <s v="Top of Hierarchy &gt; North America &gt; Vantage_Tucson"/>
    <x v="0"/>
    <x v="1"/>
    <d v="2021-01-01T00:00:00"/>
    <d v="2021-12-31T00:00:00"/>
    <x v="0"/>
    <d v="2021-01-01T00:00:00"/>
    <d v="2021-12-31T00:00:00"/>
    <s v="Electricity (non-renewable)"/>
    <n v="186947.86"/>
    <s v="Kilowatt hours"/>
    <x v="1"/>
    <m/>
    <s v="2023-02-27, 16:27"/>
    <s v="2023-07-20, 00:40"/>
    <n v="2021"/>
    <s v="electricity"/>
    <s v="Electricity"/>
    <s v="model"/>
    <b v="0"/>
    <s v="ELECTRICITY; UNITED STATES - AZNM"/>
    <x v="0"/>
    <x v="0"/>
    <s v="Americas"/>
    <s v="Northern America"/>
    <s v="US"/>
    <s v="AZNM"/>
    <n v="0"/>
    <s v="CO2"/>
    <n v="80755.033179999999"/>
    <n v="0.43196553900000001"/>
    <s v="KWH"/>
    <n v="1"/>
    <n v="186947.86"/>
    <s v="AR4"/>
    <s v="USEPA"/>
    <s v="USEPA (2021)"/>
    <n v="2021"/>
    <n v="2019"/>
    <n v="0"/>
    <n v="0"/>
    <x v="19"/>
    <s v="Office"/>
  </r>
  <r>
    <n v="4965"/>
    <s v="Top of Hierarchy &gt; North America &gt; Vantage_Tucson"/>
    <x v="0"/>
    <x v="1"/>
    <d v="2021-01-01T00:00:00"/>
    <d v="2021-12-31T00:00:00"/>
    <x v="0"/>
    <d v="2021-01-01T00:00:00"/>
    <d v="2021-12-31T00:00:00"/>
    <s v="Electricity (non-renewable)"/>
    <n v="186947.86"/>
    <s v="Kilowatt hours"/>
    <x v="1"/>
    <m/>
    <s v="2023-02-27, 16:27"/>
    <s v="2023-07-20, 00:40"/>
    <n v="2021"/>
    <s v="electricity"/>
    <s v="Electricity"/>
    <s v="model"/>
    <b v="0"/>
    <s v="ELECTRICITY; UNITED STATES - AZNM"/>
    <x v="0"/>
    <x v="0"/>
    <s v="Americas"/>
    <s v="Northern America"/>
    <s v="US"/>
    <s v="AZNM"/>
    <n v="0"/>
    <s v="CO2E"/>
    <n v="81151.888399999996"/>
    <n v="0.43408835200000001"/>
    <s v="KWH"/>
    <n v="1"/>
    <n v="186947.86"/>
    <s v="AR4"/>
    <s v="USEPA"/>
    <s v="USEPA (2021)"/>
    <n v="2021"/>
    <n v="2019"/>
    <n v="81.15188839999999"/>
    <n v="0"/>
    <x v="19"/>
    <s v="Office"/>
  </r>
  <r>
    <n v="4965"/>
    <s v="Top of Hierarchy &gt; North America &gt; Vantage_Tucson"/>
    <x v="0"/>
    <x v="1"/>
    <d v="2021-01-01T00:00:00"/>
    <d v="2021-12-31T00:00:00"/>
    <x v="0"/>
    <d v="2021-01-01T00:00:00"/>
    <d v="2021-12-31T00:00:00"/>
    <s v="Electricity (non-renewable)"/>
    <n v="186947.86"/>
    <s v="Kilowatt hours"/>
    <x v="1"/>
    <m/>
    <s v="2023-02-27, 16:27"/>
    <s v="2023-07-20, 00:40"/>
    <n v="2021"/>
    <s v="electricity"/>
    <s v="Electricity"/>
    <s v="model"/>
    <b v="0"/>
    <s v="ELECTRICITY; UNITED STATES - AZNM"/>
    <x v="0"/>
    <x v="0"/>
    <s v="Americas"/>
    <s v="Northern America"/>
    <s v="US"/>
    <s v="AZNM"/>
    <n v="0"/>
    <s v="N2O"/>
    <n v="252.69840619999999"/>
    <n v="1.3517049999999999E-3"/>
    <s v="KWH"/>
    <n v="1"/>
    <n v="186947.86"/>
    <s v="AR4"/>
    <s v="USEPA"/>
    <s v="USEPA (2021)"/>
    <n v="2021"/>
    <n v="2019"/>
    <n v="0"/>
    <n v="0"/>
    <x v="19"/>
    <s v="Office"/>
  </r>
  <r>
    <n v="4965"/>
    <s v="Top of Hierarchy &gt; North America &gt; Vantage_Tucson"/>
    <x v="0"/>
    <x v="1"/>
    <d v="2021-01-01T00:00:00"/>
    <d v="2021-12-31T00:00:00"/>
    <x v="0"/>
    <d v="2021-01-01T00:00:00"/>
    <d v="2021-12-31T00:00:00"/>
    <s v="Electricity (non-renewable)"/>
    <n v="186947.86"/>
    <s v="Kilowatt hours"/>
    <x v="1"/>
    <m/>
    <s v="2023-02-27, 16:27"/>
    <s v="2023-07-20, 00:40"/>
    <n v="2021"/>
    <s v="electricity"/>
    <s v="Electricity"/>
    <s v="model"/>
    <b v="0"/>
    <s v="ELECTRICITY; UNITED STATES - AZNM"/>
    <x v="0"/>
    <x v="0"/>
    <s v="Americas"/>
    <s v="Northern America"/>
    <s v="US"/>
    <s v="AZNM"/>
    <n v="1"/>
    <s v="CO2E MKT"/>
    <n v="80972.879560000001"/>
    <n v="0.43313081799999997"/>
    <s v="KWH"/>
    <n v="1"/>
    <n v="186947.86"/>
    <s v="AR4"/>
    <s v="Green-e"/>
    <s v="Green-e (2021)"/>
    <n v="2021"/>
    <n v="2019"/>
    <n v="0"/>
    <n v="80.972879559999996"/>
    <x v="19"/>
    <s v="Office"/>
  </r>
  <r>
    <n v="4965"/>
    <s v="Top of Hierarchy &gt; North America &gt; Vantage_Tucson"/>
    <x v="0"/>
    <x v="1"/>
    <d v="2021-01-01T00:00:00"/>
    <d v="2021-12-31T00:00:00"/>
    <x v="0"/>
    <d v="2021-01-01T00:00:00"/>
    <d v="2021-12-31T00:00:00"/>
    <s v="Electricity (non-renewable)"/>
    <n v="186947.86"/>
    <s v="Kilowatt hours"/>
    <x v="1"/>
    <m/>
    <s v="2023-02-27, 16:27"/>
    <s v="2023-07-20, 00:40"/>
    <n v="2021"/>
    <s v="electricity__t+d__wtt"/>
    <s v="Electricity T&amp;D WTT"/>
    <s v="t+d_wtt"/>
    <b v="0"/>
    <s v="ELECTRICITY; UNITED STATES - AZNM; T&amp;D WTT Estimated"/>
    <x v="1"/>
    <x v="1"/>
    <s v="Americas"/>
    <s v="Northern America"/>
    <s v="US"/>
    <s v="AZNM"/>
    <n v="0"/>
    <s v="CH4"/>
    <n v="1.942183349"/>
    <n v="1.03889E-5"/>
    <s v="KWH"/>
    <n v="1"/>
    <n v="186947.86"/>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ELECTRICITY; TRANSMISSION AND DISTRIBUTION; UNITED STATES - AZNM, USEPA to estimate the T&amp;D WTT factor."/>
    <n v="2021"/>
    <n v="2019"/>
    <n v="0"/>
    <n v="0"/>
    <x v="19"/>
    <s v="Office"/>
  </r>
  <r>
    <n v="4965"/>
    <s v="Top of Hierarchy &gt; North America &gt; Vantage_Tucson"/>
    <x v="0"/>
    <x v="1"/>
    <d v="2021-01-01T00:00:00"/>
    <d v="2021-12-31T00:00:00"/>
    <x v="0"/>
    <d v="2021-01-01T00:00:00"/>
    <d v="2021-12-31T00:00:00"/>
    <s v="Electricity (non-renewable)"/>
    <n v="186947.86"/>
    <s v="Kilowatt hours"/>
    <x v="1"/>
    <m/>
    <s v="2023-02-27, 16:27"/>
    <s v="2023-07-20, 00:40"/>
    <n v="2021"/>
    <s v="electricity__t+d__wtt"/>
    <s v="Electricity T&amp;D WTT"/>
    <s v="t+d_wtt"/>
    <b v="0"/>
    <s v="ELECTRICITY; UNITED STATES - AZNM; T&amp;D WTT Estimated"/>
    <x v="1"/>
    <x v="1"/>
    <s v="Americas"/>
    <s v="Northern America"/>
    <s v="US"/>
    <s v="AZNM"/>
    <n v="0"/>
    <s v="CO2"/>
    <n v="1087.989405"/>
    <n v="5.8197479999999996E-3"/>
    <s v="KWH"/>
    <n v="1"/>
    <n v="186947.86"/>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ELECTRICITY; TRANSMISSION AND DISTRIBUTION; UNITED STATES - AZNM, USEPA to estimate the T&amp;D WTT factor."/>
    <n v="2021"/>
    <n v="2019"/>
    <n v="0"/>
    <n v="0"/>
    <x v="19"/>
    <s v="Office"/>
  </r>
  <r>
    <n v="4965"/>
    <s v="Top of Hierarchy &gt; North America &gt; Vantage_Tucson"/>
    <x v="0"/>
    <x v="1"/>
    <d v="2021-01-01T00:00:00"/>
    <d v="2021-12-31T00:00:00"/>
    <x v="0"/>
    <d v="2021-01-01T00:00:00"/>
    <d v="2021-12-31T00:00:00"/>
    <s v="Electricity (non-renewable)"/>
    <n v="186947.86"/>
    <s v="Kilowatt hours"/>
    <x v="1"/>
    <m/>
    <s v="2023-02-27, 16:27"/>
    <s v="2023-07-20, 00:40"/>
    <n v="2021"/>
    <s v="electricity__t+d__wtt"/>
    <s v="Electricity T&amp;D WTT"/>
    <s v="t+d_wtt"/>
    <b v="0"/>
    <s v="ELECTRICITY; UNITED STATES - AZNM; T&amp;D WTT Estimated"/>
    <x v="1"/>
    <x v="1"/>
    <s v="Americas"/>
    <s v="Northern America"/>
    <s v="US"/>
    <s v="AZNM"/>
    <n v="0"/>
    <s v="CO2E"/>
    <n v="1093.3361219999999"/>
    <n v="5.8483479999999997E-3"/>
    <s v="KWH"/>
    <n v="1"/>
    <n v="186947.86"/>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ELECTRICITY; TRANSMISSION AND DISTRIBUTION; UNITED STATES - AZNM, USEPA to estimate the T&amp;D WTT factor."/>
    <n v="2021"/>
    <n v="2019"/>
    <n v="1.093336122"/>
    <n v="0"/>
    <x v="19"/>
    <s v="Office"/>
  </r>
  <r>
    <n v="4965"/>
    <s v="Top of Hierarchy &gt; North America &gt; Vantage_Tucson"/>
    <x v="0"/>
    <x v="1"/>
    <d v="2021-01-01T00:00:00"/>
    <d v="2021-12-31T00:00:00"/>
    <x v="0"/>
    <d v="2021-01-01T00:00:00"/>
    <d v="2021-12-31T00:00:00"/>
    <s v="Electricity (non-renewable)"/>
    <n v="186947.86"/>
    <s v="Kilowatt hours"/>
    <x v="1"/>
    <m/>
    <s v="2023-02-27, 16:27"/>
    <s v="2023-07-20, 00:40"/>
    <n v="2021"/>
    <s v="electricity__t+d__wtt"/>
    <s v="Electricity T&amp;D WTT"/>
    <s v="t+d_wtt"/>
    <b v="0"/>
    <s v="ELECTRICITY; UNITED STATES - AZNM; T&amp;D WTT Estimated"/>
    <x v="1"/>
    <x v="1"/>
    <s v="Americas"/>
    <s v="Northern America"/>
    <s v="US"/>
    <s v="AZNM"/>
    <n v="0"/>
    <s v="N2O"/>
    <n v="3.4045331650000001"/>
    <n v="1.8211099999999999E-5"/>
    <s v="KWH"/>
    <n v="1"/>
    <n v="186947.86"/>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ELECTRICITY; TRANSMISSION AND DISTRIBUTION; UNITED STATES - AZNM, USEPA to estimate the T&amp;D WTT factor."/>
    <n v="2021"/>
    <n v="2019"/>
    <n v="0"/>
    <n v="0"/>
    <x v="19"/>
    <s v="Office"/>
  </r>
  <r>
    <n v="4965"/>
    <s v="Top of Hierarchy &gt; North America &gt; Vantage_Tucson"/>
    <x v="0"/>
    <x v="1"/>
    <d v="2021-01-01T00:00:00"/>
    <d v="2021-12-31T00:00:00"/>
    <x v="0"/>
    <d v="2021-01-01T00:00:00"/>
    <d v="2021-12-31T00:00:00"/>
    <s v="Electricity (non-renewable)"/>
    <n v="186947.86"/>
    <s v="Kilowatt hours"/>
    <x v="1"/>
    <m/>
    <s v="2023-02-27, 16:27"/>
    <s v="2023-07-20, 00:40"/>
    <n v="2021"/>
    <s v="electricity__t+d__wtt"/>
    <s v="Electricity T&amp;D WTT"/>
    <s v="t+d_wtt"/>
    <b v="0"/>
    <s v="ELECTRICITY; UNITED STATES - AZNM; T&amp;D WTT Estimated"/>
    <x v="1"/>
    <x v="1"/>
    <s v="Americas"/>
    <s v="Northern America"/>
    <s v="US"/>
    <s v="AZNM"/>
    <n v="1"/>
    <s v="CO2E MKT"/>
    <n v="1090.924387"/>
    <n v="5.8354469999999997E-3"/>
    <s v="KWH"/>
    <n v="1"/>
    <n v="186947.86"/>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  to estimate the T&amp;D WTT factor."/>
    <n v="2021"/>
    <n v="2019"/>
    <n v="0"/>
    <n v="1.0909243870000001"/>
    <x v="19"/>
    <s v="Office"/>
  </r>
  <r>
    <n v="4965"/>
    <s v="Top of Hierarchy &gt; North America &gt; Vantage_Tucson"/>
    <x v="0"/>
    <x v="1"/>
    <d v="2021-01-01T00:00:00"/>
    <d v="2021-12-31T00:00:00"/>
    <x v="0"/>
    <d v="2021-01-01T00:00:00"/>
    <d v="2021-12-31T00:00:00"/>
    <s v="Electricity (non-renewable)"/>
    <n v="186947.86"/>
    <s v="Kilowatt hours"/>
    <x v="1"/>
    <m/>
    <s v="2023-02-27, 16:27"/>
    <s v="2023-07-20, 00:40"/>
    <n v="2021"/>
    <s v="electricity__wtt"/>
    <s v="Electricity WTT"/>
    <s v="wtt"/>
    <b v="0"/>
    <s v="ELECTRICITY; UNITED STATES - AZNM; WTT Estimated"/>
    <x v="1"/>
    <x v="1"/>
    <s v="Americas"/>
    <s v="Northern America"/>
    <s v="US"/>
    <s v="AZNM"/>
    <n v="0"/>
    <s v="CH4"/>
    <n v="38.082026460000002"/>
    <n v="2.03704E-4"/>
    <s v="KWH"/>
    <n v="1"/>
    <n v="186947.86"/>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AZNM, USEPAto estimate the WTT factor."/>
    <n v="2021"/>
    <n v="2019"/>
    <n v="0"/>
    <n v="0"/>
    <x v="19"/>
    <s v="Office"/>
  </r>
  <r>
    <n v="4965"/>
    <s v="Top of Hierarchy &gt; North America &gt; Vantage_Tucson"/>
    <x v="0"/>
    <x v="1"/>
    <d v="2021-01-01T00:00:00"/>
    <d v="2021-12-31T00:00:00"/>
    <x v="0"/>
    <d v="2021-01-01T00:00:00"/>
    <d v="2021-12-31T00:00:00"/>
    <s v="Electricity (non-renewable)"/>
    <n v="186947.86"/>
    <s v="Kilowatt hours"/>
    <x v="1"/>
    <m/>
    <s v="2023-02-27, 16:27"/>
    <s v="2023-07-20, 00:40"/>
    <n v="2021"/>
    <s v="electricity__wtt"/>
    <s v="Electricity WTT"/>
    <s v="wtt"/>
    <b v="0"/>
    <s v="ELECTRICITY; UNITED STATES - AZNM; WTT Estimated"/>
    <x v="1"/>
    <x v="1"/>
    <s v="Americas"/>
    <s v="Northern America"/>
    <s v="US"/>
    <s v="AZNM"/>
    <n v="0"/>
    <s v="CO2"/>
    <n v="21333.125599999999"/>
    <n v="0.114112703"/>
    <s v="KWH"/>
    <n v="1"/>
    <n v="186947.86"/>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AZNM, USEPAto estimate the WTT factor."/>
    <n v="2021"/>
    <n v="2019"/>
    <n v="0"/>
    <n v="0"/>
    <x v="19"/>
    <s v="Office"/>
  </r>
  <r>
    <n v="4965"/>
    <s v="Top of Hierarchy &gt; North America &gt; Vantage_Tucson"/>
    <x v="0"/>
    <x v="1"/>
    <d v="2021-01-01T00:00:00"/>
    <d v="2021-12-31T00:00:00"/>
    <x v="0"/>
    <d v="2021-01-01T00:00:00"/>
    <d v="2021-12-31T00:00:00"/>
    <s v="Electricity (non-renewable)"/>
    <n v="186947.86"/>
    <s v="Kilowatt hours"/>
    <x v="1"/>
    <m/>
    <s v="2023-02-27, 16:27"/>
    <s v="2023-07-20, 00:40"/>
    <n v="2021"/>
    <s v="electricity__wtt"/>
    <s v="Electricity WTT"/>
    <s v="wtt"/>
    <b v="0"/>
    <s v="ELECTRICITY; UNITED STATES - AZNM; WTT Estimated"/>
    <x v="1"/>
    <x v="1"/>
    <s v="Americas"/>
    <s v="Northern America"/>
    <s v="US"/>
    <s v="AZNM"/>
    <n v="0"/>
    <s v="CO2E"/>
    <n v="21437.963179999999"/>
    <n v="0.114673488"/>
    <s v="KWH"/>
    <n v="1"/>
    <n v="186947.86"/>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AZNM, USEPAto estimate the WTT factor."/>
    <n v="2021"/>
    <n v="2019"/>
    <n v="21.437963180000001"/>
    <n v="0"/>
    <x v="19"/>
    <s v="Office"/>
  </r>
  <r>
    <n v="4965"/>
    <s v="Top of Hierarchy &gt; North America &gt; Vantage_Tucson"/>
    <x v="0"/>
    <x v="1"/>
    <d v="2021-01-01T00:00:00"/>
    <d v="2021-12-31T00:00:00"/>
    <x v="0"/>
    <d v="2021-01-01T00:00:00"/>
    <d v="2021-12-31T00:00:00"/>
    <s v="Electricity (non-renewable)"/>
    <n v="186947.86"/>
    <s v="Kilowatt hours"/>
    <x v="1"/>
    <m/>
    <s v="2023-02-27, 16:27"/>
    <s v="2023-07-20, 00:40"/>
    <n v="2021"/>
    <s v="electricity__wtt"/>
    <s v="Electricity WTT"/>
    <s v="wtt"/>
    <b v="0"/>
    <s v="ELECTRICITY; UNITED STATES - AZNM; WTT Estimated"/>
    <x v="1"/>
    <x v="1"/>
    <s v="Americas"/>
    <s v="Northern America"/>
    <s v="US"/>
    <s v="AZNM"/>
    <n v="0"/>
    <s v="N2O"/>
    <n v="66.755552260000002"/>
    <n v="3.5708099999999998E-4"/>
    <s v="KWH"/>
    <n v="1"/>
    <n v="186947.86"/>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AZNM, USEPAto estimate the WTT factor."/>
    <n v="2021"/>
    <n v="2019"/>
    <n v="0"/>
    <n v="0"/>
    <x v="19"/>
    <s v="Office"/>
  </r>
  <r>
    <n v="4965"/>
    <s v="Top of Hierarchy &gt; North America &gt; Vantage_Tucson"/>
    <x v="0"/>
    <x v="1"/>
    <d v="2021-01-01T00:00:00"/>
    <d v="2021-12-31T00:00:00"/>
    <x v="0"/>
    <d v="2021-01-01T00:00:00"/>
    <d v="2021-12-31T00:00:00"/>
    <s v="Electricity (non-renewable)"/>
    <n v="186947.86"/>
    <s v="Kilowatt hours"/>
    <x v="1"/>
    <m/>
    <s v="2023-02-27, 16:27"/>
    <s v="2023-07-20, 00:40"/>
    <n v="2021"/>
    <s v="electricity__wtt"/>
    <s v="Electricity WTT"/>
    <s v="wtt"/>
    <b v="0"/>
    <s v="ELECTRICITY; UNITED STATES - AZNM; WTT Estimated"/>
    <x v="1"/>
    <x v="1"/>
    <s v="Americas"/>
    <s v="Northern America"/>
    <s v="US"/>
    <s v="AZNM"/>
    <n v="1"/>
    <s v="CO2E MKT"/>
    <n v="21390.67426"/>
    <n v="0.114420536"/>
    <s v="KWH"/>
    <n v="1"/>
    <n v="186947.86"/>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AZNM, Green-eto estimate the WTT factor."/>
    <n v="2021"/>
    <n v="2019"/>
    <n v="0"/>
    <n v="21.390674260000001"/>
    <x v="19"/>
    <s v="Office"/>
  </r>
  <r>
    <n v="4965"/>
    <s v="Top of Hierarchy &gt; North America &gt; Vantage_Tucson"/>
    <x v="0"/>
    <x v="1"/>
    <d v="2021-01-01T00:00:00"/>
    <d v="2021-12-31T00:00:00"/>
    <x v="0"/>
    <d v="2021-01-01T00:00:00"/>
    <d v="2021-12-31T00:00:00"/>
    <s v="Electricity (non-renewable)"/>
    <n v="186947.86"/>
    <s v="Kilowatt hours"/>
    <x v="1"/>
    <m/>
    <s v="2023-02-27, 16:27"/>
    <s v="2023-07-20, 00:40"/>
    <n v="2021"/>
    <s v="electricity__t+d"/>
    <s v="Electricity T&amp;D"/>
    <s v="t+d"/>
    <b v="0"/>
    <s v="ELECTRICITY; TRANSMISSION AND DISTRIBUTION; UNITED STATES - AZNM"/>
    <x v="1"/>
    <x v="1"/>
    <s v="Americas"/>
    <s v="Northern America"/>
    <s v="US"/>
    <s v="AZNM"/>
    <n v="0"/>
    <s v="CO2E"/>
    <n v="4138.7463079999998"/>
    <n v="2.2138505999999999E-2"/>
    <s v="KWH"/>
    <n v="1"/>
    <n v="186947.86"/>
    <s v="AR4"/>
    <s v="USEPA"/>
    <s v="USEPA (2021)"/>
    <n v="2021"/>
    <n v="2019"/>
    <n v="4.138746308"/>
    <n v="0"/>
    <x v="19"/>
    <s v="Office"/>
  </r>
  <r>
    <n v="4965"/>
    <s v="Top of Hierarchy &gt; North America &gt; Vantage_Tucson"/>
    <x v="0"/>
    <x v="1"/>
    <d v="2021-01-01T00:00:00"/>
    <d v="2021-12-31T00:00:00"/>
    <x v="0"/>
    <d v="2021-01-01T00:00:00"/>
    <d v="2021-12-31T00:00:00"/>
    <s v="Electricity (non-renewable)"/>
    <n v="186947.86"/>
    <s v="Kilowatt hours"/>
    <x v="1"/>
    <m/>
    <s v="2023-02-27, 16:27"/>
    <s v="2023-07-20, 00:40"/>
    <n v="2021"/>
    <s v="electricity__t+d"/>
    <s v="Electricity T&amp;D"/>
    <s v="t+d"/>
    <b v="0"/>
    <s v="ELECTRICITY; UNITED STATES - AZNM; T&amp;D Estimated"/>
    <x v="1"/>
    <x v="1"/>
    <s v="Americas"/>
    <s v="Northern America"/>
    <s v="US"/>
    <s v="AZNM"/>
    <n v="1"/>
    <s v="CO2E MKT"/>
    <n v="4129.6168580000003"/>
    <n v="2.2089672000000001E-2"/>
    <s v="KWH"/>
    <n v="1"/>
    <n v="186947.86"/>
    <s v="AR4"/>
    <s v="Anthesis"/>
    <s v="The median T&amp;D to generation factor ratio of all countries within the region Northern America was taken to be ELECTRICITY; UNITED STATES - SRSO, USEPA to ELECTRICITY; TRANSMISSION AND DISTRIBUTION; UNITED STATES - SRSO, USEPA: 0.051. This was applied to the base factor ELECTRICITY; UNITED STATES - AZNM, Green-eto estimate the T&amp;D factor."/>
    <n v="2021"/>
    <n v="2019"/>
    <n v="0"/>
    <n v="4.1296168580000003"/>
    <x v="19"/>
    <s v="Office"/>
  </r>
  <r>
    <n v="4990"/>
    <s v="Top of Hierarchy &gt; North America &gt; Vantage_Tucson"/>
    <x v="0"/>
    <x v="1"/>
    <d v="2021-01-01T00:00:00"/>
    <d v="2021-12-31T00:00:00"/>
    <x v="3"/>
    <d v="2021-01-01T00:00:00"/>
    <d v="2021-12-31T00:00:00"/>
    <s v="Natural gas"/>
    <n v="3355"/>
    <s v="Hundred Thousand BTUs"/>
    <x v="1"/>
    <m/>
    <s v="2023-02-27, 16:27"/>
    <s v="2023-07-20, 00:40"/>
    <n v="2021"/>
    <s v="natural_gas"/>
    <s v="Natural Gas"/>
    <s v="model"/>
    <b v="0"/>
    <s v="NATURAL GAS, NATURAL GAS"/>
    <x v="2"/>
    <x v="0"/>
    <s v="Americas"/>
    <s v="Northern America"/>
    <s v="US"/>
    <m/>
    <n v="0"/>
    <s v="CH4"/>
    <n v="8.3874999999999993"/>
    <n v="2.5000000000000001E-2"/>
    <s v="MMBTU"/>
    <n v="0.1"/>
    <n v="335.5"/>
    <s v="AR4"/>
    <s v="USEPA"/>
    <s v="USEPA (2021)"/>
    <n v="2021"/>
    <n v="2021"/>
    <n v="0"/>
    <n v="0"/>
    <x v="19"/>
    <s v="Office"/>
  </r>
  <r>
    <n v="4990"/>
    <s v="Top of Hierarchy &gt; North America &gt; Vantage_Tucson"/>
    <x v="0"/>
    <x v="1"/>
    <d v="2021-01-01T00:00:00"/>
    <d v="2021-12-31T00:00:00"/>
    <x v="3"/>
    <d v="2021-01-01T00:00:00"/>
    <d v="2021-12-31T00:00:00"/>
    <s v="Natural gas"/>
    <n v="3355"/>
    <s v="Hundred Thousand BTUs"/>
    <x v="1"/>
    <m/>
    <s v="2023-02-27, 16:27"/>
    <s v="2023-07-20, 00:40"/>
    <n v="2021"/>
    <s v="natural_gas"/>
    <s v="Natural Gas"/>
    <s v="model"/>
    <b v="0"/>
    <s v="NATURAL GAS, NATURAL GAS"/>
    <x v="2"/>
    <x v="0"/>
    <s v="Americas"/>
    <s v="Northern America"/>
    <s v="US"/>
    <m/>
    <n v="0"/>
    <s v="CO2"/>
    <n v="17801.63"/>
    <n v="53.06"/>
    <s v="MMBTU"/>
    <n v="0.1"/>
    <n v="335.5"/>
    <s v="AR4"/>
    <s v="USEPA"/>
    <s v="USEPA Emission Factors Hub (Last Modified: March 2020)"/>
    <n v="2021"/>
    <n v="2020"/>
    <n v="0"/>
    <n v="0"/>
    <x v="19"/>
    <s v="Office"/>
  </r>
  <r>
    <n v="4990"/>
    <s v="Top of Hierarchy &gt; North America &gt; Vantage_Tucson"/>
    <x v="0"/>
    <x v="1"/>
    <d v="2021-01-01T00:00:00"/>
    <d v="2021-12-31T00:00:00"/>
    <x v="3"/>
    <d v="2021-01-01T00:00:00"/>
    <d v="2021-12-31T00:00:00"/>
    <s v="Natural gas"/>
    <n v="3355"/>
    <s v="Hundred Thousand BTUs"/>
    <x v="1"/>
    <m/>
    <s v="2023-02-27, 16:27"/>
    <s v="2023-07-20, 00:40"/>
    <n v="2021"/>
    <s v="natural_gas"/>
    <s v="Natural Gas"/>
    <s v="model"/>
    <b v="0"/>
    <s v="NATURAL GAS, NATURAL GAS"/>
    <x v="2"/>
    <x v="0"/>
    <s v="Americas"/>
    <s v="Northern America"/>
    <s v="US"/>
    <m/>
    <n v="0"/>
    <s v="CO2E"/>
    <n v="17820.0154"/>
    <n v="53.114800000000002"/>
    <s v="MMBTU"/>
    <n v="0.1"/>
    <n v="335.5"/>
    <s v="AR4"/>
    <s v="USEPA"/>
    <s v="USEPA (2021)"/>
    <n v="2021"/>
    <n v="2021"/>
    <n v="17.820015399999999"/>
    <n v="0"/>
    <x v="19"/>
    <s v="Office"/>
  </r>
  <r>
    <n v="4990"/>
    <s v="Top of Hierarchy &gt; North America &gt; Vantage_Tucson"/>
    <x v="0"/>
    <x v="1"/>
    <d v="2021-01-01T00:00:00"/>
    <d v="2021-12-31T00:00:00"/>
    <x v="3"/>
    <d v="2021-01-01T00:00:00"/>
    <d v="2021-12-31T00:00:00"/>
    <s v="Natural gas"/>
    <n v="3355"/>
    <s v="Hundred Thousand BTUs"/>
    <x v="1"/>
    <m/>
    <s v="2023-02-27, 16:27"/>
    <s v="2023-07-20, 00:40"/>
    <n v="2021"/>
    <s v="natural_gas"/>
    <s v="Natural Gas"/>
    <s v="model"/>
    <b v="0"/>
    <s v="NATURAL GAS, NATURAL GAS"/>
    <x v="2"/>
    <x v="0"/>
    <s v="Americas"/>
    <s v="Northern America"/>
    <s v="US"/>
    <m/>
    <n v="0"/>
    <s v="N2O"/>
    <n v="9.9978999999999996"/>
    <n v="2.98E-2"/>
    <s v="MMBTU"/>
    <n v="0.1"/>
    <n v="335.5"/>
    <s v="AR4"/>
    <s v="USEPA"/>
    <s v="USEPA (2021)"/>
    <n v="2021"/>
    <n v="2021"/>
    <n v="0"/>
    <n v="0"/>
    <x v="19"/>
    <s v="Office"/>
  </r>
  <r>
    <n v="4990"/>
    <s v="Top of Hierarchy &gt; North America &gt; Vantage_Tucson"/>
    <x v="0"/>
    <x v="1"/>
    <d v="2021-01-01T00:00:00"/>
    <d v="2021-12-31T00:00:00"/>
    <x v="3"/>
    <d v="2021-01-01T00:00:00"/>
    <d v="2021-12-31T00:00:00"/>
    <s v="Natural gas"/>
    <n v="3355"/>
    <s v="Hundred Thousand BTUs"/>
    <x v="1"/>
    <m/>
    <s v="2023-02-27, 16:27"/>
    <s v="2023-07-20, 00:40"/>
    <n v="2021"/>
    <s v="natural_gas"/>
    <s v="Natural Gas"/>
    <s v="model"/>
    <b v="0"/>
    <s v="NATURAL GAS, NATURAL GAS"/>
    <x v="2"/>
    <x v="0"/>
    <s v="Americas"/>
    <s v="Northern America"/>
    <s v="US"/>
    <m/>
    <n v="1"/>
    <s v="CH4"/>
    <n v="8.3874999999999993"/>
    <n v="2.5000000000000001E-2"/>
    <s v="MMBTU"/>
    <n v="0.1"/>
    <n v="335.5"/>
    <s v="AR4"/>
    <s v="USEPA"/>
    <s v="USEPA (2021)"/>
    <n v="2021"/>
    <n v="2021"/>
    <n v="0"/>
    <n v="0"/>
    <x v="19"/>
    <s v="Office"/>
  </r>
  <r>
    <n v="4990"/>
    <s v="Top of Hierarchy &gt; North America &gt; Vantage_Tucson"/>
    <x v="0"/>
    <x v="1"/>
    <d v="2021-01-01T00:00:00"/>
    <d v="2021-12-31T00:00:00"/>
    <x v="3"/>
    <d v="2021-01-01T00:00:00"/>
    <d v="2021-12-31T00:00:00"/>
    <s v="Natural gas"/>
    <n v="3355"/>
    <s v="Hundred Thousand BTUs"/>
    <x v="1"/>
    <m/>
    <s v="2023-02-27, 16:27"/>
    <s v="2023-07-20, 00:40"/>
    <n v="2021"/>
    <s v="natural_gas"/>
    <s v="Natural Gas"/>
    <s v="model"/>
    <b v="0"/>
    <s v="NATURAL GAS, NATURAL GAS"/>
    <x v="2"/>
    <x v="0"/>
    <s v="Americas"/>
    <s v="Northern America"/>
    <s v="US"/>
    <m/>
    <n v="1"/>
    <s v="CO2"/>
    <n v="17801.63"/>
    <n v="53.06"/>
    <s v="MMBTU"/>
    <n v="0.1"/>
    <n v="335.5"/>
    <s v="AR4"/>
    <s v="USEPA"/>
    <s v="USEPA Emission Factors Hub (Last Modified: March 2020)"/>
    <n v="2021"/>
    <n v="2020"/>
    <n v="0"/>
    <n v="0"/>
    <x v="19"/>
    <s v="Office"/>
  </r>
  <r>
    <n v="4990"/>
    <s v="Top of Hierarchy &gt; North America &gt; Vantage_Tucson"/>
    <x v="0"/>
    <x v="1"/>
    <d v="2021-01-01T00:00:00"/>
    <d v="2021-12-31T00:00:00"/>
    <x v="3"/>
    <d v="2021-01-01T00:00:00"/>
    <d v="2021-12-31T00:00:00"/>
    <s v="Natural gas"/>
    <n v="3355"/>
    <s v="Hundred Thousand BTUs"/>
    <x v="1"/>
    <m/>
    <s v="2023-02-27, 16:27"/>
    <s v="2023-07-20, 00:40"/>
    <n v="2021"/>
    <s v="natural_gas"/>
    <s v="Natural Gas"/>
    <s v="model"/>
    <b v="0"/>
    <s v="NATURAL GAS, NATURAL GAS"/>
    <x v="2"/>
    <x v="0"/>
    <s v="Americas"/>
    <s v="Northern America"/>
    <s v="US"/>
    <m/>
    <n v="1"/>
    <s v="CO2E"/>
    <n v="17820.0154"/>
    <n v="53.114800000000002"/>
    <s v="MMBTU"/>
    <n v="0.1"/>
    <n v="335.5"/>
    <s v="AR4"/>
    <s v="USEPA"/>
    <s v="USEPA (2021)"/>
    <n v="2021"/>
    <n v="2021"/>
    <n v="0"/>
    <n v="17.820015399999999"/>
    <x v="19"/>
    <s v="Office"/>
  </r>
  <r>
    <n v="4990"/>
    <s v="Top of Hierarchy &gt; North America &gt; Vantage_Tucson"/>
    <x v="0"/>
    <x v="1"/>
    <d v="2021-01-01T00:00:00"/>
    <d v="2021-12-31T00:00:00"/>
    <x v="3"/>
    <d v="2021-01-01T00:00:00"/>
    <d v="2021-12-31T00:00:00"/>
    <s v="Natural gas"/>
    <n v="3355"/>
    <s v="Hundred Thousand BTUs"/>
    <x v="1"/>
    <m/>
    <s v="2023-02-27, 16:27"/>
    <s v="2023-07-20, 00:40"/>
    <n v="2021"/>
    <s v="natural_gas"/>
    <s v="Natural Gas"/>
    <s v="model"/>
    <b v="0"/>
    <s v="NATURAL GAS, NATURAL GAS"/>
    <x v="2"/>
    <x v="0"/>
    <s v="Americas"/>
    <s v="Northern America"/>
    <s v="US"/>
    <m/>
    <n v="1"/>
    <s v="N2O"/>
    <n v="9.9978999999999996"/>
    <n v="2.98E-2"/>
    <s v="MMBTU"/>
    <n v="0.1"/>
    <n v="335.5"/>
    <s v="AR4"/>
    <s v="USEPA"/>
    <s v="USEPA (2021)"/>
    <n v="2021"/>
    <n v="2021"/>
    <n v="0"/>
    <n v="0"/>
    <x v="19"/>
    <s v="Office"/>
  </r>
  <r>
    <n v="4990"/>
    <s v="Top of Hierarchy &gt; North America &gt; Vantage_Tucson"/>
    <x v="0"/>
    <x v="1"/>
    <d v="2021-01-01T00:00:00"/>
    <d v="2021-12-31T00:00:00"/>
    <x v="3"/>
    <d v="2021-01-01T00:00:00"/>
    <d v="2021-12-31T00:00:00"/>
    <s v="Natural gas"/>
    <n v="3355"/>
    <s v="Hundred Thousand BTUs"/>
    <x v="1"/>
    <m/>
    <s v="2023-02-27, 16:27"/>
    <s v="2023-07-20, 00:40"/>
    <n v="2021"/>
    <s v="natural_gas__wtt"/>
    <s v="Natural Gas WTT"/>
    <s v="wtt"/>
    <b v="0"/>
    <s v="WTT- FUELS; WTT- GASEOUS FUELS; NATURAL GAS"/>
    <x v="1"/>
    <x v="1"/>
    <m/>
    <m/>
    <m/>
    <m/>
    <n v="0"/>
    <s v="CO2E"/>
    <n v="3081.7625429999998"/>
    <n v="3.1350000000000003E-2"/>
    <s v="KWH (GROSS CV)"/>
    <n v="29.3001"/>
    <n v="98301.835500000001"/>
    <s v="AR4"/>
    <s v="Defra"/>
    <s v="Defra (2021)"/>
    <n v="2021"/>
    <n v="2019"/>
    <n v="3.081762543"/>
    <n v="0"/>
    <x v="19"/>
    <s v="Office"/>
  </r>
  <r>
    <n v="4990"/>
    <s v="Top of Hierarchy &gt; North America &gt; Vantage_Tucson"/>
    <x v="0"/>
    <x v="1"/>
    <d v="2021-01-01T00:00:00"/>
    <d v="2021-12-31T00:00:00"/>
    <x v="3"/>
    <d v="2021-01-01T00:00:00"/>
    <d v="2021-12-31T00:00:00"/>
    <s v="Natural gas"/>
    <n v="3355"/>
    <s v="Hundred Thousand BTUs"/>
    <x v="1"/>
    <m/>
    <s v="2023-02-27, 16:27"/>
    <s v="2023-07-20, 00:40"/>
    <n v="2021"/>
    <s v="natural_gas__wtt"/>
    <s v="Natural Gas WTT"/>
    <s v="wtt"/>
    <b v="0"/>
    <s v="WTT- FUELS; WTT- GASEOUS FUELS; NATURAL GAS"/>
    <x v="1"/>
    <x v="1"/>
    <m/>
    <m/>
    <m/>
    <m/>
    <n v="1"/>
    <s v="CO2E"/>
    <n v="3081.7625429999998"/>
    <n v="3.1350000000000003E-2"/>
    <s v="KWH (GROSS CV)"/>
    <n v="29.3001"/>
    <n v="98301.835500000001"/>
    <s v="AR4"/>
    <s v="Defra"/>
    <s v="Defra (2021)"/>
    <n v="2021"/>
    <n v="2019"/>
    <n v="0"/>
    <n v="3.081762543"/>
    <x v="19"/>
    <s v="Office"/>
  </r>
  <r>
    <n v="5050"/>
    <s v="Top of Hierarchy &gt; North America &gt; Vantage_Tucson"/>
    <x v="0"/>
    <x v="1"/>
    <d v="2021-01-01T00:00:00"/>
    <d v="2021-12-31T00:00:00"/>
    <x v="4"/>
    <d v="2021-01-01T00:00:00"/>
    <d v="2021-12-31T00:00:00"/>
    <s v="R-410A"/>
    <n v="2.2258"/>
    <s v="kilograms"/>
    <x v="0"/>
    <m/>
    <s v="2023-02-27, 16:28"/>
    <s v="2023-08-23, 15:45"/>
    <n v="2021"/>
    <s v="r410a"/>
    <s v="R410A"/>
    <s v="model"/>
    <b v="0"/>
    <s v="REFRIGERANT: R-410A"/>
    <x v="2"/>
    <x v="0"/>
    <m/>
    <m/>
    <m/>
    <m/>
    <n v="0"/>
    <s v="CO2E"/>
    <n v="4647.4704000000002"/>
    <n v="2088"/>
    <s v="KG"/>
    <n v="1"/>
    <n v="2.2258"/>
    <s v="AR4"/>
    <s v="IPCC"/>
    <s v="IPCC (2021)"/>
    <n v="2021"/>
    <n v="2007"/>
    <n v="4.6474704000000004"/>
    <n v="0"/>
    <x v="19"/>
    <s v="Office"/>
  </r>
  <r>
    <n v="5050"/>
    <s v="Top of Hierarchy &gt; North America &gt; Vantage_Tucson"/>
    <x v="0"/>
    <x v="1"/>
    <d v="2021-01-01T00:00:00"/>
    <d v="2021-12-31T00:00:00"/>
    <x v="4"/>
    <d v="2021-01-01T00:00:00"/>
    <d v="2021-12-31T00:00:00"/>
    <s v="R-410A"/>
    <n v="2.2258"/>
    <s v="kilograms"/>
    <x v="0"/>
    <m/>
    <s v="2023-02-27, 16:28"/>
    <s v="2023-08-23, 15:45"/>
    <n v="2021"/>
    <s v="r410a"/>
    <s v="R410A"/>
    <s v="model"/>
    <b v="0"/>
    <s v="REFRIGERANT: R-410A"/>
    <x v="2"/>
    <x v="0"/>
    <m/>
    <m/>
    <m/>
    <m/>
    <n v="1"/>
    <s v="CO2E"/>
    <n v="4647.4704000000002"/>
    <n v="2088"/>
    <s v="KG"/>
    <n v="1"/>
    <n v="2.2258"/>
    <s v="AR4"/>
    <s v="IPCC"/>
    <s v="IPCC (2021)"/>
    <n v="2021"/>
    <n v="2007"/>
    <n v="0"/>
    <n v="4.6474704000000004"/>
    <x v="19"/>
    <s v="Office"/>
  </r>
  <r>
    <n v="1257608"/>
    <s v="Top of Hierarchy &gt; North America &gt; Vantage_Tucson"/>
    <x v="0"/>
    <x v="1"/>
    <d v="2021-01-01T00:00:00"/>
    <d v="2021-12-31T00:00:00"/>
    <x v="4"/>
    <d v="2021-01-01T00:00:00"/>
    <d v="2021-12-31T00:00:00"/>
    <s v="R410A"/>
    <n v="0"/>
    <s v="kilograms"/>
    <x v="1"/>
    <m/>
    <s v="2023-07-19, 20:05"/>
    <s v="2023-07-20, 00:40"/>
    <n v="2021"/>
    <s v="r410a"/>
    <s v="R410A"/>
    <s v="model"/>
    <b v="0"/>
    <s v="REFRIGERANT: R-410A"/>
    <x v="2"/>
    <x v="0"/>
    <m/>
    <m/>
    <m/>
    <m/>
    <n v="0"/>
    <s v="CO2E"/>
    <n v="0"/>
    <n v="2088"/>
    <s v="KG"/>
    <n v="1"/>
    <n v="0"/>
    <s v="AR4"/>
    <s v="IPCC"/>
    <s v="IPCC (2021)"/>
    <n v="2021"/>
    <n v="2007"/>
    <n v="0"/>
    <n v="0"/>
    <x v="19"/>
    <s v="Office"/>
  </r>
  <r>
    <n v="1257608"/>
    <s v="Top of Hierarchy &gt; North America &gt; Vantage_Tucson"/>
    <x v="0"/>
    <x v="1"/>
    <d v="2021-01-01T00:00:00"/>
    <d v="2021-12-31T00:00:00"/>
    <x v="4"/>
    <d v="2021-01-01T00:00:00"/>
    <d v="2021-12-31T00:00:00"/>
    <s v="R410A"/>
    <n v="0"/>
    <s v="kilograms"/>
    <x v="1"/>
    <m/>
    <s v="2023-07-19, 20:05"/>
    <s v="2023-07-20, 00:40"/>
    <n v="2021"/>
    <s v="r410a"/>
    <s v="R410A"/>
    <s v="model"/>
    <b v="0"/>
    <s v="REFRIGERANT: R-410A"/>
    <x v="2"/>
    <x v="0"/>
    <m/>
    <m/>
    <m/>
    <m/>
    <n v="1"/>
    <s v="CO2E"/>
    <n v="0"/>
    <n v="2088"/>
    <s v="KG"/>
    <n v="1"/>
    <n v="0"/>
    <s v="AR4"/>
    <s v="IPCC"/>
    <s v="IPCC (2021)"/>
    <n v="2021"/>
    <n v="2007"/>
    <n v="0"/>
    <n v="0"/>
    <x v="19"/>
    <s v="Office"/>
  </r>
  <r>
    <n v="1236894"/>
    <s v="Top of Hierarchy &gt; North America &gt; Vantage_Tucson"/>
    <x v="0"/>
    <x v="1"/>
    <d v="2021-01-01T00:00:00"/>
    <d v="2021-12-31T00:00:00"/>
    <x v="2"/>
    <d v="2021-01-01T00:00:00"/>
    <d v="2021-12-31T00:00:00"/>
    <s v="Propane"/>
    <n v="386.1"/>
    <s v="US liquid gallons"/>
    <x v="1"/>
    <m/>
    <s v="2023-07-18, 23:16"/>
    <s v="2023-07-20, 00:40"/>
    <n v="2021"/>
    <s v="propane"/>
    <s v="Propane"/>
    <s v="model"/>
    <b v="0"/>
    <s v="PETROLEUM PRODUCTS, PROPANE"/>
    <x v="2"/>
    <x v="0"/>
    <s v="Americas"/>
    <s v="Northern America"/>
    <s v="US"/>
    <m/>
    <n v="0"/>
    <s v="CH4"/>
    <n v="2.6061749999999999"/>
    <n v="6.7499999999999999E-3"/>
    <s v="GALLON (US LIQUID)"/>
    <n v="1"/>
    <n v="386.1"/>
    <s v="AR4"/>
    <s v="USEPA"/>
    <s v="USEPA (2021)"/>
    <n v="2021"/>
    <n v="2021"/>
    <n v="0"/>
    <n v="0"/>
    <x v="19"/>
    <s v="Office"/>
  </r>
  <r>
    <n v="1236894"/>
    <s v="Top of Hierarchy &gt; North America &gt; Vantage_Tucson"/>
    <x v="0"/>
    <x v="1"/>
    <d v="2021-01-01T00:00:00"/>
    <d v="2021-12-31T00:00:00"/>
    <x v="2"/>
    <d v="2021-01-01T00:00:00"/>
    <d v="2021-12-31T00:00:00"/>
    <s v="Propane"/>
    <n v="386.1"/>
    <s v="US liquid gallons"/>
    <x v="1"/>
    <m/>
    <s v="2023-07-18, 23:16"/>
    <s v="2023-07-20, 00:40"/>
    <n v="2021"/>
    <s v="propane"/>
    <s v="Propane"/>
    <s v="model"/>
    <b v="0"/>
    <s v="PETROLEUM PRODUCTS, PROPANE"/>
    <x v="2"/>
    <x v="0"/>
    <s v="Americas"/>
    <s v="Northern America"/>
    <s v="US"/>
    <m/>
    <n v="0"/>
    <s v="CO2"/>
    <n v="2208.4920000000002"/>
    <n v="5.72"/>
    <s v="GALLON (US LIQUID)"/>
    <n v="1"/>
    <n v="386.1"/>
    <s v="AR4"/>
    <s v="USEPA"/>
    <s v="USEPA (2021)"/>
    <n v="2021"/>
    <n v="2021"/>
    <n v="0"/>
    <n v="0"/>
    <x v="19"/>
    <s v="Office"/>
  </r>
  <r>
    <n v="1236894"/>
    <s v="Top of Hierarchy &gt; North America &gt; Vantage_Tucson"/>
    <x v="0"/>
    <x v="1"/>
    <d v="2021-01-01T00:00:00"/>
    <d v="2021-12-31T00:00:00"/>
    <x v="2"/>
    <d v="2021-01-01T00:00:00"/>
    <d v="2021-12-31T00:00:00"/>
    <s v="Propane"/>
    <n v="386.1"/>
    <s v="US liquid gallons"/>
    <x v="1"/>
    <m/>
    <s v="2023-07-18, 23:16"/>
    <s v="2023-07-20, 00:40"/>
    <n v="2021"/>
    <s v="propane"/>
    <s v="Propane"/>
    <s v="model"/>
    <b v="0"/>
    <s v="PETROLEUM PRODUCTS, PROPANE"/>
    <x v="2"/>
    <x v="0"/>
    <s v="Americas"/>
    <s v="Northern America"/>
    <s v="US"/>
    <m/>
    <n v="0"/>
    <s v="CO2E"/>
    <n v="2216.8510649999998"/>
    <n v="5.7416499999999999"/>
    <s v="GALLON (US LIQUID)"/>
    <n v="1"/>
    <n v="386.1"/>
    <s v="AR4"/>
    <s v="USEPA"/>
    <s v="USEPA (2021)"/>
    <n v="2021"/>
    <n v="2021"/>
    <n v="2.2168510649999997"/>
    <n v="0"/>
    <x v="19"/>
    <s v="Office"/>
  </r>
  <r>
    <n v="1236894"/>
    <s v="Top of Hierarchy &gt; North America &gt; Vantage_Tucson"/>
    <x v="0"/>
    <x v="1"/>
    <d v="2021-01-01T00:00:00"/>
    <d v="2021-12-31T00:00:00"/>
    <x v="2"/>
    <d v="2021-01-01T00:00:00"/>
    <d v="2021-12-31T00:00:00"/>
    <s v="Propane"/>
    <n v="386.1"/>
    <s v="US liquid gallons"/>
    <x v="1"/>
    <m/>
    <s v="2023-07-18, 23:16"/>
    <s v="2023-07-20, 00:40"/>
    <n v="2021"/>
    <s v="propane"/>
    <s v="Propane"/>
    <s v="model"/>
    <b v="0"/>
    <s v="PETROLEUM PRODUCTS, PROPANE"/>
    <x v="2"/>
    <x v="0"/>
    <s v="Americas"/>
    <s v="Northern America"/>
    <s v="US"/>
    <m/>
    <n v="0"/>
    <s v="N2O"/>
    <n v="5.7528899999999998"/>
    <n v="1.49E-2"/>
    <s v="GALLON (US LIQUID)"/>
    <n v="1"/>
    <n v="386.1"/>
    <s v="AR4"/>
    <s v="USEPA"/>
    <s v="USEPA (2021)"/>
    <n v="2021"/>
    <n v="2021"/>
    <n v="0"/>
    <n v="0"/>
    <x v="19"/>
    <s v="Office"/>
  </r>
  <r>
    <n v="1236894"/>
    <s v="Top of Hierarchy &gt; North America &gt; Vantage_Tucson"/>
    <x v="0"/>
    <x v="1"/>
    <d v="2021-01-01T00:00:00"/>
    <d v="2021-12-31T00:00:00"/>
    <x v="2"/>
    <d v="2021-01-01T00:00:00"/>
    <d v="2021-12-31T00:00:00"/>
    <s v="Propane"/>
    <n v="386.1"/>
    <s v="US liquid gallons"/>
    <x v="1"/>
    <m/>
    <s v="2023-07-18, 23:16"/>
    <s v="2023-07-20, 00:40"/>
    <n v="2021"/>
    <s v="propane"/>
    <s v="Propane"/>
    <s v="model"/>
    <b v="0"/>
    <s v="PETROLEUM PRODUCTS, PROPANE"/>
    <x v="2"/>
    <x v="0"/>
    <s v="Americas"/>
    <s v="Northern America"/>
    <s v="US"/>
    <m/>
    <n v="1"/>
    <s v="CH4"/>
    <n v="2.6061749999999999"/>
    <n v="6.7499999999999999E-3"/>
    <s v="GALLON (US LIQUID)"/>
    <n v="1"/>
    <n v="386.1"/>
    <s v="AR4"/>
    <s v="USEPA"/>
    <s v="USEPA (2021)"/>
    <n v="2021"/>
    <n v="2021"/>
    <n v="0"/>
    <n v="0"/>
    <x v="19"/>
    <s v="Office"/>
  </r>
  <r>
    <n v="1236894"/>
    <s v="Top of Hierarchy &gt; North America &gt; Vantage_Tucson"/>
    <x v="0"/>
    <x v="1"/>
    <d v="2021-01-01T00:00:00"/>
    <d v="2021-12-31T00:00:00"/>
    <x v="2"/>
    <d v="2021-01-01T00:00:00"/>
    <d v="2021-12-31T00:00:00"/>
    <s v="Propane"/>
    <n v="386.1"/>
    <s v="US liquid gallons"/>
    <x v="1"/>
    <m/>
    <s v="2023-07-18, 23:16"/>
    <s v="2023-07-20, 00:40"/>
    <n v="2021"/>
    <s v="propane"/>
    <s v="Propane"/>
    <s v="model"/>
    <b v="0"/>
    <s v="PETROLEUM PRODUCTS, PROPANE"/>
    <x v="2"/>
    <x v="0"/>
    <s v="Americas"/>
    <s v="Northern America"/>
    <s v="US"/>
    <m/>
    <n v="1"/>
    <s v="CO2"/>
    <n v="2208.4920000000002"/>
    <n v="5.72"/>
    <s v="GALLON (US LIQUID)"/>
    <n v="1"/>
    <n v="386.1"/>
    <s v="AR4"/>
    <s v="USEPA"/>
    <s v="USEPA (2021)"/>
    <n v="2021"/>
    <n v="2021"/>
    <n v="0"/>
    <n v="0"/>
    <x v="19"/>
    <s v="Office"/>
  </r>
  <r>
    <n v="1236894"/>
    <s v="Top of Hierarchy &gt; North America &gt; Vantage_Tucson"/>
    <x v="0"/>
    <x v="1"/>
    <d v="2021-01-01T00:00:00"/>
    <d v="2021-12-31T00:00:00"/>
    <x v="2"/>
    <d v="2021-01-01T00:00:00"/>
    <d v="2021-12-31T00:00:00"/>
    <s v="Propane"/>
    <n v="386.1"/>
    <s v="US liquid gallons"/>
    <x v="1"/>
    <m/>
    <s v="2023-07-18, 23:16"/>
    <s v="2023-07-20, 00:40"/>
    <n v="2021"/>
    <s v="propane"/>
    <s v="Propane"/>
    <s v="model"/>
    <b v="0"/>
    <s v="PETROLEUM PRODUCTS, PROPANE"/>
    <x v="2"/>
    <x v="0"/>
    <s v="Americas"/>
    <s v="Northern America"/>
    <s v="US"/>
    <m/>
    <n v="1"/>
    <s v="CO2E"/>
    <n v="2216.8510649999998"/>
    <n v="5.7416499999999999"/>
    <s v="GALLON (US LIQUID)"/>
    <n v="1"/>
    <n v="386.1"/>
    <s v="AR4"/>
    <s v="USEPA"/>
    <s v="USEPA (2021)"/>
    <n v="2021"/>
    <n v="2021"/>
    <n v="0"/>
    <n v="2.2168510649999997"/>
    <x v="19"/>
    <s v="Office"/>
  </r>
  <r>
    <n v="1236894"/>
    <s v="Top of Hierarchy &gt; North America &gt; Vantage_Tucson"/>
    <x v="0"/>
    <x v="1"/>
    <d v="2021-01-01T00:00:00"/>
    <d v="2021-12-31T00:00:00"/>
    <x v="2"/>
    <d v="2021-01-01T00:00:00"/>
    <d v="2021-12-31T00:00:00"/>
    <s v="Propane"/>
    <n v="386.1"/>
    <s v="US liquid gallons"/>
    <x v="1"/>
    <m/>
    <s v="2023-07-18, 23:16"/>
    <s v="2023-07-20, 00:40"/>
    <n v="2021"/>
    <s v="propane"/>
    <s v="Propane"/>
    <s v="model"/>
    <b v="0"/>
    <s v="PETROLEUM PRODUCTS, PROPANE"/>
    <x v="2"/>
    <x v="0"/>
    <s v="Americas"/>
    <s v="Northern America"/>
    <s v="US"/>
    <m/>
    <n v="1"/>
    <s v="N2O"/>
    <n v="5.7528899999999998"/>
    <n v="1.49E-2"/>
    <s v="GALLON (US LIQUID)"/>
    <n v="1"/>
    <n v="386.1"/>
    <s v="AR4"/>
    <s v="USEPA"/>
    <s v="USEPA (2021)"/>
    <n v="2021"/>
    <n v="2021"/>
    <n v="0"/>
    <n v="0"/>
    <x v="19"/>
    <s v="Office"/>
  </r>
  <r>
    <n v="1236894"/>
    <s v="Top of Hierarchy &gt; North America &gt; Vantage_Tucson"/>
    <x v="0"/>
    <x v="1"/>
    <d v="2021-01-01T00:00:00"/>
    <d v="2021-12-31T00:00:00"/>
    <x v="2"/>
    <d v="2021-01-01T00:00:00"/>
    <d v="2021-12-31T00:00:00"/>
    <s v="Propane"/>
    <n v="386.1"/>
    <s v="US liquid gallons"/>
    <x v="1"/>
    <m/>
    <s v="2023-07-18, 23:16"/>
    <s v="2023-07-20, 00:40"/>
    <n v="2021"/>
    <s v="propane__wtt"/>
    <s v="Propane WTT"/>
    <s v="wtt"/>
    <b v="0"/>
    <s v="WTT- FUELS; WTT- GASEOUS FUELS; PROPANE"/>
    <x v="1"/>
    <x v="1"/>
    <m/>
    <m/>
    <m/>
    <m/>
    <n v="0"/>
    <s v="CO2E"/>
    <n v="263.75073570000001"/>
    <n v="0.18046000000000001"/>
    <s v="LITRES"/>
    <n v="3.7854100000000002"/>
    <n v="1461.546801"/>
    <s v="AR4"/>
    <s v="Defra"/>
    <s v="Defra (2021)"/>
    <n v="2021"/>
    <n v="2019"/>
    <n v="0.26375073570000002"/>
    <n v="0"/>
    <x v="19"/>
    <s v="Office"/>
  </r>
  <r>
    <n v="1236894"/>
    <s v="Top of Hierarchy &gt; North America &gt; Vantage_Tucson"/>
    <x v="0"/>
    <x v="1"/>
    <d v="2021-01-01T00:00:00"/>
    <d v="2021-12-31T00:00:00"/>
    <x v="2"/>
    <d v="2021-01-01T00:00:00"/>
    <d v="2021-12-31T00:00:00"/>
    <s v="Propane"/>
    <n v="386.1"/>
    <s v="US liquid gallons"/>
    <x v="1"/>
    <m/>
    <s v="2023-07-18, 23:16"/>
    <s v="2023-07-20, 00:40"/>
    <n v="2021"/>
    <s v="propane__wtt"/>
    <s v="Propane WTT"/>
    <s v="wtt"/>
    <b v="0"/>
    <s v="WTT- FUELS; WTT- GASEOUS FUELS; PROPANE"/>
    <x v="1"/>
    <x v="1"/>
    <m/>
    <m/>
    <m/>
    <m/>
    <n v="1"/>
    <s v="CO2E"/>
    <n v="263.75073570000001"/>
    <n v="0.18046000000000001"/>
    <s v="LITRES"/>
    <n v="3.7854100000000002"/>
    <n v="1461.546801"/>
    <s v="AR4"/>
    <s v="Defra"/>
    <s v="Defra (2021)"/>
    <n v="2021"/>
    <n v="2019"/>
    <n v="0"/>
    <n v="0.26375073570000002"/>
    <x v="19"/>
    <s v="Office"/>
  </r>
  <r>
    <n v="237865"/>
    <s v="Top of Hierarchy &gt; North America &gt; Vantage_Warren"/>
    <x v="0"/>
    <x v="0"/>
    <d v="2022-01-01T00:00:00"/>
    <d v="2022-12-31T00:00:00"/>
    <x v="0"/>
    <d v="2022-01-01T00:00:00"/>
    <d v="2022-12-31T00:00:00"/>
    <s v="Electricity (non-renewable)"/>
    <n v="315089"/>
    <s v="Kilowatt hours"/>
    <x v="1"/>
    <m/>
    <s v="2023-04-21, 22:48"/>
    <s v="2023-07-20, 00:40"/>
    <n v="2022"/>
    <s v="electricity"/>
    <s v="Electricity"/>
    <s v="model"/>
    <b v="0"/>
    <s v="ELECTRICITY; UNITED STATES - RFCE"/>
    <x v="0"/>
    <x v="0"/>
    <s v="Americas"/>
    <s v="Northern America"/>
    <s v="US"/>
    <s v="RFCE"/>
    <n v="0"/>
    <s v="CH4"/>
    <n v="160.7872121"/>
    <n v="5.1029099999999996E-4"/>
    <s v="KWH"/>
    <n v="1"/>
    <n v="315089"/>
    <s v="AR4"/>
    <s v="USEPA"/>
    <s v="USEPA (2022)"/>
    <n v="2022"/>
    <n v="2020"/>
    <n v="0"/>
    <n v="0"/>
    <x v="20"/>
    <s v="Office"/>
  </r>
  <r>
    <n v="237865"/>
    <s v="Top of Hierarchy &gt; North America &gt; Vantage_Warren"/>
    <x v="0"/>
    <x v="0"/>
    <d v="2022-01-01T00:00:00"/>
    <d v="2022-12-31T00:00:00"/>
    <x v="0"/>
    <d v="2022-01-01T00:00:00"/>
    <d v="2022-12-31T00:00:00"/>
    <s v="Electricity (non-renewable)"/>
    <n v="315089"/>
    <s v="Kilowatt hours"/>
    <x v="1"/>
    <m/>
    <s v="2023-04-21, 22:48"/>
    <s v="2023-07-20, 00:40"/>
    <n v="2022"/>
    <s v="electricity"/>
    <s v="Electricity"/>
    <s v="model"/>
    <b v="0"/>
    <s v="ELECTRICITY; UNITED STATES - RFCE"/>
    <x v="0"/>
    <x v="0"/>
    <s v="Americas"/>
    <s v="Northern America"/>
    <s v="US"/>
    <s v="RFCE"/>
    <n v="0"/>
    <s v="CO2"/>
    <n v="93250.580270000006"/>
    <n v="0.29594997099999998"/>
    <s v="KWH"/>
    <n v="1"/>
    <n v="315089"/>
    <s v="AR4"/>
    <s v="USEPA"/>
    <s v="USEPA (2022)"/>
    <n v="2022"/>
    <n v="2020"/>
    <n v="0"/>
    <n v="0"/>
    <x v="20"/>
    <s v="Office"/>
  </r>
  <r>
    <n v="237865"/>
    <s v="Top of Hierarchy &gt; North America &gt; Vantage_Warren"/>
    <x v="0"/>
    <x v="0"/>
    <d v="2022-01-01T00:00:00"/>
    <d v="2022-12-31T00:00:00"/>
    <x v="0"/>
    <d v="2022-01-01T00:00:00"/>
    <d v="2022-12-31T00:00:00"/>
    <s v="Electricity (non-renewable)"/>
    <n v="315089"/>
    <s v="Kilowatt hours"/>
    <x v="1"/>
    <m/>
    <s v="2023-04-21, 22:48"/>
    <s v="2023-07-20, 00:40"/>
    <n v="2022"/>
    <s v="electricity"/>
    <s v="Electricity"/>
    <s v="model"/>
    <b v="0"/>
    <s v="ELECTRICITY; UNITED STATES - RFCE"/>
    <x v="0"/>
    <x v="0"/>
    <s v="Americas"/>
    <s v="Northern America"/>
    <s v="US"/>
    <s v="RFCE"/>
    <n v="0"/>
    <s v="CO2E"/>
    <n v="93666.911959999998"/>
    <n v="0.297271285"/>
    <s v="KWH"/>
    <n v="1"/>
    <n v="315089"/>
    <s v="AR4"/>
    <s v="USEPA"/>
    <s v="USEPA (2022)"/>
    <n v="2022"/>
    <n v="2020"/>
    <n v="93.666911959999993"/>
    <n v="0"/>
    <x v="20"/>
    <s v="Office"/>
  </r>
  <r>
    <n v="237865"/>
    <s v="Top of Hierarchy &gt; North America &gt; Vantage_Warren"/>
    <x v="0"/>
    <x v="0"/>
    <d v="2022-01-01T00:00:00"/>
    <d v="2022-12-31T00:00:00"/>
    <x v="0"/>
    <d v="2022-01-01T00:00:00"/>
    <d v="2022-12-31T00:00:00"/>
    <s v="Electricity (non-renewable)"/>
    <n v="315089"/>
    <s v="Kilowatt hours"/>
    <x v="1"/>
    <m/>
    <s v="2023-04-21, 22:48"/>
    <s v="2023-07-20, 00:40"/>
    <n v="2022"/>
    <s v="electricity"/>
    <s v="Electricity"/>
    <s v="model"/>
    <b v="0"/>
    <s v="ELECTRICITY; UNITED STATES - RFCE"/>
    <x v="0"/>
    <x v="0"/>
    <s v="Americas"/>
    <s v="Northern America"/>
    <s v="US"/>
    <s v="RFCE"/>
    <n v="0"/>
    <s v="N2O"/>
    <n v="255.54447569999999"/>
    <n v="8.1102300000000002E-4"/>
    <s v="KWH"/>
    <n v="1"/>
    <n v="315089"/>
    <s v="AR4"/>
    <s v="USEPA"/>
    <s v="USEPA (2022)"/>
    <n v="2022"/>
    <n v="2020"/>
    <n v="0"/>
    <n v="0"/>
    <x v="20"/>
    <s v="Office"/>
  </r>
  <r>
    <n v="237865"/>
    <s v="Top of Hierarchy &gt; North America &gt; Vantage_Warren"/>
    <x v="0"/>
    <x v="0"/>
    <d v="2022-01-01T00:00:00"/>
    <d v="2022-12-31T00:00:00"/>
    <x v="0"/>
    <d v="2022-01-01T00:00:00"/>
    <d v="2022-12-31T00:00:00"/>
    <s v="Electricity (non-renewable)"/>
    <n v="315089"/>
    <s v="Kilowatt hours"/>
    <x v="1"/>
    <m/>
    <s v="2023-04-21, 22:48"/>
    <s v="2023-07-20, 00:40"/>
    <n v="2022"/>
    <s v="electricity"/>
    <s v="Electricity"/>
    <s v="model"/>
    <b v="0"/>
    <s v="ELECTRICITY; UNITED STATES - RFCE"/>
    <x v="0"/>
    <x v="0"/>
    <s v="Americas"/>
    <s v="Northern America"/>
    <s v="US"/>
    <s v="RFCE"/>
    <n v="1"/>
    <s v="CO2E MKT"/>
    <n v="93280.87066"/>
    <n v="0.296046103"/>
    <s v="KWH"/>
    <n v="1"/>
    <n v="315089"/>
    <s v="AR4"/>
    <s v="Green-e"/>
    <s v="Green-e (2022)"/>
    <n v="2022"/>
    <n v="2020"/>
    <n v="0"/>
    <n v="93.280870660000005"/>
    <x v="20"/>
    <s v="Office"/>
  </r>
  <r>
    <n v="237865"/>
    <s v="Top of Hierarchy &gt; North America &gt; Vantage_Warren"/>
    <x v="0"/>
    <x v="0"/>
    <d v="2022-01-01T00:00:00"/>
    <d v="2022-12-31T00:00:00"/>
    <x v="0"/>
    <d v="2022-01-01T00:00:00"/>
    <d v="2022-12-31T00:00:00"/>
    <s v="Electricity (non-renewable)"/>
    <n v="315089"/>
    <s v="Kilowatt hours"/>
    <x v="1"/>
    <m/>
    <s v="2023-04-21, 22:48"/>
    <s v="2023-07-20, 00:40"/>
    <n v="2022"/>
    <s v="electricity__t+d__wtt"/>
    <s v="Electricity T&amp;D WTT"/>
    <s v="t+d_wtt"/>
    <b v="0"/>
    <s v="ELECTRICITY T&amp;D WTT; UNITED STATES - RFCE"/>
    <x v="1"/>
    <x v="1"/>
    <s v="Americas"/>
    <s v="Northern America"/>
    <s v="US"/>
    <s v="RFCE"/>
    <n v="0"/>
    <s v="CO2E"/>
    <n v="1466.6975789999999"/>
    <n v="4.6548680000000004E-3"/>
    <s v="KWH"/>
    <n v="1"/>
    <n v="315089"/>
    <s v="AR4"/>
    <s v="Anthesis"/>
    <s v="Anthesis (2022)"/>
    <n v="2022"/>
    <n v="2020"/>
    <n v="1.4666975789999999"/>
    <n v="0"/>
    <x v="20"/>
    <s v="Office"/>
  </r>
  <r>
    <n v="237865"/>
    <s v="Top of Hierarchy &gt; North America &gt; Vantage_Warren"/>
    <x v="0"/>
    <x v="0"/>
    <d v="2022-01-01T00:00:00"/>
    <d v="2022-12-31T00:00:00"/>
    <x v="0"/>
    <d v="2022-01-01T00:00:00"/>
    <d v="2022-12-31T00:00:00"/>
    <s v="Electricity (non-renewable)"/>
    <n v="315089"/>
    <s v="Kilowatt hours"/>
    <x v="1"/>
    <m/>
    <s v="2023-04-21, 22:48"/>
    <s v="2023-07-20, 00:40"/>
    <n v="2022"/>
    <s v="electricity__t+d__wtt"/>
    <s v="Electricity T&amp;D WTT"/>
    <s v="t+d_wtt"/>
    <b v="0"/>
    <s v="ELECTRICITY; UNITED STATES - RFCE; T&amp;D WTT Estimated"/>
    <x v="1"/>
    <x v="1"/>
    <s v="Americas"/>
    <s v="Northern America"/>
    <s v="US"/>
    <s v="RFCE"/>
    <n v="1"/>
    <s v="CO2E MKT"/>
    <n v="1338.7170659999999"/>
    <n v="4.2486950000000002E-3"/>
    <s v="KWH"/>
    <n v="1"/>
    <n v="315089"/>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  to estimate the T&amp;D WTT factor."/>
    <n v="2022"/>
    <n v="2019"/>
    <n v="0"/>
    <n v="1.3387170659999998"/>
    <x v="20"/>
    <s v="Office"/>
  </r>
  <r>
    <n v="237865"/>
    <s v="Top of Hierarchy &gt; North America &gt; Vantage_Warren"/>
    <x v="0"/>
    <x v="0"/>
    <d v="2022-01-01T00:00:00"/>
    <d v="2022-12-31T00:00:00"/>
    <x v="0"/>
    <d v="2022-01-01T00:00:00"/>
    <d v="2022-12-31T00:00:00"/>
    <s v="Electricity (non-renewable)"/>
    <n v="315089"/>
    <s v="Kilowatt hours"/>
    <x v="1"/>
    <m/>
    <s v="2023-04-21, 22:48"/>
    <s v="2023-07-20, 00:40"/>
    <n v="2022"/>
    <s v="electricity__wtt"/>
    <s v="Electricity WTT"/>
    <s v="wtt"/>
    <b v="0"/>
    <s v="ELECTRICITY WTT; UNITED STATES - RFCE"/>
    <x v="1"/>
    <x v="1"/>
    <s v="Americas"/>
    <s v="Northern America"/>
    <s v="US"/>
    <s v="RFCE"/>
    <n v="0"/>
    <s v="CO2E"/>
    <n v="26206.841659999998"/>
    <n v="8.3172823000000007E-2"/>
    <s v="KWH"/>
    <n v="1"/>
    <n v="315089"/>
    <s v="AR4"/>
    <s v="Anthesis"/>
    <s v="Anthesis (2022)"/>
    <n v="2022"/>
    <n v="2020"/>
    <n v="26.206841659999998"/>
    <n v="0"/>
    <x v="20"/>
    <s v="Office"/>
  </r>
  <r>
    <n v="237865"/>
    <s v="Top of Hierarchy &gt; North America &gt; Vantage_Warren"/>
    <x v="0"/>
    <x v="0"/>
    <d v="2022-01-01T00:00:00"/>
    <d v="2022-12-31T00:00:00"/>
    <x v="0"/>
    <d v="2022-01-01T00:00:00"/>
    <d v="2022-12-31T00:00:00"/>
    <s v="Electricity (non-renewable)"/>
    <n v="315089"/>
    <s v="Kilowatt hours"/>
    <x v="1"/>
    <m/>
    <s v="2023-04-21, 22:48"/>
    <s v="2023-07-20, 00:40"/>
    <n v="2022"/>
    <s v="electricity__wtt"/>
    <s v="Electricity WTT"/>
    <s v="wtt"/>
    <b v="0"/>
    <s v="ELECTRICITY; UNITED STATES - RFCE; WTT Estimated"/>
    <x v="1"/>
    <x v="1"/>
    <s v="Americas"/>
    <s v="Northern America"/>
    <s v="US"/>
    <s v="RFCE"/>
    <n v="1"/>
    <s v="CO2E MKT"/>
    <n v="26249.354230000001"/>
    <n v="8.3307746000000002E-2"/>
    <s v="KWH"/>
    <n v="1"/>
    <n v="315089"/>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RFCE, Green-eto estimate the WTT factor."/>
    <n v="2022"/>
    <n v="2019"/>
    <n v="0"/>
    <n v="26.249354230000002"/>
    <x v="20"/>
    <s v="Office"/>
  </r>
  <r>
    <n v="237865"/>
    <s v="Top of Hierarchy &gt; North America &gt; Vantage_Warren"/>
    <x v="0"/>
    <x v="0"/>
    <d v="2022-01-01T00:00:00"/>
    <d v="2022-12-31T00:00:00"/>
    <x v="0"/>
    <d v="2022-01-01T00:00:00"/>
    <d v="2022-12-31T00:00:00"/>
    <s v="Electricity (non-renewable)"/>
    <n v="315089"/>
    <s v="Kilowatt hours"/>
    <x v="1"/>
    <m/>
    <s v="2023-04-21, 22:48"/>
    <s v="2023-07-20, 00:40"/>
    <n v="2022"/>
    <s v="electricity__t+d"/>
    <s v="Electricity T&amp;D"/>
    <s v="t+d"/>
    <b v="0"/>
    <s v="ELECTRICITY; TRANSMISSION AND DISTRIBUTION; UNITED STATES - RFCE"/>
    <x v="1"/>
    <x v="1"/>
    <s v="Americas"/>
    <s v="Northern America"/>
    <s v="US"/>
    <s v="RFCE"/>
    <n v="0"/>
    <s v="CO2E"/>
    <n v="4964.3463339999998"/>
    <n v="1.5755378E-2"/>
    <s v="KWH"/>
    <n v="1"/>
    <n v="315089"/>
    <s v="AR4"/>
    <s v="USEPA"/>
    <s v="USEPA (2022)"/>
    <n v="2022"/>
    <n v="2020"/>
    <n v="4.964346334"/>
    <n v="0"/>
    <x v="20"/>
    <s v="Office"/>
  </r>
  <r>
    <n v="237865"/>
    <s v="Top of Hierarchy &gt; North America &gt; Vantage_Warren"/>
    <x v="0"/>
    <x v="0"/>
    <d v="2022-01-01T00:00:00"/>
    <d v="2022-12-31T00:00:00"/>
    <x v="0"/>
    <d v="2022-01-01T00:00:00"/>
    <d v="2022-12-31T00:00:00"/>
    <s v="Electricity (non-renewable)"/>
    <n v="315089"/>
    <s v="Kilowatt hours"/>
    <x v="1"/>
    <m/>
    <s v="2023-04-21, 22:48"/>
    <s v="2023-07-20, 00:40"/>
    <n v="2022"/>
    <s v="electricity__t+d"/>
    <s v="Electricity T&amp;D"/>
    <s v="t+d"/>
    <b v="0"/>
    <s v="ELECTRICITY; UNITED STATES - RFCE; T&amp;D Estimated"/>
    <x v="1"/>
    <x v="1"/>
    <s v="Americas"/>
    <s v="Northern America"/>
    <s v="US"/>
    <s v="RFCE"/>
    <n v="1"/>
    <s v="CO2E MKT"/>
    <n v="5067.6184590000003"/>
    <n v="1.6083133999999999E-2"/>
    <s v="KWH"/>
    <n v="1"/>
    <n v="315089"/>
    <s v="AR4"/>
    <s v="Anthesis"/>
    <s v="The median T&amp;D to generation factor ratio of all countries within the region Northern America was taken to be ELECTRICITY; UNITED STATES - SRSO, USEPA to ELECTRICITY; TRANSMISSION AND DISTRIBUTION; UNITED STATES - SRSO, USEPA: 0.051. This was applied to the base factor ELECTRICITY; UNITED STATES - RFCE, Green-eto estimate the T&amp;D factor."/>
    <n v="2022"/>
    <n v="2019"/>
    <n v="0"/>
    <n v="5.0676184590000002"/>
    <x v="20"/>
    <s v="Office"/>
  </r>
  <r>
    <n v="1590444"/>
    <s v="Top of Hierarchy &gt; North America &gt; Vantage_Warren"/>
    <x v="0"/>
    <x v="0"/>
    <d v="2022-01-01T00:00:00"/>
    <d v="2022-12-31T00:00:00"/>
    <x v="3"/>
    <d v="2022-01-01T00:00:00"/>
    <d v="2022-12-31T00:00:00"/>
    <s v="Natural gas"/>
    <n v="5386.8980879999999"/>
    <s v="Hundred Thousand BTUs"/>
    <x v="0"/>
    <s v="Estimated from square footage (CBECS 2012)"/>
    <s v="2023-07-25, 17:50"/>
    <s v="2023-07-25, 17:50"/>
    <n v="2022"/>
    <s v="natural_gas"/>
    <s v="Natural Gas"/>
    <s v="model"/>
    <b v="0"/>
    <s v="NATURAL GAS, NATURAL GAS"/>
    <x v="2"/>
    <x v="0"/>
    <s v="Americas"/>
    <s v="Northern America"/>
    <s v="US"/>
    <m/>
    <n v="0"/>
    <s v="CH4"/>
    <n v="13.467245220000001"/>
    <n v="2.5000000000000001E-2"/>
    <s v="MMBTU"/>
    <n v="0.1"/>
    <n v="538.68980880000004"/>
    <s v="AR4"/>
    <s v="USEPA"/>
    <s v="USEPA Emission Factors Hub (Last Modified: March 2020)"/>
    <n v="2022"/>
    <n v="2021"/>
    <n v="0"/>
    <n v="0"/>
    <x v="20"/>
    <s v="Office"/>
  </r>
  <r>
    <n v="1590444"/>
    <s v="Top of Hierarchy &gt; North America &gt; Vantage_Warren"/>
    <x v="0"/>
    <x v="0"/>
    <d v="2022-01-01T00:00:00"/>
    <d v="2022-12-31T00:00:00"/>
    <x v="3"/>
    <d v="2022-01-01T00:00:00"/>
    <d v="2022-12-31T00:00:00"/>
    <s v="Natural gas"/>
    <n v="5386.8980879999999"/>
    <s v="Hundred Thousand BTUs"/>
    <x v="0"/>
    <s v="Estimated from square footage (CBECS 2012)"/>
    <s v="2023-07-25, 17:50"/>
    <s v="2023-07-25, 17:50"/>
    <n v="2022"/>
    <s v="natural_gas"/>
    <s v="Natural Gas"/>
    <s v="model"/>
    <b v="0"/>
    <s v="NATURAL GAS, NATURAL GAS"/>
    <x v="2"/>
    <x v="0"/>
    <s v="Americas"/>
    <s v="Northern America"/>
    <s v="US"/>
    <m/>
    <n v="0"/>
    <s v="CO2"/>
    <n v="28582.881249999999"/>
    <n v="53.06"/>
    <s v="MMBTU"/>
    <n v="0.1"/>
    <n v="538.68980880000004"/>
    <s v="AR4"/>
    <s v="USEPA"/>
    <s v="USEPA (2022)"/>
    <n v="2022"/>
    <n v="2022"/>
    <n v="0"/>
    <n v="0"/>
    <x v="20"/>
    <s v="Office"/>
  </r>
  <r>
    <n v="1590444"/>
    <s v="Top of Hierarchy &gt; North America &gt; Vantage_Warren"/>
    <x v="0"/>
    <x v="0"/>
    <d v="2022-01-01T00:00:00"/>
    <d v="2022-12-31T00:00:00"/>
    <x v="3"/>
    <d v="2022-01-01T00:00:00"/>
    <d v="2022-12-31T00:00:00"/>
    <s v="Natural gas"/>
    <n v="5386.8980879999999"/>
    <s v="Hundred Thousand BTUs"/>
    <x v="0"/>
    <s v="Estimated from square footage (CBECS 2012)"/>
    <s v="2023-07-25, 17:50"/>
    <s v="2023-07-25, 17:50"/>
    <n v="2022"/>
    <s v="natural_gas"/>
    <s v="Natural Gas"/>
    <s v="model"/>
    <b v="0"/>
    <s v="NATURAL GAS, NATURAL GAS"/>
    <x v="2"/>
    <x v="0"/>
    <s v="Americas"/>
    <s v="Northern America"/>
    <s v="US"/>
    <m/>
    <n v="0"/>
    <s v="CO2E"/>
    <n v="28612.401460000001"/>
    <n v="53.114800000000002"/>
    <s v="MMBTU"/>
    <n v="0.1"/>
    <n v="538.68980880000004"/>
    <s v="AR4"/>
    <s v="USEPA"/>
    <s v="USEPA Emission Factors Hub (Last Modified: March 2020)"/>
    <n v="2022"/>
    <n v="2021"/>
    <n v="28.612401460000001"/>
    <n v="0"/>
    <x v="20"/>
    <s v="Office"/>
  </r>
  <r>
    <n v="1590444"/>
    <s v="Top of Hierarchy &gt; North America &gt; Vantage_Warren"/>
    <x v="0"/>
    <x v="0"/>
    <d v="2022-01-01T00:00:00"/>
    <d v="2022-12-31T00:00:00"/>
    <x v="3"/>
    <d v="2022-01-01T00:00:00"/>
    <d v="2022-12-31T00:00:00"/>
    <s v="Natural gas"/>
    <n v="5386.8980879999999"/>
    <s v="Hundred Thousand BTUs"/>
    <x v="0"/>
    <s v="Estimated from square footage (CBECS 2012)"/>
    <s v="2023-07-25, 17:50"/>
    <s v="2023-07-25, 17:50"/>
    <n v="2022"/>
    <s v="natural_gas"/>
    <s v="Natural Gas"/>
    <s v="model"/>
    <b v="0"/>
    <s v="NATURAL GAS, NATURAL GAS"/>
    <x v="2"/>
    <x v="0"/>
    <s v="Americas"/>
    <s v="Northern America"/>
    <s v="US"/>
    <m/>
    <n v="0"/>
    <s v="N2O"/>
    <n v="16.052956300000002"/>
    <n v="2.98E-2"/>
    <s v="MMBTU"/>
    <n v="0.1"/>
    <n v="538.68980880000004"/>
    <s v="AR4"/>
    <s v="USEPA"/>
    <s v="USEPA (2022)"/>
    <n v="2022"/>
    <n v="2022"/>
    <n v="0"/>
    <n v="0"/>
    <x v="20"/>
    <s v="Office"/>
  </r>
  <r>
    <n v="1590444"/>
    <s v="Top of Hierarchy &gt; North America &gt; Vantage_Warren"/>
    <x v="0"/>
    <x v="0"/>
    <d v="2022-01-01T00:00:00"/>
    <d v="2022-12-31T00:00:00"/>
    <x v="3"/>
    <d v="2022-01-01T00:00:00"/>
    <d v="2022-12-31T00:00:00"/>
    <s v="Natural gas"/>
    <n v="5386.8980879999999"/>
    <s v="Hundred Thousand BTUs"/>
    <x v="0"/>
    <s v="Estimated from square footage (CBECS 2012)"/>
    <s v="2023-07-25, 17:50"/>
    <s v="2023-07-25, 17:50"/>
    <n v="2022"/>
    <s v="natural_gas"/>
    <s v="Natural Gas"/>
    <s v="model"/>
    <b v="0"/>
    <s v="NATURAL GAS, NATURAL GAS"/>
    <x v="2"/>
    <x v="0"/>
    <s v="Americas"/>
    <s v="Northern America"/>
    <s v="US"/>
    <m/>
    <n v="1"/>
    <s v="CH4"/>
    <n v="13.467245220000001"/>
    <n v="2.5000000000000001E-2"/>
    <s v="MMBTU"/>
    <n v="0.1"/>
    <n v="538.68980880000004"/>
    <s v="AR4"/>
    <s v="USEPA"/>
    <s v="USEPA Emission Factors Hub (Last Modified: March 2020)"/>
    <n v="2022"/>
    <n v="2021"/>
    <n v="0"/>
    <n v="0"/>
    <x v="20"/>
    <s v="Office"/>
  </r>
  <r>
    <n v="1590444"/>
    <s v="Top of Hierarchy &gt; North America &gt; Vantage_Warren"/>
    <x v="0"/>
    <x v="0"/>
    <d v="2022-01-01T00:00:00"/>
    <d v="2022-12-31T00:00:00"/>
    <x v="3"/>
    <d v="2022-01-01T00:00:00"/>
    <d v="2022-12-31T00:00:00"/>
    <s v="Natural gas"/>
    <n v="5386.8980879999999"/>
    <s v="Hundred Thousand BTUs"/>
    <x v="0"/>
    <s v="Estimated from square footage (CBECS 2012)"/>
    <s v="2023-07-25, 17:50"/>
    <s v="2023-07-25, 17:50"/>
    <n v="2022"/>
    <s v="natural_gas"/>
    <s v="Natural Gas"/>
    <s v="model"/>
    <b v="0"/>
    <s v="NATURAL GAS, NATURAL GAS"/>
    <x v="2"/>
    <x v="0"/>
    <s v="Americas"/>
    <s v="Northern America"/>
    <s v="US"/>
    <m/>
    <n v="1"/>
    <s v="CO2"/>
    <n v="28582.881249999999"/>
    <n v="53.06"/>
    <s v="MMBTU"/>
    <n v="0.1"/>
    <n v="538.68980880000004"/>
    <s v="AR4"/>
    <s v="USEPA"/>
    <s v="USEPA (2022)"/>
    <n v="2022"/>
    <n v="2022"/>
    <n v="0"/>
    <n v="0"/>
    <x v="20"/>
    <s v="Office"/>
  </r>
  <r>
    <n v="1590444"/>
    <s v="Top of Hierarchy &gt; North America &gt; Vantage_Warren"/>
    <x v="0"/>
    <x v="0"/>
    <d v="2022-01-01T00:00:00"/>
    <d v="2022-12-31T00:00:00"/>
    <x v="3"/>
    <d v="2022-01-01T00:00:00"/>
    <d v="2022-12-31T00:00:00"/>
    <s v="Natural gas"/>
    <n v="5386.8980879999999"/>
    <s v="Hundred Thousand BTUs"/>
    <x v="0"/>
    <s v="Estimated from square footage (CBECS 2012)"/>
    <s v="2023-07-25, 17:50"/>
    <s v="2023-07-25, 17:50"/>
    <n v="2022"/>
    <s v="natural_gas"/>
    <s v="Natural Gas"/>
    <s v="model"/>
    <b v="0"/>
    <s v="NATURAL GAS, NATURAL GAS"/>
    <x v="2"/>
    <x v="0"/>
    <s v="Americas"/>
    <s v="Northern America"/>
    <s v="US"/>
    <m/>
    <n v="1"/>
    <s v="CO2E"/>
    <n v="28612.401460000001"/>
    <n v="53.114800000000002"/>
    <s v="MMBTU"/>
    <n v="0.1"/>
    <n v="538.68980880000004"/>
    <s v="AR4"/>
    <s v="USEPA"/>
    <s v="USEPA Emission Factors Hub (Last Modified: March 2020)"/>
    <n v="2022"/>
    <n v="2021"/>
    <n v="0"/>
    <n v="28.612401460000001"/>
    <x v="20"/>
    <s v="Office"/>
  </r>
  <r>
    <n v="1590444"/>
    <s v="Top of Hierarchy &gt; North America &gt; Vantage_Warren"/>
    <x v="0"/>
    <x v="0"/>
    <d v="2022-01-01T00:00:00"/>
    <d v="2022-12-31T00:00:00"/>
    <x v="3"/>
    <d v="2022-01-01T00:00:00"/>
    <d v="2022-12-31T00:00:00"/>
    <s v="Natural gas"/>
    <n v="5386.8980879999999"/>
    <s v="Hundred Thousand BTUs"/>
    <x v="0"/>
    <s v="Estimated from square footage (CBECS 2012)"/>
    <s v="2023-07-25, 17:50"/>
    <s v="2023-07-25, 17:50"/>
    <n v="2022"/>
    <s v="natural_gas"/>
    <s v="Natural Gas"/>
    <s v="model"/>
    <b v="0"/>
    <s v="NATURAL GAS, NATURAL GAS"/>
    <x v="2"/>
    <x v="0"/>
    <s v="Americas"/>
    <s v="Northern America"/>
    <s v="US"/>
    <m/>
    <n v="1"/>
    <s v="N2O"/>
    <n v="16.052956300000002"/>
    <n v="2.98E-2"/>
    <s v="MMBTU"/>
    <n v="0.1"/>
    <n v="538.68980880000004"/>
    <s v="AR4"/>
    <s v="USEPA"/>
    <s v="USEPA (2022)"/>
    <n v="2022"/>
    <n v="2022"/>
    <n v="0"/>
    <n v="0"/>
    <x v="20"/>
    <s v="Office"/>
  </r>
  <r>
    <n v="1590444"/>
    <s v="Top of Hierarchy &gt; North America &gt; Vantage_Warren"/>
    <x v="0"/>
    <x v="0"/>
    <d v="2022-01-01T00:00:00"/>
    <d v="2022-12-31T00:00:00"/>
    <x v="3"/>
    <d v="2022-01-01T00:00:00"/>
    <d v="2022-12-31T00:00:00"/>
    <s v="Natural gas"/>
    <n v="5386.8980879999999"/>
    <s v="Hundred Thousand BTUs"/>
    <x v="0"/>
    <s v="Estimated from square footage (CBECS 2012)"/>
    <s v="2023-07-25, 17:50"/>
    <s v="2023-07-25, 17:50"/>
    <n v="2022"/>
    <s v="natural_gas__wtt"/>
    <s v="Natural Gas WTT"/>
    <s v="wtt"/>
    <b v="0"/>
    <s v="WTT- FUELS; GASEOUS FUELS; NATURAL GAS"/>
    <x v="1"/>
    <x v="1"/>
    <m/>
    <m/>
    <m/>
    <m/>
    <n v="0"/>
    <s v="CO2E"/>
    <n v="4908.7198980000003"/>
    <n v="3.1099999999999999E-2"/>
    <s v="KWH (GROSS CV)"/>
    <n v="29.3001"/>
    <n v="157836.65270000001"/>
    <s v="AR4"/>
    <s v="Defra"/>
    <s v="Defra (2022)"/>
    <n v="2022"/>
    <n v="2020"/>
    <n v="4.9087198980000002"/>
    <n v="0"/>
    <x v="20"/>
    <s v="Office"/>
  </r>
  <r>
    <n v="1590444"/>
    <s v="Top of Hierarchy &gt; North America &gt; Vantage_Warren"/>
    <x v="0"/>
    <x v="0"/>
    <d v="2022-01-01T00:00:00"/>
    <d v="2022-12-31T00:00:00"/>
    <x v="3"/>
    <d v="2022-01-01T00:00:00"/>
    <d v="2022-12-31T00:00:00"/>
    <s v="Natural gas"/>
    <n v="5386.8980879999999"/>
    <s v="Hundred Thousand BTUs"/>
    <x v="0"/>
    <s v="Estimated from square footage (CBECS 2012)"/>
    <s v="2023-07-25, 17:50"/>
    <s v="2023-07-25, 17:50"/>
    <n v="2022"/>
    <s v="natural_gas__wtt"/>
    <s v="Natural Gas WTT"/>
    <s v="wtt"/>
    <b v="0"/>
    <s v="WTT- FUELS; GASEOUS FUELS; NATURAL GAS"/>
    <x v="1"/>
    <x v="1"/>
    <m/>
    <m/>
    <m/>
    <m/>
    <n v="1"/>
    <s v="CO2E"/>
    <n v="4908.7198980000003"/>
    <n v="3.1099999999999999E-2"/>
    <s v="KWH (GROSS CV)"/>
    <n v="29.3001"/>
    <n v="157836.65270000001"/>
    <s v="AR4"/>
    <s v="Defra"/>
    <s v="Defra (2022)"/>
    <n v="2022"/>
    <n v="2020"/>
    <n v="0"/>
    <n v="4.9087198980000002"/>
    <x v="20"/>
    <s v="Office"/>
  </r>
  <r>
    <n v="291084"/>
    <s v="Top of Hierarchy &gt; North America &gt; Vantage_Warren"/>
    <x v="0"/>
    <x v="0"/>
    <d v="2022-01-01T00:00:00"/>
    <d v="2022-12-31T00:00:00"/>
    <x v="1"/>
    <d v="2022-01-01T00:00:00"/>
    <d v="2022-12-31T00:00:00"/>
    <s v="Diesel (100% mineral diesel)"/>
    <n v="0"/>
    <s v="joules"/>
    <x v="1"/>
    <s v="no fuel use"/>
    <s v="2023-05-03, 20:47"/>
    <s v="2023-07-20, 00:40"/>
    <n v="2022"/>
    <s v="diesel_100p_mineral_diesel"/>
    <s v="Diesel (100% Mineral Diesel)"/>
    <s v="model"/>
    <b v="0"/>
    <s v="FUELS; LIQUID FUELS; DIESEL (100% MINERAL DIESEL)"/>
    <x v="2"/>
    <x v="0"/>
    <m/>
    <m/>
    <m/>
    <m/>
    <n v="0"/>
    <s v="CH4"/>
    <n v="0"/>
    <n v="2.0000000000000002E-5"/>
    <s v="KWH (GROSS CV)"/>
    <n v="2.8000000000000002E-7"/>
    <n v="0"/>
    <s v="AR4"/>
    <s v="Defra"/>
    <s v="Defra (2022)"/>
    <n v="2022"/>
    <n v="2020"/>
    <n v="0"/>
    <n v="0"/>
    <x v="20"/>
    <s v="Office"/>
  </r>
  <r>
    <n v="291084"/>
    <s v="Top of Hierarchy &gt; North America &gt; Vantage_Warren"/>
    <x v="0"/>
    <x v="0"/>
    <d v="2022-01-01T00:00:00"/>
    <d v="2022-12-31T00:00:00"/>
    <x v="1"/>
    <d v="2022-01-01T00:00:00"/>
    <d v="2022-12-31T00:00:00"/>
    <s v="Diesel (100% mineral diesel)"/>
    <n v="0"/>
    <s v="joules"/>
    <x v="1"/>
    <s v="no fuel use"/>
    <s v="2023-05-03, 20:47"/>
    <s v="2023-07-20, 00:40"/>
    <n v="2022"/>
    <s v="diesel_100p_mineral_diesel"/>
    <s v="Diesel (100% Mineral Diesel)"/>
    <s v="model"/>
    <b v="0"/>
    <s v="FUELS; LIQUID FUELS; DIESEL (100% MINERAL DIESEL)"/>
    <x v="2"/>
    <x v="0"/>
    <m/>
    <m/>
    <m/>
    <m/>
    <n v="0"/>
    <s v="CO2"/>
    <n v="0"/>
    <n v="0.24970999999999999"/>
    <s v="KWH (GROSS CV)"/>
    <n v="2.8000000000000002E-7"/>
    <n v="0"/>
    <s v="AR4"/>
    <s v="Defra"/>
    <s v="Defra (2022)"/>
    <n v="2022"/>
    <n v="2020"/>
    <n v="0"/>
    <n v="0"/>
    <x v="20"/>
    <s v="Office"/>
  </r>
  <r>
    <n v="291084"/>
    <s v="Top of Hierarchy &gt; North America &gt; Vantage_Warren"/>
    <x v="0"/>
    <x v="0"/>
    <d v="2022-01-01T00:00:00"/>
    <d v="2022-12-31T00:00:00"/>
    <x v="1"/>
    <d v="2022-01-01T00:00:00"/>
    <d v="2022-12-31T00:00:00"/>
    <s v="Diesel (100% mineral diesel)"/>
    <n v="0"/>
    <s v="joules"/>
    <x v="1"/>
    <s v="no fuel use"/>
    <s v="2023-05-03, 20:47"/>
    <s v="2023-07-20, 00:40"/>
    <n v="2022"/>
    <s v="diesel_100p_mineral_diesel"/>
    <s v="Diesel (100% Mineral Diesel)"/>
    <s v="model"/>
    <b v="0"/>
    <s v="FUELS; LIQUID FUELS; DIESEL (100% MINERAL DIESEL)"/>
    <x v="2"/>
    <x v="0"/>
    <m/>
    <m/>
    <m/>
    <m/>
    <n v="0"/>
    <s v="CO2E"/>
    <n v="0"/>
    <n v="0.25320999999999999"/>
    <s v="KWH (GROSS CV)"/>
    <n v="2.8000000000000002E-7"/>
    <n v="0"/>
    <s v="AR4"/>
    <s v="Defra"/>
    <s v="Defra (2022)"/>
    <n v="2022"/>
    <n v="2020"/>
    <n v="0"/>
    <n v="0"/>
    <x v="20"/>
    <s v="Office"/>
  </r>
  <r>
    <n v="291084"/>
    <s v="Top of Hierarchy &gt; North America &gt; Vantage_Warren"/>
    <x v="0"/>
    <x v="0"/>
    <d v="2022-01-01T00:00:00"/>
    <d v="2022-12-31T00:00:00"/>
    <x v="1"/>
    <d v="2022-01-01T00:00:00"/>
    <d v="2022-12-31T00:00:00"/>
    <s v="Diesel (100% mineral diesel)"/>
    <n v="0"/>
    <s v="joules"/>
    <x v="1"/>
    <s v="no fuel use"/>
    <s v="2023-05-03, 20:47"/>
    <s v="2023-07-20, 00:40"/>
    <n v="2022"/>
    <s v="diesel_100p_mineral_diesel"/>
    <s v="Diesel (100% Mineral Diesel)"/>
    <s v="model"/>
    <b v="0"/>
    <s v="FUELS; LIQUID FUELS; DIESEL (100% MINERAL DIESEL)"/>
    <x v="2"/>
    <x v="0"/>
    <m/>
    <m/>
    <m/>
    <m/>
    <n v="0"/>
    <s v="N2O"/>
    <n v="0"/>
    <n v="3.48E-3"/>
    <s v="KWH (GROSS CV)"/>
    <n v="2.8000000000000002E-7"/>
    <n v="0"/>
    <s v="AR4"/>
    <s v="Defra"/>
    <s v="Defra (2022)"/>
    <n v="2022"/>
    <n v="2020"/>
    <n v="0"/>
    <n v="0"/>
    <x v="20"/>
    <s v="Office"/>
  </r>
  <r>
    <n v="291084"/>
    <s v="Top of Hierarchy &gt; North America &gt; Vantage_Warren"/>
    <x v="0"/>
    <x v="0"/>
    <d v="2022-01-01T00:00:00"/>
    <d v="2022-12-31T00:00:00"/>
    <x v="1"/>
    <d v="2022-01-01T00:00:00"/>
    <d v="2022-12-31T00:00:00"/>
    <s v="Diesel (100% mineral diesel)"/>
    <n v="0"/>
    <s v="joules"/>
    <x v="1"/>
    <s v="no fuel use"/>
    <s v="2023-05-03, 20:47"/>
    <s v="2023-07-20, 00:40"/>
    <n v="2022"/>
    <s v="diesel_100p_mineral_diesel"/>
    <s v="Diesel (100% Mineral Diesel)"/>
    <s v="model"/>
    <b v="0"/>
    <s v="FUELS; LIQUID FUELS; DIESEL (100% MINERAL DIESEL)"/>
    <x v="2"/>
    <x v="0"/>
    <m/>
    <m/>
    <m/>
    <m/>
    <n v="1"/>
    <s v="CH4"/>
    <n v="0"/>
    <n v="2.0000000000000002E-5"/>
    <s v="KWH (GROSS CV)"/>
    <n v="2.8000000000000002E-7"/>
    <n v="0"/>
    <s v="AR4"/>
    <s v="Defra"/>
    <s v="Defra (2022)"/>
    <n v="2022"/>
    <n v="2020"/>
    <n v="0"/>
    <n v="0"/>
    <x v="20"/>
    <s v="Office"/>
  </r>
  <r>
    <n v="291084"/>
    <s v="Top of Hierarchy &gt; North America &gt; Vantage_Warren"/>
    <x v="0"/>
    <x v="0"/>
    <d v="2022-01-01T00:00:00"/>
    <d v="2022-12-31T00:00:00"/>
    <x v="1"/>
    <d v="2022-01-01T00:00:00"/>
    <d v="2022-12-31T00:00:00"/>
    <s v="Diesel (100% mineral diesel)"/>
    <n v="0"/>
    <s v="joules"/>
    <x v="1"/>
    <s v="no fuel use"/>
    <s v="2023-05-03, 20:47"/>
    <s v="2023-07-20, 00:40"/>
    <n v="2022"/>
    <s v="diesel_100p_mineral_diesel"/>
    <s v="Diesel (100% Mineral Diesel)"/>
    <s v="model"/>
    <b v="0"/>
    <s v="FUELS; LIQUID FUELS; DIESEL (100% MINERAL DIESEL)"/>
    <x v="2"/>
    <x v="0"/>
    <m/>
    <m/>
    <m/>
    <m/>
    <n v="1"/>
    <s v="CO2"/>
    <n v="0"/>
    <n v="0.24970999999999999"/>
    <s v="KWH (GROSS CV)"/>
    <n v="2.8000000000000002E-7"/>
    <n v="0"/>
    <s v="AR4"/>
    <s v="Defra"/>
    <s v="Defra (2022)"/>
    <n v="2022"/>
    <n v="2020"/>
    <n v="0"/>
    <n v="0"/>
    <x v="20"/>
    <s v="Office"/>
  </r>
  <r>
    <n v="291084"/>
    <s v="Top of Hierarchy &gt; North America &gt; Vantage_Warren"/>
    <x v="0"/>
    <x v="0"/>
    <d v="2022-01-01T00:00:00"/>
    <d v="2022-12-31T00:00:00"/>
    <x v="1"/>
    <d v="2022-01-01T00:00:00"/>
    <d v="2022-12-31T00:00:00"/>
    <s v="Diesel (100% mineral diesel)"/>
    <n v="0"/>
    <s v="joules"/>
    <x v="1"/>
    <s v="no fuel use"/>
    <s v="2023-05-03, 20:47"/>
    <s v="2023-07-20, 00:40"/>
    <n v="2022"/>
    <s v="diesel_100p_mineral_diesel"/>
    <s v="Diesel (100% Mineral Diesel)"/>
    <s v="model"/>
    <b v="0"/>
    <s v="FUELS; LIQUID FUELS; DIESEL (100% MINERAL DIESEL)"/>
    <x v="2"/>
    <x v="0"/>
    <m/>
    <m/>
    <m/>
    <m/>
    <n v="1"/>
    <s v="CO2E"/>
    <n v="0"/>
    <n v="0.25320999999999999"/>
    <s v="KWH (GROSS CV)"/>
    <n v="2.8000000000000002E-7"/>
    <n v="0"/>
    <s v="AR4"/>
    <s v="Defra"/>
    <s v="Defra (2022)"/>
    <n v="2022"/>
    <n v="2020"/>
    <n v="0"/>
    <n v="0"/>
    <x v="20"/>
    <s v="Office"/>
  </r>
  <r>
    <n v="291084"/>
    <s v="Top of Hierarchy &gt; North America &gt; Vantage_Warren"/>
    <x v="0"/>
    <x v="0"/>
    <d v="2022-01-01T00:00:00"/>
    <d v="2022-12-31T00:00:00"/>
    <x v="1"/>
    <d v="2022-01-01T00:00:00"/>
    <d v="2022-12-31T00:00:00"/>
    <s v="Diesel (100% mineral diesel)"/>
    <n v="0"/>
    <s v="joules"/>
    <x v="1"/>
    <s v="no fuel use"/>
    <s v="2023-05-03, 20:47"/>
    <s v="2023-07-20, 00:40"/>
    <n v="2022"/>
    <s v="diesel_100p_mineral_diesel"/>
    <s v="Diesel (100% Mineral Diesel)"/>
    <s v="model"/>
    <b v="0"/>
    <s v="FUELS; LIQUID FUELS; DIESEL (100% MINERAL DIESEL)"/>
    <x v="2"/>
    <x v="0"/>
    <m/>
    <m/>
    <m/>
    <m/>
    <n v="1"/>
    <s v="N2O"/>
    <n v="0"/>
    <n v="3.48E-3"/>
    <s v="KWH (GROSS CV)"/>
    <n v="2.8000000000000002E-7"/>
    <n v="0"/>
    <s v="AR4"/>
    <s v="Defra"/>
    <s v="Defra (2022)"/>
    <n v="2022"/>
    <n v="2020"/>
    <n v="0"/>
    <n v="0"/>
    <x v="20"/>
    <s v="Office"/>
  </r>
  <r>
    <n v="291084"/>
    <s v="Top of Hierarchy &gt; North America &gt; Vantage_Warren"/>
    <x v="0"/>
    <x v="0"/>
    <d v="2022-01-01T00:00:00"/>
    <d v="2022-12-31T00:00:00"/>
    <x v="1"/>
    <d v="2022-01-01T00:00:00"/>
    <d v="2022-12-31T00:00:00"/>
    <s v="Diesel (100% mineral diesel)"/>
    <n v="0"/>
    <s v="joules"/>
    <x v="1"/>
    <s v="no fuel use"/>
    <s v="2023-05-03, 20:47"/>
    <s v="2023-07-20, 00:40"/>
    <n v="2022"/>
    <s v="diesel_100p_mineral_diesel__wtt"/>
    <s v="Diesel (100% Mineral Diesel) WTT"/>
    <s v="wtt"/>
    <b v="0"/>
    <s v="WTT- FUELS; LIQUID FUELS; DIESEL (100% MINERAL DIESEL)"/>
    <x v="1"/>
    <x v="1"/>
    <m/>
    <m/>
    <m/>
    <m/>
    <n v="0"/>
    <s v="CO2E"/>
    <n v="0"/>
    <n v="5.8880000000000002E-2"/>
    <s v="KWH (GROSS CV)"/>
    <n v="2.8000000000000002E-7"/>
    <n v="0"/>
    <s v="AR4"/>
    <s v="Defra"/>
    <s v="Defra (2022)"/>
    <n v="2022"/>
    <n v="2020"/>
    <n v="0"/>
    <n v="0"/>
    <x v="20"/>
    <s v="Office"/>
  </r>
  <r>
    <n v="291084"/>
    <s v="Top of Hierarchy &gt; North America &gt; Vantage_Warren"/>
    <x v="0"/>
    <x v="0"/>
    <d v="2022-01-01T00:00:00"/>
    <d v="2022-12-31T00:00:00"/>
    <x v="1"/>
    <d v="2022-01-01T00:00:00"/>
    <d v="2022-12-31T00:00:00"/>
    <s v="Diesel (100% mineral diesel)"/>
    <n v="0"/>
    <s v="joules"/>
    <x v="1"/>
    <s v="no fuel use"/>
    <s v="2023-05-03, 20:47"/>
    <s v="2023-07-20, 00:40"/>
    <n v="2022"/>
    <s v="diesel_100p_mineral_diesel__wtt"/>
    <s v="Diesel (100% Mineral Diesel) WTT"/>
    <s v="wtt"/>
    <b v="0"/>
    <s v="WTT- FUELS; LIQUID FUELS; DIESEL (100% MINERAL DIESEL)"/>
    <x v="1"/>
    <x v="1"/>
    <m/>
    <m/>
    <m/>
    <m/>
    <n v="1"/>
    <s v="CO2E"/>
    <n v="0"/>
    <n v="5.8880000000000002E-2"/>
    <s v="KWH (GROSS CV)"/>
    <n v="2.8000000000000002E-7"/>
    <n v="0"/>
    <s v="AR4"/>
    <s v="Defra"/>
    <s v="Defra (2022)"/>
    <n v="2022"/>
    <n v="2020"/>
    <n v="0"/>
    <n v="0"/>
    <x v="20"/>
    <s v="Office"/>
  </r>
  <r>
    <n v="291424"/>
    <s v="Top of Hierarchy &gt; North America &gt; Vantage_Warren"/>
    <x v="0"/>
    <x v="0"/>
    <d v="2022-01-01T00:00:00"/>
    <d v="2022-12-31T00:00:00"/>
    <x v="4"/>
    <d v="2022-01-01T00:00:00"/>
    <d v="2022-12-31T00:00:00"/>
    <s v="R-22"/>
    <n v="0"/>
    <s v="kilograms"/>
    <x v="1"/>
    <s v="Unknown volume"/>
    <s v="2023-05-04, 18:48"/>
    <s v="2023-07-20, 00:40"/>
    <n v="2022"/>
    <s v="r22"/>
    <s v="R-22"/>
    <s v="model"/>
    <b v="0"/>
    <s v="REFRIGERANT: R-22"/>
    <x v="2"/>
    <x v="0"/>
    <m/>
    <m/>
    <m/>
    <m/>
    <n v="0"/>
    <s v="CO2E"/>
    <n v="0"/>
    <n v="1810"/>
    <s v="KG"/>
    <n v="1"/>
    <n v="0"/>
    <s v="AR4"/>
    <s v="IPCC"/>
    <s v="IPCC (2021)"/>
    <n v="2022"/>
    <n v="2007"/>
    <n v="0"/>
    <n v="0"/>
    <x v="20"/>
    <s v="Office"/>
  </r>
  <r>
    <n v="291424"/>
    <s v="Top of Hierarchy &gt; North America &gt; Vantage_Warren"/>
    <x v="0"/>
    <x v="0"/>
    <d v="2022-01-01T00:00:00"/>
    <d v="2022-12-31T00:00:00"/>
    <x v="4"/>
    <d v="2022-01-01T00:00:00"/>
    <d v="2022-12-31T00:00:00"/>
    <s v="R-22"/>
    <n v="0"/>
    <s v="kilograms"/>
    <x v="1"/>
    <s v="Unknown volume"/>
    <s v="2023-05-04, 18:48"/>
    <s v="2023-07-20, 00:40"/>
    <n v="2022"/>
    <s v="r22"/>
    <s v="R-22"/>
    <s v="model"/>
    <b v="0"/>
    <s v="REFRIGERANT: R-22"/>
    <x v="2"/>
    <x v="0"/>
    <m/>
    <m/>
    <m/>
    <m/>
    <n v="1"/>
    <s v="CO2E"/>
    <n v="0"/>
    <n v="1810"/>
    <s v="KG"/>
    <n v="1"/>
    <n v="0"/>
    <s v="AR4"/>
    <s v="IPCC"/>
    <s v="IPCC (2021)"/>
    <n v="2022"/>
    <n v="2007"/>
    <n v="0"/>
    <n v="0"/>
    <x v="20"/>
    <s v="Office"/>
  </r>
  <r>
    <n v="1590437"/>
    <s v="Top of Hierarchy &gt; North America &gt; Vantage_Warren"/>
    <x v="0"/>
    <x v="0"/>
    <d v="2022-01-01T00:00:00"/>
    <d v="2022-12-31T00:00:00"/>
    <x v="4"/>
    <d v="2022-01-01T00:00:00"/>
    <d v="2022-12-31T00:00:00"/>
    <s v="R-22"/>
    <n v="3.9182000000000001"/>
    <s v="kilograms"/>
    <x v="0"/>
    <s v="Unknown volume - ESTIMATED BY ANTHESIS"/>
    <s v="2023-07-25, 17:50"/>
    <s v="2023-07-25, 17:50"/>
    <n v="2022"/>
    <s v="r22"/>
    <s v="R-22"/>
    <s v="model"/>
    <b v="0"/>
    <s v="REFRIGERANT: R-22"/>
    <x v="2"/>
    <x v="0"/>
    <m/>
    <m/>
    <m/>
    <m/>
    <n v="0"/>
    <s v="CO2E"/>
    <n v="7091.942"/>
    <n v="1810"/>
    <s v="KG"/>
    <n v="1"/>
    <n v="3.9182000000000001"/>
    <s v="AR4"/>
    <s v="IPCC"/>
    <s v="IPCC (2021)"/>
    <n v="2022"/>
    <n v="2007"/>
    <n v="7.0919420000000004"/>
    <n v="0"/>
    <x v="20"/>
    <s v="Office"/>
  </r>
  <r>
    <n v="1590437"/>
    <s v="Top of Hierarchy &gt; North America &gt; Vantage_Warren"/>
    <x v="0"/>
    <x v="0"/>
    <d v="2022-01-01T00:00:00"/>
    <d v="2022-12-31T00:00:00"/>
    <x v="4"/>
    <d v="2022-01-01T00:00:00"/>
    <d v="2022-12-31T00:00:00"/>
    <s v="R-22"/>
    <n v="3.9182000000000001"/>
    <s v="kilograms"/>
    <x v="0"/>
    <s v="Unknown volume - ESTIMATED BY ANTHESIS"/>
    <s v="2023-07-25, 17:50"/>
    <s v="2023-07-25, 17:50"/>
    <n v="2022"/>
    <s v="r22"/>
    <s v="R-22"/>
    <s v="model"/>
    <b v="0"/>
    <s v="REFRIGERANT: R-22"/>
    <x v="2"/>
    <x v="0"/>
    <m/>
    <m/>
    <m/>
    <m/>
    <n v="1"/>
    <s v="CO2E"/>
    <n v="7091.942"/>
    <n v="1810"/>
    <s v="KG"/>
    <n v="1"/>
    <n v="3.9182000000000001"/>
    <s v="AR4"/>
    <s v="IPCC"/>
    <s v="IPCC (2021)"/>
    <n v="2022"/>
    <n v="2007"/>
    <n v="0"/>
    <n v="7.0919420000000004"/>
    <x v="20"/>
    <s v="Office"/>
  </r>
  <r>
    <n v="4966"/>
    <s v="Top of Hierarchy &gt; North America &gt; Vantage_Warren"/>
    <x v="0"/>
    <x v="1"/>
    <d v="2021-01-01T00:00:00"/>
    <d v="2021-12-31T00:00:00"/>
    <x v="0"/>
    <d v="2021-01-01T00:00:00"/>
    <d v="2021-12-31T00:00:00"/>
    <s v="Electricity (non-renewable)"/>
    <n v="467234"/>
    <s v="Kilowatt hours"/>
    <x v="0"/>
    <m/>
    <s v="2023-02-27, 16:27"/>
    <s v="2023-07-20, 00:40"/>
    <n v="2021"/>
    <s v="electricity"/>
    <s v="Electricity"/>
    <s v="model"/>
    <b v="0"/>
    <s v="ELECTRICITY; UNITED STATES - RFCE"/>
    <x v="0"/>
    <x v="0"/>
    <s v="Americas"/>
    <s v="Northern America"/>
    <s v="US"/>
    <s v="RFCE"/>
    <n v="0"/>
    <s v="CH4"/>
    <n v="280.81225510000002"/>
    <n v="6.0101000000000002E-4"/>
    <s v="KWH"/>
    <n v="1"/>
    <n v="467234"/>
    <s v="AR4"/>
    <s v="USEPA"/>
    <s v="USEPA (2021)"/>
    <n v="2021"/>
    <n v="2019"/>
    <n v="0"/>
    <n v="0"/>
    <x v="20"/>
    <s v="Office"/>
  </r>
  <r>
    <n v="4966"/>
    <s v="Top of Hierarchy &gt; North America &gt; Vantage_Warren"/>
    <x v="0"/>
    <x v="1"/>
    <d v="2021-01-01T00:00:00"/>
    <d v="2021-12-31T00:00:00"/>
    <x v="0"/>
    <d v="2021-01-01T00:00:00"/>
    <d v="2021-12-31T00:00:00"/>
    <s v="Electricity (non-renewable)"/>
    <n v="467234"/>
    <s v="Kilowatt hours"/>
    <x v="0"/>
    <m/>
    <s v="2023-02-27, 16:27"/>
    <s v="2023-07-20, 00:40"/>
    <n v="2021"/>
    <s v="electricity"/>
    <s v="Electricity"/>
    <s v="model"/>
    <b v="0"/>
    <s v="ELECTRICITY; UNITED STATES - RFCE"/>
    <x v="0"/>
    <x v="0"/>
    <s v="Americas"/>
    <s v="Northern America"/>
    <s v="US"/>
    <s v="RFCE"/>
    <n v="0"/>
    <s v="CO2"/>
    <n v="147301.18100000001"/>
    <n v="0.31526211900000001"/>
    <s v="KWH"/>
    <n v="1"/>
    <n v="467234"/>
    <s v="AR4"/>
    <s v="USEPA"/>
    <s v="USEPA (2021)"/>
    <n v="2021"/>
    <n v="2019"/>
    <n v="0"/>
    <n v="0"/>
    <x v="20"/>
    <s v="Office"/>
  </r>
  <r>
    <n v="4966"/>
    <s v="Top of Hierarchy &gt; North America &gt; Vantage_Warren"/>
    <x v="0"/>
    <x v="1"/>
    <d v="2021-01-01T00:00:00"/>
    <d v="2021-12-31T00:00:00"/>
    <x v="0"/>
    <d v="2021-01-01T00:00:00"/>
    <d v="2021-12-31T00:00:00"/>
    <s v="Electricity (non-renewable)"/>
    <n v="467234"/>
    <s v="Kilowatt hours"/>
    <x v="0"/>
    <m/>
    <s v="2023-02-27, 16:27"/>
    <s v="2023-07-20, 00:40"/>
    <n v="2021"/>
    <s v="electricity"/>
    <s v="Electricity"/>
    <s v="model"/>
    <b v="0"/>
    <s v="ELECTRICITY; UNITED STATES - RFCE"/>
    <x v="0"/>
    <x v="0"/>
    <s v="Americas"/>
    <s v="Northern America"/>
    <s v="US"/>
    <s v="RFCE"/>
    <n v="0"/>
    <s v="CO2E"/>
    <n v="148024.08720000001"/>
    <n v="0.31680932299999998"/>
    <s v="KWH"/>
    <n v="1"/>
    <n v="467234"/>
    <s v="AR4"/>
    <s v="USEPA"/>
    <s v="USEPA (2021)"/>
    <n v="2021"/>
    <n v="2019"/>
    <n v="148.0240872"/>
    <n v="0"/>
    <x v="20"/>
    <s v="Office"/>
  </r>
  <r>
    <n v="4966"/>
    <s v="Top of Hierarchy &gt; North America &gt; Vantage_Warren"/>
    <x v="0"/>
    <x v="1"/>
    <d v="2021-01-01T00:00:00"/>
    <d v="2021-12-31T00:00:00"/>
    <x v="0"/>
    <d v="2021-01-01T00:00:00"/>
    <d v="2021-12-31T00:00:00"/>
    <s v="Electricity (non-renewable)"/>
    <n v="467234"/>
    <s v="Kilowatt hours"/>
    <x v="0"/>
    <m/>
    <s v="2023-02-27, 16:27"/>
    <s v="2023-07-20, 00:40"/>
    <n v="2021"/>
    <s v="electricity"/>
    <s v="Electricity"/>
    <s v="model"/>
    <b v="0"/>
    <s v="ELECTRICITY; UNITED STATES - RFCE"/>
    <x v="0"/>
    <x v="0"/>
    <s v="Americas"/>
    <s v="Northern America"/>
    <s v="US"/>
    <s v="RFCE"/>
    <n v="0"/>
    <s v="N2O"/>
    <n v="442.0938597"/>
    <n v="9.4619400000000003E-4"/>
    <s v="KWH"/>
    <n v="1"/>
    <n v="467234"/>
    <s v="AR4"/>
    <s v="USEPA"/>
    <s v="USEPA (2021)"/>
    <n v="2021"/>
    <n v="2019"/>
    <n v="0"/>
    <n v="0"/>
    <x v="20"/>
    <s v="Office"/>
  </r>
  <r>
    <n v="4966"/>
    <s v="Top of Hierarchy &gt; North America &gt; Vantage_Warren"/>
    <x v="0"/>
    <x v="1"/>
    <d v="2021-01-01T00:00:00"/>
    <d v="2021-12-31T00:00:00"/>
    <x v="0"/>
    <d v="2021-01-01T00:00:00"/>
    <d v="2021-12-31T00:00:00"/>
    <s v="Electricity (non-renewable)"/>
    <n v="467234"/>
    <s v="Kilowatt hours"/>
    <x v="0"/>
    <m/>
    <s v="2023-02-27, 16:27"/>
    <s v="2023-07-20, 00:40"/>
    <n v="2021"/>
    <s v="electricity"/>
    <s v="Electricity"/>
    <s v="model"/>
    <b v="0"/>
    <s v="ELECTRICITY; UNITED STATES - RFCE"/>
    <x v="0"/>
    <x v="0"/>
    <s v="Americas"/>
    <s v="Northern America"/>
    <s v="US"/>
    <s v="RFCE"/>
    <n v="1"/>
    <s v="CO2E MKT"/>
    <n v="147344.8394"/>
    <n v="0.31535555900000001"/>
    <s v="KWH"/>
    <n v="1"/>
    <n v="467234"/>
    <s v="AR4"/>
    <s v="Green-e"/>
    <s v="Green-e (2021)"/>
    <n v="2021"/>
    <n v="2019"/>
    <n v="0"/>
    <n v="147.34483939999998"/>
    <x v="20"/>
    <s v="Office"/>
  </r>
  <r>
    <n v="4966"/>
    <s v="Top of Hierarchy &gt; North America &gt; Vantage_Warren"/>
    <x v="0"/>
    <x v="1"/>
    <d v="2021-01-01T00:00:00"/>
    <d v="2021-12-31T00:00:00"/>
    <x v="0"/>
    <d v="2021-01-01T00:00:00"/>
    <d v="2021-12-31T00:00:00"/>
    <s v="Electricity (non-renewable)"/>
    <n v="467234"/>
    <s v="Kilowatt hours"/>
    <x v="0"/>
    <m/>
    <s v="2023-02-27, 16:27"/>
    <s v="2023-07-20, 00:40"/>
    <n v="2021"/>
    <s v="electricity__t+d__wtt"/>
    <s v="Electricity T&amp;D WTT"/>
    <s v="t+d_wtt"/>
    <b v="0"/>
    <s v="ELECTRICITY; UNITED STATES - RFCE; T&amp;D WTT Estimated"/>
    <x v="1"/>
    <x v="1"/>
    <s v="Americas"/>
    <s v="Northern America"/>
    <s v="US"/>
    <s v="RFCE"/>
    <n v="0"/>
    <s v="CH4"/>
    <n v="3.7833029890000001"/>
    <n v="8.0972299999999997E-6"/>
    <s v="KWH"/>
    <n v="1"/>
    <n v="467234"/>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ELECTRICITY; TRANSMISSION AND DISTRIBUTION; UNITED STATES - RFCE, USEPA to estimate the T&amp;D WTT factor."/>
    <n v="2021"/>
    <n v="2019"/>
    <n v="0"/>
    <n v="0"/>
    <x v="20"/>
    <s v="Office"/>
  </r>
  <r>
    <n v="4966"/>
    <s v="Top of Hierarchy &gt; North America &gt; Vantage_Warren"/>
    <x v="0"/>
    <x v="1"/>
    <d v="2021-01-01T00:00:00"/>
    <d v="2021-12-31T00:00:00"/>
    <x v="0"/>
    <d v="2021-01-01T00:00:00"/>
    <d v="2021-12-31T00:00:00"/>
    <s v="Electricity (non-renewable)"/>
    <n v="467234"/>
    <s v="Kilowatt hours"/>
    <x v="0"/>
    <m/>
    <s v="2023-02-27, 16:27"/>
    <s v="2023-07-20, 00:40"/>
    <n v="2021"/>
    <s v="electricity__t+d__wtt"/>
    <s v="Electricity T&amp;D WTT"/>
    <s v="t+d_wtt"/>
    <b v="0"/>
    <s v="ELECTRICITY; UNITED STATES - RFCE; T&amp;D WTT Estimated"/>
    <x v="1"/>
    <x v="1"/>
    <s v="Americas"/>
    <s v="Northern America"/>
    <s v="US"/>
    <s v="RFCE"/>
    <n v="0"/>
    <s v="CO2"/>
    <n v="1984.5465730000001"/>
    <n v="4.2474360000000003E-3"/>
    <s v="KWH"/>
    <n v="1"/>
    <n v="467234"/>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ELECTRICITY; TRANSMISSION AND DISTRIBUTION; UNITED STATES - RFCE, USEPA to estimate the T&amp;D WTT factor."/>
    <n v="2021"/>
    <n v="2019"/>
    <n v="0"/>
    <n v="0"/>
    <x v="20"/>
    <s v="Office"/>
  </r>
  <r>
    <n v="4966"/>
    <s v="Top of Hierarchy &gt; North America &gt; Vantage_Warren"/>
    <x v="0"/>
    <x v="1"/>
    <d v="2021-01-01T00:00:00"/>
    <d v="2021-12-31T00:00:00"/>
    <x v="0"/>
    <d v="2021-01-01T00:00:00"/>
    <d v="2021-12-31T00:00:00"/>
    <s v="Electricity (non-renewable)"/>
    <n v="467234"/>
    <s v="Kilowatt hours"/>
    <x v="0"/>
    <m/>
    <s v="2023-02-27, 16:27"/>
    <s v="2023-07-20, 00:40"/>
    <n v="2021"/>
    <s v="electricity__t+d__wtt"/>
    <s v="Electricity T&amp;D WTT"/>
    <s v="t+d_wtt"/>
    <b v="0"/>
    <s v="ELECTRICITY; UNITED STATES - RFCE; T&amp;D WTT Estimated"/>
    <x v="1"/>
    <x v="1"/>
    <s v="Americas"/>
    <s v="Northern America"/>
    <s v="US"/>
    <s v="RFCE"/>
    <n v="0"/>
    <s v="CO2E"/>
    <n v="1994.2860800000001"/>
    <n v="4.2682809999999996E-3"/>
    <s v="KWH"/>
    <n v="1"/>
    <n v="467234"/>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ELECTRICITY; TRANSMISSION AND DISTRIBUTION; UNITED STATES - RFCE, USEPA to estimate the T&amp;D WTT factor."/>
    <n v="2021"/>
    <n v="2019"/>
    <n v="1.9942860800000002"/>
    <n v="0"/>
    <x v="20"/>
    <s v="Office"/>
  </r>
  <r>
    <n v="4966"/>
    <s v="Top of Hierarchy &gt; North America &gt; Vantage_Warren"/>
    <x v="0"/>
    <x v="1"/>
    <d v="2021-01-01T00:00:00"/>
    <d v="2021-12-31T00:00:00"/>
    <x v="0"/>
    <d v="2021-01-01T00:00:00"/>
    <d v="2021-12-31T00:00:00"/>
    <s v="Electricity (non-renewable)"/>
    <n v="467234"/>
    <s v="Kilowatt hours"/>
    <x v="0"/>
    <m/>
    <s v="2023-02-27, 16:27"/>
    <s v="2023-07-20, 00:40"/>
    <n v="2021"/>
    <s v="electricity__t+d__wtt"/>
    <s v="Electricity T&amp;D WTT"/>
    <s v="t+d_wtt"/>
    <b v="0"/>
    <s v="ELECTRICITY; UNITED STATES - RFCE; T&amp;D WTT Estimated"/>
    <x v="1"/>
    <x v="1"/>
    <s v="Americas"/>
    <s v="Northern America"/>
    <s v="US"/>
    <s v="RFCE"/>
    <n v="0"/>
    <s v="N2O"/>
    <n v="5.9562037999999999"/>
    <n v="1.27478E-5"/>
    <s v="KWH"/>
    <n v="1"/>
    <n v="467234"/>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ELECTRICITY; TRANSMISSION AND DISTRIBUTION; UNITED STATES - RFCE, USEPA to estimate the T&amp;D WTT factor."/>
    <n v="2021"/>
    <n v="2019"/>
    <n v="0"/>
    <n v="0"/>
    <x v="20"/>
    <s v="Office"/>
  </r>
  <r>
    <n v="4966"/>
    <s v="Top of Hierarchy &gt; North America &gt; Vantage_Warren"/>
    <x v="0"/>
    <x v="1"/>
    <d v="2021-01-01T00:00:00"/>
    <d v="2021-12-31T00:00:00"/>
    <x v="0"/>
    <d v="2021-01-01T00:00:00"/>
    <d v="2021-12-31T00:00:00"/>
    <s v="Electricity (non-renewable)"/>
    <n v="467234"/>
    <s v="Kilowatt hours"/>
    <x v="0"/>
    <m/>
    <s v="2023-02-27, 16:27"/>
    <s v="2023-07-20, 00:40"/>
    <n v="2021"/>
    <s v="electricity__t+d__wtt"/>
    <s v="Electricity T&amp;D WTT"/>
    <s v="t+d_wtt"/>
    <b v="0"/>
    <s v="ELECTRICITY; UNITED STATES - RFCE; T&amp;D WTT Estimated"/>
    <x v="1"/>
    <x v="1"/>
    <s v="Americas"/>
    <s v="Northern America"/>
    <s v="US"/>
    <s v="RFCE"/>
    <n v="1"/>
    <s v="CO2E MKT"/>
    <n v="1985.1347699999999"/>
    <n v="4.2486950000000002E-3"/>
    <s v="KWH"/>
    <n v="1"/>
    <n v="467234"/>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T&amp;D factor ,  to estimate the T&amp;D WTT factor."/>
    <n v="2021"/>
    <n v="2019"/>
    <n v="0"/>
    <n v="1.9851347699999999"/>
    <x v="20"/>
    <s v="Office"/>
  </r>
  <r>
    <n v="4966"/>
    <s v="Top of Hierarchy &gt; North America &gt; Vantage_Warren"/>
    <x v="0"/>
    <x v="1"/>
    <d v="2021-01-01T00:00:00"/>
    <d v="2021-12-31T00:00:00"/>
    <x v="0"/>
    <d v="2021-01-01T00:00:00"/>
    <d v="2021-12-31T00:00:00"/>
    <s v="Electricity (non-renewable)"/>
    <n v="467234"/>
    <s v="Kilowatt hours"/>
    <x v="0"/>
    <m/>
    <s v="2023-02-27, 16:27"/>
    <s v="2023-07-20, 00:40"/>
    <n v="2021"/>
    <s v="electricity__wtt"/>
    <s v="Electricity WTT"/>
    <s v="wtt"/>
    <b v="0"/>
    <s v="ELECTRICITY; UNITED STATES - RFCE; WTT Estimated"/>
    <x v="1"/>
    <x v="1"/>
    <s v="Americas"/>
    <s v="Northern America"/>
    <s v="US"/>
    <s v="RFCE"/>
    <n v="0"/>
    <s v="CH4"/>
    <n v="74.182411549999998"/>
    <n v="1.5876900000000001E-4"/>
    <s v="KWH"/>
    <n v="1"/>
    <n v="467234"/>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RFCE, USEPAto estimate the WTT factor."/>
    <n v="2021"/>
    <n v="2019"/>
    <n v="0"/>
    <n v="0"/>
    <x v="20"/>
    <s v="Office"/>
  </r>
  <r>
    <n v="4966"/>
    <s v="Top of Hierarchy &gt; North America &gt; Vantage_Warren"/>
    <x v="0"/>
    <x v="1"/>
    <d v="2021-01-01T00:00:00"/>
    <d v="2021-12-31T00:00:00"/>
    <x v="0"/>
    <d v="2021-01-01T00:00:00"/>
    <d v="2021-12-31T00:00:00"/>
    <s v="Electricity (non-renewable)"/>
    <n v="467234"/>
    <s v="Kilowatt hours"/>
    <x v="0"/>
    <m/>
    <s v="2023-02-27, 16:27"/>
    <s v="2023-07-20, 00:40"/>
    <n v="2021"/>
    <s v="electricity__wtt"/>
    <s v="Electricity WTT"/>
    <s v="wtt"/>
    <b v="0"/>
    <s v="ELECTRICITY; UNITED STATES - RFCE; WTT Estimated"/>
    <x v="1"/>
    <x v="1"/>
    <s v="Americas"/>
    <s v="Northern America"/>
    <s v="US"/>
    <s v="RFCE"/>
    <n v="0"/>
    <s v="CO2"/>
    <n v="38912.677909999999"/>
    <n v="8.3283061000000005E-2"/>
    <s v="KWH"/>
    <n v="1"/>
    <n v="467234"/>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RFCE, USEPAto estimate the WTT factor."/>
    <n v="2021"/>
    <n v="2019"/>
    <n v="0"/>
    <n v="0"/>
    <x v="20"/>
    <s v="Office"/>
  </r>
  <r>
    <n v="4966"/>
    <s v="Top of Hierarchy &gt; North America &gt; Vantage_Warren"/>
    <x v="0"/>
    <x v="1"/>
    <d v="2021-01-01T00:00:00"/>
    <d v="2021-12-31T00:00:00"/>
    <x v="0"/>
    <d v="2021-01-01T00:00:00"/>
    <d v="2021-12-31T00:00:00"/>
    <s v="Electricity (non-renewable)"/>
    <n v="467234"/>
    <s v="Kilowatt hours"/>
    <x v="0"/>
    <m/>
    <s v="2023-02-27, 16:27"/>
    <s v="2023-07-20, 00:40"/>
    <n v="2021"/>
    <s v="electricity__wtt"/>
    <s v="Electricity WTT"/>
    <s v="wtt"/>
    <b v="0"/>
    <s v="ELECTRICITY; UNITED STATES - RFCE; WTT Estimated"/>
    <x v="1"/>
    <x v="1"/>
    <s v="Americas"/>
    <s v="Northern America"/>
    <s v="US"/>
    <s v="RFCE"/>
    <n v="0"/>
    <s v="CO2E"/>
    <n v="39103.648630000003"/>
    <n v="8.3691787000000004E-2"/>
    <s v="KWH"/>
    <n v="1"/>
    <n v="467234"/>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RFCE, USEPAto estimate the WTT factor."/>
    <n v="2021"/>
    <n v="2019"/>
    <n v="39.103648630000002"/>
    <n v="0"/>
    <x v="20"/>
    <s v="Office"/>
  </r>
  <r>
    <n v="4966"/>
    <s v="Top of Hierarchy &gt; North America &gt; Vantage_Warren"/>
    <x v="0"/>
    <x v="1"/>
    <d v="2021-01-01T00:00:00"/>
    <d v="2021-12-31T00:00:00"/>
    <x v="0"/>
    <d v="2021-01-01T00:00:00"/>
    <d v="2021-12-31T00:00:00"/>
    <s v="Electricity (non-renewable)"/>
    <n v="467234"/>
    <s v="Kilowatt hours"/>
    <x v="0"/>
    <m/>
    <s v="2023-02-27, 16:27"/>
    <s v="2023-07-20, 00:40"/>
    <n v="2021"/>
    <s v="electricity__wtt"/>
    <s v="Electricity WTT"/>
    <s v="wtt"/>
    <b v="0"/>
    <s v="ELECTRICITY; UNITED STATES - RFCE; WTT Estimated"/>
    <x v="1"/>
    <x v="1"/>
    <s v="Americas"/>
    <s v="Northern America"/>
    <s v="US"/>
    <s v="RFCE"/>
    <n v="0"/>
    <s v="N2O"/>
    <n v="116.78830979999999"/>
    <n v="2.4995699999999998E-4"/>
    <s v="KWH"/>
    <n v="1"/>
    <n v="467234"/>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RFCE, USEPAto estimate the WTT factor."/>
    <n v="2021"/>
    <n v="2019"/>
    <n v="0"/>
    <n v="0"/>
    <x v="20"/>
    <s v="Office"/>
  </r>
  <r>
    <n v="4966"/>
    <s v="Top of Hierarchy &gt; North America &gt; Vantage_Warren"/>
    <x v="0"/>
    <x v="1"/>
    <d v="2021-01-01T00:00:00"/>
    <d v="2021-12-31T00:00:00"/>
    <x v="0"/>
    <d v="2021-01-01T00:00:00"/>
    <d v="2021-12-31T00:00:00"/>
    <s v="Electricity (non-renewable)"/>
    <n v="467234"/>
    <s v="Kilowatt hours"/>
    <x v="0"/>
    <m/>
    <s v="2023-02-27, 16:27"/>
    <s v="2023-07-20, 00:40"/>
    <n v="2021"/>
    <s v="electricity__wtt"/>
    <s v="Electricity WTT"/>
    <s v="wtt"/>
    <b v="0"/>
    <s v="ELECTRICITY; UNITED STATES - RFCE; WTT Estimated"/>
    <x v="1"/>
    <x v="1"/>
    <s v="Americas"/>
    <s v="Northern America"/>
    <s v="US"/>
    <s v="RFCE"/>
    <n v="1"/>
    <s v="CO2E MKT"/>
    <n v="38924.211179999998"/>
    <n v="8.3307746000000002E-2"/>
    <s v="KWH"/>
    <n v="1"/>
    <n v="467234"/>
    <s v="AR4"/>
    <s v="Anthesis"/>
    <s v="The median WTT to generation factor ratio of all countries within the region Northern America was taken to be ELECTRICITY; UNITED STATES, USEPA to WTT- UK &amp; OVERSEAS ELEC; WTT- OVERSEAS ELECTRICITY (GENERATION); ELECTRICITY: UNITED STATES, Defra: 0.264. This was applied to the base factor ELECTRICITY; UNITED STATES - RFCE, Green-eto estimate the WTT factor."/>
    <n v="2021"/>
    <n v="2019"/>
    <n v="0"/>
    <n v="38.92421118"/>
    <x v="20"/>
    <s v="Office"/>
  </r>
  <r>
    <n v="4966"/>
    <s v="Top of Hierarchy &gt; North America &gt; Vantage_Warren"/>
    <x v="0"/>
    <x v="1"/>
    <d v="2021-01-01T00:00:00"/>
    <d v="2021-12-31T00:00:00"/>
    <x v="0"/>
    <d v="2021-01-01T00:00:00"/>
    <d v="2021-12-31T00:00:00"/>
    <s v="Electricity (non-renewable)"/>
    <n v="467234"/>
    <s v="Kilowatt hours"/>
    <x v="0"/>
    <m/>
    <s v="2023-02-27, 16:27"/>
    <s v="2023-07-20, 00:40"/>
    <n v="2021"/>
    <s v="electricity__t+d"/>
    <s v="Electricity T&amp;D"/>
    <s v="t+d"/>
    <b v="0"/>
    <s v="ELECTRICITY; TRANSMISSION AND DISTRIBUTION; UNITED STATES - RFCE"/>
    <x v="1"/>
    <x v="1"/>
    <s v="Americas"/>
    <s v="Northern America"/>
    <s v="US"/>
    <s v="RFCE"/>
    <n v="0"/>
    <s v="CO2E"/>
    <n v="7549.2284449999997"/>
    <n v="1.6157274999999999E-2"/>
    <s v="KWH"/>
    <n v="1"/>
    <n v="467234"/>
    <s v="AR4"/>
    <s v="USEPA"/>
    <s v="USEPA (2021)"/>
    <n v="2021"/>
    <n v="2019"/>
    <n v="7.5492284449999998"/>
    <n v="0"/>
    <x v="20"/>
    <s v="Office"/>
  </r>
  <r>
    <n v="4966"/>
    <s v="Top of Hierarchy &gt; North America &gt; Vantage_Warren"/>
    <x v="0"/>
    <x v="1"/>
    <d v="2021-01-01T00:00:00"/>
    <d v="2021-12-31T00:00:00"/>
    <x v="0"/>
    <d v="2021-01-01T00:00:00"/>
    <d v="2021-12-31T00:00:00"/>
    <s v="Electricity (non-renewable)"/>
    <n v="467234"/>
    <s v="Kilowatt hours"/>
    <x v="0"/>
    <m/>
    <s v="2023-02-27, 16:27"/>
    <s v="2023-07-20, 00:40"/>
    <n v="2021"/>
    <s v="electricity__t+d"/>
    <s v="Electricity T&amp;D"/>
    <s v="t+d"/>
    <b v="0"/>
    <s v="ELECTRICITY; UNITED STATES - RFCE; T&amp;D Estimated"/>
    <x v="1"/>
    <x v="1"/>
    <s v="Americas"/>
    <s v="Northern America"/>
    <s v="US"/>
    <s v="RFCE"/>
    <n v="1"/>
    <s v="CO2E MKT"/>
    <n v="7514.5868099999998"/>
    <n v="1.6083133999999999E-2"/>
    <s v="KWH"/>
    <n v="1"/>
    <n v="467234"/>
    <s v="AR4"/>
    <s v="Anthesis"/>
    <s v="The median T&amp;D to generation factor ratio of all countries within the region Northern America was taken to be ELECTRICITY; UNITED STATES - SRSO, USEPA to ELECTRICITY; TRANSMISSION AND DISTRIBUTION; UNITED STATES - SRSO, USEPA: 0.051. This was applied to the base factor ELECTRICITY; UNITED STATES - RFCE, Green-eto estimate the T&amp;D factor."/>
    <n v="2021"/>
    <n v="2019"/>
    <n v="0"/>
    <n v="7.51458681"/>
    <x v="20"/>
    <s v="Office"/>
  </r>
  <r>
    <n v="4991"/>
    <s v="Top of Hierarchy &gt; North America &gt; Vantage_Warren"/>
    <x v="0"/>
    <x v="1"/>
    <d v="2021-01-01T00:00:00"/>
    <d v="2021-12-31T00:00:00"/>
    <x v="3"/>
    <d v="2021-01-01T00:00:00"/>
    <d v="2021-12-31T00:00:00"/>
    <s v="Natural gas"/>
    <n v="117546000"/>
    <s v="British Thermal Units"/>
    <x v="0"/>
    <m/>
    <s v="2023-02-27, 16:27"/>
    <s v="2023-07-20, 00:40"/>
    <n v="2021"/>
    <s v="natural_gas"/>
    <s v="Natural Gas"/>
    <s v="model"/>
    <b v="0"/>
    <s v="NATURAL GAS, NATURAL GAS"/>
    <x v="2"/>
    <x v="0"/>
    <s v="Americas"/>
    <s v="Northern America"/>
    <s v="US"/>
    <m/>
    <n v="0"/>
    <s v="CH4"/>
    <n v="2.93865"/>
    <n v="2.5000000000000001E-2"/>
    <s v="MMBTU"/>
    <n v="9.9999999999999995E-7"/>
    <n v="117.54600000000001"/>
    <s v="AR4"/>
    <s v="USEPA"/>
    <s v="USEPA (2021)"/>
    <n v="2021"/>
    <n v="2021"/>
    <n v="0"/>
    <n v="0"/>
    <x v="20"/>
    <s v="Office"/>
  </r>
  <r>
    <n v="4991"/>
    <s v="Top of Hierarchy &gt; North America &gt; Vantage_Warren"/>
    <x v="0"/>
    <x v="1"/>
    <d v="2021-01-01T00:00:00"/>
    <d v="2021-12-31T00:00:00"/>
    <x v="3"/>
    <d v="2021-01-01T00:00:00"/>
    <d v="2021-12-31T00:00:00"/>
    <s v="Natural gas"/>
    <n v="117546000"/>
    <s v="British Thermal Units"/>
    <x v="0"/>
    <m/>
    <s v="2023-02-27, 16:27"/>
    <s v="2023-07-20, 00:40"/>
    <n v="2021"/>
    <s v="natural_gas"/>
    <s v="Natural Gas"/>
    <s v="model"/>
    <b v="0"/>
    <s v="NATURAL GAS, NATURAL GAS"/>
    <x v="2"/>
    <x v="0"/>
    <s v="Americas"/>
    <s v="Northern America"/>
    <s v="US"/>
    <m/>
    <n v="0"/>
    <s v="CO2"/>
    <n v="6236.9907599999997"/>
    <n v="53.06"/>
    <s v="MMBTU"/>
    <n v="9.9999999999999995E-7"/>
    <n v="117.54600000000001"/>
    <s v="AR4"/>
    <s v="USEPA"/>
    <s v="USEPA Emission Factors Hub (Last Modified: March 2020)"/>
    <n v="2021"/>
    <n v="2020"/>
    <n v="0"/>
    <n v="0"/>
    <x v="20"/>
    <s v="Office"/>
  </r>
  <r>
    <n v="4991"/>
    <s v="Top of Hierarchy &gt; North America &gt; Vantage_Warren"/>
    <x v="0"/>
    <x v="1"/>
    <d v="2021-01-01T00:00:00"/>
    <d v="2021-12-31T00:00:00"/>
    <x v="3"/>
    <d v="2021-01-01T00:00:00"/>
    <d v="2021-12-31T00:00:00"/>
    <s v="Natural gas"/>
    <n v="117546000"/>
    <s v="British Thermal Units"/>
    <x v="0"/>
    <m/>
    <s v="2023-02-27, 16:27"/>
    <s v="2023-07-20, 00:40"/>
    <n v="2021"/>
    <s v="natural_gas"/>
    <s v="Natural Gas"/>
    <s v="model"/>
    <b v="0"/>
    <s v="NATURAL GAS, NATURAL GAS"/>
    <x v="2"/>
    <x v="0"/>
    <s v="Americas"/>
    <s v="Northern America"/>
    <s v="US"/>
    <m/>
    <n v="0"/>
    <s v="CO2E"/>
    <n v="6243.4322810000003"/>
    <n v="53.114800000000002"/>
    <s v="MMBTU"/>
    <n v="9.9999999999999995E-7"/>
    <n v="117.54600000000001"/>
    <s v="AR4"/>
    <s v="USEPA"/>
    <s v="USEPA (2021)"/>
    <n v="2021"/>
    <n v="2021"/>
    <n v="6.2434322810000005"/>
    <n v="0"/>
    <x v="20"/>
    <s v="Office"/>
  </r>
  <r>
    <n v="4991"/>
    <s v="Top of Hierarchy &gt; North America &gt; Vantage_Warren"/>
    <x v="0"/>
    <x v="1"/>
    <d v="2021-01-01T00:00:00"/>
    <d v="2021-12-31T00:00:00"/>
    <x v="3"/>
    <d v="2021-01-01T00:00:00"/>
    <d v="2021-12-31T00:00:00"/>
    <s v="Natural gas"/>
    <n v="117546000"/>
    <s v="British Thermal Units"/>
    <x v="0"/>
    <m/>
    <s v="2023-02-27, 16:27"/>
    <s v="2023-07-20, 00:40"/>
    <n v="2021"/>
    <s v="natural_gas"/>
    <s v="Natural Gas"/>
    <s v="model"/>
    <b v="0"/>
    <s v="NATURAL GAS, NATURAL GAS"/>
    <x v="2"/>
    <x v="0"/>
    <s v="Americas"/>
    <s v="Northern America"/>
    <s v="US"/>
    <m/>
    <n v="0"/>
    <s v="N2O"/>
    <n v="3.5028708000000002"/>
    <n v="2.98E-2"/>
    <s v="MMBTU"/>
    <n v="9.9999999999999995E-7"/>
    <n v="117.54600000000001"/>
    <s v="AR4"/>
    <s v="USEPA"/>
    <s v="USEPA (2021)"/>
    <n v="2021"/>
    <n v="2021"/>
    <n v="0"/>
    <n v="0"/>
    <x v="20"/>
    <s v="Office"/>
  </r>
  <r>
    <n v="4991"/>
    <s v="Top of Hierarchy &gt; North America &gt; Vantage_Warren"/>
    <x v="0"/>
    <x v="1"/>
    <d v="2021-01-01T00:00:00"/>
    <d v="2021-12-31T00:00:00"/>
    <x v="3"/>
    <d v="2021-01-01T00:00:00"/>
    <d v="2021-12-31T00:00:00"/>
    <s v="Natural gas"/>
    <n v="117546000"/>
    <s v="British Thermal Units"/>
    <x v="0"/>
    <m/>
    <s v="2023-02-27, 16:27"/>
    <s v="2023-07-20, 00:40"/>
    <n v="2021"/>
    <s v="natural_gas"/>
    <s v="Natural Gas"/>
    <s v="model"/>
    <b v="0"/>
    <s v="NATURAL GAS, NATURAL GAS"/>
    <x v="2"/>
    <x v="0"/>
    <s v="Americas"/>
    <s v="Northern America"/>
    <s v="US"/>
    <m/>
    <n v="1"/>
    <s v="CH4"/>
    <n v="2.93865"/>
    <n v="2.5000000000000001E-2"/>
    <s v="MMBTU"/>
    <n v="9.9999999999999995E-7"/>
    <n v="117.54600000000001"/>
    <s v="AR4"/>
    <s v="USEPA"/>
    <s v="USEPA (2021)"/>
    <n v="2021"/>
    <n v="2021"/>
    <n v="0"/>
    <n v="0"/>
    <x v="20"/>
    <s v="Office"/>
  </r>
  <r>
    <n v="4991"/>
    <s v="Top of Hierarchy &gt; North America &gt; Vantage_Warren"/>
    <x v="0"/>
    <x v="1"/>
    <d v="2021-01-01T00:00:00"/>
    <d v="2021-12-31T00:00:00"/>
    <x v="3"/>
    <d v="2021-01-01T00:00:00"/>
    <d v="2021-12-31T00:00:00"/>
    <s v="Natural gas"/>
    <n v="117546000"/>
    <s v="British Thermal Units"/>
    <x v="0"/>
    <m/>
    <s v="2023-02-27, 16:27"/>
    <s v="2023-07-20, 00:40"/>
    <n v="2021"/>
    <s v="natural_gas"/>
    <s v="Natural Gas"/>
    <s v="model"/>
    <b v="0"/>
    <s v="NATURAL GAS, NATURAL GAS"/>
    <x v="2"/>
    <x v="0"/>
    <s v="Americas"/>
    <s v="Northern America"/>
    <s v="US"/>
    <m/>
    <n v="1"/>
    <s v="CO2"/>
    <n v="6236.9907599999997"/>
    <n v="53.06"/>
    <s v="MMBTU"/>
    <n v="9.9999999999999995E-7"/>
    <n v="117.54600000000001"/>
    <s v="AR4"/>
    <s v="USEPA"/>
    <s v="USEPA Emission Factors Hub (Last Modified: March 2020)"/>
    <n v="2021"/>
    <n v="2020"/>
    <n v="0"/>
    <n v="0"/>
    <x v="20"/>
    <s v="Office"/>
  </r>
  <r>
    <n v="4991"/>
    <s v="Top of Hierarchy &gt; North America &gt; Vantage_Warren"/>
    <x v="0"/>
    <x v="1"/>
    <d v="2021-01-01T00:00:00"/>
    <d v="2021-12-31T00:00:00"/>
    <x v="3"/>
    <d v="2021-01-01T00:00:00"/>
    <d v="2021-12-31T00:00:00"/>
    <s v="Natural gas"/>
    <n v="117546000"/>
    <s v="British Thermal Units"/>
    <x v="0"/>
    <m/>
    <s v="2023-02-27, 16:27"/>
    <s v="2023-07-20, 00:40"/>
    <n v="2021"/>
    <s v="natural_gas"/>
    <s v="Natural Gas"/>
    <s v="model"/>
    <b v="0"/>
    <s v="NATURAL GAS, NATURAL GAS"/>
    <x v="2"/>
    <x v="0"/>
    <s v="Americas"/>
    <s v="Northern America"/>
    <s v="US"/>
    <m/>
    <n v="1"/>
    <s v="CO2E"/>
    <n v="6243.4322810000003"/>
    <n v="53.114800000000002"/>
    <s v="MMBTU"/>
    <n v="9.9999999999999995E-7"/>
    <n v="117.54600000000001"/>
    <s v="AR4"/>
    <s v="USEPA"/>
    <s v="USEPA (2021)"/>
    <n v="2021"/>
    <n v="2021"/>
    <n v="0"/>
    <n v="6.2434322810000005"/>
    <x v="20"/>
    <s v="Office"/>
  </r>
  <r>
    <n v="4991"/>
    <s v="Top of Hierarchy &gt; North America &gt; Vantage_Warren"/>
    <x v="0"/>
    <x v="1"/>
    <d v="2021-01-01T00:00:00"/>
    <d v="2021-12-31T00:00:00"/>
    <x v="3"/>
    <d v="2021-01-01T00:00:00"/>
    <d v="2021-12-31T00:00:00"/>
    <s v="Natural gas"/>
    <n v="117546000"/>
    <s v="British Thermal Units"/>
    <x v="0"/>
    <m/>
    <s v="2023-02-27, 16:27"/>
    <s v="2023-07-20, 00:40"/>
    <n v="2021"/>
    <s v="natural_gas"/>
    <s v="Natural Gas"/>
    <s v="model"/>
    <b v="0"/>
    <s v="NATURAL GAS, NATURAL GAS"/>
    <x v="2"/>
    <x v="0"/>
    <s v="Americas"/>
    <s v="Northern America"/>
    <s v="US"/>
    <m/>
    <n v="1"/>
    <s v="N2O"/>
    <n v="3.5028708000000002"/>
    <n v="2.98E-2"/>
    <s v="MMBTU"/>
    <n v="9.9999999999999995E-7"/>
    <n v="117.54600000000001"/>
    <s v="AR4"/>
    <s v="USEPA"/>
    <s v="USEPA (2021)"/>
    <n v="2021"/>
    <n v="2021"/>
    <n v="0"/>
    <n v="0"/>
    <x v="20"/>
    <s v="Office"/>
  </r>
  <r>
    <n v="4991"/>
    <s v="Top of Hierarchy &gt; North America &gt; Vantage_Warren"/>
    <x v="0"/>
    <x v="1"/>
    <d v="2021-01-01T00:00:00"/>
    <d v="2021-12-31T00:00:00"/>
    <x v="3"/>
    <d v="2021-01-01T00:00:00"/>
    <d v="2021-12-31T00:00:00"/>
    <s v="Natural gas"/>
    <n v="117546000"/>
    <s v="British Thermal Units"/>
    <x v="0"/>
    <m/>
    <s v="2023-02-27, 16:27"/>
    <s v="2023-07-20, 00:40"/>
    <n v="2021"/>
    <s v="natural_gas__wtt"/>
    <s v="Natural Gas WTT"/>
    <s v="wtt"/>
    <b v="0"/>
    <s v="WTT- FUELS; WTT- GASEOUS FUELS; NATURAL GAS"/>
    <x v="1"/>
    <x v="1"/>
    <m/>
    <m/>
    <m/>
    <m/>
    <n v="0"/>
    <s v="CO2E"/>
    <n v="1079.9826149999999"/>
    <n v="3.1350000000000003E-2"/>
    <s v="KWH (GROSS CV)"/>
    <n v="2.9306999999999998E-4"/>
    <n v="34449.20622"/>
    <s v="AR4"/>
    <s v="Defra"/>
    <s v="Defra (2021)"/>
    <n v="2021"/>
    <n v="2019"/>
    <n v="1.0799826149999998"/>
    <n v="0"/>
    <x v="20"/>
    <s v="Office"/>
  </r>
  <r>
    <n v="4991"/>
    <s v="Top of Hierarchy &gt; North America &gt; Vantage_Warren"/>
    <x v="0"/>
    <x v="1"/>
    <d v="2021-01-01T00:00:00"/>
    <d v="2021-12-31T00:00:00"/>
    <x v="3"/>
    <d v="2021-01-01T00:00:00"/>
    <d v="2021-12-31T00:00:00"/>
    <s v="Natural gas"/>
    <n v="117546000"/>
    <s v="British Thermal Units"/>
    <x v="0"/>
    <m/>
    <s v="2023-02-27, 16:27"/>
    <s v="2023-07-20, 00:40"/>
    <n v="2021"/>
    <s v="natural_gas__wtt"/>
    <s v="Natural Gas WTT"/>
    <s v="wtt"/>
    <b v="0"/>
    <s v="WTT- FUELS; WTT- GASEOUS FUELS; NATURAL GAS"/>
    <x v="1"/>
    <x v="1"/>
    <m/>
    <m/>
    <m/>
    <m/>
    <n v="1"/>
    <s v="CO2E"/>
    <n v="1079.9826149999999"/>
    <n v="3.1350000000000003E-2"/>
    <s v="KWH (GROSS CV)"/>
    <n v="2.9306999999999998E-4"/>
    <n v="34449.20622"/>
    <s v="AR4"/>
    <s v="Defra"/>
    <s v="Defra (2021)"/>
    <n v="2021"/>
    <n v="2019"/>
    <n v="0"/>
    <n v="1.0799826149999998"/>
    <x v="20"/>
    <s v="Office"/>
  </r>
  <r>
    <n v="5025"/>
    <s v="Top of Hierarchy &gt; North America &gt; Vantage_Warren"/>
    <x v="0"/>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0"/>
    <s v="CH4"/>
    <n v="0"/>
    <n v="2.5999999999999998E-4"/>
    <s v="LITRES"/>
    <n v="1"/>
    <n v="0"/>
    <s v="AR4"/>
    <s v="Defra"/>
    <s v="Defra (2021)"/>
    <n v="2021"/>
    <n v="2019"/>
    <n v="0"/>
    <n v="0"/>
    <x v="20"/>
    <s v="Office"/>
  </r>
  <r>
    <n v="5025"/>
    <s v="Top of Hierarchy &gt; North America &gt; Vantage_Warren"/>
    <x v="0"/>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0"/>
    <s v="CO2"/>
    <n v="0"/>
    <n v="2.6680700000000002"/>
    <s v="LITRES"/>
    <n v="1"/>
    <n v="0"/>
    <s v="AR4"/>
    <s v="Defra"/>
    <s v="Defra (2021)"/>
    <n v="2021"/>
    <n v="2019"/>
    <n v="0"/>
    <n v="0"/>
    <x v="20"/>
    <s v="Office"/>
  </r>
  <r>
    <n v="5025"/>
    <s v="Top of Hierarchy &gt; North America &gt; Vantage_Warren"/>
    <x v="0"/>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0"/>
    <s v="CO2E"/>
    <n v="0"/>
    <n v="2.70553"/>
    <s v="LITRES"/>
    <n v="1"/>
    <n v="0"/>
    <s v="AR4"/>
    <s v="Defra"/>
    <s v="Defra (2021)"/>
    <n v="2021"/>
    <n v="2019"/>
    <n v="0"/>
    <n v="0"/>
    <x v="20"/>
    <s v="Office"/>
  </r>
  <r>
    <n v="5025"/>
    <s v="Top of Hierarchy &gt; North America &gt; Vantage_Warren"/>
    <x v="0"/>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0"/>
    <s v="N2O"/>
    <n v="0"/>
    <n v="3.7199999999999997E-2"/>
    <s v="LITRES"/>
    <n v="1"/>
    <n v="0"/>
    <s v="AR4"/>
    <s v="Defra"/>
    <s v="Defra (2021)"/>
    <n v="2021"/>
    <n v="2019"/>
    <n v="0"/>
    <n v="0"/>
    <x v="20"/>
    <s v="Office"/>
  </r>
  <r>
    <n v="5025"/>
    <s v="Top of Hierarchy &gt; North America &gt; Vantage_Warren"/>
    <x v="0"/>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1"/>
    <s v="CH4"/>
    <n v="0"/>
    <n v="2.5999999999999998E-4"/>
    <s v="LITRES"/>
    <n v="1"/>
    <n v="0"/>
    <s v="AR4"/>
    <s v="Defra"/>
    <s v="Defra (2021)"/>
    <n v="2021"/>
    <n v="2019"/>
    <n v="0"/>
    <n v="0"/>
    <x v="20"/>
    <s v="Office"/>
  </r>
  <r>
    <n v="5025"/>
    <s v="Top of Hierarchy &gt; North America &gt; Vantage_Warren"/>
    <x v="0"/>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1"/>
    <s v="CO2"/>
    <n v="0"/>
    <n v="2.6680700000000002"/>
    <s v="LITRES"/>
    <n v="1"/>
    <n v="0"/>
    <s v="AR4"/>
    <s v="Defra"/>
    <s v="Defra (2021)"/>
    <n v="2021"/>
    <n v="2019"/>
    <n v="0"/>
    <n v="0"/>
    <x v="20"/>
    <s v="Office"/>
  </r>
  <r>
    <n v="5025"/>
    <s v="Top of Hierarchy &gt; North America &gt; Vantage_Warren"/>
    <x v="0"/>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1"/>
    <s v="CO2E"/>
    <n v="0"/>
    <n v="2.70553"/>
    <s v="LITRES"/>
    <n v="1"/>
    <n v="0"/>
    <s v="AR4"/>
    <s v="Defra"/>
    <s v="Defra (2021)"/>
    <n v="2021"/>
    <n v="2019"/>
    <n v="0"/>
    <n v="0"/>
    <x v="20"/>
    <s v="Office"/>
  </r>
  <r>
    <n v="5025"/>
    <s v="Top of Hierarchy &gt; North America &gt; Vantage_Warren"/>
    <x v="0"/>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1"/>
    <s v="N2O"/>
    <n v="0"/>
    <n v="3.7199999999999997E-2"/>
    <s v="LITRES"/>
    <n v="1"/>
    <n v="0"/>
    <s v="AR4"/>
    <s v="Defra"/>
    <s v="Defra (2021)"/>
    <n v="2021"/>
    <n v="2019"/>
    <n v="0"/>
    <n v="0"/>
    <x v="20"/>
    <s v="Office"/>
  </r>
  <r>
    <n v="5025"/>
    <s v="Top of Hierarchy &gt; North America &gt; Vantage_Warren"/>
    <x v="0"/>
    <x v="1"/>
    <d v="2021-01-01T00:00:00"/>
    <d v="2021-12-31T00:00:00"/>
    <x v="1"/>
    <d v="2021-01-01T00:00:00"/>
    <d v="2021-12-31T00:00:00"/>
    <s v="Diesel (100% mineral diesel)"/>
    <n v="0"/>
    <s v="litres"/>
    <x v="0"/>
    <m/>
    <s v="2023-02-27, 16:27"/>
    <s v="2023-07-20, 00:40"/>
    <n v="2021"/>
    <s v="diesel_100p_mineral_diesel__wtt"/>
    <s v="Diesel (100% Mineral Diesel) WTT"/>
    <s v="wtt"/>
    <b v="0"/>
    <s v="WTT- FUELS; WTT- LIQUID FUELS; DIESEL (100% MINERAL DIESEL)"/>
    <x v="1"/>
    <x v="1"/>
    <m/>
    <m/>
    <m/>
    <m/>
    <n v="0"/>
    <s v="CO2E"/>
    <n v="0"/>
    <n v="0.62873999999999997"/>
    <s v="LITRES"/>
    <n v="1"/>
    <n v="0"/>
    <s v="AR4"/>
    <s v="Defra"/>
    <s v="Defra (2021)"/>
    <n v="2021"/>
    <n v="2019"/>
    <n v="0"/>
    <n v="0"/>
    <x v="20"/>
    <s v="Office"/>
  </r>
  <r>
    <n v="5025"/>
    <s v="Top of Hierarchy &gt; North America &gt; Vantage_Warren"/>
    <x v="0"/>
    <x v="1"/>
    <d v="2021-01-01T00:00:00"/>
    <d v="2021-12-31T00:00:00"/>
    <x v="1"/>
    <d v="2021-01-01T00:00:00"/>
    <d v="2021-12-31T00:00:00"/>
    <s v="Diesel (100% mineral diesel)"/>
    <n v="0"/>
    <s v="litres"/>
    <x v="0"/>
    <m/>
    <s v="2023-02-27, 16:27"/>
    <s v="2023-07-20, 00:40"/>
    <n v="2021"/>
    <s v="diesel_100p_mineral_diesel__wtt"/>
    <s v="Diesel (100% Mineral Diesel) WTT"/>
    <s v="wtt"/>
    <b v="0"/>
    <s v="WTT- FUELS; WTT- LIQUID FUELS; DIESEL (100% MINERAL DIESEL)"/>
    <x v="1"/>
    <x v="1"/>
    <m/>
    <m/>
    <m/>
    <m/>
    <n v="1"/>
    <s v="CO2E"/>
    <n v="0"/>
    <n v="0.62873999999999997"/>
    <s v="LITRES"/>
    <n v="1"/>
    <n v="0"/>
    <s v="AR4"/>
    <s v="Defra"/>
    <s v="Defra (2021)"/>
    <n v="2021"/>
    <n v="2019"/>
    <n v="0"/>
    <n v="0"/>
    <x v="20"/>
    <s v="Office"/>
  </r>
  <r>
    <n v="5051"/>
    <s v="Top of Hierarchy &gt; North America &gt; Vantage_Warren"/>
    <x v="0"/>
    <x v="1"/>
    <d v="2021-01-01T00:00:00"/>
    <d v="2021-12-31T00:00:00"/>
    <x v="4"/>
    <d v="2021-01-01T00:00:00"/>
    <d v="2021-12-31T00:00:00"/>
    <s v="R-22"/>
    <n v="3.9182000000000001"/>
    <s v="kilograms"/>
    <x v="0"/>
    <m/>
    <s v="2023-02-27, 16:28"/>
    <s v="2023-07-20, 00:40"/>
    <n v="2021"/>
    <s v="r22"/>
    <s v="R-22"/>
    <s v="model"/>
    <b v="0"/>
    <s v="REFRIGERANT: R-22"/>
    <x v="2"/>
    <x v="0"/>
    <m/>
    <m/>
    <m/>
    <m/>
    <n v="0"/>
    <s v="CO2E"/>
    <n v="7091.942"/>
    <n v="1810"/>
    <s v="KG"/>
    <n v="1"/>
    <n v="3.9182000000000001"/>
    <s v="AR4"/>
    <s v="IPCC"/>
    <s v="IPCC (2021)"/>
    <n v="2021"/>
    <n v="2007"/>
    <n v="7.0919420000000004"/>
    <n v="0"/>
    <x v="20"/>
    <s v="Office"/>
  </r>
  <r>
    <n v="5051"/>
    <s v="Top of Hierarchy &gt; North America &gt; Vantage_Warren"/>
    <x v="0"/>
    <x v="1"/>
    <d v="2021-01-01T00:00:00"/>
    <d v="2021-12-31T00:00:00"/>
    <x v="4"/>
    <d v="2021-01-01T00:00:00"/>
    <d v="2021-12-31T00:00:00"/>
    <s v="R-22"/>
    <n v="3.9182000000000001"/>
    <s v="kilograms"/>
    <x v="0"/>
    <m/>
    <s v="2023-02-27, 16:28"/>
    <s v="2023-07-20, 00:40"/>
    <n v="2021"/>
    <s v="r22"/>
    <s v="R-22"/>
    <s v="model"/>
    <b v="0"/>
    <s v="REFRIGERANT: R-22"/>
    <x v="2"/>
    <x v="0"/>
    <m/>
    <m/>
    <m/>
    <m/>
    <n v="1"/>
    <s v="CO2E"/>
    <n v="7091.942"/>
    <n v="1810"/>
    <s v="KG"/>
    <n v="1"/>
    <n v="3.9182000000000001"/>
    <s v="AR4"/>
    <s v="IPCC"/>
    <s v="IPCC (2021)"/>
    <n v="2021"/>
    <n v="2007"/>
    <n v="0"/>
    <n v="7.0919420000000004"/>
    <x v="20"/>
    <s v="Office"/>
  </r>
  <r>
    <n v="1676920"/>
    <s v="Top of Hierarchy &gt; Scope 3 Inventory"/>
    <x v="6"/>
    <x v="0"/>
    <d v="2022-01-01T00:00:00"/>
    <d v="2022-12-31T00:00:00"/>
    <x v="6"/>
    <d v="2022-01-01T00:00:00"/>
    <d v="2022-12-31T00:00:00"/>
    <s v="1. Purchased goods and services"/>
    <n v="805776.03"/>
    <s v="metric tonnes"/>
    <x v="0"/>
    <m/>
    <s v="2023-08-03, 19:29"/>
    <s v="2023-08-08, 19:56"/>
    <n v="2022"/>
    <s v="co2"/>
    <s v="Carbon Dioxide"/>
    <s v="model"/>
    <b v="0"/>
    <s v="REFRIGERANT &amp; OTHER; KYOTO PROTOCOL - STANDARD; CARBON DIOXIDE"/>
    <x v="1"/>
    <x v="2"/>
    <m/>
    <m/>
    <m/>
    <m/>
    <n v="0"/>
    <s v="CO2E"/>
    <n v="805776030"/>
    <n v="1"/>
    <s v="KG"/>
    <n v="1000"/>
    <n v="805776030"/>
    <s v="AR4"/>
    <s v="Defra"/>
    <s v="Defra (2021)"/>
    <n v="2022"/>
    <n v="2019"/>
    <n v="805776.03"/>
    <n v="0"/>
    <x v="21"/>
    <s v="Scope 3 Inventory"/>
  </r>
  <r>
    <n v="1676920"/>
    <s v="Top of Hierarchy &gt; Scope 3 Inventory"/>
    <x v="6"/>
    <x v="0"/>
    <d v="2022-01-01T00:00:00"/>
    <d v="2022-12-31T00:00:00"/>
    <x v="6"/>
    <d v="2022-01-01T00:00:00"/>
    <d v="2022-12-31T00:00:00"/>
    <s v="1. Purchased goods and services"/>
    <n v="805776.03"/>
    <s v="metric tonnes"/>
    <x v="0"/>
    <m/>
    <s v="2023-08-03, 19:29"/>
    <s v="2023-08-08, 19:56"/>
    <n v="2022"/>
    <s v="co2"/>
    <s v="Carbon Dioxide"/>
    <s v="model"/>
    <b v="0"/>
    <s v="REFRIGERANT &amp; OTHER; KYOTO PROTOCOL - STANDARD; CARBON DIOXIDE"/>
    <x v="1"/>
    <x v="2"/>
    <m/>
    <m/>
    <m/>
    <m/>
    <n v="1"/>
    <s v="CO2E"/>
    <n v="805776030"/>
    <n v="1"/>
    <s v="KG"/>
    <n v="1000"/>
    <n v="805776030"/>
    <s v="AR4"/>
    <s v="Defra"/>
    <s v="Defra (2021)"/>
    <n v="2022"/>
    <n v="2019"/>
    <n v="0"/>
    <n v="805776.03"/>
    <x v="21"/>
    <s v="Scope 3 Inventory"/>
  </r>
  <r>
    <n v="1676924"/>
    <s v="Top of Hierarchy &gt; Scope 3 Inventory"/>
    <x v="6"/>
    <x v="0"/>
    <d v="2022-01-01T00:00:00"/>
    <d v="2022-12-31T00:00:00"/>
    <x v="7"/>
    <d v="2022-01-01T00:00:00"/>
    <d v="2022-12-31T00:00:00"/>
    <s v="2. Capital goods"/>
    <n v="2257.37"/>
    <s v="metric tonnes"/>
    <x v="0"/>
    <m/>
    <s v="2023-08-03, 19:30"/>
    <s v="2023-08-08, 19:56"/>
    <n v="2022"/>
    <s v="co2"/>
    <s v="Carbon Dioxide"/>
    <s v="model"/>
    <b v="0"/>
    <s v="REFRIGERANT &amp; OTHER; KYOTO PROTOCOL - STANDARD; CARBON DIOXIDE"/>
    <x v="1"/>
    <x v="3"/>
    <m/>
    <m/>
    <m/>
    <m/>
    <n v="0"/>
    <s v="CO2E"/>
    <n v="2257370"/>
    <n v="1"/>
    <s v="KG"/>
    <n v="1000"/>
    <n v="2257370"/>
    <s v="AR4"/>
    <s v="Defra"/>
    <s v="Defra (2021)"/>
    <n v="2022"/>
    <n v="2019"/>
    <n v="2257.37"/>
    <n v="0"/>
    <x v="21"/>
    <s v="Scope 3 Inventory"/>
  </r>
  <r>
    <n v="1676924"/>
    <s v="Top of Hierarchy &gt; Scope 3 Inventory"/>
    <x v="6"/>
    <x v="0"/>
    <d v="2022-01-01T00:00:00"/>
    <d v="2022-12-31T00:00:00"/>
    <x v="7"/>
    <d v="2022-01-01T00:00:00"/>
    <d v="2022-12-31T00:00:00"/>
    <s v="2. Capital goods"/>
    <n v="2257.37"/>
    <s v="metric tonnes"/>
    <x v="0"/>
    <m/>
    <s v="2023-08-03, 19:30"/>
    <s v="2023-08-08, 19:56"/>
    <n v="2022"/>
    <s v="co2"/>
    <s v="Carbon Dioxide"/>
    <s v="model"/>
    <b v="0"/>
    <s v="REFRIGERANT &amp; OTHER; KYOTO PROTOCOL - STANDARD; CARBON DIOXIDE"/>
    <x v="1"/>
    <x v="3"/>
    <m/>
    <m/>
    <m/>
    <m/>
    <n v="1"/>
    <s v="CO2E"/>
    <n v="2257370"/>
    <n v="1"/>
    <s v="KG"/>
    <n v="1000"/>
    <n v="2257370"/>
    <s v="AR4"/>
    <s v="Defra"/>
    <s v="Defra (2021)"/>
    <n v="2022"/>
    <n v="2019"/>
    <n v="0"/>
    <n v="2257.37"/>
    <x v="21"/>
    <s v="Scope 3 Inventory"/>
  </r>
  <r>
    <n v="1676929"/>
    <s v="Top of Hierarchy &gt; Scope 3 Inventory"/>
    <x v="6"/>
    <x v="0"/>
    <d v="2022-01-01T00:00:00"/>
    <d v="2022-12-31T00:00:00"/>
    <x v="8"/>
    <d v="2022-01-01T00:00:00"/>
    <d v="2022-12-31T00:00:00"/>
    <s v="4. Upstream transportation and distribution"/>
    <n v="22199.47"/>
    <s v="metric tonnes"/>
    <x v="0"/>
    <m/>
    <s v="2023-08-03, 19:31"/>
    <s v="2023-08-03, 19:31"/>
    <n v="2022"/>
    <s v="co2"/>
    <s v="Carbon Dioxide"/>
    <s v="model"/>
    <b v="0"/>
    <s v="REFRIGERANT &amp; OTHER; KYOTO PROTOCOL - STANDARD; CARBON DIOXIDE"/>
    <x v="1"/>
    <x v="4"/>
    <m/>
    <m/>
    <m/>
    <m/>
    <n v="0"/>
    <s v="CO2E"/>
    <n v="22199470"/>
    <n v="1"/>
    <s v="KG"/>
    <n v="1000"/>
    <n v="22199470"/>
    <s v="AR4"/>
    <s v="Defra"/>
    <s v="Defra (2021)"/>
    <n v="2022"/>
    <n v="2019"/>
    <n v="22199.47"/>
    <n v="0"/>
    <x v="21"/>
    <s v="Scope 3 Inventory"/>
  </r>
  <r>
    <n v="1676929"/>
    <s v="Top of Hierarchy &gt; Scope 3 Inventory"/>
    <x v="6"/>
    <x v="0"/>
    <d v="2022-01-01T00:00:00"/>
    <d v="2022-12-31T00:00:00"/>
    <x v="8"/>
    <d v="2022-01-01T00:00:00"/>
    <d v="2022-12-31T00:00:00"/>
    <s v="4. Upstream transportation and distribution"/>
    <n v="22199.47"/>
    <s v="metric tonnes"/>
    <x v="0"/>
    <m/>
    <s v="2023-08-03, 19:31"/>
    <s v="2023-08-03, 19:31"/>
    <n v="2022"/>
    <s v="co2"/>
    <s v="Carbon Dioxide"/>
    <s v="model"/>
    <b v="0"/>
    <s v="REFRIGERANT &amp; OTHER; KYOTO PROTOCOL - STANDARD; CARBON DIOXIDE"/>
    <x v="1"/>
    <x v="4"/>
    <m/>
    <m/>
    <m/>
    <m/>
    <n v="1"/>
    <s v="CO2E"/>
    <n v="22199470"/>
    <n v="1"/>
    <s v="KG"/>
    <n v="1000"/>
    <n v="22199470"/>
    <s v="AR4"/>
    <s v="Defra"/>
    <s v="Defra (2021)"/>
    <n v="2022"/>
    <n v="2019"/>
    <n v="0"/>
    <n v="22199.47"/>
    <x v="21"/>
    <s v="Scope 3 Inventory"/>
  </r>
  <r>
    <n v="1676927"/>
    <s v="Top of Hierarchy &gt; Scope 3 Inventory"/>
    <x v="6"/>
    <x v="0"/>
    <d v="2022-01-01T00:00:00"/>
    <d v="2022-12-31T00:00:00"/>
    <x v="9"/>
    <d v="2022-01-01T00:00:00"/>
    <d v="2022-12-31T00:00:00"/>
    <s v="5. Waste generated in operations"/>
    <n v="4060.75"/>
    <s v="metric tonnes"/>
    <x v="0"/>
    <m/>
    <s v="2023-08-03, 19:31"/>
    <s v="2023-08-08, 19:57"/>
    <n v="2022"/>
    <s v="co2"/>
    <s v="Carbon Dioxide"/>
    <s v="model"/>
    <b v="0"/>
    <s v="REFRIGERANT &amp; OTHER; KYOTO PROTOCOL - STANDARD; CARBON DIOXIDE"/>
    <x v="1"/>
    <x v="5"/>
    <m/>
    <m/>
    <m/>
    <m/>
    <n v="0"/>
    <s v="CO2E"/>
    <n v="4060750"/>
    <n v="1"/>
    <s v="KG"/>
    <n v="1000"/>
    <n v="4060750"/>
    <s v="AR4"/>
    <s v="Defra"/>
    <s v="Defra (2021)"/>
    <n v="2022"/>
    <n v="2019"/>
    <n v="4060.75"/>
    <n v="0"/>
    <x v="21"/>
    <s v="Scope 3 Inventory"/>
  </r>
  <r>
    <n v="1676927"/>
    <s v="Top of Hierarchy &gt; Scope 3 Inventory"/>
    <x v="6"/>
    <x v="0"/>
    <d v="2022-01-01T00:00:00"/>
    <d v="2022-12-31T00:00:00"/>
    <x v="9"/>
    <d v="2022-01-01T00:00:00"/>
    <d v="2022-12-31T00:00:00"/>
    <s v="5. Waste generated in operations"/>
    <n v="4060.75"/>
    <s v="metric tonnes"/>
    <x v="0"/>
    <m/>
    <s v="2023-08-03, 19:31"/>
    <s v="2023-08-08, 19:57"/>
    <n v="2022"/>
    <s v="co2"/>
    <s v="Carbon Dioxide"/>
    <s v="model"/>
    <b v="0"/>
    <s v="REFRIGERANT &amp; OTHER; KYOTO PROTOCOL - STANDARD; CARBON DIOXIDE"/>
    <x v="1"/>
    <x v="5"/>
    <m/>
    <m/>
    <m/>
    <m/>
    <n v="1"/>
    <s v="CO2E"/>
    <n v="4060750"/>
    <n v="1"/>
    <s v="KG"/>
    <n v="1000"/>
    <n v="4060750"/>
    <s v="AR4"/>
    <s v="Defra"/>
    <s v="Defra (2021)"/>
    <n v="2022"/>
    <n v="2019"/>
    <n v="0"/>
    <n v="4060.75"/>
    <x v="21"/>
    <s v="Scope 3 Inventory"/>
  </r>
  <r>
    <n v="1676933"/>
    <s v="Top of Hierarchy &gt; Scope 3 Inventory"/>
    <x v="6"/>
    <x v="0"/>
    <d v="2022-01-01T00:00:00"/>
    <d v="2022-12-31T00:00:00"/>
    <x v="10"/>
    <d v="2022-01-01T00:00:00"/>
    <d v="2022-12-31T00:00:00"/>
    <s v="11. Use of sold products"/>
    <n v="2622.48"/>
    <s v="metric tonnes"/>
    <x v="0"/>
    <m/>
    <s v="2023-08-03, 19:32"/>
    <s v="2023-08-03, 19:32"/>
    <n v="2022"/>
    <s v="co2"/>
    <s v="Carbon Dioxide"/>
    <s v="model"/>
    <b v="0"/>
    <s v="REFRIGERANT &amp; OTHER; KYOTO PROTOCOL - STANDARD; CARBON DIOXIDE"/>
    <x v="1"/>
    <x v="6"/>
    <m/>
    <m/>
    <m/>
    <m/>
    <n v="0"/>
    <s v="CO2E"/>
    <n v="2622480"/>
    <n v="1"/>
    <s v="KG"/>
    <n v="1000"/>
    <n v="2622480"/>
    <s v="AR4"/>
    <s v="Defra"/>
    <s v="Defra (2021)"/>
    <n v="2022"/>
    <n v="2019"/>
    <n v="2622.48"/>
    <n v="0"/>
    <x v="21"/>
    <s v="Scope 3 Inventory"/>
  </r>
  <r>
    <n v="1676933"/>
    <s v="Top of Hierarchy &gt; Scope 3 Inventory"/>
    <x v="6"/>
    <x v="0"/>
    <d v="2022-01-01T00:00:00"/>
    <d v="2022-12-31T00:00:00"/>
    <x v="10"/>
    <d v="2022-01-01T00:00:00"/>
    <d v="2022-12-31T00:00:00"/>
    <s v="11. Use of sold products"/>
    <n v="2622.48"/>
    <s v="metric tonnes"/>
    <x v="0"/>
    <m/>
    <s v="2023-08-03, 19:32"/>
    <s v="2023-08-03, 19:32"/>
    <n v="2022"/>
    <s v="co2"/>
    <s v="Carbon Dioxide"/>
    <s v="model"/>
    <b v="0"/>
    <s v="REFRIGERANT &amp; OTHER; KYOTO PROTOCOL - STANDARD; CARBON DIOXIDE"/>
    <x v="1"/>
    <x v="6"/>
    <m/>
    <m/>
    <m/>
    <m/>
    <n v="1"/>
    <s v="CO2E"/>
    <n v="2622480"/>
    <n v="1"/>
    <s v="KG"/>
    <n v="1000"/>
    <n v="2622480"/>
    <s v="AR4"/>
    <s v="Defra"/>
    <s v="Defra (2021)"/>
    <n v="2022"/>
    <n v="2019"/>
    <n v="0"/>
    <n v="2622.48"/>
    <x v="21"/>
    <s v="Scope 3 Inventory"/>
  </r>
  <r>
    <n v="1676931"/>
    <s v="Top of Hierarchy &gt; Scope 3 Inventory"/>
    <x v="6"/>
    <x v="0"/>
    <d v="2022-01-01T00:00:00"/>
    <d v="2022-12-31T00:00:00"/>
    <x v="11"/>
    <d v="2022-10-01T00:00:00"/>
    <d v="2022-12-31T00:00:00"/>
    <s v="12. End-of-life treatment of sold products"/>
    <n v="113738.1"/>
    <s v="metric tonnes"/>
    <x v="0"/>
    <m/>
    <s v="2023-08-03, 19:32"/>
    <s v="2023-08-03, 19:32"/>
    <n v="2022"/>
    <s v="co2"/>
    <s v="Carbon Dioxide"/>
    <s v="model"/>
    <b v="0"/>
    <s v="REFRIGERANT &amp; OTHER; KYOTO PROTOCOL - STANDARD; CARBON DIOXIDE"/>
    <x v="1"/>
    <x v="7"/>
    <m/>
    <m/>
    <m/>
    <m/>
    <n v="0"/>
    <s v="CO2E"/>
    <n v="113738100"/>
    <n v="1"/>
    <s v="KG"/>
    <n v="1000"/>
    <n v="113738100"/>
    <s v="AR4"/>
    <s v="Defra"/>
    <s v="Defra (2021)"/>
    <n v="2022"/>
    <n v="2019"/>
    <n v="113738.1"/>
    <n v="0"/>
    <x v="21"/>
    <s v="Scope 3 Inventory"/>
  </r>
  <r>
    <n v="1676931"/>
    <s v="Top of Hierarchy &gt; Scope 3 Inventory"/>
    <x v="6"/>
    <x v="0"/>
    <d v="2022-01-01T00:00:00"/>
    <d v="2022-12-31T00:00:00"/>
    <x v="11"/>
    <d v="2022-10-01T00:00:00"/>
    <d v="2022-12-31T00:00:00"/>
    <s v="12. End-of-life treatment of sold products"/>
    <n v="113738.1"/>
    <s v="metric tonnes"/>
    <x v="0"/>
    <m/>
    <s v="2023-08-03, 19:32"/>
    <s v="2023-08-03, 19:32"/>
    <n v="2022"/>
    <s v="co2"/>
    <s v="Carbon Dioxide"/>
    <s v="model"/>
    <b v="0"/>
    <s v="REFRIGERANT &amp; OTHER; KYOTO PROTOCOL - STANDARD; CARBON DIOXIDE"/>
    <x v="1"/>
    <x v="7"/>
    <m/>
    <m/>
    <m/>
    <m/>
    <n v="1"/>
    <s v="CO2E"/>
    <n v="113738100"/>
    <n v="1"/>
    <s v="KG"/>
    <n v="1000"/>
    <n v="113738100"/>
    <s v="AR4"/>
    <s v="Defra"/>
    <s v="Defra (2021)"/>
    <n v="2022"/>
    <n v="2019"/>
    <n v="0"/>
    <n v="113738.1"/>
    <x v="21"/>
    <s v="Scope 3 Inventory"/>
  </r>
  <r>
    <n v="1676922"/>
    <s v="Top of Hierarchy &gt; Scope 3 Inventory"/>
    <x v="6"/>
    <x v="1"/>
    <d v="2021-01-01T00:00:00"/>
    <d v="2021-12-31T00:00:00"/>
    <x v="6"/>
    <d v="2021-01-01T00:00:00"/>
    <d v="2021-12-31T00:00:00"/>
    <s v="1. Purchased goods and services"/>
    <n v="741930.79"/>
    <s v="metric tonnes"/>
    <x v="0"/>
    <m/>
    <s v="2023-08-03, 19:29"/>
    <s v="2023-08-08, 19:58"/>
    <n v="2021"/>
    <s v="co2"/>
    <s v="Carbon Dioxide"/>
    <s v="model"/>
    <b v="0"/>
    <s v="REFRIGERANT &amp; OTHER; KYOTO PROTOCOL - STANDARD; CARBON DIOXIDE"/>
    <x v="1"/>
    <x v="2"/>
    <m/>
    <m/>
    <m/>
    <m/>
    <n v="0"/>
    <s v="CO2E"/>
    <n v="741930790"/>
    <n v="1"/>
    <s v="KG"/>
    <n v="1000"/>
    <n v="741930790"/>
    <s v="AR4"/>
    <s v="Defra"/>
    <s v="Defra (2021)"/>
    <n v="2021"/>
    <n v="2019"/>
    <n v="741930.79"/>
    <n v="0"/>
    <x v="21"/>
    <s v="Scope 3 Inventory"/>
  </r>
  <r>
    <n v="1676922"/>
    <s v="Top of Hierarchy &gt; Scope 3 Inventory"/>
    <x v="6"/>
    <x v="1"/>
    <d v="2021-01-01T00:00:00"/>
    <d v="2021-12-31T00:00:00"/>
    <x v="6"/>
    <d v="2021-01-01T00:00:00"/>
    <d v="2021-12-31T00:00:00"/>
    <s v="1. Purchased goods and services"/>
    <n v="741930.79"/>
    <s v="metric tonnes"/>
    <x v="0"/>
    <m/>
    <s v="2023-08-03, 19:29"/>
    <s v="2023-08-08, 19:58"/>
    <n v="2021"/>
    <s v="co2"/>
    <s v="Carbon Dioxide"/>
    <s v="model"/>
    <b v="0"/>
    <s v="REFRIGERANT &amp; OTHER; KYOTO PROTOCOL - STANDARD; CARBON DIOXIDE"/>
    <x v="1"/>
    <x v="2"/>
    <m/>
    <m/>
    <m/>
    <m/>
    <n v="1"/>
    <s v="CO2E"/>
    <n v="741930790"/>
    <n v="1"/>
    <s v="KG"/>
    <n v="1000"/>
    <n v="741930790"/>
    <s v="AR4"/>
    <s v="Defra"/>
    <s v="Defra (2021)"/>
    <n v="2021"/>
    <n v="2019"/>
    <n v="0"/>
    <n v="741930.79"/>
    <x v="21"/>
    <s v="Scope 3 Inventory"/>
  </r>
  <r>
    <n v="1676938"/>
    <s v="Top of Hierarchy &gt; Scope 3 Inventory"/>
    <x v="6"/>
    <x v="1"/>
    <d v="2021-01-01T00:00:00"/>
    <d v="2021-12-31T00:00:00"/>
    <x v="7"/>
    <d v="2021-10-01T00:00:00"/>
    <d v="2021-12-31T00:00:00"/>
    <s v="2. Capital goods"/>
    <n v="1836.64"/>
    <s v="metric tonnes"/>
    <x v="0"/>
    <m/>
    <s v="2023-08-03, 20:01"/>
    <s v="2023-08-08, 19:58"/>
    <n v="2021"/>
    <s v="co2"/>
    <s v="Carbon Dioxide"/>
    <s v="model"/>
    <b v="0"/>
    <s v="REFRIGERANT &amp; OTHER; KYOTO PROTOCOL - STANDARD; CARBON DIOXIDE"/>
    <x v="1"/>
    <x v="3"/>
    <m/>
    <m/>
    <m/>
    <m/>
    <n v="0"/>
    <s v="CO2E"/>
    <n v="1836640"/>
    <n v="1"/>
    <s v="KG"/>
    <n v="1000"/>
    <n v="1836640"/>
    <s v="AR4"/>
    <s v="Defra"/>
    <s v="Defra (2021)"/>
    <n v="2021"/>
    <n v="2019"/>
    <n v="1836.64"/>
    <n v="0"/>
    <x v="21"/>
    <s v="Scope 3 Inventory"/>
  </r>
  <r>
    <n v="1676938"/>
    <s v="Top of Hierarchy &gt; Scope 3 Inventory"/>
    <x v="6"/>
    <x v="1"/>
    <d v="2021-01-01T00:00:00"/>
    <d v="2021-12-31T00:00:00"/>
    <x v="7"/>
    <d v="2021-10-01T00:00:00"/>
    <d v="2021-12-31T00:00:00"/>
    <s v="2. Capital goods"/>
    <n v="1836.64"/>
    <s v="metric tonnes"/>
    <x v="0"/>
    <m/>
    <s v="2023-08-03, 20:01"/>
    <s v="2023-08-08, 19:58"/>
    <n v="2021"/>
    <s v="co2"/>
    <s v="Carbon Dioxide"/>
    <s v="model"/>
    <b v="0"/>
    <s v="REFRIGERANT &amp; OTHER; KYOTO PROTOCOL - STANDARD; CARBON DIOXIDE"/>
    <x v="1"/>
    <x v="3"/>
    <m/>
    <m/>
    <m/>
    <m/>
    <n v="1"/>
    <s v="CO2E"/>
    <n v="1836640"/>
    <n v="1"/>
    <s v="KG"/>
    <n v="1000"/>
    <n v="1836640"/>
    <s v="AR4"/>
    <s v="Defra"/>
    <s v="Defra (2021)"/>
    <n v="2021"/>
    <n v="2019"/>
    <n v="0"/>
    <n v="1836.64"/>
    <x v="21"/>
    <s v="Scope 3 Inventory"/>
  </r>
  <r>
    <n v="1677403"/>
    <s v="Top of Hierarchy &gt; Scope 3 Inventory"/>
    <x v="6"/>
    <x v="1"/>
    <d v="2021-01-01T00:00:00"/>
    <d v="2021-12-31T00:00:00"/>
    <x v="8"/>
    <d v="2021-10-01T00:00:00"/>
    <d v="2021-12-31T00:00:00"/>
    <s v="4. Upstream transportation and distribution"/>
    <n v="17021.04"/>
    <s v="metric tonnes"/>
    <x v="0"/>
    <m/>
    <s v="2023-08-04, 16:27"/>
    <s v="2023-08-08, 19:59"/>
    <n v="2021"/>
    <s v="co2"/>
    <s v="Carbon Dioxide"/>
    <s v="model"/>
    <b v="0"/>
    <s v="REFRIGERANT &amp; OTHER; KYOTO PROTOCOL - STANDARD; CARBON DIOXIDE"/>
    <x v="1"/>
    <x v="4"/>
    <m/>
    <m/>
    <m/>
    <m/>
    <n v="0"/>
    <s v="CO2E"/>
    <n v="17021040"/>
    <n v="1"/>
    <s v="KG"/>
    <n v="1000"/>
    <n v="17021040"/>
    <s v="AR4"/>
    <s v="Defra"/>
    <s v="Defra (2021)"/>
    <n v="2021"/>
    <n v="2019"/>
    <n v="17021.04"/>
    <n v="0"/>
    <x v="21"/>
    <s v="Scope 3 Inventory"/>
  </r>
  <r>
    <n v="1677403"/>
    <s v="Top of Hierarchy &gt; Scope 3 Inventory"/>
    <x v="6"/>
    <x v="1"/>
    <d v="2021-01-01T00:00:00"/>
    <d v="2021-12-31T00:00:00"/>
    <x v="8"/>
    <d v="2021-10-01T00:00:00"/>
    <d v="2021-12-31T00:00:00"/>
    <s v="4. Upstream transportation and distribution"/>
    <n v="17021.04"/>
    <s v="metric tonnes"/>
    <x v="0"/>
    <m/>
    <s v="2023-08-04, 16:27"/>
    <s v="2023-08-08, 19:59"/>
    <n v="2021"/>
    <s v="co2"/>
    <s v="Carbon Dioxide"/>
    <s v="model"/>
    <b v="0"/>
    <s v="REFRIGERANT &amp; OTHER; KYOTO PROTOCOL - STANDARD; CARBON DIOXIDE"/>
    <x v="1"/>
    <x v="4"/>
    <m/>
    <m/>
    <m/>
    <m/>
    <n v="1"/>
    <s v="CO2E"/>
    <n v="17021040"/>
    <n v="1"/>
    <s v="KG"/>
    <n v="1000"/>
    <n v="17021040"/>
    <s v="AR4"/>
    <s v="Defra"/>
    <s v="Defra (2021)"/>
    <n v="2021"/>
    <n v="2019"/>
    <n v="0"/>
    <n v="17021.04"/>
    <x v="21"/>
    <s v="Scope 3 Inventory"/>
  </r>
  <r>
    <n v="1677405"/>
    <s v="Top of Hierarchy &gt; Scope 3 Inventory"/>
    <x v="6"/>
    <x v="1"/>
    <d v="2021-01-01T00:00:00"/>
    <d v="2021-12-31T00:00:00"/>
    <x v="9"/>
    <d v="2021-10-01T00:00:00"/>
    <d v="2021-12-31T00:00:00"/>
    <s v="5. Waste generated in operations"/>
    <n v="2522.25"/>
    <s v="metric tonnes"/>
    <x v="0"/>
    <m/>
    <s v="2023-08-04, 16:28"/>
    <s v="2023-08-08, 19:58"/>
    <n v="2021"/>
    <s v="co2"/>
    <s v="Carbon Dioxide"/>
    <s v="model"/>
    <b v="0"/>
    <s v="REFRIGERANT &amp; OTHER; KYOTO PROTOCOL - STANDARD; CARBON DIOXIDE"/>
    <x v="1"/>
    <x v="5"/>
    <m/>
    <m/>
    <m/>
    <m/>
    <n v="0"/>
    <s v="CO2E"/>
    <n v="2522250"/>
    <n v="1"/>
    <s v="KG"/>
    <n v="1000"/>
    <n v="2522250"/>
    <s v="AR4"/>
    <s v="Defra"/>
    <s v="Defra (2021)"/>
    <n v="2021"/>
    <n v="2019"/>
    <n v="2522.25"/>
    <n v="0"/>
    <x v="21"/>
    <s v="Scope 3 Inventory"/>
  </r>
  <r>
    <n v="1677405"/>
    <s v="Top of Hierarchy &gt; Scope 3 Inventory"/>
    <x v="6"/>
    <x v="1"/>
    <d v="2021-01-01T00:00:00"/>
    <d v="2021-12-31T00:00:00"/>
    <x v="9"/>
    <d v="2021-10-01T00:00:00"/>
    <d v="2021-12-31T00:00:00"/>
    <s v="5. Waste generated in operations"/>
    <n v="2522.25"/>
    <s v="metric tonnes"/>
    <x v="0"/>
    <m/>
    <s v="2023-08-04, 16:28"/>
    <s v="2023-08-08, 19:58"/>
    <n v="2021"/>
    <s v="co2"/>
    <s v="Carbon Dioxide"/>
    <s v="model"/>
    <b v="0"/>
    <s v="REFRIGERANT &amp; OTHER; KYOTO PROTOCOL - STANDARD; CARBON DIOXIDE"/>
    <x v="1"/>
    <x v="5"/>
    <m/>
    <m/>
    <m/>
    <m/>
    <n v="1"/>
    <s v="CO2E"/>
    <n v="2522250"/>
    <n v="1"/>
    <s v="KG"/>
    <n v="1000"/>
    <n v="2522250"/>
    <s v="AR4"/>
    <s v="Defra"/>
    <s v="Defra (2021)"/>
    <n v="2021"/>
    <n v="2019"/>
    <n v="0"/>
    <n v="2522.25"/>
    <x v="21"/>
    <s v="Scope 3 Inventory"/>
  </r>
  <r>
    <n v="1677407"/>
    <s v="Top of Hierarchy &gt; Scope 3 Inventory"/>
    <x v="6"/>
    <x v="1"/>
    <d v="2021-01-01T00:00:00"/>
    <d v="2021-12-31T00:00:00"/>
    <x v="10"/>
    <d v="2021-10-01T00:00:00"/>
    <d v="2021-12-31T00:00:00"/>
    <s v="11. Use of sold products"/>
    <n v="740.94"/>
    <s v="metric tonnes"/>
    <x v="0"/>
    <m/>
    <s v="2023-08-04, 16:28"/>
    <s v="2023-08-04, 16:28"/>
    <n v="2021"/>
    <s v="co2"/>
    <s v="Carbon Dioxide"/>
    <s v="model"/>
    <b v="0"/>
    <s v="REFRIGERANT &amp; OTHER; KYOTO PROTOCOL - STANDARD; CARBON DIOXIDE"/>
    <x v="1"/>
    <x v="6"/>
    <m/>
    <m/>
    <m/>
    <m/>
    <n v="0"/>
    <s v="CO2E"/>
    <n v="740940"/>
    <n v="1"/>
    <s v="KG"/>
    <n v="1000"/>
    <n v="740940"/>
    <s v="AR4"/>
    <s v="Defra"/>
    <s v="Defra (2021)"/>
    <n v="2021"/>
    <n v="2019"/>
    <n v="740.94"/>
    <n v="0"/>
    <x v="21"/>
    <s v="Scope 3 Inventory"/>
  </r>
  <r>
    <n v="1677407"/>
    <s v="Top of Hierarchy &gt; Scope 3 Inventory"/>
    <x v="6"/>
    <x v="1"/>
    <d v="2021-01-01T00:00:00"/>
    <d v="2021-12-31T00:00:00"/>
    <x v="10"/>
    <d v="2021-10-01T00:00:00"/>
    <d v="2021-12-31T00:00:00"/>
    <s v="11. Use of sold products"/>
    <n v="740.94"/>
    <s v="metric tonnes"/>
    <x v="0"/>
    <m/>
    <s v="2023-08-04, 16:28"/>
    <s v="2023-08-04, 16:28"/>
    <n v="2021"/>
    <s v="co2"/>
    <s v="Carbon Dioxide"/>
    <s v="model"/>
    <b v="0"/>
    <s v="REFRIGERANT &amp; OTHER; KYOTO PROTOCOL - STANDARD; CARBON DIOXIDE"/>
    <x v="1"/>
    <x v="6"/>
    <m/>
    <m/>
    <m/>
    <m/>
    <n v="1"/>
    <s v="CO2E"/>
    <n v="740940"/>
    <n v="1"/>
    <s v="KG"/>
    <n v="1000"/>
    <n v="740940"/>
    <s v="AR4"/>
    <s v="Defra"/>
    <s v="Defra (2021)"/>
    <n v="2021"/>
    <n v="2019"/>
    <n v="0"/>
    <n v="740.94"/>
    <x v="21"/>
    <s v="Scope 3 Inventory"/>
  </r>
  <r>
    <n v="1677409"/>
    <s v="Top of Hierarchy &gt; Scope 3 Inventory"/>
    <x v="6"/>
    <x v="1"/>
    <d v="2021-01-01T00:00:00"/>
    <d v="2021-12-31T00:00:00"/>
    <x v="11"/>
    <d v="2021-10-01T00:00:00"/>
    <d v="2021-12-31T00:00:00"/>
    <s v="12. End-of-life treatment of sold products"/>
    <n v="105039.06"/>
    <s v="metric tonnes"/>
    <x v="0"/>
    <m/>
    <s v="2023-08-04, 16:29"/>
    <s v="2023-08-04, 16:29"/>
    <n v="2021"/>
    <s v="co2"/>
    <s v="Carbon Dioxide"/>
    <s v="model"/>
    <b v="0"/>
    <s v="REFRIGERANT &amp; OTHER; KYOTO PROTOCOL - STANDARD; CARBON DIOXIDE"/>
    <x v="1"/>
    <x v="7"/>
    <m/>
    <m/>
    <m/>
    <m/>
    <n v="0"/>
    <s v="CO2E"/>
    <n v="105039060"/>
    <n v="1"/>
    <s v="KG"/>
    <n v="1000"/>
    <n v="105039060"/>
    <s v="AR4"/>
    <s v="Defra"/>
    <s v="Defra (2021)"/>
    <n v="2021"/>
    <n v="2019"/>
    <n v="105039.06"/>
    <n v="0"/>
    <x v="21"/>
    <s v="Scope 3 Inventory"/>
  </r>
  <r>
    <n v="1677409"/>
    <s v="Top of Hierarchy &gt; Scope 3 Inventory"/>
    <x v="6"/>
    <x v="1"/>
    <d v="2021-01-01T00:00:00"/>
    <d v="2021-12-31T00:00:00"/>
    <x v="11"/>
    <d v="2021-10-01T00:00:00"/>
    <d v="2021-12-31T00:00:00"/>
    <s v="12. End-of-life treatment of sold products"/>
    <n v="105039.06"/>
    <s v="metric tonnes"/>
    <x v="0"/>
    <m/>
    <s v="2023-08-04, 16:29"/>
    <s v="2023-08-04, 16:29"/>
    <n v="2021"/>
    <s v="co2"/>
    <s v="Carbon Dioxide"/>
    <s v="model"/>
    <b v="0"/>
    <s v="REFRIGERANT &amp; OTHER; KYOTO PROTOCOL - STANDARD; CARBON DIOXIDE"/>
    <x v="1"/>
    <x v="7"/>
    <m/>
    <m/>
    <m/>
    <m/>
    <n v="1"/>
    <s v="CO2E"/>
    <n v="105039060"/>
    <n v="1"/>
    <s v="KG"/>
    <n v="1000"/>
    <n v="105039060"/>
    <s v="AR4"/>
    <s v="Defra"/>
    <s v="Defra (2021)"/>
    <n v="2021"/>
    <n v="2019"/>
    <n v="0"/>
    <n v="105039.06"/>
    <x v="21"/>
    <s v="Scope 3 Inventory"/>
  </r>
  <r>
    <n v="237661"/>
    <s v="Top of Hierarchy &gt; South America &gt; Vantage_Argentina Farm (Agrinsa)"/>
    <x v="2"/>
    <x v="0"/>
    <d v="2022-01-01T00:00:00"/>
    <d v="2022-12-31T00:00:00"/>
    <x v="0"/>
    <d v="2022-01-01T00:00:00"/>
    <d v="2022-12-31T00:00:00"/>
    <s v="Electricity (non-renewable)"/>
    <n v="5880973"/>
    <s v="Kilowatt hours"/>
    <x v="1"/>
    <m/>
    <s v="2023-04-20, 18:44"/>
    <s v="2023-07-20, 00:40"/>
    <n v="2022"/>
    <s v="electricity"/>
    <s v="Electricity"/>
    <s v="model"/>
    <b v="0"/>
    <s v="ELECTRICITY; ARGENTINA"/>
    <x v="0"/>
    <x v="0"/>
    <s v="Americas"/>
    <s v="Latin America and the Caribbean"/>
    <s v="AR"/>
    <m/>
    <n v="0"/>
    <s v="CH4"/>
    <n v="2352.3892000000001"/>
    <s v="RESTRICTED"/>
    <s v="KWH"/>
    <n v="1"/>
    <n v="5880973"/>
    <s v="AR4"/>
    <s v="IEA"/>
    <s v="IEA (2022)"/>
    <n v="2022"/>
    <n v="2020"/>
    <n v="0"/>
    <n v="0"/>
    <x v="22"/>
    <s v="Labratory"/>
  </r>
  <r>
    <n v="237661"/>
    <s v="Top of Hierarchy &gt; South America &gt; Vantage_Argentina Farm (Agrinsa)"/>
    <x v="2"/>
    <x v="0"/>
    <d v="2022-01-01T00:00:00"/>
    <d v="2022-12-31T00:00:00"/>
    <x v="0"/>
    <d v="2022-01-01T00:00:00"/>
    <d v="2022-12-31T00:00:00"/>
    <s v="Electricity (non-renewable)"/>
    <n v="5880973"/>
    <s v="Kilowatt hours"/>
    <x v="1"/>
    <m/>
    <s v="2023-04-20, 18:44"/>
    <s v="2023-07-20, 00:40"/>
    <n v="2022"/>
    <s v="electricity"/>
    <s v="Electricity"/>
    <s v="model"/>
    <b v="0"/>
    <s v="ELECTRICITY; ARGENTINA"/>
    <x v="0"/>
    <x v="0"/>
    <s v="Americas"/>
    <s v="Latin America and the Caribbean"/>
    <s v="AR"/>
    <m/>
    <n v="0"/>
    <s v="CO2"/>
    <n v="1603153.24"/>
    <s v="RESTRICTED"/>
    <s v="KWH"/>
    <n v="1"/>
    <n v="5880973"/>
    <s v="AR4"/>
    <s v="IEA"/>
    <s v="IEA (2022)"/>
    <n v="2022"/>
    <n v="2020"/>
    <n v="0"/>
    <n v="0"/>
    <x v="22"/>
    <s v="Labratory"/>
  </r>
  <r>
    <n v="237661"/>
    <s v="Top of Hierarchy &gt; South America &gt; Vantage_Argentina Farm (Agrinsa)"/>
    <x v="2"/>
    <x v="0"/>
    <d v="2022-01-01T00:00:00"/>
    <d v="2022-12-31T00:00:00"/>
    <x v="0"/>
    <d v="2022-01-01T00:00:00"/>
    <d v="2022-12-31T00:00:00"/>
    <s v="Electricity (non-renewable)"/>
    <n v="5880973"/>
    <s v="Kilowatt hours"/>
    <x v="1"/>
    <m/>
    <s v="2023-04-20, 18:44"/>
    <s v="2023-07-20, 00:40"/>
    <n v="2022"/>
    <s v="electricity"/>
    <s v="Electricity"/>
    <s v="model"/>
    <b v="0"/>
    <s v="ELECTRICITY; ARGENTINA"/>
    <x v="0"/>
    <x v="0"/>
    <s v="Americas"/>
    <s v="Latin America and the Caribbean"/>
    <s v="AR"/>
    <m/>
    <n v="0"/>
    <s v="CO2E"/>
    <n v="1609034.213"/>
    <s v="RESTRICTED"/>
    <s v="KWH"/>
    <n v="1"/>
    <n v="5880973"/>
    <s v="AR4"/>
    <s v="IEA"/>
    <s v="IEA (2022)"/>
    <n v="2022"/>
    <n v="2020"/>
    <n v="1609.0342129999999"/>
    <n v="0"/>
    <x v="22"/>
    <s v="Labratory"/>
  </r>
  <r>
    <n v="237661"/>
    <s v="Top of Hierarchy &gt; South America &gt; Vantage_Argentina Farm (Agrinsa)"/>
    <x v="2"/>
    <x v="0"/>
    <d v="2022-01-01T00:00:00"/>
    <d v="2022-12-31T00:00:00"/>
    <x v="0"/>
    <d v="2022-01-01T00:00:00"/>
    <d v="2022-12-31T00:00:00"/>
    <s v="Electricity (non-renewable)"/>
    <n v="5880973"/>
    <s v="Kilowatt hours"/>
    <x v="1"/>
    <m/>
    <s v="2023-04-20, 18:44"/>
    <s v="2023-07-20, 00:40"/>
    <n v="2022"/>
    <s v="electricity"/>
    <s v="Electricity"/>
    <s v="model"/>
    <b v="0"/>
    <s v="ELECTRICITY; ARGENTINA"/>
    <x v="0"/>
    <x v="0"/>
    <s v="Americas"/>
    <s v="Latin America and the Caribbean"/>
    <s v="AR"/>
    <m/>
    <n v="0"/>
    <s v="N2O"/>
    <n v="3528.5837999999999"/>
    <s v="RESTRICTED"/>
    <s v="KWH"/>
    <n v="1"/>
    <n v="5880973"/>
    <s v="AR4"/>
    <s v="IEA"/>
    <s v="IEA (2022)"/>
    <n v="2022"/>
    <n v="2020"/>
    <n v="0"/>
    <n v="0"/>
    <x v="22"/>
    <s v="Labratory"/>
  </r>
  <r>
    <n v="237661"/>
    <s v="Top of Hierarchy &gt; South America &gt; Vantage_Argentina Farm (Agrinsa)"/>
    <x v="2"/>
    <x v="0"/>
    <d v="2022-01-01T00:00:00"/>
    <d v="2022-12-31T00:00:00"/>
    <x v="0"/>
    <d v="2022-01-01T00:00:00"/>
    <d v="2022-12-31T00:00:00"/>
    <s v="Electricity (non-renewable)"/>
    <n v="5880973"/>
    <s v="Kilowatt hours"/>
    <x v="1"/>
    <m/>
    <s v="2023-04-20, 18:44"/>
    <s v="2023-07-20, 00:40"/>
    <n v="2022"/>
    <s v="electricity"/>
    <s v="Electricity"/>
    <s v="model"/>
    <b v="0"/>
    <s v="ELECTRICITY; ARGENTINA"/>
    <x v="0"/>
    <x v="0"/>
    <s v="Americas"/>
    <s v="Latin America and the Caribbean"/>
    <s v="AR"/>
    <m/>
    <n v="1"/>
    <s v="CH4"/>
    <n v="2352.3892000000001"/>
    <s v="RESTRICTED"/>
    <s v="KWH"/>
    <n v="1"/>
    <n v="5880973"/>
    <s v="AR4"/>
    <s v="IEA"/>
    <s v="IEA (2022)"/>
    <n v="2022"/>
    <n v="2020"/>
    <n v="0"/>
    <n v="0"/>
    <x v="22"/>
    <s v="Labratory"/>
  </r>
  <r>
    <n v="237661"/>
    <s v="Top of Hierarchy &gt; South America &gt; Vantage_Argentina Farm (Agrinsa)"/>
    <x v="2"/>
    <x v="0"/>
    <d v="2022-01-01T00:00:00"/>
    <d v="2022-12-31T00:00:00"/>
    <x v="0"/>
    <d v="2022-01-01T00:00:00"/>
    <d v="2022-12-31T00:00:00"/>
    <s v="Electricity (non-renewable)"/>
    <n v="5880973"/>
    <s v="Kilowatt hours"/>
    <x v="1"/>
    <m/>
    <s v="2023-04-20, 18:44"/>
    <s v="2023-07-20, 00:40"/>
    <n v="2022"/>
    <s v="electricity"/>
    <s v="Electricity"/>
    <s v="model"/>
    <b v="0"/>
    <s v="ELECTRICITY; ARGENTINA"/>
    <x v="0"/>
    <x v="0"/>
    <s v="Americas"/>
    <s v="Latin America and the Caribbean"/>
    <s v="AR"/>
    <m/>
    <n v="1"/>
    <s v="CO2"/>
    <n v="1603153.24"/>
    <s v="RESTRICTED"/>
    <s v="KWH"/>
    <n v="1"/>
    <n v="5880973"/>
    <s v="AR4"/>
    <s v="IEA"/>
    <s v="IEA (2022)"/>
    <n v="2022"/>
    <n v="2020"/>
    <n v="0"/>
    <n v="0"/>
    <x v="22"/>
    <s v="Labratory"/>
  </r>
  <r>
    <n v="237661"/>
    <s v="Top of Hierarchy &gt; South America &gt; Vantage_Argentina Farm (Agrinsa)"/>
    <x v="2"/>
    <x v="0"/>
    <d v="2022-01-01T00:00:00"/>
    <d v="2022-12-31T00:00:00"/>
    <x v="0"/>
    <d v="2022-01-01T00:00:00"/>
    <d v="2022-12-31T00:00:00"/>
    <s v="Electricity (non-renewable)"/>
    <n v="5880973"/>
    <s v="Kilowatt hours"/>
    <x v="1"/>
    <m/>
    <s v="2023-04-20, 18:44"/>
    <s v="2023-07-20, 00:40"/>
    <n v="2022"/>
    <s v="electricity"/>
    <s v="Electricity"/>
    <s v="model"/>
    <b v="0"/>
    <s v="ELECTRICITY; ARGENTINA"/>
    <x v="0"/>
    <x v="0"/>
    <s v="Americas"/>
    <s v="Latin America and the Caribbean"/>
    <s v="AR"/>
    <m/>
    <n v="1"/>
    <s v="CO2E"/>
    <n v="1609034.213"/>
    <s v="RESTRICTED"/>
    <s v="KWH"/>
    <n v="1"/>
    <n v="5880973"/>
    <s v="AR4"/>
    <s v="IEA"/>
    <s v="IEA (2022)"/>
    <n v="2022"/>
    <n v="2020"/>
    <n v="0"/>
    <n v="1609.0342129999999"/>
    <x v="22"/>
    <s v="Labratory"/>
  </r>
  <r>
    <n v="237661"/>
    <s v="Top of Hierarchy &gt; South America &gt; Vantage_Argentina Farm (Agrinsa)"/>
    <x v="2"/>
    <x v="0"/>
    <d v="2022-01-01T00:00:00"/>
    <d v="2022-12-31T00:00:00"/>
    <x v="0"/>
    <d v="2022-01-01T00:00:00"/>
    <d v="2022-12-31T00:00:00"/>
    <s v="Electricity (non-renewable)"/>
    <n v="5880973"/>
    <s v="Kilowatt hours"/>
    <x v="1"/>
    <m/>
    <s v="2023-04-20, 18:44"/>
    <s v="2023-07-20, 00:40"/>
    <n v="2022"/>
    <s v="electricity"/>
    <s v="Electricity"/>
    <s v="model"/>
    <b v="0"/>
    <s v="ELECTRICITY; ARGENTINA"/>
    <x v="0"/>
    <x v="0"/>
    <s v="Americas"/>
    <s v="Latin America and the Caribbean"/>
    <s v="AR"/>
    <m/>
    <n v="1"/>
    <s v="N2O"/>
    <n v="3528.5837999999999"/>
    <s v="RESTRICTED"/>
    <s v="KWH"/>
    <n v="1"/>
    <n v="5880973"/>
    <s v="AR4"/>
    <s v="IEA"/>
    <s v="IEA (2022)"/>
    <n v="2022"/>
    <n v="2020"/>
    <n v="0"/>
    <n v="0"/>
    <x v="22"/>
    <s v="Labratory"/>
  </r>
  <r>
    <n v="237661"/>
    <s v="Top of Hierarchy &gt; South America &gt; Vantage_Argentina Farm (Agrinsa)"/>
    <x v="2"/>
    <x v="0"/>
    <d v="2022-01-01T00:00:00"/>
    <d v="2022-12-31T00:00:00"/>
    <x v="0"/>
    <d v="2022-01-01T00:00:00"/>
    <d v="2022-12-31T00:00:00"/>
    <s v="Electricity (non-renewable)"/>
    <n v="5880973"/>
    <s v="Kilowatt hours"/>
    <x v="1"/>
    <m/>
    <s v="2023-04-20, 18:44"/>
    <s v="2023-07-20, 00:40"/>
    <n v="2022"/>
    <s v="electricity__t+d__wtt"/>
    <s v="Electricity T&amp;D WTT"/>
    <s v="t+d_wtt"/>
    <b v="0"/>
    <s v="ELECTRICITY T&amp;D WTT; ARGENTINA"/>
    <x v="1"/>
    <x v="1"/>
    <s v="Americas"/>
    <s v="Latin America and the Caribbean"/>
    <s v="AR"/>
    <m/>
    <n v="0"/>
    <s v="CO2E"/>
    <n v="47714.195599999999"/>
    <n v="8.1133170000000001E-3"/>
    <s v="KWH"/>
    <n v="1"/>
    <n v="5880973"/>
    <s v="AR4"/>
    <s v="Anthesis"/>
    <s v="Anthesis (2022)"/>
    <n v="2022"/>
    <n v="2020"/>
    <n v="47.714195599999996"/>
    <n v="0"/>
    <x v="22"/>
    <s v="Labratory"/>
  </r>
  <r>
    <n v="237661"/>
    <s v="Top of Hierarchy &gt; South America &gt; Vantage_Argentina Farm (Agrinsa)"/>
    <x v="2"/>
    <x v="0"/>
    <d v="2022-01-01T00:00:00"/>
    <d v="2022-12-31T00:00:00"/>
    <x v="0"/>
    <d v="2022-01-01T00:00:00"/>
    <d v="2022-12-31T00:00:00"/>
    <s v="Electricity (non-renewable)"/>
    <n v="5880973"/>
    <s v="Kilowatt hours"/>
    <x v="1"/>
    <m/>
    <s v="2023-04-20, 18:44"/>
    <s v="2023-07-20, 00:40"/>
    <n v="2022"/>
    <s v="electricity__t+d__wtt"/>
    <s v="Electricity T&amp;D WTT"/>
    <s v="t+d_wtt"/>
    <b v="0"/>
    <s v="ELECTRICITY T&amp;D WTT; ARGENTINA"/>
    <x v="1"/>
    <x v="1"/>
    <s v="Americas"/>
    <s v="Latin America and the Caribbean"/>
    <s v="AR"/>
    <m/>
    <n v="1"/>
    <s v="CO2E"/>
    <n v="47714.195599999999"/>
    <n v="8.1133170000000001E-3"/>
    <s v="KWH"/>
    <n v="1"/>
    <n v="5880973"/>
    <s v="AR4"/>
    <s v="Anthesis"/>
    <s v="Anthesis (2022)"/>
    <n v="2022"/>
    <n v="2020"/>
    <n v="0"/>
    <n v="47.714195599999996"/>
    <x v="22"/>
    <s v="Labratory"/>
  </r>
  <r>
    <n v="237661"/>
    <s v="Top of Hierarchy &gt; South America &gt; Vantage_Argentina Farm (Agrinsa)"/>
    <x v="2"/>
    <x v="0"/>
    <d v="2022-01-01T00:00:00"/>
    <d v="2022-12-31T00:00:00"/>
    <x v="0"/>
    <d v="2022-01-01T00:00:00"/>
    <d v="2022-12-31T00:00:00"/>
    <s v="Electricity (non-renewable)"/>
    <n v="5880973"/>
    <s v="Kilowatt hours"/>
    <x v="1"/>
    <m/>
    <s v="2023-04-20, 18:44"/>
    <s v="2023-07-20, 00:40"/>
    <n v="2022"/>
    <s v="electricity__wtt"/>
    <s v="Electricity WTT"/>
    <s v="wtt"/>
    <b v="0"/>
    <s v="ELECTRICITY WTT; ARGENTINA"/>
    <x v="1"/>
    <x v="1"/>
    <s v="Americas"/>
    <s v="Latin America and the Caribbean"/>
    <s v="AR"/>
    <m/>
    <n v="0"/>
    <s v="CO2E"/>
    <n v="340851.27720000001"/>
    <n v="5.7958313999999997E-2"/>
    <s v="KWH"/>
    <n v="1"/>
    <n v="5880973"/>
    <s v="AR4"/>
    <s v="Anthesis"/>
    <s v="Anthesis (2022)"/>
    <n v="2022"/>
    <n v="2020"/>
    <n v="340.85127720000003"/>
    <n v="0"/>
    <x v="22"/>
    <s v="Labratory"/>
  </r>
  <r>
    <n v="237661"/>
    <s v="Top of Hierarchy &gt; South America &gt; Vantage_Argentina Farm (Agrinsa)"/>
    <x v="2"/>
    <x v="0"/>
    <d v="2022-01-01T00:00:00"/>
    <d v="2022-12-31T00:00:00"/>
    <x v="0"/>
    <d v="2022-01-01T00:00:00"/>
    <d v="2022-12-31T00:00:00"/>
    <s v="Electricity (non-renewable)"/>
    <n v="5880973"/>
    <s v="Kilowatt hours"/>
    <x v="1"/>
    <m/>
    <s v="2023-04-20, 18:44"/>
    <s v="2023-07-20, 00:40"/>
    <n v="2022"/>
    <s v="electricity__wtt"/>
    <s v="Electricity WTT"/>
    <s v="wtt"/>
    <b v="0"/>
    <s v="ELECTRICITY WTT; ARGENTINA"/>
    <x v="1"/>
    <x v="1"/>
    <s v="Americas"/>
    <s v="Latin America and the Caribbean"/>
    <s v="AR"/>
    <m/>
    <n v="1"/>
    <s v="CO2E"/>
    <n v="340851.27720000001"/>
    <n v="5.7958313999999997E-2"/>
    <s v="KWH"/>
    <n v="1"/>
    <n v="5880973"/>
    <s v="AR4"/>
    <s v="Anthesis"/>
    <s v="Anthesis (2022)"/>
    <n v="2022"/>
    <n v="2020"/>
    <n v="0"/>
    <n v="340.85127720000003"/>
    <x v="22"/>
    <s v="Labratory"/>
  </r>
  <r>
    <n v="237661"/>
    <s v="Top of Hierarchy &gt; South America &gt; Vantage_Argentina Farm (Agrinsa)"/>
    <x v="2"/>
    <x v="0"/>
    <d v="2022-01-01T00:00:00"/>
    <d v="2022-12-31T00:00:00"/>
    <x v="0"/>
    <d v="2022-01-01T00:00:00"/>
    <d v="2022-12-31T00:00:00"/>
    <s v="Electricity (non-renewable)"/>
    <n v="5880973"/>
    <s v="Kilowatt hours"/>
    <x v="1"/>
    <m/>
    <s v="2023-04-20, 18:44"/>
    <s v="2023-07-20, 00:40"/>
    <n v="2022"/>
    <s v="electricity__t+d"/>
    <s v="Electricity T&amp;D"/>
    <s v="t+d"/>
    <b v="0"/>
    <s v="ELECTRICITY; TRANSMISSION AND DISTRIBUTION; ARGENTINA"/>
    <x v="1"/>
    <x v="1"/>
    <s v="Americas"/>
    <s v="Latin America and the Caribbean"/>
    <s v="AR"/>
    <m/>
    <n v="0"/>
    <s v="CO2E"/>
    <n v="225241.2659"/>
    <s v="RESTRICTED"/>
    <s v="KWH"/>
    <n v="1"/>
    <n v="5880973"/>
    <s v="AR4"/>
    <s v="IEA"/>
    <s v="IEA (2022)"/>
    <n v="2022"/>
    <n v="2020"/>
    <n v="225.2412659"/>
    <n v="0"/>
    <x v="22"/>
    <s v="Labratory"/>
  </r>
  <r>
    <n v="237661"/>
    <s v="Top of Hierarchy &gt; South America &gt; Vantage_Argentina Farm (Agrinsa)"/>
    <x v="2"/>
    <x v="0"/>
    <d v="2022-01-01T00:00:00"/>
    <d v="2022-12-31T00:00:00"/>
    <x v="0"/>
    <d v="2022-01-01T00:00:00"/>
    <d v="2022-12-31T00:00:00"/>
    <s v="Electricity (non-renewable)"/>
    <n v="5880973"/>
    <s v="Kilowatt hours"/>
    <x v="1"/>
    <m/>
    <s v="2023-04-20, 18:44"/>
    <s v="2023-07-20, 00:40"/>
    <n v="2022"/>
    <s v="electricity__t+d"/>
    <s v="Electricity T&amp;D"/>
    <s v="t+d"/>
    <b v="0"/>
    <s v="ELECTRICITY; TRANSMISSION AND DISTRIBUTION; ARGENTINA"/>
    <x v="1"/>
    <x v="1"/>
    <s v="Americas"/>
    <s v="Latin America and the Caribbean"/>
    <s v="AR"/>
    <m/>
    <n v="1"/>
    <s v="CO2E"/>
    <n v="225241.2659"/>
    <s v="RESTRICTED"/>
    <s v="KWH"/>
    <n v="1"/>
    <n v="5880973"/>
    <s v="AR4"/>
    <s v="IEA"/>
    <s v="IEA (2022)"/>
    <n v="2022"/>
    <n v="2020"/>
    <n v="0"/>
    <n v="225.2412659"/>
    <x v="22"/>
    <s v="Labratory"/>
  </r>
  <r>
    <n v="237664"/>
    <s v="Top of Hierarchy &gt; South America &gt; Vantage_Argentina Farm (Agrinsa)"/>
    <x v="2"/>
    <x v="0"/>
    <d v="2022-01-01T00:00:00"/>
    <d v="2022-12-31T00:00:00"/>
    <x v="3"/>
    <d v="2022-01-01T00:00:00"/>
    <d v="2022-12-31T00:00:00"/>
    <s v="Natural gas"/>
    <n v="0"/>
    <s v="British Thermal Units"/>
    <x v="1"/>
    <m/>
    <s v="2023-04-20, 19:01"/>
    <s v="2023-07-20, 00:40"/>
    <n v="2022"/>
    <s v="natural_gas"/>
    <s v="Natural Gas"/>
    <s v="model"/>
    <b v="0"/>
    <s v="NATURAL GAS, NATURAL GAS"/>
    <x v="2"/>
    <x v="0"/>
    <s v="Americas"/>
    <m/>
    <m/>
    <m/>
    <n v="0"/>
    <s v="CH4"/>
    <n v="0"/>
    <n v="2.5000000000000001E-2"/>
    <s v="MMBTU"/>
    <n v="9.9999999999999995E-7"/>
    <n v="0"/>
    <s v="AR4"/>
    <s v="USEPA"/>
    <s v="USEPA Emission Factors Hub (Last Modified: March 2020)"/>
    <n v="2022"/>
    <n v="2021"/>
    <n v="0"/>
    <n v="0"/>
    <x v="22"/>
    <s v="Labratory"/>
  </r>
  <r>
    <n v="237664"/>
    <s v="Top of Hierarchy &gt; South America &gt; Vantage_Argentina Farm (Agrinsa)"/>
    <x v="2"/>
    <x v="0"/>
    <d v="2022-01-01T00:00:00"/>
    <d v="2022-12-31T00:00:00"/>
    <x v="3"/>
    <d v="2022-01-01T00:00:00"/>
    <d v="2022-12-31T00:00:00"/>
    <s v="Natural gas"/>
    <n v="0"/>
    <s v="British Thermal Units"/>
    <x v="1"/>
    <m/>
    <s v="2023-04-20, 19:01"/>
    <s v="2023-07-20, 00:40"/>
    <n v="2022"/>
    <s v="natural_gas"/>
    <s v="Natural Gas"/>
    <s v="model"/>
    <b v="0"/>
    <s v="NATURAL GAS, NATURAL GAS"/>
    <x v="2"/>
    <x v="0"/>
    <s v="Americas"/>
    <m/>
    <m/>
    <m/>
    <n v="0"/>
    <s v="CO2"/>
    <n v="0"/>
    <n v="53.06"/>
    <s v="MMBTU"/>
    <n v="9.9999999999999995E-7"/>
    <n v="0"/>
    <s v="AR4"/>
    <s v="USEPA"/>
    <s v="USEPA (2022)"/>
    <n v="2022"/>
    <n v="2022"/>
    <n v="0"/>
    <n v="0"/>
    <x v="22"/>
    <s v="Labratory"/>
  </r>
  <r>
    <n v="237664"/>
    <s v="Top of Hierarchy &gt; South America &gt; Vantage_Argentina Farm (Agrinsa)"/>
    <x v="2"/>
    <x v="0"/>
    <d v="2022-01-01T00:00:00"/>
    <d v="2022-12-31T00:00:00"/>
    <x v="3"/>
    <d v="2022-01-01T00:00:00"/>
    <d v="2022-12-31T00:00:00"/>
    <s v="Natural gas"/>
    <n v="0"/>
    <s v="British Thermal Units"/>
    <x v="1"/>
    <m/>
    <s v="2023-04-20, 19:01"/>
    <s v="2023-07-20, 00:40"/>
    <n v="2022"/>
    <s v="natural_gas"/>
    <s v="Natural Gas"/>
    <s v="model"/>
    <b v="0"/>
    <s v="NATURAL GAS, NATURAL GAS"/>
    <x v="2"/>
    <x v="0"/>
    <s v="Americas"/>
    <m/>
    <m/>
    <m/>
    <n v="0"/>
    <s v="CO2E"/>
    <n v="0"/>
    <n v="53.114800000000002"/>
    <s v="MMBTU"/>
    <n v="9.9999999999999995E-7"/>
    <n v="0"/>
    <s v="AR4"/>
    <s v="USEPA"/>
    <s v="USEPA Emission Factors Hub (Last Modified: March 2020)"/>
    <n v="2022"/>
    <n v="2021"/>
    <n v="0"/>
    <n v="0"/>
    <x v="22"/>
    <s v="Labratory"/>
  </r>
  <r>
    <n v="237664"/>
    <s v="Top of Hierarchy &gt; South America &gt; Vantage_Argentina Farm (Agrinsa)"/>
    <x v="2"/>
    <x v="0"/>
    <d v="2022-01-01T00:00:00"/>
    <d v="2022-12-31T00:00:00"/>
    <x v="3"/>
    <d v="2022-01-01T00:00:00"/>
    <d v="2022-12-31T00:00:00"/>
    <s v="Natural gas"/>
    <n v="0"/>
    <s v="British Thermal Units"/>
    <x v="1"/>
    <m/>
    <s v="2023-04-20, 19:01"/>
    <s v="2023-07-20, 00:40"/>
    <n v="2022"/>
    <s v="natural_gas"/>
    <s v="Natural Gas"/>
    <s v="model"/>
    <b v="0"/>
    <s v="NATURAL GAS, NATURAL GAS"/>
    <x v="2"/>
    <x v="0"/>
    <s v="Americas"/>
    <m/>
    <m/>
    <m/>
    <n v="0"/>
    <s v="N2O"/>
    <n v="0"/>
    <n v="2.98E-2"/>
    <s v="MMBTU"/>
    <n v="9.9999999999999995E-7"/>
    <n v="0"/>
    <s v="AR4"/>
    <s v="USEPA"/>
    <s v="USEPA (2022)"/>
    <n v="2022"/>
    <n v="2022"/>
    <n v="0"/>
    <n v="0"/>
    <x v="22"/>
    <s v="Labratory"/>
  </r>
  <r>
    <n v="237664"/>
    <s v="Top of Hierarchy &gt; South America &gt; Vantage_Argentina Farm (Agrinsa)"/>
    <x v="2"/>
    <x v="0"/>
    <d v="2022-01-01T00:00:00"/>
    <d v="2022-12-31T00:00:00"/>
    <x v="3"/>
    <d v="2022-01-01T00:00:00"/>
    <d v="2022-12-31T00:00:00"/>
    <s v="Natural gas"/>
    <n v="0"/>
    <s v="British Thermal Units"/>
    <x v="1"/>
    <m/>
    <s v="2023-04-20, 19:01"/>
    <s v="2023-07-20, 00:40"/>
    <n v="2022"/>
    <s v="natural_gas"/>
    <s v="Natural Gas"/>
    <s v="model"/>
    <b v="0"/>
    <s v="NATURAL GAS, NATURAL GAS"/>
    <x v="2"/>
    <x v="0"/>
    <s v="Americas"/>
    <m/>
    <m/>
    <m/>
    <n v="1"/>
    <s v="CH4"/>
    <n v="0"/>
    <n v="2.5000000000000001E-2"/>
    <s v="MMBTU"/>
    <n v="9.9999999999999995E-7"/>
    <n v="0"/>
    <s v="AR4"/>
    <s v="USEPA"/>
    <s v="USEPA Emission Factors Hub (Last Modified: March 2020)"/>
    <n v="2022"/>
    <n v="2021"/>
    <n v="0"/>
    <n v="0"/>
    <x v="22"/>
    <s v="Labratory"/>
  </r>
  <r>
    <n v="237664"/>
    <s v="Top of Hierarchy &gt; South America &gt; Vantage_Argentina Farm (Agrinsa)"/>
    <x v="2"/>
    <x v="0"/>
    <d v="2022-01-01T00:00:00"/>
    <d v="2022-12-31T00:00:00"/>
    <x v="3"/>
    <d v="2022-01-01T00:00:00"/>
    <d v="2022-12-31T00:00:00"/>
    <s v="Natural gas"/>
    <n v="0"/>
    <s v="British Thermal Units"/>
    <x v="1"/>
    <m/>
    <s v="2023-04-20, 19:01"/>
    <s v="2023-07-20, 00:40"/>
    <n v="2022"/>
    <s v="natural_gas"/>
    <s v="Natural Gas"/>
    <s v="model"/>
    <b v="0"/>
    <s v="NATURAL GAS, NATURAL GAS"/>
    <x v="2"/>
    <x v="0"/>
    <s v="Americas"/>
    <m/>
    <m/>
    <m/>
    <n v="1"/>
    <s v="CO2"/>
    <n v="0"/>
    <n v="53.06"/>
    <s v="MMBTU"/>
    <n v="9.9999999999999995E-7"/>
    <n v="0"/>
    <s v="AR4"/>
    <s v="USEPA"/>
    <s v="USEPA (2022)"/>
    <n v="2022"/>
    <n v="2022"/>
    <n v="0"/>
    <n v="0"/>
    <x v="22"/>
    <s v="Labratory"/>
  </r>
  <r>
    <n v="237664"/>
    <s v="Top of Hierarchy &gt; South America &gt; Vantage_Argentina Farm (Agrinsa)"/>
    <x v="2"/>
    <x v="0"/>
    <d v="2022-01-01T00:00:00"/>
    <d v="2022-12-31T00:00:00"/>
    <x v="3"/>
    <d v="2022-01-01T00:00:00"/>
    <d v="2022-12-31T00:00:00"/>
    <s v="Natural gas"/>
    <n v="0"/>
    <s v="British Thermal Units"/>
    <x v="1"/>
    <m/>
    <s v="2023-04-20, 19:01"/>
    <s v="2023-07-20, 00:40"/>
    <n v="2022"/>
    <s v="natural_gas"/>
    <s v="Natural Gas"/>
    <s v="model"/>
    <b v="0"/>
    <s v="NATURAL GAS, NATURAL GAS"/>
    <x v="2"/>
    <x v="0"/>
    <s v="Americas"/>
    <m/>
    <m/>
    <m/>
    <n v="1"/>
    <s v="CO2E"/>
    <n v="0"/>
    <n v="53.114800000000002"/>
    <s v="MMBTU"/>
    <n v="9.9999999999999995E-7"/>
    <n v="0"/>
    <s v="AR4"/>
    <s v="USEPA"/>
    <s v="USEPA Emission Factors Hub (Last Modified: March 2020)"/>
    <n v="2022"/>
    <n v="2021"/>
    <n v="0"/>
    <n v="0"/>
    <x v="22"/>
    <s v="Labratory"/>
  </r>
  <r>
    <n v="237664"/>
    <s v="Top of Hierarchy &gt; South America &gt; Vantage_Argentina Farm (Agrinsa)"/>
    <x v="2"/>
    <x v="0"/>
    <d v="2022-01-01T00:00:00"/>
    <d v="2022-12-31T00:00:00"/>
    <x v="3"/>
    <d v="2022-01-01T00:00:00"/>
    <d v="2022-12-31T00:00:00"/>
    <s v="Natural gas"/>
    <n v="0"/>
    <s v="British Thermal Units"/>
    <x v="1"/>
    <m/>
    <s v="2023-04-20, 19:01"/>
    <s v="2023-07-20, 00:40"/>
    <n v="2022"/>
    <s v="natural_gas"/>
    <s v="Natural Gas"/>
    <s v="model"/>
    <b v="0"/>
    <s v="NATURAL GAS, NATURAL GAS"/>
    <x v="2"/>
    <x v="0"/>
    <s v="Americas"/>
    <m/>
    <m/>
    <m/>
    <n v="1"/>
    <s v="N2O"/>
    <n v="0"/>
    <n v="2.98E-2"/>
    <s v="MMBTU"/>
    <n v="9.9999999999999995E-7"/>
    <n v="0"/>
    <s v="AR4"/>
    <s v="USEPA"/>
    <s v="USEPA (2022)"/>
    <n v="2022"/>
    <n v="2022"/>
    <n v="0"/>
    <n v="0"/>
    <x v="22"/>
    <s v="Labratory"/>
  </r>
  <r>
    <n v="237664"/>
    <s v="Top of Hierarchy &gt; South America &gt; Vantage_Argentina Farm (Agrinsa)"/>
    <x v="2"/>
    <x v="0"/>
    <d v="2022-01-01T00:00:00"/>
    <d v="2022-12-31T00:00:00"/>
    <x v="3"/>
    <d v="2022-01-01T00:00:00"/>
    <d v="2022-12-31T00:00:00"/>
    <s v="Natural gas"/>
    <n v="0"/>
    <s v="British Thermal Units"/>
    <x v="1"/>
    <m/>
    <s v="2023-04-20, 19:01"/>
    <s v="2023-07-20, 00:40"/>
    <n v="2022"/>
    <s v="natural_gas__wtt"/>
    <s v="Natural Gas WTT"/>
    <s v="wtt"/>
    <b v="0"/>
    <s v="WTT- FUELS; GASEOUS FUELS; NATURAL GAS"/>
    <x v="1"/>
    <x v="1"/>
    <m/>
    <m/>
    <m/>
    <m/>
    <n v="0"/>
    <s v="CO2E"/>
    <n v="0"/>
    <n v="3.1099999999999999E-2"/>
    <s v="KWH (GROSS CV)"/>
    <n v="2.9306999999999998E-4"/>
    <n v="0"/>
    <s v="AR4"/>
    <s v="Defra"/>
    <s v="Defra (2022)"/>
    <n v="2022"/>
    <n v="2020"/>
    <n v="0"/>
    <n v="0"/>
    <x v="22"/>
    <s v="Labratory"/>
  </r>
  <r>
    <n v="237664"/>
    <s v="Top of Hierarchy &gt; South America &gt; Vantage_Argentina Farm (Agrinsa)"/>
    <x v="2"/>
    <x v="0"/>
    <d v="2022-01-01T00:00:00"/>
    <d v="2022-12-31T00:00:00"/>
    <x v="3"/>
    <d v="2022-01-01T00:00:00"/>
    <d v="2022-12-31T00:00:00"/>
    <s v="Natural gas"/>
    <n v="0"/>
    <s v="British Thermal Units"/>
    <x v="1"/>
    <m/>
    <s v="2023-04-20, 19:01"/>
    <s v="2023-07-20, 00:40"/>
    <n v="2022"/>
    <s v="natural_gas__wtt"/>
    <s v="Natural Gas WTT"/>
    <s v="wtt"/>
    <b v="0"/>
    <s v="WTT- FUELS; GASEOUS FUELS; NATURAL GAS"/>
    <x v="1"/>
    <x v="1"/>
    <m/>
    <m/>
    <m/>
    <m/>
    <n v="1"/>
    <s v="CO2E"/>
    <n v="0"/>
    <n v="3.1099999999999999E-2"/>
    <s v="KWH (GROSS CV)"/>
    <n v="2.9306999999999998E-4"/>
    <n v="0"/>
    <s v="AR4"/>
    <s v="Defra"/>
    <s v="Defra (2022)"/>
    <n v="2022"/>
    <n v="2020"/>
    <n v="0"/>
    <n v="0"/>
    <x v="22"/>
    <s v="Labratory"/>
  </r>
  <r>
    <n v="237483"/>
    <s v="Top of Hierarchy &gt; South America &gt; Vantage_Argentina Farm (Agrinsa)"/>
    <x v="2"/>
    <x v="0"/>
    <d v="2022-01-01T00:00:00"/>
    <d v="2022-12-31T00:00:00"/>
    <x v="1"/>
    <d v="2022-01-01T00:00:00"/>
    <d v="2022-12-31T00:00:00"/>
    <s v="Diesel (100% mineral diesel)"/>
    <n v="34401.72"/>
    <s v="litres"/>
    <x v="1"/>
    <m/>
    <s v="2023-04-19, 23:04"/>
    <s v="2023-07-20, 00:40"/>
    <n v="2022"/>
    <s v="diesel_100p_mineral_diesel"/>
    <s v="Diesel (100% Mineral Diesel)"/>
    <s v="model"/>
    <b v="0"/>
    <s v="FUELS; LIQUID FUELS; DIESEL (100% MINERAL DIESEL)"/>
    <x v="2"/>
    <x v="0"/>
    <m/>
    <m/>
    <m/>
    <m/>
    <n v="0"/>
    <s v="CH4"/>
    <n v="8.9444472000000008"/>
    <n v="2.5999999999999998E-4"/>
    <s v="LITRES"/>
    <n v="1"/>
    <n v="34401.72"/>
    <s v="AR4"/>
    <s v="Defra"/>
    <s v="Defra (2022)"/>
    <n v="2022"/>
    <n v="2020"/>
    <n v="0"/>
    <n v="0"/>
    <x v="22"/>
    <s v="Labratory"/>
  </r>
  <r>
    <n v="237483"/>
    <s v="Top of Hierarchy &gt; South America &gt; Vantage_Argentina Farm (Agrinsa)"/>
    <x v="2"/>
    <x v="0"/>
    <d v="2022-01-01T00:00:00"/>
    <d v="2022-12-31T00:00:00"/>
    <x v="1"/>
    <d v="2022-01-01T00:00:00"/>
    <d v="2022-12-31T00:00:00"/>
    <s v="Diesel (100% mineral diesel)"/>
    <n v="34401.72"/>
    <s v="litres"/>
    <x v="1"/>
    <m/>
    <s v="2023-04-19, 23:04"/>
    <s v="2023-07-20, 00:40"/>
    <n v="2022"/>
    <s v="diesel_100p_mineral_diesel"/>
    <s v="Diesel (100% Mineral Diesel)"/>
    <s v="model"/>
    <b v="0"/>
    <s v="FUELS; LIQUID FUELS; DIESEL (100% MINERAL DIESEL)"/>
    <x v="2"/>
    <x v="0"/>
    <m/>
    <m/>
    <m/>
    <m/>
    <n v="0"/>
    <s v="CO2"/>
    <n v="91554.673500000004"/>
    <n v="2.66134"/>
    <s v="LITRES"/>
    <n v="1"/>
    <n v="34401.72"/>
    <s v="AR4"/>
    <s v="Defra"/>
    <s v="Defra (2022)"/>
    <n v="2022"/>
    <n v="2020"/>
    <n v="0"/>
    <n v="0"/>
    <x v="22"/>
    <s v="Labratory"/>
  </r>
  <r>
    <n v="237483"/>
    <s v="Top of Hierarchy &gt; South America &gt; Vantage_Argentina Farm (Agrinsa)"/>
    <x v="2"/>
    <x v="0"/>
    <d v="2022-01-01T00:00:00"/>
    <d v="2022-12-31T00:00:00"/>
    <x v="1"/>
    <d v="2022-01-01T00:00:00"/>
    <d v="2022-12-31T00:00:00"/>
    <s v="Diesel (100% mineral diesel)"/>
    <n v="34401.72"/>
    <s v="litres"/>
    <x v="1"/>
    <m/>
    <s v="2023-04-19, 23:04"/>
    <s v="2023-07-20, 00:40"/>
    <n v="2022"/>
    <s v="diesel_100p_mineral_diesel"/>
    <s v="Diesel (100% Mineral Diesel)"/>
    <s v="model"/>
    <b v="0"/>
    <s v="FUELS; LIQUID FUELS; DIESEL (100% MINERAL DIESEL)"/>
    <x v="2"/>
    <x v="0"/>
    <m/>
    <m/>
    <m/>
    <m/>
    <n v="0"/>
    <s v="CO2E"/>
    <n v="92843.361940000003"/>
    <n v="2.6987999999999999"/>
    <s v="LITRES"/>
    <n v="1"/>
    <n v="34401.72"/>
    <s v="AR4"/>
    <s v="Defra"/>
    <s v="Defra (2022)"/>
    <n v="2022"/>
    <n v="2020"/>
    <n v="92.843361940000008"/>
    <n v="0"/>
    <x v="22"/>
    <s v="Labratory"/>
  </r>
  <r>
    <n v="237483"/>
    <s v="Top of Hierarchy &gt; South America &gt; Vantage_Argentina Farm (Agrinsa)"/>
    <x v="2"/>
    <x v="0"/>
    <d v="2022-01-01T00:00:00"/>
    <d v="2022-12-31T00:00:00"/>
    <x v="1"/>
    <d v="2022-01-01T00:00:00"/>
    <d v="2022-12-31T00:00:00"/>
    <s v="Diesel (100% mineral diesel)"/>
    <n v="34401.72"/>
    <s v="litres"/>
    <x v="1"/>
    <m/>
    <s v="2023-04-19, 23:04"/>
    <s v="2023-07-20, 00:40"/>
    <n v="2022"/>
    <s v="diesel_100p_mineral_diesel"/>
    <s v="Diesel (100% Mineral Diesel)"/>
    <s v="model"/>
    <b v="0"/>
    <s v="FUELS; LIQUID FUELS; DIESEL (100% MINERAL DIESEL)"/>
    <x v="2"/>
    <x v="0"/>
    <m/>
    <m/>
    <m/>
    <m/>
    <n v="0"/>
    <s v="N2O"/>
    <n v="1279.743984"/>
    <n v="3.7199999999999997E-2"/>
    <s v="LITRES"/>
    <n v="1"/>
    <n v="34401.72"/>
    <s v="AR4"/>
    <s v="Defra"/>
    <s v="Defra (2022)"/>
    <n v="2022"/>
    <n v="2020"/>
    <n v="0"/>
    <n v="0"/>
    <x v="22"/>
    <s v="Labratory"/>
  </r>
  <r>
    <n v="237483"/>
    <s v="Top of Hierarchy &gt; South America &gt; Vantage_Argentina Farm (Agrinsa)"/>
    <x v="2"/>
    <x v="0"/>
    <d v="2022-01-01T00:00:00"/>
    <d v="2022-12-31T00:00:00"/>
    <x v="1"/>
    <d v="2022-01-01T00:00:00"/>
    <d v="2022-12-31T00:00:00"/>
    <s v="Diesel (100% mineral diesel)"/>
    <n v="34401.72"/>
    <s v="litres"/>
    <x v="1"/>
    <m/>
    <s v="2023-04-19, 23:04"/>
    <s v="2023-07-20, 00:40"/>
    <n v="2022"/>
    <s v="diesel_100p_mineral_diesel"/>
    <s v="Diesel (100% Mineral Diesel)"/>
    <s v="model"/>
    <b v="0"/>
    <s v="FUELS; LIQUID FUELS; DIESEL (100% MINERAL DIESEL)"/>
    <x v="2"/>
    <x v="0"/>
    <m/>
    <m/>
    <m/>
    <m/>
    <n v="1"/>
    <s v="CH4"/>
    <n v="8.9444472000000008"/>
    <n v="2.5999999999999998E-4"/>
    <s v="LITRES"/>
    <n v="1"/>
    <n v="34401.72"/>
    <s v="AR4"/>
    <s v="Defra"/>
    <s v="Defra (2022)"/>
    <n v="2022"/>
    <n v="2020"/>
    <n v="0"/>
    <n v="0"/>
    <x v="22"/>
    <s v="Labratory"/>
  </r>
  <r>
    <n v="237483"/>
    <s v="Top of Hierarchy &gt; South America &gt; Vantage_Argentina Farm (Agrinsa)"/>
    <x v="2"/>
    <x v="0"/>
    <d v="2022-01-01T00:00:00"/>
    <d v="2022-12-31T00:00:00"/>
    <x v="1"/>
    <d v="2022-01-01T00:00:00"/>
    <d v="2022-12-31T00:00:00"/>
    <s v="Diesel (100% mineral diesel)"/>
    <n v="34401.72"/>
    <s v="litres"/>
    <x v="1"/>
    <m/>
    <s v="2023-04-19, 23:04"/>
    <s v="2023-07-20, 00:40"/>
    <n v="2022"/>
    <s v="diesel_100p_mineral_diesel"/>
    <s v="Diesel (100% Mineral Diesel)"/>
    <s v="model"/>
    <b v="0"/>
    <s v="FUELS; LIQUID FUELS; DIESEL (100% MINERAL DIESEL)"/>
    <x v="2"/>
    <x v="0"/>
    <m/>
    <m/>
    <m/>
    <m/>
    <n v="1"/>
    <s v="CO2"/>
    <n v="91554.673500000004"/>
    <n v="2.66134"/>
    <s v="LITRES"/>
    <n v="1"/>
    <n v="34401.72"/>
    <s v="AR4"/>
    <s v="Defra"/>
    <s v="Defra (2022)"/>
    <n v="2022"/>
    <n v="2020"/>
    <n v="0"/>
    <n v="0"/>
    <x v="22"/>
    <s v="Labratory"/>
  </r>
  <r>
    <n v="237483"/>
    <s v="Top of Hierarchy &gt; South America &gt; Vantage_Argentina Farm (Agrinsa)"/>
    <x v="2"/>
    <x v="0"/>
    <d v="2022-01-01T00:00:00"/>
    <d v="2022-12-31T00:00:00"/>
    <x v="1"/>
    <d v="2022-01-01T00:00:00"/>
    <d v="2022-12-31T00:00:00"/>
    <s v="Diesel (100% mineral diesel)"/>
    <n v="34401.72"/>
    <s v="litres"/>
    <x v="1"/>
    <m/>
    <s v="2023-04-19, 23:04"/>
    <s v="2023-07-20, 00:40"/>
    <n v="2022"/>
    <s v="diesel_100p_mineral_diesel"/>
    <s v="Diesel (100% Mineral Diesel)"/>
    <s v="model"/>
    <b v="0"/>
    <s v="FUELS; LIQUID FUELS; DIESEL (100% MINERAL DIESEL)"/>
    <x v="2"/>
    <x v="0"/>
    <m/>
    <m/>
    <m/>
    <m/>
    <n v="1"/>
    <s v="CO2E"/>
    <n v="92843.361940000003"/>
    <n v="2.6987999999999999"/>
    <s v="LITRES"/>
    <n v="1"/>
    <n v="34401.72"/>
    <s v="AR4"/>
    <s v="Defra"/>
    <s v="Defra (2022)"/>
    <n v="2022"/>
    <n v="2020"/>
    <n v="0"/>
    <n v="92.843361940000008"/>
    <x v="22"/>
    <s v="Labratory"/>
  </r>
  <r>
    <n v="237483"/>
    <s v="Top of Hierarchy &gt; South America &gt; Vantage_Argentina Farm (Agrinsa)"/>
    <x v="2"/>
    <x v="0"/>
    <d v="2022-01-01T00:00:00"/>
    <d v="2022-12-31T00:00:00"/>
    <x v="1"/>
    <d v="2022-01-01T00:00:00"/>
    <d v="2022-12-31T00:00:00"/>
    <s v="Diesel (100% mineral diesel)"/>
    <n v="34401.72"/>
    <s v="litres"/>
    <x v="1"/>
    <m/>
    <s v="2023-04-19, 23:04"/>
    <s v="2023-07-20, 00:40"/>
    <n v="2022"/>
    <s v="diesel_100p_mineral_diesel"/>
    <s v="Diesel (100% Mineral Diesel)"/>
    <s v="model"/>
    <b v="0"/>
    <s v="FUELS; LIQUID FUELS; DIESEL (100% MINERAL DIESEL)"/>
    <x v="2"/>
    <x v="0"/>
    <m/>
    <m/>
    <m/>
    <m/>
    <n v="1"/>
    <s v="N2O"/>
    <n v="1279.743984"/>
    <n v="3.7199999999999997E-2"/>
    <s v="LITRES"/>
    <n v="1"/>
    <n v="34401.72"/>
    <s v="AR4"/>
    <s v="Defra"/>
    <s v="Defra (2022)"/>
    <n v="2022"/>
    <n v="2020"/>
    <n v="0"/>
    <n v="0"/>
    <x v="22"/>
    <s v="Labratory"/>
  </r>
  <r>
    <n v="237483"/>
    <s v="Top of Hierarchy &gt; South America &gt; Vantage_Argentina Farm (Agrinsa)"/>
    <x v="2"/>
    <x v="0"/>
    <d v="2022-01-01T00:00:00"/>
    <d v="2022-12-31T00:00:00"/>
    <x v="1"/>
    <d v="2022-01-01T00:00:00"/>
    <d v="2022-12-31T00:00:00"/>
    <s v="Diesel (100% mineral diesel)"/>
    <n v="34401.72"/>
    <s v="litres"/>
    <x v="1"/>
    <m/>
    <s v="2023-04-19, 23:04"/>
    <s v="2023-07-20, 00:40"/>
    <n v="2022"/>
    <s v="diesel_100p_mineral_diesel__wtt"/>
    <s v="Diesel (100% Mineral Diesel) WTT"/>
    <s v="wtt"/>
    <b v="0"/>
    <s v="WTT- FUELS; LIQUID FUELS; DIESEL (100% MINERAL DIESEL)"/>
    <x v="1"/>
    <x v="1"/>
    <m/>
    <m/>
    <m/>
    <m/>
    <n v="0"/>
    <s v="CO2E"/>
    <n v="21629.737430000001"/>
    <n v="0.62873999999999997"/>
    <s v="LITRES"/>
    <n v="1"/>
    <n v="34401.72"/>
    <s v="AR4"/>
    <s v="Defra"/>
    <s v="Defra (2022)"/>
    <n v="2022"/>
    <n v="2020"/>
    <n v="21.629737430000002"/>
    <n v="0"/>
    <x v="22"/>
    <s v="Labratory"/>
  </r>
  <r>
    <n v="237483"/>
    <s v="Top of Hierarchy &gt; South America &gt; Vantage_Argentina Farm (Agrinsa)"/>
    <x v="2"/>
    <x v="0"/>
    <d v="2022-01-01T00:00:00"/>
    <d v="2022-12-31T00:00:00"/>
    <x v="1"/>
    <d v="2022-01-01T00:00:00"/>
    <d v="2022-12-31T00:00:00"/>
    <s v="Diesel (100% mineral diesel)"/>
    <n v="34401.72"/>
    <s v="litres"/>
    <x v="1"/>
    <m/>
    <s v="2023-04-19, 23:04"/>
    <s v="2023-07-20, 00:40"/>
    <n v="2022"/>
    <s v="diesel_100p_mineral_diesel__wtt"/>
    <s v="Diesel (100% Mineral Diesel) WTT"/>
    <s v="wtt"/>
    <b v="0"/>
    <s v="WTT- FUELS; LIQUID FUELS; DIESEL (100% MINERAL DIESEL)"/>
    <x v="1"/>
    <x v="1"/>
    <m/>
    <m/>
    <m/>
    <m/>
    <n v="1"/>
    <s v="CO2E"/>
    <n v="21629.737430000001"/>
    <n v="0.62873999999999997"/>
    <s v="LITRES"/>
    <n v="1"/>
    <n v="34401.72"/>
    <s v="AR4"/>
    <s v="Defra"/>
    <s v="Defra (2022)"/>
    <n v="2022"/>
    <n v="2020"/>
    <n v="0"/>
    <n v="21.629737430000002"/>
    <x v="22"/>
    <s v="Labratory"/>
  </r>
  <r>
    <n v="237485"/>
    <s v="Top of Hierarchy &gt; South America &gt; Vantage_Argentina Farm (Agrinsa)"/>
    <x v="2"/>
    <x v="0"/>
    <d v="2022-01-01T00:00:00"/>
    <d v="2022-12-31T00:00:00"/>
    <x v="1"/>
    <d v="2022-01-01T00:00:00"/>
    <d v="2022-12-31T00:00:00"/>
    <s v="Diesel (100% mineral diesel)"/>
    <n v="6222.72"/>
    <s v="litres"/>
    <x v="1"/>
    <m/>
    <s v="2023-04-19, 23:05"/>
    <s v="2023-07-20, 00:40"/>
    <n v="2022"/>
    <s v="diesel_100p_mineral_diesel"/>
    <s v="Diesel (100% Mineral Diesel)"/>
    <s v="model"/>
    <b v="0"/>
    <s v="FUELS; LIQUID FUELS; DIESEL (100% MINERAL DIESEL)"/>
    <x v="2"/>
    <x v="0"/>
    <m/>
    <m/>
    <m/>
    <m/>
    <n v="0"/>
    <s v="CH4"/>
    <n v="1.6179072000000001"/>
    <n v="2.5999999999999998E-4"/>
    <s v="LITRES"/>
    <n v="1"/>
    <n v="6222.72"/>
    <s v="AR4"/>
    <s v="Defra"/>
    <s v="Defra (2022)"/>
    <n v="2022"/>
    <n v="2020"/>
    <n v="0"/>
    <n v="0"/>
    <x v="22"/>
    <s v="Labratory"/>
  </r>
  <r>
    <n v="237485"/>
    <s v="Top of Hierarchy &gt; South America &gt; Vantage_Argentina Farm (Agrinsa)"/>
    <x v="2"/>
    <x v="0"/>
    <d v="2022-01-01T00:00:00"/>
    <d v="2022-12-31T00:00:00"/>
    <x v="1"/>
    <d v="2022-01-01T00:00:00"/>
    <d v="2022-12-31T00:00:00"/>
    <s v="Diesel (100% mineral diesel)"/>
    <n v="6222.72"/>
    <s v="litres"/>
    <x v="1"/>
    <m/>
    <s v="2023-04-19, 23:05"/>
    <s v="2023-07-20, 00:40"/>
    <n v="2022"/>
    <s v="diesel_100p_mineral_diesel"/>
    <s v="Diesel (100% Mineral Diesel)"/>
    <s v="model"/>
    <b v="0"/>
    <s v="FUELS; LIQUID FUELS; DIESEL (100% MINERAL DIESEL)"/>
    <x v="2"/>
    <x v="0"/>
    <m/>
    <m/>
    <m/>
    <m/>
    <n v="0"/>
    <s v="CO2"/>
    <n v="16560.773639999999"/>
    <n v="2.66134"/>
    <s v="LITRES"/>
    <n v="1"/>
    <n v="6222.72"/>
    <s v="AR4"/>
    <s v="Defra"/>
    <s v="Defra (2022)"/>
    <n v="2022"/>
    <n v="2020"/>
    <n v="0"/>
    <n v="0"/>
    <x v="22"/>
    <s v="Labratory"/>
  </r>
  <r>
    <n v="237485"/>
    <s v="Top of Hierarchy &gt; South America &gt; Vantage_Argentina Farm (Agrinsa)"/>
    <x v="2"/>
    <x v="0"/>
    <d v="2022-01-01T00:00:00"/>
    <d v="2022-12-31T00:00:00"/>
    <x v="1"/>
    <d v="2022-01-01T00:00:00"/>
    <d v="2022-12-31T00:00:00"/>
    <s v="Diesel (100% mineral diesel)"/>
    <n v="6222.72"/>
    <s v="litres"/>
    <x v="1"/>
    <m/>
    <s v="2023-04-19, 23:05"/>
    <s v="2023-07-20, 00:40"/>
    <n v="2022"/>
    <s v="diesel_100p_mineral_diesel"/>
    <s v="Diesel (100% Mineral Diesel)"/>
    <s v="model"/>
    <b v="0"/>
    <s v="FUELS; LIQUID FUELS; DIESEL (100% MINERAL DIESEL)"/>
    <x v="2"/>
    <x v="0"/>
    <m/>
    <m/>
    <m/>
    <m/>
    <n v="0"/>
    <s v="CO2E"/>
    <n v="16793.87674"/>
    <n v="2.6987999999999999"/>
    <s v="LITRES"/>
    <n v="1"/>
    <n v="6222.72"/>
    <s v="AR4"/>
    <s v="Defra"/>
    <s v="Defra (2022)"/>
    <n v="2022"/>
    <n v="2020"/>
    <n v="16.793876739999998"/>
    <n v="0"/>
    <x v="22"/>
    <s v="Labratory"/>
  </r>
  <r>
    <n v="237485"/>
    <s v="Top of Hierarchy &gt; South America &gt; Vantage_Argentina Farm (Agrinsa)"/>
    <x v="2"/>
    <x v="0"/>
    <d v="2022-01-01T00:00:00"/>
    <d v="2022-12-31T00:00:00"/>
    <x v="1"/>
    <d v="2022-01-01T00:00:00"/>
    <d v="2022-12-31T00:00:00"/>
    <s v="Diesel (100% mineral diesel)"/>
    <n v="6222.72"/>
    <s v="litres"/>
    <x v="1"/>
    <m/>
    <s v="2023-04-19, 23:05"/>
    <s v="2023-07-20, 00:40"/>
    <n v="2022"/>
    <s v="diesel_100p_mineral_diesel"/>
    <s v="Diesel (100% Mineral Diesel)"/>
    <s v="model"/>
    <b v="0"/>
    <s v="FUELS; LIQUID FUELS; DIESEL (100% MINERAL DIESEL)"/>
    <x v="2"/>
    <x v="0"/>
    <m/>
    <m/>
    <m/>
    <m/>
    <n v="0"/>
    <s v="N2O"/>
    <n v="231.485184"/>
    <n v="3.7199999999999997E-2"/>
    <s v="LITRES"/>
    <n v="1"/>
    <n v="6222.72"/>
    <s v="AR4"/>
    <s v="Defra"/>
    <s v="Defra (2022)"/>
    <n v="2022"/>
    <n v="2020"/>
    <n v="0"/>
    <n v="0"/>
    <x v="22"/>
    <s v="Labratory"/>
  </r>
  <r>
    <n v="237485"/>
    <s v="Top of Hierarchy &gt; South America &gt; Vantage_Argentina Farm (Agrinsa)"/>
    <x v="2"/>
    <x v="0"/>
    <d v="2022-01-01T00:00:00"/>
    <d v="2022-12-31T00:00:00"/>
    <x v="1"/>
    <d v="2022-01-01T00:00:00"/>
    <d v="2022-12-31T00:00:00"/>
    <s v="Diesel (100% mineral diesel)"/>
    <n v="6222.72"/>
    <s v="litres"/>
    <x v="1"/>
    <m/>
    <s v="2023-04-19, 23:05"/>
    <s v="2023-07-20, 00:40"/>
    <n v="2022"/>
    <s v="diesel_100p_mineral_diesel"/>
    <s v="Diesel (100% Mineral Diesel)"/>
    <s v="model"/>
    <b v="0"/>
    <s v="FUELS; LIQUID FUELS; DIESEL (100% MINERAL DIESEL)"/>
    <x v="2"/>
    <x v="0"/>
    <m/>
    <m/>
    <m/>
    <m/>
    <n v="1"/>
    <s v="CH4"/>
    <n v="1.6179072000000001"/>
    <n v="2.5999999999999998E-4"/>
    <s v="LITRES"/>
    <n v="1"/>
    <n v="6222.72"/>
    <s v="AR4"/>
    <s v="Defra"/>
    <s v="Defra (2022)"/>
    <n v="2022"/>
    <n v="2020"/>
    <n v="0"/>
    <n v="0"/>
    <x v="22"/>
    <s v="Labratory"/>
  </r>
  <r>
    <n v="237485"/>
    <s v="Top of Hierarchy &gt; South America &gt; Vantage_Argentina Farm (Agrinsa)"/>
    <x v="2"/>
    <x v="0"/>
    <d v="2022-01-01T00:00:00"/>
    <d v="2022-12-31T00:00:00"/>
    <x v="1"/>
    <d v="2022-01-01T00:00:00"/>
    <d v="2022-12-31T00:00:00"/>
    <s v="Diesel (100% mineral diesel)"/>
    <n v="6222.72"/>
    <s v="litres"/>
    <x v="1"/>
    <m/>
    <s v="2023-04-19, 23:05"/>
    <s v="2023-07-20, 00:40"/>
    <n v="2022"/>
    <s v="diesel_100p_mineral_diesel"/>
    <s v="Diesel (100% Mineral Diesel)"/>
    <s v="model"/>
    <b v="0"/>
    <s v="FUELS; LIQUID FUELS; DIESEL (100% MINERAL DIESEL)"/>
    <x v="2"/>
    <x v="0"/>
    <m/>
    <m/>
    <m/>
    <m/>
    <n v="1"/>
    <s v="CO2"/>
    <n v="16560.773639999999"/>
    <n v="2.66134"/>
    <s v="LITRES"/>
    <n v="1"/>
    <n v="6222.72"/>
    <s v="AR4"/>
    <s v="Defra"/>
    <s v="Defra (2022)"/>
    <n v="2022"/>
    <n v="2020"/>
    <n v="0"/>
    <n v="0"/>
    <x v="22"/>
    <s v="Labratory"/>
  </r>
  <r>
    <n v="237485"/>
    <s v="Top of Hierarchy &gt; South America &gt; Vantage_Argentina Farm (Agrinsa)"/>
    <x v="2"/>
    <x v="0"/>
    <d v="2022-01-01T00:00:00"/>
    <d v="2022-12-31T00:00:00"/>
    <x v="1"/>
    <d v="2022-01-01T00:00:00"/>
    <d v="2022-12-31T00:00:00"/>
    <s v="Diesel (100% mineral diesel)"/>
    <n v="6222.72"/>
    <s v="litres"/>
    <x v="1"/>
    <m/>
    <s v="2023-04-19, 23:05"/>
    <s v="2023-07-20, 00:40"/>
    <n v="2022"/>
    <s v="diesel_100p_mineral_diesel"/>
    <s v="Diesel (100% Mineral Diesel)"/>
    <s v="model"/>
    <b v="0"/>
    <s v="FUELS; LIQUID FUELS; DIESEL (100% MINERAL DIESEL)"/>
    <x v="2"/>
    <x v="0"/>
    <m/>
    <m/>
    <m/>
    <m/>
    <n v="1"/>
    <s v="CO2E"/>
    <n v="16793.87674"/>
    <n v="2.6987999999999999"/>
    <s v="LITRES"/>
    <n v="1"/>
    <n v="6222.72"/>
    <s v="AR4"/>
    <s v="Defra"/>
    <s v="Defra (2022)"/>
    <n v="2022"/>
    <n v="2020"/>
    <n v="0"/>
    <n v="16.793876739999998"/>
    <x v="22"/>
    <s v="Labratory"/>
  </r>
  <r>
    <n v="237485"/>
    <s v="Top of Hierarchy &gt; South America &gt; Vantage_Argentina Farm (Agrinsa)"/>
    <x v="2"/>
    <x v="0"/>
    <d v="2022-01-01T00:00:00"/>
    <d v="2022-12-31T00:00:00"/>
    <x v="1"/>
    <d v="2022-01-01T00:00:00"/>
    <d v="2022-12-31T00:00:00"/>
    <s v="Diesel (100% mineral diesel)"/>
    <n v="6222.72"/>
    <s v="litres"/>
    <x v="1"/>
    <m/>
    <s v="2023-04-19, 23:05"/>
    <s v="2023-07-20, 00:40"/>
    <n v="2022"/>
    <s v="diesel_100p_mineral_diesel"/>
    <s v="Diesel (100% Mineral Diesel)"/>
    <s v="model"/>
    <b v="0"/>
    <s v="FUELS; LIQUID FUELS; DIESEL (100% MINERAL DIESEL)"/>
    <x v="2"/>
    <x v="0"/>
    <m/>
    <m/>
    <m/>
    <m/>
    <n v="1"/>
    <s v="N2O"/>
    <n v="231.485184"/>
    <n v="3.7199999999999997E-2"/>
    <s v="LITRES"/>
    <n v="1"/>
    <n v="6222.72"/>
    <s v="AR4"/>
    <s v="Defra"/>
    <s v="Defra (2022)"/>
    <n v="2022"/>
    <n v="2020"/>
    <n v="0"/>
    <n v="0"/>
    <x v="22"/>
    <s v="Labratory"/>
  </r>
  <r>
    <n v="237485"/>
    <s v="Top of Hierarchy &gt; South America &gt; Vantage_Argentina Farm (Agrinsa)"/>
    <x v="2"/>
    <x v="0"/>
    <d v="2022-01-01T00:00:00"/>
    <d v="2022-12-31T00:00:00"/>
    <x v="1"/>
    <d v="2022-01-01T00:00:00"/>
    <d v="2022-12-31T00:00:00"/>
    <s v="Diesel (100% mineral diesel)"/>
    <n v="6222.72"/>
    <s v="litres"/>
    <x v="1"/>
    <m/>
    <s v="2023-04-19, 23:05"/>
    <s v="2023-07-20, 00:40"/>
    <n v="2022"/>
    <s v="diesel_100p_mineral_diesel__wtt"/>
    <s v="Diesel (100% Mineral Diesel) WTT"/>
    <s v="wtt"/>
    <b v="0"/>
    <s v="WTT- FUELS; LIQUID FUELS; DIESEL (100% MINERAL DIESEL)"/>
    <x v="1"/>
    <x v="1"/>
    <m/>
    <m/>
    <m/>
    <m/>
    <n v="0"/>
    <s v="CO2E"/>
    <n v="3912.4729729999999"/>
    <n v="0.62873999999999997"/>
    <s v="LITRES"/>
    <n v="1"/>
    <n v="6222.72"/>
    <s v="AR4"/>
    <s v="Defra"/>
    <s v="Defra (2022)"/>
    <n v="2022"/>
    <n v="2020"/>
    <n v="3.9124729729999999"/>
    <n v="0"/>
    <x v="22"/>
    <s v="Labratory"/>
  </r>
  <r>
    <n v="237485"/>
    <s v="Top of Hierarchy &gt; South America &gt; Vantage_Argentina Farm (Agrinsa)"/>
    <x v="2"/>
    <x v="0"/>
    <d v="2022-01-01T00:00:00"/>
    <d v="2022-12-31T00:00:00"/>
    <x v="1"/>
    <d v="2022-01-01T00:00:00"/>
    <d v="2022-12-31T00:00:00"/>
    <s v="Diesel (100% mineral diesel)"/>
    <n v="6222.72"/>
    <s v="litres"/>
    <x v="1"/>
    <m/>
    <s v="2023-04-19, 23:05"/>
    <s v="2023-07-20, 00:40"/>
    <n v="2022"/>
    <s v="diesel_100p_mineral_diesel__wtt"/>
    <s v="Diesel (100% Mineral Diesel) WTT"/>
    <s v="wtt"/>
    <b v="0"/>
    <s v="WTT- FUELS; LIQUID FUELS; DIESEL (100% MINERAL DIESEL)"/>
    <x v="1"/>
    <x v="1"/>
    <m/>
    <m/>
    <m/>
    <m/>
    <n v="1"/>
    <s v="CO2E"/>
    <n v="3912.4729729999999"/>
    <n v="0.62873999999999997"/>
    <s v="LITRES"/>
    <n v="1"/>
    <n v="6222.72"/>
    <s v="AR4"/>
    <s v="Defra"/>
    <s v="Defra (2022)"/>
    <n v="2022"/>
    <n v="2020"/>
    <n v="0"/>
    <n v="3.9124729729999999"/>
    <x v="22"/>
    <s v="Labratory"/>
  </r>
  <r>
    <n v="237487"/>
    <s v="Top of Hierarchy &gt; South America &gt; Vantage_Argentina Farm (Agrinsa)"/>
    <x v="2"/>
    <x v="0"/>
    <d v="2022-01-01T00:00:00"/>
    <d v="2022-12-31T00:00:00"/>
    <x v="1"/>
    <d v="2022-01-01T00:00:00"/>
    <d v="2022-12-31T00:00:00"/>
    <s v="Diesel (100% mineral diesel)"/>
    <n v="4243.66"/>
    <s v="litres"/>
    <x v="1"/>
    <m/>
    <s v="2023-04-19, 23:06"/>
    <s v="2023-07-20, 00:40"/>
    <n v="2022"/>
    <s v="diesel_100p_mineral_diesel"/>
    <s v="Diesel (100% Mineral Diesel)"/>
    <s v="model"/>
    <b v="0"/>
    <s v="FUELS; LIQUID FUELS; DIESEL (100% MINERAL DIESEL)"/>
    <x v="2"/>
    <x v="0"/>
    <m/>
    <m/>
    <m/>
    <m/>
    <n v="0"/>
    <s v="CH4"/>
    <n v="1.1033516000000001"/>
    <n v="2.5999999999999998E-4"/>
    <s v="LITRES"/>
    <n v="1"/>
    <n v="4243.66"/>
    <s v="AR4"/>
    <s v="Defra"/>
    <s v="Defra (2022)"/>
    <n v="2022"/>
    <n v="2020"/>
    <n v="0"/>
    <n v="0"/>
    <x v="22"/>
    <s v="Labratory"/>
  </r>
  <r>
    <n v="237487"/>
    <s v="Top of Hierarchy &gt; South America &gt; Vantage_Argentina Farm (Agrinsa)"/>
    <x v="2"/>
    <x v="0"/>
    <d v="2022-01-01T00:00:00"/>
    <d v="2022-12-31T00:00:00"/>
    <x v="1"/>
    <d v="2022-01-01T00:00:00"/>
    <d v="2022-12-31T00:00:00"/>
    <s v="Diesel (100% mineral diesel)"/>
    <n v="4243.66"/>
    <s v="litres"/>
    <x v="1"/>
    <m/>
    <s v="2023-04-19, 23:06"/>
    <s v="2023-07-20, 00:40"/>
    <n v="2022"/>
    <s v="diesel_100p_mineral_diesel"/>
    <s v="Diesel (100% Mineral Diesel)"/>
    <s v="model"/>
    <b v="0"/>
    <s v="FUELS; LIQUID FUELS; DIESEL (100% MINERAL DIESEL)"/>
    <x v="2"/>
    <x v="0"/>
    <m/>
    <m/>
    <m/>
    <m/>
    <n v="0"/>
    <s v="CO2"/>
    <n v="11293.822099999999"/>
    <n v="2.66134"/>
    <s v="LITRES"/>
    <n v="1"/>
    <n v="4243.66"/>
    <s v="AR4"/>
    <s v="Defra"/>
    <s v="Defra (2022)"/>
    <n v="2022"/>
    <n v="2020"/>
    <n v="0"/>
    <n v="0"/>
    <x v="22"/>
    <s v="Labratory"/>
  </r>
  <r>
    <n v="237487"/>
    <s v="Top of Hierarchy &gt; South America &gt; Vantage_Argentina Farm (Agrinsa)"/>
    <x v="2"/>
    <x v="0"/>
    <d v="2022-01-01T00:00:00"/>
    <d v="2022-12-31T00:00:00"/>
    <x v="1"/>
    <d v="2022-01-01T00:00:00"/>
    <d v="2022-12-31T00:00:00"/>
    <s v="Diesel (100% mineral diesel)"/>
    <n v="4243.66"/>
    <s v="litres"/>
    <x v="1"/>
    <m/>
    <s v="2023-04-19, 23:06"/>
    <s v="2023-07-20, 00:40"/>
    <n v="2022"/>
    <s v="diesel_100p_mineral_diesel"/>
    <s v="Diesel (100% Mineral Diesel)"/>
    <s v="model"/>
    <b v="0"/>
    <s v="FUELS; LIQUID FUELS; DIESEL (100% MINERAL DIESEL)"/>
    <x v="2"/>
    <x v="0"/>
    <m/>
    <m/>
    <m/>
    <m/>
    <n v="0"/>
    <s v="CO2E"/>
    <n v="11452.78961"/>
    <n v="2.6987999999999999"/>
    <s v="LITRES"/>
    <n v="1"/>
    <n v="4243.66"/>
    <s v="AR4"/>
    <s v="Defra"/>
    <s v="Defra (2022)"/>
    <n v="2022"/>
    <n v="2020"/>
    <n v="11.45278961"/>
    <n v="0"/>
    <x v="22"/>
    <s v="Labratory"/>
  </r>
  <r>
    <n v="237487"/>
    <s v="Top of Hierarchy &gt; South America &gt; Vantage_Argentina Farm (Agrinsa)"/>
    <x v="2"/>
    <x v="0"/>
    <d v="2022-01-01T00:00:00"/>
    <d v="2022-12-31T00:00:00"/>
    <x v="1"/>
    <d v="2022-01-01T00:00:00"/>
    <d v="2022-12-31T00:00:00"/>
    <s v="Diesel (100% mineral diesel)"/>
    <n v="4243.66"/>
    <s v="litres"/>
    <x v="1"/>
    <m/>
    <s v="2023-04-19, 23:06"/>
    <s v="2023-07-20, 00:40"/>
    <n v="2022"/>
    <s v="diesel_100p_mineral_diesel"/>
    <s v="Diesel (100% Mineral Diesel)"/>
    <s v="model"/>
    <b v="0"/>
    <s v="FUELS; LIQUID FUELS; DIESEL (100% MINERAL DIESEL)"/>
    <x v="2"/>
    <x v="0"/>
    <m/>
    <m/>
    <m/>
    <m/>
    <n v="0"/>
    <s v="N2O"/>
    <n v="157.86415199999999"/>
    <n v="3.7199999999999997E-2"/>
    <s v="LITRES"/>
    <n v="1"/>
    <n v="4243.66"/>
    <s v="AR4"/>
    <s v="Defra"/>
    <s v="Defra (2022)"/>
    <n v="2022"/>
    <n v="2020"/>
    <n v="0"/>
    <n v="0"/>
    <x v="22"/>
    <s v="Labratory"/>
  </r>
  <r>
    <n v="237487"/>
    <s v="Top of Hierarchy &gt; South America &gt; Vantage_Argentina Farm (Agrinsa)"/>
    <x v="2"/>
    <x v="0"/>
    <d v="2022-01-01T00:00:00"/>
    <d v="2022-12-31T00:00:00"/>
    <x v="1"/>
    <d v="2022-01-01T00:00:00"/>
    <d v="2022-12-31T00:00:00"/>
    <s v="Diesel (100% mineral diesel)"/>
    <n v="4243.66"/>
    <s v="litres"/>
    <x v="1"/>
    <m/>
    <s v="2023-04-19, 23:06"/>
    <s v="2023-07-20, 00:40"/>
    <n v="2022"/>
    <s v="diesel_100p_mineral_diesel"/>
    <s v="Diesel (100% Mineral Diesel)"/>
    <s v="model"/>
    <b v="0"/>
    <s v="FUELS; LIQUID FUELS; DIESEL (100% MINERAL DIESEL)"/>
    <x v="2"/>
    <x v="0"/>
    <m/>
    <m/>
    <m/>
    <m/>
    <n v="1"/>
    <s v="CH4"/>
    <n v="1.1033516000000001"/>
    <n v="2.5999999999999998E-4"/>
    <s v="LITRES"/>
    <n v="1"/>
    <n v="4243.66"/>
    <s v="AR4"/>
    <s v="Defra"/>
    <s v="Defra (2022)"/>
    <n v="2022"/>
    <n v="2020"/>
    <n v="0"/>
    <n v="0"/>
    <x v="22"/>
    <s v="Labratory"/>
  </r>
  <r>
    <n v="237487"/>
    <s v="Top of Hierarchy &gt; South America &gt; Vantage_Argentina Farm (Agrinsa)"/>
    <x v="2"/>
    <x v="0"/>
    <d v="2022-01-01T00:00:00"/>
    <d v="2022-12-31T00:00:00"/>
    <x v="1"/>
    <d v="2022-01-01T00:00:00"/>
    <d v="2022-12-31T00:00:00"/>
    <s v="Diesel (100% mineral diesel)"/>
    <n v="4243.66"/>
    <s v="litres"/>
    <x v="1"/>
    <m/>
    <s v="2023-04-19, 23:06"/>
    <s v="2023-07-20, 00:40"/>
    <n v="2022"/>
    <s v="diesel_100p_mineral_diesel"/>
    <s v="Diesel (100% Mineral Diesel)"/>
    <s v="model"/>
    <b v="0"/>
    <s v="FUELS; LIQUID FUELS; DIESEL (100% MINERAL DIESEL)"/>
    <x v="2"/>
    <x v="0"/>
    <m/>
    <m/>
    <m/>
    <m/>
    <n v="1"/>
    <s v="CO2"/>
    <n v="11293.822099999999"/>
    <n v="2.66134"/>
    <s v="LITRES"/>
    <n v="1"/>
    <n v="4243.66"/>
    <s v="AR4"/>
    <s v="Defra"/>
    <s v="Defra (2022)"/>
    <n v="2022"/>
    <n v="2020"/>
    <n v="0"/>
    <n v="0"/>
    <x v="22"/>
    <s v="Labratory"/>
  </r>
  <r>
    <n v="237487"/>
    <s v="Top of Hierarchy &gt; South America &gt; Vantage_Argentina Farm (Agrinsa)"/>
    <x v="2"/>
    <x v="0"/>
    <d v="2022-01-01T00:00:00"/>
    <d v="2022-12-31T00:00:00"/>
    <x v="1"/>
    <d v="2022-01-01T00:00:00"/>
    <d v="2022-12-31T00:00:00"/>
    <s v="Diesel (100% mineral diesel)"/>
    <n v="4243.66"/>
    <s v="litres"/>
    <x v="1"/>
    <m/>
    <s v="2023-04-19, 23:06"/>
    <s v="2023-07-20, 00:40"/>
    <n v="2022"/>
    <s v="diesel_100p_mineral_diesel"/>
    <s v="Diesel (100% Mineral Diesel)"/>
    <s v="model"/>
    <b v="0"/>
    <s v="FUELS; LIQUID FUELS; DIESEL (100% MINERAL DIESEL)"/>
    <x v="2"/>
    <x v="0"/>
    <m/>
    <m/>
    <m/>
    <m/>
    <n v="1"/>
    <s v="CO2E"/>
    <n v="11452.78961"/>
    <n v="2.6987999999999999"/>
    <s v="LITRES"/>
    <n v="1"/>
    <n v="4243.66"/>
    <s v="AR4"/>
    <s v="Defra"/>
    <s v="Defra (2022)"/>
    <n v="2022"/>
    <n v="2020"/>
    <n v="0"/>
    <n v="11.45278961"/>
    <x v="22"/>
    <s v="Labratory"/>
  </r>
  <r>
    <n v="237487"/>
    <s v="Top of Hierarchy &gt; South America &gt; Vantage_Argentina Farm (Agrinsa)"/>
    <x v="2"/>
    <x v="0"/>
    <d v="2022-01-01T00:00:00"/>
    <d v="2022-12-31T00:00:00"/>
    <x v="1"/>
    <d v="2022-01-01T00:00:00"/>
    <d v="2022-12-31T00:00:00"/>
    <s v="Diesel (100% mineral diesel)"/>
    <n v="4243.66"/>
    <s v="litres"/>
    <x v="1"/>
    <m/>
    <s v="2023-04-19, 23:06"/>
    <s v="2023-07-20, 00:40"/>
    <n v="2022"/>
    <s v="diesel_100p_mineral_diesel"/>
    <s v="Diesel (100% Mineral Diesel)"/>
    <s v="model"/>
    <b v="0"/>
    <s v="FUELS; LIQUID FUELS; DIESEL (100% MINERAL DIESEL)"/>
    <x v="2"/>
    <x v="0"/>
    <m/>
    <m/>
    <m/>
    <m/>
    <n v="1"/>
    <s v="N2O"/>
    <n v="157.86415199999999"/>
    <n v="3.7199999999999997E-2"/>
    <s v="LITRES"/>
    <n v="1"/>
    <n v="4243.66"/>
    <s v="AR4"/>
    <s v="Defra"/>
    <s v="Defra (2022)"/>
    <n v="2022"/>
    <n v="2020"/>
    <n v="0"/>
    <n v="0"/>
    <x v="22"/>
    <s v="Labratory"/>
  </r>
  <r>
    <n v="237487"/>
    <s v="Top of Hierarchy &gt; South America &gt; Vantage_Argentina Farm (Agrinsa)"/>
    <x v="2"/>
    <x v="0"/>
    <d v="2022-01-01T00:00:00"/>
    <d v="2022-12-31T00:00:00"/>
    <x v="1"/>
    <d v="2022-01-01T00:00:00"/>
    <d v="2022-12-31T00:00:00"/>
    <s v="Diesel (100% mineral diesel)"/>
    <n v="4243.66"/>
    <s v="litres"/>
    <x v="1"/>
    <m/>
    <s v="2023-04-19, 23:06"/>
    <s v="2023-07-20, 00:40"/>
    <n v="2022"/>
    <s v="diesel_100p_mineral_diesel__wtt"/>
    <s v="Diesel (100% Mineral Diesel) WTT"/>
    <s v="wtt"/>
    <b v="0"/>
    <s v="WTT- FUELS; LIQUID FUELS; DIESEL (100% MINERAL DIESEL)"/>
    <x v="1"/>
    <x v="1"/>
    <m/>
    <m/>
    <m/>
    <m/>
    <n v="0"/>
    <s v="CO2E"/>
    <n v="2668.1587880000002"/>
    <n v="0.62873999999999997"/>
    <s v="LITRES"/>
    <n v="1"/>
    <n v="4243.66"/>
    <s v="AR4"/>
    <s v="Defra"/>
    <s v="Defra (2022)"/>
    <n v="2022"/>
    <n v="2020"/>
    <n v="2.6681587880000004"/>
    <n v="0"/>
    <x v="22"/>
    <s v="Labratory"/>
  </r>
  <r>
    <n v="237487"/>
    <s v="Top of Hierarchy &gt; South America &gt; Vantage_Argentina Farm (Agrinsa)"/>
    <x v="2"/>
    <x v="0"/>
    <d v="2022-01-01T00:00:00"/>
    <d v="2022-12-31T00:00:00"/>
    <x v="1"/>
    <d v="2022-01-01T00:00:00"/>
    <d v="2022-12-31T00:00:00"/>
    <s v="Diesel (100% mineral diesel)"/>
    <n v="4243.66"/>
    <s v="litres"/>
    <x v="1"/>
    <m/>
    <s v="2023-04-19, 23:06"/>
    <s v="2023-07-20, 00:40"/>
    <n v="2022"/>
    <s v="diesel_100p_mineral_diesel__wtt"/>
    <s v="Diesel (100% Mineral Diesel) WTT"/>
    <s v="wtt"/>
    <b v="0"/>
    <s v="WTT- FUELS; LIQUID FUELS; DIESEL (100% MINERAL DIESEL)"/>
    <x v="1"/>
    <x v="1"/>
    <m/>
    <m/>
    <m/>
    <m/>
    <n v="1"/>
    <s v="CO2E"/>
    <n v="2668.1587880000002"/>
    <n v="0.62873999999999997"/>
    <s v="LITRES"/>
    <n v="1"/>
    <n v="4243.66"/>
    <s v="AR4"/>
    <s v="Defra"/>
    <s v="Defra (2022)"/>
    <n v="2022"/>
    <n v="2020"/>
    <n v="0"/>
    <n v="2.6681587880000004"/>
    <x v="22"/>
    <s v="Labratory"/>
  </r>
  <r>
    <n v="237489"/>
    <s v="Top of Hierarchy &gt; South America &gt; Vantage_Argentina Farm (Agrinsa)"/>
    <x v="2"/>
    <x v="0"/>
    <d v="2022-01-01T00:00:00"/>
    <d v="2022-12-31T00:00:00"/>
    <x v="1"/>
    <d v="2022-01-01T00:00:00"/>
    <d v="2022-12-31T00:00:00"/>
    <s v="Petrol (100% mineral petrol)"/>
    <n v="3242.25"/>
    <s v="litres"/>
    <x v="1"/>
    <m/>
    <s v="2023-04-19, 23:07"/>
    <s v="2023-07-20, 00:40"/>
    <n v="2022"/>
    <s v="petrol_100p_mineral_petrol"/>
    <s v="Petrol (100% Mineral Petrol)"/>
    <s v="model"/>
    <b v="0"/>
    <s v="FUELS; LIQUID FUELS; PETROL (100% MINERAL PETROL)"/>
    <x v="2"/>
    <x v="0"/>
    <m/>
    <m/>
    <m/>
    <m/>
    <n v="0"/>
    <s v="CH4"/>
    <n v="23.733270000000001"/>
    <n v="7.3200000000000001E-3"/>
    <s v="LITRES"/>
    <n v="1"/>
    <n v="3242.25"/>
    <s v="AR4"/>
    <s v="Defra"/>
    <s v="Defra (2022)"/>
    <n v="2022"/>
    <n v="2020"/>
    <n v="0"/>
    <n v="0"/>
    <x v="22"/>
    <s v="Labratory"/>
  </r>
  <r>
    <n v="237489"/>
    <s v="Top of Hierarchy &gt; South America &gt; Vantage_Argentina Farm (Agrinsa)"/>
    <x v="2"/>
    <x v="0"/>
    <d v="2022-01-01T00:00:00"/>
    <d v="2022-12-31T00:00:00"/>
    <x v="1"/>
    <d v="2022-01-01T00:00:00"/>
    <d v="2022-12-31T00:00:00"/>
    <s v="Petrol (100% mineral petrol)"/>
    <n v="3242.25"/>
    <s v="litres"/>
    <x v="1"/>
    <m/>
    <s v="2023-04-19, 23:07"/>
    <s v="2023-07-20, 00:40"/>
    <n v="2022"/>
    <s v="petrol_100p_mineral_petrol"/>
    <s v="Petrol (100% Mineral Petrol)"/>
    <s v="model"/>
    <b v="0"/>
    <s v="FUELS; LIQUID FUELS; PETROL (100% MINERAL PETROL)"/>
    <x v="2"/>
    <x v="0"/>
    <m/>
    <m/>
    <m/>
    <m/>
    <n v="0"/>
    <s v="CO2"/>
    <n v="7540.403558"/>
    <n v="2.3256700000000001"/>
    <s v="LITRES"/>
    <n v="1"/>
    <n v="3242.25"/>
    <s v="AR4"/>
    <s v="Defra"/>
    <s v="Defra (2022)"/>
    <n v="2022"/>
    <n v="2020"/>
    <n v="0"/>
    <n v="0"/>
    <x v="22"/>
    <s v="Labratory"/>
  </r>
  <r>
    <n v="237489"/>
    <s v="Top of Hierarchy &gt; South America &gt; Vantage_Argentina Farm (Agrinsa)"/>
    <x v="2"/>
    <x v="0"/>
    <d v="2022-01-01T00:00:00"/>
    <d v="2022-12-31T00:00:00"/>
    <x v="1"/>
    <d v="2022-01-01T00:00:00"/>
    <d v="2022-12-31T00:00:00"/>
    <s v="Petrol (100% mineral petrol)"/>
    <n v="3242.25"/>
    <s v="litres"/>
    <x v="1"/>
    <m/>
    <s v="2023-04-19, 23:07"/>
    <s v="2023-07-20, 00:40"/>
    <n v="2022"/>
    <s v="petrol_100p_mineral_petrol"/>
    <s v="Petrol (100% Mineral Petrol)"/>
    <s v="model"/>
    <b v="0"/>
    <s v="FUELS; LIQUID FUELS; PETROL (100% MINERAL PETROL)"/>
    <x v="2"/>
    <x v="0"/>
    <m/>
    <m/>
    <m/>
    <m/>
    <n v="0"/>
    <s v="CO2E"/>
    <n v="7585.8923249999998"/>
    <n v="2.3397000000000001"/>
    <s v="LITRES"/>
    <n v="1"/>
    <n v="3242.25"/>
    <s v="AR4"/>
    <s v="Defra"/>
    <s v="Defra (2022)"/>
    <n v="2022"/>
    <n v="2020"/>
    <n v="7.5858923249999997"/>
    <n v="0"/>
    <x v="22"/>
    <s v="Labratory"/>
  </r>
  <r>
    <n v="237489"/>
    <s v="Top of Hierarchy &gt; South America &gt; Vantage_Argentina Farm (Agrinsa)"/>
    <x v="2"/>
    <x v="0"/>
    <d v="2022-01-01T00:00:00"/>
    <d v="2022-12-31T00:00:00"/>
    <x v="1"/>
    <d v="2022-01-01T00:00:00"/>
    <d v="2022-12-31T00:00:00"/>
    <s v="Petrol (100% mineral petrol)"/>
    <n v="3242.25"/>
    <s v="litres"/>
    <x v="1"/>
    <m/>
    <s v="2023-04-19, 23:07"/>
    <s v="2023-07-20, 00:40"/>
    <n v="2022"/>
    <s v="petrol_100p_mineral_petrol"/>
    <s v="Petrol (100% Mineral Petrol)"/>
    <s v="model"/>
    <b v="0"/>
    <s v="FUELS; LIQUID FUELS; PETROL (100% MINERAL PETROL)"/>
    <x v="2"/>
    <x v="0"/>
    <m/>
    <m/>
    <m/>
    <m/>
    <n v="0"/>
    <s v="N2O"/>
    <n v="21.755497500000001"/>
    <n v="6.7099999999999998E-3"/>
    <s v="LITRES"/>
    <n v="1"/>
    <n v="3242.25"/>
    <s v="AR4"/>
    <s v="Defra"/>
    <s v="Defra (2022)"/>
    <n v="2022"/>
    <n v="2020"/>
    <n v="0"/>
    <n v="0"/>
    <x v="22"/>
    <s v="Labratory"/>
  </r>
  <r>
    <n v="237489"/>
    <s v="Top of Hierarchy &gt; South America &gt; Vantage_Argentina Farm (Agrinsa)"/>
    <x v="2"/>
    <x v="0"/>
    <d v="2022-01-01T00:00:00"/>
    <d v="2022-12-31T00:00:00"/>
    <x v="1"/>
    <d v="2022-01-01T00:00:00"/>
    <d v="2022-12-31T00:00:00"/>
    <s v="Petrol (100% mineral petrol)"/>
    <n v="3242.25"/>
    <s v="litres"/>
    <x v="1"/>
    <m/>
    <s v="2023-04-19, 23:07"/>
    <s v="2023-07-20, 00:40"/>
    <n v="2022"/>
    <s v="petrol_100p_mineral_petrol"/>
    <s v="Petrol (100% Mineral Petrol)"/>
    <s v="model"/>
    <b v="0"/>
    <s v="FUELS; LIQUID FUELS; PETROL (100% MINERAL PETROL)"/>
    <x v="2"/>
    <x v="0"/>
    <m/>
    <m/>
    <m/>
    <m/>
    <n v="1"/>
    <s v="CH4"/>
    <n v="23.733270000000001"/>
    <n v="7.3200000000000001E-3"/>
    <s v="LITRES"/>
    <n v="1"/>
    <n v="3242.25"/>
    <s v="AR4"/>
    <s v="Defra"/>
    <s v="Defra (2022)"/>
    <n v="2022"/>
    <n v="2020"/>
    <n v="0"/>
    <n v="0"/>
    <x v="22"/>
    <s v="Labratory"/>
  </r>
  <r>
    <n v="237489"/>
    <s v="Top of Hierarchy &gt; South America &gt; Vantage_Argentina Farm (Agrinsa)"/>
    <x v="2"/>
    <x v="0"/>
    <d v="2022-01-01T00:00:00"/>
    <d v="2022-12-31T00:00:00"/>
    <x v="1"/>
    <d v="2022-01-01T00:00:00"/>
    <d v="2022-12-31T00:00:00"/>
    <s v="Petrol (100% mineral petrol)"/>
    <n v="3242.25"/>
    <s v="litres"/>
    <x v="1"/>
    <m/>
    <s v="2023-04-19, 23:07"/>
    <s v="2023-07-20, 00:40"/>
    <n v="2022"/>
    <s v="petrol_100p_mineral_petrol"/>
    <s v="Petrol (100% Mineral Petrol)"/>
    <s v="model"/>
    <b v="0"/>
    <s v="FUELS; LIQUID FUELS; PETROL (100% MINERAL PETROL)"/>
    <x v="2"/>
    <x v="0"/>
    <m/>
    <m/>
    <m/>
    <m/>
    <n v="1"/>
    <s v="CO2"/>
    <n v="7540.403558"/>
    <n v="2.3256700000000001"/>
    <s v="LITRES"/>
    <n v="1"/>
    <n v="3242.25"/>
    <s v="AR4"/>
    <s v="Defra"/>
    <s v="Defra (2022)"/>
    <n v="2022"/>
    <n v="2020"/>
    <n v="0"/>
    <n v="0"/>
    <x v="22"/>
    <s v="Labratory"/>
  </r>
  <r>
    <n v="237489"/>
    <s v="Top of Hierarchy &gt; South America &gt; Vantage_Argentina Farm (Agrinsa)"/>
    <x v="2"/>
    <x v="0"/>
    <d v="2022-01-01T00:00:00"/>
    <d v="2022-12-31T00:00:00"/>
    <x v="1"/>
    <d v="2022-01-01T00:00:00"/>
    <d v="2022-12-31T00:00:00"/>
    <s v="Petrol (100% mineral petrol)"/>
    <n v="3242.25"/>
    <s v="litres"/>
    <x v="1"/>
    <m/>
    <s v="2023-04-19, 23:07"/>
    <s v="2023-07-20, 00:40"/>
    <n v="2022"/>
    <s v="petrol_100p_mineral_petrol"/>
    <s v="Petrol (100% Mineral Petrol)"/>
    <s v="model"/>
    <b v="0"/>
    <s v="FUELS; LIQUID FUELS; PETROL (100% MINERAL PETROL)"/>
    <x v="2"/>
    <x v="0"/>
    <m/>
    <m/>
    <m/>
    <m/>
    <n v="1"/>
    <s v="CO2E"/>
    <n v="7585.8923249999998"/>
    <n v="2.3397000000000001"/>
    <s v="LITRES"/>
    <n v="1"/>
    <n v="3242.25"/>
    <s v="AR4"/>
    <s v="Defra"/>
    <s v="Defra (2022)"/>
    <n v="2022"/>
    <n v="2020"/>
    <n v="0"/>
    <n v="7.5858923249999997"/>
    <x v="22"/>
    <s v="Labratory"/>
  </r>
  <r>
    <n v="237489"/>
    <s v="Top of Hierarchy &gt; South America &gt; Vantage_Argentina Farm (Agrinsa)"/>
    <x v="2"/>
    <x v="0"/>
    <d v="2022-01-01T00:00:00"/>
    <d v="2022-12-31T00:00:00"/>
    <x v="1"/>
    <d v="2022-01-01T00:00:00"/>
    <d v="2022-12-31T00:00:00"/>
    <s v="Petrol (100% mineral petrol)"/>
    <n v="3242.25"/>
    <s v="litres"/>
    <x v="1"/>
    <m/>
    <s v="2023-04-19, 23:07"/>
    <s v="2023-07-20, 00:40"/>
    <n v="2022"/>
    <s v="petrol_100p_mineral_petrol"/>
    <s v="Petrol (100% Mineral Petrol)"/>
    <s v="model"/>
    <b v="0"/>
    <s v="FUELS; LIQUID FUELS; PETROL (100% MINERAL PETROL)"/>
    <x v="2"/>
    <x v="0"/>
    <m/>
    <m/>
    <m/>
    <m/>
    <n v="1"/>
    <s v="N2O"/>
    <n v="21.755497500000001"/>
    <n v="6.7099999999999998E-3"/>
    <s v="LITRES"/>
    <n v="1"/>
    <n v="3242.25"/>
    <s v="AR4"/>
    <s v="Defra"/>
    <s v="Defra (2022)"/>
    <n v="2022"/>
    <n v="2020"/>
    <n v="0"/>
    <n v="0"/>
    <x v="22"/>
    <s v="Labratory"/>
  </r>
  <r>
    <n v="237489"/>
    <s v="Top of Hierarchy &gt; South America &gt; Vantage_Argentina Farm (Agrinsa)"/>
    <x v="2"/>
    <x v="0"/>
    <d v="2022-01-01T00:00:00"/>
    <d v="2022-12-31T00:00:00"/>
    <x v="1"/>
    <d v="2022-01-01T00:00:00"/>
    <d v="2022-12-31T00:00:00"/>
    <s v="Petrol (100% mineral petrol)"/>
    <n v="3242.25"/>
    <s v="litres"/>
    <x v="1"/>
    <m/>
    <s v="2023-04-19, 23:07"/>
    <s v="2023-07-20, 00:40"/>
    <n v="2022"/>
    <s v="petrol_100p_mineral_petrol__wtt"/>
    <s v="Petrol (100% Mineral Petrol) WTT"/>
    <s v="wtt"/>
    <b v="0"/>
    <s v="WTT- FUELS; LIQUID FUELS; PETROL (100% MINERAL PETROL)"/>
    <x v="1"/>
    <x v="1"/>
    <m/>
    <m/>
    <m/>
    <m/>
    <n v="0"/>
    <s v="CO2E"/>
    <n v="1954.525568"/>
    <n v="0.60282999999999998"/>
    <s v="LITRES"/>
    <n v="1"/>
    <n v="3242.25"/>
    <s v="AR4"/>
    <s v="Defra"/>
    <s v="Defra (2022)"/>
    <n v="2022"/>
    <n v="2020"/>
    <n v="1.954525568"/>
    <n v="0"/>
    <x v="22"/>
    <s v="Labratory"/>
  </r>
  <r>
    <n v="237489"/>
    <s v="Top of Hierarchy &gt; South America &gt; Vantage_Argentina Farm (Agrinsa)"/>
    <x v="2"/>
    <x v="0"/>
    <d v="2022-01-01T00:00:00"/>
    <d v="2022-12-31T00:00:00"/>
    <x v="1"/>
    <d v="2022-01-01T00:00:00"/>
    <d v="2022-12-31T00:00:00"/>
    <s v="Petrol (100% mineral petrol)"/>
    <n v="3242.25"/>
    <s v="litres"/>
    <x v="1"/>
    <m/>
    <s v="2023-04-19, 23:07"/>
    <s v="2023-07-20, 00:40"/>
    <n v="2022"/>
    <s v="petrol_100p_mineral_petrol__wtt"/>
    <s v="Petrol (100% Mineral Petrol) WTT"/>
    <s v="wtt"/>
    <b v="0"/>
    <s v="WTT- FUELS; LIQUID FUELS; PETROL (100% MINERAL PETROL)"/>
    <x v="1"/>
    <x v="1"/>
    <m/>
    <m/>
    <m/>
    <m/>
    <n v="1"/>
    <s v="CO2E"/>
    <n v="1954.525568"/>
    <n v="0.60282999999999998"/>
    <s v="LITRES"/>
    <n v="1"/>
    <n v="3242.25"/>
    <s v="AR4"/>
    <s v="Defra"/>
    <s v="Defra (2022)"/>
    <n v="2022"/>
    <n v="2020"/>
    <n v="0"/>
    <n v="1.954525568"/>
    <x v="22"/>
    <s v="Labratory"/>
  </r>
  <r>
    <n v="237491"/>
    <s v="Top of Hierarchy &gt; South America &gt; Vantage_Argentina Farm (Agrinsa)"/>
    <x v="2"/>
    <x v="0"/>
    <d v="2022-01-01T00:00:00"/>
    <d v="2022-12-31T00:00:00"/>
    <x v="1"/>
    <d v="2022-01-01T00:00:00"/>
    <d v="2022-12-31T00:00:00"/>
    <s v="Petrol (100% mineral petrol)"/>
    <n v="8504.4500000000007"/>
    <s v="litres"/>
    <x v="1"/>
    <m/>
    <s v="2023-04-19, 23:08"/>
    <s v="2023-07-20, 00:40"/>
    <n v="2022"/>
    <s v="petrol_100p_mineral_petrol"/>
    <s v="Petrol (100% Mineral Petrol)"/>
    <s v="model"/>
    <b v="0"/>
    <s v="FUELS; LIQUID FUELS; PETROL (100% MINERAL PETROL)"/>
    <x v="2"/>
    <x v="0"/>
    <m/>
    <m/>
    <m/>
    <m/>
    <n v="0"/>
    <s v="CH4"/>
    <n v="62.252574000000003"/>
    <n v="7.3200000000000001E-3"/>
    <s v="LITRES"/>
    <n v="1"/>
    <n v="8504.4500000000007"/>
    <s v="AR4"/>
    <s v="Defra"/>
    <s v="Defra (2022)"/>
    <n v="2022"/>
    <n v="2020"/>
    <n v="0"/>
    <n v="0"/>
    <x v="22"/>
    <s v="Labratory"/>
  </r>
  <r>
    <n v="237491"/>
    <s v="Top of Hierarchy &gt; South America &gt; Vantage_Argentina Farm (Agrinsa)"/>
    <x v="2"/>
    <x v="0"/>
    <d v="2022-01-01T00:00:00"/>
    <d v="2022-12-31T00:00:00"/>
    <x v="1"/>
    <d v="2022-01-01T00:00:00"/>
    <d v="2022-12-31T00:00:00"/>
    <s v="Petrol (100% mineral petrol)"/>
    <n v="8504.4500000000007"/>
    <s v="litres"/>
    <x v="1"/>
    <m/>
    <s v="2023-04-19, 23:08"/>
    <s v="2023-07-20, 00:40"/>
    <n v="2022"/>
    <s v="petrol_100p_mineral_petrol"/>
    <s v="Petrol (100% Mineral Petrol)"/>
    <s v="model"/>
    <b v="0"/>
    <s v="FUELS; LIQUID FUELS; PETROL (100% MINERAL PETROL)"/>
    <x v="2"/>
    <x v="0"/>
    <m/>
    <m/>
    <m/>
    <m/>
    <n v="0"/>
    <s v="CO2"/>
    <n v="19778.54423"/>
    <n v="2.3256700000000001"/>
    <s v="LITRES"/>
    <n v="1"/>
    <n v="8504.4500000000007"/>
    <s v="AR4"/>
    <s v="Defra"/>
    <s v="Defra (2022)"/>
    <n v="2022"/>
    <n v="2020"/>
    <n v="0"/>
    <n v="0"/>
    <x v="22"/>
    <s v="Labratory"/>
  </r>
  <r>
    <n v="237491"/>
    <s v="Top of Hierarchy &gt; South America &gt; Vantage_Argentina Farm (Agrinsa)"/>
    <x v="2"/>
    <x v="0"/>
    <d v="2022-01-01T00:00:00"/>
    <d v="2022-12-31T00:00:00"/>
    <x v="1"/>
    <d v="2022-01-01T00:00:00"/>
    <d v="2022-12-31T00:00:00"/>
    <s v="Petrol (100% mineral petrol)"/>
    <n v="8504.4500000000007"/>
    <s v="litres"/>
    <x v="1"/>
    <m/>
    <s v="2023-04-19, 23:08"/>
    <s v="2023-07-20, 00:40"/>
    <n v="2022"/>
    <s v="petrol_100p_mineral_petrol"/>
    <s v="Petrol (100% Mineral Petrol)"/>
    <s v="model"/>
    <b v="0"/>
    <s v="FUELS; LIQUID FUELS; PETROL (100% MINERAL PETROL)"/>
    <x v="2"/>
    <x v="0"/>
    <m/>
    <m/>
    <m/>
    <m/>
    <n v="0"/>
    <s v="CO2E"/>
    <n v="19897.861669999998"/>
    <n v="2.3397000000000001"/>
    <s v="LITRES"/>
    <n v="1"/>
    <n v="8504.4500000000007"/>
    <s v="AR4"/>
    <s v="Defra"/>
    <s v="Defra (2022)"/>
    <n v="2022"/>
    <n v="2020"/>
    <n v="19.897861669999998"/>
    <n v="0"/>
    <x v="22"/>
    <s v="Labratory"/>
  </r>
  <r>
    <n v="237491"/>
    <s v="Top of Hierarchy &gt; South America &gt; Vantage_Argentina Farm (Agrinsa)"/>
    <x v="2"/>
    <x v="0"/>
    <d v="2022-01-01T00:00:00"/>
    <d v="2022-12-31T00:00:00"/>
    <x v="1"/>
    <d v="2022-01-01T00:00:00"/>
    <d v="2022-12-31T00:00:00"/>
    <s v="Petrol (100% mineral petrol)"/>
    <n v="8504.4500000000007"/>
    <s v="litres"/>
    <x v="1"/>
    <m/>
    <s v="2023-04-19, 23:08"/>
    <s v="2023-07-20, 00:40"/>
    <n v="2022"/>
    <s v="petrol_100p_mineral_petrol"/>
    <s v="Petrol (100% Mineral Petrol)"/>
    <s v="model"/>
    <b v="0"/>
    <s v="FUELS; LIQUID FUELS; PETROL (100% MINERAL PETROL)"/>
    <x v="2"/>
    <x v="0"/>
    <m/>
    <m/>
    <m/>
    <m/>
    <n v="0"/>
    <s v="N2O"/>
    <n v="57.064859499999997"/>
    <n v="6.7099999999999998E-3"/>
    <s v="LITRES"/>
    <n v="1"/>
    <n v="8504.4500000000007"/>
    <s v="AR4"/>
    <s v="Defra"/>
    <s v="Defra (2022)"/>
    <n v="2022"/>
    <n v="2020"/>
    <n v="0"/>
    <n v="0"/>
    <x v="22"/>
    <s v="Labratory"/>
  </r>
  <r>
    <n v="237491"/>
    <s v="Top of Hierarchy &gt; South America &gt; Vantage_Argentina Farm (Agrinsa)"/>
    <x v="2"/>
    <x v="0"/>
    <d v="2022-01-01T00:00:00"/>
    <d v="2022-12-31T00:00:00"/>
    <x v="1"/>
    <d v="2022-01-01T00:00:00"/>
    <d v="2022-12-31T00:00:00"/>
    <s v="Petrol (100% mineral petrol)"/>
    <n v="8504.4500000000007"/>
    <s v="litres"/>
    <x v="1"/>
    <m/>
    <s v="2023-04-19, 23:08"/>
    <s v="2023-07-20, 00:40"/>
    <n v="2022"/>
    <s v="petrol_100p_mineral_petrol"/>
    <s v="Petrol (100% Mineral Petrol)"/>
    <s v="model"/>
    <b v="0"/>
    <s v="FUELS; LIQUID FUELS; PETROL (100% MINERAL PETROL)"/>
    <x v="2"/>
    <x v="0"/>
    <m/>
    <m/>
    <m/>
    <m/>
    <n v="1"/>
    <s v="CH4"/>
    <n v="62.252574000000003"/>
    <n v="7.3200000000000001E-3"/>
    <s v="LITRES"/>
    <n v="1"/>
    <n v="8504.4500000000007"/>
    <s v="AR4"/>
    <s v="Defra"/>
    <s v="Defra (2022)"/>
    <n v="2022"/>
    <n v="2020"/>
    <n v="0"/>
    <n v="0"/>
    <x v="22"/>
    <s v="Labratory"/>
  </r>
  <r>
    <n v="237491"/>
    <s v="Top of Hierarchy &gt; South America &gt; Vantage_Argentina Farm (Agrinsa)"/>
    <x v="2"/>
    <x v="0"/>
    <d v="2022-01-01T00:00:00"/>
    <d v="2022-12-31T00:00:00"/>
    <x v="1"/>
    <d v="2022-01-01T00:00:00"/>
    <d v="2022-12-31T00:00:00"/>
    <s v="Petrol (100% mineral petrol)"/>
    <n v="8504.4500000000007"/>
    <s v="litres"/>
    <x v="1"/>
    <m/>
    <s v="2023-04-19, 23:08"/>
    <s v="2023-07-20, 00:40"/>
    <n v="2022"/>
    <s v="petrol_100p_mineral_petrol"/>
    <s v="Petrol (100% Mineral Petrol)"/>
    <s v="model"/>
    <b v="0"/>
    <s v="FUELS; LIQUID FUELS; PETROL (100% MINERAL PETROL)"/>
    <x v="2"/>
    <x v="0"/>
    <m/>
    <m/>
    <m/>
    <m/>
    <n v="1"/>
    <s v="CO2"/>
    <n v="19778.54423"/>
    <n v="2.3256700000000001"/>
    <s v="LITRES"/>
    <n v="1"/>
    <n v="8504.4500000000007"/>
    <s v="AR4"/>
    <s v="Defra"/>
    <s v="Defra (2022)"/>
    <n v="2022"/>
    <n v="2020"/>
    <n v="0"/>
    <n v="0"/>
    <x v="22"/>
    <s v="Labratory"/>
  </r>
  <r>
    <n v="237491"/>
    <s v="Top of Hierarchy &gt; South America &gt; Vantage_Argentina Farm (Agrinsa)"/>
    <x v="2"/>
    <x v="0"/>
    <d v="2022-01-01T00:00:00"/>
    <d v="2022-12-31T00:00:00"/>
    <x v="1"/>
    <d v="2022-01-01T00:00:00"/>
    <d v="2022-12-31T00:00:00"/>
    <s v="Petrol (100% mineral petrol)"/>
    <n v="8504.4500000000007"/>
    <s v="litres"/>
    <x v="1"/>
    <m/>
    <s v="2023-04-19, 23:08"/>
    <s v="2023-07-20, 00:40"/>
    <n v="2022"/>
    <s v="petrol_100p_mineral_petrol"/>
    <s v="Petrol (100% Mineral Petrol)"/>
    <s v="model"/>
    <b v="0"/>
    <s v="FUELS; LIQUID FUELS; PETROL (100% MINERAL PETROL)"/>
    <x v="2"/>
    <x v="0"/>
    <m/>
    <m/>
    <m/>
    <m/>
    <n v="1"/>
    <s v="CO2E"/>
    <n v="19897.861669999998"/>
    <n v="2.3397000000000001"/>
    <s v="LITRES"/>
    <n v="1"/>
    <n v="8504.4500000000007"/>
    <s v="AR4"/>
    <s v="Defra"/>
    <s v="Defra (2022)"/>
    <n v="2022"/>
    <n v="2020"/>
    <n v="0"/>
    <n v="19.897861669999998"/>
    <x v="22"/>
    <s v="Labratory"/>
  </r>
  <r>
    <n v="237491"/>
    <s v="Top of Hierarchy &gt; South America &gt; Vantage_Argentina Farm (Agrinsa)"/>
    <x v="2"/>
    <x v="0"/>
    <d v="2022-01-01T00:00:00"/>
    <d v="2022-12-31T00:00:00"/>
    <x v="1"/>
    <d v="2022-01-01T00:00:00"/>
    <d v="2022-12-31T00:00:00"/>
    <s v="Petrol (100% mineral petrol)"/>
    <n v="8504.4500000000007"/>
    <s v="litres"/>
    <x v="1"/>
    <m/>
    <s v="2023-04-19, 23:08"/>
    <s v="2023-07-20, 00:40"/>
    <n v="2022"/>
    <s v="petrol_100p_mineral_petrol"/>
    <s v="Petrol (100% Mineral Petrol)"/>
    <s v="model"/>
    <b v="0"/>
    <s v="FUELS; LIQUID FUELS; PETROL (100% MINERAL PETROL)"/>
    <x v="2"/>
    <x v="0"/>
    <m/>
    <m/>
    <m/>
    <m/>
    <n v="1"/>
    <s v="N2O"/>
    <n v="57.064859499999997"/>
    <n v="6.7099999999999998E-3"/>
    <s v="LITRES"/>
    <n v="1"/>
    <n v="8504.4500000000007"/>
    <s v="AR4"/>
    <s v="Defra"/>
    <s v="Defra (2022)"/>
    <n v="2022"/>
    <n v="2020"/>
    <n v="0"/>
    <n v="0"/>
    <x v="22"/>
    <s v="Labratory"/>
  </r>
  <r>
    <n v="237491"/>
    <s v="Top of Hierarchy &gt; South America &gt; Vantage_Argentina Farm (Agrinsa)"/>
    <x v="2"/>
    <x v="0"/>
    <d v="2022-01-01T00:00:00"/>
    <d v="2022-12-31T00:00:00"/>
    <x v="1"/>
    <d v="2022-01-01T00:00:00"/>
    <d v="2022-12-31T00:00:00"/>
    <s v="Petrol (100% mineral petrol)"/>
    <n v="8504.4500000000007"/>
    <s v="litres"/>
    <x v="1"/>
    <m/>
    <s v="2023-04-19, 23:08"/>
    <s v="2023-07-20, 00:40"/>
    <n v="2022"/>
    <s v="petrol_100p_mineral_petrol__wtt"/>
    <s v="Petrol (100% Mineral Petrol) WTT"/>
    <s v="wtt"/>
    <b v="0"/>
    <s v="WTT- FUELS; LIQUID FUELS; PETROL (100% MINERAL PETROL)"/>
    <x v="1"/>
    <x v="1"/>
    <m/>
    <m/>
    <m/>
    <m/>
    <n v="0"/>
    <s v="CO2E"/>
    <n v="5126.7375940000002"/>
    <n v="0.60282999999999998"/>
    <s v="LITRES"/>
    <n v="1"/>
    <n v="8504.4500000000007"/>
    <s v="AR4"/>
    <s v="Defra"/>
    <s v="Defra (2022)"/>
    <n v="2022"/>
    <n v="2020"/>
    <n v="5.1267375939999997"/>
    <n v="0"/>
    <x v="22"/>
    <s v="Labratory"/>
  </r>
  <r>
    <n v="237491"/>
    <s v="Top of Hierarchy &gt; South America &gt; Vantage_Argentina Farm (Agrinsa)"/>
    <x v="2"/>
    <x v="0"/>
    <d v="2022-01-01T00:00:00"/>
    <d v="2022-12-31T00:00:00"/>
    <x v="1"/>
    <d v="2022-01-01T00:00:00"/>
    <d v="2022-12-31T00:00:00"/>
    <s v="Petrol (100% mineral petrol)"/>
    <n v="8504.4500000000007"/>
    <s v="litres"/>
    <x v="1"/>
    <m/>
    <s v="2023-04-19, 23:08"/>
    <s v="2023-07-20, 00:40"/>
    <n v="2022"/>
    <s v="petrol_100p_mineral_petrol__wtt"/>
    <s v="Petrol (100% Mineral Petrol) WTT"/>
    <s v="wtt"/>
    <b v="0"/>
    <s v="WTT- FUELS; LIQUID FUELS; PETROL (100% MINERAL PETROL)"/>
    <x v="1"/>
    <x v="1"/>
    <m/>
    <m/>
    <m/>
    <m/>
    <n v="1"/>
    <s v="CO2E"/>
    <n v="5126.7375940000002"/>
    <n v="0.60282999999999998"/>
    <s v="LITRES"/>
    <n v="1"/>
    <n v="8504.4500000000007"/>
    <s v="AR4"/>
    <s v="Defra"/>
    <s v="Defra (2022)"/>
    <n v="2022"/>
    <n v="2020"/>
    <n v="0"/>
    <n v="5.1267375939999997"/>
    <x v="22"/>
    <s v="Labratory"/>
  </r>
  <r>
    <n v="237493"/>
    <s v="Top of Hierarchy &gt; South America &gt; Vantage_Argentina Farm (Agrinsa)"/>
    <x v="2"/>
    <x v="0"/>
    <d v="2022-01-01T00:00:00"/>
    <d v="2022-12-31T00:00:00"/>
    <x v="1"/>
    <d v="2022-01-01T00:00:00"/>
    <d v="2022-12-31T00:00:00"/>
    <s v="Petrol (100% mineral petrol)"/>
    <n v="116.31"/>
    <s v="litres"/>
    <x v="1"/>
    <m/>
    <s v="2023-04-19, 23:08"/>
    <s v="2023-07-20, 00:40"/>
    <n v="2022"/>
    <s v="petrol_100p_mineral_petrol"/>
    <s v="Petrol (100% Mineral Petrol)"/>
    <s v="model"/>
    <b v="0"/>
    <s v="FUELS; LIQUID FUELS; PETROL (100% MINERAL PETROL)"/>
    <x v="2"/>
    <x v="0"/>
    <m/>
    <m/>
    <m/>
    <m/>
    <n v="0"/>
    <s v="CH4"/>
    <n v="0.85138919999999996"/>
    <n v="7.3200000000000001E-3"/>
    <s v="LITRES"/>
    <n v="1"/>
    <n v="116.31"/>
    <s v="AR4"/>
    <s v="Defra"/>
    <s v="Defra (2022)"/>
    <n v="2022"/>
    <n v="2020"/>
    <n v="0"/>
    <n v="0"/>
    <x v="22"/>
    <s v="Labratory"/>
  </r>
  <r>
    <n v="237493"/>
    <s v="Top of Hierarchy &gt; South America &gt; Vantage_Argentina Farm (Agrinsa)"/>
    <x v="2"/>
    <x v="0"/>
    <d v="2022-01-01T00:00:00"/>
    <d v="2022-12-31T00:00:00"/>
    <x v="1"/>
    <d v="2022-01-01T00:00:00"/>
    <d v="2022-12-31T00:00:00"/>
    <s v="Petrol (100% mineral petrol)"/>
    <n v="116.31"/>
    <s v="litres"/>
    <x v="1"/>
    <m/>
    <s v="2023-04-19, 23:08"/>
    <s v="2023-07-20, 00:40"/>
    <n v="2022"/>
    <s v="petrol_100p_mineral_petrol"/>
    <s v="Petrol (100% Mineral Petrol)"/>
    <s v="model"/>
    <b v="0"/>
    <s v="FUELS; LIQUID FUELS; PETROL (100% MINERAL PETROL)"/>
    <x v="2"/>
    <x v="0"/>
    <m/>
    <m/>
    <m/>
    <m/>
    <n v="0"/>
    <s v="CO2"/>
    <n v="270.49867769999997"/>
    <n v="2.3256700000000001"/>
    <s v="LITRES"/>
    <n v="1"/>
    <n v="116.31"/>
    <s v="AR4"/>
    <s v="Defra"/>
    <s v="Defra (2022)"/>
    <n v="2022"/>
    <n v="2020"/>
    <n v="0"/>
    <n v="0"/>
    <x v="22"/>
    <s v="Labratory"/>
  </r>
  <r>
    <n v="237493"/>
    <s v="Top of Hierarchy &gt; South America &gt; Vantage_Argentina Farm (Agrinsa)"/>
    <x v="2"/>
    <x v="0"/>
    <d v="2022-01-01T00:00:00"/>
    <d v="2022-12-31T00:00:00"/>
    <x v="1"/>
    <d v="2022-01-01T00:00:00"/>
    <d v="2022-12-31T00:00:00"/>
    <s v="Petrol (100% mineral petrol)"/>
    <n v="116.31"/>
    <s v="litres"/>
    <x v="1"/>
    <m/>
    <s v="2023-04-19, 23:08"/>
    <s v="2023-07-20, 00:40"/>
    <n v="2022"/>
    <s v="petrol_100p_mineral_petrol"/>
    <s v="Petrol (100% Mineral Petrol)"/>
    <s v="model"/>
    <b v="0"/>
    <s v="FUELS; LIQUID FUELS; PETROL (100% MINERAL PETROL)"/>
    <x v="2"/>
    <x v="0"/>
    <m/>
    <m/>
    <m/>
    <m/>
    <n v="0"/>
    <s v="CO2E"/>
    <n v="272.13050700000002"/>
    <n v="2.3397000000000001"/>
    <s v="LITRES"/>
    <n v="1"/>
    <n v="116.31"/>
    <s v="AR4"/>
    <s v="Defra"/>
    <s v="Defra (2022)"/>
    <n v="2022"/>
    <n v="2020"/>
    <n v="0.27213050700000002"/>
    <n v="0"/>
    <x v="22"/>
    <s v="Labratory"/>
  </r>
  <r>
    <n v="237493"/>
    <s v="Top of Hierarchy &gt; South America &gt; Vantage_Argentina Farm (Agrinsa)"/>
    <x v="2"/>
    <x v="0"/>
    <d v="2022-01-01T00:00:00"/>
    <d v="2022-12-31T00:00:00"/>
    <x v="1"/>
    <d v="2022-01-01T00:00:00"/>
    <d v="2022-12-31T00:00:00"/>
    <s v="Petrol (100% mineral petrol)"/>
    <n v="116.31"/>
    <s v="litres"/>
    <x v="1"/>
    <m/>
    <s v="2023-04-19, 23:08"/>
    <s v="2023-07-20, 00:40"/>
    <n v="2022"/>
    <s v="petrol_100p_mineral_petrol"/>
    <s v="Petrol (100% Mineral Petrol)"/>
    <s v="model"/>
    <b v="0"/>
    <s v="FUELS; LIQUID FUELS; PETROL (100% MINERAL PETROL)"/>
    <x v="2"/>
    <x v="0"/>
    <m/>
    <m/>
    <m/>
    <m/>
    <n v="0"/>
    <s v="N2O"/>
    <n v="0.78044009999999997"/>
    <n v="6.7099999999999998E-3"/>
    <s v="LITRES"/>
    <n v="1"/>
    <n v="116.31"/>
    <s v="AR4"/>
    <s v="Defra"/>
    <s v="Defra (2022)"/>
    <n v="2022"/>
    <n v="2020"/>
    <n v="0"/>
    <n v="0"/>
    <x v="22"/>
    <s v="Labratory"/>
  </r>
  <r>
    <n v="237493"/>
    <s v="Top of Hierarchy &gt; South America &gt; Vantage_Argentina Farm (Agrinsa)"/>
    <x v="2"/>
    <x v="0"/>
    <d v="2022-01-01T00:00:00"/>
    <d v="2022-12-31T00:00:00"/>
    <x v="1"/>
    <d v="2022-01-01T00:00:00"/>
    <d v="2022-12-31T00:00:00"/>
    <s v="Petrol (100% mineral petrol)"/>
    <n v="116.31"/>
    <s v="litres"/>
    <x v="1"/>
    <m/>
    <s v="2023-04-19, 23:08"/>
    <s v="2023-07-20, 00:40"/>
    <n v="2022"/>
    <s v="petrol_100p_mineral_petrol"/>
    <s v="Petrol (100% Mineral Petrol)"/>
    <s v="model"/>
    <b v="0"/>
    <s v="FUELS; LIQUID FUELS; PETROL (100% MINERAL PETROL)"/>
    <x v="2"/>
    <x v="0"/>
    <m/>
    <m/>
    <m/>
    <m/>
    <n v="1"/>
    <s v="CH4"/>
    <n v="0.85138919999999996"/>
    <n v="7.3200000000000001E-3"/>
    <s v="LITRES"/>
    <n v="1"/>
    <n v="116.31"/>
    <s v="AR4"/>
    <s v="Defra"/>
    <s v="Defra (2022)"/>
    <n v="2022"/>
    <n v="2020"/>
    <n v="0"/>
    <n v="0"/>
    <x v="22"/>
    <s v="Labratory"/>
  </r>
  <r>
    <n v="237493"/>
    <s v="Top of Hierarchy &gt; South America &gt; Vantage_Argentina Farm (Agrinsa)"/>
    <x v="2"/>
    <x v="0"/>
    <d v="2022-01-01T00:00:00"/>
    <d v="2022-12-31T00:00:00"/>
    <x v="1"/>
    <d v="2022-01-01T00:00:00"/>
    <d v="2022-12-31T00:00:00"/>
    <s v="Petrol (100% mineral petrol)"/>
    <n v="116.31"/>
    <s v="litres"/>
    <x v="1"/>
    <m/>
    <s v="2023-04-19, 23:08"/>
    <s v="2023-07-20, 00:40"/>
    <n v="2022"/>
    <s v="petrol_100p_mineral_petrol"/>
    <s v="Petrol (100% Mineral Petrol)"/>
    <s v="model"/>
    <b v="0"/>
    <s v="FUELS; LIQUID FUELS; PETROL (100% MINERAL PETROL)"/>
    <x v="2"/>
    <x v="0"/>
    <m/>
    <m/>
    <m/>
    <m/>
    <n v="1"/>
    <s v="CO2"/>
    <n v="270.49867769999997"/>
    <n v="2.3256700000000001"/>
    <s v="LITRES"/>
    <n v="1"/>
    <n v="116.31"/>
    <s v="AR4"/>
    <s v="Defra"/>
    <s v="Defra (2022)"/>
    <n v="2022"/>
    <n v="2020"/>
    <n v="0"/>
    <n v="0"/>
    <x v="22"/>
    <s v="Labratory"/>
  </r>
  <r>
    <n v="237493"/>
    <s v="Top of Hierarchy &gt; South America &gt; Vantage_Argentina Farm (Agrinsa)"/>
    <x v="2"/>
    <x v="0"/>
    <d v="2022-01-01T00:00:00"/>
    <d v="2022-12-31T00:00:00"/>
    <x v="1"/>
    <d v="2022-01-01T00:00:00"/>
    <d v="2022-12-31T00:00:00"/>
    <s v="Petrol (100% mineral petrol)"/>
    <n v="116.31"/>
    <s v="litres"/>
    <x v="1"/>
    <m/>
    <s v="2023-04-19, 23:08"/>
    <s v="2023-07-20, 00:40"/>
    <n v="2022"/>
    <s v="petrol_100p_mineral_petrol"/>
    <s v="Petrol (100% Mineral Petrol)"/>
    <s v="model"/>
    <b v="0"/>
    <s v="FUELS; LIQUID FUELS; PETROL (100% MINERAL PETROL)"/>
    <x v="2"/>
    <x v="0"/>
    <m/>
    <m/>
    <m/>
    <m/>
    <n v="1"/>
    <s v="CO2E"/>
    <n v="272.13050700000002"/>
    <n v="2.3397000000000001"/>
    <s v="LITRES"/>
    <n v="1"/>
    <n v="116.31"/>
    <s v="AR4"/>
    <s v="Defra"/>
    <s v="Defra (2022)"/>
    <n v="2022"/>
    <n v="2020"/>
    <n v="0"/>
    <n v="0.27213050700000002"/>
    <x v="22"/>
    <s v="Labratory"/>
  </r>
  <r>
    <n v="237493"/>
    <s v="Top of Hierarchy &gt; South America &gt; Vantage_Argentina Farm (Agrinsa)"/>
    <x v="2"/>
    <x v="0"/>
    <d v="2022-01-01T00:00:00"/>
    <d v="2022-12-31T00:00:00"/>
    <x v="1"/>
    <d v="2022-01-01T00:00:00"/>
    <d v="2022-12-31T00:00:00"/>
    <s v="Petrol (100% mineral petrol)"/>
    <n v="116.31"/>
    <s v="litres"/>
    <x v="1"/>
    <m/>
    <s v="2023-04-19, 23:08"/>
    <s v="2023-07-20, 00:40"/>
    <n v="2022"/>
    <s v="petrol_100p_mineral_petrol"/>
    <s v="Petrol (100% Mineral Petrol)"/>
    <s v="model"/>
    <b v="0"/>
    <s v="FUELS; LIQUID FUELS; PETROL (100% MINERAL PETROL)"/>
    <x v="2"/>
    <x v="0"/>
    <m/>
    <m/>
    <m/>
    <m/>
    <n v="1"/>
    <s v="N2O"/>
    <n v="0.78044009999999997"/>
    <n v="6.7099999999999998E-3"/>
    <s v="LITRES"/>
    <n v="1"/>
    <n v="116.31"/>
    <s v="AR4"/>
    <s v="Defra"/>
    <s v="Defra (2022)"/>
    <n v="2022"/>
    <n v="2020"/>
    <n v="0"/>
    <n v="0"/>
    <x v="22"/>
    <s v="Labratory"/>
  </r>
  <r>
    <n v="237493"/>
    <s v="Top of Hierarchy &gt; South America &gt; Vantage_Argentina Farm (Agrinsa)"/>
    <x v="2"/>
    <x v="0"/>
    <d v="2022-01-01T00:00:00"/>
    <d v="2022-12-31T00:00:00"/>
    <x v="1"/>
    <d v="2022-01-01T00:00:00"/>
    <d v="2022-12-31T00:00:00"/>
    <s v="Petrol (100% mineral petrol)"/>
    <n v="116.31"/>
    <s v="litres"/>
    <x v="1"/>
    <m/>
    <s v="2023-04-19, 23:08"/>
    <s v="2023-07-20, 00:40"/>
    <n v="2022"/>
    <s v="petrol_100p_mineral_petrol__wtt"/>
    <s v="Petrol (100% Mineral Petrol) WTT"/>
    <s v="wtt"/>
    <b v="0"/>
    <s v="WTT- FUELS; LIQUID FUELS; PETROL (100% MINERAL PETROL)"/>
    <x v="1"/>
    <x v="1"/>
    <m/>
    <m/>
    <m/>
    <m/>
    <n v="0"/>
    <s v="CO2E"/>
    <n v="70.115157300000007"/>
    <n v="0.60282999999999998"/>
    <s v="LITRES"/>
    <n v="1"/>
    <n v="116.31"/>
    <s v="AR4"/>
    <s v="Defra"/>
    <s v="Defra (2022)"/>
    <n v="2022"/>
    <n v="2020"/>
    <n v="7.0115157300000008E-2"/>
    <n v="0"/>
    <x v="22"/>
    <s v="Labratory"/>
  </r>
  <r>
    <n v="237493"/>
    <s v="Top of Hierarchy &gt; South America &gt; Vantage_Argentina Farm (Agrinsa)"/>
    <x v="2"/>
    <x v="0"/>
    <d v="2022-01-01T00:00:00"/>
    <d v="2022-12-31T00:00:00"/>
    <x v="1"/>
    <d v="2022-01-01T00:00:00"/>
    <d v="2022-12-31T00:00:00"/>
    <s v="Petrol (100% mineral petrol)"/>
    <n v="116.31"/>
    <s v="litres"/>
    <x v="1"/>
    <m/>
    <s v="2023-04-19, 23:08"/>
    <s v="2023-07-20, 00:40"/>
    <n v="2022"/>
    <s v="petrol_100p_mineral_petrol__wtt"/>
    <s v="Petrol (100% Mineral Petrol) WTT"/>
    <s v="wtt"/>
    <b v="0"/>
    <s v="WTT- FUELS; LIQUID FUELS; PETROL (100% MINERAL PETROL)"/>
    <x v="1"/>
    <x v="1"/>
    <m/>
    <m/>
    <m/>
    <m/>
    <n v="1"/>
    <s v="CO2E"/>
    <n v="70.115157300000007"/>
    <n v="0.60282999999999998"/>
    <s v="LITRES"/>
    <n v="1"/>
    <n v="116.31"/>
    <s v="AR4"/>
    <s v="Defra"/>
    <s v="Defra (2022)"/>
    <n v="2022"/>
    <n v="2020"/>
    <n v="0"/>
    <n v="7.0115157300000008E-2"/>
    <x v="22"/>
    <s v="Labratory"/>
  </r>
  <r>
    <n v="237674"/>
    <s v="Top of Hierarchy &gt; South America &gt; Vantage_Argentina Farm (Agrinsa)"/>
    <x v="2"/>
    <x v="0"/>
    <d v="2022-01-01T00:00:00"/>
    <d v="2022-12-31T00:00:00"/>
    <x v="4"/>
    <d v="2022-01-01T00:00:00"/>
    <d v="2022-12-31T00:00:00"/>
    <s v="HFC-32"/>
    <n v="0"/>
    <s v="Megatonne"/>
    <x v="1"/>
    <s v="We know we use HFC-32 but do not know the amount_x000a_6 splits_x000a_Capacity: 6000 F_x000a_Refrigerant: R-32"/>
    <s v="2023-04-20, 19:20"/>
    <s v="2023-07-20, 00:40"/>
    <n v="2022"/>
    <s v="hfc-32"/>
    <s v="HFC-32"/>
    <s v="model"/>
    <b v="0"/>
    <s v="REFRIGERANT: R-32"/>
    <x v="2"/>
    <x v="0"/>
    <m/>
    <m/>
    <m/>
    <m/>
    <n v="0"/>
    <s v="CO2E"/>
    <n v="0"/>
    <n v="675"/>
    <s v="KG"/>
    <n v="1000000000"/>
    <n v="0"/>
    <s v="AR4"/>
    <s v="IPCC"/>
    <s v="IPCC (2021)"/>
    <n v="2022"/>
    <n v="2007"/>
    <n v="0"/>
    <n v="0"/>
    <x v="22"/>
    <s v="Labratory"/>
  </r>
  <r>
    <n v="237674"/>
    <s v="Top of Hierarchy &gt; South America &gt; Vantage_Argentina Farm (Agrinsa)"/>
    <x v="2"/>
    <x v="0"/>
    <d v="2022-01-01T00:00:00"/>
    <d v="2022-12-31T00:00:00"/>
    <x v="4"/>
    <d v="2022-01-01T00:00:00"/>
    <d v="2022-12-31T00:00:00"/>
    <s v="HFC-32"/>
    <n v="0"/>
    <s v="Megatonne"/>
    <x v="1"/>
    <s v="We know we use HFC-32 but do not know the amount_x000a_6 splits_x000a_Capacity: 6000 F_x000a_Refrigerant: R-32"/>
    <s v="2023-04-20, 19:20"/>
    <s v="2023-07-20, 00:40"/>
    <n v="2022"/>
    <s v="hfc-32"/>
    <s v="HFC-32"/>
    <s v="model"/>
    <b v="0"/>
    <s v="REFRIGERANT: R-32"/>
    <x v="2"/>
    <x v="0"/>
    <m/>
    <m/>
    <m/>
    <m/>
    <n v="1"/>
    <s v="CO2E"/>
    <n v="0"/>
    <n v="675"/>
    <s v="KG"/>
    <n v="1000000000"/>
    <n v="0"/>
    <s v="AR4"/>
    <s v="IPCC"/>
    <s v="IPCC (2021)"/>
    <n v="2022"/>
    <n v="2007"/>
    <n v="0"/>
    <n v="0"/>
    <x v="22"/>
    <s v="Labratory"/>
  </r>
  <r>
    <n v="4621"/>
    <s v="Top of Hierarchy &gt; South America &gt; Vantage_Argentina Farm (Agrinsa)"/>
    <x v="2"/>
    <x v="1"/>
    <d v="2021-01-01T00:00:00"/>
    <d v="2021-12-31T00:00:00"/>
    <x v="0"/>
    <d v="2021-01-01T00:00:00"/>
    <d v="2021-12-31T00:00:00"/>
    <s v="Electricity (non-renewable)"/>
    <n v="6205845"/>
    <s v="Kilowatt hours"/>
    <x v="1"/>
    <m/>
    <s v="2023-02-24, 17:18"/>
    <s v="2023-07-20, 00:40"/>
    <n v="2021"/>
    <s v="electricity"/>
    <s v="Electricity"/>
    <s v="model"/>
    <b v="0"/>
    <s v="ELECTRICITY; ARGENTINA"/>
    <x v="0"/>
    <x v="0"/>
    <s v="Americas"/>
    <s v="Latin America and the Caribbean"/>
    <s v="AR"/>
    <m/>
    <n v="0"/>
    <s v="CH4"/>
    <n v="1861.7535"/>
    <s v="RESTRICTED"/>
    <s v="KWH"/>
    <n v="1"/>
    <n v="6205845"/>
    <s v="AR4"/>
    <s v="IEA"/>
    <s v="IEA (2021)"/>
    <n v="2021"/>
    <n v="2019"/>
    <n v="0"/>
    <n v="0"/>
    <x v="22"/>
    <s v="Labratory"/>
  </r>
  <r>
    <n v="4621"/>
    <s v="Top of Hierarchy &gt; South America &gt; Vantage_Argentina Farm (Agrinsa)"/>
    <x v="2"/>
    <x v="1"/>
    <d v="2021-01-01T00:00:00"/>
    <d v="2021-12-31T00:00:00"/>
    <x v="0"/>
    <d v="2021-01-01T00:00:00"/>
    <d v="2021-12-31T00:00:00"/>
    <s v="Electricity (non-renewable)"/>
    <n v="6205845"/>
    <s v="Kilowatt hours"/>
    <x v="1"/>
    <m/>
    <s v="2023-02-24, 17:18"/>
    <s v="2023-07-20, 00:40"/>
    <n v="2021"/>
    <s v="electricity"/>
    <s v="Electricity"/>
    <s v="model"/>
    <b v="0"/>
    <s v="ELECTRICITY; ARGENTINA"/>
    <x v="0"/>
    <x v="0"/>
    <s v="Americas"/>
    <s v="Latin America and the Caribbean"/>
    <s v="AR"/>
    <m/>
    <n v="0"/>
    <s v="CO2"/>
    <n v="1782318.6839999999"/>
    <s v="RESTRICTED"/>
    <s v="KWH"/>
    <n v="1"/>
    <n v="6205845"/>
    <s v="AR4"/>
    <s v="IEA"/>
    <s v="IEA (2021)"/>
    <n v="2021"/>
    <n v="2019"/>
    <n v="0"/>
    <n v="0"/>
    <x v="22"/>
    <s v="Labratory"/>
  </r>
  <r>
    <n v="4621"/>
    <s v="Top of Hierarchy &gt; South America &gt; Vantage_Argentina Farm (Agrinsa)"/>
    <x v="2"/>
    <x v="1"/>
    <d v="2021-01-01T00:00:00"/>
    <d v="2021-12-31T00:00:00"/>
    <x v="0"/>
    <d v="2021-01-01T00:00:00"/>
    <d v="2021-12-31T00:00:00"/>
    <s v="Electricity (non-renewable)"/>
    <n v="6205845"/>
    <s v="Kilowatt hours"/>
    <x v="1"/>
    <m/>
    <s v="2023-02-24, 17:18"/>
    <s v="2023-07-20, 00:40"/>
    <n v="2021"/>
    <s v="electricity"/>
    <s v="Electricity"/>
    <s v="model"/>
    <b v="0"/>
    <s v="ELECTRICITY; ARGENTINA"/>
    <x v="0"/>
    <x v="0"/>
    <s v="Americas"/>
    <s v="Latin America and the Caribbean"/>
    <s v="AR"/>
    <m/>
    <n v="0"/>
    <s v="CO2E"/>
    <n v="1787283.36"/>
    <s v="RESTRICTED"/>
    <s v="KWH"/>
    <n v="1"/>
    <n v="6205845"/>
    <s v="AR4"/>
    <s v="IEA"/>
    <s v="IEA (2021)"/>
    <n v="2021"/>
    <n v="2019"/>
    <n v="1787.2833600000001"/>
    <n v="0"/>
    <x v="22"/>
    <s v="Labratory"/>
  </r>
  <r>
    <n v="4621"/>
    <s v="Top of Hierarchy &gt; South America &gt; Vantage_Argentina Farm (Agrinsa)"/>
    <x v="2"/>
    <x v="1"/>
    <d v="2021-01-01T00:00:00"/>
    <d v="2021-12-31T00:00:00"/>
    <x v="0"/>
    <d v="2021-01-01T00:00:00"/>
    <d v="2021-12-31T00:00:00"/>
    <s v="Electricity (non-renewable)"/>
    <n v="6205845"/>
    <s v="Kilowatt hours"/>
    <x v="1"/>
    <m/>
    <s v="2023-02-24, 17:18"/>
    <s v="2023-07-20, 00:40"/>
    <n v="2021"/>
    <s v="electricity"/>
    <s v="Electricity"/>
    <s v="model"/>
    <b v="0"/>
    <s v="ELECTRICITY; ARGENTINA"/>
    <x v="0"/>
    <x v="0"/>
    <s v="Americas"/>
    <s v="Latin America and the Caribbean"/>
    <s v="AR"/>
    <m/>
    <n v="0"/>
    <s v="N2O"/>
    <n v="3102.9225000000001"/>
    <s v="RESTRICTED"/>
    <s v="KWH"/>
    <n v="1"/>
    <n v="6205845"/>
    <s v="AR4"/>
    <s v="IEA"/>
    <s v="IEA (2021)"/>
    <n v="2021"/>
    <n v="2019"/>
    <n v="0"/>
    <n v="0"/>
    <x v="22"/>
    <s v="Labratory"/>
  </r>
  <r>
    <n v="4621"/>
    <s v="Top of Hierarchy &gt; South America &gt; Vantage_Argentina Farm (Agrinsa)"/>
    <x v="2"/>
    <x v="1"/>
    <d v="2021-01-01T00:00:00"/>
    <d v="2021-12-31T00:00:00"/>
    <x v="0"/>
    <d v="2021-01-01T00:00:00"/>
    <d v="2021-12-31T00:00:00"/>
    <s v="Electricity (non-renewable)"/>
    <n v="6205845"/>
    <s v="Kilowatt hours"/>
    <x v="1"/>
    <m/>
    <s v="2023-02-24, 17:18"/>
    <s v="2023-07-20, 00:40"/>
    <n v="2021"/>
    <s v="electricity"/>
    <s v="Electricity"/>
    <s v="model"/>
    <b v="0"/>
    <s v="ELECTRICITY; ARGENTINA"/>
    <x v="0"/>
    <x v="0"/>
    <s v="Americas"/>
    <s v="Latin America and the Caribbean"/>
    <s v="AR"/>
    <m/>
    <n v="1"/>
    <s v="CH4"/>
    <n v="1861.7535"/>
    <s v="RESTRICTED"/>
    <s v="KWH"/>
    <n v="1"/>
    <n v="6205845"/>
    <s v="AR4"/>
    <s v="IEA"/>
    <s v="IEA (2021)"/>
    <n v="2021"/>
    <n v="2019"/>
    <n v="0"/>
    <n v="0"/>
    <x v="22"/>
    <s v="Labratory"/>
  </r>
  <r>
    <n v="4621"/>
    <s v="Top of Hierarchy &gt; South America &gt; Vantage_Argentina Farm (Agrinsa)"/>
    <x v="2"/>
    <x v="1"/>
    <d v="2021-01-01T00:00:00"/>
    <d v="2021-12-31T00:00:00"/>
    <x v="0"/>
    <d v="2021-01-01T00:00:00"/>
    <d v="2021-12-31T00:00:00"/>
    <s v="Electricity (non-renewable)"/>
    <n v="6205845"/>
    <s v="Kilowatt hours"/>
    <x v="1"/>
    <m/>
    <s v="2023-02-24, 17:18"/>
    <s v="2023-07-20, 00:40"/>
    <n v="2021"/>
    <s v="electricity"/>
    <s v="Electricity"/>
    <s v="model"/>
    <b v="0"/>
    <s v="ELECTRICITY; ARGENTINA"/>
    <x v="0"/>
    <x v="0"/>
    <s v="Americas"/>
    <s v="Latin America and the Caribbean"/>
    <s v="AR"/>
    <m/>
    <n v="1"/>
    <s v="CO2"/>
    <n v="1782318.6839999999"/>
    <s v="RESTRICTED"/>
    <s v="KWH"/>
    <n v="1"/>
    <n v="6205845"/>
    <s v="AR4"/>
    <s v="IEA"/>
    <s v="IEA (2021)"/>
    <n v="2021"/>
    <n v="2019"/>
    <n v="0"/>
    <n v="0"/>
    <x v="22"/>
    <s v="Labratory"/>
  </r>
  <r>
    <n v="4621"/>
    <s v="Top of Hierarchy &gt; South America &gt; Vantage_Argentina Farm (Agrinsa)"/>
    <x v="2"/>
    <x v="1"/>
    <d v="2021-01-01T00:00:00"/>
    <d v="2021-12-31T00:00:00"/>
    <x v="0"/>
    <d v="2021-01-01T00:00:00"/>
    <d v="2021-12-31T00:00:00"/>
    <s v="Electricity (non-renewable)"/>
    <n v="6205845"/>
    <s v="Kilowatt hours"/>
    <x v="1"/>
    <m/>
    <s v="2023-02-24, 17:18"/>
    <s v="2023-07-20, 00:40"/>
    <n v="2021"/>
    <s v="electricity"/>
    <s v="Electricity"/>
    <s v="model"/>
    <b v="0"/>
    <s v="ELECTRICITY; ARGENTINA"/>
    <x v="0"/>
    <x v="0"/>
    <s v="Americas"/>
    <s v="Latin America and the Caribbean"/>
    <s v="AR"/>
    <m/>
    <n v="1"/>
    <s v="CO2E"/>
    <n v="1787283.36"/>
    <s v="RESTRICTED"/>
    <s v="KWH"/>
    <n v="1"/>
    <n v="6205845"/>
    <s v="AR4"/>
    <s v="IEA"/>
    <s v="IEA (2021)"/>
    <n v="2021"/>
    <n v="2019"/>
    <n v="0"/>
    <n v="1787.2833600000001"/>
    <x v="22"/>
    <s v="Labratory"/>
  </r>
  <r>
    <n v="4621"/>
    <s v="Top of Hierarchy &gt; South America &gt; Vantage_Argentina Farm (Agrinsa)"/>
    <x v="2"/>
    <x v="1"/>
    <d v="2021-01-01T00:00:00"/>
    <d v="2021-12-31T00:00:00"/>
    <x v="0"/>
    <d v="2021-01-01T00:00:00"/>
    <d v="2021-12-31T00:00:00"/>
    <s v="Electricity (non-renewable)"/>
    <n v="6205845"/>
    <s v="Kilowatt hours"/>
    <x v="1"/>
    <m/>
    <s v="2023-02-24, 17:18"/>
    <s v="2023-07-20, 00:40"/>
    <n v="2021"/>
    <s v="electricity"/>
    <s v="Electricity"/>
    <s v="model"/>
    <b v="0"/>
    <s v="ELECTRICITY; ARGENTINA"/>
    <x v="0"/>
    <x v="0"/>
    <s v="Americas"/>
    <s v="Latin America and the Caribbean"/>
    <s v="AR"/>
    <m/>
    <n v="1"/>
    <s v="N2O"/>
    <n v="3102.9225000000001"/>
    <s v="RESTRICTED"/>
    <s v="KWH"/>
    <n v="1"/>
    <n v="6205845"/>
    <s v="AR4"/>
    <s v="IEA"/>
    <s v="IEA (2021)"/>
    <n v="2021"/>
    <n v="2019"/>
    <n v="0"/>
    <n v="0"/>
    <x v="22"/>
    <s v="Labratory"/>
  </r>
  <r>
    <n v="4621"/>
    <s v="Top of Hierarchy &gt; South America &gt; Vantage_Argentina Farm (Agrinsa)"/>
    <x v="2"/>
    <x v="1"/>
    <d v="2021-01-01T00:00:00"/>
    <d v="2021-12-31T00:00:00"/>
    <x v="0"/>
    <d v="2021-01-01T00:00:00"/>
    <d v="2021-12-31T00:00:00"/>
    <s v="Electricity (non-renewable)"/>
    <n v="6205845"/>
    <s v="Kilowatt hours"/>
    <x v="1"/>
    <m/>
    <s v="2023-02-24, 17:18"/>
    <s v="2023-07-20, 00:40"/>
    <n v="2021"/>
    <s v="electricity__t+d__wtt"/>
    <s v="Electricity T&amp;D WTT"/>
    <s v="t+d_wtt"/>
    <b v="0"/>
    <s v="ELECTRICITY; ARGENTINA; T&amp;D WTT Estimated"/>
    <x v="1"/>
    <x v="1"/>
    <s v="Americas"/>
    <s v="Latin America and the Caribbean"/>
    <s v="AR"/>
    <m/>
    <n v="0"/>
    <s v="CH4"/>
    <n v="47.104223040000001"/>
    <n v="7.5903E-6"/>
    <s v="KWH"/>
    <n v="1"/>
    <n v="6205845"/>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T&amp;D factor ELECTRICITY; TRANSMISSION AND DISTRIBUTION; ARGENTINA, IEA to estimate the T&amp;D WTT factor."/>
    <n v="2021"/>
    <n v="2019"/>
    <n v="0"/>
    <n v="0"/>
    <x v="22"/>
    <s v="Labratory"/>
  </r>
  <r>
    <n v="4621"/>
    <s v="Top of Hierarchy &gt; South America &gt; Vantage_Argentina Farm (Agrinsa)"/>
    <x v="2"/>
    <x v="1"/>
    <d v="2021-01-01T00:00:00"/>
    <d v="2021-12-31T00:00:00"/>
    <x v="0"/>
    <d v="2021-01-01T00:00:00"/>
    <d v="2021-12-31T00:00:00"/>
    <s v="Electricity (non-renewable)"/>
    <n v="6205845"/>
    <s v="Kilowatt hours"/>
    <x v="1"/>
    <m/>
    <s v="2023-02-24, 17:18"/>
    <s v="2023-07-20, 00:40"/>
    <n v="2021"/>
    <s v="electricity__t+d__wtt"/>
    <s v="Electricity T&amp;D WTT"/>
    <s v="t+d_wtt"/>
    <b v="0"/>
    <s v="ELECTRICITY; ARGENTINA; T&amp;D WTT Estimated"/>
    <x v="1"/>
    <x v="1"/>
    <s v="Americas"/>
    <s v="Latin America and the Caribbean"/>
    <s v="AR"/>
    <m/>
    <n v="0"/>
    <s v="CO2"/>
    <n v="45094.442849999999"/>
    <n v="7.2664469999999997E-3"/>
    <s v="KWH"/>
    <n v="1"/>
    <n v="6205845"/>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T&amp;D factor ELECTRICITY; TRANSMISSION AND DISTRIBUTION; ARGENTINA, IEA to estimate the T&amp;D WTT factor."/>
    <n v="2021"/>
    <n v="2019"/>
    <n v="0"/>
    <n v="0"/>
    <x v="22"/>
    <s v="Labratory"/>
  </r>
  <r>
    <n v="4621"/>
    <s v="Top of Hierarchy &gt; South America &gt; Vantage_Argentina Farm (Agrinsa)"/>
    <x v="2"/>
    <x v="1"/>
    <d v="2021-01-01T00:00:00"/>
    <d v="2021-12-31T00:00:00"/>
    <x v="0"/>
    <d v="2021-01-01T00:00:00"/>
    <d v="2021-12-31T00:00:00"/>
    <s v="Electricity (non-renewable)"/>
    <n v="6205845"/>
    <s v="Kilowatt hours"/>
    <x v="1"/>
    <m/>
    <s v="2023-02-24, 17:18"/>
    <s v="2023-07-20, 00:40"/>
    <n v="2021"/>
    <s v="electricity__t+d__wtt"/>
    <s v="Electricity T&amp;D WTT"/>
    <s v="t+d_wtt"/>
    <b v="0"/>
    <s v="ELECTRICITY; ARGENTINA; T&amp;D WTT Estimated"/>
    <x v="1"/>
    <x v="1"/>
    <s v="Americas"/>
    <s v="Latin America and the Caribbean"/>
    <s v="AR"/>
    <m/>
    <n v="0"/>
    <s v="CO2E"/>
    <n v="45220.054109999997"/>
    <n v="7.2866880000000004E-3"/>
    <s v="KWH"/>
    <n v="1"/>
    <n v="6205845"/>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T&amp;D factor ELECTRICITY; TRANSMISSION AND DISTRIBUTION; ARGENTINA, IEA to estimate the T&amp;D WTT factor."/>
    <n v="2021"/>
    <n v="2019"/>
    <n v="45.22005411"/>
    <n v="0"/>
    <x v="22"/>
    <s v="Labratory"/>
  </r>
  <r>
    <n v="4621"/>
    <s v="Top of Hierarchy &gt; South America &gt; Vantage_Argentina Farm (Agrinsa)"/>
    <x v="2"/>
    <x v="1"/>
    <d v="2021-01-01T00:00:00"/>
    <d v="2021-12-31T00:00:00"/>
    <x v="0"/>
    <d v="2021-01-01T00:00:00"/>
    <d v="2021-12-31T00:00:00"/>
    <s v="Electricity (non-renewable)"/>
    <n v="6205845"/>
    <s v="Kilowatt hours"/>
    <x v="1"/>
    <m/>
    <s v="2023-02-24, 17:18"/>
    <s v="2023-07-20, 00:40"/>
    <n v="2021"/>
    <s v="electricity__t+d__wtt"/>
    <s v="Electricity T&amp;D WTT"/>
    <s v="t+d_wtt"/>
    <b v="0"/>
    <s v="ELECTRICITY; ARGENTINA; T&amp;D WTT Estimated"/>
    <x v="1"/>
    <x v="1"/>
    <s v="Americas"/>
    <s v="Latin America and the Caribbean"/>
    <s v="AR"/>
    <m/>
    <n v="0"/>
    <s v="N2O"/>
    <n v="78.507038390000005"/>
    <n v="1.26505E-5"/>
    <s v="KWH"/>
    <n v="1"/>
    <n v="6205845"/>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T&amp;D factor ELECTRICITY; TRANSMISSION AND DISTRIBUTION; ARGENTINA, IEA to estimate the T&amp;D WTT factor."/>
    <n v="2021"/>
    <n v="2019"/>
    <n v="0"/>
    <n v="0"/>
    <x v="22"/>
    <s v="Labratory"/>
  </r>
  <r>
    <n v="4621"/>
    <s v="Top of Hierarchy &gt; South America &gt; Vantage_Argentina Farm (Agrinsa)"/>
    <x v="2"/>
    <x v="1"/>
    <d v="2021-01-01T00:00:00"/>
    <d v="2021-12-31T00:00:00"/>
    <x v="0"/>
    <d v="2021-01-01T00:00:00"/>
    <d v="2021-12-31T00:00:00"/>
    <s v="Electricity (non-renewable)"/>
    <n v="6205845"/>
    <s v="Kilowatt hours"/>
    <x v="1"/>
    <m/>
    <s v="2023-02-24, 17:18"/>
    <s v="2023-07-20, 00:40"/>
    <n v="2021"/>
    <s v="electricity__t+d__wtt"/>
    <s v="Electricity T&amp;D WTT"/>
    <s v="t+d_wtt"/>
    <b v="0"/>
    <s v="ELECTRICITY; ARGENTINA; T&amp;D WTT Estimated"/>
    <x v="1"/>
    <x v="1"/>
    <s v="Americas"/>
    <s v="Latin America and the Caribbean"/>
    <s v="AR"/>
    <m/>
    <n v="1"/>
    <s v="CH4"/>
    <n v="47.104223040000001"/>
    <n v="7.5903E-6"/>
    <s v="KWH"/>
    <n v="1"/>
    <n v="6205845"/>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T&amp;D factor ELECTRICITY; TRANSMISSION AND DISTRIBUTION; ARGENTINA, IEA to estimate the T&amp;D WTT factor."/>
    <n v="2021"/>
    <n v="2019"/>
    <n v="0"/>
    <n v="0"/>
    <x v="22"/>
    <s v="Labratory"/>
  </r>
  <r>
    <n v="4621"/>
    <s v="Top of Hierarchy &gt; South America &gt; Vantage_Argentina Farm (Agrinsa)"/>
    <x v="2"/>
    <x v="1"/>
    <d v="2021-01-01T00:00:00"/>
    <d v="2021-12-31T00:00:00"/>
    <x v="0"/>
    <d v="2021-01-01T00:00:00"/>
    <d v="2021-12-31T00:00:00"/>
    <s v="Electricity (non-renewable)"/>
    <n v="6205845"/>
    <s v="Kilowatt hours"/>
    <x v="1"/>
    <m/>
    <s v="2023-02-24, 17:18"/>
    <s v="2023-07-20, 00:40"/>
    <n v="2021"/>
    <s v="electricity__t+d__wtt"/>
    <s v="Electricity T&amp;D WTT"/>
    <s v="t+d_wtt"/>
    <b v="0"/>
    <s v="ELECTRICITY; ARGENTINA; T&amp;D WTT Estimated"/>
    <x v="1"/>
    <x v="1"/>
    <s v="Americas"/>
    <s v="Latin America and the Caribbean"/>
    <s v="AR"/>
    <m/>
    <n v="1"/>
    <s v="CO2"/>
    <n v="45094.442849999999"/>
    <n v="7.2664469999999997E-3"/>
    <s v="KWH"/>
    <n v="1"/>
    <n v="6205845"/>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T&amp;D factor ELECTRICITY; TRANSMISSION AND DISTRIBUTION; ARGENTINA, IEA to estimate the T&amp;D WTT factor."/>
    <n v="2021"/>
    <n v="2019"/>
    <n v="0"/>
    <n v="0"/>
    <x v="22"/>
    <s v="Labratory"/>
  </r>
  <r>
    <n v="4621"/>
    <s v="Top of Hierarchy &gt; South America &gt; Vantage_Argentina Farm (Agrinsa)"/>
    <x v="2"/>
    <x v="1"/>
    <d v="2021-01-01T00:00:00"/>
    <d v="2021-12-31T00:00:00"/>
    <x v="0"/>
    <d v="2021-01-01T00:00:00"/>
    <d v="2021-12-31T00:00:00"/>
    <s v="Electricity (non-renewable)"/>
    <n v="6205845"/>
    <s v="Kilowatt hours"/>
    <x v="1"/>
    <m/>
    <s v="2023-02-24, 17:18"/>
    <s v="2023-07-20, 00:40"/>
    <n v="2021"/>
    <s v="electricity__t+d__wtt"/>
    <s v="Electricity T&amp;D WTT"/>
    <s v="t+d_wtt"/>
    <b v="0"/>
    <s v="ELECTRICITY; ARGENTINA; T&amp;D WTT Estimated"/>
    <x v="1"/>
    <x v="1"/>
    <s v="Americas"/>
    <s v="Latin America and the Caribbean"/>
    <s v="AR"/>
    <m/>
    <n v="1"/>
    <s v="CO2E"/>
    <n v="45220.054109999997"/>
    <n v="7.2866880000000004E-3"/>
    <s v="KWH"/>
    <n v="1"/>
    <n v="6205845"/>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T&amp;D factor ELECTRICITY; TRANSMISSION AND DISTRIBUTION; ARGENTINA, IEA to estimate the T&amp;D WTT factor."/>
    <n v="2021"/>
    <n v="2019"/>
    <n v="0"/>
    <n v="45.22005411"/>
    <x v="22"/>
    <s v="Labratory"/>
  </r>
  <r>
    <n v="4621"/>
    <s v="Top of Hierarchy &gt; South America &gt; Vantage_Argentina Farm (Agrinsa)"/>
    <x v="2"/>
    <x v="1"/>
    <d v="2021-01-01T00:00:00"/>
    <d v="2021-12-31T00:00:00"/>
    <x v="0"/>
    <d v="2021-01-01T00:00:00"/>
    <d v="2021-12-31T00:00:00"/>
    <s v="Electricity (non-renewable)"/>
    <n v="6205845"/>
    <s v="Kilowatt hours"/>
    <x v="1"/>
    <m/>
    <s v="2023-02-24, 17:18"/>
    <s v="2023-07-20, 00:40"/>
    <n v="2021"/>
    <s v="electricity__t+d__wtt"/>
    <s v="Electricity T&amp;D WTT"/>
    <s v="t+d_wtt"/>
    <b v="0"/>
    <s v="ELECTRICITY; ARGENTINA; T&amp;D WTT Estimated"/>
    <x v="1"/>
    <x v="1"/>
    <s v="Americas"/>
    <s v="Latin America and the Caribbean"/>
    <s v="AR"/>
    <m/>
    <n v="1"/>
    <s v="N2O"/>
    <n v="78.507038390000005"/>
    <n v="1.26505E-5"/>
    <s v="KWH"/>
    <n v="1"/>
    <n v="6205845"/>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T&amp;D factor ELECTRICITY; TRANSMISSION AND DISTRIBUTION; ARGENTINA, IEA to estimate the T&amp;D WTT factor."/>
    <n v="2021"/>
    <n v="2019"/>
    <n v="0"/>
    <n v="0"/>
    <x v="22"/>
    <s v="Labratory"/>
  </r>
  <r>
    <n v="4621"/>
    <s v="Top of Hierarchy &gt; South America &gt; Vantage_Argentina Farm (Agrinsa)"/>
    <x v="2"/>
    <x v="1"/>
    <d v="2021-01-01T00:00:00"/>
    <d v="2021-12-31T00:00:00"/>
    <x v="0"/>
    <d v="2021-01-01T00:00:00"/>
    <d v="2021-12-31T00:00:00"/>
    <s v="Electricity (non-renewable)"/>
    <n v="6205845"/>
    <s v="Kilowatt hours"/>
    <x v="1"/>
    <m/>
    <s v="2023-02-24, 17:18"/>
    <s v="2023-07-20, 00:40"/>
    <n v="2021"/>
    <s v="electricity__wtt"/>
    <s v="Electricity WTT"/>
    <s v="wtt"/>
    <b v="0"/>
    <s v="ELECTRICITY; ARGENTINA; WTT Estimated"/>
    <x v="1"/>
    <x v="1"/>
    <s v="Americas"/>
    <s v="Latin America and the Caribbean"/>
    <s v="AR"/>
    <m/>
    <n v="0"/>
    <s v="CH4"/>
    <n v="394.3863053"/>
    <n v="6.3550800000000001E-5"/>
    <s v="KWH"/>
    <n v="1"/>
    <n v="6205845"/>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base factor ELECTRICITY; ARGENTINA, IEAto estimate the WTT factor."/>
    <n v="2021"/>
    <n v="2019"/>
    <n v="0"/>
    <n v="0"/>
    <x v="22"/>
    <s v="Labratory"/>
  </r>
  <r>
    <n v="4621"/>
    <s v="Top of Hierarchy &gt; South America &gt; Vantage_Argentina Farm (Agrinsa)"/>
    <x v="2"/>
    <x v="1"/>
    <d v="2021-01-01T00:00:00"/>
    <d v="2021-12-31T00:00:00"/>
    <x v="0"/>
    <d v="2021-01-01T00:00:00"/>
    <d v="2021-12-31T00:00:00"/>
    <s v="Electricity (non-renewable)"/>
    <n v="6205845"/>
    <s v="Kilowatt hours"/>
    <x v="1"/>
    <m/>
    <s v="2023-02-24, 17:18"/>
    <s v="2023-07-20, 00:40"/>
    <n v="2021"/>
    <s v="electricity__wtt"/>
    <s v="Electricity WTT"/>
    <s v="wtt"/>
    <b v="0"/>
    <s v="ELECTRICITY; ARGENTINA; WTT Estimated"/>
    <x v="1"/>
    <x v="1"/>
    <s v="Americas"/>
    <s v="Latin America and the Caribbean"/>
    <s v="AR"/>
    <m/>
    <n v="0"/>
    <s v="CO2"/>
    <n v="377559.15629999997"/>
    <n v="6.0839282000000001E-2"/>
    <s v="KWH"/>
    <n v="1"/>
    <n v="6205845"/>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base factor ELECTRICITY; ARGENTINA, IEAto estimate the WTT factor."/>
    <n v="2021"/>
    <n v="2019"/>
    <n v="0"/>
    <n v="0"/>
    <x v="22"/>
    <s v="Labratory"/>
  </r>
  <r>
    <n v="4621"/>
    <s v="Top of Hierarchy &gt; South America &gt; Vantage_Argentina Farm (Agrinsa)"/>
    <x v="2"/>
    <x v="1"/>
    <d v="2021-01-01T00:00:00"/>
    <d v="2021-12-31T00:00:00"/>
    <x v="0"/>
    <d v="2021-01-01T00:00:00"/>
    <d v="2021-12-31T00:00:00"/>
    <s v="Electricity (non-renewable)"/>
    <n v="6205845"/>
    <s v="Kilowatt hours"/>
    <x v="1"/>
    <m/>
    <s v="2023-02-24, 17:18"/>
    <s v="2023-07-20, 00:40"/>
    <n v="2021"/>
    <s v="electricity__wtt"/>
    <s v="Electricity WTT"/>
    <s v="wtt"/>
    <b v="0"/>
    <s v="ELECTRICITY; ARGENTINA; WTT Estimated"/>
    <x v="1"/>
    <x v="1"/>
    <s v="Americas"/>
    <s v="Latin America and the Caribbean"/>
    <s v="AR"/>
    <m/>
    <n v="0"/>
    <s v="CO2E"/>
    <n v="378610.85310000001"/>
    <n v="6.1008751E-2"/>
    <s v="KWH"/>
    <n v="1"/>
    <n v="6205845"/>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base factor ELECTRICITY; ARGENTINA, IEAto estimate the WTT factor."/>
    <n v="2021"/>
    <n v="2019"/>
    <n v="378.61085309999999"/>
    <n v="0"/>
    <x v="22"/>
    <s v="Labratory"/>
  </r>
  <r>
    <n v="4621"/>
    <s v="Top of Hierarchy &gt; South America &gt; Vantage_Argentina Farm (Agrinsa)"/>
    <x v="2"/>
    <x v="1"/>
    <d v="2021-01-01T00:00:00"/>
    <d v="2021-12-31T00:00:00"/>
    <x v="0"/>
    <d v="2021-01-01T00:00:00"/>
    <d v="2021-12-31T00:00:00"/>
    <s v="Electricity (non-renewable)"/>
    <n v="6205845"/>
    <s v="Kilowatt hours"/>
    <x v="1"/>
    <m/>
    <s v="2023-02-24, 17:18"/>
    <s v="2023-07-20, 00:40"/>
    <n v="2021"/>
    <s v="electricity__wtt"/>
    <s v="Electricity WTT"/>
    <s v="wtt"/>
    <b v="0"/>
    <s v="ELECTRICITY; ARGENTINA; WTT Estimated"/>
    <x v="1"/>
    <x v="1"/>
    <s v="Americas"/>
    <s v="Latin America and the Caribbean"/>
    <s v="AR"/>
    <m/>
    <n v="0"/>
    <s v="N2O"/>
    <n v="657.31050879999998"/>
    <n v="1.05918E-4"/>
    <s v="KWH"/>
    <n v="1"/>
    <n v="6205845"/>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base factor ELECTRICITY; ARGENTINA, IEAto estimate the WTT factor."/>
    <n v="2021"/>
    <n v="2019"/>
    <n v="0"/>
    <n v="0"/>
    <x v="22"/>
    <s v="Labratory"/>
  </r>
  <r>
    <n v="4621"/>
    <s v="Top of Hierarchy &gt; South America &gt; Vantage_Argentina Farm (Agrinsa)"/>
    <x v="2"/>
    <x v="1"/>
    <d v="2021-01-01T00:00:00"/>
    <d v="2021-12-31T00:00:00"/>
    <x v="0"/>
    <d v="2021-01-01T00:00:00"/>
    <d v="2021-12-31T00:00:00"/>
    <s v="Electricity (non-renewable)"/>
    <n v="6205845"/>
    <s v="Kilowatt hours"/>
    <x v="1"/>
    <m/>
    <s v="2023-02-24, 17:18"/>
    <s v="2023-07-20, 00:40"/>
    <n v="2021"/>
    <s v="electricity__wtt"/>
    <s v="Electricity WTT"/>
    <s v="wtt"/>
    <b v="0"/>
    <s v="ELECTRICITY; ARGENTINA; WTT Estimated"/>
    <x v="1"/>
    <x v="1"/>
    <s v="Americas"/>
    <s v="Latin America and the Caribbean"/>
    <s v="AR"/>
    <m/>
    <n v="1"/>
    <s v="CH4"/>
    <n v="394.3863053"/>
    <n v="6.3550800000000001E-5"/>
    <s v="KWH"/>
    <n v="1"/>
    <n v="6205845"/>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base factor ELECTRICITY; ARGENTINA, IEAto estimate the WTT factor."/>
    <n v="2021"/>
    <n v="2019"/>
    <n v="0"/>
    <n v="0"/>
    <x v="22"/>
    <s v="Labratory"/>
  </r>
  <r>
    <n v="4621"/>
    <s v="Top of Hierarchy &gt; South America &gt; Vantage_Argentina Farm (Agrinsa)"/>
    <x v="2"/>
    <x v="1"/>
    <d v="2021-01-01T00:00:00"/>
    <d v="2021-12-31T00:00:00"/>
    <x v="0"/>
    <d v="2021-01-01T00:00:00"/>
    <d v="2021-12-31T00:00:00"/>
    <s v="Electricity (non-renewable)"/>
    <n v="6205845"/>
    <s v="Kilowatt hours"/>
    <x v="1"/>
    <m/>
    <s v="2023-02-24, 17:18"/>
    <s v="2023-07-20, 00:40"/>
    <n v="2021"/>
    <s v="electricity__wtt"/>
    <s v="Electricity WTT"/>
    <s v="wtt"/>
    <b v="0"/>
    <s v="ELECTRICITY; ARGENTINA; WTT Estimated"/>
    <x v="1"/>
    <x v="1"/>
    <s v="Americas"/>
    <s v="Latin America and the Caribbean"/>
    <s v="AR"/>
    <m/>
    <n v="1"/>
    <s v="CO2"/>
    <n v="377559.15629999997"/>
    <n v="6.0839282000000001E-2"/>
    <s v="KWH"/>
    <n v="1"/>
    <n v="6205845"/>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base factor ELECTRICITY; ARGENTINA, IEAto estimate the WTT factor."/>
    <n v="2021"/>
    <n v="2019"/>
    <n v="0"/>
    <n v="0"/>
    <x v="22"/>
    <s v="Labratory"/>
  </r>
  <r>
    <n v="4621"/>
    <s v="Top of Hierarchy &gt; South America &gt; Vantage_Argentina Farm (Agrinsa)"/>
    <x v="2"/>
    <x v="1"/>
    <d v="2021-01-01T00:00:00"/>
    <d v="2021-12-31T00:00:00"/>
    <x v="0"/>
    <d v="2021-01-01T00:00:00"/>
    <d v="2021-12-31T00:00:00"/>
    <s v="Electricity (non-renewable)"/>
    <n v="6205845"/>
    <s v="Kilowatt hours"/>
    <x v="1"/>
    <m/>
    <s v="2023-02-24, 17:18"/>
    <s v="2023-07-20, 00:40"/>
    <n v="2021"/>
    <s v="electricity__wtt"/>
    <s v="Electricity WTT"/>
    <s v="wtt"/>
    <b v="0"/>
    <s v="ELECTRICITY; ARGENTINA; WTT Estimated"/>
    <x v="1"/>
    <x v="1"/>
    <s v="Americas"/>
    <s v="Latin America and the Caribbean"/>
    <s v="AR"/>
    <m/>
    <n v="1"/>
    <s v="CO2E"/>
    <n v="378610.85310000001"/>
    <n v="6.1008751E-2"/>
    <s v="KWH"/>
    <n v="1"/>
    <n v="6205845"/>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base factor ELECTRICITY; ARGENTINA, IEAto estimate the WTT factor."/>
    <n v="2021"/>
    <n v="2019"/>
    <n v="0"/>
    <n v="378.61085309999999"/>
    <x v="22"/>
    <s v="Labratory"/>
  </r>
  <r>
    <n v="4621"/>
    <s v="Top of Hierarchy &gt; South America &gt; Vantage_Argentina Farm (Agrinsa)"/>
    <x v="2"/>
    <x v="1"/>
    <d v="2021-01-01T00:00:00"/>
    <d v="2021-12-31T00:00:00"/>
    <x v="0"/>
    <d v="2021-01-01T00:00:00"/>
    <d v="2021-12-31T00:00:00"/>
    <s v="Electricity (non-renewable)"/>
    <n v="6205845"/>
    <s v="Kilowatt hours"/>
    <x v="1"/>
    <m/>
    <s v="2023-02-24, 17:18"/>
    <s v="2023-07-20, 00:40"/>
    <n v="2021"/>
    <s v="electricity__wtt"/>
    <s v="Electricity WTT"/>
    <s v="wtt"/>
    <b v="0"/>
    <s v="ELECTRICITY; ARGENTINA; WTT Estimated"/>
    <x v="1"/>
    <x v="1"/>
    <s v="Americas"/>
    <s v="Latin America and the Caribbean"/>
    <s v="AR"/>
    <m/>
    <n v="1"/>
    <s v="N2O"/>
    <n v="657.31050879999998"/>
    <n v="1.05918E-4"/>
    <s v="KWH"/>
    <n v="1"/>
    <n v="6205845"/>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base factor ELECTRICITY; ARGENTINA, IEAto estimate the WTT factor."/>
    <n v="2021"/>
    <n v="2019"/>
    <n v="0"/>
    <n v="0"/>
    <x v="22"/>
    <s v="Labratory"/>
  </r>
  <r>
    <n v="4621"/>
    <s v="Top of Hierarchy &gt; South America &gt; Vantage_Argentina Farm (Agrinsa)"/>
    <x v="2"/>
    <x v="1"/>
    <d v="2021-01-01T00:00:00"/>
    <d v="2021-12-31T00:00:00"/>
    <x v="0"/>
    <d v="2021-01-01T00:00:00"/>
    <d v="2021-12-31T00:00:00"/>
    <s v="Electricity (non-renewable)"/>
    <n v="6205845"/>
    <s v="Kilowatt hours"/>
    <x v="1"/>
    <m/>
    <s v="2023-02-24, 17:18"/>
    <s v="2023-07-20, 00:40"/>
    <n v="2021"/>
    <s v="electricity__t+d"/>
    <s v="Electricity T&amp;D"/>
    <s v="t+d"/>
    <b v="0"/>
    <s v="ELECTRICITY; TRANSMISSION AND DISTRIBUTION; ARGENTINA"/>
    <x v="1"/>
    <x v="1"/>
    <s v="Americas"/>
    <s v="Latin America and the Caribbean"/>
    <s v="AR"/>
    <m/>
    <n v="0"/>
    <s v="CO2E"/>
    <n v="253198.476"/>
    <s v="RESTRICTED"/>
    <s v="KWH"/>
    <n v="1"/>
    <n v="6205845"/>
    <s v="AR4"/>
    <s v="IEA"/>
    <s v="IEA (2021)"/>
    <n v="2021"/>
    <n v="2019"/>
    <n v="253.198476"/>
    <n v="0"/>
    <x v="22"/>
    <s v="Labratory"/>
  </r>
  <r>
    <n v="4621"/>
    <s v="Top of Hierarchy &gt; South America &gt; Vantage_Argentina Farm (Agrinsa)"/>
    <x v="2"/>
    <x v="1"/>
    <d v="2021-01-01T00:00:00"/>
    <d v="2021-12-31T00:00:00"/>
    <x v="0"/>
    <d v="2021-01-01T00:00:00"/>
    <d v="2021-12-31T00:00:00"/>
    <s v="Electricity (non-renewable)"/>
    <n v="6205845"/>
    <s v="Kilowatt hours"/>
    <x v="1"/>
    <m/>
    <s v="2023-02-24, 17:18"/>
    <s v="2023-07-20, 00:40"/>
    <n v="2021"/>
    <s v="electricity__t+d"/>
    <s v="Electricity T&amp;D"/>
    <s v="t+d"/>
    <b v="0"/>
    <s v="ELECTRICITY; TRANSMISSION AND DISTRIBUTION; ARGENTINA"/>
    <x v="1"/>
    <x v="1"/>
    <s v="Americas"/>
    <s v="Latin America and the Caribbean"/>
    <s v="AR"/>
    <m/>
    <n v="1"/>
    <s v="CO2E"/>
    <n v="253198.476"/>
    <s v="RESTRICTED"/>
    <s v="KWH"/>
    <n v="1"/>
    <n v="6205845"/>
    <s v="AR4"/>
    <s v="IEA"/>
    <s v="IEA (2021)"/>
    <n v="2021"/>
    <n v="2019"/>
    <n v="0"/>
    <n v="253.198476"/>
    <x v="22"/>
    <s v="Labratory"/>
  </r>
  <r>
    <n v="4967"/>
    <s v="Top of Hierarchy &gt; South America &gt; Vantage_Argentina Farm (Agrinsa)"/>
    <x v="2"/>
    <x v="1"/>
    <d v="2021-01-01T00:00:00"/>
    <d v="2021-12-31T00:00:00"/>
    <x v="3"/>
    <d v="2021-01-01T00:00:00"/>
    <d v="2021-12-31T00:00:00"/>
    <s v="Natural gas"/>
    <n v="0"/>
    <s v="cubic feet"/>
    <x v="1"/>
    <m/>
    <s v="2023-02-27, 16:27"/>
    <s v="2023-07-20, 00:40"/>
    <n v="2021"/>
    <s v="natural_gas"/>
    <s v="Natural Gas"/>
    <s v="model"/>
    <b v="0"/>
    <s v="NATURAL GAS, NATURAL GAS"/>
    <x v="2"/>
    <x v="0"/>
    <s v="Americas"/>
    <m/>
    <m/>
    <m/>
    <n v="0"/>
    <s v="CH4"/>
    <n v="0"/>
    <n v="2.5749999999999999E-5"/>
    <s v="SCF"/>
    <n v="1"/>
    <n v="0"/>
    <s v="AR4"/>
    <s v="USEPA"/>
    <s v="USEPA Emission Factors Hub (Last Modified: March 2020)"/>
    <n v="2021"/>
    <n v="2020"/>
    <n v="0"/>
    <n v="0"/>
    <x v="22"/>
    <s v="Labratory"/>
  </r>
  <r>
    <n v="4967"/>
    <s v="Top of Hierarchy &gt; South America &gt; Vantage_Argentina Farm (Agrinsa)"/>
    <x v="2"/>
    <x v="1"/>
    <d v="2021-01-01T00:00:00"/>
    <d v="2021-12-31T00:00:00"/>
    <x v="3"/>
    <d v="2021-01-01T00:00:00"/>
    <d v="2021-12-31T00:00:00"/>
    <s v="Natural gas"/>
    <n v="0"/>
    <s v="cubic feet"/>
    <x v="1"/>
    <m/>
    <s v="2023-02-27, 16:27"/>
    <s v="2023-07-20, 00:40"/>
    <n v="2021"/>
    <s v="natural_gas"/>
    <s v="Natural Gas"/>
    <s v="model"/>
    <b v="0"/>
    <s v="NATURAL GAS, NATURAL GAS"/>
    <x v="2"/>
    <x v="0"/>
    <s v="Americas"/>
    <m/>
    <m/>
    <m/>
    <n v="0"/>
    <s v="CO2"/>
    <n v="0"/>
    <n v="5.4440000000000002E-2"/>
    <s v="SCF"/>
    <n v="1"/>
    <n v="0"/>
    <s v="AR4"/>
    <s v="USEPA"/>
    <s v="USEPA (2021)"/>
    <n v="2021"/>
    <n v="2021"/>
    <n v="0"/>
    <n v="0"/>
    <x v="22"/>
    <s v="Labratory"/>
  </r>
  <r>
    <n v="4967"/>
    <s v="Top of Hierarchy &gt; South America &gt; Vantage_Argentina Farm (Agrinsa)"/>
    <x v="2"/>
    <x v="1"/>
    <d v="2021-01-01T00:00:00"/>
    <d v="2021-12-31T00:00:00"/>
    <x v="3"/>
    <d v="2021-01-01T00:00:00"/>
    <d v="2021-12-31T00:00:00"/>
    <s v="Natural gas"/>
    <n v="0"/>
    <s v="cubic feet"/>
    <x v="1"/>
    <m/>
    <s v="2023-02-27, 16:27"/>
    <s v="2023-07-20, 00:40"/>
    <n v="2021"/>
    <s v="natural_gas"/>
    <s v="Natural Gas"/>
    <s v="model"/>
    <b v="0"/>
    <s v="NATURAL GAS, NATURAL GAS"/>
    <x v="2"/>
    <x v="0"/>
    <s v="Americas"/>
    <m/>
    <m/>
    <m/>
    <n v="0"/>
    <s v="CO2E"/>
    <n v="0"/>
    <n v="5.4495549999999997E-2"/>
    <s v="SCF"/>
    <n v="1"/>
    <n v="0"/>
    <s v="AR4"/>
    <s v="USEPA"/>
    <s v="USEPA Emission Factors Hub (Last Modified: March 2020)"/>
    <n v="2021"/>
    <n v="2020"/>
    <n v="0"/>
    <n v="0"/>
    <x v="22"/>
    <s v="Labratory"/>
  </r>
  <r>
    <n v="4967"/>
    <s v="Top of Hierarchy &gt; South America &gt; Vantage_Argentina Farm (Agrinsa)"/>
    <x v="2"/>
    <x v="1"/>
    <d v="2021-01-01T00:00:00"/>
    <d v="2021-12-31T00:00:00"/>
    <x v="3"/>
    <d v="2021-01-01T00:00:00"/>
    <d v="2021-12-31T00:00:00"/>
    <s v="Natural gas"/>
    <n v="0"/>
    <s v="cubic feet"/>
    <x v="1"/>
    <m/>
    <s v="2023-02-27, 16:27"/>
    <s v="2023-07-20, 00:40"/>
    <n v="2021"/>
    <s v="natural_gas"/>
    <s v="Natural Gas"/>
    <s v="model"/>
    <b v="0"/>
    <s v="NATURAL GAS, NATURAL GAS"/>
    <x v="2"/>
    <x v="0"/>
    <s v="Americas"/>
    <m/>
    <m/>
    <m/>
    <n v="0"/>
    <s v="N2O"/>
    <n v="0"/>
    <n v="2.9799999999999999E-5"/>
    <s v="SCF"/>
    <n v="1"/>
    <n v="0"/>
    <s v="AR4"/>
    <s v="USEPA"/>
    <s v="USEPA (2021)"/>
    <n v="2021"/>
    <n v="2021"/>
    <n v="0"/>
    <n v="0"/>
    <x v="22"/>
    <s v="Labratory"/>
  </r>
  <r>
    <n v="4967"/>
    <s v="Top of Hierarchy &gt; South America &gt; Vantage_Argentina Farm (Agrinsa)"/>
    <x v="2"/>
    <x v="1"/>
    <d v="2021-01-01T00:00:00"/>
    <d v="2021-12-31T00:00:00"/>
    <x v="3"/>
    <d v="2021-01-01T00:00:00"/>
    <d v="2021-12-31T00:00:00"/>
    <s v="Natural gas"/>
    <n v="0"/>
    <s v="cubic feet"/>
    <x v="1"/>
    <m/>
    <s v="2023-02-27, 16:27"/>
    <s v="2023-07-20, 00:40"/>
    <n v="2021"/>
    <s v="natural_gas"/>
    <s v="Natural Gas"/>
    <s v="model"/>
    <b v="0"/>
    <s v="NATURAL GAS, NATURAL GAS"/>
    <x v="2"/>
    <x v="0"/>
    <s v="Americas"/>
    <m/>
    <m/>
    <m/>
    <n v="1"/>
    <s v="CH4"/>
    <n v="0"/>
    <n v="2.5749999999999999E-5"/>
    <s v="SCF"/>
    <n v="1"/>
    <n v="0"/>
    <s v="AR4"/>
    <s v="USEPA"/>
    <s v="USEPA Emission Factors Hub (Last Modified: March 2020)"/>
    <n v="2021"/>
    <n v="2020"/>
    <n v="0"/>
    <n v="0"/>
    <x v="22"/>
    <s v="Labratory"/>
  </r>
  <r>
    <n v="4967"/>
    <s v="Top of Hierarchy &gt; South America &gt; Vantage_Argentina Farm (Agrinsa)"/>
    <x v="2"/>
    <x v="1"/>
    <d v="2021-01-01T00:00:00"/>
    <d v="2021-12-31T00:00:00"/>
    <x v="3"/>
    <d v="2021-01-01T00:00:00"/>
    <d v="2021-12-31T00:00:00"/>
    <s v="Natural gas"/>
    <n v="0"/>
    <s v="cubic feet"/>
    <x v="1"/>
    <m/>
    <s v="2023-02-27, 16:27"/>
    <s v="2023-07-20, 00:40"/>
    <n v="2021"/>
    <s v="natural_gas"/>
    <s v="Natural Gas"/>
    <s v="model"/>
    <b v="0"/>
    <s v="NATURAL GAS, NATURAL GAS"/>
    <x v="2"/>
    <x v="0"/>
    <s v="Americas"/>
    <m/>
    <m/>
    <m/>
    <n v="1"/>
    <s v="CO2"/>
    <n v="0"/>
    <n v="5.4440000000000002E-2"/>
    <s v="SCF"/>
    <n v="1"/>
    <n v="0"/>
    <s v="AR4"/>
    <s v="USEPA"/>
    <s v="USEPA (2021)"/>
    <n v="2021"/>
    <n v="2021"/>
    <n v="0"/>
    <n v="0"/>
    <x v="22"/>
    <s v="Labratory"/>
  </r>
  <r>
    <n v="4967"/>
    <s v="Top of Hierarchy &gt; South America &gt; Vantage_Argentina Farm (Agrinsa)"/>
    <x v="2"/>
    <x v="1"/>
    <d v="2021-01-01T00:00:00"/>
    <d v="2021-12-31T00:00:00"/>
    <x v="3"/>
    <d v="2021-01-01T00:00:00"/>
    <d v="2021-12-31T00:00:00"/>
    <s v="Natural gas"/>
    <n v="0"/>
    <s v="cubic feet"/>
    <x v="1"/>
    <m/>
    <s v="2023-02-27, 16:27"/>
    <s v="2023-07-20, 00:40"/>
    <n v="2021"/>
    <s v="natural_gas"/>
    <s v="Natural Gas"/>
    <s v="model"/>
    <b v="0"/>
    <s v="NATURAL GAS, NATURAL GAS"/>
    <x v="2"/>
    <x v="0"/>
    <s v="Americas"/>
    <m/>
    <m/>
    <m/>
    <n v="1"/>
    <s v="CO2E"/>
    <n v="0"/>
    <n v="5.4495549999999997E-2"/>
    <s v="SCF"/>
    <n v="1"/>
    <n v="0"/>
    <s v="AR4"/>
    <s v="USEPA"/>
    <s v="USEPA Emission Factors Hub (Last Modified: March 2020)"/>
    <n v="2021"/>
    <n v="2020"/>
    <n v="0"/>
    <n v="0"/>
    <x v="22"/>
    <s v="Labratory"/>
  </r>
  <r>
    <n v="4967"/>
    <s v="Top of Hierarchy &gt; South America &gt; Vantage_Argentina Farm (Agrinsa)"/>
    <x v="2"/>
    <x v="1"/>
    <d v="2021-01-01T00:00:00"/>
    <d v="2021-12-31T00:00:00"/>
    <x v="3"/>
    <d v="2021-01-01T00:00:00"/>
    <d v="2021-12-31T00:00:00"/>
    <s v="Natural gas"/>
    <n v="0"/>
    <s v="cubic feet"/>
    <x v="1"/>
    <m/>
    <s v="2023-02-27, 16:27"/>
    <s v="2023-07-20, 00:40"/>
    <n v="2021"/>
    <s v="natural_gas"/>
    <s v="Natural Gas"/>
    <s v="model"/>
    <b v="0"/>
    <s v="NATURAL GAS, NATURAL GAS"/>
    <x v="2"/>
    <x v="0"/>
    <s v="Americas"/>
    <m/>
    <m/>
    <m/>
    <n v="1"/>
    <s v="N2O"/>
    <n v="0"/>
    <n v="2.9799999999999999E-5"/>
    <s v="SCF"/>
    <n v="1"/>
    <n v="0"/>
    <s v="AR4"/>
    <s v="USEPA"/>
    <s v="USEPA (2021)"/>
    <n v="2021"/>
    <n v="2021"/>
    <n v="0"/>
    <n v="0"/>
    <x v="22"/>
    <s v="Labratory"/>
  </r>
  <r>
    <n v="4967"/>
    <s v="Top of Hierarchy &gt; South America &gt; Vantage_Argentina Farm (Agrinsa)"/>
    <x v="2"/>
    <x v="1"/>
    <d v="2021-01-01T00:00:00"/>
    <d v="2021-12-31T00:00:00"/>
    <x v="3"/>
    <d v="2021-01-01T00:00:00"/>
    <d v="2021-12-31T00:00:00"/>
    <s v="Natural gas"/>
    <n v="0"/>
    <s v="cubic feet"/>
    <x v="1"/>
    <m/>
    <s v="2023-02-27, 16:27"/>
    <s v="2023-07-20, 00:40"/>
    <n v="2021"/>
    <s v="natural_gas__wtt"/>
    <s v="Natural Gas WTT"/>
    <s v="wtt"/>
    <b v="0"/>
    <s v="WTT- FUELS; WTT- GASEOUS FUELS; NATURAL GAS"/>
    <x v="1"/>
    <x v="1"/>
    <m/>
    <m/>
    <m/>
    <m/>
    <n v="0"/>
    <s v="CO2E"/>
    <n v="0"/>
    <n v="0.34593000000000002"/>
    <s v="CUBIC METRES"/>
    <n v="2.83168E-2"/>
    <n v="0"/>
    <s v="AR4"/>
    <s v="Defra"/>
    <s v="Defra (2021)"/>
    <n v="2021"/>
    <n v="2019"/>
    <n v="0"/>
    <n v="0"/>
    <x v="22"/>
    <s v="Labratory"/>
  </r>
  <r>
    <n v="4967"/>
    <s v="Top of Hierarchy &gt; South America &gt; Vantage_Argentina Farm (Agrinsa)"/>
    <x v="2"/>
    <x v="1"/>
    <d v="2021-01-01T00:00:00"/>
    <d v="2021-12-31T00:00:00"/>
    <x v="3"/>
    <d v="2021-01-01T00:00:00"/>
    <d v="2021-12-31T00:00:00"/>
    <s v="Natural gas"/>
    <n v="0"/>
    <s v="cubic feet"/>
    <x v="1"/>
    <m/>
    <s v="2023-02-27, 16:27"/>
    <s v="2023-07-20, 00:40"/>
    <n v="2021"/>
    <s v="natural_gas__wtt"/>
    <s v="Natural Gas WTT"/>
    <s v="wtt"/>
    <b v="0"/>
    <s v="WTT- FUELS; WTT- GASEOUS FUELS; NATURAL GAS"/>
    <x v="1"/>
    <x v="1"/>
    <m/>
    <m/>
    <m/>
    <m/>
    <n v="1"/>
    <s v="CO2E"/>
    <n v="0"/>
    <n v="0.34593000000000002"/>
    <s v="CUBIC METRES"/>
    <n v="2.83168E-2"/>
    <n v="0"/>
    <s v="AR4"/>
    <s v="Defra"/>
    <s v="Defra (2021)"/>
    <n v="2021"/>
    <n v="2019"/>
    <n v="0"/>
    <n v="0"/>
    <x v="22"/>
    <s v="Labratory"/>
  </r>
  <r>
    <n v="4992"/>
    <s v="Top of Hierarchy &gt; South America &gt; Vantage_Argentina Farm (Agrinsa)"/>
    <x v="2"/>
    <x v="1"/>
    <d v="2021-01-01T00:00:00"/>
    <d v="2021-12-31T00:00:00"/>
    <x v="1"/>
    <d v="2021-01-01T00:00:00"/>
    <d v="2021-12-31T00:00:00"/>
    <s v="Diesel (100% mineral diesel)"/>
    <n v="35255.339999999997"/>
    <s v="litres"/>
    <x v="1"/>
    <m/>
    <s v="2023-02-27, 16:27"/>
    <s v="2023-07-20, 00:40"/>
    <n v="2021"/>
    <s v="diesel_100p_mineral_diesel"/>
    <s v="Diesel (100% Mineral Diesel)"/>
    <s v="model"/>
    <b v="0"/>
    <s v="FUELS; LIQUID FUELS; DIESEL (100% MINERAL DIESEL)"/>
    <x v="2"/>
    <x v="0"/>
    <m/>
    <m/>
    <m/>
    <m/>
    <n v="0"/>
    <s v="CH4"/>
    <n v="9.1663884000000007"/>
    <n v="2.5999999999999998E-4"/>
    <s v="LITRES"/>
    <n v="1"/>
    <n v="35255.339999999997"/>
    <s v="AR4"/>
    <s v="Defra"/>
    <s v="Defra (2021)"/>
    <n v="2021"/>
    <n v="2019"/>
    <n v="0"/>
    <n v="0"/>
    <x v="22"/>
    <s v="Labratory"/>
  </r>
  <r>
    <n v="4992"/>
    <s v="Top of Hierarchy &gt; South America &gt; Vantage_Argentina Farm (Agrinsa)"/>
    <x v="2"/>
    <x v="1"/>
    <d v="2021-01-01T00:00:00"/>
    <d v="2021-12-31T00:00:00"/>
    <x v="1"/>
    <d v="2021-01-01T00:00:00"/>
    <d v="2021-12-31T00:00:00"/>
    <s v="Diesel (100% mineral diesel)"/>
    <n v="35255.339999999997"/>
    <s v="litres"/>
    <x v="1"/>
    <m/>
    <s v="2023-02-27, 16:27"/>
    <s v="2023-07-20, 00:40"/>
    <n v="2021"/>
    <s v="diesel_100p_mineral_diesel"/>
    <s v="Diesel (100% Mineral Diesel)"/>
    <s v="model"/>
    <b v="0"/>
    <s v="FUELS; LIQUID FUELS; DIESEL (100% MINERAL DIESEL)"/>
    <x v="2"/>
    <x v="0"/>
    <m/>
    <m/>
    <m/>
    <m/>
    <n v="0"/>
    <s v="CO2"/>
    <n v="94063.714989999993"/>
    <n v="2.6680700000000002"/>
    <s v="LITRES"/>
    <n v="1"/>
    <n v="35255.339999999997"/>
    <s v="AR4"/>
    <s v="Defra"/>
    <s v="Defra (2021)"/>
    <n v="2021"/>
    <n v="2019"/>
    <n v="0"/>
    <n v="0"/>
    <x v="22"/>
    <s v="Labratory"/>
  </r>
  <r>
    <n v="4992"/>
    <s v="Top of Hierarchy &gt; South America &gt; Vantage_Argentina Farm (Agrinsa)"/>
    <x v="2"/>
    <x v="1"/>
    <d v="2021-01-01T00:00:00"/>
    <d v="2021-12-31T00:00:00"/>
    <x v="1"/>
    <d v="2021-01-01T00:00:00"/>
    <d v="2021-12-31T00:00:00"/>
    <s v="Diesel (100% mineral diesel)"/>
    <n v="35255.339999999997"/>
    <s v="litres"/>
    <x v="1"/>
    <m/>
    <s v="2023-02-27, 16:27"/>
    <s v="2023-07-20, 00:40"/>
    <n v="2021"/>
    <s v="diesel_100p_mineral_diesel"/>
    <s v="Diesel (100% Mineral Diesel)"/>
    <s v="model"/>
    <b v="0"/>
    <s v="FUELS; LIQUID FUELS; DIESEL (100% MINERAL DIESEL)"/>
    <x v="2"/>
    <x v="0"/>
    <m/>
    <m/>
    <m/>
    <m/>
    <n v="0"/>
    <s v="CO2E"/>
    <n v="95384.38003"/>
    <n v="2.70553"/>
    <s v="LITRES"/>
    <n v="1"/>
    <n v="35255.339999999997"/>
    <s v="AR4"/>
    <s v="Defra"/>
    <s v="Defra (2021)"/>
    <n v="2021"/>
    <n v="2019"/>
    <n v="95.384380030000003"/>
    <n v="0"/>
    <x v="22"/>
    <s v="Labratory"/>
  </r>
  <r>
    <n v="4992"/>
    <s v="Top of Hierarchy &gt; South America &gt; Vantage_Argentina Farm (Agrinsa)"/>
    <x v="2"/>
    <x v="1"/>
    <d v="2021-01-01T00:00:00"/>
    <d v="2021-12-31T00:00:00"/>
    <x v="1"/>
    <d v="2021-01-01T00:00:00"/>
    <d v="2021-12-31T00:00:00"/>
    <s v="Diesel (100% mineral diesel)"/>
    <n v="35255.339999999997"/>
    <s v="litres"/>
    <x v="1"/>
    <m/>
    <s v="2023-02-27, 16:27"/>
    <s v="2023-07-20, 00:40"/>
    <n v="2021"/>
    <s v="diesel_100p_mineral_diesel"/>
    <s v="Diesel (100% Mineral Diesel)"/>
    <s v="model"/>
    <b v="0"/>
    <s v="FUELS; LIQUID FUELS; DIESEL (100% MINERAL DIESEL)"/>
    <x v="2"/>
    <x v="0"/>
    <m/>
    <m/>
    <m/>
    <m/>
    <n v="0"/>
    <s v="N2O"/>
    <n v="1311.498648"/>
    <n v="3.7199999999999997E-2"/>
    <s v="LITRES"/>
    <n v="1"/>
    <n v="35255.339999999997"/>
    <s v="AR4"/>
    <s v="Defra"/>
    <s v="Defra (2021)"/>
    <n v="2021"/>
    <n v="2019"/>
    <n v="0"/>
    <n v="0"/>
    <x v="22"/>
    <s v="Labratory"/>
  </r>
  <r>
    <n v="4992"/>
    <s v="Top of Hierarchy &gt; South America &gt; Vantage_Argentina Farm (Agrinsa)"/>
    <x v="2"/>
    <x v="1"/>
    <d v="2021-01-01T00:00:00"/>
    <d v="2021-12-31T00:00:00"/>
    <x v="1"/>
    <d v="2021-01-01T00:00:00"/>
    <d v="2021-12-31T00:00:00"/>
    <s v="Diesel (100% mineral diesel)"/>
    <n v="35255.339999999997"/>
    <s v="litres"/>
    <x v="1"/>
    <m/>
    <s v="2023-02-27, 16:27"/>
    <s v="2023-07-20, 00:40"/>
    <n v="2021"/>
    <s v="diesel_100p_mineral_diesel"/>
    <s v="Diesel (100% Mineral Diesel)"/>
    <s v="model"/>
    <b v="0"/>
    <s v="FUELS; LIQUID FUELS; DIESEL (100% MINERAL DIESEL)"/>
    <x v="2"/>
    <x v="0"/>
    <m/>
    <m/>
    <m/>
    <m/>
    <n v="1"/>
    <s v="CH4"/>
    <n v="9.1663884000000007"/>
    <n v="2.5999999999999998E-4"/>
    <s v="LITRES"/>
    <n v="1"/>
    <n v="35255.339999999997"/>
    <s v="AR4"/>
    <s v="Defra"/>
    <s v="Defra (2021)"/>
    <n v="2021"/>
    <n v="2019"/>
    <n v="0"/>
    <n v="0"/>
    <x v="22"/>
    <s v="Labratory"/>
  </r>
  <r>
    <n v="4992"/>
    <s v="Top of Hierarchy &gt; South America &gt; Vantage_Argentina Farm (Agrinsa)"/>
    <x v="2"/>
    <x v="1"/>
    <d v="2021-01-01T00:00:00"/>
    <d v="2021-12-31T00:00:00"/>
    <x v="1"/>
    <d v="2021-01-01T00:00:00"/>
    <d v="2021-12-31T00:00:00"/>
    <s v="Diesel (100% mineral diesel)"/>
    <n v="35255.339999999997"/>
    <s v="litres"/>
    <x v="1"/>
    <m/>
    <s v="2023-02-27, 16:27"/>
    <s v="2023-07-20, 00:40"/>
    <n v="2021"/>
    <s v="diesel_100p_mineral_diesel"/>
    <s v="Diesel (100% Mineral Diesel)"/>
    <s v="model"/>
    <b v="0"/>
    <s v="FUELS; LIQUID FUELS; DIESEL (100% MINERAL DIESEL)"/>
    <x v="2"/>
    <x v="0"/>
    <m/>
    <m/>
    <m/>
    <m/>
    <n v="1"/>
    <s v="CO2"/>
    <n v="94063.714989999993"/>
    <n v="2.6680700000000002"/>
    <s v="LITRES"/>
    <n v="1"/>
    <n v="35255.339999999997"/>
    <s v="AR4"/>
    <s v="Defra"/>
    <s v="Defra (2021)"/>
    <n v="2021"/>
    <n v="2019"/>
    <n v="0"/>
    <n v="0"/>
    <x v="22"/>
    <s v="Labratory"/>
  </r>
  <r>
    <n v="4992"/>
    <s v="Top of Hierarchy &gt; South America &gt; Vantage_Argentina Farm (Agrinsa)"/>
    <x v="2"/>
    <x v="1"/>
    <d v="2021-01-01T00:00:00"/>
    <d v="2021-12-31T00:00:00"/>
    <x v="1"/>
    <d v="2021-01-01T00:00:00"/>
    <d v="2021-12-31T00:00:00"/>
    <s v="Diesel (100% mineral diesel)"/>
    <n v="35255.339999999997"/>
    <s v="litres"/>
    <x v="1"/>
    <m/>
    <s v="2023-02-27, 16:27"/>
    <s v="2023-07-20, 00:40"/>
    <n v="2021"/>
    <s v="diesel_100p_mineral_diesel"/>
    <s v="Diesel (100% Mineral Diesel)"/>
    <s v="model"/>
    <b v="0"/>
    <s v="FUELS; LIQUID FUELS; DIESEL (100% MINERAL DIESEL)"/>
    <x v="2"/>
    <x v="0"/>
    <m/>
    <m/>
    <m/>
    <m/>
    <n v="1"/>
    <s v="CO2E"/>
    <n v="95384.38003"/>
    <n v="2.70553"/>
    <s v="LITRES"/>
    <n v="1"/>
    <n v="35255.339999999997"/>
    <s v="AR4"/>
    <s v="Defra"/>
    <s v="Defra (2021)"/>
    <n v="2021"/>
    <n v="2019"/>
    <n v="0"/>
    <n v="95.384380030000003"/>
    <x v="22"/>
    <s v="Labratory"/>
  </r>
  <r>
    <n v="4992"/>
    <s v="Top of Hierarchy &gt; South America &gt; Vantage_Argentina Farm (Agrinsa)"/>
    <x v="2"/>
    <x v="1"/>
    <d v="2021-01-01T00:00:00"/>
    <d v="2021-12-31T00:00:00"/>
    <x v="1"/>
    <d v="2021-01-01T00:00:00"/>
    <d v="2021-12-31T00:00:00"/>
    <s v="Diesel (100% mineral diesel)"/>
    <n v="35255.339999999997"/>
    <s v="litres"/>
    <x v="1"/>
    <m/>
    <s v="2023-02-27, 16:27"/>
    <s v="2023-07-20, 00:40"/>
    <n v="2021"/>
    <s v="diesel_100p_mineral_diesel"/>
    <s v="Diesel (100% Mineral Diesel)"/>
    <s v="model"/>
    <b v="0"/>
    <s v="FUELS; LIQUID FUELS; DIESEL (100% MINERAL DIESEL)"/>
    <x v="2"/>
    <x v="0"/>
    <m/>
    <m/>
    <m/>
    <m/>
    <n v="1"/>
    <s v="N2O"/>
    <n v="1311.498648"/>
    <n v="3.7199999999999997E-2"/>
    <s v="LITRES"/>
    <n v="1"/>
    <n v="35255.339999999997"/>
    <s v="AR4"/>
    <s v="Defra"/>
    <s v="Defra (2021)"/>
    <n v="2021"/>
    <n v="2019"/>
    <n v="0"/>
    <n v="0"/>
    <x v="22"/>
    <s v="Labratory"/>
  </r>
  <r>
    <n v="4992"/>
    <s v="Top of Hierarchy &gt; South America &gt; Vantage_Argentina Farm (Agrinsa)"/>
    <x v="2"/>
    <x v="1"/>
    <d v="2021-01-01T00:00:00"/>
    <d v="2021-12-31T00:00:00"/>
    <x v="1"/>
    <d v="2021-01-01T00:00:00"/>
    <d v="2021-12-31T00:00:00"/>
    <s v="Diesel (100% mineral diesel)"/>
    <n v="35255.339999999997"/>
    <s v="litres"/>
    <x v="1"/>
    <m/>
    <s v="2023-02-27, 16:27"/>
    <s v="2023-07-20, 00:40"/>
    <n v="2021"/>
    <s v="diesel_100p_mineral_diesel__wtt"/>
    <s v="Diesel (100% Mineral Diesel) WTT"/>
    <s v="wtt"/>
    <b v="0"/>
    <s v="WTT- FUELS; WTT- LIQUID FUELS; DIESEL (100% MINERAL DIESEL)"/>
    <x v="1"/>
    <x v="1"/>
    <m/>
    <m/>
    <m/>
    <m/>
    <n v="0"/>
    <s v="CO2E"/>
    <n v="22166.442470000002"/>
    <n v="0.62873999999999997"/>
    <s v="LITRES"/>
    <n v="1"/>
    <n v="35255.339999999997"/>
    <s v="AR4"/>
    <s v="Defra"/>
    <s v="Defra (2021)"/>
    <n v="2021"/>
    <n v="2019"/>
    <n v="22.166442470000003"/>
    <n v="0"/>
    <x v="22"/>
    <s v="Labratory"/>
  </r>
  <r>
    <n v="4992"/>
    <s v="Top of Hierarchy &gt; South America &gt; Vantage_Argentina Farm (Agrinsa)"/>
    <x v="2"/>
    <x v="1"/>
    <d v="2021-01-01T00:00:00"/>
    <d v="2021-12-31T00:00:00"/>
    <x v="1"/>
    <d v="2021-01-01T00:00:00"/>
    <d v="2021-12-31T00:00:00"/>
    <s v="Diesel (100% mineral diesel)"/>
    <n v="35255.339999999997"/>
    <s v="litres"/>
    <x v="1"/>
    <m/>
    <s v="2023-02-27, 16:27"/>
    <s v="2023-07-20, 00:40"/>
    <n v="2021"/>
    <s v="diesel_100p_mineral_diesel__wtt"/>
    <s v="Diesel (100% Mineral Diesel) WTT"/>
    <s v="wtt"/>
    <b v="0"/>
    <s v="WTT- FUELS; WTT- LIQUID FUELS; DIESEL (100% MINERAL DIESEL)"/>
    <x v="1"/>
    <x v="1"/>
    <m/>
    <m/>
    <m/>
    <m/>
    <n v="1"/>
    <s v="CO2E"/>
    <n v="22166.442470000002"/>
    <n v="0.62873999999999997"/>
    <s v="LITRES"/>
    <n v="1"/>
    <n v="35255.339999999997"/>
    <s v="AR4"/>
    <s v="Defra"/>
    <s v="Defra (2021)"/>
    <n v="2021"/>
    <n v="2019"/>
    <n v="0"/>
    <n v="22.166442470000003"/>
    <x v="22"/>
    <s v="Labratory"/>
  </r>
  <r>
    <n v="4993"/>
    <s v="Top of Hierarchy &gt; South America &gt; Vantage_Argentina Farm (Agrinsa)"/>
    <x v="2"/>
    <x v="1"/>
    <d v="2021-01-01T00:00:00"/>
    <d v="2021-12-31T00:00:00"/>
    <x v="1"/>
    <d v="2021-01-01T00:00:00"/>
    <d v="2021-12-31T00:00:00"/>
    <s v="Diesel (100% mineral diesel)"/>
    <n v="2696.2"/>
    <s v="litres"/>
    <x v="1"/>
    <m/>
    <s v="2023-02-27, 16:27"/>
    <s v="2023-07-20, 00:40"/>
    <n v="2021"/>
    <s v="diesel_100p_mineral_diesel"/>
    <s v="Diesel (100% Mineral Diesel)"/>
    <s v="model"/>
    <b v="0"/>
    <s v="FUELS; LIQUID FUELS; DIESEL (100% MINERAL DIESEL)"/>
    <x v="2"/>
    <x v="0"/>
    <m/>
    <m/>
    <m/>
    <m/>
    <n v="0"/>
    <s v="CH4"/>
    <n v="0.70101199999999997"/>
    <n v="2.5999999999999998E-4"/>
    <s v="LITRES"/>
    <n v="1"/>
    <n v="2696.2"/>
    <s v="AR4"/>
    <s v="Defra"/>
    <s v="Defra (2021)"/>
    <n v="2021"/>
    <n v="2019"/>
    <n v="0"/>
    <n v="0"/>
    <x v="22"/>
    <s v="Labratory"/>
  </r>
  <r>
    <n v="4993"/>
    <s v="Top of Hierarchy &gt; South America &gt; Vantage_Argentina Farm (Agrinsa)"/>
    <x v="2"/>
    <x v="1"/>
    <d v="2021-01-01T00:00:00"/>
    <d v="2021-12-31T00:00:00"/>
    <x v="1"/>
    <d v="2021-01-01T00:00:00"/>
    <d v="2021-12-31T00:00:00"/>
    <s v="Diesel (100% mineral diesel)"/>
    <n v="2696.2"/>
    <s v="litres"/>
    <x v="1"/>
    <m/>
    <s v="2023-02-27, 16:27"/>
    <s v="2023-07-20, 00:40"/>
    <n v="2021"/>
    <s v="diesel_100p_mineral_diesel"/>
    <s v="Diesel (100% Mineral Diesel)"/>
    <s v="model"/>
    <b v="0"/>
    <s v="FUELS; LIQUID FUELS; DIESEL (100% MINERAL DIESEL)"/>
    <x v="2"/>
    <x v="0"/>
    <m/>
    <m/>
    <m/>
    <m/>
    <n v="0"/>
    <s v="CO2"/>
    <n v="7193.6503339999999"/>
    <n v="2.6680700000000002"/>
    <s v="LITRES"/>
    <n v="1"/>
    <n v="2696.2"/>
    <s v="AR4"/>
    <s v="Defra"/>
    <s v="Defra (2021)"/>
    <n v="2021"/>
    <n v="2019"/>
    <n v="0"/>
    <n v="0"/>
    <x v="22"/>
    <s v="Labratory"/>
  </r>
  <r>
    <n v="4993"/>
    <s v="Top of Hierarchy &gt; South America &gt; Vantage_Argentina Farm (Agrinsa)"/>
    <x v="2"/>
    <x v="1"/>
    <d v="2021-01-01T00:00:00"/>
    <d v="2021-12-31T00:00:00"/>
    <x v="1"/>
    <d v="2021-01-01T00:00:00"/>
    <d v="2021-12-31T00:00:00"/>
    <s v="Diesel (100% mineral diesel)"/>
    <n v="2696.2"/>
    <s v="litres"/>
    <x v="1"/>
    <m/>
    <s v="2023-02-27, 16:27"/>
    <s v="2023-07-20, 00:40"/>
    <n v="2021"/>
    <s v="diesel_100p_mineral_diesel"/>
    <s v="Diesel (100% Mineral Diesel)"/>
    <s v="model"/>
    <b v="0"/>
    <s v="FUELS; LIQUID FUELS; DIESEL (100% MINERAL DIESEL)"/>
    <x v="2"/>
    <x v="0"/>
    <m/>
    <m/>
    <m/>
    <m/>
    <n v="0"/>
    <s v="CO2E"/>
    <n v="7294.6499860000004"/>
    <n v="2.70553"/>
    <s v="LITRES"/>
    <n v="1"/>
    <n v="2696.2"/>
    <s v="AR4"/>
    <s v="Defra"/>
    <s v="Defra (2021)"/>
    <n v="2021"/>
    <n v="2019"/>
    <n v="7.2946499860000005"/>
    <n v="0"/>
    <x v="22"/>
    <s v="Labratory"/>
  </r>
  <r>
    <n v="4993"/>
    <s v="Top of Hierarchy &gt; South America &gt; Vantage_Argentina Farm (Agrinsa)"/>
    <x v="2"/>
    <x v="1"/>
    <d v="2021-01-01T00:00:00"/>
    <d v="2021-12-31T00:00:00"/>
    <x v="1"/>
    <d v="2021-01-01T00:00:00"/>
    <d v="2021-12-31T00:00:00"/>
    <s v="Diesel (100% mineral diesel)"/>
    <n v="2696.2"/>
    <s v="litres"/>
    <x v="1"/>
    <m/>
    <s v="2023-02-27, 16:27"/>
    <s v="2023-07-20, 00:40"/>
    <n v="2021"/>
    <s v="diesel_100p_mineral_diesel"/>
    <s v="Diesel (100% Mineral Diesel)"/>
    <s v="model"/>
    <b v="0"/>
    <s v="FUELS; LIQUID FUELS; DIESEL (100% MINERAL DIESEL)"/>
    <x v="2"/>
    <x v="0"/>
    <m/>
    <m/>
    <m/>
    <m/>
    <n v="0"/>
    <s v="N2O"/>
    <n v="100.29864000000001"/>
    <n v="3.7199999999999997E-2"/>
    <s v="LITRES"/>
    <n v="1"/>
    <n v="2696.2"/>
    <s v="AR4"/>
    <s v="Defra"/>
    <s v="Defra (2021)"/>
    <n v="2021"/>
    <n v="2019"/>
    <n v="0"/>
    <n v="0"/>
    <x v="22"/>
    <s v="Labratory"/>
  </r>
  <r>
    <n v="4993"/>
    <s v="Top of Hierarchy &gt; South America &gt; Vantage_Argentina Farm (Agrinsa)"/>
    <x v="2"/>
    <x v="1"/>
    <d v="2021-01-01T00:00:00"/>
    <d v="2021-12-31T00:00:00"/>
    <x v="1"/>
    <d v="2021-01-01T00:00:00"/>
    <d v="2021-12-31T00:00:00"/>
    <s v="Diesel (100% mineral diesel)"/>
    <n v="2696.2"/>
    <s v="litres"/>
    <x v="1"/>
    <m/>
    <s v="2023-02-27, 16:27"/>
    <s v="2023-07-20, 00:40"/>
    <n v="2021"/>
    <s v="diesel_100p_mineral_diesel"/>
    <s v="Diesel (100% Mineral Diesel)"/>
    <s v="model"/>
    <b v="0"/>
    <s v="FUELS; LIQUID FUELS; DIESEL (100% MINERAL DIESEL)"/>
    <x v="2"/>
    <x v="0"/>
    <m/>
    <m/>
    <m/>
    <m/>
    <n v="1"/>
    <s v="CH4"/>
    <n v="0.70101199999999997"/>
    <n v="2.5999999999999998E-4"/>
    <s v="LITRES"/>
    <n v="1"/>
    <n v="2696.2"/>
    <s v="AR4"/>
    <s v="Defra"/>
    <s v="Defra (2021)"/>
    <n v="2021"/>
    <n v="2019"/>
    <n v="0"/>
    <n v="0"/>
    <x v="22"/>
    <s v="Labratory"/>
  </r>
  <r>
    <n v="4993"/>
    <s v="Top of Hierarchy &gt; South America &gt; Vantage_Argentina Farm (Agrinsa)"/>
    <x v="2"/>
    <x v="1"/>
    <d v="2021-01-01T00:00:00"/>
    <d v="2021-12-31T00:00:00"/>
    <x v="1"/>
    <d v="2021-01-01T00:00:00"/>
    <d v="2021-12-31T00:00:00"/>
    <s v="Diesel (100% mineral diesel)"/>
    <n v="2696.2"/>
    <s v="litres"/>
    <x v="1"/>
    <m/>
    <s v="2023-02-27, 16:27"/>
    <s v="2023-07-20, 00:40"/>
    <n v="2021"/>
    <s v="diesel_100p_mineral_diesel"/>
    <s v="Diesel (100% Mineral Diesel)"/>
    <s v="model"/>
    <b v="0"/>
    <s v="FUELS; LIQUID FUELS; DIESEL (100% MINERAL DIESEL)"/>
    <x v="2"/>
    <x v="0"/>
    <m/>
    <m/>
    <m/>
    <m/>
    <n v="1"/>
    <s v="CO2"/>
    <n v="7193.6503339999999"/>
    <n v="2.6680700000000002"/>
    <s v="LITRES"/>
    <n v="1"/>
    <n v="2696.2"/>
    <s v="AR4"/>
    <s v="Defra"/>
    <s v="Defra (2021)"/>
    <n v="2021"/>
    <n v="2019"/>
    <n v="0"/>
    <n v="0"/>
    <x v="22"/>
    <s v="Labratory"/>
  </r>
  <r>
    <n v="4993"/>
    <s v="Top of Hierarchy &gt; South America &gt; Vantage_Argentina Farm (Agrinsa)"/>
    <x v="2"/>
    <x v="1"/>
    <d v="2021-01-01T00:00:00"/>
    <d v="2021-12-31T00:00:00"/>
    <x v="1"/>
    <d v="2021-01-01T00:00:00"/>
    <d v="2021-12-31T00:00:00"/>
    <s v="Diesel (100% mineral diesel)"/>
    <n v="2696.2"/>
    <s v="litres"/>
    <x v="1"/>
    <m/>
    <s v="2023-02-27, 16:27"/>
    <s v="2023-07-20, 00:40"/>
    <n v="2021"/>
    <s v="diesel_100p_mineral_diesel"/>
    <s v="Diesel (100% Mineral Diesel)"/>
    <s v="model"/>
    <b v="0"/>
    <s v="FUELS; LIQUID FUELS; DIESEL (100% MINERAL DIESEL)"/>
    <x v="2"/>
    <x v="0"/>
    <m/>
    <m/>
    <m/>
    <m/>
    <n v="1"/>
    <s v="CO2E"/>
    <n v="7294.6499860000004"/>
    <n v="2.70553"/>
    <s v="LITRES"/>
    <n v="1"/>
    <n v="2696.2"/>
    <s v="AR4"/>
    <s v="Defra"/>
    <s v="Defra (2021)"/>
    <n v="2021"/>
    <n v="2019"/>
    <n v="0"/>
    <n v="7.2946499860000005"/>
    <x v="22"/>
    <s v="Labratory"/>
  </r>
  <r>
    <n v="4993"/>
    <s v="Top of Hierarchy &gt; South America &gt; Vantage_Argentina Farm (Agrinsa)"/>
    <x v="2"/>
    <x v="1"/>
    <d v="2021-01-01T00:00:00"/>
    <d v="2021-12-31T00:00:00"/>
    <x v="1"/>
    <d v="2021-01-01T00:00:00"/>
    <d v="2021-12-31T00:00:00"/>
    <s v="Diesel (100% mineral diesel)"/>
    <n v="2696.2"/>
    <s v="litres"/>
    <x v="1"/>
    <m/>
    <s v="2023-02-27, 16:27"/>
    <s v="2023-07-20, 00:40"/>
    <n v="2021"/>
    <s v="diesel_100p_mineral_diesel"/>
    <s v="Diesel (100% Mineral Diesel)"/>
    <s v="model"/>
    <b v="0"/>
    <s v="FUELS; LIQUID FUELS; DIESEL (100% MINERAL DIESEL)"/>
    <x v="2"/>
    <x v="0"/>
    <m/>
    <m/>
    <m/>
    <m/>
    <n v="1"/>
    <s v="N2O"/>
    <n v="100.29864000000001"/>
    <n v="3.7199999999999997E-2"/>
    <s v="LITRES"/>
    <n v="1"/>
    <n v="2696.2"/>
    <s v="AR4"/>
    <s v="Defra"/>
    <s v="Defra (2021)"/>
    <n v="2021"/>
    <n v="2019"/>
    <n v="0"/>
    <n v="0"/>
    <x v="22"/>
    <s v="Labratory"/>
  </r>
  <r>
    <n v="4993"/>
    <s v="Top of Hierarchy &gt; South America &gt; Vantage_Argentina Farm (Agrinsa)"/>
    <x v="2"/>
    <x v="1"/>
    <d v="2021-01-01T00:00:00"/>
    <d v="2021-12-31T00:00:00"/>
    <x v="1"/>
    <d v="2021-01-01T00:00:00"/>
    <d v="2021-12-31T00:00:00"/>
    <s v="Diesel (100% mineral diesel)"/>
    <n v="2696.2"/>
    <s v="litres"/>
    <x v="1"/>
    <m/>
    <s v="2023-02-27, 16:27"/>
    <s v="2023-07-20, 00:40"/>
    <n v="2021"/>
    <s v="diesel_100p_mineral_diesel__wtt"/>
    <s v="Diesel (100% Mineral Diesel) WTT"/>
    <s v="wtt"/>
    <b v="0"/>
    <s v="WTT- FUELS; WTT- LIQUID FUELS; DIESEL (100% MINERAL DIESEL)"/>
    <x v="1"/>
    <x v="1"/>
    <m/>
    <m/>
    <m/>
    <m/>
    <n v="0"/>
    <s v="CO2E"/>
    <n v="1695.2087879999999"/>
    <n v="0.62873999999999997"/>
    <s v="LITRES"/>
    <n v="1"/>
    <n v="2696.2"/>
    <s v="AR4"/>
    <s v="Defra"/>
    <s v="Defra (2021)"/>
    <n v="2021"/>
    <n v="2019"/>
    <n v="1.695208788"/>
    <n v="0"/>
    <x v="22"/>
    <s v="Labratory"/>
  </r>
  <r>
    <n v="4993"/>
    <s v="Top of Hierarchy &gt; South America &gt; Vantage_Argentina Farm (Agrinsa)"/>
    <x v="2"/>
    <x v="1"/>
    <d v="2021-01-01T00:00:00"/>
    <d v="2021-12-31T00:00:00"/>
    <x v="1"/>
    <d v="2021-01-01T00:00:00"/>
    <d v="2021-12-31T00:00:00"/>
    <s v="Diesel (100% mineral diesel)"/>
    <n v="2696.2"/>
    <s v="litres"/>
    <x v="1"/>
    <m/>
    <s v="2023-02-27, 16:27"/>
    <s v="2023-07-20, 00:40"/>
    <n v="2021"/>
    <s v="diesel_100p_mineral_diesel__wtt"/>
    <s v="Diesel (100% Mineral Diesel) WTT"/>
    <s v="wtt"/>
    <b v="0"/>
    <s v="WTT- FUELS; WTT- LIQUID FUELS; DIESEL (100% MINERAL DIESEL)"/>
    <x v="1"/>
    <x v="1"/>
    <m/>
    <m/>
    <m/>
    <m/>
    <n v="1"/>
    <s v="CO2E"/>
    <n v="1695.2087879999999"/>
    <n v="0.62873999999999997"/>
    <s v="LITRES"/>
    <n v="1"/>
    <n v="2696.2"/>
    <s v="AR4"/>
    <s v="Defra"/>
    <s v="Defra (2021)"/>
    <n v="2021"/>
    <n v="2019"/>
    <n v="0"/>
    <n v="1.695208788"/>
    <x v="22"/>
    <s v="Labratory"/>
  </r>
  <r>
    <n v="4994"/>
    <s v="Top of Hierarchy &gt; South America &gt; Vantage_Argentina Farm (Agrinsa)"/>
    <x v="2"/>
    <x v="1"/>
    <d v="2021-01-01T00:00:00"/>
    <d v="2021-12-31T00:00:00"/>
    <x v="1"/>
    <d v="2021-01-01T00:00:00"/>
    <d v="2021-12-31T00:00:00"/>
    <s v="Petrol (100% mineral petrol)"/>
    <n v="3539.88"/>
    <s v="litres"/>
    <x v="1"/>
    <m/>
    <s v="2023-02-27, 16:27"/>
    <s v="2023-07-20, 00:40"/>
    <n v="2021"/>
    <s v="petrol_100p_mineral_petrol"/>
    <s v="Petrol (100% Mineral Petrol)"/>
    <s v="model"/>
    <b v="0"/>
    <s v="FUELS; LIQUID FUELS; PETROL (100% MINERAL PETROL)"/>
    <x v="2"/>
    <x v="0"/>
    <m/>
    <m/>
    <m/>
    <m/>
    <n v="0"/>
    <s v="CH4"/>
    <n v="25.911921599999999"/>
    <n v="7.3200000000000001E-3"/>
    <s v="LITRES"/>
    <n v="1"/>
    <n v="3539.88"/>
    <s v="AR4"/>
    <s v="Defra"/>
    <s v="Defra (2021)"/>
    <n v="2021"/>
    <n v="2019"/>
    <n v="0"/>
    <n v="0"/>
    <x v="22"/>
    <s v="Labratory"/>
  </r>
  <r>
    <n v="4994"/>
    <s v="Top of Hierarchy &gt; South America &gt; Vantage_Argentina Farm (Agrinsa)"/>
    <x v="2"/>
    <x v="1"/>
    <d v="2021-01-01T00:00:00"/>
    <d v="2021-12-31T00:00:00"/>
    <x v="1"/>
    <d v="2021-01-01T00:00:00"/>
    <d v="2021-12-31T00:00:00"/>
    <s v="Petrol (100% mineral petrol)"/>
    <n v="3539.88"/>
    <s v="litres"/>
    <x v="1"/>
    <m/>
    <s v="2023-02-27, 16:27"/>
    <s v="2023-07-20, 00:40"/>
    <n v="2021"/>
    <s v="petrol_100p_mineral_petrol"/>
    <s v="Petrol (100% Mineral Petrol)"/>
    <s v="model"/>
    <b v="0"/>
    <s v="FUELS; LIQUID FUELS; PETROL (100% MINERAL PETROL)"/>
    <x v="2"/>
    <x v="0"/>
    <m/>
    <m/>
    <m/>
    <m/>
    <n v="0"/>
    <s v="CO2"/>
    <n v="8232.5927200000006"/>
    <n v="2.3256700000000001"/>
    <s v="LITRES"/>
    <n v="1"/>
    <n v="3539.88"/>
    <s v="AR4"/>
    <s v="Defra"/>
    <s v="Defra (2021)"/>
    <n v="2021"/>
    <n v="2019"/>
    <n v="0"/>
    <n v="0"/>
    <x v="22"/>
    <s v="Labratory"/>
  </r>
  <r>
    <n v="4994"/>
    <s v="Top of Hierarchy &gt; South America &gt; Vantage_Argentina Farm (Agrinsa)"/>
    <x v="2"/>
    <x v="1"/>
    <d v="2021-01-01T00:00:00"/>
    <d v="2021-12-31T00:00:00"/>
    <x v="1"/>
    <d v="2021-01-01T00:00:00"/>
    <d v="2021-12-31T00:00:00"/>
    <s v="Petrol (100% mineral petrol)"/>
    <n v="3539.88"/>
    <s v="litres"/>
    <x v="1"/>
    <m/>
    <s v="2023-02-27, 16:27"/>
    <s v="2023-07-20, 00:40"/>
    <n v="2021"/>
    <s v="petrol_100p_mineral_petrol"/>
    <s v="Petrol (100% Mineral Petrol)"/>
    <s v="model"/>
    <b v="0"/>
    <s v="FUELS; LIQUID FUELS; PETROL (100% MINERAL PETROL)"/>
    <x v="2"/>
    <x v="0"/>
    <m/>
    <m/>
    <m/>
    <m/>
    <n v="0"/>
    <s v="CO2E"/>
    <n v="8282.2572359999995"/>
    <n v="2.3397000000000001"/>
    <s v="LITRES"/>
    <n v="1"/>
    <n v="3539.88"/>
    <s v="AR4"/>
    <s v="Defra"/>
    <s v="Defra (2021)"/>
    <n v="2021"/>
    <n v="2019"/>
    <n v="8.2822572359999995"/>
    <n v="0"/>
    <x v="22"/>
    <s v="Labratory"/>
  </r>
  <r>
    <n v="4994"/>
    <s v="Top of Hierarchy &gt; South America &gt; Vantage_Argentina Farm (Agrinsa)"/>
    <x v="2"/>
    <x v="1"/>
    <d v="2021-01-01T00:00:00"/>
    <d v="2021-12-31T00:00:00"/>
    <x v="1"/>
    <d v="2021-01-01T00:00:00"/>
    <d v="2021-12-31T00:00:00"/>
    <s v="Petrol (100% mineral petrol)"/>
    <n v="3539.88"/>
    <s v="litres"/>
    <x v="1"/>
    <m/>
    <s v="2023-02-27, 16:27"/>
    <s v="2023-07-20, 00:40"/>
    <n v="2021"/>
    <s v="petrol_100p_mineral_petrol"/>
    <s v="Petrol (100% Mineral Petrol)"/>
    <s v="model"/>
    <b v="0"/>
    <s v="FUELS; LIQUID FUELS; PETROL (100% MINERAL PETROL)"/>
    <x v="2"/>
    <x v="0"/>
    <m/>
    <m/>
    <m/>
    <m/>
    <n v="0"/>
    <s v="N2O"/>
    <n v="23.752594800000001"/>
    <n v="6.7099999999999998E-3"/>
    <s v="LITRES"/>
    <n v="1"/>
    <n v="3539.88"/>
    <s v="AR4"/>
    <s v="Defra"/>
    <s v="Defra (2021)"/>
    <n v="2021"/>
    <n v="2019"/>
    <n v="0"/>
    <n v="0"/>
    <x v="22"/>
    <s v="Labratory"/>
  </r>
  <r>
    <n v="4994"/>
    <s v="Top of Hierarchy &gt; South America &gt; Vantage_Argentina Farm (Agrinsa)"/>
    <x v="2"/>
    <x v="1"/>
    <d v="2021-01-01T00:00:00"/>
    <d v="2021-12-31T00:00:00"/>
    <x v="1"/>
    <d v="2021-01-01T00:00:00"/>
    <d v="2021-12-31T00:00:00"/>
    <s v="Petrol (100% mineral petrol)"/>
    <n v="3539.88"/>
    <s v="litres"/>
    <x v="1"/>
    <m/>
    <s v="2023-02-27, 16:27"/>
    <s v="2023-07-20, 00:40"/>
    <n v="2021"/>
    <s v="petrol_100p_mineral_petrol"/>
    <s v="Petrol (100% Mineral Petrol)"/>
    <s v="model"/>
    <b v="0"/>
    <s v="FUELS; LIQUID FUELS; PETROL (100% MINERAL PETROL)"/>
    <x v="2"/>
    <x v="0"/>
    <m/>
    <m/>
    <m/>
    <m/>
    <n v="1"/>
    <s v="CH4"/>
    <n v="25.911921599999999"/>
    <n v="7.3200000000000001E-3"/>
    <s v="LITRES"/>
    <n v="1"/>
    <n v="3539.88"/>
    <s v="AR4"/>
    <s v="Defra"/>
    <s v="Defra (2021)"/>
    <n v="2021"/>
    <n v="2019"/>
    <n v="0"/>
    <n v="0"/>
    <x v="22"/>
    <s v="Labratory"/>
  </r>
  <r>
    <n v="4994"/>
    <s v="Top of Hierarchy &gt; South America &gt; Vantage_Argentina Farm (Agrinsa)"/>
    <x v="2"/>
    <x v="1"/>
    <d v="2021-01-01T00:00:00"/>
    <d v="2021-12-31T00:00:00"/>
    <x v="1"/>
    <d v="2021-01-01T00:00:00"/>
    <d v="2021-12-31T00:00:00"/>
    <s v="Petrol (100% mineral petrol)"/>
    <n v="3539.88"/>
    <s v="litres"/>
    <x v="1"/>
    <m/>
    <s v="2023-02-27, 16:27"/>
    <s v="2023-07-20, 00:40"/>
    <n v="2021"/>
    <s v="petrol_100p_mineral_petrol"/>
    <s v="Petrol (100% Mineral Petrol)"/>
    <s v="model"/>
    <b v="0"/>
    <s v="FUELS; LIQUID FUELS; PETROL (100% MINERAL PETROL)"/>
    <x v="2"/>
    <x v="0"/>
    <m/>
    <m/>
    <m/>
    <m/>
    <n v="1"/>
    <s v="CO2"/>
    <n v="8232.5927200000006"/>
    <n v="2.3256700000000001"/>
    <s v="LITRES"/>
    <n v="1"/>
    <n v="3539.88"/>
    <s v="AR4"/>
    <s v="Defra"/>
    <s v="Defra (2021)"/>
    <n v="2021"/>
    <n v="2019"/>
    <n v="0"/>
    <n v="0"/>
    <x v="22"/>
    <s v="Labratory"/>
  </r>
  <r>
    <n v="4994"/>
    <s v="Top of Hierarchy &gt; South America &gt; Vantage_Argentina Farm (Agrinsa)"/>
    <x v="2"/>
    <x v="1"/>
    <d v="2021-01-01T00:00:00"/>
    <d v="2021-12-31T00:00:00"/>
    <x v="1"/>
    <d v="2021-01-01T00:00:00"/>
    <d v="2021-12-31T00:00:00"/>
    <s v="Petrol (100% mineral petrol)"/>
    <n v="3539.88"/>
    <s v="litres"/>
    <x v="1"/>
    <m/>
    <s v="2023-02-27, 16:27"/>
    <s v="2023-07-20, 00:40"/>
    <n v="2021"/>
    <s v="petrol_100p_mineral_petrol"/>
    <s v="Petrol (100% Mineral Petrol)"/>
    <s v="model"/>
    <b v="0"/>
    <s v="FUELS; LIQUID FUELS; PETROL (100% MINERAL PETROL)"/>
    <x v="2"/>
    <x v="0"/>
    <m/>
    <m/>
    <m/>
    <m/>
    <n v="1"/>
    <s v="CO2E"/>
    <n v="8282.2572359999995"/>
    <n v="2.3397000000000001"/>
    <s v="LITRES"/>
    <n v="1"/>
    <n v="3539.88"/>
    <s v="AR4"/>
    <s v="Defra"/>
    <s v="Defra (2021)"/>
    <n v="2021"/>
    <n v="2019"/>
    <n v="0"/>
    <n v="8.2822572359999995"/>
    <x v="22"/>
    <s v="Labratory"/>
  </r>
  <r>
    <n v="4994"/>
    <s v="Top of Hierarchy &gt; South America &gt; Vantage_Argentina Farm (Agrinsa)"/>
    <x v="2"/>
    <x v="1"/>
    <d v="2021-01-01T00:00:00"/>
    <d v="2021-12-31T00:00:00"/>
    <x v="1"/>
    <d v="2021-01-01T00:00:00"/>
    <d v="2021-12-31T00:00:00"/>
    <s v="Petrol (100% mineral petrol)"/>
    <n v="3539.88"/>
    <s v="litres"/>
    <x v="1"/>
    <m/>
    <s v="2023-02-27, 16:27"/>
    <s v="2023-07-20, 00:40"/>
    <n v="2021"/>
    <s v="petrol_100p_mineral_petrol"/>
    <s v="Petrol (100% Mineral Petrol)"/>
    <s v="model"/>
    <b v="0"/>
    <s v="FUELS; LIQUID FUELS; PETROL (100% MINERAL PETROL)"/>
    <x v="2"/>
    <x v="0"/>
    <m/>
    <m/>
    <m/>
    <m/>
    <n v="1"/>
    <s v="N2O"/>
    <n v="23.752594800000001"/>
    <n v="6.7099999999999998E-3"/>
    <s v="LITRES"/>
    <n v="1"/>
    <n v="3539.88"/>
    <s v="AR4"/>
    <s v="Defra"/>
    <s v="Defra (2021)"/>
    <n v="2021"/>
    <n v="2019"/>
    <n v="0"/>
    <n v="0"/>
    <x v="22"/>
    <s v="Labratory"/>
  </r>
  <r>
    <n v="4994"/>
    <s v="Top of Hierarchy &gt; South America &gt; Vantage_Argentina Farm (Agrinsa)"/>
    <x v="2"/>
    <x v="1"/>
    <d v="2021-01-01T00:00:00"/>
    <d v="2021-12-31T00:00:00"/>
    <x v="1"/>
    <d v="2021-01-01T00:00:00"/>
    <d v="2021-12-31T00:00:00"/>
    <s v="Petrol (100% mineral petrol)"/>
    <n v="3539.88"/>
    <s v="litres"/>
    <x v="1"/>
    <m/>
    <s v="2023-02-27, 16:27"/>
    <s v="2023-07-20, 00:40"/>
    <n v="2021"/>
    <s v="petrol_100p_mineral_petrol__wtt"/>
    <s v="Petrol (100% Mineral Petrol) WTT"/>
    <s v="wtt"/>
    <b v="0"/>
    <s v="WTT- FUELS; WTT- LIQUID FUELS; PETROL (100% MINERAL PETROL)"/>
    <x v="1"/>
    <x v="1"/>
    <m/>
    <m/>
    <m/>
    <m/>
    <n v="0"/>
    <s v="CO2E"/>
    <n v="2133.9458599999998"/>
    <n v="0.60282999999999998"/>
    <s v="LITRES"/>
    <n v="1"/>
    <n v="3539.88"/>
    <s v="AR4"/>
    <s v="Defra"/>
    <s v="Defra (2021)"/>
    <n v="2021"/>
    <n v="2019"/>
    <n v="2.1339458599999999"/>
    <n v="0"/>
    <x v="22"/>
    <s v="Labratory"/>
  </r>
  <r>
    <n v="4994"/>
    <s v="Top of Hierarchy &gt; South America &gt; Vantage_Argentina Farm (Agrinsa)"/>
    <x v="2"/>
    <x v="1"/>
    <d v="2021-01-01T00:00:00"/>
    <d v="2021-12-31T00:00:00"/>
    <x v="1"/>
    <d v="2021-01-01T00:00:00"/>
    <d v="2021-12-31T00:00:00"/>
    <s v="Petrol (100% mineral petrol)"/>
    <n v="3539.88"/>
    <s v="litres"/>
    <x v="1"/>
    <m/>
    <s v="2023-02-27, 16:27"/>
    <s v="2023-07-20, 00:40"/>
    <n v="2021"/>
    <s v="petrol_100p_mineral_petrol__wtt"/>
    <s v="Petrol (100% Mineral Petrol) WTT"/>
    <s v="wtt"/>
    <b v="0"/>
    <s v="WTT- FUELS; WTT- LIQUID FUELS; PETROL (100% MINERAL PETROL)"/>
    <x v="1"/>
    <x v="1"/>
    <m/>
    <m/>
    <m/>
    <m/>
    <n v="1"/>
    <s v="CO2E"/>
    <n v="2133.9458599999998"/>
    <n v="0.60282999999999998"/>
    <s v="LITRES"/>
    <n v="1"/>
    <n v="3539.88"/>
    <s v="AR4"/>
    <s v="Defra"/>
    <s v="Defra (2021)"/>
    <n v="2021"/>
    <n v="2019"/>
    <n v="0"/>
    <n v="2.1339458599999999"/>
    <x v="22"/>
    <s v="Labratory"/>
  </r>
  <r>
    <n v="4995"/>
    <s v="Top of Hierarchy &gt; South America &gt; Vantage_Argentina Farm (Agrinsa)"/>
    <x v="2"/>
    <x v="1"/>
    <d v="2021-01-01T00:00:00"/>
    <d v="2021-12-31T00:00:00"/>
    <x v="1"/>
    <d v="2021-01-01T00:00:00"/>
    <d v="2021-12-31T00:00:00"/>
    <s v="Petrol (100% mineral petrol)"/>
    <n v="9120.06"/>
    <s v="litres"/>
    <x v="1"/>
    <m/>
    <s v="2023-02-27, 16:27"/>
    <s v="2023-07-20, 00:40"/>
    <n v="2021"/>
    <s v="petrol_100p_mineral_petrol"/>
    <s v="Petrol (100% Mineral Petrol)"/>
    <s v="model"/>
    <b v="0"/>
    <s v="FUELS; LIQUID FUELS; PETROL (100% MINERAL PETROL)"/>
    <x v="2"/>
    <x v="0"/>
    <m/>
    <m/>
    <m/>
    <m/>
    <n v="0"/>
    <s v="CH4"/>
    <n v="66.758839199999997"/>
    <n v="7.3200000000000001E-3"/>
    <s v="LITRES"/>
    <n v="1"/>
    <n v="9120.06"/>
    <s v="AR4"/>
    <s v="Defra"/>
    <s v="Defra (2021)"/>
    <n v="2021"/>
    <n v="2019"/>
    <n v="0"/>
    <n v="0"/>
    <x v="22"/>
    <s v="Labratory"/>
  </r>
  <r>
    <n v="4995"/>
    <s v="Top of Hierarchy &gt; South America &gt; Vantage_Argentina Farm (Agrinsa)"/>
    <x v="2"/>
    <x v="1"/>
    <d v="2021-01-01T00:00:00"/>
    <d v="2021-12-31T00:00:00"/>
    <x v="1"/>
    <d v="2021-01-01T00:00:00"/>
    <d v="2021-12-31T00:00:00"/>
    <s v="Petrol (100% mineral petrol)"/>
    <n v="9120.06"/>
    <s v="litres"/>
    <x v="1"/>
    <m/>
    <s v="2023-02-27, 16:27"/>
    <s v="2023-07-20, 00:40"/>
    <n v="2021"/>
    <s v="petrol_100p_mineral_petrol"/>
    <s v="Petrol (100% Mineral Petrol)"/>
    <s v="model"/>
    <b v="0"/>
    <s v="FUELS; LIQUID FUELS; PETROL (100% MINERAL PETROL)"/>
    <x v="2"/>
    <x v="0"/>
    <m/>
    <m/>
    <m/>
    <m/>
    <n v="0"/>
    <s v="CO2"/>
    <n v="21210.249940000002"/>
    <n v="2.3256700000000001"/>
    <s v="LITRES"/>
    <n v="1"/>
    <n v="9120.06"/>
    <s v="AR4"/>
    <s v="Defra"/>
    <s v="Defra (2021)"/>
    <n v="2021"/>
    <n v="2019"/>
    <n v="0"/>
    <n v="0"/>
    <x v="22"/>
    <s v="Labratory"/>
  </r>
  <r>
    <n v="4995"/>
    <s v="Top of Hierarchy &gt; South America &gt; Vantage_Argentina Farm (Agrinsa)"/>
    <x v="2"/>
    <x v="1"/>
    <d v="2021-01-01T00:00:00"/>
    <d v="2021-12-31T00:00:00"/>
    <x v="1"/>
    <d v="2021-01-01T00:00:00"/>
    <d v="2021-12-31T00:00:00"/>
    <s v="Petrol (100% mineral petrol)"/>
    <n v="9120.06"/>
    <s v="litres"/>
    <x v="1"/>
    <m/>
    <s v="2023-02-27, 16:27"/>
    <s v="2023-07-20, 00:40"/>
    <n v="2021"/>
    <s v="petrol_100p_mineral_petrol"/>
    <s v="Petrol (100% Mineral Petrol)"/>
    <s v="model"/>
    <b v="0"/>
    <s v="FUELS; LIQUID FUELS; PETROL (100% MINERAL PETROL)"/>
    <x v="2"/>
    <x v="0"/>
    <m/>
    <m/>
    <m/>
    <m/>
    <n v="0"/>
    <s v="CO2E"/>
    <n v="21338.204379999999"/>
    <n v="2.3397000000000001"/>
    <s v="LITRES"/>
    <n v="1"/>
    <n v="9120.06"/>
    <s v="AR4"/>
    <s v="Defra"/>
    <s v="Defra (2021)"/>
    <n v="2021"/>
    <n v="2019"/>
    <n v="21.338204380000001"/>
    <n v="0"/>
    <x v="22"/>
    <s v="Labratory"/>
  </r>
  <r>
    <n v="4995"/>
    <s v="Top of Hierarchy &gt; South America &gt; Vantage_Argentina Farm (Agrinsa)"/>
    <x v="2"/>
    <x v="1"/>
    <d v="2021-01-01T00:00:00"/>
    <d v="2021-12-31T00:00:00"/>
    <x v="1"/>
    <d v="2021-01-01T00:00:00"/>
    <d v="2021-12-31T00:00:00"/>
    <s v="Petrol (100% mineral petrol)"/>
    <n v="9120.06"/>
    <s v="litres"/>
    <x v="1"/>
    <m/>
    <s v="2023-02-27, 16:27"/>
    <s v="2023-07-20, 00:40"/>
    <n v="2021"/>
    <s v="petrol_100p_mineral_petrol"/>
    <s v="Petrol (100% Mineral Petrol)"/>
    <s v="model"/>
    <b v="0"/>
    <s v="FUELS; LIQUID FUELS; PETROL (100% MINERAL PETROL)"/>
    <x v="2"/>
    <x v="0"/>
    <m/>
    <m/>
    <m/>
    <m/>
    <n v="0"/>
    <s v="N2O"/>
    <n v="61.195602600000001"/>
    <n v="6.7099999999999998E-3"/>
    <s v="LITRES"/>
    <n v="1"/>
    <n v="9120.06"/>
    <s v="AR4"/>
    <s v="Defra"/>
    <s v="Defra (2021)"/>
    <n v="2021"/>
    <n v="2019"/>
    <n v="0"/>
    <n v="0"/>
    <x v="22"/>
    <s v="Labratory"/>
  </r>
  <r>
    <n v="4995"/>
    <s v="Top of Hierarchy &gt; South America &gt; Vantage_Argentina Farm (Agrinsa)"/>
    <x v="2"/>
    <x v="1"/>
    <d v="2021-01-01T00:00:00"/>
    <d v="2021-12-31T00:00:00"/>
    <x v="1"/>
    <d v="2021-01-01T00:00:00"/>
    <d v="2021-12-31T00:00:00"/>
    <s v="Petrol (100% mineral petrol)"/>
    <n v="9120.06"/>
    <s v="litres"/>
    <x v="1"/>
    <m/>
    <s v="2023-02-27, 16:27"/>
    <s v="2023-07-20, 00:40"/>
    <n v="2021"/>
    <s v="petrol_100p_mineral_petrol"/>
    <s v="Petrol (100% Mineral Petrol)"/>
    <s v="model"/>
    <b v="0"/>
    <s v="FUELS; LIQUID FUELS; PETROL (100% MINERAL PETROL)"/>
    <x v="2"/>
    <x v="0"/>
    <m/>
    <m/>
    <m/>
    <m/>
    <n v="1"/>
    <s v="CH4"/>
    <n v="66.758839199999997"/>
    <n v="7.3200000000000001E-3"/>
    <s v="LITRES"/>
    <n v="1"/>
    <n v="9120.06"/>
    <s v="AR4"/>
    <s v="Defra"/>
    <s v="Defra (2021)"/>
    <n v="2021"/>
    <n v="2019"/>
    <n v="0"/>
    <n v="0"/>
    <x v="22"/>
    <s v="Labratory"/>
  </r>
  <r>
    <n v="4995"/>
    <s v="Top of Hierarchy &gt; South America &gt; Vantage_Argentina Farm (Agrinsa)"/>
    <x v="2"/>
    <x v="1"/>
    <d v="2021-01-01T00:00:00"/>
    <d v="2021-12-31T00:00:00"/>
    <x v="1"/>
    <d v="2021-01-01T00:00:00"/>
    <d v="2021-12-31T00:00:00"/>
    <s v="Petrol (100% mineral petrol)"/>
    <n v="9120.06"/>
    <s v="litres"/>
    <x v="1"/>
    <m/>
    <s v="2023-02-27, 16:27"/>
    <s v="2023-07-20, 00:40"/>
    <n v="2021"/>
    <s v="petrol_100p_mineral_petrol"/>
    <s v="Petrol (100% Mineral Petrol)"/>
    <s v="model"/>
    <b v="0"/>
    <s v="FUELS; LIQUID FUELS; PETROL (100% MINERAL PETROL)"/>
    <x v="2"/>
    <x v="0"/>
    <m/>
    <m/>
    <m/>
    <m/>
    <n v="1"/>
    <s v="CO2"/>
    <n v="21210.249940000002"/>
    <n v="2.3256700000000001"/>
    <s v="LITRES"/>
    <n v="1"/>
    <n v="9120.06"/>
    <s v="AR4"/>
    <s v="Defra"/>
    <s v="Defra (2021)"/>
    <n v="2021"/>
    <n v="2019"/>
    <n v="0"/>
    <n v="0"/>
    <x v="22"/>
    <s v="Labratory"/>
  </r>
  <r>
    <n v="4995"/>
    <s v="Top of Hierarchy &gt; South America &gt; Vantage_Argentina Farm (Agrinsa)"/>
    <x v="2"/>
    <x v="1"/>
    <d v="2021-01-01T00:00:00"/>
    <d v="2021-12-31T00:00:00"/>
    <x v="1"/>
    <d v="2021-01-01T00:00:00"/>
    <d v="2021-12-31T00:00:00"/>
    <s v="Petrol (100% mineral petrol)"/>
    <n v="9120.06"/>
    <s v="litres"/>
    <x v="1"/>
    <m/>
    <s v="2023-02-27, 16:27"/>
    <s v="2023-07-20, 00:40"/>
    <n v="2021"/>
    <s v="petrol_100p_mineral_petrol"/>
    <s v="Petrol (100% Mineral Petrol)"/>
    <s v="model"/>
    <b v="0"/>
    <s v="FUELS; LIQUID FUELS; PETROL (100% MINERAL PETROL)"/>
    <x v="2"/>
    <x v="0"/>
    <m/>
    <m/>
    <m/>
    <m/>
    <n v="1"/>
    <s v="CO2E"/>
    <n v="21338.204379999999"/>
    <n v="2.3397000000000001"/>
    <s v="LITRES"/>
    <n v="1"/>
    <n v="9120.06"/>
    <s v="AR4"/>
    <s v="Defra"/>
    <s v="Defra (2021)"/>
    <n v="2021"/>
    <n v="2019"/>
    <n v="0"/>
    <n v="21.338204380000001"/>
    <x v="22"/>
    <s v="Labratory"/>
  </r>
  <r>
    <n v="4995"/>
    <s v="Top of Hierarchy &gt; South America &gt; Vantage_Argentina Farm (Agrinsa)"/>
    <x v="2"/>
    <x v="1"/>
    <d v="2021-01-01T00:00:00"/>
    <d v="2021-12-31T00:00:00"/>
    <x v="1"/>
    <d v="2021-01-01T00:00:00"/>
    <d v="2021-12-31T00:00:00"/>
    <s v="Petrol (100% mineral petrol)"/>
    <n v="9120.06"/>
    <s v="litres"/>
    <x v="1"/>
    <m/>
    <s v="2023-02-27, 16:27"/>
    <s v="2023-07-20, 00:40"/>
    <n v="2021"/>
    <s v="petrol_100p_mineral_petrol"/>
    <s v="Petrol (100% Mineral Petrol)"/>
    <s v="model"/>
    <b v="0"/>
    <s v="FUELS; LIQUID FUELS; PETROL (100% MINERAL PETROL)"/>
    <x v="2"/>
    <x v="0"/>
    <m/>
    <m/>
    <m/>
    <m/>
    <n v="1"/>
    <s v="N2O"/>
    <n v="61.195602600000001"/>
    <n v="6.7099999999999998E-3"/>
    <s v="LITRES"/>
    <n v="1"/>
    <n v="9120.06"/>
    <s v="AR4"/>
    <s v="Defra"/>
    <s v="Defra (2021)"/>
    <n v="2021"/>
    <n v="2019"/>
    <n v="0"/>
    <n v="0"/>
    <x v="22"/>
    <s v="Labratory"/>
  </r>
  <r>
    <n v="4995"/>
    <s v="Top of Hierarchy &gt; South America &gt; Vantage_Argentina Farm (Agrinsa)"/>
    <x v="2"/>
    <x v="1"/>
    <d v="2021-01-01T00:00:00"/>
    <d v="2021-12-31T00:00:00"/>
    <x v="1"/>
    <d v="2021-01-01T00:00:00"/>
    <d v="2021-12-31T00:00:00"/>
    <s v="Petrol (100% mineral petrol)"/>
    <n v="9120.06"/>
    <s v="litres"/>
    <x v="1"/>
    <m/>
    <s v="2023-02-27, 16:27"/>
    <s v="2023-07-20, 00:40"/>
    <n v="2021"/>
    <s v="petrol_100p_mineral_petrol__wtt"/>
    <s v="Petrol (100% Mineral Petrol) WTT"/>
    <s v="wtt"/>
    <b v="0"/>
    <s v="WTT- FUELS; WTT- LIQUID FUELS; PETROL (100% MINERAL PETROL)"/>
    <x v="1"/>
    <x v="1"/>
    <m/>
    <m/>
    <m/>
    <m/>
    <n v="0"/>
    <s v="CO2E"/>
    <n v="5497.8457699999999"/>
    <n v="0.60282999999999998"/>
    <s v="LITRES"/>
    <n v="1"/>
    <n v="9120.06"/>
    <s v="AR4"/>
    <s v="Defra"/>
    <s v="Defra (2021)"/>
    <n v="2021"/>
    <n v="2019"/>
    <n v="5.4978457699999996"/>
    <n v="0"/>
    <x v="22"/>
    <s v="Labratory"/>
  </r>
  <r>
    <n v="4995"/>
    <s v="Top of Hierarchy &gt; South America &gt; Vantage_Argentina Farm (Agrinsa)"/>
    <x v="2"/>
    <x v="1"/>
    <d v="2021-01-01T00:00:00"/>
    <d v="2021-12-31T00:00:00"/>
    <x v="1"/>
    <d v="2021-01-01T00:00:00"/>
    <d v="2021-12-31T00:00:00"/>
    <s v="Petrol (100% mineral petrol)"/>
    <n v="9120.06"/>
    <s v="litres"/>
    <x v="1"/>
    <m/>
    <s v="2023-02-27, 16:27"/>
    <s v="2023-07-20, 00:40"/>
    <n v="2021"/>
    <s v="petrol_100p_mineral_petrol__wtt"/>
    <s v="Petrol (100% Mineral Petrol) WTT"/>
    <s v="wtt"/>
    <b v="0"/>
    <s v="WTT- FUELS; WTT- LIQUID FUELS; PETROL (100% MINERAL PETROL)"/>
    <x v="1"/>
    <x v="1"/>
    <m/>
    <m/>
    <m/>
    <m/>
    <n v="1"/>
    <s v="CO2E"/>
    <n v="5497.8457699999999"/>
    <n v="0.60282999999999998"/>
    <s v="LITRES"/>
    <n v="1"/>
    <n v="9120.06"/>
    <s v="AR4"/>
    <s v="Defra"/>
    <s v="Defra (2021)"/>
    <n v="2021"/>
    <n v="2019"/>
    <n v="0"/>
    <n v="5.4978457699999996"/>
    <x v="22"/>
    <s v="Labratory"/>
  </r>
  <r>
    <n v="4996"/>
    <s v="Top of Hierarchy &gt; South America &gt; Vantage_Argentina Farm (Agrinsa)"/>
    <x v="2"/>
    <x v="1"/>
    <d v="2021-01-01T00:00:00"/>
    <d v="2021-12-31T00:00:00"/>
    <x v="1"/>
    <d v="2021-01-01T00:00:00"/>
    <d v="2021-12-31T00:00:00"/>
    <s v="Petrol (100% mineral petrol)"/>
    <n v="272.48"/>
    <s v="litres"/>
    <x v="1"/>
    <m/>
    <s v="2023-02-27, 16:27"/>
    <s v="2023-07-20, 00:40"/>
    <n v="2021"/>
    <s v="petrol_100p_mineral_petrol"/>
    <s v="Petrol (100% Mineral Petrol)"/>
    <s v="model"/>
    <b v="0"/>
    <s v="FUELS; LIQUID FUELS; PETROL (100% MINERAL PETROL)"/>
    <x v="2"/>
    <x v="0"/>
    <m/>
    <m/>
    <m/>
    <m/>
    <n v="0"/>
    <s v="CH4"/>
    <n v="1.9945535999999999"/>
    <n v="7.3200000000000001E-3"/>
    <s v="LITRES"/>
    <n v="1"/>
    <n v="272.48"/>
    <s v="AR4"/>
    <s v="Defra"/>
    <s v="Defra (2021)"/>
    <n v="2021"/>
    <n v="2019"/>
    <n v="0"/>
    <n v="0"/>
    <x v="22"/>
    <s v="Labratory"/>
  </r>
  <r>
    <n v="4996"/>
    <s v="Top of Hierarchy &gt; South America &gt; Vantage_Argentina Farm (Agrinsa)"/>
    <x v="2"/>
    <x v="1"/>
    <d v="2021-01-01T00:00:00"/>
    <d v="2021-12-31T00:00:00"/>
    <x v="1"/>
    <d v="2021-01-01T00:00:00"/>
    <d v="2021-12-31T00:00:00"/>
    <s v="Petrol (100% mineral petrol)"/>
    <n v="272.48"/>
    <s v="litres"/>
    <x v="1"/>
    <m/>
    <s v="2023-02-27, 16:27"/>
    <s v="2023-07-20, 00:40"/>
    <n v="2021"/>
    <s v="petrol_100p_mineral_petrol"/>
    <s v="Petrol (100% Mineral Petrol)"/>
    <s v="model"/>
    <b v="0"/>
    <s v="FUELS; LIQUID FUELS; PETROL (100% MINERAL PETROL)"/>
    <x v="2"/>
    <x v="0"/>
    <m/>
    <m/>
    <m/>
    <m/>
    <n v="0"/>
    <s v="CO2"/>
    <n v="633.69856159999995"/>
    <n v="2.3256700000000001"/>
    <s v="LITRES"/>
    <n v="1"/>
    <n v="272.48"/>
    <s v="AR4"/>
    <s v="Defra"/>
    <s v="Defra (2021)"/>
    <n v="2021"/>
    <n v="2019"/>
    <n v="0"/>
    <n v="0"/>
    <x v="22"/>
    <s v="Labratory"/>
  </r>
  <r>
    <n v="4996"/>
    <s v="Top of Hierarchy &gt; South America &gt; Vantage_Argentina Farm (Agrinsa)"/>
    <x v="2"/>
    <x v="1"/>
    <d v="2021-01-01T00:00:00"/>
    <d v="2021-12-31T00:00:00"/>
    <x v="1"/>
    <d v="2021-01-01T00:00:00"/>
    <d v="2021-12-31T00:00:00"/>
    <s v="Petrol (100% mineral petrol)"/>
    <n v="272.48"/>
    <s v="litres"/>
    <x v="1"/>
    <m/>
    <s v="2023-02-27, 16:27"/>
    <s v="2023-07-20, 00:40"/>
    <n v="2021"/>
    <s v="petrol_100p_mineral_petrol"/>
    <s v="Petrol (100% Mineral Petrol)"/>
    <s v="model"/>
    <b v="0"/>
    <s v="FUELS; LIQUID FUELS; PETROL (100% MINERAL PETROL)"/>
    <x v="2"/>
    <x v="0"/>
    <m/>
    <m/>
    <m/>
    <m/>
    <n v="0"/>
    <s v="CO2E"/>
    <n v="637.52145599999994"/>
    <n v="2.3397000000000001"/>
    <s v="LITRES"/>
    <n v="1"/>
    <n v="272.48"/>
    <s v="AR4"/>
    <s v="Defra"/>
    <s v="Defra (2021)"/>
    <n v="2021"/>
    <n v="2019"/>
    <n v="0.63752145599999999"/>
    <n v="0"/>
    <x v="22"/>
    <s v="Labratory"/>
  </r>
  <r>
    <n v="4996"/>
    <s v="Top of Hierarchy &gt; South America &gt; Vantage_Argentina Farm (Agrinsa)"/>
    <x v="2"/>
    <x v="1"/>
    <d v="2021-01-01T00:00:00"/>
    <d v="2021-12-31T00:00:00"/>
    <x v="1"/>
    <d v="2021-01-01T00:00:00"/>
    <d v="2021-12-31T00:00:00"/>
    <s v="Petrol (100% mineral petrol)"/>
    <n v="272.48"/>
    <s v="litres"/>
    <x v="1"/>
    <m/>
    <s v="2023-02-27, 16:27"/>
    <s v="2023-07-20, 00:40"/>
    <n v="2021"/>
    <s v="petrol_100p_mineral_petrol"/>
    <s v="Petrol (100% Mineral Petrol)"/>
    <s v="model"/>
    <b v="0"/>
    <s v="FUELS; LIQUID FUELS; PETROL (100% MINERAL PETROL)"/>
    <x v="2"/>
    <x v="0"/>
    <m/>
    <m/>
    <m/>
    <m/>
    <n v="0"/>
    <s v="N2O"/>
    <n v="1.8283408000000001"/>
    <n v="6.7099999999999998E-3"/>
    <s v="LITRES"/>
    <n v="1"/>
    <n v="272.48"/>
    <s v="AR4"/>
    <s v="Defra"/>
    <s v="Defra (2021)"/>
    <n v="2021"/>
    <n v="2019"/>
    <n v="0"/>
    <n v="0"/>
    <x v="22"/>
    <s v="Labratory"/>
  </r>
  <r>
    <n v="4996"/>
    <s v="Top of Hierarchy &gt; South America &gt; Vantage_Argentina Farm (Agrinsa)"/>
    <x v="2"/>
    <x v="1"/>
    <d v="2021-01-01T00:00:00"/>
    <d v="2021-12-31T00:00:00"/>
    <x v="1"/>
    <d v="2021-01-01T00:00:00"/>
    <d v="2021-12-31T00:00:00"/>
    <s v="Petrol (100% mineral petrol)"/>
    <n v="272.48"/>
    <s v="litres"/>
    <x v="1"/>
    <m/>
    <s v="2023-02-27, 16:27"/>
    <s v="2023-07-20, 00:40"/>
    <n v="2021"/>
    <s v="petrol_100p_mineral_petrol"/>
    <s v="Petrol (100% Mineral Petrol)"/>
    <s v="model"/>
    <b v="0"/>
    <s v="FUELS; LIQUID FUELS; PETROL (100% MINERAL PETROL)"/>
    <x v="2"/>
    <x v="0"/>
    <m/>
    <m/>
    <m/>
    <m/>
    <n v="1"/>
    <s v="CH4"/>
    <n v="1.9945535999999999"/>
    <n v="7.3200000000000001E-3"/>
    <s v="LITRES"/>
    <n v="1"/>
    <n v="272.48"/>
    <s v="AR4"/>
    <s v="Defra"/>
    <s v="Defra (2021)"/>
    <n v="2021"/>
    <n v="2019"/>
    <n v="0"/>
    <n v="0"/>
    <x v="22"/>
    <s v="Labratory"/>
  </r>
  <r>
    <n v="4996"/>
    <s v="Top of Hierarchy &gt; South America &gt; Vantage_Argentina Farm (Agrinsa)"/>
    <x v="2"/>
    <x v="1"/>
    <d v="2021-01-01T00:00:00"/>
    <d v="2021-12-31T00:00:00"/>
    <x v="1"/>
    <d v="2021-01-01T00:00:00"/>
    <d v="2021-12-31T00:00:00"/>
    <s v="Petrol (100% mineral petrol)"/>
    <n v="272.48"/>
    <s v="litres"/>
    <x v="1"/>
    <m/>
    <s v="2023-02-27, 16:27"/>
    <s v="2023-07-20, 00:40"/>
    <n v="2021"/>
    <s v="petrol_100p_mineral_petrol"/>
    <s v="Petrol (100% Mineral Petrol)"/>
    <s v="model"/>
    <b v="0"/>
    <s v="FUELS; LIQUID FUELS; PETROL (100% MINERAL PETROL)"/>
    <x v="2"/>
    <x v="0"/>
    <m/>
    <m/>
    <m/>
    <m/>
    <n v="1"/>
    <s v="CO2"/>
    <n v="633.69856159999995"/>
    <n v="2.3256700000000001"/>
    <s v="LITRES"/>
    <n v="1"/>
    <n v="272.48"/>
    <s v="AR4"/>
    <s v="Defra"/>
    <s v="Defra (2021)"/>
    <n v="2021"/>
    <n v="2019"/>
    <n v="0"/>
    <n v="0"/>
    <x v="22"/>
    <s v="Labratory"/>
  </r>
  <r>
    <n v="4996"/>
    <s v="Top of Hierarchy &gt; South America &gt; Vantage_Argentina Farm (Agrinsa)"/>
    <x v="2"/>
    <x v="1"/>
    <d v="2021-01-01T00:00:00"/>
    <d v="2021-12-31T00:00:00"/>
    <x v="1"/>
    <d v="2021-01-01T00:00:00"/>
    <d v="2021-12-31T00:00:00"/>
    <s v="Petrol (100% mineral petrol)"/>
    <n v="272.48"/>
    <s v="litres"/>
    <x v="1"/>
    <m/>
    <s v="2023-02-27, 16:27"/>
    <s v="2023-07-20, 00:40"/>
    <n v="2021"/>
    <s v="petrol_100p_mineral_petrol"/>
    <s v="Petrol (100% Mineral Petrol)"/>
    <s v="model"/>
    <b v="0"/>
    <s v="FUELS; LIQUID FUELS; PETROL (100% MINERAL PETROL)"/>
    <x v="2"/>
    <x v="0"/>
    <m/>
    <m/>
    <m/>
    <m/>
    <n v="1"/>
    <s v="CO2E"/>
    <n v="637.52145599999994"/>
    <n v="2.3397000000000001"/>
    <s v="LITRES"/>
    <n v="1"/>
    <n v="272.48"/>
    <s v="AR4"/>
    <s v="Defra"/>
    <s v="Defra (2021)"/>
    <n v="2021"/>
    <n v="2019"/>
    <n v="0"/>
    <n v="0.63752145599999999"/>
    <x v="22"/>
    <s v="Labratory"/>
  </r>
  <r>
    <n v="4996"/>
    <s v="Top of Hierarchy &gt; South America &gt; Vantage_Argentina Farm (Agrinsa)"/>
    <x v="2"/>
    <x v="1"/>
    <d v="2021-01-01T00:00:00"/>
    <d v="2021-12-31T00:00:00"/>
    <x v="1"/>
    <d v="2021-01-01T00:00:00"/>
    <d v="2021-12-31T00:00:00"/>
    <s v="Petrol (100% mineral petrol)"/>
    <n v="272.48"/>
    <s v="litres"/>
    <x v="1"/>
    <m/>
    <s v="2023-02-27, 16:27"/>
    <s v="2023-07-20, 00:40"/>
    <n v="2021"/>
    <s v="petrol_100p_mineral_petrol"/>
    <s v="Petrol (100% Mineral Petrol)"/>
    <s v="model"/>
    <b v="0"/>
    <s v="FUELS; LIQUID FUELS; PETROL (100% MINERAL PETROL)"/>
    <x v="2"/>
    <x v="0"/>
    <m/>
    <m/>
    <m/>
    <m/>
    <n v="1"/>
    <s v="N2O"/>
    <n v="1.8283408000000001"/>
    <n v="6.7099999999999998E-3"/>
    <s v="LITRES"/>
    <n v="1"/>
    <n v="272.48"/>
    <s v="AR4"/>
    <s v="Defra"/>
    <s v="Defra (2021)"/>
    <n v="2021"/>
    <n v="2019"/>
    <n v="0"/>
    <n v="0"/>
    <x v="22"/>
    <s v="Labratory"/>
  </r>
  <r>
    <n v="4996"/>
    <s v="Top of Hierarchy &gt; South America &gt; Vantage_Argentina Farm (Agrinsa)"/>
    <x v="2"/>
    <x v="1"/>
    <d v="2021-01-01T00:00:00"/>
    <d v="2021-12-31T00:00:00"/>
    <x v="1"/>
    <d v="2021-01-01T00:00:00"/>
    <d v="2021-12-31T00:00:00"/>
    <s v="Petrol (100% mineral petrol)"/>
    <n v="272.48"/>
    <s v="litres"/>
    <x v="1"/>
    <m/>
    <s v="2023-02-27, 16:27"/>
    <s v="2023-07-20, 00:40"/>
    <n v="2021"/>
    <s v="petrol_100p_mineral_petrol__wtt"/>
    <s v="Petrol (100% Mineral Petrol) WTT"/>
    <s v="wtt"/>
    <b v="0"/>
    <s v="WTT- FUELS; WTT- LIQUID FUELS; PETROL (100% MINERAL PETROL)"/>
    <x v="1"/>
    <x v="1"/>
    <m/>
    <m/>
    <m/>
    <m/>
    <n v="0"/>
    <s v="CO2E"/>
    <n v="164.25911840000001"/>
    <n v="0.60282999999999998"/>
    <s v="LITRES"/>
    <n v="1"/>
    <n v="272.48"/>
    <s v="AR4"/>
    <s v="Defra"/>
    <s v="Defra (2021)"/>
    <n v="2021"/>
    <n v="2019"/>
    <n v="0.16425911840000001"/>
    <n v="0"/>
    <x v="22"/>
    <s v="Labratory"/>
  </r>
  <r>
    <n v="4996"/>
    <s v="Top of Hierarchy &gt; South America &gt; Vantage_Argentina Farm (Agrinsa)"/>
    <x v="2"/>
    <x v="1"/>
    <d v="2021-01-01T00:00:00"/>
    <d v="2021-12-31T00:00:00"/>
    <x v="1"/>
    <d v="2021-01-01T00:00:00"/>
    <d v="2021-12-31T00:00:00"/>
    <s v="Petrol (100% mineral petrol)"/>
    <n v="272.48"/>
    <s v="litres"/>
    <x v="1"/>
    <m/>
    <s v="2023-02-27, 16:27"/>
    <s v="2023-07-20, 00:40"/>
    <n v="2021"/>
    <s v="petrol_100p_mineral_petrol__wtt"/>
    <s v="Petrol (100% Mineral Petrol) WTT"/>
    <s v="wtt"/>
    <b v="0"/>
    <s v="WTT- FUELS; WTT- LIQUID FUELS; PETROL (100% MINERAL PETROL)"/>
    <x v="1"/>
    <x v="1"/>
    <m/>
    <m/>
    <m/>
    <m/>
    <n v="1"/>
    <s v="CO2E"/>
    <n v="164.25911840000001"/>
    <n v="0.60282999999999998"/>
    <s v="LITRES"/>
    <n v="1"/>
    <n v="272.48"/>
    <s v="AR4"/>
    <s v="Defra"/>
    <s v="Defra (2021)"/>
    <n v="2021"/>
    <n v="2019"/>
    <n v="0"/>
    <n v="0.16425911840000001"/>
    <x v="22"/>
    <s v="Labratory"/>
  </r>
  <r>
    <n v="4997"/>
    <s v="Top of Hierarchy &gt; South America &gt; Vantage_Argentina Farm (Agrinsa)"/>
    <x v="2"/>
    <x v="1"/>
    <d v="2021-01-01T00:00:00"/>
    <d v="2021-12-31T00:00:00"/>
    <x v="1"/>
    <d v="2021-01-01T00:00:00"/>
    <d v="2021-12-31T00:00:00"/>
    <s v="Petrol (100% mineral petrol)"/>
    <n v="167.02"/>
    <s v="litres"/>
    <x v="1"/>
    <m/>
    <s v="2023-02-27, 16:27"/>
    <s v="2023-07-20, 00:40"/>
    <n v="2021"/>
    <s v="petrol_100p_mineral_petrol"/>
    <s v="Petrol (100% Mineral Petrol)"/>
    <s v="model"/>
    <b v="0"/>
    <s v="FUELS; LIQUID FUELS; PETROL (100% MINERAL PETROL)"/>
    <x v="2"/>
    <x v="0"/>
    <m/>
    <m/>
    <m/>
    <m/>
    <n v="0"/>
    <s v="CH4"/>
    <n v="1.2225864"/>
    <n v="7.3200000000000001E-3"/>
    <s v="LITRES"/>
    <n v="1"/>
    <n v="167.02"/>
    <s v="AR4"/>
    <s v="Defra"/>
    <s v="Defra (2021)"/>
    <n v="2021"/>
    <n v="2019"/>
    <n v="0"/>
    <n v="0"/>
    <x v="22"/>
    <s v="Labratory"/>
  </r>
  <r>
    <n v="4997"/>
    <s v="Top of Hierarchy &gt; South America &gt; Vantage_Argentina Farm (Agrinsa)"/>
    <x v="2"/>
    <x v="1"/>
    <d v="2021-01-01T00:00:00"/>
    <d v="2021-12-31T00:00:00"/>
    <x v="1"/>
    <d v="2021-01-01T00:00:00"/>
    <d v="2021-12-31T00:00:00"/>
    <s v="Petrol (100% mineral petrol)"/>
    <n v="167.02"/>
    <s v="litres"/>
    <x v="1"/>
    <m/>
    <s v="2023-02-27, 16:27"/>
    <s v="2023-07-20, 00:40"/>
    <n v="2021"/>
    <s v="petrol_100p_mineral_petrol"/>
    <s v="Petrol (100% Mineral Petrol)"/>
    <s v="model"/>
    <b v="0"/>
    <s v="FUELS; LIQUID FUELS; PETROL (100% MINERAL PETROL)"/>
    <x v="2"/>
    <x v="0"/>
    <m/>
    <m/>
    <m/>
    <m/>
    <n v="0"/>
    <s v="CO2"/>
    <n v="388.43340339999997"/>
    <n v="2.3256700000000001"/>
    <s v="LITRES"/>
    <n v="1"/>
    <n v="167.02"/>
    <s v="AR4"/>
    <s v="Defra"/>
    <s v="Defra (2021)"/>
    <n v="2021"/>
    <n v="2019"/>
    <n v="0"/>
    <n v="0"/>
    <x v="22"/>
    <s v="Labratory"/>
  </r>
  <r>
    <n v="4997"/>
    <s v="Top of Hierarchy &gt; South America &gt; Vantage_Argentina Farm (Agrinsa)"/>
    <x v="2"/>
    <x v="1"/>
    <d v="2021-01-01T00:00:00"/>
    <d v="2021-12-31T00:00:00"/>
    <x v="1"/>
    <d v="2021-01-01T00:00:00"/>
    <d v="2021-12-31T00:00:00"/>
    <s v="Petrol (100% mineral petrol)"/>
    <n v="167.02"/>
    <s v="litres"/>
    <x v="1"/>
    <m/>
    <s v="2023-02-27, 16:27"/>
    <s v="2023-07-20, 00:40"/>
    <n v="2021"/>
    <s v="petrol_100p_mineral_petrol"/>
    <s v="Petrol (100% Mineral Petrol)"/>
    <s v="model"/>
    <b v="0"/>
    <s v="FUELS; LIQUID FUELS; PETROL (100% MINERAL PETROL)"/>
    <x v="2"/>
    <x v="0"/>
    <m/>
    <m/>
    <m/>
    <m/>
    <n v="0"/>
    <s v="CO2E"/>
    <n v="390.77669400000002"/>
    <n v="2.3397000000000001"/>
    <s v="LITRES"/>
    <n v="1"/>
    <n v="167.02"/>
    <s v="AR4"/>
    <s v="Defra"/>
    <s v="Defra (2021)"/>
    <n v="2021"/>
    <n v="2019"/>
    <n v="0.39077669400000004"/>
    <n v="0"/>
    <x v="22"/>
    <s v="Labratory"/>
  </r>
  <r>
    <n v="4997"/>
    <s v="Top of Hierarchy &gt; South America &gt; Vantage_Argentina Farm (Agrinsa)"/>
    <x v="2"/>
    <x v="1"/>
    <d v="2021-01-01T00:00:00"/>
    <d v="2021-12-31T00:00:00"/>
    <x v="1"/>
    <d v="2021-01-01T00:00:00"/>
    <d v="2021-12-31T00:00:00"/>
    <s v="Petrol (100% mineral petrol)"/>
    <n v="167.02"/>
    <s v="litres"/>
    <x v="1"/>
    <m/>
    <s v="2023-02-27, 16:27"/>
    <s v="2023-07-20, 00:40"/>
    <n v="2021"/>
    <s v="petrol_100p_mineral_petrol"/>
    <s v="Petrol (100% Mineral Petrol)"/>
    <s v="model"/>
    <b v="0"/>
    <s v="FUELS; LIQUID FUELS; PETROL (100% MINERAL PETROL)"/>
    <x v="2"/>
    <x v="0"/>
    <m/>
    <m/>
    <m/>
    <m/>
    <n v="0"/>
    <s v="N2O"/>
    <n v="1.1207042"/>
    <n v="6.7099999999999998E-3"/>
    <s v="LITRES"/>
    <n v="1"/>
    <n v="167.02"/>
    <s v="AR4"/>
    <s v="Defra"/>
    <s v="Defra (2021)"/>
    <n v="2021"/>
    <n v="2019"/>
    <n v="0"/>
    <n v="0"/>
    <x v="22"/>
    <s v="Labratory"/>
  </r>
  <r>
    <n v="4997"/>
    <s v="Top of Hierarchy &gt; South America &gt; Vantage_Argentina Farm (Agrinsa)"/>
    <x v="2"/>
    <x v="1"/>
    <d v="2021-01-01T00:00:00"/>
    <d v="2021-12-31T00:00:00"/>
    <x v="1"/>
    <d v="2021-01-01T00:00:00"/>
    <d v="2021-12-31T00:00:00"/>
    <s v="Petrol (100% mineral petrol)"/>
    <n v="167.02"/>
    <s v="litres"/>
    <x v="1"/>
    <m/>
    <s v="2023-02-27, 16:27"/>
    <s v="2023-07-20, 00:40"/>
    <n v="2021"/>
    <s v="petrol_100p_mineral_petrol"/>
    <s v="Petrol (100% Mineral Petrol)"/>
    <s v="model"/>
    <b v="0"/>
    <s v="FUELS; LIQUID FUELS; PETROL (100% MINERAL PETROL)"/>
    <x v="2"/>
    <x v="0"/>
    <m/>
    <m/>
    <m/>
    <m/>
    <n v="1"/>
    <s v="CH4"/>
    <n v="1.2225864"/>
    <n v="7.3200000000000001E-3"/>
    <s v="LITRES"/>
    <n v="1"/>
    <n v="167.02"/>
    <s v="AR4"/>
    <s v="Defra"/>
    <s v="Defra (2021)"/>
    <n v="2021"/>
    <n v="2019"/>
    <n v="0"/>
    <n v="0"/>
    <x v="22"/>
    <s v="Labratory"/>
  </r>
  <r>
    <n v="4997"/>
    <s v="Top of Hierarchy &gt; South America &gt; Vantage_Argentina Farm (Agrinsa)"/>
    <x v="2"/>
    <x v="1"/>
    <d v="2021-01-01T00:00:00"/>
    <d v="2021-12-31T00:00:00"/>
    <x v="1"/>
    <d v="2021-01-01T00:00:00"/>
    <d v="2021-12-31T00:00:00"/>
    <s v="Petrol (100% mineral petrol)"/>
    <n v="167.02"/>
    <s v="litres"/>
    <x v="1"/>
    <m/>
    <s v="2023-02-27, 16:27"/>
    <s v="2023-07-20, 00:40"/>
    <n v="2021"/>
    <s v="petrol_100p_mineral_petrol"/>
    <s v="Petrol (100% Mineral Petrol)"/>
    <s v="model"/>
    <b v="0"/>
    <s v="FUELS; LIQUID FUELS; PETROL (100% MINERAL PETROL)"/>
    <x v="2"/>
    <x v="0"/>
    <m/>
    <m/>
    <m/>
    <m/>
    <n v="1"/>
    <s v="CO2"/>
    <n v="388.43340339999997"/>
    <n v="2.3256700000000001"/>
    <s v="LITRES"/>
    <n v="1"/>
    <n v="167.02"/>
    <s v="AR4"/>
    <s v="Defra"/>
    <s v="Defra (2021)"/>
    <n v="2021"/>
    <n v="2019"/>
    <n v="0"/>
    <n v="0"/>
    <x v="22"/>
    <s v="Labratory"/>
  </r>
  <r>
    <n v="4997"/>
    <s v="Top of Hierarchy &gt; South America &gt; Vantage_Argentina Farm (Agrinsa)"/>
    <x v="2"/>
    <x v="1"/>
    <d v="2021-01-01T00:00:00"/>
    <d v="2021-12-31T00:00:00"/>
    <x v="1"/>
    <d v="2021-01-01T00:00:00"/>
    <d v="2021-12-31T00:00:00"/>
    <s v="Petrol (100% mineral petrol)"/>
    <n v="167.02"/>
    <s v="litres"/>
    <x v="1"/>
    <m/>
    <s v="2023-02-27, 16:27"/>
    <s v="2023-07-20, 00:40"/>
    <n v="2021"/>
    <s v="petrol_100p_mineral_petrol"/>
    <s v="Petrol (100% Mineral Petrol)"/>
    <s v="model"/>
    <b v="0"/>
    <s v="FUELS; LIQUID FUELS; PETROL (100% MINERAL PETROL)"/>
    <x v="2"/>
    <x v="0"/>
    <m/>
    <m/>
    <m/>
    <m/>
    <n v="1"/>
    <s v="CO2E"/>
    <n v="390.77669400000002"/>
    <n v="2.3397000000000001"/>
    <s v="LITRES"/>
    <n v="1"/>
    <n v="167.02"/>
    <s v="AR4"/>
    <s v="Defra"/>
    <s v="Defra (2021)"/>
    <n v="2021"/>
    <n v="2019"/>
    <n v="0"/>
    <n v="0.39077669400000004"/>
    <x v="22"/>
    <s v="Labratory"/>
  </r>
  <r>
    <n v="4997"/>
    <s v="Top of Hierarchy &gt; South America &gt; Vantage_Argentina Farm (Agrinsa)"/>
    <x v="2"/>
    <x v="1"/>
    <d v="2021-01-01T00:00:00"/>
    <d v="2021-12-31T00:00:00"/>
    <x v="1"/>
    <d v="2021-01-01T00:00:00"/>
    <d v="2021-12-31T00:00:00"/>
    <s v="Petrol (100% mineral petrol)"/>
    <n v="167.02"/>
    <s v="litres"/>
    <x v="1"/>
    <m/>
    <s v="2023-02-27, 16:27"/>
    <s v="2023-07-20, 00:40"/>
    <n v="2021"/>
    <s v="petrol_100p_mineral_petrol"/>
    <s v="Petrol (100% Mineral Petrol)"/>
    <s v="model"/>
    <b v="0"/>
    <s v="FUELS; LIQUID FUELS; PETROL (100% MINERAL PETROL)"/>
    <x v="2"/>
    <x v="0"/>
    <m/>
    <m/>
    <m/>
    <m/>
    <n v="1"/>
    <s v="N2O"/>
    <n v="1.1207042"/>
    <n v="6.7099999999999998E-3"/>
    <s v="LITRES"/>
    <n v="1"/>
    <n v="167.02"/>
    <s v="AR4"/>
    <s v="Defra"/>
    <s v="Defra (2021)"/>
    <n v="2021"/>
    <n v="2019"/>
    <n v="0"/>
    <n v="0"/>
    <x v="22"/>
    <s v="Labratory"/>
  </r>
  <r>
    <n v="4997"/>
    <s v="Top of Hierarchy &gt; South America &gt; Vantage_Argentina Farm (Agrinsa)"/>
    <x v="2"/>
    <x v="1"/>
    <d v="2021-01-01T00:00:00"/>
    <d v="2021-12-31T00:00:00"/>
    <x v="1"/>
    <d v="2021-01-01T00:00:00"/>
    <d v="2021-12-31T00:00:00"/>
    <s v="Petrol (100% mineral petrol)"/>
    <n v="167.02"/>
    <s v="litres"/>
    <x v="1"/>
    <m/>
    <s v="2023-02-27, 16:27"/>
    <s v="2023-07-20, 00:40"/>
    <n v="2021"/>
    <s v="petrol_100p_mineral_petrol__wtt"/>
    <s v="Petrol (100% Mineral Petrol) WTT"/>
    <s v="wtt"/>
    <b v="0"/>
    <s v="WTT- FUELS; WTT- LIQUID FUELS; PETROL (100% MINERAL PETROL)"/>
    <x v="1"/>
    <x v="1"/>
    <m/>
    <m/>
    <m/>
    <m/>
    <n v="0"/>
    <s v="CO2E"/>
    <n v="100.6846666"/>
    <n v="0.60282999999999998"/>
    <s v="LITRES"/>
    <n v="1"/>
    <n v="167.02"/>
    <s v="AR4"/>
    <s v="Defra"/>
    <s v="Defra (2021)"/>
    <n v="2021"/>
    <n v="2019"/>
    <n v="0.1006846666"/>
    <n v="0"/>
    <x v="22"/>
    <s v="Labratory"/>
  </r>
  <r>
    <n v="4997"/>
    <s v="Top of Hierarchy &gt; South America &gt; Vantage_Argentina Farm (Agrinsa)"/>
    <x v="2"/>
    <x v="1"/>
    <d v="2021-01-01T00:00:00"/>
    <d v="2021-12-31T00:00:00"/>
    <x v="1"/>
    <d v="2021-01-01T00:00:00"/>
    <d v="2021-12-31T00:00:00"/>
    <s v="Petrol (100% mineral petrol)"/>
    <n v="167.02"/>
    <s v="litres"/>
    <x v="1"/>
    <m/>
    <s v="2023-02-27, 16:27"/>
    <s v="2023-07-20, 00:40"/>
    <n v="2021"/>
    <s v="petrol_100p_mineral_petrol__wtt"/>
    <s v="Petrol (100% Mineral Petrol) WTT"/>
    <s v="wtt"/>
    <b v="0"/>
    <s v="WTT- FUELS; WTT- LIQUID FUELS; PETROL (100% MINERAL PETROL)"/>
    <x v="1"/>
    <x v="1"/>
    <m/>
    <m/>
    <m/>
    <m/>
    <n v="1"/>
    <s v="CO2E"/>
    <n v="100.6846666"/>
    <n v="0.60282999999999998"/>
    <s v="LITRES"/>
    <n v="1"/>
    <n v="167.02"/>
    <s v="AR4"/>
    <s v="Defra"/>
    <s v="Defra (2021)"/>
    <n v="2021"/>
    <n v="2019"/>
    <n v="0"/>
    <n v="0.1006846666"/>
    <x v="22"/>
    <s v="Labratory"/>
  </r>
  <r>
    <n v="4998"/>
    <s v="Top of Hierarchy &gt; South America &gt; Vantage_Argentina Farm (Agrinsa)"/>
    <x v="2"/>
    <x v="1"/>
    <d v="2021-01-01T00:00:00"/>
    <d v="2021-12-31T00:00:00"/>
    <x v="1"/>
    <d v="2021-01-01T00:00:00"/>
    <d v="2021-12-31T00:00:00"/>
    <s v="Diesel (100% mineral diesel)"/>
    <n v="4299.5200000000004"/>
    <s v="litres"/>
    <x v="1"/>
    <m/>
    <s v="2023-02-27, 16:27"/>
    <s v="2023-07-20, 00:40"/>
    <n v="2021"/>
    <s v="diesel_100p_mineral_diesel"/>
    <s v="Diesel (100% Mineral Diesel)"/>
    <s v="model"/>
    <b v="0"/>
    <s v="FUELS; LIQUID FUELS; DIESEL (100% MINERAL DIESEL)"/>
    <x v="2"/>
    <x v="0"/>
    <m/>
    <m/>
    <m/>
    <m/>
    <n v="0"/>
    <s v="CH4"/>
    <n v="1.1178752000000001"/>
    <n v="2.5999999999999998E-4"/>
    <s v="LITRES"/>
    <n v="1"/>
    <n v="4299.5200000000004"/>
    <s v="AR4"/>
    <s v="Defra"/>
    <s v="Defra (2021)"/>
    <n v="2021"/>
    <n v="2019"/>
    <n v="0"/>
    <n v="0"/>
    <x v="22"/>
    <s v="Labratory"/>
  </r>
  <r>
    <n v="4998"/>
    <s v="Top of Hierarchy &gt; South America &gt; Vantage_Argentina Farm (Agrinsa)"/>
    <x v="2"/>
    <x v="1"/>
    <d v="2021-01-01T00:00:00"/>
    <d v="2021-12-31T00:00:00"/>
    <x v="1"/>
    <d v="2021-01-01T00:00:00"/>
    <d v="2021-12-31T00:00:00"/>
    <s v="Diesel (100% mineral diesel)"/>
    <n v="4299.5200000000004"/>
    <s v="litres"/>
    <x v="1"/>
    <m/>
    <s v="2023-02-27, 16:27"/>
    <s v="2023-07-20, 00:40"/>
    <n v="2021"/>
    <s v="diesel_100p_mineral_diesel"/>
    <s v="Diesel (100% Mineral Diesel)"/>
    <s v="model"/>
    <b v="0"/>
    <s v="FUELS; LIQUID FUELS; DIESEL (100% MINERAL DIESEL)"/>
    <x v="2"/>
    <x v="0"/>
    <m/>
    <m/>
    <m/>
    <m/>
    <n v="0"/>
    <s v="CO2"/>
    <n v="11471.420330000001"/>
    <n v="2.6680700000000002"/>
    <s v="LITRES"/>
    <n v="1"/>
    <n v="4299.5200000000004"/>
    <s v="AR4"/>
    <s v="Defra"/>
    <s v="Defra (2021)"/>
    <n v="2021"/>
    <n v="2019"/>
    <n v="0"/>
    <n v="0"/>
    <x v="22"/>
    <s v="Labratory"/>
  </r>
  <r>
    <n v="4998"/>
    <s v="Top of Hierarchy &gt; South America &gt; Vantage_Argentina Farm (Agrinsa)"/>
    <x v="2"/>
    <x v="1"/>
    <d v="2021-01-01T00:00:00"/>
    <d v="2021-12-31T00:00:00"/>
    <x v="1"/>
    <d v="2021-01-01T00:00:00"/>
    <d v="2021-12-31T00:00:00"/>
    <s v="Diesel (100% mineral diesel)"/>
    <n v="4299.5200000000004"/>
    <s v="litres"/>
    <x v="1"/>
    <m/>
    <s v="2023-02-27, 16:27"/>
    <s v="2023-07-20, 00:40"/>
    <n v="2021"/>
    <s v="diesel_100p_mineral_diesel"/>
    <s v="Diesel (100% Mineral Diesel)"/>
    <s v="model"/>
    <b v="0"/>
    <s v="FUELS; LIQUID FUELS; DIESEL (100% MINERAL DIESEL)"/>
    <x v="2"/>
    <x v="0"/>
    <m/>
    <m/>
    <m/>
    <m/>
    <n v="0"/>
    <s v="CO2E"/>
    <n v="11632.48035"/>
    <n v="2.70553"/>
    <s v="LITRES"/>
    <n v="1"/>
    <n v="4299.5200000000004"/>
    <s v="AR4"/>
    <s v="Defra"/>
    <s v="Defra (2021)"/>
    <n v="2021"/>
    <n v="2019"/>
    <n v="11.63248035"/>
    <n v="0"/>
    <x v="22"/>
    <s v="Labratory"/>
  </r>
  <r>
    <n v="4998"/>
    <s v="Top of Hierarchy &gt; South America &gt; Vantage_Argentina Farm (Agrinsa)"/>
    <x v="2"/>
    <x v="1"/>
    <d v="2021-01-01T00:00:00"/>
    <d v="2021-12-31T00:00:00"/>
    <x v="1"/>
    <d v="2021-01-01T00:00:00"/>
    <d v="2021-12-31T00:00:00"/>
    <s v="Diesel (100% mineral diesel)"/>
    <n v="4299.5200000000004"/>
    <s v="litres"/>
    <x v="1"/>
    <m/>
    <s v="2023-02-27, 16:27"/>
    <s v="2023-07-20, 00:40"/>
    <n v="2021"/>
    <s v="diesel_100p_mineral_diesel"/>
    <s v="Diesel (100% Mineral Diesel)"/>
    <s v="model"/>
    <b v="0"/>
    <s v="FUELS; LIQUID FUELS; DIESEL (100% MINERAL DIESEL)"/>
    <x v="2"/>
    <x v="0"/>
    <m/>
    <m/>
    <m/>
    <m/>
    <n v="0"/>
    <s v="N2O"/>
    <n v="159.94214400000001"/>
    <n v="3.7199999999999997E-2"/>
    <s v="LITRES"/>
    <n v="1"/>
    <n v="4299.5200000000004"/>
    <s v="AR4"/>
    <s v="Defra"/>
    <s v="Defra (2021)"/>
    <n v="2021"/>
    <n v="2019"/>
    <n v="0"/>
    <n v="0"/>
    <x v="22"/>
    <s v="Labratory"/>
  </r>
  <r>
    <n v="4998"/>
    <s v="Top of Hierarchy &gt; South America &gt; Vantage_Argentina Farm (Agrinsa)"/>
    <x v="2"/>
    <x v="1"/>
    <d v="2021-01-01T00:00:00"/>
    <d v="2021-12-31T00:00:00"/>
    <x v="1"/>
    <d v="2021-01-01T00:00:00"/>
    <d v="2021-12-31T00:00:00"/>
    <s v="Diesel (100% mineral diesel)"/>
    <n v="4299.5200000000004"/>
    <s v="litres"/>
    <x v="1"/>
    <m/>
    <s v="2023-02-27, 16:27"/>
    <s v="2023-07-20, 00:40"/>
    <n v="2021"/>
    <s v="diesel_100p_mineral_diesel"/>
    <s v="Diesel (100% Mineral Diesel)"/>
    <s v="model"/>
    <b v="0"/>
    <s v="FUELS; LIQUID FUELS; DIESEL (100% MINERAL DIESEL)"/>
    <x v="2"/>
    <x v="0"/>
    <m/>
    <m/>
    <m/>
    <m/>
    <n v="1"/>
    <s v="CH4"/>
    <n v="1.1178752000000001"/>
    <n v="2.5999999999999998E-4"/>
    <s v="LITRES"/>
    <n v="1"/>
    <n v="4299.5200000000004"/>
    <s v="AR4"/>
    <s v="Defra"/>
    <s v="Defra (2021)"/>
    <n v="2021"/>
    <n v="2019"/>
    <n v="0"/>
    <n v="0"/>
    <x v="22"/>
    <s v="Labratory"/>
  </r>
  <r>
    <n v="4998"/>
    <s v="Top of Hierarchy &gt; South America &gt; Vantage_Argentina Farm (Agrinsa)"/>
    <x v="2"/>
    <x v="1"/>
    <d v="2021-01-01T00:00:00"/>
    <d v="2021-12-31T00:00:00"/>
    <x v="1"/>
    <d v="2021-01-01T00:00:00"/>
    <d v="2021-12-31T00:00:00"/>
    <s v="Diesel (100% mineral diesel)"/>
    <n v="4299.5200000000004"/>
    <s v="litres"/>
    <x v="1"/>
    <m/>
    <s v="2023-02-27, 16:27"/>
    <s v="2023-07-20, 00:40"/>
    <n v="2021"/>
    <s v="diesel_100p_mineral_diesel"/>
    <s v="Diesel (100% Mineral Diesel)"/>
    <s v="model"/>
    <b v="0"/>
    <s v="FUELS; LIQUID FUELS; DIESEL (100% MINERAL DIESEL)"/>
    <x v="2"/>
    <x v="0"/>
    <m/>
    <m/>
    <m/>
    <m/>
    <n v="1"/>
    <s v="CO2"/>
    <n v="11471.420330000001"/>
    <n v="2.6680700000000002"/>
    <s v="LITRES"/>
    <n v="1"/>
    <n v="4299.5200000000004"/>
    <s v="AR4"/>
    <s v="Defra"/>
    <s v="Defra (2021)"/>
    <n v="2021"/>
    <n v="2019"/>
    <n v="0"/>
    <n v="0"/>
    <x v="22"/>
    <s v="Labratory"/>
  </r>
  <r>
    <n v="4998"/>
    <s v="Top of Hierarchy &gt; South America &gt; Vantage_Argentina Farm (Agrinsa)"/>
    <x v="2"/>
    <x v="1"/>
    <d v="2021-01-01T00:00:00"/>
    <d v="2021-12-31T00:00:00"/>
    <x v="1"/>
    <d v="2021-01-01T00:00:00"/>
    <d v="2021-12-31T00:00:00"/>
    <s v="Diesel (100% mineral diesel)"/>
    <n v="4299.5200000000004"/>
    <s v="litres"/>
    <x v="1"/>
    <m/>
    <s v="2023-02-27, 16:27"/>
    <s v="2023-07-20, 00:40"/>
    <n v="2021"/>
    <s v="diesel_100p_mineral_diesel"/>
    <s v="Diesel (100% Mineral Diesel)"/>
    <s v="model"/>
    <b v="0"/>
    <s v="FUELS; LIQUID FUELS; DIESEL (100% MINERAL DIESEL)"/>
    <x v="2"/>
    <x v="0"/>
    <m/>
    <m/>
    <m/>
    <m/>
    <n v="1"/>
    <s v="CO2E"/>
    <n v="11632.48035"/>
    <n v="2.70553"/>
    <s v="LITRES"/>
    <n v="1"/>
    <n v="4299.5200000000004"/>
    <s v="AR4"/>
    <s v="Defra"/>
    <s v="Defra (2021)"/>
    <n v="2021"/>
    <n v="2019"/>
    <n v="0"/>
    <n v="11.63248035"/>
    <x v="22"/>
    <s v="Labratory"/>
  </r>
  <r>
    <n v="4998"/>
    <s v="Top of Hierarchy &gt; South America &gt; Vantage_Argentina Farm (Agrinsa)"/>
    <x v="2"/>
    <x v="1"/>
    <d v="2021-01-01T00:00:00"/>
    <d v="2021-12-31T00:00:00"/>
    <x v="1"/>
    <d v="2021-01-01T00:00:00"/>
    <d v="2021-12-31T00:00:00"/>
    <s v="Diesel (100% mineral diesel)"/>
    <n v="4299.5200000000004"/>
    <s v="litres"/>
    <x v="1"/>
    <m/>
    <s v="2023-02-27, 16:27"/>
    <s v="2023-07-20, 00:40"/>
    <n v="2021"/>
    <s v="diesel_100p_mineral_diesel"/>
    <s v="Diesel (100% Mineral Diesel)"/>
    <s v="model"/>
    <b v="0"/>
    <s v="FUELS; LIQUID FUELS; DIESEL (100% MINERAL DIESEL)"/>
    <x v="2"/>
    <x v="0"/>
    <m/>
    <m/>
    <m/>
    <m/>
    <n v="1"/>
    <s v="N2O"/>
    <n v="159.94214400000001"/>
    <n v="3.7199999999999997E-2"/>
    <s v="LITRES"/>
    <n v="1"/>
    <n v="4299.5200000000004"/>
    <s v="AR4"/>
    <s v="Defra"/>
    <s v="Defra (2021)"/>
    <n v="2021"/>
    <n v="2019"/>
    <n v="0"/>
    <n v="0"/>
    <x v="22"/>
    <s v="Labratory"/>
  </r>
  <r>
    <n v="4998"/>
    <s v="Top of Hierarchy &gt; South America &gt; Vantage_Argentina Farm (Agrinsa)"/>
    <x v="2"/>
    <x v="1"/>
    <d v="2021-01-01T00:00:00"/>
    <d v="2021-12-31T00:00:00"/>
    <x v="1"/>
    <d v="2021-01-01T00:00:00"/>
    <d v="2021-12-31T00:00:00"/>
    <s v="Diesel (100% mineral diesel)"/>
    <n v="4299.5200000000004"/>
    <s v="litres"/>
    <x v="1"/>
    <m/>
    <s v="2023-02-27, 16:27"/>
    <s v="2023-07-20, 00:40"/>
    <n v="2021"/>
    <s v="diesel_100p_mineral_diesel__wtt"/>
    <s v="Diesel (100% Mineral Diesel) WTT"/>
    <s v="wtt"/>
    <b v="0"/>
    <s v="WTT- FUELS; WTT- LIQUID FUELS; DIESEL (100% MINERAL DIESEL)"/>
    <x v="1"/>
    <x v="1"/>
    <m/>
    <m/>
    <m/>
    <m/>
    <n v="0"/>
    <s v="CO2E"/>
    <n v="2703.280205"/>
    <n v="0.62873999999999997"/>
    <s v="LITRES"/>
    <n v="1"/>
    <n v="4299.5200000000004"/>
    <s v="AR4"/>
    <s v="Defra"/>
    <s v="Defra (2021)"/>
    <n v="2021"/>
    <n v="2019"/>
    <n v="2.703280205"/>
    <n v="0"/>
    <x v="22"/>
    <s v="Labratory"/>
  </r>
  <r>
    <n v="4998"/>
    <s v="Top of Hierarchy &gt; South America &gt; Vantage_Argentina Farm (Agrinsa)"/>
    <x v="2"/>
    <x v="1"/>
    <d v="2021-01-01T00:00:00"/>
    <d v="2021-12-31T00:00:00"/>
    <x v="1"/>
    <d v="2021-01-01T00:00:00"/>
    <d v="2021-12-31T00:00:00"/>
    <s v="Diesel (100% mineral diesel)"/>
    <n v="4299.5200000000004"/>
    <s v="litres"/>
    <x v="1"/>
    <m/>
    <s v="2023-02-27, 16:27"/>
    <s v="2023-07-20, 00:40"/>
    <n v="2021"/>
    <s v="diesel_100p_mineral_diesel__wtt"/>
    <s v="Diesel (100% Mineral Diesel) WTT"/>
    <s v="wtt"/>
    <b v="0"/>
    <s v="WTT- FUELS; WTT- LIQUID FUELS; DIESEL (100% MINERAL DIESEL)"/>
    <x v="1"/>
    <x v="1"/>
    <m/>
    <m/>
    <m/>
    <m/>
    <n v="1"/>
    <s v="CO2E"/>
    <n v="2703.280205"/>
    <n v="0.62873999999999997"/>
    <s v="LITRES"/>
    <n v="1"/>
    <n v="4299.5200000000004"/>
    <s v="AR4"/>
    <s v="Defra"/>
    <s v="Defra (2021)"/>
    <n v="2021"/>
    <n v="2019"/>
    <n v="0"/>
    <n v="2.703280205"/>
    <x v="22"/>
    <s v="Labratory"/>
  </r>
  <r>
    <n v="5026"/>
    <s v="Top of Hierarchy &gt; South America &gt; Vantage_Argentina Farm (Agrinsa)"/>
    <x v="2"/>
    <x v="1"/>
    <d v="2021-01-01T00:00:00"/>
    <d v="2021-12-31T00:00:00"/>
    <x v="4"/>
    <d v="2021-01-01T00:00:00"/>
    <d v="2021-12-31T00:00:00"/>
    <s v="HFC-32"/>
    <n v="0"/>
    <s v="kilograms"/>
    <x v="0"/>
    <m/>
    <s v="2023-02-27, 16:27"/>
    <s v="2023-07-20, 00:40"/>
    <n v="2021"/>
    <s v="hfc-32"/>
    <s v="HFC-32"/>
    <s v="model"/>
    <b v="0"/>
    <s v="REFRIGERANT: R-32"/>
    <x v="2"/>
    <x v="0"/>
    <m/>
    <m/>
    <m/>
    <m/>
    <n v="0"/>
    <s v="CO2E"/>
    <n v="0"/>
    <n v="675"/>
    <s v="KG"/>
    <n v="1"/>
    <n v="0"/>
    <s v="AR4"/>
    <s v="IPCC"/>
    <s v="IPCC (2021)"/>
    <n v="2021"/>
    <n v="2007"/>
    <n v="0"/>
    <n v="0"/>
    <x v="22"/>
    <s v="Labratory"/>
  </r>
  <r>
    <n v="5026"/>
    <s v="Top of Hierarchy &gt; South America &gt; Vantage_Argentina Farm (Agrinsa)"/>
    <x v="2"/>
    <x v="1"/>
    <d v="2021-01-01T00:00:00"/>
    <d v="2021-12-31T00:00:00"/>
    <x v="4"/>
    <d v="2021-01-01T00:00:00"/>
    <d v="2021-12-31T00:00:00"/>
    <s v="HFC-32"/>
    <n v="0"/>
    <s v="kilograms"/>
    <x v="0"/>
    <m/>
    <s v="2023-02-27, 16:27"/>
    <s v="2023-07-20, 00:40"/>
    <n v="2021"/>
    <s v="hfc-32"/>
    <s v="HFC-32"/>
    <s v="model"/>
    <b v="0"/>
    <s v="REFRIGERANT: R-32"/>
    <x v="2"/>
    <x v="0"/>
    <m/>
    <m/>
    <m/>
    <m/>
    <n v="1"/>
    <s v="CO2E"/>
    <n v="0"/>
    <n v="675"/>
    <s v="KG"/>
    <n v="1"/>
    <n v="0"/>
    <s v="AR4"/>
    <s v="IPCC"/>
    <s v="IPCC (2021)"/>
    <n v="2021"/>
    <n v="2007"/>
    <n v="0"/>
    <n v="0"/>
    <x v="22"/>
    <s v="Labratory"/>
  </r>
  <r>
    <n v="1590446"/>
    <s v="Top of Hierarchy &gt; South America &gt; Vantage_Bogotá"/>
    <x v="0"/>
    <x v="0"/>
    <d v="2022-01-01T00:00:00"/>
    <d v="2022-12-31T00:00:00"/>
    <x v="0"/>
    <d v="2022-01-01T00:00:00"/>
    <d v="2022-12-31T00:00:00"/>
    <s v="Electricity (non-renewable)"/>
    <n v="23155.402839999999"/>
    <s v="Kilowatt hours"/>
    <x v="0"/>
    <s v="Estimated from square footage (CBECS 2012)"/>
    <s v="2023-07-25, 17:50"/>
    <s v="2023-07-25, 17:50"/>
    <n v="2022"/>
    <s v="electricity"/>
    <s v="Electricity"/>
    <s v="model"/>
    <b v="0"/>
    <s v="ELECTRICITY; COLOMBIA"/>
    <x v="0"/>
    <x v="0"/>
    <s v="Americas"/>
    <s v="Latin America and the Caribbean"/>
    <s v="CO"/>
    <m/>
    <n v="0"/>
    <s v="CH4"/>
    <n v="6.9466208529999998"/>
    <s v="RESTRICTED"/>
    <s v="KWH"/>
    <n v="1"/>
    <n v="23155.402839999999"/>
    <s v="AR4"/>
    <s v="IEA"/>
    <s v="IEA (2022)"/>
    <n v="2022"/>
    <n v="2020"/>
    <n v="0"/>
    <n v="0"/>
    <x v="23"/>
    <s v="Office"/>
  </r>
  <r>
    <n v="1590446"/>
    <s v="Top of Hierarchy &gt; South America &gt; Vantage_Bogotá"/>
    <x v="0"/>
    <x v="0"/>
    <d v="2022-01-01T00:00:00"/>
    <d v="2022-12-31T00:00:00"/>
    <x v="0"/>
    <d v="2022-01-01T00:00:00"/>
    <d v="2022-12-31T00:00:00"/>
    <s v="Electricity (non-renewable)"/>
    <n v="23155.402839999999"/>
    <s v="Kilowatt hours"/>
    <x v="0"/>
    <s v="Estimated from square footage (CBECS 2012)"/>
    <s v="2023-07-25, 17:50"/>
    <s v="2023-07-25, 17:50"/>
    <n v="2022"/>
    <s v="electricity"/>
    <s v="Electricity"/>
    <s v="model"/>
    <b v="0"/>
    <s v="ELECTRICITY; COLOMBIA"/>
    <x v="0"/>
    <x v="0"/>
    <s v="Americas"/>
    <s v="Latin America and the Caribbean"/>
    <s v="CO"/>
    <m/>
    <n v="0"/>
    <s v="CO2"/>
    <n v="5309.533872"/>
    <s v="RESTRICTED"/>
    <s v="KWH"/>
    <n v="1"/>
    <n v="23155.402839999999"/>
    <s v="AR4"/>
    <s v="IEA"/>
    <s v="IEA (2022)"/>
    <n v="2022"/>
    <n v="2020"/>
    <n v="0"/>
    <n v="0"/>
    <x v="23"/>
    <s v="Office"/>
  </r>
  <r>
    <n v="1590446"/>
    <s v="Top of Hierarchy &gt; South America &gt; Vantage_Bogotá"/>
    <x v="0"/>
    <x v="0"/>
    <d v="2022-01-01T00:00:00"/>
    <d v="2022-12-31T00:00:00"/>
    <x v="0"/>
    <d v="2022-01-01T00:00:00"/>
    <d v="2022-12-31T00:00:00"/>
    <s v="Electricity (non-renewable)"/>
    <n v="23155.402839999999"/>
    <s v="Kilowatt hours"/>
    <x v="0"/>
    <s v="Estimated from square footage (CBECS 2012)"/>
    <s v="2023-07-25, 17:50"/>
    <s v="2023-07-25, 17:50"/>
    <n v="2022"/>
    <s v="electricity"/>
    <s v="Electricity"/>
    <s v="model"/>
    <b v="0"/>
    <s v="ELECTRICITY; COLOMBIA"/>
    <x v="0"/>
    <x v="0"/>
    <s v="Americas"/>
    <s v="Latin America and the Caribbean"/>
    <s v="CO"/>
    <m/>
    <n v="0"/>
    <s v="CO2E"/>
    <n v="5339.6358950000003"/>
    <s v="RESTRICTED"/>
    <s v="KWH"/>
    <n v="1"/>
    <n v="23155.402839999999"/>
    <s v="AR4"/>
    <s v="IEA"/>
    <s v="IEA (2022)"/>
    <n v="2022"/>
    <n v="2020"/>
    <n v="5.3396358950000007"/>
    <n v="0"/>
    <x v="23"/>
    <s v="Office"/>
  </r>
  <r>
    <n v="1590446"/>
    <s v="Top of Hierarchy &gt; South America &gt; Vantage_Bogotá"/>
    <x v="0"/>
    <x v="0"/>
    <d v="2022-01-01T00:00:00"/>
    <d v="2022-12-31T00:00:00"/>
    <x v="0"/>
    <d v="2022-01-01T00:00:00"/>
    <d v="2022-12-31T00:00:00"/>
    <s v="Electricity (non-renewable)"/>
    <n v="23155.402839999999"/>
    <s v="Kilowatt hours"/>
    <x v="0"/>
    <s v="Estimated from square footage (CBECS 2012)"/>
    <s v="2023-07-25, 17:50"/>
    <s v="2023-07-25, 17:50"/>
    <n v="2022"/>
    <s v="electricity"/>
    <s v="Electricity"/>
    <s v="model"/>
    <b v="0"/>
    <s v="ELECTRICITY; COLOMBIA"/>
    <x v="0"/>
    <x v="0"/>
    <s v="Americas"/>
    <s v="Latin America and the Caribbean"/>
    <s v="CO"/>
    <m/>
    <n v="0"/>
    <s v="N2O"/>
    <n v="23.155402840000001"/>
    <s v="RESTRICTED"/>
    <s v="KWH"/>
    <n v="1"/>
    <n v="23155.402839999999"/>
    <s v="AR4"/>
    <s v="IEA"/>
    <s v="IEA (2022)"/>
    <n v="2022"/>
    <n v="2020"/>
    <n v="0"/>
    <n v="0"/>
    <x v="23"/>
    <s v="Office"/>
  </r>
  <r>
    <n v="1590446"/>
    <s v="Top of Hierarchy &gt; South America &gt; Vantage_Bogotá"/>
    <x v="0"/>
    <x v="0"/>
    <d v="2022-01-01T00:00:00"/>
    <d v="2022-12-31T00:00:00"/>
    <x v="0"/>
    <d v="2022-01-01T00:00:00"/>
    <d v="2022-12-31T00:00:00"/>
    <s v="Electricity (non-renewable)"/>
    <n v="23155.402839999999"/>
    <s v="Kilowatt hours"/>
    <x v="0"/>
    <s v="Estimated from square footage (CBECS 2012)"/>
    <s v="2023-07-25, 17:50"/>
    <s v="2023-07-25, 17:50"/>
    <n v="2022"/>
    <s v="electricity"/>
    <s v="Electricity"/>
    <s v="model"/>
    <b v="0"/>
    <s v="ELECTRICITY; COLOMBIA"/>
    <x v="0"/>
    <x v="0"/>
    <s v="Americas"/>
    <s v="Latin America and the Caribbean"/>
    <s v="CO"/>
    <m/>
    <n v="1"/>
    <s v="CH4"/>
    <n v="6.9466208529999998"/>
    <s v="RESTRICTED"/>
    <s v="KWH"/>
    <n v="1"/>
    <n v="23155.402839999999"/>
    <s v="AR4"/>
    <s v="IEA"/>
    <s v="IEA (2022)"/>
    <n v="2022"/>
    <n v="2020"/>
    <n v="0"/>
    <n v="0"/>
    <x v="23"/>
    <s v="Office"/>
  </r>
  <r>
    <n v="1590446"/>
    <s v="Top of Hierarchy &gt; South America &gt; Vantage_Bogotá"/>
    <x v="0"/>
    <x v="0"/>
    <d v="2022-01-01T00:00:00"/>
    <d v="2022-12-31T00:00:00"/>
    <x v="0"/>
    <d v="2022-01-01T00:00:00"/>
    <d v="2022-12-31T00:00:00"/>
    <s v="Electricity (non-renewable)"/>
    <n v="23155.402839999999"/>
    <s v="Kilowatt hours"/>
    <x v="0"/>
    <s v="Estimated from square footage (CBECS 2012)"/>
    <s v="2023-07-25, 17:50"/>
    <s v="2023-07-25, 17:50"/>
    <n v="2022"/>
    <s v="electricity"/>
    <s v="Electricity"/>
    <s v="model"/>
    <b v="0"/>
    <s v="ELECTRICITY; COLOMBIA"/>
    <x v="0"/>
    <x v="0"/>
    <s v="Americas"/>
    <s v="Latin America and the Caribbean"/>
    <s v="CO"/>
    <m/>
    <n v="1"/>
    <s v="CO2"/>
    <n v="5309.533872"/>
    <s v="RESTRICTED"/>
    <s v="KWH"/>
    <n v="1"/>
    <n v="23155.402839999999"/>
    <s v="AR4"/>
    <s v="IEA"/>
    <s v="IEA (2022)"/>
    <n v="2022"/>
    <n v="2020"/>
    <n v="0"/>
    <n v="0"/>
    <x v="23"/>
    <s v="Office"/>
  </r>
  <r>
    <n v="1590446"/>
    <s v="Top of Hierarchy &gt; South America &gt; Vantage_Bogotá"/>
    <x v="0"/>
    <x v="0"/>
    <d v="2022-01-01T00:00:00"/>
    <d v="2022-12-31T00:00:00"/>
    <x v="0"/>
    <d v="2022-01-01T00:00:00"/>
    <d v="2022-12-31T00:00:00"/>
    <s v="Electricity (non-renewable)"/>
    <n v="23155.402839999999"/>
    <s v="Kilowatt hours"/>
    <x v="0"/>
    <s v="Estimated from square footage (CBECS 2012)"/>
    <s v="2023-07-25, 17:50"/>
    <s v="2023-07-25, 17:50"/>
    <n v="2022"/>
    <s v="electricity"/>
    <s v="Electricity"/>
    <s v="model"/>
    <b v="0"/>
    <s v="ELECTRICITY; COLOMBIA"/>
    <x v="0"/>
    <x v="0"/>
    <s v="Americas"/>
    <s v="Latin America and the Caribbean"/>
    <s v="CO"/>
    <m/>
    <n v="1"/>
    <s v="CO2E"/>
    <n v="5339.6358950000003"/>
    <s v="RESTRICTED"/>
    <s v="KWH"/>
    <n v="1"/>
    <n v="23155.402839999999"/>
    <s v="AR4"/>
    <s v="IEA"/>
    <s v="IEA (2022)"/>
    <n v="2022"/>
    <n v="2020"/>
    <n v="0"/>
    <n v="5.3396358950000007"/>
    <x v="23"/>
    <s v="Office"/>
  </r>
  <r>
    <n v="1590446"/>
    <s v="Top of Hierarchy &gt; South America &gt; Vantage_Bogotá"/>
    <x v="0"/>
    <x v="0"/>
    <d v="2022-01-01T00:00:00"/>
    <d v="2022-12-31T00:00:00"/>
    <x v="0"/>
    <d v="2022-01-01T00:00:00"/>
    <d v="2022-12-31T00:00:00"/>
    <s v="Electricity (non-renewable)"/>
    <n v="23155.402839999999"/>
    <s v="Kilowatt hours"/>
    <x v="0"/>
    <s v="Estimated from square footage (CBECS 2012)"/>
    <s v="2023-07-25, 17:50"/>
    <s v="2023-07-25, 17:50"/>
    <n v="2022"/>
    <s v="electricity"/>
    <s v="Electricity"/>
    <s v="model"/>
    <b v="0"/>
    <s v="ELECTRICITY; COLOMBIA"/>
    <x v="0"/>
    <x v="0"/>
    <s v="Americas"/>
    <s v="Latin America and the Caribbean"/>
    <s v="CO"/>
    <m/>
    <n v="1"/>
    <s v="N2O"/>
    <n v="23.155402840000001"/>
    <s v="RESTRICTED"/>
    <s v="KWH"/>
    <n v="1"/>
    <n v="23155.402839999999"/>
    <s v="AR4"/>
    <s v="IEA"/>
    <s v="IEA (2022)"/>
    <n v="2022"/>
    <n v="2020"/>
    <n v="0"/>
    <n v="0"/>
    <x v="23"/>
    <s v="Office"/>
  </r>
  <r>
    <n v="1590446"/>
    <s v="Top of Hierarchy &gt; South America &gt; Vantage_Bogotá"/>
    <x v="0"/>
    <x v="0"/>
    <d v="2022-01-01T00:00:00"/>
    <d v="2022-12-31T00:00:00"/>
    <x v="0"/>
    <d v="2022-01-01T00:00:00"/>
    <d v="2022-12-31T00:00:00"/>
    <s v="Electricity (non-renewable)"/>
    <n v="23155.402839999999"/>
    <s v="Kilowatt hours"/>
    <x v="0"/>
    <s v="Estimated from square footage (CBECS 2012)"/>
    <s v="2023-07-25, 17:50"/>
    <s v="2023-07-25, 17:50"/>
    <n v="2022"/>
    <s v="electricity__t+d__wtt"/>
    <s v="Electricity T&amp;D WTT"/>
    <s v="t+d_wtt"/>
    <b v="0"/>
    <s v="ELECTRICITY T&amp;D WTT; COLOMBIA"/>
    <x v="1"/>
    <x v="1"/>
    <s v="Americas"/>
    <s v="Latin America and the Caribbean"/>
    <s v="CO"/>
    <m/>
    <n v="0"/>
    <s v="CO2E"/>
    <n v="88.292638069999995"/>
    <n v="3.813047E-3"/>
    <s v="KWH"/>
    <n v="1"/>
    <n v="23155.402839999999"/>
    <s v="AR4"/>
    <s v="Anthesis"/>
    <s v="Anthesis (2022)"/>
    <n v="2022"/>
    <n v="2020"/>
    <n v="8.8292638069999999E-2"/>
    <n v="0"/>
    <x v="23"/>
    <s v="Office"/>
  </r>
  <r>
    <n v="1590446"/>
    <s v="Top of Hierarchy &gt; South America &gt; Vantage_Bogotá"/>
    <x v="0"/>
    <x v="0"/>
    <d v="2022-01-01T00:00:00"/>
    <d v="2022-12-31T00:00:00"/>
    <x v="0"/>
    <d v="2022-01-01T00:00:00"/>
    <d v="2022-12-31T00:00:00"/>
    <s v="Electricity (non-renewable)"/>
    <n v="23155.402839999999"/>
    <s v="Kilowatt hours"/>
    <x v="0"/>
    <s v="Estimated from square footage (CBECS 2012)"/>
    <s v="2023-07-25, 17:50"/>
    <s v="2023-07-25, 17:50"/>
    <n v="2022"/>
    <s v="electricity__t+d__wtt"/>
    <s v="Electricity T&amp;D WTT"/>
    <s v="t+d_wtt"/>
    <b v="0"/>
    <s v="ELECTRICITY T&amp;D WTT; COLOMBIA"/>
    <x v="1"/>
    <x v="1"/>
    <s v="Americas"/>
    <s v="Latin America and the Caribbean"/>
    <s v="CO"/>
    <m/>
    <n v="1"/>
    <s v="CO2E"/>
    <n v="88.292638069999995"/>
    <n v="3.813047E-3"/>
    <s v="KWH"/>
    <n v="1"/>
    <n v="23155.402839999999"/>
    <s v="AR4"/>
    <s v="Anthesis"/>
    <s v="Anthesis (2022)"/>
    <n v="2022"/>
    <n v="2020"/>
    <n v="0"/>
    <n v="8.8292638069999999E-2"/>
    <x v="23"/>
    <s v="Office"/>
  </r>
  <r>
    <n v="1590446"/>
    <s v="Top of Hierarchy &gt; South America &gt; Vantage_Bogotá"/>
    <x v="0"/>
    <x v="0"/>
    <d v="2022-01-01T00:00:00"/>
    <d v="2022-12-31T00:00:00"/>
    <x v="0"/>
    <d v="2022-01-01T00:00:00"/>
    <d v="2022-12-31T00:00:00"/>
    <s v="Electricity (non-renewable)"/>
    <n v="23155.402839999999"/>
    <s v="Kilowatt hours"/>
    <x v="0"/>
    <s v="Estimated from square footage (CBECS 2012)"/>
    <s v="2023-07-25, 17:50"/>
    <s v="2023-07-25, 17:50"/>
    <n v="2022"/>
    <s v="electricity__wtt"/>
    <s v="Electricity WTT"/>
    <s v="wtt"/>
    <b v="0"/>
    <s v="ELECTRICITY WTT; COLOMBIA"/>
    <x v="1"/>
    <x v="1"/>
    <s v="Americas"/>
    <s v="Latin America and the Caribbean"/>
    <s v="CO"/>
    <m/>
    <n v="0"/>
    <s v="CO2E"/>
    <n v="1131.1267969999999"/>
    <n v="4.8849367999999997E-2"/>
    <s v="KWH"/>
    <n v="1"/>
    <n v="23155.402839999999"/>
    <s v="AR4"/>
    <s v="Anthesis"/>
    <s v="Anthesis (2022)"/>
    <n v="2022"/>
    <n v="2020"/>
    <n v="1.1311267969999999"/>
    <n v="0"/>
    <x v="23"/>
    <s v="Office"/>
  </r>
  <r>
    <n v="1590446"/>
    <s v="Top of Hierarchy &gt; South America &gt; Vantage_Bogotá"/>
    <x v="0"/>
    <x v="0"/>
    <d v="2022-01-01T00:00:00"/>
    <d v="2022-12-31T00:00:00"/>
    <x v="0"/>
    <d v="2022-01-01T00:00:00"/>
    <d v="2022-12-31T00:00:00"/>
    <s v="Electricity (non-renewable)"/>
    <n v="23155.402839999999"/>
    <s v="Kilowatt hours"/>
    <x v="0"/>
    <s v="Estimated from square footage (CBECS 2012)"/>
    <s v="2023-07-25, 17:50"/>
    <s v="2023-07-25, 17:50"/>
    <n v="2022"/>
    <s v="electricity__wtt"/>
    <s v="Electricity WTT"/>
    <s v="wtt"/>
    <b v="0"/>
    <s v="ELECTRICITY WTT; COLOMBIA"/>
    <x v="1"/>
    <x v="1"/>
    <s v="Americas"/>
    <s v="Latin America and the Caribbean"/>
    <s v="CO"/>
    <m/>
    <n v="1"/>
    <s v="CO2E"/>
    <n v="1131.1267969999999"/>
    <n v="4.8849367999999997E-2"/>
    <s v="KWH"/>
    <n v="1"/>
    <n v="23155.402839999999"/>
    <s v="AR4"/>
    <s v="Anthesis"/>
    <s v="Anthesis (2022)"/>
    <n v="2022"/>
    <n v="2020"/>
    <n v="0"/>
    <n v="1.1311267969999999"/>
    <x v="23"/>
    <s v="Office"/>
  </r>
  <r>
    <n v="1590446"/>
    <s v="Top of Hierarchy &gt; South America &gt; Vantage_Bogotá"/>
    <x v="0"/>
    <x v="0"/>
    <d v="2022-01-01T00:00:00"/>
    <d v="2022-12-31T00:00:00"/>
    <x v="0"/>
    <d v="2022-01-01T00:00:00"/>
    <d v="2022-12-31T00:00:00"/>
    <s v="Electricity (non-renewable)"/>
    <n v="23155.402839999999"/>
    <s v="Kilowatt hours"/>
    <x v="0"/>
    <s v="Estimated from square footage (CBECS 2012)"/>
    <s v="2023-07-25, 17:50"/>
    <s v="2023-07-25, 17:50"/>
    <n v="2022"/>
    <s v="electricity__t+d"/>
    <s v="Electricity T&amp;D"/>
    <s v="t+d"/>
    <b v="0"/>
    <s v="ELECTRICITY; TRANSMISSION AND DISTRIBUTION; COLOMBIA"/>
    <x v="1"/>
    <x v="1"/>
    <s v="Americas"/>
    <s v="Latin America and the Caribbean"/>
    <s v="CO"/>
    <m/>
    <n v="0"/>
    <s v="CO2E"/>
    <n v="416.79725120000001"/>
    <s v="RESTRICTED"/>
    <s v="KWH"/>
    <n v="1"/>
    <n v="23155.402839999999"/>
    <s v="AR4"/>
    <s v="IEA"/>
    <s v="IEA (2022)"/>
    <n v="2022"/>
    <n v="2020"/>
    <n v="0.4167972512"/>
    <n v="0"/>
    <x v="23"/>
    <s v="Office"/>
  </r>
  <r>
    <n v="1590446"/>
    <s v="Top of Hierarchy &gt; South America &gt; Vantage_Bogotá"/>
    <x v="0"/>
    <x v="0"/>
    <d v="2022-01-01T00:00:00"/>
    <d v="2022-12-31T00:00:00"/>
    <x v="0"/>
    <d v="2022-01-01T00:00:00"/>
    <d v="2022-12-31T00:00:00"/>
    <s v="Electricity (non-renewable)"/>
    <n v="23155.402839999999"/>
    <s v="Kilowatt hours"/>
    <x v="0"/>
    <s v="Estimated from square footage (CBECS 2012)"/>
    <s v="2023-07-25, 17:50"/>
    <s v="2023-07-25, 17:50"/>
    <n v="2022"/>
    <s v="electricity__t+d"/>
    <s v="Electricity T&amp;D"/>
    <s v="t+d"/>
    <b v="0"/>
    <s v="ELECTRICITY; TRANSMISSION AND DISTRIBUTION; COLOMBIA"/>
    <x v="1"/>
    <x v="1"/>
    <s v="Americas"/>
    <s v="Latin America and the Caribbean"/>
    <s v="CO"/>
    <m/>
    <n v="1"/>
    <s v="CO2E"/>
    <n v="416.79725120000001"/>
    <s v="RESTRICTED"/>
    <s v="KWH"/>
    <n v="1"/>
    <n v="23155.402839999999"/>
    <s v="AR4"/>
    <s v="IEA"/>
    <s v="IEA (2022)"/>
    <n v="2022"/>
    <n v="2020"/>
    <n v="0"/>
    <n v="0.4167972512"/>
    <x v="23"/>
    <s v="Office"/>
  </r>
  <r>
    <n v="237678"/>
    <s v="Top of Hierarchy &gt; South America &gt; Vantage_Bogotá"/>
    <x v="0"/>
    <x v="0"/>
    <d v="2022-01-01T00:00:00"/>
    <d v="2022-12-31T00:00:00"/>
    <x v="3"/>
    <d v="2022-01-01T00:00:00"/>
    <d v="2022-12-31T00:00:00"/>
    <s v="Natural gas"/>
    <n v="0"/>
    <s v="gigajoules"/>
    <x v="1"/>
    <m/>
    <s v="2023-04-20, 19:31"/>
    <s v="2023-07-20, 00:40"/>
    <n v="2022"/>
    <s v="natural_gas"/>
    <s v="Natural Gas"/>
    <s v="model"/>
    <b v="0"/>
    <s v="NATURAL GAS, NATURAL GAS"/>
    <x v="2"/>
    <x v="0"/>
    <s v="Americas"/>
    <m/>
    <m/>
    <m/>
    <n v="0"/>
    <s v="CH4"/>
    <n v="0"/>
    <n v="2.5000000000000001E-2"/>
    <s v="MMBTU"/>
    <n v="0.94781711999999996"/>
    <n v="0"/>
    <s v="AR4"/>
    <s v="USEPA"/>
    <s v="USEPA Emission Factors Hub (Last Modified: March 2020)"/>
    <n v="2022"/>
    <n v="2021"/>
    <n v="0"/>
    <n v="0"/>
    <x v="23"/>
    <s v="Office"/>
  </r>
  <r>
    <n v="237678"/>
    <s v="Top of Hierarchy &gt; South America &gt; Vantage_Bogotá"/>
    <x v="0"/>
    <x v="0"/>
    <d v="2022-01-01T00:00:00"/>
    <d v="2022-12-31T00:00:00"/>
    <x v="3"/>
    <d v="2022-01-01T00:00:00"/>
    <d v="2022-12-31T00:00:00"/>
    <s v="Natural gas"/>
    <n v="0"/>
    <s v="gigajoules"/>
    <x v="1"/>
    <m/>
    <s v="2023-04-20, 19:31"/>
    <s v="2023-07-20, 00:40"/>
    <n v="2022"/>
    <s v="natural_gas"/>
    <s v="Natural Gas"/>
    <s v="model"/>
    <b v="0"/>
    <s v="NATURAL GAS, NATURAL GAS"/>
    <x v="2"/>
    <x v="0"/>
    <s v="Americas"/>
    <m/>
    <m/>
    <m/>
    <n v="0"/>
    <s v="CO2"/>
    <n v="0"/>
    <n v="53.06"/>
    <s v="MMBTU"/>
    <n v="0.94781711999999996"/>
    <n v="0"/>
    <s v="AR4"/>
    <s v="USEPA"/>
    <s v="USEPA (2022)"/>
    <n v="2022"/>
    <n v="2022"/>
    <n v="0"/>
    <n v="0"/>
    <x v="23"/>
    <s v="Office"/>
  </r>
  <r>
    <n v="237678"/>
    <s v="Top of Hierarchy &gt; South America &gt; Vantage_Bogotá"/>
    <x v="0"/>
    <x v="0"/>
    <d v="2022-01-01T00:00:00"/>
    <d v="2022-12-31T00:00:00"/>
    <x v="3"/>
    <d v="2022-01-01T00:00:00"/>
    <d v="2022-12-31T00:00:00"/>
    <s v="Natural gas"/>
    <n v="0"/>
    <s v="gigajoules"/>
    <x v="1"/>
    <m/>
    <s v="2023-04-20, 19:31"/>
    <s v="2023-07-20, 00:40"/>
    <n v="2022"/>
    <s v="natural_gas"/>
    <s v="Natural Gas"/>
    <s v="model"/>
    <b v="0"/>
    <s v="NATURAL GAS, NATURAL GAS"/>
    <x v="2"/>
    <x v="0"/>
    <s v="Americas"/>
    <m/>
    <m/>
    <m/>
    <n v="0"/>
    <s v="CO2E"/>
    <n v="0"/>
    <n v="53.114800000000002"/>
    <s v="MMBTU"/>
    <n v="0.94781711999999996"/>
    <n v="0"/>
    <s v="AR4"/>
    <s v="USEPA"/>
    <s v="USEPA Emission Factors Hub (Last Modified: March 2020)"/>
    <n v="2022"/>
    <n v="2021"/>
    <n v="0"/>
    <n v="0"/>
    <x v="23"/>
    <s v="Office"/>
  </r>
  <r>
    <n v="237678"/>
    <s v="Top of Hierarchy &gt; South America &gt; Vantage_Bogotá"/>
    <x v="0"/>
    <x v="0"/>
    <d v="2022-01-01T00:00:00"/>
    <d v="2022-12-31T00:00:00"/>
    <x v="3"/>
    <d v="2022-01-01T00:00:00"/>
    <d v="2022-12-31T00:00:00"/>
    <s v="Natural gas"/>
    <n v="0"/>
    <s v="gigajoules"/>
    <x v="1"/>
    <m/>
    <s v="2023-04-20, 19:31"/>
    <s v="2023-07-20, 00:40"/>
    <n v="2022"/>
    <s v="natural_gas"/>
    <s v="Natural Gas"/>
    <s v="model"/>
    <b v="0"/>
    <s v="NATURAL GAS, NATURAL GAS"/>
    <x v="2"/>
    <x v="0"/>
    <s v="Americas"/>
    <m/>
    <m/>
    <m/>
    <n v="0"/>
    <s v="N2O"/>
    <n v="0"/>
    <n v="2.98E-2"/>
    <s v="MMBTU"/>
    <n v="0.94781711999999996"/>
    <n v="0"/>
    <s v="AR4"/>
    <s v="USEPA"/>
    <s v="USEPA (2022)"/>
    <n v="2022"/>
    <n v="2022"/>
    <n v="0"/>
    <n v="0"/>
    <x v="23"/>
    <s v="Office"/>
  </r>
  <r>
    <n v="237678"/>
    <s v="Top of Hierarchy &gt; South America &gt; Vantage_Bogotá"/>
    <x v="0"/>
    <x v="0"/>
    <d v="2022-01-01T00:00:00"/>
    <d v="2022-12-31T00:00:00"/>
    <x v="3"/>
    <d v="2022-01-01T00:00:00"/>
    <d v="2022-12-31T00:00:00"/>
    <s v="Natural gas"/>
    <n v="0"/>
    <s v="gigajoules"/>
    <x v="1"/>
    <m/>
    <s v="2023-04-20, 19:31"/>
    <s v="2023-07-20, 00:40"/>
    <n v="2022"/>
    <s v="natural_gas"/>
    <s v="Natural Gas"/>
    <s v="model"/>
    <b v="0"/>
    <s v="NATURAL GAS, NATURAL GAS"/>
    <x v="2"/>
    <x v="0"/>
    <s v="Americas"/>
    <m/>
    <m/>
    <m/>
    <n v="1"/>
    <s v="CH4"/>
    <n v="0"/>
    <n v="2.5000000000000001E-2"/>
    <s v="MMBTU"/>
    <n v="0.94781711999999996"/>
    <n v="0"/>
    <s v="AR4"/>
    <s v="USEPA"/>
    <s v="USEPA Emission Factors Hub (Last Modified: March 2020)"/>
    <n v="2022"/>
    <n v="2021"/>
    <n v="0"/>
    <n v="0"/>
    <x v="23"/>
    <s v="Office"/>
  </r>
  <r>
    <n v="237678"/>
    <s v="Top of Hierarchy &gt; South America &gt; Vantage_Bogotá"/>
    <x v="0"/>
    <x v="0"/>
    <d v="2022-01-01T00:00:00"/>
    <d v="2022-12-31T00:00:00"/>
    <x v="3"/>
    <d v="2022-01-01T00:00:00"/>
    <d v="2022-12-31T00:00:00"/>
    <s v="Natural gas"/>
    <n v="0"/>
    <s v="gigajoules"/>
    <x v="1"/>
    <m/>
    <s v="2023-04-20, 19:31"/>
    <s v="2023-07-20, 00:40"/>
    <n v="2022"/>
    <s v="natural_gas"/>
    <s v="Natural Gas"/>
    <s v="model"/>
    <b v="0"/>
    <s v="NATURAL GAS, NATURAL GAS"/>
    <x v="2"/>
    <x v="0"/>
    <s v="Americas"/>
    <m/>
    <m/>
    <m/>
    <n v="1"/>
    <s v="CO2"/>
    <n v="0"/>
    <n v="53.06"/>
    <s v="MMBTU"/>
    <n v="0.94781711999999996"/>
    <n v="0"/>
    <s v="AR4"/>
    <s v="USEPA"/>
    <s v="USEPA (2022)"/>
    <n v="2022"/>
    <n v="2022"/>
    <n v="0"/>
    <n v="0"/>
    <x v="23"/>
    <s v="Office"/>
  </r>
  <r>
    <n v="237678"/>
    <s v="Top of Hierarchy &gt; South America &gt; Vantage_Bogotá"/>
    <x v="0"/>
    <x v="0"/>
    <d v="2022-01-01T00:00:00"/>
    <d v="2022-12-31T00:00:00"/>
    <x v="3"/>
    <d v="2022-01-01T00:00:00"/>
    <d v="2022-12-31T00:00:00"/>
    <s v="Natural gas"/>
    <n v="0"/>
    <s v="gigajoules"/>
    <x v="1"/>
    <m/>
    <s v="2023-04-20, 19:31"/>
    <s v="2023-07-20, 00:40"/>
    <n v="2022"/>
    <s v="natural_gas"/>
    <s v="Natural Gas"/>
    <s v="model"/>
    <b v="0"/>
    <s v="NATURAL GAS, NATURAL GAS"/>
    <x v="2"/>
    <x v="0"/>
    <s v="Americas"/>
    <m/>
    <m/>
    <m/>
    <n v="1"/>
    <s v="CO2E"/>
    <n v="0"/>
    <n v="53.114800000000002"/>
    <s v="MMBTU"/>
    <n v="0.94781711999999996"/>
    <n v="0"/>
    <s v="AR4"/>
    <s v="USEPA"/>
    <s v="USEPA Emission Factors Hub (Last Modified: March 2020)"/>
    <n v="2022"/>
    <n v="2021"/>
    <n v="0"/>
    <n v="0"/>
    <x v="23"/>
    <s v="Office"/>
  </r>
  <r>
    <n v="237678"/>
    <s v="Top of Hierarchy &gt; South America &gt; Vantage_Bogotá"/>
    <x v="0"/>
    <x v="0"/>
    <d v="2022-01-01T00:00:00"/>
    <d v="2022-12-31T00:00:00"/>
    <x v="3"/>
    <d v="2022-01-01T00:00:00"/>
    <d v="2022-12-31T00:00:00"/>
    <s v="Natural gas"/>
    <n v="0"/>
    <s v="gigajoules"/>
    <x v="1"/>
    <m/>
    <s v="2023-04-20, 19:31"/>
    <s v="2023-07-20, 00:40"/>
    <n v="2022"/>
    <s v="natural_gas"/>
    <s v="Natural Gas"/>
    <s v="model"/>
    <b v="0"/>
    <s v="NATURAL GAS, NATURAL GAS"/>
    <x v="2"/>
    <x v="0"/>
    <s v="Americas"/>
    <m/>
    <m/>
    <m/>
    <n v="1"/>
    <s v="N2O"/>
    <n v="0"/>
    <n v="2.98E-2"/>
    <s v="MMBTU"/>
    <n v="0.94781711999999996"/>
    <n v="0"/>
    <s v="AR4"/>
    <s v="USEPA"/>
    <s v="USEPA (2022)"/>
    <n v="2022"/>
    <n v="2022"/>
    <n v="0"/>
    <n v="0"/>
    <x v="23"/>
    <s v="Office"/>
  </r>
  <r>
    <n v="237678"/>
    <s v="Top of Hierarchy &gt; South America &gt; Vantage_Bogotá"/>
    <x v="0"/>
    <x v="0"/>
    <d v="2022-01-01T00:00:00"/>
    <d v="2022-12-31T00:00:00"/>
    <x v="3"/>
    <d v="2022-01-01T00:00:00"/>
    <d v="2022-12-31T00:00:00"/>
    <s v="Natural gas"/>
    <n v="0"/>
    <s v="gigajoules"/>
    <x v="1"/>
    <m/>
    <s v="2023-04-20, 19:31"/>
    <s v="2023-07-20, 00:40"/>
    <n v="2022"/>
    <s v="natural_gas__wtt"/>
    <s v="Natural Gas WTT"/>
    <s v="wtt"/>
    <b v="0"/>
    <s v="WTT- FUELS; GASEOUS FUELS; NATURAL GAS"/>
    <x v="1"/>
    <x v="1"/>
    <m/>
    <m/>
    <m/>
    <m/>
    <n v="0"/>
    <s v="CO2E"/>
    <n v="0"/>
    <n v="3.1099999999999999E-2"/>
    <s v="KWH (GROSS CV)"/>
    <n v="277.77777780000002"/>
    <n v="0"/>
    <s v="AR4"/>
    <s v="Defra"/>
    <s v="Defra (2022)"/>
    <n v="2022"/>
    <n v="2020"/>
    <n v="0"/>
    <n v="0"/>
    <x v="23"/>
    <s v="Office"/>
  </r>
  <r>
    <n v="237678"/>
    <s v="Top of Hierarchy &gt; South America &gt; Vantage_Bogotá"/>
    <x v="0"/>
    <x v="0"/>
    <d v="2022-01-01T00:00:00"/>
    <d v="2022-12-31T00:00:00"/>
    <x v="3"/>
    <d v="2022-01-01T00:00:00"/>
    <d v="2022-12-31T00:00:00"/>
    <s v="Natural gas"/>
    <n v="0"/>
    <s v="gigajoules"/>
    <x v="1"/>
    <m/>
    <s v="2023-04-20, 19:31"/>
    <s v="2023-07-20, 00:40"/>
    <n v="2022"/>
    <s v="natural_gas__wtt"/>
    <s v="Natural Gas WTT"/>
    <s v="wtt"/>
    <b v="0"/>
    <s v="WTT- FUELS; GASEOUS FUELS; NATURAL GAS"/>
    <x v="1"/>
    <x v="1"/>
    <m/>
    <m/>
    <m/>
    <m/>
    <n v="1"/>
    <s v="CO2E"/>
    <n v="0"/>
    <n v="3.1099999999999999E-2"/>
    <s v="KWH (GROSS CV)"/>
    <n v="277.77777780000002"/>
    <n v="0"/>
    <s v="AR4"/>
    <s v="Defra"/>
    <s v="Defra (2022)"/>
    <n v="2022"/>
    <n v="2020"/>
    <n v="0"/>
    <n v="0"/>
    <x v="23"/>
    <s v="Office"/>
  </r>
  <r>
    <n v="237676"/>
    <s v="Top of Hierarchy &gt; South America &gt; Vantage_Bogotá"/>
    <x v="0"/>
    <x v="0"/>
    <d v="2022-01-01T00:00:00"/>
    <d v="2022-12-31T00:00:00"/>
    <x v="1"/>
    <d v="2022-01-01T00:00:00"/>
    <d v="2022-12-31T00:00:00"/>
    <s v="Petrol (average biofuel blend)"/>
    <n v="0"/>
    <s v="gigajoules"/>
    <x v="1"/>
    <m/>
    <s v="2023-04-20, 19:30"/>
    <s v="2023-07-20, 00:40"/>
    <n v="2022"/>
    <s v="petrol_avg_biofuel_blend"/>
    <s v="Petrol (Average Biofuel Blend)"/>
    <s v="model"/>
    <b v="0"/>
    <s v="PETROLEUM PRODUCTS, MOTOR GASOLINE"/>
    <x v="2"/>
    <x v="0"/>
    <s v="Americas"/>
    <m/>
    <m/>
    <m/>
    <n v="0"/>
    <s v="CH4"/>
    <n v="0"/>
    <n v="7.4999999999999997E-2"/>
    <s v="MMBTU"/>
    <n v="0.94781711999999996"/>
    <n v="0"/>
    <s v="AR4"/>
    <s v="USEPA"/>
    <s v="USEPA (2022)"/>
    <n v="2022"/>
    <n v="2022"/>
    <n v="0"/>
    <n v="0"/>
    <x v="23"/>
    <s v="Office"/>
  </r>
  <r>
    <n v="237676"/>
    <s v="Top of Hierarchy &gt; South America &gt; Vantage_Bogotá"/>
    <x v="0"/>
    <x v="0"/>
    <d v="2022-01-01T00:00:00"/>
    <d v="2022-12-31T00:00:00"/>
    <x v="1"/>
    <d v="2022-01-01T00:00:00"/>
    <d v="2022-12-31T00:00:00"/>
    <s v="Petrol (average biofuel blend)"/>
    <n v="0"/>
    <s v="gigajoules"/>
    <x v="1"/>
    <m/>
    <s v="2023-04-20, 19:30"/>
    <s v="2023-07-20, 00:40"/>
    <n v="2022"/>
    <s v="petrol_avg_biofuel_blend"/>
    <s v="Petrol (Average Biofuel Blend)"/>
    <s v="model"/>
    <b v="0"/>
    <s v="PETROLEUM PRODUCTS, MOTOR GASOLINE"/>
    <x v="2"/>
    <x v="0"/>
    <s v="Americas"/>
    <m/>
    <m/>
    <m/>
    <n v="0"/>
    <s v="CO2"/>
    <n v="0"/>
    <n v="70.22"/>
    <s v="MMBTU"/>
    <n v="0.94781711999999996"/>
    <n v="0"/>
    <s v="AR4"/>
    <s v="USEPA"/>
    <s v="USEPA Emission Factors Hub (Last Modified: March 2020)"/>
    <n v="2022"/>
    <n v="2021"/>
    <n v="0"/>
    <n v="0"/>
    <x v="23"/>
    <s v="Office"/>
  </r>
  <r>
    <n v="237676"/>
    <s v="Top of Hierarchy &gt; South America &gt; Vantage_Bogotá"/>
    <x v="0"/>
    <x v="0"/>
    <d v="2022-01-01T00:00:00"/>
    <d v="2022-12-31T00:00:00"/>
    <x v="1"/>
    <d v="2022-01-01T00:00:00"/>
    <d v="2022-12-31T00:00:00"/>
    <s v="Petrol (average biofuel blend)"/>
    <n v="0"/>
    <s v="gigajoules"/>
    <x v="1"/>
    <m/>
    <s v="2023-04-20, 19:30"/>
    <s v="2023-07-20, 00:40"/>
    <n v="2022"/>
    <s v="petrol_avg_biofuel_blend"/>
    <s v="Petrol (Average Biofuel Blend)"/>
    <s v="model"/>
    <b v="0"/>
    <s v="PETROLEUM PRODUCTS, MOTOR GASOLINE"/>
    <x v="2"/>
    <x v="0"/>
    <s v="Americas"/>
    <m/>
    <m/>
    <m/>
    <n v="0"/>
    <s v="CO2E"/>
    <n v="0"/>
    <n v="70.473799999999997"/>
    <s v="MMBTU"/>
    <n v="0.94781711999999996"/>
    <n v="0"/>
    <s v="AR4"/>
    <s v="USEPA"/>
    <s v="USEPA (2022)"/>
    <n v="2022"/>
    <n v="2022"/>
    <n v="0"/>
    <n v="0"/>
    <x v="23"/>
    <s v="Office"/>
  </r>
  <r>
    <n v="237676"/>
    <s v="Top of Hierarchy &gt; South America &gt; Vantage_Bogotá"/>
    <x v="0"/>
    <x v="0"/>
    <d v="2022-01-01T00:00:00"/>
    <d v="2022-12-31T00:00:00"/>
    <x v="1"/>
    <d v="2022-01-01T00:00:00"/>
    <d v="2022-12-31T00:00:00"/>
    <s v="Petrol (average biofuel blend)"/>
    <n v="0"/>
    <s v="gigajoules"/>
    <x v="1"/>
    <m/>
    <s v="2023-04-20, 19:30"/>
    <s v="2023-07-20, 00:40"/>
    <n v="2022"/>
    <s v="petrol_avg_biofuel_blend"/>
    <s v="Petrol (Average Biofuel Blend)"/>
    <s v="model"/>
    <b v="0"/>
    <s v="PETROLEUM PRODUCTS, MOTOR GASOLINE"/>
    <x v="2"/>
    <x v="0"/>
    <s v="Americas"/>
    <m/>
    <m/>
    <m/>
    <n v="0"/>
    <s v="N2O"/>
    <n v="0"/>
    <n v="0.17879999999999999"/>
    <s v="MMBTU"/>
    <n v="0.94781711999999996"/>
    <n v="0"/>
    <s v="AR4"/>
    <s v="USEPA"/>
    <s v="USEPA (2022)"/>
    <n v="2022"/>
    <n v="2022"/>
    <n v="0"/>
    <n v="0"/>
    <x v="23"/>
    <s v="Office"/>
  </r>
  <r>
    <n v="237676"/>
    <s v="Top of Hierarchy &gt; South America &gt; Vantage_Bogotá"/>
    <x v="0"/>
    <x v="0"/>
    <d v="2022-01-01T00:00:00"/>
    <d v="2022-12-31T00:00:00"/>
    <x v="1"/>
    <d v="2022-01-01T00:00:00"/>
    <d v="2022-12-31T00:00:00"/>
    <s v="Petrol (average biofuel blend)"/>
    <n v="0"/>
    <s v="gigajoules"/>
    <x v="1"/>
    <m/>
    <s v="2023-04-20, 19:30"/>
    <s v="2023-07-20, 00:40"/>
    <n v="2022"/>
    <s v="petrol_avg_biofuel_blend"/>
    <s v="Petrol (Average Biofuel Blend)"/>
    <s v="model"/>
    <b v="0"/>
    <s v="PETROLEUM PRODUCTS, MOTOR GASOLINE"/>
    <x v="2"/>
    <x v="0"/>
    <s v="Americas"/>
    <m/>
    <m/>
    <m/>
    <n v="1"/>
    <s v="CH4"/>
    <n v="0"/>
    <n v="7.4999999999999997E-2"/>
    <s v="MMBTU"/>
    <n v="0.94781711999999996"/>
    <n v="0"/>
    <s v="AR4"/>
    <s v="USEPA"/>
    <s v="USEPA (2022)"/>
    <n v="2022"/>
    <n v="2022"/>
    <n v="0"/>
    <n v="0"/>
    <x v="23"/>
    <s v="Office"/>
  </r>
  <r>
    <n v="237676"/>
    <s v="Top of Hierarchy &gt; South America &gt; Vantage_Bogotá"/>
    <x v="0"/>
    <x v="0"/>
    <d v="2022-01-01T00:00:00"/>
    <d v="2022-12-31T00:00:00"/>
    <x v="1"/>
    <d v="2022-01-01T00:00:00"/>
    <d v="2022-12-31T00:00:00"/>
    <s v="Petrol (average biofuel blend)"/>
    <n v="0"/>
    <s v="gigajoules"/>
    <x v="1"/>
    <m/>
    <s v="2023-04-20, 19:30"/>
    <s v="2023-07-20, 00:40"/>
    <n v="2022"/>
    <s v="petrol_avg_biofuel_blend"/>
    <s v="Petrol (Average Biofuel Blend)"/>
    <s v="model"/>
    <b v="0"/>
    <s v="PETROLEUM PRODUCTS, MOTOR GASOLINE"/>
    <x v="2"/>
    <x v="0"/>
    <s v="Americas"/>
    <m/>
    <m/>
    <m/>
    <n v="1"/>
    <s v="CO2"/>
    <n v="0"/>
    <n v="70.22"/>
    <s v="MMBTU"/>
    <n v="0.94781711999999996"/>
    <n v="0"/>
    <s v="AR4"/>
    <s v="USEPA"/>
    <s v="USEPA Emission Factors Hub (Last Modified: March 2020)"/>
    <n v="2022"/>
    <n v="2021"/>
    <n v="0"/>
    <n v="0"/>
    <x v="23"/>
    <s v="Office"/>
  </r>
  <r>
    <n v="237676"/>
    <s v="Top of Hierarchy &gt; South America &gt; Vantage_Bogotá"/>
    <x v="0"/>
    <x v="0"/>
    <d v="2022-01-01T00:00:00"/>
    <d v="2022-12-31T00:00:00"/>
    <x v="1"/>
    <d v="2022-01-01T00:00:00"/>
    <d v="2022-12-31T00:00:00"/>
    <s v="Petrol (average biofuel blend)"/>
    <n v="0"/>
    <s v="gigajoules"/>
    <x v="1"/>
    <m/>
    <s v="2023-04-20, 19:30"/>
    <s v="2023-07-20, 00:40"/>
    <n v="2022"/>
    <s v="petrol_avg_biofuel_blend"/>
    <s v="Petrol (Average Biofuel Blend)"/>
    <s v="model"/>
    <b v="0"/>
    <s v="PETROLEUM PRODUCTS, MOTOR GASOLINE"/>
    <x v="2"/>
    <x v="0"/>
    <s v="Americas"/>
    <m/>
    <m/>
    <m/>
    <n v="1"/>
    <s v="CO2E"/>
    <n v="0"/>
    <n v="70.473799999999997"/>
    <s v="MMBTU"/>
    <n v="0.94781711999999996"/>
    <n v="0"/>
    <s v="AR4"/>
    <s v="USEPA"/>
    <s v="USEPA (2022)"/>
    <n v="2022"/>
    <n v="2022"/>
    <n v="0"/>
    <n v="0"/>
    <x v="23"/>
    <s v="Office"/>
  </r>
  <r>
    <n v="237676"/>
    <s v="Top of Hierarchy &gt; South America &gt; Vantage_Bogotá"/>
    <x v="0"/>
    <x v="0"/>
    <d v="2022-01-01T00:00:00"/>
    <d v="2022-12-31T00:00:00"/>
    <x v="1"/>
    <d v="2022-01-01T00:00:00"/>
    <d v="2022-12-31T00:00:00"/>
    <s v="Petrol (average biofuel blend)"/>
    <n v="0"/>
    <s v="gigajoules"/>
    <x v="1"/>
    <m/>
    <s v="2023-04-20, 19:30"/>
    <s v="2023-07-20, 00:40"/>
    <n v="2022"/>
    <s v="petrol_avg_biofuel_blend"/>
    <s v="Petrol (Average Biofuel Blend)"/>
    <s v="model"/>
    <b v="0"/>
    <s v="PETROLEUM PRODUCTS, MOTOR GASOLINE"/>
    <x v="2"/>
    <x v="0"/>
    <s v="Americas"/>
    <m/>
    <m/>
    <m/>
    <n v="1"/>
    <s v="N2O"/>
    <n v="0"/>
    <n v="0.17879999999999999"/>
    <s v="MMBTU"/>
    <n v="0.94781711999999996"/>
    <n v="0"/>
    <s v="AR4"/>
    <s v="USEPA"/>
    <s v="USEPA (2022)"/>
    <n v="2022"/>
    <n v="2022"/>
    <n v="0"/>
    <n v="0"/>
    <x v="23"/>
    <s v="Office"/>
  </r>
  <r>
    <n v="237676"/>
    <s v="Top of Hierarchy &gt; South America &gt; Vantage_Bogotá"/>
    <x v="0"/>
    <x v="0"/>
    <d v="2022-01-01T00:00:00"/>
    <d v="2022-12-31T00:00:00"/>
    <x v="1"/>
    <d v="2022-01-01T00:00:00"/>
    <d v="2022-12-31T00:00:00"/>
    <s v="Petrol (average biofuel blend)"/>
    <n v="0"/>
    <s v="gigajoules"/>
    <x v="1"/>
    <m/>
    <s v="2023-04-20, 19:30"/>
    <s v="2023-07-20, 00:40"/>
    <n v="2022"/>
    <s v="petrol_avg_biofuel_blend__wtt"/>
    <s v="Petrol (Average Biofuel Blend) WTT"/>
    <s v="wtt"/>
    <b v="0"/>
    <s v="WTT- FUELS; LIQUID FUELS; PETROL (AVERAGE BIOFUEL BLEND)"/>
    <x v="1"/>
    <x v="1"/>
    <m/>
    <m/>
    <m/>
    <m/>
    <n v="0"/>
    <s v="CO2E"/>
    <n v="0"/>
    <n v="6.4250000000000002E-2"/>
    <s v="KWH (GROSS CV)"/>
    <n v="277.77777780000002"/>
    <n v="0"/>
    <s v="AR4"/>
    <s v="Defra"/>
    <s v="Defra (2022)"/>
    <n v="2022"/>
    <n v="2020"/>
    <n v="0"/>
    <n v="0"/>
    <x v="23"/>
    <s v="Office"/>
  </r>
  <r>
    <n v="237676"/>
    <s v="Top of Hierarchy &gt; South America &gt; Vantage_Bogotá"/>
    <x v="0"/>
    <x v="0"/>
    <d v="2022-01-01T00:00:00"/>
    <d v="2022-12-31T00:00:00"/>
    <x v="1"/>
    <d v="2022-01-01T00:00:00"/>
    <d v="2022-12-31T00:00:00"/>
    <s v="Petrol (average biofuel blend)"/>
    <n v="0"/>
    <s v="gigajoules"/>
    <x v="1"/>
    <m/>
    <s v="2023-04-20, 19:30"/>
    <s v="2023-07-20, 00:40"/>
    <n v="2022"/>
    <s v="petrol_avg_biofuel_blend__wtt"/>
    <s v="Petrol (Average Biofuel Blend) WTT"/>
    <s v="wtt"/>
    <b v="0"/>
    <s v="WTT- FUELS; LIQUID FUELS; PETROL (AVERAGE BIOFUEL BLEND)"/>
    <x v="1"/>
    <x v="1"/>
    <m/>
    <m/>
    <m/>
    <m/>
    <n v="1"/>
    <s v="CO2E"/>
    <n v="0"/>
    <n v="6.4250000000000002E-2"/>
    <s v="KWH (GROSS CV)"/>
    <n v="277.77777780000002"/>
    <n v="0"/>
    <s v="AR4"/>
    <s v="Defra"/>
    <s v="Defra (2022)"/>
    <n v="2022"/>
    <n v="2020"/>
    <n v="0"/>
    <n v="0"/>
    <x v="23"/>
    <s v="Office"/>
  </r>
  <r>
    <n v="1590456"/>
    <s v="Top of Hierarchy &gt; South America &gt; Vantage_Bogotá"/>
    <x v="0"/>
    <x v="0"/>
    <d v="2022-01-01T00:00:00"/>
    <d v="2022-12-31T00:00:00"/>
    <x v="4"/>
    <d v="2022-01-01T00:00:00"/>
    <d v="2022-12-31T00:00:00"/>
    <s v="R-134A"/>
    <n v="16.842252800000001"/>
    <s v="kilograms"/>
    <x v="0"/>
    <s v="Estimated from square footage. Assumed R134a."/>
    <s v="2023-07-25, 17:50"/>
    <s v="2023-07-25, 17:50"/>
    <n v="2022"/>
    <s v="hfc-134a"/>
    <s v="HFC-134A"/>
    <s v="model"/>
    <b v="0"/>
    <s v="REFRIGERANT: R-134A"/>
    <x v="2"/>
    <x v="0"/>
    <m/>
    <m/>
    <m/>
    <m/>
    <n v="0"/>
    <s v="CO2E"/>
    <n v="24084.4215"/>
    <n v="1430"/>
    <s v="KG"/>
    <n v="1"/>
    <n v="16.842252800000001"/>
    <s v="AR4"/>
    <s v="IPCC"/>
    <s v="IPCC (2021)"/>
    <n v="2022"/>
    <n v="2007"/>
    <n v="24.084421500000001"/>
    <n v="0"/>
    <x v="23"/>
    <s v="Office"/>
  </r>
  <r>
    <n v="1590456"/>
    <s v="Top of Hierarchy &gt; South America &gt; Vantage_Bogotá"/>
    <x v="0"/>
    <x v="0"/>
    <d v="2022-01-01T00:00:00"/>
    <d v="2022-12-31T00:00:00"/>
    <x v="4"/>
    <d v="2022-01-01T00:00:00"/>
    <d v="2022-12-31T00:00:00"/>
    <s v="R-134A"/>
    <n v="16.842252800000001"/>
    <s v="kilograms"/>
    <x v="0"/>
    <s v="Estimated from square footage. Assumed R134a."/>
    <s v="2023-07-25, 17:50"/>
    <s v="2023-07-25, 17:50"/>
    <n v="2022"/>
    <s v="hfc-134a"/>
    <s v="HFC-134A"/>
    <s v="model"/>
    <b v="0"/>
    <s v="REFRIGERANT: R-134A"/>
    <x v="2"/>
    <x v="0"/>
    <m/>
    <m/>
    <m/>
    <m/>
    <n v="1"/>
    <s v="CO2E"/>
    <n v="24084.4215"/>
    <n v="1430"/>
    <s v="KG"/>
    <n v="1"/>
    <n v="16.842252800000001"/>
    <s v="AR4"/>
    <s v="IPCC"/>
    <s v="IPCC (2021)"/>
    <n v="2022"/>
    <n v="2007"/>
    <n v="0"/>
    <n v="24.084421500000001"/>
    <x v="23"/>
    <s v="Office"/>
  </r>
  <r>
    <n v="4941"/>
    <s v="Top of Hierarchy &gt; South America &gt; Vantage_Bogotá"/>
    <x v="0"/>
    <x v="1"/>
    <d v="2021-01-01T00:00:00"/>
    <d v="2021-12-31T00:00:00"/>
    <x v="0"/>
    <d v="2021-01-01T00:00:00"/>
    <d v="2021-12-31T00:00:00"/>
    <s v="Electricity (non-renewable)"/>
    <n v="442008.98389999999"/>
    <s v="Kilowatt hours"/>
    <x v="0"/>
    <m/>
    <s v="2023-02-27, 16:27"/>
    <s v="2023-07-20, 00:40"/>
    <n v="2021"/>
    <s v="electricity"/>
    <s v="Electricity"/>
    <s v="model"/>
    <b v="0"/>
    <s v="ELECTRICITY; COLOMBIA"/>
    <x v="0"/>
    <x v="0"/>
    <s v="Americas"/>
    <s v="Latin America and the Caribbean"/>
    <s v="CO"/>
    <m/>
    <n v="0"/>
    <s v="CH4"/>
    <n v="132.6026952"/>
    <s v="RESTRICTED"/>
    <s v="KWH"/>
    <n v="1"/>
    <n v="442008.98389999999"/>
    <s v="AR4"/>
    <s v="IEA"/>
    <s v="IEA (2021)"/>
    <n v="2021"/>
    <n v="2019"/>
    <n v="0"/>
    <n v="0"/>
    <x v="23"/>
    <s v="Office"/>
  </r>
  <r>
    <n v="4941"/>
    <s v="Top of Hierarchy &gt; South America &gt; Vantage_Bogotá"/>
    <x v="0"/>
    <x v="1"/>
    <d v="2021-01-01T00:00:00"/>
    <d v="2021-12-31T00:00:00"/>
    <x v="0"/>
    <d v="2021-01-01T00:00:00"/>
    <d v="2021-12-31T00:00:00"/>
    <s v="Electricity (non-renewable)"/>
    <n v="442008.98389999999"/>
    <s v="Kilowatt hours"/>
    <x v="0"/>
    <m/>
    <s v="2023-02-27, 16:27"/>
    <s v="2023-07-20, 00:40"/>
    <n v="2021"/>
    <s v="electricity"/>
    <s v="Electricity"/>
    <s v="model"/>
    <b v="0"/>
    <s v="ELECTRICITY; COLOMBIA"/>
    <x v="0"/>
    <x v="0"/>
    <s v="Americas"/>
    <s v="Latin America and the Caribbean"/>
    <s v="CO"/>
    <m/>
    <n v="0"/>
    <s v="CO2"/>
    <n v="84644.720419999998"/>
    <s v="RESTRICTED"/>
    <s v="KWH"/>
    <n v="1"/>
    <n v="442008.98389999999"/>
    <s v="AR4"/>
    <s v="IEA"/>
    <s v="IEA (2021)"/>
    <n v="2021"/>
    <n v="2019"/>
    <n v="0"/>
    <n v="0"/>
    <x v="23"/>
    <s v="Office"/>
  </r>
  <r>
    <n v="4941"/>
    <s v="Top of Hierarchy &gt; South America &gt; Vantage_Bogotá"/>
    <x v="0"/>
    <x v="1"/>
    <d v="2021-01-01T00:00:00"/>
    <d v="2021-12-31T00:00:00"/>
    <x v="0"/>
    <d v="2021-01-01T00:00:00"/>
    <d v="2021-12-31T00:00:00"/>
    <s v="Electricity (non-renewable)"/>
    <n v="442008.98389999999"/>
    <s v="Kilowatt hours"/>
    <x v="0"/>
    <m/>
    <s v="2023-02-27, 16:27"/>
    <s v="2023-07-20, 00:40"/>
    <n v="2021"/>
    <s v="electricity"/>
    <s v="Electricity"/>
    <s v="model"/>
    <b v="0"/>
    <s v="ELECTRICITY; COLOMBIA"/>
    <x v="0"/>
    <x v="0"/>
    <s v="Americas"/>
    <s v="Latin America and the Caribbean"/>
    <s v="CO"/>
    <m/>
    <n v="0"/>
    <s v="CO2E"/>
    <n v="85175.131200000003"/>
    <s v="RESTRICTED"/>
    <s v="KWH"/>
    <n v="1"/>
    <n v="442008.98389999999"/>
    <s v="AR4"/>
    <s v="IEA"/>
    <s v="IEA (2021)"/>
    <n v="2021"/>
    <n v="2019"/>
    <n v="85.17513120000001"/>
    <n v="0"/>
    <x v="23"/>
    <s v="Office"/>
  </r>
  <r>
    <n v="4941"/>
    <s v="Top of Hierarchy &gt; South America &gt; Vantage_Bogotá"/>
    <x v="0"/>
    <x v="1"/>
    <d v="2021-01-01T00:00:00"/>
    <d v="2021-12-31T00:00:00"/>
    <x v="0"/>
    <d v="2021-01-01T00:00:00"/>
    <d v="2021-12-31T00:00:00"/>
    <s v="Electricity (non-renewable)"/>
    <n v="442008.98389999999"/>
    <s v="Kilowatt hours"/>
    <x v="0"/>
    <m/>
    <s v="2023-02-27, 16:27"/>
    <s v="2023-07-20, 00:40"/>
    <n v="2021"/>
    <s v="electricity"/>
    <s v="Electricity"/>
    <s v="model"/>
    <b v="0"/>
    <s v="ELECTRICITY; COLOMBIA"/>
    <x v="0"/>
    <x v="0"/>
    <s v="Americas"/>
    <s v="Latin America and the Caribbean"/>
    <s v="CO"/>
    <m/>
    <n v="0"/>
    <s v="N2O"/>
    <n v="397.8080855"/>
    <s v="RESTRICTED"/>
    <s v="KWH"/>
    <n v="1"/>
    <n v="442008.98389999999"/>
    <s v="AR4"/>
    <s v="IEA"/>
    <s v="IEA (2021)"/>
    <n v="2021"/>
    <n v="2019"/>
    <n v="0"/>
    <n v="0"/>
    <x v="23"/>
    <s v="Office"/>
  </r>
  <r>
    <n v="4941"/>
    <s v="Top of Hierarchy &gt; South America &gt; Vantage_Bogotá"/>
    <x v="0"/>
    <x v="1"/>
    <d v="2021-01-01T00:00:00"/>
    <d v="2021-12-31T00:00:00"/>
    <x v="0"/>
    <d v="2021-01-01T00:00:00"/>
    <d v="2021-12-31T00:00:00"/>
    <s v="Electricity (non-renewable)"/>
    <n v="442008.98389999999"/>
    <s v="Kilowatt hours"/>
    <x v="0"/>
    <m/>
    <s v="2023-02-27, 16:27"/>
    <s v="2023-07-20, 00:40"/>
    <n v="2021"/>
    <s v="electricity"/>
    <s v="Electricity"/>
    <s v="model"/>
    <b v="0"/>
    <s v="ELECTRICITY; COLOMBIA"/>
    <x v="0"/>
    <x v="0"/>
    <s v="Americas"/>
    <s v="Latin America and the Caribbean"/>
    <s v="CO"/>
    <m/>
    <n v="1"/>
    <s v="CH4"/>
    <n v="132.6026952"/>
    <s v="RESTRICTED"/>
    <s v="KWH"/>
    <n v="1"/>
    <n v="442008.98389999999"/>
    <s v="AR4"/>
    <s v="IEA"/>
    <s v="IEA (2021)"/>
    <n v="2021"/>
    <n v="2019"/>
    <n v="0"/>
    <n v="0"/>
    <x v="23"/>
    <s v="Office"/>
  </r>
  <r>
    <n v="4941"/>
    <s v="Top of Hierarchy &gt; South America &gt; Vantage_Bogotá"/>
    <x v="0"/>
    <x v="1"/>
    <d v="2021-01-01T00:00:00"/>
    <d v="2021-12-31T00:00:00"/>
    <x v="0"/>
    <d v="2021-01-01T00:00:00"/>
    <d v="2021-12-31T00:00:00"/>
    <s v="Electricity (non-renewable)"/>
    <n v="442008.98389999999"/>
    <s v="Kilowatt hours"/>
    <x v="0"/>
    <m/>
    <s v="2023-02-27, 16:27"/>
    <s v="2023-07-20, 00:40"/>
    <n v="2021"/>
    <s v="electricity"/>
    <s v="Electricity"/>
    <s v="model"/>
    <b v="0"/>
    <s v="ELECTRICITY; COLOMBIA"/>
    <x v="0"/>
    <x v="0"/>
    <s v="Americas"/>
    <s v="Latin America and the Caribbean"/>
    <s v="CO"/>
    <m/>
    <n v="1"/>
    <s v="CO2"/>
    <n v="84644.720419999998"/>
    <s v="RESTRICTED"/>
    <s v="KWH"/>
    <n v="1"/>
    <n v="442008.98389999999"/>
    <s v="AR4"/>
    <s v="IEA"/>
    <s v="IEA (2021)"/>
    <n v="2021"/>
    <n v="2019"/>
    <n v="0"/>
    <n v="0"/>
    <x v="23"/>
    <s v="Office"/>
  </r>
  <r>
    <n v="4941"/>
    <s v="Top of Hierarchy &gt; South America &gt; Vantage_Bogotá"/>
    <x v="0"/>
    <x v="1"/>
    <d v="2021-01-01T00:00:00"/>
    <d v="2021-12-31T00:00:00"/>
    <x v="0"/>
    <d v="2021-01-01T00:00:00"/>
    <d v="2021-12-31T00:00:00"/>
    <s v="Electricity (non-renewable)"/>
    <n v="442008.98389999999"/>
    <s v="Kilowatt hours"/>
    <x v="0"/>
    <m/>
    <s v="2023-02-27, 16:27"/>
    <s v="2023-07-20, 00:40"/>
    <n v="2021"/>
    <s v="electricity"/>
    <s v="Electricity"/>
    <s v="model"/>
    <b v="0"/>
    <s v="ELECTRICITY; COLOMBIA"/>
    <x v="0"/>
    <x v="0"/>
    <s v="Americas"/>
    <s v="Latin America and the Caribbean"/>
    <s v="CO"/>
    <m/>
    <n v="1"/>
    <s v="CO2E"/>
    <n v="85175.131200000003"/>
    <s v="RESTRICTED"/>
    <s v="KWH"/>
    <n v="1"/>
    <n v="442008.98389999999"/>
    <s v="AR4"/>
    <s v="IEA"/>
    <s v="IEA (2021)"/>
    <n v="2021"/>
    <n v="2019"/>
    <n v="0"/>
    <n v="85.17513120000001"/>
    <x v="23"/>
    <s v="Office"/>
  </r>
  <r>
    <n v="4941"/>
    <s v="Top of Hierarchy &gt; South America &gt; Vantage_Bogotá"/>
    <x v="0"/>
    <x v="1"/>
    <d v="2021-01-01T00:00:00"/>
    <d v="2021-12-31T00:00:00"/>
    <x v="0"/>
    <d v="2021-01-01T00:00:00"/>
    <d v="2021-12-31T00:00:00"/>
    <s v="Electricity (non-renewable)"/>
    <n v="442008.98389999999"/>
    <s v="Kilowatt hours"/>
    <x v="0"/>
    <m/>
    <s v="2023-02-27, 16:27"/>
    <s v="2023-07-20, 00:40"/>
    <n v="2021"/>
    <s v="electricity"/>
    <s v="Electricity"/>
    <s v="model"/>
    <b v="0"/>
    <s v="ELECTRICITY; COLOMBIA"/>
    <x v="0"/>
    <x v="0"/>
    <s v="Americas"/>
    <s v="Latin America and the Caribbean"/>
    <s v="CO"/>
    <m/>
    <n v="1"/>
    <s v="N2O"/>
    <n v="397.8080855"/>
    <s v="RESTRICTED"/>
    <s v="KWH"/>
    <n v="1"/>
    <n v="442008.98389999999"/>
    <s v="AR4"/>
    <s v="IEA"/>
    <s v="IEA (2021)"/>
    <n v="2021"/>
    <n v="2019"/>
    <n v="0"/>
    <n v="0"/>
    <x v="23"/>
    <s v="Office"/>
  </r>
  <r>
    <n v="4941"/>
    <s v="Top of Hierarchy &gt; South America &gt; Vantage_Bogotá"/>
    <x v="0"/>
    <x v="1"/>
    <d v="2021-01-01T00:00:00"/>
    <d v="2021-12-31T00:00:00"/>
    <x v="0"/>
    <d v="2021-01-01T00:00:00"/>
    <d v="2021-12-31T00:00:00"/>
    <s v="Electricity (non-renewable)"/>
    <n v="442008.98389999999"/>
    <s v="Kilowatt hours"/>
    <x v="0"/>
    <m/>
    <s v="2023-02-27, 16:27"/>
    <s v="2023-07-20, 00:40"/>
    <n v="2021"/>
    <s v="electricity__t+d__wtt"/>
    <s v="Electricity T&amp;D WTT"/>
    <s v="t+d_wtt"/>
    <b v="0"/>
    <s v="ELECTRICITY; COLOMBIA; T&amp;D WTT Estimated"/>
    <x v="1"/>
    <x v="1"/>
    <s v="Americas"/>
    <s v="Latin America and the Caribbean"/>
    <s v="CO"/>
    <m/>
    <n v="0"/>
    <s v="CH4"/>
    <n v="3.3549806289999999"/>
    <n v="7.5903E-6"/>
    <s v="KWH"/>
    <n v="1"/>
    <n v="442008.98389999999"/>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T&amp;D factor ELECTRICITY; TRANSMISSION AND DISTRIBUTION; COLOMBIA, IEA to estimate the T&amp;D WTT factor."/>
    <n v="2021"/>
    <n v="2019"/>
    <n v="0"/>
    <n v="0"/>
    <x v="23"/>
    <s v="Office"/>
  </r>
  <r>
    <n v="4941"/>
    <s v="Top of Hierarchy &gt; South America &gt; Vantage_Bogotá"/>
    <x v="0"/>
    <x v="1"/>
    <d v="2021-01-01T00:00:00"/>
    <d v="2021-12-31T00:00:00"/>
    <x v="0"/>
    <d v="2021-01-01T00:00:00"/>
    <d v="2021-12-31T00:00:00"/>
    <s v="Electricity (non-renewable)"/>
    <n v="442008.98389999999"/>
    <s v="Kilowatt hours"/>
    <x v="0"/>
    <m/>
    <s v="2023-02-27, 16:27"/>
    <s v="2023-07-20, 00:40"/>
    <n v="2021"/>
    <s v="electricity__t+d__wtt"/>
    <s v="Electricity T&amp;D WTT"/>
    <s v="t+d_wtt"/>
    <b v="0"/>
    <s v="ELECTRICITY; COLOMBIA; T&amp;D WTT Estimated"/>
    <x v="1"/>
    <x v="1"/>
    <s v="Americas"/>
    <s v="Latin America and the Caribbean"/>
    <s v="CO"/>
    <m/>
    <n v="0"/>
    <s v="CO2"/>
    <n v="2141.5959680000001"/>
    <n v="4.8451409999999999E-3"/>
    <s v="KWH"/>
    <n v="1"/>
    <n v="442008.98389999999"/>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T&amp;D factor ELECTRICITY; TRANSMISSION AND DISTRIBUTION; COLOMBIA, IEA to estimate the T&amp;D WTT factor."/>
    <n v="2021"/>
    <n v="2019"/>
    <n v="0"/>
    <n v="0"/>
    <x v="23"/>
    <s v="Office"/>
  </r>
  <r>
    <n v="4941"/>
    <s v="Top of Hierarchy &gt; South America &gt; Vantage_Bogotá"/>
    <x v="0"/>
    <x v="1"/>
    <d v="2021-01-01T00:00:00"/>
    <d v="2021-12-31T00:00:00"/>
    <x v="0"/>
    <d v="2021-01-01T00:00:00"/>
    <d v="2021-12-31T00:00:00"/>
    <s v="Electricity (non-renewable)"/>
    <n v="442008.98389999999"/>
    <s v="Kilowatt hours"/>
    <x v="0"/>
    <m/>
    <s v="2023-02-27, 16:27"/>
    <s v="2023-07-20, 00:40"/>
    <n v="2021"/>
    <s v="electricity__t+d__wtt"/>
    <s v="Electricity T&amp;D WTT"/>
    <s v="t+d_wtt"/>
    <b v="0"/>
    <s v="ELECTRICITY; COLOMBIA; T&amp;D WTT Estimated"/>
    <x v="1"/>
    <x v="1"/>
    <s v="Americas"/>
    <s v="Latin America and the Caribbean"/>
    <s v="CO"/>
    <m/>
    <n v="0"/>
    <s v="CO2E"/>
    <n v="2155.015891"/>
    <n v="4.8755020000000003E-3"/>
    <s v="KWH"/>
    <n v="1"/>
    <n v="442008.98389999999"/>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T&amp;D factor ELECTRICITY; TRANSMISSION AND DISTRIBUTION; COLOMBIA, IEA to estimate the T&amp;D WTT factor."/>
    <n v="2021"/>
    <n v="2019"/>
    <n v="2.1550158910000001"/>
    <n v="0"/>
    <x v="23"/>
    <s v="Office"/>
  </r>
  <r>
    <n v="4941"/>
    <s v="Top of Hierarchy &gt; South America &gt; Vantage_Bogotá"/>
    <x v="0"/>
    <x v="1"/>
    <d v="2021-01-01T00:00:00"/>
    <d v="2021-12-31T00:00:00"/>
    <x v="0"/>
    <d v="2021-01-01T00:00:00"/>
    <d v="2021-12-31T00:00:00"/>
    <s v="Electricity (non-renewable)"/>
    <n v="442008.98389999999"/>
    <s v="Kilowatt hours"/>
    <x v="0"/>
    <m/>
    <s v="2023-02-27, 16:27"/>
    <s v="2023-07-20, 00:40"/>
    <n v="2021"/>
    <s v="electricity__t+d__wtt"/>
    <s v="Electricity T&amp;D WTT"/>
    <s v="t+d_wtt"/>
    <b v="0"/>
    <s v="ELECTRICITY; COLOMBIA; T&amp;D WTT Estimated"/>
    <x v="1"/>
    <x v="1"/>
    <s v="Americas"/>
    <s v="Latin America and the Caribbean"/>
    <s v="CO"/>
    <m/>
    <n v="0"/>
    <s v="N2O"/>
    <n v="10.06494189"/>
    <n v="2.2770899999999999E-5"/>
    <s v="KWH"/>
    <n v="1"/>
    <n v="442008.98389999999"/>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T&amp;D factor ELECTRICITY; TRANSMISSION AND DISTRIBUTION; COLOMBIA, IEA to estimate the T&amp;D WTT factor."/>
    <n v="2021"/>
    <n v="2019"/>
    <n v="0"/>
    <n v="0"/>
    <x v="23"/>
    <s v="Office"/>
  </r>
  <r>
    <n v="4941"/>
    <s v="Top of Hierarchy &gt; South America &gt; Vantage_Bogotá"/>
    <x v="0"/>
    <x v="1"/>
    <d v="2021-01-01T00:00:00"/>
    <d v="2021-12-31T00:00:00"/>
    <x v="0"/>
    <d v="2021-01-01T00:00:00"/>
    <d v="2021-12-31T00:00:00"/>
    <s v="Electricity (non-renewable)"/>
    <n v="442008.98389999999"/>
    <s v="Kilowatt hours"/>
    <x v="0"/>
    <m/>
    <s v="2023-02-27, 16:27"/>
    <s v="2023-07-20, 00:40"/>
    <n v="2021"/>
    <s v="electricity__t+d__wtt"/>
    <s v="Electricity T&amp;D WTT"/>
    <s v="t+d_wtt"/>
    <b v="0"/>
    <s v="ELECTRICITY; COLOMBIA; T&amp;D WTT Estimated"/>
    <x v="1"/>
    <x v="1"/>
    <s v="Americas"/>
    <s v="Latin America and the Caribbean"/>
    <s v="CO"/>
    <m/>
    <n v="1"/>
    <s v="CH4"/>
    <n v="3.3549806289999999"/>
    <n v="7.5903E-6"/>
    <s v="KWH"/>
    <n v="1"/>
    <n v="442008.98389999999"/>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T&amp;D factor ELECTRICITY; TRANSMISSION AND DISTRIBUTION; COLOMBIA, IEA to estimate the T&amp;D WTT factor."/>
    <n v="2021"/>
    <n v="2019"/>
    <n v="0"/>
    <n v="0"/>
    <x v="23"/>
    <s v="Office"/>
  </r>
  <r>
    <n v="4941"/>
    <s v="Top of Hierarchy &gt; South America &gt; Vantage_Bogotá"/>
    <x v="0"/>
    <x v="1"/>
    <d v="2021-01-01T00:00:00"/>
    <d v="2021-12-31T00:00:00"/>
    <x v="0"/>
    <d v="2021-01-01T00:00:00"/>
    <d v="2021-12-31T00:00:00"/>
    <s v="Electricity (non-renewable)"/>
    <n v="442008.98389999999"/>
    <s v="Kilowatt hours"/>
    <x v="0"/>
    <m/>
    <s v="2023-02-27, 16:27"/>
    <s v="2023-07-20, 00:40"/>
    <n v="2021"/>
    <s v="electricity__t+d__wtt"/>
    <s v="Electricity T&amp;D WTT"/>
    <s v="t+d_wtt"/>
    <b v="0"/>
    <s v="ELECTRICITY; COLOMBIA; T&amp;D WTT Estimated"/>
    <x v="1"/>
    <x v="1"/>
    <s v="Americas"/>
    <s v="Latin America and the Caribbean"/>
    <s v="CO"/>
    <m/>
    <n v="1"/>
    <s v="CO2"/>
    <n v="2141.5959680000001"/>
    <n v="4.8451409999999999E-3"/>
    <s v="KWH"/>
    <n v="1"/>
    <n v="442008.98389999999"/>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T&amp;D factor ELECTRICITY; TRANSMISSION AND DISTRIBUTION; COLOMBIA, IEA to estimate the T&amp;D WTT factor."/>
    <n v="2021"/>
    <n v="2019"/>
    <n v="0"/>
    <n v="0"/>
    <x v="23"/>
    <s v="Office"/>
  </r>
  <r>
    <n v="4941"/>
    <s v="Top of Hierarchy &gt; South America &gt; Vantage_Bogotá"/>
    <x v="0"/>
    <x v="1"/>
    <d v="2021-01-01T00:00:00"/>
    <d v="2021-12-31T00:00:00"/>
    <x v="0"/>
    <d v="2021-01-01T00:00:00"/>
    <d v="2021-12-31T00:00:00"/>
    <s v="Electricity (non-renewable)"/>
    <n v="442008.98389999999"/>
    <s v="Kilowatt hours"/>
    <x v="0"/>
    <m/>
    <s v="2023-02-27, 16:27"/>
    <s v="2023-07-20, 00:40"/>
    <n v="2021"/>
    <s v="electricity__t+d__wtt"/>
    <s v="Electricity T&amp;D WTT"/>
    <s v="t+d_wtt"/>
    <b v="0"/>
    <s v="ELECTRICITY; COLOMBIA; T&amp;D WTT Estimated"/>
    <x v="1"/>
    <x v="1"/>
    <s v="Americas"/>
    <s v="Latin America and the Caribbean"/>
    <s v="CO"/>
    <m/>
    <n v="1"/>
    <s v="CO2E"/>
    <n v="2155.015891"/>
    <n v="4.8755020000000003E-3"/>
    <s v="KWH"/>
    <n v="1"/>
    <n v="442008.98389999999"/>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T&amp;D factor ELECTRICITY; TRANSMISSION AND DISTRIBUTION; COLOMBIA, IEA to estimate the T&amp;D WTT factor."/>
    <n v="2021"/>
    <n v="2019"/>
    <n v="0"/>
    <n v="2.1550158910000001"/>
    <x v="23"/>
    <s v="Office"/>
  </r>
  <r>
    <n v="4941"/>
    <s v="Top of Hierarchy &gt; South America &gt; Vantage_Bogotá"/>
    <x v="0"/>
    <x v="1"/>
    <d v="2021-01-01T00:00:00"/>
    <d v="2021-12-31T00:00:00"/>
    <x v="0"/>
    <d v="2021-01-01T00:00:00"/>
    <d v="2021-12-31T00:00:00"/>
    <s v="Electricity (non-renewable)"/>
    <n v="442008.98389999999"/>
    <s v="Kilowatt hours"/>
    <x v="0"/>
    <m/>
    <s v="2023-02-27, 16:27"/>
    <s v="2023-07-20, 00:40"/>
    <n v="2021"/>
    <s v="electricity__t+d__wtt"/>
    <s v="Electricity T&amp;D WTT"/>
    <s v="t+d_wtt"/>
    <b v="0"/>
    <s v="ELECTRICITY; COLOMBIA; T&amp;D WTT Estimated"/>
    <x v="1"/>
    <x v="1"/>
    <s v="Americas"/>
    <s v="Latin America and the Caribbean"/>
    <s v="CO"/>
    <m/>
    <n v="1"/>
    <s v="N2O"/>
    <n v="10.06494189"/>
    <n v="2.2770899999999999E-5"/>
    <s v="KWH"/>
    <n v="1"/>
    <n v="442008.98389999999"/>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T&amp;D factor ELECTRICITY; TRANSMISSION AND DISTRIBUTION; COLOMBIA, IEA to estimate the T&amp;D WTT factor."/>
    <n v="2021"/>
    <n v="2019"/>
    <n v="0"/>
    <n v="0"/>
    <x v="23"/>
    <s v="Office"/>
  </r>
  <r>
    <n v="4941"/>
    <s v="Top of Hierarchy &gt; South America &gt; Vantage_Bogotá"/>
    <x v="0"/>
    <x v="1"/>
    <d v="2021-01-01T00:00:00"/>
    <d v="2021-12-31T00:00:00"/>
    <x v="0"/>
    <d v="2021-01-01T00:00:00"/>
    <d v="2021-12-31T00:00:00"/>
    <s v="Electricity (non-renewable)"/>
    <n v="442008.98389999999"/>
    <s v="Kilowatt hours"/>
    <x v="0"/>
    <m/>
    <s v="2023-02-27, 16:27"/>
    <s v="2023-07-20, 00:40"/>
    <n v="2021"/>
    <s v="electricity__wtt"/>
    <s v="Electricity WTT"/>
    <s v="wtt"/>
    <b v="0"/>
    <s v="ELECTRICITY; COLOMBIA; WTT Estimated"/>
    <x v="1"/>
    <x v="1"/>
    <s v="Americas"/>
    <s v="Latin America and the Caribbean"/>
    <s v="CO"/>
    <m/>
    <n v="0"/>
    <s v="CH4"/>
    <n v="28.090016760000001"/>
    <n v="6.3550800000000001E-5"/>
    <s v="KWH"/>
    <n v="1"/>
    <n v="442008.98389999999"/>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base factor ELECTRICITY; COLOMBIA, IEAto estimate the WTT factor."/>
    <n v="2021"/>
    <n v="2019"/>
    <n v="0"/>
    <n v="0"/>
    <x v="23"/>
    <s v="Office"/>
  </r>
  <r>
    <n v="4941"/>
    <s v="Top of Hierarchy &gt; South America &gt; Vantage_Bogotá"/>
    <x v="0"/>
    <x v="1"/>
    <d v="2021-01-01T00:00:00"/>
    <d v="2021-12-31T00:00:00"/>
    <x v="0"/>
    <d v="2021-01-01T00:00:00"/>
    <d v="2021-12-31T00:00:00"/>
    <s v="Electricity (non-renewable)"/>
    <n v="442008.98389999999"/>
    <s v="Kilowatt hours"/>
    <x v="0"/>
    <m/>
    <s v="2023-02-27, 16:27"/>
    <s v="2023-07-20, 00:40"/>
    <n v="2021"/>
    <s v="electricity__wtt"/>
    <s v="Electricity WTT"/>
    <s v="wtt"/>
    <b v="0"/>
    <s v="ELECTRICITY; COLOMBIA; WTT Estimated"/>
    <x v="1"/>
    <x v="1"/>
    <s v="Americas"/>
    <s v="Latin America and the Caribbean"/>
    <s v="CO"/>
    <m/>
    <n v="0"/>
    <s v="CO2"/>
    <n v="17930.794030000001"/>
    <n v="4.0566583000000003E-2"/>
    <s v="KWH"/>
    <n v="1"/>
    <n v="442008.98389999999"/>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base factor ELECTRICITY; COLOMBIA, IEAto estimate the WTT factor."/>
    <n v="2021"/>
    <n v="2019"/>
    <n v="0"/>
    <n v="0"/>
    <x v="23"/>
    <s v="Office"/>
  </r>
  <r>
    <n v="4941"/>
    <s v="Top of Hierarchy &gt; South America &gt; Vantage_Bogotá"/>
    <x v="0"/>
    <x v="1"/>
    <d v="2021-01-01T00:00:00"/>
    <d v="2021-12-31T00:00:00"/>
    <x v="0"/>
    <d v="2021-01-01T00:00:00"/>
    <d v="2021-12-31T00:00:00"/>
    <s v="Electricity (non-renewable)"/>
    <n v="442008.98389999999"/>
    <s v="Kilowatt hours"/>
    <x v="0"/>
    <m/>
    <s v="2023-02-27, 16:27"/>
    <s v="2023-07-20, 00:40"/>
    <n v="2021"/>
    <s v="electricity__wtt"/>
    <s v="Electricity WTT"/>
    <s v="wtt"/>
    <b v="0"/>
    <s v="ELECTRICITY; COLOMBIA; WTT Estimated"/>
    <x v="1"/>
    <x v="1"/>
    <s v="Americas"/>
    <s v="Latin America and the Caribbean"/>
    <s v="CO"/>
    <m/>
    <n v="0"/>
    <s v="CO2E"/>
    <n v="18043.1541"/>
    <n v="4.0820785999999998E-2"/>
    <s v="KWH"/>
    <n v="1"/>
    <n v="442008.98389999999"/>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base factor ELECTRICITY; COLOMBIA, IEAto estimate the WTT factor."/>
    <n v="2021"/>
    <n v="2019"/>
    <n v="18.043154099999999"/>
    <n v="0"/>
    <x v="23"/>
    <s v="Office"/>
  </r>
  <r>
    <n v="4941"/>
    <s v="Top of Hierarchy &gt; South America &gt; Vantage_Bogotá"/>
    <x v="0"/>
    <x v="1"/>
    <d v="2021-01-01T00:00:00"/>
    <d v="2021-12-31T00:00:00"/>
    <x v="0"/>
    <d v="2021-01-01T00:00:00"/>
    <d v="2021-12-31T00:00:00"/>
    <s v="Electricity (non-renewable)"/>
    <n v="442008.98389999999"/>
    <s v="Kilowatt hours"/>
    <x v="0"/>
    <m/>
    <s v="2023-02-27, 16:27"/>
    <s v="2023-07-20, 00:40"/>
    <n v="2021"/>
    <s v="electricity__wtt"/>
    <s v="Electricity WTT"/>
    <s v="wtt"/>
    <b v="0"/>
    <s v="ELECTRICITY; COLOMBIA; WTT Estimated"/>
    <x v="1"/>
    <x v="1"/>
    <s v="Americas"/>
    <s v="Latin America and the Caribbean"/>
    <s v="CO"/>
    <m/>
    <n v="0"/>
    <s v="N2O"/>
    <n v="84.270050280000007"/>
    <n v="1.90652E-4"/>
    <s v="KWH"/>
    <n v="1"/>
    <n v="442008.98389999999"/>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base factor ELECTRICITY; COLOMBIA, IEAto estimate the WTT factor."/>
    <n v="2021"/>
    <n v="2019"/>
    <n v="0"/>
    <n v="0"/>
    <x v="23"/>
    <s v="Office"/>
  </r>
  <r>
    <n v="4941"/>
    <s v="Top of Hierarchy &gt; South America &gt; Vantage_Bogotá"/>
    <x v="0"/>
    <x v="1"/>
    <d v="2021-01-01T00:00:00"/>
    <d v="2021-12-31T00:00:00"/>
    <x v="0"/>
    <d v="2021-01-01T00:00:00"/>
    <d v="2021-12-31T00:00:00"/>
    <s v="Electricity (non-renewable)"/>
    <n v="442008.98389999999"/>
    <s v="Kilowatt hours"/>
    <x v="0"/>
    <m/>
    <s v="2023-02-27, 16:27"/>
    <s v="2023-07-20, 00:40"/>
    <n v="2021"/>
    <s v="electricity__wtt"/>
    <s v="Electricity WTT"/>
    <s v="wtt"/>
    <b v="0"/>
    <s v="ELECTRICITY; COLOMBIA; WTT Estimated"/>
    <x v="1"/>
    <x v="1"/>
    <s v="Americas"/>
    <s v="Latin America and the Caribbean"/>
    <s v="CO"/>
    <m/>
    <n v="1"/>
    <s v="CH4"/>
    <n v="28.090016760000001"/>
    <n v="6.3550800000000001E-5"/>
    <s v="KWH"/>
    <n v="1"/>
    <n v="442008.98389999999"/>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base factor ELECTRICITY; COLOMBIA, IEAto estimate the WTT factor."/>
    <n v="2021"/>
    <n v="2019"/>
    <n v="0"/>
    <n v="0"/>
    <x v="23"/>
    <s v="Office"/>
  </r>
  <r>
    <n v="4941"/>
    <s v="Top of Hierarchy &gt; South America &gt; Vantage_Bogotá"/>
    <x v="0"/>
    <x v="1"/>
    <d v="2021-01-01T00:00:00"/>
    <d v="2021-12-31T00:00:00"/>
    <x v="0"/>
    <d v="2021-01-01T00:00:00"/>
    <d v="2021-12-31T00:00:00"/>
    <s v="Electricity (non-renewable)"/>
    <n v="442008.98389999999"/>
    <s v="Kilowatt hours"/>
    <x v="0"/>
    <m/>
    <s v="2023-02-27, 16:27"/>
    <s v="2023-07-20, 00:40"/>
    <n v="2021"/>
    <s v="electricity__wtt"/>
    <s v="Electricity WTT"/>
    <s v="wtt"/>
    <b v="0"/>
    <s v="ELECTRICITY; COLOMBIA; WTT Estimated"/>
    <x v="1"/>
    <x v="1"/>
    <s v="Americas"/>
    <s v="Latin America and the Caribbean"/>
    <s v="CO"/>
    <m/>
    <n v="1"/>
    <s v="CO2"/>
    <n v="17930.794030000001"/>
    <n v="4.0566583000000003E-2"/>
    <s v="KWH"/>
    <n v="1"/>
    <n v="442008.98389999999"/>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base factor ELECTRICITY; COLOMBIA, IEAto estimate the WTT factor."/>
    <n v="2021"/>
    <n v="2019"/>
    <n v="0"/>
    <n v="0"/>
    <x v="23"/>
    <s v="Office"/>
  </r>
  <r>
    <n v="4941"/>
    <s v="Top of Hierarchy &gt; South America &gt; Vantage_Bogotá"/>
    <x v="0"/>
    <x v="1"/>
    <d v="2021-01-01T00:00:00"/>
    <d v="2021-12-31T00:00:00"/>
    <x v="0"/>
    <d v="2021-01-01T00:00:00"/>
    <d v="2021-12-31T00:00:00"/>
    <s v="Electricity (non-renewable)"/>
    <n v="442008.98389999999"/>
    <s v="Kilowatt hours"/>
    <x v="0"/>
    <m/>
    <s v="2023-02-27, 16:27"/>
    <s v="2023-07-20, 00:40"/>
    <n v="2021"/>
    <s v="electricity__wtt"/>
    <s v="Electricity WTT"/>
    <s v="wtt"/>
    <b v="0"/>
    <s v="ELECTRICITY; COLOMBIA; WTT Estimated"/>
    <x v="1"/>
    <x v="1"/>
    <s v="Americas"/>
    <s v="Latin America and the Caribbean"/>
    <s v="CO"/>
    <m/>
    <n v="1"/>
    <s v="CO2E"/>
    <n v="18043.1541"/>
    <n v="4.0820785999999998E-2"/>
    <s v="KWH"/>
    <n v="1"/>
    <n v="442008.98389999999"/>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base factor ELECTRICITY; COLOMBIA, IEAto estimate the WTT factor."/>
    <n v="2021"/>
    <n v="2019"/>
    <n v="0"/>
    <n v="18.043154099999999"/>
    <x v="23"/>
    <s v="Office"/>
  </r>
  <r>
    <n v="4941"/>
    <s v="Top of Hierarchy &gt; South America &gt; Vantage_Bogotá"/>
    <x v="0"/>
    <x v="1"/>
    <d v="2021-01-01T00:00:00"/>
    <d v="2021-12-31T00:00:00"/>
    <x v="0"/>
    <d v="2021-01-01T00:00:00"/>
    <d v="2021-12-31T00:00:00"/>
    <s v="Electricity (non-renewable)"/>
    <n v="442008.98389999999"/>
    <s v="Kilowatt hours"/>
    <x v="0"/>
    <m/>
    <s v="2023-02-27, 16:27"/>
    <s v="2023-07-20, 00:40"/>
    <n v="2021"/>
    <s v="electricity__wtt"/>
    <s v="Electricity WTT"/>
    <s v="wtt"/>
    <b v="0"/>
    <s v="ELECTRICITY; COLOMBIA; WTT Estimated"/>
    <x v="1"/>
    <x v="1"/>
    <s v="Americas"/>
    <s v="Latin America and the Caribbean"/>
    <s v="CO"/>
    <m/>
    <n v="1"/>
    <s v="N2O"/>
    <n v="84.270050280000007"/>
    <n v="1.90652E-4"/>
    <s v="KWH"/>
    <n v="1"/>
    <n v="442008.98389999999"/>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base factor ELECTRICITY; COLOMBIA, IEAto estimate the WTT factor."/>
    <n v="2021"/>
    <n v="2019"/>
    <n v="0"/>
    <n v="0"/>
    <x v="23"/>
    <s v="Office"/>
  </r>
  <r>
    <n v="4941"/>
    <s v="Top of Hierarchy &gt; South America &gt; Vantage_Bogotá"/>
    <x v="0"/>
    <x v="1"/>
    <d v="2021-01-01T00:00:00"/>
    <d v="2021-12-31T00:00:00"/>
    <x v="0"/>
    <d v="2021-01-01T00:00:00"/>
    <d v="2021-12-31T00:00:00"/>
    <s v="Electricity (non-renewable)"/>
    <n v="442008.98389999999"/>
    <s v="Kilowatt hours"/>
    <x v="0"/>
    <m/>
    <s v="2023-02-27, 16:27"/>
    <s v="2023-07-20, 00:40"/>
    <n v="2021"/>
    <s v="electricity__t+d"/>
    <s v="Electricity T&amp;D"/>
    <s v="t+d"/>
    <b v="0"/>
    <s v="ELECTRICITY; TRANSMISSION AND DISTRIBUTION; COLOMBIA"/>
    <x v="1"/>
    <x v="1"/>
    <s v="Americas"/>
    <s v="Latin America and the Caribbean"/>
    <s v="CO"/>
    <m/>
    <n v="0"/>
    <s v="CO2E"/>
    <n v="6188.1257750000004"/>
    <s v="RESTRICTED"/>
    <s v="KWH"/>
    <n v="1"/>
    <n v="442008.98389999999"/>
    <s v="AR4"/>
    <s v="IEA"/>
    <s v="IEA (2021)"/>
    <n v="2021"/>
    <n v="2019"/>
    <n v="6.1881257750000005"/>
    <n v="0"/>
    <x v="23"/>
    <s v="Office"/>
  </r>
  <r>
    <n v="4941"/>
    <s v="Top of Hierarchy &gt; South America &gt; Vantage_Bogotá"/>
    <x v="0"/>
    <x v="1"/>
    <d v="2021-01-01T00:00:00"/>
    <d v="2021-12-31T00:00:00"/>
    <x v="0"/>
    <d v="2021-01-01T00:00:00"/>
    <d v="2021-12-31T00:00:00"/>
    <s v="Electricity (non-renewable)"/>
    <n v="442008.98389999999"/>
    <s v="Kilowatt hours"/>
    <x v="0"/>
    <m/>
    <s v="2023-02-27, 16:27"/>
    <s v="2023-07-20, 00:40"/>
    <n v="2021"/>
    <s v="electricity__t+d"/>
    <s v="Electricity T&amp;D"/>
    <s v="t+d"/>
    <b v="0"/>
    <s v="ELECTRICITY; TRANSMISSION AND DISTRIBUTION; COLOMBIA"/>
    <x v="1"/>
    <x v="1"/>
    <s v="Americas"/>
    <s v="Latin America and the Caribbean"/>
    <s v="CO"/>
    <m/>
    <n v="1"/>
    <s v="CO2E"/>
    <n v="6188.1257750000004"/>
    <s v="RESTRICTED"/>
    <s v="KWH"/>
    <n v="1"/>
    <n v="442008.98389999999"/>
    <s v="AR4"/>
    <s v="IEA"/>
    <s v="IEA (2021)"/>
    <n v="2021"/>
    <n v="2019"/>
    <n v="0"/>
    <n v="6.1881257750000005"/>
    <x v="23"/>
    <s v="Office"/>
  </r>
  <r>
    <n v="4968"/>
    <s v="Top of Hierarchy &gt; South America &gt; Vantage_Bogotá"/>
    <x v="0"/>
    <x v="1"/>
    <d v="2021-01-01T00:00:00"/>
    <d v="2021-12-31T00:00:00"/>
    <x v="3"/>
    <d v="2021-01-01T00:00:00"/>
    <d v="2021-12-31T00:00:00"/>
    <s v="Natural gas"/>
    <n v="0"/>
    <s v="British Thermal Units"/>
    <x v="0"/>
    <m/>
    <s v="2023-02-27, 16:27"/>
    <s v="2023-07-20, 00:40"/>
    <n v="2021"/>
    <s v="natural_gas"/>
    <s v="Natural Gas"/>
    <s v="model"/>
    <b v="0"/>
    <s v="NATURAL GAS, NATURAL GAS"/>
    <x v="2"/>
    <x v="0"/>
    <s v="Americas"/>
    <m/>
    <m/>
    <m/>
    <n v="0"/>
    <s v="CH4"/>
    <n v="0"/>
    <n v="2.5000000000000001E-2"/>
    <s v="MMBTU"/>
    <n v="9.9999999999999995E-7"/>
    <n v="0"/>
    <s v="AR4"/>
    <s v="USEPA"/>
    <s v="USEPA (2021)"/>
    <n v="2021"/>
    <n v="2021"/>
    <n v="0"/>
    <n v="0"/>
    <x v="23"/>
    <s v="Office"/>
  </r>
  <r>
    <n v="4968"/>
    <s v="Top of Hierarchy &gt; South America &gt; Vantage_Bogotá"/>
    <x v="0"/>
    <x v="1"/>
    <d v="2021-01-01T00:00:00"/>
    <d v="2021-12-31T00:00:00"/>
    <x v="3"/>
    <d v="2021-01-01T00:00:00"/>
    <d v="2021-12-31T00:00:00"/>
    <s v="Natural gas"/>
    <n v="0"/>
    <s v="British Thermal Units"/>
    <x v="0"/>
    <m/>
    <s v="2023-02-27, 16:27"/>
    <s v="2023-07-20, 00:40"/>
    <n v="2021"/>
    <s v="natural_gas"/>
    <s v="Natural Gas"/>
    <s v="model"/>
    <b v="0"/>
    <s v="NATURAL GAS, NATURAL GAS"/>
    <x v="2"/>
    <x v="0"/>
    <s v="Americas"/>
    <m/>
    <m/>
    <m/>
    <n v="0"/>
    <s v="CO2"/>
    <n v="0"/>
    <n v="53.06"/>
    <s v="MMBTU"/>
    <n v="9.9999999999999995E-7"/>
    <n v="0"/>
    <s v="AR4"/>
    <s v="USEPA"/>
    <s v="USEPA Emission Factors Hub (Last Modified: March 2020)"/>
    <n v="2021"/>
    <n v="2020"/>
    <n v="0"/>
    <n v="0"/>
    <x v="23"/>
    <s v="Office"/>
  </r>
  <r>
    <n v="4968"/>
    <s v="Top of Hierarchy &gt; South America &gt; Vantage_Bogotá"/>
    <x v="0"/>
    <x v="1"/>
    <d v="2021-01-01T00:00:00"/>
    <d v="2021-12-31T00:00:00"/>
    <x v="3"/>
    <d v="2021-01-01T00:00:00"/>
    <d v="2021-12-31T00:00:00"/>
    <s v="Natural gas"/>
    <n v="0"/>
    <s v="British Thermal Units"/>
    <x v="0"/>
    <m/>
    <s v="2023-02-27, 16:27"/>
    <s v="2023-07-20, 00:40"/>
    <n v="2021"/>
    <s v="natural_gas"/>
    <s v="Natural Gas"/>
    <s v="model"/>
    <b v="0"/>
    <s v="NATURAL GAS, NATURAL GAS"/>
    <x v="2"/>
    <x v="0"/>
    <s v="Americas"/>
    <m/>
    <m/>
    <m/>
    <n v="0"/>
    <s v="CO2E"/>
    <n v="0"/>
    <n v="53.114800000000002"/>
    <s v="MMBTU"/>
    <n v="9.9999999999999995E-7"/>
    <n v="0"/>
    <s v="AR4"/>
    <s v="USEPA"/>
    <s v="USEPA (2021)"/>
    <n v="2021"/>
    <n v="2021"/>
    <n v="0"/>
    <n v="0"/>
    <x v="23"/>
    <s v="Office"/>
  </r>
  <r>
    <n v="4968"/>
    <s v="Top of Hierarchy &gt; South America &gt; Vantage_Bogotá"/>
    <x v="0"/>
    <x v="1"/>
    <d v="2021-01-01T00:00:00"/>
    <d v="2021-12-31T00:00:00"/>
    <x v="3"/>
    <d v="2021-01-01T00:00:00"/>
    <d v="2021-12-31T00:00:00"/>
    <s v="Natural gas"/>
    <n v="0"/>
    <s v="British Thermal Units"/>
    <x v="0"/>
    <m/>
    <s v="2023-02-27, 16:27"/>
    <s v="2023-07-20, 00:40"/>
    <n v="2021"/>
    <s v="natural_gas"/>
    <s v="Natural Gas"/>
    <s v="model"/>
    <b v="0"/>
    <s v="NATURAL GAS, NATURAL GAS"/>
    <x v="2"/>
    <x v="0"/>
    <s v="Americas"/>
    <m/>
    <m/>
    <m/>
    <n v="0"/>
    <s v="N2O"/>
    <n v="0"/>
    <n v="2.98E-2"/>
    <s v="MMBTU"/>
    <n v="9.9999999999999995E-7"/>
    <n v="0"/>
    <s v="AR4"/>
    <s v="USEPA"/>
    <s v="USEPA (2021)"/>
    <n v="2021"/>
    <n v="2021"/>
    <n v="0"/>
    <n v="0"/>
    <x v="23"/>
    <s v="Office"/>
  </r>
  <r>
    <n v="4968"/>
    <s v="Top of Hierarchy &gt; South America &gt; Vantage_Bogotá"/>
    <x v="0"/>
    <x v="1"/>
    <d v="2021-01-01T00:00:00"/>
    <d v="2021-12-31T00:00:00"/>
    <x v="3"/>
    <d v="2021-01-01T00:00:00"/>
    <d v="2021-12-31T00:00:00"/>
    <s v="Natural gas"/>
    <n v="0"/>
    <s v="British Thermal Units"/>
    <x v="0"/>
    <m/>
    <s v="2023-02-27, 16:27"/>
    <s v="2023-07-20, 00:40"/>
    <n v="2021"/>
    <s v="natural_gas"/>
    <s v="Natural Gas"/>
    <s v="model"/>
    <b v="0"/>
    <s v="NATURAL GAS, NATURAL GAS"/>
    <x v="2"/>
    <x v="0"/>
    <s v="Americas"/>
    <m/>
    <m/>
    <m/>
    <n v="1"/>
    <s v="CH4"/>
    <n v="0"/>
    <n v="2.5000000000000001E-2"/>
    <s v="MMBTU"/>
    <n v="9.9999999999999995E-7"/>
    <n v="0"/>
    <s v="AR4"/>
    <s v="USEPA"/>
    <s v="USEPA (2021)"/>
    <n v="2021"/>
    <n v="2021"/>
    <n v="0"/>
    <n v="0"/>
    <x v="23"/>
    <s v="Office"/>
  </r>
  <r>
    <n v="4968"/>
    <s v="Top of Hierarchy &gt; South America &gt; Vantage_Bogotá"/>
    <x v="0"/>
    <x v="1"/>
    <d v="2021-01-01T00:00:00"/>
    <d v="2021-12-31T00:00:00"/>
    <x v="3"/>
    <d v="2021-01-01T00:00:00"/>
    <d v="2021-12-31T00:00:00"/>
    <s v="Natural gas"/>
    <n v="0"/>
    <s v="British Thermal Units"/>
    <x v="0"/>
    <m/>
    <s v="2023-02-27, 16:27"/>
    <s v="2023-07-20, 00:40"/>
    <n v="2021"/>
    <s v="natural_gas"/>
    <s v="Natural Gas"/>
    <s v="model"/>
    <b v="0"/>
    <s v="NATURAL GAS, NATURAL GAS"/>
    <x v="2"/>
    <x v="0"/>
    <s v="Americas"/>
    <m/>
    <m/>
    <m/>
    <n v="1"/>
    <s v="CO2"/>
    <n v="0"/>
    <n v="53.06"/>
    <s v="MMBTU"/>
    <n v="9.9999999999999995E-7"/>
    <n v="0"/>
    <s v="AR4"/>
    <s v="USEPA"/>
    <s v="USEPA Emission Factors Hub (Last Modified: March 2020)"/>
    <n v="2021"/>
    <n v="2020"/>
    <n v="0"/>
    <n v="0"/>
    <x v="23"/>
    <s v="Office"/>
  </r>
  <r>
    <n v="4968"/>
    <s v="Top of Hierarchy &gt; South America &gt; Vantage_Bogotá"/>
    <x v="0"/>
    <x v="1"/>
    <d v="2021-01-01T00:00:00"/>
    <d v="2021-12-31T00:00:00"/>
    <x v="3"/>
    <d v="2021-01-01T00:00:00"/>
    <d v="2021-12-31T00:00:00"/>
    <s v="Natural gas"/>
    <n v="0"/>
    <s v="British Thermal Units"/>
    <x v="0"/>
    <m/>
    <s v="2023-02-27, 16:27"/>
    <s v="2023-07-20, 00:40"/>
    <n v="2021"/>
    <s v="natural_gas"/>
    <s v="Natural Gas"/>
    <s v="model"/>
    <b v="0"/>
    <s v="NATURAL GAS, NATURAL GAS"/>
    <x v="2"/>
    <x v="0"/>
    <s v="Americas"/>
    <m/>
    <m/>
    <m/>
    <n v="1"/>
    <s v="CO2E"/>
    <n v="0"/>
    <n v="53.114800000000002"/>
    <s v="MMBTU"/>
    <n v="9.9999999999999995E-7"/>
    <n v="0"/>
    <s v="AR4"/>
    <s v="USEPA"/>
    <s v="USEPA (2021)"/>
    <n v="2021"/>
    <n v="2021"/>
    <n v="0"/>
    <n v="0"/>
    <x v="23"/>
    <s v="Office"/>
  </r>
  <r>
    <n v="4968"/>
    <s v="Top of Hierarchy &gt; South America &gt; Vantage_Bogotá"/>
    <x v="0"/>
    <x v="1"/>
    <d v="2021-01-01T00:00:00"/>
    <d v="2021-12-31T00:00:00"/>
    <x v="3"/>
    <d v="2021-01-01T00:00:00"/>
    <d v="2021-12-31T00:00:00"/>
    <s v="Natural gas"/>
    <n v="0"/>
    <s v="British Thermal Units"/>
    <x v="0"/>
    <m/>
    <s v="2023-02-27, 16:27"/>
    <s v="2023-07-20, 00:40"/>
    <n v="2021"/>
    <s v="natural_gas"/>
    <s v="Natural Gas"/>
    <s v="model"/>
    <b v="0"/>
    <s v="NATURAL GAS, NATURAL GAS"/>
    <x v="2"/>
    <x v="0"/>
    <s v="Americas"/>
    <m/>
    <m/>
    <m/>
    <n v="1"/>
    <s v="N2O"/>
    <n v="0"/>
    <n v="2.98E-2"/>
    <s v="MMBTU"/>
    <n v="9.9999999999999995E-7"/>
    <n v="0"/>
    <s v="AR4"/>
    <s v="USEPA"/>
    <s v="USEPA (2021)"/>
    <n v="2021"/>
    <n v="2021"/>
    <n v="0"/>
    <n v="0"/>
    <x v="23"/>
    <s v="Office"/>
  </r>
  <r>
    <n v="4968"/>
    <s v="Top of Hierarchy &gt; South America &gt; Vantage_Bogotá"/>
    <x v="0"/>
    <x v="1"/>
    <d v="2021-01-01T00:00:00"/>
    <d v="2021-12-31T00:00:00"/>
    <x v="3"/>
    <d v="2021-01-01T00:00:00"/>
    <d v="2021-12-31T00:00:00"/>
    <s v="Natural gas"/>
    <n v="0"/>
    <s v="British Thermal Units"/>
    <x v="0"/>
    <m/>
    <s v="2023-02-27, 16:27"/>
    <s v="2023-07-20, 00:40"/>
    <n v="2021"/>
    <s v="natural_gas__wtt"/>
    <s v="Natural Gas WTT"/>
    <s v="wtt"/>
    <b v="0"/>
    <s v="WTT- FUELS; WTT- GASEOUS FUELS; NATURAL GAS"/>
    <x v="1"/>
    <x v="1"/>
    <m/>
    <m/>
    <m/>
    <m/>
    <n v="0"/>
    <s v="CO2E"/>
    <n v="0"/>
    <n v="3.1350000000000003E-2"/>
    <s v="KWH (GROSS CV)"/>
    <n v="2.9306999999999998E-4"/>
    <n v="0"/>
    <s v="AR4"/>
    <s v="Defra"/>
    <s v="Defra (2021)"/>
    <n v="2021"/>
    <n v="2019"/>
    <n v="0"/>
    <n v="0"/>
    <x v="23"/>
    <s v="Office"/>
  </r>
  <r>
    <n v="4968"/>
    <s v="Top of Hierarchy &gt; South America &gt; Vantage_Bogotá"/>
    <x v="0"/>
    <x v="1"/>
    <d v="2021-01-01T00:00:00"/>
    <d v="2021-12-31T00:00:00"/>
    <x v="3"/>
    <d v="2021-01-01T00:00:00"/>
    <d v="2021-12-31T00:00:00"/>
    <s v="Natural gas"/>
    <n v="0"/>
    <s v="British Thermal Units"/>
    <x v="0"/>
    <m/>
    <s v="2023-02-27, 16:27"/>
    <s v="2023-07-20, 00:40"/>
    <n v="2021"/>
    <s v="natural_gas__wtt"/>
    <s v="Natural Gas WTT"/>
    <s v="wtt"/>
    <b v="0"/>
    <s v="WTT- FUELS; WTT- GASEOUS FUELS; NATURAL GAS"/>
    <x v="1"/>
    <x v="1"/>
    <m/>
    <m/>
    <m/>
    <m/>
    <n v="1"/>
    <s v="CO2E"/>
    <n v="0"/>
    <n v="3.1350000000000003E-2"/>
    <s v="KWH (GROSS CV)"/>
    <n v="2.9306999999999998E-4"/>
    <n v="0"/>
    <s v="AR4"/>
    <s v="Defra"/>
    <s v="Defra (2021)"/>
    <n v="2021"/>
    <n v="2019"/>
    <n v="0"/>
    <n v="0"/>
    <x v="23"/>
    <s v="Office"/>
  </r>
  <r>
    <n v="4999"/>
    <s v="Top of Hierarchy &gt; South America &gt; Vantage_Bogotá"/>
    <x v="0"/>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0"/>
    <s v="CH4"/>
    <n v="0"/>
    <n v="2.5999999999999998E-4"/>
    <s v="LITRES"/>
    <n v="1"/>
    <n v="0"/>
    <s v="AR4"/>
    <s v="Defra"/>
    <s v="Defra (2021)"/>
    <n v="2021"/>
    <n v="2019"/>
    <n v="0"/>
    <n v="0"/>
    <x v="23"/>
    <s v="Office"/>
  </r>
  <r>
    <n v="4999"/>
    <s v="Top of Hierarchy &gt; South America &gt; Vantage_Bogotá"/>
    <x v="0"/>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0"/>
    <s v="CO2"/>
    <n v="0"/>
    <n v="2.6680700000000002"/>
    <s v="LITRES"/>
    <n v="1"/>
    <n v="0"/>
    <s v="AR4"/>
    <s v="Defra"/>
    <s v="Defra (2021)"/>
    <n v="2021"/>
    <n v="2019"/>
    <n v="0"/>
    <n v="0"/>
    <x v="23"/>
    <s v="Office"/>
  </r>
  <r>
    <n v="4999"/>
    <s v="Top of Hierarchy &gt; South America &gt; Vantage_Bogotá"/>
    <x v="0"/>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0"/>
    <s v="CO2E"/>
    <n v="0"/>
    <n v="2.70553"/>
    <s v="LITRES"/>
    <n v="1"/>
    <n v="0"/>
    <s v="AR4"/>
    <s v="Defra"/>
    <s v="Defra (2021)"/>
    <n v="2021"/>
    <n v="2019"/>
    <n v="0"/>
    <n v="0"/>
    <x v="23"/>
    <s v="Office"/>
  </r>
  <r>
    <n v="4999"/>
    <s v="Top of Hierarchy &gt; South America &gt; Vantage_Bogotá"/>
    <x v="0"/>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0"/>
    <s v="N2O"/>
    <n v="0"/>
    <n v="3.7199999999999997E-2"/>
    <s v="LITRES"/>
    <n v="1"/>
    <n v="0"/>
    <s v="AR4"/>
    <s v="Defra"/>
    <s v="Defra (2021)"/>
    <n v="2021"/>
    <n v="2019"/>
    <n v="0"/>
    <n v="0"/>
    <x v="23"/>
    <s v="Office"/>
  </r>
  <r>
    <n v="4999"/>
    <s v="Top of Hierarchy &gt; South America &gt; Vantage_Bogotá"/>
    <x v="0"/>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1"/>
    <s v="CH4"/>
    <n v="0"/>
    <n v="2.5999999999999998E-4"/>
    <s v="LITRES"/>
    <n v="1"/>
    <n v="0"/>
    <s v="AR4"/>
    <s v="Defra"/>
    <s v="Defra (2021)"/>
    <n v="2021"/>
    <n v="2019"/>
    <n v="0"/>
    <n v="0"/>
    <x v="23"/>
    <s v="Office"/>
  </r>
  <r>
    <n v="4999"/>
    <s v="Top of Hierarchy &gt; South America &gt; Vantage_Bogotá"/>
    <x v="0"/>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1"/>
    <s v="CO2"/>
    <n v="0"/>
    <n v="2.6680700000000002"/>
    <s v="LITRES"/>
    <n v="1"/>
    <n v="0"/>
    <s v="AR4"/>
    <s v="Defra"/>
    <s v="Defra (2021)"/>
    <n v="2021"/>
    <n v="2019"/>
    <n v="0"/>
    <n v="0"/>
    <x v="23"/>
    <s v="Office"/>
  </r>
  <r>
    <n v="4999"/>
    <s v="Top of Hierarchy &gt; South America &gt; Vantage_Bogotá"/>
    <x v="0"/>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1"/>
    <s v="CO2E"/>
    <n v="0"/>
    <n v="2.70553"/>
    <s v="LITRES"/>
    <n v="1"/>
    <n v="0"/>
    <s v="AR4"/>
    <s v="Defra"/>
    <s v="Defra (2021)"/>
    <n v="2021"/>
    <n v="2019"/>
    <n v="0"/>
    <n v="0"/>
    <x v="23"/>
    <s v="Office"/>
  </r>
  <r>
    <n v="4999"/>
    <s v="Top of Hierarchy &gt; South America &gt; Vantage_Bogotá"/>
    <x v="0"/>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1"/>
    <s v="N2O"/>
    <n v="0"/>
    <n v="3.7199999999999997E-2"/>
    <s v="LITRES"/>
    <n v="1"/>
    <n v="0"/>
    <s v="AR4"/>
    <s v="Defra"/>
    <s v="Defra (2021)"/>
    <n v="2021"/>
    <n v="2019"/>
    <n v="0"/>
    <n v="0"/>
    <x v="23"/>
    <s v="Office"/>
  </r>
  <r>
    <n v="4999"/>
    <s v="Top of Hierarchy &gt; South America &gt; Vantage_Bogotá"/>
    <x v="0"/>
    <x v="1"/>
    <d v="2021-01-01T00:00:00"/>
    <d v="2021-12-31T00:00:00"/>
    <x v="1"/>
    <d v="2021-01-01T00:00:00"/>
    <d v="2021-12-31T00:00:00"/>
    <s v="Diesel (100% mineral diesel)"/>
    <n v="0"/>
    <s v="litres"/>
    <x v="0"/>
    <m/>
    <s v="2023-02-27, 16:27"/>
    <s v="2023-07-20, 00:40"/>
    <n v="2021"/>
    <s v="diesel_100p_mineral_diesel__wtt"/>
    <s v="Diesel (100% Mineral Diesel) WTT"/>
    <s v="wtt"/>
    <b v="0"/>
    <s v="WTT- FUELS; WTT- LIQUID FUELS; DIESEL (100% MINERAL DIESEL)"/>
    <x v="1"/>
    <x v="1"/>
    <m/>
    <m/>
    <m/>
    <m/>
    <n v="0"/>
    <s v="CO2E"/>
    <n v="0"/>
    <n v="0.62873999999999997"/>
    <s v="LITRES"/>
    <n v="1"/>
    <n v="0"/>
    <s v="AR4"/>
    <s v="Defra"/>
    <s v="Defra (2021)"/>
    <n v="2021"/>
    <n v="2019"/>
    <n v="0"/>
    <n v="0"/>
    <x v="23"/>
    <s v="Office"/>
  </r>
  <r>
    <n v="4999"/>
    <s v="Top of Hierarchy &gt; South America &gt; Vantage_Bogotá"/>
    <x v="0"/>
    <x v="1"/>
    <d v="2021-01-01T00:00:00"/>
    <d v="2021-12-31T00:00:00"/>
    <x v="1"/>
    <d v="2021-01-01T00:00:00"/>
    <d v="2021-12-31T00:00:00"/>
    <s v="Diesel (100% mineral diesel)"/>
    <n v="0"/>
    <s v="litres"/>
    <x v="0"/>
    <m/>
    <s v="2023-02-27, 16:27"/>
    <s v="2023-07-20, 00:40"/>
    <n v="2021"/>
    <s v="diesel_100p_mineral_diesel__wtt"/>
    <s v="Diesel (100% Mineral Diesel) WTT"/>
    <s v="wtt"/>
    <b v="0"/>
    <s v="WTT- FUELS; WTT- LIQUID FUELS; DIESEL (100% MINERAL DIESEL)"/>
    <x v="1"/>
    <x v="1"/>
    <m/>
    <m/>
    <m/>
    <m/>
    <n v="1"/>
    <s v="CO2E"/>
    <n v="0"/>
    <n v="0.62873999999999997"/>
    <s v="LITRES"/>
    <n v="1"/>
    <n v="0"/>
    <s v="AR4"/>
    <s v="Defra"/>
    <s v="Defra (2021)"/>
    <n v="2021"/>
    <n v="2019"/>
    <n v="0"/>
    <n v="0"/>
    <x v="23"/>
    <s v="Office"/>
  </r>
  <r>
    <n v="5027"/>
    <s v="Top of Hierarchy &gt; South America &gt; Vantage_Bogotá"/>
    <x v="0"/>
    <x v="1"/>
    <d v="2021-01-01T00:00:00"/>
    <d v="2021-12-31T00:00:00"/>
    <x v="4"/>
    <d v="2021-01-01T00:00:00"/>
    <d v="2021-12-31T00:00:00"/>
    <s v="HFC-134a"/>
    <n v="0.7"/>
    <s v="kilograms"/>
    <x v="0"/>
    <m/>
    <s v="2023-02-27, 16:27"/>
    <s v="2023-07-20, 00:40"/>
    <n v="2021"/>
    <s v="hfc-134a"/>
    <s v="HFC-134A"/>
    <s v="model"/>
    <b v="0"/>
    <s v="REFRIGERANT: R-134A"/>
    <x v="2"/>
    <x v="0"/>
    <m/>
    <m/>
    <m/>
    <m/>
    <n v="0"/>
    <s v="CO2E"/>
    <n v="1001"/>
    <n v="1430"/>
    <s v="KG"/>
    <n v="1"/>
    <n v="0.7"/>
    <s v="AR4"/>
    <s v="IPCC"/>
    <s v="IPCC (2021)"/>
    <n v="2021"/>
    <n v="2007"/>
    <n v="1.0009999999999999"/>
    <n v="0"/>
    <x v="23"/>
    <s v="Office"/>
  </r>
  <r>
    <n v="5027"/>
    <s v="Top of Hierarchy &gt; South America &gt; Vantage_Bogotá"/>
    <x v="0"/>
    <x v="1"/>
    <d v="2021-01-01T00:00:00"/>
    <d v="2021-12-31T00:00:00"/>
    <x v="4"/>
    <d v="2021-01-01T00:00:00"/>
    <d v="2021-12-31T00:00:00"/>
    <s v="HFC-134a"/>
    <n v="0.7"/>
    <s v="kilograms"/>
    <x v="0"/>
    <m/>
    <s v="2023-02-27, 16:27"/>
    <s v="2023-07-20, 00:40"/>
    <n v="2021"/>
    <s v="hfc-134a"/>
    <s v="HFC-134A"/>
    <s v="model"/>
    <b v="0"/>
    <s v="REFRIGERANT: R-134A"/>
    <x v="2"/>
    <x v="0"/>
    <m/>
    <m/>
    <m/>
    <m/>
    <n v="1"/>
    <s v="CO2E"/>
    <n v="1001"/>
    <n v="1430"/>
    <s v="KG"/>
    <n v="1"/>
    <n v="0.7"/>
    <s v="AR4"/>
    <s v="IPCC"/>
    <s v="IPCC (2021)"/>
    <n v="2021"/>
    <n v="2007"/>
    <n v="0"/>
    <n v="1.0009999999999999"/>
    <x v="23"/>
    <s v="Office"/>
  </r>
  <r>
    <n v="1590447"/>
    <s v="Top of Hierarchy &gt; South America &gt; Vantage_Buenos Aires"/>
    <x v="5"/>
    <x v="0"/>
    <d v="2022-01-01T00:00:00"/>
    <d v="2022-12-31T00:00:00"/>
    <x v="0"/>
    <d v="2022-01-01T00:00:00"/>
    <d v="2022-12-31T00:00:00"/>
    <s v="Electricity (non-renewable)"/>
    <n v="7517.7092599999996"/>
    <s v="Kilowatt hours"/>
    <x v="0"/>
    <s v="Estimated from square footage (CBECS 2012)"/>
    <s v="2023-07-25, 17:50"/>
    <s v="2023-07-25, 17:50"/>
    <n v="2022"/>
    <s v="electricity"/>
    <s v="Electricity"/>
    <s v="model"/>
    <b v="0"/>
    <s v="ELECTRICITY; ARGENTINA"/>
    <x v="0"/>
    <x v="0"/>
    <s v="Americas"/>
    <s v="Latin America and the Caribbean"/>
    <s v="AR"/>
    <m/>
    <n v="0"/>
    <s v="CH4"/>
    <n v="3.0070837039999998"/>
    <s v="RESTRICTED"/>
    <s v="KWH"/>
    <n v="1"/>
    <n v="7517.7092599999996"/>
    <s v="AR4"/>
    <s v="IEA"/>
    <s v="IEA (2022)"/>
    <n v="2022"/>
    <n v="2020"/>
    <n v="0"/>
    <n v="0"/>
    <x v="24"/>
    <s v="Factory"/>
  </r>
  <r>
    <n v="1590447"/>
    <s v="Top of Hierarchy &gt; South America &gt; Vantage_Buenos Aires"/>
    <x v="5"/>
    <x v="0"/>
    <d v="2022-01-01T00:00:00"/>
    <d v="2022-12-31T00:00:00"/>
    <x v="0"/>
    <d v="2022-01-01T00:00:00"/>
    <d v="2022-12-31T00:00:00"/>
    <s v="Electricity (non-renewable)"/>
    <n v="7517.7092599999996"/>
    <s v="Kilowatt hours"/>
    <x v="0"/>
    <s v="Estimated from square footage (CBECS 2012)"/>
    <s v="2023-07-25, 17:50"/>
    <s v="2023-07-25, 17:50"/>
    <n v="2022"/>
    <s v="electricity"/>
    <s v="Electricity"/>
    <s v="model"/>
    <b v="0"/>
    <s v="ELECTRICITY; ARGENTINA"/>
    <x v="0"/>
    <x v="0"/>
    <s v="Americas"/>
    <s v="Latin America and the Caribbean"/>
    <s v="AR"/>
    <m/>
    <n v="0"/>
    <s v="CO2"/>
    <n v="2049.3275440000002"/>
    <s v="RESTRICTED"/>
    <s v="KWH"/>
    <n v="1"/>
    <n v="7517.7092599999996"/>
    <s v="AR4"/>
    <s v="IEA"/>
    <s v="IEA (2022)"/>
    <n v="2022"/>
    <n v="2020"/>
    <n v="0"/>
    <n v="0"/>
    <x v="24"/>
    <s v="Factory"/>
  </r>
  <r>
    <n v="1590447"/>
    <s v="Top of Hierarchy &gt; South America &gt; Vantage_Buenos Aires"/>
    <x v="5"/>
    <x v="0"/>
    <d v="2022-01-01T00:00:00"/>
    <d v="2022-12-31T00:00:00"/>
    <x v="0"/>
    <d v="2022-01-01T00:00:00"/>
    <d v="2022-12-31T00:00:00"/>
    <s v="Electricity (non-renewable)"/>
    <n v="7517.7092599999996"/>
    <s v="Kilowatt hours"/>
    <x v="0"/>
    <s v="Estimated from square footage (CBECS 2012)"/>
    <s v="2023-07-25, 17:50"/>
    <s v="2023-07-25, 17:50"/>
    <n v="2022"/>
    <s v="electricity"/>
    <s v="Electricity"/>
    <s v="model"/>
    <b v="0"/>
    <s v="ELECTRICITY; ARGENTINA"/>
    <x v="0"/>
    <x v="0"/>
    <s v="Americas"/>
    <s v="Latin America and the Caribbean"/>
    <s v="AR"/>
    <m/>
    <n v="0"/>
    <s v="CO2E"/>
    <n v="2056.8452539999998"/>
    <s v="RESTRICTED"/>
    <s v="KWH"/>
    <n v="1"/>
    <n v="7517.7092599999996"/>
    <s v="AR4"/>
    <s v="IEA"/>
    <s v="IEA (2022)"/>
    <n v="2022"/>
    <n v="2020"/>
    <n v="2.0568452539999997"/>
    <n v="0"/>
    <x v="24"/>
    <s v="Factory"/>
  </r>
  <r>
    <n v="1590447"/>
    <s v="Top of Hierarchy &gt; South America &gt; Vantage_Buenos Aires"/>
    <x v="5"/>
    <x v="0"/>
    <d v="2022-01-01T00:00:00"/>
    <d v="2022-12-31T00:00:00"/>
    <x v="0"/>
    <d v="2022-01-01T00:00:00"/>
    <d v="2022-12-31T00:00:00"/>
    <s v="Electricity (non-renewable)"/>
    <n v="7517.7092599999996"/>
    <s v="Kilowatt hours"/>
    <x v="0"/>
    <s v="Estimated from square footage (CBECS 2012)"/>
    <s v="2023-07-25, 17:50"/>
    <s v="2023-07-25, 17:50"/>
    <n v="2022"/>
    <s v="electricity"/>
    <s v="Electricity"/>
    <s v="model"/>
    <b v="0"/>
    <s v="ELECTRICITY; ARGENTINA"/>
    <x v="0"/>
    <x v="0"/>
    <s v="Americas"/>
    <s v="Latin America and the Caribbean"/>
    <s v="AR"/>
    <m/>
    <n v="0"/>
    <s v="N2O"/>
    <n v="4.5106255559999999"/>
    <s v="RESTRICTED"/>
    <s v="KWH"/>
    <n v="1"/>
    <n v="7517.7092599999996"/>
    <s v="AR4"/>
    <s v="IEA"/>
    <s v="IEA (2022)"/>
    <n v="2022"/>
    <n v="2020"/>
    <n v="0"/>
    <n v="0"/>
    <x v="24"/>
    <s v="Factory"/>
  </r>
  <r>
    <n v="1590447"/>
    <s v="Top of Hierarchy &gt; South America &gt; Vantage_Buenos Aires"/>
    <x v="5"/>
    <x v="0"/>
    <d v="2022-01-01T00:00:00"/>
    <d v="2022-12-31T00:00:00"/>
    <x v="0"/>
    <d v="2022-01-01T00:00:00"/>
    <d v="2022-12-31T00:00:00"/>
    <s v="Electricity (non-renewable)"/>
    <n v="7517.7092599999996"/>
    <s v="Kilowatt hours"/>
    <x v="0"/>
    <s v="Estimated from square footage (CBECS 2012)"/>
    <s v="2023-07-25, 17:50"/>
    <s v="2023-07-25, 17:50"/>
    <n v="2022"/>
    <s v="electricity"/>
    <s v="Electricity"/>
    <s v="model"/>
    <b v="0"/>
    <s v="ELECTRICITY; ARGENTINA"/>
    <x v="0"/>
    <x v="0"/>
    <s v="Americas"/>
    <s v="Latin America and the Caribbean"/>
    <s v="AR"/>
    <m/>
    <n v="1"/>
    <s v="CH4"/>
    <n v="3.0070837039999998"/>
    <s v="RESTRICTED"/>
    <s v="KWH"/>
    <n v="1"/>
    <n v="7517.7092599999996"/>
    <s v="AR4"/>
    <s v="IEA"/>
    <s v="IEA (2022)"/>
    <n v="2022"/>
    <n v="2020"/>
    <n v="0"/>
    <n v="0"/>
    <x v="24"/>
    <s v="Factory"/>
  </r>
  <r>
    <n v="1590447"/>
    <s v="Top of Hierarchy &gt; South America &gt; Vantage_Buenos Aires"/>
    <x v="5"/>
    <x v="0"/>
    <d v="2022-01-01T00:00:00"/>
    <d v="2022-12-31T00:00:00"/>
    <x v="0"/>
    <d v="2022-01-01T00:00:00"/>
    <d v="2022-12-31T00:00:00"/>
    <s v="Electricity (non-renewable)"/>
    <n v="7517.7092599999996"/>
    <s v="Kilowatt hours"/>
    <x v="0"/>
    <s v="Estimated from square footage (CBECS 2012)"/>
    <s v="2023-07-25, 17:50"/>
    <s v="2023-07-25, 17:50"/>
    <n v="2022"/>
    <s v="electricity"/>
    <s v="Electricity"/>
    <s v="model"/>
    <b v="0"/>
    <s v="ELECTRICITY; ARGENTINA"/>
    <x v="0"/>
    <x v="0"/>
    <s v="Americas"/>
    <s v="Latin America and the Caribbean"/>
    <s v="AR"/>
    <m/>
    <n v="1"/>
    <s v="CO2"/>
    <n v="2049.3275440000002"/>
    <s v="RESTRICTED"/>
    <s v="KWH"/>
    <n v="1"/>
    <n v="7517.7092599999996"/>
    <s v="AR4"/>
    <s v="IEA"/>
    <s v="IEA (2022)"/>
    <n v="2022"/>
    <n v="2020"/>
    <n v="0"/>
    <n v="0"/>
    <x v="24"/>
    <s v="Factory"/>
  </r>
  <r>
    <n v="1590447"/>
    <s v="Top of Hierarchy &gt; South America &gt; Vantage_Buenos Aires"/>
    <x v="5"/>
    <x v="0"/>
    <d v="2022-01-01T00:00:00"/>
    <d v="2022-12-31T00:00:00"/>
    <x v="0"/>
    <d v="2022-01-01T00:00:00"/>
    <d v="2022-12-31T00:00:00"/>
    <s v="Electricity (non-renewable)"/>
    <n v="7517.7092599999996"/>
    <s v="Kilowatt hours"/>
    <x v="0"/>
    <s v="Estimated from square footage (CBECS 2012)"/>
    <s v="2023-07-25, 17:50"/>
    <s v="2023-07-25, 17:50"/>
    <n v="2022"/>
    <s v="electricity"/>
    <s v="Electricity"/>
    <s v="model"/>
    <b v="0"/>
    <s v="ELECTRICITY; ARGENTINA"/>
    <x v="0"/>
    <x v="0"/>
    <s v="Americas"/>
    <s v="Latin America and the Caribbean"/>
    <s v="AR"/>
    <m/>
    <n v="1"/>
    <s v="CO2E"/>
    <n v="2056.8452539999998"/>
    <s v="RESTRICTED"/>
    <s v="KWH"/>
    <n v="1"/>
    <n v="7517.7092599999996"/>
    <s v="AR4"/>
    <s v="IEA"/>
    <s v="IEA (2022)"/>
    <n v="2022"/>
    <n v="2020"/>
    <n v="0"/>
    <n v="2.0568452539999997"/>
    <x v="24"/>
    <s v="Factory"/>
  </r>
  <r>
    <n v="1590447"/>
    <s v="Top of Hierarchy &gt; South America &gt; Vantage_Buenos Aires"/>
    <x v="5"/>
    <x v="0"/>
    <d v="2022-01-01T00:00:00"/>
    <d v="2022-12-31T00:00:00"/>
    <x v="0"/>
    <d v="2022-01-01T00:00:00"/>
    <d v="2022-12-31T00:00:00"/>
    <s v="Electricity (non-renewable)"/>
    <n v="7517.7092599999996"/>
    <s v="Kilowatt hours"/>
    <x v="0"/>
    <s v="Estimated from square footage (CBECS 2012)"/>
    <s v="2023-07-25, 17:50"/>
    <s v="2023-07-25, 17:50"/>
    <n v="2022"/>
    <s v="electricity"/>
    <s v="Electricity"/>
    <s v="model"/>
    <b v="0"/>
    <s v="ELECTRICITY; ARGENTINA"/>
    <x v="0"/>
    <x v="0"/>
    <s v="Americas"/>
    <s v="Latin America and the Caribbean"/>
    <s v="AR"/>
    <m/>
    <n v="1"/>
    <s v="N2O"/>
    <n v="4.5106255559999999"/>
    <s v="RESTRICTED"/>
    <s v="KWH"/>
    <n v="1"/>
    <n v="7517.7092599999996"/>
    <s v="AR4"/>
    <s v="IEA"/>
    <s v="IEA (2022)"/>
    <n v="2022"/>
    <n v="2020"/>
    <n v="0"/>
    <n v="0"/>
    <x v="24"/>
    <s v="Factory"/>
  </r>
  <r>
    <n v="1590447"/>
    <s v="Top of Hierarchy &gt; South America &gt; Vantage_Buenos Aires"/>
    <x v="5"/>
    <x v="0"/>
    <d v="2022-01-01T00:00:00"/>
    <d v="2022-12-31T00:00:00"/>
    <x v="0"/>
    <d v="2022-01-01T00:00:00"/>
    <d v="2022-12-31T00:00:00"/>
    <s v="Electricity (non-renewable)"/>
    <n v="7517.7092599999996"/>
    <s v="Kilowatt hours"/>
    <x v="0"/>
    <s v="Estimated from square footage (CBECS 2012)"/>
    <s v="2023-07-25, 17:50"/>
    <s v="2023-07-25, 17:50"/>
    <n v="2022"/>
    <s v="electricity__t+d__wtt"/>
    <s v="Electricity T&amp;D WTT"/>
    <s v="t+d_wtt"/>
    <b v="0"/>
    <s v="ELECTRICITY T&amp;D WTT; ARGENTINA"/>
    <x v="1"/>
    <x v="1"/>
    <s v="Americas"/>
    <s v="Latin America and the Caribbean"/>
    <s v="AR"/>
    <m/>
    <n v="0"/>
    <s v="CO2E"/>
    <n v="60.993555000000001"/>
    <n v="8.1133170000000001E-3"/>
    <s v="KWH"/>
    <n v="1"/>
    <n v="7517.7092599999996"/>
    <s v="AR4"/>
    <s v="Anthesis"/>
    <s v="Anthesis (2022)"/>
    <n v="2022"/>
    <n v="2020"/>
    <n v="6.0993554999999998E-2"/>
    <n v="0"/>
    <x v="24"/>
    <s v="Factory"/>
  </r>
  <r>
    <n v="1590447"/>
    <s v="Top of Hierarchy &gt; South America &gt; Vantage_Buenos Aires"/>
    <x v="5"/>
    <x v="0"/>
    <d v="2022-01-01T00:00:00"/>
    <d v="2022-12-31T00:00:00"/>
    <x v="0"/>
    <d v="2022-01-01T00:00:00"/>
    <d v="2022-12-31T00:00:00"/>
    <s v="Electricity (non-renewable)"/>
    <n v="7517.7092599999996"/>
    <s v="Kilowatt hours"/>
    <x v="0"/>
    <s v="Estimated from square footage (CBECS 2012)"/>
    <s v="2023-07-25, 17:50"/>
    <s v="2023-07-25, 17:50"/>
    <n v="2022"/>
    <s v="electricity__t+d__wtt"/>
    <s v="Electricity T&amp;D WTT"/>
    <s v="t+d_wtt"/>
    <b v="0"/>
    <s v="ELECTRICITY T&amp;D WTT; ARGENTINA"/>
    <x v="1"/>
    <x v="1"/>
    <s v="Americas"/>
    <s v="Latin America and the Caribbean"/>
    <s v="AR"/>
    <m/>
    <n v="1"/>
    <s v="CO2E"/>
    <n v="60.993555000000001"/>
    <n v="8.1133170000000001E-3"/>
    <s v="KWH"/>
    <n v="1"/>
    <n v="7517.7092599999996"/>
    <s v="AR4"/>
    <s v="Anthesis"/>
    <s v="Anthesis (2022)"/>
    <n v="2022"/>
    <n v="2020"/>
    <n v="0"/>
    <n v="6.0993554999999998E-2"/>
    <x v="24"/>
    <s v="Factory"/>
  </r>
  <r>
    <n v="1590447"/>
    <s v="Top of Hierarchy &gt; South America &gt; Vantage_Buenos Aires"/>
    <x v="5"/>
    <x v="0"/>
    <d v="2022-01-01T00:00:00"/>
    <d v="2022-12-31T00:00:00"/>
    <x v="0"/>
    <d v="2022-01-01T00:00:00"/>
    <d v="2022-12-31T00:00:00"/>
    <s v="Electricity (non-renewable)"/>
    <n v="7517.7092599999996"/>
    <s v="Kilowatt hours"/>
    <x v="0"/>
    <s v="Estimated from square footage (CBECS 2012)"/>
    <s v="2023-07-25, 17:50"/>
    <s v="2023-07-25, 17:50"/>
    <n v="2022"/>
    <s v="electricity__wtt"/>
    <s v="Electricity WTT"/>
    <s v="wtt"/>
    <b v="0"/>
    <s v="ELECTRICITY WTT; ARGENTINA"/>
    <x v="1"/>
    <x v="1"/>
    <s v="Americas"/>
    <s v="Latin America and the Caribbean"/>
    <s v="AR"/>
    <m/>
    <n v="0"/>
    <s v="CO2E"/>
    <n v="435.71375060000003"/>
    <n v="5.7958313999999997E-2"/>
    <s v="KWH"/>
    <n v="1"/>
    <n v="7517.7092599999996"/>
    <s v="AR4"/>
    <s v="Anthesis"/>
    <s v="Anthesis (2022)"/>
    <n v="2022"/>
    <n v="2020"/>
    <n v="0.4357137506"/>
    <n v="0"/>
    <x v="24"/>
    <s v="Factory"/>
  </r>
  <r>
    <n v="1590447"/>
    <s v="Top of Hierarchy &gt; South America &gt; Vantage_Buenos Aires"/>
    <x v="5"/>
    <x v="0"/>
    <d v="2022-01-01T00:00:00"/>
    <d v="2022-12-31T00:00:00"/>
    <x v="0"/>
    <d v="2022-01-01T00:00:00"/>
    <d v="2022-12-31T00:00:00"/>
    <s v="Electricity (non-renewable)"/>
    <n v="7517.7092599999996"/>
    <s v="Kilowatt hours"/>
    <x v="0"/>
    <s v="Estimated from square footage (CBECS 2012)"/>
    <s v="2023-07-25, 17:50"/>
    <s v="2023-07-25, 17:50"/>
    <n v="2022"/>
    <s v="electricity__wtt"/>
    <s v="Electricity WTT"/>
    <s v="wtt"/>
    <b v="0"/>
    <s v="ELECTRICITY WTT; ARGENTINA"/>
    <x v="1"/>
    <x v="1"/>
    <s v="Americas"/>
    <s v="Latin America and the Caribbean"/>
    <s v="AR"/>
    <m/>
    <n v="1"/>
    <s v="CO2E"/>
    <n v="435.71375060000003"/>
    <n v="5.7958313999999997E-2"/>
    <s v="KWH"/>
    <n v="1"/>
    <n v="7517.7092599999996"/>
    <s v="AR4"/>
    <s v="Anthesis"/>
    <s v="Anthesis (2022)"/>
    <n v="2022"/>
    <n v="2020"/>
    <n v="0"/>
    <n v="0.4357137506"/>
    <x v="24"/>
    <s v="Factory"/>
  </r>
  <r>
    <n v="1590447"/>
    <s v="Top of Hierarchy &gt; South America &gt; Vantage_Buenos Aires"/>
    <x v="5"/>
    <x v="0"/>
    <d v="2022-01-01T00:00:00"/>
    <d v="2022-12-31T00:00:00"/>
    <x v="0"/>
    <d v="2022-01-01T00:00:00"/>
    <d v="2022-12-31T00:00:00"/>
    <s v="Electricity (non-renewable)"/>
    <n v="7517.7092599999996"/>
    <s v="Kilowatt hours"/>
    <x v="0"/>
    <s v="Estimated from square footage (CBECS 2012)"/>
    <s v="2023-07-25, 17:50"/>
    <s v="2023-07-25, 17:50"/>
    <n v="2022"/>
    <s v="electricity__t+d"/>
    <s v="Electricity T&amp;D"/>
    <s v="t+d"/>
    <b v="0"/>
    <s v="ELECTRICITY; TRANSMISSION AND DISTRIBUTION; ARGENTINA"/>
    <x v="1"/>
    <x v="1"/>
    <s v="Americas"/>
    <s v="Latin America and the Caribbean"/>
    <s v="AR"/>
    <m/>
    <n v="0"/>
    <s v="CO2E"/>
    <n v="287.9282647"/>
    <s v="RESTRICTED"/>
    <s v="KWH"/>
    <n v="1"/>
    <n v="7517.7092599999996"/>
    <s v="AR4"/>
    <s v="IEA"/>
    <s v="IEA (2022)"/>
    <n v="2022"/>
    <n v="2020"/>
    <n v="0.28792826469999999"/>
    <n v="0"/>
    <x v="24"/>
    <s v="Factory"/>
  </r>
  <r>
    <n v="1590447"/>
    <s v="Top of Hierarchy &gt; South America &gt; Vantage_Buenos Aires"/>
    <x v="5"/>
    <x v="0"/>
    <d v="2022-01-01T00:00:00"/>
    <d v="2022-12-31T00:00:00"/>
    <x v="0"/>
    <d v="2022-01-01T00:00:00"/>
    <d v="2022-12-31T00:00:00"/>
    <s v="Electricity (non-renewable)"/>
    <n v="7517.7092599999996"/>
    <s v="Kilowatt hours"/>
    <x v="0"/>
    <s v="Estimated from square footage (CBECS 2012)"/>
    <s v="2023-07-25, 17:50"/>
    <s v="2023-07-25, 17:50"/>
    <n v="2022"/>
    <s v="electricity__t+d"/>
    <s v="Electricity T&amp;D"/>
    <s v="t+d"/>
    <b v="0"/>
    <s v="ELECTRICITY; TRANSMISSION AND DISTRIBUTION; ARGENTINA"/>
    <x v="1"/>
    <x v="1"/>
    <s v="Americas"/>
    <s v="Latin America and the Caribbean"/>
    <s v="AR"/>
    <m/>
    <n v="1"/>
    <s v="CO2E"/>
    <n v="287.9282647"/>
    <s v="RESTRICTED"/>
    <s v="KWH"/>
    <n v="1"/>
    <n v="7517.7092599999996"/>
    <s v="AR4"/>
    <s v="IEA"/>
    <s v="IEA (2022)"/>
    <n v="2022"/>
    <n v="2020"/>
    <n v="0"/>
    <n v="0.28792826469999999"/>
    <x v="24"/>
    <s v="Factory"/>
  </r>
  <r>
    <n v="237680"/>
    <s v="Top of Hierarchy &gt; South America &gt; Vantage_Buenos Aires"/>
    <x v="5"/>
    <x v="0"/>
    <d v="2022-01-01T00:00:00"/>
    <d v="2022-12-31T00:00:00"/>
    <x v="3"/>
    <d v="2022-01-01T00:00:00"/>
    <d v="2022-12-31T00:00:00"/>
    <s v="Natural gas"/>
    <n v="0"/>
    <s v="British Thermal Units"/>
    <x v="1"/>
    <m/>
    <s v="2023-04-20, 19:34"/>
    <s v="2023-07-20, 00:40"/>
    <n v="2022"/>
    <s v="natural_gas"/>
    <s v="Natural Gas"/>
    <s v="model"/>
    <b v="0"/>
    <s v="NATURAL GAS, NATURAL GAS"/>
    <x v="2"/>
    <x v="0"/>
    <s v="Americas"/>
    <m/>
    <m/>
    <m/>
    <n v="0"/>
    <s v="CH4"/>
    <n v="0"/>
    <n v="2.5000000000000001E-2"/>
    <s v="MMBTU"/>
    <n v="9.9999999999999995E-7"/>
    <n v="0"/>
    <s v="AR4"/>
    <s v="USEPA"/>
    <s v="USEPA Emission Factors Hub (Last Modified: March 2020)"/>
    <n v="2022"/>
    <n v="2021"/>
    <n v="0"/>
    <n v="0"/>
    <x v="24"/>
    <s v="Factory"/>
  </r>
  <r>
    <n v="237680"/>
    <s v="Top of Hierarchy &gt; South America &gt; Vantage_Buenos Aires"/>
    <x v="5"/>
    <x v="0"/>
    <d v="2022-01-01T00:00:00"/>
    <d v="2022-12-31T00:00:00"/>
    <x v="3"/>
    <d v="2022-01-01T00:00:00"/>
    <d v="2022-12-31T00:00:00"/>
    <s v="Natural gas"/>
    <n v="0"/>
    <s v="British Thermal Units"/>
    <x v="1"/>
    <m/>
    <s v="2023-04-20, 19:34"/>
    <s v="2023-07-20, 00:40"/>
    <n v="2022"/>
    <s v="natural_gas"/>
    <s v="Natural Gas"/>
    <s v="model"/>
    <b v="0"/>
    <s v="NATURAL GAS, NATURAL GAS"/>
    <x v="2"/>
    <x v="0"/>
    <s v="Americas"/>
    <m/>
    <m/>
    <m/>
    <n v="0"/>
    <s v="CO2"/>
    <n v="0"/>
    <n v="53.06"/>
    <s v="MMBTU"/>
    <n v="9.9999999999999995E-7"/>
    <n v="0"/>
    <s v="AR4"/>
    <s v="USEPA"/>
    <s v="USEPA (2022)"/>
    <n v="2022"/>
    <n v="2022"/>
    <n v="0"/>
    <n v="0"/>
    <x v="24"/>
    <s v="Factory"/>
  </r>
  <r>
    <n v="237680"/>
    <s v="Top of Hierarchy &gt; South America &gt; Vantage_Buenos Aires"/>
    <x v="5"/>
    <x v="0"/>
    <d v="2022-01-01T00:00:00"/>
    <d v="2022-12-31T00:00:00"/>
    <x v="3"/>
    <d v="2022-01-01T00:00:00"/>
    <d v="2022-12-31T00:00:00"/>
    <s v="Natural gas"/>
    <n v="0"/>
    <s v="British Thermal Units"/>
    <x v="1"/>
    <m/>
    <s v="2023-04-20, 19:34"/>
    <s v="2023-07-20, 00:40"/>
    <n v="2022"/>
    <s v="natural_gas"/>
    <s v="Natural Gas"/>
    <s v="model"/>
    <b v="0"/>
    <s v="NATURAL GAS, NATURAL GAS"/>
    <x v="2"/>
    <x v="0"/>
    <s v="Americas"/>
    <m/>
    <m/>
    <m/>
    <n v="0"/>
    <s v="CO2E"/>
    <n v="0"/>
    <n v="53.114800000000002"/>
    <s v="MMBTU"/>
    <n v="9.9999999999999995E-7"/>
    <n v="0"/>
    <s v="AR4"/>
    <s v="USEPA"/>
    <s v="USEPA Emission Factors Hub (Last Modified: March 2020)"/>
    <n v="2022"/>
    <n v="2021"/>
    <n v="0"/>
    <n v="0"/>
    <x v="24"/>
    <s v="Factory"/>
  </r>
  <r>
    <n v="237680"/>
    <s v="Top of Hierarchy &gt; South America &gt; Vantage_Buenos Aires"/>
    <x v="5"/>
    <x v="0"/>
    <d v="2022-01-01T00:00:00"/>
    <d v="2022-12-31T00:00:00"/>
    <x v="3"/>
    <d v="2022-01-01T00:00:00"/>
    <d v="2022-12-31T00:00:00"/>
    <s v="Natural gas"/>
    <n v="0"/>
    <s v="British Thermal Units"/>
    <x v="1"/>
    <m/>
    <s v="2023-04-20, 19:34"/>
    <s v="2023-07-20, 00:40"/>
    <n v="2022"/>
    <s v="natural_gas"/>
    <s v="Natural Gas"/>
    <s v="model"/>
    <b v="0"/>
    <s v="NATURAL GAS, NATURAL GAS"/>
    <x v="2"/>
    <x v="0"/>
    <s v="Americas"/>
    <m/>
    <m/>
    <m/>
    <n v="0"/>
    <s v="N2O"/>
    <n v="0"/>
    <n v="2.98E-2"/>
    <s v="MMBTU"/>
    <n v="9.9999999999999995E-7"/>
    <n v="0"/>
    <s v="AR4"/>
    <s v="USEPA"/>
    <s v="USEPA (2022)"/>
    <n v="2022"/>
    <n v="2022"/>
    <n v="0"/>
    <n v="0"/>
    <x v="24"/>
    <s v="Factory"/>
  </r>
  <r>
    <n v="237680"/>
    <s v="Top of Hierarchy &gt; South America &gt; Vantage_Buenos Aires"/>
    <x v="5"/>
    <x v="0"/>
    <d v="2022-01-01T00:00:00"/>
    <d v="2022-12-31T00:00:00"/>
    <x v="3"/>
    <d v="2022-01-01T00:00:00"/>
    <d v="2022-12-31T00:00:00"/>
    <s v="Natural gas"/>
    <n v="0"/>
    <s v="British Thermal Units"/>
    <x v="1"/>
    <m/>
    <s v="2023-04-20, 19:34"/>
    <s v="2023-07-20, 00:40"/>
    <n v="2022"/>
    <s v="natural_gas"/>
    <s v="Natural Gas"/>
    <s v="model"/>
    <b v="0"/>
    <s v="NATURAL GAS, NATURAL GAS"/>
    <x v="2"/>
    <x v="0"/>
    <s v="Americas"/>
    <m/>
    <m/>
    <m/>
    <n v="1"/>
    <s v="CH4"/>
    <n v="0"/>
    <n v="2.5000000000000001E-2"/>
    <s v="MMBTU"/>
    <n v="9.9999999999999995E-7"/>
    <n v="0"/>
    <s v="AR4"/>
    <s v="USEPA"/>
    <s v="USEPA Emission Factors Hub (Last Modified: March 2020)"/>
    <n v="2022"/>
    <n v="2021"/>
    <n v="0"/>
    <n v="0"/>
    <x v="24"/>
    <s v="Factory"/>
  </r>
  <r>
    <n v="237680"/>
    <s v="Top of Hierarchy &gt; South America &gt; Vantage_Buenos Aires"/>
    <x v="5"/>
    <x v="0"/>
    <d v="2022-01-01T00:00:00"/>
    <d v="2022-12-31T00:00:00"/>
    <x v="3"/>
    <d v="2022-01-01T00:00:00"/>
    <d v="2022-12-31T00:00:00"/>
    <s v="Natural gas"/>
    <n v="0"/>
    <s v="British Thermal Units"/>
    <x v="1"/>
    <m/>
    <s v="2023-04-20, 19:34"/>
    <s v="2023-07-20, 00:40"/>
    <n v="2022"/>
    <s v="natural_gas"/>
    <s v="Natural Gas"/>
    <s v="model"/>
    <b v="0"/>
    <s v="NATURAL GAS, NATURAL GAS"/>
    <x v="2"/>
    <x v="0"/>
    <s v="Americas"/>
    <m/>
    <m/>
    <m/>
    <n v="1"/>
    <s v="CO2"/>
    <n v="0"/>
    <n v="53.06"/>
    <s v="MMBTU"/>
    <n v="9.9999999999999995E-7"/>
    <n v="0"/>
    <s v="AR4"/>
    <s v="USEPA"/>
    <s v="USEPA (2022)"/>
    <n v="2022"/>
    <n v="2022"/>
    <n v="0"/>
    <n v="0"/>
    <x v="24"/>
    <s v="Factory"/>
  </r>
  <r>
    <n v="237680"/>
    <s v="Top of Hierarchy &gt; South America &gt; Vantage_Buenos Aires"/>
    <x v="5"/>
    <x v="0"/>
    <d v="2022-01-01T00:00:00"/>
    <d v="2022-12-31T00:00:00"/>
    <x v="3"/>
    <d v="2022-01-01T00:00:00"/>
    <d v="2022-12-31T00:00:00"/>
    <s v="Natural gas"/>
    <n v="0"/>
    <s v="British Thermal Units"/>
    <x v="1"/>
    <m/>
    <s v="2023-04-20, 19:34"/>
    <s v="2023-07-20, 00:40"/>
    <n v="2022"/>
    <s v="natural_gas"/>
    <s v="Natural Gas"/>
    <s v="model"/>
    <b v="0"/>
    <s v="NATURAL GAS, NATURAL GAS"/>
    <x v="2"/>
    <x v="0"/>
    <s v="Americas"/>
    <m/>
    <m/>
    <m/>
    <n v="1"/>
    <s v="CO2E"/>
    <n v="0"/>
    <n v="53.114800000000002"/>
    <s v="MMBTU"/>
    <n v="9.9999999999999995E-7"/>
    <n v="0"/>
    <s v="AR4"/>
    <s v="USEPA"/>
    <s v="USEPA Emission Factors Hub (Last Modified: March 2020)"/>
    <n v="2022"/>
    <n v="2021"/>
    <n v="0"/>
    <n v="0"/>
    <x v="24"/>
    <s v="Factory"/>
  </r>
  <r>
    <n v="237680"/>
    <s v="Top of Hierarchy &gt; South America &gt; Vantage_Buenos Aires"/>
    <x v="5"/>
    <x v="0"/>
    <d v="2022-01-01T00:00:00"/>
    <d v="2022-12-31T00:00:00"/>
    <x v="3"/>
    <d v="2022-01-01T00:00:00"/>
    <d v="2022-12-31T00:00:00"/>
    <s v="Natural gas"/>
    <n v="0"/>
    <s v="British Thermal Units"/>
    <x v="1"/>
    <m/>
    <s v="2023-04-20, 19:34"/>
    <s v="2023-07-20, 00:40"/>
    <n v="2022"/>
    <s v="natural_gas"/>
    <s v="Natural Gas"/>
    <s v="model"/>
    <b v="0"/>
    <s v="NATURAL GAS, NATURAL GAS"/>
    <x v="2"/>
    <x v="0"/>
    <s v="Americas"/>
    <m/>
    <m/>
    <m/>
    <n v="1"/>
    <s v="N2O"/>
    <n v="0"/>
    <n v="2.98E-2"/>
    <s v="MMBTU"/>
    <n v="9.9999999999999995E-7"/>
    <n v="0"/>
    <s v="AR4"/>
    <s v="USEPA"/>
    <s v="USEPA (2022)"/>
    <n v="2022"/>
    <n v="2022"/>
    <n v="0"/>
    <n v="0"/>
    <x v="24"/>
    <s v="Factory"/>
  </r>
  <r>
    <n v="237680"/>
    <s v="Top of Hierarchy &gt; South America &gt; Vantage_Buenos Aires"/>
    <x v="5"/>
    <x v="0"/>
    <d v="2022-01-01T00:00:00"/>
    <d v="2022-12-31T00:00:00"/>
    <x v="3"/>
    <d v="2022-01-01T00:00:00"/>
    <d v="2022-12-31T00:00:00"/>
    <s v="Natural gas"/>
    <n v="0"/>
    <s v="British Thermal Units"/>
    <x v="1"/>
    <m/>
    <s v="2023-04-20, 19:34"/>
    <s v="2023-07-20, 00:40"/>
    <n v="2022"/>
    <s v="natural_gas__wtt"/>
    <s v="Natural Gas WTT"/>
    <s v="wtt"/>
    <b v="0"/>
    <s v="WTT- FUELS; GASEOUS FUELS; NATURAL GAS"/>
    <x v="1"/>
    <x v="1"/>
    <m/>
    <m/>
    <m/>
    <m/>
    <n v="0"/>
    <s v="CO2E"/>
    <n v="0"/>
    <n v="3.1099999999999999E-2"/>
    <s v="KWH (GROSS CV)"/>
    <n v="2.9306999999999998E-4"/>
    <n v="0"/>
    <s v="AR4"/>
    <s v="Defra"/>
    <s v="Defra (2022)"/>
    <n v="2022"/>
    <n v="2020"/>
    <n v="0"/>
    <n v="0"/>
    <x v="24"/>
    <s v="Factory"/>
  </r>
  <r>
    <n v="237680"/>
    <s v="Top of Hierarchy &gt; South America &gt; Vantage_Buenos Aires"/>
    <x v="5"/>
    <x v="0"/>
    <d v="2022-01-01T00:00:00"/>
    <d v="2022-12-31T00:00:00"/>
    <x v="3"/>
    <d v="2022-01-01T00:00:00"/>
    <d v="2022-12-31T00:00:00"/>
    <s v="Natural gas"/>
    <n v="0"/>
    <s v="British Thermal Units"/>
    <x v="1"/>
    <m/>
    <s v="2023-04-20, 19:34"/>
    <s v="2023-07-20, 00:40"/>
    <n v="2022"/>
    <s v="natural_gas__wtt"/>
    <s v="Natural Gas WTT"/>
    <s v="wtt"/>
    <b v="0"/>
    <s v="WTT- FUELS; GASEOUS FUELS; NATURAL GAS"/>
    <x v="1"/>
    <x v="1"/>
    <m/>
    <m/>
    <m/>
    <m/>
    <n v="1"/>
    <s v="CO2E"/>
    <n v="0"/>
    <n v="3.1099999999999999E-2"/>
    <s v="KWH (GROSS CV)"/>
    <n v="2.9306999999999998E-4"/>
    <n v="0"/>
    <s v="AR4"/>
    <s v="Defra"/>
    <s v="Defra (2022)"/>
    <n v="2022"/>
    <n v="2020"/>
    <n v="0"/>
    <n v="0"/>
    <x v="24"/>
    <s v="Factory"/>
  </r>
  <r>
    <n v="237682"/>
    <s v="Top of Hierarchy &gt; South America &gt; Vantage_Buenos Aires"/>
    <x v="5"/>
    <x v="0"/>
    <d v="2022-01-01T00:00:00"/>
    <d v="2022-12-31T00:00:00"/>
    <x v="1"/>
    <d v="2022-01-01T00:00:00"/>
    <d v="2022-12-31T00:00:00"/>
    <s v="Diesel (100% mineral diesel)"/>
    <n v="0"/>
    <s v="British Thermal Units"/>
    <x v="1"/>
    <m/>
    <s v="2023-04-20, 19:35"/>
    <s v="2023-07-20, 00:40"/>
    <n v="2022"/>
    <s v="diesel_100p_mineral_diesel"/>
    <s v="Diesel (100% Mineral Diesel)"/>
    <s v="model"/>
    <b v="0"/>
    <s v="FUELS; LIQUID FUELS; DIESEL (100% MINERAL DIESEL)"/>
    <x v="2"/>
    <x v="0"/>
    <m/>
    <m/>
    <m/>
    <m/>
    <n v="0"/>
    <s v="CH4"/>
    <n v="0"/>
    <n v="2.0000000000000002E-5"/>
    <s v="KWH (GROSS CV)"/>
    <n v="2.9306999999999998E-4"/>
    <n v="0"/>
    <s v="AR4"/>
    <s v="Defra"/>
    <s v="Defra (2022)"/>
    <n v="2022"/>
    <n v="2020"/>
    <n v="0"/>
    <n v="0"/>
    <x v="24"/>
    <s v="Factory"/>
  </r>
  <r>
    <n v="237682"/>
    <s v="Top of Hierarchy &gt; South America &gt; Vantage_Buenos Aires"/>
    <x v="5"/>
    <x v="0"/>
    <d v="2022-01-01T00:00:00"/>
    <d v="2022-12-31T00:00:00"/>
    <x v="1"/>
    <d v="2022-01-01T00:00:00"/>
    <d v="2022-12-31T00:00:00"/>
    <s v="Diesel (100% mineral diesel)"/>
    <n v="0"/>
    <s v="British Thermal Units"/>
    <x v="1"/>
    <m/>
    <s v="2023-04-20, 19:35"/>
    <s v="2023-07-20, 00:40"/>
    <n v="2022"/>
    <s v="diesel_100p_mineral_diesel"/>
    <s v="Diesel (100% Mineral Diesel)"/>
    <s v="model"/>
    <b v="0"/>
    <s v="FUELS; LIQUID FUELS; DIESEL (100% MINERAL DIESEL)"/>
    <x v="2"/>
    <x v="0"/>
    <m/>
    <m/>
    <m/>
    <m/>
    <n v="0"/>
    <s v="CO2"/>
    <n v="0"/>
    <n v="0.24970999999999999"/>
    <s v="KWH (GROSS CV)"/>
    <n v="2.9306999999999998E-4"/>
    <n v="0"/>
    <s v="AR4"/>
    <s v="Defra"/>
    <s v="Defra (2022)"/>
    <n v="2022"/>
    <n v="2020"/>
    <n v="0"/>
    <n v="0"/>
    <x v="24"/>
    <s v="Factory"/>
  </r>
  <r>
    <n v="237682"/>
    <s v="Top of Hierarchy &gt; South America &gt; Vantage_Buenos Aires"/>
    <x v="5"/>
    <x v="0"/>
    <d v="2022-01-01T00:00:00"/>
    <d v="2022-12-31T00:00:00"/>
    <x v="1"/>
    <d v="2022-01-01T00:00:00"/>
    <d v="2022-12-31T00:00:00"/>
    <s v="Diesel (100% mineral diesel)"/>
    <n v="0"/>
    <s v="British Thermal Units"/>
    <x v="1"/>
    <m/>
    <s v="2023-04-20, 19:35"/>
    <s v="2023-07-20, 00:40"/>
    <n v="2022"/>
    <s v="diesel_100p_mineral_diesel"/>
    <s v="Diesel (100% Mineral Diesel)"/>
    <s v="model"/>
    <b v="0"/>
    <s v="FUELS; LIQUID FUELS; DIESEL (100% MINERAL DIESEL)"/>
    <x v="2"/>
    <x v="0"/>
    <m/>
    <m/>
    <m/>
    <m/>
    <n v="0"/>
    <s v="CO2E"/>
    <n v="0"/>
    <n v="0.25320999999999999"/>
    <s v="KWH (GROSS CV)"/>
    <n v="2.9306999999999998E-4"/>
    <n v="0"/>
    <s v="AR4"/>
    <s v="Defra"/>
    <s v="Defra (2022)"/>
    <n v="2022"/>
    <n v="2020"/>
    <n v="0"/>
    <n v="0"/>
    <x v="24"/>
    <s v="Factory"/>
  </r>
  <r>
    <n v="237682"/>
    <s v="Top of Hierarchy &gt; South America &gt; Vantage_Buenos Aires"/>
    <x v="5"/>
    <x v="0"/>
    <d v="2022-01-01T00:00:00"/>
    <d v="2022-12-31T00:00:00"/>
    <x v="1"/>
    <d v="2022-01-01T00:00:00"/>
    <d v="2022-12-31T00:00:00"/>
    <s v="Diesel (100% mineral diesel)"/>
    <n v="0"/>
    <s v="British Thermal Units"/>
    <x v="1"/>
    <m/>
    <s v="2023-04-20, 19:35"/>
    <s v="2023-07-20, 00:40"/>
    <n v="2022"/>
    <s v="diesel_100p_mineral_diesel"/>
    <s v="Diesel (100% Mineral Diesel)"/>
    <s v="model"/>
    <b v="0"/>
    <s v="FUELS; LIQUID FUELS; DIESEL (100% MINERAL DIESEL)"/>
    <x v="2"/>
    <x v="0"/>
    <m/>
    <m/>
    <m/>
    <m/>
    <n v="0"/>
    <s v="N2O"/>
    <n v="0"/>
    <n v="3.48E-3"/>
    <s v="KWH (GROSS CV)"/>
    <n v="2.9306999999999998E-4"/>
    <n v="0"/>
    <s v="AR4"/>
    <s v="Defra"/>
    <s v="Defra (2022)"/>
    <n v="2022"/>
    <n v="2020"/>
    <n v="0"/>
    <n v="0"/>
    <x v="24"/>
    <s v="Factory"/>
  </r>
  <r>
    <n v="237682"/>
    <s v="Top of Hierarchy &gt; South America &gt; Vantage_Buenos Aires"/>
    <x v="5"/>
    <x v="0"/>
    <d v="2022-01-01T00:00:00"/>
    <d v="2022-12-31T00:00:00"/>
    <x v="1"/>
    <d v="2022-01-01T00:00:00"/>
    <d v="2022-12-31T00:00:00"/>
    <s v="Diesel (100% mineral diesel)"/>
    <n v="0"/>
    <s v="British Thermal Units"/>
    <x v="1"/>
    <m/>
    <s v="2023-04-20, 19:35"/>
    <s v="2023-07-20, 00:40"/>
    <n v="2022"/>
    <s v="diesel_100p_mineral_diesel"/>
    <s v="Diesel (100% Mineral Diesel)"/>
    <s v="model"/>
    <b v="0"/>
    <s v="FUELS; LIQUID FUELS; DIESEL (100% MINERAL DIESEL)"/>
    <x v="2"/>
    <x v="0"/>
    <m/>
    <m/>
    <m/>
    <m/>
    <n v="1"/>
    <s v="CH4"/>
    <n v="0"/>
    <n v="2.0000000000000002E-5"/>
    <s v="KWH (GROSS CV)"/>
    <n v="2.9306999999999998E-4"/>
    <n v="0"/>
    <s v="AR4"/>
    <s v="Defra"/>
    <s v="Defra (2022)"/>
    <n v="2022"/>
    <n v="2020"/>
    <n v="0"/>
    <n v="0"/>
    <x v="24"/>
    <s v="Factory"/>
  </r>
  <r>
    <n v="237682"/>
    <s v="Top of Hierarchy &gt; South America &gt; Vantage_Buenos Aires"/>
    <x v="5"/>
    <x v="0"/>
    <d v="2022-01-01T00:00:00"/>
    <d v="2022-12-31T00:00:00"/>
    <x v="1"/>
    <d v="2022-01-01T00:00:00"/>
    <d v="2022-12-31T00:00:00"/>
    <s v="Diesel (100% mineral diesel)"/>
    <n v="0"/>
    <s v="British Thermal Units"/>
    <x v="1"/>
    <m/>
    <s v="2023-04-20, 19:35"/>
    <s v="2023-07-20, 00:40"/>
    <n v="2022"/>
    <s v="diesel_100p_mineral_diesel"/>
    <s v="Diesel (100% Mineral Diesel)"/>
    <s v="model"/>
    <b v="0"/>
    <s v="FUELS; LIQUID FUELS; DIESEL (100% MINERAL DIESEL)"/>
    <x v="2"/>
    <x v="0"/>
    <m/>
    <m/>
    <m/>
    <m/>
    <n v="1"/>
    <s v="CO2"/>
    <n v="0"/>
    <n v="0.24970999999999999"/>
    <s v="KWH (GROSS CV)"/>
    <n v="2.9306999999999998E-4"/>
    <n v="0"/>
    <s v="AR4"/>
    <s v="Defra"/>
    <s v="Defra (2022)"/>
    <n v="2022"/>
    <n v="2020"/>
    <n v="0"/>
    <n v="0"/>
    <x v="24"/>
    <s v="Factory"/>
  </r>
  <r>
    <n v="237682"/>
    <s v="Top of Hierarchy &gt; South America &gt; Vantage_Buenos Aires"/>
    <x v="5"/>
    <x v="0"/>
    <d v="2022-01-01T00:00:00"/>
    <d v="2022-12-31T00:00:00"/>
    <x v="1"/>
    <d v="2022-01-01T00:00:00"/>
    <d v="2022-12-31T00:00:00"/>
    <s v="Diesel (100% mineral diesel)"/>
    <n v="0"/>
    <s v="British Thermal Units"/>
    <x v="1"/>
    <m/>
    <s v="2023-04-20, 19:35"/>
    <s v="2023-07-20, 00:40"/>
    <n v="2022"/>
    <s v="diesel_100p_mineral_diesel"/>
    <s v="Diesel (100% Mineral Diesel)"/>
    <s v="model"/>
    <b v="0"/>
    <s v="FUELS; LIQUID FUELS; DIESEL (100% MINERAL DIESEL)"/>
    <x v="2"/>
    <x v="0"/>
    <m/>
    <m/>
    <m/>
    <m/>
    <n v="1"/>
    <s v="CO2E"/>
    <n v="0"/>
    <n v="0.25320999999999999"/>
    <s v="KWH (GROSS CV)"/>
    <n v="2.9306999999999998E-4"/>
    <n v="0"/>
    <s v="AR4"/>
    <s v="Defra"/>
    <s v="Defra (2022)"/>
    <n v="2022"/>
    <n v="2020"/>
    <n v="0"/>
    <n v="0"/>
    <x v="24"/>
    <s v="Factory"/>
  </r>
  <r>
    <n v="237682"/>
    <s v="Top of Hierarchy &gt; South America &gt; Vantage_Buenos Aires"/>
    <x v="5"/>
    <x v="0"/>
    <d v="2022-01-01T00:00:00"/>
    <d v="2022-12-31T00:00:00"/>
    <x v="1"/>
    <d v="2022-01-01T00:00:00"/>
    <d v="2022-12-31T00:00:00"/>
    <s v="Diesel (100% mineral diesel)"/>
    <n v="0"/>
    <s v="British Thermal Units"/>
    <x v="1"/>
    <m/>
    <s v="2023-04-20, 19:35"/>
    <s v="2023-07-20, 00:40"/>
    <n v="2022"/>
    <s v="diesel_100p_mineral_diesel"/>
    <s v="Diesel (100% Mineral Diesel)"/>
    <s v="model"/>
    <b v="0"/>
    <s v="FUELS; LIQUID FUELS; DIESEL (100% MINERAL DIESEL)"/>
    <x v="2"/>
    <x v="0"/>
    <m/>
    <m/>
    <m/>
    <m/>
    <n v="1"/>
    <s v="N2O"/>
    <n v="0"/>
    <n v="3.48E-3"/>
    <s v="KWH (GROSS CV)"/>
    <n v="2.9306999999999998E-4"/>
    <n v="0"/>
    <s v="AR4"/>
    <s v="Defra"/>
    <s v="Defra (2022)"/>
    <n v="2022"/>
    <n v="2020"/>
    <n v="0"/>
    <n v="0"/>
    <x v="24"/>
    <s v="Factory"/>
  </r>
  <r>
    <n v="237682"/>
    <s v="Top of Hierarchy &gt; South America &gt; Vantage_Buenos Aires"/>
    <x v="5"/>
    <x v="0"/>
    <d v="2022-01-01T00:00:00"/>
    <d v="2022-12-31T00:00:00"/>
    <x v="1"/>
    <d v="2022-01-01T00:00:00"/>
    <d v="2022-12-31T00:00:00"/>
    <s v="Diesel (100% mineral diesel)"/>
    <n v="0"/>
    <s v="British Thermal Units"/>
    <x v="1"/>
    <m/>
    <s v="2023-04-20, 19:35"/>
    <s v="2023-07-20, 00:40"/>
    <n v="2022"/>
    <s v="diesel_100p_mineral_diesel__wtt"/>
    <s v="Diesel (100% Mineral Diesel) WTT"/>
    <s v="wtt"/>
    <b v="0"/>
    <s v="WTT- FUELS; LIQUID FUELS; DIESEL (100% MINERAL DIESEL)"/>
    <x v="1"/>
    <x v="1"/>
    <m/>
    <m/>
    <m/>
    <m/>
    <n v="0"/>
    <s v="CO2E"/>
    <n v="0"/>
    <n v="5.8880000000000002E-2"/>
    <s v="KWH (GROSS CV)"/>
    <n v="2.9306999999999998E-4"/>
    <n v="0"/>
    <s v="AR4"/>
    <s v="Defra"/>
    <s v="Defra (2022)"/>
    <n v="2022"/>
    <n v="2020"/>
    <n v="0"/>
    <n v="0"/>
    <x v="24"/>
    <s v="Factory"/>
  </r>
  <r>
    <n v="237682"/>
    <s v="Top of Hierarchy &gt; South America &gt; Vantage_Buenos Aires"/>
    <x v="5"/>
    <x v="0"/>
    <d v="2022-01-01T00:00:00"/>
    <d v="2022-12-31T00:00:00"/>
    <x v="1"/>
    <d v="2022-01-01T00:00:00"/>
    <d v="2022-12-31T00:00:00"/>
    <s v="Diesel (100% mineral diesel)"/>
    <n v="0"/>
    <s v="British Thermal Units"/>
    <x v="1"/>
    <m/>
    <s v="2023-04-20, 19:35"/>
    <s v="2023-07-20, 00:40"/>
    <n v="2022"/>
    <s v="diesel_100p_mineral_diesel__wtt"/>
    <s v="Diesel (100% Mineral Diesel) WTT"/>
    <s v="wtt"/>
    <b v="0"/>
    <s v="WTT- FUELS; LIQUID FUELS; DIESEL (100% MINERAL DIESEL)"/>
    <x v="1"/>
    <x v="1"/>
    <m/>
    <m/>
    <m/>
    <m/>
    <n v="1"/>
    <s v="CO2E"/>
    <n v="0"/>
    <n v="5.8880000000000002E-2"/>
    <s v="KWH (GROSS CV)"/>
    <n v="2.9306999999999998E-4"/>
    <n v="0"/>
    <s v="AR4"/>
    <s v="Defra"/>
    <s v="Defra (2022)"/>
    <n v="2022"/>
    <n v="2020"/>
    <n v="0"/>
    <n v="0"/>
    <x v="24"/>
    <s v="Factory"/>
  </r>
  <r>
    <n v="1590457"/>
    <s v="Top of Hierarchy &gt; South America &gt; Vantage_Buenos Aires"/>
    <x v="5"/>
    <x v="0"/>
    <d v="2022-01-01T00:00:00"/>
    <d v="2022-12-31T00:00:00"/>
    <x v="4"/>
    <d v="2022-01-01T00:00:00"/>
    <d v="2022-12-31T00:00:00"/>
    <s v="R-134A"/>
    <n v="5.4680612000000002"/>
    <s v="kilograms"/>
    <x v="0"/>
    <s v="Estimated from square footage. Assumed R134a."/>
    <s v="2023-07-25, 17:50"/>
    <s v="2023-07-25, 17:50"/>
    <n v="2022"/>
    <s v="hfc-134a"/>
    <s v="HFC-134A"/>
    <s v="model"/>
    <b v="0"/>
    <s v="REFRIGERANT: R-134A"/>
    <x v="2"/>
    <x v="0"/>
    <m/>
    <m/>
    <m/>
    <m/>
    <n v="0"/>
    <s v="CO2E"/>
    <n v="7819.3275160000003"/>
    <n v="1430"/>
    <s v="KG"/>
    <n v="1"/>
    <n v="5.4680612000000002"/>
    <s v="AR4"/>
    <s v="IPCC"/>
    <s v="IPCC (2021)"/>
    <n v="2022"/>
    <n v="2007"/>
    <n v="7.8193275160000004"/>
    <n v="0"/>
    <x v="24"/>
    <s v="Factory"/>
  </r>
  <r>
    <n v="1590457"/>
    <s v="Top of Hierarchy &gt; South America &gt; Vantage_Buenos Aires"/>
    <x v="5"/>
    <x v="0"/>
    <d v="2022-01-01T00:00:00"/>
    <d v="2022-12-31T00:00:00"/>
    <x v="4"/>
    <d v="2022-01-01T00:00:00"/>
    <d v="2022-12-31T00:00:00"/>
    <s v="R-134A"/>
    <n v="5.4680612000000002"/>
    <s v="kilograms"/>
    <x v="0"/>
    <s v="Estimated from square footage. Assumed R134a."/>
    <s v="2023-07-25, 17:50"/>
    <s v="2023-07-25, 17:50"/>
    <n v="2022"/>
    <s v="hfc-134a"/>
    <s v="HFC-134A"/>
    <s v="model"/>
    <b v="0"/>
    <s v="REFRIGERANT: R-134A"/>
    <x v="2"/>
    <x v="0"/>
    <m/>
    <m/>
    <m/>
    <m/>
    <n v="1"/>
    <s v="CO2E"/>
    <n v="7819.3275160000003"/>
    <n v="1430"/>
    <s v="KG"/>
    <n v="1"/>
    <n v="5.4680612000000002"/>
    <s v="AR4"/>
    <s v="IPCC"/>
    <s v="IPCC (2021)"/>
    <n v="2022"/>
    <n v="2007"/>
    <n v="0"/>
    <n v="7.8193275160000004"/>
    <x v="24"/>
    <s v="Factory"/>
  </r>
  <r>
    <n v="4942"/>
    <s v="Top of Hierarchy &gt; South America &gt; Vantage_Buenos Aires"/>
    <x v="5"/>
    <x v="1"/>
    <d v="2021-01-01T00:00:00"/>
    <d v="2021-12-31T00:00:00"/>
    <x v="0"/>
    <d v="2021-01-01T00:00:00"/>
    <d v="2021-12-31T00:00:00"/>
    <s v="Electricity (non-renewable)"/>
    <n v="136215.23000000001"/>
    <s v="Kilowatt hours"/>
    <x v="0"/>
    <m/>
    <s v="2023-02-27, 16:27"/>
    <s v="2023-07-20, 00:40"/>
    <n v="2021"/>
    <s v="electricity"/>
    <s v="Electricity"/>
    <s v="model"/>
    <b v="0"/>
    <s v="ELECTRICITY; ARGENTINA"/>
    <x v="0"/>
    <x v="0"/>
    <s v="Americas"/>
    <s v="Latin America and the Caribbean"/>
    <s v="AR"/>
    <m/>
    <n v="0"/>
    <s v="CH4"/>
    <n v="40.864569000000003"/>
    <s v="RESTRICTED"/>
    <s v="KWH"/>
    <n v="1"/>
    <n v="136215.23000000001"/>
    <s v="AR4"/>
    <s v="IEA"/>
    <s v="IEA (2021)"/>
    <n v="2021"/>
    <n v="2019"/>
    <n v="0"/>
    <n v="0"/>
    <x v="24"/>
    <s v="Factory"/>
  </r>
  <r>
    <n v="4942"/>
    <s v="Top of Hierarchy &gt; South America &gt; Vantage_Buenos Aires"/>
    <x v="5"/>
    <x v="1"/>
    <d v="2021-01-01T00:00:00"/>
    <d v="2021-12-31T00:00:00"/>
    <x v="0"/>
    <d v="2021-01-01T00:00:00"/>
    <d v="2021-12-31T00:00:00"/>
    <s v="Electricity (non-renewable)"/>
    <n v="136215.23000000001"/>
    <s v="Kilowatt hours"/>
    <x v="0"/>
    <m/>
    <s v="2023-02-27, 16:27"/>
    <s v="2023-07-20, 00:40"/>
    <n v="2021"/>
    <s v="electricity"/>
    <s v="Electricity"/>
    <s v="model"/>
    <b v="0"/>
    <s v="ELECTRICITY; ARGENTINA"/>
    <x v="0"/>
    <x v="0"/>
    <s v="Americas"/>
    <s v="Latin America and the Caribbean"/>
    <s v="AR"/>
    <m/>
    <n v="0"/>
    <s v="CO2"/>
    <n v="39121.014060000001"/>
    <s v="RESTRICTED"/>
    <s v="KWH"/>
    <n v="1"/>
    <n v="136215.23000000001"/>
    <s v="AR4"/>
    <s v="IEA"/>
    <s v="IEA (2021)"/>
    <n v="2021"/>
    <n v="2019"/>
    <n v="0"/>
    <n v="0"/>
    <x v="24"/>
    <s v="Factory"/>
  </r>
  <r>
    <n v="4942"/>
    <s v="Top of Hierarchy &gt; South America &gt; Vantage_Buenos Aires"/>
    <x v="5"/>
    <x v="1"/>
    <d v="2021-01-01T00:00:00"/>
    <d v="2021-12-31T00:00:00"/>
    <x v="0"/>
    <d v="2021-01-01T00:00:00"/>
    <d v="2021-12-31T00:00:00"/>
    <s v="Electricity (non-renewable)"/>
    <n v="136215.23000000001"/>
    <s v="Kilowatt hours"/>
    <x v="0"/>
    <m/>
    <s v="2023-02-27, 16:27"/>
    <s v="2023-07-20, 00:40"/>
    <n v="2021"/>
    <s v="electricity"/>
    <s v="Electricity"/>
    <s v="model"/>
    <b v="0"/>
    <s v="ELECTRICITY; ARGENTINA"/>
    <x v="0"/>
    <x v="0"/>
    <s v="Americas"/>
    <s v="Latin America and the Caribbean"/>
    <s v="AR"/>
    <m/>
    <n v="0"/>
    <s v="CO2E"/>
    <n v="39229.986239999998"/>
    <s v="RESTRICTED"/>
    <s v="KWH"/>
    <n v="1"/>
    <n v="136215.23000000001"/>
    <s v="AR4"/>
    <s v="IEA"/>
    <s v="IEA (2021)"/>
    <n v="2021"/>
    <n v="2019"/>
    <n v="39.229986239999995"/>
    <n v="0"/>
    <x v="24"/>
    <s v="Factory"/>
  </r>
  <r>
    <n v="4942"/>
    <s v="Top of Hierarchy &gt; South America &gt; Vantage_Buenos Aires"/>
    <x v="5"/>
    <x v="1"/>
    <d v="2021-01-01T00:00:00"/>
    <d v="2021-12-31T00:00:00"/>
    <x v="0"/>
    <d v="2021-01-01T00:00:00"/>
    <d v="2021-12-31T00:00:00"/>
    <s v="Electricity (non-renewable)"/>
    <n v="136215.23000000001"/>
    <s v="Kilowatt hours"/>
    <x v="0"/>
    <m/>
    <s v="2023-02-27, 16:27"/>
    <s v="2023-07-20, 00:40"/>
    <n v="2021"/>
    <s v="electricity"/>
    <s v="Electricity"/>
    <s v="model"/>
    <b v="0"/>
    <s v="ELECTRICITY; ARGENTINA"/>
    <x v="0"/>
    <x v="0"/>
    <s v="Americas"/>
    <s v="Latin America and the Caribbean"/>
    <s v="AR"/>
    <m/>
    <n v="0"/>
    <s v="N2O"/>
    <n v="68.107614999999996"/>
    <s v="RESTRICTED"/>
    <s v="KWH"/>
    <n v="1"/>
    <n v="136215.23000000001"/>
    <s v="AR4"/>
    <s v="IEA"/>
    <s v="IEA (2021)"/>
    <n v="2021"/>
    <n v="2019"/>
    <n v="0"/>
    <n v="0"/>
    <x v="24"/>
    <s v="Factory"/>
  </r>
  <r>
    <n v="4942"/>
    <s v="Top of Hierarchy &gt; South America &gt; Vantage_Buenos Aires"/>
    <x v="5"/>
    <x v="1"/>
    <d v="2021-01-01T00:00:00"/>
    <d v="2021-12-31T00:00:00"/>
    <x v="0"/>
    <d v="2021-01-01T00:00:00"/>
    <d v="2021-12-31T00:00:00"/>
    <s v="Electricity (non-renewable)"/>
    <n v="136215.23000000001"/>
    <s v="Kilowatt hours"/>
    <x v="0"/>
    <m/>
    <s v="2023-02-27, 16:27"/>
    <s v="2023-07-20, 00:40"/>
    <n v="2021"/>
    <s v="electricity"/>
    <s v="Electricity"/>
    <s v="model"/>
    <b v="0"/>
    <s v="ELECTRICITY; ARGENTINA"/>
    <x v="0"/>
    <x v="0"/>
    <s v="Americas"/>
    <s v="Latin America and the Caribbean"/>
    <s v="AR"/>
    <m/>
    <n v="1"/>
    <s v="CH4"/>
    <n v="40.864569000000003"/>
    <s v="RESTRICTED"/>
    <s v="KWH"/>
    <n v="1"/>
    <n v="136215.23000000001"/>
    <s v="AR4"/>
    <s v="IEA"/>
    <s v="IEA (2021)"/>
    <n v="2021"/>
    <n v="2019"/>
    <n v="0"/>
    <n v="0"/>
    <x v="24"/>
    <s v="Factory"/>
  </r>
  <r>
    <n v="4942"/>
    <s v="Top of Hierarchy &gt; South America &gt; Vantage_Buenos Aires"/>
    <x v="5"/>
    <x v="1"/>
    <d v="2021-01-01T00:00:00"/>
    <d v="2021-12-31T00:00:00"/>
    <x v="0"/>
    <d v="2021-01-01T00:00:00"/>
    <d v="2021-12-31T00:00:00"/>
    <s v="Electricity (non-renewable)"/>
    <n v="136215.23000000001"/>
    <s v="Kilowatt hours"/>
    <x v="0"/>
    <m/>
    <s v="2023-02-27, 16:27"/>
    <s v="2023-07-20, 00:40"/>
    <n v="2021"/>
    <s v="electricity"/>
    <s v="Electricity"/>
    <s v="model"/>
    <b v="0"/>
    <s v="ELECTRICITY; ARGENTINA"/>
    <x v="0"/>
    <x v="0"/>
    <s v="Americas"/>
    <s v="Latin America and the Caribbean"/>
    <s v="AR"/>
    <m/>
    <n v="1"/>
    <s v="CO2"/>
    <n v="39121.014060000001"/>
    <s v="RESTRICTED"/>
    <s v="KWH"/>
    <n v="1"/>
    <n v="136215.23000000001"/>
    <s v="AR4"/>
    <s v="IEA"/>
    <s v="IEA (2021)"/>
    <n v="2021"/>
    <n v="2019"/>
    <n v="0"/>
    <n v="0"/>
    <x v="24"/>
    <s v="Factory"/>
  </r>
  <r>
    <n v="4942"/>
    <s v="Top of Hierarchy &gt; South America &gt; Vantage_Buenos Aires"/>
    <x v="5"/>
    <x v="1"/>
    <d v="2021-01-01T00:00:00"/>
    <d v="2021-12-31T00:00:00"/>
    <x v="0"/>
    <d v="2021-01-01T00:00:00"/>
    <d v="2021-12-31T00:00:00"/>
    <s v="Electricity (non-renewable)"/>
    <n v="136215.23000000001"/>
    <s v="Kilowatt hours"/>
    <x v="0"/>
    <m/>
    <s v="2023-02-27, 16:27"/>
    <s v="2023-07-20, 00:40"/>
    <n v="2021"/>
    <s v="electricity"/>
    <s v="Electricity"/>
    <s v="model"/>
    <b v="0"/>
    <s v="ELECTRICITY; ARGENTINA"/>
    <x v="0"/>
    <x v="0"/>
    <s v="Americas"/>
    <s v="Latin America and the Caribbean"/>
    <s v="AR"/>
    <m/>
    <n v="1"/>
    <s v="CO2E"/>
    <n v="39229.986239999998"/>
    <s v="RESTRICTED"/>
    <s v="KWH"/>
    <n v="1"/>
    <n v="136215.23000000001"/>
    <s v="AR4"/>
    <s v="IEA"/>
    <s v="IEA (2021)"/>
    <n v="2021"/>
    <n v="2019"/>
    <n v="0"/>
    <n v="39.229986239999995"/>
    <x v="24"/>
    <s v="Factory"/>
  </r>
  <r>
    <n v="4942"/>
    <s v="Top of Hierarchy &gt; South America &gt; Vantage_Buenos Aires"/>
    <x v="5"/>
    <x v="1"/>
    <d v="2021-01-01T00:00:00"/>
    <d v="2021-12-31T00:00:00"/>
    <x v="0"/>
    <d v="2021-01-01T00:00:00"/>
    <d v="2021-12-31T00:00:00"/>
    <s v="Electricity (non-renewable)"/>
    <n v="136215.23000000001"/>
    <s v="Kilowatt hours"/>
    <x v="0"/>
    <m/>
    <s v="2023-02-27, 16:27"/>
    <s v="2023-07-20, 00:40"/>
    <n v="2021"/>
    <s v="electricity"/>
    <s v="Electricity"/>
    <s v="model"/>
    <b v="0"/>
    <s v="ELECTRICITY; ARGENTINA"/>
    <x v="0"/>
    <x v="0"/>
    <s v="Americas"/>
    <s v="Latin America and the Caribbean"/>
    <s v="AR"/>
    <m/>
    <n v="1"/>
    <s v="N2O"/>
    <n v="68.107614999999996"/>
    <s v="RESTRICTED"/>
    <s v="KWH"/>
    <n v="1"/>
    <n v="136215.23000000001"/>
    <s v="AR4"/>
    <s v="IEA"/>
    <s v="IEA (2021)"/>
    <n v="2021"/>
    <n v="2019"/>
    <n v="0"/>
    <n v="0"/>
    <x v="24"/>
    <s v="Factory"/>
  </r>
  <r>
    <n v="4942"/>
    <s v="Top of Hierarchy &gt; South America &gt; Vantage_Buenos Aires"/>
    <x v="5"/>
    <x v="1"/>
    <d v="2021-01-01T00:00:00"/>
    <d v="2021-12-31T00:00:00"/>
    <x v="0"/>
    <d v="2021-01-01T00:00:00"/>
    <d v="2021-12-31T00:00:00"/>
    <s v="Electricity (non-renewable)"/>
    <n v="136215.23000000001"/>
    <s v="Kilowatt hours"/>
    <x v="0"/>
    <m/>
    <s v="2023-02-27, 16:27"/>
    <s v="2023-07-20, 00:40"/>
    <n v="2021"/>
    <s v="electricity__t+d__wtt"/>
    <s v="Electricity T&amp;D WTT"/>
    <s v="t+d_wtt"/>
    <b v="0"/>
    <s v="ELECTRICITY; ARGENTINA; T&amp;D WTT Estimated"/>
    <x v="1"/>
    <x v="1"/>
    <s v="Americas"/>
    <s v="Latin America and the Caribbean"/>
    <s v="AR"/>
    <m/>
    <n v="0"/>
    <s v="CH4"/>
    <n v="1.03391441"/>
    <n v="7.5903E-6"/>
    <s v="KWH"/>
    <n v="1"/>
    <n v="136215.23000000001"/>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T&amp;D factor ELECTRICITY; TRANSMISSION AND DISTRIBUTION; ARGENTINA, IEA to estimate the T&amp;D WTT factor."/>
    <n v="2021"/>
    <n v="2019"/>
    <n v="0"/>
    <n v="0"/>
    <x v="24"/>
    <s v="Factory"/>
  </r>
  <r>
    <n v="4942"/>
    <s v="Top of Hierarchy &gt; South America &gt; Vantage_Buenos Aires"/>
    <x v="5"/>
    <x v="1"/>
    <d v="2021-01-01T00:00:00"/>
    <d v="2021-12-31T00:00:00"/>
    <x v="0"/>
    <d v="2021-01-01T00:00:00"/>
    <d v="2021-12-31T00:00:00"/>
    <s v="Electricity (non-renewable)"/>
    <n v="136215.23000000001"/>
    <s v="Kilowatt hours"/>
    <x v="0"/>
    <m/>
    <s v="2023-02-27, 16:27"/>
    <s v="2023-07-20, 00:40"/>
    <n v="2021"/>
    <s v="electricity__t+d__wtt"/>
    <s v="Electricity T&amp;D WTT"/>
    <s v="t+d_wtt"/>
    <b v="0"/>
    <s v="ELECTRICITY; ARGENTINA; T&amp;D WTT Estimated"/>
    <x v="1"/>
    <x v="1"/>
    <s v="Americas"/>
    <s v="Latin America and the Caribbean"/>
    <s v="AR"/>
    <m/>
    <n v="0"/>
    <s v="CO2"/>
    <n v="989.80072900000005"/>
    <n v="7.2664469999999997E-3"/>
    <s v="KWH"/>
    <n v="1"/>
    <n v="136215.23000000001"/>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T&amp;D factor ELECTRICITY; TRANSMISSION AND DISTRIBUTION; ARGENTINA, IEA to estimate the T&amp;D WTT factor."/>
    <n v="2021"/>
    <n v="2019"/>
    <n v="0"/>
    <n v="0"/>
    <x v="24"/>
    <s v="Factory"/>
  </r>
  <r>
    <n v="4942"/>
    <s v="Top of Hierarchy &gt; South America &gt; Vantage_Buenos Aires"/>
    <x v="5"/>
    <x v="1"/>
    <d v="2021-01-01T00:00:00"/>
    <d v="2021-12-31T00:00:00"/>
    <x v="0"/>
    <d v="2021-01-01T00:00:00"/>
    <d v="2021-12-31T00:00:00"/>
    <s v="Electricity (non-renewable)"/>
    <n v="136215.23000000001"/>
    <s v="Kilowatt hours"/>
    <x v="0"/>
    <m/>
    <s v="2023-02-27, 16:27"/>
    <s v="2023-07-20, 00:40"/>
    <n v="2021"/>
    <s v="electricity__t+d__wtt"/>
    <s v="Electricity T&amp;D WTT"/>
    <s v="t+d_wtt"/>
    <b v="0"/>
    <s v="ELECTRICITY; ARGENTINA; T&amp;D WTT Estimated"/>
    <x v="1"/>
    <x v="1"/>
    <s v="Americas"/>
    <s v="Latin America and the Caribbean"/>
    <s v="AR"/>
    <m/>
    <n v="0"/>
    <s v="CO2E"/>
    <n v="992.55783410000004"/>
    <n v="7.2866880000000004E-3"/>
    <s v="KWH"/>
    <n v="1"/>
    <n v="136215.23000000001"/>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T&amp;D factor ELECTRICITY; TRANSMISSION AND DISTRIBUTION; ARGENTINA, IEA to estimate the T&amp;D WTT factor."/>
    <n v="2021"/>
    <n v="2019"/>
    <n v="0.99255783410000009"/>
    <n v="0"/>
    <x v="24"/>
    <s v="Factory"/>
  </r>
  <r>
    <n v="4942"/>
    <s v="Top of Hierarchy &gt; South America &gt; Vantage_Buenos Aires"/>
    <x v="5"/>
    <x v="1"/>
    <d v="2021-01-01T00:00:00"/>
    <d v="2021-12-31T00:00:00"/>
    <x v="0"/>
    <d v="2021-01-01T00:00:00"/>
    <d v="2021-12-31T00:00:00"/>
    <s v="Electricity (non-renewable)"/>
    <n v="136215.23000000001"/>
    <s v="Kilowatt hours"/>
    <x v="0"/>
    <m/>
    <s v="2023-02-27, 16:27"/>
    <s v="2023-07-20, 00:40"/>
    <n v="2021"/>
    <s v="electricity__t+d__wtt"/>
    <s v="Electricity T&amp;D WTT"/>
    <s v="t+d_wtt"/>
    <b v="0"/>
    <s v="ELECTRICITY; ARGENTINA; T&amp;D WTT Estimated"/>
    <x v="1"/>
    <x v="1"/>
    <s v="Americas"/>
    <s v="Latin America and the Caribbean"/>
    <s v="AR"/>
    <m/>
    <n v="0"/>
    <s v="N2O"/>
    <n v="1.723190684"/>
    <n v="1.26505E-5"/>
    <s v="KWH"/>
    <n v="1"/>
    <n v="136215.23000000001"/>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T&amp;D factor ELECTRICITY; TRANSMISSION AND DISTRIBUTION; ARGENTINA, IEA to estimate the T&amp;D WTT factor."/>
    <n v="2021"/>
    <n v="2019"/>
    <n v="0"/>
    <n v="0"/>
    <x v="24"/>
    <s v="Factory"/>
  </r>
  <r>
    <n v="4942"/>
    <s v="Top of Hierarchy &gt; South America &gt; Vantage_Buenos Aires"/>
    <x v="5"/>
    <x v="1"/>
    <d v="2021-01-01T00:00:00"/>
    <d v="2021-12-31T00:00:00"/>
    <x v="0"/>
    <d v="2021-01-01T00:00:00"/>
    <d v="2021-12-31T00:00:00"/>
    <s v="Electricity (non-renewable)"/>
    <n v="136215.23000000001"/>
    <s v="Kilowatt hours"/>
    <x v="0"/>
    <m/>
    <s v="2023-02-27, 16:27"/>
    <s v="2023-07-20, 00:40"/>
    <n v="2021"/>
    <s v="electricity__t+d__wtt"/>
    <s v="Electricity T&amp;D WTT"/>
    <s v="t+d_wtt"/>
    <b v="0"/>
    <s v="ELECTRICITY; ARGENTINA; T&amp;D WTT Estimated"/>
    <x v="1"/>
    <x v="1"/>
    <s v="Americas"/>
    <s v="Latin America and the Caribbean"/>
    <s v="AR"/>
    <m/>
    <n v="1"/>
    <s v="CH4"/>
    <n v="1.03391441"/>
    <n v="7.5903E-6"/>
    <s v="KWH"/>
    <n v="1"/>
    <n v="136215.23000000001"/>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T&amp;D factor ELECTRICITY; TRANSMISSION AND DISTRIBUTION; ARGENTINA, IEA to estimate the T&amp;D WTT factor."/>
    <n v="2021"/>
    <n v="2019"/>
    <n v="0"/>
    <n v="0"/>
    <x v="24"/>
    <s v="Factory"/>
  </r>
  <r>
    <n v="4942"/>
    <s v="Top of Hierarchy &gt; South America &gt; Vantage_Buenos Aires"/>
    <x v="5"/>
    <x v="1"/>
    <d v="2021-01-01T00:00:00"/>
    <d v="2021-12-31T00:00:00"/>
    <x v="0"/>
    <d v="2021-01-01T00:00:00"/>
    <d v="2021-12-31T00:00:00"/>
    <s v="Electricity (non-renewable)"/>
    <n v="136215.23000000001"/>
    <s v="Kilowatt hours"/>
    <x v="0"/>
    <m/>
    <s v="2023-02-27, 16:27"/>
    <s v="2023-07-20, 00:40"/>
    <n v="2021"/>
    <s v="electricity__t+d__wtt"/>
    <s v="Electricity T&amp;D WTT"/>
    <s v="t+d_wtt"/>
    <b v="0"/>
    <s v="ELECTRICITY; ARGENTINA; T&amp;D WTT Estimated"/>
    <x v="1"/>
    <x v="1"/>
    <s v="Americas"/>
    <s v="Latin America and the Caribbean"/>
    <s v="AR"/>
    <m/>
    <n v="1"/>
    <s v="CO2"/>
    <n v="989.80072900000005"/>
    <n v="7.2664469999999997E-3"/>
    <s v="KWH"/>
    <n v="1"/>
    <n v="136215.23000000001"/>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T&amp;D factor ELECTRICITY; TRANSMISSION AND DISTRIBUTION; ARGENTINA, IEA to estimate the T&amp;D WTT factor."/>
    <n v="2021"/>
    <n v="2019"/>
    <n v="0"/>
    <n v="0"/>
    <x v="24"/>
    <s v="Factory"/>
  </r>
  <r>
    <n v="4942"/>
    <s v="Top of Hierarchy &gt; South America &gt; Vantage_Buenos Aires"/>
    <x v="5"/>
    <x v="1"/>
    <d v="2021-01-01T00:00:00"/>
    <d v="2021-12-31T00:00:00"/>
    <x v="0"/>
    <d v="2021-01-01T00:00:00"/>
    <d v="2021-12-31T00:00:00"/>
    <s v="Electricity (non-renewable)"/>
    <n v="136215.23000000001"/>
    <s v="Kilowatt hours"/>
    <x v="0"/>
    <m/>
    <s v="2023-02-27, 16:27"/>
    <s v="2023-07-20, 00:40"/>
    <n v="2021"/>
    <s v="electricity__t+d__wtt"/>
    <s v="Electricity T&amp;D WTT"/>
    <s v="t+d_wtt"/>
    <b v="0"/>
    <s v="ELECTRICITY; ARGENTINA; T&amp;D WTT Estimated"/>
    <x v="1"/>
    <x v="1"/>
    <s v="Americas"/>
    <s v="Latin America and the Caribbean"/>
    <s v="AR"/>
    <m/>
    <n v="1"/>
    <s v="CO2E"/>
    <n v="992.55783410000004"/>
    <n v="7.2866880000000004E-3"/>
    <s v="KWH"/>
    <n v="1"/>
    <n v="136215.23000000001"/>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T&amp;D factor ELECTRICITY; TRANSMISSION AND DISTRIBUTION; ARGENTINA, IEA to estimate the T&amp;D WTT factor."/>
    <n v="2021"/>
    <n v="2019"/>
    <n v="0"/>
    <n v="0.99255783410000009"/>
    <x v="24"/>
    <s v="Factory"/>
  </r>
  <r>
    <n v="4942"/>
    <s v="Top of Hierarchy &gt; South America &gt; Vantage_Buenos Aires"/>
    <x v="5"/>
    <x v="1"/>
    <d v="2021-01-01T00:00:00"/>
    <d v="2021-12-31T00:00:00"/>
    <x v="0"/>
    <d v="2021-01-01T00:00:00"/>
    <d v="2021-12-31T00:00:00"/>
    <s v="Electricity (non-renewable)"/>
    <n v="136215.23000000001"/>
    <s v="Kilowatt hours"/>
    <x v="0"/>
    <m/>
    <s v="2023-02-27, 16:27"/>
    <s v="2023-07-20, 00:40"/>
    <n v="2021"/>
    <s v="electricity__t+d__wtt"/>
    <s v="Electricity T&amp;D WTT"/>
    <s v="t+d_wtt"/>
    <b v="0"/>
    <s v="ELECTRICITY; ARGENTINA; T&amp;D WTT Estimated"/>
    <x v="1"/>
    <x v="1"/>
    <s v="Americas"/>
    <s v="Latin America and the Caribbean"/>
    <s v="AR"/>
    <m/>
    <n v="1"/>
    <s v="N2O"/>
    <n v="1.723190684"/>
    <n v="1.26505E-5"/>
    <s v="KWH"/>
    <n v="1"/>
    <n v="136215.23000000001"/>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T&amp;D factor ELECTRICITY; TRANSMISSION AND DISTRIBUTION; ARGENTINA, IEA to estimate the T&amp;D WTT factor."/>
    <n v="2021"/>
    <n v="2019"/>
    <n v="0"/>
    <n v="0"/>
    <x v="24"/>
    <s v="Factory"/>
  </r>
  <r>
    <n v="4942"/>
    <s v="Top of Hierarchy &gt; South America &gt; Vantage_Buenos Aires"/>
    <x v="5"/>
    <x v="1"/>
    <d v="2021-01-01T00:00:00"/>
    <d v="2021-12-31T00:00:00"/>
    <x v="0"/>
    <d v="2021-01-01T00:00:00"/>
    <d v="2021-12-31T00:00:00"/>
    <s v="Electricity (non-renewable)"/>
    <n v="136215.23000000001"/>
    <s v="Kilowatt hours"/>
    <x v="0"/>
    <m/>
    <s v="2023-02-27, 16:27"/>
    <s v="2023-07-20, 00:40"/>
    <n v="2021"/>
    <s v="electricity__wtt"/>
    <s v="Electricity WTT"/>
    <s v="wtt"/>
    <b v="0"/>
    <s v="ELECTRICITY; ARGENTINA; WTT Estimated"/>
    <x v="1"/>
    <x v="1"/>
    <s v="Americas"/>
    <s v="Latin America and the Caribbean"/>
    <s v="AR"/>
    <m/>
    <n v="0"/>
    <s v="CH4"/>
    <n v="8.6565844429999999"/>
    <n v="6.3550800000000001E-5"/>
    <s v="KWH"/>
    <n v="1"/>
    <n v="136215.23000000001"/>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base factor ELECTRICITY; ARGENTINA, IEAto estimate the WTT factor."/>
    <n v="2021"/>
    <n v="2019"/>
    <n v="0"/>
    <n v="0"/>
    <x v="24"/>
    <s v="Factory"/>
  </r>
  <r>
    <n v="4942"/>
    <s v="Top of Hierarchy &gt; South America &gt; Vantage_Buenos Aires"/>
    <x v="5"/>
    <x v="1"/>
    <d v="2021-01-01T00:00:00"/>
    <d v="2021-12-31T00:00:00"/>
    <x v="0"/>
    <d v="2021-01-01T00:00:00"/>
    <d v="2021-12-31T00:00:00"/>
    <s v="Electricity (non-renewable)"/>
    <n v="136215.23000000001"/>
    <s v="Kilowatt hours"/>
    <x v="0"/>
    <m/>
    <s v="2023-02-27, 16:27"/>
    <s v="2023-07-20, 00:40"/>
    <n v="2021"/>
    <s v="electricity__wtt"/>
    <s v="Electricity WTT"/>
    <s v="wtt"/>
    <b v="0"/>
    <s v="ELECTRICITY; ARGENTINA; WTT Estimated"/>
    <x v="1"/>
    <x v="1"/>
    <s v="Americas"/>
    <s v="Latin America and the Caribbean"/>
    <s v="AR"/>
    <m/>
    <n v="0"/>
    <s v="CO2"/>
    <n v="8287.2368399999996"/>
    <n v="6.0839282000000001E-2"/>
    <s v="KWH"/>
    <n v="1"/>
    <n v="136215.23000000001"/>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base factor ELECTRICITY; ARGENTINA, IEAto estimate the WTT factor."/>
    <n v="2021"/>
    <n v="2019"/>
    <n v="0"/>
    <n v="0"/>
    <x v="24"/>
    <s v="Factory"/>
  </r>
  <r>
    <n v="4942"/>
    <s v="Top of Hierarchy &gt; South America &gt; Vantage_Buenos Aires"/>
    <x v="5"/>
    <x v="1"/>
    <d v="2021-01-01T00:00:00"/>
    <d v="2021-12-31T00:00:00"/>
    <x v="0"/>
    <d v="2021-01-01T00:00:00"/>
    <d v="2021-12-31T00:00:00"/>
    <s v="Electricity (non-renewable)"/>
    <n v="136215.23000000001"/>
    <s v="Kilowatt hours"/>
    <x v="0"/>
    <m/>
    <s v="2023-02-27, 16:27"/>
    <s v="2023-07-20, 00:40"/>
    <n v="2021"/>
    <s v="electricity__wtt"/>
    <s v="Electricity WTT"/>
    <s v="wtt"/>
    <b v="0"/>
    <s v="ELECTRICITY; ARGENTINA; WTT Estimated"/>
    <x v="1"/>
    <x v="1"/>
    <s v="Americas"/>
    <s v="Latin America and the Caribbean"/>
    <s v="AR"/>
    <m/>
    <n v="0"/>
    <s v="CO2E"/>
    <n v="8310.3210650000001"/>
    <n v="6.1008751E-2"/>
    <s v="KWH"/>
    <n v="1"/>
    <n v="136215.23000000001"/>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base factor ELECTRICITY; ARGENTINA, IEAto estimate the WTT factor."/>
    <n v="2021"/>
    <n v="2019"/>
    <n v="8.3103210650000001"/>
    <n v="0"/>
    <x v="24"/>
    <s v="Factory"/>
  </r>
  <r>
    <n v="4942"/>
    <s v="Top of Hierarchy &gt; South America &gt; Vantage_Buenos Aires"/>
    <x v="5"/>
    <x v="1"/>
    <d v="2021-01-01T00:00:00"/>
    <d v="2021-12-31T00:00:00"/>
    <x v="0"/>
    <d v="2021-01-01T00:00:00"/>
    <d v="2021-12-31T00:00:00"/>
    <s v="Electricity (non-renewable)"/>
    <n v="136215.23000000001"/>
    <s v="Kilowatt hours"/>
    <x v="0"/>
    <m/>
    <s v="2023-02-27, 16:27"/>
    <s v="2023-07-20, 00:40"/>
    <n v="2021"/>
    <s v="electricity__wtt"/>
    <s v="Electricity WTT"/>
    <s v="wtt"/>
    <b v="0"/>
    <s v="ELECTRICITY; ARGENTINA; WTT Estimated"/>
    <x v="1"/>
    <x v="1"/>
    <s v="Americas"/>
    <s v="Latin America and the Caribbean"/>
    <s v="AR"/>
    <m/>
    <n v="0"/>
    <s v="N2O"/>
    <n v="14.427640739999999"/>
    <n v="1.05918E-4"/>
    <s v="KWH"/>
    <n v="1"/>
    <n v="136215.23000000001"/>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base factor ELECTRICITY; ARGENTINA, IEAto estimate the WTT factor."/>
    <n v="2021"/>
    <n v="2019"/>
    <n v="0"/>
    <n v="0"/>
    <x v="24"/>
    <s v="Factory"/>
  </r>
  <r>
    <n v="4942"/>
    <s v="Top of Hierarchy &gt; South America &gt; Vantage_Buenos Aires"/>
    <x v="5"/>
    <x v="1"/>
    <d v="2021-01-01T00:00:00"/>
    <d v="2021-12-31T00:00:00"/>
    <x v="0"/>
    <d v="2021-01-01T00:00:00"/>
    <d v="2021-12-31T00:00:00"/>
    <s v="Electricity (non-renewable)"/>
    <n v="136215.23000000001"/>
    <s v="Kilowatt hours"/>
    <x v="0"/>
    <m/>
    <s v="2023-02-27, 16:27"/>
    <s v="2023-07-20, 00:40"/>
    <n v="2021"/>
    <s v="electricity__wtt"/>
    <s v="Electricity WTT"/>
    <s v="wtt"/>
    <b v="0"/>
    <s v="ELECTRICITY; ARGENTINA; WTT Estimated"/>
    <x v="1"/>
    <x v="1"/>
    <s v="Americas"/>
    <s v="Latin America and the Caribbean"/>
    <s v="AR"/>
    <m/>
    <n v="1"/>
    <s v="CH4"/>
    <n v="8.6565844429999999"/>
    <n v="6.3550800000000001E-5"/>
    <s v="KWH"/>
    <n v="1"/>
    <n v="136215.23000000001"/>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base factor ELECTRICITY; ARGENTINA, IEAto estimate the WTT factor."/>
    <n v="2021"/>
    <n v="2019"/>
    <n v="0"/>
    <n v="0"/>
    <x v="24"/>
    <s v="Factory"/>
  </r>
  <r>
    <n v="4942"/>
    <s v="Top of Hierarchy &gt; South America &gt; Vantage_Buenos Aires"/>
    <x v="5"/>
    <x v="1"/>
    <d v="2021-01-01T00:00:00"/>
    <d v="2021-12-31T00:00:00"/>
    <x v="0"/>
    <d v="2021-01-01T00:00:00"/>
    <d v="2021-12-31T00:00:00"/>
    <s v="Electricity (non-renewable)"/>
    <n v="136215.23000000001"/>
    <s v="Kilowatt hours"/>
    <x v="0"/>
    <m/>
    <s v="2023-02-27, 16:27"/>
    <s v="2023-07-20, 00:40"/>
    <n v="2021"/>
    <s v="electricity__wtt"/>
    <s v="Electricity WTT"/>
    <s v="wtt"/>
    <b v="0"/>
    <s v="ELECTRICITY; ARGENTINA; WTT Estimated"/>
    <x v="1"/>
    <x v="1"/>
    <s v="Americas"/>
    <s v="Latin America and the Caribbean"/>
    <s v="AR"/>
    <m/>
    <n v="1"/>
    <s v="CO2"/>
    <n v="8287.2368399999996"/>
    <n v="6.0839282000000001E-2"/>
    <s v="KWH"/>
    <n v="1"/>
    <n v="136215.23000000001"/>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base factor ELECTRICITY; ARGENTINA, IEAto estimate the WTT factor."/>
    <n v="2021"/>
    <n v="2019"/>
    <n v="0"/>
    <n v="0"/>
    <x v="24"/>
    <s v="Factory"/>
  </r>
  <r>
    <n v="4942"/>
    <s v="Top of Hierarchy &gt; South America &gt; Vantage_Buenos Aires"/>
    <x v="5"/>
    <x v="1"/>
    <d v="2021-01-01T00:00:00"/>
    <d v="2021-12-31T00:00:00"/>
    <x v="0"/>
    <d v="2021-01-01T00:00:00"/>
    <d v="2021-12-31T00:00:00"/>
    <s v="Electricity (non-renewable)"/>
    <n v="136215.23000000001"/>
    <s v="Kilowatt hours"/>
    <x v="0"/>
    <m/>
    <s v="2023-02-27, 16:27"/>
    <s v="2023-07-20, 00:40"/>
    <n v="2021"/>
    <s v="electricity__wtt"/>
    <s v="Electricity WTT"/>
    <s v="wtt"/>
    <b v="0"/>
    <s v="ELECTRICITY; ARGENTINA; WTT Estimated"/>
    <x v="1"/>
    <x v="1"/>
    <s v="Americas"/>
    <s v="Latin America and the Caribbean"/>
    <s v="AR"/>
    <m/>
    <n v="1"/>
    <s v="CO2E"/>
    <n v="8310.3210650000001"/>
    <n v="6.1008751E-2"/>
    <s v="KWH"/>
    <n v="1"/>
    <n v="136215.23000000001"/>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base factor ELECTRICITY; ARGENTINA, IEAto estimate the WTT factor."/>
    <n v="2021"/>
    <n v="2019"/>
    <n v="0"/>
    <n v="8.3103210650000001"/>
    <x v="24"/>
    <s v="Factory"/>
  </r>
  <r>
    <n v="4942"/>
    <s v="Top of Hierarchy &gt; South America &gt; Vantage_Buenos Aires"/>
    <x v="5"/>
    <x v="1"/>
    <d v="2021-01-01T00:00:00"/>
    <d v="2021-12-31T00:00:00"/>
    <x v="0"/>
    <d v="2021-01-01T00:00:00"/>
    <d v="2021-12-31T00:00:00"/>
    <s v="Electricity (non-renewable)"/>
    <n v="136215.23000000001"/>
    <s v="Kilowatt hours"/>
    <x v="0"/>
    <m/>
    <s v="2023-02-27, 16:27"/>
    <s v="2023-07-20, 00:40"/>
    <n v="2021"/>
    <s v="electricity__wtt"/>
    <s v="Electricity WTT"/>
    <s v="wtt"/>
    <b v="0"/>
    <s v="ELECTRICITY; ARGENTINA; WTT Estimated"/>
    <x v="1"/>
    <x v="1"/>
    <s v="Americas"/>
    <s v="Latin America and the Caribbean"/>
    <s v="AR"/>
    <m/>
    <n v="1"/>
    <s v="N2O"/>
    <n v="14.427640739999999"/>
    <n v="1.05918E-4"/>
    <s v="KWH"/>
    <n v="1"/>
    <n v="136215.23000000001"/>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base factor ELECTRICITY; ARGENTINA, IEAto estimate the WTT factor."/>
    <n v="2021"/>
    <n v="2019"/>
    <n v="0"/>
    <n v="0"/>
    <x v="24"/>
    <s v="Factory"/>
  </r>
  <r>
    <n v="4942"/>
    <s v="Top of Hierarchy &gt; South America &gt; Vantage_Buenos Aires"/>
    <x v="5"/>
    <x v="1"/>
    <d v="2021-01-01T00:00:00"/>
    <d v="2021-12-31T00:00:00"/>
    <x v="0"/>
    <d v="2021-01-01T00:00:00"/>
    <d v="2021-12-31T00:00:00"/>
    <s v="Electricity (non-renewable)"/>
    <n v="136215.23000000001"/>
    <s v="Kilowatt hours"/>
    <x v="0"/>
    <m/>
    <s v="2023-02-27, 16:27"/>
    <s v="2023-07-20, 00:40"/>
    <n v="2021"/>
    <s v="electricity__t+d"/>
    <s v="Electricity T&amp;D"/>
    <s v="t+d"/>
    <b v="0"/>
    <s v="ELECTRICITY; TRANSMISSION AND DISTRIBUTION; ARGENTINA"/>
    <x v="1"/>
    <x v="1"/>
    <s v="Americas"/>
    <s v="Latin America and the Caribbean"/>
    <s v="AR"/>
    <m/>
    <n v="0"/>
    <s v="CO2E"/>
    <n v="5557.5813840000001"/>
    <s v="RESTRICTED"/>
    <s v="KWH"/>
    <n v="1"/>
    <n v="136215.23000000001"/>
    <s v="AR4"/>
    <s v="IEA"/>
    <s v="IEA (2021)"/>
    <n v="2021"/>
    <n v="2019"/>
    <n v="5.5575813839999997"/>
    <n v="0"/>
    <x v="24"/>
    <s v="Factory"/>
  </r>
  <r>
    <n v="4942"/>
    <s v="Top of Hierarchy &gt; South America &gt; Vantage_Buenos Aires"/>
    <x v="5"/>
    <x v="1"/>
    <d v="2021-01-01T00:00:00"/>
    <d v="2021-12-31T00:00:00"/>
    <x v="0"/>
    <d v="2021-01-01T00:00:00"/>
    <d v="2021-12-31T00:00:00"/>
    <s v="Electricity (non-renewable)"/>
    <n v="136215.23000000001"/>
    <s v="Kilowatt hours"/>
    <x v="0"/>
    <m/>
    <s v="2023-02-27, 16:27"/>
    <s v="2023-07-20, 00:40"/>
    <n v="2021"/>
    <s v="electricity__t+d"/>
    <s v="Electricity T&amp;D"/>
    <s v="t+d"/>
    <b v="0"/>
    <s v="ELECTRICITY; TRANSMISSION AND DISTRIBUTION; ARGENTINA"/>
    <x v="1"/>
    <x v="1"/>
    <s v="Americas"/>
    <s v="Latin America and the Caribbean"/>
    <s v="AR"/>
    <m/>
    <n v="1"/>
    <s v="CO2E"/>
    <n v="5557.5813840000001"/>
    <s v="RESTRICTED"/>
    <s v="KWH"/>
    <n v="1"/>
    <n v="136215.23000000001"/>
    <s v="AR4"/>
    <s v="IEA"/>
    <s v="IEA (2021)"/>
    <n v="2021"/>
    <n v="2019"/>
    <n v="0"/>
    <n v="5.5575813839999997"/>
    <x v="24"/>
    <s v="Factory"/>
  </r>
  <r>
    <n v="4969"/>
    <s v="Top of Hierarchy &gt; South America &gt; Vantage_Buenos Aires"/>
    <x v="5"/>
    <x v="1"/>
    <d v="2021-01-01T00:00:00"/>
    <d v="2021-12-31T00:00:00"/>
    <x v="3"/>
    <d v="2021-01-01T00:00:00"/>
    <d v="2021-12-31T00:00:00"/>
    <s v="Natural gas"/>
    <n v="0"/>
    <s v="British Thermal Units"/>
    <x v="0"/>
    <m/>
    <s v="2023-02-27, 16:27"/>
    <s v="2023-07-20, 00:40"/>
    <n v="2021"/>
    <s v="natural_gas"/>
    <s v="Natural Gas"/>
    <s v="model"/>
    <b v="0"/>
    <s v="NATURAL GAS, NATURAL GAS"/>
    <x v="2"/>
    <x v="0"/>
    <s v="Americas"/>
    <m/>
    <m/>
    <m/>
    <n v="0"/>
    <s v="CH4"/>
    <n v="0"/>
    <n v="2.5000000000000001E-2"/>
    <s v="MMBTU"/>
    <n v="9.9999999999999995E-7"/>
    <n v="0"/>
    <s v="AR4"/>
    <s v="USEPA"/>
    <s v="USEPA (2021)"/>
    <n v="2021"/>
    <n v="2021"/>
    <n v="0"/>
    <n v="0"/>
    <x v="24"/>
    <s v="Factory"/>
  </r>
  <r>
    <n v="4969"/>
    <s v="Top of Hierarchy &gt; South America &gt; Vantage_Buenos Aires"/>
    <x v="5"/>
    <x v="1"/>
    <d v="2021-01-01T00:00:00"/>
    <d v="2021-12-31T00:00:00"/>
    <x v="3"/>
    <d v="2021-01-01T00:00:00"/>
    <d v="2021-12-31T00:00:00"/>
    <s v="Natural gas"/>
    <n v="0"/>
    <s v="British Thermal Units"/>
    <x v="0"/>
    <m/>
    <s v="2023-02-27, 16:27"/>
    <s v="2023-07-20, 00:40"/>
    <n v="2021"/>
    <s v="natural_gas"/>
    <s v="Natural Gas"/>
    <s v="model"/>
    <b v="0"/>
    <s v="NATURAL GAS, NATURAL GAS"/>
    <x v="2"/>
    <x v="0"/>
    <s v="Americas"/>
    <m/>
    <m/>
    <m/>
    <n v="0"/>
    <s v="CO2"/>
    <n v="0"/>
    <n v="53.06"/>
    <s v="MMBTU"/>
    <n v="9.9999999999999995E-7"/>
    <n v="0"/>
    <s v="AR4"/>
    <s v="USEPA"/>
    <s v="USEPA Emission Factors Hub (Last Modified: March 2020)"/>
    <n v="2021"/>
    <n v="2020"/>
    <n v="0"/>
    <n v="0"/>
    <x v="24"/>
    <s v="Factory"/>
  </r>
  <r>
    <n v="4969"/>
    <s v="Top of Hierarchy &gt; South America &gt; Vantage_Buenos Aires"/>
    <x v="5"/>
    <x v="1"/>
    <d v="2021-01-01T00:00:00"/>
    <d v="2021-12-31T00:00:00"/>
    <x v="3"/>
    <d v="2021-01-01T00:00:00"/>
    <d v="2021-12-31T00:00:00"/>
    <s v="Natural gas"/>
    <n v="0"/>
    <s v="British Thermal Units"/>
    <x v="0"/>
    <m/>
    <s v="2023-02-27, 16:27"/>
    <s v="2023-07-20, 00:40"/>
    <n v="2021"/>
    <s v="natural_gas"/>
    <s v="Natural Gas"/>
    <s v="model"/>
    <b v="0"/>
    <s v="NATURAL GAS, NATURAL GAS"/>
    <x v="2"/>
    <x v="0"/>
    <s v="Americas"/>
    <m/>
    <m/>
    <m/>
    <n v="0"/>
    <s v="CO2E"/>
    <n v="0"/>
    <n v="53.114800000000002"/>
    <s v="MMBTU"/>
    <n v="9.9999999999999995E-7"/>
    <n v="0"/>
    <s v="AR4"/>
    <s v="USEPA"/>
    <s v="USEPA (2021)"/>
    <n v="2021"/>
    <n v="2021"/>
    <n v="0"/>
    <n v="0"/>
    <x v="24"/>
    <s v="Factory"/>
  </r>
  <r>
    <n v="4969"/>
    <s v="Top of Hierarchy &gt; South America &gt; Vantage_Buenos Aires"/>
    <x v="5"/>
    <x v="1"/>
    <d v="2021-01-01T00:00:00"/>
    <d v="2021-12-31T00:00:00"/>
    <x v="3"/>
    <d v="2021-01-01T00:00:00"/>
    <d v="2021-12-31T00:00:00"/>
    <s v="Natural gas"/>
    <n v="0"/>
    <s v="British Thermal Units"/>
    <x v="0"/>
    <m/>
    <s v="2023-02-27, 16:27"/>
    <s v="2023-07-20, 00:40"/>
    <n v="2021"/>
    <s v="natural_gas"/>
    <s v="Natural Gas"/>
    <s v="model"/>
    <b v="0"/>
    <s v="NATURAL GAS, NATURAL GAS"/>
    <x v="2"/>
    <x v="0"/>
    <s v="Americas"/>
    <m/>
    <m/>
    <m/>
    <n v="0"/>
    <s v="N2O"/>
    <n v="0"/>
    <n v="2.98E-2"/>
    <s v="MMBTU"/>
    <n v="9.9999999999999995E-7"/>
    <n v="0"/>
    <s v="AR4"/>
    <s v="USEPA"/>
    <s v="USEPA (2021)"/>
    <n v="2021"/>
    <n v="2021"/>
    <n v="0"/>
    <n v="0"/>
    <x v="24"/>
    <s v="Factory"/>
  </r>
  <r>
    <n v="4969"/>
    <s v="Top of Hierarchy &gt; South America &gt; Vantage_Buenos Aires"/>
    <x v="5"/>
    <x v="1"/>
    <d v="2021-01-01T00:00:00"/>
    <d v="2021-12-31T00:00:00"/>
    <x v="3"/>
    <d v="2021-01-01T00:00:00"/>
    <d v="2021-12-31T00:00:00"/>
    <s v="Natural gas"/>
    <n v="0"/>
    <s v="British Thermal Units"/>
    <x v="0"/>
    <m/>
    <s v="2023-02-27, 16:27"/>
    <s v="2023-07-20, 00:40"/>
    <n v="2021"/>
    <s v="natural_gas"/>
    <s v="Natural Gas"/>
    <s v="model"/>
    <b v="0"/>
    <s v="NATURAL GAS, NATURAL GAS"/>
    <x v="2"/>
    <x v="0"/>
    <s v="Americas"/>
    <m/>
    <m/>
    <m/>
    <n v="1"/>
    <s v="CH4"/>
    <n v="0"/>
    <n v="2.5000000000000001E-2"/>
    <s v="MMBTU"/>
    <n v="9.9999999999999995E-7"/>
    <n v="0"/>
    <s v="AR4"/>
    <s v="USEPA"/>
    <s v="USEPA (2021)"/>
    <n v="2021"/>
    <n v="2021"/>
    <n v="0"/>
    <n v="0"/>
    <x v="24"/>
    <s v="Factory"/>
  </r>
  <r>
    <n v="4969"/>
    <s v="Top of Hierarchy &gt; South America &gt; Vantage_Buenos Aires"/>
    <x v="5"/>
    <x v="1"/>
    <d v="2021-01-01T00:00:00"/>
    <d v="2021-12-31T00:00:00"/>
    <x v="3"/>
    <d v="2021-01-01T00:00:00"/>
    <d v="2021-12-31T00:00:00"/>
    <s v="Natural gas"/>
    <n v="0"/>
    <s v="British Thermal Units"/>
    <x v="0"/>
    <m/>
    <s v="2023-02-27, 16:27"/>
    <s v="2023-07-20, 00:40"/>
    <n v="2021"/>
    <s v="natural_gas"/>
    <s v="Natural Gas"/>
    <s v="model"/>
    <b v="0"/>
    <s v="NATURAL GAS, NATURAL GAS"/>
    <x v="2"/>
    <x v="0"/>
    <s v="Americas"/>
    <m/>
    <m/>
    <m/>
    <n v="1"/>
    <s v="CO2"/>
    <n v="0"/>
    <n v="53.06"/>
    <s v="MMBTU"/>
    <n v="9.9999999999999995E-7"/>
    <n v="0"/>
    <s v="AR4"/>
    <s v="USEPA"/>
    <s v="USEPA Emission Factors Hub (Last Modified: March 2020)"/>
    <n v="2021"/>
    <n v="2020"/>
    <n v="0"/>
    <n v="0"/>
    <x v="24"/>
    <s v="Factory"/>
  </r>
  <r>
    <n v="4969"/>
    <s v="Top of Hierarchy &gt; South America &gt; Vantage_Buenos Aires"/>
    <x v="5"/>
    <x v="1"/>
    <d v="2021-01-01T00:00:00"/>
    <d v="2021-12-31T00:00:00"/>
    <x v="3"/>
    <d v="2021-01-01T00:00:00"/>
    <d v="2021-12-31T00:00:00"/>
    <s v="Natural gas"/>
    <n v="0"/>
    <s v="British Thermal Units"/>
    <x v="0"/>
    <m/>
    <s v="2023-02-27, 16:27"/>
    <s v="2023-07-20, 00:40"/>
    <n v="2021"/>
    <s v="natural_gas"/>
    <s v="Natural Gas"/>
    <s v="model"/>
    <b v="0"/>
    <s v="NATURAL GAS, NATURAL GAS"/>
    <x v="2"/>
    <x v="0"/>
    <s v="Americas"/>
    <m/>
    <m/>
    <m/>
    <n v="1"/>
    <s v="CO2E"/>
    <n v="0"/>
    <n v="53.114800000000002"/>
    <s v="MMBTU"/>
    <n v="9.9999999999999995E-7"/>
    <n v="0"/>
    <s v="AR4"/>
    <s v="USEPA"/>
    <s v="USEPA (2021)"/>
    <n v="2021"/>
    <n v="2021"/>
    <n v="0"/>
    <n v="0"/>
    <x v="24"/>
    <s v="Factory"/>
  </r>
  <r>
    <n v="4969"/>
    <s v="Top of Hierarchy &gt; South America &gt; Vantage_Buenos Aires"/>
    <x v="5"/>
    <x v="1"/>
    <d v="2021-01-01T00:00:00"/>
    <d v="2021-12-31T00:00:00"/>
    <x v="3"/>
    <d v="2021-01-01T00:00:00"/>
    <d v="2021-12-31T00:00:00"/>
    <s v="Natural gas"/>
    <n v="0"/>
    <s v="British Thermal Units"/>
    <x v="0"/>
    <m/>
    <s v="2023-02-27, 16:27"/>
    <s v="2023-07-20, 00:40"/>
    <n v="2021"/>
    <s v="natural_gas"/>
    <s v="Natural Gas"/>
    <s v="model"/>
    <b v="0"/>
    <s v="NATURAL GAS, NATURAL GAS"/>
    <x v="2"/>
    <x v="0"/>
    <s v="Americas"/>
    <m/>
    <m/>
    <m/>
    <n v="1"/>
    <s v="N2O"/>
    <n v="0"/>
    <n v="2.98E-2"/>
    <s v="MMBTU"/>
    <n v="9.9999999999999995E-7"/>
    <n v="0"/>
    <s v="AR4"/>
    <s v="USEPA"/>
    <s v="USEPA (2021)"/>
    <n v="2021"/>
    <n v="2021"/>
    <n v="0"/>
    <n v="0"/>
    <x v="24"/>
    <s v="Factory"/>
  </r>
  <r>
    <n v="4969"/>
    <s v="Top of Hierarchy &gt; South America &gt; Vantage_Buenos Aires"/>
    <x v="5"/>
    <x v="1"/>
    <d v="2021-01-01T00:00:00"/>
    <d v="2021-12-31T00:00:00"/>
    <x v="3"/>
    <d v="2021-01-01T00:00:00"/>
    <d v="2021-12-31T00:00:00"/>
    <s v="Natural gas"/>
    <n v="0"/>
    <s v="British Thermal Units"/>
    <x v="0"/>
    <m/>
    <s v="2023-02-27, 16:27"/>
    <s v="2023-07-20, 00:40"/>
    <n v="2021"/>
    <s v="natural_gas__wtt"/>
    <s v="Natural Gas WTT"/>
    <s v="wtt"/>
    <b v="0"/>
    <s v="WTT- FUELS; WTT- GASEOUS FUELS; NATURAL GAS"/>
    <x v="1"/>
    <x v="1"/>
    <m/>
    <m/>
    <m/>
    <m/>
    <n v="0"/>
    <s v="CO2E"/>
    <n v="0"/>
    <n v="3.1350000000000003E-2"/>
    <s v="KWH (GROSS CV)"/>
    <n v="2.9306999999999998E-4"/>
    <n v="0"/>
    <s v="AR4"/>
    <s v="Defra"/>
    <s v="Defra (2021)"/>
    <n v="2021"/>
    <n v="2019"/>
    <n v="0"/>
    <n v="0"/>
    <x v="24"/>
    <s v="Factory"/>
  </r>
  <r>
    <n v="4969"/>
    <s v="Top of Hierarchy &gt; South America &gt; Vantage_Buenos Aires"/>
    <x v="5"/>
    <x v="1"/>
    <d v="2021-01-01T00:00:00"/>
    <d v="2021-12-31T00:00:00"/>
    <x v="3"/>
    <d v="2021-01-01T00:00:00"/>
    <d v="2021-12-31T00:00:00"/>
    <s v="Natural gas"/>
    <n v="0"/>
    <s v="British Thermal Units"/>
    <x v="0"/>
    <m/>
    <s v="2023-02-27, 16:27"/>
    <s v="2023-07-20, 00:40"/>
    <n v="2021"/>
    <s v="natural_gas__wtt"/>
    <s v="Natural Gas WTT"/>
    <s v="wtt"/>
    <b v="0"/>
    <s v="WTT- FUELS; WTT- GASEOUS FUELS; NATURAL GAS"/>
    <x v="1"/>
    <x v="1"/>
    <m/>
    <m/>
    <m/>
    <m/>
    <n v="1"/>
    <s v="CO2E"/>
    <n v="0"/>
    <n v="3.1350000000000003E-2"/>
    <s v="KWH (GROSS CV)"/>
    <n v="2.9306999999999998E-4"/>
    <n v="0"/>
    <s v="AR4"/>
    <s v="Defra"/>
    <s v="Defra (2021)"/>
    <n v="2021"/>
    <n v="2019"/>
    <n v="0"/>
    <n v="0"/>
    <x v="24"/>
    <s v="Factory"/>
  </r>
  <r>
    <n v="5000"/>
    <s v="Top of Hierarchy &gt; South America &gt; Vantage_Buenos Aires"/>
    <x v="5"/>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0"/>
    <s v="CH4"/>
    <n v="0"/>
    <n v="2.5999999999999998E-4"/>
    <s v="LITRES"/>
    <n v="1"/>
    <n v="0"/>
    <s v="AR4"/>
    <s v="Defra"/>
    <s v="Defra (2021)"/>
    <n v="2021"/>
    <n v="2019"/>
    <n v="0"/>
    <n v="0"/>
    <x v="24"/>
    <s v="Factory"/>
  </r>
  <r>
    <n v="5000"/>
    <s v="Top of Hierarchy &gt; South America &gt; Vantage_Buenos Aires"/>
    <x v="5"/>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0"/>
    <s v="CO2"/>
    <n v="0"/>
    <n v="2.6680700000000002"/>
    <s v="LITRES"/>
    <n v="1"/>
    <n v="0"/>
    <s v="AR4"/>
    <s v="Defra"/>
    <s v="Defra (2021)"/>
    <n v="2021"/>
    <n v="2019"/>
    <n v="0"/>
    <n v="0"/>
    <x v="24"/>
    <s v="Factory"/>
  </r>
  <r>
    <n v="5000"/>
    <s v="Top of Hierarchy &gt; South America &gt; Vantage_Buenos Aires"/>
    <x v="5"/>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0"/>
    <s v="CO2E"/>
    <n v="0"/>
    <n v="2.70553"/>
    <s v="LITRES"/>
    <n v="1"/>
    <n v="0"/>
    <s v="AR4"/>
    <s v="Defra"/>
    <s v="Defra (2021)"/>
    <n v="2021"/>
    <n v="2019"/>
    <n v="0"/>
    <n v="0"/>
    <x v="24"/>
    <s v="Factory"/>
  </r>
  <r>
    <n v="5000"/>
    <s v="Top of Hierarchy &gt; South America &gt; Vantage_Buenos Aires"/>
    <x v="5"/>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0"/>
    <s v="N2O"/>
    <n v="0"/>
    <n v="3.7199999999999997E-2"/>
    <s v="LITRES"/>
    <n v="1"/>
    <n v="0"/>
    <s v="AR4"/>
    <s v="Defra"/>
    <s v="Defra (2021)"/>
    <n v="2021"/>
    <n v="2019"/>
    <n v="0"/>
    <n v="0"/>
    <x v="24"/>
    <s v="Factory"/>
  </r>
  <r>
    <n v="5000"/>
    <s v="Top of Hierarchy &gt; South America &gt; Vantage_Buenos Aires"/>
    <x v="5"/>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1"/>
    <s v="CH4"/>
    <n v="0"/>
    <n v="2.5999999999999998E-4"/>
    <s v="LITRES"/>
    <n v="1"/>
    <n v="0"/>
    <s v="AR4"/>
    <s v="Defra"/>
    <s v="Defra (2021)"/>
    <n v="2021"/>
    <n v="2019"/>
    <n v="0"/>
    <n v="0"/>
    <x v="24"/>
    <s v="Factory"/>
  </r>
  <r>
    <n v="5000"/>
    <s v="Top of Hierarchy &gt; South America &gt; Vantage_Buenos Aires"/>
    <x v="5"/>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1"/>
    <s v="CO2"/>
    <n v="0"/>
    <n v="2.6680700000000002"/>
    <s v="LITRES"/>
    <n v="1"/>
    <n v="0"/>
    <s v="AR4"/>
    <s v="Defra"/>
    <s v="Defra (2021)"/>
    <n v="2021"/>
    <n v="2019"/>
    <n v="0"/>
    <n v="0"/>
    <x v="24"/>
    <s v="Factory"/>
  </r>
  <r>
    <n v="5000"/>
    <s v="Top of Hierarchy &gt; South America &gt; Vantage_Buenos Aires"/>
    <x v="5"/>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1"/>
    <s v="CO2E"/>
    <n v="0"/>
    <n v="2.70553"/>
    <s v="LITRES"/>
    <n v="1"/>
    <n v="0"/>
    <s v="AR4"/>
    <s v="Defra"/>
    <s v="Defra (2021)"/>
    <n v="2021"/>
    <n v="2019"/>
    <n v="0"/>
    <n v="0"/>
    <x v="24"/>
    <s v="Factory"/>
  </r>
  <r>
    <n v="5000"/>
    <s v="Top of Hierarchy &gt; South America &gt; Vantage_Buenos Aires"/>
    <x v="5"/>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1"/>
    <s v="N2O"/>
    <n v="0"/>
    <n v="3.7199999999999997E-2"/>
    <s v="LITRES"/>
    <n v="1"/>
    <n v="0"/>
    <s v="AR4"/>
    <s v="Defra"/>
    <s v="Defra (2021)"/>
    <n v="2021"/>
    <n v="2019"/>
    <n v="0"/>
    <n v="0"/>
    <x v="24"/>
    <s v="Factory"/>
  </r>
  <r>
    <n v="5000"/>
    <s v="Top of Hierarchy &gt; South America &gt; Vantage_Buenos Aires"/>
    <x v="5"/>
    <x v="1"/>
    <d v="2021-01-01T00:00:00"/>
    <d v="2021-12-31T00:00:00"/>
    <x v="1"/>
    <d v="2021-01-01T00:00:00"/>
    <d v="2021-12-31T00:00:00"/>
    <s v="Diesel (100% mineral diesel)"/>
    <n v="0"/>
    <s v="litres"/>
    <x v="0"/>
    <m/>
    <s v="2023-02-27, 16:27"/>
    <s v="2023-07-20, 00:40"/>
    <n v="2021"/>
    <s v="diesel_100p_mineral_diesel__wtt"/>
    <s v="Diesel (100% Mineral Diesel) WTT"/>
    <s v="wtt"/>
    <b v="0"/>
    <s v="WTT- FUELS; WTT- LIQUID FUELS; DIESEL (100% MINERAL DIESEL)"/>
    <x v="1"/>
    <x v="1"/>
    <m/>
    <m/>
    <m/>
    <m/>
    <n v="0"/>
    <s v="CO2E"/>
    <n v="0"/>
    <n v="0.62873999999999997"/>
    <s v="LITRES"/>
    <n v="1"/>
    <n v="0"/>
    <s v="AR4"/>
    <s v="Defra"/>
    <s v="Defra (2021)"/>
    <n v="2021"/>
    <n v="2019"/>
    <n v="0"/>
    <n v="0"/>
    <x v="24"/>
    <s v="Factory"/>
  </r>
  <r>
    <n v="5000"/>
    <s v="Top of Hierarchy &gt; South America &gt; Vantage_Buenos Aires"/>
    <x v="5"/>
    <x v="1"/>
    <d v="2021-01-01T00:00:00"/>
    <d v="2021-12-31T00:00:00"/>
    <x v="1"/>
    <d v="2021-01-01T00:00:00"/>
    <d v="2021-12-31T00:00:00"/>
    <s v="Diesel (100% mineral diesel)"/>
    <n v="0"/>
    <s v="litres"/>
    <x v="0"/>
    <m/>
    <s v="2023-02-27, 16:27"/>
    <s v="2023-07-20, 00:40"/>
    <n v="2021"/>
    <s v="diesel_100p_mineral_diesel__wtt"/>
    <s v="Diesel (100% Mineral Diesel) WTT"/>
    <s v="wtt"/>
    <b v="0"/>
    <s v="WTT- FUELS; WTT- LIQUID FUELS; DIESEL (100% MINERAL DIESEL)"/>
    <x v="1"/>
    <x v="1"/>
    <m/>
    <m/>
    <m/>
    <m/>
    <n v="1"/>
    <s v="CO2E"/>
    <n v="0"/>
    <n v="0.62873999999999997"/>
    <s v="LITRES"/>
    <n v="1"/>
    <n v="0"/>
    <s v="AR4"/>
    <s v="Defra"/>
    <s v="Defra (2021)"/>
    <n v="2021"/>
    <n v="2019"/>
    <n v="0"/>
    <n v="0"/>
    <x v="24"/>
    <s v="Factory"/>
  </r>
  <r>
    <n v="5028"/>
    <s v="Top of Hierarchy &gt; South America &gt; Vantage_Buenos Aires"/>
    <x v="5"/>
    <x v="1"/>
    <d v="2021-01-01T00:00:00"/>
    <d v="2021-12-31T00:00:00"/>
    <x v="4"/>
    <d v="2021-01-01T00:00:00"/>
    <d v="2021-12-31T00:00:00"/>
    <s v="HFC-134a"/>
    <n v="5.47"/>
    <s v="kilograms"/>
    <x v="0"/>
    <m/>
    <s v="2023-02-27, 16:27"/>
    <s v="2023-07-20, 00:40"/>
    <n v="2021"/>
    <s v="hfc-134a"/>
    <s v="HFC-134A"/>
    <s v="model"/>
    <b v="0"/>
    <s v="REFRIGERANT: R-134A"/>
    <x v="2"/>
    <x v="0"/>
    <m/>
    <m/>
    <m/>
    <m/>
    <n v="0"/>
    <s v="CO2E"/>
    <n v="7822.1"/>
    <n v="1430"/>
    <s v="KG"/>
    <n v="1"/>
    <n v="5.47"/>
    <s v="AR4"/>
    <s v="IPCC"/>
    <s v="IPCC (2021)"/>
    <n v="2021"/>
    <n v="2007"/>
    <n v="7.8221000000000007"/>
    <n v="0"/>
    <x v="24"/>
    <s v="Factory"/>
  </r>
  <r>
    <n v="5028"/>
    <s v="Top of Hierarchy &gt; South America &gt; Vantage_Buenos Aires"/>
    <x v="5"/>
    <x v="1"/>
    <d v="2021-01-01T00:00:00"/>
    <d v="2021-12-31T00:00:00"/>
    <x v="4"/>
    <d v="2021-01-01T00:00:00"/>
    <d v="2021-12-31T00:00:00"/>
    <s v="HFC-134a"/>
    <n v="5.47"/>
    <s v="kilograms"/>
    <x v="0"/>
    <m/>
    <s v="2023-02-27, 16:27"/>
    <s v="2023-07-20, 00:40"/>
    <n v="2021"/>
    <s v="hfc-134a"/>
    <s v="HFC-134A"/>
    <s v="model"/>
    <b v="0"/>
    <s v="REFRIGERANT: R-134A"/>
    <x v="2"/>
    <x v="0"/>
    <m/>
    <m/>
    <m/>
    <m/>
    <n v="1"/>
    <s v="CO2E"/>
    <n v="7822.1"/>
    <n v="1430"/>
    <s v="KG"/>
    <n v="1"/>
    <n v="5.47"/>
    <s v="AR4"/>
    <s v="IPCC"/>
    <s v="IPCC (2021)"/>
    <n v="2021"/>
    <n v="2007"/>
    <n v="0"/>
    <n v="7.8221000000000007"/>
    <x v="24"/>
    <s v="Factory"/>
  </r>
  <r>
    <n v="237709"/>
    <s v="Top of Hierarchy &gt; South America &gt; Vantage_Guatemala City"/>
    <x v="4"/>
    <x v="0"/>
    <d v="2022-01-01T00:00:00"/>
    <d v="2022-12-31T00:00:00"/>
    <x v="0"/>
    <d v="2022-01-01T00:00:00"/>
    <d v="2022-12-31T00:00:00"/>
    <s v="Electricity (non-renewable)"/>
    <n v="15649"/>
    <s v="Kilowatt hours"/>
    <x v="1"/>
    <m/>
    <s v="2023-04-20, 21:41"/>
    <s v="2023-07-20, 00:40"/>
    <n v="2022"/>
    <s v="electricity"/>
    <s v="Electricity"/>
    <s v="model"/>
    <b v="0"/>
    <s v="ELECTRICITY; GUATEMALA"/>
    <x v="0"/>
    <x v="0"/>
    <s v="Americas"/>
    <s v="Latin America and the Caribbean"/>
    <s v="GT"/>
    <m/>
    <n v="0"/>
    <s v="CH4"/>
    <n v="48.511899999999997"/>
    <s v="RESTRICTED"/>
    <s v="KWH"/>
    <n v="1"/>
    <n v="15649"/>
    <s v="AR4"/>
    <s v="IEA"/>
    <s v="IEA (2022)"/>
    <n v="2022"/>
    <n v="2020"/>
    <n v="0"/>
    <n v="0"/>
    <x v="25"/>
    <s v="Unspecified Facility Type"/>
  </r>
  <r>
    <n v="237709"/>
    <s v="Top of Hierarchy &gt; South America &gt; Vantage_Guatemala City"/>
    <x v="4"/>
    <x v="0"/>
    <d v="2022-01-01T00:00:00"/>
    <d v="2022-12-31T00:00:00"/>
    <x v="0"/>
    <d v="2022-01-01T00:00:00"/>
    <d v="2022-12-31T00:00:00"/>
    <s v="Electricity (non-renewable)"/>
    <n v="15649"/>
    <s v="Kilowatt hours"/>
    <x v="1"/>
    <m/>
    <s v="2023-04-20, 21:41"/>
    <s v="2023-07-20, 00:40"/>
    <n v="2022"/>
    <s v="electricity"/>
    <s v="Electricity"/>
    <s v="model"/>
    <b v="0"/>
    <s v="ELECTRICITY; GUATEMALA"/>
    <x v="0"/>
    <x v="0"/>
    <s v="Americas"/>
    <s v="Latin America and the Caribbean"/>
    <s v="GT"/>
    <m/>
    <n v="0"/>
    <s v="CO2"/>
    <n v="4505.3471"/>
    <s v="RESTRICTED"/>
    <s v="KWH"/>
    <n v="1"/>
    <n v="15649"/>
    <s v="AR4"/>
    <s v="IEA"/>
    <s v="IEA (2022)"/>
    <n v="2022"/>
    <n v="2020"/>
    <n v="0"/>
    <n v="0"/>
    <x v="25"/>
    <s v="Unspecified Facility Type"/>
  </r>
  <r>
    <n v="237709"/>
    <s v="Top of Hierarchy &gt; South America &gt; Vantage_Guatemala City"/>
    <x v="4"/>
    <x v="0"/>
    <d v="2022-01-01T00:00:00"/>
    <d v="2022-12-31T00:00:00"/>
    <x v="0"/>
    <d v="2022-01-01T00:00:00"/>
    <d v="2022-12-31T00:00:00"/>
    <s v="Electricity (non-renewable)"/>
    <n v="15649"/>
    <s v="Kilowatt hours"/>
    <x v="1"/>
    <m/>
    <s v="2023-04-20, 21:41"/>
    <s v="2023-07-20, 00:40"/>
    <n v="2022"/>
    <s v="electricity"/>
    <s v="Electricity"/>
    <s v="model"/>
    <b v="0"/>
    <s v="ELECTRICITY; GUATEMALA"/>
    <x v="0"/>
    <x v="0"/>
    <s v="Americas"/>
    <s v="Latin America and the Caribbean"/>
    <s v="GT"/>
    <m/>
    <n v="0"/>
    <s v="CO2E"/>
    <n v="4646.1881000000003"/>
    <s v="RESTRICTED"/>
    <s v="KWH"/>
    <n v="1"/>
    <n v="15649"/>
    <s v="AR4"/>
    <s v="IEA"/>
    <s v="IEA (2022)"/>
    <n v="2022"/>
    <n v="2020"/>
    <n v="4.6461881000000007"/>
    <n v="0"/>
    <x v="25"/>
    <s v="Unspecified Facility Type"/>
  </r>
  <r>
    <n v="237709"/>
    <s v="Top of Hierarchy &gt; South America &gt; Vantage_Guatemala City"/>
    <x v="4"/>
    <x v="0"/>
    <d v="2022-01-01T00:00:00"/>
    <d v="2022-12-31T00:00:00"/>
    <x v="0"/>
    <d v="2022-01-01T00:00:00"/>
    <d v="2022-12-31T00:00:00"/>
    <s v="Electricity (non-renewable)"/>
    <n v="15649"/>
    <s v="Kilowatt hours"/>
    <x v="1"/>
    <m/>
    <s v="2023-04-20, 21:41"/>
    <s v="2023-07-20, 00:40"/>
    <n v="2022"/>
    <s v="electricity"/>
    <s v="Electricity"/>
    <s v="model"/>
    <b v="0"/>
    <s v="ELECTRICITY; GUATEMALA"/>
    <x v="0"/>
    <x v="0"/>
    <s v="Americas"/>
    <s v="Latin America and the Caribbean"/>
    <s v="GT"/>
    <m/>
    <n v="0"/>
    <s v="N2O"/>
    <n v="92.329099999999997"/>
    <s v="RESTRICTED"/>
    <s v="KWH"/>
    <n v="1"/>
    <n v="15649"/>
    <s v="AR4"/>
    <s v="IEA"/>
    <s v="IEA (2022)"/>
    <n v="2022"/>
    <n v="2020"/>
    <n v="0"/>
    <n v="0"/>
    <x v="25"/>
    <s v="Unspecified Facility Type"/>
  </r>
  <r>
    <n v="237709"/>
    <s v="Top of Hierarchy &gt; South America &gt; Vantage_Guatemala City"/>
    <x v="4"/>
    <x v="0"/>
    <d v="2022-01-01T00:00:00"/>
    <d v="2022-12-31T00:00:00"/>
    <x v="0"/>
    <d v="2022-01-01T00:00:00"/>
    <d v="2022-12-31T00:00:00"/>
    <s v="Electricity (non-renewable)"/>
    <n v="15649"/>
    <s v="Kilowatt hours"/>
    <x v="1"/>
    <m/>
    <s v="2023-04-20, 21:41"/>
    <s v="2023-07-20, 00:40"/>
    <n v="2022"/>
    <s v="electricity"/>
    <s v="Electricity"/>
    <s v="model"/>
    <b v="0"/>
    <s v="ELECTRICITY; GUATEMALA"/>
    <x v="0"/>
    <x v="0"/>
    <s v="Americas"/>
    <s v="Latin America and the Caribbean"/>
    <s v="GT"/>
    <m/>
    <n v="1"/>
    <s v="CH4"/>
    <n v="48.511899999999997"/>
    <s v="RESTRICTED"/>
    <s v="KWH"/>
    <n v="1"/>
    <n v="15649"/>
    <s v="AR4"/>
    <s v="IEA"/>
    <s v="IEA (2022)"/>
    <n v="2022"/>
    <n v="2020"/>
    <n v="0"/>
    <n v="0"/>
    <x v="25"/>
    <s v="Unspecified Facility Type"/>
  </r>
  <r>
    <n v="237709"/>
    <s v="Top of Hierarchy &gt; South America &gt; Vantage_Guatemala City"/>
    <x v="4"/>
    <x v="0"/>
    <d v="2022-01-01T00:00:00"/>
    <d v="2022-12-31T00:00:00"/>
    <x v="0"/>
    <d v="2022-01-01T00:00:00"/>
    <d v="2022-12-31T00:00:00"/>
    <s v="Electricity (non-renewable)"/>
    <n v="15649"/>
    <s v="Kilowatt hours"/>
    <x v="1"/>
    <m/>
    <s v="2023-04-20, 21:41"/>
    <s v="2023-07-20, 00:40"/>
    <n v="2022"/>
    <s v="electricity"/>
    <s v="Electricity"/>
    <s v="model"/>
    <b v="0"/>
    <s v="ELECTRICITY; GUATEMALA"/>
    <x v="0"/>
    <x v="0"/>
    <s v="Americas"/>
    <s v="Latin America and the Caribbean"/>
    <s v="GT"/>
    <m/>
    <n v="1"/>
    <s v="CO2"/>
    <n v="4505.3471"/>
    <s v="RESTRICTED"/>
    <s v="KWH"/>
    <n v="1"/>
    <n v="15649"/>
    <s v="AR4"/>
    <s v="IEA"/>
    <s v="IEA (2022)"/>
    <n v="2022"/>
    <n v="2020"/>
    <n v="0"/>
    <n v="0"/>
    <x v="25"/>
    <s v="Unspecified Facility Type"/>
  </r>
  <r>
    <n v="237709"/>
    <s v="Top of Hierarchy &gt; South America &gt; Vantage_Guatemala City"/>
    <x v="4"/>
    <x v="0"/>
    <d v="2022-01-01T00:00:00"/>
    <d v="2022-12-31T00:00:00"/>
    <x v="0"/>
    <d v="2022-01-01T00:00:00"/>
    <d v="2022-12-31T00:00:00"/>
    <s v="Electricity (non-renewable)"/>
    <n v="15649"/>
    <s v="Kilowatt hours"/>
    <x v="1"/>
    <m/>
    <s v="2023-04-20, 21:41"/>
    <s v="2023-07-20, 00:40"/>
    <n v="2022"/>
    <s v="electricity"/>
    <s v="Electricity"/>
    <s v="model"/>
    <b v="0"/>
    <s v="ELECTRICITY; GUATEMALA"/>
    <x v="0"/>
    <x v="0"/>
    <s v="Americas"/>
    <s v="Latin America and the Caribbean"/>
    <s v="GT"/>
    <m/>
    <n v="1"/>
    <s v="CO2E"/>
    <n v="4646.1881000000003"/>
    <s v="RESTRICTED"/>
    <s v="KWH"/>
    <n v="1"/>
    <n v="15649"/>
    <s v="AR4"/>
    <s v="IEA"/>
    <s v="IEA (2022)"/>
    <n v="2022"/>
    <n v="2020"/>
    <n v="0"/>
    <n v="4.6461881000000007"/>
    <x v="25"/>
    <s v="Unspecified Facility Type"/>
  </r>
  <r>
    <n v="237709"/>
    <s v="Top of Hierarchy &gt; South America &gt; Vantage_Guatemala City"/>
    <x v="4"/>
    <x v="0"/>
    <d v="2022-01-01T00:00:00"/>
    <d v="2022-12-31T00:00:00"/>
    <x v="0"/>
    <d v="2022-01-01T00:00:00"/>
    <d v="2022-12-31T00:00:00"/>
    <s v="Electricity (non-renewable)"/>
    <n v="15649"/>
    <s v="Kilowatt hours"/>
    <x v="1"/>
    <m/>
    <s v="2023-04-20, 21:41"/>
    <s v="2023-07-20, 00:40"/>
    <n v="2022"/>
    <s v="electricity"/>
    <s v="Electricity"/>
    <s v="model"/>
    <b v="0"/>
    <s v="ELECTRICITY; GUATEMALA"/>
    <x v="0"/>
    <x v="0"/>
    <s v="Americas"/>
    <s v="Latin America and the Caribbean"/>
    <s v="GT"/>
    <m/>
    <n v="1"/>
    <s v="N2O"/>
    <n v="92.329099999999997"/>
    <s v="RESTRICTED"/>
    <s v="KWH"/>
    <n v="1"/>
    <n v="15649"/>
    <s v="AR4"/>
    <s v="IEA"/>
    <s v="IEA (2022)"/>
    <n v="2022"/>
    <n v="2020"/>
    <n v="0"/>
    <n v="0"/>
    <x v="25"/>
    <s v="Unspecified Facility Type"/>
  </r>
  <r>
    <n v="237709"/>
    <s v="Top of Hierarchy &gt; South America &gt; Vantage_Guatemala City"/>
    <x v="4"/>
    <x v="0"/>
    <d v="2022-01-01T00:00:00"/>
    <d v="2022-12-31T00:00:00"/>
    <x v="0"/>
    <d v="2022-01-01T00:00:00"/>
    <d v="2022-12-31T00:00:00"/>
    <s v="Electricity (non-renewable)"/>
    <n v="15649"/>
    <s v="Kilowatt hours"/>
    <x v="1"/>
    <m/>
    <s v="2023-04-20, 21:41"/>
    <s v="2023-07-20, 00:40"/>
    <n v="2022"/>
    <s v="electricity__t+d__wtt"/>
    <s v="Electricity T&amp;D WTT"/>
    <s v="t+d_wtt"/>
    <b v="0"/>
    <s v="ELECTRICITY T&amp;D WTT; GUATEMALA"/>
    <x v="1"/>
    <x v="1"/>
    <s v="Americas"/>
    <s v="Latin America and the Caribbean"/>
    <s v="GT"/>
    <m/>
    <n v="0"/>
    <s v="CO2E"/>
    <n v="108.4011751"/>
    <n v="6.9270349999999998E-3"/>
    <s v="KWH"/>
    <n v="1"/>
    <n v="15649"/>
    <s v="AR4"/>
    <s v="Anthesis"/>
    <s v="Anthesis (2022)"/>
    <n v="2022"/>
    <n v="2020"/>
    <n v="0.1084011751"/>
    <n v="0"/>
    <x v="25"/>
    <s v="Unspecified Facility Type"/>
  </r>
  <r>
    <n v="237709"/>
    <s v="Top of Hierarchy &gt; South America &gt; Vantage_Guatemala City"/>
    <x v="4"/>
    <x v="0"/>
    <d v="2022-01-01T00:00:00"/>
    <d v="2022-12-31T00:00:00"/>
    <x v="0"/>
    <d v="2022-01-01T00:00:00"/>
    <d v="2022-12-31T00:00:00"/>
    <s v="Electricity (non-renewable)"/>
    <n v="15649"/>
    <s v="Kilowatt hours"/>
    <x v="1"/>
    <m/>
    <s v="2023-04-20, 21:41"/>
    <s v="2023-07-20, 00:40"/>
    <n v="2022"/>
    <s v="electricity__t+d__wtt"/>
    <s v="Electricity T&amp;D WTT"/>
    <s v="t+d_wtt"/>
    <b v="0"/>
    <s v="ELECTRICITY T&amp;D WTT; GUATEMALA"/>
    <x v="1"/>
    <x v="1"/>
    <s v="Americas"/>
    <s v="Latin America and the Caribbean"/>
    <s v="GT"/>
    <m/>
    <n v="1"/>
    <s v="CO2E"/>
    <n v="108.4011751"/>
    <n v="6.9270349999999998E-3"/>
    <s v="KWH"/>
    <n v="1"/>
    <n v="15649"/>
    <s v="AR4"/>
    <s v="Anthesis"/>
    <s v="Anthesis (2022)"/>
    <n v="2022"/>
    <n v="2020"/>
    <n v="0"/>
    <n v="0.1084011751"/>
    <x v="25"/>
    <s v="Unspecified Facility Type"/>
  </r>
  <r>
    <n v="237709"/>
    <s v="Top of Hierarchy &gt; South America &gt; Vantage_Guatemala City"/>
    <x v="4"/>
    <x v="0"/>
    <d v="2022-01-01T00:00:00"/>
    <d v="2022-12-31T00:00:00"/>
    <x v="0"/>
    <d v="2022-01-01T00:00:00"/>
    <d v="2022-12-31T00:00:00"/>
    <s v="Electricity (non-renewable)"/>
    <n v="15649"/>
    <s v="Kilowatt hours"/>
    <x v="1"/>
    <m/>
    <s v="2023-04-20, 21:41"/>
    <s v="2023-07-20, 00:40"/>
    <n v="2022"/>
    <s v="electricity__wtt"/>
    <s v="Electricity WTT"/>
    <s v="wtt"/>
    <b v="0"/>
    <s v="ELECTRICITY WTT; GUATEMALA"/>
    <x v="1"/>
    <x v="1"/>
    <s v="Americas"/>
    <s v="Latin America and the Caribbean"/>
    <s v="GT"/>
    <m/>
    <n v="0"/>
    <s v="CO2E"/>
    <n v="984.22963000000004"/>
    <n v="6.2894090999999999E-2"/>
    <s v="KWH"/>
    <n v="1"/>
    <n v="15649"/>
    <s v="AR4"/>
    <s v="Anthesis"/>
    <s v="Anthesis (2022)"/>
    <n v="2022"/>
    <n v="2020"/>
    <n v="0.98422963000000008"/>
    <n v="0"/>
    <x v="25"/>
    <s v="Unspecified Facility Type"/>
  </r>
  <r>
    <n v="237709"/>
    <s v="Top of Hierarchy &gt; South America &gt; Vantage_Guatemala City"/>
    <x v="4"/>
    <x v="0"/>
    <d v="2022-01-01T00:00:00"/>
    <d v="2022-12-31T00:00:00"/>
    <x v="0"/>
    <d v="2022-01-01T00:00:00"/>
    <d v="2022-12-31T00:00:00"/>
    <s v="Electricity (non-renewable)"/>
    <n v="15649"/>
    <s v="Kilowatt hours"/>
    <x v="1"/>
    <m/>
    <s v="2023-04-20, 21:41"/>
    <s v="2023-07-20, 00:40"/>
    <n v="2022"/>
    <s v="electricity__wtt"/>
    <s v="Electricity WTT"/>
    <s v="wtt"/>
    <b v="0"/>
    <s v="ELECTRICITY WTT; GUATEMALA"/>
    <x v="1"/>
    <x v="1"/>
    <s v="Americas"/>
    <s v="Latin America and the Caribbean"/>
    <s v="GT"/>
    <m/>
    <n v="1"/>
    <s v="CO2E"/>
    <n v="984.22963000000004"/>
    <n v="6.2894090999999999E-2"/>
    <s v="KWH"/>
    <n v="1"/>
    <n v="15649"/>
    <s v="AR4"/>
    <s v="Anthesis"/>
    <s v="Anthesis (2022)"/>
    <n v="2022"/>
    <n v="2020"/>
    <n v="0"/>
    <n v="0.98422963000000008"/>
    <x v="25"/>
    <s v="Unspecified Facility Type"/>
  </r>
  <r>
    <n v="237709"/>
    <s v="Top of Hierarchy &gt; South America &gt; Vantage_Guatemala City"/>
    <x v="4"/>
    <x v="0"/>
    <d v="2022-01-01T00:00:00"/>
    <d v="2022-12-31T00:00:00"/>
    <x v="0"/>
    <d v="2022-01-01T00:00:00"/>
    <d v="2022-12-31T00:00:00"/>
    <s v="Electricity (non-renewable)"/>
    <n v="15649"/>
    <s v="Kilowatt hours"/>
    <x v="1"/>
    <m/>
    <s v="2023-04-20, 21:41"/>
    <s v="2023-07-20, 00:40"/>
    <n v="2022"/>
    <s v="electricity__t+d"/>
    <s v="Electricity T&amp;D"/>
    <s v="t+d"/>
    <b v="0"/>
    <s v="ELECTRICITY; TRANSMISSION AND DISTRIBUTION; GUATEMALA"/>
    <x v="1"/>
    <x v="1"/>
    <s v="Americas"/>
    <s v="Latin America and the Caribbean"/>
    <s v="GT"/>
    <m/>
    <n v="0"/>
    <s v="CO2E"/>
    <n v="511.72230000000002"/>
    <s v="RESTRICTED"/>
    <s v="KWH"/>
    <n v="1"/>
    <n v="15649"/>
    <s v="AR4"/>
    <s v="IEA"/>
    <s v="IEA (2022)"/>
    <n v="2022"/>
    <n v="2020"/>
    <n v="0.51172229999999996"/>
    <n v="0"/>
    <x v="25"/>
    <s v="Unspecified Facility Type"/>
  </r>
  <r>
    <n v="237709"/>
    <s v="Top of Hierarchy &gt; South America &gt; Vantage_Guatemala City"/>
    <x v="4"/>
    <x v="0"/>
    <d v="2022-01-01T00:00:00"/>
    <d v="2022-12-31T00:00:00"/>
    <x v="0"/>
    <d v="2022-01-01T00:00:00"/>
    <d v="2022-12-31T00:00:00"/>
    <s v="Electricity (non-renewable)"/>
    <n v="15649"/>
    <s v="Kilowatt hours"/>
    <x v="1"/>
    <m/>
    <s v="2023-04-20, 21:41"/>
    <s v="2023-07-20, 00:40"/>
    <n v="2022"/>
    <s v="electricity__t+d"/>
    <s v="Electricity T&amp;D"/>
    <s v="t+d"/>
    <b v="0"/>
    <s v="ELECTRICITY; TRANSMISSION AND DISTRIBUTION; GUATEMALA"/>
    <x v="1"/>
    <x v="1"/>
    <s v="Americas"/>
    <s v="Latin America and the Caribbean"/>
    <s v="GT"/>
    <m/>
    <n v="1"/>
    <s v="CO2E"/>
    <n v="511.72230000000002"/>
    <s v="RESTRICTED"/>
    <s v="KWH"/>
    <n v="1"/>
    <n v="15649"/>
    <s v="AR4"/>
    <s v="IEA"/>
    <s v="IEA (2022)"/>
    <n v="2022"/>
    <n v="2020"/>
    <n v="0"/>
    <n v="0.51172229999999996"/>
    <x v="25"/>
    <s v="Unspecified Facility Type"/>
  </r>
  <r>
    <n v="237707"/>
    <s v="Top of Hierarchy &gt; South America &gt; Vantage_Guatemala City"/>
    <x v="4"/>
    <x v="0"/>
    <d v="2022-01-01T00:00:00"/>
    <d v="2022-12-31T00:00:00"/>
    <x v="3"/>
    <d v="2022-01-01T00:00:00"/>
    <d v="2022-12-31T00:00:00"/>
    <s v="Natural gas"/>
    <n v="0"/>
    <s v="British Thermal Units"/>
    <x v="1"/>
    <m/>
    <s v="2023-04-20, 21:39"/>
    <s v="2023-07-20, 00:40"/>
    <n v="2022"/>
    <s v="natural_gas"/>
    <s v="Natural Gas"/>
    <s v="model"/>
    <b v="0"/>
    <s v="NATURAL GAS, NATURAL GAS"/>
    <x v="2"/>
    <x v="0"/>
    <s v="Americas"/>
    <m/>
    <m/>
    <m/>
    <n v="0"/>
    <s v="CH4"/>
    <n v="0"/>
    <n v="2.5000000000000001E-2"/>
    <s v="MMBTU"/>
    <n v="9.9999999999999995E-7"/>
    <n v="0"/>
    <s v="AR4"/>
    <s v="USEPA"/>
    <s v="USEPA Emission Factors Hub (Last Modified: March 2020)"/>
    <n v="2022"/>
    <n v="2021"/>
    <n v="0"/>
    <n v="0"/>
    <x v="25"/>
    <s v="Unspecified Facility Type"/>
  </r>
  <r>
    <n v="237707"/>
    <s v="Top of Hierarchy &gt; South America &gt; Vantage_Guatemala City"/>
    <x v="4"/>
    <x v="0"/>
    <d v="2022-01-01T00:00:00"/>
    <d v="2022-12-31T00:00:00"/>
    <x v="3"/>
    <d v="2022-01-01T00:00:00"/>
    <d v="2022-12-31T00:00:00"/>
    <s v="Natural gas"/>
    <n v="0"/>
    <s v="British Thermal Units"/>
    <x v="1"/>
    <m/>
    <s v="2023-04-20, 21:39"/>
    <s v="2023-07-20, 00:40"/>
    <n v="2022"/>
    <s v="natural_gas"/>
    <s v="Natural Gas"/>
    <s v="model"/>
    <b v="0"/>
    <s v="NATURAL GAS, NATURAL GAS"/>
    <x v="2"/>
    <x v="0"/>
    <s v="Americas"/>
    <m/>
    <m/>
    <m/>
    <n v="0"/>
    <s v="CO2"/>
    <n v="0"/>
    <n v="53.06"/>
    <s v="MMBTU"/>
    <n v="9.9999999999999995E-7"/>
    <n v="0"/>
    <s v="AR4"/>
    <s v="USEPA"/>
    <s v="USEPA (2022)"/>
    <n v="2022"/>
    <n v="2022"/>
    <n v="0"/>
    <n v="0"/>
    <x v="25"/>
    <s v="Unspecified Facility Type"/>
  </r>
  <r>
    <n v="237707"/>
    <s v="Top of Hierarchy &gt; South America &gt; Vantage_Guatemala City"/>
    <x v="4"/>
    <x v="0"/>
    <d v="2022-01-01T00:00:00"/>
    <d v="2022-12-31T00:00:00"/>
    <x v="3"/>
    <d v="2022-01-01T00:00:00"/>
    <d v="2022-12-31T00:00:00"/>
    <s v="Natural gas"/>
    <n v="0"/>
    <s v="British Thermal Units"/>
    <x v="1"/>
    <m/>
    <s v="2023-04-20, 21:39"/>
    <s v="2023-07-20, 00:40"/>
    <n v="2022"/>
    <s v="natural_gas"/>
    <s v="Natural Gas"/>
    <s v="model"/>
    <b v="0"/>
    <s v="NATURAL GAS, NATURAL GAS"/>
    <x v="2"/>
    <x v="0"/>
    <s v="Americas"/>
    <m/>
    <m/>
    <m/>
    <n v="0"/>
    <s v="CO2E"/>
    <n v="0"/>
    <n v="53.114800000000002"/>
    <s v="MMBTU"/>
    <n v="9.9999999999999995E-7"/>
    <n v="0"/>
    <s v="AR4"/>
    <s v="USEPA"/>
    <s v="USEPA Emission Factors Hub (Last Modified: March 2020)"/>
    <n v="2022"/>
    <n v="2021"/>
    <n v="0"/>
    <n v="0"/>
    <x v="25"/>
    <s v="Unspecified Facility Type"/>
  </r>
  <r>
    <n v="237707"/>
    <s v="Top of Hierarchy &gt; South America &gt; Vantage_Guatemala City"/>
    <x v="4"/>
    <x v="0"/>
    <d v="2022-01-01T00:00:00"/>
    <d v="2022-12-31T00:00:00"/>
    <x v="3"/>
    <d v="2022-01-01T00:00:00"/>
    <d v="2022-12-31T00:00:00"/>
    <s v="Natural gas"/>
    <n v="0"/>
    <s v="British Thermal Units"/>
    <x v="1"/>
    <m/>
    <s v="2023-04-20, 21:39"/>
    <s v="2023-07-20, 00:40"/>
    <n v="2022"/>
    <s v="natural_gas"/>
    <s v="Natural Gas"/>
    <s v="model"/>
    <b v="0"/>
    <s v="NATURAL GAS, NATURAL GAS"/>
    <x v="2"/>
    <x v="0"/>
    <s v="Americas"/>
    <m/>
    <m/>
    <m/>
    <n v="0"/>
    <s v="N2O"/>
    <n v="0"/>
    <n v="2.98E-2"/>
    <s v="MMBTU"/>
    <n v="9.9999999999999995E-7"/>
    <n v="0"/>
    <s v="AR4"/>
    <s v="USEPA"/>
    <s v="USEPA (2022)"/>
    <n v="2022"/>
    <n v="2022"/>
    <n v="0"/>
    <n v="0"/>
    <x v="25"/>
    <s v="Unspecified Facility Type"/>
  </r>
  <r>
    <n v="237707"/>
    <s v="Top of Hierarchy &gt; South America &gt; Vantage_Guatemala City"/>
    <x v="4"/>
    <x v="0"/>
    <d v="2022-01-01T00:00:00"/>
    <d v="2022-12-31T00:00:00"/>
    <x v="3"/>
    <d v="2022-01-01T00:00:00"/>
    <d v="2022-12-31T00:00:00"/>
    <s v="Natural gas"/>
    <n v="0"/>
    <s v="British Thermal Units"/>
    <x v="1"/>
    <m/>
    <s v="2023-04-20, 21:39"/>
    <s v="2023-07-20, 00:40"/>
    <n v="2022"/>
    <s v="natural_gas"/>
    <s v="Natural Gas"/>
    <s v="model"/>
    <b v="0"/>
    <s v="NATURAL GAS, NATURAL GAS"/>
    <x v="2"/>
    <x v="0"/>
    <s v="Americas"/>
    <m/>
    <m/>
    <m/>
    <n v="1"/>
    <s v="CH4"/>
    <n v="0"/>
    <n v="2.5000000000000001E-2"/>
    <s v="MMBTU"/>
    <n v="9.9999999999999995E-7"/>
    <n v="0"/>
    <s v="AR4"/>
    <s v="USEPA"/>
    <s v="USEPA Emission Factors Hub (Last Modified: March 2020)"/>
    <n v="2022"/>
    <n v="2021"/>
    <n v="0"/>
    <n v="0"/>
    <x v="25"/>
    <s v="Unspecified Facility Type"/>
  </r>
  <r>
    <n v="237707"/>
    <s v="Top of Hierarchy &gt; South America &gt; Vantage_Guatemala City"/>
    <x v="4"/>
    <x v="0"/>
    <d v="2022-01-01T00:00:00"/>
    <d v="2022-12-31T00:00:00"/>
    <x v="3"/>
    <d v="2022-01-01T00:00:00"/>
    <d v="2022-12-31T00:00:00"/>
    <s v="Natural gas"/>
    <n v="0"/>
    <s v="British Thermal Units"/>
    <x v="1"/>
    <m/>
    <s v="2023-04-20, 21:39"/>
    <s v="2023-07-20, 00:40"/>
    <n v="2022"/>
    <s v="natural_gas"/>
    <s v="Natural Gas"/>
    <s v="model"/>
    <b v="0"/>
    <s v="NATURAL GAS, NATURAL GAS"/>
    <x v="2"/>
    <x v="0"/>
    <s v="Americas"/>
    <m/>
    <m/>
    <m/>
    <n v="1"/>
    <s v="CO2"/>
    <n v="0"/>
    <n v="53.06"/>
    <s v="MMBTU"/>
    <n v="9.9999999999999995E-7"/>
    <n v="0"/>
    <s v="AR4"/>
    <s v="USEPA"/>
    <s v="USEPA (2022)"/>
    <n v="2022"/>
    <n v="2022"/>
    <n v="0"/>
    <n v="0"/>
    <x v="25"/>
    <s v="Unspecified Facility Type"/>
  </r>
  <r>
    <n v="237707"/>
    <s v="Top of Hierarchy &gt; South America &gt; Vantage_Guatemala City"/>
    <x v="4"/>
    <x v="0"/>
    <d v="2022-01-01T00:00:00"/>
    <d v="2022-12-31T00:00:00"/>
    <x v="3"/>
    <d v="2022-01-01T00:00:00"/>
    <d v="2022-12-31T00:00:00"/>
    <s v="Natural gas"/>
    <n v="0"/>
    <s v="British Thermal Units"/>
    <x v="1"/>
    <m/>
    <s v="2023-04-20, 21:39"/>
    <s v="2023-07-20, 00:40"/>
    <n v="2022"/>
    <s v="natural_gas"/>
    <s v="Natural Gas"/>
    <s v="model"/>
    <b v="0"/>
    <s v="NATURAL GAS, NATURAL GAS"/>
    <x v="2"/>
    <x v="0"/>
    <s v="Americas"/>
    <m/>
    <m/>
    <m/>
    <n v="1"/>
    <s v="CO2E"/>
    <n v="0"/>
    <n v="53.114800000000002"/>
    <s v="MMBTU"/>
    <n v="9.9999999999999995E-7"/>
    <n v="0"/>
    <s v="AR4"/>
    <s v="USEPA"/>
    <s v="USEPA Emission Factors Hub (Last Modified: March 2020)"/>
    <n v="2022"/>
    <n v="2021"/>
    <n v="0"/>
    <n v="0"/>
    <x v="25"/>
    <s v="Unspecified Facility Type"/>
  </r>
  <r>
    <n v="237707"/>
    <s v="Top of Hierarchy &gt; South America &gt; Vantage_Guatemala City"/>
    <x v="4"/>
    <x v="0"/>
    <d v="2022-01-01T00:00:00"/>
    <d v="2022-12-31T00:00:00"/>
    <x v="3"/>
    <d v="2022-01-01T00:00:00"/>
    <d v="2022-12-31T00:00:00"/>
    <s v="Natural gas"/>
    <n v="0"/>
    <s v="British Thermal Units"/>
    <x v="1"/>
    <m/>
    <s v="2023-04-20, 21:39"/>
    <s v="2023-07-20, 00:40"/>
    <n v="2022"/>
    <s v="natural_gas"/>
    <s v="Natural Gas"/>
    <s v="model"/>
    <b v="0"/>
    <s v="NATURAL GAS, NATURAL GAS"/>
    <x v="2"/>
    <x v="0"/>
    <s v="Americas"/>
    <m/>
    <m/>
    <m/>
    <n v="1"/>
    <s v="N2O"/>
    <n v="0"/>
    <n v="2.98E-2"/>
    <s v="MMBTU"/>
    <n v="9.9999999999999995E-7"/>
    <n v="0"/>
    <s v="AR4"/>
    <s v="USEPA"/>
    <s v="USEPA (2022)"/>
    <n v="2022"/>
    <n v="2022"/>
    <n v="0"/>
    <n v="0"/>
    <x v="25"/>
    <s v="Unspecified Facility Type"/>
  </r>
  <r>
    <n v="237707"/>
    <s v="Top of Hierarchy &gt; South America &gt; Vantage_Guatemala City"/>
    <x v="4"/>
    <x v="0"/>
    <d v="2022-01-01T00:00:00"/>
    <d v="2022-12-31T00:00:00"/>
    <x v="3"/>
    <d v="2022-01-01T00:00:00"/>
    <d v="2022-12-31T00:00:00"/>
    <s v="Natural gas"/>
    <n v="0"/>
    <s v="British Thermal Units"/>
    <x v="1"/>
    <m/>
    <s v="2023-04-20, 21:39"/>
    <s v="2023-07-20, 00:40"/>
    <n v="2022"/>
    <s v="natural_gas__wtt"/>
    <s v="Natural Gas WTT"/>
    <s v="wtt"/>
    <b v="0"/>
    <s v="WTT- FUELS; GASEOUS FUELS; NATURAL GAS"/>
    <x v="1"/>
    <x v="1"/>
    <m/>
    <m/>
    <m/>
    <m/>
    <n v="0"/>
    <s v="CO2E"/>
    <n v="0"/>
    <n v="3.1099999999999999E-2"/>
    <s v="KWH (GROSS CV)"/>
    <n v="2.9306999999999998E-4"/>
    <n v="0"/>
    <s v="AR4"/>
    <s v="Defra"/>
    <s v="Defra (2022)"/>
    <n v="2022"/>
    <n v="2020"/>
    <n v="0"/>
    <n v="0"/>
    <x v="25"/>
    <s v="Unspecified Facility Type"/>
  </r>
  <r>
    <n v="237707"/>
    <s v="Top of Hierarchy &gt; South America &gt; Vantage_Guatemala City"/>
    <x v="4"/>
    <x v="0"/>
    <d v="2022-01-01T00:00:00"/>
    <d v="2022-12-31T00:00:00"/>
    <x v="3"/>
    <d v="2022-01-01T00:00:00"/>
    <d v="2022-12-31T00:00:00"/>
    <s v="Natural gas"/>
    <n v="0"/>
    <s v="British Thermal Units"/>
    <x v="1"/>
    <m/>
    <s v="2023-04-20, 21:39"/>
    <s v="2023-07-20, 00:40"/>
    <n v="2022"/>
    <s v="natural_gas__wtt"/>
    <s v="Natural Gas WTT"/>
    <s v="wtt"/>
    <b v="0"/>
    <s v="WTT- FUELS; GASEOUS FUELS; NATURAL GAS"/>
    <x v="1"/>
    <x v="1"/>
    <m/>
    <m/>
    <m/>
    <m/>
    <n v="1"/>
    <s v="CO2E"/>
    <n v="0"/>
    <n v="3.1099999999999999E-2"/>
    <s v="KWH (GROSS CV)"/>
    <n v="2.9306999999999998E-4"/>
    <n v="0"/>
    <s v="AR4"/>
    <s v="Defra"/>
    <s v="Defra (2022)"/>
    <n v="2022"/>
    <n v="2020"/>
    <n v="0"/>
    <n v="0"/>
    <x v="25"/>
    <s v="Unspecified Facility Type"/>
  </r>
  <r>
    <n v="1590458"/>
    <s v="Top of Hierarchy &gt; South America &gt; Vantage_Guatemala City"/>
    <x v="4"/>
    <x v="0"/>
    <d v="2022-01-01T00:00:00"/>
    <d v="2022-12-31T00:00:00"/>
    <x v="4"/>
    <d v="2022-01-01T00:00:00"/>
    <d v="2022-12-31T00:00:00"/>
    <s v="R-134A"/>
    <n v="0.71041739999999998"/>
    <s v="kilograms"/>
    <x v="0"/>
    <s v="Estimated from square footage. Assumed R134a."/>
    <s v="2023-07-25, 17:50"/>
    <s v="2023-07-25, 17:50"/>
    <n v="2022"/>
    <s v="hfc-134a"/>
    <s v="HFC-134A"/>
    <s v="model"/>
    <b v="0"/>
    <s v="REFRIGERANT: R-134A"/>
    <x v="2"/>
    <x v="0"/>
    <m/>
    <m/>
    <m/>
    <m/>
    <n v="0"/>
    <s v="CO2E"/>
    <n v="1015.896882"/>
    <n v="1430"/>
    <s v="KG"/>
    <n v="1"/>
    <n v="0.71041739999999998"/>
    <s v="AR4"/>
    <s v="IPCC"/>
    <s v="IPCC (2021)"/>
    <n v="2022"/>
    <n v="2007"/>
    <n v="1.0158968820000001"/>
    <n v="0"/>
    <x v="25"/>
    <s v="Unspecified Facility Type"/>
  </r>
  <r>
    <n v="1590458"/>
    <s v="Top of Hierarchy &gt; South America &gt; Vantage_Guatemala City"/>
    <x v="4"/>
    <x v="0"/>
    <d v="2022-01-01T00:00:00"/>
    <d v="2022-12-31T00:00:00"/>
    <x v="4"/>
    <d v="2022-01-01T00:00:00"/>
    <d v="2022-12-31T00:00:00"/>
    <s v="R-134A"/>
    <n v="0.71041739999999998"/>
    <s v="kilograms"/>
    <x v="0"/>
    <s v="Estimated from square footage. Assumed R134a."/>
    <s v="2023-07-25, 17:50"/>
    <s v="2023-07-25, 17:50"/>
    <n v="2022"/>
    <s v="hfc-134a"/>
    <s v="HFC-134A"/>
    <s v="model"/>
    <b v="0"/>
    <s v="REFRIGERANT: R-134A"/>
    <x v="2"/>
    <x v="0"/>
    <m/>
    <m/>
    <m/>
    <m/>
    <n v="1"/>
    <s v="CO2E"/>
    <n v="1015.896882"/>
    <n v="1430"/>
    <s v="KG"/>
    <n v="1"/>
    <n v="0.71041739999999998"/>
    <s v="AR4"/>
    <s v="IPCC"/>
    <s v="IPCC (2021)"/>
    <n v="2022"/>
    <n v="2007"/>
    <n v="0"/>
    <n v="1.0158968820000001"/>
    <x v="25"/>
    <s v="Unspecified Facility Type"/>
  </r>
  <r>
    <n v="4951"/>
    <s v="Top of Hierarchy &gt; South America &gt; Vantage_Guatemala City"/>
    <x v="4"/>
    <x v="1"/>
    <d v="2021-01-01T00:00:00"/>
    <d v="2021-12-31T00:00:00"/>
    <x v="0"/>
    <d v="2021-01-01T00:00:00"/>
    <d v="2021-12-31T00:00:00"/>
    <s v="Electricity (non-renewable)"/>
    <n v="18731"/>
    <s v="Kilowatt hours"/>
    <x v="1"/>
    <m/>
    <s v="2023-02-27, 16:27"/>
    <s v="2023-08-03, 20:18"/>
    <n v="2021"/>
    <s v="electricity"/>
    <s v="Electricity"/>
    <s v="model"/>
    <b v="0"/>
    <s v="ELECTRICITY; GUATEMALA"/>
    <x v="0"/>
    <x v="0"/>
    <s v="Americas"/>
    <s v="Latin America and the Caribbean"/>
    <s v="GT"/>
    <m/>
    <n v="0"/>
    <s v="CH4"/>
    <n v="56.192999999999998"/>
    <s v="RESTRICTED"/>
    <s v="KWH"/>
    <n v="1"/>
    <n v="18731"/>
    <s v="AR4"/>
    <s v="IEA"/>
    <s v="IEA (2021)"/>
    <n v="2021"/>
    <n v="2019"/>
    <n v="0"/>
    <n v="0"/>
    <x v="25"/>
    <s v="Unspecified Facility Type"/>
  </r>
  <r>
    <n v="4951"/>
    <s v="Top of Hierarchy &gt; South America &gt; Vantage_Guatemala City"/>
    <x v="4"/>
    <x v="1"/>
    <d v="2021-01-01T00:00:00"/>
    <d v="2021-12-31T00:00:00"/>
    <x v="0"/>
    <d v="2021-01-01T00:00:00"/>
    <d v="2021-12-31T00:00:00"/>
    <s v="Electricity (non-renewable)"/>
    <n v="18731"/>
    <s v="Kilowatt hours"/>
    <x v="1"/>
    <m/>
    <s v="2023-02-27, 16:27"/>
    <s v="2023-08-03, 20:18"/>
    <n v="2021"/>
    <s v="electricity"/>
    <s v="Electricity"/>
    <s v="model"/>
    <b v="0"/>
    <s v="ELECTRICITY; GUATEMALA"/>
    <x v="0"/>
    <x v="0"/>
    <s v="Americas"/>
    <s v="Latin America and the Caribbean"/>
    <s v="GT"/>
    <m/>
    <n v="0"/>
    <s v="CO2"/>
    <n v="7535.4813000000004"/>
    <s v="RESTRICTED"/>
    <s v="KWH"/>
    <n v="1"/>
    <n v="18731"/>
    <s v="AR4"/>
    <s v="IEA"/>
    <s v="IEA (2021)"/>
    <n v="2021"/>
    <n v="2019"/>
    <n v="0"/>
    <n v="0"/>
    <x v="25"/>
    <s v="Unspecified Facility Type"/>
  </r>
  <r>
    <n v="4951"/>
    <s v="Top of Hierarchy &gt; South America &gt; Vantage_Guatemala City"/>
    <x v="4"/>
    <x v="1"/>
    <d v="2021-01-01T00:00:00"/>
    <d v="2021-12-31T00:00:00"/>
    <x v="0"/>
    <d v="2021-01-01T00:00:00"/>
    <d v="2021-12-31T00:00:00"/>
    <s v="Electricity (non-renewable)"/>
    <n v="18731"/>
    <s v="Kilowatt hours"/>
    <x v="1"/>
    <m/>
    <s v="2023-02-27, 16:27"/>
    <s v="2023-08-03, 20:18"/>
    <n v="2021"/>
    <s v="electricity"/>
    <s v="Electricity"/>
    <s v="model"/>
    <b v="0"/>
    <s v="ELECTRICITY; GUATEMALA"/>
    <x v="0"/>
    <x v="0"/>
    <s v="Americas"/>
    <s v="Latin America and the Caribbean"/>
    <s v="GT"/>
    <m/>
    <n v="0"/>
    <s v="CO2E"/>
    <n v="7707.8064999999997"/>
    <s v="RESTRICTED"/>
    <s v="KWH"/>
    <n v="1"/>
    <n v="18731"/>
    <s v="AR4"/>
    <s v="IEA"/>
    <s v="IEA (2021)"/>
    <n v="2021"/>
    <n v="2019"/>
    <n v="7.7078064999999993"/>
    <n v="0"/>
    <x v="25"/>
    <s v="Unspecified Facility Type"/>
  </r>
  <r>
    <n v="4951"/>
    <s v="Top of Hierarchy &gt; South America &gt; Vantage_Guatemala City"/>
    <x v="4"/>
    <x v="1"/>
    <d v="2021-01-01T00:00:00"/>
    <d v="2021-12-31T00:00:00"/>
    <x v="0"/>
    <d v="2021-01-01T00:00:00"/>
    <d v="2021-12-31T00:00:00"/>
    <s v="Electricity (non-renewable)"/>
    <n v="18731"/>
    <s v="Kilowatt hours"/>
    <x v="1"/>
    <m/>
    <s v="2023-02-27, 16:27"/>
    <s v="2023-08-03, 20:18"/>
    <n v="2021"/>
    <s v="electricity"/>
    <s v="Electricity"/>
    <s v="model"/>
    <b v="0"/>
    <s v="ELECTRICITY; GUATEMALA"/>
    <x v="0"/>
    <x v="0"/>
    <s v="Americas"/>
    <s v="Latin America and the Caribbean"/>
    <s v="GT"/>
    <m/>
    <n v="0"/>
    <s v="N2O"/>
    <n v="116.1322"/>
    <s v="RESTRICTED"/>
    <s v="KWH"/>
    <n v="1"/>
    <n v="18731"/>
    <s v="AR4"/>
    <s v="IEA"/>
    <s v="IEA (2021)"/>
    <n v="2021"/>
    <n v="2019"/>
    <n v="0"/>
    <n v="0"/>
    <x v="25"/>
    <s v="Unspecified Facility Type"/>
  </r>
  <r>
    <n v="4951"/>
    <s v="Top of Hierarchy &gt; South America &gt; Vantage_Guatemala City"/>
    <x v="4"/>
    <x v="1"/>
    <d v="2021-01-01T00:00:00"/>
    <d v="2021-12-31T00:00:00"/>
    <x v="0"/>
    <d v="2021-01-01T00:00:00"/>
    <d v="2021-12-31T00:00:00"/>
    <s v="Electricity (non-renewable)"/>
    <n v="18731"/>
    <s v="Kilowatt hours"/>
    <x v="1"/>
    <m/>
    <s v="2023-02-27, 16:27"/>
    <s v="2023-08-03, 20:18"/>
    <n v="2021"/>
    <s v="electricity"/>
    <s v="Electricity"/>
    <s v="model"/>
    <b v="0"/>
    <s v="ELECTRICITY; GUATEMALA"/>
    <x v="0"/>
    <x v="0"/>
    <s v="Americas"/>
    <s v="Latin America and the Caribbean"/>
    <s v="GT"/>
    <m/>
    <n v="1"/>
    <s v="CH4"/>
    <n v="56.192999999999998"/>
    <s v="RESTRICTED"/>
    <s v="KWH"/>
    <n v="1"/>
    <n v="18731"/>
    <s v="AR4"/>
    <s v="IEA"/>
    <s v="IEA (2021)"/>
    <n v="2021"/>
    <n v="2019"/>
    <n v="0"/>
    <n v="0"/>
    <x v="25"/>
    <s v="Unspecified Facility Type"/>
  </r>
  <r>
    <n v="4951"/>
    <s v="Top of Hierarchy &gt; South America &gt; Vantage_Guatemala City"/>
    <x v="4"/>
    <x v="1"/>
    <d v="2021-01-01T00:00:00"/>
    <d v="2021-12-31T00:00:00"/>
    <x v="0"/>
    <d v="2021-01-01T00:00:00"/>
    <d v="2021-12-31T00:00:00"/>
    <s v="Electricity (non-renewable)"/>
    <n v="18731"/>
    <s v="Kilowatt hours"/>
    <x v="1"/>
    <m/>
    <s v="2023-02-27, 16:27"/>
    <s v="2023-08-03, 20:18"/>
    <n v="2021"/>
    <s v="electricity"/>
    <s v="Electricity"/>
    <s v="model"/>
    <b v="0"/>
    <s v="ELECTRICITY; GUATEMALA"/>
    <x v="0"/>
    <x v="0"/>
    <s v="Americas"/>
    <s v="Latin America and the Caribbean"/>
    <s v="GT"/>
    <m/>
    <n v="1"/>
    <s v="CO2"/>
    <n v="7535.4813000000004"/>
    <s v="RESTRICTED"/>
    <s v="KWH"/>
    <n v="1"/>
    <n v="18731"/>
    <s v="AR4"/>
    <s v="IEA"/>
    <s v="IEA (2021)"/>
    <n v="2021"/>
    <n v="2019"/>
    <n v="0"/>
    <n v="0"/>
    <x v="25"/>
    <s v="Unspecified Facility Type"/>
  </r>
  <r>
    <n v="4951"/>
    <s v="Top of Hierarchy &gt; South America &gt; Vantage_Guatemala City"/>
    <x v="4"/>
    <x v="1"/>
    <d v="2021-01-01T00:00:00"/>
    <d v="2021-12-31T00:00:00"/>
    <x v="0"/>
    <d v="2021-01-01T00:00:00"/>
    <d v="2021-12-31T00:00:00"/>
    <s v="Electricity (non-renewable)"/>
    <n v="18731"/>
    <s v="Kilowatt hours"/>
    <x v="1"/>
    <m/>
    <s v="2023-02-27, 16:27"/>
    <s v="2023-08-03, 20:18"/>
    <n v="2021"/>
    <s v="electricity"/>
    <s v="Electricity"/>
    <s v="model"/>
    <b v="0"/>
    <s v="ELECTRICITY; GUATEMALA"/>
    <x v="0"/>
    <x v="0"/>
    <s v="Americas"/>
    <s v="Latin America and the Caribbean"/>
    <s v="GT"/>
    <m/>
    <n v="1"/>
    <s v="CO2E"/>
    <n v="7707.8064999999997"/>
    <s v="RESTRICTED"/>
    <s v="KWH"/>
    <n v="1"/>
    <n v="18731"/>
    <s v="AR4"/>
    <s v="IEA"/>
    <s v="IEA (2021)"/>
    <n v="2021"/>
    <n v="2019"/>
    <n v="0"/>
    <n v="7.7078064999999993"/>
    <x v="25"/>
    <s v="Unspecified Facility Type"/>
  </r>
  <r>
    <n v="4951"/>
    <s v="Top of Hierarchy &gt; South America &gt; Vantage_Guatemala City"/>
    <x v="4"/>
    <x v="1"/>
    <d v="2021-01-01T00:00:00"/>
    <d v="2021-12-31T00:00:00"/>
    <x v="0"/>
    <d v="2021-01-01T00:00:00"/>
    <d v="2021-12-31T00:00:00"/>
    <s v="Electricity (non-renewable)"/>
    <n v="18731"/>
    <s v="Kilowatt hours"/>
    <x v="1"/>
    <m/>
    <s v="2023-02-27, 16:27"/>
    <s v="2023-08-03, 20:18"/>
    <n v="2021"/>
    <s v="electricity"/>
    <s v="Electricity"/>
    <s v="model"/>
    <b v="0"/>
    <s v="ELECTRICITY; GUATEMALA"/>
    <x v="0"/>
    <x v="0"/>
    <s v="Americas"/>
    <s v="Latin America and the Caribbean"/>
    <s v="GT"/>
    <m/>
    <n v="1"/>
    <s v="N2O"/>
    <n v="116.1322"/>
    <s v="RESTRICTED"/>
    <s v="KWH"/>
    <n v="1"/>
    <n v="18731"/>
    <s v="AR4"/>
    <s v="IEA"/>
    <s v="IEA (2021)"/>
    <n v="2021"/>
    <n v="2019"/>
    <n v="0"/>
    <n v="0"/>
    <x v="25"/>
    <s v="Unspecified Facility Type"/>
  </r>
  <r>
    <n v="4951"/>
    <s v="Top of Hierarchy &gt; South America &gt; Vantage_Guatemala City"/>
    <x v="4"/>
    <x v="1"/>
    <d v="2021-01-01T00:00:00"/>
    <d v="2021-12-31T00:00:00"/>
    <x v="0"/>
    <d v="2021-01-01T00:00:00"/>
    <d v="2021-12-31T00:00:00"/>
    <s v="Electricity (non-renewable)"/>
    <n v="18731"/>
    <s v="Kilowatt hours"/>
    <x v="1"/>
    <m/>
    <s v="2023-02-27, 16:27"/>
    <s v="2023-08-03, 20:18"/>
    <n v="2021"/>
    <s v="electricity__t+d__wtt"/>
    <s v="Electricity T&amp;D WTT"/>
    <s v="t+d_wtt"/>
    <b v="0"/>
    <s v="ELECTRICITY; GUATEMALA; T&amp;D WTT Estimated"/>
    <x v="1"/>
    <x v="1"/>
    <s v="Americas"/>
    <s v="Latin America and the Caribbean"/>
    <s v="GT"/>
    <m/>
    <n v="0"/>
    <s v="CH4"/>
    <n v="1.4217390249999999"/>
    <n v="7.5902999999999995E-5"/>
    <s v="KWH"/>
    <n v="1"/>
    <n v="18731"/>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T&amp;D factor ELECTRICITY; TRANSMISSION AND DISTRIBUTION; GUATEMALA, IEA to estimate the T&amp;D WTT factor."/>
    <n v="2021"/>
    <n v="2019"/>
    <n v="0"/>
    <n v="0"/>
    <x v="25"/>
    <s v="Unspecified Facility Type"/>
  </r>
  <r>
    <n v="4951"/>
    <s v="Top of Hierarchy &gt; South America &gt; Vantage_Guatemala City"/>
    <x v="4"/>
    <x v="1"/>
    <d v="2021-01-01T00:00:00"/>
    <d v="2021-12-31T00:00:00"/>
    <x v="0"/>
    <d v="2021-01-01T00:00:00"/>
    <d v="2021-12-31T00:00:00"/>
    <s v="Electricity (non-renewable)"/>
    <n v="18731"/>
    <s v="Kilowatt hours"/>
    <x v="1"/>
    <m/>
    <s v="2023-02-27, 16:27"/>
    <s v="2023-08-03, 20:18"/>
    <n v="2021"/>
    <s v="electricity__t+d__wtt"/>
    <s v="Electricity T&amp;D WTT"/>
    <s v="t+d_wtt"/>
    <b v="0"/>
    <s v="ELECTRICITY; GUATEMALA; T&amp;D WTT Estimated"/>
    <x v="1"/>
    <x v="1"/>
    <s v="Americas"/>
    <s v="Latin America and the Caribbean"/>
    <s v="GT"/>
    <m/>
    <n v="0"/>
    <s v="CO2"/>
    <n v="190.65520319999999"/>
    <n v="1.0178592E-2"/>
    <s v="KWH"/>
    <n v="1"/>
    <n v="18731"/>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T&amp;D factor ELECTRICITY; TRANSMISSION AND DISTRIBUTION; GUATEMALA, IEA to estimate the T&amp;D WTT factor."/>
    <n v="2021"/>
    <n v="2019"/>
    <n v="0"/>
    <n v="0"/>
    <x v="25"/>
    <s v="Unspecified Facility Type"/>
  </r>
  <r>
    <n v="4951"/>
    <s v="Top of Hierarchy &gt; South America &gt; Vantage_Guatemala City"/>
    <x v="4"/>
    <x v="1"/>
    <d v="2021-01-01T00:00:00"/>
    <d v="2021-12-31T00:00:00"/>
    <x v="0"/>
    <d v="2021-01-01T00:00:00"/>
    <d v="2021-12-31T00:00:00"/>
    <s v="Electricity (non-renewable)"/>
    <n v="18731"/>
    <s v="Kilowatt hours"/>
    <x v="1"/>
    <m/>
    <s v="2023-02-27, 16:27"/>
    <s v="2023-08-03, 20:18"/>
    <n v="2021"/>
    <s v="electricity__t+d__wtt"/>
    <s v="Electricity T&amp;D WTT"/>
    <s v="t+d_wtt"/>
    <b v="0"/>
    <s v="ELECTRICITY; GUATEMALA; T&amp;D WTT Estimated"/>
    <x v="1"/>
    <x v="1"/>
    <s v="Americas"/>
    <s v="Latin America and the Caribbean"/>
    <s v="GT"/>
    <m/>
    <n v="0"/>
    <s v="CO2E"/>
    <n v="195.01520289999999"/>
    <n v="1.0411360999999999E-2"/>
    <s v="KWH"/>
    <n v="1"/>
    <n v="18731"/>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T&amp;D factor ELECTRICITY; TRANSMISSION AND DISTRIBUTION; GUATEMALA, IEA to estimate the T&amp;D WTT factor."/>
    <n v="2021"/>
    <n v="2019"/>
    <n v="0.19501520289999999"/>
    <n v="0"/>
    <x v="25"/>
    <s v="Unspecified Facility Type"/>
  </r>
  <r>
    <n v="4951"/>
    <s v="Top of Hierarchy &gt; South America &gt; Vantage_Guatemala City"/>
    <x v="4"/>
    <x v="1"/>
    <d v="2021-01-01T00:00:00"/>
    <d v="2021-12-31T00:00:00"/>
    <x v="0"/>
    <d v="2021-01-01T00:00:00"/>
    <d v="2021-12-31T00:00:00"/>
    <s v="Electricity (non-renewable)"/>
    <n v="18731"/>
    <s v="Kilowatt hours"/>
    <x v="1"/>
    <m/>
    <s v="2023-02-27, 16:27"/>
    <s v="2023-08-03, 20:18"/>
    <n v="2021"/>
    <s v="electricity__t+d__wtt"/>
    <s v="Electricity T&amp;D WTT"/>
    <s v="t+d_wtt"/>
    <b v="0"/>
    <s v="ELECTRICITY; GUATEMALA; T&amp;D WTT Estimated"/>
    <x v="1"/>
    <x v="1"/>
    <s v="Americas"/>
    <s v="Latin America and the Caribbean"/>
    <s v="GT"/>
    <m/>
    <n v="0"/>
    <s v="N2O"/>
    <n v="2.9382606509999998"/>
    <n v="1.56866E-4"/>
    <s v="KWH"/>
    <n v="1"/>
    <n v="18731"/>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T&amp;D factor ELECTRICITY; TRANSMISSION AND DISTRIBUTION; GUATEMALA, IEA to estimate the T&amp;D WTT factor."/>
    <n v="2021"/>
    <n v="2019"/>
    <n v="0"/>
    <n v="0"/>
    <x v="25"/>
    <s v="Unspecified Facility Type"/>
  </r>
  <r>
    <n v="4951"/>
    <s v="Top of Hierarchy &gt; South America &gt; Vantage_Guatemala City"/>
    <x v="4"/>
    <x v="1"/>
    <d v="2021-01-01T00:00:00"/>
    <d v="2021-12-31T00:00:00"/>
    <x v="0"/>
    <d v="2021-01-01T00:00:00"/>
    <d v="2021-12-31T00:00:00"/>
    <s v="Electricity (non-renewable)"/>
    <n v="18731"/>
    <s v="Kilowatt hours"/>
    <x v="1"/>
    <m/>
    <s v="2023-02-27, 16:27"/>
    <s v="2023-08-03, 20:18"/>
    <n v="2021"/>
    <s v="electricity__t+d__wtt"/>
    <s v="Electricity T&amp;D WTT"/>
    <s v="t+d_wtt"/>
    <b v="0"/>
    <s v="ELECTRICITY; GUATEMALA; T&amp;D WTT Estimated"/>
    <x v="1"/>
    <x v="1"/>
    <s v="Americas"/>
    <s v="Latin America and the Caribbean"/>
    <s v="GT"/>
    <m/>
    <n v="1"/>
    <s v="CH4"/>
    <n v="1.4217390249999999"/>
    <n v="7.5902999999999995E-5"/>
    <s v="KWH"/>
    <n v="1"/>
    <n v="18731"/>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T&amp;D factor ELECTRICITY; TRANSMISSION AND DISTRIBUTION; GUATEMALA, IEA to estimate the T&amp;D WTT factor."/>
    <n v="2021"/>
    <n v="2019"/>
    <n v="0"/>
    <n v="0"/>
    <x v="25"/>
    <s v="Unspecified Facility Type"/>
  </r>
  <r>
    <n v="4951"/>
    <s v="Top of Hierarchy &gt; South America &gt; Vantage_Guatemala City"/>
    <x v="4"/>
    <x v="1"/>
    <d v="2021-01-01T00:00:00"/>
    <d v="2021-12-31T00:00:00"/>
    <x v="0"/>
    <d v="2021-01-01T00:00:00"/>
    <d v="2021-12-31T00:00:00"/>
    <s v="Electricity (non-renewable)"/>
    <n v="18731"/>
    <s v="Kilowatt hours"/>
    <x v="1"/>
    <m/>
    <s v="2023-02-27, 16:27"/>
    <s v="2023-08-03, 20:18"/>
    <n v="2021"/>
    <s v="electricity__t+d__wtt"/>
    <s v="Electricity T&amp;D WTT"/>
    <s v="t+d_wtt"/>
    <b v="0"/>
    <s v="ELECTRICITY; GUATEMALA; T&amp;D WTT Estimated"/>
    <x v="1"/>
    <x v="1"/>
    <s v="Americas"/>
    <s v="Latin America and the Caribbean"/>
    <s v="GT"/>
    <m/>
    <n v="1"/>
    <s v="CO2"/>
    <n v="190.65520319999999"/>
    <n v="1.0178592E-2"/>
    <s v="KWH"/>
    <n v="1"/>
    <n v="18731"/>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T&amp;D factor ELECTRICITY; TRANSMISSION AND DISTRIBUTION; GUATEMALA, IEA to estimate the T&amp;D WTT factor."/>
    <n v="2021"/>
    <n v="2019"/>
    <n v="0"/>
    <n v="0"/>
    <x v="25"/>
    <s v="Unspecified Facility Type"/>
  </r>
  <r>
    <n v="4951"/>
    <s v="Top of Hierarchy &gt; South America &gt; Vantage_Guatemala City"/>
    <x v="4"/>
    <x v="1"/>
    <d v="2021-01-01T00:00:00"/>
    <d v="2021-12-31T00:00:00"/>
    <x v="0"/>
    <d v="2021-01-01T00:00:00"/>
    <d v="2021-12-31T00:00:00"/>
    <s v="Electricity (non-renewable)"/>
    <n v="18731"/>
    <s v="Kilowatt hours"/>
    <x v="1"/>
    <m/>
    <s v="2023-02-27, 16:27"/>
    <s v="2023-08-03, 20:18"/>
    <n v="2021"/>
    <s v="electricity__t+d__wtt"/>
    <s v="Electricity T&amp;D WTT"/>
    <s v="t+d_wtt"/>
    <b v="0"/>
    <s v="ELECTRICITY; GUATEMALA; T&amp;D WTT Estimated"/>
    <x v="1"/>
    <x v="1"/>
    <s v="Americas"/>
    <s v="Latin America and the Caribbean"/>
    <s v="GT"/>
    <m/>
    <n v="1"/>
    <s v="CO2E"/>
    <n v="195.01520289999999"/>
    <n v="1.0411360999999999E-2"/>
    <s v="KWH"/>
    <n v="1"/>
    <n v="18731"/>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T&amp;D factor ELECTRICITY; TRANSMISSION AND DISTRIBUTION; GUATEMALA, IEA to estimate the T&amp;D WTT factor."/>
    <n v="2021"/>
    <n v="2019"/>
    <n v="0"/>
    <n v="0.19501520289999999"/>
    <x v="25"/>
    <s v="Unspecified Facility Type"/>
  </r>
  <r>
    <n v="4951"/>
    <s v="Top of Hierarchy &gt; South America &gt; Vantage_Guatemala City"/>
    <x v="4"/>
    <x v="1"/>
    <d v="2021-01-01T00:00:00"/>
    <d v="2021-12-31T00:00:00"/>
    <x v="0"/>
    <d v="2021-01-01T00:00:00"/>
    <d v="2021-12-31T00:00:00"/>
    <s v="Electricity (non-renewable)"/>
    <n v="18731"/>
    <s v="Kilowatt hours"/>
    <x v="1"/>
    <m/>
    <s v="2023-02-27, 16:27"/>
    <s v="2023-08-03, 20:18"/>
    <n v="2021"/>
    <s v="electricity__t+d__wtt"/>
    <s v="Electricity T&amp;D WTT"/>
    <s v="t+d_wtt"/>
    <b v="0"/>
    <s v="ELECTRICITY; GUATEMALA; T&amp;D WTT Estimated"/>
    <x v="1"/>
    <x v="1"/>
    <s v="Americas"/>
    <s v="Latin America and the Caribbean"/>
    <s v="GT"/>
    <m/>
    <n v="1"/>
    <s v="N2O"/>
    <n v="2.9382606509999998"/>
    <n v="1.56866E-4"/>
    <s v="KWH"/>
    <n v="1"/>
    <n v="18731"/>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T&amp;D factor ELECTRICITY; TRANSMISSION AND DISTRIBUTION; GUATEMALA, IEA to estimate the T&amp;D WTT factor."/>
    <n v="2021"/>
    <n v="2019"/>
    <n v="0"/>
    <n v="0"/>
    <x v="25"/>
    <s v="Unspecified Facility Type"/>
  </r>
  <r>
    <n v="4951"/>
    <s v="Top of Hierarchy &gt; South America &gt; Vantage_Guatemala City"/>
    <x v="4"/>
    <x v="1"/>
    <d v="2021-01-01T00:00:00"/>
    <d v="2021-12-31T00:00:00"/>
    <x v="0"/>
    <d v="2021-01-01T00:00:00"/>
    <d v="2021-12-31T00:00:00"/>
    <s v="Electricity (non-renewable)"/>
    <n v="18731"/>
    <s v="Kilowatt hours"/>
    <x v="1"/>
    <m/>
    <s v="2023-02-27, 16:27"/>
    <s v="2023-08-03, 20:18"/>
    <n v="2021"/>
    <s v="electricity__wtt"/>
    <s v="Electricity WTT"/>
    <s v="wtt"/>
    <b v="0"/>
    <s v="ELECTRICITY; GUATEMALA; WTT Estimated"/>
    <x v="1"/>
    <x v="1"/>
    <s v="Americas"/>
    <s v="Latin America and the Caribbean"/>
    <s v="GT"/>
    <m/>
    <n v="0"/>
    <s v="CH4"/>
    <n v="11.90369705"/>
    <n v="6.3550800000000001E-4"/>
    <s v="KWH"/>
    <n v="1"/>
    <n v="18731"/>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base factor ELECTRICITY; GUATEMALA, IEAto estimate the WTT factor."/>
    <n v="2021"/>
    <n v="2019"/>
    <n v="0"/>
    <n v="0"/>
    <x v="25"/>
    <s v="Unspecified Facility Type"/>
  </r>
  <r>
    <n v="4951"/>
    <s v="Top of Hierarchy &gt; South America &gt; Vantage_Guatemala City"/>
    <x v="4"/>
    <x v="1"/>
    <d v="2021-01-01T00:00:00"/>
    <d v="2021-12-31T00:00:00"/>
    <x v="0"/>
    <d v="2021-01-01T00:00:00"/>
    <d v="2021-12-31T00:00:00"/>
    <s v="Electricity (non-renewable)"/>
    <n v="18731"/>
    <s v="Kilowatt hours"/>
    <x v="1"/>
    <m/>
    <s v="2023-02-27, 16:27"/>
    <s v="2023-08-03, 20:18"/>
    <n v="2021"/>
    <s v="electricity__wtt"/>
    <s v="Electricity WTT"/>
    <s v="wtt"/>
    <b v="0"/>
    <s v="ELECTRICITY; GUATEMALA; WTT Estimated"/>
    <x v="1"/>
    <x v="1"/>
    <s v="Americas"/>
    <s v="Latin America and the Caribbean"/>
    <s v="GT"/>
    <m/>
    <n v="0"/>
    <s v="CO2"/>
    <n v="1596.2857750000001"/>
    <n v="8.5221598999999995E-2"/>
    <s v="KWH"/>
    <n v="1"/>
    <n v="18731"/>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base factor ELECTRICITY; GUATEMALA, IEAto estimate the WTT factor."/>
    <n v="2021"/>
    <n v="2019"/>
    <n v="0"/>
    <n v="0"/>
    <x v="25"/>
    <s v="Unspecified Facility Type"/>
  </r>
  <r>
    <n v="4951"/>
    <s v="Top of Hierarchy &gt; South America &gt; Vantage_Guatemala City"/>
    <x v="4"/>
    <x v="1"/>
    <d v="2021-01-01T00:00:00"/>
    <d v="2021-12-31T00:00:00"/>
    <x v="0"/>
    <d v="2021-01-01T00:00:00"/>
    <d v="2021-12-31T00:00:00"/>
    <s v="Electricity (non-renewable)"/>
    <n v="18731"/>
    <s v="Kilowatt hours"/>
    <x v="1"/>
    <m/>
    <s v="2023-02-27, 16:27"/>
    <s v="2023-08-03, 20:18"/>
    <n v="2021"/>
    <s v="electricity__wtt"/>
    <s v="Electricity WTT"/>
    <s v="wtt"/>
    <b v="0"/>
    <s v="ELECTRICITY; GUATEMALA; WTT Estimated"/>
    <x v="1"/>
    <x v="1"/>
    <s v="Americas"/>
    <s v="Latin America and the Caribbean"/>
    <s v="GT"/>
    <m/>
    <n v="0"/>
    <s v="CO2E"/>
    <n v="1632.790446"/>
    <n v="8.7170490000000003E-2"/>
    <s v="KWH"/>
    <n v="1"/>
    <n v="18731"/>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base factor ELECTRICITY; GUATEMALA, IEAto estimate the WTT factor."/>
    <n v="2021"/>
    <n v="2019"/>
    <n v="1.632790446"/>
    <n v="0"/>
    <x v="25"/>
    <s v="Unspecified Facility Type"/>
  </r>
  <r>
    <n v="4951"/>
    <s v="Top of Hierarchy &gt; South America &gt; Vantage_Guatemala City"/>
    <x v="4"/>
    <x v="1"/>
    <d v="2021-01-01T00:00:00"/>
    <d v="2021-12-31T00:00:00"/>
    <x v="0"/>
    <d v="2021-01-01T00:00:00"/>
    <d v="2021-12-31T00:00:00"/>
    <s v="Electricity (non-renewable)"/>
    <n v="18731"/>
    <s v="Kilowatt hours"/>
    <x v="1"/>
    <m/>
    <s v="2023-02-27, 16:27"/>
    <s v="2023-08-03, 20:18"/>
    <n v="2021"/>
    <s v="electricity__wtt"/>
    <s v="Electricity WTT"/>
    <s v="wtt"/>
    <b v="0"/>
    <s v="ELECTRICITY; GUATEMALA; WTT Estimated"/>
    <x v="1"/>
    <x v="1"/>
    <s v="Americas"/>
    <s v="Latin America and the Caribbean"/>
    <s v="GT"/>
    <m/>
    <n v="0"/>
    <s v="N2O"/>
    <n v="24.60097391"/>
    <n v="1.313383E-3"/>
    <s v="KWH"/>
    <n v="1"/>
    <n v="18731"/>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base factor ELECTRICITY; GUATEMALA, IEAto estimate the WTT factor."/>
    <n v="2021"/>
    <n v="2019"/>
    <n v="0"/>
    <n v="0"/>
    <x v="25"/>
    <s v="Unspecified Facility Type"/>
  </r>
  <r>
    <n v="4951"/>
    <s v="Top of Hierarchy &gt; South America &gt; Vantage_Guatemala City"/>
    <x v="4"/>
    <x v="1"/>
    <d v="2021-01-01T00:00:00"/>
    <d v="2021-12-31T00:00:00"/>
    <x v="0"/>
    <d v="2021-01-01T00:00:00"/>
    <d v="2021-12-31T00:00:00"/>
    <s v="Electricity (non-renewable)"/>
    <n v="18731"/>
    <s v="Kilowatt hours"/>
    <x v="1"/>
    <m/>
    <s v="2023-02-27, 16:27"/>
    <s v="2023-08-03, 20:18"/>
    <n v="2021"/>
    <s v="electricity__wtt"/>
    <s v="Electricity WTT"/>
    <s v="wtt"/>
    <b v="0"/>
    <s v="ELECTRICITY; GUATEMALA; WTT Estimated"/>
    <x v="1"/>
    <x v="1"/>
    <s v="Americas"/>
    <s v="Latin America and the Caribbean"/>
    <s v="GT"/>
    <m/>
    <n v="1"/>
    <s v="CH4"/>
    <n v="11.90369705"/>
    <n v="6.3550800000000001E-4"/>
    <s v="KWH"/>
    <n v="1"/>
    <n v="18731"/>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base factor ELECTRICITY; GUATEMALA, IEAto estimate the WTT factor."/>
    <n v="2021"/>
    <n v="2019"/>
    <n v="0"/>
    <n v="0"/>
    <x v="25"/>
    <s v="Unspecified Facility Type"/>
  </r>
  <r>
    <n v="4951"/>
    <s v="Top of Hierarchy &gt; South America &gt; Vantage_Guatemala City"/>
    <x v="4"/>
    <x v="1"/>
    <d v="2021-01-01T00:00:00"/>
    <d v="2021-12-31T00:00:00"/>
    <x v="0"/>
    <d v="2021-01-01T00:00:00"/>
    <d v="2021-12-31T00:00:00"/>
    <s v="Electricity (non-renewable)"/>
    <n v="18731"/>
    <s v="Kilowatt hours"/>
    <x v="1"/>
    <m/>
    <s v="2023-02-27, 16:27"/>
    <s v="2023-08-03, 20:18"/>
    <n v="2021"/>
    <s v="electricity__wtt"/>
    <s v="Electricity WTT"/>
    <s v="wtt"/>
    <b v="0"/>
    <s v="ELECTRICITY; GUATEMALA; WTT Estimated"/>
    <x v="1"/>
    <x v="1"/>
    <s v="Americas"/>
    <s v="Latin America and the Caribbean"/>
    <s v="GT"/>
    <m/>
    <n v="1"/>
    <s v="CO2"/>
    <n v="1596.2857750000001"/>
    <n v="8.5221598999999995E-2"/>
    <s v="KWH"/>
    <n v="1"/>
    <n v="18731"/>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base factor ELECTRICITY; GUATEMALA, IEAto estimate the WTT factor."/>
    <n v="2021"/>
    <n v="2019"/>
    <n v="0"/>
    <n v="0"/>
    <x v="25"/>
    <s v="Unspecified Facility Type"/>
  </r>
  <r>
    <n v="4951"/>
    <s v="Top of Hierarchy &gt; South America &gt; Vantage_Guatemala City"/>
    <x v="4"/>
    <x v="1"/>
    <d v="2021-01-01T00:00:00"/>
    <d v="2021-12-31T00:00:00"/>
    <x v="0"/>
    <d v="2021-01-01T00:00:00"/>
    <d v="2021-12-31T00:00:00"/>
    <s v="Electricity (non-renewable)"/>
    <n v="18731"/>
    <s v="Kilowatt hours"/>
    <x v="1"/>
    <m/>
    <s v="2023-02-27, 16:27"/>
    <s v="2023-08-03, 20:18"/>
    <n v="2021"/>
    <s v="electricity__wtt"/>
    <s v="Electricity WTT"/>
    <s v="wtt"/>
    <b v="0"/>
    <s v="ELECTRICITY; GUATEMALA; WTT Estimated"/>
    <x v="1"/>
    <x v="1"/>
    <s v="Americas"/>
    <s v="Latin America and the Caribbean"/>
    <s v="GT"/>
    <m/>
    <n v="1"/>
    <s v="CO2E"/>
    <n v="1632.790446"/>
    <n v="8.7170490000000003E-2"/>
    <s v="KWH"/>
    <n v="1"/>
    <n v="18731"/>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base factor ELECTRICITY; GUATEMALA, IEAto estimate the WTT factor."/>
    <n v="2021"/>
    <n v="2019"/>
    <n v="0"/>
    <n v="1.632790446"/>
    <x v="25"/>
    <s v="Unspecified Facility Type"/>
  </r>
  <r>
    <n v="4951"/>
    <s v="Top of Hierarchy &gt; South America &gt; Vantage_Guatemala City"/>
    <x v="4"/>
    <x v="1"/>
    <d v="2021-01-01T00:00:00"/>
    <d v="2021-12-31T00:00:00"/>
    <x v="0"/>
    <d v="2021-01-01T00:00:00"/>
    <d v="2021-12-31T00:00:00"/>
    <s v="Electricity (non-renewable)"/>
    <n v="18731"/>
    <s v="Kilowatt hours"/>
    <x v="1"/>
    <m/>
    <s v="2023-02-27, 16:27"/>
    <s v="2023-08-03, 20:18"/>
    <n v="2021"/>
    <s v="electricity__wtt"/>
    <s v="Electricity WTT"/>
    <s v="wtt"/>
    <b v="0"/>
    <s v="ELECTRICITY; GUATEMALA; WTT Estimated"/>
    <x v="1"/>
    <x v="1"/>
    <s v="Americas"/>
    <s v="Latin America and the Caribbean"/>
    <s v="GT"/>
    <m/>
    <n v="1"/>
    <s v="N2O"/>
    <n v="24.60097391"/>
    <n v="1.313383E-3"/>
    <s v="KWH"/>
    <n v="1"/>
    <n v="18731"/>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base factor ELECTRICITY; GUATEMALA, IEAto estimate the WTT factor."/>
    <n v="2021"/>
    <n v="2019"/>
    <n v="0"/>
    <n v="0"/>
    <x v="25"/>
    <s v="Unspecified Facility Type"/>
  </r>
  <r>
    <n v="4951"/>
    <s v="Top of Hierarchy &gt; South America &gt; Vantage_Guatemala City"/>
    <x v="4"/>
    <x v="1"/>
    <d v="2021-01-01T00:00:00"/>
    <d v="2021-12-31T00:00:00"/>
    <x v="0"/>
    <d v="2021-01-01T00:00:00"/>
    <d v="2021-12-31T00:00:00"/>
    <s v="Electricity (non-renewable)"/>
    <n v="18731"/>
    <s v="Kilowatt hours"/>
    <x v="1"/>
    <m/>
    <s v="2023-02-27, 16:27"/>
    <s v="2023-08-03, 20:18"/>
    <n v="2021"/>
    <s v="electricity__t+d"/>
    <s v="Electricity T&amp;D"/>
    <s v="t+d"/>
    <b v="0"/>
    <s v="ELECTRICITY; TRANSMISSION AND DISTRIBUTION; GUATEMALA"/>
    <x v="1"/>
    <x v="1"/>
    <s v="Americas"/>
    <s v="Latin America and the Caribbean"/>
    <s v="GT"/>
    <m/>
    <n v="0"/>
    <s v="CO2E"/>
    <n v="844.7681"/>
    <s v="RESTRICTED"/>
    <s v="KWH"/>
    <n v="1"/>
    <n v="18731"/>
    <s v="AR4"/>
    <s v="IEA"/>
    <s v="IEA (2021)"/>
    <n v="2021"/>
    <n v="2019"/>
    <n v="0.84476810000000002"/>
    <n v="0"/>
    <x v="25"/>
    <s v="Unspecified Facility Type"/>
  </r>
  <r>
    <n v="4951"/>
    <s v="Top of Hierarchy &gt; South America &gt; Vantage_Guatemala City"/>
    <x v="4"/>
    <x v="1"/>
    <d v="2021-01-01T00:00:00"/>
    <d v="2021-12-31T00:00:00"/>
    <x v="0"/>
    <d v="2021-01-01T00:00:00"/>
    <d v="2021-12-31T00:00:00"/>
    <s v="Electricity (non-renewable)"/>
    <n v="18731"/>
    <s v="Kilowatt hours"/>
    <x v="1"/>
    <m/>
    <s v="2023-02-27, 16:27"/>
    <s v="2023-08-03, 20:18"/>
    <n v="2021"/>
    <s v="electricity__t+d"/>
    <s v="Electricity T&amp;D"/>
    <s v="t+d"/>
    <b v="0"/>
    <s v="ELECTRICITY; TRANSMISSION AND DISTRIBUTION; GUATEMALA"/>
    <x v="1"/>
    <x v="1"/>
    <s v="Americas"/>
    <s v="Latin America and the Caribbean"/>
    <s v="GT"/>
    <m/>
    <n v="1"/>
    <s v="CO2E"/>
    <n v="844.7681"/>
    <s v="RESTRICTED"/>
    <s v="KWH"/>
    <n v="1"/>
    <n v="18731"/>
    <s v="AR4"/>
    <s v="IEA"/>
    <s v="IEA (2021)"/>
    <n v="2021"/>
    <n v="2019"/>
    <n v="0"/>
    <n v="0.84476810000000002"/>
    <x v="25"/>
    <s v="Unspecified Facility Type"/>
  </r>
  <r>
    <n v="4978"/>
    <s v="Top of Hierarchy &gt; South America &gt; Vantage_Guatemala City"/>
    <x v="4"/>
    <x v="1"/>
    <d v="2021-01-01T00:00:00"/>
    <d v="2021-12-31T00:00:00"/>
    <x v="3"/>
    <d v="2021-01-01T00:00:00"/>
    <d v="2021-12-31T00:00:00"/>
    <s v="Natural gas"/>
    <n v="0"/>
    <s v="British Thermal Units"/>
    <x v="0"/>
    <m/>
    <s v="2023-02-27, 16:27"/>
    <s v="2023-07-20, 00:40"/>
    <n v="2021"/>
    <s v="natural_gas"/>
    <s v="Natural Gas"/>
    <s v="model"/>
    <b v="0"/>
    <s v="NATURAL GAS, NATURAL GAS"/>
    <x v="2"/>
    <x v="0"/>
    <s v="Americas"/>
    <m/>
    <m/>
    <m/>
    <n v="0"/>
    <s v="CH4"/>
    <n v="0"/>
    <n v="2.5000000000000001E-2"/>
    <s v="MMBTU"/>
    <n v="9.9999999999999995E-7"/>
    <n v="0"/>
    <s v="AR4"/>
    <s v="USEPA"/>
    <s v="USEPA (2021)"/>
    <n v="2021"/>
    <n v="2021"/>
    <n v="0"/>
    <n v="0"/>
    <x v="25"/>
    <s v="Unspecified Facility Type"/>
  </r>
  <r>
    <n v="4978"/>
    <s v="Top of Hierarchy &gt; South America &gt; Vantage_Guatemala City"/>
    <x v="4"/>
    <x v="1"/>
    <d v="2021-01-01T00:00:00"/>
    <d v="2021-12-31T00:00:00"/>
    <x v="3"/>
    <d v="2021-01-01T00:00:00"/>
    <d v="2021-12-31T00:00:00"/>
    <s v="Natural gas"/>
    <n v="0"/>
    <s v="British Thermal Units"/>
    <x v="0"/>
    <m/>
    <s v="2023-02-27, 16:27"/>
    <s v="2023-07-20, 00:40"/>
    <n v="2021"/>
    <s v="natural_gas"/>
    <s v="Natural Gas"/>
    <s v="model"/>
    <b v="0"/>
    <s v="NATURAL GAS, NATURAL GAS"/>
    <x v="2"/>
    <x v="0"/>
    <s v="Americas"/>
    <m/>
    <m/>
    <m/>
    <n v="0"/>
    <s v="CO2"/>
    <n v="0"/>
    <n v="53.06"/>
    <s v="MMBTU"/>
    <n v="9.9999999999999995E-7"/>
    <n v="0"/>
    <s v="AR4"/>
    <s v="USEPA"/>
    <s v="USEPA Emission Factors Hub (Last Modified: March 2020)"/>
    <n v="2021"/>
    <n v="2020"/>
    <n v="0"/>
    <n v="0"/>
    <x v="25"/>
    <s v="Unspecified Facility Type"/>
  </r>
  <r>
    <n v="4978"/>
    <s v="Top of Hierarchy &gt; South America &gt; Vantage_Guatemala City"/>
    <x v="4"/>
    <x v="1"/>
    <d v="2021-01-01T00:00:00"/>
    <d v="2021-12-31T00:00:00"/>
    <x v="3"/>
    <d v="2021-01-01T00:00:00"/>
    <d v="2021-12-31T00:00:00"/>
    <s v="Natural gas"/>
    <n v="0"/>
    <s v="British Thermal Units"/>
    <x v="0"/>
    <m/>
    <s v="2023-02-27, 16:27"/>
    <s v="2023-07-20, 00:40"/>
    <n v="2021"/>
    <s v="natural_gas"/>
    <s v="Natural Gas"/>
    <s v="model"/>
    <b v="0"/>
    <s v="NATURAL GAS, NATURAL GAS"/>
    <x v="2"/>
    <x v="0"/>
    <s v="Americas"/>
    <m/>
    <m/>
    <m/>
    <n v="0"/>
    <s v="CO2E"/>
    <n v="0"/>
    <n v="53.114800000000002"/>
    <s v="MMBTU"/>
    <n v="9.9999999999999995E-7"/>
    <n v="0"/>
    <s v="AR4"/>
    <s v="USEPA"/>
    <s v="USEPA (2021)"/>
    <n v="2021"/>
    <n v="2021"/>
    <n v="0"/>
    <n v="0"/>
    <x v="25"/>
    <s v="Unspecified Facility Type"/>
  </r>
  <r>
    <n v="4978"/>
    <s v="Top of Hierarchy &gt; South America &gt; Vantage_Guatemala City"/>
    <x v="4"/>
    <x v="1"/>
    <d v="2021-01-01T00:00:00"/>
    <d v="2021-12-31T00:00:00"/>
    <x v="3"/>
    <d v="2021-01-01T00:00:00"/>
    <d v="2021-12-31T00:00:00"/>
    <s v="Natural gas"/>
    <n v="0"/>
    <s v="British Thermal Units"/>
    <x v="0"/>
    <m/>
    <s v="2023-02-27, 16:27"/>
    <s v="2023-07-20, 00:40"/>
    <n v="2021"/>
    <s v="natural_gas"/>
    <s v="Natural Gas"/>
    <s v="model"/>
    <b v="0"/>
    <s v="NATURAL GAS, NATURAL GAS"/>
    <x v="2"/>
    <x v="0"/>
    <s v="Americas"/>
    <m/>
    <m/>
    <m/>
    <n v="0"/>
    <s v="N2O"/>
    <n v="0"/>
    <n v="2.98E-2"/>
    <s v="MMBTU"/>
    <n v="9.9999999999999995E-7"/>
    <n v="0"/>
    <s v="AR4"/>
    <s v="USEPA"/>
    <s v="USEPA (2021)"/>
    <n v="2021"/>
    <n v="2021"/>
    <n v="0"/>
    <n v="0"/>
    <x v="25"/>
    <s v="Unspecified Facility Type"/>
  </r>
  <r>
    <n v="4978"/>
    <s v="Top of Hierarchy &gt; South America &gt; Vantage_Guatemala City"/>
    <x v="4"/>
    <x v="1"/>
    <d v="2021-01-01T00:00:00"/>
    <d v="2021-12-31T00:00:00"/>
    <x v="3"/>
    <d v="2021-01-01T00:00:00"/>
    <d v="2021-12-31T00:00:00"/>
    <s v="Natural gas"/>
    <n v="0"/>
    <s v="British Thermal Units"/>
    <x v="0"/>
    <m/>
    <s v="2023-02-27, 16:27"/>
    <s v="2023-07-20, 00:40"/>
    <n v="2021"/>
    <s v="natural_gas"/>
    <s v="Natural Gas"/>
    <s v="model"/>
    <b v="0"/>
    <s v="NATURAL GAS, NATURAL GAS"/>
    <x v="2"/>
    <x v="0"/>
    <s v="Americas"/>
    <m/>
    <m/>
    <m/>
    <n v="1"/>
    <s v="CH4"/>
    <n v="0"/>
    <n v="2.5000000000000001E-2"/>
    <s v="MMBTU"/>
    <n v="9.9999999999999995E-7"/>
    <n v="0"/>
    <s v="AR4"/>
    <s v="USEPA"/>
    <s v="USEPA (2021)"/>
    <n v="2021"/>
    <n v="2021"/>
    <n v="0"/>
    <n v="0"/>
    <x v="25"/>
    <s v="Unspecified Facility Type"/>
  </r>
  <r>
    <n v="4978"/>
    <s v="Top of Hierarchy &gt; South America &gt; Vantage_Guatemala City"/>
    <x v="4"/>
    <x v="1"/>
    <d v="2021-01-01T00:00:00"/>
    <d v="2021-12-31T00:00:00"/>
    <x v="3"/>
    <d v="2021-01-01T00:00:00"/>
    <d v="2021-12-31T00:00:00"/>
    <s v="Natural gas"/>
    <n v="0"/>
    <s v="British Thermal Units"/>
    <x v="0"/>
    <m/>
    <s v="2023-02-27, 16:27"/>
    <s v="2023-07-20, 00:40"/>
    <n v="2021"/>
    <s v="natural_gas"/>
    <s v="Natural Gas"/>
    <s v="model"/>
    <b v="0"/>
    <s v="NATURAL GAS, NATURAL GAS"/>
    <x v="2"/>
    <x v="0"/>
    <s v="Americas"/>
    <m/>
    <m/>
    <m/>
    <n v="1"/>
    <s v="CO2"/>
    <n v="0"/>
    <n v="53.06"/>
    <s v="MMBTU"/>
    <n v="9.9999999999999995E-7"/>
    <n v="0"/>
    <s v="AR4"/>
    <s v="USEPA"/>
    <s v="USEPA Emission Factors Hub (Last Modified: March 2020)"/>
    <n v="2021"/>
    <n v="2020"/>
    <n v="0"/>
    <n v="0"/>
    <x v="25"/>
    <s v="Unspecified Facility Type"/>
  </r>
  <r>
    <n v="4978"/>
    <s v="Top of Hierarchy &gt; South America &gt; Vantage_Guatemala City"/>
    <x v="4"/>
    <x v="1"/>
    <d v="2021-01-01T00:00:00"/>
    <d v="2021-12-31T00:00:00"/>
    <x v="3"/>
    <d v="2021-01-01T00:00:00"/>
    <d v="2021-12-31T00:00:00"/>
    <s v="Natural gas"/>
    <n v="0"/>
    <s v="British Thermal Units"/>
    <x v="0"/>
    <m/>
    <s v="2023-02-27, 16:27"/>
    <s v="2023-07-20, 00:40"/>
    <n v="2021"/>
    <s v="natural_gas"/>
    <s v="Natural Gas"/>
    <s v="model"/>
    <b v="0"/>
    <s v="NATURAL GAS, NATURAL GAS"/>
    <x v="2"/>
    <x v="0"/>
    <s v="Americas"/>
    <m/>
    <m/>
    <m/>
    <n v="1"/>
    <s v="CO2E"/>
    <n v="0"/>
    <n v="53.114800000000002"/>
    <s v="MMBTU"/>
    <n v="9.9999999999999995E-7"/>
    <n v="0"/>
    <s v="AR4"/>
    <s v="USEPA"/>
    <s v="USEPA (2021)"/>
    <n v="2021"/>
    <n v="2021"/>
    <n v="0"/>
    <n v="0"/>
    <x v="25"/>
    <s v="Unspecified Facility Type"/>
  </r>
  <r>
    <n v="4978"/>
    <s v="Top of Hierarchy &gt; South America &gt; Vantage_Guatemala City"/>
    <x v="4"/>
    <x v="1"/>
    <d v="2021-01-01T00:00:00"/>
    <d v="2021-12-31T00:00:00"/>
    <x v="3"/>
    <d v="2021-01-01T00:00:00"/>
    <d v="2021-12-31T00:00:00"/>
    <s v="Natural gas"/>
    <n v="0"/>
    <s v="British Thermal Units"/>
    <x v="0"/>
    <m/>
    <s v="2023-02-27, 16:27"/>
    <s v="2023-07-20, 00:40"/>
    <n v="2021"/>
    <s v="natural_gas"/>
    <s v="Natural Gas"/>
    <s v="model"/>
    <b v="0"/>
    <s v="NATURAL GAS, NATURAL GAS"/>
    <x v="2"/>
    <x v="0"/>
    <s v="Americas"/>
    <m/>
    <m/>
    <m/>
    <n v="1"/>
    <s v="N2O"/>
    <n v="0"/>
    <n v="2.98E-2"/>
    <s v="MMBTU"/>
    <n v="9.9999999999999995E-7"/>
    <n v="0"/>
    <s v="AR4"/>
    <s v="USEPA"/>
    <s v="USEPA (2021)"/>
    <n v="2021"/>
    <n v="2021"/>
    <n v="0"/>
    <n v="0"/>
    <x v="25"/>
    <s v="Unspecified Facility Type"/>
  </r>
  <r>
    <n v="4978"/>
    <s v="Top of Hierarchy &gt; South America &gt; Vantage_Guatemala City"/>
    <x v="4"/>
    <x v="1"/>
    <d v="2021-01-01T00:00:00"/>
    <d v="2021-12-31T00:00:00"/>
    <x v="3"/>
    <d v="2021-01-01T00:00:00"/>
    <d v="2021-12-31T00:00:00"/>
    <s v="Natural gas"/>
    <n v="0"/>
    <s v="British Thermal Units"/>
    <x v="0"/>
    <m/>
    <s v="2023-02-27, 16:27"/>
    <s v="2023-07-20, 00:40"/>
    <n v="2021"/>
    <s v="natural_gas__wtt"/>
    <s v="Natural Gas WTT"/>
    <s v="wtt"/>
    <b v="0"/>
    <s v="WTT- FUELS; WTT- GASEOUS FUELS; NATURAL GAS"/>
    <x v="1"/>
    <x v="1"/>
    <m/>
    <m/>
    <m/>
    <m/>
    <n v="0"/>
    <s v="CO2E"/>
    <n v="0"/>
    <n v="3.1350000000000003E-2"/>
    <s v="KWH (GROSS CV)"/>
    <n v="2.9306999999999998E-4"/>
    <n v="0"/>
    <s v="AR4"/>
    <s v="Defra"/>
    <s v="Defra (2021)"/>
    <n v="2021"/>
    <n v="2019"/>
    <n v="0"/>
    <n v="0"/>
    <x v="25"/>
    <s v="Unspecified Facility Type"/>
  </r>
  <r>
    <n v="4978"/>
    <s v="Top of Hierarchy &gt; South America &gt; Vantage_Guatemala City"/>
    <x v="4"/>
    <x v="1"/>
    <d v="2021-01-01T00:00:00"/>
    <d v="2021-12-31T00:00:00"/>
    <x v="3"/>
    <d v="2021-01-01T00:00:00"/>
    <d v="2021-12-31T00:00:00"/>
    <s v="Natural gas"/>
    <n v="0"/>
    <s v="British Thermal Units"/>
    <x v="0"/>
    <m/>
    <s v="2023-02-27, 16:27"/>
    <s v="2023-07-20, 00:40"/>
    <n v="2021"/>
    <s v="natural_gas__wtt"/>
    <s v="Natural Gas WTT"/>
    <s v="wtt"/>
    <b v="0"/>
    <s v="WTT- FUELS; WTT- GASEOUS FUELS; NATURAL GAS"/>
    <x v="1"/>
    <x v="1"/>
    <m/>
    <m/>
    <m/>
    <m/>
    <n v="1"/>
    <s v="CO2E"/>
    <n v="0"/>
    <n v="3.1350000000000003E-2"/>
    <s v="KWH (GROSS CV)"/>
    <n v="2.9306999999999998E-4"/>
    <n v="0"/>
    <s v="AR4"/>
    <s v="Defra"/>
    <s v="Defra (2021)"/>
    <n v="2021"/>
    <n v="2019"/>
    <n v="0"/>
    <n v="0"/>
    <x v="25"/>
    <s v="Unspecified Facility Type"/>
  </r>
  <r>
    <n v="5011"/>
    <s v="Top of Hierarchy &gt; South America &gt; Vantage_Guatemala City"/>
    <x v="4"/>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0"/>
    <s v="CH4"/>
    <n v="0"/>
    <n v="2.5999999999999998E-4"/>
    <s v="LITRES"/>
    <n v="1"/>
    <n v="0"/>
    <s v="AR4"/>
    <s v="Defra"/>
    <s v="Defra (2021)"/>
    <n v="2021"/>
    <n v="2019"/>
    <n v="0"/>
    <n v="0"/>
    <x v="25"/>
    <s v="Unspecified Facility Type"/>
  </r>
  <r>
    <n v="5011"/>
    <s v="Top of Hierarchy &gt; South America &gt; Vantage_Guatemala City"/>
    <x v="4"/>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0"/>
    <s v="CO2"/>
    <n v="0"/>
    <n v="2.6680700000000002"/>
    <s v="LITRES"/>
    <n v="1"/>
    <n v="0"/>
    <s v="AR4"/>
    <s v="Defra"/>
    <s v="Defra (2021)"/>
    <n v="2021"/>
    <n v="2019"/>
    <n v="0"/>
    <n v="0"/>
    <x v="25"/>
    <s v="Unspecified Facility Type"/>
  </r>
  <r>
    <n v="5011"/>
    <s v="Top of Hierarchy &gt; South America &gt; Vantage_Guatemala City"/>
    <x v="4"/>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0"/>
    <s v="CO2E"/>
    <n v="0"/>
    <n v="2.70553"/>
    <s v="LITRES"/>
    <n v="1"/>
    <n v="0"/>
    <s v="AR4"/>
    <s v="Defra"/>
    <s v="Defra (2021)"/>
    <n v="2021"/>
    <n v="2019"/>
    <n v="0"/>
    <n v="0"/>
    <x v="25"/>
    <s v="Unspecified Facility Type"/>
  </r>
  <r>
    <n v="5011"/>
    <s v="Top of Hierarchy &gt; South America &gt; Vantage_Guatemala City"/>
    <x v="4"/>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0"/>
    <s v="N2O"/>
    <n v="0"/>
    <n v="3.7199999999999997E-2"/>
    <s v="LITRES"/>
    <n v="1"/>
    <n v="0"/>
    <s v="AR4"/>
    <s v="Defra"/>
    <s v="Defra (2021)"/>
    <n v="2021"/>
    <n v="2019"/>
    <n v="0"/>
    <n v="0"/>
    <x v="25"/>
    <s v="Unspecified Facility Type"/>
  </r>
  <r>
    <n v="5011"/>
    <s v="Top of Hierarchy &gt; South America &gt; Vantage_Guatemala City"/>
    <x v="4"/>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1"/>
    <s v="CH4"/>
    <n v="0"/>
    <n v="2.5999999999999998E-4"/>
    <s v="LITRES"/>
    <n v="1"/>
    <n v="0"/>
    <s v="AR4"/>
    <s v="Defra"/>
    <s v="Defra (2021)"/>
    <n v="2021"/>
    <n v="2019"/>
    <n v="0"/>
    <n v="0"/>
    <x v="25"/>
    <s v="Unspecified Facility Type"/>
  </r>
  <r>
    <n v="5011"/>
    <s v="Top of Hierarchy &gt; South America &gt; Vantage_Guatemala City"/>
    <x v="4"/>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1"/>
    <s v="CO2"/>
    <n v="0"/>
    <n v="2.6680700000000002"/>
    <s v="LITRES"/>
    <n v="1"/>
    <n v="0"/>
    <s v="AR4"/>
    <s v="Defra"/>
    <s v="Defra (2021)"/>
    <n v="2021"/>
    <n v="2019"/>
    <n v="0"/>
    <n v="0"/>
    <x v="25"/>
    <s v="Unspecified Facility Type"/>
  </r>
  <r>
    <n v="5011"/>
    <s v="Top of Hierarchy &gt; South America &gt; Vantage_Guatemala City"/>
    <x v="4"/>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1"/>
    <s v="CO2E"/>
    <n v="0"/>
    <n v="2.70553"/>
    <s v="LITRES"/>
    <n v="1"/>
    <n v="0"/>
    <s v="AR4"/>
    <s v="Defra"/>
    <s v="Defra (2021)"/>
    <n v="2021"/>
    <n v="2019"/>
    <n v="0"/>
    <n v="0"/>
    <x v="25"/>
    <s v="Unspecified Facility Type"/>
  </r>
  <r>
    <n v="5011"/>
    <s v="Top of Hierarchy &gt; South America &gt; Vantage_Guatemala City"/>
    <x v="4"/>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1"/>
    <s v="N2O"/>
    <n v="0"/>
    <n v="3.7199999999999997E-2"/>
    <s v="LITRES"/>
    <n v="1"/>
    <n v="0"/>
    <s v="AR4"/>
    <s v="Defra"/>
    <s v="Defra (2021)"/>
    <n v="2021"/>
    <n v="2019"/>
    <n v="0"/>
    <n v="0"/>
    <x v="25"/>
    <s v="Unspecified Facility Type"/>
  </r>
  <r>
    <n v="5011"/>
    <s v="Top of Hierarchy &gt; South America &gt; Vantage_Guatemala City"/>
    <x v="4"/>
    <x v="1"/>
    <d v="2021-01-01T00:00:00"/>
    <d v="2021-12-31T00:00:00"/>
    <x v="1"/>
    <d v="2021-01-01T00:00:00"/>
    <d v="2021-12-31T00:00:00"/>
    <s v="Diesel (100% mineral diesel)"/>
    <n v="0"/>
    <s v="litres"/>
    <x v="0"/>
    <m/>
    <s v="2023-02-27, 16:27"/>
    <s v="2023-07-20, 00:40"/>
    <n v="2021"/>
    <s v="diesel_100p_mineral_diesel__wtt"/>
    <s v="Diesel (100% Mineral Diesel) WTT"/>
    <s v="wtt"/>
    <b v="0"/>
    <s v="WTT- FUELS; WTT- LIQUID FUELS; DIESEL (100% MINERAL DIESEL)"/>
    <x v="1"/>
    <x v="1"/>
    <m/>
    <m/>
    <m/>
    <m/>
    <n v="0"/>
    <s v="CO2E"/>
    <n v="0"/>
    <n v="0.62873999999999997"/>
    <s v="LITRES"/>
    <n v="1"/>
    <n v="0"/>
    <s v="AR4"/>
    <s v="Defra"/>
    <s v="Defra (2021)"/>
    <n v="2021"/>
    <n v="2019"/>
    <n v="0"/>
    <n v="0"/>
    <x v="25"/>
    <s v="Unspecified Facility Type"/>
  </r>
  <r>
    <n v="5011"/>
    <s v="Top of Hierarchy &gt; South America &gt; Vantage_Guatemala City"/>
    <x v="4"/>
    <x v="1"/>
    <d v="2021-01-01T00:00:00"/>
    <d v="2021-12-31T00:00:00"/>
    <x v="1"/>
    <d v="2021-01-01T00:00:00"/>
    <d v="2021-12-31T00:00:00"/>
    <s v="Diesel (100% mineral diesel)"/>
    <n v="0"/>
    <s v="litres"/>
    <x v="0"/>
    <m/>
    <s v="2023-02-27, 16:27"/>
    <s v="2023-07-20, 00:40"/>
    <n v="2021"/>
    <s v="diesel_100p_mineral_diesel__wtt"/>
    <s v="Diesel (100% Mineral Diesel) WTT"/>
    <s v="wtt"/>
    <b v="0"/>
    <s v="WTT- FUELS; WTT- LIQUID FUELS; DIESEL (100% MINERAL DIESEL)"/>
    <x v="1"/>
    <x v="1"/>
    <m/>
    <m/>
    <m/>
    <m/>
    <n v="1"/>
    <s v="CO2E"/>
    <n v="0"/>
    <n v="0.62873999999999997"/>
    <s v="LITRES"/>
    <n v="1"/>
    <n v="0"/>
    <s v="AR4"/>
    <s v="Defra"/>
    <s v="Defra (2021)"/>
    <n v="2021"/>
    <n v="2019"/>
    <n v="0"/>
    <n v="0"/>
    <x v="25"/>
    <s v="Unspecified Facility Type"/>
  </r>
  <r>
    <n v="5037"/>
    <s v="Top of Hierarchy &gt; South America &gt; Vantage_Guatemala City"/>
    <x v="4"/>
    <x v="1"/>
    <d v="2021-01-01T00:00:00"/>
    <d v="2021-12-31T00:00:00"/>
    <x v="4"/>
    <d v="2021-01-01T00:00:00"/>
    <d v="2021-12-31T00:00:00"/>
    <s v="HFC-134a"/>
    <n v="0.71040000000000003"/>
    <s v="kilograms"/>
    <x v="0"/>
    <m/>
    <s v="2023-02-27, 16:28"/>
    <s v="2023-07-20, 00:40"/>
    <n v="2021"/>
    <s v="hfc-134a"/>
    <s v="HFC-134A"/>
    <s v="model"/>
    <b v="0"/>
    <s v="REFRIGERANT: R-134A"/>
    <x v="2"/>
    <x v="0"/>
    <m/>
    <m/>
    <m/>
    <m/>
    <n v="0"/>
    <s v="CO2E"/>
    <n v="1015.872"/>
    <n v="1430"/>
    <s v="KG"/>
    <n v="1"/>
    <n v="0.71040000000000003"/>
    <s v="AR4"/>
    <s v="IPCC"/>
    <s v="IPCC (2021)"/>
    <n v="2021"/>
    <n v="2007"/>
    <n v="1.0158719999999999"/>
    <n v="0"/>
    <x v="25"/>
    <s v="Unspecified Facility Type"/>
  </r>
  <r>
    <n v="5037"/>
    <s v="Top of Hierarchy &gt; South America &gt; Vantage_Guatemala City"/>
    <x v="4"/>
    <x v="1"/>
    <d v="2021-01-01T00:00:00"/>
    <d v="2021-12-31T00:00:00"/>
    <x v="4"/>
    <d v="2021-01-01T00:00:00"/>
    <d v="2021-12-31T00:00:00"/>
    <s v="HFC-134a"/>
    <n v="0.71040000000000003"/>
    <s v="kilograms"/>
    <x v="0"/>
    <m/>
    <s v="2023-02-27, 16:28"/>
    <s v="2023-07-20, 00:40"/>
    <n v="2021"/>
    <s v="hfc-134a"/>
    <s v="HFC-134A"/>
    <s v="model"/>
    <b v="0"/>
    <s v="REFRIGERANT: R-134A"/>
    <x v="2"/>
    <x v="0"/>
    <m/>
    <m/>
    <m/>
    <m/>
    <n v="1"/>
    <s v="CO2E"/>
    <n v="1015.872"/>
    <n v="1430"/>
    <s v="KG"/>
    <n v="1"/>
    <n v="0.71040000000000003"/>
    <s v="AR4"/>
    <s v="IPCC"/>
    <s v="IPCC (2021)"/>
    <n v="2021"/>
    <n v="2007"/>
    <n v="0"/>
    <n v="1.0158719999999999"/>
    <x v="25"/>
    <s v="Unspecified Facility Type"/>
  </r>
  <r>
    <n v="1590448"/>
    <s v="Top of Hierarchy &gt; South America &gt; Vantage_Lima"/>
    <x v="0"/>
    <x v="0"/>
    <d v="2022-01-01T00:00:00"/>
    <d v="2022-12-31T00:00:00"/>
    <x v="0"/>
    <d v="2022-01-01T00:00:00"/>
    <d v="2022-12-31T00:00:00"/>
    <s v="Electricity (non-renewable)"/>
    <n v="645.22071600000004"/>
    <s v="Kilowatt hours"/>
    <x v="0"/>
    <s v="Estimated from square footage (CBECS 2012)"/>
    <s v="2023-07-25, 17:50"/>
    <s v="2023-07-25, 17:50"/>
    <n v="2022"/>
    <s v="electricity"/>
    <s v="Electricity"/>
    <s v="model"/>
    <b v="0"/>
    <s v="ELECTRICITY; PERU"/>
    <x v="0"/>
    <x v="0"/>
    <s v="Americas"/>
    <s v="Latin America and the Caribbean"/>
    <s v="PE"/>
    <m/>
    <n v="0"/>
    <s v="CH4"/>
    <n v="0.129044143"/>
    <s v="RESTRICTED"/>
    <s v="KWH"/>
    <n v="1"/>
    <n v="645.22071600000004"/>
    <s v="AR4"/>
    <s v="IEA"/>
    <s v="IEA (2022)"/>
    <n v="2022"/>
    <n v="2020"/>
    <n v="0"/>
    <n v="0"/>
    <x v="26"/>
    <s v="Office"/>
  </r>
  <r>
    <n v="1590448"/>
    <s v="Top of Hierarchy &gt; South America &gt; Vantage_Lima"/>
    <x v="0"/>
    <x v="0"/>
    <d v="2022-01-01T00:00:00"/>
    <d v="2022-12-31T00:00:00"/>
    <x v="0"/>
    <d v="2022-01-01T00:00:00"/>
    <d v="2022-12-31T00:00:00"/>
    <s v="Electricity (non-renewable)"/>
    <n v="645.22071600000004"/>
    <s v="Kilowatt hours"/>
    <x v="0"/>
    <s v="Estimated from square footage (CBECS 2012)"/>
    <s v="2023-07-25, 17:50"/>
    <s v="2023-07-25, 17:50"/>
    <n v="2022"/>
    <s v="electricity"/>
    <s v="Electricity"/>
    <s v="model"/>
    <b v="0"/>
    <s v="ELECTRICITY; PERU"/>
    <x v="0"/>
    <x v="0"/>
    <s v="Americas"/>
    <s v="Latin America and the Caribbean"/>
    <s v="PE"/>
    <m/>
    <n v="0"/>
    <s v="CO2"/>
    <n v="114.33311089999999"/>
    <s v="RESTRICTED"/>
    <s v="KWH"/>
    <n v="1"/>
    <n v="645.22071600000004"/>
    <s v="AR4"/>
    <s v="IEA"/>
    <s v="IEA (2022)"/>
    <n v="2022"/>
    <n v="2020"/>
    <n v="0"/>
    <n v="0"/>
    <x v="26"/>
    <s v="Office"/>
  </r>
  <r>
    <n v="1590448"/>
    <s v="Top of Hierarchy &gt; South America &gt; Vantage_Lima"/>
    <x v="0"/>
    <x v="0"/>
    <d v="2022-01-01T00:00:00"/>
    <d v="2022-12-31T00:00:00"/>
    <x v="0"/>
    <d v="2022-01-01T00:00:00"/>
    <d v="2022-12-31T00:00:00"/>
    <s v="Electricity (non-renewable)"/>
    <n v="645.22071600000004"/>
    <s v="Kilowatt hours"/>
    <x v="0"/>
    <s v="Estimated from square footage (CBECS 2012)"/>
    <s v="2023-07-25, 17:50"/>
    <s v="2023-07-25, 17:50"/>
    <n v="2022"/>
    <s v="electricity"/>
    <s v="Electricity"/>
    <s v="model"/>
    <b v="0"/>
    <s v="ELECTRICITY; PERU"/>
    <x v="0"/>
    <x v="0"/>
    <s v="Americas"/>
    <s v="Latin America and the Caribbean"/>
    <s v="PE"/>
    <m/>
    <n v="0"/>
    <s v="CO2E"/>
    <n v="114.72024330000001"/>
    <s v="RESTRICTED"/>
    <s v="KWH"/>
    <n v="1"/>
    <n v="645.22071600000004"/>
    <s v="AR4"/>
    <s v="IEA"/>
    <s v="IEA (2022)"/>
    <n v="2022"/>
    <n v="2020"/>
    <n v="0.11472024330000001"/>
    <n v="0"/>
    <x v="26"/>
    <s v="Office"/>
  </r>
  <r>
    <n v="1590448"/>
    <s v="Top of Hierarchy &gt; South America &gt; Vantage_Lima"/>
    <x v="0"/>
    <x v="0"/>
    <d v="2022-01-01T00:00:00"/>
    <d v="2022-12-31T00:00:00"/>
    <x v="0"/>
    <d v="2022-01-01T00:00:00"/>
    <d v="2022-12-31T00:00:00"/>
    <s v="Electricity (non-renewable)"/>
    <n v="645.22071600000004"/>
    <s v="Kilowatt hours"/>
    <x v="0"/>
    <s v="Estimated from square footage (CBECS 2012)"/>
    <s v="2023-07-25, 17:50"/>
    <s v="2023-07-25, 17:50"/>
    <n v="2022"/>
    <s v="electricity"/>
    <s v="Electricity"/>
    <s v="model"/>
    <b v="0"/>
    <s v="ELECTRICITY; PERU"/>
    <x v="0"/>
    <x v="0"/>
    <s v="Americas"/>
    <s v="Latin America and the Caribbean"/>
    <s v="PE"/>
    <m/>
    <n v="0"/>
    <s v="N2O"/>
    <n v="0.258088286"/>
    <s v="RESTRICTED"/>
    <s v="KWH"/>
    <n v="1"/>
    <n v="645.22071600000004"/>
    <s v="AR4"/>
    <s v="IEA"/>
    <s v="IEA (2022)"/>
    <n v="2022"/>
    <n v="2020"/>
    <n v="0"/>
    <n v="0"/>
    <x v="26"/>
    <s v="Office"/>
  </r>
  <r>
    <n v="1590448"/>
    <s v="Top of Hierarchy &gt; South America &gt; Vantage_Lima"/>
    <x v="0"/>
    <x v="0"/>
    <d v="2022-01-01T00:00:00"/>
    <d v="2022-12-31T00:00:00"/>
    <x v="0"/>
    <d v="2022-01-01T00:00:00"/>
    <d v="2022-12-31T00:00:00"/>
    <s v="Electricity (non-renewable)"/>
    <n v="645.22071600000004"/>
    <s v="Kilowatt hours"/>
    <x v="0"/>
    <s v="Estimated from square footage (CBECS 2012)"/>
    <s v="2023-07-25, 17:50"/>
    <s v="2023-07-25, 17:50"/>
    <n v="2022"/>
    <s v="electricity"/>
    <s v="Electricity"/>
    <s v="model"/>
    <b v="0"/>
    <s v="ELECTRICITY; PERU"/>
    <x v="0"/>
    <x v="0"/>
    <s v="Americas"/>
    <s v="Latin America and the Caribbean"/>
    <s v="PE"/>
    <m/>
    <n v="1"/>
    <s v="CH4"/>
    <n v="0.129044143"/>
    <s v="RESTRICTED"/>
    <s v="KWH"/>
    <n v="1"/>
    <n v="645.22071600000004"/>
    <s v="AR4"/>
    <s v="IEA"/>
    <s v="IEA (2022)"/>
    <n v="2022"/>
    <n v="2020"/>
    <n v="0"/>
    <n v="0"/>
    <x v="26"/>
    <s v="Office"/>
  </r>
  <r>
    <n v="1590448"/>
    <s v="Top of Hierarchy &gt; South America &gt; Vantage_Lima"/>
    <x v="0"/>
    <x v="0"/>
    <d v="2022-01-01T00:00:00"/>
    <d v="2022-12-31T00:00:00"/>
    <x v="0"/>
    <d v="2022-01-01T00:00:00"/>
    <d v="2022-12-31T00:00:00"/>
    <s v="Electricity (non-renewable)"/>
    <n v="645.22071600000004"/>
    <s v="Kilowatt hours"/>
    <x v="0"/>
    <s v="Estimated from square footage (CBECS 2012)"/>
    <s v="2023-07-25, 17:50"/>
    <s v="2023-07-25, 17:50"/>
    <n v="2022"/>
    <s v="electricity"/>
    <s v="Electricity"/>
    <s v="model"/>
    <b v="0"/>
    <s v="ELECTRICITY; PERU"/>
    <x v="0"/>
    <x v="0"/>
    <s v="Americas"/>
    <s v="Latin America and the Caribbean"/>
    <s v="PE"/>
    <m/>
    <n v="1"/>
    <s v="CO2"/>
    <n v="114.33311089999999"/>
    <s v="RESTRICTED"/>
    <s v="KWH"/>
    <n v="1"/>
    <n v="645.22071600000004"/>
    <s v="AR4"/>
    <s v="IEA"/>
    <s v="IEA (2022)"/>
    <n v="2022"/>
    <n v="2020"/>
    <n v="0"/>
    <n v="0"/>
    <x v="26"/>
    <s v="Office"/>
  </r>
  <r>
    <n v="1590448"/>
    <s v="Top of Hierarchy &gt; South America &gt; Vantage_Lima"/>
    <x v="0"/>
    <x v="0"/>
    <d v="2022-01-01T00:00:00"/>
    <d v="2022-12-31T00:00:00"/>
    <x v="0"/>
    <d v="2022-01-01T00:00:00"/>
    <d v="2022-12-31T00:00:00"/>
    <s v="Electricity (non-renewable)"/>
    <n v="645.22071600000004"/>
    <s v="Kilowatt hours"/>
    <x v="0"/>
    <s v="Estimated from square footage (CBECS 2012)"/>
    <s v="2023-07-25, 17:50"/>
    <s v="2023-07-25, 17:50"/>
    <n v="2022"/>
    <s v="electricity"/>
    <s v="Electricity"/>
    <s v="model"/>
    <b v="0"/>
    <s v="ELECTRICITY; PERU"/>
    <x v="0"/>
    <x v="0"/>
    <s v="Americas"/>
    <s v="Latin America and the Caribbean"/>
    <s v="PE"/>
    <m/>
    <n v="1"/>
    <s v="CO2E"/>
    <n v="114.72024330000001"/>
    <s v="RESTRICTED"/>
    <s v="KWH"/>
    <n v="1"/>
    <n v="645.22071600000004"/>
    <s v="AR4"/>
    <s v="IEA"/>
    <s v="IEA (2022)"/>
    <n v="2022"/>
    <n v="2020"/>
    <n v="0"/>
    <n v="0.11472024330000001"/>
    <x v="26"/>
    <s v="Office"/>
  </r>
  <r>
    <n v="1590448"/>
    <s v="Top of Hierarchy &gt; South America &gt; Vantage_Lima"/>
    <x v="0"/>
    <x v="0"/>
    <d v="2022-01-01T00:00:00"/>
    <d v="2022-12-31T00:00:00"/>
    <x v="0"/>
    <d v="2022-01-01T00:00:00"/>
    <d v="2022-12-31T00:00:00"/>
    <s v="Electricity (non-renewable)"/>
    <n v="645.22071600000004"/>
    <s v="Kilowatt hours"/>
    <x v="0"/>
    <s v="Estimated from square footage (CBECS 2012)"/>
    <s v="2023-07-25, 17:50"/>
    <s v="2023-07-25, 17:50"/>
    <n v="2022"/>
    <s v="electricity"/>
    <s v="Electricity"/>
    <s v="model"/>
    <b v="0"/>
    <s v="ELECTRICITY; PERU"/>
    <x v="0"/>
    <x v="0"/>
    <s v="Americas"/>
    <s v="Latin America and the Caribbean"/>
    <s v="PE"/>
    <m/>
    <n v="1"/>
    <s v="N2O"/>
    <n v="0.258088286"/>
    <s v="RESTRICTED"/>
    <s v="KWH"/>
    <n v="1"/>
    <n v="645.22071600000004"/>
    <s v="AR4"/>
    <s v="IEA"/>
    <s v="IEA (2022)"/>
    <n v="2022"/>
    <n v="2020"/>
    <n v="0"/>
    <n v="0"/>
    <x v="26"/>
    <s v="Office"/>
  </r>
  <r>
    <n v="1590448"/>
    <s v="Top of Hierarchy &gt; South America &gt; Vantage_Lima"/>
    <x v="0"/>
    <x v="0"/>
    <d v="2022-01-01T00:00:00"/>
    <d v="2022-12-31T00:00:00"/>
    <x v="0"/>
    <d v="2022-01-01T00:00:00"/>
    <d v="2022-12-31T00:00:00"/>
    <s v="Electricity (non-renewable)"/>
    <n v="645.22071600000004"/>
    <s v="Kilowatt hours"/>
    <x v="0"/>
    <s v="Estimated from square footage (CBECS 2012)"/>
    <s v="2023-07-25, 17:50"/>
    <s v="2023-07-25, 17:50"/>
    <n v="2022"/>
    <s v="electricity__t+d__wtt"/>
    <s v="Electricity T&amp;D WTT"/>
    <s v="t+d_wtt"/>
    <b v="0"/>
    <s v="ELECTRICITY T&amp;D WTT; PERU"/>
    <x v="1"/>
    <x v="1"/>
    <s v="Americas"/>
    <s v="Latin America and the Caribbean"/>
    <s v="PE"/>
    <m/>
    <n v="0"/>
    <s v="CO2E"/>
    <n v="2.9796444439999998"/>
    <n v="4.6180240000000001E-3"/>
    <s v="KWH"/>
    <n v="1"/>
    <n v="645.22071600000004"/>
    <s v="AR4"/>
    <s v="Anthesis"/>
    <s v="Anthesis (2022)"/>
    <n v="2022"/>
    <n v="2020"/>
    <n v="2.979644444E-3"/>
    <n v="0"/>
    <x v="26"/>
    <s v="Office"/>
  </r>
  <r>
    <n v="1590448"/>
    <s v="Top of Hierarchy &gt; South America &gt; Vantage_Lima"/>
    <x v="0"/>
    <x v="0"/>
    <d v="2022-01-01T00:00:00"/>
    <d v="2022-12-31T00:00:00"/>
    <x v="0"/>
    <d v="2022-01-01T00:00:00"/>
    <d v="2022-12-31T00:00:00"/>
    <s v="Electricity (non-renewable)"/>
    <n v="645.22071600000004"/>
    <s v="Kilowatt hours"/>
    <x v="0"/>
    <s v="Estimated from square footage (CBECS 2012)"/>
    <s v="2023-07-25, 17:50"/>
    <s v="2023-07-25, 17:50"/>
    <n v="2022"/>
    <s v="electricity__t+d__wtt"/>
    <s v="Electricity T&amp;D WTT"/>
    <s v="t+d_wtt"/>
    <b v="0"/>
    <s v="ELECTRICITY T&amp;D WTT; PERU"/>
    <x v="1"/>
    <x v="1"/>
    <s v="Americas"/>
    <s v="Latin America and the Caribbean"/>
    <s v="PE"/>
    <m/>
    <n v="1"/>
    <s v="CO2E"/>
    <n v="2.9796444439999998"/>
    <n v="4.6180240000000001E-3"/>
    <s v="KWH"/>
    <n v="1"/>
    <n v="645.22071600000004"/>
    <s v="AR4"/>
    <s v="Anthesis"/>
    <s v="Anthesis (2022)"/>
    <n v="2022"/>
    <n v="2020"/>
    <n v="0"/>
    <n v="2.979644444E-3"/>
    <x v="26"/>
    <s v="Office"/>
  </r>
  <r>
    <n v="1590448"/>
    <s v="Top of Hierarchy &gt; South America &gt; Vantage_Lima"/>
    <x v="0"/>
    <x v="0"/>
    <d v="2022-01-01T00:00:00"/>
    <d v="2022-12-31T00:00:00"/>
    <x v="0"/>
    <d v="2022-01-01T00:00:00"/>
    <d v="2022-12-31T00:00:00"/>
    <s v="Electricity (non-renewable)"/>
    <n v="645.22071600000004"/>
    <s v="Kilowatt hours"/>
    <x v="0"/>
    <s v="Estimated from square footage (CBECS 2012)"/>
    <s v="2023-07-25, 17:50"/>
    <s v="2023-07-25, 17:50"/>
    <n v="2022"/>
    <s v="electricity__wtt"/>
    <s v="Electricity WTT"/>
    <s v="wtt"/>
    <b v="0"/>
    <s v="ELECTRICITY WTT; PERU"/>
    <x v="1"/>
    <x v="1"/>
    <s v="Americas"/>
    <s v="Latin America and the Caribbean"/>
    <s v="PE"/>
    <m/>
    <n v="0"/>
    <s v="CO2E"/>
    <n v="24.301870739999998"/>
    <n v="3.7664429999999999E-2"/>
    <s v="KWH"/>
    <n v="1"/>
    <n v="645.22071600000004"/>
    <s v="AR4"/>
    <s v="Anthesis"/>
    <s v="Anthesis (2022)"/>
    <n v="2022"/>
    <n v="2020"/>
    <n v="2.4301870739999998E-2"/>
    <n v="0"/>
    <x v="26"/>
    <s v="Office"/>
  </r>
  <r>
    <n v="1590448"/>
    <s v="Top of Hierarchy &gt; South America &gt; Vantage_Lima"/>
    <x v="0"/>
    <x v="0"/>
    <d v="2022-01-01T00:00:00"/>
    <d v="2022-12-31T00:00:00"/>
    <x v="0"/>
    <d v="2022-01-01T00:00:00"/>
    <d v="2022-12-31T00:00:00"/>
    <s v="Electricity (non-renewable)"/>
    <n v="645.22071600000004"/>
    <s v="Kilowatt hours"/>
    <x v="0"/>
    <s v="Estimated from square footage (CBECS 2012)"/>
    <s v="2023-07-25, 17:50"/>
    <s v="2023-07-25, 17:50"/>
    <n v="2022"/>
    <s v="electricity__wtt"/>
    <s v="Electricity WTT"/>
    <s v="wtt"/>
    <b v="0"/>
    <s v="ELECTRICITY WTT; PERU"/>
    <x v="1"/>
    <x v="1"/>
    <s v="Americas"/>
    <s v="Latin America and the Caribbean"/>
    <s v="PE"/>
    <m/>
    <n v="1"/>
    <s v="CO2E"/>
    <n v="24.301870739999998"/>
    <n v="3.7664429999999999E-2"/>
    <s v="KWH"/>
    <n v="1"/>
    <n v="645.22071600000004"/>
    <s v="AR4"/>
    <s v="Anthesis"/>
    <s v="Anthesis (2022)"/>
    <n v="2022"/>
    <n v="2020"/>
    <n v="0"/>
    <n v="2.4301870739999998E-2"/>
    <x v="26"/>
    <s v="Office"/>
  </r>
  <r>
    <n v="1590448"/>
    <s v="Top of Hierarchy &gt; South America &gt; Vantage_Lima"/>
    <x v="0"/>
    <x v="0"/>
    <d v="2022-01-01T00:00:00"/>
    <d v="2022-12-31T00:00:00"/>
    <x v="0"/>
    <d v="2022-01-01T00:00:00"/>
    <d v="2022-12-31T00:00:00"/>
    <s v="Electricity (non-renewable)"/>
    <n v="645.22071600000004"/>
    <s v="Kilowatt hours"/>
    <x v="0"/>
    <s v="Estimated from square footage (CBECS 2012)"/>
    <s v="2023-07-25, 17:50"/>
    <s v="2023-07-25, 17:50"/>
    <n v="2022"/>
    <s v="electricity__t+d"/>
    <s v="Electricity T&amp;D"/>
    <s v="t+d"/>
    <b v="0"/>
    <s v="ELECTRICITY; TRANSMISSION AND DISTRIBUTION; PERU"/>
    <x v="1"/>
    <x v="1"/>
    <s v="Americas"/>
    <s v="Latin America and the Caribbean"/>
    <s v="PE"/>
    <m/>
    <n v="0"/>
    <s v="CO2E"/>
    <n v="14.065811610000001"/>
    <s v="RESTRICTED"/>
    <s v="KWH"/>
    <n v="1"/>
    <n v="645.22071600000004"/>
    <s v="AR4"/>
    <s v="IEA"/>
    <s v="IEA (2022)"/>
    <n v="2022"/>
    <n v="2020"/>
    <n v="1.4065811610000001E-2"/>
    <n v="0"/>
    <x v="26"/>
    <s v="Office"/>
  </r>
  <r>
    <n v="1590448"/>
    <s v="Top of Hierarchy &gt; South America &gt; Vantage_Lima"/>
    <x v="0"/>
    <x v="0"/>
    <d v="2022-01-01T00:00:00"/>
    <d v="2022-12-31T00:00:00"/>
    <x v="0"/>
    <d v="2022-01-01T00:00:00"/>
    <d v="2022-12-31T00:00:00"/>
    <s v="Electricity (non-renewable)"/>
    <n v="645.22071600000004"/>
    <s v="Kilowatt hours"/>
    <x v="0"/>
    <s v="Estimated from square footage (CBECS 2012)"/>
    <s v="2023-07-25, 17:50"/>
    <s v="2023-07-25, 17:50"/>
    <n v="2022"/>
    <s v="electricity__t+d"/>
    <s v="Electricity T&amp;D"/>
    <s v="t+d"/>
    <b v="0"/>
    <s v="ELECTRICITY; TRANSMISSION AND DISTRIBUTION; PERU"/>
    <x v="1"/>
    <x v="1"/>
    <s v="Americas"/>
    <s v="Latin America and the Caribbean"/>
    <s v="PE"/>
    <m/>
    <n v="1"/>
    <s v="CO2E"/>
    <n v="14.065811610000001"/>
    <s v="RESTRICTED"/>
    <s v="KWH"/>
    <n v="1"/>
    <n v="645.22071600000004"/>
    <s v="AR4"/>
    <s v="IEA"/>
    <s v="IEA (2022)"/>
    <n v="2022"/>
    <n v="2020"/>
    <n v="0"/>
    <n v="1.4065811610000001E-2"/>
    <x v="26"/>
    <s v="Office"/>
  </r>
  <r>
    <n v="237696"/>
    <s v="Top of Hierarchy &gt; South America &gt; Vantage_Lima"/>
    <x v="0"/>
    <x v="0"/>
    <d v="2022-01-01T00:00:00"/>
    <d v="2022-12-31T00:00:00"/>
    <x v="3"/>
    <d v="2022-01-01T00:00:00"/>
    <d v="2022-12-31T00:00:00"/>
    <s v="Natural gas"/>
    <n v="0"/>
    <s v="British Thermal Units"/>
    <x v="1"/>
    <m/>
    <s v="2023-04-20, 20:23"/>
    <s v="2023-07-20, 00:40"/>
    <n v="2022"/>
    <s v="natural_gas"/>
    <s v="Natural Gas"/>
    <s v="model"/>
    <b v="0"/>
    <s v="NATURAL GAS, NATURAL GAS"/>
    <x v="2"/>
    <x v="0"/>
    <s v="Americas"/>
    <m/>
    <m/>
    <m/>
    <n v="0"/>
    <s v="CH4"/>
    <n v="0"/>
    <n v="2.5000000000000001E-2"/>
    <s v="MMBTU"/>
    <n v="9.9999999999999995E-7"/>
    <n v="0"/>
    <s v="AR4"/>
    <s v="USEPA"/>
    <s v="USEPA Emission Factors Hub (Last Modified: March 2020)"/>
    <n v="2022"/>
    <n v="2021"/>
    <n v="0"/>
    <n v="0"/>
    <x v="26"/>
    <s v="Office"/>
  </r>
  <r>
    <n v="237696"/>
    <s v="Top of Hierarchy &gt; South America &gt; Vantage_Lima"/>
    <x v="0"/>
    <x v="0"/>
    <d v="2022-01-01T00:00:00"/>
    <d v="2022-12-31T00:00:00"/>
    <x v="3"/>
    <d v="2022-01-01T00:00:00"/>
    <d v="2022-12-31T00:00:00"/>
    <s v="Natural gas"/>
    <n v="0"/>
    <s v="British Thermal Units"/>
    <x v="1"/>
    <m/>
    <s v="2023-04-20, 20:23"/>
    <s v="2023-07-20, 00:40"/>
    <n v="2022"/>
    <s v="natural_gas"/>
    <s v="Natural Gas"/>
    <s v="model"/>
    <b v="0"/>
    <s v="NATURAL GAS, NATURAL GAS"/>
    <x v="2"/>
    <x v="0"/>
    <s v="Americas"/>
    <m/>
    <m/>
    <m/>
    <n v="0"/>
    <s v="CO2"/>
    <n v="0"/>
    <n v="53.06"/>
    <s v="MMBTU"/>
    <n v="9.9999999999999995E-7"/>
    <n v="0"/>
    <s v="AR4"/>
    <s v="USEPA"/>
    <s v="USEPA (2022)"/>
    <n v="2022"/>
    <n v="2022"/>
    <n v="0"/>
    <n v="0"/>
    <x v="26"/>
    <s v="Office"/>
  </r>
  <r>
    <n v="237696"/>
    <s v="Top of Hierarchy &gt; South America &gt; Vantage_Lima"/>
    <x v="0"/>
    <x v="0"/>
    <d v="2022-01-01T00:00:00"/>
    <d v="2022-12-31T00:00:00"/>
    <x v="3"/>
    <d v="2022-01-01T00:00:00"/>
    <d v="2022-12-31T00:00:00"/>
    <s v="Natural gas"/>
    <n v="0"/>
    <s v="British Thermal Units"/>
    <x v="1"/>
    <m/>
    <s v="2023-04-20, 20:23"/>
    <s v="2023-07-20, 00:40"/>
    <n v="2022"/>
    <s v="natural_gas"/>
    <s v="Natural Gas"/>
    <s v="model"/>
    <b v="0"/>
    <s v="NATURAL GAS, NATURAL GAS"/>
    <x v="2"/>
    <x v="0"/>
    <s v="Americas"/>
    <m/>
    <m/>
    <m/>
    <n v="0"/>
    <s v="CO2E"/>
    <n v="0"/>
    <n v="53.114800000000002"/>
    <s v="MMBTU"/>
    <n v="9.9999999999999995E-7"/>
    <n v="0"/>
    <s v="AR4"/>
    <s v="USEPA"/>
    <s v="USEPA Emission Factors Hub (Last Modified: March 2020)"/>
    <n v="2022"/>
    <n v="2021"/>
    <n v="0"/>
    <n v="0"/>
    <x v="26"/>
    <s v="Office"/>
  </r>
  <r>
    <n v="237696"/>
    <s v="Top of Hierarchy &gt; South America &gt; Vantage_Lima"/>
    <x v="0"/>
    <x v="0"/>
    <d v="2022-01-01T00:00:00"/>
    <d v="2022-12-31T00:00:00"/>
    <x v="3"/>
    <d v="2022-01-01T00:00:00"/>
    <d v="2022-12-31T00:00:00"/>
    <s v="Natural gas"/>
    <n v="0"/>
    <s v="British Thermal Units"/>
    <x v="1"/>
    <m/>
    <s v="2023-04-20, 20:23"/>
    <s v="2023-07-20, 00:40"/>
    <n v="2022"/>
    <s v="natural_gas"/>
    <s v="Natural Gas"/>
    <s v="model"/>
    <b v="0"/>
    <s v="NATURAL GAS, NATURAL GAS"/>
    <x v="2"/>
    <x v="0"/>
    <s v="Americas"/>
    <m/>
    <m/>
    <m/>
    <n v="0"/>
    <s v="N2O"/>
    <n v="0"/>
    <n v="2.98E-2"/>
    <s v="MMBTU"/>
    <n v="9.9999999999999995E-7"/>
    <n v="0"/>
    <s v="AR4"/>
    <s v="USEPA"/>
    <s v="USEPA (2022)"/>
    <n v="2022"/>
    <n v="2022"/>
    <n v="0"/>
    <n v="0"/>
    <x v="26"/>
    <s v="Office"/>
  </r>
  <r>
    <n v="237696"/>
    <s v="Top of Hierarchy &gt; South America &gt; Vantage_Lima"/>
    <x v="0"/>
    <x v="0"/>
    <d v="2022-01-01T00:00:00"/>
    <d v="2022-12-31T00:00:00"/>
    <x v="3"/>
    <d v="2022-01-01T00:00:00"/>
    <d v="2022-12-31T00:00:00"/>
    <s v="Natural gas"/>
    <n v="0"/>
    <s v="British Thermal Units"/>
    <x v="1"/>
    <m/>
    <s v="2023-04-20, 20:23"/>
    <s v="2023-07-20, 00:40"/>
    <n v="2022"/>
    <s v="natural_gas"/>
    <s v="Natural Gas"/>
    <s v="model"/>
    <b v="0"/>
    <s v="NATURAL GAS, NATURAL GAS"/>
    <x v="2"/>
    <x v="0"/>
    <s v="Americas"/>
    <m/>
    <m/>
    <m/>
    <n v="1"/>
    <s v="CH4"/>
    <n v="0"/>
    <n v="2.5000000000000001E-2"/>
    <s v="MMBTU"/>
    <n v="9.9999999999999995E-7"/>
    <n v="0"/>
    <s v="AR4"/>
    <s v="USEPA"/>
    <s v="USEPA Emission Factors Hub (Last Modified: March 2020)"/>
    <n v="2022"/>
    <n v="2021"/>
    <n v="0"/>
    <n v="0"/>
    <x v="26"/>
    <s v="Office"/>
  </r>
  <r>
    <n v="237696"/>
    <s v="Top of Hierarchy &gt; South America &gt; Vantage_Lima"/>
    <x v="0"/>
    <x v="0"/>
    <d v="2022-01-01T00:00:00"/>
    <d v="2022-12-31T00:00:00"/>
    <x v="3"/>
    <d v="2022-01-01T00:00:00"/>
    <d v="2022-12-31T00:00:00"/>
    <s v="Natural gas"/>
    <n v="0"/>
    <s v="British Thermal Units"/>
    <x v="1"/>
    <m/>
    <s v="2023-04-20, 20:23"/>
    <s v="2023-07-20, 00:40"/>
    <n v="2022"/>
    <s v="natural_gas"/>
    <s v="Natural Gas"/>
    <s v="model"/>
    <b v="0"/>
    <s v="NATURAL GAS, NATURAL GAS"/>
    <x v="2"/>
    <x v="0"/>
    <s v="Americas"/>
    <m/>
    <m/>
    <m/>
    <n v="1"/>
    <s v="CO2"/>
    <n v="0"/>
    <n v="53.06"/>
    <s v="MMBTU"/>
    <n v="9.9999999999999995E-7"/>
    <n v="0"/>
    <s v="AR4"/>
    <s v="USEPA"/>
    <s v="USEPA (2022)"/>
    <n v="2022"/>
    <n v="2022"/>
    <n v="0"/>
    <n v="0"/>
    <x v="26"/>
    <s v="Office"/>
  </r>
  <r>
    <n v="237696"/>
    <s v="Top of Hierarchy &gt; South America &gt; Vantage_Lima"/>
    <x v="0"/>
    <x v="0"/>
    <d v="2022-01-01T00:00:00"/>
    <d v="2022-12-31T00:00:00"/>
    <x v="3"/>
    <d v="2022-01-01T00:00:00"/>
    <d v="2022-12-31T00:00:00"/>
    <s v="Natural gas"/>
    <n v="0"/>
    <s v="British Thermal Units"/>
    <x v="1"/>
    <m/>
    <s v="2023-04-20, 20:23"/>
    <s v="2023-07-20, 00:40"/>
    <n v="2022"/>
    <s v="natural_gas"/>
    <s v="Natural Gas"/>
    <s v="model"/>
    <b v="0"/>
    <s v="NATURAL GAS, NATURAL GAS"/>
    <x v="2"/>
    <x v="0"/>
    <s v="Americas"/>
    <m/>
    <m/>
    <m/>
    <n v="1"/>
    <s v="CO2E"/>
    <n v="0"/>
    <n v="53.114800000000002"/>
    <s v="MMBTU"/>
    <n v="9.9999999999999995E-7"/>
    <n v="0"/>
    <s v="AR4"/>
    <s v="USEPA"/>
    <s v="USEPA Emission Factors Hub (Last Modified: March 2020)"/>
    <n v="2022"/>
    <n v="2021"/>
    <n v="0"/>
    <n v="0"/>
    <x v="26"/>
    <s v="Office"/>
  </r>
  <r>
    <n v="237696"/>
    <s v="Top of Hierarchy &gt; South America &gt; Vantage_Lima"/>
    <x v="0"/>
    <x v="0"/>
    <d v="2022-01-01T00:00:00"/>
    <d v="2022-12-31T00:00:00"/>
    <x v="3"/>
    <d v="2022-01-01T00:00:00"/>
    <d v="2022-12-31T00:00:00"/>
    <s v="Natural gas"/>
    <n v="0"/>
    <s v="British Thermal Units"/>
    <x v="1"/>
    <m/>
    <s v="2023-04-20, 20:23"/>
    <s v="2023-07-20, 00:40"/>
    <n v="2022"/>
    <s v="natural_gas"/>
    <s v="Natural Gas"/>
    <s v="model"/>
    <b v="0"/>
    <s v="NATURAL GAS, NATURAL GAS"/>
    <x v="2"/>
    <x v="0"/>
    <s v="Americas"/>
    <m/>
    <m/>
    <m/>
    <n v="1"/>
    <s v="N2O"/>
    <n v="0"/>
    <n v="2.98E-2"/>
    <s v="MMBTU"/>
    <n v="9.9999999999999995E-7"/>
    <n v="0"/>
    <s v="AR4"/>
    <s v="USEPA"/>
    <s v="USEPA (2022)"/>
    <n v="2022"/>
    <n v="2022"/>
    <n v="0"/>
    <n v="0"/>
    <x v="26"/>
    <s v="Office"/>
  </r>
  <r>
    <n v="237696"/>
    <s v="Top of Hierarchy &gt; South America &gt; Vantage_Lima"/>
    <x v="0"/>
    <x v="0"/>
    <d v="2022-01-01T00:00:00"/>
    <d v="2022-12-31T00:00:00"/>
    <x v="3"/>
    <d v="2022-01-01T00:00:00"/>
    <d v="2022-12-31T00:00:00"/>
    <s v="Natural gas"/>
    <n v="0"/>
    <s v="British Thermal Units"/>
    <x v="1"/>
    <m/>
    <s v="2023-04-20, 20:23"/>
    <s v="2023-07-20, 00:40"/>
    <n v="2022"/>
    <s v="natural_gas__wtt"/>
    <s v="Natural Gas WTT"/>
    <s v="wtt"/>
    <b v="0"/>
    <s v="WTT- FUELS; GASEOUS FUELS; NATURAL GAS"/>
    <x v="1"/>
    <x v="1"/>
    <m/>
    <m/>
    <m/>
    <m/>
    <n v="0"/>
    <s v="CO2E"/>
    <n v="0"/>
    <n v="3.1099999999999999E-2"/>
    <s v="KWH (GROSS CV)"/>
    <n v="2.9306999999999998E-4"/>
    <n v="0"/>
    <s v="AR4"/>
    <s v="Defra"/>
    <s v="Defra (2022)"/>
    <n v="2022"/>
    <n v="2020"/>
    <n v="0"/>
    <n v="0"/>
    <x v="26"/>
    <s v="Office"/>
  </r>
  <r>
    <n v="237696"/>
    <s v="Top of Hierarchy &gt; South America &gt; Vantage_Lima"/>
    <x v="0"/>
    <x v="0"/>
    <d v="2022-01-01T00:00:00"/>
    <d v="2022-12-31T00:00:00"/>
    <x v="3"/>
    <d v="2022-01-01T00:00:00"/>
    <d v="2022-12-31T00:00:00"/>
    <s v="Natural gas"/>
    <n v="0"/>
    <s v="British Thermal Units"/>
    <x v="1"/>
    <m/>
    <s v="2023-04-20, 20:23"/>
    <s v="2023-07-20, 00:40"/>
    <n v="2022"/>
    <s v="natural_gas__wtt"/>
    <s v="Natural Gas WTT"/>
    <s v="wtt"/>
    <b v="0"/>
    <s v="WTT- FUELS; GASEOUS FUELS; NATURAL GAS"/>
    <x v="1"/>
    <x v="1"/>
    <m/>
    <m/>
    <m/>
    <m/>
    <n v="1"/>
    <s v="CO2E"/>
    <n v="0"/>
    <n v="3.1099999999999999E-2"/>
    <s v="KWH (GROSS CV)"/>
    <n v="2.9306999999999998E-4"/>
    <n v="0"/>
    <s v="AR4"/>
    <s v="Defra"/>
    <s v="Defra (2022)"/>
    <n v="2022"/>
    <n v="2020"/>
    <n v="0"/>
    <n v="0"/>
    <x v="26"/>
    <s v="Office"/>
  </r>
  <r>
    <n v="237698"/>
    <s v="Top of Hierarchy &gt; South America &gt; Vantage_Lima"/>
    <x v="0"/>
    <x v="0"/>
    <d v="2022-01-01T00:00:00"/>
    <d v="2022-12-31T00:00:00"/>
    <x v="1"/>
    <d v="2022-01-01T00:00:00"/>
    <d v="2022-12-31T00:00:00"/>
    <s v="Diesel (100% mineral diesel)"/>
    <n v="0"/>
    <s v="British Thermal Units"/>
    <x v="1"/>
    <m/>
    <s v="2023-04-20, 20:24"/>
    <s v="2023-07-20, 00:40"/>
    <n v="2022"/>
    <s v="diesel_100p_mineral_diesel"/>
    <s v="Diesel (100% Mineral Diesel)"/>
    <s v="model"/>
    <b v="0"/>
    <s v="FUELS; LIQUID FUELS; DIESEL (100% MINERAL DIESEL)"/>
    <x v="2"/>
    <x v="0"/>
    <m/>
    <m/>
    <m/>
    <m/>
    <n v="0"/>
    <s v="CH4"/>
    <n v="0"/>
    <n v="2.0000000000000002E-5"/>
    <s v="KWH (GROSS CV)"/>
    <n v="2.9306999999999998E-4"/>
    <n v="0"/>
    <s v="AR4"/>
    <s v="Defra"/>
    <s v="Defra (2022)"/>
    <n v="2022"/>
    <n v="2020"/>
    <n v="0"/>
    <n v="0"/>
    <x v="26"/>
    <s v="Office"/>
  </r>
  <r>
    <n v="237698"/>
    <s v="Top of Hierarchy &gt; South America &gt; Vantage_Lima"/>
    <x v="0"/>
    <x v="0"/>
    <d v="2022-01-01T00:00:00"/>
    <d v="2022-12-31T00:00:00"/>
    <x v="1"/>
    <d v="2022-01-01T00:00:00"/>
    <d v="2022-12-31T00:00:00"/>
    <s v="Diesel (100% mineral diesel)"/>
    <n v="0"/>
    <s v="British Thermal Units"/>
    <x v="1"/>
    <m/>
    <s v="2023-04-20, 20:24"/>
    <s v="2023-07-20, 00:40"/>
    <n v="2022"/>
    <s v="diesel_100p_mineral_diesel"/>
    <s v="Diesel (100% Mineral Diesel)"/>
    <s v="model"/>
    <b v="0"/>
    <s v="FUELS; LIQUID FUELS; DIESEL (100% MINERAL DIESEL)"/>
    <x v="2"/>
    <x v="0"/>
    <m/>
    <m/>
    <m/>
    <m/>
    <n v="0"/>
    <s v="CO2"/>
    <n v="0"/>
    <n v="0.24970999999999999"/>
    <s v="KWH (GROSS CV)"/>
    <n v="2.9306999999999998E-4"/>
    <n v="0"/>
    <s v="AR4"/>
    <s v="Defra"/>
    <s v="Defra (2022)"/>
    <n v="2022"/>
    <n v="2020"/>
    <n v="0"/>
    <n v="0"/>
    <x v="26"/>
    <s v="Office"/>
  </r>
  <r>
    <n v="237698"/>
    <s v="Top of Hierarchy &gt; South America &gt; Vantage_Lima"/>
    <x v="0"/>
    <x v="0"/>
    <d v="2022-01-01T00:00:00"/>
    <d v="2022-12-31T00:00:00"/>
    <x v="1"/>
    <d v="2022-01-01T00:00:00"/>
    <d v="2022-12-31T00:00:00"/>
    <s v="Diesel (100% mineral diesel)"/>
    <n v="0"/>
    <s v="British Thermal Units"/>
    <x v="1"/>
    <m/>
    <s v="2023-04-20, 20:24"/>
    <s v="2023-07-20, 00:40"/>
    <n v="2022"/>
    <s v="diesel_100p_mineral_diesel"/>
    <s v="Diesel (100% Mineral Diesel)"/>
    <s v="model"/>
    <b v="0"/>
    <s v="FUELS; LIQUID FUELS; DIESEL (100% MINERAL DIESEL)"/>
    <x v="2"/>
    <x v="0"/>
    <m/>
    <m/>
    <m/>
    <m/>
    <n v="0"/>
    <s v="CO2E"/>
    <n v="0"/>
    <n v="0.25320999999999999"/>
    <s v="KWH (GROSS CV)"/>
    <n v="2.9306999999999998E-4"/>
    <n v="0"/>
    <s v="AR4"/>
    <s v="Defra"/>
    <s v="Defra (2022)"/>
    <n v="2022"/>
    <n v="2020"/>
    <n v="0"/>
    <n v="0"/>
    <x v="26"/>
    <s v="Office"/>
  </r>
  <r>
    <n v="237698"/>
    <s v="Top of Hierarchy &gt; South America &gt; Vantage_Lima"/>
    <x v="0"/>
    <x v="0"/>
    <d v="2022-01-01T00:00:00"/>
    <d v="2022-12-31T00:00:00"/>
    <x v="1"/>
    <d v="2022-01-01T00:00:00"/>
    <d v="2022-12-31T00:00:00"/>
    <s v="Diesel (100% mineral diesel)"/>
    <n v="0"/>
    <s v="British Thermal Units"/>
    <x v="1"/>
    <m/>
    <s v="2023-04-20, 20:24"/>
    <s v="2023-07-20, 00:40"/>
    <n v="2022"/>
    <s v="diesel_100p_mineral_diesel"/>
    <s v="Diesel (100% Mineral Diesel)"/>
    <s v="model"/>
    <b v="0"/>
    <s v="FUELS; LIQUID FUELS; DIESEL (100% MINERAL DIESEL)"/>
    <x v="2"/>
    <x v="0"/>
    <m/>
    <m/>
    <m/>
    <m/>
    <n v="0"/>
    <s v="N2O"/>
    <n v="0"/>
    <n v="3.48E-3"/>
    <s v="KWH (GROSS CV)"/>
    <n v="2.9306999999999998E-4"/>
    <n v="0"/>
    <s v="AR4"/>
    <s v="Defra"/>
    <s v="Defra (2022)"/>
    <n v="2022"/>
    <n v="2020"/>
    <n v="0"/>
    <n v="0"/>
    <x v="26"/>
    <s v="Office"/>
  </r>
  <r>
    <n v="237698"/>
    <s v="Top of Hierarchy &gt; South America &gt; Vantage_Lima"/>
    <x v="0"/>
    <x v="0"/>
    <d v="2022-01-01T00:00:00"/>
    <d v="2022-12-31T00:00:00"/>
    <x v="1"/>
    <d v="2022-01-01T00:00:00"/>
    <d v="2022-12-31T00:00:00"/>
    <s v="Diesel (100% mineral diesel)"/>
    <n v="0"/>
    <s v="British Thermal Units"/>
    <x v="1"/>
    <m/>
    <s v="2023-04-20, 20:24"/>
    <s v="2023-07-20, 00:40"/>
    <n v="2022"/>
    <s v="diesel_100p_mineral_diesel"/>
    <s v="Diesel (100% Mineral Diesel)"/>
    <s v="model"/>
    <b v="0"/>
    <s v="FUELS; LIQUID FUELS; DIESEL (100% MINERAL DIESEL)"/>
    <x v="2"/>
    <x v="0"/>
    <m/>
    <m/>
    <m/>
    <m/>
    <n v="1"/>
    <s v="CH4"/>
    <n v="0"/>
    <n v="2.0000000000000002E-5"/>
    <s v="KWH (GROSS CV)"/>
    <n v="2.9306999999999998E-4"/>
    <n v="0"/>
    <s v="AR4"/>
    <s v="Defra"/>
    <s v="Defra (2022)"/>
    <n v="2022"/>
    <n v="2020"/>
    <n v="0"/>
    <n v="0"/>
    <x v="26"/>
    <s v="Office"/>
  </r>
  <r>
    <n v="237698"/>
    <s v="Top of Hierarchy &gt; South America &gt; Vantage_Lima"/>
    <x v="0"/>
    <x v="0"/>
    <d v="2022-01-01T00:00:00"/>
    <d v="2022-12-31T00:00:00"/>
    <x v="1"/>
    <d v="2022-01-01T00:00:00"/>
    <d v="2022-12-31T00:00:00"/>
    <s v="Diesel (100% mineral diesel)"/>
    <n v="0"/>
    <s v="British Thermal Units"/>
    <x v="1"/>
    <m/>
    <s v="2023-04-20, 20:24"/>
    <s v="2023-07-20, 00:40"/>
    <n v="2022"/>
    <s v="diesel_100p_mineral_diesel"/>
    <s v="Diesel (100% Mineral Diesel)"/>
    <s v="model"/>
    <b v="0"/>
    <s v="FUELS; LIQUID FUELS; DIESEL (100% MINERAL DIESEL)"/>
    <x v="2"/>
    <x v="0"/>
    <m/>
    <m/>
    <m/>
    <m/>
    <n v="1"/>
    <s v="CO2"/>
    <n v="0"/>
    <n v="0.24970999999999999"/>
    <s v="KWH (GROSS CV)"/>
    <n v="2.9306999999999998E-4"/>
    <n v="0"/>
    <s v="AR4"/>
    <s v="Defra"/>
    <s v="Defra (2022)"/>
    <n v="2022"/>
    <n v="2020"/>
    <n v="0"/>
    <n v="0"/>
    <x v="26"/>
    <s v="Office"/>
  </r>
  <r>
    <n v="237698"/>
    <s v="Top of Hierarchy &gt; South America &gt; Vantage_Lima"/>
    <x v="0"/>
    <x v="0"/>
    <d v="2022-01-01T00:00:00"/>
    <d v="2022-12-31T00:00:00"/>
    <x v="1"/>
    <d v="2022-01-01T00:00:00"/>
    <d v="2022-12-31T00:00:00"/>
    <s v="Diesel (100% mineral diesel)"/>
    <n v="0"/>
    <s v="British Thermal Units"/>
    <x v="1"/>
    <m/>
    <s v="2023-04-20, 20:24"/>
    <s v="2023-07-20, 00:40"/>
    <n v="2022"/>
    <s v="diesel_100p_mineral_diesel"/>
    <s v="Diesel (100% Mineral Diesel)"/>
    <s v="model"/>
    <b v="0"/>
    <s v="FUELS; LIQUID FUELS; DIESEL (100% MINERAL DIESEL)"/>
    <x v="2"/>
    <x v="0"/>
    <m/>
    <m/>
    <m/>
    <m/>
    <n v="1"/>
    <s v="CO2E"/>
    <n v="0"/>
    <n v="0.25320999999999999"/>
    <s v="KWH (GROSS CV)"/>
    <n v="2.9306999999999998E-4"/>
    <n v="0"/>
    <s v="AR4"/>
    <s v="Defra"/>
    <s v="Defra (2022)"/>
    <n v="2022"/>
    <n v="2020"/>
    <n v="0"/>
    <n v="0"/>
    <x v="26"/>
    <s v="Office"/>
  </r>
  <r>
    <n v="237698"/>
    <s v="Top of Hierarchy &gt; South America &gt; Vantage_Lima"/>
    <x v="0"/>
    <x v="0"/>
    <d v="2022-01-01T00:00:00"/>
    <d v="2022-12-31T00:00:00"/>
    <x v="1"/>
    <d v="2022-01-01T00:00:00"/>
    <d v="2022-12-31T00:00:00"/>
    <s v="Diesel (100% mineral diesel)"/>
    <n v="0"/>
    <s v="British Thermal Units"/>
    <x v="1"/>
    <m/>
    <s v="2023-04-20, 20:24"/>
    <s v="2023-07-20, 00:40"/>
    <n v="2022"/>
    <s v="diesel_100p_mineral_diesel"/>
    <s v="Diesel (100% Mineral Diesel)"/>
    <s v="model"/>
    <b v="0"/>
    <s v="FUELS; LIQUID FUELS; DIESEL (100% MINERAL DIESEL)"/>
    <x v="2"/>
    <x v="0"/>
    <m/>
    <m/>
    <m/>
    <m/>
    <n v="1"/>
    <s v="N2O"/>
    <n v="0"/>
    <n v="3.48E-3"/>
    <s v="KWH (GROSS CV)"/>
    <n v="2.9306999999999998E-4"/>
    <n v="0"/>
    <s v="AR4"/>
    <s v="Defra"/>
    <s v="Defra (2022)"/>
    <n v="2022"/>
    <n v="2020"/>
    <n v="0"/>
    <n v="0"/>
    <x v="26"/>
    <s v="Office"/>
  </r>
  <r>
    <n v="237698"/>
    <s v="Top of Hierarchy &gt; South America &gt; Vantage_Lima"/>
    <x v="0"/>
    <x v="0"/>
    <d v="2022-01-01T00:00:00"/>
    <d v="2022-12-31T00:00:00"/>
    <x v="1"/>
    <d v="2022-01-01T00:00:00"/>
    <d v="2022-12-31T00:00:00"/>
    <s v="Diesel (100% mineral diesel)"/>
    <n v="0"/>
    <s v="British Thermal Units"/>
    <x v="1"/>
    <m/>
    <s v="2023-04-20, 20:24"/>
    <s v="2023-07-20, 00:40"/>
    <n v="2022"/>
    <s v="diesel_100p_mineral_diesel__wtt"/>
    <s v="Diesel (100% Mineral Diesel) WTT"/>
    <s v="wtt"/>
    <b v="0"/>
    <s v="WTT- FUELS; LIQUID FUELS; DIESEL (100% MINERAL DIESEL)"/>
    <x v="1"/>
    <x v="1"/>
    <m/>
    <m/>
    <m/>
    <m/>
    <n v="0"/>
    <s v="CO2E"/>
    <n v="0"/>
    <n v="5.8880000000000002E-2"/>
    <s v="KWH (GROSS CV)"/>
    <n v="2.9306999999999998E-4"/>
    <n v="0"/>
    <s v="AR4"/>
    <s v="Defra"/>
    <s v="Defra (2022)"/>
    <n v="2022"/>
    <n v="2020"/>
    <n v="0"/>
    <n v="0"/>
    <x v="26"/>
    <s v="Office"/>
  </r>
  <r>
    <n v="237698"/>
    <s v="Top of Hierarchy &gt; South America &gt; Vantage_Lima"/>
    <x v="0"/>
    <x v="0"/>
    <d v="2022-01-01T00:00:00"/>
    <d v="2022-12-31T00:00:00"/>
    <x v="1"/>
    <d v="2022-01-01T00:00:00"/>
    <d v="2022-12-31T00:00:00"/>
    <s v="Diesel (100% mineral diesel)"/>
    <n v="0"/>
    <s v="British Thermal Units"/>
    <x v="1"/>
    <m/>
    <s v="2023-04-20, 20:24"/>
    <s v="2023-07-20, 00:40"/>
    <n v="2022"/>
    <s v="diesel_100p_mineral_diesel__wtt"/>
    <s v="Diesel (100% Mineral Diesel) WTT"/>
    <s v="wtt"/>
    <b v="0"/>
    <s v="WTT- FUELS; LIQUID FUELS; DIESEL (100% MINERAL DIESEL)"/>
    <x v="1"/>
    <x v="1"/>
    <m/>
    <m/>
    <m/>
    <m/>
    <n v="1"/>
    <s v="CO2E"/>
    <n v="0"/>
    <n v="5.8880000000000002E-2"/>
    <s v="KWH (GROSS CV)"/>
    <n v="2.9306999999999998E-4"/>
    <n v="0"/>
    <s v="AR4"/>
    <s v="Defra"/>
    <s v="Defra (2022)"/>
    <n v="2022"/>
    <n v="2020"/>
    <n v="0"/>
    <n v="0"/>
    <x v="26"/>
    <s v="Office"/>
  </r>
  <r>
    <n v="1590459"/>
    <s v="Top of Hierarchy &gt; South America &gt; Vantage_Lima"/>
    <x v="0"/>
    <x v="0"/>
    <d v="2022-01-01T00:00:00"/>
    <d v="2022-12-31T00:00:00"/>
    <x v="4"/>
    <d v="2022-01-01T00:00:00"/>
    <d v="2022-12-31T00:00:00"/>
    <s v="R-134A"/>
    <n v="0.46930603999999998"/>
    <s v="kilograms"/>
    <x v="0"/>
    <s v="Estimated from square footage. Assumed R134a."/>
    <s v="2023-07-25, 17:50"/>
    <s v="2023-07-25, 17:50"/>
    <n v="2022"/>
    <s v="hfc-134a"/>
    <s v="HFC-134A"/>
    <s v="model"/>
    <b v="0"/>
    <s v="REFRIGERANT: R-134A"/>
    <x v="2"/>
    <x v="0"/>
    <m/>
    <m/>
    <m/>
    <m/>
    <n v="0"/>
    <s v="CO2E"/>
    <n v="671.1076372"/>
    <n v="1430"/>
    <s v="KG"/>
    <n v="1"/>
    <n v="0.46930603999999998"/>
    <s v="AR4"/>
    <s v="IPCC"/>
    <s v="IPCC (2021)"/>
    <n v="2022"/>
    <n v="2007"/>
    <n v="0.6711076372"/>
    <n v="0"/>
    <x v="26"/>
    <s v="Office"/>
  </r>
  <r>
    <n v="1590459"/>
    <s v="Top of Hierarchy &gt; South America &gt; Vantage_Lima"/>
    <x v="0"/>
    <x v="0"/>
    <d v="2022-01-01T00:00:00"/>
    <d v="2022-12-31T00:00:00"/>
    <x v="4"/>
    <d v="2022-01-01T00:00:00"/>
    <d v="2022-12-31T00:00:00"/>
    <s v="R-134A"/>
    <n v="0.46930603999999998"/>
    <s v="kilograms"/>
    <x v="0"/>
    <s v="Estimated from square footage. Assumed R134a."/>
    <s v="2023-07-25, 17:50"/>
    <s v="2023-07-25, 17:50"/>
    <n v="2022"/>
    <s v="hfc-134a"/>
    <s v="HFC-134A"/>
    <s v="model"/>
    <b v="0"/>
    <s v="REFRIGERANT: R-134A"/>
    <x v="2"/>
    <x v="0"/>
    <m/>
    <m/>
    <m/>
    <m/>
    <n v="1"/>
    <s v="CO2E"/>
    <n v="671.1076372"/>
    <n v="1430"/>
    <s v="KG"/>
    <n v="1"/>
    <n v="0.46930603999999998"/>
    <s v="AR4"/>
    <s v="IPCC"/>
    <s v="IPCC (2021)"/>
    <n v="2022"/>
    <n v="2007"/>
    <n v="0"/>
    <n v="0.6711076372"/>
    <x v="26"/>
    <s v="Office"/>
  </r>
  <r>
    <n v="4955"/>
    <s v="Top of Hierarchy &gt; South America &gt; Vantage_Lima"/>
    <x v="0"/>
    <x v="1"/>
    <d v="2021-01-01T00:00:00"/>
    <d v="2021-12-31T00:00:00"/>
    <x v="0"/>
    <d v="2021-01-01T00:00:00"/>
    <d v="2021-12-31T00:00:00"/>
    <s v="Electricity (non-renewable)"/>
    <n v="26820.33"/>
    <s v="Kilowatt hours"/>
    <x v="0"/>
    <m/>
    <s v="2023-02-27, 16:27"/>
    <s v="2023-07-20, 00:40"/>
    <n v="2021"/>
    <s v="electricity"/>
    <s v="Electricity"/>
    <s v="model"/>
    <b v="0"/>
    <s v="ELECTRICITY; PERU"/>
    <x v="0"/>
    <x v="0"/>
    <s v="Americas"/>
    <s v="Latin America and the Caribbean"/>
    <s v="PE"/>
    <m/>
    <n v="0"/>
    <s v="CH4"/>
    <n v="8.0460989999999999"/>
    <s v="RESTRICTED"/>
    <s v="KWH"/>
    <n v="1"/>
    <n v="26820.33"/>
    <s v="AR4"/>
    <s v="IEA"/>
    <s v="IEA (2021)"/>
    <n v="2021"/>
    <n v="2019"/>
    <n v="0"/>
    <n v="0"/>
    <x v="26"/>
    <s v="Office"/>
  </r>
  <r>
    <n v="4955"/>
    <s v="Top of Hierarchy &gt; South America &gt; Vantage_Lima"/>
    <x v="0"/>
    <x v="1"/>
    <d v="2021-01-01T00:00:00"/>
    <d v="2021-12-31T00:00:00"/>
    <x v="0"/>
    <d v="2021-01-01T00:00:00"/>
    <d v="2021-12-31T00:00:00"/>
    <s v="Electricity (non-renewable)"/>
    <n v="26820.33"/>
    <s v="Kilowatt hours"/>
    <x v="0"/>
    <m/>
    <s v="2023-02-27, 16:27"/>
    <s v="2023-07-20, 00:40"/>
    <n v="2021"/>
    <s v="electricity"/>
    <s v="Electricity"/>
    <s v="model"/>
    <b v="0"/>
    <s v="ELECTRICITY; PERU"/>
    <x v="0"/>
    <x v="0"/>
    <s v="Americas"/>
    <s v="Latin America and the Caribbean"/>
    <s v="PE"/>
    <m/>
    <n v="0"/>
    <s v="CO2"/>
    <n v="5404.2964949999996"/>
    <s v="RESTRICTED"/>
    <s v="KWH"/>
    <n v="1"/>
    <n v="26820.33"/>
    <s v="AR4"/>
    <s v="IEA"/>
    <s v="IEA (2021)"/>
    <n v="2021"/>
    <n v="2019"/>
    <n v="0"/>
    <n v="0"/>
    <x v="26"/>
    <s v="Office"/>
  </r>
  <r>
    <n v="4955"/>
    <s v="Top of Hierarchy &gt; South America &gt; Vantage_Lima"/>
    <x v="0"/>
    <x v="1"/>
    <d v="2021-01-01T00:00:00"/>
    <d v="2021-12-31T00:00:00"/>
    <x v="0"/>
    <d v="2021-01-01T00:00:00"/>
    <d v="2021-12-31T00:00:00"/>
    <s v="Electricity (non-renewable)"/>
    <n v="26820.33"/>
    <s v="Kilowatt hours"/>
    <x v="0"/>
    <m/>
    <s v="2023-02-27, 16:27"/>
    <s v="2023-07-20, 00:40"/>
    <n v="2021"/>
    <s v="electricity"/>
    <s v="Electricity"/>
    <s v="model"/>
    <b v="0"/>
    <s v="ELECTRICITY; PERU"/>
    <x v="0"/>
    <x v="0"/>
    <s v="Americas"/>
    <s v="Latin America and the Caribbean"/>
    <s v="PE"/>
    <m/>
    <n v="0"/>
    <s v="CO2E"/>
    <n v="5423.0707259999999"/>
    <s v="RESTRICTED"/>
    <s v="KWH"/>
    <n v="1"/>
    <n v="26820.33"/>
    <s v="AR4"/>
    <s v="IEA"/>
    <s v="IEA (2021)"/>
    <n v="2021"/>
    <n v="2019"/>
    <n v="5.4230707259999997"/>
    <n v="0"/>
    <x v="26"/>
    <s v="Office"/>
  </r>
  <r>
    <n v="4955"/>
    <s v="Top of Hierarchy &gt; South America &gt; Vantage_Lima"/>
    <x v="0"/>
    <x v="1"/>
    <d v="2021-01-01T00:00:00"/>
    <d v="2021-12-31T00:00:00"/>
    <x v="0"/>
    <d v="2021-01-01T00:00:00"/>
    <d v="2021-12-31T00:00:00"/>
    <s v="Electricity (non-renewable)"/>
    <n v="26820.33"/>
    <s v="Kilowatt hours"/>
    <x v="0"/>
    <m/>
    <s v="2023-02-27, 16:27"/>
    <s v="2023-07-20, 00:40"/>
    <n v="2021"/>
    <s v="electricity"/>
    <s v="Electricity"/>
    <s v="model"/>
    <b v="0"/>
    <s v="ELECTRICITY; PERU"/>
    <x v="0"/>
    <x v="0"/>
    <s v="Americas"/>
    <s v="Latin America and the Caribbean"/>
    <s v="PE"/>
    <m/>
    <n v="0"/>
    <s v="N2O"/>
    <n v="10.728132"/>
    <s v="RESTRICTED"/>
    <s v="KWH"/>
    <n v="1"/>
    <n v="26820.33"/>
    <s v="AR4"/>
    <s v="IEA"/>
    <s v="IEA (2021)"/>
    <n v="2021"/>
    <n v="2019"/>
    <n v="0"/>
    <n v="0"/>
    <x v="26"/>
    <s v="Office"/>
  </r>
  <r>
    <n v="4955"/>
    <s v="Top of Hierarchy &gt; South America &gt; Vantage_Lima"/>
    <x v="0"/>
    <x v="1"/>
    <d v="2021-01-01T00:00:00"/>
    <d v="2021-12-31T00:00:00"/>
    <x v="0"/>
    <d v="2021-01-01T00:00:00"/>
    <d v="2021-12-31T00:00:00"/>
    <s v="Electricity (non-renewable)"/>
    <n v="26820.33"/>
    <s v="Kilowatt hours"/>
    <x v="0"/>
    <m/>
    <s v="2023-02-27, 16:27"/>
    <s v="2023-07-20, 00:40"/>
    <n v="2021"/>
    <s v="electricity"/>
    <s v="Electricity"/>
    <s v="model"/>
    <b v="0"/>
    <s v="ELECTRICITY; PERU"/>
    <x v="0"/>
    <x v="0"/>
    <s v="Americas"/>
    <s v="Latin America and the Caribbean"/>
    <s v="PE"/>
    <m/>
    <n v="1"/>
    <s v="CH4"/>
    <n v="8.0460989999999999"/>
    <s v="RESTRICTED"/>
    <s v="KWH"/>
    <n v="1"/>
    <n v="26820.33"/>
    <s v="AR4"/>
    <s v="IEA"/>
    <s v="IEA (2021)"/>
    <n v="2021"/>
    <n v="2019"/>
    <n v="0"/>
    <n v="0"/>
    <x v="26"/>
    <s v="Office"/>
  </r>
  <r>
    <n v="4955"/>
    <s v="Top of Hierarchy &gt; South America &gt; Vantage_Lima"/>
    <x v="0"/>
    <x v="1"/>
    <d v="2021-01-01T00:00:00"/>
    <d v="2021-12-31T00:00:00"/>
    <x v="0"/>
    <d v="2021-01-01T00:00:00"/>
    <d v="2021-12-31T00:00:00"/>
    <s v="Electricity (non-renewable)"/>
    <n v="26820.33"/>
    <s v="Kilowatt hours"/>
    <x v="0"/>
    <m/>
    <s v="2023-02-27, 16:27"/>
    <s v="2023-07-20, 00:40"/>
    <n v="2021"/>
    <s v="electricity"/>
    <s v="Electricity"/>
    <s v="model"/>
    <b v="0"/>
    <s v="ELECTRICITY; PERU"/>
    <x v="0"/>
    <x v="0"/>
    <s v="Americas"/>
    <s v="Latin America and the Caribbean"/>
    <s v="PE"/>
    <m/>
    <n v="1"/>
    <s v="CO2"/>
    <n v="5404.2964949999996"/>
    <s v="RESTRICTED"/>
    <s v="KWH"/>
    <n v="1"/>
    <n v="26820.33"/>
    <s v="AR4"/>
    <s v="IEA"/>
    <s v="IEA (2021)"/>
    <n v="2021"/>
    <n v="2019"/>
    <n v="0"/>
    <n v="0"/>
    <x v="26"/>
    <s v="Office"/>
  </r>
  <r>
    <n v="4955"/>
    <s v="Top of Hierarchy &gt; South America &gt; Vantage_Lima"/>
    <x v="0"/>
    <x v="1"/>
    <d v="2021-01-01T00:00:00"/>
    <d v="2021-12-31T00:00:00"/>
    <x v="0"/>
    <d v="2021-01-01T00:00:00"/>
    <d v="2021-12-31T00:00:00"/>
    <s v="Electricity (non-renewable)"/>
    <n v="26820.33"/>
    <s v="Kilowatt hours"/>
    <x v="0"/>
    <m/>
    <s v="2023-02-27, 16:27"/>
    <s v="2023-07-20, 00:40"/>
    <n v="2021"/>
    <s v="electricity"/>
    <s v="Electricity"/>
    <s v="model"/>
    <b v="0"/>
    <s v="ELECTRICITY; PERU"/>
    <x v="0"/>
    <x v="0"/>
    <s v="Americas"/>
    <s v="Latin America and the Caribbean"/>
    <s v="PE"/>
    <m/>
    <n v="1"/>
    <s v="CO2E"/>
    <n v="5423.0707259999999"/>
    <s v="RESTRICTED"/>
    <s v="KWH"/>
    <n v="1"/>
    <n v="26820.33"/>
    <s v="AR4"/>
    <s v="IEA"/>
    <s v="IEA (2021)"/>
    <n v="2021"/>
    <n v="2019"/>
    <n v="0"/>
    <n v="5.4230707259999997"/>
    <x v="26"/>
    <s v="Office"/>
  </r>
  <r>
    <n v="4955"/>
    <s v="Top of Hierarchy &gt; South America &gt; Vantage_Lima"/>
    <x v="0"/>
    <x v="1"/>
    <d v="2021-01-01T00:00:00"/>
    <d v="2021-12-31T00:00:00"/>
    <x v="0"/>
    <d v="2021-01-01T00:00:00"/>
    <d v="2021-12-31T00:00:00"/>
    <s v="Electricity (non-renewable)"/>
    <n v="26820.33"/>
    <s v="Kilowatt hours"/>
    <x v="0"/>
    <m/>
    <s v="2023-02-27, 16:27"/>
    <s v="2023-07-20, 00:40"/>
    <n v="2021"/>
    <s v="electricity"/>
    <s v="Electricity"/>
    <s v="model"/>
    <b v="0"/>
    <s v="ELECTRICITY; PERU"/>
    <x v="0"/>
    <x v="0"/>
    <s v="Americas"/>
    <s v="Latin America and the Caribbean"/>
    <s v="PE"/>
    <m/>
    <n v="1"/>
    <s v="N2O"/>
    <n v="10.728132"/>
    <s v="RESTRICTED"/>
    <s v="KWH"/>
    <n v="1"/>
    <n v="26820.33"/>
    <s v="AR4"/>
    <s v="IEA"/>
    <s v="IEA (2021)"/>
    <n v="2021"/>
    <n v="2019"/>
    <n v="0"/>
    <n v="0"/>
    <x v="26"/>
    <s v="Office"/>
  </r>
  <r>
    <n v="4955"/>
    <s v="Top of Hierarchy &gt; South America &gt; Vantage_Lima"/>
    <x v="0"/>
    <x v="1"/>
    <d v="2021-01-01T00:00:00"/>
    <d v="2021-12-31T00:00:00"/>
    <x v="0"/>
    <d v="2021-01-01T00:00:00"/>
    <d v="2021-12-31T00:00:00"/>
    <s v="Electricity (non-renewable)"/>
    <n v="26820.33"/>
    <s v="Kilowatt hours"/>
    <x v="0"/>
    <m/>
    <s v="2023-02-27, 16:27"/>
    <s v="2023-07-20, 00:40"/>
    <n v="2021"/>
    <s v="electricity__t+d__wtt"/>
    <s v="Electricity T&amp;D WTT"/>
    <s v="t+d_wtt"/>
    <b v="0"/>
    <s v="ELECTRICITY; PERU; T&amp;D WTT Estimated"/>
    <x v="1"/>
    <x v="1"/>
    <s v="Americas"/>
    <s v="Latin America and the Caribbean"/>
    <s v="PE"/>
    <m/>
    <n v="0"/>
    <s v="CH4"/>
    <n v="0.20357434099999999"/>
    <n v="7.5903E-6"/>
    <s v="KWH"/>
    <n v="1"/>
    <n v="26820.33"/>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T&amp;D factor ELECTRICITY; TRANSMISSION AND DISTRIBUTION; PERU, IEA to estimate the T&amp;D WTT factor."/>
    <n v="2021"/>
    <n v="2019"/>
    <n v="0"/>
    <n v="0"/>
    <x v="26"/>
    <s v="Office"/>
  </r>
  <r>
    <n v="4955"/>
    <s v="Top of Hierarchy &gt; South America &gt; Vantage_Lima"/>
    <x v="0"/>
    <x v="1"/>
    <d v="2021-01-01T00:00:00"/>
    <d v="2021-12-31T00:00:00"/>
    <x v="0"/>
    <d v="2021-01-01T00:00:00"/>
    <d v="2021-12-31T00:00:00"/>
    <s v="Electricity (non-renewable)"/>
    <n v="26820.33"/>
    <s v="Kilowatt hours"/>
    <x v="0"/>
    <m/>
    <s v="2023-02-27, 16:27"/>
    <s v="2023-07-20, 00:40"/>
    <n v="2021"/>
    <s v="electricity__t+d__wtt"/>
    <s v="Electricity T&amp;D WTT"/>
    <s v="t+d_wtt"/>
    <b v="0"/>
    <s v="ELECTRICITY; PERU; T&amp;D WTT Estimated"/>
    <x v="1"/>
    <x v="1"/>
    <s v="Americas"/>
    <s v="Latin America and the Caribbean"/>
    <s v="PE"/>
    <m/>
    <n v="0"/>
    <s v="CO2"/>
    <n v="136.73409899999999"/>
    <n v="5.0981510000000004E-3"/>
    <s v="KWH"/>
    <n v="1"/>
    <n v="26820.33"/>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T&amp;D factor ELECTRICITY; TRANSMISSION AND DISTRIBUTION; PERU, IEA to estimate the T&amp;D WTT factor."/>
    <n v="2021"/>
    <n v="2019"/>
    <n v="0"/>
    <n v="0"/>
    <x v="26"/>
    <s v="Office"/>
  </r>
  <r>
    <n v="4955"/>
    <s v="Top of Hierarchy &gt; South America &gt; Vantage_Lima"/>
    <x v="0"/>
    <x v="1"/>
    <d v="2021-01-01T00:00:00"/>
    <d v="2021-12-31T00:00:00"/>
    <x v="0"/>
    <d v="2021-01-01T00:00:00"/>
    <d v="2021-12-31T00:00:00"/>
    <s v="Electricity (non-renewable)"/>
    <n v="26820.33"/>
    <s v="Kilowatt hours"/>
    <x v="0"/>
    <m/>
    <s v="2023-02-27, 16:27"/>
    <s v="2023-07-20, 00:40"/>
    <n v="2021"/>
    <s v="electricity__t+d__wtt"/>
    <s v="Electricity T&amp;D WTT"/>
    <s v="t+d_wtt"/>
    <b v="0"/>
    <s v="ELECTRICITY; PERU; T&amp;D WTT Estimated"/>
    <x v="1"/>
    <x v="1"/>
    <s v="Americas"/>
    <s v="Latin America and the Caribbean"/>
    <s v="PE"/>
    <m/>
    <n v="0"/>
    <s v="CO2E"/>
    <n v="137.2091058"/>
    <n v="5.1158619999999997E-3"/>
    <s v="KWH"/>
    <n v="1"/>
    <n v="26820.33"/>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T&amp;D factor ELECTRICITY; TRANSMISSION AND DISTRIBUTION; PERU, IEA to estimate the T&amp;D WTT factor."/>
    <n v="2021"/>
    <n v="2019"/>
    <n v="0.13720910580000001"/>
    <n v="0"/>
    <x v="26"/>
    <s v="Office"/>
  </r>
  <r>
    <n v="4955"/>
    <s v="Top of Hierarchy &gt; South America &gt; Vantage_Lima"/>
    <x v="0"/>
    <x v="1"/>
    <d v="2021-01-01T00:00:00"/>
    <d v="2021-12-31T00:00:00"/>
    <x v="0"/>
    <d v="2021-01-01T00:00:00"/>
    <d v="2021-12-31T00:00:00"/>
    <s v="Electricity (non-renewable)"/>
    <n v="26820.33"/>
    <s v="Kilowatt hours"/>
    <x v="0"/>
    <m/>
    <s v="2023-02-27, 16:27"/>
    <s v="2023-07-20, 00:40"/>
    <n v="2021"/>
    <s v="electricity__t+d__wtt"/>
    <s v="Electricity T&amp;D WTT"/>
    <s v="t+d_wtt"/>
    <b v="0"/>
    <s v="ELECTRICITY; PERU; T&amp;D WTT Estimated"/>
    <x v="1"/>
    <x v="1"/>
    <s v="Americas"/>
    <s v="Latin America and the Caribbean"/>
    <s v="PE"/>
    <m/>
    <n v="0"/>
    <s v="N2O"/>
    <n v="0.27143245500000002"/>
    <n v="1.0120400000000001E-5"/>
    <s v="KWH"/>
    <n v="1"/>
    <n v="26820.33"/>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T&amp;D factor ELECTRICITY; TRANSMISSION AND DISTRIBUTION; PERU, IEA to estimate the T&amp;D WTT factor."/>
    <n v="2021"/>
    <n v="2019"/>
    <n v="0"/>
    <n v="0"/>
    <x v="26"/>
    <s v="Office"/>
  </r>
  <r>
    <n v="4955"/>
    <s v="Top of Hierarchy &gt; South America &gt; Vantage_Lima"/>
    <x v="0"/>
    <x v="1"/>
    <d v="2021-01-01T00:00:00"/>
    <d v="2021-12-31T00:00:00"/>
    <x v="0"/>
    <d v="2021-01-01T00:00:00"/>
    <d v="2021-12-31T00:00:00"/>
    <s v="Electricity (non-renewable)"/>
    <n v="26820.33"/>
    <s v="Kilowatt hours"/>
    <x v="0"/>
    <m/>
    <s v="2023-02-27, 16:27"/>
    <s v="2023-07-20, 00:40"/>
    <n v="2021"/>
    <s v="electricity__t+d__wtt"/>
    <s v="Electricity T&amp;D WTT"/>
    <s v="t+d_wtt"/>
    <b v="0"/>
    <s v="ELECTRICITY; PERU; T&amp;D WTT Estimated"/>
    <x v="1"/>
    <x v="1"/>
    <s v="Americas"/>
    <s v="Latin America and the Caribbean"/>
    <s v="PE"/>
    <m/>
    <n v="1"/>
    <s v="CH4"/>
    <n v="0.20357434099999999"/>
    <n v="7.5903E-6"/>
    <s v="KWH"/>
    <n v="1"/>
    <n v="26820.33"/>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T&amp;D factor ELECTRICITY; TRANSMISSION AND DISTRIBUTION; PERU, IEA to estimate the T&amp;D WTT factor."/>
    <n v="2021"/>
    <n v="2019"/>
    <n v="0"/>
    <n v="0"/>
    <x v="26"/>
    <s v="Office"/>
  </r>
  <r>
    <n v="4955"/>
    <s v="Top of Hierarchy &gt; South America &gt; Vantage_Lima"/>
    <x v="0"/>
    <x v="1"/>
    <d v="2021-01-01T00:00:00"/>
    <d v="2021-12-31T00:00:00"/>
    <x v="0"/>
    <d v="2021-01-01T00:00:00"/>
    <d v="2021-12-31T00:00:00"/>
    <s v="Electricity (non-renewable)"/>
    <n v="26820.33"/>
    <s v="Kilowatt hours"/>
    <x v="0"/>
    <m/>
    <s v="2023-02-27, 16:27"/>
    <s v="2023-07-20, 00:40"/>
    <n v="2021"/>
    <s v="electricity__t+d__wtt"/>
    <s v="Electricity T&amp;D WTT"/>
    <s v="t+d_wtt"/>
    <b v="0"/>
    <s v="ELECTRICITY; PERU; T&amp;D WTT Estimated"/>
    <x v="1"/>
    <x v="1"/>
    <s v="Americas"/>
    <s v="Latin America and the Caribbean"/>
    <s v="PE"/>
    <m/>
    <n v="1"/>
    <s v="CO2"/>
    <n v="136.73409899999999"/>
    <n v="5.0981510000000004E-3"/>
    <s v="KWH"/>
    <n v="1"/>
    <n v="26820.33"/>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T&amp;D factor ELECTRICITY; TRANSMISSION AND DISTRIBUTION; PERU, IEA to estimate the T&amp;D WTT factor."/>
    <n v="2021"/>
    <n v="2019"/>
    <n v="0"/>
    <n v="0"/>
    <x v="26"/>
    <s v="Office"/>
  </r>
  <r>
    <n v="4955"/>
    <s v="Top of Hierarchy &gt; South America &gt; Vantage_Lima"/>
    <x v="0"/>
    <x v="1"/>
    <d v="2021-01-01T00:00:00"/>
    <d v="2021-12-31T00:00:00"/>
    <x v="0"/>
    <d v="2021-01-01T00:00:00"/>
    <d v="2021-12-31T00:00:00"/>
    <s v="Electricity (non-renewable)"/>
    <n v="26820.33"/>
    <s v="Kilowatt hours"/>
    <x v="0"/>
    <m/>
    <s v="2023-02-27, 16:27"/>
    <s v="2023-07-20, 00:40"/>
    <n v="2021"/>
    <s v="electricity__t+d__wtt"/>
    <s v="Electricity T&amp;D WTT"/>
    <s v="t+d_wtt"/>
    <b v="0"/>
    <s v="ELECTRICITY; PERU; T&amp;D WTT Estimated"/>
    <x v="1"/>
    <x v="1"/>
    <s v="Americas"/>
    <s v="Latin America and the Caribbean"/>
    <s v="PE"/>
    <m/>
    <n v="1"/>
    <s v="CO2E"/>
    <n v="137.2091058"/>
    <n v="5.1158619999999997E-3"/>
    <s v="KWH"/>
    <n v="1"/>
    <n v="26820.33"/>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T&amp;D factor ELECTRICITY; TRANSMISSION AND DISTRIBUTION; PERU, IEA to estimate the T&amp;D WTT factor."/>
    <n v="2021"/>
    <n v="2019"/>
    <n v="0"/>
    <n v="0.13720910580000001"/>
    <x v="26"/>
    <s v="Office"/>
  </r>
  <r>
    <n v="4955"/>
    <s v="Top of Hierarchy &gt; South America &gt; Vantage_Lima"/>
    <x v="0"/>
    <x v="1"/>
    <d v="2021-01-01T00:00:00"/>
    <d v="2021-12-31T00:00:00"/>
    <x v="0"/>
    <d v="2021-01-01T00:00:00"/>
    <d v="2021-12-31T00:00:00"/>
    <s v="Electricity (non-renewable)"/>
    <n v="26820.33"/>
    <s v="Kilowatt hours"/>
    <x v="0"/>
    <m/>
    <s v="2023-02-27, 16:27"/>
    <s v="2023-07-20, 00:40"/>
    <n v="2021"/>
    <s v="electricity__t+d__wtt"/>
    <s v="Electricity T&amp;D WTT"/>
    <s v="t+d_wtt"/>
    <b v="0"/>
    <s v="ELECTRICITY; PERU; T&amp;D WTT Estimated"/>
    <x v="1"/>
    <x v="1"/>
    <s v="Americas"/>
    <s v="Latin America and the Caribbean"/>
    <s v="PE"/>
    <m/>
    <n v="1"/>
    <s v="N2O"/>
    <n v="0.27143245500000002"/>
    <n v="1.0120400000000001E-5"/>
    <s v="KWH"/>
    <n v="1"/>
    <n v="26820.33"/>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T&amp;D factor ELECTRICITY; TRANSMISSION AND DISTRIBUTION; PERU, IEA to estimate the T&amp;D WTT factor."/>
    <n v="2021"/>
    <n v="2019"/>
    <n v="0"/>
    <n v="0"/>
    <x v="26"/>
    <s v="Office"/>
  </r>
  <r>
    <n v="4955"/>
    <s v="Top of Hierarchy &gt; South America &gt; Vantage_Lima"/>
    <x v="0"/>
    <x v="1"/>
    <d v="2021-01-01T00:00:00"/>
    <d v="2021-12-31T00:00:00"/>
    <x v="0"/>
    <d v="2021-01-01T00:00:00"/>
    <d v="2021-12-31T00:00:00"/>
    <s v="Electricity (non-renewable)"/>
    <n v="26820.33"/>
    <s v="Kilowatt hours"/>
    <x v="0"/>
    <m/>
    <s v="2023-02-27, 16:27"/>
    <s v="2023-07-20, 00:40"/>
    <n v="2021"/>
    <s v="electricity__wtt"/>
    <s v="Electricity WTT"/>
    <s v="wtt"/>
    <b v="0"/>
    <s v="ELECTRICITY; PERU; WTT Estimated"/>
    <x v="1"/>
    <x v="1"/>
    <s v="Americas"/>
    <s v="Latin America and the Caribbean"/>
    <s v="PE"/>
    <m/>
    <n v="0"/>
    <s v="CH4"/>
    <n v="1.7044529559999999"/>
    <n v="6.3550800000000001E-5"/>
    <s v="KWH"/>
    <n v="1"/>
    <n v="26820.33"/>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base factor ELECTRICITY; PERU, IEAto estimate the WTT factor."/>
    <n v="2021"/>
    <n v="2019"/>
    <n v="0"/>
    <n v="0"/>
    <x v="26"/>
    <s v="Office"/>
  </r>
  <r>
    <n v="4955"/>
    <s v="Top of Hierarchy &gt; South America &gt; Vantage_Lima"/>
    <x v="0"/>
    <x v="1"/>
    <d v="2021-01-01T00:00:00"/>
    <d v="2021-12-31T00:00:00"/>
    <x v="0"/>
    <d v="2021-01-01T00:00:00"/>
    <d v="2021-12-31T00:00:00"/>
    <s v="Electricity (non-renewable)"/>
    <n v="26820.33"/>
    <s v="Kilowatt hours"/>
    <x v="0"/>
    <m/>
    <s v="2023-02-27, 16:27"/>
    <s v="2023-07-20, 00:40"/>
    <n v="2021"/>
    <s v="electricity__wtt"/>
    <s v="Electricity WTT"/>
    <s v="wtt"/>
    <b v="0"/>
    <s v="ELECTRICITY; PERU; WTT Estimated"/>
    <x v="1"/>
    <x v="1"/>
    <s v="Americas"/>
    <s v="Latin America and the Caribbean"/>
    <s v="PE"/>
    <m/>
    <n v="0"/>
    <s v="CO2"/>
    <n v="1144.8242359999999"/>
    <n v="4.2684941999999997E-2"/>
    <s v="KWH"/>
    <n v="1"/>
    <n v="26820.33"/>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base factor ELECTRICITY; PERU, IEAto estimate the WTT factor."/>
    <n v="2021"/>
    <n v="2019"/>
    <n v="0"/>
    <n v="0"/>
    <x v="26"/>
    <s v="Office"/>
  </r>
  <r>
    <n v="4955"/>
    <s v="Top of Hierarchy &gt; South America &gt; Vantage_Lima"/>
    <x v="0"/>
    <x v="1"/>
    <d v="2021-01-01T00:00:00"/>
    <d v="2021-12-31T00:00:00"/>
    <x v="0"/>
    <d v="2021-01-01T00:00:00"/>
    <d v="2021-12-31T00:00:00"/>
    <s v="Electricity (non-renewable)"/>
    <n v="26820.33"/>
    <s v="Kilowatt hours"/>
    <x v="0"/>
    <m/>
    <s v="2023-02-27, 16:27"/>
    <s v="2023-07-20, 00:40"/>
    <n v="2021"/>
    <s v="electricity__wtt"/>
    <s v="Electricity WTT"/>
    <s v="wtt"/>
    <b v="0"/>
    <s v="ELECTRICITY; PERU; WTT Estimated"/>
    <x v="1"/>
    <x v="1"/>
    <s v="Americas"/>
    <s v="Latin America and the Caribbean"/>
    <s v="PE"/>
    <m/>
    <n v="0"/>
    <s v="CO2E"/>
    <n v="1148.8012920000001"/>
    <n v="4.2833227000000001E-2"/>
    <s v="KWH"/>
    <n v="1"/>
    <n v="26820.33"/>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base factor ELECTRICITY; PERU, IEAto estimate the WTT factor."/>
    <n v="2021"/>
    <n v="2019"/>
    <n v="1.1488012920000001"/>
    <n v="0"/>
    <x v="26"/>
    <s v="Office"/>
  </r>
  <r>
    <n v="4955"/>
    <s v="Top of Hierarchy &gt; South America &gt; Vantage_Lima"/>
    <x v="0"/>
    <x v="1"/>
    <d v="2021-01-01T00:00:00"/>
    <d v="2021-12-31T00:00:00"/>
    <x v="0"/>
    <d v="2021-01-01T00:00:00"/>
    <d v="2021-12-31T00:00:00"/>
    <s v="Electricity (non-renewable)"/>
    <n v="26820.33"/>
    <s v="Kilowatt hours"/>
    <x v="0"/>
    <m/>
    <s v="2023-02-27, 16:27"/>
    <s v="2023-07-20, 00:40"/>
    <n v="2021"/>
    <s v="electricity__wtt"/>
    <s v="Electricity WTT"/>
    <s v="wtt"/>
    <b v="0"/>
    <s v="ELECTRICITY; PERU; WTT Estimated"/>
    <x v="1"/>
    <x v="1"/>
    <s v="Americas"/>
    <s v="Latin America and the Caribbean"/>
    <s v="PE"/>
    <m/>
    <n v="0"/>
    <s v="N2O"/>
    <n v="2.2726039409999998"/>
    <n v="8.4734400000000006E-5"/>
    <s v="KWH"/>
    <n v="1"/>
    <n v="26820.33"/>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base factor ELECTRICITY; PERU, IEAto estimate the WTT factor."/>
    <n v="2021"/>
    <n v="2019"/>
    <n v="0"/>
    <n v="0"/>
    <x v="26"/>
    <s v="Office"/>
  </r>
  <r>
    <n v="4955"/>
    <s v="Top of Hierarchy &gt; South America &gt; Vantage_Lima"/>
    <x v="0"/>
    <x v="1"/>
    <d v="2021-01-01T00:00:00"/>
    <d v="2021-12-31T00:00:00"/>
    <x v="0"/>
    <d v="2021-01-01T00:00:00"/>
    <d v="2021-12-31T00:00:00"/>
    <s v="Electricity (non-renewable)"/>
    <n v="26820.33"/>
    <s v="Kilowatt hours"/>
    <x v="0"/>
    <m/>
    <s v="2023-02-27, 16:27"/>
    <s v="2023-07-20, 00:40"/>
    <n v="2021"/>
    <s v="electricity__wtt"/>
    <s v="Electricity WTT"/>
    <s v="wtt"/>
    <b v="0"/>
    <s v="ELECTRICITY; PERU; WTT Estimated"/>
    <x v="1"/>
    <x v="1"/>
    <s v="Americas"/>
    <s v="Latin America and the Caribbean"/>
    <s v="PE"/>
    <m/>
    <n v="1"/>
    <s v="CH4"/>
    <n v="1.7044529559999999"/>
    <n v="6.3550800000000001E-5"/>
    <s v="KWH"/>
    <n v="1"/>
    <n v="26820.33"/>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base factor ELECTRICITY; PERU, IEAto estimate the WTT factor."/>
    <n v="2021"/>
    <n v="2019"/>
    <n v="0"/>
    <n v="0"/>
    <x v="26"/>
    <s v="Office"/>
  </r>
  <r>
    <n v="4955"/>
    <s v="Top of Hierarchy &gt; South America &gt; Vantage_Lima"/>
    <x v="0"/>
    <x v="1"/>
    <d v="2021-01-01T00:00:00"/>
    <d v="2021-12-31T00:00:00"/>
    <x v="0"/>
    <d v="2021-01-01T00:00:00"/>
    <d v="2021-12-31T00:00:00"/>
    <s v="Electricity (non-renewable)"/>
    <n v="26820.33"/>
    <s v="Kilowatt hours"/>
    <x v="0"/>
    <m/>
    <s v="2023-02-27, 16:27"/>
    <s v="2023-07-20, 00:40"/>
    <n v="2021"/>
    <s v="electricity__wtt"/>
    <s v="Electricity WTT"/>
    <s v="wtt"/>
    <b v="0"/>
    <s v="ELECTRICITY; PERU; WTT Estimated"/>
    <x v="1"/>
    <x v="1"/>
    <s v="Americas"/>
    <s v="Latin America and the Caribbean"/>
    <s v="PE"/>
    <m/>
    <n v="1"/>
    <s v="CO2"/>
    <n v="1144.8242359999999"/>
    <n v="4.2684941999999997E-2"/>
    <s v="KWH"/>
    <n v="1"/>
    <n v="26820.33"/>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base factor ELECTRICITY; PERU, IEAto estimate the WTT factor."/>
    <n v="2021"/>
    <n v="2019"/>
    <n v="0"/>
    <n v="0"/>
    <x v="26"/>
    <s v="Office"/>
  </r>
  <r>
    <n v="4955"/>
    <s v="Top of Hierarchy &gt; South America &gt; Vantage_Lima"/>
    <x v="0"/>
    <x v="1"/>
    <d v="2021-01-01T00:00:00"/>
    <d v="2021-12-31T00:00:00"/>
    <x v="0"/>
    <d v="2021-01-01T00:00:00"/>
    <d v="2021-12-31T00:00:00"/>
    <s v="Electricity (non-renewable)"/>
    <n v="26820.33"/>
    <s v="Kilowatt hours"/>
    <x v="0"/>
    <m/>
    <s v="2023-02-27, 16:27"/>
    <s v="2023-07-20, 00:40"/>
    <n v="2021"/>
    <s v="electricity__wtt"/>
    <s v="Electricity WTT"/>
    <s v="wtt"/>
    <b v="0"/>
    <s v="ELECTRICITY; PERU; WTT Estimated"/>
    <x v="1"/>
    <x v="1"/>
    <s v="Americas"/>
    <s v="Latin America and the Caribbean"/>
    <s v="PE"/>
    <m/>
    <n v="1"/>
    <s v="CO2E"/>
    <n v="1148.8012920000001"/>
    <n v="4.2833227000000001E-2"/>
    <s v="KWH"/>
    <n v="1"/>
    <n v="26820.33"/>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base factor ELECTRICITY; PERU, IEAto estimate the WTT factor."/>
    <n v="2021"/>
    <n v="2019"/>
    <n v="0"/>
    <n v="1.1488012920000001"/>
    <x v="26"/>
    <s v="Office"/>
  </r>
  <r>
    <n v="4955"/>
    <s v="Top of Hierarchy &gt; South America &gt; Vantage_Lima"/>
    <x v="0"/>
    <x v="1"/>
    <d v="2021-01-01T00:00:00"/>
    <d v="2021-12-31T00:00:00"/>
    <x v="0"/>
    <d v="2021-01-01T00:00:00"/>
    <d v="2021-12-31T00:00:00"/>
    <s v="Electricity (non-renewable)"/>
    <n v="26820.33"/>
    <s v="Kilowatt hours"/>
    <x v="0"/>
    <m/>
    <s v="2023-02-27, 16:27"/>
    <s v="2023-07-20, 00:40"/>
    <n v="2021"/>
    <s v="electricity__wtt"/>
    <s v="Electricity WTT"/>
    <s v="wtt"/>
    <b v="0"/>
    <s v="ELECTRICITY; PERU; WTT Estimated"/>
    <x v="1"/>
    <x v="1"/>
    <s v="Americas"/>
    <s v="Latin America and the Caribbean"/>
    <s v="PE"/>
    <m/>
    <n v="1"/>
    <s v="N2O"/>
    <n v="2.2726039409999998"/>
    <n v="8.4734400000000006E-5"/>
    <s v="KWH"/>
    <n v="1"/>
    <n v="26820.33"/>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base factor ELECTRICITY; PERU, IEAto estimate the WTT factor."/>
    <n v="2021"/>
    <n v="2019"/>
    <n v="0"/>
    <n v="0"/>
    <x v="26"/>
    <s v="Office"/>
  </r>
  <r>
    <n v="4955"/>
    <s v="Top of Hierarchy &gt; South America &gt; Vantage_Lima"/>
    <x v="0"/>
    <x v="1"/>
    <d v="2021-01-01T00:00:00"/>
    <d v="2021-12-31T00:00:00"/>
    <x v="0"/>
    <d v="2021-01-01T00:00:00"/>
    <d v="2021-12-31T00:00:00"/>
    <s v="Electricity (non-renewable)"/>
    <n v="26820.33"/>
    <s v="Kilowatt hours"/>
    <x v="0"/>
    <m/>
    <s v="2023-02-27, 16:27"/>
    <s v="2023-07-20, 00:40"/>
    <n v="2021"/>
    <s v="electricity__t+d"/>
    <s v="Electricity T&amp;D"/>
    <s v="t+d"/>
    <b v="0"/>
    <s v="ELECTRICITY; TRANSMISSION AND DISTRIBUTION; PERU"/>
    <x v="1"/>
    <x v="1"/>
    <s v="Americas"/>
    <s v="Latin America and the Caribbean"/>
    <s v="PE"/>
    <m/>
    <n v="0"/>
    <s v="CO2E"/>
    <n v="616.86758999999995"/>
    <s v="RESTRICTED"/>
    <s v="KWH"/>
    <n v="1"/>
    <n v="26820.33"/>
    <s v="AR4"/>
    <s v="IEA"/>
    <s v="IEA (2021)"/>
    <n v="2021"/>
    <n v="2019"/>
    <n v="0.61686758999999991"/>
    <n v="0"/>
    <x v="26"/>
    <s v="Office"/>
  </r>
  <r>
    <n v="4955"/>
    <s v="Top of Hierarchy &gt; South America &gt; Vantage_Lima"/>
    <x v="0"/>
    <x v="1"/>
    <d v="2021-01-01T00:00:00"/>
    <d v="2021-12-31T00:00:00"/>
    <x v="0"/>
    <d v="2021-01-01T00:00:00"/>
    <d v="2021-12-31T00:00:00"/>
    <s v="Electricity (non-renewable)"/>
    <n v="26820.33"/>
    <s v="Kilowatt hours"/>
    <x v="0"/>
    <m/>
    <s v="2023-02-27, 16:27"/>
    <s v="2023-07-20, 00:40"/>
    <n v="2021"/>
    <s v="electricity__t+d"/>
    <s v="Electricity T&amp;D"/>
    <s v="t+d"/>
    <b v="0"/>
    <s v="ELECTRICITY; TRANSMISSION AND DISTRIBUTION; PERU"/>
    <x v="1"/>
    <x v="1"/>
    <s v="Americas"/>
    <s v="Latin America and the Caribbean"/>
    <s v="PE"/>
    <m/>
    <n v="1"/>
    <s v="CO2E"/>
    <n v="616.86758999999995"/>
    <s v="RESTRICTED"/>
    <s v="KWH"/>
    <n v="1"/>
    <n v="26820.33"/>
    <s v="AR4"/>
    <s v="IEA"/>
    <s v="IEA (2021)"/>
    <n v="2021"/>
    <n v="2019"/>
    <n v="0"/>
    <n v="0.61686758999999991"/>
    <x v="26"/>
    <s v="Office"/>
  </r>
  <r>
    <n v="4982"/>
    <s v="Top of Hierarchy &gt; South America &gt; Vantage_Lima"/>
    <x v="0"/>
    <x v="1"/>
    <d v="2021-01-01T00:00:00"/>
    <d v="2021-12-31T00:00:00"/>
    <x v="3"/>
    <d v="2021-01-01T00:00:00"/>
    <d v="2021-12-31T00:00:00"/>
    <s v="Natural gas"/>
    <n v="0"/>
    <s v="Hundred Thousand BTUs"/>
    <x v="0"/>
    <m/>
    <s v="2023-02-27, 16:27"/>
    <s v="2023-07-20, 00:40"/>
    <n v="2021"/>
    <s v="natural_gas"/>
    <s v="Natural Gas"/>
    <s v="model"/>
    <b v="0"/>
    <s v="NATURAL GAS, NATURAL GAS"/>
    <x v="2"/>
    <x v="0"/>
    <s v="Americas"/>
    <m/>
    <m/>
    <m/>
    <n v="0"/>
    <s v="CH4"/>
    <n v="0"/>
    <n v="2.5000000000000001E-2"/>
    <s v="MMBTU"/>
    <n v="0.1"/>
    <n v="0"/>
    <s v="AR4"/>
    <s v="USEPA"/>
    <s v="USEPA (2021)"/>
    <n v="2021"/>
    <n v="2021"/>
    <n v="0"/>
    <n v="0"/>
    <x v="26"/>
    <s v="Office"/>
  </r>
  <r>
    <n v="4982"/>
    <s v="Top of Hierarchy &gt; South America &gt; Vantage_Lima"/>
    <x v="0"/>
    <x v="1"/>
    <d v="2021-01-01T00:00:00"/>
    <d v="2021-12-31T00:00:00"/>
    <x v="3"/>
    <d v="2021-01-01T00:00:00"/>
    <d v="2021-12-31T00:00:00"/>
    <s v="Natural gas"/>
    <n v="0"/>
    <s v="Hundred Thousand BTUs"/>
    <x v="0"/>
    <m/>
    <s v="2023-02-27, 16:27"/>
    <s v="2023-07-20, 00:40"/>
    <n v="2021"/>
    <s v="natural_gas"/>
    <s v="Natural Gas"/>
    <s v="model"/>
    <b v="0"/>
    <s v="NATURAL GAS, NATURAL GAS"/>
    <x v="2"/>
    <x v="0"/>
    <s v="Americas"/>
    <m/>
    <m/>
    <m/>
    <n v="0"/>
    <s v="CO2"/>
    <n v="0"/>
    <n v="53.06"/>
    <s v="MMBTU"/>
    <n v="0.1"/>
    <n v="0"/>
    <s v="AR4"/>
    <s v="USEPA"/>
    <s v="USEPA Emission Factors Hub (Last Modified: March 2020)"/>
    <n v="2021"/>
    <n v="2020"/>
    <n v="0"/>
    <n v="0"/>
    <x v="26"/>
    <s v="Office"/>
  </r>
  <r>
    <n v="4982"/>
    <s v="Top of Hierarchy &gt; South America &gt; Vantage_Lima"/>
    <x v="0"/>
    <x v="1"/>
    <d v="2021-01-01T00:00:00"/>
    <d v="2021-12-31T00:00:00"/>
    <x v="3"/>
    <d v="2021-01-01T00:00:00"/>
    <d v="2021-12-31T00:00:00"/>
    <s v="Natural gas"/>
    <n v="0"/>
    <s v="Hundred Thousand BTUs"/>
    <x v="0"/>
    <m/>
    <s v="2023-02-27, 16:27"/>
    <s v="2023-07-20, 00:40"/>
    <n v="2021"/>
    <s v="natural_gas"/>
    <s v="Natural Gas"/>
    <s v="model"/>
    <b v="0"/>
    <s v="NATURAL GAS, NATURAL GAS"/>
    <x v="2"/>
    <x v="0"/>
    <s v="Americas"/>
    <m/>
    <m/>
    <m/>
    <n v="0"/>
    <s v="CO2E"/>
    <n v="0"/>
    <n v="53.114800000000002"/>
    <s v="MMBTU"/>
    <n v="0.1"/>
    <n v="0"/>
    <s v="AR4"/>
    <s v="USEPA"/>
    <s v="USEPA (2021)"/>
    <n v="2021"/>
    <n v="2021"/>
    <n v="0"/>
    <n v="0"/>
    <x v="26"/>
    <s v="Office"/>
  </r>
  <r>
    <n v="4982"/>
    <s v="Top of Hierarchy &gt; South America &gt; Vantage_Lima"/>
    <x v="0"/>
    <x v="1"/>
    <d v="2021-01-01T00:00:00"/>
    <d v="2021-12-31T00:00:00"/>
    <x v="3"/>
    <d v="2021-01-01T00:00:00"/>
    <d v="2021-12-31T00:00:00"/>
    <s v="Natural gas"/>
    <n v="0"/>
    <s v="Hundred Thousand BTUs"/>
    <x v="0"/>
    <m/>
    <s v="2023-02-27, 16:27"/>
    <s v="2023-07-20, 00:40"/>
    <n v="2021"/>
    <s v="natural_gas"/>
    <s v="Natural Gas"/>
    <s v="model"/>
    <b v="0"/>
    <s v="NATURAL GAS, NATURAL GAS"/>
    <x v="2"/>
    <x v="0"/>
    <s v="Americas"/>
    <m/>
    <m/>
    <m/>
    <n v="0"/>
    <s v="N2O"/>
    <n v="0"/>
    <n v="2.98E-2"/>
    <s v="MMBTU"/>
    <n v="0.1"/>
    <n v="0"/>
    <s v="AR4"/>
    <s v="USEPA"/>
    <s v="USEPA (2021)"/>
    <n v="2021"/>
    <n v="2021"/>
    <n v="0"/>
    <n v="0"/>
    <x v="26"/>
    <s v="Office"/>
  </r>
  <r>
    <n v="4982"/>
    <s v="Top of Hierarchy &gt; South America &gt; Vantage_Lima"/>
    <x v="0"/>
    <x v="1"/>
    <d v="2021-01-01T00:00:00"/>
    <d v="2021-12-31T00:00:00"/>
    <x v="3"/>
    <d v="2021-01-01T00:00:00"/>
    <d v="2021-12-31T00:00:00"/>
    <s v="Natural gas"/>
    <n v="0"/>
    <s v="Hundred Thousand BTUs"/>
    <x v="0"/>
    <m/>
    <s v="2023-02-27, 16:27"/>
    <s v="2023-07-20, 00:40"/>
    <n v="2021"/>
    <s v="natural_gas"/>
    <s v="Natural Gas"/>
    <s v="model"/>
    <b v="0"/>
    <s v="NATURAL GAS, NATURAL GAS"/>
    <x v="2"/>
    <x v="0"/>
    <s v="Americas"/>
    <m/>
    <m/>
    <m/>
    <n v="1"/>
    <s v="CH4"/>
    <n v="0"/>
    <n v="2.5000000000000001E-2"/>
    <s v="MMBTU"/>
    <n v="0.1"/>
    <n v="0"/>
    <s v="AR4"/>
    <s v="USEPA"/>
    <s v="USEPA (2021)"/>
    <n v="2021"/>
    <n v="2021"/>
    <n v="0"/>
    <n v="0"/>
    <x v="26"/>
    <s v="Office"/>
  </r>
  <r>
    <n v="4982"/>
    <s v="Top of Hierarchy &gt; South America &gt; Vantage_Lima"/>
    <x v="0"/>
    <x v="1"/>
    <d v="2021-01-01T00:00:00"/>
    <d v="2021-12-31T00:00:00"/>
    <x v="3"/>
    <d v="2021-01-01T00:00:00"/>
    <d v="2021-12-31T00:00:00"/>
    <s v="Natural gas"/>
    <n v="0"/>
    <s v="Hundred Thousand BTUs"/>
    <x v="0"/>
    <m/>
    <s v="2023-02-27, 16:27"/>
    <s v="2023-07-20, 00:40"/>
    <n v="2021"/>
    <s v="natural_gas"/>
    <s v="Natural Gas"/>
    <s v="model"/>
    <b v="0"/>
    <s v="NATURAL GAS, NATURAL GAS"/>
    <x v="2"/>
    <x v="0"/>
    <s v="Americas"/>
    <m/>
    <m/>
    <m/>
    <n v="1"/>
    <s v="CO2"/>
    <n v="0"/>
    <n v="53.06"/>
    <s v="MMBTU"/>
    <n v="0.1"/>
    <n v="0"/>
    <s v="AR4"/>
    <s v="USEPA"/>
    <s v="USEPA Emission Factors Hub (Last Modified: March 2020)"/>
    <n v="2021"/>
    <n v="2020"/>
    <n v="0"/>
    <n v="0"/>
    <x v="26"/>
    <s v="Office"/>
  </r>
  <r>
    <n v="4982"/>
    <s v="Top of Hierarchy &gt; South America &gt; Vantage_Lima"/>
    <x v="0"/>
    <x v="1"/>
    <d v="2021-01-01T00:00:00"/>
    <d v="2021-12-31T00:00:00"/>
    <x v="3"/>
    <d v="2021-01-01T00:00:00"/>
    <d v="2021-12-31T00:00:00"/>
    <s v="Natural gas"/>
    <n v="0"/>
    <s v="Hundred Thousand BTUs"/>
    <x v="0"/>
    <m/>
    <s v="2023-02-27, 16:27"/>
    <s v="2023-07-20, 00:40"/>
    <n v="2021"/>
    <s v="natural_gas"/>
    <s v="Natural Gas"/>
    <s v="model"/>
    <b v="0"/>
    <s v="NATURAL GAS, NATURAL GAS"/>
    <x v="2"/>
    <x v="0"/>
    <s v="Americas"/>
    <m/>
    <m/>
    <m/>
    <n v="1"/>
    <s v="CO2E"/>
    <n v="0"/>
    <n v="53.114800000000002"/>
    <s v="MMBTU"/>
    <n v="0.1"/>
    <n v="0"/>
    <s v="AR4"/>
    <s v="USEPA"/>
    <s v="USEPA (2021)"/>
    <n v="2021"/>
    <n v="2021"/>
    <n v="0"/>
    <n v="0"/>
    <x v="26"/>
    <s v="Office"/>
  </r>
  <r>
    <n v="4982"/>
    <s v="Top of Hierarchy &gt; South America &gt; Vantage_Lima"/>
    <x v="0"/>
    <x v="1"/>
    <d v="2021-01-01T00:00:00"/>
    <d v="2021-12-31T00:00:00"/>
    <x v="3"/>
    <d v="2021-01-01T00:00:00"/>
    <d v="2021-12-31T00:00:00"/>
    <s v="Natural gas"/>
    <n v="0"/>
    <s v="Hundred Thousand BTUs"/>
    <x v="0"/>
    <m/>
    <s v="2023-02-27, 16:27"/>
    <s v="2023-07-20, 00:40"/>
    <n v="2021"/>
    <s v="natural_gas"/>
    <s v="Natural Gas"/>
    <s v="model"/>
    <b v="0"/>
    <s v="NATURAL GAS, NATURAL GAS"/>
    <x v="2"/>
    <x v="0"/>
    <s v="Americas"/>
    <m/>
    <m/>
    <m/>
    <n v="1"/>
    <s v="N2O"/>
    <n v="0"/>
    <n v="2.98E-2"/>
    <s v="MMBTU"/>
    <n v="0.1"/>
    <n v="0"/>
    <s v="AR4"/>
    <s v="USEPA"/>
    <s v="USEPA (2021)"/>
    <n v="2021"/>
    <n v="2021"/>
    <n v="0"/>
    <n v="0"/>
    <x v="26"/>
    <s v="Office"/>
  </r>
  <r>
    <n v="4982"/>
    <s v="Top of Hierarchy &gt; South America &gt; Vantage_Lima"/>
    <x v="0"/>
    <x v="1"/>
    <d v="2021-01-01T00:00:00"/>
    <d v="2021-12-31T00:00:00"/>
    <x v="3"/>
    <d v="2021-01-01T00:00:00"/>
    <d v="2021-12-31T00:00:00"/>
    <s v="Natural gas"/>
    <n v="0"/>
    <s v="Hundred Thousand BTUs"/>
    <x v="0"/>
    <m/>
    <s v="2023-02-27, 16:27"/>
    <s v="2023-07-20, 00:40"/>
    <n v="2021"/>
    <s v="natural_gas__wtt"/>
    <s v="Natural Gas WTT"/>
    <s v="wtt"/>
    <b v="0"/>
    <s v="WTT- FUELS; WTT- GASEOUS FUELS; NATURAL GAS"/>
    <x v="1"/>
    <x v="1"/>
    <m/>
    <m/>
    <m/>
    <m/>
    <n v="0"/>
    <s v="CO2E"/>
    <n v="0"/>
    <n v="3.1350000000000003E-2"/>
    <s v="KWH (GROSS CV)"/>
    <n v="29.3001"/>
    <n v="0"/>
    <s v="AR4"/>
    <s v="Defra"/>
    <s v="Defra (2021)"/>
    <n v="2021"/>
    <n v="2019"/>
    <n v="0"/>
    <n v="0"/>
    <x v="26"/>
    <s v="Office"/>
  </r>
  <r>
    <n v="4982"/>
    <s v="Top of Hierarchy &gt; South America &gt; Vantage_Lima"/>
    <x v="0"/>
    <x v="1"/>
    <d v="2021-01-01T00:00:00"/>
    <d v="2021-12-31T00:00:00"/>
    <x v="3"/>
    <d v="2021-01-01T00:00:00"/>
    <d v="2021-12-31T00:00:00"/>
    <s v="Natural gas"/>
    <n v="0"/>
    <s v="Hundred Thousand BTUs"/>
    <x v="0"/>
    <m/>
    <s v="2023-02-27, 16:27"/>
    <s v="2023-07-20, 00:40"/>
    <n v="2021"/>
    <s v="natural_gas__wtt"/>
    <s v="Natural Gas WTT"/>
    <s v="wtt"/>
    <b v="0"/>
    <s v="WTT- FUELS; WTT- GASEOUS FUELS; NATURAL GAS"/>
    <x v="1"/>
    <x v="1"/>
    <m/>
    <m/>
    <m/>
    <m/>
    <n v="1"/>
    <s v="CO2E"/>
    <n v="0"/>
    <n v="3.1350000000000003E-2"/>
    <s v="KWH (GROSS CV)"/>
    <n v="29.3001"/>
    <n v="0"/>
    <s v="AR4"/>
    <s v="Defra"/>
    <s v="Defra (2021)"/>
    <n v="2021"/>
    <n v="2019"/>
    <n v="0"/>
    <n v="0"/>
    <x v="26"/>
    <s v="Office"/>
  </r>
  <r>
    <n v="5016"/>
    <s v="Top of Hierarchy &gt; South America &gt; Vantage_Lima"/>
    <x v="0"/>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0"/>
    <s v="CH4"/>
    <n v="0"/>
    <n v="2.5999999999999998E-4"/>
    <s v="LITRES"/>
    <n v="1"/>
    <n v="0"/>
    <s v="AR4"/>
    <s v="Defra"/>
    <s v="Defra (2021)"/>
    <n v="2021"/>
    <n v="2019"/>
    <n v="0"/>
    <n v="0"/>
    <x v="26"/>
    <s v="Office"/>
  </r>
  <r>
    <n v="5016"/>
    <s v="Top of Hierarchy &gt; South America &gt; Vantage_Lima"/>
    <x v="0"/>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0"/>
    <s v="CO2"/>
    <n v="0"/>
    <n v="2.6680700000000002"/>
    <s v="LITRES"/>
    <n v="1"/>
    <n v="0"/>
    <s v="AR4"/>
    <s v="Defra"/>
    <s v="Defra (2021)"/>
    <n v="2021"/>
    <n v="2019"/>
    <n v="0"/>
    <n v="0"/>
    <x v="26"/>
    <s v="Office"/>
  </r>
  <r>
    <n v="5016"/>
    <s v="Top of Hierarchy &gt; South America &gt; Vantage_Lima"/>
    <x v="0"/>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0"/>
    <s v="CO2E"/>
    <n v="0"/>
    <n v="2.70553"/>
    <s v="LITRES"/>
    <n v="1"/>
    <n v="0"/>
    <s v="AR4"/>
    <s v="Defra"/>
    <s v="Defra (2021)"/>
    <n v="2021"/>
    <n v="2019"/>
    <n v="0"/>
    <n v="0"/>
    <x v="26"/>
    <s v="Office"/>
  </r>
  <r>
    <n v="5016"/>
    <s v="Top of Hierarchy &gt; South America &gt; Vantage_Lima"/>
    <x v="0"/>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0"/>
    <s v="N2O"/>
    <n v="0"/>
    <n v="3.7199999999999997E-2"/>
    <s v="LITRES"/>
    <n v="1"/>
    <n v="0"/>
    <s v="AR4"/>
    <s v="Defra"/>
    <s v="Defra (2021)"/>
    <n v="2021"/>
    <n v="2019"/>
    <n v="0"/>
    <n v="0"/>
    <x v="26"/>
    <s v="Office"/>
  </r>
  <r>
    <n v="5016"/>
    <s v="Top of Hierarchy &gt; South America &gt; Vantage_Lima"/>
    <x v="0"/>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1"/>
    <s v="CH4"/>
    <n v="0"/>
    <n v="2.5999999999999998E-4"/>
    <s v="LITRES"/>
    <n v="1"/>
    <n v="0"/>
    <s v="AR4"/>
    <s v="Defra"/>
    <s v="Defra (2021)"/>
    <n v="2021"/>
    <n v="2019"/>
    <n v="0"/>
    <n v="0"/>
    <x v="26"/>
    <s v="Office"/>
  </r>
  <r>
    <n v="5016"/>
    <s v="Top of Hierarchy &gt; South America &gt; Vantage_Lima"/>
    <x v="0"/>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1"/>
    <s v="CO2"/>
    <n v="0"/>
    <n v="2.6680700000000002"/>
    <s v="LITRES"/>
    <n v="1"/>
    <n v="0"/>
    <s v="AR4"/>
    <s v="Defra"/>
    <s v="Defra (2021)"/>
    <n v="2021"/>
    <n v="2019"/>
    <n v="0"/>
    <n v="0"/>
    <x v="26"/>
    <s v="Office"/>
  </r>
  <r>
    <n v="5016"/>
    <s v="Top of Hierarchy &gt; South America &gt; Vantage_Lima"/>
    <x v="0"/>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1"/>
    <s v="CO2E"/>
    <n v="0"/>
    <n v="2.70553"/>
    <s v="LITRES"/>
    <n v="1"/>
    <n v="0"/>
    <s v="AR4"/>
    <s v="Defra"/>
    <s v="Defra (2021)"/>
    <n v="2021"/>
    <n v="2019"/>
    <n v="0"/>
    <n v="0"/>
    <x v="26"/>
    <s v="Office"/>
  </r>
  <r>
    <n v="5016"/>
    <s v="Top of Hierarchy &gt; South America &gt; Vantage_Lima"/>
    <x v="0"/>
    <x v="1"/>
    <d v="2021-01-01T00:00:00"/>
    <d v="2021-12-31T00:00:00"/>
    <x v="1"/>
    <d v="2021-01-01T00:00:00"/>
    <d v="2021-12-31T00:00:00"/>
    <s v="Diesel (100% mineral diesel)"/>
    <n v="0"/>
    <s v="litres"/>
    <x v="0"/>
    <m/>
    <s v="2023-02-27, 16:27"/>
    <s v="2023-07-20, 00:40"/>
    <n v="2021"/>
    <s v="diesel_100p_mineral_diesel"/>
    <s v="Diesel (100% Mineral Diesel)"/>
    <s v="model"/>
    <b v="0"/>
    <s v="FUELS; LIQUID FUELS; DIESEL (100% MINERAL DIESEL)"/>
    <x v="2"/>
    <x v="0"/>
    <m/>
    <m/>
    <m/>
    <m/>
    <n v="1"/>
    <s v="N2O"/>
    <n v="0"/>
    <n v="3.7199999999999997E-2"/>
    <s v="LITRES"/>
    <n v="1"/>
    <n v="0"/>
    <s v="AR4"/>
    <s v="Defra"/>
    <s v="Defra (2021)"/>
    <n v="2021"/>
    <n v="2019"/>
    <n v="0"/>
    <n v="0"/>
    <x v="26"/>
    <s v="Office"/>
  </r>
  <r>
    <n v="5016"/>
    <s v="Top of Hierarchy &gt; South America &gt; Vantage_Lima"/>
    <x v="0"/>
    <x v="1"/>
    <d v="2021-01-01T00:00:00"/>
    <d v="2021-12-31T00:00:00"/>
    <x v="1"/>
    <d v="2021-01-01T00:00:00"/>
    <d v="2021-12-31T00:00:00"/>
    <s v="Diesel (100% mineral diesel)"/>
    <n v="0"/>
    <s v="litres"/>
    <x v="0"/>
    <m/>
    <s v="2023-02-27, 16:27"/>
    <s v="2023-07-20, 00:40"/>
    <n v="2021"/>
    <s v="diesel_100p_mineral_diesel__wtt"/>
    <s v="Diesel (100% Mineral Diesel) WTT"/>
    <s v="wtt"/>
    <b v="0"/>
    <s v="WTT- FUELS; WTT- LIQUID FUELS; DIESEL (100% MINERAL DIESEL)"/>
    <x v="1"/>
    <x v="1"/>
    <m/>
    <m/>
    <m/>
    <m/>
    <n v="0"/>
    <s v="CO2E"/>
    <n v="0"/>
    <n v="0.62873999999999997"/>
    <s v="LITRES"/>
    <n v="1"/>
    <n v="0"/>
    <s v="AR4"/>
    <s v="Defra"/>
    <s v="Defra (2021)"/>
    <n v="2021"/>
    <n v="2019"/>
    <n v="0"/>
    <n v="0"/>
    <x v="26"/>
    <s v="Office"/>
  </r>
  <r>
    <n v="5016"/>
    <s v="Top of Hierarchy &gt; South America &gt; Vantage_Lima"/>
    <x v="0"/>
    <x v="1"/>
    <d v="2021-01-01T00:00:00"/>
    <d v="2021-12-31T00:00:00"/>
    <x v="1"/>
    <d v="2021-01-01T00:00:00"/>
    <d v="2021-12-31T00:00:00"/>
    <s v="Diesel (100% mineral diesel)"/>
    <n v="0"/>
    <s v="litres"/>
    <x v="0"/>
    <m/>
    <s v="2023-02-27, 16:27"/>
    <s v="2023-07-20, 00:40"/>
    <n v="2021"/>
    <s v="diesel_100p_mineral_diesel__wtt"/>
    <s v="Diesel (100% Mineral Diesel) WTT"/>
    <s v="wtt"/>
    <b v="0"/>
    <s v="WTT- FUELS; WTT- LIQUID FUELS; DIESEL (100% MINERAL DIESEL)"/>
    <x v="1"/>
    <x v="1"/>
    <m/>
    <m/>
    <m/>
    <m/>
    <n v="1"/>
    <s v="CO2E"/>
    <n v="0"/>
    <n v="0.62873999999999997"/>
    <s v="LITRES"/>
    <n v="1"/>
    <n v="0"/>
    <s v="AR4"/>
    <s v="Defra"/>
    <s v="Defra (2021)"/>
    <n v="2021"/>
    <n v="2019"/>
    <n v="0"/>
    <n v="0"/>
    <x v="26"/>
    <s v="Office"/>
  </r>
  <r>
    <n v="5041"/>
    <s v="Top of Hierarchy &gt; South America &gt; Vantage_Lima"/>
    <x v="0"/>
    <x v="1"/>
    <d v="2021-01-01T00:00:00"/>
    <d v="2021-12-31T00:00:00"/>
    <x v="4"/>
    <d v="2021-01-01T00:00:00"/>
    <d v="2021-12-31T00:00:00"/>
    <s v="HFC-134a"/>
    <n v="0.47"/>
    <s v="kilograms"/>
    <x v="0"/>
    <m/>
    <s v="2023-02-27, 16:28"/>
    <s v="2023-07-20, 00:40"/>
    <n v="2021"/>
    <s v="hfc-134a"/>
    <s v="HFC-134A"/>
    <s v="model"/>
    <b v="0"/>
    <s v="REFRIGERANT: R-134A"/>
    <x v="2"/>
    <x v="0"/>
    <m/>
    <m/>
    <m/>
    <m/>
    <n v="0"/>
    <s v="CO2E"/>
    <n v="672.1"/>
    <n v="1430"/>
    <s v="KG"/>
    <n v="1"/>
    <n v="0.47"/>
    <s v="AR4"/>
    <s v="IPCC"/>
    <s v="IPCC (2021)"/>
    <n v="2021"/>
    <n v="2007"/>
    <n v="0.67210000000000003"/>
    <n v="0"/>
    <x v="26"/>
    <s v="Office"/>
  </r>
  <r>
    <n v="5041"/>
    <s v="Top of Hierarchy &gt; South America &gt; Vantage_Lima"/>
    <x v="0"/>
    <x v="1"/>
    <d v="2021-01-01T00:00:00"/>
    <d v="2021-12-31T00:00:00"/>
    <x v="4"/>
    <d v="2021-01-01T00:00:00"/>
    <d v="2021-12-31T00:00:00"/>
    <s v="HFC-134a"/>
    <n v="0.47"/>
    <s v="kilograms"/>
    <x v="0"/>
    <m/>
    <s v="2023-02-27, 16:28"/>
    <s v="2023-07-20, 00:40"/>
    <n v="2021"/>
    <s v="hfc-134a"/>
    <s v="HFC-134A"/>
    <s v="model"/>
    <b v="0"/>
    <s v="REFRIGERANT: R-134A"/>
    <x v="2"/>
    <x v="0"/>
    <m/>
    <m/>
    <m/>
    <m/>
    <n v="1"/>
    <s v="CO2E"/>
    <n v="672.1"/>
    <n v="1430"/>
    <s v="KG"/>
    <n v="1"/>
    <n v="0.47"/>
    <s v="AR4"/>
    <s v="IPCC"/>
    <s v="IPCC (2021)"/>
    <n v="2021"/>
    <n v="2007"/>
    <n v="0"/>
    <n v="0.67210000000000003"/>
    <x v="26"/>
    <s v="Office"/>
  </r>
  <r>
    <n v="237705"/>
    <s v="Top of Hierarchy &gt; South America &gt; Vantage_Santiago"/>
    <x v="4"/>
    <x v="0"/>
    <d v="2022-01-01T00:00:00"/>
    <d v="2022-12-31T00:00:00"/>
    <x v="0"/>
    <d v="2022-01-01T00:00:00"/>
    <d v="2022-12-31T00:00:00"/>
    <s v="Electricity (non-renewable)"/>
    <n v="12116"/>
    <s v="Kilowatt hours"/>
    <x v="1"/>
    <m/>
    <s v="2023-04-20, 21:02"/>
    <s v="2023-07-20, 00:40"/>
    <n v="2022"/>
    <s v="electricity"/>
    <s v="Electricity"/>
    <s v="model"/>
    <b v="0"/>
    <s v="ELECTRICITY; CHILE"/>
    <x v="0"/>
    <x v="0"/>
    <s v="Americas"/>
    <s v="Latin America and the Caribbean"/>
    <s v="CL"/>
    <m/>
    <n v="0"/>
    <s v="CH4"/>
    <n v="1.2116"/>
    <s v="RESTRICTED"/>
    <s v="KWH"/>
    <n v="1"/>
    <n v="12116"/>
    <s v="AR4"/>
    <s v="IEA"/>
    <s v="IEA (2022)"/>
    <n v="2022"/>
    <n v="2020"/>
    <n v="0"/>
    <n v="0"/>
    <x v="27"/>
    <s v="Unspecified Facility Type"/>
  </r>
  <r>
    <n v="237705"/>
    <s v="Top of Hierarchy &gt; South America &gt; Vantage_Santiago"/>
    <x v="4"/>
    <x v="0"/>
    <d v="2022-01-01T00:00:00"/>
    <d v="2022-12-31T00:00:00"/>
    <x v="0"/>
    <d v="2022-01-01T00:00:00"/>
    <d v="2022-12-31T00:00:00"/>
    <s v="Electricity (non-renewable)"/>
    <n v="12116"/>
    <s v="Kilowatt hours"/>
    <x v="1"/>
    <m/>
    <s v="2023-04-20, 21:02"/>
    <s v="2023-07-20, 00:40"/>
    <n v="2022"/>
    <s v="electricity"/>
    <s v="Electricity"/>
    <s v="model"/>
    <b v="0"/>
    <s v="ELECTRICITY; CHILE"/>
    <x v="0"/>
    <x v="0"/>
    <s v="Americas"/>
    <s v="Latin America and the Caribbean"/>
    <s v="CL"/>
    <m/>
    <n v="0"/>
    <s v="CO2"/>
    <n v="5065.6995999999999"/>
    <s v="RESTRICTED"/>
    <s v="KWH"/>
    <n v="1"/>
    <n v="12116"/>
    <s v="AR4"/>
    <s v="IEA"/>
    <s v="IEA (2022)"/>
    <n v="2022"/>
    <n v="2020"/>
    <n v="0"/>
    <n v="0"/>
    <x v="27"/>
    <s v="Unspecified Facility Type"/>
  </r>
  <r>
    <n v="237705"/>
    <s v="Top of Hierarchy &gt; South America &gt; Vantage_Santiago"/>
    <x v="4"/>
    <x v="0"/>
    <d v="2022-01-01T00:00:00"/>
    <d v="2022-12-31T00:00:00"/>
    <x v="0"/>
    <d v="2022-01-01T00:00:00"/>
    <d v="2022-12-31T00:00:00"/>
    <s v="Electricity (non-renewable)"/>
    <n v="12116"/>
    <s v="Kilowatt hours"/>
    <x v="1"/>
    <m/>
    <s v="2023-04-20, 21:02"/>
    <s v="2023-07-20, 00:40"/>
    <n v="2022"/>
    <s v="electricity"/>
    <s v="Electricity"/>
    <s v="model"/>
    <b v="0"/>
    <s v="ELECTRICITY; CHILE"/>
    <x v="0"/>
    <x v="0"/>
    <s v="Americas"/>
    <s v="Latin America and the Caribbean"/>
    <s v="CL"/>
    <m/>
    <n v="0"/>
    <s v="CO2E"/>
    <n v="5086.2968000000001"/>
    <s v="RESTRICTED"/>
    <s v="KWH"/>
    <n v="1"/>
    <n v="12116"/>
    <s v="AR4"/>
    <s v="IEA"/>
    <s v="IEA (2022)"/>
    <n v="2022"/>
    <n v="2020"/>
    <n v="5.0862968000000004"/>
    <n v="0"/>
    <x v="27"/>
    <s v="Unspecified Facility Type"/>
  </r>
  <r>
    <n v="237705"/>
    <s v="Top of Hierarchy &gt; South America &gt; Vantage_Santiago"/>
    <x v="4"/>
    <x v="0"/>
    <d v="2022-01-01T00:00:00"/>
    <d v="2022-12-31T00:00:00"/>
    <x v="0"/>
    <d v="2022-01-01T00:00:00"/>
    <d v="2022-12-31T00:00:00"/>
    <s v="Electricity (non-renewable)"/>
    <n v="12116"/>
    <s v="Kilowatt hours"/>
    <x v="1"/>
    <m/>
    <s v="2023-04-20, 21:02"/>
    <s v="2023-07-20, 00:40"/>
    <n v="2022"/>
    <s v="electricity"/>
    <s v="Electricity"/>
    <s v="model"/>
    <b v="0"/>
    <s v="ELECTRICITY; CHILE"/>
    <x v="0"/>
    <x v="0"/>
    <s v="Americas"/>
    <s v="Latin America and the Caribbean"/>
    <s v="CL"/>
    <m/>
    <n v="0"/>
    <s v="N2O"/>
    <n v="19.3856"/>
    <s v="RESTRICTED"/>
    <s v="KWH"/>
    <n v="1"/>
    <n v="12116"/>
    <s v="AR4"/>
    <s v="IEA"/>
    <s v="IEA (2022)"/>
    <n v="2022"/>
    <n v="2020"/>
    <n v="0"/>
    <n v="0"/>
    <x v="27"/>
    <s v="Unspecified Facility Type"/>
  </r>
  <r>
    <n v="237705"/>
    <s v="Top of Hierarchy &gt; South America &gt; Vantage_Santiago"/>
    <x v="4"/>
    <x v="0"/>
    <d v="2022-01-01T00:00:00"/>
    <d v="2022-12-31T00:00:00"/>
    <x v="0"/>
    <d v="2022-01-01T00:00:00"/>
    <d v="2022-12-31T00:00:00"/>
    <s v="Electricity (non-renewable)"/>
    <n v="12116"/>
    <s v="Kilowatt hours"/>
    <x v="1"/>
    <m/>
    <s v="2023-04-20, 21:02"/>
    <s v="2023-07-20, 00:40"/>
    <n v="2022"/>
    <s v="electricity"/>
    <s v="Electricity"/>
    <s v="model"/>
    <b v="0"/>
    <s v="ELECTRICITY; CHILE"/>
    <x v="0"/>
    <x v="0"/>
    <s v="Americas"/>
    <s v="Latin America and the Caribbean"/>
    <s v="CL"/>
    <m/>
    <n v="1"/>
    <s v="CH4"/>
    <n v="1.2116"/>
    <s v="RESTRICTED"/>
    <s v="KWH"/>
    <n v="1"/>
    <n v="12116"/>
    <s v="AR4"/>
    <s v="IEA"/>
    <s v="IEA (2022)"/>
    <n v="2022"/>
    <n v="2020"/>
    <n v="0"/>
    <n v="0"/>
    <x v="27"/>
    <s v="Unspecified Facility Type"/>
  </r>
  <r>
    <n v="237705"/>
    <s v="Top of Hierarchy &gt; South America &gt; Vantage_Santiago"/>
    <x v="4"/>
    <x v="0"/>
    <d v="2022-01-01T00:00:00"/>
    <d v="2022-12-31T00:00:00"/>
    <x v="0"/>
    <d v="2022-01-01T00:00:00"/>
    <d v="2022-12-31T00:00:00"/>
    <s v="Electricity (non-renewable)"/>
    <n v="12116"/>
    <s v="Kilowatt hours"/>
    <x v="1"/>
    <m/>
    <s v="2023-04-20, 21:02"/>
    <s v="2023-07-20, 00:40"/>
    <n v="2022"/>
    <s v="electricity"/>
    <s v="Electricity"/>
    <s v="model"/>
    <b v="0"/>
    <s v="ELECTRICITY; CHILE"/>
    <x v="0"/>
    <x v="0"/>
    <s v="Americas"/>
    <s v="Latin America and the Caribbean"/>
    <s v="CL"/>
    <m/>
    <n v="1"/>
    <s v="CO2"/>
    <n v="5065.6995999999999"/>
    <s v="RESTRICTED"/>
    <s v="KWH"/>
    <n v="1"/>
    <n v="12116"/>
    <s v="AR4"/>
    <s v="IEA"/>
    <s v="IEA (2022)"/>
    <n v="2022"/>
    <n v="2020"/>
    <n v="0"/>
    <n v="0"/>
    <x v="27"/>
    <s v="Unspecified Facility Type"/>
  </r>
  <r>
    <n v="237705"/>
    <s v="Top of Hierarchy &gt; South America &gt; Vantage_Santiago"/>
    <x v="4"/>
    <x v="0"/>
    <d v="2022-01-01T00:00:00"/>
    <d v="2022-12-31T00:00:00"/>
    <x v="0"/>
    <d v="2022-01-01T00:00:00"/>
    <d v="2022-12-31T00:00:00"/>
    <s v="Electricity (non-renewable)"/>
    <n v="12116"/>
    <s v="Kilowatt hours"/>
    <x v="1"/>
    <m/>
    <s v="2023-04-20, 21:02"/>
    <s v="2023-07-20, 00:40"/>
    <n v="2022"/>
    <s v="electricity"/>
    <s v="Electricity"/>
    <s v="model"/>
    <b v="0"/>
    <s v="ELECTRICITY; CHILE"/>
    <x v="0"/>
    <x v="0"/>
    <s v="Americas"/>
    <s v="Latin America and the Caribbean"/>
    <s v="CL"/>
    <m/>
    <n v="1"/>
    <s v="CO2E"/>
    <n v="5086.2968000000001"/>
    <s v="RESTRICTED"/>
    <s v="KWH"/>
    <n v="1"/>
    <n v="12116"/>
    <s v="AR4"/>
    <s v="IEA"/>
    <s v="IEA (2022)"/>
    <n v="2022"/>
    <n v="2020"/>
    <n v="0"/>
    <n v="5.0862968000000004"/>
    <x v="27"/>
    <s v="Unspecified Facility Type"/>
  </r>
  <r>
    <n v="237705"/>
    <s v="Top of Hierarchy &gt; South America &gt; Vantage_Santiago"/>
    <x v="4"/>
    <x v="0"/>
    <d v="2022-01-01T00:00:00"/>
    <d v="2022-12-31T00:00:00"/>
    <x v="0"/>
    <d v="2022-01-01T00:00:00"/>
    <d v="2022-12-31T00:00:00"/>
    <s v="Electricity (non-renewable)"/>
    <n v="12116"/>
    <s v="Kilowatt hours"/>
    <x v="1"/>
    <m/>
    <s v="2023-04-20, 21:02"/>
    <s v="2023-07-20, 00:40"/>
    <n v="2022"/>
    <s v="electricity"/>
    <s v="Electricity"/>
    <s v="model"/>
    <b v="0"/>
    <s v="ELECTRICITY; CHILE"/>
    <x v="0"/>
    <x v="0"/>
    <s v="Americas"/>
    <s v="Latin America and the Caribbean"/>
    <s v="CL"/>
    <m/>
    <n v="1"/>
    <s v="N2O"/>
    <n v="19.3856"/>
    <s v="RESTRICTED"/>
    <s v="KWH"/>
    <n v="1"/>
    <n v="12116"/>
    <s v="AR4"/>
    <s v="IEA"/>
    <s v="IEA (2022)"/>
    <n v="2022"/>
    <n v="2020"/>
    <n v="0"/>
    <n v="0"/>
    <x v="27"/>
    <s v="Unspecified Facility Type"/>
  </r>
  <r>
    <n v="237705"/>
    <s v="Top of Hierarchy &gt; South America &gt; Vantage_Santiago"/>
    <x v="4"/>
    <x v="0"/>
    <d v="2022-01-01T00:00:00"/>
    <d v="2022-12-31T00:00:00"/>
    <x v="0"/>
    <d v="2022-01-01T00:00:00"/>
    <d v="2022-12-31T00:00:00"/>
    <s v="Electricity (non-renewable)"/>
    <n v="12116"/>
    <s v="Kilowatt hours"/>
    <x v="1"/>
    <m/>
    <s v="2023-04-20, 21:02"/>
    <s v="2023-07-20, 00:40"/>
    <n v="2022"/>
    <s v="electricity__t+d__wtt"/>
    <s v="Electricity T&amp;D WTT"/>
    <s v="t+d_wtt"/>
    <b v="0"/>
    <s v="ELECTRICITY T&amp;D WTT; CHILE"/>
    <x v="1"/>
    <x v="1"/>
    <s v="Americas"/>
    <s v="Latin America and the Caribbean"/>
    <s v="CL"/>
    <m/>
    <n v="0"/>
    <s v="CO2E"/>
    <n v="43.11895166"/>
    <n v="3.5588439999999998E-3"/>
    <s v="KWH"/>
    <n v="1"/>
    <n v="12116"/>
    <s v="AR4"/>
    <s v="Anthesis"/>
    <s v="Anthesis (2022)"/>
    <n v="2022"/>
    <n v="2020"/>
    <n v="4.3118951660000002E-2"/>
    <n v="0"/>
    <x v="27"/>
    <s v="Unspecified Facility Type"/>
  </r>
  <r>
    <n v="237705"/>
    <s v="Top of Hierarchy &gt; South America &gt; Vantage_Santiago"/>
    <x v="4"/>
    <x v="0"/>
    <d v="2022-01-01T00:00:00"/>
    <d v="2022-12-31T00:00:00"/>
    <x v="0"/>
    <d v="2022-01-01T00:00:00"/>
    <d v="2022-12-31T00:00:00"/>
    <s v="Electricity (non-renewable)"/>
    <n v="12116"/>
    <s v="Kilowatt hours"/>
    <x v="1"/>
    <m/>
    <s v="2023-04-20, 21:02"/>
    <s v="2023-07-20, 00:40"/>
    <n v="2022"/>
    <s v="electricity__t+d__wtt"/>
    <s v="Electricity T&amp;D WTT"/>
    <s v="t+d_wtt"/>
    <b v="0"/>
    <s v="ELECTRICITY T&amp;D WTT; CHILE"/>
    <x v="1"/>
    <x v="1"/>
    <s v="Americas"/>
    <s v="Latin America and the Caribbean"/>
    <s v="CL"/>
    <m/>
    <n v="1"/>
    <s v="CO2E"/>
    <n v="43.11895166"/>
    <n v="3.5588439999999998E-3"/>
    <s v="KWH"/>
    <n v="1"/>
    <n v="12116"/>
    <s v="AR4"/>
    <s v="Anthesis"/>
    <s v="Anthesis (2022)"/>
    <n v="2022"/>
    <n v="2020"/>
    <n v="0"/>
    <n v="4.3118951660000002E-2"/>
    <x v="27"/>
    <s v="Unspecified Facility Type"/>
  </r>
  <r>
    <n v="237705"/>
    <s v="Top of Hierarchy &gt; South America &gt; Vantage_Santiago"/>
    <x v="4"/>
    <x v="0"/>
    <d v="2022-01-01T00:00:00"/>
    <d v="2022-12-31T00:00:00"/>
    <x v="0"/>
    <d v="2022-01-01T00:00:00"/>
    <d v="2022-12-31T00:00:00"/>
    <s v="Electricity (non-renewable)"/>
    <n v="12116"/>
    <s v="Kilowatt hours"/>
    <x v="1"/>
    <m/>
    <s v="2023-04-20, 21:02"/>
    <s v="2023-07-20, 00:40"/>
    <n v="2022"/>
    <s v="electricity__wtt"/>
    <s v="Electricity WTT"/>
    <s v="wtt"/>
    <b v="0"/>
    <s v="ELECTRICITY WTT; CHILE"/>
    <x v="1"/>
    <x v="1"/>
    <s v="Americas"/>
    <s v="Latin America and the Caribbean"/>
    <s v="CL"/>
    <m/>
    <n v="0"/>
    <s v="CO2E"/>
    <n v="1077.4604710000001"/>
    <n v="8.8928727999999999E-2"/>
    <s v="KWH"/>
    <n v="1"/>
    <n v="12116"/>
    <s v="AR4"/>
    <s v="Anthesis"/>
    <s v="Anthesis (2022)"/>
    <n v="2022"/>
    <n v="2020"/>
    <n v="1.0774604710000002"/>
    <n v="0"/>
    <x v="27"/>
    <s v="Unspecified Facility Type"/>
  </r>
  <r>
    <n v="237705"/>
    <s v="Top of Hierarchy &gt; South America &gt; Vantage_Santiago"/>
    <x v="4"/>
    <x v="0"/>
    <d v="2022-01-01T00:00:00"/>
    <d v="2022-12-31T00:00:00"/>
    <x v="0"/>
    <d v="2022-01-01T00:00:00"/>
    <d v="2022-12-31T00:00:00"/>
    <s v="Electricity (non-renewable)"/>
    <n v="12116"/>
    <s v="Kilowatt hours"/>
    <x v="1"/>
    <m/>
    <s v="2023-04-20, 21:02"/>
    <s v="2023-07-20, 00:40"/>
    <n v="2022"/>
    <s v="electricity__wtt"/>
    <s v="Electricity WTT"/>
    <s v="wtt"/>
    <b v="0"/>
    <s v="ELECTRICITY WTT; CHILE"/>
    <x v="1"/>
    <x v="1"/>
    <s v="Americas"/>
    <s v="Latin America and the Caribbean"/>
    <s v="CL"/>
    <m/>
    <n v="1"/>
    <s v="CO2E"/>
    <n v="1077.4604710000001"/>
    <n v="8.8928727999999999E-2"/>
    <s v="KWH"/>
    <n v="1"/>
    <n v="12116"/>
    <s v="AR4"/>
    <s v="Anthesis"/>
    <s v="Anthesis (2022)"/>
    <n v="2022"/>
    <n v="2020"/>
    <n v="0"/>
    <n v="1.0774604710000002"/>
    <x v="27"/>
    <s v="Unspecified Facility Type"/>
  </r>
  <r>
    <n v="237705"/>
    <s v="Top of Hierarchy &gt; South America &gt; Vantage_Santiago"/>
    <x v="4"/>
    <x v="0"/>
    <d v="2022-01-01T00:00:00"/>
    <d v="2022-12-31T00:00:00"/>
    <x v="0"/>
    <d v="2022-01-01T00:00:00"/>
    <d v="2022-12-31T00:00:00"/>
    <s v="Electricity (non-renewable)"/>
    <n v="12116"/>
    <s v="Kilowatt hours"/>
    <x v="1"/>
    <m/>
    <s v="2023-04-20, 21:02"/>
    <s v="2023-07-20, 00:40"/>
    <n v="2022"/>
    <s v="electricity__t+d"/>
    <s v="Electricity T&amp;D"/>
    <s v="t+d"/>
    <b v="0"/>
    <s v="ELECTRICITY; TRANSMISSION AND DISTRIBUTION; CHILE"/>
    <x v="1"/>
    <x v="1"/>
    <s v="Americas"/>
    <s v="Latin America and the Caribbean"/>
    <s v="CL"/>
    <m/>
    <n v="0"/>
    <s v="CO2E"/>
    <n v="203.5488"/>
    <s v="RESTRICTED"/>
    <s v="KWH"/>
    <n v="1"/>
    <n v="12116"/>
    <s v="AR4"/>
    <s v="IEA"/>
    <s v="IEA (2022)"/>
    <n v="2022"/>
    <n v="2020"/>
    <n v="0.2035488"/>
    <n v="0"/>
    <x v="27"/>
    <s v="Unspecified Facility Type"/>
  </r>
  <r>
    <n v="237705"/>
    <s v="Top of Hierarchy &gt; South America &gt; Vantage_Santiago"/>
    <x v="4"/>
    <x v="0"/>
    <d v="2022-01-01T00:00:00"/>
    <d v="2022-12-31T00:00:00"/>
    <x v="0"/>
    <d v="2022-01-01T00:00:00"/>
    <d v="2022-12-31T00:00:00"/>
    <s v="Electricity (non-renewable)"/>
    <n v="12116"/>
    <s v="Kilowatt hours"/>
    <x v="1"/>
    <m/>
    <s v="2023-04-20, 21:02"/>
    <s v="2023-07-20, 00:40"/>
    <n v="2022"/>
    <s v="electricity__t+d"/>
    <s v="Electricity T&amp;D"/>
    <s v="t+d"/>
    <b v="0"/>
    <s v="ELECTRICITY; TRANSMISSION AND DISTRIBUTION; CHILE"/>
    <x v="1"/>
    <x v="1"/>
    <s v="Americas"/>
    <s v="Latin America and the Caribbean"/>
    <s v="CL"/>
    <m/>
    <n v="1"/>
    <s v="CO2E"/>
    <n v="203.5488"/>
    <s v="RESTRICTED"/>
    <s v="KWH"/>
    <n v="1"/>
    <n v="12116"/>
    <s v="AR4"/>
    <s v="IEA"/>
    <s v="IEA (2022)"/>
    <n v="2022"/>
    <n v="2020"/>
    <n v="0"/>
    <n v="0.2035488"/>
    <x v="27"/>
    <s v="Unspecified Facility Type"/>
  </r>
  <r>
    <n v="237700"/>
    <s v="Top of Hierarchy &gt; South America &gt; Vantage_Santiago"/>
    <x v="4"/>
    <x v="0"/>
    <d v="2022-01-01T00:00:00"/>
    <d v="2022-12-31T00:00:00"/>
    <x v="3"/>
    <d v="2022-01-01T00:00:00"/>
    <d v="2022-12-31T00:00:00"/>
    <s v="Natural gas"/>
    <n v="0"/>
    <s v="gigajoules"/>
    <x v="1"/>
    <m/>
    <s v="2023-04-20, 20:28"/>
    <s v="2023-07-20, 00:40"/>
    <n v="2022"/>
    <s v="natural_gas"/>
    <s v="Natural Gas"/>
    <s v="model"/>
    <b v="0"/>
    <s v="NATURAL GAS, NATURAL GAS"/>
    <x v="2"/>
    <x v="0"/>
    <s v="Americas"/>
    <m/>
    <m/>
    <m/>
    <n v="0"/>
    <s v="CH4"/>
    <n v="0"/>
    <n v="2.5000000000000001E-2"/>
    <s v="MMBTU"/>
    <n v="0.94781711999999996"/>
    <n v="0"/>
    <s v="AR4"/>
    <s v="USEPA"/>
    <s v="USEPA Emission Factors Hub (Last Modified: March 2020)"/>
    <n v="2022"/>
    <n v="2021"/>
    <n v="0"/>
    <n v="0"/>
    <x v="27"/>
    <s v="Unspecified Facility Type"/>
  </r>
  <r>
    <n v="237700"/>
    <s v="Top of Hierarchy &gt; South America &gt; Vantage_Santiago"/>
    <x v="4"/>
    <x v="0"/>
    <d v="2022-01-01T00:00:00"/>
    <d v="2022-12-31T00:00:00"/>
    <x v="3"/>
    <d v="2022-01-01T00:00:00"/>
    <d v="2022-12-31T00:00:00"/>
    <s v="Natural gas"/>
    <n v="0"/>
    <s v="gigajoules"/>
    <x v="1"/>
    <m/>
    <s v="2023-04-20, 20:28"/>
    <s v="2023-07-20, 00:40"/>
    <n v="2022"/>
    <s v="natural_gas"/>
    <s v="Natural Gas"/>
    <s v="model"/>
    <b v="0"/>
    <s v="NATURAL GAS, NATURAL GAS"/>
    <x v="2"/>
    <x v="0"/>
    <s v="Americas"/>
    <m/>
    <m/>
    <m/>
    <n v="0"/>
    <s v="CO2"/>
    <n v="0"/>
    <n v="53.06"/>
    <s v="MMBTU"/>
    <n v="0.94781711999999996"/>
    <n v="0"/>
    <s v="AR4"/>
    <s v="USEPA"/>
    <s v="USEPA (2022)"/>
    <n v="2022"/>
    <n v="2022"/>
    <n v="0"/>
    <n v="0"/>
    <x v="27"/>
    <s v="Unspecified Facility Type"/>
  </r>
  <r>
    <n v="237700"/>
    <s v="Top of Hierarchy &gt; South America &gt; Vantage_Santiago"/>
    <x v="4"/>
    <x v="0"/>
    <d v="2022-01-01T00:00:00"/>
    <d v="2022-12-31T00:00:00"/>
    <x v="3"/>
    <d v="2022-01-01T00:00:00"/>
    <d v="2022-12-31T00:00:00"/>
    <s v="Natural gas"/>
    <n v="0"/>
    <s v="gigajoules"/>
    <x v="1"/>
    <m/>
    <s v="2023-04-20, 20:28"/>
    <s v="2023-07-20, 00:40"/>
    <n v="2022"/>
    <s v="natural_gas"/>
    <s v="Natural Gas"/>
    <s v="model"/>
    <b v="0"/>
    <s v="NATURAL GAS, NATURAL GAS"/>
    <x v="2"/>
    <x v="0"/>
    <s v="Americas"/>
    <m/>
    <m/>
    <m/>
    <n v="0"/>
    <s v="CO2E"/>
    <n v="0"/>
    <n v="53.114800000000002"/>
    <s v="MMBTU"/>
    <n v="0.94781711999999996"/>
    <n v="0"/>
    <s v="AR4"/>
    <s v="USEPA"/>
    <s v="USEPA Emission Factors Hub (Last Modified: March 2020)"/>
    <n v="2022"/>
    <n v="2021"/>
    <n v="0"/>
    <n v="0"/>
    <x v="27"/>
    <s v="Unspecified Facility Type"/>
  </r>
  <r>
    <n v="237700"/>
    <s v="Top of Hierarchy &gt; South America &gt; Vantage_Santiago"/>
    <x v="4"/>
    <x v="0"/>
    <d v="2022-01-01T00:00:00"/>
    <d v="2022-12-31T00:00:00"/>
    <x v="3"/>
    <d v="2022-01-01T00:00:00"/>
    <d v="2022-12-31T00:00:00"/>
    <s v="Natural gas"/>
    <n v="0"/>
    <s v="gigajoules"/>
    <x v="1"/>
    <m/>
    <s v="2023-04-20, 20:28"/>
    <s v="2023-07-20, 00:40"/>
    <n v="2022"/>
    <s v="natural_gas"/>
    <s v="Natural Gas"/>
    <s v="model"/>
    <b v="0"/>
    <s v="NATURAL GAS, NATURAL GAS"/>
    <x v="2"/>
    <x v="0"/>
    <s v="Americas"/>
    <m/>
    <m/>
    <m/>
    <n v="0"/>
    <s v="N2O"/>
    <n v="0"/>
    <n v="2.98E-2"/>
    <s v="MMBTU"/>
    <n v="0.94781711999999996"/>
    <n v="0"/>
    <s v="AR4"/>
    <s v="USEPA"/>
    <s v="USEPA (2022)"/>
    <n v="2022"/>
    <n v="2022"/>
    <n v="0"/>
    <n v="0"/>
    <x v="27"/>
    <s v="Unspecified Facility Type"/>
  </r>
  <r>
    <n v="237700"/>
    <s v="Top of Hierarchy &gt; South America &gt; Vantage_Santiago"/>
    <x v="4"/>
    <x v="0"/>
    <d v="2022-01-01T00:00:00"/>
    <d v="2022-12-31T00:00:00"/>
    <x v="3"/>
    <d v="2022-01-01T00:00:00"/>
    <d v="2022-12-31T00:00:00"/>
    <s v="Natural gas"/>
    <n v="0"/>
    <s v="gigajoules"/>
    <x v="1"/>
    <m/>
    <s v="2023-04-20, 20:28"/>
    <s v="2023-07-20, 00:40"/>
    <n v="2022"/>
    <s v="natural_gas"/>
    <s v="Natural Gas"/>
    <s v="model"/>
    <b v="0"/>
    <s v="NATURAL GAS, NATURAL GAS"/>
    <x v="2"/>
    <x v="0"/>
    <s v="Americas"/>
    <m/>
    <m/>
    <m/>
    <n v="1"/>
    <s v="CH4"/>
    <n v="0"/>
    <n v="2.5000000000000001E-2"/>
    <s v="MMBTU"/>
    <n v="0.94781711999999996"/>
    <n v="0"/>
    <s v="AR4"/>
    <s v="USEPA"/>
    <s v="USEPA Emission Factors Hub (Last Modified: March 2020)"/>
    <n v="2022"/>
    <n v="2021"/>
    <n v="0"/>
    <n v="0"/>
    <x v="27"/>
    <s v="Unspecified Facility Type"/>
  </r>
  <r>
    <n v="237700"/>
    <s v="Top of Hierarchy &gt; South America &gt; Vantage_Santiago"/>
    <x v="4"/>
    <x v="0"/>
    <d v="2022-01-01T00:00:00"/>
    <d v="2022-12-31T00:00:00"/>
    <x v="3"/>
    <d v="2022-01-01T00:00:00"/>
    <d v="2022-12-31T00:00:00"/>
    <s v="Natural gas"/>
    <n v="0"/>
    <s v="gigajoules"/>
    <x v="1"/>
    <m/>
    <s v="2023-04-20, 20:28"/>
    <s v="2023-07-20, 00:40"/>
    <n v="2022"/>
    <s v="natural_gas"/>
    <s v="Natural Gas"/>
    <s v="model"/>
    <b v="0"/>
    <s v="NATURAL GAS, NATURAL GAS"/>
    <x v="2"/>
    <x v="0"/>
    <s v="Americas"/>
    <m/>
    <m/>
    <m/>
    <n v="1"/>
    <s v="CO2"/>
    <n v="0"/>
    <n v="53.06"/>
    <s v="MMBTU"/>
    <n v="0.94781711999999996"/>
    <n v="0"/>
    <s v="AR4"/>
    <s v="USEPA"/>
    <s v="USEPA (2022)"/>
    <n v="2022"/>
    <n v="2022"/>
    <n v="0"/>
    <n v="0"/>
    <x v="27"/>
    <s v="Unspecified Facility Type"/>
  </r>
  <r>
    <n v="237700"/>
    <s v="Top of Hierarchy &gt; South America &gt; Vantage_Santiago"/>
    <x v="4"/>
    <x v="0"/>
    <d v="2022-01-01T00:00:00"/>
    <d v="2022-12-31T00:00:00"/>
    <x v="3"/>
    <d v="2022-01-01T00:00:00"/>
    <d v="2022-12-31T00:00:00"/>
    <s v="Natural gas"/>
    <n v="0"/>
    <s v="gigajoules"/>
    <x v="1"/>
    <m/>
    <s v="2023-04-20, 20:28"/>
    <s v="2023-07-20, 00:40"/>
    <n v="2022"/>
    <s v="natural_gas"/>
    <s v="Natural Gas"/>
    <s v="model"/>
    <b v="0"/>
    <s v="NATURAL GAS, NATURAL GAS"/>
    <x v="2"/>
    <x v="0"/>
    <s v="Americas"/>
    <m/>
    <m/>
    <m/>
    <n v="1"/>
    <s v="CO2E"/>
    <n v="0"/>
    <n v="53.114800000000002"/>
    <s v="MMBTU"/>
    <n v="0.94781711999999996"/>
    <n v="0"/>
    <s v="AR4"/>
    <s v="USEPA"/>
    <s v="USEPA Emission Factors Hub (Last Modified: March 2020)"/>
    <n v="2022"/>
    <n v="2021"/>
    <n v="0"/>
    <n v="0"/>
    <x v="27"/>
    <s v="Unspecified Facility Type"/>
  </r>
  <r>
    <n v="237700"/>
    <s v="Top of Hierarchy &gt; South America &gt; Vantage_Santiago"/>
    <x v="4"/>
    <x v="0"/>
    <d v="2022-01-01T00:00:00"/>
    <d v="2022-12-31T00:00:00"/>
    <x v="3"/>
    <d v="2022-01-01T00:00:00"/>
    <d v="2022-12-31T00:00:00"/>
    <s v="Natural gas"/>
    <n v="0"/>
    <s v="gigajoules"/>
    <x v="1"/>
    <m/>
    <s v="2023-04-20, 20:28"/>
    <s v="2023-07-20, 00:40"/>
    <n v="2022"/>
    <s v="natural_gas"/>
    <s v="Natural Gas"/>
    <s v="model"/>
    <b v="0"/>
    <s v="NATURAL GAS, NATURAL GAS"/>
    <x v="2"/>
    <x v="0"/>
    <s v="Americas"/>
    <m/>
    <m/>
    <m/>
    <n v="1"/>
    <s v="N2O"/>
    <n v="0"/>
    <n v="2.98E-2"/>
    <s v="MMBTU"/>
    <n v="0.94781711999999996"/>
    <n v="0"/>
    <s v="AR4"/>
    <s v="USEPA"/>
    <s v="USEPA (2022)"/>
    <n v="2022"/>
    <n v="2022"/>
    <n v="0"/>
    <n v="0"/>
    <x v="27"/>
    <s v="Unspecified Facility Type"/>
  </r>
  <r>
    <n v="237700"/>
    <s v="Top of Hierarchy &gt; South America &gt; Vantage_Santiago"/>
    <x v="4"/>
    <x v="0"/>
    <d v="2022-01-01T00:00:00"/>
    <d v="2022-12-31T00:00:00"/>
    <x v="3"/>
    <d v="2022-01-01T00:00:00"/>
    <d v="2022-12-31T00:00:00"/>
    <s v="Natural gas"/>
    <n v="0"/>
    <s v="gigajoules"/>
    <x v="1"/>
    <m/>
    <s v="2023-04-20, 20:28"/>
    <s v="2023-07-20, 00:40"/>
    <n v="2022"/>
    <s v="natural_gas__wtt"/>
    <s v="Natural Gas WTT"/>
    <s v="wtt"/>
    <b v="0"/>
    <s v="WTT- FUELS; GASEOUS FUELS; NATURAL GAS"/>
    <x v="1"/>
    <x v="1"/>
    <m/>
    <m/>
    <m/>
    <m/>
    <n v="0"/>
    <s v="CO2E"/>
    <n v="0"/>
    <n v="3.1099999999999999E-2"/>
    <s v="KWH (GROSS CV)"/>
    <n v="277.77777780000002"/>
    <n v="0"/>
    <s v="AR4"/>
    <s v="Defra"/>
    <s v="Defra (2022)"/>
    <n v="2022"/>
    <n v="2020"/>
    <n v="0"/>
    <n v="0"/>
    <x v="27"/>
    <s v="Unspecified Facility Type"/>
  </r>
  <r>
    <n v="237700"/>
    <s v="Top of Hierarchy &gt; South America &gt; Vantage_Santiago"/>
    <x v="4"/>
    <x v="0"/>
    <d v="2022-01-01T00:00:00"/>
    <d v="2022-12-31T00:00:00"/>
    <x v="3"/>
    <d v="2022-01-01T00:00:00"/>
    <d v="2022-12-31T00:00:00"/>
    <s v="Natural gas"/>
    <n v="0"/>
    <s v="gigajoules"/>
    <x v="1"/>
    <m/>
    <s v="2023-04-20, 20:28"/>
    <s v="2023-07-20, 00:40"/>
    <n v="2022"/>
    <s v="natural_gas__wtt"/>
    <s v="Natural Gas WTT"/>
    <s v="wtt"/>
    <b v="0"/>
    <s v="WTT- FUELS; GASEOUS FUELS; NATURAL GAS"/>
    <x v="1"/>
    <x v="1"/>
    <m/>
    <m/>
    <m/>
    <m/>
    <n v="1"/>
    <s v="CO2E"/>
    <n v="0"/>
    <n v="3.1099999999999999E-2"/>
    <s v="KWH (GROSS CV)"/>
    <n v="277.77777780000002"/>
    <n v="0"/>
    <s v="AR4"/>
    <s v="Defra"/>
    <s v="Defra (2022)"/>
    <n v="2022"/>
    <n v="2020"/>
    <n v="0"/>
    <n v="0"/>
    <x v="27"/>
    <s v="Unspecified Facility Type"/>
  </r>
  <r>
    <n v="1590460"/>
    <s v="Top of Hierarchy &gt; South America &gt; Vantage_Santiago"/>
    <x v="4"/>
    <x v="0"/>
    <d v="2022-01-01T00:00:00"/>
    <d v="2022-12-31T00:00:00"/>
    <x v="4"/>
    <d v="2022-01-01T00:00:00"/>
    <d v="2022-12-31T00:00:00"/>
    <s v="R-134A"/>
    <n v="1.34764028"/>
    <s v="kilograms"/>
    <x v="0"/>
    <s v="Estimated from square footage. Assumed R134a."/>
    <s v="2023-07-25, 17:50"/>
    <s v="2023-07-25, 17:50"/>
    <n v="2022"/>
    <s v="hfc-134a"/>
    <s v="HFC-134A"/>
    <s v="model"/>
    <b v="0"/>
    <s v="REFRIGERANT: R-134A"/>
    <x v="2"/>
    <x v="0"/>
    <m/>
    <m/>
    <m/>
    <m/>
    <n v="0"/>
    <s v="CO2E"/>
    <n v="1927.1256000000001"/>
    <n v="1430"/>
    <s v="KG"/>
    <n v="1"/>
    <n v="1.34764028"/>
    <s v="AR4"/>
    <s v="IPCC"/>
    <s v="IPCC (2021)"/>
    <n v="2022"/>
    <n v="2007"/>
    <n v="1.9271256000000001"/>
    <n v="0"/>
    <x v="27"/>
    <s v="Unspecified Facility Type"/>
  </r>
  <r>
    <n v="1590460"/>
    <s v="Top of Hierarchy &gt; South America &gt; Vantage_Santiago"/>
    <x v="4"/>
    <x v="0"/>
    <d v="2022-01-01T00:00:00"/>
    <d v="2022-12-31T00:00:00"/>
    <x v="4"/>
    <d v="2022-01-01T00:00:00"/>
    <d v="2022-12-31T00:00:00"/>
    <s v="R-134A"/>
    <n v="1.34764028"/>
    <s v="kilograms"/>
    <x v="0"/>
    <s v="Estimated from square footage. Assumed R134a."/>
    <s v="2023-07-25, 17:50"/>
    <s v="2023-07-25, 17:50"/>
    <n v="2022"/>
    <s v="hfc-134a"/>
    <s v="HFC-134A"/>
    <s v="model"/>
    <b v="0"/>
    <s v="REFRIGERANT: R-134A"/>
    <x v="2"/>
    <x v="0"/>
    <m/>
    <m/>
    <m/>
    <m/>
    <n v="1"/>
    <s v="CO2E"/>
    <n v="1927.1256000000001"/>
    <n v="1430"/>
    <s v="KG"/>
    <n v="1"/>
    <n v="1.34764028"/>
    <s v="AR4"/>
    <s v="IPCC"/>
    <s v="IPCC (2021)"/>
    <n v="2022"/>
    <n v="2007"/>
    <n v="0"/>
    <n v="1.9271256000000001"/>
    <x v="27"/>
    <s v="Unspecified Facility Type"/>
  </r>
  <r>
    <n v="4960"/>
    <s v="Top of Hierarchy &gt; South America &gt; Vantage_Santiago"/>
    <x v="4"/>
    <x v="1"/>
    <d v="2021-01-01T00:00:00"/>
    <d v="2021-12-31T00:00:00"/>
    <x v="0"/>
    <d v="2021-01-01T00:00:00"/>
    <d v="2021-12-31T00:00:00"/>
    <s v="Electricity (non-renewable)"/>
    <n v="16408"/>
    <s v="Kilowatt hours"/>
    <x v="1"/>
    <m/>
    <s v="2023-02-27, 16:27"/>
    <s v="2023-07-20, 00:40"/>
    <n v="2021"/>
    <s v="electricity"/>
    <s v="Electricity"/>
    <s v="model"/>
    <b v="0"/>
    <s v="ELECTRICITY; CHILE"/>
    <x v="0"/>
    <x v="0"/>
    <s v="Americas"/>
    <s v="Latin America and the Caribbean"/>
    <s v="CL"/>
    <m/>
    <n v="0"/>
    <s v="CH4"/>
    <n v="1.6408"/>
    <s v="RESTRICTED"/>
    <s v="KWH"/>
    <n v="1"/>
    <n v="16408"/>
    <s v="AR4"/>
    <s v="IEA"/>
    <s v="IEA (2021)"/>
    <n v="2021"/>
    <n v="2019"/>
    <n v="0"/>
    <n v="0"/>
    <x v="27"/>
    <s v="Unspecified Facility Type"/>
  </r>
  <r>
    <n v="4960"/>
    <s v="Top of Hierarchy &gt; South America &gt; Vantage_Santiago"/>
    <x v="4"/>
    <x v="1"/>
    <d v="2021-01-01T00:00:00"/>
    <d v="2021-12-31T00:00:00"/>
    <x v="0"/>
    <d v="2021-01-01T00:00:00"/>
    <d v="2021-12-31T00:00:00"/>
    <s v="Electricity (non-renewable)"/>
    <n v="16408"/>
    <s v="Kilowatt hours"/>
    <x v="1"/>
    <m/>
    <s v="2023-02-27, 16:27"/>
    <s v="2023-07-20, 00:40"/>
    <n v="2021"/>
    <s v="electricity"/>
    <s v="Electricity"/>
    <s v="model"/>
    <b v="0"/>
    <s v="ELECTRICITY; CHILE"/>
    <x v="0"/>
    <x v="0"/>
    <s v="Americas"/>
    <s v="Latin America and the Caribbean"/>
    <s v="CL"/>
    <m/>
    <n v="0"/>
    <s v="CO2"/>
    <n v="7249.0544"/>
    <s v="RESTRICTED"/>
    <s v="KWH"/>
    <n v="1"/>
    <n v="16408"/>
    <s v="AR4"/>
    <s v="IEA"/>
    <s v="IEA (2021)"/>
    <n v="2021"/>
    <n v="2019"/>
    <n v="0"/>
    <n v="0"/>
    <x v="27"/>
    <s v="Unspecified Facility Type"/>
  </r>
  <r>
    <n v="4960"/>
    <s v="Top of Hierarchy &gt; South America &gt; Vantage_Santiago"/>
    <x v="4"/>
    <x v="1"/>
    <d v="2021-01-01T00:00:00"/>
    <d v="2021-12-31T00:00:00"/>
    <x v="0"/>
    <d v="2021-01-01T00:00:00"/>
    <d v="2021-12-31T00:00:00"/>
    <s v="Electricity (non-renewable)"/>
    <n v="16408"/>
    <s v="Kilowatt hours"/>
    <x v="1"/>
    <m/>
    <s v="2023-02-27, 16:27"/>
    <s v="2023-07-20, 00:40"/>
    <n v="2021"/>
    <s v="electricity"/>
    <s v="Electricity"/>
    <s v="model"/>
    <b v="0"/>
    <s v="ELECTRICITY; CHILE"/>
    <x v="0"/>
    <x v="0"/>
    <s v="Americas"/>
    <s v="Latin America and the Caribbean"/>
    <s v="CL"/>
    <m/>
    <n v="0"/>
    <s v="CO2E"/>
    <n v="7278.5888000000004"/>
    <s v="RESTRICTED"/>
    <s v="KWH"/>
    <n v="1"/>
    <n v="16408"/>
    <s v="AR4"/>
    <s v="IEA"/>
    <s v="IEA (2021)"/>
    <n v="2021"/>
    <n v="2019"/>
    <n v="7.2785888000000005"/>
    <n v="0"/>
    <x v="27"/>
    <s v="Unspecified Facility Type"/>
  </r>
  <r>
    <n v="4960"/>
    <s v="Top of Hierarchy &gt; South America &gt; Vantage_Santiago"/>
    <x v="4"/>
    <x v="1"/>
    <d v="2021-01-01T00:00:00"/>
    <d v="2021-12-31T00:00:00"/>
    <x v="0"/>
    <d v="2021-01-01T00:00:00"/>
    <d v="2021-12-31T00:00:00"/>
    <s v="Electricity (non-renewable)"/>
    <n v="16408"/>
    <s v="Kilowatt hours"/>
    <x v="1"/>
    <m/>
    <s v="2023-02-27, 16:27"/>
    <s v="2023-07-20, 00:40"/>
    <n v="2021"/>
    <s v="electricity"/>
    <s v="Electricity"/>
    <s v="model"/>
    <b v="0"/>
    <s v="ELECTRICITY; CHILE"/>
    <x v="0"/>
    <x v="0"/>
    <s v="Americas"/>
    <s v="Latin America and the Caribbean"/>
    <s v="CL"/>
    <m/>
    <n v="0"/>
    <s v="N2O"/>
    <n v="27.893599999999999"/>
    <s v="RESTRICTED"/>
    <s v="KWH"/>
    <n v="1"/>
    <n v="16408"/>
    <s v="AR4"/>
    <s v="IEA"/>
    <s v="IEA (2021)"/>
    <n v="2021"/>
    <n v="2019"/>
    <n v="0"/>
    <n v="0"/>
    <x v="27"/>
    <s v="Unspecified Facility Type"/>
  </r>
  <r>
    <n v="4960"/>
    <s v="Top of Hierarchy &gt; South America &gt; Vantage_Santiago"/>
    <x v="4"/>
    <x v="1"/>
    <d v="2021-01-01T00:00:00"/>
    <d v="2021-12-31T00:00:00"/>
    <x v="0"/>
    <d v="2021-01-01T00:00:00"/>
    <d v="2021-12-31T00:00:00"/>
    <s v="Electricity (non-renewable)"/>
    <n v="16408"/>
    <s v="Kilowatt hours"/>
    <x v="1"/>
    <m/>
    <s v="2023-02-27, 16:27"/>
    <s v="2023-07-20, 00:40"/>
    <n v="2021"/>
    <s v="electricity"/>
    <s v="Electricity"/>
    <s v="model"/>
    <b v="0"/>
    <s v="ELECTRICITY; CHILE"/>
    <x v="0"/>
    <x v="0"/>
    <s v="Americas"/>
    <s v="Latin America and the Caribbean"/>
    <s v="CL"/>
    <m/>
    <n v="1"/>
    <s v="CH4"/>
    <n v="1.6408"/>
    <s v="RESTRICTED"/>
    <s v="KWH"/>
    <n v="1"/>
    <n v="16408"/>
    <s v="AR4"/>
    <s v="IEA"/>
    <s v="IEA (2021)"/>
    <n v="2021"/>
    <n v="2019"/>
    <n v="0"/>
    <n v="0"/>
    <x v="27"/>
    <s v="Unspecified Facility Type"/>
  </r>
  <r>
    <n v="4960"/>
    <s v="Top of Hierarchy &gt; South America &gt; Vantage_Santiago"/>
    <x v="4"/>
    <x v="1"/>
    <d v="2021-01-01T00:00:00"/>
    <d v="2021-12-31T00:00:00"/>
    <x v="0"/>
    <d v="2021-01-01T00:00:00"/>
    <d v="2021-12-31T00:00:00"/>
    <s v="Electricity (non-renewable)"/>
    <n v="16408"/>
    <s v="Kilowatt hours"/>
    <x v="1"/>
    <m/>
    <s v="2023-02-27, 16:27"/>
    <s v="2023-07-20, 00:40"/>
    <n v="2021"/>
    <s v="electricity"/>
    <s v="Electricity"/>
    <s v="model"/>
    <b v="0"/>
    <s v="ELECTRICITY; CHILE"/>
    <x v="0"/>
    <x v="0"/>
    <s v="Americas"/>
    <s v="Latin America and the Caribbean"/>
    <s v="CL"/>
    <m/>
    <n v="1"/>
    <s v="CO2"/>
    <n v="7249.0544"/>
    <s v="RESTRICTED"/>
    <s v="KWH"/>
    <n v="1"/>
    <n v="16408"/>
    <s v="AR4"/>
    <s v="IEA"/>
    <s v="IEA (2021)"/>
    <n v="2021"/>
    <n v="2019"/>
    <n v="0"/>
    <n v="0"/>
    <x v="27"/>
    <s v="Unspecified Facility Type"/>
  </r>
  <r>
    <n v="4960"/>
    <s v="Top of Hierarchy &gt; South America &gt; Vantage_Santiago"/>
    <x v="4"/>
    <x v="1"/>
    <d v="2021-01-01T00:00:00"/>
    <d v="2021-12-31T00:00:00"/>
    <x v="0"/>
    <d v="2021-01-01T00:00:00"/>
    <d v="2021-12-31T00:00:00"/>
    <s v="Electricity (non-renewable)"/>
    <n v="16408"/>
    <s v="Kilowatt hours"/>
    <x v="1"/>
    <m/>
    <s v="2023-02-27, 16:27"/>
    <s v="2023-07-20, 00:40"/>
    <n v="2021"/>
    <s v="electricity"/>
    <s v="Electricity"/>
    <s v="model"/>
    <b v="0"/>
    <s v="ELECTRICITY; CHILE"/>
    <x v="0"/>
    <x v="0"/>
    <s v="Americas"/>
    <s v="Latin America and the Caribbean"/>
    <s v="CL"/>
    <m/>
    <n v="1"/>
    <s v="CO2E"/>
    <n v="7278.5888000000004"/>
    <s v="RESTRICTED"/>
    <s v="KWH"/>
    <n v="1"/>
    <n v="16408"/>
    <s v="AR4"/>
    <s v="IEA"/>
    <s v="IEA (2021)"/>
    <n v="2021"/>
    <n v="2019"/>
    <n v="0"/>
    <n v="7.2785888000000005"/>
    <x v="27"/>
    <s v="Unspecified Facility Type"/>
  </r>
  <r>
    <n v="4960"/>
    <s v="Top of Hierarchy &gt; South America &gt; Vantage_Santiago"/>
    <x v="4"/>
    <x v="1"/>
    <d v="2021-01-01T00:00:00"/>
    <d v="2021-12-31T00:00:00"/>
    <x v="0"/>
    <d v="2021-01-01T00:00:00"/>
    <d v="2021-12-31T00:00:00"/>
    <s v="Electricity (non-renewable)"/>
    <n v="16408"/>
    <s v="Kilowatt hours"/>
    <x v="1"/>
    <m/>
    <s v="2023-02-27, 16:27"/>
    <s v="2023-07-20, 00:40"/>
    <n v="2021"/>
    <s v="electricity"/>
    <s v="Electricity"/>
    <s v="model"/>
    <b v="0"/>
    <s v="ELECTRICITY; CHILE"/>
    <x v="0"/>
    <x v="0"/>
    <s v="Americas"/>
    <s v="Latin America and the Caribbean"/>
    <s v="CL"/>
    <m/>
    <n v="1"/>
    <s v="N2O"/>
    <n v="27.893599999999999"/>
    <s v="RESTRICTED"/>
    <s v="KWH"/>
    <n v="1"/>
    <n v="16408"/>
    <s v="AR4"/>
    <s v="IEA"/>
    <s v="IEA (2021)"/>
    <n v="2021"/>
    <n v="2019"/>
    <n v="0"/>
    <n v="0"/>
    <x v="27"/>
    <s v="Unspecified Facility Type"/>
  </r>
  <r>
    <n v="4960"/>
    <s v="Top of Hierarchy &gt; South America &gt; Vantage_Santiago"/>
    <x v="4"/>
    <x v="1"/>
    <d v="2021-01-01T00:00:00"/>
    <d v="2021-12-31T00:00:00"/>
    <x v="0"/>
    <d v="2021-01-01T00:00:00"/>
    <d v="2021-12-31T00:00:00"/>
    <s v="Electricity (non-renewable)"/>
    <n v="16408"/>
    <s v="Kilowatt hours"/>
    <x v="1"/>
    <m/>
    <s v="2023-02-27, 16:27"/>
    <s v="2023-07-20, 00:40"/>
    <n v="2021"/>
    <s v="electricity__t+d__wtt"/>
    <s v="Electricity T&amp;D WTT"/>
    <s v="t+d_wtt"/>
    <b v="0"/>
    <s v="ELECTRICITY; CHILE; T&amp;D WTT Estimated"/>
    <x v="1"/>
    <x v="1"/>
    <s v="Americas"/>
    <s v="Latin America and the Caribbean"/>
    <s v="CL"/>
    <m/>
    <n v="0"/>
    <s v="CH4"/>
    <n v="4.1513878999999997E-2"/>
    <n v="2.5301000000000001E-6"/>
    <s v="KWH"/>
    <n v="1"/>
    <n v="16408"/>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T&amp;D factor ELECTRICITY; TRANSMISSION AND DISTRIBUTION; CHILE, IEA to estimate the T&amp;D WTT factor."/>
    <n v="2021"/>
    <n v="2019"/>
    <n v="0"/>
    <n v="0"/>
    <x v="27"/>
    <s v="Unspecified Facility Type"/>
  </r>
  <r>
    <n v="4960"/>
    <s v="Top of Hierarchy &gt; South America &gt; Vantage_Santiago"/>
    <x v="4"/>
    <x v="1"/>
    <d v="2021-01-01T00:00:00"/>
    <d v="2021-12-31T00:00:00"/>
    <x v="0"/>
    <d v="2021-01-01T00:00:00"/>
    <d v="2021-12-31T00:00:00"/>
    <s v="Electricity (non-renewable)"/>
    <n v="16408"/>
    <s v="Kilowatt hours"/>
    <x v="1"/>
    <m/>
    <s v="2023-02-27, 16:27"/>
    <s v="2023-07-20, 00:40"/>
    <n v="2021"/>
    <s v="electricity__t+d__wtt"/>
    <s v="Electricity T&amp;D WTT"/>
    <s v="t+d_wtt"/>
    <b v="0"/>
    <s v="ELECTRICITY; CHILE; T&amp;D WTT Estimated"/>
    <x v="1"/>
    <x v="1"/>
    <s v="Americas"/>
    <s v="Latin America and the Caribbean"/>
    <s v="CL"/>
    <m/>
    <n v="0"/>
    <s v="CO2"/>
    <n v="183.40831650000001"/>
    <n v="1.1177981E-2"/>
    <s v="KWH"/>
    <n v="1"/>
    <n v="16408"/>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T&amp;D factor ELECTRICITY; TRANSMISSION AND DISTRIBUTION; CHILE, IEA to estimate the T&amp;D WTT factor."/>
    <n v="2021"/>
    <n v="2019"/>
    <n v="0"/>
    <n v="0"/>
    <x v="27"/>
    <s v="Unspecified Facility Type"/>
  </r>
  <r>
    <n v="4960"/>
    <s v="Top of Hierarchy &gt; South America &gt; Vantage_Santiago"/>
    <x v="4"/>
    <x v="1"/>
    <d v="2021-01-01T00:00:00"/>
    <d v="2021-12-31T00:00:00"/>
    <x v="0"/>
    <d v="2021-01-01T00:00:00"/>
    <d v="2021-12-31T00:00:00"/>
    <s v="Electricity (non-renewable)"/>
    <n v="16408"/>
    <s v="Kilowatt hours"/>
    <x v="1"/>
    <m/>
    <s v="2023-02-27, 16:27"/>
    <s v="2023-07-20, 00:40"/>
    <n v="2021"/>
    <s v="electricity__t+d__wtt"/>
    <s v="Electricity T&amp;D WTT"/>
    <s v="t+d_wtt"/>
    <b v="0"/>
    <s v="ELECTRICITY; CHILE; T&amp;D WTT Estimated"/>
    <x v="1"/>
    <x v="1"/>
    <s v="Americas"/>
    <s v="Latin America and the Caribbean"/>
    <s v="CL"/>
    <m/>
    <n v="0"/>
    <s v="CO2E"/>
    <n v="184.1555664"/>
    <n v="1.1223522999999999E-2"/>
    <s v="KWH"/>
    <n v="1"/>
    <n v="16408"/>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T&amp;D factor ELECTRICITY; TRANSMISSION AND DISTRIBUTION; CHILE, IEA to estimate the T&amp;D WTT factor."/>
    <n v="2021"/>
    <n v="2019"/>
    <n v="0.1841555664"/>
    <n v="0"/>
    <x v="27"/>
    <s v="Unspecified Facility Type"/>
  </r>
  <r>
    <n v="4960"/>
    <s v="Top of Hierarchy &gt; South America &gt; Vantage_Santiago"/>
    <x v="4"/>
    <x v="1"/>
    <d v="2021-01-01T00:00:00"/>
    <d v="2021-12-31T00:00:00"/>
    <x v="0"/>
    <d v="2021-01-01T00:00:00"/>
    <d v="2021-12-31T00:00:00"/>
    <s v="Electricity (non-renewable)"/>
    <n v="16408"/>
    <s v="Kilowatt hours"/>
    <x v="1"/>
    <m/>
    <s v="2023-02-27, 16:27"/>
    <s v="2023-07-20, 00:40"/>
    <n v="2021"/>
    <s v="electricity__t+d__wtt"/>
    <s v="Electricity T&amp;D WTT"/>
    <s v="t+d_wtt"/>
    <b v="0"/>
    <s v="ELECTRICITY; CHILE; T&amp;D WTT Estimated"/>
    <x v="1"/>
    <x v="1"/>
    <s v="Americas"/>
    <s v="Latin America and the Caribbean"/>
    <s v="CL"/>
    <m/>
    <n v="0"/>
    <s v="N2O"/>
    <n v="0.70573593999999995"/>
    <n v="4.30117E-5"/>
    <s v="KWH"/>
    <n v="1"/>
    <n v="16408"/>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T&amp;D factor ELECTRICITY; TRANSMISSION AND DISTRIBUTION; CHILE, IEA to estimate the T&amp;D WTT factor."/>
    <n v="2021"/>
    <n v="2019"/>
    <n v="0"/>
    <n v="0"/>
    <x v="27"/>
    <s v="Unspecified Facility Type"/>
  </r>
  <r>
    <n v="4960"/>
    <s v="Top of Hierarchy &gt; South America &gt; Vantage_Santiago"/>
    <x v="4"/>
    <x v="1"/>
    <d v="2021-01-01T00:00:00"/>
    <d v="2021-12-31T00:00:00"/>
    <x v="0"/>
    <d v="2021-01-01T00:00:00"/>
    <d v="2021-12-31T00:00:00"/>
    <s v="Electricity (non-renewable)"/>
    <n v="16408"/>
    <s v="Kilowatt hours"/>
    <x v="1"/>
    <m/>
    <s v="2023-02-27, 16:27"/>
    <s v="2023-07-20, 00:40"/>
    <n v="2021"/>
    <s v="electricity__t+d__wtt"/>
    <s v="Electricity T&amp;D WTT"/>
    <s v="t+d_wtt"/>
    <b v="0"/>
    <s v="ELECTRICITY; CHILE; T&amp;D WTT Estimated"/>
    <x v="1"/>
    <x v="1"/>
    <s v="Americas"/>
    <s v="Latin America and the Caribbean"/>
    <s v="CL"/>
    <m/>
    <n v="1"/>
    <s v="CH4"/>
    <n v="4.1513878999999997E-2"/>
    <n v="2.5301000000000001E-6"/>
    <s v="KWH"/>
    <n v="1"/>
    <n v="16408"/>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T&amp;D factor ELECTRICITY; TRANSMISSION AND DISTRIBUTION; CHILE, IEA to estimate the T&amp;D WTT factor."/>
    <n v="2021"/>
    <n v="2019"/>
    <n v="0"/>
    <n v="0"/>
    <x v="27"/>
    <s v="Unspecified Facility Type"/>
  </r>
  <r>
    <n v="4960"/>
    <s v="Top of Hierarchy &gt; South America &gt; Vantage_Santiago"/>
    <x v="4"/>
    <x v="1"/>
    <d v="2021-01-01T00:00:00"/>
    <d v="2021-12-31T00:00:00"/>
    <x v="0"/>
    <d v="2021-01-01T00:00:00"/>
    <d v="2021-12-31T00:00:00"/>
    <s v="Electricity (non-renewable)"/>
    <n v="16408"/>
    <s v="Kilowatt hours"/>
    <x v="1"/>
    <m/>
    <s v="2023-02-27, 16:27"/>
    <s v="2023-07-20, 00:40"/>
    <n v="2021"/>
    <s v="electricity__t+d__wtt"/>
    <s v="Electricity T&amp;D WTT"/>
    <s v="t+d_wtt"/>
    <b v="0"/>
    <s v="ELECTRICITY; CHILE; T&amp;D WTT Estimated"/>
    <x v="1"/>
    <x v="1"/>
    <s v="Americas"/>
    <s v="Latin America and the Caribbean"/>
    <s v="CL"/>
    <m/>
    <n v="1"/>
    <s v="CO2"/>
    <n v="183.40831650000001"/>
    <n v="1.1177981E-2"/>
    <s v="KWH"/>
    <n v="1"/>
    <n v="16408"/>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T&amp;D factor ELECTRICITY; TRANSMISSION AND DISTRIBUTION; CHILE, IEA to estimate the T&amp;D WTT factor."/>
    <n v="2021"/>
    <n v="2019"/>
    <n v="0"/>
    <n v="0"/>
    <x v="27"/>
    <s v="Unspecified Facility Type"/>
  </r>
  <r>
    <n v="4960"/>
    <s v="Top of Hierarchy &gt; South America &gt; Vantage_Santiago"/>
    <x v="4"/>
    <x v="1"/>
    <d v="2021-01-01T00:00:00"/>
    <d v="2021-12-31T00:00:00"/>
    <x v="0"/>
    <d v="2021-01-01T00:00:00"/>
    <d v="2021-12-31T00:00:00"/>
    <s v="Electricity (non-renewable)"/>
    <n v="16408"/>
    <s v="Kilowatt hours"/>
    <x v="1"/>
    <m/>
    <s v="2023-02-27, 16:27"/>
    <s v="2023-07-20, 00:40"/>
    <n v="2021"/>
    <s v="electricity__t+d__wtt"/>
    <s v="Electricity T&amp;D WTT"/>
    <s v="t+d_wtt"/>
    <b v="0"/>
    <s v="ELECTRICITY; CHILE; T&amp;D WTT Estimated"/>
    <x v="1"/>
    <x v="1"/>
    <s v="Americas"/>
    <s v="Latin America and the Caribbean"/>
    <s v="CL"/>
    <m/>
    <n v="1"/>
    <s v="CO2E"/>
    <n v="184.1555664"/>
    <n v="1.1223522999999999E-2"/>
    <s v="KWH"/>
    <n v="1"/>
    <n v="16408"/>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T&amp;D factor ELECTRICITY; TRANSMISSION AND DISTRIBUTION; CHILE, IEA to estimate the T&amp;D WTT factor."/>
    <n v="2021"/>
    <n v="2019"/>
    <n v="0"/>
    <n v="0.1841555664"/>
    <x v="27"/>
    <s v="Unspecified Facility Type"/>
  </r>
  <r>
    <n v="4960"/>
    <s v="Top of Hierarchy &gt; South America &gt; Vantage_Santiago"/>
    <x v="4"/>
    <x v="1"/>
    <d v="2021-01-01T00:00:00"/>
    <d v="2021-12-31T00:00:00"/>
    <x v="0"/>
    <d v="2021-01-01T00:00:00"/>
    <d v="2021-12-31T00:00:00"/>
    <s v="Electricity (non-renewable)"/>
    <n v="16408"/>
    <s v="Kilowatt hours"/>
    <x v="1"/>
    <m/>
    <s v="2023-02-27, 16:27"/>
    <s v="2023-07-20, 00:40"/>
    <n v="2021"/>
    <s v="electricity__t+d__wtt"/>
    <s v="Electricity T&amp;D WTT"/>
    <s v="t+d_wtt"/>
    <b v="0"/>
    <s v="ELECTRICITY; CHILE; T&amp;D WTT Estimated"/>
    <x v="1"/>
    <x v="1"/>
    <s v="Americas"/>
    <s v="Latin America and the Caribbean"/>
    <s v="CL"/>
    <m/>
    <n v="1"/>
    <s v="N2O"/>
    <n v="0.70573593999999995"/>
    <n v="4.30117E-5"/>
    <s v="KWH"/>
    <n v="1"/>
    <n v="16408"/>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T&amp;D factor ELECTRICITY; TRANSMISSION AND DISTRIBUTION; CHILE, IEA to estimate the T&amp;D WTT factor."/>
    <n v="2021"/>
    <n v="2019"/>
    <n v="0"/>
    <n v="0"/>
    <x v="27"/>
    <s v="Unspecified Facility Type"/>
  </r>
  <r>
    <n v="4960"/>
    <s v="Top of Hierarchy &gt; South America &gt; Vantage_Santiago"/>
    <x v="4"/>
    <x v="1"/>
    <d v="2021-01-01T00:00:00"/>
    <d v="2021-12-31T00:00:00"/>
    <x v="0"/>
    <d v="2021-01-01T00:00:00"/>
    <d v="2021-12-31T00:00:00"/>
    <s v="Electricity (non-renewable)"/>
    <n v="16408"/>
    <s v="Kilowatt hours"/>
    <x v="1"/>
    <m/>
    <s v="2023-02-27, 16:27"/>
    <s v="2023-07-20, 00:40"/>
    <n v="2021"/>
    <s v="electricity__wtt"/>
    <s v="Electricity WTT"/>
    <s v="wtt"/>
    <b v="0"/>
    <s v="ELECTRICITY; CHILE; WTT Estimated"/>
    <x v="1"/>
    <x v="1"/>
    <s v="Americas"/>
    <s v="Latin America and the Caribbean"/>
    <s v="CL"/>
    <m/>
    <n v="0"/>
    <s v="CH4"/>
    <n v="0.34758041299999998"/>
    <n v="2.1183600000000002E-5"/>
    <s v="KWH"/>
    <n v="1"/>
    <n v="16408"/>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base factor ELECTRICITY; CHILE, IEAto estimate the WTT factor."/>
    <n v="2021"/>
    <n v="2019"/>
    <n v="0"/>
    <n v="0"/>
    <x v="27"/>
    <s v="Unspecified Facility Type"/>
  </r>
  <r>
    <n v="4960"/>
    <s v="Top of Hierarchy &gt; South America &gt; Vantage_Santiago"/>
    <x v="4"/>
    <x v="1"/>
    <d v="2021-01-01T00:00:00"/>
    <d v="2021-12-31T00:00:00"/>
    <x v="0"/>
    <d v="2021-01-01T00:00:00"/>
    <d v="2021-12-31T00:00:00"/>
    <s v="Electricity (non-renewable)"/>
    <n v="16408"/>
    <s v="Kilowatt hours"/>
    <x v="1"/>
    <m/>
    <s v="2023-02-27, 16:27"/>
    <s v="2023-07-20, 00:40"/>
    <n v="2021"/>
    <s v="electricity__wtt"/>
    <s v="Electricity WTT"/>
    <s v="wtt"/>
    <b v="0"/>
    <s v="ELECTRICITY; CHILE; WTT Estimated"/>
    <x v="1"/>
    <x v="1"/>
    <s v="Americas"/>
    <s v="Latin America and the Caribbean"/>
    <s v="CL"/>
    <m/>
    <n v="0"/>
    <s v="CO2"/>
    <n v="1535.610263"/>
    <n v="9.3589118999999998E-2"/>
    <s v="KWH"/>
    <n v="1"/>
    <n v="16408"/>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base factor ELECTRICITY; CHILE, IEAto estimate the WTT factor."/>
    <n v="2021"/>
    <n v="2019"/>
    <n v="0"/>
    <n v="0"/>
    <x v="27"/>
    <s v="Unspecified Facility Type"/>
  </r>
  <r>
    <n v="4960"/>
    <s v="Top of Hierarchy &gt; South America &gt; Vantage_Santiago"/>
    <x v="4"/>
    <x v="1"/>
    <d v="2021-01-01T00:00:00"/>
    <d v="2021-12-31T00:00:00"/>
    <x v="0"/>
    <d v="2021-01-01T00:00:00"/>
    <d v="2021-12-31T00:00:00"/>
    <s v="Electricity (non-renewable)"/>
    <n v="16408"/>
    <s v="Kilowatt hours"/>
    <x v="1"/>
    <m/>
    <s v="2023-02-27, 16:27"/>
    <s v="2023-07-20, 00:40"/>
    <n v="2021"/>
    <s v="electricity__wtt"/>
    <s v="Electricity WTT"/>
    <s v="wtt"/>
    <b v="0"/>
    <s v="ELECTRICITY; CHILE; WTT Estimated"/>
    <x v="1"/>
    <x v="1"/>
    <s v="Americas"/>
    <s v="Latin America and the Caribbean"/>
    <s v="CL"/>
    <m/>
    <n v="0"/>
    <s v="CO2E"/>
    <n v="1541.86671"/>
    <n v="9.3970423999999997E-2"/>
    <s v="KWH"/>
    <n v="1"/>
    <n v="16408"/>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base factor ELECTRICITY; CHILE, IEAto estimate the WTT factor."/>
    <n v="2021"/>
    <n v="2019"/>
    <n v="1.5418667100000001"/>
    <n v="0"/>
    <x v="27"/>
    <s v="Unspecified Facility Type"/>
  </r>
  <r>
    <n v="4960"/>
    <s v="Top of Hierarchy &gt; South America &gt; Vantage_Santiago"/>
    <x v="4"/>
    <x v="1"/>
    <d v="2021-01-01T00:00:00"/>
    <d v="2021-12-31T00:00:00"/>
    <x v="0"/>
    <d v="2021-01-01T00:00:00"/>
    <d v="2021-12-31T00:00:00"/>
    <s v="Electricity (non-renewable)"/>
    <n v="16408"/>
    <s v="Kilowatt hours"/>
    <x v="1"/>
    <m/>
    <s v="2023-02-27, 16:27"/>
    <s v="2023-07-20, 00:40"/>
    <n v="2021"/>
    <s v="electricity__wtt"/>
    <s v="Electricity WTT"/>
    <s v="wtt"/>
    <b v="0"/>
    <s v="ELECTRICITY; CHILE; WTT Estimated"/>
    <x v="1"/>
    <x v="1"/>
    <s v="Americas"/>
    <s v="Latin America and the Caribbean"/>
    <s v="CL"/>
    <m/>
    <n v="0"/>
    <s v="N2O"/>
    <n v="5.9088670140000001"/>
    <n v="3.6012099999999998E-4"/>
    <s v="KWH"/>
    <n v="1"/>
    <n v="16408"/>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base factor ELECTRICITY; CHILE, IEAto estimate the WTT factor."/>
    <n v="2021"/>
    <n v="2019"/>
    <n v="0"/>
    <n v="0"/>
    <x v="27"/>
    <s v="Unspecified Facility Type"/>
  </r>
  <r>
    <n v="4960"/>
    <s v="Top of Hierarchy &gt; South America &gt; Vantage_Santiago"/>
    <x v="4"/>
    <x v="1"/>
    <d v="2021-01-01T00:00:00"/>
    <d v="2021-12-31T00:00:00"/>
    <x v="0"/>
    <d v="2021-01-01T00:00:00"/>
    <d v="2021-12-31T00:00:00"/>
    <s v="Electricity (non-renewable)"/>
    <n v="16408"/>
    <s v="Kilowatt hours"/>
    <x v="1"/>
    <m/>
    <s v="2023-02-27, 16:27"/>
    <s v="2023-07-20, 00:40"/>
    <n v="2021"/>
    <s v="electricity__wtt"/>
    <s v="Electricity WTT"/>
    <s v="wtt"/>
    <b v="0"/>
    <s v="ELECTRICITY; CHILE; WTT Estimated"/>
    <x v="1"/>
    <x v="1"/>
    <s v="Americas"/>
    <s v="Latin America and the Caribbean"/>
    <s v="CL"/>
    <m/>
    <n v="1"/>
    <s v="CH4"/>
    <n v="0.34758041299999998"/>
    <n v="2.1183600000000002E-5"/>
    <s v="KWH"/>
    <n v="1"/>
    <n v="16408"/>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base factor ELECTRICITY; CHILE, IEAto estimate the WTT factor."/>
    <n v="2021"/>
    <n v="2019"/>
    <n v="0"/>
    <n v="0"/>
    <x v="27"/>
    <s v="Unspecified Facility Type"/>
  </r>
  <r>
    <n v="4960"/>
    <s v="Top of Hierarchy &gt; South America &gt; Vantage_Santiago"/>
    <x v="4"/>
    <x v="1"/>
    <d v="2021-01-01T00:00:00"/>
    <d v="2021-12-31T00:00:00"/>
    <x v="0"/>
    <d v="2021-01-01T00:00:00"/>
    <d v="2021-12-31T00:00:00"/>
    <s v="Electricity (non-renewable)"/>
    <n v="16408"/>
    <s v="Kilowatt hours"/>
    <x v="1"/>
    <m/>
    <s v="2023-02-27, 16:27"/>
    <s v="2023-07-20, 00:40"/>
    <n v="2021"/>
    <s v="electricity__wtt"/>
    <s v="Electricity WTT"/>
    <s v="wtt"/>
    <b v="0"/>
    <s v="ELECTRICITY; CHILE; WTT Estimated"/>
    <x v="1"/>
    <x v="1"/>
    <s v="Americas"/>
    <s v="Latin America and the Caribbean"/>
    <s v="CL"/>
    <m/>
    <n v="1"/>
    <s v="CO2"/>
    <n v="1535.610263"/>
    <n v="9.3589118999999998E-2"/>
    <s v="KWH"/>
    <n v="1"/>
    <n v="16408"/>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base factor ELECTRICITY; CHILE, IEAto estimate the WTT factor."/>
    <n v="2021"/>
    <n v="2019"/>
    <n v="0"/>
    <n v="0"/>
    <x v="27"/>
    <s v="Unspecified Facility Type"/>
  </r>
  <r>
    <n v="4960"/>
    <s v="Top of Hierarchy &gt; South America &gt; Vantage_Santiago"/>
    <x v="4"/>
    <x v="1"/>
    <d v="2021-01-01T00:00:00"/>
    <d v="2021-12-31T00:00:00"/>
    <x v="0"/>
    <d v="2021-01-01T00:00:00"/>
    <d v="2021-12-31T00:00:00"/>
    <s v="Electricity (non-renewable)"/>
    <n v="16408"/>
    <s v="Kilowatt hours"/>
    <x v="1"/>
    <m/>
    <s v="2023-02-27, 16:27"/>
    <s v="2023-07-20, 00:40"/>
    <n v="2021"/>
    <s v="electricity__wtt"/>
    <s v="Electricity WTT"/>
    <s v="wtt"/>
    <b v="0"/>
    <s v="ELECTRICITY; CHILE; WTT Estimated"/>
    <x v="1"/>
    <x v="1"/>
    <s v="Americas"/>
    <s v="Latin America and the Caribbean"/>
    <s v="CL"/>
    <m/>
    <n v="1"/>
    <s v="CO2E"/>
    <n v="1541.86671"/>
    <n v="9.3970423999999997E-2"/>
    <s v="KWH"/>
    <n v="1"/>
    <n v="16408"/>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base factor ELECTRICITY; CHILE, IEAto estimate the WTT factor."/>
    <n v="2021"/>
    <n v="2019"/>
    <n v="0"/>
    <n v="1.5418667100000001"/>
    <x v="27"/>
    <s v="Unspecified Facility Type"/>
  </r>
  <r>
    <n v="4960"/>
    <s v="Top of Hierarchy &gt; South America &gt; Vantage_Santiago"/>
    <x v="4"/>
    <x v="1"/>
    <d v="2021-01-01T00:00:00"/>
    <d v="2021-12-31T00:00:00"/>
    <x v="0"/>
    <d v="2021-01-01T00:00:00"/>
    <d v="2021-12-31T00:00:00"/>
    <s v="Electricity (non-renewable)"/>
    <n v="16408"/>
    <s v="Kilowatt hours"/>
    <x v="1"/>
    <m/>
    <s v="2023-02-27, 16:27"/>
    <s v="2023-07-20, 00:40"/>
    <n v="2021"/>
    <s v="electricity__wtt"/>
    <s v="Electricity WTT"/>
    <s v="wtt"/>
    <b v="0"/>
    <s v="ELECTRICITY; CHILE; WTT Estimated"/>
    <x v="1"/>
    <x v="1"/>
    <s v="Americas"/>
    <s v="Latin America and the Caribbean"/>
    <s v="CL"/>
    <m/>
    <n v="1"/>
    <s v="N2O"/>
    <n v="5.9088670140000001"/>
    <n v="3.6012099999999998E-4"/>
    <s v="KWH"/>
    <n v="1"/>
    <n v="16408"/>
    <s v="AR4"/>
    <s v="Anthesis"/>
    <s v="The median WTT to generation factor ratio of all countries within the region Latin America and the Caribbean was taken to be ELECTRICITY; NON-OECD AMERICAS, IEA to WTT- UK &amp; OVERSEAS ELEC; WTT- OVERSEAS ELECTRICITY (GENERATION); ELECTRICITY: LATIN AMERICA (AVERAGE), Defra: 0.212. This was applied to the base factor ELECTRICITY; CHILE, IEAto estimate the WTT factor."/>
    <n v="2021"/>
    <n v="2019"/>
    <n v="0"/>
    <n v="0"/>
    <x v="27"/>
    <s v="Unspecified Facility Type"/>
  </r>
  <r>
    <n v="4960"/>
    <s v="Top of Hierarchy &gt; South America &gt; Vantage_Santiago"/>
    <x v="4"/>
    <x v="1"/>
    <d v="2021-01-01T00:00:00"/>
    <d v="2021-12-31T00:00:00"/>
    <x v="0"/>
    <d v="2021-01-01T00:00:00"/>
    <d v="2021-12-31T00:00:00"/>
    <s v="Electricity (non-renewable)"/>
    <n v="16408"/>
    <s v="Kilowatt hours"/>
    <x v="1"/>
    <m/>
    <s v="2023-02-27, 16:27"/>
    <s v="2023-07-20, 00:40"/>
    <n v="2021"/>
    <s v="electricity__t+d"/>
    <s v="Electricity T&amp;D"/>
    <s v="t+d"/>
    <b v="0"/>
    <s v="ELECTRICITY; TRANSMISSION AND DISTRIBUTION; CHILE"/>
    <x v="1"/>
    <x v="1"/>
    <s v="Americas"/>
    <s v="Latin America and the Caribbean"/>
    <s v="CL"/>
    <m/>
    <n v="0"/>
    <s v="CO2E"/>
    <n v="315.03359999999998"/>
    <s v="RESTRICTED"/>
    <s v="KWH"/>
    <n v="1"/>
    <n v="16408"/>
    <s v="AR4"/>
    <s v="IEA"/>
    <s v="IEA (2021)"/>
    <n v="2021"/>
    <n v="2019"/>
    <n v="0.31503359999999997"/>
    <n v="0"/>
    <x v="27"/>
    <s v="Unspecified Facility Type"/>
  </r>
  <r>
    <n v="4960"/>
    <s v="Top of Hierarchy &gt; South America &gt; Vantage_Santiago"/>
    <x v="4"/>
    <x v="1"/>
    <d v="2021-01-01T00:00:00"/>
    <d v="2021-12-31T00:00:00"/>
    <x v="0"/>
    <d v="2021-01-01T00:00:00"/>
    <d v="2021-12-31T00:00:00"/>
    <s v="Electricity (non-renewable)"/>
    <n v="16408"/>
    <s v="Kilowatt hours"/>
    <x v="1"/>
    <m/>
    <s v="2023-02-27, 16:27"/>
    <s v="2023-07-20, 00:40"/>
    <n v="2021"/>
    <s v="electricity__t+d"/>
    <s v="Electricity T&amp;D"/>
    <s v="t+d"/>
    <b v="0"/>
    <s v="ELECTRICITY; TRANSMISSION AND DISTRIBUTION; CHILE"/>
    <x v="1"/>
    <x v="1"/>
    <s v="Americas"/>
    <s v="Latin America and the Caribbean"/>
    <s v="CL"/>
    <m/>
    <n v="1"/>
    <s v="CO2E"/>
    <n v="315.03359999999998"/>
    <s v="RESTRICTED"/>
    <s v="KWH"/>
    <n v="1"/>
    <n v="16408"/>
    <s v="AR4"/>
    <s v="IEA"/>
    <s v="IEA (2021)"/>
    <n v="2021"/>
    <n v="2019"/>
    <n v="0"/>
    <n v="0.31503359999999997"/>
    <x v="27"/>
    <s v="Unspecified Facility Type"/>
  </r>
  <r>
    <n v="4986"/>
    <s v="Top of Hierarchy &gt; South America &gt; Vantage_Santiago"/>
    <x v="4"/>
    <x v="1"/>
    <d v="2021-01-01T00:00:00"/>
    <d v="2021-12-31T00:00:00"/>
    <x v="3"/>
    <d v="2021-01-01T00:00:00"/>
    <d v="2021-12-31T00:00:00"/>
    <s v="Natural gas"/>
    <n v="0"/>
    <s v="Hundred Thousand BTUs"/>
    <x v="1"/>
    <m/>
    <s v="2023-02-27, 16:27"/>
    <s v="2023-07-20, 00:40"/>
    <n v="2021"/>
    <s v="natural_gas"/>
    <s v="Natural Gas"/>
    <s v="model"/>
    <b v="0"/>
    <s v="NATURAL GAS, NATURAL GAS"/>
    <x v="2"/>
    <x v="0"/>
    <s v="Americas"/>
    <m/>
    <m/>
    <m/>
    <n v="0"/>
    <s v="CH4"/>
    <n v="0"/>
    <n v="2.5000000000000001E-2"/>
    <s v="MMBTU"/>
    <n v="0.1"/>
    <n v="0"/>
    <s v="AR4"/>
    <s v="USEPA"/>
    <s v="USEPA (2021)"/>
    <n v="2021"/>
    <n v="2021"/>
    <n v="0"/>
    <n v="0"/>
    <x v="27"/>
    <s v="Unspecified Facility Type"/>
  </r>
  <r>
    <n v="4986"/>
    <s v="Top of Hierarchy &gt; South America &gt; Vantage_Santiago"/>
    <x v="4"/>
    <x v="1"/>
    <d v="2021-01-01T00:00:00"/>
    <d v="2021-12-31T00:00:00"/>
    <x v="3"/>
    <d v="2021-01-01T00:00:00"/>
    <d v="2021-12-31T00:00:00"/>
    <s v="Natural gas"/>
    <n v="0"/>
    <s v="Hundred Thousand BTUs"/>
    <x v="1"/>
    <m/>
    <s v="2023-02-27, 16:27"/>
    <s v="2023-07-20, 00:40"/>
    <n v="2021"/>
    <s v="natural_gas"/>
    <s v="Natural Gas"/>
    <s v="model"/>
    <b v="0"/>
    <s v="NATURAL GAS, NATURAL GAS"/>
    <x v="2"/>
    <x v="0"/>
    <s v="Americas"/>
    <m/>
    <m/>
    <m/>
    <n v="0"/>
    <s v="CO2"/>
    <n v="0"/>
    <n v="53.06"/>
    <s v="MMBTU"/>
    <n v="0.1"/>
    <n v="0"/>
    <s v="AR4"/>
    <s v="USEPA"/>
    <s v="USEPA Emission Factors Hub (Last Modified: March 2020)"/>
    <n v="2021"/>
    <n v="2020"/>
    <n v="0"/>
    <n v="0"/>
    <x v="27"/>
    <s v="Unspecified Facility Type"/>
  </r>
  <r>
    <n v="4986"/>
    <s v="Top of Hierarchy &gt; South America &gt; Vantage_Santiago"/>
    <x v="4"/>
    <x v="1"/>
    <d v="2021-01-01T00:00:00"/>
    <d v="2021-12-31T00:00:00"/>
    <x v="3"/>
    <d v="2021-01-01T00:00:00"/>
    <d v="2021-12-31T00:00:00"/>
    <s v="Natural gas"/>
    <n v="0"/>
    <s v="Hundred Thousand BTUs"/>
    <x v="1"/>
    <m/>
    <s v="2023-02-27, 16:27"/>
    <s v="2023-07-20, 00:40"/>
    <n v="2021"/>
    <s v="natural_gas"/>
    <s v="Natural Gas"/>
    <s v="model"/>
    <b v="0"/>
    <s v="NATURAL GAS, NATURAL GAS"/>
    <x v="2"/>
    <x v="0"/>
    <s v="Americas"/>
    <m/>
    <m/>
    <m/>
    <n v="0"/>
    <s v="CO2E"/>
    <n v="0"/>
    <n v="53.114800000000002"/>
    <s v="MMBTU"/>
    <n v="0.1"/>
    <n v="0"/>
    <s v="AR4"/>
    <s v="USEPA"/>
    <s v="USEPA (2021)"/>
    <n v="2021"/>
    <n v="2021"/>
    <n v="0"/>
    <n v="0"/>
    <x v="27"/>
    <s v="Unspecified Facility Type"/>
  </r>
  <r>
    <n v="4986"/>
    <s v="Top of Hierarchy &gt; South America &gt; Vantage_Santiago"/>
    <x v="4"/>
    <x v="1"/>
    <d v="2021-01-01T00:00:00"/>
    <d v="2021-12-31T00:00:00"/>
    <x v="3"/>
    <d v="2021-01-01T00:00:00"/>
    <d v="2021-12-31T00:00:00"/>
    <s v="Natural gas"/>
    <n v="0"/>
    <s v="Hundred Thousand BTUs"/>
    <x v="1"/>
    <m/>
    <s v="2023-02-27, 16:27"/>
    <s v="2023-07-20, 00:40"/>
    <n v="2021"/>
    <s v="natural_gas"/>
    <s v="Natural Gas"/>
    <s v="model"/>
    <b v="0"/>
    <s v="NATURAL GAS, NATURAL GAS"/>
    <x v="2"/>
    <x v="0"/>
    <s v="Americas"/>
    <m/>
    <m/>
    <m/>
    <n v="0"/>
    <s v="N2O"/>
    <n v="0"/>
    <n v="2.98E-2"/>
    <s v="MMBTU"/>
    <n v="0.1"/>
    <n v="0"/>
    <s v="AR4"/>
    <s v="USEPA"/>
    <s v="USEPA (2021)"/>
    <n v="2021"/>
    <n v="2021"/>
    <n v="0"/>
    <n v="0"/>
    <x v="27"/>
    <s v="Unspecified Facility Type"/>
  </r>
  <r>
    <n v="4986"/>
    <s v="Top of Hierarchy &gt; South America &gt; Vantage_Santiago"/>
    <x v="4"/>
    <x v="1"/>
    <d v="2021-01-01T00:00:00"/>
    <d v="2021-12-31T00:00:00"/>
    <x v="3"/>
    <d v="2021-01-01T00:00:00"/>
    <d v="2021-12-31T00:00:00"/>
    <s v="Natural gas"/>
    <n v="0"/>
    <s v="Hundred Thousand BTUs"/>
    <x v="1"/>
    <m/>
    <s v="2023-02-27, 16:27"/>
    <s v="2023-07-20, 00:40"/>
    <n v="2021"/>
    <s v="natural_gas"/>
    <s v="Natural Gas"/>
    <s v="model"/>
    <b v="0"/>
    <s v="NATURAL GAS, NATURAL GAS"/>
    <x v="2"/>
    <x v="0"/>
    <s v="Americas"/>
    <m/>
    <m/>
    <m/>
    <n v="1"/>
    <s v="CH4"/>
    <n v="0"/>
    <n v="2.5000000000000001E-2"/>
    <s v="MMBTU"/>
    <n v="0.1"/>
    <n v="0"/>
    <s v="AR4"/>
    <s v="USEPA"/>
    <s v="USEPA (2021)"/>
    <n v="2021"/>
    <n v="2021"/>
    <n v="0"/>
    <n v="0"/>
    <x v="27"/>
    <s v="Unspecified Facility Type"/>
  </r>
  <r>
    <n v="4986"/>
    <s v="Top of Hierarchy &gt; South America &gt; Vantage_Santiago"/>
    <x v="4"/>
    <x v="1"/>
    <d v="2021-01-01T00:00:00"/>
    <d v="2021-12-31T00:00:00"/>
    <x v="3"/>
    <d v="2021-01-01T00:00:00"/>
    <d v="2021-12-31T00:00:00"/>
    <s v="Natural gas"/>
    <n v="0"/>
    <s v="Hundred Thousand BTUs"/>
    <x v="1"/>
    <m/>
    <s v="2023-02-27, 16:27"/>
    <s v="2023-07-20, 00:40"/>
    <n v="2021"/>
    <s v="natural_gas"/>
    <s v="Natural Gas"/>
    <s v="model"/>
    <b v="0"/>
    <s v="NATURAL GAS, NATURAL GAS"/>
    <x v="2"/>
    <x v="0"/>
    <s v="Americas"/>
    <m/>
    <m/>
    <m/>
    <n v="1"/>
    <s v="CO2"/>
    <n v="0"/>
    <n v="53.06"/>
    <s v="MMBTU"/>
    <n v="0.1"/>
    <n v="0"/>
    <s v="AR4"/>
    <s v="USEPA"/>
    <s v="USEPA Emission Factors Hub (Last Modified: March 2020)"/>
    <n v="2021"/>
    <n v="2020"/>
    <n v="0"/>
    <n v="0"/>
    <x v="27"/>
    <s v="Unspecified Facility Type"/>
  </r>
  <r>
    <n v="4986"/>
    <s v="Top of Hierarchy &gt; South America &gt; Vantage_Santiago"/>
    <x v="4"/>
    <x v="1"/>
    <d v="2021-01-01T00:00:00"/>
    <d v="2021-12-31T00:00:00"/>
    <x v="3"/>
    <d v="2021-01-01T00:00:00"/>
    <d v="2021-12-31T00:00:00"/>
    <s v="Natural gas"/>
    <n v="0"/>
    <s v="Hundred Thousand BTUs"/>
    <x v="1"/>
    <m/>
    <s v="2023-02-27, 16:27"/>
    <s v="2023-07-20, 00:40"/>
    <n v="2021"/>
    <s v="natural_gas"/>
    <s v="Natural Gas"/>
    <s v="model"/>
    <b v="0"/>
    <s v="NATURAL GAS, NATURAL GAS"/>
    <x v="2"/>
    <x v="0"/>
    <s v="Americas"/>
    <m/>
    <m/>
    <m/>
    <n v="1"/>
    <s v="CO2E"/>
    <n v="0"/>
    <n v="53.114800000000002"/>
    <s v="MMBTU"/>
    <n v="0.1"/>
    <n v="0"/>
    <s v="AR4"/>
    <s v="USEPA"/>
    <s v="USEPA (2021)"/>
    <n v="2021"/>
    <n v="2021"/>
    <n v="0"/>
    <n v="0"/>
    <x v="27"/>
    <s v="Unspecified Facility Type"/>
  </r>
  <r>
    <n v="4986"/>
    <s v="Top of Hierarchy &gt; South America &gt; Vantage_Santiago"/>
    <x v="4"/>
    <x v="1"/>
    <d v="2021-01-01T00:00:00"/>
    <d v="2021-12-31T00:00:00"/>
    <x v="3"/>
    <d v="2021-01-01T00:00:00"/>
    <d v="2021-12-31T00:00:00"/>
    <s v="Natural gas"/>
    <n v="0"/>
    <s v="Hundred Thousand BTUs"/>
    <x v="1"/>
    <m/>
    <s v="2023-02-27, 16:27"/>
    <s v="2023-07-20, 00:40"/>
    <n v="2021"/>
    <s v="natural_gas"/>
    <s v="Natural Gas"/>
    <s v="model"/>
    <b v="0"/>
    <s v="NATURAL GAS, NATURAL GAS"/>
    <x v="2"/>
    <x v="0"/>
    <s v="Americas"/>
    <m/>
    <m/>
    <m/>
    <n v="1"/>
    <s v="N2O"/>
    <n v="0"/>
    <n v="2.98E-2"/>
    <s v="MMBTU"/>
    <n v="0.1"/>
    <n v="0"/>
    <s v="AR4"/>
    <s v="USEPA"/>
    <s v="USEPA (2021)"/>
    <n v="2021"/>
    <n v="2021"/>
    <n v="0"/>
    <n v="0"/>
    <x v="27"/>
    <s v="Unspecified Facility Type"/>
  </r>
  <r>
    <n v="4986"/>
    <s v="Top of Hierarchy &gt; South America &gt; Vantage_Santiago"/>
    <x v="4"/>
    <x v="1"/>
    <d v="2021-01-01T00:00:00"/>
    <d v="2021-12-31T00:00:00"/>
    <x v="3"/>
    <d v="2021-01-01T00:00:00"/>
    <d v="2021-12-31T00:00:00"/>
    <s v="Natural gas"/>
    <n v="0"/>
    <s v="Hundred Thousand BTUs"/>
    <x v="1"/>
    <m/>
    <s v="2023-02-27, 16:27"/>
    <s v="2023-07-20, 00:40"/>
    <n v="2021"/>
    <s v="natural_gas__wtt"/>
    <s v="Natural Gas WTT"/>
    <s v="wtt"/>
    <b v="0"/>
    <s v="WTT- FUELS; WTT- GASEOUS FUELS; NATURAL GAS"/>
    <x v="1"/>
    <x v="1"/>
    <m/>
    <m/>
    <m/>
    <m/>
    <n v="0"/>
    <s v="CO2E"/>
    <n v="0"/>
    <n v="3.1350000000000003E-2"/>
    <s v="KWH (GROSS CV)"/>
    <n v="29.3001"/>
    <n v="0"/>
    <s v="AR4"/>
    <s v="Defra"/>
    <s v="Defra (2021)"/>
    <n v="2021"/>
    <n v="2019"/>
    <n v="0"/>
    <n v="0"/>
    <x v="27"/>
    <s v="Unspecified Facility Type"/>
  </r>
  <r>
    <n v="4986"/>
    <s v="Top of Hierarchy &gt; South America &gt; Vantage_Santiago"/>
    <x v="4"/>
    <x v="1"/>
    <d v="2021-01-01T00:00:00"/>
    <d v="2021-12-31T00:00:00"/>
    <x v="3"/>
    <d v="2021-01-01T00:00:00"/>
    <d v="2021-12-31T00:00:00"/>
    <s v="Natural gas"/>
    <n v="0"/>
    <s v="Hundred Thousand BTUs"/>
    <x v="1"/>
    <m/>
    <s v="2023-02-27, 16:27"/>
    <s v="2023-07-20, 00:40"/>
    <n v="2021"/>
    <s v="natural_gas__wtt"/>
    <s v="Natural Gas WTT"/>
    <s v="wtt"/>
    <b v="0"/>
    <s v="WTT- FUELS; WTT- GASEOUS FUELS; NATURAL GAS"/>
    <x v="1"/>
    <x v="1"/>
    <m/>
    <m/>
    <m/>
    <m/>
    <n v="1"/>
    <s v="CO2E"/>
    <n v="0"/>
    <n v="3.1350000000000003E-2"/>
    <s v="KWH (GROSS CV)"/>
    <n v="29.3001"/>
    <n v="0"/>
    <s v="AR4"/>
    <s v="Defra"/>
    <s v="Defra (2021)"/>
    <n v="2021"/>
    <n v="2019"/>
    <n v="0"/>
    <n v="0"/>
    <x v="27"/>
    <s v="Unspecified Facility Type"/>
  </r>
  <r>
    <n v="5045"/>
    <s v="Top of Hierarchy &gt; South America &gt; Vantage_Santiago"/>
    <x v="4"/>
    <x v="1"/>
    <d v="2021-01-01T00:00:00"/>
    <d v="2021-12-31T00:00:00"/>
    <x v="4"/>
    <d v="2021-01-01T00:00:00"/>
    <d v="2021-12-31T00:00:00"/>
    <s v="HFC-134a"/>
    <n v="1.3475999999999999"/>
    <s v="kilograms"/>
    <x v="0"/>
    <m/>
    <s v="2023-02-27, 16:28"/>
    <s v="2023-07-20, 00:40"/>
    <n v="2021"/>
    <s v="hfc-134a"/>
    <s v="HFC-134A"/>
    <s v="model"/>
    <b v="0"/>
    <s v="REFRIGERANT: R-134A"/>
    <x v="2"/>
    <x v="0"/>
    <m/>
    <m/>
    <m/>
    <m/>
    <n v="0"/>
    <s v="CO2E"/>
    <n v="1927.068"/>
    <n v="1430"/>
    <s v="KG"/>
    <n v="1"/>
    <n v="1.3475999999999999"/>
    <s v="AR4"/>
    <s v="IPCC"/>
    <s v="IPCC (2021)"/>
    <n v="2021"/>
    <n v="2007"/>
    <n v="1.927068"/>
    <n v="0"/>
    <x v="27"/>
    <s v="Unspecified Facility Type"/>
  </r>
  <r>
    <n v="5045"/>
    <s v="Top of Hierarchy &gt; South America &gt; Vantage_Santiago"/>
    <x v="4"/>
    <x v="1"/>
    <d v="2021-01-01T00:00:00"/>
    <d v="2021-12-31T00:00:00"/>
    <x v="4"/>
    <d v="2021-01-01T00:00:00"/>
    <d v="2021-12-31T00:00:00"/>
    <s v="HFC-134a"/>
    <n v="1.3475999999999999"/>
    <s v="kilograms"/>
    <x v="0"/>
    <m/>
    <s v="2023-02-27, 16:28"/>
    <s v="2023-07-20, 00:40"/>
    <n v="2021"/>
    <s v="hfc-134a"/>
    <s v="HFC-134A"/>
    <s v="model"/>
    <b v="0"/>
    <s v="REFRIGERANT: R-134A"/>
    <x v="2"/>
    <x v="0"/>
    <m/>
    <m/>
    <m/>
    <m/>
    <n v="1"/>
    <s v="CO2E"/>
    <n v="1927.068"/>
    <n v="1430"/>
    <s v="KG"/>
    <n v="1"/>
    <n v="1.3475999999999999"/>
    <s v="AR4"/>
    <s v="IPCC"/>
    <s v="IPCC (2021)"/>
    <n v="2021"/>
    <n v="2007"/>
    <n v="0"/>
    <n v="1.927068"/>
    <x v="27"/>
    <s v="Unspecified Facility Type"/>
  </r>
  <r>
    <n v="237670"/>
    <s v="Top of Hierarchy &gt; South America &gt; Vantage_Sao Paulo"/>
    <x v="4"/>
    <x v="0"/>
    <d v="2022-01-01T00:00:00"/>
    <d v="2022-12-31T00:00:00"/>
    <x v="0"/>
    <d v="2022-01-01T00:00:00"/>
    <d v="2022-12-31T00:00:00"/>
    <s v="Electricity (non-renewable)"/>
    <n v="24867"/>
    <s v="Kilowatt hours"/>
    <x v="1"/>
    <m/>
    <s v="2023-04-20, 19:15"/>
    <s v="2023-07-20, 00:40"/>
    <n v="2022"/>
    <s v="electricity"/>
    <s v="Electricity"/>
    <s v="model"/>
    <b v="0"/>
    <s v="ELECTRICITY; BRAZIL"/>
    <x v="0"/>
    <x v="0"/>
    <s v="Americas"/>
    <s v="Latin America and the Caribbean"/>
    <s v="BR"/>
    <m/>
    <n v="0"/>
    <s v="CH4"/>
    <n v="2.4866999999999999"/>
    <s v="RESTRICTED"/>
    <s v="KWH"/>
    <n v="1"/>
    <n v="24867"/>
    <s v="AR4"/>
    <s v="IEA"/>
    <s v="IEA (2022)"/>
    <n v="2022"/>
    <n v="2020"/>
    <n v="0"/>
    <n v="0"/>
    <x v="28"/>
    <s v="Unspecified Facility Type"/>
  </r>
  <r>
    <n v="237670"/>
    <s v="Top of Hierarchy &gt; South America &gt; Vantage_Sao Paulo"/>
    <x v="4"/>
    <x v="0"/>
    <d v="2022-01-01T00:00:00"/>
    <d v="2022-12-31T00:00:00"/>
    <x v="0"/>
    <d v="2022-01-01T00:00:00"/>
    <d v="2022-12-31T00:00:00"/>
    <s v="Electricity (non-renewable)"/>
    <n v="24867"/>
    <s v="Kilowatt hours"/>
    <x v="1"/>
    <m/>
    <s v="2023-04-20, 19:15"/>
    <s v="2023-07-20, 00:40"/>
    <n v="2022"/>
    <s v="electricity"/>
    <s v="Electricity"/>
    <s v="model"/>
    <b v="0"/>
    <s v="ELECTRICITY; BRAZIL"/>
    <x v="0"/>
    <x v="0"/>
    <s v="Americas"/>
    <s v="Latin America and the Caribbean"/>
    <s v="BR"/>
    <m/>
    <n v="0"/>
    <s v="CO2"/>
    <n v="2315.1176999999998"/>
    <s v="RESTRICTED"/>
    <s v="KWH"/>
    <n v="1"/>
    <n v="24867"/>
    <s v="AR4"/>
    <s v="IEA"/>
    <s v="IEA (2022)"/>
    <n v="2022"/>
    <n v="2020"/>
    <n v="0"/>
    <n v="0"/>
    <x v="28"/>
    <s v="Unspecified Facility Type"/>
  </r>
  <r>
    <n v="237670"/>
    <s v="Top of Hierarchy &gt; South America &gt; Vantage_Sao Paulo"/>
    <x v="4"/>
    <x v="0"/>
    <d v="2022-01-01T00:00:00"/>
    <d v="2022-12-31T00:00:00"/>
    <x v="0"/>
    <d v="2022-01-01T00:00:00"/>
    <d v="2022-12-31T00:00:00"/>
    <s v="Electricity (non-renewable)"/>
    <n v="24867"/>
    <s v="Kilowatt hours"/>
    <x v="1"/>
    <m/>
    <s v="2023-04-20, 19:15"/>
    <s v="2023-07-20, 00:40"/>
    <n v="2022"/>
    <s v="electricity"/>
    <s v="Electricity"/>
    <s v="model"/>
    <b v="0"/>
    <s v="ELECTRICITY; BRAZIL"/>
    <x v="0"/>
    <x v="0"/>
    <s v="Americas"/>
    <s v="Latin America and the Caribbean"/>
    <s v="BR"/>
    <m/>
    <n v="0"/>
    <s v="CO2E"/>
    <n v="2322.5778"/>
    <s v="RESTRICTED"/>
    <s v="KWH"/>
    <n v="1"/>
    <n v="24867"/>
    <s v="AR4"/>
    <s v="IEA"/>
    <s v="IEA (2022)"/>
    <n v="2022"/>
    <n v="2020"/>
    <n v="2.3225777999999999"/>
    <n v="0"/>
    <x v="28"/>
    <s v="Unspecified Facility Type"/>
  </r>
  <r>
    <n v="237670"/>
    <s v="Top of Hierarchy &gt; South America &gt; Vantage_Sao Paulo"/>
    <x v="4"/>
    <x v="0"/>
    <d v="2022-01-01T00:00:00"/>
    <d v="2022-12-31T00:00:00"/>
    <x v="0"/>
    <d v="2022-01-01T00:00:00"/>
    <d v="2022-12-31T00:00:00"/>
    <s v="Electricity (non-renewable)"/>
    <n v="24867"/>
    <s v="Kilowatt hours"/>
    <x v="1"/>
    <m/>
    <s v="2023-04-20, 19:15"/>
    <s v="2023-07-20, 00:40"/>
    <n v="2022"/>
    <s v="electricity"/>
    <s v="Electricity"/>
    <s v="model"/>
    <b v="0"/>
    <s v="ELECTRICITY; BRAZIL"/>
    <x v="0"/>
    <x v="0"/>
    <s v="Americas"/>
    <s v="Latin America and the Caribbean"/>
    <s v="BR"/>
    <m/>
    <n v="0"/>
    <s v="N2O"/>
    <n v="4.9733999999999998"/>
    <s v="RESTRICTED"/>
    <s v="KWH"/>
    <n v="1"/>
    <n v="24867"/>
    <s v="AR4"/>
    <s v="IEA"/>
    <s v="IEA (2022)"/>
    <n v="2022"/>
    <n v="2020"/>
    <n v="0"/>
    <n v="0"/>
    <x v="28"/>
    <s v="Unspecified Facility Type"/>
  </r>
  <r>
    <n v="237670"/>
    <s v="Top of Hierarchy &gt; South America &gt; Vantage_Sao Paulo"/>
    <x v="4"/>
    <x v="0"/>
    <d v="2022-01-01T00:00:00"/>
    <d v="2022-12-31T00:00:00"/>
    <x v="0"/>
    <d v="2022-01-01T00:00:00"/>
    <d v="2022-12-31T00:00:00"/>
    <s v="Electricity (non-renewable)"/>
    <n v="24867"/>
    <s v="Kilowatt hours"/>
    <x v="1"/>
    <m/>
    <s v="2023-04-20, 19:15"/>
    <s v="2023-07-20, 00:40"/>
    <n v="2022"/>
    <s v="electricity"/>
    <s v="Electricity"/>
    <s v="model"/>
    <b v="0"/>
    <s v="ELECTRICITY; BRAZIL"/>
    <x v="0"/>
    <x v="0"/>
    <s v="Americas"/>
    <s v="Latin America and the Caribbean"/>
    <s v="BR"/>
    <m/>
    <n v="1"/>
    <s v="CH4"/>
    <n v="2.4866999999999999"/>
    <s v="RESTRICTED"/>
    <s v="KWH"/>
    <n v="1"/>
    <n v="24867"/>
    <s v="AR4"/>
    <s v="IEA"/>
    <s v="IEA (2022)"/>
    <n v="2022"/>
    <n v="2020"/>
    <n v="0"/>
    <n v="0"/>
    <x v="28"/>
    <s v="Unspecified Facility Type"/>
  </r>
  <r>
    <n v="237670"/>
    <s v="Top of Hierarchy &gt; South America &gt; Vantage_Sao Paulo"/>
    <x v="4"/>
    <x v="0"/>
    <d v="2022-01-01T00:00:00"/>
    <d v="2022-12-31T00:00:00"/>
    <x v="0"/>
    <d v="2022-01-01T00:00:00"/>
    <d v="2022-12-31T00:00:00"/>
    <s v="Electricity (non-renewable)"/>
    <n v="24867"/>
    <s v="Kilowatt hours"/>
    <x v="1"/>
    <m/>
    <s v="2023-04-20, 19:15"/>
    <s v="2023-07-20, 00:40"/>
    <n v="2022"/>
    <s v="electricity"/>
    <s v="Electricity"/>
    <s v="model"/>
    <b v="0"/>
    <s v="ELECTRICITY; BRAZIL"/>
    <x v="0"/>
    <x v="0"/>
    <s v="Americas"/>
    <s v="Latin America and the Caribbean"/>
    <s v="BR"/>
    <m/>
    <n v="1"/>
    <s v="CO2"/>
    <n v="2315.1176999999998"/>
    <s v="RESTRICTED"/>
    <s v="KWH"/>
    <n v="1"/>
    <n v="24867"/>
    <s v="AR4"/>
    <s v="IEA"/>
    <s v="IEA (2022)"/>
    <n v="2022"/>
    <n v="2020"/>
    <n v="0"/>
    <n v="0"/>
    <x v="28"/>
    <s v="Unspecified Facility Type"/>
  </r>
  <r>
    <n v="237670"/>
    <s v="Top of Hierarchy &gt; South America &gt; Vantage_Sao Paulo"/>
    <x v="4"/>
    <x v="0"/>
    <d v="2022-01-01T00:00:00"/>
    <d v="2022-12-31T00:00:00"/>
    <x v="0"/>
    <d v="2022-01-01T00:00:00"/>
    <d v="2022-12-31T00:00:00"/>
    <s v="Electricity (non-renewable)"/>
    <n v="24867"/>
    <s v="Kilowatt hours"/>
    <x v="1"/>
    <m/>
    <s v="2023-04-20, 19:15"/>
    <s v="2023-07-20, 00:40"/>
    <n v="2022"/>
    <s v="electricity"/>
    <s v="Electricity"/>
    <s v="model"/>
    <b v="0"/>
    <s v="ELECTRICITY; BRAZIL"/>
    <x v="0"/>
    <x v="0"/>
    <s v="Americas"/>
    <s v="Latin America and the Caribbean"/>
    <s v="BR"/>
    <m/>
    <n v="1"/>
    <s v="CO2E"/>
    <n v="2322.5778"/>
    <s v="RESTRICTED"/>
    <s v="KWH"/>
    <n v="1"/>
    <n v="24867"/>
    <s v="AR4"/>
    <s v="IEA"/>
    <s v="IEA (2022)"/>
    <n v="2022"/>
    <n v="2020"/>
    <n v="0"/>
    <n v="2.3225777999999999"/>
    <x v="28"/>
    <s v="Unspecified Facility Type"/>
  </r>
  <r>
    <n v="237670"/>
    <s v="Top of Hierarchy &gt; South America &gt; Vantage_Sao Paulo"/>
    <x v="4"/>
    <x v="0"/>
    <d v="2022-01-01T00:00:00"/>
    <d v="2022-12-31T00:00:00"/>
    <x v="0"/>
    <d v="2022-01-01T00:00:00"/>
    <d v="2022-12-31T00:00:00"/>
    <s v="Electricity (non-renewable)"/>
    <n v="24867"/>
    <s v="Kilowatt hours"/>
    <x v="1"/>
    <m/>
    <s v="2023-04-20, 19:15"/>
    <s v="2023-07-20, 00:40"/>
    <n v="2022"/>
    <s v="electricity"/>
    <s v="Electricity"/>
    <s v="model"/>
    <b v="0"/>
    <s v="ELECTRICITY; BRAZIL"/>
    <x v="0"/>
    <x v="0"/>
    <s v="Americas"/>
    <s v="Latin America and the Caribbean"/>
    <s v="BR"/>
    <m/>
    <n v="1"/>
    <s v="N2O"/>
    <n v="4.9733999999999998"/>
    <s v="RESTRICTED"/>
    <s v="KWH"/>
    <n v="1"/>
    <n v="24867"/>
    <s v="AR4"/>
    <s v="IEA"/>
    <s v="IEA (2022)"/>
    <n v="2022"/>
    <n v="2020"/>
    <n v="0"/>
    <n v="0"/>
    <x v="28"/>
    <s v="Unspecified Facility Type"/>
  </r>
  <r>
    <n v="237670"/>
    <s v="Top of Hierarchy &gt; South America &gt; Vantage_Sao Paulo"/>
    <x v="4"/>
    <x v="0"/>
    <d v="2022-01-01T00:00:00"/>
    <d v="2022-12-31T00:00:00"/>
    <x v="0"/>
    <d v="2022-01-01T00:00:00"/>
    <d v="2022-12-31T00:00:00"/>
    <s v="Electricity (non-renewable)"/>
    <n v="24867"/>
    <s v="Kilowatt hours"/>
    <x v="1"/>
    <m/>
    <s v="2023-04-20, 19:15"/>
    <s v="2023-07-20, 00:40"/>
    <n v="2022"/>
    <s v="electricity__t+d__wtt"/>
    <s v="Electricity T&amp;D WTT"/>
    <s v="t+d_wtt"/>
    <b v="0"/>
    <s v="ELECTRICITY T&amp;D WTT; BRAZIL"/>
    <x v="1"/>
    <x v="1"/>
    <s v="Americas"/>
    <s v="Latin America and the Caribbean"/>
    <s v="BR"/>
    <m/>
    <n v="0"/>
    <s v="CO2E"/>
    <n v="48.503289690000003"/>
    <n v="1.9505080000000001E-3"/>
    <s v="KWH"/>
    <n v="1"/>
    <n v="24867"/>
    <s v="AR4"/>
    <s v="Anthesis"/>
    <s v="Anthesis (2022)"/>
    <n v="2022"/>
    <n v="2020"/>
    <n v="4.850328969E-2"/>
    <n v="0"/>
    <x v="28"/>
    <s v="Unspecified Facility Type"/>
  </r>
  <r>
    <n v="237670"/>
    <s v="Top of Hierarchy &gt; South America &gt; Vantage_Sao Paulo"/>
    <x v="4"/>
    <x v="0"/>
    <d v="2022-01-01T00:00:00"/>
    <d v="2022-12-31T00:00:00"/>
    <x v="0"/>
    <d v="2022-01-01T00:00:00"/>
    <d v="2022-12-31T00:00:00"/>
    <s v="Electricity (non-renewable)"/>
    <n v="24867"/>
    <s v="Kilowatt hours"/>
    <x v="1"/>
    <m/>
    <s v="2023-04-20, 19:15"/>
    <s v="2023-07-20, 00:40"/>
    <n v="2022"/>
    <s v="electricity__t+d__wtt"/>
    <s v="Electricity T&amp;D WTT"/>
    <s v="t+d_wtt"/>
    <b v="0"/>
    <s v="ELECTRICITY T&amp;D WTT; BRAZIL"/>
    <x v="1"/>
    <x v="1"/>
    <s v="Americas"/>
    <s v="Latin America and the Caribbean"/>
    <s v="BR"/>
    <m/>
    <n v="1"/>
    <s v="CO2E"/>
    <n v="48.503289690000003"/>
    <n v="1.9505080000000001E-3"/>
    <s v="KWH"/>
    <n v="1"/>
    <n v="24867"/>
    <s v="AR4"/>
    <s v="Anthesis"/>
    <s v="Anthesis (2022)"/>
    <n v="2022"/>
    <n v="2020"/>
    <n v="0"/>
    <n v="4.850328969E-2"/>
    <x v="28"/>
    <s v="Unspecified Facility Type"/>
  </r>
  <r>
    <n v="237670"/>
    <s v="Top of Hierarchy &gt; South America &gt; Vantage_Sao Paulo"/>
    <x v="4"/>
    <x v="0"/>
    <d v="2022-01-01T00:00:00"/>
    <d v="2022-12-31T00:00:00"/>
    <x v="0"/>
    <d v="2022-01-01T00:00:00"/>
    <d v="2022-12-31T00:00:00"/>
    <s v="Electricity (non-renewable)"/>
    <n v="24867"/>
    <s v="Kilowatt hours"/>
    <x v="1"/>
    <m/>
    <s v="2023-04-20, 19:15"/>
    <s v="2023-07-20, 00:40"/>
    <n v="2022"/>
    <s v="electricity__wtt"/>
    <s v="Electricity WTT"/>
    <s v="wtt"/>
    <b v="0"/>
    <s v="ELECTRICITY WTT; BRAZIL"/>
    <x v="1"/>
    <x v="1"/>
    <s v="Americas"/>
    <s v="Latin America and the Caribbean"/>
    <s v="BR"/>
    <m/>
    <n v="0"/>
    <s v="CO2E"/>
    <n v="294.16930239999999"/>
    <n v="1.1829706000000001E-2"/>
    <s v="KWH"/>
    <n v="1"/>
    <n v="24867"/>
    <s v="AR4"/>
    <s v="Anthesis"/>
    <s v="Anthesis (2022)"/>
    <n v="2022"/>
    <n v="2020"/>
    <n v="0.2941693024"/>
    <n v="0"/>
    <x v="28"/>
    <s v="Unspecified Facility Type"/>
  </r>
  <r>
    <n v="237670"/>
    <s v="Top of Hierarchy &gt; South America &gt; Vantage_Sao Paulo"/>
    <x v="4"/>
    <x v="0"/>
    <d v="2022-01-01T00:00:00"/>
    <d v="2022-12-31T00:00:00"/>
    <x v="0"/>
    <d v="2022-01-01T00:00:00"/>
    <d v="2022-12-31T00:00:00"/>
    <s v="Electricity (non-renewable)"/>
    <n v="24867"/>
    <s v="Kilowatt hours"/>
    <x v="1"/>
    <m/>
    <s v="2023-04-20, 19:15"/>
    <s v="2023-07-20, 00:40"/>
    <n v="2022"/>
    <s v="electricity__wtt"/>
    <s v="Electricity WTT"/>
    <s v="wtt"/>
    <b v="0"/>
    <s v="ELECTRICITY WTT; BRAZIL"/>
    <x v="1"/>
    <x v="1"/>
    <s v="Americas"/>
    <s v="Latin America and the Caribbean"/>
    <s v="BR"/>
    <m/>
    <n v="1"/>
    <s v="CO2E"/>
    <n v="294.16930239999999"/>
    <n v="1.1829706000000001E-2"/>
    <s v="KWH"/>
    <n v="1"/>
    <n v="24867"/>
    <s v="AR4"/>
    <s v="Anthesis"/>
    <s v="Anthesis (2022)"/>
    <n v="2022"/>
    <n v="2020"/>
    <n v="0"/>
    <n v="0.2941693024"/>
    <x v="28"/>
    <s v="Unspecified Facility Type"/>
  </r>
  <r>
    <n v="237670"/>
    <s v="Top of Hierarchy &gt; South America &gt; Vantage_Sao Paulo"/>
    <x v="4"/>
    <x v="0"/>
    <d v="2022-01-01T00:00:00"/>
    <d v="2022-12-31T00:00:00"/>
    <x v="0"/>
    <d v="2022-01-01T00:00:00"/>
    <d v="2022-12-31T00:00:00"/>
    <s v="Electricity (non-renewable)"/>
    <n v="24867"/>
    <s v="Kilowatt hours"/>
    <x v="1"/>
    <m/>
    <s v="2023-04-20, 19:15"/>
    <s v="2023-07-20, 00:40"/>
    <n v="2022"/>
    <s v="electricity__t+d"/>
    <s v="Electricity T&amp;D"/>
    <s v="t+d"/>
    <b v="0"/>
    <s v="ELECTRICITY; TRANSMISSION AND DISTRIBUTION; BRAZIL"/>
    <x v="1"/>
    <x v="1"/>
    <s v="Americas"/>
    <s v="Latin America and the Caribbean"/>
    <s v="BR"/>
    <m/>
    <n v="0"/>
    <s v="CO2E"/>
    <n v="382.95179999999999"/>
    <s v="RESTRICTED"/>
    <s v="KWH"/>
    <n v="1"/>
    <n v="24867"/>
    <s v="AR4"/>
    <s v="IEA"/>
    <s v="IEA (2022)"/>
    <n v="2022"/>
    <n v="2020"/>
    <n v="0.38295180000000001"/>
    <n v="0"/>
    <x v="28"/>
    <s v="Unspecified Facility Type"/>
  </r>
  <r>
    <n v="237670"/>
    <s v="Top of Hierarchy &gt; South America &gt; Vantage_Sao Paulo"/>
    <x v="4"/>
    <x v="0"/>
    <d v="2022-01-01T00:00:00"/>
    <d v="2022-12-31T00:00:00"/>
    <x v="0"/>
    <d v="2022-01-01T00:00:00"/>
    <d v="2022-12-31T00:00:00"/>
    <s v="Electricity (non-renewable)"/>
    <n v="24867"/>
    <s v="Kilowatt hours"/>
    <x v="1"/>
    <m/>
    <s v="2023-04-20, 19:15"/>
    <s v="2023-07-20, 00:40"/>
    <n v="2022"/>
    <s v="electricity__t+d"/>
    <s v="Electricity T&amp;D"/>
    <s v="t+d"/>
    <b v="0"/>
    <s v="ELECTRICITY; TRANSMISSION AND DISTRIBUTION; BRAZIL"/>
    <x v="1"/>
    <x v="1"/>
    <s v="Americas"/>
    <s v="Latin America and the Caribbean"/>
    <s v="BR"/>
    <m/>
    <n v="1"/>
    <s v="CO2E"/>
    <n v="382.95179999999999"/>
    <s v="RESTRICTED"/>
    <s v="KWH"/>
    <n v="1"/>
    <n v="24867"/>
    <s v="AR4"/>
    <s v="IEA"/>
    <s v="IEA (2022)"/>
    <n v="2022"/>
    <n v="2020"/>
    <n v="0"/>
    <n v="0.38295180000000001"/>
    <x v="28"/>
    <s v="Unspecified Facility Type"/>
  </r>
  <r>
    <n v="237668"/>
    <s v="Top of Hierarchy &gt; South America &gt; Vantage_Sao Paulo"/>
    <x v="4"/>
    <x v="0"/>
    <d v="2022-01-01T00:00:00"/>
    <d v="2022-12-31T00:00:00"/>
    <x v="3"/>
    <d v="2022-01-01T00:00:00"/>
    <d v="2022-12-31T00:00:00"/>
    <s v="Natural gas"/>
    <n v="0"/>
    <s v="gigajoules"/>
    <x v="1"/>
    <m/>
    <s v="2023-04-20, 19:10"/>
    <s v="2023-07-20, 00:40"/>
    <n v="2022"/>
    <s v="natural_gas"/>
    <s v="Natural Gas"/>
    <s v="model"/>
    <b v="0"/>
    <s v="NATURAL GAS, NATURAL GAS"/>
    <x v="2"/>
    <x v="0"/>
    <s v="Americas"/>
    <m/>
    <m/>
    <m/>
    <n v="0"/>
    <s v="CH4"/>
    <n v="0"/>
    <n v="2.5000000000000001E-2"/>
    <s v="MMBTU"/>
    <n v="0.94781711999999996"/>
    <n v="0"/>
    <s v="AR4"/>
    <s v="USEPA"/>
    <s v="USEPA Emission Factors Hub (Last Modified: March 2020)"/>
    <n v="2022"/>
    <n v="2021"/>
    <n v="0"/>
    <n v="0"/>
    <x v="28"/>
    <s v="Unspecified Facility Type"/>
  </r>
  <r>
    <n v="237668"/>
    <s v="Top of Hierarchy &gt; South America &gt; Vantage_Sao Paulo"/>
    <x v="4"/>
    <x v="0"/>
    <d v="2022-01-01T00:00:00"/>
    <d v="2022-12-31T00:00:00"/>
    <x v="3"/>
    <d v="2022-01-01T00:00:00"/>
    <d v="2022-12-31T00:00:00"/>
    <s v="Natural gas"/>
    <n v="0"/>
    <s v="gigajoules"/>
    <x v="1"/>
    <m/>
    <s v="2023-04-20, 19:10"/>
    <s v="2023-07-20, 00:40"/>
    <n v="2022"/>
    <s v="natural_gas"/>
    <s v="Natural Gas"/>
    <s v="model"/>
    <b v="0"/>
    <s v="NATURAL GAS, NATURAL GAS"/>
    <x v="2"/>
    <x v="0"/>
    <s v="Americas"/>
    <m/>
    <m/>
    <m/>
    <n v="0"/>
    <s v="CO2"/>
    <n v="0"/>
    <n v="53.06"/>
    <s v="MMBTU"/>
    <n v="0.94781711999999996"/>
    <n v="0"/>
    <s v="AR4"/>
    <s v="USEPA"/>
    <s v="USEPA (2022)"/>
    <n v="2022"/>
    <n v="2022"/>
    <n v="0"/>
    <n v="0"/>
    <x v="28"/>
    <s v="Unspecified Facility Type"/>
  </r>
  <r>
    <n v="237668"/>
    <s v="Top of Hierarchy &gt; South America &gt; Vantage_Sao Paulo"/>
    <x v="4"/>
    <x v="0"/>
    <d v="2022-01-01T00:00:00"/>
    <d v="2022-12-31T00:00:00"/>
    <x v="3"/>
    <d v="2022-01-01T00:00:00"/>
    <d v="2022-12-31T00:00:00"/>
    <s v="Natural gas"/>
    <n v="0"/>
    <s v="gigajoules"/>
    <x v="1"/>
    <m/>
    <s v="2023-04-20, 19:10"/>
    <s v="2023-07-20, 00:40"/>
    <n v="2022"/>
    <s v="natural_gas"/>
    <s v="Natural Gas"/>
    <s v="model"/>
    <b v="0"/>
    <s v="NATURAL GAS, NATURAL GAS"/>
    <x v="2"/>
    <x v="0"/>
    <s v="Americas"/>
    <m/>
    <m/>
    <m/>
    <n v="0"/>
    <s v="CO2E"/>
    <n v="0"/>
    <n v="53.114800000000002"/>
    <s v="MMBTU"/>
    <n v="0.94781711999999996"/>
    <n v="0"/>
    <s v="AR4"/>
    <s v="USEPA"/>
    <s v="USEPA Emission Factors Hub (Last Modified: March 2020)"/>
    <n v="2022"/>
    <n v="2021"/>
    <n v="0"/>
    <n v="0"/>
    <x v="28"/>
    <s v="Unspecified Facility Type"/>
  </r>
  <r>
    <n v="237668"/>
    <s v="Top of Hierarchy &gt; South America &gt; Vantage_Sao Paulo"/>
    <x v="4"/>
    <x v="0"/>
    <d v="2022-01-01T00:00:00"/>
    <d v="2022-12-31T00:00:00"/>
    <x v="3"/>
    <d v="2022-01-01T00:00:00"/>
    <d v="2022-12-31T00:00:00"/>
    <s v="Natural gas"/>
    <n v="0"/>
    <s v="gigajoules"/>
    <x v="1"/>
    <m/>
    <s v="2023-04-20, 19:10"/>
    <s v="2023-07-20, 00:40"/>
    <n v="2022"/>
    <s v="natural_gas"/>
    <s v="Natural Gas"/>
    <s v="model"/>
    <b v="0"/>
    <s v="NATURAL GAS, NATURAL GAS"/>
    <x v="2"/>
    <x v="0"/>
    <s v="Americas"/>
    <m/>
    <m/>
    <m/>
    <n v="0"/>
    <s v="N2O"/>
    <n v="0"/>
    <n v="2.98E-2"/>
    <s v="MMBTU"/>
    <n v="0.94781711999999996"/>
    <n v="0"/>
    <s v="AR4"/>
    <s v="USEPA"/>
    <s v="USEPA (2022)"/>
    <n v="2022"/>
    <n v="2022"/>
    <n v="0"/>
    <n v="0"/>
    <x v="28"/>
    <s v="Unspecified Facility Type"/>
  </r>
  <r>
    <n v="237668"/>
    <s v="Top of Hierarchy &gt; South America &gt; Vantage_Sao Paulo"/>
    <x v="4"/>
    <x v="0"/>
    <d v="2022-01-01T00:00:00"/>
    <d v="2022-12-31T00:00:00"/>
    <x v="3"/>
    <d v="2022-01-01T00:00:00"/>
    <d v="2022-12-31T00:00:00"/>
    <s v="Natural gas"/>
    <n v="0"/>
    <s v="gigajoules"/>
    <x v="1"/>
    <m/>
    <s v="2023-04-20, 19:10"/>
    <s v="2023-07-20, 00:40"/>
    <n v="2022"/>
    <s v="natural_gas"/>
    <s v="Natural Gas"/>
    <s v="model"/>
    <b v="0"/>
    <s v="NATURAL GAS, NATURAL GAS"/>
    <x v="2"/>
    <x v="0"/>
    <s v="Americas"/>
    <m/>
    <m/>
    <m/>
    <n v="1"/>
    <s v="CH4"/>
    <n v="0"/>
    <n v="2.5000000000000001E-2"/>
    <s v="MMBTU"/>
    <n v="0.94781711999999996"/>
    <n v="0"/>
    <s v="AR4"/>
    <s v="USEPA"/>
    <s v="USEPA Emission Factors Hub (Last Modified: March 2020)"/>
    <n v="2022"/>
    <n v="2021"/>
    <n v="0"/>
    <n v="0"/>
    <x v="28"/>
    <s v="Unspecified Facility Type"/>
  </r>
  <r>
    <n v="237668"/>
    <s v="Top of Hierarchy &gt; South America &gt; Vantage_Sao Paulo"/>
    <x v="4"/>
    <x v="0"/>
    <d v="2022-01-01T00:00:00"/>
    <d v="2022-12-31T00:00:00"/>
    <x v="3"/>
    <d v="2022-01-01T00:00:00"/>
    <d v="2022-12-31T00:00:00"/>
    <s v="Natural gas"/>
    <n v="0"/>
    <s v="gigajoules"/>
    <x v="1"/>
    <m/>
    <s v="2023-04-20, 19:10"/>
    <s v="2023-07-20, 00:40"/>
    <n v="2022"/>
    <s v="natural_gas"/>
    <s v="Natural Gas"/>
    <s v="model"/>
    <b v="0"/>
    <s v="NATURAL GAS, NATURAL GAS"/>
    <x v="2"/>
    <x v="0"/>
    <s v="Americas"/>
    <m/>
    <m/>
    <m/>
    <n v="1"/>
    <s v="CO2"/>
    <n v="0"/>
    <n v="53.06"/>
    <s v="MMBTU"/>
    <n v="0.94781711999999996"/>
    <n v="0"/>
    <s v="AR4"/>
    <s v="USEPA"/>
    <s v="USEPA (2022)"/>
    <n v="2022"/>
    <n v="2022"/>
    <n v="0"/>
    <n v="0"/>
    <x v="28"/>
    <s v="Unspecified Facility Type"/>
  </r>
  <r>
    <n v="237668"/>
    <s v="Top of Hierarchy &gt; South America &gt; Vantage_Sao Paulo"/>
    <x v="4"/>
    <x v="0"/>
    <d v="2022-01-01T00:00:00"/>
    <d v="2022-12-31T00:00:00"/>
    <x v="3"/>
    <d v="2022-01-01T00:00:00"/>
    <d v="2022-12-31T00:00:00"/>
    <s v="Natural gas"/>
    <n v="0"/>
    <s v="gigajoules"/>
    <x v="1"/>
    <m/>
    <s v="2023-04-20, 19:10"/>
    <s v="2023-07-20, 00:40"/>
    <n v="2022"/>
    <s v="natural_gas"/>
    <s v="Natural Gas"/>
    <s v="model"/>
    <b v="0"/>
    <s v="NATURAL GAS, NATURAL GAS"/>
    <x v="2"/>
    <x v="0"/>
    <s v="Americas"/>
    <m/>
    <m/>
    <m/>
    <n v="1"/>
    <s v="CO2E"/>
    <n v="0"/>
    <n v="53.114800000000002"/>
    <s v="MMBTU"/>
    <n v="0.94781711999999996"/>
    <n v="0"/>
    <s v="AR4"/>
    <s v="USEPA"/>
    <s v="USEPA Emission Factors Hub (Last Modified: March 2020)"/>
    <n v="2022"/>
    <n v="2021"/>
    <n v="0"/>
    <n v="0"/>
    <x v="28"/>
    <s v="Unspecified Facility Type"/>
  </r>
  <r>
    <n v="237668"/>
    <s v="Top of Hierarchy &gt; South America &gt; Vantage_Sao Paulo"/>
    <x v="4"/>
    <x v="0"/>
    <d v="2022-01-01T00:00:00"/>
    <d v="2022-12-31T00:00:00"/>
    <x v="3"/>
    <d v="2022-01-01T00:00:00"/>
    <d v="2022-12-31T00:00:00"/>
    <s v="Natural gas"/>
    <n v="0"/>
    <s v="gigajoules"/>
    <x v="1"/>
    <m/>
    <s v="2023-04-20, 19:10"/>
    <s v="2023-07-20, 00:40"/>
    <n v="2022"/>
    <s v="natural_gas"/>
    <s v="Natural Gas"/>
    <s v="model"/>
    <b v="0"/>
    <s v="NATURAL GAS, NATURAL GAS"/>
    <x v="2"/>
    <x v="0"/>
    <s v="Americas"/>
    <m/>
    <m/>
    <m/>
    <n v="1"/>
    <s v="N2O"/>
    <n v="0"/>
    <n v="2.98E-2"/>
    <s v="MMBTU"/>
    <n v="0.94781711999999996"/>
    <n v="0"/>
    <s v="AR4"/>
    <s v="USEPA"/>
    <s v="USEPA (2022)"/>
    <n v="2022"/>
    <n v="2022"/>
    <n v="0"/>
    <n v="0"/>
    <x v="28"/>
    <s v="Unspecified Facility Type"/>
  </r>
  <r>
    <n v="237668"/>
    <s v="Top of Hierarchy &gt; South America &gt; Vantage_Sao Paulo"/>
    <x v="4"/>
    <x v="0"/>
    <d v="2022-01-01T00:00:00"/>
    <d v="2022-12-31T00:00:00"/>
    <x v="3"/>
    <d v="2022-01-01T00:00:00"/>
    <d v="2022-12-31T00:00:00"/>
    <s v="Natural gas"/>
    <n v="0"/>
    <s v="gigajoules"/>
    <x v="1"/>
    <m/>
    <s v="2023-04-20, 19:10"/>
    <s v="2023-07-20, 00:40"/>
    <n v="2022"/>
    <s v="natural_gas__wtt"/>
    <s v="Natural Gas WTT"/>
    <s v="wtt"/>
    <b v="0"/>
    <s v="WTT- FUELS; GASEOUS FUELS; NATURAL GAS"/>
    <x v="1"/>
    <x v="1"/>
    <m/>
    <m/>
    <m/>
    <m/>
    <n v="0"/>
    <s v="CO2E"/>
    <n v="0"/>
    <n v="3.1099999999999999E-2"/>
    <s v="KWH (GROSS CV)"/>
    <n v="277.77777780000002"/>
    <n v="0"/>
    <s v="AR4"/>
    <s v="Defra"/>
    <s v="Defra (2022)"/>
    <n v="2022"/>
    <n v="2020"/>
    <n v="0"/>
    <n v="0"/>
    <x v="28"/>
    <s v="Unspecified Facility Type"/>
  </r>
  <r>
    <n v="237668"/>
    <s v="Top of Hierarchy &gt; South America &gt; Vantage_Sao Paulo"/>
    <x v="4"/>
    <x v="0"/>
    <d v="2022-01-01T00:00:00"/>
    <d v="2022-12-31T00:00:00"/>
    <x v="3"/>
    <d v="2022-01-01T00:00:00"/>
    <d v="2022-12-31T00:00:00"/>
    <s v="Natural gas"/>
    <n v="0"/>
    <s v="gigajoules"/>
    <x v="1"/>
    <m/>
    <s v="2023-04-20, 19:10"/>
    <s v="2023-07-20, 00:40"/>
    <n v="2022"/>
    <s v="natural_gas__wtt"/>
    <s v="Natural Gas WTT"/>
    <s v="wtt"/>
    <b v="0"/>
    <s v="WTT- FUELS; GASEOUS FUELS; NATURAL GAS"/>
    <x v="1"/>
    <x v="1"/>
    <m/>
    <m/>
    <m/>
    <m/>
    <n v="1"/>
    <s v="CO2E"/>
    <n v="0"/>
    <n v="3.1099999999999999E-2"/>
    <s v="KWH (GROSS CV)"/>
    <n v="277.77777780000002"/>
    <n v="0"/>
    <s v="AR4"/>
    <s v="Defra"/>
    <s v="Defra (2022)"/>
    <n v="2022"/>
    <n v="2020"/>
    <n v="0"/>
    <n v="0"/>
    <x v="28"/>
    <s v="Unspecified Facility Type"/>
  </r>
  <r>
    <n v="237666"/>
    <s v="Top of Hierarchy &gt; South America &gt; Vantage_Sao Paulo"/>
    <x v="4"/>
    <x v="0"/>
    <d v="2022-01-01T00:00:00"/>
    <d v="2022-12-31T00:00:00"/>
    <x v="1"/>
    <d v="2022-01-01T00:00:00"/>
    <d v="2022-12-31T00:00:00"/>
    <s v="Diesel (100% mineral diesel)"/>
    <n v="0"/>
    <s v="joules"/>
    <x v="1"/>
    <m/>
    <s v="2023-04-20, 19:09"/>
    <s v="2023-07-20, 00:40"/>
    <n v="2022"/>
    <s v="diesel_100p_mineral_diesel"/>
    <s v="Diesel (100% Mineral Diesel)"/>
    <s v="model"/>
    <b v="0"/>
    <s v="FUELS; LIQUID FUELS; DIESEL (100% MINERAL DIESEL)"/>
    <x v="2"/>
    <x v="0"/>
    <m/>
    <m/>
    <m/>
    <m/>
    <n v="0"/>
    <s v="CH4"/>
    <n v="0"/>
    <n v="2.0000000000000002E-5"/>
    <s v="KWH (GROSS CV)"/>
    <n v="2.8000000000000002E-7"/>
    <n v="0"/>
    <s v="AR4"/>
    <s v="Defra"/>
    <s v="Defra (2022)"/>
    <n v="2022"/>
    <n v="2020"/>
    <n v="0"/>
    <n v="0"/>
    <x v="28"/>
    <s v="Unspecified Facility Type"/>
  </r>
  <r>
    <n v="237666"/>
    <s v="Top of Hierarchy &gt; South America &gt; Vantage_Sao Paulo"/>
    <x v="4"/>
    <x v="0"/>
    <d v="2022-01-01T00:00:00"/>
    <d v="2022-12-31T00:00:00"/>
    <x v="1"/>
    <d v="2022-01-01T00:00:00"/>
    <d v="2022-12-31T00:00:00"/>
    <s v="Diesel (100% mineral diesel)"/>
    <n v="0"/>
    <s v="joules"/>
    <x v="1"/>
    <m/>
    <s v="2023-04-20, 19:09"/>
    <s v="2023-07-20, 00:40"/>
    <n v="2022"/>
    <s v="diesel_100p_mineral_diesel"/>
    <s v="Diesel (100% Mineral Diesel)"/>
    <s v="model"/>
    <b v="0"/>
    <s v="FUELS; LIQUID FUELS; DIESEL (100% MINERAL DIESEL)"/>
    <x v="2"/>
    <x v="0"/>
    <m/>
    <m/>
    <m/>
    <m/>
    <n v="0"/>
    <s v="CO2"/>
    <n v="0"/>
    <n v="0.24970999999999999"/>
    <s v="KWH (GROSS CV)"/>
    <n v="2.8000000000000002E-7"/>
    <n v="0"/>
    <s v="AR4"/>
    <s v="Defra"/>
    <s v="Defra (2022)"/>
    <n v="2022"/>
    <n v="2020"/>
    <n v="0"/>
    <n v="0"/>
    <x v="28"/>
    <s v="Unspecified Facility Type"/>
  </r>
  <r>
    <n v="237666"/>
    <s v="Top of Hierarchy &gt; South America &gt; Vantage_Sao Paulo"/>
    <x v="4"/>
    <x v="0"/>
    <d v="2022-01-01T00:00:00"/>
    <d v="2022-12-31T00:00:00"/>
    <x v="1"/>
    <d v="2022-01-01T00:00:00"/>
    <d v="2022-12-31T00:00:00"/>
    <s v="Diesel (100% mineral diesel)"/>
    <n v="0"/>
    <s v="joules"/>
    <x v="1"/>
    <m/>
    <s v="2023-04-20, 19:09"/>
    <s v="2023-07-20, 00:40"/>
    <n v="2022"/>
    <s v="diesel_100p_mineral_diesel"/>
    <s v="Diesel (100% Mineral Diesel)"/>
    <s v="model"/>
    <b v="0"/>
    <s v="FUELS; LIQUID FUELS; DIESEL (100% MINERAL DIESEL)"/>
    <x v="2"/>
    <x v="0"/>
    <m/>
    <m/>
    <m/>
    <m/>
    <n v="0"/>
    <s v="CO2E"/>
    <n v="0"/>
    <n v="0.25320999999999999"/>
    <s v="KWH (GROSS CV)"/>
    <n v="2.8000000000000002E-7"/>
    <n v="0"/>
    <s v="AR4"/>
    <s v="Defra"/>
    <s v="Defra (2022)"/>
    <n v="2022"/>
    <n v="2020"/>
    <n v="0"/>
    <n v="0"/>
    <x v="28"/>
    <s v="Unspecified Facility Type"/>
  </r>
  <r>
    <n v="237666"/>
    <s v="Top of Hierarchy &gt; South America &gt; Vantage_Sao Paulo"/>
    <x v="4"/>
    <x v="0"/>
    <d v="2022-01-01T00:00:00"/>
    <d v="2022-12-31T00:00:00"/>
    <x v="1"/>
    <d v="2022-01-01T00:00:00"/>
    <d v="2022-12-31T00:00:00"/>
    <s v="Diesel (100% mineral diesel)"/>
    <n v="0"/>
    <s v="joules"/>
    <x v="1"/>
    <m/>
    <s v="2023-04-20, 19:09"/>
    <s v="2023-07-20, 00:40"/>
    <n v="2022"/>
    <s v="diesel_100p_mineral_diesel"/>
    <s v="Diesel (100% Mineral Diesel)"/>
    <s v="model"/>
    <b v="0"/>
    <s v="FUELS; LIQUID FUELS; DIESEL (100% MINERAL DIESEL)"/>
    <x v="2"/>
    <x v="0"/>
    <m/>
    <m/>
    <m/>
    <m/>
    <n v="0"/>
    <s v="N2O"/>
    <n v="0"/>
    <n v="3.48E-3"/>
    <s v="KWH (GROSS CV)"/>
    <n v="2.8000000000000002E-7"/>
    <n v="0"/>
    <s v="AR4"/>
    <s v="Defra"/>
    <s v="Defra (2022)"/>
    <n v="2022"/>
    <n v="2020"/>
    <n v="0"/>
    <n v="0"/>
    <x v="28"/>
    <s v="Unspecified Facility Type"/>
  </r>
  <r>
    <n v="237666"/>
    <s v="Top of Hierarchy &gt; South America &gt; Vantage_Sao Paulo"/>
    <x v="4"/>
    <x v="0"/>
    <d v="2022-01-01T00:00:00"/>
    <d v="2022-12-31T00:00:00"/>
    <x v="1"/>
    <d v="2022-01-01T00:00:00"/>
    <d v="2022-12-31T00:00:00"/>
    <s v="Diesel (100% mineral diesel)"/>
    <n v="0"/>
    <s v="joules"/>
    <x v="1"/>
    <m/>
    <s v="2023-04-20, 19:09"/>
    <s v="2023-07-20, 00:40"/>
    <n v="2022"/>
    <s v="diesel_100p_mineral_diesel"/>
    <s v="Diesel (100% Mineral Diesel)"/>
    <s v="model"/>
    <b v="0"/>
    <s v="FUELS; LIQUID FUELS; DIESEL (100% MINERAL DIESEL)"/>
    <x v="2"/>
    <x v="0"/>
    <m/>
    <m/>
    <m/>
    <m/>
    <n v="1"/>
    <s v="CH4"/>
    <n v="0"/>
    <n v="2.0000000000000002E-5"/>
    <s v="KWH (GROSS CV)"/>
    <n v="2.8000000000000002E-7"/>
    <n v="0"/>
    <s v="AR4"/>
    <s v="Defra"/>
    <s v="Defra (2022)"/>
    <n v="2022"/>
    <n v="2020"/>
    <n v="0"/>
    <n v="0"/>
    <x v="28"/>
    <s v="Unspecified Facility Type"/>
  </r>
  <r>
    <n v="237666"/>
    <s v="Top of Hierarchy &gt; South America &gt; Vantage_Sao Paulo"/>
    <x v="4"/>
    <x v="0"/>
    <d v="2022-01-01T00:00:00"/>
    <d v="2022-12-31T00:00:00"/>
    <x v="1"/>
    <d v="2022-01-01T00:00:00"/>
    <d v="2022-12-31T00:00:00"/>
    <s v="Diesel (100% mineral diesel)"/>
    <n v="0"/>
    <s v="joules"/>
    <x v="1"/>
    <m/>
    <s v="2023-04-20, 19:09"/>
    <s v="2023-07-20, 00:40"/>
    <n v="2022"/>
    <s v="diesel_100p_mineral_diesel"/>
    <s v="Diesel (100% Mineral Diesel)"/>
    <s v="model"/>
    <b v="0"/>
    <s v="FUELS; LIQUID FUELS; DIESEL (100% MINERAL DIESEL)"/>
    <x v="2"/>
    <x v="0"/>
    <m/>
    <m/>
    <m/>
    <m/>
    <n v="1"/>
    <s v="CO2"/>
    <n v="0"/>
    <n v="0.24970999999999999"/>
    <s v="KWH (GROSS CV)"/>
    <n v="2.8000000000000002E-7"/>
    <n v="0"/>
    <s v="AR4"/>
    <s v="Defra"/>
    <s v="Defra (2022)"/>
    <n v="2022"/>
    <n v="2020"/>
    <n v="0"/>
    <n v="0"/>
    <x v="28"/>
    <s v="Unspecified Facility Type"/>
  </r>
  <r>
    <n v="237666"/>
    <s v="Top of Hierarchy &gt; South America &gt; Vantage_Sao Paulo"/>
    <x v="4"/>
    <x v="0"/>
    <d v="2022-01-01T00:00:00"/>
    <d v="2022-12-31T00:00:00"/>
    <x v="1"/>
    <d v="2022-01-01T00:00:00"/>
    <d v="2022-12-31T00:00:00"/>
    <s v="Diesel (100% mineral diesel)"/>
    <n v="0"/>
    <s v="joules"/>
    <x v="1"/>
    <m/>
    <s v="2023-04-20, 19:09"/>
    <s v="2023-07-20, 00:40"/>
    <n v="2022"/>
    <s v="diesel_100p_mineral_diesel"/>
    <s v="Diesel (100% Mineral Diesel)"/>
    <s v="model"/>
    <b v="0"/>
    <s v="FUELS; LIQUID FUELS; DIESEL (100% MINERAL DIESEL)"/>
    <x v="2"/>
    <x v="0"/>
    <m/>
    <m/>
    <m/>
    <m/>
    <n v="1"/>
    <s v="CO2E"/>
    <n v="0"/>
    <n v="0.25320999999999999"/>
    <s v="KWH (GROSS CV)"/>
    <n v="2.8000000000000002E-7"/>
    <n v="0"/>
    <s v="AR4"/>
    <s v="Defra"/>
    <s v="Defra (2022)"/>
    <n v="2022"/>
    <n v="2020"/>
    <n v="0"/>
    <n v="0"/>
    <x v="28"/>
    <s v="Unspecified Facility Type"/>
  </r>
  <r>
    <n v="237666"/>
    <s v="Top of Hierarchy &gt; South America &gt; Vantage_Sao Paulo"/>
    <x v="4"/>
    <x v="0"/>
    <d v="2022-01-01T00:00:00"/>
    <d v="2022-12-31T00:00:00"/>
    <x v="1"/>
    <d v="2022-01-01T00:00:00"/>
    <d v="2022-12-31T00:00:00"/>
    <s v="Diesel (100% mineral diesel)"/>
    <n v="0"/>
    <s v="joules"/>
    <x v="1"/>
    <m/>
    <s v="2023-04-20, 19:09"/>
    <s v="2023-07-20, 00:40"/>
    <n v="2022"/>
    <s v="diesel_100p_mineral_diesel"/>
    <s v="Diesel (100% Mineral Diesel)"/>
    <s v="model"/>
    <b v="0"/>
    <s v="FUELS; LIQUID FUELS; DIESEL (100% MINERAL DIESEL)"/>
    <x v="2"/>
    <x v="0"/>
    <m/>
    <m/>
    <m/>
    <m/>
    <n v="1"/>
    <s v="N2O"/>
    <n v="0"/>
    <n v="3.48E-3"/>
    <s v="KWH (GROSS CV)"/>
    <n v="2.8000000000000002E-7"/>
    <n v="0"/>
    <s v="AR4"/>
    <s v="Defra"/>
    <s v="Defra (2022)"/>
    <n v="2022"/>
    <n v="2020"/>
    <n v="0"/>
    <n v="0"/>
    <x v="28"/>
    <s v="Unspecified Facility Type"/>
  </r>
  <r>
    <n v="237666"/>
    <s v="Top of Hierarchy &gt; South America &gt; Vantage_Sao Paulo"/>
    <x v="4"/>
    <x v="0"/>
    <d v="2022-01-01T00:00:00"/>
    <d v="2022-12-31T00:00:00"/>
    <x v="1"/>
    <d v="2022-01-01T00:00:00"/>
    <d v="2022-12-31T00:00:00"/>
    <s v="Diesel (100% mineral diesel)"/>
    <n v="0"/>
    <s v="joules"/>
    <x v="1"/>
    <m/>
    <s v="2023-04-20, 19:09"/>
    <s v="2023-07-20, 00:40"/>
    <n v="2022"/>
    <s v="diesel_100p_mineral_diesel__wtt"/>
    <s v="Diesel (100% Mineral Diesel) WTT"/>
    <s v="wtt"/>
    <b v="0"/>
    <s v="WTT- FUELS; LIQUID FUELS; DIESEL (100% MINERAL DIESEL)"/>
    <x v="1"/>
    <x v="1"/>
    <m/>
    <m/>
    <m/>
    <m/>
    <n v="0"/>
    <s v="CO2E"/>
    <n v="0"/>
    <n v="5.8880000000000002E-2"/>
    <s v="KWH (GROSS CV)"/>
    <n v="2.8000000000000002E-7"/>
    <n v="0"/>
    <s v="AR4"/>
    <s v="Defra"/>
    <s v="Defra (2022)"/>
    <n v="2022"/>
    <n v="2020"/>
    <n v="0"/>
    <n v="0"/>
    <x v="28"/>
    <s v="Unspecified Facility Type"/>
  </r>
  <r>
    <n v="237666"/>
    <s v="Top of Hierarchy &gt; South America &gt; Vantage_Sao Paulo"/>
    <x v="4"/>
    <x v="0"/>
    <d v="2022-01-01T00:00:00"/>
    <d v="2022-12-31T00:00:00"/>
    <x v="1"/>
    <d v="2022-01-01T00:00:00"/>
    <d v="2022-12-31T00:00:00"/>
    <s v="Diesel (100% mineral diesel)"/>
    <n v="0"/>
    <s v="joules"/>
    <x v="1"/>
    <m/>
    <s v="2023-04-20, 19:09"/>
    <s v="2023-07-20, 00:40"/>
    <n v="2022"/>
    <s v="diesel_100p_mineral_diesel__wtt"/>
    <s v="Diesel (100% Mineral Diesel) WTT"/>
    <s v="wtt"/>
    <b v="0"/>
    <s v="WTT- FUELS; LIQUID FUELS; DIESEL (100% MINERAL DIESEL)"/>
    <x v="1"/>
    <x v="1"/>
    <m/>
    <m/>
    <m/>
    <m/>
    <n v="1"/>
    <s v="CO2E"/>
    <n v="0"/>
    <n v="5.8880000000000002E-2"/>
    <s v="KWH (GROSS CV)"/>
    <n v="2.8000000000000002E-7"/>
    <n v="0"/>
    <s v="AR4"/>
    <s v="Defra"/>
    <s v="Defra (2022)"/>
    <n v="2022"/>
    <n v="2020"/>
    <n v="0"/>
    <n v="0"/>
    <x v="28"/>
    <s v="Unspecified Facility Type"/>
  </r>
  <r>
    <n v="237672"/>
    <s v="Top of Hierarchy &gt; South America &gt; Vantage_Sao Paulo"/>
    <x v="4"/>
    <x v="0"/>
    <d v="2022-01-01T00:00:00"/>
    <d v="2022-12-31T00:00:00"/>
    <x v="4"/>
    <d v="2022-01-01T00:00:00"/>
    <d v="2022-12-31T00:00:00"/>
    <s v="R410A"/>
    <n v="0"/>
    <s v="pounds"/>
    <x v="1"/>
    <s v="We know it is R410A but do not know the total refilled by the vendor in 2022"/>
    <s v="2023-04-20, 19:18"/>
    <s v="2023-07-20, 00:40"/>
    <n v="2022"/>
    <s v="r410a"/>
    <s v="R410A"/>
    <s v="model"/>
    <b v="0"/>
    <s v="REFRIGERANT: R-410A"/>
    <x v="2"/>
    <x v="0"/>
    <m/>
    <m/>
    <m/>
    <m/>
    <n v="0"/>
    <s v="CO2E"/>
    <n v="0"/>
    <n v="2088"/>
    <s v="KG"/>
    <n v="0.45359291000000002"/>
    <n v="0"/>
    <s v="AR4"/>
    <s v="IPCC"/>
    <s v="IPCC (2021)"/>
    <n v="2022"/>
    <n v="2007"/>
    <n v="0"/>
    <n v="0"/>
    <x v="28"/>
    <s v="Unspecified Facility Type"/>
  </r>
  <r>
    <n v="237672"/>
    <s v="Top of Hierarchy &gt; South America &gt; Vantage_Sao Paulo"/>
    <x v="4"/>
    <x v="0"/>
    <d v="2022-01-01T00:00:00"/>
    <d v="2022-12-31T00:00:00"/>
    <x v="4"/>
    <d v="2022-01-01T00:00:00"/>
    <d v="2022-12-31T00:00:00"/>
    <s v="R410A"/>
    <n v="0"/>
    <s v="pounds"/>
    <x v="1"/>
    <s v="We know it is R410A but do not know the total refilled by the vendor in 2022"/>
    <s v="2023-04-20, 19:18"/>
    <s v="2023-07-20, 00:40"/>
    <n v="2022"/>
    <s v="r410a"/>
    <s v="R410A"/>
    <s v="model"/>
    <b v="0"/>
    <s v="REFRIGERANT: R-410A"/>
    <x v="2"/>
    <x v="0"/>
    <m/>
    <m/>
    <m/>
    <m/>
    <n v="1"/>
    <s v="CO2E"/>
    <n v="0"/>
    <n v="2088"/>
    <s v="KG"/>
    <n v="0.45359291000000002"/>
    <n v="0"/>
    <s v="AR4"/>
    <s v="IPCC"/>
    <s v="IPCC (2021)"/>
    <n v="2022"/>
    <n v="2007"/>
    <n v="0"/>
    <n v="0"/>
    <x v="28"/>
    <s v="Unspecified Facility Type"/>
  </r>
  <r>
    <n v="1590436"/>
    <s v="Top of Hierarchy &gt; South America &gt; Vantage_Sao Paulo"/>
    <x v="4"/>
    <x v="0"/>
    <d v="2022-01-01T00:00:00"/>
    <d v="2022-12-31T00:00:00"/>
    <x v="4"/>
    <d v="2022-01-01T00:00:00"/>
    <d v="2022-12-31T00:00:00"/>
    <s v="R-410A"/>
    <n v="7.2454178999999996"/>
    <s v="kilograms"/>
    <x v="0"/>
    <s v="We know it is R410A but do not know the total refilled by the vendor in 2022 - ESTIMATED BY ANTHESIS"/>
    <s v="2023-07-25, 17:50"/>
    <s v="2023-07-25, 17:50"/>
    <n v="2022"/>
    <s v="r410a"/>
    <s v="R410A"/>
    <s v="model"/>
    <b v="0"/>
    <s v="REFRIGERANT: R-410A"/>
    <x v="2"/>
    <x v="0"/>
    <m/>
    <m/>
    <m/>
    <m/>
    <n v="0"/>
    <s v="CO2E"/>
    <n v="15128.432580000001"/>
    <n v="2088"/>
    <s v="KG"/>
    <n v="1"/>
    <n v="7.2454178999999996"/>
    <s v="AR4"/>
    <s v="IPCC"/>
    <s v="IPCC (2021)"/>
    <n v="2022"/>
    <n v="2007"/>
    <n v="15.12843258"/>
    <n v="0"/>
    <x v="28"/>
    <s v="Unspecified Facility Type"/>
  </r>
  <r>
    <n v="1590436"/>
    <s v="Top of Hierarchy &gt; South America &gt; Vantage_Sao Paulo"/>
    <x v="4"/>
    <x v="0"/>
    <d v="2022-01-01T00:00:00"/>
    <d v="2022-12-31T00:00:00"/>
    <x v="4"/>
    <d v="2022-01-01T00:00:00"/>
    <d v="2022-12-31T00:00:00"/>
    <s v="R-410A"/>
    <n v="7.2454178999999996"/>
    <s v="kilograms"/>
    <x v="0"/>
    <s v="We know it is R410A but do not know the total refilled by the vendor in 2022 - ESTIMATED BY ANTHESIS"/>
    <s v="2023-07-25, 17:50"/>
    <s v="2023-07-25, 17:50"/>
    <n v="2022"/>
    <s v="r410a"/>
    <s v="R410A"/>
    <s v="model"/>
    <b v="0"/>
    <s v="REFRIGERANT: R-410A"/>
    <x v="2"/>
    <x v="0"/>
    <m/>
    <m/>
    <m/>
    <m/>
    <n v="1"/>
    <s v="CO2E"/>
    <n v="15128.432580000001"/>
    <n v="2088"/>
    <s v="KG"/>
    <n v="1"/>
    <n v="7.2454178999999996"/>
    <s v="AR4"/>
    <s v="IPCC"/>
    <s v="IPCC (2021)"/>
    <n v="2022"/>
    <n v="2007"/>
    <n v="0"/>
    <n v="15.12843258"/>
    <x v="28"/>
    <s v="Unspecified Facility Type"/>
  </r>
  <r>
    <n v="4961"/>
    <s v="Top of Hierarchy &gt; South America &gt; Vantage_Sao Paulo"/>
    <x v="4"/>
    <x v="1"/>
    <d v="2021-01-01T00:00:00"/>
    <d v="2021-12-31T00:00:00"/>
    <x v="0"/>
    <d v="2021-01-01T00:00:00"/>
    <d v="2021-12-31T00:00:00"/>
    <s v="Electricity (non-renewable)"/>
    <n v="24450"/>
    <s v="Kilowatt hours"/>
    <x v="1"/>
    <m/>
    <s v="2023-02-27, 16:27"/>
    <s v="2023-07-20, 00:40"/>
    <n v="2021"/>
    <s v="electricity"/>
    <s v="Electricity"/>
    <s v="model"/>
    <b v="0"/>
    <s v="ELECTRICITY; BRAZIL"/>
    <x v="0"/>
    <x v="0"/>
    <s v="Americas"/>
    <s v="Latin America and the Caribbean"/>
    <s v="BR"/>
    <m/>
    <n v="0"/>
    <s v="CH4"/>
    <n v="2.4449999999999998"/>
    <s v="RESTRICTED"/>
    <s v="KWH"/>
    <n v="1"/>
    <n v="24450"/>
    <s v="AR4"/>
    <s v="IEA"/>
    <s v="IEA (2021)"/>
    <n v="2021"/>
    <n v="2019"/>
    <n v="0"/>
    <n v="0"/>
    <x v="28"/>
    <s v="Unspecified Facility Type"/>
  </r>
  <r>
    <n v="4961"/>
    <s v="Top of Hierarchy &gt; South America &gt; Vantage_Sao Paulo"/>
    <x v="4"/>
    <x v="1"/>
    <d v="2021-01-01T00:00:00"/>
    <d v="2021-12-31T00:00:00"/>
    <x v="0"/>
    <d v="2021-01-01T00:00:00"/>
    <d v="2021-12-31T00:00:00"/>
    <s v="Electricity (non-renewable)"/>
    <n v="24450"/>
    <s v="Kilowatt hours"/>
    <x v="1"/>
    <m/>
    <s v="2023-02-27, 16:27"/>
    <s v="2023-07-20, 00:40"/>
    <n v="2021"/>
    <s v="electricity"/>
    <s v="Electricity"/>
    <s v="model"/>
    <b v="0"/>
    <s v="ELECTRICITY; BRAZIL"/>
    <x v="0"/>
    <x v="0"/>
    <s v="Americas"/>
    <s v="Latin America and the Caribbean"/>
    <s v="BR"/>
    <m/>
    <n v="0"/>
    <s v="CO2"/>
    <n v="2545.2449999999999"/>
    <s v="RESTRICTED"/>
    <s v="KWH"/>
    <n v="1"/>
    <n v="24450"/>
    <s v="AR4"/>
    <s v="IEA"/>
    <s v="IEA (2021)"/>
    <n v="2021"/>
    <n v="2019"/>
    <n v="0"/>
    <n v="0"/>
    <x v="28"/>
    <s v="Unspecified Facility Type"/>
  </r>
  <r>
    <n v="4961"/>
    <s v="Top of Hierarchy &gt; South America &gt; Vantage_Sao Paulo"/>
    <x v="4"/>
    <x v="1"/>
    <d v="2021-01-01T00:00:00"/>
    <d v="2021-12-31T00:00:00"/>
    <x v="0"/>
    <d v="2021-01-01T00:00:00"/>
    <d v="2021-12-31T00:00:00"/>
    <s v="Electricity (non-renewable)"/>
    <n v="24450"/>
    <s v="Kilowatt hours"/>
    <x v="1"/>
    <m/>
    <s v="2023-02-27, 16:27"/>
    <s v="2023-07-20, 00:40"/>
    <n v="2021"/>
    <s v="electricity"/>
    <s v="Electricity"/>
    <s v="model"/>
    <b v="0"/>
    <s v="ELECTRICITY; BRAZIL"/>
    <x v="0"/>
    <x v="0"/>
    <s v="Americas"/>
    <s v="Latin America and the Caribbean"/>
    <s v="BR"/>
    <m/>
    <n v="0"/>
    <s v="CO2E"/>
    <n v="2552.58"/>
    <s v="RESTRICTED"/>
    <s v="KWH"/>
    <n v="1"/>
    <n v="24450"/>
    <s v="AR4"/>
    <s v="IEA"/>
    <s v="IEA (2021)"/>
    <n v="2021"/>
    <n v="2019"/>
    <n v="2.5525799999999998"/>
    <n v="0"/>
    <x v="28"/>
    <s v="Unspecified Facility Type"/>
  </r>
  <r>
    <n v="4961"/>
    <s v="Top of Hierarchy &gt; South America &gt; Vantage_Sao Paulo"/>
    <x v="4"/>
    <x v="1"/>
    <d v="2021-01-01T00:00:00"/>
    <d v="2021-12-31T00:00:00"/>
    <x v="0"/>
    <d v="2021-01-01T00:00:00"/>
    <d v="2021-12-31T00:00:00"/>
    <s v="Electricity (non-renewable)"/>
    <n v="24450"/>
    <s v="Kilowatt hours"/>
    <x v="1"/>
    <m/>
    <s v="2023-02-27, 16:27"/>
    <s v="2023-07-20, 00:40"/>
    <n v="2021"/>
    <s v="electricity"/>
    <s v="Electricity"/>
    <s v="model"/>
    <b v="0"/>
    <s v="ELECTRICITY; BRAZIL"/>
    <x v="0"/>
    <x v="0"/>
    <s v="Americas"/>
    <s v="Latin America and the Caribbean"/>
    <s v="BR"/>
    <m/>
    <n v="0"/>
    <s v="N2O"/>
    <n v="4.8899999999999997"/>
    <s v="RESTRICTED"/>
    <s v="KWH"/>
    <n v="1"/>
    <n v="24450"/>
    <s v="AR4"/>
    <s v="IEA"/>
    <s v="IEA (2021)"/>
    <n v="2021"/>
    <n v="2019"/>
    <n v="0"/>
    <n v="0"/>
    <x v="28"/>
    <s v="Unspecified Facility Type"/>
  </r>
  <r>
    <n v="4961"/>
    <s v="Top of Hierarchy &gt; South America &gt; Vantage_Sao Paulo"/>
    <x v="4"/>
    <x v="1"/>
    <d v="2021-01-01T00:00:00"/>
    <d v="2021-12-31T00:00:00"/>
    <x v="0"/>
    <d v="2021-01-01T00:00:00"/>
    <d v="2021-12-31T00:00:00"/>
    <s v="Electricity (non-renewable)"/>
    <n v="24450"/>
    <s v="Kilowatt hours"/>
    <x v="1"/>
    <m/>
    <s v="2023-02-27, 16:27"/>
    <s v="2023-07-20, 00:40"/>
    <n v="2021"/>
    <s v="electricity"/>
    <s v="Electricity"/>
    <s v="model"/>
    <b v="0"/>
    <s v="ELECTRICITY; BRAZIL"/>
    <x v="0"/>
    <x v="0"/>
    <s v="Americas"/>
    <s v="Latin America and the Caribbean"/>
    <s v="BR"/>
    <m/>
    <n v="1"/>
    <s v="CH4"/>
    <n v="2.4449999999999998"/>
    <s v="RESTRICTED"/>
    <s v="KWH"/>
    <n v="1"/>
    <n v="24450"/>
    <s v="AR4"/>
    <s v="IEA"/>
    <s v="IEA (2021)"/>
    <n v="2021"/>
    <n v="2019"/>
    <n v="0"/>
    <n v="0"/>
    <x v="28"/>
    <s v="Unspecified Facility Type"/>
  </r>
  <r>
    <n v="4961"/>
    <s v="Top of Hierarchy &gt; South America &gt; Vantage_Sao Paulo"/>
    <x v="4"/>
    <x v="1"/>
    <d v="2021-01-01T00:00:00"/>
    <d v="2021-12-31T00:00:00"/>
    <x v="0"/>
    <d v="2021-01-01T00:00:00"/>
    <d v="2021-12-31T00:00:00"/>
    <s v="Electricity (non-renewable)"/>
    <n v="24450"/>
    <s v="Kilowatt hours"/>
    <x v="1"/>
    <m/>
    <s v="2023-02-27, 16:27"/>
    <s v="2023-07-20, 00:40"/>
    <n v="2021"/>
    <s v="electricity"/>
    <s v="Electricity"/>
    <s v="model"/>
    <b v="0"/>
    <s v="ELECTRICITY; BRAZIL"/>
    <x v="0"/>
    <x v="0"/>
    <s v="Americas"/>
    <s v="Latin America and the Caribbean"/>
    <s v="BR"/>
    <m/>
    <n v="1"/>
    <s v="CO2"/>
    <n v="2545.2449999999999"/>
    <s v="RESTRICTED"/>
    <s v="KWH"/>
    <n v="1"/>
    <n v="24450"/>
    <s v="AR4"/>
    <s v="IEA"/>
    <s v="IEA (2021)"/>
    <n v="2021"/>
    <n v="2019"/>
    <n v="0"/>
    <n v="0"/>
    <x v="28"/>
    <s v="Unspecified Facility Type"/>
  </r>
  <r>
    <n v="4961"/>
    <s v="Top of Hierarchy &gt; South America &gt; Vantage_Sao Paulo"/>
    <x v="4"/>
    <x v="1"/>
    <d v="2021-01-01T00:00:00"/>
    <d v="2021-12-31T00:00:00"/>
    <x v="0"/>
    <d v="2021-01-01T00:00:00"/>
    <d v="2021-12-31T00:00:00"/>
    <s v="Electricity (non-renewable)"/>
    <n v="24450"/>
    <s v="Kilowatt hours"/>
    <x v="1"/>
    <m/>
    <s v="2023-02-27, 16:27"/>
    <s v="2023-07-20, 00:40"/>
    <n v="2021"/>
    <s v="electricity"/>
    <s v="Electricity"/>
    <s v="model"/>
    <b v="0"/>
    <s v="ELECTRICITY; BRAZIL"/>
    <x v="0"/>
    <x v="0"/>
    <s v="Americas"/>
    <s v="Latin America and the Caribbean"/>
    <s v="BR"/>
    <m/>
    <n v="1"/>
    <s v="CO2E"/>
    <n v="2552.58"/>
    <s v="RESTRICTED"/>
    <s v="KWH"/>
    <n v="1"/>
    <n v="24450"/>
    <s v="AR4"/>
    <s v="IEA"/>
    <s v="IEA (2021)"/>
    <n v="2021"/>
    <n v="2019"/>
    <n v="0"/>
    <n v="2.5525799999999998"/>
    <x v="28"/>
    <s v="Unspecified Facility Type"/>
  </r>
  <r>
    <n v="4961"/>
    <s v="Top of Hierarchy &gt; South America &gt; Vantage_Sao Paulo"/>
    <x v="4"/>
    <x v="1"/>
    <d v="2021-01-01T00:00:00"/>
    <d v="2021-12-31T00:00:00"/>
    <x v="0"/>
    <d v="2021-01-01T00:00:00"/>
    <d v="2021-12-31T00:00:00"/>
    <s v="Electricity (non-renewable)"/>
    <n v="24450"/>
    <s v="Kilowatt hours"/>
    <x v="1"/>
    <m/>
    <s v="2023-02-27, 16:27"/>
    <s v="2023-07-20, 00:40"/>
    <n v="2021"/>
    <s v="electricity"/>
    <s v="Electricity"/>
    <s v="model"/>
    <b v="0"/>
    <s v="ELECTRICITY; BRAZIL"/>
    <x v="0"/>
    <x v="0"/>
    <s v="Americas"/>
    <s v="Latin America and the Caribbean"/>
    <s v="BR"/>
    <m/>
    <n v="1"/>
    <s v="N2O"/>
    <n v="4.8899999999999997"/>
    <s v="RESTRICTED"/>
    <s v="KWH"/>
    <n v="1"/>
    <n v="24450"/>
    <s v="AR4"/>
    <s v="IEA"/>
    <s v="IEA (2021)"/>
    <n v="2021"/>
    <n v="2019"/>
    <n v="0"/>
    <n v="0"/>
    <x v="28"/>
    <s v="Unspecified Facility Type"/>
  </r>
  <r>
    <n v="4961"/>
    <s v="Top of Hierarchy &gt; South America &gt; Vantage_Sao Paulo"/>
    <x v="4"/>
    <x v="1"/>
    <d v="2021-01-01T00:00:00"/>
    <d v="2021-12-31T00:00:00"/>
    <x v="0"/>
    <d v="2021-01-01T00:00:00"/>
    <d v="2021-12-31T00:00:00"/>
    <s v="Electricity (non-renewable)"/>
    <n v="24450"/>
    <s v="Kilowatt hours"/>
    <x v="1"/>
    <m/>
    <s v="2023-02-27, 16:27"/>
    <s v="2023-07-20, 00:40"/>
    <n v="2021"/>
    <s v="electricity__t+d__wtt"/>
    <s v="Electricity T&amp;D WTT"/>
    <s v="t+d_wtt"/>
    <b v="0"/>
    <s v="WTT- UK &amp; OVERSEAS ELEC; WTT- OVERSEAS ELECTRICITY (T&amp;D); ELECTRICITY: BRAZIL"/>
    <x v="1"/>
    <x v="1"/>
    <s v="Americas"/>
    <s v="Latin America and the Caribbean"/>
    <s v="BR"/>
    <m/>
    <n v="0"/>
    <s v="CO2E"/>
    <n v="62.374529809999999"/>
    <n v="2.551106E-3"/>
    <s v="KWH"/>
    <n v="1"/>
    <n v="24450"/>
    <s v="AR4"/>
    <s v="Defra"/>
    <s v="Defra (2021)"/>
    <n v="2021"/>
    <n v="2019"/>
    <n v="6.2374529809999996E-2"/>
    <n v="0"/>
    <x v="28"/>
    <s v="Unspecified Facility Type"/>
  </r>
  <r>
    <n v="4961"/>
    <s v="Top of Hierarchy &gt; South America &gt; Vantage_Sao Paulo"/>
    <x v="4"/>
    <x v="1"/>
    <d v="2021-01-01T00:00:00"/>
    <d v="2021-12-31T00:00:00"/>
    <x v="0"/>
    <d v="2021-01-01T00:00:00"/>
    <d v="2021-12-31T00:00:00"/>
    <s v="Electricity (non-renewable)"/>
    <n v="24450"/>
    <s v="Kilowatt hours"/>
    <x v="1"/>
    <m/>
    <s v="2023-02-27, 16:27"/>
    <s v="2023-07-20, 00:40"/>
    <n v="2021"/>
    <s v="electricity__t+d__wtt"/>
    <s v="Electricity T&amp;D WTT"/>
    <s v="t+d_wtt"/>
    <b v="0"/>
    <s v="WTT- UK &amp; OVERSEAS ELEC; WTT- OVERSEAS ELECTRICITY (T&amp;D); ELECTRICITY: BRAZIL"/>
    <x v="1"/>
    <x v="1"/>
    <s v="Americas"/>
    <s v="Latin America and the Caribbean"/>
    <s v="BR"/>
    <m/>
    <n v="1"/>
    <s v="CO2E"/>
    <n v="62.374529809999999"/>
    <n v="2.551106E-3"/>
    <s v="KWH"/>
    <n v="1"/>
    <n v="24450"/>
    <s v="AR4"/>
    <s v="Defra"/>
    <s v="Defra (2021)"/>
    <n v="2021"/>
    <n v="2019"/>
    <n v="0"/>
    <n v="6.2374529809999996E-2"/>
    <x v="28"/>
    <s v="Unspecified Facility Type"/>
  </r>
  <r>
    <n v="4961"/>
    <s v="Top of Hierarchy &gt; South America &gt; Vantage_Sao Paulo"/>
    <x v="4"/>
    <x v="1"/>
    <d v="2021-01-01T00:00:00"/>
    <d v="2021-12-31T00:00:00"/>
    <x v="0"/>
    <d v="2021-01-01T00:00:00"/>
    <d v="2021-12-31T00:00:00"/>
    <s v="Electricity (non-renewable)"/>
    <n v="24450"/>
    <s v="Kilowatt hours"/>
    <x v="1"/>
    <m/>
    <s v="2023-02-27, 16:27"/>
    <s v="2023-07-20, 00:40"/>
    <n v="2021"/>
    <s v="electricity__wtt"/>
    <s v="Electricity WTT"/>
    <s v="wtt"/>
    <b v="0"/>
    <s v="WTT- UK &amp; OVERSEAS ELEC; WTT- OVERSEAS ELECTRICITY (GENERATION); ELECTRICITY: BRAZIL"/>
    <x v="1"/>
    <x v="1"/>
    <s v="Americas"/>
    <s v="Latin America and the Caribbean"/>
    <s v="BR"/>
    <m/>
    <n v="0"/>
    <s v="CO2E"/>
    <n v="323.30054899999999"/>
    <n v="1.3222925999999999E-2"/>
    <s v="KWH"/>
    <n v="1"/>
    <n v="24450"/>
    <s v="AR4"/>
    <s v="Defra"/>
    <s v="Defra (2021)"/>
    <n v="2021"/>
    <n v="2019"/>
    <n v="0.32330054899999999"/>
    <n v="0"/>
    <x v="28"/>
    <s v="Unspecified Facility Type"/>
  </r>
  <r>
    <n v="4961"/>
    <s v="Top of Hierarchy &gt; South America &gt; Vantage_Sao Paulo"/>
    <x v="4"/>
    <x v="1"/>
    <d v="2021-01-01T00:00:00"/>
    <d v="2021-12-31T00:00:00"/>
    <x v="0"/>
    <d v="2021-01-01T00:00:00"/>
    <d v="2021-12-31T00:00:00"/>
    <s v="Electricity (non-renewable)"/>
    <n v="24450"/>
    <s v="Kilowatt hours"/>
    <x v="1"/>
    <m/>
    <s v="2023-02-27, 16:27"/>
    <s v="2023-07-20, 00:40"/>
    <n v="2021"/>
    <s v="electricity__wtt"/>
    <s v="Electricity WTT"/>
    <s v="wtt"/>
    <b v="0"/>
    <s v="WTT- UK &amp; OVERSEAS ELEC; WTT- OVERSEAS ELECTRICITY (GENERATION); ELECTRICITY: BRAZIL"/>
    <x v="1"/>
    <x v="1"/>
    <s v="Americas"/>
    <s v="Latin America and the Caribbean"/>
    <s v="BR"/>
    <m/>
    <n v="1"/>
    <s v="CO2E"/>
    <n v="323.30054899999999"/>
    <n v="1.3222925999999999E-2"/>
    <s v="KWH"/>
    <n v="1"/>
    <n v="24450"/>
    <s v="AR4"/>
    <s v="Defra"/>
    <s v="Defra (2021)"/>
    <n v="2021"/>
    <n v="2019"/>
    <n v="0"/>
    <n v="0.32330054899999999"/>
    <x v="28"/>
    <s v="Unspecified Facility Type"/>
  </r>
  <r>
    <n v="4961"/>
    <s v="Top of Hierarchy &gt; South America &gt; Vantage_Sao Paulo"/>
    <x v="4"/>
    <x v="1"/>
    <d v="2021-01-01T00:00:00"/>
    <d v="2021-12-31T00:00:00"/>
    <x v="0"/>
    <d v="2021-01-01T00:00:00"/>
    <d v="2021-12-31T00:00:00"/>
    <s v="Electricity (non-renewable)"/>
    <n v="24450"/>
    <s v="Kilowatt hours"/>
    <x v="1"/>
    <m/>
    <s v="2023-02-27, 16:27"/>
    <s v="2023-07-20, 00:40"/>
    <n v="2021"/>
    <s v="electricity__t+d"/>
    <s v="Electricity T&amp;D"/>
    <s v="t+d"/>
    <b v="0"/>
    <s v="ELECTRICITY; TRANSMISSION AND DISTRIBUTION; BRAZIL"/>
    <x v="1"/>
    <x v="1"/>
    <s v="Americas"/>
    <s v="Latin America and the Caribbean"/>
    <s v="BR"/>
    <m/>
    <n v="0"/>
    <s v="CO2E"/>
    <n v="418.09500000000003"/>
    <s v="RESTRICTED"/>
    <s v="KWH"/>
    <n v="1"/>
    <n v="24450"/>
    <s v="AR4"/>
    <s v="IEA"/>
    <s v="IEA (2021)"/>
    <n v="2021"/>
    <n v="2019"/>
    <n v="0.41809500000000005"/>
    <n v="0"/>
    <x v="28"/>
    <s v="Unspecified Facility Type"/>
  </r>
  <r>
    <n v="4961"/>
    <s v="Top of Hierarchy &gt; South America &gt; Vantage_Sao Paulo"/>
    <x v="4"/>
    <x v="1"/>
    <d v="2021-01-01T00:00:00"/>
    <d v="2021-12-31T00:00:00"/>
    <x v="0"/>
    <d v="2021-01-01T00:00:00"/>
    <d v="2021-12-31T00:00:00"/>
    <s v="Electricity (non-renewable)"/>
    <n v="24450"/>
    <s v="Kilowatt hours"/>
    <x v="1"/>
    <m/>
    <s v="2023-02-27, 16:27"/>
    <s v="2023-07-20, 00:40"/>
    <n v="2021"/>
    <s v="electricity__t+d"/>
    <s v="Electricity T&amp;D"/>
    <s v="t+d"/>
    <b v="0"/>
    <s v="ELECTRICITY; TRANSMISSION AND DISTRIBUTION; BRAZIL"/>
    <x v="1"/>
    <x v="1"/>
    <s v="Americas"/>
    <s v="Latin America and the Caribbean"/>
    <s v="BR"/>
    <m/>
    <n v="1"/>
    <s v="CO2E"/>
    <n v="418.09500000000003"/>
    <s v="RESTRICTED"/>
    <s v="KWH"/>
    <n v="1"/>
    <n v="24450"/>
    <s v="AR4"/>
    <s v="IEA"/>
    <s v="IEA (2021)"/>
    <n v="2021"/>
    <n v="2019"/>
    <n v="0"/>
    <n v="0.41809500000000005"/>
    <x v="28"/>
    <s v="Unspecified Facility Type"/>
  </r>
  <r>
    <n v="4987"/>
    <s v="Top of Hierarchy &gt; South America &gt; Vantage_Sao Paulo"/>
    <x v="4"/>
    <x v="1"/>
    <d v="2021-01-01T00:00:00"/>
    <d v="2021-12-31T00:00:00"/>
    <x v="3"/>
    <d v="2021-01-01T00:00:00"/>
    <d v="2021-12-31T00:00:00"/>
    <s v="Natural gas"/>
    <n v="0"/>
    <s v="cubic metres"/>
    <x v="1"/>
    <m/>
    <s v="2023-02-27, 16:27"/>
    <s v="2023-07-20, 00:40"/>
    <n v="2021"/>
    <s v="natural_gas"/>
    <s v="Natural Gas"/>
    <s v="model"/>
    <b v="0"/>
    <s v="NATURAL GAS, NATURAL GAS"/>
    <x v="2"/>
    <x v="0"/>
    <s v="Americas"/>
    <m/>
    <m/>
    <m/>
    <n v="0"/>
    <s v="CH4"/>
    <n v="0"/>
    <n v="2.5749999999999999E-5"/>
    <s v="SCF"/>
    <n v="35.314724830000003"/>
    <n v="0"/>
    <s v="AR4"/>
    <s v="USEPA"/>
    <s v="USEPA Emission Factors Hub (Last Modified: March 2020)"/>
    <n v="2021"/>
    <n v="2020"/>
    <n v="0"/>
    <n v="0"/>
    <x v="28"/>
    <s v="Unspecified Facility Type"/>
  </r>
  <r>
    <n v="4987"/>
    <s v="Top of Hierarchy &gt; South America &gt; Vantage_Sao Paulo"/>
    <x v="4"/>
    <x v="1"/>
    <d v="2021-01-01T00:00:00"/>
    <d v="2021-12-31T00:00:00"/>
    <x v="3"/>
    <d v="2021-01-01T00:00:00"/>
    <d v="2021-12-31T00:00:00"/>
    <s v="Natural gas"/>
    <n v="0"/>
    <s v="cubic metres"/>
    <x v="1"/>
    <m/>
    <s v="2023-02-27, 16:27"/>
    <s v="2023-07-20, 00:40"/>
    <n v="2021"/>
    <s v="natural_gas"/>
    <s v="Natural Gas"/>
    <s v="model"/>
    <b v="0"/>
    <s v="NATURAL GAS, NATURAL GAS"/>
    <x v="2"/>
    <x v="0"/>
    <s v="Americas"/>
    <m/>
    <m/>
    <m/>
    <n v="0"/>
    <s v="CO2"/>
    <n v="0"/>
    <n v="5.4440000000000002E-2"/>
    <s v="SCF"/>
    <n v="35.314724830000003"/>
    <n v="0"/>
    <s v="AR4"/>
    <s v="USEPA"/>
    <s v="USEPA (2021)"/>
    <n v="2021"/>
    <n v="2021"/>
    <n v="0"/>
    <n v="0"/>
    <x v="28"/>
    <s v="Unspecified Facility Type"/>
  </r>
  <r>
    <n v="4987"/>
    <s v="Top of Hierarchy &gt; South America &gt; Vantage_Sao Paulo"/>
    <x v="4"/>
    <x v="1"/>
    <d v="2021-01-01T00:00:00"/>
    <d v="2021-12-31T00:00:00"/>
    <x v="3"/>
    <d v="2021-01-01T00:00:00"/>
    <d v="2021-12-31T00:00:00"/>
    <s v="Natural gas"/>
    <n v="0"/>
    <s v="cubic metres"/>
    <x v="1"/>
    <m/>
    <s v="2023-02-27, 16:27"/>
    <s v="2023-07-20, 00:40"/>
    <n v="2021"/>
    <s v="natural_gas"/>
    <s v="Natural Gas"/>
    <s v="model"/>
    <b v="0"/>
    <s v="NATURAL GAS, NATURAL GAS"/>
    <x v="2"/>
    <x v="0"/>
    <s v="Americas"/>
    <m/>
    <m/>
    <m/>
    <n v="0"/>
    <s v="CO2E"/>
    <n v="0"/>
    <n v="5.4495549999999997E-2"/>
    <s v="SCF"/>
    <n v="35.314724830000003"/>
    <n v="0"/>
    <s v="AR4"/>
    <s v="USEPA"/>
    <s v="USEPA Emission Factors Hub (Last Modified: March 2020)"/>
    <n v="2021"/>
    <n v="2020"/>
    <n v="0"/>
    <n v="0"/>
    <x v="28"/>
    <s v="Unspecified Facility Type"/>
  </r>
  <r>
    <n v="4987"/>
    <s v="Top of Hierarchy &gt; South America &gt; Vantage_Sao Paulo"/>
    <x v="4"/>
    <x v="1"/>
    <d v="2021-01-01T00:00:00"/>
    <d v="2021-12-31T00:00:00"/>
    <x v="3"/>
    <d v="2021-01-01T00:00:00"/>
    <d v="2021-12-31T00:00:00"/>
    <s v="Natural gas"/>
    <n v="0"/>
    <s v="cubic metres"/>
    <x v="1"/>
    <m/>
    <s v="2023-02-27, 16:27"/>
    <s v="2023-07-20, 00:40"/>
    <n v="2021"/>
    <s v="natural_gas"/>
    <s v="Natural Gas"/>
    <s v="model"/>
    <b v="0"/>
    <s v="NATURAL GAS, NATURAL GAS"/>
    <x v="2"/>
    <x v="0"/>
    <s v="Americas"/>
    <m/>
    <m/>
    <m/>
    <n v="0"/>
    <s v="N2O"/>
    <n v="0"/>
    <n v="2.9799999999999999E-5"/>
    <s v="SCF"/>
    <n v="35.314724830000003"/>
    <n v="0"/>
    <s v="AR4"/>
    <s v="USEPA"/>
    <s v="USEPA (2021)"/>
    <n v="2021"/>
    <n v="2021"/>
    <n v="0"/>
    <n v="0"/>
    <x v="28"/>
    <s v="Unspecified Facility Type"/>
  </r>
  <r>
    <n v="4987"/>
    <s v="Top of Hierarchy &gt; South America &gt; Vantage_Sao Paulo"/>
    <x v="4"/>
    <x v="1"/>
    <d v="2021-01-01T00:00:00"/>
    <d v="2021-12-31T00:00:00"/>
    <x v="3"/>
    <d v="2021-01-01T00:00:00"/>
    <d v="2021-12-31T00:00:00"/>
    <s v="Natural gas"/>
    <n v="0"/>
    <s v="cubic metres"/>
    <x v="1"/>
    <m/>
    <s v="2023-02-27, 16:27"/>
    <s v="2023-07-20, 00:40"/>
    <n v="2021"/>
    <s v="natural_gas"/>
    <s v="Natural Gas"/>
    <s v="model"/>
    <b v="0"/>
    <s v="NATURAL GAS, NATURAL GAS"/>
    <x v="2"/>
    <x v="0"/>
    <s v="Americas"/>
    <m/>
    <m/>
    <m/>
    <n v="1"/>
    <s v="CH4"/>
    <n v="0"/>
    <n v="2.5749999999999999E-5"/>
    <s v="SCF"/>
    <n v="35.314724830000003"/>
    <n v="0"/>
    <s v="AR4"/>
    <s v="USEPA"/>
    <s v="USEPA Emission Factors Hub (Last Modified: March 2020)"/>
    <n v="2021"/>
    <n v="2020"/>
    <n v="0"/>
    <n v="0"/>
    <x v="28"/>
    <s v="Unspecified Facility Type"/>
  </r>
  <r>
    <n v="4987"/>
    <s v="Top of Hierarchy &gt; South America &gt; Vantage_Sao Paulo"/>
    <x v="4"/>
    <x v="1"/>
    <d v="2021-01-01T00:00:00"/>
    <d v="2021-12-31T00:00:00"/>
    <x v="3"/>
    <d v="2021-01-01T00:00:00"/>
    <d v="2021-12-31T00:00:00"/>
    <s v="Natural gas"/>
    <n v="0"/>
    <s v="cubic metres"/>
    <x v="1"/>
    <m/>
    <s v="2023-02-27, 16:27"/>
    <s v="2023-07-20, 00:40"/>
    <n v="2021"/>
    <s v="natural_gas"/>
    <s v="Natural Gas"/>
    <s v="model"/>
    <b v="0"/>
    <s v="NATURAL GAS, NATURAL GAS"/>
    <x v="2"/>
    <x v="0"/>
    <s v="Americas"/>
    <m/>
    <m/>
    <m/>
    <n v="1"/>
    <s v="CO2"/>
    <n v="0"/>
    <n v="5.4440000000000002E-2"/>
    <s v="SCF"/>
    <n v="35.314724830000003"/>
    <n v="0"/>
    <s v="AR4"/>
    <s v="USEPA"/>
    <s v="USEPA (2021)"/>
    <n v="2021"/>
    <n v="2021"/>
    <n v="0"/>
    <n v="0"/>
    <x v="28"/>
    <s v="Unspecified Facility Type"/>
  </r>
  <r>
    <n v="4987"/>
    <s v="Top of Hierarchy &gt; South America &gt; Vantage_Sao Paulo"/>
    <x v="4"/>
    <x v="1"/>
    <d v="2021-01-01T00:00:00"/>
    <d v="2021-12-31T00:00:00"/>
    <x v="3"/>
    <d v="2021-01-01T00:00:00"/>
    <d v="2021-12-31T00:00:00"/>
    <s v="Natural gas"/>
    <n v="0"/>
    <s v="cubic metres"/>
    <x v="1"/>
    <m/>
    <s v="2023-02-27, 16:27"/>
    <s v="2023-07-20, 00:40"/>
    <n v="2021"/>
    <s v="natural_gas"/>
    <s v="Natural Gas"/>
    <s v="model"/>
    <b v="0"/>
    <s v="NATURAL GAS, NATURAL GAS"/>
    <x v="2"/>
    <x v="0"/>
    <s v="Americas"/>
    <m/>
    <m/>
    <m/>
    <n v="1"/>
    <s v="CO2E"/>
    <n v="0"/>
    <n v="5.4495549999999997E-2"/>
    <s v="SCF"/>
    <n v="35.314724830000003"/>
    <n v="0"/>
    <s v="AR4"/>
    <s v="USEPA"/>
    <s v="USEPA Emission Factors Hub (Last Modified: March 2020)"/>
    <n v="2021"/>
    <n v="2020"/>
    <n v="0"/>
    <n v="0"/>
    <x v="28"/>
    <s v="Unspecified Facility Type"/>
  </r>
  <r>
    <n v="4987"/>
    <s v="Top of Hierarchy &gt; South America &gt; Vantage_Sao Paulo"/>
    <x v="4"/>
    <x v="1"/>
    <d v="2021-01-01T00:00:00"/>
    <d v="2021-12-31T00:00:00"/>
    <x v="3"/>
    <d v="2021-01-01T00:00:00"/>
    <d v="2021-12-31T00:00:00"/>
    <s v="Natural gas"/>
    <n v="0"/>
    <s v="cubic metres"/>
    <x v="1"/>
    <m/>
    <s v="2023-02-27, 16:27"/>
    <s v="2023-07-20, 00:40"/>
    <n v="2021"/>
    <s v="natural_gas"/>
    <s v="Natural Gas"/>
    <s v="model"/>
    <b v="0"/>
    <s v="NATURAL GAS, NATURAL GAS"/>
    <x v="2"/>
    <x v="0"/>
    <s v="Americas"/>
    <m/>
    <m/>
    <m/>
    <n v="1"/>
    <s v="N2O"/>
    <n v="0"/>
    <n v="2.9799999999999999E-5"/>
    <s v="SCF"/>
    <n v="35.314724830000003"/>
    <n v="0"/>
    <s v="AR4"/>
    <s v="USEPA"/>
    <s v="USEPA (2021)"/>
    <n v="2021"/>
    <n v="2021"/>
    <n v="0"/>
    <n v="0"/>
    <x v="28"/>
    <s v="Unspecified Facility Type"/>
  </r>
  <r>
    <n v="4987"/>
    <s v="Top of Hierarchy &gt; South America &gt; Vantage_Sao Paulo"/>
    <x v="4"/>
    <x v="1"/>
    <d v="2021-01-01T00:00:00"/>
    <d v="2021-12-31T00:00:00"/>
    <x v="3"/>
    <d v="2021-01-01T00:00:00"/>
    <d v="2021-12-31T00:00:00"/>
    <s v="Natural gas"/>
    <n v="0"/>
    <s v="cubic metres"/>
    <x v="1"/>
    <m/>
    <s v="2023-02-27, 16:27"/>
    <s v="2023-07-20, 00:40"/>
    <n v="2021"/>
    <s v="natural_gas__wtt"/>
    <s v="Natural Gas WTT"/>
    <s v="wtt"/>
    <b v="0"/>
    <s v="WTT- FUELS; WTT- GASEOUS FUELS; NATURAL GAS"/>
    <x v="1"/>
    <x v="1"/>
    <m/>
    <m/>
    <m/>
    <m/>
    <n v="0"/>
    <s v="CO2E"/>
    <n v="0"/>
    <n v="0.34593000000000002"/>
    <s v="CUBIC METRES"/>
    <n v="1"/>
    <n v="0"/>
    <s v="AR4"/>
    <s v="Defra"/>
    <s v="Defra (2021)"/>
    <n v="2021"/>
    <n v="2019"/>
    <n v="0"/>
    <n v="0"/>
    <x v="28"/>
    <s v="Unspecified Facility Type"/>
  </r>
  <r>
    <n v="4987"/>
    <s v="Top of Hierarchy &gt; South America &gt; Vantage_Sao Paulo"/>
    <x v="4"/>
    <x v="1"/>
    <d v="2021-01-01T00:00:00"/>
    <d v="2021-12-31T00:00:00"/>
    <x v="3"/>
    <d v="2021-01-01T00:00:00"/>
    <d v="2021-12-31T00:00:00"/>
    <s v="Natural gas"/>
    <n v="0"/>
    <s v="cubic metres"/>
    <x v="1"/>
    <m/>
    <s v="2023-02-27, 16:27"/>
    <s v="2023-07-20, 00:40"/>
    <n v="2021"/>
    <s v="natural_gas__wtt"/>
    <s v="Natural Gas WTT"/>
    <s v="wtt"/>
    <b v="0"/>
    <s v="WTT- FUELS; WTT- GASEOUS FUELS; NATURAL GAS"/>
    <x v="1"/>
    <x v="1"/>
    <m/>
    <m/>
    <m/>
    <m/>
    <n v="1"/>
    <s v="CO2E"/>
    <n v="0"/>
    <n v="0.34593000000000002"/>
    <s v="CUBIC METRES"/>
    <n v="1"/>
    <n v="0"/>
    <s v="AR4"/>
    <s v="Defra"/>
    <s v="Defra (2021)"/>
    <n v="2021"/>
    <n v="2019"/>
    <n v="0"/>
    <n v="0"/>
    <x v="28"/>
    <s v="Unspecified Facility Type"/>
  </r>
  <r>
    <n v="5020"/>
    <s v="Top of Hierarchy &gt; South America &gt; Vantage_Sao Paulo"/>
    <x v="4"/>
    <x v="1"/>
    <d v="2021-01-01T00:00:00"/>
    <d v="2021-12-31T00:00:00"/>
    <x v="1"/>
    <d v="2021-01-01T00:00:00"/>
    <d v="2021-12-31T00:00:00"/>
    <s v="Petrol (100% mineral petrol)"/>
    <n v="0"/>
    <s v="litres"/>
    <x v="1"/>
    <m/>
    <s v="2023-02-27, 16:27"/>
    <s v="2023-07-20, 00:40"/>
    <n v="2021"/>
    <s v="petrol_100p_mineral_petrol"/>
    <s v="Petrol (100% Mineral Petrol)"/>
    <s v="model"/>
    <b v="0"/>
    <s v="FUELS; LIQUID FUELS; PETROL (100% MINERAL PETROL)"/>
    <x v="2"/>
    <x v="0"/>
    <m/>
    <m/>
    <m/>
    <m/>
    <n v="0"/>
    <s v="CH4"/>
    <n v="0"/>
    <n v="7.3200000000000001E-3"/>
    <s v="LITRES"/>
    <n v="1"/>
    <n v="0"/>
    <s v="AR4"/>
    <s v="Defra"/>
    <s v="Defra (2021)"/>
    <n v="2021"/>
    <n v="2019"/>
    <n v="0"/>
    <n v="0"/>
    <x v="28"/>
    <s v="Unspecified Facility Type"/>
  </r>
  <r>
    <n v="5020"/>
    <s v="Top of Hierarchy &gt; South America &gt; Vantage_Sao Paulo"/>
    <x v="4"/>
    <x v="1"/>
    <d v="2021-01-01T00:00:00"/>
    <d v="2021-12-31T00:00:00"/>
    <x v="1"/>
    <d v="2021-01-01T00:00:00"/>
    <d v="2021-12-31T00:00:00"/>
    <s v="Petrol (100% mineral petrol)"/>
    <n v="0"/>
    <s v="litres"/>
    <x v="1"/>
    <m/>
    <s v="2023-02-27, 16:27"/>
    <s v="2023-07-20, 00:40"/>
    <n v="2021"/>
    <s v="petrol_100p_mineral_petrol"/>
    <s v="Petrol (100% Mineral Petrol)"/>
    <s v="model"/>
    <b v="0"/>
    <s v="FUELS; LIQUID FUELS; PETROL (100% MINERAL PETROL)"/>
    <x v="2"/>
    <x v="0"/>
    <m/>
    <m/>
    <m/>
    <m/>
    <n v="0"/>
    <s v="CO2"/>
    <n v="0"/>
    <n v="2.3256700000000001"/>
    <s v="LITRES"/>
    <n v="1"/>
    <n v="0"/>
    <s v="AR4"/>
    <s v="Defra"/>
    <s v="Defra (2021)"/>
    <n v="2021"/>
    <n v="2019"/>
    <n v="0"/>
    <n v="0"/>
    <x v="28"/>
    <s v="Unspecified Facility Type"/>
  </r>
  <r>
    <n v="5020"/>
    <s v="Top of Hierarchy &gt; South America &gt; Vantage_Sao Paulo"/>
    <x v="4"/>
    <x v="1"/>
    <d v="2021-01-01T00:00:00"/>
    <d v="2021-12-31T00:00:00"/>
    <x v="1"/>
    <d v="2021-01-01T00:00:00"/>
    <d v="2021-12-31T00:00:00"/>
    <s v="Petrol (100% mineral petrol)"/>
    <n v="0"/>
    <s v="litres"/>
    <x v="1"/>
    <m/>
    <s v="2023-02-27, 16:27"/>
    <s v="2023-07-20, 00:40"/>
    <n v="2021"/>
    <s v="petrol_100p_mineral_petrol"/>
    <s v="Petrol (100% Mineral Petrol)"/>
    <s v="model"/>
    <b v="0"/>
    <s v="FUELS; LIQUID FUELS; PETROL (100% MINERAL PETROL)"/>
    <x v="2"/>
    <x v="0"/>
    <m/>
    <m/>
    <m/>
    <m/>
    <n v="0"/>
    <s v="CO2E"/>
    <n v="0"/>
    <n v="2.3397000000000001"/>
    <s v="LITRES"/>
    <n v="1"/>
    <n v="0"/>
    <s v="AR4"/>
    <s v="Defra"/>
    <s v="Defra (2021)"/>
    <n v="2021"/>
    <n v="2019"/>
    <n v="0"/>
    <n v="0"/>
    <x v="28"/>
    <s v="Unspecified Facility Type"/>
  </r>
  <r>
    <n v="5020"/>
    <s v="Top of Hierarchy &gt; South America &gt; Vantage_Sao Paulo"/>
    <x v="4"/>
    <x v="1"/>
    <d v="2021-01-01T00:00:00"/>
    <d v="2021-12-31T00:00:00"/>
    <x v="1"/>
    <d v="2021-01-01T00:00:00"/>
    <d v="2021-12-31T00:00:00"/>
    <s v="Petrol (100% mineral petrol)"/>
    <n v="0"/>
    <s v="litres"/>
    <x v="1"/>
    <m/>
    <s v="2023-02-27, 16:27"/>
    <s v="2023-07-20, 00:40"/>
    <n v="2021"/>
    <s v="petrol_100p_mineral_petrol"/>
    <s v="Petrol (100% Mineral Petrol)"/>
    <s v="model"/>
    <b v="0"/>
    <s v="FUELS; LIQUID FUELS; PETROL (100% MINERAL PETROL)"/>
    <x v="2"/>
    <x v="0"/>
    <m/>
    <m/>
    <m/>
    <m/>
    <n v="0"/>
    <s v="N2O"/>
    <n v="0"/>
    <n v="6.7099999999999998E-3"/>
    <s v="LITRES"/>
    <n v="1"/>
    <n v="0"/>
    <s v="AR4"/>
    <s v="Defra"/>
    <s v="Defra (2021)"/>
    <n v="2021"/>
    <n v="2019"/>
    <n v="0"/>
    <n v="0"/>
    <x v="28"/>
    <s v="Unspecified Facility Type"/>
  </r>
  <r>
    <n v="5020"/>
    <s v="Top of Hierarchy &gt; South America &gt; Vantage_Sao Paulo"/>
    <x v="4"/>
    <x v="1"/>
    <d v="2021-01-01T00:00:00"/>
    <d v="2021-12-31T00:00:00"/>
    <x v="1"/>
    <d v="2021-01-01T00:00:00"/>
    <d v="2021-12-31T00:00:00"/>
    <s v="Petrol (100% mineral petrol)"/>
    <n v="0"/>
    <s v="litres"/>
    <x v="1"/>
    <m/>
    <s v="2023-02-27, 16:27"/>
    <s v="2023-07-20, 00:40"/>
    <n v="2021"/>
    <s v="petrol_100p_mineral_petrol"/>
    <s v="Petrol (100% Mineral Petrol)"/>
    <s v="model"/>
    <b v="0"/>
    <s v="FUELS; LIQUID FUELS; PETROL (100% MINERAL PETROL)"/>
    <x v="2"/>
    <x v="0"/>
    <m/>
    <m/>
    <m/>
    <m/>
    <n v="1"/>
    <s v="CH4"/>
    <n v="0"/>
    <n v="7.3200000000000001E-3"/>
    <s v="LITRES"/>
    <n v="1"/>
    <n v="0"/>
    <s v="AR4"/>
    <s v="Defra"/>
    <s v="Defra (2021)"/>
    <n v="2021"/>
    <n v="2019"/>
    <n v="0"/>
    <n v="0"/>
    <x v="28"/>
    <s v="Unspecified Facility Type"/>
  </r>
  <r>
    <n v="5020"/>
    <s v="Top of Hierarchy &gt; South America &gt; Vantage_Sao Paulo"/>
    <x v="4"/>
    <x v="1"/>
    <d v="2021-01-01T00:00:00"/>
    <d v="2021-12-31T00:00:00"/>
    <x v="1"/>
    <d v="2021-01-01T00:00:00"/>
    <d v="2021-12-31T00:00:00"/>
    <s v="Petrol (100% mineral petrol)"/>
    <n v="0"/>
    <s v="litres"/>
    <x v="1"/>
    <m/>
    <s v="2023-02-27, 16:27"/>
    <s v="2023-07-20, 00:40"/>
    <n v="2021"/>
    <s v="petrol_100p_mineral_petrol"/>
    <s v="Petrol (100% Mineral Petrol)"/>
    <s v="model"/>
    <b v="0"/>
    <s v="FUELS; LIQUID FUELS; PETROL (100% MINERAL PETROL)"/>
    <x v="2"/>
    <x v="0"/>
    <m/>
    <m/>
    <m/>
    <m/>
    <n v="1"/>
    <s v="CO2"/>
    <n v="0"/>
    <n v="2.3256700000000001"/>
    <s v="LITRES"/>
    <n v="1"/>
    <n v="0"/>
    <s v="AR4"/>
    <s v="Defra"/>
    <s v="Defra (2021)"/>
    <n v="2021"/>
    <n v="2019"/>
    <n v="0"/>
    <n v="0"/>
    <x v="28"/>
    <s v="Unspecified Facility Type"/>
  </r>
  <r>
    <n v="5020"/>
    <s v="Top of Hierarchy &gt; South America &gt; Vantage_Sao Paulo"/>
    <x v="4"/>
    <x v="1"/>
    <d v="2021-01-01T00:00:00"/>
    <d v="2021-12-31T00:00:00"/>
    <x v="1"/>
    <d v="2021-01-01T00:00:00"/>
    <d v="2021-12-31T00:00:00"/>
    <s v="Petrol (100% mineral petrol)"/>
    <n v="0"/>
    <s v="litres"/>
    <x v="1"/>
    <m/>
    <s v="2023-02-27, 16:27"/>
    <s v="2023-07-20, 00:40"/>
    <n v="2021"/>
    <s v="petrol_100p_mineral_petrol"/>
    <s v="Petrol (100% Mineral Petrol)"/>
    <s v="model"/>
    <b v="0"/>
    <s v="FUELS; LIQUID FUELS; PETROL (100% MINERAL PETROL)"/>
    <x v="2"/>
    <x v="0"/>
    <m/>
    <m/>
    <m/>
    <m/>
    <n v="1"/>
    <s v="CO2E"/>
    <n v="0"/>
    <n v="2.3397000000000001"/>
    <s v="LITRES"/>
    <n v="1"/>
    <n v="0"/>
    <s v="AR4"/>
    <s v="Defra"/>
    <s v="Defra (2021)"/>
    <n v="2021"/>
    <n v="2019"/>
    <n v="0"/>
    <n v="0"/>
    <x v="28"/>
    <s v="Unspecified Facility Type"/>
  </r>
  <r>
    <n v="5020"/>
    <s v="Top of Hierarchy &gt; South America &gt; Vantage_Sao Paulo"/>
    <x v="4"/>
    <x v="1"/>
    <d v="2021-01-01T00:00:00"/>
    <d v="2021-12-31T00:00:00"/>
    <x v="1"/>
    <d v="2021-01-01T00:00:00"/>
    <d v="2021-12-31T00:00:00"/>
    <s v="Petrol (100% mineral petrol)"/>
    <n v="0"/>
    <s v="litres"/>
    <x v="1"/>
    <m/>
    <s v="2023-02-27, 16:27"/>
    <s v="2023-07-20, 00:40"/>
    <n v="2021"/>
    <s v="petrol_100p_mineral_petrol"/>
    <s v="Petrol (100% Mineral Petrol)"/>
    <s v="model"/>
    <b v="0"/>
    <s v="FUELS; LIQUID FUELS; PETROL (100% MINERAL PETROL)"/>
    <x v="2"/>
    <x v="0"/>
    <m/>
    <m/>
    <m/>
    <m/>
    <n v="1"/>
    <s v="N2O"/>
    <n v="0"/>
    <n v="6.7099999999999998E-3"/>
    <s v="LITRES"/>
    <n v="1"/>
    <n v="0"/>
    <s v="AR4"/>
    <s v="Defra"/>
    <s v="Defra (2021)"/>
    <n v="2021"/>
    <n v="2019"/>
    <n v="0"/>
    <n v="0"/>
    <x v="28"/>
    <s v="Unspecified Facility Type"/>
  </r>
  <r>
    <n v="5020"/>
    <s v="Top of Hierarchy &gt; South America &gt; Vantage_Sao Paulo"/>
    <x v="4"/>
    <x v="1"/>
    <d v="2021-01-01T00:00:00"/>
    <d v="2021-12-31T00:00:00"/>
    <x v="1"/>
    <d v="2021-01-01T00:00:00"/>
    <d v="2021-12-31T00:00:00"/>
    <s v="Petrol (100% mineral petrol)"/>
    <n v="0"/>
    <s v="litres"/>
    <x v="1"/>
    <m/>
    <s v="2023-02-27, 16:27"/>
    <s v="2023-07-20, 00:40"/>
    <n v="2021"/>
    <s v="petrol_100p_mineral_petrol__wtt"/>
    <s v="Petrol (100% Mineral Petrol) WTT"/>
    <s v="wtt"/>
    <b v="0"/>
    <s v="WTT- FUELS; WTT- LIQUID FUELS; PETROL (100% MINERAL PETROL)"/>
    <x v="1"/>
    <x v="1"/>
    <m/>
    <m/>
    <m/>
    <m/>
    <n v="0"/>
    <s v="CO2E"/>
    <n v="0"/>
    <n v="0.60282999999999998"/>
    <s v="LITRES"/>
    <n v="1"/>
    <n v="0"/>
    <s v="AR4"/>
    <s v="Defra"/>
    <s v="Defra (2021)"/>
    <n v="2021"/>
    <n v="2019"/>
    <n v="0"/>
    <n v="0"/>
    <x v="28"/>
    <s v="Unspecified Facility Type"/>
  </r>
  <r>
    <n v="5020"/>
    <s v="Top of Hierarchy &gt; South America &gt; Vantage_Sao Paulo"/>
    <x v="4"/>
    <x v="1"/>
    <d v="2021-01-01T00:00:00"/>
    <d v="2021-12-31T00:00:00"/>
    <x v="1"/>
    <d v="2021-01-01T00:00:00"/>
    <d v="2021-12-31T00:00:00"/>
    <s v="Petrol (100% mineral petrol)"/>
    <n v="0"/>
    <s v="litres"/>
    <x v="1"/>
    <m/>
    <s v="2023-02-27, 16:27"/>
    <s v="2023-07-20, 00:40"/>
    <n v="2021"/>
    <s v="petrol_100p_mineral_petrol__wtt"/>
    <s v="Petrol (100% Mineral Petrol) WTT"/>
    <s v="wtt"/>
    <b v="0"/>
    <s v="WTT- FUELS; WTT- LIQUID FUELS; PETROL (100% MINERAL PETROL)"/>
    <x v="1"/>
    <x v="1"/>
    <m/>
    <m/>
    <m/>
    <m/>
    <n v="1"/>
    <s v="CO2E"/>
    <n v="0"/>
    <n v="0.60282999999999998"/>
    <s v="LITRES"/>
    <n v="1"/>
    <n v="0"/>
    <s v="AR4"/>
    <s v="Defra"/>
    <s v="Defra (2021)"/>
    <n v="2021"/>
    <n v="2019"/>
    <n v="0"/>
    <n v="0"/>
    <x v="28"/>
    <s v="Unspecified Facility Type"/>
  </r>
  <r>
    <n v="5046"/>
    <s v="Top of Hierarchy &gt; South America &gt; Vantage_Sao Paulo"/>
    <x v="4"/>
    <x v="1"/>
    <d v="2021-01-01T00:00:00"/>
    <d v="2021-12-31T00:00:00"/>
    <x v="4"/>
    <d v="2021-01-01T00:00:00"/>
    <d v="2021-12-31T00:00:00"/>
    <s v="R410A"/>
    <n v="7.2454000000000001"/>
    <s v="kilograms"/>
    <x v="0"/>
    <m/>
    <s v="2023-02-27, 16:28"/>
    <s v="2023-07-20, 00:40"/>
    <n v="2021"/>
    <s v="r410a"/>
    <s v="R410A"/>
    <s v="model"/>
    <b v="0"/>
    <s v="REFRIGERANT: R-410A"/>
    <x v="2"/>
    <x v="0"/>
    <m/>
    <m/>
    <m/>
    <m/>
    <n v="0"/>
    <s v="CO2E"/>
    <n v="15128.395200000001"/>
    <n v="2088"/>
    <s v="KG"/>
    <n v="1"/>
    <n v="7.2454000000000001"/>
    <s v="AR4"/>
    <s v="IPCC"/>
    <s v="IPCC (2021)"/>
    <n v="2021"/>
    <n v="2007"/>
    <n v="15.128395200000002"/>
    <n v="0"/>
    <x v="28"/>
    <s v="Unspecified Facility Type"/>
  </r>
  <r>
    <n v="5046"/>
    <s v="Top of Hierarchy &gt; South America &gt; Vantage_Sao Paulo"/>
    <x v="4"/>
    <x v="1"/>
    <d v="2021-01-01T00:00:00"/>
    <d v="2021-12-31T00:00:00"/>
    <x v="4"/>
    <d v="2021-01-01T00:00:00"/>
    <d v="2021-12-31T00:00:00"/>
    <s v="R410A"/>
    <n v="7.2454000000000001"/>
    <s v="kilograms"/>
    <x v="0"/>
    <m/>
    <s v="2023-02-27, 16:28"/>
    <s v="2023-07-20, 00:40"/>
    <n v="2021"/>
    <s v="r410a"/>
    <s v="R410A"/>
    <s v="model"/>
    <b v="0"/>
    <s v="REFRIGERANT: R-410A"/>
    <x v="2"/>
    <x v="0"/>
    <m/>
    <m/>
    <m/>
    <m/>
    <n v="1"/>
    <s v="CO2E"/>
    <n v="15128.395200000001"/>
    <n v="2088"/>
    <s v="KG"/>
    <n v="1"/>
    <n v="7.2454000000000001"/>
    <s v="AR4"/>
    <s v="IPCC"/>
    <s v="IPCC (2021)"/>
    <n v="2021"/>
    <n v="2007"/>
    <n v="0"/>
    <n v="15.128395200000002"/>
    <x v="28"/>
    <s v="Unspecified Facility Typ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F10592-9B5E-4974-ADDA-022E5A5FE7D5}" name="PivotTable2" cacheId="6" applyNumberFormats="0" applyBorderFormats="0" applyFontFormats="0" applyPatternFormats="0" applyAlignmentFormats="0" applyWidthHeightFormats="1" dataCaption="Values" updatedVersion="8" minRefreshableVersion="3" showDrill="0" itemPrintTitles="1" createdVersion="8" indent="0" showHeaders="0" outline="1" outlineData="1" multipleFieldFilters="0">
  <location ref="D4:F7" firstHeaderRow="0" firstDataRow="1" firstDataCol="1"/>
  <pivotFields count="44">
    <pivotField showAll="0"/>
    <pivotField showAll="0"/>
    <pivotField showAll="0"/>
    <pivotField showAll="0">
      <items count="5">
        <item h="1" m="1" x="3"/>
        <item h="1" x="1"/>
        <item x="0"/>
        <item h="1" m="1" x="2"/>
        <item t="default"/>
      </items>
    </pivotField>
    <pivotField numFmtId="164" showAll="0"/>
    <pivotField numFmtId="164" showAll="0"/>
    <pivotField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0"/>
        <item h="1" x="1"/>
        <item m="1" x="3"/>
        <item t="default"/>
      </items>
    </pivotField>
    <pivotField showAll="0">
      <items count="12">
        <item x="2"/>
        <item x="6"/>
        <item x="7"/>
        <item x="3"/>
        <item x="1"/>
        <item x="4"/>
        <item x="5"/>
        <item m="1" x="10"/>
        <item m="1" x="9"/>
        <item x="0"/>
        <item m="1"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items count="108">
        <item m="1" x="87"/>
        <item m="1" x="84"/>
        <item m="1" x="35"/>
        <item m="1" x="74"/>
        <item m="1" x="98"/>
        <item m="1" x="62"/>
        <item m="1" x="49"/>
        <item m="1" x="103"/>
        <item m="1" x="91"/>
        <item m="1" x="80"/>
        <item m="1" x="77"/>
        <item m="1" x="75"/>
        <item m="1" x="58"/>
        <item m="1" x="69"/>
        <item m="1" x="33"/>
        <item m="1" x="67"/>
        <item m="1" x="42"/>
        <item m="1" x="63"/>
        <item m="1" x="101"/>
        <item m="1" x="60"/>
        <item m="1" x="94"/>
        <item m="1" x="106"/>
        <item m="1" x="43"/>
        <item m="1" x="51"/>
        <item m="1" x="89"/>
        <item m="1" x="73"/>
        <item m="1" x="47"/>
        <item m="1" x="55"/>
        <item m="1" x="92"/>
        <item m="1" x="78"/>
        <item m="1" x="66"/>
        <item m="1" x="100"/>
        <item m="1" x="70"/>
        <item m="1" x="72"/>
        <item m="1" x="31"/>
        <item m="1" x="95"/>
        <item m="1" x="46"/>
        <item m="1" x="64"/>
        <item m="1" x="36"/>
        <item m="1" x="48"/>
        <item m="1" x="39"/>
        <item m="1" x="45"/>
        <item m="1" x="61"/>
        <item m="1" x="76"/>
        <item m="1" x="104"/>
        <item m="1" x="81"/>
        <item m="1" x="41"/>
        <item m="1" x="102"/>
        <item m="1" x="71"/>
        <item m="1" x="56"/>
        <item m="1" x="57"/>
        <item m="1" x="54"/>
        <item m="1" x="59"/>
        <item m="1" x="82"/>
        <item m="1" x="32"/>
        <item m="1" x="53"/>
        <item m="1" x="65"/>
        <item m="1" x="90"/>
        <item m="1" x="96"/>
        <item m="1" x="86"/>
        <item m="1" x="68"/>
        <item m="1" x="105"/>
        <item m="1" x="38"/>
        <item m="1" x="83"/>
        <item x="21"/>
        <item m="1" x="85"/>
        <item m="1" x="88"/>
        <item m="1" x="30"/>
        <item m="1" x="99"/>
        <item m="1" x="52"/>
        <item m="1" x="40"/>
        <item m="1" x="50"/>
        <item m="1" x="79"/>
        <item m="1" x="37"/>
        <item m="1" x="44"/>
        <item x="22"/>
        <item x="23"/>
        <item x="24"/>
        <item x="7"/>
        <item x="8"/>
        <item x="9"/>
        <item x="10"/>
        <item x="11"/>
        <item x="12"/>
        <item x="13"/>
        <item x="14"/>
        <item x="2"/>
        <item x="25"/>
        <item x="15"/>
        <item x="3"/>
        <item x="4"/>
        <item x="26"/>
        <item x="16"/>
        <item x="0"/>
        <item x="5"/>
        <item x="17"/>
        <item x="27"/>
        <item x="28"/>
        <item x="1"/>
        <item x="6"/>
        <item x="18"/>
        <item x="19"/>
        <item x="20"/>
        <item m="1" x="93"/>
        <item m="1" x="97"/>
        <item m="1" x="34"/>
        <item m="1" x="29"/>
        <item t="default"/>
      </items>
    </pivotField>
    <pivotField showAll="0"/>
  </pivotFields>
  <rowFields count="1">
    <field x="22"/>
  </rowFields>
  <rowItems count="3">
    <i>
      <x/>
    </i>
    <i>
      <x v="1"/>
    </i>
    <i t="grand">
      <x/>
    </i>
  </rowItems>
  <colFields count="1">
    <field x="-2"/>
  </colFields>
  <colItems count="2">
    <i>
      <x/>
    </i>
    <i i="1">
      <x v="1"/>
    </i>
  </colItems>
  <dataFields count="2">
    <dataField name="Location (tCO2e)" fld="40" baseField="0" baseItem="0"/>
    <dataField name="Market (tCO2e)" fld="41" baseField="0" baseItem="0"/>
  </dataFields>
  <formats count="3">
    <format dxfId="3">
      <pivotArea outline="0" collapsedLevelsAreSubtotals="1" fieldPosition="0"/>
    </format>
    <format dxfId="2">
      <pivotArea outline="0" collapsedLevelsAreSubtotals="1" fieldPosition="0"/>
    </format>
    <format dxfId="1">
      <pivotArea dataOnly="0" labelOnly="1" outline="0" fieldPosition="0">
        <references count="1">
          <reference field="4294967294" count="2">
            <x v="0"/>
            <x v="1"/>
          </reference>
        </references>
      </pivotArea>
    </format>
  </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B6E2D4-1554-4963-A0F4-D5A607DCE0C4}" name="PivotTable8" cacheId="6" applyNumberFormats="0" applyBorderFormats="0" applyFontFormats="0" applyPatternFormats="0" applyAlignmentFormats="0" applyWidthHeightFormats="1" dataCaption="Values" updatedVersion="8" minRefreshableVersion="3" showDrill="0" colGrandTotals="0" itemPrintTitles="1" createdVersion="8" indent="0" showHeaders="0" outline="1" outlineData="1" multipleFieldFilters="0">
  <location ref="P4:T34" firstHeaderRow="0" firstDataRow="2" firstDataCol="1"/>
  <pivotFields count="44">
    <pivotField showAll="0"/>
    <pivotField showAll="0"/>
    <pivotField showAll="0"/>
    <pivotField showAll="0">
      <items count="5">
        <item h="1" m="1" x="3"/>
        <item h="1" x="1"/>
        <item x="0"/>
        <item h="1" m="1" x="2"/>
        <item t="default"/>
      </items>
    </pivotField>
    <pivotField numFmtId="164" showAll="0"/>
    <pivotField numFmtId="164" showAll="0"/>
    <pivotField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5">
        <item x="2"/>
        <item x="0"/>
        <item h="1" x="1"/>
        <item m="1" x="3"/>
        <item t="default"/>
      </items>
    </pivotField>
    <pivotField showAll="0">
      <items count="12">
        <item x="2"/>
        <item x="6"/>
        <item x="7"/>
        <item x="3"/>
        <item x="1"/>
        <item x="4"/>
        <item x="5"/>
        <item m="1" x="10"/>
        <item m="1" x="9"/>
        <item x="0"/>
        <item m="1"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axis="axisRow" showAll="0">
      <items count="108">
        <item m="1" x="87"/>
        <item m="1" x="74"/>
        <item m="1" x="98"/>
        <item m="1" x="103"/>
        <item m="1" x="91"/>
        <item m="1" x="75"/>
        <item m="1" x="58"/>
        <item m="1" x="69"/>
        <item m="1" x="33"/>
        <item m="1" x="42"/>
        <item m="1" x="94"/>
        <item m="1" x="106"/>
        <item m="1" x="43"/>
        <item m="1" x="51"/>
        <item m="1" x="89"/>
        <item m="1" x="92"/>
        <item m="1" x="100"/>
        <item m="1" x="31"/>
        <item m="1" x="46"/>
        <item m="1" x="36"/>
        <item m="1" x="48"/>
        <item m="1" x="39"/>
        <item m="1" x="61"/>
        <item m="1" x="76"/>
        <item m="1" x="104"/>
        <item m="1" x="81"/>
        <item m="1" x="41"/>
        <item m="1" x="71"/>
        <item m="1" x="56"/>
        <item m="1" x="57"/>
        <item m="1" x="54"/>
        <item m="1" x="59"/>
        <item m="1" x="53"/>
        <item m="1" x="65"/>
        <item m="1" x="90"/>
        <item m="1" x="30"/>
        <item m="1" x="99"/>
        <item m="1" x="44"/>
        <item m="1" x="34"/>
        <item m="1" x="96"/>
        <item m="1" x="68"/>
        <item m="1" x="70"/>
        <item m="1" x="73"/>
        <item m="1" x="47"/>
        <item m="1" x="84"/>
        <item m="1" x="35"/>
        <item m="1" x="80"/>
        <item m="1" x="77"/>
        <item m="1" x="101"/>
        <item m="1" x="83"/>
        <item m="1" x="67"/>
        <item m="1" x="86"/>
        <item m="1" x="55"/>
        <item m="1" x="40"/>
        <item m="1" x="50"/>
        <item m="1" x="95"/>
        <item m="1" x="102"/>
        <item m="1" x="60"/>
        <item m="1" x="64"/>
        <item m="1" x="38"/>
        <item m="1" x="85"/>
        <item m="1" x="93"/>
        <item m="1" x="97"/>
        <item m="1" x="72"/>
        <item m="1" x="82"/>
        <item m="1" x="32"/>
        <item m="1" x="88"/>
        <item m="1" x="62"/>
        <item m="1" x="49"/>
        <item m="1" x="63"/>
        <item m="1" x="78"/>
        <item m="1" x="66"/>
        <item m="1" x="45"/>
        <item m="1" x="105"/>
        <item m="1" x="79"/>
        <item m="1" x="37"/>
        <item m="1" x="52"/>
        <item m="1" x="29"/>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showAll="0"/>
  </pivotFields>
  <rowFields count="1">
    <field x="42"/>
  </rowFields>
  <rowItems count="29">
    <i>
      <x v="78"/>
    </i>
    <i>
      <x v="79"/>
    </i>
    <i>
      <x v="80"/>
    </i>
    <i>
      <x v="81"/>
    </i>
    <i>
      <x v="82"/>
    </i>
    <i>
      <x v="83"/>
    </i>
    <i>
      <x v="84"/>
    </i>
    <i>
      <x v="85"/>
    </i>
    <i>
      <x v="86"/>
    </i>
    <i>
      <x v="87"/>
    </i>
    <i>
      <x v="88"/>
    </i>
    <i>
      <x v="89"/>
    </i>
    <i>
      <x v="90"/>
    </i>
    <i>
      <x v="91"/>
    </i>
    <i>
      <x v="92"/>
    </i>
    <i>
      <x v="93"/>
    </i>
    <i>
      <x v="94"/>
    </i>
    <i>
      <x v="95"/>
    </i>
    <i>
      <x v="96"/>
    </i>
    <i>
      <x v="97"/>
    </i>
    <i>
      <x v="98"/>
    </i>
    <i>
      <x v="100"/>
    </i>
    <i>
      <x v="101"/>
    </i>
    <i>
      <x v="102"/>
    </i>
    <i>
      <x v="103"/>
    </i>
    <i>
      <x v="104"/>
    </i>
    <i>
      <x v="105"/>
    </i>
    <i>
      <x v="106"/>
    </i>
    <i t="grand">
      <x/>
    </i>
  </rowItems>
  <colFields count="2">
    <field x="-2"/>
    <field x="22"/>
  </colFields>
  <colItems count="4">
    <i>
      <x/>
      <x/>
    </i>
    <i r="1">
      <x v="1"/>
    </i>
    <i i="1">
      <x v="1"/>
      <x/>
    </i>
    <i r="1" i="1">
      <x v="1"/>
    </i>
  </colItems>
  <dataFields count="2">
    <dataField name="Location (tCO2e)" fld="40" baseField="0" baseItem="0"/>
    <dataField name="Market (tCO2e)" fld="41" baseField="0" baseItem="0"/>
  </dataFields>
  <formats count="3">
    <format dxfId="6">
      <pivotArea outline="0" collapsedLevelsAreSubtotals="1" fieldPosition="0"/>
    </format>
    <format dxfId="5">
      <pivotArea outline="0" collapsedLevelsAreSubtotals="1" fieldPosition="0"/>
    </format>
    <format dxfId="4">
      <pivotArea dataOnly="0" labelOnly="1" outline="0" fieldPosition="0">
        <references count="1">
          <reference field="4294967294" count="2">
            <x v="0"/>
            <x v="1"/>
          </reference>
        </references>
      </pivotArea>
    </format>
  </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D54C7C-85D4-415F-91F8-72B9F29621EB}" name="PivotTable7" cacheId="6" applyNumberFormats="0" applyBorderFormats="0" applyFontFormats="0" applyPatternFormats="0" applyAlignmentFormats="0" applyWidthHeightFormats="1" dataCaption="Values" updatedVersion="8" minRefreshableVersion="3" showDrill="0" itemPrintTitles="1" createdVersion="8" indent="0" showHeaders="0" outline="1" outlineData="1" multipleFieldFilters="0">
  <location ref="L4:N51" firstHeaderRow="0" firstDataRow="1" firstDataCol="1"/>
  <pivotFields count="44">
    <pivotField showAll="0"/>
    <pivotField showAll="0"/>
    <pivotField axis="axisRow" showAll="0">
      <items count="18">
        <item m="1" x="9"/>
        <item m="1" x="15"/>
        <item m="1" x="12"/>
        <item m="1" x="16"/>
        <item m="1" x="8"/>
        <item m="1" x="13"/>
        <item x="1"/>
        <item m="1" x="14"/>
        <item m="1" x="10"/>
        <item m="1" x="11"/>
        <item m="1" x="7"/>
        <item x="0"/>
        <item x="2"/>
        <item x="3"/>
        <item x="4"/>
        <item x="5"/>
        <item x="6"/>
        <item t="default"/>
      </items>
    </pivotField>
    <pivotField showAll="0">
      <items count="5">
        <item h="1" m="1" x="3"/>
        <item h="1" x="1"/>
        <item x="0"/>
        <item h="1" m="1" x="2"/>
        <item t="default"/>
      </items>
    </pivotField>
    <pivotField numFmtId="164" showAll="0"/>
    <pivotField numFmtId="164" showAll="0"/>
    <pivotField axis="axisRow" showAll="0">
      <items count="23">
        <item m="1" x="16"/>
        <item m="1" x="19"/>
        <item m="1" x="13"/>
        <item x="1"/>
        <item x="3"/>
        <item m="1" x="21"/>
        <item m="1" x="15"/>
        <item x="4"/>
        <item m="1" x="17"/>
        <item m="1" x="18"/>
        <item m="1" x="14"/>
        <item m="1" x="20"/>
        <item m="1" x="12"/>
        <item x="0"/>
        <item x="2"/>
        <item x="5"/>
        <item x="6"/>
        <item x="7"/>
        <item x="8"/>
        <item x="9"/>
        <item x="10"/>
        <item x="11"/>
        <item t="default"/>
      </items>
    </pivotField>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0"/>
        <item h="1" x="1"/>
        <item m="1" x="3"/>
        <item t="default"/>
      </items>
    </pivotField>
    <pivotField showAll="0">
      <items count="12">
        <item x="2"/>
        <item x="6"/>
        <item x="7"/>
        <item x="3"/>
        <item x="1"/>
        <item x="4"/>
        <item x="5"/>
        <item m="1" x="10"/>
        <item m="1" x="9"/>
        <item x="0"/>
        <item m="1"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items count="108">
        <item m="1" x="87"/>
        <item m="1" x="84"/>
        <item m="1" x="35"/>
        <item m="1" x="74"/>
        <item m="1" x="98"/>
        <item m="1" x="62"/>
        <item m="1" x="49"/>
        <item m="1" x="103"/>
        <item m="1" x="91"/>
        <item m="1" x="80"/>
        <item m="1" x="77"/>
        <item m="1" x="75"/>
        <item m="1" x="58"/>
        <item m="1" x="69"/>
        <item m="1" x="33"/>
        <item m="1" x="67"/>
        <item m="1" x="42"/>
        <item m="1" x="63"/>
        <item m="1" x="101"/>
        <item m="1" x="60"/>
        <item m="1" x="94"/>
        <item m="1" x="106"/>
        <item m="1" x="43"/>
        <item m="1" x="51"/>
        <item m="1" x="89"/>
        <item m="1" x="73"/>
        <item m="1" x="47"/>
        <item m="1" x="55"/>
        <item m="1" x="92"/>
        <item m="1" x="78"/>
        <item m="1" x="66"/>
        <item m="1" x="100"/>
        <item m="1" x="70"/>
        <item m="1" x="72"/>
        <item m="1" x="31"/>
        <item m="1" x="95"/>
        <item m="1" x="46"/>
        <item m="1" x="64"/>
        <item m="1" x="36"/>
        <item m="1" x="48"/>
        <item m="1" x="39"/>
        <item m="1" x="45"/>
        <item m="1" x="61"/>
        <item m="1" x="76"/>
        <item m="1" x="104"/>
        <item m="1" x="81"/>
        <item m="1" x="41"/>
        <item m="1" x="102"/>
        <item m="1" x="71"/>
        <item m="1" x="56"/>
        <item m="1" x="57"/>
        <item m="1" x="54"/>
        <item m="1" x="59"/>
        <item m="1" x="82"/>
        <item m="1" x="32"/>
        <item m="1" x="53"/>
        <item m="1" x="65"/>
        <item m="1" x="90"/>
        <item m="1" x="96"/>
        <item m="1" x="86"/>
        <item m="1" x="68"/>
        <item m="1" x="105"/>
        <item m="1" x="38"/>
        <item m="1" x="83"/>
        <item x="21"/>
        <item m="1" x="85"/>
        <item m="1" x="88"/>
        <item m="1" x="30"/>
        <item m="1" x="99"/>
        <item m="1" x="52"/>
        <item m="1" x="40"/>
        <item m="1" x="50"/>
        <item m="1" x="79"/>
        <item m="1" x="37"/>
        <item m="1" x="44"/>
        <item x="22"/>
        <item x="23"/>
        <item x="24"/>
        <item x="7"/>
        <item x="8"/>
        <item x="9"/>
        <item x="10"/>
        <item x="11"/>
        <item x="12"/>
        <item x="13"/>
        <item x="14"/>
        <item x="2"/>
        <item x="25"/>
        <item x="15"/>
        <item x="3"/>
        <item x="4"/>
        <item x="26"/>
        <item x="16"/>
        <item x="0"/>
        <item x="5"/>
        <item x="17"/>
        <item x="27"/>
        <item x="28"/>
        <item x="1"/>
        <item x="6"/>
        <item x="18"/>
        <item x="19"/>
        <item x="20"/>
        <item m="1" x="93"/>
        <item m="1" x="97"/>
        <item m="1" x="34"/>
        <item m="1" x="29"/>
        <item t="default"/>
      </items>
    </pivotField>
    <pivotField showAll="0"/>
  </pivotFields>
  <rowFields count="3">
    <field x="2"/>
    <field x="22"/>
    <field x="6"/>
  </rowFields>
  <rowItems count="47">
    <i>
      <x v="6"/>
    </i>
    <i r="1">
      <x/>
    </i>
    <i r="2">
      <x v="4"/>
    </i>
    <i r="2">
      <x v="7"/>
    </i>
    <i r="2">
      <x v="14"/>
    </i>
    <i r="1">
      <x v="1"/>
    </i>
    <i r="2">
      <x v="13"/>
    </i>
    <i>
      <x v="11"/>
    </i>
    <i r="1">
      <x/>
    </i>
    <i r="2">
      <x v="3"/>
    </i>
    <i r="2">
      <x v="4"/>
    </i>
    <i r="2">
      <x v="7"/>
    </i>
    <i r="2">
      <x v="14"/>
    </i>
    <i r="1">
      <x v="1"/>
    </i>
    <i r="2">
      <x v="13"/>
    </i>
    <i>
      <x v="12"/>
    </i>
    <i r="1">
      <x/>
    </i>
    <i r="2">
      <x v="3"/>
    </i>
    <i r="2">
      <x v="4"/>
    </i>
    <i r="2">
      <x v="7"/>
    </i>
    <i r="2">
      <x v="14"/>
    </i>
    <i r="1">
      <x v="1"/>
    </i>
    <i r="2">
      <x v="13"/>
    </i>
    <i>
      <x v="13"/>
    </i>
    <i r="1">
      <x/>
    </i>
    <i r="2">
      <x v="3"/>
    </i>
    <i r="2">
      <x v="4"/>
    </i>
    <i r="2">
      <x v="7"/>
    </i>
    <i r="1">
      <x v="1"/>
    </i>
    <i r="2">
      <x v="13"/>
    </i>
    <i r="2">
      <x v="15"/>
    </i>
    <i>
      <x v="14"/>
    </i>
    <i r="1">
      <x/>
    </i>
    <i r="2">
      <x v="3"/>
    </i>
    <i r="2">
      <x v="4"/>
    </i>
    <i r="2">
      <x v="7"/>
    </i>
    <i r="2">
      <x v="14"/>
    </i>
    <i r="1">
      <x v="1"/>
    </i>
    <i r="2">
      <x v="13"/>
    </i>
    <i>
      <x v="15"/>
    </i>
    <i r="1">
      <x/>
    </i>
    <i r="2">
      <x v="3"/>
    </i>
    <i r="2">
      <x v="4"/>
    </i>
    <i r="2">
      <x v="7"/>
    </i>
    <i r="1">
      <x v="1"/>
    </i>
    <i r="2">
      <x v="13"/>
    </i>
    <i t="grand">
      <x/>
    </i>
  </rowItems>
  <colFields count="1">
    <field x="-2"/>
  </colFields>
  <colItems count="2">
    <i>
      <x/>
    </i>
    <i i="1">
      <x v="1"/>
    </i>
  </colItems>
  <dataFields count="2">
    <dataField name="Location (tCO2e)" fld="40" baseField="0" baseItem="0"/>
    <dataField name="Market (tCO2e)" fld="41" baseField="0" baseItem="0"/>
  </dataFields>
  <formats count="3">
    <format dxfId="9">
      <pivotArea outline="0" collapsedLevelsAreSubtotals="1" fieldPosition="0"/>
    </format>
    <format dxfId="8">
      <pivotArea outline="0" collapsedLevelsAreSubtotals="1" fieldPosition="0"/>
    </format>
    <format dxfId="7">
      <pivotArea dataOnly="0" labelOnly="1" outline="0" fieldPosition="0">
        <references count="1">
          <reference field="4294967294" count="2">
            <x v="0"/>
            <x v="1"/>
          </reference>
        </references>
      </pivotArea>
    </format>
  </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626E1E-0BAE-49BF-8CFD-184A12548035}" name="PivotTable6" cacheId="6" applyNumberFormats="0" applyBorderFormats="0" applyFontFormats="0" applyPatternFormats="0" applyAlignmentFormats="0" applyWidthHeightFormats="1" dataCaption="Values" updatedVersion="8" minRefreshableVersion="3" showDrill="0" rowGrandTotals="0" itemPrintTitles="1" createdVersion="8" indent="0" showHeaders="0" outline="1" outlineData="1" multipleFieldFilters="0">
  <location ref="D22:F25" firstHeaderRow="0" firstDataRow="1" firstDataCol="1"/>
  <pivotFields count="44">
    <pivotField showAll="0"/>
    <pivotField showAll="0"/>
    <pivotField showAll="0"/>
    <pivotField axis="axisRow" showAll="0">
      <items count="5">
        <item h="1" m="1" x="3"/>
        <item h="1" m="1" x="2"/>
        <item x="0"/>
        <item h="1" x="1"/>
        <item t="default"/>
      </items>
    </pivotField>
    <pivotField numFmtId="164" showAll="0"/>
    <pivotField numFmtId="164" showAll="0"/>
    <pivotField showAll="0"/>
    <pivotField numFmtId="164" showAll="0"/>
    <pivotField numFmtId="164"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items count="5">
        <item x="2"/>
        <item x="0"/>
        <item h="1" x="1"/>
        <item m="1" x="3"/>
        <item t="default"/>
      </items>
    </pivotField>
    <pivotField showAll="0">
      <items count="12">
        <item x="2"/>
        <item x="6"/>
        <item x="7"/>
        <item x="3"/>
        <item x="1"/>
        <item x="4"/>
        <item x="5"/>
        <item m="1" x="10"/>
        <item m="1" x="9"/>
        <item x="0"/>
        <item m="1"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items count="108">
        <item m="1" x="87"/>
        <item m="1" x="84"/>
        <item m="1" x="35"/>
        <item m="1" x="74"/>
        <item m="1" x="98"/>
        <item m="1" x="62"/>
        <item m="1" x="49"/>
        <item m="1" x="103"/>
        <item m="1" x="91"/>
        <item m="1" x="80"/>
        <item m="1" x="77"/>
        <item m="1" x="75"/>
        <item m="1" x="58"/>
        <item m="1" x="69"/>
        <item m="1" x="33"/>
        <item m="1" x="67"/>
        <item m="1" x="42"/>
        <item m="1" x="63"/>
        <item m="1" x="101"/>
        <item m="1" x="60"/>
        <item m="1" x="94"/>
        <item m="1" x="106"/>
        <item m="1" x="43"/>
        <item m="1" x="51"/>
        <item m="1" x="89"/>
        <item m="1" x="73"/>
        <item m="1" x="47"/>
        <item m="1" x="55"/>
        <item m="1" x="92"/>
        <item m="1" x="78"/>
        <item m="1" x="66"/>
        <item m="1" x="100"/>
        <item m="1" x="70"/>
        <item m="1" x="72"/>
        <item m="1" x="31"/>
        <item m="1" x="95"/>
        <item m="1" x="46"/>
        <item m="1" x="64"/>
        <item m="1" x="36"/>
        <item m="1" x="48"/>
        <item m="1" x="39"/>
        <item m="1" x="45"/>
        <item m="1" x="61"/>
        <item m="1" x="76"/>
        <item m="1" x="104"/>
        <item m="1" x="81"/>
        <item m="1" x="41"/>
        <item m="1" x="102"/>
        <item m="1" x="71"/>
        <item m="1" x="56"/>
        <item m="1" x="57"/>
        <item m="1" x="54"/>
        <item m="1" x="59"/>
        <item m="1" x="82"/>
        <item m="1" x="32"/>
        <item m="1" x="53"/>
        <item m="1" x="65"/>
        <item m="1" x="90"/>
        <item m="1" x="96"/>
        <item m="1" x="86"/>
        <item m="1" x="68"/>
        <item m="1" x="105"/>
        <item m="1" x="38"/>
        <item m="1" x="83"/>
        <item x="21"/>
        <item m="1" x="85"/>
        <item m="1" x="88"/>
        <item m="1" x="30"/>
        <item m="1" x="99"/>
        <item m="1" x="52"/>
        <item m="1" x="40"/>
        <item m="1" x="50"/>
        <item m="1" x="79"/>
        <item m="1" x="37"/>
        <item m="1" x="44"/>
        <item x="22"/>
        <item x="23"/>
        <item x="24"/>
        <item x="7"/>
        <item x="8"/>
        <item x="9"/>
        <item x="10"/>
        <item x="11"/>
        <item x="12"/>
        <item x="13"/>
        <item x="14"/>
        <item x="2"/>
        <item x="25"/>
        <item x="15"/>
        <item x="3"/>
        <item x="4"/>
        <item x="26"/>
        <item x="16"/>
        <item x="0"/>
        <item x="5"/>
        <item x="17"/>
        <item x="27"/>
        <item x="28"/>
        <item x="1"/>
        <item x="6"/>
        <item x="18"/>
        <item x="19"/>
        <item x="20"/>
        <item m="1" x="93"/>
        <item m="1" x="97"/>
        <item m="1" x="34"/>
        <item m="1" x="29"/>
        <item t="default"/>
      </items>
    </pivotField>
    <pivotField showAll="0"/>
  </pivotFields>
  <rowFields count="2">
    <field x="3"/>
    <field x="12"/>
  </rowFields>
  <rowItems count="3">
    <i>
      <x v="2"/>
    </i>
    <i r="1">
      <x/>
    </i>
    <i r="1">
      <x v="1"/>
    </i>
  </rowItems>
  <colFields count="1">
    <field x="-2"/>
  </colFields>
  <colItems count="2">
    <i>
      <x/>
    </i>
    <i i="1">
      <x v="1"/>
    </i>
  </colItems>
  <dataFields count="2">
    <dataField name="Location (tCO2e)" fld="40" showDataAs="percentOfCol" baseField="11" baseItem="1" numFmtId="10"/>
    <dataField name="Market (tCO2e)" fld="41" showDataAs="percentOfCol" baseField="11" baseItem="0" numFmtId="10"/>
  </dataFields>
  <formats count="5">
    <format dxfId="14">
      <pivotArea outline="0" collapsedLevelsAreSubtotals="1" fieldPosition="0"/>
    </format>
    <format dxfId="13">
      <pivotArea dataOnly="0" labelOnly="1" outline="0" fieldPosition="0">
        <references count="1">
          <reference field="4294967294" count="2">
            <x v="0"/>
            <x v="1"/>
          </reference>
        </references>
      </pivotArea>
    </format>
    <format dxfId="12">
      <pivotArea outline="0" fieldPosition="0">
        <references count="1">
          <reference field="4294967294" count="1">
            <x v="0"/>
          </reference>
        </references>
      </pivotArea>
    </format>
    <format dxfId="11">
      <pivotArea outline="0" fieldPosition="0">
        <references count="1">
          <reference field="4294967294" count="1">
            <x v="1"/>
          </reference>
        </references>
      </pivotArea>
    </format>
    <format dxfId="10">
      <pivotArea outline="0" collapsedLevelsAreSubtotals="1" fieldPosition="0"/>
    </format>
  </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6905C4C-6CBA-49A3-807B-19C0ED40A4F6}" name="PivotTable4" cacheId="6" applyNumberFormats="0" applyBorderFormats="0" applyFontFormats="0" applyPatternFormats="0" applyAlignmentFormats="0" applyWidthHeightFormats="1" dataCaption="Values" updatedVersion="8" minRefreshableVersion="3" showDrill="0" itemPrintTitles="1" createdVersion="8" indent="0" showHeaders="0" outline="1" outlineData="1" multipleFieldFilters="0">
  <location ref="H4:J15" firstHeaderRow="0" firstDataRow="1" firstDataCol="1"/>
  <pivotFields count="44">
    <pivotField showAll="0"/>
    <pivotField showAll="0"/>
    <pivotField showAll="0"/>
    <pivotField showAll="0">
      <items count="5">
        <item h="1" m="1" x="3"/>
        <item h="1" x="1"/>
        <item x="0"/>
        <item h="1" m="1" x="2"/>
        <item t="default"/>
      </items>
    </pivotField>
    <pivotField numFmtId="164" showAll="0"/>
    <pivotField numFmtId="164" showAll="0"/>
    <pivotField axis="axisRow" showAll="0">
      <items count="23">
        <item m="1" x="16"/>
        <item m="1" x="19"/>
        <item m="1" x="13"/>
        <item x="1"/>
        <item x="3"/>
        <item m="1" x="21"/>
        <item m="1" x="15"/>
        <item x="4"/>
        <item m="1" x="17"/>
        <item m="1" x="18"/>
        <item m="1" x="14"/>
        <item m="1" x="20"/>
        <item m="1" x="12"/>
        <item x="0"/>
        <item x="2"/>
        <item x="5"/>
        <item x="6"/>
        <item x="7"/>
        <item x="8"/>
        <item x="9"/>
        <item x="10"/>
        <item x="11"/>
        <item t="default"/>
      </items>
    </pivotField>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0"/>
        <item h="1" x="1"/>
        <item m="1" x="3"/>
        <item t="default"/>
      </items>
    </pivotField>
    <pivotField axis="axisRow" showAll="0">
      <items count="12">
        <item x="1"/>
        <item x="5"/>
        <item m="1" x="10"/>
        <item m="1" x="9"/>
        <item x="0"/>
        <item m="1" x="8"/>
        <item x="2"/>
        <item x="3"/>
        <item x="4"/>
        <item x="6"/>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items count="108">
        <item m="1" x="87"/>
        <item m="1" x="84"/>
        <item m="1" x="35"/>
        <item m="1" x="74"/>
        <item m="1" x="98"/>
        <item m="1" x="62"/>
        <item m="1" x="49"/>
        <item m="1" x="103"/>
        <item m="1" x="91"/>
        <item m="1" x="80"/>
        <item m="1" x="77"/>
        <item m="1" x="75"/>
        <item m="1" x="58"/>
        <item m="1" x="69"/>
        <item m="1" x="33"/>
        <item m="1" x="67"/>
        <item m="1" x="42"/>
        <item m="1" x="63"/>
        <item m="1" x="101"/>
        <item m="1" x="60"/>
        <item m="1" x="94"/>
        <item m="1" x="106"/>
        <item m="1" x="43"/>
        <item m="1" x="51"/>
        <item m="1" x="89"/>
        <item m="1" x="73"/>
        <item m="1" x="47"/>
        <item m="1" x="55"/>
        <item m="1" x="92"/>
        <item m="1" x="78"/>
        <item m="1" x="66"/>
        <item m="1" x="100"/>
        <item m="1" x="70"/>
        <item m="1" x="72"/>
        <item m="1" x="31"/>
        <item m="1" x="95"/>
        <item m="1" x="46"/>
        <item m="1" x="64"/>
        <item m="1" x="36"/>
        <item m="1" x="48"/>
        <item m="1" x="39"/>
        <item m="1" x="45"/>
        <item m="1" x="61"/>
        <item m="1" x="76"/>
        <item m="1" x="104"/>
        <item m="1" x="81"/>
        <item m="1" x="41"/>
        <item m="1" x="102"/>
        <item m="1" x="71"/>
        <item m="1" x="56"/>
        <item m="1" x="57"/>
        <item m="1" x="54"/>
        <item m="1" x="59"/>
        <item m="1" x="82"/>
        <item m="1" x="32"/>
        <item m="1" x="53"/>
        <item m="1" x="65"/>
        <item m="1" x="90"/>
        <item m="1" x="96"/>
        <item m="1" x="86"/>
        <item m="1" x="68"/>
        <item m="1" x="105"/>
        <item m="1" x="38"/>
        <item m="1" x="83"/>
        <item x="21"/>
        <item m="1" x="85"/>
        <item m="1" x="88"/>
        <item m="1" x="30"/>
        <item m="1" x="99"/>
        <item m="1" x="52"/>
        <item m="1" x="40"/>
        <item m="1" x="50"/>
        <item m="1" x="79"/>
        <item m="1" x="37"/>
        <item m="1" x="44"/>
        <item x="22"/>
        <item x="23"/>
        <item x="24"/>
        <item x="7"/>
        <item x="8"/>
        <item x="9"/>
        <item x="10"/>
        <item x="11"/>
        <item x="12"/>
        <item x="13"/>
        <item x="14"/>
        <item x="2"/>
        <item x="25"/>
        <item x="15"/>
        <item x="3"/>
        <item x="4"/>
        <item x="26"/>
        <item x="16"/>
        <item x="0"/>
        <item x="5"/>
        <item x="17"/>
        <item x="27"/>
        <item x="28"/>
        <item x="1"/>
        <item x="6"/>
        <item x="18"/>
        <item x="19"/>
        <item x="20"/>
        <item m="1" x="93"/>
        <item m="1" x="97"/>
        <item m="1" x="34"/>
        <item m="1" x="29"/>
        <item t="default"/>
      </items>
    </pivotField>
    <pivotField showAll="0"/>
  </pivotFields>
  <rowFields count="3">
    <field x="22"/>
    <field x="23"/>
    <field x="6"/>
  </rowFields>
  <rowItems count="11">
    <i>
      <x/>
    </i>
    <i r="1">
      <x v="4"/>
    </i>
    <i r="2">
      <x v="3"/>
    </i>
    <i r="2">
      <x v="4"/>
    </i>
    <i r="2">
      <x v="7"/>
    </i>
    <i r="2">
      <x v="14"/>
    </i>
    <i>
      <x v="1"/>
    </i>
    <i r="1">
      <x v="4"/>
    </i>
    <i r="2">
      <x v="13"/>
    </i>
    <i r="2">
      <x v="15"/>
    </i>
    <i t="grand">
      <x/>
    </i>
  </rowItems>
  <colFields count="1">
    <field x="-2"/>
  </colFields>
  <colItems count="2">
    <i>
      <x/>
    </i>
    <i i="1">
      <x v="1"/>
    </i>
  </colItems>
  <dataFields count="2">
    <dataField name="Location (tCO2e)" fld="40" baseField="0" baseItem="0"/>
    <dataField name="Market (tCO2e)" fld="41" baseField="0" baseItem="0"/>
  </dataFields>
  <formats count="3">
    <format dxfId="17">
      <pivotArea outline="0" collapsedLevelsAreSubtotals="1" fieldPosition="0"/>
    </format>
    <format dxfId="16">
      <pivotArea outline="0" collapsedLevelsAreSubtotals="1" fieldPosition="0"/>
    </format>
    <format dxfId="15">
      <pivotArea dataOnly="0" labelOnly="1" outline="0" fieldPosition="0">
        <references count="1">
          <reference field="4294967294" count="2">
            <x v="0"/>
            <x v="1"/>
          </reference>
        </references>
      </pivotArea>
    </format>
  </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0A59E5B-DA3A-4126-9922-624365AD16ED}" name="PivotTable3" cacheId="6" applyNumberFormats="0" applyBorderFormats="0" applyFontFormats="0" applyPatternFormats="0" applyAlignmentFormats="0" applyWidthHeightFormats="1" dataCaption="Values" updatedVersion="8" minRefreshableVersion="3" showDrill="0" rowGrandTotals="0" itemPrintTitles="1" createdVersion="8" indent="0" showHeaders="0" outline="1" outlineData="1" multipleFieldFilters="0">
  <location ref="D13:F14" firstHeaderRow="0" firstDataRow="1" firstDataCol="1"/>
  <pivotFields count="44">
    <pivotField showAll="0"/>
    <pivotField showAll="0"/>
    <pivotField showAll="0"/>
    <pivotField axis="axisRow" showAll="0">
      <items count="5">
        <item h="1" m="1" x="3"/>
        <item h="1" m="1" x="2"/>
        <item x="0"/>
        <item h="1" x="1"/>
        <item t="default"/>
      </items>
    </pivotField>
    <pivotField numFmtId="164" showAll="0"/>
    <pivotField numFmtId="164" showAll="0"/>
    <pivotField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0"/>
        <item h="1" x="1"/>
        <item m="1" x="3"/>
        <item t="default"/>
      </items>
    </pivotField>
    <pivotField showAll="0">
      <items count="12">
        <item x="2"/>
        <item x="6"/>
        <item x="7"/>
        <item x="3"/>
        <item x="1"/>
        <item x="4"/>
        <item x="5"/>
        <item m="1" x="10"/>
        <item m="1" x="9"/>
        <item x="0"/>
        <item m="1"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items count="108">
        <item m="1" x="87"/>
        <item m="1" x="84"/>
        <item m="1" x="35"/>
        <item m="1" x="74"/>
        <item m="1" x="98"/>
        <item m="1" x="62"/>
        <item m="1" x="49"/>
        <item m="1" x="103"/>
        <item m="1" x="91"/>
        <item m="1" x="80"/>
        <item m="1" x="77"/>
        <item m="1" x="75"/>
        <item m="1" x="58"/>
        <item m="1" x="69"/>
        <item m="1" x="33"/>
        <item m="1" x="67"/>
        <item m="1" x="42"/>
        <item m="1" x="63"/>
        <item m="1" x="101"/>
        <item m="1" x="60"/>
        <item m="1" x="94"/>
        <item m="1" x="106"/>
        <item m="1" x="43"/>
        <item m="1" x="51"/>
        <item m="1" x="89"/>
        <item m="1" x="73"/>
        <item m="1" x="47"/>
        <item m="1" x="55"/>
        <item m="1" x="92"/>
        <item m="1" x="78"/>
        <item m="1" x="66"/>
        <item m="1" x="100"/>
        <item m="1" x="70"/>
        <item m="1" x="72"/>
        <item m="1" x="31"/>
        <item m="1" x="95"/>
        <item m="1" x="46"/>
        <item m="1" x="64"/>
        <item m="1" x="36"/>
        <item m="1" x="48"/>
        <item m="1" x="39"/>
        <item m="1" x="45"/>
        <item m="1" x="61"/>
        <item m="1" x="76"/>
        <item m="1" x="104"/>
        <item m="1" x="81"/>
        <item m="1" x="41"/>
        <item m="1" x="102"/>
        <item m="1" x="71"/>
        <item m="1" x="56"/>
        <item m="1" x="57"/>
        <item m="1" x="54"/>
        <item m="1" x="59"/>
        <item m="1" x="82"/>
        <item m="1" x="32"/>
        <item m="1" x="53"/>
        <item m="1" x="65"/>
        <item m="1" x="90"/>
        <item m="1" x="96"/>
        <item m="1" x="86"/>
        <item m="1" x="68"/>
        <item m="1" x="105"/>
        <item m="1" x="38"/>
        <item m="1" x="83"/>
        <item x="21"/>
        <item m="1" x="85"/>
        <item m="1" x="88"/>
        <item m="1" x="30"/>
        <item m="1" x="99"/>
        <item m="1" x="52"/>
        <item m="1" x="40"/>
        <item m="1" x="50"/>
        <item m="1" x="79"/>
        <item m="1" x="37"/>
        <item m="1" x="44"/>
        <item x="22"/>
        <item x="23"/>
        <item x="24"/>
        <item x="7"/>
        <item x="8"/>
        <item x="9"/>
        <item x="10"/>
        <item x="11"/>
        <item x="12"/>
        <item x="13"/>
        <item x="14"/>
        <item x="2"/>
        <item x="25"/>
        <item x="15"/>
        <item x="3"/>
        <item x="4"/>
        <item x="26"/>
        <item x="16"/>
        <item x="0"/>
        <item x="5"/>
        <item x="17"/>
        <item x="27"/>
        <item x="28"/>
        <item x="1"/>
        <item x="6"/>
        <item x="18"/>
        <item x="19"/>
        <item x="20"/>
        <item m="1" x="93"/>
        <item m="1" x="97"/>
        <item m="1" x="34"/>
        <item m="1" x="29"/>
        <item t="default"/>
      </items>
    </pivotField>
    <pivotField showAll="0"/>
  </pivotFields>
  <rowFields count="1">
    <field x="3"/>
  </rowFields>
  <rowItems count="1">
    <i>
      <x v="2"/>
    </i>
  </rowItems>
  <colFields count="1">
    <field x="-2"/>
  </colFields>
  <colItems count="2">
    <i>
      <x/>
    </i>
    <i i="1">
      <x v="1"/>
    </i>
  </colItems>
  <dataFields count="2">
    <dataField name="Location (tCO2e)" fld="40" baseField="0" baseItem="0"/>
    <dataField name="Market (tCO2e)" fld="41" baseField="0" baseItem="0"/>
  </dataFields>
  <formats count="3">
    <format dxfId="20">
      <pivotArea outline="0" collapsedLevelsAreSubtotals="1" fieldPosition="0"/>
    </format>
    <format dxfId="19">
      <pivotArea outline="0" collapsedLevelsAreSubtotals="1" fieldPosition="0"/>
    </format>
    <format dxfId="18">
      <pivotArea dataOnly="0" labelOnly="1" outline="0" fieldPosition="0">
        <references count="1">
          <reference field="4294967294" count="2">
            <x v="0"/>
            <x v="1"/>
          </reference>
        </references>
      </pivotArea>
    </format>
  </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orting_Period_Name" xr10:uid="{F1881560-3E41-4145-A429-C638264A150C}" sourceName="Reporting Period Name">
  <pivotTables>
    <pivotTable tabId="5" name="PivotTable2"/>
    <pivotTable tabId="5" name="PivotTable3"/>
    <pivotTable tabId="5" name="PivotTable4"/>
    <pivotTable tabId="5" name="PivotTable6"/>
    <pivotTable tabId="5" name="PivotTable7"/>
    <pivotTable tabId="5" name="PivotTable8"/>
  </pivotTables>
  <data>
    <tabular pivotCacheId="476105071" showMissing="0">
      <items count="4">
        <i x="1"/>
        <i x="0" s="1"/>
        <i x="3" nd="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ope" xr10:uid="{170A2698-8271-46AB-B207-B6F13C0F0E6F}" sourceName="Scope">
  <pivotTables>
    <pivotTable tabId="5" name="PivotTable2"/>
    <pivotTable tabId="5" name="PivotTable4"/>
    <pivotTable tabId="5" name="PivotTable7"/>
    <pivotTable tabId="5" name="PivotTable8"/>
    <pivotTable tabId="5" name="PivotTable3"/>
    <pivotTable tabId="5" name="PivotTable6"/>
  </pivotTables>
  <data>
    <tabular pivotCacheId="476105071" showMissing="0">
      <items count="4">
        <i x="2" s="1"/>
        <i x="0" s="1"/>
        <i x="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ope_Category" xr10:uid="{E99D0473-9734-4AC2-AFB2-ADCA953213A2}" sourceName="Scope Category">
  <pivotTables>
    <pivotTable tabId="5" name="PivotTable4"/>
    <pivotTable tabId="5" name="PivotTable7"/>
    <pivotTable tabId="5" name="PivotTable8"/>
    <pivotTable tabId="5" name="PivotTable2"/>
    <pivotTable tabId="5" name="PivotTable3"/>
    <pivotTable tabId="5" name="PivotTable6"/>
  </pivotTables>
  <data>
    <tabular pivotCacheId="476105071" showMissing="0">
      <items count="11">
        <i x="0" s="1"/>
        <i x="2" s="1" nd="1"/>
        <i x="6" s="1" nd="1"/>
        <i x="7" s="1" nd="1"/>
        <i x="3" s="1" nd="1"/>
        <i x="1" s="1" nd="1"/>
        <i x="4" s="1" nd="1"/>
        <i x="5" s="1" nd="1"/>
        <i x="10" s="1" nd="1"/>
        <i x="9" s="1" nd="1"/>
        <i x="8"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orting_unit_name" xr10:uid="{7B99364F-DF4E-4753-AF22-FEE5AD639578}" sourceName="Reporting unit name">
  <pivotTables>
    <pivotTable tabId="5" name="PivotTable7"/>
    <pivotTable tabId="5" name="PivotTable2"/>
    <pivotTable tabId="5" name="PivotTable3"/>
    <pivotTable tabId="5" name="PivotTable4"/>
    <pivotTable tabId="5" name="PivotTable6"/>
    <pivotTable tabId="5" name="PivotTable8"/>
  </pivotTables>
  <data>
    <tabular pivotCacheId="476105071" showMissing="0">
      <items count="107">
        <i x="22" s="1"/>
        <i x="23" s="1"/>
        <i x="24" s="1"/>
        <i x="7" s="1"/>
        <i x="8" s="1"/>
        <i x="9" s="1"/>
        <i x="10" s="1"/>
        <i x="11" s="1"/>
        <i x="12" s="1"/>
        <i x="13" s="1"/>
        <i x="14" s="1"/>
        <i x="2" s="1"/>
        <i x="25" s="1"/>
        <i x="15" s="1"/>
        <i x="3" s="1"/>
        <i x="4" s="1"/>
        <i x="26" s="1"/>
        <i x="16" s="1"/>
        <i x="0" s="1"/>
        <i x="5" s="1"/>
        <i x="17" s="1"/>
        <i x="27" s="1"/>
        <i x="28" s="1"/>
        <i x="1" s="1"/>
        <i x="6" s="1"/>
        <i x="18" s="1"/>
        <i x="19" s="1"/>
        <i x="20" s="1"/>
        <i x="21" s="1" nd="1"/>
        <i x="87" s="1" nd="1"/>
        <i x="84" s="1" nd="1"/>
        <i x="35" s="1" nd="1"/>
        <i x="74" s="1" nd="1"/>
        <i x="98" s="1" nd="1"/>
        <i x="62" s="1" nd="1"/>
        <i x="49" s="1" nd="1"/>
        <i x="103" s="1" nd="1"/>
        <i x="91" s="1" nd="1"/>
        <i x="80" s="1" nd="1"/>
        <i x="77" s="1" nd="1"/>
        <i x="75" s="1" nd="1"/>
        <i x="58" s="1" nd="1"/>
        <i x="69" s="1" nd="1"/>
        <i x="33" s="1" nd="1"/>
        <i x="67" s="1" nd="1"/>
        <i x="42" s="1" nd="1"/>
        <i x="63" s="1" nd="1"/>
        <i x="101" s="1" nd="1"/>
        <i x="60" s="1" nd="1"/>
        <i x="94" s="1" nd="1"/>
        <i x="106" s="1" nd="1"/>
        <i x="43" s="1" nd="1"/>
        <i x="51" s="1" nd="1"/>
        <i x="89" s="1" nd="1"/>
        <i x="73" s="1" nd="1"/>
        <i x="47" s="1" nd="1"/>
        <i x="55" s="1" nd="1"/>
        <i x="92" s="1" nd="1"/>
        <i x="78" s="1" nd="1"/>
        <i x="66" s="1" nd="1"/>
        <i x="100" s="1" nd="1"/>
        <i x="70" s="1" nd="1"/>
        <i x="72" s="1" nd="1"/>
        <i x="31" s="1" nd="1"/>
        <i x="95" s="1" nd="1"/>
        <i x="46" s="1" nd="1"/>
        <i x="64" s="1" nd="1"/>
        <i x="36" s="1" nd="1"/>
        <i x="48" s="1" nd="1"/>
        <i x="39" s="1" nd="1"/>
        <i x="45" s="1" nd="1"/>
        <i x="61" s="1" nd="1"/>
        <i x="76" s="1" nd="1"/>
        <i x="104" s="1" nd="1"/>
        <i x="81" s="1" nd="1"/>
        <i x="41" s="1" nd="1"/>
        <i x="102" s="1" nd="1"/>
        <i x="71" s="1" nd="1"/>
        <i x="56" s="1" nd="1"/>
        <i x="57" s="1" nd="1"/>
        <i x="54" s="1" nd="1"/>
        <i x="59" s="1" nd="1"/>
        <i x="82" s="1" nd="1"/>
        <i x="32" s="1" nd="1"/>
        <i x="53" s="1" nd="1"/>
        <i x="65" s="1" nd="1"/>
        <i x="90" s="1" nd="1"/>
        <i x="96" s="1" nd="1"/>
        <i x="86" s="1" nd="1"/>
        <i x="68" s="1" nd="1"/>
        <i x="105" s="1" nd="1"/>
        <i x="38" s="1" nd="1"/>
        <i x="83" s="1" nd="1"/>
        <i x="85" s="1" nd="1"/>
        <i x="88" s="1" nd="1"/>
        <i x="30" s="1" nd="1"/>
        <i x="99" s="1" nd="1"/>
        <i x="52" s="1" nd="1"/>
        <i x="40" s="1" nd="1"/>
        <i x="50" s="1" nd="1"/>
        <i x="79" s="1" nd="1"/>
        <i x="37" s="1" nd="1"/>
        <i x="44" s="1" nd="1"/>
        <i x="93" s="1" nd="1"/>
        <i x="97" s="1" nd="1"/>
        <i x="34" s="1" nd="1"/>
        <i x="2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orting Period Name" xr10:uid="{28BD5EA2-D116-401C-843E-ED55F9CCF0A3}" cache="Slicer_Reporting_Period_Name" caption="Reporting Period Name" style="SlicerStyleDark6" rowHeight="241300"/>
  <slicer name="Scope" xr10:uid="{52A0B0E9-6B8B-4DDE-ADCB-F0182B039B67}" cache="Slicer_Scope" caption="Scope" style="SlicerStyleDark6" rowHeight="241300"/>
  <slicer name="Scope Category" xr10:uid="{F92F9BD7-C423-43A5-89AF-B23358DA1CFD}" cache="Slicer_Scope_Category" caption="Scope Category" style="SlicerStyleDark6" rowHeight="241300"/>
  <slicer name="Reporting unit name" xr10:uid="{23D37635-BBE2-4D9D-8641-41244E7EAAB9}" cache="Slicer_Reporting_unit_name" caption="Reporting unit name" style="SlicerStyleDark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79FACBD-0128-4A6D-93B5-26C783750494}" name="hierarchy" displayName="hierarchy" ref="A1:P41" totalsRowShown="0">
  <autoFilter ref="A1:P41" xr:uid="{979FACBD-0128-4A6D-93B5-26C783750494}"/>
  <tableColumns count="16">
    <tableColumn id="1" xr3:uid="{1F9E8253-F5BB-4613-8F29-3704FD42FBA7}" name="Name"/>
    <tableColumn id="2" xr3:uid="{876FB3E9-1553-400F-A64E-671CD05C43DD}" name="Parent Name"/>
    <tableColumn id="3" xr3:uid="{6DDBD335-B98C-47E5-8922-E33585C1C723}" name="Reporting Unit Type"/>
    <tableColumn id="4" xr3:uid="{495E8D72-765F-42D0-AA15-0C112163940E}" name="Open Date" dataDxfId="34"/>
    <tableColumn id="5" xr3:uid="{B08343F2-14D6-4351-A5A5-41E1172E602C}" name="Close Date" dataDxfId="33"/>
    <tableColumn id="6" xr3:uid="{86E359D5-354C-40F4-8553-809071DC0EE4}" name="Country"/>
    <tableColumn id="7" xr3:uid="{9DEE515A-3988-4AA0-A076-9B5EC6A27EEE}" name="Sub-region"/>
    <tableColumn id="8" xr3:uid="{868E3E42-F9E6-4321-8CBC-B5CAE6C60118}" name="Region"/>
    <tableColumn id="9" xr3:uid="{82DC3730-F122-4B2C-87D5-D10DCAF58A3B}" name="State"/>
    <tableColumn id="10" xr3:uid="{F826CEC4-1DF9-41F6-B782-A26B2C67BCEF}" name="Postcode"/>
    <tableColumn id="12" xr3:uid="{24CFFD46-8ED5-496C-938F-457BDCB79C7D}" name="Latitude"/>
    <tableColumn id="13" xr3:uid="{3E624B4B-2CF6-4A5D-9EF7-D58162FD883A}" name="Longitude"/>
    <tableColumn id="14" xr3:uid="{F34E6F80-F53A-442B-9BDC-31BF88D7A972}" name="Viewers"/>
    <tableColumn id="11" xr3:uid="{6AF8D80B-A3F2-4680-AD83-35C8B2E7E806}" name="Data Managers"/>
    <tableColumn id="15" xr3:uid="{CF0DE75D-BBD6-49EF-98D3-4465F4374007}" name="Approvers"/>
    <tableColumn id="16" xr3:uid="{01AC62EB-2F06-4B4C-B572-B9B4E3C5D6E5}" name="Column1"/>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95617AE-70FC-41A1-95BD-60CD16F26012}" name="data" displayName="data" ref="A1:S292" totalsRowShown="0" headerRowDxfId="32">
  <autoFilter ref="A1:S292" xr:uid="{895617AE-70FC-41A1-95BD-60CD16F26012}">
    <filterColumn colId="3">
      <filters>
        <filter val="Top of Hierarchy &gt; North America &gt; Vantage_Chicago"/>
      </filters>
    </filterColumn>
    <filterColumn colId="4">
      <filters>
        <filter val="FY22 (Jan. 1, 2022 - Dec. 31, 2022)"/>
      </filters>
    </filterColumn>
    <filterColumn colId="8">
      <filters>
        <filter val="Propane"/>
      </filters>
    </filterColumn>
  </autoFilter>
  <tableColumns count="19">
    <tableColumn id="11" xr3:uid="{368259CB-6215-4421-AD7C-E2386395BDDC}" name="ID2"/>
    <tableColumn id="1" xr3:uid="{AE6695AA-2FC7-41CB-9B35-FF85887730BA}" name="Reporting Unit Name"/>
    <tableColumn id="2" xr3:uid="{5D5C5451-DBE7-463B-BF4D-4C753702783E}" name="Reporting Period Name"/>
    <tableColumn id="3" xr3:uid="{1025B9A5-E279-4309-B637-51B2BDC1EA30}" name="Activity Group"/>
    <tableColumn id="4" xr3:uid="{42B7F2EE-5641-4DEA-8286-25E36DD498B0}" name="Start Period" dataDxfId="31"/>
    <tableColumn id="5" xr3:uid="{76A1D67C-679C-4501-98CB-56A220FA9805}" name="End Period" dataDxfId="30"/>
    <tableColumn id="6" xr3:uid="{675AB613-3AE8-4B27-AAF5-A283C8633406}" name="Activity"/>
    <tableColumn id="7" xr3:uid="{D6E325CE-F771-40F5-B284-19BE4DD2DD56}" name="Quantity"/>
    <tableColumn id="8" xr3:uid="{065F883D-AAAB-4231-8A6C-CE7CFBA44F57}" name="Unit"/>
    <tableColumn id="9" xr3:uid="{7386B61E-EE30-4358-A53C-FA96D692A5A0}" name="Data Quality"/>
    <tableColumn id="10" xr3:uid="{0A360DCB-51DF-41C6-B213-69F49BD0A269}" name="User"/>
    <tableColumn id="16" xr3:uid="{C6A125BD-CA33-4376-A33A-4D951077394D}" name="Created Date"/>
    <tableColumn id="15" xr3:uid="{E83A6016-36CB-44B1-892B-35049DE929AA}" name="Calculation Status"/>
    <tableColumn id="14" xr3:uid="{634E4982-0B1A-419D-B98E-14D401142CEE}" name="Calculation Date"/>
    <tableColumn id="17" xr3:uid="{485DAE74-2A97-42CC-8D7B-B95D869F6362}" name="Note"/>
    <tableColumn id="13" xr3:uid="{475C4F5C-C3EA-4CC1-90CA-5BE2E064CF7B}" name="Evidence"/>
    <tableColumn id="12" xr3:uid="{280243D4-93B1-4D78-802D-3373D5B0E409}" name="Column1"/>
    <tableColumn id="18" xr3:uid="{DF7A4FA1-CF50-49B6-9F11-C79AEF77B9AB}" name="Column2"/>
    <tableColumn id="19" xr3:uid="{0D2317E9-CE8E-4DE2-83E9-7688DF3DCF99}" name="Column3"/>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0C4283-0CA5-4833-8C91-09C64178FBE6}" name="emissions" displayName="emissions" ref="A1:AR2468" totalsRowShown="0" headerRowDxfId="29">
  <autoFilter ref="A1:AR2468" xr:uid="{5B0C4283-0CA5-4833-8C91-09C64178FBE6}">
    <filterColumn colId="1">
      <filters>
        <filter val="Top of Hierarchy &gt; North America &gt; Vantage_Chicago"/>
      </filters>
    </filterColumn>
    <filterColumn colId="3">
      <filters>
        <filter val="FY22"/>
      </filters>
    </filterColumn>
    <filterColumn colId="9">
      <filters>
        <filter val="Propane"/>
      </filters>
    </filterColumn>
  </autoFilter>
  <tableColumns count="44">
    <tableColumn id="1" xr3:uid="{2FE450BA-0E9B-4146-9335-E059FFEFC8F9}" name="Record ID"/>
    <tableColumn id="2" xr3:uid="{C156FFA2-6F94-4EB9-B9D4-837CC15D64A4}" name="Reporting Unit"/>
    <tableColumn id="44" xr3:uid="{6039593F-D9F4-43B2-86F6-8FAE32BBD98B}" name="Reporting Unit Type"/>
    <tableColumn id="3" xr3:uid="{ACC11B52-9BBC-4F91-BC8C-C2169E65ABE5}" name="Reporting Period Name"/>
    <tableColumn id="4" xr3:uid="{445B8A6D-E8B1-460B-910D-02AA146D4192}" name="Reporting Period Start Date" dataDxfId="28"/>
    <tableColumn id="5" xr3:uid="{C297A455-F7F7-490D-8D4B-028CE357D84C}" name="Reporting Period End Date" dataDxfId="27"/>
    <tableColumn id="6" xr3:uid="{864E177B-44FE-4797-94EE-01D6371014FD}" name="Activity Group"/>
    <tableColumn id="7" xr3:uid="{C3B4DE91-2AD5-4337-82C4-81143483487E}" name="Record Start Date" dataDxfId="26"/>
    <tableColumn id="8" xr3:uid="{4A9E0150-B103-4B19-B2EB-FA6E6370D937}" name="Record End Date" dataDxfId="25"/>
    <tableColumn id="9" xr3:uid="{66C7CF96-9F81-4877-97C9-EA4DF3F2E08F}" name="Activity"/>
    <tableColumn id="10" xr3:uid="{52FC665B-1DE8-43DC-8AB0-F6B837813EBA}" name="Quantity"/>
    <tableColumn id="11" xr3:uid="{5AE9D988-AFE1-4F57-93EE-F5E6B86C5E23}" name="Unit"/>
    <tableColumn id="12" xr3:uid="{16674BFB-42E8-49E9-881F-9E451BF25329}" name="Data Quality"/>
    <tableColumn id="13" xr3:uid="{2C2AF18B-6462-40BC-8C0F-CF56E1AF3458}" name="Note"/>
    <tableColumn id="14" xr3:uid="{C017505B-8C53-48FB-9415-FCC5208FBF19}" name="Calculation Created At"/>
    <tableColumn id="15" xr3:uid="{11DF4474-827F-4ED8-A67C-D15BD338E95B}" name="Calculation Updated At"/>
    <tableColumn id="16" xr3:uid="{C3A07BFA-E9CA-4295-8337-53E356050F8F}" name="Reporting Period Year"/>
    <tableColumn id="17" xr3:uid="{4F767B71-1535-4FD9-9A59-AC883D589D19}" name="Model Name"/>
    <tableColumn id="18" xr3:uid="{04AC4993-9DF3-4B97-B5C0-640C4D9D9875}" name="Model Alias"/>
    <tableColumn id="43" xr3:uid="{AC1A8265-092F-41EA-8286-A7636F868E0C}" name="Model type"/>
    <tableColumn id="19" xr3:uid="{FA529A27-1E56-4EB1-8503-9FEB8E50B1F7}" name="Custom Factor"/>
    <tableColumn id="20" xr3:uid="{2DBDE624-38A6-4AED-BDA5-66906F8CB7B8}" name="Emission Factor Name"/>
    <tableColumn id="21" xr3:uid="{2F545C63-0152-4ACB-98A9-D9BB2B86D5F0}" name="Scope"/>
    <tableColumn id="22" xr3:uid="{6DA02538-C92A-4BD7-82E1-F6F5DCE29DC5}" name="Scope Category"/>
    <tableColumn id="23" xr3:uid="{2F8FEBAB-DDED-49BC-9EE2-CE61FF99168D}" name="Matched Region"/>
    <tableColumn id="24" xr3:uid="{A2373453-118B-42A5-A255-B534AC357A13}" name="Matched Sub-region"/>
    <tableColumn id="25" xr3:uid="{26EB756A-BA25-493E-8BC1-4EFACD3F23B3}" name="Matched Country Code"/>
    <tableColumn id="26" xr3:uid="{E39A1F7F-FA79-4E22-80CE-1CFD6EBB1B33}" name="Matched Country Region"/>
    <tableColumn id="27" xr3:uid="{F81E406E-3B0D-4187-9441-8E47120DF116}" name="Market-based"/>
    <tableColumn id="28" xr3:uid="{27AFA329-0D79-4080-B404-7487511BAF27}" name="Impact Type"/>
    <tableColumn id="29" xr3:uid="{D68FAD9D-5075-48EF-82F6-4923D8E8DF01}" name="kgCO2e"/>
    <tableColumn id="30" xr3:uid="{E49EA920-5215-4E9D-BFF1-DC8E2A37683F}" name="EF Impact Value"/>
    <tableColumn id="31" xr3:uid="{495B0F7A-E7F4-43C9-A4BA-2B2AE7029D2D}" name="EF Impact Unit"/>
    <tableColumn id="32" xr3:uid="{EC89A809-07D7-4741-84DF-961FCB4B8DA1}" name="Consumption Value Multiplier"/>
    <tableColumn id="33" xr3:uid="{EECFE783-6054-4B29-A139-3F22D26CEA80}" name="Consumption Value in EF Unit"/>
    <tableColumn id="34" xr3:uid="{C2302824-DAD3-4E7C-9C05-E434E155EEDD}" name="Assessment Report"/>
    <tableColumn id="35" xr3:uid="{AD5DB57C-F0D6-400B-B41A-57CE869175CE}" name="Author"/>
    <tableColumn id="36" xr3:uid="{BAD2D9B9-1CFE-498C-A0E6-766DD1E9FEC7}" name="Source"/>
    <tableColumn id="37" xr3:uid="{65BEDB15-5C57-4DDB-A8E4-C5332C9F2813}" name="Published Year"/>
    <tableColumn id="38" xr3:uid="{0AA81F47-AD96-4ADF-AF55-429FCE813440}" name="Data Year"/>
    <tableColumn id="39" xr3:uid="{F609D00C-646C-4E2A-9F39-89DD4AE0B36D}" name="Location tCO2e" dataDxfId="24">
      <calculatedColumnFormula>IF(AND(emissions[[#This Row],[Market-based]]=0,emissions[[#This Row],[Impact Type]]="CO2E"),emissions[[#This Row],[kgCO2e]],0)/1000</calculatedColumnFormula>
    </tableColumn>
    <tableColumn id="40" xr3:uid="{F0A253EF-E432-46DD-B7F4-A39B78BAE7E8}" name="Market tCO2e" dataDxfId="23">
      <calculatedColumnFormula>IF(AND(emissions[[#This Row],[Market-based]]=1,OR(emissions[[#This Row],[Impact Type]]="CO2E",emissions[[#This Row],[Impact Type]]="CO2E MKT")),emissions[[#This Row],[kgCO2e]],0)/1000</calculatedColumnFormula>
    </tableColumn>
    <tableColumn id="41" xr3:uid="{8046BF7D-1A6B-4C4D-95F4-CD3619E1E1E5}" name="Reporting unit name" dataDxfId="22">
      <calculatedColumnFormula>_xlfn.TEXTAFTER(emissions[[#This Row],[Reporting Unit]]," &gt; ",LEN(emissions[[#This Row],[Reporting Unit]])-LEN(SUBSTITUTE(emissions[[#This Row],[Reporting Unit]],"&gt;","")))</calculatedColumnFormula>
    </tableColumn>
    <tableColumn id="42" xr3:uid="{CF3655F0-8D7C-4FAF-B3B1-875D0A5BFEFC}" name="Reporting unit type2" dataDxfId="21">
      <calculatedColumnFormula>_xlfn.XLOOKUP(emissions[[#This Row],[Reporting unit name]],hierarchy!$A:$A,hierarchy!$C:$C)</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3D377-29F0-4E0E-8154-D082A1BA1E6B}">
  <sheetPr>
    <tabColor theme="0" tint="-0.499984740745262"/>
  </sheetPr>
  <dimension ref="A1:P41"/>
  <sheetViews>
    <sheetView zoomScale="90" zoomScaleNormal="90" workbookViewId="0">
      <selection activeCell="B15" sqref="B15"/>
    </sheetView>
  </sheetViews>
  <sheetFormatPr defaultRowHeight="15" x14ac:dyDescent="0.25"/>
  <cols>
    <col min="1" max="1" width="35" bestFit="1" customWidth="1"/>
    <col min="2" max="2" width="25.5703125" bestFit="1" customWidth="1"/>
    <col min="3" max="3" width="33.140625" bestFit="1" customWidth="1"/>
    <col min="4" max="5" width="12.5703125" customWidth="1"/>
    <col min="6" max="6" width="49.42578125" bestFit="1" customWidth="1"/>
    <col min="7" max="7" width="30.28515625" bestFit="1" customWidth="1"/>
    <col min="8" max="8" width="9.28515625" customWidth="1"/>
    <col min="9" max="9" width="7.7109375" customWidth="1"/>
    <col min="10" max="10" width="11.28515625" customWidth="1"/>
    <col min="11" max="12" width="13.42578125" customWidth="1"/>
    <col min="13" max="15" width="18.42578125"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460</v>
      </c>
    </row>
    <row r="2" spans="1:16" x14ac:dyDescent="0.25">
      <c r="A2" t="s">
        <v>463</v>
      </c>
      <c r="B2" t="s">
        <v>464</v>
      </c>
      <c r="C2" t="s">
        <v>7</v>
      </c>
      <c r="D2" s="3">
        <v>36526</v>
      </c>
      <c r="E2" s="3" t="s">
        <v>465</v>
      </c>
      <c r="F2" s="3"/>
      <c r="H2" t="s">
        <v>466</v>
      </c>
      <c r="M2" t="s">
        <v>467</v>
      </c>
      <c r="P2">
        <v>3279</v>
      </c>
    </row>
    <row r="3" spans="1:16" x14ac:dyDescent="0.25">
      <c r="A3" t="s">
        <v>468</v>
      </c>
      <c r="B3" t="s">
        <v>464</v>
      </c>
      <c r="C3" t="s">
        <v>7</v>
      </c>
      <c r="D3" s="3">
        <v>36526</v>
      </c>
      <c r="E3" t="s">
        <v>465</v>
      </c>
      <c r="H3" t="s">
        <v>468</v>
      </c>
      <c r="M3" t="s">
        <v>467</v>
      </c>
      <c r="P3">
        <v>3278</v>
      </c>
    </row>
    <row r="4" spans="1:16" x14ac:dyDescent="0.25">
      <c r="A4" t="s">
        <v>469</v>
      </c>
      <c r="B4" t="s">
        <v>464</v>
      </c>
      <c r="C4" t="s">
        <v>7</v>
      </c>
      <c r="D4" s="3">
        <v>36526</v>
      </c>
      <c r="E4" t="s">
        <v>465</v>
      </c>
      <c r="H4" t="s">
        <v>470</v>
      </c>
      <c r="M4" t="s">
        <v>467</v>
      </c>
      <c r="P4">
        <v>3280</v>
      </c>
    </row>
    <row r="5" spans="1:16" x14ac:dyDescent="0.25">
      <c r="A5" t="s">
        <v>471</v>
      </c>
      <c r="B5" t="s">
        <v>464</v>
      </c>
      <c r="C5" t="s">
        <v>7</v>
      </c>
      <c r="D5" s="3">
        <v>36526</v>
      </c>
      <c r="E5" t="s">
        <v>465</v>
      </c>
      <c r="H5" t="s">
        <v>472</v>
      </c>
      <c r="M5" t="s">
        <v>467</v>
      </c>
      <c r="P5">
        <v>3276</v>
      </c>
    </row>
    <row r="6" spans="1:16" x14ac:dyDescent="0.25">
      <c r="A6" t="s">
        <v>473</v>
      </c>
      <c r="B6" t="s">
        <v>464</v>
      </c>
      <c r="C6" t="s">
        <v>7</v>
      </c>
      <c r="D6" s="3">
        <v>36526</v>
      </c>
      <c r="E6" t="s">
        <v>465</v>
      </c>
      <c r="H6" t="s">
        <v>472</v>
      </c>
      <c r="M6" t="s">
        <v>467</v>
      </c>
      <c r="P6">
        <v>3277</v>
      </c>
    </row>
    <row r="7" spans="1:16" x14ac:dyDescent="0.25">
      <c r="A7" t="s">
        <v>474</v>
      </c>
      <c r="B7" t="s">
        <v>468</v>
      </c>
      <c r="C7" t="s">
        <v>475</v>
      </c>
      <c r="D7" s="3">
        <v>44197</v>
      </c>
      <c r="E7" t="s">
        <v>476</v>
      </c>
      <c r="F7" t="s">
        <v>477</v>
      </c>
      <c r="G7" t="s">
        <v>478</v>
      </c>
      <c r="H7" t="s">
        <v>468</v>
      </c>
      <c r="P7">
        <v>3300</v>
      </c>
    </row>
    <row r="8" spans="1:16" x14ac:dyDescent="0.25">
      <c r="A8" t="s">
        <v>479</v>
      </c>
      <c r="B8" t="s">
        <v>469</v>
      </c>
      <c r="C8" t="s">
        <v>475</v>
      </c>
      <c r="D8" s="3">
        <v>44197</v>
      </c>
      <c r="E8" t="s">
        <v>476</v>
      </c>
      <c r="F8" t="s">
        <v>480</v>
      </c>
      <c r="G8" t="s">
        <v>481</v>
      </c>
      <c r="H8" t="s">
        <v>470</v>
      </c>
      <c r="O8" t="s">
        <v>482</v>
      </c>
      <c r="P8">
        <v>3313</v>
      </c>
    </row>
    <row r="9" spans="1:16" x14ac:dyDescent="0.25">
      <c r="A9" t="s">
        <v>483</v>
      </c>
      <c r="B9" t="s">
        <v>471</v>
      </c>
      <c r="C9" t="s">
        <v>475</v>
      </c>
      <c r="D9" s="3">
        <v>44197</v>
      </c>
      <c r="E9" t="s">
        <v>476</v>
      </c>
      <c r="F9" t="s">
        <v>484</v>
      </c>
      <c r="G9" t="s">
        <v>485</v>
      </c>
      <c r="H9" t="s">
        <v>472</v>
      </c>
      <c r="I9" t="s">
        <v>486</v>
      </c>
      <c r="J9">
        <v>60609</v>
      </c>
      <c r="P9">
        <v>3294</v>
      </c>
    </row>
    <row r="10" spans="1:16" x14ac:dyDescent="0.25">
      <c r="A10" t="s">
        <v>487</v>
      </c>
      <c r="B10" t="s">
        <v>471</v>
      </c>
      <c r="C10" t="s">
        <v>475</v>
      </c>
      <c r="D10" s="3">
        <v>44197</v>
      </c>
      <c r="E10" t="s">
        <v>476</v>
      </c>
      <c r="F10" t="s">
        <v>484</v>
      </c>
      <c r="G10" t="s">
        <v>485</v>
      </c>
      <c r="H10" t="s">
        <v>472</v>
      </c>
      <c r="I10" t="s">
        <v>488</v>
      </c>
      <c r="J10">
        <v>85333</v>
      </c>
      <c r="P10">
        <v>3296</v>
      </c>
    </row>
    <row r="11" spans="1:16" x14ac:dyDescent="0.25">
      <c r="A11" t="s">
        <v>489</v>
      </c>
      <c r="B11" t="s">
        <v>473</v>
      </c>
      <c r="C11" t="s">
        <v>475</v>
      </c>
      <c r="D11" s="3">
        <v>44197</v>
      </c>
      <c r="E11" t="s">
        <v>476</v>
      </c>
      <c r="F11" t="s">
        <v>490</v>
      </c>
      <c r="G11" t="s">
        <v>491</v>
      </c>
      <c r="H11" t="s">
        <v>472</v>
      </c>
      <c r="P11">
        <v>3290</v>
      </c>
    </row>
    <row r="12" spans="1:16" x14ac:dyDescent="0.25">
      <c r="A12" t="s">
        <v>492</v>
      </c>
      <c r="B12" t="s">
        <v>463</v>
      </c>
      <c r="C12" t="s">
        <v>493</v>
      </c>
      <c r="D12" s="3">
        <v>44197</v>
      </c>
      <c r="E12" t="s">
        <v>476</v>
      </c>
      <c r="F12" t="s">
        <v>494</v>
      </c>
      <c r="G12" t="s">
        <v>495</v>
      </c>
      <c r="H12" t="s">
        <v>466</v>
      </c>
      <c r="P12">
        <v>3312</v>
      </c>
    </row>
    <row r="13" spans="1:16" x14ac:dyDescent="0.25">
      <c r="A13" t="s">
        <v>496</v>
      </c>
      <c r="B13" t="s">
        <v>471</v>
      </c>
      <c r="C13" t="s">
        <v>493</v>
      </c>
      <c r="D13" s="3">
        <v>44197</v>
      </c>
      <c r="E13" t="s">
        <v>476</v>
      </c>
      <c r="F13" t="s">
        <v>484</v>
      </c>
      <c r="G13" t="s">
        <v>485</v>
      </c>
      <c r="H13" t="s">
        <v>472</v>
      </c>
      <c r="I13" t="s">
        <v>497</v>
      </c>
      <c r="J13">
        <v>7036</v>
      </c>
      <c r="P13">
        <v>3306</v>
      </c>
    </row>
    <row r="14" spans="1:16" x14ac:dyDescent="0.25">
      <c r="A14" t="s">
        <v>498</v>
      </c>
      <c r="B14" t="s">
        <v>471</v>
      </c>
      <c r="C14" t="s">
        <v>493</v>
      </c>
      <c r="D14" s="3">
        <v>44197</v>
      </c>
      <c r="E14" t="s">
        <v>476</v>
      </c>
      <c r="F14" t="s">
        <v>499</v>
      </c>
      <c r="G14" t="s">
        <v>491</v>
      </c>
      <c r="H14" t="s">
        <v>472</v>
      </c>
      <c r="P14">
        <v>3314</v>
      </c>
    </row>
    <row r="15" spans="1:16" x14ac:dyDescent="0.25">
      <c r="A15" t="s">
        <v>500</v>
      </c>
      <c r="B15" t="s">
        <v>463</v>
      </c>
      <c r="C15" t="s">
        <v>501</v>
      </c>
      <c r="D15" s="3">
        <v>44197</v>
      </c>
      <c r="E15" t="s">
        <v>476</v>
      </c>
      <c r="F15" t="s">
        <v>502</v>
      </c>
      <c r="G15" t="s">
        <v>503</v>
      </c>
      <c r="H15" t="s">
        <v>466</v>
      </c>
      <c r="P15">
        <v>3307</v>
      </c>
    </row>
    <row r="16" spans="1:16" x14ac:dyDescent="0.25">
      <c r="A16" t="s">
        <v>504</v>
      </c>
      <c r="B16" t="s">
        <v>468</v>
      </c>
      <c r="C16" t="s">
        <v>501</v>
      </c>
      <c r="D16" s="3">
        <v>44197</v>
      </c>
      <c r="E16" t="s">
        <v>476</v>
      </c>
      <c r="F16" t="s">
        <v>477</v>
      </c>
      <c r="G16" t="s">
        <v>478</v>
      </c>
      <c r="H16" t="s">
        <v>468</v>
      </c>
      <c r="P16">
        <v>3303</v>
      </c>
    </row>
    <row r="17" spans="1:16" x14ac:dyDescent="0.25">
      <c r="A17" t="s">
        <v>505</v>
      </c>
      <c r="B17" t="s">
        <v>471</v>
      </c>
      <c r="C17" t="s">
        <v>501</v>
      </c>
      <c r="D17" s="3">
        <v>44197</v>
      </c>
      <c r="E17" t="s">
        <v>476</v>
      </c>
      <c r="F17" t="s">
        <v>484</v>
      </c>
      <c r="G17" t="s">
        <v>485</v>
      </c>
      <c r="H17" t="s">
        <v>472</v>
      </c>
      <c r="I17" t="s">
        <v>506</v>
      </c>
      <c r="J17">
        <v>15106</v>
      </c>
      <c r="P17">
        <v>3293</v>
      </c>
    </row>
    <row r="18" spans="1:16" x14ac:dyDescent="0.25">
      <c r="A18" t="s">
        <v>507</v>
      </c>
      <c r="B18" t="s">
        <v>471</v>
      </c>
      <c r="C18" t="s">
        <v>501</v>
      </c>
      <c r="D18" s="3">
        <v>44197</v>
      </c>
      <c r="E18" t="s">
        <v>476</v>
      </c>
      <c r="F18" t="s">
        <v>484</v>
      </c>
      <c r="G18" t="s">
        <v>485</v>
      </c>
      <c r="H18" t="s">
        <v>472</v>
      </c>
      <c r="I18" t="s">
        <v>486</v>
      </c>
      <c r="J18">
        <v>60015</v>
      </c>
      <c r="P18">
        <v>3297</v>
      </c>
    </row>
    <row r="19" spans="1:16" x14ac:dyDescent="0.25">
      <c r="A19" t="s">
        <v>508</v>
      </c>
      <c r="B19" t="s">
        <v>471</v>
      </c>
      <c r="C19" t="s">
        <v>501</v>
      </c>
      <c r="D19" s="3">
        <v>44197</v>
      </c>
      <c r="E19" t="s">
        <v>476</v>
      </c>
      <c r="F19" t="s">
        <v>484</v>
      </c>
      <c r="G19" t="s">
        <v>485</v>
      </c>
      <c r="H19" t="s">
        <v>472</v>
      </c>
      <c r="I19" t="s">
        <v>509</v>
      </c>
      <c r="P19">
        <v>3298</v>
      </c>
    </row>
    <row r="20" spans="1:16" x14ac:dyDescent="0.25">
      <c r="A20" t="s">
        <v>510</v>
      </c>
      <c r="B20" t="s">
        <v>471</v>
      </c>
      <c r="C20" t="s">
        <v>501</v>
      </c>
      <c r="D20" s="3">
        <v>44197</v>
      </c>
      <c r="E20" t="s">
        <v>476</v>
      </c>
      <c r="F20" t="s">
        <v>484</v>
      </c>
      <c r="G20" t="s">
        <v>485</v>
      </c>
      <c r="H20" t="s">
        <v>472</v>
      </c>
      <c r="I20" t="s">
        <v>497</v>
      </c>
      <c r="J20">
        <v>7004</v>
      </c>
      <c r="P20">
        <v>3299</v>
      </c>
    </row>
    <row r="21" spans="1:16" x14ac:dyDescent="0.25">
      <c r="A21" t="s">
        <v>511</v>
      </c>
      <c r="B21" t="s">
        <v>471</v>
      </c>
      <c r="C21" t="s">
        <v>501</v>
      </c>
      <c r="D21" s="3">
        <v>44197</v>
      </c>
      <c r="E21" t="s">
        <v>476</v>
      </c>
      <c r="F21" t="s">
        <v>484</v>
      </c>
      <c r="G21" t="s">
        <v>485</v>
      </c>
      <c r="H21" t="s">
        <v>472</v>
      </c>
      <c r="I21" t="s">
        <v>486</v>
      </c>
      <c r="P21">
        <v>3302</v>
      </c>
    </row>
    <row r="22" spans="1:16" x14ac:dyDescent="0.25">
      <c r="A22" t="s">
        <v>512</v>
      </c>
      <c r="B22" t="s">
        <v>471</v>
      </c>
      <c r="C22" t="s">
        <v>501</v>
      </c>
      <c r="D22" s="3">
        <v>44197</v>
      </c>
      <c r="E22" t="s">
        <v>476</v>
      </c>
      <c r="F22" t="s">
        <v>484</v>
      </c>
      <c r="G22" t="s">
        <v>485</v>
      </c>
      <c r="H22" t="s">
        <v>472</v>
      </c>
      <c r="I22" t="s">
        <v>506</v>
      </c>
      <c r="J22">
        <v>15205</v>
      </c>
      <c r="P22">
        <v>3309</v>
      </c>
    </row>
    <row r="23" spans="1:16" x14ac:dyDescent="0.25">
      <c r="A23" t="s">
        <v>513</v>
      </c>
      <c r="B23" t="s">
        <v>471</v>
      </c>
      <c r="C23" t="s">
        <v>501</v>
      </c>
      <c r="D23" s="3">
        <v>44197</v>
      </c>
      <c r="E23" t="s">
        <v>476</v>
      </c>
      <c r="F23" t="s">
        <v>484</v>
      </c>
      <c r="G23" t="s">
        <v>485</v>
      </c>
      <c r="H23" t="s">
        <v>472</v>
      </c>
      <c r="I23" t="s">
        <v>488</v>
      </c>
      <c r="P23">
        <v>3315</v>
      </c>
    </row>
    <row r="24" spans="1:16" x14ac:dyDescent="0.25">
      <c r="A24" t="s">
        <v>514</v>
      </c>
      <c r="B24" t="s">
        <v>471</v>
      </c>
      <c r="C24" t="s">
        <v>501</v>
      </c>
      <c r="D24" s="3">
        <v>44197</v>
      </c>
      <c r="E24" t="s">
        <v>476</v>
      </c>
      <c r="F24" t="s">
        <v>484</v>
      </c>
      <c r="G24" t="s">
        <v>485</v>
      </c>
      <c r="H24" t="s">
        <v>472</v>
      </c>
      <c r="I24" t="s">
        <v>497</v>
      </c>
      <c r="J24">
        <v>7059</v>
      </c>
      <c r="P24">
        <v>3316</v>
      </c>
    </row>
    <row r="25" spans="1:16" x14ac:dyDescent="0.25">
      <c r="A25" t="s">
        <v>515</v>
      </c>
      <c r="B25" t="s">
        <v>473</v>
      </c>
      <c r="C25" t="s">
        <v>501</v>
      </c>
      <c r="D25" s="3">
        <v>44197</v>
      </c>
      <c r="E25" t="s">
        <v>476</v>
      </c>
      <c r="F25" t="s">
        <v>516</v>
      </c>
      <c r="G25" t="s">
        <v>491</v>
      </c>
      <c r="H25" t="s">
        <v>472</v>
      </c>
      <c r="P25">
        <v>3291</v>
      </c>
    </row>
    <row r="26" spans="1:16" x14ac:dyDescent="0.25">
      <c r="A26" t="s">
        <v>517</v>
      </c>
      <c r="B26" t="s">
        <v>473</v>
      </c>
      <c r="C26" t="s">
        <v>501</v>
      </c>
      <c r="D26" s="3">
        <v>44197</v>
      </c>
      <c r="E26" t="s">
        <v>476</v>
      </c>
      <c r="F26" t="s">
        <v>518</v>
      </c>
      <c r="G26" t="s">
        <v>491</v>
      </c>
      <c r="H26" t="s">
        <v>472</v>
      </c>
      <c r="P26">
        <v>3305</v>
      </c>
    </row>
    <row r="27" spans="1:16" x14ac:dyDescent="0.25">
      <c r="A27" t="s">
        <v>519</v>
      </c>
      <c r="B27" t="s">
        <v>471</v>
      </c>
      <c r="C27" t="s">
        <v>520</v>
      </c>
      <c r="D27" s="3">
        <v>44562</v>
      </c>
      <c r="E27" t="s">
        <v>521</v>
      </c>
      <c r="F27" t="s">
        <v>484</v>
      </c>
      <c r="G27" t="s">
        <v>485</v>
      </c>
      <c r="H27" t="s">
        <v>472</v>
      </c>
      <c r="I27" t="s">
        <v>522</v>
      </c>
      <c r="P27">
        <v>8698</v>
      </c>
    </row>
    <row r="28" spans="1:16" x14ac:dyDescent="0.25">
      <c r="A28" t="s">
        <v>523</v>
      </c>
      <c r="B28" t="s">
        <v>473</v>
      </c>
      <c r="C28" t="s">
        <v>520</v>
      </c>
      <c r="D28" s="3">
        <v>44197</v>
      </c>
      <c r="E28" t="s">
        <v>476</v>
      </c>
      <c r="F28" t="s">
        <v>490</v>
      </c>
      <c r="G28" t="s">
        <v>491</v>
      </c>
      <c r="H28" t="s">
        <v>472</v>
      </c>
      <c r="P28">
        <v>3292</v>
      </c>
    </row>
    <row r="29" spans="1:16" x14ac:dyDescent="0.25">
      <c r="A29" t="s">
        <v>524</v>
      </c>
      <c r="B29" t="s">
        <v>468</v>
      </c>
      <c r="C29" t="s">
        <v>525</v>
      </c>
      <c r="D29" s="3">
        <v>44197</v>
      </c>
      <c r="E29" t="s">
        <v>476</v>
      </c>
      <c r="F29" t="s">
        <v>526</v>
      </c>
      <c r="G29" t="s">
        <v>527</v>
      </c>
      <c r="H29" t="s">
        <v>468</v>
      </c>
      <c r="P29">
        <v>3308</v>
      </c>
    </row>
    <row r="30" spans="1:16" x14ac:dyDescent="0.25">
      <c r="A30" t="s">
        <v>528</v>
      </c>
      <c r="B30" t="s">
        <v>471</v>
      </c>
      <c r="C30" t="s">
        <v>525</v>
      </c>
      <c r="D30" s="3">
        <v>44197</v>
      </c>
      <c r="E30" t="s">
        <v>476</v>
      </c>
      <c r="F30" t="s">
        <v>529</v>
      </c>
      <c r="G30" t="s">
        <v>491</v>
      </c>
      <c r="H30" t="s">
        <v>472</v>
      </c>
      <c r="P30">
        <v>3295</v>
      </c>
    </row>
    <row r="31" spans="1:16" x14ac:dyDescent="0.25">
      <c r="A31" t="s">
        <v>530</v>
      </c>
      <c r="B31" t="s">
        <v>473</v>
      </c>
      <c r="C31" t="s">
        <v>525</v>
      </c>
      <c r="D31" s="3">
        <v>44197</v>
      </c>
      <c r="E31" t="s">
        <v>476</v>
      </c>
      <c r="F31" t="s">
        <v>531</v>
      </c>
      <c r="G31" t="s">
        <v>491</v>
      </c>
      <c r="H31" t="s">
        <v>472</v>
      </c>
      <c r="P31">
        <v>3301</v>
      </c>
    </row>
    <row r="32" spans="1:16" x14ac:dyDescent="0.25">
      <c r="A32" t="s">
        <v>532</v>
      </c>
      <c r="B32" t="s">
        <v>473</v>
      </c>
      <c r="C32" t="s">
        <v>525</v>
      </c>
      <c r="D32" s="3">
        <v>44197</v>
      </c>
      <c r="E32" t="s">
        <v>476</v>
      </c>
      <c r="F32" t="s">
        <v>533</v>
      </c>
      <c r="G32" t="s">
        <v>491</v>
      </c>
      <c r="H32" t="s">
        <v>472</v>
      </c>
      <c r="P32">
        <v>3310</v>
      </c>
    </row>
    <row r="33" spans="1:16" x14ac:dyDescent="0.25">
      <c r="A33" t="s">
        <v>534</v>
      </c>
      <c r="B33" t="s">
        <v>473</v>
      </c>
      <c r="C33" t="s">
        <v>525</v>
      </c>
      <c r="D33" s="3">
        <v>44197</v>
      </c>
      <c r="E33" t="s">
        <v>476</v>
      </c>
      <c r="F33" t="s">
        <v>535</v>
      </c>
      <c r="G33" t="s">
        <v>491</v>
      </c>
      <c r="H33" t="s">
        <v>472</v>
      </c>
      <c r="P33">
        <v>3311</v>
      </c>
    </row>
    <row r="34" spans="1:16" x14ac:dyDescent="0.25">
      <c r="A34" t="s">
        <v>536</v>
      </c>
      <c r="B34" t="s">
        <v>468</v>
      </c>
      <c r="C34" t="s">
        <v>537</v>
      </c>
      <c r="D34" s="3">
        <v>44197</v>
      </c>
      <c r="E34" t="s">
        <v>476</v>
      </c>
      <c r="F34" t="s">
        <v>538</v>
      </c>
      <c r="G34" t="s">
        <v>527</v>
      </c>
      <c r="H34" t="s">
        <v>468</v>
      </c>
      <c r="P34">
        <v>3304</v>
      </c>
    </row>
    <row r="35" spans="1:16" x14ac:dyDescent="0.25">
      <c r="A35" t="s">
        <v>464</v>
      </c>
      <c r="C35" t="s">
        <v>539</v>
      </c>
      <c r="P35">
        <v>9410</v>
      </c>
    </row>
    <row r="36" spans="1:16" x14ac:dyDescent="0.25">
      <c r="A36" t="s">
        <v>540</v>
      </c>
      <c r="B36" t="s">
        <v>464</v>
      </c>
      <c r="C36" t="s">
        <v>540</v>
      </c>
      <c r="D36" t="s">
        <v>541</v>
      </c>
      <c r="E36" t="s">
        <v>542</v>
      </c>
      <c r="P36">
        <v>22402</v>
      </c>
    </row>
    <row r="37" spans="1:16" x14ac:dyDescent="0.25">
      <c r="A37" t="s">
        <v>543</v>
      </c>
      <c r="B37" t="s">
        <v>540</v>
      </c>
      <c r="C37" t="s">
        <v>543</v>
      </c>
      <c r="D37" t="s">
        <v>541</v>
      </c>
      <c r="E37" t="s">
        <v>542</v>
      </c>
      <c r="F37" t="s">
        <v>484</v>
      </c>
      <c r="G37" t="s">
        <v>485</v>
      </c>
      <c r="H37" t="s">
        <v>472</v>
      </c>
      <c r="P37">
        <v>22405</v>
      </c>
    </row>
    <row r="38" spans="1:16" x14ac:dyDescent="0.25">
      <c r="A38" t="s">
        <v>544</v>
      </c>
      <c r="B38" t="s">
        <v>540</v>
      </c>
      <c r="C38" t="s">
        <v>544</v>
      </c>
      <c r="D38" t="s">
        <v>541</v>
      </c>
      <c r="E38" t="s">
        <v>542</v>
      </c>
      <c r="F38" t="s">
        <v>484</v>
      </c>
      <c r="G38" t="s">
        <v>485</v>
      </c>
      <c r="H38" t="s">
        <v>472</v>
      </c>
      <c r="P38">
        <v>22406</v>
      </c>
    </row>
    <row r="39" spans="1:16" x14ac:dyDescent="0.25">
      <c r="A39" t="s">
        <v>545</v>
      </c>
      <c r="B39" t="s">
        <v>540</v>
      </c>
      <c r="C39" t="s">
        <v>545</v>
      </c>
      <c r="D39" t="s">
        <v>541</v>
      </c>
      <c r="E39" t="s">
        <v>542</v>
      </c>
      <c r="F39" t="s">
        <v>484</v>
      </c>
      <c r="G39" t="s">
        <v>485</v>
      </c>
      <c r="H39" t="s">
        <v>472</v>
      </c>
      <c r="P39">
        <v>22404</v>
      </c>
    </row>
    <row r="40" spans="1:16" x14ac:dyDescent="0.25">
      <c r="A40" t="s">
        <v>546</v>
      </c>
      <c r="B40" t="s">
        <v>540</v>
      </c>
      <c r="C40" t="s">
        <v>546</v>
      </c>
      <c r="D40" t="s">
        <v>541</v>
      </c>
      <c r="E40" t="s">
        <v>542</v>
      </c>
      <c r="F40" t="s">
        <v>484</v>
      </c>
      <c r="G40" t="s">
        <v>485</v>
      </c>
      <c r="H40" t="s">
        <v>472</v>
      </c>
      <c r="P40">
        <v>22407</v>
      </c>
    </row>
    <row r="41" spans="1:16" x14ac:dyDescent="0.25">
      <c r="A41" t="s">
        <v>547</v>
      </c>
      <c r="B41" t="s">
        <v>540</v>
      </c>
      <c r="C41" t="s">
        <v>547</v>
      </c>
      <c r="D41" t="s">
        <v>541</v>
      </c>
      <c r="E41" t="s">
        <v>542</v>
      </c>
      <c r="F41" t="s">
        <v>484</v>
      </c>
      <c r="G41" t="s">
        <v>485</v>
      </c>
      <c r="H41" t="s">
        <v>472</v>
      </c>
      <c r="P41">
        <v>22403</v>
      </c>
    </row>
  </sheetData>
  <phoneticPr fontId="5"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E9DAA-187C-4969-9498-45FC0A01BD25}">
  <sheetPr>
    <tabColor theme="0" tint="-0.499984740745262"/>
  </sheetPr>
  <dimension ref="A1:S292"/>
  <sheetViews>
    <sheetView tabSelected="1" topLeftCell="C1" zoomScale="90" zoomScaleNormal="90" workbookViewId="0">
      <selection activeCell="I295" sqref="I295"/>
    </sheetView>
  </sheetViews>
  <sheetFormatPr defaultRowHeight="15" x14ac:dyDescent="0.25"/>
  <cols>
    <col min="1" max="1" width="15.5703125" bestFit="1" customWidth="1"/>
    <col min="2" max="2" width="30.42578125" customWidth="1"/>
    <col min="3" max="3" width="50.140625" bestFit="1" customWidth="1"/>
    <col min="4" max="4" width="89.42578125" customWidth="1"/>
    <col min="5" max="5" width="14.7109375" bestFit="1" customWidth="1"/>
    <col min="6" max="6" width="12.7109375" customWidth="1"/>
    <col min="7" max="7" width="45.28515625" bestFit="1" customWidth="1"/>
    <col min="8" max="8" width="12" bestFit="1" customWidth="1"/>
    <col min="9" max="9" width="22.85546875" bestFit="1" customWidth="1"/>
    <col min="10" max="10" width="20.85546875" customWidth="1"/>
    <col min="11" max="11" width="24.85546875" customWidth="1"/>
    <col min="12" max="16" width="14.42578125" customWidth="1"/>
    <col min="17" max="17" width="19.7109375" customWidth="1"/>
    <col min="18" max="18" width="27" customWidth="1"/>
    <col min="19" max="19" width="11.140625" customWidth="1"/>
  </cols>
  <sheetData>
    <row r="1" spans="1:19" x14ac:dyDescent="0.25">
      <c r="A1" s="1" t="s">
        <v>15</v>
      </c>
      <c r="B1" s="1" t="s">
        <v>16</v>
      </c>
      <c r="C1" s="1" t="s">
        <v>17</v>
      </c>
      <c r="D1" s="1" t="s">
        <v>18</v>
      </c>
      <c r="E1" s="1" t="s">
        <v>19</v>
      </c>
      <c r="F1" s="1" t="s">
        <v>20</v>
      </c>
      <c r="G1" s="1" t="s">
        <v>21</v>
      </c>
      <c r="H1" s="1" t="s">
        <v>22</v>
      </c>
      <c r="I1" s="1" t="s">
        <v>23</v>
      </c>
      <c r="J1" s="1" t="s">
        <v>24</v>
      </c>
      <c r="K1" s="1" t="s">
        <v>25</v>
      </c>
      <c r="L1" s="1" t="s">
        <v>26</v>
      </c>
      <c r="M1" s="1" t="s">
        <v>27</v>
      </c>
      <c r="N1" s="1" t="s">
        <v>28</v>
      </c>
      <c r="O1" s="1" t="s">
        <v>29</v>
      </c>
      <c r="P1" s="1" t="s">
        <v>30</v>
      </c>
      <c r="Q1" s="1" t="s">
        <v>460</v>
      </c>
      <c r="R1" s="1" t="s">
        <v>461</v>
      </c>
      <c r="S1" s="1" t="s">
        <v>462</v>
      </c>
    </row>
    <row r="2" spans="1:19" hidden="1" x14ac:dyDescent="0.25">
      <c r="C2">
        <v>1676931</v>
      </c>
      <c r="D2" t="s">
        <v>76</v>
      </c>
      <c r="E2" s="12" t="s">
        <v>77</v>
      </c>
      <c r="F2" s="12" t="s">
        <v>78</v>
      </c>
      <c r="G2" t="s">
        <v>79</v>
      </c>
      <c r="H2" t="s">
        <v>80</v>
      </c>
      <c r="I2" t="s">
        <v>78</v>
      </c>
      <c r="J2">
        <v>113738.1</v>
      </c>
      <c r="K2" t="s">
        <v>81</v>
      </c>
      <c r="L2" t="s">
        <v>82</v>
      </c>
      <c r="M2" t="s">
        <v>83</v>
      </c>
      <c r="N2" t="s">
        <v>84</v>
      </c>
      <c r="P2" t="s">
        <v>85</v>
      </c>
      <c r="Q2" t="s">
        <v>84</v>
      </c>
    </row>
    <row r="3" spans="1:19" hidden="1" x14ac:dyDescent="0.25">
      <c r="C3">
        <v>1676920</v>
      </c>
      <c r="D3" t="s">
        <v>76</v>
      </c>
      <c r="E3" s="12" t="s">
        <v>77</v>
      </c>
      <c r="F3" s="12" t="s">
        <v>86</v>
      </c>
      <c r="G3" t="s">
        <v>87</v>
      </c>
      <c r="H3" t="s">
        <v>80</v>
      </c>
      <c r="I3" t="s">
        <v>86</v>
      </c>
      <c r="J3">
        <v>805776.03</v>
      </c>
      <c r="K3" t="s">
        <v>81</v>
      </c>
      <c r="L3" t="s">
        <v>82</v>
      </c>
      <c r="M3" t="s">
        <v>83</v>
      </c>
      <c r="N3" t="s">
        <v>88</v>
      </c>
      <c r="P3" t="s">
        <v>85</v>
      </c>
      <c r="Q3" t="s">
        <v>89</v>
      </c>
    </row>
    <row r="4" spans="1:19" hidden="1" x14ac:dyDescent="0.25">
      <c r="C4">
        <v>1676924</v>
      </c>
      <c r="D4" t="s">
        <v>76</v>
      </c>
      <c r="E4" s="12" t="s">
        <v>77</v>
      </c>
      <c r="F4" s="12" t="s">
        <v>90</v>
      </c>
      <c r="G4" t="s">
        <v>87</v>
      </c>
      <c r="H4" t="s">
        <v>80</v>
      </c>
      <c r="I4" t="s">
        <v>90</v>
      </c>
      <c r="J4">
        <v>2257.37</v>
      </c>
      <c r="K4" t="s">
        <v>81</v>
      </c>
      <c r="L4" t="s">
        <v>82</v>
      </c>
      <c r="M4" t="s">
        <v>83</v>
      </c>
      <c r="N4" t="s">
        <v>91</v>
      </c>
      <c r="P4" t="s">
        <v>85</v>
      </c>
      <c r="Q4" t="s">
        <v>89</v>
      </c>
    </row>
    <row r="5" spans="1:19" hidden="1" x14ac:dyDescent="0.25">
      <c r="C5">
        <v>1676929</v>
      </c>
      <c r="D5" t="s">
        <v>76</v>
      </c>
      <c r="E5" s="12" t="s">
        <v>77</v>
      </c>
      <c r="F5" s="12" t="s">
        <v>92</v>
      </c>
      <c r="G5" t="s">
        <v>87</v>
      </c>
      <c r="H5" t="s">
        <v>80</v>
      </c>
      <c r="I5" t="s">
        <v>92</v>
      </c>
      <c r="J5">
        <v>22199.47</v>
      </c>
      <c r="K5" t="s">
        <v>81</v>
      </c>
      <c r="L5" t="s">
        <v>82</v>
      </c>
      <c r="M5" t="s">
        <v>83</v>
      </c>
      <c r="N5" t="s">
        <v>93</v>
      </c>
      <c r="P5" t="s">
        <v>85</v>
      </c>
      <c r="Q5" t="s">
        <v>93</v>
      </c>
    </row>
    <row r="6" spans="1:19" hidden="1" x14ac:dyDescent="0.25">
      <c r="C6">
        <v>1676927</v>
      </c>
      <c r="D6" t="s">
        <v>76</v>
      </c>
      <c r="E6" s="12" t="s">
        <v>77</v>
      </c>
      <c r="F6" s="12" t="s">
        <v>94</v>
      </c>
      <c r="G6" t="s">
        <v>87</v>
      </c>
      <c r="H6" t="s">
        <v>80</v>
      </c>
      <c r="I6" t="s">
        <v>94</v>
      </c>
      <c r="J6">
        <v>4060.75</v>
      </c>
      <c r="K6" t="s">
        <v>81</v>
      </c>
      <c r="L6" t="s">
        <v>82</v>
      </c>
      <c r="M6" t="s">
        <v>83</v>
      </c>
      <c r="N6" t="s">
        <v>93</v>
      </c>
      <c r="P6" t="s">
        <v>85</v>
      </c>
      <c r="Q6" t="s">
        <v>95</v>
      </c>
    </row>
    <row r="7" spans="1:19" hidden="1" x14ac:dyDescent="0.25">
      <c r="C7">
        <v>1676933</v>
      </c>
      <c r="D7" t="s">
        <v>76</v>
      </c>
      <c r="E7" s="12" t="s">
        <v>77</v>
      </c>
      <c r="F7" s="12" t="s">
        <v>96</v>
      </c>
      <c r="G7" t="s">
        <v>87</v>
      </c>
      <c r="H7" t="s">
        <v>80</v>
      </c>
      <c r="I7" t="s">
        <v>96</v>
      </c>
      <c r="J7">
        <v>2622.48</v>
      </c>
      <c r="K7" t="s">
        <v>81</v>
      </c>
      <c r="L7" t="s">
        <v>82</v>
      </c>
      <c r="M7" t="s">
        <v>83</v>
      </c>
      <c r="N7" t="s">
        <v>84</v>
      </c>
      <c r="P7" t="s">
        <v>85</v>
      </c>
      <c r="Q7" t="s">
        <v>84</v>
      </c>
    </row>
    <row r="8" spans="1:19" hidden="1" x14ac:dyDescent="0.25">
      <c r="C8">
        <v>1676938</v>
      </c>
      <c r="D8" t="s">
        <v>76</v>
      </c>
      <c r="E8" s="12" t="s">
        <v>97</v>
      </c>
      <c r="F8" s="12" t="s">
        <v>90</v>
      </c>
      <c r="G8" t="s">
        <v>98</v>
      </c>
      <c r="H8" t="s">
        <v>99</v>
      </c>
      <c r="I8" t="s">
        <v>90</v>
      </c>
      <c r="J8">
        <v>1836.64</v>
      </c>
      <c r="K8" t="s">
        <v>81</v>
      </c>
      <c r="L8" t="s">
        <v>82</v>
      </c>
      <c r="M8" t="s">
        <v>83</v>
      </c>
      <c r="N8" t="s">
        <v>100</v>
      </c>
      <c r="P8" t="s">
        <v>85</v>
      </c>
      <c r="Q8" t="s">
        <v>101</v>
      </c>
    </row>
    <row r="9" spans="1:19" hidden="1" x14ac:dyDescent="0.25">
      <c r="C9">
        <v>1677403</v>
      </c>
      <c r="D9" t="s">
        <v>76</v>
      </c>
      <c r="E9" s="12" t="s">
        <v>97</v>
      </c>
      <c r="F9" s="12" t="s">
        <v>92</v>
      </c>
      <c r="G9" t="s">
        <v>98</v>
      </c>
      <c r="H9" t="s">
        <v>99</v>
      </c>
      <c r="I9" t="s">
        <v>92</v>
      </c>
      <c r="J9">
        <v>17021.04</v>
      </c>
      <c r="K9" t="s">
        <v>81</v>
      </c>
      <c r="L9" t="s">
        <v>82</v>
      </c>
      <c r="M9" t="s">
        <v>83</v>
      </c>
      <c r="N9" t="s">
        <v>102</v>
      </c>
      <c r="P9" t="s">
        <v>85</v>
      </c>
      <c r="Q9" t="s">
        <v>103</v>
      </c>
    </row>
    <row r="10" spans="1:19" hidden="1" x14ac:dyDescent="0.25">
      <c r="C10">
        <v>1677405</v>
      </c>
      <c r="D10" t="s">
        <v>76</v>
      </c>
      <c r="E10" s="12" t="s">
        <v>97</v>
      </c>
      <c r="F10" s="12" t="s">
        <v>94</v>
      </c>
      <c r="G10" t="s">
        <v>98</v>
      </c>
      <c r="H10" t="s">
        <v>99</v>
      </c>
      <c r="I10" t="s">
        <v>94</v>
      </c>
      <c r="J10">
        <v>2522.25</v>
      </c>
      <c r="K10" t="s">
        <v>81</v>
      </c>
      <c r="L10" t="s">
        <v>82</v>
      </c>
      <c r="M10" t="s">
        <v>83</v>
      </c>
      <c r="N10" t="s">
        <v>104</v>
      </c>
      <c r="P10" t="s">
        <v>85</v>
      </c>
      <c r="Q10" t="s">
        <v>101</v>
      </c>
    </row>
    <row r="11" spans="1:19" hidden="1" x14ac:dyDescent="0.25">
      <c r="C11">
        <v>1677407</v>
      </c>
      <c r="D11" t="s">
        <v>76</v>
      </c>
      <c r="E11" s="12" t="s">
        <v>97</v>
      </c>
      <c r="F11" s="12" t="s">
        <v>96</v>
      </c>
      <c r="G11" t="s">
        <v>98</v>
      </c>
      <c r="H11" t="s">
        <v>99</v>
      </c>
      <c r="I11" t="s">
        <v>96</v>
      </c>
      <c r="J11">
        <v>740.94</v>
      </c>
      <c r="K11" t="s">
        <v>81</v>
      </c>
      <c r="L11" t="s">
        <v>82</v>
      </c>
      <c r="M11" t="s">
        <v>83</v>
      </c>
      <c r="N11" t="s">
        <v>104</v>
      </c>
      <c r="P11" t="s">
        <v>85</v>
      </c>
      <c r="Q11" t="s">
        <v>104</v>
      </c>
    </row>
    <row r="12" spans="1:19" hidden="1" x14ac:dyDescent="0.25">
      <c r="C12">
        <v>1677409</v>
      </c>
      <c r="D12" t="s">
        <v>76</v>
      </c>
      <c r="E12" s="12" t="s">
        <v>97</v>
      </c>
      <c r="F12" s="12" t="s">
        <v>78</v>
      </c>
      <c r="G12" t="s">
        <v>98</v>
      </c>
      <c r="H12" t="s">
        <v>99</v>
      </c>
      <c r="I12" t="s">
        <v>78</v>
      </c>
      <c r="J12">
        <v>105039.06</v>
      </c>
      <c r="K12" t="s">
        <v>81</v>
      </c>
      <c r="L12" t="s">
        <v>82</v>
      </c>
      <c r="M12" t="s">
        <v>83</v>
      </c>
      <c r="N12" t="s">
        <v>105</v>
      </c>
      <c r="P12" t="s">
        <v>85</v>
      </c>
      <c r="Q12" t="s">
        <v>105</v>
      </c>
    </row>
    <row r="13" spans="1:19" hidden="1" x14ac:dyDescent="0.25">
      <c r="C13">
        <v>1676922</v>
      </c>
      <c r="D13" t="s">
        <v>76</v>
      </c>
      <c r="E13" s="12" t="s">
        <v>97</v>
      </c>
      <c r="F13" s="12" t="s">
        <v>86</v>
      </c>
      <c r="G13" t="s">
        <v>106</v>
      </c>
      <c r="H13" t="s">
        <v>99</v>
      </c>
      <c r="I13" t="s">
        <v>86</v>
      </c>
      <c r="J13">
        <v>741930.79</v>
      </c>
      <c r="K13" t="s">
        <v>81</v>
      </c>
      <c r="L13" t="s">
        <v>82</v>
      </c>
      <c r="M13" t="s">
        <v>83</v>
      </c>
      <c r="N13" t="s">
        <v>88</v>
      </c>
      <c r="P13" t="s">
        <v>85</v>
      </c>
      <c r="Q13" t="s">
        <v>101</v>
      </c>
    </row>
    <row r="14" spans="1:19" hidden="1" x14ac:dyDescent="0.25">
      <c r="C14">
        <v>294640</v>
      </c>
      <c r="D14" t="s">
        <v>107</v>
      </c>
      <c r="E14" s="12" t="s">
        <v>77</v>
      </c>
      <c r="F14" s="12" t="s">
        <v>108</v>
      </c>
      <c r="G14" t="s">
        <v>87</v>
      </c>
      <c r="H14" t="s">
        <v>80</v>
      </c>
      <c r="I14" t="s">
        <v>108</v>
      </c>
      <c r="J14">
        <v>41510.999000000003</v>
      </c>
      <c r="K14" t="s">
        <v>109</v>
      </c>
      <c r="L14" t="s">
        <v>110</v>
      </c>
      <c r="M14" t="s">
        <v>111</v>
      </c>
      <c r="N14" t="s">
        <v>112</v>
      </c>
      <c r="P14" t="s">
        <v>85</v>
      </c>
      <c r="Q14" t="s">
        <v>113</v>
      </c>
      <c r="R14" t="s">
        <v>114</v>
      </c>
      <c r="S14" t="s">
        <v>115</v>
      </c>
    </row>
    <row r="15" spans="1:19" hidden="1" x14ac:dyDescent="0.25">
      <c r="C15">
        <v>1590451</v>
      </c>
      <c r="D15" t="s">
        <v>107</v>
      </c>
      <c r="E15" s="12" t="s">
        <v>77</v>
      </c>
      <c r="F15" s="12" t="s">
        <v>116</v>
      </c>
      <c r="G15" t="s">
        <v>87</v>
      </c>
      <c r="H15" t="s">
        <v>80</v>
      </c>
      <c r="I15" t="s">
        <v>117</v>
      </c>
      <c r="J15">
        <v>4.8781994800000001</v>
      </c>
      <c r="K15" t="s">
        <v>118</v>
      </c>
      <c r="L15" t="s">
        <v>82</v>
      </c>
      <c r="M15" t="s">
        <v>83</v>
      </c>
      <c r="N15" t="s">
        <v>119</v>
      </c>
      <c r="P15" t="s">
        <v>85</v>
      </c>
      <c r="Q15" t="s">
        <v>119</v>
      </c>
      <c r="R15" t="s">
        <v>120</v>
      </c>
    </row>
    <row r="16" spans="1:19" hidden="1" x14ac:dyDescent="0.25">
      <c r="C16">
        <v>294642</v>
      </c>
      <c r="D16" t="s">
        <v>107</v>
      </c>
      <c r="E16" s="12" t="s">
        <v>77</v>
      </c>
      <c r="F16" s="12" t="s">
        <v>121</v>
      </c>
      <c r="G16" t="s">
        <v>87</v>
      </c>
      <c r="H16" t="s">
        <v>80</v>
      </c>
      <c r="I16" t="s">
        <v>122</v>
      </c>
      <c r="J16">
        <v>228</v>
      </c>
      <c r="K16" t="s">
        <v>118</v>
      </c>
      <c r="L16" t="s">
        <v>82</v>
      </c>
      <c r="M16" t="s">
        <v>111</v>
      </c>
      <c r="N16" t="s">
        <v>123</v>
      </c>
      <c r="P16" t="s">
        <v>85</v>
      </c>
      <c r="Q16" t="s">
        <v>113</v>
      </c>
      <c r="R16" t="s">
        <v>124</v>
      </c>
    </row>
    <row r="17" spans="3:19" hidden="1" x14ac:dyDescent="0.25">
      <c r="C17">
        <v>4963</v>
      </c>
      <c r="D17" t="s">
        <v>107</v>
      </c>
      <c r="E17" s="12" t="s">
        <v>97</v>
      </c>
      <c r="F17" s="12" t="s">
        <v>108</v>
      </c>
      <c r="G17" t="s">
        <v>106</v>
      </c>
      <c r="H17" t="s">
        <v>99</v>
      </c>
      <c r="I17" t="s">
        <v>108</v>
      </c>
      <c r="J17">
        <v>43695.567999999999</v>
      </c>
      <c r="K17" t="s">
        <v>109</v>
      </c>
      <c r="L17" t="s">
        <v>110</v>
      </c>
      <c r="M17" t="s">
        <v>111</v>
      </c>
      <c r="N17" t="s">
        <v>125</v>
      </c>
      <c r="P17" t="s">
        <v>85</v>
      </c>
      <c r="Q17" t="s">
        <v>126</v>
      </c>
      <c r="S17" t="s">
        <v>127</v>
      </c>
    </row>
    <row r="18" spans="3:19" hidden="1" x14ac:dyDescent="0.25">
      <c r="C18">
        <v>5048</v>
      </c>
      <c r="D18" t="s">
        <v>107</v>
      </c>
      <c r="E18" s="12" t="s">
        <v>97</v>
      </c>
      <c r="F18" s="12" t="s">
        <v>116</v>
      </c>
      <c r="G18" t="s">
        <v>106</v>
      </c>
      <c r="H18" t="s">
        <v>99</v>
      </c>
      <c r="I18" t="s">
        <v>128</v>
      </c>
      <c r="J18">
        <v>4.8781999999999996</v>
      </c>
      <c r="K18" t="s">
        <v>118</v>
      </c>
      <c r="L18" t="s">
        <v>82</v>
      </c>
      <c r="M18" t="s">
        <v>129</v>
      </c>
      <c r="N18" t="s">
        <v>125</v>
      </c>
      <c r="P18" t="s">
        <v>85</v>
      </c>
      <c r="Q18" t="s">
        <v>113</v>
      </c>
    </row>
    <row r="19" spans="3:19" hidden="1" x14ac:dyDescent="0.25">
      <c r="C19">
        <v>1230929</v>
      </c>
      <c r="D19" t="s">
        <v>107</v>
      </c>
      <c r="E19" s="12" t="s">
        <v>97</v>
      </c>
      <c r="F19" s="12" t="s">
        <v>121</v>
      </c>
      <c r="G19" t="s">
        <v>106</v>
      </c>
      <c r="H19" t="s">
        <v>99</v>
      </c>
      <c r="I19" t="s">
        <v>122</v>
      </c>
      <c r="J19">
        <v>228</v>
      </c>
      <c r="K19" t="s">
        <v>118</v>
      </c>
      <c r="L19" t="s">
        <v>110</v>
      </c>
      <c r="M19" t="s">
        <v>111</v>
      </c>
      <c r="N19" t="s">
        <v>130</v>
      </c>
      <c r="P19" t="s">
        <v>85</v>
      </c>
      <c r="Q19" t="s">
        <v>113</v>
      </c>
      <c r="S19" t="s">
        <v>131</v>
      </c>
    </row>
    <row r="20" spans="3:19" hidden="1" x14ac:dyDescent="0.25">
      <c r="C20">
        <v>283987</v>
      </c>
      <c r="D20" t="s">
        <v>132</v>
      </c>
      <c r="E20" s="12" t="s">
        <v>77</v>
      </c>
      <c r="F20" s="12" t="s">
        <v>108</v>
      </c>
      <c r="G20" t="s">
        <v>87</v>
      </c>
      <c r="H20" t="s">
        <v>80</v>
      </c>
      <c r="I20" t="s">
        <v>108</v>
      </c>
      <c r="J20">
        <v>29409</v>
      </c>
      <c r="K20" t="s">
        <v>109</v>
      </c>
      <c r="L20" t="s">
        <v>110</v>
      </c>
      <c r="M20" t="s">
        <v>111</v>
      </c>
      <c r="N20" t="s">
        <v>133</v>
      </c>
      <c r="P20" t="s">
        <v>85</v>
      </c>
      <c r="Q20" t="s">
        <v>113</v>
      </c>
      <c r="S20" t="s">
        <v>134</v>
      </c>
    </row>
    <row r="21" spans="3:19" hidden="1" x14ac:dyDescent="0.25">
      <c r="C21">
        <v>1590441</v>
      </c>
      <c r="D21" t="s">
        <v>132</v>
      </c>
      <c r="E21" s="12" t="s">
        <v>77</v>
      </c>
      <c r="F21" s="12" t="s">
        <v>135</v>
      </c>
      <c r="G21" t="s">
        <v>87</v>
      </c>
      <c r="H21" t="s">
        <v>80</v>
      </c>
      <c r="I21" t="s">
        <v>135</v>
      </c>
      <c r="J21">
        <v>3788.4519106600001</v>
      </c>
      <c r="K21" t="s">
        <v>136</v>
      </c>
      <c r="L21" t="s">
        <v>82</v>
      </c>
      <c r="M21" t="s">
        <v>83</v>
      </c>
      <c r="N21" t="s">
        <v>119</v>
      </c>
      <c r="P21" t="s">
        <v>85</v>
      </c>
      <c r="Q21" t="s">
        <v>119</v>
      </c>
      <c r="R21" t="s">
        <v>137</v>
      </c>
    </row>
    <row r="22" spans="3:19" hidden="1" x14ac:dyDescent="0.25">
      <c r="C22">
        <v>1590449</v>
      </c>
      <c r="D22" t="s">
        <v>132</v>
      </c>
      <c r="E22" s="12" t="s">
        <v>77</v>
      </c>
      <c r="F22" s="12" t="s">
        <v>116</v>
      </c>
      <c r="G22" s="17">
        <v>44562</v>
      </c>
      <c r="H22" t="s">
        <v>80</v>
      </c>
      <c r="I22" t="s">
        <v>117</v>
      </c>
      <c r="J22">
        <v>2.7555584</v>
      </c>
      <c r="K22" t="s">
        <v>118</v>
      </c>
      <c r="L22" t="s">
        <v>82</v>
      </c>
      <c r="M22" t="s">
        <v>83</v>
      </c>
      <c r="N22" t="s">
        <v>119</v>
      </c>
      <c r="P22" t="s">
        <v>85</v>
      </c>
      <c r="Q22" t="s">
        <v>119</v>
      </c>
      <c r="R22" t="s">
        <v>120</v>
      </c>
    </row>
    <row r="23" spans="3:19" hidden="1" x14ac:dyDescent="0.25">
      <c r="C23">
        <v>4962</v>
      </c>
      <c r="D23" t="s">
        <v>132</v>
      </c>
      <c r="E23" s="12" t="s">
        <v>97</v>
      </c>
      <c r="F23" s="12" t="s">
        <v>108</v>
      </c>
      <c r="G23" t="s">
        <v>106</v>
      </c>
      <c r="H23" t="s">
        <v>99</v>
      </c>
      <c r="I23" t="s">
        <v>108</v>
      </c>
      <c r="J23">
        <v>32374</v>
      </c>
      <c r="K23" t="s">
        <v>109</v>
      </c>
      <c r="L23" t="s">
        <v>82</v>
      </c>
      <c r="M23" t="s">
        <v>111</v>
      </c>
      <c r="N23" t="s">
        <v>125</v>
      </c>
      <c r="P23" t="s">
        <v>85</v>
      </c>
      <c r="Q23" t="s">
        <v>138</v>
      </c>
      <c r="S23" t="s">
        <v>139</v>
      </c>
    </row>
    <row r="24" spans="3:19" hidden="1" x14ac:dyDescent="0.25">
      <c r="C24">
        <v>4988</v>
      </c>
      <c r="D24" t="s">
        <v>132</v>
      </c>
      <c r="E24" s="12" t="s">
        <v>97</v>
      </c>
      <c r="F24" s="12" t="s">
        <v>135</v>
      </c>
      <c r="G24" t="s">
        <v>106</v>
      </c>
      <c r="H24" t="s">
        <v>99</v>
      </c>
      <c r="I24" t="s">
        <v>135</v>
      </c>
      <c r="J24">
        <v>234222690.69999999</v>
      </c>
      <c r="K24" t="s">
        <v>140</v>
      </c>
      <c r="L24" t="s">
        <v>82</v>
      </c>
      <c r="M24" t="s">
        <v>129</v>
      </c>
      <c r="N24" t="s">
        <v>125</v>
      </c>
      <c r="P24" t="s">
        <v>85</v>
      </c>
      <c r="Q24" t="s">
        <v>113</v>
      </c>
    </row>
    <row r="25" spans="3:19" hidden="1" x14ac:dyDescent="0.25">
      <c r="C25">
        <v>5021</v>
      </c>
      <c r="D25" t="s">
        <v>132</v>
      </c>
      <c r="E25" s="12" t="s">
        <v>97</v>
      </c>
      <c r="F25" s="12" t="s">
        <v>141</v>
      </c>
      <c r="G25" t="s">
        <v>106</v>
      </c>
      <c r="H25" t="s">
        <v>99</v>
      </c>
      <c r="I25" t="s">
        <v>142</v>
      </c>
      <c r="J25">
        <v>0</v>
      </c>
      <c r="K25" t="s">
        <v>143</v>
      </c>
      <c r="L25" t="s">
        <v>82</v>
      </c>
      <c r="M25" t="s">
        <v>129</v>
      </c>
      <c r="N25" t="s">
        <v>125</v>
      </c>
      <c r="P25" t="s">
        <v>85</v>
      </c>
      <c r="Q25" t="s">
        <v>113</v>
      </c>
    </row>
    <row r="26" spans="3:19" hidden="1" x14ac:dyDescent="0.25">
      <c r="C26">
        <v>5047</v>
      </c>
      <c r="D26" t="s">
        <v>132</v>
      </c>
      <c r="E26" s="12" t="s">
        <v>97</v>
      </c>
      <c r="F26" s="12" t="s">
        <v>116</v>
      </c>
      <c r="G26" t="s">
        <v>106</v>
      </c>
      <c r="H26" t="s">
        <v>99</v>
      </c>
      <c r="I26" t="s">
        <v>128</v>
      </c>
      <c r="J26">
        <v>2.7555999999999998</v>
      </c>
      <c r="K26" t="s">
        <v>118</v>
      </c>
      <c r="L26" t="s">
        <v>82</v>
      </c>
      <c r="M26" t="s">
        <v>129</v>
      </c>
      <c r="N26" t="s">
        <v>125</v>
      </c>
      <c r="P26" t="s">
        <v>85</v>
      </c>
      <c r="Q26" t="s">
        <v>113</v>
      </c>
    </row>
    <row r="27" spans="3:19" hidden="1" x14ac:dyDescent="0.25">
      <c r="C27">
        <v>293319</v>
      </c>
      <c r="D27" t="s">
        <v>144</v>
      </c>
      <c r="E27" s="12" t="s">
        <v>77</v>
      </c>
      <c r="F27" s="12" t="s">
        <v>108</v>
      </c>
      <c r="G27" t="s">
        <v>87</v>
      </c>
      <c r="H27" t="s">
        <v>80</v>
      </c>
      <c r="I27" t="s">
        <v>108</v>
      </c>
      <c r="J27">
        <v>1000</v>
      </c>
      <c r="K27" t="s">
        <v>109</v>
      </c>
      <c r="L27" t="s">
        <v>82</v>
      </c>
      <c r="M27" t="s">
        <v>111</v>
      </c>
      <c r="N27" t="s">
        <v>145</v>
      </c>
      <c r="P27" t="s">
        <v>85</v>
      </c>
      <c r="Q27" t="s">
        <v>113</v>
      </c>
      <c r="R27" t="s">
        <v>146</v>
      </c>
    </row>
    <row r="28" spans="3:19" hidden="1" x14ac:dyDescent="0.25">
      <c r="C28">
        <v>293321</v>
      </c>
      <c r="D28" t="s">
        <v>144</v>
      </c>
      <c r="E28" s="12" t="s">
        <v>77</v>
      </c>
      <c r="F28" s="12" t="s">
        <v>141</v>
      </c>
      <c r="G28" t="s">
        <v>87</v>
      </c>
      <c r="H28" t="s">
        <v>80</v>
      </c>
      <c r="I28" t="s">
        <v>147</v>
      </c>
      <c r="J28">
        <v>0</v>
      </c>
      <c r="K28" t="s">
        <v>148</v>
      </c>
      <c r="L28" t="s">
        <v>110</v>
      </c>
      <c r="M28" t="s">
        <v>111</v>
      </c>
      <c r="N28" t="s">
        <v>149</v>
      </c>
      <c r="P28" t="s">
        <v>85</v>
      </c>
      <c r="Q28" t="s">
        <v>113</v>
      </c>
    </row>
    <row r="29" spans="3:19" hidden="1" x14ac:dyDescent="0.25">
      <c r="C29">
        <v>293323</v>
      </c>
      <c r="D29" t="s">
        <v>144</v>
      </c>
      <c r="E29" s="12" t="s">
        <v>77</v>
      </c>
      <c r="F29" s="12" t="s">
        <v>121</v>
      </c>
      <c r="G29" t="s">
        <v>87</v>
      </c>
      <c r="H29" t="s">
        <v>80</v>
      </c>
      <c r="I29" t="s">
        <v>150</v>
      </c>
      <c r="J29">
        <v>0</v>
      </c>
      <c r="K29" t="s">
        <v>148</v>
      </c>
      <c r="L29" t="s">
        <v>110</v>
      </c>
      <c r="M29" t="s">
        <v>111</v>
      </c>
      <c r="N29" t="s">
        <v>149</v>
      </c>
      <c r="P29" t="s">
        <v>85</v>
      </c>
      <c r="Q29" t="s">
        <v>113</v>
      </c>
    </row>
    <row r="30" spans="3:19" hidden="1" x14ac:dyDescent="0.25">
      <c r="C30">
        <v>4957</v>
      </c>
      <c r="D30" t="s">
        <v>144</v>
      </c>
      <c r="E30" s="12" t="s">
        <v>97</v>
      </c>
      <c r="F30" s="12" t="s">
        <v>108</v>
      </c>
      <c r="G30" t="s">
        <v>106</v>
      </c>
      <c r="H30" t="s">
        <v>99</v>
      </c>
      <c r="I30" t="s">
        <v>108</v>
      </c>
      <c r="J30">
        <v>2441.65</v>
      </c>
      <c r="K30" t="s">
        <v>109</v>
      </c>
      <c r="L30" t="s">
        <v>82</v>
      </c>
      <c r="M30" t="s">
        <v>129</v>
      </c>
      <c r="N30" t="s">
        <v>125</v>
      </c>
      <c r="P30" t="s">
        <v>85</v>
      </c>
      <c r="Q30" t="s">
        <v>113</v>
      </c>
    </row>
    <row r="31" spans="3:19" hidden="1" x14ac:dyDescent="0.25">
      <c r="C31">
        <v>4984</v>
      </c>
      <c r="D31" t="s">
        <v>144</v>
      </c>
      <c r="E31" s="12" t="s">
        <v>97</v>
      </c>
      <c r="F31" s="12" t="s">
        <v>135</v>
      </c>
      <c r="G31" t="s">
        <v>106</v>
      </c>
      <c r="H31" t="s">
        <v>99</v>
      </c>
      <c r="I31" t="s">
        <v>135</v>
      </c>
      <c r="J31">
        <v>0</v>
      </c>
      <c r="K31" t="s">
        <v>140</v>
      </c>
      <c r="L31" t="s">
        <v>82</v>
      </c>
      <c r="M31" t="s">
        <v>129</v>
      </c>
      <c r="N31" t="s">
        <v>125</v>
      </c>
      <c r="P31" t="s">
        <v>85</v>
      </c>
      <c r="Q31" t="s">
        <v>113</v>
      </c>
    </row>
    <row r="32" spans="3:19" hidden="1" x14ac:dyDescent="0.25">
      <c r="C32">
        <v>5018</v>
      </c>
      <c r="D32" t="s">
        <v>144</v>
      </c>
      <c r="E32" s="12" t="s">
        <v>97</v>
      </c>
      <c r="F32" s="12" t="s">
        <v>141</v>
      </c>
      <c r="G32" t="s">
        <v>106</v>
      </c>
      <c r="H32" t="s">
        <v>99</v>
      </c>
      <c r="I32" t="s">
        <v>142</v>
      </c>
      <c r="J32">
        <v>0</v>
      </c>
      <c r="K32" t="s">
        <v>143</v>
      </c>
      <c r="L32" t="s">
        <v>82</v>
      </c>
      <c r="M32" t="s">
        <v>129</v>
      </c>
      <c r="N32" t="s">
        <v>125</v>
      </c>
      <c r="P32" t="s">
        <v>85</v>
      </c>
      <c r="Q32" t="s">
        <v>113</v>
      </c>
    </row>
    <row r="33" spans="3:19" hidden="1" x14ac:dyDescent="0.25">
      <c r="C33">
        <v>5043</v>
      </c>
      <c r="D33" t="s">
        <v>144</v>
      </c>
      <c r="E33" s="12" t="s">
        <v>97</v>
      </c>
      <c r="F33" s="12" t="s">
        <v>116</v>
      </c>
      <c r="G33" t="s">
        <v>106</v>
      </c>
      <c r="H33" t="s">
        <v>99</v>
      </c>
      <c r="I33" t="s">
        <v>128</v>
      </c>
      <c r="J33">
        <v>6.4600000000000005E-2</v>
      </c>
      <c r="K33" t="s">
        <v>118</v>
      </c>
      <c r="L33" t="s">
        <v>82</v>
      </c>
      <c r="M33" t="s">
        <v>129</v>
      </c>
      <c r="N33" t="s">
        <v>125</v>
      </c>
      <c r="P33" t="s">
        <v>85</v>
      </c>
      <c r="Q33" t="s">
        <v>113</v>
      </c>
    </row>
    <row r="34" spans="3:19" hidden="1" x14ac:dyDescent="0.25">
      <c r="C34">
        <v>11229</v>
      </c>
      <c r="D34" t="s">
        <v>151</v>
      </c>
      <c r="E34" s="12" t="s">
        <v>77</v>
      </c>
      <c r="F34" s="12" t="s">
        <v>108</v>
      </c>
      <c r="G34" t="s">
        <v>87</v>
      </c>
      <c r="H34" t="s">
        <v>80</v>
      </c>
      <c r="I34" t="s">
        <v>108</v>
      </c>
      <c r="J34">
        <v>0</v>
      </c>
      <c r="K34" t="s">
        <v>109</v>
      </c>
      <c r="L34" t="s">
        <v>110</v>
      </c>
      <c r="M34" t="s">
        <v>111</v>
      </c>
      <c r="N34" t="s">
        <v>152</v>
      </c>
      <c r="P34" t="s">
        <v>85</v>
      </c>
      <c r="Q34" t="s">
        <v>113</v>
      </c>
      <c r="R34" t="s">
        <v>153</v>
      </c>
    </row>
    <row r="35" spans="3:19" hidden="1" x14ac:dyDescent="0.25">
      <c r="C35">
        <v>232861</v>
      </c>
      <c r="D35" t="s">
        <v>151</v>
      </c>
      <c r="E35" s="12" t="s">
        <v>77</v>
      </c>
      <c r="F35" s="12" t="s">
        <v>135</v>
      </c>
      <c r="G35" t="s">
        <v>87</v>
      </c>
      <c r="H35" t="s">
        <v>80</v>
      </c>
      <c r="I35" t="s">
        <v>135</v>
      </c>
      <c r="J35">
        <v>0</v>
      </c>
      <c r="K35" t="s">
        <v>154</v>
      </c>
      <c r="L35" t="s">
        <v>110</v>
      </c>
      <c r="M35" t="s">
        <v>111</v>
      </c>
      <c r="N35" t="s">
        <v>155</v>
      </c>
      <c r="P35" t="s">
        <v>85</v>
      </c>
      <c r="Q35" t="s">
        <v>113</v>
      </c>
      <c r="R35" t="s">
        <v>153</v>
      </c>
    </row>
    <row r="36" spans="3:19" hidden="1" x14ac:dyDescent="0.25">
      <c r="C36">
        <v>232859</v>
      </c>
      <c r="D36" t="s">
        <v>151</v>
      </c>
      <c r="E36" s="12" t="s">
        <v>77</v>
      </c>
      <c r="F36" s="12" t="s">
        <v>141</v>
      </c>
      <c r="G36" t="s">
        <v>87</v>
      </c>
      <c r="H36" t="s">
        <v>80</v>
      </c>
      <c r="I36" t="s">
        <v>156</v>
      </c>
      <c r="J36">
        <v>0</v>
      </c>
      <c r="K36" t="s">
        <v>140</v>
      </c>
      <c r="L36" t="s">
        <v>110</v>
      </c>
      <c r="M36" t="s">
        <v>111</v>
      </c>
      <c r="N36" t="s">
        <v>157</v>
      </c>
      <c r="P36" t="s">
        <v>85</v>
      </c>
      <c r="Q36" t="s">
        <v>113</v>
      </c>
      <c r="R36" t="s">
        <v>153</v>
      </c>
    </row>
    <row r="37" spans="3:19" hidden="1" x14ac:dyDescent="0.25">
      <c r="C37">
        <v>232863</v>
      </c>
      <c r="D37" t="s">
        <v>151</v>
      </c>
      <c r="E37" s="12" t="s">
        <v>77</v>
      </c>
      <c r="F37" s="12" t="s">
        <v>116</v>
      </c>
      <c r="G37" t="s">
        <v>87</v>
      </c>
      <c r="H37" t="s">
        <v>80</v>
      </c>
      <c r="I37" t="s">
        <v>158</v>
      </c>
      <c r="J37">
        <v>0</v>
      </c>
      <c r="K37" t="s">
        <v>159</v>
      </c>
      <c r="L37" t="s">
        <v>110</v>
      </c>
      <c r="M37" t="s">
        <v>111</v>
      </c>
      <c r="N37" t="s">
        <v>155</v>
      </c>
      <c r="P37" t="s">
        <v>85</v>
      </c>
      <c r="Q37" t="s">
        <v>113</v>
      </c>
      <c r="R37" t="s">
        <v>153</v>
      </c>
    </row>
    <row r="38" spans="3:19" hidden="1" x14ac:dyDescent="0.25">
      <c r="C38">
        <v>294648</v>
      </c>
      <c r="D38" t="s">
        <v>151</v>
      </c>
      <c r="E38" s="12" t="s">
        <v>77</v>
      </c>
      <c r="F38" s="12" t="s">
        <v>121</v>
      </c>
      <c r="G38" t="s">
        <v>87</v>
      </c>
      <c r="H38" t="s">
        <v>80</v>
      </c>
      <c r="I38" t="s">
        <v>122</v>
      </c>
      <c r="J38">
        <v>0</v>
      </c>
      <c r="K38" t="s">
        <v>160</v>
      </c>
      <c r="L38" t="s">
        <v>110</v>
      </c>
      <c r="M38" t="s">
        <v>111</v>
      </c>
      <c r="N38" t="s">
        <v>161</v>
      </c>
      <c r="P38" t="s">
        <v>85</v>
      </c>
      <c r="Q38" t="s">
        <v>113</v>
      </c>
    </row>
    <row r="39" spans="3:19" hidden="1" x14ac:dyDescent="0.25">
      <c r="C39">
        <v>4958</v>
      </c>
      <c r="D39" t="s">
        <v>151</v>
      </c>
      <c r="E39" s="12" t="s">
        <v>97</v>
      </c>
      <c r="F39" s="12" t="s">
        <v>108</v>
      </c>
      <c r="G39" t="s">
        <v>106</v>
      </c>
      <c r="H39" t="s">
        <v>99</v>
      </c>
      <c r="I39" t="s">
        <v>108</v>
      </c>
      <c r="J39">
        <v>23387</v>
      </c>
      <c r="K39" t="s">
        <v>109</v>
      </c>
      <c r="L39" t="s">
        <v>110</v>
      </c>
      <c r="M39" t="s">
        <v>162</v>
      </c>
      <c r="N39" t="s">
        <v>125</v>
      </c>
      <c r="P39" t="s">
        <v>85</v>
      </c>
      <c r="Q39" t="s">
        <v>113</v>
      </c>
      <c r="S39" t="s">
        <v>163</v>
      </c>
    </row>
    <row r="40" spans="3:19" hidden="1" x14ac:dyDescent="0.25">
      <c r="C40">
        <v>255499</v>
      </c>
      <c r="D40" t="s">
        <v>164</v>
      </c>
      <c r="E40" s="12" t="s">
        <v>77</v>
      </c>
      <c r="F40" s="12" t="s">
        <v>108</v>
      </c>
      <c r="G40" t="s">
        <v>87</v>
      </c>
      <c r="H40" t="s">
        <v>80</v>
      </c>
      <c r="I40" t="s">
        <v>108</v>
      </c>
      <c r="J40">
        <v>15237808</v>
      </c>
      <c r="K40" t="s">
        <v>109</v>
      </c>
      <c r="L40" t="s">
        <v>110</v>
      </c>
      <c r="M40" t="s">
        <v>111</v>
      </c>
      <c r="N40" t="s">
        <v>165</v>
      </c>
      <c r="P40" t="s">
        <v>85</v>
      </c>
      <c r="Q40" t="s">
        <v>113</v>
      </c>
      <c r="S40" t="s">
        <v>166</v>
      </c>
    </row>
    <row r="41" spans="3:19" hidden="1" x14ac:dyDescent="0.25">
      <c r="C41">
        <v>255501</v>
      </c>
      <c r="D41" t="s">
        <v>164</v>
      </c>
      <c r="E41" s="12" t="s">
        <v>77</v>
      </c>
      <c r="F41" s="12" t="s">
        <v>135</v>
      </c>
      <c r="G41" t="s">
        <v>87</v>
      </c>
      <c r="H41" t="s">
        <v>80</v>
      </c>
      <c r="I41" t="s">
        <v>135</v>
      </c>
      <c r="J41">
        <v>333</v>
      </c>
      <c r="K41" t="s">
        <v>109</v>
      </c>
      <c r="L41" t="s">
        <v>110</v>
      </c>
      <c r="M41" t="s">
        <v>111</v>
      </c>
      <c r="N41" t="s">
        <v>167</v>
      </c>
      <c r="P41" t="s">
        <v>85</v>
      </c>
      <c r="Q41" t="s">
        <v>113</v>
      </c>
      <c r="S41" t="s">
        <v>166</v>
      </c>
    </row>
    <row r="42" spans="3:19" hidden="1" x14ac:dyDescent="0.25">
      <c r="C42">
        <v>255503</v>
      </c>
      <c r="D42" t="s">
        <v>164</v>
      </c>
      <c r="E42" s="12" t="s">
        <v>77</v>
      </c>
      <c r="F42" s="12" t="s">
        <v>141</v>
      </c>
      <c r="G42" t="s">
        <v>87</v>
      </c>
      <c r="H42" t="s">
        <v>80</v>
      </c>
      <c r="I42" t="s">
        <v>168</v>
      </c>
      <c r="J42">
        <v>5895.22</v>
      </c>
      <c r="K42" t="s">
        <v>143</v>
      </c>
      <c r="L42" t="s">
        <v>110</v>
      </c>
      <c r="M42" t="s">
        <v>111</v>
      </c>
      <c r="N42" t="s">
        <v>167</v>
      </c>
      <c r="P42" t="s">
        <v>85</v>
      </c>
      <c r="Q42" t="s">
        <v>113</v>
      </c>
      <c r="S42" t="s">
        <v>169</v>
      </c>
    </row>
    <row r="43" spans="3:19" hidden="1" x14ac:dyDescent="0.25">
      <c r="C43">
        <v>255506</v>
      </c>
      <c r="D43" t="s">
        <v>164</v>
      </c>
      <c r="E43" s="12" t="s">
        <v>77</v>
      </c>
      <c r="F43" s="12" t="s">
        <v>141</v>
      </c>
      <c r="G43" t="s">
        <v>87</v>
      </c>
      <c r="H43" t="s">
        <v>80</v>
      </c>
      <c r="I43" t="s">
        <v>147</v>
      </c>
      <c r="J43">
        <v>9842.58</v>
      </c>
      <c r="K43" t="s">
        <v>143</v>
      </c>
      <c r="L43" t="s">
        <v>110</v>
      </c>
      <c r="M43" t="s">
        <v>111</v>
      </c>
      <c r="N43" t="s">
        <v>170</v>
      </c>
      <c r="P43" t="s">
        <v>85</v>
      </c>
      <c r="Q43" t="s">
        <v>113</v>
      </c>
      <c r="S43" t="s">
        <v>169</v>
      </c>
    </row>
    <row r="44" spans="3:19" hidden="1" x14ac:dyDescent="0.25">
      <c r="C44">
        <v>290088</v>
      </c>
      <c r="D44" t="s">
        <v>164</v>
      </c>
      <c r="E44" s="12" t="s">
        <v>77</v>
      </c>
      <c r="F44" s="12" t="s">
        <v>141</v>
      </c>
      <c r="G44" t="s">
        <v>87</v>
      </c>
      <c r="H44" t="s">
        <v>80</v>
      </c>
      <c r="I44" t="s">
        <v>171</v>
      </c>
      <c r="J44">
        <v>48.14</v>
      </c>
      <c r="K44" t="s">
        <v>143</v>
      </c>
      <c r="L44" t="s">
        <v>110</v>
      </c>
      <c r="M44" t="s">
        <v>111</v>
      </c>
      <c r="N44" t="s">
        <v>172</v>
      </c>
      <c r="P44" t="s">
        <v>85</v>
      </c>
      <c r="Q44" t="s">
        <v>113</v>
      </c>
      <c r="S44" t="s">
        <v>169</v>
      </c>
    </row>
    <row r="45" spans="3:19" hidden="1" x14ac:dyDescent="0.25">
      <c r="C45">
        <v>290090</v>
      </c>
      <c r="D45" t="s">
        <v>164</v>
      </c>
      <c r="E45" s="12" t="s">
        <v>77</v>
      </c>
      <c r="F45" s="12" t="s">
        <v>141</v>
      </c>
      <c r="G45" t="s">
        <v>87</v>
      </c>
      <c r="H45" t="s">
        <v>80</v>
      </c>
      <c r="I45" t="s">
        <v>168</v>
      </c>
      <c r="J45">
        <v>89.92</v>
      </c>
      <c r="K45" t="s">
        <v>143</v>
      </c>
      <c r="L45" t="s">
        <v>110</v>
      </c>
      <c r="M45" t="s">
        <v>111</v>
      </c>
      <c r="N45" t="s">
        <v>173</v>
      </c>
      <c r="P45" t="s">
        <v>85</v>
      </c>
      <c r="Q45" t="s">
        <v>113</v>
      </c>
      <c r="S45" t="s">
        <v>169</v>
      </c>
    </row>
    <row r="46" spans="3:19" hidden="1" x14ac:dyDescent="0.25">
      <c r="C46">
        <v>290092</v>
      </c>
      <c r="D46" t="s">
        <v>164</v>
      </c>
      <c r="E46" s="12" t="s">
        <v>77</v>
      </c>
      <c r="F46" s="12" t="s">
        <v>141</v>
      </c>
      <c r="G46" t="s">
        <v>87</v>
      </c>
      <c r="H46" t="s">
        <v>80</v>
      </c>
      <c r="I46" t="s">
        <v>168</v>
      </c>
      <c r="J46">
        <v>55.95</v>
      </c>
      <c r="K46" t="s">
        <v>143</v>
      </c>
      <c r="L46" t="s">
        <v>110</v>
      </c>
      <c r="M46" t="s">
        <v>111</v>
      </c>
      <c r="N46" t="s">
        <v>174</v>
      </c>
      <c r="P46" t="s">
        <v>85</v>
      </c>
      <c r="Q46" t="s">
        <v>113</v>
      </c>
      <c r="S46" t="s">
        <v>169</v>
      </c>
    </row>
    <row r="47" spans="3:19" hidden="1" x14ac:dyDescent="0.25">
      <c r="C47">
        <v>290094</v>
      </c>
      <c r="D47" t="s">
        <v>164</v>
      </c>
      <c r="E47" s="12" t="s">
        <v>77</v>
      </c>
      <c r="F47" s="12" t="s">
        <v>141</v>
      </c>
      <c r="G47" t="s">
        <v>87</v>
      </c>
      <c r="H47" t="s">
        <v>80</v>
      </c>
      <c r="I47" t="s">
        <v>168</v>
      </c>
      <c r="J47">
        <v>53.18</v>
      </c>
      <c r="K47" t="s">
        <v>143</v>
      </c>
      <c r="L47" t="s">
        <v>110</v>
      </c>
      <c r="M47" t="s">
        <v>111</v>
      </c>
      <c r="N47" t="s">
        <v>174</v>
      </c>
      <c r="P47" t="s">
        <v>85</v>
      </c>
      <c r="Q47" t="s">
        <v>113</v>
      </c>
      <c r="S47" t="s">
        <v>169</v>
      </c>
    </row>
    <row r="48" spans="3:19" hidden="1" x14ac:dyDescent="0.25">
      <c r="C48">
        <v>255510</v>
      </c>
      <c r="D48" t="s">
        <v>164</v>
      </c>
      <c r="E48" s="12" t="s">
        <v>77</v>
      </c>
      <c r="F48" s="12" t="s">
        <v>116</v>
      </c>
      <c r="G48" t="s">
        <v>87</v>
      </c>
      <c r="H48" t="s">
        <v>80</v>
      </c>
      <c r="I48" t="s">
        <v>175</v>
      </c>
      <c r="J48">
        <v>18.399999999999999</v>
      </c>
      <c r="K48" t="s">
        <v>118</v>
      </c>
      <c r="L48" t="s">
        <v>110</v>
      </c>
      <c r="M48" t="s">
        <v>111</v>
      </c>
      <c r="N48" t="s">
        <v>176</v>
      </c>
      <c r="P48" t="s">
        <v>85</v>
      </c>
      <c r="Q48" t="s">
        <v>113</v>
      </c>
      <c r="S48" t="s">
        <v>177</v>
      </c>
    </row>
    <row r="49" spans="3:19" hidden="1" x14ac:dyDescent="0.25">
      <c r="C49">
        <v>261753</v>
      </c>
      <c r="D49" t="s">
        <v>164</v>
      </c>
      <c r="E49" s="12" t="s">
        <v>77</v>
      </c>
      <c r="F49" s="12" t="s">
        <v>116</v>
      </c>
      <c r="G49" t="s">
        <v>87</v>
      </c>
      <c r="H49" t="s">
        <v>80</v>
      </c>
      <c r="I49" t="s">
        <v>178</v>
      </c>
      <c r="J49">
        <v>6.4</v>
      </c>
      <c r="K49" t="s">
        <v>118</v>
      </c>
      <c r="L49" t="s">
        <v>110</v>
      </c>
      <c r="M49" t="s">
        <v>111</v>
      </c>
      <c r="N49" t="s">
        <v>179</v>
      </c>
      <c r="P49" t="s">
        <v>85</v>
      </c>
      <c r="Q49" t="s">
        <v>113</v>
      </c>
      <c r="S49" t="s">
        <v>180</v>
      </c>
    </row>
    <row r="50" spans="3:19" hidden="1" x14ac:dyDescent="0.25">
      <c r="C50">
        <v>255508</v>
      </c>
      <c r="D50" t="s">
        <v>164</v>
      </c>
      <c r="E50" s="12" t="s">
        <v>77</v>
      </c>
      <c r="F50" s="12" t="s">
        <v>181</v>
      </c>
      <c r="G50" t="s">
        <v>87</v>
      </c>
      <c r="H50" t="s">
        <v>80</v>
      </c>
      <c r="I50" t="s">
        <v>182</v>
      </c>
      <c r="J50">
        <v>37799992</v>
      </c>
      <c r="K50" t="s">
        <v>109</v>
      </c>
      <c r="L50" t="s">
        <v>110</v>
      </c>
      <c r="M50" t="s">
        <v>111</v>
      </c>
      <c r="N50" t="s">
        <v>176</v>
      </c>
      <c r="P50" t="s">
        <v>85</v>
      </c>
      <c r="Q50" t="s">
        <v>113</v>
      </c>
      <c r="S50" t="s">
        <v>183</v>
      </c>
    </row>
    <row r="51" spans="3:19" hidden="1" x14ac:dyDescent="0.25">
      <c r="C51">
        <v>4954</v>
      </c>
      <c r="D51" t="s">
        <v>164</v>
      </c>
      <c r="E51" s="12" t="s">
        <v>97</v>
      </c>
      <c r="F51" s="12" t="s">
        <v>108</v>
      </c>
      <c r="G51" t="s">
        <v>106</v>
      </c>
      <c r="H51" t="s">
        <v>99</v>
      </c>
      <c r="I51" t="s">
        <v>108</v>
      </c>
      <c r="J51">
        <v>14654340</v>
      </c>
      <c r="K51" t="s">
        <v>109</v>
      </c>
      <c r="L51" t="s">
        <v>110</v>
      </c>
      <c r="M51" t="s">
        <v>162</v>
      </c>
      <c r="N51" t="s">
        <v>125</v>
      </c>
      <c r="P51" t="s">
        <v>85</v>
      </c>
      <c r="Q51" t="s">
        <v>113</v>
      </c>
      <c r="S51" t="s">
        <v>184</v>
      </c>
    </row>
    <row r="52" spans="3:19" hidden="1" x14ac:dyDescent="0.25">
      <c r="C52">
        <v>4981</v>
      </c>
      <c r="D52" t="s">
        <v>164</v>
      </c>
      <c r="E52" s="12" t="s">
        <v>97</v>
      </c>
      <c r="F52" s="12" t="s">
        <v>135</v>
      </c>
      <c r="G52" t="s">
        <v>106</v>
      </c>
      <c r="H52" t="s">
        <v>99</v>
      </c>
      <c r="I52" t="s">
        <v>135</v>
      </c>
      <c r="J52">
        <v>948</v>
      </c>
      <c r="K52" t="s">
        <v>109</v>
      </c>
      <c r="L52" t="s">
        <v>110</v>
      </c>
      <c r="M52" t="s">
        <v>162</v>
      </c>
      <c r="N52" t="s">
        <v>125</v>
      </c>
      <c r="P52" t="s">
        <v>85</v>
      </c>
      <c r="Q52" t="s">
        <v>113</v>
      </c>
      <c r="S52" t="s">
        <v>185</v>
      </c>
    </row>
    <row r="53" spans="3:19" hidden="1" x14ac:dyDescent="0.25">
      <c r="C53">
        <v>5014</v>
      </c>
      <c r="D53" t="s">
        <v>164</v>
      </c>
      <c r="E53" s="12" t="s">
        <v>97</v>
      </c>
      <c r="F53" s="12" t="s">
        <v>141</v>
      </c>
      <c r="G53" t="s">
        <v>106</v>
      </c>
      <c r="H53" t="s">
        <v>99</v>
      </c>
      <c r="I53" t="s">
        <v>142</v>
      </c>
      <c r="J53">
        <v>10606.83</v>
      </c>
      <c r="K53" t="s">
        <v>143</v>
      </c>
      <c r="L53" t="s">
        <v>110</v>
      </c>
      <c r="M53" t="s">
        <v>162</v>
      </c>
      <c r="N53" t="s">
        <v>125</v>
      </c>
      <c r="P53" t="s">
        <v>85</v>
      </c>
      <c r="Q53" t="s">
        <v>113</v>
      </c>
      <c r="S53" t="s">
        <v>186</v>
      </c>
    </row>
    <row r="54" spans="3:19" hidden="1" x14ac:dyDescent="0.25">
      <c r="C54">
        <v>5015</v>
      </c>
      <c r="D54" t="s">
        <v>164</v>
      </c>
      <c r="E54" s="12" t="s">
        <v>97</v>
      </c>
      <c r="F54" s="12" t="s">
        <v>141</v>
      </c>
      <c r="G54" t="s">
        <v>106</v>
      </c>
      <c r="H54" t="s">
        <v>99</v>
      </c>
      <c r="I54" t="s">
        <v>187</v>
      </c>
      <c r="J54">
        <v>2679.19</v>
      </c>
      <c r="K54" t="s">
        <v>143</v>
      </c>
      <c r="L54" t="s">
        <v>110</v>
      </c>
      <c r="M54" t="s">
        <v>129</v>
      </c>
      <c r="N54" t="s">
        <v>125</v>
      </c>
      <c r="P54" t="s">
        <v>85</v>
      </c>
      <c r="Q54" t="s">
        <v>113</v>
      </c>
    </row>
    <row r="55" spans="3:19" hidden="1" x14ac:dyDescent="0.25">
      <c r="C55">
        <v>5040</v>
      </c>
      <c r="D55" t="s">
        <v>164</v>
      </c>
      <c r="E55" s="12" t="s">
        <v>97</v>
      </c>
      <c r="F55" s="12" t="s">
        <v>116</v>
      </c>
      <c r="G55" t="s">
        <v>106</v>
      </c>
      <c r="H55" t="s">
        <v>99</v>
      </c>
      <c r="I55" t="s">
        <v>175</v>
      </c>
      <c r="J55">
        <v>34.4</v>
      </c>
      <c r="K55" t="s">
        <v>118</v>
      </c>
      <c r="L55" t="s">
        <v>110</v>
      </c>
      <c r="M55" t="s">
        <v>129</v>
      </c>
      <c r="N55" t="s">
        <v>125</v>
      </c>
      <c r="P55" t="s">
        <v>85</v>
      </c>
      <c r="Q55" t="s">
        <v>113</v>
      </c>
    </row>
    <row r="56" spans="3:19" hidden="1" x14ac:dyDescent="0.25">
      <c r="C56">
        <v>1257574</v>
      </c>
      <c r="D56" t="s">
        <v>164</v>
      </c>
      <c r="E56" s="12" t="s">
        <v>97</v>
      </c>
      <c r="F56" s="12" t="s">
        <v>116</v>
      </c>
      <c r="G56" t="s">
        <v>106</v>
      </c>
      <c r="H56" t="s">
        <v>99</v>
      </c>
      <c r="I56" t="s">
        <v>178</v>
      </c>
      <c r="J56">
        <v>0</v>
      </c>
      <c r="K56" t="s">
        <v>118</v>
      </c>
      <c r="L56" t="s">
        <v>110</v>
      </c>
      <c r="M56" t="s">
        <v>162</v>
      </c>
      <c r="N56" t="s">
        <v>188</v>
      </c>
      <c r="P56" t="s">
        <v>85</v>
      </c>
      <c r="Q56" t="s">
        <v>113</v>
      </c>
    </row>
    <row r="57" spans="3:19" hidden="1" x14ac:dyDescent="0.25">
      <c r="C57">
        <v>5169</v>
      </c>
      <c r="D57" t="s">
        <v>164</v>
      </c>
      <c r="E57" s="12" t="s">
        <v>97</v>
      </c>
      <c r="F57" s="12" t="s">
        <v>181</v>
      </c>
      <c r="G57" t="s">
        <v>106</v>
      </c>
      <c r="H57" t="s">
        <v>99</v>
      </c>
      <c r="I57" t="s">
        <v>182</v>
      </c>
      <c r="J57">
        <v>37497000</v>
      </c>
      <c r="K57" t="s">
        <v>109</v>
      </c>
      <c r="L57" t="s">
        <v>110</v>
      </c>
      <c r="M57" t="s">
        <v>162</v>
      </c>
      <c r="N57" t="s">
        <v>189</v>
      </c>
      <c r="P57" t="s">
        <v>85</v>
      </c>
      <c r="Q57" t="s">
        <v>113</v>
      </c>
      <c r="S57" t="s">
        <v>184</v>
      </c>
    </row>
    <row r="58" spans="3:19" hidden="1" x14ac:dyDescent="0.25">
      <c r="C58">
        <v>295023</v>
      </c>
      <c r="D58" t="s">
        <v>190</v>
      </c>
      <c r="E58" s="12" t="s">
        <v>77</v>
      </c>
      <c r="F58" s="12" t="s">
        <v>108</v>
      </c>
      <c r="G58" t="s">
        <v>87</v>
      </c>
      <c r="H58" t="s">
        <v>80</v>
      </c>
      <c r="I58" t="s">
        <v>108</v>
      </c>
      <c r="J58">
        <v>138430</v>
      </c>
      <c r="K58" t="s">
        <v>109</v>
      </c>
      <c r="L58" t="s">
        <v>110</v>
      </c>
      <c r="M58" t="s">
        <v>111</v>
      </c>
      <c r="N58" t="s">
        <v>191</v>
      </c>
      <c r="P58" t="s">
        <v>85</v>
      </c>
      <c r="Q58" t="s">
        <v>113</v>
      </c>
      <c r="R58" t="s">
        <v>192</v>
      </c>
      <c r="S58" t="s">
        <v>193</v>
      </c>
    </row>
    <row r="59" spans="3:19" hidden="1" x14ac:dyDescent="0.25">
      <c r="C59">
        <v>295038</v>
      </c>
      <c r="D59" t="s">
        <v>190</v>
      </c>
      <c r="E59" s="12" t="s">
        <v>77</v>
      </c>
      <c r="F59" s="12" t="s">
        <v>135</v>
      </c>
      <c r="G59" t="s">
        <v>87</v>
      </c>
      <c r="H59" t="s">
        <v>80</v>
      </c>
      <c r="I59" t="s">
        <v>135</v>
      </c>
      <c r="J59">
        <v>476.67899999999997</v>
      </c>
      <c r="K59" t="s">
        <v>194</v>
      </c>
      <c r="L59" t="s">
        <v>110</v>
      </c>
      <c r="M59" t="s">
        <v>111</v>
      </c>
      <c r="N59" t="s">
        <v>195</v>
      </c>
      <c r="P59" t="s">
        <v>85</v>
      </c>
      <c r="Q59" t="s">
        <v>113</v>
      </c>
      <c r="R59" t="s">
        <v>196</v>
      </c>
      <c r="S59" t="s">
        <v>197</v>
      </c>
    </row>
    <row r="60" spans="3:19" hidden="1" x14ac:dyDescent="0.25">
      <c r="C60">
        <v>295025</v>
      </c>
      <c r="D60" t="s">
        <v>190</v>
      </c>
      <c r="E60" s="12" t="s">
        <v>77</v>
      </c>
      <c r="F60" s="12" t="s">
        <v>141</v>
      </c>
      <c r="G60" t="s">
        <v>87</v>
      </c>
      <c r="H60" t="s">
        <v>80</v>
      </c>
      <c r="I60" t="s">
        <v>147</v>
      </c>
      <c r="J60">
        <v>0</v>
      </c>
      <c r="K60" t="s">
        <v>160</v>
      </c>
      <c r="L60" t="s">
        <v>110</v>
      </c>
      <c r="M60" t="s">
        <v>111</v>
      </c>
      <c r="N60" t="s">
        <v>198</v>
      </c>
      <c r="P60" t="s">
        <v>85</v>
      </c>
      <c r="Q60" t="s">
        <v>113</v>
      </c>
    </row>
    <row r="61" spans="3:19" hidden="1" x14ac:dyDescent="0.25">
      <c r="C61">
        <v>1230923</v>
      </c>
      <c r="D61" t="s">
        <v>190</v>
      </c>
      <c r="E61" s="12" t="s">
        <v>77</v>
      </c>
      <c r="F61" s="12" t="s">
        <v>116</v>
      </c>
      <c r="G61" t="s">
        <v>87</v>
      </c>
      <c r="H61" t="s">
        <v>80</v>
      </c>
      <c r="I61" t="s">
        <v>175</v>
      </c>
      <c r="J61">
        <v>0.3</v>
      </c>
      <c r="K61" t="s">
        <v>118</v>
      </c>
      <c r="L61" t="s">
        <v>82</v>
      </c>
      <c r="M61" t="s">
        <v>162</v>
      </c>
      <c r="N61" t="s">
        <v>199</v>
      </c>
      <c r="P61" t="s">
        <v>85</v>
      </c>
      <c r="Q61" t="s">
        <v>113</v>
      </c>
      <c r="S61" t="s">
        <v>200</v>
      </c>
    </row>
    <row r="62" spans="3:19" hidden="1" x14ac:dyDescent="0.25">
      <c r="C62">
        <v>295029</v>
      </c>
      <c r="D62" t="s">
        <v>190</v>
      </c>
      <c r="E62" s="12" t="s">
        <v>77</v>
      </c>
      <c r="F62" s="12" t="s">
        <v>121</v>
      </c>
      <c r="G62" t="s">
        <v>87</v>
      </c>
      <c r="H62" t="s">
        <v>80</v>
      </c>
      <c r="I62" t="s">
        <v>150</v>
      </c>
      <c r="J62">
        <v>0</v>
      </c>
      <c r="K62" t="s">
        <v>136</v>
      </c>
      <c r="L62" t="s">
        <v>110</v>
      </c>
      <c r="M62" t="s">
        <v>111</v>
      </c>
      <c r="N62" t="s">
        <v>198</v>
      </c>
      <c r="P62" t="s">
        <v>85</v>
      </c>
      <c r="Q62" t="s">
        <v>113</v>
      </c>
    </row>
    <row r="63" spans="3:19" hidden="1" x14ac:dyDescent="0.25">
      <c r="C63">
        <v>4953</v>
      </c>
      <c r="D63" t="s">
        <v>190</v>
      </c>
      <c r="E63" s="12" t="s">
        <v>97</v>
      </c>
      <c r="F63" s="12" t="s">
        <v>108</v>
      </c>
      <c r="G63" t="s">
        <v>106</v>
      </c>
      <c r="H63" t="s">
        <v>99</v>
      </c>
      <c r="I63" t="s">
        <v>108</v>
      </c>
      <c r="J63">
        <v>208000</v>
      </c>
      <c r="K63" t="s">
        <v>109</v>
      </c>
      <c r="L63" t="s">
        <v>110</v>
      </c>
      <c r="M63" t="s">
        <v>162</v>
      </c>
      <c r="N63" t="s">
        <v>125</v>
      </c>
      <c r="P63" t="s">
        <v>85</v>
      </c>
      <c r="Q63" t="s">
        <v>113</v>
      </c>
      <c r="R63" t="s">
        <v>201</v>
      </c>
      <c r="S63" t="s">
        <v>202</v>
      </c>
    </row>
    <row r="64" spans="3:19" hidden="1" x14ac:dyDescent="0.25">
      <c r="C64">
        <v>4980</v>
      </c>
      <c r="D64" t="s">
        <v>190</v>
      </c>
      <c r="E64" s="12" t="s">
        <v>97</v>
      </c>
      <c r="F64" s="12" t="s">
        <v>135</v>
      </c>
      <c r="G64" t="s">
        <v>106</v>
      </c>
      <c r="H64" t="s">
        <v>99</v>
      </c>
      <c r="I64" t="s">
        <v>135</v>
      </c>
      <c r="J64">
        <v>604.1</v>
      </c>
      <c r="K64" t="s">
        <v>194</v>
      </c>
      <c r="L64" t="s">
        <v>82</v>
      </c>
      <c r="M64" t="s">
        <v>162</v>
      </c>
      <c r="N64" t="s">
        <v>125</v>
      </c>
      <c r="P64" t="s">
        <v>85</v>
      </c>
      <c r="Q64" t="s">
        <v>113</v>
      </c>
      <c r="S64" t="s">
        <v>203</v>
      </c>
    </row>
    <row r="65" spans="3:19" hidden="1" x14ac:dyDescent="0.25">
      <c r="C65">
        <v>5013</v>
      </c>
      <c r="D65" t="s">
        <v>190</v>
      </c>
      <c r="E65" s="12" t="s">
        <v>97</v>
      </c>
      <c r="F65" s="12" t="s">
        <v>141</v>
      </c>
      <c r="G65" t="s">
        <v>106</v>
      </c>
      <c r="H65" t="s">
        <v>99</v>
      </c>
      <c r="I65" t="s">
        <v>142</v>
      </c>
      <c r="J65">
        <v>0</v>
      </c>
      <c r="K65" t="s">
        <v>143</v>
      </c>
      <c r="L65" t="s">
        <v>82</v>
      </c>
      <c r="M65" t="s">
        <v>129</v>
      </c>
      <c r="N65" t="s">
        <v>125</v>
      </c>
      <c r="P65" t="s">
        <v>85</v>
      </c>
      <c r="Q65" t="s">
        <v>113</v>
      </c>
    </row>
    <row r="66" spans="3:19" hidden="1" x14ac:dyDescent="0.25">
      <c r="C66">
        <v>5039</v>
      </c>
      <c r="D66" t="s">
        <v>190</v>
      </c>
      <c r="E66" s="12" t="s">
        <v>97</v>
      </c>
      <c r="F66" s="12" t="s">
        <v>116</v>
      </c>
      <c r="G66" t="s">
        <v>106</v>
      </c>
      <c r="H66" t="s">
        <v>99</v>
      </c>
      <c r="I66" t="s">
        <v>175</v>
      </c>
      <c r="J66">
        <v>10.573700000000001</v>
      </c>
      <c r="K66" t="s">
        <v>118</v>
      </c>
      <c r="L66" t="s">
        <v>82</v>
      </c>
      <c r="M66" t="s">
        <v>162</v>
      </c>
      <c r="N66" t="s">
        <v>125</v>
      </c>
      <c r="P66" t="s">
        <v>85</v>
      </c>
      <c r="Q66" t="s">
        <v>113</v>
      </c>
    </row>
    <row r="67" spans="3:19" hidden="1" x14ac:dyDescent="0.25">
      <c r="C67">
        <v>291428</v>
      </c>
      <c r="D67" t="s">
        <v>204</v>
      </c>
      <c r="E67" s="12" t="s">
        <v>77</v>
      </c>
      <c r="F67" s="12" t="s">
        <v>108</v>
      </c>
      <c r="G67" t="s">
        <v>87</v>
      </c>
      <c r="H67" t="s">
        <v>80</v>
      </c>
      <c r="I67" t="s">
        <v>108</v>
      </c>
      <c r="J67">
        <v>24291</v>
      </c>
      <c r="K67" t="s">
        <v>109</v>
      </c>
      <c r="L67" t="s">
        <v>110</v>
      </c>
      <c r="M67" t="s">
        <v>111</v>
      </c>
      <c r="N67" t="s">
        <v>205</v>
      </c>
      <c r="P67" t="s">
        <v>85</v>
      </c>
      <c r="Q67" t="s">
        <v>113</v>
      </c>
      <c r="S67" t="s">
        <v>206</v>
      </c>
    </row>
    <row r="68" spans="3:19" hidden="1" x14ac:dyDescent="0.25">
      <c r="C68">
        <v>1590442</v>
      </c>
      <c r="D68" t="s">
        <v>204</v>
      </c>
      <c r="E68" s="12" t="s">
        <v>77</v>
      </c>
      <c r="F68" s="12" t="s">
        <v>135</v>
      </c>
      <c r="G68" t="s">
        <v>87</v>
      </c>
      <c r="H68" t="s">
        <v>80</v>
      </c>
      <c r="I68" t="s">
        <v>135</v>
      </c>
      <c r="J68">
        <v>976.71025822000001</v>
      </c>
      <c r="K68" t="s">
        <v>136</v>
      </c>
      <c r="L68" t="s">
        <v>82</v>
      </c>
      <c r="M68" t="s">
        <v>83</v>
      </c>
      <c r="N68" t="s">
        <v>119</v>
      </c>
      <c r="P68" t="s">
        <v>85</v>
      </c>
      <c r="Q68" t="s">
        <v>119</v>
      </c>
      <c r="R68" t="s">
        <v>137</v>
      </c>
    </row>
    <row r="69" spans="3:19" hidden="1" x14ac:dyDescent="0.25">
      <c r="C69">
        <v>291430</v>
      </c>
      <c r="D69" t="s">
        <v>204</v>
      </c>
      <c r="E69" s="12" t="s">
        <v>77</v>
      </c>
      <c r="F69" s="12" t="s">
        <v>141</v>
      </c>
      <c r="G69" t="s">
        <v>87</v>
      </c>
      <c r="H69" t="s">
        <v>80</v>
      </c>
      <c r="I69" t="s">
        <v>147</v>
      </c>
      <c r="J69">
        <v>0</v>
      </c>
      <c r="K69" t="s">
        <v>207</v>
      </c>
      <c r="L69" t="s">
        <v>110</v>
      </c>
      <c r="M69" t="s">
        <v>111</v>
      </c>
      <c r="N69" t="s">
        <v>205</v>
      </c>
      <c r="P69" t="s">
        <v>85</v>
      </c>
      <c r="Q69" t="s">
        <v>113</v>
      </c>
    </row>
    <row r="70" spans="3:19" hidden="1" x14ac:dyDescent="0.25">
      <c r="C70">
        <v>1590450</v>
      </c>
      <c r="D70" t="s">
        <v>204</v>
      </c>
      <c r="E70" s="12" t="s">
        <v>77</v>
      </c>
      <c r="F70" s="12" t="s">
        <v>116</v>
      </c>
      <c r="G70" t="s">
        <v>87</v>
      </c>
      <c r="H70" t="s">
        <v>80</v>
      </c>
      <c r="I70" t="s">
        <v>117</v>
      </c>
      <c r="J70">
        <v>0.71041739999999998</v>
      </c>
      <c r="K70" t="s">
        <v>118</v>
      </c>
      <c r="L70" t="s">
        <v>82</v>
      </c>
      <c r="M70" t="s">
        <v>83</v>
      </c>
      <c r="N70" t="s">
        <v>119</v>
      </c>
      <c r="P70" t="s">
        <v>85</v>
      </c>
      <c r="Q70" t="s">
        <v>119</v>
      </c>
      <c r="R70" t="s">
        <v>120</v>
      </c>
    </row>
    <row r="71" spans="3:19" hidden="1" x14ac:dyDescent="0.25">
      <c r="C71">
        <v>291432</v>
      </c>
      <c r="D71" t="s">
        <v>204</v>
      </c>
      <c r="E71" s="12" t="s">
        <v>77</v>
      </c>
      <c r="F71" s="12" t="s">
        <v>121</v>
      </c>
      <c r="G71" t="s">
        <v>87</v>
      </c>
      <c r="H71" t="s">
        <v>80</v>
      </c>
      <c r="I71" t="s">
        <v>150</v>
      </c>
      <c r="J71">
        <v>0</v>
      </c>
      <c r="K71" t="s">
        <v>207</v>
      </c>
      <c r="L71" t="s">
        <v>110</v>
      </c>
      <c r="M71" t="s">
        <v>111</v>
      </c>
      <c r="N71" t="s">
        <v>205</v>
      </c>
      <c r="P71" t="s">
        <v>85</v>
      </c>
      <c r="Q71" t="s">
        <v>113</v>
      </c>
    </row>
    <row r="72" spans="3:19" hidden="1" x14ac:dyDescent="0.25">
      <c r="C72">
        <v>4950</v>
      </c>
      <c r="D72" t="s">
        <v>204</v>
      </c>
      <c r="E72" s="12" t="s">
        <v>97</v>
      </c>
      <c r="F72" s="12" t="s">
        <v>108</v>
      </c>
      <c r="G72" t="s">
        <v>106</v>
      </c>
      <c r="H72" t="s">
        <v>99</v>
      </c>
      <c r="I72" t="s">
        <v>108</v>
      </c>
      <c r="J72">
        <v>22298</v>
      </c>
      <c r="K72" t="s">
        <v>109</v>
      </c>
      <c r="L72" t="s">
        <v>110</v>
      </c>
      <c r="M72" t="s">
        <v>162</v>
      </c>
      <c r="N72" t="s">
        <v>125</v>
      </c>
      <c r="P72" t="s">
        <v>85</v>
      </c>
      <c r="Q72" t="s">
        <v>113</v>
      </c>
      <c r="S72" t="s">
        <v>208</v>
      </c>
    </row>
    <row r="73" spans="3:19" hidden="1" x14ac:dyDescent="0.25">
      <c r="C73">
        <v>4977</v>
      </c>
      <c r="D73" t="s">
        <v>204</v>
      </c>
      <c r="E73" s="12" t="s">
        <v>97</v>
      </c>
      <c r="F73" s="12" t="s">
        <v>135</v>
      </c>
      <c r="G73" t="s">
        <v>106</v>
      </c>
      <c r="H73" t="s">
        <v>99</v>
      </c>
      <c r="I73" t="s">
        <v>135</v>
      </c>
      <c r="J73">
        <v>60385537.439999998</v>
      </c>
      <c r="K73" t="s">
        <v>140</v>
      </c>
      <c r="L73" t="s">
        <v>82</v>
      </c>
      <c r="M73" t="s">
        <v>129</v>
      </c>
      <c r="N73" t="s">
        <v>125</v>
      </c>
      <c r="P73" t="s">
        <v>85</v>
      </c>
      <c r="Q73" t="s">
        <v>113</v>
      </c>
    </row>
    <row r="74" spans="3:19" hidden="1" x14ac:dyDescent="0.25">
      <c r="C74">
        <v>5010</v>
      </c>
      <c r="D74" t="s">
        <v>204</v>
      </c>
      <c r="E74" s="12" t="s">
        <v>97</v>
      </c>
      <c r="F74" s="12" t="s">
        <v>141</v>
      </c>
      <c r="G74" t="s">
        <v>106</v>
      </c>
      <c r="H74" t="s">
        <v>99</v>
      </c>
      <c r="I74" t="s">
        <v>187</v>
      </c>
      <c r="J74">
        <v>0</v>
      </c>
      <c r="K74" t="s">
        <v>209</v>
      </c>
      <c r="L74" t="s">
        <v>110</v>
      </c>
      <c r="M74" t="s">
        <v>129</v>
      </c>
      <c r="N74" t="s">
        <v>125</v>
      </c>
      <c r="P74" t="s">
        <v>85</v>
      </c>
      <c r="Q74" t="s">
        <v>113</v>
      </c>
    </row>
    <row r="75" spans="3:19" hidden="1" x14ac:dyDescent="0.25">
      <c r="C75">
        <v>5036</v>
      </c>
      <c r="D75" t="s">
        <v>204</v>
      </c>
      <c r="E75" s="12" t="s">
        <v>97</v>
      </c>
      <c r="F75" s="12" t="s">
        <v>116</v>
      </c>
      <c r="G75" t="s">
        <v>106</v>
      </c>
      <c r="H75" t="s">
        <v>99</v>
      </c>
      <c r="I75" t="s">
        <v>128</v>
      </c>
      <c r="J75">
        <v>0.71040000000000003</v>
      </c>
      <c r="K75" t="s">
        <v>118</v>
      </c>
      <c r="L75" t="s">
        <v>82</v>
      </c>
      <c r="M75" t="s">
        <v>129</v>
      </c>
      <c r="N75" t="s">
        <v>125</v>
      </c>
      <c r="P75" t="s">
        <v>85</v>
      </c>
      <c r="Q75" t="s">
        <v>113</v>
      </c>
    </row>
    <row r="76" spans="3:19" hidden="1" x14ac:dyDescent="0.25">
      <c r="C76">
        <v>237670</v>
      </c>
      <c r="D76" t="s">
        <v>210</v>
      </c>
      <c r="E76" s="12" t="s">
        <v>77</v>
      </c>
      <c r="F76" s="12" t="s">
        <v>108</v>
      </c>
      <c r="G76" t="s">
        <v>87</v>
      </c>
      <c r="H76" t="s">
        <v>80</v>
      </c>
      <c r="I76" t="s">
        <v>108</v>
      </c>
      <c r="J76">
        <v>24867</v>
      </c>
      <c r="K76" t="s">
        <v>109</v>
      </c>
      <c r="L76" t="s">
        <v>110</v>
      </c>
      <c r="M76" t="s">
        <v>111</v>
      </c>
      <c r="N76" t="s">
        <v>211</v>
      </c>
      <c r="P76" t="s">
        <v>85</v>
      </c>
      <c r="Q76" t="s">
        <v>113</v>
      </c>
      <c r="S76" t="s">
        <v>212</v>
      </c>
    </row>
    <row r="77" spans="3:19" hidden="1" x14ac:dyDescent="0.25">
      <c r="C77">
        <v>237668</v>
      </c>
      <c r="D77" t="s">
        <v>210</v>
      </c>
      <c r="E77" s="12" t="s">
        <v>77</v>
      </c>
      <c r="F77" s="12" t="s">
        <v>135</v>
      </c>
      <c r="G77" t="s">
        <v>87</v>
      </c>
      <c r="H77" t="s">
        <v>80</v>
      </c>
      <c r="I77" t="s">
        <v>135</v>
      </c>
      <c r="J77">
        <v>0</v>
      </c>
      <c r="K77" t="s">
        <v>207</v>
      </c>
      <c r="L77" t="s">
        <v>110</v>
      </c>
      <c r="M77" t="s">
        <v>111</v>
      </c>
      <c r="N77" t="s">
        <v>213</v>
      </c>
      <c r="P77" t="s">
        <v>85</v>
      </c>
      <c r="Q77" t="s">
        <v>113</v>
      </c>
    </row>
    <row r="78" spans="3:19" hidden="1" x14ac:dyDescent="0.25">
      <c r="C78">
        <v>237666</v>
      </c>
      <c r="D78" t="s">
        <v>210</v>
      </c>
      <c r="E78" s="12" t="s">
        <v>77</v>
      </c>
      <c r="F78" s="12" t="s">
        <v>141</v>
      </c>
      <c r="G78" t="s">
        <v>87</v>
      </c>
      <c r="H78" t="s">
        <v>80</v>
      </c>
      <c r="I78" t="s">
        <v>142</v>
      </c>
      <c r="J78">
        <v>0</v>
      </c>
      <c r="K78" t="s">
        <v>154</v>
      </c>
      <c r="L78" t="s">
        <v>110</v>
      </c>
      <c r="M78" t="s">
        <v>111</v>
      </c>
      <c r="N78" t="s">
        <v>214</v>
      </c>
      <c r="P78" t="s">
        <v>85</v>
      </c>
      <c r="Q78" t="s">
        <v>113</v>
      </c>
    </row>
    <row r="79" spans="3:19" hidden="1" x14ac:dyDescent="0.25">
      <c r="C79">
        <v>237672</v>
      </c>
      <c r="D79" t="s">
        <v>210</v>
      </c>
      <c r="E79" s="12" t="s">
        <v>77</v>
      </c>
      <c r="F79" s="12" t="s">
        <v>116</v>
      </c>
      <c r="G79" t="s">
        <v>87</v>
      </c>
      <c r="H79" t="s">
        <v>80</v>
      </c>
      <c r="I79" t="s">
        <v>175</v>
      </c>
      <c r="J79">
        <v>0</v>
      </c>
      <c r="K79" t="s">
        <v>215</v>
      </c>
      <c r="L79" t="s">
        <v>110</v>
      </c>
      <c r="M79" t="s">
        <v>111</v>
      </c>
      <c r="N79" t="s">
        <v>216</v>
      </c>
      <c r="P79" t="s">
        <v>85</v>
      </c>
      <c r="Q79" t="s">
        <v>113</v>
      </c>
      <c r="R79" t="s">
        <v>217</v>
      </c>
    </row>
    <row r="80" spans="3:19" hidden="1" x14ac:dyDescent="0.25">
      <c r="C80">
        <v>1590436</v>
      </c>
      <c r="D80" t="s">
        <v>210</v>
      </c>
      <c r="E80" s="12" t="s">
        <v>77</v>
      </c>
      <c r="F80" s="12" t="s">
        <v>116</v>
      </c>
      <c r="G80" t="s">
        <v>87</v>
      </c>
      <c r="H80" t="s">
        <v>80</v>
      </c>
      <c r="I80" t="s">
        <v>218</v>
      </c>
      <c r="J80">
        <v>7.2454178999999996</v>
      </c>
      <c r="K80" t="s">
        <v>118</v>
      </c>
      <c r="L80" t="s">
        <v>82</v>
      </c>
      <c r="M80" t="s">
        <v>83</v>
      </c>
      <c r="N80" t="s">
        <v>119</v>
      </c>
      <c r="P80" t="s">
        <v>85</v>
      </c>
      <c r="Q80" t="s">
        <v>119</v>
      </c>
      <c r="R80" t="s">
        <v>219</v>
      </c>
    </row>
    <row r="81" spans="3:19" hidden="1" x14ac:dyDescent="0.25">
      <c r="C81">
        <v>4961</v>
      </c>
      <c r="D81" t="s">
        <v>210</v>
      </c>
      <c r="E81" s="12" t="s">
        <v>97</v>
      </c>
      <c r="F81" s="12" t="s">
        <v>108</v>
      </c>
      <c r="G81" t="s">
        <v>106</v>
      </c>
      <c r="H81" t="s">
        <v>99</v>
      </c>
      <c r="I81" t="s">
        <v>108</v>
      </c>
      <c r="J81">
        <v>24450</v>
      </c>
      <c r="K81" t="s">
        <v>109</v>
      </c>
      <c r="L81" t="s">
        <v>110</v>
      </c>
      <c r="M81" t="s">
        <v>111</v>
      </c>
      <c r="N81" t="s">
        <v>125</v>
      </c>
      <c r="P81" t="s">
        <v>85</v>
      </c>
      <c r="Q81" t="s">
        <v>113</v>
      </c>
      <c r="S81" t="s">
        <v>220</v>
      </c>
    </row>
    <row r="82" spans="3:19" hidden="1" x14ac:dyDescent="0.25">
      <c r="C82">
        <v>4987</v>
      </c>
      <c r="D82" t="s">
        <v>210</v>
      </c>
      <c r="E82" s="12" t="s">
        <v>97</v>
      </c>
      <c r="F82" s="12" t="s">
        <v>135</v>
      </c>
      <c r="G82" t="s">
        <v>106</v>
      </c>
      <c r="H82" t="s">
        <v>99</v>
      </c>
      <c r="I82" t="s">
        <v>135</v>
      </c>
      <c r="J82">
        <v>0</v>
      </c>
      <c r="K82" t="s">
        <v>209</v>
      </c>
      <c r="L82" t="s">
        <v>110</v>
      </c>
      <c r="M82" t="s">
        <v>129</v>
      </c>
      <c r="N82" t="s">
        <v>125</v>
      </c>
      <c r="P82" t="s">
        <v>85</v>
      </c>
      <c r="Q82" t="s">
        <v>113</v>
      </c>
    </row>
    <row r="83" spans="3:19" hidden="1" x14ac:dyDescent="0.25">
      <c r="C83">
        <v>5020</v>
      </c>
      <c r="D83" t="s">
        <v>210</v>
      </c>
      <c r="E83" s="12" t="s">
        <v>97</v>
      </c>
      <c r="F83" s="12" t="s">
        <v>141</v>
      </c>
      <c r="G83" t="s">
        <v>106</v>
      </c>
      <c r="H83" t="s">
        <v>99</v>
      </c>
      <c r="I83" t="s">
        <v>187</v>
      </c>
      <c r="J83">
        <v>0</v>
      </c>
      <c r="K83" t="s">
        <v>143</v>
      </c>
      <c r="L83" t="s">
        <v>110</v>
      </c>
      <c r="M83" t="s">
        <v>129</v>
      </c>
      <c r="N83" t="s">
        <v>125</v>
      </c>
      <c r="P83" t="s">
        <v>85</v>
      </c>
      <c r="Q83" t="s">
        <v>113</v>
      </c>
    </row>
    <row r="84" spans="3:19" hidden="1" x14ac:dyDescent="0.25">
      <c r="C84">
        <v>5046</v>
      </c>
      <c r="D84" t="s">
        <v>210</v>
      </c>
      <c r="E84" s="12" t="s">
        <v>97</v>
      </c>
      <c r="F84" s="12" t="s">
        <v>116</v>
      </c>
      <c r="G84" t="s">
        <v>106</v>
      </c>
      <c r="H84" t="s">
        <v>99</v>
      </c>
      <c r="I84" t="s">
        <v>175</v>
      </c>
      <c r="J84">
        <v>7.2454000000000001</v>
      </c>
      <c r="K84" t="s">
        <v>118</v>
      </c>
      <c r="L84" t="s">
        <v>82</v>
      </c>
      <c r="M84" t="s">
        <v>162</v>
      </c>
      <c r="N84" t="s">
        <v>125</v>
      </c>
      <c r="P84" t="s">
        <v>85</v>
      </c>
      <c r="Q84" t="s">
        <v>113</v>
      </c>
    </row>
    <row r="85" spans="3:19" hidden="1" x14ac:dyDescent="0.25">
      <c r="C85">
        <v>237705</v>
      </c>
      <c r="D85" t="s">
        <v>221</v>
      </c>
      <c r="E85" s="12" t="s">
        <v>77</v>
      </c>
      <c r="F85" s="12" t="s">
        <v>108</v>
      </c>
      <c r="G85" t="s">
        <v>87</v>
      </c>
      <c r="H85" t="s">
        <v>80</v>
      </c>
      <c r="I85" t="s">
        <v>108</v>
      </c>
      <c r="J85">
        <v>12116</v>
      </c>
      <c r="K85" t="s">
        <v>109</v>
      </c>
      <c r="L85" t="s">
        <v>110</v>
      </c>
      <c r="M85" t="s">
        <v>111</v>
      </c>
      <c r="N85" t="s">
        <v>222</v>
      </c>
      <c r="P85" t="s">
        <v>85</v>
      </c>
      <c r="Q85" t="s">
        <v>113</v>
      </c>
      <c r="S85" t="s">
        <v>223</v>
      </c>
    </row>
    <row r="86" spans="3:19" hidden="1" x14ac:dyDescent="0.25">
      <c r="C86">
        <v>237700</v>
      </c>
      <c r="D86" t="s">
        <v>221</v>
      </c>
      <c r="E86" s="12" t="s">
        <v>77</v>
      </c>
      <c r="F86" s="12" t="s">
        <v>135</v>
      </c>
      <c r="G86" t="s">
        <v>87</v>
      </c>
      <c r="H86" t="s">
        <v>80</v>
      </c>
      <c r="I86" t="s">
        <v>135</v>
      </c>
      <c r="J86">
        <v>0</v>
      </c>
      <c r="K86" t="s">
        <v>207</v>
      </c>
      <c r="L86" t="s">
        <v>110</v>
      </c>
      <c r="M86" t="s">
        <v>111</v>
      </c>
      <c r="N86" t="s">
        <v>224</v>
      </c>
      <c r="P86" t="s">
        <v>85</v>
      </c>
      <c r="Q86" t="s">
        <v>113</v>
      </c>
    </row>
    <row r="87" spans="3:19" hidden="1" x14ac:dyDescent="0.25">
      <c r="C87">
        <v>1590460</v>
      </c>
      <c r="D87" t="s">
        <v>221</v>
      </c>
      <c r="E87" s="12" t="s">
        <v>77</v>
      </c>
      <c r="F87" s="12" t="s">
        <v>116</v>
      </c>
      <c r="G87" t="s">
        <v>87</v>
      </c>
      <c r="H87" t="s">
        <v>80</v>
      </c>
      <c r="I87" t="s">
        <v>117</v>
      </c>
      <c r="J87">
        <v>1.34764028</v>
      </c>
      <c r="K87" t="s">
        <v>118</v>
      </c>
      <c r="L87" t="s">
        <v>82</v>
      </c>
      <c r="M87" t="s">
        <v>83</v>
      </c>
      <c r="N87" t="s">
        <v>119</v>
      </c>
      <c r="P87" t="s">
        <v>85</v>
      </c>
      <c r="Q87" t="s">
        <v>119</v>
      </c>
      <c r="R87" t="s">
        <v>120</v>
      </c>
    </row>
    <row r="88" spans="3:19" hidden="1" x14ac:dyDescent="0.25">
      <c r="C88">
        <v>4960</v>
      </c>
      <c r="D88" t="s">
        <v>221</v>
      </c>
      <c r="E88" s="12" t="s">
        <v>97</v>
      </c>
      <c r="F88" s="12" t="s">
        <v>108</v>
      </c>
      <c r="G88" t="s">
        <v>106</v>
      </c>
      <c r="H88" t="s">
        <v>99</v>
      </c>
      <c r="I88" t="s">
        <v>108</v>
      </c>
      <c r="J88">
        <v>16408</v>
      </c>
      <c r="K88" t="s">
        <v>109</v>
      </c>
      <c r="L88" t="s">
        <v>110</v>
      </c>
      <c r="M88" t="s">
        <v>111</v>
      </c>
      <c r="N88" t="s">
        <v>125</v>
      </c>
      <c r="P88" t="s">
        <v>85</v>
      </c>
      <c r="Q88" t="s">
        <v>113</v>
      </c>
      <c r="S88" t="s">
        <v>225</v>
      </c>
    </row>
    <row r="89" spans="3:19" hidden="1" x14ac:dyDescent="0.25">
      <c r="C89">
        <v>4986</v>
      </c>
      <c r="D89" t="s">
        <v>221</v>
      </c>
      <c r="E89" s="12" t="s">
        <v>97</v>
      </c>
      <c r="F89" s="12" t="s">
        <v>135</v>
      </c>
      <c r="G89" t="s">
        <v>106</v>
      </c>
      <c r="H89" t="s">
        <v>99</v>
      </c>
      <c r="I89" t="s">
        <v>135</v>
      </c>
      <c r="J89">
        <v>0</v>
      </c>
      <c r="K89" t="s">
        <v>136</v>
      </c>
      <c r="L89" t="s">
        <v>110</v>
      </c>
      <c r="M89" t="s">
        <v>129</v>
      </c>
      <c r="N89" t="s">
        <v>125</v>
      </c>
      <c r="P89" t="s">
        <v>85</v>
      </c>
      <c r="Q89" t="s">
        <v>113</v>
      </c>
    </row>
    <row r="90" spans="3:19" hidden="1" x14ac:dyDescent="0.25">
      <c r="C90">
        <v>5045</v>
      </c>
      <c r="D90" t="s">
        <v>221</v>
      </c>
      <c r="E90" s="12" t="s">
        <v>97</v>
      </c>
      <c r="F90" s="12" t="s">
        <v>116</v>
      </c>
      <c r="G90" t="s">
        <v>106</v>
      </c>
      <c r="H90" t="s">
        <v>99</v>
      </c>
      <c r="I90" t="s">
        <v>128</v>
      </c>
      <c r="J90">
        <v>1.3475999999999999</v>
      </c>
      <c r="K90" t="s">
        <v>118</v>
      </c>
      <c r="L90" t="s">
        <v>82</v>
      </c>
      <c r="M90" t="s">
        <v>129</v>
      </c>
      <c r="N90" t="s">
        <v>125</v>
      </c>
      <c r="P90" t="s">
        <v>85</v>
      </c>
      <c r="Q90" t="s">
        <v>113</v>
      </c>
    </row>
    <row r="91" spans="3:19" hidden="1" x14ac:dyDescent="0.25">
      <c r="C91">
        <v>1590448</v>
      </c>
      <c r="D91" t="s">
        <v>226</v>
      </c>
      <c r="E91" s="12" t="s">
        <v>77</v>
      </c>
      <c r="F91" s="12" t="s">
        <v>108</v>
      </c>
      <c r="G91" t="s">
        <v>87</v>
      </c>
      <c r="H91" t="s">
        <v>80</v>
      </c>
      <c r="I91" t="s">
        <v>108</v>
      </c>
      <c r="J91">
        <v>645.22071602999995</v>
      </c>
      <c r="K91" t="s">
        <v>109</v>
      </c>
      <c r="L91" t="s">
        <v>82</v>
      </c>
      <c r="M91" t="s">
        <v>83</v>
      </c>
      <c r="N91" t="s">
        <v>119</v>
      </c>
      <c r="P91" t="s">
        <v>85</v>
      </c>
      <c r="Q91" t="s">
        <v>119</v>
      </c>
      <c r="R91" t="s">
        <v>137</v>
      </c>
    </row>
    <row r="92" spans="3:19" hidden="1" x14ac:dyDescent="0.25">
      <c r="C92">
        <v>237696</v>
      </c>
      <c r="D92" t="s">
        <v>226</v>
      </c>
      <c r="E92" s="12" t="s">
        <v>77</v>
      </c>
      <c r="F92" s="12" t="s">
        <v>135</v>
      </c>
      <c r="G92" t="s">
        <v>87</v>
      </c>
      <c r="H92" t="s">
        <v>80</v>
      </c>
      <c r="I92" t="s">
        <v>135</v>
      </c>
      <c r="J92">
        <v>0</v>
      </c>
      <c r="K92" t="s">
        <v>140</v>
      </c>
      <c r="L92" t="s">
        <v>110</v>
      </c>
      <c r="M92" t="s">
        <v>111</v>
      </c>
      <c r="N92" t="s">
        <v>227</v>
      </c>
      <c r="P92" t="s">
        <v>85</v>
      </c>
      <c r="Q92" t="s">
        <v>113</v>
      </c>
    </row>
    <row r="93" spans="3:19" hidden="1" x14ac:dyDescent="0.25">
      <c r="C93">
        <v>237698</v>
      </c>
      <c r="D93" t="s">
        <v>226</v>
      </c>
      <c r="E93" s="12" t="s">
        <v>77</v>
      </c>
      <c r="F93" s="12" t="s">
        <v>141</v>
      </c>
      <c r="G93" t="s">
        <v>87</v>
      </c>
      <c r="H93" t="s">
        <v>80</v>
      </c>
      <c r="I93" t="s">
        <v>142</v>
      </c>
      <c r="J93">
        <v>0</v>
      </c>
      <c r="K93" t="s">
        <v>140</v>
      </c>
      <c r="L93" t="s">
        <v>110</v>
      </c>
      <c r="M93" t="s">
        <v>111</v>
      </c>
      <c r="N93" t="s">
        <v>228</v>
      </c>
      <c r="P93" t="s">
        <v>85</v>
      </c>
      <c r="Q93" t="s">
        <v>113</v>
      </c>
    </row>
    <row r="94" spans="3:19" hidden="1" x14ac:dyDescent="0.25">
      <c r="C94">
        <v>1590459</v>
      </c>
      <c r="D94" t="s">
        <v>226</v>
      </c>
      <c r="E94" s="12" t="s">
        <v>77</v>
      </c>
      <c r="F94" s="12" t="s">
        <v>116</v>
      </c>
      <c r="G94" t="s">
        <v>87</v>
      </c>
      <c r="H94" t="s">
        <v>80</v>
      </c>
      <c r="I94" t="s">
        <v>117</v>
      </c>
      <c r="J94">
        <v>0.46930603999999998</v>
      </c>
      <c r="K94" t="s">
        <v>118</v>
      </c>
      <c r="L94" t="s">
        <v>82</v>
      </c>
      <c r="M94" t="s">
        <v>83</v>
      </c>
      <c r="N94" t="s">
        <v>119</v>
      </c>
      <c r="P94" t="s">
        <v>85</v>
      </c>
      <c r="Q94" t="s">
        <v>119</v>
      </c>
      <c r="R94" t="s">
        <v>120</v>
      </c>
    </row>
    <row r="95" spans="3:19" hidden="1" x14ac:dyDescent="0.25">
      <c r="C95">
        <v>4955</v>
      </c>
      <c r="D95" t="s">
        <v>226</v>
      </c>
      <c r="E95" s="12" t="s">
        <v>97</v>
      </c>
      <c r="F95" s="12" t="s">
        <v>108</v>
      </c>
      <c r="G95" t="s">
        <v>106</v>
      </c>
      <c r="H95" t="s">
        <v>99</v>
      </c>
      <c r="I95" t="s">
        <v>108</v>
      </c>
      <c r="J95">
        <v>26820.33</v>
      </c>
      <c r="K95" t="s">
        <v>109</v>
      </c>
      <c r="L95" t="s">
        <v>82</v>
      </c>
      <c r="M95" t="s">
        <v>129</v>
      </c>
      <c r="N95" t="s">
        <v>125</v>
      </c>
      <c r="P95" t="s">
        <v>85</v>
      </c>
      <c r="Q95" t="s">
        <v>113</v>
      </c>
    </row>
    <row r="96" spans="3:19" hidden="1" x14ac:dyDescent="0.25">
      <c r="C96">
        <v>4982</v>
      </c>
      <c r="D96" t="s">
        <v>226</v>
      </c>
      <c r="E96" s="12" t="s">
        <v>97</v>
      </c>
      <c r="F96" s="12" t="s">
        <v>135</v>
      </c>
      <c r="G96" t="s">
        <v>106</v>
      </c>
      <c r="H96" t="s">
        <v>99</v>
      </c>
      <c r="I96" t="s">
        <v>135</v>
      </c>
      <c r="J96">
        <v>0</v>
      </c>
      <c r="K96" t="s">
        <v>136</v>
      </c>
      <c r="L96" t="s">
        <v>82</v>
      </c>
      <c r="M96" t="s">
        <v>129</v>
      </c>
      <c r="N96" t="s">
        <v>125</v>
      </c>
      <c r="P96" t="s">
        <v>85</v>
      </c>
      <c r="Q96" t="s">
        <v>113</v>
      </c>
    </row>
    <row r="97" spans="3:19" hidden="1" x14ac:dyDescent="0.25">
      <c r="C97">
        <v>5016</v>
      </c>
      <c r="D97" t="s">
        <v>226</v>
      </c>
      <c r="E97" s="12" t="s">
        <v>97</v>
      </c>
      <c r="F97" s="12" t="s">
        <v>141</v>
      </c>
      <c r="G97" t="s">
        <v>106</v>
      </c>
      <c r="H97" t="s">
        <v>99</v>
      </c>
      <c r="I97" t="s">
        <v>142</v>
      </c>
      <c r="J97">
        <v>0</v>
      </c>
      <c r="K97" t="s">
        <v>143</v>
      </c>
      <c r="L97" t="s">
        <v>82</v>
      </c>
      <c r="M97" t="s">
        <v>129</v>
      </c>
      <c r="N97" t="s">
        <v>125</v>
      </c>
      <c r="P97" t="s">
        <v>85</v>
      </c>
      <c r="Q97" t="s">
        <v>113</v>
      </c>
    </row>
    <row r="98" spans="3:19" hidden="1" x14ac:dyDescent="0.25">
      <c r="C98">
        <v>5041</v>
      </c>
      <c r="D98" t="s">
        <v>226</v>
      </c>
      <c r="E98" s="12" t="s">
        <v>97</v>
      </c>
      <c r="F98" s="12" t="s">
        <v>116</v>
      </c>
      <c r="G98" t="s">
        <v>106</v>
      </c>
      <c r="H98" t="s">
        <v>99</v>
      </c>
      <c r="I98" t="s">
        <v>128</v>
      </c>
      <c r="J98">
        <v>0.47</v>
      </c>
      <c r="K98" t="s">
        <v>118</v>
      </c>
      <c r="L98" t="s">
        <v>82</v>
      </c>
      <c r="M98" t="s">
        <v>129</v>
      </c>
      <c r="N98" t="s">
        <v>125</v>
      </c>
      <c r="P98" t="s">
        <v>85</v>
      </c>
      <c r="Q98" t="s">
        <v>113</v>
      </c>
    </row>
    <row r="99" spans="3:19" hidden="1" x14ac:dyDescent="0.25">
      <c r="C99">
        <v>237709</v>
      </c>
      <c r="D99" t="s">
        <v>229</v>
      </c>
      <c r="E99" s="12" t="s">
        <v>77</v>
      </c>
      <c r="F99" s="12" t="s">
        <v>108</v>
      </c>
      <c r="G99" t="s">
        <v>87</v>
      </c>
      <c r="H99" t="s">
        <v>80</v>
      </c>
      <c r="I99" t="s">
        <v>108</v>
      </c>
      <c r="J99">
        <v>15649</v>
      </c>
      <c r="K99" t="s">
        <v>109</v>
      </c>
      <c r="L99" t="s">
        <v>110</v>
      </c>
      <c r="M99" t="s">
        <v>111</v>
      </c>
      <c r="N99" t="s">
        <v>230</v>
      </c>
      <c r="P99" t="s">
        <v>85</v>
      </c>
      <c r="Q99" t="s">
        <v>113</v>
      </c>
      <c r="S99" t="s">
        <v>231</v>
      </c>
    </row>
    <row r="100" spans="3:19" hidden="1" x14ac:dyDescent="0.25">
      <c r="C100">
        <v>237707</v>
      </c>
      <c r="D100" t="s">
        <v>229</v>
      </c>
      <c r="E100" s="12" t="s">
        <v>77</v>
      </c>
      <c r="F100" s="12" t="s">
        <v>135</v>
      </c>
      <c r="G100" t="s">
        <v>87</v>
      </c>
      <c r="H100" t="s">
        <v>80</v>
      </c>
      <c r="I100" t="s">
        <v>135</v>
      </c>
      <c r="J100">
        <v>0</v>
      </c>
      <c r="K100" t="s">
        <v>140</v>
      </c>
      <c r="L100" t="s">
        <v>110</v>
      </c>
      <c r="M100" t="s">
        <v>111</v>
      </c>
      <c r="N100" t="s">
        <v>232</v>
      </c>
      <c r="P100" t="s">
        <v>85</v>
      </c>
      <c r="Q100" t="s">
        <v>113</v>
      </c>
    </row>
    <row r="101" spans="3:19" hidden="1" x14ac:dyDescent="0.25">
      <c r="C101">
        <v>1590458</v>
      </c>
      <c r="D101" t="s">
        <v>229</v>
      </c>
      <c r="E101" s="12" t="s">
        <v>77</v>
      </c>
      <c r="F101" s="12" t="s">
        <v>116</v>
      </c>
      <c r="G101" t="s">
        <v>87</v>
      </c>
      <c r="H101" t="s">
        <v>80</v>
      </c>
      <c r="I101" t="s">
        <v>117</v>
      </c>
      <c r="J101">
        <v>0.71041739999999998</v>
      </c>
      <c r="K101" t="s">
        <v>118</v>
      </c>
      <c r="L101" t="s">
        <v>82</v>
      </c>
      <c r="M101" t="s">
        <v>83</v>
      </c>
      <c r="N101" t="s">
        <v>119</v>
      </c>
      <c r="P101" t="s">
        <v>85</v>
      </c>
      <c r="Q101" t="s">
        <v>119</v>
      </c>
      <c r="R101" t="s">
        <v>120</v>
      </c>
    </row>
    <row r="102" spans="3:19" hidden="1" x14ac:dyDescent="0.25">
      <c r="C102">
        <v>4951</v>
      </c>
      <c r="D102" t="s">
        <v>229</v>
      </c>
      <c r="E102" s="12" t="s">
        <v>97</v>
      </c>
      <c r="F102" s="12" t="s">
        <v>108</v>
      </c>
      <c r="G102" t="s">
        <v>106</v>
      </c>
      <c r="H102" t="s">
        <v>99</v>
      </c>
      <c r="I102" t="s">
        <v>108</v>
      </c>
      <c r="J102">
        <v>18731</v>
      </c>
      <c r="K102" t="s">
        <v>109</v>
      </c>
      <c r="L102" t="s">
        <v>110</v>
      </c>
      <c r="M102" t="s">
        <v>111</v>
      </c>
      <c r="N102" t="s">
        <v>125</v>
      </c>
      <c r="P102" t="s">
        <v>85</v>
      </c>
      <c r="Q102" t="s">
        <v>233</v>
      </c>
      <c r="S102" t="s">
        <v>234</v>
      </c>
    </row>
    <row r="103" spans="3:19" hidden="1" x14ac:dyDescent="0.25">
      <c r="C103">
        <v>4978</v>
      </c>
      <c r="D103" t="s">
        <v>229</v>
      </c>
      <c r="E103" s="12" t="s">
        <v>97</v>
      </c>
      <c r="F103" s="12" t="s">
        <v>135</v>
      </c>
      <c r="G103" t="s">
        <v>106</v>
      </c>
      <c r="H103" t="s">
        <v>99</v>
      </c>
      <c r="I103" t="s">
        <v>135</v>
      </c>
      <c r="J103">
        <v>0</v>
      </c>
      <c r="K103" t="s">
        <v>140</v>
      </c>
      <c r="L103" t="s">
        <v>82</v>
      </c>
      <c r="M103" t="s">
        <v>129</v>
      </c>
      <c r="N103" t="s">
        <v>125</v>
      </c>
      <c r="P103" t="s">
        <v>85</v>
      </c>
      <c r="Q103" t="s">
        <v>113</v>
      </c>
    </row>
    <row r="104" spans="3:19" hidden="1" x14ac:dyDescent="0.25">
      <c r="C104">
        <v>5011</v>
      </c>
      <c r="D104" t="s">
        <v>229</v>
      </c>
      <c r="E104" s="12" t="s">
        <v>97</v>
      </c>
      <c r="F104" s="12" t="s">
        <v>141</v>
      </c>
      <c r="G104" t="s">
        <v>106</v>
      </c>
      <c r="H104" t="s">
        <v>99</v>
      </c>
      <c r="I104" t="s">
        <v>142</v>
      </c>
      <c r="J104">
        <v>0</v>
      </c>
      <c r="K104" t="s">
        <v>143</v>
      </c>
      <c r="L104" t="s">
        <v>82</v>
      </c>
      <c r="M104" t="s">
        <v>129</v>
      </c>
      <c r="N104" t="s">
        <v>125</v>
      </c>
      <c r="P104" t="s">
        <v>85</v>
      </c>
      <c r="Q104" t="s">
        <v>113</v>
      </c>
    </row>
    <row r="105" spans="3:19" hidden="1" x14ac:dyDescent="0.25">
      <c r="C105">
        <v>5037</v>
      </c>
      <c r="D105" t="s">
        <v>229</v>
      </c>
      <c r="E105" s="12" t="s">
        <v>97</v>
      </c>
      <c r="F105" s="12" t="s">
        <v>116</v>
      </c>
      <c r="G105" t="s">
        <v>106</v>
      </c>
      <c r="H105" t="s">
        <v>99</v>
      </c>
      <c r="I105" t="s">
        <v>128</v>
      </c>
      <c r="J105">
        <v>0.71040000000000003</v>
      </c>
      <c r="K105" t="s">
        <v>118</v>
      </c>
      <c r="L105" t="s">
        <v>82</v>
      </c>
      <c r="M105" t="s">
        <v>129</v>
      </c>
      <c r="N105" t="s">
        <v>125</v>
      </c>
      <c r="P105" t="s">
        <v>85</v>
      </c>
      <c r="Q105" t="s">
        <v>113</v>
      </c>
    </row>
    <row r="106" spans="3:19" hidden="1" x14ac:dyDescent="0.25">
      <c r="C106">
        <v>1590447</v>
      </c>
      <c r="D106" t="s">
        <v>235</v>
      </c>
      <c r="E106" s="12" t="s">
        <v>77</v>
      </c>
      <c r="F106" s="12" t="s">
        <v>108</v>
      </c>
      <c r="G106" t="s">
        <v>87</v>
      </c>
      <c r="H106" t="s">
        <v>80</v>
      </c>
      <c r="I106" t="s">
        <v>108</v>
      </c>
      <c r="J106">
        <v>7517.7092602100001</v>
      </c>
      <c r="K106" t="s">
        <v>109</v>
      </c>
      <c r="L106" t="s">
        <v>82</v>
      </c>
      <c r="M106" t="s">
        <v>83</v>
      </c>
      <c r="N106" t="s">
        <v>119</v>
      </c>
      <c r="P106" t="s">
        <v>85</v>
      </c>
      <c r="Q106" t="s">
        <v>119</v>
      </c>
      <c r="R106" t="s">
        <v>137</v>
      </c>
    </row>
    <row r="107" spans="3:19" hidden="1" x14ac:dyDescent="0.25">
      <c r="C107">
        <v>237680</v>
      </c>
      <c r="D107" t="s">
        <v>235</v>
      </c>
      <c r="E107" s="12" t="s">
        <v>77</v>
      </c>
      <c r="F107" s="12" t="s">
        <v>135</v>
      </c>
      <c r="G107" t="s">
        <v>87</v>
      </c>
      <c r="H107" t="s">
        <v>80</v>
      </c>
      <c r="I107" t="s">
        <v>135</v>
      </c>
      <c r="J107">
        <v>0</v>
      </c>
      <c r="K107" t="s">
        <v>140</v>
      </c>
      <c r="L107" t="s">
        <v>110</v>
      </c>
      <c r="M107" t="s">
        <v>111</v>
      </c>
      <c r="N107" t="s">
        <v>236</v>
      </c>
      <c r="P107" t="s">
        <v>85</v>
      </c>
      <c r="Q107" t="s">
        <v>113</v>
      </c>
    </row>
    <row r="108" spans="3:19" hidden="1" x14ac:dyDescent="0.25">
      <c r="C108">
        <v>237682</v>
      </c>
      <c r="D108" t="s">
        <v>235</v>
      </c>
      <c r="E108" s="12" t="s">
        <v>77</v>
      </c>
      <c r="F108" s="12" t="s">
        <v>141</v>
      </c>
      <c r="G108" t="s">
        <v>87</v>
      </c>
      <c r="H108" t="s">
        <v>80</v>
      </c>
      <c r="I108" t="s">
        <v>142</v>
      </c>
      <c r="J108">
        <v>0</v>
      </c>
      <c r="K108" t="s">
        <v>140</v>
      </c>
      <c r="L108" t="s">
        <v>110</v>
      </c>
      <c r="M108" t="s">
        <v>111</v>
      </c>
      <c r="N108" t="s">
        <v>236</v>
      </c>
      <c r="P108" t="s">
        <v>85</v>
      </c>
      <c r="Q108" t="s">
        <v>113</v>
      </c>
    </row>
    <row r="109" spans="3:19" hidden="1" x14ac:dyDescent="0.25">
      <c r="C109">
        <v>1590457</v>
      </c>
      <c r="D109" t="s">
        <v>235</v>
      </c>
      <c r="E109" s="12" t="s">
        <v>77</v>
      </c>
      <c r="F109" s="12" t="s">
        <v>116</v>
      </c>
      <c r="G109" t="s">
        <v>87</v>
      </c>
      <c r="H109" t="s">
        <v>80</v>
      </c>
      <c r="I109" t="s">
        <v>117</v>
      </c>
      <c r="J109">
        <v>5.4680612000000002</v>
      </c>
      <c r="K109" t="s">
        <v>118</v>
      </c>
      <c r="L109" t="s">
        <v>82</v>
      </c>
      <c r="M109" t="s">
        <v>83</v>
      </c>
      <c r="N109" t="s">
        <v>119</v>
      </c>
      <c r="P109" t="s">
        <v>85</v>
      </c>
      <c r="Q109" t="s">
        <v>119</v>
      </c>
      <c r="R109" t="s">
        <v>120</v>
      </c>
    </row>
    <row r="110" spans="3:19" hidden="1" x14ac:dyDescent="0.25">
      <c r="C110">
        <v>4942</v>
      </c>
      <c r="D110" t="s">
        <v>235</v>
      </c>
      <c r="E110" s="12" t="s">
        <v>97</v>
      </c>
      <c r="F110" s="12" t="s">
        <v>108</v>
      </c>
      <c r="G110" t="s">
        <v>106</v>
      </c>
      <c r="H110" t="s">
        <v>99</v>
      </c>
      <c r="I110" t="s">
        <v>108</v>
      </c>
      <c r="J110">
        <v>136215.23000000001</v>
      </c>
      <c r="K110" t="s">
        <v>109</v>
      </c>
      <c r="L110" t="s">
        <v>82</v>
      </c>
      <c r="M110" t="s">
        <v>129</v>
      </c>
      <c r="N110" t="s">
        <v>125</v>
      </c>
      <c r="P110" t="s">
        <v>85</v>
      </c>
      <c r="Q110" t="s">
        <v>113</v>
      </c>
    </row>
    <row r="111" spans="3:19" hidden="1" x14ac:dyDescent="0.25">
      <c r="C111">
        <v>4969</v>
      </c>
      <c r="D111" t="s">
        <v>235</v>
      </c>
      <c r="E111" s="12" t="s">
        <v>97</v>
      </c>
      <c r="F111" s="12" t="s">
        <v>135</v>
      </c>
      <c r="G111" t="s">
        <v>106</v>
      </c>
      <c r="H111" t="s">
        <v>99</v>
      </c>
      <c r="I111" t="s">
        <v>135</v>
      </c>
      <c r="J111">
        <v>0</v>
      </c>
      <c r="K111" t="s">
        <v>140</v>
      </c>
      <c r="L111" t="s">
        <v>82</v>
      </c>
      <c r="M111" t="s">
        <v>129</v>
      </c>
      <c r="N111" t="s">
        <v>125</v>
      </c>
      <c r="P111" t="s">
        <v>85</v>
      </c>
      <c r="Q111" t="s">
        <v>113</v>
      </c>
    </row>
    <row r="112" spans="3:19" hidden="1" x14ac:dyDescent="0.25">
      <c r="C112">
        <v>5000</v>
      </c>
      <c r="D112" t="s">
        <v>235</v>
      </c>
      <c r="E112" s="12" t="s">
        <v>97</v>
      </c>
      <c r="F112" s="12" t="s">
        <v>141</v>
      </c>
      <c r="G112" t="s">
        <v>106</v>
      </c>
      <c r="H112" t="s">
        <v>99</v>
      </c>
      <c r="I112" t="s">
        <v>142</v>
      </c>
      <c r="J112">
        <v>0</v>
      </c>
      <c r="K112" t="s">
        <v>143</v>
      </c>
      <c r="L112" t="s">
        <v>82</v>
      </c>
      <c r="M112" t="s">
        <v>129</v>
      </c>
      <c r="N112" t="s">
        <v>125</v>
      </c>
      <c r="P112" t="s">
        <v>85</v>
      </c>
      <c r="Q112" t="s">
        <v>113</v>
      </c>
    </row>
    <row r="113" spans="3:19" hidden="1" x14ac:dyDescent="0.25">
      <c r="C113">
        <v>5028</v>
      </c>
      <c r="D113" t="s">
        <v>235</v>
      </c>
      <c r="E113" s="12" t="s">
        <v>97</v>
      </c>
      <c r="F113" s="12" t="s">
        <v>116</v>
      </c>
      <c r="G113" t="s">
        <v>106</v>
      </c>
      <c r="H113" t="s">
        <v>99</v>
      </c>
      <c r="I113" t="s">
        <v>128</v>
      </c>
      <c r="J113">
        <v>5.47</v>
      </c>
      <c r="K113" t="s">
        <v>118</v>
      </c>
      <c r="L113" t="s">
        <v>82</v>
      </c>
      <c r="M113" t="s">
        <v>129</v>
      </c>
      <c r="N113" t="s">
        <v>125</v>
      </c>
      <c r="P113" t="s">
        <v>85</v>
      </c>
      <c r="Q113" t="s">
        <v>113</v>
      </c>
    </row>
    <row r="114" spans="3:19" hidden="1" x14ac:dyDescent="0.25">
      <c r="C114">
        <v>1590446</v>
      </c>
      <c r="D114" t="s">
        <v>237</v>
      </c>
      <c r="E114" s="12" t="s">
        <v>77</v>
      </c>
      <c r="F114" s="12" t="s">
        <v>108</v>
      </c>
      <c r="G114" t="s">
        <v>87</v>
      </c>
      <c r="H114" t="s">
        <v>80</v>
      </c>
      <c r="I114" t="s">
        <v>108</v>
      </c>
      <c r="J114">
        <v>23155.402842579999</v>
      </c>
      <c r="K114" t="s">
        <v>109</v>
      </c>
      <c r="L114" t="s">
        <v>82</v>
      </c>
      <c r="M114" t="s">
        <v>83</v>
      </c>
      <c r="N114" t="s">
        <v>119</v>
      </c>
      <c r="P114" t="s">
        <v>85</v>
      </c>
      <c r="Q114" t="s">
        <v>119</v>
      </c>
      <c r="R114" t="s">
        <v>137</v>
      </c>
    </row>
    <row r="115" spans="3:19" hidden="1" x14ac:dyDescent="0.25">
      <c r="C115">
        <v>237678</v>
      </c>
      <c r="D115" t="s">
        <v>237</v>
      </c>
      <c r="E115" s="12" t="s">
        <v>77</v>
      </c>
      <c r="F115" s="12" t="s">
        <v>135</v>
      </c>
      <c r="G115" t="s">
        <v>87</v>
      </c>
      <c r="H115" t="s">
        <v>80</v>
      </c>
      <c r="I115" t="s">
        <v>135</v>
      </c>
      <c r="J115">
        <v>0</v>
      </c>
      <c r="K115" t="s">
        <v>207</v>
      </c>
      <c r="L115" t="s">
        <v>110</v>
      </c>
      <c r="M115" t="s">
        <v>111</v>
      </c>
      <c r="N115" t="s">
        <v>238</v>
      </c>
      <c r="P115" t="s">
        <v>85</v>
      </c>
      <c r="Q115" t="s">
        <v>113</v>
      </c>
    </row>
    <row r="116" spans="3:19" hidden="1" x14ac:dyDescent="0.25">
      <c r="C116">
        <v>237676</v>
      </c>
      <c r="D116" t="s">
        <v>237</v>
      </c>
      <c r="E116" s="12" t="s">
        <v>77</v>
      </c>
      <c r="F116" s="12" t="s">
        <v>141</v>
      </c>
      <c r="G116" t="s">
        <v>87</v>
      </c>
      <c r="H116" t="s">
        <v>80</v>
      </c>
      <c r="I116" t="s">
        <v>168</v>
      </c>
      <c r="J116">
        <v>0</v>
      </c>
      <c r="K116" t="s">
        <v>207</v>
      </c>
      <c r="L116" t="s">
        <v>110</v>
      </c>
      <c r="M116" t="s">
        <v>111</v>
      </c>
      <c r="N116" t="s">
        <v>239</v>
      </c>
      <c r="P116" t="s">
        <v>85</v>
      </c>
      <c r="Q116" t="s">
        <v>113</v>
      </c>
    </row>
    <row r="117" spans="3:19" hidden="1" x14ac:dyDescent="0.25">
      <c r="C117">
        <v>1590456</v>
      </c>
      <c r="D117" t="s">
        <v>237</v>
      </c>
      <c r="E117" s="12" t="s">
        <v>77</v>
      </c>
      <c r="F117" s="12" t="s">
        <v>116</v>
      </c>
      <c r="G117" t="s">
        <v>87</v>
      </c>
      <c r="H117" t="s">
        <v>80</v>
      </c>
      <c r="I117" t="s">
        <v>117</v>
      </c>
      <c r="J117">
        <v>16.842252800000001</v>
      </c>
      <c r="K117" t="s">
        <v>118</v>
      </c>
      <c r="L117" t="s">
        <v>82</v>
      </c>
      <c r="M117" t="s">
        <v>83</v>
      </c>
      <c r="N117" t="s">
        <v>119</v>
      </c>
      <c r="P117" t="s">
        <v>85</v>
      </c>
      <c r="Q117" t="s">
        <v>119</v>
      </c>
      <c r="R117" t="s">
        <v>120</v>
      </c>
    </row>
    <row r="118" spans="3:19" hidden="1" x14ac:dyDescent="0.25">
      <c r="C118">
        <v>4941</v>
      </c>
      <c r="D118" t="s">
        <v>237</v>
      </c>
      <c r="E118" s="12" t="s">
        <v>97</v>
      </c>
      <c r="F118" s="12" t="s">
        <v>108</v>
      </c>
      <c r="G118" t="s">
        <v>106</v>
      </c>
      <c r="H118" t="s">
        <v>99</v>
      </c>
      <c r="I118" t="s">
        <v>108</v>
      </c>
      <c r="J118">
        <v>442008.98389999999</v>
      </c>
      <c r="K118" t="s">
        <v>109</v>
      </c>
      <c r="L118" t="s">
        <v>82</v>
      </c>
      <c r="M118" t="s">
        <v>129</v>
      </c>
      <c r="N118" t="s">
        <v>125</v>
      </c>
      <c r="P118" t="s">
        <v>85</v>
      </c>
      <c r="Q118" t="s">
        <v>113</v>
      </c>
    </row>
    <row r="119" spans="3:19" hidden="1" x14ac:dyDescent="0.25">
      <c r="C119">
        <v>4968</v>
      </c>
      <c r="D119" t="s">
        <v>237</v>
      </c>
      <c r="E119" s="12" t="s">
        <v>97</v>
      </c>
      <c r="F119" s="12" t="s">
        <v>135</v>
      </c>
      <c r="G119" t="s">
        <v>106</v>
      </c>
      <c r="H119" t="s">
        <v>99</v>
      </c>
      <c r="I119" t="s">
        <v>135</v>
      </c>
      <c r="J119">
        <v>0</v>
      </c>
      <c r="K119" t="s">
        <v>140</v>
      </c>
      <c r="L119" t="s">
        <v>82</v>
      </c>
      <c r="M119" t="s">
        <v>129</v>
      </c>
      <c r="N119" t="s">
        <v>125</v>
      </c>
      <c r="P119" t="s">
        <v>85</v>
      </c>
      <c r="Q119" t="s">
        <v>113</v>
      </c>
    </row>
    <row r="120" spans="3:19" hidden="1" x14ac:dyDescent="0.25">
      <c r="C120">
        <v>4999</v>
      </c>
      <c r="D120" t="s">
        <v>237</v>
      </c>
      <c r="E120" s="12" t="s">
        <v>97</v>
      </c>
      <c r="F120" s="12" t="s">
        <v>141</v>
      </c>
      <c r="G120" t="s">
        <v>106</v>
      </c>
      <c r="H120" t="s">
        <v>99</v>
      </c>
      <c r="I120" t="s">
        <v>142</v>
      </c>
      <c r="J120">
        <v>0</v>
      </c>
      <c r="K120" t="s">
        <v>143</v>
      </c>
      <c r="L120" t="s">
        <v>82</v>
      </c>
      <c r="M120" t="s">
        <v>129</v>
      </c>
      <c r="N120" t="s">
        <v>125</v>
      </c>
      <c r="P120" t="s">
        <v>85</v>
      </c>
      <c r="Q120" t="s">
        <v>113</v>
      </c>
    </row>
    <row r="121" spans="3:19" hidden="1" x14ac:dyDescent="0.25">
      <c r="C121">
        <v>5027</v>
      </c>
      <c r="D121" t="s">
        <v>237</v>
      </c>
      <c r="E121" s="12" t="s">
        <v>97</v>
      </c>
      <c r="F121" s="12" t="s">
        <v>116</v>
      </c>
      <c r="G121" t="s">
        <v>106</v>
      </c>
      <c r="H121" t="s">
        <v>99</v>
      </c>
      <c r="I121" t="s">
        <v>128</v>
      </c>
      <c r="J121">
        <v>0.7</v>
      </c>
      <c r="K121" t="s">
        <v>118</v>
      </c>
      <c r="L121" t="s">
        <v>82</v>
      </c>
      <c r="M121" t="s">
        <v>129</v>
      </c>
      <c r="N121" t="s">
        <v>125</v>
      </c>
      <c r="P121" t="s">
        <v>85</v>
      </c>
      <c r="Q121" t="s">
        <v>113</v>
      </c>
    </row>
    <row r="122" spans="3:19" hidden="1" x14ac:dyDescent="0.25">
      <c r="C122">
        <v>237661</v>
      </c>
      <c r="D122" t="s">
        <v>240</v>
      </c>
      <c r="E122" s="12" t="s">
        <v>77</v>
      </c>
      <c r="F122" s="12" t="s">
        <v>108</v>
      </c>
      <c r="G122" t="s">
        <v>87</v>
      </c>
      <c r="H122" t="s">
        <v>80</v>
      </c>
      <c r="I122" t="s">
        <v>108</v>
      </c>
      <c r="J122">
        <v>5880973</v>
      </c>
      <c r="K122" t="s">
        <v>109</v>
      </c>
      <c r="L122" t="s">
        <v>110</v>
      </c>
      <c r="M122" t="s">
        <v>111</v>
      </c>
      <c r="N122" t="s">
        <v>241</v>
      </c>
      <c r="P122" t="s">
        <v>85</v>
      </c>
      <c r="Q122" t="s">
        <v>113</v>
      </c>
      <c r="S122" t="s">
        <v>242</v>
      </c>
    </row>
    <row r="123" spans="3:19" hidden="1" x14ac:dyDescent="0.25">
      <c r="C123">
        <v>237664</v>
      </c>
      <c r="D123" t="s">
        <v>240</v>
      </c>
      <c r="E123" s="12" t="s">
        <v>77</v>
      </c>
      <c r="F123" s="12" t="s">
        <v>135</v>
      </c>
      <c r="G123" t="s">
        <v>87</v>
      </c>
      <c r="H123" t="s">
        <v>80</v>
      </c>
      <c r="I123" t="s">
        <v>135</v>
      </c>
      <c r="J123">
        <v>0</v>
      </c>
      <c r="K123" t="s">
        <v>140</v>
      </c>
      <c r="L123" t="s">
        <v>110</v>
      </c>
      <c r="M123" t="s">
        <v>111</v>
      </c>
      <c r="N123" t="s">
        <v>243</v>
      </c>
      <c r="P123" t="s">
        <v>85</v>
      </c>
      <c r="Q123" t="s">
        <v>113</v>
      </c>
    </row>
    <row r="124" spans="3:19" hidden="1" x14ac:dyDescent="0.25">
      <c r="C124">
        <v>237483</v>
      </c>
      <c r="D124" t="s">
        <v>240</v>
      </c>
      <c r="E124" s="12" t="s">
        <v>77</v>
      </c>
      <c r="F124" s="12" t="s">
        <v>141</v>
      </c>
      <c r="G124" t="s">
        <v>87</v>
      </c>
      <c r="H124" t="s">
        <v>80</v>
      </c>
      <c r="I124" t="s">
        <v>142</v>
      </c>
      <c r="J124">
        <v>34401.72</v>
      </c>
      <c r="K124" t="s">
        <v>143</v>
      </c>
      <c r="L124" t="s">
        <v>110</v>
      </c>
      <c r="M124" t="s">
        <v>111</v>
      </c>
      <c r="N124" t="s">
        <v>244</v>
      </c>
      <c r="P124" t="s">
        <v>85</v>
      </c>
      <c r="Q124" t="s">
        <v>113</v>
      </c>
      <c r="S124" t="s">
        <v>245</v>
      </c>
    </row>
    <row r="125" spans="3:19" hidden="1" x14ac:dyDescent="0.25">
      <c r="C125">
        <v>237485</v>
      </c>
      <c r="D125" t="s">
        <v>240</v>
      </c>
      <c r="E125" s="12" t="s">
        <v>77</v>
      </c>
      <c r="F125" s="12" t="s">
        <v>141</v>
      </c>
      <c r="G125" t="s">
        <v>87</v>
      </c>
      <c r="H125" t="s">
        <v>80</v>
      </c>
      <c r="I125" t="s">
        <v>142</v>
      </c>
      <c r="J125">
        <v>6222.72</v>
      </c>
      <c r="K125" t="s">
        <v>143</v>
      </c>
      <c r="L125" t="s">
        <v>110</v>
      </c>
      <c r="M125" t="s">
        <v>111</v>
      </c>
      <c r="N125" t="s">
        <v>246</v>
      </c>
      <c r="P125" t="s">
        <v>85</v>
      </c>
      <c r="Q125" t="s">
        <v>113</v>
      </c>
      <c r="S125" t="s">
        <v>245</v>
      </c>
    </row>
    <row r="126" spans="3:19" hidden="1" x14ac:dyDescent="0.25">
      <c r="C126">
        <v>237487</v>
      </c>
      <c r="D126" t="s">
        <v>240</v>
      </c>
      <c r="E126" s="12" t="s">
        <v>77</v>
      </c>
      <c r="F126" s="12" t="s">
        <v>141</v>
      </c>
      <c r="G126" t="s">
        <v>87</v>
      </c>
      <c r="H126" t="s">
        <v>80</v>
      </c>
      <c r="I126" t="s">
        <v>142</v>
      </c>
      <c r="J126">
        <v>4243.66</v>
      </c>
      <c r="K126" t="s">
        <v>143</v>
      </c>
      <c r="L126" t="s">
        <v>110</v>
      </c>
      <c r="M126" t="s">
        <v>111</v>
      </c>
      <c r="N126" t="s">
        <v>247</v>
      </c>
      <c r="P126" t="s">
        <v>85</v>
      </c>
      <c r="Q126" t="s">
        <v>113</v>
      </c>
      <c r="S126" t="s">
        <v>245</v>
      </c>
    </row>
    <row r="127" spans="3:19" hidden="1" x14ac:dyDescent="0.25">
      <c r="C127">
        <v>237489</v>
      </c>
      <c r="D127" t="s">
        <v>240</v>
      </c>
      <c r="E127" s="12" t="s">
        <v>77</v>
      </c>
      <c r="F127" s="12" t="s">
        <v>141</v>
      </c>
      <c r="G127" t="s">
        <v>87</v>
      </c>
      <c r="H127" t="s">
        <v>80</v>
      </c>
      <c r="I127" t="s">
        <v>187</v>
      </c>
      <c r="J127">
        <v>3242.25</v>
      </c>
      <c r="K127" t="s">
        <v>143</v>
      </c>
      <c r="L127" t="s">
        <v>110</v>
      </c>
      <c r="M127" t="s">
        <v>111</v>
      </c>
      <c r="N127" t="s">
        <v>248</v>
      </c>
      <c r="P127" t="s">
        <v>85</v>
      </c>
      <c r="Q127" t="s">
        <v>113</v>
      </c>
      <c r="S127" t="s">
        <v>245</v>
      </c>
    </row>
    <row r="128" spans="3:19" hidden="1" x14ac:dyDescent="0.25">
      <c r="C128">
        <v>237491</v>
      </c>
      <c r="D128" t="s">
        <v>240</v>
      </c>
      <c r="E128" s="12" t="s">
        <v>77</v>
      </c>
      <c r="F128" s="12" t="s">
        <v>141</v>
      </c>
      <c r="G128" t="s">
        <v>87</v>
      </c>
      <c r="H128" t="s">
        <v>80</v>
      </c>
      <c r="I128" t="s">
        <v>187</v>
      </c>
      <c r="J128">
        <v>8504.4500000000007</v>
      </c>
      <c r="K128" t="s">
        <v>143</v>
      </c>
      <c r="L128" t="s">
        <v>110</v>
      </c>
      <c r="M128" t="s">
        <v>111</v>
      </c>
      <c r="N128" t="s">
        <v>249</v>
      </c>
      <c r="P128" t="s">
        <v>85</v>
      </c>
      <c r="Q128" t="s">
        <v>113</v>
      </c>
      <c r="S128" t="s">
        <v>245</v>
      </c>
    </row>
    <row r="129" spans="3:19" hidden="1" x14ac:dyDescent="0.25">
      <c r="C129">
        <v>237493</v>
      </c>
      <c r="D129" t="s">
        <v>240</v>
      </c>
      <c r="E129" s="12" t="s">
        <v>77</v>
      </c>
      <c r="F129" s="12" t="s">
        <v>141</v>
      </c>
      <c r="G129" t="s">
        <v>87</v>
      </c>
      <c r="H129" t="s">
        <v>80</v>
      </c>
      <c r="I129" t="s">
        <v>187</v>
      </c>
      <c r="J129">
        <v>116.31</v>
      </c>
      <c r="K129" t="s">
        <v>143</v>
      </c>
      <c r="L129" t="s">
        <v>110</v>
      </c>
      <c r="M129" t="s">
        <v>111</v>
      </c>
      <c r="N129" t="s">
        <v>249</v>
      </c>
      <c r="P129" t="s">
        <v>85</v>
      </c>
      <c r="Q129" t="s">
        <v>113</v>
      </c>
      <c r="S129" t="s">
        <v>245</v>
      </c>
    </row>
    <row r="130" spans="3:19" hidden="1" x14ac:dyDescent="0.25">
      <c r="C130">
        <v>237674</v>
      </c>
      <c r="D130" t="s">
        <v>240</v>
      </c>
      <c r="E130" s="12" t="s">
        <v>77</v>
      </c>
      <c r="F130" s="12" t="s">
        <v>116</v>
      </c>
      <c r="G130" t="s">
        <v>87</v>
      </c>
      <c r="H130" t="s">
        <v>80</v>
      </c>
      <c r="I130" t="s">
        <v>250</v>
      </c>
      <c r="J130">
        <v>0</v>
      </c>
      <c r="K130" t="s">
        <v>251</v>
      </c>
      <c r="L130" t="s">
        <v>110</v>
      </c>
      <c r="M130" t="s">
        <v>111</v>
      </c>
      <c r="N130" t="s">
        <v>252</v>
      </c>
      <c r="P130" t="s">
        <v>85</v>
      </c>
      <c r="Q130" t="s">
        <v>113</v>
      </c>
      <c r="R130" t="s">
        <v>253</v>
      </c>
    </row>
    <row r="131" spans="3:19" hidden="1" x14ac:dyDescent="0.25">
      <c r="C131">
        <v>4621</v>
      </c>
      <c r="D131" t="s">
        <v>240</v>
      </c>
      <c r="E131" s="12" t="s">
        <v>97</v>
      </c>
      <c r="F131" s="12" t="s">
        <v>108</v>
      </c>
      <c r="G131" t="s">
        <v>106</v>
      </c>
      <c r="H131" t="s">
        <v>99</v>
      </c>
      <c r="I131" t="s">
        <v>108</v>
      </c>
      <c r="J131">
        <v>6205845</v>
      </c>
      <c r="K131" t="s">
        <v>109</v>
      </c>
      <c r="L131" t="s">
        <v>110</v>
      </c>
      <c r="M131" t="s">
        <v>129</v>
      </c>
      <c r="N131" t="s">
        <v>254</v>
      </c>
      <c r="P131" t="s">
        <v>85</v>
      </c>
      <c r="Q131" t="s">
        <v>113</v>
      </c>
    </row>
    <row r="132" spans="3:19" hidden="1" x14ac:dyDescent="0.25">
      <c r="C132">
        <v>4967</v>
      </c>
      <c r="D132" t="s">
        <v>240</v>
      </c>
      <c r="E132" s="12" t="s">
        <v>97</v>
      </c>
      <c r="F132" s="12" t="s">
        <v>135</v>
      </c>
      <c r="G132" t="s">
        <v>106</v>
      </c>
      <c r="H132" t="s">
        <v>99</v>
      </c>
      <c r="I132" t="s">
        <v>135</v>
      </c>
      <c r="J132">
        <v>0</v>
      </c>
      <c r="K132" t="s">
        <v>160</v>
      </c>
      <c r="L132" t="s">
        <v>110</v>
      </c>
      <c r="M132" t="s">
        <v>129</v>
      </c>
      <c r="N132" t="s">
        <v>125</v>
      </c>
      <c r="P132" t="s">
        <v>85</v>
      </c>
      <c r="Q132" t="s">
        <v>113</v>
      </c>
    </row>
    <row r="133" spans="3:19" hidden="1" x14ac:dyDescent="0.25">
      <c r="C133">
        <v>4992</v>
      </c>
      <c r="D133" t="s">
        <v>240</v>
      </c>
      <c r="E133" s="12" t="s">
        <v>97</v>
      </c>
      <c r="F133" s="12" t="s">
        <v>141</v>
      </c>
      <c r="G133" t="s">
        <v>106</v>
      </c>
      <c r="H133" t="s">
        <v>99</v>
      </c>
      <c r="I133" t="s">
        <v>142</v>
      </c>
      <c r="J133">
        <v>35255.339999999997</v>
      </c>
      <c r="K133" t="s">
        <v>143</v>
      </c>
      <c r="L133" t="s">
        <v>110</v>
      </c>
      <c r="M133" t="s">
        <v>129</v>
      </c>
      <c r="N133" t="s">
        <v>125</v>
      </c>
      <c r="P133" t="s">
        <v>85</v>
      </c>
      <c r="Q133" t="s">
        <v>113</v>
      </c>
    </row>
    <row r="134" spans="3:19" hidden="1" x14ac:dyDescent="0.25">
      <c r="C134">
        <v>4993</v>
      </c>
      <c r="D134" t="s">
        <v>240</v>
      </c>
      <c r="E134" s="12" t="s">
        <v>97</v>
      </c>
      <c r="F134" s="12" t="s">
        <v>141</v>
      </c>
      <c r="G134" t="s">
        <v>106</v>
      </c>
      <c r="H134" t="s">
        <v>99</v>
      </c>
      <c r="I134" t="s">
        <v>142</v>
      </c>
      <c r="J134">
        <v>2696.2</v>
      </c>
      <c r="K134" t="s">
        <v>143</v>
      </c>
      <c r="L134" t="s">
        <v>110</v>
      </c>
      <c r="M134" t="s">
        <v>129</v>
      </c>
      <c r="N134" t="s">
        <v>125</v>
      </c>
      <c r="P134" t="s">
        <v>85</v>
      </c>
      <c r="Q134" t="s">
        <v>113</v>
      </c>
    </row>
    <row r="135" spans="3:19" hidden="1" x14ac:dyDescent="0.25">
      <c r="C135">
        <v>4994</v>
      </c>
      <c r="D135" t="s">
        <v>240</v>
      </c>
      <c r="E135" s="12" t="s">
        <v>97</v>
      </c>
      <c r="F135" s="12" t="s">
        <v>141</v>
      </c>
      <c r="G135" t="s">
        <v>106</v>
      </c>
      <c r="H135" t="s">
        <v>99</v>
      </c>
      <c r="I135" t="s">
        <v>187</v>
      </c>
      <c r="J135">
        <v>3539.88</v>
      </c>
      <c r="K135" t="s">
        <v>143</v>
      </c>
      <c r="L135" t="s">
        <v>110</v>
      </c>
      <c r="M135" t="s">
        <v>129</v>
      </c>
      <c r="N135" t="s">
        <v>125</v>
      </c>
      <c r="P135" t="s">
        <v>85</v>
      </c>
      <c r="Q135" t="s">
        <v>113</v>
      </c>
    </row>
    <row r="136" spans="3:19" hidden="1" x14ac:dyDescent="0.25">
      <c r="C136">
        <v>4995</v>
      </c>
      <c r="D136" t="s">
        <v>240</v>
      </c>
      <c r="E136" s="12" t="s">
        <v>97</v>
      </c>
      <c r="F136" s="12" t="s">
        <v>141</v>
      </c>
      <c r="G136" t="s">
        <v>106</v>
      </c>
      <c r="H136" t="s">
        <v>99</v>
      </c>
      <c r="I136" t="s">
        <v>187</v>
      </c>
      <c r="J136">
        <v>9120.06</v>
      </c>
      <c r="K136" t="s">
        <v>143</v>
      </c>
      <c r="L136" t="s">
        <v>110</v>
      </c>
      <c r="M136" t="s">
        <v>129</v>
      </c>
      <c r="N136" t="s">
        <v>125</v>
      </c>
      <c r="P136" t="s">
        <v>85</v>
      </c>
      <c r="Q136" t="s">
        <v>113</v>
      </c>
    </row>
    <row r="137" spans="3:19" hidden="1" x14ac:dyDescent="0.25">
      <c r="C137">
        <v>4996</v>
      </c>
      <c r="D137" t="s">
        <v>240</v>
      </c>
      <c r="E137" s="12" t="s">
        <v>97</v>
      </c>
      <c r="F137" s="12" t="s">
        <v>141</v>
      </c>
      <c r="G137" t="s">
        <v>106</v>
      </c>
      <c r="H137" t="s">
        <v>99</v>
      </c>
      <c r="I137" t="s">
        <v>187</v>
      </c>
      <c r="J137">
        <v>272.48</v>
      </c>
      <c r="K137" t="s">
        <v>143</v>
      </c>
      <c r="L137" t="s">
        <v>110</v>
      </c>
      <c r="M137" t="s">
        <v>129</v>
      </c>
      <c r="N137" t="s">
        <v>125</v>
      </c>
      <c r="P137" t="s">
        <v>85</v>
      </c>
      <c r="Q137" t="s">
        <v>113</v>
      </c>
    </row>
    <row r="138" spans="3:19" hidden="1" x14ac:dyDescent="0.25">
      <c r="C138">
        <v>4997</v>
      </c>
      <c r="D138" t="s">
        <v>240</v>
      </c>
      <c r="E138" s="12" t="s">
        <v>97</v>
      </c>
      <c r="F138" s="12" t="s">
        <v>141</v>
      </c>
      <c r="G138" t="s">
        <v>106</v>
      </c>
      <c r="H138" t="s">
        <v>99</v>
      </c>
      <c r="I138" t="s">
        <v>187</v>
      </c>
      <c r="J138">
        <v>167.02</v>
      </c>
      <c r="K138" t="s">
        <v>143</v>
      </c>
      <c r="L138" t="s">
        <v>110</v>
      </c>
      <c r="M138" t="s">
        <v>129</v>
      </c>
      <c r="N138" t="s">
        <v>125</v>
      </c>
      <c r="P138" t="s">
        <v>85</v>
      </c>
      <c r="Q138" t="s">
        <v>113</v>
      </c>
    </row>
    <row r="139" spans="3:19" hidden="1" x14ac:dyDescent="0.25">
      <c r="C139">
        <v>4998</v>
      </c>
      <c r="D139" t="s">
        <v>240</v>
      </c>
      <c r="E139" s="12" t="s">
        <v>97</v>
      </c>
      <c r="F139" s="12" t="s">
        <v>141</v>
      </c>
      <c r="G139" t="s">
        <v>106</v>
      </c>
      <c r="H139" t="s">
        <v>99</v>
      </c>
      <c r="I139" t="s">
        <v>142</v>
      </c>
      <c r="J139">
        <v>4299.5200000000004</v>
      </c>
      <c r="K139" t="s">
        <v>143</v>
      </c>
      <c r="L139" t="s">
        <v>110</v>
      </c>
      <c r="M139" t="s">
        <v>129</v>
      </c>
      <c r="N139" t="s">
        <v>125</v>
      </c>
      <c r="P139" t="s">
        <v>85</v>
      </c>
      <c r="Q139" t="s">
        <v>113</v>
      </c>
    </row>
    <row r="140" spans="3:19" hidden="1" x14ac:dyDescent="0.25">
      <c r="C140">
        <v>5026</v>
      </c>
      <c r="D140" t="s">
        <v>240</v>
      </c>
      <c r="E140" s="12" t="s">
        <v>97</v>
      </c>
      <c r="F140" s="12" t="s">
        <v>116</v>
      </c>
      <c r="G140" t="s">
        <v>106</v>
      </c>
      <c r="H140" t="s">
        <v>99</v>
      </c>
      <c r="I140" t="s">
        <v>250</v>
      </c>
      <c r="J140">
        <v>0</v>
      </c>
      <c r="K140" t="s">
        <v>118</v>
      </c>
      <c r="L140" t="s">
        <v>82</v>
      </c>
      <c r="M140" t="s">
        <v>162</v>
      </c>
      <c r="N140" t="s">
        <v>125</v>
      </c>
      <c r="P140" t="s">
        <v>85</v>
      </c>
      <c r="Q140" t="s">
        <v>113</v>
      </c>
    </row>
    <row r="141" spans="3:19" hidden="1" x14ac:dyDescent="0.25">
      <c r="C141">
        <v>261765</v>
      </c>
      <c r="D141" t="s">
        <v>255</v>
      </c>
      <c r="E141" s="12" t="s">
        <v>77</v>
      </c>
      <c r="F141" s="12" t="s">
        <v>108</v>
      </c>
      <c r="G141" t="s">
        <v>87</v>
      </c>
      <c r="H141" t="s">
        <v>80</v>
      </c>
      <c r="I141" t="s">
        <v>108</v>
      </c>
      <c r="J141">
        <v>72408</v>
      </c>
      <c r="K141" t="s">
        <v>109</v>
      </c>
      <c r="L141" t="s">
        <v>110</v>
      </c>
      <c r="M141" t="s">
        <v>111</v>
      </c>
      <c r="N141" t="s">
        <v>256</v>
      </c>
      <c r="P141" t="s">
        <v>85</v>
      </c>
      <c r="Q141" t="s">
        <v>113</v>
      </c>
      <c r="S141" t="s">
        <v>257</v>
      </c>
    </row>
    <row r="142" spans="3:19" hidden="1" x14ac:dyDescent="0.25">
      <c r="C142">
        <v>261769</v>
      </c>
      <c r="D142" t="s">
        <v>255</v>
      </c>
      <c r="E142" s="12" t="s">
        <v>77</v>
      </c>
      <c r="F142" s="12" t="s">
        <v>135</v>
      </c>
      <c r="G142" t="s">
        <v>87</v>
      </c>
      <c r="H142" t="s">
        <v>80</v>
      </c>
      <c r="I142" t="s">
        <v>135</v>
      </c>
      <c r="J142">
        <v>11984</v>
      </c>
      <c r="K142" t="s">
        <v>136</v>
      </c>
      <c r="L142" t="s">
        <v>110</v>
      </c>
      <c r="M142" t="s">
        <v>111</v>
      </c>
      <c r="N142" t="s">
        <v>258</v>
      </c>
      <c r="P142" t="s">
        <v>85</v>
      </c>
      <c r="Q142" t="s">
        <v>113</v>
      </c>
      <c r="S142" t="s">
        <v>259</v>
      </c>
    </row>
    <row r="143" spans="3:19" hidden="1" x14ac:dyDescent="0.25">
      <c r="C143">
        <v>261781</v>
      </c>
      <c r="D143" t="s">
        <v>255</v>
      </c>
      <c r="E143" s="12" t="s">
        <v>77</v>
      </c>
      <c r="F143" s="12" t="s">
        <v>141</v>
      </c>
      <c r="G143" t="s">
        <v>87</v>
      </c>
      <c r="H143" t="s">
        <v>80</v>
      </c>
      <c r="I143" t="s">
        <v>142</v>
      </c>
      <c r="J143">
        <v>0</v>
      </c>
      <c r="K143" t="s">
        <v>140</v>
      </c>
      <c r="L143" t="s">
        <v>110</v>
      </c>
      <c r="M143" t="s">
        <v>111</v>
      </c>
      <c r="N143" t="s">
        <v>260</v>
      </c>
      <c r="P143" t="s">
        <v>85</v>
      </c>
      <c r="Q143" t="s">
        <v>113</v>
      </c>
      <c r="R143" t="s">
        <v>261</v>
      </c>
    </row>
    <row r="144" spans="3:19" hidden="1" x14ac:dyDescent="0.25">
      <c r="C144">
        <v>261783</v>
      </c>
      <c r="D144" t="s">
        <v>255</v>
      </c>
      <c r="E144" s="12" t="s">
        <v>77</v>
      </c>
      <c r="F144" s="12" t="s">
        <v>116</v>
      </c>
      <c r="G144" t="s">
        <v>87</v>
      </c>
      <c r="H144" t="s">
        <v>80</v>
      </c>
      <c r="I144" t="s">
        <v>250</v>
      </c>
      <c r="J144">
        <v>0</v>
      </c>
      <c r="K144" t="s">
        <v>118</v>
      </c>
      <c r="L144" t="s">
        <v>110</v>
      </c>
      <c r="M144" t="s">
        <v>111</v>
      </c>
      <c r="N144" t="s">
        <v>260</v>
      </c>
      <c r="P144" t="s">
        <v>85</v>
      </c>
      <c r="Q144" t="s">
        <v>113</v>
      </c>
    </row>
    <row r="145" spans="3:19" hidden="1" x14ac:dyDescent="0.25">
      <c r="C145">
        <v>1234355</v>
      </c>
      <c r="D145" t="s">
        <v>255</v>
      </c>
      <c r="E145" s="12" t="s">
        <v>97</v>
      </c>
      <c r="F145" s="12" t="s">
        <v>108</v>
      </c>
      <c r="G145" t="s">
        <v>106</v>
      </c>
      <c r="H145" t="s">
        <v>99</v>
      </c>
      <c r="I145" t="s">
        <v>108</v>
      </c>
      <c r="J145">
        <v>89463</v>
      </c>
      <c r="K145" t="s">
        <v>109</v>
      </c>
      <c r="L145" t="s">
        <v>110</v>
      </c>
      <c r="M145" t="s">
        <v>162</v>
      </c>
      <c r="N145" t="s">
        <v>262</v>
      </c>
      <c r="P145" t="s">
        <v>85</v>
      </c>
      <c r="Q145" t="s">
        <v>113</v>
      </c>
      <c r="S145" t="s">
        <v>263</v>
      </c>
    </row>
    <row r="146" spans="3:19" hidden="1" x14ac:dyDescent="0.25">
      <c r="C146">
        <v>1234357</v>
      </c>
      <c r="D146" t="s">
        <v>255</v>
      </c>
      <c r="E146" s="12" t="s">
        <v>97</v>
      </c>
      <c r="F146" s="12" t="s">
        <v>135</v>
      </c>
      <c r="G146" t="s">
        <v>106</v>
      </c>
      <c r="H146" t="s">
        <v>99</v>
      </c>
      <c r="I146" t="s">
        <v>135</v>
      </c>
      <c r="J146">
        <v>12191</v>
      </c>
      <c r="K146" t="s">
        <v>136</v>
      </c>
      <c r="L146" t="s">
        <v>110</v>
      </c>
      <c r="M146" t="s">
        <v>162</v>
      </c>
      <c r="N146" t="s">
        <v>264</v>
      </c>
      <c r="P146" t="s">
        <v>85</v>
      </c>
      <c r="Q146" t="s">
        <v>113</v>
      </c>
      <c r="S146" t="s">
        <v>265</v>
      </c>
    </row>
    <row r="147" spans="3:19" hidden="1" x14ac:dyDescent="0.25">
      <c r="C147">
        <v>1257580</v>
      </c>
      <c r="D147" t="s">
        <v>255</v>
      </c>
      <c r="E147" s="12" t="s">
        <v>97</v>
      </c>
      <c r="F147" s="12" t="s">
        <v>116</v>
      </c>
      <c r="G147" t="s">
        <v>106</v>
      </c>
      <c r="H147" t="s">
        <v>99</v>
      </c>
      <c r="I147" t="s">
        <v>250</v>
      </c>
      <c r="J147">
        <v>0</v>
      </c>
      <c r="K147" t="s">
        <v>118</v>
      </c>
      <c r="L147" t="s">
        <v>82</v>
      </c>
      <c r="M147" t="s">
        <v>162</v>
      </c>
      <c r="N147" t="s">
        <v>266</v>
      </c>
      <c r="P147" t="s">
        <v>85</v>
      </c>
      <c r="Q147" t="s">
        <v>113</v>
      </c>
    </row>
    <row r="148" spans="3:19" hidden="1" x14ac:dyDescent="0.25">
      <c r="C148">
        <v>237865</v>
      </c>
      <c r="D148" t="s">
        <v>267</v>
      </c>
      <c r="E148" s="12" t="s">
        <v>77</v>
      </c>
      <c r="F148" s="12" t="s">
        <v>108</v>
      </c>
      <c r="G148" t="s">
        <v>87</v>
      </c>
      <c r="H148" t="s">
        <v>80</v>
      </c>
      <c r="I148" t="s">
        <v>108</v>
      </c>
      <c r="J148">
        <v>315089</v>
      </c>
      <c r="K148" t="s">
        <v>109</v>
      </c>
      <c r="L148" t="s">
        <v>110</v>
      </c>
      <c r="M148" t="s">
        <v>111</v>
      </c>
      <c r="N148" t="s">
        <v>268</v>
      </c>
      <c r="P148" t="s">
        <v>85</v>
      </c>
      <c r="Q148" t="s">
        <v>113</v>
      </c>
      <c r="S148" t="s">
        <v>269</v>
      </c>
    </row>
    <row r="149" spans="3:19" hidden="1" x14ac:dyDescent="0.25">
      <c r="C149">
        <v>1590444</v>
      </c>
      <c r="D149" t="s">
        <v>267</v>
      </c>
      <c r="E149" s="12" t="s">
        <v>77</v>
      </c>
      <c r="F149" s="12" t="s">
        <v>135</v>
      </c>
      <c r="G149" t="s">
        <v>87</v>
      </c>
      <c r="H149" t="s">
        <v>80</v>
      </c>
      <c r="I149" t="s">
        <v>135</v>
      </c>
      <c r="J149">
        <v>5386.8980879999999</v>
      </c>
      <c r="K149" t="s">
        <v>136</v>
      </c>
      <c r="L149" t="s">
        <v>82</v>
      </c>
      <c r="M149" t="s">
        <v>83</v>
      </c>
      <c r="N149" t="s">
        <v>119</v>
      </c>
      <c r="P149" t="s">
        <v>85</v>
      </c>
      <c r="Q149" t="s">
        <v>119</v>
      </c>
      <c r="R149" t="s">
        <v>137</v>
      </c>
    </row>
    <row r="150" spans="3:19" hidden="1" x14ac:dyDescent="0.25">
      <c r="C150">
        <v>291084</v>
      </c>
      <c r="D150" t="s">
        <v>267</v>
      </c>
      <c r="E150" s="12" t="s">
        <v>77</v>
      </c>
      <c r="F150" s="12" t="s">
        <v>141</v>
      </c>
      <c r="G150" t="s">
        <v>87</v>
      </c>
      <c r="H150" t="s">
        <v>80</v>
      </c>
      <c r="I150" t="s">
        <v>142</v>
      </c>
      <c r="J150">
        <v>0</v>
      </c>
      <c r="K150" t="s">
        <v>154</v>
      </c>
      <c r="L150" t="s">
        <v>110</v>
      </c>
      <c r="M150" t="s">
        <v>111</v>
      </c>
      <c r="N150" t="s">
        <v>270</v>
      </c>
      <c r="P150" t="s">
        <v>85</v>
      </c>
      <c r="Q150" t="s">
        <v>113</v>
      </c>
      <c r="R150" t="s">
        <v>271</v>
      </c>
    </row>
    <row r="151" spans="3:19" hidden="1" x14ac:dyDescent="0.25">
      <c r="C151">
        <v>291424</v>
      </c>
      <c r="D151" t="s">
        <v>267</v>
      </c>
      <c r="E151" s="12" t="s">
        <v>77</v>
      </c>
      <c r="F151" s="12" t="s">
        <v>116</v>
      </c>
      <c r="G151" t="s">
        <v>87</v>
      </c>
      <c r="H151" t="s">
        <v>80</v>
      </c>
      <c r="I151" t="s">
        <v>272</v>
      </c>
      <c r="J151">
        <v>0</v>
      </c>
      <c r="K151" t="s">
        <v>118</v>
      </c>
      <c r="L151" t="s">
        <v>110</v>
      </c>
      <c r="M151" t="s">
        <v>111</v>
      </c>
      <c r="N151" t="s">
        <v>273</v>
      </c>
      <c r="P151" t="s">
        <v>85</v>
      </c>
      <c r="Q151" t="s">
        <v>113</v>
      </c>
      <c r="R151" t="s">
        <v>274</v>
      </c>
    </row>
    <row r="152" spans="3:19" hidden="1" x14ac:dyDescent="0.25">
      <c r="C152">
        <v>1590437</v>
      </c>
      <c r="D152" t="s">
        <v>267</v>
      </c>
      <c r="E152" s="12" t="s">
        <v>77</v>
      </c>
      <c r="F152" s="12" t="s">
        <v>116</v>
      </c>
      <c r="G152" t="s">
        <v>87</v>
      </c>
      <c r="H152" t="s">
        <v>80</v>
      </c>
      <c r="I152" t="s">
        <v>272</v>
      </c>
      <c r="J152">
        <v>3.9182000000000001</v>
      </c>
      <c r="K152" t="s">
        <v>118</v>
      </c>
      <c r="L152" t="s">
        <v>82</v>
      </c>
      <c r="M152" t="s">
        <v>83</v>
      </c>
      <c r="N152" t="s">
        <v>119</v>
      </c>
      <c r="P152" t="s">
        <v>85</v>
      </c>
      <c r="Q152" t="s">
        <v>119</v>
      </c>
      <c r="R152" t="s">
        <v>275</v>
      </c>
    </row>
    <row r="153" spans="3:19" hidden="1" x14ac:dyDescent="0.25">
      <c r="C153">
        <v>4966</v>
      </c>
      <c r="D153" t="s">
        <v>267</v>
      </c>
      <c r="E153" s="12" t="s">
        <v>97</v>
      </c>
      <c r="F153" s="12" t="s">
        <v>108</v>
      </c>
      <c r="G153" t="s">
        <v>106</v>
      </c>
      <c r="H153" t="s">
        <v>99</v>
      </c>
      <c r="I153" t="s">
        <v>108</v>
      </c>
      <c r="J153">
        <v>467234</v>
      </c>
      <c r="K153" t="s">
        <v>109</v>
      </c>
      <c r="L153" t="s">
        <v>82</v>
      </c>
      <c r="M153" t="s">
        <v>162</v>
      </c>
      <c r="N153" t="s">
        <v>125</v>
      </c>
      <c r="P153" t="s">
        <v>85</v>
      </c>
      <c r="Q153" t="s">
        <v>113</v>
      </c>
      <c r="S153" t="s">
        <v>276</v>
      </c>
    </row>
    <row r="154" spans="3:19" hidden="1" x14ac:dyDescent="0.25">
      <c r="C154">
        <v>4991</v>
      </c>
      <c r="D154" t="s">
        <v>267</v>
      </c>
      <c r="E154" s="12" t="s">
        <v>97</v>
      </c>
      <c r="F154" s="12" t="s">
        <v>135</v>
      </c>
      <c r="G154" t="s">
        <v>106</v>
      </c>
      <c r="H154" t="s">
        <v>99</v>
      </c>
      <c r="I154" t="s">
        <v>135</v>
      </c>
      <c r="J154">
        <v>117546000</v>
      </c>
      <c r="K154" t="s">
        <v>140</v>
      </c>
      <c r="L154" t="s">
        <v>82</v>
      </c>
      <c r="M154" t="s">
        <v>129</v>
      </c>
      <c r="N154" t="s">
        <v>125</v>
      </c>
      <c r="P154" t="s">
        <v>85</v>
      </c>
      <c r="Q154" t="s">
        <v>113</v>
      </c>
    </row>
    <row r="155" spans="3:19" hidden="1" x14ac:dyDescent="0.25">
      <c r="C155">
        <v>5025</v>
      </c>
      <c r="D155" t="s">
        <v>267</v>
      </c>
      <c r="E155" s="12" t="s">
        <v>97</v>
      </c>
      <c r="F155" s="12" t="s">
        <v>141</v>
      </c>
      <c r="G155" t="s">
        <v>106</v>
      </c>
      <c r="H155" t="s">
        <v>99</v>
      </c>
      <c r="I155" t="s">
        <v>142</v>
      </c>
      <c r="J155">
        <v>0</v>
      </c>
      <c r="K155" t="s">
        <v>143</v>
      </c>
      <c r="L155" t="s">
        <v>82</v>
      </c>
      <c r="M155" t="s">
        <v>129</v>
      </c>
      <c r="N155" t="s">
        <v>125</v>
      </c>
      <c r="P155" t="s">
        <v>85</v>
      </c>
      <c r="Q155" t="s">
        <v>113</v>
      </c>
    </row>
    <row r="156" spans="3:19" hidden="1" x14ac:dyDescent="0.25">
      <c r="C156">
        <v>5051</v>
      </c>
      <c r="D156" t="s">
        <v>267</v>
      </c>
      <c r="E156" s="12" t="s">
        <v>97</v>
      </c>
      <c r="F156" s="12" t="s">
        <v>116</v>
      </c>
      <c r="G156" t="s">
        <v>106</v>
      </c>
      <c r="H156" t="s">
        <v>99</v>
      </c>
      <c r="I156" t="s">
        <v>272</v>
      </c>
      <c r="J156">
        <v>3.9182000000000001</v>
      </c>
      <c r="K156" t="s">
        <v>118</v>
      </c>
      <c r="L156" t="s">
        <v>82</v>
      </c>
      <c r="M156" t="s">
        <v>162</v>
      </c>
      <c r="N156" t="s">
        <v>125</v>
      </c>
      <c r="P156" t="s">
        <v>85</v>
      </c>
      <c r="Q156" t="s">
        <v>113</v>
      </c>
    </row>
    <row r="157" spans="3:19" hidden="1" x14ac:dyDescent="0.25">
      <c r="C157">
        <v>291069</v>
      </c>
      <c r="D157" t="s">
        <v>277</v>
      </c>
      <c r="E157" s="12" t="s">
        <v>77</v>
      </c>
      <c r="F157" s="12" t="s">
        <v>108</v>
      </c>
      <c r="G157" t="s">
        <v>87</v>
      </c>
      <c r="H157" t="s">
        <v>80</v>
      </c>
      <c r="I157" t="s">
        <v>108</v>
      </c>
      <c r="J157">
        <v>173808</v>
      </c>
      <c r="K157" t="s">
        <v>109</v>
      </c>
      <c r="L157" t="s">
        <v>110</v>
      </c>
      <c r="M157" t="s">
        <v>111</v>
      </c>
      <c r="N157" t="s">
        <v>278</v>
      </c>
      <c r="P157" t="s">
        <v>85</v>
      </c>
      <c r="Q157" t="s">
        <v>113</v>
      </c>
      <c r="S157" t="s">
        <v>279</v>
      </c>
    </row>
    <row r="158" spans="3:19" hidden="1" x14ac:dyDescent="0.25">
      <c r="C158">
        <v>290047</v>
      </c>
      <c r="D158" t="s">
        <v>277</v>
      </c>
      <c r="E158" s="12" t="s">
        <v>77</v>
      </c>
      <c r="F158" s="12" t="s">
        <v>135</v>
      </c>
      <c r="G158" t="s">
        <v>87</v>
      </c>
      <c r="H158" t="s">
        <v>80</v>
      </c>
      <c r="I158" t="s">
        <v>135</v>
      </c>
      <c r="J158">
        <v>3992</v>
      </c>
      <c r="K158" t="s">
        <v>136</v>
      </c>
      <c r="L158" t="s">
        <v>110</v>
      </c>
      <c r="M158" t="s">
        <v>111</v>
      </c>
      <c r="N158" t="s">
        <v>280</v>
      </c>
      <c r="P158" t="s">
        <v>85</v>
      </c>
      <c r="Q158" t="s">
        <v>113</v>
      </c>
      <c r="S158" t="s">
        <v>281</v>
      </c>
    </row>
    <row r="159" spans="3:19" hidden="1" x14ac:dyDescent="0.25">
      <c r="C159">
        <v>283991</v>
      </c>
      <c r="D159" t="s">
        <v>277</v>
      </c>
      <c r="E159" s="12" t="s">
        <v>77</v>
      </c>
      <c r="F159" s="12" t="s">
        <v>141</v>
      </c>
      <c r="G159" t="s">
        <v>87</v>
      </c>
      <c r="H159" t="s">
        <v>80</v>
      </c>
      <c r="I159" t="s">
        <v>187</v>
      </c>
      <c r="J159">
        <v>0</v>
      </c>
      <c r="K159" t="s">
        <v>148</v>
      </c>
      <c r="L159" t="s">
        <v>110</v>
      </c>
      <c r="M159" t="s">
        <v>111</v>
      </c>
      <c r="N159" t="s">
        <v>282</v>
      </c>
      <c r="P159" t="s">
        <v>85</v>
      </c>
      <c r="Q159" t="s">
        <v>113</v>
      </c>
    </row>
    <row r="160" spans="3:19" hidden="1" x14ac:dyDescent="0.25">
      <c r="C160">
        <v>290059</v>
      </c>
      <c r="D160" t="s">
        <v>277</v>
      </c>
      <c r="E160" s="12" t="s">
        <v>77</v>
      </c>
      <c r="F160" s="12" t="s">
        <v>116</v>
      </c>
      <c r="G160" t="s">
        <v>87</v>
      </c>
      <c r="H160" t="s">
        <v>80</v>
      </c>
      <c r="I160" t="s">
        <v>175</v>
      </c>
      <c r="J160">
        <v>0</v>
      </c>
      <c r="K160" t="s">
        <v>215</v>
      </c>
      <c r="L160" t="s">
        <v>110</v>
      </c>
      <c r="M160" t="s">
        <v>111</v>
      </c>
      <c r="N160" t="s">
        <v>283</v>
      </c>
      <c r="P160" t="s">
        <v>85</v>
      </c>
      <c r="Q160" t="s">
        <v>113</v>
      </c>
      <c r="R160" t="s">
        <v>284</v>
      </c>
    </row>
    <row r="161" spans="3:19" hidden="1" x14ac:dyDescent="0.25">
      <c r="C161">
        <v>290061</v>
      </c>
      <c r="D161" t="s">
        <v>277</v>
      </c>
      <c r="E161" s="12" t="s">
        <v>77</v>
      </c>
      <c r="F161" s="12" t="s">
        <v>116</v>
      </c>
      <c r="G161" t="s">
        <v>87</v>
      </c>
      <c r="H161" t="s">
        <v>80</v>
      </c>
      <c r="I161" t="s">
        <v>285</v>
      </c>
      <c r="J161">
        <v>0</v>
      </c>
      <c r="K161" t="s">
        <v>215</v>
      </c>
      <c r="L161" t="s">
        <v>110</v>
      </c>
      <c r="M161" t="s">
        <v>111</v>
      </c>
      <c r="N161" t="s">
        <v>283</v>
      </c>
      <c r="P161" t="s">
        <v>286</v>
      </c>
      <c r="Q161" t="s">
        <v>113</v>
      </c>
      <c r="R161" t="s">
        <v>287</v>
      </c>
    </row>
    <row r="162" spans="3:19" hidden="1" x14ac:dyDescent="0.25">
      <c r="C162">
        <v>291054</v>
      </c>
      <c r="D162" t="s">
        <v>277</v>
      </c>
      <c r="E162" s="12" t="s">
        <v>77</v>
      </c>
      <c r="F162" s="12" t="s">
        <v>116</v>
      </c>
      <c r="G162" t="s">
        <v>87</v>
      </c>
      <c r="H162" t="s">
        <v>80</v>
      </c>
      <c r="I162" t="s">
        <v>175</v>
      </c>
      <c r="J162">
        <v>0</v>
      </c>
      <c r="K162" t="s">
        <v>215</v>
      </c>
      <c r="L162" t="s">
        <v>110</v>
      </c>
      <c r="M162" t="s">
        <v>111</v>
      </c>
      <c r="N162" t="s">
        <v>288</v>
      </c>
      <c r="P162" t="s">
        <v>85</v>
      </c>
      <c r="Q162" t="s">
        <v>113</v>
      </c>
      <c r="R162" t="s">
        <v>289</v>
      </c>
    </row>
    <row r="163" spans="3:19" hidden="1" x14ac:dyDescent="0.25">
      <c r="C163">
        <v>1590462</v>
      </c>
      <c r="D163" t="s">
        <v>277</v>
      </c>
      <c r="E163" s="12" t="s">
        <v>77</v>
      </c>
      <c r="F163" s="12" t="s">
        <v>116</v>
      </c>
      <c r="G163" t="s">
        <v>87</v>
      </c>
      <c r="H163" t="s">
        <v>80</v>
      </c>
      <c r="I163" t="s">
        <v>218</v>
      </c>
      <c r="J163">
        <v>2.2258</v>
      </c>
      <c r="K163" t="s">
        <v>118</v>
      </c>
      <c r="L163" t="s">
        <v>82</v>
      </c>
      <c r="M163" t="s">
        <v>83</v>
      </c>
      <c r="N163" t="s">
        <v>119</v>
      </c>
      <c r="O163" t="s">
        <v>290</v>
      </c>
      <c r="P163" t="s">
        <v>85</v>
      </c>
      <c r="Q163" t="s">
        <v>290</v>
      </c>
      <c r="R163" t="s">
        <v>291</v>
      </c>
    </row>
    <row r="164" spans="3:19" hidden="1" x14ac:dyDescent="0.25">
      <c r="C164">
        <v>283989</v>
      </c>
      <c r="D164" t="s">
        <v>277</v>
      </c>
      <c r="E164" s="12" t="s">
        <v>77</v>
      </c>
      <c r="F164" s="12" t="s">
        <v>121</v>
      </c>
      <c r="G164" t="s">
        <v>87</v>
      </c>
      <c r="H164" t="s">
        <v>80</v>
      </c>
      <c r="I164" t="s">
        <v>150</v>
      </c>
      <c r="J164">
        <v>314.3</v>
      </c>
      <c r="K164" t="s">
        <v>148</v>
      </c>
      <c r="L164" t="s">
        <v>110</v>
      </c>
      <c r="M164" t="s">
        <v>111</v>
      </c>
      <c r="N164" t="s">
        <v>292</v>
      </c>
      <c r="P164" t="s">
        <v>85</v>
      </c>
      <c r="Q164" t="s">
        <v>113</v>
      </c>
      <c r="S164" t="s">
        <v>293</v>
      </c>
    </row>
    <row r="165" spans="3:19" hidden="1" x14ac:dyDescent="0.25">
      <c r="C165">
        <v>4965</v>
      </c>
      <c r="D165" t="s">
        <v>277</v>
      </c>
      <c r="E165" s="12" t="s">
        <v>97</v>
      </c>
      <c r="F165" s="12" t="s">
        <v>108</v>
      </c>
      <c r="G165" t="s">
        <v>106</v>
      </c>
      <c r="H165" t="s">
        <v>99</v>
      </c>
      <c r="I165" t="s">
        <v>108</v>
      </c>
      <c r="J165">
        <v>186947.86</v>
      </c>
      <c r="K165" t="s">
        <v>109</v>
      </c>
      <c r="L165" t="s">
        <v>110</v>
      </c>
      <c r="M165" t="s">
        <v>162</v>
      </c>
      <c r="N165" t="s">
        <v>125</v>
      </c>
      <c r="P165" t="s">
        <v>85</v>
      </c>
      <c r="Q165" t="s">
        <v>113</v>
      </c>
      <c r="S165" t="s">
        <v>294</v>
      </c>
    </row>
    <row r="166" spans="3:19" hidden="1" x14ac:dyDescent="0.25">
      <c r="C166">
        <v>4990</v>
      </c>
      <c r="D166" t="s">
        <v>277</v>
      </c>
      <c r="E166" s="12" t="s">
        <v>97</v>
      </c>
      <c r="F166" s="12" t="s">
        <v>135</v>
      </c>
      <c r="G166" t="s">
        <v>106</v>
      </c>
      <c r="H166" t="s">
        <v>99</v>
      </c>
      <c r="I166" t="s">
        <v>135</v>
      </c>
      <c r="J166">
        <v>3355</v>
      </c>
      <c r="K166" t="s">
        <v>136</v>
      </c>
      <c r="L166" t="s">
        <v>110</v>
      </c>
      <c r="M166" t="s">
        <v>162</v>
      </c>
      <c r="N166" t="s">
        <v>125</v>
      </c>
      <c r="P166" t="s">
        <v>85</v>
      </c>
      <c r="Q166" t="s">
        <v>113</v>
      </c>
      <c r="S166" t="s">
        <v>294</v>
      </c>
    </row>
    <row r="167" spans="3:19" hidden="1" x14ac:dyDescent="0.25">
      <c r="C167">
        <v>5050</v>
      </c>
      <c r="D167" t="s">
        <v>277</v>
      </c>
      <c r="E167" s="12" t="s">
        <v>97</v>
      </c>
      <c r="F167" s="12" t="s">
        <v>116</v>
      </c>
      <c r="G167" t="s">
        <v>106</v>
      </c>
      <c r="H167" t="s">
        <v>99</v>
      </c>
      <c r="I167" t="s">
        <v>218</v>
      </c>
      <c r="J167">
        <v>2.2258</v>
      </c>
      <c r="K167" t="s">
        <v>118</v>
      </c>
      <c r="L167" t="s">
        <v>82</v>
      </c>
      <c r="M167" t="s">
        <v>83</v>
      </c>
      <c r="N167" t="s">
        <v>125</v>
      </c>
      <c r="O167" t="s">
        <v>295</v>
      </c>
      <c r="P167" t="s">
        <v>85</v>
      </c>
      <c r="Q167" t="s">
        <v>296</v>
      </c>
    </row>
    <row r="168" spans="3:19" hidden="1" x14ac:dyDescent="0.25">
      <c r="C168">
        <v>1257608</v>
      </c>
      <c r="D168" t="s">
        <v>277</v>
      </c>
      <c r="E168" s="12" t="s">
        <v>97</v>
      </c>
      <c r="F168" s="12" t="s">
        <v>116</v>
      </c>
      <c r="G168" t="s">
        <v>106</v>
      </c>
      <c r="H168" t="s">
        <v>99</v>
      </c>
      <c r="I168" t="s">
        <v>175</v>
      </c>
      <c r="J168">
        <v>0</v>
      </c>
      <c r="K168" t="s">
        <v>118</v>
      </c>
      <c r="L168" t="s">
        <v>110</v>
      </c>
      <c r="M168" t="s">
        <v>162</v>
      </c>
      <c r="N168" t="s">
        <v>297</v>
      </c>
      <c r="P168" t="s">
        <v>85</v>
      </c>
      <c r="Q168" t="s">
        <v>113</v>
      </c>
    </row>
    <row r="169" spans="3:19" hidden="1" x14ac:dyDescent="0.25">
      <c r="C169">
        <v>1236894</v>
      </c>
      <c r="D169" t="s">
        <v>277</v>
      </c>
      <c r="E169" s="12" t="s">
        <v>97</v>
      </c>
      <c r="F169" s="12" t="s">
        <v>121</v>
      </c>
      <c r="G169" t="s">
        <v>106</v>
      </c>
      <c r="H169" t="s">
        <v>99</v>
      </c>
      <c r="I169" t="s">
        <v>150</v>
      </c>
      <c r="J169">
        <v>386.1</v>
      </c>
      <c r="K169" t="s">
        <v>148</v>
      </c>
      <c r="L169" t="s">
        <v>110</v>
      </c>
      <c r="M169" t="s">
        <v>162</v>
      </c>
      <c r="N169" t="s">
        <v>298</v>
      </c>
      <c r="P169" t="s">
        <v>85</v>
      </c>
      <c r="Q169" t="s">
        <v>113</v>
      </c>
      <c r="S169" t="s">
        <v>294</v>
      </c>
    </row>
    <row r="170" spans="3:19" hidden="1" x14ac:dyDescent="0.25">
      <c r="C170">
        <v>237718</v>
      </c>
      <c r="D170" t="s">
        <v>299</v>
      </c>
      <c r="E170" s="12" t="s">
        <v>77</v>
      </c>
      <c r="F170" s="12" t="s">
        <v>108</v>
      </c>
      <c r="G170" t="s">
        <v>87</v>
      </c>
      <c r="H170" t="s">
        <v>80</v>
      </c>
      <c r="I170" t="s">
        <v>108</v>
      </c>
      <c r="J170">
        <v>57321</v>
      </c>
      <c r="K170" t="s">
        <v>109</v>
      </c>
      <c r="L170" t="s">
        <v>110</v>
      </c>
      <c r="M170" t="s">
        <v>111</v>
      </c>
      <c r="N170" t="s">
        <v>300</v>
      </c>
      <c r="P170" t="s">
        <v>85</v>
      </c>
      <c r="Q170" t="s">
        <v>113</v>
      </c>
      <c r="S170" t="s">
        <v>301</v>
      </c>
    </row>
    <row r="171" spans="3:19" hidden="1" x14ac:dyDescent="0.25">
      <c r="C171">
        <v>237720</v>
      </c>
      <c r="D171" t="s">
        <v>299</v>
      </c>
      <c r="E171" s="12" t="s">
        <v>77</v>
      </c>
      <c r="F171" s="12" t="s">
        <v>135</v>
      </c>
      <c r="G171" t="s">
        <v>87</v>
      </c>
      <c r="H171" t="s">
        <v>80</v>
      </c>
      <c r="I171" t="s">
        <v>135</v>
      </c>
      <c r="J171">
        <v>0</v>
      </c>
      <c r="K171" t="s">
        <v>143</v>
      </c>
      <c r="L171" t="s">
        <v>110</v>
      </c>
      <c r="M171" t="s">
        <v>111</v>
      </c>
      <c r="N171" t="s">
        <v>302</v>
      </c>
      <c r="P171" t="s">
        <v>85</v>
      </c>
      <c r="Q171" t="s">
        <v>113</v>
      </c>
    </row>
    <row r="172" spans="3:19" hidden="1" x14ac:dyDescent="0.25">
      <c r="C172">
        <v>237716</v>
      </c>
      <c r="D172" t="s">
        <v>299</v>
      </c>
      <c r="E172" s="12" t="s">
        <v>77</v>
      </c>
      <c r="F172" s="12" t="s">
        <v>116</v>
      </c>
      <c r="G172" t="s">
        <v>87</v>
      </c>
      <c r="H172" t="s">
        <v>80</v>
      </c>
      <c r="I172" t="s">
        <v>175</v>
      </c>
      <c r="J172">
        <v>0</v>
      </c>
      <c r="K172" t="s">
        <v>303</v>
      </c>
      <c r="L172" t="s">
        <v>110</v>
      </c>
      <c r="M172" t="s">
        <v>111</v>
      </c>
      <c r="N172" t="s">
        <v>304</v>
      </c>
      <c r="P172" t="s">
        <v>85</v>
      </c>
      <c r="Q172" t="s">
        <v>113</v>
      </c>
      <c r="R172" t="s">
        <v>305</v>
      </c>
    </row>
    <row r="173" spans="3:19" hidden="1" x14ac:dyDescent="0.25">
      <c r="C173">
        <v>1590438</v>
      </c>
      <c r="D173" t="s">
        <v>299</v>
      </c>
      <c r="E173" s="12" t="s">
        <v>77</v>
      </c>
      <c r="F173" s="12" t="s">
        <v>116</v>
      </c>
      <c r="G173" t="s">
        <v>87</v>
      </c>
      <c r="H173" t="s">
        <v>80</v>
      </c>
      <c r="I173" t="s">
        <v>218</v>
      </c>
      <c r="J173">
        <v>30.07343243</v>
      </c>
      <c r="K173" t="s">
        <v>118</v>
      </c>
      <c r="L173" t="s">
        <v>82</v>
      </c>
      <c r="M173" t="s">
        <v>83</v>
      </c>
      <c r="N173" t="s">
        <v>119</v>
      </c>
      <c r="P173" t="s">
        <v>85</v>
      </c>
      <c r="Q173" t="s">
        <v>119</v>
      </c>
      <c r="R173" t="s">
        <v>306</v>
      </c>
    </row>
    <row r="174" spans="3:19" hidden="1" x14ac:dyDescent="0.25">
      <c r="C174">
        <v>4964</v>
      </c>
      <c r="D174" t="s">
        <v>299</v>
      </c>
      <c r="E174" s="12" t="s">
        <v>97</v>
      </c>
      <c r="F174" s="12" t="s">
        <v>108</v>
      </c>
      <c r="G174" t="s">
        <v>106</v>
      </c>
      <c r="H174" t="s">
        <v>99</v>
      </c>
      <c r="I174" t="s">
        <v>108</v>
      </c>
      <c r="J174">
        <v>10714</v>
      </c>
      <c r="K174" t="s">
        <v>109</v>
      </c>
      <c r="L174" t="s">
        <v>110</v>
      </c>
      <c r="M174" t="s">
        <v>162</v>
      </c>
      <c r="N174" t="s">
        <v>125</v>
      </c>
      <c r="P174" t="s">
        <v>85</v>
      </c>
      <c r="Q174" t="s">
        <v>113</v>
      </c>
      <c r="S174" t="s">
        <v>307</v>
      </c>
    </row>
    <row r="175" spans="3:19" hidden="1" x14ac:dyDescent="0.25">
      <c r="C175">
        <v>4989</v>
      </c>
      <c r="D175" t="s">
        <v>299</v>
      </c>
      <c r="E175" s="12" t="s">
        <v>97</v>
      </c>
      <c r="F175" s="12" t="s">
        <v>135</v>
      </c>
      <c r="G175" t="s">
        <v>106</v>
      </c>
      <c r="H175" t="s">
        <v>99</v>
      </c>
      <c r="I175" t="s">
        <v>135</v>
      </c>
      <c r="J175">
        <v>0</v>
      </c>
      <c r="K175" t="s">
        <v>140</v>
      </c>
      <c r="L175" t="s">
        <v>82</v>
      </c>
      <c r="M175" t="s">
        <v>129</v>
      </c>
      <c r="N175" t="s">
        <v>125</v>
      </c>
      <c r="P175" t="s">
        <v>85</v>
      </c>
      <c r="Q175" t="s">
        <v>113</v>
      </c>
    </row>
    <row r="176" spans="3:19" hidden="1" x14ac:dyDescent="0.25">
      <c r="C176">
        <v>5023</v>
      </c>
      <c r="D176" t="s">
        <v>299</v>
      </c>
      <c r="E176" s="12" t="s">
        <v>97</v>
      </c>
      <c r="F176" s="12" t="s">
        <v>141</v>
      </c>
      <c r="G176" t="s">
        <v>106</v>
      </c>
      <c r="H176" t="s">
        <v>99</v>
      </c>
      <c r="I176" t="s">
        <v>142</v>
      </c>
      <c r="J176">
        <v>0</v>
      </c>
      <c r="K176" t="s">
        <v>143</v>
      </c>
      <c r="L176" t="s">
        <v>82</v>
      </c>
      <c r="M176" t="s">
        <v>129</v>
      </c>
      <c r="N176" t="s">
        <v>125</v>
      </c>
      <c r="P176" t="s">
        <v>85</v>
      </c>
      <c r="Q176" t="s">
        <v>113</v>
      </c>
    </row>
    <row r="177" spans="3:19" hidden="1" x14ac:dyDescent="0.25">
      <c r="C177">
        <v>5049</v>
      </c>
      <c r="D177" t="s">
        <v>299</v>
      </c>
      <c r="E177" s="12" t="s">
        <v>97</v>
      </c>
      <c r="F177" s="12" t="s">
        <v>116</v>
      </c>
      <c r="G177" t="s">
        <v>106</v>
      </c>
      <c r="H177" t="s">
        <v>99</v>
      </c>
      <c r="I177" t="s">
        <v>128</v>
      </c>
      <c r="J177">
        <v>30.073499999999999</v>
      </c>
      <c r="K177" t="s">
        <v>118</v>
      </c>
      <c r="L177" t="s">
        <v>82</v>
      </c>
      <c r="M177" t="s">
        <v>129</v>
      </c>
      <c r="N177" t="s">
        <v>125</v>
      </c>
      <c r="P177" t="s">
        <v>85</v>
      </c>
      <c r="Q177" t="s">
        <v>113</v>
      </c>
    </row>
    <row r="178" spans="3:19" hidden="1" x14ac:dyDescent="0.25">
      <c r="C178">
        <v>20122</v>
      </c>
      <c r="D178" t="s">
        <v>308</v>
      </c>
      <c r="E178" s="12" t="s">
        <v>77</v>
      </c>
      <c r="F178" s="12" t="s">
        <v>108</v>
      </c>
      <c r="G178" t="s">
        <v>87</v>
      </c>
      <c r="H178" t="s">
        <v>80</v>
      </c>
      <c r="I178" t="s">
        <v>108</v>
      </c>
      <c r="J178">
        <v>125011</v>
      </c>
      <c r="K178" t="s">
        <v>109</v>
      </c>
      <c r="L178" t="s">
        <v>110</v>
      </c>
      <c r="M178" t="s">
        <v>111</v>
      </c>
      <c r="N178" t="s">
        <v>309</v>
      </c>
      <c r="P178" t="s">
        <v>85</v>
      </c>
      <c r="Q178" t="s">
        <v>113</v>
      </c>
      <c r="S178" t="s">
        <v>310</v>
      </c>
    </row>
    <row r="179" spans="3:19" hidden="1" x14ac:dyDescent="0.25">
      <c r="C179">
        <v>20060</v>
      </c>
      <c r="D179" t="s">
        <v>308</v>
      </c>
      <c r="E179" s="12" t="s">
        <v>77</v>
      </c>
      <c r="F179" s="12" t="s">
        <v>135</v>
      </c>
      <c r="G179" t="s">
        <v>87</v>
      </c>
      <c r="H179" t="s">
        <v>80</v>
      </c>
      <c r="I179" t="s">
        <v>135</v>
      </c>
      <c r="J179">
        <v>958300</v>
      </c>
      <c r="K179" t="s">
        <v>160</v>
      </c>
      <c r="L179" t="s">
        <v>110</v>
      </c>
      <c r="M179" t="s">
        <v>111</v>
      </c>
      <c r="N179" t="s">
        <v>311</v>
      </c>
      <c r="P179" t="s">
        <v>85</v>
      </c>
      <c r="Q179" t="s">
        <v>113</v>
      </c>
      <c r="S179" t="s">
        <v>312</v>
      </c>
    </row>
    <row r="180" spans="3:19" hidden="1" x14ac:dyDescent="0.25">
      <c r="C180">
        <v>284002</v>
      </c>
      <c r="D180" t="s">
        <v>308</v>
      </c>
      <c r="E180" s="12" t="s">
        <v>77</v>
      </c>
      <c r="F180" s="12" t="s">
        <v>141</v>
      </c>
      <c r="G180" t="s">
        <v>87</v>
      </c>
      <c r="H180" t="s">
        <v>80</v>
      </c>
      <c r="I180" t="s">
        <v>187</v>
      </c>
      <c r="J180">
        <v>0</v>
      </c>
      <c r="K180" t="s">
        <v>140</v>
      </c>
      <c r="L180" t="s">
        <v>110</v>
      </c>
      <c r="M180" t="s">
        <v>111</v>
      </c>
      <c r="N180" t="s">
        <v>313</v>
      </c>
      <c r="P180" t="s">
        <v>85</v>
      </c>
      <c r="Q180" t="s">
        <v>113</v>
      </c>
    </row>
    <row r="181" spans="3:19" hidden="1" x14ac:dyDescent="0.25">
      <c r="C181">
        <v>1590455</v>
      </c>
      <c r="D181" t="s">
        <v>308</v>
      </c>
      <c r="E181" s="12" t="s">
        <v>77</v>
      </c>
      <c r="F181" s="12" t="s">
        <v>116</v>
      </c>
      <c r="G181" t="s">
        <v>87</v>
      </c>
      <c r="H181" t="s">
        <v>80</v>
      </c>
      <c r="I181" t="s">
        <v>117</v>
      </c>
      <c r="J181">
        <v>5</v>
      </c>
      <c r="K181" t="s">
        <v>118</v>
      </c>
      <c r="L181" t="s">
        <v>82</v>
      </c>
      <c r="M181" t="s">
        <v>83</v>
      </c>
      <c r="N181" t="s">
        <v>119</v>
      </c>
      <c r="P181" t="s">
        <v>85</v>
      </c>
      <c r="Q181" t="s">
        <v>119</v>
      </c>
      <c r="R181" t="s">
        <v>120</v>
      </c>
    </row>
    <row r="182" spans="3:19" hidden="1" x14ac:dyDescent="0.25">
      <c r="C182">
        <v>284004</v>
      </c>
      <c r="D182" t="s">
        <v>308</v>
      </c>
      <c r="E182" s="12" t="s">
        <v>77</v>
      </c>
      <c r="F182" s="12" t="s">
        <v>121</v>
      </c>
      <c r="G182" t="s">
        <v>87</v>
      </c>
      <c r="H182" t="s">
        <v>80</v>
      </c>
      <c r="I182" t="s">
        <v>150</v>
      </c>
      <c r="J182">
        <v>0</v>
      </c>
      <c r="K182" t="s">
        <v>207</v>
      </c>
      <c r="L182" t="s">
        <v>110</v>
      </c>
      <c r="M182" t="s">
        <v>111</v>
      </c>
      <c r="N182" t="s">
        <v>313</v>
      </c>
      <c r="P182" t="s">
        <v>85</v>
      </c>
      <c r="Q182" t="s">
        <v>113</v>
      </c>
    </row>
    <row r="183" spans="3:19" hidden="1" x14ac:dyDescent="0.25">
      <c r="C183">
        <v>4959</v>
      </c>
      <c r="D183" t="s">
        <v>308</v>
      </c>
      <c r="E183" s="12" t="s">
        <v>97</v>
      </c>
      <c r="F183" s="12" t="s">
        <v>108</v>
      </c>
      <c r="G183" t="s">
        <v>106</v>
      </c>
      <c r="H183" t="s">
        <v>99</v>
      </c>
      <c r="I183" t="s">
        <v>108</v>
      </c>
      <c r="J183">
        <v>94206</v>
      </c>
      <c r="K183" t="s">
        <v>109</v>
      </c>
      <c r="L183" t="s">
        <v>110</v>
      </c>
      <c r="M183" t="s">
        <v>162</v>
      </c>
      <c r="N183" t="s">
        <v>125</v>
      </c>
      <c r="P183" t="s">
        <v>85</v>
      </c>
      <c r="Q183" t="s">
        <v>113</v>
      </c>
      <c r="S183" t="s">
        <v>314</v>
      </c>
    </row>
    <row r="184" spans="3:19" hidden="1" x14ac:dyDescent="0.25">
      <c r="C184">
        <v>4985</v>
      </c>
      <c r="D184" t="s">
        <v>308</v>
      </c>
      <c r="E184" s="12" t="s">
        <v>97</v>
      </c>
      <c r="F184" s="12" t="s">
        <v>135</v>
      </c>
      <c r="G184" t="s">
        <v>106</v>
      </c>
      <c r="H184" t="s">
        <v>99</v>
      </c>
      <c r="I184" t="s">
        <v>135</v>
      </c>
      <c r="J184">
        <v>9204.4120000000003</v>
      </c>
      <c r="K184" t="s">
        <v>136</v>
      </c>
      <c r="L184" t="s">
        <v>110</v>
      </c>
      <c r="M184" t="s">
        <v>162</v>
      </c>
      <c r="N184" t="s">
        <v>125</v>
      </c>
      <c r="P184" t="s">
        <v>85</v>
      </c>
      <c r="Q184" t="s">
        <v>113</v>
      </c>
      <c r="S184" t="s">
        <v>314</v>
      </c>
    </row>
    <row r="185" spans="3:19" hidden="1" x14ac:dyDescent="0.25">
      <c r="C185">
        <v>5019</v>
      </c>
      <c r="D185" t="s">
        <v>308</v>
      </c>
      <c r="E185" s="12" t="s">
        <v>97</v>
      </c>
      <c r="F185" s="12" t="s">
        <v>141</v>
      </c>
      <c r="G185" t="s">
        <v>106</v>
      </c>
      <c r="H185" t="s">
        <v>99</v>
      </c>
      <c r="I185" t="s">
        <v>142</v>
      </c>
      <c r="J185">
        <v>0</v>
      </c>
      <c r="K185" t="s">
        <v>143</v>
      </c>
      <c r="L185" t="s">
        <v>82</v>
      </c>
      <c r="M185" t="s">
        <v>129</v>
      </c>
      <c r="N185" t="s">
        <v>125</v>
      </c>
      <c r="P185" t="s">
        <v>85</v>
      </c>
      <c r="Q185" t="s">
        <v>113</v>
      </c>
    </row>
    <row r="186" spans="3:19" hidden="1" x14ac:dyDescent="0.25">
      <c r="C186">
        <v>5044</v>
      </c>
      <c r="D186" t="s">
        <v>308</v>
      </c>
      <c r="E186" s="12" t="s">
        <v>97</v>
      </c>
      <c r="F186" s="12" t="s">
        <v>116</v>
      </c>
      <c r="G186" t="s">
        <v>106</v>
      </c>
      <c r="H186" t="s">
        <v>99</v>
      </c>
      <c r="I186" t="s">
        <v>128</v>
      </c>
      <c r="J186">
        <v>5</v>
      </c>
      <c r="K186" t="s">
        <v>118</v>
      </c>
      <c r="L186" t="s">
        <v>82</v>
      </c>
      <c r="M186" t="s">
        <v>129</v>
      </c>
      <c r="N186" t="s">
        <v>125</v>
      </c>
      <c r="P186" t="s">
        <v>85</v>
      </c>
      <c r="Q186" t="s">
        <v>113</v>
      </c>
    </row>
    <row r="187" spans="3:19" hidden="1" x14ac:dyDescent="0.25">
      <c r="C187">
        <v>237860</v>
      </c>
      <c r="D187" t="s">
        <v>315</v>
      </c>
      <c r="E187" s="12" t="s">
        <v>77</v>
      </c>
      <c r="F187" s="12" t="s">
        <v>108</v>
      </c>
      <c r="G187" t="s">
        <v>87</v>
      </c>
      <c r="H187" t="s">
        <v>80</v>
      </c>
      <c r="I187" t="s">
        <v>108</v>
      </c>
      <c r="J187">
        <v>1107522</v>
      </c>
      <c r="K187" t="s">
        <v>109</v>
      </c>
      <c r="L187" t="s">
        <v>110</v>
      </c>
      <c r="M187" t="s">
        <v>111</v>
      </c>
      <c r="N187" t="s">
        <v>316</v>
      </c>
      <c r="P187" t="s">
        <v>85</v>
      </c>
      <c r="Q187" t="s">
        <v>113</v>
      </c>
      <c r="S187" t="s">
        <v>317</v>
      </c>
    </row>
    <row r="188" spans="3:19" hidden="1" x14ac:dyDescent="0.25">
      <c r="C188">
        <v>291071</v>
      </c>
      <c r="D188" t="s">
        <v>315</v>
      </c>
      <c r="E188" s="12" t="s">
        <v>77</v>
      </c>
      <c r="F188" s="12" t="s">
        <v>135</v>
      </c>
      <c r="G188" t="s">
        <v>87</v>
      </c>
      <c r="H188" t="s">
        <v>80</v>
      </c>
      <c r="I188" t="s">
        <v>135</v>
      </c>
      <c r="J188">
        <v>561300</v>
      </c>
      <c r="K188" t="s">
        <v>160</v>
      </c>
      <c r="L188" t="s">
        <v>110</v>
      </c>
      <c r="M188" t="s">
        <v>111</v>
      </c>
      <c r="N188" t="s">
        <v>318</v>
      </c>
      <c r="P188" t="s">
        <v>85</v>
      </c>
      <c r="Q188" t="s">
        <v>113</v>
      </c>
      <c r="S188" t="s">
        <v>319</v>
      </c>
    </row>
    <row r="189" spans="3:19" hidden="1" x14ac:dyDescent="0.25">
      <c r="C189">
        <v>1590454</v>
      </c>
      <c r="D189" t="s">
        <v>315</v>
      </c>
      <c r="E189" s="12" t="s">
        <v>77</v>
      </c>
      <c r="F189" s="12" t="s">
        <v>116</v>
      </c>
      <c r="G189" t="s">
        <v>87</v>
      </c>
      <c r="H189" t="s">
        <v>80</v>
      </c>
      <c r="I189" t="s">
        <v>117</v>
      </c>
      <c r="J189">
        <v>14.287000000000001</v>
      </c>
      <c r="K189" t="s">
        <v>118</v>
      </c>
      <c r="L189" t="s">
        <v>82</v>
      </c>
      <c r="M189" t="s">
        <v>83</v>
      </c>
      <c r="N189" t="s">
        <v>119</v>
      </c>
      <c r="P189" t="s">
        <v>85</v>
      </c>
      <c r="Q189" t="s">
        <v>119</v>
      </c>
      <c r="R189" t="s">
        <v>120</v>
      </c>
    </row>
    <row r="190" spans="3:19" hidden="1" x14ac:dyDescent="0.25">
      <c r="C190">
        <v>291088</v>
      </c>
      <c r="D190" t="s">
        <v>315</v>
      </c>
      <c r="E190" s="12" t="s">
        <v>77</v>
      </c>
      <c r="F190" s="12" t="s">
        <v>121</v>
      </c>
      <c r="G190" t="s">
        <v>87</v>
      </c>
      <c r="H190" t="s">
        <v>80</v>
      </c>
      <c r="I190" t="s">
        <v>150</v>
      </c>
      <c r="J190">
        <v>2706</v>
      </c>
      <c r="K190" t="s">
        <v>215</v>
      </c>
      <c r="L190" t="s">
        <v>110</v>
      </c>
      <c r="M190" t="s">
        <v>111</v>
      </c>
      <c r="N190" t="s">
        <v>320</v>
      </c>
      <c r="P190" t="s">
        <v>85</v>
      </c>
      <c r="Q190" t="s">
        <v>113</v>
      </c>
      <c r="S190" t="s">
        <v>321</v>
      </c>
    </row>
    <row r="191" spans="3:19" hidden="1" x14ac:dyDescent="0.25">
      <c r="C191">
        <v>291426</v>
      </c>
      <c r="D191" t="s">
        <v>315</v>
      </c>
      <c r="E191" s="12" t="s">
        <v>77</v>
      </c>
      <c r="F191" s="12" t="s">
        <v>121</v>
      </c>
      <c r="G191" t="s">
        <v>87</v>
      </c>
      <c r="H191" t="s">
        <v>80</v>
      </c>
      <c r="I191" t="s">
        <v>150</v>
      </c>
      <c r="J191">
        <v>1774.31</v>
      </c>
      <c r="K191" t="s">
        <v>148</v>
      </c>
      <c r="L191" t="s">
        <v>110</v>
      </c>
      <c r="M191" t="s">
        <v>111</v>
      </c>
      <c r="N191" t="s">
        <v>322</v>
      </c>
      <c r="P191" t="s">
        <v>85</v>
      </c>
      <c r="Q191" t="s">
        <v>113</v>
      </c>
      <c r="R191" t="s">
        <v>323</v>
      </c>
      <c r="S191" t="s">
        <v>324</v>
      </c>
    </row>
    <row r="192" spans="3:19" hidden="1" x14ac:dyDescent="0.25">
      <c r="C192">
        <v>4956</v>
      </c>
      <c r="D192" t="s">
        <v>315</v>
      </c>
      <c r="E192" s="12" t="s">
        <v>97</v>
      </c>
      <c r="F192" s="12" t="s">
        <v>108</v>
      </c>
      <c r="G192" t="s">
        <v>106</v>
      </c>
      <c r="H192" t="s">
        <v>99</v>
      </c>
      <c r="I192" t="s">
        <v>108</v>
      </c>
      <c r="J192">
        <v>1487790</v>
      </c>
      <c r="K192" t="s">
        <v>109</v>
      </c>
      <c r="L192" t="s">
        <v>82</v>
      </c>
      <c r="M192" t="s">
        <v>162</v>
      </c>
      <c r="N192" t="s">
        <v>125</v>
      </c>
      <c r="P192" t="s">
        <v>85</v>
      </c>
      <c r="Q192" t="s">
        <v>113</v>
      </c>
      <c r="S192" t="s">
        <v>325</v>
      </c>
    </row>
    <row r="193" spans="3:19" hidden="1" x14ac:dyDescent="0.25">
      <c r="C193">
        <v>4983</v>
      </c>
      <c r="D193" t="s">
        <v>315</v>
      </c>
      <c r="E193" s="12" t="s">
        <v>97</v>
      </c>
      <c r="F193" s="12" t="s">
        <v>135</v>
      </c>
      <c r="G193" t="s">
        <v>106</v>
      </c>
      <c r="H193" t="s">
        <v>99</v>
      </c>
      <c r="I193" t="s">
        <v>135</v>
      </c>
      <c r="J193">
        <v>9261500</v>
      </c>
      <c r="K193" t="s">
        <v>160</v>
      </c>
      <c r="L193" t="s">
        <v>110</v>
      </c>
      <c r="M193" t="s">
        <v>162</v>
      </c>
      <c r="N193" t="s">
        <v>125</v>
      </c>
      <c r="P193" t="s">
        <v>85</v>
      </c>
      <c r="Q193" t="s">
        <v>113</v>
      </c>
      <c r="S193" t="s">
        <v>326</v>
      </c>
    </row>
    <row r="194" spans="3:19" hidden="1" x14ac:dyDescent="0.25">
      <c r="C194">
        <v>5042</v>
      </c>
      <c r="D194" t="s">
        <v>315</v>
      </c>
      <c r="E194" s="12" t="s">
        <v>97</v>
      </c>
      <c r="F194" s="12" t="s">
        <v>116</v>
      </c>
      <c r="G194" t="s">
        <v>106</v>
      </c>
      <c r="H194" t="s">
        <v>99</v>
      </c>
      <c r="I194" t="s">
        <v>128</v>
      </c>
      <c r="J194">
        <v>14.287000000000001</v>
      </c>
      <c r="K194" t="s">
        <v>118</v>
      </c>
      <c r="L194" t="s">
        <v>82</v>
      </c>
      <c r="M194" t="s">
        <v>129</v>
      </c>
      <c r="N194" t="s">
        <v>125</v>
      </c>
      <c r="P194" t="s">
        <v>85</v>
      </c>
      <c r="Q194" t="s">
        <v>113</v>
      </c>
    </row>
    <row r="195" spans="3:19" hidden="1" x14ac:dyDescent="0.25">
      <c r="C195">
        <v>1236884</v>
      </c>
      <c r="D195" t="s">
        <v>315</v>
      </c>
      <c r="E195" s="12" t="s">
        <v>97</v>
      </c>
      <c r="F195" s="12" t="s">
        <v>121</v>
      </c>
      <c r="G195" t="s">
        <v>106</v>
      </c>
      <c r="H195" t="s">
        <v>99</v>
      </c>
      <c r="I195" t="s">
        <v>150</v>
      </c>
      <c r="J195">
        <v>5001</v>
      </c>
      <c r="K195" t="s">
        <v>215</v>
      </c>
      <c r="L195" t="s">
        <v>110</v>
      </c>
      <c r="M195" t="s">
        <v>162</v>
      </c>
      <c r="N195" t="s">
        <v>327</v>
      </c>
      <c r="P195" t="s">
        <v>85</v>
      </c>
      <c r="Q195" t="s">
        <v>113</v>
      </c>
    </row>
    <row r="196" spans="3:19" hidden="1" x14ac:dyDescent="0.25">
      <c r="C196">
        <v>20577</v>
      </c>
      <c r="D196" t="s">
        <v>328</v>
      </c>
      <c r="E196" s="12" t="s">
        <v>77</v>
      </c>
      <c r="F196" s="12" t="s">
        <v>108</v>
      </c>
      <c r="G196" t="s">
        <v>87</v>
      </c>
      <c r="H196" t="s">
        <v>80</v>
      </c>
      <c r="I196" t="s">
        <v>108</v>
      </c>
      <c r="J196">
        <v>15129836</v>
      </c>
      <c r="K196" t="s">
        <v>109</v>
      </c>
      <c r="L196" t="s">
        <v>110</v>
      </c>
      <c r="M196" t="s">
        <v>111</v>
      </c>
      <c r="N196" t="s">
        <v>329</v>
      </c>
      <c r="P196" t="s">
        <v>85</v>
      </c>
      <c r="Q196" t="s">
        <v>113</v>
      </c>
      <c r="S196" t="s">
        <v>330</v>
      </c>
    </row>
    <row r="197" spans="3:19" hidden="1" x14ac:dyDescent="0.25">
      <c r="C197">
        <v>20575</v>
      </c>
      <c r="D197" t="s">
        <v>328</v>
      </c>
      <c r="E197" s="12" t="s">
        <v>77</v>
      </c>
      <c r="F197" s="12" t="s">
        <v>135</v>
      </c>
      <c r="G197" t="s">
        <v>87</v>
      </c>
      <c r="H197" t="s">
        <v>80</v>
      </c>
      <c r="I197" t="s">
        <v>135</v>
      </c>
      <c r="J197">
        <v>2349743.2999999998</v>
      </c>
      <c r="K197" t="s">
        <v>136</v>
      </c>
      <c r="L197" t="s">
        <v>110</v>
      </c>
      <c r="M197" t="s">
        <v>111</v>
      </c>
      <c r="N197" t="s">
        <v>331</v>
      </c>
      <c r="P197" t="s">
        <v>85</v>
      </c>
      <c r="Q197" t="s">
        <v>113</v>
      </c>
      <c r="S197" t="s">
        <v>332</v>
      </c>
    </row>
    <row r="198" spans="3:19" hidden="1" x14ac:dyDescent="0.25">
      <c r="C198">
        <v>292829</v>
      </c>
      <c r="D198" t="s">
        <v>328</v>
      </c>
      <c r="E198" s="12" t="s">
        <v>77</v>
      </c>
      <c r="F198" s="12" t="s">
        <v>141</v>
      </c>
      <c r="G198" t="s">
        <v>87</v>
      </c>
      <c r="H198" t="s">
        <v>80</v>
      </c>
      <c r="I198" t="s">
        <v>147</v>
      </c>
      <c r="J198">
        <v>180.9</v>
      </c>
      <c r="K198" t="s">
        <v>148</v>
      </c>
      <c r="L198" t="s">
        <v>110</v>
      </c>
      <c r="M198" t="s">
        <v>111</v>
      </c>
      <c r="N198" t="s">
        <v>333</v>
      </c>
      <c r="P198" t="s">
        <v>85</v>
      </c>
      <c r="Q198" t="s">
        <v>113</v>
      </c>
      <c r="S198" t="s">
        <v>334</v>
      </c>
    </row>
    <row r="199" spans="3:19" hidden="1" x14ac:dyDescent="0.25">
      <c r="C199">
        <v>283977</v>
      </c>
      <c r="D199" t="s">
        <v>328</v>
      </c>
      <c r="E199" s="12" t="s">
        <v>77</v>
      </c>
      <c r="F199" s="12" t="s">
        <v>116</v>
      </c>
      <c r="G199" t="s">
        <v>87</v>
      </c>
      <c r="H199" t="s">
        <v>80</v>
      </c>
      <c r="I199" t="s">
        <v>272</v>
      </c>
      <c r="J199">
        <v>28</v>
      </c>
      <c r="K199" t="s">
        <v>215</v>
      </c>
      <c r="L199" t="s">
        <v>110</v>
      </c>
      <c r="M199" t="s">
        <v>111</v>
      </c>
      <c r="N199" t="s">
        <v>335</v>
      </c>
      <c r="P199" t="s">
        <v>85</v>
      </c>
      <c r="Q199" t="s">
        <v>113</v>
      </c>
      <c r="S199" t="s">
        <v>336</v>
      </c>
    </row>
    <row r="200" spans="3:19" hidden="1" x14ac:dyDescent="0.25">
      <c r="C200">
        <v>283979</v>
      </c>
      <c r="D200" t="s">
        <v>328</v>
      </c>
      <c r="E200" s="12" t="s">
        <v>77</v>
      </c>
      <c r="F200" s="12" t="s">
        <v>116</v>
      </c>
      <c r="G200" t="s">
        <v>87</v>
      </c>
      <c r="H200" t="s">
        <v>80</v>
      </c>
      <c r="I200" t="s">
        <v>128</v>
      </c>
      <c r="J200">
        <v>6</v>
      </c>
      <c r="K200" t="s">
        <v>215</v>
      </c>
      <c r="L200" t="s">
        <v>110</v>
      </c>
      <c r="M200" t="s">
        <v>111</v>
      </c>
      <c r="N200" t="s">
        <v>337</v>
      </c>
      <c r="P200" t="s">
        <v>85</v>
      </c>
      <c r="Q200" t="s">
        <v>113</v>
      </c>
      <c r="S200" t="s">
        <v>336</v>
      </c>
    </row>
    <row r="201" spans="3:19" hidden="1" x14ac:dyDescent="0.25">
      <c r="C201">
        <v>283981</v>
      </c>
      <c r="D201" t="s">
        <v>328</v>
      </c>
      <c r="E201" s="12" t="s">
        <v>77</v>
      </c>
      <c r="F201" s="12" t="s">
        <v>116</v>
      </c>
      <c r="G201" t="s">
        <v>87</v>
      </c>
      <c r="H201" t="s">
        <v>80</v>
      </c>
      <c r="I201" t="s">
        <v>178</v>
      </c>
      <c r="J201">
        <v>22</v>
      </c>
      <c r="K201" t="s">
        <v>215</v>
      </c>
      <c r="L201" t="s">
        <v>110</v>
      </c>
      <c r="M201" t="s">
        <v>111</v>
      </c>
      <c r="N201" t="s">
        <v>338</v>
      </c>
      <c r="P201" t="s">
        <v>85</v>
      </c>
      <c r="Q201" t="s">
        <v>113</v>
      </c>
      <c r="S201" t="s">
        <v>336</v>
      </c>
    </row>
    <row r="202" spans="3:19" hidden="1" x14ac:dyDescent="0.25">
      <c r="C202">
        <v>283983</v>
      </c>
      <c r="D202" t="s">
        <v>328</v>
      </c>
      <c r="E202" s="12" t="s">
        <v>77</v>
      </c>
      <c r="F202" s="12" t="s">
        <v>116</v>
      </c>
      <c r="G202" t="s">
        <v>87</v>
      </c>
      <c r="H202" t="s">
        <v>80</v>
      </c>
      <c r="I202" t="s">
        <v>175</v>
      </c>
      <c r="J202">
        <v>3</v>
      </c>
      <c r="K202" t="s">
        <v>215</v>
      </c>
      <c r="L202" t="s">
        <v>110</v>
      </c>
      <c r="M202" t="s">
        <v>111</v>
      </c>
      <c r="N202" t="s">
        <v>338</v>
      </c>
      <c r="P202" t="s">
        <v>85</v>
      </c>
      <c r="Q202" t="s">
        <v>113</v>
      </c>
      <c r="S202" t="s">
        <v>336</v>
      </c>
    </row>
    <row r="203" spans="3:19" hidden="1" x14ac:dyDescent="0.25">
      <c r="C203">
        <v>291080</v>
      </c>
      <c r="D203" t="s">
        <v>328</v>
      </c>
      <c r="E203" s="12" t="s">
        <v>77</v>
      </c>
      <c r="F203" s="12" t="s">
        <v>121</v>
      </c>
      <c r="G203" t="s">
        <v>87</v>
      </c>
      <c r="H203" t="s">
        <v>80</v>
      </c>
      <c r="I203" t="s">
        <v>150</v>
      </c>
      <c r="J203">
        <v>31840</v>
      </c>
      <c r="K203" t="s">
        <v>215</v>
      </c>
      <c r="L203" t="s">
        <v>110</v>
      </c>
      <c r="M203" t="s">
        <v>111</v>
      </c>
      <c r="N203" t="s">
        <v>339</v>
      </c>
      <c r="P203" t="s">
        <v>85</v>
      </c>
      <c r="Q203" t="s">
        <v>113</v>
      </c>
      <c r="S203" t="s">
        <v>340</v>
      </c>
    </row>
    <row r="204" spans="3:19" hidden="1" x14ac:dyDescent="0.25">
      <c r="C204">
        <v>4952</v>
      </c>
      <c r="D204" t="s">
        <v>328</v>
      </c>
      <c r="E204" s="12" t="s">
        <v>97</v>
      </c>
      <c r="F204" s="12" t="s">
        <v>108</v>
      </c>
      <c r="G204" t="s">
        <v>106</v>
      </c>
      <c r="H204" t="s">
        <v>99</v>
      </c>
      <c r="I204" t="s">
        <v>108</v>
      </c>
      <c r="J204">
        <v>15039084</v>
      </c>
      <c r="K204" t="s">
        <v>109</v>
      </c>
      <c r="L204" t="s">
        <v>110</v>
      </c>
      <c r="M204" t="s">
        <v>162</v>
      </c>
      <c r="N204" t="s">
        <v>125</v>
      </c>
      <c r="P204" t="s">
        <v>85</v>
      </c>
      <c r="Q204" t="s">
        <v>113</v>
      </c>
      <c r="S204" t="s">
        <v>341</v>
      </c>
    </row>
    <row r="205" spans="3:19" hidden="1" x14ac:dyDescent="0.25">
      <c r="C205">
        <v>4979</v>
      </c>
      <c r="D205" t="s">
        <v>328</v>
      </c>
      <c r="E205" s="12" t="s">
        <v>97</v>
      </c>
      <c r="F205" s="12" t="s">
        <v>135</v>
      </c>
      <c r="G205" t="s">
        <v>106</v>
      </c>
      <c r="H205" t="s">
        <v>99</v>
      </c>
      <c r="I205" t="s">
        <v>135</v>
      </c>
      <c r="J205">
        <v>2279211</v>
      </c>
      <c r="K205" t="s">
        <v>136</v>
      </c>
      <c r="L205" t="s">
        <v>110</v>
      </c>
      <c r="M205" t="s">
        <v>162</v>
      </c>
      <c r="N205" t="s">
        <v>125</v>
      </c>
      <c r="P205" t="s">
        <v>85</v>
      </c>
      <c r="Q205" t="s">
        <v>113</v>
      </c>
      <c r="S205" t="s">
        <v>341</v>
      </c>
    </row>
    <row r="206" spans="3:19" hidden="1" x14ac:dyDescent="0.25">
      <c r="C206">
        <v>1208906</v>
      </c>
      <c r="D206" t="s">
        <v>328</v>
      </c>
      <c r="E206" s="12" t="s">
        <v>97</v>
      </c>
      <c r="F206" s="12" t="s">
        <v>141</v>
      </c>
      <c r="G206" t="s">
        <v>106</v>
      </c>
      <c r="H206" t="s">
        <v>99</v>
      </c>
      <c r="I206" t="s">
        <v>147</v>
      </c>
      <c r="J206">
        <v>33.200000000000003</v>
      </c>
      <c r="K206" t="s">
        <v>148</v>
      </c>
      <c r="L206" t="s">
        <v>110</v>
      </c>
      <c r="M206" t="s">
        <v>162</v>
      </c>
      <c r="N206" t="s">
        <v>342</v>
      </c>
      <c r="P206" t="s">
        <v>85</v>
      </c>
      <c r="Q206" t="s">
        <v>113</v>
      </c>
      <c r="S206" t="s">
        <v>343</v>
      </c>
    </row>
    <row r="207" spans="3:19" hidden="1" x14ac:dyDescent="0.25">
      <c r="C207">
        <v>5038</v>
      </c>
      <c r="D207" t="s">
        <v>328</v>
      </c>
      <c r="E207" s="12" t="s">
        <v>97</v>
      </c>
      <c r="F207" s="12" t="s">
        <v>116</v>
      </c>
      <c r="G207" t="s">
        <v>106</v>
      </c>
      <c r="H207" t="s">
        <v>99</v>
      </c>
      <c r="I207" t="s">
        <v>128</v>
      </c>
      <c r="J207">
        <v>30.153199999999998</v>
      </c>
      <c r="K207" t="s">
        <v>118</v>
      </c>
      <c r="L207" t="s">
        <v>82</v>
      </c>
      <c r="M207" t="s">
        <v>129</v>
      </c>
      <c r="N207" t="s">
        <v>125</v>
      </c>
      <c r="P207" t="s">
        <v>85</v>
      </c>
      <c r="Q207" t="s">
        <v>113</v>
      </c>
    </row>
    <row r="208" spans="3:19" hidden="1" x14ac:dyDescent="0.25">
      <c r="C208">
        <v>1257594</v>
      </c>
      <c r="D208" t="s">
        <v>328</v>
      </c>
      <c r="E208" s="12" t="s">
        <v>97</v>
      </c>
      <c r="F208" s="12" t="s">
        <v>116</v>
      </c>
      <c r="G208" t="s">
        <v>106</v>
      </c>
      <c r="H208" t="s">
        <v>99</v>
      </c>
      <c r="I208" t="s">
        <v>218</v>
      </c>
      <c r="J208">
        <v>26</v>
      </c>
      <c r="K208" t="s">
        <v>215</v>
      </c>
      <c r="L208" t="s">
        <v>110</v>
      </c>
      <c r="M208" t="s">
        <v>111</v>
      </c>
      <c r="N208" t="s">
        <v>344</v>
      </c>
      <c r="P208" t="s">
        <v>85</v>
      </c>
      <c r="Q208" t="s">
        <v>345</v>
      </c>
      <c r="S208" t="s">
        <v>346</v>
      </c>
    </row>
    <row r="209" spans="3:19" hidden="1" x14ac:dyDescent="0.25">
      <c r="C209">
        <v>1257599</v>
      </c>
      <c r="D209" t="s">
        <v>328</v>
      </c>
      <c r="E209" s="12" t="s">
        <v>97</v>
      </c>
      <c r="F209" s="12" t="s">
        <v>116</v>
      </c>
      <c r="G209" t="s">
        <v>106</v>
      </c>
      <c r="H209" t="s">
        <v>99</v>
      </c>
      <c r="I209" t="s">
        <v>347</v>
      </c>
      <c r="J209">
        <v>25</v>
      </c>
      <c r="K209" t="s">
        <v>118</v>
      </c>
      <c r="L209" t="s">
        <v>110</v>
      </c>
      <c r="M209" t="s">
        <v>111</v>
      </c>
      <c r="N209" t="s">
        <v>348</v>
      </c>
      <c r="P209" t="s">
        <v>85</v>
      </c>
      <c r="Q209" t="s">
        <v>345</v>
      </c>
      <c r="S209" t="s">
        <v>346</v>
      </c>
    </row>
    <row r="210" spans="3:19" hidden="1" x14ac:dyDescent="0.25">
      <c r="C210">
        <v>1257604</v>
      </c>
      <c r="D210" t="s">
        <v>328</v>
      </c>
      <c r="E210" s="12" t="s">
        <v>97</v>
      </c>
      <c r="F210" s="12" t="s">
        <v>116</v>
      </c>
      <c r="G210" t="s">
        <v>106</v>
      </c>
      <c r="H210" t="s">
        <v>99</v>
      </c>
      <c r="I210" t="s">
        <v>272</v>
      </c>
      <c r="J210">
        <v>15</v>
      </c>
      <c r="K210" t="s">
        <v>215</v>
      </c>
      <c r="L210" t="s">
        <v>110</v>
      </c>
      <c r="M210" t="s">
        <v>111</v>
      </c>
      <c r="N210" t="s">
        <v>348</v>
      </c>
      <c r="P210" t="s">
        <v>85</v>
      </c>
      <c r="Q210" t="s">
        <v>349</v>
      </c>
      <c r="S210" t="s">
        <v>346</v>
      </c>
    </row>
    <row r="211" spans="3:19" hidden="1" x14ac:dyDescent="0.25">
      <c r="C211">
        <v>1236880</v>
      </c>
      <c r="D211" t="s">
        <v>328</v>
      </c>
      <c r="E211" s="12" t="s">
        <v>97</v>
      </c>
      <c r="F211" s="12" t="s">
        <v>121</v>
      </c>
      <c r="G211" t="s">
        <v>106</v>
      </c>
      <c r="H211" t="s">
        <v>99</v>
      </c>
      <c r="I211" t="s">
        <v>150</v>
      </c>
      <c r="J211">
        <v>29376</v>
      </c>
      <c r="K211" t="s">
        <v>215</v>
      </c>
      <c r="L211" t="s">
        <v>110</v>
      </c>
      <c r="M211" t="s">
        <v>111</v>
      </c>
      <c r="N211" t="s">
        <v>350</v>
      </c>
      <c r="P211" t="s">
        <v>85</v>
      </c>
      <c r="Q211" t="s">
        <v>351</v>
      </c>
      <c r="S211" t="s">
        <v>352</v>
      </c>
    </row>
    <row r="212" spans="3:19" hidden="1" x14ac:dyDescent="0.25">
      <c r="C212">
        <v>291076</v>
      </c>
      <c r="D212" t="s">
        <v>353</v>
      </c>
      <c r="E212" s="12" t="s">
        <v>77</v>
      </c>
      <c r="F212" s="12" t="s">
        <v>108</v>
      </c>
      <c r="G212" t="s">
        <v>87</v>
      </c>
      <c r="H212" t="s">
        <v>80</v>
      </c>
      <c r="I212" t="s">
        <v>108</v>
      </c>
      <c r="J212">
        <v>367966</v>
      </c>
      <c r="K212" t="s">
        <v>109</v>
      </c>
      <c r="L212" t="s">
        <v>110</v>
      </c>
      <c r="M212" t="s">
        <v>111</v>
      </c>
      <c r="N212" t="s">
        <v>354</v>
      </c>
      <c r="P212" t="s">
        <v>85</v>
      </c>
      <c r="Q212" t="s">
        <v>113</v>
      </c>
      <c r="S212" t="s">
        <v>355</v>
      </c>
    </row>
    <row r="213" spans="3:19" hidden="1" x14ac:dyDescent="0.25">
      <c r="C213">
        <v>291078</v>
      </c>
      <c r="D213" t="s">
        <v>353</v>
      </c>
      <c r="E213" s="12" t="s">
        <v>77</v>
      </c>
      <c r="F213" s="12" t="s">
        <v>135</v>
      </c>
      <c r="G213" t="s">
        <v>87</v>
      </c>
      <c r="H213" t="s">
        <v>80</v>
      </c>
      <c r="I213" t="s">
        <v>135</v>
      </c>
      <c r="J213">
        <v>2145812</v>
      </c>
      <c r="K213" t="s">
        <v>160</v>
      </c>
      <c r="L213" t="s">
        <v>110</v>
      </c>
      <c r="M213" t="s">
        <v>111</v>
      </c>
      <c r="N213" t="s">
        <v>356</v>
      </c>
      <c r="P213" t="s">
        <v>85</v>
      </c>
      <c r="Q213" t="s">
        <v>113</v>
      </c>
      <c r="S213" t="s">
        <v>357</v>
      </c>
    </row>
    <row r="214" spans="3:19" hidden="1" x14ac:dyDescent="0.25">
      <c r="C214">
        <v>255495</v>
      </c>
      <c r="D214" t="s">
        <v>353</v>
      </c>
      <c r="E214" s="12" t="s">
        <v>77</v>
      </c>
      <c r="F214" s="12" t="s">
        <v>141</v>
      </c>
      <c r="G214" t="s">
        <v>87</v>
      </c>
      <c r="H214" t="s">
        <v>80</v>
      </c>
      <c r="I214" t="s">
        <v>187</v>
      </c>
      <c r="J214">
        <v>0</v>
      </c>
      <c r="K214" t="s">
        <v>140</v>
      </c>
      <c r="L214" t="s">
        <v>110</v>
      </c>
      <c r="M214" t="s">
        <v>111</v>
      </c>
      <c r="N214" t="s">
        <v>358</v>
      </c>
      <c r="P214" t="s">
        <v>85</v>
      </c>
      <c r="Q214" t="s">
        <v>113</v>
      </c>
    </row>
    <row r="215" spans="3:19" hidden="1" x14ac:dyDescent="0.25">
      <c r="C215">
        <v>255497</v>
      </c>
      <c r="D215" t="s">
        <v>353</v>
      </c>
      <c r="E215" s="12" t="s">
        <v>77</v>
      </c>
      <c r="F215" s="12" t="s">
        <v>116</v>
      </c>
      <c r="G215" t="s">
        <v>87</v>
      </c>
      <c r="H215" t="s">
        <v>80</v>
      </c>
      <c r="I215" t="s">
        <v>359</v>
      </c>
      <c r="J215">
        <v>0</v>
      </c>
      <c r="K215" t="s">
        <v>215</v>
      </c>
      <c r="L215" t="s">
        <v>110</v>
      </c>
      <c r="M215" t="s">
        <v>111</v>
      </c>
      <c r="N215" t="s">
        <v>360</v>
      </c>
      <c r="P215" t="s">
        <v>85</v>
      </c>
      <c r="Q215" t="s">
        <v>113</v>
      </c>
      <c r="R215" t="s">
        <v>361</v>
      </c>
    </row>
    <row r="216" spans="3:19" hidden="1" x14ac:dyDescent="0.25">
      <c r="C216">
        <v>294645</v>
      </c>
      <c r="D216" t="s">
        <v>353</v>
      </c>
      <c r="E216" s="12" t="s">
        <v>77</v>
      </c>
      <c r="F216" s="12" t="s">
        <v>116</v>
      </c>
      <c r="G216" t="s">
        <v>87</v>
      </c>
      <c r="H216" t="s">
        <v>80</v>
      </c>
      <c r="I216" t="s">
        <v>175</v>
      </c>
      <c r="J216">
        <v>11.6</v>
      </c>
      <c r="K216" t="s">
        <v>215</v>
      </c>
      <c r="L216" t="s">
        <v>82</v>
      </c>
      <c r="M216" t="s">
        <v>111</v>
      </c>
      <c r="N216" t="s">
        <v>362</v>
      </c>
      <c r="P216" t="s">
        <v>85</v>
      </c>
      <c r="Q216" t="s">
        <v>113</v>
      </c>
      <c r="R216" t="s">
        <v>363</v>
      </c>
    </row>
    <row r="217" spans="3:19" hidden="1" x14ac:dyDescent="0.25">
      <c r="C217">
        <v>284000</v>
      </c>
      <c r="D217" t="s">
        <v>353</v>
      </c>
      <c r="E217" s="12" t="s">
        <v>77</v>
      </c>
      <c r="F217" s="12" t="s">
        <v>121</v>
      </c>
      <c r="G217" t="s">
        <v>87</v>
      </c>
      <c r="H217" t="s">
        <v>80</v>
      </c>
      <c r="I217" t="s">
        <v>150</v>
      </c>
      <c r="J217">
        <v>0</v>
      </c>
      <c r="K217" t="s">
        <v>207</v>
      </c>
      <c r="L217" t="s">
        <v>110</v>
      </c>
      <c r="M217" t="s">
        <v>111</v>
      </c>
      <c r="N217" t="s">
        <v>364</v>
      </c>
      <c r="P217" t="s">
        <v>85</v>
      </c>
      <c r="Q217" t="s">
        <v>113</v>
      </c>
    </row>
    <row r="218" spans="3:19" hidden="1" x14ac:dyDescent="0.25">
      <c r="C218">
        <v>4949</v>
      </c>
      <c r="D218" t="s">
        <v>353</v>
      </c>
      <c r="E218" s="12" t="s">
        <v>97</v>
      </c>
      <c r="F218" s="12" t="s">
        <v>108</v>
      </c>
      <c r="G218" t="s">
        <v>106</v>
      </c>
      <c r="H218" t="s">
        <v>99</v>
      </c>
      <c r="I218" t="s">
        <v>108</v>
      </c>
      <c r="J218">
        <v>404720</v>
      </c>
      <c r="K218" t="s">
        <v>109</v>
      </c>
      <c r="L218" t="s">
        <v>110</v>
      </c>
      <c r="M218" t="s">
        <v>162</v>
      </c>
      <c r="N218" t="s">
        <v>125</v>
      </c>
      <c r="P218" t="s">
        <v>85</v>
      </c>
      <c r="Q218" t="s">
        <v>113</v>
      </c>
      <c r="S218" t="s">
        <v>365</v>
      </c>
    </row>
    <row r="219" spans="3:19" hidden="1" x14ac:dyDescent="0.25">
      <c r="C219">
        <v>4976</v>
      </c>
      <c r="D219" t="s">
        <v>353</v>
      </c>
      <c r="E219" s="12" t="s">
        <v>97</v>
      </c>
      <c r="F219" s="12" t="s">
        <v>135</v>
      </c>
      <c r="G219" t="s">
        <v>106</v>
      </c>
      <c r="H219" t="s">
        <v>99</v>
      </c>
      <c r="I219" t="s">
        <v>135</v>
      </c>
      <c r="J219">
        <v>16621.580000000002</v>
      </c>
      <c r="K219" t="s">
        <v>136</v>
      </c>
      <c r="L219" t="s">
        <v>110</v>
      </c>
      <c r="M219" t="s">
        <v>162</v>
      </c>
      <c r="N219" t="s">
        <v>125</v>
      </c>
      <c r="P219" t="s">
        <v>85</v>
      </c>
      <c r="Q219" t="s">
        <v>113</v>
      </c>
      <c r="S219" t="s">
        <v>365</v>
      </c>
    </row>
    <row r="220" spans="3:19" hidden="1" x14ac:dyDescent="0.25">
      <c r="C220">
        <v>5009</v>
      </c>
      <c r="D220" t="s">
        <v>353</v>
      </c>
      <c r="E220" s="12" t="s">
        <v>97</v>
      </c>
      <c r="F220" s="12" t="s">
        <v>141</v>
      </c>
      <c r="G220" t="s">
        <v>106</v>
      </c>
      <c r="H220" t="s">
        <v>99</v>
      </c>
      <c r="I220" t="s">
        <v>187</v>
      </c>
      <c r="J220">
        <v>0</v>
      </c>
      <c r="K220" t="s">
        <v>209</v>
      </c>
      <c r="L220" t="s">
        <v>110</v>
      </c>
      <c r="M220" t="s">
        <v>129</v>
      </c>
      <c r="N220" t="s">
        <v>125</v>
      </c>
      <c r="P220" t="s">
        <v>85</v>
      </c>
      <c r="Q220" t="s">
        <v>113</v>
      </c>
    </row>
    <row r="221" spans="3:19" hidden="1" x14ac:dyDescent="0.25">
      <c r="C221">
        <v>5035</v>
      </c>
      <c r="D221" t="s">
        <v>353</v>
      </c>
      <c r="E221" s="12" t="s">
        <v>97</v>
      </c>
      <c r="F221" s="12" t="s">
        <v>116</v>
      </c>
      <c r="G221" t="s">
        <v>106</v>
      </c>
      <c r="H221" t="s">
        <v>99</v>
      </c>
      <c r="I221" t="s">
        <v>175</v>
      </c>
      <c r="J221">
        <v>7.1048</v>
      </c>
      <c r="K221" t="s">
        <v>118</v>
      </c>
      <c r="L221" t="s">
        <v>82</v>
      </c>
      <c r="M221" t="s">
        <v>162</v>
      </c>
      <c r="N221" t="s">
        <v>125</v>
      </c>
      <c r="P221" t="s">
        <v>85</v>
      </c>
      <c r="Q221" t="s">
        <v>113</v>
      </c>
    </row>
    <row r="222" spans="3:19" hidden="1" x14ac:dyDescent="0.25">
      <c r="C222">
        <v>1257589</v>
      </c>
      <c r="D222" t="s">
        <v>353</v>
      </c>
      <c r="E222" s="12" t="s">
        <v>97</v>
      </c>
      <c r="F222" s="12" t="s">
        <v>116</v>
      </c>
      <c r="G222" t="s">
        <v>106</v>
      </c>
      <c r="H222" t="s">
        <v>99</v>
      </c>
      <c r="I222" t="s">
        <v>359</v>
      </c>
      <c r="J222">
        <v>7.1048</v>
      </c>
      <c r="K222" t="s">
        <v>118</v>
      </c>
      <c r="L222" t="s">
        <v>110</v>
      </c>
      <c r="M222" t="s">
        <v>162</v>
      </c>
      <c r="N222" t="s">
        <v>366</v>
      </c>
      <c r="P222" t="s">
        <v>85</v>
      </c>
      <c r="Q222" t="s">
        <v>113</v>
      </c>
    </row>
    <row r="223" spans="3:19" hidden="1" x14ac:dyDescent="0.25">
      <c r="C223">
        <v>20131</v>
      </c>
      <c r="D223" t="s">
        <v>367</v>
      </c>
      <c r="E223" s="12" t="s">
        <v>77</v>
      </c>
      <c r="F223" s="12" t="s">
        <v>108</v>
      </c>
      <c r="G223" t="s">
        <v>87</v>
      </c>
      <c r="H223" t="s">
        <v>80</v>
      </c>
      <c r="I223" t="s">
        <v>108</v>
      </c>
      <c r="J223">
        <v>1828445</v>
      </c>
      <c r="K223" t="s">
        <v>109</v>
      </c>
      <c r="L223" t="s">
        <v>110</v>
      </c>
      <c r="M223" t="s">
        <v>111</v>
      </c>
      <c r="N223" t="s">
        <v>368</v>
      </c>
      <c r="P223" t="s">
        <v>85</v>
      </c>
      <c r="Q223" t="s">
        <v>113</v>
      </c>
      <c r="S223" t="s">
        <v>369</v>
      </c>
    </row>
    <row r="224" spans="3:19" hidden="1" x14ac:dyDescent="0.25">
      <c r="C224">
        <v>20129</v>
      </c>
      <c r="D224" t="s">
        <v>367</v>
      </c>
      <c r="E224" s="12" t="s">
        <v>77</v>
      </c>
      <c r="F224" s="12" t="s">
        <v>135</v>
      </c>
      <c r="G224" t="s">
        <v>87</v>
      </c>
      <c r="H224" t="s">
        <v>80</v>
      </c>
      <c r="I224" t="s">
        <v>135</v>
      </c>
      <c r="J224">
        <v>33973395</v>
      </c>
      <c r="K224" t="s">
        <v>160</v>
      </c>
      <c r="L224" t="s">
        <v>110</v>
      </c>
      <c r="M224" t="s">
        <v>111</v>
      </c>
      <c r="N224" t="s">
        <v>370</v>
      </c>
      <c r="P224" t="s">
        <v>85</v>
      </c>
      <c r="Q224" t="s">
        <v>113</v>
      </c>
      <c r="S224" t="s">
        <v>371</v>
      </c>
    </row>
    <row r="225" spans="3:19" hidden="1" x14ac:dyDescent="0.25">
      <c r="C225">
        <v>292839</v>
      </c>
      <c r="D225" t="s">
        <v>367</v>
      </c>
      <c r="E225" s="12" t="s">
        <v>77</v>
      </c>
      <c r="F225" s="12" t="s">
        <v>141</v>
      </c>
      <c r="G225" t="s">
        <v>87</v>
      </c>
      <c r="H225" t="s">
        <v>80</v>
      </c>
      <c r="I225" t="s">
        <v>147</v>
      </c>
      <c r="J225">
        <v>0</v>
      </c>
      <c r="K225" t="s">
        <v>303</v>
      </c>
      <c r="L225" t="s">
        <v>110</v>
      </c>
      <c r="M225" t="s">
        <v>111</v>
      </c>
      <c r="N225" t="s">
        <v>372</v>
      </c>
      <c r="P225" t="s">
        <v>85</v>
      </c>
      <c r="Q225" t="s">
        <v>113</v>
      </c>
      <c r="R225" t="s">
        <v>373</v>
      </c>
    </row>
    <row r="226" spans="3:19" hidden="1" x14ac:dyDescent="0.25">
      <c r="C226">
        <v>290055</v>
      </c>
      <c r="D226" t="s">
        <v>367</v>
      </c>
      <c r="E226" s="12" t="s">
        <v>77</v>
      </c>
      <c r="F226" s="12" t="s">
        <v>116</v>
      </c>
      <c r="G226" t="s">
        <v>87</v>
      </c>
      <c r="H226" t="s">
        <v>80</v>
      </c>
      <c r="I226" t="s">
        <v>374</v>
      </c>
      <c r="J226">
        <v>80</v>
      </c>
      <c r="K226" t="s">
        <v>215</v>
      </c>
      <c r="L226" t="s">
        <v>110</v>
      </c>
      <c r="M226" t="s">
        <v>111</v>
      </c>
      <c r="N226" t="s">
        <v>375</v>
      </c>
      <c r="P226" t="s">
        <v>85</v>
      </c>
      <c r="Q226" t="s">
        <v>113</v>
      </c>
      <c r="R226" t="s">
        <v>376</v>
      </c>
    </row>
    <row r="227" spans="3:19" hidden="1" x14ac:dyDescent="0.25">
      <c r="C227">
        <v>292844</v>
      </c>
      <c r="D227" t="s">
        <v>367</v>
      </c>
      <c r="E227" s="12" t="s">
        <v>77</v>
      </c>
      <c r="F227" s="12" t="s">
        <v>116</v>
      </c>
      <c r="G227" t="s">
        <v>87</v>
      </c>
      <c r="H227" t="s">
        <v>80</v>
      </c>
      <c r="I227" t="s">
        <v>175</v>
      </c>
      <c r="J227">
        <v>0</v>
      </c>
      <c r="K227" t="s">
        <v>215</v>
      </c>
      <c r="L227" t="s">
        <v>110</v>
      </c>
      <c r="M227" t="s">
        <v>111</v>
      </c>
      <c r="N227" t="s">
        <v>377</v>
      </c>
      <c r="P227" t="s">
        <v>85</v>
      </c>
      <c r="Q227" t="s">
        <v>113</v>
      </c>
      <c r="R227" t="s">
        <v>378</v>
      </c>
    </row>
    <row r="228" spans="3:19" hidden="1" x14ac:dyDescent="0.25">
      <c r="C228">
        <v>292841</v>
      </c>
      <c r="D228" t="s">
        <v>367</v>
      </c>
      <c r="E228" s="12" t="s">
        <v>77</v>
      </c>
      <c r="F228" s="12" t="s">
        <v>121</v>
      </c>
      <c r="G228" t="s">
        <v>87</v>
      </c>
      <c r="H228" t="s">
        <v>80</v>
      </c>
      <c r="I228" t="s">
        <v>150</v>
      </c>
      <c r="J228">
        <v>0</v>
      </c>
      <c r="K228" t="s">
        <v>148</v>
      </c>
      <c r="L228" t="s">
        <v>110</v>
      </c>
      <c r="M228" t="s">
        <v>111</v>
      </c>
      <c r="N228" t="s">
        <v>377</v>
      </c>
      <c r="P228" t="s">
        <v>85</v>
      </c>
      <c r="Q228" t="s">
        <v>113</v>
      </c>
      <c r="R228" t="s">
        <v>379</v>
      </c>
    </row>
    <row r="229" spans="3:19" hidden="1" x14ac:dyDescent="0.25">
      <c r="C229">
        <v>4948</v>
      </c>
      <c r="D229" t="s">
        <v>367</v>
      </c>
      <c r="E229" s="12" t="s">
        <v>97</v>
      </c>
      <c r="F229" s="12" t="s">
        <v>108</v>
      </c>
      <c r="G229" t="s">
        <v>106</v>
      </c>
      <c r="H229" t="s">
        <v>99</v>
      </c>
      <c r="I229" t="s">
        <v>108</v>
      </c>
      <c r="J229">
        <v>1827719</v>
      </c>
      <c r="K229" t="s">
        <v>109</v>
      </c>
      <c r="L229" t="s">
        <v>110</v>
      </c>
      <c r="M229" t="s">
        <v>129</v>
      </c>
      <c r="N229" t="s">
        <v>125</v>
      </c>
      <c r="P229" t="s">
        <v>85</v>
      </c>
      <c r="Q229" t="s">
        <v>113</v>
      </c>
    </row>
    <row r="230" spans="3:19" hidden="1" x14ac:dyDescent="0.25">
      <c r="C230">
        <v>4975</v>
      </c>
      <c r="D230" t="s">
        <v>367</v>
      </c>
      <c r="E230" s="12" t="s">
        <v>97</v>
      </c>
      <c r="F230" s="12" t="s">
        <v>135</v>
      </c>
      <c r="G230" t="s">
        <v>106</v>
      </c>
      <c r="H230" t="s">
        <v>99</v>
      </c>
      <c r="I230" t="s">
        <v>135</v>
      </c>
      <c r="J230">
        <v>3078539.5</v>
      </c>
      <c r="K230" t="s">
        <v>160</v>
      </c>
      <c r="L230" t="s">
        <v>110</v>
      </c>
      <c r="M230" t="s">
        <v>129</v>
      </c>
      <c r="N230" t="s">
        <v>125</v>
      </c>
      <c r="P230" t="s">
        <v>85</v>
      </c>
      <c r="Q230" t="s">
        <v>113</v>
      </c>
    </row>
    <row r="231" spans="3:19" hidden="1" x14ac:dyDescent="0.25">
      <c r="C231">
        <v>5008</v>
      </c>
      <c r="D231" t="s">
        <v>367</v>
      </c>
      <c r="E231" s="12" t="s">
        <v>97</v>
      </c>
      <c r="F231" s="12" t="s">
        <v>141</v>
      </c>
      <c r="G231" t="s">
        <v>106</v>
      </c>
      <c r="H231" t="s">
        <v>99</v>
      </c>
      <c r="I231" t="s">
        <v>187</v>
      </c>
      <c r="J231">
        <v>0</v>
      </c>
      <c r="K231" t="s">
        <v>209</v>
      </c>
      <c r="L231" t="s">
        <v>110</v>
      </c>
      <c r="M231" t="s">
        <v>129</v>
      </c>
      <c r="N231" t="s">
        <v>125</v>
      </c>
      <c r="P231" t="s">
        <v>85</v>
      </c>
      <c r="Q231" t="s">
        <v>113</v>
      </c>
    </row>
    <row r="232" spans="3:19" hidden="1" x14ac:dyDescent="0.25">
      <c r="C232">
        <v>5034</v>
      </c>
      <c r="D232" t="s">
        <v>367</v>
      </c>
      <c r="E232" s="12" t="s">
        <v>97</v>
      </c>
      <c r="F232" s="12" t="s">
        <v>116</v>
      </c>
      <c r="G232" t="s">
        <v>106</v>
      </c>
      <c r="H232" t="s">
        <v>99</v>
      </c>
      <c r="I232" t="s">
        <v>175</v>
      </c>
      <c r="J232">
        <v>8.1258999999999997</v>
      </c>
      <c r="K232" t="s">
        <v>118</v>
      </c>
      <c r="L232" t="s">
        <v>82</v>
      </c>
      <c r="M232" t="s">
        <v>162</v>
      </c>
      <c r="N232" t="s">
        <v>125</v>
      </c>
      <c r="P232" t="s">
        <v>85</v>
      </c>
      <c r="Q232" t="s">
        <v>113</v>
      </c>
    </row>
    <row r="233" spans="3:19" hidden="1" x14ac:dyDescent="0.25">
      <c r="C233">
        <v>1257584</v>
      </c>
      <c r="D233" t="s">
        <v>367</v>
      </c>
      <c r="E233" s="12" t="s">
        <v>97</v>
      </c>
      <c r="F233" s="12" t="s">
        <v>116</v>
      </c>
      <c r="G233" t="s">
        <v>106</v>
      </c>
      <c r="H233" t="s">
        <v>99</v>
      </c>
      <c r="I233" t="s">
        <v>380</v>
      </c>
      <c r="J233">
        <v>8.1258999999999997</v>
      </c>
      <c r="K233" t="s">
        <v>118</v>
      </c>
      <c r="L233" t="s">
        <v>110</v>
      </c>
      <c r="M233" t="s">
        <v>162</v>
      </c>
      <c r="N233" t="s">
        <v>381</v>
      </c>
      <c r="P233" t="s">
        <v>286</v>
      </c>
      <c r="Q233" t="s">
        <v>113</v>
      </c>
    </row>
    <row r="234" spans="3:19" hidden="1" x14ac:dyDescent="0.25">
      <c r="C234">
        <v>291418</v>
      </c>
      <c r="D234" t="s">
        <v>382</v>
      </c>
      <c r="E234" s="12" t="s">
        <v>77</v>
      </c>
      <c r="F234" s="12" t="s">
        <v>108</v>
      </c>
      <c r="G234" t="s">
        <v>87</v>
      </c>
      <c r="H234" t="s">
        <v>80</v>
      </c>
      <c r="I234" t="s">
        <v>108</v>
      </c>
      <c r="J234">
        <v>57577</v>
      </c>
      <c r="K234" t="s">
        <v>109</v>
      </c>
      <c r="L234" t="s">
        <v>110</v>
      </c>
      <c r="M234" t="s">
        <v>111</v>
      </c>
      <c r="N234" t="s">
        <v>383</v>
      </c>
      <c r="P234" t="s">
        <v>85</v>
      </c>
      <c r="Q234" t="s">
        <v>113</v>
      </c>
      <c r="S234" t="s">
        <v>384</v>
      </c>
    </row>
    <row r="235" spans="3:19" hidden="1" x14ac:dyDescent="0.25">
      <c r="C235">
        <v>1590443</v>
      </c>
      <c r="D235" t="s">
        <v>382</v>
      </c>
      <c r="E235" s="12" t="s">
        <v>77</v>
      </c>
      <c r="F235" s="12" t="s">
        <v>135</v>
      </c>
      <c r="G235" t="s">
        <v>87</v>
      </c>
      <c r="H235" t="s">
        <v>80</v>
      </c>
      <c r="I235" t="s">
        <v>135</v>
      </c>
      <c r="J235">
        <v>4735.2239280000003</v>
      </c>
      <c r="K235" t="s">
        <v>136</v>
      </c>
      <c r="L235" t="s">
        <v>82</v>
      </c>
      <c r="M235" t="s">
        <v>83</v>
      </c>
      <c r="N235" t="s">
        <v>119</v>
      </c>
      <c r="P235" t="s">
        <v>85</v>
      </c>
      <c r="Q235" t="s">
        <v>119</v>
      </c>
      <c r="R235" t="s">
        <v>137</v>
      </c>
    </row>
    <row r="236" spans="3:19" hidden="1" x14ac:dyDescent="0.25">
      <c r="C236">
        <v>291420</v>
      </c>
      <c r="D236" t="s">
        <v>382</v>
      </c>
      <c r="E236" s="12" t="s">
        <v>77</v>
      </c>
      <c r="F236" s="12" t="s">
        <v>141</v>
      </c>
      <c r="G236" t="s">
        <v>87</v>
      </c>
      <c r="H236" t="s">
        <v>80</v>
      </c>
      <c r="I236" t="s">
        <v>147</v>
      </c>
      <c r="J236">
        <v>0</v>
      </c>
      <c r="K236" t="s">
        <v>154</v>
      </c>
      <c r="L236" t="s">
        <v>110</v>
      </c>
      <c r="M236" t="s">
        <v>111</v>
      </c>
      <c r="N236" t="s">
        <v>385</v>
      </c>
      <c r="P236" t="s">
        <v>85</v>
      </c>
      <c r="Q236" t="s">
        <v>113</v>
      </c>
    </row>
    <row r="237" spans="3:19" hidden="1" x14ac:dyDescent="0.25">
      <c r="C237">
        <v>1590453</v>
      </c>
      <c r="D237" t="s">
        <v>382</v>
      </c>
      <c r="E237" s="12" t="s">
        <v>77</v>
      </c>
      <c r="F237" s="12" t="s">
        <v>116</v>
      </c>
      <c r="G237" t="s">
        <v>87</v>
      </c>
      <c r="H237" t="s">
        <v>80</v>
      </c>
      <c r="I237" t="s">
        <v>117</v>
      </c>
      <c r="J237">
        <v>3.4441999999999999</v>
      </c>
      <c r="K237" t="s">
        <v>118</v>
      </c>
      <c r="L237" t="s">
        <v>82</v>
      </c>
      <c r="M237" t="s">
        <v>83</v>
      </c>
      <c r="N237" t="s">
        <v>119</v>
      </c>
      <c r="P237" t="s">
        <v>85</v>
      </c>
      <c r="Q237" t="s">
        <v>119</v>
      </c>
      <c r="R237" t="s">
        <v>120</v>
      </c>
    </row>
    <row r="238" spans="3:19" hidden="1" x14ac:dyDescent="0.25">
      <c r="C238">
        <v>291422</v>
      </c>
      <c r="D238" t="s">
        <v>382</v>
      </c>
      <c r="E238" s="12" t="s">
        <v>77</v>
      </c>
      <c r="F238" s="12" t="s">
        <v>121</v>
      </c>
      <c r="G238" t="s">
        <v>87</v>
      </c>
      <c r="H238" t="s">
        <v>80</v>
      </c>
      <c r="I238" t="s">
        <v>150</v>
      </c>
      <c r="J238">
        <v>0</v>
      </c>
      <c r="K238" t="s">
        <v>386</v>
      </c>
      <c r="L238" t="s">
        <v>110</v>
      </c>
      <c r="M238" t="s">
        <v>111</v>
      </c>
      <c r="N238" t="s">
        <v>385</v>
      </c>
      <c r="P238" t="s">
        <v>85</v>
      </c>
      <c r="Q238" t="s">
        <v>113</v>
      </c>
    </row>
    <row r="239" spans="3:19" hidden="1" x14ac:dyDescent="0.25">
      <c r="C239">
        <v>4947</v>
      </c>
      <c r="D239" t="s">
        <v>382</v>
      </c>
      <c r="E239" s="12" t="s">
        <v>97</v>
      </c>
      <c r="F239" s="12" t="s">
        <v>108</v>
      </c>
      <c r="G239" t="s">
        <v>106</v>
      </c>
      <c r="H239" t="s">
        <v>99</v>
      </c>
      <c r="I239" t="s">
        <v>108</v>
      </c>
      <c r="J239">
        <v>2118683.08</v>
      </c>
      <c r="K239" t="s">
        <v>109</v>
      </c>
      <c r="L239" t="s">
        <v>82</v>
      </c>
      <c r="M239" t="s">
        <v>129</v>
      </c>
      <c r="N239" t="s">
        <v>125</v>
      </c>
      <c r="P239" t="s">
        <v>85</v>
      </c>
      <c r="Q239" t="s">
        <v>113</v>
      </c>
    </row>
    <row r="240" spans="3:19" hidden="1" x14ac:dyDescent="0.25">
      <c r="C240">
        <v>4974</v>
      </c>
      <c r="D240" t="s">
        <v>382</v>
      </c>
      <c r="E240" s="12" t="s">
        <v>97</v>
      </c>
      <c r="F240" s="12" t="s">
        <v>135</v>
      </c>
      <c r="G240" t="s">
        <v>106</v>
      </c>
      <c r="H240" t="s">
        <v>99</v>
      </c>
      <c r="I240" t="s">
        <v>135</v>
      </c>
      <c r="J240">
        <v>103326000</v>
      </c>
      <c r="K240" t="s">
        <v>140</v>
      </c>
      <c r="L240" t="s">
        <v>82</v>
      </c>
      <c r="M240" t="s">
        <v>129</v>
      </c>
      <c r="N240" t="s">
        <v>125</v>
      </c>
      <c r="P240" t="s">
        <v>85</v>
      </c>
      <c r="Q240" t="s">
        <v>113</v>
      </c>
    </row>
    <row r="241" spans="3:19" hidden="1" x14ac:dyDescent="0.25">
      <c r="C241">
        <v>5007</v>
      </c>
      <c r="D241" t="s">
        <v>382</v>
      </c>
      <c r="E241" s="12" t="s">
        <v>97</v>
      </c>
      <c r="F241" s="12" t="s">
        <v>141</v>
      </c>
      <c r="G241" t="s">
        <v>106</v>
      </c>
      <c r="H241" t="s">
        <v>99</v>
      </c>
      <c r="I241" t="s">
        <v>187</v>
      </c>
      <c r="J241">
        <v>0</v>
      </c>
      <c r="K241" t="s">
        <v>109</v>
      </c>
      <c r="L241" t="s">
        <v>110</v>
      </c>
      <c r="M241" t="s">
        <v>129</v>
      </c>
      <c r="N241" t="s">
        <v>125</v>
      </c>
      <c r="P241" t="s">
        <v>85</v>
      </c>
      <c r="Q241" t="s">
        <v>113</v>
      </c>
    </row>
    <row r="242" spans="3:19" hidden="1" x14ac:dyDescent="0.25">
      <c r="C242">
        <v>5033</v>
      </c>
      <c r="D242" t="s">
        <v>382</v>
      </c>
      <c r="E242" s="12" t="s">
        <v>97</v>
      </c>
      <c r="F242" s="12" t="s">
        <v>116</v>
      </c>
      <c r="G242" t="s">
        <v>106</v>
      </c>
      <c r="H242" t="s">
        <v>99</v>
      </c>
      <c r="I242" t="s">
        <v>128</v>
      </c>
      <c r="J242">
        <v>3.4441999999999999</v>
      </c>
      <c r="K242" t="s">
        <v>118</v>
      </c>
      <c r="L242" t="s">
        <v>82</v>
      </c>
      <c r="M242" t="s">
        <v>129</v>
      </c>
      <c r="N242" t="s">
        <v>125</v>
      </c>
      <c r="P242" t="s">
        <v>85</v>
      </c>
      <c r="Q242" t="s">
        <v>113</v>
      </c>
    </row>
    <row r="243" spans="3:19" hidden="1" x14ac:dyDescent="0.25">
      <c r="C243">
        <v>290053</v>
      </c>
      <c r="D243" t="s">
        <v>387</v>
      </c>
      <c r="E243" s="12" t="s">
        <v>77</v>
      </c>
      <c r="F243" s="12" t="s">
        <v>108</v>
      </c>
      <c r="G243" t="s">
        <v>87</v>
      </c>
      <c r="H243" t="s">
        <v>80</v>
      </c>
      <c r="I243" t="s">
        <v>108</v>
      </c>
      <c r="J243">
        <v>3896174</v>
      </c>
      <c r="K243" t="s">
        <v>109</v>
      </c>
      <c r="L243" t="s">
        <v>110</v>
      </c>
      <c r="M243" t="s">
        <v>111</v>
      </c>
      <c r="N243" t="s">
        <v>388</v>
      </c>
      <c r="P243" t="s">
        <v>85</v>
      </c>
      <c r="Q243" t="s">
        <v>113</v>
      </c>
      <c r="S243" t="s">
        <v>389</v>
      </c>
    </row>
    <row r="244" spans="3:19" hidden="1" x14ac:dyDescent="0.25">
      <c r="C244">
        <v>290050</v>
      </c>
      <c r="D244" t="s">
        <v>387</v>
      </c>
      <c r="E244" s="12" t="s">
        <v>77</v>
      </c>
      <c r="F244" s="12" t="s">
        <v>135</v>
      </c>
      <c r="G244" t="s">
        <v>87</v>
      </c>
      <c r="H244" t="s">
        <v>80</v>
      </c>
      <c r="I244" t="s">
        <v>135</v>
      </c>
      <c r="J244">
        <v>70156.36</v>
      </c>
      <c r="K244" t="s">
        <v>136</v>
      </c>
      <c r="L244" t="s">
        <v>110</v>
      </c>
      <c r="M244" t="s">
        <v>111</v>
      </c>
      <c r="N244" t="s">
        <v>390</v>
      </c>
      <c r="P244" t="s">
        <v>85</v>
      </c>
      <c r="Q244" t="s">
        <v>113</v>
      </c>
      <c r="S244" t="s">
        <v>391</v>
      </c>
    </row>
    <row r="245" spans="3:19" hidden="1" x14ac:dyDescent="0.25">
      <c r="C245">
        <v>250119</v>
      </c>
      <c r="D245" t="s">
        <v>387</v>
      </c>
      <c r="E245" s="12" t="s">
        <v>77</v>
      </c>
      <c r="F245" s="12" t="s">
        <v>141</v>
      </c>
      <c r="G245" t="s">
        <v>87</v>
      </c>
      <c r="H245" t="s">
        <v>80</v>
      </c>
      <c r="I245" t="s">
        <v>168</v>
      </c>
      <c r="J245">
        <v>16368</v>
      </c>
      <c r="K245" t="s">
        <v>148</v>
      </c>
      <c r="L245" t="s">
        <v>110</v>
      </c>
      <c r="M245" t="s">
        <v>111</v>
      </c>
      <c r="N245" t="s">
        <v>392</v>
      </c>
      <c r="P245" t="s">
        <v>85</v>
      </c>
      <c r="Q245" t="s">
        <v>113</v>
      </c>
      <c r="S245" t="s">
        <v>393</v>
      </c>
    </row>
    <row r="246" spans="3:19" hidden="1" x14ac:dyDescent="0.25">
      <c r="C246">
        <v>250121</v>
      </c>
      <c r="D246" t="s">
        <v>387</v>
      </c>
      <c r="E246" s="12" t="s">
        <v>77</v>
      </c>
      <c r="F246" s="12" t="s">
        <v>141</v>
      </c>
      <c r="G246" t="s">
        <v>87</v>
      </c>
      <c r="H246" t="s">
        <v>80</v>
      </c>
      <c r="I246" t="s">
        <v>147</v>
      </c>
      <c r="J246">
        <v>12837</v>
      </c>
      <c r="K246" t="s">
        <v>148</v>
      </c>
      <c r="L246" t="s">
        <v>110</v>
      </c>
      <c r="M246" t="s">
        <v>111</v>
      </c>
      <c r="N246" t="s">
        <v>392</v>
      </c>
      <c r="P246" t="s">
        <v>85</v>
      </c>
      <c r="Q246" t="s">
        <v>113</v>
      </c>
      <c r="S246" t="s">
        <v>393</v>
      </c>
    </row>
    <row r="247" spans="3:19" hidden="1" x14ac:dyDescent="0.25">
      <c r="C247">
        <v>250123</v>
      </c>
      <c r="D247" t="s">
        <v>387</v>
      </c>
      <c r="E247" s="12" t="s">
        <v>77</v>
      </c>
      <c r="F247" s="12" t="s">
        <v>141</v>
      </c>
      <c r="G247" t="s">
        <v>87</v>
      </c>
      <c r="H247" t="s">
        <v>80</v>
      </c>
      <c r="I247" t="s">
        <v>147</v>
      </c>
      <c r="J247">
        <v>4365</v>
      </c>
      <c r="K247" t="s">
        <v>148</v>
      </c>
      <c r="L247" t="s">
        <v>110</v>
      </c>
      <c r="M247" t="s">
        <v>111</v>
      </c>
      <c r="N247" t="s">
        <v>394</v>
      </c>
      <c r="P247" t="s">
        <v>85</v>
      </c>
      <c r="Q247" t="s">
        <v>113</v>
      </c>
      <c r="S247" t="s">
        <v>393</v>
      </c>
    </row>
    <row r="248" spans="3:19" hidden="1" x14ac:dyDescent="0.25">
      <c r="C248">
        <v>290057</v>
      </c>
      <c r="D248" t="s">
        <v>387</v>
      </c>
      <c r="E248" s="12" t="s">
        <v>77</v>
      </c>
      <c r="F248" s="12" t="s">
        <v>116</v>
      </c>
      <c r="G248" t="s">
        <v>87</v>
      </c>
      <c r="H248" t="s">
        <v>80</v>
      </c>
      <c r="I248" t="s">
        <v>395</v>
      </c>
      <c r="J248">
        <v>0</v>
      </c>
      <c r="K248" t="s">
        <v>215</v>
      </c>
      <c r="L248" t="s">
        <v>110</v>
      </c>
      <c r="M248" t="s">
        <v>111</v>
      </c>
      <c r="N248" t="s">
        <v>375</v>
      </c>
      <c r="P248" t="s">
        <v>85</v>
      </c>
      <c r="Q248" t="s">
        <v>113</v>
      </c>
      <c r="R248" t="s">
        <v>396</v>
      </c>
    </row>
    <row r="249" spans="3:19" hidden="1" x14ac:dyDescent="0.25">
      <c r="C249">
        <v>291056</v>
      </c>
      <c r="D249" t="s">
        <v>387</v>
      </c>
      <c r="E249" s="12" t="s">
        <v>77</v>
      </c>
      <c r="F249" s="12" t="s">
        <v>116</v>
      </c>
      <c r="G249" t="s">
        <v>87</v>
      </c>
      <c r="H249" t="s">
        <v>80</v>
      </c>
      <c r="I249" t="s">
        <v>175</v>
      </c>
      <c r="J249">
        <v>0</v>
      </c>
      <c r="K249" t="s">
        <v>215</v>
      </c>
      <c r="L249" t="s">
        <v>82</v>
      </c>
      <c r="M249" t="s">
        <v>111</v>
      </c>
      <c r="N249" t="s">
        <v>288</v>
      </c>
      <c r="P249" t="s">
        <v>85</v>
      </c>
      <c r="Q249" t="s">
        <v>113</v>
      </c>
      <c r="R249" t="s">
        <v>397</v>
      </c>
    </row>
    <row r="250" spans="3:19" hidden="1" x14ac:dyDescent="0.25">
      <c r="C250">
        <v>283994</v>
      </c>
      <c r="D250" t="s">
        <v>387</v>
      </c>
      <c r="E250" s="12" t="s">
        <v>77</v>
      </c>
      <c r="F250" s="12" t="s">
        <v>121</v>
      </c>
      <c r="G250" t="s">
        <v>87</v>
      </c>
      <c r="H250" t="s">
        <v>80</v>
      </c>
      <c r="I250" t="s">
        <v>150</v>
      </c>
      <c r="J250">
        <v>710</v>
      </c>
      <c r="K250" t="s">
        <v>148</v>
      </c>
      <c r="L250" t="s">
        <v>110</v>
      </c>
      <c r="M250" t="s">
        <v>111</v>
      </c>
      <c r="N250" t="s">
        <v>398</v>
      </c>
      <c r="P250" t="s">
        <v>85</v>
      </c>
      <c r="Q250" t="s">
        <v>113</v>
      </c>
      <c r="S250" t="s">
        <v>399</v>
      </c>
    </row>
    <row r="251" spans="3:19" hidden="1" x14ac:dyDescent="0.25">
      <c r="C251">
        <v>4946</v>
      </c>
      <c r="D251" t="s">
        <v>387</v>
      </c>
      <c r="E251" s="12" t="s">
        <v>97</v>
      </c>
      <c r="F251" s="12" t="s">
        <v>108</v>
      </c>
      <c r="G251" t="s">
        <v>106</v>
      </c>
      <c r="H251" t="s">
        <v>99</v>
      </c>
      <c r="I251" t="s">
        <v>108</v>
      </c>
      <c r="J251">
        <v>5074767</v>
      </c>
      <c r="K251" t="s">
        <v>109</v>
      </c>
      <c r="L251" t="s">
        <v>110</v>
      </c>
      <c r="M251" t="s">
        <v>111</v>
      </c>
      <c r="N251" t="s">
        <v>125</v>
      </c>
      <c r="P251" t="s">
        <v>85</v>
      </c>
      <c r="Q251" t="s">
        <v>400</v>
      </c>
      <c r="S251" t="s">
        <v>401</v>
      </c>
    </row>
    <row r="252" spans="3:19" hidden="1" x14ac:dyDescent="0.25">
      <c r="C252">
        <v>4973</v>
      </c>
      <c r="D252" t="s">
        <v>387</v>
      </c>
      <c r="E252" s="12" t="s">
        <v>97</v>
      </c>
      <c r="F252" s="12" t="s">
        <v>135</v>
      </c>
      <c r="G252" t="s">
        <v>106</v>
      </c>
      <c r="H252" t="s">
        <v>99</v>
      </c>
      <c r="I252" t="s">
        <v>135</v>
      </c>
      <c r="J252">
        <v>72687</v>
      </c>
      <c r="K252" t="s">
        <v>136</v>
      </c>
      <c r="L252" t="s">
        <v>110</v>
      </c>
      <c r="M252" t="s">
        <v>111</v>
      </c>
      <c r="N252" t="s">
        <v>125</v>
      </c>
      <c r="P252" t="s">
        <v>85</v>
      </c>
      <c r="Q252" t="s">
        <v>402</v>
      </c>
      <c r="S252" t="s">
        <v>403</v>
      </c>
    </row>
    <row r="253" spans="3:19" hidden="1" x14ac:dyDescent="0.25">
      <c r="C253">
        <v>5005</v>
      </c>
      <c r="D253" t="s">
        <v>387</v>
      </c>
      <c r="E253" s="12" t="s">
        <v>97</v>
      </c>
      <c r="F253" s="12" t="s">
        <v>141</v>
      </c>
      <c r="G253" t="s">
        <v>106</v>
      </c>
      <c r="H253" t="s">
        <v>99</v>
      </c>
      <c r="I253" t="s">
        <v>187</v>
      </c>
      <c r="J253">
        <v>22533</v>
      </c>
      <c r="K253" t="s">
        <v>148</v>
      </c>
      <c r="L253" t="s">
        <v>110</v>
      </c>
      <c r="M253" t="s">
        <v>111</v>
      </c>
      <c r="N253" t="s">
        <v>125</v>
      </c>
      <c r="P253" t="s">
        <v>85</v>
      </c>
      <c r="Q253" t="s">
        <v>404</v>
      </c>
      <c r="S253" t="s">
        <v>405</v>
      </c>
    </row>
    <row r="254" spans="3:19" hidden="1" x14ac:dyDescent="0.25">
      <c r="C254">
        <v>5006</v>
      </c>
      <c r="D254" t="s">
        <v>387</v>
      </c>
      <c r="E254" s="12" t="s">
        <v>97</v>
      </c>
      <c r="F254" s="12" t="s">
        <v>141</v>
      </c>
      <c r="G254" t="s">
        <v>106</v>
      </c>
      <c r="H254" t="s">
        <v>99</v>
      </c>
      <c r="I254" t="s">
        <v>147</v>
      </c>
      <c r="J254">
        <v>19846</v>
      </c>
      <c r="K254" t="s">
        <v>148</v>
      </c>
      <c r="L254" t="s">
        <v>110</v>
      </c>
      <c r="M254" t="s">
        <v>111</v>
      </c>
      <c r="N254" t="s">
        <v>125</v>
      </c>
      <c r="P254" t="s">
        <v>85</v>
      </c>
      <c r="Q254" t="s">
        <v>406</v>
      </c>
      <c r="S254" t="s">
        <v>405</v>
      </c>
    </row>
    <row r="255" spans="3:19" hidden="1" x14ac:dyDescent="0.25">
      <c r="C255">
        <v>5032</v>
      </c>
      <c r="D255" t="s">
        <v>387</v>
      </c>
      <c r="E255" s="12" t="s">
        <v>97</v>
      </c>
      <c r="F255" s="12" t="s">
        <v>116</v>
      </c>
      <c r="G255" t="s">
        <v>106</v>
      </c>
      <c r="H255" t="s">
        <v>99</v>
      </c>
      <c r="I255" t="s">
        <v>175</v>
      </c>
      <c r="J255">
        <v>0.64080000000000004</v>
      </c>
      <c r="K255" t="s">
        <v>118</v>
      </c>
      <c r="L255" t="s">
        <v>82</v>
      </c>
      <c r="M255" t="s">
        <v>162</v>
      </c>
      <c r="N255" t="s">
        <v>125</v>
      </c>
      <c r="P255" t="s">
        <v>85</v>
      </c>
      <c r="Q255" t="s">
        <v>113</v>
      </c>
    </row>
    <row r="256" spans="3:19" hidden="1" x14ac:dyDescent="0.25">
      <c r="C256">
        <v>1257572</v>
      </c>
      <c r="D256" t="s">
        <v>387</v>
      </c>
      <c r="E256" s="12" t="s">
        <v>97</v>
      </c>
      <c r="F256" s="12" t="s">
        <v>116</v>
      </c>
      <c r="G256" t="s">
        <v>106</v>
      </c>
      <c r="H256" t="s">
        <v>99</v>
      </c>
      <c r="I256" t="s">
        <v>395</v>
      </c>
      <c r="J256">
        <v>0.64080000000000004</v>
      </c>
      <c r="K256" t="s">
        <v>118</v>
      </c>
      <c r="L256" t="s">
        <v>110</v>
      </c>
      <c r="M256" t="s">
        <v>162</v>
      </c>
      <c r="N256" t="s">
        <v>407</v>
      </c>
      <c r="P256" t="s">
        <v>85</v>
      </c>
      <c r="Q256" t="s">
        <v>113</v>
      </c>
    </row>
    <row r="257" spans="3:19" hidden="1" x14ac:dyDescent="0.25">
      <c r="C257">
        <v>1234347</v>
      </c>
      <c r="D257" t="s">
        <v>387</v>
      </c>
      <c r="E257" s="12" t="s">
        <v>97</v>
      </c>
      <c r="F257" s="12" t="s">
        <v>121</v>
      </c>
      <c r="G257" t="s">
        <v>106</v>
      </c>
      <c r="H257" t="s">
        <v>99</v>
      </c>
      <c r="I257" t="s">
        <v>150</v>
      </c>
      <c r="J257">
        <v>1647.1</v>
      </c>
      <c r="K257" t="s">
        <v>148</v>
      </c>
      <c r="L257" t="s">
        <v>110</v>
      </c>
      <c r="M257" t="s">
        <v>162</v>
      </c>
      <c r="N257" t="s">
        <v>408</v>
      </c>
      <c r="P257" t="s">
        <v>85</v>
      </c>
      <c r="Q257" t="s">
        <v>113</v>
      </c>
      <c r="S257" t="s">
        <v>409</v>
      </c>
    </row>
    <row r="258" spans="3:19" hidden="1" x14ac:dyDescent="0.25">
      <c r="C258">
        <v>1590445</v>
      </c>
      <c r="D258" t="s">
        <v>410</v>
      </c>
      <c r="E258" s="12" t="s">
        <v>77</v>
      </c>
      <c r="F258" s="12" t="s">
        <v>108</v>
      </c>
      <c r="G258" t="s">
        <v>87</v>
      </c>
      <c r="H258" t="s">
        <v>80</v>
      </c>
      <c r="I258" t="s">
        <v>108</v>
      </c>
      <c r="J258">
        <v>162.78504304000001</v>
      </c>
      <c r="K258" t="s">
        <v>109</v>
      </c>
      <c r="L258" t="s">
        <v>82</v>
      </c>
      <c r="M258" t="s">
        <v>83</v>
      </c>
      <c r="N258" t="s">
        <v>119</v>
      </c>
      <c r="P258" t="s">
        <v>85</v>
      </c>
      <c r="Q258" t="s">
        <v>119</v>
      </c>
      <c r="R258" t="s">
        <v>137</v>
      </c>
    </row>
    <row r="259" spans="3:19" hidden="1" x14ac:dyDescent="0.25">
      <c r="C259">
        <v>237712</v>
      </c>
      <c r="D259" t="s">
        <v>410</v>
      </c>
      <c r="E259" s="12" t="s">
        <v>77</v>
      </c>
      <c r="F259" s="12" t="s">
        <v>135</v>
      </c>
      <c r="G259" t="s">
        <v>87</v>
      </c>
      <c r="H259" t="s">
        <v>80</v>
      </c>
      <c r="I259" t="s">
        <v>135</v>
      </c>
      <c r="J259">
        <v>0</v>
      </c>
      <c r="K259" t="s">
        <v>140</v>
      </c>
      <c r="L259" t="s">
        <v>110</v>
      </c>
      <c r="M259" t="s">
        <v>111</v>
      </c>
      <c r="N259" t="s">
        <v>411</v>
      </c>
      <c r="P259" t="s">
        <v>85</v>
      </c>
      <c r="Q259" t="s">
        <v>113</v>
      </c>
    </row>
    <row r="260" spans="3:19" hidden="1" x14ac:dyDescent="0.25">
      <c r="C260">
        <v>1590452</v>
      </c>
      <c r="D260" t="s">
        <v>410</v>
      </c>
      <c r="E260" s="12" t="s">
        <v>77</v>
      </c>
      <c r="F260" s="12" t="s">
        <v>116</v>
      </c>
      <c r="G260" t="s">
        <v>87</v>
      </c>
      <c r="H260" t="s">
        <v>80</v>
      </c>
      <c r="I260" t="s">
        <v>117</v>
      </c>
      <c r="J260">
        <v>0.11840290000000001</v>
      </c>
      <c r="K260" t="s">
        <v>118</v>
      </c>
      <c r="L260" t="s">
        <v>82</v>
      </c>
      <c r="M260" t="s">
        <v>83</v>
      </c>
      <c r="N260" t="s">
        <v>119</v>
      </c>
      <c r="P260" t="s">
        <v>85</v>
      </c>
      <c r="Q260" t="s">
        <v>119</v>
      </c>
      <c r="R260" t="s">
        <v>120</v>
      </c>
    </row>
    <row r="261" spans="3:19" hidden="1" x14ac:dyDescent="0.25">
      <c r="C261">
        <v>291093</v>
      </c>
      <c r="D261" t="s">
        <v>410</v>
      </c>
      <c r="E261" s="12" t="s">
        <v>77</v>
      </c>
      <c r="F261" s="12" t="s">
        <v>121</v>
      </c>
      <c r="G261" t="s">
        <v>87</v>
      </c>
      <c r="H261" t="s">
        <v>80</v>
      </c>
      <c r="I261" t="s">
        <v>122</v>
      </c>
      <c r="J261">
        <v>26479.3</v>
      </c>
      <c r="K261" t="s">
        <v>143</v>
      </c>
      <c r="L261" t="s">
        <v>110</v>
      </c>
      <c r="M261" t="s">
        <v>111</v>
      </c>
      <c r="N261" t="s">
        <v>412</v>
      </c>
      <c r="P261" t="s">
        <v>85</v>
      </c>
      <c r="Q261" t="s">
        <v>113</v>
      </c>
      <c r="S261" t="s">
        <v>413</v>
      </c>
    </row>
    <row r="262" spans="3:19" hidden="1" x14ac:dyDescent="0.25">
      <c r="C262">
        <v>4945</v>
      </c>
      <c r="D262" t="s">
        <v>410</v>
      </c>
      <c r="E262" s="12" t="s">
        <v>97</v>
      </c>
      <c r="F262" s="12" t="s">
        <v>108</v>
      </c>
      <c r="G262" t="s">
        <v>106</v>
      </c>
      <c r="H262" t="s">
        <v>99</v>
      </c>
      <c r="I262" t="s">
        <v>108</v>
      </c>
      <c r="J262">
        <v>6766.5971</v>
      </c>
      <c r="K262" t="s">
        <v>109</v>
      </c>
      <c r="L262" t="s">
        <v>82</v>
      </c>
      <c r="M262" t="s">
        <v>129</v>
      </c>
      <c r="N262" t="s">
        <v>125</v>
      </c>
      <c r="P262" t="s">
        <v>85</v>
      </c>
      <c r="Q262" t="s">
        <v>113</v>
      </c>
    </row>
    <row r="263" spans="3:19" hidden="1" x14ac:dyDescent="0.25">
      <c r="C263">
        <v>4972</v>
      </c>
      <c r="D263" t="s">
        <v>410</v>
      </c>
      <c r="E263" s="12" t="s">
        <v>97</v>
      </c>
      <c r="F263" s="12" t="s">
        <v>135</v>
      </c>
      <c r="G263" t="s">
        <v>106</v>
      </c>
      <c r="H263" t="s">
        <v>99</v>
      </c>
      <c r="I263" t="s">
        <v>135</v>
      </c>
      <c r="J263">
        <v>0</v>
      </c>
      <c r="K263" t="s">
        <v>136</v>
      </c>
      <c r="L263" t="s">
        <v>82</v>
      </c>
      <c r="M263" t="s">
        <v>129</v>
      </c>
      <c r="N263" t="s">
        <v>125</v>
      </c>
      <c r="P263" t="s">
        <v>85</v>
      </c>
      <c r="Q263" t="s">
        <v>113</v>
      </c>
    </row>
    <row r="264" spans="3:19" hidden="1" x14ac:dyDescent="0.25">
      <c r="C264">
        <v>5004</v>
      </c>
      <c r="D264" t="s">
        <v>410</v>
      </c>
      <c r="E264" s="12" t="s">
        <v>97</v>
      </c>
      <c r="F264" s="12" t="s">
        <v>141</v>
      </c>
      <c r="G264" t="s">
        <v>106</v>
      </c>
      <c r="H264" t="s">
        <v>99</v>
      </c>
      <c r="I264" t="s">
        <v>142</v>
      </c>
      <c r="J264">
        <v>0</v>
      </c>
      <c r="K264" t="s">
        <v>143</v>
      </c>
      <c r="L264" t="s">
        <v>82</v>
      </c>
      <c r="M264" t="s">
        <v>129</v>
      </c>
      <c r="N264" t="s">
        <v>125</v>
      </c>
      <c r="P264" t="s">
        <v>85</v>
      </c>
      <c r="Q264" t="s">
        <v>113</v>
      </c>
    </row>
    <row r="265" spans="3:19" hidden="1" x14ac:dyDescent="0.25">
      <c r="C265">
        <v>5031</v>
      </c>
      <c r="D265" t="s">
        <v>410</v>
      </c>
      <c r="E265" s="12" t="s">
        <v>97</v>
      </c>
      <c r="F265" s="12" t="s">
        <v>116</v>
      </c>
      <c r="G265" t="s">
        <v>106</v>
      </c>
      <c r="H265" t="s">
        <v>99</v>
      </c>
      <c r="I265" t="s">
        <v>128</v>
      </c>
      <c r="J265">
        <v>0.11840000000000001</v>
      </c>
      <c r="K265" t="s">
        <v>118</v>
      </c>
      <c r="L265" t="s">
        <v>82</v>
      </c>
      <c r="M265" t="s">
        <v>129</v>
      </c>
      <c r="N265" t="s">
        <v>125</v>
      </c>
      <c r="P265" t="s">
        <v>85</v>
      </c>
      <c r="Q265" t="s">
        <v>113</v>
      </c>
    </row>
    <row r="266" spans="3:19" hidden="1" x14ac:dyDescent="0.25">
      <c r="C266">
        <v>1230943</v>
      </c>
      <c r="D266" t="s">
        <v>410</v>
      </c>
      <c r="E266" s="12" t="s">
        <v>97</v>
      </c>
      <c r="F266" s="12" t="s">
        <v>121</v>
      </c>
      <c r="G266" t="s">
        <v>106</v>
      </c>
      <c r="H266" t="s">
        <v>99</v>
      </c>
      <c r="I266" t="s">
        <v>122</v>
      </c>
      <c r="J266">
        <v>22596.5</v>
      </c>
      <c r="K266" t="s">
        <v>143</v>
      </c>
      <c r="L266" t="s">
        <v>110</v>
      </c>
      <c r="M266" t="s">
        <v>162</v>
      </c>
      <c r="N266" t="s">
        <v>414</v>
      </c>
      <c r="P266" t="s">
        <v>85</v>
      </c>
      <c r="Q266" t="s">
        <v>113</v>
      </c>
      <c r="S266" t="s">
        <v>415</v>
      </c>
    </row>
    <row r="267" spans="3:19" hidden="1" x14ac:dyDescent="0.25">
      <c r="C267">
        <v>20579</v>
      </c>
      <c r="D267" t="s">
        <v>416</v>
      </c>
      <c r="E267" s="12" t="s">
        <v>77</v>
      </c>
      <c r="F267" s="12" t="s">
        <v>108</v>
      </c>
      <c r="G267" t="s">
        <v>87</v>
      </c>
      <c r="H267" t="s">
        <v>80</v>
      </c>
      <c r="I267" t="s">
        <v>108</v>
      </c>
      <c r="J267">
        <v>32905016</v>
      </c>
      <c r="K267" t="s">
        <v>109</v>
      </c>
      <c r="L267" t="s">
        <v>110</v>
      </c>
      <c r="M267" t="s">
        <v>111</v>
      </c>
      <c r="N267" t="s">
        <v>417</v>
      </c>
      <c r="P267" t="s">
        <v>85</v>
      </c>
      <c r="Q267" t="s">
        <v>113</v>
      </c>
      <c r="S267" t="s">
        <v>418</v>
      </c>
    </row>
    <row r="268" spans="3:19" hidden="1" x14ac:dyDescent="0.25">
      <c r="C268">
        <v>20569</v>
      </c>
      <c r="D268" t="s">
        <v>416</v>
      </c>
      <c r="E268" s="12" t="s">
        <v>77</v>
      </c>
      <c r="F268" s="12" t="s">
        <v>135</v>
      </c>
      <c r="G268" t="s">
        <v>87</v>
      </c>
      <c r="H268" t="s">
        <v>80</v>
      </c>
      <c r="I268" t="s">
        <v>135</v>
      </c>
      <c r="J268">
        <v>9186501</v>
      </c>
      <c r="K268" t="s">
        <v>136</v>
      </c>
      <c r="L268" t="s">
        <v>110</v>
      </c>
      <c r="M268" t="s">
        <v>111</v>
      </c>
      <c r="N268" t="s">
        <v>419</v>
      </c>
      <c r="P268" t="s">
        <v>85</v>
      </c>
      <c r="Q268" t="s">
        <v>113</v>
      </c>
      <c r="S268" t="s">
        <v>420</v>
      </c>
    </row>
    <row r="269" spans="3:19" hidden="1" x14ac:dyDescent="0.25">
      <c r="C269">
        <v>283996</v>
      </c>
      <c r="D269" t="s">
        <v>416</v>
      </c>
      <c r="E269" s="12" t="s">
        <v>77</v>
      </c>
      <c r="F269" s="12" t="s">
        <v>141</v>
      </c>
      <c r="G269" t="s">
        <v>87</v>
      </c>
      <c r="H269" t="s">
        <v>80</v>
      </c>
      <c r="I269" t="s">
        <v>147</v>
      </c>
      <c r="J269">
        <v>1775.9</v>
      </c>
      <c r="K269" t="s">
        <v>148</v>
      </c>
      <c r="L269" t="s">
        <v>110</v>
      </c>
      <c r="M269" t="s">
        <v>111</v>
      </c>
      <c r="N269" t="s">
        <v>421</v>
      </c>
      <c r="P269" t="s">
        <v>85</v>
      </c>
      <c r="Q269" t="s">
        <v>113</v>
      </c>
      <c r="S269" t="s">
        <v>422</v>
      </c>
    </row>
    <row r="270" spans="3:19" hidden="1" x14ac:dyDescent="0.25">
      <c r="C270">
        <v>288915</v>
      </c>
      <c r="D270" t="s">
        <v>416</v>
      </c>
      <c r="E270" s="12" t="s">
        <v>77</v>
      </c>
      <c r="F270" s="12" t="s">
        <v>116</v>
      </c>
      <c r="G270" t="s">
        <v>87</v>
      </c>
      <c r="H270" t="s">
        <v>80</v>
      </c>
      <c r="I270" t="s">
        <v>128</v>
      </c>
      <c r="J270">
        <v>0</v>
      </c>
      <c r="K270" t="s">
        <v>303</v>
      </c>
      <c r="L270" t="s">
        <v>110</v>
      </c>
      <c r="M270" t="s">
        <v>111</v>
      </c>
      <c r="N270" t="s">
        <v>423</v>
      </c>
      <c r="P270" t="s">
        <v>85</v>
      </c>
      <c r="Q270" t="s">
        <v>113</v>
      </c>
      <c r="R270" t="s">
        <v>424</v>
      </c>
    </row>
    <row r="271" spans="3:19" hidden="1" x14ac:dyDescent="0.25">
      <c r="C271">
        <v>787641</v>
      </c>
      <c r="D271" t="s">
        <v>416</v>
      </c>
      <c r="E271" s="12" t="s">
        <v>77</v>
      </c>
      <c r="F271" s="12" t="s">
        <v>116</v>
      </c>
      <c r="G271" t="s">
        <v>87</v>
      </c>
      <c r="H271" t="s">
        <v>80</v>
      </c>
      <c r="I271" t="s">
        <v>175</v>
      </c>
      <c r="J271">
        <v>16</v>
      </c>
      <c r="K271" t="s">
        <v>215</v>
      </c>
      <c r="L271" t="s">
        <v>110</v>
      </c>
      <c r="M271" t="s">
        <v>111</v>
      </c>
      <c r="N271" t="s">
        <v>425</v>
      </c>
      <c r="P271" t="s">
        <v>85</v>
      </c>
      <c r="Q271" t="s">
        <v>113</v>
      </c>
      <c r="S271" t="s">
        <v>426</v>
      </c>
    </row>
    <row r="272" spans="3:19" hidden="1" x14ac:dyDescent="0.25">
      <c r="C272">
        <v>787643</v>
      </c>
      <c r="D272" t="s">
        <v>416</v>
      </c>
      <c r="E272" s="12" t="s">
        <v>77</v>
      </c>
      <c r="F272" s="12" t="s">
        <v>116</v>
      </c>
      <c r="G272" t="s">
        <v>87</v>
      </c>
      <c r="H272" t="s">
        <v>80</v>
      </c>
      <c r="I272" t="s">
        <v>272</v>
      </c>
      <c r="J272">
        <v>12</v>
      </c>
      <c r="K272" t="s">
        <v>215</v>
      </c>
      <c r="L272" t="s">
        <v>110</v>
      </c>
      <c r="M272" t="s">
        <v>111</v>
      </c>
      <c r="N272" t="s">
        <v>427</v>
      </c>
      <c r="P272" t="s">
        <v>85</v>
      </c>
      <c r="Q272" t="s">
        <v>113</v>
      </c>
      <c r="S272" t="s">
        <v>426</v>
      </c>
    </row>
    <row r="273" spans="3:19" hidden="1" x14ac:dyDescent="0.25">
      <c r="C273">
        <v>1239487</v>
      </c>
      <c r="D273" t="s">
        <v>416</v>
      </c>
      <c r="E273" s="12" t="s">
        <v>77</v>
      </c>
      <c r="F273" s="12" t="s">
        <v>116</v>
      </c>
      <c r="G273" t="s">
        <v>87</v>
      </c>
      <c r="H273" t="s">
        <v>80</v>
      </c>
      <c r="I273" t="s">
        <v>428</v>
      </c>
      <c r="J273">
        <v>85600</v>
      </c>
      <c r="K273" t="s">
        <v>215</v>
      </c>
      <c r="L273" t="s">
        <v>110</v>
      </c>
      <c r="M273" t="s">
        <v>111</v>
      </c>
      <c r="N273" t="s">
        <v>429</v>
      </c>
      <c r="P273" t="s">
        <v>85</v>
      </c>
      <c r="Q273" t="s">
        <v>430</v>
      </c>
      <c r="S273" t="s">
        <v>431</v>
      </c>
    </row>
    <row r="274" spans="3:19" x14ac:dyDescent="0.25">
      <c r="C274">
        <v>283998</v>
      </c>
      <c r="D274" t="s">
        <v>416</v>
      </c>
      <c r="E274" s="12" t="s">
        <v>77</v>
      </c>
      <c r="F274" s="12" t="s">
        <v>121</v>
      </c>
      <c r="G274" t="s">
        <v>87</v>
      </c>
      <c r="H274" t="s">
        <v>80</v>
      </c>
      <c r="I274" t="s">
        <v>150</v>
      </c>
      <c r="J274">
        <v>5896</v>
      </c>
      <c r="K274" t="s">
        <v>215</v>
      </c>
      <c r="L274" t="s">
        <v>110</v>
      </c>
      <c r="M274" t="s">
        <v>111</v>
      </c>
      <c r="N274" t="s">
        <v>432</v>
      </c>
      <c r="P274" t="s">
        <v>85</v>
      </c>
      <c r="Q274" t="s">
        <v>113</v>
      </c>
      <c r="S274" t="s">
        <v>433</v>
      </c>
    </row>
    <row r="275" spans="3:19" hidden="1" x14ac:dyDescent="0.25">
      <c r="C275">
        <v>4672</v>
      </c>
      <c r="D275" t="s">
        <v>416</v>
      </c>
      <c r="E275" s="12" t="s">
        <v>97</v>
      </c>
      <c r="F275" s="12" t="s">
        <v>108</v>
      </c>
      <c r="G275" t="s">
        <v>106</v>
      </c>
      <c r="H275" t="s">
        <v>99</v>
      </c>
      <c r="I275" t="s">
        <v>108</v>
      </c>
      <c r="J275">
        <v>33498781</v>
      </c>
      <c r="K275" t="s">
        <v>109</v>
      </c>
      <c r="L275" t="s">
        <v>110</v>
      </c>
      <c r="M275" t="s">
        <v>162</v>
      </c>
      <c r="N275" t="s">
        <v>434</v>
      </c>
      <c r="P275" t="s">
        <v>85</v>
      </c>
      <c r="Q275" t="s">
        <v>113</v>
      </c>
      <c r="S275" t="s">
        <v>435</v>
      </c>
    </row>
    <row r="276" spans="3:19" hidden="1" x14ac:dyDescent="0.25">
      <c r="C276">
        <v>4971</v>
      </c>
      <c r="D276" t="s">
        <v>416</v>
      </c>
      <c r="E276" s="12" t="s">
        <v>97</v>
      </c>
      <c r="F276" s="12" t="s">
        <v>135</v>
      </c>
      <c r="G276" t="s">
        <v>106</v>
      </c>
      <c r="H276" t="s">
        <v>99</v>
      </c>
      <c r="I276" t="s">
        <v>135</v>
      </c>
      <c r="J276">
        <v>9415099</v>
      </c>
      <c r="K276" t="s">
        <v>136</v>
      </c>
      <c r="L276" t="s">
        <v>110</v>
      </c>
      <c r="M276" t="s">
        <v>162</v>
      </c>
      <c r="N276" t="s">
        <v>125</v>
      </c>
      <c r="P276" t="s">
        <v>85</v>
      </c>
      <c r="Q276" t="s">
        <v>113</v>
      </c>
      <c r="S276" t="s">
        <v>435</v>
      </c>
    </row>
    <row r="277" spans="3:19" hidden="1" x14ac:dyDescent="0.25">
      <c r="C277">
        <v>5002</v>
      </c>
      <c r="D277" t="s">
        <v>416</v>
      </c>
      <c r="E277" s="12" t="s">
        <v>97</v>
      </c>
      <c r="F277" s="12" t="s">
        <v>141</v>
      </c>
      <c r="G277" t="s">
        <v>106</v>
      </c>
      <c r="H277" t="s">
        <v>99</v>
      </c>
      <c r="I277" t="s">
        <v>142</v>
      </c>
      <c r="J277">
        <v>2243.5</v>
      </c>
      <c r="K277" t="s">
        <v>148</v>
      </c>
      <c r="L277" t="s">
        <v>110</v>
      </c>
      <c r="M277" t="s">
        <v>162</v>
      </c>
      <c r="N277" t="s">
        <v>125</v>
      </c>
      <c r="P277" t="s">
        <v>85</v>
      </c>
      <c r="Q277" t="s">
        <v>113</v>
      </c>
    </row>
    <row r="278" spans="3:19" hidden="1" x14ac:dyDescent="0.25">
      <c r="C278">
        <v>5030</v>
      </c>
      <c r="D278" t="s">
        <v>416</v>
      </c>
      <c r="E278" s="12" t="s">
        <v>97</v>
      </c>
      <c r="F278" s="12" t="s">
        <v>116</v>
      </c>
      <c r="G278" t="s">
        <v>106</v>
      </c>
      <c r="H278" t="s">
        <v>99</v>
      </c>
      <c r="I278" t="s">
        <v>128</v>
      </c>
      <c r="J278">
        <v>20.451599999999999</v>
      </c>
      <c r="K278" t="s">
        <v>118</v>
      </c>
      <c r="L278" t="s">
        <v>82</v>
      </c>
      <c r="M278" t="s">
        <v>129</v>
      </c>
      <c r="N278" t="s">
        <v>125</v>
      </c>
      <c r="P278" t="s">
        <v>85</v>
      </c>
      <c r="Q278" t="s">
        <v>113</v>
      </c>
    </row>
    <row r="279" spans="3:19" hidden="1" x14ac:dyDescent="0.25">
      <c r="C279">
        <v>1236896</v>
      </c>
      <c r="D279" t="s">
        <v>416</v>
      </c>
      <c r="E279" s="12" t="s">
        <v>97</v>
      </c>
      <c r="F279" s="12" t="s">
        <v>116</v>
      </c>
      <c r="G279" t="s">
        <v>106</v>
      </c>
      <c r="H279" t="s">
        <v>99</v>
      </c>
      <c r="I279" t="s">
        <v>428</v>
      </c>
      <c r="J279">
        <v>77000</v>
      </c>
      <c r="K279" t="s">
        <v>215</v>
      </c>
      <c r="L279" t="s">
        <v>110</v>
      </c>
      <c r="M279" t="s">
        <v>111</v>
      </c>
      <c r="N279" t="s">
        <v>436</v>
      </c>
      <c r="P279" t="s">
        <v>85</v>
      </c>
      <c r="Q279" t="s">
        <v>437</v>
      </c>
      <c r="S279" t="s">
        <v>438</v>
      </c>
    </row>
    <row r="280" spans="3:19" hidden="1" x14ac:dyDescent="0.25">
      <c r="C280">
        <v>1257576</v>
      </c>
      <c r="D280" t="s">
        <v>416</v>
      </c>
      <c r="E280" s="12" t="s">
        <v>97</v>
      </c>
      <c r="F280" s="12" t="s">
        <v>116</v>
      </c>
      <c r="G280" t="s">
        <v>106</v>
      </c>
      <c r="H280" t="s">
        <v>99</v>
      </c>
      <c r="I280" t="s">
        <v>272</v>
      </c>
      <c r="J280">
        <v>26</v>
      </c>
      <c r="K280" t="s">
        <v>215</v>
      </c>
      <c r="L280" t="s">
        <v>110</v>
      </c>
      <c r="M280" t="s">
        <v>111</v>
      </c>
      <c r="N280" t="s">
        <v>439</v>
      </c>
      <c r="P280" t="s">
        <v>85</v>
      </c>
      <c r="Q280" t="s">
        <v>440</v>
      </c>
      <c r="S280" t="s">
        <v>441</v>
      </c>
    </row>
    <row r="281" spans="3:19" hidden="1" x14ac:dyDescent="0.25">
      <c r="C281">
        <v>1257578</v>
      </c>
      <c r="D281" t="s">
        <v>416</v>
      </c>
      <c r="E281" s="12" t="s">
        <v>97</v>
      </c>
      <c r="F281" s="12" t="s">
        <v>116</v>
      </c>
      <c r="G281" t="s">
        <v>106</v>
      </c>
      <c r="H281" t="s">
        <v>99</v>
      </c>
      <c r="I281" t="s">
        <v>218</v>
      </c>
      <c r="J281">
        <v>24.5</v>
      </c>
      <c r="K281" t="s">
        <v>215</v>
      </c>
      <c r="L281" t="s">
        <v>110</v>
      </c>
      <c r="M281" t="s">
        <v>111</v>
      </c>
      <c r="N281" t="s">
        <v>442</v>
      </c>
      <c r="P281" t="s">
        <v>85</v>
      </c>
      <c r="Q281" t="s">
        <v>440</v>
      </c>
      <c r="S281" t="s">
        <v>441</v>
      </c>
    </row>
    <row r="282" spans="3:19" hidden="1" x14ac:dyDescent="0.25">
      <c r="C282">
        <v>1230941</v>
      </c>
      <c r="D282" t="s">
        <v>416</v>
      </c>
      <c r="E282" s="12" t="s">
        <v>97</v>
      </c>
      <c r="F282" s="12" t="s">
        <v>121</v>
      </c>
      <c r="G282" t="s">
        <v>106</v>
      </c>
      <c r="H282" t="s">
        <v>99</v>
      </c>
      <c r="I282" t="s">
        <v>150</v>
      </c>
      <c r="J282">
        <v>4690</v>
      </c>
      <c r="K282" t="s">
        <v>215</v>
      </c>
      <c r="L282" t="s">
        <v>110</v>
      </c>
      <c r="M282" t="s">
        <v>162</v>
      </c>
      <c r="N282" t="s">
        <v>443</v>
      </c>
      <c r="P282" t="s">
        <v>85</v>
      </c>
      <c r="Q282" t="s">
        <v>113</v>
      </c>
    </row>
    <row r="283" spans="3:19" hidden="1" x14ac:dyDescent="0.25">
      <c r="C283">
        <v>20144</v>
      </c>
      <c r="D283" t="s">
        <v>444</v>
      </c>
      <c r="E283" s="12" t="s">
        <v>77</v>
      </c>
      <c r="F283" s="12" t="s">
        <v>108</v>
      </c>
      <c r="G283" t="s">
        <v>87</v>
      </c>
      <c r="H283" t="s">
        <v>80</v>
      </c>
      <c r="I283" t="s">
        <v>108</v>
      </c>
      <c r="J283">
        <v>51796</v>
      </c>
      <c r="K283" t="s">
        <v>109</v>
      </c>
      <c r="L283" t="s">
        <v>110</v>
      </c>
      <c r="M283" t="s">
        <v>111</v>
      </c>
      <c r="N283" t="s">
        <v>445</v>
      </c>
      <c r="P283" t="s">
        <v>85</v>
      </c>
      <c r="Q283" t="s">
        <v>113</v>
      </c>
      <c r="S283" t="s">
        <v>446</v>
      </c>
    </row>
    <row r="284" spans="3:19" hidden="1" x14ac:dyDescent="0.25">
      <c r="C284">
        <v>20565</v>
      </c>
      <c r="D284" t="s">
        <v>444</v>
      </c>
      <c r="E284" s="12" t="s">
        <v>77</v>
      </c>
      <c r="F284" s="12" t="s">
        <v>108</v>
      </c>
      <c r="G284" t="s">
        <v>87</v>
      </c>
      <c r="H284" t="s">
        <v>80</v>
      </c>
      <c r="I284" t="s">
        <v>108</v>
      </c>
      <c r="J284">
        <v>1455979</v>
      </c>
      <c r="K284" t="s">
        <v>109</v>
      </c>
      <c r="L284" t="s">
        <v>110</v>
      </c>
      <c r="M284" t="s">
        <v>111</v>
      </c>
      <c r="N284" t="s">
        <v>447</v>
      </c>
      <c r="P284" t="s">
        <v>85</v>
      </c>
      <c r="Q284" t="s">
        <v>113</v>
      </c>
      <c r="S284" t="s">
        <v>448</v>
      </c>
    </row>
    <row r="285" spans="3:19" hidden="1" x14ac:dyDescent="0.25">
      <c r="C285">
        <v>20126</v>
      </c>
      <c r="D285" t="s">
        <v>444</v>
      </c>
      <c r="E285" s="12" t="s">
        <v>77</v>
      </c>
      <c r="F285" s="12" t="s">
        <v>135</v>
      </c>
      <c r="G285" t="s">
        <v>87</v>
      </c>
      <c r="H285" t="s">
        <v>80</v>
      </c>
      <c r="I285" t="s">
        <v>135</v>
      </c>
      <c r="J285">
        <v>24338400</v>
      </c>
      <c r="K285" t="s">
        <v>160</v>
      </c>
      <c r="L285" t="s">
        <v>110</v>
      </c>
      <c r="M285" t="s">
        <v>111</v>
      </c>
      <c r="N285" t="s">
        <v>449</v>
      </c>
      <c r="P285" t="s">
        <v>85</v>
      </c>
      <c r="Q285" t="s">
        <v>113</v>
      </c>
      <c r="S285" t="s">
        <v>450</v>
      </c>
    </row>
    <row r="286" spans="3:19" hidden="1" x14ac:dyDescent="0.25">
      <c r="C286">
        <v>292831</v>
      </c>
      <c r="D286" t="s">
        <v>444</v>
      </c>
      <c r="E286" s="12" t="s">
        <v>77</v>
      </c>
      <c r="F286" s="12" t="s">
        <v>141</v>
      </c>
      <c r="G286" t="s">
        <v>87</v>
      </c>
      <c r="H286" t="s">
        <v>80</v>
      </c>
      <c r="I286" t="s">
        <v>147</v>
      </c>
      <c r="J286">
        <v>0</v>
      </c>
      <c r="K286" t="s">
        <v>148</v>
      </c>
      <c r="L286" t="s">
        <v>110</v>
      </c>
      <c r="M286" t="s">
        <v>111</v>
      </c>
      <c r="N286" t="s">
        <v>451</v>
      </c>
      <c r="P286" t="s">
        <v>85</v>
      </c>
      <c r="Q286" t="s">
        <v>113</v>
      </c>
      <c r="R286" t="s">
        <v>452</v>
      </c>
    </row>
    <row r="287" spans="3:19" hidden="1" x14ac:dyDescent="0.25">
      <c r="C287">
        <v>786297</v>
      </c>
      <c r="D287" t="s">
        <v>444</v>
      </c>
      <c r="E287" s="12" t="s">
        <v>77</v>
      </c>
      <c r="F287" s="12" t="s">
        <v>116</v>
      </c>
      <c r="G287" t="s">
        <v>87</v>
      </c>
      <c r="H287" t="s">
        <v>80</v>
      </c>
      <c r="I287" t="s">
        <v>175</v>
      </c>
      <c r="J287">
        <v>0</v>
      </c>
      <c r="K287" t="s">
        <v>303</v>
      </c>
      <c r="L287" t="s">
        <v>110</v>
      </c>
      <c r="M287" t="s">
        <v>111</v>
      </c>
      <c r="N287" t="s">
        <v>453</v>
      </c>
      <c r="P287" t="s">
        <v>85</v>
      </c>
      <c r="Q287" t="s">
        <v>113</v>
      </c>
      <c r="R287" t="s">
        <v>454</v>
      </c>
    </row>
    <row r="288" spans="3:19" hidden="1" x14ac:dyDescent="0.25">
      <c r="C288">
        <v>292833</v>
      </c>
      <c r="D288" t="s">
        <v>444</v>
      </c>
      <c r="E288" s="12" t="s">
        <v>77</v>
      </c>
      <c r="F288" s="12" t="s">
        <v>121</v>
      </c>
      <c r="G288" t="s">
        <v>87</v>
      </c>
      <c r="H288" t="s">
        <v>80</v>
      </c>
      <c r="I288" t="s">
        <v>150</v>
      </c>
      <c r="J288">
        <v>445.4</v>
      </c>
      <c r="K288" t="s">
        <v>148</v>
      </c>
      <c r="L288" t="s">
        <v>110</v>
      </c>
      <c r="M288" t="s">
        <v>111</v>
      </c>
      <c r="N288" t="s">
        <v>451</v>
      </c>
      <c r="P288" t="s">
        <v>85</v>
      </c>
      <c r="Q288" t="s">
        <v>113</v>
      </c>
      <c r="S288" t="s">
        <v>455</v>
      </c>
    </row>
    <row r="289" spans="3:19" hidden="1" x14ac:dyDescent="0.25">
      <c r="C289">
        <v>4943</v>
      </c>
      <c r="D289" t="s">
        <v>444</v>
      </c>
      <c r="E289" s="12" t="s">
        <v>97</v>
      </c>
      <c r="F289" s="12" t="s">
        <v>108</v>
      </c>
      <c r="G289" t="s">
        <v>106</v>
      </c>
      <c r="H289" t="s">
        <v>99</v>
      </c>
      <c r="I289" t="s">
        <v>108</v>
      </c>
      <c r="J289">
        <v>1392124</v>
      </c>
      <c r="K289" t="s">
        <v>109</v>
      </c>
      <c r="L289" t="s">
        <v>110</v>
      </c>
      <c r="M289" t="s">
        <v>162</v>
      </c>
      <c r="N289" t="s">
        <v>125</v>
      </c>
      <c r="P289" t="s">
        <v>85</v>
      </c>
      <c r="Q289" t="s">
        <v>113</v>
      </c>
      <c r="S289" t="s">
        <v>456</v>
      </c>
    </row>
    <row r="290" spans="3:19" hidden="1" x14ac:dyDescent="0.25">
      <c r="C290">
        <v>4970</v>
      </c>
      <c r="D290" t="s">
        <v>444</v>
      </c>
      <c r="E290" s="12" t="s">
        <v>97</v>
      </c>
      <c r="F290" s="12" t="s">
        <v>135</v>
      </c>
      <c r="G290" t="s">
        <v>106</v>
      </c>
      <c r="H290" t="s">
        <v>99</v>
      </c>
      <c r="I290" t="s">
        <v>135</v>
      </c>
      <c r="J290">
        <v>22490600</v>
      </c>
      <c r="K290" t="s">
        <v>160</v>
      </c>
      <c r="L290" t="s">
        <v>110</v>
      </c>
      <c r="M290" t="s">
        <v>162</v>
      </c>
      <c r="N290" t="s">
        <v>125</v>
      </c>
      <c r="P290" t="s">
        <v>85</v>
      </c>
      <c r="Q290" t="s">
        <v>113</v>
      </c>
      <c r="S290" t="s">
        <v>456</v>
      </c>
    </row>
    <row r="291" spans="3:19" hidden="1" x14ac:dyDescent="0.25">
      <c r="C291">
        <v>5029</v>
      </c>
      <c r="D291" t="s">
        <v>444</v>
      </c>
      <c r="E291" s="12" t="s">
        <v>97</v>
      </c>
      <c r="F291" s="12" t="s">
        <v>116</v>
      </c>
      <c r="G291" t="s">
        <v>106</v>
      </c>
      <c r="H291" t="s">
        <v>99</v>
      </c>
      <c r="I291" t="s">
        <v>218</v>
      </c>
      <c r="J291">
        <v>0</v>
      </c>
      <c r="K291" t="s">
        <v>118</v>
      </c>
      <c r="L291" t="s">
        <v>110</v>
      </c>
      <c r="M291" t="s">
        <v>83</v>
      </c>
      <c r="N291" t="s">
        <v>125</v>
      </c>
      <c r="O291" t="s">
        <v>457</v>
      </c>
      <c r="P291" t="s">
        <v>85</v>
      </c>
      <c r="Q291" t="s">
        <v>457</v>
      </c>
      <c r="R291" t="s">
        <v>458</v>
      </c>
    </row>
    <row r="292" spans="3:19" hidden="1" x14ac:dyDescent="0.25">
      <c r="C292">
        <v>1230932</v>
      </c>
      <c r="D292" t="s">
        <v>444</v>
      </c>
      <c r="E292" s="12" t="s">
        <v>97</v>
      </c>
      <c r="F292" s="12" t="s">
        <v>121</v>
      </c>
      <c r="G292" t="s">
        <v>106</v>
      </c>
      <c r="H292" t="s">
        <v>99</v>
      </c>
      <c r="I292" t="s">
        <v>150</v>
      </c>
      <c r="J292">
        <v>767.68</v>
      </c>
      <c r="K292" t="s">
        <v>143</v>
      </c>
      <c r="L292" t="s">
        <v>110</v>
      </c>
      <c r="M292" t="s">
        <v>162</v>
      </c>
      <c r="N292" t="s">
        <v>459</v>
      </c>
      <c r="P292" t="s">
        <v>85</v>
      </c>
      <c r="Q292" t="s">
        <v>113</v>
      </c>
    </row>
  </sheetData>
  <phoneticPr fontId="5" type="noConversion"/>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0.499984740745262"/>
  </sheetPr>
  <dimension ref="A1:AR2468"/>
  <sheetViews>
    <sheetView topLeftCell="F1" zoomScale="90" zoomScaleNormal="90" workbookViewId="0">
      <selection activeCell="G2472" sqref="G2472"/>
    </sheetView>
  </sheetViews>
  <sheetFormatPr defaultRowHeight="15" x14ac:dyDescent="0.25"/>
  <cols>
    <col min="1" max="1" width="11.5703125" customWidth="1"/>
    <col min="2" max="2" width="113.5703125" customWidth="1"/>
    <col min="3" max="3" width="33.28515625" customWidth="1"/>
    <col min="4" max="5" width="39.5703125" customWidth="1"/>
    <col min="6" max="6" width="37.140625" customWidth="1"/>
    <col min="7" max="7" width="34.85546875" customWidth="1"/>
    <col min="8" max="8" width="27.5703125" customWidth="1"/>
    <col min="9" max="9" width="25.140625" customWidth="1"/>
    <col min="10" max="10" width="58.85546875" customWidth="1"/>
    <col min="11" max="11" width="25.140625" customWidth="1"/>
    <col min="12" max="12" width="32.42578125" customWidth="1"/>
    <col min="13" max="13" width="21.5703125" customWidth="1"/>
    <col min="14" max="14" width="23.5703125" customWidth="1"/>
    <col min="15" max="16" width="33.5703125" customWidth="1"/>
    <col min="17" max="17" width="32.42578125" customWidth="1"/>
    <col min="18" max="18" width="46.85546875" customWidth="1"/>
    <col min="19" max="20" width="58.85546875" customWidth="1"/>
    <col min="21" max="21" width="22.85546875" customWidth="1"/>
    <col min="22" max="22" width="120" customWidth="1"/>
    <col min="23" max="23" width="13.140625" customWidth="1"/>
    <col min="24" max="24" width="52.85546875" customWidth="1"/>
    <col min="25" max="25" width="24" customWidth="1"/>
    <col min="26" max="26" width="44.42578125" customWidth="1"/>
    <col min="27" max="27" width="31.140625" customWidth="1"/>
    <col min="28" max="28" width="33.5703125" customWidth="1"/>
    <col min="29" max="29" width="21.5703125" customWidth="1"/>
    <col min="30" max="30" width="20.42578125" customWidth="1"/>
    <col min="31" max="31" width="24" customWidth="1"/>
    <col min="32" max="32" width="25.140625" customWidth="1"/>
    <col min="33" max="33" width="24" customWidth="1"/>
    <col min="34" max="35" width="40.85546875" customWidth="1"/>
    <col min="36" max="36" width="27.5703125" customWidth="1"/>
    <col min="37" max="37" width="28.85546875" customWidth="1"/>
    <col min="38" max="38" width="50.7109375" customWidth="1"/>
    <col min="39" max="39" width="24" customWidth="1"/>
    <col min="40" max="40" width="18" customWidth="1"/>
    <col min="41" max="41" width="17.140625" bestFit="1" customWidth="1"/>
    <col min="42" max="42" width="16" bestFit="1" customWidth="1"/>
    <col min="43" max="43" width="22.5703125" customWidth="1"/>
    <col min="44" max="44" width="33.140625" bestFit="1" customWidth="1"/>
  </cols>
  <sheetData>
    <row r="1" spans="1:44" x14ac:dyDescent="0.25">
      <c r="A1" s="1" t="s">
        <v>31</v>
      </c>
      <c r="B1" s="1" t="s">
        <v>32</v>
      </c>
      <c r="C1" s="1" t="s">
        <v>2</v>
      </c>
      <c r="D1" s="1" t="s">
        <v>17</v>
      </c>
      <c r="E1" s="1" t="s">
        <v>33</v>
      </c>
      <c r="F1" s="1" t="s">
        <v>34</v>
      </c>
      <c r="G1" s="1" t="s">
        <v>18</v>
      </c>
      <c r="H1" s="1" t="s">
        <v>35</v>
      </c>
      <c r="I1" s="1" t="s">
        <v>36</v>
      </c>
      <c r="J1" s="1" t="s">
        <v>21</v>
      </c>
      <c r="K1" s="1" t="s">
        <v>22</v>
      </c>
      <c r="L1" s="1" t="s">
        <v>23</v>
      </c>
      <c r="M1" s="1" t="s">
        <v>24</v>
      </c>
      <c r="N1" s="1" t="s">
        <v>29</v>
      </c>
      <c r="O1" s="1" t="s">
        <v>37</v>
      </c>
      <c r="P1" s="1" t="s">
        <v>38</v>
      </c>
      <c r="Q1" s="1" t="s">
        <v>39</v>
      </c>
      <c r="R1" s="1" t="s">
        <v>40</v>
      </c>
      <c r="S1" s="1" t="s">
        <v>41</v>
      </c>
      <c r="T1" s="1" t="s">
        <v>42</v>
      </c>
      <c r="U1" s="1" t="s">
        <v>43</v>
      </c>
      <c r="V1" s="1" t="s">
        <v>44</v>
      </c>
      <c r="W1" s="1" t="s">
        <v>45</v>
      </c>
      <c r="X1" s="1" t="s">
        <v>46</v>
      </c>
      <c r="Y1" s="1" t="s">
        <v>47</v>
      </c>
      <c r="Z1" s="1" t="s">
        <v>48</v>
      </c>
      <c r="AA1" s="1" t="s">
        <v>49</v>
      </c>
      <c r="AB1" s="1" t="s">
        <v>50</v>
      </c>
      <c r="AC1" s="1" t="s">
        <v>51</v>
      </c>
      <c r="AD1" s="1" t="s">
        <v>52</v>
      </c>
      <c r="AE1" s="1" t="s">
        <v>53</v>
      </c>
      <c r="AF1" s="1" t="s">
        <v>54</v>
      </c>
      <c r="AG1" s="1" t="s">
        <v>55</v>
      </c>
      <c r="AH1" s="1" t="s">
        <v>56</v>
      </c>
      <c r="AI1" s="1" t="s">
        <v>57</v>
      </c>
      <c r="AJ1" s="1" t="s">
        <v>58</v>
      </c>
      <c r="AK1" s="1" t="s">
        <v>59</v>
      </c>
      <c r="AL1" s="1" t="s">
        <v>60</v>
      </c>
      <c r="AM1" s="1" t="s">
        <v>61</v>
      </c>
      <c r="AN1" s="1" t="s">
        <v>62</v>
      </c>
      <c r="AO1" s="11" t="s">
        <v>63</v>
      </c>
      <c r="AP1" s="11" t="s">
        <v>64</v>
      </c>
      <c r="AQ1" s="11" t="s">
        <v>65</v>
      </c>
      <c r="AR1" s="11" t="s">
        <v>66</v>
      </c>
    </row>
    <row r="2" spans="1:44" hidden="1" x14ac:dyDescent="0.25">
      <c r="A2">
        <v>293319</v>
      </c>
      <c r="B2" t="s">
        <v>144</v>
      </c>
      <c r="C2" t="s">
        <v>501</v>
      </c>
      <c r="D2" t="s">
        <v>548</v>
      </c>
      <c r="E2" s="2">
        <v>44562</v>
      </c>
      <c r="F2" s="2">
        <v>44926</v>
      </c>
      <c r="G2" t="s">
        <v>108</v>
      </c>
      <c r="H2" s="2">
        <v>44562</v>
      </c>
      <c r="I2" s="2">
        <v>44926</v>
      </c>
      <c r="J2" t="s">
        <v>108</v>
      </c>
      <c r="K2">
        <v>1000</v>
      </c>
      <c r="L2" t="s">
        <v>109</v>
      </c>
      <c r="M2" t="s">
        <v>82</v>
      </c>
      <c r="N2" t="s">
        <v>146</v>
      </c>
      <c r="O2" t="s">
        <v>549</v>
      </c>
      <c r="P2" t="s">
        <v>550</v>
      </c>
      <c r="Q2">
        <v>2022</v>
      </c>
      <c r="R2" t="s">
        <v>551</v>
      </c>
      <c r="S2" t="s">
        <v>552</v>
      </c>
      <c r="T2" t="s">
        <v>553</v>
      </c>
      <c r="U2" t="b">
        <v>0</v>
      </c>
      <c r="V2" t="s">
        <v>554</v>
      </c>
      <c r="W2" t="s">
        <v>555</v>
      </c>
      <c r="X2" t="s">
        <v>556</v>
      </c>
      <c r="Y2" t="s">
        <v>466</v>
      </c>
      <c r="Z2" t="s">
        <v>503</v>
      </c>
      <c r="AA2" t="s">
        <v>557</v>
      </c>
      <c r="AC2">
        <v>0</v>
      </c>
      <c r="AD2" t="s">
        <v>558</v>
      </c>
      <c r="AE2">
        <v>0.3</v>
      </c>
      <c r="AF2" t="s">
        <v>559</v>
      </c>
      <c r="AG2" t="s">
        <v>560</v>
      </c>
      <c r="AH2">
        <v>1</v>
      </c>
      <c r="AI2">
        <v>1000</v>
      </c>
      <c r="AJ2" t="s">
        <v>561</v>
      </c>
      <c r="AK2" t="s">
        <v>562</v>
      </c>
      <c r="AL2" t="s">
        <v>563</v>
      </c>
      <c r="AM2">
        <v>2022</v>
      </c>
      <c r="AN2">
        <v>2020</v>
      </c>
      <c r="AO2">
        <f>IF(AND(emissions[[#This Row],[Market-based]]=0,emissions[[#This Row],[Impact Type]]="CO2E"),emissions[[#This Row],[kgCO2e]],0)/1000</f>
        <v>0</v>
      </c>
      <c r="AP2">
        <f>IF(AND(emissions[[#This Row],[Market-based]]=1,OR(emissions[[#This Row],[Impact Type]]="CO2E",emissions[[#This Row],[Impact Type]]="CO2E MKT")),emissions[[#This Row],[kgCO2e]],0)/1000</f>
        <v>0</v>
      </c>
      <c r="AQ2" t="str">
        <f>_xlfn.TEXTAFTER(emissions[[#This Row],[Reporting Unit]]," &gt; ",LEN(emissions[[#This Row],[Reporting Unit]])-LEN(SUBSTITUTE(emissions[[#This Row],[Reporting Unit]],"&gt;","")))</f>
        <v>Vantage_Mumbai</v>
      </c>
      <c r="AR2" t="str">
        <f>_xlfn.XLOOKUP(emissions[[#This Row],[Reporting unit name]],hierarchy!$A:$A,hierarchy!$C:$C)</f>
        <v>Office</v>
      </c>
    </row>
    <row r="3" spans="1:44" hidden="1" x14ac:dyDescent="0.25">
      <c r="A3">
        <v>293319</v>
      </c>
      <c r="B3" t="s">
        <v>144</v>
      </c>
      <c r="C3" t="s">
        <v>501</v>
      </c>
      <c r="D3" t="s">
        <v>548</v>
      </c>
      <c r="E3" s="3">
        <v>44562</v>
      </c>
      <c r="F3" s="3">
        <v>44926</v>
      </c>
      <c r="G3" t="s">
        <v>108</v>
      </c>
      <c r="H3" s="3">
        <v>44562</v>
      </c>
      <c r="I3" s="3">
        <v>44926</v>
      </c>
      <c r="J3" t="s">
        <v>108</v>
      </c>
      <c r="K3">
        <v>1000</v>
      </c>
      <c r="L3" t="s">
        <v>109</v>
      </c>
      <c r="M3" t="s">
        <v>82</v>
      </c>
      <c r="N3" t="s">
        <v>146</v>
      </c>
      <c r="O3" t="s">
        <v>549</v>
      </c>
      <c r="P3" t="s">
        <v>550</v>
      </c>
      <c r="Q3">
        <v>2022</v>
      </c>
      <c r="R3" t="s">
        <v>551</v>
      </c>
      <c r="S3" t="s">
        <v>552</v>
      </c>
      <c r="T3" t="s">
        <v>553</v>
      </c>
      <c r="U3" t="b">
        <v>0</v>
      </c>
      <c r="V3" t="s">
        <v>554</v>
      </c>
      <c r="W3" t="s">
        <v>555</v>
      </c>
      <c r="X3" t="s">
        <v>556</v>
      </c>
      <c r="Y3" t="s">
        <v>466</v>
      </c>
      <c r="Z3" t="s">
        <v>503</v>
      </c>
      <c r="AA3" t="s">
        <v>557</v>
      </c>
      <c r="AC3">
        <v>0</v>
      </c>
      <c r="AD3" t="s">
        <v>564</v>
      </c>
      <c r="AE3">
        <v>689.3</v>
      </c>
      <c r="AF3" t="s">
        <v>559</v>
      </c>
      <c r="AG3" t="s">
        <v>560</v>
      </c>
      <c r="AH3">
        <v>1</v>
      </c>
      <c r="AI3">
        <v>1000</v>
      </c>
      <c r="AJ3" t="s">
        <v>561</v>
      </c>
      <c r="AK3" t="s">
        <v>562</v>
      </c>
      <c r="AL3" t="s">
        <v>563</v>
      </c>
      <c r="AM3">
        <v>2022</v>
      </c>
      <c r="AN3">
        <v>2020</v>
      </c>
      <c r="AO3">
        <f>IF(AND(emissions[[#This Row],[Market-based]]=0,emissions[[#This Row],[Impact Type]]="CO2E"),emissions[[#This Row],[kgCO2e]],0)/1000</f>
        <v>0</v>
      </c>
      <c r="AP3">
        <f>IF(AND(emissions[[#This Row],[Market-based]]=1,OR(emissions[[#This Row],[Impact Type]]="CO2E",emissions[[#This Row],[Impact Type]]="CO2E MKT")),emissions[[#This Row],[kgCO2e]],0)/1000</f>
        <v>0</v>
      </c>
      <c r="AQ3" t="str">
        <f>_xlfn.TEXTAFTER(emissions[[#This Row],[Reporting Unit]]," &gt; ",LEN(emissions[[#This Row],[Reporting Unit]])-LEN(SUBSTITUTE(emissions[[#This Row],[Reporting Unit]],"&gt;","")))</f>
        <v>Vantage_Mumbai</v>
      </c>
      <c r="AR3" t="str">
        <f>_xlfn.XLOOKUP(emissions[[#This Row],[Reporting unit name]],hierarchy!$A:$A,hierarchy!$C:$C)</f>
        <v>Office</v>
      </c>
    </row>
    <row r="4" spans="1:44" hidden="1" x14ac:dyDescent="0.25">
      <c r="A4">
        <v>293319</v>
      </c>
      <c r="B4" t="s">
        <v>144</v>
      </c>
      <c r="C4" t="s">
        <v>501</v>
      </c>
      <c r="D4" t="s">
        <v>548</v>
      </c>
      <c r="E4" s="3">
        <v>44562</v>
      </c>
      <c r="F4" s="3">
        <v>44926</v>
      </c>
      <c r="G4" t="s">
        <v>108</v>
      </c>
      <c r="H4" s="3">
        <v>44562</v>
      </c>
      <c r="I4" s="3">
        <v>44926</v>
      </c>
      <c r="J4" t="s">
        <v>108</v>
      </c>
      <c r="K4">
        <v>1000</v>
      </c>
      <c r="L4" t="s">
        <v>109</v>
      </c>
      <c r="M4" t="s">
        <v>82</v>
      </c>
      <c r="N4" t="s">
        <v>146</v>
      </c>
      <c r="O4" t="s">
        <v>549</v>
      </c>
      <c r="P4" t="s">
        <v>550</v>
      </c>
      <c r="Q4">
        <v>2022</v>
      </c>
      <c r="R4" t="s">
        <v>551</v>
      </c>
      <c r="S4" t="s">
        <v>552</v>
      </c>
      <c r="T4" t="s">
        <v>553</v>
      </c>
      <c r="U4" t="b">
        <v>0</v>
      </c>
      <c r="V4" t="s">
        <v>554</v>
      </c>
      <c r="W4" t="s">
        <v>555</v>
      </c>
      <c r="X4" t="s">
        <v>556</v>
      </c>
      <c r="Y4" t="s">
        <v>466</v>
      </c>
      <c r="Z4" t="s">
        <v>503</v>
      </c>
      <c r="AA4" t="s">
        <v>557</v>
      </c>
      <c r="AC4">
        <v>0</v>
      </c>
      <c r="AD4" t="s">
        <v>565</v>
      </c>
      <c r="AE4">
        <v>692.9</v>
      </c>
      <c r="AF4" t="s">
        <v>559</v>
      </c>
      <c r="AG4" t="s">
        <v>560</v>
      </c>
      <c r="AH4">
        <v>1</v>
      </c>
      <c r="AI4">
        <v>1000</v>
      </c>
      <c r="AJ4" t="s">
        <v>561</v>
      </c>
      <c r="AK4" t="s">
        <v>562</v>
      </c>
      <c r="AL4" t="s">
        <v>563</v>
      </c>
      <c r="AM4">
        <v>2022</v>
      </c>
      <c r="AN4">
        <v>2020</v>
      </c>
      <c r="AO4">
        <f>IF(AND(emissions[[#This Row],[Market-based]]=0,emissions[[#This Row],[Impact Type]]="CO2E"),emissions[[#This Row],[kgCO2e]],0)/1000</f>
        <v>0.69289999999999996</v>
      </c>
      <c r="AP4">
        <f>IF(AND(emissions[[#This Row],[Market-based]]=1,OR(emissions[[#This Row],[Impact Type]]="CO2E",emissions[[#This Row],[Impact Type]]="CO2E MKT")),emissions[[#This Row],[kgCO2e]],0)/1000</f>
        <v>0</v>
      </c>
      <c r="AQ4" t="str">
        <f>_xlfn.TEXTAFTER(emissions[[#This Row],[Reporting Unit]]," &gt; ",LEN(emissions[[#This Row],[Reporting Unit]])-LEN(SUBSTITUTE(emissions[[#This Row],[Reporting Unit]],"&gt;","")))</f>
        <v>Vantage_Mumbai</v>
      </c>
      <c r="AR4" t="str">
        <f>_xlfn.XLOOKUP(emissions[[#This Row],[Reporting unit name]],hierarchy!$A:$A,hierarchy!$C:$C)</f>
        <v>Office</v>
      </c>
    </row>
    <row r="5" spans="1:44" hidden="1" x14ac:dyDescent="0.25">
      <c r="A5">
        <v>293319</v>
      </c>
      <c r="B5" t="s">
        <v>144</v>
      </c>
      <c r="C5" t="s">
        <v>501</v>
      </c>
      <c r="D5" t="s">
        <v>548</v>
      </c>
      <c r="E5" s="3">
        <v>44562</v>
      </c>
      <c r="F5" s="3">
        <v>44926</v>
      </c>
      <c r="G5" t="s">
        <v>108</v>
      </c>
      <c r="H5" s="3">
        <v>44562</v>
      </c>
      <c r="I5" s="3">
        <v>44926</v>
      </c>
      <c r="J5" t="s">
        <v>108</v>
      </c>
      <c r="K5">
        <v>1000</v>
      </c>
      <c r="L5" t="s">
        <v>109</v>
      </c>
      <c r="M5" t="s">
        <v>82</v>
      </c>
      <c r="N5" t="s">
        <v>146</v>
      </c>
      <c r="O5" t="s">
        <v>549</v>
      </c>
      <c r="P5" t="s">
        <v>550</v>
      </c>
      <c r="Q5">
        <v>2022</v>
      </c>
      <c r="R5" t="s">
        <v>551</v>
      </c>
      <c r="S5" t="s">
        <v>552</v>
      </c>
      <c r="T5" t="s">
        <v>553</v>
      </c>
      <c r="U5" t="b">
        <v>0</v>
      </c>
      <c r="V5" t="s">
        <v>554</v>
      </c>
      <c r="W5" t="s">
        <v>555</v>
      </c>
      <c r="X5" t="s">
        <v>556</v>
      </c>
      <c r="Y5" t="s">
        <v>466</v>
      </c>
      <c r="Z5" t="s">
        <v>503</v>
      </c>
      <c r="AA5" t="s">
        <v>557</v>
      </c>
      <c r="AC5">
        <v>0</v>
      </c>
      <c r="AD5" t="s">
        <v>566</v>
      </c>
      <c r="AE5">
        <v>3.3</v>
      </c>
      <c r="AF5" t="s">
        <v>559</v>
      </c>
      <c r="AG5" t="s">
        <v>560</v>
      </c>
      <c r="AH5">
        <v>1</v>
      </c>
      <c r="AI5">
        <v>1000</v>
      </c>
      <c r="AJ5" t="s">
        <v>561</v>
      </c>
      <c r="AK5" t="s">
        <v>562</v>
      </c>
      <c r="AL5" t="s">
        <v>563</v>
      </c>
      <c r="AM5">
        <v>2022</v>
      </c>
      <c r="AN5">
        <v>2020</v>
      </c>
      <c r="AO5">
        <f>IF(AND(emissions[[#This Row],[Market-based]]=0,emissions[[#This Row],[Impact Type]]="CO2E"),emissions[[#This Row],[kgCO2e]],0)/1000</f>
        <v>0</v>
      </c>
      <c r="AP5">
        <f>IF(AND(emissions[[#This Row],[Market-based]]=1,OR(emissions[[#This Row],[Impact Type]]="CO2E",emissions[[#This Row],[Impact Type]]="CO2E MKT")),emissions[[#This Row],[kgCO2e]],0)/1000</f>
        <v>0</v>
      </c>
      <c r="AQ5" t="str">
        <f>_xlfn.TEXTAFTER(emissions[[#This Row],[Reporting Unit]]," &gt; ",LEN(emissions[[#This Row],[Reporting Unit]])-LEN(SUBSTITUTE(emissions[[#This Row],[Reporting Unit]],"&gt;","")))</f>
        <v>Vantage_Mumbai</v>
      </c>
      <c r="AR5" t="str">
        <f>_xlfn.XLOOKUP(emissions[[#This Row],[Reporting unit name]],hierarchy!$A:$A,hierarchy!$C:$C)</f>
        <v>Office</v>
      </c>
    </row>
    <row r="6" spans="1:44" hidden="1" x14ac:dyDescent="0.25">
      <c r="A6">
        <v>293319</v>
      </c>
      <c r="B6" t="s">
        <v>144</v>
      </c>
      <c r="C6" t="s">
        <v>501</v>
      </c>
      <c r="D6" t="s">
        <v>548</v>
      </c>
      <c r="E6" s="3">
        <v>44562</v>
      </c>
      <c r="F6" s="3">
        <v>44926</v>
      </c>
      <c r="G6" t="s">
        <v>108</v>
      </c>
      <c r="H6" s="3">
        <v>44562</v>
      </c>
      <c r="I6" s="3">
        <v>44926</v>
      </c>
      <c r="J6" t="s">
        <v>108</v>
      </c>
      <c r="K6">
        <v>1000</v>
      </c>
      <c r="L6" t="s">
        <v>109</v>
      </c>
      <c r="M6" t="s">
        <v>82</v>
      </c>
      <c r="N6" t="s">
        <v>146</v>
      </c>
      <c r="O6" t="s">
        <v>549</v>
      </c>
      <c r="P6" t="s">
        <v>550</v>
      </c>
      <c r="Q6">
        <v>2022</v>
      </c>
      <c r="R6" t="s">
        <v>551</v>
      </c>
      <c r="S6" t="s">
        <v>552</v>
      </c>
      <c r="T6" t="s">
        <v>553</v>
      </c>
      <c r="U6" t="b">
        <v>0</v>
      </c>
      <c r="V6" t="s">
        <v>554</v>
      </c>
      <c r="W6" t="s">
        <v>555</v>
      </c>
      <c r="X6" t="s">
        <v>556</v>
      </c>
      <c r="Y6" t="s">
        <v>466</v>
      </c>
      <c r="Z6" t="s">
        <v>503</v>
      </c>
      <c r="AA6" t="s">
        <v>557</v>
      </c>
      <c r="AC6">
        <v>1</v>
      </c>
      <c r="AD6" t="s">
        <v>558</v>
      </c>
      <c r="AE6">
        <v>0.3</v>
      </c>
      <c r="AF6" t="s">
        <v>559</v>
      </c>
      <c r="AG6" t="s">
        <v>560</v>
      </c>
      <c r="AH6">
        <v>1</v>
      </c>
      <c r="AI6">
        <v>1000</v>
      </c>
      <c r="AJ6" t="s">
        <v>561</v>
      </c>
      <c r="AK6" t="s">
        <v>562</v>
      </c>
      <c r="AL6" t="s">
        <v>563</v>
      </c>
      <c r="AM6">
        <v>2022</v>
      </c>
      <c r="AN6">
        <v>2020</v>
      </c>
      <c r="AO6">
        <f>IF(AND(emissions[[#This Row],[Market-based]]=0,emissions[[#This Row],[Impact Type]]="CO2E"),emissions[[#This Row],[kgCO2e]],0)/1000</f>
        <v>0</v>
      </c>
      <c r="AP6">
        <f>IF(AND(emissions[[#This Row],[Market-based]]=1,OR(emissions[[#This Row],[Impact Type]]="CO2E",emissions[[#This Row],[Impact Type]]="CO2E MKT")),emissions[[#This Row],[kgCO2e]],0)/1000</f>
        <v>0</v>
      </c>
      <c r="AQ6" t="str">
        <f>_xlfn.TEXTAFTER(emissions[[#This Row],[Reporting Unit]]," &gt; ",LEN(emissions[[#This Row],[Reporting Unit]])-LEN(SUBSTITUTE(emissions[[#This Row],[Reporting Unit]],"&gt;","")))</f>
        <v>Vantage_Mumbai</v>
      </c>
      <c r="AR6" t="str">
        <f>_xlfn.XLOOKUP(emissions[[#This Row],[Reporting unit name]],hierarchy!$A:$A,hierarchy!$C:$C)</f>
        <v>Office</v>
      </c>
    </row>
    <row r="7" spans="1:44" hidden="1" x14ac:dyDescent="0.25">
      <c r="A7">
        <v>293319</v>
      </c>
      <c r="B7" t="s">
        <v>144</v>
      </c>
      <c r="C7" t="s">
        <v>501</v>
      </c>
      <c r="D7" t="s">
        <v>548</v>
      </c>
      <c r="E7" s="3">
        <v>44562</v>
      </c>
      <c r="F7" s="3">
        <v>44926</v>
      </c>
      <c r="G7" t="s">
        <v>108</v>
      </c>
      <c r="H7" s="3">
        <v>44562</v>
      </c>
      <c r="I7" s="3">
        <v>44926</v>
      </c>
      <c r="J7" t="s">
        <v>108</v>
      </c>
      <c r="K7">
        <v>1000</v>
      </c>
      <c r="L7" t="s">
        <v>109</v>
      </c>
      <c r="M7" t="s">
        <v>82</v>
      </c>
      <c r="N7" t="s">
        <v>146</v>
      </c>
      <c r="O7" t="s">
        <v>549</v>
      </c>
      <c r="P7" t="s">
        <v>550</v>
      </c>
      <c r="Q7">
        <v>2022</v>
      </c>
      <c r="R7" t="s">
        <v>551</v>
      </c>
      <c r="S7" t="s">
        <v>552</v>
      </c>
      <c r="T7" t="s">
        <v>553</v>
      </c>
      <c r="U7" t="b">
        <v>0</v>
      </c>
      <c r="V7" t="s">
        <v>554</v>
      </c>
      <c r="W7" t="s">
        <v>555</v>
      </c>
      <c r="X7" t="s">
        <v>556</v>
      </c>
      <c r="Y7" t="s">
        <v>466</v>
      </c>
      <c r="Z7" t="s">
        <v>503</v>
      </c>
      <c r="AA7" t="s">
        <v>557</v>
      </c>
      <c r="AC7">
        <v>1</v>
      </c>
      <c r="AD7" t="s">
        <v>564</v>
      </c>
      <c r="AE7">
        <v>689.3</v>
      </c>
      <c r="AF7" t="s">
        <v>559</v>
      </c>
      <c r="AG7" t="s">
        <v>560</v>
      </c>
      <c r="AH7">
        <v>1</v>
      </c>
      <c r="AI7">
        <v>1000</v>
      </c>
      <c r="AJ7" t="s">
        <v>561</v>
      </c>
      <c r="AK7" t="s">
        <v>562</v>
      </c>
      <c r="AL7" t="s">
        <v>563</v>
      </c>
      <c r="AM7">
        <v>2022</v>
      </c>
      <c r="AN7">
        <v>2020</v>
      </c>
      <c r="AO7">
        <f>IF(AND(emissions[[#This Row],[Market-based]]=0,emissions[[#This Row],[Impact Type]]="CO2E"),emissions[[#This Row],[kgCO2e]],0)/1000</f>
        <v>0</v>
      </c>
      <c r="AP7">
        <f>IF(AND(emissions[[#This Row],[Market-based]]=1,OR(emissions[[#This Row],[Impact Type]]="CO2E",emissions[[#This Row],[Impact Type]]="CO2E MKT")),emissions[[#This Row],[kgCO2e]],0)/1000</f>
        <v>0</v>
      </c>
      <c r="AQ7" t="str">
        <f>_xlfn.TEXTAFTER(emissions[[#This Row],[Reporting Unit]]," &gt; ",LEN(emissions[[#This Row],[Reporting Unit]])-LEN(SUBSTITUTE(emissions[[#This Row],[Reporting Unit]],"&gt;","")))</f>
        <v>Vantage_Mumbai</v>
      </c>
      <c r="AR7" t="str">
        <f>_xlfn.XLOOKUP(emissions[[#This Row],[Reporting unit name]],hierarchy!$A:$A,hierarchy!$C:$C)</f>
        <v>Office</v>
      </c>
    </row>
    <row r="8" spans="1:44" hidden="1" x14ac:dyDescent="0.25">
      <c r="A8">
        <v>293319</v>
      </c>
      <c r="B8" t="s">
        <v>144</v>
      </c>
      <c r="C8" t="s">
        <v>501</v>
      </c>
      <c r="D8" t="s">
        <v>548</v>
      </c>
      <c r="E8" s="3">
        <v>44562</v>
      </c>
      <c r="F8" s="3">
        <v>44926</v>
      </c>
      <c r="G8" t="s">
        <v>108</v>
      </c>
      <c r="H8" s="3">
        <v>44562</v>
      </c>
      <c r="I8" s="3">
        <v>44926</v>
      </c>
      <c r="J8" t="s">
        <v>108</v>
      </c>
      <c r="K8">
        <v>1000</v>
      </c>
      <c r="L8" t="s">
        <v>109</v>
      </c>
      <c r="M8" t="s">
        <v>82</v>
      </c>
      <c r="N8" t="s">
        <v>146</v>
      </c>
      <c r="O8" t="s">
        <v>549</v>
      </c>
      <c r="P8" t="s">
        <v>550</v>
      </c>
      <c r="Q8">
        <v>2022</v>
      </c>
      <c r="R8" t="s">
        <v>551</v>
      </c>
      <c r="S8" t="s">
        <v>552</v>
      </c>
      <c r="T8" t="s">
        <v>553</v>
      </c>
      <c r="U8" t="b">
        <v>0</v>
      </c>
      <c r="V8" t="s">
        <v>554</v>
      </c>
      <c r="W8" t="s">
        <v>555</v>
      </c>
      <c r="X8" t="s">
        <v>556</v>
      </c>
      <c r="Y8" t="s">
        <v>466</v>
      </c>
      <c r="Z8" t="s">
        <v>503</v>
      </c>
      <c r="AA8" t="s">
        <v>557</v>
      </c>
      <c r="AC8">
        <v>1</v>
      </c>
      <c r="AD8" t="s">
        <v>565</v>
      </c>
      <c r="AE8">
        <v>692.9</v>
      </c>
      <c r="AF8" t="s">
        <v>559</v>
      </c>
      <c r="AG8" t="s">
        <v>560</v>
      </c>
      <c r="AH8">
        <v>1</v>
      </c>
      <c r="AI8">
        <v>1000</v>
      </c>
      <c r="AJ8" t="s">
        <v>561</v>
      </c>
      <c r="AK8" t="s">
        <v>562</v>
      </c>
      <c r="AL8" t="s">
        <v>563</v>
      </c>
      <c r="AM8">
        <v>2022</v>
      </c>
      <c r="AN8">
        <v>2020</v>
      </c>
      <c r="AO8">
        <f>IF(AND(emissions[[#This Row],[Market-based]]=0,emissions[[#This Row],[Impact Type]]="CO2E"),emissions[[#This Row],[kgCO2e]],0)/1000</f>
        <v>0</v>
      </c>
      <c r="AP8">
        <f>IF(AND(emissions[[#This Row],[Market-based]]=1,OR(emissions[[#This Row],[Impact Type]]="CO2E",emissions[[#This Row],[Impact Type]]="CO2E MKT")),emissions[[#This Row],[kgCO2e]],0)/1000</f>
        <v>0.69289999999999996</v>
      </c>
      <c r="AQ8" t="str">
        <f>_xlfn.TEXTAFTER(emissions[[#This Row],[Reporting Unit]]," &gt; ",LEN(emissions[[#This Row],[Reporting Unit]])-LEN(SUBSTITUTE(emissions[[#This Row],[Reporting Unit]],"&gt;","")))</f>
        <v>Vantage_Mumbai</v>
      </c>
      <c r="AR8" t="str">
        <f>_xlfn.XLOOKUP(emissions[[#This Row],[Reporting unit name]],hierarchy!$A:$A,hierarchy!$C:$C)</f>
        <v>Office</v>
      </c>
    </row>
    <row r="9" spans="1:44" hidden="1" x14ac:dyDescent="0.25">
      <c r="A9">
        <v>293319</v>
      </c>
      <c r="B9" t="s">
        <v>144</v>
      </c>
      <c r="C9" t="s">
        <v>501</v>
      </c>
      <c r="D9" t="s">
        <v>548</v>
      </c>
      <c r="E9" s="3">
        <v>44562</v>
      </c>
      <c r="F9" s="3">
        <v>44926</v>
      </c>
      <c r="G9" t="s">
        <v>108</v>
      </c>
      <c r="H9" s="3">
        <v>44562</v>
      </c>
      <c r="I9" s="3">
        <v>44926</v>
      </c>
      <c r="J9" t="s">
        <v>108</v>
      </c>
      <c r="K9">
        <v>1000</v>
      </c>
      <c r="L9" t="s">
        <v>109</v>
      </c>
      <c r="M9" t="s">
        <v>82</v>
      </c>
      <c r="N9" t="s">
        <v>146</v>
      </c>
      <c r="O9" t="s">
        <v>549</v>
      </c>
      <c r="P9" t="s">
        <v>550</v>
      </c>
      <c r="Q9">
        <v>2022</v>
      </c>
      <c r="R9" t="s">
        <v>551</v>
      </c>
      <c r="S9" t="s">
        <v>552</v>
      </c>
      <c r="T9" t="s">
        <v>553</v>
      </c>
      <c r="U9" t="b">
        <v>0</v>
      </c>
      <c r="V9" t="s">
        <v>554</v>
      </c>
      <c r="W9" t="s">
        <v>555</v>
      </c>
      <c r="X9" t="s">
        <v>556</v>
      </c>
      <c r="Y9" t="s">
        <v>466</v>
      </c>
      <c r="Z9" t="s">
        <v>503</v>
      </c>
      <c r="AA9" t="s">
        <v>557</v>
      </c>
      <c r="AC9">
        <v>1</v>
      </c>
      <c r="AD9" t="s">
        <v>566</v>
      </c>
      <c r="AE9">
        <v>3.3</v>
      </c>
      <c r="AF9" t="s">
        <v>559</v>
      </c>
      <c r="AG9" t="s">
        <v>560</v>
      </c>
      <c r="AH9">
        <v>1</v>
      </c>
      <c r="AI9">
        <v>1000</v>
      </c>
      <c r="AJ9" t="s">
        <v>561</v>
      </c>
      <c r="AK9" t="s">
        <v>562</v>
      </c>
      <c r="AL9" t="s">
        <v>563</v>
      </c>
      <c r="AM9">
        <v>2022</v>
      </c>
      <c r="AN9">
        <v>2020</v>
      </c>
      <c r="AO9">
        <f>IF(AND(emissions[[#This Row],[Market-based]]=0,emissions[[#This Row],[Impact Type]]="CO2E"),emissions[[#This Row],[kgCO2e]],0)/1000</f>
        <v>0</v>
      </c>
      <c r="AP9">
        <f>IF(AND(emissions[[#This Row],[Market-based]]=1,OR(emissions[[#This Row],[Impact Type]]="CO2E",emissions[[#This Row],[Impact Type]]="CO2E MKT")),emissions[[#This Row],[kgCO2e]],0)/1000</f>
        <v>0</v>
      </c>
      <c r="AQ9" t="str">
        <f>_xlfn.TEXTAFTER(emissions[[#This Row],[Reporting Unit]]," &gt; ",LEN(emissions[[#This Row],[Reporting Unit]])-LEN(SUBSTITUTE(emissions[[#This Row],[Reporting Unit]],"&gt;","")))</f>
        <v>Vantage_Mumbai</v>
      </c>
      <c r="AR9" t="str">
        <f>_xlfn.XLOOKUP(emissions[[#This Row],[Reporting unit name]],hierarchy!$A:$A,hierarchy!$C:$C)</f>
        <v>Office</v>
      </c>
    </row>
    <row r="10" spans="1:44" hidden="1" x14ac:dyDescent="0.25">
      <c r="A10">
        <v>293319</v>
      </c>
      <c r="B10" t="s">
        <v>144</v>
      </c>
      <c r="C10" t="s">
        <v>501</v>
      </c>
      <c r="D10" t="s">
        <v>548</v>
      </c>
      <c r="E10" s="3">
        <v>44562</v>
      </c>
      <c r="F10" s="3">
        <v>44926</v>
      </c>
      <c r="G10" t="s">
        <v>108</v>
      </c>
      <c r="H10" s="3">
        <v>44562</v>
      </c>
      <c r="I10" s="3">
        <v>44926</v>
      </c>
      <c r="J10" t="s">
        <v>108</v>
      </c>
      <c r="K10">
        <v>1000</v>
      </c>
      <c r="L10" t="s">
        <v>109</v>
      </c>
      <c r="M10" t="s">
        <v>82</v>
      </c>
      <c r="N10" t="s">
        <v>146</v>
      </c>
      <c r="O10" t="s">
        <v>549</v>
      </c>
      <c r="P10" t="s">
        <v>550</v>
      </c>
      <c r="Q10">
        <v>2022</v>
      </c>
      <c r="R10" t="s">
        <v>567</v>
      </c>
      <c r="S10" t="s">
        <v>568</v>
      </c>
      <c r="T10" t="s">
        <v>569</v>
      </c>
      <c r="U10" t="b">
        <v>0</v>
      </c>
      <c r="V10" t="s">
        <v>570</v>
      </c>
      <c r="W10" t="s">
        <v>571</v>
      </c>
      <c r="X10" t="s">
        <v>572</v>
      </c>
      <c r="Y10" t="s">
        <v>466</v>
      </c>
      <c r="Z10" t="s">
        <v>503</v>
      </c>
      <c r="AA10" t="s">
        <v>557</v>
      </c>
      <c r="AC10">
        <v>0</v>
      </c>
      <c r="AD10" t="s">
        <v>565</v>
      </c>
      <c r="AE10">
        <v>28.278960470000001</v>
      </c>
      <c r="AF10">
        <v>2.8278959999999999E-2</v>
      </c>
      <c r="AG10" t="s">
        <v>560</v>
      </c>
      <c r="AH10">
        <v>1</v>
      </c>
      <c r="AI10">
        <v>1000</v>
      </c>
      <c r="AJ10" t="s">
        <v>561</v>
      </c>
      <c r="AK10" t="s">
        <v>573</v>
      </c>
      <c r="AL10" t="s">
        <v>574</v>
      </c>
      <c r="AM10">
        <v>2022</v>
      </c>
      <c r="AN10">
        <v>2020</v>
      </c>
      <c r="AO10">
        <f>IF(AND(emissions[[#This Row],[Market-based]]=0,emissions[[#This Row],[Impact Type]]="CO2E"),emissions[[#This Row],[kgCO2e]],0)/1000</f>
        <v>2.827896047E-2</v>
      </c>
      <c r="AP10">
        <f>IF(AND(emissions[[#This Row],[Market-based]]=1,OR(emissions[[#This Row],[Impact Type]]="CO2E",emissions[[#This Row],[Impact Type]]="CO2E MKT")),emissions[[#This Row],[kgCO2e]],0)/1000</f>
        <v>0</v>
      </c>
      <c r="AQ10" t="str">
        <f>_xlfn.TEXTAFTER(emissions[[#This Row],[Reporting Unit]]," &gt; ",LEN(emissions[[#This Row],[Reporting Unit]])-LEN(SUBSTITUTE(emissions[[#This Row],[Reporting Unit]],"&gt;","")))</f>
        <v>Vantage_Mumbai</v>
      </c>
      <c r="AR10" t="str">
        <f>_xlfn.XLOOKUP(emissions[[#This Row],[Reporting unit name]],hierarchy!$A:$A,hierarchy!$C:$C)</f>
        <v>Office</v>
      </c>
    </row>
    <row r="11" spans="1:44" hidden="1" x14ac:dyDescent="0.25">
      <c r="A11">
        <v>293319</v>
      </c>
      <c r="B11" t="s">
        <v>144</v>
      </c>
      <c r="C11" t="s">
        <v>501</v>
      </c>
      <c r="D11" t="s">
        <v>548</v>
      </c>
      <c r="E11" s="3">
        <v>44562</v>
      </c>
      <c r="F11" s="3">
        <v>44926</v>
      </c>
      <c r="G11" t="s">
        <v>108</v>
      </c>
      <c r="H11" s="3">
        <v>44562</v>
      </c>
      <c r="I11" s="3">
        <v>44926</v>
      </c>
      <c r="J11" t="s">
        <v>108</v>
      </c>
      <c r="K11">
        <v>1000</v>
      </c>
      <c r="L11" t="s">
        <v>109</v>
      </c>
      <c r="M11" t="s">
        <v>82</v>
      </c>
      <c r="N11" t="s">
        <v>146</v>
      </c>
      <c r="O11" t="s">
        <v>549</v>
      </c>
      <c r="P11" t="s">
        <v>550</v>
      </c>
      <c r="Q11">
        <v>2022</v>
      </c>
      <c r="R11" t="s">
        <v>567</v>
      </c>
      <c r="S11" t="s">
        <v>568</v>
      </c>
      <c r="T11" t="s">
        <v>569</v>
      </c>
      <c r="U11" t="b">
        <v>0</v>
      </c>
      <c r="V11" t="s">
        <v>570</v>
      </c>
      <c r="W11" t="s">
        <v>571</v>
      </c>
      <c r="X11" t="s">
        <v>572</v>
      </c>
      <c r="Y11" t="s">
        <v>466</v>
      </c>
      <c r="Z11" t="s">
        <v>503</v>
      </c>
      <c r="AA11" t="s">
        <v>557</v>
      </c>
      <c r="AC11">
        <v>1</v>
      </c>
      <c r="AD11" t="s">
        <v>565</v>
      </c>
      <c r="AE11">
        <v>28.278960470000001</v>
      </c>
      <c r="AF11">
        <v>2.8278959999999999E-2</v>
      </c>
      <c r="AG11" t="s">
        <v>560</v>
      </c>
      <c r="AH11">
        <v>1</v>
      </c>
      <c r="AI11">
        <v>1000</v>
      </c>
      <c r="AJ11" t="s">
        <v>561</v>
      </c>
      <c r="AK11" t="s">
        <v>573</v>
      </c>
      <c r="AL11" t="s">
        <v>574</v>
      </c>
      <c r="AM11">
        <v>2022</v>
      </c>
      <c r="AN11">
        <v>2020</v>
      </c>
      <c r="AO11">
        <f>IF(AND(emissions[[#This Row],[Market-based]]=0,emissions[[#This Row],[Impact Type]]="CO2E"),emissions[[#This Row],[kgCO2e]],0)/1000</f>
        <v>0</v>
      </c>
      <c r="AP11">
        <f>IF(AND(emissions[[#This Row],[Market-based]]=1,OR(emissions[[#This Row],[Impact Type]]="CO2E",emissions[[#This Row],[Impact Type]]="CO2E MKT")),emissions[[#This Row],[kgCO2e]],0)/1000</f>
        <v>2.827896047E-2</v>
      </c>
      <c r="AQ11" t="str">
        <f>_xlfn.TEXTAFTER(emissions[[#This Row],[Reporting Unit]]," &gt; ",LEN(emissions[[#This Row],[Reporting Unit]])-LEN(SUBSTITUTE(emissions[[#This Row],[Reporting Unit]],"&gt;","")))</f>
        <v>Vantage_Mumbai</v>
      </c>
      <c r="AR11" t="str">
        <f>_xlfn.XLOOKUP(emissions[[#This Row],[Reporting unit name]],hierarchy!$A:$A,hierarchy!$C:$C)</f>
        <v>Office</v>
      </c>
    </row>
    <row r="12" spans="1:44" hidden="1" x14ac:dyDescent="0.25">
      <c r="A12">
        <v>293319</v>
      </c>
      <c r="B12" t="s">
        <v>144</v>
      </c>
      <c r="C12" t="s">
        <v>501</v>
      </c>
      <c r="D12" t="s">
        <v>548</v>
      </c>
      <c r="E12" s="3">
        <v>44562</v>
      </c>
      <c r="F12" s="3">
        <v>44926</v>
      </c>
      <c r="G12" t="s">
        <v>108</v>
      </c>
      <c r="H12" s="3">
        <v>44562</v>
      </c>
      <c r="I12" s="3">
        <v>44926</v>
      </c>
      <c r="J12" t="s">
        <v>108</v>
      </c>
      <c r="K12">
        <v>1000</v>
      </c>
      <c r="L12" t="s">
        <v>109</v>
      </c>
      <c r="M12" t="s">
        <v>82</v>
      </c>
      <c r="N12" t="s">
        <v>146</v>
      </c>
      <c r="O12" t="s">
        <v>549</v>
      </c>
      <c r="P12" t="s">
        <v>550</v>
      </c>
      <c r="Q12">
        <v>2022</v>
      </c>
      <c r="R12" t="s">
        <v>575</v>
      </c>
      <c r="S12" t="s">
        <v>576</v>
      </c>
      <c r="T12" t="s">
        <v>577</v>
      </c>
      <c r="U12" t="b">
        <v>0</v>
      </c>
      <c r="V12" t="s">
        <v>578</v>
      </c>
      <c r="W12" t="s">
        <v>571</v>
      </c>
      <c r="X12" t="s">
        <v>572</v>
      </c>
      <c r="Y12" t="s">
        <v>466</v>
      </c>
      <c r="Z12" t="s">
        <v>503</v>
      </c>
      <c r="AA12" t="s">
        <v>557</v>
      </c>
      <c r="AC12">
        <v>0</v>
      </c>
      <c r="AD12" t="s">
        <v>565</v>
      </c>
      <c r="AE12">
        <v>159.82456529999999</v>
      </c>
      <c r="AF12">
        <v>0.159824565</v>
      </c>
      <c r="AG12" t="s">
        <v>560</v>
      </c>
      <c r="AH12">
        <v>1</v>
      </c>
      <c r="AI12">
        <v>1000</v>
      </c>
      <c r="AJ12" t="s">
        <v>561</v>
      </c>
      <c r="AK12" t="s">
        <v>573</v>
      </c>
      <c r="AL12" t="s">
        <v>574</v>
      </c>
      <c r="AM12">
        <v>2022</v>
      </c>
      <c r="AN12">
        <v>2020</v>
      </c>
      <c r="AO12">
        <f>IF(AND(emissions[[#This Row],[Market-based]]=0,emissions[[#This Row],[Impact Type]]="CO2E"),emissions[[#This Row],[kgCO2e]],0)/1000</f>
        <v>0.1598245653</v>
      </c>
      <c r="AP12">
        <f>IF(AND(emissions[[#This Row],[Market-based]]=1,OR(emissions[[#This Row],[Impact Type]]="CO2E",emissions[[#This Row],[Impact Type]]="CO2E MKT")),emissions[[#This Row],[kgCO2e]],0)/1000</f>
        <v>0</v>
      </c>
      <c r="AQ12" t="str">
        <f>_xlfn.TEXTAFTER(emissions[[#This Row],[Reporting Unit]]," &gt; ",LEN(emissions[[#This Row],[Reporting Unit]])-LEN(SUBSTITUTE(emissions[[#This Row],[Reporting Unit]],"&gt;","")))</f>
        <v>Vantage_Mumbai</v>
      </c>
      <c r="AR12" t="str">
        <f>_xlfn.XLOOKUP(emissions[[#This Row],[Reporting unit name]],hierarchy!$A:$A,hierarchy!$C:$C)</f>
        <v>Office</v>
      </c>
    </row>
    <row r="13" spans="1:44" hidden="1" x14ac:dyDescent="0.25">
      <c r="A13">
        <v>293319</v>
      </c>
      <c r="B13" t="s">
        <v>144</v>
      </c>
      <c r="C13" t="s">
        <v>501</v>
      </c>
      <c r="D13" t="s">
        <v>548</v>
      </c>
      <c r="E13" s="3">
        <v>44562</v>
      </c>
      <c r="F13" s="3">
        <v>44926</v>
      </c>
      <c r="G13" t="s">
        <v>108</v>
      </c>
      <c r="H13" s="3">
        <v>44562</v>
      </c>
      <c r="I13" s="3">
        <v>44926</v>
      </c>
      <c r="J13" t="s">
        <v>108</v>
      </c>
      <c r="K13">
        <v>1000</v>
      </c>
      <c r="L13" t="s">
        <v>109</v>
      </c>
      <c r="M13" t="s">
        <v>82</v>
      </c>
      <c r="N13" t="s">
        <v>146</v>
      </c>
      <c r="O13" t="s">
        <v>549</v>
      </c>
      <c r="P13" t="s">
        <v>550</v>
      </c>
      <c r="Q13">
        <v>2022</v>
      </c>
      <c r="R13" t="s">
        <v>575</v>
      </c>
      <c r="S13" t="s">
        <v>576</v>
      </c>
      <c r="T13" t="s">
        <v>577</v>
      </c>
      <c r="U13" t="b">
        <v>0</v>
      </c>
      <c r="V13" t="s">
        <v>578</v>
      </c>
      <c r="W13" t="s">
        <v>571</v>
      </c>
      <c r="X13" t="s">
        <v>572</v>
      </c>
      <c r="Y13" t="s">
        <v>466</v>
      </c>
      <c r="Z13" t="s">
        <v>503</v>
      </c>
      <c r="AA13" t="s">
        <v>557</v>
      </c>
      <c r="AC13">
        <v>1</v>
      </c>
      <c r="AD13" t="s">
        <v>565</v>
      </c>
      <c r="AE13">
        <v>159.82456529999999</v>
      </c>
      <c r="AF13">
        <v>0.159824565</v>
      </c>
      <c r="AG13" t="s">
        <v>560</v>
      </c>
      <c r="AH13">
        <v>1</v>
      </c>
      <c r="AI13">
        <v>1000</v>
      </c>
      <c r="AJ13" t="s">
        <v>561</v>
      </c>
      <c r="AK13" t="s">
        <v>573</v>
      </c>
      <c r="AL13" t="s">
        <v>574</v>
      </c>
      <c r="AM13">
        <v>2022</v>
      </c>
      <c r="AN13">
        <v>2020</v>
      </c>
      <c r="AO13">
        <f>IF(AND(emissions[[#This Row],[Market-based]]=0,emissions[[#This Row],[Impact Type]]="CO2E"),emissions[[#This Row],[kgCO2e]],0)/1000</f>
        <v>0</v>
      </c>
      <c r="AP13">
        <f>IF(AND(emissions[[#This Row],[Market-based]]=1,OR(emissions[[#This Row],[Impact Type]]="CO2E",emissions[[#This Row],[Impact Type]]="CO2E MKT")),emissions[[#This Row],[kgCO2e]],0)/1000</f>
        <v>0.1598245653</v>
      </c>
      <c r="AQ13" t="str">
        <f>_xlfn.TEXTAFTER(emissions[[#This Row],[Reporting Unit]]," &gt; ",LEN(emissions[[#This Row],[Reporting Unit]])-LEN(SUBSTITUTE(emissions[[#This Row],[Reporting Unit]],"&gt;","")))</f>
        <v>Vantage_Mumbai</v>
      </c>
      <c r="AR13" t="str">
        <f>_xlfn.XLOOKUP(emissions[[#This Row],[Reporting unit name]],hierarchy!$A:$A,hierarchy!$C:$C)</f>
        <v>Office</v>
      </c>
    </row>
    <row r="14" spans="1:44" hidden="1" x14ac:dyDescent="0.25">
      <c r="A14">
        <v>293319</v>
      </c>
      <c r="B14" t="s">
        <v>144</v>
      </c>
      <c r="C14" t="s">
        <v>501</v>
      </c>
      <c r="D14" t="s">
        <v>548</v>
      </c>
      <c r="E14" s="3">
        <v>44562</v>
      </c>
      <c r="F14" s="3">
        <v>44926</v>
      </c>
      <c r="G14" t="s">
        <v>108</v>
      </c>
      <c r="H14" s="3">
        <v>44562</v>
      </c>
      <c r="I14" s="3">
        <v>44926</v>
      </c>
      <c r="J14" t="s">
        <v>108</v>
      </c>
      <c r="K14">
        <v>1000</v>
      </c>
      <c r="L14" t="s">
        <v>109</v>
      </c>
      <c r="M14" t="s">
        <v>82</v>
      </c>
      <c r="N14" t="s">
        <v>146</v>
      </c>
      <c r="O14" t="s">
        <v>549</v>
      </c>
      <c r="P14" t="s">
        <v>550</v>
      </c>
      <c r="Q14">
        <v>2022</v>
      </c>
      <c r="R14" t="s">
        <v>579</v>
      </c>
      <c r="S14" t="s">
        <v>580</v>
      </c>
      <c r="T14" t="s">
        <v>581</v>
      </c>
      <c r="U14" t="b">
        <v>0</v>
      </c>
      <c r="V14" t="s">
        <v>582</v>
      </c>
      <c r="W14" t="s">
        <v>571</v>
      </c>
      <c r="X14" t="s">
        <v>572</v>
      </c>
      <c r="Y14" t="s">
        <v>466</v>
      </c>
      <c r="Z14" t="s">
        <v>503</v>
      </c>
      <c r="AA14" t="s">
        <v>557</v>
      </c>
      <c r="AC14">
        <v>0</v>
      </c>
      <c r="AD14" t="s">
        <v>565</v>
      </c>
      <c r="AE14">
        <v>122.6</v>
      </c>
      <c r="AF14" t="s">
        <v>559</v>
      </c>
      <c r="AG14" t="s">
        <v>560</v>
      </c>
      <c r="AH14">
        <v>1</v>
      </c>
      <c r="AI14">
        <v>1000</v>
      </c>
      <c r="AJ14" t="s">
        <v>561</v>
      </c>
      <c r="AK14" t="s">
        <v>562</v>
      </c>
      <c r="AL14" t="s">
        <v>563</v>
      </c>
      <c r="AM14">
        <v>2022</v>
      </c>
      <c r="AN14">
        <v>2020</v>
      </c>
      <c r="AO14">
        <f>IF(AND(emissions[[#This Row],[Market-based]]=0,emissions[[#This Row],[Impact Type]]="CO2E"),emissions[[#This Row],[kgCO2e]],0)/1000</f>
        <v>0.1226</v>
      </c>
      <c r="AP14">
        <f>IF(AND(emissions[[#This Row],[Market-based]]=1,OR(emissions[[#This Row],[Impact Type]]="CO2E",emissions[[#This Row],[Impact Type]]="CO2E MKT")),emissions[[#This Row],[kgCO2e]],0)/1000</f>
        <v>0</v>
      </c>
      <c r="AQ14" t="str">
        <f>_xlfn.TEXTAFTER(emissions[[#This Row],[Reporting Unit]]," &gt; ",LEN(emissions[[#This Row],[Reporting Unit]])-LEN(SUBSTITUTE(emissions[[#This Row],[Reporting Unit]],"&gt;","")))</f>
        <v>Vantage_Mumbai</v>
      </c>
      <c r="AR14" t="str">
        <f>_xlfn.XLOOKUP(emissions[[#This Row],[Reporting unit name]],hierarchy!$A:$A,hierarchy!$C:$C)</f>
        <v>Office</v>
      </c>
    </row>
    <row r="15" spans="1:44" hidden="1" x14ac:dyDescent="0.25">
      <c r="A15">
        <v>293319</v>
      </c>
      <c r="B15" t="s">
        <v>144</v>
      </c>
      <c r="C15" t="s">
        <v>501</v>
      </c>
      <c r="D15" t="s">
        <v>548</v>
      </c>
      <c r="E15" s="3">
        <v>44562</v>
      </c>
      <c r="F15" s="3">
        <v>44926</v>
      </c>
      <c r="G15" t="s">
        <v>108</v>
      </c>
      <c r="H15" s="3">
        <v>44562</v>
      </c>
      <c r="I15" s="3">
        <v>44926</v>
      </c>
      <c r="J15" t="s">
        <v>108</v>
      </c>
      <c r="K15">
        <v>1000</v>
      </c>
      <c r="L15" t="s">
        <v>109</v>
      </c>
      <c r="M15" t="s">
        <v>82</v>
      </c>
      <c r="N15" t="s">
        <v>146</v>
      </c>
      <c r="O15" t="s">
        <v>549</v>
      </c>
      <c r="P15" t="s">
        <v>550</v>
      </c>
      <c r="Q15">
        <v>2022</v>
      </c>
      <c r="R15" t="s">
        <v>579</v>
      </c>
      <c r="S15" t="s">
        <v>580</v>
      </c>
      <c r="T15" t="s">
        <v>581</v>
      </c>
      <c r="U15" t="b">
        <v>0</v>
      </c>
      <c r="V15" t="s">
        <v>582</v>
      </c>
      <c r="W15" t="s">
        <v>571</v>
      </c>
      <c r="X15" t="s">
        <v>572</v>
      </c>
      <c r="Y15" t="s">
        <v>466</v>
      </c>
      <c r="Z15" t="s">
        <v>503</v>
      </c>
      <c r="AA15" t="s">
        <v>557</v>
      </c>
      <c r="AC15">
        <v>1</v>
      </c>
      <c r="AD15" t="s">
        <v>565</v>
      </c>
      <c r="AE15">
        <v>122.6</v>
      </c>
      <c r="AF15" t="s">
        <v>559</v>
      </c>
      <c r="AG15" t="s">
        <v>560</v>
      </c>
      <c r="AH15">
        <v>1</v>
      </c>
      <c r="AI15">
        <v>1000</v>
      </c>
      <c r="AJ15" t="s">
        <v>561</v>
      </c>
      <c r="AK15" t="s">
        <v>562</v>
      </c>
      <c r="AL15" t="s">
        <v>563</v>
      </c>
      <c r="AM15">
        <v>2022</v>
      </c>
      <c r="AN15">
        <v>2020</v>
      </c>
      <c r="AO15">
        <f>IF(AND(emissions[[#This Row],[Market-based]]=0,emissions[[#This Row],[Impact Type]]="CO2E"),emissions[[#This Row],[kgCO2e]],0)/1000</f>
        <v>0</v>
      </c>
      <c r="AP15">
        <f>IF(AND(emissions[[#This Row],[Market-based]]=1,OR(emissions[[#This Row],[Impact Type]]="CO2E",emissions[[#This Row],[Impact Type]]="CO2E MKT")),emissions[[#This Row],[kgCO2e]],0)/1000</f>
        <v>0.1226</v>
      </c>
      <c r="AQ15" t="str">
        <f>_xlfn.TEXTAFTER(emissions[[#This Row],[Reporting Unit]]," &gt; ",LEN(emissions[[#This Row],[Reporting Unit]])-LEN(SUBSTITUTE(emissions[[#This Row],[Reporting Unit]],"&gt;","")))</f>
        <v>Vantage_Mumbai</v>
      </c>
      <c r="AR15" t="str">
        <f>_xlfn.XLOOKUP(emissions[[#This Row],[Reporting unit name]],hierarchy!$A:$A,hierarchy!$C:$C)</f>
        <v>Office</v>
      </c>
    </row>
    <row r="16" spans="1:44" hidden="1" x14ac:dyDescent="0.25">
      <c r="A16">
        <v>293321</v>
      </c>
      <c r="B16" t="s">
        <v>144</v>
      </c>
      <c r="C16" t="s">
        <v>501</v>
      </c>
      <c r="D16" t="s">
        <v>548</v>
      </c>
      <c r="E16" s="3">
        <v>44562</v>
      </c>
      <c r="F16" s="3">
        <v>44926</v>
      </c>
      <c r="G16" t="s">
        <v>141</v>
      </c>
      <c r="H16" s="3">
        <v>44562</v>
      </c>
      <c r="I16" s="3">
        <v>44926</v>
      </c>
      <c r="J16" t="s">
        <v>147</v>
      </c>
      <c r="K16">
        <v>0</v>
      </c>
      <c r="L16" t="s">
        <v>148</v>
      </c>
      <c r="M16" t="s">
        <v>110</v>
      </c>
      <c r="O16" t="s">
        <v>583</v>
      </c>
      <c r="P16" t="s">
        <v>550</v>
      </c>
      <c r="Q16">
        <v>2022</v>
      </c>
      <c r="R16" t="s">
        <v>584</v>
      </c>
      <c r="S16" t="s">
        <v>585</v>
      </c>
      <c r="T16" t="s">
        <v>553</v>
      </c>
      <c r="U16" t="b">
        <v>0</v>
      </c>
      <c r="V16" t="s">
        <v>586</v>
      </c>
      <c r="W16" t="s">
        <v>587</v>
      </c>
      <c r="X16" t="s">
        <v>556</v>
      </c>
      <c r="AC16">
        <v>0</v>
      </c>
      <c r="AD16" t="s">
        <v>558</v>
      </c>
      <c r="AE16">
        <v>0</v>
      </c>
      <c r="AF16">
        <v>2.5999999999999998E-4</v>
      </c>
      <c r="AG16" t="s">
        <v>588</v>
      </c>
      <c r="AH16">
        <v>3.7854100000000002</v>
      </c>
      <c r="AI16">
        <v>0</v>
      </c>
      <c r="AJ16" t="s">
        <v>561</v>
      </c>
      <c r="AK16" t="s">
        <v>589</v>
      </c>
      <c r="AL16" t="s">
        <v>590</v>
      </c>
      <c r="AM16">
        <v>2022</v>
      </c>
      <c r="AN16">
        <v>2020</v>
      </c>
      <c r="AO16">
        <f>IF(AND(emissions[[#This Row],[Market-based]]=0,emissions[[#This Row],[Impact Type]]="CO2E"),emissions[[#This Row],[kgCO2e]],0)/1000</f>
        <v>0</v>
      </c>
      <c r="AP16">
        <f>IF(AND(emissions[[#This Row],[Market-based]]=1,OR(emissions[[#This Row],[Impact Type]]="CO2E",emissions[[#This Row],[Impact Type]]="CO2E MKT")),emissions[[#This Row],[kgCO2e]],0)/1000</f>
        <v>0</v>
      </c>
      <c r="AQ16" t="str">
        <f>_xlfn.TEXTAFTER(emissions[[#This Row],[Reporting Unit]]," &gt; ",LEN(emissions[[#This Row],[Reporting Unit]])-LEN(SUBSTITUTE(emissions[[#This Row],[Reporting Unit]],"&gt;","")))</f>
        <v>Vantage_Mumbai</v>
      </c>
      <c r="AR16" t="str">
        <f>_xlfn.XLOOKUP(emissions[[#This Row],[Reporting unit name]],hierarchy!$A:$A,hierarchy!$C:$C)</f>
        <v>Office</v>
      </c>
    </row>
    <row r="17" spans="1:44" hidden="1" x14ac:dyDescent="0.25">
      <c r="A17">
        <v>293321</v>
      </c>
      <c r="B17" t="s">
        <v>144</v>
      </c>
      <c r="C17" t="s">
        <v>501</v>
      </c>
      <c r="D17" t="s">
        <v>548</v>
      </c>
      <c r="E17" s="3">
        <v>44562</v>
      </c>
      <c r="F17" s="3">
        <v>44926</v>
      </c>
      <c r="G17" t="s">
        <v>141</v>
      </c>
      <c r="H17" s="3">
        <v>44562</v>
      </c>
      <c r="I17" s="3">
        <v>44926</v>
      </c>
      <c r="J17" t="s">
        <v>147</v>
      </c>
      <c r="K17">
        <v>0</v>
      </c>
      <c r="L17" t="s">
        <v>148</v>
      </c>
      <c r="M17" t="s">
        <v>110</v>
      </c>
      <c r="O17" t="s">
        <v>583</v>
      </c>
      <c r="P17" t="s">
        <v>550</v>
      </c>
      <c r="Q17">
        <v>2022</v>
      </c>
      <c r="R17" t="s">
        <v>584</v>
      </c>
      <c r="S17" t="s">
        <v>585</v>
      </c>
      <c r="T17" t="s">
        <v>553</v>
      </c>
      <c r="U17" t="b">
        <v>0</v>
      </c>
      <c r="V17" t="s">
        <v>586</v>
      </c>
      <c r="W17" t="s">
        <v>587</v>
      </c>
      <c r="X17" t="s">
        <v>556</v>
      </c>
      <c r="AC17">
        <v>0</v>
      </c>
      <c r="AD17" t="s">
        <v>564</v>
      </c>
      <c r="AE17">
        <v>0</v>
      </c>
      <c r="AF17">
        <v>2.5205799999999998</v>
      </c>
      <c r="AG17" t="s">
        <v>588</v>
      </c>
      <c r="AH17">
        <v>3.7854100000000002</v>
      </c>
      <c r="AI17">
        <v>0</v>
      </c>
      <c r="AJ17" t="s">
        <v>561</v>
      </c>
      <c r="AK17" t="s">
        <v>589</v>
      </c>
      <c r="AL17" t="s">
        <v>590</v>
      </c>
      <c r="AM17">
        <v>2022</v>
      </c>
      <c r="AN17">
        <v>2020</v>
      </c>
      <c r="AO17">
        <f>IF(AND(emissions[[#This Row],[Market-based]]=0,emissions[[#This Row],[Impact Type]]="CO2E"),emissions[[#This Row],[kgCO2e]],0)/1000</f>
        <v>0</v>
      </c>
      <c r="AP17">
        <f>IF(AND(emissions[[#This Row],[Market-based]]=1,OR(emissions[[#This Row],[Impact Type]]="CO2E",emissions[[#This Row],[Impact Type]]="CO2E MKT")),emissions[[#This Row],[kgCO2e]],0)/1000</f>
        <v>0</v>
      </c>
      <c r="AQ17" t="str">
        <f>_xlfn.TEXTAFTER(emissions[[#This Row],[Reporting Unit]]," &gt; ",LEN(emissions[[#This Row],[Reporting Unit]])-LEN(SUBSTITUTE(emissions[[#This Row],[Reporting Unit]],"&gt;","")))</f>
        <v>Vantage_Mumbai</v>
      </c>
      <c r="AR17" t="str">
        <f>_xlfn.XLOOKUP(emissions[[#This Row],[Reporting unit name]],hierarchy!$A:$A,hierarchy!$C:$C)</f>
        <v>Office</v>
      </c>
    </row>
    <row r="18" spans="1:44" hidden="1" x14ac:dyDescent="0.25">
      <c r="A18">
        <v>293321</v>
      </c>
      <c r="B18" t="s">
        <v>144</v>
      </c>
      <c r="C18" t="s">
        <v>501</v>
      </c>
      <c r="D18" t="s">
        <v>548</v>
      </c>
      <c r="E18" s="3">
        <v>44562</v>
      </c>
      <c r="F18" s="3">
        <v>44926</v>
      </c>
      <c r="G18" t="s">
        <v>141</v>
      </c>
      <c r="H18" s="3">
        <v>44562</v>
      </c>
      <c r="I18" s="3">
        <v>44926</v>
      </c>
      <c r="J18" t="s">
        <v>147</v>
      </c>
      <c r="K18">
        <v>0</v>
      </c>
      <c r="L18" t="s">
        <v>148</v>
      </c>
      <c r="M18" t="s">
        <v>110</v>
      </c>
      <c r="O18" t="s">
        <v>583</v>
      </c>
      <c r="P18" t="s">
        <v>550</v>
      </c>
      <c r="Q18">
        <v>2022</v>
      </c>
      <c r="R18" t="s">
        <v>584</v>
      </c>
      <c r="S18" t="s">
        <v>585</v>
      </c>
      <c r="T18" t="s">
        <v>553</v>
      </c>
      <c r="U18" t="b">
        <v>0</v>
      </c>
      <c r="V18" t="s">
        <v>586</v>
      </c>
      <c r="W18" t="s">
        <v>587</v>
      </c>
      <c r="X18" t="s">
        <v>556</v>
      </c>
      <c r="AC18">
        <v>0</v>
      </c>
      <c r="AD18" t="s">
        <v>565</v>
      </c>
      <c r="AE18">
        <v>0</v>
      </c>
      <c r="AF18">
        <v>2.5578400000000001</v>
      </c>
      <c r="AG18" t="s">
        <v>588</v>
      </c>
      <c r="AH18">
        <v>3.7854100000000002</v>
      </c>
      <c r="AI18">
        <v>0</v>
      </c>
      <c r="AJ18" t="s">
        <v>561</v>
      </c>
      <c r="AK18" t="s">
        <v>589</v>
      </c>
      <c r="AL18" t="s">
        <v>590</v>
      </c>
      <c r="AM18">
        <v>2022</v>
      </c>
      <c r="AN18">
        <v>2020</v>
      </c>
      <c r="AO18">
        <f>IF(AND(emissions[[#This Row],[Market-based]]=0,emissions[[#This Row],[Impact Type]]="CO2E"),emissions[[#This Row],[kgCO2e]],0)/1000</f>
        <v>0</v>
      </c>
      <c r="AP18">
        <f>IF(AND(emissions[[#This Row],[Market-based]]=1,OR(emissions[[#This Row],[Impact Type]]="CO2E",emissions[[#This Row],[Impact Type]]="CO2E MKT")),emissions[[#This Row],[kgCO2e]],0)/1000</f>
        <v>0</v>
      </c>
      <c r="AQ18" t="str">
        <f>_xlfn.TEXTAFTER(emissions[[#This Row],[Reporting Unit]]," &gt; ",LEN(emissions[[#This Row],[Reporting Unit]])-LEN(SUBSTITUTE(emissions[[#This Row],[Reporting Unit]],"&gt;","")))</f>
        <v>Vantage_Mumbai</v>
      </c>
      <c r="AR18" t="str">
        <f>_xlfn.XLOOKUP(emissions[[#This Row],[Reporting unit name]],hierarchy!$A:$A,hierarchy!$C:$C)</f>
        <v>Office</v>
      </c>
    </row>
    <row r="19" spans="1:44" hidden="1" x14ac:dyDescent="0.25">
      <c r="A19">
        <v>293321</v>
      </c>
      <c r="B19" t="s">
        <v>144</v>
      </c>
      <c r="C19" t="s">
        <v>501</v>
      </c>
      <c r="D19" t="s">
        <v>548</v>
      </c>
      <c r="E19" s="3">
        <v>44562</v>
      </c>
      <c r="F19" s="3">
        <v>44926</v>
      </c>
      <c r="G19" t="s">
        <v>141</v>
      </c>
      <c r="H19" s="3">
        <v>44562</v>
      </c>
      <c r="I19" s="3">
        <v>44926</v>
      </c>
      <c r="J19" t="s">
        <v>147</v>
      </c>
      <c r="K19">
        <v>0</v>
      </c>
      <c r="L19" t="s">
        <v>148</v>
      </c>
      <c r="M19" t="s">
        <v>110</v>
      </c>
      <c r="O19" t="s">
        <v>583</v>
      </c>
      <c r="P19" t="s">
        <v>550</v>
      </c>
      <c r="Q19">
        <v>2022</v>
      </c>
      <c r="R19" t="s">
        <v>584</v>
      </c>
      <c r="S19" t="s">
        <v>585</v>
      </c>
      <c r="T19" t="s">
        <v>553</v>
      </c>
      <c r="U19" t="b">
        <v>0</v>
      </c>
      <c r="V19" t="s">
        <v>586</v>
      </c>
      <c r="W19" t="s">
        <v>587</v>
      </c>
      <c r="X19" t="s">
        <v>556</v>
      </c>
      <c r="AC19">
        <v>0</v>
      </c>
      <c r="AD19" t="s">
        <v>566</v>
      </c>
      <c r="AE19">
        <v>0</v>
      </c>
      <c r="AF19">
        <v>3.6999999999999998E-2</v>
      </c>
      <c r="AG19" t="s">
        <v>588</v>
      </c>
      <c r="AH19">
        <v>3.7854100000000002</v>
      </c>
      <c r="AI19">
        <v>0</v>
      </c>
      <c r="AJ19" t="s">
        <v>561</v>
      </c>
      <c r="AK19" t="s">
        <v>589</v>
      </c>
      <c r="AL19" t="s">
        <v>590</v>
      </c>
      <c r="AM19">
        <v>2022</v>
      </c>
      <c r="AN19">
        <v>2020</v>
      </c>
      <c r="AO19">
        <f>IF(AND(emissions[[#This Row],[Market-based]]=0,emissions[[#This Row],[Impact Type]]="CO2E"),emissions[[#This Row],[kgCO2e]],0)/1000</f>
        <v>0</v>
      </c>
      <c r="AP19">
        <f>IF(AND(emissions[[#This Row],[Market-based]]=1,OR(emissions[[#This Row],[Impact Type]]="CO2E",emissions[[#This Row],[Impact Type]]="CO2E MKT")),emissions[[#This Row],[kgCO2e]],0)/1000</f>
        <v>0</v>
      </c>
      <c r="AQ19" t="str">
        <f>_xlfn.TEXTAFTER(emissions[[#This Row],[Reporting Unit]]," &gt; ",LEN(emissions[[#This Row],[Reporting Unit]])-LEN(SUBSTITUTE(emissions[[#This Row],[Reporting Unit]],"&gt;","")))</f>
        <v>Vantage_Mumbai</v>
      </c>
      <c r="AR19" t="str">
        <f>_xlfn.XLOOKUP(emissions[[#This Row],[Reporting unit name]],hierarchy!$A:$A,hierarchy!$C:$C)</f>
        <v>Office</v>
      </c>
    </row>
    <row r="20" spans="1:44" hidden="1" x14ac:dyDescent="0.25">
      <c r="A20">
        <v>293321</v>
      </c>
      <c r="B20" t="s">
        <v>144</v>
      </c>
      <c r="C20" t="s">
        <v>501</v>
      </c>
      <c r="D20" t="s">
        <v>548</v>
      </c>
      <c r="E20" s="3">
        <v>44562</v>
      </c>
      <c r="F20" s="3">
        <v>44926</v>
      </c>
      <c r="G20" t="s">
        <v>141</v>
      </c>
      <c r="H20" s="3">
        <v>44562</v>
      </c>
      <c r="I20" s="3">
        <v>44926</v>
      </c>
      <c r="J20" t="s">
        <v>147</v>
      </c>
      <c r="K20">
        <v>0</v>
      </c>
      <c r="L20" t="s">
        <v>148</v>
      </c>
      <c r="M20" t="s">
        <v>110</v>
      </c>
      <c r="O20" t="s">
        <v>583</v>
      </c>
      <c r="P20" t="s">
        <v>550</v>
      </c>
      <c r="Q20">
        <v>2022</v>
      </c>
      <c r="R20" t="s">
        <v>584</v>
      </c>
      <c r="S20" t="s">
        <v>585</v>
      </c>
      <c r="T20" t="s">
        <v>553</v>
      </c>
      <c r="U20" t="b">
        <v>0</v>
      </c>
      <c r="V20" t="s">
        <v>586</v>
      </c>
      <c r="W20" t="s">
        <v>587</v>
      </c>
      <c r="X20" t="s">
        <v>556</v>
      </c>
      <c r="AC20">
        <v>1</v>
      </c>
      <c r="AD20" t="s">
        <v>558</v>
      </c>
      <c r="AE20">
        <v>0</v>
      </c>
      <c r="AF20">
        <v>2.5999999999999998E-4</v>
      </c>
      <c r="AG20" t="s">
        <v>588</v>
      </c>
      <c r="AH20">
        <v>3.7854100000000002</v>
      </c>
      <c r="AI20">
        <v>0</v>
      </c>
      <c r="AJ20" t="s">
        <v>561</v>
      </c>
      <c r="AK20" t="s">
        <v>589</v>
      </c>
      <c r="AL20" t="s">
        <v>590</v>
      </c>
      <c r="AM20">
        <v>2022</v>
      </c>
      <c r="AN20">
        <v>2020</v>
      </c>
      <c r="AO20">
        <f>IF(AND(emissions[[#This Row],[Market-based]]=0,emissions[[#This Row],[Impact Type]]="CO2E"),emissions[[#This Row],[kgCO2e]],0)/1000</f>
        <v>0</v>
      </c>
      <c r="AP20">
        <f>IF(AND(emissions[[#This Row],[Market-based]]=1,OR(emissions[[#This Row],[Impact Type]]="CO2E",emissions[[#This Row],[Impact Type]]="CO2E MKT")),emissions[[#This Row],[kgCO2e]],0)/1000</f>
        <v>0</v>
      </c>
      <c r="AQ20" t="str">
        <f>_xlfn.TEXTAFTER(emissions[[#This Row],[Reporting Unit]]," &gt; ",LEN(emissions[[#This Row],[Reporting Unit]])-LEN(SUBSTITUTE(emissions[[#This Row],[Reporting Unit]],"&gt;","")))</f>
        <v>Vantage_Mumbai</v>
      </c>
      <c r="AR20" t="str">
        <f>_xlfn.XLOOKUP(emissions[[#This Row],[Reporting unit name]],hierarchy!$A:$A,hierarchy!$C:$C)</f>
        <v>Office</v>
      </c>
    </row>
    <row r="21" spans="1:44" hidden="1" x14ac:dyDescent="0.25">
      <c r="A21">
        <v>293321</v>
      </c>
      <c r="B21" t="s">
        <v>144</v>
      </c>
      <c r="C21" t="s">
        <v>501</v>
      </c>
      <c r="D21" t="s">
        <v>548</v>
      </c>
      <c r="E21" s="3">
        <v>44562</v>
      </c>
      <c r="F21" s="3">
        <v>44926</v>
      </c>
      <c r="G21" t="s">
        <v>141</v>
      </c>
      <c r="H21" s="3">
        <v>44562</v>
      </c>
      <c r="I21" s="3">
        <v>44926</v>
      </c>
      <c r="J21" t="s">
        <v>147</v>
      </c>
      <c r="K21">
        <v>0</v>
      </c>
      <c r="L21" t="s">
        <v>148</v>
      </c>
      <c r="M21" t="s">
        <v>110</v>
      </c>
      <c r="O21" t="s">
        <v>583</v>
      </c>
      <c r="P21" t="s">
        <v>550</v>
      </c>
      <c r="Q21">
        <v>2022</v>
      </c>
      <c r="R21" t="s">
        <v>584</v>
      </c>
      <c r="S21" t="s">
        <v>585</v>
      </c>
      <c r="T21" t="s">
        <v>553</v>
      </c>
      <c r="U21" t="b">
        <v>0</v>
      </c>
      <c r="V21" t="s">
        <v>586</v>
      </c>
      <c r="W21" t="s">
        <v>587</v>
      </c>
      <c r="X21" t="s">
        <v>556</v>
      </c>
      <c r="AC21">
        <v>1</v>
      </c>
      <c r="AD21" t="s">
        <v>564</v>
      </c>
      <c r="AE21">
        <v>0</v>
      </c>
      <c r="AF21">
        <v>2.5205799999999998</v>
      </c>
      <c r="AG21" t="s">
        <v>588</v>
      </c>
      <c r="AH21">
        <v>3.7854100000000002</v>
      </c>
      <c r="AI21">
        <v>0</v>
      </c>
      <c r="AJ21" t="s">
        <v>561</v>
      </c>
      <c r="AK21" t="s">
        <v>589</v>
      </c>
      <c r="AL21" t="s">
        <v>590</v>
      </c>
      <c r="AM21">
        <v>2022</v>
      </c>
      <c r="AN21">
        <v>2020</v>
      </c>
      <c r="AO21">
        <f>IF(AND(emissions[[#This Row],[Market-based]]=0,emissions[[#This Row],[Impact Type]]="CO2E"),emissions[[#This Row],[kgCO2e]],0)/1000</f>
        <v>0</v>
      </c>
      <c r="AP21">
        <f>IF(AND(emissions[[#This Row],[Market-based]]=1,OR(emissions[[#This Row],[Impact Type]]="CO2E",emissions[[#This Row],[Impact Type]]="CO2E MKT")),emissions[[#This Row],[kgCO2e]],0)/1000</f>
        <v>0</v>
      </c>
      <c r="AQ21" t="str">
        <f>_xlfn.TEXTAFTER(emissions[[#This Row],[Reporting Unit]]," &gt; ",LEN(emissions[[#This Row],[Reporting Unit]])-LEN(SUBSTITUTE(emissions[[#This Row],[Reporting Unit]],"&gt;","")))</f>
        <v>Vantage_Mumbai</v>
      </c>
      <c r="AR21" t="str">
        <f>_xlfn.XLOOKUP(emissions[[#This Row],[Reporting unit name]],hierarchy!$A:$A,hierarchy!$C:$C)</f>
        <v>Office</v>
      </c>
    </row>
    <row r="22" spans="1:44" hidden="1" x14ac:dyDescent="0.25">
      <c r="A22">
        <v>293321</v>
      </c>
      <c r="B22" t="s">
        <v>144</v>
      </c>
      <c r="C22" t="s">
        <v>501</v>
      </c>
      <c r="D22" t="s">
        <v>548</v>
      </c>
      <c r="E22" s="3">
        <v>44562</v>
      </c>
      <c r="F22" s="3">
        <v>44926</v>
      </c>
      <c r="G22" t="s">
        <v>141</v>
      </c>
      <c r="H22" s="3">
        <v>44562</v>
      </c>
      <c r="I22" s="3">
        <v>44926</v>
      </c>
      <c r="J22" t="s">
        <v>147</v>
      </c>
      <c r="K22">
        <v>0</v>
      </c>
      <c r="L22" t="s">
        <v>148</v>
      </c>
      <c r="M22" t="s">
        <v>110</v>
      </c>
      <c r="O22" t="s">
        <v>583</v>
      </c>
      <c r="P22" t="s">
        <v>550</v>
      </c>
      <c r="Q22">
        <v>2022</v>
      </c>
      <c r="R22" t="s">
        <v>584</v>
      </c>
      <c r="S22" t="s">
        <v>585</v>
      </c>
      <c r="T22" t="s">
        <v>553</v>
      </c>
      <c r="U22" t="b">
        <v>0</v>
      </c>
      <c r="V22" t="s">
        <v>586</v>
      </c>
      <c r="W22" t="s">
        <v>587</v>
      </c>
      <c r="X22" t="s">
        <v>556</v>
      </c>
      <c r="AC22">
        <v>1</v>
      </c>
      <c r="AD22" t="s">
        <v>565</v>
      </c>
      <c r="AE22">
        <v>0</v>
      </c>
      <c r="AF22">
        <v>2.5578400000000001</v>
      </c>
      <c r="AG22" t="s">
        <v>588</v>
      </c>
      <c r="AH22">
        <v>3.7854100000000002</v>
      </c>
      <c r="AI22">
        <v>0</v>
      </c>
      <c r="AJ22" t="s">
        <v>561</v>
      </c>
      <c r="AK22" t="s">
        <v>589</v>
      </c>
      <c r="AL22" t="s">
        <v>590</v>
      </c>
      <c r="AM22">
        <v>2022</v>
      </c>
      <c r="AN22">
        <v>2020</v>
      </c>
      <c r="AO22">
        <f>IF(AND(emissions[[#This Row],[Market-based]]=0,emissions[[#This Row],[Impact Type]]="CO2E"),emissions[[#This Row],[kgCO2e]],0)/1000</f>
        <v>0</v>
      </c>
      <c r="AP22">
        <f>IF(AND(emissions[[#This Row],[Market-based]]=1,OR(emissions[[#This Row],[Impact Type]]="CO2E",emissions[[#This Row],[Impact Type]]="CO2E MKT")),emissions[[#This Row],[kgCO2e]],0)/1000</f>
        <v>0</v>
      </c>
      <c r="AQ22" t="str">
        <f>_xlfn.TEXTAFTER(emissions[[#This Row],[Reporting Unit]]," &gt; ",LEN(emissions[[#This Row],[Reporting Unit]])-LEN(SUBSTITUTE(emissions[[#This Row],[Reporting Unit]],"&gt;","")))</f>
        <v>Vantage_Mumbai</v>
      </c>
      <c r="AR22" t="str">
        <f>_xlfn.XLOOKUP(emissions[[#This Row],[Reporting unit name]],hierarchy!$A:$A,hierarchy!$C:$C)</f>
        <v>Office</v>
      </c>
    </row>
    <row r="23" spans="1:44" hidden="1" x14ac:dyDescent="0.25">
      <c r="A23">
        <v>293321</v>
      </c>
      <c r="B23" t="s">
        <v>144</v>
      </c>
      <c r="C23" t="s">
        <v>501</v>
      </c>
      <c r="D23" t="s">
        <v>548</v>
      </c>
      <c r="E23" s="3">
        <v>44562</v>
      </c>
      <c r="F23" s="3">
        <v>44926</v>
      </c>
      <c r="G23" t="s">
        <v>141</v>
      </c>
      <c r="H23" s="3">
        <v>44562</v>
      </c>
      <c r="I23" s="3">
        <v>44926</v>
      </c>
      <c r="J23" t="s">
        <v>147</v>
      </c>
      <c r="K23">
        <v>0</v>
      </c>
      <c r="L23" t="s">
        <v>148</v>
      </c>
      <c r="M23" t="s">
        <v>110</v>
      </c>
      <c r="O23" t="s">
        <v>583</v>
      </c>
      <c r="P23" t="s">
        <v>550</v>
      </c>
      <c r="Q23">
        <v>2022</v>
      </c>
      <c r="R23" t="s">
        <v>584</v>
      </c>
      <c r="S23" t="s">
        <v>585</v>
      </c>
      <c r="T23" t="s">
        <v>553</v>
      </c>
      <c r="U23" t="b">
        <v>0</v>
      </c>
      <c r="V23" t="s">
        <v>586</v>
      </c>
      <c r="W23" t="s">
        <v>587</v>
      </c>
      <c r="X23" t="s">
        <v>556</v>
      </c>
      <c r="AC23">
        <v>1</v>
      </c>
      <c r="AD23" t="s">
        <v>566</v>
      </c>
      <c r="AE23">
        <v>0</v>
      </c>
      <c r="AF23">
        <v>3.6999999999999998E-2</v>
      </c>
      <c r="AG23" t="s">
        <v>588</v>
      </c>
      <c r="AH23">
        <v>3.7854100000000002</v>
      </c>
      <c r="AI23">
        <v>0</v>
      </c>
      <c r="AJ23" t="s">
        <v>561</v>
      </c>
      <c r="AK23" t="s">
        <v>589</v>
      </c>
      <c r="AL23" t="s">
        <v>590</v>
      </c>
      <c r="AM23">
        <v>2022</v>
      </c>
      <c r="AN23">
        <v>2020</v>
      </c>
      <c r="AO23">
        <f>IF(AND(emissions[[#This Row],[Market-based]]=0,emissions[[#This Row],[Impact Type]]="CO2E"),emissions[[#This Row],[kgCO2e]],0)/1000</f>
        <v>0</v>
      </c>
      <c r="AP23">
        <f>IF(AND(emissions[[#This Row],[Market-based]]=1,OR(emissions[[#This Row],[Impact Type]]="CO2E",emissions[[#This Row],[Impact Type]]="CO2E MKT")),emissions[[#This Row],[kgCO2e]],0)/1000</f>
        <v>0</v>
      </c>
      <c r="AQ23" t="str">
        <f>_xlfn.TEXTAFTER(emissions[[#This Row],[Reporting Unit]]," &gt; ",LEN(emissions[[#This Row],[Reporting Unit]])-LEN(SUBSTITUTE(emissions[[#This Row],[Reporting Unit]],"&gt;","")))</f>
        <v>Vantage_Mumbai</v>
      </c>
      <c r="AR23" t="str">
        <f>_xlfn.XLOOKUP(emissions[[#This Row],[Reporting unit name]],hierarchy!$A:$A,hierarchy!$C:$C)</f>
        <v>Office</v>
      </c>
    </row>
    <row r="24" spans="1:44" hidden="1" x14ac:dyDescent="0.25">
      <c r="A24">
        <v>293321</v>
      </c>
      <c r="B24" t="s">
        <v>144</v>
      </c>
      <c r="C24" t="s">
        <v>501</v>
      </c>
      <c r="D24" t="s">
        <v>548</v>
      </c>
      <c r="E24" s="3">
        <v>44562</v>
      </c>
      <c r="F24" s="3">
        <v>44926</v>
      </c>
      <c r="G24" t="s">
        <v>141</v>
      </c>
      <c r="H24" s="3">
        <v>44562</v>
      </c>
      <c r="I24" s="3">
        <v>44926</v>
      </c>
      <c r="J24" t="s">
        <v>147</v>
      </c>
      <c r="K24">
        <v>0</v>
      </c>
      <c r="L24" t="s">
        <v>148</v>
      </c>
      <c r="M24" t="s">
        <v>110</v>
      </c>
      <c r="O24" t="s">
        <v>583</v>
      </c>
      <c r="P24" t="s">
        <v>550</v>
      </c>
      <c r="Q24">
        <v>2022</v>
      </c>
      <c r="R24" t="s">
        <v>591</v>
      </c>
      <c r="S24" t="s">
        <v>592</v>
      </c>
      <c r="T24" t="s">
        <v>577</v>
      </c>
      <c r="U24" t="b">
        <v>0</v>
      </c>
      <c r="V24" t="s">
        <v>593</v>
      </c>
      <c r="W24" t="s">
        <v>571</v>
      </c>
      <c r="X24" t="s">
        <v>572</v>
      </c>
      <c r="AC24">
        <v>0</v>
      </c>
      <c r="AD24" t="s">
        <v>565</v>
      </c>
      <c r="AE24">
        <v>0</v>
      </c>
      <c r="AF24">
        <v>0.60985999999999996</v>
      </c>
      <c r="AG24" t="s">
        <v>588</v>
      </c>
      <c r="AH24">
        <v>3.7854100000000002</v>
      </c>
      <c r="AI24">
        <v>0</v>
      </c>
      <c r="AJ24" t="s">
        <v>561</v>
      </c>
      <c r="AK24" t="s">
        <v>589</v>
      </c>
      <c r="AL24" t="s">
        <v>590</v>
      </c>
      <c r="AM24">
        <v>2022</v>
      </c>
      <c r="AN24">
        <v>2020</v>
      </c>
      <c r="AO24">
        <f>IF(AND(emissions[[#This Row],[Market-based]]=0,emissions[[#This Row],[Impact Type]]="CO2E"),emissions[[#This Row],[kgCO2e]],0)/1000</f>
        <v>0</v>
      </c>
      <c r="AP24">
        <f>IF(AND(emissions[[#This Row],[Market-based]]=1,OR(emissions[[#This Row],[Impact Type]]="CO2E",emissions[[#This Row],[Impact Type]]="CO2E MKT")),emissions[[#This Row],[kgCO2e]],0)/1000</f>
        <v>0</v>
      </c>
      <c r="AQ24" t="str">
        <f>_xlfn.TEXTAFTER(emissions[[#This Row],[Reporting Unit]]," &gt; ",LEN(emissions[[#This Row],[Reporting Unit]])-LEN(SUBSTITUTE(emissions[[#This Row],[Reporting Unit]],"&gt;","")))</f>
        <v>Vantage_Mumbai</v>
      </c>
      <c r="AR24" t="str">
        <f>_xlfn.XLOOKUP(emissions[[#This Row],[Reporting unit name]],hierarchy!$A:$A,hierarchy!$C:$C)</f>
        <v>Office</v>
      </c>
    </row>
    <row r="25" spans="1:44" hidden="1" x14ac:dyDescent="0.25">
      <c r="A25">
        <v>293321</v>
      </c>
      <c r="B25" t="s">
        <v>144</v>
      </c>
      <c r="C25" t="s">
        <v>501</v>
      </c>
      <c r="D25" t="s">
        <v>548</v>
      </c>
      <c r="E25" s="3">
        <v>44562</v>
      </c>
      <c r="F25" s="3">
        <v>44926</v>
      </c>
      <c r="G25" t="s">
        <v>141</v>
      </c>
      <c r="H25" s="3">
        <v>44562</v>
      </c>
      <c r="I25" s="3">
        <v>44926</v>
      </c>
      <c r="J25" t="s">
        <v>147</v>
      </c>
      <c r="K25">
        <v>0</v>
      </c>
      <c r="L25" t="s">
        <v>148</v>
      </c>
      <c r="M25" t="s">
        <v>110</v>
      </c>
      <c r="O25" t="s">
        <v>583</v>
      </c>
      <c r="P25" t="s">
        <v>550</v>
      </c>
      <c r="Q25">
        <v>2022</v>
      </c>
      <c r="R25" t="s">
        <v>591</v>
      </c>
      <c r="S25" t="s">
        <v>592</v>
      </c>
      <c r="T25" t="s">
        <v>577</v>
      </c>
      <c r="U25" t="b">
        <v>0</v>
      </c>
      <c r="V25" t="s">
        <v>593</v>
      </c>
      <c r="W25" t="s">
        <v>571</v>
      </c>
      <c r="X25" t="s">
        <v>572</v>
      </c>
      <c r="AC25">
        <v>1</v>
      </c>
      <c r="AD25" t="s">
        <v>565</v>
      </c>
      <c r="AE25">
        <v>0</v>
      </c>
      <c r="AF25">
        <v>0.60985999999999996</v>
      </c>
      <c r="AG25" t="s">
        <v>588</v>
      </c>
      <c r="AH25">
        <v>3.7854100000000002</v>
      </c>
      <c r="AI25">
        <v>0</v>
      </c>
      <c r="AJ25" t="s">
        <v>561</v>
      </c>
      <c r="AK25" t="s">
        <v>589</v>
      </c>
      <c r="AL25" t="s">
        <v>590</v>
      </c>
      <c r="AM25">
        <v>2022</v>
      </c>
      <c r="AN25">
        <v>2020</v>
      </c>
      <c r="AO25">
        <f>IF(AND(emissions[[#This Row],[Market-based]]=0,emissions[[#This Row],[Impact Type]]="CO2E"),emissions[[#This Row],[kgCO2e]],0)/1000</f>
        <v>0</v>
      </c>
      <c r="AP25">
        <f>IF(AND(emissions[[#This Row],[Market-based]]=1,OR(emissions[[#This Row],[Impact Type]]="CO2E",emissions[[#This Row],[Impact Type]]="CO2E MKT")),emissions[[#This Row],[kgCO2e]],0)/1000</f>
        <v>0</v>
      </c>
      <c r="AQ25" t="str">
        <f>_xlfn.TEXTAFTER(emissions[[#This Row],[Reporting Unit]]," &gt; ",LEN(emissions[[#This Row],[Reporting Unit]])-LEN(SUBSTITUTE(emissions[[#This Row],[Reporting Unit]],"&gt;","")))</f>
        <v>Vantage_Mumbai</v>
      </c>
      <c r="AR25" t="str">
        <f>_xlfn.XLOOKUP(emissions[[#This Row],[Reporting unit name]],hierarchy!$A:$A,hierarchy!$C:$C)</f>
        <v>Office</v>
      </c>
    </row>
    <row r="26" spans="1:44" hidden="1" x14ac:dyDescent="0.25">
      <c r="A26">
        <v>293323</v>
      </c>
      <c r="B26" t="s">
        <v>144</v>
      </c>
      <c r="C26" t="s">
        <v>501</v>
      </c>
      <c r="D26" t="s">
        <v>548</v>
      </c>
      <c r="E26" s="3">
        <v>44562</v>
      </c>
      <c r="F26" s="3">
        <v>44926</v>
      </c>
      <c r="G26" t="s">
        <v>121</v>
      </c>
      <c r="H26" s="3">
        <v>44562</v>
      </c>
      <c r="I26" s="3">
        <v>44926</v>
      </c>
      <c r="J26" t="s">
        <v>150</v>
      </c>
      <c r="K26">
        <v>0</v>
      </c>
      <c r="L26" t="s">
        <v>148</v>
      </c>
      <c r="M26" t="s">
        <v>110</v>
      </c>
      <c r="O26" t="s">
        <v>583</v>
      </c>
      <c r="P26" t="s">
        <v>550</v>
      </c>
      <c r="Q26">
        <v>2022</v>
      </c>
      <c r="R26" t="s">
        <v>594</v>
      </c>
      <c r="S26" t="s">
        <v>150</v>
      </c>
      <c r="T26" t="s">
        <v>553</v>
      </c>
      <c r="U26" t="b">
        <v>0</v>
      </c>
      <c r="V26" t="s">
        <v>595</v>
      </c>
      <c r="W26" t="s">
        <v>587</v>
      </c>
      <c r="X26" t="s">
        <v>556</v>
      </c>
      <c r="AC26">
        <v>0</v>
      </c>
      <c r="AD26" t="s">
        <v>558</v>
      </c>
      <c r="AE26">
        <v>0</v>
      </c>
      <c r="AF26">
        <v>1.1900000000000001E-3</v>
      </c>
      <c r="AG26" t="s">
        <v>588</v>
      </c>
      <c r="AH26">
        <v>3.7854100000000002</v>
      </c>
      <c r="AI26">
        <v>0</v>
      </c>
      <c r="AJ26" t="s">
        <v>561</v>
      </c>
      <c r="AK26" t="s">
        <v>589</v>
      </c>
      <c r="AL26" t="s">
        <v>590</v>
      </c>
      <c r="AM26">
        <v>2022</v>
      </c>
      <c r="AN26">
        <v>2020</v>
      </c>
      <c r="AO26">
        <f>IF(AND(emissions[[#This Row],[Market-based]]=0,emissions[[#This Row],[Impact Type]]="CO2E"),emissions[[#This Row],[kgCO2e]],0)/1000</f>
        <v>0</v>
      </c>
      <c r="AP26">
        <f>IF(AND(emissions[[#This Row],[Market-based]]=1,OR(emissions[[#This Row],[Impact Type]]="CO2E",emissions[[#This Row],[Impact Type]]="CO2E MKT")),emissions[[#This Row],[kgCO2e]],0)/1000</f>
        <v>0</v>
      </c>
      <c r="AQ26" t="str">
        <f>_xlfn.TEXTAFTER(emissions[[#This Row],[Reporting Unit]]," &gt; ",LEN(emissions[[#This Row],[Reporting Unit]])-LEN(SUBSTITUTE(emissions[[#This Row],[Reporting Unit]],"&gt;","")))</f>
        <v>Vantage_Mumbai</v>
      </c>
      <c r="AR26" t="str">
        <f>_xlfn.XLOOKUP(emissions[[#This Row],[Reporting unit name]],hierarchy!$A:$A,hierarchy!$C:$C)</f>
        <v>Office</v>
      </c>
    </row>
    <row r="27" spans="1:44" hidden="1" x14ac:dyDescent="0.25">
      <c r="A27">
        <v>293323</v>
      </c>
      <c r="B27" t="s">
        <v>144</v>
      </c>
      <c r="C27" t="s">
        <v>501</v>
      </c>
      <c r="D27" t="s">
        <v>548</v>
      </c>
      <c r="E27" s="3">
        <v>44562</v>
      </c>
      <c r="F27" s="3">
        <v>44926</v>
      </c>
      <c r="G27" t="s">
        <v>121</v>
      </c>
      <c r="H27" s="3">
        <v>44562</v>
      </c>
      <c r="I27" s="3">
        <v>44926</v>
      </c>
      <c r="J27" t="s">
        <v>150</v>
      </c>
      <c r="K27">
        <v>0</v>
      </c>
      <c r="L27" t="s">
        <v>148</v>
      </c>
      <c r="M27" t="s">
        <v>110</v>
      </c>
      <c r="O27" t="s">
        <v>583</v>
      </c>
      <c r="P27" t="s">
        <v>550</v>
      </c>
      <c r="Q27">
        <v>2022</v>
      </c>
      <c r="R27" t="s">
        <v>594</v>
      </c>
      <c r="S27" t="s">
        <v>150</v>
      </c>
      <c r="T27" t="s">
        <v>553</v>
      </c>
      <c r="U27" t="b">
        <v>0</v>
      </c>
      <c r="V27" t="s">
        <v>595</v>
      </c>
      <c r="W27" t="s">
        <v>587</v>
      </c>
      <c r="X27" t="s">
        <v>556</v>
      </c>
      <c r="AC27">
        <v>0</v>
      </c>
      <c r="AD27" t="s">
        <v>564</v>
      </c>
      <c r="AE27">
        <v>0</v>
      </c>
      <c r="AF27">
        <v>1.5414000000000001</v>
      </c>
      <c r="AG27" t="s">
        <v>588</v>
      </c>
      <c r="AH27">
        <v>3.7854100000000002</v>
      </c>
      <c r="AI27">
        <v>0</v>
      </c>
      <c r="AJ27" t="s">
        <v>561</v>
      </c>
      <c r="AK27" t="s">
        <v>589</v>
      </c>
      <c r="AL27" t="s">
        <v>590</v>
      </c>
      <c r="AM27">
        <v>2022</v>
      </c>
      <c r="AN27">
        <v>2020</v>
      </c>
      <c r="AO27">
        <f>IF(AND(emissions[[#This Row],[Market-based]]=0,emissions[[#This Row],[Impact Type]]="CO2E"),emissions[[#This Row],[kgCO2e]],0)/1000</f>
        <v>0</v>
      </c>
      <c r="AP27">
        <f>IF(AND(emissions[[#This Row],[Market-based]]=1,OR(emissions[[#This Row],[Impact Type]]="CO2E",emissions[[#This Row],[Impact Type]]="CO2E MKT")),emissions[[#This Row],[kgCO2e]],0)/1000</f>
        <v>0</v>
      </c>
      <c r="AQ27" t="str">
        <f>_xlfn.TEXTAFTER(emissions[[#This Row],[Reporting Unit]]," &gt; ",LEN(emissions[[#This Row],[Reporting Unit]])-LEN(SUBSTITUTE(emissions[[#This Row],[Reporting Unit]],"&gt;","")))</f>
        <v>Vantage_Mumbai</v>
      </c>
      <c r="AR27" t="str">
        <f>_xlfn.XLOOKUP(emissions[[#This Row],[Reporting unit name]],hierarchy!$A:$A,hierarchy!$C:$C)</f>
        <v>Office</v>
      </c>
    </row>
    <row r="28" spans="1:44" hidden="1" x14ac:dyDescent="0.25">
      <c r="A28">
        <v>293323</v>
      </c>
      <c r="B28" t="s">
        <v>144</v>
      </c>
      <c r="C28" t="s">
        <v>501</v>
      </c>
      <c r="D28" t="s">
        <v>548</v>
      </c>
      <c r="E28" s="3">
        <v>44562</v>
      </c>
      <c r="F28" s="3">
        <v>44926</v>
      </c>
      <c r="G28" t="s">
        <v>121</v>
      </c>
      <c r="H28" s="3">
        <v>44562</v>
      </c>
      <c r="I28" s="3">
        <v>44926</v>
      </c>
      <c r="J28" t="s">
        <v>150</v>
      </c>
      <c r="K28">
        <v>0</v>
      </c>
      <c r="L28" t="s">
        <v>148</v>
      </c>
      <c r="M28" t="s">
        <v>110</v>
      </c>
      <c r="O28" t="s">
        <v>583</v>
      </c>
      <c r="P28" t="s">
        <v>550</v>
      </c>
      <c r="Q28">
        <v>2022</v>
      </c>
      <c r="R28" t="s">
        <v>594</v>
      </c>
      <c r="S28" t="s">
        <v>150</v>
      </c>
      <c r="T28" t="s">
        <v>553</v>
      </c>
      <c r="U28" t="b">
        <v>0</v>
      </c>
      <c r="V28" t="s">
        <v>595</v>
      </c>
      <c r="W28" t="s">
        <v>587</v>
      </c>
      <c r="X28" t="s">
        <v>556</v>
      </c>
      <c r="AC28">
        <v>0</v>
      </c>
      <c r="AD28" t="s">
        <v>565</v>
      </c>
      <c r="AE28">
        <v>0</v>
      </c>
      <c r="AF28">
        <v>1.5435399999999999</v>
      </c>
      <c r="AG28" t="s">
        <v>588</v>
      </c>
      <c r="AH28">
        <v>3.7854100000000002</v>
      </c>
      <c r="AI28">
        <v>0</v>
      </c>
      <c r="AJ28" t="s">
        <v>561</v>
      </c>
      <c r="AK28" t="s">
        <v>589</v>
      </c>
      <c r="AL28" t="s">
        <v>590</v>
      </c>
      <c r="AM28">
        <v>2022</v>
      </c>
      <c r="AN28">
        <v>2020</v>
      </c>
      <c r="AO28">
        <f>IF(AND(emissions[[#This Row],[Market-based]]=0,emissions[[#This Row],[Impact Type]]="CO2E"),emissions[[#This Row],[kgCO2e]],0)/1000</f>
        <v>0</v>
      </c>
      <c r="AP28">
        <f>IF(AND(emissions[[#This Row],[Market-based]]=1,OR(emissions[[#This Row],[Impact Type]]="CO2E",emissions[[#This Row],[Impact Type]]="CO2E MKT")),emissions[[#This Row],[kgCO2e]],0)/1000</f>
        <v>0</v>
      </c>
      <c r="AQ28" t="str">
        <f>_xlfn.TEXTAFTER(emissions[[#This Row],[Reporting Unit]]," &gt; ",LEN(emissions[[#This Row],[Reporting Unit]])-LEN(SUBSTITUTE(emissions[[#This Row],[Reporting Unit]],"&gt;","")))</f>
        <v>Vantage_Mumbai</v>
      </c>
      <c r="AR28" t="str">
        <f>_xlfn.XLOOKUP(emissions[[#This Row],[Reporting unit name]],hierarchy!$A:$A,hierarchy!$C:$C)</f>
        <v>Office</v>
      </c>
    </row>
    <row r="29" spans="1:44" hidden="1" x14ac:dyDescent="0.25">
      <c r="A29">
        <v>293323</v>
      </c>
      <c r="B29" t="s">
        <v>144</v>
      </c>
      <c r="C29" t="s">
        <v>501</v>
      </c>
      <c r="D29" t="s">
        <v>548</v>
      </c>
      <c r="E29" s="3">
        <v>44562</v>
      </c>
      <c r="F29" s="3">
        <v>44926</v>
      </c>
      <c r="G29" t="s">
        <v>121</v>
      </c>
      <c r="H29" s="3">
        <v>44562</v>
      </c>
      <c r="I29" s="3">
        <v>44926</v>
      </c>
      <c r="J29" t="s">
        <v>150</v>
      </c>
      <c r="K29">
        <v>0</v>
      </c>
      <c r="L29" t="s">
        <v>148</v>
      </c>
      <c r="M29" t="s">
        <v>110</v>
      </c>
      <c r="O29" t="s">
        <v>583</v>
      </c>
      <c r="P29" t="s">
        <v>550</v>
      </c>
      <c r="Q29">
        <v>2022</v>
      </c>
      <c r="R29" t="s">
        <v>594</v>
      </c>
      <c r="S29" t="s">
        <v>150</v>
      </c>
      <c r="T29" t="s">
        <v>553</v>
      </c>
      <c r="U29" t="b">
        <v>0</v>
      </c>
      <c r="V29" t="s">
        <v>595</v>
      </c>
      <c r="W29" t="s">
        <v>587</v>
      </c>
      <c r="X29" t="s">
        <v>556</v>
      </c>
      <c r="AC29">
        <v>0</v>
      </c>
      <c r="AD29" t="s">
        <v>566</v>
      </c>
      <c r="AE29">
        <v>0</v>
      </c>
      <c r="AF29">
        <v>9.5E-4</v>
      </c>
      <c r="AG29" t="s">
        <v>588</v>
      </c>
      <c r="AH29">
        <v>3.7854100000000002</v>
      </c>
      <c r="AI29">
        <v>0</v>
      </c>
      <c r="AJ29" t="s">
        <v>561</v>
      </c>
      <c r="AK29" t="s">
        <v>589</v>
      </c>
      <c r="AL29" t="s">
        <v>590</v>
      </c>
      <c r="AM29">
        <v>2022</v>
      </c>
      <c r="AN29">
        <v>2020</v>
      </c>
      <c r="AO29">
        <f>IF(AND(emissions[[#This Row],[Market-based]]=0,emissions[[#This Row],[Impact Type]]="CO2E"),emissions[[#This Row],[kgCO2e]],0)/1000</f>
        <v>0</v>
      </c>
      <c r="AP29">
        <f>IF(AND(emissions[[#This Row],[Market-based]]=1,OR(emissions[[#This Row],[Impact Type]]="CO2E",emissions[[#This Row],[Impact Type]]="CO2E MKT")),emissions[[#This Row],[kgCO2e]],0)/1000</f>
        <v>0</v>
      </c>
      <c r="AQ29" t="str">
        <f>_xlfn.TEXTAFTER(emissions[[#This Row],[Reporting Unit]]," &gt; ",LEN(emissions[[#This Row],[Reporting Unit]])-LEN(SUBSTITUTE(emissions[[#This Row],[Reporting Unit]],"&gt;","")))</f>
        <v>Vantage_Mumbai</v>
      </c>
      <c r="AR29" t="str">
        <f>_xlfn.XLOOKUP(emissions[[#This Row],[Reporting unit name]],hierarchy!$A:$A,hierarchy!$C:$C)</f>
        <v>Office</v>
      </c>
    </row>
    <row r="30" spans="1:44" hidden="1" x14ac:dyDescent="0.25">
      <c r="A30">
        <v>293323</v>
      </c>
      <c r="B30" t="s">
        <v>144</v>
      </c>
      <c r="C30" t="s">
        <v>501</v>
      </c>
      <c r="D30" t="s">
        <v>548</v>
      </c>
      <c r="E30" s="3">
        <v>44562</v>
      </c>
      <c r="F30" s="3">
        <v>44926</v>
      </c>
      <c r="G30" t="s">
        <v>121</v>
      </c>
      <c r="H30" s="3">
        <v>44562</v>
      </c>
      <c r="I30" s="3">
        <v>44926</v>
      </c>
      <c r="J30" t="s">
        <v>150</v>
      </c>
      <c r="K30">
        <v>0</v>
      </c>
      <c r="L30" t="s">
        <v>148</v>
      </c>
      <c r="M30" t="s">
        <v>110</v>
      </c>
      <c r="O30" t="s">
        <v>583</v>
      </c>
      <c r="P30" t="s">
        <v>550</v>
      </c>
      <c r="Q30">
        <v>2022</v>
      </c>
      <c r="R30" t="s">
        <v>594</v>
      </c>
      <c r="S30" t="s">
        <v>150</v>
      </c>
      <c r="T30" t="s">
        <v>553</v>
      </c>
      <c r="U30" t="b">
        <v>0</v>
      </c>
      <c r="V30" t="s">
        <v>595</v>
      </c>
      <c r="W30" t="s">
        <v>587</v>
      </c>
      <c r="X30" t="s">
        <v>556</v>
      </c>
      <c r="AC30">
        <v>1</v>
      </c>
      <c r="AD30" t="s">
        <v>558</v>
      </c>
      <c r="AE30">
        <v>0</v>
      </c>
      <c r="AF30">
        <v>1.1900000000000001E-3</v>
      </c>
      <c r="AG30" t="s">
        <v>588</v>
      </c>
      <c r="AH30">
        <v>3.7854100000000002</v>
      </c>
      <c r="AI30">
        <v>0</v>
      </c>
      <c r="AJ30" t="s">
        <v>561</v>
      </c>
      <c r="AK30" t="s">
        <v>589</v>
      </c>
      <c r="AL30" t="s">
        <v>590</v>
      </c>
      <c r="AM30">
        <v>2022</v>
      </c>
      <c r="AN30">
        <v>2020</v>
      </c>
      <c r="AO30">
        <f>IF(AND(emissions[[#This Row],[Market-based]]=0,emissions[[#This Row],[Impact Type]]="CO2E"),emissions[[#This Row],[kgCO2e]],0)/1000</f>
        <v>0</v>
      </c>
      <c r="AP30">
        <f>IF(AND(emissions[[#This Row],[Market-based]]=1,OR(emissions[[#This Row],[Impact Type]]="CO2E",emissions[[#This Row],[Impact Type]]="CO2E MKT")),emissions[[#This Row],[kgCO2e]],0)/1000</f>
        <v>0</v>
      </c>
      <c r="AQ30" t="str">
        <f>_xlfn.TEXTAFTER(emissions[[#This Row],[Reporting Unit]]," &gt; ",LEN(emissions[[#This Row],[Reporting Unit]])-LEN(SUBSTITUTE(emissions[[#This Row],[Reporting Unit]],"&gt;","")))</f>
        <v>Vantage_Mumbai</v>
      </c>
      <c r="AR30" t="str">
        <f>_xlfn.XLOOKUP(emissions[[#This Row],[Reporting unit name]],hierarchy!$A:$A,hierarchy!$C:$C)</f>
        <v>Office</v>
      </c>
    </row>
    <row r="31" spans="1:44" hidden="1" x14ac:dyDescent="0.25">
      <c r="A31">
        <v>293323</v>
      </c>
      <c r="B31" t="s">
        <v>144</v>
      </c>
      <c r="C31" t="s">
        <v>501</v>
      </c>
      <c r="D31" t="s">
        <v>548</v>
      </c>
      <c r="E31" s="3">
        <v>44562</v>
      </c>
      <c r="F31" s="3">
        <v>44926</v>
      </c>
      <c r="G31" t="s">
        <v>121</v>
      </c>
      <c r="H31" s="3">
        <v>44562</v>
      </c>
      <c r="I31" s="3">
        <v>44926</v>
      </c>
      <c r="J31" t="s">
        <v>150</v>
      </c>
      <c r="K31">
        <v>0</v>
      </c>
      <c r="L31" t="s">
        <v>148</v>
      </c>
      <c r="M31" t="s">
        <v>110</v>
      </c>
      <c r="O31" t="s">
        <v>583</v>
      </c>
      <c r="P31" t="s">
        <v>550</v>
      </c>
      <c r="Q31">
        <v>2022</v>
      </c>
      <c r="R31" t="s">
        <v>594</v>
      </c>
      <c r="S31" t="s">
        <v>150</v>
      </c>
      <c r="T31" t="s">
        <v>553</v>
      </c>
      <c r="U31" t="b">
        <v>0</v>
      </c>
      <c r="V31" t="s">
        <v>595</v>
      </c>
      <c r="W31" t="s">
        <v>587</v>
      </c>
      <c r="X31" t="s">
        <v>556</v>
      </c>
      <c r="AC31">
        <v>1</v>
      </c>
      <c r="AD31" t="s">
        <v>564</v>
      </c>
      <c r="AE31">
        <v>0</v>
      </c>
      <c r="AF31">
        <v>1.5414000000000001</v>
      </c>
      <c r="AG31" t="s">
        <v>588</v>
      </c>
      <c r="AH31">
        <v>3.7854100000000002</v>
      </c>
      <c r="AI31">
        <v>0</v>
      </c>
      <c r="AJ31" t="s">
        <v>561</v>
      </c>
      <c r="AK31" t="s">
        <v>589</v>
      </c>
      <c r="AL31" t="s">
        <v>590</v>
      </c>
      <c r="AM31">
        <v>2022</v>
      </c>
      <c r="AN31">
        <v>2020</v>
      </c>
      <c r="AO31">
        <f>IF(AND(emissions[[#This Row],[Market-based]]=0,emissions[[#This Row],[Impact Type]]="CO2E"),emissions[[#This Row],[kgCO2e]],0)/1000</f>
        <v>0</v>
      </c>
      <c r="AP31">
        <f>IF(AND(emissions[[#This Row],[Market-based]]=1,OR(emissions[[#This Row],[Impact Type]]="CO2E",emissions[[#This Row],[Impact Type]]="CO2E MKT")),emissions[[#This Row],[kgCO2e]],0)/1000</f>
        <v>0</v>
      </c>
      <c r="AQ31" t="str">
        <f>_xlfn.TEXTAFTER(emissions[[#This Row],[Reporting Unit]]," &gt; ",LEN(emissions[[#This Row],[Reporting Unit]])-LEN(SUBSTITUTE(emissions[[#This Row],[Reporting Unit]],"&gt;","")))</f>
        <v>Vantage_Mumbai</v>
      </c>
      <c r="AR31" t="str">
        <f>_xlfn.XLOOKUP(emissions[[#This Row],[Reporting unit name]],hierarchy!$A:$A,hierarchy!$C:$C)</f>
        <v>Office</v>
      </c>
    </row>
    <row r="32" spans="1:44" hidden="1" x14ac:dyDescent="0.25">
      <c r="A32">
        <v>293323</v>
      </c>
      <c r="B32" t="s">
        <v>144</v>
      </c>
      <c r="C32" t="s">
        <v>501</v>
      </c>
      <c r="D32" t="s">
        <v>548</v>
      </c>
      <c r="E32" s="3">
        <v>44562</v>
      </c>
      <c r="F32" s="3">
        <v>44926</v>
      </c>
      <c r="G32" t="s">
        <v>121</v>
      </c>
      <c r="H32" s="3">
        <v>44562</v>
      </c>
      <c r="I32" s="3">
        <v>44926</v>
      </c>
      <c r="J32" t="s">
        <v>150</v>
      </c>
      <c r="K32">
        <v>0</v>
      </c>
      <c r="L32" t="s">
        <v>148</v>
      </c>
      <c r="M32" t="s">
        <v>110</v>
      </c>
      <c r="O32" t="s">
        <v>583</v>
      </c>
      <c r="P32" t="s">
        <v>550</v>
      </c>
      <c r="Q32">
        <v>2022</v>
      </c>
      <c r="R32" t="s">
        <v>594</v>
      </c>
      <c r="S32" t="s">
        <v>150</v>
      </c>
      <c r="T32" t="s">
        <v>553</v>
      </c>
      <c r="U32" t="b">
        <v>0</v>
      </c>
      <c r="V32" t="s">
        <v>595</v>
      </c>
      <c r="W32" t="s">
        <v>587</v>
      </c>
      <c r="X32" t="s">
        <v>556</v>
      </c>
      <c r="AC32">
        <v>1</v>
      </c>
      <c r="AD32" t="s">
        <v>565</v>
      </c>
      <c r="AE32">
        <v>0</v>
      </c>
      <c r="AF32">
        <v>1.5435399999999999</v>
      </c>
      <c r="AG32" t="s">
        <v>588</v>
      </c>
      <c r="AH32">
        <v>3.7854100000000002</v>
      </c>
      <c r="AI32">
        <v>0</v>
      </c>
      <c r="AJ32" t="s">
        <v>561</v>
      </c>
      <c r="AK32" t="s">
        <v>589</v>
      </c>
      <c r="AL32" t="s">
        <v>590</v>
      </c>
      <c r="AM32">
        <v>2022</v>
      </c>
      <c r="AN32">
        <v>2020</v>
      </c>
      <c r="AO32">
        <f>IF(AND(emissions[[#This Row],[Market-based]]=0,emissions[[#This Row],[Impact Type]]="CO2E"),emissions[[#This Row],[kgCO2e]],0)/1000</f>
        <v>0</v>
      </c>
      <c r="AP32">
        <f>IF(AND(emissions[[#This Row],[Market-based]]=1,OR(emissions[[#This Row],[Impact Type]]="CO2E",emissions[[#This Row],[Impact Type]]="CO2E MKT")),emissions[[#This Row],[kgCO2e]],0)/1000</f>
        <v>0</v>
      </c>
      <c r="AQ32" t="str">
        <f>_xlfn.TEXTAFTER(emissions[[#This Row],[Reporting Unit]]," &gt; ",LEN(emissions[[#This Row],[Reporting Unit]])-LEN(SUBSTITUTE(emissions[[#This Row],[Reporting Unit]],"&gt;","")))</f>
        <v>Vantage_Mumbai</v>
      </c>
      <c r="AR32" t="str">
        <f>_xlfn.XLOOKUP(emissions[[#This Row],[Reporting unit name]],hierarchy!$A:$A,hierarchy!$C:$C)</f>
        <v>Office</v>
      </c>
    </row>
    <row r="33" spans="1:44" hidden="1" x14ac:dyDescent="0.25">
      <c r="A33">
        <v>293323</v>
      </c>
      <c r="B33" t="s">
        <v>144</v>
      </c>
      <c r="C33" t="s">
        <v>501</v>
      </c>
      <c r="D33" t="s">
        <v>548</v>
      </c>
      <c r="E33" s="3">
        <v>44562</v>
      </c>
      <c r="F33" s="3">
        <v>44926</v>
      </c>
      <c r="G33" t="s">
        <v>121</v>
      </c>
      <c r="H33" s="3">
        <v>44562</v>
      </c>
      <c r="I33" s="3">
        <v>44926</v>
      </c>
      <c r="J33" t="s">
        <v>150</v>
      </c>
      <c r="K33">
        <v>0</v>
      </c>
      <c r="L33" t="s">
        <v>148</v>
      </c>
      <c r="M33" t="s">
        <v>110</v>
      </c>
      <c r="O33" t="s">
        <v>583</v>
      </c>
      <c r="P33" t="s">
        <v>550</v>
      </c>
      <c r="Q33">
        <v>2022</v>
      </c>
      <c r="R33" t="s">
        <v>594</v>
      </c>
      <c r="S33" t="s">
        <v>150</v>
      </c>
      <c r="T33" t="s">
        <v>553</v>
      </c>
      <c r="U33" t="b">
        <v>0</v>
      </c>
      <c r="V33" t="s">
        <v>595</v>
      </c>
      <c r="W33" t="s">
        <v>587</v>
      </c>
      <c r="X33" t="s">
        <v>556</v>
      </c>
      <c r="AC33">
        <v>1</v>
      </c>
      <c r="AD33" t="s">
        <v>566</v>
      </c>
      <c r="AE33">
        <v>0</v>
      </c>
      <c r="AF33">
        <v>9.5E-4</v>
      </c>
      <c r="AG33" t="s">
        <v>588</v>
      </c>
      <c r="AH33">
        <v>3.7854100000000002</v>
      </c>
      <c r="AI33">
        <v>0</v>
      </c>
      <c r="AJ33" t="s">
        <v>561</v>
      </c>
      <c r="AK33" t="s">
        <v>589</v>
      </c>
      <c r="AL33" t="s">
        <v>590</v>
      </c>
      <c r="AM33">
        <v>2022</v>
      </c>
      <c r="AN33">
        <v>2020</v>
      </c>
      <c r="AO33">
        <f>IF(AND(emissions[[#This Row],[Market-based]]=0,emissions[[#This Row],[Impact Type]]="CO2E"),emissions[[#This Row],[kgCO2e]],0)/1000</f>
        <v>0</v>
      </c>
      <c r="AP33">
        <f>IF(AND(emissions[[#This Row],[Market-based]]=1,OR(emissions[[#This Row],[Impact Type]]="CO2E",emissions[[#This Row],[Impact Type]]="CO2E MKT")),emissions[[#This Row],[kgCO2e]],0)/1000</f>
        <v>0</v>
      </c>
      <c r="AQ33" t="str">
        <f>_xlfn.TEXTAFTER(emissions[[#This Row],[Reporting Unit]]," &gt; ",LEN(emissions[[#This Row],[Reporting Unit]])-LEN(SUBSTITUTE(emissions[[#This Row],[Reporting Unit]],"&gt;","")))</f>
        <v>Vantage_Mumbai</v>
      </c>
      <c r="AR33" t="str">
        <f>_xlfn.XLOOKUP(emissions[[#This Row],[Reporting unit name]],hierarchy!$A:$A,hierarchy!$C:$C)</f>
        <v>Office</v>
      </c>
    </row>
    <row r="34" spans="1:44" hidden="1" x14ac:dyDescent="0.25">
      <c r="A34">
        <v>293323</v>
      </c>
      <c r="B34" t="s">
        <v>144</v>
      </c>
      <c r="C34" t="s">
        <v>501</v>
      </c>
      <c r="D34" t="s">
        <v>548</v>
      </c>
      <c r="E34" s="3">
        <v>44562</v>
      </c>
      <c r="F34" s="3">
        <v>44926</v>
      </c>
      <c r="G34" t="s">
        <v>121</v>
      </c>
      <c r="H34" s="3">
        <v>44562</v>
      </c>
      <c r="I34" s="3">
        <v>44926</v>
      </c>
      <c r="J34" t="s">
        <v>150</v>
      </c>
      <c r="K34">
        <v>0</v>
      </c>
      <c r="L34" t="s">
        <v>148</v>
      </c>
      <c r="M34" t="s">
        <v>110</v>
      </c>
      <c r="O34" t="s">
        <v>583</v>
      </c>
      <c r="P34" t="s">
        <v>550</v>
      </c>
      <c r="Q34">
        <v>2022</v>
      </c>
      <c r="R34" t="s">
        <v>596</v>
      </c>
      <c r="S34" t="s">
        <v>597</v>
      </c>
      <c r="T34" t="s">
        <v>577</v>
      </c>
      <c r="U34" t="b">
        <v>0</v>
      </c>
      <c r="V34" t="s">
        <v>598</v>
      </c>
      <c r="W34" t="s">
        <v>571</v>
      </c>
      <c r="X34" t="s">
        <v>572</v>
      </c>
      <c r="AC34">
        <v>0</v>
      </c>
      <c r="AD34" t="s">
        <v>565</v>
      </c>
      <c r="AE34">
        <v>0</v>
      </c>
      <c r="AF34">
        <v>0.18046000000000001</v>
      </c>
      <c r="AG34" t="s">
        <v>588</v>
      </c>
      <c r="AH34">
        <v>3.7854100000000002</v>
      </c>
      <c r="AI34">
        <v>0</v>
      </c>
      <c r="AJ34" t="s">
        <v>561</v>
      </c>
      <c r="AK34" t="s">
        <v>589</v>
      </c>
      <c r="AL34" t="s">
        <v>590</v>
      </c>
      <c r="AM34">
        <v>2022</v>
      </c>
      <c r="AN34">
        <v>2020</v>
      </c>
      <c r="AO34">
        <f>IF(AND(emissions[[#This Row],[Market-based]]=0,emissions[[#This Row],[Impact Type]]="CO2E"),emissions[[#This Row],[kgCO2e]],0)/1000</f>
        <v>0</v>
      </c>
      <c r="AP34">
        <f>IF(AND(emissions[[#This Row],[Market-based]]=1,OR(emissions[[#This Row],[Impact Type]]="CO2E",emissions[[#This Row],[Impact Type]]="CO2E MKT")),emissions[[#This Row],[kgCO2e]],0)/1000</f>
        <v>0</v>
      </c>
      <c r="AQ34" t="str">
        <f>_xlfn.TEXTAFTER(emissions[[#This Row],[Reporting Unit]]," &gt; ",LEN(emissions[[#This Row],[Reporting Unit]])-LEN(SUBSTITUTE(emissions[[#This Row],[Reporting Unit]],"&gt;","")))</f>
        <v>Vantage_Mumbai</v>
      </c>
      <c r="AR34" t="str">
        <f>_xlfn.XLOOKUP(emissions[[#This Row],[Reporting unit name]],hierarchy!$A:$A,hierarchy!$C:$C)</f>
        <v>Office</v>
      </c>
    </row>
    <row r="35" spans="1:44" hidden="1" x14ac:dyDescent="0.25">
      <c r="A35">
        <v>293323</v>
      </c>
      <c r="B35" t="s">
        <v>144</v>
      </c>
      <c r="C35" t="s">
        <v>501</v>
      </c>
      <c r="D35" t="s">
        <v>548</v>
      </c>
      <c r="E35" s="3">
        <v>44562</v>
      </c>
      <c r="F35" s="3">
        <v>44926</v>
      </c>
      <c r="G35" t="s">
        <v>121</v>
      </c>
      <c r="H35" s="3">
        <v>44562</v>
      </c>
      <c r="I35" s="3">
        <v>44926</v>
      </c>
      <c r="J35" t="s">
        <v>150</v>
      </c>
      <c r="K35">
        <v>0</v>
      </c>
      <c r="L35" t="s">
        <v>148</v>
      </c>
      <c r="M35" t="s">
        <v>110</v>
      </c>
      <c r="O35" t="s">
        <v>583</v>
      </c>
      <c r="P35" t="s">
        <v>550</v>
      </c>
      <c r="Q35">
        <v>2022</v>
      </c>
      <c r="R35" t="s">
        <v>596</v>
      </c>
      <c r="S35" t="s">
        <v>597</v>
      </c>
      <c r="T35" t="s">
        <v>577</v>
      </c>
      <c r="U35" t="b">
        <v>0</v>
      </c>
      <c r="V35" t="s">
        <v>598</v>
      </c>
      <c r="W35" t="s">
        <v>571</v>
      </c>
      <c r="X35" t="s">
        <v>572</v>
      </c>
      <c r="AC35">
        <v>1</v>
      </c>
      <c r="AD35" t="s">
        <v>565</v>
      </c>
      <c r="AE35">
        <v>0</v>
      </c>
      <c r="AF35">
        <v>0.18046000000000001</v>
      </c>
      <c r="AG35" t="s">
        <v>588</v>
      </c>
      <c r="AH35">
        <v>3.7854100000000002</v>
      </c>
      <c r="AI35">
        <v>0</v>
      </c>
      <c r="AJ35" t="s">
        <v>561</v>
      </c>
      <c r="AK35" t="s">
        <v>589</v>
      </c>
      <c r="AL35" t="s">
        <v>590</v>
      </c>
      <c r="AM35">
        <v>2022</v>
      </c>
      <c r="AN35">
        <v>2020</v>
      </c>
      <c r="AO35">
        <f>IF(AND(emissions[[#This Row],[Market-based]]=0,emissions[[#This Row],[Impact Type]]="CO2E"),emissions[[#This Row],[kgCO2e]],0)/1000</f>
        <v>0</v>
      </c>
      <c r="AP35">
        <f>IF(AND(emissions[[#This Row],[Market-based]]=1,OR(emissions[[#This Row],[Impact Type]]="CO2E",emissions[[#This Row],[Impact Type]]="CO2E MKT")),emissions[[#This Row],[kgCO2e]],0)/1000</f>
        <v>0</v>
      </c>
      <c r="AQ35" t="str">
        <f>_xlfn.TEXTAFTER(emissions[[#This Row],[Reporting Unit]]," &gt; ",LEN(emissions[[#This Row],[Reporting Unit]])-LEN(SUBSTITUTE(emissions[[#This Row],[Reporting Unit]],"&gt;","")))</f>
        <v>Vantage_Mumbai</v>
      </c>
      <c r="AR35" t="str">
        <f>_xlfn.XLOOKUP(emissions[[#This Row],[Reporting unit name]],hierarchy!$A:$A,hierarchy!$C:$C)</f>
        <v>Office</v>
      </c>
    </row>
    <row r="36" spans="1:44" hidden="1" x14ac:dyDescent="0.25">
      <c r="A36">
        <v>4957</v>
      </c>
      <c r="B36" t="s">
        <v>144</v>
      </c>
      <c r="C36" t="s">
        <v>501</v>
      </c>
      <c r="D36" t="s">
        <v>599</v>
      </c>
      <c r="E36" s="3">
        <v>44197</v>
      </c>
      <c r="F36" s="3">
        <v>44561</v>
      </c>
      <c r="G36" t="s">
        <v>108</v>
      </c>
      <c r="H36" s="3">
        <v>44197</v>
      </c>
      <c r="I36" s="3">
        <v>44561</v>
      </c>
      <c r="J36" t="s">
        <v>108</v>
      </c>
      <c r="K36">
        <v>2441.65</v>
      </c>
      <c r="L36" t="s">
        <v>109</v>
      </c>
      <c r="M36" t="s">
        <v>82</v>
      </c>
      <c r="O36" t="s">
        <v>600</v>
      </c>
      <c r="P36" t="s">
        <v>550</v>
      </c>
      <c r="Q36">
        <v>2021</v>
      </c>
      <c r="R36" t="s">
        <v>551</v>
      </c>
      <c r="S36" t="s">
        <v>552</v>
      </c>
      <c r="T36" t="s">
        <v>553</v>
      </c>
      <c r="U36" t="b">
        <v>0</v>
      </c>
      <c r="V36" t="s">
        <v>554</v>
      </c>
      <c r="W36" t="s">
        <v>555</v>
      </c>
      <c r="X36" t="s">
        <v>556</v>
      </c>
      <c r="Y36" t="s">
        <v>466</v>
      </c>
      <c r="Z36" t="s">
        <v>503</v>
      </c>
      <c r="AA36" t="s">
        <v>557</v>
      </c>
      <c r="AC36">
        <v>0</v>
      </c>
      <c r="AD36" t="s">
        <v>558</v>
      </c>
      <c r="AE36">
        <v>0.73249500000000001</v>
      </c>
      <c r="AF36" t="s">
        <v>559</v>
      </c>
      <c r="AG36" t="s">
        <v>560</v>
      </c>
      <c r="AH36">
        <v>1</v>
      </c>
      <c r="AI36">
        <v>2441.65</v>
      </c>
      <c r="AJ36" t="s">
        <v>561</v>
      </c>
      <c r="AK36" t="s">
        <v>562</v>
      </c>
      <c r="AL36" t="s">
        <v>601</v>
      </c>
      <c r="AM36">
        <v>2021</v>
      </c>
      <c r="AN36">
        <v>2019</v>
      </c>
      <c r="AO36">
        <f>IF(AND(emissions[[#This Row],[Market-based]]=0,emissions[[#This Row],[Impact Type]]="CO2E"),emissions[[#This Row],[kgCO2e]],0)/1000</f>
        <v>0</v>
      </c>
      <c r="AP36">
        <f>IF(AND(emissions[[#This Row],[Market-based]]=1,OR(emissions[[#This Row],[Impact Type]]="CO2E",emissions[[#This Row],[Impact Type]]="CO2E MKT")),emissions[[#This Row],[kgCO2e]],0)/1000</f>
        <v>0</v>
      </c>
      <c r="AQ36" t="str">
        <f>_xlfn.TEXTAFTER(emissions[[#This Row],[Reporting Unit]]," &gt; ",LEN(emissions[[#This Row],[Reporting Unit]])-LEN(SUBSTITUTE(emissions[[#This Row],[Reporting Unit]],"&gt;","")))</f>
        <v>Vantage_Mumbai</v>
      </c>
      <c r="AR36" t="str">
        <f>_xlfn.XLOOKUP(emissions[[#This Row],[Reporting unit name]],hierarchy!$A:$A,hierarchy!$C:$C)</f>
        <v>Office</v>
      </c>
    </row>
    <row r="37" spans="1:44" hidden="1" x14ac:dyDescent="0.25">
      <c r="A37">
        <v>4957</v>
      </c>
      <c r="B37" t="s">
        <v>144</v>
      </c>
      <c r="C37" t="s">
        <v>501</v>
      </c>
      <c r="D37" t="s">
        <v>599</v>
      </c>
      <c r="E37" s="3">
        <v>44197</v>
      </c>
      <c r="F37" s="3">
        <v>44561</v>
      </c>
      <c r="G37" t="s">
        <v>108</v>
      </c>
      <c r="H37" s="3">
        <v>44197</v>
      </c>
      <c r="I37" s="3">
        <v>44561</v>
      </c>
      <c r="J37" t="s">
        <v>108</v>
      </c>
      <c r="K37">
        <v>2441.65</v>
      </c>
      <c r="L37" t="s">
        <v>109</v>
      </c>
      <c r="M37" t="s">
        <v>82</v>
      </c>
      <c r="O37" t="s">
        <v>600</v>
      </c>
      <c r="P37" t="s">
        <v>550</v>
      </c>
      <c r="Q37">
        <v>2021</v>
      </c>
      <c r="R37" t="s">
        <v>551</v>
      </c>
      <c r="S37" t="s">
        <v>552</v>
      </c>
      <c r="T37" t="s">
        <v>553</v>
      </c>
      <c r="U37" t="b">
        <v>0</v>
      </c>
      <c r="V37" t="s">
        <v>554</v>
      </c>
      <c r="W37" t="s">
        <v>555</v>
      </c>
      <c r="X37" t="s">
        <v>556</v>
      </c>
      <c r="Y37" t="s">
        <v>466</v>
      </c>
      <c r="Z37" t="s">
        <v>503</v>
      </c>
      <c r="AA37" t="s">
        <v>557</v>
      </c>
      <c r="AC37">
        <v>0</v>
      </c>
      <c r="AD37" t="s">
        <v>564</v>
      </c>
      <c r="AE37">
        <v>1763.8479600000001</v>
      </c>
      <c r="AF37" t="s">
        <v>559</v>
      </c>
      <c r="AG37" t="s">
        <v>560</v>
      </c>
      <c r="AH37">
        <v>1</v>
      </c>
      <c r="AI37">
        <v>2441.65</v>
      </c>
      <c r="AJ37" t="s">
        <v>561</v>
      </c>
      <c r="AK37" t="s">
        <v>562</v>
      </c>
      <c r="AL37" t="s">
        <v>601</v>
      </c>
      <c r="AM37">
        <v>2021</v>
      </c>
      <c r="AN37">
        <v>2019</v>
      </c>
      <c r="AO37">
        <f>IF(AND(emissions[[#This Row],[Market-based]]=0,emissions[[#This Row],[Impact Type]]="CO2E"),emissions[[#This Row],[kgCO2e]],0)/1000</f>
        <v>0</v>
      </c>
      <c r="AP37">
        <f>IF(AND(emissions[[#This Row],[Market-based]]=1,OR(emissions[[#This Row],[Impact Type]]="CO2E",emissions[[#This Row],[Impact Type]]="CO2E MKT")),emissions[[#This Row],[kgCO2e]],0)/1000</f>
        <v>0</v>
      </c>
      <c r="AQ37" t="str">
        <f>_xlfn.TEXTAFTER(emissions[[#This Row],[Reporting Unit]]," &gt; ",LEN(emissions[[#This Row],[Reporting Unit]])-LEN(SUBSTITUTE(emissions[[#This Row],[Reporting Unit]],"&gt;","")))</f>
        <v>Vantage_Mumbai</v>
      </c>
      <c r="AR37" t="str">
        <f>_xlfn.XLOOKUP(emissions[[#This Row],[Reporting unit name]],hierarchy!$A:$A,hierarchy!$C:$C)</f>
        <v>Office</v>
      </c>
    </row>
    <row r="38" spans="1:44" hidden="1" x14ac:dyDescent="0.25">
      <c r="A38">
        <v>4957</v>
      </c>
      <c r="B38" t="s">
        <v>144</v>
      </c>
      <c r="C38" t="s">
        <v>501</v>
      </c>
      <c r="D38" t="s">
        <v>599</v>
      </c>
      <c r="E38" s="3">
        <v>44197</v>
      </c>
      <c r="F38" s="3">
        <v>44561</v>
      </c>
      <c r="G38" t="s">
        <v>108</v>
      </c>
      <c r="H38" s="3">
        <v>44197</v>
      </c>
      <c r="I38" s="3">
        <v>44561</v>
      </c>
      <c r="J38" t="s">
        <v>108</v>
      </c>
      <c r="K38">
        <v>2441.65</v>
      </c>
      <c r="L38" t="s">
        <v>109</v>
      </c>
      <c r="M38" t="s">
        <v>82</v>
      </c>
      <c r="O38" t="s">
        <v>600</v>
      </c>
      <c r="P38" t="s">
        <v>550</v>
      </c>
      <c r="Q38">
        <v>2021</v>
      </c>
      <c r="R38" t="s">
        <v>551</v>
      </c>
      <c r="S38" t="s">
        <v>552</v>
      </c>
      <c r="T38" t="s">
        <v>553</v>
      </c>
      <c r="U38" t="b">
        <v>0</v>
      </c>
      <c r="V38" t="s">
        <v>554</v>
      </c>
      <c r="W38" t="s">
        <v>555</v>
      </c>
      <c r="X38" t="s">
        <v>556</v>
      </c>
      <c r="Y38" t="s">
        <v>466</v>
      </c>
      <c r="Z38" t="s">
        <v>503</v>
      </c>
      <c r="AA38" t="s">
        <v>557</v>
      </c>
      <c r="AC38">
        <v>0</v>
      </c>
      <c r="AD38" t="s">
        <v>565</v>
      </c>
      <c r="AE38">
        <v>1772.882065</v>
      </c>
      <c r="AF38" t="s">
        <v>559</v>
      </c>
      <c r="AG38" t="s">
        <v>560</v>
      </c>
      <c r="AH38">
        <v>1</v>
      </c>
      <c r="AI38">
        <v>2441.65</v>
      </c>
      <c r="AJ38" t="s">
        <v>561</v>
      </c>
      <c r="AK38" t="s">
        <v>562</v>
      </c>
      <c r="AL38" t="s">
        <v>601</v>
      </c>
      <c r="AM38">
        <v>2021</v>
      </c>
      <c r="AN38">
        <v>2019</v>
      </c>
      <c r="AO38">
        <f>IF(AND(emissions[[#This Row],[Market-based]]=0,emissions[[#This Row],[Impact Type]]="CO2E"),emissions[[#This Row],[kgCO2e]],0)/1000</f>
        <v>1.7728820650000001</v>
      </c>
      <c r="AP38">
        <f>IF(AND(emissions[[#This Row],[Market-based]]=1,OR(emissions[[#This Row],[Impact Type]]="CO2E",emissions[[#This Row],[Impact Type]]="CO2E MKT")),emissions[[#This Row],[kgCO2e]],0)/1000</f>
        <v>0</v>
      </c>
      <c r="AQ38" t="str">
        <f>_xlfn.TEXTAFTER(emissions[[#This Row],[Reporting Unit]]," &gt; ",LEN(emissions[[#This Row],[Reporting Unit]])-LEN(SUBSTITUTE(emissions[[#This Row],[Reporting Unit]],"&gt;","")))</f>
        <v>Vantage_Mumbai</v>
      </c>
      <c r="AR38" t="str">
        <f>_xlfn.XLOOKUP(emissions[[#This Row],[Reporting unit name]],hierarchy!$A:$A,hierarchy!$C:$C)</f>
        <v>Office</v>
      </c>
    </row>
    <row r="39" spans="1:44" hidden="1" x14ac:dyDescent="0.25">
      <c r="A39">
        <v>4957</v>
      </c>
      <c r="B39" t="s">
        <v>144</v>
      </c>
      <c r="C39" t="s">
        <v>501</v>
      </c>
      <c r="D39" t="s">
        <v>599</v>
      </c>
      <c r="E39" s="3">
        <v>44197</v>
      </c>
      <c r="F39" s="3">
        <v>44561</v>
      </c>
      <c r="G39" t="s">
        <v>108</v>
      </c>
      <c r="H39" s="3">
        <v>44197</v>
      </c>
      <c r="I39" s="3">
        <v>44561</v>
      </c>
      <c r="J39" t="s">
        <v>108</v>
      </c>
      <c r="K39">
        <v>2441.65</v>
      </c>
      <c r="L39" t="s">
        <v>109</v>
      </c>
      <c r="M39" t="s">
        <v>82</v>
      </c>
      <c r="O39" t="s">
        <v>600</v>
      </c>
      <c r="P39" t="s">
        <v>550</v>
      </c>
      <c r="Q39">
        <v>2021</v>
      </c>
      <c r="R39" t="s">
        <v>551</v>
      </c>
      <c r="S39" t="s">
        <v>552</v>
      </c>
      <c r="T39" t="s">
        <v>553</v>
      </c>
      <c r="U39" t="b">
        <v>0</v>
      </c>
      <c r="V39" t="s">
        <v>554</v>
      </c>
      <c r="W39" t="s">
        <v>555</v>
      </c>
      <c r="X39" t="s">
        <v>556</v>
      </c>
      <c r="Y39" t="s">
        <v>466</v>
      </c>
      <c r="Z39" t="s">
        <v>503</v>
      </c>
      <c r="AA39" t="s">
        <v>557</v>
      </c>
      <c r="AC39">
        <v>0</v>
      </c>
      <c r="AD39" t="s">
        <v>566</v>
      </c>
      <c r="AE39">
        <v>8.3016100000000002</v>
      </c>
      <c r="AF39" t="s">
        <v>559</v>
      </c>
      <c r="AG39" t="s">
        <v>560</v>
      </c>
      <c r="AH39">
        <v>1</v>
      </c>
      <c r="AI39">
        <v>2441.65</v>
      </c>
      <c r="AJ39" t="s">
        <v>561</v>
      </c>
      <c r="AK39" t="s">
        <v>562</v>
      </c>
      <c r="AL39" t="s">
        <v>601</v>
      </c>
      <c r="AM39">
        <v>2021</v>
      </c>
      <c r="AN39">
        <v>2019</v>
      </c>
      <c r="AO39">
        <f>IF(AND(emissions[[#This Row],[Market-based]]=0,emissions[[#This Row],[Impact Type]]="CO2E"),emissions[[#This Row],[kgCO2e]],0)/1000</f>
        <v>0</v>
      </c>
      <c r="AP39">
        <f>IF(AND(emissions[[#This Row],[Market-based]]=1,OR(emissions[[#This Row],[Impact Type]]="CO2E",emissions[[#This Row],[Impact Type]]="CO2E MKT")),emissions[[#This Row],[kgCO2e]],0)/1000</f>
        <v>0</v>
      </c>
      <c r="AQ39" t="str">
        <f>_xlfn.TEXTAFTER(emissions[[#This Row],[Reporting Unit]]," &gt; ",LEN(emissions[[#This Row],[Reporting Unit]])-LEN(SUBSTITUTE(emissions[[#This Row],[Reporting Unit]],"&gt;","")))</f>
        <v>Vantage_Mumbai</v>
      </c>
      <c r="AR39" t="str">
        <f>_xlfn.XLOOKUP(emissions[[#This Row],[Reporting unit name]],hierarchy!$A:$A,hierarchy!$C:$C)</f>
        <v>Office</v>
      </c>
    </row>
    <row r="40" spans="1:44" hidden="1" x14ac:dyDescent="0.25">
      <c r="A40">
        <v>4957</v>
      </c>
      <c r="B40" t="s">
        <v>144</v>
      </c>
      <c r="C40" t="s">
        <v>501</v>
      </c>
      <c r="D40" t="s">
        <v>599</v>
      </c>
      <c r="E40" s="3">
        <v>44197</v>
      </c>
      <c r="F40" s="3">
        <v>44561</v>
      </c>
      <c r="G40" t="s">
        <v>108</v>
      </c>
      <c r="H40" s="3">
        <v>44197</v>
      </c>
      <c r="I40" s="3">
        <v>44561</v>
      </c>
      <c r="J40" t="s">
        <v>108</v>
      </c>
      <c r="K40">
        <v>2441.65</v>
      </c>
      <c r="L40" t="s">
        <v>109</v>
      </c>
      <c r="M40" t="s">
        <v>82</v>
      </c>
      <c r="O40" t="s">
        <v>600</v>
      </c>
      <c r="P40" t="s">
        <v>550</v>
      </c>
      <c r="Q40">
        <v>2021</v>
      </c>
      <c r="R40" t="s">
        <v>551</v>
      </c>
      <c r="S40" t="s">
        <v>552</v>
      </c>
      <c r="T40" t="s">
        <v>553</v>
      </c>
      <c r="U40" t="b">
        <v>0</v>
      </c>
      <c r="V40" t="s">
        <v>554</v>
      </c>
      <c r="W40" t="s">
        <v>555</v>
      </c>
      <c r="X40" t="s">
        <v>556</v>
      </c>
      <c r="Y40" t="s">
        <v>466</v>
      </c>
      <c r="Z40" t="s">
        <v>503</v>
      </c>
      <c r="AA40" t="s">
        <v>557</v>
      </c>
      <c r="AC40">
        <v>1</v>
      </c>
      <c r="AD40" t="s">
        <v>558</v>
      </c>
      <c r="AE40">
        <v>0.73249500000000001</v>
      </c>
      <c r="AF40" t="s">
        <v>559</v>
      </c>
      <c r="AG40" t="s">
        <v>560</v>
      </c>
      <c r="AH40">
        <v>1</v>
      </c>
      <c r="AI40">
        <v>2441.65</v>
      </c>
      <c r="AJ40" t="s">
        <v>561</v>
      </c>
      <c r="AK40" t="s">
        <v>562</v>
      </c>
      <c r="AL40" t="s">
        <v>601</v>
      </c>
      <c r="AM40">
        <v>2021</v>
      </c>
      <c r="AN40">
        <v>2019</v>
      </c>
      <c r="AO40">
        <f>IF(AND(emissions[[#This Row],[Market-based]]=0,emissions[[#This Row],[Impact Type]]="CO2E"),emissions[[#This Row],[kgCO2e]],0)/1000</f>
        <v>0</v>
      </c>
      <c r="AP40">
        <f>IF(AND(emissions[[#This Row],[Market-based]]=1,OR(emissions[[#This Row],[Impact Type]]="CO2E",emissions[[#This Row],[Impact Type]]="CO2E MKT")),emissions[[#This Row],[kgCO2e]],0)/1000</f>
        <v>0</v>
      </c>
      <c r="AQ40" t="str">
        <f>_xlfn.TEXTAFTER(emissions[[#This Row],[Reporting Unit]]," &gt; ",LEN(emissions[[#This Row],[Reporting Unit]])-LEN(SUBSTITUTE(emissions[[#This Row],[Reporting Unit]],"&gt;","")))</f>
        <v>Vantage_Mumbai</v>
      </c>
      <c r="AR40" t="str">
        <f>_xlfn.XLOOKUP(emissions[[#This Row],[Reporting unit name]],hierarchy!$A:$A,hierarchy!$C:$C)</f>
        <v>Office</v>
      </c>
    </row>
    <row r="41" spans="1:44" hidden="1" x14ac:dyDescent="0.25">
      <c r="A41">
        <v>4957</v>
      </c>
      <c r="B41" t="s">
        <v>144</v>
      </c>
      <c r="C41" t="s">
        <v>501</v>
      </c>
      <c r="D41" t="s">
        <v>599</v>
      </c>
      <c r="E41" s="3">
        <v>44197</v>
      </c>
      <c r="F41" s="3">
        <v>44561</v>
      </c>
      <c r="G41" t="s">
        <v>108</v>
      </c>
      <c r="H41" s="3">
        <v>44197</v>
      </c>
      <c r="I41" s="3">
        <v>44561</v>
      </c>
      <c r="J41" t="s">
        <v>108</v>
      </c>
      <c r="K41">
        <v>2441.65</v>
      </c>
      <c r="L41" t="s">
        <v>109</v>
      </c>
      <c r="M41" t="s">
        <v>82</v>
      </c>
      <c r="O41" t="s">
        <v>600</v>
      </c>
      <c r="P41" t="s">
        <v>550</v>
      </c>
      <c r="Q41">
        <v>2021</v>
      </c>
      <c r="R41" t="s">
        <v>551</v>
      </c>
      <c r="S41" t="s">
        <v>552</v>
      </c>
      <c r="T41" t="s">
        <v>553</v>
      </c>
      <c r="U41" t="b">
        <v>0</v>
      </c>
      <c r="V41" t="s">
        <v>554</v>
      </c>
      <c r="W41" t="s">
        <v>555</v>
      </c>
      <c r="X41" t="s">
        <v>556</v>
      </c>
      <c r="Y41" t="s">
        <v>466</v>
      </c>
      <c r="Z41" t="s">
        <v>503</v>
      </c>
      <c r="AA41" t="s">
        <v>557</v>
      </c>
      <c r="AC41">
        <v>1</v>
      </c>
      <c r="AD41" t="s">
        <v>564</v>
      </c>
      <c r="AE41">
        <v>1763.8479600000001</v>
      </c>
      <c r="AF41" t="s">
        <v>559</v>
      </c>
      <c r="AG41" t="s">
        <v>560</v>
      </c>
      <c r="AH41">
        <v>1</v>
      </c>
      <c r="AI41">
        <v>2441.65</v>
      </c>
      <c r="AJ41" t="s">
        <v>561</v>
      </c>
      <c r="AK41" t="s">
        <v>562</v>
      </c>
      <c r="AL41" t="s">
        <v>601</v>
      </c>
      <c r="AM41">
        <v>2021</v>
      </c>
      <c r="AN41">
        <v>2019</v>
      </c>
      <c r="AO41">
        <f>IF(AND(emissions[[#This Row],[Market-based]]=0,emissions[[#This Row],[Impact Type]]="CO2E"),emissions[[#This Row],[kgCO2e]],0)/1000</f>
        <v>0</v>
      </c>
      <c r="AP41">
        <f>IF(AND(emissions[[#This Row],[Market-based]]=1,OR(emissions[[#This Row],[Impact Type]]="CO2E",emissions[[#This Row],[Impact Type]]="CO2E MKT")),emissions[[#This Row],[kgCO2e]],0)/1000</f>
        <v>0</v>
      </c>
      <c r="AQ41" t="str">
        <f>_xlfn.TEXTAFTER(emissions[[#This Row],[Reporting Unit]]," &gt; ",LEN(emissions[[#This Row],[Reporting Unit]])-LEN(SUBSTITUTE(emissions[[#This Row],[Reporting Unit]],"&gt;","")))</f>
        <v>Vantage_Mumbai</v>
      </c>
      <c r="AR41" t="str">
        <f>_xlfn.XLOOKUP(emissions[[#This Row],[Reporting unit name]],hierarchy!$A:$A,hierarchy!$C:$C)</f>
        <v>Office</v>
      </c>
    </row>
    <row r="42" spans="1:44" hidden="1" x14ac:dyDescent="0.25">
      <c r="A42">
        <v>4957</v>
      </c>
      <c r="B42" t="s">
        <v>144</v>
      </c>
      <c r="C42" t="s">
        <v>501</v>
      </c>
      <c r="D42" t="s">
        <v>599</v>
      </c>
      <c r="E42" s="3">
        <v>44197</v>
      </c>
      <c r="F42" s="3">
        <v>44561</v>
      </c>
      <c r="G42" t="s">
        <v>108</v>
      </c>
      <c r="H42" s="3">
        <v>44197</v>
      </c>
      <c r="I42" s="3">
        <v>44561</v>
      </c>
      <c r="J42" t="s">
        <v>108</v>
      </c>
      <c r="K42">
        <v>2441.65</v>
      </c>
      <c r="L42" t="s">
        <v>109</v>
      </c>
      <c r="M42" t="s">
        <v>82</v>
      </c>
      <c r="O42" t="s">
        <v>600</v>
      </c>
      <c r="P42" t="s">
        <v>550</v>
      </c>
      <c r="Q42">
        <v>2021</v>
      </c>
      <c r="R42" t="s">
        <v>551</v>
      </c>
      <c r="S42" t="s">
        <v>552</v>
      </c>
      <c r="T42" t="s">
        <v>553</v>
      </c>
      <c r="U42" t="b">
        <v>0</v>
      </c>
      <c r="V42" t="s">
        <v>554</v>
      </c>
      <c r="W42" t="s">
        <v>555</v>
      </c>
      <c r="X42" t="s">
        <v>556</v>
      </c>
      <c r="Y42" t="s">
        <v>466</v>
      </c>
      <c r="Z42" t="s">
        <v>503</v>
      </c>
      <c r="AA42" t="s">
        <v>557</v>
      </c>
      <c r="AC42">
        <v>1</v>
      </c>
      <c r="AD42" t="s">
        <v>565</v>
      </c>
      <c r="AE42">
        <v>1772.882065</v>
      </c>
      <c r="AF42" t="s">
        <v>559</v>
      </c>
      <c r="AG42" t="s">
        <v>560</v>
      </c>
      <c r="AH42">
        <v>1</v>
      </c>
      <c r="AI42">
        <v>2441.65</v>
      </c>
      <c r="AJ42" t="s">
        <v>561</v>
      </c>
      <c r="AK42" t="s">
        <v>562</v>
      </c>
      <c r="AL42" t="s">
        <v>601</v>
      </c>
      <c r="AM42">
        <v>2021</v>
      </c>
      <c r="AN42">
        <v>2019</v>
      </c>
      <c r="AO42">
        <f>IF(AND(emissions[[#This Row],[Market-based]]=0,emissions[[#This Row],[Impact Type]]="CO2E"),emissions[[#This Row],[kgCO2e]],0)/1000</f>
        <v>0</v>
      </c>
      <c r="AP42">
        <f>IF(AND(emissions[[#This Row],[Market-based]]=1,OR(emissions[[#This Row],[Impact Type]]="CO2E",emissions[[#This Row],[Impact Type]]="CO2E MKT")),emissions[[#This Row],[kgCO2e]],0)/1000</f>
        <v>1.7728820650000001</v>
      </c>
      <c r="AQ42" t="str">
        <f>_xlfn.TEXTAFTER(emissions[[#This Row],[Reporting Unit]]," &gt; ",LEN(emissions[[#This Row],[Reporting Unit]])-LEN(SUBSTITUTE(emissions[[#This Row],[Reporting Unit]],"&gt;","")))</f>
        <v>Vantage_Mumbai</v>
      </c>
      <c r="AR42" t="str">
        <f>_xlfn.XLOOKUP(emissions[[#This Row],[Reporting unit name]],hierarchy!$A:$A,hierarchy!$C:$C)</f>
        <v>Office</v>
      </c>
    </row>
    <row r="43" spans="1:44" hidden="1" x14ac:dyDescent="0.25">
      <c r="A43">
        <v>4957</v>
      </c>
      <c r="B43" t="s">
        <v>144</v>
      </c>
      <c r="C43" t="s">
        <v>501</v>
      </c>
      <c r="D43" t="s">
        <v>599</v>
      </c>
      <c r="E43" s="3">
        <v>44197</v>
      </c>
      <c r="F43" s="3">
        <v>44561</v>
      </c>
      <c r="G43" t="s">
        <v>108</v>
      </c>
      <c r="H43" s="3">
        <v>44197</v>
      </c>
      <c r="I43" s="3">
        <v>44561</v>
      </c>
      <c r="J43" t="s">
        <v>108</v>
      </c>
      <c r="K43">
        <v>2441.65</v>
      </c>
      <c r="L43" t="s">
        <v>109</v>
      </c>
      <c r="M43" t="s">
        <v>82</v>
      </c>
      <c r="O43" t="s">
        <v>600</v>
      </c>
      <c r="P43" t="s">
        <v>550</v>
      </c>
      <c r="Q43">
        <v>2021</v>
      </c>
      <c r="R43" t="s">
        <v>551</v>
      </c>
      <c r="S43" t="s">
        <v>552</v>
      </c>
      <c r="T43" t="s">
        <v>553</v>
      </c>
      <c r="U43" t="b">
        <v>0</v>
      </c>
      <c r="V43" t="s">
        <v>554</v>
      </c>
      <c r="W43" t="s">
        <v>555</v>
      </c>
      <c r="X43" t="s">
        <v>556</v>
      </c>
      <c r="Y43" t="s">
        <v>466</v>
      </c>
      <c r="Z43" t="s">
        <v>503</v>
      </c>
      <c r="AA43" t="s">
        <v>557</v>
      </c>
      <c r="AC43">
        <v>1</v>
      </c>
      <c r="AD43" t="s">
        <v>566</v>
      </c>
      <c r="AE43">
        <v>8.3016100000000002</v>
      </c>
      <c r="AF43" t="s">
        <v>559</v>
      </c>
      <c r="AG43" t="s">
        <v>560</v>
      </c>
      <c r="AH43">
        <v>1</v>
      </c>
      <c r="AI43">
        <v>2441.65</v>
      </c>
      <c r="AJ43" t="s">
        <v>561</v>
      </c>
      <c r="AK43" t="s">
        <v>562</v>
      </c>
      <c r="AL43" t="s">
        <v>601</v>
      </c>
      <c r="AM43">
        <v>2021</v>
      </c>
      <c r="AN43">
        <v>2019</v>
      </c>
      <c r="AO43">
        <f>IF(AND(emissions[[#This Row],[Market-based]]=0,emissions[[#This Row],[Impact Type]]="CO2E"),emissions[[#This Row],[kgCO2e]],0)/1000</f>
        <v>0</v>
      </c>
      <c r="AP43">
        <f>IF(AND(emissions[[#This Row],[Market-based]]=1,OR(emissions[[#This Row],[Impact Type]]="CO2E",emissions[[#This Row],[Impact Type]]="CO2E MKT")),emissions[[#This Row],[kgCO2e]],0)/1000</f>
        <v>0</v>
      </c>
      <c r="AQ43" t="str">
        <f>_xlfn.TEXTAFTER(emissions[[#This Row],[Reporting Unit]]," &gt; ",LEN(emissions[[#This Row],[Reporting Unit]])-LEN(SUBSTITUTE(emissions[[#This Row],[Reporting Unit]],"&gt;","")))</f>
        <v>Vantage_Mumbai</v>
      </c>
      <c r="AR43" t="str">
        <f>_xlfn.XLOOKUP(emissions[[#This Row],[Reporting unit name]],hierarchy!$A:$A,hierarchy!$C:$C)</f>
        <v>Office</v>
      </c>
    </row>
    <row r="44" spans="1:44" hidden="1" x14ac:dyDescent="0.25">
      <c r="A44">
        <v>4957</v>
      </c>
      <c r="B44" t="s">
        <v>144</v>
      </c>
      <c r="C44" t="s">
        <v>501</v>
      </c>
      <c r="D44" t="s">
        <v>599</v>
      </c>
      <c r="E44" s="3">
        <v>44197</v>
      </c>
      <c r="F44" s="3">
        <v>44561</v>
      </c>
      <c r="G44" t="s">
        <v>108</v>
      </c>
      <c r="H44" s="3">
        <v>44197</v>
      </c>
      <c r="I44" s="3">
        <v>44561</v>
      </c>
      <c r="J44" t="s">
        <v>108</v>
      </c>
      <c r="K44">
        <v>2441.65</v>
      </c>
      <c r="L44" t="s">
        <v>109</v>
      </c>
      <c r="M44" t="s">
        <v>82</v>
      </c>
      <c r="O44" t="s">
        <v>600</v>
      </c>
      <c r="P44" t="s">
        <v>550</v>
      </c>
      <c r="Q44">
        <v>2021</v>
      </c>
      <c r="R44" t="s">
        <v>567</v>
      </c>
      <c r="S44" t="s">
        <v>568</v>
      </c>
      <c r="T44" t="s">
        <v>569</v>
      </c>
      <c r="U44" t="b">
        <v>0</v>
      </c>
      <c r="V44" t="s">
        <v>602</v>
      </c>
      <c r="W44" t="s">
        <v>571</v>
      </c>
      <c r="X44" t="s">
        <v>572</v>
      </c>
      <c r="Y44" t="s">
        <v>466</v>
      </c>
      <c r="Z44" t="s">
        <v>503</v>
      </c>
      <c r="AA44" t="s">
        <v>557</v>
      </c>
      <c r="AC44">
        <v>0</v>
      </c>
      <c r="AD44" t="s">
        <v>565</v>
      </c>
      <c r="AE44">
        <v>91.888338140000002</v>
      </c>
      <c r="AF44">
        <v>3.7633706000000003E-2</v>
      </c>
      <c r="AG44" t="s">
        <v>560</v>
      </c>
      <c r="AH44">
        <v>1</v>
      </c>
      <c r="AI44">
        <v>2441.65</v>
      </c>
      <c r="AJ44" t="s">
        <v>561</v>
      </c>
      <c r="AK44" t="s">
        <v>589</v>
      </c>
      <c r="AL44" t="s">
        <v>603</v>
      </c>
      <c r="AM44">
        <v>2021</v>
      </c>
      <c r="AN44">
        <v>2019</v>
      </c>
      <c r="AO44">
        <f>IF(AND(emissions[[#This Row],[Market-based]]=0,emissions[[#This Row],[Impact Type]]="CO2E"),emissions[[#This Row],[kgCO2e]],0)/1000</f>
        <v>9.1888338139999998E-2</v>
      </c>
      <c r="AP44">
        <f>IF(AND(emissions[[#This Row],[Market-based]]=1,OR(emissions[[#This Row],[Impact Type]]="CO2E",emissions[[#This Row],[Impact Type]]="CO2E MKT")),emissions[[#This Row],[kgCO2e]],0)/1000</f>
        <v>0</v>
      </c>
      <c r="AQ44" t="str">
        <f>_xlfn.TEXTAFTER(emissions[[#This Row],[Reporting Unit]]," &gt; ",LEN(emissions[[#This Row],[Reporting Unit]])-LEN(SUBSTITUTE(emissions[[#This Row],[Reporting Unit]],"&gt;","")))</f>
        <v>Vantage_Mumbai</v>
      </c>
      <c r="AR44" t="str">
        <f>_xlfn.XLOOKUP(emissions[[#This Row],[Reporting unit name]],hierarchy!$A:$A,hierarchy!$C:$C)</f>
        <v>Office</v>
      </c>
    </row>
    <row r="45" spans="1:44" hidden="1" x14ac:dyDescent="0.25">
      <c r="A45">
        <v>4957</v>
      </c>
      <c r="B45" t="s">
        <v>144</v>
      </c>
      <c r="C45" t="s">
        <v>501</v>
      </c>
      <c r="D45" t="s">
        <v>599</v>
      </c>
      <c r="E45" s="3">
        <v>44197</v>
      </c>
      <c r="F45" s="3">
        <v>44561</v>
      </c>
      <c r="G45" t="s">
        <v>108</v>
      </c>
      <c r="H45" s="3">
        <v>44197</v>
      </c>
      <c r="I45" s="3">
        <v>44561</v>
      </c>
      <c r="J45" t="s">
        <v>108</v>
      </c>
      <c r="K45">
        <v>2441.65</v>
      </c>
      <c r="L45" t="s">
        <v>109</v>
      </c>
      <c r="M45" t="s">
        <v>82</v>
      </c>
      <c r="O45" t="s">
        <v>600</v>
      </c>
      <c r="P45" t="s">
        <v>550</v>
      </c>
      <c r="Q45">
        <v>2021</v>
      </c>
      <c r="R45" t="s">
        <v>567</v>
      </c>
      <c r="S45" t="s">
        <v>568</v>
      </c>
      <c r="T45" t="s">
        <v>569</v>
      </c>
      <c r="U45" t="b">
        <v>0</v>
      </c>
      <c r="V45" t="s">
        <v>602</v>
      </c>
      <c r="W45" t="s">
        <v>571</v>
      </c>
      <c r="X45" t="s">
        <v>572</v>
      </c>
      <c r="Y45" t="s">
        <v>466</v>
      </c>
      <c r="Z45" t="s">
        <v>503</v>
      </c>
      <c r="AA45" t="s">
        <v>557</v>
      </c>
      <c r="AC45">
        <v>1</v>
      </c>
      <c r="AD45" t="s">
        <v>565</v>
      </c>
      <c r="AE45">
        <v>91.888338140000002</v>
      </c>
      <c r="AF45">
        <v>3.7633706000000003E-2</v>
      </c>
      <c r="AG45" t="s">
        <v>560</v>
      </c>
      <c r="AH45">
        <v>1</v>
      </c>
      <c r="AI45">
        <v>2441.65</v>
      </c>
      <c r="AJ45" t="s">
        <v>561</v>
      </c>
      <c r="AK45" t="s">
        <v>589</v>
      </c>
      <c r="AL45" t="s">
        <v>603</v>
      </c>
      <c r="AM45">
        <v>2021</v>
      </c>
      <c r="AN45">
        <v>2019</v>
      </c>
      <c r="AO45">
        <f>IF(AND(emissions[[#This Row],[Market-based]]=0,emissions[[#This Row],[Impact Type]]="CO2E"),emissions[[#This Row],[kgCO2e]],0)/1000</f>
        <v>0</v>
      </c>
      <c r="AP45">
        <f>IF(AND(emissions[[#This Row],[Market-based]]=1,OR(emissions[[#This Row],[Impact Type]]="CO2E",emissions[[#This Row],[Impact Type]]="CO2E MKT")),emissions[[#This Row],[kgCO2e]],0)/1000</f>
        <v>9.1888338139999998E-2</v>
      </c>
      <c r="AQ45" t="str">
        <f>_xlfn.TEXTAFTER(emissions[[#This Row],[Reporting Unit]]," &gt; ",LEN(emissions[[#This Row],[Reporting Unit]])-LEN(SUBSTITUTE(emissions[[#This Row],[Reporting Unit]],"&gt;","")))</f>
        <v>Vantage_Mumbai</v>
      </c>
      <c r="AR45" t="str">
        <f>_xlfn.XLOOKUP(emissions[[#This Row],[Reporting unit name]],hierarchy!$A:$A,hierarchy!$C:$C)</f>
        <v>Office</v>
      </c>
    </row>
    <row r="46" spans="1:44" hidden="1" x14ac:dyDescent="0.25">
      <c r="A46">
        <v>4957</v>
      </c>
      <c r="B46" t="s">
        <v>144</v>
      </c>
      <c r="C46" t="s">
        <v>501</v>
      </c>
      <c r="D46" t="s">
        <v>599</v>
      </c>
      <c r="E46" s="3">
        <v>44197</v>
      </c>
      <c r="F46" s="3">
        <v>44561</v>
      </c>
      <c r="G46" t="s">
        <v>108</v>
      </c>
      <c r="H46" s="3">
        <v>44197</v>
      </c>
      <c r="I46" s="3">
        <v>44561</v>
      </c>
      <c r="J46" t="s">
        <v>108</v>
      </c>
      <c r="K46">
        <v>2441.65</v>
      </c>
      <c r="L46" t="s">
        <v>109</v>
      </c>
      <c r="M46" t="s">
        <v>82</v>
      </c>
      <c r="O46" t="s">
        <v>600</v>
      </c>
      <c r="P46" t="s">
        <v>550</v>
      </c>
      <c r="Q46">
        <v>2021</v>
      </c>
      <c r="R46" t="s">
        <v>575</v>
      </c>
      <c r="S46" t="s">
        <v>576</v>
      </c>
      <c r="T46" t="s">
        <v>577</v>
      </c>
      <c r="U46" t="b">
        <v>0</v>
      </c>
      <c r="V46" t="s">
        <v>604</v>
      </c>
      <c r="W46" t="s">
        <v>571</v>
      </c>
      <c r="X46" t="s">
        <v>572</v>
      </c>
      <c r="Y46" t="s">
        <v>466</v>
      </c>
      <c r="Z46" t="s">
        <v>503</v>
      </c>
      <c r="AA46" t="s">
        <v>557</v>
      </c>
      <c r="AC46">
        <v>0</v>
      </c>
      <c r="AD46" t="s">
        <v>565</v>
      </c>
      <c r="AE46">
        <v>408.93362009999998</v>
      </c>
      <c r="AF46">
        <v>0.16748248900000001</v>
      </c>
      <c r="AG46" t="s">
        <v>560</v>
      </c>
      <c r="AH46">
        <v>1</v>
      </c>
      <c r="AI46">
        <v>2441.65</v>
      </c>
      <c r="AJ46" t="s">
        <v>561</v>
      </c>
      <c r="AK46" t="s">
        <v>589</v>
      </c>
      <c r="AL46" t="s">
        <v>603</v>
      </c>
      <c r="AM46">
        <v>2021</v>
      </c>
      <c r="AN46">
        <v>2019</v>
      </c>
      <c r="AO46">
        <f>IF(AND(emissions[[#This Row],[Market-based]]=0,emissions[[#This Row],[Impact Type]]="CO2E"),emissions[[#This Row],[kgCO2e]],0)/1000</f>
        <v>0.40893362010000001</v>
      </c>
      <c r="AP46">
        <f>IF(AND(emissions[[#This Row],[Market-based]]=1,OR(emissions[[#This Row],[Impact Type]]="CO2E",emissions[[#This Row],[Impact Type]]="CO2E MKT")),emissions[[#This Row],[kgCO2e]],0)/1000</f>
        <v>0</v>
      </c>
      <c r="AQ46" t="str">
        <f>_xlfn.TEXTAFTER(emissions[[#This Row],[Reporting Unit]]," &gt; ",LEN(emissions[[#This Row],[Reporting Unit]])-LEN(SUBSTITUTE(emissions[[#This Row],[Reporting Unit]],"&gt;","")))</f>
        <v>Vantage_Mumbai</v>
      </c>
      <c r="AR46" t="str">
        <f>_xlfn.XLOOKUP(emissions[[#This Row],[Reporting unit name]],hierarchy!$A:$A,hierarchy!$C:$C)</f>
        <v>Office</v>
      </c>
    </row>
    <row r="47" spans="1:44" hidden="1" x14ac:dyDescent="0.25">
      <c r="A47">
        <v>4957</v>
      </c>
      <c r="B47" t="s">
        <v>144</v>
      </c>
      <c r="C47" t="s">
        <v>501</v>
      </c>
      <c r="D47" t="s">
        <v>599</v>
      </c>
      <c r="E47" s="3">
        <v>44197</v>
      </c>
      <c r="F47" s="3">
        <v>44561</v>
      </c>
      <c r="G47" t="s">
        <v>108</v>
      </c>
      <c r="H47" s="3">
        <v>44197</v>
      </c>
      <c r="I47" s="3">
        <v>44561</v>
      </c>
      <c r="J47" t="s">
        <v>108</v>
      </c>
      <c r="K47">
        <v>2441.65</v>
      </c>
      <c r="L47" t="s">
        <v>109</v>
      </c>
      <c r="M47" t="s">
        <v>82</v>
      </c>
      <c r="O47" t="s">
        <v>600</v>
      </c>
      <c r="P47" t="s">
        <v>550</v>
      </c>
      <c r="Q47">
        <v>2021</v>
      </c>
      <c r="R47" t="s">
        <v>575</v>
      </c>
      <c r="S47" t="s">
        <v>576</v>
      </c>
      <c r="T47" t="s">
        <v>577</v>
      </c>
      <c r="U47" t="b">
        <v>0</v>
      </c>
      <c r="V47" t="s">
        <v>604</v>
      </c>
      <c r="W47" t="s">
        <v>571</v>
      </c>
      <c r="X47" t="s">
        <v>572</v>
      </c>
      <c r="Y47" t="s">
        <v>466</v>
      </c>
      <c r="Z47" t="s">
        <v>503</v>
      </c>
      <c r="AA47" t="s">
        <v>557</v>
      </c>
      <c r="AC47">
        <v>1</v>
      </c>
      <c r="AD47" t="s">
        <v>565</v>
      </c>
      <c r="AE47">
        <v>408.93362009999998</v>
      </c>
      <c r="AF47">
        <v>0.16748248900000001</v>
      </c>
      <c r="AG47" t="s">
        <v>560</v>
      </c>
      <c r="AH47">
        <v>1</v>
      </c>
      <c r="AI47">
        <v>2441.65</v>
      </c>
      <c r="AJ47" t="s">
        <v>561</v>
      </c>
      <c r="AK47" t="s">
        <v>589</v>
      </c>
      <c r="AL47" t="s">
        <v>603</v>
      </c>
      <c r="AM47">
        <v>2021</v>
      </c>
      <c r="AN47">
        <v>2019</v>
      </c>
      <c r="AO47">
        <f>IF(AND(emissions[[#This Row],[Market-based]]=0,emissions[[#This Row],[Impact Type]]="CO2E"),emissions[[#This Row],[kgCO2e]],0)/1000</f>
        <v>0</v>
      </c>
      <c r="AP47">
        <f>IF(AND(emissions[[#This Row],[Market-based]]=1,OR(emissions[[#This Row],[Impact Type]]="CO2E",emissions[[#This Row],[Impact Type]]="CO2E MKT")),emissions[[#This Row],[kgCO2e]],0)/1000</f>
        <v>0.40893362010000001</v>
      </c>
      <c r="AQ47" t="str">
        <f>_xlfn.TEXTAFTER(emissions[[#This Row],[Reporting Unit]]," &gt; ",LEN(emissions[[#This Row],[Reporting Unit]])-LEN(SUBSTITUTE(emissions[[#This Row],[Reporting Unit]],"&gt;","")))</f>
        <v>Vantage_Mumbai</v>
      </c>
      <c r="AR47" t="str">
        <f>_xlfn.XLOOKUP(emissions[[#This Row],[Reporting unit name]],hierarchy!$A:$A,hierarchy!$C:$C)</f>
        <v>Office</v>
      </c>
    </row>
    <row r="48" spans="1:44" hidden="1" x14ac:dyDescent="0.25">
      <c r="A48">
        <v>4957</v>
      </c>
      <c r="B48" t="s">
        <v>144</v>
      </c>
      <c r="C48" t="s">
        <v>501</v>
      </c>
      <c r="D48" t="s">
        <v>599</v>
      </c>
      <c r="E48" s="3">
        <v>44197</v>
      </c>
      <c r="F48" s="3">
        <v>44561</v>
      </c>
      <c r="G48" t="s">
        <v>108</v>
      </c>
      <c r="H48" s="3">
        <v>44197</v>
      </c>
      <c r="I48" s="3">
        <v>44561</v>
      </c>
      <c r="J48" t="s">
        <v>108</v>
      </c>
      <c r="K48">
        <v>2441.65</v>
      </c>
      <c r="L48" t="s">
        <v>109</v>
      </c>
      <c r="M48" t="s">
        <v>82</v>
      </c>
      <c r="O48" t="s">
        <v>600</v>
      </c>
      <c r="P48" t="s">
        <v>550</v>
      </c>
      <c r="Q48">
        <v>2021</v>
      </c>
      <c r="R48" t="s">
        <v>579</v>
      </c>
      <c r="S48" t="s">
        <v>580</v>
      </c>
      <c r="T48" t="s">
        <v>581</v>
      </c>
      <c r="U48" t="b">
        <v>0</v>
      </c>
      <c r="V48" t="s">
        <v>582</v>
      </c>
      <c r="W48" t="s">
        <v>571</v>
      </c>
      <c r="X48" t="s">
        <v>572</v>
      </c>
      <c r="Y48" t="s">
        <v>466</v>
      </c>
      <c r="Z48" t="s">
        <v>503</v>
      </c>
      <c r="AA48" t="s">
        <v>557</v>
      </c>
      <c r="AC48">
        <v>0</v>
      </c>
      <c r="AD48" t="s">
        <v>565</v>
      </c>
      <c r="AE48">
        <v>318.146995</v>
      </c>
      <c r="AF48" t="s">
        <v>559</v>
      </c>
      <c r="AG48" t="s">
        <v>560</v>
      </c>
      <c r="AH48">
        <v>1</v>
      </c>
      <c r="AI48">
        <v>2441.65</v>
      </c>
      <c r="AJ48" t="s">
        <v>561</v>
      </c>
      <c r="AK48" t="s">
        <v>562</v>
      </c>
      <c r="AL48" t="s">
        <v>601</v>
      </c>
      <c r="AM48">
        <v>2021</v>
      </c>
      <c r="AN48">
        <v>2019</v>
      </c>
      <c r="AO48">
        <f>IF(AND(emissions[[#This Row],[Market-based]]=0,emissions[[#This Row],[Impact Type]]="CO2E"),emissions[[#This Row],[kgCO2e]],0)/1000</f>
        <v>0.31814699499999999</v>
      </c>
      <c r="AP48">
        <f>IF(AND(emissions[[#This Row],[Market-based]]=1,OR(emissions[[#This Row],[Impact Type]]="CO2E",emissions[[#This Row],[Impact Type]]="CO2E MKT")),emissions[[#This Row],[kgCO2e]],0)/1000</f>
        <v>0</v>
      </c>
      <c r="AQ48" t="str">
        <f>_xlfn.TEXTAFTER(emissions[[#This Row],[Reporting Unit]]," &gt; ",LEN(emissions[[#This Row],[Reporting Unit]])-LEN(SUBSTITUTE(emissions[[#This Row],[Reporting Unit]],"&gt;","")))</f>
        <v>Vantage_Mumbai</v>
      </c>
      <c r="AR48" t="str">
        <f>_xlfn.XLOOKUP(emissions[[#This Row],[Reporting unit name]],hierarchy!$A:$A,hierarchy!$C:$C)</f>
        <v>Office</v>
      </c>
    </row>
    <row r="49" spans="1:44" hidden="1" x14ac:dyDescent="0.25">
      <c r="A49">
        <v>4957</v>
      </c>
      <c r="B49" t="s">
        <v>144</v>
      </c>
      <c r="C49" t="s">
        <v>501</v>
      </c>
      <c r="D49" t="s">
        <v>599</v>
      </c>
      <c r="E49" s="3">
        <v>44197</v>
      </c>
      <c r="F49" s="3">
        <v>44561</v>
      </c>
      <c r="G49" t="s">
        <v>108</v>
      </c>
      <c r="H49" s="3">
        <v>44197</v>
      </c>
      <c r="I49" s="3">
        <v>44561</v>
      </c>
      <c r="J49" t="s">
        <v>108</v>
      </c>
      <c r="K49">
        <v>2441.65</v>
      </c>
      <c r="L49" t="s">
        <v>109</v>
      </c>
      <c r="M49" t="s">
        <v>82</v>
      </c>
      <c r="O49" t="s">
        <v>600</v>
      </c>
      <c r="P49" t="s">
        <v>550</v>
      </c>
      <c r="Q49">
        <v>2021</v>
      </c>
      <c r="R49" t="s">
        <v>579</v>
      </c>
      <c r="S49" t="s">
        <v>580</v>
      </c>
      <c r="T49" t="s">
        <v>581</v>
      </c>
      <c r="U49" t="b">
        <v>0</v>
      </c>
      <c r="V49" t="s">
        <v>582</v>
      </c>
      <c r="W49" t="s">
        <v>571</v>
      </c>
      <c r="X49" t="s">
        <v>572</v>
      </c>
      <c r="Y49" t="s">
        <v>466</v>
      </c>
      <c r="Z49" t="s">
        <v>503</v>
      </c>
      <c r="AA49" t="s">
        <v>557</v>
      </c>
      <c r="AC49">
        <v>1</v>
      </c>
      <c r="AD49" t="s">
        <v>565</v>
      </c>
      <c r="AE49">
        <v>318.146995</v>
      </c>
      <c r="AF49" t="s">
        <v>559</v>
      </c>
      <c r="AG49" t="s">
        <v>560</v>
      </c>
      <c r="AH49">
        <v>1</v>
      </c>
      <c r="AI49">
        <v>2441.65</v>
      </c>
      <c r="AJ49" t="s">
        <v>561</v>
      </c>
      <c r="AK49" t="s">
        <v>562</v>
      </c>
      <c r="AL49" t="s">
        <v>601</v>
      </c>
      <c r="AM49">
        <v>2021</v>
      </c>
      <c r="AN49">
        <v>2019</v>
      </c>
      <c r="AO49">
        <f>IF(AND(emissions[[#This Row],[Market-based]]=0,emissions[[#This Row],[Impact Type]]="CO2E"),emissions[[#This Row],[kgCO2e]],0)/1000</f>
        <v>0</v>
      </c>
      <c r="AP49">
        <f>IF(AND(emissions[[#This Row],[Market-based]]=1,OR(emissions[[#This Row],[Impact Type]]="CO2E",emissions[[#This Row],[Impact Type]]="CO2E MKT")),emissions[[#This Row],[kgCO2e]],0)/1000</f>
        <v>0.31814699499999999</v>
      </c>
      <c r="AQ49" t="str">
        <f>_xlfn.TEXTAFTER(emissions[[#This Row],[Reporting Unit]]," &gt; ",LEN(emissions[[#This Row],[Reporting Unit]])-LEN(SUBSTITUTE(emissions[[#This Row],[Reporting Unit]],"&gt;","")))</f>
        <v>Vantage_Mumbai</v>
      </c>
      <c r="AR49" t="str">
        <f>_xlfn.XLOOKUP(emissions[[#This Row],[Reporting unit name]],hierarchy!$A:$A,hierarchy!$C:$C)</f>
        <v>Office</v>
      </c>
    </row>
    <row r="50" spans="1:44" hidden="1" x14ac:dyDescent="0.25">
      <c r="A50">
        <v>4984</v>
      </c>
      <c r="B50" t="s">
        <v>144</v>
      </c>
      <c r="C50" t="s">
        <v>501</v>
      </c>
      <c r="D50" t="s">
        <v>599</v>
      </c>
      <c r="E50" s="3">
        <v>44197</v>
      </c>
      <c r="F50" s="3">
        <v>44561</v>
      </c>
      <c r="G50" t="s">
        <v>135</v>
      </c>
      <c r="H50" s="3">
        <v>44197</v>
      </c>
      <c r="I50" s="3">
        <v>44561</v>
      </c>
      <c r="J50" t="s">
        <v>135</v>
      </c>
      <c r="K50">
        <v>0</v>
      </c>
      <c r="L50" t="s">
        <v>140</v>
      </c>
      <c r="M50" t="s">
        <v>82</v>
      </c>
      <c r="O50" t="s">
        <v>600</v>
      </c>
      <c r="P50" t="s">
        <v>550</v>
      </c>
      <c r="Q50">
        <v>2021</v>
      </c>
      <c r="R50" t="s">
        <v>605</v>
      </c>
      <c r="S50" t="s">
        <v>606</v>
      </c>
      <c r="T50" t="s">
        <v>553</v>
      </c>
      <c r="U50" t="b">
        <v>0</v>
      </c>
      <c r="V50" t="s">
        <v>607</v>
      </c>
      <c r="W50" t="s">
        <v>587</v>
      </c>
      <c r="X50" t="s">
        <v>556</v>
      </c>
      <c r="AC50">
        <v>0</v>
      </c>
      <c r="AD50" t="s">
        <v>558</v>
      </c>
      <c r="AE50">
        <v>0</v>
      </c>
      <c r="AF50">
        <v>2.5000000000000001E-4</v>
      </c>
      <c r="AG50" t="s">
        <v>608</v>
      </c>
      <c r="AH50">
        <v>2.9306999999999998E-4</v>
      </c>
      <c r="AI50">
        <v>0</v>
      </c>
      <c r="AJ50" t="s">
        <v>561</v>
      </c>
      <c r="AK50" t="s">
        <v>589</v>
      </c>
      <c r="AL50" t="s">
        <v>603</v>
      </c>
      <c r="AM50">
        <v>2021</v>
      </c>
      <c r="AN50">
        <v>2019</v>
      </c>
      <c r="AO50">
        <f>IF(AND(emissions[[#This Row],[Market-based]]=0,emissions[[#This Row],[Impact Type]]="CO2E"),emissions[[#This Row],[kgCO2e]],0)/1000</f>
        <v>0</v>
      </c>
      <c r="AP50">
        <f>IF(AND(emissions[[#This Row],[Market-based]]=1,OR(emissions[[#This Row],[Impact Type]]="CO2E",emissions[[#This Row],[Impact Type]]="CO2E MKT")),emissions[[#This Row],[kgCO2e]],0)/1000</f>
        <v>0</v>
      </c>
      <c r="AQ50" t="str">
        <f>_xlfn.TEXTAFTER(emissions[[#This Row],[Reporting Unit]]," &gt; ",LEN(emissions[[#This Row],[Reporting Unit]])-LEN(SUBSTITUTE(emissions[[#This Row],[Reporting Unit]],"&gt;","")))</f>
        <v>Vantage_Mumbai</v>
      </c>
      <c r="AR50" t="str">
        <f>_xlfn.XLOOKUP(emissions[[#This Row],[Reporting unit name]],hierarchy!$A:$A,hierarchy!$C:$C)</f>
        <v>Office</v>
      </c>
    </row>
    <row r="51" spans="1:44" hidden="1" x14ac:dyDescent="0.25">
      <c r="A51">
        <v>4984</v>
      </c>
      <c r="B51" t="s">
        <v>144</v>
      </c>
      <c r="C51" t="s">
        <v>501</v>
      </c>
      <c r="D51" t="s">
        <v>599</v>
      </c>
      <c r="E51" s="3">
        <v>44197</v>
      </c>
      <c r="F51" s="3">
        <v>44561</v>
      </c>
      <c r="G51" t="s">
        <v>135</v>
      </c>
      <c r="H51" s="3">
        <v>44197</v>
      </c>
      <c r="I51" s="3">
        <v>44561</v>
      </c>
      <c r="J51" t="s">
        <v>135</v>
      </c>
      <c r="K51">
        <v>0</v>
      </c>
      <c r="L51" t="s">
        <v>140</v>
      </c>
      <c r="M51" t="s">
        <v>82</v>
      </c>
      <c r="O51" t="s">
        <v>600</v>
      </c>
      <c r="P51" t="s">
        <v>550</v>
      </c>
      <c r="Q51">
        <v>2021</v>
      </c>
      <c r="R51" t="s">
        <v>605</v>
      </c>
      <c r="S51" t="s">
        <v>606</v>
      </c>
      <c r="T51" t="s">
        <v>553</v>
      </c>
      <c r="U51" t="b">
        <v>0</v>
      </c>
      <c r="V51" t="s">
        <v>607</v>
      </c>
      <c r="W51" t="s">
        <v>587</v>
      </c>
      <c r="X51" t="s">
        <v>556</v>
      </c>
      <c r="AC51">
        <v>0</v>
      </c>
      <c r="AD51" t="s">
        <v>564</v>
      </c>
      <c r="AE51">
        <v>0</v>
      </c>
      <c r="AF51">
        <v>0.18282000000000001</v>
      </c>
      <c r="AG51" t="s">
        <v>608</v>
      </c>
      <c r="AH51">
        <v>2.9306999999999998E-4</v>
      </c>
      <c r="AI51">
        <v>0</v>
      </c>
      <c r="AJ51" t="s">
        <v>561</v>
      </c>
      <c r="AK51" t="s">
        <v>589</v>
      </c>
      <c r="AL51" t="s">
        <v>603</v>
      </c>
      <c r="AM51">
        <v>2021</v>
      </c>
      <c r="AN51">
        <v>2019</v>
      </c>
      <c r="AO51">
        <f>IF(AND(emissions[[#This Row],[Market-based]]=0,emissions[[#This Row],[Impact Type]]="CO2E"),emissions[[#This Row],[kgCO2e]],0)/1000</f>
        <v>0</v>
      </c>
      <c r="AP51">
        <f>IF(AND(emissions[[#This Row],[Market-based]]=1,OR(emissions[[#This Row],[Impact Type]]="CO2E",emissions[[#This Row],[Impact Type]]="CO2E MKT")),emissions[[#This Row],[kgCO2e]],0)/1000</f>
        <v>0</v>
      </c>
      <c r="AQ51" t="str">
        <f>_xlfn.TEXTAFTER(emissions[[#This Row],[Reporting Unit]]," &gt; ",LEN(emissions[[#This Row],[Reporting Unit]])-LEN(SUBSTITUTE(emissions[[#This Row],[Reporting Unit]],"&gt;","")))</f>
        <v>Vantage_Mumbai</v>
      </c>
      <c r="AR51" t="str">
        <f>_xlfn.XLOOKUP(emissions[[#This Row],[Reporting unit name]],hierarchy!$A:$A,hierarchy!$C:$C)</f>
        <v>Office</v>
      </c>
    </row>
    <row r="52" spans="1:44" hidden="1" x14ac:dyDescent="0.25">
      <c r="A52">
        <v>4984</v>
      </c>
      <c r="B52" t="s">
        <v>144</v>
      </c>
      <c r="C52" t="s">
        <v>501</v>
      </c>
      <c r="D52" t="s">
        <v>599</v>
      </c>
      <c r="E52" s="3">
        <v>44197</v>
      </c>
      <c r="F52" s="3">
        <v>44561</v>
      </c>
      <c r="G52" t="s">
        <v>135</v>
      </c>
      <c r="H52" s="3">
        <v>44197</v>
      </c>
      <c r="I52" s="3">
        <v>44561</v>
      </c>
      <c r="J52" t="s">
        <v>135</v>
      </c>
      <c r="K52">
        <v>0</v>
      </c>
      <c r="L52" t="s">
        <v>140</v>
      </c>
      <c r="M52" t="s">
        <v>82</v>
      </c>
      <c r="O52" t="s">
        <v>600</v>
      </c>
      <c r="P52" t="s">
        <v>550</v>
      </c>
      <c r="Q52">
        <v>2021</v>
      </c>
      <c r="R52" t="s">
        <v>605</v>
      </c>
      <c r="S52" t="s">
        <v>606</v>
      </c>
      <c r="T52" t="s">
        <v>553</v>
      </c>
      <c r="U52" t="b">
        <v>0</v>
      </c>
      <c r="V52" t="s">
        <v>607</v>
      </c>
      <c r="W52" t="s">
        <v>587</v>
      </c>
      <c r="X52" t="s">
        <v>556</v>
      </c>
      <c r="AC52">
        <v>0</v>
      </c>
      <c r="AD52" t="s">
        <v>565</v>
      </c>
      <c r="AE52">
        <v>0</v>
      </c>
      <c r="AF52">
        <v>0.18317</v>
      </c>
      <c r="AG52" t="s">
        <v>608</v>
      </c>
      <c r="AH52">
        <v>2.9306999999999998E-4</v>
      </c>
      <c r="AI52">
        <v>0</v>
      </c>
      <c r="AJ52" t="s">
        <v>561</v>
      </c>
      <c r="AK52" t="s">
        <v>589</v>
      </c>
      <c r="AL52" t="s">
        <v>603</v>
      </c>
      <c r="AM52">
        <v>2021</v>
      </c>
      <c r="AN52">
        <v>2019</v>
      </c>
      <c r="AO52">
        <f>IF(AND(emissions[[#This Row],[Market-based]]=0,emissions[[#This Row],[Impact Type]]="CO2E"),emissions[[#This Row],[kgCO2e]],0)/1000</f>
        <v>0</v>
      </c>
      <c r="AP52">
        <f>IF(AND(emissions[[#This Row],[Market-based]]=1,OR(emissions[[#This Row],[Impact Type]]="CO2E",emissions[[#This Row],[Impact Type]]="CO2E MKT")),emissions[[#This Row],[kgCO2e]],0)/1000</f>
        <v>0</v>
      </c>
      <c r="AQ52" t="str">
        <f>_xlfn.TEXTAFTER(emissions[[#This Row],[Reporting Unit]]," &gt; ",LEN(emissions[[#This Row],[Reporting Unit]])-LEN(SUBSTITUTE(emissions[[#This Row],[Reporting Unit]],"&gt;","")))</f>
        <v>Vantage_Mumbai</v>
      </c>
      <c r="AR52" t="str">
        <f>_xlfn.XLOOKUP(emissions[[#This Row],[Reporting unit name]],hierarchy!$A:$A,hierarchy!$C:$C)</f>
        <v>Office</v>
      </c>
    </row>
    <row r="53" spans="1:44" hidden="1" x14ac:dyDescent="0.25">
      <c r="A53">
        <v>4984</v>
      </c>
      <c r="B53" t="s">
        <v>144</v>
      </c>
      <c r="C53" t="s">
        <v>501</v>
      </c>
      <c r="D53" t="s">
        <v>599</v>
      </c>
      <c r="E53" s="3">
        <v>44197</v>
      </c>
      <c r="F53" s="3">
        <v>44561</v>
      </c>
      <c r="G53" t="s">
        <v>135</v>
      </c>
      <c r="H53" s="3">
        <v>44197</v>
      </c>
      <c r="I53" s="3">
        <v>44561</v>
      </c>
      <c r="J53" t="s">
        <v>135</v>
      </c>
      <c r="K53">
        <v>0</v>
      </c>
      <c r="L53" t="s">
        <v>140</v>
      </c>
      <c r="M53" t="s">
        <v>82</v>
      </c>
      <c r="O53" t="s">
        <v>600</v>
      </c>
      <c r="P53" t="s">
        <v>550</v>
      </c>
      <c r="Q53">
        <v>2021</v>
      </c>
      <c r="R53" t="s">
        <v>605</v>
      </c>
      <c r="S53" t="s">
        <v>606</v>
      </c>
      <c r="T53" t="s">
        <v>553</v>
      </c>
      <c r="U53" t="b">
        <v>0</v>
      </c>
      <c r="V53" t="s">
        <v>607</v>
      </c>
      <c r="W53" t="s">
        <v>587</v>
      </c>
      <c r="X53" t="s">
        <v>556</v>
      </c>
      <c r="AC53">
        <v>0</v>
      </c>
      <c r="AD53" t="s">
        <v>566</v>
      </c>
      <c r="AE53">
        <v>0</v>
      </c>
      <c r="AF53">
        <v>1E-4</v>
      </c>
      <c r="AG53" t="s">
        <v>608</v>
      </c>
      <c r="AH53">
        <v>2.9306999999999998E-4</v>
      </c>
      <c r="AI53">
        <v>0</v>
      </c>
      <c r="AJ53" t="s">
        <v>561</v>
      </c>
      <c r="AK53" t="s">
        <v>589</v>
      </c>
      <c r="AL53" t="s">
        <v>603</v>
      </c>
      <c r="AM53">
        <v>2021</v>
      </c>
      <c r="AN53">
        <v>2019</v>
      </c>
      <c r="AO53">
        <f>IF(AND(emissions[[#This Row],[Market-based]]=0,emissions[[#This Row],[Impact Type]]="CO2E"),emissions[[#This Row],[kgCO2e]],0)/1000</f>
        <v>0</v>
      </c>
      <c r="AP53">
        <f>IF(AND(emissions[[#This Row],[Market-based]]=1,OR(emissions[[#This Row],[Impact Type]]="CO2E",emissions[[#This Row],[Impact Type]]="CO2E MKT")),emissions[[#This Row],[kgCO2e]],0)/1000</f>
        <v>0</v>
      </c>
      <c r="AQ53" t="str">
        <f>_xlfn.TEXTAFTER(emissions[[#This Row],[Reporting Unit]]," &gt; ",LEN(emissions[[#This Row],[Reporting Unit]])-LEN(SUBSTITUTE(emissions[[#This Row],[Reporting Unit]],"&gt;","")))</f>
        <v>Vantage_Mumbai</v>
      </c>
      <c r="AR53" t="str">
        <f>_xlfn.XLOOKUP(emissions[[#This Row],[Reporting unit name]],hierarchy!$A:$A,hierarchy!$C:$C)</f>
        <v>Office</v>
      </c>
    </row>
    <row r="54" spans="1:44" hidden="1" x14ac:dyDescent="0.25">
      <c r="A54">
        <v>4984</v>
      </c>
      <c r="B54" t="s">
        <v>144</v>
      </c>
      <c r="C54" t="s">
        <v>501</v>
      </c>
      <c r="D54" t="s">
        <v>599</v>
      </c>
      <c r="E54" s="3">
        <v>44197</v>
      </c>
      <c r="F54" s="3">
        <v>44561</v>
      </c>
      <c r="G54" t="s">
        <v>135</v>
      </c>
      <c r="H54" s="3">
        <v>44197</v>
      </c>
      <c r="I54" s="3">
        <v>44561</v>
      </c>
      <c r="J54" t="s">
        <v>135</v>
      </c>
      <c r="K54">
        <v>0</v>
      </c>
      <c r="L54" t="s">
        <v>140</v>
      </c>
      <c r="M54" t="s">
        <v>82</v>
      </c>
      <c r="O54" t="s">
        <v>600</v>
      </c>
      <c r="P54" t="s">
        <v>550</v>
      </c>
      <c r="Q54">
        <v>2021</v>
      </c>
      <c r="R54" t="s">
        <v>605</v>
      </c>
      <c r="S54" t="s">
        <v>606</v>
      </c>
      <c r="T54" t="s">
        <v>553</v>
      </c>
      <c r="U54" t="b">
        <v>0</v>
      </c>
      <c r="V54" t="s">
        <v>607</v>
      </c>
      <c r="W54" t="s">
        <v>587</v>
      </c>
      <c r="X54" t="s">
        <v>556</v>
      </c>
      <c r="AC54">
        <v>1</v>
      </c>
      <c r="AD54" t="s">
        <v>558</v>
      </c>
      <c r="AE54">
        <v>0</v>
      </c>
      <c r="AF54">
        <v>2.5000000000000001E-4</v>
      </c>
      <c r="AG54" t="s">
        <v>608</v>
      </c>
      <c r="AH54">
        <v>2.9306999999999998E-4</v>
      </c>
      <c r="AI54">
        <v>0</v>
      </c>
      <c r="AJ54" t="s">
        <v>561</v>
      </c>
      <c r="AK54" t="s">
        <v>589</v>
      </c>
      <c r="AL54" t="s">
        <v>603</v>
      </c>
      <c r="AM54">
        <v>2021</v>
      </c>
      <c r="AN54">
        <v>2019</v>
      </c>
      <c r="AO54">
        <f>IF(AND(emissions[[#This Row],[Market-based]]=0,emissions[[#This Row],[Impact Type]]="CO2E"),emissions[[#This Row],[kgCO2e]],0)/1000</f>
        <v>0</v>
      </c>
      <c r="AP54">
        <f>IF(AND(emissions[[#This Row],[Market-based]]=1,OR(emissions[[#This Row],[Impact Type]]="CO2E",emissions[[#This Row],[Impact Type]]="CO2E MKT")),emissions[[#This Row],[kgCO2e]],0)/1000</f>
        <v>0</v>
      </c>
      <c r="AQ54" t="str">
        <f>_xlfn.TEXTAFTER(emissions[[#This Row],[Reporting Unit]]," &gt; ",LEN(emissions[[#This Row],[Reporting Unit]])-LEN(SUBSTITUTE(emissions[[#This Row],[Reporting Unit]],"&gt;","")))</f>
        <v>Vantage_Mumbai</v>
      </c>
      <c r="AR54" t="str">
        <f>_xlfn.XLOOKUP(emissions[[#This Row],[Reporting unit name]],hierarchy!$A:$A,hierarchy!$C:$C)</f>
        <v>Office</v>
      </c>
    </row>
    <row r="55" spans="1:44" hidden="1" x14ac:dyDescent="0.25">
      <c r="A55">
        <v>4984</v>
      </c>
      <c r="B55" t="s">
        <v>144</v>
      </c>
      <c r="C55" t="s">
        <v>501</v>
      </c>
      <c r="D55" t="s">
        <v>599</v>
      </c>
      <c r="E55" s="3">
        <v>44197</v>
      </c>
      <c r="F55" s="3">
        <v>44561</v>
      </c>
      <c r="G55" t="s">
        <v>135</v>
      </c>
      <c r="H55" s="3">
        <v>44197</v>
      </c>
      <c r="I55" s="3">
        <v>44561</v>
      </c>
      <c r="J55" t="s">
        <v>135</v>
      </c>
      <c r="K55">
        <v>0</v>
      </c>
      <c r="L55" t="s">
        <v>140</v>
      </c>
      <c r="M55" t="s">
        <v>82</v>
      </c>
      <c r="O55" t="s">
        <v>600</v>
      </c>
      <c r="P55" t="s">
        <v>550</v>
      </c>
      <c r="Q55">
        <v>2021</v>
      </c>
      <c r="R55" t="s">
        <v>605</v>
      </c>
      <c r="S55" t="s">
        <v>606</v>
      </c>
      <c r="T55" t="s">
        <v>553</v>
      </c>
      <c r="U55" t="b">
        <v>0</v>
      </c>
      <c r="V55" t="s">
        <v>607</v>
      </c>
      <c r="W55" t="s">
        <v>587</v>
      </c>
      <c r="X55" t="s">
        <v>556</v>
      </c>
      <c r="AC55">
        <v>1</v>
      </c>
      <c r="AD55" t="s">
        <v>564</v>
      </c>
      <c r="AE55">
        <v>0</v>
      </c>
      <c r="AF55">
        <v>0.18282000000000001</v>
      </c>
      <c r="AG55" t="s">
        <v>608</v>
      </c>
      <c r="AH55">
        <v>2.9306999999999998E-4</v>
      </c>
      <c r="AI55">
        <v>0</v>
      </c>
      <c r="AJ55" t="s">
        <v>561</v>
      </c>
      <c r="AK55" t="s">
        <v>589</v>
      </c>
      <c r="AL55" t="s">
        <v>603</v>
      </c>
      <c r="AM55">
        <v>2021</v>
      </c>
      <c r="AN55">
        <v>2019</v>
      </c>
      <c r="AO55">
        <f>IF(AND(emissions[[#This Row],[Market-based]]=0,emissions[[#This Row],[Impact Type]]="CO2E"),emissions[[#This Row],[kgCO2e]],0)/1000</f>
        <v>0</v>
      </c>
      <c r="AP55">
        <f>IF(AND(emissions[[#This Row],[Market-based]]=1,OR(emissions[[#This Row],[Impact Type]]="CO2E",emissions[[#This Row],[Impact Type]]="CO2E MKT")),emissions[[#This Row],[kgCO2e]],0)/1000</f>
        <v>0</v>
      </c>
      <c r="AQ55" t="str">
        <f>_xlfn.TEXTAFTER(emissions[[#This Row],[Reporting Unit]]," &gt; ",LEN(emissions[[#This Row],[Reporting Unit]])-LEN(SUBSTITUTE(emissions[[#This Row],[Reporting Unit]],"&gt;","")))</f>
        <v>Vantage_Mumbai</v>
      </c>
      <c r="AR55" t="str">
        <f>_xlfn.XLOOKUP(emissions[[#This Row],[Reporting unit name]],hierarchy!$A:$A,hierarchy!$C:$C)</f>
        <v>Office</v>
      </c>
    </row>
    <row r="56" spans="1:44" hidden="1" x14ac:dyDescent="0.25">
      <c r="A56">
        <v>4984</v>
      </c>
      <c r="B56" t="s">
        <v>144</v>
      </c>
      <c r="C56" t="s">
        <v>501</v>
      </c>
      <c r="D56" t="s">
        <v>599</v>
      </c>
      <c r="E56" s="3">
        <v>44197</v>
      </c>
      <c r="F56" s="3">
        <v>44561</v>
      </c>
      <c r="G56" t="s">
        <v>135</v>
      </c>
      <c r="H56" s="3">
        <v>44197</v>
      </c>
      <c r="I56" s="3">
        <v>44561</v>
      </c>
      <c r="J56" t="s">
        <v>135</v>
      </c>
      <c r="K56">
        <v>0</v>
      </c>
      <c r="L56" t="s">
        <v>140</v>
      </c>
      <c r="M56" t="s">
        <v>82</v>
      </c>
      <c r="O56" t="s">
        <v>600</v>
      </c>
      <c r="P56" t="s">
        <v>550</v>
      </c>
      <c r="Q56">
        <v>2021</v>
      </c>
      <c r="R56" t="s">
        <v>605</v>
      </c>
      <c r="S56" t="s">
        <v>606</v>
      </c>
      <c r="T56" t="s">
        <v>553</v>
      </c>
      <c r="U56" t="b">
        <v>0</v>
      </c>
      <c r="V56" t="s">
        <v>607</v>
      </c>
      <c r="W56" t="s">
        <v>587</v>
      </c>
      <c r="X56" t="s">
        <v>556</v>
      </c>
      <c r="AC56">
        <v>1</v>
      </c>
      <c r="AD56" t="s">
        <v>565</v>
      </c>
      <c r="AE56">
        <v>0</v>
      </c>
      <c r="AF56">
        <v>0.18317</v>
      </c>
      <c r="AG56" t="s">
        <v>608</v>
      </c>
      <c r="AH56">
        <v>2.9306999999999998E-4</v>
      </c>
      <c r="AI56">
        <v>0</v>
      </c>
      <c r="AJ56" t="s">
        <v>561</v>
      </c>
      <c r="AK56" t="s">
        <v>589</v>
      </c>
      <c r="AL56" t="s">
        <v>603</v>
      </c>
      <c r="AM56">
        <v>2021</v>
      </c>
      <c r="AN56">
        <v>2019</v>
      </c>
      <c r="AO56">
        <f>IF(AND(emissions[[#This Row],[Market-based]]=0,emissions[[#This Row],[Impact Type]]="CO2E"),emissions[[#This Row],[kgCO2e]],0)/1000</f>
        <v>0</v>
      </c>
      <c r="AP56">
        <f>IF(AND(emissions[[#This Row],[Market-based]]=1,OR(emissions[[#This Row],[Impact Type]]="CO2E",emissions[[#This Row],[Impact Type]]="CO2E MKT")),emissions[[#This Row],[kgCO2e]],0)/1000</f>
        <v>0</v>
      </c>
      <c r="AQ56" t="str">
        <f>_xlfn.TEXTAFTER(emissions[[#This Row],[Reporting Unit]]," &gt; ",LEN(emissions[[#This Row],[Reporting Unit]])-LEN(SUBSTITUTE(emissions[[#This Row],[Reporting Unit]],"&gt;","")))</f>
        <v>Vantage_Mumbai</v>
      </c>
      <c r="AR56" t="str">
        <f>_xlfn.XLOOKUP(emissions[[#This Row],[Reporting unit name]],hierarchy!$A:$A,hierarchy!$C:$C)</f>
        <v>Office</v>
      </c>
    </row>
    <row r="57" spans="1:44" hidden="1" x14ac:dyDescent="0.25">
      <c r="A57">
        <v>4984</v>
      </c>
      <c r="B57" t="s">
        <v>144</v>
      </c>
      <c r="C57" t="s">
        <v>501</v>
      </c>
      <c r="D57" t="s">
        <v>599</v>
      </c>
      <c r="E57" s="3">
        <v>44197</v>
      </c>
      <c r="F57" s="3">
        <v>44561</v>
      </c>
      <c r="G57" t="s">
        <v>135</v>
      </c>
      <c r="H57" s="3">
        <v>44197</v>
      </c>
      <c r="I57" s="3">
        <v>44561</v>
      </c>
      <c r="J57" t="s">
        <v>135</v>
      </c>
      <c r="K57">
        <v>0</v>
      </c>
      <c r="L57" t="s">
        <v>140</v>
      </c>
      <c r="M57" t="s">
        <v>82</v>
      </c>
      <c r="O57" t="s">
        <v>600</v>
      </c>
      <c r="P57" t="s">
        <v>550</v>
      </c>
      <c r="Q57">
        <v>2021</v>
      </c>
      <c r="R57" t="s">
        <v>605</v>
      </c>
      <c r="S57" t="s">
        <v>606</v>
      </c>
      <c r="T57" t="s">
        <v>553</v>
      </c>
      <c r="U57" t="b">
        <v>0</v>
      </c>
      <c r="V57" t="s">
        <v>607</v>
      </c>
      <c r="W57" t="s">
        <v>587</v>
      </c>
      <c r="X57" t="s">
        <v>556</v>
      </c>
      <c r="AC57">
        <v>1</v>
      </c>
      <c r="AD57" t="s">
        <v>566</v>
      </c>
      <c r="AE57">
        <v>0</v>
      </c>
      <c r="AF57">
        <v>1E-4</v>
      </c>
      <c r="AG57" t="s">
        <v>608</v>
      </c>
      <c r="AH57">
        <v>2.9306999999999998E-4</v>
      </c>
      <c r="AI57">
        <v>0</v>
      </c>
      <c r="AJ57" t="s">
        <v>561</v>
      </c>
      <c r="AK57" t="s">
        <v>589</v>
      </c>
      <c r="AL57" t="s">
        <v>603</v>
      </c>
      <c r="AM57">
        <v>2021</v>
      </c>
      <c r="AN57">
        <v>2019</v>
      </c>
      <c r="AO57">
        <f>IF(AND(emissions[[#This Row],[Market-based]]=0,emissions[[#This Row],[Impact Type]]="CO2E"),emissions[[#This Row],[kgCO2e]],0)/1000</f>
        <v>0</v>
      </c>
      <c r="AP57">
        <f>IF(AND(emissions[[#This Row],[Market-based]]=1,OR(emissions[[#This Row],[Impact Type]]="CO2E",emissions[[#This Row],[Impact Type]]="CO2E MKT")),emissions[[#This Row],[kgCO2e]],0)/1000</f>
        <v>0</v>
      </c>
      <c r="AQ57" t="str">
        <f>_xlfn.TEXTAFTER(emissions[[#This Row],[Reporting Unit]]," &gt; ",LEN(emissions[[#This Row],[Reporting Unit]])-LEN(SUBSTITUTE(emissions[[#This Row],[Reporting Unit]],"&gt;","")))</f>
        <v>Vantage_Mumbai</v>
      </c>
      <c r="AR57" t="str">
        <f>_xlfn.XLOOKUP(emissions[[#This Row],[Reporting unit name]],hierarchy!$A:$A,hierarchy!$C:$C)</f>
        <v>Office</v>
      </c>
    </row>
    <row r="58" spans="1:44" hidden="1" x14ac:dyDescent="0.25">
      <c r="A58">
        <v>4984</v>
      </c>
      <c r="B58" t="s">
        <v>144</v>
      </c>
      <c r="C58" t="s">
        <v>501</v>
      </c>
      <c r="D58" t="s">
        <v>599</v>
      </c>
      <c r="E58" s="3">
        <v>44197</v>
      </c>
      <c r="F58" s="3">
        <v>44561</v>
      </c>
      <c r="G58" t="s">
        <v>135</v>
      </c>
      <c r="H58" s="3">
        <v>44197</v>
      </c>
      <c r="I58" s="3">
        <v>44561</v>
      </c>
      <c r="J58" t="s">
        <v>135</v>
      </c>
      <c r="K58">
        <v>0</v>
      </c>
      <c r="L58" t="s">
        <v>140</v>
      </c>
      <c r="M58" t="s">
        <v>82</v>
      </c>
      <c r="O58" t="s">
        <v>600</v>
      </c>
      <c r="P58" t="s">
        <v>550</v>
      </c>
      <c r="Q58">
        <v>2021</v>
      </c>
      <c r="R58" t="s">
        <v>609</v>
      </c>
      <c r="S58" t="s">
        <v>610</v>
      </c>
      <c r="T58" t="s">
        <v>577</v>
      </c>
      <c r="U58" t="b">
        <v>0</v>
      </c>
      <c r="V58" t="s">
        <v>611</v>
      </c>
      <c r="W58" t="s">
        <v>571</v>
      </c>
      <c r="X58" t="s">
        <v>572</v>
      </c>
      <c r="AC58">
        <v>0</v>
      </c>
      <c r="AD58" t="s">
        <v>565</v>
      </c>
      <c r="AE58">
        <v>0</v>
      </c>
      <c r="AF58">
        <v>3.1350000000000003E-2</v>
      </c>
      <c r="AG58" t="s">
        <v>608</v>
      </c>
      <c r="AH58">
        <v>2.9306999999999998E-4</v>
      </c>
      <c r="AI58">
        <v>0</v>
      </c>
      <c r="AJ58" t="s">
        <v>561</v>
      </c>
      <c r="AK58" t="s">
        <v>589</v>
      </c>
      <c r="AL58" t="s">
        <v>603</v>
      </c>
      <c r="AM58">
        <v>2021</v>
      </c>
      <c r="AN58">
        <v>2019</v>
      </c>
      <c r="AO58">
        <f>IF(AND(emissions[[#This Row],[Market-based]]=0,emissions[[#This Row],[Impact Type]]="CO2E"),emissions[[#This Row],[kgCO2e]],0)/1000</f>
        <v>0</v>
      </c>
      <c r="AP58">
        <f>IF(AND(emissions[[#This Row],[Market-based]]=1,OR(emissions[[#This Row],[Impact Type]]="CO2E",emissions[[#This Row],[Impact Type]]="CO2E MKT")),emissions[[#This Row],[kgCO2e]],0)/1000</f>
        <v>0</v>
      </c>
      <c r="AQ58" t="str">
        <f>_xlfn.TEXTAFTER(emissions[[#This Row],[Reporting Unit]]," &gt; ",LEN(emissions[[#This Row],[Reporting Unit]])-LEN(SUBSTITUTE(emissions[[#This Row],[Reporting Unit]],"&gt;","")))</f>
        <v>Vantage_Mumbai</v>
      </c>
      <c r="AR58" t="str">
        <f>_xlfn.XLOOKUP(emissions[[#This Row],[Reporting unit name]],hierarchy!$A:$A,hierarchy!$C:$C)</f>
        <v>Office</v>
      </c>
    </row>
    <row r="59" spans="1:44" hidden="1" x14ac:dyDescent="0.25">
      <c r="A59">
        <v>4984</v>
      </c>
      <c r="B59" t="s">
        <v>144</v>
      </c>
      <c r="C59" t="s">
        <v>501</v>
      </c>
      <c r="D59" t="s">
        <v>599</v>
      </c>
      <c r="E59" s="3">
        <v>44197</v>
      </c>
      <c r="F59" s="3">
        <v>44561</v>
      </c>
      <c r="G59" t="s">
        <v>135</v>
      </c>
      <c r="H59" s="3">
        <v>44197</v>
      </c>
      <c r="I59" s="3">
        <v>44561</v>
      </c>
      <c r="J59" t="s">
        <v>135</v>
      </c>
      <c r="K59">
        <v>0</v>
      </c>
      <c r="L59" t="s">
        <v>140</v>
      </c>
      <c r="M59" t="s">
        <v>82</v>
      </c>
      <c r="O59" t="s">
        <v>600</v>
      </c>
      <c r="P59" t="s">
        <v>550</v>
      </c>
      <c r="Q59">
        <v>2021</v>
      </c>
      <c r="R59" t="s">
        <v>609</v>
      </c>
      <c r="S59" t="s">
        <v>610</v>
      </c>
      <c r="T59" t="s">
        <v>577</v>
      </c>
      <c r="U59" t="b">
        <v>0</v>
      </c>
      <c r="V59" t="s">
        <v>611</v>
      </c>
      <c r="W59" t="s">
        <v>571</v>
      </c>
      <c r="X59" t="s">
        <v>572</v>
      </c>
      <c r="AC59">
        <v>1</v>
      </c>
      <c r="AD59" t="s">
        <v>565</v>
      </c>
      <c r="AE59">
        <v>0</v>
      </c>
      <c r="AF59">
        <v>3.1350000000000003E-2</v>
      </c>
      <c r="AG59" t="s">
        <v>608</v>
      </c>
      <c r="AH59">
        <v>2.9306999999999998E-4</v>
      </c>
      <c r="AI59">
        <v>0</v>
      </c>
      <c r="AJ59" t="s">
        <v>561</v>
      </c>
      <c r="AK59" t="s">
        <v>589</v>
      </c>
      <c r="AL59" t="s">
        <v>603</v>
      </c>
      <c r="AM59">
        <v>2021</v>
      </c>
      <c r="AN59">
        <v>2019</v>
      </c>
      <c r="AO59">
        <f>IF(AND(emissions[[#This Row],[Market-based]]=0,emissions[[#This Row],[Impact Type]]="CO2E"),emissions[[#This Row],[kgCO2e]],0)/1000</f>
        <v>0</v>
      </c>
      <c r="AP59">
        <f>IF(AND(emissions[[#This Row],[Market-based]]=1,OR(emissions[[#This Row],[Impact Type]]="CO2E",emissions[[#This Row],[Impact Type]]="CO2E MKT")),emissions[[#This Row],[kgCO2e]],0)/1000</f>
        <v>0</v>
      </c>
      <c r="AQ59" t="str">
        <f>_xlfn.TEXTAFTER(emissions[[#This Row],[Reporting Unit]]," &gt; ",LEN(emissions[[#This Row],[Reporting Unit]])-LEN(SUBSTITUTE(emissions[[#This Row],[Reporting Unit]],"&gt;","")))</f>
        <v>Vantage_Mumbai</v>
      </c>
      <c r="AR59" t="str">
        <f>_xlfn.XLOOKUP(emissions[[#This Row],[Reporting unit name]],hierarchy!$A:$A,hierarchy!$C:$C)</f>
        <v>Office</v>
      </c>
    </row>
    <row r="60" spans="1:44" hidden="1" x14ac:dyDescent="0.25">
      <c r="A60">
        <v>5018</v>
      </c>
      <c r="B60" t="s">
        <v>144</v>
      </c>
      <c r="C60" t="s">
        <v>501</v>
      </c>
      <c r="D60" t="s">
        <v>599</v>
      </c>
      <c r="E60" s="3">
        <v>44197</v>
      </c>
      <c r="F60" s="3">
        <v>44561</v>
      </c>
      <c r="G60" t="s">
        <v>141</v>
      </c>
      <c r="H60" s="3">
        <v>44197</v>
      </c>
      <c r="I60" s="3">
        <v>44561</v>
      </c>
      <c r="J60" t="s">
        <v>142</v>
      </c>
      <c r="K60">
        <v>0</v>
      </c>
      <c r="L60" t="s">
        <v>143</v>
      </c>
      <c r="M60" t="s">
        <v>82</v>
      </c>
      <c r="O60" t="s">
        <v>600</v>
      </c>
      <c r="P60" t="s">
        <v>550</v>
      </c>
      <c r="Q60">
        <v>2021</v>
      </c>
      <c r="R60" t="s">
        <v>612</v>
      </c>
      <c r="S60" t="s">
        <v>613</v>
      </c>
      <c r="T60" t="s">
        <v>553</v>
      </c>
      <c r="U60" t="b">
        <v>0</v>
      </c>
      <c r="V60" t="s">
        <v>614</v>
      </c>
      <c r="W60" t="s">
        <v>587</v>
      </c>
      <c r="X60" t="s">
        <v>556</v>
      </c>
      <c r="AC60">
        <v>0</v>
      </c>
      <c r="AD60" t="s">
        <v>558</v>
      </c>
      <c r="AE60">
        <v>0</v>
      </c>
      <c r="AF60">
        <v>2.5999999999999998E-4</v>
      </c>
      <c r="AG60" t="s">
        <v>588</v>
      </c>
      <c r="AH60">
        <v>1</v>
      </c>
      <c r="AI60">
        <v>0</v>
      </c>
      <c r="AJ60" t="s">
        <v>561</v>
      </c>
      <c r="AK60" t="s">
        <v>589</v>
      </c>
      <c r="AL60" t="s">
        <v>603</v>
      </c>
      <c r="AM60">
        <v>2021</v>
      </c>
      <c r="AN60">
        <v>2019</v>
      </c>
      <c r="AO60">
        <f>IF(AND(emissions[[#This Row],[Market-based]]=0,emissions[[#This Row],[Impact Type]]="CO2E"),emissions[[#This Row],[kgCO2e]],0)/1000</f>
        <v>0</v>
      </c>
      <c r="AP60">
        <f>IF(AND(emissions[[#This Row],[Market-based]]=1,OR(emissions[[#This Row],[Impact Type]]="CO2E",emissions[[#This Row],[Impact Type]]="CO2E MKT")),emissions[[#This Row],[kgCO2e]],0)/1000</f>
        <v>0</v>
      </c>
      <c r="AQ60" t="str">
        <f>_xlfn.TEXTAFTER(emissions[[#This Row],[Reporting Unit]]," &gt; ",LEN(emissions[[#This Row],[Reporting Unit]])-LEN(SUBSTITUTE(emissions[[#This Row],[Reporting Unit]],"&gt;","")))</f>
        <v>Vantage_Mumbai</v>
      </c>
      <c r="AR60" t="str">
        <f>_xlfn.XLOOKUP(emissions[[#This Row],[Reporting unit name]],hierarchy!$A:$A,hierarchy!$C:$C)</f>
        <v>Office</v>
      </c>
    </row>
    <row r="61" spans="1:44" hidden="1" x14ac:dyDescent="0.25">
      <c r="A61">
        <v>5018</v>
      </c>
      <c r="B61" t="s">
        <v>144</v>
      </c>
      <c r="C61" t="s">
        <v>501</v>
      </c>
      <c r="D61" t="s">
        <v>599</v>
      </c>
      <c r="E61" s="3">
        <v>44197</v>
      </c>
      <c r="F61" s="3">
        <v>44561</v>
      </c>
      <c r="G61" t="s">
        <v>141</v>
      </c>
      <c r="H61" s="3">
        <v>44197</v>
      </c>
      <c r="I61" s="3">
        <v>44561</v>
      </c>
      <c r="J61" t="s">
        <v>142</v>
      </c>
      <c r="K61">
        <v>0</v>
      </c>
      <c r="L61" t="s">
        <v>143</v>
      </c>
      <c r="M61" t="s">
        <v>82</v>
      </c>
      <c r="O61" t="s">
        <v>600</v>
      </c>
      <c r="P61" t="s">
        <v>550</v>
      </c>
      <c r="Q61">
        <v>2021</v>
      </c>
      <c r="R61" t="s">
        <v>612</v>
      </c>
      <c r="S61" t="s">
        <v>613</v>
      </c>
      <c r="T61" t="s">
        <v>553</v>
      </c>
      <c r="U61" t="b">
        <v>0</v>
      </c>
      <c r="V61" t="s">
        <v>614</v>
      </c>
      <c r="W61" t="s">
        <v>587</v>
      </c>
      <c r="X61" t="s">
        <v>556</v>
      </c>
      <c r="AC61">
        <v>0</v>
      </c>
      <c r="AD61" t="s">
        <v>564</v>
      </c>
      <c r="AE61">
        <v>0</v>
      </c>
      <c r="AF61">
        <v>2.6680700000000002</v>
      </c>
      <c r="AG61" t="s">
        <v>588</v>
      </c>
      <c r="AH61">
        <v>1</v>
      </c>
      <c r="AI61">
        <v>0</v>
      </c>
      <c r="AJ61" t="s">
        <v>561</v>
      </c>
      <c r="AK61" t="s">
        <v>589</v>
      </c>
      <c r="AL61" t="s">
        <v>603</v>
      </c>
      <c r="AM61">
        <v>2021</v>
      </c>
      <c r="AN61">
        <v>2019</v>
      </c>
      <c r="AO61">
        <f>IF(AND(emissions[[#This Row],[Market-based]]=0,emissions[[#This Row],[Impact Type]]="CO2E"),emissions[[#This Row],[kgCO2e]],0)/1000</f>
        <v>0</v>
      </c>
      <c r="AP61">
        <f>IF(AND(emissions[[#This Row],[Market-based]]=1,OR(emissions[[#This Row],[Impact Type]]="CO2E",emissions[[#This Row],[Impact Type]]="CO2E MKT")),emissions[[#This Row],[kgCO2e]],0)/1000</f>
        <v>0</v>
      </c>
      <c r="AQ61" t="str">
        <f>_xlfn.TEXTAFTER(emissions[[#This Row],[Reporting Unit]]," &gt; ",LEN(emissions[[#This Row],[Reporting Unit]])-LEN(SUBSTITUTE(emissions[[#This Row],[Reporting Unit]],"&gt;","")))</f>
        <v>Vantage_Mumbai</v>
      </c>
      <c r="AR61" t="str">
        <f>_xlfn.XLOOKUP(emissions[[#This Row],[Reporting unit name]],hierarchy!$A:$A,hierarchy!$C:$C)</f>
        <v>Office</v>
      </c>
    </row>
    <row r="62" spans="1:44" hidden="1" x14ac:dyDescent="0.25">
      <c r="A62">
        <v>5018</v>
      </c>
      <c r="B62" t="s">
        <v>144</v>
      </c>
      <c r="C62" t="s">
        <v>501</v>
      </c>
      <c r="D62" t="s">
        <v>599</v>
      </c>
      <c r="E62" s="3">
        <v>44197</v>
      </c>
      <c r="F62" s="3">
        <v>44561</v>
      </c>
      <c r="G62" t="s">
        <v>141</v>
      </c>
      <c r="H62" s="3">
        <v>44197</v>
      </c>
      <c r="I62" s="3">
        <v>44561</v>
      </c>
      <c r="J62" t="s">
        <v>142</v>
      </c>
      <c r="K62">
        <v>0</v>
      </c>
      <c r="L62" t="s">
        <v>143</v>
      </c>
      <c r="M62" t="s">
        <v>82</v>
      </c>
      <c r="O62" t="s">
        <v>600</v>
      </c>
      <c r="P62" t="s">
        <v>550</v>
      </c>
      <c r="Q62">
        <v>2021</v>
      </c>
      <c r="R62" t="s">
        <v>612</v>
      </c>
      <c r="S62" t="s">
        <v>613</v>
      </c>
      <c r="T62" t="s">
        <v>553</v>
      </c>
      <c r="U62" t="b">
        <v>0</v>
      </c>
      <c r="V62" t="s">
        <v>614</v>
      </c>
      <c r="W62" t="s">
        <v>587</v>
      </c>
      <c r="X62" t="s">
        <v>556</v>
      </c>
      <c r="AC62">
        <v>0</v>
      </c>
      <c r="AD62" t="s">
        <v>565</v>
      </c>
      <c r="AE62">
        <v>0</v>
      </c>
      <c r="AF62">
        <v>2.70553</v>
      </c>
      <c r="AG62" t="s">
        <v>588</v>
      </c>
      <c r="AH62">
        <v>1</v>
      </c>
      <c r="AI62">
        <v>0</v>
      </c>
      <c r="AJ62" t="s">
        <v>561</v>
      </c>
      <c r="AK62" t="s">
        <v>589</v>
      </c>
      <c r="AL62" t="s">
        <v>603</v>
      </c>
      <c r="AM62">
        <v>2021</v>
      </c>
      <c r="AN62">
        <v>2019</v>
      </c>
      <c r="AO62">
        <f>IF(AND(emissions[[#This Row],[Market-based]]=0,emissions[[#This Row],[Impact Type]]="CO2E"),emissions[[#This Row],[kgCO2e]],0)/1000</f>
        <v>0</v>
      </c>
      <c r="AP62">
        <f>IF(AND(emissions[[#This Row],[Market-based]]=1,OR(emissions[[#This Row],[Impact Type]]="CO2E",emissions[[#This Row],[Impact Type]]="CO2E MKT")),emissions[[#This Row],[kgCO2e]],0)/1000</f>
        <v>0</v>
      </c>
      <c r="AQ62" t="str">
        <f>_xlfn.TEXTAFTER(emissions[[#This Row],[Reporting Unit]]," &gt; ",LEN(emissions[[#This Row],[Reporting Unit]])-LEN(SUBSTITUTE(emissions[[#This Row],[Reporting Unit]],"&gt;","")))</f>
        <v>Vantage_Mumbai</v>
      </c>
      <c r="AR62" t="str">
        <f>_xlfn.XLOOKUP(emissions[[#This Row],[Reporting unit name]],hierarchy!$A:$A,hierarchy!$C:$C)</f>
        <v>Office</v>
      </c>
    </row>
    <row r="63" spans="1:44" hidden="1" x14ac:dyDescent="0.25">
      <c r="A63">
        <v>5018</v>
      </c>
      <c r="B63" t="s">
        <v>144</v>
      </c>
      <c r="C63" t="s">
        <v>501</v>
      </c>
      <c r="D63" t="s">
        <v>599</v>
      </c>
      <c r="E63" s="3">
        <v>44197</v>
      </c>
      <c r="F63" s="3">
        <v>44561</v>
      </c>
      <c r="G63" t="s">
        <v>141</v>
      </c>
      <c r="H63" s="3">
        <v>44197</v>
      </c>
      <c r="I63" s="3">
        <v>44561</v>
      </c>
      <c r="J63" t="s">
        <v>142</v>
      </c>
      <c r="K63">
        <v>0</v>
      </c>
      <c r="L63" t="s">
        <v>143</v>
      </c>
      <c r="M63" t="s">
        <v>82</v>
      </c>
      <c r="O63" t="s">
        <v>600</v>
      </c>
      <c r="P63" t="s">
        <v>550</v>
      </c>
      <c r="Q63">
        <v>2021</v>
      </c>
      <c r="R63" t="s">
        <v>612</v>
      </c>
      <c r="S63" t="s">
        <v>613</v>
      </c>
      <c r="T63" t="s">
        <v>553</v>
      </c>
      <c r="U63" t="b">
        <v>0</v>
      </c>
      <c r="V63" t="s">
        <v>614</v>
      </c>
      <c r="W63" t="s">
        <v>587</v>
      </c>
      <c r="X63" t="s">
        <v>556</v>
      </c>
      <c r="AC63">
        <v>0</v>
      </c>
      <c r="AD63" t="s">
        <v>566</v>
      </c>
      <c r="AE63">
        <v>0</v>
      </c>
      <c r="AF63">
        <v>3.7199999999999997E-2</v>
      </c>
      <c r="AG63" t="s">
        <v>588</v>
      </c>
      <c r="AH63">
        <v>1</v>
      </c>
      <c r="AI63">
        <v>0</v>
      </c>
      <c r="AJ63" t="s">
        <v>561</v>
      </c>
      <c r="AK63" t="s">
        <v>589</v>
      </c>
      <c r="AL63" t="s">
        <v>603</v>
      </c>
      <c r="AM63">
        <v>2021</v>
      </c>
      <c r="AN63">
        <v>2019</v>
      </c>
      <c r="AO63">
        <f>IF(AND(emissions[[#This Row],[Market-based]]=0,emissions[[#This Row],[Impact Type]]="CO2E"),emissions[[#This Row],[kgCO2e]],0)/1000</f>
        <v>0</v>
      </c>
      <c r="AP63">
        <f>IF(AND(emissions[[#This Row],[Market-based]]=1,OR(emissions[[#This Row],[Impact Type]]="CO2E",emissions[[#This Row],[Impact Type]]="CO2E MKT")),emissions[[#This Row],[kgCO2e]],0)/1000</f>
        <v>0</v>
      </c>
      <c r="AQ63" t="str">
        <f>_xlfn.TEXTAFTER(emissions[[#This Row],[Reporting Unit]]," &gt; ",LEN(emissions[[#This Row],[Reporting Unit]])-LEN(SUBSTITUTE(emissions[[#This Row],[Reporting Unit]],"&gt;","")))</f>
        <v>Vantage_Mumbai</v>
      </c>
      <c r="AR63" t="str">
        <f>_xlfn.XLOOKUP(emissions[[#This Row],[Reporting unit name]],hierarchy!$A:$A,hierarchy!$C:$C)</f>
        <v>Office</v>
      </c>
    </row>
    <row r="64" spans="1:44" hidden="1" x14ac:dyDescent="0.25">
      <c r="A64">
        <v>5018</v>
      </c>
      <c r="B64" t="s">
        <v>144</v>
      </c>
      <c r="C64" t="s">
        <v>501</v>
      </c>
      <c r="D64" t="s">
        <v>599</v>
      </c>
      <c r="E64" s="3">
        <v>44197</v>
      </c>
      <c r="F64" s="3">
        <v>44561</v>
      </c>
      <c r="G64" t="s">
        <v>141</v>
      </c>
      <c r="H64" s="3">
        <v>44197</v>
      </c>
      <c r="I64" s="3">
        <v>44561</v>
      </c>
      <c r="J64" t="s">
        <v>142</v>
      </c>
      <c r="K64">
        <v>0</v>
      </c>
      <c r="L64" t="s">
        <v>143</v>
      </c>
      <c r="M64" t="s">
        <v>82</v>
      </c>
      <c r="O64" t="s">
        <v>600</v>
      </c>
      <c r="P64" t="s">
        <v>550</v>
      </c>
      <c r="Q64">
        <v>2021</v>
      </c>
      <c r="R64" t="s">
        <v>612</v>
      </c>
      <c r="S64" t="s">
        <v>613</v>
      </c>
      <c r="T64" t="s">
        <v>553</v>
      </c>
      <c r="U64" t="b">
        <v>0</v>
      </c>
      <c r="V64" t="s">
        <v>614</v>
      </c>
      <c r="W64" t="s">
        <v>587</v>
      </c>
      <c r="X64" t="s">
        <v>556</v>
      </c>
      <c r="AC64">
        <v>1</v>
      </c>
      <c r="AD64" t="s">
        <v>558</v>
      </c>
      <c r="AE64">
        <v>0</v>
      </c>
      <c r="AF64">
        <v>2.5999999999999998E-4</v>
      </c>
      <c r="AG64" t="s">
        <v>588</v>
      </c>
      <c r="AH64">
        <v>1</v>
      </c>
      <c r="AI64">
        <v>0</v>
      </c>
      <c r="AJ64" t="s">
        <v>561</v>
      </c>
      <c r="AK64" t="s">
        <v>589</v>
      </c>
      <c r="AL64" t="s">
        <v>603</v>
      </c>
      <c r="AM64">
        <v>2021</v>
      </c>
      <c r="AN64">
        <v>2019</v>
      </c>
      <c r="AO64">
        <f>IF(AND(emissions[[#This Row],[Market-based]]=0,emissions[[#This Row],[Impact Type]]="CO2E"),emissions[[#This Row],[kgCO2e]],0)/1000</f>
        <v>0</v>
      </c>
      <c r="AP64">
        <f>IF(AND(emissions[[#This Row],[Market-based]]=1,OR(emissions[[#This Row],[Impact Type]]="CO2E",emissions[[#This Row],[Impact Type]]="CO2E MKT")),emissions[[#This Row],[kgCO2e]],0)/1000</f>
        <v>0</v>
      </c>
      <c r="AQ64" t="str">
        <f>_xlfn.TEXTAFTER(emissions[[#This Row],[Reporting Unit]]," &gt; ",LEN(emissions[[#This Row],[Reporting Unit]])-LEN(SUBSTITUTE(emissions[[#This Row],[Reporting Unit]],"&gt;","")))</f>
        <v>Vantage_Mumbai</v>
      </c>
      <c r="AR64" t="str">
        <f>_xlfn.XLOOKUP(emissions[[#This Row],[Reporting unit name]],hierarchy!$A:$A,hierarchy!$C:$C)</f>
        <v>Office</v>
      </c>
    </row>
    <row r="65" spans="1:44" hidden="1" x14ac:dyDescent="0.25">
      <c r="A65">
        <v>5018</v>
      </c>
      <c r="B65" t="s">
        <v>144</v>
      </c>
      <c r="C65" t="s">
        <v>501</v>
      </c>
      <c r="D65" t="s">
        <v>599</v>
      </c>
      <c r="E65" s="3">
        <v>44197</v>
      </c>
      <c r="F65" s="3">
        <v>44561</v>
      </c>
      <c r="G65" t="s">
        <v>141</v>
      </c>
      <c r="H65" s="3">
        <v>44197</v>
      </c>
      <c r="I65" s="3">
        <v>44561</v>
      </c>
      <c r="J65" t="s">
        <v>142</v>
      </c>
      <c r="K65">
        <v>0</v>
      </c>
      <c r="L65" t="s">
        <v>143</v>
      </c>
      <c r="M65" t="s">
        <v>82</v>
      </c>
      <c r="O65" t="s">
        <v>600</v>
      </c>
      <c r="P65" t="s">
        <v>550</v>
      </c>
      <c r="Q65">
        <v>2021</v>
      </c>
      <c r="R65" t="s">
        <v>612</v>
      </c>
      <c r="S65" t="s">
        <v>613</v>
      </c>
      <c r="T65" t="s">
        <v>553</v>
      </c>
      <c r="U65" t="b">
        <v>0</v>
      </c>
      <c r="V65" t="s">
        <v>614</v>
      </c>
      <c r="W65" t="s">
        <v>587</v>
      </c>
      <c r="X65" t="s">
        <v>556</v>
      </c>
      <c r="AC65">
        <v>1</v>
      </c>
      <c r="AD65" t="s">
        <v>564</v>
      </c>
      <c r="AE65">
        <v>0</v>
      </c>
      <c r="AF65">
        <v>2.6680700000000002</v>
      </c>
      <c r="AG65" t="s">
        <v>588</v>
      </c>
      <c r="AH65">
        <v>1</v>
      </c>
      <c r="AI65">
        <v>0</v>
      </c>
      <c r="AJ65" t="s">
        <v>561</v>
      </c>
      <c r="AK65" t="s">
        <v>589</v>
      </c>
      <c r="AL65" t="s">
        <v>603</v>
      </c>
      <c r="AM65">
        <v>2021</v>
      </c>
      <c r="AN65">
        <v>2019</v>
      </c>
      <c r="AO65">
        <f>IF(AND(emissions[[#This Row],[Market-based]]=0,emissions[[#This Row],[Impact Type]]="CO2E"),emissions[[#This Row],[kgCO2e]],0)/1000</f>
        <v>0</v>
      </c>
      <c r="AP65">
        <f>IF(AND(emissions[[#This Row],[Market-based]]=1,OR(emissions[[#This Row],[Impact Type]]="CO2E",emissions[[#This Row],[Impact Type]]="CO2E MKT")),emissions[[#This Row],[kgCO2e]],0)/1000</f>
        <v>0</v>
      </c>
      <c r="AQ65" t="str">
        <f>_xlfn.TEXTAFTER(emissions[[#This Row],[Reporting Unit]]," &gt; ",LEN(emissions[[#This Row],[Reporting Unit]])-LEN(SUBSTITUTE(emissions[[#This Row],[Reporting Unit]],"&gt;","")))</f>
        <v>Vantage_Mumbai</v>
      </c>
      <c r="AR65" t="str">
        <f>_xlfn.XLOOKUP(emissions[[#This Row],[Reporting unit name]],hierarchy!$A:$A,hierarchy!$C:$C)</f>
        <v>Office</v>
      </c>
    </row>
    <row r="66" spans="1:44" hidden="1" x14ac:dyDescent="0.25">
      <c r="A66">
        <v>5018</v>
      </c>
      <c r="B66" t="s">
        <v>144</v>
      </c>
      <c r="C66" t="s">
        <v>501</v>
      </c>
      <c r="D66" t="s">
        <v>599</v>
      </c>
      <c r="E66" s="3">
        <v>44197</v>
      </c>
      <c r="F66" s="3">
        <v>44561</v>
      </c>
      <c r="G66" t="s">
        <v>141</v>
      </c>
      <c r="H66" s="3">
        <v>44197</v>
      </c>
      <c r="I66" s="3">
        <v>44561</v>
      </c>
      <c r="J66" t="s">
        <v>142</v>
      </c>
      <c r="K66">
        <v>0</v>
      </c>
      <c r="L66" t="s">
        <v>143</v>
      </c>
      <c r="M66" t="s">
        <v>82</v>
      </c>
      <c r="O66" t="s">
        <v>600</v>
      </c>
      <c r="P66" t="s">
        <v>550</v>
      </c>
      <c r="Q66">
        <v>2021</v>
      </c>
      <c r="R66" t="s">
        <v>612</v>
      </c>
      <c r="S66" t="s">
        <v>613</v>
      </c>
      <c r="T66" t="s">
        <v>553</v>
      </c>
      <c r="U66" t="b">
        <v>0</v>
      </c>
      <c r="V66" t="s">
        <v>614</v>
      </c>
      <c r="W66" t="s">
        <v>587</v>
      </c>
      <c r="X66" t="s">
        <v>556</v>
      </c>
      <c r="AC66">
        <v>1</v>
      </c>
      <c r="AD66" t="s">
        <v>565</v>
      </c>
      <c r="AE66">
        <v>0</v>
      </c>
      <c r="AF66">
        <v>2.70553</v>
      </c>
      <c r="AG66" t="s">
        <v>588</v>
      </c>
      <c r="AH66">
        <v>1</v>
      </c>
      <c r="AI66">
        <v>0</v>
      </c>
      <c r="AJ66" t="s">
        <v>561</v>
      </c>
      <c r="AK66" t="s">
        <v>589</v>
      </c>
      <c r="AL66" t="s">
        <v>603</v>
      </c>
      <c r="AM66">
        <v>2021</v>
      </c>
      <c r="AN66">
        <v>2019</v>
      </c>
      <c r="AO66">
        <f>IF(AND(emissions[[#This Row],[Market-based]]=0,emissions[[#This Row],[Impact Type]]="CO2E"),emissions[[#This Row],[kgCO2e]],0)/1000</f>
        <v>0</v>
      </c>
      <c r="AP66">
        <f>IF(AND(emissions[[#This Row],[Market-based]]=1,OR(emissions[[#This Row],[Impact Type]]="CO2E",emissions[[#This Row],[Impact Type]]="CO2E MKT")),emissions[[#This Row],[kgCO2e]],0)/1000</f>
        <v>0</v>
      </c>
      <c r="AQ66" t="str">
        <f>_xlfn.TEXTAFTER(emissions[[#This Row],[Reporting Unit]]," &gt; ",LEN(emissions[[#This Row],[Reporting Unit]])-LEN(SUBSTITUTE(emissions[[#This Row],[Reporting Unit]],"&gt;","")))</f>
        <v>Vantage_Mumbai</v>
      </c>
      <c r="AR66" t="str">
        <f>_xlfn.XLOOKUP(emissions[[#This Row],[Reporting unit name]],hierarchy!$A:$A,hierarchy!$C:$C)</f>
        <v>Office</v>
      </c>
    </row>
    <row r="67" spans="1:44" hidden="1" x14ac:dyDescent="0.25">
      <c r="A67">
        <v>5018</v>
      </c>
      <c r="B67" t="s">
        <v>144</v>
      </c>
      <c r="C67" t="s">
        <v>501</v>
      </c>
      <c r="D67" t="s">
        <v>599</v>
      </c>
      <c r="E67" s="3">
        <v>44197</v>
      </c>
      <c r="F67" s="3">
        <v>44561</v>
      </c>
      <c r="G67" t="s">
        <v>141</v>
      </c>
      <c r="H67" s="3">
        <v>44197</v>
      </c>
      <c r="I67" s="3">
        <v>44561</v>
      </c>
      <c r="J67" t="s">
        <v>142</v>
      </c>
      <c r="K67">
        <v>0</v>
      </c>
      <c r="L67" t="s">
        <v>143</v>
      </c>
      <c r="M67" t="s">
        <v>82</v>
      </c>
      <c r="O67" t="s">
        <v>600</v>
      </c>
      <c r="P67" t="s">
        <v>550</v>
      </c>
      <c r="Q67">
        <v>2021</v>
      </c>
      <c r="R67" t="s">
        <v>612</v>
      </c>
      <c r="S67" t="s">
        <v>613</v>
      </c>
      <c r="T67" t="s">
        <v>553</v>
      </c>
      <c r="U67" t="b">
        <v>0</v>
      </c>
      <c r="V67" t="s">
        <v>614</v>
      </c>
      <c r="W67" t="s">
        <v>587</v>
      </c>
      <c r="X67" t="s">
        <v>556</v>
      </c>
      <c r="AC67">
        <v>1</v>
      </c>
      <c r="AD67" t="s">
        <v>566</v>
      </c>
      <c r="AE67">
        <v>0</v>
      </c>
      <c r="AF67">
        <v>3.7199999999999997E-2</v>
      </c>
      <c r="AG67" t="s">
        <v>588</v>
      </c>
      <c r="AH67">
        <v>1</v>
      </c>
      <c r="AI67">
        <v>0</v>
      </c>
      <c r="AJ67" t="s">
        <v>561</v>
      </c>
      <c r="AK67" t="s">
        <v>589</v>
      </c>
      <c r="AL67" t="s">
        <v>603</v>
      </c>
      <c r="AM67">
        <v>2021</v>
      </c>
      <c r="AN67">
        <v>2019</v>
      </c>
      <c r="AO67">
        <f>IF(AND(emissions[[#This Row],[Market-based]]=0,emissions[[#This Row],[Impact Type]]="CO2E"),emissions[[#This Row],[kgCO2e]],0)/1000</f>
        <v>0</v>
      </c>
      <c r="AP67">
        <f>IF(AND(emissions[[#This Row],[Market-based]]=1,OR(emissions[[#This Row],[Impact Type]]="CO2E",emissions[[#This Row],[Impact Type]]="CO2E MKT")),emissions[[#This Row],[kgCO2e]],0)/1000</f>
        <v>0</v>
      </c>
      <c r="AQ67" t="str">
        <f>_xlfn.TEXTAFTER(emissions[[#This Row],[Reporting Unit]]," &gt; ",LEN(emissions[[#This Row],[Reporting Unit]])-LEN(SUBSTITUTE(emissions[[#This Row],[Reporting Unit]],"&gt;","")))</f>
        <v>Vantage_Mumbai</v>
      </c>
      <c r="AR67" t="str">
        <f>_xlfn.XLOOKUP(emissions[[#This Row],[Reporting unit name]],hierarchy!$A:$A,hierarchy!$C:$C)</f>
        <v>Office</v>
      </c>
    </row>
    <row r="68" spans="1:44" hidden="1" x14ac:dyDescent="0.25">
      <c r="A68">
        <v>5018</v>
      </c>
      <c r="B68" t="s">
        <v>144</v>
      </c>
      <c r="C68" t="s">
        <v>501</v>
      </c>
      <c r="D68" t="s">
        <v>599</v>
      </c>
      <c r="E68" s="3">
        <v>44197</v>
      </c>
      <c r="F68" s="3">
        <v>44561</v>
      </c>
      <c r="G68" t="s">
        <v>141</v>
      </c>
      <c r="H68" s="3">
        <v>44197</v>
      </c>
      <c r="I68" s="3">
        <v>44561</v>
      </c>
      <c r="J68" t="s">
        <v>142</v>
      </c>
      <c r="K68">
        <v>0</v>
      </c>
      <c r="L68" t="s">
        <v>143</v>
      </c>
      <c r="M68" t="s">
        <v>82</v>
      </c>
      <c r="O68" t="s">
        <v>600</v>
      </c>
      <c r="P68" t="s">
        <v>550</v>
      </c>
      <c r="Q68">
        <v>2021</v>
      </c>
      <c r="R68" t="s">
        <v>615</v>
      </c>
      <c r="S68" t="s">
        <v>616</v>
      </c>
      <c r="T68" t="s">
        <v>577</v>
      </c>
      <c r="U68" t="b">
        <v>0</v>
      </c>
      <c r="V68" t="s">
        <v>617</v>
      </c>
      <c r="W68" t="s">
        <v>571</v>
      </c>
      <c r="X68" t="s">
        <v>572</v>
      </c>
      <c r="AC68">
        <v>0</v>
      </c>
      <c r="AD68" t="s">
        <v>565</v>
      </c>
      <c r="AE68">
        <v>0</v>
      </c>
      <c r="AF68">
        <v>0.62873999999999997</v>
      </c>
      <c r="AG68" t="s">
        <v>588</v>
      </c>
      <c r="AH68">
        <v>1</v>
      </c>
      <c r="AI68">
        <v>0</v>
      </c>
      <c r="AJ68" t="s">
        <v>561</v>
      </c>
      <c r="AK68" t="s">
        <v>589</v>
      </c>
      <c r="AL68" t="s">
        <v>603</v>
      </c>
      <c r="AM68">
        <v>2021</v>
      </c>
      <c r="AN68">
        <v>2019</v>
      </c>
      <c r="AO68">
        <f>IF(AND(emissions[[#This Row],[Market-based]]=0,emissions[[#This Row],[Impact Type]]="CO2E"),emissions[[#This Row],[kgCO2e]],0)/1000</f>
        <v>0</v>
      </c>
      <c r="AP68">
        <f>IF(AND(emissions[[#This Row],[Market-based]]=1,OR(emissions[[#This Row],[Impact Type]]="CO2E",emissions[[#This Row],[Impact Type]]="CO2E MKT")),emissions[[#This Row],[kgCO2e]],0)/1000</f>
        <v>0</v>
      </c>
      <c r="AQ68" t="str">
        <f>_xlfn.TEXTAFTER(emissions[[#This Row],[Reporting Unit]]," &gt; ",LEN(emissions[[#This Row],[Reporting Unit]])-LEN(SUBSTITUTE(emissions[[#This Row],[Reporting Unit]],"&gt;","")))</f>
        <v>Vantage_Mumbai</v>
      </c>
      <c r="AR68" t="str">
        <f>_xlfn.XLOOKUP(emissions[[#This Row],[Reporting unit name]],hierarchy!$A:$A,hierarchy!$C:$C)</f>
        <v>Office</v>
      </c>
    </row>
    <row r="69" spans="1:44" hidden="1" x14ac:dyDescent="0.25">
      <c r="A69">
        <v>5018</v>
      </c>
      <c r="B69" t="s">
        <v>144</v>
      </c>
      <c r="C69" t="s">
        <v>501</v>
      </c>
      <c r="D69" t="s">
        <v>599</v>
      </c>
      <c r="E69" s="3">
        <v>44197</v>
      </c>
      <c r="F69" s="3">
        <v>44561</v>
      </c>
      <c r="G69" t="s">
        <v>141</v>
      </c>
      <c r="H69" s="3">
        <v>44197</v>
      </c>
      <c r="I69" s="3">
        <v>44561</v>
      </c>
      <c r="J69" t="s">
        <v>142</v>
      </c>
      <c r="K69">
        <v>0</v>
      </c>
      <c r="L69" t="s">
        <v>143</v>
      </c>
      <c r="M69" t="s">
        <v>82</v>
      </c>
      <c r="O69" t="s">
        <v>600</v>
      </c>
      <c r="P69" t="s">
        <v>550</v>
      </c>
      <c r="Q69">
        <v>2021</v>
      </c>
      <c r="R69" t="s">
        <v>615</v>
      </c>
      <c r="S69" t="s">
        <v>616</v>
      </c>
      <c r="T69" t="s">
        <v>577</v>
      </c>
      <c r="U69" t="b">
        <v>0</v>
      </c>
      <c r="V69" t="s">
        <v>617</v>
      </c>
      <c r="W69" t="s">
        <v>571</v>
      </c>
      <c r="X69" t="s">
        <v>572</v>
      </c>
      <c r="AC69">
        <v>1</v>
      </c>
      <c r="AD69" t="s">
        <v>565</v>
      </c>
      <c r="AE69">
        <v>0</v>
      </c>
      <c r="AF69">
        <v>0.62873999999999997</v>
      </c>
      <c r="AG69" t="s">
        <v>588</v>
      </c>
      <c r="AH69">
        <v>1</v>
      </c>
      <c r="AI69">
        <v>0</v>
      </c>
      <c r="AJ69" t="s">
        <v>561</v>
      </c>
      <c r="AK69" t="s">
        <v>589</v>
      </c>
      <c r="AL69" t="s">
        <v>603</v>
      </c>
      <c r="AM69">
        <v>2021</v>
      </c>
      <c r="AN69">
        <v>2019</v>
      </c>
      <c r="AO69">
        <f>IF(AND(emissions[[#This Row],[Market-based]]=0,emissions[[#This Row],[Impact Type]]="CO2E"),emissions[[#This Row],[kgCO2e]],0)/1000</f>
        <v>0</v>
      </c>
      <c r="AP69">
        <f>IF(AND(emissions[[#This Row],[Market-based]]=1,OR(emissions[[#This Row],[Impact Type]]="CO2E",emissions[[#This Row],[Impact Type]]="CO2E MKT")),emissions[[#This Row],[kgCO2e]],0)/1000</f>
        <v>0</v>
      </c>
      <c r="AQ69" t="str">
        <f>_xlfn.TEXTAFTER(emissions[[#This Row],[Reporting Unit]]," &gt; ",LEN(emissions[[#This Row],[Reporting Unit]])-LEN(SUBSTITUTE(emissions[[#This Row],[Reporting Unit]],"&gt;","")))</f>
        <v>Vantage_Mumbai</v>
      </c>
      <c r="AR69" t="str">
        <f>_xlfn.XLOOKUP(emissions[[#This Row],[Reporting unit name]],hierarchy!$A:$A,hierarchy!$C:$C)</f>
        <v>Office</v>
      </c>
    </row>
    <row r="70" spans="1:44" hidden="1" x14ac:dyDescent="0.25">
      <c r="A70">
        <v>5043</v>
      </c>
      <c r="B70" t="s">
        <v>144</v>
      </c>
      <c r="C70" t="s">
        <v>501</v>
      </c>
      <c r="D70" t="s">
        <v>599</v>
      </c>
      <c r="E70" s="3">
        <v>44197</v>
      </c>
      <c r="F70" s="3">
        <v>44561</v>
      </c>
      <c r="G70" t="s">
        <v>116</v>
      </c>
      <c r="H70" s="3">
        <v>44197</v>
      </c>
      <c r="I70" s="3">
        <v>44561</v>
      </c>
      <c r="J70" t="s">
        <v>128</v>
      </c>
      <c r="K70">
        <v>6.4600000000000005E-2</v>
      </c>
      <c r="L70" t="s">
        <v>118</v>
      </c>
      <c r="M70" t="s">
        <v>82</v>
      </c>
      <c r="O70" t="s">
        <v>618</v>
      </c>
      <c r="P70" t="s">
        <v>550</v>
      </c>
      <c r="Q70">
        <v>2021</v>
      </c>
      <c r="R70" t="s">
        <v>619</v>
      </c>
      <c r="S70" t="s">
        <v>620</v>
      </c>
      <c r="T70" t="s">
        <v>553</v>
      </c>
      <c r="U70" t="b">
        <v>0</v>
      </c>
      <c r="V70" t="s">
        <v>621</v>
      </c>
      <c r="W70" t="s">
        <v>587</v>
      </c>
      <c r="X70" t="s">
        <v>556</v>
      </c>
      <c r="AC70">
        <v>0</v>
      </c>
      <c r="AD70" t="s">
        <v>565</v>
      </c>
      <c r="AE70">
        <v>92.378</v>
      </c>
      <c r="AF70">
        <v>1430</v>
      </c>
      <c r="AG70" t="s">
        <v>622</v>
      </c>
      <c r="AH70">
        <v>1</v>
      </c>
      <c r="AI70">
        <v>6.4600000000000005E-2</v>
      </c>
      <c r="AJ70" t="s">
        <v>561</v>
      </c>
      <c r="AK70" t="s">
        <v>623</v>
      </c>
      <c r="AL70" t="s">
        <v>624</v>
      </c>
      <c r="AM70">
        <v>2021</v>
      </c>
      <c r="AN70">
        <v>2007</v>
      </c>
      <c r="AO70">
        <f>IF(AND(emissions[[#This Row],[Market-based]]=0,emissions[[#This Row],[Impact Type]]="CO2E"),emissions[[#This Row],[kgCO2e]],0)/1000</f>
        <v>9.2378000000000002E-2</v>
      </c>
      <c r="AP70">
        <f>IF(AND(emissions[[#This Row],[Market-based]]=1,OR(emissions[[#This Row],[Impact Type]]="CO2E",emissions[[#This Row],[Impact Type]]="CO2E MKT")),emissions[[#This Row],[kgCO2e]],0)/1000</f>
        <v>0</v>
      </c>
      <c r="AQ70" t="str">
        <f>_xlfn.TEXTAFTER(emissions[[#This Row],[Reporting Unit]]," &gt; ",LEN(emissions[[#This Row],[Reporting Unit]])-LEN(SUBSTITUTE(emissions[[#This Row],[Reporting Unit]],"&gt;","")))</f>
        <v>Vantage_Mumbai</v>
      </c>
      <c r="AR70" t="str">
        <f>_xlfn.XLOOKUP(emissions[[#This Row],[Reporting unit name]],hierarchy!$A:$A,hierarchy!$C:$C)</f>
        <v>Office</v>
      </c>
    </row>
    <row r="71" spans="1:44" hidden="1" x14ac:dyDescent="0.25">
      <c r="A71">
        <v>5043</v>
      </c>
      <c r="B71" t="s">
        <v>144</v>
      </c>
      <c r="C71" t="s">
        <v>501</v>
      </c>
      <c r="D71" t="s">
        <v>599</v>
      </c>
      <c r="E71" s="3">
        <v>44197</v>
      </c>
      <c r="F71" s="3">
        <v>44561</v>
      </c>
      <c r="G71" t="s">
        <v>116</v>
      </c>
      <c r="H71" s="3">
        <v>44197</v>
      </c>
      <c r="I71" s="3">
        <v>44561</v>
      </c>
      <c r="J71" t="s">
        <v>128</v>
      </c>
      <c r="K71">
        <v>6.4600000000000005E-2</v>
      </c>
      <c r="L71" t="s">
        <v>118</v>
      </c>
      <c r="M71" t="s">
        <v>82</v>
      </c>
      <c r="O71" t="s">
        <v>618</v>
      </c>
      <c r="P71" t="s">
        <v>550</v>
      </c>
      <c r="Q71">
        <v>2021</v>
      </c>
      <c r="R71" t="s">
        <v>619</v>
      </c>
      <c r="S71" t="s">
        <v>620</v>
      </c>
      <c r="T71" t="s">
        <v>553</v>
      </c>
      <c r="U71" t="b">
        <v>0</v>
      </c>
      <c r="V71" t="s">
        <v>621</v>
      </c>
      <c r="W71" t="s">
        <v>587</v>
      </c>
      <c r="X71" t="s">
        <v>556</v>
      </c>
      <c r="AC71">
        <v>1</v>
      </c>
      <c r="AD71" t="s">
        <v>565</v>
      </c>
      <c r="AE71">
        <v>92.378</v>
      </c>
      <c r="AF71">
        <v>1430</v>
      </c>
      <c r="AG71" t="s">
        <v>622</v>
      </c>
      <c r="AH71">
        <v>1</v>
      </c>
      <c r="AI71">
        <v>6.4600000000000005E-2</v>
      </c>
      <c r="AJ71" t="s">
        <v>561</v>
      </c>
      <c r="AK71" t="s">
        <v>623</v>
      </c>
      <c r="AL71" t="s">
        <v>624</v>
      </c>
      <c r="AM71">
        <v>2021</v>
      </c>
      <c r="AN71">
        <v>2007</v>
      </c>
      <c r="AO71">
        <f>IF(AND(emissions[[#This Row],[Market-based]]=0,emissions[[#This Row],[Impact Type]]="CO2E"),emissions[[#This Row],[kgCO2e]],0)/1000</f>
        <v>0</v>
      </c>
      <c r="AP71">
        <f>IF(AND(emissions[[#This Row],[Market-based]]=1,OR(emissions[[#This Row],[Impact Type]]="CO2E",emissions[[#This Row],[Impact Type]]="CO2E MKT")),emissions[[#This Row],[kgCO2e]],0)/1000</f>
        <v>9.2378000000000002E-2</v>
      </c>
      <c r="AQ71" t="str">
        <f>_xlfn.TEXTAFTER(emissions[[#This Row],[Reporting Unit]]," &gt; ",LEN(emissions[[#This Row],[Reporting Unit]])-LEN(SUBSTITUTE(emissions[[#This Row],[Reporting Unit]],"&gt;","")))</f>
        <v>Vantage_Mumbai</v>
      </c>
      <c r="AR71" t="str">
        <f>_xlfn.XLOOKUP(emissions[[#This Row],[Reporting unit name]],hierarchy!$A:$A,hierarchy!$C:$C)</f>
        <v>Office</v>
      </c>
    </row>
    <row r="72" spans="1:44" hidden="1" x14ac:dyDescent="0.25">
      <c r="A72">
        <v>283987</v>
      </c>
      <c r="B72" t="s">
        <v>132</v>
      </c>
      <c r="C72" t="s">
        <v>493</v>
      </c>
      <c r="D72" t="s">
        <v>548</v>
      </c>
      <c r="E72" s="3">
        <v>44562</v>
      </c>
      <c r="F72" s="3">
        <v>44926</v>
      </c>
      <c r="G72" t="s">
        <v>108</v>
      </c>
      <c r="H72" s="3">
        <v>44562</v>
      </c>
      <c r="I72" s="3">
        <v>44926</v>
      </c>
      <c r="J72" t="s">
        <v>108</v>
      </c>
      <c r="K72">
        <v>29409</v>
      </c>
      <c r="L72" t="s">
        <v>109</v>
      </c>
      <c r="M72" t="s">
        <v>110</v>
      </c>
      <c r="O72" t="s">
        <v>625</v>
      </c>
      <c r="P72" t="s">
        <v>550</v>
      </c>
      <c r="Q72">
        <v>2022</v>
      </c>
      <c r="R72" t="s">
        <v>551</v>
      </c>
      <c r="S72" t="s">
        <v>552</v>
      </c>
      <c r="T72" t="s">
        <v>553</v>
      </c>
      <c r="U72" t="b">
        <v>0</v>
      </c>
      <c r="V72" t="s">
        <v>626</v>
      </c>
      <c r="W72" t="s">
        <v>555</v>
      </c>
      <c r="X72" t="s">
        <v>556</v>
      </c>
      <c r="Y72" t="s">
        <v>466</v>
      </c>
      <c r="Z72" t="s">
        <v>495</v>
      </c>
      <c r="AA72" t="s">
        <v>627</v>
      </c>
      <c r="AC72">
        <v>0</v>
      </c>
      <c r="AD72" t="s">
        <v>558</v>
      </c>
      <c r="AE72">
        <v>11.7636</v>
      </c>
      <c r="AF72" t="s">
        <v>559</v>
      </c>
      <c r="AG72" t="s">
        <v>560</v>
      </c>
      <c r="AH72">
        <v>1</v>
      </c>
      <c r="AI72">
        <v>29409</v>
      </c>
      <c r="AJ72" t="s">
        <v>561</v>
      </c>
      <c r="AK72" t="s">
        <v>562</v>
      </c>
      <c r="AL72" t="s">
        <v>563</v>
      </c>
      <c r="AM72">
        <v>2022</v>
      </c>
      <c r="AN72">
        <v>2020</v>
      </c>
      <c r="AO72">
        <f>IF(AND(emissions[[#This Row],[Market-based]]=0,emissions[[#This Row],[Impact Type]]="CO2E"),emissions[[#This Row],[kgCO2e]],0)/1000</f>
        <v>0</v>
      </c>
      <c r="AP72">
        <f>IF(AND(emissions[[#This Row],[Market-based]]=1,OR(emissions[[#This Row],[Impact Type]]="CO2E",emissions[[#This Row],[Impact Type]]="CO2E MKT")),emissions[[#This Row],[kgCO2e]],0)/1000</f>
        <v>0</v>
      </c>
      <c r="AQ72" t="str">
        <f>_xlfn.TEXTAFTER(emissions[[#This Row],[Reporting Unit]]," &gt; ",LEN(emissions[[#This Row],[Reporting Unit]])-LEN(SUBSTITUTE(emissions[[#This Row],[Reporting Unit]],"&gt;","")))</f>
        <v>Vantage_Shanghai</v>
      </c>
      <c r="AR72" t="str">
        <f>_xlfn.XLOOKUP(emissions[[#This Row],[Reporting unit name]],hierarchy!$A:$A,hierarchy!$C:$C)</f>
        <v>Warehouse</v>
      </c>
    </row>
    <row r="73" spans="1:44" hidden="1" x14ac:dyDescent="0.25">
      <c r="A73">
        <v>283987</v>
      </c>
      <c r="B73" t="s">
        <v>132</v>
      </c>
      <c r="C73" t="s">
        <v>493</v>
      </c>
      <c r="D73" t="s">
        <v>548</v>
      </c>
      <c r="E73" s="3">
        <v>44562</v>
      </c>
      <c r="F73" s="3">
        <v>44926</v>
      </c>
      <c r="G73" t="s">
        <v>108</v>
      </c>
      <c r="H73" s="3">
        <v>44562</v>
      </c>
      <c r="I73" s="3">
        <v>44926</v>
      </c>
      <c r="J73" t="s">
        <v>108</v>
      </c>
      <c r="K73">
        <v>29409</v>
      </c>
      <c r="L73" t="s">
        <v>109</v>
      </c>
      <c r="M73" t="s">
        <v>110</v>
      </c>
      <c r="O73" t="s">
        <v>625</v>
      </c>
      <c r="P73" t="s">
        <v>550</v>
      </c>
      <c r="Q73">
        <v>2022</v>
      </c>
      <c r="R73" t="s">
        <v>551</v>
      </c>
      <c r="S73" t="s">
        <v>552</v>
      </c>
      <c r="T73" t="s">
        <v>553</v>
      </c>
      <c r="U73" t="b">
        <v>0</v>
      </c>
      <c r="V73" t="s">
        <v>626</v>
      </c>
      <c r="W73" t="s">
        <v>555</v>
      </c>
      <c r="X73" t="s">
        <v>556</v>
      </c>
      <c r="Y73" t="s">
        <v>466</v>
      </c>
      <c r="Z73" t="s">
        <v>495</v>
      </c>
      <c r="AA73" t="s">
        <v>627</v>
      </c>
      <c r="AC73">
        <v>0</v>
      </c>
      <c r="AD73" t="s">
        <v>564</v>
      </c>
      <c r="AE73">
        <v>18065.948700000001</v>
      </c>
      <c r="AF73" t="s">
        <v>559</v>
      </c>
      <c r="AG73" t="s">
        <v>560</v>
      </c>
      <c r="AH73">
        <v>1</v>
      </c>
      <c r="AI73">
        <v>29409</v>
      </c>
      <c r="AJ73" t="s">
        <v>561</v>
      </c>
      <c r="AK73" t="s">
        <v>562</v>
      </c>
      <c r="AL73" t="s">
        <v>563</v>
      </c>
      <c r="AM73">
        <v>2022</v>
      </c>
      <c r="AN73">
        <v>2020</v>
      </c>
      <c r="AO73">
        <f>IF(AND(emissions[[#This Row],[Market-based]]=0,emissions[[#This Row],[Impact Type]]="CO2E"),emissions[[#This Row],[kgCO2e]],0)/1000</f>
        <v>0</v>
      </c>
      <c r="AP73">
        <f>IF(AND(emissions[[#This Row],[Market-based]]=1,OR(emissions[[#This Row],[Impact Type]]="CO2E",emissions[[#This Row],[Impact Type]]="CO2E MKT")),emissions[[#This Row],[kgCO2e]],0)/1000</f>
        <v>0</v>
      </c>
      <c r="AQ73" t="str">
        <f>_xlfn.TEXTAFTER(emissions[[#This Row],[Reporting Unit]]," &gt; ",LEN(emissions[[#This Row],[Reporting Unit]])-LEN(SUBSTITUTE(emissions[[#This Row],[Reporting Unit]],"&gt;","")))</f>
        <v>Vantage_Shanghai</v>
      </c>
      <c r="AR73" t="str">
        <f>_xlfn.XLOOKUP(emissions[[#This Row],[Reporting unit name]],hierarchy!$A:$A,hierarchy!$C:$C)</f>
        <v>Warehouse</v>
      </c>
    </row>
    <row r="74" spans="1:44" hidden="1" x14ac:dyDescent="0.25">
      <c r="A74">
        <v>283987</v>
      </c>
      <c r="B74" t="s">
        <v>132</v>
      </c>
      <c r="C74" t="s">
        <v>493</v>
      </c>
      <c r="D74" t="s">
        <v>548</v>
      </c>
      <c r="E74" s="3">
        <v>44562</v>
      </c>
      <c r="F74" s="3">
        <v>44926</v>
      </c>
      <c r="G74" t="s">
        <v>108</v>
      </c>
      <c r="H74" s="3">
        <v>44562</v>
      </c>
      <c r="I74" s="3">
        <v>44926</v>
      </c>
      <c r="J74" t="s">
        <v>108</v>
      </c>
      <c r="K74">
        <v>29409</v>
      </c>
      <c r="L74" t="s">
        <v>109</v>
      </c>
      <c r="M74" t="s">
        <v>110</v>
      </c>
      <c r="O74" t="s">
        <v>625</v>
      </c>
      <c r="P74" t="s">
        <v>550</v>
      </c>
      <c r="Q74">
        <v>2022</v>
      </c>
      <c r="R74" t="s">
        <v>551</v>
      </c>
      <c r="S74" t="s">
        <v>552</v>
      </c>
      <c r="T74" t="s">
        <v>553</v>
      </c>
      <c r="U74" t="b">
        <v>0</v>
      </c>
      <c r="V74" t="s">
        <v>626</v>
      </c>
      <c r="W74" t="s">
        <v>555</v>
      </c>
      <c r="X74" t="s">
        <v>556</v>
      </c>
      <c r="Y74" t="s">
        <v>466</v>
      </c>
      <c r="Z74" t="s">
        <v>495</v>
      </c>
      <c r="AA74" t="s">
        <v>627</v>
      </c>
      <c r="AC74">
        <v>0</v>
      </c>
      <c r="AD74" t="s">
        <v>565</v>
      </c>
      <c r="AE74">
        <v>18162.9984</v>
      </c>
      <c r="AF74" t="s">
        <v>559</v>
      </c>
      <c r="AG74" t="s">
        <v>560</v>
      </c>
      <c r="AH74">
        <v>1</v>
      </c>
      <c r="AI74">
        <v>29409</v>
      </c>
      <c r="AJ74" t="s">
        <v>561</v>
      </c>
      <c r="AK74" t="s">
        <v>562</v>
      </c>
      <c r="AL74" t="s">
        <v>563</v>
      </c>
      <c r="AM74">
        <v>2022</v>
      </c>
      <c r="AN74">
        <v>2020</v>
      </c>
      <c r="AO74">
        <f>IF(AND(emissions[[#This Row],[Market-based]]=0,emissions[[#This Row],[Impact Type]]="CO2E"),emissions[[#This Row],[kgCO2e]],0)/1000</f>
        <v>18.162998399999999</v>
      </c>
      <c r="AP74">
        <f>IF(AND(emissions[[#This Row],[Market-based]]=1,OR(emissions[[#This Row],[Impact Type]]="CO2E",emissions[[#This Row],[Impact Type]]="CO2E MKT")),emissions[[#This Row],[kgCO2e]],0)/1000</f>
        <v>0</v>
      </c>
      <c r="AQ74" t="str">
        <f>_xlfn.TEXTAFTER(emissions[[#This Row],[Reporting Unit]]," &gt; ",LEN(emissions[[#This Row],[Reporting Unit]])-LEN(SUBSTITUTE(emissions[[#This Row],[Reporting Unit]],"&gt;","")))</f>
        <v>Vantage_Shanghai</v>
      </c>
      <c r="AR74" t="str">
        <f>_xlfn.XLOOKUP(emissions[[#This Row],[Reporting unit name]],hierarchy!$A:$A,hierarchy!$C:$C)</f>
        <v>Warehouse</v>
      </c>
    </row>
    <row r="75" spans="1:44" hidden="1" x14ac:dyDescent="0.25">
      <c r="A75">
        <v>283987</v>
      </c>
      <c r="B75" t="s">
        <v>132</v>
      </c>
      <c r="C75" t="s">
        <v>493</v>
      </c>
      <c r="D75" t="s">
        <v>548</v>
      </c>
      <c r="E75" s="3">
        <v>44562</v>
      </c>
      <c r="F75" s="3">
        <v>44926</v>
      </c>
      <c r="G75" t="s">
        <v>108</v>
      </c>
      <c r="H75" s="3">
        <v>44562</v>
      </c>
      <c r="I75" s="3">
        <v>44926</v>
      </c>
      <c r="J75" t="s">
        <v>108</v>
      </c>
      <c r="K75">
        <v>29409</v>
      </c>
      <c r="L75" t="s">
        <v>109</v>
      </c>
      <c r="M75" t="s">
        <v>110</v>
      </c>
      <c r="O75" t="s">
        <v>625</v>
      </c>
      <c r="P75" t="s">
        <v>550</v>
      </c>
      <c r="Q75">
        <v>2022</v>
      </c>
      <c r="R75" t="s">
        <v>551</v>
      </c>
      <c r="S75" t="s">
        <v>552</v>
      </c>
      <c r="T75" t="s">
        <v>553</v>
      </c>
      <c r="U75" t="b">
        <v>0</v>
      </c>
      <c r="V75" t="s">
        <v>626</v>
      </c>
      <c r="W75" t="s">
        <v>555</v>
      </c>
      <c r="X75" t="s">
        <v>556</v>
      </c>
      <c r="Y75" t="s">
        <v>466</v>
      </c>
      <c r="Z75" t="s">
        <v>495</v>
      </c>
      <c r="AA75" t="s">
        <v>627</v>
      </c>
      <c r="AC75">
        <v>0</v>
      </c>
      <c r="AD75" t="s">
        <v>566</v>
      </c>
      <c r="AE75">
        <v>85.286100000000005</v>
      </c>
      <c r="AF75" t="s">
        <v>559</v>
      </c>
      <c r="AG75" t="s">
        <v>560</v>
      </c>
      <c r="AH75">
        <v>1</v>
      </c>
      <c r="AI75">
        <v>29409</v>
      </c>
      <c r="AJ75" t="s">
        <v>561</v>
      </c>
      <c r="AK75" t="s">
        <v>562</v>
      </c>
      <c r="AL75" t="s">
        <v>563</v>
      </c>
      <c r="AM75">
        <v>2022</v>
      </c>
      <c r="AN75">
        <v>2020</v>
      </c>
      <c r="AO75">
        <f>IF(AND(emissions[[#This Row],[Market-based]]=0,emissions[[#This Row],[Impact Type]]="CO2E"),emissions[[#This Row],[kgCO2e]],0)/1000</f>
        <v>0</v>
      </c>
      <c r="AP75">
        <f>IF(AND(emissions[[#This Row],[Market-based]]=1,OR(emissions[[#This Row],[Impact Type]]="CO2E",emissions[[#This Row],[Impact Type]]="CO2E MKT")),emissions[[#This Row],[kgCO2e]],0)/1000</f>
        <v>0</v>
      </c>
      <c r="AQ75" t="str">
        <f>_xlfn.TEXTAFTER(emissions[[#This Row],[Reporting Unit]]," &gt; ",LEN(emissions[[#This Row],[Reporting Unit]])-LEN(SUBSTITUTE(emissions[[#This Row],[Reporting Unit]],"&gt;","")))</f>
        <v>Vantage_Shanghai</v>
      </c>
      <c r="AR75" t="str">
        <f>_xlfn.XLOOKUP(emissions[[#This Row],[Reporting unit name]],hierarchy!$A:$A,hierarchy!$C:$C)</f>
        <v>Warehouse</v>
      </c>
    </row>
    <row r="76" spans="1:44" hidden="1" x14ac:dyDescent="0.25">
      <c r="A76">
        <v>283987</v>
      </c>
      <c r="B76" t="s">
        <v>132</v>
      </c>
      <c r="C76" t="s">
        <v>493</v>
      </c>
      <c r="D76" t="s">
        <v>548</v>
      </c>
      <c r="E76" s="3">
        <v>44562</v>
      </c>
      <c r="F76" s="3">
        <v>44926</v>
      </c>
      <c r="G76" t="s">
        <v>108</v>
      </c>
      <c r="H76" s="3">
        <v>44562</v>
      </c>
      <c r="I76" s="3">
        <v>44926</v>
      </c>
      <c r="J76" t="s">
        <v>108</v>
      </c>
      <c r="K76">
        <v>29409</v>
      </c>
      <c r="L76" t="s">
        <v>109</v>
      </c>
      <c r="M76" t="s">
        <v>110</v>
      </c>
      <c r="O76" t="s">
        <v>625</v>
      </c>
      <c r="P76" t="s">
        <v>550</v>
      </c>
      <c r="Q76">
        <v>2022</v>
      </c>
      <c r="R76" t="s">
        <v>551</v>
      </c>
      <c r="S76" t="s">
        <v>552</v>
      </c>
      <c r="T76" t="s">
        <v>553</v>
      </c>
      <c r="U76" t="b">
        <v>0</v>
      </c>
      <c r="V76" t="s">
        <v>626</v>
      </c>
      <c r="W76" t="s">
        <v>555</v>
      </c>
      <c r="X76" t="s">
        <v>556</v>
      </c>
      <c r="Y76" t="s">
        <v>466</v>
      </c>
      <c r="Z76" t="s">
        <v>495</v>
      </c>
      <c r="AA76" t="s">
        <v>627</v>
      </c>
      <c r="AC76">
        <v>1</v>
      </c>
      <c r="AD76" t="s">
        <v>558</v>
      </c>
      <c r="AE76">
        <v>11.7636</v>
      </c>
      <c r="AF76" t="s">
        <v>559</v>
      </c>
      <c r="AG76" t="s">
        <v>560</v>
      </c>
      <c r="AH76">
        <v>1</v>
      </c>
      <c r="AI76">
        <v>29409</v>
      </c>
      <c r="AJ76" t="s">
        <v>561</v>
      </c>
      <c r="AK76" t="s">
        <v>562</v>
      </c>
      <c r="AL76" t="s">
        <v>563</v>
      </c>
      <c r="AM76">
        <v>2022</v>
      </c>
      <c r="AN76">
        <v>2020</v>
      </c>
      <c r="AO76">
        <f>IF(AND(emissions[[#This Row],[Market-based]]=0,emissions[[#This Row],[Impact Type]]="CO2E"),emissions[[#This Row],[kgCO2e]],0)/1000</f>
        <v>0</v>
      </c>
      <c r="AP76">
        <f>IF(AND(emissions[[#This Row],[Market-based]]=1,OR(emissions[[#This Row],[Impact Type]]="CO2E",emissions[[#This Row],[Impact Type]]="CO2E MKT")),emissions[[#This Row],[kgCO2e]],0)/1000</f>
        <v>0</v>
      </c>
      <c r="AQ76" t="str">
        <f>_xlfn.TEXTAFTER(emissions[[#This Row],[Reporting Unit]]," &gt; ",LEN(emissions[[#This Row],[Reporting Unit]])-LEN(SUBSTITUTE(emissions[[#This Row],[Reporting Unit]],"&gt;","")))</f>
        <v>Vantage_Shanghai</v>
      </c>
      <c r="AR76" t="str">
        <f>_xlfn.XLOOKUP(emissions[[#This Row],[Reporting unit name]],hierarchy!$A:$A,hierarchy!$C:$C)</f>
        <v>Warehouse</v>
      </c>
    </row>
    <row r="77" spans="1:44" hidden="1" x14ac:dyDescent="0.25">
      <c r="A77">
        <v>283987</v>
      </c>
      <c r="B77" t="s">
        <v>132</v>
      </c>
      <c r="C77" t="s">
        <v>493</v>
      </c>
      <c r="D77" t="s">
        <v>548</v>
      </c>
      <c r="E77" s="3">
        <v>44562</v>
      </c>
      <c r="F77" s="3">
        <v>44926</v>
      </c>
      <c r="G77" t="s">
        <v>108</v>
      </c>
      <c r="H77" s="3">
        <v>44562</v>
      </c>
      <c r="I77" s="3">
        <v>44926</v>
      </c>
      <c r="J77" t="s">
        <v>108</v>
      </c>
      <c r="K77">
        <v>29409</v>
      </c>
      <c r="L77" t="s">
        <v>109</v>
      </c>
      <c r="M77" t="s">
        <v>110</v>
      </c>
      <c r="O77" t="s">
        <v>625</v>
      </c>
      <c r="P77" t="s">
        <v>550</v>
      </c>
      <c r="Q77">
        <v>2022</v>
      </c>
      <c r="R77" t="s">
        <v>551</v>
      </c>
      <c r="S77" t="s">
        <v>552</v>
      </c>
      <c r="T77" t="s">
        <v>553</v>
      </c>
      <c r="U77" t="b">
        <v>0</v>
      </c>
      <c r="V77" t="s">
        <v>626</v>
      </c>
      <c r="W77" t="s">
        <v>555</v>
      </c>
      <c r="X77" t="s">
        <v>556</v>
      </c>
      <c r="Y77" t="s">
        <v>466</v>
      </c>
      <c r="Z77" t="s">
        <v>495</v>
      </c>
      <c r="AA77" t="s">
        <v>627</v>
      </c>
      <c r="AC77">
        <v>1</v>
      </c>
      <c r="AD77" t="s">
        <v>564</v>
      </c>
      <c r="AE77">
        <v>18065.948700000001</v>
      </c>
      <c r="AF77" t="s">
        <v>559</v>
      </c>
      <c r="AG77" t="s">
        <v>560</v>
      </c>
      <c r="AH77">
        <v>1</v>
      </c>
      <c r="AI77">
        <v>29409</v>
      </c>
      <c r="AJ77" t="s">
        <v>561</v>
      </c>
      <c r="AK77" t="s">
        <v>562</v>
      </c>
      <c r="AL77" t="s">
        <v>563</v>
      </c>
      <c r="AM77">
        <v>2022</v>
      </c>
      <c r="AN77">
        <v>2020</v>
      </c>
      <c r="AO77">
        <f>IF(AND(emissions[[#This Row],[Market-based]]=0,emissions[[#This Row],[Impact Type]]="CO2E"),emissions[[#This Row],[kgCO2e]],0)/1000</f>
        <v>0</v>
      </c>
      <c r="AP77">
        <f>IF(AND(emissions[[#This Row],[Market-based]]=1,OR(emissions[[#This Row],[Impact Type]]="CO2E",emissions[[#This Row],[Impact Type]]="CO2E MKT")),emissions[[#This Row],[kgCO2e]],0)/1000</f>
        <v>0</v>
      </c>
      <c r="AQ77" t="str">
        <f>_xlfn.TEXTAFTER(emissions[[#This Row],[Reporting Unit]]," &gt; ",LEN(emissions[[#This Row],[Reporting Unit]])-LEN(SUBSTITUTE(emissions[[#This Row],[Reporting Unit]],"&gt;","")))</f>
        <v>Vantage_Shanghai</v>
      </c>
      <c r="AR77" t="str">
        <f>_xlfn.XLOOKUP(emissions[[#This Row],[Reporting unit name]],hierarchy!$A:$A,hierarchy!$C:$C)</f>
        <v>Warehouse</v>
      </c>
    </row>
    <row r="78" spans="1:44" hidden="1" x14ac:dyDescent="0.25">
      <c r="A78">
        <v>283987</v>
      </c>
      <c r="B78" t="s">
        <v>132</v>
      </c>
      <c r="C78" t="s">
        <v>493</v>
      </c>
      <c r="D78" t="s">
        <v>548</v>
      </c>
      <c r="E78" s="3">
        <v>44562</v>
      </c>
      <c r="F78" s="3">
        <v>44926</v>
      </c>
      <c r="G78" t="s">
        <v>108</v>
      </c>
      <c r="H78" s="3">
        <v>44562</v>
      </c>
      <c r="I78" s="3">
        <v>44926</v>
      </c>
      <c r="J78" t="s">
        <v>108</v>
      </c>
      <c r="K78">
        <v>29409</v>
      </c>
      <c r="L78" t="s">
        <v>109</v>
      </c>
      <c r="M78" t="s">
        <v>110</v>
      </c>
      <c r="O78" t="s">
        <v>625</v>
      </c>
      <c r="P78" t="s">
        <v>550</v>
      </c>
      <c r="Q78">
        <v>2022</v>
      </c>
      <c r="R78" t="s">
        <v>551</v>
      </c>
      <c r="S78" t="s">
        <v>552</v>
      </c>
      <c r="T78" t="s">
        <v>553</v>
      </c>
      <c r="U78" t="b">
        <v>0</v>
      </c>
      <c r="V78" t="s">
        <v>626</v>
      </c>
      <c r="W78" t="s">
        <v>555</v>
      </c>
      <c r="X78" t="s">
        <v>556</v>
      </c>
      <c r="Y78" t="s">
        <v>466</v>
      </c>
      <c r="Z78" t="s">
        <v>495</v>
      </c>
      <c r="AA78" t="s">
        <v>627</v>
      </c>
      <c r="AC78">
        <v>1</v>
      </c>
      <c r="AD78" t="s">
        <v>565</v>
      </c>
      <c r="AE78">
        <v>18162.9984</v>
      </c>
      <c r="AF78" t="s">
        <v>559</v>
      </c>
      <c r="AG78" t="s">
        <v>560</v>
      </c>
      <c r="AH78">
        <v>1</v>
      </c>
      <c r="AI78">
        <v>29409</v>
      </c>
      <c r="AJ78" t="s">
        <v>561</v>
      </c>
      <c r="AK78" t="s">
        <v>562</v>
      </c>
      <c r="AL78" t="s">
        <v>563</v>
      </c>
      <c r="AM78">
        <v>2022</v>
      </c>
      <c r="AN78">
        <v>2020</v>
      </c>
      <c r="AO78">
        <f>IF(AND(emissions[[#This Row],[Market-based]]=0,emissions[[#This Row],[Impact Type]]="CO2E"),emissions[[#This Row],[kgCO2e]],0)/1000</f>
        <v>0</v>
      </c>
      <c r="AP78">
        <f>IF(AND(emissions[[#This Row],[Market-based]]=1,OR(emissions[[#This Row],[Impact Type]]="CO2E",emissions[[#This Row],[Impact Type]]="CO2E MKT")),emissions[[#This Row],[kgCO2e]],0)/1000</f>
        <v>18.162998399999999</v>
      </c>
      <c r="AQ78" t="str">
        <f>_xlfn.TEXTAFTER(emissions[[#This Row],[Reporting Unit]]," &gt; ",LEN(emissions[[#This Row],[Reporting Unit]])-LEN(SUBSTITUTE(emissions[[#This Row],[Reporting Unit]],"&gt;","")))</f>
        <v>Vantage_Shanghai</v>
      </c>
      <c r="AR78" t="str">
        <f>_xlfn.XLOOKUP(emissions[[#This Row],[Reporting unit name]],hierarchy!$A:$A,hierarchy!$C:$C)</f>
        <v>Warehouse</v>
      </c>
    </row>
    <row r="79" spans="1:44" hidden="1" x14ac:dyDescent="0.25">
      <c r="A79">
        <v>283987</v>
      </c>
      <c r="B79" t="s">
        <v>132</v>
      </c>
      <c r="C79" t="s">
        <v>493</v>
      </c>
      <c r="D79" t="s">
        <v>548</v>
      </c>
      <c r="E79" s="3">
        <v>44562</v>
      </c>
      <c r="F79" s="3">
        <v>44926</v>
      </c>
      <c r="G79" t="s">
        <v>108</v>
      </c>
      <c r="H79" s="3">
        <v>44562</v>
      </c>
      <c r="I79" s="3">
        <v>44926</v>
      </c>
      <c r="J79" t="s">
        <v>108</v>
      </c>
      <c r="K79">
        <v>29409</v>
      </c>
      <c r="L79" t="s">
        <v>109</v>
      </c>
      <c r="M79" t="s">
        <v>110</v>
      </c>
      <c r="O79" t="s">
        <v>625</v>
      </c>
      <c r="P79" t="s">
        <v>550</v>
      </c>
      <c r="Q79">
        <v>2022</v>
      </c>
      <c r="R79" t="s">
        <v>551</v>
      </c>
      <c r="S79" t="s">
        <v>552</v>
      </c>
      <c r="T79" t="s">
        <v>553</v>
      </c>
      <c r="U79" t="b">
        <v>0</v>
      </c>
      <c r="V79" t="s">
        <v>626</v>
      </c>
      <c r="W79" t="s">
        <v>555</v>
      </c>
      <c r="X79" t="s">
        <v>556</v>
      </c>
      <c r="Y79" t="s">
        <v>466</v>
      </c>
      <c r="Z79" t="s">
        <v>495</v>
      </c>
      <c r="AA79" t="s">
        <v>627</v>
      </c>
      <c r="AC79">
        <v>1</v>
      </c>
      <c r="AD79" t="s">
        <v>566</v>
      </c>
      <c r="AE79">
        <v>85.286100000000005</v>
      </c>
      <c r="AF79" t="s">
        <v>559</v>
      </c>
      <c r="AG79" t="s">
        <v>560</v>
      </c>
      <c r="AH79">
        <v>1</v>
      </c>
      <c r="AI79">
        <v>29409</v>
      </c>
      <c r="AJ79" t="s">
        <v>561</v>
      </c>
      <c r="AK79" t="s">
        <v>562</v>
      </c>
      <c r="AL79" t="s">
        <v>563</v>
      </c>
      <c r="AM79">
        <v>2022</v>
      </c>
      <c r="AN79">
        <v>2020</v>
      </c>
      <c r="AO79">
        <f>IF(AND(emissions[[#This Row],[Market-based]]=0,emissions[[#This Row],[Impact Type]]="CO2E"),emissions[[#This Row],[kgCO2e]],0)/1000</f>
        <v>0</v>
      </c>
      <c r="AP79">
        <f>IF(AND(emissions[[#This Row],[Market-based]]=1,OR(emissions[[#This Row],[Impact Type]]="CO2E",emissions[[#This Row],[Impact Type]]="CO2E MKT")),emissions[[#This Row],[kgCO2e]],0)/1000</f>
        <v>0</v>
      </c>
      <c r="AQ79" t="str">
        <f>_xlfn.TEXTAFTER(emissions[[#This Row],[Reporting Unit]]," &gt; ",LEN(emissions[[#This Row],[Reporting Unit]])-LEN(SUBSTITUTE(emissions[[#This Row],[Reporting Unit]],"&gt;","")))</f>
        <v>Vantage_Shanghai</v>
      </c>
      <c r="AR79" t="str">
        <f>_xlfn.XLOOKUP(emissions[[#This Row],[Reporting unit name]],hierarchy!$A:$A,hierarchy!$C:$C)</f>
        <v>Warehouse</v>
      </c>
    </row>
    <row r="80" spans="1:44" hidden="1" x14ac:dyDescent="0.25">
      <c r="A80">
        <v>283987</v>
      </c>
      <c r="B80" t="s">
        <v>132</v>
      </c>
      <c r="C80" t="s">
        <v>493</v>
      </c>
      <c r="D80" t="s">
        <v>548</v>
      </c>
      <c r="E80" s="3">
        <v>44562</v>
      </c>
      <c r="F80" s="3">
        <v>44926</v>
      </c>
      <c r="G80" t="s">
        <v>108</v>
      </c>
      <c r="H80" s="3">
        <v>44562</v>
      </c>
      <c r="I80" s="3">
        <v>44926</v>
      </c>
      <c r="J80" t="s">
        <v>108</v>
      </c>
      <c r="K80">
        <v>29409</v>
      </c>
      <c r="L80" t="s">
        <v>109</v>
      </c>
      <c r="M80" t="s">
        <v>110</v>
      </c>
      <c r="O80" t="s">
        <v>625</v>
      </c>
      <c r="P80" t="s">
        <v>550</v>
      </c>
      <c r="Q80">
        <v>2022</v>
      </c>
      <c r="R80" t="s">
        <v>567</v>
      </c>
      <c r="S80" t="s">
        <v>568</v>
      </c>
      <c r="T80" t="s">
        <v>569</v>
      </c>
      <c r="U80" t="b">
        <v>0</v>
      </c>
      <c r="V80" t="s">
        <v>628</v>
      </c>
      <c r="W80" t="s">
        <v>571</v>
      </c>
      <c r="X80" t="s">
        <v>572</v>
      </c>
      <c r="Y80" t="s">
        <v>466</v>
      </c>
      <c r="Z80" t="s">
        <v>495</v>
      </c>
      <c r="AA80" t="s">
        <v>627</v>
      </c>
      <c r="AC80">
        <v>0</v>
      </c>
      <c r="AD80" t="s">
        <v>565</v>
      </c>
      <c r="AE80">
        <v>212.27430960000001</v>
      </c>
      <c r="AF80">
        <v>7.2180050000000004E-3</v>
      </c>
      <c r="AG80" t="s">
        <v>560</v>
      </c>
      <c r="AH80">
        <v>1</v>
      </c>
      <c r="AI80">
        <v>29409</v>
      </c>
      <c r="AJ80" t="s">
        <v>561</v>
      </c>
      <c r="AK80" t="s">
        <v>573</v>
      </c>
      <c r="AL80" t="s">
        <v>574</v>
      </c>
      <c r="AM80">
        <v>2022</v>
      </c>
      <c r="AN80">
        <v>2020</v>
      </c>
      <c r="AO80">
        <f>IF(AND(emissions[[#This Row],[Market-based]]=0,emissions[[#This Row],[Impact Type]]="CO2E"),emissions[[#This Row],[kgCO2e]],0)/1000</f>
        <v>0.21227430960000002</v>
      </c>
      <c r="AP80">
        <f>IF(AND(emissions[[#This Row],[Market-based]]=1,OR(emissions[[#This Row],[Impact Type]]="CO2E",emissions[[#This Row],[Impact Type]]="CO2E MKT")),emissions[[#This Row],[kgCO2e]],0)/1000</f>
        <v>0</v>
      </c>
      <c r="AQ80" t="str">
        <f>_xlfn.TEXTAFTER(emissions[[#This Row],[Reporting Unit]]," &gt; ",LEN(emissions[[#This Row],[Reporting Unit]])-LEN(SUBSTITUTE(emissions[[#This Row],[Reporting Unit]],"&gt;","")))</f>
        <v>Vantage_Shanghai</v>
      </c>
      <c r="AR80" t="str">
        <f>_xlfn.XLOOKUP(emissions[[#This Row],[Reporting unit name]],hierarchy!$A:$A,hierarchy!$C:$C)</f>
        <v>Warehouse</v>
      </c>
    </row>
    <row r="81" spans="1:44" hidden="1" x14ac:dyDescent="0.25">
      <c r="A81">
        <v>283987</v>
      </c>
      <c r="B81" t="s">
        <v>132</v>
      </c>
      <c r="C81" t="s">
        <v>493</v>
      </c>
      <c r="D81" t="s">
        <v>548</v>
      </c>
      <c r="E81" s="3">
        <v>44562</v>
      </c>
      <c r="F81" s="3">
        <v>44926</v>
      </c>
      <c r="G81" t="s">
        <v>108</v>
      </c>
      <c r="H81" s="3">
        <v>44562</v>
      </c>
      <c r="I81" s="3">
        <v>44926</v>
      </c>
      <c r="J81" t="s">
        <v>108</v>
      </c>
      <c r="K81">
        <v>29409</v>
      </c>
      <c r="L81" t="s">
        <v>109</v>
      </c>
      <c r="M81" t="s">
        <v>110</v>
      </c>
      <c r="O81" t="s">
        <v>625</v>
      </c>
      <c r="P81" t="s">
        <v>550</v>
      </c>
      <c r="Q81">
        <v>2022</v>
      </c>
      <c r="R81" t="s">
        <v>567</v>
      </c>
      <c r="S81" t="s">
        <v>568</v>
      </c>
      <c r="T81" t="s">
        <v>569</v>
      </c>
      <c r="U81" t="b">
        <v>0</v>
      </c>
      <c r="V81" t="s">
        <v>628</v>
      </c>
      <c r="W81" t="s">
        <v>571</v>
      </c>
      <c r="X81" t="s">
        <v>572</v>
      </c>
      <c r="Y81" t="s">
        <v>466</v>
      </c>
      <c r="Z81" t="s">
        <v>495</v>
      </c>
      <c r="AA81" t="s">
        <v>627</v>
      </c>
      <c r="AC81">
        <v>1</v>
      </c>
      <c r="AD81" t="s">
        <v>565</v>
      </c>
      <c r="AE81">
        <v>212.27430960000001</v>
      </c>
      <c r="AF81">
        <v>7.2180050000000004E-3</v>
      </c>
      <c r="AG81" t="s">
        <v>560</v>
      </c>
      <c r="AH81">
        <v>1</v>
      </c>
      <c r="AI81">
        <v>29409</v>
      </c>
      <c r="AJ81" t="s">
        <v>561</v>
      </c>
      <c r="AK81" t="s">
        <v>573</v>
      </c>
      <c r="AL81" t="s">
        <v>574</v>
      </c>
      <c r="AM81">
        <v>2022</v>
      </c>
      <c r="AN81">
        <v>2020</v>
      </c>
      <c r="AO81">
        <f>IF(AND(emissions[[#This Row],[Market-based]]=0,emissions[[#This Row],[Impact Type]]="CO2E"),emissions[[#This Row],[kgCO2e]],0)/1000</f>
        <v>0</v>
      </c>
      <c r="AP81">
        <f>IF(AND(emissions[[#This Row],[Market-based]]=1,OR(emissions[[#This Row],[Impact Type]]="CO2E",emissions[[#This Row],[Impact Type]]="CO2E MKT")),emissions[[#This Row],[kgCO2e]],0)/1000</f>
        <v>0.21227430960000002</v>
      </c>
      <c r="AQ81" t="str">
        <f>_xlfn.TEXTAFTER(emissions[[#This Row],[Reporting Unit]]," &gt; ",LEN(emissions[[#This Row],[Reporting Unit]])-LEN(SUBSTITUTE(emissions[[#This Row],[Reporting Unit]],"&gt;","")))</f>
        <v>Vantage_Shanghai</v>
      </c>
      <c r="AR81" t="str">
        <f>_xlfn.XLOOKUP(emissions[[#This Row],[Reporting unit name]],hierarchy!$A:$A,hierarchy!$C:$C)</f>
        <v>Warehouse</v>
      </c>
    </row>
    <row r="82" spans="1:44" hidden="1" x14ac:dyDescent="0.25">
      <c r="A82">
        <v>283987</v>
      </c>
      <c r="B82" t="s">
        <v>132</v>
      </c>
      <c r="C82" t="s">
        <v>493</v>
      </c>
      <c r="D82" t="s">
        <v>548</v>
      </c>
      <c r="E82" s="3">
        <v>44562</v>
      </c>
      <c r="F82" s="3">
        <v>44926</v>
      </c>
      <c r="G82" t="s">
        <v>108</v>
      </c>
      <c r="H82" s="3">
        <v>44562</v>
      </c>
      <c r="I82" s="3">
        <v>44926</v>
      </c>
      <c r="J82" t="s">
        <v>108</v>
      </c>
      <c r="K82">
        <v>29409</v>
      </c>
      <c r="L82" t="s">
        <v>109</v>
      </c>
      <c r="M82" t="s">
        <v>110</v>
      </c>
      <c r="O82" t="s">
        <v>625</v>
      </c>
      <c r="P82" t="s">
        <v>550</v>
      </c>
      <c r="Q82">
        <v>2022</v>
      </c>
      <c r="R82" t="s">
        <v>575</v>
      </c>
      <c r="S82" t="s">
        <v>576</v>
      </c>
      <c r="T82" t="s">
        <v>577</v>
      </c>
      <c r="U82" t="b">
        <v>0</v>
      </c>
      <c r="V82" t="s">
        <v>629</v>
      </c>
      <c r="W82" t="s">
        <v>571</v>
      </c>
      <c r="X82" t="s">
        <v>572</v>
      </c>
      <c r="Y82" t="s">
        <v>466</v>
      </c>
      <c r="Z82" t="s">
        <v>495</v>
      </c>
      <c r="AA82" t="s">
        <v>627</v>
      </c>
      <c r="AC82">
        <v>0</v>
      </c>
      <c r="AD82" t="s">
        <v>565</v>
      </c>
      <c r="AE82">
        <v>4750.0222329999997</v>
      </c>
      <c r="AF82">
        <v>0.161515938</v>
      </c>
      <c r="AG82" t="s">
        <v>560</v>
      </c>
      <c r="AH82">
        <v>1</v>
      </c>
      <c r="AI82">
        <v>29409</v>
      </c>
      <c r="AJ82" t="s">
        <v>561</v>
      </c>
      <c r="AK82" t="s">
        <v>573</v>
      </c>
      <c r="AL82" t="s">
        <v>574</v>
      </c>
      <c r="AM82">
        <v>2022</v>
      </c>
      <c r="AN82">
        <v>2020</v>
      </c>
      <c r="AO82">
        <f>IF(AND(emissions[[#This Row],[Market-based]]=0,emissions[[#This Row],[Impact Type]]="CO2E"),emissions[[#This Row],[kgCO2e]],0)/1000</f>
        <v>4.7500222329999993</v>
      </c>
      <c r="AP82">
        <f>IF(AND(emissions[[#This Row],[Market-based]]=1,OR(emissions[[#This Row],[Impact Type]]="CO2E",emissions[[#This Row],[Impact Type]]="CO2E MKT")),emissions[[#This Row],[kgCO2e]],0)/1000</f>
        <v>0</v>
      </c>
      <c r="AQ82" t="str">
        <f>_xlfn.TEXTAFTER(emissions[[#This Row],[Reporting Unit]]," &gt; ",LEN(emissions[[#This Row],[Reporting Unit]])-LEN(SUBSTITUTE(emissions[[#This Row],[Reporting Unit]],"&gt;","")))</f>
        <v>Vantage_Shanghai</v>
      </c>
      <c r="AR82" t="str">
        <f>_xlfn.XLOOKUP(emissions[[#This Row],[Reporting unit name]],hierarchy!$A:$A,hierarchy!$C:$C)</f>
        <v>Warehouse</v>
      </c>
    </row>
    <row r="83" spans="1:44" hidden="1" x14ac:dyDescent="0.25">
      <c r="A83">
        <v>283987</v>
      </c>
      <c r="B83" t="s">
        <v>132</v>
      </c>
      <c r="C83" t="s">
        <v>493</v>
      </c>
      <c r="D83" t="s">
        <v>548</v>
      </c>
      <c r="E83" s="3">
        <v>44562</v>
      </c>
      <c r="F83" s="3">
        <v>44926</v>
      </c>
      <c r="G83" t="s">
        <v>108</v>
      </c>
      <c r="H83" s="3">
        <v>44562</v>
      </c>
      <c r="I83" s="3">
        <v>44926</v>
      </c>
      <c r="J83" t="s">
        <v>108</v>
      </c>
      <c r="K83">
        <v>29409</v>
      </c>
      <c r="L83" t="s">
        <v>109</v>
      </c>
      <c r="M83" t="s">
        <v>110</v>
      </c>
      <c r="O83" t="s">
        <v>625</v>
      </c>
      <c r="P83" t="s">
        <v>550</v>
      </c>
      <c r="Q83">
        <v>2022</v>
      </c>
      <c r="R83" t="s">
        <v>575</v>
      </c>
      <c r="S83" t="s">
        <v>576</v>
      </c>
      <c r="T83" t="s">
        <v>577</v>
      </c>
      <c r="U83" t="b">
        <v>0</v>
      </c>
      <c r="V83" t="s">
        <v>629</v>
      </c>
      <c r="W83" t="s">
        <v>571</v>
      </c>
      <c r="X83" t="s">
        <v>572</v>
      </c>
      <c r="Y83" t="s">
        <v>466</v>
      </c>
      <c r="Z83" t="s">
        <v>495</v>
      </c>
      <c r="AA83" t="s">
        <v>627</v>
      </c>
      <c r="AC83">
        <v>1</v>
      </c>
      <c r="AD83" t="s">
        <v>565</v>
      </c>
      <c r="AE83">
        <v>4750.0222329999997</v>
      </c>
      <c r="AF83">
        <v>0.161515938</v>
      </c>
      <c r="AG83" t="s">
        <v>560</v>
      </c>
      <c r="AH83">
        <v>1</v>
      </c>
      <c r="AI83">
        <v>29409</v>
      </c>
      <c r="AJ83" t="s">
        <v>561</v>
      </c>
      <c r="AK83" t="s">
        <v>573</v>
      </c>
      <c r="AL83" t="s">
        <v>574</v>
      </c>
      <c r="AM83">
        <v>2022</v>
      </c>
      <c r="AN83">
        <v>2020</v>
      </c>
      <c r="AO83">
        <f>IF(AND(emissions[[#This Row],[Market-based]]=0,emissions[[#This Row],[Impact Type]]="CO2E"),emissions[[#This Row],[kgCO2e]],0)/1000</f>
        <v>0</v>
      </c>
      <c r="AP83">
        <f>IF(AND(emissions[[#This Row],[Market-based]]=1,OR(emissions[[#This Row],[Impact Type]]="CO2E",emissions[[#This Row],[Impact Type]]="CO2E MKT")),emissions[[#This Row],[kgCO2e]],0)/1000</f>
        <v>4.7500222329999993</v>
      </c>
      <c r="AQ83" t="str">
        <f>_xlfn.TEXTAFTER(emissions[[#This Row],[Reporting Unit]]," &gt; ",LEN(emissions[[#This Row],[Reporting Unit]])-LEN(SUBSTITUTE(emissions[[#This Row],[Reporting Unit]],"&gt;","")))</f>
        <v>Vantage_Shanghai</v>
      </c>
      <c r="AR83" t="str">
        <f>_xlfn.XLOOKUP(emissions[[#This Row],[Reporting unit name]],hierarchy!$A:$A,hierarchy!$C:$C)</f>
        <v>Warehouse</v>
      </c>
    </row>
    <row r="84" spans="1:44" hidden="1" x14ac:dyDescent="0.25">
      <c r="A84">
        <v>283987</v>
      </c>
      <c r="B84" t="s">
        <v>132</v>
      </c>
      <c r="C84" t="s">
        <v>493</v>
      </c>
      <c r="D84" t="s">
        <v>548</v>
      </c>
      <c r="E84" s="3">
        <v>44562</v>
      </c>
      <c r="F84" s="3">
        <v>44926</v>
      </c>
      <c r="G84" t="s">
        <v>108</v>
      </c>
      <c r="H84" s="3">
        <v>44562</v>
      </c>
      <c r="I84" s="3">
        <v>44926</v>
      </c>
      <c r="J84" t="s">
        <v>108</v>
      </c>
      <c r="K84">
        <v>29409</v>
      </c>
      <c r="L84" t="s">
        <v>109</v>
      </c>
      <c r="M84" t="s">
        <v>110</v>
      </c>
      <c r="O84" t="s">
        <v>625</v>
      </c>
      <c r="P84" t="s">
        <v>550</v>
      </c>
      <c r="Q84">
        <v>2022</v>
      </c>
      <c r="R84" t="s">
        <v>579</v>
      </c>
      <c r="S84" t="s">
        <v>580</v>
      </c>
      <c r="T84" t="s">
        <v>581</v>
      </c>
      <c r="U84" t="b">
        <v>0</v>
      </c>
      <c r="V84" t="s">
        <v>630</v>
      </c>
      <c r="W84" t="s">
        <v>571</v>
      </c>
      <c r="X84" t="s">
        <v>572</v>
      </c>
      <c r="Y84" t="s">
        <v>466</v>
      </c>
      <c r="Z84" t="s">
        <v>495</v>
      </c>
      <c r="AA84" t="s">
        <v>627</v>
      </c>
      <c r="AC84">
        <v>0</v>
      </c>
      <c r="AD84" t="s">
        <v>565</v>
      </c>
      <c r="AE84">
        <v>811.6884</v>
      </c>
      <c r="AF84" t="s">
        <v>559</v>
      </c>
      <c r="AG84" t="s">
        <v>560</v>
      </c>
      <c r="AH84">
        <v>1</v>
      </c>
      <c r="AI84">
        <v>29409</v>
      </c>
      <c r="AJ84" t="s">
        <v>561</v>
      </c>
      <c r="AK84" t="s">
        <v>562</v>
      </c>
      <c r="AL84" t="s">
        <v>563</v>
      </c>
      <c r="AM84">
        <v>2022</v>
      </c>
      <c r="AN84">
        <v>2020</v>
      </c>
      <c r="AO84">
        <f>IF(AND(emissions[[#This Row],[Market-based]]=0,emissions[[#This Row],[Impact Type]]="CO2E"),emissions[[#This Row],[kgCO2e]],0)/1000</f>
        <v>0.81168839999999998</v>
      </c>
      <c r="AP84">
        <f>IF(AND(emissions[[#This Row],[Market-based]]=1,OR(emissions[[#This Row],[Impact Type]]="CO2E",emissions[[#This Row],[Impact Type]]="CO2E MKT")),emissions[[#This Row],[kgCO2e]],0)/1000</f>
        <v>0</v>
      </c>
      <c r="AQ84" t="str">
        <f>_xlfn.TEXTAFTER(emissions[[#This Row],[Reporting Unit]]," &gt; ",LEN(emissions[[#This Row],[Reporting Unit]])-LEN(SUBSTITUTE(emissions[[#This Row],[Reporting Unit]],"&gt;","")))</f>
        <v>Vantage_Shanghai</v>
      </c>
      <c r="AR84" t="str">
        <f>_xlfn.XLOOKUP(emissions[[#This Row],[Reporting unit name]],hierarchy!$A:$A,hierarchy!$C:$C)</f>
        <v>Warehouse</v>
      </c>
    </row>
    <row r="85" spans="1:44" hidden="1" x14ac:dyDescent="0.25">
      <c r="A85">
        <v>283987</v>
      </c>
      <c r="B85" t="s">
        <v>132</v>
      </c>
      <c r="C85" t="s">
        <v>493</v>
      </c>
      <c r="D85" t="s">
        <v>548</v>
      </c>
      <c r="E85" s="3">
        <v>44562</v>
      </c>
      <c r="F85" s="3">
        <v>44926</v>
      </c>
      <c r="G85" t="s">
        <v>108</v>
      </c>
      <c r="H85" s="3">
        <v>44562</v>
      </c>
      <c r="I85" s="3">
        <v>44926</v>
      </c>
      <c r="J85" t="s">
        <v>108</v>
      </c>
      <c r="K85">
        <v>29409</v>
      </c>
      <c r="L85" t="s">
        <v>109</v>
      </c>
      <c r="M85" t="s">
        <v>110</v>
      </c>
      <c r="O85" t="s">
        <v>625</v>
      </c>
      <c r="P85" t="s">
        <v>550</v>
      </c>
      <c r="Q85">
        <v>2022</v>
      </c>
      <c r="R85" t="s">
        <v>579</v>
      </c>
      <c r="S85" t="s">
        <v>580</v>
      </c>
      <c r="T85" t="s">
        <v>581</v>
      </c>
      <c r="U85" t="b">
        <v>0</v>
      </c>
      <c r="V85" t="s">
        <v>630</v>
      </c>
      <c r="W85" t="s">
        <v>571</v>
      </c>
      <c r="X85" t="s">
        <v>572</v>
      </c>
      <c r="Y85" t="s">
        <v>466</v>
      </c>
      <c r="Z85" t="s">
        <v>495</v>
      </c>
      <c r="AA85" t="s">
        <v>627</v>
      </c>
      <c r="AC85">
        <v>1</v>
      </c>
      <c r="AD85" t="s">
        <v>565</v>
      </c>
      <c r="AE85">
        <v>811.6884</v>
      </c>
      <c r="AF85" t="s">
        <v>559</v>
      </c>
      <c r="AG85" t="s">
        <v>560</v>
      </c>
      <c r="AH85">
        <v>1</v>
      </c>
      <c r="AI85">
        <v>29409</v>
      </c>
      <c r="AJ85" t="s">
        <v>561</v>
      </c>
      <c r="AK85" t="s">
        <v>562</v>
      </c>
      <c r="AL85" t="s">
        <v>563</v>
      </c>
      <c r="AM85">
        <v>2022</v>
      </c>
      <c r="AN85">
        <v>2020</v>
      </c>
      <c r="AO85">
        <f>IF(AND(emissions[[#This Row],[Market-based]]=0,emissions[[#This Row],[Impact Type]]="CO2E"),emissions[[#This Row],[kgCO2e]],0)/1000</f>
        <v>0</v>
      </c>
      <c r="AP85">
        <f>IF(AND(emissions[[#This Row],[Market-based]]=1,OR(emissions[[#This Row],[Impact Type]]="CO2E",emissions[[#This Row],[Impact Type]]="CO2E MKT")),emissions[[#This Row],[kgCO2e]],0)/1000</f>
        <v>0.81168839999999998</v>
      </c>
      <c r="AQ85" t="str">
        <f>_xlfn.TEXTAFTER(emissions[[#This Row],[Reporting Unit]]," &gt; ",LEN(emissions[[#This Row],[Reporting Unit]])-LEN(SUBSTITUTE(emissions[[#This Row],[Reporting Unit]],"&gt;","")))</f>
        <v>Vantage_Shanghai</v>
      </c>
      <c r="AR85" t="str">
        <f>_xlfn.XLOOKUP(emissions[[#This Row],[Reporting unit name]],hierarchy!$A:$A,hierarchy!$C:$C)</f>
        <v>Warehouse</v>
      </c>
    </row>
    <row r="86" spans="1:44" hidden="1" x14ac:dyDescent="0.25">
      <c r="A86">
        <v>1590441</v>
      </c>
      <c r="B86" t="s">
        <v>132</v>
      </c>
      <c r="C86" t="s">
        <v>493</v>
      </c>
      <c r="D86" t="s">
        <v>548</v>
      </c>
      <c r="E86" s="3">
        <v>44562</v>
      </c>
      <c r="F86" s="3">
        <v>44926</v>
      </c>
      <c r="G86" t="s">
        <v>135</v>
      </c>
      <c r="H86" s="3">
        <v>44562</v>
      </c>
      <c r="I86" s="3">
        <v>44926</v>
      </c>
      <c r="J86" t="s">
        <v>135</v>
      </c>
      <c r="K86">
        <v>3788.4519110000001</v>
      </c>
      <c r="L86" t="s">
        <v>136</v>
      </c>
      <c r="M86" t="s">
        <v>82</v>
      </c>
      <c r="N86" t="s">
        <v>137</v>
      </c>
      <c r="O86" t="s">
        <v>631</v>
      </c>
      <c r="P86" t="s">
        <v>631</v>
      </c>
      <c r="Q86">
        <v>2022</v>
      </c>
      <c r="R86" t="s">
        <v>605</v>
      </c>
      <c r="S86" t="s">
        <v>606</v>
      </c>
      <c r="T86" t="s">
        <v>553</v>
      </c>
      <c r="U86" t="b">
        <v>0</v>
      </c>
      <c r="V86" t="s">
        <v>607</v>
      </c>
      <c r="W86" t="s">
        <v>587</v>
      </c>
      <c r="X86" t="s">
        <v>556</v>
      </c>
      <c r="AC86">
        <v>0</v>
      </c>
      <c r="AD86" t="s">
        <v>558</v>
      </c>
      <c r="AE86">
        <v>27.750504960000001</v>
      </c>
      <c r="AF86">
        <v>2.5000000000000001E-4</v>
      </c>
      <c r="AG86" t="s">
        <v>608</v>
      </c>
      <c r="AH86">
        <v>29.3001</v>
      </c>
      <c r="AI86">
        <v>111002.01979999999</v>
      </c>
      <c r="AJ86" t="s">
        <v>561</v>
      </c>
      <c r="AK86" t="s">
        <v>589</v>
      </c>
      <c r="AL86" t="s">
        <v>590</v>
      </c>
      <c r="AM86">
        <v>2022</v>
      </c>
      <c r="AN86">
        <v>2020</v>
      </c>
      <c r="AO86">
        <f>IF(AND(emissions[[#This Row],[Market-based]]=0,emissions[[#This Row],[Impact Type]]="CO2E"),emissions[[#This Row],[kgCO2e]],0)/1000</f>
        <v>0</v>
      </c>
      <c r="AP86">
        <f>IF(AND(emissions[[#This Row],[Market-based]]=1,OR(emissions[[#This Row],[Impact Type]]="CO2E",emissions[[#This Row],[Impact Type]]="CO2E MKT")),emissions[[#This Row],[kgCO2e]],0)/1000</f>
        <v>0</v>
      </c>
      <c r="AQ86" t="str">
        <f>_xlfn.TEXTAFTER(emissions[[#This Row],[Reporting Unit]]," &gt; ",LEN(emissions[[#This Row],[Reporting Unit]])-LEN(SUBSTITUTE(emissions[[#This Row],[Reporting Unit]],"&gt;","")))</f>
        <v>Vantage_Shanghai</v>
      </c>
      <c r="AR86" t="str">
        <f>_xlfn.XLOOKUP(emissions[[#This Row],[Reporting unit name]],hierarchy!$A:$A,hierarchy!$C:$C)</f>
        <v>Warehouse</v>
      </c>
    </row>
    <row r="87" spans="1:44" hidden="1" x14ac:dyDescent="0.25">
      <c r="A87">
        <v>1590441</v>
      </c>
      <c r="B87" t="s">
        <v>132</v>
      </c>
      <c r="C87" t="s">
        <v>493</v>
      </c>
      <c r="D87" t="s">
        <v>548</v>
      </c>
      <c r="E87" s="3">
        <v>44562</v>
      </c>
      <c r="F87" s="3">
        <v>44926</v>
      </c>
      <c r="G87" t="s">
        <v>135</v>
      </c>
      <c r="H87" s="3">
        <v>44562</v>
      </c>
      <c r="I87" s="3">
        <v>44926</v>
      </c>
      <c r="J87" t="s">
        <v>135</v>
      </c>
      <c r="K87">
        <v>3788.4519110000001</v>
      </c>
      <c r="L87" t="s">
        <v>136</v>
      </c>
      <c r="M87" t="s">
        <v>82</v>
      </c>
      <c r="N87" t="s">
        <v>137</v>
      </c>
      <c r="O87" t="s">
        <v>631</v>
      </c>
      <c r="P87" t="s">
        <v>631</v>
      </c>
      <c r="Q87">
        <v>2022</v>
      </c>
      <c r="R87" t="s">
        <v>605</v>
      </c>
      <c r="S87" t="s">
        <v>606</v>
      </c>
      <c r="T87" t="s">
        <v>553</v>
      </c>
      <c r="U87" t="b">
        <v>0</v>
      </c>
      <c r="V87" t="s">
        <v>607</v>
      </c>
      <c r="W87" t="s">
        <v>587</v>
      </c>
      <c r="X87" t="s">
        <v>556</v>
      </c>
      <c r="AC87">
        <v>0</v>
      </c>
      <c r="AD87" t="s">
        <v>564</v>
      </c>
      <c r="AE87">
        <v>20223.457989999999</v>
      </c>
      <c r="AF87">
        <v>0.18218999999999999</v>
      </c>
      <c r="AG87" t="s">
        <v>608</v>
      </c>
      <c r="AH87">
        <v>29.3001</v>
      </c>
      <c r="AI87">
        <v>111002.01979999999</v>
      </c>
      <c r="AJ87" t="s">
        <v>561</v>
      </c>
      <c r="AK87" t="s">
        <v>589</v>
      </c>
      <c r="AL87" t="s">
        <v>590</v>
      </c>
      <c r="AM87">
        <v>2022</v>
      </c>
      <c r="AN87">
        <v>2020</v>
      </c>
      <c r="AO87">
        <f>IF(AND(emissions[[#This Row],[Market-based]]=0,emissions[[#This Row],[Impact Type]]="CO2E"),emissions[[#This Row],[kgCO2e]],0)/1000</f>
        <v>0</v>
      </c>
      <c r="AP87">
        <f>IF(AND(emissions[[#This Row],[Market-based]]=1,OR(emissions[[#This Row],[Impact Type]]="CO2E",emissions[[#This Row],[Impact Type]]="CO2E MKT")),emissions[[#This Row],[kgCO2e]],0)/1000</f>
        <v>0</v>
      </c>
      <c r="AQ87" t="str">
        <f>_xlfn.TEXTAFTER(emissions[[#This Row],[Reporting Unit]]," &gt; ",LEN(emissions[[#This Row],[Reporting Unit]])-LEN(SUBSTITUTE(emissions[[#This Row],[Reporting Unit]],"&gt;","")))</f>
        <v>Vantage_Shanghai</v>
      </c>
      <c r="AR87" t="str">
        <f>_xlfn.XLOOKUP(emissions[[#This Row],[Reporting unit name]],hierarchy!$A:$A,hierarchy!$C:$C)</f>
        <v>Warehouse</v>
      </c>
    </row>
    <row r="88" spans="1:44" hidden="1" x14ac:dyDescent="0.25">
      <c r="A88">
        <v>1590441</v>
      </c>
      <c r="B88" t="s">
        <v>132</v>
      </c>
      <c r="C88" t="s">
        <v>493</v>
      </c>
      <c r="D88" t="s">
        <v>548</v>
      </c>
      <c r="E88" s="3">
        <v>44562</v>
      </c>
      <c r="F88" s="3">
        <v>44926</v>
      </c>
      <c r="G88" t="s">
        <v>135</v>
      </c>
      <c r="H88" s="3">
        <v>44562</v>
      </c>
      <c r="I88" s="3">
        <v>44926</v>
      </c>
      <c r="J88" t="s">
        <v>135</v>
      </c>
      <c r="K88">
        <v>3788.4519110000001</v>
      </c>
      <c r="L88" t="s">
        <v>136</v>
      </c>
      <c r="M88" t="s">
        <v>82</v>
      </c>
      <c r="N88" t="s">
        <v>137</v>
      </c>
      <c r="O88" t="s">
        <v>631</v>
      </c>
      <c r="P88" t="s">
        <v>631</v>
      </c>
      <c r="Q88">
        <v>2022</v>
      </c>
      <c r="R88" t="s">
        <v>605</v>
      </c>
      <c r="S88" t="s">
        <v>606</v>
      </c>
      <c r="T88" t="s">
        <v>553</v>
      </c>
      <c r="U88" t="b">
        <v>0</v>
      </c>
      <c r="V88" t="s">
        <v>607</v>
      </c>
      <c r="W88" t="s">
        <v>587</v>
      </c>
      <c r="X88" t="s">
        <v>556</v>
      </c>
      <c r="AC88">
        <v>0</v>
      </c>
      <c r="AD88" t="s">
        <v>565</v>
      </c>
      <c r="AE88">
        <v>20262.308700000001</v>
      </c>
      <c r="AF88">
        <v>0.18254000000000001</v>
      </c>
      <c r="AG88" t="s">
        <v>608</v>
      </c>
      <c r="AH88">
        <v>29.3001</v>
      </c>
      <c r="AI88">
        <v>111002.01979999999</v>
      </c>
      <c r="AJ88" t="s">
        <v>561</v>
      </c>
      <c r="AK88" t="s">
        <v>589</v>
      </c>
      <c r="AL88" t="s">
        <v>590</v>
      </c>
      <c r="AM88">
        <v>2022</v>
      </c>
      <c r="AN88">
        <v>2020</v>
      </c>
      <c r="AO88">
        <f>IF(AND(emissions[[#This Row],[Market-based]]=0,emissions[[#This Row],[Impact Type]]="CO2E"),emissions[[#This Row],[kgCO2e]],0)/1000</f>
        <v>20.262308700000002</v>
      </c>
      <c r="AP88">
        <f>IF(AND(emissions[[#This Row],[Market-based]]=1,OR(emissions[[#This Row],[Impact Type]]="CO2E",emissions[[#This Row],[Impact Type]]="CO2E MKT")),emissions[[#This Row],[kgCO2e]],0)/1000</f>
        <v>0</v>
      </c>
      <c r="AQ88" t="str">
        <f>_xlfn.TEXTAFTER(emissions[[#This Row],[Reporting Unit]]," &gt; ",LEN(emissions[[#This Row],[Reporting Unit]])-LEN(SUBSTITUTE(emissions[[#This Row],[Reporting Unit]],"&gt;","")))</f>
        <v>Vantage_Shanghai</v>
      </c>
      <c r="AR88" t="str">
        <f>_xlfn.XLOOKUP(emissions[[#This Row],[Reporting unit name]],hierarchy!$A:$A,hierarchy!$C:$C)</f>
        <v>Warehouse</v>
      </c>
    </row>
    <row r="89" spans="1:44" hidden="1" x14ac:dyDescent="0.25">
      <c r="A89">
        <v>1590441</v>
      </c>
      <c r="B89" t="s">
        <v>132</v>
      </c>
      <c r="C89" t="s">
        <v>493</v>
      </c>
      <c r="D89" t="s">
        <v>548</v>
      </c>
      <c r="E89" s="3">
        <v>44562</v>
      </c>
      <c r="F89" s="3">
        <v>44926</v>
      </c>
      <c r="G89" t="s">
        <v>135</v>
      </c>
      <c r="H89" s="3">
        <v>44562</v>
      </c>
      <c r="I89" s="3">
        <v>44926</v>
      </c>
      <c r="J89" t="s">
        <v>135</v>
      </c>
      <c r="K89">
        <v>3788.4519110000001</v>
      </c>
      <c r="L89" t="s">
        <v>136</v>
      </c>
      <c r="M89" t="s">
        <v>82</v>
      </c>
      <c r="N89" t="s">
        <v>137</v>
      </c>
      <c r="O89" t="s">
        <v>631</v>
      </c>
      <c r="P89" t="s">
        <v>631</v>
      </c>
      <c r="Q89">
        <v>2022</v>
      </c>
      <c r="R89" t="s">
        <v>605</v>
      </c>
      <c r="S89" t="s">
        <v>606</v>
      </c>
      <c r="T89" t="s">
        <v>553</v>
      </c>
      <c r="U89" t="b">
        <v>0</v>
      </c>
      <c r="V89" t="s">
        <v>607</v>
      </c>
      <c r="W89" t="s">
        <v>587</v>
      </c>
      <c r="X89" t="s">
        <v>556</v>
      </c>
      <c r="AC89">
        <v>0</v>
      </c>
      <c r="AD89" t="s">
        <v>566</v>
      </c>
      <c r="AE89">
        <v>11.10020198</v>
      </c>
      <c r="AF89">
        <v>1E-4</v>
      </c>
      <c r="AG89" t="s">
        <v>608</v>
      </c>
      <c r="AH89">
        <v>29.3001</v>
      </c>
      <c r="AI89">
        <v>111002.01979999999</v>
      </c>
      <c r="AJ89" t="s">
        <v>561</v>
      </c>
      <c r="AK89" t="s">
        <v>589</v>
      </c>
      <c r="AL89" t="s">
        <v>590</v>
      </c>
      <c r="AM89">
        <v>2022</v>
      </c>
      <c r="AN89">
        <v>2020</v>
      </c>
      <c r="AO89">
        <f>IF(AND(emissions[[#This Row],[Market-based]]=0,emissions[[#This Row],[Impact Type]]="CO2E"),emissions[[#This Row],[kgCO2e]],0)/1000</f>
        <v>0</v>
      </c>
      <c r="AP89">
        <f>IF(AND(emissions[[#This Row],[Market-based]]=1,OR(emissions[[#This Row],[Impact Type]]="CO2E",emissions[[#This Row],[Impact Type]]="CO2E MKT")),emissions[[#This Row],[kgCO2e]],0)/1000</f>
        <v>0</v>
      </c>
      <c r="AQ89" t="str">
        <f>_xlfn.TEXTAFTER(emissions[[#This Row],[Reporting Unit]]," &gt; ",LEN(emissions[[#This Row],[Reporting Unit]])-LEN(SUBSTITUTE(emissions[[#This Row],[Reporting Unit]],"&gt;","")))</f>
        <v>Vantage_Shanghai</v>
      </c>
      <c r="AR89" t="str">
        <f>_xlfn.XLOOKUP(emissions[[#This Row],[Reporting unit name]],hierarchy!$A:$A,hierarchy!$C:$C)</f>
        <v>Warehouse</v>
      </c>
    </row>
    <row r="90" spans="1:44" hidden="1" x14ac:dyDescent="0.25">
      <c r="A90">
        <v>1590441</v>
      </c>
      <c r="B90" t="s">
        <v>132</v>
      </c>
      <c r="C90" t="s">
        <v>493</v>
      </c>
      <c r="D90" t="s">
        <v>548</v>
      </c>
      <c r="E90" s="3">
        <v>44562</v>
      </c>
      <c r="F90" s="3">
        <v>44926</v>
      </c>
      <c r="G90" t="s">
        <v>135</v>
      </c>
      <c r="H90" s="3">
        <v>44562</v>
      </c>
      <c r="I90" s="3">
        <v>44926</v>
      </c>
      <c r="J90" t="s">
        <v>135</v>
      </c>
      <c r="K90">
        <v>3788.4519110000001</v>
      </c>
      <c r="L90" t="s">
        <v>136</v>
      </c>
      <c r="M90" t="s">
        <v>82</v>
      </c>
      <c r="N90" t="s">
        <v>137</v>
      </c>
      <c r="O90" t="s">
        <v>631</v>
      </c>
      <c r="P90" t="s">
        <v>631</v>
      </c>
      <c r="Q90">
        <v>2022</v>
      </c>
      <c r="R90" t="s">
        <v>605</v>
      </c>
      <c r="S90" t="s">
        <v>606</v>
      </c>
      <c r="T90" t="s">
        <v>553</v>
      </c>
      <c r="U90" t="b">
        <v>0</v>
      </c>
      <c r="V90" t="s">
        <v>607</v>
      </c>
      <c r="W90" t="s">
        <v>587</v>
      </c>
      <c r="X90" t="s">
        <v>556</v>
      </c>
      <c r="AC90">
        <v>1</v>
      </c>
      <c r="AD90" t="s">
        <v>558</v>
      </c>
      <c r="AE90">
        <v>27.750504960000001</v>
      </c>
      <c r="AF90">
        <v>2.5000000000000001E-4</v>
      </c>
      <c r="AG90" t="s">
        <v>608</v>
      </c>
      <c r="AH90">
        <v>29.3001</v>
      </c>
      <c r="AI90">
        <v>111002.01979999999</v>
      </c>
      <c r="AJ90" t="s">
        <v>561</v>
      </c>
      <c r="AK90" t="s">
        <v>589</v>
      </c>
      <c r="AL90" t="s">
        <v>590</v>
      </c>
      <c r="AM90">
        <v>2022</v>
      </c>
      <c r="AN90">
        <v>2020</v>
      </c>
      <c r="AO90">
        <f>IF(AND(emissions[[#This Row],[Market-based]]=0,emissions[[#This Row],[Impact Type]]="CO2E"),emissions[[#This Row],[kgCO2e]],0)/1000</f>
        <v>0</v>
      </c>
      <c r="AP90">
        <f>IF(AND(emissions[[#This Row],[Market-based]]=1,OR(emissions[[#This Row],[Impact Type]]="CO2E",emissions[[#This Row],[Impact Type]]="CO2E MKT")),emissions[[#This Row],[kgCO2e]],0)/1000</f>
        <v>0</v>
      </c>
      <c r="AQ90" t="str">
        <f>_xlfn.TEXTAFTER(emissions[[#This Row],[Reporting Unit]]," &gt; ",LEN(emissions[[#This Row],[Reporting Unit]])-LEN(SUBSTITUTE(emissions[[#This Row],[Reporting Unit]],"&gt;","")))</f>
        <v>Vantage_Shanghai</v>
      </c>
      <c r="AR90" t="str">
        <f>_xlfn.XLOOKUP(emissions[[#This Row],[Reporting unit name]],hierarchy!$A:$A,hierarchy!$C:$C)</f>
        <v>Warehouse</v>
      </c>
    </row>
    <row r="91" spans="1:44" hidden="1" x14ac:dyDescent="0.25">
      <c r="A91">
        <v>1590441</v>
      </c>
      <c r="B91" t="s">
        <v>132</v>
      </c>
      <c r="C91" t="s">
        <v>493</v>
      </c>
      <c r="D91" t="s">
        <v>548</v>
      </c>
      <c r="E91" s="3">
        <v>44562</v>
      </c>
      <c r="F91" s="3">
        <v>44926</v>
      </c>
      <c r="G91" t="s">
        <v>135</v>
      </c>
      <c r="H91" s="3">
        <v>44562</v>
      </c>
      <c r="I91" s="3">
        <v>44926</v>
      </c>
      <c r="J91" t="s">
        <v>135</v>
      </c>
      <c r="K91">
        <v>3788.4519110000001</v>
      </c>
      <c r="L91" t="s">
        <v>136</v>
      </c>
      <c r="M91" t="s">
        <v>82</v>
      </c>
      <c r="N91" t="s">
        <v>137</v>
      </c>
      <c r="O91" t="s">
        <v>631</v>
      </c>
      <c r="P91" t="s">
        <v>631</v>
      </c>
      <c r="Q91">
        <v>2022</v>
      </c>
      <c r="R91" t="s">
        <v>605</v>
      </c>
      <c r="S91" t="s">
        <v>606</v>
      </c>
      <c r="T91" t="s">
        <v>553</v>
      </c>
      <c r="U91" t="b">
        <v>0</v>
      </c>
      <c r="V91" t="s">
        <v>607</v>
      </c>
      <c r="W91" t="s">
        <v>587</v>
      </c>
      <c r="X91" t="s">
        <v>556</v>
      </c>
      <c r="AC91">
        <v>1</v>
      </c>
      <c r="AD91" t="s">
        <v>564</v>
      </c>
      <c r="AE91">
        <v>20223.457989999999</v>
      </c>
      <c r="AF91">
        <v>0.18218999999999999</v>
      </c>
      <c r="AG91" t="s">
        <v>608</v>
      </c>
      <c r="AH91">
        <v>29.3001</v>
      </c>
      <c r="AI91">
        <v>111002.01979999999</v>
      </c>
      <c r="AJ91" t="s">
        <v>561</v>
      </c>
      <c r="AK91" t="s">
        <v>589</v>
      </c>
      <c r="AL91" t="s">
        <v>590</v>
      </c>
      <c r="AM91">
        <v>2022</v>
      </c>
      <c r="AN91">
        <v>2020</v>
      </c>
      <c r="AO91">
        <f>IF(AND(emissions[[#This Row],[Market-based]]=0,emissions[[#This Row],[Impact Type]]="CO2E"),emissions[[#This Row],[kgCO2e]],0)/1000</f>
        <v>0</v>
      </c>
      <c r="AP91">
        <f>IF(AND(emissions[[#This Row],[Market-based]]=1,OR(emissions[[#This Row],[Impact Type]]="CO2E",emissions[[#This Row],[Impact Type]]="CO2E MKT")),emissions[[#This Row],[kgCO2e]],0)/1000</f>
        <v>0</v>
      </c>
      <c r="AQ91" t="str">
        <f>_xlfn.TEXTAFTER(emissions[[#This Row],[Reporting Unit]]," &gt; ",LEN(emissions[[#This Row],[Reporting Unit]])-LEN(SUBSTITUTE(emissions[[#This Row],[Reporting Unit]],"&gt;","")))</f>
        <v>Vantage_Shanghai</v>
      </c>
      <c r="AR91" t="str">
        <f>_xlfn.XLOOKUP(emissions[[#This Row],[Reporting unit name]],hierarchy!$A:$A,hierarchy!$C:$C)</f>
        <v>Warehouse</v>
      </c>
    </row>
    <row r="92" spans="1:44" hidden="1" x14ac:dyDescent="0.25">
      <c r="A92">
        <v>1590441</v>
      </c>
      <c r="B92" t="s">
        <v>132</v>
      </c>
      <c r="C92" t="s">
        <v>493</v>
      </c>
      <c r="D92" t="s">
        <v>548</v>
      </c>
      <c r="E92" s="3">
        <v>44562</v>
      </c>
      <c r="F92" s="3">
        <v>44926</v>
      </c>
      <c r="G92" t="s">
        <v>135</v>
      </c>
      <c r="H92" s="3">
        <v>44562</v>
      </c>
      <c r="I92" s="3">
        <v>44926</v>
      </c>
      <c r="J92" t="s">
        <v>135</v>
      </c>
      <c r="K92">
        <v>3788.4519110000001</v>
      </c>
      <c r="L92" t="s">
        <v>136</v>
      </c>
      <c r="M92" t="s">
        <v>82</v>
      </c>
      <c r="N92" t="s">
        <v>137</v>
      </c>
      <c r="O92" t="s">
        <v>631</v>
      </c>
      <c r="P92" t="s">
        <v>631</v>
      </c>
      <c r="Q92">
        <v>2022</v>
      </c>
      <c r="R92" t="s">
        <v>605</v>
      </c>
      <c r="S92" t="s">
        <v>606</v>
      </c>
      <c r="T92" t="s">
        <v>553</v>
      </c>
      <c r="U92" t="b">
        <v>0</v>
      </c>
      <c r="V92" t="s">
        <v>607</v>
      </c>
      <c r="W92" t="s">
        <v>587</v>
      </c>
      <c r="X92" t="s">
        <v>556</v>
      </c>
      <c r="AC92">
        <v>1</v>
      </c>
      <c r="AD92" t="s">
        <v>565</v>
      </c>
      <c r="AE92">
        <v>20262.308700000001</v>
      </c>
      <c r="AF92">
        <v>0.18254000000000001</v>
      </c>
      <c r="AG92" t="s">
        <v>608</v>
      </c>
      <c r="AH92">
        <v>29.3001</v>
      </c>
      <c r="AI92">
        <v>111002.01979999999</v>
      </c>
      <c r="AJ92" t="s">
        <v>561</v>
      </c>
      <c r="AK92" t="s">
        <v>589</v>
      </c>
      <c r="AL92" t="s">
        <v>590</v>
      </c>
      <c r="AM92">
        <v>2022</v>
      </c>
      <c r="AN92">
        <v>2020</v>
      </c>
      <c r="AO92">
        <f>IF(AND(emissions[[#This Row],[Market-based]]=0,emissions[[#This Row],[Impact Type]]="CO2E"),emissions[[#This Row],[kgCO2e]],0)/1000</f>
        <v>0</v>
      </c>
      <c r="AP92">
        <f>IF(AND(emissions[[#This Row],[Market-based]]=1,OR(emissions[[#This Row],[Impact Type]]="CO2E",emissions[[#This Row],[Impact Type]]="CO2E MKT")),emissions[[#This Row],[kgCO2e]],0)/1000</f>
        <v>20.262308700000002</v>
      </c>
      <c r="AQ92" t="str">
        <f>_xlfn.TEXTAFTER(emissions[[#This Row],[Reporting Unit]]," &gt; ",LEN(emissions[[#This Row],[Reporting Unit]])-LEN(SUBSTITUTE(emissions[[#This Row],[Reporting Unit]],"&gt;","")))</f>
        <v>Vantage_Shanghai</v>
      </c>
      <c r="AR92" t="str">
        <f>_xlfn.XLOOKUP(emissions[[#This Row],[Reporting unit name]],hierarchy!$A:$A,hierarchy!$C:$C)</f>
        <v>Warehouse</v>
      </c>
    </row>
    <row r="93" spans="1:44" hidden="1" x14ac:dyDescent="0.25">
      <c r="A93">
        <v>1590441</v>
      </c>
      <c r="B93" t="s">
        <v>132</v>
      </c>
      <c r="C93" t="s">
        <v>493</v>
      </c>
      <c r="D93" t="s">
        <v>548</v>
      </c>
      <c r="E93" s="3">
        <v>44562</v>
      </c>
      <c r="F93" s="3">
        <v>44926</v>
      </c>
      <c r="G93" t="s">
        <v>135</v>
      </c>
      <c r="H93" s="3">
        <v>44562</v>
      </c>
      <c r="I93" s="3">
        <v>44926</v>
      </c>
      <c r="J93" t="s">
        <v>135</v>
      </c>
      <c r="K93">
        <v>3788.4519110000001</v>
      </c>
      <c r="L93" t="s">
        <v>136</v>
      </c>
      <c r="M93" t="s">
        <v>82</v>
      </c>
      <c r="N93" t="s">
        <v>137</v>
      </c>
      <c r="O93" t="s">
        <v>631</v>
      </c>
      <c r="P93" t="s">
        <v>631</v>
      </c>
      <c r="Q93">
        <v>2022</v>
      </c>
      <c r="R93" t="s">
        <v>605</v>
      </c>
      <c r="S93" t="s">
        <v>606</v>
      </c>
      <c r="T93" t="s">
        <v>553</v>
      </c>
      <c r="U93" t="b">
        <v>0</v>
      </c>
      <c r="V93" t="s">
        <v>607</v>
      </c>
      <c r="W93" t="s">
        <v>587</v>
      </c>
      <c r="X93" t="s">
        <v>556</v>
      </c>
      <c r="AC93">
        <v>1</v>
      </c>
      <c r="AD93" t="s">
        <v>566</v>
      </c>
      <c r="AE93">
        <v>11.10020198</v>
      </c>
      <c r="AF93">
        <v>1E-4</v>
      </c>
      <c r="AG93" t="s">
        <v>608</v>
      </c>
      <c r="AH93">
        <v>29.3001</v>
      </c>
      <c r="AI93">
        <v>111002.01979999999</v>
      </c>
      <c r="AJ93" t="s">
        <v>561</v>
      </c>
      <c r="AK93" t="s">
        <v>589</v>
      </c>
      <c r="AL93" t="s">
        <v>590</v>
      </c>
      <c r="AM93">
        <v>2022</v>
      </c>
      <c r="AN93">
        <v>2020</v>
      </c>
      <c r="AO93">
        <f>IF(AND(emissions[[#This Row],[Market-based]]=0,emissions[[#This Row],[Impact Type]]="CO2E"),emissions[[#This Row],[kgCO2e]],0)/1000</f>
        <v>0</v>
      </c>
      <c r="AP93">
        <f>IF(AND(emissions[[#This Row],[Market-based]]=1,OR(emissions[[#This Row],[Impact Type]]="CO2E",emissions[[#This Row],[Impact Type]]="CO2E MKT")),emissions[[#This Row],[kgCO2e]],0)/1000</f>
        <v>0</v>
      </c>
      <c r="AQ93" t="str">
        <f>_xlfn.TEXTAFTER(emissions[[#This Row],[Reporting Unit]]," &gt; ",LEN(emissions[[#This Row],[Reporting Unit]])-LEN(SUBSTITUTE(emissions[[#This Row],[Reporting Unit]],"&gt;","")))</f>
        <v>Vantage_Shanghai</v>
      </c>
      <c r="AR93" t="str">
        <f>_xlfn.XLOOKUP(emissions[[#This Row],[Reporting unit name]],hierarchy!$A:$A,hierarchy!$C:$C)</f>
        <v>Warehouse</v>
      </c>
    </row>
    <row r="94" spans="1:44" hidden="1" x14ac:dyDescent="0.25">
      <c r="A94">
        <v>1590441</v>
      </c>
      <c r="B94" t="s">
        <v>132</v>
      </c>
      <c r="C94" t="s">
        <v>493</v>
      </c>
      <c r="D94" t="s">
        <v>548</v>
      </c>
      <c r="E94" s="3">
        <v>44562</v>
      </c>
      <c r="F94" s="3">
        <v>44926</v>
      </c>
      <c r="G94" t="s">
        <v>135</v>
      </c>
      <c r="H94" s="3">
        <v>44562</v>
      </c>
      <c r="I94" s="3">
        <v>44926</v>
      </c>
      <c r="J94" t="s">
        <v>135</v>
      </c>
      <c r="K94">
        <v>3788.4519110000001</v>
      </c>
      <c r="L94" t="s">
        <v>136</v>
      </c>
      <c r="M94" t="s">
        <v>82</v>
      </c>
      <c r="N94" t="s">
        <v>137</v>
      </c>
      <c r="O94" t="s">
        <v>631</v>
      </c>
      <c r="P94" t="s">
        <v>631</v>
      </c>
      <c r="Q94">
        <v>2022</v>
      </c>
      <c r="R94" t="s">
        <v>609</v>
      </c>
      <c r="S94" t="s">
        <v>610</v>
      </c>
      <c r="T94" t="s">
        <v>577</v>
      </c>
      <c r="U94" t="b">
        <v>0</v>
      </c>
      <c r="V94" t="s">
        <v>632</v>
      </c>
      <c r="W94" t="s">
        <v>571</v>
      </c>
      <c r="X94" t="s">
        <v>572</v>
      </c>
      <c r="AC94">
        <v>0</v>
      </c>
      <c r="AD94" t="s">
        <v>565</v>
      </c>
      <c r="AE94">
        <v>3452.1628169999999</v>
      </c>
      <c r="AF94">
        <v>3.1099999999999999E-2</v>
      </c>
      <c r="AG94" t="s">
        <v>608</v>
      </c>
      <c r="AH94">
        <v>29.3001</v>
      </c>
      <c r="AI94">
        <v>111002.01979999999</v>
      </c>
      <c r="AJ94" t="s">
        <v>561</v>
      </c>
      <c r="AK94" t="s">
        <v>589</v>
      </c>
      <c r="AL94" t="s">
        <v>590</v>
      </c>
      <c r="AM94">
        <v>2022</v>
      </c>
      <c r="AN94">
        <v>2020</v>
      </c>
      <c r="AO94">
        <f>IF(AND(emissions[[#This Row],[Market-based]]=0,emissions[[#This Row],[Impact Type]]="CO2E"),emissions[[#This Row],[kgCO2e]],0)/1000</f>
        <v>3.4521628170000001</v>
      </c>
      <c r="AP94">
        <f>IF(AND(emissions[[#This Row],[Market-based]]=1,OR(emissions[[#This Row],[Impact Type]]="CO2E",emissions[[#This Row],[Impact Type]]="CO2E MKT")),emissions[[#This Row],[kgCO2e]],0)/1000</f>
        <v>0</v>
      </c>
      <c r="AQ94" t="str">
        <f>_xlfn.TEXTAFTER(emissions[[#This Row],[Reporting Unit]]," &gt; ",LEN(emissions[[#This Row],[Reporting Unit]])-LEN(SUBSTITUTE(emissions[[#This Row],[Reporting Unit]],"&gt;","")))</f>
        <v>Vantage_Shanghai</v>
      </c>
      <c r="AR94" t="str">
        <f>_xlfn.XLOOKUP(emissions[[#This Row],[Reporting unit name]],hierarchy!$A:$A,hierarchy!$C:$C)</f>
        <v>Warehouse</v>
      </c>
    </row>
    <row r="95" spans="1:44" hidden="1" x14ac:dyDescent="0.25">
      <c r="A95">
        <v>1590441</v>
      </c>
      <c r="B95" t="s">
        <v>132</v>
      </c>
      <c r="C95" t="s">
        <v>493</v>
      </c>
      <c r="D95" t="s">
        <v>548</v>
      </c>
      <c r="E95" s="3">
        <v>44562</v>
      </c>
      <c r="F95" s="3">
        <v>44926</v>
      </c>
      <c r="G95" t="s">
        <v>135</v>
      </c>
      <c r="H95" s="3">
        <v>44562</v>
      </c>
      <c r="I95" s="3">
        <v>44926</v>
      </c>
      <c r="J95" t="s">
        <v>135</v>
      </c>
      <c r="K95">
        <v>3788.4519110000001</v>
      </c>
      <c r="L95" t="s">
        <v>136</v>
      </c>
      <c r="M95" t="s">
        <v>82</v>
      </c>
      <c r="N95" t="s">
        <v>137</v>
      </c>
      <c r="O95" t="s">
        <v>631</v>
      </c>
      <c r="P95" t="s">
        <v>631</v>
      </c>
      <c r="Q95">
        <v>2022</v>
      </c>
      <c r="R95" t="s">
        <v>609</v>
      </c>
      <c r="S95" t="s">
        <v>610</v>
      </c>
      <c r="T95" t="s">
        <v>577</v>
      </c>
      <c r="U95" t="b">
        <v>0</v>
      </c>
      <c r="V95" t="s">
        <v>632</v>
      </c>
      <c r="W95" t="s">
        <v>571</v>
      </c>
      <c r="X95" t="s">
        <v>572</v>
      </c>
      <c r="AC95">
        <v>1</v>
      </c>
      <c r="AD95" t="s">
        <v>565</v>
      </c>
      <c r="AE95">
        <v>3452.1628169999999</v>
      </c>
      <c r="AF95">
        <v>3.1099999999999999E-2</v>
      </c>
      <c r="AG95" t="s">
        <v>608</v>
      </c>
      <c r="AH95">
        <v>29.3001</v>
      </c>
      <c r="AI95">
        <v>111002.01979999999</v>
      </c>
      <c r="AJ95" t="s">
        <v>561</v>
      </c>
      <c r="AK95" t="s">
        <v>589</v>
      </c>
      <c r="AL95" t="s">
        <v>590</v>
      </c>
      <c r="AM95">
        <v>2022</v>
      </c>
      <c r="AN95">
        <v>2020</v>
      </c>
      <c r="AO95">
        <f>IF(AND(emissions[[#This Row],[Market-based]]=0,emissions[[#This Row],[Impact Type]]="CO2E"),emissions[[#This Row],[kgCO2e]],0)/1000</f>
        <v>0</v>
      </c>
      <c r="AP95">
        <f>IF(AND(emissions[[#This Row],[Market-based]]=1,OR(emissions[[#This Row],[Impact Type]]="CO2E",emissions[[#This Row],[Impact Type]]="CO2E MKT")),emissions[[#This Row],[kgCO2e]],0)/1000</f>
        <v>3.4521628170000001</v>
      </c>
      <c r="AQ95" t="str">
        <f>_xlfn.TEXTAFTER(emissions[[#This Row],[Reporting Unit]]," &gt; ",LEN(emissions[[#This Row],[Reporting Unit]])-LEN(SUBSTITUTE(emissions[[#This Row],[Reporting Unit]],"&gt;","")))</f>
        <v>Vantage_Shanghai</v>
      </c>
      <c r="AR95" t="str">
        <f>_xlfn.XLOOKUP(emissions[[#This Row],[Reporting unit name]],hierarchy!$A:$A,hierarchy!$C:$C)</f>
        <v>Warehouse</v>
      </c>
    </row>
    <row r="96" spans="1:44" hidden="1" x14ac:dyDescent="0.25">
      <c r="A96">
        <v>1590449</v>
      </c>
      <c r="B96" t="s">
        <v>132</v>
      </c>
      <c r="C96" t="s">
        <v>493</v>
      </c>
      <c r="D96" t="s">
        <v>548</v>
      </c>
      <c r="E96" s="3">
        <v>44562</v>
      </c>
      <c r="F96" s="3">
        <v>44926</v>
      </c>
      <c r="G96" t="s">
        <v>116</v>
      </c>
      <c r="H96" s="3">
        <v>44562</v>
      </c>
      <c r="I96" s="3">
        <v>44926</v>
      </c>
      <c r="J96" t="s">
        <v>117</v>
      </c>
      <c r="K96">
        <v>2.7555584</v>
      </c>
      <c r="L96" t="s">
        <v>118</v>
      </c>
      <c r="M96" t="s">
        <v>82</v>
      </c>
      <c r="N96" t="s">
        <v>120</v>
      </c>
      <c r="O96" t="s">
        <v>631</v>
      </c>
      <c r="P96" t="s">
        <v>631</v>
      </c>
      <c r="Q96">
        <v>2022</v>
      </c>
      <c r="R96" t="s">
        <v>619</v>
      </c>
      <c r="S96" t="s">
        <v>620</v>
      </c>
      <c r="T96" t="s">
        <v>553</v>
      </c>
      <c r="U96" t="b">
        <v>0</v>
      </c>
      <c r="V96" t="s">
        <v>621</v>
      </c>
      <c r="W96" t="s">
        <v>587</v>
      </c>
      <c r="X96" t="s">
        <v>556</v>
      </c>
      <c r="AC96">
        <v>0</v>
      </c>
      <c r="AD96" t="s">
        <v>565</v>
      </c>
      <c r="AE96">
        <v>3940.4485119999999</v>
      </c>
      <c r="AF96">
        <v>1430</v>
      </c>
      <c r="AG96" t="s">
        <v>622</v>
      </c>
      <c r="AH96">
        <v>1</v>
      </c>
      <c r="AI96">
        <v>2.7555584</v>
      </c>
      <c r="AJ96" t="s">
        <v>561</v>
      </c>
      <c r="AK96" t="s">
        <v>623</v>
      </c>
      <c r="AL96" t="s">
        <v>624</v>
      </c>
      <c r="AM96">
        <v>2022</v>
      </c>
      <c r="AN96">
        <v>2007</v>
      </c>
      <c r="AO96">
        <f>IF(AND(emissions[[#This Row],[Market-based]]=0,emissions[[#This Row],[Impact Type]]="CO2E"),emissions[[#This Row],[kgCO2e]],0)/1000</f>
        <v>3.9404485120000001</v>
      </c>
      <c r="AP96">
        <f>IF(AND(emissions[[#This Row],[Market-based]]=1,OR(emissions[[#This Row],[Impact Type]]="CO2E",emissions[[#This Row],[Impact Type]]="CO2E MKT")),emissions[[#This Row],[kgCO2e]],0)/1000</f>
        <v>0</v>
      </c>
      <c r="AQ96" t="str">
        <f>_xlfn.TEXTAFTER(emissions[[#This Row],[Reporting Unit]]," &gt; ",LEN(emissions[[#This Row],[Reporting Unit]])-LEN(SUBSTITUTE(emissions[[#This Row],[Reporting Unit]],"&gt;","")))</f>
        <v>Vantage_Shanghai</v>
      </c>
      <c r="AR96" t="str">
        <f>_xlfn.XLOOKUP(emissions[[#This Row],[Reporting unit name]],hierarchy!$A:$A,hierarchy!$C:$C)</f>
        <v>Warehouse</v>
      </c>
    </row>
    <row r="97" spans="1:44" hidden="1" x14ac:dyDescent="0.25">
      <c r="A97">
        <v>1590449</v>
      </c>
      <c r="B97" t="s">
        <v>132</v>
      </c>
      <c r="C97" t="s">
        <v>493</v>
      </c>
      <c r="D97" t="s">
        <v>548</v>
      </c>
      <c r="E97" s="3">
        <v>44562</v>
      </c>
      <c r="F97" s="3">
        <v>44926</v>
      </c>
      <c r="G97" t="s">
        <v>116</v>
      </c>
      <c r="H97" s="3">
        <v>44562</v>
      </c>
      <c r="I97" s="3">
        <v>44926</v>
      </c>
      <c r="J97" t="s">
        <v>117</v>
      </c>
      <c r="K97">
        <v>2.7555584</v>
      </c>
      <c r="L97" t="s">
        <v>118</v>
      </c>
      <c r="M97" t="s">
        <v>82</v>
      </c>
      <c r="N97" t="s">
        <v>120</v>
      </c>
      <c r="O97" t="s">
        <v>631</v>
      </c>
      <c r="P97" t="s">
        <v>631</v>
      </c>
      <c r="Q97">
        <v>2022</v>
      </c>
      <c r="R97" t="s">
        <v>619</v>
      </c>
      <c r="S97" t="s">
        <v>620</v>
      </c>
      <c r="T97" t="s">
        <v>553</v>
      </c>
      <c r="U97" t="b">
        <v>0</v>
      </c>
      <c r="V97" t="s">
        <v>621</v>
      </c>
      <c r="W97" t="s">
        <v>587</v>
      </c>
      <c r="X97" t="s">
        <v>556</v>
      </c>
      <c r="AC97">
        <v>1</v>
      </c>
      <c r="AD97" t="s">
        <v>565</v>
      </c>
      <c r="AE97">
        <v>3940.4485119999999</v>
      </c>
      <c r="AF97">
        <v>1430</v>
      </c>
      <c r="AG97" t="s">
        <v>622</v>
      </c>
      <c r="AH97">
        <v>1</v>
      </c>
      <c r="AI97">
        <v>2.7555584</v>
      </c>
      <c r="AJ97" t="s">
        <v>561</v>
      </c>
      <c r="AK97" t="s">
        <v>623</v>
      </c>
      <c r="AL97" t="s">
        <v>624</v>
      </c>
      <c r="AM97">
        <v>2022</v>
      </c>
      <c r="AN97">
        <v>2007</v>
      </c>
      <c r="AO97">
        <f>IF(AND(emissions[[#This Row],[Market-based]]=0,emissions[[#This Row],[Impact Type]]="CO2E"),emissions[[#This Row],[kgCO2e]],0)/1000</f>
        <v>0</v>
      </c>
      <c r="AP97">
        <f>IF(AND(emissions[[#This Row],[Market-based]]=1,OR(emissions[[#This Row],[Impact Type]]="CO2E",emissions[[#This Row],[Impact Type]]="CO2E MKT")),emissions[[#This Row],[kgCO2e]],0)/1000</f>
        <v>3.9404485120000001</v>
      </c>
      <c r="AQ97" t="str">
        <f>_xlfn.TEXTAFTER(emissions[[#This Row],[Reporting Unit]]," &gt; ",LEN(emissions[[#This Row],[Reporting Unit]])-LEN(SUBSTITUTE(emissions[[#This Row],[Reporting Unit]],"&gt;","")))</f>
        <v>Vantage_Shanghai</v>
      </c>
      <c r="AR97" t="str">
        <f>_xlfn.XLOOKUP(emissions[[#This Row],[Reporting unit name]],hierarchy!$A:$A,hierarchy!$C:$C)</f>
        <v>Warehouse</v>
      </c>
    </row>
    <row r="98" spans="1:44" hidden="1" x14ac:dyDescent="0.25">
      <c r="A98">
        <v>4962</v>
      </c>
      <c r="B98" t="s">
        <v>132</v>
      </c>
      <c r="C98" t="s">
        <v>493</v>
      </c>
      <c r="D98" t="s">
        <v>599</v>
      </c>
      <c r="E98" s="3">
        <v>44197</v>
      </c>
      <c r="F98" s="3">
        <v>44561</v>
      </c>
      <c r="G98" t="s">
        <v>108</v>
      </c>
      <c r="H98" s="3">
        <v>44197</v>
      </c>
      <c r="I98" s="3">
        <v>44561</v>
      </c>
      <c r="J98" t="s">
        <v>108</v>
      </c>
      <c r="K98">
        <v>32374</v>
      </c>
      <c r="L98" t="s">
        <v>109</v>
      </c>
      <c r="M98" t="s">
        <v>82</v>
      </c>
      <c r="O98" t="s">
        <v>600</v>
      </c>
      <c r="P98" t="s">
        <v>633</v>
      </c>
      <c r="Q98">
        <v>2021</v>
      </c>
      <c r="R98" t="s">
        <v>551</v>
      </c>
      <c r="S98" t="s">
        <v>552</v>
      </c>
      <c r="T98" t="s">
        <v>553</v>
      </c>
      <c r="U98" t="b">
        <v>0</v>
      </c>
      <c r="V98" t="s">
        <v>626</v>
      </c>
      <c r="W98" t="s">
        <v>555</v>
      </c>
      <c r="X98" t="s">
        <v>556</v>
      </c>
      <c r="Y98" t="s">
        <v>466</v>
      </c>
      <c r="Z98" t="s">
        <v>495</v>
      </c>
      <c r="AA98" t="s">
        <v>627</v>
      </c>
      <c r="AC98">
        <v>0</v>
      </c>
      <c r="AD98" t="s">
        <v>558</v>
      </c>
      <c r="AE98">
        <v>9.7121999999999993</v>
      </c>
      <c r="AF98" t="s">
        <v>559</v>
      </c>
      <c r="AG98" t="s">
        <v>560</v>
      </c>
      <c r="AH98">
        <v>1</v>
      </c>
      <c r="AI98">
        <v>32374</v>
      </c>
      <c r="AJ98" t="s">
        <v>561</v>
      </c>
      <c r="AK98" t="s">
        <v>562</v>
      </c>
      <c r="AL98" t="s">
        <v>601</v>
      </c>
      <c r="AM98">
        <v>2021</v>
      </c>
      <c r="AN98">
        <v>2019</v>
      </c>
      <c r="AO98">
        <f>IF(AND(emissions[[#This Row],[Market-based]]=0,emissions[[#This Row],[Impact Type]]="CO2E"),emissions[[#This Row],[kgCO2e]],0)/1000</f>
        <v>0</v>
      </c>
      <c r="AP98">
        <f>IF(AND(emissions[[#This Row],[Market-based]]=1,OR(emissions[[#This Row],[Impact Type]]="CO2E",emissions[[#This Row],[Impact Type]]="CO2E MKT")),emissions[[#This Row],[kgCO2e]],0)/1000</f>
        <v>0</v>
      </c>
      <c r="AQ98" t="str">
        <f>_xlfn.TEXTAFTER(emissions[[#This Row],[Reporting Unit]]," &gt; ",LEN(emissions[[#This Row],[Reporting Unit]])-LEN(SUBSTITUTE(emissions[[#This Row],[Reporting Unit]],"&gt;","")))</f>
        <v>Vantage_Shanghai</v>
      </c>
      <c r="AR98" t="str">
        <f>_xlfn.XLOOKUP(emissions[[#This Row],[Reporting unit name]],hierarchy!$A:$A,hierarchy!$C:$C)</f>
        <v>Warehouse</v>
      </c>
    </row>
    <row r="99" spans="1:44" hidden="1" x14ac:dyDescent="0.25">
      <c r="A99">
        <v>4962</v>
      </c>
      <c r="B99" t="s">
        <v>132</v>
      </c>
      <c r="C99" t="s">
        <v>493</v>
      </c>
      <c r="D99" t="s">
        <v>599</v>
      </c>
      <c r="E99" s="3">
        <v>44197</v>
      </c>
      <c r="F99" s="3">
        <v>44561</v>
      </c>
      <c r="G99" t="s">
        <v>108</v>
      </c>
      <c r="H99" s="3">
        <v>44197</v>
      </c>
      <c r="I99" s="3">
        <v>44561</v>
      </c>
      <c r="J99" t="s">
        <v>108</v>
      </c>
      <c r="K99">
        <v>32374</v>
      </c>
      <c r="L99" t="s">
        <v>109</v>
      </c>
      <c r="M99" t="s">
        <v>82</v>
      </c>
      <c r="O99" t="s">
        <v>600</v>
      </c>
      <c r="P99" t="s">
        <v>633</v>
      </c>
      <c r="Q99">
        <v>2021</v>
      </c>
      <c r="R99" t="s">
        <v>551</v>
      </c>
      <c r="S99" t="s">
        <v>552</v>
      </c>
      <c r="T99" t="s">
        <v>553</v>
      </c>
      <c r="U99" t="b">
        <v>0</v>
      </c>
      <c r="V99" t="s">
        <v>626</v>
      </c>
      <c r="W99" t="s">
        <v>555</v>
      </c>
      <c r="X99" t="s">
        <v>556</v>
      </c>
      <c r="Y99" t="s">
        <v>466</v>
      </c>
      <c r="Z99" t="s">
        <v>495</v>
      </c>
      <c r="AA99" t="s">
        <v>627</v>
      </c>
      <c r="AC99">
        <v>0</v>
      </c>
      <c r="AD99" t="s">
        <v>564</v>
      </c>
      <c r="AE99">
        <v>20149.577600000001</v>
      </c>
      <c r="AF99" t="s">
        <v>559</v>
      </c>
      <c r="AG99" t="s">
        <v>560</v>
      </c>
      <c r="AH99">
        <v>1</v>
      </c>
      <c r="AI99">
        <v>32374</v>
      </c>
      <c r="AJ99" t="s">
        <v>561</v>
      </c>
      <c r="AK99" t="s">
        <v>562</v>
      </c>
      <c r="AL99" t="s">
        <v>601</v>
      </c>
      <c r="AM99">
        <v>2021</v>
      </c>
      <c r="AN99">
        <v>2019</v>
      </c>
      <c r="AO99">
        <f>IF(AND(emissions[[#This Row],[Market-based]]=0,emissions[[#This Row],[Impact Type]]="CO2E"),emissions[[#This Row],[kgCO2e]],0)/1000</f>
        <v>0</v>
      </c>
      <c r="AP99">
        <f>IF(AND(emissions[[#This Row],[Market-based]]=1,OR(emissions[[#This Row],[Impact Type]]="CO2E",emissions[[#This Row],[Impact Type]]="CO2E MKT")),emissions[[#This Row],[kgCO2e]],0)/1000</f>
        <v>0</v>
      </c>
      <c r="AQ99" t="str">
        <f>_xlfn.TEXTAFTER(emissions[[#This Row],[Reporting Unit]]," &gt; ",LEN(emissions[[#This Row],[Reporting Unit]])-LEN(SUBSTITUTE(emissions[[#This Row],[Reporting Unit]],"&gt;","")))</f>
        <v>Vantage_Shanghai</v>
      </c>
      <c r="AR99" t="str">
        <f>_xlfn.XLOOKUP(emissions[[#This Row],[Reporting unit name]],hierarchy!$A:$A,hierarchy!$C:$C)</f>
        <v>Warehouse</v>
      </c>
    </row>
    <row r="100" spans="1:44" hidden="1" x14ac:dyDescent="0.25">
      <c r="A100">
        <v>4962</v>
      </c>
      <c r="B100" t="s">
        <v>132</v>
      </c>
      <c r="C100" t="s">
        <v>493</v>
      </c>
      <c r="D100" t="s">
        <v>599</v>
      </c>
      <c r="E100" s="3">
        <v>44197</v>
      </c>
      <c r="F100" s="3">
        <v>44561</v>
      </c>
      <c r="G100" t="s">
        <v>108</v>
      </c>
      <c r="H100" s="3">
        <v>44197</v>
      </c>
      <c r="I100" s="3">
        <v>44561</v>
      </c>
      <c r="J100" t="s">
        <v>108</v>
      </c>
      <c r="K100">
        <v>32374</v>
      </c>
      <c r="L100" t="s">
        <v>109</v>
      </c>
      <c r="M100" t="s">
        <v>82</v>
      </c>
      <c r="O100" t="s">
        <v>600</v>
      </c>
      <c r="P100" t="s">
        <v>633</v>
      </c>
      <c r="Q100">
        <v>2021</v>
      </c>
      <c r="R100" t="s">
        <v>551</v>
      </c>
      <c r="S100" t="s">
        <v>552</v>
      </c>
      <c r="T100" t="s">
        <v>553</v>
      </c>
      <c r="U100" t="b">
        <v>0</v>
      </c>
      <c r="V100" t="s">
        <v>626</v>
      </c>
      <c r="W100" t="s">
        <v>555</v>
      </c>
      <c r="X100" t="s">
        <v>556</v>
      </c>
      <c r="Y100" t="s">
        <v>466</v>
      </c>
      <c r="Z100" t="s">
        <v>495</v>
      </c>
      <c r="AA100" t="s">
        <v>627</v>
      </c>
      <c r="AC100">
        <v>0</v>
      </c>
      <c r="AD100" t="s">
        <v>565</v>
      </c>
      <c r="AE100">
        <v>20256.411800000002</v>
      </c>
      <c r="AF100" t="s">
        <v>559</v>
      </c>
      <c r="AG100" t="s">
        <v>560</v>
      </c>
      <c r="AH100">
        <v>1</v>
      </c>
      <c r="AI100">
        <v>32374</v>
      </c>
      <c r="AJ100" t="s">
        <v>561</v>
      </c>
      <c r="AK100" t="s">
        <v>562</v>
      </c>
      <c r="AL100" t="s">
        <v>601</v>
      </c>
      <c r="AM100">
        <v>2021</v>
      </c>
      <c r="AN100">
        <v>2019</v>
      </c>
      <c r="AO100">
        <f>IF(AND(emissions[[#This Row],[Market-based]]=0,emissions[[#This Row],[Impact Type]]="CO2E"),emissions[[#This Row],[kgCO2e]],0)/1000</f>
        <v>20.256411800000002</v>
      </c>
      <c r="AP100">
        <f>IF(AND(emissions[[#This Row],[Market-based]]=1,OR(emissions[[#This Row],[Impact Type]]="CO2E",emissions[[#This Row],[Impact Type]]="CO2E MKT")),emissions[[#This Row],[kgCO2e]],0)/1000</f>
        <v>0</v>
      </c>
      <c r="AQ100" t="str">
        <f>_xlfn.TEXTAFTER(emissions[[#This Row],[Reporting Unit]]," &gt; ",LEN(emissions[[#This Row],[Reporting Unit]])-LEN(SUBSTITUTE(emissions[[#This Row],[Reporting Unit]],"&gt;","")))</f>
        <v>Vantage_Shanghai</v>
      </c>
      <c r="AR100" t="str">
        <f>_xlfn.XLOOKUP(emissions[[#This Row],[Reporting unit name]],hierarchy!$A:$A,hierarchy!$C:$C)</f>
        <v>Warehouse</v>
      </c>
    </row>
    <row r="101" spans="1:44" hidden="1" x14ac:dyDescent="0.25">
      <c r="A101">
        <v>4962</v>
      </c>
      <c r="B101" t="s">
        <v>132</v>
      </c>
      <c r="C101" t="s">
        <v>493</v>
      </c>
      <c r="D101" t="s">
        <v>599</v>
      </c>
      <c r="E101" s="3">
        <v>44197</v>
      </c>
      <c r="F101" s="3">
        <v>44561</v>
      </c>
      <c r="G101" t="s">
        <v>108</v>
      </c>
      <c r="H101" s="3">
        <v>44197</v>
      </c>
      <c r="I101" s="3">
        <v>44561</v>
      </c>
      <c r="J101" t="s">
        <v>108</v>
      </c>
      <c r="K101">
        <v>32374</v>
      </c>
      <c r="L101" t="s">
        <v>109</v>
      </c>
      <c r="M101" t="s">
        <v>82</v>
      </c>
      <c r="O101" t="s">
        <v>600</v>
      </c>
      <c r="P101" t="s">
        <v>633</v>
      </c>
      <c r="Q101">
        <v>2021</v>
      </c>
      <c r="R101" t="s">
        <v>551</v>
      </c>
      <c r="S101" t="s">
        <v>552</v>
      </c>
      <c r="T101" t="s">
        <v>553</v>
      </c>
      <c r="U101" t="b">
        <v>0</v>
      </c>
      <c r="V101" t="s">
        <v>626</v>
      </c>
      <c r="W101" t="s">
        <v>555</v>
      </c>
      <c r="X101" t="s">
        <v>556</v>
      </c>
      <c r="Y101" t="s">
        <v>466</v>
      </c>
      <c r="Z101" t="s">
        <v>495</v>
      </c>
      <c r="AA101" t="s">
        <v>627</v>
      </c>
      <c r="AC101">
        <v>0</v>
      </c>
      <c r="AD101" t="s">
        <v>566</v>
      </c>
      <c r="AE101">
        <v>97.122</v>
      </c>
      <c r="AF101" t="s">
        <v>559</v>
      </c>
      <c r="AG101" t="s">
        <v>560</v>
      </c>
      <c r="AH101">
        <v>1</v>
      </c>
      <c r="AI101">
        <v>32374</v>
      </c>
      <c r="AJ101" t="s">
        <v>561</v>
      </c>
      <c r="AK101" t="s">
        <v>562</v>
      </c>
      <c r="AL101" t="s">
        <v>601</v>
      </c>
      <c r="AM101">
        <v>2021</v>
      </c>
      <c r="AN101">
        <v>2019</v>
      </c>
      <c r="AO101">
        <f>IF(AND(emissions[[#This Row],[Market-based]]=0,emissions[[#This Row],[Impact Type]]="CO2E"),emissions[[#This Row],[kgCO2e]],0)/1000</f>
        <v>0</v>
      </c>
      <c r="AP101">
        <f>IF(AND(emissions[[#This Row],[Market-based]]=1,OR(emissions[[#This Row],[Impact Type]]="CO2E",emissions[[#This Row],[Impact Type]]="CO2E MKT")),emissions[[#This Row],[kgCO2e]],0)/1000</f>
        <v>0</v>
      </c>
      <c r="AQ101" t="str">
        <f>_xlfn.TEXTAFTER(emissions[[#This Row],[Reporting Unit]]," &gt; ",LEN(emissions[[#This Row],[Reporting Unit]])-LEN(SUBSTITUTE(emissions[[#This Row],[Reporting Unit]],"&gt;","")))</f>
        <v>Vantage_Shanghai</v>
      </c>
      <c r="AR101" t="str">
        <f>_xlfn.XLOOKUP(emissions[[#This Row],[Reporting unit name]],hierarchy!$A:$A,hierarchy!$C:$C)</f>
        <v>Warehouse</v>
      </c>
    </row>
    <row r="102" spans="1:44" hidden="1" x14ac:dyDescent="0.25">
      <c r="A102">
        <v>4962</v>
      </c>
      <c r="B102" t="s">
        <v>132</v>
      </c>
      <c r="C102" t="s">
        <v>493</v>
      </c>
      <c r="D102" t="s">
        <v>599</v>
      </c>
      <c r="E102" s="3">
        <v>44197</v>
      </c>
      <c r="F102" s="3">
        <v>44561</v>
      </c>
      <c r="G102" t="s">
        <v>108</v>
      </c>
      <c r="H102" s="3">
        <v>44197</v>
      </c>
      <c r="I102" s="3">
        <v>44561</v>
      </c>
      <c r="J102" t="s">
        <v>108</v>
      </c>
      <c r="K102">
        <v>32374</v>
      </c>
      <c r="L102" t="s">
        <v>109</v>
      </c>
      <c r="M102" t="s">
        <v>82</v>
      </c>
      <c r="O102" t="s">
        <v>600</v>
      </c>
      <c r="P102" t="s">
        <v>633</v>
      </c>
      <c r="Q102">
        <v>2021</v>
      </c>
      <c r="R102" t="s">
        <v>551</v>
      </c>
      <c r="S102" t="s">
        <v>552</v>
      </c>
      <c r="T102" t="s">
        <v>553</v>
      </c>
      <c r="U102" t="b">
        <v>0</v>
      </c>
      <c r="V102" t="s">
        <v>626</v>
      </c>
      <c r="W102" t="s">
        <v>555</v>
      </c>
      <c r="X102" t="s">
        <v>556</v>
      </c>
      <c r="Y102" t="s">
        <v>466</v>
      </c>
      <c r="Z102" t="s">
        <v>495</v>
      </c>
      <c r="AA102" t="s">
        <v>627</v>
      </c>
      <c r="AC102">
        <v>1</v>
      </c>
      <c r="AD102" t="s">
        <v>558</v>
      </c>
      <c r="AE102">
        <v>9.7121999999999993</v>
      </c>
      <c r="AF102" t="s">
        <v>559</v>
      </c>
      <c r="AG102" t="s">
        <v>560</v>
      </c>
      <c r="AH102">
        <v>1</v>
      </c>
      <c r="AI102">
        <v>32374</v>
      </c>
      <c r="AJ102" t="s">
        <v>561</v>
      </c>
      <c r="AK102" t="s">
        <v>562</v>
      </c>
      <c r="AL102" t="s">
        <v>601</v>
      </c>
      <c r="AM102">
        <v>2021</v>
      </c>
      <c r="AN102">
        <v>2019</v>
      </c>
      <c r="AO102">
        <f>IF(AND(emissions[[#This Row],[Market-based]]=0,emissions[[#This Row],[Impact Type]]="CO2E"),emissions[[#This Row],[kgCO2e]],0)/1000</f>
        <v>0</v>
      </c>
      <c r="AP102">
        <f>IF(AND(emissions[[#This Row],[Market-based]]=1,OR(emissions[[#This Row],[Impact Type]]="CO2E",emissions[[#This Row],[Impact Type]]="CO2E MKT")),emissions[[#This Row],[kgCO2e]],0)/1000</f>
        <v>0</v>
      </c>
      <c r="AQ102" t="str">
        <f>_xlfn.TEXTAFTER(emissions[[#This Row],[Reporting Unit]]," &gt; ",LEN(emissions[[#This Row],[Reporting Unit]])-LEN(SUBSTITUTE(emissions[[#This Row],[Reporting Unit]],"&gt;","")))</f>
        <v>Vantage_Shanghai</v>
      </c>
      <c r="AR102" t="str">
        <f>_xlfn.XLOOKUP(emissions[[#This Row],[Reporting unit name]],hierarchy!$A:$A,hierarchy!$C:$C)</f>
        <v>Warehouse</v>
      </c>
    </row>
    <row r="103" spans="1:44" hidden="1" x14ac:dyDescent="0.25">
      <c r="A103">
        <v>4962</v>
      </c>
      <c r="B103" t="s">
        <v>132</v>
      </c>
      <c r="C103" t="s">
        <v>493</v>
      </c>
      <c r="D103" t="s">
        <v>599</v>
      </c>
      <c r="E103" s="3">
        <v>44197</v>
      </c>
      <c r="F103" s="3">
        <v>44561</v>
      </c>
      <c r="G103" t="s">
        <v>108</v>
      </c>
      <c r="H103" s="3">
        <v>44197</v>
      </c>
      <c r="I103" s="3">
        <v>44561</v>
      </c>
      <c r="J103" t="s">
        <v>108</v>
      </c>
      <c r="K103">
        <v>32374</v>
      </c>
      <c r="L103" t="s">
        <v>109</v>
      </c>
      <c r="M103" t="s">
        <v>82</v>
      </c>
      <c r="O103" t="s">
        <v>600</v>
      </c>
      <c r="P103" t="s">
        <v>633</v>
      </c>
      <c r="Q103">
        <v>2021</v>
      </c>
      <c r="R103" t="s">
        <v>551</v>
      </c>
      <c r="S103" t="s">
        <v>552</v>
      </c>
      <c r="T103" t="s">
        <v>553</v>
      </c>
      <c r="U103" t="b">
        <v>0</v>
      </c>
      <c r="V103" t="s">
        <v>626</v>
      </c>
      <c r="W103" t="s">
        <v>555</v>
      </c>
      <c r="X103" t="s">
        <v>556</v>
      </c>
      <c r="Y103" t="s">
        <v>466</v>
      </c>
      <c r="Z103" t="s">
        <v>495</v>
      </c>
      <c r="AA103" t="s">
        <v>627</v>
      </c>
      <c r="AC103">
        <v>1</v>
      </c>
      <c r="AD103" t="s">
        <v>564</v>
      </c>
      <c r="AE103">
        <v>20149.577600000001</v>
      </c>
      <c r="AF103" t="s">
        <v>559</v>
      </c>
      <c r="AG103" t="s">
        <v>560</v>
      </c>
      <c r="AH103">
        <v>1</v>
      </c>
      <c r="AI103">
        <v>32374</v>
      </c>
      <c r="AJ103" t="s">
        <v>561</v>
      </c>
      <c r="AK103" t="s">
        <v>562</v>
      </c>
      <c r="AL103" t="s">
        <v>601</v>
      </c>
      <c r="AM103">
        <v>2021</v>
      </c>
      <c r="AN103">
        <v>2019</v>
      </c>
      <c r="AO103">
        <f>IF(AND(emissions[[#This Row],[Market-based]]=0,emissions[[#This Row],[Impact Type]]="CO2E"),emissions[[#This Row],[kgCO2e]],0)/1000</f>
        <v>0</v>
      </c>
      <c r="AP103">
        <f>IF(AND(emissions[[#This Row],[Market-based]]=1,OR(emissions[[#This Row],[Impact Type]]="CO2E",emissions[[#This Row],[Impact Type]]="CO2E MKT")),emissions[[#This Row],[kgCO2e]],0)/1000</f>
        <v>0</v>
      </c>
      <c r="AQ103" t="str">
        <f>_xlfn.TEXTAFTER(emissions[[#This Row],[Reporting Unit]]," &gt; ",LEN(emissions[[#This Row],[Reporting Unit]])-LEN(SUBSTITUTE(emissions[[#This Row],[Reporting Unit]],"&gt;","")))</f>
        <v>Vantage_Shanghai</v>
      </c>
      <c r="AR103" t="str">
        <f>_xlfn.XLOOKUP(emissions[[#This Row],[Reporting unit name]],hierarchy!$A:$A,hierarchy!$C:$C)</f>
        <v>Warehouse</v>
      </c>
    </row>
    <row r="104" spans="1:44" hidden="1" x14ac:dyDescent="0.25">
      <c r="A104">
        <v>4962</v>
      </c>
      <c r="B104" t="s">
        <v>132</v>
      </c>
      <c r="C104" t="s">
        <v>493</v>
      </c>
      <c r="D104" t="s">
        <v>599</v>
      </c>
      <c r="E104" s="3">
        <v>44197</v>
      </c>
      <c r="F104" s="3">
        <v>44561</v>
      </c>
      <c r="G104" t="s">
        <v>108</v>
      </c>
      <c r="H104" s="3">
        <v>44197</v>
      </c>
      <c r="I104" s="3">
        <v>44561</v>
      </c>
      <c r="J104" t="s">
        <v>108</v>
      </c>
      <c r="K104">
        <v>32374</v>
      </c>
      <c r="L104" t="s">
        <v>109</v>
      </c>
      <c r="M104" t="s">
        <v>82</v>
      </c>
      <c r="O104" t="s">
        <v>600</v>
      </c>
      <c r="P104" t="s">
        <v>633</v>
      </c>
      <c r="Q104">
        <v>2021</v>
      </c>
      <c r="R104" t="s">
        <v>551</v>
      </c>
      <c r="S104" t="s">
        <v>552</v>
      </c>
      <c r="T104" t="s">
        <v>553</v>
      </c>
      <c r="U104" t="b">
        <v>0</v>
      </c>
      <c r="V104" t="s">
        <v>626</v>
      </c>
      <c r="W104" t="s">
        <v>555</v>
      </c>
      <c r="X104" t="s">
        <v>556</v>
      </c>
      <c r="Y104" t="s">
        <v>466</v>
      </c>
      <c r="Z104" t="s">
        <v>495</v>
      </c>
      <c r="AA104" t="s">
        <v>627</v>
      </c>
      <c r="AC104">
        <v>1</v>
      </c>
      <c r="AD104" t="s">
        <v>565</v>
      </c>
      <c r="AE104">
        <v>20256.411800000002</v>
      </c>
      <c r="AF104" t="s">
        <v>559</v>
      </c>
      <c r="AG104" t="s">
        <v>560</v>
      </c>
      <c r="AH104">
        <v>1</v>
      </c>
      <c r="AI104">
        <v>32374</v>
      </c>
      <c r="AJ104" t="s">
        <v>561</v>
      </c>
      <c r="AK104" t="s">
        <v>562</v>
      </c>
      <c r="AL104" t="s">
        <v>601</v>
      </c>
      <c r="AM104">
        <v>2021</v>
      </c>
      <c r="AN104">
        <v>2019</v>
      </c>
      <c r="AO104">
        <f>IF(AND(emissions[[#This Row],[Market-based]]=0,emissions[[#This Row],[Impact Type]]="CO2E"),emissions[[#This Row],[kgCO2e]],0)/1000</f>
        <v>0</v>
      </c>
      <c r="AP104">
        <f>IF(AND(emissions[[#This Row],[Market-based]]=1,OR(emissions[[#This Row],[Impact Type]]="CO2E",emissions[[#This Row],[Impact Type]]="CO2E MKT")),emissions[[#This Row],[kgCO2e]],0)/1000</f>
        <v>20.256411800000002</v>
      </c>
      <c r="AQ104" t="str">
        <f>_xlfn.TEXTAFTER(emissions[[#This Row],[Reporting Unit]]," &gt; ",LEN(emissions[[#This Row],[Reporting Unit]])-LEN(SUBSTITUTE(emissions[[#This Row],[Reporting Unit]],"&gt;","")))</f>
        <v>Vantage_Shanghai</v>
      </c>
      <c r="AR104" t="str">
        <f>_xlfn.XLOOKUP(emissions[[#This Row],[Reporting unit name]],hierarchy!$A:$A,hierarchy!$C:$C)</f>
        <v>Warehouse</v>
      </c>
    </row>
    <row r="105" spans="1:44" hidden="1" x14ac:dyDescent="0.25">
      <c r="A105">
        <v>4962</v>
      </c>
      <c r="B105" t="s">
        <v>132</v>
      </c>
      <c r="C105" t="s">
        <v>493</v>
      </c>
      <c r="D105" t="s">
        <v>599</v>
      </c>
      <c r="E105" s="3">
        <v>44197</v>
      </c>
      <c r="F105" s="3">
        <v>44561</v>
      </c>
      <c r="G105" t="s">
        <v>108</v>
      </c>
      <c r="H105" s="3">
        <v>44197</v>
      </c>
      <c r="I105" s="3">
        <v>44561</v>
      </c>
      <c r="J105" t="s">
        <v>108</v>
      </c>
      <c r="K105">
        <v>32374</v>
      </c>
      <c r="L105" t="s">
        <v>109</v>
      </c>
      <c r="M105" t="s">
        <v>82</v>
      </c>
      <c r="O105" t="s">
        <v>600</v>
      </c>
      <c r="P105" t="s">
        <v>633</v>
      </c>
      <c r="Q105">
        <v>2021</v>
      </c>
      <c r="R105" t="s">
        <v>551</v>
      </c>
      <c r="S105" t="s">
        <v>552</v>
      </c>
      <c r="T105" t="s">
        <v>553</v>
      </c>
      <c r="U105" t="b">
        <v>0</v>
      </c>
      <c r="V105" t="s">
        <v>626</v>
      </c>
      <c r="W105" t="s">
        <v>555</v>
      </c>
      <c r="X105" t="s">
        <v>556</v>
      </c>
      <c r="Y105" t="s">
        <v>466</v>
      </c>
      <c r="Z105" t="s">
        <v>495</v>
      </c>
      <c r="AA105" t="s">
        <v>627</v>
      </c>
      <c r="AC105">
        <v>1</v>
      </c>
      <c r="AD105" t="s">
        <v>566</v>
      </c>
      <c r="AE105">
        <v>97.122</v>
      </c>
      <c r="AF105" t="s">
        <v>559</v>
      </c>
      <c r="AG105" t="s">
        <v>560</v>
      </c>
      <c r="AH105">
        <v>1</v>
      </c>
      <c r="AI105">
        <v>32374</v>
      </c>
      <c r="AJ105" t="s">
        <v>561</v>
      </c>
      <c r="AK105" t="s">
        <v>562</v>
      </c>
      <c r="AL105" t="s">
        <v>601</v>
      </c>
      <c r="AM105">
        <v>2021</v>
      </c>
      <c r="AN105">
        <v>2019</v>
      </c>
      <c r="AO105">
        <f>IF(AND(emissions[[#This Row],[Market-based]]=0,emissions[[#This Row],[Impact Type]]="CO2E"),emissions[[#This Row],[kgCO2e]],0)/1000</f>
        <v>0</v>
      </c>
      <c r="AP105">
        <f>IF(AND(emissions[[#This Row],[Market-based]]=1,OR(emissions[[#This Row],[Impact Type]]="CO2E",emissions[[#This Row],[Impact Type]]="CO2E MKT")),emissions[[#This Row],[kgCO2e]],0)/1000</f>
        <v>0</v>
      </c>
      <c r="AQ105" t="str">
        <f>_xlfn.TEXTAFTER(emissions[[#This Row],[Reporting Unit]]," &gt; ",LEN(emissions[[#This Row],[Reporting Unit]])-LEN(SUBSTITUTE(emissions[[#This Row],[Reporting Unit]],"&gt;","")))</f>
        <v>Vantage_Shanghai</v>
      </c>
      <c r="AR105" t="str">
        <f>_xlfn.XLOOKUP(emissions[[#This Row],[Reporting unit name]],hierarchy!$A:$A,hierarchy!$C:$C)</f>
        <v>Warehouse</v>
      </c>
    </row>
    <row r="106" spans="1:44" hidden="1" x14ac:dyDescent="0.25">
      <c r="A106">
        <v>4962</v>
      </c>
      <c r="B106" t="s">
        <v>132</v>
      </c>
      <c r="C106" t="s">
        <v>493</v>
      </c>
      <c r="D106" t="s">
        <v>599</v>
      </c>
      <c r="E106" s="3">
        <v>44197</v>
      </c>
      <c r="F106" s="3">
        <v>44561</v>
      </c>
      <c r="G106" t="s">
        <v>108</v>
      </c>
      <c r="H106" s="3">
        <v>44197</v>
      </c>
      <c r="I106" s="3">
        <v>44561</v>
      </c>
      <c r="J106" t="s">
        <v>108</v>
      </c>
      <c r="K106">
        <v>32374</v>
      </c>
      <c r="L106" t="s">
        <v>109</v>
      </c>
      <c r="M106" t="s">
        <v>82</v>
      </c>
      <c r="O106" t="s">
        <v>600</v>
      </c>
      <c r="P106" t="s">
        <v>633</v>
      </c>
      <c r="Q106">
        <v>2021</v>
      </c>
      <c r="R106" t="s">
        <v>567</v>
      </c>
      <c r="S106" t="s">
        <v>568</v>
      </c>
      <c r="T106" t="s">
        <v>569</v>
      </c>
      <c r="U106" t="b">
        <v>0</v>
      </c>
      <c r="V106" t="s">
        <v>634</v>
      </c>
      <c r="W106" t="s">
        <v>571</v>
      </c>
      <c r="X106" t="s">
        <v>572</v>
      </c>
      <c r="Y106" t="s">
        <v>466</v>
      </c>
      <c r="Z106" t="s">
        <v>495</v>
      </c>
      <c r="AA106" t="s">
        <v>627</v>
      </c>
      <c r="AC106">
        <v>0</v>
      </c>
      <c r="AD106" t="s">
        <v>565</v>
      </c>
      <c r="AE106">
        <v>295.31271989999999</v>
      </c>
      <c r="AF106">
        <v>9.1219100000000004E-3</v>
      </c>
      <c r="AG106" t="s">
        <v>560</v>
      </c>
      <c r="AH106">
        <v>1</v>
      </c>
      <c r="AI106">
        <v>32374</v>
      </c>
      <c r="AJ106" t="s">
        <v>561</v>
      </c>
      <c r="AK106" t="s">
        <v>589</v>
      </c>
      <c r="AL106" t="s">
        <v>603</v>
      </c>
      <c r="AM106">
        <v>2021</v>
      </c>
      <c r="AN106">
        <v>2019</v>
      </c>
      <c r="AO106">
        <f>IF(AND(emissions[[#This Row],[Market-based]]=0,emissions[[#This Row],[Impact Type]]="CO2E"),emissions[[#This Row],[kgCO2e]],0)/1000</f>
        <v>0.29531271989999996</v>
      </c>
      <c r="AP106">
        <f>IF(AND(emissions[[#This Row],[Market-based]]=1,OR(emissions[[#This Row],[Impact Type]]="CO2E",emissions[[#This Row],[Impact Type]]="CO2E MKT")),emissions[[#This Row],[kgCO2e]],0)/1000</f>
        <v>0</v>
      </c>
      <c r="AQ106" t="str">
        <f>_xlfn.TEXTAFTER(emissions[[#This Row],[Reporting Unit]]," &gt; ",LEN(emissions[[#This Row],[Reporting Unit]])-LEN(SUBSTITUTE(emissions[[#This Row],[Reporting Unit]],"&gt;","")))</f>
        <v>Vantage_Shanghai</v>
      </c>
      <c r="AR106" t="str">
        <f>_xlfn.XLOOKUP(emissions[[#This Row],[Reporting unit name]],hierarchy!$A:$A,hierarchy!$C:$C)</f>
        <v>Warehouse</v>
      </c>
    </row>
    <row r="107" spans="1:44" hidden="1" x14ac:dyDescent="0.25">
      <c r="A107">
        <v>4962</v>
      </c>
      <c r="B107" t="s">
        <v>132</v>
      </c>
      <c r="C107" t="s">
        <v>493</v>
      </c>
      <c r="D107" t="s">
        <v>599</v>
      </c>
      <c r="E107" s="3">
        <v>44197</v>
      </c>
      <c r="F107" s="3">
        <v>44561</v>
      </c>
      <c r="G107" t="s">
        <v>108</v>
      </c>
      <c r="H107" s="3">
        <v>44197</v>
      </c>
      <c r="I107" s="3">
        <v>44561</v>
      </c>
      <c r="J107" t="s">
        <v>108</v>
      </c>
      <c r="K107">
        <v>32374</v>
      </c>
      <c r="L107" t="s">
        <v>109</v>
      </c>
      <c r="M107" t="s">
        <v>82</v>
      </c>
      <c r="O107" t="s">
        <v>600</v>
      </c>
      <c r="P107" t="s">
        <v>633</v>
      </c>
      <c r="Q107">
        <v>2021</v>
      </c>
      <c r="R107" t="s">
        <v>567</v>
      </c>
      <c r="S107" t="s">
        <v>568</v>
      </c>
      <c r="T107" t="s">
        <v>569</v>
      </c>
      <c r="U107" t="b">
        <v>0</v>
      </c>
      <c r="V107" t="s">
        <v>634</v>
      </c>
      <c r="W107" t="s">
        <v>571</v>
      </c>
      <c r="X107" t="s">
        <v>572</v>
      </c>
      <c r="Y107" t="s">
        <v>466</v>
      </c>
      <c r="Z107" t="s">
        <v>495</v>
      </c>
      <c r="AA107" t="s">
        <v>627</v>
      </c>
      <c r="AC107">
        <v>1</v>
      </c>
      <c r="AD107" t="s">
        <v>565</v>
      </c>
      <c r="AE107">
        <v>295.31271989999999</v>
      </c>
      <c r="AF107">
        <v>9.1219100000000004E-3</v>
      </c>
      <c r="AG107" t="s">
        <v>560</v>
      </c>
      <c r="AH107">
        <v>1</v>
      </c>
      <c r="AI107">
        <v>32374</v>
      </c>
      <c r="AJ107" t="s">
        <v>561</v>
      </c>
      <c r="AK107" t="s">
        <v>589</v>
      </c>
      <c r="AL107" t="s">
        <v>603</v>
      </c>
      <c r="AM107">
        <v>2021</v>
      </c>
      <c r="AN107">
        <v>2019</v>
      </c>
      <c r="AO107">
        <f>IF(AND(emissions[[#This Row],[Market-based]]=0,emissions[[#This Row],[Impact Type]]="CO2E"),emissions[[#This Row],[kgCO2e]],0)/1000</f>
        <v>0</v>
      </c>
      <c r="AP107">
        <f>IF(AND(emissions[[#This Row],[Market-based]]=1,OR(emissions[[#This Row],[Impact Type]]="CO2E",emissions[[#This Row],[Impact Type]]="CO2E MKT")),emissions[[#This Row],[kgCO2e]],0)/1000</f>
        <v>0.29531271989999996</v>
      </c>
      <c r="AQ107" t="str">
        <f>_xlfn.TEXTAFTER(emissions[[#This Row],[Reporting Unit]]," &gt; ",LEN(emissions[[#This Row],[Reporting Unit]])-LEN(SUBSTITUTE(emissions[[#This Row],[Reporting Unit]],"&gt;","")))</f>
        <v>Vantage_Shanghai</v>
      </c>
      <c r="AR107" t="str">
        <f>_xlfn.XLOOKUP(emissions[[#This Row],[Reporting unit name]],hierarchy!$A:$A,hierarchy!$C:$C)</f>
        <v>Warehouse</v>
      </c>
    </row>
    <row r="108" spans="1:44" hidden="1" x14ac:dyDescent="0.25">
      <c r="A108">
        <v>4962</v>
      </c>
      <c r="B108" t="s">
        <v>132</v>
      </c>
      <c r="C108" t="s">
        <v>493</v>
      </c>
      <c r="D108" t="s">
        <v>599</v>
      </c>
      <c r="E108" s="3">
        <v>44197</v>
      </c>
      <c r="F108" s="3">
        <v>44561</v>
      </c>
      <c r="G108" t="s">
        <v>108</v>
      </c>
      <c r="H108" s="3">
        <v>44197</v>
      </c>
      <c r="I108" s="3">
        <v>44561</v>
      </c>
      <c r="J108" t="s">
        <v>108</v>
      </c>
      <c r="K108">
        <v>32374</v>
      </c>
      <c r="L108" t="s">
        <v>109</v>
      </c>
      <c r="M108" t="s">
        <v>82</v>
      </c>
      <c r="O108" t="s">
        <v>600</v>
      </c>
      <c r="P108" t="s">
        <v>633</v>
      </c>
      <c r="Q108">
        <v>2021</v>
      </c>
      <c r="R108" t="s">
        <v>575</v>
      </c>
      <c r="S108" t="s">
        <v>576</v>
      </c>
      <c r="T108" t="s">
        <v>577</v>
      </c>
      <c r="U108" t="b">
        <v>0</v>
      </c>
      <c r="V108" t="s">
        <v>635</v>
      </c>
      <c r="W108" t="s">
        <v>571</v>
      </c>
      <c r="X108" t="s">
        <v>572</v>
      </c>
      <c r="Y108" t="s">
        <v>466</v>
      </c>
      <c r="Z108" t="s">
        <v>495</v>
      </c>
      <c r="AA108" t="s">
        <v>627</v>
      </c>
      <c r="AC108">
        <v>0</v>
      </c>
      <c r="AD108" t="s">
        <v>565</v>
      </c>
      <c r="AE108">
        <v>5305.1155859999999</v>
      </c>
      <c r="AF108">
        <v>0.16386963600000001</v>
      </c>
      <c r="AG108" t="s">
        <v>560</v>
      </c>
      <c r="AH108">
        <v>1</v>
      </c>
      <c r="AI108">
        <v>32374</v>
      </c>
      <c r="AJ108" t="s">
        <v>561</v>
      </c>
      <c r="AK108" t="s">
        <v>589</v>
      </c>
      <c r="AL108" t="s">
        <v>603</v>
      </c>
      <c r="AM108">
        <v>2021</v>
      </c>
      <c r="AN108">
        <v>2019</v>
      </c>
      <c r="AO108">
        <f>IF(AND(emissions[[#This Row],[Market-based]]=0,emissions[[#This Row],[Impact Type]]="CO2E"),emissions[[#This Row],[kgCO2e]],0)/1000</f>
        <v>5.3051155860000003</v>
      </c>
      <c r="AP108">
        <f>IF(AND(emissions[[#This Row],[Market-based]]=1,OR(emissions[[#This Row],[Impact Type]]="CO2E",emissions[[#This Row],[Impact Type]]="CO2E MKT")),emissions[[#This Row],[kgCO2e]],0)/1000</f>
        <v>0</v>
      </c>
      <c r="AQ108" t="str">
        <f>_xlfn.TEXTAFTER(emissions[[#This Row],[Reporting Unit]]," &gt; ",LEN(emissions[[#This Row],[Reporting Unit]])-LEN(SUBSTITUTE(emissions[[#This Row],[Reporting Unit]],"&gt;","")))</f>
        <v>Vantage_Shanghai</v>
      </c>
      <c r="AR108" t="str">
        <f>_xlfn.XLOOKUP(emissions[[#This Row],[Reporting unit name]],hierarchy!$A:$A,hierarchy!$C:$C)</f>
        <v>Warehouse</v>
      </c>
    </row>
    <row r="109" spans="1:44" hidden="1" x14ac:dyDescent="0.25">
      <c r="A109">
        <v>4962</v>
      </c>
      <c r="B109" t="s">
        <v>132</v>
      </c>
      <c r="C109" t="s">
        <v>493</v>
      </c>
      <c r="D109" t="s">
        <v>599</v>
      </c>
      <c r="E109" s="3">
        <v>44197</v>
      </c>
      <c r="F109" s="3">
        <v>44561</v>
      </c>
      <c r="G109" t="s">
        <v>108</v>
      </c>
      <c r="H109" s="3">
        <v>44197</v>
      </c>
      <c r="I109" s="3">
        <v>44561</v>
      </c>
      <c r="J109" t="s">
        <v>108</v>
      </c>
      <c r="K109">
        <v>32374</v>
      </c>
      <c r="L109" t="s">
        <v>109</v>
      </c>
      <c r="M109" t="s">
        <v>82</v>
      </c>
      <c r="O109" t="s">
        <v>600</v>
      </c>
      <c r="P109" t="s">
        <v>633</v>
      </c>
      <c r="Q109">
        <v>2021</v>
      </c>
      <c r="R109" t="s">
        <v>575</v>
      </c>
      <c r="S109" t="s">
        <v>576</v>
      </c>
      <c r="T109" t="s">
        <v>577</v>
      </c>
      <c r="U109" t="b">
        <v>0</v>
      </c>
      <c r="V109" t="s">
        <v>635</v>
      </c>
      <c r="W109" t="s">
        <v>571</v>
      </c>
      <c r="X109" t="s">
        <v>572</v>
      </c>
      <c r="Y109" t="s">
        <v>466</v>
      </c>
      <c r="Z109" t="s">
        <v>495</v>
      </c>
      <c r="AA109" t="s">
        <v>627</v>
      </c>
      <c r="AC109">
        <v>1</v>
      </c>
      <c r="AD109" t="s">
        <v>565</v>
      </c>
      <c r="AE109">
        <v>5305.1155859999999</v>
      </c>
      <c r="AF109">
        <v>0.16386963600000001</v>
      </c>
      <c r="AG109" t="s">
        <v>560</v>
      </c>
      <c r="AH109">
        <v>1</v>
      </c>
      <c r="AI109">
        <v>32374</v>
      </c>
      <c r="AJ109" t="s">
        <v>561</v>
      </c>
      <c r="AK109" t="s">
        <v>589</v>
      </c>
      <c r="AL109" t="s">
        <v>603</v>
      </c>
      <c r="AM109">
        <v>2021</v>
      </c>
      <c r="AN109">
        <v>2019</v>
      </c>
      <c r="AO109">
        <f>IF(AND(emissions[[#This Row],[Market-based]]=0,emissions[[#This Row],[Impact Type]]="CO2E"),emissions[[#This Row],[kgCO2e]],0)/1000</f>
        <v>0</v>
      </c>
      <c r="AP109">
        <f>IF(AND(emissions[[#This Row],[Market-based]]=1,OR(emissions[[#This Row],[Impact Type]]="CO2E",emissions[[#This Row],[Impact Type]]="CO2E MKT")),emissions[[#This Row],[kgCO2e]],0)/1000</f>
        <v>5.3051155860000003</v>
      </c>
      <c r="AQ109" t="str">
        <f>_xlfn.TEXTAFTER(emissions[[#This Row],[Reporting Unit]]," &gt; ",LEN(emissions[[#This Row],[Reporting Unit]])-LEN(SUBSTITUTE(emissions[[#This Row],[Reporting Unit]],"&gt;","")))</f>
        <v>Vantage_Shanghai</v>
      </c>
      <c r="AR109" t="str">
        <f>_xlfn.XLOOKUP(emissions[[#This Row],[Reporting unit name]],hierarchy!$A:$A,hierarchy!$C:$C)</f>
        <v>Warehouse</v>
      </c>
    </row>
    <row r="110" spans="1:44" hidden="1" x14ac:dyDescent="0.25">
      <c r="A110">
        <v>4962</v>
      </c>
      <c r="B110" t="s">
        <v>132</v>
      </c>
      <c r="C110" t="s">
        <v>493</v>
      </c>
      <c r="D110" t="s">
        <v>599</v>
      </c>
      <c r="E110" s="3">
        <v>44197</v>
      </c>
      <c r="F110" s="3">
        <v>44561</v>
      </c>
      <c r="G110" t="s">
        <v>108</v>
      </c>
      <c r="H110" s="3">
        <v>44197</v>
      </c>
      <c r="I110" s="3">
        <v>44561</v>
      </c>
      <c r="J110" t="s">
        <v>108</v>
      </c>
      <c r="K110">
        <v>32374</v>
      </c>
      <c r="L110" t="s">
        <v>109</v>
      </c>
      <c r="M110" t="s">
        <v>82</v>
      </c>
      <c r="O110" t="s">
        <v>600</v>
      </c>
      <c r="P110" t="s">
        <v>633</v>
      </c>
      <c r="Q110">
        <v>2021</v>
      </c>
      <c r="R110" t="s">
        <v>579</v>
      </c>
      <c r="S110" t="s">
        <v>580</v>
      </c>
      <c r="T110" t="s">
        <v>581</v>
      </c>
      <c r="U110" t="b">
        <v>0</v>
      </c>
      <c r="V110" t="s">
        <v>630</v>
      </c>
      <c r="W110" t="s">
        <v>571</v>
      </c>
      <c r="X110" t="s">
        <v>572</v>
      </c>
      <c r="Y110" t="s">
        <v>466</v>
      </c>
      <c r="Z110" t="s">
        <v>495</v>
      </c>
      <c r="AA110" t="s">
        <v>627</v>
      </c>
      <c r="AC110">
        <v>0</v>
      </c>
      <c r="AD110" t="s">
        <v>565</v>
      </c>
      <c r="AE110">
        <v>964.74519999999995</v>
      </c>
      <c r="AF110" t="s">
        <v>559</v>
      </c>
      <c r="AG110" t="s">
        <v>560</v>
      </c>
      <c r="AH110">
        <v>1</v>
      </c>
      <c r="AI110">
        <v>32374</v>
      </c>
      <c r="AJ110" t="s">
        <v>561</v>
      </c>
      <c r="AK110" t="s">
        <v>562</v>
      </c>
      <c r="AL110" t="s">
        <v>601</v>
      </c>
      <c r="AM110">
        <v>2021</v>
      </c>
      <c r="AN110">
        <v>2019</v>
      </c>
      <c r="AO110">
        <f>IF(AND(emissions[[#This Row],[Market-based]]=0,emissions[[#This Row],[Impact Type]]="CO2E"),emissions[[#This Row],[kgCO2e]],0)/1000</f>
        <v>0.96474519999999997</v>
      </c>
      <c r="AP110">
        <f>IF(AND(emissions[[#This Row],[Market-based]]=1,OR(emissions[[#This Row],[Impact Type]]="CO2E",emissions[[#This Row],[Impact Type]]="CO2E MKT")),emissions[[#This Row],[kgCO2e]],0)/1000</f>
        <v>0</v>
      </c>
      <c r="AQ110" t="str">
        <f>_xlfn.TEXTAFTER(emissions[[#This Row],[Reporting Unit]]," &gt; ",LEN(emissions[[#This Row],[Reporting Unit]])-LEN(SUBSTITUTE(emissions[[#This Row],[Reporting Unit]],"&gt;","")))</f>
        <v>Vantage_Shanghai</v>
      </c>
      <c r="AR110" t="str">
        <f>_xlfn.XLOOKUP(emissions[[#This Row],[Reporting unit name]],hierarchy!$A:$A,hierarchy!$C:$C)</f>
        <v>Warehouse</v>
      </c>
    </row>
    <row r="111" spans="1:44" hidden="1" x14ac:dyDescent="0.25">
      <c r="A111">
        <v>4962</v>
      </c>
      <c r="B111" t="s">
        <v>132</v>
      </c>
      <c r="C111" t="s">
        <v>493</v>
      </c>
      <c r="D111" t="s">
        <v>599</v>
      </c>
      <c r="E111" s="3">
        <v>44197</v>
      </c>
      <c r="F111" s="3">
        <v>44561</v>
      </c>
      <c r="G111" t="s">
        <v>108</v>
      </c>
      <c r="H111" s="3">
        <v>44197</v>
      </c>
      <c r="I111" s="3">
        <v>44561</v>
      </c>
      <c r="J111" t="s">
        <v>108</v>
      </c>
      <c r="K111">
        <v>32374</v>
      </c>
      <c r="L111" t="s">
        <v>109</v>
      </c>
      <c r="M111" t="s">
        <v>82</v>
      </c>
      <c r="O111" t="s">
        <v>600</v>
      </c>
      <c r="P111" t="s">
        <v>633</v>
      </c>
      <c r="Q111">
        <v>2021</v>
      </c>
      <c r="R111" t="s">
        <v>579</v>
      </c>
      <c r="S111" t="s">
        <v>580</v>
      </c>
      <c r="T111" t="s">
        <v>581</v>
      </c>
      <c r="U111" t="b">
        <v>0</v>
      </c>
      <c r="V111" t="s">
        <v>630</v>
      </c>
      <c r="W111" t="s">
        <v>571</v>
      </c>
      <c r="X111" t="s">
        <v>572</v>
      </c>
      <c r="Y111" t="s">
        <v>466</v>
      </c>
      <c r="Z111" t="s">
        <v>495</v>
      </c>
      <c r="AA111" t="s">
        <v>627</v>
      </c>
      <c r="AC111">
        <v>1</v>
      </c>
      <c r="AD111" t="s">
        <v>565</v>
      </c>
      <c r="AE111">
        <v>964.74519999999995</v>
      </c>
      <c r="AF111" t="s">
        <v>559</v>
      </c>
      <c r="AG111" t="s">
        <v>560</v>
      </c>
      <c r="AH111">
        <v>1</v>
      </c>
      <c r="AI111">
        <v>32374</v>
      </c>
      <c r="AJ111" t="s">
        <v>561</v>
      </c>
      <c r="AK111" t="s">
        <v>562</v>
      </c>
      <c r="AL111" t="s">
        <v>601</v>
      </c>
      <c r="AM111">
        <v>2021</v>
      </c>
      <c r="AN111">
        <v>2019</v>
      </c>
      <c r="AO111">
        <f>IF(AND(emissions[[#This Row],[Market-based]]=0,emissions[[#This Row],[Impact Type]]="CO2E"),emissions[[#This Row],[kgCO2e]],0)/1000</f>
        <v>0</v>
      </c>
      <c r="AP111">
        <f>IF(AND(emissions[[#This Row],[Market-based]]=1,OR(emissions[[#This Row],[Impact Type]]="CO2E",emissions[[#This Row],[Impact Type]]="CO2E MKT")),emissions[[#This Row],[kgCO2e]],0)/1000</f>
        <v>0.96474519999999997</v>
      </c>
      <c r="AQ111" t="str">
        <f>_xlfn.TEXTAFTER(emissions[[#This Row],[Reporting Unit]]," &gt; ",LEN(emissions[[#This Row],[Reporting Unit]])-LEN(SUBSTITUTE(emissions[[#This Row],[Reporting Unit]],"&gt;","")))</f>
        <v>Vantage_Shanghai</v>
      </c>
      <c r="AR111" t="str">
        <f>_xlfn.XLOOKUP(emissions[[#This Row],[Reporting unit name]],hierarchy!$A:$A,hierarchy!$C:$C)</f>
        <v>Warehouse</v>
      </c>
    </row>
    <row r="112" spans="1:44" hidden="1" x14ac:dyDescent="0.25">
      <c r="A112">
        <v>4988</v>
      </c>
      <c r="B112" t="s">
        <v>132</v>
      </c>
      <c r="C112" t="s">
        <v>493</v>
      </c>
      <c r="D112" t="s">
        <v>599</v>
      </c>
      <c r="E112" s="3">
        <v>44197</v>
      </c>
      <c r="F112" s="3">
        <v>44561</v>
      </c>
      <c r="G112" t="s">
        <v>135</v>
      </c>
      <c r="H112" s="3">
        <v>44197</v>
      </c>
      <c r="I112" s="3">
        <v>44561</v>
      </c>
      <c r="J112" t="s">
        <v>135</v>
      </c>
      <c r="K112">
        <v>234222690.69999999</v>
      </c>
      <c r="L112" t="s">
        <v>140</v>
      </c>
      <c r="M112" t="s">
        <v>82</v>
      </c>
      <c r="O112" t="s">
        <v>600</v>
      </c>
      <c r="P112" t="s">
        <v>550</v>
      </c>
      <c r="Q112">
        <v>2021</v>
      </c>
      <c r="R112" t="s">
        <v>605</v>
      </c>
      <c r="S112" t="s">
        <v>606</v>
      </c>
      <c r="T112" t="s">
        <v>553</v>
      </c>
      <c r="U112" t="b">
        <v>0</v>
      </c>
      <c r="V112" t="s">
        <v>607</v>
      </c>
      <c r="W112" t="s">
        <v>587</v>
      </c>
      <c r="X112" t="s">
        <v>556</v>
      </c>
      <c r="AC112">
        <v>0</v>
      </c>
      <c r="AD112" t="s">
        <v>558</v>
      </c>
      <c r="AE112">
        <v>17.160910990000001</v>
      </c>
      <c r="AF112">
        <v>2.5000000000000001E-4</v>
      </c>
      <c r="AG112" t="s">
        <v>608</v>
      </c>
      <c r="AH112">
        <v>2.9306999999999998E-4</v>
      </c>
      <c r="AI112">
        <v>68643.643960000001</v>
      </c>
      <c r="AJ112" t="s">
        <v>561</v>
      </c>
      <c r="AK112" t="s">
        <v>589</v>
      </c>
      <c r="AL112" t="s">
        <v>603</v>
      </c>
      <c r="AM112">
        <v>2021</v>
      </c>
      <c r="AN112">
        <v>2019</v>
      </c>
      <c r="AO112">
        <f>IF(AND(emissions[[#This Row],[Market-based]]=0,emissions[[#This Row],[Impact Type]]="CO2E"),emissions[[#This Row],[kgCO2e]],0)/1000</f>
        <v>0</v>
      </c>
      <c r="AP112">
        <f>IF(AND(emissions[[#This Row],[Market-based]]=1,OR(emissions[[#This Row],[Impact Type]]="CO2E",emissions[[#This Row],[Impact Type]]="CO2E MKT")),emissions[[#This Row],[kgCO2e]],0)/1000</f>
        <v>0</v>
      </c>
      <c r="AQ112" t="str">
        <f>_xlfn.TEXTAFTER(emissions[[#This Row],[Reporting Unit]]," &gt; ",LEN(emissions[[#This Row],[Reporting Unit]])-LEN(SUBSTITUTE(emissions[[#This Row],[Reporting Unit]],"&gt;","")))</f>
        <v>Vantage_Shanghai</v>
      </c>
      <c r="AR112" t="str">
        <f>_xlfn.XLOOKUP(emissions[[#This Row],[Reporting unit name]],hierarchy!$A:$A,hierarchy!$C:$C)</f>
        <v>Warehouse</v>
      </c>
    </row>
    <row r="113" spans="1:44" hidden="1" x14ac:dyDescent="0.25">
      <c r="A113">
        <v>4988</v>
      </c>
      <c r="B113" t="s">
        <v>132</v>
      </c>
      <c r="C113" t="s">
        <v>493</v>
      </c>
      <c r="D113" t="s">
        <v>599</v>
      </c>
      <c r="E113" s="3">
        <v>44197</v>
      </c>
      <c r="F113" s="3">
        <v>44561</v>
      </c>
      <c r="G113" t="s">
        <v>135</v>
      </c>
      <c r="H113" s="3">
        <v>44197</v>
      </c>
      <c r="I113" s="3">
        <v>44561</v>
      </c>
      <c r="J113" t="s">
        <v>135</v>
      </c>
      <c r="K113">
        <v>234222690.69999999</v>
      </c>
      <c r="L113" t="s">
        <v>140</v>
      </c>
      <c r="M113" t="s">
        <v>82</v>
      </c>
      <c r="O113" t="s">
        <v>600</v>
      </c>
      <c r="P113" t="s">
        <v>550</v>
      </c>
      <c r="Q113">
        <v>2021</v>
      </c>
      <c r="R113" t="s">
        <v>605</v>
      </c>
      <c r="S113" t="s">
        <v>606</v>
      </c>
      <c r="T113" t="s">
        <v>553</v>
      </c>
      <c r="U113" t="b">
        <v>0</v>
      </c>
      <c r="V113" t="s">
        <v>607</v>
      </c>
      <c r="W113" t="s">
        <v>587</v>
      </c>
      <c r="X113" t="s">
        <v>556</v>
      </c>
      <c r="AC113">
        <v>0</v>
      </c>
      <c r="AD113" t="s">
        <v>564</v>
      </c>
      <c r="AE113">
        <v>12549.430990000001</v>
      </c>
      <c r="AF113">
        <v>0.18282000000000001</v>
      </c>
      <c r="AG113" t="s">
        <v>608</v>
      </c>
      <c r="AH113">
        <v>2.9306999999999998E-4</v>
      </c>
      <c r="AI113">
        <v>68643.643960000001</v>
      </c>
      <c r="AJ113" t="s">
        <v>561</v>
      </c>
      <c r="AK113" t="s">
        <v>589</v>
      </c>
      <c r="AL113" t="s">
        <v>603</v>
      </c>
      <c r="AM113">
        <v>2021</v>
      </c>
      <c r="AN113">
        <v>2019</v>
      </c>
      <c r="AO113">
        <f>IF(AND(emissions[[#This Row],[Market-based]]=0,emissions[[#This Row],[Impact Type]]="CO2E"),emissions[[#This Row],[kgCO2e]],0)/1000</f>
        <v>0</v>
      </c>
      <c r="AP113">
        <f>IF(AND(emissions[[#This Row],[Market-based]]=1,OR(emissions[[#This Row],[Impact Type]]="CO2E",emissions[[#This Row],[Impact Type]]="CO2E MKT")),emissions[[#This Row],[kgCO2e]],0)/1000</f>
        <v>0</v>
      </c>
      <c r="AQ113" t="str">
        <f>_xlfn.TEXTAFTER(emissions[[#This Row],[Reporting Unit]]," &gt; ",LEN(emissions[[#This Row],[Reporting Unit]])-LEN(SUBSTITUTE(emissions[[#This Row],[Reporting Unit]],"&gt;","")))</f>
        <v>Vantage_Shanghai</v>
      </c>
      <c r="AR113" t="str">
        <f>_xlfn.XLOOKUP(emissions[[#This Row],[Reporting unit name]],hierarchy!$A:$A,hierarchy!$C:$C)</f>
        <v>Warehouse</v>
      </c>
    </row>
    <row r="114" spans="1:44" hidden="1" x14ac:dyDescent="0.25">
      <c r="A114">
        <v>4988</v>
      </c>
      <c r="B114" t="s">
        <v>132</v>
      </c>
      <c r="C114" t="s">
        <v>493</v>
      </c>
      <c r="D114" t="s">
        <v>599</v>
      </c>
      <c r="E114" s="3">
        <v>44197</v>
      </c>
      <c r="F114" s="3">
        <v>44561</v>
      </c>
      <c r="G114" t="s">
        <v>135</v>
      </c>
      <c r="H114" s="3">
        <v>44197</v>
      </c>
      <c r="I114" s="3">
        <v>44561</v>
      </c>
      <c r="J114" t="s">
        <v>135</v>
      </c>
      <c r="K114">
        <v>234222690.69999999</v>
      </c>
      <c r="L114" t="s">
        <v>140</v>
      </c>
      <c r="M114" t="s">
        <v>82</v>
      </c>
      <c r="O114" t="s">
        <v>600</v>
      </c>
      <c r="P114" t="s">
        <v>550</v>
      </c>
      <c r="Q114">
        <v>2021</v>
      </c>
      <c r="R114" t="s">
        <v>605</v>
      </c>
      <c r="S114" t="s">
        <v>606</v>
      </c>
      <c r="T114" t="s">
        <v>553</v>
      </c>
      <c r="U114" t="b">
        <v>0</v>
      </c>
      <c r="V114" t="s">
        <v>607</v>
      </c>
      <c r="W114" t="s">
        <v>587</v>
      </c>
      <c r="X114" t="s">
        <v>556</v>
      </c>
      <c r="AC114">
        <v>0</v>
      </c>
      <c r="AD114" t="s">
        <v>565</v>
      </c>
      <c r="AE114">
        <v>12573.456260000001</v>
      </c>
      <c r="AF114">
        <v>0.18317</v>
      </c>
      <c r="AG114" t="s">
        <v>608</v>
      </c>
      <c r="AH114">
        <v>2.9306999999999998E-4</v>
      </c>
      <c r="AI114">
        <v>68643.643960000001</v>
      </c>
      <c r="AJ114" t="s">
        <v>561</v>
      </c>
      <c r="AK114" t="s">
        <v>589</v>
      </c>
      <c r="AL114" t="s">
        <v>603</v>
      </c>
      <c r="AM114">
        <v>2021</v>
      </c>
      <c r="AN114">
        <v>2019</v>
      </c>
      <c r="AO114">
        <f>IF(AND(emissions[[#This Row],[Market-based]]=0,emissions[[#This Row],[Impact Type]]="CO2E"),emissions[[#This Row],[kgCO2e]],0)/1000</f>
        <v>12.57345626</v>
      </c>
      <c r="AP114">
        <f>IF(AND(emissions[[#This Row],[Market-based]]=1,OR(emissions[[#This Row],[Impact Type]]="CO2E",emissions[[#This Row],[Impact Type]]="CO2E MKT")),emissions[[#This Row],[kgCO2e]],0)/1000</f>
        <v>0</v>
      </c>
      <c r="AQ114" t="str">
        <f>_xlfn.TEXTAFTER(emissions[[#This Row],[Reporting Unit]]," &gt; ",LEN(emissions[[#This Row],[Reporting Unit]])-LEN(SUBSTITUTE(emissions[[#This Row],[Reporting Unit]],"&gt;","")))</f>
        <v>Vantage_Shanghai</v>
      </c>
      <c r="AR114" t="str">
        <f>_xlfn.XLOOKUP(emissions[[#This Row],[Reporting unit name]],hierarchy!$A:$A,hierarchy!$C:$C)</f>
        <v>Warehouse</v>
      </c>
    </row>
    <row r="115" spans="1:44" hidden="1" x14ac:dyDescent="0.25">
      <c r="A115">
        <v>4988</v>
      </c>
      <c r="B115" t="s">
        <v>132</v>
      </c>
      <c r="C115" t="s">
        <v>493</v>
      </c>
      <c r="D115" t="s">
        <v>599</v>
      </c>
      <c r="E115" s="3">
        <v>44197</v>
      </c>
      <c r="F115" s="3">
        <v>44561</v>
      </c>
      <c r="G115" t="s">
        <v>135</v>
      </c>
      <c r="H115" s="3">
        <v>44197</v>
      </c>
      <c r="I115" s="3">
        <v>44561</v>
      </c>
      <c r="J115" t="s">
        <v>135</v>
      </c>
      <c r="K115">
        <v>234222690.69999999</v>
      </c>
      <c r="L115" t="s">
        <v>140</v>
      </c>
      <c r="M115" t="s">
        <v>82</v>
      </c>
      <c r="O115" t="s">
        <v>600</v>
      </c>
      <c r="P115" t="s">
        <v>550</v>
      </c>
      <c r="Q115">
        <v>2021</v>
      </c>
      <c r="R115" t="s">
        <v>605</v>
      </c>
      <c r="S115" t="s">
        <v>606</v>
      </c>
      <c r="T115" t="s">
        <v>553</v>
      </c>
      <c r="U115" t="b">
        <v>0</v>
      </c>
      <c r="V115" t="s">
        <v>607</v>
      </c>
      <c r="W115" t="s">
        <v>587</v>
      </c>
      <c r="X115" t="s">
        <v>556</v>
      </c>
      <c r="AC115">
        <v>0</v>
      </c>
      <c r="AD115" t="s">
        <v>566</v>
      </c>
      <c r="AE115">
        <v>6.864364396</v>
      </c>
      <c r="AF115">
        <v>1E-4</v>
      </c>
      <c r="AG115" t="s">
        <v>608</v>
      </c>
      <c r="AH115">
        <v>2.9306999999999998E-4</v>
      </c>
      <c r="AI115">
        <v>68643.643960000001</v>
      </c>
      <c r="AJ115" t="s">
        <v>561</v>
      </c>
      <c r="AK115" t="s">
        <v>589</v>
      </c>
      <c r="AL115" t="s">
        <v>603</v>
      </c>
      <c r="AM115">
        <v>2021</v>
      </c>
      <c r="AN115">
        <v>2019</v>
      </c>
      <c r="AO115">
        <f>IF(AND(emissions[[#This Row],[Market-based]]=0,emissions[[#This Row],[Impact Type]]="CO2E"),emissions[[#This Row],[kgCO2e]],0)/1000</f>
        <v>0</v>
      </c>
      <c r="AP115">
        <f>IF(AND(emissions[[#This Row],[Market-based]]=1,OR(emissions[[#This Row],[Impact Type]]="CO2E",emissions[[#This Row],[Impact Type]]="CO2E MKT")),emissions[[#This Row],[kgCO2e]],0)/1000</f>
        <v>0</v>
      </c>
      <c r="AQ115" t="str">
        <f>_xlfn.TEXTAFTER(emissions[[#This Row],[Reporting Unit]]," &gt; ",LEN(emissions[[#This Row],[Reporting Unit]])-LEN(SUBSTITUTE(emissions[[#This Row],[Reporting Unit]],"&gt;","")))</f>
        <v>Vantage_Shanghai</v>
      </c>
      <c r="AR115" t="str">
        <f>_xlfn.XLOOKUP(emissions[[#This Row],[Reporting unit name]],hierarchy!$A:$A,hierarchy!$C:$C)</f>
        <v>Warehouse</v>
      </c>
    </row>
    <row r="116" spans="1:44" hidden="1" x14ac:dyDescent="0.25">
      <c r="A116">
        <v>4988</v>
      </c>
      <c r="B116" t="s">
        <v>132</v>
      </c>
      <c r="C116" t="s">
        <v>493</v>
      </c>
      <c r="D116" t="s">
        <v>599</v>
      </c>
      <c r="E116" s="3">
        <v>44197</v>
      </c>
      <c r="F116" s="3">
        <v>44561</v>
      </c>
      <c r="G116" t="s">
        <v>135</v>
      </c>
      <c r="H116" s="3">
        <v>44197</v>
      </c>
      <c r="I116" s="3">
        <v>44561</v>
      </c>
      <c r="J116" t="s">
        <v>135</v>
      </c>
      <c r="K116">
        <v>234222690.69999999</v>
      </c>
      <c r="L116" t="s">
        <v>140</v>
      </c>
      <c r="M116" t="s">
        <v>82</v>
      </c>
      <c r="O116" t="s">
        <v>600</v>
      </c>
      <c r="P116" t="s">
        <v>550</v>
      </c>
      <c r="Q116">
        <v>2021</v>
      </c>
      <c r="R116" t="s">
        <v>605</v>
      </c>
      <c r="S116" t="s">
        <v>606</v>
      </c>
      <c r="T116" t="s">
        <v>553</v>
      </c>
      <c r="U116" t="b">
        <v>0</v>
      </c>
      <c r="V116" t="s">
        <v>607</v>
      </c>
      <c r="W116" t="s">
        <v>587</v>
      </c>
      <c r="X116" t="s">
        <v>556</v>
      </c>
      <c r="AC116">
        <v>1</v>
      </c>
      <c r="AD116" t="s">
        <v>558</v>
      </c>
      <c r="AE116">
        <v>17.160910990000001</v>
      </c>
      <c r="AF116">
        <v>2.5000000000000001E-4</v>
      </c>
      <c r="AG116" t="s">
        <v>608</v>
      </c>
      <c r="AH116">
        <v>2.9306999999999998E-4</v>
      </c>
      <c r="AI116">
        <v>68643.643960000001</v>
      </c>
      <c r="AJ116" t="s">
        <v>561</v>
      </c>
      <c r="AK116" t="s">
        <v>589</v>
      </c>
      <c r="AL116" t="s">
        <v>603</v>
      </c>
      <c r="AM116">
        <v>2021</v>
      </c>
      <c r="AN116">
        <v>2019</v>
      </c>
      <c r="AO116">
        <f>IF(AND(emissions[[#This Row],[Market-based]]=0,emissions[[#This Row],[Impact Type]]="CO2E"),emissions[[#This Row],[kgCO2e]],0)/1000</f>
        <v>0</v>
      </c>
      <c r="AP116">
        <f>IF(AND(emissions[[#This Row],[Market-based]]=1,OR(emissions[[#This Row],[Impact Type]]="CO2E",emissions[[#This Row],[Impact Type]]="CO2E MKT")),emissions[[#This Row],[kgCO2e]],0)/1000</f>
        <v>0</v>
      </c>
      <c r="AQ116" t="str">
        <f>_xlfn.TEXTAFTER(emissions[[#This Row],[Reporting Unit]]," &gt; ",LEN(emissions[[#This Row],[Reporting Unit]])-LEN(SUBSTITUTE(emissions[[#This Row],[Reporting Unit]],"&gt;","")))</f>
        <v>Vantage_Shanghai</v>
      </c>
      <c r="AR116" t="str">
        <f>_xlfn.XLOOKUP(emissions[[#This Row],[Reporting unit name]],hierarchy!$A:$A,hierarchy!$C:$C)</f>
        <v>Warehouse</v>
      </c>
    </row>
    <row r="117" spans="1:44" hidden="1" x14ac:dyDescent="0.25">
      <c r="A117">
        <v>4988</v>
      </c>
      <c r="B117" t="s">
        <v>132</v>
      </c>
      <c r="C117" t="s">
        <v>493</v>
      </c>
      <c r="D117" t="s">
        <v>599</v>
      </c>
      <c r="E117" s="3">
        <v>44197</v>
      </c>
      <c r="F117" s="3">
        <v>44561</v>
      </c>
      <c r="G117" t="s">
        <v>135</v>
      </c>
      <c r="H117" s="3">
        <v>44197</v>
      </c>
      <c r="I117" s="3">
        <v>44561</v>
      </c>
      <c r="J117" t="s">
        <v>135</v>
      </c>
      <c r="K117">
        <v>234222690.69999999</v>
      </c>
      <c r="L117" t="s">
        <v>140</v>
      </c>
      <c r="M117" t="s">
        <v>82</v>
      </c>
      <c r="O117" t="s">
        <v>600</v>
      </c>
      <c r="P117" t="s">
        <v>550</v>
      </c>
      <c r="Q117">
        <v>2021</v>
      </c>
      <c r="R117" t="s">
        <v>605</v>
      </c>
      <c r="S117" t="s">
        <v>606</v>
      </c>
      <c r="T117" t="s">
        <v>553</v>
      </c>
      <c r="U117" t="b">
        <v>0</v>
      </c>
      <c r="V117" t="s">
        <v>607</v>
      </c>
      <c r="W117" t="s">
        <v>587</v>
      </c>
      <c r="X117" t="s">
        <v>556</v>
      </c>
      <c r="AC117">
        <v>1</v>
      </c>
      <c r="AD117" t="s">
        <v>564</v>
      </c>
      <c r="AE117">
        <v>12549.430990000001</v>
      </c>
      <c r="AF117">
        <v>0.18282000000000001</v>
      </c>
      <c r="AG117" t="s">
        <v>608</v>
      </c>
      <c r="AH117">
        <v>2.9306999999999998E-4</v>
      </c>
      <c r="AI117">
        <v>68643.643960000001</v>
      </c>
      <c r="AJ117" t="s">
        <v>561</v>
      </c>
      <c r="AK117" t="s">
        <v>589</v>
      </c>
      <c r="AL117" t="s">
        <v>603</v>
      </c>
      <c r="AM117">
        <v>2021</v>
      </c>
      <c r="AN117">
        <v>2019</v>
      </c>
      <c r="AO117">
        <f>IF(AND(emissions[[#This Row],[Market-based]]=0,emissions[[#This Row],[Impact Type]]="CO2E"),emissions[[#This Row],[kgCO2e]],0)/1000</f>
        <v>0</v>
      </c>
      <c r="AP117">
        <f>IF(AND(emissions[[#This Row],[Market-based]]=1,OR(emissions[[#This Row],[Impact Type]]="CO2E",emissions[[#This Row],[Impact Type]]="CO2E MKT")),emissions[[#This Row],[kgCO2e]],0)/1000</f>
        <v>0</v>
      </c>
      <c r="AQ117" t="str">
        <f>_xlfn.TEXTAFTER(emissions[[#This Row],[Reporting Unit]]," &gt; ",LEN(emissions[[#This Row],[Reporting Unit]])-LEN(SUBSTITUTE(emissions[[#This Row],[Reporting Unit]],"&gt;","")))</f>
        <v>Vantage_Shanghai</v>
      </c>
      <c r="AR117" t="str">
        <f>_xlfn.XLOOKUP(emissions[[#This Row],[Reporting unit name]],hierarchy!$A:$A,hierarchy!$C:$C)</f>
        <v>Warehouse</v>
      </c>
    </row>
    <row r="118" spans="1:44" hidden="1" x14ac:dyDescent="0.25">
      <c r="A118">
        <v>4988</v>
      </c>
      <c r="B118" t="s">
        <v>132</v>
      </c>
      <c r="C118" t="s">
        <v>493</v>
      </c>
      <c r="D118" t="s">
        <v>599</v>
      </c>
      <c r="E118" s="3">
        <v>44197</v>
      </c>
      <c r="F118" s="3">
        <v>44561</v>
      </c>
      <c r="G118" t="s">
        <v>135</v>
      </c>
      <c r="H118" s="3">
        <v>44197</v>
      </c>
      <c r="I118" s="3">
        <v>44561</v>
      </c>
      <c r="J118" t="s">
        <v>135</v>
      </c>
      <c r="K118">
        <v>234222690.69999999</v>
      </c>
      <c r="L118" t="s">
        <v>140</v>
      </c>
      <c r="M118" t="s">
        <v>82</v>
      </c>
      <c r="O118" t="s">
        <v>600</v>
      </c>
      <c r="P118" t="s">
        <v>550</v>
      </c>
      <c r="Q118">
        <v>2021</v>
      </c>
      <c r="R118" t="s">
        <v>605</v>
      </c>
      <c r="S118" t="s">
        <v>606</v>
      </c>
      <c r="T118" t="s">
        <v>553</v>
      </c>
      <c r="U118" t="b">
        <v>0</v>
      </c>
      <c r="V118" t="s">
        <v>607</v>
      </c>
      <c r="W118" t="s">
        <v>587</v>
      </c>
      <c r="X118" t="s">
        <v>556</v>
      </c>
      <c r="AC118">
        <v>1</v>
      </c>
      <c r="AD118" t="s">
        <v>565</v>
      </c>
      <c r="AE118">
        <v>12573.456260000001</v>
      </c>
      <c r="AF118">
        <v>0.18317</v>
      </c>
      <c r="AG118" t="s">
        <v>608</v>
      </c>
      <c r="AH118">
        <v>2.9306999999999998E-4</v>
      </c>
      <c r="AI118">
        <v>68643.643960000001</v>
      </c>
      <c r="AJ118" t="s">
        <v>561</v>
      </c>
      <c r="AK118" t="s">
        <v>589</v>
      </c>
      <c r="AL118" t="s">
        <v>603</v>
      </c>
      <c r="AM118">
        <v>2021</v>
      </c>
      <c r="AN118">
        <v>2019</v>
      </c>
      <c r="AO118">
        <f>IF(AND(emissions[[#This Row],[Market-based]]=0,emissions[[#This Row],[Impact Type]]="CO2E"),emissions[[#This Row],[kgCO2e]],0)/1000</f>
        <v>0</v>
      </c>
      <c r="AP118">
        <f>IF(AND(emissions[[#This Row],[Market-based]]=1,OR(emissions[[#This Row],[Impact Type]]="CO2E",emissions[[#This Row],[Impact Type]]="CO2E MKT")),emissions[[#This Row],[kgCO2e]],0)/1000</f>
        <v>12.57345626</v>
      </c>
      <c r="AQ118" t="str">
        <f>_xlfn.TEXTAFTER(emissions[[#This Row],[Reporting Unit]]," &gt; ",LEN(emissions[[#This Row],[Reporting Unit]])-LEN(SUBSTITUTE(emissions[[#This Row],[Reporting Unit]],"&gt;","")))</f>
        <v>Vantage_Shanghai</v>
      </c>
      <c r="AR118" t="str">
        <f>_xlfn.XLOOKUP(emissions[[#This Row],[Reporting unit name]],hierarchy!$A:$A,hierarchy!$C:$C)</f>
        <v>Warehouse</v>
      </c>
    </row>
    <row r="119" spans="1:44" hidden="1" x14ac:dyDescent="0.25">
      <c r="A119">
        <v>4988</v>
      </c>
      <c r="B119" t="s">
        <v>132</v>
      </c>
      <c r="C119" t="s">
        <v>493</v>
      </c>
      <c r="D119" t="s">
        <v>599</v>
      </c>
      <c r="E119" s="3">
        <v>44197</v>
      </c>
      <c r="F119" s="3">
        <v>44561</v>
      </c>
      <c r="G119" t="s">
        <v>135</v>
      </c>
      <c r="H119" s="3">
        <v>44197</v>
      </c>
      <c r="I119" s="3">
        <v>44561</v>
      </c>
      <c r="J119" t="s">
        <v>135</v>
      </c>
      <c r="K119">
        <v>234222690.69999999</v>
      </c>
      <c r="L119" t="s">
        <v>140</v>
      </c>
      <c r="M119" t="s">
        <v>82</v>
      </c>
      <c r="O119" t="s">
        <v>600</v>
      </c>
      <c r="P119" t="s">
        <v>550</v>
      </c>
      <c r="Q119">
        <v>2021</v>
      </c>
      <c r="R119" t="s">
        <v>605</v>
      </c>
      <c r="S119" t="s">
        <v>606</v>
      </c>
      <c r="T119" t="s">
        <v>553</v>
      </c>
      <c r="U119" t="b">
        <v>0</v>
      </c>
      <c r="V119" t="s">
        <v>607</v>
      </c>
      <c r="W119" t="s">
        <v>587</v>
      </c>
      <c r="X119" t="s">
        <v>556</v>
      </c>
      <c r="AC119">
        <v>1</v>
      </c>
      <c r="AD119" t="s">
        <v>566</v>
      </c>
      <c r="AE119">
        <v>6.864364396</v>
      </c>
      <c r="AF119">
        <v>1E-4</v>
      </c>
      <c r="AG119" t="s">
        <v>608</v>
      </c>
      <c r="AH119">
        <v>2.9306999999999998E-4</v>
      </c>
      <c r="AI119">
        <v>68643.643960000001</v>
      </c>
      <c r="AJ119" t="s">
        <v>561</v>
      </c>
      <c r="AK119" t="s">
        <v>589</v>
      </c>
      <c r="AL119" t="s">
        <v>603</v>
      </c>
      <c r="AM119">
        <v>2021</v>
      </c>
      <c r="AN119">
        <v>2019</v>
      </c>
      <c r="AO119">
        <f>IF(AND(emissions[[#This Row],[Market-based]]=0,emissions[[#This Row],[Impact Type]]="CO2E"),emissions[[#This Row],[kgCO2e]],0)/1000</f>
        <v>0</v>
      </c>
      <c r="AP119">
        <f>IF(AND(emissions[[#This Row],[Market-based]]=1,OR(emissions[[#This Row],[Impact Type]]="CO2E",emissions[[#This Row],[Impact Type]]="CO2E MKT")),emissions[[#This Row],[kgCO2e]],0)/1000</f>
        <v>0</v>
      </c>
      <c r="AQ119" t="str">
        <f>_xlfn.TEXTAFTER(emissions[[#This Row],[Reporting Unit]]," &gt; ",LEN(emissions[[#This Row],[Reporting Unit]])-LEN(SUBSTITUTE(emissions[[#This Row],[Reporting Unit]],"&gt;","")))</f>
        <v>Vantage_Shanghai</v>
      </c>
      <c r="AR119" t="str">
        <f>_xlfn.XLOOKUP(emissions[[#This Row],[Reporting unit name]],hierarchy!$A:$A,hierarchy!$C:$C)</f>
        <v>Warehouse</v>
      </c>
    </row>
    <row r="120" spans="1:44" hidden="1" x14ac:dyDescent="0.25">
      <c r="A120">
        <v>4988</v>
      </c>
      <c r="B120" t="s">
        <v>132</v>
      </c>
      <c r="C120" t="s">
        <v>493</v>
      </c>
      <c r="D120" t="s">
        <v>599</v>
      </c>
      <c r="E120" s="3">
        <v>44197</v>
      </c>
      <c r="F120" s="3">
        <v>44561</v>
      </c>
      <c r="G120" t="s">
        <v>135</v>
      </c>
      <c r="H120" s="3">
        <v>44197</v>
      </c>
      <c r="I120" s="3">
        <v>44561</v>
      </c>
      <c r="J120" t="s">
        <v>135</v>
      </c>
      <c r="K120">
        <v>234222690.69999999</v>
      </c>
      <c r="L120" t="s">
        <v>140</v>
      </c>
      <c r="M120" t="s">
        <v>82</v>
      </c>
      <c r="O120" t="s">
        <v>600</v>
      </c>
      <c r="P120" t="s">
        <v>550</v>
      </c>
      <c r="Q120">
        <v>2021</v>
      </c>
      <c r="R120" t="s">
        <v>609</v>
      </c>
      <c r="S120" t="s">
        <v>610</v>
      </c>
      <c r="T120" t="s">
        <v>577</v>
      </c>
      <c r="U120" t="b">
        <v>0</v>
      </c>
      <c r="V120" t="s">
        <v>611</v>
      </c>
      <c r="W120" t="s">
        <v>571</v>
      </c>
      <c r="X120" t="s">
        <v>572</v>
      </c>
      <c r="AC120">
        <v>0</v>
      </c>
      <c r="AD120" t="s">
        <v>565</v>
      </c>
      <c r="AE120">
        <v>2151.9782380000001</v>
      </c>
      <c r="AF120">
        <v>3.1350000000000003E-2</v>
      </c>
      <c r="AG120" t="s">
        <v>608</v>
      </c>
      <c r="AH120">
        <v>2.9306999999999998E-4</v>
      </c>
      <c r="AI120">
        <v>68643.643960000001</v>
      </c>
      <c r="AJ120" t="s">
        <v>561</v>
      </c>
      <c r="AK120" t="s">
        <v>589</v>
      </c>
      <c r="AL120" t="s">
        <v>603</v>
      </c>
      <c r="AM120">
        <v>2021</v>
      </c>
      <c r="AN120">
        <v>2019</v>
      </c>
      <c r="AO120">
        <f>IF(AND(emissions[[#This Row],[Market-based]]=0,emissions[[#This Row],[Impact Type]]="CO2E"),emissions[[#This Row],[kgCO2e]],0)/1000</f>
        <v>2.1519782380000003</v>
      </c>
      <c r="AP120">
        <f>IF(AND(emissions[[#This Row],[Market-based]]=1,OR(emissions[[#This Row],[Impact Type]]="CO2E",emissions[[#This Row],[Impact Type]]="CO2E MKT")),emissions[[#This Row],[kgCO2e]],0)/1000</f>
        <v>0</v>
      </c>
      <c r="AQ120" t="str">
        <f>_xlfn.TEXTAFTER(emissions[[#This Row],[Reporting Unit]]," &gt; ",LEN(emissions[[#This Row],[Reporting Unit]])-LEN(SUBSTITUTE(emissions[[#This Row],[Reporting Unit]],"&gt;","")))</f>
        <v>Vantage_Shanghai</v>
      </c>
      <c r="AR120" t="str">
        <f>_xlfn.XLOOKUP(emissions[[#This Row],[Reporting unit name]],hierarchy!$A:$A,hierarchy!$C:$C)</f>
        <v>Warehouse</v>
      </c>
    </row>
    <row r="121" spans="1:44" hidden="1" x14ac:dyDescent="0.25">
      <c r="A121">
        <v>4988</v>
      </c>
      <c r="B121" t="s">
        <v>132</v>
      </c>
      <c r="C121" t="s">
        <v>493</v>
      </c>
      <c r="D121" t="s">
        <v>599</v>
      </c>
      <c r="E121" s="3">
        <v>44197</v>
      </c>
      <c r="F121" s="3">
        <v>44561</v>
      </c>
      <c r="G121" t="s">
        <v>135</v>
      </c>
      <c r="H121" s="3">
        <v>44197</v>
      </c>
      <c r="I121" s="3">
        <v>44561</v>
      </c>
      <c r="J121" t="s">
        <v>135</v>
      </c>
      <c r="K121">
        <v>234222690.69999999</v>
      </c>
      <c r="L121" t="s">
        <v>140</v>
      </c>
      <c r="M121" t="s">
        <v>82</v>
      </c>
      <c r="O121" t="s">
        <v>600</v>
      </c>
      <c r="P121" t="s">
        <v>550</v>
      </c>
      <c r="Q121">
        <v>2021</v>
      </c>
      <c r="R121" t="s">
        <v>609</v>
      </c>
      <c r="S121" t="s">
        <v>610</v>
      </c>
      <c r="T121" t="s">
        <v>577</v>
      </c>
      <c r="U121" t="b">
        <v>0</v>
      </c>
      <c r="V121" t="s">
        <v>611</v>
      </c>
      <c r="W121" t="s">
        <v>571</v>
      </c>
      <c r="X121" t="s">
        <v>572</v>
      </c>
      <c r="AC121">
        <v>1</v>
      </c>
      <c r="AD121" t="s">
        <v>565</v>
      </c>
      <c r="AE121">
        <v>2151.9782380000001</v>
      </c>
      <c r="AF121">
        <v>3.1350000000000003E-2</v>
      </c>
      <c r="AG121" t="s">
        <v>608</v>
      </c>
      <c r="AH121">
        <v>2.9306999999999998E-4</v>
      </c>
      <c r="AI121">
        <v>68643.643960000001</v>
      </c>
      <c r="AJ121" t="s">
        <v>561</v>
      </c>
      <c r="AK121" t="s">
        <v>589</v>
      </c>
      <c r="AL121" t="s">
        <v>603</v>
      </c>
      <c r="AM121">
        <v>2021</v>
      </c>
      <c r="AN121">
        <v>2019</v>
      </c>
      <c r="AO121">
        <f>IF(AND(emissions[[#This Row],[Market-based]]=0,emissions[[#This Row],[Impact Type]]="CO2E"),emissions[[#This Row],[kgCO2e]],0)/1000</f>
        <v>0</v>
      </c>
      <c r="AP121">
        <f>IF(AND(emissions[[#This Row],[Market-based]]=1,OR(emissions[[#This Row],[Impact Type]]="CO2E",emissions[[#This Row],[Impact Type]]="CO2E MKT")),emissions[[#This Row],[kgCO2e]],0)/1000</f>
        <v>2.1519782380000003</v>
      </c>
      <c r="AQ121" t="str">
        <f>_xlfn.TEXTAFTER(emissions[[#This Row],[Reporting Unit]]," &gt; ",LEN(emissions[[#This Row],[Reporting Unit]])-LEN(SUBSTITUTE(emissions[[#This Row],[Reporting Unit]],"&gt;","")))</f>
        <v>Vantage_Shanghai</v>
      </c>
      <c r="AR121" t="str">
        <f>_xlfn.XLOOKUP(emissions[[#This Row],[Reporting unit name]],hierarchy!$A:$A,hierarchy!$C:$C)</f>
        <v>Warehouse</v>
      </c>
    </row>
    <row r="122" spans="1:44" hidden="1" x14ac:dyDescent="0.25">
      <c r="A122">
        <v>5021</v>
      </c>
      <c r="B122" t="s">
        <v>132</v>
      </c>
      <c r="C122" t="s">
        <v>493</v>
      </c>
      <c r="D122" t="s">
        <v>599</v>
      </c>
      <c r="E122" s="3">
        <v>44197</v>
      </c>
      <c r="F122" s="3">
        <v>44561</v>
      </c>
      <c r="G122" t="s">
        <v>141</v>
      </c>
      <c r="H122" s="3">
        <v>44197</v>
      </c>
      <c r="I122" s="3">
        <v>44561</v>
      </c>
      <c r="J122" t="s">
        <v>142</v>
      </c>
      <c r="K122">
        <v>0</v>
      </c>
      <c r="L122" t="s">
        <v>143</v>
      </c>
      <c r="M122" t="s">
        <v>82</v>
      </c>
      <c r="O122" t="s">
        <v>600</v>
      </c>
      <c r="P122" t="s">
        <v>550</v>
      </c>
      <c r="Q122">
        <v>2021</v>
      </c>
      <c r="R122" t="s">
        <v>612</v>
      </c>
      <c r="S122" t="s">
        <v>613</v>
      </c>
      <c r="T122" t="s">
        <v>553</v>
      </c>
      <c r="U122" t="b">
        <v>0</v>
      </c>
      <c r="V122" t="s">
        <v>614</v>
      </c>
      <c r="W122" t="s">
        <v>587</v>
      </c>
      <c r="X122" t="s">
        <v>556</v>
      </c>
      <c r="AC122">
        <v>0</v>
      </c>
      <c r="AD122" t="s">
        <v>558</v>
      </c>
      <c r="AE122">
        <v>0</v>
      </c>
      <c r="AF122">
        <v>2.5999999999999998E-4</v>
      </c>
      <c r="AG122" t="s">
        <v>588</v>
      </c>
      <c r="AH122">
        <v>1</v>
      </c>
      <c r="AI122">
        <v>0</v>
      </c>
      <c r="AJ122" t="s">
        <v>561</v>
      </c>
      <c r="AK122" t="s">
        <v>589</v>
      </c>
      <c r="AL122" t="s">
        <v>603</v>
      </c>
      <c r="AM122">
        <v>2021</v>
      </c>
      <c r="AN122">
        <v>2019</v>
      </c>
      <c r="AO122">
        <f>IF(AND(emissions[[#This Row],[Market-based]]=0,emissions[[#This Row],[Impact Type]]="CO2E"),emissions[[#This Row],[kgCO2e]],0)/1000</f>
        <v>0</v>
      </c>
      <c r="AP122">
        <f>IF(AND(emissions[[#This Row],[Market-based]]=1,OR(emissions[[#This Row],[Impact Type]]="CO2E",emissions[[#This Row],[Impact Type]]="CO2E MKT")),emissions[[#This Row],[kgCO2e]],0)/1000</f>
        <v>0</v>
      </c>
      <c r="AQ122" t="str">
        <f>_xlfn.TEXTAFTER(emissions[[#This Row],[Reporting Unit]]," &gt; ",LEN(emissions[[#This Row],[Reporting Unit]])-LEN(SUBSTITUTE(emissions[[#This Row],[Reporting Unit]],"&gt;","")))</f>
        <v>Vantage_Shanghai</v>
      </c>
      <c r="AR122" t="str">
        <f>_xlfn.XLOOKUP(emissions[[#This Row],[Reporting unit name]],hierarchy!$A:$A,hierarchy!$C:$C)</f>
        <v>Warehouse</v>
      </c>
    </row>
    <row r="123" spans="1:44" hidden="1" x14ac:dyDescent="0.25">
      <c r="A123">
        <v>5021</v>
      </c>
      <c r="B123" t="s">
        <v>132</v>
      </c>
      <c r="C123" t="s">
        <v>493</v>
      </c>
      <c r="D123" t="s">
        <v>599</v>
      </c>
      <c r="E123" s="3">
        <v>44197</v>
      </c>
      <c r="F123" s="3">
        <v>44561</v>
      </c>
      <c r="G123" t="s">
        <v>141</v>
      </c>
      <c r="H123" s="3">
        <v>44197</v>
      </c>
      <c r="I123" s="3">
        <v>44561</v>
      </c>
      <c r="J123" t="s">
        <v>142</v>
      </c>
      <c r="K123">
        <v>0</v>
      </c>
      <c r="L123" t="s">
        <v>143</v>
      </c>
      <c r="M123" t="s">
        <v>82</v>
      </c>
      <c r="O123" t="s">
        <v>600</v>
      </c>
      <c r="P123" t="s">
        <v>550</v>
      </c>
      <c r="Q123">
        <v>2021</v>
      </c>
      <c r="R123" t="s">
        <v>612</v>
      </c>
      <c r="S123" t="s">
        <v>613</v>
      </c>
      <c r="T123" t="s">
        <v>553</v>
      </c>
      <c r="U123" t="b">
        <v>0</v>
      </c>
      <c r="V123" t="s">
        <v>614</v>
      </c>
      <c r="W123" t="s">
        <v>587</v>
      </c>
      <c r="X123" t="s">
        <v>556</v>
      </c>
      <c r="AC123">
        <v>0</v>
      </c>
      <c r="AD123" t="s">
        <v>564</v>
      </c>
      <c r="AE123">
        <v>0</v>
      </c>
      <c r="AF123">
        <v>2.6680700000000002</v>
      </c>
      <c r="AG123" t="s">
        <v>588</v>
      </c>
      <c r="AH123">
        <v>1</v>
      </c>
      <c r="AI123">
        <v>0</v>
      </c>
      <c r="AJ123" t="s">
        <v>561</v>
      </c>
      <c r="AK123" t="s">
        <v>589</v>
      </c>
      <c r="AL123" t="s">
        <v>603</v>
      </c>
      <c r="AM123">
        <v>2021</v>
      </c>
      <c r="AN123">
        <v>2019</v>
      </c>
      <c r="AO123">
        <f>IF(AND(emissions[[#This Row],[Market-based]]=0,emissions[[#This Row],[Impact Type]]="CO2E"),emissions[[#This Row],[kgCO2e]],0)/1000</f>
        <v>0</v>
      </c>
      <c r="AP123">
        <f>IF(AND(emissions[[#This Row],[Market-based]]=1,OR(emissions[[#This Row],[Impact Type]]="CO2E",emissions[[#This Row],[Impact Type]]="CO2E MKT")),emissions[[#This Row],[kgCO2e]],0)/1000</f>
        <v>0</v>
      </c>
      <c r="AQ123" t="str">
        <f>_xlfn.TEXTAFTER(emissions[[#This Row],[Reporting Unit]]," &gt; ",LEN(emissions[[#This Row],[Reporting Unit]])-LEN(SUBSTITUTE(emissions[[#This Row],[Reporting Unit]],"&gt;","")))</f>
        <v>Vantage_Shanghai</v>
      </c>
      <c r="AR123" t="str">
        <f>_xlfn.XLOOKUP(emissions[[#This Row],[Reporting unit name]],hierarchy!$A:$A,hierarchy!$C:$C)</f>
        <v>Warehouse</v>
      </c>
    </row>
    <row r="124" spans="1:44" hidden="1" x14ac:dyDescent="0.25">
      <c r="A124">
        <v>5021</v>
      </c>
      <c r="B124" t="s">
        <v>132</v>
      </c>
      <c r="C124" t="s">
        <v>493</v>
      </c>
      <c r="D124" t="s">
        <v>599</v>
      </c>
      <c r="E124" s="3">
        <v>44197</v>
      </c>
      <c r="F124" s="3">
        <v>44561</v>
      </c>
      <c r="G124" t="s">
        <v>141</v>
      </c>
      <c r="H124" s="3">
        <v>44197</v>
      </c>
      <c r="I124" s="3">
        <v>44561</v>
      </c>
      <c r="J124" t="s">
        <v>142</v>
      </c>
      <c r="K124">
        <v>0</v>
      </c>
      <c r="L124" t="s">
        <v>143</v>
      </c>
      <c r="M124" t="s">
        <v>82</v>
      </c>
      <c r="O124" t="s">
        <v>600</v>
      </c>
      <c r="P124" t="s">
        <v>550</v>
      </c>
      <c r="Q124">
        <v>2021</v>
      </c>
      <c r="R124" t="s">
        <v>612</v>
      </c>
      <c r="S124" t="s">
        <v>613</v>
      </c>
      <c r="T124" t="s">
        <v>553</v>
      </c>
      <c r="U124" t="b">
        <v>0</v>
      </c>
      <c r="V124" t="s">
        <v>614</v>
      </c>
      <c r="W124" t="s">
        <v>587</v>
      </c>
      <c r="X124" t="s">
        <v>556</v>
      </c>
      <c r="AC124">
        <v>0</v>
      </c>
      <c r="AD124" t="s">
        <v>565</v>
      </c>
      <c r="AE124">
        <v>0</v>
      </c>
      <c r="AF124">
        <v>2.70553</v>
      </c>
      <c r="AG124" t="s">
        <v>588</v>
      </c>
      <c r="AH124">
        <v>1</v>
      </c>
      <c r="AI124">
        <v>0</v>
      </c>
      <c r="AJ124" t="s">
        <v>561</v>
      </c>
      <c r="AK124" t="s">
        <v>589</v>
      </c>
      <c r="AL124" t="s">
        <v>603</v>
      </c>
      <c r="AM124">
        <v>2021</v>
      </c>
      <c r="AN124">
        <v>2019</v>
      </c>
      <c r="AO124">
        <f>IF(AND(emissions[[#This Row],[Market-based]]=0,emissions[[#This Row],[Impact Type]]="CO2E"),emissions[[#This Row],[kgCO2e]],0)/1000</f>
        <v>0</v>
      </c>
      <c r="AP124">
        <f>IF(AND(emissions[[#This Row],[Market-based]]=1,OR(emissions[[#This Row],[Impact Type]]="CO2E",emissions[[#This Row],[Impact Type]]="CO2E MKT")),emissions[[#This Row],[kgCO2e]],0)/1000</f>
        <v>0</v>
      </c>
      <c r="AQ124" t="str">
        <f>_xlfn.TEXTAFTER(emissions[[#This Row],[Reporting Unit]]," &gt; ",LEN(emissions[[#This Row],[Reporting Unit]])-LEN(SUBSTITUTE(emissions[[#This Row],[Reporting Unit]],"&gt;","")))</f>
        <v>Vantage_Shanghai</v>
      </c>
      <c r="AR124" t="str">
        <f>_xlfn.XLOOKUP(emissions[[#This Row],[Reporting unit name]],hierarchy!$A:$A,hierarchy!$C:$C)</f>
        <v>Warehouse</v>
      </c>
    </row>
    <row r="125" spans="1:44" hidden="1" x14ac:dyDescent="0.25">
      <c r="A125">
        <v>5021</v>
      </c>
      <c r="B125" t="s">
        <v>132</v>
      </c>
      <c r="C125" t="s">
        <v>493</v>
      </c>
      <c r="D125" t="s">
        <v>599</v>
      </c>
      <c r="E125" s="3">
        <v>44197</v>
      </c>
      <c r="F125" s="3">
        <v>44561</v>
      </c>
      <c r="G125" t="s">
        <v>141</v>
      </c>
      <c r="H125" s="3">
        <v>44197</v>
      </c>
      <c r="I125" s="3">
        <v>44561</v>
      </c>
      <c r="J125" t="s">
        <v>142</v>
      </c>
      <c r="K125">
        <v>0</v>
      </c>
      <c r="L125" t="s">
        <v>143</v>
      </c>
      <c r="M125" t="s">
        <v>82</v>
      </c>
      <c r="O125" t="s">
        <v>600</v>
      </c>
      <c r="P125" t="s">
        <v>550</v>
      </c>
      <c r="Q125">
        <v>2021</v>
      </c>
      <c r="R125" t="s">
        <v>612</v>
      </c>
      <c r="S125" t="s">
        <v>613</v>
      </c>
      <c r="T125" t="s">
        <v>553</v>
      </c>
      <c r="U125" t="b">
        <v>0</v>
      </c>
      <c r="V125" t="s">
        <v>614</v>
      </c>
      <c r="W125" t="s">
        <v>587</v>
      </c>
      <c r="X125" t="s">
        <v>556</v>
      </c>
      <c r="AC125">
        <v>0</v>
      </c>
      <c r="AD125" t="s">
        <v>566</v>
      </c>
      <c r="AE125">
        <v>0</v>
      </c>
      <c r="AF125">
        <v>3.7199999999999997E-2</v>
      </c>
      <c r="AG125" t="s">
        <v>588</v>
      </c>
      <c r="AH125">
        <v>1</v>
      </c>
      <c r="AI125">
        <v>0</v>
      </c>
      <c r="AJ125" t="s">
        <v>561</v>
      </c>
      <c r="AK125" t="s">
        <v>589</v>
      </c>
      <c r="AL125" t="s">
        <v>603</v>
      </c>
      <c r="AM125">
        <v>2021</v>
      </c>
      <c r="AN125">
        <v>2019</v>
      </c>
      <c r="AO125">
        <f>IF(AND(emissions[[#This Row],[Market-based]]=0,emissions[[#This Row],[Impact Type]]="CO2E"),emissions[[#This Row],[kgCO2e]],0)/1000</f>
        <v>0</v>
      </c>
      <c r="AP125">
        <f>IF(AND(emissions[[#This Row],[Market-based]]=1,OR(emissions[[#This Row],[Impact Type]]="CO2E",emissions[[#This Row],[Impact Type]]="CO2E MKT")),emissions[[#This Row],[kgCO2e]],0)/1000</f>
        <v>0</v>
      </c>
      <c r="AQ125" t="str">
        <f>_xlfn.TEXTAFTER(emissions[[#This Row],[Reporting Unit]]," &gt; ",LEN(emissions[[#This Row],[Reporting Unit]])-LEN(SUBSTITUTE(emissions[[#This Row],[Reporting Unit]],"&gt;","")))</f>
        <v>Vantage_Shanghai</v>
      </c>
      <c r="AR125" t="str">
        <f>_xlfn.XLOOKUP(emissions[[#This Row],[Reporting unit name]],hierarchy!$A:$A,hierarchy!$C:$C)</f>
        <v>Warehouse</v>
      </c>
    </row>
    <row r="126" spans="1:44" hidden="1" x14ac:dyDescent="0.25">
      <c r="A126">
        <v>5021</v>
      </c>
      <c r="B126" t="s">
        <v>132</v>
      </c>
      <c r="C126" t="s">
        <v>493</v>
      </c>
      <c r="D126" t="s">
        <v>599</v>
      </c>
      <c r="E126" s="3">
        <v>44197</v>
      </c>
      <c r="F126" s="3">
        <v>44561</v>
      </c>
      <c r="G126" t="s">
        <v>141</v>
      </c>
      <c r="H126" s="3">
        <v>44197</v>
      </c>
      <c r="I126" s="3">
        <v>44561</v>
      </c>
      <c r="J126" t="s">
        <v>142</v>
      </c>
      <c r="K126">
        <v>0</v>
      </c>
      <c r="L126" t="s">
        <v>143</v>
      </c>
      <c r="M126" t="s">
        <v>82</v>
      </c>
      <c r="O126" t="s">
        <v>600</v>
      </c>
      <c r="P126" t="s">
        <v>550</v>
      </c>
      <c r="Q126">
        <v>2021</v>
      </c>
      <c r="R126" t="s">
        <v>612</v>
      </c>
      <c r="S126" t="s">
        <v>613</v>
      </c>
      <c r="T126" t="s">
        <v>553</v>
      </c>
      <c r="U126" t="b">
        <v>0</v>
      </c>
      <c r="V126" t="s">
        <v>614</v>
      </c>
      <c r="W126" t="s">
        <v>587</v>
      </c>
      <c r="X126" t="s">
        <v>556</v>
      </c>
      <c r="AC126">
        <v>1</v>
      </c>
      <c r="AD126" t="s">
        <v>558</v>
      </c>
      <c r="AE126">
        <v>0</v>
      </c>
      <c r="AF126">
        <v>2.5999999999999998E-4</v>
      </c>
      <c r="AG126" t="s">
        <v>588</v>
      </c>
      <c r="AH126">
        <v>1</v>
      </c>
      <c r="AI126">
        <v>0</v>
      </c>
      <c r="AJ126" t="s">
        <v>561</v>
      </c>
      <c r="AK126" t="s">
        <v>589</v>
      </c>
      <c r="AL126" t="s">
        <v>603</v>
      </c>
      <c r="AM126">
        <v>2021</v>
      </c>
      <c r="AN126">
        <v>2019</v>
      </c>
      <c r="AO126">
        <f>IF(AND(emissions[[#This Row],[Market-based]]=0,emissions[[#This Row],[Impact Type]]="CO2E"),emissions[[#This Row],[kgCO2e]],0)/1000</f>
        <v>0</v>
      </c>
      <c r="AP126">
        <f>IF(AND(emissions[[#This Row],[Market-based]]=1,OR(emissions[[#This Row],[Impact Type]]="CO2E",emissions[[#This Row],[Impact Type]]="CO2E MKT")),emissions[[#This Row],[kgCO2e]],0)/1000</f>
        <v>0</v>
      </c>
      <c r="AQ126" t="str">
        <f>_xlfn.TEXTAFTER(emissions[[#This Row],[Reporting Unit]]," &gt; ",LEN(emissions[[#This Row],[Reporting Unit]])-LEN(SUBSTITUTE(emissions[[#This Row],[Reporting Unit]],"&gt;","")))</f>
        <v>Vantage_Shanghai</v>
      </c>
      <c r="AR126" t="str">
        <f>_xlfn.XLOOKUP(emissions[[#This Row],[Reporting unit name]],hierarchy!$A:$A,hierarchy!$C:$C)</f>
        <v>Warehouse</v>
      </c>
    </row>
    <row r="127" spans="1:44" hidden="1" x14ac:dyDescent="0.25">
      <c r="A127">
        <v>5021</v>
      </c>
      <c r="B127" t="s">
        <v>132</v>
      </c>
      <c r="C127" t="s">
        <v>493</v>
      </c>
      <c r="D127" t="s">
        <v>599</v>
      </c>
      <c r="E127" s="3">
        <v>44197</v>
      </c>
      <c r="F127" s="3">
        <v>44561</v>
      </c>
      <c r="G127" t="s">
        <v>141</v>
      </c>
      <c r="H127" s="3">
        <v>44197</v>
      </c>
      <c r="I127" s="3">
        <v>44561</v>
      </c>
      <c r="J127" t="s">
        <v>142</v>
      </c>
      <c r="K127">
        <v>0</v>
      </c>
      <c r="L127" t="s">
        <v>143</v>
      </c>
      <c r="M127" t="s">
        <v>82</v>
      </c>
      <c r="O127" t="s">
        <v>600</v>
      </c>
      <c r="P127" t="s">
        <v>550</v>
      </c>
      <c r="Q127">
        <v>2021</v>
      </c>
      <c r="R127" t="s">
        <v>612</v>
      </c>
      <c r="S127" t="s">
        <v>613</v>
      </c>
      <c r="T127" t="s">
        <v>553</v>
      </c>
      <c r="U127" t="b">
        <v>0</v>
      </c>
      <c r="V127" t="s">
        <v>614</v>
      </c>
      <c r="W127" t="s">
        <v>587</v>
      </c>
      <c r="X127" t="s">
        <v>556</v>
      </c>
      <c r="AC127">
        <v>1</v>
      </c>
      <c r="AD127" t="s">
        <v>564</v>
      </c>
      <c r="AE127">
        <v>0</v>
      </c>
      <c r="AF127">
        <v>2.6680700000000002</v>
      </c>
      <c r="AG127" t="s">
        <v>588</v>
      </c>
      <c r="AH127">
        <v>1</v>
      </c>
      <c r="AI127">
        <v>0</v>
      </c>
      <c r="AJ127" t="s">
        <v>561</v>
      </c>
      <c r="AK127" t="s">
        <v>589</v>
      </c>
      <c r="AL127" t="s">
        <v>603</v>
      </c>
      <c r="AM127">
        <v>2021</v>
      </c>
      <c r="AN127">
        <v>2019</v>
      </c>
      <c r="AO127">
        <f>IF(AND(emissions[[#This Row],[Market-based]]=0,emissions[[#This Row],[Impact Type]]="CO2E"),emissions[[#This Row],[kgCO2e]],0)/1000</f>
        <v>0</v>
      </c>
      <c r="AP127">
        <f>IF(AND(emissions[[#This Row],[Market-based]]=1,OR(emissions[[#This Row],[Impact Type]]="CO2E",emissions[[#This Row],[Impact Type]]="CO2E MKT")),emissions[[#This Row],[kgCO2e]],0)/1000</f>
        <v>0</v>
      </c>
      <c r="AQ127" t="str">
        <f>_xlfn.TEXTAFTER(emissions[[#This Row],[Reporting Unit]]," &gt; ",LEN(emissions[[#This Row],[Reporting Unit]])-LEN(SUBSTITUTE(emissions[[#This Row],[Reporting Unit]],"&gt;","")))</f>
        <v>Vantage_Shanghai</v>
      </c>
      <c r="AR127" t="str">
        <f>_xlfn.XLOOKUP(emissions[[#This Row],[Reporting unit name]],hierarchy!$A:$A,hierarchy!$C:$C)</f>
        <v>Warehouse</v>
      </c>
    </row>
    <row r="128" spans="1:44" hidden="1" x14ac:dyDescent="0.25">
      <c r="A128">
        <v>5021</v>
      </c>
      <c r="B128" t="s">
        <v>132</v>
      </c>
      <c r="C128" t="s">
        <v>493</v>
      </c>
      <c r="D128" t="s">
        <v>599</v>
      </c>
      <c r="E128" s="3">
        <v>44197</v>
      </c>
      <c r="F128" s="3">
        <v>44561</v>
      </c>
      <c r="G128" t="s">
        <v>141</v>
      </c>
      <c r="H128" s="3">
        <v>44197</v>
      </c>
      <c r="I128" s="3">
        <v>44561</v>
      </c>
      <c r="J128" t="s">
        <v>142</v>
      </c>
      <c r="K128">
        <v>0</v>
      </c>
      <c r="L128" t="s">
        <v>143</v>
      </c>
      <c r="M128" t="s">
        <v>82</v>
      </c>
      <c r="O128" t="s">
        <v>600</v>
      </c>
      <c r="P128" t="s">
        <v>550</v>
      </c>
      <c r="Q128">
        <v>2021</v>
      </c>
      <c r="R128" t="s">
        <v>612</v>
      </c>
      <c r="S128" t="s">
        <v>613</v>
      </c>
      <c r="T128" t="s">
        <v>553</v>
      </c>
      <c r="U128" t="b">
        <v>0</v>
      </c>
      <c r="V128" t="s">
        <v>614</v>
      </c>
      <c r="W128" t="s">
        <v>587</v>
      </c>
      <c r="X128" t="s">
        <v>556</v>
      </c>
      <c r="AC128">
        <v>1</v>
      </c>
      <c r="AD128" t="s">
        <v>565</v>
      </c>
      <c r="AE128">
        <v>0</v>
      </c>
      <c r="AF128">
        <v>2.70553</v>
      </c>
      <c r="AG128" t="s">
        <v>588</v>
      </c>
      <c r="AH128">
        <v>1</v>
      </c>
      <c r="AI128">
        <v>0</v>
      </c>
      <c r="AJ128" t="s">
        <v>561</v>
      </c>
      <c r="AK128" t="s">
        <v>589</v>
      </c>
      <c r="AL128" t="s">
        <v>603</v>
      </c>
      <c r="AM128">
        <v>2021</v>
      </c>
      <c r="AN128">
        <v>2019</v>
      </c>
      <c r="AO128">
        <f>IF(AND(emissions[[#This Row],[Market-based]]=0,emissions[[#This Row],[Impact Type]]="CO2E"),emissions[[#This Row],[kgCO2e]],0)/1000</f>
        <v>0</v>
      </c>
      <c r="AP128">
        <f>IF(AND(emissions[[#This Row],[Market-based]]=1,OR(emissions[[#This Row],[Impact Type]]="CO2E",emissions[[#This Row],[Impact Type]]="CO2E MKT")),emissions[[#This Row],[kgCO2e]],0)/1000</f>
        <v>0</v>
      </c>
      <c r="AQ128" t="str">
        <f>_xlfn.TEXTAFTER(emissions[[#This Row],[Reporting Unit]]," &gt; ",LEN(emissions[[#This Row],[Reporting Unit]])-LEN(SUBSTITUTE(emissions[[#This Row],[Reporting Unit]],"&gt;","")))</f>
        <v>Vantage_Shanghai</v>
      </c>
      <c r="AR128" t="str">
        <f>_xlfn.XLOOKUP(emissions[[#This Row],[Reporting unit name]],hierarchy!$A:$A,hierarchy!$C:$C)</f>
        <v>Warehouse</v>
      </c>
    </row>
    <row r="129" spans="1:44" hidden="1" x14ac:dyDescent="0.25">
      <c r="A129">
        <v>5021</v>
      </c>
      <c r="B129" t="s">
        <v>132</v>
      </c>
      <c r="C129" t="s">
        <v>493</v>
      </c>
      <c r="D129" t="s">
        <v>599</v>
      </c>
      <c r="E129" s="3">
        <v>44197</v>
      </c>
      <c r="F129" s="3">
        <v>44561</v>
      </c>
      <c r="G129" t="s">
        <v>141</v>
      </c>
      <c r="H129" s="3">
        <v>44197</v>
      </c>
      <c r="I129" s="3">
        <v>44561</v>
      </c>
      <c r="J129" t="s">
        <v>142</v>
      </c>
      <c r="K129">
        <v>0</v>
      </c>
      <c r="L129" t="s">
        <v>143</v>
      </c>
      <c r="M129" t="s">
        <v>82</v>
      </c>
      <c r="O129" t="s">
        <v>600</v>
      </c>
      <c r="P129" t="s">
        <v>550</v>
      </c>
      <c r="Q129">
        <v>2021</v>
      </c>
      <c r="R129" t="s">
        <v>612</v>
      </c>
      <c r="S129" t="s">
        <v>613</v>
      </c>
      <c r="T129" t="s">
        <v>553</v>
      </c>
      <c r="U129" t="b">
        <v>0</v>
      </c>
      <c r="V129" t="s">
        <v>614</v>
      </c>
      <c r="W129" t="s">
        <v>587</v>
      </c>
      <c r="X129" t="s">
        <v>556</v>
      </c>
      <c r="AC129">
        <v>1</v>
      </c>
      <c r="AD129" t="s">
        <v>566</v>
      </c>
      <c r="AE129">
        <v>0</v>
      </c>
      <c r="AF129">
        <v>3.7199999999999997E-2</v>
      </c>
      <c r="AG129" t="s">
        <v>588</v>
      </c>
      <c r="AH129">
        <v>1</v>
      </c>
      <c r="AI129">
        <v>0</v>
      </c>
      <c r="AJ129" t="s">
        <v>561</v>
      </c>
      <c r="AK129" t="s">
        <v>589</v>
      </c>
      <c r="AL129" t="s">
        <v>603</v>
      </c>
      <c r="AM129">
        <v>2021</v>
      </c>
      <c r="AN129">
        <v>2019</v>
      </c>
      <c r="AO129">
        <f>IF(AND(emissions[[#This Row],[Market-based]]=0,emissions[[#This Row],[Impact Type]]="CO2E"),emissions[[#This Row],[kgCO2e]],0)/1000</f>
        <v>0</v>
      </c>
      <c r="AP129">
        <f>IF(AND(emissions[[#This Row],[Market-based]]=1,OR(emissions[[#This Row],[Impact Type]]="CO2E",emissions[[#This Row],[Impact Type]]="CO2E MKT")),emissions[[#This Row],[kgCO2e]],0)/1000</f>
        <v>0</v>
      </c>
      <c r="AQ129" t="str">
        <f>_xlfn.TEXTAFTER(emissions[[#This Row],[Reporting Unit]]," &gt; ",LEN(emissions[[#This Row],[Reporting Unit]])-LEN(SUBSTITUTE(emissions[[#This Row],[Reporting Unit]],"&gt;","")))</f>
        <v>Vantage_Shanghai</v>
      </c>
      <c r="AR129" t="str">
        <f>_xlfn.XLOOKUP(emissions[[#This Row],[Reporting unit name]],hierarchy!$A:$A,hierarchy!$C:$C)</f>
        <v>Warehouse</v>
      </c>
    </row>
    <row r="130" spans="1:44" hidden="1" x14ac:dyDescent="0.25">
      <c r="A130">
        <v>5021</v>
      </c>
      <c r="B130" t="s">
        <v>132</v>
      </c>
      <c r="C130" t="s">
        <v>493</v>
      </c>
      <c r="D130" t="s">
        <v>599</v>
      </c>
      <c r="E130" s="3">
        <v>44197</v>
      </c>
      <c r="F130" s="3">
        <v>44561</v>
      </c>
      <c r="G130" t="s">
        <v>141</v>
      </c>
      <c r="H130" s="3">
        <v>44197</v>
      </c>
      <c r="I130" s="3">
        <v>44561</v>
      </c>
      <c r="J130" t="s">
        <v>142</v>
      </c>
      <c r="K130">
        <v>0</v>
      </c>
      <c r="L130" t="s">
        <v>143</v>
      </c>
      <c r="M130" t="s">
        <v>82</v>
      </c>
      <c r="O130" t="s">
        <v>600</v>
      </c>
      <c r="P130" t="s">
        <v>550</v>
      </c>
      <c r="Q130">
        <v>2021</v>
      </c>
      <c r="R130" t="s">
        <v>615</v>
      </c>
      <c r="S130" t="s">
        <v>616</v>
      </c>
      <c r="T130" t="s">
        <v>577</v>
      </c>
      <c r="U130" t="b">
        <v>0</v>
      </c>
      <c r="V130" t="s">
        <v>617</v>
      </c>
      <c r="W130" t="s">
        <v>571</v>
      </c>
      <c r="X130" t="s">
        <v>572</v>
      </c>
      <c r="AC130">
        <v>0</v>
      </c>
      <c r="AD130" t="s">
        <v>565</v>
      </c>
      <c r="AE130">
        <v>0</v>
      </c>
      <c r="AF130">
        <v>0.62873999999999997</v>
      </c>
      <c r="AG130" t="s">
        <v>588</v>
      </c>
      <c r="AH130">
        <v>1</v>
      </c>
      <c r="AI130">
        <v>0</v>
      </c>
      <c r="AJ130" t="s">
        <v>561</v>
      </c>
      <c r="AK130" t="s">
        <v>589</v>
      </c>
      <c r="AL130" t="s">
        <v>603</v>
      </c>
      <c r="AM130">
        <v>2021</v>
      </c>
      <c r="AN130">
        <v>2019</v>
      </c>
      <c r="AO130">
        <f>IF(AND(emissions[[#This Row],[Market-based]]=0,emissions[[#This Row],[Impact Type]]="CO2E"),emissions[[#This Row],[kgCO2e]],0)/1000</f>
        <v>0</v>
      </c>
      <c r="AP130">
        <f>IF(AND(emissions[[#This Row],[Market-based]]=1,OR(emissions[[#This Row],[Impact Type]]="CO2E",emissions[[#This Row],[Impact Type]]="CO2E MKT")),emissions[[#This Row],[kgCO2e]],0)/1000</f>
        <v>0</v>
      </c>
      <c r="AQ130" t="str">
        <f>_xlfn.TEXTAFTER(emissions[[#This Row],[Reporting Unit]]," &gt; ",LEN(emissions[[#This Row],[Reporting Unit]])-LEN(SUBSTITUTE(emissions[[#This Row],[Reporting Unit]],"&gt;","")))</f>
        <v>Vantage_Shanghai</v>
      </c>
      <c r="AR130" t="str">
        <f>_xlfn.XLOOKUP(emissions[[#This Row],[Reporting unit name]],hierarchy!$A:$A,hierarchy!$C:$C)</f>
        <v>Warehouse</v>
      </c>
    </row>
    <row r="131" spans="1:44" hidden="1" x14ac:dyDescent="0.25">
      <c r="A131">
        <v>5021</v>
      </c>
      <c r="B131" t="s">
        <v>132</v>
      </c>
      <c r="C131" t="s">
        <v>493</v>
      </c>
      <c r="D131" t="s">
        <v>599</v>
      </c>
      <c r="E131" s="3">
        <v>44197</v>
      </c>
      <c r="F131" s="3">
        <v>44561</v>
      </c>
      <c r="G131" t="s">
        <v>141</v>
      </c>
      <c r="H131" s="3">
        <v>44197</v>
      </c>
      <c r="I131" s="3">
        <v>44561</v>
      </c>
      <c r="J131" t="s">
        <v>142</v>
      </c>
      <c r="K131">
        <v>0</v>
      </c>
      <c r="L131" t="s">
        <v>143</v>
      </c>
      <c r="M131" t="s">
        <v>82</v>
      </c>
      <c r="O131" t="s">
        <v>600</v>
      </c>
      <c r="P131" t="s">
        <v>550</v>
      </c>
      <c r="Q131">
        <v>2021</v>
      </c>
      <c r="R131" t="s">
        <v>615</v>
      </c>
      <c r="S131" t="s">
        <v>616</v>
      </c>
      <c r="T131" t="s">
        <v>577</v>
      </c>
      <c r="U131" t="b">
        <v>0</v>
      </c>
      <c r="V131" t="s">
        <v>617</v>
      </c>
      <c r="W131" t="s">
        <v>571</v>
      </c>
      <c r="X131" t="s">
        <v>572</v>
      </c>
      <c r="AC131">
        <v>1</v>
      </c>
      <c r="AD131" t="s">
        <v>565</v>
      </c>
      <c r="AE131">
        <v>0</v>
      </c>
      <c r="AF131">
        <v>0.62873999999999997</v>
      </c>
      <c r="AG131" t="s">
        <v>588</v>
      </c>
      <c r="AH131">
        <v>1</v>
      </c>
      <c r="AI131">
        <v>0</v>
      </c>
      <c r="AJ131" t="s">
        <v>561</v>
      </c>
      <c r="AK131" t="s">
        <v>589</v>
      </c>
      <c r="AL131" t="s">
        <v>603</v>
      </c>
      <c r="AM131">
        <v>2021</v>
      </c>
      <c r="AN131">
        <v>2019</v>
      </c>
      <c r="AO131">
        <f>IF(AND(emissions[[#This Row],[Market-based]]=0,emissions[[#This Row],[Impact Type]]="CO2E"),emissions[[#This Row],[kgCO2e]],0)/1000</f>
        <v>0</v>
      </c>
      <c r="AP131">
        <f>IF(AND(emissions[[#This Row],[Market-based]]=1,OR(emissions[[#This Row],[Impact Type]]="CO2E",emissions[[#This Row],[Impact Type]]="CO2E MKT")),emissions[[#This Row],[kgCO2e]],0)/1000</f>
        <v>0</v>
      </c>
      <c r="AQ131" t="str">
        <f>_xlfn.TEXTAFTER(emissions[[#This Row],[Reporting Unit]]," &gt; ",LEN(emissions[[#This Row],[Reporting Unit]])-LEN(SUBSTITUTE(emissions[[#This Row],[Reporting Unit]],"&gt;","")))</f>
        <v>Vantage_Shanghai</v>
      </c>
      <c r="AR131" t="str">
        <f>_xlfn.XLOOKUP(emissions[[#This Row],[Reporting unit name]],hierarchy!$A:$A,hierarchy!$C:$C)</f>
        <v>Warehouse</v>
      </c>
    </row>
    <row r="132" spans="1:44" hidden="1" x14ac:dyDescent="0.25">
      <c r="A132">
        <v>5047</v>
      </c>
      <c r="B132" t="s">
        <v>132</v>
      </c>
      <c r="C132" t="s">
        <v>493</v>
      </c>
      <c r="D132" t="s">
        <v>599</v>
      </c>
      <c r="E132" s="3">
        <v>44197</v>
      </c>
      <c r="F132" s="3">
        <v>44561</v>
      </c>
      <c r="G132" t="s">
        <v>116</v>
      </c>
      <c r="H132" s="3">
        <v>44197</v>
      </c>
      <c r="I132" s="3">
        <v>44561</v>
      </c>
      <c r="J132" t="s">
        <v>128</v>
      </c>
      <c r="K132">
        <v>2.7555999999999998</v>
      </c>
      <c r="L132" t="s">
        <v>118</v>
      </c>
      <c r="M132" t="s">
        <v>82</v>
      </c>
      <c r="O132" t="s">
        <v>618</v>
      </c>
      <c r="P132" t="s">
        <v>550</v>
      </c>
      <c r="Q132">
        <v>2021</v>
      </c>
      <c r="R132" t="s">
        <v>619</v>
      </c>
      <c r="S132" t="s">
        <v>620</v>
      </c>
      <c r="T132" t="s">
        <v>553</v>
      </c>
      <c r="U132" t="b">
        <v>0</v>
      </c>
      <c r="V132" t="s">
        <v>621</v>
      </c>
      <c r="W132" t="s">
        <v>587</v>
      </c>
      <c r="X132" t="s">
        <v>556</v>
      </c>
      <c r="AC132">
        <v>0</v>
      </c>
      <c r="AD132" t="s">
        <v>565</v>
      </c>
      <c r="AE132">
        <v>3940.5079999999998</v>
      </c>
      <c r="AF132">
        <v>1430</v>
      </c>
      <c r="AG132" t="s">
        <v>622</v>
      </c>
      <c r="AH132">
        <v>1</v>
      </c>
      <c r="AI132">
        <v>2.7555999999999998</v>
      </c>
      <c r="AJ132" t="s">
        <v>561</v>
      </c>
      <c r="AK132" t="s">
        <v>623</v>
      </c>
      <c r="AL132" t="s">
        <v>624</v>
      </c>
      <c r="AM132">
        <v>2021</v>
      </c>
      <c r="AN132">
        <v>2007</v>
      </c>
      <c r="AO132">
        <f>IF(AND(emissions[[#This Row],[Market-based]]=0,emissions[[#This Row],[Impact Type]]="CO2E"),emissions[[#This Row],[kgCO2e]],0)/1000</f>
        <v>3.9405079999999999</v>
      </c>
      <c r="AP132">
        <f>IF(AND(emissions[[#This Row],[Market-based]]=1,OR(emissions[[#This Row],[Impact Type]]="CO2E",emissions[[#This Row],[Impact Type]]="CO2E MKT")),emissions[[#This Row],[kgCO2e]],0)/1000</f>
        <v>0</v>
      </c>
      <c r="AQ132" t="str">
        <f>_xlfn.TEXTAFTER(emissions[[#This Row],[Reporting Unit]]," &gt; ",LEN(emissions[[#This Row],[Reporting Unit]])-LEN(SUBSTITUTE(emissions[[#This Row],[Reporting Unit]],"&gt;","")))</f>
        <v>Vantage_Shanghai</v>
      </c>
      <c r="AR132" t="str">
        <f>_xlfn.XLOOKUP(emissions[[#This Row],[Reporting unit name]],hierarchy!$A:$A,hierarchy!$C:$C)</f>
        <v>Warehouse</v>
      </c>
    </row>
    <row r="133" spans="1:44" hidden="1" x14ac:dyDescent="0.25">
      <c r="A133">
        <v>5047</v>
      </c>
      <c r="B133" t="s">
        <v>132</v>
      </c>
      <c r="C133" t="s">
        <v>493</v>
      </c>
      <c r="D133" t="s">
        <v>599</v>
      </c>
      <c r="E133" s="3">
        <v>44197</v>
      </c>
      <c r="F133" s="3">
        <v>44561</v>
      </c>
      <c r="G133" t="s">
        <v>116</v>
      </c>
      <c r="H133" s="3">
        <v>44197</v>
      </c>
      <c r="I133" s="3">
        <v>44561</v>
      </c>
      <c r="J133" t="s">
        <v>128</v>
      </c>
      <c r="K133">
        <v>2.7555999999999998</v>
      </c>
      <c r="L133" t="s">
        <v>118</v>
      </c>
      <c r="M133" t="s">
        <v>82</v>
      </c>
      <c r="O133" t="s">
        <v>618</v>
      </c>
      <c r="P133" t="s">
        <v>550</v>
      </c>
      <c r="Q133">
        <v>2021</v>
      </c>
      <c r="R133" t="s">
        <v>619</v>
      </c>
      <c r="S133" t="s">
        <v>620</v>
      </c>
      <c r="T133" t="s">
        <v>553</v>
      </c>
      <c r="U133" t="b">
        <v>0</v>
      </c>
      <c r="V133" t="s">
        <v>621</v>
      </c>
      <c r="W133" t="s">
        <v>587</v>
      </c>
      <c r="X133" t="s">
        <v>556</v>
      </c>
      <c r="AC133">
        <v>1</v>
      </c>
      <c r="AD133" t="s">
        <v>565</v>
      </c>
      <c r="AE133">
        <v>3940.5079999999998</v>
      </c>
      <c r="AF133">
        <v>1430</v>
      </c>
      <c r="AG133" t="s">
        <v>622</v>
      </c>
      <c r="AH133">
        <v>1</v>
      </c>
      <c r="AI133">
        <v>2.7555999999999998</v>
      </c>
      <c r="AJ133" t="s">
        <v>561</v>
      </c>
      <c r="AK133" t="s">
        <v>623</v>
      </c>
      <c r="AL133" t="s">
        <v>624</v>
      </c>
      <c r="AM133">
        <v>2021</v>
      </c>
      <c r="AN133">
        <v>2007</v>
      </c>
      <c r="AO133">
        <f>IF(AND(emissions[[#This Row],[Market-based]]=0,emissions[[#This Row],[Impact Type]]="CO2E"),emissions[[#This Row],[kgCO2e]],0)/1000</f>
        <v>0</v>
      </c>
      <c r="AP133">
        <f>IF(AND(emissions[[#This Row],[Market-based]]=1,OR(emissions[[#This Row],[Impact Type]]="CO2E",emissions[[#This Row],[Impact Type]]="CO2E MKT")),emissions[[#This Row],[kgCO2e]],0)/1000</f>
        <v>3.9405079999999999</v>
      </c>
      <c r="AQ133" t="str">
        <f>_xlfn.TEXTAFTER(emissions[[#This Row],[Reporting Unit]]," &gt; ",LEN(emissions[[#This Row],[Reporting Unit]])-LEN(SUBSTITUTE(emissions[[#This Row],[Reporting Unit]],"&gt;","")))</f>
        <v>Vantage_Shanghai</v>
      </c>
      <c r="AR133" t="str">
        <f>_xlfn.XLOOKUP(emissions[[#This Row],[Reporting unit name]],hierarchy!$A:$A,hierarchy!$C:$C)</f>
        <v>Warehouse</v>
      </c>
    </row>
    <row r="134" spans="1:44" hidden="1" x14ac:dyDescent="0.25">
      <c r="A134">
        <v>291428</v>
      </c>
      <c r="B134" t="s">
        <v>204</v>
      </c>
      <c r="C134" t="s">
        <v>475</v>
      </c>
      <c r="D134" t="s">
        <v>548</v>
      </c>
      <c r="E134" s="3">
        <v>44562</v>
      </c>
      <c r="F134" s="3">
        <v>44926</v>
      </c>
      <c r="G134" t="s">
        <v>108</v>
      </c>
      <c r="H134" s="3">
        <v>44562</v>
      </c>
      <c r="I134" s="3">
        <v>44926</v>
      </c>
      <c r="J134" t="s">
        <v>108</v>
      </c>
      <c r="K134">
        <v>24291</v>
      </c>
      <c r="L134" t="s">
        <v>109</v>
      </c>
      <c r="M134" t="s">
        <v>110</v>
      </c>
      <c r="O134" t="s">
        <v>636</v>
      </c>
      <c r="P134" t="s">
        <v>550</v>
      </c>
      <c r="Q134">
        <v>2022</v>
      </c>
      <c r="R134" t="s">
        <v>551</v>
      </c>
      <c r="S134" t="s">
        <v>552</v>
      </c>
      <c r="T134" t="s">
        <v>553</v>
      </c>
      <c r="U134" t="b">
        <v>0</v>
      </c>
      <c r="V134" t="s">
        <v>637</v>
      </c>
      <c r="W134" t="s">
        <v>555</v>
      </c>
      <c r="X134" t="s">
        <v>556</v>
      </c>
      <c r="Y134" t="s">
        <v>468</v>
      </c>
      <c r="Z134" t="s">
        <v>478</v>
      </c>
      <c r="AA134" t="s">
        <v>638</v>
      </c>
      <c r="AC134">
        <v>0</v>
      </c>
      <c r="AD134" t="s">
        <v>558</v>
      </c>
      <c r="AE134">
        <v>7.2873000000000001</v>
      </c>
      <c r="AF134" t="s">
        <v>559</v>
      </c>
      <c r="AG134" t="s">
        <v>560</v>
      </c>
      <c r="AH134">
        <v>1</v>
      </c>
      <c r="AI134">
        <v>24291</v>
      </c>
      <c r="AJ134" t="s">
        <v>561</v>
      </c>
      <c r="AK134" t="s">
        <v>562</v>
      </c>
      <c r="AL134" t="s">
        <v>563</v>
      </c>
      <c r="AM134">
        <v>2022</v>
      </c>
      <c r="AN134">
        <v>2020</v>
      </c>
      <c r="AO134">
        <f>IF(AND(emissions[[#This Row],[Market-based]]=0,emissions[[#This Row],[Impact Type]]="CO2E"),emissions[[#This Row],[kgCO2e]],0)/1000</f>
        <v>0</v>
      </c>
      <c r="AP134">
        <f>IF(AND(emissions[[#This Row],[Market-based]]=1,OR(emissions[[#This Row],[Impact Type]]="CO2E",emissions[[#This Row],[Impact Type]]="CO2E MKT")),emissions[[#This Row],[kgCO2e]],0)/1000</f>
        <v>0</v>
      </c>
      <c r="AQ134" t="str">
        <f>_xlfn.TEXTAFTER(emissions[[#This Row],[Reporting Unit]]," &gt; ",LEN(emissions[[#This Row],[Reporting Unit]])-LEN(SUBSTITUTE(emissions[[#This Row],[Reporting Unit]],"&gt;","")))</f>
        <v>Vantage_Granollers</v>
      </c>
      <c r="AR134" t="str">
        <f>_xlfn.XLOOKUP(emissions[[#This Row],[Reporting unit name]],hierarchy!$A:$A,hierarchy!$C:$C)</f>
        <v>Labratory</v>
      </c>
    </row>
    <row r="135" spans="1:44" hidden="1" x14ac:dyDescent="0.25">
      <c r="A135">
        <v>291428</v>
      </c>
      <c r="B135" t="s">
        <v>204</v>
      </c>
      <c r="C135" t="s">
        <v>475</v>
      </c>
      <c r="D135" t="s">
        <v>548</v>
      </c>
      <c r="E135" s="3">
        <v>44562</v>
      </c>
      <c r="F135" s="3">
        <v>44926</v>
      </c>
      <c r="G135" t="s">
        <v>108</v>
      </c>
      <c r="H135" s="3">
        <v>44562</v>
      </c>
      <c r="I135" s="3">
        <v>44926</v>
      </c>
      <c r="J135" t="s">
        <v>108</v>
      </c>
      <c r="K135">
        <v>24291</v>
      </c>
      <c r="L135" t="s">
        <v>109</v>
      </c>
      <c r="M135" t="s">
        <v>110</v>
      </c>
      <c r="O135" t="s">
        <v>636</v>
      </c>
      <c r="P135" t="s">
        <v>550</v>
      </c>
      <c r="Q135">
        <v>2022</v>
      </c>
      <c r="R135" t="s">
        <v>551</v>
      </c>
      <c r="S135" t="s">
        <v>552</v>
      </c>
      <c r="T135" t="s">
        <v>553</v>
      </c>
      <c r="U135" t="b">
        <v>0</v>
      </c>
      <c r="V135" t="s">
        <v>637</v>
      </c>
      <c r="W135" t="s">
        <v>555</v>
      </c>
      <c r="X135" t="s">
        <v>556</v>
      </c>
      <c r="Y135" t="s">
        <v>468</v>
      </c>
      <c r="Z135" t="s">
        <v>478</v>
      </c>
      <c r="AA135" t="s">
        <v>638</v>
      </c>
      <c r="AC135">
        <v>0</v>
      </c>
      <c r="AD135" t="s">
        <v>564</v>
      </c>
      <c r="AE135">
        <v>3631.5045</v>
      </c>
      <c r="AF135" t="s">
        <v>559</v>
      </c>
      <c r="AG135" t="s">
        <v>560</v>
      </c>
      <c r="AH135">
        <v>1</v>
      </c>
      <c r="AI135">
        <v>24291</v>
      </c>
      <c r="AJ135" t="s">
        <v>561</v>
      </c>
      <c r="AK135" t="s">
        <v>562</v>
      </c>
      <c r="AL135" t="s">
        <v>563</v>
      </c>
      <c r="AM135">
        <v>2022</v>
      </c>
      <c r="AN135">
        <v>2020</v>
      </c>
      <c r="AO135">
        <f>IF(AND(emissions[[#This Row],[Market-based]]=0,emissions[[#This Row],[Impact Type]]="CO2E"),emissions[[#This Row],[kgCO2e]],0)/1000</f>
        <v>0</v>
      </c>
      <c r="AP135">
        <f>IF(AND(emissions[[#This Row],[Market-based]]=1,OR(emissions[[#This Row],[Impact Type]]="CO2E",emissions[[#This Row],[Impact Type]]="CO2E MKT")),emissions[[#This Row],[kgCO2e]],0)/1000</f>
        <v>0</v>
      </c>
      <c r="AQ135" t="str">
        <f>_xlfn.TEXTAFTER(emissions[[#This Row],[Reporting Unit]]," &gt; ",LEN(emissions[[#This Row],[Reporting Unit]])-LEN(SUBSTITUTE(emissions[[#This Row],[Reporting Unit]],"&gt;","")))</f>
        <v>Vantage_Granollers</v>
      </c>
      <c r="AR135" t="str">
        <f>_xlfn.XLOOKUP(emissions[[#This Row],[Reporting unit name]],hierarchy!$A:$A,hierarchy!$C:$C)</f>
        <v>Labratory</v>
      </c>
    </row>
    <row r="136" spans="1:44" hidden="1" x14ac:dyDescent="0.25">
      <c r="A136">
        <v>291428</v>
      </c>
      <c r="B136" t="s">
        <v>204</v>
      </c>
      <c r="C136" t="s">
        <v>475</v>
      </c>
      <c r="D136" t="s">
        <v>548</v>
      </c>
      <c r="E136" s="3">
        <v>44562</v>
      </c>
      <c r="F136" s="3">
        <v>44926</v>
      </c>
      <c r="G136" t="s">
        <v>108</v>
      </c>
      <c r="H136" s="3">
        <v>44562</v>
      </c>
      <c r="I136" s="3">
        <v>44926</v>
      </c>
      <c r="J136" t="s">
        <v>108</v>
      </c>
      <c r="K136">
        <v>24291</v>
      </c>
      <c r="L136" t="s">
        <v>109</v>
      </c>
      <c r="M136" t="s">
        <v>110</v>
      </c>
      <c r="O136" t="s">
        <v>636</v>
      </c>
      <c r="P136" t="s">
        <v>550</v>
      </c>
      <c r="Q136">
        <v>2022</v>
      </c>
      <c r="R136" t="s">
        <v>551</v>
      </c>
      <c r="S136" t="s">
        <v>552</v>
      </c>
      <c r="T136" t="s">
        <v>553</v>
      </c>
      <c r="U136" t="b">
        <v>0</v>
      </c>
      <c r="V136" t="s">
        <v>637</v>
      </c>
      <c r="W136" t="s">
        <v>555</v>
      </c>
      <c r="X136" t="s">
        <v>556</v>
      </c>
      <c r="Y136" t="s">
        <v>468</v>
      </c>
      <c r="Z136" t="s">
        <v>478</v>
      </c>
      <c r="AA136" t="s">
        <v>638</v>
      </c>
      <c r="AC136">
        <v>0</v>
      </c>
      <c r="AD136" t="s">
        <v>565</v>
      </c>
      <c r="AE136">
        <v>3650.9373000000001</v>
      </c>
      <c r="AF136" t="s">
        <v>559</v>
      </c>
      <c r="AG136" t="s">
        <v>560</v>
      </c>
      <c r="AH136">
        <v>1</v>
      </c>
      <c r="AI136">
        <v>24291</v>
      </c>
      <c r="AJ136" t="s">
        <v>561</v>
      </c>
      <c r="AK136" t="s">
        <v>562</v>
      </c>
      <c r="AL136" t="s">
        <v>563</v>
      </c>
      <c r="AM136">
        <v>2022</v>
      </c>
      <c r="AN136">
        <v>2020</v>
      </c>
      <c r="AO136">
        <f>IF(AND(emissions[[#This Row],[Market-based]]=0,emissions[[#This Row],[Impact Type]]="CO2E"),emissions[[#This Row],[kgCO2e]],0)/1000</f>
        <v>3.6509372999999998</v>
      </c>
      <c r="AP136">
        <f>IF(AND(emissions[[#This Row],[Market-based]]=1,OR(emissions[[#This Row],[Impact Type]]="CO2E",emissions[[#This Row],[Impact Type]]="CO2E MKT")),emissions[[#This Row],[kgCO2e]],0)/1000</f>
        <v>0</v>
      </c>
      <c r="AQ136" t="str">
        <f>_xlfn.TEXTAFTER(emissions[[#This Row],[Reporting Unit]]," &gt; ",LEN(emissions[[#This Row],[Reporting Unit]])-LEN(SUBSTITUTE(emissions[[#This Row],[Reporting Unit]],"&gt;","")))</f>
        <v>Vantage_Granollers</v>
      </c>
      <c r="AR136" t="str">
        <f>_xlfn.XLOOKUP(emissions[[#This Row],[Reporting unit name]],hierarchy!$A:$A,hierarchy!$C:$C)</f>
        <v>Labratory</v>
      </c>
    </row>
    <row r="137" spans="1:44" hidden="1" x14ac:dyDescent="0.25">
      <c r="A137">
        <v>291428</v>
      </c>
      <c r="B137" t="s">
        <v>204</v>
      </c>
      <c r="C137" t="s">
        <v>475</v>
      </c>
      <c r="D137" t="s">
        <v>548</v>
      </c>
      <c r="E137" s="3">
        <v>44562</v>
      </c>
      <c r="F137" s="3">
        <v>44926</v>
      </c>
      <c r="G137" t="s">
        <v>108</v>
      </c>
      <c r="H137" s="3">
        <v>44562</v>
      </c>
      <c r="I137" s="3">
        <v>44926</v>
      </c>
      <c r="J137" t="s">
        <v>108</v>
      </c>
      <c r="K137">
        <v>24291</v>
      </c>
      <c r="L137" t="s">
        <v>109</v>
      </c>
      <c r="M137" t="s">
        <v>110</v>
      </c>
      <c r="O137" t="s">
        <v>636</v>
      </c>
      <c r="P137" t="s">
        <v>550</v>
      </c>
      <c r="Q137">
        <v>2022</v>
      </c>
      <c r="R137" t="s">
        <v>551</v>
      </c>
      <c r="S137" t="s">
        <v>552</v>
      </c>
      <c r="T137" t="s">
        <v>553</v>
      </c>
      <c r="U137" t="b">
        <v>0</v>
      </c>
      <c r="V137" t="s">
        <v>637</v>
      </c>
      <c r="W137" t="s">
        <v>555</v>
      </c>
      <c r="X137" t="s">
        <v>556</v>
      </c>
      <c r="Y137" t="s">
        <v>468</v>
      </c>
      <c r="Z137" t="s">
        <v>478</v>
      </c>
      <c r="AA137" t="s">
        <v>638</v>
      </c>
      <c r="AC137">
        <v>0</v>
      </c>
      <c r="AD137" t="s">
        <v>566</v>
      </c>
      <c r="AE137">
        <v>12.1455</v>
      </c>
      <c r="AF137" t="s">
        <v>559</v>
      </c>
      <c r="AG137" t="s">
        <v>560</v>
      </c>
      <c r="AH137">
        <v>1</v>
      </c>
      <c r="AI137">
        <v>24291</v>
      </c>
      <c r="AJ137" t="s">
        <v>561</v>
      </c>
      <c r="AK137" t="s">
        <v>562</v>
      </c>
      <c r="AL137" t="s">
        <v>563</v>
      </c>
      <c r="AM137">
        <v>2022</v>
      </c>
      <c r="AN137">
        <v>2020</v>
      </c>
      <c r="AO137">
        <f>IF(AND(emissions[[#This Row],[Market-based]]=0,emissions[[#This Row],[Impact Type]]="CO2E"),emissions[[#This Row],[kgCO2e]],0)/1000</f>
        <v>0</v>
      </c>
      <c r="AP137">
        <f>IF(AND(emissions[[#This Row],[Market-based]]=1,OR(emissions[[#This Row],[Impact Type]]="CO2E",emissions[[#This Row],[Impact Type]]="CO2E MKT")),emissions[[#This Row],[kgCO2e]],0)/1000</f>
        <v>0</v>
      </c>
      <c r="AQ137" t="str">
        <f>_xlfn.TEXTAFTER(emissions[[#This Row],[Reporting Unit]]," &gt; ",LEN(emissions[[#This Row],[Reporting Unit]])-LEN(SUBSTITUTE(emissions[[#This Row],[Reporting Unit]],"&gt;","")))</f>
        <v>Vantage_Granollers</v>
      </c>
      <c r="AR137" t="str">
        <f>_xlfn.XLOOKUP(emissions[[#This Row],[Reporting unit name]],hierarchy!$A:$A,hierarchy!$C:$C)</f>
        <v>Labratory</v>
      </c>
    </row>
    <row r="138" spans="1:44" hidden="1" x14ac:dyDescent="0.25">
      <c r="A138">
        <v>291428</v>
      </c>
      <c r="B138" t="s">
        <v>204</v>
      </c>
      <c r="C138" t="s">
        <v>475</v>
      </c>
      <c r="D138" t="s">
        <v>548</v>
      </c>
      <c r="E138" s="3">
        <v>44562</v>
      </c>
      <c r="F138" s="3">
        <v>44926</v>
      </c>
      <c r="G138" t="s">
        <v>108</v>
      </c>
      <c r="H138" s="3">
        <v>44562</v>
      </c>
      <c r="I138" s="3">
        <v>44926</v>
      </c>
      <c r="J138" t="s">
        <v>108</v>
      </c>
      <c r="K138">
        <v>24291</v>
      </c>
      <c r="L138" t="s">
        <v>109</v>
      </c>
      <c r="M138" t="s">
        <v>110</v>
      </c>
      <c r="O138" t="s">
        <v>636</v>
      </c>
      <c r="P138" t="s">
        <v>550</v>
      </c>
      <c r="Q138">
        <v>2022</v>
      </c>
      <c r="R138" t="s">
        <v>551</v>
      </c>
      <c r="S138" t="s">
        <v>552</v>
      </c>
      <c r="T138" t="s">
        <v>553</v>
      </c>
      <c r="U138" t="b">
        <v>0</v>
      </c>
      <c r="V138" t="s">
        <v>637</v>
      </c>
      <c r="W138" t="s">
        <v>555</v>
      </c>
      <c r="X138" t="s">
        <v>556</v>
      </c>
      <c r="Y138" t="s">
        <v>468</v>
      </c>
      <c r="Z138" t="s">
        <v>478</v>
      </c>
      <c r="AA138" t="s">
        <v>638</v>
      </c>
      <c r="AC138">
        <v>1</v>
      </c>
      <c r="AD138" t="s">
        <v>639</v>
      </c>
      <c r="AE138">
        <v>7211.1900999999998</v>
      </c>
      <c r="AF138">
        <v>0.29686674499999999</v>
      </c>
      <c r="AG138" t="s">
        <v>560</v>
      </c>
      <c r="AH138">
        <v>1</v>
      </c>
      <c r="AI138">
        <v>24291</v>
      </c>
      <c r="AJ138" t="s">
        <v>561</v>
      </c>
      <c r="AK138" t="s">
        <v>640</v>
      </c>
      <c r="AL138" t="s">
        <v>641</v>
      </c>
      <c r="AM138">
        <v>2022</v>
      </c>
      <c r="AN138">
        <v>2021</v>
      </c>
      <c r="AO138">
        <f>IF(AND(emissions[[#This Row],[Market-based]]=0,emissions[[#This Row],[Impact Type]]="CO2E"),emissions[[#This Row],[kgCO2e]],0)/1000</f>
        <v>0</v>
      </c>
      <c r="AP138">
        <f>IF(AND(emissions[[#This Row],[Market-based]]=1,OR(emissions[[#This Row],[Impact Type]]="CO2E",emissions[[#This Row],[Impact Type]]="CO2E MKT")),emissions[[#This Row],[kgCO2e]],0)/1000</f>
        <v>7.2111900999999996</v>
      </c>
      <c r="AQ138" t="str">
        <f>_xlfn.TEXTAFTER(emissions[[#This Row],[Reporting Unit]]," &gt; ",LEN(emissions[[#This Row],[Reporting Unit]])-LEN(SUBSTITUTE(emissions[[#This Row],[Reporting Unit]],"&gt;","")))</f>
        <v>Vantage_Granollers</v>
      </c>
      <c r="AR138" t="str">
        <f>_xlfn.XLOOKUP(emissions[[#This Row],[Reporting unit name]],hierarchy!$A:$A,hierarchy!$C:$C)</f>
        <v>Labratory</v>
      </c>
    </row>
    <row r="139" spans="1:44" hidden="1" x14ac:dyDescent="0.25">
      <c r="A139">
        <v>291428</v>
      </c>
      <c r="B139" t="s">
        <v>204</v>
      </c>
      <c r="C139" t="s">
        <v>475</v>
      </c>
      <c r="D139" t="s">
        <v>548</v>
      </c>
      <c r="E139" s="3">
        <v>44562</v>
      </c>
      <c r="F139" s="3">
        <v>44926</v>
      </c>
      <c r="G139" t="s">
        <v>108</v>
      </c>
      <c r="H139" s="3">
        <v>44562</v>
      </c>
      <c r="I139" s="3">
        <v>44926</v>
      </c>
      <c r="J139" t="s">
        <v>108</v>
      </c>
      <c r="K139">
        <v>24291</v>
      </c>
      <c r="L139" t="s">
        <v>109</v>
      </c>
      <c r="M139" t="s">
        <v>110</v>
      </c>
      <c r="O139" t="s">
        <v>636</v>
      </c>
      <c r="P139" t="s">
        <v>550</v>
      </c>
      <c r="Q139">
        <v>2022</v>
      </c>
      <c r="R139" t="s">
        <v>567</v>
      </c>
      <c r="S139" t="s">
        <v>568</v>
      </c>
      <c r="T139" t="s">
        <v>569</v>
      </c>
      <c r="U139" t="b">
        <v>0</v>
      </c>
      <c r="V139" t="s">
        <v>642</v>
      </c>
      <c r="W139" t="s">
        <v>571</v>
      </c>
      <c r="X139" t="s">
        <v>572</v>
      </c>
      <c r="Y139" t="s">
        <v>468</v>
      </c>
      <c r="Z139" t="s">
        <v>478</v>
      </c>
      <c r="AA139" t="s">
        <v>638</v>
      </c>
      <c r="AC139">
        <v>0</v>
      </c>
      <c r="AD139" t="s">
        <v>565</v>
      </c>
      <c r="AE139">
        <v>111.771111</v>
      </c>
      <c r="AF139">
        <v>4.601338E-3</v>
      </c>
      <c r="AG139" t="s">
        <v>560</v>
      </c>
      <c r="AH139">
        <v>1</v>
      </c>
      <c r="AI139">
        <v>24291</v>
      </c>
      <c r="AJ139" t="s">
        <v>561</v>
      </c>
      <c r="AK139" t="s">
        <v>573</v>
      </c>
      <c r="AL139" t="s">
        <v>574</v>
      </c>
      <c r="AM139">
        <v>2022</v>
      </c>
      <c r="AN139">
        <v>2020</v>
      </c>
      <c r="AO139">
        <f>IF(AND(emissions[[#This Row],[Market-based]]=0,emissions[[#This Row],[Impact Type]]="CO2E"),emissions[[#This Row],[kgCO2e]],0)/1000</f>
        <v>0.11177111100000001</v>
      </c>
      <c r="AP139">
        <f>IF(AND(emissions[[#This Row],[Market-based]]=1,OR(emissions[[#This Row],[Impact Type]]="CO2E",emissions[[#This Row],[Impact Type]]="CO2E MKT")),emissions[[#This Row],[kgCO2e]],0)/1000</f>
        <v>0</v>
      </c>
      <c r="AQ139" t="str">
        <f>_xlfn.TEXTAFTER(emissions[[#This Row],[Reporting Unit]]," &gt; ",LEN(emissions[[#This Row],[Reporting Unit]])-LEN(SUBSTITUTE(emissions[[#This Row],[Reporting Unit]],"&gt;","")))</f>
        <v>Vantage_Granollers</v>
      </c>
      <c r="AR139" t="str">
        <f>_xlfn.XLOOKUP(emissions[[#This Row],[Reporting unit name]],hierarchy!$A:$A,hierarchy!$C:$C)</f>
        <v>Labratory</v>
      </c>
    </row>
    <row r="140" spans="1:44" hidden="1" x14ac:dyDescent="0.25">
      <c r="A140">
        <v>291428</v>
      </c>
      <c r="B140" t="s">
        <v>204</v>
      </c>
      <c r="C140" t="s">
        <v>475</v>
      </c>
      <c r="D140" t="s">
        <v>548</v>
      </c>
      <c r="E140" s="3">
        <v>44562</v>
      </c>
      <c r="F140" s="3">
        <v>44926</v>
      </c>
      <c r="G140" t="s">
        <v>108</v>
      </c>
      <c r="H140" s="3">
        <v>44562</v>
      </c>
      <c r="I140" s="3">
        <v>44926</v>
      </c>
      <c r="J140" t="s">
        <v>108</v>
      </c>
      <c r="K140">
        <v>24291</v>
      </c>
      <c r="L140" t="s">
        <v>109</v>
      </c>
      <c r="M140" t="s">
        <v>110</v>
      </c>
      <c r="O140" t="s">
        <v>636</v>
      </c>
      <c r="P140" t="s">
        <v>550</v>
      </c>
      <c r="Q140">
        <v>2022</v>
      </c>
      <c r="R140" t="s">
        <v>567</v>
      </c>
      <c r="S140" t="s">
        <v>568</v>
      </c>
      <c r="T140" t="s">
        <v>569</v>
      </c>
      <c r="U140" t="b">
        <v>0</v>
      </c>
      <c r="V140" t="s">
        <v>643</v>
      </c>
      <c r="W140" t="s">
        <v>571</v>
      </c>
      <c r="X140" t="s">
        <v>572</v>
      </c>
      <c r="Y140" t="s">
        <v>468</v>
      </c>
      <c r="Z140" t="s">
        <v>478</v>
      </c>
      <c r="AA140" t="s">
        <v>638</v>
      </c>
      <c r="AC140">
        <v>1</v>
      </c>
      <c r="AD140" t="s">
        <v>639</v>
      </c>
      <c r="AE140">
        <v>57.687663149999999</v>
      </c>
      <c r="AF140">
        <v>2.3748570000000002E-3</v>
      </c>
      <c r="AG140" t="s">
        <v>560</v>
      </c>
      <c r="AH140">
        <v>1</v>
      </c>
      <c r="AI140">
        <v>24291</v>
      </c>
      <c r="AJ140" t="s">
        <v>561</v>
      </c>
      <c r="AK140" t="s">
        <v>573</v>
      </c>
      <c r="AL140" t="s">
        <v>644</v>
      </c>
      <c r="AM140">
        <v>2022</v>
      </c>
      <c r="AN140">
        <v>2020</v>
      </c>
      <c r="AO140">
        <f>IF(AND(emissions[[#This Row],[Market-based]]=0,emissions[[#This Row],[Impact Type]]="CO2E"),emissions[[#This Row],[kgCO2e]],0)/1000</f>
        <v>0</v>
      </c>
      <c r="AP140">
        <f>IF(AND(emissions[[#This Row],[Market-based]]=1,OR(emissions[[#This Row],[Impact Type]]="CO2E",emissions[[#This Row],[Impact Type]]="CO2E MKT")),emissions[[#This Row],[kgCO2e]],0)/1000</f>
        <v>5.7687663149999999E-2</v>
      </c>
      <c r="AQ140" t="str">
        <f>_xlfn.TEXTAFTER(emissions[[#This Row],[Reporting Unit]]," &gt; ",LEN(emissions[[#This Row],[Reporting Unit]])-LEN(SUBSTITUTE(emissions[[#This Row],[Reporting Unit]],"&gt;","")))</f>
        <v>Vantage_Granollers</v>
      </c>
      <c r="AR140" t="str">
        <f>_xlfn.XLOOKUP(emissions[[#This Row],[Reporting unit name]],hierarchy!$A:$A,hierarchy!$C:$C)</f>
        <v>Labratory</v>
      </c>
    </row>
    <row r="141" spans="1:44" hidden="1" x14ac:dyDescent="0.25">
      <c r="A141">
        <v>291428</v>
      </c>
      <c r="B141" t="s">
        <v>204</v>
      </c>
      <c r="C141" t="s">
        <v>475</v>
      </c>
      <c r="D141" t="s">
        <v>548</v>
      </c>
      <c r="E141" s="3">
        <v>44562</v>
      </c>
      <c r="F141" s="3">
        <v>44926</v>
      </c>
      <c r="G141" t="s">
        <v>108</v>
      </c>
      <c r="H141" s="3">
        <v>44562</v>
      </c>
      <c r="I141" s="3">
        <v>44926</v>
      </c>
      <c r="J141" t="s">
        <v>108</v>
      </c>
      <c r="K141">
        <v>24291</v>
      </c>
      <c r="L141" t="s">
        <v>109</v>
      </c>
      <c r="M141" t="s">
        <v>110</v>
      </c>
      <c r="O141" t="s">
        <v>636</v>
      </c>
      <c r="P141" t="s">
        <v>550</v>
      </c>
      <c r="Q141">
        <v>2022</v>
      </c>
      <c r="R141" t="s">
        <v>575</v>
      </c>
      <c r="S141" t="s">
        <v>576</v>
      </c>
      <c r="T141" t="s">
        <v>577</v>
      </c>
      <c r="U141" t="b">
        <v>0</v>
      </c>
      <c r="V141" t="s">
        <v>645</v>
      </c>
      <c r="W141" t="s">
        <v>571</v>
      </c>
      <c r="X141" t="s">
        <v>572</v>
      </c>
      <c r="Y141" t="s">
        <v>468</v>
      </c>
      <c r="Z141" t="s">
        <v>478</v>
      </c>
      <c r="AA141" t="s">
        <v>638</v>
      </c>
      <c r="AC141">
        <v>0</v>
      </c>
      <c r="AD141" t="s">
        <v>565</v>
      </c>
      <c r="AE141">
        <v>1150.629999</v>
      </c>
      <c r="AF141">
        <v>4.7368572999999997E-2</v>
      </c>
      <c r="AG141" t="s">
        <v>560</v>
      </c>
      <c r="AH141">
        <v>1</v>
      </c>
      <c r="AI141">
        <v>24291</v>
      </c>
      <c r="AJ141" t="s">
        <v>561</v>
      </c>
      <c r="AK141" t="s">
        <v>573</v>
      </c>
      <c r="AL141" t="s">
        <v>574</v>
      </c>
      <c r="AM141">
        <v>2022</v>
      </c>
      <c r="AN141">
        <v>2020</v>
      </c>
      <c r="AO141">
        <f>IF(AND(emissions[[#This Row],[Market-based]]=0,emissions[[#This Row],[Impact Type]]="CO2E"),emissions[[#This Row],[kgCO2e]],0)/1000</f>
        <v>1.150629999</v>
      </c>
      <c r="AP141">
        <f>IF(AND(emissions[[#This Row],[Market-based]]=1,OR(emissions[[#This Row],[Impact Type]]="CO2E",emissions[[#This Row],[Impact Type]]="CO2E MKT")),emissions[[#This Row],[kgCO2e]],0)/1000</f>
        <v>0</v>
      </c>
      <c r="AQ141" t="str">
        <f>_xlfn.TEXTAFTER(emissions[[#This Row],[Reporting Unit]]," &gt; ",LEN(emissions[[#This Row],[Reporting Unit]])-LEN(SUBSTITUTE(emissions[[#This Row],[Reporting Unit]],"&gt;","")))</f>
        <v>Vantage_Granollers</v>
      </c>
      <c r="AR141" t="str">
        <f>_xlfn.XLOOKUP(emissions[[#This Row],[Reporting unit name]],hierarchy!$A:$A,hierarchy!$C:$C)</f>
        <v>Labratory</v>
      </c>
    </row>
    <row r="142" spans="1:44" hidden="1" x14ac:dyDescent="0.25">
      <c r="A142">
        <v>291428</v>
      </c>
      <c r="B142" t="s">
        <v>204</v>
      </c>
      <c r="C142" t="s">
        <v>475</v>
      </c>
      <c r="D142" t="s">
        <v>548</v>
      </c>
      <c r="E142" s="3">
        <v>44562</v>
      </c>
      <c r="F142" s="3">
        <v>44926</v>
      </c>
      <c r="G142" t="s">
        <v>108</v>
      </c>
      <c r="H142" s="3">
        <v>44562</v>
      </c>
      <c r="I142" s="3">
        <v>44926</v>
      </c>
      <c r="J142" t="s">
        <v>108</v>
      </c>
      <c r="K142">
        <v>24291</v>
      </c>
      <c r="L142" t="s">
        <v>109</v>
      </c>
      <c r="M142" t="s">
        <v>110</v>
      </c>
      <c r="O142" t="s">
        <v>636</v>
      </c>
      <c r="P142" t="s">
        <v>550</v>
      </c>
      <c r="Q142">
        <v>2022</v>
      </c>
      <c r="R142" t="s">
        <v>575</v>
      </c>
      <c r="S142" t="s">
        <v>576</v>
      </c>
      <c r="T142" t="s">
        <v>577</v>
      </c>
      <c r="U142" t="b">
        <v>0</v>
      </c>
      <c r="V142" t="s">
        <v>646</v>
      </c>
      <c r="W142" t="s">
        <v>571</v>
      </c>
      <c r="X142" t="s">
        <v>572</v>
      </c>
      <c r="Y142" t="s">
        <v>468</v>
      </c>
      <c r="Z142" t="s">
        <v>478</v>
      </c>
      <c r="AA142" t="s">
        <v>638</v>
      </c>
      <c r="AC142">
        <v>1</v>
      </c>
      <c r="AD142" t="s">
        <v>639</v>
      </c>
      <c r="AE142">
        <v>2202.1694470000002</v>
      </c>
      <c r="AF142">
        <v>9.0657834000000007E-2</v>
      </c>
      <c r="AG142" t="s">
        <v>560</v>
      </c>
      <c r="AH142">
        <v>1</v>
      </c>
      <c r="AI142">
        <v>24291</v>
      </c>
      <c r="AJ142" t="s">
        <v>561</v>
      </c>
      <c r="AK142" t="s">
        <v>573</v>
      </c>
      <c r="AL142" t="s">
        <v>647</v>
      </c>
      <c r="AM142">
        <v>2022</v>
      </c>
      <c r="AN142">
        <v>2020</v>
      </c>
      <c r="AO142">
        <f>IF(AND(emissions[[#This Row],[Market-based]]=0,emissions[[#This Row],[Impact Type]]="CO2E"),emissions[[#This Row],[kgCO2e]],0)/1000</f>
        <v>0</v>
      </c>
      <c r="AP142">
        <f>IF(AND(emissions[[#This Row],[Market-based]]=1,OR(emissions[[#This Row],[Impact Type]]="CO2E",emissions[[#This Row],[Impact Type]]="CO2E MKT")),emissions[[#This Row],[kgCO2e]],0)/1000</f>
        <v>2.2021694470000002</v>
      </c>
      <c r="AQ142" t="str">
        <f>_xlfn.TEXTAFTER(emissions[[#This Row],[Reporting Unit]]," &gt; ",LEN(emissions[[#This Row],[Reporting Unit]])-LEN(SUBSTITUTE(emissions[[#This Row],[Reporting Unit]],"&gt;","")))</f>
        <v>Vantage_Granollers</v>
      </c>
      <c r="AR142" t="str">
        <f>_xlfn.XLOOKUP(emissions[[#This Row],[Reporting unit name]],hierarchy!$A:$A,hierarchy!$C:$C)</f>
        <v>Labratory</v>
      </c>
    </row>
    <row r="143" spans="1:44" hidden="1" x14ac:dyDescent="0.25">
      <c r="A143">
        <v>291428</v>
      </c>
      <c r="B143" t="s">
        <v>204</v>
      </c>
      <c r="C143" t="s">
        <v>475</v>
      </c>
      <c r="D143" t="s">
        <v>548</v>
      </c>
      <c r="E143" s="3">
        <v>44562</v>
      </c>
      <c r="F143" s="3">
        <v>44926</v>
      </c>
      <c r="G143" t="s">
        <v>108</v>
      </c>
      <c r="H143" s="3">
        <v>44562</v>
      </c>
      <c r="I143" s="3">
        <v>44926</v>
      </c>
      <c r="J143" t="s">
        <v>108</v>
      </c>
      <c r="K143">
        <v>24291</v>
      </c>
      <c r="L143" t="s">
        <v>109</v>
      </c>
      <c r="M143" t="s">
        <v>110</v>
      </c>
      <c r="O143" t="s">
        <v>636</v>
      </c>
      <c r="P143" t="s">
        <v>550</v>
      </c>
      <c r="Q143">
        <v>2022</v>
      </c>
      <c r="R143" t="s">
        <v>579</v>
      </c>
      <c r="S143" t="s">
        <v>580</v>
      </c>
      <c r="T143" t="s">
        <v>581</v>
      </c>
      <c r="U143" t="b">
        <v>0</v>
      </c>
      <c r="V143" t="s">
        <v>648</v>
      </c>
      <c r="W143" t="s">
        <v>571</v>
      </c>
      <c r="X143" t="s">
        <v>572</v>
      </c>
      <c r="Y143" t="s">
        <v>468</v>
      </c>
      <c r="Z143" t="s">
        <v>478</v>
      </c>
      <c r="AA143" t="s">
        <v>638</v>
      </c>
      <c r="AC143">
        <v>0</v>
      </c>
      <c r="AD143" t="s">
        <v>565</v>
      </c>
      <c r="AE143">
        <v>354.64859999999999</v>
      </c>
      <c r="AF143" t="s">
        <v>559</v>
      </c>
      <c r="AG143" t="s">
        <v>560</v>
      </c>
      <c r="AH143">
        <v>1</v>
      </c>
      <c r="AI143">
        <v>24291</v>
      </c>
      <c r="AJ143" t="s">
        <v>561</v>
      </c>
      <c r="AK143" t="s">
        <v>562</v>
      </c>
      <c r="AL143" t="s">
        <v>563</v>
      </c>
      <c r="AM143">
        <v>2022</v>
      </c>
      <c r="AN143">
        <v>2020</v>
      </c>
      <c r="AO143">
        <f>IF(AND(emissions[[#This Row],[Market-based]]=0,emissions[[#This Row],[Impact Type]]="CO2E"),emissions[[#This Row],[kgCO2e]],0)/1000</f>
        <v>0.35464859999999998</v>
      </c>
      <c r="AP143">
        <f>IF(AND(emissions[[#This Row],[Market-based]]=1,OR(emissions[[#This Row],[Impact Type]]="CO2E",emissions[[#This Row],[Impact Type]]="CO2E MKT")),emissions[[#This Row],[kgCO2e]],0)/1000</f>
        <v>0</v>
      </c>
      <c r="AQ143" t="str">
        <f>_xlfn.TEXTAFTER(emissions[[#This Row],[Reporting Unit]]," &gt; ",LEN(emissions[[#This Row],[Reporting Unit]])-LEN(SUBSTITUTE(emissions[[#This Row],[Reporting Unit]],"&gt;","")))</f>
        <v>Vantage_Granollers</v>
      </c>
      <c r="AR143" t="str">
        <f>_xlfn.XLOOKUP(emissions[[#This Row],[Reporting unit name]],hierarchy!$A:$A,hierarchy!$C:$C)</f>
        <v>Labratory</v>
      </c>
    </row>
    <row r="144" spans="1:44" hidden="1" x14ac:dyDescent="0.25">
      <c r="A144">
        <v>291428</v>
      </c>
      <c r="B144" t="s">
        <v>204</v>
      </c>
      <c r="C144" t="s">
        <v>475</v>
      </c>
      <c r="D144" t="s">
        <v>548</v>
      </c>
      <c r="E144" s="3">
        <v>44562</v>
      </c>
      <c r="F144" s="3">
        <v>44926</v>
      </c>
      <c r="G144" t="s">
        <v>108</v>
      </c>
      <c r="H144" s="3">
        <v>44562</v>
      </c>
      <c r="I144" s="3">
        <v>44926</v>
      </c>
      <c r="J144" t="s">
        <v>108</v>
      </c>
      <c r="K144">
        <v>24291</v>
      </c>
      <c r="L144" t="s">
        <v>109</v>
      </c>
      <c r="M144" t="s">
        <v>110</v>
      </c>
      <c r="O144" t="s">
        <v>636</v>
      </c>
      <c r="P144" t="s">
        <v>550</v>
      </c>
      <c r="Q144">
        <v>2022</v>
      </c>
      <c r="R144" t="s">
        <v>579</v>
      </c>
      <c r="S144" t="s">
        <v>580</v>
      </c>
      <c r="T144" t="s">
        <v>581</v>
      </c>
      <c r="U144" t="b">
        <v>0</v>
      </c>
      <c r="V144" t="s">
        <v>649</v>
      </c>
      <c r="W144" t="s">
        <v>571</v>
      </c>
      <c r="X144" t="s">
        <v>572</v>
      </c>
      <c r="Y144" t="s">
        <v>468</v>
      </c>
      <c r="Z144" t="s">
        <v>478</v>
      </c>
      <c r="AA144" t="s">
        <v>638</v>
      </c>
      <c r="AC144">
        <v>1</v>
      </c>
      <c r="AD144" t="s">
        <v>639</v>
      </c>
      <c r="AE144">
        <v>634.89393849999999</v>
      </c>
      <c r="AF144">
        <v>2.6137002999999999E-2</v>
      </c>
      <c r="AG144" t="s">
        <v>560</v>
      </c>
      <c r="AH144">
        <v>1</v>
      </c>
      <c r="AI144">
        <v>24291</v>
      </c>
      <c r="AJ144" t="s">
        <v>561</v>
      </c>
      <c r="AK144" t="s">
        <v>573</v>
      </c>
      <c r="AL144" t="s">
        <v>650</v>
      </c>
      <c r="AM144">
        <v>2022</v>
      </c>
      <c r="AN144">
        <v>2020</v>
      </c>
      <c r="AO144">
        <f>IF(AND(emissions[[#This Row],[Market-based]]=0,emissions[[#This Row],[Impact Type]]="CO2E"),emissions[[#This Row],[kgCO2e]],0)/1000</f>
        <v>0</v>
      </c>
      <c r="AP144">
        <f>IF(AND(emissions[[#This Row],[Market-based]]=1,OR(emissions[[#This Row],[Impact Type]]="CO2E",emissions[[#This Row],[Impact Type]]="CO2E MKT")),emissions[[#This Row],[kgCO2e]],0)/1000</f>
        <v>0.63489393849999998</v>
      </c>
      <c r="AQ144" t="str">
        <f>_xlfn.TEXTAFTER(emissions[[#This Row],[Reporting Unit]]," &gt; ",LEN(emissions[[#This Row],[Reporting Unit]])-LEN(SUBSTITUTE(emissions[[#This Row],[Reporting Unit]],"&gt;","")))</f>
        <v>Vantage_Granollers</v>
      </c>
      <c r="AR144" t="str">
        <f>_xlfn.XLOOKUP(emissions[[#This Row],[Reporting unit name]],hierarchy!$A:$A,hierarchy!$C:$C)</f>
        <v>Labratory</v>
      </c>
    </row>
    <row r="145" spans="1:44" hidden="1" x14ac:dyDescent="0.25">
      <c r="A145">
        <v>1590442</v>
      </c>
      <c r="B145" t="s">
        <v>204</v>
      </c>
      <c r="C145" t="s">
        <v>475</v>
      </c>
      <c r="D145" t="s">
        <v>548</v>
      </c>
      <c r="E145" s="3">
        <v>44562</v>
      </c>
      <c r="F145" s="3">
        <v>44926</v>
      </c>
      <c r="G145" t="s">
        <v>135</v>
      </c>
      <c r="H145" s="3">
        <v>44562</v>
      </c>
      <c r="I145" s="3">
        <v>44926</v>
      </c>
      <c r="J145" t="s">
        <v>135</v>
      </c>
      <c r="K145">
        <v>976.7102582</v>
      </c>
      <c r="L145" t="s">
        <v>136</v>
      </c>
      <c r="M145" t="s">
        <v>82</v>
      </c>
      <c r="N145" t="s">
        <v>137</v>
      </c>
      <c r="O145" t="s">
        <v>631</v>
      </c>
      <c r="P145" t="s">
        <v>631</v>
      </c>
      <c r="Q145">
        <v>2022</v>
      </c>
      <c r="R145" t="s">
        <v>605</v>
      </c>
      <c r="S145" t="s">
        <v>606</v>
      </c>
      <c r="T145" t="s">
        <v>553</v>
      </c>
      <c r="U145" t="b">
        <v>0</v>
      </c>
      <c r="V145" t="s">
        <v>607</v>
      </c>
      <c r="W145" t="s">
        <v>587</v>
      </c>
      <c r="X145" t="s">
        <v>556</v>
      </c>
      <c r="Y145" t="s">
        <v>468</v>
      </c>
      <c r="AC145">
        <v>0</v>
      </c>
      <c r="AD145" t="s">
        <v>558</v>
      </c>
      <c r="AE145">
        <v>7.1544270589999996</v>
      </c>
      <c r="AF145">
        <v>2.5000000000000001E-4</v>
      </c>
      <c r="AG145" t="s">
        <v>608</v>
      </c>
      <c r="AH145">
        <v>29.3001</v>
      </c>
      <c r="AI145">
        <v>28617.70824</v>
      </c>
      <c r="AJ145" t="s">
        <v>561</v>
      </c>
      <c r="AK145" t="s">
        <v>589</v>
      </c>
      <c r="AL145" t="s">
        <v>590</v>
      </c>
      <c r="AM145">
        <v>2022</v>
      </c>
      <c r="AN145">
        <v>2020</v>
      </c>
      <c r="AO145">
        <f>IF(AND(emissions[[#This Row],[Market-based]]=0,emissions[[#This Row],[Impact Type]]="CO2E"),emissions[[#This Row],[kgCO2e]],0)/1000</f>
        <v>0</v>
      </c>
      <c r="AP145">
        <f>IF(AND(emissions[[#This Row],[Market-based]]=1,OR(emissions[[#This Row],[Impact Type]]="CO2E",emissions[[#This Row],[Impact Type]]="CO2E MKT")),emissions[[#This Row],[kgCO2e]],0)/1000</f>
        <v>0</v>
      </c>
      <c r="AQ145" t="str">
        <f>_xlfn.TEXTAFTER(emissions[[#This Row],[Reporting Unit]]," &gt; ",LEN(emissions[[#This Row],[Reporting Unit]])-LEN(SUBSTITUTE(emissions[[#This Row],[Reporting Unit]],"&gt;","")))</f>
        <v>Vantage_Granollers</v>
      </c>
      <c r="AR145" t="str">
        <f>_xlfn.XLOOKUP(emissions[[#This Row],[Reporting unit name]],hierarchy!$A:$A,hierarchy!$C:$C)</f>
        <v>Labratory</v>
      </c>
    </row>
    <row r="146" spans="1:44" hidden="1" x14ac:dyDescent="0.25">
      <c r="A146">
        <v>1590442</v>
      </c>
      <c r="B146" t="s">
        <v>204</v>
      </c>
      <c r="C146" t="s">
        <v>475</v>
      </c>
      <c r="D146" t="s">
        <v>548</v>
      </c>
      <c r="E146" s="3">
        <v>44562</v>
      </c>
      <c r="F146" s="3">
        <v>44926</v>
      </c>
      <c r="G146" t="s">
        <v>135</v>
      </c>
      <c r="H146" s="3">
        <v>44562</v>
      </c>
      <c r="I146" s="3">
        <v>44926</v>
      </c>
      <c r="J146" t="s">
        <v>135</v>
      </c>
      <c r="K146">
        <v>976.7102582</v>
      </c>
      <c r="L146" t="s">
        <v>136</v>
      </c>
      <c r="M146" t="s">
        <v>82</v>
      </c>
      <c r="N146" t="s">
        <v>137</v>
      </c>
      <c r="O146" t="s">
        <v>631</v>
      </c>
      <c r="P146" t="s">
        <v>631</v>
      </c>
      <c r="Q146">
        <v>2022</v>
      </c>
      <c r="R146" t="s">
        <v>605</v>
      </c>
      <c r="S146" t="s">
        <v>606</v>
      </c>
      <c r="T146" t="s">
        <v>553</v>
      </c>
      <c r="U146" t="b">
        <v>0</v>
      </c>
      <c r="V146" t="s">
        <v>607</v>
      </c>
      <c r="W146" t="s">
        <v>587</v>
      </c>
      <c r="X146" t="s">
        <v>556</v>
      </c>
      <c r="Y146" t="s">
        <v>468</v>
      </c>
      <c r="AC146">
        <v>0</v>
      </c>
      <c r="AD146" t="s">
        <v>564</v>
      </c>
      <c r="AE146">
        <v>5213.8602639999999</v>
      </c>
      <c r="AF146">
        <v>0.18218999999999999</v>
      </c>
      <c r="AG146" t="s">
        <v>608</v>
      </c>
      <c r="AH146">
        <v>29.3001</v>
      </c>
      <c r="AI146">
        <v>28617.70824</v>
      </c>
      <c r="AJ146" t="s">
        <v>561</v>
      </c>
      <c r="AK146" t="s">
        <v>589</v>
      </c>
      <c r="AL146" t="s">
        <v>590</v>
      </c>
      <c r="AM146">
        <v>2022</v>
      </c>
      <c r="AN146">
        <v>2020</v>
      </c>
      <c r="AO146">
        <f>IF(AND(emissions[[#This Row],[Market-based]]=0,emissions[[#This Row],[Impact Type]]="CO2E"),emissions[[#This Row],[kgCO2e]],0)/1000</f>
        <v>0</v>
      </c>
      <c r="AP146">
        <f>IF(AND(emissions[[#This Row],[Market-based]]=1,OR(emissions[[#This Row],[Impact Type]]="CO2E",emissions[[#This Row],[Impact Type]]="CO2E MKT")),emissions[[#This Row],[kgCO2e]],0)/1000</f>
        <v>0</v>
      </c>
      <c r="AQ146" t="str">
        <f>_xlfn.TEXTAFTER(emissions[[#This Row],[Reporting Unit]]," &gt; ",LEN(emissions[[#This Row],[Reporting Unit]])-LEN(SUBSTITUTE(emissions[[#This Row],[Reporting Unit]],"&gt;","")))</f>
        <v>Vantage_Granollers</v>
      </c>
      <c r="AR146" t="str">
        <f>_xlfn.XLOOKUP(emissions[[#This Row],[Reporting unit name]],hierarchy!$A:$A,hierarchy!$C:$C)</f>
        <v>Labratory</v>
      </c>
    </row>
    <row r="147" spans="1:44" hidden="1" x14ac:dyDescent="0.25">
      <c r="A147">
        <v>1590442</v>
      </c>
      <c r="B147" t="s">
        <v>204</v>
      </c>
      <c r="C147" t="s">
        <v>475</v>
      </c>
      <c r="D147" t="s">
        <v>548</v>
      </c>
      <c r="E147" s="3">
        <v>44562</v>
      </c>
      <c r="F147" s="3">
        <v>44926</v>
      </c>
      <c r="G147" t="s">
        <v>135</v>
      </c>
      <c r="H147" s="3">
        <v>44562</v>
      </c>
      <c r="I147" s="3">
        <v>44926</v>
      </c>
      <c r="J147" t="s">
        <v>135</v>
      </c>
      <c r="K147">
        <v>976.7102582</v>
      </c>
      <c r="L147" t="s">
        <v>136</v>
      </c>
      <c r="M147" t="s">
        <v>82</v>
      </c>
      <c r="N147" t="s">
        <v>137</v>
      </c>
      <c r="O147" t="s">
        <v>631</v>
      </c>
      <c r="P147" t="s">
        <v>631</v>
      </c>
      <c r="Q147">
        <v>2022</v>
      </c>
      <c r="R147" t="s">
        <v>605</v>
      </c>
      <c r="S147" t="s">
        <v>606</v>
      </c>
      <c r="T147" t="s">
        <v>553</v>
      </c>
      <c r="U147" t="b">
        <v>0</v>
      </c>
      <c r="V147" t="s">
        <v>607</v>
      </c>
      <c r="W147" t="s">
        <v>587</v>
      </c>
      <c r="X147" t="s">
        <v>556</v>
      </c>
      <c r="Y147" t="s">
        <v>468</v>
      </c>
      <c r="AC147">
        <v>0</v>
      </c>
      <c r="AD147" t="s">
        <v>565</v>
      </c>
      <c r="AE147">
        <v>5223.8764620000002</v>
      </c>
      <c r="AF147">
        <v>0.18254000000000001</v>
      </c>
      <c r="AG147" t="s">
        <v>608</v>
      </c>
      <c r="AH147">
        <v>29.3001</v>
      </c>
      <c r="AI147">
        <v>28617.70824</v>
      </c>
      <c r="AJ147" t="s">
        <v>561</v>
      </c>
      <c r="AK147" t="s">
        <v>589</v>
      </c>
      <c r="AL147" t="s">
        <v>590</v>
      </c>
      <c r="AM147">
        <v>2022</v>
      </c>
      <c r="AN147">
        <v>2020</v>
      </c>
      <c r="AO147">
        <f>IF(AND(emissions[[#This Row],[Market-based]]=0,emissions[[#This Row],[Impact Type]]="CO2E"),emissions[[#This Row],[kgCO2e]],0)/1000</f>
        <v>5.2238764619999998</v>
      </c>
      <c r="AP147">
        <f>IF(AND(emissions[[#This Row],[Market-based]]=1,OR(emissions[[#This Row],[Impact Type]]="CO2E",emissions[[#This Row],[Impact Type]]="CO2E MKT")),emissions[[#This Row],[kgCO2e]],0)/1000</f>
        <v>0</v>
      </c>
      <c r="AQ147" t="str">
        <f>_xlfn.TEXTAFTER(emissions[[#This Row],[Reporting Unit]]," &gt; ",LEN(emissions[[#This Row],[Reporting Unit]])-LEN(SUBSTITUTE(emissions[[#This Row],[Reporting Unit]],"&gt;","")))</f>
        <v>Vantage_Granollers</v>
      </c>
      <c r="AR147" t="str">
        <f>_xlfn.XLOOKUP(emissions[[#This Row],[Reporting unit name]],hierarchy!$A:$A,hierarchy!$C:$C)</f>
        <v>Labratory</v>
      </c>
    </row>
    <row r="148" spans="1:44" hidden="1" x14ac:dyDescent="0.25">
      <c r="A148">
        <v>1590442</v>
      </c>
      <c r="B148" t="s">
        <v>204</v>
      </c>
      <c r="C148" t="s">
        <v>475</v>
      </c>
      <c r="D148" t="s">
        <v>548</v>
      </c>
      <c r="E148" s="3">
        <v>44562</v>
      </c>
      <c r="F148" s="3">
        <v>44926</v>
      </c>
      <c r="G148" t="s">
        <v>135</v>
      </c>
      <c r="H148" s="3">
        <v>44562</v>
      </c>
      <c r="I148" s="3">
        <v>44926</v>
      </c>
      <c r="J148" t="s">
        <v>135</v>
      </c>
      <c r="K148">
        <v>976.7102582</v>
      </c>
      <c r="L148" t="s">
        <v>136</v>
      </c>
      <c r="M148" t="s">
        <v>82</v>
      </c>
      <c r="N148" t="s">
        <v>137</v>
      </c>
      <c r="O148" t="s">
        <v>631</v>
      </c>
      <c r="P148" t="s">
        <v>631</v>
      </c>
      <c r="Q148">
        <v>2022</v>
      </c>
      <c r="R148" t="s">
        <v>605</v>
      </c>
      <c r="S148" t="s">
        <v>606</v>
      </c>
      <c r="T148" t="s">
        <v>553</v>
      </c>
      <c r="U148" t="b">
        <v>0</v>
      </c>
      <c r="V148" t="s">
        <v>607</v>
      </c>
      <c r="W148" t="s">
        <v>587</v>
      </c>
      <c r="X148" t="s">
        <v>556</v>
      </c>
      <c r="Y148" t="s">
        <v>468</v>
      </c>
      <c r="AC148">
        <v>0</v>
      </c>
      <c r="AD148" t="s">
        <v>566</v>
      </c>
      <c r="AE148">
        <v>2.8617708240000002</v>
      </c>
      <c r="AF148">
        <v>1E-4</v>
      </c>
      <c r="AG148" t="s">
        <v>608</v>
      </c>
      <c r="AH148">
        <v>29.3001</v>
      </c>
      <c r="AI148">
        <v>28617.70824</v>
      </c>
      <c r="AJ148" t="s">
        <v>561</v>
      </c>
      <c r="AK148" t="s">
        <v>589</v>
      </c>
      <c r="AL148" t="s">
        <v>590</v>
      </c>
      <c r="AM148">
        <v>2022</v>
      </c>
      <c r="AN148">
        <v>2020</v>
      </c>
      <c r="AO148">
        <f>IF(AND(emissions[[#This Row],[Market-based]]=0,emissions[[#This Row],[Impact Type]]="CO2E"),emissions[[#This Row],[kgCO2e]],0)/1000</f>
        <v>0</v>
      </c>
      <c r="AP148">
        <f>IF(AND(emissions[[#This Row],[Market-based]]=1,OR(emissions[[#This Row],[Impact Type]]="CO2E",emissions[[#This Row],[Impact Type]]="CO2E MKT")),emissions[[#This Row],[kgCO2e]],0)/1000</f>
        <v>0</v>
      </c>
      <c r="AQ148" t="str">
        <f>_xlfn.TEXTAFTER(emissions[[#This Row],[Reporting Unit]]," &gt; ",LEN(emissions[[#This Row],[Reporting Unit]])-LEN(SUBSTITUTE(emissions[[#This Row],[Reporting Unit]],"&gt;","")))</f>
        <v>Vantage_Granollers</v>
      </c>
      <c r="AR148" t="str">
        <f>_xlfn.XLOOKUP(emissions[[#This Row],[Reporting unit name]],hierarchy!$A:$A,hierarchy!$C:$C)</f>
        <v>Labratory</v>
      </c>
    </row>
    <row r="149" spans="1:44" hidden="1" x14ac:dyDescent="0.25">
      <c r="A149">
        <v>1590442</v>
      </c>
      <c r="B149" t="s">
        <v>204</v>
      </c>
      <c r="C149" t="s">
        <v>475</v>
      </c>
      <c r="D149" t="s">
        <v>548</v>
      </c>
      <c r="E149" s="3">
        <v>44562</v>
      </c>
      <c r="F149" s="3">
        <v>44926</v>
      </c>
      <c r="G149" t="s">
        <v>135</v>
      </c>
      <c r="H149" s="3">
        <v>44562</v>
      </c>
      <c r="I149" s="3">
        <v>44926</v>
      </c>
      <c r="J149" t="s">
        <v>135</v>
      </c>
      <c r="K149">
        <v>976.7102582</v>
      </c>
      <c r="L149" t="s">
        <v>136</v>
      </c>
      <c r="M149" t="s">
        <v>82</v>
      </c>
      <c r="N149" t="s">
        <v>137</v>
      </c>
      <c r="O149" t="s">
        <v>631</v>
      </c>
      <c r="P149" t="s">
        <v>631</v>
      </c>
      <c r="Q149">
        <v>2022</v>
      </c>
      <c r="R149" t="s">
        <v>605</v>
      </c>
      <c r="S149" t="s">
        <v>606</v>
      </c>
      <c r="T149" t="s">
        <v>553</v>
      </c>
      <c r="U149" t="b">
        <v>0</v>
      </c>
      <c r="V149" t="s">
        <v>607</v>
      </c>
      <c r="W149" t="s">
        <v>587</v>
      </c>
      <c r="X149" t="s">
        <v>556</v>
      </c>
      <c r="Y149" t="s">
        <v>468</v>
      </c>
      <c r="AC149">
        <v>1</v>
      </c>
      <c r="AD149" t="s">
        <v>558</v>
      </c>
      <c r="AE149">
        <v>7.1544270589999996</v>
      </c>
      <c r="AF149">
        <v>2.5000000000000001E-4</v>
      </c>
      <c r="AG149" t="s">
        <v>608</v>
      </c>
      <c r="AH149">
        <v>29.3001</v>
      </c>
      <c r="AI149">
        <v>28617.70824</v>
      </c>
      <c r="AJ149" t="s">
        <v>561</v>
      </c>
      <c r="AK149" t="s">
        <v>589</v>
      </c>
      <c r="AL149" t="s">
        <v>590</v>
      </c>
      <c r="AM149">
        <v>2022</v>
      </c>
      <c r="AN149">
        <v>2020</v>
      </c>
      <c r="AO149">
        <f>IF(AND(emissions[[#This Row],[Market-based]]=0,emissions[[#This Row],[Impact Type]]="CO2E"),emissions[[#This Row],[kgCO2e]],0)/1000</f>
        <v>0</v>
      </c>
      <c r="AP149">
        <f>IF(AND(emissions[[#This Row],[Market-based]]=1,OR(emissions[[#This Row],[Impact Type]]="CO2E",emissions[[#This Row],[Impact Type]]="CO2E MKT")),emissions[[#This Row],[kgCO2e]],0)/1000</f>
        <v>0</v>
      </c>
      <c r="AQ149" t="str">
        <f>_xlfn.TEXTAFTER(emissions[[#This Row],[Reporting Unit]]," &gt; ",LEN(emissions[[#This Row],[Reporting Unit]])-LEN(SUBSTITUTE(emissions[[#This Row],[Reporting Unit]],"&gt;","")))</f>
        <v>Vantage_Granollers</v>
      </c>
      <c r="AR149" t="str">
        <f>_xlfn.XLOOKUP(emissions[[#This Row],[Reporting unit name]],hierarchy!$A:$A,hierarchy!$C:$C)</f>
        <v>Labratory</v>
      </c>
    </row>
    <row r="150" spans="1:44" hidden="1" x14ac:dyDescent="0.25">
      <c r="A150">
        <v>1590442</v>
      </c>
      <c r="B150" t="s">
        <v>204</v>
      </c>
      <c r="C150" t="s">
        <v>475</v>
      </c>
      <c r="D150" t="s">
        <v>548</v>
      </c>
      <c r="E150" s="3">
        <v>44562</v>
      </c>
      <c r="F150" s="3">
        <v>44926</v>
      </c>
      <c r="G150" t="s">
        <v>135</v>
      </c>
      <c r="H150" s="3">
        <v>44562</v>
      </c>
      <c r="I150" s="3">
        <v>44926</v>
      </c>
      <c r="J150" t="s">
        <v>135</v>
      </c>
      <c r="K150">
        <v>976.7102582</v>
      </c>
      <c r="L150" t="s">
        <v>136</v>
      </c>
      <c r="M150" t="s">
        <v>82</v>
      </c>
      <c r="N150" t="s">
        <v>137</v>
      </c>
      <c r="O150" t="s">
        <v>631</v>
      </c>
      <c r="P150" t="s">
        <v>631</v>
      </c>
      <c r="Q150">
        <v>2022</v>
      </c>
      <c r="R150" t="s">
        <v>605</v>
      </c>
      <c r="S150" t="s">
        <v>606</v>
      </c>
      <c r="T150" t="s">
        <v>553</v>
      </c>
      <c r="U150" t="b">
        <v>0</v>
      </c>
      <c r="V150" t="s">
        <v>607</v>
      </c>
      <c r="W150" t="s">
        <v>587</v>
      </c>
      <c r="X150" t="s">
        <v>556</v>
      </c>
      <c r="Y150" t="s">
        <v>468</v>
      </c>
      <c r="AC150">
        <v>1</v>
      </c>
      <c r="AD150" t="s">
        <v>564</v>
      </c>
      <c r="AE150">
        <v>5213.8602639999999</v>
      </c>
      <c r="AF150">
        <v>0.18218999999999999</v>
      </c>
      <c r="AG150" t="s">
        <v>608</v>
      </c>
      <c r="AH150">
        <v>29.3001</v>
      </c>
      <c r="AI150">
        <v>28617.70824</v>
      </c>
      <c r="AJ150" t="s">
        <v>561</v>
      </c>
      <c r="AK150" t="s">
        <v>589</v>
      </c>
      <c r="AL150" t="s">
        <v>590</v>
      </c>
      <c r="AM150">
        <v>2022</v>
      </c>
      <c r="AN150">
        <v>2020</v>
      </c>
      <c r="AO150">
        <f>IF(AND(emissions[[#This Row],[Market-based]]=0,emissions[[#This Row],[Impact Type]]="CO2E"),emissions[[#This Row],[kgCO2e]],0)/1000</f>
        <v>0</v>
      </c>
      <c r="AP150">
        <f>IF(AND(emissions[[#This Row],[Market-based]]=1,OR(emissions[[#This Row],[Impact Type]]="CO2E",emissions[[#This Row],[Impact Type]]="CO2E MKT")),emissions[[#This Row],[kgCO2e]],0)/1000</f>
        <v>0</v>
      </c>
      <c r="AQ150" t="str">
        <f>_xlfn.TEXTAFTER(emissions[[#This Row],[Reporting Unit]]," &gt; ",LEN(emissions[[#This Row],[Reporting Unit]])-LEN(SUBSTITUTE(emissions[[#This Row],[Reporting Unit]],"&gt;","")))</f>
        <v>Vantage_Granollers</v>
      </c>
      <c r="AR150" t="str">
        <f>_xlfn.XLOOKUP(emissions[[#This Row],[Reporting unit name]],hierarchy!$A:$A,hierarchy!$C:$C)</f>
        <v>Labratory</v>
      </c>
    </row>
    <row r="151" spans="1:44" hidden="1" x14ac:dyDescent="0.25">
      <c r="A151">
        <v>1590442</v>
      </c>
      <c r="B151" t="s">
        <v>204</v>
      </c>
      <c r="C151" t="s">
        <v>475</v>
      </c>
      <c r="D151" t="s">
        <v>548</v>
      </c>
      <c r="E151" s="3">
        <v>44562</v>
      </c>
      <c r="F151" s="3">
        <v>44926</v>
      </c>
      <c r="G151" t="s">
        <v>135</v>
      </c>
      <c r="H151" s="3">
        <v>44562</v>
      </c>
      <c r="I151" s="3">
        <v>44926</v>
      </c>
      <c r="J151" t="s">
        <v>135</v>
      </c>
      <c r="K151">
        <v>976.7102582</v>
      </c>
      <c r="L151" t="s">
        <v>136</v>
      </c>
      <c r="M151" t="s">
        <v>82</v>
      </c>
      <c r="N151" t="s">
        <v>137</v>
      </c>
      <c r="O151" t="s">
        <v>631</v>
      </c>
      <c r="P151" t="s">
        <v>631</v>
      </c>
      <c r="Q151">
        <v>2022</v>
      </c>
      <c r="R151" t="s">
        <v>605</v>
      </c>
      <c r="S151" t="s">
        <v>606</v>
      </c>
      <c r="T151" t="s">
        <v>553</v>
      </c>
      <c r="U151" t="b">
        <v>0</v>
      </c>
      <c r="V151" t="s">
        <v>607</v>
      </c>
      <c r="W151" t="s">
        <v>587</v>
      </c>
      <c r="X151" t="s">
        <v>556</v>
      </c>
      <c r="Y151" t="s">
        <v>468</v>
      </c>
      <c r="AC151">
        <v>1</v>
      </c>
      <c r="AD151" t="s">
        <v>565</v>
      </c>
      <c r="AE151">
        <v>5223.8764620000002</v>
      </c>
      <c r="AF151">
        <v>0.18254000000000001</v>
      </c>
      <c r="AG151" t="s">
        <v>608</v>
      </c>
      <c r="AH151">
        <v>29.3001</v>
      </c>
      <c r="AI151">
        <v>28617.70824</v>
      </c>
      <c r="AJ151" t="s">
        <v>561</v>
      </c>
      <c r="AK151" t="s">
        <v>589</v>
      </c>
      <c r="AL151" t="s">
        <v>590</v>
      </c>
      <c r="AM151">
        <v>2022</v>
      </c>
      <c r="AN151">
        <v>2020</v>
      </c>
      <c r="AO151">
        <f>IF(AND(emissions[[#This Row],[Market-based]]=0,emissions[[#This Row],[Impact Type]]="CO2E"),emissions[[#This Row],[kgCO2e]],0)/1000</f>
        <v>0</v>
      </c>
      <c r="AP151">
        <f>IF(AND(emissions[[#This Row],[Market-based]]=1,OR(emissions[[#This Row],[Impact Type]]="CO2E",emissions[[#This Row],[Impact Type]]="CO2E MKT")),emissions[[#This Row],[kgCO2e]],0)/1000</f>
        <v>5.2238764619999998</v>
      </c>
      <c r="AQ151" t="str">
        <f>_xlfn.TEXTAFTER(emissions[[#This Row],[Reporting Unit]]," &gt; ",LEN(emissions[[#This Row],[Reporting Unit]])-LEN(SUBSTITUTE(emissions[[#This Row],[Reporting Unit]],"&gt;","")))</f>
        <v>Vantage_Granollers</v>
      </c>
      <c r="AR151" t="str">
        <f>_xlfn.XLOOKUP(emissions[[#This Row],[Reporting unit name]],hierarchy!$A:$A,hierarchy!$C:$C)</f>
        <v>Labratory</v>
      </c>
    </row>
    <row r="152" spans="1:44" hidden="1" x14ac:dyDescent="0.25">
      <c r="A152">
        <v>1590442</v>
      </c>
      <c r="B152" t="s">
        <v>204</v>
      </c>
      <c r="C152" t="s">
        <v>475</v>
      </c>
      <c r="D152" t="s">
        <v>548</v>
      </c>
      <c r="E152" s="3">
        <v>44562</v>
      </c>
      <c r="F152" s="3">
        <v>44926</v>
      </c>
      <c r="G152" t="s">
        <v>135</v>
      </c>
      <c r="H152" s="3">
        <v>44562</v>
      </c>
      <c r="I152" s="3">
        <v>44926</v>
      </c>
      <c r="J152" t="s">
        <v>135</v>
      </c>
      <c r="K152">
        <v>976.7102582</v>
      </c>
      <c r="L152" t="s">
        <v>136</v>
      </c>
      <c r="M152" t="s">
        <v>82</v>
      </c>
      <c r="N152" t="s">
        <v>137</v>
      </c>
      <c r="O152" t="s">
        <v>631</v>
      </c>
      <c r="P152" t="s">
        <v>631</v>
      </c>
      <c r="Q152">
        <v>2022</v>
      </c>
      <c r="R152" t="s">
        <v>605</v>
      </c>
      <c r="S152" t="s">
        <v>606</v>
      </c>
      <c r="T152" t="s">
        <v>553</v>
      </c>
      <c r="U152" t="b">
        <v>0</v>
      </c>
      <c r="V152" t="s">
        <v>607</v>
      </c>
      <c r="W152" t="s">
        <v>587</v>
      </c>
      <c r="X152" t="s">
        <v>556</v>
      </c>
      <c r="Y152" t="s">
        <v>468</v>
      </c>
      <c r="AC152">
        <v>1</v>
      </c>
      <c r="AD152" t="s">
        <v>566</v>
      </c>
      <c r="AE152">
        <v>2.8617708240000002</v>
      </c>
      <c r="AF152">
        <v>1E-4</v>
      </c>
      <c r="AG152" t="s">
        <v>608</v>
      </c>
      <c r="AH152">
        <v>29.3001</v>
      </c>
      <c r="AI152">
        <v>28617.70824</v>
      </c>
      <c r="AJ152" t="s">
        <v>561</v>
      </c>
      <c r="AK152" t="s">
        <v>589</v>
      </c>
      <c r="AL152" t="s">
        <v>590</v>
      </c>
      <c r="AM152">
        <v>2022</v>
      </c>
      <c r="AN152">
        <v>2020</v>
      </c>
      <c r="AO152">
        <f>IF(AND(emissions[[#This Row],[Market-based]]=0,emissions[[#This Row],[Impact Type]]="CO2E"),emissions[[#This Row],[kgCO2e]],0)/1000</f>
        <v>0</v>
      </c>
      <c r="AP152">
        <f>IF(AND(emissions[[#This Row],[Market-based]]=1,OR(emissions[[#This Row],[Impact Type]]="CO2E",emissions[[#This Row],[Impact Type]]="CO2E MKT")),emissions[[#This Row],[kgCO2e]],0)/1000</f>
        <v>0</v>
      </c>
      <c r="AQ152" t="str">
        <f>_xlfn.TEXTAFTER(emissions[[#This Row],[Reporting Unit]]," &gt; ",LEN(emissions[[#This Row],[Reporting Unit]])-LEN(SUBSTITUTE(emissions[[#This Row],[Reporting Unit]],"&gt;","")))</f>
        <v>Vantage_Granollers</v>
      </c>
      <c r="AR152" t="str">
        <f>_xlfn.XLOOKUP(emissions[[#This Row],[Reporting unit name]],hierarchy!$A:$A,hierarchy!$C:$C)</f>
        <v>Labratory</v>
      </c>
    </row>
    <row r="153" spans="1:44" hidden="1" x14ac:dyDescent="0.25">
      <c r="A153">
        <v>1590442</v>
      </c>
      <c r="B153" t="s">
        <v>204</v>
      </c>
      <c r="C153" t="s">
        <v>475</v>
      </c>
      <c r="D153" t="s">
        <v>548</v>
      </c>
      <c r="E153" s="3">
        <v>44562</v>
      </c>
      <c r="F153" s="3">
        <v>44926</v>
      </c>
      <c r="G153" t="s">
        <v>135</v>
      </c>
      <c r="H153" s="3">
        <v>44562</v>
      </c>
      <c r="I153" s="3">
        <v>44926</v>
      </c>
      <c r="J153" t="s">
        <v>135</v>
      </c>
      <c r="K153">
        <v>976.7102582</v>
      </c>
      <c r="L153" t="s">
        <v>136</v>
      </c>
      <c r="M153" t="s">
        <v>82</v>
      </c>
      <c r="N153" t="s">
        <v>137</v>
      </c>
      <c r="O153" t="s">
        <v>631</v>
      </c>
      <c r="P153" t="s">
        <v>631</v>
      </c>
      <c r="Q153">
        <v>2022</v>
      </c>
      <c r="R153" t="s">
        <v>609</v>
      </c>
      <c r="S153" t="s">
        <v>610</v>
      </c>
      <c r="T153" t="s">
        <v>577</v>
      </c>
      <c r="U153" t="b">
        <v>0</v>
      </c>
      <c r="V153" t="s">
        <v>632</v>
      </c>
      <c r="W153" t="s">
        <v>571</v>
      </c>
      <c r="X153" t="s">
        <v>572</v>
      </c>
      <c r="Y153" t="s">
        <v>468</v>
      </c>
      <c r="AC153">
        <v>0</v>
      </c>
      <c r="AD153" t="s">
        <v>565</v>
      </c>
      <c r="AE153">
        <v>890.01072620000002</v>
      </c>
      <c r="AF153">
        <v>3.1099999999999999E-2</v>
      </c>
      <c r="AG153" t="s">
        <v>608</v>
      </c>
      <c r="AH153">
        <v>29.3001</v>
      </c>
      <c r="AI153">
        <v>28617.70824</v>
      </c>
      <c r="AJ153" t="s">
        <v>561</v>
      </c>
      <c r="AK153" t="s">
        <v>589</v>
      </c>
      <c r="AL153" t="s">
        <v>590</v>
      </c>
      <c r="AM153">
        <v>2022</v>
      </c>
      <c r="AN153">
        <v>2020</v>
      </c>
      <c r="AO153">
        <f>IF(AND(emissions[[#This Row],[Market-based]]=0,emissions[[#This Row],[Impact Type]]="CO2E"),emissions[[#This Row],[kgCO2e]],0)/1000</f>
        <v>0.89001072619999999</v>
      </c>
      <c r="AP153">
        <f>IF(AND(emissions[[#This Row],[Market-based]]=1,OR(emissions[[#This Row],[Impact Type]]="CO2E",emissions[[#This Row],[Impact Type]]="CO2E MKT")),emissions[[#This Row],[kgCO2e]],0)/1000</f>
        <v>0</v>
      </c>
      <c r="AQ153" t="str">
        <f>_xlfn.TEXTAFTER(emissions[[#This Row],[Reporting Unit]]," &gt; ",LEN(emissions[[#This Row],[Reporting Unit]])-LEN(SUBSTITUTE(emissions[[#This Row],[Reporting Unit]],"&gt;","")))</f>
        <v>Vantage_Granollers</v>
      </c>
      <c r="AR153" t="str">
        <f>_xlfn.XLOOKUP(emissions[[#This Row],[Reporting unit name]],hierarchy!$A:$A,hierarchy!$C:$C)</f>
        <v>Labratory</v>
      </c>
    </row>
    <row r="154" spans="1:44" hidden="1" x14ac:dyDescent="0.25">
      <c r="A154">
        <v>1590442</v>
      </c>
      <c r="B154" t="s">
        <v>204</v>
      </c>
      <c r="C154" t="s">
        <v>475</v>
      </c>
      <c r="D154" t="s">
        <v>548</v>
      </c>
      <c r="E154" s="3">
        <v>44562</v>
      </c>
      <c r="F154" s="3">
        <v>44926</v>
      </c>
      <c r="G154" t="s">
        <v>135</v>
      </c>
      <c r="H154" s="3">
        <v>44562</v>
      </c>
      <c r="I154" s="3">
        <v>44926</v>
      </c>
      <c r="J154" t="s">
        <v>135</v>
      </c>
      <c r="K154">
        <v>976.7102582</v>
      </c>
      <c r="L154" t="s">
        <v>136</v>
      </c>
      <c r="M154" t="s">
        <v>82</v>
      </c>
      <c r="N154" t="s">
        <v>137</v>
      </c>
      <c r="O154" t="s">
        <v>631</v>
      </c>
      <c r="P154" t="s">
        <v>631</v>
      </c>
      <c r="Q154">
        <v>2022</v>
      </c>
      <c r="R154" t="s">
        <v>609</v>
      </c>
      <c r="S154" t="s">
        <v>610</v>
      </c>
      <c r="T154" t="s">
        <v>577</v>
      </c>
      <c r="U154" t="b">
        <v>0</v>
      </c>
      <c r="V154" t="s">
        <v>632</v>
      </c>
      <c r="W154" t="s">
        <v>571</v>
      </c>
      <c r="X154" t="s">
        <v>572</v>
      </c>
      <c r="Y154" t="s">
        <v>468</v>
      </c>
      <c r="AC154">
        <v>1</v>
      </c>
      <c r="AD154" t="s">
        <v>565</v>
      </c>
      <c r="AE154">
        <v>890.01072620000002</v>
      </c>
      <c r="AF154">
        <v>3.1099999999999999E-2</v>
      </c>
      <c r="AG154" t="s">
        <v>608</v>
      </c>
      <c r="AH154">
        <v>29.3001</v>
      </c>
      <c r="AI154">
        <v>28617.70824</v>
      </c>
      <c r="AJ154" t="s">
        <v>561</v>
      </c>
      <c r="AK154" t="s">
        <v>589</v>
      </c>
      <c r="AL154" t="s">
        <v>590</v>
      </c>
      <c r="AM154">
        <v>2022</v>
      </c>
      <c r="AN154">
        <v>2020</v>
      </c>
      <c r="AO154">
        <f>IF(AND(emissions[[#This Row],[Market-based]]=0,emissions[[#This Row],[Impact Type]]="CO2E"),emissions[[#This Row],[kgCO2e]],0)/1000</f>
        <v>0</v>
      </c>
      <c r="AP154">
        <f>IF(AND(emissions[[#This Row],[Market-based]]=1,OR(emissions[[#This Row],[Impact Type]]="CO2E",emissions[[#This Row],[Impact Type]]="CO2E MKT")),emissions[[#This Row],[kgCO2e]],0)/1000</f>
        <v>0.89001072619999999</v>
      </c>
      <c r="AQ154" t="str">
        <f>_xlfn.TEXTAFTER(emissions[[#This Row],[Reporting Unit]]," &gt; ",LEN(emissions[[#This Row],[Reporting Unit]])-LEN(SUBSTITUTE(emissions[[#This Row],[Reporting Unit]],"&gt;","")))</f>
        <v>Vantage_Granollers</v>
      </c>
      <c r="AR154" t="str">
        <f>_xlfn.XLOOKUP(emissions[[#This Row],[Reporting unit name]],hierarchy!$A:$A,hierarchy!$C:$C)</f>
        <v>Labratory</v>
      </c>
    </row>
    <row r="155" spans="1:44" hidden="1" x14ac:dyDescent="0.25">
      <c r="A155">
        <v>291430</v>
      </c>
      <c r="B155" t="s">
        <v>204</v>
      </c>
      <c r="C155" t="s">
        <v>475</v>
      </c>
      <c r="D155" t="s">
        <v>548</v>
      </c>
      <c r="E155" s="3">
        <v>44562</v>
      </c>
      <c r="F155" s="3">
        <v>44926</v>
      </c>
      <c r="G155" t="s">
        <v>141</v>
      </c>
      <c r="H155" s="3">
        <v>44562</v>
      </c>
      <c r="I155" s="3">
        <v>44926</v>
      </c>
      <c r="J155" t="s">
        <v>147</v>
      </c>
      <c r="K155">
        <v>0</v>
      </c>
      <c r="L155" t="s">
        <v>207</v>
      </c>
      <c r="M155" t="s">
        <v>110</v>
      </c>
      <c r="O155" t="s">
        <v>636</v>
      </c>
      <c r="P155" t="s">
        <v>550</v>
      </c>
      <c r="Q155">
        <v>2022</v>
      </c>
      <c r="R155" t="s">
        <v>584</v>
      </c>
      <c r="S155" t="s">
        <v>585</v>
      </c>
      <c r="T155" t="s">
        <v>553</v>
      </c>
      <c r="U155" t="b">
        <v>0</v>
      </c>
      <c r="V155" t="s">
        <v>586</v>
      </c>
      <c r="W155" t="s">
        <v>587</v>
      </c>
      <c r="X155" t="s">
        <v>556</v>
      </c>
      <c r="Y155" t="s">
        <v>468</v>
      </c>
      <c r="AC155">
        <v>0</v>
      </c>
      <c r="AD155" t="s">
        <v>558</v>
      </c>
      <c r="AE155">
        <v>0</v>
      </c>
      <c r="AF155">
        <v>2.0000000000000002E-5</v>
      </c>
      <c r="AG155" t="s">
        <v>608</v>
      </c>
      <c r="AH155">
        <v>277.77777780000002</v>
      </c>
      <c r="AI155">
        <v>0</v>
      </c>
      <c r="AJ155" t="s">
        <v>561</v>
      </c>
      <c r="AK155" t="s">
        <v>589</v>
      </c>
      <c r="AL155" t="s">
        <v>590</v>
      </c>
      <c r="AM155">
        <v>2022</v>
      </c>
      <c r="AN155">
        <v>2020</v>
      </c>
      <c r="AO155">
        <f>IF(AND(emissions[[#This Row],[Market-based]]=0,emissions[[#This Row],[Impact Type]]="CO2E"),emissions[[#This Row],[kgCO2e]],0)/1000</f>
        <v>0</v>
      </c>
      <c r="AP155">
        <f>IF(AND(emissions[[#This Row],[Market-based]]=1,OR(emissions[[#This Row],[Impact Type]]="CO2E",emissions[[#This Row],[Impact Type]]="CO2E MKT")),emissions[[#This Row],[kgCO2e]],0)/1000</f>
        <v>0</v>
      </c>
      <c r="AQ155" t="str">
        <f>_xlfn.TEXTAFTER(emissions[[#This Row],[Reporting Unit]]," &gt; ",LEN(emissions[[#This Row],[Reporting Unit]])-LEN(SUBSTITUTE(emissions[[#This Row],[Reporting Unit]],"&gt;","")))</f>
        <v>Vantage_Granollers</v>
      </c>
      <c r="AR155" t="str">
        <f>_xlfn.XLOOKUP(emissions[[#This Row],[Reporting unit name]],hierarchy!$A:$A,hierarchy!$C:$C)</f>
        <v>Labratory</v>
      </c>
    </row>
    <row r="156" spans="1:44" hidden="1" x14ac:dyDescent="0.25">
      <c r="A156">
        <v>291430</v>
      </c>
      <c r="B156" t="s">
        <v>204</v>
      </c>
      <c r="C156" t="s">
        <v>475</v>
      </c>
      <c r="D156" t="s">
        <v>548</v>
      </c>
      <c r="E156" s="3">
        <v>44562</v>
      </c>
      <c r="F156" s="3">
        <v>44926</v>
      </c>
      <c r="G156" t="s">
        <v>141</v>
      </c>
      <c r="H156" s="3">
        <v>44562</v>
      </c>
      <c r="I156" s="3">
        <v>44926</v>
      </c>
      <c r="J156" t="s">
        <v>147</v>
      </c>
      <c r="K156">
        <v>0</v>
      </c>
      <c r="L156" t="s">
        <v>207</v>
      </c>
      <c r="M156" t="s">
        <v>110</v>
      </c>
      <c r="O156" t="s">
        <v>636</v>
      </c>
      <c r="P156" t="s">
        <v>550</v>
      </c>
      <c r="Q156">
        <v>2022</v>
      </c>
      <c r="R156" t="s">
        <v>584</v>
      </c>
      <c r="S156" t="s">
        <v>585</v>
      </c>
      <c r="T156" t="s">
        <v>553</v>
      </c>
      <c r="U156" t="b">
        <v>0</v>
      </c>
      <c r="V156" t="s">
        <v>586</v>
      </c>
      <c r="W156" t="s">
        <v>587</v>
      </c>
      <c r="X156" t="s">
        <v>556</v>
      </c>
      <c r="Y156" t="s">
        <v>468</v>
      </c>
      <c r="AC156">
        <v>0</v>
      </c>
      <c r="AD156" t="s">
        <v>564</v>
      </c>
      <c r="AE156">
        <v>0</v>
      </c>
      <c r="AF156">
        <v>0.23763999999999999</v>
      </c>
      <c r="AG156" t="s">
        <v>608</v>
      </c>
      <c r="AH156">
        <v>277.77777780000002</v>
      </c>
      <c r="AI156">
        <v>0</v>
      </c>
      <c r="AJ156" t="s">
        <v>561</v>
      </c>
      <c r="AK156" t="s">
        <v>589</v>
      </c>
      <c r="AL156" t="s">
        <v>590</v>
      </c>
      <c r="AM156">
        <v>2022</v>
      </c>
      <c r="AN156">
        <v>2020</v>
      </c>
      <c r="AO156">
        <f>IF(AND(emissions[[#This Row],[Market-based]]=0,emissions[[#This Row],[Impact Type]]="CO2E"),emissions[[#This Row],[kgCO2e]],0)/1000</f>
        <v>0</v>
      </c>
      <c r="AP156">
        <f>IF(AND(emissions[[#This Row],[Market-based]]=1,OR(emissions[[#This Row],[Impact Type]]="CO2E",emissions[[#This Row],[Impact Type]]="CO2E MKT")),emissions[[#This Row],[kgCO2e]],0)/1000</f>
        <v>0</v>
      </c>
      <c r="AQ156" t="str">
        <f>_xlfn.TEXTAFTER(emissions[[#This Row],[Reporting Unit]]," &gt; ",LEN(emissions[[#This Row],[Reporting Unit]])-LEN(SUBSTITUTE(emissions[[#This Row],[Reporting Unit]],"&gt;","")))</f>
        <v>Vantage_Granollers</v>
      </c>
      <c r="AR156" t="str">
        <f>_xlfn.XLOOKUP(emissions[[#This Row],[Reporting unit name]],hierarchy!$A:$A,hierarchy!$C:$C)</f>
        <v>Labratory</v>
      </c>
    </row>
    <row r="157" spans="1:44" hidden="1" x14ac:dyDescent="0.25">
      <c r="A157">
        <v>291430</v>
      </c>
      <c r="B157" t="s">
        <v>204</v>
      </c>
      <c r="C157" t="s">
        <v>475</v>
      </c>
      <c r="D157" t="s">
        <v>548</v>
      </c>
      <c r="E157" s="3">
        <v>44562</v>
      </c>
      <c r="F157" s="3">
        <v>44926</v>
      </c>
      <c r="G157" t="s">
        <v>141</v>
      </c>
      <c r="H157" s="3">
        <v>44562</v>
      </c>
      <c r="I157" s="3">
        <v>44926</v>
      </c>
      <c r="J157" t="s">
        <v>147</v>
      </c>
      <c r="K157">
        <v>0</v>
      </c>
      <c r="L157" t="s">
        <v>207</v>
      </c>
      <c r="M157" t="s">
        <v>110</v>
      </c>
      <c r="O157" t="s">
        <v>636</v>
      </c>
      <c r="P157" t="s">
        <v>550</v>
      </c>
      <c r="Q157">
        <v>2022</v>
      </c>
      <c r="R157" t="s">
        <v>584</v>
      </c>
      <c r="S157" t="s">
        <v>585</v>
      </c>
      <c r="T157" t="s">
        <v>553</v>
      </c>
      <c r="U157" t="b">
        <v>0</v>
      </c>
      <c r="V157" t="s">
        <v>586</v>
      </c>
      <c r="W157" t="s">
        <v>587</v>
      </c>
      <c r="X157" t="s">
        <v>556</v>
      </c>
      <c r="Y157" t="s">
        <v>468</v>
      </c>
      <c r="AC157">
        <v>0</v>
      </c>
      <c r="AD157" t="s">
        <v>565</v>
      </c>
      <c r="AE157">
        <v>0</v>
      </c>
      <c r="AF157">
        <v>0.24115</v>
      </c>
      <c r="AG157" t="s">
        <v>608</v>
      </c>
      <c r="AH157">
        <v>277.77777780000002</v>
      </c>
      <c r="AI157">
        <v>0</v>
      </c>
      <c r="AJ157" t="s">
        <v>561</v>
      </c>
      <c r="AK157" t="s">
        <v>589</v>
      </c>
      <c r="AL157" t="s">
        <v>590</v>
      </c>
      <c r="AM157">
        <v>2022</v>
      </c>
      <c r="AN157">
        <v>2020</v>
      </c>
      <c r="AO157">
        <f>IF(AND(emissions[[#This Row],[Market-based]]=0,emissions[[#This Row],[Impact Type]]="CO2E"),emissions[[#This Row],[kgCO2e]],0)/1000</f>
        <v>0</v>
      </c>
      <c r="AP157">
        <f>IF(AND(emissions[[#This Row],[Market-based]]=1,OR(emissions[[#This Row],[Impact Type]]="CO2E",emissions[[#This Row],[Impact Type]]="CO2E MKT")),emissions[[#This Row],[kgCO2e]],0)/1000</f>
        <v>0</v>
      </c>
      <c r="AQ157" t="str">
        <f>_xlfn.TEXTAFTER(emissions[[#This Row],[Reporting Unit]]," &gt; ",LEN(emissions[[#This Row],[Reporting Unit]])-LEN(SUBSTITUTE(emissions[[#This Row],[Reporting Unit]],"&gt;","")))</f>
        <v>Vantage_Granollers</v>
      </c>
      <c r="AR157" t="str">
        <f>_xlfn.XLOOKUP(emissions[[#This Row],[Reporting unit name]],hierarchy!$A:$A,hierarchy!$C:$C)</f>
        <v>Labratory</v>
      </c>
    </row>
    <row r="158" spans="1:44" hidden="1" x14ac:dyDescent="0.25">
      <c r="A158">
        <v>291430</v>
      </c>
      <c r="B158" t="s">
        <v>204</v>
      </c>
      <c r="C158" t="s">
        <v>475</v>
      </c>
      <c r="D158" t="s">
        <v>548</v>
      </c>
      <c r="E158" s="3">
        <v>44562</v>
      </c>
      <c r="F158" s="3">
        <v>44926</v>
      </c>
      <c r="G158" t="s">
        <v>141</v>
      </c>
      <c r="H158" s="3">
        <v>44562</v>
      </c>
      <c r="I158" s="3">
        <v>44926</v>
      </c>
      <c r="J158" t="s">
        <v>147</v>
      </c>
      <c r="K158">
        <v>0</v>
      </c>
      <c r="L158" t="s">
        <v>207</v>
      </c>
      <c r="M158" t="s">
        <v>110</v>
      </c>
      <c r="O158" t="s">
        <v>636</v>
      </c>
      <c r="P158" t="s">
        <v>550</v>
      </c>
      <c r="Q158">
        <v>2022</v>
      </c>
      <c r="R158" t="s">
        <v>584</v>
      </c>
      <c r="S158" t="s">
        <v>585</v>
      </c>
      <c r="T158" t="s">
        <v>553</v>
      </c>
      <c r="U158" t="b">
        <v>0</v>
      </c>
      <c r="V158" t="s">
        <v>586</v>
      </c>
      <c r="W158" t="s">
        <v>587</v>
      </c>
      <c r="X158" t="s">
        <v>556</v>
      </c>
      <c r="Y158" t="s">
        <v>468</v>
      </c>
      <c r="AC158">
        <v>0</v>
      </c>
      <c r="AD158" t="s">
        <v>566</v>
      </c>
      <c r="AE158">
        <v>0</v>
      </c>
      <c r="AF158">
        <v>3.49E-3</v>
      </c>
      <c r="AG158" t="s">
        <v>608</v>
      </c>
      <c r="AH158">
        <v>277.77777780000002</v>
      </c>
      <c r="AI158">
        <v>0</v>
      </c>
      <c r="AJ158" t="s">
        <v>561</v>
      </c>
      <c r="AK158" t="s">
        <v>589</v>
      </c>
      <c r="AL158" t="s">
        <v>590</v>
      </c>
      <c r="AM158">
        <v>2022</v>
      </c>
      <c r="AN158">
        <v>2020</v>
      </c>
      <c r="AO158">
        <f>IF(AND(emissions[[#This Row],[Market-based]]=0,emissions[[#This Row],[Impact Type]]="CO2E"),emissions[[#This Row],[kgCO2e]],0)/1000</f>
        <v>0</v>
      </c>
      <c r="AP158">
        <f>IF(AND(emissions[[#This Row],[Market-based]]=1,OR(emissions[[#This Row],[Impact Type]]="CO2E",emissions[[#This Row],[Impact Type]]="CO2E MKT")),emissions[[#This Row],[kgCO2e]],0)/1000</f>
        <v>0</v>
      </c>
      <c r="AQ158" t="str">
        <f>_xlfn.TEXTAFTER(emissions[[#This Row],[Reporting Unit]]," &gt; ",LEN(emissions[[#This Row],[Reporting Unit]])-LEN(SUBSTITUTE(emissions[[#This Row],[Reporting Unit]],"&gt;","")))</f>
        <v>Vantage_Granollers</v>
      </c>
      <c r="AR158" t="str">
        <f>_xlfn.XLOOKUP(emissions[[#This Row],[Reporting unit name]],hierarchy!$A:$A,hierarchy!$C:$C)</f>
        <v>Labratory</v>
      </c>
    </row>
    <row r="159" spans="1:44" hidden="1" x14ac:dyDescent="0.25">
      <c r="A159">
        <v>291430</v>
      </c>
      <c r="B159" t="s">
        <v>204</v>
      </c>
      <c r="C159" t="s">
        <v>475</v>
      </c>
      <c r="D159" t="s">
        <v>548</v>
      </c>
      <c r="E159" s="3">
        <v>44562</v>
      </c>
      <c r="F159" s="3">
        <v>44926</v>
      </c>
      <c r="G159" t="s">
        <v>141</v>
      </c>
      <c r="H159" s="3">
        <v>44562</v>
      </c>
      <c r="I159" s="3">
        <v>44926</v>
      </c>
      <c r="J159" t="s">
        <v>147</v>
      </c>
      <c r="K159">
        <v>0</v>
      </c>
      <c r="L159" t="s">
        <v>207</v>
      </c>
      <c r="M159" t="s">
        <v>110</v>
      </c>
      <c r="O159" t="s">
        <v>636</v>
      </c>
      <c r="P159" t="s">
        <v>550</v>
      </c>
      <c r="Q159">
        <v>2022</v>
      </c>
      <c r="R159" t="s">
        <v>584</v>
      </c>
      <c r="S159" t="s">
        <v>585</v>
      </c>
      <c r="T159" t="s">
        <v>553</v>
      </c>
      <c r="U159" t="b">
        <v>0</v>
      </c>
      <c r="V159" t="s">
        <v>586</v>
      </c>
      <c r="W159" t="s">
        <v>587</v>
      </c>
      <c r="X159" t="s">
        <v>556</v>
      </c>
      <c r="Y159" t="s">
        <v>468</v>
      </c>
      <c r="AC159">
        <v>1</v>
      </c>
      <c r="AD159" t="s">
        <v>558</v>
      </c>
      <c r="AE159">
        <v>0</v>
      </c>
      <c r="AF159">
        <v>2.0000000000000002E-5</v>
      </c>
      <c r="AG159" t="s">
        <v>608</v>
      </c>
      <c r="AH159">
        <v>277.77777780000002</v>
      </c>
      <c r="AI159">
        <v>0</v>
      </c>
      <c r="AJ159" t="s">
        <v>561</v>
      </c>
      <c r="AK159" t="s">
        <v>589</v>
      </c>
      <c r="AL159" t="s">
        <v>590</v>
      </c>
      <c r="AM159">
        <v>2022</v>
      </c>
      <c r="AN159">
        <v>2020</v>
      </c>
      <c r="AO159">
        <f>IF(AND(emissions[[#This Row],[Market-based]]=0,emissions[[#This Row],[Impact Type]]="CO2E"),emissions[[#This Row],[kgCO2e]],0)/1000</f>
        <v>0</v>
      </c>
      <c r="AP159">
        <f>IF(AND(emissions[[#This Row],[Market-based]]=1,OR(emissions[[#This Row],[Impact Type]]="CO2E",emissions[[#This Row],[Impact Type]]="CO2E MKT")),emissions[[#This Row],[kgCO2e]],0)/1000</f>
        <v>0</v>
      </c>
      <c r="AQ159" t="str">
        <f>_xlfn.TEXTAFTER(emissions[[#This Row],[Reporting Unit]]," &gt; ",LEN(emissions[[#This Row],[Reporting Unit]])-LEN(SUBSTITUTE(emissions[[#This Row],[Reporting Unit]],"&gt;","")))</f>
        <v>Vantage_Granollers</v>
      </c>
      <c r="AR159" t="str">
        <f>_xlfn.XLOOKUP(emissions[[#This Row],[Reporting unit name]],hierarchy!$A:$A,hierarchy!$C:$C)</f>
        <v>Labratory</v>
      </c>
    </row>
    <row r="160" spans="1:44" hidden="1" x14ac:dyDescent="0.25">
      <c r="A160">
        <v>291430</v>
      </c>
      <c r="B160" t="s">
        <v>204</v>
      </c>
      <c r="C160" t="s">
        <v>475</v>
      </c>
      <c r="D160" t="s">
        <v>548</v>
      </c>
      <c r="E160" s="3">
        <v>44562</v>
      </c>
      <c r="F160" s="3">
        <v>44926</v>
      </c>
      <c r="G160" t="s">
        <v>141</v>
      </c>
      <c r="H160" s="3">
        <v>44562</v>
      </c>
      <c r="I160" s="3">
        <v>44926</v>
      </c>
      <c r="J160" t="s">
        <v>147</v>
      </c>
      <c r="K160">
        <v>0</v>
      </c>
      <c r="L160" t="s">
        <v>207</v>
      </c>
      <c r="M160" t="s">
        <v>110</v>
      </c>
      <c r="O160" t="s">
        <v>636</v>
      </c>
      <c r="P160" t="s">
        <v>550</v>
      </c>
      <c r="Q160">
        <v>2022</v>
      </c>
      <c r="R160" t="s">
        <v>584</v>
      </c>
      <c r="S160" t="s">
        <v>585</v>
      </c>
      <c r="T160" t="s">
        <v>553</v>
      </c>
      <c r="U160" t="b">
        <v>0</v>
      </c>
      <c r="V160" t="s">
        <v>586</v>
      </c>
      <c r="W160" t="s">
        <v>587</v>
      </c>
      <c r="X160" t="s">
        <v>556</v>
      </c>
      <c r="Y160" t="s">
        <v>468</v>
      </c>
      <c r="AC160">
        <v>1</v>
      </c>
      <c r="AD160" t="s">
        <v>564</v>
      </c>
      <c r="AE160">
        <v>0</v>
      </c>
      <c r="AF160">
        <v>0.23763999999999999</v>
      </c>
      <c r="AG160" t="s">
        <v>608</v>
      </c>
      <c r="AH160">
        <v>277.77777780000002</v>
      </c>
      <c r="AI160">
        <v>0</v>
      </c>
      <c r="AJ160" t="s">
        <v>561</v>
      </c>
      <c r="AK160" t="s">
        <v>589</v>
      </c>
      <c r="AL160" t="s">
        <v>590</v>
      </c>
      <c r="AM160">
        <v>2022</v>
      </c>
      <c r="AN160">
        <v>2020</v>
      </c>
      <c r="AO160">
        <f>IF(AND(emissions[[#This Row],[Market-based]]=0,emissions[[#This Row],[Impact Type]]="CO2E"),emissions[[#This Row],[kgCO2e]],0)/1000</f>
        <v>0</v>
      </c>
      <c r="AP160">
        <f>IF(AND(emissions[[#This Row],[Market-based]]=1,OR(emissions[[#This Row],[Impact Type]]="CO2E",emissions[[#This Row],[Impact Type]]="CO2E MKT")),emissions[[#This Row],[kgCO2e]],0)/1000</f>
        <v>0</v>
      </c>
      <c r="AQ160" t="str">
        <f>_xlfn.TEXTAFTER(emissions[[#This Row],[Reporting Unit]]," &gt; ",LEN(emissions[[#This Row],[Reporting Unit]])-LEN(SUBSTITUTE(emissions[[#This Row],[Reporting Unit]],"&gt;","")))</f>
        <v>Vantage_Granollers</v>
      </c>
      <c r="AR160" t="str">
        <f>_xlfn.XLOOKUP(emissions[[#This Row],[Reporting unit name]],hierarchy!$A:$A,hierarchy!$C:$C)</f>
        <v>Labratory</v>
      </c>
    </row>
    <row r="161" spans="1:44" hidden="1" x14ac:dyDescent="0.25">
      <c r="A161">
        <v>291430</v>
      </c>
      <c r="B161" t="s">
        <v>204</v>
      </c>
      <c r="C161" t="s">
        <v>475</v>
      </c>
      <c r="D161" t="s">
        <v>548</v>
      </c>
      <c r="E161" s="3">
        <v>44562</v>
      </c>
      <c r="F161" s="3">
        <v>44926</v>
      </c>
      <c r="G161" t="s">
        <v>141</v>
      </c>
      <c r="H161" s="3">
        <v>44562</v>
      </c>
      <c r="I161" s="3">
        <v>44926</v>
      </c>
      <c r="J161" t="s">
        <v>147</v>
      </c>
      <c r="K161">
        <v>0</v>
      </c>
      <c r="L161" t="s">
        <v>207</v>
      </c>
      <c r="M161" t="s">
        <v>110</v>
      </c>
      <c r="O161" t="s">
        <v>636</v>
      </c>
      <c r="P161" t="s">
        <v>550</v>
      </c>
      <c r="Q161">
        <v>2022</v>
      </c>
      <c r="R161" t="s">
        <v>584</v>
      </c>
      <c r="S161" t="s">
        <v>585</v>
      </c>
      <c r="T161" t="s">
        <v>553</v>
      </c>
      <c r="U161" t="b">
        <v>0</v>
      </c>
      <c r="V161" t="s">
        <v>586</v>
      </c>
      <c r="W161" t="s">
        <v>587</v>
      </c>
      <c r="X161" t="s">
        <v>556</v>
      </c>
      <c r="Y161" t="s">
        <v>468</v>
      </c>
      <c r="AC161">
        <v>1</v>
      </c>
      <c r="AD161" t="s">
        <v>565</v>
      </c>
      <c r="AE161">
        <v>0</v>
      </c>
      <c r="AF161">
        <v>0.24115</v>
      </c>
      <c r="AG161" t="s">
        <v>608</v>
      </c>
      <c r="AH161">
        <v>277.77777780000002</v>
      </c>
      <c r="AI161">
        <v>0</v>
      </c>
      <c r="AJ161" t="s">
        <v>561</v>
      </c>
      <c r="AK161" t="s">
        <v>589</v>
      </c>
      <c r="AL161" t="s">
        <v>590</v>
      </c>
      <c r="AM161">
        <v>2022</v>
      </c>
      <c r="AN161">
        <v>2020</v>
      </c>
      <c r="AO161">
        <f>IF(AND(emissions[[#This Row],[Market-based]]=0,emissions[[#This Row],[Impact Type]]="CO2E"),emissions[[#This Row],[kgCO2e]],0)/1000</f>
        <v>0</v>
      </c>
      <c r="AP161">
        <f>IF(AND(emissions[[#This Row],[Market-based]]=1,OR(emissions[[#This Row],[Impact Type]]="CO2E",emissions[[#This Row],[Impact Type]]="CO2E MKT")),emissions[[#This Row],[kgCO2e]],0)/1000</f>
        <v>0</v>
      </c>
      <c r="AQ161" t="str">
        <f>_xlfn.TEXTAFTER(emissions[[#This Row],[Reporting Unit]]," &gt; ",LEN(emissions[[#This Row],[Reporting Unit]])-LEN(SUBSTITUTE(emissions[[#This Row],[Reporting Unit]],"&gt;","")))</f>
        <v>Vantage_Granollers</v>
      </c>
      <c r="AR161" t="str">
        <f>_xlfn.XLOOKUP(emissions[[#This Row],[Reporting unit name]],hierarchy!$A:$A,hierarchy!$C:$C)</f>
        <v>Labratory</v>
      </c>
    </row>
    <row r="162" spans="1:44" hidden="1" x14ac:dyDescent="0.25">
      <c r="A162">
        <v>291430</v>
      </c>
      <c r="B162" t="s">
        <v>204</v>
      </c>
      <c r="C162" t="s">
        <v>475</v>
      </c>
      <c r="D162" t="s">
        <v>548</v>
      </c>
      <c r="E162" s="3">
        <v>44562</v>
      </c>
      <c r="F162" s="3">
        <v>44926</v>
      </c>
      <c r="G162" t="s">
        <v>141</v>
      </c>
      <c r="H162" s="3">
        <v>44562</v>
      </c>
      <c r="I162" s="3">
        <v>44926</v>
      </c>
      <c r="J162" t="s">
        <v>147</v>
      </c>
      <c r="K162">
        <v>0</v>
      </c>
      <c r="L162" t="s">
        <v>207</v>
      </c>
      <c r="M162" t="s">
        <v>110</v>
      </c>
      <c r="O162" t="s">
        <v>636</v>
      </c>
      <c r="P162" t="s">
        <v>550</v>
      </c>
      <c r="Q162">
        <v>2022</v>
      </c>
      <c r="R162" t="s">
        <v>584</v>
      </c>
      <c r="S162" t="s">
        <v>585</v>
      </c>
      <c r="T162" t="s">
        <v>553</v>
      </c>
      <c r="U162" t="b">
        <v>0</v>
      </c>
      <c r="V162" t="s">
        <v>586</v>
      </c>
      <c r="W162" t="s">
        <v>587</v>
      </c>
      <c r="X162" t="s">
        <v>556</v>
      </c>
      <c r="Y162" t="s">
        <v>468</v>
      </c>
      <c r="AC162">
        <v>1</v>
      </c>
      <c r="AD162" t="s">
        <v>566</v>
      </c>
      <c r="AE162">
        <v>0</v>
      </c>
      <c r="AF162">
        <v>3.49E-3</v>
      </c>
      <c r="AG162" t="s">
        <v>608</v>
      </c>
      <c r="AH162">
        <v>277.77777780000002</v>
      </c>
      <c r="AI162">
        <v>0</v>
      </c>
      <c r="AJ162" t="s">
        <v>561</v>
      </c>
      <c r="AK162" t="s">
        <v>589</v>
      </c>
      <c r="AL162" t="s">
        <v>590</v>
      </c>
      <c r="AM162">
        <v>2022</v>
      </c>
      <c r="AN162">
        <v>2020</v>
      </c>
      <c r="AO162">
        <f>IF(AND(emissions[[#This Row],[Market-based]]=0,emissions[[#This Row],[Impact Type]]="CO2E"),emissions[[#This Row],[kgCO2e]],0)/1000</f>
        <v>0</v>
      </c>
      <c r="AP162">
        <f>IF(AND(emissions[[#This Row],[Market-based]]=1,OR(emissions[[#This Row],[Impact Type]]="CO2E",emissions[[#This Row],[Impact Type]]="CO2E MKT")),emissions[[#This Row],[kgCO2e]],0)/1000</f>
        <v>0</v>
      </c>
      <c r="AQ162" t="str">
        <f>_xlfn.TEXTAFTER(emissions[[#This Row],[Reporting Unit]]," &gt; ",LEN(emissions[[#This Row],[Reporting Unit]])-LEN(SUBSTITUTE(emissions[[#This Row],[Reporting Unit]],"&gt;","")))</f>
        <v>Vantage_Granollers</v>
      </c>
      <c r="AR162" t="str">
        <f>_xlfn.XLOOKUP(emissions[[#This Row],[Reporting unit name]],hierarchy!$A:$A,hierarchy!$C:$C)</f>
        <v>Labratory</v>
      </c>
    </row>
    <row r="163" spans="1:44" hidden="1" x14ac:dyDescent="0.25">
      <c r="A163">
        <v>291430</v>
      </c>
      <c r="B163" t="s">
        <v>204</v>
      </c>
      <c r="C163" t="s">
        <v>475</v>
      </c>
      <c r="D163" t="s">
        <v>548</v>
      </c>
      <c r="E163" s="3">
        <v>44562</v>
      </c>
      <c r="F163" s="3">
        <v>44926</v>
      </c>
      <c r="G163" t="s">
        <v>141</v>
      </c>
      <c r="H163" s="3">
        <v>44562</v>
      </c>
      <c r="I163" s="3">
        <v>44926</v>
      </c>
      <c r="J163" t="s">
        <v>147</v>
      </c>
      <c r="K163">
        <v>0</v>
      </c>
      <c r="L163" t="s">
        <v>207</v>
      </c>
      <c r="M163" t="s">
        <v>110</v>
      </c>
      <c r="O163" t="s">
        <v>636</v>
      </c>
      <c r="P163" t="s">
        <v>550</v>
      </c>
      <c r="Q163">
        <v>2022</v>
      </c>
      <c r="R163" t="s">
        <v>591</v>
      </c>
      <c r="S163" t="s">
        <v>592</v>
      </c>
      <c r="T163" t="s">
        <v>577</v>
      </c>
      <c r="U163" t="b">
        <v>0</v>
      </c>
      <c r="V163" t="s">
        <v>593</v>
      </c>
      <c r="W163" t="s">
        <v>571</v>
      </c>
      <c r="X163" t="s">
        <v>572</v>
      </c>
      <c r="Y163" t="s">
        <v>468</v>
      </c>
      <c r="AC163">
        <v>0</v>
      </c>
      <c r="AD163" t="s">
        <v>565</v>
      </c>
      <c r="AE163">
        <v>0</v>
      </c>
      <c r="AF163">
        <v>5.7500000000000002E-2</v>
      </c>
      <c r="AG163" t="s">
        <v>608</v>
      </c>
      <c r="AH163">
        <v>277.77777780000002</v>
      </c>
      <c r="AI163">
        <v>0</v>
      </c>
      <c r="AJ163" t="s">
        <v>561</v>
      </c>
      <c r="AK163" t="s">
        <v>589</v>
      </c>
      <c r="AL163" t="s">
        <v>590</v>
      </c>
      <c r="AM163">
        <v>2022</v>
      </c>
      <c r="AN163">
        <v>2020</v>
      </c>
      <c r="AO163">
        <f>IF(AND(emissions[[#This Row],[Market-based]]=0,emissions[[#This Row],[Impact Type]]="CO2E"),emissions[[#This Row],[kgCO2e]],0)/1000</f>
        <v>0</v>
      </c>
      <c r="AP163">
        <f>IF(AND(emissions[[#This Row],[Market-based]]=1,OR(emissions[[#This Row],[Impact Type]]="CO2E",emissions[[#This Row],[Impact Type]]="CO2E MKT")),emissions[[#This Row],[kgCO2e]],0)/1000</f>
        <v>0</v>
      </c>
      <c r="AQ163" t="str">
        <f>_xlfn.TEXTAFTER(emissions[[#This Row],[Reporting Unit]]," &gt; ",LEN(emissions[[#This Row],[Reporting Unit]])-LEN(SUBSTITUTE(emissions[[#This Row],[Reporting Unit]],"&gt;","")))</f>
        <v>Vantage_Granollers</v>
      </c>
      <c r="AR163" t="str">
        <f>_xlfn.XLOOKUP(emissions[[#This Row],[Reporting unit name]],hierarchy!$A:$A,hierarchy!$C:$C)</f>
        <v>Labratory</v>
      </c>
    </row>
    <row r="164" spans="1:44" hidden="1" x14ac:dyDescent="0.25">
      <c r="A164">
        <v>291430</v>
      </c>
      <c r="B164" t="s">
        <v>204</v>
      </c>
      <c r="C164" t="s">
        <v>475</v>
      </c>
      <c r="D164" t="s">
        <v>548</v>
      </c>
      <c r="E164" s="3">
        <v>44562</v>
      </c>
      <c r="F164" s="3">
        <v>44926</v>
      </c>
      <c r="G164" t="s">
        <v>141</v>
      </c>
      <c r="H164" s="3">
        <v>44562</v>
      </c>
      <c r="I164" s="3">
        <v>44926</v>
      </c>
      <c r="J164" t="s">
        <v>147</v>
      </c>
      <c r="K164">
        <v>0</v>
      </c>
      <c r="L164" t="s">
        <v>207</v>
      </c>
      <c r="M164" t="s">
        <v>110</v>
      </c>
      <c r="O164" t="s">
        <v>636</v>
      </c>
      <c r="P164" t="s">
        <v>550</v>
      </c>
      <c r="Q164">
        <v>2022</v>
      </c>
      <c r="R164" t="s">
        <v>591</v>
      </c>
      <c r="S164" t="s">
        <v>592</v>
      </c>
      <c r="T164" t="s">
        <v>577</v>
      </c>
      <c r="U164" t="b">
        <v>0</v>
      </c>
      <c r="V164" t="s">
        <v>593</v>
      </c>
      <c r="W164" t="s">
        <v>571</v>
      </c>
      <c r="X164" t="s">
        <v>572</v>
      </c>
      <c r="Y164" t="s">
        <v>468</v>
      </c>
      <c r="AC164">
        <v>1</v>
      </c>
      <c r="AD164" t="s">
        <v>565</v>
      </c>
      <c r="AE164">
        <v>0</v>
      </c>
      <c r="AF164">
        <v>5.7500000000000002E-2</v>
      </c>
      <c r="AG164" t="s">
        <v>608</v>
      </c>
      <c r="AH164">
        <v>277.77777780000002</v>
      </c>
      <c r="AI164">
        <v>0</v>
      </c>
      <c r="AJ164" t="s">
        <v>561</v>
      </c>
      <c r="AK164" t="s">
        <v>589</v>
      </c>
      <c r="AL164" t="s">
        <v>590</v>
      </c>
      <c r="AM164">
        <v>2022</v>
      </c>
      <c r="AN164">
        <v>2020</v>
      </c>
      <c r="AO164">
        <f>IF(AND(emissions[[#This Row],[Market-based]]=0,emissions[[#This Row],[Impact Type]]="CO2E"),emissions[[#This Row],[kgCO2e]],0)/1000</f>
        <v>0</v>
      </c>
      <c r="AP164">
        <f>IF(AND(emissions[[#This Row],[Market-based]]=1,OR(emissions[[#This Row],[Impact Type]]="CO2E",emissions[[#This Row],[Impact Type]]="CO2E MKT")),emissions[[#This Row],[kgCO2e]],0)/1000</f>
        <v>0</v>
      </c>
      <c r="AQ164" t="str">
        <f>_xlfn.TEXTAFTER(emissions[[#This Row],[Reporting Unit]]," &gt; ",LEN(emissions[[#This Row],[Reporting Unit]])-LEN(SUBSTITUTE(emissions[[#This Row],[Reporting Unit]],"&gt;","")))</f>
        <v>Vantage_Granollers</v>
      </c>
      <c r="AR164" t="str">
        <f>_xlfn.XLOOKUP(emissions[[#This Row],[Reporting unit name]],hierarchy!$A:$A,hierarchy!$C:$C)</f>
        <v>Labratory</v>
      </c>
    </row>
    <row r="165" spans="1:44" hidden="1" x14ac:dyDescent="0.25">
      <c r="A165">
        <v>1590450</v>
      </c>
      <c r="B165" t="s">
        <v>204</v>
      </c>
      <c r="C165" t="s">
        <v>475</v>
      </c>
      <c r="D165" t="s">
        <v>548</v>
      </c>
      <c r="E165" s="3">
        <v>44562</v>
      </c>
      <c r="F165" s="3">
        <v>44926</v>
      </c>
      <c r="G165" t="s">
        <v>116</v>
      </c>
      <c r="H165" s="3">
        <v>44562</v>
      </c>
      <c r="I165" s="3">
        <v>44926</v>
      </c>
      <c r="J165" t="s">
        <v>117</v>
      </c>
      <c r="K165">
        <v>0.71041739999999998</v>
      </c>
      <c r="L165" t="s">
        <v>118</v>
      </c>
      <c r="M165" t="s">
        <v>82</v>
      </c>
      <c r="N165" t="s">
        <v>120</v>
      </c>
      <c r="O165" t="s">
        <v>631</v>
      </c>
      <c r="P165" t="s">
        <v>631</v>
      </c>
      <c r="Q165">
        <v>2022</v>
      </c>
      <c r="R165" t="s">
        <v>619</v>
      </c>
      <c r="S165" t="s">
        <v>620</v>
      </c>
      <c r="T165" t="s">
        <v>553</v>
      </c>
      <c r="U165" t="b">
        <v>0</v>
      </c>
      <c r="V165" t="s">
        <v>621</v>
      </c>
      <c r="W165" t="s">
        <v>587</v>
      </c>
      <c r="X165" t="s">
        <v>556</v>
      </c>
      <c r="AC165">
        <v>0</v>
      </c>
      <c r="AD165" t="s">
        <v>565</v>
      </c>
      <c r="AE165">
        <v>1015.896882</v>
      </c>
      <c r="AF165">
        <v>1430</v>
      </c>
      <c r="AG165" t="s">
        <v>622</v>
      </c>
      <c r="AH165">
        <v>1</v>
      </c>
      <c r="AI165">
        <v>0.71041739999999998</v>
      </c>
      <c r="AJ165" t="s">
        <v>561</v>
      </c>
      <c r="AK165" t="s">
        <v>623</v>
      </c>
      <c r="AL165" t="s">
        <v>624</v>
      </c>
      <c r="AM165">
        <v>2022</v>
      </c>
      <c r="AN165">
        <v>2007</v>
      </c>
      <c r="AO165">
        <f>IF(AND(emissions[[#This Row],[Market-based]]=0,emissions[[#This Row],[Impact Type]]="CO2E"),emissions[[#This Row],[kgCO2e]],0)/1000</f>
        <v>1.0158968820000001</v>
      </c>
      <c r="AP165">
        <f>IF(AND(emissions[[#This Row],[Market-based]]=1,OR(emissions[[#This Row],[Impact Type]]="CO2E",emissions[[#This Row],[Impact Type]]="CO2E MKT")),emissions[[#This Row],[kgCO2e]],0)/1000</f>
        <v>0</v>
      </c>
      <c r="AQ165" t="str">
        <f>_xlfn.TEXTAFTER(emissions[[#This Row],[Reporting Unit]]," &gt; ",LEN(emissions[[#This Row],[Reporting Unit]])-LEN(SUBSTITUTE(emissions[[#This Row],[Reporting Unit]],"&gt;","")))</f>
        <v>Vantage_Granollers</v>
      </c>
      <c r="AR165" t="str">
        <f>_xlfn.XLOOKUP(emissions[[#This Row],[Reporting unit name]],hierarchy!$A:$A,hierarchy!$C:$C)</f>
        <v>Labratory</v>
      </c>
    </row>
    <row r="166" spans="1:44" hidden="1" x14ac:dyDescent="0.25">
      <c r="A166">
        <v>1590450</v>
      </c>
      <c r="B166" t="s">
        <v>204</v>
      </c>
      <c r="C166" t="s">
        <v>475</v>
      </c>
      <c r="D166" t="s">
        <v>548</v>
      </c>
      <c r="E166" s="3">
        <v>44562</v>
      </c>
      <c r="F166" s="3">
        <v>44926</v>
      </c>
      <c r="G166" t="s">
        <v>116</v>
      </c>
      <c r="H166" s="3">
        <v>44562</v>
      </c>
      <c r="I166" s="3">
        <v>44926</v>
      </c>
      <c r="J166" t="s">
        <v>117</v>
      </c>
      <c r="K166">
        <v>0.71041739999999998</v>
      </c>
      <c r="L166" t="s">
        <v>118</v>
      </c>
      <c r="M166" t="s">
        <v>82</v>
      </c>
      <c r="N166" t="s">
        <v>120</v>
      </c>
      <c r="O166" t="s">
        <v>631</v>
      </c>
      <c r="P166" t="s">
        <v>631</v>
      </c>
      <c r="Q166">
        <v>2022</v>
      </c>
      <c r="R166" t="s">
        <v>619</v>
      </c>
      <c r="S166" t="s">
        <v>620</v>
      </c>
      <c r="T166" t="s">
        <v>553</v>
      </c>
      <c r="U166" t="b">
        <v>0</v>
      </c>
      <c r="V166" t="s">
        <v>621</v>
      </c>
      <c r="W166" t="s">
        <v>587</v>
      </c>
      <c r="X166" t="s">
        <v>556</v>
      </c>
      <c r="AC166">
        <v>1</v>
      </c>
      <c r="AD166" t="s">
        <v>565</v>
      </c>
      <c r="AE166">
        <v>1015.896882</v>
      </c>
      <c r="AF166">
        <v>1430</v>
      </c>
      <c r="AG166" t="s">
        <v>622</v>
      </c>
      <c r="AH166">
        <v>1</v>
      </c>
      <c r="AI166">
        <v>0.71041739999999998</v>
      </c>
      <c r="AJ166" t="s">
        <v>561</v>
      </c>
      <c r="AK166" t="s">
        <v>623</v>
      </c>
      <c r="AL166" t="s">
        <v>624</v>
      </c>
      <c r="AM166">
        <v>2022</v>
      </c>
      <c r="AN166">
        <v>2007</v>
      </c>
      <c r="AO166">
        <f>IF(AND(emissions[[#This Row],[Market-based]]=0,emissions[[#This Row],[Impact Type]]="CO2E"),emissions[[#This Row],[kgCO2e]],0)/1000</f>
        <v>0</v>
      </c>
      <c r="AP166">
        <f>IF(AND(emissions[[#This Row],[Market-based]]=1,OR(emissions[[#This Row],[Impact Type]]="CO2E",emissions[[#This Row],[Impact Type]]="CO2E MKT")),emissions[[#This Row],[kgCO2e]],0)/1000</f>
        <v>1.0158968820000001</v>
      </c>
      <c r="AQ166" t="str">
        <f>_xlfn.TEXTAFTER(emissions[[#This Row],[Reporting Unit]]," &gt; ",LEN(emissions[[#This Row],[Reporting Unit]])-LEN(SUBSTITUTE(emissions[[#This Row],[Reporting Unit]],"&gt;","")))</f>
        <v>Vantage_Granollers</v>
      </c>
      <c r="AR166" t="str">
        <f>_xlfn.XLOOKUP(emissions[[#This Row],[Reporting unit name]],hierarchy!$A:$A,hierarchy!$C:$C)</f>
        <v>Labratory</v>
      </c>
    </row>
    <row r="167" spans="1:44" hidden="1" x14ac:dyDescent="0.25">
      <c r="A167">
        <v>291432</v>
      </c>
      <c r="B167" t="s">
        <v>204</v>
      </c>
      <c r="C167" t="s">
        <v>475</v>
      </c>
      <c r="D167" t="s">
        <v>548</v>
      </c>
      <c r="E167" s="3">
        <v>44562</v>
      </c>
      <c r="F167" s="3">
        <v>44926</v>
      </c>
      <c r="G167" t="s">
        <v>121</v>
      </c>
      <c r="H167" s="3">
        <v>44562</v>
      </c>
      <c r="I167" s="3">
        <v>44926</v>
      </c>
      <c r="J167" t="s">
        <v>150</v>
      </c>
      <c r="K167">
        <v>0</v>
      </c>
      <c r="L167" t="s">
        <v>207</v>
      </c>
      <c r="M167" t="s">
        <v>110</v>
      </c>
      <c r="O167" t="s">
        <v>636</v>
      </c>
      <c r="P167" t="s">
        <v>550</v>
      </c>
      <c r="Q167">
        <v>2022</v>
      </c>
      <c r="R167" t="s">
        <v>594</v>
      </c>
      <c r="S167" t="s">
        <v>150</v>
      </c>
      <c r="T167" t="s">
        <v>553</v>
      </c>
      <c r="U167" t="b">
        <v>0</v>
      </c>
      <c r="V167" t="s">
        <v>595</v>
      </c>
      <c r="W167" t="s">
        <v>587</v>
      </c>
      <c r="X167" t="s">
        <v>556</v>
      </c>
      <c r="Y167" t="s">
        <v>468</v>
      </c>
      <c r="AC167">
        <v>0</v>
      </c>
      <c r="AD167" t="s">
        <v>558</v>
      </c>
      <c r="AE167">
        <v>0</v>
      </c>
      <c r="AF167">
        <v>1.6000000000000001E-4</v>
      </c>
      <c r="AG167" t="s">
        <v>608</v>
      </c>
      <c r="AH167">
        <v>277.77777780000002</v>
      </c>
      <c r="AI167">
        <v>0</v>
      </c>
      <c r="AJ167" t="s">
        <v>561</v>
      </c>
      <c r="AK167" t="s">
        <v>589</v>
      </c>
      <c r="AL167" t="s">
        <v>590</v>
      </c>
      <c r="AM167">
        <v>2022</v>
      </c>
      <c r="AN167">
        <v>2020</v>
      </c>
      <c r="AO167">
        <f>IF(AND(emissions[[#This Row],[Market-based]]=0,emissions[[#This Row],[Impact Type]]="CO2E"),emissions[[#This Row],[kgCO2e]],0)/1000</f>
        <v>0</v>
      </c>
      <c r="AP167">
        <f>IF(AND(emissions[[#This Row],[Market-based]]=1,OR(emissions[[#This Row],[Impact Type]]="CO2E",emissions[[#This Row],[Impact Type]]="CO2E MKT")),emissions[[#This Row],[kgCO2e]],0)/1000</f>
        <v>0</v>
      </c>
      <c r="AQ167" t="str">
        <f>_xlfn.TEXTAFTER(emissions[[#This Row],[Reporting Unit]]," &gt; ",LEN(emissions[[#This Row],[Reporting Unit]])-LEN(SUBSTITUTE(emissions[[#This Row],[Reporting Unit]],"&gt;","")))</f>
        <v>Vantage_Granollers</v>
      </c>
      <c r="AR167" t="str">
        <f>_xlfn.XLOOKUP(emissions[[#This Row],[Reporting unit name]],hierarchy!$A:$A,hierarchy!$C:$C)</f>
        <v>Labratory</v>
      </c>
    </row>
    <row r="168" spans="1:44" hidden="1" x14ac:dyDescent="0.25">
      <c r="A168">
        <v>291432</v>
      </c>
      <c r="B168" t="s">
        <v>204</v>
      </c>
      <c r="C168" t="s">
        <v>475</v>
      </c>
      <c r="D168" t="s">
        <v>548</v>
      </c>
      <c r="E168" s="3">
        <v>44562</v>
      </c>
      <c r="F168" s="3">
        <v>44926</v>
      </c>
      <c r="G168" t="s">
        <v>121</v>
      </c>
      <c r="H168" s="3">
        <v>44562</v>
      </c>
      <c r="I168" s="3">
        <v>44926</v>
      </c>
      <c r="J168" t="s">
        <v>150</v>
      </c>
      <c r="K168">
        <v>0</v>
      </c>
      <c r="L168" t="s">
        <v>207</v>
      </c>
      <c r="M168" t="s">
        <v>110</v>
      </c>
      <c r="O168" t="s">
        <v>636</v>
      </c>
      <c r="P168" t="s">
        <v>550</v>
      </c>
      <c r="Q168">
        <v>2022</v>
      </c>
      <c r="R168" t="s">
        <v>594</v>
      </c>
      <c r="S168" t="s">
        <v>150</v>
      </c>
      <c r="T168" t="s">
        <v>553</v>
      </c>
      <c r="U168" t="b">
        <v>0</v>
      </c>
      <c r="V168" t="s">
        <v>595</v>
      </c>
      <c r="W168" t="s">
        <v>587</v>
      </c>
      <c r="X168" t="s">
        <v>556</v>
      </c>
      <c r="Y168" t="s">
        <v>468</v>
      </c>
      <c r="AC168">
        <v>0</v>
      </c>
      <c r="AD168" t="s">
        <v>564</v>
      </c>
      <c r="AE168">
        <v>0</v>
      </c>
      <c r="AF168">
        <v>0.21381</v>
      </c>
      <c r="AG168" t="s">
        <v>608</v>
      </c>
      <c r="AH168">
        <v>277.77777780000002</v>
      </c>
      <c r="AI168">
        <v>0</v>
      </c>
      <c r="AJ168" t="s">
        <v>561</v>
      </c>
      <c r="AK168" t="s">
        <v>589</v>
      </c>
      <c r="AL168" t="s">
        <v>590</v>
      </c>
      <c r="AM168">
        <v>2022</v>
      </c>
      <c r="AN168">
        <v>2020</v>
      </c>
      <c r="AO168">
        <f>IF(AND(emissions[[#This Row],[Market-based]]=0,emissions[[#This Row],[Impact Type]]="CO2E"),emissions[[#This Row],[kgCO2e]],0)/1000</f>
        <v>0</v>
      </c>
      <c r="AP168">
        <f>IF(AND(emissions[[#This Row],[Market-based]]=1,OR(emissions[[#This Row],[Impact Type]]="CO2E",emissions[[#This Row],[Impact Type]]="CO2E MKT")),emissions[[#This Row],[kgCO2e]],0)/1000</f>
        <v>0</v>
      </c>
      <c r="AQ168" t="str">
        <f>_xlfn.TEXTAFTER(emissions[[#This Row],[Reporting Unit]]," &gt; ",LEN(emissions[[#This Row],[Reporting Unit]])-LEN(SUBSTITUTE(emissions[[#This Row],[Reporting Unit]],"&gt;","")))</f>
        <v>Vantage_Granollers</v>
      </c>
      <c r="AR168" t="str">
        <f>_xlfn.XLOOKUP(emissions[[#This Row],[Reporting unit name]],hierarchy!$A:$A,hierarchy!$C:$C)</f>
        <v>Labratory</v>
      </c>
    </row>
    <row r="169" spans="1:44" hidden="1" x14ac:dyDescent="0.25">
      <c r="A169">
        <v>291432</v>
      </c>
      <c r="B169" t="s">
        <v>204</v>
      </c>
      <c r="C169" t="s">
        <v>475</v>
      </c>
      <c r="D169" t="s">
        <v>548</v>
      </c>
      <c r="E169" s="3">
        <v>44562</v>
      </c>
      <c r="F169" s="3">
        <v>44926</v>
      </c>
      <c r="G169" t="s">
        <v>121</v>
      </c>
      <c r="H169" s="3">
        <v>44562</v>
      </c>
      <c r="I169" s="3">
        <v>44926</v>
      </c>
      <c r="J169" t="s">
        <v>150</v>
      </c>
      <c r="K169">
        <v>0</v>
      </c>
      <c r="L169" t="s">
        <v>207</v>
      </c>
      <c r="M169" t="s">
        <v>110</v>
      </c>
      <c r="O169" t="s">
        <v>636</v>
      </c>
      <c r="P169" t="s">
        <v>550</v>
      </c>
      <c r="Q169">
        <v>2022</v>
      </c>
      <c r="R169" t="s">
        <v>594</v>
      </c>
      <c r="S169" t="s">
        <v>150</v>
      </c>
      <c r="T169" t="s">
        <v>553</v>
      </c>
      <c r="U169" t="b">
        <v>0</v>
      </c>
      <c r="V169" t="s">
        <v>595</v>
      </c>
      <c r="W169" t="s">
        <v>587</v>
      </c>
      <c r="X169" t="s">
        <v>556</v>
      </c>
      <c r="Y169" t="s">
        <v>468</v>
      </c>
      <c r="AC169">
        <v>0</v>
      </c>
      <c r="AD169" t="s">
        <v>565</v>
      </c>
      <c r="AE169">
        <v>0</v>
      </c>
      <c r="AF169">
        <v>0.21410000000000001</v>
      </c>
      <c r="AG169" t="s">
        <v>608</v>
      </c>
      <c r="AH169">
        <v>277.77777780000002</v>
      </c>
      <c r="AI169">
        <v>0</v>
      </c>
      <c r="AJ169" t="s">
        <v>561</v>
      </c>
      <c r="AK169" t="s">
        <v>589</v>
      </c>
      <c r="AL169" t="s">
        <v>590</v>
      </c>
      <c r="AM169">
        <v>2022</v>
      </c>
      <c r="AN169">
        <v>2020</v>
      </c>
      <c r="AO169">
        <f>IF(AND(emissions[[#This Row],[Market-based]]=0,emissions[[#This Row],[Impact Type]]="CO2E"),emissions[[#This Row],[kgCO2e]],0)/1000</f>
        <v>0</v>
      </c>
      <c r="AP169">
        <f>IF(AND(emissions[[#This Row],[Market-based]]=1,OR(emissions[[#This Row],[Impact Type]]="CO2E",emissions[[#This Row],[Impact Type]]="CO2E MKT")),emissions[[#This Row],[kgCO2e]],0)/1000</f>
        <v>0</v>
      </c>
      <c r="AQ169" t="str">
        <f>_xlfn.TEXTAFTER(emissions[[#This Row],[Reporting Unit]]," &gt; ",LEN(emissions[[#This Row],[Reporting Unit]])-LEN(SUBSTITUTE(emissions[[#This Row],[Reporting Unit]],"&gt;","")))</f>
        <v>Vantage_Granollers</v>
      </c>
      <c r="AR169" t="str">
        <f>_xlfn.XLOOKUP(emissions[[#This Row],[Reporting unit name]],hierarchy!$A:$A,hierarchy!$C:$C)</f>
        <v>Labratory</v>
      </c>
    </row>
    <row r="170" spans="1:44" hidden="1" x14ac:dyDescent="0.25">
      <c r="A170">
        <v>291432</v>
      </c>
      <c r="B170" t="s">
        <v>204</v>
      </c>
      <c r="C170" t="s">
        <v>475</v>
      </c>
      <c r="D170" t="s">
        <v>548</v>
      </c>
      <c r="E170" s="3">
        <v>44562</v>
      </c>
      <c r="F170" s="3">
        <v>44926</v>
      </c>
      <c r="G170" t="s">
        <v>121</v>
      </c>
      <c r="H170" s="3">
        <v>44562</v>
      </c>
      <c r="I170" s="3">
        <v>44926</v>
      </c>
      <c r="J170" t="s">
        <v>150</v>
      </c>
      <c r="K170">
        <v>0</v>
      </c>
      <c r="L170" t="s">
        <v>207</v>
      </c>
      <c r="M170" t="s">
        <v>110</v>
      </c>
      <c r="O170" t="s">
        <v>636</v>
      </c>
      <c r="P170" t="s">
        <v>550</v>
      </c>
      <c r="Q170">
        <v>2022</v>
      </c>
      <c r="R170" t="s">
        <v>594</v>
      </c>
      <c r="S170" t="s">
        <v>150</v>
      </c>
      <c r="T170" t="s">
        <v>553</v>
      </c>
      <c r="U170" t="b">
        <v>0</v>
      </c>
      <c r="V170" t="s">
        <v>595</v>
      </c>
      <c r="W170" t="s">
        <v>587</v>
      </c>
      <c r="X170" t="s">
        <v>556</v>
      </c>
      <c r="Y170" t="s">
        <v>468</v>
      </c>
      <c r="AC170">
        <v>0</v>
      </c>
      <c r="AD170" t="s">
        <v>566</v>
      </c>
      <c r="AE170">
        <v>0</v>
      </c>
      <c r="AF170">
        <v>1.2999999999999999E-4</v>
      </c>
      <c r="AG170" t="s">
        <v>608</v>
      </c>
      <c r="AH170">
        <v>277.77777780000002</v>
      </c>
      <c r="AI170">
        <v>0</v>
      </c>
      <c r="AJ170" t="s">
        <v>561</v>
      </c>
      <c r="AK170" t="s">
        <v>589</v>
      </c>
      <c r="AL170" t="s">
        <v>590</v>
      </c>
      <c r="AM170">
        <v>2022</v>
      </c>
      <c r="AN170">
        <v>2020</v>
      </c>
      <c r="AO170">
        <f>IF(AND(emissions[[#This Row],[Market-based]]=0,emissions[[#This Row],[Impact Type]]="CO2E"),emissions[[#This Row],[kgCO2e]],0)/1000</f>
        <v>0</v>
      </c>
      <c r="AP170">
        <f>IF(AND(emissions[[#This Row],[Market-based]]=1,OR(emissions[[#This Row],[Impact Type]]="CO2E",emissions[[#This Row],[Impact Type]]="CO2E MKT")),emissions[[#This Row],[kgCO2e]],0)/1000</f>
        <v>0</v>
      </c>
      <c r="AQ170" t="str">
        <f>_xlfn.TEXTAFTER(emissions[[#This Row],[Reporting Unit]]," &gt; ",LEN(emissions[[#This Row],[Reporting Unit]])-LEN(SUBSTITUTE(emissions[[#This Row],[Reporting Unit]],"&gt;","")))</f>
        <v>Vantage_Granollers</v>
      </c>
      <c r="AR170" t="str">
        <f>_xlfn.XLOOKUP(emissions[[#This Row],[Reporting unit name]],hierarchy!$A:$A,hierarchy!$C:$C)</f>
        <v>Labratory</v>
      </c>
    </row>
    <row r="171" spans="1:44" hidden="1" x14ac:dyDescent="0.25">
      <c r="A171">
        <v>291432</v>
      </c>
      <c r="B171" t="s">
        <v>204</v>
      </c>
      <c r="C171" t="s">
        <v>475</v>
      </c>
      <c r="D171" t="s">
        <v>548</v>
      </c>
      <c r="E171" s="3">
        <v>44562</v>
      </c>
      <c r="F171" s="3">
        <v>44926</v>
      </c>
      <c r="G171" t="s">
        <v>121</v>
      </c>
      <c r="H171" s="3">
        <v>44562</v>
      </c>
      <c r="I171" s="3">
        <v>44926</v>
      </c>
      <c r="J171" t="s">
        <v>150</v>
      </c>
      <c r="K171">
        <v>0</v>
      </c>
      <c r="L171" t="s">
        <v>207</v>
      </c>
      <c r="M171" t="s">
        <v>110</v>
      </c>
      <c r="O171" t="s">
        <v>636</v>
      </c>
      <c r="P171" t="s">
        <v>550</v>
      </c>
      <c r="Q171">
        <v>2022</v>
      </c>
      <c r="R171" t="s">
        <v>594</v>
      </c>
      <c r="S171" t="s">
        <v>150</v>
      </c>
      <c r="T171" t="s">
        <v>553</v>
      </c>
      <c r="U171" t="b">
        <v>0</v>
      </c>
      <c r="V171" t="s">
        <v>595</v>
      </c>
      <c r="W171" t="s">
        <v>587</v>
      </c>
      <c r="X171" t="s">
        <v>556</v>
      </c>
      <c r="Y171" t="s">
        <v>468</v>
      </c>
      <c r="AC171">
        <v>1</v>
      </c>
      <c r="AD171" t="s">
        <v>558</v>
      </c>
      <c r="AE171">
        <v>0</v>
      </c>
      <c r="AF171">
        <v>1.6000000000000001E-4</v>
      </c>
      <c r="AG171" t="s">
        <v>608</v>
      </c>
      <c r="AH171">
        <v>277.77777780000002</v>
      </c>
      <c r="AI171">
        <v>0</v>
      </c>
      <c r="AJ171" t="s">
        <v>561</v>
      </c>
      <c r="AK171" t="s">
        <v>589</v>
      </c>
      <c r="AL171" t="s">
        <v>590</v>
      </c>
      <c r="AM171">
        <v>2022</v>
      </c>
      <c r="AN171">
        <v>2020</v>
      </c>
      <c r="AO171">
        <f>IF(AND(emissions[[#This Row],[Market-based]]=0,emissions[[#This Row],[Impact Type]]="CO2E"),emissions[[#This Row],[kgCO2e]],0)/1000</f>
        <v>0</v>
      </c>
      <c r="AP171">
        <f>IF(AND(emissions[[#This Row],[Market-based]]=1,OR(emissions[[#This Row],[Impact Type]]="CO2E",emissions[[#This Row],[Impact Type]]="CO2E MKT")),emissions[[#This Row],[kgCO2e]],0)/1000</f>
        <v>0</v>
      </c>
      <c r="AQ171" t="str">
        <f>_xlfn.TEXTAFTER(emissions[[#This Row],[Reporting Unit]]," &gt; ",LEN(emissions[[#This Row],[Reporting Unit]])-LEN(SUBSTITUTE(emissions[[#This Row],[Reporting Unit]],"&gt;","")))</f>
        <v>Vantage_Granollers</v>
      </c>
      <c r="AR171" t="str">
        <f>_xlfn.XLOOKUP(emissions[[#This Row],[Reporting unit name]],hierarchy!$A:$A,hierarchy!$C:$C)</f>
        <v>Labratory</v>
      </c>
    </row>
    <row r="172" spans="1:44" hidden="1" x14ac:dyDescent="0.25">
      <c r="A172">
        <v>291432</v>
      </c>
      <c r="B172" t="s">
        <v>204</v>
      </c>
      <c r="C172" t="s">
        <v>475</v>
      </c>
      <c r="D172" t="s">
        <v>548</v>
      </c>
      <c r="E172" s="3">
        <v>44562</v>
      </c>
      <c r="F172" s="3">
        <v>44926</v>
      </c>
      <c r="G172" t="s">
        <v>121</v>
      </c>
      <c r="H172" s="3">
        <v>44562</v>
      </c>
      <c r="I172" s="3">
        <v>44926</v>
      </c>
      <c r="J172" t="s">
        <v>150</v>
      </c>
      <c r="K172">
        <v>0</v>
      </c>
      <c r="L172" t="s">
        <v>207</v>
      </c>
      <c r="M172" t="s">
        <v>110</v>
      </c>
      <c r="O172" t="s">
        <v>636</v>
      </c>
      <c r="P172" t="s">
        <v>550</v>
      </c>
      <c r="Q172">
        <v>2022</v>
      </c>
      <c r="R172" t="s">
        <v>594</v>
      </c>
      <c r="S172" t="s">
        <v>150</v>
      </c>
      <c r="T172" t="s">
        <v>553</v>
      </c>
      <c r="U172" t="b">
        <v>0</v>
      </c>
      <c r="V172" t="s">
        <v>595</v>
      </c>
      <c r="W172" t="s">
        <v>587</v>
      </c>
      <c r="X172" t="s">
        <v>556</v>
      </c>
      <c r="Y172" t="s">
        <v>468</v>
      </c>
      <c r="AC172">
        <v>1</v>
      </c>
      <c r="AD172" t="s">
        <v>564</v>
      </c>
      <c r="AE172">
        <v>0</v>
      </c>
      <c r="AF172">
        <v>0.21381</v>
      </c>
      <c r="AG172" t="s">
        <v>608</v>
      </c>
      <c r="AH172">
        <v>277.77777780000002</v>
      </c>
      <c r="AI172">
        <v>0</v>
      </c>
      <c r="AJ172" t="s">
        <v>561</v>
      </c>
      <c r="AK172" t="s">
        <v>589</v>
      </c>
      <c r="AL172" t="s">
        <v>590</v>
      </c>
      <c r="AM172">
        <v>2022</v>
      </c>
      <c r="AN172">
        <v>2020</v>
      </c>
      <c r="AO172">
        <f>IF(AND(emissions[[#This Row],[Market-based]]=0,emissions[[#This Row],[Impact Type]]="CO2E"),emissions[[#This Row],[kgCO2e]],0)/1000</f>
        <v>0</v>
      </c>
      <c r="AP172">
        <f>IF(AND(emissions[[#This Row],[Market-based]]=1,OR(emissions[[#This Row],[Impact Type]]="CO2E",emissions[[#This Row],[Impact Type]]="CO2E MKT")),emissions[[#This Row],[kgCO2e]],0)/1000</f>
        <v>0</v>
      </c>
      <c r="AQ172" t="str">
        <f>_xlfn.TEXTAFTER(emissions[[#This Row],[Reporting Unit]]," &gt; ",LEN(emissions[[#This Row],[Reporting Unit]])-LEN(SUBSTITUTE(emissions[[#This Row],[Reporting Unit]],"&gt;","")))</f>
        <v>Vantage_Granollers</v>
      </c>
      <c r="AR172" t="str">
        <f>_xlfn.XLOOKUP(emissions[[#This Row],[Reporting unit name]],hierarchy!$A:$A,hierarchy!$C:$C)</f>
        <v>Labratory</v>
      </c>
    </row>
    <row r="173" spans="1:44" hidden="1" x14ac:dyDescent="0.25">
      <c r="A173">
        <v>291432</v>
      </c>
      <c r="B173" t="s">
        <v>204</v>
      </c>
      <c r="C173" t="s">
        <v>475</v>
      </c>
      <c r="D173" t="s">
        <v>548</v>
      </c>
      <c r="E173" s="3">
        <v>44562</v>
      </c>
      <c r="F173" s="3">
        <v>44926</v>
      </c>
      <c r="G173" t="s">
        <v>121</v>
      </c>
      <c r="H173" s="3">
        <v>44562</v>
      </c>
      <c r="I173" s="3">
        <v>44926</v>
      </c>
      <c r="J173" t="s">
        <v>150</v>
      </c>
      <c r="K173">
        <v>0</v>
      </c>
      <c r="L173" t="s">
        <v>207</v>
      </c>
      <c r="M173" t="s">
        <v>110</v>
      </c>
      <c r="O173" t="s">
        <v>636</v>
      </c>
      <c r="P173" t="s">
        <v>550</v>
      </c>
      <c r="Q173">
        <v>2022</v>
      </c>
      <c r="R173" t="s">
        <v>594</v>
      </c>
      <c r="S173" t="s">
        <v>150</v>
      </c>
      <c r="T173" t="s">
        <v>553</v>
      </c>
      <c r="U173" t="b">
        <v>0</v>
      </c>
      <c r="V173" t="s">
        <v>595</v>
      </c>
      <c r="W173" t="s">
        <v>587</v>
      </c>
      <c r="X173" t="s">
        <v>556</v>
      </c>
      <c r="Y173" t="s">
        <v>468</v>
      </c>
      <c r="AC173">
        <v>1</v>
      </c>
      <c r="AD173" t="s">
        <v>565</v>
      </c>
      <c r="AE173">
        <v>0</v>
      </c>
      <c r="AF173">
        <v>0.21410000000000001</v>
      </c>
      <c r="AG173" t="s">
        <v>608</v>
      </c>
      <c r="AH173">
        <v>277.77777780000002</v>
      </c>
      <c r="AI173">
        <v>0</v>
      </c>
      <c r="AJ173" t="s">
        <v>561</v>
      </c>
      <c r="AK173" t="s">
        <v>589</v>
      </c>
      <c r="AL173" t="s">
        <v>590</v>
      </c>
      <c r="AM173">
        <v>2022</v>
      </c>
      <c r="AN173">
        <v>2020</v>
      </c>
      <c r="AO173">
        <f>IF(AND(emissions[[#This Row],[Market-based]]=0,emissions[[#This Row],[Impact Type]]="CO2E"),emissions[[#This Row],[kgCO2e]],0)/1000</f>
        <v>0</v>
      </c>
      <c r="AP173">
        <f>IF(AND(emissions[[#This Row],[Market-based]]=1,OR(emissions[[#This Row],[Impact Type]]="CO2E",emissions[[#This Row],[Impact Type]]="CO2E MKT")),emissions[[#This Row],[kgCO2e]],0)/1000</f>
        <v>0</v>
      </c>
      <c r="AQ173" t="str">
        <f>_xlfn.TEXTAFTER(emissions[[#This Row],[Reporting Unit]]," &gt; ",LEN(emissions[[#This Row],[Reporting Unit]])-LEN(SUBSTITUTE(emissions[[#This Row],[Reporting Unit]],"&gt;","")))</f>
        <v>Vantage_Granollers</v>
      </c>
      <c r="AR173" t="str">
        <f>_xlfn.XLOOKUP(emissions[[#This Row],[Reporting unit name]],hierarchy!$A:$A,hierarchy!$C:$C)</f>
        <v>Labratory</v>
      </c>
    </row>
    <row r="174" spans="1:44" hidden="1" x14ac:dyDescent="0.25">
      <c r="A174">
        <v>291432</v>
      </c>
      <c r="B174" t="s">
        <v>204</v>
      </c>
      <c r="C174" t="s">
        <v>475</v>
      </c>
      <c r="D174" t="s">
        <v>548</v>
      </c>
      <c r="E174" s="3">
        <v>44562</v>
      </c>
      <c r="F174" s="3">
        <v>44926</v>
      </c>
      <c r="G174" t="s">
        <v>121</v>
      </c>
      <c r="H174" s="3">
        <v>44562</v>
      </c>
      <c r="I174" s="3">
        <v>44926</v>
      </c>
      <c r="J174" t="s">
        <v>150</v>
      </c>
      <c r="K174">
        <v>0</v>
      </c>
      <c r="L174" t="s">
        <v>207</v>
      </c>
      <c r="M174" t="s">
        <v>110</v>
      </c>
      <c r="O174" t="s">
        <v>636</v>
      </c>
      <c r="P174" t="s">
        <v>550</v>
      </c>
      <c r="Q174">
        <v>2022</v>
      </c>
      <c r="R174" t="s">
        <v>594</v>
      </c>
      <c r="S174" t="s">
        <v>150</v>
      </c>
      <c r="T174" t="s">
        <v>553</v>
      </c>
      <c r="U174" t="b">
        <v>0</v>
      </c>
      <c r="V174" t="s">
        <v>595</v>
      </c>
      <c r="W174" t="s">
        <v>587</v>
      </c>
      <c r="X174" t="s">
        <v>556</v>
      </c>
      <c r="Y174" t="s">
        <v>468</v>
      </c>
      <c r="AC174">
        <v>1</v>
      </c>
      <c r="AD174" t="s">
        <v>566</v>
      </c>
      <c r="AE174">
        <v>0</v>
      </c>
      <c r="AF174">
        <v>1.2999999999999999E-4</v>
      </c>
      <c r="AG174" t="s">
        <v>608</v>
      </c>
      <c r="AH174">
        <v>277.77777780000002</v>
      </c>
      <c r="AI174">
        <v>0</v>
      </c>
      <c r="AJ174" t="s">
        <v>561</v>
      </c>
      <c r="AK174" t="s">
        <v>589</v>
      </c>
      <c r="AL174" t="s">
        <v>590</v>
      </c>
      <c r="AM174">
        <v>2022</v>
      </c>
      <c r="AN174">
        <v>2020</v>
      </c>
      <c r="AO174">
        <f>IF(AND(emissions[[#This Row],[Market-based]]=0,emissions[[#This Row],[Impact Type]]="CO2E"),emissions[[#This Row],[kgCO2e]],0)/1000</f>
        <v>0</v>
      </c>
      <c r="AP174">
        <f>IF(AND(emissions[[#This Row],[Market-based]]=1,OR(emissions[[#This Row],[Impact Type]]="CO2E",emissions[[#This Row],[Impact Type]]="CO2E MKT")),emissions[[#This Row],[kgCO2e]],0)/1000</f>
        <v>0</v>
      </c>
      <c r="AQ174" t="str">
        <f>_xlfn.TEXTAFTER(emissions[[#This Row],[Reporting Unit]]," &gt; ",LEN(emissions[[#This Row],[Reporting Unit]])-LEN(SUBSTITUTE(emissions[[#This Row],[Reporting Unit]],"&gt;","")))</f>
        <v>Vantage_Granollers</v>
      </c>
      <c r="AR174" t="str">
        <f>_xlfn.XLOOKUP(emissions[[#This Row],[Reporting unit name]],hierarchy!$A:$A,hierarchy!$C:$C)</f>
        <v>Labratory</v>
      </c>
    </row>
    <row r="175" spans="1:44" hidden="1" x14ac:dyDescent="0.25">
      <c r="A175">
        <v>291432</v>
      </c>
      <c r="B175" t="s">
        <v>204</v>
      </c>
      <c r="C175" t="s">
        <v>475</v>
      </c>
      <c r="D175" t="s">
        <v>548</v>
      </c>
      <c r="E175" s="3">
        <v>44562</v>
      </c>
      <c r="F175" s="3">
        <v>44926</v>
      </c>
      <c r="G175" t="s">
        <v>121</v>
      </c>
      <c r="H175" s="3">
        <v>44562</v>
      </c>
      <c r="I175" s="3">
        <v>44926</v>
      </c>
      <c r="J175" t="s">
        <v>150</v>
      </c>
      <c r="K175">
        <v>0</v>
      </c>
      <c r="L175" t="s">
        <v>207</v>
      </c>
      <c r="M175" t="s">
        <v>110</v>
      </c>
      <c r="O175" t="s">
        <v>636</v>
      </c>
      <c r="P175" t="s">
        <v>550</v>
      </c>
      <c r="Q175">
        <v>2022</v>
      </c>
      <c r="R175" t="s">
        <v>596</v>
      </c>
      <c r="S175" t="s">
        <v>597</v>
      </c>
      <c r="T175" t="s">
        <v>577</v>
      </c>
      <c r="U175" t="b">
        <v>0</v>
      </c>
      <c r="V175" t="s">
        <v>598</v>
      </c>
      <c r="W175" t="s">
        <v>571</v>
      </c>
      <c r="X175" t="s">
        <v>572</v>
      </c>
      <c r="Y175" t="s">
        <v>468</v>
      </c>
      <c r="AC175">
        <v>0</v>
      </c>
      <c r="AD175" t="s">
        <v>565</v>
      </c>
      <c r="AE175">
        <v>0</v>
      </c>
      <c r="AF175">
        <v>2.503E-2</v>
      </c>
      <c r="AG175" t="s">
        <v>608</v>
      </c>
      <c r="AH175">
        <v>277.77777780000002</v>
      </c>
      <c r="AI175">
        <v>0</v>
      </c>
      <c r="AJ175" t="s">
        <v>561</v>
      </c>
      <c r="AK175" t="s">
        <v>589</v>
      </c>
      <c r="AL175" t="s">
        <v>590</v>
      </c>
      <c r="AM175">
        <v>2022</v>
      </c>
      <c r="AN175">
        <v>2020</v>
      </c>
      <c r="AO175">
        <f>IF(AND(emissions[[#This Row],[Market-based]]=0,emissions[[#This Row],[Impact Type]]="CO2E"),emissions[[#This Row],[kgCO2e]],0)/1000</f>
        <v>0</v>
      </c>
      <c r="AP175">
        <f>IF(AND(emissions[[#This Row],[Market-based]]=1,OR(emissions[[#This Row],[Impact Type]]="CO2E",emissions[[#This Row],[Impact Type]]="CO2E MKT")),emissions[[#This Row],[kgCO2e]],0)/1000</f>
        <v>0</v>
      </c>
      <c r="AQ175" t="str">
        <f>_xlfn.TEXTAFTER(emissions[[#This Row],[Reporting Unit]]," &gt; ",LEN(emissions[[#This Row],[Reporting Unit]])-LEN(SUBSTITUTE(emissions[[#This Row],[Reporting Unit]],"&gt;","")))</f>
        <v>Vantage_Granollers</v>
      </c>
      <c r="AR175" t="str">
        <f>_xlfn.XLOOKUP(emissions[[#This Row],[Reporting unit name]],hierarchy!$A:$A,hierarchy!$C:$C)</f>
        <v>Labratory</v>
      </c>
    </row>
    <row r="176" spans="1:44" hidden="1" x14ac:dyDescent="0.25">
      <c r="A176">
        <v>291432</v>
      </c>
      <c r="B176" t="s">
        <v>204</v>
      </c>
      <c r="C176" t="s">
        <v>475</v>
      </c>
      <c r="D176" t="s">
        <v>548</v>
      </c>
      <c r="E176" s="3">
        <v>44562</v>
      </c>
      <c r="F176" s="3">
        <v>44926</v>
      </c>
      <c r="G176" t="s">
        <v>121</v>
      </c>
      <c r="H176" s="3">
        <v>44562</v>
      </c>
      <c r="I176" s="3">
        <v>44926</v>
      </c>
      <c r="J176" t="s">
        <v>150</v>
      </c>
      <c r="K176">
        <v>0</v>
      </c>
      <c r="L176" t="s">
        <v>207</v>
      </c>
      <c r="M176" t="s">
        <v>110</v>
      </c>
      <c r="O176" t="s">
        <v>636</v>
      </c>
      <c r="P176" t="s">
        <v>550</v>
      </c>
      <c r="Q176">
        <v>2022</v>
      </c>
      <c r="R176" t="s">
        <v>596</v>
      </c>
      <c r="S176" t="s">
        <v>597</v>
      </c>
      <c r="T176" t="s">
        <v>577</v>
      </c>
      <c r="U176" t="b">
        <v>0</v>
      </c>
      <c r="V176" t="s">
        <v>598</v>
      </c>
      <c r="W176" t="s">
        <v>571</v>
      </c>
      <c r="X176" t="s">
        <v>572</v>
      </c>
      <c r="Y176" t="s">
        <v>468</v>
      </c>
      <c r="AC176">
        <v>1</v>
      </c>
      <c r="AD176" t="s">
        <v>565</v>
      </c>
      <c r="AE176">
        <v>0</v>
      </c>
      <c r="AF176">
        <v>2.503E-2</v>
      </c>
      <c r="AG176" t="s">
        <v>608</v>
      </c>
      <c r="AH176">
        <v>277.77777780000002</v>
      </c>
      <c r="AI176">
        <v>0</v>
      </c>
      <c r="AJ176" t="s">
        <v>561</v>
      </c>
      <c r="AK176" t="s">
        <v>589</v>
      </c>
      <c r="AL176" t="s">
        <v>590</v>
      </c>
      <c r="AM176">
        <v>2022</v>
      </c>
      <c r="AN176">
        <v>2020</v>
      </c>
      <c r="AO176">
        <f>IF(AND(emissions[[#This Row],[Market-based]]=0,emissions[[#This Row],[Impact Type]]="CO2E"),emissions[[#This Row],[kgCO2e]],0)/1000</f>
        <v>0</v>
      </c>
      <c r="AP176">
        <f>IF(AND(emissions[[#This Row],[Market-based]]=1,OR(emissions[[#This Row],[Impact Type]]="CO2E",emissions[[#This Row],[Impact Type]]="CO2E MKT")),emissions[[#This Row],[kgCO2e]],0)/1000</f>
        <v>0</v>
      </c>
      <c r="AQ176" t="str">
        <f>_xlfn.TEXTAFTER(emissions[[#This Row],[Reporting Unit]]," &gt; ",LEN(emissions[[#This Row],[Reporting Unit]])-LEN(SUBSTITUTE(emissions[[#This Row],[Reporting Unit]],"&gt;","")))</f>
        <v>Vantage_Granollers</v>
      </c>
      <c r="AR176" t="str">
        <f>_xlfn.XLOOKUP(emissions[[#This Row],[Reporting unit name]],hierarchy!$A:$A,hierarchy!$C:$C)</f>
        <v>Labratory</v>
      </c>
    </row>
    <row r="177" spans="1:44" hidden="1" x14ac:dyDescent="0.25">
      <c r="A177">
        <v>4950</v>
      </c>
      <c r="B177" t="s">
        <v>204</v>
      </c>
      <c r="C177" t="s">
        <v>475</v>
      </c>
      <c r="D177" t="s">
        <v>599</v>
      </c>
      <c r="E177" s="3">
        <v>44197</v>
      </c>
      <c r="F177" s="3">
        <v>44561</v>
      </c>
      <c r="G177" t="s">
        <v>108</v>
      </c>
      <c r="H177" s="3">
        <v>44197</v>
      </c>
      <c r="I177" s="3">
        <v>44561</v>
      </c>
      <c r="J177" t="s">
        <v>108</v>
      </c>
      <c r="K177">
        <v>22298</v>
      </c>
      <c r="L177" t="s">
        <v>109</v>
      </c>
      <c r="M177" t="s">
        <v>110</v>
      </c>
      <c r="O177" t="s">
        <v>600</v>
      </c>
      <c r="P177" t="s">
        <v>550</v>
      </c>
      <c r="Q177">
        <v>2021</v>
      </c>
      <c r="R177" t="s">
        <v>551</v>
      </c>
      <c r="S177" t="s">
        <v>552</v>
      </c>
      <c r="T177" t="s">
        <v>553</v>
      </c>
      <c r="U177" t="b">
        <v>0</v>
      </c>
      <c r="V177" t="s">
        <v>637</v>
      </c>
      <c r="W177" t="s">
        <v>555</v>
      </c>
      <c r="X177" t="s">
        <v>556</v>
      </c>
      <c r="Y177" t="s">
        <v>468</v>
      </c>
      <c r="Z177" t="s">
        <v>478</v>
      </c>
      <c r="AA177" t="s">
        <v>638</v>
      </c>
      <c r="AC177">
        <v>0</v>
      </c>
      <c r="AD177" t="s">
        <v>558</v>
      </c>
      <c r="AE177">
        <v>6.6894</v>
      </c>
      <c r="AF177" t="s">
        <v>559</v>
      </c>
      <c r="AG177" t="s">
        <v>560</v>
      </c>
      <c r="AH177">
        <v>1</v>
      </c>
      <c r="AI177">
        <v>22298</v>
      </c>
      <c r="AJ177" t="s">
        <v>561</v>
      </c>
      <c r="AK177" t="s">
        <v>562</v>
      </c>
      <c r="AL177" t="s">
        <v>601</v>
      </c>
      <c r="AM177">
        <v>2021</v>
      </c>
      <c r="AN177">
        <v>2019</v>
      </c>
      <c r="AO177">
        <f>IF(AND(emissions[[#This Row],[Market-based]]=0,emissions[[#This Row],[Impact Type]]="CO2E"),emissions[[#This Row],[kgCO2e]],0)/1000</f>
        <v>0</v>
      </c>
      <c r="AP177">
        <f>IF(AND(emissions[[#This Row],[Market-based]]=1,OR(emissions[[#This Row],[Impact Type]]="CO2E",emissions[[#This Row],[Impact Type]]="CO2E MKT")),emissions[[#This Row],[kgCO2e]],0)/1000</f>
        <v>0</v>
      </c>
      <c r="AQ177" t="str">
        <f>_xlfn.TEXTAFTER(emissions[[#This Row],[Reporting Unit]]," &gt; ",LEN(emissions[[#This Row],[Reporting Unit]])-LEN(SUBSTITUTE(emissions[[#This Row],[Reporting Unit]],"&gt;","")))</f>
        <v>Vantage_Granollers</v>
      </c>
      <c r="AR177" t="str">
        <f>_xlfn.XLOOKUP(emissions[[#This Row],[Reporting unit name]],hierarchy!$A:$A,hierarchy!$C:$C)</f>
        <v>Labratory</v>
      </c>
    </row>
    <row r="178" spans="1:44" hidden="1" x14ac:dyDescent="0.25">
      <c r="A178">
        <v>4950</v>
      </c>
      <c r="B178" t="s">
        <v>204</v>
      </c>
      <c r="C178" t="s">
        <v>475</v>
      </c>
      <c r="D178" t="s">
        <v>599</v>
      </c>
      <c r="E178" s="3">
        <v>44197</v>
      </c>
      <c r="F178" s="3">
        <v>44561</v>
      </c>
      <c r="G178" t="s">
        <v>108</v>
      </c>
      <c r="H178" s="3">
        <v>44197</v>
      </c>
      <c r="I178" s="3">
        <v>44561</v>
      </c>
      <c r="J178" t="s">
        <v>108</v>
      </c>
      <c r="K178">
        <v>22298</v>
      </c>
      <c r="L178" t="s">
        <v>109</v>
      </c>
      <c r="M178" t="s">
        <v>110</v>
      </c>
      <c r="O178" t="s">
        <v>600</v>
      </c>
      <c r="P178" t="s">
        <v>550</v>
      </c>
      <c r="Q178">
        <v>2021</v>
      </c>
      <c r="R178" t="s">
        <v>551</v>
      </c>
      <c r="S178" t="s">
        <v>552</v>
      </c>
      <c r="T178" t="s">
        <v>553</v>
      </c>
      <c r="U178" t="b">
        <v>0</v>
      </c>
      <c r="V178" t="s">
        <v>637</v>
      </c>
      <c r="W178" t="s">
        <v>555</v>
      </c>
      <c r="X178" t="s">
        <v>556</v>
      </c>
      <c r="Y178" t="s">
        <v>468</v>
      </c>
      <c r="Z178" t="s">
        <v>478</v>
      </c>
      <c r="AA178" t="s">
        <v>638</v>
      </c>
      <c r="AC178">
        <v>0</v>
      </c>
      <c r="AD178" t="s">
        <v>564</v>
      </c>
      <c r="AE178">
        <v>4274.5266000000001</v>
      </c>
      <c r="AF178" t="s">
        <v>559</v>
      </c>
      <c r="AG178" t="s">
        <v>560</v>
      </c>
      <c r="AH178">
        <v>1</v>
      </c>
      <c r="AI178">
        <v>22298</v>
      </c>
      <c r="AJ178" t="s">
        <v>561</v>
      </c>
      <c r="AK178" t="s">
        <v>562</v>
      </c>
      <c r="AL178" t="s">
        <v>601</v>
      </c>
      <c r="AM178">
        <v>2021</v>
      </c>
      <c r="AN178">
        <v>2019</v>
      </c>
      <c r="AO178">
        <f>IF(AND(emissions[[#This Row],[Market-based]]=0,emissions[[#This Row],[Impact Type]]="CO2E"),emissions[[#This Row],[kgCO2e]],0)/1000</f>
        <v>0</v>
      </c>
      <c r="AP178">
        <f>IF(AND(emissions[[#This Row],[Market-based]]=1,OR(emissions[[#This Row],[Impact Type]]="CO2E",emissions[[#This Row],[Impact Type]]="CO2E MKT")),emissions[[#This Row],[kgCO2e]],0)/1000</f>
        <v>0</v>
      </c>
      <c r="AQ178" t="str">
        <f>_xlfn.TEXTAFTER(emissions[[#This Row],[Reporting Unit]]," &gt; ",LEN(emissions[[#This Row],[Reporting Unit]])-LEN(SUBSTITUTE(emissions[[#This Row],[Reporting Unit]],"&gt;","")))</f>
        <v>Vantage_Granollers</v>
      </c>
      <c r="AR178" t="str">
        <f>_xlfn.XLOOKUP(emissions[[#This Row],[Reporting unit name]],hierarchy!$A:$A,hierarchy!$C:$C)</f>
        <v>Labratory</v>
      </c>
    </row>
    <row r="179" spans="1:44" hidden="1" x14ac:dyDescent="0.25">
      <c r="A179">
        <v>4950</v>
      </c>
      <c r="B179" t="s">
        <v>204</v>
      </c>
      <c r="C179" t="s">
        <v>475</v>
      </c>
      <c r="D179" t="s">
        <v>599</v>
      </c>
      <c r="E179" s="3">
        <v>44197</v>
      </c>
      <c r="F179" s="3">
        <v>44561</v>
      </c>
      <c r="G179" t="s">
        <v>108</v>
      </c>
      <c r="H179" s="3">
        <v>44197</v>
      </c>
      <c r="I179" s="3">
        <v>44561</v>
      </c>
      <c r="J179" t="s">
        <v>108</v>
      </c>
      <c r="K179">
        <v>22298</v>
      </c>
      <c r="L179" t="s">
        <v>109</v>
      </c>
      <c r="M179" t="s">
        <v>110</v>
      </c>
      <c r="O179" t="s">
        <v>600</v>
      </c>
      <c r="P179" t="s">
        <v>550</v>
      </c>
      <c r="Q179">
        <v>2021</v>
      </c>
      <c r="R179" t="s">
        <v>551</v>
      </c>
      <c r="S179" t="s">
        <v>552</v>
      </c>
      <c r="T179" t="s">
        <v>553</v>
      </c>
      <c r="U179" t="b">
        <v>0</v>
      </c>
      <c r="V179" t="s">
        <v>637</v>
      </c>
      <c r="W179" t="s">
        <v>555</v>
      </c>
      <c r="X179" t="s">
        <v>556</v>
      </c>
      <c r="Y179" t="s">
        <v>468</v>
      </c>
      <c r="Z179" t="s">
        <v>478</v>
      </c>
      <c r="AA179" t="s">
        <v>638</v>
      </c>
      <c r="AC179">
        <v>0</v>
      </c>
      <c r="AD179" t="s">
        <v>565</v>
      </c>
      <c r="AE179">
        <v>4294.5947999999999</v>
      </c>
      <c r="AF179" t="s">
        <v>559</v>
      </c>
      <c r="AG179" t="s">
        <v>560</v>
      </c>
      <c r="AH179">
        <v>1</v>
      </c>
      <c r="AI179">
        <v>22298</v>
      </c>
      <c r="AJ179" t="s">
        <v>561</v>
      </c>
      <c r="AK179" t="s">
        <v>562</v>
      </c>
      <c r="AL179" t="s">
        <v>601</v>
      </c>
      <c r="AM179">
        <v>2021</v>
      </c>
      <c r="AN179">
        <v>2019</v>
      </c>
      <c r="AO179">
        <f>IF(AND(emissions[[#This Row],[Market-based]]=0,emissions[[#This Row],[Impact Type]]="CO2E"),emissions[[#This Row],[kgCO2e]],0)/1000</f>
        <v>4.2945947999999996</v>
      </c>
      <c r="AP179">
        <f>IF(AND(emissions[[#This Row],[Market-based]]=1,OR(emissions[[#This Row],[Impact Type]]="CO2E",emissions[[#This Row],[Impact Type]]="CO2E MKT")),emissions[[#This Row],[kgCO2e]],0)/1000</f>
        <v>0</v>
      </c>
      <c r="AQ179" t="str">
        <f>_xlfn.TEXTAFTER(emissions[[#This Row],[Reporting Unit]]," &gt; ",LEN(emissions[[#This Row],[Reporting Unit]])-LEN(SUBSTITUTE(emissions[[#This Row],[Reporting Unit]],"&gt;","")))</f>
        <v>Vantage_Granollers</v>
      </c>
      <c r="AR179" t="str">
        <f>_xlfn.XLOOKUP(emissions[[#This Row],[Reporting unit name]],hierarchy!$A:$A,hierarchy!$C:$C)</f>
        <v>Labratory</v>
      </c>
    </row>
    <row r="180" spans="1:44" hidden="1" x14ac:dyDescent="0.25">
      <c r="A180">
        <v>4950</v>
      </c>
      <c r="B180" t="s">
        <v>204</v>
      </c>
      <c r="C180" t="s">
        <v>475</v>
      </c>
      <c r="D180" t="s">
        <v>599</v>
      </c>
      <c r="E180" s="3">
        <v>44197</v>
      </c>
      <c r="F180" s="3">
        <v>44561</v>
      </c>
      <c r="G180" t="s">
        <v>108</v>
      </c>
      <c r="H180" s="3">
        <v>44197</v>
      </c>
      <c r="I180" s="3">
        <v>44561</v>
      </c>
      <c r="J180" t="s">
        <v>108</v>
      </c>
      <c r="K180">
        <v>22298</v>
      </c>
      <c r="L180" t="s">
        <v>109</v>
      </c>
      <c r="M180" t="s">
        <v>110</v>
      </c>
      <c r="O180" t="s">
        <v>600</v>
      </c>
      <c r="P180" t="s">
        <v>550</v>
      </c>
      <c r="Q180">
        <v>2021</v>
      </c>
      <c r="R180" t="s">
        <v>551</v>
      </c>
      <c r="S180" t="s">
        <v>552</v>
      </c>
      <c r="T180" t="s">
        <v>553</v>
      </c>
      <c r="U180" t="b">
        <v>0</v>
      </c>
      <c r="V180" t="s">
        <v>637</v>
      </c>
      <c r="W180" t="s">
        <v>555</v>
      </c>
      <c r="X180" t="s">
        <v>556</v>
      </c>
      <c r="Y180" t="s">
        <v>468</v>
      </c>
      <c r="Z180" t="s">
        <v>478</v>
      </c>
      <c r="AA180" t="s">
        <v>638</v>
      </c>
      <c r="AC180">
        <v>0</v>
      </c>
      <c r="AD180" t="s">
        <v>566</v>
      </c>
      <c r="AE180">
        <v>13.3788</v>
      </c>
      <c r="AF180" t="s">
        <v>559</v>
      </c>
      <c r="AG180" t="s">
        <v>560</v>
      </c>
      <c r="AH180">
        <v>1</v>
      </c>
      <c r="AI180">
        <v>22298</v>
      </c>
      <c r="AJ180" t="s">
        <v>561</v>
      </c>
      <c r="AK180" t="s">
        <v>562</v>
      </c>
      <c r="AL180" t="s">
        <v>601</v>
      </c>
      <c r="AM180">
        <v>2021</v>
      </c>
      <c r="AN180">
        <v>2019</v>
      </c>
      <c r="AO180">
        <f>IF(AND(emissions[[#This Row],[Market-based]]=0,emissions[[#This Row],[Impact Type]]="CO2E"),emissions[[#This Row],[kgCO2e]],0)/1000</f>
        <v>0</v>
      </c>
      <c r="AP180">
        <f>IF(AND(emissions[[#This Row],[Market-based]]=1,OR(emissions[[#This Row],[Impact Type]]="CO2E",emissions[[#This Row],[Impact Type]]="CO2E MKT")),emissions[[#This Row],[kgCO2e]],0)/1000</f>
        <v>0</v>
      </c>
      <c r="AQ180" t="str">
        <f>_xlfn.TEXTAFTER(emissions[[#This Row],[Reporting Unit]]," &gt; ",LEN(emissions[[#This Row],[Reporting Unit]])-LEN(SUBSTITUTE(emissions[[#This Row],[Reporting Unit]],"&gt;","")))</f>
        <v>Vantage_Granollers</v>
      </c>
      <c r="AR180" t="str">
        <f>_xlfn.XLOOKUP(emissions[[#This Row],[Reporting unit name]],hierarchy!$A:$A,hierarchy!$C:$C)</f>
        <v>Labratory</v>
      </c>
    </row>
    <row r="181" spans="1:44" hidden="1" x14ac:dyDescent="0.25">
      <c r="A181">
        <v>4950</v>
      </c>
      <c r="B181" t="s">
        <v>204</v>
      </c>
      <c r="C181" t="s">
        <v>475</v>
      </c>
      <c r="D181" t="s">
        <v>599</v>
      </c>
      <c r="E181" s="3">
        <v>44197</v>
      </c>
      <c r="F181" s="3">
        <v>44561</v>
      </c>
      <c r="G181" t="s">
        <v>108</v>
      </c>
      <c r="H181" s="3">
        <v>44197</v>
      </c>
      <c r="I181" s="3">
        <v>44561</v>
      </c>
      <c r="J181" t="s">
        <v>108</v>
      </c>
      <c r="K181">
        <v>22298</v>
      </c>
      <c r="L181" t="s">
        <v>109</v>
      </c>
      <c r="M181" t="s">
        <v>110</v>
      </c>
      <c r="O181" t="s">
        <v>600</v>
      </c>
      <c r="P181" t="s">
        <v>550</v>
      </c>
      <c r="Q181">
        <v>2021</v>
      </c>
      <c r="R181" t="s">
        <v>551</v>
      </c>
      <c r="S181" t="s">
        <v>552</v>
      </c>
      <c r="T181" t="s">
        <v>553</v>
      </c>
      <c r="U181" t="b">
        <v>0</v>
      </c>
      <c r="V181" t="s">
        <v>637</v>
      </c>
      <c r="W181" t="s">
        <v>555</v>
      </c>
      <c r="X181" t="s">
        <v>556</v>
      </c>
      <c r="Y181" t="s">
        <v>468</v>
      </c>
      <c r="Z181" t="s">
        <v>478</v>
      </c>
      <c r="AA181" t="s">
        <v>638</v>
      </c>
      <c r="AC181">
        <v>1</v>
      </c>
      <c r="AD181" t="s">
        <v>639</v>
      </c>
      <c r="AE181">
        <v>6414.1621100000002</v>
      </c>
      <c r="AF181">
        <v>0.28765638700000001</v>
      </c>
      <c r="AG181" t="s">
        <v>560</v>
      </c>
      <c r="AH181">
        <v>1</v>
      </c>
      <c r="AI181">
        <v>22298</v>
      </c>
      <c r="AJ181" t="s">
        <v>561</v>
      </c>
      <c r="AK181" t="s">
        <v>640</v>
      </c>
      <c r="AL181" t="s">
        <v>651</v>
      </c>
      <c r="AM181">
        <v>2021</v>
      </c>
      <c r="AN181">
        <v>2020</v>
      </c>
      <c r="AO181">
        <f>IF(AND(emissions[[#This Row],[Market-based]]=0,emissions[[#This Row],[Impact Type]]="CO2E"),emissions[[#This Row],[kgCO2e]],0)/1000</f>
        <v>0</v>
      </c>
      <c r="AP181">
        <f>IF(AND(emissions[[#This Row],[Market-based]]=1,OR(emissions[[#This Row],[Impact Type]]="CO2E",emissions[[#This Row],[Impact Type]]="CO2E MKT")),emissions[[#This Row],[kgCO2e]],0)/1000</f>
        <v>6.4141621100000004</v>
      </c>
      <c r="AQ181" t="str">
        <f>_xlfn.TEXTAFTER(emissions[[#This Row],[Reporting Unit]]," &gt; ",LEN(emissions[[#This Row],[Reporting Unit]])-LEN(SUBSTITUTE(emissions[[#This Row],[Reporting Unit]],"&gt;","")))</f>
        <v>Vantage_Granollers</v>
      </c>
      <c r="AR181" t="str">
        <f>_xlfn.XLOOKUP(emissions[[#This Row],[Reporting unit name]],hierarchy!$A:$A,hierarchy!$C:$C)</f>
        <v>Labratory</v>
      </c>
    </row>
    <row r="182" spans="1:44" hidden="1" x14ac:dyDescent="0.25">
      <c r="A182">
        <v>4950</v>
      </c>
      <c r="B182" t="s">
        <v>204</v>
      </c>
      <c r="C182" t="s">
        <v>475</v>
      </c>
      <c r="D182" t="s">
        <v>599</v>
      </c>
      <c r="E182" s="3">
        <v>44197</v>
      </c>
      <c r="F182" s="3">
        <v>44561</v>
      </c>
      <c r="G182" t="s">
        <v>108</v>
      </c>
      <c r="H182" s="3">
        <v>44197</v>
      </c>
      <c r="I182" s="3">
        <v>44561</v>
      </c>
      <c r="J182" t="s">
        <v>108</v>
      </c>
      <c r="K182">
        <v>22298</v>
      </c>
      <c r="L182" t="s">
        <v>109</v>
      </c>
      <c r="M182" t="s">
        <v>110</v>
      </c>
      <c r="O182" t="s">
        <v>600</v>
      </c>
      <c r="P182" t="s">
        <v>550</v>
      </c>
      <c r="Q182">
        <v>2021</v>
      </c>
      <c r="R182" t="s">
        <v>567</v>
      </c>
      <c r="S182" t="s">
        <v>568</v>
      </c>
      <c r="T182" t="s">
        <v>569</v>
      </c>
      <c r="U182" t="b">
        <v>0</v>
      </c>
      <c r="V182" t="s">
        <v>652</v>
      </c>
      <c r="W182" t="s">
        <v>571</v>
      </c>
      <c r="X182" t="s">
        <v>572</v>
      </c>
      <c r="Y182" t="s">
        <v>468</v>
      </c>
      <c r="Z182" t="s">
        <v>478</v>
      </c>
      <c r="AA182" t="s">
        <v>638</v>
      </c>
      <c r="AC182">
        <v>0</v>
      </c>
      <c r="AD182" t="s">
        <v>565</v>
      </c>
      <c r="AE182">
        <v>144.26239989999999</v>
      </c>
      <c r="AF182">
        <v>6.4697460000000002E-3</v>
      </c>
      <c r="AG182" t="s">
        <v>560</v>
      </c>
      <c r="AH182">
        <v>1</v>
      </c>
      <c r="AI182">
        <v>22298</v>
      </c>
      <c r="AJ182" t="s">
        <v>561</v>
      </c>
      <c r="AK182" t="s">
        <v>589</v>
      </c>
      <c r="AL182" t="s">
        <v>603</v>
      </c>
      <c r="AM182">
        <v>2021</v>
      </c>
      <c r="AN182">
        <v>2019</v>
      </c>
      <c r="AO182">
        <f>IF(AND(emissions[[#This Row],[Market-based]]=0,emissions[[#This Row],[Impact Type]]="CO2E"),emissions[[#This Row],[kgCO2e]],0)/1000</f>
        <v>0.1442623999</v>
      </c>
      <c r="AP182">
        <f>IF(AND(emissions[[#This Row],[Market-based]]=1,OR(emissions[[#This Row],[Impact Type]]="CO2E",emissions[[#This Row],[Impact Type]]="CO2E MKT")),emissions[[#This Row],[kgCO2e]],0)/1000</f>
        <v>0</v>
      </c>
      <c r="AQ182" t="str">
        <f>_xlfn.TEXTAFTER(emissions[[#This Row],[Reporting Unit]]," &gt; ",LEN(emissions[[#This Row],[Reporting Unit]])-LEN(SUBSTITUTE(emissions[[#This Row],[Reporting Unit]],"&gt;","")))</f>
        <v>Vantage_Granollers</v>
      </c>
      <c r="AR182" t="str">
        <f>_xlfn.XLOOKUP(emissions[[#This Row],[Reporting unit name]],hierarchy!$A:$A,hierarchy!$C:$C)</f>
        <v>Labratory</v>
      </c>
    </row>
    <row r="183" spans="1:44" hidden="1" x14ac:dyDescent="0.25">
      <c r="A183">
        <v>4950</v>
      </c>
      <c r="B183" t="s">
        <v>204</v>
      </c>
      <c r="C183" t="s">
        <v>475</v>
      </c>
      <c r="D183" t="s">
        <v>599</v>
      </c>
      <c r="E183" s="3">
        <v>44197</v>
      </c>
      <c r="F183" s="3">
        <v>44561</v>
      </c>
      <c r="G183" t="s">
        <v>108</v>
      </c>
      <c r="H183" s="3">
        <v>44197</v>
      </c>
      <c r="I183" s="3">
        <v>44561</v>
      </c>
      <c r="J183" t="s">
        <v>108</v>
      </c>
      <c r="K183">
        <v>22298</v>
      </c>
      <c r="L183" t="s">
        <v>109</v>
      </c>
      <c r="M183" t="s">
        <v>110</v>
      </c>
      <c r="O183" t="s">
        <v>600</v>
      </c>
      <c r="P183" t="s">
        <v>550</v>
      </c>
      <c r="Q183">
        <v>2021</v>
      </c>
      <c r="R183" t="s">
        <v>567</v>
      </c>
      <c r="S183" t="s">
        <v>568</v>
      </c>
      <c r="T183" t="s">
        <v>569</v>
      </c>
      <c r="U183" t="b">
        <v>0</v>
      </c>
      <c r="V183" t="s">
        <v>643</v>
      </c>
      <c r="W183" t="s">
        <v>571</v>
      </c>
      <c r="X183" t="s">
        <v>572</v>
      </c>
      <c r="Y183" t="s">
        <v>468</v>
      </c>
      <c r="Z183" t="s">
        <v>478</v>
      </c>
      <c r="AA183" t="s">
        <v>638</v>
      </c>
      <c r="AC183">
        <v>1</v>
      </c>
      <c r="AD183" t="s">
        <v>639</v>
      </c>
      <c r="AE183">
        <v>52.95457219</v>
      </c>
      <c r="AF183">
        <v>2.3748570000000002E-3</v>
      </c>
      <c r="AG183" t="s">
        <v>560</v>
      </c>
      <c r="AH183">
        <v>1</v>
      </c>
      <c r="AI183">
        <v>22298</v>
      </c>
      <c r="AJ183" t="s">
        <v>561</v>
      </c>
      <c r="AK183" t="s">
        <v>573</v>
      </c>
      <c r="AL183" t="s">
        <v>644</v>
      </c>
      <c r="AM183">
        <v>2021</v>
      </c>
      <c r="AN183">
        <v>2020</v>
      </c>
      <c r="AO183">
        <f>IF(AND(emissions[[#This Row],[Market-based]]=0,emissions[[#This Row],[Impact Type]]="CO2E"),emissions[[#This Row],[kgCO2e]],0)/1000</f>
        <v>0</v>
      </c>
      <c r="AP183">
        <f>IF(AND(emissions[[#This Row],[Market-based]]=1,OR(emissions[[#This Row],[Impact Type]]="CO2E",emissions[[#This Row],[Impact Type]]="CO2E MKT")),emissions[[#This Row],[kgCO2e]],0)/1000</f>
        <v>5.295457219E-2</v>
      </c>
      <c r="AQ183" t="str">
        <f>_xlfn.TEXTAFTER(emissions[[#This Row],[Reporting Unit]]," &gt; ",LEN(emissions[[#This Row],[Reporting Unit]])-LEN(SUBSTITUTE(emissions[[#This Row],[Reporting Unit]],"&gt;","")))</f>
        <v>Vantage_Granollers</v>
      </c>
      <c r="AR183" t="str">
        <f>_xlfn.XLOOKUP(emissions[[#This Row],[Reporting unit name]],hierarchy!$A:$A,hierarchy!$C:$C)</f>
        <v>Labratory</v>
      </c>
    </row>
    <row r="184" spans="1:44" hidden="1" x14ac:dyDescent="0.25">
      <c r="A184">
        <v>4950</v>
      </c>
      <c r="B184" t="s">
        <v>204</v>
      </c>
      <c r="C184" t="s">
        <v>475</v>
      </c>
      <c r="D184" t="s">
        <v>599</v>
      </c>
      <c r="E184" s="3">
        <v>44197</v>
      </c>
      <c r="F184" s="3">
        <v>44561</v>
      </c>
      <c r="G184" t="s">
        <v>108</v>
      </c>
      <c r="H184" s="3">
        <v>44197</v>
      </c>
      <c r="I184" s="3">
        <v>44561</v>
      </c>
      <c r="J184" t="s">
        <v>108</v>
      </c>
      <c r="K184">
        <v>22298</v>
      </c>
      <c r="L184" t="s">
        <v>109</v>
      </c>
      <c r="M184" t="s">
        <v>110</v>
      </c>
      <c r="O184" t="s">
        <v>600</v>
      </c>
      <c r="P184" t="s">
        <v>550</v>
      </c>
      <c r="Q184">
        <v>2021</v>
      </c>
      <c r="R184" t="s">
        <v>575</v>
      </c>
      <c r="S184" t="s">
        <v>576</v>
      </c>
      <c r="T184" t="s">
        <v>577</v>
      </c>
      <c r="U184" t="b">
        <v>0</v>
      </c>
      <c r="V184" t="s">
        <v>653</v>
      </c>
      <c r="W184" t="s">
        <v>571</v>
      </c>
      <c r="X184" t="s">
        <v>572</v>
      </c>
      <c r="Y184" t="s">
        <v>468</v>
      </c>
      <c r="Z184" t="s">
        <v>478</v>
      </c>
      <c r="AA184" t="s">
        <v>638</v>
      </c>
      <c r="AC184">
        <v>0</v>
      </c>
      <c r="AD184" t="s">
        <v>565</v>
      </c>
      <c r="AE184">
        <v>1353.485203</v>
      </c>
      <c r="AF184">
        <v>6.0699848000000001E-2</v>
      </c>
      <c r="AG184" t="s">
        <v>560</v>
      </c>
      <c r="AH184">
        <v>1</v>
      </c>
      <c r="AI184">
        <v>22298</v>
      </c>
      <c r="AJ184" t="s">
        <v>561</v>
      </c>
      <c r="AK184" t="s">
        <v>589</v>
      </c>
      <c r="AL184" t="s">
        <v>603</v>
      </c>
      <c r="AM184">
        <v>2021</v>
      </c>
      <c r="AN184">
        <v>2019</v>
      </c>
      <c r="AO184">
        <f>IF(AND(emissions[[#This Row],[Market-based]]=0,emissions[[#This Row],[Impact Type]]="CO2E"),emissions[[#This Row],[kgCO2e]],0)/1000</f>
        <v>1.353485203</v>
      </c>
      <c r="AP184">
        <f>IF(AND(emissions[[#This Row],[Market-based]]=1,OR(emissions[[#This Row],[Impact Type]]="CO2E",emissions[[#This Row],[Impact Type]]="CO2E MKT")),emissions[[#This Row],[kgCO2e]],0)/1000</f>
        <v>0</v>
      </c>
      <c r="AQ184" t="str">
        <f>_xlfn.TEXTAFTER(emissions[[#This Row],[Reporting Unit]]," &gt; ",LEN(emissions[[#This Row],[Reporting Unit]])-LEN(SUBSTITUTE(emissions[[#This Row],[Reporting Unit]],"&gt;","")))</f>
        <v>Vantage_Granollers</v>
      </c>
      <c r="AR184" t="str">
        <f>_xlfn.XLOOKUP(emissions[[#This Row],[Reporting unit name]],hierarchy!$A:$A,hierarchy!$C:$C)</f>
        <v>Labratory</v>
      </c>
    </row>
    <row r="185" spans="1:44" hidden="1" x14ac:dyDescent="0.25">
      <c r="A185">
        <v>4950</v>
      </c>
      <c r="B185" t="s">
        <v>204</v>
      </c>
      <c r="C185" t="s">
        <v>475</v>
      </c>
      <c r="D185" t="s">
        <v>599</v>
      </c>
      <c r="E185" s="3">
        <v>44197</v>
      </c>
      <c r="F185" s="3">
        <v>44561</v>
      </c>
      <c r="G185" t="s">
        <v>108</v>
      </c>
      <c r="H185" s="3">
        <v>44197</v>
      </c>
      <c r="I185" s="3">
        <v>44561</v>
      </c>
      <c r="J185" t="s">
        <v>108</v>
      </c>
      <c r="K185">
        <v>22298</v>
      </c>
      <c r="L185" t="s">
        <v>109</v>
      </c>
      <c r="M185" t="s">
        <v>110</v>
      </c>
      <c r="O185" t="s">
        <v>600</v>
      </c>
      <c r="P185" t="s">
        <v>550</v>
      </c>
      <c r="Q185">
        <v>2021</v>
      </c>
      <c r="R185" t="s">
        <v>575</v>
      </c>
      <c r="S185" t="s">
        <v>576</v>
      </c>
      <c r="T185" t="s">
        <v>577</v>
      </c>
      <c r="U185" t="b">
        <v>0</v>
      </c>
      <c r="V185" t="s">
        <v>646</v>
      </c>
      <c r="W185" t="s">
        <v>571</v>
      </c>
      <c r="X185" t="s">
        <v>572</v>
      </c>
      <c r="Y185" t="s">
        <v>468</v>
      </c>
      <c r="Z185" t="s">
        <v>478</v>
      </c>
      <c r="AA185" t="s">
        <v>638</v>
      </c>
      <c r="AC185">
        <v>1</v>
      </c>
      <c r="AD185" t="s">
        <v>639</v>
      </c>
      <c r="AE185">
        <v>2021.488384</v>
      </c>
      <c r="AF185">
        <v>9.0657834000000007E-2</v>
      </c>
      <c r="AG185" t="s">
        <v>560</v>
      </c>
      <c r="AH185">
        <v>1</v>
      </c>
      <c r="AI185">
        <v>22298</v>
      </c>
      <c r="AJ185" t="s">
        <v>561</v>
      </c>
      <c r="AK185" t="s">
        <v>573</v>
      </c>
      <c r="AL185" t="s">
        <v>647</v>
      </c>
      <c r="AM185">
        <v>2021</v>
      </c>
      <c r="AN185">
        <v>2020</v>
      </c>
      <c r="AO185">
        <f>IF(AND(emissions[[#This Row],[Market-based]]=0,emissions[[#This Row],[Impact Type]]="CO2E"),emissions[[#This Row],[kgCO2e]],0)/1000</f>
        <v>0</v>
      </c>
      <c r="AP185">
        <f>IF(AND(emissions[[#This Row],[Market-based]]=1,OR(emissions[[#This Row],[Impact Type]]="CO2E",emissions[[#This Row],[Impact Type]]="CO2E MKT")),emissions[[#This Row],[kgCO2e]],0)/1000</f>
        <v>2.021488384</v>
      </c>
      <c r="AQ185" t="str">
        <f>_xlfn.TEXTAFTER(emissions[[#This Row],[Reporting Unit]]," &gt; ",LEN(emissions[[#This Row],[Reporting Unit]])-LEN(SUBSTITUTE(emissions[[#This Row],[Reporting Unit]],"&gt;","")))</f>
        <v>Vantage_Granollers</v>
      </c>
      <c r="AR185" t="str">
        <f>_xlfn.XLOOKUP(emissions[[#This Row],[Reporting unit name]],hierarchy!$A:$A,hierarchy!$C:$C)</f>
        <v>Labratory</v>
      </c>
    </row>
    <row r="186" spans="1:44" hidden="1" x14ac:dyDescent="0.25">
      <c r="A186">
        <v>4950</v>
      </c>
      <c r="B186" t="s">
        <v>204</v>
      </c>
      <c r="C186" t="s">
        <v>475</v>
      </c>
      <c r="D186" t="s">
        <v>599</v>
      </c>
      <c r="E186" s="3">
        <v>44197</v>
      </c>
      <c r="F186" s="3">
        <v>44561</v>
      </c>
      <c r="G186" t="s">
        <v>108</v>
      </c>
      <c r="H186" s="3">
        <v>44197</v>
      </c>
      <c r="I186" s="3">
        <v>44561</v>
      </c>
      <c r="J186" t="s">
        <v>108</v>
      </c>
      <c r="K186">
        <v>22298</v>
      </c>
      <c r="L186" t="s">
        <v>109</v>
      </c>
      <c r="M186" t="s">
        <v>110</v>
      </c>
      <c r="O186" t="s">
        <v>600</v>
      </c>
      <c r="P186" t="s">
        <v>550</v>
      </c>
      <c r="Q186">
        <v>2021</v>
      </c>
      <c r="R186" t="s">
        <v>579</v>
      </c>
      <c r="S186" t="s">
        <v>580</v>
      </c>
      <c r="T186" t="s">
        <v>581</v>
      </c>
      <c r="U186" t="b">
        <v>0</v>
      </c>
      <c r="V186" t="s">
        <v>648</v>
      </c>
      <c r="W186" t="s">
        <v>571</v>
      </c>
      <c r="X186" t="s">
        <v>572</v>
      </c>
      <c r="Y186" t="s">
        <v>468</v>
      </c>
      <c r="Z186" t="s">
        <v>478</v>
      </c>
      <c r="AA186" t="s">
        <v>638</v>
      </c>
      <c r="AC186">
        <v>0</v>
      </c>
      <c r="AD186" t="s">
        <v>565</v>
      </c>
      <c r="AE186">
        <v>390.21499999999997</v>
      </c>
      <c r="AF186" t="s">
        <v>559</v>
      </c>
      <c r="AG186" t="s">
        <v>560</v>
      </c>
      <c r="AH186">
        <v>1</v>
      </c>
      <c r="AI186">
        <v>22298</v>
      </c>
      <c r="AJ186" t="s">
        <v>561</v>
      </c>
      <c r="AK186" t="s">
        <v>562</v>
      </c>
      <c r="AL186" t="s">
        <v>601</v>
      </c>
      <c r="AM186">
        <v>2021</v>
      </c>
      <c r="AN186">
        <v>2019</v>
      </c>
      <c r="AO186">
        <f>IF(AND(emissions[[#This Row],[Market-based]]=0,emissions[[#This Row],[Impact Type]]="CO2E"),emissions[[#This Row],[kgCO2e]],0)/1000</f>
        <v>0.39021499999999998</v>
      </c>
      <c r="AP186">
        <f>IF(AND(emissions[[#This Row],[Market-based]]=1,OR(emissions[[#This Row],[Impact Type]]="CO2E",emissions[[#This Row],[Impact Type]]="CO2E MKT")),emissions[[#This Row],[kgCO2e]],0)/1000</f>
        <v>0</v>
      </c>
      <c r="AQ186" t="str">
        <f>_xlfn.TEXTAFTER(emissions[[#This Row],[Reporting Unit]]," &gt; ",LEN(emissions[[#This Row],[Reporting Unit]])-LEN(SUBSTITUTE(emissions[[#This Row],[Reporting Unit]],"&gt;","")))</f>
        <v>Vantage_Granollers</v>
      </c>
      <c r="AR186" t="str">
        <f>_xlfn.XLOOKUP(emissions[[#This Row],[Reporting unit name]],hierarchy!$A:$A,hierarchy!$C:$C)</f>
        <v>Labratory</v>
      </c>
    </row>
    <row r="187" spans="1:44" hidden="1" x14ac:dyDescent="0.25">
      <c r="A187">
        <v>4950</v>
      </c>
      <c r="B187" t="s">
        <v>204</v>
      </c>
      <c r="C187" t="s">
        <v>475</v>
      </c>
      <c r="D187" t="s">
        <v>599</v>
      </c>
      <c r="E187" s="3">
        <v>44197</v>
      </c>
      <c r="F187" s="3">
        <v>44561</v>
      </c>
      <c r="G187" t="s">
        <v>108</v>
      </c>
      <c r="H187" s="3">
        <v>44197</v>
      </c>
      <c r="I187" s="3">
        <v>44561</v>
      </c>
      <c r="J187" t="s">
        <v>108</v>
      </c>
      <c r="K187">
        <v>22298</v>
      </c>
      <c r="L187" t="s">
        <v>109</v>
      </c>
      <c r="M187" t="s">
        <v>110</v>
      </c>
      <c r="O187" t="s">
        <v>600</v>
      </c>
      <c r="P187" t="s">
        <v>550</v>
      </c>
      <c r="Q187">
        <v>2021</v>
      </c>
      <c r="R187" t="s">
        <v>579</v>
      </c>
      <c r="S187" t="s">
        <v>580</v>
      </c>
      <c r="T187" t="s">
        <v>581</v>
      </c>
      <c r="U187" t="b">
        <v>0</v>
      </c>
      <c r="V187" t="s">
        <v>649</v>
      </c>
      <c r="W187" t="s">
        <v>571</v>
      </c>
      <c r="X187" t="s">
        <v>572</v>
      </c>
      <c r="Y187" t="s">
        <v>468</v>
      </c>
      <c r="Z187" t="s">
        <v>478</v>
      </c>
      <c r="AA187" t="s">
        <v>638</v>
      </c>
      <c r="AC187">
        <v>1</v>
      </c>
      <c r="AD187" t="s">
        <v>639</v>
      </c>
      <c r="AE187">
        <v>582.80289159999995</v>
      </c>
      <c r="AF187">
        <v>2.6137002999999999E-2</v>
      </c>
      <c r="AG187" t="s">
        <v>560</v>
      </c>
      <c r="AH187">
        <v>1</v>
      </c>
      <c r="AI187">
        <v>22298</v>
      </c>
      <c r="AJ187" t="s">
        <v>561</v>
      </c>
      <c r="AK187" t="s">
        <v>573</v>
      </c>
      <c r="AL187" t="s">
        <v>650</v>
      </c>
      <c r="AM187">
        <v>2021</v>
      </c>
      <c r="AN187">
        <v>2020</v>
      </c>
      <c r="AO187">
        <f>IF(AND(emissions[[#This Row],[Market-based]]=0,emissions[[#This Row],[Impact Type]]="CO2E"),emissions[[#This Row],[kgCO2e]],0)/1000</f>
        <v>0</v>
      </c>
      <c r="AP187">
        <f>IF(AND(emissions[[#This Row],[Market-based]]=1,OR(emissions[[#This Row],[Impact Type]]="CO2E",emissions[[#This Row],[Impact Type]]="CO2E MKT")),emissions[[#This Row],[kgCO2e]],0)/1000</f>
        <v>0.58280289159999998</v>
      </c>
      <c r="AQ187" t="str">
        <f>_xlfn.TEXTAFTER(emissions[[#This Row],[Reporting Unit]]," &gt; ",LEN(emissions[[#This Row],[Reporting Unit]])-LEN(SUBSTITUTE(emissions[[#This Row],[Reporting Unit]],"&gt;","")))</f>
        <v>Vantage_Granollers</v>
      </c>
      <c r="AR187" t="str">
        <f>_xlfn.XLOOKUP(emissions[[#This Row],[Reporting unit name]],hierarchy!$A:$A,hierarchy!$C:$C)</f>
        <v>Labratory</v>
      </c>
    </row>
    <row r="188" spans="1:44" hidden="1" x14ac:dyDescent="0.25">
      <c r="A188">
        <v>4977</v>
      </c>
      <c r="B188" t="s">
        <v>204</v>
      </c>
      <c r="C188" t="s">
        <v>475</v>
      </c>
      <c r="D188" t="s">
        <v>599</v>
      </c>
      <c r="E188" s="3">
        <v>44197</v>
      </c>
      <c r="F188" s="3">
        <v>44561</v>
      </c>
      <c r="G188" t="s">
        <v>135</v>
      </c>
      <c r="H188" s="3">
        <v>44197</v>
      </c>
      <c r="I188" s="3">
        <v>44561</v>
      </c>
      <c r="J188" t="s">
        <v>135</v>
      </c>
      <c r="K188">
        <v>60385537.439999998</v>
      </c>
      <c r="L188" t="s">
        <v>140</v>
      </c>
      <c r="M188" t="s">
        <v>82</v>
      </c>
      <c r="O188" t="s">
        <v>600</v>
      </c>
      <c r="P188" t="s">
        <v>550</v>
      </c>
      <c r="Q188">
        <v>2021</v>
      </c>
      <c r="R188" t="s">
        <v>605</v>
      </c>
      <c r="S188" t="s">
        <v>606</v>
      </c>
      <c r="T188" t="s">
        <v>553</v>
      </c>
      <c r="U188" t="b">
        <v>0</v>
      </c>
      <c r="V188" t="s">
        <v>607</v>
      </c>
      <c r="W188" t="s">
        <v>587</v>
      </c>
      <c r="X188" t="s">
        <v>556</v>
      </c>
      <c r="Y188" t="s">
        <v>468</v>
      </c>
      <c r="AC188">
        <v>0</v>
      </c>
      <c r="AD188" t="s">
        <v>558</v>
      </c>
      <c r="AE188">
        <v>4.4242973640000001</v>
      </c>
      <c r="AF188">
        <v>2.5000000000000001E-4</v>
      </c>
      <c r="AG188" t="s">
        <v>608</v>
      </c>
      <c r="AH188">
        <v>2.9306999999999998E-4</v>
      </c>
      <c r="AI188">
        <v>17697.189460000001</v>
      </c>
      <c r="AJ188" t="s">
        <v>561</v>
      </c>
      <c r="AK188" t="s">
        <v>589</v>
      </c>
      <c r="AL188" t="s">
        <v>603</v>
      </c>
      <c r="AM188">
        <v>2021</v>
      </c>
      <c r="AN188">
        <v>2019</v>
      </c>
      <c r="AO188">
        <f>IF(AND(emissions[[#This Row],[Market-based]]=0,emissions[[#This Row],[Impact Type]]="CO2E"),emissions[[#This Row],[kgCO2e]],0)/1000</f>
        <v>0</v>
      </c>
      <c r="AP188">
        <f>IF(AND(emissions[[#This Row],[Market-based]]=1,OR(emissions[[#This Row],[Impact Type]]="CO2E",emissions[[#This Row],[Impact Type]]="CO2E MKT")),emissions[[#This Row],[kgCO2e]],0)/1000</f>
        <v>0</v>
      </c>
      <c r="AQ188" t="str">
        <f>_xlfn.TEXTAFTER(emissions[[#This Row],[Reporting Unit]]," &gt; ",LEN(emissions[[#This Row],[Reporting Unit]])-LEN(SUBSTITUTE(emissions[[#This Row],[Reporting Unit]],"&gt;","")))</f>
        <v>Vantage_Granollers</v>
      </c>
      <c r="AR188" t="str">
        <f>_xlfn.XLOOKUP(emissions[[#This Row],[Reporting unit name]],hierarchy!$A:$A,hierarchy!$C:$C)</f>
        <v>Labratory</v>
      </c>
    </row>
    <row r="189" spans="1:44" hidden="1" x14ac:dyDescent="0.25">
      <c r="A189">
        <v>4977</v>
      </c>
      <c r="B189" t="s">
        <v>204</v>
      </c>
      <c r="C189" t="s">
        <v>475</v>
      </c>
      <c r="D189" t="s">
        <v>599</v>
      </c>
      <c r="E189" s="3">
        <v>44197</v>
      </c>
      <c r="F189" s="3">
        <v>44561</v>
      </c>
      <c r="G189" t="s">
        <v>135</v>
      </c>
      <c r="H189" s="3">
        <v>44197</v>
      </c>
      <c r="I189" s="3">
        <v>44561</v>
      </c>
      <c r="J189" t="s">
        <v>135</v>
      </c>
      <c r="K189">
        <v>60385537.439999998</v>
      </c>
      <c r="L189" t="s">
        <v>140</v>
      </c>
      <c r="M189" t="s">
        <v>82</v>
      </c>
      <c r="O189" t="s">
        <v>600</v>
      </c>
      <c r="P189" t="s">
        <v>550</v>
      </c>
      <c r="Q189">
        <v>2021</v>
      </c>
      <c r="R189" t="s">
        <v>605</v>
      </c>
      <c r="S189" t="s">
        <v>606</v>
      </c>
      <c r="T189" t="s">
        <v>553</v>
      </c>
      <c r="U189" t="b">
        <v>0</v>
      </c>
      <c r="V189" t="s">
        <v>607</v>
      </c>
      <c r="W189" t="s">
        <v>587</v>
      </c>
      <c r="X189" t="s">
        <v>556</v>
      </c>
      <c r="Y189" t="s">
        <v>468</v>
      </c>
      <c r="AC189">
        <v>0</v>
      </c>
      <c r="AD189" t="s">
        <v>564</v>
      </c>
      <c r="AE189">
        <v>3235.400177</v>
      </c>
      <c r="AF189">
        <v>0.18282000000000001</v>
      </c>
      <c r="AG189" t="s">
        <v>608</v>
      </c>
      <c r="AH189">
        <v>2.9306999999999998E-4</v>
      </c>
      <c r="AI189">
        <v>17697.189460000001</v>
      </c>
      <c r="AJ189" t="s">
        <v>561</v>
      </c>
      <c r="AK189" t="s">
        <v>589</v>
      </c>
      <c r="AL189" t="s">
        <v>603</v>
      </c>
      <c r="AM189">
        <v>2021</v>
      </c>
      <c r="AN189">
        <v>2019</v>
      </c>
      <c r="AO189">
        <f>IF(AND(emissions[[#This Row],[Market-based]]=0,emissions[[#This Row],[Impact Type]]="CO2E"),emissions[[#This Row],[kgCO2e]],0)/1000</f>
        <v>0</v>
      </c>
      <c r="AP189">
        <f>IF(AND(emissions[[#This Row],[Market-based]]=1,OR(emissions[[#This Row],[Impact Type]]="CO2E",emissions[[#This Row],[Impact Type]]="CO2E MKT")),emissions[[#This Row],[kgCO2e]],0)/1000</f>
        <v>0</v>
      </c>
      <c r="AQ189" t="str">
        <f>_xlfn.TEXTAFTER(emissions[[#This Row],[Reporting Unit]]," &gt; ",LEN(emissions[[#This Row],[Reporting Unit]])-LEN(SUBSTITUTE(emissions[[#This Row],[Reporting Unit]],"&gt;","")))</f>
        <v>Vantage_Granollers</v>
      </c>
      <c r="AR189" t="str">
        <f>_xlfn.XLOOKUP(emissions[[#This Row],[Reporting unit name]],hierarchy!$A:$A,hierarchy!$C:$C)</f>
        <v>Labratory</v>
      </c>
    </row>
    <row r="190" spans="1:44" hidden="1" x14ac:dyDescent="0.25">
      <c r="A190">
        <v>4977</v>
      </c>
      <c r="B190" t="s">
        <v>204</v>
      </c>
      <c r="C190" t="s">
        <v>475</v>
      </c>
      <c r="D190" t="s">
        <v>599</v>
      </c>
      <c r="E190" s="3">
        <v>44197</v>
      </c>
      <c r="F190" s="3">
        <v>44561</v>
      </c>
      <c r="G190" t="s">
        <v>135</v>
      </c>
      <c r="H190" s="3">
        <v>44197</v>
      </c>
      <c r="I190" s="3">
        <v>44561</v>
      </c>
      <c r="J190" t="s">
        <v>135</v>
      </c>
      <c r="K190">
        <v>60385537.439999998</v>
      </c>
      <c r="L190" t="s">
        <v>140</v>
      </c>
      <c r="M190" t="s">
        <v>82</v>
      </c>
      <c r="O190" t="s">
        <v>600</v>
      </c>
      <c r="P190" t="s">
        <v>550</v>
      </c>
      <c r="Q190">
        <v>2021</v>
      </c>
      <c r="R190" t="s">
        <v>605</v>
      </c>
      <c r="S190" t="s">
        <v>606</v>
      </c>
      <c r="T190" t="s">
        <v>553</v>
      </c>
      <c r="U190" t="b">
        <v>0</v>
      </c>
      <c r="V190" t="s">
        <v>607</v>
      </c>
      <c r="W190" t="s">
        <v>587</v>
      </c>
      <c r="X190" t="s">
        <v>556</v>
      </c>
      <c r="Y190" t="s">
        <v>468</v>
      </c>
      <c r="AC190">
        <v>0</v>
      </c>
      <c r="AD190" t="s">
        <v>565</v>
      </c>
      <c r="AE190">
        <v>3241.5941929999999</v>
      </c>
      <c r="AF190">
        <v>0.18317</v>
      </c>
      <c r="AG190" t="s">
        <v>608</v>
      </c>
      <c r="AH190">
        <v>2.9306999999999998E-4</v>
      </c>
      <c r="AI190">
        <v>17697.189460000001</v>
      </c>
      <c r="AJ190" t="s">
        <v>561</v>
      </c>
      <c r="AK190" t="s">
        <v>589</v>
      </c>
      <c r="AL190" t="s">
        <v>603</v>
      </c>
      <c r="AM190">
        <v>2021</v>
      </c>
      <c r="AN190">
        <v>2019</v>
      </c>
      <c r="AO190">
        <f>IF(AND(emissions[[#This Row],[Market-based]]=0,emissions[[#This Row],[Impact Type]]="CO2E"),emissions[[#This Row],[kgCO2e]],0)/1000</f>
        <v>3.2415941930000001</v>
      </c>
      <c r="AP190">
        <f>IF(AND(emissions[[#This Row],[Market-based]]=1,OR(emissions[[#This Row],[Impact Type]]="CO2E",emissions[[#This Row],[Impact Type]]="CO2E MKT")),emissions[[#This Row],[kgCO2e]],0)/1000</f>
        <v>0</v>
      </c>
      <c r="AQ190" t="str">
        <f>_xlfn.TEXTAFTER(emissions[[#This Row],[Reporting Unit]]," &gt; ",LEN(emissions[[#This Row],[Reporting Unit]])-LEN(SUBSTITUTE(emissions[[#This Row],[Reporting Unit]],"&gt;","")))</f>
        <v>Vantage_Granollers</v>
      </c>
      <c r="AR190" t="str">
        <f>_xlfn.XLOOKUP(emissions[[#This Row],[Reporting unit name]],hierarchy!$A:$A,hierarchy!$C:$C)</f>
        <v>Labratory</v>
      </c>
    </row>
    <row r="191" spans="1:44" hidden="1" x14ac:dyDescent="0.25">
      <c r="A191">
        <v>4977</v>
      </c>
      <c r="B191" t="s">
        <v>204</v>
      </c>
      <c r="C191" t="s">
        <v>475</v>
      </c>
      <c r="D191" t="s">
        <v>599</v>
      </c>
      <c r="E191" s="3">
        <v>44197</v>
      </c>
      <c r="F191" s="3">
        <v>44561</v>
      </c>
      <c r="G191" t="s">
        <v>135</v>
      </c>
      <c r="H191" s="3">
        <v>44197</v>
      </c>
      <c r="I191" s="3">
        <v>44561</v>
      </c>
      <c r="J191" t="s">
        <v>135</v>
      </c>
      <c r="K191">
        <v>60385537.439999998</v>
      </c>
      <c r="L191" t="s">
        <v>140</v>
      </c>
      <c r="M191" t="s">
        <v>82</v>
      </c>
      <c r="O191" t="s">
        <v>600</v>
      </c>
      <c r="P191" t="s">
        <v>550</v>
      </c>
      <c r="Q191">
        <v>2021</v>
      </c>
      <c r="R191" t="s">
        <v>605</v>
      </c>
      <c r="S191" t="s">
        <v>606</v>
      </c>
      <c r="T191" t="s">
        <v>553</v>
      </c>
      <c r="U191" t="b">
        <v>0</v>
      </c>
      <c r="V191" t="s">
        <v>607</v>
      </c>
      <c r="W191" t="s">
        <v>587</v>
      </c>
      <c r="X191" t="s">
        <v>556</v>
      </c>
      <c r="Y191" t="s">
        <v>468</v>
      </c>
      <c r="AC191">
        <v>0</v>
      </c>
      <c r="AD191" t="s">
        <v>566</v>
      </c>
      <c r="AE191">
        <v>1.769718946</v>
      </c>
      <c r="AF191">
        <v>1E-4</v>
      </c>
      <c r="AG191" t="s">
        <v>608</v>
      </c>
      <c r="AH191">
        <v>2.9306999999999998E-4</v>
      </c>
      <c r="AI191">
        <v>17697.189460000001</v>
      </c>
      <c r="AJ191" t="s">
        <v>561</v>
      </c>
      <c r="AK191" t="s">
        <v>589</v>
      </c>
      <c r="AL191" t="s">
        <v>603</v>
      </c>
      <c r="AM191">
        <v>2021</v>
      </c>
      <c r="AN191">
        <v>2019</v>
      </c>
      <c r="AO191">
        <f>IF(AND(emissions[[#This Row],[Market-based]]=0,emissions[[#This Row],[Impact Type]]="CO2E"),emissions[[#This Row],[kgCO2e]],0)/1000</f>
        <v>0</v>
      </c>
      <c r="AP191">
        <f>IF(AND(emissions[[#This Row],[Market-based]]=1,OR(emissions[[#This Row],[Impact Type]]="CO2E",emissions[[#This Row],[Impact Type]]="CO2E MKT")),emissions[[#This Row],[kgCO2e]],0)/1000</f>
        <v>0</v>
      </c>
      <c r="AQ191" t="str">
        <f>_xlfn.TEXTAFTER(emissions[[#This Row],[Reporting Unit]]," &gt; ",LEN(emissions[[#This Row],[Reporting Unit]])-LEN(SUBSTITUTE(emissions[[#This Row],[Reporting Unit]],"&gt;","")))</f>
        <v>Vantage_Granollers</v>
      </c>
      <c r="AR191" t="str">
        <f>_xlfn.XLOOKUP(emissions[[#This Row],[Reporting unit name]],hierarchy!$A:$A,hierarchy!$C:$C)</f>
        <v>Labratory</v>
      </c>
    </row>
    <row r="192" spans="1:44" hidden="1" x14ac:dyDescent="0.25">
      <c r="A192">
        <v>4977</v>
      </c>
      <c r="B192" t="s">
        <v>204</v>
      </c>
      <c r="C192" t="s">
        <v>475</v>
      </c>
      <c r="D192" t="s">
        <v>599</v>
      </c>
      <c r="E192" s="3">
        <v>44197</v>
      </c>
      <c r="F192" s="3">
        <v>44561</v>
      </c>
      <c r="G192" t="s">
        <v>135</v>
      </c>
      <c r="H192" s="3">
        <v>44197</v>
      </c>
      <c r="I192" s="3">
        <v>44561</v>
      </c>
      <c r="J192" t="s">
        <v>135</v>
      </c>
      <c r="K192">
        <v>60385537.439999998</v>
      </c>
      <c r="L192" t="s">
        <v>140</v>
      </c>
      <c r="M192" t="s">
        <v>82</v>
      </c>
      <c r="O192" t="s">
        <v>600</v>
      </c>
      <c r="P192" t="s">
        <v>550</v>
      </c>
      <c r="Q192">
        <v>2021</v>
      </c>
      <c r="R192" t="s">
        <v>605</v>
      </c>
      <c r="S192" t="s">
        <v>606</v>
      </c>
      <c r="T192" t="s">
        <v>553</v>
      </c>
      <c r="U192" t="b">
        <v>0</v>
      </c>
      <c r="V192" t="s">
        <v>607</v>
      </c>
      <c r="W192" t="s">
        <v>587</v>
      </c>
      <c r="X192" t="s">
        <v>556</v>
      </c>
      <c r="Y192" t="s">
        <v>468</v>
      </c>
      <c r="AC192">
        <v>1</v>
      </c>
      <c r="AD192" t="s">
        <v>558</v>
      </c>
      <c r="AE192">
        <v>4.4242973640000001</v>
      </c>
      <c r="AF192">
        <v>2.5000000000000001E-4</v>
      </c>
      <c r="AG192" t="s">
        <v>608</v>
      </c>
      <c r="AH192">
        <v>2.9306999999999998E-4</v>
      </c>
      <c r="AI192">
        <v>17697.189460000001</v>
      </c>
      <c r="AJ192" t="s">
        <v>561</v>
      </c>
      <c r="AK192" t="s">
        <v>589</v>
      </c>
      <c r="AL192" t="s">
        <v>603</v>
      </c>
      <c r="AM192">
        <v>2021</v>
      </c>
      <c r="AN192">
        <v>2019</v>
      </c>
      <c r="AO192">
        <f>IF(AND(emissions[[#This Row],[Market-based]]=0,emissions[[#This Row],[Impact Type]]="CO2E"),emissions[[#This Row],[kgCO2e]],0)/1000</f>
        <v>0</v>
      </c>
      <c r="AP192">
        <f>IF(AND(emissions[[#This Row],[Market-based]]=1,OR(emissions[[#This Row],[Impact Type]]="CO2E",emissions[[#This Row],[Impact Type]]="CO2E MKT")),emissions[[#This Row],[kgCO2e]],0)/1000</f>
        <v>0</v>
      </c>
      <c r="AQ192" t="str">
        <f>_xlfn.TEXTAFTER(emissions[[#This Row],[Reporting Unit]]," &gt; ",LEN(emissions[[#This Row],[Reporting Unit]])-LEN(SUBSTITUTE(emissions[[#This Row],[Reporting Unit]],"&gt;","")))</f>
        <v>Vantage_Granollers</v>
      </c>
      <c r="AR192" t="str">
        <f>_xlfn.XLOOKUP(emissions[[#This Row],[Reporting unit name]],hierarchy!$A:$A,hierarchy!$C:$C)</f>
        <v>Labratory</v>
      </c>
    </row>
    <row r="193" spans="1:44" hidden="1" x14ac:dyDescent="0.25">
      <c r="A193">
        <v>4977</v>
      </c>
      <c r="B193" t="s">
        <v>204</v>
      </c>
      <c r="C193" t="s">
        <v>475</v>
      </c>
      <c r="D193" t="s">
        <v>599</v>
      </c>
      <c r="E193" s="3">
        <v>44197</v>
      </c>
      <c r="F193" s="3">
        <v>44561</v>
      </c>
      <c r="G193" t="s">
        <v>135</v>
      </c>
      <c r="H193" s="3">
        <v>44197</v>
      </c>
      <c r="I193" s="3">
        <v>44561</v>
      </c>
      <c r="J193" t="s">
        <v>135</v>
      </c>
      <c r="K193">
        <v>60385537.439999998</v>
      </c>
      <c r="L193" t="s">
        <v>140</v>
      </c>
      <c r="M193" t="s">
        <v>82</v>
      </c>
      <c r="O193" t="s">
        <v>600</v>
      </c>
      <c r="P193" t="s">
        <v>550</v>
      </c>
      <c r="Q193">
        <v>2021</v>
      </c>
      <c r="R193" t="s">
        <v>605</v>
      </c>
      <c r="S193" t="s">
        <v>606</v>
      </c>
      <c r="T193" t="s">
        <v>553</v>
      </c>
      <c r="U193" t="b">
        <v>0</v>
      </c>
      <c r="V193" t="s">
        <v>607</v>
      </c>
      <c r="W193" t="s">
        <v>587</v>
      </c>
      <c r="X193" t="s">
        <v>556</v>
      </c>
      <c r="Y193" t="s">
        <v>468</v>
      </c>
      <c r="AC193">
        <v>1</v>
      </c>
      <c r="AD193" t="s">
        <v>564</v>
      </c>
      <c r="AE193">
        <v>3235.400177</v>
      </c>
      <c r="AF193">
        <v>0.18282000000000001</v>
      </c>
      <c r="AG193" t="s">
        <v>608</v>
      </c>
      <c r="AH193">
        <v>2.9306999999999998E-4</v>
      </c>
      <c r="AI193">
        <v>17697.189460000001</v>
      </c>
      <c r="AJ193" t="s">
        <v>561</v>
      </c>
      <c r="AK193" t="s">
        <v>589</v>
      </c>
      <c r="AL193" t="s">
        <v>603</v>
      </c>
      <c r="AM193">
        <v>2021</v>
      </c>
      <c r="AN193">
        <v>2019</v>
      </c>
      <c r="AO193">
        <f>IF(AND(emissions[[#This Row],[Market-based]]=0,emissions[[#This Row],[Impact Type]]="CO2E"),emissions[[#This Row],[kgCO2e]],0)/1000</f>
        <v>0</v>
      </c>
      <c r="AP193">
        <f>IF(AND(emissions[[#This Row],[Market-based]]=1,OR(emissions[[#This Row],[Impact Type]]="CO2E",emissions[[#This Row],[Impact Type]]="CO2E MKT")),emissions[[#This Row],[kgCO2e]],0)/1000</f>
        <v>0</v>
      </c>
      <c r="AQ193" t="str">
        <f>_xlfn.TEXTAFTER(emissions[[#This Row],[Reporting Unit]]," &gt; ",LEN(emissions[[#This Row],[Reporting Unit]])-LEN(SUBSTITUTE(emissions[[#This Row],[Reporting Unit]],"&gt;","")))</f>
        <v>Vantage_Granollers</v>
      </c>
      <c r="AR193" t="str">
        <f>_xlfn.XLOOKUP(emissions[[#This Row],[Reporting unit name]],hierarchy!$A:$A,hierarchy!$C:$C)</f>
        <v>Labratory</v>
      </c>
    </row>
    <row r="194" spans="1:44" hidden="1" x14ac:dyDescent="0.25">
      <c r="A194">
        <v>4977</v>
      </c>
      <c r="B194" t="s">
        <v>204</v>
      </c>
      <c r="C194" t="s">
        <v>475</v>
      </c>
      <c r="D194" t="s">
        <v>599</v>
      </c>
      <c r="E194" s="3">
        <v>44197</v>
      </c>
      <c r="F194" s="3">
        <v>44561</v>
      </c>
      <c r="G194" t="s">
        <v>135</v>
      </c>
      <c r="H194" s="3">
        <v>44197</v>
      </c>
      <c r="I194" s="3">
        <v>44561</v>
      </c>
      <c r="J194" t="s">
        <v>135</v>
      </c>
      <c r="K194">
        <v>60385537.439999998</v>
      </c>
      <c r="L194" t="s">
        <v>140</v>
      </c>
      <c r="M194" t="s">
        <v>82</v>
      </c>
      <c r="O194" t="s">
        <v>600</v>
      </c>
      <c r="P194" t="s">
        <v>550</v>
      </c>
      <c r="Q194">
        <v>2021</v>
      </c>
      <c r="R194" t="s">
        <v>605</v>
      </c>
      <c r="S194" t="s">
        <v>606</v>
      </c>
      <c r="T194" t="s">
        <v>553</v>
      </c>
      <c r="U194" t="b">
        <v>0</v>
      </c>
      <c r="V194" t="s">
        <v>607</v>
      </c>
      <c r="W194" t="s">
        <v>587</v>
      </c>
      <c r="X194" t="s">
        <v>556</v>
      </c>
      <c r="Y194" t="s">
        <v>468</v>
      </c>
      <c r="AC194">
        <v>1</v>
      </c>
      <c r="AD194" t="s">
        <v>565</v>
      </c>
      <c r="AE194">
        <v>3241.5941929999999</v>
      </c>
      <c r="AF194">
        <v>0.18317</v>
      </c>
      <c r="AG194" t="s">
        <v>608</v>
      </c>
      <c r="AH194">
        <v>2.9306999999999998E-4</v>
      </c>
      <c r="AI194">
        <v>17697.189460000001</v>
      </c>
      <c r="AJ194" t="s">
        <v>561</v>
      </c>
      <c r="AK194" t="s">
        <v>589</v>
      </c>
      <c r="AL194" t="s">
        <v>603</v>
      </c>
      <c r="AM194">
        <v>2021</v>
      </c>
      <c r="AN194">
        <v>2019</v>
      </c>
      <c r="AO194">
        <f>IF(AND(emissions[[#This Row],[Market-based]]=0,emissions[[#This Row],[Impact Type]]="CO2E"),emissions[[#This Row],[kgCO2e]],0)/1000</f>
        <v>0</v>
      </c>
      <c r="AP194">
        <f>IF(AND(emissions[[#This Row],[Market-based]]=1,OR(emissions[[#This Row],[Impact Type]]="CO2E",emissions[[#This Row],[Impact Type]]="CO2E MKT")),emissions[[#This Row],[kgCO2e]],0)/1000</f>
        <v>3.2415941930000001</v>
      </c>
      <c r="AQ194" t="str">
        <f>_xlfn.TEXTAFTER(emissions[[#This Row],[Reporting Unit]]," &gt; ",LEN(emissions[[#This Row],[Reporting Unit]])-LEN(SUBSTITUTE(emissions[[#This Row],[Reporting Unit]],"&gt;","")))</f>
        <v>Vantage_Granollers</v>
      </c>
      <c r="AR194" t="str">
        <f>_xlfn.XLOOKUP(emissions[[#This Row],[Reporting unit name]],hierarchy!$A:$A,hierarchy!$C:$C)</f>
        <v>Labratory</v>
      </c>
    </row>
    <row r="195" spans="1:44" hidden="1" x14ac:dyDescent="0.25">
      <c r="A195">
        <v>4977</v>
      </c>
      <c r="B195" t="s">
        <v>204</v>
      </c>
      <c r="C195" t="s">
        <v>475</v>
      </c>
      <c r="D195" t="s">
        <v>599</v>
      </c>
      <c r="E195" s="3">
        <v>44197</v>
      </c>
      <c r="F195" s="3">
        <v>44561</v>
      </c>
      <c r="G195" t="s">
        <v>135</v>
      </c>
      <c r="H195" s="3">
        <v>44197</v>
      </c>
      <c r="I195" s="3">
        <v>44561</v>
      </c>
      <c r="J195" t="s">
        <v>135</v>
      </c>
      <c r="K195">
        <v>60385537.439999998</v>
      </c>
      <c r="L195" t="s">
        <v>140</v>
      </c>
      <c r="M195" t="s">
        <v>82</v>
      </c>
      <c r="O195" t="s">
        <v>600</v>
      </c>
      <c r="P195" t="s">
        <v>550</v>
      </c>
      <c r="Q195">
        <v>2021</v>
      </c>
      <c r="R195" t="s">
        <v>605</v>
      </c>
      <c r="S195" t="s">
        <v>606</v>
      </c>
      <c r="T195" t="s">
        <v>553</v>
      </c>
      <c r="U195" t="b">
        <v>0</v>
      </c>
      <c r="V195" t="s">
        <v>607</v>
      </c>
      <c r="W195" t="s">
        <v>587</v>
      </c>
      <c r="X195" t="s">
        <v>556</v>
      </c>
      <c r="Y195" t="s">
        <v>468</v>
      </c>
      <c r="AC195">
        <v>1</v>
      </c>
      <c r="AD195" t="s">
        <v>566</v>
      </c>
      <c r="AE195">
        <v>1.769718946</v>
      </c>
      <c r="AF195">
        <v>1E-4</v>
      </c>
      <c r="AG195" t="s">
        <v>608</v>
      </c>
      <c r="AH195">
        <v>2.9306999999999998E-4</v>
      </c>
      <c r="AI195">
        <v>17697.189460000001</v>
      </c>
      <c r="AJ195" t="s">
        <v>561</v>
      </c>
      <c r="AK195" t="s">
        <v>589</v>
      </c>
      <c r="AL195" t="s">
        <v>603</v>
      </c>
      <c r="AM195">
        <v>2021</v>
      </c>
      <c r="AN195">
        <v>2019</v>
      </c>
      <c r="AO195">
        <f>IF(AND(emissions[[#This Row],[Market-based]]=0,emissions[[#This Row],[Impact Type]]="CO2E"),emissions[[#This Row],[kgCO2e]],0)/1000</f>
        <v>0</v>
      </c>
      <c r="AP195">
        <f>IF(AND(emissions[[#This Row],[Market-based]]=1,OR(emissions[[#This Row],[Impact Type]]="CO2E",emissions[[#This Row],[Impact Type]]="CO2E MKT")),emissions[[#This Row],[kgCO2e]],0)/1000</f>
        <v>0</v>
      </c>
      <c r="AQ195" t="str">
        <f>_xlfn.TEXTAFTER(emissions[[#This Row],[Reporting Unit]]," &gt; ",LEN(emissions[[#This Row],[Reporting Unit]])-LEN(SUBSTITUTE(emissions[[#This Row],[Reporting Unit]],"&gt;","")))</f>
        <v>Vantage_Granollers</v>
      </c>
      <c r="AR195" t="str">
        <f>_xlfn.XLOOKUP(emissions[[#This Row],[Reporting unit name]],hierarchy!$A:$A,hierarchy!$C:$C)</f>
        <v>Labratory</v>
      </c>
    </row>
    <row r="196" spans="1:44" hidden="1" x14ac:dyDescent="0.25">
      <c r="A196">
        <v>4977</v>
      </c>
      <c r="B196" t="s">
        <v>204</v>
      </c>
      <c r="C196" t="s">
        <v>475</v>
      </c>
      <c r="D196" t="s">
        <v>599</v>
      </c>
      <c r="E196" s="3">
        <v>44197</v>
      </c>
      <c r="F196" s="3">
        <v>44561</v>
      </c>
      <c r="G196" t="s">
        <v>135</v>
      </c>
      <c r="H196" s="3">
        <v>44197</v>
      </c>
      <c r="I196" s="3">
        <v>44561</v>
      </c>
      <c r="J196" t="s">
        <v>135</v>
      </c>
      <c r="K196">
        <v>60385537.439999998</v>
      </c>
      <c r="L196" t="s">
        <v>140</v>
      </c>
      <c r="M196" t="s">
        <v>82</v>
      </c>
      <c r="O196" t="s">
        <v>600</v>
      </c>
      <c r="P196" t="s">
        <v>550</v>
      </c>
      <c r="Q196">
        <v>2021</v>
      </c>
      <c r="R196" t="s">
        <v>609</v>
      </c>
      <c r="S196" t="s">
        <v>610</v>
      </c>
      <c r="T196" t="s">
        <v>577</v>
      </c>
      <c r="U196" t="b">
        <v>0</v>
      </c>
      <c r="V196" t="s">
        <v>611</v>
      </c>
      <c r="W196" t="s">
        <v>571</v>
      </c>
      <c r="X196" t="s">
        <v>572</v>
      </c>
      <c r="Y196" t="s">
        <v>468</v>
      </c>
      <c r="AC196">
        <v>0</v>
      </c>
      <c r="AD196" t="s">
        <v>565</v>
      </c>
      <c r="AE196">
        <v>554.80688950000001</v>
      </c>
      <c r="AF196">
        <v>3.1350000000000003E-2</v>
      </c>
      <c r="AG196" t="s">
        <v>608</v>
      </c>
      <c r="AH196">
        <v>2.9306999999999998E-4</v>
      </c>
      <c r="AI196">
        <v>17697.189460000001</v>
      </c>
      <c r="AJ196" t="s">
        <v>561</v>
      </c>
      <c r="AK196" t="s">
        <v>589</v>
      </c>
      <c r="AL196" t="s">
        <v>603</v>
      </c>
      <c r="AM196">
        <v>2021</v>
      </c>
      <c r="AN196">
        <v>2019</v>
      </c>
      <c r="AO196">
        <f>IF(AND(emissions[[#This Row],[Market-based]]=0,emissions[[#This Row],[Impact Type]]="CO2E"),emissions[[#This Row],[kgCO2e]],0)/1000</f>
        <v>0.55480688950000001</v>
      </c>
      <c r="AP196">
        <f>IF(AND(emissions[[#This Row],[Market-based]]=1,OR(emissions[[#This Row],[Impact Type]]="CO2E",emissions[[#This Row],[Impact Type]]="CO2E MKT")),emissions[[#This Row],[kgCO2e]],0)/1000</f>
        <v>0</v>
      </c>
      <c r="AQ196" t="str">
        <f>_xlfn.TEXTAFTER(emissions[[#This Row],[Reporting Unit]]," &gt; ",LEN(emissions[[#This Row],[Reporting Unit]])-LEN(SUBSTITUTE(emissions[[#This Row],[Reporting Unit]],"&gt;","")))</f>
        <v>Vantage_Granollers</v>
      </c>
      <c r="AR196" t="str">
        <f>_xlfn.XLOOKUP(emissions[[#This Row],[Reporting unit name]],hierarchy!$A:$A,hierarchy!$C:$C)</f>
        <v>Labratory</v>
      </c>
    </row>
    <row r="197" spans="1:44" hidden="1" x14ac:dyDescent="0.25">
      <c r="A197">
        <v>4977</v>
      </c>
      <c r="B197" t="s">
        <v>204</v>
      </c>
      <c r="C197" t="s">
        <v>475</v>
      </c>
      <c r="D197" t="s">
        <v>599</v>
      </c>
      <c r="E197" s="3">
        <v>44197</v>
      </c>
      <c r="F197" s="3">
        <v>44561</v>
      </c>
      <c r="G197" t="s">
        <v>135</v>
      </c>
      <c r="H197" s="3">
        <v>44197</v>
      </c>
      <c r="I197" s="3">
        <v>44561</v>
      </c>
      <c r="J197" t="s">
        <v>135</v>
      </c>
      <c r="K197">
        <v>60385537.439999998</v>
      </c>
      <c r="L197" t="s">
        <v>140</v>
      </c>
      <c r="M197" t="s">
        <v>82</v>
      </c>
      <c r="O197" t="s">
        <v>600</v>
      </c>
      <c r="P197" t="s">
        <v>550</v>
      </c>
      <c r="Q197">
        <v>2021</v>
      </c>
      <c r="R197" t="s">
        <v>609</v>
      </c>
      <c r="S197" t="s">
        <v>610</v>
      </c>
      <c r="T197" t="s">
        <v>577</v>
      </c>
      <c r="U197" t="b">
        <v>0</v>
      </c>
      <c r="V197" t="s">
        <v>611</v>
      </c>
      <c r="W197" t="s">
        <v>571</v>
      </c>
      <c r="X197" t="s">
        <v>572</v>
      </c>
      <c r="Y197" t="s">
        <v>468</v>
      </c>
      <c r="AC197">
        <v>1</v>
      </c>
      <c r="AD197" t="s">
        <v>565</v>
      </c>
      <c r="AE197">
        <v>554.80688950000001</v>
      </c>
      <c r="AF197">
        <v>3.1350000000000003E-2</v>
      </c>
      <c r="AG197" t="s">
        <v>608</v>
      </c>
      <c r="AH197">
        <v>2.9306999999999998E-4</v>
      </c>
      <c r="AI197">
        <v>17697.189460000001</v>
      </c>
      <c r="AJ197" t="s">
        <v>561</v>
      </c>
      <c r="AK197" t="s">
        <v>589</v>
      </c>
      <c r="AL197" t="s">
        <v>603</v>
      </c>
      <c r="AM197">
        <v>2021</v>
      </c>
      <c r="AN197">
        <v>2019</v>
      </c>
      <c r="AO197">
        <f>IF(AND(emissions[[#This Row],[Market-based]]=0,emissions[[#This Row],[Impact Type]]="CO2E"),emissions[[#This Row],[kgCO2e]],0)/1000</f>
        <v>0</v>
      </c>
      <c r="AP197">
        <f>IF(AND(emissions[[#This Row],[Market-based]]=1,OR(emissions[[#This Row],[Impact Type]]="CO2E",emissions[[#This Row],[Impact Type]]="CO2E MKT")),emissions[[#This Row],[kgCO2e]],0)/1000</f>
        <v>0.55480688950000001</v>
      </c>
      <c r="AQ197" t="str">
        <f>_xlfn.TEXTAFTER(emissions[[#This Row],[Reporting Unit]]," &gt; ",LEN(emissions[[#This Row],[Reporting Unit]])-LEN(SUBSTITUTE(emissions[[#This Row],[Reporting Unit]],"&gt;","")))</f>
        <v>Vantage_Granollers</v>
      </c>
      <c r="AR197" t="str">
        <f>_xlfn.XLOOKUP(emissions[[#This Row],[Reporting unit name]],hierarchy!$A:$A,hierarchy!$C:$C)</f>
        <v>Labratory</v>
      </c>
    </row>
    <row r="198" spans="1:44" hidden="1" x14ac:dyDescent="0.25">
      <c r="A198">
        <v>5010</v>
      </c>
      <c r="B198" t="s">
        <v>204</v>
      </c>
      <c r="C198" t="s">
        <v>475</v>
      </c>
      <c r="D198" t="s">
        <v>599</v>
      </c>
      <c r="E198" s="3">
        <v>44197</v>
      </c>
      <c r="F198" s="3">
        <v>44561</v>
      </c>
      <c r="G198" t="s">
        <v>141</v>
      </c>
      <c r="H198" s="3">
        <v>44197</v>
      </c>
      <c r="I198" s="3">
        <v>44561</v>
      </c>
      <c r="J198" t="s">
        <v>187</v>
      </c>
      <c r="K198">
        <v>0</v>
      </c>
      <c r="L198" t="s">
        <v>209</v>
      </c>
      <c r="M198" t="s">
        <v>110</v>
      </c>
      <c r="O198" t="s">
        <v>600</v>
      </c>
      <c r="P198" t="s">
        <v>550</v>
      </c>
      <c r="Q198">
        <v>2021</v>
      </c>
      <c r="R198" t="s">
        <v>654</v>
      </c>
      <c r="S198" t="s">
        <v>655</v>
      </c>
      <c r="T198" t="s">
        <v>553</v>
      </c>
      <c r="U198" t="b">
        <v>0</v>
      </c>
      <c r="V198" t="s">
        <v>656</v>
      </c>
      <c r="W198" t="s">
        <v>587</v>
      </c>
      <c r="X198" t="s">
        <v>556</v>
      </c>
      <c r="Y198" t="s">
        <v>468</v>
      </c>
      <c r="AC198">
        <v>0</v>
      </c>
      <c r="AD198" t="s">
        <v>558</v>
      </c>
      <c r="AE198">
        <v>0</v>
      </c>
      <c r="AF198">
        <v>7.3200000000000001E-3</v>
      </c>
      <c r="AG198" t="s">
        <v>588</v>
      </c>
      <c r="AH198">
        <v>1000</v>
      </c>
      <c r="AI198">
        <v>0</v>
      </c>
      <c r="AJ198" t="s">
        <v>561</v>
      </c>
      <c r="AK198" t="s">
        <v>589</v>
      </c>
      <c r="AL198" t="s">
        <v>603</v>
      </c>
      <c r="AM198">
        <v>2021</v>
      </c>
      <c r="AN198">
        <v>2019</v>
      </c>
      <c r="AO198">
        <f>IF(AND(emissions[[#This Row],[Market-based]]=0,emissions[[#This Row],[Impact Type]]="CO2E"),emissions[[#This Row],[kgCO2e]],0)/1000</f>
        <v>0</v>
      </c>
      <c r="AP198">
        <f>IF(AND(emissions[[#This Row],[Market-based]]=1,OR(emissions[[#This Row],[Impact Type]]="CO2E",emissions[[#This Row],[Impact Type]]="CO2E MKT")),emissions[[#This Row],[kgCO2e]],0)/1000</f>
        <v>0</v>
      </c>
      <c r="AQ198" t="str">
        <f>_xlfn.TEXTAFTER(emissions[[#This Row],[Reporting Unit]]," &gt; ",LEN(emissions[[#This Row],[Reporting Unit]])-LEN(SUBSTITUTE(emissions[[#This Row],[Reporting Unit]],"&gt;","")))</f>
        <v>Vantage_Granollers</v>
      </c>
      <c r="AR198" t="str">
        <f>_xlfn.XLOOKUP(emissions[[#This Row],[Reporting unit name]],hierarchy!$A:$A,hierarchy!$C:$C)</f>
        <v>Labratory</v>
      </c>
    </row>
    <row r="199" spans="1:44" hidden="1" x14ac:dyDescent="0.25">
      <c r="A199">
        <v>5010</v>
      </c>
      <c r="B199" t="s">
        <v>204</v>
      </c>
      <c r="C199" t="s">
        <v>475</v>
      </c>
      <c r="D199" t="s">
        <v>599</v>
      </c>
      <c r="E199" s="3">
        <v>44197</v>
      </c>
      <c r="F199" s="3">
        <v>44561</v>
      </c>
      <c r="G199" t="s">
        <v>141</v>
      </c>
      <c r="H199" s="3">
        <v>44197</v>
      </c>
      <c r="I199" s="3">
        <v>44561</v>
      </c>
      <c r="J199" t="s">
        <v>187</v>
      </c>
      <c r="K199">
        <v>0</v>
      </c>
      <c r="L199" t="s">
        <v>209</v>
      </c>
      <c r="M199" t="s">
        <v>110</v>
      </c>
      <c r="O199" t="s">
        <v>600</v>
      </c>
      <c r="P199" t="s">
        <v>550</v>
      </c>
      <c r="Q199">
        <v>2021</v>
      </c>
      <c r="R199" t="s">
        <v>654</v>
      </c>
      <c r="S199" t="s">
        <v>655</v>
      </c>
      <c r="T199" t="s">
        <v>553</v>
      </c>
      <c r="U199" t="b">
        <v>0</v>
      </c>
      <c r="V199" t="s">
        <v>656</v>
      </c>
      <c r="W199" t="s">
        <v>587</v>
      </c>
      <c r="X199" t="s">
        <v>556</v>
      </c>
      <c r="Y199" t="s">
        <v>468</v>
      </c>
      <c r="AC199">
        <v>0</v>
      </c>
      <c r="AD199" t="s">
        <v>564</v>
      </c>
      <c r="AE199">
        <v>0</v>
      </c>
      <c r="AF199">
        <v>2.3256700000000001</v>
      </c>
      <c r="AG199" t="s">
        <v>588</v>
      </c>
      <c r="AH199">
        <v>1000</v>
      </c>
      <c r="AI199">
        <v>0</v>
      </c>
      <c r="AJ199" t="s">
        <v>561</v>
      </c>
      <c r="AK199" t="s">
        <v>589</v>
      </c>
      <c r="AL199" t="s">
        <v>603</v>
      </c>
      <c r="AM199">
        <v>2021</v>
      </c>
      <c r="AN199">
        <v>2019</v>
      </c>
      <c r="AO199">
        <f>IF(AND(emissions[[#This Row],[Market-based]]=0,emissions[[#This Row],[Impact Type]]="CO2E"),emissions[[#This Row],[kgCO2e]],0)/1000</f>
        <v>0</v>
      </c>
      <c r="AP199">
        <f>IF(AND(emissions[[#This Row],[Market-based]]=1,OR(emissions[[#This Row],[Impact Type]]="CO2E",emissions[[#This Row],[Impact Type]]="CO2E MKT")),emissions[[#This Row],[kgCO2e]],0)/1000</f>
        <v>0</v>
      </c>
      <c r="AQ199" t="str">
        <f>_xlfn.TEXTAFTER(emissions[[#This Row],[Reporting Unit]]," &gt; ",LEN(emissions[[#This Row],[Reporting Unit]])-LEN(SUBSTITUTE(emissions[[#This Row],[Reporting Unit]],"&gt;","")))</f>
        <v>Vantage_Granollers</v>
      </c>
      <c r="AR199" t="str">
        <f>_xlfn.XLOOKUP(emissions[[#This Row],[Reporting unit name]],hierarchy!$A:$A,hierarchy!$C:$C)</f>
        <v>Labratory</v>
      </c>
    </row>
    <row r="200" spans="1:44" hidden="1" x14ac:dyDescent="0.25">
      <c r="A200">
        <v>5010</v>
      </c>
      <c r="B200" t="s">
        <v>204</v>
      </c>
      <c r="C200" t="s">
        <v>475</v>
      </c>
      <c r="D200" t="s">
        <v>599</v>
      </c>
      <c r="E200" s="3">
        <v>44197</v>
      </c>
      <c r="F200" s="3">
        <v>44561</v>
      </c>
      <c r="G200" t="s">
        <v>141</v>
      </c>
      <c r="H200" s="3">
        <v>44197</v>
      </c>
      <c r="I200" s="3">
        <v>44561</v>
      </c>
      <c r="J200" t="s">
        <v>187</v>
      </c>
      <c r="K200">
        <v>0</v>
      </c>
      <c r="L200" t="s">
        <v>209</v>
      </c>
      <c r="M200" t="s">
        <v>110</v>
      </c>
      <c r="O200" t="s">
        <v>600</v>
      </c>
      <c r="P200" t="s">
        <v>550</v>
      </c>
      <c r="Q200">
        <v>2021</v>
      </c>
      <c r="R200" t="s">
        <v>654</v>
      </c>
      <c r="S200" t="s">
        <v>655</v>
      </c>
      <c r="T200" t="s">
        <v>553</v>
      </c>
      <c r="U200" t="b">
        <v>0</v>
      </c>
      <c r="V200" t="s">
        <v>656</v>
      </c>
      <c r="W200" t="s">
        <v>587</v>
      </c>
      <c r="X200" t="s">
        <v>556</v>
      </c>
      <c r="Y200" t="s">
        <v>468</v>
      </c>
      <c r="AC200">
        <v>0</v>
      </c>
      <c r="AD200" t="s">
        <v>565</v>
      </c>
      <c r="AE200">
        <v>0</v>
      </c>
      <c r="AF200">
        <v>2.3397000000000001</v>
      </c>
      <c r="AG200" t="s">
        <v>588</v>
      </c>
      <c r="AH200">
        <v>1000</v>
      </c>
      <c r="AI200">
        <v>0</v>
      </c>
      <c r="AJ200" t="s">
        <v>561</v>
      </c>
      <c r="AK200" t="s">
        <v>589</v>
      </c>
      <c r="AL200" t="s">
        <v>603</v>
      </c>
      <c r="AM200">
        <v>2021</v>
      </c>
      <c r="AN200">
        <v>2019</v>
      </c>
      <c r="AO200">
        <f>IF(AND(emissions[[#This Row],[Market-based]]=0,emissions[[#This Row],[Impact Type]]="CO2E"),emissions[[#This Row],[kgCO2e]],0)/1000</f>
        <v>0</v>
      </c>
      <c r="AP200">
        <f>IF(AND(emissions[[#This Row],[Market-based]]=1,OR(emissions[[#This Row],[Impact Type]]="CO2E",emissions[[#This Row],[Impact Type]]="CO2E MKT")),emissions[[#This Row],[kgCO2e]],0)/1000</f>
        <v>0</v>
      </c>
      <c r="AQ200" t="str">
        <f>_xlfn.TEXTAFTER(emissions[[#This Row],[Reporting Unit]]," &gt; ",LEN(emissions[[#This Row],[Reporting Unit]])-LEN(SUBSTITUTE(emissions[[#This Row],[Reporting Unit]],"&gt;","")))</f>
        <v>Vantage_Granollers</v>
      </c>
      <c r="AR200" t="str">
        <f>_xlfn.XLOOKUP(emissions[[#This Row],[Reporting unit name]],hierarchy!$A:$A,hierarchy!$C:$C)</f>
        <v>Labratory</v>
      </c>
    </row>
    <row r="201" spans="1:44" hidden="1" x14ac:dyDescent="0.25">
      <c r="A201">
        <v>5010</v>
      </c>
      <c r="B201" t="s">
        <v>204</v>
      </c>
      <c r="C201" t="s">
        <v>475</v>
      </c>
      <c r="D201" t="s">
        <v>599</v>
      </c>
      <c r="E201" s="3">
        <v>44197</v>
      </c>
      <c r="F201" s="3">
        <v>44561</v>
      </c>
      <c r="G201" t="s">
        <v>141</v>
      </c>
      <c r="H201" s="3">
        <v>44197</v>
      </c>
      <c r="I201" s="3">
        <v>44561</v>
      </c>
      <c r="J201" t="s">
        <v>187</v>
      </c>
      <c r="K201">
        <v>0</v>
      </c>
      <c r="L201" t="s">
        <v>209</v>
      </c>
      <c r="M201" t="s">
        <v>110</v>
      </c>
      <c r="O201" t="s">
        <v>600</v>
      </c>
      <c r="P201" t="s">
        <v>550</v>
      </c>
      <c r="Q201">
        <v>2021</v>
      </c>
      <c r="R201" t="s">
        <v>654</v>
      </c>
      <c r="S201" t="s">
        <v>655</v>
      </c>
      <c r="T201" t="s">
        <v>553</v>
      </c>
      <c r="U201" t="b">
        <v>0</v>
      </c>
      <c r="V201" t="s">
        <v>656</v>
      </c>
      <c r="W201" t="s">
        <v>587</v>
      </c>
      <c r="X201" t="s">
        <v>556</v>
      </c>
      <c r="Y201" t="s">
        <v>468</v>
      </c>
      <c r="AC201">
        <v>0</v>
      </c>
      <c r="AD201" t="s">
        <v>566</v>
      </c>
      <c r="AE201">
        <v>0</v>
      </c>
      <c r="AF201">
        <v>6.7099999999999998E-3</v>
      </c>
      <c r="AG201" t="s">
        <v>588</v>
      </c>
      <c r="AH201">
        <v>1000</v>
      </c>
      <c r="AI201">
        <v>0</v>
      </c>
      <c r="AJ201" t="s">
        <v>561</v>
      </c>
      <c r="AK201" t="s">
        <v>589</v>
      </c>
      <c r="AL201" t="s">
        <v>603</v>
      </c>
      <c r="AM201">
        <v>2021</v>
      </c>
      <c r="AN201">
        <v>2019</v>
      </c>
      <c r="AO201">
        <f>IF(AND(emissions[[#This Row],[Market-based]]=0,emissions[[#This Row],[Impact Type]]="CO2E"),emissions[[#This Row],[kgCO2e]],0)/1000</f>
        <v>0</v>
      </c>
      <c r="AP201">
        <f>IF(AND(emissions[[#This Row],[Market-based]]=1,OR(emissions[[#This Row],[Impact Type]]="CO2E",emissions[[#This Row],[Impact Type]]="CO2E MKT")),emissions[[#This Row],[kgCO2e]],0)/1000</f>
        <v>0</v>
      </c>
      <c r="AQ201" t="str">
        <f>_xlfn.TEXTAFTER(emissions[[#This Row],[Reporting Unit]]," &gt; ",LEN(emissions[[#This Row],[Reporting Unit]])-LEN(SUBSTITUTE(emissions[[#This Row],[Reporting Unit]],"&gt;","")))</f>
        <v>Vantage_Granollers</v>
      </c>
      <c r="AR201" t="str">
        <f>_xlfn.XLOOKUP(emissions[[#This Row],[Reporting unit name]],hierarchy!$A:$A,hierarchy!$C:$C)</f>
        <v>Labratory</v>
      </c>
    </row>
    <row r="202" spans="1:44" hidden="1" x14ac:dyDescent="0.25">
      <c r="A202">
        <v>5010</v>
      </c>
      <c r="B202" t="s">
        <v>204</v>
      </c>
      <c r="C202" t="s">
        <v>475</v>
      </c>
      <c r="D202" t="s">
        <v>599</v>
      </c>
      <c r="E202" s="3">
        <v>44197</v>
      </c>
      <c r="F202" s="3">
        <v>44561</v>
      </c>
      <c r="G202" t="s">
        <v>141</v>
      </c>
      <c r="H202" s="3">
        <v>44197</v>
      </c>
      <c r="I202" s="3">
        <v>44561</v>
      </c>
      <c r="J202" t="s">
        <v>187</v>
      </c>
      <c r="K202">
        <v>0</v>
      </c>
      <c r="L202" t="s">
        <v>209</v>
      </c>
      <c r="M202" t="s">
        <v>110</v>
      </c>
      <c r="O202" t="s">
        <v>600</v>
      </c>
      <c r="P202" t="s">
        <v>550</v>
      </c>
      <c r="Q202">
        <v>2021</v>
      </c>
      <c r="R202" t="s">
        <v>654</v>
      </c>
      <c r="S202" t="s">
        <v>655</v>
      </c>
      <c r="T202" t="s">
        <v>553</v>
      </c>
      <c r="U202" t="b">
        <v>0</v>
      </c>
      <c r="V202" t="s">
        <v>656</v>
      </c>
      <c r="W202" t="s">
        <v>587</v>
      </c>
      <c r="X202" t="s">
        <v>556</v>
      </c>
      <c r="Y202" t="s">
        <v>468</v>
      </c>
      <c r="AC202">
        <v>1</v>
      </c>
      <c r="AD202" t="s">
        <v>558</v>
      </c>
      <c r="AE202">
        <v>0</v>
      </c>
      <c r="AF202">
        <v>7.3200000000000001E-3</v>
      </c>
      <c r="AG202" t="s">
        <v>588</v>
      </c>
      <c r="AH202">
        <v>1000</v>
      </c>
      <c r="AI202">
        <v>0</v>
      </c>
      <c r="AJ202" t="s">
        <v>561</v>
      </c>
      <c r="AK202" t="s">
        <v>589</v>
      </c>
      <c r="AL202" t="s">
        <v>603</v>
      </c>
      <c r="AM202">
        <v>2021</v>
      </c>
      <c r="AN202">
        <v>2019</v>
      </c>
      <c r="AO202">
        <f>IF(AND(emissions[[#This Row],[Market-based]]=0,emissions[[#This Row],[Impact Type]]="CO2E"),emissions[[#This Row],[kgCO2e]],0)/1000</f>
        <v>0</v>
      </c>
      <c r="AP202">
        <f>IF(AND(emissions[[#This Row],[Market-based]]=1,OR(emissions[[#This Row],[Impact Type]]="CO2E",emissions[[#This Row],[Impact Type]]="CO2E MKT")),emissions[[#This Row],[kgCO2e]],0)/1000</f>
        <v>0</v>
      </c>
      <c r="AQ202" t="str">
        <f>_xlfn.TEXTAFTER(emissions[[#This Row],[Reporting Unit]]," &gt; ",LEN(emissions[[#This Row],[Reporting Unit]])-LEN(SUBSTITUTE(emissions[[#This Row],[Reporting Unit]],"&gt;","")))</f>
        <v>Vantage_Granollers</v>
      </c>
      <c r="AR202" t="str">
        <f>_xlfn.XLOOKUP(emissions[[#This Row],[Reporting unit name]],hierarchy!$A:$A,hierarchy!$C:$C)</f>
        <v>Labratory</v>
      </c>
    </row>
    <row r="203" spans="1:44" hidden="1" x14ac:dyDescent="0.25">
      <c r="A203">
        <v>5010</v>
      </c>
      <c r="B203" t="s">
        <v>204</v>
      </c>
      <c r="C203" t="s">
        <v>475</v>
      </c>
      <c r="D203" t="s">
        <v>599</v>
      </c>
      <c r="E203" s="3">
        <v>44197</v>
      </c>
      <c r="F203" s="3">
        <v>44561</v>
      </c>
      <c r="G203" t="s">
        <v>141</v>
      </c>
      <c r="H203" s="3">
        <v>44197</v>
      </c>
      <c r="I203" s="3">
        <v>44561</v>
      </c>
      <c r="J203" t="s">
        <v>187</v>
      </c>
      <c r="K203">
        <v>0</v>
      </c>
      <c r="L203" t="s">
        <v>209</v>
      </c>
      <c r="M203" t="s">
        <v>110</v>
      </c>
      <c r="O203" t="s">
        <v>600</v>
      </c>
      <c r="P203" t="s">
        <v>550</v>
      </c>
      <c r="Q203">
        <v>2021</v>
      </c>
      <c r="R203" t="s">
        <v>654</v>
      </c>
      <c r="S203" t="s">
        <v>655</v>
      </c>
      <c r="T203" t="s">
        <v>553</v>
      </c>
      <c r="U203" t="b">
        <v>0</v>
      </c>
      <c r="V203" t="s">
        <v>656</v>
      </c>
      <c r="W203" t="s">
        <v>587</v>
      </c>
      <c r="X203" t="s">
        <v>556</v>
      </c>
      <c r="Y203" t="s">
        <v>468</v>
      </c>
      <c r="AC203">
        <v>1</v>
      </c>
      <c r="AD203" t="s">
        <v>564</v>
      </c>
      <c r="AE203">
        <v>0</v>
      </c>
      <c r="AF203">
        <v>2.3256700000000001</v>
      </c>
      <c r="AG203" t="s">
        <v>588</v>
      </c>
      <c r="AH203">
        <v>1000</v>
      </c>
      <c r="AI203">
        <v>0</v>
      </c>
      <c r="AJ203" t="s">
        <v>561</v>
      </c>
      <c r="AK203" t="s">
        <v>589</v>
      </c>
      <c r="AL203" t="s">
        <v>603</v>
      </c>
      <c r="AM203">
        <v>2021</v>
      </c>
      <c r="AN203">
        <v>2019</v>
      </c>
      <c r="AO203">
        <f>IF(AND(emissions[[#This Row],[Market-based]]=0,emissions[[#This Row],[Impact Type]]="CO2E"),emissions[[#This Row],[kgCO2e]],0)/1000</f>
        <v>0</v>
      </c>
      <c r="AP203">
        <f>IF(AND(emissions[[#This Row],[Market-based]]=1,OR(emissions[[#This Row],[Impact Type]]="CO2E",emissions[[#This Row],[Impact Type]]="CO2E MKT")),emissions[[#This Row],[kgCO2e]],0)/1000</f>
        <v>0</v>
      </c>
      <c r="AQ203" t="str">
        <f>_xlfn.TEXTAFTER(emissions[[#This Row],[Reporting Unit]]," &gt; ",LEN(emissions[[#This Row],[Reporting Unit]])-LEN(SUBSTITUTE(emissions[[#This Row],[Reporting Unit]],"&gt;","")))</f>
        <v>Vantage_Granollers</v>
      </c>
      <c r="AR203" t="str">
        <f>_xlfn.XLOOKUP(emissions[[#This Row],[Reporting unit name]],hierarchy!$A:$A,hierarchy!$C:$C)</f>
        <v>Labratory</v>
      </c>
    </row>
    <row r="204" spans="1:44" hidden="1" x14ac:dyDescent="0.25">
      <c r="A204">
        <v>5010</v>
      </c>
      <c r="B204" t="s">
        <v>204</v>
      </c>
      <c r="C204" t="s">
        <v>475</v>
      </c>
      <c r="D204" t="s">
        <v>599</v>
      </c>
      <c r="E204" s="3">
        <v>44197</v>
      </c>
      <c r="F204" s="3">
        <v>44561</v>
      </c>
      <c r="G204" t="s">
        <v>141</v>
      </c>
      <c r="H204" s="3">
        <v>44197</v>
      </c>
      <c r="I204" s="3">
        <v>44561</v>
      </c>
      <c r="J204" t="s">
        <v>187</v>
      </c>
      <c r="K204">
        <v>0</v>
      </c>
      <c r="L204" t="s">
        <v>209</v>
      </c>
      <c r="M204" t="s">
        <v>110</v>
      </c>
      <c r="O204" t="s">
        <v>600</v>
      </c>
      <c r="P204" t="s">
        <v>550</v>
      </c>
      <c r="Q204">
        <v>2021</v>
      </c>
      <c r="R204" t="s">
        <v>654</v>
      </c>
      <c r="S204" t="s">
        <v>655</v>
      </c>
      <c r="T204" t="s">
        <v>553</v>
      </c>
      <c r="U204" t="b">
        <v>0</v>
      </c>
      <c r="V204" t="s">
        <v>656</v>
      </c>
      <c r="W204" t="s">
        <v>587</v>
      </c>
      <c r="X204" t="s">
        <v>556</v>
      </c>
      <c r="Y204" t="s">
        <v>468</v>
      </c>
      <c r="AC204">
        <v>1</v>
      </c>
      <c r="AD204" t="s">
        <v>565</v>
      </c>
      <c r="AE204">
        <v>0</v>
      </c>
      <c r="AF204">
        <v>2.3397000000000001</v>
      </c>
      <c r="AG204" t="s">
        <v>588</v>
      </c>
      <c r="AH204">
        <v>1000</v>
      </c>
      <c r="AI204">
        <v>0</v>
      </c>
      <c r="AJ204" t="s">
        <v>561</v>
      </c>
      <c r="AK204" t="s">
        <v>589</v>
      </c>
      <c r="AL204" t="s">
        <v>603</v>
      </c>
      <c r="AM204">
        <v>2021</v>
      </c>
      <c r="AN204">
        <v>2019</v>
      </c>
      <c r="AO204">
        <f>IF(AND(emissions[[#This Row],[Market-based]]=0,emissions[[#This Row],[Impact Type]]="CO2E"),emissions[[#This Row],[kgCO2e]],0)/1000</f>
        <v>0</v>
      </c>
      <c r="AP204">
        <f>IF(AND(emissions[[#This Row],[Market-based]]=1,OR(emissions[[#This Row],[Impact Type]]="CO2E",emissions[[#This Row],[Impact Type]]="CO2E MKT")),emissions[[#This Row],[kgCO2e]],0)/1000</f>
        <v>0</v>
      </c>
      <c r="AQ204" t="str">
        <f>_xlfn.TEXTAFTER(emissions[[#This Row],[Reporting Unit]]," &gt; ",LEN(emissions[[#This Row],[Reporting Unit]])-LEN(SUBSTITUTE(emissions[[#This Row],[Reporting Unit]],"&gt;","")))</f>
        <v>Vantage_Granollers</v>
      </c>
      <c r="AR204" t="str">
        <f>_xlfn.XLOOKUP(emissions[[#This Row],[Reporting unit name]],hierarchy!$A:$A,hierarchy!$C:$C)</f>
        <v>Labratory</v>
      </c>
    </row>
    <row r="205" spans="1:44" hidden="1" x14ac:dyDescent="0.25">
      <c r="A205">
        <v>5010</v>
      </c>
      <c r="B205" t="s">
        <v>204</v>
      </c>
      <c r="C205" t="s">
        <v>475</v>
      </c>
      <c r="D205" t="s">
        <v>599</v>
      </c>
      <c r="E205" s="3">
        <v>44197</v>
      </c>
      <c r="F205" s="3">
        <v>44561</v>
      </c>
      <c r="G205" t="s">
        <v>141</v>
      </c>
      <c r="H205" s="3">
        <v>44197</v>
      </c>
      <c r="I205" s="3">
        <v>44561</v>
      </c>
      <c r="J205" t="s">
        <v>187</v>
      </c>
      <c r="K205">
        <v>0</v>
      </c>
      <c r="L205" t="s">
        <v>209</v>
      </c>
      <c r="M205" t="s">
        <v>110</v>
      </c>
      <c r="O205" t="s">
        <v>600</v>
      </c>
      <c r="P205" t="s">
        <v>550</v>
      </c>
      <c r="Q205">
        <v>2021</v>
      </c>
      <c r="R205" t="s">
        <v>654</v>
      </c>
      <c r="S205" t="s">
        <v>655</v>
      </c>
      <c r="T205" t="s">
        <v>553</v>
      </c>
      <c r="U205" t="b">
        <v>0</v>
      </c>
      <c r="V205" t="s">
        <v>656</v>
      </c>
      <c r="W205" t="s">
        <v>587</v>
      </c>
      <c r="X205" t="s">
        <v>556</v>
      </c>
      <c r="Y205" t="s">
        <v>468</v>
      </c>
      <c r="AC205">
        <v>1</v>
      </c>
      <c r="AD205" t="s">
        <v>566</v>
      </c>
      <c r="AE205">
        <v>0</v>
      </c>
      <c r="AF205">
        <v>6.7099999999999998E-3</v>
      </c>
      <c r="AG205" t="s">
        <v>588</v>
      </c>
      <c r="AH205">
        <v>1000</v>
      </c>
      <c r="AI205">
        <v>0</v>
      </c>
      <c r="AJ205" t="s">
        <v>561</v>
      </c>
      <c r="AK205" t="s">
        <v>589</v>
      </c>
      <c r="AL205" t="s">
        <v>603</v>
      </c>
      <c r="AM205">
        <v>2021</v>
      </c>
      <c r="AN205">
        <v>2019</v>
      </c>
      <c r="AO205">
        <f>IF(AND(emissions[[#This Row],[Market-based]]=0,emissions[[#This Row],[Impact Type]]="CO2E"),emissions[[#This Row],[kgCO2e]],0)/1000</f>
        <v>0</v>
      </c>
      <c r="AP205">
        <f>IF(AND(emissions[[#This Row],[Market-based]]=1,OR(emissions[[#This Row],[Impact Type]]="CO2E",emissions[[#This Row],[Impact Type]]="CO2E MKT")),emissions[[#This Row],[kgCO2e]],0)/1000</f>
        <v>0</v>
      </c>
      <c r="AQ205" t="str">
        <f>_xlfn.TEXTAFTER(emissions[[#This Row],[Reporting Unit]]," &gt; ",LEN(emissions[[#This Row],[Reporting Unit]])-LEN(SUBSTITUTE(emissions[[#This Row],[Reporting Unit]],"&gt;","")))</f>
        <v>Vantage_Granollers</v>
      </c>
      <c r="AR205" t="str">
        <f>_xlfn.XLOOKUP(emissions[[#This Row],[Reporting unit name]],hierarchy!$A:$A,hierarchy!$C:$C)</f>
        <v>Labratory</v>
      </c>
    </row>
    <row r="206" spans="1:44" hidden="1" x14ac:dyDescent="0.25">
      <c r="A206">
        <v>5010</v>
      </c>
      <c r="B206" t="s">
        <v>204</v>
      </c>
      <c r="C206" t="s">
        <v>475</v>
      </c>
      <c r="D206" t="s">
        <v>599</v>
      </c>
      <c r="E206" s="3">
        <v>44197</v>
      </c>
      <c r="F206" s="3">
        <v>44561</v>
      </c>
      <c r="G206" t="s">
        <v>141</v>
      </c>
      <c r="H206" s="3">
        <v>44197</v>
      </c>
      <c r="I206" s="3">
        <v>44561</v>
      </c>
      <c r="J206" t="s">
        <v>187</v>
      </c>
      <c r="K206">
        <v>0</v>
      </c>
      <c r="L206" t="s">
        <v>209</v>
      </c>
      <c r="M206" t="s">
        <v>110</v>
      </c>
      <c r="O206" t="s">
        <v>600</v>
      </c>
      <c r="P206" t="s">
        <v>550</v>
      </c>
      <c r="Q206">
        <v>2021</v>
      </c>
      <c r="R206" t="s">
        <v>657</v>
      </c>
      <c r="S206" t="s">
        <v>658</v>
      </c>
      <c r="T206" t="s">
        <v>577</v>
      </c>
      <c r="U206" t="b">
        <v>0</v>
      </c>
      <c r="V206" t="s">
        <v>659</v>
      </c>
      <c r="W206" t="s">
        <v>571</v>
      </c>
      <c r="X206" t="s">
        <v>572</v>
      </c>
      <c r="Y206" t="s">
        <v>468</v>
      </c>
      <c r="AC206">
        <v>0</v>
      </c>
      <c r="AD206" t="s">
        <v>565</v>
      </c>
      <c r="AE206">
        <v>0</v>
      </c>
      <c r="AF206">
        <v>0.60282999999999998</v>
      </c>
      <c r="AG206" t="s">
        <v>588</v>
      </c>
      <c r="AH206">
        <v>1000</v>
      </c>
      <c r="AI206">
        <v>0</v>
      </c>
      <c r="AJ206" t="s">
        <v>561</v>
      </c>
      <c r="AK206" t="s">
        <v>589</v>
      </c>
      <c r="AL206" t="s">
        <v>603</v>
      </c>
      <c r="AM206">
        <v>2021</v>
      </c>
      <c r="AN206">
        <v>2019</v>
      </c>
      <c r="AO206">
        <f>IF(AND(emissions[[#This Row],[Market-based]]=0,emissions[[#This Row],[Impact Type]]="CO2E"),emissions[[#This Row],[kgCO2e]],0)/1000</f>
        <v>0</v>
      </c>
      <c r="AP206">
        <f>IF(AND(emissions[[#This Row],[Market-based]]=1,OR(emissions[[#This Row],[Impact Type]]="CO2E",emissions[[#This Row],[Impact Type]]="CO2E MKT")),emissions[[#This Row],[kgCO2e]],0)/1000</f>
        <v>0</v>
      </c>
      <c r="AQ206" t="str">
        <f>_xlfn.TEXTAFTER(emissions[[#This Row],[Reporting Unit]]," &gt; ",LEN(emissions[[#This Row],[Reporting Unit]])-LEN(SUBSTITUTE(emissions[[#This Row],[Reporting Unit]],"&gt;","")))</f>
        <v>Vantage_Granollers</v>
      </c>
      <c r="AR206" t="str">
        <f>_xlfn.XLOOKUP(emissions[[#This Row],[Reporting unit name]],hierarchy!$A:$A,hierarchy!$C:$C)</f>
        <v>Labratory</v>
      </c>
    </row>
    <row r="207" spans="1:44" hidden="1" x14ac:dyDescent="0.25">
      <c r="A207">
        <v>5010</v>
      </c>
      <c r="B207" t="s">
        <v>204</v>
      </c>
      <c r="C207" t="s">
        <v>475</v>
      </c>
      <c r="D207" t="s">
        <v>599</v>
      </c>
      <c r="E207" s="3">
        <v>44197</v>
      </c>
      <c r="F207" s="3">
        <v>44561</v>
      </c>
      <c r="G207" t="s">
        <v>141</v>
      </c>
      <c r="H207" s="3">
        <v>44197</v>
      </c>
      <c r="I207" s="3">
        <v>44561</v>
      </c>
      <c r="J207" t="s">
        <v>187</v>
      </c>
      <c r="K207">
        <v>0</v>
      </c>
      <c r="L207" t="s">
        <v>209</v>
      </c>
      <c r="M207" t="s">
        <v>110</v>
      </c>
      <c r="O207" t="s">
        <v>600</v>
      </c>
      <c r="P207" t="s">
        <v>550</v>
      </c>
      <c r="Q207">
        <v>2021</v>
      </c>
      <c r="R207" t="s">
        <v>657</v>
      </c>
      <c r="S207" t="s">
        <v>658</v>
      </c>
      <c r="T207" t="s">
        <v>577</v>
      </c>
      <c r="U207" t="b">
        <v>0</v>
      </c>
      <c r="V207" t="s">
        <v>659</v>
      </c>
      <c r="W207" t="s">
        <v>571</v>
      </c>
      <c r="X207" t="s">
        <v>572</v>
      </c>
      <c r="Y207" t="s">
        <v>468</v>
      </c>
      <c r="AC207">
        <v>1</v>
      </c>
      <c r="AD207" t="s">
        <v>565</v>
      </c>
      <c r="AE207">
        <v>0</v>
      </c>
      <c r="AF207">
        <v>0.60282999999999998</v>
      </c>
      <c r="AG207" t="s">
        <v>588</v>
      </c>
      <c r="AH207">
        <v>1000</v>
      </c>
      <c r="AI207">
        <v>0</v>
      </c>
      <c r="AJ207" t="s">
        <v>561</v>
      </c>
      <c r="AK207" t="s">
        <v>589</v>
      </c>
      <c r="AL207" t="s">
        <v>603</v>
      </c>
      <c r="AM207">
        <v>2021</v>
      </c>
      <c r="AN207">
        <v>2019</v>
      </c>
      <c r="AO207">
        <f>IF(AND(emissions[[#This Row],[Market-based]]=0,emissions[[#This Row],[Impact Type]]="CO2E"),emissions[[#This Row],[kgCO2e]],0)/1000</f>
        <v>0</v>
      </c>
      <c r="AP207">
        <f>IF(AND(emissions[[#This Row],[Market-based]]=1,OR(emissions[[#This Row],[Impact Type]]="CO2E",emissions[[#This Row],[Impact Type]]="CO2E MKT")),emissions[[#This Row],[kgCO2e]],0)/1000</f>
        <v>0</v>
      </c>
      <c r="AQ207" t="str">
        <f>_xlfn.TEXTAFTER(emissions[[#This Row],[Reporting Unit]]," &gt; ",LEN(emissions[[#This Row],[Reporting Unit]])-LEN(SUBSTITUTE(emissions[[#This Row],[Reporting Unit]],"&gt;","")))</f>
        <v>Vantage_Granollers</v>
      </c>
      <c r="AR207" t="str">
        <f>_xlfn.XLOOKUP(emissions[[#This Row],[Reporting unit name]],hierarchy!$A:$A,hierarchy!$C:$C)</f>
        <v>Labratory</v>
      </c>
    </row>
    <row r="208" spans="1:44" hidden="1" x14ac:dyDescent="0.25">
      <c r="A208">
        <v>5036</v>
      </c>
      <c r="B208" t="s">
        <v>204</v>
      </c>
      <c r="C208" t="s">
        <v>475</v>
      </c>
      <c r="D208" t="s">
        <v>599</v>
      </c>
      <c r="E208" s="3">
        <v>44197</v>
      </c>
      <c r="F208" s="3">
        <v>44561</v>
      </c>
      <c r="G208" t="s">
        <v>116</v>
      </c>
      <c r="H208" s="3">
        <v>44197</v>
      </c>
      <c r="I208" s="3">
        <v>44561</v>
      </c>
      <c r="J208" t="s">
        <v>128</v>
      </c>
      <c r="K208">
        <v>0.71040000000000003</v>
      </c>
      <c r="L208" t="s">
        <v>118</v>
      </c>
      <c r="M208" t="s">
        <v>82</v>
      </c>
      <c r="O208" t="s">
        <v>618</v>
      </c>
      <c r="P208" t="s">
        <v>550</v>
      </c>
      <c r="Q208">
        <v>2021</v>
      </c>
      <c r="R208" t="s">
        <v>619</v>
      </c>
      <c r="S208" t="s">
        <v>620</v>
      </c>
      <c r="T208" t="s">
        <v>553</v>
      </c>
      <c r="U208" t="b">
        <v>0</v>
      </c>
      <c r="V208" t="s">
        <v>621</v>
      </c>
      <c r="W208" t="s">
        <v>587</v>
      </c>
      <c r="X208" t="s">
        <v>556</v>
      </c>
      <c r="AC208">
        <v>0</v>
      </c>
      <c r="AD208" t="s">
        <v>565</v>
      </c>
      <c r="AE208">
        <v>1015.872</v>
      </c>
      <c r="AF208">
        <v>1430</v>
      </c>
      <c r="AG208" t="s">
        <v>622</v>
      </c>
      <c r="AH208">
        <v>1</v>
      </c>
      <c r="AI208">
        <v>0.71040000000000003</v>
      </c>
      <c r="AJ208" t="s">
        <v>561</v>
      </c>
      <c r="AK208" t="s">
        <v>623</v>
      </c>
      <c r="AL208" t="s">
        <v>624</v>
      </c>
      <c r="AM208">
        <v>2021</v>
      </c>
      <c r="AN208">
        <v>2007</v>
      </c>
      <c r="AO208">
        <f>IF(AND(emissions[[#This Row],[Market-based]]=0,emissions[[#This Row],[Impact Type]]="CO2E"),emissions[[#This Row],[kgCO2e]],0)/1000</f>
        <v>1.0158719999999999</v>
      </c>
      <c r="AP208">
        <f>IF(AND(emissions[[#This Row],[Market-based]]=1,OR(emissions[[#This Row],[Impact Type]]="CO2E",emissions[[#This Row],[Impact Type]]="CO2E MKT")),emissions[[#This Row],[kgCO2e]],0)/1000</f>
        <v>0</v>
      </c>
      <c r="AQ208" t="str">
        <f>_xlfn.TEXTAFTER(emissions[[#This Row],[Reporting Unit]]," &gt; ",LEN(emissions[[#This Row],[Reporting Unit]])-LEN(SUBSTITUTE(emissions[[#This Row],[Reporting Unit]],"&gt;","")))</f>
        <v>Vantage_Granollers</v>
      </c>
      <c r="AR208" t="str">
        <f>_xlfn.XLOOKUP(emissions[[#This Row],[Reporting unit name]],hierarchy!$A:$A,hierarchy!$C:$C)</f>
        <v>Labratory</v>
      </c>
    </row>
    <row r="209" spans="1:44" hidden="1" x14ac:dyDescent="0.25">
      <c r="A209">
        <v>5036</v>
      </c>
      <c r="B209" t="s">
        <v>204</v>
      </c>
      <c r="C209" t="s">
        <v>475</v>
      </c>
      <c r="D209" t="s">
        <v>599</v>
      </c>
      <c r="E209" s="3">
        <v>44197</v>
      </c>
      <c r="F209" s="3">
        <v>44561</v>
      </c>
      <c r="G209" t="s">
        <v>116</v>
      </c>
      <c r="H209" s="3">
        <v>44197</v>
      </c>
      <c r="I209" s="3">
        <v>44561</v>
      </c>
      <c r="J209" t="s">
        <v>128</v>
      </c>
      <c r="K209">
        <v>0.71040000000000003</v>
      </c>
      <c r="L209" t="s">
        <v>118</v>
      </c>
      <c r="M209" t="s">
        <v>82</v>
      </c>
      <c r="O209" t="s">
        <v>618</v>
      </c>
      <c r="P209" t="s">
        <v>550</v>
      </c>
      <c r="Q209">
        <v>2021</v>
      </c>
      <c r="R209" t="s">
        <v>619</v>
      </c>
      <c r="S209" t="s">
        <v>620</v>
      </c>
      <c r="T209" t="s">
        <v>553</v>
      </c>
      <c r="U209" t="b">
        <v>0</v>
      </c>
      <c r="V209" t="s">
        <v>621</v>
      </c>
      <c r="W209" t="s">
        <v>587</v>
      </c>
      <c r="X209" t="s">
        <v>556</v>
      </c>
      <c r="AC209">
        <v>1</v>
      </c>
      <c r="AD209" t="s">
        <v>565</v>
      </c>
      <c r="AE209">
        <v>1015.872</v>
      </c>
      <c r="AF209">
        <v>1430</v>
      </c>
      <c r="AG209" t="s">
        <v>622</v>
      </c>
      <c r="AH209">
        <v>1</v>
      </c>
      <c r="AI209">
        <v>0.71040000000000003</v>
      </c>
      <c r="AJ209" t="s">
        <v>561</v>
      </c>
      <c r="AK209" t="s">
        <v>623</v>
      </c>
      <c r="AL209" t="s">
        <v>624</v>
      </c>
      <c r="AM209">
        <v>2021</v>
      </c>
      <c r="AN209">
        <v>2007</v>
      </c>
      <c r="AO209">
        <f>IF(AND(emissions[[#This Row],[Market-based]]=0,emissions[[#This Row],[Impact Type]]="CO2E"),emissions[[#This Row],[kgCO2e]],0)/1000</f>
        <v>0</v>
      </c>
      <c r="AP209">
        <f>IF(AND(emissions[[#This Row],[Market-based]]=1,OR(emissions[[#This Row],[Impact Type]]="CO2E",emissions[[#This Row],[Impact Type]]="CO2E MKT")),emissions[[#This Row],[kgCO2e]],0)/1000</f>
        <v>1.0158719999999999</v>
      </c>
      <c r="AQ209" t="str">
        <f>_xlfn.TEXTAFTER(emissions[[#This Row],[Reporting Unit]]," &gt; ",LEN(emissions[[#This Row],[Reporting Unit]])-LEN(SUBSTITUTE(emissions[[#This Row],[Reporting Unit]],"&gt;","")))</f>
        <v>Vantage_Granollers</v>
      </c>
      <c r="AR209" t="str">
        <f>_xlfn.XLOOKUP(emissions[[#This Row],[Reporting unit name]],hierarchy!$A:$A,hierarchy!$C:$C)</f>
        <v>Labratory</v>
      </c>
    </row>
    <row r="210" spans="1:44" hidden="1" x14ac:dyDescent="0.25">
      <c r="A210">
        <v>295023</v>
      </c>
      <c r="B210" t="s">
        <v>190</v>
      </c>
      <c r="C210" t="s">
        <v>501</v>
      </c>
      <c r="D210" t="s">
        <v>548</v>
      </c>
      <c r="E210" s="3">
        <v>44562</v>
      </c>
      <c r="F210" s="3">
        <v>44926</v>
      </c>
      <c r="G210" t="s">
        <v>108</v>
      </c>
      <c r="H210" s="3">
        <v>44562</v>
      </c>
      <c r="I210" s="3">
        <v>44926</v>
      </c>
      <c r="J210" t="s">
        <v>108</v>
      </c>
      <c r="K210">
        <v>138430</v>
      </c>
      <c r="L210" t="s">
        <v>109</v>
      </c>
      <c r="M210" t="s">
        <v>110</v>
      </c>
      <c r="N210" t="s">
        <v>192</v>
      </c>
      <c r="O210" t="s">
        <v>660</v>
      </c>
      <c r="P210" t="s">
        <v>550</v>
      </c>
      <c r="Q210">
        <v>2022</v>
      </c>
      <c r="R210" t="s">
        <v>551</v>
      </c>
      <c r="S210" t="s">
        <v>552</v>
      </c>
      <c r="T210" t="s">
        <v>553</v>
      </c>
      <c r="U210" t="b">
        <v>0</v>
      </c>
      <c r="V210" t="s">
        <v>637</v>
      </c>
      <c r="W210" t="s">
        <v>555</v>
      </c>
      <c r="X210" t="s">
        <v>556</v>
      </c>
      <c r="Y210" t="s">
        <v>468</v>
      </c>
      <c r="Z210" t="s">
        <v>478</v>
      </c>
      <c r="AA210" t="s">
        <v>638</v>
      </c>
      <c r="AC210">
        <v>0</v>
      </c>
      <c r="AD210" t="s">
        <v>558</v>
      </c>
      <c r="AE210">
        <v>41.529000000000003</v>
      </c>
      <c r="AF210" t="s">
        <v>559</v>
      </c>
      <c r="AG210" t="s">
        <v>560</v>
      </c>
      <c r="AH210">
        <v>1</v>
      </c>
      <c r="AI210">
        <v>138430</v>
      </c>
      <c r="AJ210" t="s">
        <v>561</v>
      </c>
      <c r="AK210" t="s">
        <v>562</v>
      </c>
      <c r="AL210" t="s">
        <v>563</v>
      </c>
      <c r="AM210">
        <v>2022</v>
      </c>
      <c r="AN210">
        <v>2020</v>
      </c>
      <c r="AO210">
        <f>IF(AND(emissions[[#This Row],[Market-based]]=0,emissions[[#This Row],[Impact Type]]="CO2E"),emissions[[#This Row],[kgCO2e]],0)/1000</f>
        <v>0</v>
      </c>
      <c r="AP210">
        <f>IF(AND(emissions[[#This Row],[Market-based]]=1,OR(emissions[[#This Row],[Impact Type]]="CO2E",emissions[[#This Row],[Impact Type]]="CO2E MKT")),emissions[[#This Row],[kgCO2e]],0)/1000</f>
        <v>0</v>
      </c>
      <c r="AQ210" t="str">
        <f>_xlfn.TEXTAFTER(emissions[[#This Row],[Reporting Unit]]," &gt; ",LEN(emissions[[#This Row],[Reporting Unit]])-LEN(SUBSTITUTE(emissions[[#This Row],[Reporting Unit]],"&gt;","")))</f>
        <v>Vantage_Les Borges</v>
      </c>
      <c r="AR210" t="str">
        <f>_xlfn.XLOOKUP(emissions[[#This Row],[Reporting unit name]],hierarchy!$A:$A,hierarchy!$C:$C)</f>
        <v>Office</v>
      </c>
    </row>
    <row r="211" spans="1:44" hidden="1" x14ac:dyDescent="0.25">
      <c r="A211">
        <v>295023</v>
      </c>
      <c r="B211" t="s">
        <v>190</v>
      </c>
      <c r="C211" t="s">
        <v>501</v>
      </c>
      <c r="D211" t="s">
        <v>548</v>
      </c>
      <c r="E211" s="3">
        <v>44562</v>
      </c>
      <c r="F211" s="3">
        <v>44926</v>
      </c>
      <c r="G211" t="s">
        <v>108</v>
      </c>
      <c r="H211" s="3">
        <v>44562</v>
      </c>
      <c r="I211" s="3">
        <v>44926</v>
      </c>
      <c r="J211" t="s">
        <v>108</v>
      </c>
      <c r="K211">
        <v>138430</v>
      </c>
      <c r="L211" t="s">
        <v>109</v>
      </c>
      <c r="M211" t="s">
        <v>110</v>
      </c>
      <c r="N211" t="s">
        <v>192</v>
      </c>
      <c r="O211" t="s">
        <v>660</v>
      </c>
      <c r="P211" t="s">
        <v>550</v>
      </c>
      <c r="Q211">
        <v>2022</v>
      </c>
      <c r="R211" t="s">
        <v>551</v>
      </c>
      <c r="S211" t="s">
        <v>552</v>
      </c>
      <c r="T211" t="s">
        <v>553</v>
      </c>
      <c r="U211" t="b">
        <v>0</v>
      </c>
      <c r="V211" t="s">
        <v>637</v>
      </c>
      <c r="W211" t="s">
        <v>555</v>
      </c>
      <c r="X211" t="s">
        <v>556</v>
      </c>
      <c r="Y211" t="s">
        <v>468</v>
      </c>
      <c r="Z211" t="s">
        <v>478</v>
      </c>
      <c r="AA211" t="s">
        <v>638</v>
      </c>
      <c r="AC211">
        <v>0</v>
      </c>
      <c r="AD211" t="s">
        <v>564</v>
      </c>
      <c r="AE211">
        <v>20695.285</v>
      </c>
      <c r="AF211" t="s">
        <v>559</v>
      </c>
      <c r="AG211" t="s">
        <v>560</v>
      </c>
      <c r="AH211">
        <v>1</v>
      </c>
      <c r="AI211">
        <v>138430</v>
      </c>
      <c r="AJ211" t="s">
        <v>561</v>
      </c>
      <c r="AK211" t="s">
        <v>562</v>
      </c>
      <c r="AL211" t="s">
        <v>563</v>
      </c>
      <c r="AM211">
        <v>2022</v>
      </c>
      <c r="AN211">
        <v>2020</v>
      </c>
      <c r="AO211">
        <f>IF(AND(emissions[[#This Row],[Market-based]]=0,emissions[[#This Row],[Impact Type]]="CO2E"),emissions[[#This Row],[kgCO2e]],0)/1000</f>
        <v>0</v>
      </c>
      <c r="AP211">
        <f>IF(AND(emissions[[#This Row],[Market-based]]=1,OR(emissions[[#This Row],[Impact Type]]="CO2E",emissions[[#This Row],[Impact Type]]="CO2E MKT")),emissions[[#This Row],[kgCO2e]],0)/1000</f>
        <v>0</v>
      </c>
      <c r="AQ211" t="str">
        <f>_xlfn.TEXTAFTER(emissions[[#This Row],[Reporting Unit]]," &gt; ",LEN(emissions[[#This Row],[Reporting Unit]])-LEN(SUBSTITUTE(emissions[[#This Row],[Reporting Unit]],"&gt;","")))</f>
        <v>Vantage_Les Borges</v>
      </c>
      <c r="AR211" t="str">
        <f>_xlfn.XLOOKUP(emissions[[#This Row],[Reporting unit name]],hierarchy!$A:$A,hierarchy!$C:$C)</f>
        <v>Office</v>
      </c>
    </row>
    <row r="212" spans="1:44" hidden="1" x14ac:dyDescent="0.25">
      <c r="A212">
        <v>295023</v>
      </c>
      <c r="B212" t="s">
        <v>190</v>
      </c>
      <c r="C212" t="s">
        <v>501</v>
      </c>
      <c r="D212" t="s">
        <v>548</v>
      </c>
      <c r="E212" s="3">
        <v>44562</v>
      </c>
      <c r="F212" s="3">
        <v>44926</v>
      </c>
      <c r="G212" t="s">
        <v>108</v>
      </c>
      <c r="H212" s="3">
        <v>44562</v>
      </c>
      <c r="I212" s="3">
        <v>44926</v>
      </c>
      <c r="J212" t="s">
        <v>108</v>
      </c>
      <c r="K212">
        <v>138430</v>
      </c>
      <c r="L212" t="s">
        <v>109</v>
      </c>
      <c r="M212" t="s">
        <v>110</v>
      </c>
      <c r="N212" t="s">
        <v>192</v>
      </c>
      <c r="O212" t="s">
        <v>660</v>
      </c>
      <c r="P212" t="s">
        <v>550</v>
      </c>
      <c r="Q212">
        <v>2022</v>
      </c>
      <c r="R212" t="s">
        <v>551</v>
      </c>
      <c r="S212" t="s">
        <v>552</v>
      </c>
      <c r="T212" t="s">
        <v>553</v>
      </c>
      <c r="U212" t="b">
        <v>0</v>
      </c>
      <c r="V212" t="s">
        <v>637</v>
      </c>
      <c r="W212" t="s">
        <v>555</v>
      </c>
      <c r="X212" t="s">
        <v>556</v>
      </c>
      <c r="Y212" t="s">
        <v>468</v>
      </c>
      <c r="Z212" t="s">
        <v>478</v>
      </c>
      <c r="AA212" t="s">
        <v>638</v>
      </c>
      <c r="AC212">
        <v>0</v>
      </c>
      <c r="AD212" t="s">
        <v>565</v>
      </c>
      <c r="AE212">
        <v>20806.028999999999</v>
      </c>
      <c r="AF212" t="s">
        <v>559</v>
      </c>
      <c r="AG212" t="s">
        <v>560</v>
      </c>
      <c r="AH212">
        <v>1</v>
      </c>
      <c r="AI212">
        <v>138430</v>
      </c>
      <c r="AJ212" t="s">
        <v>561</v>
      </c>
      <c r="AK212" t="s">
        <v>562</v>
      </c>
      <c r="AL212" t="s">
        <v>563</v>
      </c>
      <c r="AM212">
        <v>2022</v>
      </c>
      <c r="AN212">
        <v>2020</v>
      </c>
      <c r="AO212">
        <f>IF(AND(emissions[[#This Row],[Market-based]]=0,emissions[[#This Row],[Impact Type]]="CO2E"),emissions[[#This Row],[kgCO2e]],0)/1000</f>
        <v>20.806028999999999</v>
      </c>
      <c r="AP212">
        <f>IF(AND(emissions[[#This Row],[Market-based]]=1,OR(emissions[[#This Row],[Impact Type]]="CO2E",emissions[[#This Row],[Impact Type]]="CO2E MKT")),emissions[[#This Row],[kgCO2e]],0)/1000</f>
        <v>0</v>
      </c>
      <c r="AQ212" t="str">
        <f>_xlfn.TEXTAFTER(emissions[[#This Row],[Reporting Unit]]," &gt; ",LEN(emissions[[#This Row],[Reporting Unit]])-LEN(SUBSTITUTE(emissions[[#This Row],[Reporting Unit]],"&gt;","")))</f>
        <v>Vantage_Les Borges</v>
      </c>
      <c r="AR212" t="str">
        <f>_xlfn.XLOOKUP(emissions[[#This Row],[Reporting unit name]],hierarchy!$A:$A,hierarchy!$C:$C)</f>
        <v>Office</v>
      </c>
    </row>
    <row r="213" spans="1:44" hidden="1" x14ac:dyDescent="0.25">
      <c r="A213">
        <v>295023</v>
      </c>
      <c r="B213" t="s">
        <v>190</v>
      </c>
      <c r="C213" t="s">
        <v>501</v>
      </c>
      <c r="D213" t="s">
        <v>548</v>
      </c>
      <c r="E213" s="3">
        <v>44562</v>
      </c>
      <c r="F213" s="3">
        <v>44926</v>
      </c>
      <c r="G213" t="s">
        <v>108</v>
      </c>
      <c r="H213" s="3">
        <v>44562</v>
      </c>
      <c r="I213" s="3">
        <v>44926</v>
      </c>
      <c r="J213" t="s">
        <v>108</v>
      </c>
      <c r="K213">
        <v>138430</v>
      </c>
      <c r="L213" t="s">
        <v>109</v>
      </c>
      <c r="M213" t="s">
        <v>110</v>
      </c>
      <c r="N213" t="s">
        <v>192</v>
      </c>
      <c r="O213" t="s">
        <v>660</v>
      </c>
      <c r="P213" t="s">
        <v>550</v>
      </c>
      <c r="Q213">
        <v>2022</v>
      </c>
      <c r="R213" t="s">
        <v>551</v>
      </c>
      <c r="S213" t="s">
        <v>552</v>
      </c>
      <c r="T213" t="s">
        <v>553</v>
      </c>
      <c r="U213" t="b">
        <v>0</v>
      </c>
      <c r="V213" t="s">
        <v>637</v>
      </c>
      <c r="W213" t="s">
        <v>555</v>
      </c>
      <c r="X213" t="s">
        <v>556</v>
      </c>
      <c r="Y213" t="s">
        <v>468</v>
      </c>
      <c r="Z213" t="s">
        <v>478</v>
      </c>
      <c r="AA213" t="s">
        <v>638</v>
      </c>
      <c r="AC213">
        <v>0</v>
      </c>
      <c r="AD213" t="s">
        <v>566</v>
      </c>
      <c r="AE213">
        <v>69.215000000000003</v>
      </c>
      <c r="AF213" t="s">
        <v>559</v>
      </c>
      <c r="AG213" t="s">
        <v>560</v>
      </c>
      <c r="AH213">
        <v>1</v>
      </c>
      <c r="AI213">
        <v>138430</v>
      </c>
      <c r="AJ213" t="s">
        <v>561</v>
      </c>
      <c r="AK213" t="s">
        <v>562</v>
      </c>
      <c r="AL213" t="s">
        <v>563</v>
      </c>
      <c r="AM213">
        <v>2022</v>
      </c>
      <c r="AN213">
        <v>2020</v>
      </c>
      <c r="AO213">
        <f>IF(AND(emissions[[#This Row],[Market-based]]=0,emissions[[#This Row],[Impact Type]]="CO2E"),emissions[[#This Row],[kgCO2e]],0)/1000</f>
        <v>0</v>
      </c>
      <c r="AP213">
        <f>IF(AND(emissions[[#This Row],[Market-based]]=1,OR(emissions[[#This Row],[Impact Type]]="CO2E",emissions[[#This Row],[Impact Type]]="CO2E MKT")),emissions[[#This Row],[kgCO2e]],0)/1000</f>
        <v>0</v>
      </c>
      <c r="AQ213" t="str">
        <f>_xlfn.TEXTAFTER(emissions[[#This Row],[Reporting Unit]]," &gt; ",LEN(emissions[[#This Row],[Reporting Unit]])-LEN(SUBSTITUTE(emissions[[#This Row],[Reporting Unit]],"&gt;","")))</f>
        <v>Vantage_Les Borges</v>
      </c>
      <c r="AR213" t="str">
        <f>_xlfn.XLOOKUP(emissions[[#This Row],[Reporting unit name]],hierarchy!$A:$A,hierarchy!$C:$C)</f>
        <v>Office</v>
      </c>
    </row>
    <row r="214" spans="1:44" hidden="1" x14ac:dyDescent="0.25">
      <c r="A214">
        <v>295023</v>
      </c>
      <c r="B214" t="s">
        <v>190</v>
      </c>
      <c r="C214" t="s">
        <v>501</v>
      </c>
      <c r="D214" t="s">
        <v>548</v>
      </c>
      <c r="E214" s="3">
        <v>44562</v>
      </c>
      <c r="F214" s="3">
        <v>44926</v>
      </c>
      <c r="G214" t="s">
        <v>108</v>
      </c>
      <c r="H214" s="3">
        <v>44562</v>
      </c>
      <c r="I214" s="3">
        <v>44926</v>
      </c>
      <c r="J214" t="s">
        <v>108</v>
      </c>
      <c r="K214">
        <v>138430</v>
      </c>
      <c r="L214" t="s">
        <v>109</v>
      </c>
      <c r="M214" t="s">
        <v>110</v>
      </c>
      <c r="N214" t="s">
        <v>192</v>
      </c>
      <c r="O214" t="s">
        <v>660</v>
      </c>
      <c r="P214" t="s">
        <v>550</v>
      </c>
      <c r="Q214">
        <v>2022</v>
      </c>
      <c r="R214" t="s">
        <v>551</v>
      </c>
      <c r="S214" t="s">
        <v>552</v>
      </c>
      <c r="T214" t="s">
        <v>553</v>
      </c>
      <c r="U214" t="b">
        <v>0</v>
      </c>
      <c r="V214" t="s">
        <v>637</v>
      </c>
      <c r="W214" t="s">
        <v>555</v>
      </c>
      <c r="X214" t="s">
        <v>556</v>
      </c>
      <c r="Y214" t="s">
        <v>468</v>
      </c>
      <c r="Z214" t="s">
        <v>478</v>
      </c>
      <c r="AA214" t="s">
        <v>638</v>
      </c>
      <c r="AC214">
        <v>1</v>
      </c>
      <c r="AD214" t="s">
        <v>639</v>
      </c>
      <c r="AE214">
        <v>41095.263500000001</v>
      </c>
      <c r="AF214">
        <v>0.29686674499999999</v>
      </c>
      <c r="AG214" t="s">
        <v>560</v>
      </c>
      <c r="AH214">
        <v>1</v>
      </c>
      <c r="AI214">
        <v>138430</v>
      </c>
      <c r="AJ214" t="s">
        <v>561</v>
      </c>
      <c r="AK214" t="s">
        <v>640</v>
      </c>
      <c r="AL214" t="s">
        <v>641</v>
      </c>
      <c r="AM214">
        <v>2022</v>
      </c>
      <c r="AN214">
        <v>2021</v>
      </c>
      <c r="AO214">
        <f>IF(AND(emissions[[#This Row],[Market-based]]=0,emissions[[#This Row],[Impact Type]]="CO2E"),emissions[[#This Row],[kgCO2e]],0)/1000</f>
        <v>0</v>
      </c>
      <c r="AP214">
        <f>IF(AND(emissions[[#This Row],[Market-based]]=1,OR(emissions[[#This Row],[Impact Type]]="CO2E",emissions[[#This Row],[Impact Type]]="CO2E MKT")),emissions[[#This Row],[kgCO2e]],0)/1000</f>
        <v>41.095263500000001</v>
      </c>
      <c r="AQ214" t="str">
        <f>_xlfn.TEXTAFTER(emissions[[#This Row],[Reporting Unit]]," &gt; ",LEN(emissions[[#This Row],[Reporting Unit]])-LEN(SUBSTITUTE(emissions[[#This Row],[Reporting Unit]],"&gt;","")))</f>
        <v>Vantage_Les Borges</v>
      </c>
      <c r="AR214" t="str">
        <f>_xlfn.XLOOKUP(emissions[[#This Row],[Reporting unit name]],hierarchy!$A:$A,hierarchy!$C:$C)</f>
        <v>Office</v>
      </c>
    </row>
    <row r="215" spans="1:44" hidden="1" x14ac:dyDescent="0.25">
      <c r="A215">
        <v>295023</v>
      </c>
      <c r="B215" t="s">
        <v>190</v>
      </c>
      <c r="C215" t="s">
        <v>501</v>
      </c>
      <c r="D215" t="s">
        <v>548</v>
      </c>
      <c r="E215" s="3">
        <v>44562</v>
      </c>
      <c r="F215" s="3">
        <v>44926</v>
      </c>
      <c r="G215" t="s">
        <v>108</v>
      </c>
      <c r="H215" s="3">
        <v>44562</v>
      </c>
      <c r="I215" s="3">
        <v>44926</v>
      </c>
      <c r="J215" t="s">
        <v>108</v>
      </c>
      <c r="K215">
        <v>138430</v>
      </c>
      <c r="L215" t="s">
        <v>109</v>
      </c>
      <c r="M215" t="s">
        <v>110</v>
      </c>
      <c r="N215" t="s">
        <v>192</v>
      </c>
      <c r="O215" t="s">
        <v>660</v>
      </c>
      <c r="P215" t="s">
        <v>550</v>
      </c>
      <c r="Q215">
        <v>2022</v>
      </c>
      <c r="R215" t="s">
        <v>567</v>
      </c>
      <c r="S215" t="s">
        <v>568</v>
      </c>
      <c r="T215" t="s">
        <v>569</v>
      </c>
      <c r="U215" t="b">
        <v>0</v>
      </c>
      <c r="V215" t="s">
        <v>642</v>
      </c>
      <c r="W215" t="s">
        <v>571</v>
      </c>
      <c r="X215" t="s">
        <v>572</v>
      </c>
      <c r="Y215" t="s">
        <v>468</v>
      </c>
      <c r="Z215" t="s">
        <v>478</v>
      </c>
      <c r="AA215" t="s">
        <v>638</v>
      </c>
      <c r="AC215">
        <v>0</v>
      </c>
      <c r="AD215" t="s">
        <v>565</v>
      </c>
      <c r="AE215">
        <v>636.96327440000005</v>
      </c>
      <c r="AF215">
        <v>4.601338E-3</v>
      </c>
      <c r="AG215" t="s">
        <v>560</v>
      </c>
      <c r="AH215">
        <v>1</v>
      </c>
      <c r="AI215">
        <v>138430</v>
      </c>
      <c r="AJ215" t="s">
        <v>561</v>
      </c>
      <c r="AK215" t="s">
        <v>573</v>
      </c>
      <c r="AL215" t="s">
        <v>574</v>
      </c>
      <c r="AM215">
        <v>2022</v>
      </c>
      <c r="AN215">
        <v>2020</v>
      </c>
      <c r="AO215">
        <f>IF(AND(emissions[[#This Row],[Market-based]]=0,emissions[[#This Row],[Impact Type]]="CO2E"),emissions[[#This Row],[kgCO2e]],0)/1000</f>
        <v>0.6369632744</v>
      </c>
      <c r="AP215">
        <f>IF(AND(emissions[[#This Row],[Market-based]]=1,OR(emissions[[#This Row],[Impact Type]]="CO2E",emissions[[#This Row],[Impact Type]]="CO2E MKT")),emissions[[#This Row],[kgCO2e]],0)/1000</f>
        <v>0</v>
      </c>
      <c r="AQ215" t="str">
        <f>_xlfn.TEXTAFTER(emissions[[#This Row],[Reporting Unit]]," &gt; ",LEN(emissions[[#This Row],[Reporting Unit]])-LEN(SUBSTITUTE(emissions[[#This Row],[Reporting Unit]],"&gt;","")))</f>
        <v>Vantage_Les Borges</v>
      </c>
      <c r="AR215" t="str">
        <f>_xlfn.XLOOKUP(emissions[[#This Row],[Reporting unit name]],hierarchy!$A:$A,hierarchy!$C:$C)</f>
        <v>Office</v>
      </c>
    </row>
    <row r="216" spans="1:44" hidden="1" x14ac:dyDescent="0.25">
      <c r="A216">
        <v>295023</v>
      </c>
      <c r="B216" t="s">
        <v>190</v>
      </c>
      <c r="C216" t="s">
        <v>501</v>
      </c>
      <c r="D216" t="s">
        <v>548</v>
      </c>
      <c r="E216" s="3">
        <v>44562</v>
      </c>
      <c r="F216" s="3">
        <v>44926</v>
      </c>
      <c r="G216" t="s">
        <v>108</v>
      </c>
      <c r="H216" s="3">
        <v>44562</v>
      </c>
      <c r="I216" s="3">
        <v>44926</v>
      </c>
      <c r="J216" t="s">
        <v>108</v>
      </c>
      <c r="K216">
        <v>138430</v>
      </c>
      <c r="L216" t="s">
        <v>109</v>
      </c>
      <c r="M216" t="s">
        <v>110</v>
      </c>
      <c r="N216" t="s">
        <v>192</v>
      </c>
      <c r="O216" t="s">
        <v>660</v>
      </c>
      <c r="P216" t="s">
        <v>550</v>
      </c>
      <c r="Q216">
        <v>2022</v>
      </c>
      <c r="R216" t="s">
        <v>567</v>
      </c>
      <c r="S216" t="s">
        <v>568</v>
      </c>
      <c r="T216" t="s">
        <v>569</v>
      </c>
      <c r="U216" t="b">
        <v>0</v>
      </c>
      <c r="V216" t="s">
        <v>643</v>
      </c>
      <c r="W216" t="s">
        <v>571</v>
      </c>
      <c r="X216" t="s">
        <v>572</v>
      </c>
      <c r="Y216" t="s">
        <v>468</v>
      </c>
      <c r="Z216" t="s">
        <v>478</v>
      </c>
      <c r="AA216" t="s">
        <v>638</v>
      </c>
      <c r="AC216">
        <v>1</v>
      </c>
      <c r="AD216" t="s">
        <v>639</v>
      </c>
      <c r="AE216">
        <v>328.75152159999999</v>
      </c>
      <c r="AF216">
        <v>2.3748570000000002E-3</v>
      </c>
      <c r="AG216" t="s">
        <v>560</v>
      </c>
      <c r="AH216">
        <v>1</v>
      </c>
      <c r="AI216">
        <v>138430</v>
      </c>
      <c r="AJ216" t="s">
        <v>561</v>
      </c>
      <c r="AK216" t="s">
        <v>573</v>
      </c>
      <c r="AL216" t="s">
        <v>644</v>
      </c>
      <c r="AM216">
        <v>2022</v>
      </c>
      <c r="AN216">
        <v>2020</v>
      </c>
      <c r="AO216">
        <f>IF(AND(emissions[[#This Row],[Market-based]]=0,emissions[[#This Row],[Impact Type]]="CO2E"),emissions[[#This Row],[kgCO2e]],0)/1000</f>
        <v>0</v>
      </c>
      <c r="AP216">
        <f>IF(AND(emissions[[#This Row],[Market-based]]=1,OR(emissions[[#This Row],[Impact Type]]="CO2E",emissions[[#This Row],[Impact Type]]="CO2E MKT")),emissions[[#This Row],[kgCO2e]],0)/1000</f>
        <v>0.32875152159999999</v>
      </c>
      <c r="AQ216" t="str">
        <f>_xlfn.TEXTAFTER(emissions[[#This Row],[Reporting Unit]]," &gt; ",LEN(emissions[[#This Row],[Reporting Unit]])-LEN(SUBSTITUTE(emissions[[#This Row],[Reporting Unit]],"&gt;","")))</f>
        <v>Vantage_Les Borges</v>
      </c>
      <c r="AR216" t="str">
        <f>_xlfn.XLOOKUP(emissions[[#This Row],[Reporting unit name]],hierarchy!$A:$A,hierarchy!$C:$C)</f>
        <v>Office</v>
      </c>
    </row>
    <row r="217" spans="1:44" hidden="1" x14ac:dyDescent="0.25">
      <c r="A217">
        <v>295023</v>
      </c>
      <c r="B217" t="s">
        <v>190</v>
      </c>
      <c r="C217" t="s">
        <v>501</v>
      </c>
      <c r="D217" t="s">
        <v>548</v>
      </c>
      <c r="E217" s="3">
        <v>44562</v>
      </c>
      <c r="F217" s="3">
        <v>44926</v>
      </c>
      <c r="G217" t="s">
        <v>108</v>
      </c>
      <c r="H217" s="3">
        <v>44562</v>
      </c>
      <c r="I217" s="3">
        <v>44926</v>
      </c>
      <c r="J217" t="s">
        <v>108</v>
      </c>
      <c r="K217">
        <v>138430</v>
      </c>
      <c r="L217" t="s">
        <v>109</v>
      </c>
      <c r="M217" t="s">
        <v>110</v>
      </c>
      <c r="N217" t="s">
        <v>192</v>
      </c>
      <c r="O217" t="s">
        <v>660</v>
      </c>
      <c r="P217" t="s">
        <v>550</v>
      </c>
      <c r="Q217">
        <v>2022</v>
      </c>
      <c r="R217" t="s">
        <v>575</v>
      </c>
      <c r="S217" t="s">
        <v>576</v>
      </c>
      <c r="T217" t="s">
        <v>577</v>
      </c>
      <c r="U217" t="b">
        <v>0</v>
      </c>
      <c r="V217" t="s">
        <v>645</v>
      </c>
      <c r="W217" t="s">
        <v>571</v>
      </c>
      <c r="X217" t="s">
        <v>572</v>
      </c>
      <c r="Y217" t="s">
        <v>468</v>
      </c>
      <c r="Z217" t="s">
        <v>478</v>
      </c>
      <c r="AA217" t="s">
        <v>638</v>
      </c>
      <c r="AC217">
        <v>0</v>
      </c>
      <c r="AD217" t="s">
        <v>565</v>
      </c>
      <c r="AE217">
        <v>6557.2315170000002</v>
      </c>
      <c r="AF217">
        <v>4.7368572999999997E-2</v>
      </c>
      <c r="AG217" t="s">
        <v>560</v>
      </c>
      <c r="AH217">
        <v>1</v>
      </c>
      <c r="AI217">
        <v>138430</v>
      </c>
      <c r="AJ217" t="s">
        <v>561</v>
      </c>
      <c r="AK217" t="s">
        <v>573</v>
      </c>
      <c r="AL217" t="s">
        <v>574</v>
      </c>
      <c r="AM217">
        <v>2022</v>
      </c>
      <c r="AN217">
        <v>2020</v>
      </c>
      <c r="AO217">
        <f>IF(AND(emissions[[#This Row],[Market-based]]=0,emissions[[#This Row],[Impact Type]]="CO2E"),emissions[[#This Row],[kgCO2e]],0)/1000</f>
        <v>6.557231517</v>
      </c>
      <c r="AP217">
        <f>IF(AND(emissions[[#This Row],[Market-based]]=1,OR(emissions[[#This Row],[Impact Type]]="CO2E",emissions[[#This Row],[Impact Type]]="CO2E MKT")),emissions[[#This Row],[kgCO2e]],0)/1000</f>
        <v>0</v>
      </c>
      <c r="AQ217" t="str">
        <f>_xlfn.TEXTAFTER(emissions[[#This Row],[Reporting Unit]]," &gt; ",LEN(emissions[[#This Row],[Reporting Unit]])-LEN(SUBSTITUTE(emissions[[#This Row],[Reporting Unit]],"&gt;","")))</f>
        <v>Vantage_Les Borges</v>
      </c>
      <c r="AR217" t="str">
        <f>_xlfn.XLOOKUP(emissions[[#This Row],[Reporting unit name]],hierarchy!$A:$A,hierarchy!$C:$C)</f>
        <v>Office</v>
      </c>
    </row>
    <row r="218" spans="1:44" hidden="1" x14ac:dyDescent="0.25">
      <c r="A218">
        <v>295023</v>
      </c>
      <c r="B218" t="s">
        <v>190</v>
      </c>
      <c r="C218" t="s">
        <v>501</v>
      </c>
      <c r="D218" t="s">
        <v>548</v>
      </c>
      <c r="E218" s="3">
        <v>44562</v>
      </c>
      <c r="F218" s="3">
        <v>44926</v>
      </c>
      <c r="G218" t="s">
        <v>108</v>
      </c>
      <c r="H218" s="3">
        <v>44562</v>
      </c>
      <c r="I218" s="3">
        <v>44926</v>
      </c>
      <c r="J218" t="s">
        <v>108</v>
      </c>
      <c r="K218">
        <v>138430</v>
      </c>
      <c r="L218" t="s">
        <v>109</v>
      </c>
      <c r="M218" t="s">
        <v>110</v>
      </c>
      <c r="N218" t="s">
        <v>192</v>
      </c>
      <c r="O218" t="s">
        <v>660</v>
      </c>
      <c r="P218" t="s">
        <v>550</v>
      </c>
      <c r="Q218">
        <v>2022</v>
      </c>
      <c r="R218" t="s">
        <v>575</v>
      </c>
      <c r="S218" t="s">
        <v>576</v>
      </c>
      <c r="T218" t="s">
        <v>577</v>
      </c>
      <c r="U218" t="b">
        <v>0</v>
      </c>
      <c r="V218" t="s">
        <v>646</v>
      </c>
      <c r="W218" t="s">
        <v>571</v>
      </c>
      <c r="X218" t="s">
        <v>572</v>
      </c>
      <c r="Y218" t="s">
        <v>468</v>
      </c>
      <c r="Z218" t="s">
        <v>478</v>
      </c>
      <c r="AA218" t="s">
        <v>638</v>
      </c>
      <c r="AC218">
        <v>1</v>
      </c>
      <c r="AD218" t="s">
        <v>639</v>
      </c>
      <c r="AE218">
        <v>12549.76397</v>
      </c>
      <c r="AF218">
        <v>9.0657834000000007E-2</v>
      </c>
      <c r="AG218" t="s">
        <v>560</v>
      </c>
      <c r="AH218">
        <v>1</v>
      </c>
      <c r="AI218">
        <v>138430</v>
      </c>
      <c r="AJ218" t="s">
        <v>561</v>
      </c>
      <c r="AK218" t="s">
        <v>573</v>
      </c>
      <c r="AL218" t="s">
        <v>647</v>
      </c>
      <c r="AM218">
        <v>2022</v>
      </c>
      <c r="AN218">
        <v>2020</v>
      </c>
      <c r="AO218">
        <f>IF(AND(emissions[[#This Row],[Market-based]]=0,emissions[[#This Row],[Impact Type]]="CO2E"),emissions[[#This Row],[kgCO2e]],0)/1000</f>
        <v>0</v>
      </c>
      <c r="AP218">
        <f>IF(AND(emissions[[#This Row],[Market-based]]=1,OR(emissions[[#This Row],[Impact Type]]="CO2E",emissions[[#This Row],[Impact Type]]="CO2E MKT")),emissions[[#This Row],[kgCO2e]],0)/1000</f>
        <v>12.549763970000001</v>
      </c>
      <c r="AQ218" t="str">
        <f>_xlfn.TEXTAFTER(emissions[[#This Row],[Reporting Unit]]," &gt; ",LEN(emissions[[#This Row],[Reporting Unit]])-LEN(SUBSTITUTE(emissions[[#This Row],[Reporting Unit]],"&gt;","")))</f>
        <v>Vantage_Les Borges</v>
      </c>
      <c r="AR218" t="str">
        <f>_xlfn.XLOOKUP(emissions[[#This Row],[Reporting unit name]],hierarchy!$A:$A,hierarchy!$C:$C)</f>
        <v>Office</v>
      </c>
    </row>
    <row r="219" spans="1:44" hidden="1" x14ac:dyDescent="0.25">
      <c r="A219">
        <v>295023</v>
      </c>
      <c r="B219" t="s">
        <v>190</v>
      </c>
      <c r="C219" t="s">
        <v>501</v>
      </c>
      <c r="D219" t="s">
        <v>548</v>
      </c>
      <c r="E219" s="3">
        <v>44562</v>
      </c>
      <c r="F219" s="3">
        <v>44926</v>
      </c>
      <c r="G219" t="s">
        <v>108</v>
      </c>
      <c r="H219" s="3">
        <v>44562</v>
      </c>
      <c r="I219" s="3">
        <v>44926</v>
      </c>
      <c r="J219" t="s">
        <v>108</v>
      </c>
      <c r="K219">
        <v>138430</v>
      </c>
      <c r="L219" t="s">
        <v>109</v>
      </c>
      <c r="M219" t="s">
        <v>110</v>
      </c>
      <c r="N219" t="s">
        <v>192</v>
      </c>
      <c r="O219" t="s">
        <v>660</v>
      </c>
      <c r="P219" t="s">
        <v>550</v>
      </c>
      <c r="Q219">
        <v>2022</v>
      </c>
      <c r="R219" t="s">
        <v>579</v>
      </c>
      <c r="S219" t="s">
        <v>580</v>
      </c>
      <c r="T219" t="s">
        <v>581</v>
      </c>
      <c r="U219" t="b">
        <v>0</v>
      </c>
      <c r="V219" t="s">
        <v>648</v>
      </c>
      <c r="W219" t="s">
        <v>571</v>
      </c>
      <c r="X219" t="s">
        <v>572</v>
      </c>
      <c r="Y219" t="s">
        <v>468</v>
      </c>
      <c r="Z219" t="s">
        <v>478</v>
      </c>
      <c r="AA219" t="s">
        <v>638</v>
      </c>
      <c r="AC219">
        <v>0</v>
      </c>
      <c r="AD219" t="s">
        <v>565</v>
      </c>
      <c r="AE219">
        <v>2021.078</v>
      </c>
      <c r="AF219" t="s">
        <v>559</v>
      </c>
      <c r="AG219" t="s">
        <v>560</v>
      </c>
      <c r="AH219">
        <v>1</v>
      </c>
      <c r="AI219">
        <v>138430</v>
      </c>
      <c r="AJ219" t="s">
        <v>561</v>
      </c>
      <c r="AK219" t="s">
        <v>562</v>
      </c>
      <c r="AL219" t="s">
        <v>563</v>
      </c>
      <c r="AM219">
        <v>2022</v>
      </c>
      <c r="AN219">
        <v>2020</v>
      </c>
      <c r="AO219">
        <f>IF(AND(emissions[[#This Row],[Market-based]]=0,emissions[[#This Row],[Impact Type]]="CO2E"),emissions[[#This Row],[kgCO2e]],0)/1000</f>
        <v>2.0210780000000002</v>
      </c>
      <c r="AP219">
        <f>IF(AND(emissions[[#This Row],[Market-based]]=1,OR(emissions[[#This Row],[Impact Type]]="CO2E",emissions[[#This Row],[Impact Type]]="CO2E MKT")),emissions[[#This Row],[kgCO2e]],0)/1000</f>
        <v>0</v>
      </c>
      <c r="AQ219" t="str">
        <f>_xlfn.TEXTAFTER(emissions[[#This Row],[Reporting Unit]]," &gt; ",LEN(emissions[[#This Row],[Reporting Unit]])-LEN(SUBSTITUTE(emissions[[#This Row],[Reporting Unit]],"&gt;","")))</f>
        <v>Vantage_Les Borges</v>
      </c>
      <c r="AR219" t="str">
        <f>_xlfn.XLOOKUP(emissions[[#This Row],[Reporting unit name]],hierarchy!$A:$A,hierarchy!$C:$C)</f>
        <v>Office</v>
      </c>
    </row>
    <row r="220" spans="1:44" hidden="1" x14ac:dyDescent="0.25">
      <c r="A220">
        <v>295023</v>
      </c>
      <c r="B220" t="s">
        <v>190</v>
      </c>
      <c r="C220" t="s">
        <v>501</v>
      </c>
      <c r="D220" t="s">
        <v>548</v>
      </c>
      <c r="E220" s="3">
        <v>44562</v>
      </c>
      <c r="F220" s="3">
        <v>44926</v>
      </c>
      <c r="G220" t="s">
        <v>108</v>
      </c>
      <c r="H220" s="3">
        <v>44562</v>
      </c>
      <c r="I220" s="3">
        <v>44926</v>
      </c>
      <c r="J220" t="s">
        <v>108</v>
      </c>
      <c r="K220">
        <v>138430</v>
      </c>
      <c r="L220" t="s">
        <v>109</v>
      </c>
      <c r="M220" t="s">
        <v>110</v>
      </c>
      <c r="N220" t="s">
        <v>192</v>
      </c>
      <c r="O220" t="s">
        <v>660</v>
      </c>
      <c r="P220" t="s">
        <v>550</v>
      </c>
      <c r="Q220">
        <v>2022</v>
      </c>
      <c r="R220" t="s">
        <v>579</v>
      </c>
      <c r="S220" t="s">
        <v>580</v>
      </c>
      <c r="T220" t="s">
        <v>581</v>
      </c>
      <c r="U220" t="b">
        <v>0</v>
      </c>
      <c r="V220" t="s">
        <v>649</v>
      </c>
      <c r="W220" t="s">
        <v>571</v>
      </c>
      <c r="X220" t="s">
        <v>572</v>
      </c>
      <c r="Y220" t="s">
        <v>468</v>
      </c>
      <c r="Z220" t="s">
        <v>478</v>
      </c>
      <c r="AA220" t="s">
        <v>638</v>
      </c>
      <c r="AC220">
        <v>1</v>
      </c>
      <c r="AD220" t="s">
        <v>639</v>
      </c>
      <c r="AE220">
        <v>3618.145317</v>
      </c>
      <c r="AF220">
        <v>2.6137002999999999E-2</v>
      </c>
      <c r="AG220" t="s">
        <v>560</v>
      </c>
      <c r="AH220">
        <v>1</v>
      </c>
      <c r="AI220">
        <v>138430</v>
      </c>
      <c r="AJ220" t="s">
        <v>561</v>
      </c>
      <c r="AK220" t="s">
        <v>573</v>
      </c>
      <c r="AL220" t="s">
        <v>650</v>
      </c>
      <c r="AM220">
        <v>2022</v>
      </c>
      <c r="AN220">
        <v>2020</v>
      </c>
      <c r="AO220">
        <f>IF(AND(emissions[[#This Row],[Market-based]]=0,emissions[[#This Row],[Impact Type]]="CO2E"),emissions[[#This Row],[kgCO2e]],0)/1000</f>
        <v>0</v>
      </c>
      <c r="AP220">
        <f>IF(AND(emissions[[#This Row],[Market-based]]=1,OR(emissions[[#This Row],[Impact Type]]="CO2E",emissions[[#This Row],[Impact Type]]="CO2E MKT")),emissions[[#This Row],[kgCO2e]],0)/1000</f>
        <v>3.6181453170000002</v>
      </c>
      <c r="AQ220" t="str">
        <f>_xlfn.TEXTAFTER(emissions[[#This Row],[Reporting Unit]]," &gt; ",LEN(emissions[[#This Row],[Reporting Unit]])-LEN(SUBSTITUTE(emissions[[#This Row],[Reporting Unit]],"&gt;","")))</f>
        <v>Vantage_Les Borges</v>
      </c>
      <c r="AR220" t="str">
        <f>_xlfn.XLOOKUP(emissions[[#This Row],[Reporting unit name]],hierarchy!$A:$A,hierarchy!$C:$C)</f>
        <v>Office</v>
      </c>
    </row>
    <row r="221" spans="1:44" hidden="1" x14ac:dyDescent="0.25">
      <c r="A221">
        <v>295038</v>
      </c>
      <c r="B221" t="s">
        <v>190</v>
      </c>
      <c r="C221" t="s">
        <v>501</v>
      </c>
      <c r="D221" t="s">
        <v>548</v>
      </c>
      <c r="E221" s="3">
        <v>44562</v>
      </c>
      <c r="F221" s="3">
        <v>44926</v>
      </c>
      <c r="G221" t="s">
        <v>135</v>
      </c>
      <c r="H221" s="3">
        <v>44562</v>
      </c>
      <c r="I221" s="3">
        <v>44926</v>
      </c>
      <c r="J221" t="s">
        <v>135</v>
      </c>
      <c r="K221">
        <v>476.67899999999997</v>
      </c>
      <c r="L221" t="s">
        <v>194</v>
      </c>
      <c r="M221" t="s">
        <v>110</v>
      </c>
      <c r="N221" t="s">
        <v>196</v>
      </c>
      <c r="O221" t="s">
        <v>661</v>
      </c>
      <c r="P221" t="s">
        <v>550</v>
      </c>
      <c r="Q221">
        <v>2022</v>
      </c>
      <c r="R221" t="s">
        <v>605</v>
      </c>
      <c r="S221" t="s">
        <v>606</v>
      </c>
      <c r="T221" t="s">
        <v>553</v>
      </c>
      <c r="U221" t="b">
        <v>0</v>
      </c>
      <c r="V221" t="s">
        <v>607</v>
      </c>
      <c r="W221" t="s">
        <v>587</v>
      </c>
      <c r="X221" t="s">
        <v>556</v>
      </c>
      <c r="Y221" t="s">
        <v>468</v>
      </c>
      <c r="AC221">
        <v>0</v>
      </c>
      <c r="AD221" t="s">
        <v>558</v>
      </c>
      <c r="AE221">
        <v>119.16974999999999</v>
      </c>
      <c r="AF221">
        <v>2.5000000000000001E-4</v>
      </c>
      <c r="AG221" t="s">
        <v>608</v>
      </c>
      <c r="AH221">
        <v>1000</v>
      </c>
      <c r="AI221">
        <v>476679</v>
      </c>
      <c r="AJ221" t="s">
        <v>561</v>
      </c>
      <c r="AK221" t="s">
        <v>589</v>
      </c>
      <c r="AL221" t="s">
        <v>590</v>
      </c>
      <c r="AM221">
        <v>2022</v>
      </c>
      <c r="AN221">
        <v>2020</v>
      </c>
      <c r="AO221">
        <f>IF(AND(emissions[[#This Row],[Market-based]]=0,emissions[[#This Row],[Impact Type]]="CO2E"),emissions[[#This Row],[kgCO2e]],0)/1000</f>
        <v>0</v>
      </c>
      <c r="AP221">
        <f>IF(AND(emissions[[#This Row],[Market-based]]=1,OR(emissions[[#This Row],[Impact Type]]="CO2E",emissions[[#This Row],[Impact Type]]="CO2E MKT")),emissions[[#This Row],[kgCO2e]],0)/1000</f>
        <v>0</v>
      </c>
      <c r="AQ221" t="str">
        <f>_xlfn.TEXTAFTER(emissions[[#This Row],[Reporting Unit]]," &gt; ",LEN(emissions[[#This Row],[Reporting Unit]])-LEN(SUBSTITUTE(emissions[[#This Row],[Reporting Unit]],"&gt;","")))</f>
        <v>Vantage_Les Borges</v>
      </c>
      <c r="AR221" t="str">
        <f>_xlfn.XLOOKUP(emissions[[#This Row],[Reporting unit name]],hierarchy!$A:$A,hierarchy!$C:$C)</f>
        <v>Office</v>
      </c>
    </row>
    <row r="222" spans="1:44" hidden="1" x14ac:dyDescent="0.25">
      <c r="A222">
        <v>295038</v>
      </c>
      <c r="B222" t="s">
        <v>190</v>
      </c>
      <c r="C222" t="s">
        <v>501</v>
      </c>
      <c r="D222" t="s">
        <v>548</v>
      </c>
      <c r="E222" s="3">
        <v>44562</v>
      </c>
      <c r="F222" s="3">
        <v>44926</v>
      </c>
      <c r="G222" t="s">
        <v>135</v>
      </c>
      <c r="H222" s="3">
        <v>44562</v>
      </c>
      <c r="I222" s="3">
        <v>44926</v>
      </c>
      <c r="J222" t="s">
        <v>135</v>
      </c>
      <c r="K222">
        <v>476.67899999999997</v>
      </c>
      <c r="L222" t="s">
        <v>194</v>
      </c>
      <c r="M222" t="s">
        <v>110</v>
      </c>
      <c r="N222" t="s">
        <v>196</v>
      </c>
      <c r="O222" t="s">
        <v>661</v>
      </c>
      <c r="P222" t="s">
        <v>550</v>
      </c>
      <c r="Q222">
        <v>2022</v>
      </c>
      <c r="R222" t="s">
        <v>605</v>
      </c>
      <c r="S222" t="s">
        <v>606</v>
      </c>
      <c r="T222" t="s">
        <v>553</v>
      </c>
      <c r="U222" t="b">
        <v>0</v>
      </c>
      <c r="V222" t="s">
        <v>607</v>
      </c>
      <c r="W222" t="s">
        <v>587</v>
      </c>
      <c r="X222" t="s">
        <v>556</v>
      </c>
      <c r="Y222" t="s">
        <v>468</v>
      </c>
      <c r="AC222">
        <v>0</v>
      </c>
      <c r="AD222" t="s">
        <v>564</v>
      </c>
      <c r="AE222">
        <v>86846.147010000001</v>
      </c>
      <c r="AF222">
        <v>0.18218999999999999</v>
      </c>
      <c r="AG222" t="s">
        <v>608</v>
      </c>
      <c r="AH222">
        <v>1000</v>
      </c>
      <c r="AI222">
        <v>476679</v>
      </c>
      <c r="AJ222" t="s">
        <v>561</v>
      </c>
      <c r="AK222" t="s">
        <v>589</v>
      </c>
      <c r="AL222" t="s">
        <v>590</v>
      </c>
      <c r="AM222">
        <v>2022</v>
      </c>
      <c r="AN222">
        <v>2020</v>
      </c>
      <c r="AO222">
        <f>IF(AND(emissions[[#This Row],[Market-based]]=0,emissions[[#This Row],[Impact Type]]="CO2E"),emissions[[#This Row],[kgCO2e]],0)/1000</f>
        <v>0</v>
      </c>
      <c r="AP222">
        <f>IF(AND(emissions[[#This Row],[Market-based]]=1,OR(emissions[[#This Row],[Impact Type]]="CO2E",emissions[[#This Row],[Impact Type]]="CO2E MKT")),emissions[[#This Row],[kgCO2e]],0)/1000</f>
        <v>0</v>
      </c>
      <c r="AQ222" t="str">
        <f>_xlfn.TEXTAFTER(emissions[[#This Row],[Reporting Unit]]," &gt; ",LEN(emissions[[#This Row],[Reporting Unit]])-LEN(SUBSTITUTE(emissions[[#This Row],[Reporting Unit]],"&gt;","")))</f>
        <v>Vantage_Les Borges</v>
      </c>
      <c r="AR222" t="str">
        <f>_xlfn.XLOOKUP(emissions[[#This Row],[Reporting unit name]],hierarchy!$A:$A,hierarchy!$C:$C)</f>
        <v>Office</v>
      </c>
    </row>
    <row r="223" spans="1:44" hidden="1" x14ac:dyDescent="0.25">
      <c r="A223">
        <v>295038</v>
      </c>
      <c r="B223" t="s">
        <v>190</v>
      </c>
      <c r="C223" t="s">
        <v>501</v>
      </c>
      <c r="D223" t="s">
        <v>548</v>
      </c>
      <c r="E223" s="3">
        <v>44562</v>
      </c>
      <c r="F223" s="3">
        <v>44926</v>
      </c>
      <c r="G223" t="s">
        <v>135</v>
      </c>
      <c r="H223" s="3">
        <v>44562</v>
      </c>
      <c r="I223" s="3">
        <v>44926</v>
      </c>
      <c r="J223" t="s">
        <v>135</v>
      </c>
      <c r="K223">
        <v>476.67899999999997</v>
      </c>
      <c r="L223" t="s">
        <v>194</v>
      </c>
      <c r="M223" t="s">
        <v>110</v>
      </c>
      <c r="N223" t="s">
        <v>196</v>
      </c>
      <c r="O223" t="s">
        <v>661</v>
      </c>
      <c r="P223" t="s">
        <v>550</v>
      </c>
      <c r="Q223">
        <v>2022</v>
      </c>
      <c r="R223" t="s">
        <v>605</v>
      </c>
      <c r="S223" t="s">
        <v>606</v>
      </c>
      <c r="T223" t="s">
        <v>553</v>
      </c>
      <c r="U223" t="b">
        <v>0</v>
      </c>
      <c r="V223" t="s">
        <v>607</v>
      </c>
      <c r="W223" t="s">
        <v>587</v>
      </c>
      <c r="X223" t="s">
        <v>556</v>
      </c>
      <c r="Y223" t="s">
        <v>468</v>
      </c>
      <c r="AC223">
        <v>0</v>
      </c>
      <c r="AD223" t="s">
        <v>565</v>
      </c>
      <c r="AE223">
        <v>87012.984660000002</v>
      </c>
      <c r="AF223">
        <v>0.18254000000000001</v>
      </c>
      <c r="AG223" t="s">
        <v>608</v>
      </c>
      <c r="AH223">
        <v>1000</v>
      </c>
      <c r="AI223">
        <v>476679</v>
      </c>
      <c r="AJ223" t="s">
        <v>561</v>
      </c>
      <c r="AK223" t="s">
        <v>589</v>
      </c>
      <c r="AL223" t="s">
        <v>590</v>
      </c>
      <c r="AM223">
        <v>2022</v>
      </c>
      <c r="AN223">
        <v>2020</v>
      </c>
      <c r="AO223">
        <f>IF(AND(emissions[[#This Row],[Market-based]]=0,emissions[[#This Row],[Impact Type]]="CO2E"),emissions[[#This Row],[kgCO2e]],0)/1000</f>
        <v>87.012984660000001</v>
      </c>
      <c r="AP223">
        <f>IF(AND(emissions[[#This Row],[Market-based]]=1,OR(emissions[[#This Row],[Impact Type]]="CO2E",emissions[[#This Row],[Impact Type]]="CO2E MKT")),emissions[[#This Row],[kgCO2e]],0)/1000</f>
        <v>0</v>
      </c>
      <c r="AQ223" t="str">
        <f>_xlfn.TEXTAFTER(emissions[[#This Row],[Reporting Unit]]," &gt; ",LEN(emissions[[#This Row],[Reporting Unit]])-LEN(SUBSTITUTE(emissions[[#This Row],[Reporting Unit]],"&gt;","")))</f>
        <v>Vantage_Les Borges</v>
      </c>
      <c r="AR223" t="str">
        <f>_xlfn.XLOOKUP(emissions[[#This Row],[Reporting unit name]],hierarchy!$A:$A,hierarchy!$C:$C)</f>
        <v>Office</v>
      </c>
    </row>
    <row r="224" spans="1:44" hidden="1" x14ac:dyDescent="0.25">
      <c r="A224">
        <v>295038</v>
      </c>
      <c r="B224" t="s">
        <v>190</v>
      </c>
      <c r="C224" t="s">
        <v>501</v>
      </c>
      <c r="D224" t="s">
        <v>548</v>
      </c>
      <c r="E224" s="3">
        <v>44562</v>
      </c>
      <c r="F224" s="3">
        <v>44926</v>
      </c>
      <c r="G224" t="s">
        <v>135</v>
      </c>
      <c r="H224" s="3">
        <v>44562</v>
      </c>
      <c r="I224" s="3">
        <v>44926</v>
      </c>
      <c r="J224" t="s">
        <v>135</v>
      </c>
      <c r="K224">
        <v>476.67899999999997</v>
      </c>
      <c r="L224" t="s">
        <v>194</v>
      </c>
      <c r="M224" t="s">
        <v>110</v>
      </c>
      <c r="N224" t="s">
        <v>196</v>
      </c>
      <c r="O224" t="s">
        <v>661</v>
      </c>
      <c r="P224" t="s">
        <v>550</v>
      </c>
      <c r="Q224">
        <v>2022</v>
      </c>
      <c r="R224" t="s">
        <v>605</v>
      </c>
      <c r="S224" t="s">
        <v>606</v>
      </c>
      <c r="T224" t="s">
        <v>553</v>
      </c>
      <c r="U224" t="b">
        <v>0</v>
      </c>
      <c r="V224" t="s">
        <v>607</v>
      </c>
      <c r="W224" t="s">
        <v>587</v>
      </c>
      <c r="X224" t="s">
        <v>556</v>
      </c>
      <c r="Y224" t="s">
        <v>468</v>
      </c>
      <c r="AC224">
        <v>0</v>
      </c>
      <c r="AD224" t="s">
        <v>566</v>
      </c>
      <c r="AE224">
        <v>47.667900000000003</v>
      </c>
      <c r="AF224">
        <v>1E-4</v>
      </c>
      <c r="AG224" t="s">
        <v>608</v>
      </c>
      <c r="AH224">
        <v>1000</v>
      </c>
      <c r="AI224">
        <v>476679</v>
      </c>
      <c r="AJ224" t="s">
        <v>561</v>
      </c>
      <c r="AK224" t="s">
        <v>589</v>
      </c>
      <c r="AL224" t="s">
        <v>590</v>
      </c>
      <c r="AM224">
        <v>2022</v>
      </c>
      <c r="AN224">
        <v>2020</v>
      </c>
      <c r="AO224">
        <f>IF(AND(emissions[[#This Row],[Market-based]]=0,emissions[[#This Row],[Impact Type]]="CO2E"),emissions[[#This Row],[kgCO2e]],0)/1000</f>
        <v>0</v>
      </c>
      <c r="AP224">
        <f>IF(AND(emissions[[#This Row],[Market-based]]=1,OR(emissions[[#This Row],[Impact Type]]="CO2E",emissions[[#This Row],[Impact Type]]="CO2E MKT")),emissions[[#This Row],[kgCO2e]],0)/1000</f>
        <v>0</v>
      </c>
      <c r="AQ224" t="str">
        <f>_xlfn.TEXTAFTER(emissions[[#This Row],[Reporting Unit]]," &gt; ",LEN(emissions[[#This Row],[Reporting Unit]])-LEN(SUBSTITUTE(emissions[[#This Row],[Reporting Unit]],"&gt;","")))</f>
        <v>Vantage_Les Borges</v>
      </c>
      <c r="AR224" t="str">
        <f>_xlfn.XLOOKUP(emissions[[#This Row],[Reporting unit name]],hierarchy!$A:$A,hierarchy!$C:$C)</f>
        <v>Office</v>
      </c>
    </row>
    <row r="225" spans="1:44" hidden="1" x14ac:dyDescent="0.25">
      <c r="A225">
        <v>295038</v>
      </c>
      <c r="B225" t="s">
        <v>190</v>
      </c>
      <c r="C225" t="s">
        <v>501</v>
      </c>
      <c r="D225" t="s">
        <v>548</v>
      </c>
      <c r="E225" s="3">
        <v>44562</v>
      </c>
      <c r="F225" s="3">
        <v>44926</v>
      </c>
      <c r="G225" t="s">
        <v>135</v>
      </c>
      <c r="H225" s="3">
        <v>44562</v>
      </c>
      <c r="I225" s="3">
        <v>44926</v>
      </c>
      <c r="J225" t="s">
        <v>135</v>
      </c>
      <c r="K225">
        <v>476.67899999999997</v>
      </c>
      <c r="L225" t="s">
        <v>194</v>
      </c>
      <c r="M225" t="s">
        <v>110</v>
      </c>
      <c r="N225" t="s">
        <v>196</v>
      </c>
      <c r="O225" t="s">
        <v>661</v>
      </c>
      <c r="P225" t="s">
        <v>550</v>
      </c>
      <c r="Q225">
        <v>2022</v>
      </c>
      <c r="R225" t="s">
        <v>605</v>
      </c>
      <c r="S225" t="s">
        <v>606</v>
      </c>
      <c r="T225" t="s">
        <v>553</v>
      </c>
      <c r="U225" t="b">
        <v>0</v>
      </c>
      <c r="V225" t="s">
        <v>607</v>
      </c>
      <c r="W225" t="s">
        <v>587</v>
      </c>
      <c r="X225" t="s">
        <v>556</v>
      </c>
      <c r="Y225" t="s">
        <v>468</v>
      </c>
      <c r="AC225">
        <v>1</v>
      </c>
      <c r="AD225" t="s">
        <v>558</v>
      </c>
      <c r="AE225">
        <v>119.16974999999999</v>
      </c>
      <c r="AF225">
        <v>2.5000000000000001E-4</v>
      </c>
      <c r="AG225" t="s">
        <v>608</v>
      </c>
      <c r="AH225">
        <v>1000</v>
      </c>
      <c r="AI225">
        <v>476679</v>
      </c>
      <c r="AJ225" t="s">
        <v>561</v>
      </c>
      <c r="AK225" t="s">
        <v>589</v>
      </c>
      <c r="AL225" t="s">
        <v>590</v>
      </c>
      <c r="AM225">
        <v>2022</v>
      </c>
      <c r="AN225">
        <v>2020</v>
      </c>
      <c r="AO225">
        <f>IF(AND(emissions[[#This Row],[Market-based]]=0,emissions[[#This Row],[Impact Type]]="CO2E"),emissions[[#This Row],[kgCO2e]],0)/1000</f>
        <v>0</v>
      </c>
      <c r="AP225">
        <f>IF(AND(emissions[[#This Row],[Market-based]]=1,OR(emissions[[#This Row],[Impact Type]]="CO2E",emissions[[#This Row],[Impact Type]]="CO2E MKT")),emissions[[#This Row],[kgCO2e]],0)/1000</f>
        <v>0</v>
      </c>
      <c r="AQ225" t="str">
        <f>_xlfn.TEXTAFTER(emissions[[#This Row],[Reporting Unit]]," &gt; ",LEN(emissions[[#This Row],[Reporting Unit]])-LEN(SUBSTITUTE(emissions[[#This Row],[Reporting Unit]],"&gt;","")))</f>
        <v>Vantage_Les Borges</v>
      </c>
      <c r="AR225" t="str">
        <f>_xlfn.XLOOKUP(emissions[[#This Row],[Reporting unit name]],hierarchy!$A:$A,hierarchy!$C:$C)</f>
        <v>Office</v>
      </c>
    </row>
    <row r="226" spans="1:44" hidden="1" x14ac:dyDescent="0.25">
      <c r="A226">
        <v>295038</v>
      </c>
      <c r="B226" t="s">
        <v>190</v>
      </c>
      <c r="C226" t="s">
        <v>501</v>
      </c>
      <c r="D226" t="s">
        <v>548</v>
      </c>
      <c r="E226" s="3">
        <v>44562</v>
      </c>
      <c r="F226" s="3">
        <v>44926</v>
      </c>
      <c r="G226" t="s">
        <v>135</v>
      </c>
      <c r="H226" s="3">
        <v>44562</v>
      </c>
      <c r="I226" s="3">
        <v>44926</v>
      </c>
      <c r="J226" t="s">
        <v>135</v>
      </c>
      <c r="K226">
        <v>476.67899999999997</v>
      </c>
      <c r="L226" t="s">
        <v>194</v>
      </c>
      <c r="M226" t="s">
        <v>110</v>
      </c>
      <c r="N226" t="s">
        <v>196</v>
      </c>
      <c r="O226" t="s">
        <v>661</v>
      </c>
      <c r="P226" t="s">
        <v>550</v>
      </c>
      <c r="Q226">
        <v>2022</v>
      </c>
      <c r="R226" t="s">
        <v>605</v>
      </c>
      <c r="S226" t="s">
        <v>606</v>
      </c>
      <c r="T226" t="s">
        <v>553</v>
      </c>
      <c r="U226" t="b">
        <v>0</v>
      </c>
      <c r="V226" t="s">
        <v>607</v>
      </c>
      <c r="W226" t="s">
        <v>587</v>
      </c>
      <c r="X226" t="s">
        <v>556</v>
      </c>
      <c r="Y226" t="s">
        <v>468</v>
      </c>
      <c r="AC226">
        <v>1</v>
      </c>
      <c r="AD226" t="s">
        <v>564</v>
      </c>
      <c r="AE226">
        <v>86846.147010000001</v>
      </c>
      <c r="AF226">
        <v>0.18218999999999999</v>
      </c>
      <c r="AG226" t="s">
        <v>608</v>
      </c>
      <c r="AH226">
        <v>1000</v>
      </c>
      <c r="AI226">
        <v>476679</v>
      </c>
      <c r="AJ226" t="s">
        <v>561</v>
      </c>
      <c r="AK226" t="s">
        <v>589</v>
      </c>
      <c r="AL226" t="s">
        <v>590</v>
      </c>
      <c r="AM226">
        <v>2022</v>
      </c>
      <c r="AN226">
        <v>2020</v>
      </c>
      <c r="AO226">
        <f>IF(AND(emissions[[#This Row],[Market-based]]=0,emissions[[#This Row],[Impact Type]]="CO2E"),emissions[[#This Row],[kgCO2e]],0)/1000</f>
        <v>0</v>
      </c>
      <c r="AP226">
        <f>IF(AND(emissions[[#This Row],[Market-based]]=1,OR(emissions[[#This Row],[Impact Type]]="CO2E",emissions[[#This Row],[Impact Type]]="CO2E MKT")),emissions[[#This Row],[kgCO2e]],0)/1000</f>
        <v>0</v>
      </c>
      <c r="AQ226" t="str">
        <f>_xlfn.TEXTAFTER(emissions[[#This Row],[Reporting Unit]]," &gt; ",LEN(emissions[[#This Row],[Reporting Unit]])-LEN(SUBSTITUTE(emissions[[#This Row],[Reporting Unit]],"&gt;","")))</f>
        <v>Vantage_Les Borges</v>
      </c>
      <c r="AR226" t="str">
        <f>_xlfn.XLOOKUP(emissions[[#This Row],[Reporting unit name]],hierarchy!$A:$A,hierarchy!$C:$C)</f>
        <v>Office</v>
      </c>
    </row>
    <row r="227" spans="1:44" hidden="1" x14ac:dyDescent="0.25">
      <c r="A227">
        <v>295038</v>
      </c>
      <c r="B227" t="s">
        <v>190</v>
      </c>
      <c r="C227" t="s">
        <v>501</v>
      </c>
      <c r="D227" t="s">
        <v>548</v>
      </c>
      <c r="E227" s="3">
        <v>44562</v>
      </c>
      <c r="F227" s="3">
        <v>44926</v>
      </c>
      <c r="G227" t="s">
        <v>135</v>
      </c>
      <c r="H227" s="3">
        <v>44562</v>
      </c>
      <c r="I227" s="3">
        <v>44926</v>
      </c>
      <c r="J227" t="s">
        <v>135</v>
      </c>
      <c r="K227">
        <v>476.67899999999997</v>
      </c>
      <c r="L227" t="s">
        <v>194</v>
      </c>
      <c r="M227" t="s">
        <v>110</v>
      </c>
      <c r="N227" t="s">
        <v>196</v>
      </c>
      <c r="O227" t="s">
        <v>661</v>
      </c>
      <c r="P227" t="s">
        <v>550</v>
      </c>
      <c r="Q227">
        <v>2022</v>
      </c>
      <c r="R227" t="s">
        <v>605</v>
      </c>
      <c r="S227" t="s">
        <v>606</v>
      </c>
      <c r="T227" t="s">
        <v>553</v>
      </c>
      <c r="U227" t="b">
        <v>0</v>
      </c>
      <c r="V227" t="s">
        <v>607</v>
      </c>
      <c r="W227" t="s">
        <v>587</v>
      </c>
      <c r="X227" t="s">
        <v>556</v>
      </c>
      <c r="Y227" t="s">
        <v>468</v>
      </c>
      <c r="AC227">
        <v>1</v>
      </c>
      <c r="AD227" t="s">
        <v>565</v>
      </c>
      <c r="AE227">
        <v>87012.984660000002</v>
      </c>
      <c r="AF227">
        <v>0.18254000000000001</v>
      </c>
      <c r="AG227" t="s">
        <v>608</v>
      </c>
      <c r="AH227">
        <v>1000</v>
      </c>
      <c r="AI227">
        <v>476679</v>
      </c>
      <c r="AJ227" t="s">
        <v>561</v>
      </c>
      <c r="AK227" t="s">
        <v>589</v>
      </c>
      <c r="AL227" t="s">
        <v>590</v>
      </c>
      <c r="AM227">
        <v>2022</v>
      </c>
      <c r="AN227">
        <v>2020</v>
      </c>
      <c r="AO227">
        <f>IF(AND(emissions[[#This Row],[Market-based]]=0,emissions[[#This Row],[Impact Type]]="CO2E"),emissions[[#This Row],[kgCO2e]],0)/1000</f>
        <v>0</v>
      </c>
      <c r="AP227">
        <f>IF(AND(emissions[[#This Row],[Market-based]]=1,OR(emissions[[#This Row],[Impact Type]]="CO2E",emissions[[#This Row],[Impact Type]]="CO2E MKT")),emissions[[#This Row],[kgCO2e]],0)/1000</f>
        <v>87.012984660000001</v>
      </c>
      <c r="AQ227" t="str">
        <f>_xlfn.TEXTAFTER(emissions[[#This Row],[Reporting Unit]]," &gt; ",LEN(emissions[[#This Row],[Reporting Unit]])-LEN(SUBSTITUTE(emissions[[#This Row],[Reporting Unit]],"&gt;","")))</f>
        <v>Vantage_Les Borges</v>
      </c>
      <c r="AR227" t="str">
        <f>_xlfn.XLOOKUP(emissions[[#This Row],[Reporting unit name]],hierarchy!$A:$A,hierarchy!$C:$C)</f>
        <v>Office</v>
      </c>
    </row>
    <row r="228" spans="1:44" hidden="1" x14ac:dyDescent="0.25">
      <c r="A228">
        <v>295038</v>
      </c>
      <c r="B228" t="s">
        <v>190</v>
      </c>
      <c r="C228" t="s">
        <v>501</v>
      </c>
      <c r="D228" t="s">
        <v>548</v>
      </c>
      <c r="E228" s="3">
        <v>44562</v>
      </c>
      <c r="F228" s="3">
        <v>44926</v>
      </c>
      <c r="G228" t="s">
        <v>135</v>
      </c>
      <c r="H228" s="3">
        <v>44562</v>
      </c>
      <c r="I228" s="3">
        <v>44926</v>
      </c>
      <c r="J228" t="s">
        <v>135</v>
      </c>
      <c r="K228">
        <v>476.67899999999997</v>
      </c>
      <c r="L228" t="s">
        <v>194</v>
      </c>
      <c r="M228" t="s">
        <v>110</v>
      </c>
      <c r="N228" t="s">
        <v>196</v>
      </c>
      <c r="O228" t="s">
        <v>661</v>
      </c>
      <c r="P228" t="s">
        <v>550</v>
      </c>
      <c r="Q228">
        <v>2022</v>
      </c>
      <c r="R228" t="s">
        <v>605</v>
      </c>
      <c r="S228" t="s">
        <v>606</v>
      </c>
      <c r="T228" t="s">
        <v>553</v>
      </c>
      <c r="U228" t="b">
        <v>0</v>
      </c>
      <c r="V228" t="s">
        <v>607</v>
      </c>
      <c r="W228" t="s">
        <v>587</v>
      </c>
      <c r="X228" t="s">
        <v>556</v>
      </c>
      <c r="Y228" t="s">
        <v>468</v>
      </c>
      <c r="AC228">
        <v>1</v>
      </c>
      <c r="AD228" t="s">
        <v>566</v>
      </c>
      <c r="AE228">
        <v>47.667900000000003</v>
      </c>
      <c r="AF228">
        <v>1E-4</v>
      </c>
      <c r="AG228" t="s">
        <v>608</v>
      </c>
      <c r="AH228">
        <v>1000</v>
      </c>
      <c r="AI228">
        <v>476679</v>
      </c>
      <c r="AJ228" t="s">
        <v>561</v>
      </c>
      <c r="AK228" t="s">
        <v>589</v>
      </c>
      <c r="AL228" t="s">
        <v>590</v>
      </c>
      <c r="AM228">
        <v>2022</v>
      </c>
      <c r="AN228">
        <v>2020</v>
      </c>
      <c r="AO228">
        <f>IF(AND(emissions[[#This Row],[Market-based]]=0,emissions[[#This Row],[Impact Type]]="CO2E"),emissions[[#This Row],[kgCO2e]],0)/1000</f>
        <v>0</v>
      </c>
      <c r="AP228">
        <f>IF(AND(emissions[[#This Row],[Market-based]]=1,OR(emissions[[#This Row],[Impact Type]]="CO2E",emissions[[#This Row],[Impact Type]]="CO2E MKT")),emissions[[#This Row],[kgCO2e]],0)/1000</f>
        <v>0</v>
      </c>
      <c r="AQ228" t="str">
        <f>_xlfn.TEXTAFTER(emissions[[#This Row],[Reporting Unit]]," &gt; ",LEN(emissions[[#This Row],[Reporting Unit]])-LEN(SUBSTITUTE(emissions[[#This Row],[Reporting Unit]],"&gt;","")))</f>
        <v>Vantage_Les Borges</v>
      </c>
      <c r="AR228" t="str">
        <f>_xlfn.XLOOKUP(emissions[[#This Row],[Reporting unit name]],hierarchy!$A:$A,hierarchy!$C:$C)</f>
        <v>Office</v>
      </c>
    </row>
    <row r="229" spans="1:44" hidden="1" x14ac:dyDescent="0.25">
      <c r="A229">
        <v>295038</v>
      </c>
      <c r="B229" t="s">
        <v>190</v>
      </c>
      <c r="C229" t="s">
        <v>501</v>
      </c>
      <c r="D229" t="s">
        <v>548</v>
      </c>
      <c r="E229" s="3">
        <v>44562</v>
      </c>
      <c r="F229" s="3">
        <v>44926</v>
      </c>
      <c r="G229" t="s">
        <v>135</v>
      </c>
      <c r="H229" s="3">
        <v>44562</v>
      </c>
      <c r="I229" s="3">
        <v>44926</v>
      </c>
      <c r="J229" t="s">
        <v>135</v>
      </c>
      <c r="K229">
        <v>476.67899999999997</v>
      </c>
      <c r="L229" t="s">
        <v>194</v>
      </c>
      <c r="M229" t="s">
        <v>110</v>
      </c>
      <c r="N229" t="s">
        <v>196</v>
      </c>
      <c r="O229" t="s">
        <v>661</v>
      </c>
      <c r="P229" t="s">
        <v>550</v>
      </c>
      <c r="Q229">
        <v>2022</v>
      </c>
      <c r="R229" t="s">
        <v>609</v>
      </c>
      <c r="S229" t="s">
        <v>610</v>
      </c>
      <c r="T229" t="s">
        <v>577</v>
      </c>
      <c r="U229" t="b">
        <v>0</v>
      </c>
      <c r="V229" t="s">
        <v>632</v>
      </c>
      <c r="W229" t="s">
        <v>571</v>
      </c>
      <c r="X229" t="s">
        <v>572</v>
      </c>
      <c r="Y229" t="s">
        <v>468</v>
      </c>
      <c r="AC229">
        <v>0</v>
      </c>
      <c r="AD229" t="s">
        <v>565</v>
      </c>
      <c r="AE229">
        <v>14824.716899999999</v>
      </c>
      <c r="AF229">
        <v>3.1099999999999999E-2</v>
      </c>
      <c r="AG229" t="s">
        <v>608</v>
      </c>
      <c r="AH229">
        <v>1000</v>
      </c>
      <c r="AI229">
        <v>476679</v>
      </c>
      <c r="AJ229" t="s">
        <v>561</v>
      </c>
      <c r="AK229" t="s">
        <v>589</v>
      </c>
      <c r="AL229" t="s">
        <v>590</v>
      </c>
      <c r="AM229">
        <v>2022</v>
      </c>
      <c r="AN229">
        <v>2020</v>
      </c>
      <c r="AO229">
        <f>IF(AND(emissions[[#This Row],[Market-based]]=0,emissions[[#This Row],[Impact Type]]="CO2E"),emissions[[#This Row],[kgCO2e]],0)/1000</f>
        <v>14.8247169</v>
      </c>
      <c r="AP229">
        <f>IF(AND(emissions[[#This Row],[Market-based]]=1,OR(emissions[[#This Row],[Impact Type]]="CO2E",emissions[[#This Row],[Impact Type]]="CO2E MKT")),emissions[[#This Row],[kgCO2e]],0)/1000</f>
        <v>0</v>
      </c>
      <c r="AQ229" t="str">
        <f>_xlfn.TEXTAFTER(emissions[[#This Row],[Reporting Unit]]," &gt; ",LEN(emissions[[#This Row],[Reporting Unit]])-LEN(SUBSTITUTE(emissions[[#This Row],[Reporting Unit]],"&gt;","")))</f>
        <v>Vantage_Les Borges</v>
      </c>
      <c r="AR229" t="str">
        <f>_xlfn.XLOOKUP(emissions[[#This Row],[Reporting unit name]],hierarchy!$A:$A,hierarchy!$C:$C)</f>
        <v>Office</v>
      </c>
    </row>
    <row r="230" spans="1:44" hidden="1" x14ac:dyDescent="0.25">
      <c r="A230">
        <v>295038</v>
      </c>
      <c r="B230" t="s">
        <v>190</v>
      </c>
      <c r="C230" t="s">
        <v>501</v>
      </c>
      <c r="D230" t="s">
        <v>548</v>
      </c>
      <c r="E230" s="3">
        <v>44562</v>
      </c>
      <c r="F230" s="3">
        <v>44926</v>
      </c>
      <c r="G230" t="s">
        <v>135</v>
      </c>
      <c r="H230" s="3">
        <v>44562</v>
      </c>
      <c r="I230" s="3">
        <v>44926</v>
      </c>
      <c r="J230" t="s">
        <v>135</v>
      </c>
      <c r="K230">
        <v>476.67899999999997</v>
      </c>
      <c r="L230" t="s">
        <v>194</v>
      </c>
      <c r="M230" t="s">
        <v>110</v>
      </c>
      <c r="N230" t="s">
        <v>196</v>
      </c>
      <c r="O230" t="s">
        <v>661</v>
      </c>
      <c r="P230" t="s">
        <v>550</v>
      </c>
      <c r="Q230">
        <v>2022</v>
      </c>
      <c r="R230" t="s">
        <v>609</v>
      </c>
      <c r="S230" t="s">
        <v>610</v>
      </c>
      <c r="T230" t="s">
        <v>577</v>
      </c>
      <c r="U230" t="b">
        <v>0</v>
      </c>
      <c r="V230" t="s">
        <v>632</v>
      </c>
      <c r="W230" t="s">
        <v>571</v>
      </c>
      <c r="X230" t="s">
        <v>572</v>
      </c>
      <c r="Y230" t="s">
        <v>468</v>
      </c>
      <c r="AC230">
        <v>1</v>
      </c>
      <c r="AD230" t="s">
        <v>565</v>
      </c>
      <c r="AE230">
        <v>14824.716899999999</v>
      </c>
      <c r="AF230">
        <v>3.1099999999999999E-2</v>
      </c>
      <c r="AG230" t="s">
        <v>608</v>
      </c>
      <c r="AH230">
        <v>1000</v>
      </c>
      <c r="AI230">
        <v>476679</v>
      </c>
      <c r="AJ230" t="s">
        <v>561</v>
      </c>
      <c r="AK230" t="s">
        <v>589</v>
      </c>
      <c r="AL230" t="s">
        <v>590</v>
      </c>
      <c r="AM230">
        <v>2022</v>
      </c>
      <c r="AN230">
        <v>2020</v>
      </c>
      <c r="AO230">
        <f>IF(AND(emissions[[#This Row],[Market-based]]=0,emissions[[#This Row],[Impact Type]]="CO2E"),emissions[[#This Row],[kgCO2e]],0)/1000</f>
        <v>0</v>
      </c>
      <c r="AP230">
        <f>IF(AND(emissions[[#This Row],[Market-based]]=1,OR(emissions[[#This Row],[Impact Type]]="CO2E",emissions[[#This Row],[Impact Type]]="CO2E MKT")),emissions[[#This Row],[kgCO2e]],0)/1000</f>
        <v>14.8247169</v>
      </c>
      <c r="AQ230" t="str">
        <f>_xlfn.TEXTAFTER(emissions[[#This Row],[Reporting Unit]]," &gt; ",LEN(emissions[[#This Row],[Reporting Unit]])-LEN(SUBSTITUTE(emissions[[#This Row],[Reporting Unit]],"&gt;","")))</f>
        <v>Vantage_Les Borges</v>
      </c>
      <c r="AR230" t="str">
        <f>_xlfn.XLOOKUP(emissions[[#This Row],[Reporting unit name]],hierarchy!$A:$A,hierarchy!$C:$C)</f>
        <v>Office</v>
      </c>
    </row>
    <row r="231" spans="1:44" hidden="1" x14ac:dyDescent="0.25">
      <c r="A231">
        <v>295025</v>
      </c>
      <c r="B231" t="s">
        <v>190</v>
      </c>
      <c r="C231" t="s">
        <v>501</v>
      </c>
      <c r="D231" t="s">
        <v>548</v>
      </c>
      <c r="E231" s="3">
        <v>44562</v>
      </c>
      <c r="F231" s="3">
        <v>44926</v>
      </c>
      <c r="G231" t="s">
        <v>141</v>
      </c>
      <c r="H231" s="3">
        <v>44562</v>
      </c>
      <c r="I231" s="3">
        <v>44926</v>
      </c>
      <c r="J231" t="s">
        <v>147</v>
      </c>
      <c r="K231">
        <v>0</v>
      </c>
      <c r="L231" t="s">
        <v>160</v>
      </c>
      <c r="M231" t="s">
        <v>110</v>
      </c>
      <c r="O231" t="s">
        <v>662</v>
      </c>
      <c r="P231" t="s">
        <v>550</v>
      </c>
      <c r="Q231">
        <v>2022</v>
      </c>
      <c r="R231" t="s">
        <v>584</v>
      </c>
      <c r="S231" t="s">
        <v>585</v>
      </c>
      <c r="T231" t="s">
        <v>553</v>
      </c>
      <c r="U231" t="b">
        <v>0</v>
      </c>
      <c r="V231" t="s">
        <v>586</v>
      </c>
      <c r="W231" t="s">
        <v>587</v>
      </c>
      <c r="X231" t="s">
        <v>556</v>
      </c>
      <c r="Y231" t="s">
        <v>468</v>
      </c>
      <c r="AC231">
        <v>0</v>
      </c>
      <c r="AD231" t="s">
        <v>558</v>
      </c>
      <c r="AE231">
        <v>0</v>
      </c>
      <c r="AF231">
        <v>2.5999999999999998E-4</v>
      </c>
      <c r="AG231" t="s">
        <v>588</v>
      </c>
      <c r="AH231">
        <v>28.316800000000001</v>
      </c>
      <c r="AI231">
        <v>0</v>
      </c>
      <c r="AJ231" t="s">
        <v>561</v>
      </c>
      <c r="AK231" t="s">
        <v>589</v>
      </c>
      <c r="AL231" t="s">
        <v>590</v>
      </c>
      <c r="AM231">
        <v>2022</v>
      </c>
      <c r="AN231">
        <v>2020</v>
      </c>
      <c r="AO231">
        <f>IF(AND(emissions[[#This Row],[Market-based]]=0,emissions[[#This Row],[Impact Type]]="CO2E"),emissions[[#This Row],[kgCO2e]],0)/1000</f>
        <v>0</v>
      </c>
      <c r="AP231">
        <f>IF(AND(emissions[[#This Row],[Market-based]]=1,OR(emissions[[#This Row],[Impact Type]]="CO2E",emissions[[#This Row],[Impact Type]]="CO2E MKT")),emissions[[#This Row],[kgCO2e]],0)/1000</f>
        <v>0</v>
      </c>
      <c r="AQ231" t="str">
        <f>_xlfn.TEXTAFTER(emissions[[#This Row],[Reporting Unit]]," &gt; ",LEN(emissions[[#This Row],[Reporting Unit]])-LEN(SUBSTITUTE(emissions[[#This Row],[Reporting Unit]],"&gt;","")))</f>
        <v>Vantage_Les Borges</v>
      </c>
      <c r="AR231" t="str">
        <f>_xlfn.XLOOKUP(emissions[[#This Row],[Reporting unit name]],hierarchy!$A:$A,hierarchy!$C:$C)</f>
        <v>Office</v>
      </c>
    </row>
    <row r="232" spans="1:44" hidden="1" x14ac:dyDescent="0.25">
      <c r="A232">
        <v>295025</v>
      </c>
      <c r="B232" t="s">
        <v>190</v>
      </c>
      <c r="C232" t="s">
        <v>501</v>
      </c>
      <c r="D232" t="s">
        <v>548</v>
      </c>
      <c r="E232" s="3">
        <v>44562</v>
      </c>
      <c r="F232" s="3">
        <v>44926</v>
      </c>
      <c r="G232" t="s">
        <v>141</v>
      </c>
      <c r="H232" s="3">
        <v>44562</v>
      </c>
      <c r="I232" s="3">
        <v>44926</v>
      </c>
      <c r="J232" t="s">
        <v>147</v>
      </c>
      <c r="K232">
        <v>0</v>
      </c>
      <c r="L232" t="s">
        <v>160</v>
      </c>
      <c r="M232" t="s">
        <v>110</v>
      </c>
      <c r="O232" t="s">
        <v>662</v>
      </c>
      <c r="P232" t="s">
        <v>550</v>
      </c>
      <c r="Q232">
        <v>2022</v>
      </c>
      <c r="R232" t="s">
        <v>584</v>
      </c>
      <c r="S232" t="s">
        <v>585</v>
      </c>
      <c r="T232" t="s">
        <v>553</v>
      </c>
      <c r="U232" t="b">
        <v>0</v>
      </c>
      <c r="V232" t="s">
        <v>586</v>
      </c>
      <c r="W232" t="s">
        <v>587</v>
      </c>
      <c r="X232" t="s">
        <v>556</v>
      </c>
      <c r="Y232" t="s">
        <v>468</v>
      </c>
      <c r="AC232">
        <v>0</v>
      </c>
      <c r="AD232" t="s">
        <v>564</v>
      </c>
      <c r="AE232">
        <v>0</v>
      </c>
      <c r="AF232">
        <v>2.5205799999999998</v>
      </c>
      <c r="AG232" t="s">
        <v>588</v>
      </c>
      <c r="AH232">
        <v>28.316800000000001</v>
      </c>
      <c r="AI232">
        <v>0</v>
      </c>
      <c r="AJ232" t="s">
        <v>561</v>
      </c>
      <c r="AK232" t="s">
        <v>589</v>
      </c>
      <c r="AL232" t="s">
        <v>590</v>
      </c>
      <c r="AM232">
        <v>2022</v>
      </c>
      <c r="AN232">
        <v>2020</v>
      </c>
      <c r="AO232">
        <f>IF(AND(emissions[[#This Row],[Market-based]]=0,emissions[[#This Row],[Impact Type]]="CO2E"),emissions[[#This Row],[kgCO2e]],0)/1000</f>
        <v>0</v>
      </c>
      <c r="AP232">
        <f>IF(AND(emissions[[#This Row],[Market-based]]=1,OR(emissions[[#This Row],[Impact Type]]="CO2E",emissions[[#This Row],[Impact Type]]="CO2E MKT")),emissions[[#This Row],[kgCO2e]],0)/1000</f>
        <v>0</v>
      </c>
      <c r="AQ232" t="str">
        <f>_xlfn.TEXTAFTER(emissions[[#This Row],[Reporting Unit]]," &gt; ",LEN(emissions[[#This Row],[Reporting Unit]])-LEN(SUBSTITUTE(emissions[[#This Row],[Reporting Unit]],"&gt;","")))</f>
        <v>Vantage_Les Borges</v>
      </c>
      <c r="AR232" t="str">
        <f>_xlfn.XLOOKUP(emissions[[#This Row],[Reporting unit name]],hierarchy!$A:$A,hierarchy!$C:$C)</f>
        <v>Office</v>
      </c>
    </row>
    <row r="233" spans="1:44" hidden="1" x14ac:dyDescent="0.25">
      <c r="A233">
        <v>295025</v>
      </c>
      <c r="B233" t="s">
        <v>190</v>
      </c>
      <c r="C233" t="s">
        <v>501</v>
      </c>
      <c r="D233" t="s">
        <v>548</v>
      </c>
      <c r="E233" s="3">
        <v>44562</v>
      </c>
      <c r="F233" s="3">
        <v>44926</v>
      </c>
      <c r="G233" t="s">
        <v>141</v>
      </c>
      <c r="H233" s="3">
        <v>44562</v>
      </c>
      <c r="I233" s="3">
        <v>44926</v>
      </c>
      <c r="J233" t="s">
        <v>147</v>
      </c>
      <c r="K233">
        <v>0</v>
      </c>
      <c r="L233" t="s">
        <v>160</v>
      </c>
      <c r="M233" t="s">
        <v>110</v>
      </c>
      <c r="O233" t="s">
        <v>662</v>
      </c>
      <c r="P233" t="s">
        <v>550</v>
      </c>
      <c r="Q233">
        <v>2022</v>
      </c>
      <c r="R233" t="s">
        <v>584</v>
      </c>
      <c r="S233" t="s">
        <v>585</v>
      </c>
      <c r="T233" t="s">
        <v>553</v>
      </c>
      <c r="U233" t="b">
        <v>0</v>
      </c>
      <c r="V233" t="s">
        <v>586</v>
      </c>
      <c r="W233" t="s">
        <v>587</v>
      </c>
      <c r="X233" t="s">
        <v>556</v>
      </c>
      <c r="Y233" t="s">
        <v>468</v>
      </c>
      <c r="AC233">
        <v>0</v>
      </c>
      <c r="AD233" t="s">
        <v>565</v>
      </c>
      <c r="AE233">
        <v>0</v>
      </c>
      <c r="AF233">
        <v>2.5578400000000001</v>
      </c>
      <c r="AG233" t="s">
        <v>588</v>
      </c>
      <c r="AH233">
        <v>28.316800000000001</v>
      </c>
      <c r="AI233">
        <v>0</v>
      </c>
      <c r="AJ233" t="s">
        <v>561</v>
      </c>
      <c r="AK233" t="s">
        <v>589</v>
      </c>
      <c r="AL233" t="s">
        <v>590</v>
      </c>
      <c r="AM233">
        <v>2022</v>
      </c>
      <c r="AN233">
        <v>2020</v>
      </c>
      <c r="AO233">
        <f>IF(AND(emissions[[#This Row],[Market-based]]=0,emissions[[#This Row],[Impact Type]]="CO2E"),emissions[[#This Row],[kgCO2e]],0)/1000</f>
        <v>0</v>
      </c>
      <c r="AP233">
        <f>IF(AND(emissions[[#This Row],[Market-based]]=1,OR(emissions[[#This Row],[Impact Type]]="CO2E",emissions[[#This Row],[Impact Type]]="CO2E MKT")),emissions[[#This Row],[kgCO2e]],0)/1000</f>
        <v>0</v>
      </c>
      <c r="AQ233" t="str">
        <f>_xlfn.TEXTAFTER(emissions[[#This Row],[Reporting Unit]]," &gt; ",LEN(emissions[[#This Row],[Reporting Unit]])-LEN(SUBSTITUTE(emissions[[#This Row],[Reporting Unit]],"&gt;","")))</f>
        <v>Vantage_Les Borges</v>
      </c>
      <c r="AR233" t="str">
        <f>_xlfn.XLOOKUP(emissions[[#This Row],[Reporting unit name]],hierarchy!$A:$A,hierarchy!$C:$C)</f>
        <v>Office</v>
      </c>
    </row>
    <row r="234" spans="1:44" hidden="1" x14ac:dyDescent="0.25">
      <c r="A234">
        <v>295025</v>
      </c>
      <c r="B234" t="s">
        <v>190</v>
      </c>
      <c r="C234" t="s">
        <v>501</v>
      </c>
      <c r="D234" t="s">
        <v>548</v>
      </c>
      <c r="E234" s="3">
        <v>44562</v>
      </c>
      <c r="F234" s="3">
        <v>44926</v>
      </c>
      <c r="G234" t="s">
        <v>141</v>
      </c>
      <c r="H234" s="3">
        <v>44562</v>
      </c>
      <c r="I234" s="3">
        <v>44926</v>
      </c>
      <c r="J234" t="s">
        <v>147</v>
      </c>
      <c r="K234">
        <v>0</v>
      </c>
      <c r="L234" t="s">
        <v>160</v>
      </c>
      <c r="M234" t="s">
        <v>110</v>
      </c>
      <c r="O234" t="s">
        <v>662</v>
      </c>
      <c r="P234" t="s">
        <v>550</v>
      </c>
      <c r="Q234">
        <v>2022</v>
      </c>
      <c r="R234" t="s">
        <v>584</v>
      </c>
      <c r="S234" t="s">
        <v>585</v>
      </c>
      <c r="T234" t="s">
        <v>553</v>
      </c>
      <c r="U234" t="b">
        <v>0</v>
      </c>
      <c r="V234" t="s">
        <v>586</v>
      </c>
      <c r="W234" t="s">
        <v>587</v>
      </c>
      <c r="X234" t="s">
        <v>556</v>
      </c>
      <c r="Y234" t="s">
        <v>468</v>
      </c>
      <c r="AC234">
        <v>0</v>
      </c>
      <c r="AD234" t="s">
        <v>566</v>
      </c>
      <c r="AE234">
        <v>0</v>
      </c>
      <c r="AF234">
        <v>3.6999999999999998E-2</v>
      </c>
      <c r="AG234" t="s">
        <v>588</v>
      </c>
      <c r="AH234">
        <v>28.316800000000001</v>
      </c>
      <c r="AI234">
        <v>0</v>
      </c>
      <c r="AJ234" t="s">
        <v>561</v>
      </c>
      <c r="AK234" t="s">
        <v>589</v>
      </c>
      <c r="AL234" t="s">
        <v>590</v>
      </c>
      <c r="AM234">
        <v>2022</v>
      </c>
      <c r="AN234">
        <v>2020</v>
      </c>
      <c r="AO234">
        <f>IF(AND(emissions[[#This Row],[Market-based]]=0,emissions[[#This Row],[Impact Type]]="CO2E"),emissions[[#This Row],[kgCO2e]],0)/1000</f>
        <v>0</v>
      </c>
      <c r="AP234">
        <f>IF(AND(emissions[[#This Row],[Market-based]]=1,OR(emissions[[#This Row],[Impact Type]]="CO2E",emissions[[#This Row],[Impact Type]]="CO2E MKT")),emissions[[#This Row],[kgCO2e]],0)/1000</f>
        <v>0</v>
      </c>
      <c r="AQ234" t="str">
        <f>_xlfn.TEXTAFTER(emissions[[#This Row],[Reporting Unit]]," &gt; ",LEN(emissions[[#This Row],[Reporting Unit]])-LEN(SUBSTITUTE(emissions[[#This Row],[Reporting Unit]],"&gt;","")))</f>
        <v>Vantage_Les Borges</v>
      </c>
      <c r="AR234" t="str">
        <f>_xlfn.XLOOKUP(emissions[[#This Row],[Reporting unit name]],hierarchy!$A:$A,hierarchy!$C:$C)</f>
        <v>Office</v>
      </c>
    </row>
    <row r="235" spans="1:44" hidden="1" x14ac:dyDescent="0.25">
      <c r="A235">
        <v>295025</v>
      </c>
      <c r="B235" t="s">
        <v>190</v>
      </c>
      <c r="C235" t="s">
        <v>501</v>
      </c>
      <c r="D235" t="s">
        <v>548</v>
      </c>
      <c r="E235" s="3">
        <v>44562</v>
      </c>
      <c r="F235" s="3">
        <v>44926</v>
      </c>
      <c r="G235" t="s">
        <v>141</v>
      </c>
      <c r="H235" s="3">
        <v>44562</v>
      </c>
      <c r="I235" s="3">
        <v>44926</v>
      </c>
      <c r="J235" t="s">
        <v>147</v>
      </c>
      <c r="K235">
        <v>0</v>
      </c>
      <c r="L235" t="s">
        <v>160</v>
      </c>
      <c r="M235" t="s">
        <v>110</v>
      </c>
      <c r="O235" t="s">
        <v>662</v>
      </c>
      <c r="P235" t="s">
        <v>550</v>
      </c>
      <c r="Q235">
        <v>2022</v>
      </c>
      <c r="R235" t="s">
        <v>584</v>
      </c>
      <c r="S235" t="s">
        <v>585</v>
      </c>
      <c r="T235" t="s">
        <v>553</v>
      </c>
      <c r="U235" t="b">
        <v>0</v>
      </c>
      <c r="V235" t="s">
        <v>586</v>
      </c>
      <c r="W235" t="s">
        <v>587</v>
      </c>
      <c r="X235" t="s">
        <v>556</v>
      </c>
      <c r="Y235" t="s">
        <v>468</v>
      </c>
      <c r="AC235">
        <v>1</v>
      </c>
      <c r="AD235" t="s">
        <v>558</v>
      </c>
      <c r="AE235">
        <v>0</v>
      </c>
      <c r="AF235">
        <v>2.5999999999999998E-4</v>
      </c>
      <c r="AG235" t="s">
        <v>588</v>
      </c>
      <c r="AH235">
        <v>28.316800000000001</v>
      </c>
      <c r="AI235">
        <v>0</v>
      </c>
      <c r="AJ235" t="s">
        <v>561</v>
      </c>
      <c r="AK235" t="s">
        <v>589</v>
      </c>
      <c r="AL235" t="s">
        <v>590</v>
      </c>
      <c r="AM235">
        <v>2022</v>
      </c>
      <c r="AN235">
        <v>2020</v>
      </c>
      <c r="AO235">
        <f>IF(AND(emissions[[#This Row],[Market-based]]=0,emissions[[#This Row],[Impact Type]]="CO2E"),emissions[[#This Row],[kgCO2e]],0)/1000</f>
        <v>0</v>
      </c>
      <c r="AP235">
        <f>IF(AND(emissions[[#This Row],[Market-based]]=1,OR(emissions[[#This Row],[Impact Type]]="CO2E",emissions[[#This Row],[Impact Type]]="CO2E MKT")),emissions[[#This Row],[kgCO2e]],0)/1000</f>
        <v>0</v>
      </c>
      <c r="AQ235" t="str">
        <f>_xlfn.TEXTAFTER(emissions[[#This Row],[Reporting Unit]]," &gt; ",LEN(emissions[[#This Row],[Reporting Unit]])-LEN(SUBSTITUTE(emissions[[#This Row],[Reporting Unit]],"&gt;","")))</f>
        <v>Vantage_Les Borges</v>
      </c>
      <c r="AR235" t="str">
        <f>_xlfn.XLOOKUP(emissions[[#This Row],[Reporting unit name]],hierarchy!$A:$A,hierarchy!$C:$C)</f>
        <v>Office</v>
      </c>
    </row>
    <row r="236" spans="1:44" hidden="1" x14ac:dyDescent="0.25">
      <c r="A236">
        <v>295025</v>
      </c>
      <c r="B236" t="s">
        <v>190</v>
      </c>
      <c r="C236" t="s">
        <v>501</v>
      </c>
      <c r="D236" t="s">
        <v>548</v>
      </c>
      <c r="E236" s="3">
        <v>44562</v>
      </c>
      <c r="F236" s="3">
        <v>44926</v>
      </c>
      <c r="G236" t="s">
        <v>141</v>
      </c>
      <c r="H236" s="3">
        <v>44562</v>
      </c>
      <c r="I236" s="3">
        <v>44926</v>
      </c>
      <c r="J236" t="s">
        <v>147</v>
      </c>
      <c r="K236">
        <v>0</v>
      </c>
      <c r="L236" t="s">
        <v>160</v>
      </c>
      <c r="M236" t="s">
        <v>110</v>
      </c>
      <c r="O236" t="s">
        <v>662</v>
      </c>
      <c r="P236" t="s">
        <v>550</v>
      </c>
      <c r="Q236">
        <v>2022</v>
      </c>
      <c r="R236" t="s">
        <v>584</v>
      </c>
      <c r="S236" t="s">
        <v>585</v>
      </c>
      <c r="T236" t="s">
        <v>553</v>
      </c>
      <c r="U236" t="b">
        <v>0</v>
      </c>
      <c r="V236" t="s">
        <v>586</v>
      </c>
      <c r="W236" t="s">
        <v>587</v>
      </c>
      <c r="X236" t="s">
        <v>556</v>
      </c>
      <c r="Y236" t="s">
        <v>468</v>
      </c>
      <c r="AC236">
        <v>1</v>
      </c>
      <c r="AD236" t="s">
        <v>564</v>
      </c>
      <c r="AE236">
        <v>0</v>
      </c>
      <c r="AF236">
        <v>2.5205799999999998</v>
      </c>
      <c r="AG236" t="s">
        <v>588</v>
      </c>
      <c r="AH236">
        <v>28.316800000000001</v>
      </c>
      <c r="AI236">
        <v>0</v>
      </c>
      <c r="AJ236" t="s">
        <v>561</v>
      </c>
      <c r="AK236" t="s">
        <v>589</v>
      </c>
      <c r="AL236" t="s">
        <v>590</v>
      </c>
      <c r="AM236">
        <v>2022</v>
      </c>
      <c r="AN236">
        <v>2020</v>
      </c>
      <c r="AO236">
        <f>IF(AND(emissions[[#This Row],[Market-based]]=0,emissions[[#This Row],[Impact Type]]="CO2E"),emissions[[#This Row],[kgCO2e]],0)/1000</f>
        <v>0</v>
      </c>
      <c r="AP236">
        <f>IF(AND(emissions[[#This Row],[Market-based]]=1,OR(emissions[[#This Row],[Impact Type]]="CO2E",emissions[[#This Row],[Impact Type]]="CO2E MKT")),emissions[[#This Row],[kgCO2e]],0)/1000</f>
        <v>0</v>
      </c>
      <c r="AQ236" t="str">
        <f>_xlfn.TEXTAFTER(emissions[[#This Row],[Reporting Unit]]," &gt; ",LEN(emissions[[#This Row],[Reporting Unit]])-LEN(SUBSTITUTE(emissions[[#This Row],[Reporting Unit]],"&gt;","")))</f>
        <v>Vantage_Les Borges</v>
      </c>
      <c r="AR236" t="str">
        <f>_xlfn.XLOOKUP(emissions[[#This Row],[Reporting unit name]],hierarchy!$A:$A,hierarchy!$C:$C)</f>
        <v>Office</v>
      </c>
    </row>
    <row r="237" spans="1:44" hidden="1" x14ac:dyDescent="0.25">
      <c r="A237">
        <v>295025</v>
      </c>
      <c r="B237" t="s">
        <v>190</v>
      </c>
      <c r="C237" t="s">
        <v>501</v>
      </c>
      <c r="D237" t="s">
        <v>548</v>
      </c>
      <c r="E237" s="3">
        <v>44562</v>
      </c>
      <c r="F237" s="3">
        <v>44926</v>
      </c>
      <c r="G237" t="s">
        <v>141</v>
      </c>
      <c r="H237" s="3">
        <v>44562</v>
      </c>
      <c r="I237" s="3">
        <v>44926</v>
      </c>
      <c r="J237" t="s">
        <v>147</v>
      </c>
      <c r="K237">
        <v>0</v>
      </c>
      <c r="L237" t="s">
        <v>160</v>
      </c>
      <c r="M237" t="s">
        <v>110</v>
      </c>
      <c r="O237" t="s">
        <v>662</v>
      </c>
      <c r="P237" t="s">
        <v>550</v>
      </c>
      <c r="Q237">
        <v>2022</v>
      </c>
      <c r="R237" t="s">
        <v>584</v>
      </c>
      <c r="S237" t="s">
        <v>585</v>
      </c>
      <c r="T237" t="s">
        <v>553</v>
      </c>
      <c r="U237" t="b">
        <v>0</v>
      </c>
      <c r="V237" t="s">
        <v>586</v>
      </c>
      <c r="W237" t="s">
        <v>587</v>
      </c>
      <c r="X237" t="s">
        <v>556</v>
      </c>
      <c r="Y237" t="s">
        <v>468</v>
      </c>
      <c r="AC237">
        <v>1</v>
      </c>
      <c r="AD237" t="s">
        <v>565</v>
      </c>
      <c r="AE237">
        <v>0</v>
      </c>
      <c r="AF237">
        <v>2.5578400000000001</v>
      </c>
      <c r="AG237" t="s">
        <v>588</v>
      </c>
      <c r="AH237">
        <v>28.316800000000001</v>
      </c>
      <c r="AI237">
        <v>0</v>
      </c>
      <c r="AJ237" t="s">
        <v>561</v>
      </c>
      <c r="AK237" t="s">
        <v>589</v>
      </c>
      <c r="AL237" t="s">
        <v>590</v>
      </c>
      <c r="AM237">
        <v>2022</v>
      </c>
      <c r="AN237">
        <v>2020</v>
      </c>
      <c r="AO237">
        <f>IF(AND(emissions[[#This Row],[Market-based]]=0,emissions[[#This Row],[Impact Type]]="CO2E"),emissions[[#This Row],[kgCO2e]],0)/1000</f>
        <v>0</v>
      </c>
      <c r="AP237">
        <f>IF(AND(emissions[[#This Row],[Market-based]]=1,OR(emissions[[#This Row],[Impact Type]]="CO2E",emissions[[#This Row],[Impact Type]]="CO2E MKT")),emissions[[#This Row],[kgCO2e]],0)/1000</f>
        <v>0</v>
      </c>
      <c r="AQ237" t="str">
        <f>_xlfn.TEXTAFTER(emissions[[#This Row],[Reporting Unit]]," &gt; ",LEN(emissions[[#This Row],[Reporting Unit]])-LEN(SUBSTITUTE(emissions[[#This Row],[Reporting Unit]],"&gt;","")))</f>
        <v>Vantage_Les Borges</v>
      </c>
      <c r="AR237" t="str">
        <f>_xlfn.XLOOKUP(emissions[[#This Row],[Reporting unit name]],hierarchy!$A:$A,hierarchy!$C:$C)</f>
        <v>Office</v>
      </c>
    </row>
    <row r="238" spans="1:44" hidden="1" x14ac:dyDescent="0.25">
      <c r="A238">
        <v>295025</v>
      </c>
      <c r="B238" t="s">
        <v>190</v>
      </c>
      <c r="C238" t="s">
        <v>501</v>
      </c>
      <c r="D238" t="s">
        <v>548</v>
      </c>
      <c r="E238" s="3">
        <v>44562</v>
      </c>
      <c r="F238" s="3">
        <v>44926</v>
      </c>
      <c r="G238" t="s">
        <v>141</v>
      </c>
      <c r="H238" s="3">
        <v>44562</v>
      </c>
      <c r="I238" s="3">
        <v>44926</v>
      </c>
      <c r="J238" t="s">
        <v>147</v>
      </c>
      <c r="K238">
        <v>0</v>
      </c>
      <c r="L238" t="s">
        <v>160</v>
      </c>
      <c r="M238" t="s">
        <v>110</v>
      </c>
      <c r="O238" t="s">
        <v>662</v>
      </c>
      <c r="P238" t="s">
        <v>550</v>
      </c>
      <c r="Q238">
        <v>2022</v>
      </c>
      <c r="R238" t="s">
        <v>584</v>
      </c>
      <c r="S238" t="s">
        <v>585</v>
      </c>
      <c r="T238" t="s">
        <v>553</v>
      </c>
      <c r="U238" t="b">
        <v>0</v>
      </c>
      <c r="V238" t="s">
        <v>586</v>
      </c>
      <c r="W238" t="s">
        <v>587</v>
      </c>
      <c r="X238" t="s">
        <v>556</v>
      </c>
      <c r="Y238" t="s">
        <v>468</v>
      </c>
      <c r="AC238">
        <v>1</v>
      </c>
      <c r="AD238" t="s">
        <v>566</v>
      </c>
      <c r="AE238">
        <v>0</v>
      </c>
      <c r="AF238">
        <v>3.6999999999999998E-2</v>
      </c>
      <c r="AG238" t="s">
        <v>588</v>
      </c>
      <c r="AH238">
        <v>28.316800000000001</v>
      </c>
      <c r="AI238">
        <v>0</v>
      </c>
      <c r="AJ238" t="s">
        <v>561</v>
      </c>
      <c r="AK238" t="s">
        <v>589</v>
      </c>
      <c r="AL238" t="s">
        <v>590</v>
      </c>
      <c r="AM238">
        <v>2022</v>
      </c>
      <c r="AN238">
        <v>2020</v>
      </c>
      <c r="AO238">
        <f>IF(AND(emissions[[#This Row],[Market-based]]=0,emissions[[#This Row],[Impact Type]]="CO2E"),emissions[[#This Row],[kgCO2e]],0)/1000</f>
        <v>0</v>
      </c>
      <c r="AP238">
        <f>IF(AND(emissions[[#This Row],[Market-based]]=1,OR(emissions[[#This Row],[Impact Type]]="CO2E",emissions[[#This Row],[Impact Type]]="CO2E MKT")),emissions[[#This Row],[kgCO2e]],0)/1000</f>
        <v>0</v>
      </c>
      <c r="AQ238" t="str">
        <f>_xlfn.TEXTAFTER(emissions[[#This Row],[Reporting Unit]]," &gt; ",LEN(emissions[[#This Row],[Reporting Unit]])-LEN(SUBSTITUTE(emissions[[#This Row],[Reporting Unit]],"&gt;","")))</f>
        <v>Vantage_Les Borges</v>
      </c>
      <c r="AR238" t="str">
        <f>_xlfn.XLOOKUP(emissions[[#This Row],[Reporting unit name]],hierarchy!$A:$A,hierarchy!$C:$C)</f>
        <v>Office</v>
      </c>
    </row>
    <row r="239" spans="1:44" hidden="1" x14ac:dyDescent="0.25">
      <c r="A239">
        <v>295025</v>
      </c>
      <c r="B239" t="s">
        <v>190</v>
      </c>
      <c r="C239" t="s">
        <v>501</v>
      </c>
      <c r="D239" t="s">
        <v>548</v>
      </c>
      <c r="E239" s="3">
        <v>44562</v>
      </c>
      <c r="F239" s="3">
        <v>44926</v>
      </c>
      <c r="G239" t="s">
        <v>141</v>
      </c>
      <c r="H239" s="3">
        <v>44562</v>
      </c>
      <c r="I239" s="3">
        <v>44926</v>
      </c>
      <c r="J239" t="s">
        <v>147</v>
      </c>
      <c r="K239">
        <v>0</v>
      </c>
      <c r="L239" t="s">
        <v>160</v>
      </c>
      <c r="M239" t="s">
        <v>110</v>
      </c>
      <c r="O239" t="s">
        <v>662</v>
      </c>
      <c r="P239" t="s">
        <v>550</v>
      </c>
      <c r="Q239">
        <v>2022</v>
      </c>
      <c r="R239" t="s">
        <v>591</v>
      </c>
      <c r="S239" t="s">
        <v>592</v>
      </c>
      <c r="T239" t="s">
        <v>577</v>
      </c>
      <c r="U239" t="b">
        <v>0</v>
      </c>
      <c r="V239" t="s">
        <v>593</v>
      </c>
      <c r="W239" t="s">
        <v>571</v>
      </c>
      <c r="X239" t="s">
        <v>572</v>
      </c>
      <c r="Y239" t="s">
        <v>468</v>
      </c>
      <c r="AC239">
        <v>0</v>
      </c>
      <c r="AD239" t="s">
        <v>565</v>
      </c>
      <c r="AE239">
        <v>0</v>
      </c>
      <c r="AF239">
        <v>0.60985999999999996</v>
      </c>
      <c r="AG239" t="s">
        <v>588</v>
      </c>
      <c r="AH239">
        <v>28.316800000000001</v>
      </c>
      <c r="AI239">
        <v>0</v>
      </c>
      <c r="AJ239" t="s">
        <v>561</v>
      </c>
      <c r="AK239" t="s">
        <v>589</v>
      </c>
      <c r="AL239" t="s">
        <v>590</v>
      </c>
      <c r="AM239">
        <v>2022</v>
      </c>
      <c r="AN239">
        <v>2020</v>
      </c>
      <c r="AO239">
        <f>IF(AND(emissions[[#This Row],[Market-based]]=0,emissions[[#This Row],[Impact Type]]="CO2E"),emissions[[#This Row],[kgCO2e]],0)/1000</f>
        <v>0</v>
      </c>
      <c r="AP239">
        <f>IF(AND(emissions[[#This Row],[Market-based]]=1,OR(emissions[[#This Row],[Impact Type]]="CO2E",emissions[[#This Row],[Impact Type]]="CO2E MKT")),emissions[[#This Row],[kgCO2e]],0)/1000</f>
        <v>0</v>
      </c>
      <c r="AQ239" t="str">
        <f>_xlfn.TEXTAFTER(emissions[[#This Row],[Reporting Unit]]," &gt; ",LEN(emissions[[#This Row],[Reporting Unit]])-LEN(SUBSTITUTE(emissions[[#This Row],[Reporting Unit]],"&gt;","")))</f>
        <v>Vantage_Les Borges</v>
      </c>
      <c r="AR239" t="str">
        <f>_xlfn.XLOOKUP(emissions[[#This Row],[Reporting unit name]],hierarchy!$A:$A,hierarchy!$C:$C)</f>
        <v>Office</v>
      </c>
    </row>
    <row r="240" spans="1:44" hidden="1" x14ac:dyDescent="0.25">
      <c r="A240">
        <v>295025</v>
      </c>
      <c r="B240" t="s">
        <v>190</v>
      </c>
      <c r="C240" t="s">
        <v>501</v>
      </c>
      <c r="D240" t="s">
        <v>548</v>
      </c>
      <c r="E240" s="3">
        <v>44562</v>
      </c>
      <c r="F240" s="3">
        <v>44926</v>
      </c>
      <c r="G240" t="s">
        <v>141</v>
      </c>
      <c r="H240" s="3">
        <v>44562</v>
      </c>
      <c r="I240" s="3">
        <v>44926</v>
      </c>
      <c r="J240" t="s">
        <v>147</v>
      </c>
      <c r="K240">
        <v>0</v>
      </c>
      <c r="L240" t="s">
        <v>160</v>
      </c>
      <c r="M240" t="s">
        <v>110</v>
      </c>
      <c r="O240" t="s">
        <v>662</v>
      </c>
      <c r="P240" t="s">
        <v>550</v>
      </c>
      <c r="Q240">
        <v>2022</v>
      </c>
      <c r="R240" t="s">
        <v>591</v>
      </c>
      <c r="S240" t="s">
        <v>592</v>
      </c>
      <c r="T240" t="s">
        <v>577</v>
      </c>
      <c r="U240" t="b">
        <v>0</v>
      </c>
      <c r="V240" t="s">
        <v>593</v>
      </c>
      <c r="W240" t="s">
        <v>571</v>
      </c>
      <c r="X240" t="s">
        <v>572</v>
      </c>
      <c r="Y240" t="s">
        <v>468</v>
      </c>
      <c r="AC240">
        <v>1</v>
      </c>
      <c r="AD240" t="s">
        <v>565</v>
      </c>
      <c r="AE240">
        <v>0</v>
      </c>
      <c r="AF240">
        <v>0.60985999999999996</v>
      </c>
      <c r="AG240" t="s">
        <v>588</v>
      </c>
      <c r="AH240">
        <v>28.316800000000001</v>
      </c>
      <c r="AI240">
        <v>0</v>
      </c>
      <c r="AJ240" t="s">
        <v>561</v>
      </c>
      <c r="AK240" t="s">
        <v>589</v>
      </c>
      <c r="AL240" t="s">
        <v>590</v>
      </c>
      <c r="AM240">
        <v>2022</v>
      </c>
      <c r="AN240">
        <v>2020</v>
      </c>
      <c r="AO240">
        <f>IF(AND(emissions[[#This Row],[Market-based]]=0,emissions[[#This Row],[Impact Type]]="CO2E"),emissions[[#This Row],[kgCO2e]],0)/1000</f>
        <v>0</v>
      </c>
      <c r="AP240">
        <f>IF(AND(emissions[[#This Row],[Market-based]]=1,OR(emissions[[#This Row],[Impact Type]]="CO2E",emissions[[#This Row],[Impact Type]]="CO2E MKT")),emissions[[#This Row],[kgCO2e]],0)/1000</f>
        <v>0</v>
      </c>
      <c r="AQ240" t="str">
        <f>_xlfn.TEXTAFTER(emissions[[#This Row],[Reporting Unit]]," &gt; ",LEN(emissions[[#This Row],[Reporting Unit]])-LEN(SUBSTITUTE(emissions[[#This Row],[Reporting Unit]],"&gt;","")))</f>
        <v>Vantage_Les Borges</v>
      </c>
      <c r="AR240" t="str">
        <f>_xlfn.XLOOKUP(emissions[[#This Row],[Reporting unit name]],hierarchy!$A:$A,hierarchy!$C:$C)</f>
        <v>Office</v>
      </c>
    </row>
    <row r="241" spans="1:44" hidden="1" x14ac:dyDescent="0.25">
      <c r="A241">
        <v>1230923</v>
      </c>
      <c r="B241" t="s">
        <v>190</v>
      </c>
      <c r="C241" t="s">
        <v>501</v>
      </c>
      <c r="D241" t="s">
        <v>548</v>
      </c>
      <c r="E241" s="3">
        <v>44562</v>
      </c>
      <c r="F241" s="3">
        <v>44926</v>
      </c>
      <c r="G241" t="s">
        <v>116</v>
      </c>
      <c r="H241" s="3">
        <v>44562</v>
      </c>
      <c r="I241" s="3">
        <v>44926</v>
      </c>
      <c r="J241" t="s">
        <v>175</v>
      </c>
      <c r="K241">
        <v>0.3</v>
      </c>
      <c r="L241" t="s">
        <v>118</v>
      </c>
      <c r="M241" t="s">
        <v>82</v>
      </c>
      <c r="O241" t="s">
        <v>663</v>
      </c>
      <c r="P241" t="s">
        <v>550</v>
      </c>
      <c r="Q241">
        <v>2022</v>
      </c>
      <c r="R241" t="s">
        <v>664</v>
      </c>
      <c r="S241" t="s">
        <v>175</v>
      </c>
      <c r="T241" t="s">
        <v>553</v>
      </c>
      <c r="U241" t="b">
        <v>0</v>
      </c>
      <c r="V241" t="s">
        <v>665</v>
      </c>
      <c r="W241" t="s">
        <v>587</v>
      </c>
      <c r="X241" t="s">
        <v>556</v>
      </c>
      <c r="AC241">
        <v>0</v>
      </c>
      <c r="AD241" t="s">
        <v>565</v>
      </c>
      <c r="AE241">
        <v>626.4</v>
      </c>
      <c r="AF241">
        <v>2088</v>
      </c>
      <c r="AG241" t="s">
        <v>622</v>
      </c>
      <c r="AH241">
        <v>1</v>
      </c>
      <c r="AI241">
        <v>0.3</v>
      </c>
      <c r="AJ241" t="s">
        <v>561</v>
      </c>
      <c r="AK241" t="s">
        <v>623</v>
      </c>
      <c r="AL241" t="s">
        <v>624</v>
      </c>
      <c r="AM241">
        <v>2022</v>
      </c>
      <c r="AN241">
        <v>2007</v>
      </c>
      <c r="AO241">
        <f>IF(AND(emissions[[#This Row],[Market-based]]=0,emissions[[#This Row],[Impact Type]]="CO2E"),emissions[[#This Row],[kgCO2e]],0)/1000</f>
        <v>0.62639999999999996</v>
      </c>
      <c r="AP241">
        <f>IF(AND(emissions[[#This Row],[Market-based]]=1,OR(emissions[[#This Row],[Impact Type]]="CO2E",emissions[[#This Row],[Impact Type]]="CO2E MKT")),emissions[[#This Row],[kgCO2e]],0)/1000</f>
        <v>0</v>
      </c>
      <c r="AQ241" t="str">
        <f>_xlfn.TEXTAFTER(emissions[[#This Row],[Reporting Unit]]," &gt; ",LEN(emissions[[#This Row],[Reporting Unit]])-LEN(SUBSTITUTE(emissions[[#This Row],[Reporting Unit]],"&gt;","")))</f>
        <v>Vantage_Les Borges</v>
      </c>
      <c r="AR241" t="str">
        <f>_xlfn.XLOOKUP(emissions[[#This Row],[Reporting unit name]],hierarchy!$A:$A,hierarchy!$C:$C)</f>
        <v>Office</v>
      </c>
    </row>
    <row r="242" spans="1:44" hidden="1" x14ac:dyDescent="0.25">
      <c r="A242">
        <v>1230923</v>
      </c>
      <c r="B242" t="s">
        <v>190</v>
      </c>
      <c r="C242" t="s">
        <v>501</v>
      </c>
      <c r="D242" t="s">
        <v>548</v>
      </c>
      <c r="E242" s="3">
        <v>44562</v>
      </c>
      <c r="F242" s="3">
        <v>44926</v>
      </c>
      <c r="G242" t="s">
        <v>116</v>
      </c>
      <c r="H242" s="3">
        <v>44562</v>
      </c>
      <c r="I242" s="3">
        <v>44926</v>
      </c>
      <c r="J242" t="s">
        <v>175</v>
      </c>
      <c r="K242">
        <v>0.3</v>
      </c>
      <c r="L242" t="s">
        <v>118</v>
      </c>
      <c r="M242" t="s">
        <v>82</v>
      </c>
      <c r="O242" t="s">
        <v>663</v>
      </c>
      <c r="P242" t="s">
        <v>550</v>
      </c>
      <c r="Q242">
        <v>2022</v>
      </c>
      <c r="R242" t="s">
        <v>664</v>
      </c>
      <c r="S242" t="s">
        <v>175</v>
      </c>
      <c r="T242" t="s">
        <v>553</v>
      </c>
      <c r="U242" t="b">
        <v>0</v>
      </c>
      <c r="V242" t="s">
        <v>665</v>
      </c>
      <c r="W242" t="s">
        <v>587</v>
      </c>
      <c r="X242" t="s">
        <v>556</v>
      </c>
      <c r="AC242">
        <v>1</v>
      </c>
      <c r="AD242" t="s">
        <v>565</v>
      </c>
      <c r="AE242">
        <v>626.4</v>
      </c>
      <c r="AF242">
        <v>2088</v>
      </c>
      <c r="AG242" t="s">
        <v>622</v>
      </c>
      <c r="AH242">
        <v>1</v>
      </c>
      <c r="AI242">
        <v>0.3</v>
      </c>
      <c r="AJ242" t="s">
        <v>561</v>
      </c>
      <c r="AK242" t="s">
        <v>623</v>
      </c>
      <c r="AL242" t="s">
        <v>624</v>
      </c>
      <c r="AM242">
        <v>2022</v>
      </c>
      <c r="AN242">
        <v>2007</v>
      </c>
      <c r="AO242">
        <f>IF(AND(emissions[[#This Row],[Market-based]]=0,emissions[[#This Row],[Impact Type]]="CO2E"),emissions[[#This Row],[kgCO2e]],0)/1000</f>
        <v>0</v>
      </c>
      <c r="AP242">
        <f>IF(AND(emissions[[#This Row],[Market-based]]=1,OR(emissions[[#This Row],[Impact Type]]="CO2E",emissions[[#This Row],[Impact Type]]="CO2E MKT")),emissions[[#This Row],[kgCO2e]],0)/1000</f>
        <v>0.62639999999999996</v>
      </c>
      <c r="AQ242" t="str">
        <f>_xlfn.TEXTAFTER(emissions[[#This Row],[Reporting Unit]]," &gt; ",LEN(emissions[[#This Row],[Reporting Unit]])-LEN(SUBSTITUTE(emissions[[#This Row],[Reporting Unit]],"&gt;","")))</f>
        <v>Vantage_Les Borges</v>
      </c>
      <c r="AR242" t="str">
        <f>_xlfn.XLOOKUP(emissions[[#This Row],[Reporting unit name]],hierarchy!$A:$A,hierarchy!$C:$C)</f>
        <v>Office</v>
      </c>
    </row>
    <row r="243" spans="1:44" hidden="1" x14ac:dyDescent="0.25">
      <c r="A243">
        <v>295029</v>
      </c>
      <c r="B243" t="s">
        <v>190</v>
      </c>
      <c r="C243" t="s">
        <v>501</v>
      </c>
      <c r="D243" t="s">
        <v>548</v>
      </c>
      <c r="E243" s="3">
        <v>44562</v>
      </c>
      <c r="F243" s="3">
        <v>44926</v>
      </c>
      <c r="G243" t="s">
        <v>121</v>
      </c>
      <c r="H243" s="3">
        <v>44562</v>
      </c>
      <c r="I243" s="3">
        <v>44926</v>
      </c>
      <c r="J243" t="s">
        <v>150</v>
      </c>
      <c r="K243">
        <v>0</v>
      </c>
      <c r="L243" t="s">
        <v>136</v>
      </c>
      <c r="M243" t="s">
        <v>110</v>
      </c>
      <c r="O243" t="s">
        <v>662</v>
      </c>
      <c r="P243" t="s">
        <v>550</v>
      </c>
      <c r="Q243">
        <v>2022</v>
      </c>
      <c r="R243" t="s">
        <v>594</v>
      </c>
      <c r="S243" t="s">
        <v>150</v>
      </c>
      <c r="T243" t="s">
        <v>553</v>
      </c>
      <c r="U243" t="b">
        <v>0</v>
      </c>
      <c r="V243" t="s">
        <v>595</v>
      </c>
      <c r="W243" t="s">
        <v>587</v>
      </c>
      <c r="X243" t="s">
        <v>556</v>
      </c>
      <c r="Y243" t="s">
        <v>468</v>
      </c>
      <c r="AC243">
        <v>0</v>
      </c>
      <c r="AD243" t="s">
        <v>558</v>
      </c>
      <c r="AE243">
        <v>0</v>
      </c>
      <c r="AF243">
        <v>1.6000000000000001E-4</v>
      </c>
      <c r="AG243" t="s">
        <v>608</v>
      </c>
      <c r="AH243">
        <v>29.3001</v>
      </c>
      <c r="AI243">
        <v>0</v>
      </c>
      <c r="AJ243" t="s">
        <v>561</v>
      </c>
      <c r="AK243" t="s">
        <v>589</v>
      </c>
      <c r="AL243" t="s">
        <v>590</v>
      </c>
      <c r="AM243">
        <v>2022</v>
      </c>
      <c r="AN243">
        <v>2020</v>
      </c>
      <c r="AO243">
        <f>IF(AND(emissions[[#This Row],[Market-based]]=0,emissions[[#This Row],[Impact Type]]="CO2E"),emissions[[#This Row],[kgCO2e]],0)/1000</f>
        <v>0</v>
      </c>
      <c r="AP243">
        <f>IF(AND(emissions[[#This Row],[Market-based]]=1,OR(emissions[[#This Row],[Impact Type]]="CO2E",emissions[[#This Row],[Impact Type]]="CO2E MKT")),emissions[[#This Row],[kgCO2e]],0)/1000</f>
        <v>0</v>
      </c>
      <c r="AQ243" t="str">
        <f>_xlfn.TEXTAFTER(emissions[[#This Row],[Reporting Unit]]," &gt; ",LEN(emissions[[#This Row],[Reporting Unit]])-LEN(SUBSTITUTE(emissions[[#This Row],[Reporting Unit]],"&gt;","")))</f>
        <v>Vantage_Les Borges</v>
      </c>
      <c r="AR243" t="str">
        <f>_xlfn.XLOOKUP(emissions[[#This Row],[Reporting unit name]],hierarchy!$A:$A,hierarchy!$C:$C)</f>
        <v>Office</v>
      </c>
    </row>
    <row r="244" spans="1:44" hidden="1" x14ac:dyDescent="0.25">
      <c r="A244">
        <v>295029</v>
      </c>
      <c r="B244" t="s">
        <v>190</v>
      </c>
      <c r="C244" t="s">
        <v>501</v>
      </c>
      <c r="D244" t="s">
        <v>548</v>
      </c>
      <c r="E244" s="3">
        <v>44562</v>
      </c>
      <c r="F244" s="3">
        <v>44926</v>
      </c>
      <c r="G244" t="s">
        <v>121</v>
      </c>
      <c r="H244" s="3">
        <v>44562</v>
      </c>
      <c r="I244" s="3">
        <v>44926</v>
      </c>
      <c r="J244" t="s">
        <v>150</v>
      </c>
      <c r="K244">
        <v>0</v>
      </c>
      <c r="L244" t="s">
        <v>136</v>
      </c>
      <c r="M244" t="s">
        <v>110</v>
      </c>
      <c r="O244" t="s">
        <v>662</v>
      </c>
      <c r="P244" t="s">
        <v>550</v>
      </c>
      <c r="Q244">
        <v>2022</v>
      </c>
      <c r="R244" t="s">
        <v>594</v>
      </c>
      <c r="S244" t="s">
        <v>150</v>
      </c>
      <c r="T244" t="s">
        <v>553</v>
      </c>
      <c r="U244" t="b">
        <v>0</v>
      </c>
      <c r="V244" t="s">
        <v>595</v>
      </c>
      <c r="W244" t="s">
        <v>587</v>
      </c>
      <c r="X244" t="s">
        <v>556</v>
      </c>
      <c r="Y244" t="s">
        <v>468</v>
      </c>
      <c r="AC244">
        <v>0</v>
      </c>
      <c r="AD244" t="s">
        <v>564</v>
      </c>
      <c r="AE244">
        <v>0</v>
      </c>
      <c r="AF244">
        <v>0.21381</v>
      </c>
      <c r="AG244" t="s">
        <v>608</v>
      </c>
      <c r="AH244">
        <v>29.3001</v>
      </c>
      <c r="AI244">
        <v>0</v>
      </c>
      <c r="AJ244" t="s">
        <v>561</v>
      </c>
      <c r="AK244" t="s">
        <v>589</v>
      </c>
      <c r="AL244" t="s">
        <v>590</v>
      </c>
      <c r="AM244">
        <v>2022</v>
      </c>
      <c r="AN244">
        <v>2020</v>
      </c>
      <c r="AO244">
        <f>IF(AND(emissions[[#This Row],[Market-based]]=0,emissions[[#This Row],[Impact Type]]="CO2E"),emissions[[#This Row],[kgCO2e]],0)/1000</f>
        <v>0</v>
      </c>
      <c r="AP244">
        <f>IF(AND(emissions[[#This Row],[Market-based]]=1,OR(emissions[[#This Row],[Impact Type]]="CO2E",emissions[[#This Row],[Impact Type]]="CO2E MKT")),emissions[[#This Row],[kgCO2e]],0)/1000</f>
        <v>0</v>
      </c>
      <c r="AQ244" t="str">
        <f>_xlfn.TEXTAFTER(emissions[[#This Row],[Reporting Unit]]," &gt; ",LEN(emissions[[#This Row],[Reporting Unit]])-LEN(SUBSTITUTE(emissions[[#This Row],[Reporting Unit]],"&gt;","")))</f>
        <v>Vantage_Les Borges</v>
      </c>
      <c r="AR244" t="str">
        <f>_xlfn.XLOOKUP(emissions[[#This Row],[Reporting unit name]],hierarchy!$A:$A,hierarchy!$C:$C)</f>
        <v>Office</v>
      </c>
    </row>
    <row r="245" spans="1:44" hidden="1" x14ac:dyDescent="0.25">
      <c r="A245">
        <v>295029</v>
      </c>
      <c r="B245" t="s">
        <v>190</v>
      </c>
      <c r="C245" t="s">
        <v>501</v>
      </c>
      <c r="D245" t="s">
        <v>548</v>
      </c>
      <c r="E245" s="3">
        <v>44562</v>
      </c>
      <c r="F245" s="3">
        <v>44926</v>
      </c>
      <c r="G245" t="s">
        <v>121</v>
      </c>
      <c r="H245" s="3">
        <v>44562</v>
      </c>
      <c r="I245" s="3">
        <v>44926</v>
      </c>
      <c r="J245" t="s">
        <v>150</v>
      </c>
      <c r="K245">
        <v>0</v>
      </c>
      <c r="L245" t="s">
        <v>136</v>
      </c>
      <c r="M245" t="s">
        <v>110</v>
      </c>
      <c r="O245" t="s">
        <v>662</v>
      </c>
      <c r="P245" t="s">
        <v>550</v>
      </c>
      <c r="Q245">
        <v>2022</v>
      </c>
      <c r="R245" t="s">
        <v>594</v>
      </c>
      <c r="S245" t="s">
        <v>150</v>
      </c>
      <c r="T245" t="s">
        <v>553</v>
      </c>
      <c r="U245" t="b">
        <v>0</v>
      </c>
      <c r="V245" t="s">
        <v>595</v>
      </c>
      <c r="W245" t="s">
        <v>587</v>
      </c>
      <c r="X245" t="s">
        <v>556</v>
      </c>
      <c r="Y245" t="s">
        <v>468</v>
      </c>
      <c r="AC245">
        <v>0</v>
      </c>
      <c r="AD245" t="s">
        <v>565</v>
      </c>
      <c r="AE245">
        <v>0</v>
      </c>
      <c r="AF245">
        <v>0.21410000000000001</v>
      </c>
      <c r="AG245" t="s">
        <v>608</v>
      </c>
      <c r="AH245">
        <v>29.3001</v>
      </c>
      <c r="AI245">
        <v>0</v>
      </c>
      <c r="AJ245" t="s">
        <v>561</v>
      </c>
      <c r="AK245" t="s">
        <v>589</v>
      </c>
      <c r="AL245" t="s">
        <v>590</v>
      </c>
      <c r="AM245">
        <v>2022</v>
      </c>
      <c r="AN245">
        <v>2020</v>
      </c>
      <c r="AO245">
        <f>IF(AND(emissions[[#This Row],[Market-based]]=0,emissions[[#This Row],[Impact Type]]="CO2E"),emissions[[#This Row],[kgCO2e]],0)/1000</f>
        <v>0</v>
      </c>
      <c r="AP245">
        <f>IF(AND(emissions[[#This Row],[Market-based]]=1,OR(emissions[[#This Row],[Impact Type]]="CO2E",emissions[[#This Row],[Impact Type]]="CO2E MKT")),emissions[[#This Row],[kgCO2e]],0)/1000</f>
        <v>0</v>
      </c>
      <c r="AQ245" t="str">
        <f>_xlfn.TEXTAFTER(emissions[[#This Row],[Reporting Unit]]," &gt; ",LEN(emissions[[#This Row],[Reporting Unit]])-LEN(SUBSTITUTE(emissions[[#This Row],[Reporting Unit]],"&gt;","")))</f>
        <v>Vantage_Les Borges</v>
      </c>
      <c r="AR245" t="str">
        <f>_xlfn.XLOOKUP(emissions[[#This Row],[Reporting unit name]],hierarchy!$A:$A,hierarchy!$C:$C)</f>
        <v>Office</v>
      </c>
    </row>
    <row r="246" spans="1:44" hidden="1" x14ac:dyDescent="0.25">
      <c r="A246">
        <v>295029</v>
      </c>
      <c r="B246" t="s">
        <v>190</v>
      </c>
      <c r="C246" t="s">
        <v>501</v>
      </c>
      <c r="D246" t="s">
        <v>548</v>
      </c>
      <c r="E246" s="3">
        <v>44562</v>
      </c>
      <c r="F246" s="3">
        <v>44926</v>
      </c>
      <c r="G246" t="s">
        <v>121</v>
      </c>
      <c r="H246" s="3">
        <v>44562</v>
      </c>
      <c r="I246" s="3">
        <v>44926</v>
      </c>
      <c r="J246" t="s">
        <v>150</v>
      </c>
      <c r="K246">
        <v>0</v>
      </c>
      <c r="L246" t="s">
        <v>136</v>
      </c>
      <c r="M246" t="s">
        <v>110</v>
      </c>
      <c r="O246" t="s">
        <v>662</v>
      </c>
      <c r="P246" t="s">
        <v>550</v>
      </c>
      <c r="Q246">
        <v>2022</v>
      </c>
      <c r="R246" t="s">
        <v>594</v>
      </c>
      <c r="S246" t="s">
        <v>150</v>
      </c>
      <c r="T246" t="s">
        <v>553</v>
      </c>
      <c r="U246" t="b">
        <v>0</v>
      </c>
      <c r="V246" t="s">
        <v>595</v>
      </c>
      <c r="W246" t="s">
        <v>587</v>
      </c>
      <c r="X246" t="s">
        <v>556</v>
      </c>
      <c r="Y246" t="s">
        <v>468</v>
      </c>
      <c r="AC246">
        <v>0</v>
      </c>
      <c r="AD246" t="s">
        <v>566</v>
      </c>
      <c r="AE246">
        <v>0</v>
      </c>
      <c r="AF246">
        <v>1.2999999999999999E-4</v>
      </c>
      <c r="AG246" t="s">
        <v>608</v>
      </c>
      <c r="AH246">
        <v>29.3001</v>
      </c>
      <c r="AI246">
        <v>0</v>
      </c>
      <c r="AJ246" t="s">
        <v>561</v>
      </c>
      <c r="AK246" t="s">
        <v>589</v>
      </c>
      <c r="AL246" t="s">
        <v>590</v>
      </c>
      <c r="AM246">
        <v>2022</v>
      </c>
      <c r="AN246">
        <v>2020</v>
      </c>
      <c r="AO246">
        <f>IF(AND(emissions[[#This Row],[Market-based]]=0,emissions[[#This Row],[Impact Type]]="CO2E"),emissions[[#This Row],[kgCO2e]],0)/1000</f>
        <v>0</v>
      </c>
      <c r="AP246">
        <f>IF(AND(emissions[[#This Row],[Market-based]]=1,OR(emissions[[#This Row],[Impact Type]]="CO2E",emissions[[#This Row],[Impact Type]]="CO2E MKT")),emissions[[#This Row],[kgCO2e]],0)/1000</f>
        <v>0</v>
      </c>
      <c r="AQ246" t="str">
        <f>_xlfn.TEXTAFTER(emissions[[#This Row],[Reporting Unit]]," &gt; ",LEN(emissions[[#This Row],[Reporting Unit]])-LEN(SUBSTITUTE(emissions[[#This Row],[Reporting Unit]],"&gt;","")))</f>
        <v>Vantage_Les Borges</v>
      </c>
      <c r="AR246" t="str">
        <f>_xlfn.XLOOKUP(emissions[[#This Row],[Reporting unit name]],hierarchy!$A:$A,hierarchy!$C:$C)</f>
        <v>Office</v>
      </c>
    </row>
    <row r="247" spans="1:44" hidden="1" x14ac:dyDescent="0.25">
      <c r="A247">
        <v>295029</v>
      </c>
      <c r="B247" t="s">
        <v>190</v>
      </c>
      <c r="C247" t="s">
        <v>501</v>
      </c>
      <c r="D247" t="s">
        <v>548</v>
      </c>
      <c r="E247" s="3">
        <v>44562</v>
      </c>
      <c r="F247" s="3">
        <v>44926</v>
      </c>
      <c r="G247" t="s">
        <v>121</v>
      </c>
      <c r="H247" s="3">
        <v>44562</v>
      </c>
      <c r="I247" s="3">
        <v>44926</v>
      </c>
      <c r="J247" t="s">
        <v>150</v>
      </c>
      <c r="K247">
        <v>0</v>
      </c>
      <c r="L247" t="s">
        <v>136</v>
      </c>
      <c r="M247" t="s">
        <v>110</v>
      </c>
      <c r="O247" t="s">
        <v>662</v>
      </c>
      <c r="P247" t="s">
        <v>550</v>
      </c>
      <c r="Q247">
        <v>2022</v>
      </c>
      <c r="R247" t="s">
        <v>594</v>
      </c>
      <c r="S247" t="s">
        <v>150</v>
      </c>
      <c r="T247" t="s">
        <v>553</v>
      </c>
      <c r="U247" t="b">
        <v>0</v>
      </c>
      <c r="V247" t="s">
        <v>595</v>
      </c>
      <c r="W247" t="s">
        <v>587</v>
      </c>
      <c r="X247" t="s">
        <v>556</v>
      </c>
      <c r="Y247" t="s">
        <v>468</v>
      </c>
      <c r="AC247">
        <v>1</v>
      </c>
      <c r="AD247" t="s">
        <v>558</v>
      </c>
      <c r="AE247">
        <v>0</v>
      </c>
      <c r="AF247">
        <v>1.6000000000000001E-4</v>
      </c>
      <c r="AG247" t="s">
        <v>608</v>
      </c>
      <c r="AH247">
        <v>29.3001</v>
      </c>
      <c r="AI247">
        <v>0</v>
      </c>
      <c r="AJ247" t="s">
        <v>561</v>
      </c>
      <c r="AK247" t="s">
        <v>589</v>
      </c>
      <c r="AL247" t="s">
        <v>590</v>
      </c>
      <c r="AM247">
        <v>2022</v>
      </c>
      <c r="AN247">
        <v>2020</v>
      </c>
      <c r="AO247">
        <f>IF(AND(emissions[[#This Row],[Market-based]]=0,emissions[[#This Row],[Impact Type]]="CO2E"),emissions[[#This Row],[kgCO2e]],0)/1000</f>
        <v>0</v>
      </c>
      <c r="AP247">
        <f>IF(AND(emissions[[#This Row],[Market-based]]=1,OR(emissions[[#This Row],[Impact Type]]="CO2E",emissions[[#This Row],[Impact Type]]="CO2E MKT")),emissions[[#This Row],[kgCO2e]],0)/1000</f>
        <v>0</v>
      </c>
      <c r="AQ247" t="str">
        <f>_xlfn.TEXTAFTER(emissions[[#This Row],[Reporting Unit]]," &gt; ",LEN(emissions[[#This Row],[Reporting Unit]])-LEN(SUBSTITUTE(emissions[[#This Row],[Reporting Unit]],"&gt;","")))</f>
        <v>Vantage_Les Borges</v>
      </c>
      <c r="AR247" t="str">
        <f>_xlfn.XLOOKUP(emissions[[#This Row],[Reporting unit name]],hierarchy!$A:$A,hierarchy!$C:$C)</f>
        <v>Office</v>
      </c>
    </row>
    <row r="248" spans="1:44" hidden="1" x14ac:dyDescent="0.25">
      <c r="A248">
        <v>295029</v>
      </c>
      <c r="B248" t="s">
        <v>190</v>
      </c>
      <c r="C248" t="s">
        <v>501</v>
      </c>
      <c r="D248" t="s">
        <v>548</v>
      </c>
      <c r="E248" s="3">
        <v>44562</v>
      </c>
      <c r="F248" s="3">
        <v>44926</v>
      </c>
      <c r="G248" t="s">
        <v>121</v>
      </c>
      <c r="H248" s="3">
        <v>44562</v>
      </c>
      <c r="I248" s="3">
        <v>44926</v>
      </c>
      <c r="J248" t="s">
        <v>150</v>
      </c>
      <c r="K248">
        <v>0</v>
      </c>
      <c r="L248" t="s">
        <v>136</v>
      </c>
      <c r="M248" t="s">
        <v>110</v>
      </c>
      <c r="O248" t="s">
        <v>662</v>
      </c>
      <c r="P248" t="s">
        <v>550</v>
      </c>
      <c r="Q248">
        <v>2022</v>
      </c>
      <c r="R248" t="s">
        <v>594</v>
      </c>
      <c r="S248" t="s">
        <v>150</v>
      </c>
      <c r="T248" t="s">
        <v>553</v>
      </c>
      <c r="U248" t="b">
        <v>0</v>
      </c>
      <c r="V248" t="s">
        <v>595</v>
      </c>
      <c r="W248" t="s">
        <v>587</v>
      </c>
      <c r="X248" t="s">
        <v>556</v>
      </c>
      <c r="Y248" t="s">
        <v>468</v>
      </c>
      <c r="AC248">
        <v>1</v>
      </c>
      <c r="AD248" t="s">
        <v>564</v>
      </c>
      <c r="AE248">
        <v>0</v>
      </c>
      <c r="AF248">
        <v>0.21381</v>
      </c>
      <c r="AG248" t="s">
        <v>608</v>
      </c>
      <c r="AH248">
        <v>29.3001</v>
      </c>
      <c r="AI248">
        <v>0</v>
      </c>
      <c r="AJ248" t="s">
        <v>561</v>
      </c>
      <c r="AK248" t="s">
        <v>589</v>
      </c>
      <c r="AL248" t="s">
        <v>590</v>
      </c>
      <c r="AM248">
        <v>2022</v>
      </c>
      <c r="AN248">
        <v>2020</v>
      </c>
      <c r="AO248">
        <f>IF(AND(emissions[[#This Row],[Market-based]]=0,emissions[[#This Row],[Impact Type]]="CO2E"),emissions[[#This Row],[kgCO2e]],0)/1000</f>
        <v>0</v>
      </c>
      <c r="AP248">
        <f>IF(AND(emissions[[#This Row],[Market-based]]=1,OR(emissions[[#This Row],[Impact Type]]="CO2E",emissions[[#This Row],[Impact Type]]="CO2E MKT")),emissions[[#This Row],[kgCO2e]],0)/1000</f>
        <v>0</v>
      </c>
      <c r="AQ248" t="str">
        <f>_xlfn.TEXTAFTER(emissions[[#This Row],[Reporting Unit]]," &gt; ",LEN(emissions[[#This Row],[Reporting Unit]])-LEN(SUBSTITUTE(emissions[[#This Row],[Reporting Unit]],"&gt;","")))</f>
        <v>Vantage_Les Borges</v>
      </c>
      <c r="AR248" t="str">
        <f>_xlfn.XLOOKUP(emissions[[#This Row],[Reporting unit name]],hierarchy!$A:$A,hierarchy!$C:$C)</f>
        <v>Office</v>
      </c>
    </row>
    <row r="249" spans="1:44" hidden="1" x14ac:dyDescent="0.25">
      <c r="A249">
        <v>295029</v>
      </c>
      <c r="B249" t="s">
        <v>190</v>
      </c>
      <c r="C249" t="s">
        <v>501</v>
      </c>
      <c r="D249" t="s">
        <v>548</v>
      </c>
      <c r="E249" s="3">
        <v>44562</v>
      </c>
      <c r="F249" s="3">
        <v>44926</v>
      </c>
      <c r="G249" t="s">
        <v>121</v>
      </c>
      <c r="H249" s="3">
        <v>44562</v>
      </c>
      <c r="I249" s="3">
        <v>44926</v>
      </c>
      <c r="J249" t="s">
        <v>150</v>
      </c>
      <c r="K249">
        <v>0</v>
      </c>
      <c r="L249" t="s">
        <v>136</v>
      </c>
      <c r="M249" t="s">
        <v>110</v>
      </c>
      <c r="O249" t="s">
        <v>662</v>
      </c>
      <c r="P249" t="s">
        <v>550</v>
      </c>
      <c r="Q249">
        <v>2022</v>
      </c>
      <c r="R249" t="s">
        <v>594</v>
      </c>
      <c r="S249" t="s">
        <v>150</v>
      </c>
      <c r="T249" t="s">
        <v>553</v>
      </c>
      <c r="U249" t="b">
        <v>0</v>
      </c>
      <c r="V249" t="s">
        <v>595</v>
      </c>
      <c r="W249" t="s">
        <v>587</v>
      </c>
      <c r="X249" t="s">
        <v>556</v>
      </c>
      <c r="Y249" t="s">
        <v>468</v>
      </c>
      <c r="AC249">
        <v>1</v>
      </c>
      <c r="AD249" t="s">
        <v>565</v>
      </c>
      <c r="AE249">
        <v>0</v>
      </c>
      <c r="AF249">
        <v>0.21410000000000001</v>
      </c>
      <c r="AG249" t="s">
        <v>608</v>
      </c>
      <c r="AH249">
        <v>29.3001</v>
      </c>
      <c r="AI249">
        <v>0</v>
      </c>
      <c r="AJ249" t="s">
        <v>561</v>
      </c>
      <c r="AK249" t="s">
        <v>589</v>
      </c>
      <c r="AL249" t="s">
        <v>590</v>
      </c>
      <c r="AM249">
        <v>2022</v>
      </c>
      <c r="AN249">
        <v>2020</v>
      </c>
      <c r="AO249">
        <f>IF(AND(emissions[[#This Row],[Market-based]]=0,emissions[[#This Row],[Impact Type]]="CO2E"),emissions[[#This Row],[kgCO2e]],0)/1000</f>
        <v>0</v>
      </c>
      <c r="AP249">
        <f>IF(AND(emissions[[#This Row],[Market-based]]=1,OR(emissions[[#This Row],[Impact Type]]="CO2E",emissions[[#This Row],[Impact Type]]="CO2E MKT")),emissions[[#This Row],[kgCO2e]],0)/1000</f>
        <v>0</v>
      </c>
      <c r="AQ249" t="str">
        <f>_xlfn.TEXTAFTER(emissions[[#This Row],[Reporting Unit]]," &gt; ",LEN(emissions[[#This Row],[Reporting Unit]])-LEN(SUBSTITUTE(emissions[[#This Row],[Reporting Unit]],"&gt;","")))</f>
        <v>Vantage_Les Borges</v>
      </c>
      <c r="AR249" t="str">
        <f>_xlfn.XLOOKUP(emissions[[#This Row],[Reporting unit name]],hierarchy!$A:$A,hierarchy!$C:$C)</f>
        <v>Office</v>
      </c>
    </row>
    <row r="250" spans="1:44" hidden="1" x14ac:dyDescent="0.25">
      <c r="A250">
        <v>295029</v>
      </c>
      <c r="B250" t="s">
        <v>190</v>
      </c>
      <c r="C250" t="s">
        <v>501</v>
      </c>
      <c r="D250" t="s">
        <v>548</v>
      </c>
      <c r="E250" s="3">
        <v>44562</v>
      </c>
      <c r="F250" s="3">
        <v>44926</v>
      </c>
      <c r="G250" t="s">
        <v>121</v>
      </c>
      <c r="H250" s="3">
        <v>44562</v>
      </c>
      <c r="I250" s="3">
        <v>44926</v>
      </c>
      <c r="J250" t="s">
        <v>150</v>
      </c>
      <c r="K250">
        <v>0</v>
      </c>
      <c r="L250" t="s">
        <v>136</v>
      </c>
      <c r="M250" t="s">
        <v>110</v>
      </c>
      <c r="O250" t="s">
        <v>662</v>
      </c>
      <c r="P250" t="s">
        <v>550</v>
      </c>
      <c r="Q250">
        <v>2022</v>
      </c>
      <c r="R250" t="s">
        <v>594</v>
      </c>
      <c r="S250" t="s">
        <v>150</v>
      </c>
      <c r="T250" t="s">
        <v>553</v>
      </c>
      <c r="U250" t="b">
        <v>0</v>
      </c>
      <c r="V250" t="s">
        <v>595</v>
      </c>
      <c r="W250" t="s">
        <v>587</v>
      </c>
      <c r="X250" t="s">
        <v>556</v>
      </c>
      <c r="Y250" t="s">
        <v>468</v>
      </c>
      <c r="AC250">
        <v>1</v>
      </c>
      <c r="AD250" t="s">
        <v>566</v>
      </c>
      <c r="AE250">
        <v>0</v>
      </c>
      <c r="AF250">
        <v>1.2999999999999999E-4</v>
      </c>
      <c r="AG250" t="s">
        <v>608</v>
      </c>
      <c r="AH250">
        <v>29.3001</v>
      </c>
      <c r="AI250">
        <v>0</v>
      </c>
      <c r="AJ250" t="s">
        <v>561</v>
      </c>
      <c r="AK250" t="s">
        <v>589</v>
      </c>
      <c r="AL250" t="s">
        <v>590</v>
      </c>
      <c r="AM250">
        <v>2022</v>
      </c>
      <c r="AN250">
        <v>2020</v>
      </c>
      <c r="AO250">
        <f>IF(AND(emissions[[#This Row],[Market-based]]=0,emissions[[#This Row],[Impact Type]]="CO2E"),emissions[[#This Row],[kgCO2e]],0)/1000</f>
        <v>0</v>
      </c>
      <c r="AP250">
        <f>IF(AND(emissions[[#This Row],[Market-based]]=1,OR(emissions[[#This Row],[Impact Type]]="CO2E",emissions[[#This Row],[Impact Type]]="CO2E MKT")),emissions[[#This Row],[kgCO2e]],0)/1000</f>
        <v>0</v>
      </c>
      <c r="AQ250" t="str">
        <f>_xlfn.TEXTAFTER(emissions[[#This Row],[Reporting Unit]]," &gt; ",LEN(emissions[[#This Row],[Reporting Unit]])-LEN(SUBSTITUTE(emissions[[#This Row],[Reporting Unit]],"&gt;","")))</f>
        <v>Vantage_Les Borges</v>
      </c>
      <c r="AR250" t="str">
        <f>_xlfn.XLOOKUP(emissions[[#This Row],[Reporting unit name]],hierarchy!$A:$A,hierarchy!$C:$C)</f>
        <v>Office</v>
      </c>
    </row>
    <row r="251" spans="1:44" hidden="1" x14ac:dyDescent="0.25">
      <c r="A251">
        <v>295029</v>
      </c>
      <c r="B251" t="s">
        <v>190</v>
      </c>
      <c r="C251" t="s">
        <v>501</v>
      </c>
      <c r="D251" t="s">
        <v>548</v>
      </c>
      <c r="E251" s="3">
        <v>44562</v>
      </c>
      <c r="F251" s="3">
        <v>44926</v>
      </c>
      <c r="G251" t="s">
        <v>121</v>
      </c>
      <c r="H251" s="3">
        <v>44562</v>
      </c>
      <c r="I251" s="3">
        <v>44926</v>
      </c>
      <c r="J251" t="s">
        <v>150</v>
      </c>
      <c r="K251">
        <v>0</v>
      </c>
      <c r="L251" t="s">
        <v>136</v>
      </c>
      <c r="M251" t="s">
        <v>110</v>
      </c>
      <c r="O251" t="s">
        <v>662</v>
      </c>
      <c r="P251" t="s">
        <v>550</v>
      </c>
      <c r="Q251">
        <v>2022</v>
      </c>
      <c r="R251" t="s">
        <v>596</v>
      </c>
      <c r="S251" t="s">
        <v>597</v>
      </c>
      <c r="T251" t="s">
        <v>577</v>
      </c>
      <c r="U251" t="b">
        <v>0</v>
      </c>
      <c r="V251" t="s">
        <v>598</v>
      </c>
      <c r="W251" t="s">
        <v>571</v>
      </c>
      <c r="X251" t="s">
        <v>572</v>
      </c>
      <c r="Y251" t="s">
        <v>468</v>
      </c>
      <c r="AC251">
        <v>0</v>
      </c>
      <c r="AD251" t="s">
        <v>565</v>
      </c>
      <c r="AE251">
        <v>0</v>
      </c>
      <c r="AF251">
        <v>2.503E-2</v>
      </c>
      <c r="AG251" t="s">
        <v>608</v>
      </c>
      <c r="AH251">
        <v>29.3001</v>
      </c>
      <c r="AI251">
        <v>0</v>
      </c>
      <c r="AJ251" t="s">
        <v>561</v>
      </c>
      <c r="AK251" t="s">
        <v>589</v>
      </c>
      <c r="AL251" t="s">
        <v>590</v>
      </c>
      <c r="AM251">
        <v>2022</v>
      </c>
      <c r="AN251">
        <v>2020</v>
      </c>
      <c r="AO251">
        <f>IF(AND(emissions[[#This Row],[Market-based]]=0,emissions[[#This Row],[Impact Type]]="CO2E"),emissions[[#This Row],[kgCO2e]],0)/1000</f>
        <v>0</v>
      </c>
      <c r="AP251">
        <f>IF(AND(emissions[[#This Row],[Market-based]]=1,OR(emissions[[#This Row],[Impact Type]]="CO2E",emissions[[#This Row],[Impact Type]]="CO2E MKT")),emissions[[#This Row],[kgCO2e]],0)/1000</f>
        <v>0</v>
      </c>
      <c r="AQ251" t="str">
        <f>_xlfn.TEXTAFTER(emissions[[#This Row],[Reporting Unit]]," &gt; ",LEN(emissions[[#This Row],[Reporting Unit]])-LEN(SUBSTITUTE(emissions[[#This Row],[Reporting Unit]],"&gt;","")))</f>
        <v>Vantage_Les Borges</v>
      </c>
      <c r="AR251" t="str">
        <f>_xlfn.XLOOKUP(emissions[[#This Row],[Reporting unit name]],hierarchy!$A:$A,hierarchy!$C:$C)</f>
        <v>Office</v>
      </c>
    </row>
    <row r="252" spans="1:44" hidden="1" x14ac:dyDescent="0.25">
      <c r="A252">
        <v>295029</v>
      </c>
      <c r="B252" t="s">
        <v>190</v>
      </c>
      <c r="C252" t="s">
        <v>501</v>
      </c>
      <c r="D252" t="s">
        <v>548</v>
      </c>
      <c r="E252" s="3">
        <v>44562</v>
      </c>
      <c r="F252" s="3">
        <v>44926</v>
      </c>
      <c r="G252" t="s">
        <v>121</v>
      </c>
      <c r="H252" s="3">
        <v>44562</v>
      </c>
      <c r="I252" s="3">
        <v>44926</v>
      </c>
      <c r="J252" t="s">
        <v>150</v>
      </c>
      <c r="K252">
        <v>0</v>
      </c>
      <c r="L252" t="s">
        <v>136</v>
      </c>
      <c r="M252" t="s">
        <v>110</v>
      </c>
      <c r="O252" t="s">
        <v>662</v>
      </c>
      <c r="P252" t="s">
        <v>550</v>
      </c>
      <c r="Q252">
        <v>2022</v>
      </c>
      <c r="R252" t="s">
        <v>596</v>
      </c>
      <c r="S252" t="s">
        <v>597</v>
      </c>
      <c r="T252" t="s">
        <v>577</v>
      </c>
      <c r="U252" t="b">
        <v>0</v>
      </c>
      <c r="V252" t="s">
        <v>598</v>
      </c>
      <c r="W252" t="s">
        <v>571</v>
      </c>
      <c r="X252" t="s">
        <v>572</v>
      </c>
      <c r="Y252" t="s">
        <v>468</v>
      </c>
      <c r="AC252">
        <v>1</v>
      </c>
      <c r="AD252" t="s">
        <v>565</v>
      </c>
      <c r="AE252">
        <v>0</v>
      </c>
      <c r="AF252">
        <v>2.503E-2</v>
      </c>
      <c r="AG252" t="s">
        <v>608</v>
      </c>
      <c r="AH252">
        <v>29.3001</v>
      </c>
      <c r="AI252">
        <v>0</v>
      </c>
      <c r="AJ252" t="s">
        <v>561</v>
      </c>
      <c r="AK252" t="s">
        <v>589</v>
      </c>
      <c r="AL252" t="s">
        <v>590</v>
      </c>
      <c r="AM252">
        <v>2022</v>
      </c>
      <c r="AN252">
        <v>2020</v>
      </c>
      <c r="AO252">
        <f>IF(AND(emissions[[#This Row],[Market-based]]=0,emissions[[#This Row],[Impact Type]]="CO2E"),emissions[[#This Row],[kgCO2e]],0)/1000</f>
        <v>0</v>
      </c>
      <c r="AP252">
        <f>IF(AND(emissions[[#This Row],[Market-based]]=1,OR(emissions[[#This Row],[Impact Type]]="CO2E",emissions[[#This Row],[Impact Type]]="CO2E MKT")),emissions[[#This Row],[kgCO2e]],0)/1000</f>
        <v>0</v>
      </c>
      <c r="AQ252" t="str">
        <f>_xlfn.TEXTAFTER(emissions[[#This Row],[Reporting Unit]]," &gt; ",LEN(emissions[[#This Row],[Reporting Unit]])-LEN(SUBSTITUTE(emissions[[#This Row],[Reporting Unit]],"&gt;","")))</f>
        <v>Vantage_Les Borges</v>
      </c>
      <c r="AR252" t="str">
        <f>_xlfn.XLOOKUP(emissions[[#This Row],[Reporting unit name]],hierarchy!$A:$A,hierarchy!$C:$C)</f>
        <v>Office</v>
      </c>
    </row>
    <row r="253" spans="1:44" hidden="1" x14ac:dyDescent="0.25">
      <c r="A253">
        <v>4953</v>
      </c>
      <c r="B253" t="s">
        <v>190</v>
      </c>
      <c r="C253" t="s">
        <v>501</v>
      </c>
      <c r="D253" t="s">
        <v>599</v>
      </c>
      <c r="E253" s="3">
        <v>44197</v>
      </c>
      <c r="F253" s="3">
        <v>44561</v>
      </c>
      <c r="G253" t="s">
        <v>108</v>
      </c>
      <c r="H253" s="3">
        <v>44197</v>
      </c>
      <c r="I253" s="3">
        <v>44561</v>
      </c>
      <c r="J253" t="s">
        <v>108</v>
      </c>
      <c r="K253">
        <v>208000</v>
      </c>
      <c r="L253" t="s">
        <v>109</v>
      </c>
      <c r="M253" t="s">
        <v>110</v>
      </c>
      <c r="N253" t="s">
        <v>201</v>
      </c>
      <c r="O253" t="s">
        <v>600</v>
      </c>
      <c r="P253" t="s">
        <v>550</v>
      </c>
      <c r="Q253">
        <v>2021</v>
      </c>
      <c r="R253" t="s">
        <v>551</v>
      </c>
      <c r="S253" t="s">
        <v>552</v>
      </c>
      <c r="T253" t="s">
        <v>553</v>
      </c>
      <c r="U253" t="b">
        <v>0</v>
      </c>
      <c r="V253" t="s">
        <v>637</v>
      </c>
      <c r="W253" t="s">
        <v>555</v>
      </c>
      <c r="X253" t="s">
        <v>556</v>
      </c>
      <c r="Y253" t="s">
        <v>468</v>
      </c>
      <c r="Z253" t="s">
        <v>478</v>
      </c>
      <c r="AA253" t="s">
        <v>638</v>
      </c>
      <c r="AC253">
        <v>0</v>
      </c>
      <c r="AD253" t="s">
        <v>558</v>
      </c>
      <c r="AE253">
        <v>62.4</v>
      </c>
      <c r="AF253" t="s">
        <v>559</v>
      </c>
      <c r="AG253" t="s">
        <v>560</v>
      </c>
      <c r="AH253">
        <v>1</v>
      </c>
      <c r="AI253">
        <v>208000</v>
      </c>
      <c r="AJ253" t="s">
        <v>561</v>
      </c>
      <c r="AK253" t="s">
        <v>562</v>
      </c>
      <c r="AL253" t="s">
        <v>601</v>
      </c>
      <c r="AM253">
        <v>2021</v>
      </c>
      <c r="AN253">
        <v>2019</v>
      </c>
      <c r="AO253">
        <f>IF(AND(emissions[[#This Row],[Market-based]]=0,emissions[[#This Row],[Impact Type]]="CO2E"),emissions[[#This Row],[kgCO2e]],0)/1000</f>
        <v>0</v>
      </c>
      <c r="AP253">
        <f>IF(AND(emissions[[#This Row],[Market-based]]=1,OR(emissions[[#This Row],[Impact Type]]="CO2E",emissions[[#This Row],[Impact Type]]="CO2E MKT")),emissions[[#This Row],[kgCO2e]],0)/1000</f>
        <v>0</v>
      </c>
      <c r="AQ253" t="str">
        <f>_xlfn.TEXTAFTER(emissions[[#This Row],[Reporting Unit]]," &gt; ",LEN(emissions[[#This Row],[Reporting Unit]])-LEN(SUBSTITUTE(emissions[[#This Row],[Reporting Unit]],"&gt;","")))</f>
        <v>Vantage_Les Borges</v>
      </c>
      <c r="AR253" t="str">
        <f>_xlfn.XLOOKUP(emissions[[#This Row],[Reporting unit name]],hierarchy!$A:$A,hierarchy!$C:$C)</f>
        <v>Office</v>
      </c>
    </row>
    <row r="254" spans="1:44" hidden="1" x14ac:dyDescent="0.25">
      <c r="A254">
        <v>4953</v>
      </c>
      <c r="B254" t="s">
        <v>190</v>
      </c>
      <c r="C254" t="s">
        <v>501</v>
      </c>
      <c r="D254" t="s">
        <v>599</v>
      </c>
      <c r="E254" s="3">
        <v>44197</v>
      </c>
      <c r="F254" s="3">
        <v>44561</v>
      </c>
      <c r="G254" t="s">
        <v>108</v>
      </c>
      <c r="H254" s="3">
        <v>44197</v>
      </c>
      <c r="I254" s="3">
        <v>44561</v>
      </c>
      <c r="J254" t="s">
        <v>108</v>
      </c>
      <c r="K254">
        <v>208000</v>
      </c>
      <c r="L254" t="s">
        <v>109</v>
      </c>
      <c r="M254" t="s">
        <v>110</v>
      </c>
      <c r="N254" t="s">
        <v>201</v>
      </c>
      <c r="O254" t="s">
        <v>600</v>
      </c>
      <c r="P254" t="s">
        <v>550</v>
      </c>
      <c r="Q254">
        <v>2021</v>
      </c>
      <c r="R254" t="s">
        <v>551</v>
      </c>
      <c r="S254" t="s">
        <v>552</v>
      </c>
      <c r="T254" t="s">
        <v>553</v>
      </c>
      <c r="U254" t="b">
        <v>0</v>
      </c>
      <c r="V254" t="s">
        <v>637</v>
      </c>
      <c r="W254" t="s">
        <v>555</v>
      </c>
      <c r="X254" t="s">
        <v>556</v>
      </c>
      <c r="Y254" t="s">
        <v>468</v>
      </c>
      <c r="Z254" t="s">
        <v>478</v>
      </c>
      <c r="AA254" t="s">
        <v>638</v>
      </c>
      <c r="AC254">
        <v>0</v>
      </c>
      <c r="AD254" t="s">
        <v>564</v>
      </c>
      <c r="AE254">
        <v>39873.599999999999</v>
      </c>
      <c r="AF254" t="s">
        <v>559</v>
      </c>
      <c r="AG254" t="s">
        <v>560</v>
      </c>
      <c r="AH254">
        <v>1</v>
      </c>
      <c r="AI254">
        <v>208000</v>
      </c>
      <c r="AJ254" t="s">
        <v>561</v>
      </c>
      <c r="AK254" t="s">
        <v>562</v>
      </c>
      <c r="AL254" t="s">
        <v>601</v>
      </c>
      <c r="AM254">
        <v>2021</v>
      </c>
      <c r="AN254">
        <v>2019</v>
      </c>
      <c r="AO254">
        <f>IF(AND(emissions[[#This Row],[Market-based]]=0,emissions[[#This Row],[Impact Type]]="CO2E"),emissions[[#This Row],[kgCO2e]],0)/1000</f>
        <v>0</v>
      </c>
      <c r="AP254">
        <f>IF(AND(emissions[[#This Row],[Market-based]]=1,OR(emissions[[#This Row],[Impact Type]]="CO2E",emissions[[#This Row],[Impact Type]]="CO2E MKT")),emissions[[#This Row],[kgCO2e]],0)/1000</f>
        <v>0</v>
      </c>
      <c r="AQ254" t="str">
        <f>_xlfn.TEXTAFTER(emissions[[#This Row],[Reporting Unit]]," &gt; ",LEN(emissions[[#This Row],[Reporting Unit]])-LEN(SUBSTITUTE(emissions[[#This Row],[Reporting Unit]],"&gt;","")))</f>
        <v>Vantage_Les Borges</v>
      </c>
      <c r="AR254" t="str">
        <f>_xlfn.XLOOKUP(emissions[[#This Row],[Reporting unit name]],hierarchy!$A:$A,hierarchy!$C:$C)</f>
        <v>Office</v>
      </c>
    </row>
    <row r="255" spans="1:44" hidden="1" x14ac:dyDescent="0.25">
      <c r="A255">
        <v>4953</v>
      </c>
      <c r="B255" t="s">
        <v>190</v>
      </c>
      <c r="C255" t="s">
        <v>501</v>
      </c>
      <c r="D255" t="s">
        <v>599</v>
      </c>
      <c r="E255" s="3">
        <v>44197</v>
      </c>
      <c r="F255" s="3">
        <v>44561</v>
      </c>
      <c r="G255" t="s">
        <v>108</v>
      </c>
      <c r="H255" s="3">
        <v>44197</v>
      </c>
      <c r="I255" s="3">
        <v>44561</v>
      </c>
      <c r="J255" t="s">
        <v>108</v>
      </c>
      <c r="K255">
        <v>208000</v>
      </c>
      <c r="L255" t="s">
        <v>109</v>
      </c>
      <c r="M255" t="s">
        <v>110</v>
      </c>
      <c r="N255" t="s">
        <v>201</v>
      </c>
      <c r="O255" t="s">
        <v>600</v>
      </c>
      <c r="P255" t="s">
        <v>550</v>
      </c>
      <c r="Q255">
        <v>2021</v>
      </c>
      <c r="R255" t="s">
        <v>551</v>
      </c>
      <c r="S255" t="s">
        <v>552</v>
      </c>
      <c r="T255" t="s">
        <v>553</v>
      </c>
      <c r="U255" t="b">
        <v>0</v>
      </c>
      <c r="V255" t="s">
        <v>637</v>
      </c>
      <c r="W255" t="s">
        <v>555</v>
      </c>
      <c r="X255" t="s">
        <v>556</v>
      </c>
      <c r="Y255" t="s">
        <v>468</v>
      </c>
      <c r="Z255" t="s">
        <v>478</v>
      </c>
      <c r="AA255" t="s">
        <v>638</v>
      </c>
      <c r="AC255">
        <v>0</v>
      </c>
      <c r="AD255" t="s">
        <v>565</v>
      </c>
      <c r="AE255">
        <v>40060.800000000003</v>
      </c>
      <c r="AF255" t="s">
        <v>559</v>
      </c>
      <c r="AG255" t="s">
        <v>560</v>
      </c>
      <c r="AH255">
        <v>1</v>
      </c>
      <c r="AI255">
        <v>208000</v>
      </c>
      <c r="AJ255" t="s">
        <v>561</v>
      </c>
      <c r="AK255" t="s">
        <v>562</v>
      </c>
      <c r="AL255" t="s">
        <v>601</v>
      </c>
      <c r="AM255">
        <v>2021</v>
      </c>
      <c r="AN255">
        <v>2019</v>
      </c>
      <c r="AO255">
        <f>IF(AND(emissions[[#This Row],[Market-based]]=0,emissions[[#This Row],[Impact Type]]="CO2E"),emissions[[#This Row],[kgCO2e]],0)/1000</f>
        <v>40.0608</v>
      </c>
      <c r="AP255">
        <f>IF(AND(emissions[[#This Row],[Market-based]]=1,OR(emissions[[#This Row],[Impact Type]]="CO2E",emissions[[#This Row],[Impact Type]]="CO2E MKT")),emissions[[#This Row],[kgCO2e]],0)/1000</f>
        <v>0</v>
      </c>
      <c r="AQ255" t="str">
        <f>_xlfn.TEXTAFTER(emissions[[#This Row],[Reporting Unit]]," &gt; ",LEN(emissions[[#This Row],[Reporting Unit]])-LEN(SUBSTITUTE(emissions[[#This Row],[Reporting Unit]],"&gt;","")))</f>
        <v>Vantage_Les Borges</v>
      </c>
      <c r="AR255" t="str">
        <f>_xlfn.XLOOKUP(emissions[[#This Row],[Reporting unit name]],hierarchy!$A:$A,hierarchy!$C:$C)</f>
        <v>Office</v>
      </c>
    </row>
    <row r="256" spans="1:44" hidden="1" x14ac:dyDescent="0.25">
      <c r="A256">
        <v>4953</v>
      </c>
      <c r="B256" t="s">
        <v>190</v>
      </c>
      <c r="C256" t="s">
        <v>501</v>
      </c>
      <c r="D256" t="s">
        <v>599</v>
      </c>
      <c r="E256" s="3">
        <v>44197</v>
      </c>
      <c r="F256" s="3">
        <v>44561</v>
      </c>
      <c r="G256" t="s">
        <v>108</v>
      </c>
      <c r="H256" s="3">
        <v>44197</v>
      </c>
      <c r="I256" s="3">
        <v>44561</v>
      </c>
      <c r="J256" t="s">
        <v>108</v>
      </c>
      <c r="K256">
        <v>208000</v>
      </c>
      <c r="L256" t="s">
        <v>109</v>
      </c>
      <c r="M256" t="s">
        <v>110</v>
      </c>
      <c r="N256" t="s">
        <v>201</v>
      </c>
      <c r="O256" t="s">
        <v>600</v>
      </c>
      <c r="P256" t="s">
        <v>550</v>
      </c>
      <c r="Q256">
        <v>2021</v>
      </c>
      <c r="R256" t="s">
        <v>551</v>
      </c>
      <c r="S256" t="s">
        <v>552</v>
      </c>
      <c r="T256" t="s">
        <v>553</v>
      </c>
      <c r="U256" t="b">
        <v>0</v>
      </c>
      <c r="V256" t="s">
        <v>637</v>
      </c>
      <c r="W256" t="s">
        <v>555</v>
      </c>
      <c r="X256" t="s">
        <v>556</v>
      </c>
      <c r="Y256" t="s">
        <v>468</v>
      </c>
      <c r="Z256" t="s">
        <v>478</v>
      </c>
      <c r="AA256" t="s">
        <v>638</v>
      </c>
      <c r="AC256">
        <v>0</v>
      </c>
      <c r="AD256" t="s">
        <v>566</v>
      </c>
      <c r="AE256">
        <v>124.8</v>
      </c>
      <c r="AF256" t="s">
        <v>559</v>
      </c>
      <c r="AG256" t="s">
        <v>560</v>
      </c>
      <c r="AH256">
        <v>1</v>
      </c>
      <c r="AI256">
        <v>208000</v>
      </c>
      <c r="AJ256" t="s">
        <v>561</v>
      </c>
      <c r="AK256" t="s">
        <v>562</v>
      </c>
      <c r="AL256" t="s">
        <v>601</v>
      </c>
      <c r="AM256">
        <v>2021</v>
      </c>
      <c r="AN256">
        <v>2019</v>
      </c>
      <c r="AO256">
        <f>IF(AND(emissions[[#This Row],[Market-based]]=0,emissions[[#This Row],[Impact Type]]="CO2E"),emissions[[#This Row],[kgCO2e]],0)/1000</f>
        <v>0</v>
      </c>
      <c r="AP256">
        <f>IF(AND(emissions[[#This Row],[Market-based]]=1,OR(emissions[[#This Row],[Impact Type]]="CO2E",emissions[[#This Row],[Impact Type]]="CO2E MKT")),emissions[[#This Row],[kgCO2e]],0)/1000</f>
        <v>0</v>
      </c>
      <c r="AQ256" t="str">
        <f>_xlfn.TEXTAFTER(emissions[[#This Row],[Reporting Unit]]," &gt; ",LEN(emissions[[#This Row],[Reporting Unit]])-LEN(SUBSTITUTE(emissions[[#This Row],[Reporting Unit]],"&gt;","")))</f>
        <v>Vantage_Les Borges</v>
      </c>
      <c r="AR256" t="str">
        <f>_xlfn.XLOOKUP(emissions[[#This Row],[Reporting unit name]],hierarchy!$A:$A,hierarchy!$C:$C)</f>
        <v>Office</v>
      </c>
    </row>
    <row r="257" spans="1:44" hidden="1" x14ac:dyDescent="0.25">
      <c r="A257">
        <v>4953</v>
      </c>
      <c r="B257" t="s">
        <v>190</v>
      </c>
      <c r="C257" t="s">
        <v>501</v>
      </c>
      <c r="D257" t="s">
        <v>599</v>
      </c>
      <c r="E257" s="3">
        <v>44197</v>
      </c>
      <c r="F257" s="3">
        <v>44561</v>
      </c>
      <c r="G257" t="s">
        <v>108</v>
      </c>
      <c r="H257" s="3">
        <v>44197</v>
      </c>
      <c r="I257" s="3">
        <v>44561</v>
      </c>
      <c r="J257" t="s">
        <v>108</v>
      </c>
      <c r="K257">
        <v>208000</v>
      </c>
      <c r="L257" t="s">
        <v>109</v>
      </c>
      <c r="M257" t="s">
        <v>110</v>
      </c>
      <c r="N257" t="s">
        <v>201</v>
      </c>
      <c r="O257" t="s">
        <v>600</v>
      </c>
      <c r="P257" t="s">
        <v>550</v>
      </c>
      <c r="Q257">
        <v>2021</v>
      </c>
      <c r="R257" t="s">
        <v>551</v>
      </c>
      <c r="S257" t="s">
        <v>552</v>
      </c>
      <c r="T257" t="s">
        <v>553</v>
      </c>
      <c r="U257" t="b">
        <v>0</v>
      </c>
      <c r="V257" t="s">
        <v>637</v>
      </c>
      <c r="W257" t="s">
        <v>555</v>
      </c>
      <c r="X257" t="s">
        <v>556</v>
      </c>
      <c r="Y257" t="s">
        <v>468</v>
      </c>
      <c r="Z257" t="s">
        <v>478</v>
      </c>
      <c r="AA257" t="s">
        <v>638</v>
      </c>
      <c r="AC257">
        <v>1</v>
      </c>
      <c r="AD257" t="s">
        <v>639</v>
      </c>
      <c r="AE257">
        <v>59832.528429999998</v>
      </c>
      <c r="AF257">
        <v>0.28765638700000001</v>
      </c>
      <c r="AG257" t="s">
        <v>560</v>
      </c>
      <c r="AH257">
        <v>1</v>
      </c>
      <c r="AI257">
        <v>208000</v>
      </c>
      <c r="AJ257" t="s">
        <v>561</v>
      </c>
      <c r="AK257" t="s">
        <v>640</v>
      </c>
      <c r="AL257" t="s">
        <v>651</v>
      </c>
      <c r="AM257">
        <v>2021</v>
      </c>
      <c r="AN257">
        <v>2020</v>
      </c>
      <c r="AO257">
        <f>IF(AND(emissions[[#This Row],[Market-based]]=0,emissions[[#This Row],[Impact Type]]="CO2E"),emissions[[#This Row],[kgCO2e]],0)/1000</f>
        <v>0</v>
      </c>
      <c r="AP257">
        <f>IF(AND(emissions[[#This Row],[Market-based]]=1,OR(emissions[[#This Row],[Impact Type]]="CO2E",emissions[[#This Row],[Impact Type]]="CO2E MKT")),emissions[[#This Row],[kgCO2e]],0)/1000</f>
        <v>59.832528429999996</v>
      </c>
      <c r="AQ257" t="str">
        <f>_xlfn.TEXTAFTER(emissions[[#This Row],[Reporting Unit]]," &gt; ",LEN(emissions[[#This Row],[Reporting Unit]])-LEN(SUBSTITUTE(emissions[[#This Row],[Reporting Unit]],"&gt;","")))</f>
        <v>Vantage_Les Borges</v>
      </c>
      <c r="AR257" t="str">
        <f>_xlfn.XLOOKUP(emissions[[#This Row],[Reporting unit name]],hierarchy!$A:$A,hierarchy!$C:$C)</f>
        <v>Office</v>
      </c>
    </row>
    <row r="258" spans="1:44" hidden="1" x14ac:dyDescent="0.25">
      <c r="A258">
        <v>4953</v>
      </c>
      <c r="B258" t="s">
        <v>190</v>
      </c>
      <c r="C258" t="s">
        <v>501</v>
      </c>
      <c r="D258" t="s">
        <v>599</v>
      </c>
      <c r="E258" s="3">
        <v>44197</v>
      </c>
      <c r="F258" s="3">
        <v>44561</v>
      </c>
      <c r="G258" t="s">
        <v>108</v>
      </c>
      <c r="H258" s="3">
        <v>44197</v>
      </c>
      <c r="I258" s="3">
        <v>44561</v>
      </c>
      <c r="J258" t="s">
        <v>108</v>
      </c>
      <c r="K258">
        <v>208000</v>
      </c>
      <c r="L258" t="s">
        <v>109</v>
      </c>
      <c r="M258" t="s">
        <v>110</v>
      </c>
      <c r="N258" t="s">
        <v>201</v>
      </c>
      <c r="O258" t="s">
        <v>600</v>
      </c>
      <c r="P258" t="s">
        <v>550</v>
      </c>
      <c r="Q258">
        <v>2021</v>
      </c>
      <c r="R258" t="s">
        <v>567</v>
      </c>
      <c r="S258" t="s">
        <v>568</v>
      </c>
      <c r="T258" t="s">
        <v>569</v>
      </c>
      <c r="U258" t="b">
        <v>0</v>
      </c>
      <c r="V258" t="s">
        <v>652</v>
      </c>
      <c r="W258" t="s">
        <v>571</v>
      </c>
      <c r="X258" t="s">
        <v>572</v>
      </c>
      <c r="Y258" t="s">
        <v>468</v>
      </c>
      <c r="Z258" t="s">
        <v>478</v>
      </c>
      <c r="AA258" t="s">
        <v>638</v>
      </c>
      <c r="AC258">
        <v>0</v>
      </c>
      <c r="AD258" t="s">
        <v>565</v>
      </c>
      <c r="AE258">
        <v>1345.7072009999999</v>
      </c>
      <c r="AF258">
        <v>6.4697460000000002E-3</v>
      </c>
      <c r="AG258" t="s">
        <v>560</v>
      </c>
      <c r="AH258">
        <v>1</v>
      </c>
      <c r="AI258">
        <v>208000</v>
      </c>
      <c r="AJ258" t="s">
        <v>561</v>
      </c>
      <c r="AK258" t="s">
        <v>589</v>
      </c>
      <c r="AL258" t="s">
        <v>603</v>
      </c>
      <c r="AM258">
        <v>2021</v>
      </c>
      <c r="AN258">
        <v>2019</v>
      </c>
      <c r="AO258">
        <f>IF(AND(emissions[[#This Row],[Market-based]]=0,emissions[[#This Row],[Impact Type]]="CO2E"),emissions[[#This Row],[kgCO2e]],0)/1000</f>
        <v>1.345707201</v>
      </c>
      <c r="AP258">
        <f>IF(AND(emissions[[#This Row],[Market-based]]=1,OR(emissions[[#This Row],[Impact Type]]="CO2E",emissions[[#This Row],[Impact Type]]="CO2E MKT")),emissions[[#This Row],[kgCO2e]],0)/1000</f>
        <v>0</v>
      </c>
      <c r="AQ258" t="str">
        <f>_xlfn.TEXTAFTER(emissions[[#This Row],[Reporting Unit]]," &gt; ",LEN(emissions[[#This Row],[Reporting Unit]])-LEN(SUBSTITUTE(emissions[[#This Row],[Reporting Unit]],"&gt;","")))</f>
        <v>Vantage_Les Borges</v>
      </c>
      <c r="AR258" t="str">
        <f>_xlfn.XLOOKUP(emissions[[#This Row],[Reporting unit name]],hierarchy!$A:$A,hierarchy!$C:$C)</f>
        <v>Office</v>
      </c>
    </row>
    <row r="259" spans="1:44" hidden="1" x14ac:dyDescent="0.25">
      <c r="A259">
        <v>4953</v>
      </c>
      <c r="B259" t="s">
        <v>190</v>
      </c>
      <c r="C259" t="s">
        <v>501</v>
      </c>
      <c r="D259" t="s">
        <v>599</v>
      </c>
      <c r="E259" s="3">
        <v>44197</v>
      </c>
      <c r="F259" s="3">
        <v>44561</v>
      </c>
      <c r="G259" t="s">
        <v>108</v>
      </c>
      <c r="H259" s="3">
        <v>44197</v>
      </c>
      <c r="I259" s="3">
        <v>44561</v>
      </c>
      <c r="J259" t="s">
        <v>108</v>
      </c>
      <c r="K259">
        <v>208000</v>
      </c>
      <c r="L259" t="s">
        <v>109</v>
      </c>
      <c r="M259" t="s">
        <v>110</v>
      </c>
      <c r="N259" t="s">
        <v>201</v>
      </c>
      <c r="O259" t="s">
        <v>600</v>
      </c>
      <c r="P259" t="s">
        <v>550</v>
      </c>
      <c r="Q259">
        <v>2021</v>
      </c>
      <c r="R259" t="s">
        <v>567</v>
      </c>
      <c r="S259" t="s">
        <v>568</v>
      </c>
      <c r="T259" t="s">
        <v>569</v>
      </c>
      <c r="U259" t="b">
        <v>0</v>
      </c>
      <c r="V259" t="s">
        <v>643</v>
      </c>
      <c r="W259" t="s">
        <v>571</v>
      </c>
      <c r="X259" t="s">
        <v>572</v>
      </c>
      <c r="Y259" t="s">
        <v>468</v>
      </c>
      <c r="Z259" t="s">
        <v>478</v>
      </c>
      <c r="AA259" t="s">
        <v>638</v>
      </c>
      <c r="AC259">
        <v>1</v>
      </c>
      <c r="AD259" t="s">
        <v>639</v>
      </c>
      <c r="AE259">
        <v>493.97035679999999</v>
      </c>
      <c r="AF259">
        <v>2.3748570000000002E-3</v>
      </c>
      <c r="AG259" t="s">
        <v>560</v>
      </c>
      <c r="AH259">
        <v>1</v>
      </c>
      <c r="AI259">
        <v>208000</v>
      </c>
      <c r="AJ259" t="s">
        <v>561</v>
      </c>
      <c r="AK259" t="s">
        <v>573</v>
      </c>
      <c r="AL259" t="s">
        <v>644</v>
      </c>
      <c r="AM259">
        <v>2021</v>
      </c>
      <c r="AN259">
        <v>2020</v>
      </c>
      <c r="AO259">
        <f>IF(AND(emissions[[#This Row],[Market-based]]=0,emissions[[#This Row],[Impact Type]]="CO2E"),emissions[[#This Row],[kgCO2e]],0)/1000</f>
        <v>0</v>
      </c>
      <c r="AP259">
        <f>IF(AND(emissions[[#This Row],[Market-based]]=1,OR(emissions[[#This Row],[Impact Type]]="CO2E",emissions[[#This Row],[Impact Type]]="CO2E MKT")),emissions[[#This Row],[kgCO2e]],0)/1000</f>
        <v>0.49397035680000001</v>
      </c>
      <c r="AQ259" t="str">
        <f>_xlfn.TEXTAFTER(emissions[[#This Row],[Reporting Unit]]," &gt; ",LEN(emissions[[#This Row],[Reporting Unit]])-LEN(SUBSTITUTE(emissions[[#This Row],[Reporting Unit]],"&gt;","")))</f>
        <v>Vantage_Les Borges</v>
      </c>
      <c r="AR259" t="str">
        <f>_xlfn.XLOOKUP(emissions[[#This Row],[Reporting unit name]],hierarchy!$A:$A,hierarchy!$C:$C)</f>
        <v>Office</v>
      </c>
    </row>
    <row r="260" spans="1:44" hidden="1" x14ac:dyDescent="0.25">
      <c r="A260">
        <v>4953</v>
      </c>
      <c r="B260" t="s">
        <v>190</v>
      </c>
      <c r="C260" t="s">
        <v>501</v>
      </c>
      <c r="D260" t="s">
        <v>599</v>
      </c>
      <c r="E260" s="3">
        <v>44197</v>
      </c>
      <c r="F260" s="3">
        <v>44561</v>
      </c>
      <c r="G260" t="s">
        <v>108</v>
      </c>
      <c r="H260" s="3">
        <v>44197</v>
      </c>
      <c r="I260" s="3">
        <v>44561</v>
      </c>
      <c r="J260" t="s">
        <v>108</v>
      </c>
      <c r="K260">
        <v>208000</v>
      </c>
      <c r="L260" t="s">
        <v>109</v>
      </c>
      <c r="M260" t="s">
        <v>110</v>
      </c>
      <c r="N260" t="s">
        <v>201</v>
      </c>
      <c r="O260" t="s">
        <v>600</v>
      </c>
      <c r="P260" t="s">
        <v>550</v>
      </c>
      <c r="Q260">
        <v>2021</v>
      </c>
      <c r="R260" t="s">
        <v>575</v>
      </c>
      <c r="S260" t="s">
        <v>576</v>
      </c>
      <c r="T260" t="s">
        <v>577</v>
      </c>
      <c r="U260" t="b">
        <v>0</v>
      </c>
      <c r="V260" t="s">
        <v>653</v>
      </c>
      <c r="W260" t="s">
        <v>571</v>
      </c>
      <c r="X260" t="s">
        <v>572</v>
      </c>
      <c r="Y260" t="s">
        <v>468</v>
      </c>
      <c r="Z260" t="s">
        <v>478</v>
      </c>
      <c r="AA260" t="s">
        <v>638</v>
      </c>
      <c r="AC260">
        <v>0</v>
      </c>
      <c r="AD260" t="s">
        <v>565</v>
      </c>
      <c r="AE260">
        <v>12625.568310000001</v>
      </c>
      <c r="AF260">
        <v>6.0699848000000001E-2</v>
      </c>
      <c r="AG260" t="s">
        <v>560</v>
      </c>
      <c r="AH260">
        <v>1</v>
      </c>
      <c r="AI260">
        <v>208000</v>
      </c>
      <c r="AJ260" t="s">
        <v>561</v>
      </c>
      <c r="AK260" t="s">
        <v>589</v>
      </c>
      <c r="AL260" t="s">
        <v>603</v>
      </c>
      <c r="AM260">
        <v>2021</v>
      </c>
      <c r="AN260">
        <v>2019</v>
      </c>
      <c r="AO260">
        <f>IF(AND(emissions[[#This Row],[Market-based]]=0,emissions[[#This Row],[Impact Type]]="CO2E"),emissions[[#This Row],[kgCO2e]],0)/1000</f>
        <v>12.62556831</v>
      </c>
      <c r="AP260">
        <f>IF(AND(emissions[[#This Row],[Market-based]]=1,OR(emissions[[#This Row],[Impact Type]]="CO2E",emissions[[#This Row],[Impact Type]]="CO2E MKT")),emissions[[#This Row],[kgCO2e]],0)/1000</f>
        <v>0</v>
      </c>
      <c r="AQ260" t="str">
        <f>_xlfn.TEXTAFTER(emissions[[#This Row],[Reporting Unit]]," &gt; ",LEN(emissions[[#This Row],[Reporting Unit]])-LEN(SUBSTITUTE(emissions[[#This Row],[Reporting Unit]],"&gt;","")))</f>
        <v>Vantage_Les Borges</v>
      </c>
      <c r="AR260" t="str">
        <f>_xlfn.XLOOKUP(emissions[[#This Row],[Reporting unit name]],hierarchy!$A:$A,hierarchy!$C:$C)</f>
        <v>Office</v>
      </c>
    </row>
    <row r="261" spans="1:44" hidden="1" x14ac:dyDescent="0.25">
      <c r="A261">
        <v>4953</v>
      </c>
      <c r="B261" t="s">
        <v>190</v>
      </c>
      <c r="C261" t="s">
        <v>501</v>
      </c>
      <c r="D261" t="s">
        <v>599</v>
      </c>
      <c r="E261" s="3">
        <v>44197</v>
      </c>
      <c r="F261" s="3">
        <v>44561</v>
      </c>
      <c r="G261" t="s">
        <v>108</v>
      </c>
      <c r="H261" s="3">
        <v>44197</v>
      </c>
      <c r="I261" s="3">
        <v>44561</v>
      </c>
      <c r="J261" t="s">
        <v>108</v>
      </c>
      <c r="K261">
        <v>208000</v>
      </c>
      <c r="L261" t="s">
        <v>109</v>
      </c>
      <c r="M261" t="s">
        <v>110</v>
      </c>
      <c r="N261" t="s">
        <v>201</v>
      </c>
      <c r="O261" t="s">
        <v>600</v>
      </c>
      <c r="P261" t="s">
        <v>550</v>
      </c>
      <c r="Q261">
        <v>2021</v>
      </c>
      <c r="R261" t="s">
        <v>575</v>
      </c>
      <c r="S261" t="s">
        <v>576</v>
      </c>
      <c r="T261" t="s">
        <v>577</v>
      </c>
      <c r="U261" t="b">
        <v>0</v>
      </c>
      <c r="V261" t="s">
        <v>646</v>
      </c>
      <c r="W261" t="s">
        <v>571</v>
      </c>
      <c r="X261" t="s">
        <v>572</v>
      </c>
      <c r="Y261" t="s">
        <v>468</v>
      </c>
      <c r="Z261" t="s">
        <v>478</v>
      </c>
      <c r="AA261" t="s">
        <v>638</v>
      </c>
      <c r="AC261">
        <v>1</v>
      </c>
      <c r="AD261" t="s">
        <v>639</v>
      </c>
      <c r="AE261">
        <v>18856.82949</v>
      </c>
      <c r="AF261">
        <v>9.0657834000000007E-2</v>
      </c>
      <c r="AG261" t="s">
        <v>560</v>
      </c>
      <c r="AH261">
        <v>1</v>
      </c>
      <c r="AI261">
        <v>208000</v>
      </c>
      <c r="AJ261" t="s">
        <v>561</v>
      </c>
      <c r="AK261" t="s">
        <v>573</v>
      </c>
      <c r="AL261" t="s">
        <v>647</v>
      </c>
      <c r="AM261">
        <v>2021</v>
      </c>
      <c r="AN261">
        <v>2020</v>
      </c>
      <c r="AO261">
        <f>IF(AND(emissions[[#This Row],[Market-based]]=0,emissions[[#This Row],[Impact Type]]="CO2E"),emissions[[#This Row],[kgCO2e]],0)/1000</f>
        <v>0</v>
      </c>
      <c r="AP261">
        <f>IF(AND(emissions[[#This Row],[Market-based]]=1,OR(emissions[[#This Row],[Impact Type]]="CO2E",emissions[[#This Row],[Impact Type]]="CO2E MKT")),emissions[[#This Row],[kgCO2e]],0)/1000</f>
        <v>18.856829489999999</v>
      </c>
      <c r="AQ261" t="str">
        <f>_xlfn.TEXTAFTER(emissions[[#This Row],[Reporting Unit]]," &gt; ",LEN(emissions[[#This Row],[Reporting Unit]])-LEN(SUBSTITUTE(emissions[[#This Row],[Reporting Unit]],"&gt;","")))</f>
        <v>Vantage_Les Borges</v>
      </c>
      <c r="AR261" t="str">
        <f>_xlfn.XLOOKUP(emissions[[#This Row],[Reporting unit name]],hierarchy!$A:$A,hierarchy!$C:$C)</f>
        <v>Office</v>
      </c>
    </row>
    <row r="262" spans="1:44" hidden="1" x14ac:dyDescent="0.25">
      <c r="A262">
        <v>4953</v>
      </c>
      <c r="B262" t="s">
        <v>190</v>
      </c>
      <c r="C262" t="s">
        <v>501</v>
      </c>
      <c r="D262" t="s">
        <v>599</v>
      </c>
      <c r="E262" s="3">
        <v>44197</v>
      </c>
      <c r="F262" s="3">
        <v>44561</v>
      </c>
      <c r="G262" t="s">
        <v>108</v>
      </c>
      <c r="H262" s="3">
        <v>44197</v>
      </c>
      <c r="I262" s="3">
        <v>44561</v>
      </c>
      <c r="J262" t="s">
        <v>108</v>
      </c>
      <c r="K262">
        <v>208000</v>
      </c>
      <c r="L262" t="s">
        <v>109</v>
      </c>
      <c r="M262" t="s">
        <v>110</v>
      </c>
      <c r="N262" t="s">
        <v>201</v>
      </c>
      <c r="O262" t="s">
        <v>600</v>
      </c>
      <c r="P262" t="s">
        <v>550</v>
      </c>
      <c r="Q262">
        <v>2021</v>
      </c>
      <c r="R262" t="s">
        <v>579</v>
      </c>
      <c r="S262" t="s">
        <v>580</v>
      </c>
      <c r="T262" t="s">
        <v>581</v>
      </c>
      <c r="U262" t="b">
        <v>0</v>
      </c>
      <c r="V262" t="s">
        <v>648</v>
      </c>
      <c r="W262" t="s">
        <v>571</v>
      </c>
      <c r="X262" t="s">
        <v>572</v>
      </c>
      <c r="Y262" t="s">
        <v>468</v>
      </c>
      <c r="Z262" t="s">
        <v>478</v>
      </c>
      <c r="AA262" t="s">
        <v>638</v>
      </c>
      <c r="AC262">
        <v>0</v>
      </c>
      <c r="AD262" t="s">
        <v>565</v>
      </c>
      <c r="AE262">
        <v>3640</v>
      </c>
      <c r="AF262" t="s">
        <v>559</v>
      </c>
      <c r="AG262" t="s">
        <v>560</v>
      </c>
      <c r="AH262">
        <v>1</v>
      </c>
      <c r="AI262">
        <v>208000</v>
      </c>
      <c r="AJ262" t="s">
        <v>561</v>
      </c>
      <c r="AK262" t="s">
        <v>562</v>
      </c>
      <c r="AL262" t="s">
        <v>601</v>
      </c>
      <c r="AM262">
        <v>2021</v>
      </c>
      <c r="AN262">
        <v>2019</v>
      </c>
      <c r="AO262">
        <f>IF(AND(emissions[[#This Row],[Market-based]]=0,emissions[[#This Row],[Impact Type]]="CO2E"),emissions[[#This Row],[kgCO2e]],0)/1000</f>
        <v>3.64</v>
      </c>
      <c r="AP262">
        <f>IF(AND(emissions[[#This Row],[Market-based]]=1,OR(emissions[[#This Row],[Impact Type]]="CO2E",emissions[[#This Row],[Impact Type]]="CO2E MKT")),emissions[[#This Row],[kgCO2e]],0)/1000</f>
        <v>0</v>
      </c>
      <c r="AQ262" t="str">
        <f>_xlfn.TEXTAFTER(emissions[[#This Row],[Reporting Unit]]," &gt; ",LEN(emissions[[#This Row],[Reporting Unit]])-LEN(SUBSTITUTE(emissions[[#This Row],[Reporting Unit]],"&gt;","")))</f>
        <v>Vantage_Les Borges</v>
      </c>
      <c r="AR262" t="str">
        <f>_xlfn.XLOOKUP(emissions[[#This Row],[Reporting unit name]],hierarchy!$A:$A,hierarchy!$C:$C)</f>
        <v>Office</v>
      </c>
    </row>
    <row r="263" spans="1:44" hidden="1" x14ac:dyDescent="0.25">
      <c r="A263">
        <v>4953</v>
      </c>
      <c r="B263" t="s">
        <v>190</v>
      </c>
      <c r="C263" t="s">
        <v>501</v>
      </c>
      <c r="D263" t="s">
        <v>599</v>
      </c>
      <c r="E263" s="3">
        <v>44197</v>
      </c>
      <c r="F263" s="3">
        <v>44561</v>
      </c>
      <c r="G263" t="s">
        <v>108</v>
      </c>
      <c r="H263" s="3">
        <v>44197</v>
      </c>
      <c r="I263" s="3">
        <v>44561</v>
      </c>
      <c r="J263" t="s">
        <v>108</v>
      </c>
      <c r="K263">
        <v>208000</v>
      </c>
      <c r="L263" t="s">
        <v>109</v>
      </c>
      <c r="M263" t="s">
        <v>110</v>
      </c>
      <c r="N263" t="s">
        <v>201</v>
      </c>
      <c r="O263" t="s">
        <v>600</v>
      </c>
      <c r="P263" t="s">
        <v>550</v>
      </c>
      <c r="Q263">
        <v>2021</v>
      </c>
      <c r="R263" t="s">
        <v>579</v>
      </c>
      <c r="S263" t="s">
        <v>580</v>
      </c>
      <c r="T263" t="s">
        <v>581</v>
      </c>
      <c r="U263" t="b">
        <v>0</v>
      </c>
      <c r="V263" t="s">
        <v>649</v>
      </c>
      <c r="W263" t="s">
        <v>571</v>
      </c>
      <c r="X263" t="s">
        <v>572</v>
      </c>
      <c r="Y263" t="s">
        <v>468</v>
      </c>
      <c r="Z263" t="s">
        <v>478</v>
      </c>
      <c r="AA263" t="s">
        <v>638</v>
      </c>
      <c r="AC263">
        <v>1</v>
      </c>
      <c r="AD263" t="s">
        <v>639</v>
      </c>
      <c r="AE263">
        <v>5436.4966119999999</v>
      </c>
      <c r="AF263">
        <v>2.6137002999999999E-2</v>
      </c>
      <c r="AG263" t="s">
        <v>560</v>
      </c>
      <c r="AH263">
        <v>1</v>
      </c>
      <c r="AI263">
        <v>208000</v>
      </c>
      <c r="AJ263" t="s">
        <v>561</v>
      </c>
      <c r="AK263" t="s">
        <v>573</v>
      </c>
      <c r="AL263" t="s">
        <v>650</v>
      </c>
      <c r="AM263">
        <v>2021</v>
      </c>
      <c r="AN263">
        <v>2020</v>
      </c>
      <c r="AO263">
        <f>IF(AND(emissions[[#This Row],[Market-based]]=0,emissions[[#This Row],[Impact Type]]="CO2E"),emissions[[#This Row],[kgCO2e]],0)/1000</f>
        <v>0</v>
      </c>
      <c r="AP263">
        <f>IF(AND(emissions[[#This Row],[Market-based]]=1,OR(emissions[[#This Row],[Impact Type]]="CO2E",emissions[[#This Row],[Impact Type]]="CO2E MKT")),emissions[[#This Row],[kgCO2e]],0)/1000</f>
        <v>5.436496612</v>
      </c>
      <c r="AQ263" t="str">
        <f>_xlfn.TEXTAFTER(emissions[[#This Row],[Reporting Unit]]," &gt; ",LEN(emissions[[#This Row],[Reporting Unit]])-LEN(SUBSTITUTE(emissions[[#This Row],[Reporting Unit]],"&gt;","")))</f>
        <v>Vantage_Les Borges</v>
      </c>
      <c r="AR263" t="str">
        <f>_xlfn.XLOOKUP(emissions[[#This Row],[Reporting unit name]],hierarchy!$A:$A,hierarchy!$C:$C)</f>
        <v>Office</v>
      </c>
    </row>
    <row r="264" spans="1:44" hidden="1" x14ac:dyDescent="0.25">
      <c r="A264">
        <v>4980</v>
      </c>
      <c r="B264" t="s">
        <v>190</v>
      </c>
      <c r="C264" t="s">
        <v>501</v>
      </c>
      <c r="D264" t="s">
        <v>599</v>
      </c>
      <c r="E264" s="3">
        <v>44197</v>
      </c>
      <c r="F264" s="3">
        <v>44561</v>
      </c>
      <c r="G264" t="s">
        <v>135</v>
      </c>
      <c r="H264" s="3">
        <v>44197</v>
      </c>
      <c r="I264" s="3">
        <v>44561</v>
      </c>
      <c r="J264" t="s">
        <v>135</v>
      </c>
      <c r="K264">
        <v>604.1</v>
      </c>
      <c r="L264" t="s">
        <v>194</v>
      </c>
      <c r="M264" t="s">
        <v>82</v>
      </c>
      <c r="O264" t="s">
        <v>600</v>
      </c>
      <c r="P264" t="s">
        <v>550</v>
      </c>
      <c r="Q264">
        <v>2021</v>
      </c>
      <c r="R264" t="s">
        <v>605</v>
      </c>
      <c r="S264" t="s">
        <v>606</v>
      </c>
      <c r="T264" t="s">
        <v>553</v>
      </c>
      <c r="U264" t="b">
        <v>0</v>
      </c>
      <c r="V264" t="s">
        <v>607</v>
      </c>
      <c r="W264" t="s">
        <v>587</v>
      </c>
      <c r="X264" t="s">
        <v>556</v>
      </c>
      <c r="Y264" t="s">
        <v>468</v>
      </c>
      <c r="AC264">
        <v>0</v>
      </c>
      <c r="AD264" t="s">
        <v>558</v>
      </c>
      <c r="AE264">
        <v>151.02500000000001</v>
      </c>
      <c r="AF264">
        <v>2.5000000000000001E-4</v>
      </c>
      <c r="AG264" t="s">
        <v>608</v>
      </c>
      <c r="AH264">
        <v>1000</v>
      </c>
      <c r="AI264">
        <v>604100</v>
      </c>
      <c r="AJ264" t="s">
        <v>561</v>
      </c>
      <c r="AK264" t="s">
        <v>589</v>
      </c>
      <c r="AL264" t="s">
        <v>603</v>
      </c>
      <c r="AM264">
        <v>2021</v>
      </c>
      <c r="AN264">
        <v>2019</v>
      </c>
      <c r="AO264">
        <f>IF(AND(emissions[[#This Row],[Market-based]]=0,emissions[[#This Row],[Impact Type]]="CO2E"),emissions[[#This Row],[kgCO2e]],0)/1000</f>
        <v>0</v>
      </c>
      <c r="AP264">
        <f>IF(AND(emissions[[#This Row],[Market-based]]=1,OR(emissions[[#This Row],[Impact Type]]="CO2E",emissions[[#This Row],[Impact Type]]="CO2E MKT")),emissions[[#This Row],[kgCO2e]],0)/1000</f>
        <v>0</v>
      </c>
      <c r="AQ264" t="str">
        <f>_xlfn.TEXTAFTER(emissions[[#This Row],[Reporting Unit]]," &gt; ",LEN(emissions[[#This Row],[Reporting Unit]])-LEN(SUBSTITUTE(emissions[[#This Row],[Reporting Unit]],"&gt;","")))</f>
        <v>Vantage_Les Borges</v>
      </c>
      <c r="AR264" t="str">
        <f>_xlfn.XLOOKUP(emissions[[#This Row],[Reporting unit name]],hierarchy!$A:$A,hierarchy!$C:$C)</f>
        <v>Office</v>
      </c>
    </row>
    <row r="265" spans="1:44" hidden="1" x14ac:dyDescent="0.25">
      <c r="A265">
        <v>4980</v>
      </c>
      <c r="B265" t="s">
        <v>190</v>
      </c>
      <c r="C265" t="s">
        <v>501</v>
      </c>
      <c r="D265" t="s">
        <v>599</v>
      </c>
      <c r="E265" s="3">
        <v>44197</v>
      </c>
      <c r="F265" s="3">
        <v>44561</v>
      </c>
      <c r="G265" t="s">
        <v>135</v>
      </c>
      <c r="H265" s="3">
        <v>44197</v>
      </c>
      <c r="I265" s="3">
        <v>44561</v>
      </c>
      <c r="J265" t="s">
        <v>135</v>
      </c>
      <c r="K265">
        <v>604.1</v>
      </c>
      <c r="L265" t="s">
        <v>194</v>
      </c>
      <c r="M265" t="s">
        <v>82</v>
      </c>
      <c r="O265" t="s">
        <v>600</v>
      </c>
      <c r="P265" t="s">
        <v>550</v>
      </c>
      <c r="Q265">
        <v>2021</v>
      </c>
      <c r="R265" t="s">
        <v>605</v>
      </c>
      <c r="S265" t="s">
        <v>606</v>
      </c>
      <c r="T265" t="s">
        <v>553</v>
      </c>
      <c r="U265" t="b">
        <v>0</v>
      </c>
      <c r="V265" t="s">
        <v>607</v>
      </c>
      <c r="W265" t="s">
        <v>587</v>
      </c>
      <c r="X265" t="s">
        <v>556</v>
      </c>
      <c r="Y265" t="s">
        <v>468</v>
      </c>
      <c r="AC265">
        <v>0</v>
      </c>
      <c r="AD265" t="s">
        <v>564</v>
      </c>
      <c r="AE265">
        <v>110441.56200000001</v>
      </c>
      <c r="AF265">
        <v>0.18282000000000001</v>
      </c>
      <c r="AG265" t="s">
        <v>608</v>
      </c>
      <c r="AH265">
        <v>1000</v>
      </c>
      <c r="AI265">
        <v>604100</v>
      </c>
      <c r="AJ265" t="s">
        <v>561</v>
      </c>
      <c r="AK265" t="s">
        <v>589</v>
      </c>
      <c r="AL265" t="s">
        <v>603</v>
      </c>
      <c r="AM265">
        <v>2021</v>
      </c>
      <c r="AN265">
        <v>2019</v>
      </c>
      <c r="AO265">
        <f>IF(AND(emissions[[#This Row],[Market-based]]=0,emissions[[#This Row],[Impact Type]]="CO2E"),emissions[[#This Row],[kgCO2e]],0)/1000</f>
        <v>0</v>
      </c>
      <c r="AP265">
        <f>IF(AND(emissions[[#This Row],[Market-based]]=1,OR(emissions[[#This Row],[Impact Type]]="CO2E",emissions[[#This Row],[Impact Type]]="CO2E MKT")),emissions[[#This Row],[kgCO2e]],0)/1000</f>
        <v>0</v>
      </c>
      <c r="AQ265" t="str">
        <f>_xlfn.TEXTAFTER(emissions[[#This Row],[Reporting Unit]]," &gt; ",LEN(emissions[[#This Row],[Reporting Unit]])-LEN(SUBSTITUTE(emissions[[#This Row],[Reporting Unit]],"&gt;","")))</f>
        <v>Vantage_Les Borges</v>
      </c>
      <c r="AR265" t="str">
        <f>_xlfn.XLOOKUP(emissions[[#This Row],[Reporting unit name]],hierarchy!$A:$A,hierarchy!$C:$C)</f>
        <v>Office</v>
      </c>
    </row>
    <row r="266" spans="1:44" hidden="1" x14ac:dyDescent="0.25">
      <c r="A266">
        <v>4980</v>
      </c>
      <c r="B266" t="s">
        <v>190</v>
      </c>
      <c r="C266" t="s">
        <v>501</v>
      </c>
      <c r="D266" t="s">
        <v>599</v>
      </c>
      <c r="E266" s="3">
        <v>44197</v>
      </c>
      <c r="F266" s="3">
        <v>44561</v>
      </c>
      <c r="G266" t="s">
        <v>135</v>
      </c>
      <c r="H266" s="3">
        <v>44197</v>
      </c>
      <c r="I266" s="3">
        <v>44561</v>
      </c>
      <c r="J266" t="s">
        <v>135</v>
      </c>
      <c r="K266">
        <v>604.1</v>
      </c>
      <c r="L266" t="s">
        <v>194</v>
      </c>
      <c r="M266" t="s">
        <v>82</v>
      </c>
      <c r="O266" t="s">
        <v>600</v>
      </c>
      <c r="P266" t="s">
        <v>550</v>
      </c>
      <c r="Q266">
        <v>2021</v>
      </c>
      <c r="R266" t="s">
        <v>605</v>
      </c>
      <c r="S266" t="s">
        <v>606</v>
      </c>
      <c r="T266" t="s">
        <v>553</v>
      </c>
      <c r="U266" t="b">
        <v>0</v>
      </c>
      <c r="V266" t="s">
        <v>607</v>
      </c>
      <c r="W266" t="s">
        <v>587</v>
      </c>
      <c r="X266" t="s">
        <v>556</v>
      </c>
      <c r="Y266" t="s">
        <v>468</v>
      </c>
      <c r="AC266">
        <v>0</v>
      </c>
      <c r="AD266" t="s">
        <v>565</v>
      </c>
      <c r="AE266">
        <v>110652.997</v>
      </c>
      <c r="AF266">
        <v>0.18317</v>
      </c>
      <c r="AG266" t="s">
        <v>608</v>
      </c>
      <c r="AH266">
        <v>1000</v>
      </c>
      <c r="AI266">
        <v>604100</v>
      </c>
      <c r="AJ266" t="s">
        <v>561</v>
      </c>
      <c r="AK266" t="s">
        <v>589</v>
      </c>
      <c r="AL266" t="s">
        <v>603</v>
      </c>
      <c r="AM266">
        <v>2021</v>
      </c>
      <c r="AN266">
        <v>2019</v>
      </c>
      <c r="AO266">
        <f>IF(AND(emissions[[#This Row],[Market-based]]=0,emissions[[#This Row],[Impact Type]]="CO2E"),emissions[[#This Row],[kgCO2e]],0)/1000</f>
        <v>110.652997</v>
      </c>
      <c r="AP266">
        <f>IF(AND(emissions[[#This Row],[Market-based]]=1,OR(emissions[[#This Row],[Impact Type]]="CO2E",emissions[[#This Row],[Impact Type]]="CO2E MKT")),emissions[[#This Row],[kgCO2e]],0)/1000</f>
        <v>0</v>
      </c>
      <c r="AQ266" t="str">
        <f>_xlfn.TEXTAFTER(emissions[[#This Row],[Reporting Unit]]," &gt; ",LEN(emissions[[#This Row],[Reporting Unit]])-LEN(SUBSTITUTE(emissions[[#This Row],[Reporting Unit]],"&gt;","")))</f>
        <v>Vantage_Les Borges</v>
      </c>
      <c r="AR266" t="str">
        <f>_xlfn.XLOOKUP(emissions[[#This Row],[Reporting unit name]],hierarchy!$A:$A,hierarchy!$C:$C)</f>
        <v>Office</v>
      </c>
    </row>
    <row r="267" spans="1:44" hidden="1" x14ac:dyDescent="0.25">
      <c r="A267">
        <v>4980</v>
      </c>
      <c r="B267" t="s">
        <v>190</v>
      </c>
      <c r="C267" t="s">
        <v>501</v>
      </c>
      <c r="D267" t="s">
        <v>599</v>
      </c>
      <c r="E267" s="3">
        <v>44197</v>
      </c>
      <c r="F267" s="3">
        <v>44561</v>
      </c>
      <c r="G267" t="s">
        <v>135</v>
      </c>
      <c r="H267" s="3">
        <v>44197</v>
      </c>
      <c r="I267" s="3">
        <v>44561</v>
      </c>
      <c r="J267" t="s">
        <v>135</v>
      </c>
      <c r="K267">
        <v>604.1</v>
      </c>
      <c r="L267" t="s">
        <v>194</v>
      </c>
      <c r="M267" t="s">
        <v>82</v>
      </c>
      <c r="O267" t="s">
        <v>600</v>
      </c>
      <c r="P267" t="s">
        <v>550</v>
      </c>
      <c r="Q267">
        <v>2021</v>
      </c>
      <c r="R267" t="s">
        <v>605</v>
      </c>
      <c r="S267" t="s">
        <v>606</v>
      </c>
      <c r="T267" t="s">
        <v>553</v>
      </c>
      <c r="U267" t="b">
        <v>0</v>
      </c>
      <c r="V267" t="s">
        <v>607</v>
      </c>
      <c r="W267" t="s">
        <v>587</v>
      </c>
      <c r="X267" t="s">
        <v>556</v>
      </c>
      <c r="Y267" t="s">
        <v>468</v>
      </c>
      <c r="AC267">
        <v>0</v>
      </c>
      <c r="AD267" t="s">
        <v>566</v>
      </c>
      <c r="AE267">
        <v>60.41</v>
      </c>
      <c r="AF267">
        <v>1E-4</v>
      </c>
      <c r="AG267" t="s">
        <v>608</v>
      </c>
      <c r="AH267">
        <v>1000</v>
      </c>
      <c r="AI267">
        <v>604100</v>
      </c>
      <c r="AJ267" t="s">
        <v>561</v>
      </c>
      <c r="AK267" t="s">
        <v>589</v>
      </c>
      <c r="AL267" t="s">
        <v>603</v>
      </c>
      <c r="AM267">
        <v>2021</v>
      </c>
      <c r="AN267">
        <v>2019</v>
      </c>
      <c r="AO267">
        <f>IF(AND(emissions[[#This Row],[Market-based]]=0,emissions[[#This Row],[Impact Type]]="CO2E"),emissions[[#This Row],[kgCO2e]],0)/1000</f>
        <v>0</v>
      </c>
      <c r="AP267">
        <f>IF(AND(emissions[[#This Row],[Market-based]]=1,OR(emissions[[#This Row],[Impact Type]]="CO2E",emissions[[#This Row],[Impact Type]]="CO2E MKT")),emissions[[#This Row],[kgCO2e]],0)/1000</f>
        <v>0</v>
      </c>
      <c r="AQ267" t="str">
        <f>_xlfn.TEXTAFTER(emissions[[#This Row],[Reporting Unit]]," &gt; ",LEN(emissions[[#This Row],[Reporting Unit]])-LEN(SUBSTITUTE(emissions[[#This Row],[Reporting Unit]],"&gt;","")))</f>
        <v>Vantage_Les Borges</v>
      </c>
      <c r="AR267" t="str">
        <f>_xlfn.XLOOKUP(emissions[[#This Row],[Reporting unit name]],hierarchy!$A:$A,hierarchy!$C:$C)</f>
        <v>Office</v>
      </c>
    </row>
    <row r="268" spans="1:44" hidden="1" x14ac:dyDescent="0.25">
      <c r="A268">
        <v>4980</v>
      </c>
      <c r="B268" t="s">
        <v>190</v>
      </c>
      <c r="C268" t="s">
        <v>501</v>
      </c>
      <c r="D268" t="s">
        <v>599</v>
      </c>
      <c r="E268" s="3">
        <v>44197</v>
      </c>
      <c r="F268" s="3">
        <v>44561</v>
      </c>
      <c r="G268" t="s">
        <v>135</v>
      </c>
      <c r="H268" s="3">
        <v>44197</v>
      </c>
      <c r="I268" s="3">
        <v>44561</v>
      </c>
      <c r="J268" t="s">
        <v>135</v>
      </c>
      <c r="K268">
        <v>604.1</v>
      </c>
      <c r="L268" t="s">
        <v>194</v>
      </c>
      <c r="M268" t="s">
        <v>82</v>
      </c>
      <c r="O268" t="s">
        <v>600</v>
      </c>
      <c r="P268" t="s">
        <v>550</v>
      </c>
      <c r="Q268">
        <v>2021</v>
      </c>
      <c r="R268" t="s">
        <v>605</v>
      </c>
      <c r="S268" t="s">
        <v>606</v>
      </c>
      <c r="T268" t="s">
        <v>553</v>
      </c>
      <c r="U268" t="b">
        <v>0</v>
      </c>
      <c r="V268" t="s">
        <v>607</v>
      </c>
      <c r="W268" t="s">
        <v>587</v>
      </c>
      <c r="X268" t="s">
        <v>556</v>
      </c>
      <c r="Y268" t="s">
        <v>468</v>
      </c>
      <c r="AC268">
        <v>1</v>
      </c>
      <c r="AD268" t="s">
        <v>558</v>
      </c>
      <c r="AE268">
        <v>151.02500000000001</v>
      </c>
      <c r="AF268">
        <v>2.5000000000000001E-4</v>
      </c>
      <c r="AG268" t="s">
        <v>608</v>
      </c>
      <c r="AH268">
        <v>1000</v>
      </c>
      <c r="AI268">
        <v>604100</v>
      </c>
      <c r="AJ268" t="s">
        <v>561</v>
      </c>
      <c r="AK268" t="s">
        <v>589</v>
      </c>
      <c r="AL268" t="s">
        <v>603</v>
      </c>
      <c r="AM268">
        <v>2021</v>
      </c>
      <c r="AN268">
        <v>2019</v>
      </c>
      <c r="AO268">
        <f>IF(AND(emissions[[#This Row],[Market-based]]=0,emissions[[#This Row],[Impact Type]]="CO2E"),emissions[[#This Row],[kgCO2e]],0)/1000</f>
        <v>0</v>
      </c>
      <c r="AP268">
        <f>IF(AND(emissions[[#This Row],[Market-based]]=1,OR(emissions[[#This Row],[Impact Type]]="CO2E",emissions[[#This Row],[Impact Type]]="CO2E MKT")),emissions[[#This Row],[kgCO2e]],0)/1000</f>
        <v>0</v>
      </c>
      <c r="AQ268" t="str">
        <f>_xlfn.TEXTAFTER(emissions[[#This Row],[Reporting Unit]]," &gt; ",LEN(emissions[[#This Row],[Reporting Unit]])-LEN(SUBSTITUTE(emissions[[#This Row],[Reporting Unit]],"&gt;","")))</f>
        <v>Vantage_Les Borges</v>
      </c>
      <c r="AR268" t="str">
        <f>_xlfn.XLOOKUP(emissions[[#This Row],[Reporting unit name]],hierarchy!$A:$A,hierarchy!$C:$C)</f>
        <v>Office</v>
      </c>
    </row>
    <row r="269" spans="1:44" hidden="1" x14ac:dyDescent="0.25">
      <c r="A269">
        <v>4980</v>
      </c>
      <c r="B269" t="s">
        <v>190</v>
      </c>
      <c r="C269" t="s">
        <v>501</v>
      </c>
      <c r="D269" t="s">
        <v>599</v>
      </c>
      <c r="E269" s="3">
        <v>44197</v>
      </c>
      <c r="F269" s="3">
        <v>44561</v>
      </c>
      <c r="G269" t="s">
        <v>135</v>
      </c>
      <c r="H269" s="3">
        <v>44197</v>
      </c>
      <c r="I269" s="3">
        <v>44561</v>
      </c>
      <c r="J269" t="s">
        <v>135</v>
      </c>
      <c r="K269">
        <v>604.1</v>
      </c>
      <c r="L269" t="s">
        <v>194</v>
      </c>
      <c r="M269" t="s">
        <v>82</v>
      </c>
      <c r="O269" t="s">
        <v>600</v>
      </c>
      <c r="P269" t="s">
        <v>550</v>
      </c>
      <c r="Q269">
        <v>2021</v>
      </c>
      <c r="R269" t="s">
        <v>605</v>
      </c>
      <c r="S269" t="s">
        <v>606</v>
      </c>
      <c r="T269" t="s">
        <v>553</v>
      </c>
      <c r="U269" t="b">
        <v>0</v>
      </c>
      <c r="V269" t="s">
        <v>607</v>
      </c>
      <c r="W269" t="s">
        <v>587</v>
      </c>
      <c r="X269" t="s">
        <v>556</v>
      </c>
      <c r="Y269" t="s">
        <v>468</v>
      </c>
      <c r="AC269">
        <v>1</v>
      </c>
      <c r="AD269" t="s">
        <v>564</v>
      </c>
      <c r="AE269">
        <v>110441.56200000001</v>
      </c>
      <c r="AF269">
        <v>0.18282000000000001</v>
      </c>
      <c r="AG269" t="s">
        <v>608</v>
      </c>
      <c r="AH269">
        <v>1000</v>
      </c>
      <c r="AI269">
        <v>604100</v>
      </c>
      <c r="AJ269" t="s">
        <v>561</v>
      </c>
      <c r="AK269" t="s">
        <v>589</v>
      </c>
      <c r="AL269" t="s">
        <v>603</v>
      </c>
      <c r="AM269">
        <v>2021</v>
      </c>
      <c r="AN269">
        <v>2019</v>
      </c>
      <c r="AO269">
        <f>IF(AND(emissions[[#This Row],[Market-based]]=0,emissions[[#This Row],[Impact Type]]="CO2E"),emissions[[#This Row],[kgCO2e]],0)/1000</f>
        <v>0</v>
      </c>
      <c r="AP269">
        <f>IF(AND(emissions[[#This Row],[Market-based]]=1,OR(emissions[[#This Row],[Impact Type]]="CO2E",emissions[[#This Row],[Impact Type]]="CO2E MKT")),emissions[[#This Row],[kgCO2e]],0)/1000</f>
        <v>0</v>
      </c>
      <c r="AQ269" t="str">
        <f>_xlfn.TEXTAFTER(emissions[[#This Row],[Reporting Unit]]," &gt; ",LEN(emissions[[#This Row],[Reporting Unit]])-LEN(SUBSTITUTE(emissions[[#This Row],[Reporting Unit]],"&gt;","")))</f>
        <v>Vantage_Les Borges</v>
      </c>
      <c r="AR269" t="str">
        <f>_xlfn.XLOOKUP(emissions[[#This Row],[Reporting unit name]],hierarchy!$A:$A,hierarchy!$C:$C)</f>
        <v>Office</v>
      </c>
    </row>
    <row r="270" spans="1:44" hidden="1" x14ac:dyDescent="0.25">
      <c r="A270">
        <v>4980</v>
      </c>
      <c r="B270" t="s">
        <v>190</v>
      </c>
      <c r="C270" t="s">
        <v>501</v>
      </c>
      <c r="D270" t="s">
        <v>599</v>
      </c>
      <c r="E270" s="3">
        <v>44197</v>
      </c>
      <c r="F270" s="3">
        <v>44561</v>
      </c>
      <c r="G270" t="s">
        <v>135</v>
      </c>
      <c r="H270" s="3">
        <v>44197</v>
      </c>
      <c r="I270" s="3">
        <v>44561</v>
      </c>
      <c r="J270" t="s">
        <v>135</v>
      </c>
      <c r="K270">
        <v>604.1</v>
      </c>
      <c r="L270" t="s">
        <v>194</v>
      </c>
      <c r="M270" t="s">
        <v>82</v>
      </c>
      <c r="O270" t="s">
        <v>600</v>
      </c>
      <c r="P270" t="s">
        <v>550</v>
      </c>
      <c r="Q270">
        <v>2021</v>
      </c>
      <c r="R270" t="s">
        <v>605</v>
      </c>
      <c r="S270" t="s">
        <v>606</v>
      </c>
      <c r="T270" t="s">
        <v>553</v>
      </c>
      <c r="U270" t="b">
        <v>0</v>
      </c>
      <c r="V270" t="s">
        <v>607</v>
      </c>
      <c r="W270" t="s">
        <v>587</v>
      </c>
      <c r="X270" t="s">
        <v>556</v>
      </c>
      <c r="Y270" t="s">
        <v>468</v>
      </c>
      <c r="AC270">
        <v>1</v>
      </c>
      <c r="AD270" t="s">
        <v>565</v>
      </c>
      <c r="AE270">
        <v>110652.997</v>
      </c>
      <c r="AF270">
        <v>0.18317</v>
      </c>
      <c r="AG270" t="s">
        <v>608</v>
      </c>
      <c r="AH270">
        <v>1000</v>
      </c>
      <c r="AI270">
        <v>604100</v>
      </c>
      <c r="AJ270" t="s">
        <v>561</v>
      </c>
      <c r="AK270" t="s">
        <v>589</v>
      </c>
      <c r="AL270" t="s">
        <v>603</v>
      </c>
      <c r="AM270">
        <v>2021</v>
      </c>
      <c r="AN270">
        <v>2019</v>
      </c>
      <c r="AO270">
        <f>IF(AND(emissions[[#This Row],[Market-based]]=0,emissions[[#This Row],[Impact Type]]="CO2E"),emissions[[#This Row],[kgCO2e]],0)/1000</f>
        <v>0</v>
      </c>
      <c r="AP270">
        <f>IF(AND(emissions[[#This Row],[Market-based]]=1,OR(emissions[[#This Row],[Impact Type]]="CO2E",emissions[[#This Row],[Impact Type]]="CO2E MKT")),emissions[[#This Row],[kgCO2e]],0)/1000</f>
        <v>110.652997</v>
      </c>
      <c r="AQ270" t="str">
        <f>_xlfn.TEXTAFTER(emissions[[#This Row],[Reporting Unit]]," &gt; ",LEN(emissions[[#This Row],[Reporting Unit]])-LEN(SUBSTITUTE(emissions[[#This Row],[Reporting Unit]],"&gt;","")))</f>
        <v>Vantage_Les Borges</v>
      </c>
      <c r="AR270" t="str">
        <f>_xlfn.XLOOKUP(emissions[[#This Row],[Reporting unit name]],hierarchy!$A:$A,hierarchy!$C:$C)</f>
        <v>Office</v>
      </c>
    </row>
    <row r="271" spans="1:44" hidden="1" x14ac:dyDescent="0.25">
      <c r="A271">
        <v>4980</v>
      </c>
      <c r="B271" t="s">
        <v>190</v>
      </c>
      <c r="C271" t="s">
        <v>501</v>
      </c>
      <c r="D271" t="s">
        <v>599</v>
      </c>
      <c r="E271" s="3">
        <v>44197</v>
      </c>
      <c r="F271" s="3">
        <v>44561</v>
      </c>
      <c r="G271" t="s">
        <v>135</v>
      </c>
      <c r="H271" s="3">
        <v>44197</v>
      </c>
      <c r="I271" s="3">
        <v>44561</v>
      </c>
      <c r="J271" t="s">
        <v>135</v>
      </c>
      <c r="K271">
        <v>604.1</v>
      </c>
      <c r="L271" t="s">
        <v>194</v>
      </c>
      <c r="M271" t="s">
        <v>82</v>
      </c>
      <c r="O271" t="s">
        <v>600</v>
      </c>
      <c r="P271" t="s">
        <v>550</v>
      </c>
      <c r="Q271">
        <v>2021</v>
      </c>
      <c r="R271" t="s">
        <v>605</v>
      </c>
      <c r="S271" t="s">
        <v>606</v>
      </c>
      <c r="T271" t="s">
        <v>553</v>
      </c>
      <c r="U271" t="b">
        <v>0</v>
      </c>
      <c r="V271" t="s">
        <v>607</v>
      </c>
      <c r="W271" t="s">
        <v>587</v>
      </c>
      <c r="X271" t="s">
        <v>556</v>
      </c>
      <c r="Y271" t="s">
        <v>468</v>
      </c>
      <c r="AC271">
        <v>1</v>
      </c>
      <c r="AD271" t="s">
        <v>566</v>
      </c>
      <c r="AE271">
        <v>60.41</v>
      </c>
      <c r="AF271">
        <v>1E-4</v>
      </c>
      <c r="AG271" t="s">
        <v>608</v>
      </c>
      <c r="AH271">
        <v>1000</v>
      </c>
      <c r="AI271">
        <v>604100</v>
      </c>
      <c r="AJ271" t="s">
        <v>561</v>
      </c>
      <c r="AK271" t="s">
        <v>589</v>
      </c>
      <c r="AL271" t="s">
        <v>603</v>
      </c>
      <c r="AM271">
        <v>2021</v>
      </c>
      <c r="AN271">
        <v>2019</v>
      </c>
      <c r="AO271">
        <f>IF(AND(emissions[[#This Row],[Market-based]]=0,emissions[[#This Row],[Impact Type]]="CO2E"),emissions[[#This Row],[kgCO2e]],0)/1000</f>
        <v>0</v>
      </c>
      <c r="AP271">
        <f>IF(AND(emissions[[#This Row],[Market-based]]=1,OR(emissions[[#This Row],[Impact Type]]="CO2E",emissions[[#This Row],[Impact Type]]="CO2E MKT")),emissions[[#This Row],[kgCO2e]],0)/1000</f>
        <v>0</v>
      </c>
      <c r="AQ271" t="str">
        <f>_xlfn.TEXTAFTER(emissions[[#This Row],[Reporting Unit]]," &gt; ",LEN(emissions[[#This Row],[Reporting Unit]])-LEN(SUBSTITUTE(emissions[[#This Row],[Reporting Unit]],"&gt;","")))</f>
        <v>Vantage_Les Borges</v>
      </c>
      <c r="AR271" t="str">
        <f>_xlfn.XLOOKUP(emissions[[#This Row],[Reporting unit name]],hierarchy!$A:$A,hierarchy!$C:$C)</f>
        <v>Office</v>
      </c>
    </row>
    <row r="272" spans="1:44" hidden="1" x14ac:dyDescent="0.25">
      <c r="A272">
        <v>4980</v>
      </c>
      <c r="B272" t="s">
        <v>190</v>
      </c>
      <c r="C272" t="s">
        <v>501</v>
      </c>
      <c r="D272" t="s">
        <v>599</v>
      </c>
      <c r="E272" s="3">
        <v>44197</v>
      </c>
      <c r="F272" s="3">
        <v>44561</v>
      </c>
      <c r="G272" t="s">
        <v>135</v>
      </c>
      <c r="H272" s="3">
        <v>44197</v>
      </c>
      <c r="I272" s="3">
        <v>44561</v>
      </c>
      <c r="J272" t="s">
        <v>135</v>
      </c>
      <c r="K272">
        <v>604.1</v>
      </c>
      <c r="L272" t="s">
        <v>194</v>
      </c>
      <c r="M272" t="s">
        <v>82</v>
      </c>
      <c r="O272" t="s">
        <v>600</v>
      </c>
      <c r="P272" t="s">
        <v>550</v>
      </c>
      <c r="Q272">
        <v>2021</v>
      </c>
      <c r="R272" t="s">
        <v>609</v>
      </c>
      <c r="S272" t="s">
        <v>610</v>
      </c>
      <c r="T272" t="s">
        <v>577</v>
      </c>
      <c r="U272" t="b">
        <v>0</v>
      </c>
      <c r="V272" t="s">
        <v>611</v>
      </c>
      <c r="W272" t="s">
        <v>571</v>
      </c>
      <c r="X272" t="s">
        <v>572</v>
      </c>
      <c r="Y272" t="s">
        <v>468</v>
      </c>
      <c r="AC272">
        <v>0</v>
      </c>
      <c r="AD272" t="s">
        <v>565</v>
      </c>
      <c r="AE272">
        <v>18938.535</v>
      </c>
      <c r="AF272">
        <v>3.1350000000000003E-2</v>
      </c>
      <c r="AG272" t="s">
        <v>608</v>
      </c>
      <c r="AH272">
        <v>1000</v>
      </c>
      <c r="AI272">
        <v>604100</v>
      </c>
      <c r="AJ272" t="s">
        <v>561</v>
      </c>
      <c r="AK272" t="s">
        <v>589</v>
      </c>
      <c r="AL272" t="s">
        <v>603</v>
      </c>
      <c r="AM272">
        <v>2021</v>
      </c>
      <c r="AN272">
        <v>2019</v>
      </c>
      <c r="AO272">
        <f>IF(AND(emissions[[#This Row],[Market-based]]=0,emissions[[#This Row],[Impact Type]]="CO2E"),emissions[[#This Row],[kgCO2e]],0)/1000</f>
        <v>18.938534999999998</v>
      </c>
      <c r="AP272">
        <f>IF(AND(emissions[[#This Row],[Market-based]]=1,OR(emissions[[#This Row],[Impact Type]]="CO2E",emissions[[#This Row],[Impact Type]]="CO2E MKT")),emissions[[#This Row],[kgCO2e]],0)/1000</f>
        <v>0</v>
      </c>
      <c r="AQ272" t="str">
        <f>_xlfn.TEXTAFTER(emissions[[#This Row],[Reporting Unit]]," &gt; ",LEN(emissions[[#This Row],[Reporting Unit]])-LEN(SUBSTITUTE(emissions[[#This Row],[Reporting Unit]],"&gt;","")))</f>
        <v>Vantage_Les Borges</v>
      </c>
      <c r="AR272" t="str">
        <f>_xlfn.XLOOKUP(emissions[[#This Row],[Reporting unit name]],hierarchy!$A:$A,hierarchy!$C:$C)</f>
        <v>Office</v>
      </c>
    </row>
    <row r="273" spans="1:44" hidden="1" x14ac:dyDescent="0.25">
      <c r="A273">
        <v>4980</v>
      </c>
      <c r="B273" t="s">
        <v>190</v>
      </c>
      <c r="C273" t="s">
        <v>501</v>
      </c>
      <c r="D273" t="s">
        <v>599</v>
      </c>
      <c r="E273" s="3">
        <v>44197</v>
      </c>
      <c r="F273" s="3">
        <v>44561</v>
      </c>
      <c r="G273" t="s">
        <v>135</v>
      </c>
      <c r="H273" s="3">
        <v>44197</v>
      </c>
      <c r="I273" s="3">
        <v>44561</v>
      </c>
      <c r="J273" t="s">
        <v>135</v>
      </c>
      <c r="K273">
        <v>604.1</v>
      </c>
      <c r="L273" t="s">
        <v>194</v>
      </c>
      <c r="M273" t="s">
        <v>82</v>
      </c>
      <c r="O273" t="s">
        <v>600</v>
      </c>
      <c r="P273" t="s">
        <v>550</v>
      </c>
      <c r="Q273">
        <v>2021</v>
      </c>
      <c r="R273" t="s">
        <v>609</v>
      </c>
      <c r="S273" t="s">
        <v>610</v>
      </c>
      <c r="T273" t="s">
        <v>577</v>
      </c>
      <c r="U273" t="b">
        <v>0</v>
      </c>
      <c r="V273" t="s">
        <v>611</v>
      </c>
      <c r="W273" t="s">
        <v>571</v>
      </c>
      <c r="X273" t="s">
        <v>572</v>
      </c>
      <c r="Y273" t="s">
        <v>468</v>
      </c>
      <c r="AC273">
        <v>1</v>
      </c>
      <c r="AD273" t="s">
        <v>565</v>
      </c>
      <c r="AE273">
        <v>18938.535</v>
      </c>
      <c r="AF273">
        <v>3.1350000000000003E-2</v>
      </c>
      <c r="AG273" t="s">
        <v>608</v>
      </c>
      <c r="AH273">
        <v>1000</v>
      </c>
      <c r="AI273">
        <v>604100</v>
      </c>
      <c r="AJ273" t="s">
        <v>561</v>
      </c>
      <c r="AK273" t="s">
        <v>589</v>
      </c>
      <c r="AL273" t="s">
        <v>603</v>
      </c>
      <c r="AM273">
        <v>2021</v>
      </c>
      <c r="AN273">
        <v>2019</v>
      </c>
      <c r="AO273">
        <f>IF(AND(emissions[[#This Row],[Market-based]]=0,emissions[[#This Row],[Impact Type]]="CO2E"),emissions[[#This Row],[kgCO2e]],0)/1000</f>
        <v>0</v>
      </c>
      <c r="AP273">
        <f>IF(AND(emissions[[#This Row],[Market-based]]=1,OR(emissions[[#This Row],[Impact Type]]="CO2E",emissions[[#This Row],[Impact Type]]="CO2E MKT")),emissions[[#This Row],[kgCO2e]],0)/1000</f>
        <v>18.938534999999998</v>
      </c>
      <c r="AQ273" t="str">
        <f>_xlfn.TEXTAFTER(emissions[[#This Row],[Reporting Unit]]," &gt; ",LEN(emissions[[#This Row],[Reporting Unit]])-LEN(SUBSTITUTE(emissions[[#This Row],[Reporting Unit]],"&gt;","")))</f>
        <v>Vantage_Les Borges</v>
      </c>
      <c r="AR273" t="str">
        <f>_xlfn.XLOOKUP(emissions[[#This Row],[Reporting unit name]],hierarchy!$A:$A,hierarchy!$C:$C)</f>
        <v>Office</v>
      </c>
    </row>
    <row r="274" spans="1:44" hidden="1" x14ac:dyDescent="0.25">
      <c r="A274">
        <v>5013</v>
      </c>
      <c r="B274" t="s">
        <v>190</v>
      </c>
      <c r="C274" t="s">
        <v>501</v>
      </c>
      <c r="D274" t="s">
        <v>599</v>
      </c>
      <c r="E274" s="3">
        <v>44197</v>
      </c>
      <c r="F274" s="3">
        <v>44561</v>
      </c>
      <c r="G274" t="s">
        <v>141</v>
      </c>
      <c r="H274" s="3">
        <v>44197</v>
      </c>
      <c r="I274" s="3">
        <v>44561</v>
      </c>
      <c r="J274" t="s">
        <v>142</v>
      </c>
      <c r="K274">
        <v>0</v>
      </c>
      <c r="L274" t="s">
        <v>143</v>
      </c>
      <c r="M274" t="s">
        <v>82</v>
      </c>
      <c r="O274" t="s">
        <v>600</v>
      </c>
      <c r="P274" t="s">
        <v>550</v>
      </c>
      <c r="Q274">
        <v>2021</v>
      </c>
      <c r="R274" t="s">
        <v>612</v>
      </c>
      <c r="S274" t="s">
        <v>613</v>
      </c>
      <c r="T274" t="s">
        <v>553</v>
      </c>
      <c r="U274" t="b">
        <v>0</v>
      </c>
      <c r="V274" t="s">
        <v>614</v>
      </c>
      <c r="W274" t="s">
        <v>587</v>
      </c>
      <c r="X274" t="s">
        <v>556</v>
      </c>
      <c r="Y274" t="s">
        <v>468</v>
      </c>
      <c r="AC274">
        <v>0</v>
      </c>
      <c r="AD274" t="s">
        <v>558</v>
      </c>
      <c r="AE274">
        <v>0</v>
      </c>
      <c r="AF274">
        <v>2.5999999999999998E-4</v>
      </c>
      <c r="AG274" t="s">
        <v>588</v>
      </c>
      <c r="AH274">
        <v>1</v>
      </c>
      <c r="AI274">
        <v>0</v>
      </c>
      <c r="AJ274" t="s">
        <v>561</v>
      </c>
      <c r="AK274" t="s">
        <v>589</v>
      </c>
      <c r="AL274" t="s">
        <v>603</v>
      </c>
      <c r="AM274">
        <v>2021</v>
      </c>
      <c r="AN274">
        <v>2019</v>
      </c>
      <c r="AO274">
        <f>IF(AND(emissions[[#This Row],[Market-based]]=0,emissions[[#This Row],[Impact Type]]="CO2E"),emissions[[#This Row],[kgCO2e]],0)/1000</f>
        <v>0</v>
      </c>
      <c r="AP274">
        <f>IF(AND(emissions[[#This Row],[Market-based]]=1,OR(emissions[[#This Row],[Impact Type]]="CO2E",emissions[[#This Row],[Impact Type]]="CO2E MKT")),emissions[[#This Row],[kgCO2e]],0)/1000</f>
        <v>0</v>
      </c>
      <c r="AQ274" t="str">
        <f>_xlfn.TEXTAFTER(emissions[[#This Row],[Reporting Unit]]," &gt; ",LEN(emissions[[#This Row],[Reporting Unit]])-LEN(SUBSTITUTE(emissions[[#This Row],[Reporting Unit]],"&gt;","")))</f>
        <v>Vantage_Les Borges</v>
      </c>
      <c r="AR274" t="str">
        <f>_xlfn.XLOOKUP(emissions[[#This Row],[Reporting unit name]],hierarchy!$A:$A,hierarchy!$C:$C)</f>
        <v>Office</v>
      </c>
    </row>
    <row r="275" spans="1:44" hidden="1" x14ac:dyDescent="0.25">
      <c r="A275">
        <v>5013</v>
      </c>
      <c r="B275" t="s">
        <v>190</v>
      </c>
      <c r="C275" t="s">
        <v>501</v>
      </c>
      <c r="D275" t="s">
        <v>599</v>
      </c>
      <c r="E275" s="3">
        <v>44197</v>
      </c>
      <c r="F275" s="3">
        <v>44561</v>
      </c>
      <c r="G275" t="s">
        <v>141</v>
      </c>
      <c r="H275" s="3">
        <v>44197</v>
      </c>
      <c r="I275" s="3">
        <v>44561</v>
      </c>
      <c r="J275" t="s">
        <v>142</v>
      </c>
      <c r="K275">
        <v>0</v>
      </c>
      <c r="L275" t="s">
        <v>143</v>
      </c>
      <c r="M275" t="s">
        <v>82</v>
      </c>
      <c r="O275" t="s">
        <v>600</v>
      </c>
      <c r="P275" t="s">
        <v>550</v>
      </c>
      <c r="Q275">
        <v>2021</v>
      </c>
      <c r="R275" t="s">
        <v>612</v>
      </c>
      <c r="S275" t="s">
        <v>613</v>
      </c>
      <c r="T275" t="s">
        <v>553</v>
      </c>
      <c r="U275" t="b">
        <v>0</v>
      </c>
      <c r="V275" t="s">
        <v>614</v>
      </c>
      <c r="W275" t="s">
        <v>587</v>
      </c>
      <c r="X275" t="s">
        <v>556</v>
      </c>
      <c r="Y275" t="s">
        <v>468</v>
      </c>
      <c r="AC275">
        <v>0</v>
      </c>
      <c r="AD275" t="s">
        <v>564</v>
      </c>
      <c r="AE275">
        <v>0</v>
      </c>
      <c r="AF275">
        <v>2.6680700000000002</v>
      </c>
      <c r="AG275" t="s">
        <v>588</v>
      </c>
      <c r="AH275">
        <v>1</v>
      </c>
      <c r="AI275">
        <v>0</v>
      </c>
      <c r="AJ275" t="s">
        <v>561</v>
      </c>
      <c r="AK275" t="s">
        <v>589</v>
      </c>
      <c r="AL275" t="s">
        <v>603</v>
      </c>
      <c r="AM275">
        <v>2021</v>
      </c>
      <c r="AN275">
        <v>2019</v>
      </c>
      <c r="AO275">
        <f>IF(AND(emissions[[#This Row],[Market-based]]=0,emissions[[#This Row],[Impact Type]]="CO2E"),emissions[[#This Row],[kgCO2e]],0)/1000</f>
        <v>0</v>
      </c>
      <c r="AP275">
        <f>IF(AND(emissions[[#This Row],[Market-based]]=1,OR(emissions[[#This Row],[Impact Type]]="CO2E",emissions[[#This Row],[Impact Type]]="CO2E MKT")),emissions[[#This Row],[kgCO2e]],0)/1000</f>
        <v>0</v>
      </c>
      <c r="AQ275" t="str">
        <f>_xlfn.TEXTAFTER(emissions[[#This Row],[Reporting Unit]]," &gt; ",LEN(emissions[[#This Row],[Reporting Unit]])-LEN(SUBSTITUTE(emissions[[#This Row],[Reporting Unit]],"&gt;","")))</f>
        <v>Vantage_Les Borges</v>
      </c>
      <c r="AR275" t="str">
        <f>_xlfn.XLOOKUP(emissions[[#This Row],[Reporting unit name]],hierarchy!$A:$A,hierarchy!$C:$C)</f>
        <v>Office</v>
      </c>
    </row>
    <row r="276" spans="1:44" hidden="1" x14ac:dyDescent="0.25">
      <c r="A276">
        <v>5013</v>
      </c>
      <c r="B276" t="s">
        <v>190</v>
      </c>
      <c r="C276" t="s">
        <v>501</v>
      </c>
      <c r="D276" t="s">
        <v>599</v>
      </c>
      <c r="E276" s="3">
        <v>44197</v>
      </c>
      <c r="F276" s="3">
        <v>44561</v>
      </c>
      <c r="G276" t="s">
        <v>141</v>
      </c>
      <c r="H276" s="3">
        <v>44197</v>
      </c>
      <c r="I276" s="3">
        <v>44561</v>
      </c>
      <c r="J276" t="s">
        <v>142</v>
      </c>
      <c r="K276">
        <v>0</v>
      </c>
      <c r="L276" t="s">
        <v>143</v>
      </c>
      <c r="M276" t="s">
        <v>82</v>
      </c>
      <c r="O276" t="s">
        <v>600</v>
      </c>
      <c r="P276" t="s">
        <v>550</v>
      </c>
      <c r="Q276">
        <v>2021</v>
      </c>
      <c r="R276" t="s">
        <v>612</v>
      </c>
      <c r="S276" t="s">
        <v>613</v>
      </c>
      <c r="T276" t="s">
        <v>553</v>
      </c>
      <c r="U276" t="b">
        <v>0</v>
      </c>
      <c r="V276" t="s">
        <v>614</v>
      </c>
      <c r="W276" t="s">
        <v>587</v>
      </c>
      <c r="X276" t="s">
        <v>556</v>
      </c>
      <c r="Y276" t="s">
        <v>468</v>
      </c>
      <c r="AC276">
        <v>0</v>
      </c>
      <c r="AD276" t="s">
        <v>565</v>
      </c>
      <c r="AE276">
        <v>0</v>
      </c>
      <c r="AF276">
        <v>2.70553</v>
      </c>
      <c r="AG276" t="s">
        <v>588</v>
      </c>
      <c r="AH276">
        <v>1</v>
      </c>
      <c r="AI276">
        <v>0</v>
      </c>
      <c r="AJ276" t="s">
        <v>561</v>
      </c>
      <c r="AK276" t="s">
        <v>589</v>
      </c>
      <c r="AL276" t="s">
        <v>603</v>
      </c>
      <c r="AM276">
        <v>2021</v>
      </c>
      <c r="AN276">
        <v>2019</v>
      </c>
      <c r="AO276">
        <f>IF(AND(emissions[[#This Row],[Market-based]]=0,emissions[[#This Row],[Impact Type]]="CO2E"),emissions[[#This Row],[kgCO2e]],0)/1000</f>
        <v>0</v>
      </c>
      <c r="AP276">
        <f>IF(AND(emissions[[#This Row],[Market-based]]=1,OR(emissions[[#This Row],[Impact Type]]="CO2E",emissions[[#This Row],[Impact Type]]="CO2E MKT")),emissions[[#This Row],[kgCO2e]],0)/1000</f>
        <v>0</v>
      </c>
      <c r="AQ276" t="str">
        <f>_xlfn.TEXTAFTER(emissions[[#This Row],[Reporting Unit]]," &gt; ",LEN(emissions[[#This Row],[Reporting Unit]])-LEN(SUBSTITUTE(emissions[[#This Row],[Reporting Unit]],"&gt;","")))</f>
        <v>Vantage_Les Borges</v>
      </c>
      <c r="AR276" t="str">
        <f>_xlfn.XLOOKUP(emissions[[#This Row],[Reporting unit name]],hierarchy!$A:$A,hierarchy!$C:$C)</f>
        <v>Office</v>
      </c>
    </row>
    <row r="277" spans="1:44" hidden="1" x14ac:dyDescent="0.25">
      <c r="A277">
        <v>5013</v>
      </c>
      <c r="B277" t="s">
        <v>190</v>
      </c>
      <c r="C277" t="s">
        <v>501</v>
      </c>
      <c r="D277" t="s">
        <v>599</v>
      </c>
      <c r="E277" s="3">
        <v>44197</v>
      </c>
      <c r="F277" s="3">
        <v>44561</v>
      </c>
      <c r="G277" t="s">
        <v>141</v>
      </c>
      <c r="H277" s="3">
        <v>44197</v>
      </c>
      <c r="I277" s="3">
        <v>44561</v>
      </c>
      <c r="J277" t="s">
        <v>142</v>
      </c>
      <c r="K277">
        <v>0</v>
      </c>
      <c r="L277" t="s">
        <v>143</v>
      </c>
      <c r="M277" t="s">
        <v>82</v>
      </c>
      <c r="O277" t="s">
        <v>600</v>
      </c>
      <c r="P277" t="s">
        <v>550</v>
      </c>
      <c r="Q277">
        <v>2021</v>
      </c>
      <c r="R277" t="s">
        <v>612</v>
      </c>
      <c r="S277" t="s">
        <v>613</v>
      </c>
      <c r="T277" t="s">
        <v>553</v>
      </c>
      <c r="U277" t="b">
        <v>0</v>
      </c>
      <c r="V277" t="s">
        <v>614</v>
      </c>
      <c r="W277" t="s">
        <v>587</v>
      </c>
      <c r="X277" t="s">
        <v>556</v>
      </c>
      <c r="Y277" t="s">
        <v>468</v>
      </c>
      <c r="AC277">
        <v>0</v>
      </c>
      <c r="AD277" t="s">
        <v>566</v>
      </c>
      <c r="AE277">
        <v>0</v>
      </c>
      <c r="AF277">
        <v>3.7199999999999997E-2</v>
      </c>
      <c r="AG277" t="s">
        <v>588</v>
      </c>
      <c r="AH277">
        <v>1</v>
      </c>
      <c r="AI277">
        <v>0</v>
      </c>
      <c r="AJ277" t="s">
        <v>561</v>
      </c>
      <c r="AK277" t="s">
        <v>589</v>
      </c>
      <c r="AL277" t="s">
        <v>603</v>
      </c>
      <c r="AM277">
        <v>2021</v>
      </c>
      <c r="AN277">
        <v>2019</v>
      </c>
      <c r="AO277">
        <f>IF(AND(emissions[[#This Row],[Market-based]]=0,emissions[[#This Row],[Impact Type]]="CO2E"),emissions[[#This Row],[kgCO2e]],0)/1000</f>
        <v>0</v>
      </c>
      <c r="AP277">
        <f>IF(AND(emissions[[#This Row],[Market-based]]=1,OR(emissions[[#This Row],[Impact Type]]="CO2E",emissions[[#This Row],[Impact Type]]="CO2E MKT")),emissions[[#This Row],[kgCO2e]],0)/1000</f>
        <v>0</v>
      </c>
      <c r="AQ277" t="str">
        <f>_xlfn.TEXTAFTER(emissions[[#This Row],[Reporting Unit]]," &gt; ",LEN(emissions[[#This Row],[Reporting Unit]])-LEN(SUBSTITUTE(emissions[[#This Row],[Reporting Unit]],"&gt;","")))</f>
        <v>Vantage_Les Borges</v>
      </c>
      <c r="AR277" t="str">
        <f>_xlfn.XLOOKUP(emissions[[#This Row],[Reporting unit name]],hierarchy!$A:$A,hierarchy!$C:$C)</f>
        <v>Office</v>
      </c>
    </row>
    <row r="278" spans="1:44" hidden="1" x14ac:dyDescent="0.25">
      <c r="A278">
        <v>5013</v>
      </c>
      <c r="B278" t="s">
        <v>190</v>
      </c>
      <c r="C278" t="s">
        <v>501</v>
      </c>
      <c r="D278" t="s">
        <v>599</v>
      </c>
      <c r="E278" s="3">
        <v>44197</v>
      </c>
      <c r="F278" s="3">
        <v>44561</v>
      </c>
      <c r="G278" t="s">
        <v>141</v>
      </c>
      <c r="H278" s="3">
        <v>44197</v>
      </c>
      <c r="I278" s="3">
        <v>44561</v>
      </c>
      <c r="J278" t="s">
        <v>142</v>
      </c>
      <c r="K278">
        <v>0</v>
      </c>
      <c r="L278" t="s">
        <v>143</v>
      </c>
      <c r="M278" t="s">
        <v>82</v>
      </c>
      <c r="O278" t="s">
        <v>600</v>
      </c>
      <c r="P278" t="s">
        <v>550</v>
      </c>
      <c r="Q278">
        <v>2021</v>
      </c>
      <c r="R278" t="s">
        <v>612</v>
      </c>
      <c r="S278" t="s">
        <v>613</v>
      </c>
      <c r="T278" t="s">
        <v>553</v>
      </c>
      <c r="U278" t="b">
        <v>0</v>
      </c>
      <c r="V278" t="s">
        <v>614</v>
      </c>
      <c r="W278" t="s">
        <v>587</v>
      </c>
      <c r="X278" t="s">
        <v>556</v>
      </c>
      <c r="Y278" t="s">
        <v>468</v>
      </c>
      <c r="AC278">
        <v>1</v>
      </c>
      <c r="AD278" t="s">
        <v>558</v>
      </c>
      <c r="AE278">
        <v>0</v>
      </c>
      <c r="AF278">
        <v>2.5999999999999998E-4</v>
      </c>
      <c r="AG278" t="s">
        <v>588</v>
      </c>
      <c r="AH278">
        <v>1</v>
      </c>
      <c r="AI278">
        <v>0</v>
      </c>
      <c r="AJ278" t="s">
        <v>561</v>
      </c>
      <c r="AK278" t="s">
        <v>589</v>
      </c>
      <c r="AL278" t="s">
        <v>603</v>
      </c>
      <c r="AM278">
        <v>2021</v>
      </c>
      <c r="AN278">
        <v>2019</v>
      </c>
      <c r="AO278">
        <f>IF(AND(emissions[[#This Row],[Market-based]]=0,emissions[[#This Row],[Impact Type]]="CO2E"),emissions[[#This Row],[kgCO2e]],0)/1000</f>
        <v>0</v>
      </c>
      <c r="AP278">
        <f>IF(AND(emissions[[#This Row],[Market-based]]=1,OR(emissions[[#This Row],[Impact Type]]="CO2E",emissions[[#This Row],[Impact Type]]="CO2E MKT")),emissions[[#This Row],[kgCO2e]],0)/1000</f>
        <v>0</v>
      </c>
      <c r="AQ278" t="str">
        <f>_xlfn.TEXTAFTER(emissions[[#This Row],[Reporting Unit]]," &gt; ",LEN(emissions[[#This Row],[Reporting Unit]])-LEN(SUBSTITUTE(emissions[[#This Row],[Reporting Unit]],"&gt;","")))</f>
        <v>Vantage_Les Borges</v>
      </c>
      <c r="AR278" t="str">
        <f>_xlfn.XLOOKUP(emissions[[#This Row],[Reporting unit name]],hierarchy!$A:$A,hierarchy!$C:$C)</f>
        <v>Office</v>
      </c>
    </row>
    <row r="279" spans="1:44" hidden="1" x14ac:dyDescent="0.25">
      <c r="A279">
        <v>5013</v>
      </c>
      <c r="B279" t="s">
        <v>190</v>
      </c>
      <c r="C279" t="s">
        <v>501</v>
      </c>
      <c r="D279" t="s">
        <v>599</v>
      </c>
      <c r="E279" s="3">
        <v>44197</v>
      </c>
      <c r="F279" s="3">
        <v>44561</v>
      </c>
      <c r="G279" t="s">
        <v>141</v>
      </c>
      <c r="H279" s="3">
        <v>44197</v>
      </c>
      <c r="I279" s="3">
        <v>44561</v>
      </c>
      <c r="J279" t="s">
        <v>142</v>
      </c>
      <c r="K279">
        <v>0</v>
      </c>
      <c r="L279" t="s">
        <v>143</v>
      </c>
      <c r="M279" t="s">
        <v>82</v>
      </c>
      <c r="O279" t="s">
        <v>600</v>
      </c>
      <c r="P279" t="s">
        <v>550</v>
      </c>
      <c r="Q279">
        <v>2021</v>
      </c>
      <c r="R279" t="s">
        <v>612</v>
      </c>
      <c r="S279" t="s">
        <v>613</v>
      </c>
      <c r="T279" t="s">
        <v>553</v>
      </c>
      <c r="U279" t="b">
        <v>0</v>
      </c>
      <c r="V279" t="s">
        <v>614</v>
      </c>
      <c r="W279" t="s">
        <v>587</v>
      </c>
      <c r="X279" t="s">
        <v>556</v>
      </c>
      <c r="Y279" t="s">
        <v>468</v>
      </c>
      <c r="AC279">
        <v>1</v>
      </c>
      <c r="AD279" t="s">
        <v>564</v>
      </c>
      <c r="AE279">
        <v>0</v>
      </c>
      <c r="AF279">
        <v>2.6680700000000002</v>
      </c>
      <c r="AG279" t="s">
        <v>588</v>
      </c>
      <c r="AH279">
        <v>1</v>
      </c>
      <c r="AI279">
        <v>0</v>
      </c>
      <c r="AJ279" t="s">
        <v>561</v>
      </c>
      <c r="AK279" t="s">
        <v>589</v>
      </c>
      <c r="AL279" t="s">
        <v>603</v>
      </c>
      <c r="AM279">
        <v>2021</v>
      </c>
      <c r="AN279">
        <v>2019</v>
      </c>
      <c r="AO279">
        <f>IF(AND(emissions[[#This Row],[Market-based]]=0,emissions[[#This Row],[Impact Type]]="CO2E"),emissions[[#This Row],[kgCO2e]],0)/1000</f>
        <v>0</v>
      </c>
      <c r="AP279">
        <f>IF(AND(emissions[[#This Row],[Market-based]]=1,OR(emissions[[#This Row],[Impact Type]]="CO2E",emissions[[#This Row],[Impact Type]]="CO2E MKT")),emissions[[#This Row],[kgCO2e]],0)/1000</f>
        <v>0</v>
      </c>
      <c r="AQ279" t="str">
        <f>_xlfn.TEXTAFTER(emissions[[#This Row],[Reporting Unit]]," &gt; ",LEN(emissions[[#This Row],[Reporting Unit]])-LEN(SUBSTITUTE(emissions[[#This Row],[Reporting Unit]],"&gt;","")))</f>
        <v>Vantage_Les Borges</v>
      </c>
      <c r="AR279" t="str">
        <f>_xlfn.XLOOKUP(emissions[[#This Row],[Reporting unit name]],hierarchy!$A:$A,hierarchy!$C:$C)</f>
        <v>Office</v>
      </c>
    </row>
    <row r="280" spans="1:44" hidden="1" x14ac:dyDescent="0.25">
      <c r="A280">
        <v>5013</v>
      </c>
      <c r="B280" t="s">
        <v>190</v>
      </c>
      <c r="C280" t="s">
        <v>501</v>
      </c>
      <c r="D280" t="s">
        <v>599</v>
      </c>
      <c r="E280" s="3">
        <v>44197</v>
      </c>
      <c r="F280" s="3">
        <v>44561</v>
      </c>
      <c r="G280" t="s">
        <v>141</v>
      </c>
      <c r="H280" s="3">
        <v>44197</v>
      </c>
      <c r="I280" s="3">
        <v>44561</v>
      </c>
      <c r="J280" t="s">
        <v>142</v>
      </c>
      <c r="K280">
        <v>0</v>
      </c>
      <c r="L280" t="s">
        <v>143</v>
      </c>
      <c r="M280" t="s">
        <v>82</v>
      </c>
      <c r="O280" t="s">
        <v>600</v>
      </c>
      <c r="P280" t="s">
        <v>550</v>
      </c>
      <c r="Q280">
        <v>2021</v>
      </c>
      <c r="R280" t="s">
        <v>612</v>
      </c>
      <c r="S280" t="s">
        <v>613</v>
      </c>
      <c r="T280" t="s">
        <v>553</v>
      </c>
      <c r="U280" t="b">
        <v>0</v>
      </c>
      <c r="V280" t="s">
        <v>614</v>
      </c>
      <c r="W280" t="s">
        <v>587</v>
      </c>
      <c r="X280" t="s">
        <v>556</v>
      </c>
      <c r="Y280" t="s">
        <v>468</v>
      </c>
      <c r="AC280">
        <v>1</v>
      </c>
      <c r="AD280" t="s">
        <v>565</v>
      </c>
      <c r="AE280">
        <v>0</v>
      </c>
      <c r="AF280">
        <v>2.70553</v>
      </c>
      <c r="AG280" t="s">
        <v>588</v>
      </c>
      <c r="AH280">
        <v>1</v>
      </c>
      <c r="AI280">
        <v>0</v>
      </c>
      <c r="AJ280" t="s">
        <v>561</v>
      </c>
      <c r="AK280" t="s">
        <v>589</v>
      </c>
      <c r="AL280" t="s">
        <v>603</v>
      </c>
      <c r="AM280">
        <v>2021</v>
      </c>
      <c r="AN280">
        <v>2019</v>
      </c>
      <c r="AO280">
        <f>IF(AND(emissions[[#This Row],[Market-based]]=0,emissions[[#This Row],[Impact Type]]="CO2E"),emissions[[#This Row],[kgCO2e]],0)/1000</f>
        <v>0</v>
      </c>
      <c r="AP280">
        <f>IF(AND(emissions[[#This Row],[Market-based]]=1,OR(emissions[[#This Row],[Impact Type]]="CO2E",emissions[[#This Row],[Impact Type]]="CO2E MKT")),emissions[[#This Row],[kgCO2e]],0)/1000</f>
        <v>0</v>
      </c>
      <c r="AQ280" t="str">
        <f>_xlfn.TEXTAFTER(emissions[[#This Row],[Reporting Unit]]," &gt; ",LEN(emissions[[#This Row],[Reporting Unit]])-LEN(SUBSTITUTE(emissions[[#This Row],[Reporting Unit]],"&gt;","")))</f>
        <v>Vantage_Les Borges</v>
      </c>
      <c r="AR280" t="str">
        <f>_xlfn.XLOOKUP(emissions[[#This Row],[Reporting unit name]],hierarchy!$A:$A,hierarchy!$C:$C)</f>
        <v>Office</v>
      </c>
    </row>
    <row r="281" spans="1:44" hidden="1" x14ac:dyDescent="0.25">
      <c r="A281">
        <v>5013</v>
      </c>
      <c r="B281" t="s">
        <v>190</v>
      </c>
      <c r="C281" t="s">
        <v>501</v>
      </c>
      <c r="D281" t="s">
        <v>599</v>
      </c>
      <c r="E281" s="3">
        <v>44197</v>
      </c>
      <c r="F281" s="3">
        <v>44561</v>
      </c>
      <c r="G281" t="s">
        <v>141</v>
      </c>
      <c r="H281" s="3">
        <v>44197</v>
      </c>
      <c r="I281" s="3">
        <v>44561</v>
      </c>
      <c r="J281" t="s">
        <v>142</v>
      </c>
      <c r="K281">
        <v>0</v>
      </c>
      <c r="L281" t="s">
        <v>143</v>
      </c>
      <c r="M281" t="s">
        <v>82</v>
      </c>
      <c r="O281" t="s">
        <v>600</v>
      </c>
      <c r="P281" t="s">
        <v>550</v>
      </c>
      <c r="Q281">
        <v>2021</v>
      </c>
      <c r="R281" t="s">
        <v>612</v>
      </c>
      <c r="S281" t="s">
        <v>613</v>
      </c>
      <c r="T281" t="s">
        <v>553</v>
      </c>
      <c r="U281" t="b">
        <v>0</v>
      </c>
      <c r="V281" t="s">
        <v>614</v>
      </c>
      <c r="W281" t="s">
        <v>587</v>
      </c>
      <c r="X281" t="s">
        <v>556</v>
      </c>
      <c r="Y281" t="s">
        <v>468</v>
      </c>
      <c r="AC281">
        <v>1</v>
      </c>
      <c r="AD281" t="s">
        <v>566</v>
      </c>
      <c r="AE281">
        <v>0</v>
      </c>
      <c r="AF281">
        <v>3.7199999999999997E-2</v>
      </c>
      <c r="AG281" t="s">
        <v>588</v>
      </c>
      <c r="AH281">
        <v>1</v>
      </c>
      <c r="AI281">
        <v>0</v>
      </c>
      <c r="AJ281" t="s">
        <v>561</v>
      </c>
      <c r="AK281" t="s">
        <v>589</v>
      </c>
      <c r="AL281" t="s">
        <v>603</v>
      </c>
      <c r="AM281">
        <v>2021</v>
      </c>
      <c r="AN281">
        <v>2019</v>
      </c>
      <c r="AO281">
        <f>IF(AND(emissions[[#This Row],[Market-based]]=0,emissions[[#This Row],[Impact Type]]="CO2E"),emissions[[#This Row],[kgCO2e]],0)/1000</f>
        <v>0</v>
      </c>
      <c r="AP281">
        <f>IF(AND(emissions[[#This Row],[Market-based]]=1,OR(emissions[[#This Row],[Impact Type]]="CO2E",emissions[[#This Row],[Impact Type]]="CO2E MKT")),emissions[[#This Row],[kgCO2e]],0)/1000</f>
        <v>0</v>
      </c>
      <c r="AQ281" t="str">
        <f>_xlfn.TEXTAFTER(emissions[[#This Row],[Reporting Unit]]," &gt; ",LEN(emissions[[#This Row],[Reporting Unit]])-LEN(SUBSTITUTE(emissions[[#This Row],[Reporting Unit]],"&gt;","")))</f>
        <v>Vantage_Les Borges</v>
      </c>
      <c r="AR281" t="str">
        <f>_xlfn.XLOOKUP(emissions[[#This Row],[Reporting unit name]],hierarchy!$A:$A,hierarchy!$C:$C)</f>
        <v>Office</v>
      </c>
    </row>
    <row r="282" spans="1:44" hidden="1" x14ac:dyDescent="0.25">
      <c r="A282">
        <v>5013</v>
      </c>
      <c r="B282" t="s">
        <v>190</v>
      </c>
      <c r="C282" t="s">
        <v>501</v>
      </c>
      <c r="D282" t="s">
        <v>599</v>
      </c>
      <c r="E282" s="3">
        <v>44197</v>
      </c>
      <c r="F282" s="3">
        <v>44561</v>
      </c>
      <c r="G282" t="s">
        <v>141</v>
      </c>
      <c r="H282" s="3">
        <v>44197</v>
      </c>
      <c r="I282" s="3">
        <v>44561</v>
      </c>
      <c r="J282" t="s">
        <v>142</v>
      </c>
      <c r="K282">
        <v>0</v>
      </c>
      <c r="L282" t="s">
        <v>143</v>
      </c>
      <c r="M282" t="s">
        <v>82</v>
      </c>
      <c r="O282" t="s">
        <v>600</v>
      </c>
      <c r="P282" t="s">
        <v>550</v>
      </c>
      <c r="Q282">
        <v>2021</v>
      </c>
      <c r="R282" t="s">
        <v>615</v>
      </c>
      <c r="S282" t="s">
        <v>616</v>
      </c>
      <c r="T282" t="s">
        <v>577</v>
      </c>
      <c r="U282" t="b">
        <v>0</v>
      </c>
      <c r="V282" t="s">
        <v>617</v>
      </c>
      <c r="W282" t="s">
        <v>571</v>
      </c>
      <c r="X282" t="s">
        <v>572</v>
      </c>
      <c r="Y282" t="s">
        <v>468</v>
      </c>
      <c r="AC282">
        <v>0</v>
      </c>
      <c r="AD282" t="s">
        <v>565</v>
      </c>
      <c r="AE282">
        <v>0</v>
      </c>
      <c r="AF282">
        <v>0.62873999999999997</v>
      </c>
      <c r="AG282" t="s">
        <v>588</v>
      </c>
      <c r="AH282">
        <v>1</v>
      </c>
      <c r="AI282">
        <v>0</v>
      </c>
      <c r="AJ282" t="s">
        <v>561</v>
      </c>
      <c r="AK282" t="s">
        <v>589</v>
      </c>
      <c r="AL282" t="s">
        <v>603</v>
      </c>
      <c r="AM282">
        <v>2021</v>
      </c>
      <c r="AN282">
        <v>2019</v>
      </c>
      <c r="AO282">
        <f>IF(AND(emissions[[#This Row],[Market-based]]=0,emissions[[#This Row],[Impact Type]]="CO2E"),emissions[[#This Row],[kgCO2e]],0)/1000</f>
        <v>0</v>
      </c>
      <c r="AP282">
        <f>IF(AND(emissions[[#This Row],[Market-based]]=1,OR(emissions[[#This Row],[Impact Type]]="CO2E",emissions[[#This Row],[Impact Type]]="CO2E MKT")),emissions[[#This Row],[kgCO2e]],0)/1000</f>
        <v>0</v>
      </c>
      <c r="AQ282" t="str">
        <f>_xlfn.TEXTAFTER(emissions[[#This Row],[Reporting Unit]]," &gt; ",LEN(emissions[[#This Row],[Reporting Unit]])-LEN(SUBSTITUTE(emissions[[#This Row],[Reporting Unit]],"&gt;","")))</f>
        <v>Vantage_Les Borges</v>
      </c>
      <c r="AR282" t="str">
        <f>_xlfn.XLOOKUP(emissions[[#This Row],[Reporting unit name]],hierarchy!$A:$A,hierarchy!$C:$C)</f>
        <v>Office</v>
      </c>
    </row>
    <row r="283" spans="1:44" hidden="1" x14ac:dyDescent="0.25">
      <c r="A283">
        <v>5013</v>
      </c>
      <c r="B283" t="s">
        <v>190</v>
      </c>
      <c r="C283" t="s">
        <v>501</v>
      </c>
      <c r="D283" t="s">
        <v>599</v>
      </c>
      <c r="E283" s="3">
        <v>44197</v>
      </c>
      <c r="F283" s="3">
        <v>44561</v>
      </c>
      <c r="G283" t="s">
        <v>141</v>
      </c>
      <c r="H283" s="3">
        <v>44197</v>
      </c>
      <c r="I283" s="3">
        <v>44561</v>
      </c>
      <c r="J283" t="s">
        <v>142</v>
      </c>
      <c r="K283">
        <v>0</v>
      </c>
      <c r="L283" t="s">
        <v>143</v>
      </c>
      <c r="M283" t="s">
        <v>82</v>
      </c>
      <c r="O283" t="s">
        <v>600</v>
      </c>
      <c r="P283" t="s">
        <v>550</v>
      </c>
      <c r="Q283">
        <v>2021</v>
      </c>
      <c r="R283" t="s">
        <v>615</v>
      </c>
      <c r="S283" t="s">
        <v>616</v>
      </c>
      <c r="T283" t="s">
        <v>577</v>
      </c>
      <c r="U283" t="b">
        <v>0</v>
      </c>
      <c r="V283" t="s">
        <v>617</v>
      </c>
      <c r="W283" t="s">
        <v>571</v>
      </c>
      <c r="X283" t="s">
        <v>572</v>
      </c>
      <c r="Y283" t="s">
        <v>468</v>
      </c>
      <c r="AC283">
        <v>1</v>
      </c>
      <c r="AD283" t="s">
        <v>565</v>
      </c>
      <c r="AE283">
        <v>0</v>
      </c>
      <c r="AF283">
        <v>0.62873999999999997</v>
      </c>
      <c r="AG283" t="s">
        <v>588</v>
      </c>
      <c r="AH283">
        <v>1</v>
      </c>
      <c r="AI283">
        <v>0</v>
      </c>
      <c r="AJ283" t="s">
        <v>561</v>
      </c>
      <c r="AK283" t="s">
        <v>589</v>
      </c>
      <c r="AL283" t="s">
        <v>603</v>
      </c>
      <c r="AM283">
        <v>2021</v>
      </c>
      <c r="AN283">
        <v>2019</v>
      </c>
      <c r="AO283">
        <f>IF(AND(emissions[[#This Row],[Market-based]]=0,emissions[[#This Row],[Impact Type]]="CO2E"),emissions[[#This Row],[kgCO2e]],0)/1000</f>
        <v>0</v>
      </c>
      <c r="AP283">
        <f>IF(AND(emissions[[#This Row],[Market-based]]=1,OR(emissions[[#This Row],[Impact Type]]="CO2E",emissions[[#This Row],[Impact Type]]="CO2E MKT")),emissions[[#This Row],[kgCO2e]],0)/1000</f>
        <v>0</v>
      </c>
      <c r="AQ283" t="str">
        <f>_xlfn.TEXTAFTER(emissions[[#This Row],[Reporting Unit]]," &gt; ",LEN(emissions[[#This Row],[Reporting Unit]])-LEN(SUBSTITUTE(emissions[[#This Row],[Reporting Unit]],"&gt;","")))</f>
        <v>Vantage_Les Borges</v>
      </c>
      <c r="AR283" t="str">
        <f>_xlfn.XLOOKUP(emissions[[#This Row],[Reporting unit name]],hierarchy!$A:$A,hierarchy!$C:$C)</f>
        <v>Office</v>
      </c>
    </row>
    <row r="284" spans="1:44" hidden="1" x14ac:dyDescent="0.25">
      <c r="A284">
        <v>5039</v>
      </c>
      <c r="B284" t="s">
        <v>190</v>
      </c>
      <c r="C284" t="s">
        <v>501</v>
      </c>
      <c r="D284" t="s">
        <v>599</v>
      </c>
      <c r="E284" s="3">
        <v>44197</v>
      </c>
      <c r="F284" s="3">
        <v>44561</v>
      </c>
      <c r="G284" t="s">
        <v>116</v>
      </c>
      <c r="H284" s="3">
        <v>44197</v>
      </c>
      <c r="I284" s="3">
        <v>44561</v>
      </c>
      <c r="J284" t="s">
        <v>175</v>
      </c>
      <c r="K284">
        <v>10.573700000000001</v>
      </c>
      <c r="L284" t="s">
        <v>118</v>
      </c>
      <c r="M284" t="s">
        <v>82</v>
      </c>
      <c r="O284" t="s">
        <v>618</v>
      </c>
      <c r="P284" t="s">
        <v>550</v>
      </c>
      <c r="Q284">
        <v>2021</v>
      </c>
      <c r="R284" t="s">
        <v>664</v>
      </c>
      <c r="S284" t="s">
        <v>175</v>
      </c>
      <c r="T284" t="s">
        <v>553</v>
      </c>
      <c r="U284" t="b">
        <v>0</v>
      </c>
      <c r="V284" t="s">
        <v>665</v>
      </c>
      <c r="W284" t="s">
        <v>587</v>
      </c>
      <c r="X284" t="s">
        <v>556</v>
      </c>
      <c r="AC284">
        <v>0</v>
      </c>
      <c r="AD284" t="s">
        <v>565</v>
      </c>
      <c r="AE284">
        <v>22077.885600000001</v>
      </c>
      <c r="AF284">
        <v>2088</v>
      </c>
      <c r="AG284" t="s">
        <v>622</v>
      </c>
      <c r="AH284">
        <v>1</v>
      </c>
      <c r="AI284">
        <v>10.573700000000001</v>
      </c>
      <c r="AJ284" t="s">
        <v>561</v>
      </c>
      <c r="AK284" t="s">
        <v>623</v>
      </c>
      <c r="AL284" t="s">
        <v>624</v>
      </c>
      <c r="AM284">
        <v>2021</v>
      </c>
      <c r="AN284">
        <v>2007</v>
      </c>
      <c r="AO284">
        <f>IF(AND(emissions[[#This Row],[Market-based]]=0,emissions[[#This Row],[Impact Type]]="CO2E"),emissions[[#This Row],[kgCO2e]],0)/1000</f>
        <v>22.077885600000002</v>
      </c>
      <c r="AP284">
        <f>IF(AND(emissions[[#This Row],[Market-based]]=1,OR(emissions[[#This Row],[Impact Type]]="CO2E",emissions[[#This Row],[Impact Type]]="CO2E MKT")),emissions[[#This Row],[kgCO2e]],0)/1000</f>
        <v>0</v>
      </c>
      <c r="AQ284" t="str">
        <f>_xlfn.TEXTAFTER(emissions[[#This Row],[Reporting Unit]]," &gt; ",LEN(emissions[[#This Row],[Reporting Unit]])-LEN(SUBSTITUTE(emissions[[#This Row],[Reporting Unit]],"&gt;","")))</f>
        <v>Vantage_Les Borges</v>
      </c>
      <c r="AR284" t="str">
        <f>_xlfn.XLOOKUP(emissions[[#This Row],[Reporting unit name]],hierarchy!$A:$A,hierarchy!$C:$C)</f>
        <v>Office</v>
      </c>
    </row>
    <row r="285" spans="1:44" hidden="1" x14ac:dyDescent="0.25">
      <c r="A285">
        <v>5039</v>
      </c>
      <c r="B285" t="s">
        <v>190</v>
      </c>
      <c r="C285" t="s">
        <v>501</v>
      </c>
      <c r="D285" t="s">
        <v>599</v>
      </c>
      <c r="E285" s="3">
        <v>44197</v>
      </c>
      <c r="F285" s="3">
        <v>44561</v>
      </c>
      <c r="G285" t="s">
        <v>116</v>
      </c>
      <c r="H285" s="3">
        <v>44197</v>
      </c>
      <c r="I285" s="3">
        <v>44561</v>
      </c>
      <c r="J285" t="s">
        <v>175</v>
      </c>
      <c r="K285">
        <v>10.573700000000001</v>
      </c>
      <c r="L285" t="s">
        <v>118</v>
      </c>
      <c r="M285" t="s">
        <v>82</v>
      </c>
      <c r="O285" t="s">
        <v>618</v>
      </c>
      <c r="P285" t="s">
        <v>550</v>
      </c>
      <c r="Q285">
        <v>2021</v>
      </c>
      <c r="R285" t="s">
        <v>664</v>
      </c>
      <c r="S285" t="s">
        <v>175</v>
      </c>
      <c r="T285" t="s">
        <v>553</v>
      </c>
      <c r="U285" t="b">
        <v>0</v>
      </c>
      <c r="V285" t="s">
        <v>665</v>
      </c>
      <c r="W285" t="s">
        <v>587</v>
      </c>
      <c r="X285" t="s">
        <v>556</v>
      </c>
      <c r="AC285">
        <v>1</v>
      </c>
      <c r="AD285" t="s">
        <v>565</v>
      </c>
      <c r="AE285">
        <v>22077.885600000001</v>
      </c>
      <c r="AF285">
        <v>2088</v>
      </c>
      <c r="AG285" t="s">
        <v>622</v>
      </c>
      <c r="AH285">
        <v>1</v>
      </c>
      <c r="AI285">
        <v>10.573700000000001</v>
      </c>
      <c r="AJ285" t="s">
        <v>561</v>
      </c>
      <c r="AK285" t="s">
        <v>623</v>
      </c>
      <c r="AL285" t="s">
        <v>624</v>
      </c>
      <c r="AM285">
        <v>2021</v>
      </c>
      <c r="AN285">
        <v>2007</v>
      </c>
      <c r="AO285">
        <f>IF(AND(emissions[[#This Row],[Market-based]]=0,emissions[[#This Row],[Impact Type]]="CO2E"),emissions[[#This Row],[kgCO2e]],0)/1000</f>
        <v>0</v>
      </c>
      <c r="AP285">
        <f>IF(AND(emissions[[#This Row],[Market-based]]=1,OR(emissions[[#This Row],[Impact Type]]="CO2E",emissions[[#This Row],[Impact Type]]="CO2E MKT")),emissions[[#This Row],[kgCO2e]],0)/1000</f>
        <v>22.077885600000002</v>
      </c>
      <c r="AQ285" t="str">
        <f>_xlfn.TEXTAFTER(emissions[[#This Row],[Reporting Unit]]," &gt; ",LEN(emissions[[#This Row],[Reporting Unit]])-LEN(SUBSTITUTE(emissions[[#This Row],[Reporting Unit]],"&gt;","")))</f>
        <v>Vantage_Les Borges</v>
      </c>
      <c r="AR285" t="str">
        <f>_xlfn.XLOOKUP(emissions[[#This Row],[Reporting unit name]],hierarchy!$A:$A,hierarchy!$C:$C)</f>
        <v>Office</v>
      </c>
    </row>
    <row r="286" spans="1:44" hidden="1" x14ac:dyDescent="0.25">
      <c r="A286">
        <v>255499</v>
      </c>
      <c r="B286" t="s">
        <v>164</v>
      </c>
      <c r="C286" t="s">
        <v>537</v>
      </c>
      <c r="D286" t="s">
        <v>548</v>
      </c>
      <c r="E286" s="3">
        <v>44562</v>
      </c>
      <c r="F286" s="3">
        <v>44926</v>
      </c>
      <c r="G286" t="s">
        <v>108</v>
      </c>
      <c r="H286" s="3">
        <v>44562</v>
      </c>
      <c r="I286" s="3">
        <v>44926</v>
      </c>
      <c r="J286" t="s">
        <v>108</v>
      </c>
      <c r="K286">
        <v>15237808</v>
      </c>
      <c r="L286" t="s">
        <v>109</v>
      </c>
      <c r="M286" t="s">
        <v>110</v>
      </c>
      <c r="O286" t="s">
        <v>666</v>
      </c>
      <c r="P286" t="s">
        <v>550</v>
      </c>
      <c r="Q286">
        <v>2022</v>
      </c>
      <c r="R286" t="s">
        <v>551</v>
      </c>
      <c r="S286" t="s">
        <v>552</v>
      </c>
      <c r="T286" t="s">
        <v>553</v>
      </c>
      <c r="U286" t="b">
        <v>0</v>
      </c>
      <c r="V286" t="s">
        <v>667</v>
      </c>
      <c r="W286" t="s">
        <v>555</v>
      </c>
      <c r="X286" t="s">
        <v>556</v>
      </c>
      <c r="Y286" t="s">
        <v>468</v>
      </c>
      <c r="Z286" t="s">
        <v>527</v>
      </c>
      <c r="AA286" t="s">
        <v>668</v>
      </c>
      <c r="AC286">
        <v>0</v>
      </c>
      <c r="AD286" t="s">
        <v>558</v>
      </c>
      <c r="AE286">
        <v>4571.3424000000005</v>
      </c>
      <c r="AF286" t="s">
        <v>559</v>
      </c>
      <c r="AG286" t="s">
        <v>560</v>
      </c>
      <c r="AH286">
        <v>1</v>
      </c>
      <c r="AI286">
        <v>15237808</v>
      </c>
      <c r="AJ286" t="s">
        <v>561</v>
      </c>
      <c r="AK286" t="s">
        <v>562</v>
      </c>
      <c r="AL286" t="s">
        <v>563</v>
      </c>
      <c r="AM286">
        <v>2022</v>
      </c>
      <c r="AN286">
        <v>2020</v>
      </c>
      <c r="AO286">
        <f>IF(AND(emissions[[#This Row],[Market-based]]=0,emissions[[#This Row],[Impact Type]]="CO2E"),emissions[[#This Row],[kgCO2e]],0)/1000</f>
        <v>0</v>
      </c>
      <c r="AP286">
        <f>IF(AND(emissions[[#This Row],[Market-based]]=1,OR(emissions[[#This Row],[Impact Type]]="CO2E",emissions[[#This Row],[Impact Type]]="CO2E MKT")),emissions[[#This Row],[kgCO2e]],0)/1000</f>
        <v>0</v>
      </c>
      <c r="AQ286" t="str">
        <f>_xlfn.TEXTAFTER(emissions[[#This Row],[Reporting Unit]]," &gt; ",LEN(emissions[[#This Row],[Reporting Unit]])-LEN(SUBSTITUTE(emissions[[#This Row],[Reporting Unit]],"&gt;","")))</f>
        <v>Vantage_Leuna</v>
      </c>
      <c r="AR286" t="str">
        <f>_xlfn.XLOOKUP(emissions[[#This Row],[Reporting unit name]],hierarchy!$A:$A,hierarchy!$C:$C)</f>
        <v>Office (with heat &amp; steam)</v>
      </c>
    </row>
    <row r="287" spans="1:44" hidden="1" x14ac:dyDescent="0.25">
      <c r="A287">
        <v>255499</v>
      </c>
      <c r="B287" t="s">
        <v>164</v>
      </c>
      <c r="C287" t="s">
        <v>537</v>
      </c>
      <c r="D287" t="s">
        <v>548</v>
      </c>
      <c r="E287" s="3">
        <v>44562</v>
      </c>
      <c r="F287" s="3">
        <v>44926</v>
      </c>
      <c r="G287" t="s">
        <v>108</v>
      </c>
      <c r="H287" s="3">
        <v>44562</v>
      </c>
      <c r="I287" s="3">
        <v>44926</v>
      </c>
      <c r="J287" t="s">
        <v>108</v>
      </c>
      <c r="K287">
        <v>15237808</v>
      </c>
      <c r="L287" t="s">
        <v>109</v>
      </c>
      <c r="M287" t="s">
        <v>110</v>
      </c>
      <c r="O287" t="s">
        <v>666</v>
      </c>
      <c r="P287" t="s">
        <v>550</v>
      </c>
      <c r="Q287">
        <v>2022</v>
      </c>
      <c r="R287" t="s">
        <v>551</v>
      </c>
      <c r="S287" t="s">
        <v>552</v>
      </c>
      <c r="T287" t="s">
        <v>553</v>
      </c>
      <c r="U287" t="b">
        <v>0</v>
      </c>
      <c r="V287" t="s">
        <v>667</v>
      </c>
      <c r="W287" t="s">
        <v>555</v>
      </c>
      <c r="X287" t="s">
        <v>556</v>
      </c>
      <c r="Y287" t="s">
        <v>468</v>
      </c>
      <c r="Z287" t="s">
        <v>527</v>
      </c>
      <c r="AA287" t="s">
        <v>668</v>
      </c>
      <c r="AC287">
        <v>0</v>
      </c>
      <c r="AD287" t="s">
        <v>564</v>
      </c>
      <c r="AE287">
        <v>4522581.4139999999</v>
      </c>
      <c r="AF287" t="s">
        <v>559</v>
      </c>
      <c r="AG287" t="s">
        <v>560</v>
      </c>
      <c r="AH287">
        <v>1</v>
      </c>
      <c r="AI287">
        <v>15237808</v>
      </c>
      <c r="AJ287" t="s">
        <v>561</v>
      </c>
      <c r="AK287" t="s">
        <v>562</v>
      </c>
      <c r="AL287" t="s">
        <v>563</v>
      </c>
      <c r="AM287">
        <v>2022</v>
      </c>
      <c r="AN287">
        <v>2020</v>
      </c>
      <c r="AO287">
        <f>IF(AND(emissions[[#This Row],[Market-based]]=0,emissions[[#This Row],[Impact Type]]="CO2E"),emissions[[#This Row],[kgCO2e]],0)/1000</f>
        <v>0</v>
      </c>
      <c r="AP287">
        <f>IF(AND(emissions[[#This Row],[Market-based]]=1,OR(emissions[[#This Row],[Impact Type]]="CO2E",emissions[[#This Row],[Impact Type]]="CO2E MKT")),emissions[[#This Row],[kgCO2e]],0)/1000</f>
        <v>0</v>
      </c>
      <c r="AQ287" t="str">
        <f>_xlfn.TEXTAFTER(emissions[[#This Row],[Reporting Unit]]," &gt; ",LEN(emissions[[#This Row],[Reporting Unit]])-LEN(SUBSTITUTE(emissions[[#This Row],[Reporting Unit]],"&gt;","")))</f>
        <v>Vantage_Leuna</v>
      </c>
      <c r="AR287" t="str">
        <f>_xlfn.XLOOKUP(emissions[[#This Row],[Reporting unit name]],hierarchy!$A:$A,hierarchy!$C:$C)</f>
        <v>Office (with heat &amp; steam)</v>
      </c>
    </row>
    <row r="288" spans="1:44" hidden="1" x14ac:dyDescent="0.25">
      <c r="A288">
        <v>255499</v>
      </c>
      <c r="B288" t="s">
        <v>164</v>
      </c>
      <c r="C288" t="s">
        <v>537</v>
      </c>
      <c r="D288" t="s">
        <v>548</v>
      </c>
      <c r="E288" s="3">
        <v>44562</v>
      </c>
      <c r="F288" s="3">
        <v>44926</v>
      </c>
      <c r="G288" t="s">
        <v>108</v>
      </c>
      <c r="H288" s="3">
        <v>44562</v>
      </c>
      <c r="I288" s="3">
        <v>44926</v>
      </c>
      <c r="J288" t="s">
        <v>108</v>
      </c>
      <c r="K288">
        <v>15237808</v>
      </c>
      <c r="L288" t="s">
        <v>109</v>
      </c>
      <c r="M288" t="s">
        <v>110</v>
      </c>
      <c r="O288" t="s">
        <v>666</v>
      </c>
      <c r="P288" t="s">
        <v>550</v>
      </c>
      <c r="Q288">
        <v>2022</v>
      </c>
      <c r="R288" t="s">
        <v>551</v>
      </c>
      <c r="S288" t="s">
        <v>552</v>
      </c>
      <c r="T288" t="s">
        <v>553</v>
      </c>
      <c r="U288" t="b">
        <v>0</v>
      </c>
      <c r="V288" t="s">
        <v>667</v>
      </c>
      <c r="W288" t="s">
        <v>555</v>
      </c>
      <c r="X288" t="s">
        <v>556</v>
      </c>
      <c r="Y288" t="s">
        <v>468</v>
      </c>
      <c r="Z288" t="s">
        <v>527</v>
      </c>
      <c r="AA288" t="s">
        <v>668</v>
      </c>
      <c r="AC288">
        <v>0</v>
      </c>
      <c r="AD288" t="s">
        <v>565</v>
      </c>
      <c r="AE288">
        <v>4548485.6880000001</v>
      </c>
      <c r="AF288" t="s">
        <v>559</v>
      </c>
      <c r="AG288" t="s">
        <v>560</v>
      </c>
      <c r="AH288">
        <v>1</v>
      </c>
      <c r="AI288">
        <v>15237808</v>
      </c>
      <c r="AJ288" t="s">
        <v>561</v>
      </c>
      <c r="AK288" t="s">
        <v>562</v>
      </c>
      <c r="AL288" t="s">
        <v>563</v>
      </c>
      <c r="AM288">
        <v>2022</v>
      </c>
      <c r="AN288">
        <v>2020</v>
      </c>
      <c r="AO288">
        <f>IF(AND(emissions[[#This Row],[Market-based]]=0,emissions[[#This Row],[Impact Type]]="CO2E"),emissions[[#This Row],[kgCO2e]],0)/1000</f>
        <v>4548.4856879999998</v>
      </c>
      <c r="AP288">
        <f>IF(AND(emissions[[#This Row],[Market-based]]=1,OR(emissions[[#This Row],[Impact Type]]="CO2E",emissions[[#This Row],[Impact Type]]="CO2E MKT")),emissions[[#This Row],[kgCO2e]],0)/1000</f>
        <v>0</v>
      </c>
      <c r="AQ288" t="str">
        <f>_xlfn.TEXTAFTER(emissions[[#This Row],[Reporting Unit]]," &gt; ",LEN(emissions[[#This Row],[Reporting Unit]])-LEN(SUBSTITUTE(emissions[[#This Row],[Reporting Unit]],"&gt;","")))</f>
        <v>Vantage_Leuna</v>
      </c>
      <c r="AR288" t="str">
        <f>_xlfn.XLOOKUP(emissions[[#This Row],[Reporting unit name]],hierarchy!$A:$A,hierarchy!$C:$C)</f>
        <v>Office (with heat &amp; steam)</v>
      </c>
    </row>
    <row r="289" spans="1:44" hidden="1" x14ac:dyDescent="0.25">
      <c r="A289">
        <v>255499</v>
      </c>
      <c r="B289" t="s">
        <v>164</v>
      </c>
      <c r="C289" t="s">
        <v>537</v>
      </c>
      <c r="D289" t="s">
        <v>548</v>
      </c>
      <c r="E289" s="3">
        <v>44562</v>
      </c>
      <c r="F289" s="3">
        <v>44926</v>
      </c>
      <c r="G289" t="s">
        <v>108</v>
      </c>
      <c r="H289" s="3">
        <v>44562</v>
      </c>
      <c r="I289" s="3">
        <v>44926</v>
      </c>
      <c r="J289" t="s">
        <v>108</v>
      </c>
      <c r="K289">
        <v>15237808</v>
      </c>
      <c r="L289" t="s">
        <v>109</v>
      </c>
      <c r="M289" t="s">
        <v>110</v>
      </c>
      <c r="O289" t="s">
        <v>666</v>
      </c>
      <c r="P289" t="s">
        <v>550</v>
      </c>
      <c r="Q289">
        <v>2022</v>
      </c>
      <c r="R289" t="s">
        <v>551</v>
      </c>
      <c r="S289" t="s">
        <v>552</v>
      </c>
      <c r="T289" t="s">
        <v>553</v>
      </c>
      <c r="U289" t="b">
        <v>0</v>
      </c>
      <c r="V289" t="s">
        <v>667</v>
      </c>
      <c r="W289" t="s">
        <v>555</v>
      </c>
      <c r="X289" t="s">
        <v>556</v>
      </c>
      <c r="Y289" t="s">
        <v>468</v>
      </c>
      <c r="Z289" t="s">
        <v>527</v>
      </c>
      <c r="AA289" t="s">
        <v>668</v>
      </c>
      <c r="AC289">
        <v>0</v>
      </c>
      <c r="AD289" t="s">
        <v>566</v>
      </c>
      <c r="AE289">
        <v>21332.931199999999</v>
      </c>
      <c r="AF289" t="s">
        <v>559</v>
      </c>
      <c r="AG289" t="s">
        <v>560</v>
      </c>
      <c r="AH289">
        <v>1</v>
      </c>
      <c r="AI289">
        <v>15237808</v>
      </c>
      <c r="AJ289" t="s">
        <v>561</v>
      </c>
      <c r="AK289" t="s">
        <v>562</v>
      </c>
      <c r="AL289" t="s">
        <v>563</v>
      </c>
      <c r="AM289">
        <v>2022</v>
      </c>
      <c r="AN289">
        <v>2020</v>
      </c>
      <c r="AO289">
        <f>IF(AND(emissions[[#This Row],[Market-based]]=0,emissions[[#This Row],[Impact Type]]="CO2E"),emissions[[#This Row],[kgCO2e]],0)/1000</f>
        <v>0</v>
      </c>
      <c r="AP289">
        <f>IF(AND(emissions[[#This Row],[Market-based]]=1,OR(emissions[[#This Row],[Impact Type]]="CO2E",emissions[[#This Row],[Impact Type]]="CO2E MKT")),emissions[[#This Row],[kgCO2e]],0)/1000</f>
        <v>0</v>
      </c>
      <c r="AQ289" t="str">
        <f>_xlfn.TEXTAFTER(emissions[[#This Row],[Reporting Unit]]," &gt; ",LEN(emissions[[#This Row],[Reporting Unit]])-LEN(SUBSTITUTE(emissions[[#This Row],[Reporting Unit]],"&gt;","")))</f>
        <v>Vantage_Leuna</v>
      </c>
      <c r="AR289" t="str">
        <f>_xlfn.XLOOKUP(emissions[[#This Row],[Reporting unit name]],hierarchy!$A:$A,hierarchy!$C:$C)</f>
        <v>Office (with heat &amp; steam)</v>
      </c>
    </row>
    <row r="290" spans="1:44" hidden="1" x14ac:dyDescent="0.25">
      <c r="A290">
        <v>255499</v>
      </c>
      <c r="B290" t="s">
        <v>164</v>
      </c>
      <c r="C290" t="s">
        <v>537</v>
      </c>
      <c r="D290" t="s">
        <v>548</v>
      </c>
      <c r="E290" s="3">
        <v>44562</v>
      </c>
      <c r="F290" s="3">
        <v>44926</v>
      </c>
      <c r="G290" t="s">
        <v>108</v>
      </c>
      <c r="H290" s="3">
        <v>44562</v>
      </c>
      <c r="I290" s="3">
        <v>44926</v>
      </c>
      <c r="J290" t="s">
        <v>108</v>
      </c>
      <c r="K290">
        <v>15237808</v>
      </c>
      <c r="L290" t="s">
        <v>109</v>
      </c>
      <c r="M290" t="s">
        <v>110</v>
      </c>
      <c r="O290" t="s">
        <v>666</v>
      </c>
      <c r="P290" t="s">
        <v>550</v>
      </c>
      <c r="Q290">
        <v>2022</v>
      </c>
      <c r="R290" t="s">
        <v>551</v>
      </c>
      <c r="S290" t="s">
        <v>552</v>
      </c>
      <c r="T290" t="s">
        <v>553</v>
      </c>
      <c r="U290" t="b">
        <v>0</v>
      </c>
      <c r="V290" t="s">
        <v>667</v>
      </c>
      <c r="W290" t="s">
        <v>555</v>
      </c>
      <c r="X290" t="s">
        <v>556</v>
      </c>
      <c r="Y290" t="s">
        <v>468</v>
      </c>
      <c r="Z290" t="s">
        <v>527</v>
      </c>
      <c r="AA290" t="s">
        <v>668</v>
      </c>
      <c r="AC290">
        <v>1</v>
      </c>
      <c r="AD290" t="s">
        <v>639</v>
      </c>
      <c r="AE290">
        <v>9472214.1180000007</v>
      </c>
      <c r="AF290">
        <v>0.62162576899999999</v>
      </c>
      <c r="AG290" t="s">
        <v>560</v>
      </c>
      <c r="AH290">
        <v>1</v>
      </c>
      <c r="AI290">
        <v>15237808</v>
      </c>
      <c r="AJ290" t="s">
        <v>561</v>
      </c>
      <c r="AK290" t="s">
        <v>640</v>
      </c>
      <c r="AL290" t="s">
        <v>641</v>
      </c>
      <c r="AM290">
        <v>2022</v>
      </c>
      <c r="AN290">
        <v>2021</v>
      </c>
      <c r="AO290">
        <f>IF(AND(emissions[[#This Row],[Market-based]]=0,emissions[[#This Row],[Impact Type]]="CO2E"),emissions[[#This Row],[kgCO2e]],0)/1000</f>
        <v>0</v>
      </c>
      <c r="AP290">
        <f>IF(AND(emissions[[#This Row],[Market-based]]=1,OR(emissions[[#This Row],[Impact Type]]="CO2E",emissions[[#This Row],[Impact Type]]="CO2E MKT")),emissions[[#This Row],[kgCO2e]],0)/1000</f>
        <v>9472.2141179999999</v>
      </c>
      <c r="AQ290" t="str">
        <f>_xlfn.TEXTAFTER(emissions[[#This Row],[Reporting Unit]]," &gt; ",LEN(emissions[[#This Row],[Reporting Unit]])-LEN(SUBSTITUTE(emissions[[#This Row],[Reporting Unit]],"&gt;","")))</f>
        <v>Vantage_Leuna</v>
      </c>
      <c r="AR290" t="str">
        <f>_xlfn.XLOOKUP(emissions[[#This Row],[Reporting unit name]],hierarchy!$A:$A,hierarchy!$C:$C)</f>
        <v>Office (with heat &amp; steam)</v>
      </c>
    </row>
    <row r="291" spans="1:44" hidden="1" x14ac:dyDescent="0.25">
      <c r="A291">
        <v>255499</v>
      </c>
      <c r="B291" t="s">
        <v>164</v>
      </c>
      <c r="C291" t="s">
        <v>537</v>
      </c>
      <c r="D291" t="s">
        <v>548</v>
      </c>
      <c r="E291" s="3">
        <v>44562</v>
      </c>
      <c r="F291" s="3">
        <v>44926</v>
      </c>
      <c r="G291" t="s">
        <v>108</v>
      </c>
      <c r="H291" s="3">
        <v>44562</v>
      </c>
      <c r="I291" s="3">
        <v>44926</v>
      </c>
      <c r="J291" t="s">
        <v>108</v>
      </c>
      <c r="K291">
        <v>15237808</v>
      </c>
      <c r="L291" t="s">
        <v>109</v>
      </c>
      <c r="M291" t="s">
        <v>110</v>
      </c>
      <c r="O291" t="s">
        <v>666</v>
      </c>
      <c r="P291" t="s">
        <v>550</v>
      </c>
      <c r="Q291">
        <v>2022</v>
      </c>
      <c r="R291" t="s">
        <v>567</v>
      </c>
      <c r="S291" t="s">
        <v>568</v>
      </c>
      <c r="T291" t="s">
        <v>569</v>
      </c>
      <c r="U291" t="b">
        <v>0</v>
      </c>
      <c r="V291" t="s">
        <v>669</v>
      </c>
      <c r="W291" t="s">
        <v>571</v>
      </c>
      <c r="X291" t="s">
        <v>572</v>
      </c>
      <c r="Y291" t="s">
        <v>468</v>
      </c>
      <c r="Z291" t="s">
        <v>527</v>
      </c>
      <c r="AA291" t="s">
        <v>668</v>
      </c>
      <c r="AC291">
        <v>0</v>
      </c>
      <c r="AD291" t="s">
        <v>565</v>
      </c>
      <c r="AE291">
        <v>68206.239199999996</v>
      </c>
      <c r="AF291">
        <v>4.4761189999999998E-3</v>
      </c>
      <c r="AG291" t="s">
        <v>560</v>
      </c>
      <c r="AH291">
        <v>1</v>
      </c>
      <c r="AI291">
        <v>15237808</v>
      </c>
      <c r="AJ291" t="s">
        <v>561</v>
      </c>
      <c r="AK291" t="s">
        <v>573</v>
      </c>
      <c r="AL291" t="s">
        <v>574</v>
      </c>
      <c r="AM291">
        <v>2022</v>
      </c>
      <c r="AN291">
        <v>2020</v>
      </c>
      <c r="AO291">
        <f>IF(AND(emissions[[#This Row],[Market-based]]=0,emissions[[#This Row],[Impact Type]]="CO2E"),emissions[[#This Row],[kgCO2e]],0)/1000</f>
        <v>68.206239199999999</v>
      </c>
      <c r="AP291">
        <f>IF(AND(emissions[[#This Row],[Market-based]]=1,OR(emissions[[#This Row],[Impact Type]]="CO2E",emissions[[#This Row],[Impact Type]]="CO2E MKT")),emissions[[#This Row],[kgCO2e]],0)/1000</f>
        <v>0</v>
      </c>
      <c r="AQ291" t="str">
        <f>_xlfn.TEXTAFTER(emissions[[#This Row],[Reporting Unit]]," &gt; ",LEN(emissions[[#This Row],[Reporting Unit]])-LEN(SUBSTITUTE(emissions[[#This Row],[Reporting Unit]],"&gt;","")))</f>
        <v>Vantage_Leuna</v>
      </c>
      <c r="AR291" t="str">
        <f>_xlfn.XLOOKUP(emissions[[#This Row],[Reporting unit name]],hierarchy!$A:$A,hierarchy!$C:$C)</f>
        <v>Office (with heat &amp; steam)</v>
      </c>
    </row>
    <row r="292" spans="1:44" hidden="1" x14ac:dyDescent="0.25">
      <c r="A292">
        <v>255499</v>
      </c>
      <c r="B292" t="s">
        <v>164</v>
      </c>
      <c r="C292" t="s">
        <v>537</v>
      </c>
      <c r="D292" t="s">
        <v>548</v>
      </c>
      <c r="E292" s="3">
        <v>44562</v>
      </c>
      <c r="F292" s="3">
        <v>44926</v>
      </c>
      <c r="G292" t="s">
        <v>108</v>
      </c>
      <c r="H292" s="3">
        <v>44562</v>
      </c>
      <c r="I292" s="3">
        <v>44926</v>
      </c>
      <c r="J292" t="s">
        <v>108</v>
      </c>
      <c r="K292">
        <v>15237808</v>
      </c>
      <c r="L292" t="s">
        <v>109</v>
      </c>
      <c r="M292" t="s">
        <v>110</v>
      </c>
      <c r="O292" t="s">
        <v>666</v>
      </c>
      <c r="P292" t="s">
        <v>550</v>
      </c>
      <c r="Q292">
        <v>2022</v>
      </c>
      <c r="R292" t="s">
        <v>567</v>
      </c>
      <c r="S292" t="s">
        <v>568</v>
      </c>
      <c r="T292" t="s">
        <v>569</v>
      </c>
      <c r="U292" t="b">
        <v>0</v>
      </c>
      <c r="V292" t="s">
        <v>670</v>
      </c>
      <c r="W292" t="s">
        <v>571</v>
      </c>
      <c r="X292" t="s">
        <v>572</v>
      </c>
      <c r="Y292" t="s">
        <v>468</v>
      </c>
      <c r="Z292" t="s">
        <v>527</v>
      </c>
      <c r="AA292" t="s">
        <v>668</v>
      </c>
      <c r="AC292">
        <v>1</v>
      </c>
      <c r="AD292" t="s">
        <v>639</v>
      </c>
      <c r="AE292">
        <v>19289.374479999999</v>
      </c>
      <c r="AF292">
        <v>1.2658890000000001E-3</v>
      </c>
      <c r="AG292" t="s">
        <v>560</v>
      </c>
      <c r="AH292">
        <v>1</v>
      </c>
      <c r="AI292">
        <v>15237808</v>
      </c>
      <c r="AJ292" t="s">
        <v>561</v>
      </c>
      <c r="AK292" t="s">
        <v>573</v>
      </c>
      <c r="AL292" t="s">
        <v>671</v>
      </c>
      <c r="AM292">
        <v>2022</v>
      </c>
      <c r="AN292">
        <v>2020</v>
      </c>
      <c r="AO292">
        <f>IF(AND(emissions[[#This Row],[Market-based]]=0,emissions[[#This Row],[Impact Type]]="CO2E"),emissions[[#This Row],[kgCO2e]],0)/1000</f>
        <v>0</v>
      </c>
      <c r="AP292">
        <f>IF(AND(emissions[[#This Row],[Market-based]]=1,OR(emissions[[#This Row],[Impact Type]]="CO2E",emissions[[#This Row],[Impact Type]]="CO2E MKT")),emissions[[#This Row],[kgCO2e]],0)/1000</f>
        <v>19.289374479999999</v>
      </c>
      <c r="AQ292" t="str">
        <f>_xlfn.TEXTAFTER(emissions[[#This Row],[Reporting Unit]]," &gt; ",LEN(emissions[[#This Row],[Reporting Unit]])-LEN(SUBSTITUTE(emissions[[#This Row],[Reporting Unit]],"&gt;","")))</f>
        <v>Vantage_Leuna</v>
      </c>
      <c r="AR292" t="str">
        <f>_xlfn.XLOOKUP(emissions[[#This Row],[Reporting unit name]],hierarchy!$A:$A,hierarchy!$C:$C)</f>
        <v>Office (with heat &amp; steam)</v>
      </c>
    </row>
    <row r="293" spans="1:44" hidden="1" x14ac:dyDescent="0.25">
      <c r="A293">
        <v>255499</v>
      </c>
      <c r="B293" t="s">
        <v>164</v>
      </c>
      <c r="C293" t="s">
        <v>537</v>
      </c>
      <c r="D293" t="s">
        <v>548</v>
      </c>
      <c r="E293" s="3">
        <v>44562</v>
      </c>
      <c r="F293" s="3">
        <v>44926</v>
      </c>
      <c r="G293" t="s">
        <v>108</v>
      </c>
      <c r="H293" s="3">
        <v>44562</v>
      </c>
      <c r="I293" s="3">
        <v>44926</v>
      </c>
      <c r="J293" t="s">
        <v>108</v>
      </c>
      <c r="K293">
        <v>15237808</v>
      </c>
      <c r="L293" t="s">
        <v>109</v>
      </c>
      <c r="M293" t="s">
        <v>110</v>
      </c>
      <c r="O293" t="s">
        <v>666</v>
      </c>
      <c r="P293" t="s">
        <v>550</v>
      </c>
      <c r="Q293">
        <v>2022</v>
      </c>
      <c r="R293" t="s">
        <v>575</v>
      </c>
      <c r="S293" t="s">
        <v>576</v>
      </c>
      <c r="T293" t="s">
        <v>577</v>
      </c>
      <c r="U293" t="b">
        <v>0</v>
      </c>
      <c r="V293" t="s">
        <v>672</v>
      </c>
      <c r="W293" t="s">
        <v>571</v>
      </c>
      <c r="X293" t="s">
        <v>572</v>
      </c>
      <c r="Y293" t="s">
        <v>468</v>
      </c>
      <c r="Z293" t="s">
        <v>527</v>
      </c>
      <c r="AA293" t="s">
        <v>668</v>
      </c>
      <c r="AC293">
        <v>0</v>
      </c>
      <c r="AD293" t="s">
        <v>565</v>
      </c>
      <c r="AE293">
        <v>1423745.622</v>
      </c>
      <c r="AF293">
        <v>9.3435067999999996E-2</v>
      </c>
      <c r="AG293" t="s">
        <v>560</v>
      </c>
      <c r="AH293">
        <v>1</v>
      </c>
      <c r="AI293">
        <v>15237808</v>
      </c>
      <c r="AJ293" t="s">
        <v>561</v>
      </c>
      <c r="AK293" t="s">
        <v>573</v>
      </c>
      <c r="AL293" t="s">
        <v>574</v>
      </c>
      <c r="AM293">
        <v>2022</v>
      </c>
      <c r="AN293">
        <v>2020</v>
      </c>
      <c r="AO293">
        <f>IF(AND(emissions[[#This Row],[Market-based]]=0,emissions[[#This Row],[Impact Type]]="CO2E"),emissions[[#This Row],[kgCO2e]],0)/1000</f>
        <v>1423.7456219999999</v>
      </c>
      <c r="AP293">
        <f>IF(AND(emissions[[#This Row],[Market-based]]=1,OR(emissions[[#This Row],[Impact Type]]="CO2E",emissions[[#This Row],[Impact Type]]="CO2E MKT")),emissions[[#This Row],[kgCO2e]],0)/1000</f>
        <v>0</v>
      </c>
      <c r="AQ293" t="str">
        <f>_xlfn.TEXTAFTER(emissions[[#This Row],[Reporting Unit]]," &gt; ",LEN(emissions[[#This Row],[Reporting Unit]])-LEN(SUBSTITUTE(emissions[[#This Row],[Reporting Unit]],"&gt;","")))</f>
        <v>Vantage_Leuna</v>
      </c>
      <c r="AR293" t="str">
        <f>_xlfn.XLOOKUP(emissions[[#This Row],[Reporting unit name]],hierarchy!$A:$A,hierarchy!$C:$C)</f>
        <v>Office (with heat &amp; steam)</v>
      </c>
    </row>
    <row r="294" spans="1:44" hidden="1" x14ac:dyDescent="0.25">
      <c r="A294">
        <v>255499</v>
      </c>
      <c r="B294" t="s">
        <v>164</v>
      </c>
      <c r="C294" t="s">
        <v>537</v>
      </c>
      <c r="D294" t="s">
        <v>548</v>
      </c>
      <c r="E294" s="3">
        <v>44562</v>
      </c>
      <c r="F294" s="3">
        <v>44926</v>
      </c>
      <c r="G294" t="s">
        <v>108</v>
      </c>
      <c r="H294" s="3">
        <v>44562</v>
      </c>
      <c r="I294" s="3">
        <v>44926</v>
      </c>
      <c r="J294" t="s">
        <v>108</v>
      </c>
      <c r="K294">
        <v>15237808</v>
      </c>
      <c r="L294" t="s">
        <v>109</v>
      </c>
      <c r="M294" t="s">
        <v>110</v>
      </c>
      <c r="O294" t="s">
        <v>666</v>
      </c>
      <c r="P294" t="s">
        <v>550</v>
      </c>
      <c r="Q294">
        <v>2022</v>
      </c>
      <c r="R294" t="s">
        <v>575</v>
      </c>
      <c r="S294" t="s">
        <v>576</v>
      </c>
      <c r="T294" t="s">
        <v>577</v>
      </c>
      <c r="U294" t="b">
        <v>0</v>
      </c>
      <c r="V294" t="s">
        <v>673</v>
      </c>
      <c r="W294" t="s">
        <v>571</v>
      </c>
      <c r="X294" t="s">
        <v>572</v>
      </c>
      <c r="Y294" t="s">
        <v>468</v>
      </c>
      <c r="Z294" t="s">
        <v>527</v>
      </c>
      <c r="AA294" t="s">
        <v>668</v>
      </c>
      <c r="AC294">
        <v>1</v>
      </c>
      <c r="AD294" t="s">
        <v>639</v>
      </c>
      <c r="AE294">
        <v>2824824.93</v>
      </c>
      <c r="AF294">
        <v>0.18538263099999999</v>
      </c>
      <c r="AG294" t="s">
        <v>560</v>
      </c>
      <c r="AH294">
        <v>1</v>
      </c>
      <c r="AI294">
        <v>15237808</v>
      </c>
      <c r="AJ294" t="s">
        <v>561</v>
      </c>
      <c r="AK294" t="s">
        <v>573</v>
      </c>
      <c r="AL294" t="s">
        <v>674</v>
      </c>
      <c r="AM294">
        <v>2022</v>
      </c>
      <c r="AN294">
        <v>2020</v>
      </c>
      <c r="AO294">
        <f>IF(AND(emissions[[#This Row],[Market-based]]=0,emissions[[#This Row],[Impact Type]]="CO2E"),emissions[[#This Row],[kgCO2e]],0)/1000</f>
        <v>0</v>
      </c>
      <c r="AP294">
        <f>IF(AND(emissions[[#This Row],[Market-based]]=1,OR(emissions[[#This Row],[Impact Type]]="CO2E",emissions[[#This Row],[Impact Type]]="CO2E MKT")),emissions[[#This Row],[kgCO2e]],0)/1000</f>
        <v>2824.8249300000002</v>
      </c>
      <c r="AQ294" t="str">
        <f>_xlfn.TEXTAFTER(emissions[[#This Row],[Reporting Unit]]," &gt; ",LEN(emissions[[#This Row],[Reporting Unit]])-LEN(SUBSTITUTE(emissions[[#This Row],[Reporting Unit]],"&gt;","")))</f>
        <v>Vantage_Leuna</v>
      </c>
      <c r="AR294" t="str">
        <f>_xlfn.XLOOKUP(emissions[[#This Row],[Reporting unit name]],hierarchy!$A:$A,hierarchy!$C:$C)</f>
        <v>Office (with heat &amp; steam)</v>
      </c>
    </row>
    <row r="295" spans="1:44" hidden="1" x14ac:dyDescent="0.25">
      <c r="A295">
        <v>255499</v>
      </c>
      <c r="B295" t="s">
        <v>164</v>
      </c>
      <c r="C295" t="s">
        <v>537</v>
      </c>
      <c r="D295" t="s">
        <v>548</v>
      </c>
      <c r="E295" s="3">
        <v>44562</v>
      </c>
      <c r="F295" s="3">
        <v>44926</v>
      </c>
      <c r="G295" t="s">
        <v>108</v>
      </c>
      <c r="H295" s="3">
        <v>44562</v>
      </c>
      <c r="I295" s="3">
        <v>44926</v>
      </c>
      <c r="J295" t="s">
        <v>108</v>
      </c>
      <c r="K295">
        <v>15237808</v>
      </c>
      <c r="L295" t="s">
        <v>109</v>
      </c>
      <c r="M295" t="s">
        <v>110</v>
      </c>
      <c r="O295" t="s">
        <v>666</v>
      </c>
      <c r="P295" t="s">
        <v>550</v>
      </c>
      <c r="Q295">
        <v>2022</v>
      </c>
      <c r="R295" t="s">
        <v>579</v>
      </c>
      <c r="S295" t="s">
        <v>580</v>
      </c>
      <c r="T295" t="s">
        <v>581</v>
      </c>
      <c r="U295" t="b">
        <v>0</v>
      </c>
      <c r="V295" t="s">
        <v>675</v>
      </c>
      <c r="W295" t="s">
        <v>571</v>
      </c>
      <c r="X295" t="s">
        <v>572</v>
      </c>
      <c r="Y295" t="s">
        <v>468</v>
      </c>
      <c r="Z295" t="s">
        <v>527</v>
      </c>
      <c r="AA295" t="s">
        <v>668</v>
      </c>
      <c r="AC295">
        <v>0</v>
      </c>
      <c r="AD295" t="s">
        <v>565</v>
      </c>
      <c r="AE295">
        <v>217900.6544</v>
      </c>
      <c r="AF295" t="s">
        <v>559</v>
      </c>
      <c r="AG295" t="s">
        <v>560</v>
      </c>
      <c r="AH295">
        <v>1</v>
      </c>
      <c r="AI295">
        <v>15237808</v>
      </c>
      <c r="AJ295" t="s">
        <v>561</v>
      </c>
      <c r="AK295" t="s">
        <v>562</v>
      </c>
      <c r="AL295" t="s">
        <v>563</v>
      </c>
      <c r="AM295">
        <v>2022</v>
      </c>
      <c r="AN295">
        <v>2020</v>
      </c>
      <c r="AO295">
        <f>IF(AND(emissions[[#This Row],[Market-based]]=0,emissions[[#This Row],[Impact Type]]="CO2E"),emissions[[#This Row],[kgCO2e]],0)/1000</f>
        <v>217.90065440000001</v>
      </c>
      <c r="AP295">
        <f>IF(AND(emissions[[#This Row],[Market-based]]=1,OR(emissions[[#This Row],[Impact Type]]="CO2E",emissions[[#This Row],[Impact Type]]="CO2E MKT")),emissions[[#This Row],[kgCO2e]],0)/1000</f>
        <v>0</v>
      </c>
      <c r="AQ295" t="str">
        <f>_xlfn.TEXTAFTER(emissions[[#This Row],[Reporting Unit]]," &gt; ",LEN(emissions[[#This Row],[Reporting Unit]])-LEN(SUBSTITUTE(emissions[[#This Row],[Reporting Unit]],"&gt;","")))</f>
        <v>Vantage_Leuna</v>
      </c>
      <c r="AR295" t="str">
        <f>_xlfn.XLOOKUP(emissions[[#This Row],[Reporting unit name]],hierarchy!$A:$A,hierarchy!$C:$C)</f>
        <v>Office (with heat &amp; steam)</v>
      </c>
    </row>
    <row r="296" spans="1:44" hidden="1" x14ac:dyDescent="0.25">
      <c r="A296">
        <v>255499</v>
      </c>
      <c r="B296" t="s">
        <v>164</v>
      </c>
      <c r="C296" t="s">
        <v>537</v>
      </c>
      <c r="D296" t="s">
        <v>548</v>
      </c>
      <c r="E296" s="3">
        <v>44562</v>
      </c>
      <c r="F296" s="3">
        <v>44926</v>
      </c>
      <c r="G296" t="s">
        <v>108</v>
      </c>
      <c r="H296" s="3">
        <v>44562</v>
      </c>
      <c r="I296" s="3">
        <v>44926</v>
      </c>
      <c r="J296" t="s">
        <v>108</v>
      </c>
      <c r="K296">
        <v>15237808</v>
      </c>
      <c r="L296" t="s">
        <v>109</v>
      </c>
      <c r="M296" t="s">
        <v>110</v>
      </c>
      <c r="O296" t="s">
        <v>666</v>
      </c>
      <c r="P296" t="s">
        <v>550</v>
      </c>
      <c r="Q296">
        <v>2022</v>
      </c>
      <c r="R296" t="s">
        <v>579</v>
      </c>
      <c r="S296" t="s">
        <v>580</v>
      </c>
      <c r="T296" t="s">
        <v>581</v>
      </c>
      <c r="U296" t="b">
        <v>0</v>
      </c>
      <c r="V296" t="s">
        <v>676</v>
      </c>
      <c r="W296" t="s">
        <v>571</v>
      </c>
      <c r="X296" t="s">
        <v>572</v>
      </c>
      <c r="Y296" t="s">
        <v>468</v>
      </c>
      <c r="Z296" t="s">
        <v>527</v>
      </c>
      <c r="AA296" t="s">
        <v>668</v>
      </c>
      <c r="AC296">
        <v>1</v>
      </c>
      <c r="AD296" t="s">
        <v>639</v>
      </c>
      <c r="AE296">
        <v>417226.66489999997</v>
      </c>
      <c r="AF296">
        <v>2.7381016000000001E-2</v>
      </c>
      <c r="AG296" t="s">
        <v>560</v>
      </c>
      <c r="AH296">
        <v>1</v>
      </c>
      <c r="AI296">
        <v>15237808</v>
      </c>
      <c r="AJ296" t="s">
        <v>561</v>
      </c>
      <c r="AK296" t="s">
        <v>573</v>
      </c>
      <c r="AL296" t="s">
        <v>677</v>
      </c>
      <c r="AM296">
        <v>2022</v>
      </c>
      <c r="AN296">
        <v>2020</v>
      </c>
      <c r="AO296">
        <f>IF(AND(emissions[[#This Row],[Market-based]]=0,emissions[[#This Row],[Impact Type]]="CO2E"),emissions[[#This Row],[kgCO2e]],0)/1000</f>
        <v>0</v>
      </c>
      <c r="AP296">
        <f>IF(AND(emissions[[#This Row],[Market-based]]=1,OR(emissions[[#This Row],[Impact Type]]="CO2E",emissions[[#This Row],[Impact Type]]="CO2E MKT")),emissions[[#This Row],[kgCO2e]],0)/1000</f>
        <v>417.22666489999995</v>
      </c>
      <c r="AQ296" t="str">
        <f>_xlfn.TEXTAFTER(emissions[[#This Row],[Reporting Unit]]," &gt; ",LEN(emissions[[#This Row],[Reporting Unit]])-LEN(SUBSTITUTE(emissions[[#This Row],[Reporting Unit]],"&gt;","")))</f>
        <v>Vantage_Leuna</v>
      </c>
      <c r="AR296" t="str">
        <f>_xlfn.XLOOKUP(emissions[[#This Row],[Reporting unit name]],hierarchy!$A:$A,hierarchy!$C:$C)</f>
        <v>Office (with heat &amp; steam)</v>
      </c>
    </row>
    <row r="297" spans="1:44" hidden="1" x14ac:dyDescent="0.25">
      <c r="A297">
        <v>255501</v>
      </c>
      <c r="B297" t="s">
        <v>164</v>
      </c>
      <c r="C297" t="s">
        <v>537</v>
      </c>
      <c r="D297" t="s">
        <v>548</v>
      </c>
      <c r="E297" s="3">
        <v>44562</v>
      </c>
      <c r="F297" s="3">
        <v>44926</v>
      </c>
      <c r="G297" t="s">
        <v>135</v>
      </c>
      <c r="H297" s="3">
        <v>44562</v>
      </c>
      <c r="I297" s="3">
        <v>44926</v>
      </c>
      <c r="J297" t="s">
        <v>135</v>
      </c>
      <c r="K297">
        <v>333</v>
      </c>
      <c r="L297" t="s">
        <v>109</v>
      </c>
      <c r="M297" t="s">
        <v>110</v>
      </c>
      <c r="O297" t="s">
        <v>678</v>
      </c>
      <c r="P297" t="s">
        <v>550</v>
      </c>
      <c r="Q297">
        <v>2022</v>
      </c>
      <c r="R297" t="s">
        <v>605</v>
      </c>
      <c r="S297" t="s">
        <v>606</v>
      </c>
      <c r="T297" t="s">
        <v>553</v>
      </c>
      <c r="U297" t="b">
        <v>0</v>
      </c>
      <c r="V297" t="s">
        <v>607</v>
      </c>
      <c r="W297" t="s">
        <v>587</v>
      </c>
      <c r="X297" t="s">
        <v>556</v>
      </c>
      <c r="Y297" t="s">
        <v>468</v>
      </c>
      <c r="AC297">
        <v>0</v>
      </c>
      <c r="AD297" t="s">
        <v>558</v>
      </c>
      <c r="AE297">
        <v>8.3250000000000005E-2</v>
      </c>
      <c r="AF297">
        <v>2.5000000000000001E-4</v>
      </c>
      <c r="AG297" t="s">
        <v>608</v>
      </c>
      <c r="AH297">
        <v>1</v>
      </c>
      <c r="AI297">
        <v>333</v>
      </c>
      <c r="AJ297" t="s">
        <v>561</v>
      </c>
      <c r="AK297" t="s">
        <v>589</v>
      </c>
      <c r="AL297" t="s">
        <v>590</v>
      </c>
      <c r="AM297">
        <v>2022</v>
      </c>
      <c r="AN297">
        <v>2020</v>
      </c>
      <c r="AO297">
        <f>IF(AND(emissions[[#This Row],[Market-based]]=0,emissions[[#This Row],[Impact Type]]="CO2E"),emissions[[#This Row],[kgCO2e]],0)/1000</f>
        <v>0</v>
      </c>
      <c r="AP297">
        <f>IF(AND(emissions[[#This Row],[Market-based]]=1,OR(emissions[[#This Row],[Impact Type]]="CO2E",emissions[[#This Row],[Impact Type]]="CO2E MKT")),emissions[[#This Row],[kgCO2e]],0)/1000</f>
        <v>0</v>
      </c>
      <c r="AQ297" t="str">
        <f>_xlfn.TEXTAFTER(emissions[[#This Row],[Reporting Unit]]," &gt; ",LEN(emissions[[#This Row],[Reporting Unit]])-LEN(SUBSTITUTE(emissions[[#This Row],[Reporting Unit]],"&gt;","")))</f>
        <v>Vantage_Leuna</v>
      </c>
      <c r="AR297" t="str">
        <f>_xlfn.XLOOKUP(emissions[[#This Row],[Reporting unit name]],hierarchy!$A:$A,hierarchy!$C:$C)</f>
        <v>Office (with heat &amp; steam)</v>
      </c>
    </row>
    <row r="298" spans="1:44" hidden="1" x14ac:dyDescent="0.25">
      <c r="A298">
        <v>255501</v>
      </c>
      <c r="B298" t="s">
        <v>164</v>
      </c>
      <c r="C298" t="s">
        <v>537</v>
      </c>
      <c r="D298" t="s">
        <v>548</v>
      </c>
      <c r="E298" s="3">
        <v>44562</v>
      </c>
      <c r="F298" s="3">
        <v>44926</v>
      </c>
      <c r="G298" t="s">
        <v>135</v>
      </c>
      <c r="H298" s="3">
        <v>44562</v>
      </c>
      <c r="I298" s="3">
        <v>44926</v>
      </c>
      <c r="J298" t="s">
        <v>135</v>
      </c>
      <c r="K298">
        <v>333</v>
      </c>
      <c r="L298" t="s">
        <v>109</v>
      </c>
      <c r="M298" t="s">
        <v>110</v>
      </c>
      <c r="O298" t="s">
        <v>678</v>
      </c>
      <c r="P298" t="s">
        <v>550</v>
      </c>
      <c r="Q298">
        <v>2022</v>
      </c>
      <c r="R298" t="s">
        <v>605</v>
      </c>
      <c r="S298" t="s">
        <v>606</v>
      </c>
      <c r="T298" t="s">
        <v>553</v>
      </c>
      <c r="U298" t="b">
        <v>0</v>
      </c>
      <c r="V298" t="s">
        <v>607</v>
      </c>
      <c r="W298" t="s">
        <v>587</v>
      </c>
      <c r="X298" t="s">
        <v>556</v>
      </c>
      <c r="Y298" t="s">
        <v>468</v>
      </c>
      <c r="AC298">
        <v>0</v>
      </c>
      <c r="AD298" t="s">
        <v>564</v>
      </c>
      <c r="AE298">
        <v>60.669269999999997</v>
      </c>
      <c r="AF298">
        <v>0.18218999999999999</v>
      </c>
      <c r="AG298" t="s">
        <v>608</v>
      </c>
      <c r="AH298">
        <v>1</v>
      </c>
      <c r="AI298">
        <v>333</v>
      </c>
      <c r="AJ298" t="s">
        <v>561</v>
      </c>
      <c r="AK298" t="s">
        <v>589</v>
      </c>
      <c r="AL298" t="s">
        <v>590</v>
      </c>
      <c r="AM298">
        <v>2022</v>
      </c>
      <c r="AN298">
        <v>2020</v>
      </c>
      <c r="AO298">
        <f>IF(AND(emissions[[#This Row],[Market-based]]=0,emissions[[#This Row],[Impact Type]]="CO2E"),emissions[[#This Row],[kgCO2e]],0)/1000</f>
        <v>0</v>
      </c>
      <c r="AP298">
        <f>IF(AND(emissions[[#This Row],[Market-based]]=1,OR(emissions[[#This Row],[Impact Type]]="CO2E",emissions[[#This Row],[Impact Type]]="CO2E MKT")),emissions[[#This Row],[kgCO2e]],0)/1000</f>
        <v>0</v>
      </c>
      <c r="AQ298" t="str">
        <f>_xlfn.TEXTAFTER(emissions[[#This Row],[Reporting Unit]]," &gt; ",LEN(emissions[[#This Row],[Reporting Unit]])-LEN(SUBSTITUTE(emissions[[#This Row],[Reporting Unit]],"&gt;","")))</f>
        <v>Vantage_Leuna</v>
      </c>
      <c r="AR298" t="str">
        <f>_xlfn.XLOOKUP(emissions[[#This Row],[Reporting unit name]],hierarchy!$A:$A,hierarchy!$C:$C)</f>
        <v>Office (with heat &amp; steam)</v>
      </c>
    </row>
    <row r="299" spans="1:44" hidden="1" x14ac:dyDescent="0.25">
      <c r="A299">
        <v>255501</v>
      </c>
      <c r="B299" t="s">
        <v>164</v>
      </c>
      <c r="C299" t="s">
        <v>537</v>
      </c>
      <c r="D299" t="s">
        <v>548</v>
      </c>
      <c r="E299" s="3">
        <v>44562</v>
      </c>
      <c r="F299" s="3">
        <v>44926</v>
      </c>
      <c r="G299" t="s">
        <v>135</v>
      </c>
      <c r="H299" s="3">
        <v>44562</v>
      </c>
      <c r="I299" s="3">
        <v>44926</v>
      </c>
      <c r="J299" t="s">
        <v>135</v>
      </c>
      <c r="K299">
        <v>333</v>
      </c>
      <c r="L299" t="s">
        <v>109</v>
      </c>
      <c r="M299" t="s">
        <v>110</v>
      </c>
      <c r="O299" t="s">
        <v>678</v>
      </c>
      <c r="P299" t="s">
        <v>550</v>
      </c>
      <c r="Q299">
        <v>2022</v>
      </c>
      <c r="R299" t="s">
        <v>605</v>
      </c>
      <c r="S299" t="s">
        <v>606</v>
      </c>
      <c r="T299" t="s">
        <v>553</v>
      </c>
      <c r="U299" t="b">
        <v>0</v>
      </c>
      <c r="V299" t="s">
        <v>607</v>
      </c>
      <c r="W299" t="s">
        <v>587</v>
      </c>
      <c r="X299" t="s">
        <v>556</v>
      </c>
      <c r="Y299" t="s">
        <v>468</v>
      </c>
      <c r="AC299">
        <v>0</v>
      </c>
      <c r="AD299" t="s">
        <v>565</v>
      </c>
      <c r="AE299">
        <v>60.785820000000001</v>
      </c>
      <c r="AF299">
        <v>0.18254000000000001</v>
      </c>
      <c r="AG299" t="s">
        <v>608</v>
      </c>
      <c r="AH299">
        <v>1</v>
      </c>
      <c r="AI299">
        <v>333</v>
      </c>
      <c r="AJ299" t="s">
        <v>561</v>
      </c>
      <c r="AK299" t="s">
        <v>589</v>
      </c>
      <c r="AL299" t="s">
        <v>590</v>
      </c>
      <c r="AM299">
        <v>2022</v>
      </c>
      <c r="AN299">
        <v>2020</v>
      </c>
      <c r="AO299">
        <f>IF(AND(emissions[[#This Row],[Market-based]]=0,emissions[[#This Row],[Impact Type]]="CO2E"),emissions[[#This Row],[kgCO2e]],0)/1000</f>
        <v>6.0785820000000004E-2</v>
      </c>
      <c r="AP299">
        <f>IF(AND(emissions[[#This Row],[Market-based]]=1,OR(emissions[[#This Row],[Impact Type]]="CO2E",emissions[[#This Row],[Impact Type]]="CO2E MKT")),emissions[[#This Row],[kgCO2e]],0)/1000</f>
        <v>0</v>
      </c>
      <c r="AQ299" t="str">
        <f>_xlfn.TEXTAFTER(emissions[[#This Row],[Reporting Unit]]," &gt; ",LEN(emissions[[#This Row],[Reporting Unit]])-LEN(SUBSTITUTE(emissions[[#This Row],[Reporting Unit]],"&gt;","")))</f>
        <v>Vantage_Leuna</v>
      </c>
      <c r="AR299" t="str">
        <f>_xlfn.XLOOKUP(emissions[[#This Row],[Reporting unit name]],hierarchy!$A:$A,hierarchy!$C:$C)</f>
        <v>Office (with heat &amp; steam)</v>
      </c>
    </row>
    <row r="300" spans="1:44" hidden="1" x14ac:dyDescent="0.25">
      <c r="A300">
        <v>255501</v>
      </c>
      <c r="B300" t="s">
        <v>164</v>
      </c>
      <c r="C300" t="s">
        <v>537</v>
      </c>
      <c r="D300" t="s">
        <v>548</v>
      </c>
      <c r="E300" s="3">
        <v>44562</v>
      </c>
      <c r="F300" s="3">
        <v>44926</v>
      </c>
      <c r="G300" t="s">
        <v>135</v>
      </c>
      <c r="H300" s="3">
        <v>44562</v>
      </c>
      <c r="I300" s="3">
        <v>44926</v>
      </c>
      <c r="J300" t="s">
        <v>135</v>
      </c>
      <c r="K300">
        <v>333</v>
      </c>
      <c r="L300" t="s">
        <v>109</v>
      </c>
      <c r="M300" t="s">
        <v>110</v>
      </c>
      <c r="O300" t="s">
        <v>678</v>
      </c>
      <c r="P300" t="s">
        <v>550</v>
      </c>
      <c r="Q300">
        <v>2022</v>
      </c>
      <c r="R300" t="s">
        <v>605</v>
      </c>
      <c r="S300" t="s">
        <v>606</v>
      </c>
      <c r="T300" t="s">
        <v>553</v>
      </c>
      <c r="U300" t="b">
        <v>0</v>
      </c>
      <c r="V300" t="s">
        <v>607</v>
      </c>
      <c r="W300" t="s">
        <v>587</v>
      </c>
      <c r="X300" t="s">
        <v>556</v>
      </c>
      <c r="Y300" t="s">
        <v>468</v>
      </c>
      <c r="AC300">
        <v>0</v>
      </c>
      <c r="AD300" t="s">
        <v>566</v>
      </c>
      <c r="AE300">
        <v>3.3300000000000003E-2</v>
      </c>
      <c r="AF300">
        <v>1E-4</v>
      </c>
      <c r="AG300" t="s">
        <v>608</v>
      </c>
      <c r="AH300">
        <v>1</v>
      </c>
      <c r="AI300">
        <v>333</v>
      </c>
      <c r="AJ300" t="s">
        <v>561</v>
      </c>
      <c r="AK300" t="s">
        <v>589</v>
      </c>
      <c r="AL300" t="s">
        <v>590</v>
      </c>
      <c r="AM300">
        <v>2022</v>
      </c>
      <c r="AN300">
        <v>2020</v>
      </c>
      <c r="AO300">
        <f>IF(AND(emissions[[#This Row],[Market-based]]=0,emissions[[#This Row],[Impact Type]]="CO2E"),emissions[[#This Row],[kgCO2e]],0)/1000</f>
        <v>0</v>
      </c>
      <c r="AP300">
        <f>IF(AND(emissions[[#This Row],[Market-based]]=1,OR(emissions[[#This Row],[Impact Type]]="CO2E",emissions[[#This Row],[Impact Type]]="CO2E MKT")),emissions[[#This Row],[kgCO2e]],0)/1000</f>
        <v>0</v>
      </c>
      <c r="AQ300" t="str">
        <f>_xlfn.TEXTAFTER(emissions[[#This Row],[Reporting Unit]]," &gt; ",LEN(emissions[[#This Row],[Reporting Unit]])-LEN(SUBSTITUTE(emissions[[#This Row],[Reporting Unit]],"&gt;","")))</f>
        <v>Vantage_Leuna</v>
      </c>
      <c r="AR300" t="str">
        <f>_xlfn.XLOOKUP(emissions[[#This Row],[Reporting unit name]],hierarchy!$A:$A,hierarchy!$C:$C)</f>
        <v>Office (with heat &amp; steam)</v>
      </c>
    </row>
    <row r="301" spans="1:44" hidden="1" x14ac:dyDescent="0.25">
      <c r="A301">
        <v>255501</v>
      </c>
      <c r="B301" t="s">
        <v>164</v>
      </c>
      <c r="C301" t="s">
        <v>537</v>
      </c>
      <c r="D301" t="s">
        <v>548</v>
      </c>
      <c r="E301" s="3">
        <v>44562</v>
      </c>
      <c r="F301" s="3">
        <v>44926</v>
      </c>
      <c r="G301" t="s">
        <v>135</v>
      </c>
      <c r="H301" s="3">
        <v>44562</v>
      </c>
      <c r="I301" s="3">
        <v>44926</v>
      </c>
      <c r="J301" t="s">
        <v>135</v>
      </c>
      <c r="K301">
        <v>333</v>
      </c>
      <c r="L301" t="s">
        <v>109</v>
      </c>
      <c r="M301" t="s">
        <v>110</v>
      </c>
      <c r="O301" t="s">
        <v>678</v>
      </c>
      <c r="P301" t="s">
        <v>550</v>
      </c>
      <c r="Q301">
        <v>2022</v>
      </c>
      <c r="R301" t="s">
        <v>605</v>
      </c>
      <c r="S301" t="s">
        <v>606</v>
      </c>
      <c r="T301" t="s">
        <v>553</v>
      </c>
      <c r="U301" t="b">
        <v>0</v>
      </c>
      <c r="V301" t="s">
        <v>607</v>
      </c>
      <c r="W301" t="s">
        <v>587</v>
      </c>
      <c r="X301" t="s">
        <v>556</v>
      </c>
      <c r="Y301" t="s">
        <v>468</v>
      </c>
      <c r="AC301">
        <v>1</v>
      </c>
      <c r="AD301" t="s">
        <v>558</v>
      </c>
      <c r="AE301">
        <v>8.3250000000000005E-2</v>
      </c>
      <c r="AF301">
        <v>2.5000000000000001E-4</v>
      </c>
      <c r="AG301" t="s">
        <v>608</v>
      </c>
      <c r="AH301">
        <v>1</v>
      </c>
      <c r="AI301">
        <v>333</v>
      </c>
      <c r="AJ301" t="s">
        <v>561</v>
      </c>
      <c r="AK301" t="s">
        <v>589</v>
      </c>
      <c r="AL301" t="s">
        <v>590</v>
      </c>
      <c r="AM301">
        <v>2022</v>
      </c>
      <c r="AN301">
        <v>2020</v>
      </c>
      <c r="AO301">
        <f>IF(AND(emissions[[#This Row],[Market-based]]=0,emissions[[#This Row],[Impact Type]]="CO2E"),emissions[[#This Row],[kgCO2e]],0)/1000</f>
        <v>0</v>
      </c>
      <c r="AP301">
        <f>IF(AND(emissions[[#This Row],[Market-based]]=1,OR(emissions[[#This Row],[Impact Type]]="CO2E",emissions[[#This Row],[Impact Type]]="CO2E MKT")),emissions[[#This Row],[kgCO2e]],0)/1000</f>
        <v>0</v>
      </c>
      <c r="AQ301" t="str">
        <f>_xlfn.TEXTAFTER(emissions[[#This Row],[Reporting Unit]]," &gt; ",LEN(emissions[[#This Row],[Reporting Unit]])-LEN(SUBSTITUTE(emissions[[#This Row],[Reporting Unit]],"&gt;","")))</f>
        <v>Vantage_Leuna</v>
      </c>
      <c r="AR301" t="str">
        <f>_xlfn.XLOOKUP(emissions[[#This Row],[Reporting unit name]],hierarchy!$A:$A,hierarchy!$C:$C)</f>
        <v>Office (with heat &amp; steam)</v>
      </c>
    </row>
    <row r="302" spans="1:44" hidden="1" x14ac:dyDescent="0.25">
      <c r="A302">
        <v>255501</v>
      </c>
      <c r="B302" t="s">
        <v>164</v>
      </c>
      <c r="C302" t="s">
        <v>537</v>
      </c>
      <c r="D302" t="s">
        <v>548</v>
      </c>
      <c r="E302" s="3">
        <v>44562</v>
      </c>
      <c r="F302" s="3">
        <v>44926</v>
      </c>
      <c r="G302" t="s">
        <v>135</v>
      </c>
      <c r="H302" s="3">
        <v>44562</v>
      </c>
      <c r="I302" s="3">
        <v>44926</v>
      </c>
      <c r="J302" t="s">
        <v>135</v>
      </c>
      <c r="K302">
        <v>333</v>
      </c>
      <c r="L302" t="s">
        <v>109</v>
      </c>
      <c r="M302" t="s">
        <v>110</v>
      </c>
      <c r="O302" t="s">
        <v>678</v>
      </c>
      <c r="P302" t="s">
        <v>550</v>
      </c>
      <c r="Q302">
        <v>2022</v>
      </c>
      <c r="R302" t="s">
        <v>605</v>
      </c>
      <c r="S302" t="s">
        <v>606</v>
      </c>
      <c r="T302" t="s">
        <v>553</v>
      </c>
      <c r="U302" t="b">
        <v>0</v>
      </c>
      <c r="V302" t="s">
        <v>607</v>
      </c>
      <c r="W302" t="s">
        <v>587</v>
      </c>
      <c r="X302" t="s">
        <v>556</v>
      </c>
      <c r="Y302" t="s">
        <v>468</v>
      </c>
      <c r="AC302">
        <v>1</v>
      </c>
      <c r="AD302" t="s">
        <v>564</v>
      </c>
      <c r="AE302">
        <v>60.669269999999997</v>
      </c>
      <c r="AF302">
        <v>0.18218999999999999</v>
      </c>
      <c r="AG302" t="s">
        <v>608</v>
      </c>
      <c r="AH302">
        <v>1</v>
      </c>
      <c r="AI302">
        <v>333</v>
      </c>
      <c r="AJ302" t="s">
        <v>561</v>
      </c>
      <c r="AK302" t="s">
        <v>589</v>
      </c>
      <c r="AL302" t="s">
        <v>590</v>
      </c>
      <c r="AM302">
        <v>2022</v>
      </c>
      <c r="AN302">
        <v>2020</v>
      </c>
      <c r="AO302">
        <f>IF(AND(emissions[[#This Row],[Market-based]]=0,emissions[[#This Row],[Impact Type]]="CO2E"),emissions[[#This Row],[kgCO2e]],0)/1000</f>
        <v>0</v>
      </c>
      <c r="AP302">
        <f>IF(AND(emissions[[#This Row],[Market-based]]=1,OR(emissions[[#This Row],[Impact Type]]="CO2E",emissions[[#This Row],[Impact Type]]="CO2E MKT")),emissions[[#This Row],[kgCO2e]],0)/1000</f>
        <v>0</v>
      </c>
      <c r="AQ302" t="str">
        <f>_xlfn.TEXTAFTER(emissions[[#This Row],[Reporting Unit]]," &gt; ",LEN(emissions[[#This Row],[Reporting Unit]])-LEN(SUBSTITUTE(emissions[[#This Row],[Reporting Unit]],"&gt;","")))</f>
        <v>Vantage_Leuna</v>
      </c>
      <c r="AR302" t="str">
        <f>_xlfn.XLOOKUP(emissions[[#This Row],[Reporting unit name]],hierarchy!$A:$A,hierarchy!$C:$C)</f>
        <v>Office (with heat &amp; steam)</v>
      </c>
    </row>
    <row r="303" spans="1:44" hidden="1" x14ac:dyDescent="0.25">
      <c r="A303">
        <v>255501</v>
      </c>
      <c r="B303" t="s">
        <v>164</v>
      </c>
      <c r="C303" t="s">
        <v>537</v>
      </c>
      <c r="D303" t="s">
        <v>548</v>
      </c>
      <c r="E303" s="3">
        <v>44562</v>
      </c>
      <c r="F303" s="3">
        <v>44926</v>
      </c>
      <c r="G303" t="s">
        <v>135</v>
      </c>
      <c r="H303" s="3">
        <v>44562</v>
      </c>
      <c r="I303" s="3">
        <v>44926</v>
      </c>
      <c r="J303" t="s">
        <v>135</v>
      </c>
      <c r="K303">
        <v>333</v>
      </c>
      <c r="L303" t="s">
        <v>109</v>
      </c>
      <c r="M303" t="s">
        <v>110</v>
      </c>
      <c r="O303" t="s">
        <v>678</v>
      </c>
      <c r="P303" t="s">
        <v>550</v>
      </c>
      <c r="Q303">
        <v>2022</v>
      </c>
      <c r="R303" t="s">
        <v>605</v>
      </c>
      <c r="S303" t="s">
        <v>606</v>
      </c>
      <c r="T303" t="s">
        <v>553</v>
      </c>
      <c r="U303" t="b">
        <v>0</v>
      </c>
      <c r="V303" t="s">
        <v>607</v>
      </c>
      <c r="W303" t="s">
        <v>587</v>
      </c>
      <c r="X303" t="s">
        <v>556</v>
      </c>
      <c r="Y303" t="s">
        <v>468</v>
      </c>
      <c r="AC303">
        <v>1</v>
      </c>
      <c r="AD303" t="s">
        <v>565</v>
      </c>
      <c r="AE303">
        <v>60.785820000000001</v>
      </c>
      <c r="AF303">
        <v>0.18254000000000001</v>
      </c>
      <c r="AG303" t="s">
        <v>608</v>
      </c>
      <c r="AH303">
        <v>1</v>
      </c>
      <c r="AI303">
        <v>333</v>
      </c>
      <c r="AJ303" t="s">
        <v>561</v>
      </c>
      <c r="AK303" t="s">
        <v>589</v>
      </c>
      <c r="AL303" t="s">
        <v>590</v>
      </c>
      <c r="AM303">
        <v>2022</v>
      </c>
      <c r="AN303">
        <v>2020</v>
      </c>
      <c r="AO303">
        <f>IF(AND(emissions[[#This Row],[Market-based]]=0,emissions[[#This Row],[Impact Type]]="CO2E"),emissions[[#This Row],[kgCO2e]],0)/1000</f>
        <v>0</v>
      </c>
      <c r="AP303">
        <f>IF(AND(emissions[[#This Row],[Market-based]]=1,OR(emissions[[#This Row],[Impact Type]]="CO2E",emissions[[#This Row],[Impact Type]]="CO2E MKT")),emissions[[#This Row],[kgCO2e]],0)/1000</f>
        <v>6.0785820000000004E-2</v>
      </c>
      <c r="AQ303" t="str">
        <f>_xlfn.TEXTAFTER(emissions[[#This Row],[Reporting Unit]]," &gt; ",LEN(emissions[[#This Row],[Reporting Unit]])-LEN(SUBSTITUTE(emissions[[#This Row],[Reporting Unit]],"&gt;","")))</f>
        <v>Vantage_Leuna</v>
      </c>
      <c r="AR303" t="str">
        <f>_xlfn.XLOOKUP(emissions[[#This Row],[Reporting unit name]],hierarchy!$A:$A,hierarchy!$C:$C)</f>
        <v>Office (with heat &amp; steam)</v>
      </c>
    </row>
    <row r="304" spans="1:44" hidden="1" x14ac:dyDescent="0.25">
      <c r="A304">
        <v>255501</v>
      </c>
      <c r="B304" t="s">
        <v>164</v>
      </c>
      <c r="C304" t="s">
        <v>537</v>
      </c>
      <c r="D304" t="s">
        <v>548</v>
      </c>
      <c r="E304" s="3">
        <v>44562</v>
      </c>
      <c r="F304" s="3">
        <v>44926</v>
      </c>
      <c r="G304" t="s">
        <v>135</v>
      </c>
      <c r="H304" s="3">
        <v>44562</v>
      </c>
      <c r="I304" s="3">
        <v>44926</v>
      </c>
      <c r="J304" t="s">
        <v>135</v>
      </c>
      <c r="K304">
        <v>333</v>
      </c>
      <c r="L304" t="s">
        <v>109</v>
      </c>
      <c r="M304" t="s">
        <v>110</v>
      </c>
      <c r="O304" t="s">
        <v>678</v>
      </c>
      <c r="P304" t="s">
        <v>550</v>
      </c>
      <c r="Q304">
        <v>2022</v>
      </c>
      <c r="R304" t="s">
        <v>605</v>
      </c>
      <c r="S304" t="s">
        <v>606</v>
      </c>
      <c r="T304" t="s">
        <v>553</v>
      </c>
      <c r="U304" t="b">
        <v>0</v>
      </c>
      <c r="V304" t="s">
        <v>607</v>
      </c>
      <c r="W304" t="s">
        <v>587</v>
      </c>
      <c r="X304" t="s">
        <v>556</v>
      </c>
      <c r="Y304" t="s">
        <v>468</v>
      </c>
      <c r="AC304">
        <v>1</v>
      </c>
      <c r="AD304" t="s">
        <v>566</v>
      </c>
      <c r="AE304">
        <v>3.3300000000000003E-2</v>
      </c>
      <c r="AF304">
        <v>1E-4</v>
      </c>
      <c r="AG304" t="s">
        <v>608</v>
      </c>
      <c r="AH304">
        <v>1</v>
      </c>
      <c r="AI304">
        <v>333</v>
      </c>
      <c r="AJ304" t="s">
        <v>561</v>
      </c>
      <c r="AK304" t="s">
        <v>589</v>
      </c>
      <c r="AL304" t="s">
        <v>590</v>
      </c>
      <c r="AM304">
        <v>2022</v>
      </c>
      <c r="AN304">
        <v>2020</v>
      </c>
      <c r="AO304">
        <f>IF(AND(emissions[[#This Row],[Market-based]]=0,emissions[[#This Row],[Impact Type]]="CO2E"),emissions[[#This Row],[kgCO2e]],0)/1000</f>
        <v>0</v>
      </c>
      <c r="AP304">
        <f>IF(AND(emissions[[#This Row],[Market-based]]=1,OR(emissions[[#This Row],[Impact Type]]="CO2E",emissions[[#This Row],[Impact Type]]="CO2E MKT")),emissions[[#This Row],[kgCO2e]],0)/1000</f>
        <v>0</v>
      </c>
      <c r="AQ304" t="str">
        <f>_xlfn.TEXTAFTER(emissions[[#This Row],[Reporting Unit]]," &gt; ",LEN(emissions[[#This Row],[Reporting Unit]])-LEN(SUBSTITUTE(emissions[[#This Row],[Reporting Unit]],"&gt;","")))</f>
        <v>Vantage_Leuna</v>
      </c>
      <c r="AR304" t="str">
        <f>_xlfn.XLOOKUP(emissions[[#This Row],[Reporting unit name]],hierarchy!$A:$A,hierarchy!$C:$C)</f>
        <v>Office (with heat &amp; steam)</v>
      </c>
    </row>
    <row r="305" spans="1:44" hidden="1" x14ac:dyDescent="0.25">
      <c r="A305">
        <v>255501</v>
      </c>
      <c r="B305" t="s">
        <v>164</v>
      </c>
      <c r="C305" t="s">
        <v>537</v>
      </c>
      <c r="D305" t="s">
        <v>548</v>
      </c>
      <c r="E305" s="3">
        <v>44562</v>
      </c>
      <c r="F305" s="3">
        <v>44926</v>
      </c>
      <c r="G305" t="s">
        <v>135</v>
      </c>
      <c r="H305" s="3">
        <v>44562</v>
      </c>
      <c r="I305" s="3">
        <v>44926</v>
      </c>
      <c r="J305" t="s">
        <v>135</v>
      </c>
      <c r="K305">
        <v>333</v>
      </c>
      <c r="L305" t="s">
        <v>109</v>
      </c>
      <c r="M305" t="s">
        <v>110</v>
      </c>
      <c r="O305" t="s">
        <v>678</v>
      </c>
      <c r="P305" t="s">
        <v>550</v>
      </c>
      <c r="Q305">
        <v>2022</v>
      </c>
      <c r="R305" t="s">
        <v>609</v>
      </c>
      <c r="S305" t="s">
        <v>610</v>
      </c>
      <c r="T305" t="s">
        <v>577</v>
      </c>
      <c r="U305" t="b">
        <v>0</v>
      </c>
      <c r="V305" t="s">
        <v>632</v>
      </c>
      <c r="W305" t="s">
        <v>571</v>
      </c>
      <c r="X305" t="s">
        <v>572</v>
      </c>
      <c r="Y305" t="s">
        <v>468</v>
      </c>
      <c r="AC305">
        <v>0</v>
      </c>
      <c r="AD305" t="s">
        <v>565</v>
      </c>
      <c r="AE305">
        <v>10.356299999999999</v>
      </c>
      <c r="AF305">
        <v>3.1099999999999999E-2</v>
      </c>
      <c r="AG305" t="s">
        <v>608</v>
      </c>
      <c r="AH305">
        <v>1</v>
      </c>
      <c r="AI305">
        <v>333</v>
      </c>
      <c r="AJ305" t="s">
        <v>561</v>
      </c>
      <c r="AK305" t="s">
        <v>589</v>
      </c>
      <c r="AL305" t="s">
        <v>590</v>
      </c>
      <c r="AM305">
        <v>2022</v>
      </c>
      <c r="AN305">
        <v>2020</v>
      </c>
      <c r="AO305">
        <f>IF(AND(emissions[[#This Row],[Market-based]]=0,emissions[[#This Row],[Impact Type]]="CO2E"),emissions[[#This Row],[kgCO2e]],0)/1000</f>
        <v>1.0356299999999999E-2</v>
      </c>
      <c r="AP305">
        <f>IF(AND(emissions[[#This Row],[Market-based]]=1,OR(emissions[[#This Row],[Impact Type]]="CO2E",emissions[[#This Row],[Impact Type]]="CO2E MKT")),emissions[[#This Row],[kgCO2e]],0)/1000</f>
        <v>0</v>
      </c>
      <c r="AQ305" t="str">
        <f>_xlfn.TEXTAFTER(emissions[[#This Row],[Reporting Unit]]," &gt; ",LEN(emissions[[#This Row],[Reporting Unit]])-LEN(SUBSTITUTE(emissions[[#This Row],[Reporting Unit]],"&gt;","")))</f>
        <v>Vantage_Leuna</v>
      </c>
      <c r="AR305" t="str">
        <f>_xlfn.XLOOKUP(emissions[[#This Row],[Reporting unit name]],hierarchy!$A:$A,hierarchy!$C:$C)</f>
        <v>Office (with heat &amp; steam)</v>
      </c>
    </row>
    <row r="306" spans="1:44" hidden="1" x14ac:dyDescent="0.25">
      <c r="A306">
        <v>255501</v>
      </c>
      <c r="B306" t="s">
        <v>164</v>
      </c>
      <c r="C306" t="s">
        <v>537</v>
      </c>
      <c r="D306" t="s">
        <v>548</v>
      </c>
      <c r="E306" s="3">
        <v>44562</v>
      </c>
      <c r="F306" s="3">
        <v>44926</v>
      </c>
      <c r="G306" t="s">
        <v>135</v>
      </c>
      <c r="H306" s="3">
        <v>44562</v>
      </c>
      <c r="I306" s="3">
        <v>44926</v>
      </c>
      <c r="J306" t="s">
        <v>135</v>
      </c>
      <c r="K306">
        <v>333</v>
      </c>
      <c r="L306" t="s">
        <v>109</v>
      </c>
      <c r="M306" t="s">
        <v>110</v>
      </c>
      <c r="O306" t="s">
        <v>678</v>
      </c>
      <c r="P306" t="s">
        <v>550</v>
      </c>
      <c r="Q306">
        <v>2022</v>
      </c>
      <c r="R306" t="s">
        <v>609</v>
      </c>
      <c r="S306" t="s">
        <v>610</v>
      </c>
      <c r="T306" t="s">
        <v>577</v>
      </c>
      <c r="U306" t="b">
        <v>0</v>
      </c>
      <c r="V306" t="s">
        <v>632</v>
      </c>
      <c r="W306" t="s">
        <v>571</v>
      </c>
      <c r="X306" t="s">
        <v>572</v>
      </c>
      <c r="Y306" t="s">
        <v>468</v>
      </c>
      <c r="AC306">
        <v>1</v>
      </c>
      <c r="AD306" t="s">
        <v>565</v>
      </c>
      <c r="AE306">
        <v>10.356299999999999</v>
      </c>
      <c r="AF306">
        <v>3.1099999999999999E-2</v>
      </c>
      <c r="AG306" t="s">
        <v>608</v>
      </c>
      <c r="AH306">
        <v>1</v>
      </c>
      <c r="AI306">
        <v>333</v>
      </c>
      <c r="AJ306" t="s">
        <v>561</v>
      </c>
      <c r="AK306" t="s">
        <v>589</v>
      </c>
      <c r="AL306" t="s">
        <v>590</v>
      </c>
      <c r="AM306">
        <v>2022</v>
      </c>
      <c r="AN306">
        <v>2020</v>
      </c>
      <c r="AO306">
        <f>IF(AND(emissions[[#This Row],[Market-based]]=0,emissions[[#This Row],[Impact Type]]="CO2E"),emissions[[#This Row],[kgCO2e]],0)/1000</f>
        <v>0</v>
      </c>
      <c r="AP306">
        <f>IF(AND(emissions[[#This Row],[Market-based]]=1,OR(emissions[[#This Row],[Impact Type]]="CO2E",emissions[[#This Row],[Impact Type]]="CO2E MKT")),emissions[[#This Row],[kgCO2e]],0)/1000</f>
        <v>1.0356299999999999E-2</v>
      </c>
      <c r="AQ306" t="str">
        <f>_xlfn.TEXTAFTER(emissions[[#This Row],[Reporting Unit]]," &gt; ",LEN(emissions[[#This Row],[Reporting Unit]])-LEN(SUBSTITUTE(emissions[[#This Row],[Reporting Unit]],"&gt;","")))</f>
        <v>Vantage_Leuna</v>
      </c>
      <c r="AR306" t="str">
        <f>_xlfn.XLOOKUP(emissions[[#This Row],[Reporting unit name]],hierarchy!$A:$A,hierarchy!$C:$C)</f>
        <v>Office (with heat &amp; steam)</v>
      </c>
    </row>
    <row r="307" spans="1:44" hidden="1" x14ac:dyDescent="0.25">
      <c r="A307">
        <v>255503</v>
      </c>
      <c r="B307" t="s">
        <v>164</v>
      </c>
      <c r="C307" t="s">
        <v>537</v>
      </c>
      <c r="D307" t="s">
        <v>548</v>
      </c>
      <c r="E307" s="3">
        <v>44562</v>
      </c>
      <c r="F307" s="3">
        <v>44926</v>
      </c>
      <c r="G307" t="s">
        <v>141</v>
      </c>
      <c r="H307" s="3">
        <v>44562</v>
      </c>
      <c r="I307" s="3">
        <v>44926</v>
      </c>
      <c r="J307" t="s">
        <v>168</v>
      </c>
      <c r="K307">
        <v>5895.22</v>
      </c>
      <c r="L307" t="s">
        <v>143</v>
      </c>
      <c r="M307" t="s">
        <v>110</v>
      </c>
      <c r="O307" t="s">
        <v>679</v>
      </c>
      <c r="P307" t="s">
        <v>550</v>
      </c>
      <c r="Q307">
        <v>2022</v>
      </c>
      <c r="R307" t="s">
        <v>680</v>
      </c>
      <c r="S307" t="s">
        <v>681</v>
      </c>
      <c r="T307" t="s">
        <v>553</v>
      </c>
      <c r="U307" t="b">
        <v>0</v>
      </c>
      <c r="V307" t="s">
        <v>682</v>
      </c>
      <c r="W307" t="s">
        <v>587</v>
      </c>
      <c r="X307" t="s">
        <v>556</v>
      </c>
      <c r="Y307" t="s">
        <v>468</v>
      </c>
      <c r="AC307">
        <v>0</v>
      </c>
      <c r="AD307" t="s">
        <v>558</v>
      </c>
      <c r="AE307">
        <v>42.445583999999997</v>
      </c>
      <c r="AF307">
        <v>7.1999999999999998E-3</v>
      </c>
      <c r="AG307" t="s">
        <v>588</v>
      </c>
      <c r="AH307">
        <v>1</v>
      </c>
      <c r="AI307">
        <v>5895.22</v>
      </c>
      <c r="AJ307" t="s">
        <v>561</v>
      </c>
      <c r="AK307" t="s">
        <v>589</v>
      </c>
      <c r="AL307" t="s">
        <v>590</v>
      </c>
      <c r="AM307">
        <v>2022</v>
      </c>
      <c r="AN307">
        <v>2020</v>
      </c>
      <c r="AO307">
        <f>IF(AND(emissions[[#This Row],[Market-based]]=0,emissions[[#This Row],[Impact Type]]="CO2E"),emissions[[#This Row],[kgCO2e]],0)/1000</f>
        <v>0</v>
      </c>
      <c r="AP307">
        <f>IF(AND(emissions[[#This Row],[Market-based]]=1,OR(emissions[[#This Row],[Impact Type]]="CO2E",emissions[[#This Row],[Impact Type]]="CO2E MKT")),emissions[[#This Row],[kgCO2e]],0)/1000</f>
        <v>0</v>
      </c>
      <c r="AQ307" t="str">
        <f>_xlfn.TEXTAFTER(emissions[[#This Row],[Reporting Unit]]," &gt; ",LEN(emissions[[#This Row],[Reporting Unit]])-LEN(SUBSTITUTE(emissions[[#This Row],[Reporting Unit]],"&gt;","")))</f>
        <v>Vantage_Leuna</v>
      </c>
      <c r="AR307" t="str">
        <f>_xlfn.XLOOKUP(emissions[[#This Row],[Reporting unit name]],hierarchy!$A:$A,hierarchy!$C:$C)</f>
        <v>Office (with heat &amp; steam)</v>
      </c>
    </row>
    <row r="308" spans="1:44" hidden="1" x14ac:dyDescent="0.25">
      <c r="A308">
        <v>255503</v>
      </c>
      <c r="B308" t="s">
        <v>164</v>
      </c>
      <c r="C308" t="s">
        <v>537</v>
      </c>
      <c r="D308" t="s">
        <v>548</v>
      </c>
      <c r="E308" s="3">
        <v>44562</v>
      </c>
      <c r="F308" s="3">
        <v>44926</v>
      </c>
      <c r="G308" t="s">
        <v>141</v>
      </c>
      <c r="H308" s="3">
        <v>44562</v>
      </c>
      <c r="I308" s="3">
        <v>44926</v>
      </c>
      <c r="J308" t="s">
        <v>168</v>
      </c>
      <c r="K308">
        <v>5895.22</v>
      </c>
      <c r="L308" t="s">
        <v>143</v>
      </c>
      <c r="M308" t="s">
        <v>110</v>
      </c>
      <c r="O308" t="s">
        <v>679</v>
      </c>
      <c r="P308" t="s">
        <v>550</v>
      </c>
      <c r="Q308">
        <v>2022</v>
      </c>
      <c r="R308" t="s">
        <v>680</v>
      </c>
      <c r="S308" t="s">
        <v>681</v>
      </c>
      <c r="T308" t="s">
        <v>553</v>
      </c>
      <c r="U308" t="b">
        <v>0</v>
      </c>
      <c r="V308" t="s">
        <v>682</v>
      </c>
      <c r="W308" t="s">
        <v>587</v>
      </c>
      <c r="X308" t="s">
        <v>556</v>
      </c>
      <c r="Y308" t="s">
        <v>468</v>
      </c>
      <c r="AC308">
        <v>0</v>
      </c>
      <c r="AD308" t="s">
        <v>564</v>
      </c>
      <c r="AE308">
        <v>12663.22732</v>
      </c>
      <c r="AF308">
        <v>2.14805</v>
      </c>
      <c r="AG308" t="s">
        <v>588</v>
      </c>
      <c r="AH308">
        <v>1</v>
      </c>
      <c r="AI308">
        <v>5895.22</v>
      </c>
      <c r="AJ308" t="s">
        <v>561</v>
      </c>
      <c r="AK308" t="s">
        <v>589</v>
      </c>
      <c r="AL308" t="s">
        <v>590</v>
      </c>
      <c r="AM308">
        <v>2022</v>
      </c>
      <c r="AN308">
        <v>2020</v>
      </c>
      <c r="AO308">
        <f>IF(AND(emissions[[#This Row],[Market-based]]=0,emissions[[#This Row],[Impact Type]]="CO2E"),emissions[[#This Row],[kgCO2e]],0)/1000</f>
        <v>0</v>
      </c>
      <c r="AP308">
        <f>IF(AND(emissions[[#This Row],[Market-based]]=1,OR(emissions[[#This Row],[Impact Type]]="CO2E",emissions[[#This Row],[Impact Type]]="CO2E MKT")),emissions[[#This Row],[kgCO2e]],0)/1000</f>
        <v>0</v>
      </c>
      <c r="AQ308" t="str">
        <f>_xlfn.TEXTAFTER(emissions[[#This Row],[Reporting Unit]]," &gt; ",LEN(emissions[[#This Row],[Reporting Unit]])-LEN(SUBSTITUTE(emissions[[#This Row],[Reporting Unit]],"&gt;","")))</f>
        <v>Vantage_Leuna</v>
      </c>
      <c r="AR308" t="str">
        <f>_xlfn.XLOOKUP(emissions[[#This Row],[Reporting unit name]],hierarchy!$A:$A,hierarchy!$C:$C)</f>
        <v>Office (with heat &amp; steam)</v>
      </c>
    </row>
    <row r="309" spans="1:44" hidden="1" x14ac:dyDescent="0.25">
      <c r="A309">
        <v>255503</v>
      </c>
      <c r="B309" t="s">
        <v>164</v>
      </c>
      <c r="C309" t="s">
        <v>537</v>
      </c>
      <c r="D309" t="s">
        <v>548</v>
      </c>
      <c r="E309" s="3">
        <v>44562</v>
      </c>
      <c r="F309" s="3">
        <v>44926</v>
      </c>
      <c r="G309" t="s">
        <v>141</v>
      </c>
      <c r="H309" s="3">
        <v>44562</v>
      </c>
      <c r="I309" s="3">
        <v>44926</v>
      </c>
      <c r="J309" t="s">
        <v>168</v>
      </c>
      <c r="K309">
        <v>5895.22</v>
      </c>
      <c r="L309" t="s">
        <v>143</v>
      </c>
      <c r="M309" t="s">
        <v>110</v>
      </c>
      <c r="O309" t="s">
        <v>679</v>
      </c>
      <c r="P309" t="s">
        <v>550</v>
      </c>
      <c r="Q309">
        <v>2022</v>
      </c>
      <c r="R309" t="s">
        <v>680</v>
      </c>
      <c r="S309" t="s">
        <v>681</v>
      </c>
      <c r="T309" t="s">
        <v>553</v>
      </c>
      <c r="U309" t="b">
        <v>0</v>
      </c>
      <c r="V309" t="s">
        <v>682</v>
      </c>
      <c r="W309" t="s">
        <v>587</v>
      </c>
      <c r="X309" t="s">
        <v>556</v>
      </c>
      <c r="Y309" t="s">
        <v>468</v>
      </c>
      <c r="AC309">
        <v>0</v>
      </c>
      <c r="AD309" t="s">
        <v>565</v>
      </c>
      <c r="AE309">
        <v>12744.58136</v>
      </c>
      <c r="AF309">
        <v>2.1618499999999998</v>
      </c>
      <c r="AG309" t="s">
        <v>588</v>
      </c>
      <c r="AH309">
        <v>1</v>
      </c>
      <c r="AI309">
        <v>5895.22</v>
      </c>
      <c r="AJ309" t="s">
        <v>561</v>
      </c>
      <c r="AK309" t="s">
        <v>589</v>
      </c>
      <c r="AL309" t="s">
        <v>590</v>
      </c>
      <c r="AM309">
        <v>2022</v>
      </c>
      <c r="AN309">
        <v>2020</v>
      </c>
      <c r="AO309">
        <f>IF(AND(emissions[[#This Row],[Market-based]]=0,emissions[[#This Row],[Impact Type]]="CO2E"),emissions[[#This Row],[kgCO2e]],0)/1000</f>
        <v>12.74458136</v>
      </c>
      <c r="AP309">
        <f>IF(AND(emissions[[#This Row],[Market-based]]=1,OR(emissions[[#This Row],[Impact Type]]="CO2E",emissions[[#This Row],[Impact Type]]="CO2E MKT")),emissions[[#This Row],[kgCO2e]],0)/1000</f>
        <v>0</v>
      </c>
      <c r="AQ309" t="str">
        <f>_xlfn.TEXTAFTER(emissions[[#This Row],[Reporting Unit]]," &gt; ",LEN(emissions[[#This Row],[Reporting Unit]])-LEN(SUBSTITUTE(emissions[[#This Row],[Reporting Unit]],"&gt;","")))</f>
        <v>Vantage_Leuna</v>
      </c>
      <c r="AR309" t="str">
        <f>_xlfn.XLOOKUP(emissions[[#This Row],[Reporting unit name]],hierarchy!$A:$A,hierarchy!$C:$C)</f>
        <v>Office (with heat &amp; steam)</v>
      </c>
    </row>
    <row r="310" spans="1:44" hidden="1" x14ac:dyDescent="0.25">
      <c r="A310">
        <v>255503</v>
      </c>
      <c r="B310" t="s">
        <v>164</v>
      </c>
      <c r="C310" t="s">
        <v>537</v>
      </c>
      <c r="D310" t="s">
        <v>548</v>
      </c>
      <c r="E310" s="3">
        <v>44562</v>
      </c>
      <c r="F310" s="3">
        <v>44926</v>
      </c>
      <c r="G310" t="s">
        <v>141</v>
      </c>
      <c r="H310" s="3">
        <v>44562</v>
      </c>
      <c r="I310" s="3">
        <v>44926</v>
      </c>
      <c r="J310" t="s">
        <v>168</v>
      </c>
      <c r="K310">
        <v>5895.22</v>
      </c>
      <c r="L310" t="s">
        <v>143</v>
      </c>
      <c r="M310" t="s">
        <v>110</v>
      </c>
      <c r="O310" t="s">
        <v>679</v>
      </c>
      <c r="P310" t="s">
        <v>550</v>
      </c>
      <c r="Q310">
        <v>2022</v>
      </c>
      <c r="R310" t="s">
        <v>680</v>
      </c>
      <c r="S310" t="s">
        <v>681</v>
      </c>
      <c r="T310" t="s">
        <v>553</v>
      </c>
      <c r="U310" t="b">
        <v>0</v>
      </c>
      <c r="V310" t="s">
        <v>682</v>
      </c>
      <c r="W310" t="s">
        <v>587</v>
      </c>
      <c r="X310" t="s">
        <v>556</v>
      </c>
      <c r="Y310" t="s">
        <v>468</v>
      </c>
      <c r="AC310">
        <v>0</v>
      </c>
      <c r="AD310" t="s">
        <v>566</v>
      </c>
      <c r="AE310">
        <v>38.908451999999997</v>
      </c>
      <c r="AF310">
        <v>6.6E-3</v>
      </c>
      <c r="AG310" t="s">
        <v>588</v>
      </c>
      <c r="AH310">
        <v>1</v>
      </c>
      <c r="AI310">
        <v>5895.22</v>
      </c>
      <c r="AJ310" t="s">
        <v>561</v>
      </c>
      <c r="AK310" t="s">
        <v>589</v>
      </c>
      <c r="AL310" t="s">
        <v>590</v>
      </c>
      <c r="AM310">
        <v>2022</v>
      </c>
      <c r="AN310">
        <v>2020</v>
      </c>
      <c r="AO310">
        <f>IF(AND(emissions[[#This Row],[Market-based]]=0,emissions[[#This Row],[Impact Type]]="CO2E"),emissions[[#This Row],[kgCO2e]],0)/1000</f>
        <v>0</v>
      </c>
      <c r="AP310">
        <f>IF(AND(emissions[[#This Row],[Market-based]]=1,OR(emissions[[#This Row],[Impact Type]]="CO2E",emissions[[#This Row],[Impact Type]]="CO2E MKT")),emissions[[#This Row],[kgCO2e]],0)/1000</f>
        <v>0</v>
      </c>
      <c r="AQ310" t="str">
        <f>_xlfn.TEXTAFTER(emissions[[#This Row],[Reporting Unit]]," &gt; ",LEN(emissions[[#This Row],[Reporting Unit]])-LEN(SUBSTITUTE(emissions[[#This Row],[Reporting Unit]],"&gt;","")))</f>
        <v>Vantage_Leuna</v>
      </c>
      <c r="AR310" t="str">
        <f>_xlfn.XLOOKUP(emissions[[#This Row],[Reporting unit name]],hierarchy!$A:$A,hierarchy!$C:$C)</f>
        <v>Office (with heat &amp; steam)</v>
      </c>
    </row>
    <row r="311" spans="1:44" hidden="1" x14ac:dyDescent="0.25">
      <c r="A311">
        <v>255503</v>
      </c>
      <c r="B311" t="s">
        <v>164</v>
      </c>
      <c r="C311" t="s">
        <v>537</v>
      </c>
      <c r="D311" t="s">
        <v>548</v>
      </c>
      <c r="E311" s="3">
        <v>44562</v>
      </c>
      <c r="F311" s="3">
        <v>44926</v>
      </c>
      <c r="G311" t="s">
        <v>141</v>
      </c>
      <c r="H311" s="3">
        <v>44562</v>
      </c>
      <c r="I311" s="3">
        <v>44926</v>
      </c>
      <c r="J311" t="s">
        <v>168</v>
      </c>
      <c r="K311">
        <v>5895.22</v>
      </c>
      <c r="L311" t="s">
        <v>143</v>
      </c>
      <c r="M311" t="s">
        <v>110</v>
      </c>
      <c r="O311" t="s">
        <v>679</v>
      </c>
      <c r="P311" t="s">
        <v>550</v>
      </c>
      <c r="Q311">
        <v>2022</v>
      </c>
      <c r="R311" t="s">
        <v>680</v>
      </c>
      <c r="S311" t="s">
        <v>681</v>
      </c>
      <c r="T311" t="s">
        <v>553</v>
      </c>
      <c r="U311" t="b">
        <v>0</v>
      </c>
      <c r="V311" t="s">
        <v>682</v>
      </c>
      <c r="W311" t="s">
        <v>587</v>
      </c>
      <c r="X311" t="s">
        <v>556</v>
      </c>
      <c r="Y311" t="s">
        <v>468</v>
      </c>
      <c r="AC311">
        <v>1</v>
      </c>
      <c r="AD311" t="s">
        <v>558</v>
      </c>
      <c r="AE311">
        <v>42.445583999999997</v>
      </c>
      <c r="AF311">
        <v>7.1999999999999998E-3</v>
      </c>
      <c r="AG311" t="s">
        <v>588</v>
      </c>
      <c r="AH311">
        <v>1</v>
      </c>
      <c r="AI311">
        <v>5895.22</v>
      </c>
      <c r="AJ311" t="s">
        <v>561</v>
      </c>
      <c r="AK311" t="s">
        <v>589</v>
      </c>
      <c r="AL311" t="s">
        <v>590</v>
      </c>
      <c r="AM311">
        <v>2022</v>
      </c>
      <c r="AN311">
        <v>2020</v>
      </c>
      <c r="AO311">
        <f>IF(AND(emissions[[#This Row],[Market-based]]=0,emissions[[#This Row],[Impact Type]]="CO2E"),emissions[[#This Row],[kgCO2e]],0)/1000</f>
        <v>0</v>
      </c>
      <c r="AP311">
        <f>IF(AND(emissions[[#This Row],[Market-based]]=1,OR(emissions[[#This Row],[Impact Type]]="CO2E",emissions[[#This Row],[Impact Type]]="CO2E MKT")),emissions[[#This Row],[kgCO2e]],0)/1000</f>
        <v>0</v>
      </c>
      <c r="AQ311" t="str">
        <f>_xlfn.TEXTAFTER(emissions[[#This Row],[Reporting Unit]]," &gt; ",LEN(emissions[[#This Row],[Reporting Unit]])-LEN(SUBSTITUTE(emissions[[#This Row],[Reporting Unit]],"&gt;","")))</f>
        <v>Vantage_Leuna</v>
      </c>
      <c r="AR311" t="str">
        <f>_xlfn.XLOOKUP(emissions[[#This Row],[Reporting unit name]],hierarchy!$A:$A,hierarchy!$C:$C)</f>
        <v>Office (with heat &amp; steam)</v>
      </c>
    </row>
    <row r="312" spans="1:44" hidden="1" x14ac:dyDescent="0.25">
      <c r="A312">
        <v>255503</v>
      </c>
      <c r="B312" t="s">
        <v>164</v>
      </c>
      <c r="C312" t="s">
        <v>537</v>
      </c>
      <c r="D312" t="s">
        <v>548</v>
      </c>
      <c r="E312" s="3">
        <v>44562</v>
      </c>
      <c r="F312" s="3">
        <v>44926</v>
      </c>
      <c r="G312" t="s">
        <v>141</v>
      </c>
      <c r="H312" s="3">
        <v>44562</v>
      </c>
      <c r="I312" s="3">
        <v>44926</v>
      </c>
      <c r="J312" t="s">
        <v>168</v>
      </c>
      <c r="K312">
        <v>5895.22</v>
      </c>
      <c r="L312" t="s">
        <v>143</v>
      </c>
      <c r="M312" t="s">
        <v>110</v>
      </c>
      <c r="O312" t="s">
        <v>679</v>
      </c>
      <c r="P312" t="s">
        <v>550</v>
      </c>
      <c r="Q312">
        <v>2022</v>
      </c>
      <c r="R312" t="s">
        <v>680</v>
      </c>
      <c r="S312" t="s">
        <v>681</v>
      </c>
      <c r="T312" t="s">
        <v>553</v>
      </c>
      <c r="U312" t="b">
        <v>0</v>
      </c>
      <c r="V312" t="s">
        <v>682</v>
      </c>
      <c r="W312" t="s">
        <v>587</v>
      </c>
      <c r="X312" t="s">
        <v>556</v>
      </c>
      <c r="Y312" t="s">
        <v>468</v>
      </c>
      <c r="AC312">
        <v>1</v>
      </c>
      <c r="AD312" t="s">
        <v>564</v>
      </c>
      <c r="AE312">
        <v>12663.22732</v>
      </c>
      <c r="AF312">
        <v>2.14805</v>
      </c>
      <c r="AG312" t="s">
        <v>588</v>
      </c>
      <c r="AH312">
        <v>1</v>
      </c>
      <c r="AI312">
        <v>5895.22</v>
      </c>
      <c r="AJ312" t="s">
        <v>561</v>
      </c>
      <c r="AK312" t="s">
        <v>589</v>
      </c>
      <c r="AL312" t="s">
        <v>590</v>
      </c>
      <c r="AM312">
        <v>2022</v>
      </c>
      <c r="AN312">
        <v>2020</v>
      </c>
      <c r="AO312">
        <f>IF(AND(emissions[[#This Row],[Market-based]]=0,emissions[[#This Row],[Impact Type]]="CO2E"),emissions[[#This Row],[kgCO2e]],0)/1000</f>
        <v>0</v>
      </c>
      <c r="AP312">
        <f>IF(AND(emissions[[#This Row],[Market-based]]=1,OR(emissions[[#This Row],[Impact Type]]="CO2E",emissions[[#This Row],[Impact Type]]="CO2E MKT")),emissions[[#This Row],[kgCO2e]],0)/1000</f>
        <v>0</v>
      </c>
      <c r="AQ312" t="str">
        <f>_xlfn.TEXTAFTER(emissions[[#This Row],[Reporting Unit]]," &gt; ",LEN(emissions[[#This Row],[Reporting Unit]])-LEN(SUBSTITUTE(emissions[[#This Row],[Reporting Unit]],"&gt;","")))</f>
        <v>Vantage_Leuna</v>
      </c>
      <c r="AR312" t="str">
        <f>_xlfn.XLOOKUP(emissions[[#This Row],[Reporting unit name]],hierarchy!$A:$A,hierarchy!$C:$C)</f>
        <v>Office (with heat &amp; steam)</v>
      </c>
    </row>
    <row r="313" spans="1:44" hidden="1" x14ac:dyDescent="0.25">
      <c r="A313">
        <v>255503</v>
      </c>
      <c r="B313" t="s">
        <v>164</v>
      </c>
      <c r="C313" t="s">
        <v>537</v>
      </c>
      <c r="D313" t="s">
        <v>548</v>
      </c>
      <c r="E313" s="3">
        <v>44562</v>
      </c>
      <c r="F313" s="3">
        <v>44926</v>
      </c>
      <c r="G313" t="s">
        <v>141</v>
      </c>
      <c r="H313" s="3">
        <v>44562</v>
      </c>
      <c r="I313" s="3">
        <v>44926</v>
      </c>
      <c r="J313" t="s">
        <v>168</v>
      </c>
      <c r="K313">
        <v>5895.22</v>
      </c>
      <c r="L313" t="s">
        <v>143</v>
      </c>
      <c r="M313" t="s">
        <v>110</v>
      </c>
      <c r="O313" t="s">
        <v>679</v>
      </c>
      <c r="P313" t="s">
        <v>550</v>
      </c>
      <c r="Q313">
        <v>2022</v>
      </c>
      <c r="R313" t="s">
        <v>680</v>
      </c>
      <c r="S313" t="s">
        <v>681</v>
      </c>
      <c r="T313" t="s">
        <v>553</v>
      </c>
      <c r="U313" t="b">
        <v>0</v>
      </c>
      <c r="V313" t="s">
        <v>682</v>
      </c>
      <c r="W313" t="s">
        <v>587</v>
      </c>
      <c r="X313" t="s">
        <v>556</v>
      </c>
      <c r="Y313" t="s">
        <v>468</v>
      </c>
      <c r="AC313">
        <v>1</v>
      </c>
      <c r="AD313" t="s">
        <v>565</v>
      </c>
      <c r="AE313">
        <v>12744.58136</v>
      </c>
      <c r="AF313">
        <v>2.1618499999999998</v>
      </c>
      <c r="AG313" t="s">
        <v>588</v>
      </c>
      <c r="AH313">
        <v>1</v>
      </c>
      <c r="AI313">
        <v>5895.22</v>
      </c>
      <c r="AJ313" t="s">
        <v>561</v>
      </c>
      <c r="AK313" t="s">
        <v>589</v>
      </c>
      <c r="AL313" t="s">
        <v>590</v>
      </c>
      <c r="AM313">
        <v>2022</v>
      </c>
      <c r="AN313">
        <v>2020</v>
      </c>
      <c r="AO313">
        <f>IF(AND(emissions[[#This Row],[Market-based]]=0,emissions[[#This Row],[Impact Type]]="CO2E"),emissions[[#This Row],[kgCO2e]],0)/1000</f>
        <v>0</v>
      </c>
      <c r="AP313">
        <f>IF(AND(emissions[[#This Row],[Market-based]]=1,OR(emissions[[#This Row],[Impact Type]]="CO2E",emissions[[#This Row],[Impact Type]]="CO2E MKT")),emissions[[#This Row],[kgCO2e]],0)/1000</f>
        <v>12.74458136</v>
      </c>
      <c r="AQ313" t="str">
        <f>_xlfn.TEXTAFTER(emissions[[#This Row],[Reporting Unit]]," &gt; ",LEN(emissions[[#This Row],[Reporting Unit]])-LEN(SUBSTITUTE(emissions[[#This Row],[Reporting Unit]],"&gt;","")))</f>
        <v>Vantage_Leuna</v>
      </c>
      <c r="AR313" t="str">
        <f>_xlfn.XLOOKUP(emissions[[#This Row],[Reporting unit name]],hierarchy!$A:$A,hierarchy!$C:$C)</f>
        <v>Office (with heat &amp; steam)</v>
      </c>
    </row>
    <row r="314" spans="1:44" hidden="1" x14ac:dyDescent="0.25">
      <c r="A314">
        <v>255503</v>
      </c>
      <c r="B314" t="s">
        <v>164</v>
      </c>
      <c r="C314" t="s">
        <v>537</v>
      </c>
      <c r="D314" t="s">
        <v>548</v>
      </c>
      <c r="E314" s="3">
        <v>44562</v>
      </c>
      <c r="F314" s="3">
        <v>44926</v>
      </c>
      <c r="G314" t="s">
        <v>141</v>
      </c>
      <c r="H314" s="3">
        <v>44562</v>
      </c>
      <c r="I314" s="3">
        <v>44926</v>
      </c>
      <c r="J314" t="s">
        <v>168</v>
      </c>
      <c r="K314">
        <v>5895.22</v>
      </c>
      <c r="L314" t="s">
        <v>143</v>
      </c>
      <c r="M314" t="s">
        <v>110</v>
      </c>
      <c r="O314" t="s">
        <v>679</v>
      </c>
      <c r="P314" t="s">
        <v>550</v>
      </c>
      <c r="Q314">
        <v>2022</v>
      </c>
      <c r="R314" t="s">
        <v>680</v>
      </c>
      <c r="S314" t="s">
        <v>681</v>
      </c>
      <c r="T314" t="s">
        <v>553</v>
      </c>
      <c r="U314" t="b">
        <v>0</v>
      </c>
      <c r="V314" t="s">
        <v>682</v>
      </c>
      <c r="W314" t="s">
        <v>587</v>
      </c>
      <c r="X314" t="s">
        <v>556</v>
      </c>
      <c r="Y314" t="s">
        <v>468</v>
      </c>
      <c r="AC314">
        <v>1</v>
      </c>
      <c r="AD314" t="s">
        <v>566</v>
      </c>
      <c r="AE314">
        <v>38.908451999999997</v>
      </c>
      <c r="AF314">
        <v>6.6E-3</v>
      </c>
      <c r="AG314" t="s">
        <v>588</v>
      </c>
      <c r="AH314">
        <v>1</v>
      </c>
      <c r="AI314">
        <v>5895.22</v>
      </c>
      <c r="AJ314" t="s">
        <v>561</v>
      </c>
      <c r="AK314" t="s">
        <v>589</v>
      </c>
      <c r="AL314" t="s">
        <v>590</v>
      </c>
      <c r="AM314">
        <v>2022</v>
      </c>
      <c r="AN314">
        <v>2020</v>
      </c>
      <c r="AO314">
        <f>IF(AND(emissions[[#This Row],[Market-based]]=0,emissions[[#This Row],[Impact Type]]="CO2E"),emissions[[#This Row],[kgCO2e]],0)/1000</f>
        <v>0</v>
      </c>
      <c r="AP314">
        <f>IF(AND(emissions[[#This Row],[Market-based]]=1,OR(emissions[[#This Row],[Impact Type]]="CO2E",emissions[[#This Row],[Impact Type]]="CO2E MKT")),emissions[[#This Row],[kgCO2e]],0)/1000</f>
        <v>0</v>
      </c>
      <c r="AQ314" t="str">
        <f>_xlfn.TEXTAFTER(emissions[[#This Row],[Reporting Unit]]," &gt; ",LEN(emissions[[#This Row],[Reporting Unit]])-LEN(SUBSTITUTE(emissions[[#This Row],[Reporting Unit]],"&gt;","")))</f>
        <v>Vantage_Leuna</v>
      </c>
      <c r="AR314" t="str">
        <f>_xlfn.XLOOKUP(emissions[[#This Row],[Reporting unit name]],hierarchy!$A:$A,hierarchy!$C:$C)</f>
        <v>Office (with heat &amp; steam)</v>
      </c>
    </row>
    <row r="315" spans="1:44" hidden="1" x14ac:dyDescent="0.25">
      <c r="A315">
        <v>255503</v>
      </c>
      <c r="B315" t="s">
        <v>164</v>
      </c>
      <c r="C315" t="s">
        <v>537</v>
      </c>
      <c r="D315" t="s">
        <v>548</v>
      </c>
      <c r="E315" s="3">
        <v>44562</v>
      </c>
      <c r="F315" s="3">
        <v>44926</v>
      </c>
      <c r="G315" t="s">
        <v>141</v>
      </c>
      <c r="H315" s="3">
        <v>44562</v>
      </c>
      <c r="I315" s="3">
        <v>44926</v>
      </c>
      <c r="J315" t="s">
        <v>168</v>
      </c>
      <c r="K315">
        <v>5895.22</v>
      </c>
      <c r="L315" t="s">
        <v>143</v>
      </c>
      <c r="M315" t="s">
        <v>110</v>
      </c>
      <c r="O315" t="s">
        <v>679</v>
      </c>
      <c r="P315" t="s">
        <v>550</v>
      </c>
      <c r="Q315">
        <v>2022</v>
      </c>
      <c r="R315" t="s">
        <v>683</v>
      </c>
      <c r="S315" t="s">
        <v>684</v>
      </c>
      <c r="T315" t="s">
        <v>577</v>
      </c>
      <c r="U315" t="b">
        <v>0</v>
      </c>
      <c r="V315" t="s">
        <v>685</v>
      </c>
      <c r="W315" t="s">
        <v>571</v>
      </c>
      <c r="X315" t="s">
        <v>572</v>
      </c>
      <c r="Y315" t="s">
        <v>468</v>
      </c>
      <c r="AC315">
        <v>0</v>
      </c>
      <c r="AD315" t="s">
        <v>565</v>
      </c>
      <c r="AE315">
        <v>3615.4205219999999</v>
      </c>
      <c r="AF315">
        <v>0.61328000000000005</v>
      </c>
      <c r="AG315" t="s">
        <v>588</v>
      </c>
      <c r="AH315">
        <v>1</v>
      </c>
      <c r="AI315">
        <v>5895.22</v>
      </c>
      <c r="AJ315" t="s">
        <v>561</v>
      </c>
      <c r="AK315" t="s">
        <v>589</v>
      </c>
      <c r="AL315" t="s">
        <v>590</v>
      </c>
      <c r="AM315">
        <v>2022</v>
      </c>
      <c r="AN315">
        <v>2020</v>
      </c>
      <c r="AO315">
        <f>IF(AND(emissions[[#This Row],[Market-based]]=0,emissions[[#This Row],[Impact Type]]="CO2E"),emissions[[#This Row],[kgCO2e]],0)/1000</f>
        <v>3.615420522</v>
      </c>
      <c r="AP315">
        <f>IF(AND(emissions[[#This Row],[Market-based]]=1,OR(emissions[[#This Row],[Impact Type]]="CO2E",emissions[[#This Row],[Impact Type]]="CO2E MKT")),emissions[[#This Row],[kgCO2e]],0)/1000</f>
        <v>0</v>
      </c>
      <c r="AQ315" t="str">
        <f>_xlfn.TEXTAFTER(emissions[[#This Row],[Reporting Unit]]," &gt; ",LEN(emissions[[#This Row],[Reporting Unit]])-LEN(SUBSTITUTE(emissions[[#This Row],[Reporting Unit]],"&gt;","")))</f>
        <v>Vantage_Leuna</v>
      </c>
      <c r="AR315" t="str">
        <f>_xlfn.XLOOKUP(emissions[[#This Row],[Reporting unit name]],hierarchy!$A:$A,hierarchy!$C:$C)</f>
        <v>Office (with heat &amp; steam)</v>
      </c>
    </row>
    <row r="316" spans="1:44" hidden="1" x14ac:dyDescent="0.25">
      <c r="A316">
        <v>255503</v>
      </c>
      <c r="B316" t="s">
        <v>164</v>
      </c>
      <c r="C316" t="s">
        <v>537</v>
      </c>
      <c r="D316" t="s">
        <v>548</v>
      </c>
      <c r="E316" s="3">
        <v>44562</v>
      </c>
      <c r="F316" s="3">
        <v>44926</v>
      </c>
      <c r="G316" t="s">
        <v>141</v>
      </c>
      <c r="H316" s="3">
        <v>44562</v>
      </c>
      <c r="I316" s="3">
        <v>44926</v>
      </c>
      <c r="J316" t="s">
        <v>168</v>
      </c>
      <c r="K316">
        <v>5895.22</v>
      </c>
      <c r="L316" t="s">
        <v>143</v>
      </c>
      <c r="M316" t="s">
        <v>110</v>
      </c>
      <c r="O316" t="s">
        <v>679</v>
      </c>
      <c r="P316" t="s">
        <v>550</v>
      </c>
      <c r="Q316">
        <v>2022</v>
      </c>
      <c r="R316" t="s">
        <v>683</v>
      </c>
      <c r="S316" t="s">
        <v>684</v>
      </c>
      <c r="T316" t="s">
        <v>577</v>
      </c>
      <c r="U316" t="b">
        <v>0</v>
      </c>
      <c r="V316" t="s">
        <v>685</v>
      </c>
      <c r="W316" t="s">
        <v>571</v>
      </c>
      <c r="X316" t="s">
        <v>572</v>
      </c>
      <c r="Y316" t="s">
        <v>468</v>
      </c>
      <c r="AC316">
        <v>1</v>
      </c>
      <c r="AD316" t="s">
        <v>565</v>
      </c>
      <c r="AE316">
        <v>3615.4205219999999</v>
      </c>
      <c r="AF316">
        <v>0.61328000000000005</v>
      </c>
      <c r="AG316" t="s">
        <v>588</v>
      </c>
      <c r="AH316">
        <v>1</v>
      </c>
      <c r="AI316">
        <v>5895.22</v>
      </c>
      <c r="AJ316" t="s">
        <v>561</v>
      </c>
      <c r="AK316" t="s">
        <v>589</v>
      </c>
      <c r="AL316" t="s">
        <v>590</v>
      </c>
      <c r="AM316">
        <v>2022</v>
      </c>
      <c r="AN316">
        <v>2020</v>
      </c>
      <c r="AO316">
        <f>IF(AND(emissions[[#This Row],[Market-based]]=0,emissions[[#This Row],[Impact Type]]="CO2E"),emissions[[#This Row],[kgCO2e]],0)/1000</f>
        <v>0</v>
      </c>
      <c r="AP316">
        <f>IF(AND(emissions[[#This Row],[Market-based]]=1,OR(emissions[[#This Row],[Impact Type]]="CO2E",emissions[[#This Row],[Impact Type]]="CO2E MKT")),emissions[[#This Row],[kgCO2e]],0)/1000</f>
        <v>3.615420522</v>
      </c>
      <c r="AQ316" t="str">
        <f>_xlfn.TEXTAFTER(emissions[[#This Row],[Reporting Unit]]," &gt; ",LEN(emissions[[#This Row],[Reporting Unit]])-LEN(SUBSTITUTE(emissions[[#This Row],[Reporting Unit]],"&gt;","")))</f>
        <v>Vantage_Leuna</v>
      </c>
      <c r="AR316" t="str">
        <f>_xlfn.XLOOKUP(emissions[[#This Row],[Reporting unit name]],hierarchy!$A:$A,hierarchy!$C:$C)</f>
        <v>Office (with heat &amp; steam)</v>
      </c>
    </row>
    <row r="317" spans="1:44" hidden="1" x14ac:dyDescent="0.25">
      <c r="A317">
        <v>255506</v>
      </c>
      <c r="B317" t="s">
        <v>164</v>
      </c>
      <c r="C317" t="s">
        <v>537</v>
      </c>
      <c r="D317" t="s">
        <v>548</v>
      </c>
      <c r="E317" s="3">
        <v>44562</v>
      </c>
      <c r="F317" s="3">
        <v>44926</v>
      </c>
      <c r="G317" t="s">
        <v>141</v>
      </c>
      <c r="H317" s="3">
        <v>44562</v>
      </c>
      <c r="I317" s="3">
        <v>44926</v>
      </c>
      <c r="J317" t="s">
        <v>147</v>
      </c>
      <c r="K317">
        <v>9842.58</v>
      </c>
      <c r="L317" t="s">
        <v>143</v>
      </c>
      <c r="M317" t="s">
        <v>110</v>
      </c>
      <c r="O317" t="s">
        <v>686</v>
      </c>
      <c r="P317" t="s">
        <v>550</v>
      </c>
      <c r="Q317">
        <v>2022</v>
      </c>
      <c r="R317" t="s">
        <v>584</v>
      </c>
      <c r="S317" t="s">
        <v>585</v>
      </c>
      <c r="T317" t="s">
        <v>553</v>
      </c>
      <c r="U317" t="b">
        <v>0</v>
      </c>
      <c r="V317" t="s">
        <v>586</v>
      </c>
      <c r="W317" t="s">
        <v>587</v>
      </c>
      <c r="X317" t="s">
        <v>556</v>
      </c>
      <c r="Y317" t="s">
        <v>468</v>
      </c>
      <c r="AC317">
        <v>0</v>
      </c>
      <c r="AD317" t="s">
        <v>558</v>
      </c>
      <c r="AE317">
        <v>2.5590708000000002</v>
      </c>
      <c r="AF317">
        <v>2.5999999999999998E-4</v>
      </c>
      <c r="AG317" t="s">
        <v>588</v>
      </c>
      <c r="AH317">
        <v>1</v>
      </c>
      <c r="AI317">
        <v>9842.58</v>
      </c>
      <c r="AJ317" t="s">
        <v>561</v>
      </c>
      <c r="AK317" t="s">
        <v>589</v>
      </c>
      <c r="AL317" t="s">
        <v>590</v>
      </c>
      <c r="AM317">
        <v>2022</v>
      </c>
      <c r="AN317">
        <v>2020</v>
      </c>
      <c r="AO317">
        <f>IF(AND(emissions[[#This Row],[Market-based]]=0,emissions[[#This Row],[Impact Type]]="CO2E"),emissions[[#This Row],[kgCO2e]],0)/1000</f>
        <v>0</v>
      </c>
      <c r="AP317">
        <f>IF(AND(emissions[[#This Row],[Market-based]]=1,OR(emissions[[#This Row],[Impact Type]]="CO2E",emissions[[#This Row],[Impact Type]]="CO2E MKT")),emissions[[#This Row],[kgCO2e]],0)/1000</f>
        <v>0</v>
      </c>
      <c r="AQ317" t="str">
        <f>_xlfn.TEXTAFTER(emissions[[#This Row],[Reporting Unit]]," &gt; ",LEN(emissions[[#This Row],[Reporting Unit]])-LEN(SUBSTITUTE(emissions[[#This Row],[Reporting Unit]],"&gt;","")))</f>
        <v>Vantage_Leuna</v>
      </c>
      <c r="AR317" t="str">
        <f>_xlfn.XLOOKUP(emissions[[#This Row],[Reporting unit name]],hierarchy!$A:$A,hierarchy!$C:$C)</f>
        <v>Office (with heat &amp; steam)</v>
      </c>
    </row>
    <row r="318" spans="1:44" hidden="1" x14ac:dyDescent="0.25">
      <c r="A318">
        <v>255506</v>
      </c>
      <c r="B318" t="s">
        <v>164</v>
      </c>
      <c r="C318" t="s">
        <v>537</v>
      </c>
      <c r="D318" t="s">
        <v>548</v>
      </c>
      <c r="E318" s="3">
        <v>44562</v>
      </c>
      <c r="F318" s="3">
        <v>44926</v>
      </c>
      <c r="G318" t="s">
        <v>141</v>
      </c>
      <c r="H318" s="3">
        <v>44562</v>
      </c>
      <c r="I318" s="3">
        <v>44926</v>
      </c>
      <c r="J318" t="s">
        <v>147</v>
      </c>
      <c r="K318">
        <v>9842.58</v>
      </c>
      <c r="L318" t="s">
        <v>143</v>
      </c>
      <c r="M318" t="s">
        <v>110</v>
      </c>
      <c r="O318" t="s">
        <v>686</v>
      </c>
      <c r="P318" t="s">
        <v>550</v>
      </c>
      <c r="Q318">
        <v>2022</v>
      </c>
      <c r="R318" t="s">
        <v>584</v>
      </c>
      <c r="S318" t="s">
        <v>585</v>
      </c>
      <c r="T318" t="s">
        <v>553</v>
      </c>
      <c r="U318" t="b">
        <v>0</v>
      </c>
      <c r="V318" t="s">
        <v>586</v>
      </c>
      <c r="W318" t="s">
        <v>587</v>
      </c>
      <c r="X318" t="s">
        <v>556</v>
      </c>
      <c r="Y318" t="s">
        <v>468</v>
      </c>
      <c r="AC318">
        <v>0</v>
      </c>
      <c r="AD318" t="s">
        <v>564</v>
      </c>
      <c r="AE318">
        <v>24809.010300000002</v>
      </c>
      <c r="AF318">
        <v>2.5205799999999998</v>
      </c>
      <c r="AG318" t="s">
        <v>588</v>
      </c>
      <c r="AH318">
        <v>1</v>
      </c>
      <c r="AI318">
        <v>9842.58</v>
      </c>
      <c r="AJ318" t="s">
        <v>561</v>
      </c>
      <c r="AK318" t="s">
        <v>589</v>
      </c>
      <c r="AL318" t="s">
        <v>590</v>
      </c>
      <c r="AM318">
        <v>2022</v>
      </c>
      <c r="AN318">
        <v>2020</v>
      </c>
      <c r="AO318">
        <f>IF(AND(emissions[[#This Row],[Market-based]]=0,emissions[[#This Row],[Impact Type]]="CO2E"),emissions[[#This Row],[kgCO2e]],0)/1000</f>
        <v>0</v>
      </c>
      <c r="AP318">
        <f>IF(AND(emissions[[#This Row],[Market-based]]=1,OR(emissions[[#This Row],[Impact Type]]="CO2E",emissions[[#This Row],[Impact Type]]="CO2E MKT")),emissions[[#This Row],[kgCO2e]],0)/1000</f>
        <v>0</v>
      </c>
      <c r="AQ318" t="str">
        <f>_xlfn.TEXTAFTER(emissions[[#This Row],[Reporting Unit]]," &gt; ",LEN(emissions[[#This Row],[Reporting Unit]])-LEN(SUBSTITUTE(emissions[[#This Row],[Reporting Unit]],"&gt;","")))</f>
        <v>Vantage_Leuna</v>
      </c>
      <c r="AR318" t="str">
        <f>_xlfn.XLOOKUP(emissions[[#This Row],[Reporting unit name]],hierarchy!$A:$A,hierarchy!$C:$C)</f>
        <v>Office (with heat &amp; steam)</v>
      </c>
    </row>
    <row r="319" spans="1:44" hidden="1" x14ac:dyDescent="0.25">
      <c r="A319">
        <v>255506</v>
      </c>
      <c r="B319" t="s">
        <v>164</v>
      </c>
      <c r="C319" t="s">
        <v>537</v>
      </c>
      <c r="D319" t="s">
        <v>548</v>
      </c>
      <c r="E319" s="3">
        <v>44562</v>
      </c>
      <c r="F319" s="3">
        <v>44926</v>
      </c>
      <c r="G319" t="s">
        <v>141</v>
      </c>
      <c r="H319" s="3">
        <v>44562</v>
      </c>
      <c r="I319" s="3">
        <v>44926</v>
      </c>
      <c r="J319" t="s">
        <v>147</v>
      </c>
      <c r="K319">
        <v>9842.58</v>
      </c>
      <c r="L319" t="s">
        <v>143</v>
      </c>
      <c r="M319" t="s">
        <v>110</v>
      </c>
      <c r="O319" t="s">
        <v>686</v>
      </c>
      <c r="P319" t="s">
        <v>550</v>
      </c>
      <c r="Q319">
        <v>2022</v>
      </c>
      <c r="R319" t="s">
        <v>584</v>
      </c>
      <c r="S319" t="s">
        <v>585</v>
      </c>
      <c r="T319" t="s">
        <v>553</v>
      </c>
      <c r="U319" t="b">
        <v>0</v>
      </c>
      <c r="V319" t="s">
        <v>586</v>
      </c>
      <c r="W319" t="s">
        <v>587</v>
      </c>
      <c r="X319" t="s">
        <v>556</v>
      </c>
      <c r="Y319" t="s">
        <v>468</v>
      </c>
      <c r="AC319">
        <v>0</v>
      </c>
      <c r="AD319" t="s">
        <v>565</v>
      </c>
      <c r="AE319">
        <v>25175.74483</v>
      </c>
      <c r="AF319">
        <v>2.5578400000000001</v>
      </c>
      <c r="AG319" t="s">
        <v>588</v>
      </c>
      <c r="AH319">
        <v>1</v>
      </c>
      <c r="AI319">
        <v>9842.58</v>
      </c>
      <c r="AJ319" t="s">
        <v>561</v>
      </c>
      <c r="AK319" t="s">
        <v>589</v>
      </c>
      <c r="AL319" t="s">
        <v>590</v>
      </c>
      <c r="AM319">
        <v>2022</v>
      </c>
      <c r="AN319">
        <v>2020</v>
      </c>
      <c r="AO319">
        <f>IF(AND(emissions[[#This Row],[Market-based]]=0,emissions[[#This Row],[Impact Type]]="CO2E"),emissions[[#This Row],[kgCO2e]],0)/1000</f>
        <v>25.175744829999999</v>
      </c>
      <c r="AP319">
        <f>IF(AND(emissions[[#This Row],[Market-based]]=1,OR(emissions[[#This Row],[Impact Type]]="CO2E",emissions[[#This Row],[Impact Type]]="CO2E MKT")),emissions[[#This Row],[kgCO2e]],0)/1000</f>
        <v>0</v>
      </c>
      <c r="AQ319" t="str">
        <f>_xlfn.TEXTAFTER(emissions[[#This Row],[Reporting Unit]]," &gt; ",LEN(emissions[[#This Row],[Reporting Unit]])-LEN(SUBSTITUTE(emissions[[#This Row],[Reporting Unit]],"&gt;","")))</f>
        <v>Vantage_Leuna</v>
      </c>
      <c r="AR319" t="str">
        <f>_xlfn.XLOOKUP(emissions[[#This Row],[Reporting unit name]],hierarchy!$A:$A,hierarchy!$C:$C)</f>
        <v>Office (with heat &amp; steam)</v>
      </c>
    </row>
    <row r="320" spans="1:44" hidden="1" x14ac:dyDescent="0.25">
      <c r="A320">
        <v>255506</v>
      </c>
      <c r="B320" t="s">
        <v>164</v>
      </c>
      <c r="C320" t="s">
        <v>537</v>
      </c>
      <c r="D320" t="s">
        <v>548</v>
      </c>
      <c r="E320" s="3">
        <v>44562</v>
      </c>
      <c r="F320" s="3">
        <v>44926</v>
      </c>
      <c r="G320" t="s">
        <v>141</v>
      </c>
      <c r="H320" s="3">
        <v>44562</v>
      </c>
      <c r="I320" s="3">
        <v>44926</v>
      </c>
      <c r="J320" t="s">
        <v>147</v>
      </c>
      <c r="K320">
        <v>9842.58</v>
      </c>
      <c r="L320" t="s">
        <v>143</v>
      </c>
      <c r="M320" t="s">
        <v>110</v>
      </c>
      <c r="O320" t="s">
        <v>686</v>
      </c>
      <c r="P320" t="s">
        <v>550</v>
      </c>
      <c r="Q320">
        <v>2022</v>
      </c>
      <c r="R320" t="s">
        <v>584</v>
      </c>
      <c r="S320" t="s">
        <v>585</v>
      </c>
      <c r="T320" t="s">
        <v>553</v>
      </c>
      <c r="U320" t="b">
        <v>0</v>
      </c>
      <c r="V320" t="s">
        <v>586</v>
      </c>
      <c r="W320" t="s">
        <v>587</v>
      </c>
      <c r="X320" t="s">
        <v>556</v>
      </c>
      <c r="Y320" t="s">
        <v>468</v>
      </c>
      <c r="AC320">
        <v>0</v>
      </c>
      <c r="AD320" t="s">
        <v>566</v>
      </c>
      <c r="AE320">
        <v>364.17545999999999</v>
      </c>
      <c r="AF320">
        <v>3.6999999999999998E-2</v>
      </c>
      <c r="AG320" t="s">
        <v>588</v>
      </c>
      <c r="AH320">
        <v>1</v>
      </c>
      <c r="AI320">
        <v>9842.58</v>
      </c>
      <c r="AJ320" t="s">
        <v>561</v>
      </c>
      <c r="AK320" t="s">
        <v>589</v>
      </c>
      <c r="AL320" t="s">
        <v>590</v>
      </c>
      <c r="AM320">
        <v>2022</v>
      </c>
      <c r="AN320">
        <v>2020</v>
      </c>
      <c r="AO320">
        <f>IF(AND(emissions[[#This Row],[Market-based]]=0,emissions[[#This Row],[Impact Type]]="CO2E"),emissions[[#This Row],[kgCO2e]],0)/1000</f>
        <v>0</v>
      </c>
      <c r="AP320">
        <f>IF(AND(emissions[[#This Row],[Market-based]]=1,OR(emissions[[#This Row],[Impact Type]]="CO2E",emissions[[#This Row],[Impact Type]]="CO2E MKT")),emissions[[#This Row],[kgCO2e]],0)/1000</f>
        <v>0</v>
      </c>
      <c r="AQ320" t="str">
        <f>_xlfn.TEXTAFTER(emissions[[#This Row],[Reporting Unit]]," &gt; ",LEN(emissions[[#This Row],[Reporting Unit]])-LEN(SUBSTITUTE(emissions[[#This Row],[Reporting Unit]],"&gt;","")))</f>
        <v>Vantage_Leuna</v>
      </c>
      <c r="AR320" t="str">
        <f>_xlfn.XLOOKUP(emissions[[#This Row],[Reporting unit name]],hierarchy!$A:$A,hierarchy!$C:$C)</f>
        <v>Office (with heat &amp; steam)</v>
      </c>
    </row>
    <row r="321" spans="1:44" hidden="1" x14ac:dyDescent="0.25">
      <c r="A321">
        <v>255506</v>
      </c>
      <c r="B321" t="s">
        <v>164</v>
      </c>
      <c r="C321" t="s">
        <v>537</v>
      </c>
      <c r="D321" t="s">
        <v>548</v>
      </c>
      <c r="E321" s="3">
        <v>44562</v>
      </c>
      <c r="F321" s="3">
        <v>44926</v>
      </c>
      <c r="G321" t="s">
        <v>141</v>
      </c>
      <c r="H321" s="3">
        <v>44562</v>
      </c>
      <c r="I321" s="3">
        <v>44926</v>
      </c>
      <c r="J321" t="s">
        <v>147</v>
      </c>
      <c r="K321">
        <v>9842.58</v>
      </c>
      <c r="L321" t="s">
        <v>143</v>
      </c>
      <c r="M321" t="s">
        <v>110</v>
      </c>
      <c r="O321" t="s">
        <v>686</v>
      </c>
      <c r="P321" t="s">
        <v>550</v>
      </c>
      <c r="Q321">
        <v>2022</v>
      </c>
      <c r="R321" t="s">
        <v>584</v>
      </c>
      <c r="S321" t="s">
        <v>585</v>
      </c>
      <c r="T321" t="s">
        <v>553</v>
      </c>
      <c r="U321" t="b">
        <v>0</v>
      </c>
      <c r="V321" t="s">
        <v>586</v>
      </c>
      <c r="W321" t="s">
        <v>587</v>
      </c>
      <c r="X321" t="s">
        <v>556</v>
      </c>
      <c r="Y321" t="s">
        <v>468</v>
      </c>
      <c r="AC321">
        <v>1</v>
      </c>
      <c r="AD321" t="s">
        <v>558</v>
      </c>
      <c r="AE321">
        <v>2.5590708000000002</v>
      </c>
      <c r="AF321">
        <v>2.5999999999999998E-4</v>
      </c>
      <c r="AG321" t="s">
        <v>588</v>
      </c>
      <c r="AH321">
        <v>1</v>
      </c>
      <c r="AI321">
        <v>9842.58</v>
      </c>
      <c r="AJ321" t="s">
        <v>561</v>
      </c>
      <c r="AK321" t="s">
        <v>589</v>
      </c>
      <c r="AL321" t="s">
        <v>590</v>
      </c>
      <c r="AM321">
        <v>2022</v>
      </c>
      <c r="AN321">
        <v>2020</v>
      </c>
      <c r="AO321">
        <f>IF(AND(emissions[[#This Row],[Market-based]]=0,emissions[[#This Row],[Impact Type]]="CO2E"),emissions[[#This Row],[kgCO2e]],0)/1000</f>
        <v>0</v>
      </c>
      <c r="AP321">
        <f>IF(AND(emissions[[#This Row],[Market-based]]=1,OR(emissions[[#This Row],[Impact Type]]="CO2E",emissions[[#This Row],[Impact Type]]="CO2E MKT")),emissions[[#This Row],[kgCO2e]],0)/1000</f>
        <v>0</v>
      </c>
      <c r="AQ321" t="str">
        <f>_xlfn.TEXTAFTER(emissions[[#This Row],[Reporting Unit]]," &gt; ",LEN(emissions[[#This Row],[Reporting Unit]])-LEN(SUBSTITUTE(emissions[[#This Row],[Reporting Unit]],"&gt;","")))</f>
        <v>Vantage_Leuna</v>
      </c>
      <c r="AR321" t="str">
        <f>_xlfn.XLOOKUP(emissions[[#This Row],[Reporting unit name]],hierarchy!$A:$A,hierarchy!$C:$C)</f>
        <v>Office (with heat &amp; steam)</v>
      </c>
    </row>
    <row r="322" spans="1:44" hidden="1" x14ac:dyDescent="0.25">
      <c r="A322">
        <v>255506</v>
      </c>
      <c r="B322" t="s">
        <v>164</v>
      </c>
      <c r="C322" t="s">
        <v>537</v>
      </c>
      <c r="D322" t="s">
        <v>548</v>
      </c>
      <c r="E322" s="3">
        <v>44562</v>
      </c>
      <c r="F322" s="3">
        <v>44926</v>
      </c>
      <c r="G322" t="s">
        <v>141</v>
      </c>
      <c r="H322" s="3">
        <v>44562</v>
      </c>
      <c r="I322" s="3">
        <v>44926</v>
      </c>
      <c r="J322" t="s">
        <v>147</v>
      </c>
      <c r="K322">
        <v>9842.58</v>
      </c>
      <c r="L322" t="s">
        <v>143</v>
      </c>
      <c r="M322" t="s">
        <v>110</v>
      </c>
      <c r="O322" t="s">
        <v>686</v>
      </c>
      <c r="P322" t="s">
        <v>550</v>
      </c>
      <c r="Q322">
        <v>2022</v>
      </c>
      <c r="R322" t="s">
        <v>584</v>
      </c>
      <c r="S322" t="s">
        <v>585</v>
      </c>
      <c r="T322" t="s">
        <v>553</v>
      </c>
      <c r="U322" t="b">
        <v>0</v>
      </c>
      <c r="V322" t="s">
        <v>586</v>
      </c>
      <c r="W322" t="s">
        <v>587</v>
      </c>
      <c r="X322" t="s">
        <v>556</v>
      </c>
      <c r="Y322" t="s">
        <v>468</v>
      </c>
      <c r="AC322">
        <v>1</v>
      </c>
      <c r="AD322" t="s">
        <v>564</v>
      </c>
      <c r="AE322">
        <v>24809.010300000002</v>
      </c>
      <c r="AF322">
        <v>2.5205799999999998</v>
      </c>
      <c r="AG322" t="s">
        <v>588</v>
      </c>
      <c r="AH322">
        <v>1</v>
      </c>
      <c r="AI322">
        <v>9842.58</v>
      </c>
      <c r="AJ322" t="s">
        <v>561</v>
      </c>
      <c r="AK322" t="s">
        <v>589</v>
      </c>
      <c r="AL322" t="s">
        <v>590</v>
      </c>
      <c r="AM322">
        <v>2022</v>
      </c>
      <c r="AN322">
        <v>2020</v>
      </c>
      <c r="AO322">
        <f>IF(AND(emissions[[#This Row],[Market-based]]=0,emissions[[#This Row],[Impact Type]]="CO2E"),emissions[[#This Row],[kgCO2e]],0)/1000</f>
        <v>0</v>
      </c>
      <c r="AP322">
        <f>IF(AND(emissions[[#This Row],[Market-based]]=1,OR(emissions[[#This Row],[Impact Type]]="CO2E",emissions[[#This Row],[Impact Type]]="CO2E MKT")),emissions[[#This Row],[kgCO2e]],0)/1000</f>
        <v>0</v>
      </c>
      <c r="AQ322" t="str">
        <f>_xlfn.TEXTAFTER(emissions[[#This Row],[Reporting Unit]]," &gt; ",LEN(emissions[[#This Row],[Reporting Unit]])-LEN(SUBSTITUTE(emissions[[#This Row],[Reporting Unit]],"&gt;","")))</f>
        <v>Vantage_Leuna</v>
      </c>
      <c r="AR322" t="str">
        <f>_xlfn.XLOOKUP(emissions[[#This Row],[Reporting unit name]],hierarchy!$A:$A,hierarchy!$C:$C)</f>
        <v>Office (with heat &amp; steam)</v>
      </c>
    </row>
    <row r="323" spans="1:44" hidden="1" x14ac:dyDescent="0.25">
      <c r="A323">
        <v>255506</v>
      </c>
      <c r="B323" t="s">
        <v>164</v>
      </c>
      <c r="C323" t="s">
        <v>537</v>
      </c>
      <c r="D323" t="s">
        <v>548</v>
      </c>
      <c r="E323" s="3">
        <v>44562</v>
      </c>
      <c r="F323" s="3">
        <v>44926</v>
      </c>
      <c r="G323" t="s">
        <v>141</v>
      </c>
      <c r="H323" s="3">
        <v>44562</v>
      </c>
      <c r="I323" s="3">
        <v>44926</v>
      </c>
      <c r="J323" t="s">
        <v>147</v>
      </c>
      <c r="K323">
        <v>9842.58</v>
      </c>
      <c r="L323" t="s">
        <v>143</v>
      </c>
      <c r="M323" t="s">
        <v>110</v>
      </c>
      <c r="O323" t="s">
        <v>686</v>
      </c>
      <c r="P323" t="s">
        <v>550</v>
      </c>
      <c r="Q323">
        <v>2022</v>
      </c>
      <c r="R323" t="s">
        <v>584</v>
      </c>
      <c r="S323" t="s">
        <v>585</v>
      </c>
      <c r="T323" t="s">
        <v>553</v>
      </c>
      <c r="U323" t="b">
        <v>0</v>
      </c>
      <c r="V323" t="s">
        <v>586</v>
      </c>
      <c r="W323" t="s">
        <v>587</v>
      </c>
      <c r="X323" t="s">
        <v>556</v>
      </c>
      <c r="Y323" t="s">
        <v>468</v>
      </c>
      <c r="AC323">
        <v>1</v>
      </c>
      <c r="AD323" t="s">
        <v>565</v>
      </c>
      <c r="AE323">
        <v>25175.74483</v>
      </c>
      <c r="AF323">
        <v>2.5578400000000001</v>
      </c>
      <c r="AG323" t="s">
        <v>588</v>
      </c>
      <c r="AH323">
        <v>1</v>
      </c>
      <c r="AI323">
        <v>9842.58</v>
      </c>
      <c r="AJ323" t="s">
        <v>561</v>
      </c>
      <c r="AK323" t="s">
        <v>589</v>
      </c>
      <c r="AL323" t="s">
        <v>590</v>
      </c>
      <c r="AM323">
        <v>2022</v>
      </c>
      <c r="AN323">
        <v>2020</v>
      </c>
      <c r="AO323">
        <f>IF(AND(emissions[[#This Row],[Market-based]]=0,emissions[[#This Row],[Impact Type]]="CO2E"),emissions[[#This Row],[kgCO2e]],0)/1000</f>
        <v>0</v>
      </c>
      <c r="AP323">
        <f>IF(AND(emissions[[#This Row],[Market-based]]=1,OR(emissions[[#This Row],[Impact Type]]="CO2E",emissions[[#This Row],[Impact Type]]="CO2E MKT")),emissions[[#This Row],[kgCO2e]],0)/1000</f>
        <v>25.175744829999999</v>
      </c>
      <c r="AQ323" t="str">
        <f>_xlfn.TEXTAFTER(emissions[[#This Row],[Reporting Unit]]," &gt; ",LEN(emissions[[#This Row],[Reporting Unit]])-LEN(SUBSTITUTE(emissions[[#This Row],[Reporting Unit]],"&gt;","")))</f>
        <v>Vantage_Leuna</v>
      </c>
      <c r="AR323" t="str">
        <f>_xlfn.XLOOKUP(emissions[[#This Row],[Reporting unit name]],hierarchy!$A:$A,hierarchy!$C:$C)</f>
        <v>Office (with heat &amp; steam)</v>
      </c>
    </row>
    <row r="324" spans="1:44" hidden="1" x14ac:dyDescent="0.25">
      <c r="A324">
        <v>255506</v>
      </c>
      <c r="B324" t="s">
        <v>164</v>
      </c>
      <c r="C324" t="s">
        <v>537</v>
      </c>
      <c r="D324" t="s">
        <v>548</v>
      </c>
      <c r="E324" s="3">
        <v>44562</v>
      </c>
      <c r="F324" s="3">
        <v>44926</v>
      </c>
      <c r="G324" t="s">
        <v>141</v>
      </c>
      <c r="H324" s="3">
        <v>44562</v>
      </c>
      <c r="I324" s="3">
        <v>44926</v>
      </c>
      <c r="J324" t="s">
        <v>147</v>
      </c>
      <c r="K324">
        <v>9842.58</v>
      </c>
      <c r="L324" t="s">
        <v>143</v>
      </c>
      <c r="M324" t="s">
        <v>110</v>
      </c>
      <c r="O324" t="s">
        <v>686</v>
      </c>
      <c r="P324" t="s">
        <v>550</v>
      </c>
      <c r="Q324">
        <v>2022</v>
      </c>
      <c r="R324" t="s">
        <v>584</v>
      </c>
      <c r="S324" t="s">
        <v>585</v>
      </c>
      <c r="T324" t="s">
        <v>553</v>
      </c>
      <c r="U324" t="b">
        <v>0</v>
      </c>
      <c r="V324" t="s">
        <v>586</v>
      </c>
      <c r="W324" t="s">
        <v>587</v>
      </c>
      <c r="X324" t="s">
        <v>556</v>
      </c>
      <c r="Y324" t="s">
        <v>468</v>
      </c>
      <c r="AC324">
        <v>1</v>
      </c>
      <c r="AD324" t="s">
        <v>566</v>
      </c>
      <c r="AE324">
        <v>364.17545999999999</v>
      </c>
      <c r="AF324">
        <v>3.6999999999999998E-2</v>
      </c>
      <c r="AG324" t="s">
        <v>588</v>
      </c>
      <c r="AH324">
        <v>1</v>
      </c>
      <c r="AI324">
        <v>9842.58</v>
      </c>
      <c r="AJ324" t="s">
        <v>561</v>
      </c>
      <c r="AK324" t="s">
        <v>589</v>
      </c>
      <c r="AL324" t="s">
        <v>590</v>
      </c>
      <c r="AM324">
        <v>2022</v>
      </c>
      <c r="AN324">
        <v>2020</v>
      </c>
      <c r="AO324">
        <f>IF(AND(emissions[[#This Row],[Market-based]]=0,emissions[[#This Row],[Impact Type]]="CO2E"),emissions[[#This Row],[kgCO2e]],0)/1000</f>
        <v>0</v>
      </c>
      <c r="AP324">
        <f>IF(AND(emissions[[#This Row],[Market-based]]=1,OR(emissions[[#This Row],[Impact Type]]="CO2E",emissions[[#This Row],[Impact Type]]="CO2E MKT")),emissions[[#This Row],[kgCO2e]],0)/1000</f>
        <v>0</v>
      </c>
      <c r="AQ324" t="str">
        <f>_xlfn.TEXTAFTER(emissions[[#This Row],[Reporting Unit]]," &gt; ",LEN(emissions[[#This Row],[Reporting Unit]])-LEN(SUBSTITUTE(emissions[[#This Row],[Reporting Unit]],"&gt;","")))</f>
        <v>Vantage_Leuna</v>
      </c>
      <c r="AR324" t="str">
        <f>_xlfn.XLOOKUP(emissions[[#This Row],[Reporting unit name]],hierarchy!$A:$A,hierarchy!$C:$C)</f>
        <v>Office (with heat &amp; steam)</v>
      </c>
    </row>
    <row r="325" spans="1:44" hidden="1" x14ac:dyDescent="0.25">
      <c r="A325">
        <v>255506</v>
      </c>
      <c r="B325" t="s">
        <v>164</v>
      </c>
      <c r="C325" t="s">
        <v>537</v>
      </c>
      <c r="D325" t="s">
        <v>548</v>
      </c>
      <c r="E325" s="3">
        <v>44562</v>
      </c>
      <c r="F325" s="3">
        <v>44926</v>
      </c>
      <c r="G325" t="s">
        <v>141</v>
      </c>
      <c r="H325" s="3">
        <v>44562</v>
      </c>
      <c r="I325" s="3">
        <v>44926</v>
      </c>
      <c r="J325" t="s">
        <v>147</v>
      </c>
      <c r="K325">
        <v>9842.58</v>
      </c>
      <c r="L325" t="s">
        <v>143</v>
      </c>
      <c r="M325" t="s">
        <v>110</v>
      </c>
      <c r="O325" t="s">
        <v>686</v>
      </c>
      <c r="P325" t="s">
        <v>550</v>
      </c>
      <c r="Q325">
        <v>2022</v>
      </c>
      <c r="R325" t="s">
        <v>591</v>
      </c>
      <c r="S325" t="s">
        <v>592</v>
      </c>
      <c r="T325" t="s">
        <v>577</v>
      </c>
      <c r="U325" t="b">
        <v>0</v>
      </c>
      <c r="V325" t="s">
        <v>593</v>
      </c>
      <c r="W325" t="s">
        <v>571</v>
      </c>
      <c r="X325" t="s">
        <v>572</v>
      </c>
      <c r="Y325" t="s">
        <v>468</v>
      </c>
      <c r="AC325">
        <v>0</v>
      </c>
      <c r="AD325" t="s">
        <v>565</v>
      </c>
      <c r="AE325">
        <v>6002.5958389999996</v>
      </c>
      <c r="AF325">
        <v>0.60985999999999996</v>
      </c>
      <c r="AG325" t="s">
        <v>588</v>
      </c>
      <c r="AH325">
        <v>1</v>
      </c>
      <c r="AI325">
        <v>9842.58</v>
      </c>
      <c r="AJ325" t="s">
        <v>561</v>
      </c>
      <c r="AK325" t="s">
        <v>589</v>
      </c>
      <c r="AL325" t="s">
        <v>590</v>
      </c>
      <c r="AM325">
        <v>2022</v>
      </c>
      <c r="AN325">
        <v>2020</v>
      </c>
      <c r="AO325">
        <f>IF(AND(emissions[[#This Row],[Market-based]]=0,emissions[[#This Row],[Impact Type]]="CO2E"),emissions[[#This Row],[kgCO2e]],0)/1000</f>
        <v>6.0025958389999996</v>
      </c>
      <c r="AP325">
        <f>IF(AND(emissions[[#This Row],[Market-based]]=1,OR(emissions[[#This Row],[Impact Type]]="CO2E",emissions[[#This Row],[Impact Type]]="CO2E MKT")),emissions[[#This Row],[kgCO2e]],0)/1000</f>
        <v>0</v>
      </c>
      <c r="AQ325" t="str">
        <f>_xlfn.TEXTAFTER(emissions[[#This Row],[Reporting Unit]]," &gt; ",LEN(emissions[[#This Row],[Reporting Unit]])-LEN(SUBSTITUTE(emissions[[#This Row],[Reporting Unit]],"&gt;","")))</f>
        <v>Vantage_Leuna</v>
      </c>
      <c r="AR325" t="str">
        <f>_xlfn.XLOOKUP(emissions[[#This Row],[Reporting unit name]],hierarchy!$A:$A,hierarchy!$C:$C)</f>
        <v>Office (with heat &amp; steam)</v>
      </c>
    </row>
    <row r="326" spans="1:44" hidden="1" x14ac:dyDescent="0.25">
      <c r="A326">
        <v>255506</v>
      </c>
      <c r="B326" t="s">
        <v>164</v>
      </c>
      <c r="C326" t="s">
        <v>537</v>
      </c>
      <c r="D326" t="s">
        <v>548</v>
      </c>
      <c r="E326" s="3">
        <v>44562</v>
      </c>
      <c r="F326" s="3">
        <v>44926</v>
      </c>
      <c r="G326" t="s">
        <v>141</v>
      </c>
      <c r="H326" s="3">
        <v>44562</v>
      </c>
      <c r="I326" s="3">
        <v>44926</v>
      </c>
      <c r="J326" t="s">
        <v>147</v>
      </c>
      <c r="K326">
        <v>9842.58</v>
      </c>
      <c r="L326" t="s">
        <v>143</v>
      </c>
      <c r="M326" t="s">
        <v>110</v>
      </c>
      <c r="O326" t="s">
        <v>686</v>
      </c>
      <c r="P326" t="s">
        <v>550</v>
      </c>
      <c r="Q326">
        <v>2022</v>
      </c>
      <c r="R326" t="s">
        <v>591</v>
      </c>
      <c r="S326" t="s">
        <v>592</v>
      </c>
      <c r="T326" t="s">
        <v>577</v>
      </c>
      <c r="U326" t="b">
        <v>0</v>
      </c>
      <c r="V326" t="s">
        <v>593</v>
      </c>
      <c r="W326" t="s">
        <v>571</v>
      </c>
      <c r="X326" t="s">
        <v>572</v>
      </c>
      <c r="Y326" t="s">
        <v>468</v>
      </c>
      <c r="AC326">
        <v>1</v>
      </c>
      <c r="AD326" t="s">
        <v>565</v>
      </c>
      <c r="AE326">
        <v>6002.5958389999996</v>
      </c>
      <c r="AF326">
        <v>0.60985999999999996</v>
      </c>
      <c r="AG326" t="s">
        <v>588</v>
      </c>
      <c r="AH326">
        <v>1</v>
      </c>
      <c r="AI326">
        <v>9842.58</v>
      </c>
      <c r="AJ326" t="s">
        <v>561</v>
      </c>
      <c r="AK326" t="s">
        <v>589</v>
      </c>
      <c r="AL326" t="s">
        <v>590</v>
      </c>
      <c r="AM326">
        <v>2022</v>
      </c>
      <c r="AN326">
        <v>2020</v>
      </c>
      <c r="AO326">
        <f>IF(AND(emissions[[#This Row],[Market-based]]=0,emissions[[#This Row],[Impact Type]]="CO2E"),emissions[[#This Row],[kgCO2e]],0)/1000</f>
        <v>0</v>
      </c>
      <c r="AP326">
        <f>IF(AND(emissions[[#This Row],[Market-based]]=1,OR(emissions[[#This Row],[Impact Type]]="CO2E",emissions[[#This Row],[Impact Type]]="CO2E MKT")),emissions[[#This Row],[kgCO2e]],0)/1000</f>
        <v>6.0025958389999996</v>
      </c>
      <c r="AQ326" t="str">
        <f>_xlfn.TEXTAFTER(emissions[[#This Row],[Reporting Unit]]," &gt; ",LEN(emissions[[#This Row],[Reporting Unit]])-LEN(SUBSTITUTE(emissions[[#This Row],[Reporting Unit]],"&gt;","")))</f>
        <v>Vantage_Leuna</v>
      </c>
      <c r="AR326" t="str">
        <f>_xlfn.XLOOKUP(emissions[[#This Row],[Reporting unit name]],hierarchy!$A:$A,hierarchy!$C:$C)</f>
        <v>Office (with heat &amp; steam)</v>
      </c>
    </row>
    <row r="327" spans="1:44" hidden="1" x14ac:dyDescent="0.25">
      <c r="A327">
        <v>290088</v>
      </c>
      <c r="B327" t="s">
        <v>164</v>
      </c>
      <c r="C327" t="s">
        <v>537</v>
      </c>
      <c r="D327" t="s">
        <v>548</v>
      </c>
      <c r="E327" s="3">
        <v>44562</v>
      </c>
      <c r="F327" s="3">
        <v>44926</v>
      </c>
      <c r="G327" t="s">
        <v>141</v>
      </c>
      <c r="H327" s="3">
        <v>44562</v>
      </c>
      <c r="I327" s="3">
        <v>44926</v>
      </c>
      <c r="J327" t="s">
        <v>171</v>
      </c>
      <c r="K327">
        <v>48.14</v>
      </c>
      <c r="L327" t="s">
        <v>143</v>
      </c>
      <c r="M327" t="s">
        <v>110</v>
      </c>
      <c r="O327" t="s">
        <v>687</v>
      </c>
      <c r="P327" t="s">
        <v>550</v>
      </c>
      <c r="Q327">
        <v>2022</v>
      </c>
      <c r="R327" t="s">
        <v>688</v>
      </c>
      <c r="S327" t="s">
        <v>689</v>
      </c>
      <c r="T327" t="s">
        <v>553</v>
      </c>
      <c r="U327" t="b">
        <v>0</v>
      </c>
      <c r="V327" t="s">
        <v>690</v>
      </c>
      <c r="W327" t="s">
        <v>587</v>
      </c>
      <c r="X327" t="s">
        <v>556</v>
      </c>
      <c r="Y327" t="s">
        <v>468</v>
      </c>
      <c r="AC327">
        <v>0</v>
      </c>
      <c r="AD327" t="s">
        <v>558</v>
      </c>
      <c r="AE327">
        <v>0.13527339999999999</v>
      </c>
      <c r="AF327">
        <v>2.81E-3</v>
      </c>
      <c r="AG327" t="s">
        <v>588</v>
      </c>
      <c r="AH327">
        <v>1</v>
      </c>
      <c r="AI327">
        <v>48.14</v>
      </c>
      <c r="AJ327" t="s">
        <v>561</v>
      </c>
      <c r="AK327" t="s">
        <v>589</v>
      </c>
      <c r="AL327" t="s">
        <v>590</v>
      </c>
      <c r="AM327">
        <v>2022</v>
      </c>
      <c r="AN327">
        <v>2020</v>
      </c>
      <c r="AO327">
        <f>IF(AND(emissions[[#This Row],[Market-based]]=0,emissions[[#This Row],[Impact Type]]="CO2E"),emissions[[#This Row],[kgCO2e]],0)/1000</f>
        <v>0</v>
      </c>
      <c r="AP327">
        <f>IF(AND(emissions[[#This Row],[Market-based]]=1,OR(emissions[[#This Row],[Impact Type]]="CO2E",emissions[[#This Row],[Impact Type]]="CO2E MKT")),emissions[[#This Row],[kgCO2e]],0)/1000</f>
        <v>0</v>
      </c>
      <c r="AQ327" t="str">
        <f>_xlfn.TEXTAFTER(emissions[[#This Row],[Reporting Unit]]," &gt; ",LEN(emissions[[#This Row],[Reporting Unit]])-LEN(SUBSTITUTE(emissions[[#This Row],[Reporting Unit]],"&gt;","")))</f>
        <v>Vantage_Leuna</v>
      </c>
      <c r="AR327" t="str">
        <f>_xlfn.XLOOKUP(emissions[[#This Row],[Reporting unit name]],hierarchy!$A:$A,hierarchy!$C:$C)</f>
        <v>Office (with heat &amp; steam)</v>
      </c>
    </row>
    <row r="328" spans="1:44" hidden="1" x14ac:dyDescent="0.25">
      <c r="A328">
        <v>290088</v>
      </c>
      <c r="B328" t="s">
        <v>164</v>
      </c>
      <c r="C328" t="s">
        <v>537</v>
      </c>
      <c r="D328" t="s">
        <v>548</v>
      </c>
      <c r="E328" s="3">
        <v>44562</v>
      </c>
      <c r="F328" s="3">
        <v>44926</v>
      </c>
      <c r="G328" t="s">
        <v>141</v>
      </c>
      <c r="H328" s="3">
        <v>44562</v>
      </c>
      <c r="I328" s="3">
        <v>44926</v>
      </c>
      <c r="J328" t="s">
        <v>171</v>
      </c>
      <c r="K328">
        <v>48.14</v>
      </c>
      <c r="L328" t="s">
        <v>143</v>
      </c>
      <c r="M328" t="s">
        <v>110</v>
      </c>
      <c r="O328" t="s">
        <v>687</v>
      </c>
      <c r="P328" t="s">
        <v>550</v>
      </c>
      <c r="Q328">
        <v>2022</v>
      </c>
      <c r="R328" t="s">
        <v>688</v>
      </c>
      <c r="S328" t="s">
        <v>689</v>
      </c>
      <c r="T328" t="s">
        <v>553</v>
      </c>
      <c r="U328" t="b">
        <v>0</v>
      </c>
      <c r="V328" t="s">
        <v>690</v>
      </c>
      <c r="W328" t="s">
        <v>587</v>
      </c>
      <c r="X328" t="s">
        <v>556</v>
      </c>
      <c r="Y328" t="s">
        <v>468</v>
      </c>
      <c r="AC328">
        <v>0</v>
      </c>
      <c r="AD328" t="s">
        <v>564</v>
      </c>
      <c r="AE328">
        <v>131.14154379999999</v>
      </c>
      <c r="AF328">
        <v>2.72417</v>
      </c>
      <c r="AG328" t="s">
        <v>588</v>
      </c>
      <c r="AH328">
        <v>1</v>
      </c>
      <c r="AI328">
        <v>48.14</v>
      </c>
      <c r="AJ328" t="s">
        <v>561</v>
      </c>
      <c r="AK328" t="s">
        <v>589</v>
      </c>
      <c r="AL328" t="s">
        <v>590</v>
      </c>
      <c r="AM328">
        <v>2022</v>
      </c>
      <c r="AN328">
        <v>2020</v>
      </c>
      <c r="AO328">
        <f>IF(AND(emissions[[#This Row],[Market-based]]=0,emissions[[#This Row],[Impact Type]]="CO2E"),emissions[[#This Row],[kgCO2e]],0)/1000</f>
        <v>0</v>
      </c>
      <c r="AP328">
        <f>IF(AND(emissions[[#This Row],[Market-based]]=1,OR(emissions[[#This Row],[Impact Type]]="CO2E",emissions[[#This Row],[Impact Type]]="CO2E MKT")),emissions[[#This Row],[kgCO2e]],0)/1000</f>
        <v>0</v>
      </c>
      <c r="AQ328" t="str">
        <f>_xlfn.TEXTAFTER(emissions[[#This Row],[Reporting Unit]]," &gt; ",LEN(emissions[[#This Row],[Reporting Unit]])-LEN(SUBSTITUTE(emissions[[#This Row],[Reporting Unit]],"&gt;","")))</f>
        <v>Vantage_Leuna</v>
      </c>
      <c r="AR328" t="str">
        <f>_xlfn.XLOOKUP(emissions[[#This Row],[Reporting unit name]],hierarchy!$A:$A,hierarchy!$C:$C)</f>
        <v>Office (with heat &amp; steam)</v>
      </c>
    </row>
    <row r="329" spans="1:44" hidden="1" x14ac:dyDescent="0.25">
      <c r="A329">
        <v>290088</v>
      </c>
      <c r="B329" t="s">
        <v>164</v>
      </c>
      <c r="C329" t="s">
        <v>537</v>
      </c>
      <c r="D329" t="s">
        <v>548</v>
      </c>
      <c r="E329" s="3">
        <v>44562</v>
      </c>
      <c r="F329" s="3">
        <v>44926</v>
      </c>
      <c r="G329" t="s">
        <v>141</v>
      </c>
      <c r="H329" s="3">
        <v>44562</v>
      </c>
      <c r="I329" s="3">
        <v>44926</v>
      </c>
      <c r="J329" t="s">
        <v>171</v>
      </c>
      <c r="K329">
        <v>48.14</v>
      </c>
      <c r="L329" t="s">
        <v>143</v>
      </c>
      <c r="M329" t="s">
        <v>110</v>
      </c>
      <c r="O329" t="s">
        <v>687</v>
      </c>
      <c r="P329" t="s">
        <v>550</v>
      </c>
      <c r="Q329">
        <v>2022</v>
      </c>
      <c r="R329" t="s">
        <v>688</v>
      </c>
      <c r="S329" t="s">
        <v>689</v>
      </c>
      <c r="T329" t="s">
        <v>553</v>
      </c>
      <c r="U329" t="b">
        <v>0</v>
      </c>
      <c r="V329" t="s">
        <v>690</v>
      </c>
      <c r="W329" t="s">
        <v>587</v>
      </c>
      <c r="X329" t="s">
        <v>556</v>
      </c>
      <c r="Y329" t="s">
        <v>468</v>
      </c>
      <c r="AC329">
        <v>0</v>
      </c>
      <c r="AD329" t="s">
        <v>565</v>
      </c>
      <c r="AE329">
        <v>132.79755979999999</v>
      </c>
      <c r="AF329">
        <v>2.7585700000000002</v>
      </c>
      <c r="AG329" t="s">
        <v>588</v>
      </c>
      <c r="AH329">
        <v>1</v>
      </c>
      <c r="AI329">
        <v>48.14</v>
      </c>
      <c r="AJ329" t="s">
        <v>561</v>
      </c>
      <c r="AK329" t="s">
        <v>589</v>
      </c>
      <c r="AL329" t="s">
        <v>590</v>
      </c>
      <c r="AM329">
        <v>2022</v>
      </c>
      <c r="AN329">
        <v>2020</v>
      </c>
      <c r="AO329">
        <f>IF(AND(emissions[[#This Row],[Market-based]]=0,emissions[[#This Row],[Impact Type]]="CO2E"),emissions[[#This Row],[kgCO2e]],0)/1000</f>
        <v>0.13279755979999999</v>
      </c>
      <c r="AP329">
        <f>IF(AND(emissions[[#This Row],[Market-based]]=1,OR(emissions[[#This Row],[Impact Type]]="CO2E",emissions[[#This Row],[Impact Type]]="CO2E MKT")),emissions[[#This Row],[kgCO2e]],0)/1000</f>
        <v>0</v>
      </c>
      <c r="AQ329" t="str">
        <f>_xlfn.TEXTAFTER(emissions[[#This Row],[Reporting Unit]]," &gt; ",LEN(emissions[[#This Row],[Reporting Unit]])-LEN(SUBSTITUTE(emissions[[#This Row],[Reporting Unit]],"&gt;","")))</f>
        <v>Vantage_Leuna</v>
      </c>
      <c r="AR329" t="str">
        <f>_xlfn.XLOOKUP(emissions[[#This Row],[Reporting unit name]],hierarchy!$A:$A,hierarchy!$C:$C)</f>
        <v>Office (with heat &amp; steam)</v>
      </c>
    </row>
    <row r="330" spans="1:44" hidden="1" x14ac:dyDescent="0.25">
      <c r="A330">
        <v>290088</v>
      </c>
      <c r="B330" t="s">
        <v>164</v>
      </c>
      <c r="C330" t="s">
        <v>537</v>
      </c>
      <c r="D330" t="s">
        <v>548</v>
      </c>
      <c r="E330" s="3">
        <v>44562</v>
      </c>
      <c r="F330" s="3">
        <v>44926</v>
      </c>
      <c r="G330" t="s">
        <v>141</v>
      </c>
      <c r="H330" s="3">
        <v>44562</v>
      </c>
      <c r="I330" s="3">
        <v>44926</v>
      </c>
      <c r="J330" t="s">
        <v>171</v>
      </c>
      <c r="K330">
        <v>48.14</v>
      </c>
      <c r="L330" t="s">
        <v>143</v>
      </c>
      <c r="M330" t="s">
        <v>110</v>
      </c>
      <c r="O330" t="s">
        <v>687</v>
      </c>
      <c r="P330" t="s">
        <v>550</v>
      </c>
      <c r="Q330">
        <v>2022</v>
      </c>
      <c r="R330" t="s">
        <v>688</v>
      </c>
      <c r="S330" t="s">
        <v>689</v>
      </c>
      <c r="T330" t="s">
        <v>553</v>
      </c>
      <c r="U330" t="b">
        <v>0</v>
      </c>
      <c r="V330" t="s">
        <v>690</v>
      </c>
      <c r="W330" t="s">
        <v>587</v>
      </c>
      <c r="X330" t="s">
        <v>556</v>
      </c>
      <c r="Y330" t="s">
        <v>468</v>
      </c>
      <c r="AC330">
        <v>0</v>
      </c>
      <c r="AD330" t="s">
        <v>566</v>
      </c>
      <c r="AE330">
        <v>1.5207425999999999</v>
      </c>
      <c r="AF330">
        <v>3.159E-2</v>
      </c>
      <c r="AG330" t="s">
        <v>588</v>
      </c>
      <c r="AH330">
        <v>1</v>
      </c>
      <c r="AI330">
        <v>48.14</v>
      </c>
      <c r="AJ330" t="s">
        <v>561</v>
      </c>
      <c r="AK330" t="s">
        <v>589</v>
      </c>
      <c r="AL330" t="s">
        <v>590</v>
      </c>
      <c r="AM330">
        <v>2022</v>
      </c>
      <c r="AN330">
        <v>2020</v>
      </c>
      <c r="AO330">
        <f>IF(AND(emissions[[#This Row],[Market-based]]=0,emissions[[#This Row],[Impact Type]]="CO2E"),emissions[[#This Row],[kgCO2e]],0)/1000</f>
        <v>0</v>
      </c>
      <c r="AP330">
        <f>IF(AND(emissions[[#This Row],[Market-based]]=1,OR(emissions[[#This Row],[Impact Type]]="CO2E",emissions[[#This Row],[Impact Type]]="CO2E MKT")),emissions[[#This Row],[kgCO2e]],0)/1000</f>
        <v>0</v>
      </c>
      <c r="AQ330" t="str">
        <f>_xlfn.TEXTAFTER(emissions[[#This Row],[Reporting Unit]]," &gt; ",LEN(emissions[[#This Row],[Reporting Unit]])-LEN(SUBSTITUTE(emissions[[#This Row],[Reporting Unit]],"&gt;","")))</f>
        <v>Vantage_Leuna</v>
      </c>
      <c r="AR330" t="str">
        <f>_xlfn.XLOOKUP(emissions[[#This Row],[Reporting unit name]],hierarchy!$A:$A,hierarchy!$C:$C)</f>
        <v>Office (with heat &amp; steam)</v>
      </c>
    </row>
    <row r="331" spans="1:44" hidden="1" x14ac:dyDescent="0.25">
      <c r="A331">
        <v>290088</v>
      </c>
      <c r="B331" t="s">
        <v>164</v>
      </c>
      <c r="C331" t="s">
        <v>537</v>
      </c>
      <c r="D331" t="s">
        <v>548</v>
      </c>
      <c r="E331" s="3">
        <v>44562</v>
      </c>
      <c r="F331" s="3">
        <v>44926</v>
      </c>
      <c r="G331" t="s">
        <v>141</v>
      </c>
      <c r="H331" s="3">
        <v>44562</v>
      </c>
      <c r="I331" s="3">
        <v>44926</v>
      </c>
      <c r="J331" t="s">
        <v>171</v>
      </c>
      <c r="K331">
        <v>48.14</v>
      </c>
      <c r="L331" t="s">
        <v>143</v>
      </c>
      <c r="M331" t="s">
        <v>110</v>
      </c>
      <c r="O331" t="s">
        <v>687</v>
      </c>
      <c r="P331" t="s">
        <v>550</v>
      </c>
      <c r="Q331">
        <v>2022</v>
      </c>
      <c r="R331" t="s">
        <v>688</v>
      </c>
      <c r="S331" t="s">
        <v>689</v>
      </c>
      <c r="T331" t="s">
        <v>553</v>
      </c>
      <c r="U331" t="b">
        <v>0</v>
      </c>
      <c r="V331" t="s">
        <v>690</v>
      </c>
      <c r="W331" t="s">
        <v>587</v>
      </c>
      <c r="X331" t="s">
        <v>556</v>
      </c>
      <c r="Y331" t="s">
        <v>468</v>
      </c>
      <c r="AC331">
        <v>1</v>
      </c>
      <c r="AD331" t="s">
        <v>558</v>
      </c>
      <c r="AE331">
        <v>0.13527339999999999</v>
      </c>
      <c r="AF331">
        <v>2.81E-3</v>
      </c>
      <c r="AG331" t="s">
        <v>588</v>
      </c>
      <c r="AH331">
        <v>1</v>
      </c>
      <c r="AI331">
        <v>48.14</v>
      </c>
      <c r="AJ331" t="s">
        <v>561</v>
      </c>
      <c r="AK331" t="s">
        <v>589</v>
      </c>
      <c r="AL331" t="s">
        <v>590</v>
      </c>
      <c r="AM331">
        <v>2022</v>
      </c>
      <c r="AN331">
        <v>2020</v>
      </c>
      <c r="AO331">
        <f>IF(AND(emissions[[#This Row],[Market-based]]=0,emissions[[#This Row],[Impact Type]]="CO2E"),emissions[[#This Row],[kgCO2e]],0)/1000</f>
        <v>0</v>
      </c>
      <c r="AP331">
        <f>IF(AND(emissions[[#This Row],[Market-based]]=1,OR(emissions[[#This Row],[Impact Type]]="CO2E",emissions[[#This Row],[Impact Type]]="CO2E MKT")),emissions[[#This Row],[kgCO2e]],0)/1000</f>
        <v>0</v>
      </c>
      <c r="AQ331" t="str">
        <f>_xlfn.TEXTAFTER(emissions[[#This Row],[Reporting Unit]]," &gt; ",LEN(emissions[[#This Row],[Reporting Unit]])-LEN(SUBSTITUTE(emissions[[#This Row],[Reporting Unit]],"&gt;","")))</f>
        <v>Vantage_Leuna</v>
      </c>
      <c r="AR331" t="str">
        <f>_xlfn.XLOOKUP(emissions[[#This Row],[Reporting unit name]],hierarchy!$A:$A,hierarchy!$C:$C)</f>
        <v>Office (with heat &amp; steam)</v>
      </c>
    </row>
    <row r="332" spans="1:44" hidden="1" x14ac:dyDescent="0.25">
      <c r="A332">
        <v>290088</v>
      </c>
      <c r="B332" t="s">
        <v>164</v>
      </c>
      <c r="C332" t="s">
        <v>537</v>
      </c>
      <c r="D332" t="s">
        <v>548</v>
      </c>
      <c r="E332" s="3">
        <v>44562</v>
      </c>
      <c r="F332" s="3">
        <v>44926</v>
      </c>
      <c r="G332" t="s">
        <v>141</v>
      </c>
      <c r="H332" s="3">
        <v>44562</v>
      </c>
      <c r="I332" s="3">
        <v>44926</v>
      </c>
      <c r="J332" t="s">
        <v>171</v>
      </c>
      <c r="K332">
        <v>48.14</v>
      </c>
      <c r="L332" t="s">
        <v>143</v>
      </c>
      <c r="M332" t="s">
        <v>110</v>
      </c>
      <c r="O332" t="s">
        <v>687</v>
      </c>
      <c r="P332" t="s">
        <v>550</v>
      </c>
      <c r="Q332">
        <v>2022</v>
      </c>
      <c r="R332" t="s">
        <v>688</v>
      </c>
      <c r="S332" t="s">
        <v>689</v>
      </c>
      <c r="T332" t="s">
        <v>553</v>
      </c>
      <c r="U332" t="b">
        <v>0</v>
      </c>
      <c r="V332" t="s">
        <v>690</v>
      </c>
      <c r="W332" t="s">
        <v>587</v>
      </c>
      <c r="X332" t="s">
        <v>556</v>
      </c>
      <c r="Y332" t="s">
        <v>468</v>
      </c>
      <c r="AC332">
        <v>1</v>
      </c>
      <c r="AD332" t="s">
        <v>564</v>
      </c>
      <c r="AE332">
        <v>131.14154379999999</v>
      </c>
      <c r="AF332">
        <v>2.72417</v>
      </c>
      <c r="AG332" t="s">
        <v>588</v>
      </c>
      <c r="AH332">
        <v>1</v>
      </c>
      <c r="AI332">
        <v>48.14</v>
      </c>
      <c r="AJ332" t="s">
        <v>561</v>
      </c>
      <c r="AK332" t="s">
        <v>589</v>
      </c>
      <c r="AL332" t="s">
        <v>590</v>
      </c>
      <c r="AM332">
        <v>2022</v>
      </c>
      <c r="AN332">
        <v>2020</v>
      </c>
      <c r="AO332">
        <f>IF(AND(emissions[[#This Row],[Market-based]]=0,emissions[[#This Row],[Impact Type]]="CO2E"),emissions[[#This Row],[kgCO2e]],0)/1000</f>
        <v>0</v>
      </c>
      <c r="AP332">
        <f>IF(AND(emissions[[#This Row],[Market-based]]=1,OR(emissions[[#This Row],[Impact Type]]="CO2E",emissions[[#This Row],[Impact Type]]="CO2E MKT")),emissions[[#This Row],[kgCO2e]],0)/1000</f>
        <v>0</v>
      </c>
      <c r="AQ332" t="str">
        <f>_xlfn.TEXTAFTER(emissions[[#This Row],[Reporting Unit]]," &gt; ",LEN(emissions[[#This Row],[Reporting Unit]])-LEN(SUBSTITUTE(emissions[[#This Row],[Reporting Unit]],"&gt;","")))</f>
        <v>Vantage_Leuna</v>
      </c>
      <c r="AR332" t="str">
        <f>_xlfn.XLOOKUP(emissions[[#This Row],[Reporting unit name]],hierarchy!$A:$A,hierarchy!$C:$C)</f>
        <v>Office (with heat &amp; steam)</v>
      </c>
    </row>
    <row r="333" spans="1:44" hidden="1" x14ac:dyDescent="0.25">
      <c r="A333">
        <v>290088</v>
      </c>
      <c r="B333" t="s">
        <v>164</v>
      </c>
      <c r="C333" t="s">
        <v>537</v>
      </c>
      <c r="D333" t="s">
        <v>548</v>
      </c>
      <c r="E333" s="3">
        <v>44562</v>
      </c>
      <c r="F333" s="3">
        <v>44926</v>
      </c>
      <c r="G333" t="s">
        <v>141</v>
      </c>
      <c r="H333" s="3">
        <v>44562</v>
      </c>
      <c r="I333" s="3">
        <v>44926</v>
      </c>
      <c r="J333" t="s">
        <v>171</v>
      </c>
      <c r="K333">
        <v>48.14</v>
      </c>
      <c r="L333" t="s">
        <v>143</v>
      </c>
      <c r="M333" t="s">
        <v>110</v>
      </c>
      <c r="O333" t="s">
        <v>687</v>
      </c>
      <c r="P333" t="s">
        <v>550</v>
      </c>
      <c r="Q333">
        <v>2022</v>
      </c>
      <c r="R333" t="s">
        <v>688</v>
      </c>
      <c r="S333" t="s">
        <v>689</v>
      </c>
      <c r="T333" t="s">
        <v>553</v>
      </c>
      <c r="U333" t="b">
        <v>0</v>
      </c>
      <c r="V333" t="s">
        <v>690</v>
      </c>
      <c r="W333" t="s">
        <v>587</v>
      </c>
      <c r="X333" t="s">
        <v>556</v>
      </c>
      <c r="Y333" t="s">
        <v>468</v>
      </c>
      <c r="AC333">
        <v>1</v>
      </c>
      <c r="AD333" t="s">
        <v>565</v>
      </c>
      <c r="AE333">
        <v>132.79755979999999</v>
      </c>
      <c r="AF333">
        <v>2.7585700000000002</v>
      </c>
      <c r="AG333" t="s">
        <v>588</v>
      </c>
      <c r="AH333">
        <v>1</v>
      </c>
      <c r="AI333">
        <v>48.14</v>
      </c>
      <c r="AJ333" t="s">
        <v>561</v>
      </c>
      <c r="AK333" t="s">
        <v>589</v>
      </c>
      <c r="AL333" t="s">
        <v>590</v>
      </c>
      <c r="AM333">
        <v>2022</v>
      </c>
      <c r="AN333">
        <v>2020</v>
      </c>
      <c r="AO333">
        <f>IF(AND(emissions[[#This Row],[Market-based]]=0,emissions[[#This Row],[Impact Type]]="CO2E"),emissions[[#This Row],[kgCO2e]],0)/1000</f>
        <v>0</v>
      </c>
      <c r="AP333">
        <f>IF(AND(emissions[[#This Row],[Market-based]]=1,OR(emissions[[#This Row],[Impact Type]]="CO2E",emissions[[#This Row],[Impact Type]]="CO2E MKT")),emissions[[#This Row],[kgCO2e]],0)/1000</f>
        <v>0.13279755979999999</v>
      </c>
      <c r="AQ333" t="str">
        <f>_xlfn.TEXTAFTER(emissions[[#This Row],[Reporting Unit]]," &gt; ",LEN(emissions[[#This Row],[Reporting Unit]])-LEN(SUBSTITUTE(emissions[[#This Row],[Reporting Unit]],"&gt;","")))</f>
        <v>Vantage_Leuna</v>
      </c>
      <c r="AR333" t="str">
        <f>_xlfn.XLOOKUP(emissions[[#This Row],[Reporting unit name]],hierarchy!$A:$A,hierarchy!$C:$C)</f>
        <v>Office (with heat &amp; steam)</v>
      </c>
    </row>
    <row r="334" spans="1:44" hidden="1" x14ac:dyDescent="0.25">
      <c r="A334">
        <v>290088</v>
      </c>
      <c r="B334" t="s">
        <v>164</v>
      </c>
      <c r="C334" t="s">
        <v>537</v>
      </c>
      <c r="D334" t="s">
        <v>548</v>
      </c>
      <c r="E334" s="3">
        <v>44562</v>
      </c>
      <c r="F334" s="3">
        <v>44926</v>
      </c>
      <c r="G334" t="s">
        <v>141</v>
      </c>
      <c r="H334" s="3">
        <v>44562</v>
      </c>
      <c r="I334" s="3">
        <v>44926</v>
      </c>
      <c r="J334" t="s">
        <v>171</v>
      </c>
      <c r="K334">
        <v>48.14</v>
      </c>
      <c r="L334" t="s">
        <v>143</v>
      </c>
      <c r="M334" t="s">
        <v>110</v>
      </c>
      <c r="O334" t="s">
        <v>687</v>
      </c>
      <c r="P334" t="s">
        <v>550</v>
      </c>
      <c r="Q334">
        <v>2022</v>
      </c>
      <c r="R334" t="s">
        <v>688</v>
      </c>
      <c r="S334" t="s">
        <v>689</v>
      </c>
      <c r="T334" t="s">
        <v>553</v>
      </c>
      <c r="U334" t="b">
        <v>0</v>
      </c>
      <c r="V334" t="s">
        <v>690</v>
      </c>
      <c r="W334" t="s">
        <v>587</v>
      </c>
      <c r="X334" t="s">
        <v>556</v>
      </c>
      <c r="Y334" t="s">
        <v>468</v>
      </c>
      <c r="AC334">
        <v>1</v>
      </c>
      <c r="AD334" t="s">
        <v>566</v>
      </c>
      <c r="AE334">
        <v>1.5207425999999999</v>
      </c>
      <c r="AF334">
        <v>3.159E-2</v>
      </c>
      <c r="AG334" t="s">
        <v>588</v>
      </c>
      <c r="AH334">
        <v>1</v>
      </c>
      <c r="AI334">
        <v>48.14</v>
      </c>
      <c r="AJ334" t="s">
        <v>561</v>
      </c>
      <c r="AK334" t="s">
        <v>589</v>
      </c>
      <c r="AL334" t="s">
        <v>590</v>
      </c>
      <c r="AM334">
        <v>2022</v>
      </c>
      <c r="AN334">
        <v>2020</v>
      </c>
      <c r="AO334">
        <f>IF(AND(emissions[[#This Row],[Market-based]]=0,emissions[[#This Row],[Impact Type]]="CO2E"),emissions[[#This Row],[kgCO2e]],0)/1000</f>
        <v>0</v>
      </c>
      <c r="AP334">
        <f>IF(AND(emissions[[#This Row],[Market-based]]=1,OR(emissions[[#This Row],[Impact Type]]="CO2E",emissions[[#This Row],[Impact Type]]="CO2E MKT")),emissions[[#This Row],[kgCO2e]],0)/1000</f>
        <v>0</v>
      </c>
      <c r="AQ334" t="str">
        <f>_xlfn.TEXTAFTER(emissions[[#This Row],[Reporting Unit]]," &gt; ",LEN(emissions[[#This Row],[Reporting Unit]])-LEN(SUBSTITUTE(emissions[[#This Row],[Reporting Unit]],"&gt;","")))</f>
        <v>Vantage_Leuna</v>
      </c>
      <c r="AR334" t="str">
        <f>_xlfn.XLOOKUP(emissions[[#This Row],[Reporting unit name]],hierarchy!$A:$A,hierarchy!$C:$C)</f>
        <v>Office (with heat &amp; steam)</v>
      </c>
    </row>
    <row r="335" spans="1:44" hidden="1" x14ac:dyDescent="0.25">
      <c r="A335">
        <v>290088</v>
      </c>
      <c r="B335" t="s">
        <v>164</v>
      </c>
      <c r="C335" t="s">
        <v>537</v>
      </c>
      <c r="D335" t="s">
        <v>548</v>
      </c>
      <c r="E335" s="3">
        <v>44562</v>
      </c>
      <c r="F335" s="3">
        <v>44926</v>
      </c>
      <c r="G335" t="s">
        <v>141</v>
      </c>
      <c r="H335" s="3">
        <v>44562</v>
      </c>
      <c r="I335" s="3">
        <v>44926</v>
      </c>
      <c r="J335" t="s">
        <v>171</v>
      </c>
      <c r="K335">
        <v>48.14</v>
      </c>
      <c r="L335" t="s">
        <v>143</v>
      </c>
      <c r="M335" t="s">
        <v>110</v>
      </c>
      <c r="O335" t="s">
        <v>687</v>
      </c>
      <c r="P335" t="s">
        <v>550</v>
      </c>
      <c r="Q335">
        <v>2022</v>
      </c>
      <c r="R335" t="s">
        <v>691</v>
      </c>
      <c r="S335" t="s">
        <v>692</v>
      </c>
      <c r="T335" t="s">
        <v>577</v>
      </c>
      <c r="U335" t="b">
        <v>0</v>
      </c>
      <c r="V335" t="s">
        <v>693</v>
      </c>
      <c r="W335" t="s">
        <v>571</v>
      </c>
      <c r="X335" t="s">
        <v>572</v>
      </c>
      <c r="Y335" t="s">
        <v>468</v>
      </c>
      <c r="AC335">
        <v>0</v>
      </c>
      <c r="AD335" t="s">
        <v>565</v>
      </c>
      <c r="AE335">
        <v>30.449994199999999</v>
      </c>
      <c r="AF335">
        <v>0.63253000000000004</v>
      </c>
      <c r="AG335" t="s">
        <v>588</v>
      </c>
      <c r="AH335">
        <v>1</v>
      </c>
      <c r="AI335">
        <v>48.14</v>
      </c>
      <c r="AJ335" t="s">
        <v>561</v>
      </c>
      <c r="AK335" t="s">
        <v>589</v>
      </c>
      <c r="AL335" t="s">
        <v>590</v>
      </c>
      <c r="AM335">
        <v>2022</v>
      </c>
      <c r="AN335">
        <v>2020</v>
      </c>
      <c r="AO335">
        <f>IF(AND(emissions[[#This Row],[Market-based]]=0,emissions[[#This Row],[Impact Type]]="CO2E"),emissions[[#This Row],[kgCO2e]],0)/1000</f>
        <v>3.04499942E-2</v>
      </c>
      <c r="AP335">
        <f>IF(AND(emissions[[#This Row],[Market-based]]=1,OR(emissions[[#This Row],[Impact Type]]="CO2E",emissions[[#This Row],[Impact Type]]="CO2E MKT")),emissions[[#This Row],[kgCO2e]],0)/1000</f>
        <v>0</v>
      </c>
      <c r="AQ335" t="str">
        <f>_xlfn.TEXTAFTER(emissions[[#This Row],[Reporting Unit]]," &gt; ",LEN(emissions[[#This Row],[Reporting Unit]])-LEN(SUBSTITUTE(emissions[[#This Row],[Reporting Unit]],"&gt;","")))</f>
        <v>Vantage_Leuna</v>
      </c>
      <c r="AR335" t="str">
        <f>_xlfn.XLOOKUP(emissions[[#This Row],[Reporting unit name]],hierarchy!$A:$A,hierarchy!$C:$C)</f>
        <v>Office (with heat &amp; steam)</v>
      </c>
    </row>
    <row r="336" spans="1:44" hidden="1" x14ac:dyDescent="0.25">
      <c r="A336">
        <v>290088</v>
      </c>
      <c r="B336" t="s">
        <v>164</v>
      </c>
      <c r="C336" t="s">
        <v>537</v>
      </c>
      <c r="D336" t="s">
        <v>548</v>
      </c>
      <c r="E336" s="3">
        <v>44562</v>
      </c>
      <c r="F336" s="3">
        <v>44926</v>
      </c>
      <c r="G336" t="s">
        <v>141</v>
      </c>
      <c r="H336" s="3">
        <v>44562</v>
      </c>
      <c r="I336" s="3">
        <v>44926</v>
      </c>
      <c r="J336" t="s">
        <v>171</v>
      </c>
      <c r="K336">
        <v>48.14</v>
      </c>
      <c r="L336" t="s">
        <v>143</v>
      </c>
      <c r="M336" t="s">
        <v>110</v>
      </c>
      <c r="O336" t="s">
        <v>687</v>
      </c>
      <c r="P336" t="s">
        <v>550</v>
      </c>
      <c r="Q336">
        <v>2022</v>
      </c>
      <c r="R336" t="s">
        <v>691</v>
      </c>
      <c r="S336" t="s">
        <v>692</v>
      </c>
      <c r="T336" t="s">
        <v>577</v>
      </c>
      <c r="U336" t="b">
        <v>0</v>
      </c>
      <c r="V336" t="s">
        <v>693</v>
      </c>
      <c r="W336" t="s">
        <v>571</v>
      </c>
      <c r="X336" t="s">
        <v>572</v>
      </c>
      <c r="Y336" t="s">
        <v>468</v>
      </c>
      <c r="AC336">
        <v>1</v>
      </c>
      <c r="AD336" t="s">
        <v>565</v>
      </c>
      <c r="AE336">
        <v>30.449994199999999</v>
      </c>
      <c r="AF336">
        <v>0.63253000000000004</v>
      </c>
      <c r="AG336" t="s">
        <v>588</v>
      </c>
      <c r="AH336">
        <v>1</v>
      </c>
      <c r="AI336">
        <v>48.14</v>
      </c>
      <c r="AJ336" t="s">
        <v>561</v>
      </c>
      <c r="AK336" t="s">
        <v>589</v>
      </c>
      <c r="AL336" t="s">
        <v>590</v>
      </c>
      <c r="AM336">
        <v>2022</v>
      </c>
      <c r="AN336">
        <v>2020</v>
      </c>
      <c r="AO336">
        <f>IF(AND(emissions[[#This Row],[Market-based]]=0,emissions[[#This Row],[Impact Type]]="CO2E"),emissions[[#This Row],[kgCO2e]],0)/1000</f>
        <v>0</v>
      </c>
      <c r="AP336">
        <f>IF(AND(emissions[[#This Row],[Market-based]]=1,OR(emissions[[#This Row],[Impact Type]]="CO2E",emissions[[#This Row],[Impact Type]]="CO2E MKT")),emissions[[#This Row],[kgCO2e]],0)/1000</f>
        <v>3.04499942E-2</v>
      </c>
      <c r="AQ336" t="str">
        <f>_xlfn.TEXTAFTER(emissions[[#This Row],[Reporting Unit]]," &gt; ",LEN(emissions[[#This Row],[Reporting Unit]])-LEN(SUBSTITUTE(emissions[[#This Row],[Reporting Unit]],"&gt;","")))</f>
        <v>Vantage_Leuna</v>
      </c>
      <c r="AR336" t="str">
        <f>_xlfn.XLOOKUP(emissions[[#This Row],[Reporting unit name]],hierarchy!$A:$A,hierarchy!$C:$C)</f>
        <v>Office (with heat &amp; steam)</v>
      </c>
    </row>
    <row r="337" spans="1:44" hidden="1" x14ac:dyDescent="0.25">
      <c r="A337">
        <v>290090</v>
      </c>
      <c r="B337" t="s">
        <v>164</v>
      </c>
      <c r="C337" t="s">
        <v>537</v>
      </c>
      <c r="D337" t="s">
        <v>548</v>
      </c>
      <c r="E337" s="3">
        <v>44562</v>
      </c>
      <c r="F337" s="3">
        <v>44926</v>
      </c>
      <c r="G337" t="s">
        <v>141</v>
      </c>
      <c r="H337" s="3">
        <v>44562</v>
      </c>
      <c r="I337" s="3">
        <v>44926</v>
      </c>
      <c r="J337" t="s">
        <v>168</v>
      </c>
      <c r="K337">
        <v>89.92</v>
      </c>
      <c r="L337" t="s">
        <v>143</v>
      </c>
      <c r="M337" t="s">
        <v>110</v>
      </c>
      <c r="O337" t="s">
        <v>694</v>
      </c>
      <c r="P337" t="s">
        <v>550</v>
      </c>
      <c r="Q337">
        <v>2022</v>
      </c>
      <c r="R337" t="s">
        <v>680</v>
      </c>
      <c r="S337" t="s">
        <v>681</v>
      </c>
      <c r="T337" t="s">
        <v>553</v>
      </c>
      <c r="U337" t="b">
        <v>0</v>
      </c>
      <c r="V337" t="s">
        <v>682</v>
      </c>
      <c r="W337" t="s">
        <v>587</v>
      </c>
      <c r="X337" t="s">
        <v>556</v>
      </c>
      <c r="Y337" t="s">
        <v>468</v>
      </c>
      <c r="AC337">
        <v>0</v>
      </c>
      <c r="AD337" t="s">
        <v>558</v>
      </c>
      <c r="AE337">
        <v>0.647424</v>
      </c>
      <c r="AF337">
        <v>7.1999999999999998E-3</v>
      </c>
      <c r="AG337" t="s">
        <v>588</v>
      </c>
      <c r="AH337">
        <v>1</v>
      </c>
      <c r="AI337">
        <v>89.92</v>
      </c>
      <c r="AJ337" t="s">
        <v>561</v>
      </c>
      <c r="AK337" t="s">
        <v>589</v>
      </c>
      <c r="AL337" t="s">
        <v>590</v>
      </c>
      <c r="AM337">
        <v>2022</v>
      </c>
      <c r="AN337">
        <v>2020</v>
      </c>
      <c r="AO337">
        <f>IF(AND(emissions[[#This Row],[Market-based]]=0,emissions[[#This Row],[Impact Type]]="CO2E"),emissions[[#This Row],[kgCO2e]],0)/1000</f>
        <v>0</v>
      </c>
      <c r="AP337">
        <f>IF(AND(emissions[[#This Row],[Market-based]]=1,OR(emissions[[#This Row],[Impact Type]]="CO2E",emissions[[#This Row],[Impact Type]]="CO2E MKT")),emissions[[#This Row],[kgCO2e]],0)/1000</f>
        <v>0</v>
      </c>
      <c r="AQ337" t="str">
        <f>_xlfn.TEXTAFTER(emissions[[#This Row],[Reporting Unit]]," &gt; ",LEN(emissions[[#This Row],[Reporting Unit]])-LEN(SUBSTITUTE(emissions[[#This Row],[Reporting Unit]],"&gt;","")))</f>
        <v>Vantage_Leuna</v>
      </c>
      <c r="AR337" t="str">
        <f>_xlfn.XLOOKUP(emissions[[#This Row],[Reporting unit name]],hierarchy!$A:$A,hierarchy!$C:$C)</f>
        <v>Office (with heat &amp; steam)</v>
      </c>
    </row>
    <row r="338" spans="1:44" hidden="1" x14ac:dyDescent="0.25">
      <c r="A338">
        <v>290090</v>
      </c>
      <c r="B338" t="s">
        <v>164</v>
      </c>
      <c r="C338" t="s">
        <v>537</v>
      </c>
      <c r="D338" t="s">
        <v>548</v>
      </c>
      <c r="E338" s="3">
        <v>44562</v>
      </c>
      <c r="F338" s="3">
        <v>44926</v>
      </c>
      <c r="G338" t="s">
        <v>141</v>
      </c>
      <c r="H338" s="3">
        <v>44562</v>
      </c>
      <c r="I338" s="3">
        <v>44926</v>
      </c>
      <c r="J338" t="s">
        <v>168</v>
      </c>
      <c r="K338">
        <v>89.92</v>
      </c>
      <c r="L338" t="s">
        <v>143</v>
      </c>
      <c r="M338" t="s">
        <v>110</v>
      </c>
      <c r="O338" t="s">
        <v>694</v>
      </c>
      <c r="P338" t="s">
        <v>550</v>
      </c>
      <c r="Q338">
        <v>2022</v>
      </c>
      <c r="R338" t="s">
        <v>680</v>
      </c>
      <c r="S338" t="s">
        <v>681</v>
      </c>
      <c r="T338" t="s">
        <v>553</v>
      </c>
      <c r="U338" t="b">
        <v>0</v>
      </c>
      <c r="V338" t="s">
        <v>682</v>
      </c>
      <c r="W338" t="s">
        <v>587</v>
      </c>
      <c r="X338" t="s">
        <v>556</v>
      </c>
      <c r="Y338" t="s">
        <v>468</v>
      </c>
      <c r="AC338">
        <v>0</v>
      </c>
      <c r="AD338" t="s">
        <v>564</v>
      </c>
      <c r="AE338">
        <v>193.15265600000001</v>
      </c>
      <c r="AF338">
        <v>2.14805</v>
      </c>
      <c r="AG338" t="s">
        <v>588</v>
      </c>
      <c r="AH338">
        <v>1</v>
      </c>
      <c r="AI338">
        <v>89.92</v>
      </c>
      <c r="AJ338" t="s">
        <v>561</v>
      </c>
      <c r="AK338" t="s">
        <v>589</v>
      </c>
      <c r="AL338" t="s">
        <v>590</v>
      </c>
      <c r="AM338">
        <v>2022</v>
      </c>
      <c r="AN338">
        <v>2020</v>
      </c>
      <c r="AO338">
        <f>IF(AND(emissions[[#This Row],[Market-based]]=0,emissions[[#This Row],[Impact Type]]="CO2E"),emissions[[#This Row],[kgCO2e]],0)/1000</f>
        <v>0</v>
      </c>
      <c r="AP338">
        <f>IF(AND(emissions[[#This Row],[Market-based]]=1,OR(emissions[[#This Row],[Impact Type]]="CO2E",emissions[[#This Row],[Impact Type]]="CO2E MKT")),emissions[[#This Row],[kgCO2e]],0)/1000</f>
        <v>0</v>
      </c>
      <c r="AQ338" t="str">
        <f>_xlfn.TEXTAFTER(emissions[[#This Row],[Reporting Unit]]," &gt; ",LEN(emissions[[#This Row],[Reporting Unit]])-LEN(SUBSTITUTE(emissions[[#This Row],[Reporting Unit]],"&gt;","")))</f>
        <v>Vantage_Leuna</v>
      </c>
      <c r="AR338" t="str">
        <f>_xlfn.XLOOKUP(emissions[[#This Row],[Reporting unit name]],hierarchy!$A:$A,hierarchy!$C:$C)</f>
        <v>Office (with heat &amp; steam)</v>
      </c>
    </row>
    <row r="339" spans="1:44" hidden="1" x14ac:dyDescent="0.25">
      <c r="A339">
        <v>290090</v>
      </c>
      <c r="B339" t="s">
        <v>164</v>
      </c>
      <c r="C339" t="s">
        <v>537</v>
      </c>
      <c r="D339" t="s">
        <v>548</v>
      </c>
      <c r="E339" s="3">
        <v>44562</v>
      </c>
      <c r="F339" s="3">
        <v>44926</v>
      </c>
      <c r="G339" t="s">
        <v>141</v>
      </c>
      <c r="H339" s="3">
        <v>44562</v>
      </c>
      <c r="I339" s="3">
        <v>44926</v>
      </c>
      <c r="J339" t="s">
        <v>168</v>
      </c>
      <c r="K339">
        <v>89.92</v>
      </c>
      <c r="L339" t="s">
        <v>143</v>
      </c>
      <c r="M339" t="s">
        <v>110</v>
      </c>
      <c r="O339" t="s">
        <v>694</v>
      </c>
      <c r="P339" t="s">
        <v>550</v>
      </c>
      <c r="Q339">
        <v>2022</v>
      </c>
      <c r="R339" t="s">
        <v>680</v>
      </c>
      <c r="S339" t="s">
        <v>681</v>
      </c>
      <c r="T339" t="s">
        <v>553</v>
      </c>
      <c r="U339" t="b">
        <v>0</v>
      </c>
      <c r="V339" t="s">
        <v>682</v>
      </c>
      <c r="W339" t="s">
        <v>587</v>
      </c>
      <c r="X339" t="s">
        <v>556</v>
      </c>
      <c r="Y339" t="s">
        <v>468</v>
      </c>
      <c r="AC339">
        <v>0</v>
      </c>
      <c r="AD339" t="s">
        <v>565</v>
      </c>
      <c r="AE339">
        <v>194.393552</v>
      </c>
      <c r="AF339">
        <v>2.1618499999999998</v>
      </c>
      <c r="AG339" t="s">
        <v>588</v>
      </c>
      <c r="AH339">
        <v>1</v>
      </c>
      <c r="AI339">
        <v>89.92</v>
      </c>
      <c r="AJ339" t="s">
        <v>561</v>
      </c>
      <c r="AK339" t="s">
        <v>589</v>
      </c>
      <c r="AL339" t="s">
        <v>590</v>
      </c>
      <c r="AM339">
        <v>2022</v>
      </c>
      <c r="AN339">
        <v>2020</v>
      </c>
      <c r="AO339">
        <f>IF(AND(emissions[[#This Row],[Market-based]]=0,emissions[[#This Row],[Impact Type]]="CO2E"),emissions[[#This Row],[kgCO2e]],0)/1000</f>
        <v>0.194393552</v>
      </c>
      <c r="AP339">
        <f>IF(AND(emissions[[#This Row],[Market-based]]=1,OR(emissions[[#This Row],[Impact Type]]="CO2E",emissions[[#This Row],[Impact Type]]="CO2E MKT")),emissions[[#This Row],[kgCO2e]],0)/1000</f>
        <v>0</v>
      </c>
      <c r="AQ339" t="str">
        <f>_xlfn.TEXTAFTER(emissions[[#This Row],[Reporting Unit]]," &gt; ",LEN(emissions[[#This Row],[Reporting Unit]])-LEN(SUBSTITUTE(emissions[[#This Row],[Reporting Unit]],"&gt;","")))</f>
        <v>Vantage_Leuna</v>
      </c>
      <c r="AR339" t="str">
        <f>_xlfn.XLOOKUP(emissions[[#This Row],[Reporting unit name]],hierarchy!$A:$A,hierarchy!$C:$C)</f>
        <v>Office (with heat &amp; steam)</v>
      </c>
    </row>
    <row r="340" spans="1:44" hidden="1" x14ac:dyDescent="0.25">
      <c r="A340">
        <v>290090</v>
      </c>
      <c r="B340" t="s">
        <v>164</v>
      </c>
      <c r="C340" t="s">
        <v>537</v>
      </c>
      <c r="D340" t="s">
        <v>548</v>
      </c>
      <c r="E340" s="3">
        <v>44562</v>
      </c>
      <c r="F340" s="3">
        <v>44926</v>
      </c>
      <c r="G340" t="s">
        <v>141</v>
      </c>
      <c r="H340" s="3">
        <v>44562</v>
      </c>
      <c r="I340" s="3">
        <v>44926</v>
      </c>
      <c r="J340" t="s">
        <v>168</v>
      </c>
      <c r="K340">
        <v>89.92</v>
      </c>
      <c r="L340" t="s">
        <v>143</v>
      </c>
      <c r="M340" t="s">
        <v>110</v>
      </c>
      <c r="O340" t="s">
        <v>694</v>
      </c>
      <c r="P340" t="s">
        <v>550</v>
      </c>
      <c r="Q340">
        <v>2022</v>
      </c>
      <c r="R340" t="s">
        <v>680</v>
      </c>
      <c r="S340" t="s">
        <v>681</v>
      </c>
      <c r="T340" t="s">
        <v>553</v>
      </c>
      <c r="U340" t="b">
        <v>0</v>
      </c>
      <c r="V340" t="s">
        <v>682</v>
      </c>
      <c r="W340" t="s">
        <v>587</v>
      </c>
      <c r="X340" t="s">
        <v>556</v>
      </c>
      <c r="Y340" t="s">
        <v>468</v>
      </c>
      <c r="AC340">
        <v>0</v>
      </c>
      <c r="AD340" t="s">
        <v>566</v>
      </c>
      <c r="AE340">
        <v>0.593472</v>
      </c>
      <c r="AF340">
        <v>6.6E-3</v>
      </c>
      <c r="AG340" t="s">
        <v>588</v>
      </c>
      <c r="AH340">
        <v>1</v>
      </c>
      <c r="AI340">
        <v>89.92</v>
      </c>
      <c r="AJ340" t="s">
        <v>561</v>
      </c>
      <c r="AK340" t="s">
        <v>589</v>
      </c>
      <c r="AL340" t="s">
        <v>590</v>
      </c>
      <c r="AM340">
        <v>2022</v>
      </c>
      <c r="AN340">
        <v>2020</v>
      </c>
      <c r="AO340">
        <f>IF(AND(emissions[[#This Row],[Market-based]]=0,emissions[[#This Row],[Impact Type]]="CO2E"),emissions[[#This Row],[kgCO2e]],0)/1000</f>
        <v>0</v>
      </c>
      <c r="AP340">
        <f>IF(AND(emissions[[#This Row],[Market-based]]=1,OR(emissions[[#This Row],[Impact Type]]="CO2E",emissions[[#This Row],[Impact Type]]="CO2E MKT")),emissions[[#This Row],[kgCO2e]],0)/1000</f>
        <v>0</v>
      </c>
      <c r="AQ340" t="str">
        <f>_xlfn.TEXTAFTER(emissions[[#This Row],[Reporting Unit]]," &gt; ",LEN(emissions[[#This Row],[Reporting Unit]])-LEN(SUBSTITUTE(emissions[[#This Row],[Reporting Unit]],"&gt;","")))</f>
        <v>Vantage_Leuna</v>
      </c>
      <c r="AR340" t="str">
        <f>_xlfn.XLOOKUP(emissions[[#This Row],[Reporting unit name]],hierarchy!$A:$A,hierarchy!$C:$C)</f>
        <v>Office (with heat &amp; steam)</v>
      </c>
    </row>
    <row r="341" spans="1:44" hidden="1" x14ac:dyDescent="0.25">
      <c r="A341">
        <v>290090</v>
      </c>
      <c r="B341" t="s">
        <v>164</v>
      </c>
      <c r="C341" t="s">
        <v>537</v>
      </c>
      <c r="D341" t="s">
        <v>548</v>
      </c>
      <c r="E341" s="3">
        <v>44562</v>
      </c>
      <c r="F341" s="3">
        <v>44926</v>
      </c>
      <c r="G341" t="s">
        <v>141</v>
      </c>
      <c r="H341" s="3">
        <v>44562</v>
      </c>
      <c r="I341" s="3">
        <v>44926</v>
      </c>
      <c r="J341" t="s">
        <v>168</v>
      </c>
      <c r="K341">
        <v>89.92</v>
      </c>
      <c r="L341" t="s">
        <v>143</v>
      </c>
      <c r="M341" t="s">
        <v>110</v>
      </c>
      <c r="O341" t="s">
        <v>694</v>
      </c>
      <c r="P341" t="s">
        <v>550</v>
      </c>
      <c r="Q341">
        <v>2022</v>
      </c>
      <c r="R341" t="s">
        <v>680</v>
      </c>
      <c r="S341" t="s">
        <v>681</v>
      </c>
      <c r="T341" t="s">
        <v>553</v>
      </c>
      <c r="U341" t="b">
        <v>0</v>
      </c>
      <c r="V341" t="s">
        <v>682</v>
      </c>
      <c r="W341" t="s">
        <v>587</v>
      </c>
      <c r="X341" t="s">
        <v>556</v>
      </c>
      <c r="Y341" t="s">
        <v>468</v>
      </c>
      <c r="AC341">
        <v>1</v>
      </c>
      <c r="AD341" t="s">
        <v>558</v>
      </c>
      <c r="AE341">
        <v>0.647424</v>
      </c>
      <c r="AF341">
        <v>7.1999999999999998E-3</v>
      </c>
      <c r="AG341" t="s">
        <v>588</v>
      </c>
      <c r="AH341">
        <v>1</v>
      </c>
      <c r="AI341">
        <v>89.92</v>
      </c>
      <c r="AJ341" t="s">
        <v>561</v>
      </c>
      <c r="AK341" t="s">
        <v>589</v>
      </c>
      <c r="AL341" t="s">
        <v>590</v>
      </c>
      <c r="AM341">
        <v>2022</v>
      </c>
      <c r="AN341">
        <v>2020</v>
      </c>
      <c r="AO341">
        <f>IF(AND(emissions[[#This Row],[Market-based]]=0,emissions[[#This Row],[Impact Type]]="CO2E"),emissions[[#This Row],[kgCO2e]],0)/1000</f>
        <v>0</v>
      </c>
      <c r="AP341">
        <f>IF(AND(emissions[[#This Row],[Market-based]]=1,OR(emissions[[#This Row],[Impact Type]]="CO2E",emissions[[#This Row],[Impact Type]]="CO2E MKT")),emissions[[#This Row],[kgCO2e]],0)/1000</f>
        <v>0</v>
      </c>
      <c r="AQ341" t="str">
        <f>_xlfn.TEXTAFTER(emissions[[#This Row],[Reporting Unit]]," &gt; ",LEN(emissions[[#This Row],[Reporting Unit]])-LEN(SUBSTITUTE(emissions[[#This Row],[Reporting Unit]],"&gt;","")))</f>
        <v>Vantage_Leuna</v>
      </c>
      <c r="AR341" t="str">
        <f>_xlfn.XLOOKUP(emissions[[#This Row],[Reporting unit name]],hierarchy!$A:$A,hierarchy!$C:$C)</f>
        <v>Office (with heat &amp; steam)</v>
      </c>
    </row>
    <row r="342" spans="1:44" hidden="1" x14ac:dyDescent="0.25">
      <c r="A342">
        <v>290090</v>
      </c>
      <c r="B342" t="s">
        <v>164</v>
      </c>
      <c r="C342" t="s">
        <v>537</v>
      </c>
      <c r="D342" t="s">
        <v>548</v>
      </c>
      <c r="E342" s="3">
        <v>44562</v>
      </c>
      <c r="F342" s="3">
        <v>44926</v>
      </c>
      <c r="G342" t="s">
        <v>141</v>
      </c>
      <c r="H342" s="3">
        <v>44562</v>
      </c>
      <c r="I342" s="3">
        <v>44926</v>
      </c>
      <c r="J342" t="s">
        <v>168</v>
      </c>
      <c r="K342">
        <v>89.92</v>
      </c>
      <c r="L342" t="s">
        <v>143</v>
      </c>
      <c r="M342" t="s">
        <v>110</v>
      </c>
      <c r="O342" t="s">
        <v>694</v>
      </c>
      <c r="P342" t="s">
        <v>550</v>
      </c>
      <c r="Q342">
        <v>2022</v>
      </c>
      <c r="R342" t="s">
        <v>680</v>
      </c>
      <c r="S342" t="s">
        <v>681</v>
      </c>
      <c r="T342" t="s">
        <v>553</v>
      </c>
      <c r="U342" t="b">
        <v>0</v>
      </c>
      <c r="V342" t="s">
        <v>682</v>
      </c>
      <c r="W342" t="s">
        <v>587</v>
      </c>
      <c r="X342" t="s">
        <v>556</v>
      </c>
      <c r="Y342" t="s">
        <v>468</v>
      </c>
      <c r="AC342">
        <v>1</v>
      </c>
      <c r="AD342" t="s">
        <v>564</v>
      </c>
      <c r="AE342">
        <v>193.15265600000001</v>
      </c>
      <c r="AF342">
        <v>2.14805</v>
      </c>
      <c r="AG342" t="s">
        <v>588</v>
      </c>
      <c r="AH342">
        <v>1</v>
      </c>
      <c r="AI342">
        <v>89.92</v>
      </c>
      <c r="AJ342" t="s">
        <v>561</v>
      </c>
      <c r="AK342" t="s">
        <v>589</v>
      </c>
      <c r="AL342" t="s">
        <v>590</v>
      </c>
      <c r="AM342">
        <v>2022</v>
      </c>
      <c r="AN342">
        <v>2020</v>
      </c>
      <c r="AO342">
        <f>IF(AND(emissions[[#This Row],[Market-based]]=0,emissions[[#This Row],[Impact Type]]="CO2E"),emissions[[#This Row],[kgCO2e]],0)/1000</f>
        <v>0</v>
      </c>
      <c r="AP342">
        <f>IF(AND(emissions[[#This Row],[Market-based]]=1,OR(emissions[[#This Row],[Impact Type]]="CO2E",emissions[[#This Row],[Impact Type]]="CO2E MKT")),emissions[[#This Row],[kgCO2e]],0)/1000</f>
        <v>0</v>
      </c>
      <c r="AQ342" t="str">
        <f>_xlfn.TEXTAFTER(emissions[[#This Row],[Reporting Unit]]," &gt; ",LEN(emissions[[#This Row],[Reporting Unit]])-LEN(SUBSTITUTE(emissions[[#This Row],[Reporting Unit]],"&gt;","")))</f>
        <v>Vantage_Leuna</v>
      </c>
      <c r="AR342" t="str">
        <f>_xlfn.XLOOKUP(emissions[[#This Row],[Reporting unit name]],hierarchy!$A:$A,hierarchy!$C:$C)</f>
        <v>Office (with heat &amp; steam)</v>
      </c>
    </row>
    <row r="343" spans="1:44" hidden="1" x14ac:dyDescent="0.25">
      <c r="A343">
        <v>290090</v>
      </c>
      <c r="B343" t="s">
        <v>164</v>
      </c>
      <c r="C343" t="s">
        <v>537</v>
      </c>
      <c r="D343" t="s">
        <v>548</v>
      </c>
      <c r="E343" s="3">
        <v>44562</v>
      </c>
      <c r="F343" s="3">
        <v>44926</v>
      </c>
      <c r="G343" t="s">
        <v>141</v>
      </c>
      <c r="H343" s="3">
        <v>44562</v>
      </c>
      <c r="I343" s="3">
        <v>44926</v>
      </c>
      <c r="J343" t="s">
        <v>168</v>
      </c>
      <c r="K343">
        <v>89.92</v>
      </c>
      <c r="L343" t="s">
        <v>143</v>
      </c>
      <c r="M343" t="s">
        <v>110</v>
      </c>
      <c r="O343" t="s">
        <v>694</v>
      </c>
      <c r="P343" t="s">
        <v>550</v>
      </c>
      <c r="Q343">
        <v>2022</v>
      </c>
      <c r="R343" t="s">
        <v>680</v>
      </c>
      <c r="S343" t="s">
        <v>681</v>
      </c>
      <c r="T343" t="s">
        <v>553</v>
      </c>
      <c r="U343" t="b">
        <v>0</v>
      </c>
      <c r="V343" t="s">
        <v>682</v>
      </c>
      <c r="W343" t="s">
        <v>587</v>
      </c>
      <c r="X343" t="s">
        <v>556</v>
      </c>
      <c r="Y343" t="s">
        <v>468</v>
      </c>
      <c r="AC343">
        <v>1</v>
      </c>
      <c r="AD343" t="s">
        <v>565</v>
      </c>
      <c r="AE343">
        <v>194.393552</v>
      </c>
      <c r="AF343">
        <v>2.1618499999999998</v>
      </c>
      <c r="AG343" t="s">
        <v>588</v>
      </c>
      <c r="AH343">
        <v>1</v>
      </c>
      <c r="AI343">
        <v>89.92</v>
      </c>
      <c r="AJ343" t="s">
        <v>561</v>
      </c>
      <c r="AK343" t="s">
        <v>589</v>
      </c>
      <c r="AL343" t="s">
        <v>590</v>
      </c>
      <c r="AM343">
        <v>2022</v>
      </c>
      <c r="AN343">
        <v>2020</v>
      </c>
      <c r="AO343">
        <f>IF(AND(emissions[[#This Row],[Market-based]]=0,emissions[[#This Row],[Impact Type]]="CO2E"),emissions[[#This Row],[kgCO2e]],0)/1000</f>
        <v>0</v>
      </c>
      <c r="AP343">
        <f>IF(AND(emissions[[#This Row],[Market-based]]=1,OR(emissions[[#This Row],[Impact Type]]="CO2E",emissions[[#This Row],[Impact Type]]="CO2E MKT")),emissions[[#This Row],[kgCO2e]],0)/1000</f>
        <v>0.194393552</v>
      </c>
      <c r="AQ343" t="str">
        <f>_xlfn.TEXTAFTER(emissions[[#This Row],[Reporting Unit]]," &gt; ",LEN(emissions[[#This Row],[Reporting Unit]])-LEN(SUBSTITUTE(emissions[[#This Row],[Reporting Unit]],"&gt;","")))</f>
        <v>Vantage_Leuna</v>
      </c>
      <c r="AR343" t="str">
        <f>_xlfn.XLOOKUP(emissions[[#This Row],[Reporting unit name]],hierarchy!$A:$A,hierarchy!$C:$C)</f>
        <v>Office (with heat &amp; steam)</v>
      </c>
    </row>
    <row r="344" spans="1:44" hidden="1" x14ac:dyDescent="0.25">
      <c r="A344">
        <v>290090</v>
      </c>
      <c r="B344" t="s">
        <v>164</v>
      </c>
      <c r="C344" t="s">
        <v>537</v>
      </c>
      <c r="D344" t="s">
        <v>548</v>
      </c>
      <c r="E344" s="3">
        <v>44562</v>
      </c>
      <c r="F344" s="3">
        <v>44926</v>
      </c>
      <c r="G344" t="s">
        <v>141</v>
      </c>
      <c r="H344" s="3">
        <v>44562</v>
      </c>
      <c r="I344" s="3">
        <v>44926</v>
      </c>
      <c r="J344" t="s">
        <v>168</v>
      </c>
      <c r="K344">
        <v>89.92</v>
      </c>
      <c r="L344" t="s">
        <v>143</v>
      </c>
      <c r="M344" t="s">
        <v>110</v>
      </c>
      <c r="O344" t="s">
        <v>694</v>
      </c>
      <c r="P344" t="s">
        <v>550</v>
      </c>
      <c r="Q344">
        <v>2022</v>
      </c>
      <c r="R344" t="s">
        <v>680</v>
      </c>
      <c r="S344" t="s">
        <v>681</v>
      </c>
      <c r="T344" t="s">
        <v>553</v>
      </c>
      <c r="U344" t="b">
        <v>0</v>
      </c>
      <c r="V344" t="s">
        <v>682</v>
      </c>
      <c r="W344" t="s">
        <v>587</v>
      </c>
      <c r="X344" t="s">
        <v>556</v>
      </c>
      <c r="Y344" t="s">
        <v>468</v>
      </c>
      <c r="AC344">
        <v>1</v>
      </c>
      <c r="AD344" t="s">
        <v>566</v>
      </c>
      <c r="AE344">
        <v>0.593472</v>
      </c>
      <c r="AF344">
        <v>6.6E-3</v>
      </c>
      <c r="AG344" t="s">
        <v>588</v>
      </c>
      <c r="AH344">
        <v>1</v>
      </c>
      <c r="AI344">
        <v>89.92</v>
      </c>
      <c r="AJ344" t="s">
        <v>561</v>
      </c>
      <c r="AK344" t="s">
        <v>589</v>
      </c>
      <c r="AL344" t="s">
        <v>590</v>
      </c>
      <c r="AM344">
        <v>2022</v>
      </c>
      <c r="AN344">
        <v>2020</v>
      </c>
      <c r="AO344">
        <f>IF(AND(emissions[[#This Row],[Market-based]]=0,emissions[[#This Row],[Impact Type]]="CO2E"),emissions[[#This Row],[kgCO2e]],0)/1000</f>
        <v>0</v>
      </c>
      <c r="AP344">
        <f>IF(AND(emissions[[#This Row],[Market-based]]=1,OR(emissions[[#This Row],[Impact Type]]="CO2E",emissions[[#This Row],[Impact Type]]="CO2E MKT")),emissions[[#This Row],[kgCO2e]],0)/1000</f>
        <v>0</v>
      </c>
      <c r="AQ344" t="str">
        <f>_xlfn.TEXTAFTER(emissions[[#This Row],[Reporting Unit]]," &gt; ",LEN(emissions[[#This Row],[Reporting Unit]])-LEN(SUBSTITUTE(emissions[[#This Row],[Reporting Unit]],"&gt;","")))</f>
        <v>Vantage_Leuna</v>
      </c>
      <c r="AR344" t="str">
        <f>_xlfn.XLOOKUP(emissions[[#This Row],[Reporting unit name]],hierarchy!$A:$A,hierarchy!$C:$C)</f>
        <v>Office (with heat &amp; steam)</v>
      </c>
    </row>
    <row r="345" spans="1:44" hidden="1" x14ac:dyDescent="0.25">
      <c r="A345">
        <v>290090</v>
      </c>
      <c r="B345" t="s">
        <v>164</v>
      </c>
      <c r="C345" t="s">
        <v>537</v>
      </c>
      <c r="D345" t="s">
        <v>548</v>
      </c>
      <c r="E345" s="3">
        <v>44562</v>
      </c>
      <c r="F345" s="3">
        <v>44926</v>
      </c>
      <c r="G345" t="s">
        <v>141</v>
      </c>
      <c r="H345" s="3">
        <v>44562</v>
      </c>
      <c r="I345" s="3">
        <v>44926</v>
      </c>
      <c r="J345" t="s">
        <v>168</v>
      </c>
      <c r="K345">
        <v>89.92</v>
      </c>
      <c r="L345" t="s">
        <v>143</v>
      </c>
      <c r="M345" t="s">
        <v>110</v>
      </c>
      <c r="O345" t="s">
        <v>694</v>
      </c>
      <c r="P345" t="s">
        <v>550</v>
      </c>
      <c r="Q345">
        <v>2022</v>
      </c>
      <c r="R345" t="s">
        <v>683</v>
      </c>
      <c r="S345" t="s">
        <v>684</v>
      </c>
      <c r="T345" t="s">
        <v>577</v>
      </c>
      <c r="U345" t="b">
        <v>0</v>
      </c>
      <c r="V345" t="s">
        <v>685</v>
      </c>
      <c r="W345" t="s">
        <v>571</v>
      </c>
      <c r="X345" t="s">
        <v>572</v>
      </c>
      <c r="Y345" t="s">
        <v>468</v>
      </c>
      <c r="AC345">
        <v>0</v>
      </c>
      <c r="AD345" t="s">
        <v>565</v>
      </c>
      <c r="AE345">
        <v>55.146137600000003</v>
      </c>
      <c r="AF345">
        <v>0.61328000000000005</v>
      </c>
      <c r="AG345" t="s">
        <v>588</v>
      </c>
      <c r="AH345">
        <v>1</v>
      </c>
      <c r="AI345">
        <v>89.92</v>
      </c>
      <c r="AJ345" t="s">
        <v>561</v>
      </c>
      <c r="AK345" t="s">
        <v>589</v>
      </c>
      <c r="AL345" t="s">
        <v>590</v>
      </c>
      <c r="AM345">
        <v>2022</v>
      </c>
      <c r="AN345">
        <v>2020</v>
      </c>
      <c r="AO345">
        <f>IF(AND(emissions[[#This Row],[Market-based]]=0,emissions[[#This Row],[Impact Type]]="CO2E"),emissions[[#This Row],[kgCO2e]],0)/1000</f>
        <v>5.5146137600000006E-2</v>
      </c>
      <c r="AP345">
        <f>IF(AND(emissions[[#This Row],[Market-based]]=1,OR(emissions[[#This Row],[Impact Type]]="CO2E",emissions[[#This Row],[Impact Type]]="CO2E MKT")),emissions[[#This Row],[kgCO2e]],0)/1000</f>
        <v>0</v>
      </c>
      <c r="AQ345" t="str">
        <f>_xlfn.TEXTAFTER(emissions[[#This Row],[Reporting Unit]]," &gt; ",LEN(emissions[[#This Row],[Reporting Unit]])-LEN(SUBSTITUTE(emissions[[#This Row],[Reporting Unit]],"&gt;","")))</f>
        <v>Vantage_Leuna</v>
      </c>
      <c r="AR345" t="str">
        <f>_xlfn.XLOOKUP(emissions[[#This Row],[Reporting unit name]],hierarchy!$A:$A,hierarchy!$C:$C)</f>
        <v>Office (with heat &amp; steam)</v>
      </c>
    </row>
    <row r="346" spans="1:44" hidden="1" x14ac:dyDescent="0.25">
      <c r="A346">
        <v>290090</v>
      </c>
      <c r="B346" t="s">
        <v>164</v>
      </c>
      <c r="C346" t="s">
        <v>537</v>
      </c>
      <c r="D346" t="s">
        <v>548</v>
      </c>
      <c r="E346" s="3">
        <v>44562</v>
      </c>
      <c r="F346" s="3">
        <v>44926</v>
      </c>
      <c r="G346" t="s">
        <v>141</v>
      </c>
      <c r="H346" s="3">
        <v>44562</v>
      </c>
      <c r="I346" s="3">
        <v>44926</v>
      </c>
      <c r="J346" t="s">
        <v>168</v>
      </c>
      <c r="K346">
        <v>89.92</v>
      </c>
      <c r="L346" t="s">
        <v>143</v>
      </c>
      <c r="M346" t="s">
        <v>110</v>
      </c>
      <c r="O346" t="s">
        <v>694</v>
      </c>
      <c r="P346" t="s">
        <v>550</v>
      </c>
      <c r="Q346">
        <v>2022</v>
      </c>
      <c r="R346" t="s">
        <v>683</v>
      </c>
      <c r="S346" t="s">
        <v>684</v>
      </c>
      <c r="T346" t="s">
        <v>577</v>
      </c>
      <c r="U346" t="b">
        <v>0</v>
      </c>
      <c r="V346" t="s">
        <v>685</v>
      </c>
      <c r="W346" t="s">
        <v>571</v>
      </c>
      <c r="X346" t="s">
        <v>572</v>
      </c>
      <c r="Y346" t="s">
        <v>468</v>
      </c>
      <c r="AC346">
        <v>1</v>
      </c>
      <c r="AD346" t="s">
        <v>565</v>
      </c>
      <c r="AE346">
        <v>55.146137600000003</v>
      </c>
      <c r="AF346">
        <v>0.61328000000000005</v>
      </c>
      <c r="AG346" t="s">
        <v>588</v>
      </c>
      <c r="AH346">
        <v>1</v>
      </c>
      <c r="AI346">
        <v>89.92</v>
      </c>
      <c r="AJ346" t="s">
        <v>561</v>
      </c>
      <c r="AK346" t="s">
        <v>589</v>
      </c>
      <c r="AL346" t="s">
        <v>590</v>
      </c>
      <c r="AM346">
        <v>2022</v>
      </c>
      <c r="AN346">
        <v>2020</v>
      </c>
      <c r="AO346">
        <f>IF(AND(emissions[[#This Row],[Market-based]]=0,emissions[[#This Row],[Impact Type]]="CO2E"),emissions[[#This Row],[kgCO2e]],0)/1000</f>
        <v>0</v>
      </c>
      <c r="AP346">
        <f>IF(AND(emissions[[#This Row],[Market-based]]=1,OR(emissions[[#This Row],[Impact Type]]="CO2E",emissions[[#This Row],[Impact Type]]="CO2E MKT")),emissions[[#This Row],[kgCO2e]],0)/1000</f>
        <v>5.5146137600000006E-2</v>
      </c>
      <c r="AQ346" t="str">
        <f>_xlfn.TEXTAFTER(emissions[[#This Row],[Reporting Unit]]," &gt; ",LEN(emissions[[#This Row],[Reporting Unit]])-LEN(SUBSTITUTE(emissions[[#This Row],[Reporting Unit]],"&gt;","")))</f>
        <v>Vantage_Leuna</v>
      </c>
      <c r="AR346" t="str">
        <f>_xlfn.XLOOKUP(emissions[[#This Row],[Reporting unit name]],hierarchy!$A:$A,hierarchy!$C:$C)</f>
        <v>Office (with heat &amp; steam)</v>
      </c>
    </row>
    <row r="347" spans="1:44" hidden="1" x14ac:dyDescent="0.25">
      <c r="A347">
        <v>290092</v>
      </c>
      <c r="B347" t="s">
        <v>164</v>
      </c>
      <c r="C347" t="s">
        <v>537</v>
      </c>
      <c r="D347" t="s">
        <v>548</v>
      </c>
      <c r="E347" s="3">
        <v>44562</v>
      </c>
      <c r="F347" s="3">
        <v>44926</v>
      </c>
      <c r="G347" t="s">
        <v>141</v>
      </c>
      <c r="H347" s="3">
        <v>44562</v>
      </c>
      <c r="I347" s="3">
        <v>44926</v>
      </c>
      <c r="J347" t="s">
        <v>168</v>
      </c>
      <c r="K347">
        <v>55.95</v>
      </c>
      <c r="L347" t="s">
        <v>143</v>
      </c>
      <c r="M347" t="s">
        <v>110</v>
      </c>
      <c r="O347" t="s">
        <v>695</v>
      </c>
      <c r="P347" t="s">
        <v>550</v>
      </c>
      <c r="Q347">
        <v>2022</v>
      </c>
      <c r="R347" t="s">
        <v>680</v>
      </c>
      <c r="S347" t="s">
        <v>681</v>
      </c>
      <c r="T347" t="s">
        <v>553</v>
      </c>
      <c r="U347" t="b">
        <v>0</v>
      </c>
      <c r="V347" t="s">
        <v>682</v>
      </c>
      <c r="W347" t="s">
        <v>587</v>
      </c>
      <c r="X347" t="s">
        <v>556</v>
      </c>
      <c r="Y347" t="s">
        <v>468</v>
      </c>
      <c r="AC347">
        <v>0</v>
      </c>
      <c r="AD347" t="s">
        <v>558</v>
      </c>
      <c r="AE347">
        <v>0.40283999999999998</v>
      </c>
      <c r="AF347">
        <v>7.1999999999999998E-3</v>
      </c>
      <c r="AG347" t="s">
        <v>588</v>
      </c>
      <c r="AH347">
        <v>1</v>
      </c>
      <c r="AI347">
        <v>55.95</v>
      </c>
      <c r="AJ347" t="s">
        <v>561</v>
      </c>
      <c r="AK347" t="s">
        <v>589</v>
      </c>
      <c r="AL347" t="s">
        <v>590</v>
      </c>
      <c r="AM347">
        <v>2022</v>
      </c>
      <c r="AN347">
        <v>2020</v>
      </c>
      <c r="AO347">
        <f>IF(AND(emissions[[#This Row],[Market-based]]=0,emissions[[#This Row],[Impact Type]]="CO2E"),emissions[[#This Row],[kgCO2e]],0)/1000</f>
        <v>0</v>
      </c>
      <c r="AP347">
        <f>IF(AND(emissions[[#This Row],[Market-based]]=1,OR(emissions[[#This Row],[Impact Type]]="CO2E",emissions[[#This Row],[Impact Type]]="CO2E MKT")),emissions[[#This Row],[kgCO2e]],0)/1000</f>
        <v>0</v>
      </c>
      <c r="AQ347" t="str">
        <f>_xlfn.TEXTAFTER(emissions[[#This Row],[Reporting Unit]]," &gt; ",LEN(emissions[[#This Row],[Reporting Unit]])-LEN(SUBSTITUTE(emissions[[#This Row],[Reporting Unit]],"&gt;","")))</f>
        <v>Vantage_Leuna</v>
      </c>
      <c r="AR347" t="str">
        <f>_xlfn.XLOOKUP(emissions[[#This Row],[Reporting unit name]],hierarchy!$A:$A,hierarchy!$C:$C)</f>
        <v>Office (with heat &amp; steam)</v>
      </c>
    </row>
    <row r="348" spans="1:44" hidden="1" x14ac:dyDescent="0.25">
      <c r="A348">
        <v>290092</v>
      </c>
      <c r="B348" t="s">
        <v>164</v>
      </c>
      <c r="C348" t="s">
        <v>537</v>
      </c>
      <c r="D348" t="s">
        <v>548</v>
      </c>
      <c r="E348" s="3">
        <v>44562</v>
      </c>
      <c r="F348" s="3">
        <v>44926</v>
      </c>
      <c r="G348" t="s">
        <v>141</v>
      </c>
      <c r="H348" s="3">
        <v>44562</v>
      </c>
      <c r="I348" s="3">
        <v>44926</v>
      </c>
      <c r="J348" t="s">
        <v>168</v>
      </c>
      <c r="K348">
        <v>55.95</v>
      </c>
      <c r="L348" t="s">
        <v>143</v>
      </c>
      <c r="M348" t="s">
        <v>110</v>
      </c>
      <c r="O348" t="s">
        <v>695</v>
      </c>
      <c r="P348" t="s">
        <v>550</v>
      </c>
      <c r="Q348">
        <v>2022</v>
      </c>
      <c r="R348" t="s">
        <v>680</v>
      </c>
      <c r="S348" t="s">
        <v>681</v>
      </c>
      <c r="T348" t="s">
        <v>553</v>
      </c>
      <c r="U348" t="b">
        <v>0</v>
      </c>
      <c r="V348" t="s">
        <v>682</v>
      </c>
      <c r="W348" t="s">
        <v>587</v>
      </c>
      <c r="X348" t="s">
        <v>556</v>
      </c>
      <c r="Y348" t="s">
        <v>468</v>
      </c>
      <c r="AC348">
        <v>0</v>
      </c>
      <c r="AD348" t="s">
        <v>564</v>
      </c>
      <c r="AE348">
        <v>120.1833975</v>
      </c>
      <c r="AF348">
        <v>2.14805</v>
      </c>
      <c r="AG348" t="s">
        <v>588</v>
      </c>
      <c r="AH348">
        <v>1</v>
      </c>
      <c r="AI348">
        <v>55.95</v>
      </c>
      <c r="AJ348" t="s">
        <v>561</v>
      </c>
      <c r="AK348" t="s">
        <v>589</v>
      </c>
      <c r="AL348" t="s">
        <v>590</v>
      </c>
      <c r="AM348">
        <v>2022</v>
      </c>
      <c r="AN348">
        <v>2020</v>
      </c>
      <c r="AO348">
        <f>IF(AND(emissions[[#This Row],[Market-based]]=0,emissions[[#This Row],[Impact Type]]="CO2E"),emissions[[#This Row],[kgCO2e]],0)/1000</f>
        <v>0</v>
      </c>
      <c r="AP348">
        <f>IF(AND(emissions[[#This Row],[Market-based]]=1,OR(emissions[[#This Row],[Impact Type]]="CO2E",emissions[[#This Row],[Impact Type]]="CO2E MKT")),emissions[[#This Row],[kgCO2e]],0)/1000</f>
        <v>0</v>
      </c>
      <c r="AQ348" t="str">
        <f>_xlfn.TEXTAFTER(emissions[[#This Row],[Reporting Unit]]," &gt; ",LEN(emissions[[#This Row],[Reporting Unit]])-LEN(SUBSTITUTE(emissions[[#This Row],[Reporting Unit]],"&gt;","")))</f>
        <v>Vantage_Leuna</v>
      </c>
      <c r="AR348" t="str">
        <f>_xlfn.XLOOKUP(emissions[[#This Row],[Reporting unit name]],hierarchy!$A:$A,hierarchy!$C:$C)</f>
        <v>Office (with heat &amp; steam)</v>
      </c>
    </row>
    <row r="349" spans="1:44" hidden="1" x14ac:dyDescent="0.25">
      <c r="A349">
        <v>290092</v>
      </c>
      <c r="B349" t="s">
        <v>164</v>
      </c>
      <c r="C349" t="s">
        <v>537</v>
      </c>
      <c r="D349" t="s">
        <v>548</v>
      </c>
      <c r="E349" s="3">
        <v>44562</v>
      </c>
      <c r="F349" s="3">
        <v>44926</v>
      </c>
      <c r="G349" t="s">
        <v>141</v>
      </c>
      <c r="H349" s="3">
        <v>44562</v>
      </c>
      <c r="I349" s="3">
        <v>44926</v>
      </c>
      <c r="J349" t="s">
        <v>168</v>
      </c>
      <c r="K349">
        <v>55.95</v>
      </c>
      <c r="L349" t="s">
        <v>143</v>
      </c>
      <c r="M349" t="s">
        <v>110</v>
      </c>
      <c r="O349" t="s">
        <v>695</v>
      </c>
      <c r="P349" t="s">
        <v>550</v>
      </c>
      <c r="Q349">
        <v>2022</v>
      </c>
      <c r="R349" t="s">
        <v>680</v>
      </c>
      <c r="S349" t="s">
        <v>681</v>
      </c>
      <c r="T349" t="s">
        <v>553</v>
      </c>
      <c r="U349" t="b">
        <v>0</v>
      </c>
      <c r="V349" t="s">
        <v>682</v>
      </c>
      <c r="W349" t="s">
        <v>587</v>
      </c>
      <c r="X349" t="s">
        <v>556</v>
      </c>
      <c r="Y349" t="s">
        <v>468</v>
      </c>
      <c r="AC349">
        <v>0</v>
      </c>
      <c r="AD349" t="s">
        <v>565</v>
      </c>
      <c r="AE349">
        <v>120.9555075</v>
      </c>
      <c r="AF349">
        <v>2.1618499999999998</v>
      </c>
      <c r="AG349" t="s">
        <v>588</v>
      </c>
      <c r="AH349">
        <v>1</v>
      </c>
      <c r="AI349">
        <v>55.95</v>
      </c>
      <c r="AJ349" t="s">
        <v>561</v>
      </c>
      <c r="AK349" t="s">
        <v>589</v>
      </c>
      <c r="AL349" t="s">
        <v>590</v>
      </c>
      <c r="AM349">
        <v>2022</v>
      </c>
      <c r="AN349">
        <v>2020</v>
      </c>
      <c r="AO349">
        <f>IF(AND(emissions[[#This Row],[Market-based]]=0,emissions[[#This Row],[Impact Type]]="CO2E"),emissions[[#This Row],[kgCO2e]],0)/1000</f>
        <v>0.12095550749999999</v>
      </c>
      <c r="AP349">
        <f>IF(AND(emissions[[#This Row],[Market-based]]=1,OR(emissions[[#This Row],[Impact Type]]="CO2E",emissions[[#This Row],[Impact Type]]="CO2E MKT")),emissions[[#This Row],[kgCO2e]],0)/1000</f>
        <v>0</v>
      </c>
      <c r="AQ349" t="str">
        <f>_xlfn.TEXTAFTER(emissions[[#This Row],[Reporting Unit]]," &gt; ",LEN(emissions[[#This Row],[Reporting Unit]])-LEN(SUBSTITUTE(emissions[[#This Row],[Reporting Unit]],"&gt;","")))</f>
        <v>Vantage_Leuna</v>
      </c>
      <c r="AR349" t="str">
        <f>_xlfn.XLOOKUP(emissions[[#This Row],[Reporting unit name]],hierarchy!$A:$A,hierarchy!$C:$C)</f>
        <v>Office (with heat &amp; steam)</v>
      </c>
    </row>
    <row r="350" spans="1:44" hidden="1" x14ac:dyDescent="0.25">
      <c r="A350">
        <v>290092</v>
      </c>
      <c r="B350" t="s">
        <v>164</v>
      </c>
      <c r="C350" t="s">
        <v>537</v>
      </c>
      <c r="D350" t="s">
        <v>548</v>
      </c>
      <c r="E350" s="3">
        <v>44562</v>
      </c>
      <c r="F350" s="3">
        <v>44926</v>
      </c>
      <c r="G350" t="s">
        <v>141</v>
      </c>
      <c r="H350" s="3">
        <v>44562</v>
      </c>
      <c r="I350" s="3">
        <v>44926</v>
      </c>
      <c r="J350" t="s">
        <v>168</v>
      </c>
      <c r="K350">
        <v>55.95</v>
      </c>
      <c r="L350" t="s">
        <v>143</v>
      </c>
      <c r="M350" t="s">
        <v>110</v>
      </c>
      <c r="O350" t="s">
        <v>695</v>
      </c>
      <c r="P350" t="s">
        <v>550</v>
      </c>
      <c r="Q350">
        <v>2022</v>
      </c>
      <c r="R350" t="s">
        <v>680</v>
      </c>
      <c r="S350" t="s">
        <v>681</v>
      </c>
      <c r="T350" t="s">
        <v>553</v>
      </c>
      <c r="U350" t="b">
        <v>0</v>
      </c>
      <c r="V350" t="s">
        <v>682</v>
      </c>
      <c r="W350" t="s">
        <v>587</v>
      </c>
      <c r="X350" t="s">
        <v>556</v>
      </c>
      <c r="Y350" t="s">
        <v>468</v>
      </c>
      <c r="AC350">
        <v>0</v>
      </c>
      <c r="AD350" t="s">
        <v>566</v>
      </c>
      <c r="AE350">
        <v>0.36926999999999999</v>
      </c>
      <c r="AF350">
        <v>6.6E-3</v>
      </c>
      <c r="AG350" t="s">
        <v>588</v>
      </c>
      <c r="AH350">
        <v>1</v>
      </c>
      <c r="AI350">
        <v>55.95</v>
      </c>
      <c r="AJ350" t="s">
        <v>561</v>
      </c>
      <c r="AK350" t="s">
        <v>589</v>
      </c>
      <c r="AL350" t="s">
        <v>590</v>
      </c>
      <c r="AM350">
        <v>2022</v>
      </c>
      <c r="AN350">
        <v>2020</v>
      </c>
      <c r="AO350">
        <f>IF(AND(emissions[[#This Row],[Market-based]]=0,emissions[[#This Row],[Impact Type]]="CO2E"),emissions[[#This Row],[kgCO2e]],0)/1000</f>
        <v>0</v>
      </c>
      <c r="AP350">
        <f>IF(AND(emissions[[#This Row],[Market-based]]=1,OR(emissions[[#This Row],[Impact Type]]="CO2E",emissions[[#This Row],[Impact Type]]="CO2E MKT")),emissions[[#This Row],[kgCO2e]],0)/1000</f>
        <v>0</v>
      </c>
      <c r="AQ350" t="str">
        <f>_xlfn.TEXTAFTER(emissions[[#This Row],[Reporting Unit]]," &gt; ",LEN(emissions[[#This Row],[Reporting Unit]])-LEN(SUBSTITUTE(emissions[[#This Row],[Reporting Unit]],"&gt;","")))</f>
        <v>Vantage_Leuna</v>
      </c>
      <c r="AR350" t="str">
        <f>_xlfn.XLOOKUP(emissions[[#This Row],[Reporting unit name]],hierarchy!$A:$A,hierarchy!$C:$C)</f>
        <v>Office (with heat &amp; steam)</v>
      </c>
    </row>
    <row r="351" spans="1:44" hidden="1" x14ac:dyDescent="0.25">
      <c r="A351">
        <v>290092</v>
      </c>
      <c r="B351" t="s">
        <v>164</v>
      </c>
      <c r="C351" t="s">
        <v>537</v>
      </c>
      <c r="D351" t="s">
        <v>548</v>
      </c>
      <c r="E351" s="3">
        <v>44562</v>
      </c>
      <c r="F351" s="3">
        <v>44926</v>
      </c>
      <c r="G351" t="s">
        <v>141</v>
      </c>
      <c r="H351" s="3">
        <v>44562</v>
      </c>
      <c r="I351" s="3">
        <v>44926</v>
      </c>
      <c r="J351" t="s">
        <v>168</v>
      </c>
      <c r="K351">
        <v>55.95</v>
      </c>
      <c r="L351" t="s">
        <v>143</v>
      </c>
      <c r="M351" t="s">
        <v>110</v>
      </c>
      <c r="O351" t="s">
        <v>695</v>
      </c>
      <c r="P351" t="s">
        <v>550</v>
      </c>
      <c r="Q351">
        <v>2022</v>
      </c>
      <c r="R351" t="s">
        <v>680</v>
      </c>
      <c r="S351" t="s">
        <v>681</v>
      </c>
      <c r="T351" t="s">
        <v>553</v>
      </c>
      <c r="U351" t="b">
        <v>0</v>
      </c>
      <c r="V351" t="s">
        <v>682</v>
      </c>
      <c r="W351" t="s">
        <v>587</v>
      </c>
      <c r="X351" t="s">
        <v>556</v>
      </c>
      <c r="Y351" t="s">
        <v>468</v>
      </c>
      <c r="AC351">
        <v>1</v>
      </c>
      <c r="AD351" t="s">
        <v>558</v>
      </c>
      <c r="AE351">
        <v>0.40283999999999998</v>
      </c>
      <c r="AF351">
        <v>7.1999999999999998E-3</v>
      </c>
      <c r="AG351" t="s">
        <v>588</v>
      </c>
      <c r="AH351">
        <v>1</v>
      </c>
      <c r="AI351">
        <v>55.95</v>
      </c>
      <c r="AJ351" t="s">
        <v>561</v>
      </c>
      <c r="AK351" t="s">
        <v>589</v>
      </c>
      <c r="AL351" t="s">
        <v>590</v>
      </c>
      <c r="AM351">
        <v>2022</v>
      </c>
      <c r="AN351">
        <v>2020</v>
      </c>
      <c r="AO351">
        <f>IF(AND(emissions[[#This Row],[Market-based]]=0,emissions[[#This Row],[Impact Type]]="CO2E"),emissions[[#This Row],[kgCO2e]],0)/1000</f>
        <v>0</v>
      </c>
      <c r="AP351">
        <f>IF(AND(emissions[[#This Row],[Market-based]]=1,OR(emissions[[#This Row],[Impact Type]]="CO2E",emissions[[#This Row],[Impact Type]]="CO2E MKT")),emissions[[#This Row],[kgCO2e]],0)/1000</f>
        <v>0</v>
      </c>
      <c r="AQ351" t="str">
        <f>_xlfn.TEXTAFTER(emissions[[#This Row],[Reporting Unit]]," &gt; ",LEN(emissions[[#This Row],[Reporting Unit]])-LEN(SUBSTITUTE(emissions[[#This Row],[Reporting Unit]],"&gt;","")))</f>
        <v>Vantage_Leuna</v>
      </c>
      <c r="AR351" t="str">
        <f>_xlfn.XLOOKUP(emissions[[#This Row],[Reporting unit name]],hierarchy!$A:$A,hierarchy!$C:$C)</f>
        <v>Office (with heat &amp; steam)</v>
      </c>
    </row>
    <row r="352" spans="1:44" hidden="1" x14ac:dyDescent="0.25">
      <c r="A352">
        <v>290092</v>
      </c>
      <c r="B352" t="s">
        <v>164</v>
      </c>
      <c r="C352" t="s">
        <v>537</v>
      </c>
      <c r="D352" t="s">
        <v>548</v>
      </c>
      <c r="E352" s="3">
        <v>44562</v>
      </c>
      <c r="F352" s="3">
        <v>44926</v>
      </c>
      <c r="G352" t="s">
        <v>141</v>
      </c>
      <c r="H352" s="3">
        <v>44562</v>
      </c>
      <c r="I352" s="3">
        <v>44926</v>
      </c>
      <c r="J352" t="s">
        <v>168</v>
      </c>
      <c r="K352">
        <v>55.95</v>
      </c>
      <c r="L352" t="s">
        <v>143</v>
      </c>
      <c r="M352" t="s">
        <v>110</v>
      </c>
      <c r="O352" t="s">
        <v>695</v>
      </c>
      <c r="P352" t="s">
        <v>550</v>
      </c>
      <c r="Q352">
        <v>2022</v>
      </c>
      <c r="R352" t="s">
        <v>680</v>
      </c>
      <c r="S352" t="s">
        <v>681</v>
      </c>
      <c r="T352" t="s">
        <v>553</v>
      </c>
      <c r="U352" t="b">
        <v>0</v>
      </c>
      <c r="V352" t="s">
        <v>682</v>
      </c>
      <c r="W352" t="s">
        <v>587</v>
      </c>
      <c r="X352" t="s">
        <v>556</v>
      </c>
      <c r="Y352" t="s">
        <v>468</v>
      </c>
      <c r="AC352">
        <v>1</v>
      </c>
      <c r="AD352" t="s">
        <v>564</v>
      </c>
      <c r="AE352">
        <v>120.1833975</v>
      </c>
      <c r="AF352">
        <v>2.14805</v>
      </c>
      <c r="AG352" t="s">
        <v>588</v>
      </c>
      <c r="AH352">
        <v>1</v>
      </c>
      <c r="AI352">
        <v>55.95</v>
      </c>
      <c r="AJ352" t="s">
        <v>561</v>
      </c>
      <c r="AK352" t="s">
        <v>589</v>
      </c>
      <c r="AL352" t="s">
        <v>590</v>
      </c>
      <c r="AM352">
        <v>2022</v>
      </c>
      <c r="AN352">
        <v>2020</v>
      </c>
      <c r="AO352">
        <f>IF(AND(emissions[[#This Row],[Market-based]]=0,emissions[[#This Row],[Impact Type]]="CO2E"),emissions[[#This Row],[kgCO2e]],0)/1000</f>
        <v>0</v>
      </c>
      <c r="AP352">
        <f>IF(AND(emissions[[#This Row],[Market-based]]=1,OR(emissions[[#This Row],[Impact Type]]="CO2E",emissions[[#This Row],[Impact Type]]="CO2E MKT")),emissions[[#This Row],[kgCO2e]],0)/1000</f>
        <v>0</v>
      </c>
      <c r="AQ352" t="str">
        <f>_xlfn.TEXTAFTER(emissions[[#This Row],[Reporting Unit]]," &gt; ",LEN(emissions[[#This Row],[Reporting Unit]])-LEN(SUBSTITUTE(emissions[[#This Row],[Reporting Unit]],"&gt;","")))</f>
        <v>Vantage_Leuna</v>
      </c>
      <c r="AR352" t="str">
        <f>_xlfn.XLOOKUP(emissions[[#This Row],[Reporting unit name]],hierarchy!$A:$A,hierarchy!$C:$C)</f>
        <v>Office (with heat &amp; steam)</v>
      </c>
    </row>
    <row r="353" spans="1:44" hidden="1" x14ac:dyDescent="0.25">
      <c r="A353">
        <v>290092</v>
      </c>
      <c r="B353" t="s">
        <v>164</v>
      </c>
      <c r="C353" t="s">
        <v>537</v>
      </c>
      <c r="D353" t="s">
        <v>548</v>
      </c>
      <c r="E353" s="3">
        <v>44562</v>
      </c>
      <c r="F353" s="3">
        <v>44926</v>
      </c>
      <c r="G353" t="s">
        <v>141</v>
      </c>
      <c r="H353" s="3">
        <v>44562</v>
      </c>
      <c r="I353" s="3">
        <v>44926</v>
      </c>
      <c r="J353" t="s">
        <v>168</v>
      </c>
      <c r="K353">
        <v>55.95</v>
      </c>
      <c r="L353" t="s">
        <v>143</v>
      </c>
      <c r="M353" t="s">
        <v>110</v>
      </c>
      <c r="O353" t="s">
        <v>695</v>
      </c>
      <c r="P353" t="s">
        <v>550</v>
      </c>
      <c r="Q353">
        <v>2022</v>
      </c>
      <c r="R353" t="s">
        <v>680</v>
      </c>
      <c r="S353" t="s">
        <v>681</v>
      </c>
      <c r="T353" t="s">
        <v>553</v>
      </c>
      <c r="U353" t="b">
        <v>0</v>
      </c>
      <c r="V353" t="s">
        <v>682</v>
      </c>
      <c r="W353" t="s">
        <v>587</v>
      </c>
      <c r="X353" t="s">
        <v>556</v>
      </c>
      <c r="Y353" t="s">
        <v>468</v>
      </c>
      <c r="AC353">
        <v>1</v>
      </c>
      <c r="AD353" t="s">
        <v>565</v>
      </c>
      <c r="AE353">
        <v>120.9555075</v>
      </c>
      <c r="AF353">
        <v>2.1618499999999998</v>
      </c>
      <c r="AG353" t="s">
        <v>588</v>
      </c>
      <c r="AH353">
        <v>1</v>
      </c>
      <c r="AI353">
        <v>55.95</v>
      </c>
      <c r="AJ353" t="s">
        <v>561</v>
      </c>
      <c r="AK353" t="s">
        <v>589</v>
      </c>
      <c r="AL353" t="s">
        <v>590</v>
      </c>
      <c r="AM353">
        <v>2022</v>
      </c>
      <c r="AN353">
        <v>2020</v>
      </c>
      <c r="AO353">
        <f>IF(AND(emissions[[#This Row],[Market-based]]=0,emissions[[#This Row],[Impact Type]]="CO2E"),emissions[[#This Row],[kgCO2e]],0)/1000</f>
        <v>0</v>
      </c>
      <c r="AP353">
        <f>IF(AND(emissions[[#This Row],[Market-based]]=1,OR(emissions[[#This Row],[Impact Type]]="CO2E",emissions[[#This Row],[Impact Type]]="CO2E MKT")),emissions[[#This Row],[kgCO2e]],0)/1000</f>
        <v>0.12095550749999999</v>
      </c>
      <c r="AQ353" t="str">
        <f>_xlfn.TEXTAFTER(emissions[[#This Row],[Reporting Unit]]," &gt; ",LEN(emissions[[#This Row],[Reporting Unit]])-LEN(SUBSTITUTE(emissions[[#This Row],[Reporting Unit]],"&gt;","")))</f>
        <v>Vantage_Leuna</v>
      </c>
      <c r="AR353" t="str">
        <f>_xlfn.XLOOKUP(emissions[[#This Row],[Reporting unit name]],hierarchy!$A:$A,hierarchy!$C:$C)</f>
        <v>Office (with heat &amp; steam)</v>
      </c>
    </row>
    <row r="354" spans="1:44" hidden="1" x14ac:dyDescent="0.25">
      <c r="A354">
        <v>290092</v>
      </c>
      <c r="B354" t="s">
        <v>164</v>
      </c>
      <c r="C354" t="s">
        <v>537</v>
      </c>
      <c r="D354" t="s">
        <v>548</v>
      </c>
      <c r="E354" s="3">
        <v>44562</v>
      </c>
      <c r="F354" s="3">
        <v>44926</v>
      </c>
      <c r="G354" t="s">
        <v>141</v>
      </c>
      <c r="H354" s="3">
        <v>44562</v>
      </c>
      <c r="I354" s="3">
        <v>44926</v>
      </c>
      <c r="J354" t="s">
        <v>168</v>
      </c>
      <c r="K354">
        <v>55.95</v>
      </c>
      <c r="L354" t="s">
        <v>143</v>
      </c>
      <c r="M354" t="s">
        <v>110</v>
      </c>
      <c r="O354" t="s">
        <v>695</v>
      </c>
      <c r="P354" t="s">
        <v>550</v>
      </c>
      <c r="Q354">
        <v>2022</v>
      </c>
      <c r="R354" t="s">
        <v>680</v>
      </c>
      <c r="S354" t="s">
        <v>681</v>
      </c>
      <c r="T354" t="s">
        <v>553</v>
      </c>
      <c r="U354" t="b">
        <v>0</v>
      </c>
      <c r="V354" t="s">
        <v>682</v>
      </c>
      <c r="W354" t="s">
        <v>587</v>
      </c>
      <c r="X354" t="s">
        <v>556</v>
      </c>
      <c r="Y354" t="s">
        <v>468</v>
      </c>
      <c r="AC354">
        <v>1</v>
      </c>
      <c r="AD354" t="s">
        <v>566</v>
      </c>
      <c r="AE354">
        <v>0.36926999999999999</v>
      </c>
      <c r="AF354">
        <v>6.6E-3</v>
      </c>
      <c r="AG354" t="s">
        <v>588</v>
      </c>
      <c r="AH354">
        <v>1</v>
      </c>
      <c r="AI354">
        <v>55.95</v>
      </c>
      <c r="AJ354" t="s">
        <v>561</v>
      </c>
      <c r="AK354" t="s">
        <v>589</v>
      </c>
      <c r="AL354" t="s">
        <v>590</v>
      </c>
      <c r="AM354">
        <v>2022</v>
      </c>
      <c r="AN354">
        <v>2020</v>
      </c>
      <c r="AO354">
        <f>IF(AND(emissions[[#This Row],[Market-based]]=0,emissions[[#This Row],[Impact Type]]="CO2E"),emissions[[#This Row],[kgCO2e]],0)/1000</f>
        <v>0</v>
      </c>
      <c r="AP354">
        <f>IF(AND(emissions[[#This Row],[Market-based]]=1,OR(emissions[[#This Row],[Impact Type]]="CO2E",emissions[[#This Row],[Impact Type]]="CO2E MKT")),emissions[[#This Row],[kgCO2e]],0)/1000</f>
        <v>0</v>
      </c>
      <c r="AQ354" t="str">
        <f>_xlfn.TEXTAFTER(emissions[[#This Row],[Reporting Unit]]," &gt; ",LEN(emissions[[#This Row],[Reporting Unit]])-LEN(SUBSTITUTE(emissions[[#This Row],[Reporting Unit]],"&gt;","")))</f>
        <v>Vantage_Leuna</v>
      </c>
      <c r="AR354" t="str">
        <f>_xlfn.XLOOKUP(emissions[[#This Row],[Reporting unit name]],hierarchy!$A:$A,hierarchy!$C:$C)</f>
        <v>Office (with heat &amp; steam)</v>
      </c>
    </row>
    <row r="355" spans="1:44" hidden="1" x14ac:dyDescent="0.25">
      <c r="A355">
        <v>290092</v>
      </c>
      <c r="B355" t="s">
        <v>164</v>
      </c>
      <c r="C355" t="s">
        <v>537</v>
      </c>
      <c r="D355" t="s">
        <v>548</v>
      </c>
      <c r="E355" s="3">
        <v>44562</v>
      </c>
      <c r="F355" s="3">
        <v>44926</v>
      </c>
      <c r="G355" t="s">
        <v>141</v>
      </c>
      <c r="H355" s="3">
        <v>44562</v>
      </c>
      <c r="I355" s="3">
        <v>44926</v>
      </c>
      <c r="J355" t="s">
        <v>168</v>
      </c>
      <c r="K355">
        <v>55.95</v>
      </c>
      <c r="L355" t="s">
        <v>143</v>
      </c>
      <c r="M355" t="s">
        <v>110</v>
      </c>
      <c r="O355" t="s">
        <v>695</v>
      </c>
      <c r="P355" t="s">
        <v>550</v>
      </c>
      <c r="Q355">
        <v>2022</v>
      </c>
      <c r="R355" t="s">
        <v>683</v>
      </c>
      <c r="S355" t="s">
        <v>684</v>
      </c>
      <c r="T355" t="s">
        <v>577</v>
      </c>
      <c r="U355" t="b">
        <v>0</v>
      </c>
      <c r="V355" t="s">
        <v>685</v>
      </c>
      <c r="W355" t="s">
        <v>571</v>
      </c>
      <c r="X355" t="s">
        <v>572</v>
      </c>
      <c r="Y355" t="s">
        <v>468</v>
      </c>
      <c r="AC355">
        <v>0</v>
      </c>
      <c r="AD355" t="s">
        <v>565</v>
      </c>
      <c r="AE355">
        <v>34.313015999999998</v>
      </c>
      <c r="AF355">
        <v>0.61328000000000005</v>
      </c>
      <c r="AG355" t="s">
        <v>588</v>
      </c>
      <c r="AH355">
        <v>1</v>
      </c>
      <c r="AI355">
        <v>55.95</v>
      </c>
      <c r="AJ355" t="s">
        <v>561</v>
      </c>
      <c r="AK355" t="s">
        <v>589</v>
      </c>
      <c r="AL355" t="s">
        <v>590</v>
      </c>
      <c r="AM355">
        <v>2022</v>
      </c>
      <c r="AN355">
        <v>2020</v>
      </c>
      <c r="AO355">
        <f>IF(AND(emissions[[#This Row],[Market-based]]=0,emissions[[#This Row],[Impact Type]]="CO2E"),emissions[[#This Row],[kgCO2e]],0)/1000</f>
        <v>3.4313015999999995E-2</v>
      </c>
      <c r="AP355">
        <f>IF(AND(emissions[[#This Row],[Market-based]]=1,OR(emissions[[#This Row],[Impact Type]]="CO2E",emissions[[#This Row],[Impact Type]]="CO2E MKT")),emissions[[#This Row],[kgCO2e]],0)/1000</f>
        <v>0</v>
      </c>
      <c r="AQ355" t="str">
        <f>_xlfn.TEXTAFTER(emissions[[#This Row],[Reporting Unit]]," &gt; ",LEN(emissions[[#This Row],[Reporting Unit]])-LEN(SUBSTITUTE(emissions[[#This Row],[Reporting Unit]],"&gt;","")))</f>
        <v>Vantage_Leuna</v>
      </c>
      <c r="AR355" t="str">
        <f>_xlfn.XLOOKUP(emissions[[#This Row],[Reporting unit name]],hierarchy!$A:$A,hierarchy!$C:$C)</f>
        <v>Office (with heat &amp; steam)</v>
      </c>
    </row>
    <row r="356" spans="1:44" hidden="1" x14ac:dyDescent="0.25">
      <c r="A356">
        <v>290092</v>
      </c>
      <c r="B356" t="s">
        <v>164</v>
      </c>
      <c r="C356" t="s">
        <v>537</v>
      </c>
      <c r="D356" t="s">
        <v>548</v>
      </c>
      <c r="E356" s="3">
        <v>44562</v>
      </c>
      <c r="F356" s="3">
        <v>44926</v>
      </c>
      <c r="G356" t="s">
        <v>141</v>
      </c>
      <c r="H356" s="3">
        <v>44562</v>
      </c>
      <c r="I356" s="3">
        <v>44926</v>
      </c>
      <c r="J356" t="s">
        <v>168</v>
      </c>
      <c r="K356">
        <v>55.95</v>
      </c>
      <c r="L356" t="s">
        <v>143</v>
      </c>
      <c r="M356" t="s">
        <v>110</v>
      </c>
      <c r="O356" t="s">
        <v>695</v>
      </c>
      <c r="P356" t="s">
        <v>550</v>
      </c>
      <c r="Q356">
        <v>2022</v>
      </c>
      <c r="R356" t="s">
        <v>683</v>
      </c>
      <c r="S356" t="s">
        <v>684</v>
      </c>
      <c r="T356" t="s">
        <v>577</v>
      </c>
      <c r="U356" t="b">
        <v>0</v>
      </c>
      <c r="V356" t="s">
        <v>685</v>
      </c>
      <c r="W356" t="s">
        <v>571</v>
      </c>
      <c r="X356" t="s">
        <v>572</v>
      </c>
      <c r="Y356" t="s">
        <v>468</v>
      </c>
      <c r="AC356">
        <v>1</v>
      </c>
      <c r="AD356" t="s">
        <v>565</v>
      </c>
      <c r="AE356">
        <v>34.313015999999998</v>
      </c>
      <c r="AF356">
        <v>0.61328000000000005</v>
      </c>
      <c r="AG356" t="s">
        <v>588</v>
      </c>
      <c r="AH356">
        <v>1</v>
      </c>
      <c r="AI356">
        <v>55.95</v>
      </c>
      <c r="AJ356" t="s">
        <v>561</v>
      </c>
      <c r="AK356" t="s">
        <v>589</v>
      </c>
      <c r="AL356" t="s">
        <v>590</v>
      </c>
      <c r="AM356">
        <v>2022</v>
      </c>
      <c r="AN356">
        <v>2020</v>
      </c>
      <c r="AO356">
        <f>IF(AND(emissions[[#This Row],[Market-based]]=0,emissions[[#This Row],[Impact Type]]="CO2E"),emissions[[#This Row],[kgCO2e]],0)/1000</f>
        <v>0</v>
      </c>
      <c r="AP356">
        <f>IF(AND(emissions[[#This Row],[Market-based]]=1,OR(emissions[[#This Row],[Impact Type]]="CO2E",emissions[[#This Row],[Impact Type]]="CO2E MKT")),emissions[[#This Row],[kgCO2e]],0)/1000</f>
        <v>3.4313015999999995E-2</v>
      </c>
      <c r="AQ356" t="str">
        <f>_xlfn.TEXTAFTER(emissions[[#This Row],[Reporting Unit]]," &gt; ",LEN(emissions[[#This Row],[Reporting Unit]])-LEN(SUBSTITUTE(emissions[[#This Row],[Reporting Unit]],"&gt;","")))</f>
        <v>Vantage_Leuna</v>
      </c>
      <c r="AR356" t="str">
        <f>_xlfn.XLOOKUP(emissions[[#This Row],[Reporting unit name]],hierarchy!$A:$A,hierarchy!$C:$C)</f>
        <v>Office (with heat &amp; steam)</v>
      </c>
    </row>
    <row r="357" spans="1:44" hidden="1" x14ac:dyDescent="0.25">
      <c r="A357">
        <v>290094</v>
      </c>
      <c r="B357" t="s">
        <v>164</v>
      </c>
      <c r="C357" t="s">
        <v>537</v>
      </c>
      <c r="D357" t="s">
        <v>548</v>
      </c>
      <c r="E357" s="3">
        <v>44562</v>
      </c>
      <c r="F357" s="3">
        <v>44926</v>
      </c>
      <c r="G357" t="s">
        <v>141</v>
      </c>
      <c r="H357" s="3">
        <v>44562</v>
      </c>
      <c r="I357" s="3">
        <v>44926</v>
      </c>
      <c r="J357" t="s">
        <v>168</v>
      </c>
      <c r="K357">
        <v>53.18</v>
      </c>
      <c r="L357" t="s">
        <v>143</v>
      </c>
      <c r="M357" t="s">
        <v>110</v>
      </c>
      <c r="O357" t="s">
        <v>695</v>
      </c>
      <c r="P357" t="s">
        <v>550</v>
      </c>
      <c r="Q357">
        <v>2022</v>
      </c>
      <c r="R357" t="s">
        <v>680</v>
      </c>
      <c r="S357" t="s">
        <v>681</v>
      </c>
      <c r="T357" t="s">
        <v>553</v>
      </c>
      <c r="U357" t="b">
        <v>0</v>
      </c>
      <c r="V357" t="s">
        <v>682</v>
      </c>
      <c r="W357" t="s">
        <v>587</v>
      </c>
      <c r="X357" t="s">
        <v>556</v>
      </c>
      <c r="Y357" t="s">
        <v>468</v>
      </c>
      <c r="AC357">
        <v>0</v>
      </c>
      <c r="AD357" t="s">
        <v>558</v>
      </c>
      <c r="AE357">
        <v>0.38289600000000001</v>
      </c>
      <c r="AF357">
        <v>7.1999999999999998E-3</v>
      </c>
      <c r="AG357" t="s">
        <v>588</v>
      </c>
      <c r="AH357">
        <v>1</v>
      </c>
      <c r="AI357">
        <v>53.18</v>
      </c>
      <c r="AJ357" t="s">
        <v>561</v>
      </c>
      <c r="AK357" t="s">
        <v>589</v>
      </c>
      <c r="AL357" t="s">
        <v>590</v>
      </c>
      <c r="AM357">
        <v>2022</v>
      </c>
      <c r="AN357">
        <v>2020</v>
      </c>
      <c r="AO357">
        <f>IF(AND(emissions[[#This Row],[Market-based]]=0,emissions[[#This Row],[Impact Type]]="CO2E"),emissions[[#This Row],[kgCO2e]],0)/1000</f>
        <v>0</v>
      </c>
      <c r="AP357">
        <f>IF(AND(emissions[[#This Row],[Market-based]]=1,OR(emissions[[#This Row],[Impact Type]]="CO2E",emissions[[#This Row],[Impact Type]]="CO2E MKT")),emissions[[#This Row],[kgCO2e]],0)/1000</f>
        <v>0</v>
      </c>
      <c r="AQ357" t="str">
        <f>_xlfn.TEXTAFTER(emissions[[#This Row],[Reporting Unit]]," &gt; ",LEN(emissions[[#This Row],[Reporting Unit]])-LEN(SUBSTITUTE(emissions[[#This Row],[Reporting Unit]],"&gt;","")))</f>
        <v>Vantage_Leuna</v>
      </c>
      <c r="AR357" t="str">
        <f>_xlfn.XLOOKUP(emissions[[#This Row],[Reporting unit name]],hierarchy!$A:$A,hierarchy!$C:$C)</f>
        <v>Office (with heat &amp; steam)</v>
      </c>
    </row>
    <row r="358" spans="1:44" hidden="1" x14ac:dyDescent="0.25">
      <c r="A358">
        <v>290094</v>
      </c>
      <c r="B358" t="s">
        <v>164</v>
      </c>
      <c r="C358" t="s">
        <v>537</v>
      </c>
      <c r="D358" t="s">
        <v>548</v>
      </c>
      <c r="E358" s="3">
        <v>44562</v>
      </c>
      <c r="F358" s="3">
        <v>44926</v>
      </c>
      <c r="G358" t="s">
        <v>141</v>
      </c>
      <c r="H358" s="3">
        <v>44562</v>
      </c>
      <c r="I358" s="3">
        <v>44926</v>
      </c>
      <c r="J358" t="s">
        <v>168</v>
      </c>
      <c r="K358">
        <v>53.18</v>
      </c>
      <c r="L358" t="s">
        <v>143</v>
      </c>
      <c r="M358" t="s">
        <v>110</v>
      </c>
      <c r="O358" t="s">
        <v>695</v>
      </c>
      <c r="P358" t="s">
        <v>550</v>
      </c>
      <c r="Q358">
        <v>2022</v>
      </c>
      <c r="R358" t="s">
        <v>680</v>
      </c>
      <c r="S358" t="s">
        <v>681</v>
      </c>
      <c r="T358" t="s">
        <v>553</v>
      </c>
      <c r="U358" t="b">
        <v>0</v>
      </c>
      <c r="V358" t="s">
        <v>682</v>
      </c>
      <c r="W358" t="s">
        <v>587</v>
      </c>
      <c r="X358" t="s">
        <v>556</v>
      </c>
      <c r="Y358" t="s">
        <v>468</v>
      </c>
      <c r="AC358">
        <v>0</v>
      </c>
      <c r="AD358" t="s">
        <v>564</v>
      </c>
      <c r="AE358">
        <v>114.233299</v>
      </c>
      <c r="AF358">
        <v>2.14805</v>
      </c>
      <c r="AG358" t="s">
        <v>588</v>
      </c>
      <c r="AH358">
        <v>1</v>
      </c>
      <c r="AI358">
        <v>53.18</v>
      </c>
      <c r="AJ358" t="s">
        <v>561</v>
      </c>
      <c r="AK358" t="s">
        <v>589</v>
      </c>
      <c r="AL358" t="s">
        <v>590</v>
      </c>
      <c r="AM358">
        <v>2022</v>
      </c>
      <c r="AN358">
        <v>2020</v>
      </c>
      <c r="AO358">
        <f>IF(AND(emissions[[#This Row],[Market-based]]=0,emissions[[#This Row],[Impact Type]]="CO2E"),emissions[[#This Row],[kgCO2e]],0)/1000</f>
        <v>0</v>
      </c>
      <c r="AP358">
        <f>IF(AND(emissions[[#This Row],[Market-based]]=1,OR(emissions[[#This Row],[Impact Type]]="CO2E",emissions[[#This Row],[Impact Type]]="CO2E MKT")),emissions[[#This Row],[kgCO2e]],0)/1000</f>
        <v>0</v>
      </c>
      <c r="AQ358" t="str">
        <f>_xlfn.TEXTAFTER(emissions[[#This Row],[Reporting Unit]]," &gt; ",LEN(emissions[[#This Row],[Reporting Unit]])-LEN(SUBSTITUTE(emissions[[#This Row],[Reporting Unit]],"&gt;","")))</f>
        <v>Vantage_Leuna</v>
      </c>
      <c r="AR358" t="str">
        <f>_xlfn.XLOOKUP(emissions[[#This Row],[Reporting unit name]],hierarchy!$A:$A,hierarchy!$C:$C)</f>
        <v>Office (with heat &amp; steam)</v>
      </c>
    </row>
    <row r="359" spans="1:44" hidden="1" x14ac:dyDescent="0.25">
      <c r="A359">
        <v>290094</v>
      </c>
      <c r="B359" t="s">
        <v>164</v>
      </c>
      <c r="C359" t="s">
        <v>537</v>
      </c>
      <c r="D359" t="s">
        <v>548</v>
      </c>
      <c r="E359" s="3">
        <v>44562</v>
      </c>
      <c r="F359" s="3">
        <v>44926</v>
      </c>
      <c r="G359" t="s">
        <v>141</v>
      </c>
      <c r="H359" s="3">
        <v>44562</v>
      </c>
      <c r="I359" s="3">
        <v>44926</v>
      </c>
      <c r="J359" t="s">
        <v>168</v>
      </c>
      <c r="K359">
        <v>53.18</v>
      </c>
      <c r="L359" t="s">
        <v>143</v>
      </c>
      <c r="M359" t="s">
        <v>110</v>
      </c>
      <c r="O359" t="s">
        <v>695</v>
      </c>
      <c r="P359" t="s">
        <v>550</v>
      </c>
      <c r="Q359">
        <v>2022</v>
      </c>
      <c r="R359" t="s">
        <v>680</v>
      </c>
      <c r="S359" t="s">
        <v>681</v>
      </c>
      <c r="T359" t="s">
        <v>553</v>
      </c>
      <c r="U359" t="b">
        <v>0</v>
      </c>
      <c r="V359" t="s">
        <v>682</v>
      </c>
      <c r="W359" t="s">
        <v>587</v>
      </c>
      <c r="X359" t="s">
        <v>556</v>
      </c>
      <c r="Y359" t="s">
        <v>468</v>
      </c>
      <c r="AC359">
        <v>0</v>
      </c>
      <c r="AD359" t="s">
        <v>565</v>
      </c>
      <c r="AE359">
        <v>114.96718300000001</v>
      </c>
      <c r="AF359">
        <v>2.1618499999999998</v>
      </c>
      <c r="AG359" t="s">
        <v>588</v>
      </c>
      <c r="AH359">
        <v>1</v>
      </c>
      <c r="AI359">
        <v>53.18</v>
      </c>
      <c r="AJ359" t="s">
        <v>561</v>
      </c>
      <c r="AK359" t="s">
        <v>589</v>
      </c>
      <c r="AL359" t="s">
        <v>590</v>
      </c>
      <c r="AM359">
        <v>2022</v>
      </c>
      <c r="AN359">
        <v>2020</v>
      </c>
      <c r="AO359">
        <f>IF(AND(emissions[[#This Row],[Market-based]]=0,emissions[[#This Row],[Impact Type]]="CO2E"),emissions[[#This Row],[kgCO2e]],0)/1000</f>
        <v>0.114967183</v>
      </c>
      <c r="AP359">
        <f>IF(AND(emissions[[#This Row],[Market-based]]=1,OR(emissions[[#This Row],[Impact Type]]="CO2E",emissions[[#This Row],[Impact Type]]="CO2E MKT")),emissions[[#This Row],[kgCO2e]],0)/1000</f>
        <v>0</v>
      </c>
      <c r="AQ359" t="str">
        <f>_xlfn.TEXTAFTER(emissions[[#This Row],[Reporting Unit]]," &gt; ",LEN(emissions[[#This Row],[Reporting Unit]])-LEN(SUBSTITUTE(emissions[[#This Row],[Reporting Unit]],"&gt;","")))</f>
        <v>Vantage_Leuna</v>
      </c>
      <c r="AR359" t="str">
        <f>_xlfn.XLOOKUP(emissions[[#This Row],[Reporting unit name]],hierarchy!$A:$A,hierarchy!$C:$C)</f>
        <v>Office (with heat &amp; steam)</v>
      </c>
    </row>
    <row r="360" spans="1:44" hidden="1" x14ac:dyDescent="0.25">
      <c r="A360">
        <v>290094</v>
      </c>
      <c r="B360" t="s">
        <v>164</v>
      </c>
      <c r="C360" t="s">
        <v>537</v>
      </c>
      <c r="D360" t="s">
        <v>548</v>
      </c>
      <c r="E360" s="3">
        <v>44562</v>
      </c>
      <c r="F360" s="3">
        <v>44926</v>
      </c>
      <c r="G360" t="s">
        <v>141</v>
      </c>
      <c r="H360" s="3">
        <v>44562</v>
      </c>
      <c r="I360" s="3">
        <v>44926</v>
      </c>
      <c r="J360" t="s">
        <v>168</v>
      </c>
      <c r="K360">
        <v>53.18</v>
      </c>
      <c r="L360" t="s">
        <v>143</v>
      </c>
      <c r="M360" t="s">
        <v>110</v>
      </c>
      <c r="O360" t="s">
        <v>695</v>
      </c>
      <c r="P360" t="s">
        <v>550</v>
      </c>
      <c r="Q360">
        <v>2022</v>
      </c>
      <c r="R360" t="s">
        <v>680</v>
      </c>
      <c r="S360" t="s">
        <v>681</v>
      </c>
      <c r="T360" t="s">
        <v>553</v>
      </c>
      <c r="U360" t="b">
        <v>0</v>
      </c>
      <c r="V360" t="s">
        <v>682</v>
      </c>
      <c r="W360" t="s">
        <v>587</v>
      </c>
      <c r="X360" t="s">
        <v>556</v>
      </c>
      <c r="Y360" t="s">
        <v>468</v>
      </c>
      <c r="AC360">
        <v>0</v>
      </c>
      <c r="AD360" t="s">
        <v>566</v>
      </c>
      <c r="AE360">
        <v>0.35098800000000002</v>
      </c>
      <c r="AF360">
        <v>6.6E-3</v>
      </c>
      <c r="AG360" t="s">
        <v>588</v>
      </c>
      <c r="AH360">
        <v>1</v>
      </c>
      <c r="AI360">
        <v>53.18</v>
      </c>
      <c r="AJ360" t="s">
        <v>561</v>
      </c>
      <c r="AK360" t="s">
        <v>589</v>
      </c>
      <c r="AL360" t="s">
        <v>590</v>
      </c>
      <c r="AM360">
        <v>2022</v>
      </c>
      <c r="AN360">
        <v>2020</v>
      </c>
      <c r="AO360">
        <f>IF(AND(emissions[[#This Row],[Market-based]]=0,emissions[[#This Row],[Impact Type]]="CO2E"),emissions[[#This Row],[kgCO2e]],0)/1000</f>
        <v>0</v>
      </c>
      <c r="AP360">
        <f>IF(AND(emissions[[#This Row],[Market-based]]=1,OR(emissions[[#This Row],[Impact Type]]="CO2E",emissions[[#This Row],[Impact Type]]="CO2E MKT")),emissions[[#This Row],[kgCO2e]],0)/1000</f>
        <v>0</v>
      </c>
      <c r="AQ360" t="str">
        <f>_xlfn.TEXTAFTER(emissions[[#This Row],[Reporting Unit]]," &gt; ",LEN(emissions[[#This Row],[Reporting Unit]])-LEN(SUBSTITUTE(emissions[[#This Row],[Reporting Unit]],"&gt;","")))</f>
        <v>Vantage_Leuna</v>
      </c>
      <c r="AR360" t="str">
        <f>_xlfn.XLOOKUP(emissions[[#This Row],[Reporting unit name]],hierarchy!$A:$A,hierarchy!$C:$C)</f>
        <v>Office (with heat &amp; steam)</v>
      </c>
    </row>
    <row r="361" spans="1:44" hidden="1" x14ac:dyDescent="0.25">
      <c r="A361">
        <v>290094</v>
      </c>
      <c r="B361" t="s">
        <v>164</v>
      </c>
      <c r="C361" t="s">
        <v>537</v>
      </c>
      <c r="D361" t="s">
        <v>548</v>
      </c>
      <c r="E361" s="3">
        <v>44562</v>
      </c>
      <c r="F361" s="3">
        <v>44926</v>
      </c>
      <c r="G361" t="s">
        <v>141</v>
      </c>
      <c r="H361" s="3">
        <v>44562</v>
      </c>
      <c r="I361" s="3">
        <v>44926</v>
      </c>
      <c r="J361" t="s">
        <v>168</v>
      </c>
      <c r="K361">
        <v>53.18</v>
      </c>
      <c r="L361" t="s">
        <v>143</v>
      </c>
      <c r="M361" t="s">
        <v>110</v>
      </c>
      <c r="O361" t="s">
        <v>695</v>
      </c>
      <c r="P361" t="s">
        <v>550</v>
      </c>
      <c r="Q361">
        <v>2022</v>
      </c>
      <c r="R361" t="s">
        <v>680</v>
      </c>
      <c r="S361" t="s">
        <v>681</v>
      </c>
      <c r="T361" t="s">
        <v>553</v>
      </c>
      <c r="U361" t="b">
        <v>0</v>
      </c>
      <c r="V361" t="s">
        <v>682</v>
      </c>
      <c r="W361" t="s">
        <v>587</v>
      </c>
      <c r="X361" t="s">
        <v>556</v>
      </c>
      <c r="Y361" t="s">
        <v>468</v>
      </c>
      <c r="AC361">
        <v>1</v>
      </c>
      <c r="AD361" t="s">
        <v>558</v>
      </c>
      <c r="AE361">
        <v>0.38289600000000001</v>
      </c>
      <c r="AF361">
        <v>7.1999999999999998E-3</v>
      </c>
      <c r="AG361" t="s">
        <v>588</v>
      </c>
      <c r="AH361">
        <v>1</v>
      </c>
      <c r="AI361">
        <v>53.18</v>
      </c>
      <c r="AJ361" t="s">
        <v>561</v>
      </c>
      <c r="AK361" t="s">
        <v>589</v>
      </c>
      <c r="AL361" t="s">
        <v>590</v>
      </c>
      <c r="AM361">
        <v>2022</v>
      </c>
      <c r="AN361">
        <v>2020</v>
      </c>
      <c r="AO361">
        <f>IF(AND(emissions[[#This Row],[Market-based]]=0,emissions[[#This Row],[Impact Type]]="CO2E"),emissions[[#This Row],[kgCO2e]],0)/1000</f>
        <v>0</v>
      </c>
      <c r="AP361">
        <f>IF(AND(emissions[[#This Row],[Market-based]]=1,OR(emissions[[#This Row],[Impact Type]]="CO2E",emissions[[#This Row],[Impact Type]]="CO2E MKT")),emissions[[#This Row],[kgCO2e]],0)/1000</f>
        <v>0</v>
      </c>
      <c r="AQ361" t="str">
        <f>_xlfn.TEXTAFTER(emissions[[#This Row],[Reporting Unit]]," &gt; ",LEN(emissions[[#This Row],[Reporting Unit]])-LEN(SUBSTITUTE(emissions[[#This Row],[Reporting Unit]],"&gt;","")))</f>
        <v>Vantage_Leuna</v>
      </c>
      <c r="AR361" t="str">
        <f>_xlfn.XLOOKUP(emissions[[#This Row],[Reporting unit name]],hierarchy!$A:$A,hierarchy!$C:$C)</f>
        <v>Office (with heat &amp; steam)</v>
      </c>
    </row>
    <row r="362" spans="1:44" hidden="1" x14ac:dyDescent="0.25">
      <c r="A362">
        <v>290094</v>
      </c>
      <c r="B362" t="s">
        <v>164</v>
      </c>
      <c r="C362" t="s">
        <v>537</v>
      </c>
      <c r="D362" t="s">
        <v>548</v>
      </c>
      <c r="E362" s="3">
        <v>44562</v>
      </c>
      <c r="F362" s="3">
        <v>44926</v>
      </c>
      <c r="G362" t="s">
        <v>141</v>
      </c>
      <c r="H362" s="3">
        <v>44562</v>
      </c>
      <c r="I362" s="3">
        <v>44926</v>
      </c>
      <c r="J362" t="s">
        <v>168</v>
      </c>
      <c r="K362">
        <v>53.18</v>
      </c>
      <c r="L362" t="s">
        <v>143</v>
      </c>
      <c r="M362" t="s">
        <v>110</v>
      </c>
      <c r="O362" t="s">
        <v>695</v>
      </c>
      <c r="P362" t="s">
        <v>550</v>
      </c>
      <c r="Q362">
        <v>2022</v>
      </c>
      <c r="R362" t="s">
        <v>680</v>
      </c>
      <c r="S362" t="s">
        <v>681</v>
      </c>
      <c r="T362" t="s">
        <v>553</v>
      </c>
      <c r="U362" t="b">
        <v>0</v>
      </c>
      <c r="V362" t="s">
        <v>682</v>
      </c>
      <c r="W362" t="s">
        <v>587</v>
      </c>
      <c r="X362" t="s">
        <v>556</v>
      </c>
      <c r="Y362" t="s">
        <v>468</v>
      </c>
      <c r="AC362">
        <v>1</v>
      </c>
      <c r="AD362" t="s">
        <v>564</v>
      </c>
      <c r="AE362">
        <v>114.233299</v>
      </c>
      <c r="AF362">
        <v>2.14805</v>
      </c>
      <c r="AG362" t="s">
        <v>588</v>
      </c>
      <c r="AH362">
        <v>1</v>
      </c>
      <c r="AI362">
        <v>53.18</v>
      </c>
      <c r="AJ362" t="s">
        <v>561</v>
      </c>
      <c r="AK362" t="s">
        <v>589</v>
      </c>
      <c r="AL362" t="s">
        <v>590</v>
      </c>
      <c r="AM362">
        <v>2022</v>
      </c>
      <c r="AN362">
        <v>2020</v>
      </c>
      <c r="AO362">
        <f>IF(AND(emissions[[#This Row],[Market-based]]=0,emissions[[#This Row],[Impact Type]]="CO2E"),emissions[[#This Row],[kgCO2e]],0)/1000</f>
        <v>0</v>
      </c>
      <c r="AP362">
        <f>IF(AND(emissions[[#This Row],[Market-based]]=1,OR(emissions[[#This Row],[Impact Type]]="CO2E",emissions[[#This Row],[Impact Type]]="CO2E MKT")),emissions[[#This Row],[kgCO2e]],0)/1000</f>
        <v>0</v>
      </c>
      <c r="AQ362" t="str">
        <f>_xlfn.TEXTAFTER(emissions[[#This Row],[Reporting Unit]]," &gt; ",LEN(emissions[[#This Row],[Reporting Unit]])-LEN(SUBSTITUTE(emissions[[#This Row],[Reporting Unit]],"&gt;","")))</f>
        <v>Vantage_Leuna</v>
      </c>
      <c r="AR362" t="str">
        <f>_xlfn.XLOOKUP(emissions[[#This Row],[Reporting unit name]],hierarchy!$A:$A,hierarchy!$C:$C)</f>
        <v>Office (with heat &amp; steam)</v>
      </c>
    </row>
    <row r="363" spans="1:44" hidden="1" x14ac:dyDescent="0.25">
      <c r="A363">
        <v>290094</v>
      </c>
      <c r="B363" t="s">
        <v>164</v>
      </c>
      <c r="C363" t="s">
        <v>537</v>
      </c>
      <c r="D363" t="s">
        <v>548</v>
      </c>
      <c r="E363" s="3">
        <v>44562</v>
      </c>
      <c r="F363" s="3">
        <v>44926</v>
      </c>
      <c r="G363" t="s">
        <v>141</v>
      </c>
      <c r="H363" s="3">
        <v>44562</v>
      </c>
      <c r="I363" s="3">
        <v>44926</v>
      </c>
      <c r="J363" t="s">
        <v>168</v>
      </c>
      <c r="K363">
        <v>53.18</v>
      </c>
      <c r="L363" t="s">
        <v>143</v>
      </c>
      <c r="M363" t="s">
        <v>110</v>
      </c>
      <c r="O363" t="s">
        <v>695</v>
      </c>
      <c r="P363" t="s">
        <v>550</v>
      </c>
      <c r="Q363">
        <v>2022</v>
      </c>
      <c r="R363" t="s">
        <v>680</v>
      </c>
      <c r="S363" t="s">
        <v>681</v>
      </c>
      <c r="T363" t="s">
        <v>553</v>
      </c>
      <c r="U363" t="b">
        <v>0</v>
      </c>
      <c r="V363" t="s">
        <v>682</v>
      </c>
      <c r="W363" t="s">
        <v>587</v>
      </c>
      <c r="X363" t="s">
        <v>556</v>
      </c>
      <c r="Y363" t="s">
        <v>468</v>
      </c>
      <c r="AC363">
        <v>1</v>
      </c>
      <c r="AD363" t="s">
        <v>565</v>
      </c>
      <c r="AE363">
        <v>114.96718300000001</v>
      </c>
      <c r="AF363">
        <v>2.1618499999999998</v>
      </c>
      <c r="AG363" t="s">
        <v>588</v>
      </c>
      <c r="AH363">
        <v>1</v>
      </c>
      <c r="AI363">
        <v>53.18</v>
      </c>
      <c r="AJ363" t="s">
        <v>561</v>
      </c>
      <c r="AK363" t="s">
        <v>589</v>
      </c>
      <c r="AL363" t="s">
        <v>590</v>
      </c>
      <c r="AM363">
        <v>2022</v>
      </c>
      <c r="AN363">
        <v>2020</v>
      </c>
      <c r="AO363">
        <f>IF(AND(emissions[[#This Row],[Market-based]]=0,emissions[[#This Row],[Impact Type]]="CO2E"),emissions[[#This Row],[kgCO2e]],0)/1000</f>
        <v>0</v>
      </c>
      <c r="AP363">
        <f>IF(AND(emissions[[#This Row],[Market-based]]=1,OR(emissions[[#This Row],[Impact Type]]="CO2E",emissions[[#This Row],[Impact Type]]="CO2E MKT")),emissions[[#This Row],[kgCO2e]],0)/1000</f>
        <v>0.114967183</v>
      </c>
      <c r="AQ363" t="str">
        <f>_xlfn.TEXTAFTER(emissions[[#This Row],[Reporting Unit]]," &gt; ",LEN(emissions[[#This Row],[Reporting Unit]])-LEN(SUBSTITUTE(emissions[[#This Row],[Reporting Unit]],"&gt;","")))</f>
        <v>Vantage_Leuna</v>
      </c>
      <c r="AR363" t="str">
        <f>_xlfn.XLOOKUP(emissions[[#This Row],[Reporting unit name]],hierarchy!$A:$A,hierarchy!$C:$C)</f>
        <v>Office (with heat &amp; steam)</v>
      </c>
    </row>
    <row r="364" spans="1:44" hidden="1" x14ac:dyDescent="0.25">
      <c r="A364">
        <v>290094</v>
      </c>
      <c r="B364" t="s">
        <v>164</v>
      </c>
      <c r="C364" t="s">
        <v>537</v>
      </c>
      <c r="D364" t="s">
        <v>548</v>
      </c>
      <c r="E364" s="3">
        <v>44562</v>
      </c>
      <c r="F364" s="3">
        <v>44926</v>
      </c>
      <c r="G364" t="s">
        <v>141</v>
      </c>
      <c r="H364" s="3">
        <v>44562</v>
      </c>
      <c r="I364" s="3">
        <v>44926</v>
      </c>
      <c r="J364" t="s">
        <v>168</v>
      </c>
      <c r="K364">
        <v>53.18</v>
      </c>
      <c r="L364" t="s">
        <v>143</v>
      </c>
      <c r="M364" t="s">
        <v>110</v>
      </c>
      <c r="O364" t="s">
        <v>695</v>
      </c>
      <c r="P364" t="s">
        <v>550</v>
      </c>
      <c r="Q364">
        <v>2022</v>
      </c>
      <c r="R364" t="s">
        <v>680</v>
      </c>
      <c r="S364" t="s">
        <v>681</v>
      </c>
      <c r="T364" t="s">
        <v>553</v>
      </c>
      <c r="U364" t="b">
        <v>0</v>
      </c>
      <c r="V364" t="s">
        <v>682</v>
      </c>
      <c r="W364" t="s">
        <v>587</v>
      </c>
      <c r="X364" t="s">
        <v>556</v>
      </c>
      <c r="Y364" t="s">
        <v>468</v>
      </c>
      <c r="AC364">
        <v>1</v>
      </c>
      <c r="AD364" t="s">
        <v>566</v>
      </c>
      <c r="AE364">
        <v>0.35098800000000002</v>
      </c>
      <c r="AF364">
        <v>6.6E-3</v>
      </c>
      <c r="AG364" t="s">
        <v>588</v>
      </c>
      <c r="AH364">
        <v>1</v>
      </c>
      <c r="AI364">
        <v>53.18</v>
      </c>
      <c r="AJ364" t="s">
        <v>561</v>
      </c>
      <c r="AK364" t="s">
        <v>589</v>
      </c>
      <c r="AL364" t="s">
        <v>590</v>
      </c>
      <c r="AM364">
        <v>2022</v>
      </c>
      <c r="AN364">
        <v>2020</v>
      </c>
      <c r="AO364">
        <f>IF(AND(emissions[[#This Row],[Market-based]]=0,emissions[[#This Row],[Impact Type]]="CO2E"),emissions[[#This Row],[kgCO2e]],0)/1000</f>
        <v>0</v>
      </c>
      <c r="AP364">
        <f>IF(AND(emissions[[#This Row],[Market-based]]=1,OR(emissions[[#This Row],[Impact Type]]="CO2E",emissions[[#This Row],[Impact Type]]="CO2E MKT")),emissions[[#This Row],[kgCO2e]],0)/1000</f>
        <v>0</v>
      </c>
      <c r="AQ364" t="str">
        <f>_xlfn.TEXTAFTER(emissions[[#This Row],[Reporting Unit]]," &gt; ",LEN(emissions[[#This Row],[Reporting Unit]])-LEN(SUBSTITUTE(emissions[[#This Row],[Reporting Unit]],"&gt;","")))</f>
        <v>Vantage_Leuna</v>
      </c>
      <c r="AR364" t="str">
        <f>_xlfn.XLOOKUP(emissions[[#This Row],[Reporting unit name]],hierarchy!$A:$A,hierarchy!$C:$C)</f>
        <v>Office (with heat &amp; steam)</v>
      </c>
    </row>
    <row r="365" spans="1:44" hidden="1" x14ac:dyDescent="0.25">
      <c r="A365">
        <v>290094</v>
      </c>
      <c r="B365" t="s">
        <v>164</v>
      </c>
      <c r="C365" t="s">
        <v>537</v>
      </c>
      <c r="D365" t="s">
        <v>548</v>
      </c>
      <c r="E365" s="3">
        <v>44562</v>
      </c>
      <c r="F365" s="3">
        <v>44926</v>
      </c>
      <c r="G365" t="s">
        <v>141</v>
      </c>
      <c r="H365" s="3">
        <v>44562</v>
      </c>
      <c r="I365" s="3">
        <v>44926</v>
      </c>
      <c r="J365" t="s">
        <v>168</v>
      </c>
      <c r="K365">
        <v>53.18</v>
      </c>
      <c r="L365" t="s">
        <v>143</v>
      </c>
      <c r="M365" t="s">
        <v>110</v>
      </c>
      <c r="O365" t="s">
        <v>695</v>
      </c>
      <c r="P365" t="s">
        <v>550</v>
      </c>
      <c r="Q365">
        <v>2022</v>
      </c>
      <c r="R365" t="s">
        <v>683</v>
      </c>
      <c r="S365" t="s">
        <v>684</v>
      </c>
      <c r="T365" t="s">
        <v>577</v>
      </c>
      <c r="U365" t="b">
        <v>0</v>
      </c>
      <c r="V365" t="s">
        <v>685</v>
      </c>
      <c r="W365" t="s">
        <v>571</v>
      </c>
      <c r="X365" t="s">
        <v>572</v>
      </c>
      <c r="Y365" t="s">
        <v>468</v>
      </c>
      <c r="AC365">
        <v>0</v>
      </c>
      <c r="AD365" t="s">
        <v>565</v>
      </c>
      <c r="AE365">
        <v>32.614230399999997</v>
      </c>
      <c r="AF365">
        <v>0.61328000000000005</v>
      </c>
      <c r="AG365" t="s">
        <v>588</v>
      </c>
      <c r="AH365">
        <v>1</v>
      </c>
      <c r="AI365">
        <v>53.18</v>
      </c>
      <c r="AJ365" t="s">
        <v>561</v>
      </c>
      <c r="AK365" t="s">
        <v>589</v>
      </c>
      <c r="AL365" t="s">
        <v>590</v>
      </c>
      <c r="AM365">
        <v>2022</v>
      </c>
      <c r="AN365">
        <v>2020</v>
      </c>
      <c r="AO365">
        <f>IF(AND(emissions[[#This Row],[Market-based]]=0,emissions[[#This Row],[Impact Type]]="CO2E"),emissions[[#This Row],[kgCO2e]],0)/1000</f>
        <v>3.2614230399999999E-2</v>
      </c>
      <c r="AP365">
        <f>IF(AND(emissions[[#This Row],[Market-based]]=1,OR(emissions[[#This Row],[Impact Type]]="CO2E",emissions[[#This Row],[Impact Type]]="CO2E MKT")),emissions[[#This Row],[kgCO2e]],0)/1000</f>
        <v>0</v>
      </c>
      <c r="AQ365" t="str">
        <f>_xlfn.TEXTAFTER(emissions[[#This Row],[Reporting Unit]]," &gt; ",LEN(emissions[[#This Row],[Reporting Unit]])-LEN(SUBSTITUTE(emissions[[#This Row],[Reporting Unit]],"&gt;","")))</f>
        <v>Vantage_Leuna</v>
      </c>
      <c r="AR365" t="str">
        <f>_xlfn.XLOOKUP(emissions[[#This Row],[Reporting unit name]],hierarchy!$A:$A,hierarchy!$C:$C)</f>
        <v>Office (with heat &amp; steam)</v>
      </c>
    </row>
    <row r="366" spans="1:44" hidden="1" x14ac:dyDescent="0.25">
      <c r="A366">
        <v>290094</v>
      </c>
      <c r="B366" t="s">
        <v>164</v>
      </c>
      <c r="C366" t="s">
        <v>537</v>
      </c>
      <c r="D366" t="s">
        <v>548</v>
      </c>
      <c r="E366" s="3">
        <v>44562</v>
      </c>
      <c r="F366" s="3">
        <v>44926</v>
      </c>
      <c r="G366" t="s">
        <v>141</v>
      </c>
      <c r="H366" s="3">
        <v>44562</v>
      </c>
      <c r="I366" s="3">
        <v>44926</v>
      </c>
      <c r="J366" t="s">
        <v>168</v>
      </c>
      <c r="K366">
        <v>53.18</v>
      </c>
      <c r="L366" t="s">
        <v>143</v>
      </c>
      <c r="M366" t="s">
        <v>110</v>
      </c>
      <c r="O366" t="s">
        <v>695</v>
      </c>
      <c r="P366" t="s">
        <v>550</v>
      </c>
      <c r="Q366">
        <v>2022</v>
      </c>
      <c r="R366" t="s">
        <v>683</v>
      </c>
      <c r="S366" t="s">
        <v>684</v>
      </c>
      <c r="T366" t="s">
        <v>577</v>
      </c>
      <c r="U366" t="b">
        <v>0</v>
      </c>
      <c r="V366" t="s">
        <v>685</v>
      </c>
      <c r="W366" t="s">
        <v>571</v>
      </c>
      <c r="X366" t="s">
        <v>572</v>
      </c>
      <c r="Y366" t="s">
        <v>468</v>
      </c>
      <c r="AC366">
        <v>1</v>
      </c>
      <c r="AD366" t="s">
        <v>565</v>
      </c>
      <c r="AE366">
        <v>32.614230399999997</v>
      </c>
      <c r="AF366">
        <v>0.61328000000000005</v>
      </c>
      <c r="AG366" t="s">
        <v>588</v>
      </c>
      <c r="AH366">
        <v>1</v>
      </c>
      <c r="AI366">
        <v>53.18</v>
      </c>
      <c r="AJ366" t="s">
        <v>561</v>
      </c>
      <c r="AK366" t="s">
        <v>589</v>
      </c>
      <c r="AL366" t="s">
        <v>590</v>
      </c>
      <c r="AM366">
        <v>2022</v>
      </c>
      <c r="AN366">
        <v>2020</v>
      </c>
      <c r="AO366">
        <f>IF(AND(emissions[[#This Row],[Market-based]]=0,emissions[[#This Row],[Impact Type]]="CO2E"),emissions[[#This Row],[kgCO2e]],0)/1000</f>
        <v>0</v>
      </c>
      <c r="AP366">
        <f>IF(AND(emissions[[#This Row],[Market-based]]=1,OR(emissions[[#This Row],[Impact Type]]="CO2E",emissions[[#This Row],[Impact Type]]="CO2E MKT")),emissions[[#This Row],[kgCO2e]],0)/1000</f>
        <v>3.2614230399999999E-2</v>
      </c>
      <c r="AQ366" t="str">
        <f>_xlfn.TEXTAFTER(emissions[[#This Row],[Reporting Unit]]," &gt; ",LEN(emissions[[#This Row],[Reporting Unit]])-LEN(SUBSTITUTE(emissions[[#This Row],[Reporting Unit]],"&gt;","")))</f>
        <v>Vantage_Leuna</v>
      </c>
      <c r="AR366" t="str">
        <f>_xlfn.XLOOKUP(emissions[[#This Row],[Reporting unit name]],hierarchy!$A:$A,hierarchy!$C:$C)</f>
        <v>Office (with heat &amp; steam)</v>
      </c>
    </row>
    <row r="367" spans="1:44" hidden="1" x14ac:dyDescent="0.25">
      <c r="A367">
        <v>255510</v>
      </c>
      <c r="B367" t="s">
        <v>164</v>
      </c>
      <c r="C367" t="s">
        <v>537</v>
      </c>
      <c r="D367" t="s">
        <v>548</v>
      </c>
      <c r="E367" s="3">
        <v>44562</v>
      </c>
      <c r="F367" s="3">
        <v>44926</v>
      </c>
      <c r="G367" t="s">
        <v>116</v>
      </c>
      <c r="H367" s="3">
        <v>44562</v>
      </c>
      <c r="I367" s="3">
        <v>44926</v>
      </c>
      <c r="J367" t="s">
        <v>175</v>
      </c>
      <c r="K367">
        <v>18.399999999999999</v>
      </c>
      <c r="L367" t="s">
        <v>118</v>
      </c>
      <c r="M367" t="s">
        <v>110</v>
      </c>
      <c r="O367" t="s">
        <v>696</v>
      </c>
      <c r="P367" t="s">
        <v>550</v>
      </c>
      <c r="Q367">
        <v>2022</v>
      </c>
      <c r="R367" t="s">
        <v>664</v>
      </c>
      <c r="S367" t="s">
        <v>175</v>
      </c>
      <c r="T367" t="s">
        <v>553</v>
      </c>
      <c r="U367" t="b">
        <v>0</v>
      </c>
      <c r="V367" t="s">
        <v>665</v>
      </c>
      <c r="W367" t="s">
        <v>587</v>
      </c>
      <c r="X367" t="s">
        <v>556</v>
      </c>
      <c r="AC367">
        <v>0</v>
      </c>
      <c r="AD367" t="s">
        <v>565</v>
      </c>
      <c r="AE367">
        <v>38419.199999999997</v>
      </c>
      <c r="AF367">
        <v>2088</v>
      </c>
      <c r="AG367" t="s">
        <v>622</v>
      </c>
      <c r="AH367">
        <v>1</v>
      </c>
      <c r="AI367">
        <v>18.399999999999999</v>
      </c>
      <c r="AJ367" t="s">
        <v>561</v>
      </c>
      <c r="AK367" t="s">
        <v>623</v>
      </c>
      <c r="AL367" t="s">
        <v>624</v>
      </c>
      <c r="AM367">
        <v>2022</v>
      </c>
      <c r="AN367">
        <v>2007</v>
      </c>
      <c r="AO367">
        <f>IF(AND(emissions[[#This Row],[Market-based]]=0,emissions[[#This Row],[Impact Type]]="CO2E"),emissions[[#This Row],[kgCO2e]],0)/1000</f>
        <v>38.419199999999996</v>
      </c>
      <c r="AP367">
        <f>IF(AND(emissions[[#This Row],[Market-based]]=1,OR(emissions[[#This Row],[Impact Type]]="CO2E",emissions[[#This Row],[Impact Type]]="CO2E MKT")),emissions[[#This Row],[kgCO2e]],0)/1000</f>
        <v>0</v>
      </c>
      <c r="AQ367" t="str">
        <f>_xlfn.TEXTAFTER(emissions[[#This Row],[Reporting Unit]]," &gt; ",LEN(emissions[[#This Row],[Reporting Unit]])-LEN(SUBSTITUTE(emissions[[#This Row],[Reporting Unit]],"&gt;","")))</f>
        <v>Vantage_Leuna</v>
      </c>
      <c r="AR367" t="str">
        <f>_xlfn.XLOOKUP(emissions[[#This Row],[Reporting unit name]],hierarchy!$A:$A,hierarchy!$C:$C)</f>
        <v>Office (with heat &amp; steam)</v>
      </c>
    </row>
    <row r="368" spans="1:44" hidden="1" x14ac:dyDescent="0.25">
      <c r="A368">
        <v>255510</v>
      </c>
      <c r="B368" t="s">
        <v>164</v>
      </c>
      <c r="C368" t="s">
        <v>537</v>
      </c>
      <c r="D368" t="s">
        <v>548</v>
      </c>
      <c r="E368" s="3">
        <v>44562</v>
      </c>
      <c r="F368" s="3">
        <v>44926</v>
      </c>
      <c r="G368" t="s">
        <v>116</v>
      </c>
      <c r="H368" s="3">
        <v>44562</v>
      </c>
      <c r="I368" s="3">
        <v>44926</v>
      </c>
      <c r="J368" t="s">
        <v>175</v>
      </c>
      <c r="K368">
        <v>18.399999999999999</v>
      </c>
      <c r="L368" t="s">
        <v>118</v>
      </c>
      <c r="M368" t="s">
        <v>110</v>
      </c>
      <c r="O368" t="s">
        <v>696</v>
      </c>
      <c r="P368" t="s">
        <v>550</v>
      </c>
      <c r="Q368">
        <v>2022</v>
      </c>
      <c r="R368" t="s">
        <v>664</v>
      </c>
      <c r="S368" t="s">
        <v>175</v>
      </c>
      <c r="T368" t="s">
        <v>553</v>
      </c>
      <c r="U368" t="b">
        <v>0</v>
      </c>
      <c r="V368" t="s">
        <v>665</v>
      </c>
      <c r="W368" t="s">
        <v>587</v>
      </c>
      <c r="X368" t="s">
        <v>556</v>
      </c>
      <c r="AC368">
        <v>1</v>
      </c>
      <c r="AD368" t="s">
        <v>565</v>
      </c>
      <c r="AE368">
        <v>38419.199999999997</v>
      </c>
      <c r="AF368">
        <v>2088</v>
      </c>
      <c r="AG368" t="s">
        <v>622</v>
      </c>
      <c r="AH368">
        <v>1</v>
      </c>
      <c r="AI368">
        <v>18.399999999999999</v>
      </c>
      <c r="AJ368" t="s">
        <v>561</v>
      </c>
      <c r="AK368" t="s">
        <v>623</v>
      </c>
      <c r="AL368" t="s">
        <v>624</v>
      </c>
      <c r="AM368">
        <v>2022</v>
      </c>
      <c r="AN368">
        <v>2007</v>
      </c>
      <c r="AO368">
        <f>IF(AND(emissions[[#This Row],[Market-based]]=0,emissions[[#This Row],[Impact Type]]="CO2E"),emissions[[#This Row],[kgCO2e]],0)/1000</f>
        <v>0</v>
      </c>
      <c r="AP368">
        <f>IF(AND(emissions[[#This Row],[Market-based]]=1,OR(emissions[[#This Row],[Impact Type]]="CO2E",emissions[[#This Row],[Impact Type]]="CO2E MKT")),emissions[[#This Row],[kgCO2e]],0)/1000</f>
        <v>38.419199999999996</v>
      </c>
      <c r="AQ368" t="str">
        <f>_xlfn.TEXTAFTER(emissions[[#This Row],[Reporting Unit]]," &gt; ",LEN(emissions[[#This Row],[Reporting Unit]])-LEN(SUBSTITUTE(emissions[[#This Row],[Reporting Unit]],"&gt;","")))</f>
        <v>Vantage_Leuna</v>
      </c>
      <c r="AR368" t="str">
        <f>_xlfn.XLOOKUP(emissions[[#This Row],[Reporting unit name]],hierarchy!$A:$A,hierarchy!$C:$C)</f>
        <v>Office (with heat &amp; steam)</v>
      </c>
    </row>
    <row r="369" spans="1:44" hidden="1" x14ac:dyDescent="0.25">
      <c r="A369">
        <v>261753</v>
      </c>
      <c r="B369" t="s">
        <v>164</v>
      </c>
      <c r="C369" t="s">
        <v>537</v>
      </c>
      <c r="D369" t="s">
        <v>548</v>
      </c>
      <c r="E369" s="3">
        <v>44562</v>
      </c>
      <c r="F369" s="3">
        <v>44926</v>
      </c>
      <c r="G369" t="s">
        <v>116</v>
      </c>
      <c r="H369" s="3">
        <v>44562</v>
      </c>
      <c r="I369" s="3">
        <v>44926</v>
      </c>
      <c r="J369" t="s">
        <v>178</v>
      </c>
      <c r="K369">
        <v>6.4</v>
      </c>
      <c r="L369" t="s">
        <v>118</v>
      </c>
      <c r="M369" t="s">
        <v>110</v>
      </c>
      <c r="O369" t="s">
        <v>697</v>
      </c>
      <c r="P369" t="s">
        <v>550</v>
      </c>
      <c r="Q369">
        <v>2022</v>
      </c>
      <c r="R369" t="s">
        <v>698</v>
      </c>
      <c r="S369" t="s">
        <v>178</v>
      </c>
      <c r="T369" t="s">
        <v>553</v>
      </c>
      <c r="U369" t="b">
        <v>0</v>
      </c>
      <c r="V369" t="s">
        <v>699</v>
      </c>
      <c r="W369" t="s">
        <v>587</v>
      </c>
      <c r="X369" t="s">
        <v>556</v>
      </c>
      <c r="AC369">
        <v>0</v>
      </c>
      <c r="AD369" t="s">
        <v>565</v>
      </c>
      <c r="AE369">
        <v>11353.6</v>
      </c>
      <c r="AF369">
        <v>1774</v>
      </c>
      <c r="AG369" t="s">
        <v>622</v>
      </c>
      <c r="AH369">
        <v>1</v>
      </c>
      <c r="AI369">
        <v>6.4</v>
      </c>
      <c r="AJ369" t="s">
        <v>561</v>
      </c>
      <c r="AK369" t="s">
        <v>623</v>
      </c>
      <c r="AL369" t="s">
        <v>624</v>
      </c>
      <c r="AM369">
        <v>2022</v>
      </c>
      <c r="AN369">
        <v>2007</v>
      </c>
      <c r="AO369">
        <f>IF(AND(emissions[[#This Row],[Market-based]]=0,emissions[[#This Row],[Impact Type]]="CO2E"),emissions[[#This Row],[kgCO2e]],0)/1000</f>
        <v>11.3536</v>
      </c>
      <c r="AP369">
        <f>IF(AND(emissions[[#This Row],[Market-based]]=1,OR(emissions[[#This Row],[Impact Type]]="CO2E",emissions[[#This Row],[Impact Type]]="CO2E MKT")),emissions[[#This Row],[kgCO2e]],0)/1000</f>
        <v>0</v>
      </c>
      <c r="AQ369" t="str">
        <f>_xlfn.TEXTAFTER(emissions[[#This Row],[Reporting Unit]]," &gt; ",LEN(emissions[[#This Row],[Reporting Unit]])-LEN(SUBSTITUTE(emissions[[#This Row],[Reporting Unit]],"&gt;","")))</f>
        <v>Vantage_Leuna</v>
      </c>
      <c r="AR369" t="str">
        <f>_xlfn.XLOOKUP(emissions[[#This Row],[Reporting unit name]],hierarchy!$A:$A,hierarchy!$C:$C)</f>
        <v>Office (with heat &amp; steam)</v>
      </c>
    </row>
    <row r="370" spans="1:44" hidden="1" x14ac:dyDescent="0.25">
      <c r="A370">
        <v>261753</v>
      </c>
      <c r="B370" t="s">
        <v>164</v>
      </c>
      <c r="C370" t="s">
        <v>537</v>
      </c>
      <c r="D370" t="s">
        <v>548</v>
      </c>
      <c r="E370" s="3">
        <v>44562</v>
      </c>
      <c r="F370" s="3">
        <v>44926</v>
      </c>
      <c r="G370" t="s">
        <v>116</v>
      </c>
      <c r="H370" s="3">
        <v>44562</v>
      </c>
      <c r="I370" s="3">
        <v>44926</v>
      </c>
      <c r="J370" t="s">
        <v>178</v>
      </c>
      <c r="K370">
        <v>6.4</v>
      </c>
      <c r="L370" t="s">
        <v>118</v>
      </c>
      <c r="M370" t="s">
        <v>110</v>
      </c>
      <c r="O370" t="s">
        <v>697</v>
      </c>
      <c r="P370" t="s">
        <v>550</v>
      </c>
      <c r="Q370">
        <v>2022</v>
      </c>
      <c r="R370" t="s">
        <v>698</v>
      </c>
      <c r="S370" t="s">
        <v>178</v>
      </c>
      <c r="T370" t="s">
        <v>553</v>
      </c>
      <c r="U370" t="b">
        <v>0</v>
      </c>
      <c r="V370" t="s">
        <v>699</v>
      </c>
      <c r="W370" t="s">
        <v>587</v>
      </c>
      <c r="X370" t="s">
        <v>556</v>
      </c>
      <c r="AC370">
        <v>1</v>
      </c>
      <c r="AD370" t="s">
        <v>565</v>
      </c>
      <c r="AE370">
        <v>11353.6</v>
      </c>
      <c r="AF370">
        <v>1774</v>
      </c>
      <c r="AG370" t="s">
        <v>622</v>
      </c>
      <c r="AH370">
        <v>1</v>
      </c>
      <c r="AI370">
        <v>6.4</v>
      </c>
      <c r="AJ370" t="s">
        <v>561</v>
      </c>
      <c r="AK370" t="s">
        <v>623</v>
      </c>
      <c r="AL370" t="s">
        <v>624</v>
      </c>
      <c r="AM370">
        <v>2022</v>
      </c>
      <c r="AN370">
        <v>2007</v>
      </c>
      <c r="AO370">
        <f>IF(AND(emissions[[#This Row],[Market-based]]=0,emissions[[#This Row],[Impact Type]]="CO2E"),emissions[[#This Row],[kgCO2e]],0)/1000</f>
        <v>0</v>
      </c>
      <c r="AP370">
        <f>IF(AND(emissions[[#This Row],[Market-based]]=1,OR(emissions[[#This Row],[Impact Type]]="CO2E",emissions[[#This Row],[Impact Type]]="CO2E MKT")),emissions[[#This Row],[kgCO2e]],0)/1000</f>
        <v>11.3536</v>
      </c>
      <c r="AQ370" t="str">
        <f>_xlfn.TEXTAFTER(emissions[[#This Row],[Reporting Unit]]," &gt; ",LEN(emissions[[#This Row],[Reporting Unit]])-LEN(SUBSTITUTE(emissions[[#This Row],[Reporting Unit]],"&gt;","")))</f>
        <v>Vantage_Leuna</v>
      </c>
      <c r="AR370" t="str">
        <f>_xlfn.XLOOKUP(emissions[[#This Row],[Reporting unit name]],hierarchy!$A:$A,hierarchy!$C:$C)</f>
        <v>Office (with heat &amp; steam)</v>
      </c>
    </row>
    <row r="371" spans="1:44" hidden="1" x14ac:dyDescent="0.25">
      <c r="A371">
        <v>255508</v>
      </c>
      <c r="B371" t="s">
        <v>164</v>
      </c>
      <c r="C371" t="s">
        <v>537</v>
      </c>
      <c r="D371" t="s">
        <v>548</v>
      </c>
      <c r="E371" s="3">
        <v>44562</v>
      </c>
      <c r="F371" s="3">
        <v>44926</v>
      </c>
      <c r="G371" t="s">
        <v>181</v>
      </c>
      <c r="H371" s="3">
        <v>44562</v>
      </c>
      <c r="I371" s="3">
        <v>44926</v>
      </c>
      <c r="J371" t="s">
        <v>182</v>
      </c>
      <c r="K371">
        <v>37799992</v>
      </c>
      <c r="L371" t="s">
        <v>109</v>
      </c>
      <c r="M371" t="s">
        <v>110</v>
      </c>
      <c r="O371" t="s">
        <v>696</v>
      </c>
      <c r="P371" t="s">
        <v>550</v>
      </c>
      <c r="Q371">
        <v>2022</v>
      </c>
      <c r="R371" t="s">
        <v>700</v>
      </c>
      <c r="S371" t="s">
        <v>701</v>
      </c>
      <c r="T371" t="s">
        <v>553</v>
      </c>
      <c r="U371" t="b">
        <v>0</v>
      </c>
      <c r="V371" t="s">
        <v>702</v>
      </c>
      <c r="W371" t="s">
        <v>555</v>
      </c>
      <c r="X371" t="s">
        <v>556</v>
      </c>
      <c r="Y371" t="s">
        <v>468</v>
      </c>
      <c r="AC371">
        <v>0</v>
      </c>
      <c r="AD371" t="s">
        <v>558</v>
      </c>
      <c r="AE371">
        <v>41201.991280000002</v>
      </c>
      <c r="AF371">
        <v>1.09E-3</v>
      </c>
      <c r="AG371" t="s">
        <v>560</v>
      </c>
      <c r="AH371">
        <v>1</v>
      </c>
      <c r="AI371">
        <v>37799992</v>
      </c>
      <c r="AJ371" t="s">
        <v>561</v>
      </c>
      <c r="AK371" t="s">
        <v>589</v>
      </c>
      <c r="AL371" t="s">
        <v>590</v>
      </c>
      <c r="AM371">
        <v>2022</v>
      </c>
      <c r="AN371">
        <v>2020</v>
      </c>
      <c r="AO371">
        <f>IF(AND(emissions[[#This Row],[Market-based]]=0,emissions[[#This Row],[Impact Type]]="CO2E"),emissions[[#This Row],[kgCO2e]],0)/1000</f>
        <v>0</v>
      </c>
      <c r="AP371">
        <f>IF(AND(emissions[[#This Row],[Market-based]]=1,OR(emissions[[#This Row],[Impact Type]]="CO2E",emissions[[#This Row],[Impact Type]]="CO2E MKT")),emissions[[#This Row],[kgCO2e]],0)/1000</f>
        <v>0</v>
      </c>
      <c r="AQ371" t="str">
        <f>_xlfn.TEXTAFTER(emissions[[#This Row],[Reporting Unit]]," &gt; ",LEN(emissions[[#This Row],[Reporting Unit]])-LEN(SUBSTITUTE(emissions[[#This Row],[Reporting Unit]],"&gt;","")))</f>
        <v>Vantage_Leuna</v>
      </c>
      <c r="AR371" t="str">
        <f>_xlfn.XLOOKUP(emissions[[#This Row],[Reporting unit name]],hierarchy!$A:$A,hierarchy!$C:$C)</f>
        <v>Office (with heat &amp; steam)</v>
      </c>
    </row>
    <row r="372" spans="1:44" hidden="1" x14ac:dyDescent="0.25">
      <c r="A372">
        <v>255508</v>
      </c>
      <c r="B372" t="s">
        <v>164</v>
      </c>
      <c r="C372" t="s">
        <v>537</v>
      </c>
      <c r="D372" t="s">
        <v>548</v>
      </c>
      <c r="E372" s="3">
        <v>44562</v>
      </c>
      <c r="F372" s="3">
        <v>44926</v>
      </c>
      <c r="G372" t="s">
        <v>181</v>
      </c>
      <c r="H372" s="3">
        <v>44562</v>
      </c>
      <c r="I372" s="3">
        <v>44926</v>
      </c>
      <c r="J372" t="s">
        <v>182</v>
      </c>
      <c r="K372">
        <v>37799992</v>
      </c>
      <c r="L372" t="s">
        <v>109</v>
      </c>
      <c r="M372" t="s">
        <v>110</v>
      </c>
      <c r="O372" t="s">
        <v>696</v>
      </c>
      <c r="P372" t="s">
        <v>550</v>
      </c>
      <c r="Q372">
        <v>2022</v>
      </c>
      <c r="R372" t="s">
        <v>700</v>
      </c>
      <c r="S372" t="s">
        <v>701</v>
      </c>
      <c r="T372" t="s">
        <v>553</v>
      </c>
      <c r="U372" t="b">
        <v>0</v>
      </c>
      <c r="V372" t="s">
        <v>702</v>
      </c>
      <c r="W372" t="s">
        <v>555</v>
      </c>
      <c r="X372" t="s">
        <v>556</v>
      </c>
      <c r="Y372" t="s">
        <v>468</v>
      </c>
      <c r="AC372">
        <v>0</v>
      </c>
      <c r="AD372" t="s">
        <v>564</v>
      </c>
      <c r="AE372">
        <v>6390466.648</v>
      </c>
      <c r="AF372">
        <v>0.16905999999999999</v>
      </c>
      <c r="AG372" t="s">
        <v>560</v>
      </c>
      <c r="AH372">
        <v>1</v>
      </c>
      <c r="AI372">
        <v>37799992</v>
      </c>
      <c r="AJ372" t="s">
        <v>561</v>
      </c>
      <c r="AK372" t="s">
        <v>589</v>
      </c>
      <c r="AL372" t="s">
        <v>590</v>
      </c>
      <c r="AM372">
        <v>2022</v>
      </c>
      <c r="AN372">
        <v>2020</v>
      </c>
      <c r="AO372">
        <f>IF(AND(emissions[[#This Row],[Market-based]]=0,emissions[[#This Row],[Impact Type]]="CO2E"),emissions[[#This Row],[kgCO2e]],0)/1000</f>
        <v>0</v>
      </c>
      <c r="AP372">
        <f>IF(AND(emissions[[#This Row],[Market-based]]=1,OR(emissions[[#This Row],[Impact Type]]="CO2E",emissions[[#This Row],[Impact Type]]="CO2E MKT")),emissions[[#This Row],[kgCO2e]],0)/1000</f>
        <v>0</v>
      </c>
      <c r="AQ372" t="str">
        <f>_xlfn.TEXTAFTER(emissions[[#This Row],[Reporting Unit]]," &gt; ",LEN(emissions[[#This Row],[Reporting Unit]])-LEN(SUBSTITUTE(emissions[[#This Row],[Reporting Unit]],"&gt;","")))</f>
        <v>Vantage_Leuna</v>
      </c>
      <c r="AR372" t="str">
        <f>_xlfn.XLOOKUP(emissions[[#This Row],[Reporting unit name]],hierarchy!$A:$A,hierarchy!$C:$C)</f>
        <v>Office (with heat &amp; steam)</v>
      </c>
    </row>
    <row r="373" spans="1:44" hidden="1" x14ac:dyDescent="0.25">
      <c r="A373">
        <v>255508</v>
      </c>
      <c r="B373" t="s">
        <v>164</v>
      </c>
      <c r="C373" t="s">
        <v>537</v>
      </c>
      <c r="D373" t="s">
        <v>548</v>
      </c>
      <c r="E373" s="3">
        <v>44562</v>
      </c>
      <c r="F373" s="3">
        <v>44926</v>
      </c>
      <c r="G373" t="s">
        <v>181</v>
      </c>
      <c r="H373" s="3">
        <v>44562</v>
      </c>
      <c r="I373" s="3">
        <v>44926</v>
      </c>
      <c r="J373" t="s">
        <v>182</v>
      </c>
      <c r="K373">
        <v>37799992</v>
      </c>
      <c r="L373" t="s">
        <v>109</v>
      </c>
      <c r="M373" t="s">
        <v>110</v>
      </c>
      <c r="O373" t="s">
        <v>696</v>
      </c>
      <c r="P373" t="s">
        <v>550</v>
      </c>
      <c r="Q373">
        <v>2022</v>
      </c>
      <c r="R373" t="s">
        <v>700</v>
      </c>
      <c r="S373" t="s">
        <v>701</v>
      </c>
      <c r="T373" t="s">
        <v>553</v>
      </c>
      <c r="U373" t="b">
        <v>0</v>
      </c>
      <c r="V373" t="s">
        <v>702</v>
      </c>
      <c r="W373" t="s">
        <v>555</v>
      </c>
      <c r="X373" t="s">
        <v>556</v>
      </c>
      <c r="Y373" t="s">
        <v>468</v>
      </c>
      <c r="AC373">
        <v>0</v>
      </c>
      <c r="AD373" t="s">
        <v>565</v>
      </c>
      <c r="AE373">
        <v>6453592.6339999996</v>
      </c>
      <c r="AF373">
        <v>0.17072999999999999</v>
      </c>
      <c r="AG373" t="s">
        <v>560</v>
      </c>
      <c r="AH373">
        <v>1</v>
      </c>
      <c r="AI373">
        <v>37799992</v>
      </c>
      <c r="AJ373" t="s">
        <v>561</v>
      </c>
      <c r="AK373" t="s">
        <v>589</v>
      </c>
      <c r="AL373" t="s">
        <v>590</v>
      </c>
      <c r="AM373">
        <v>2022</v>
      </c>
      <c r="AN373">
        <v>2020</v>
      </c>
      <c r="AO373">
        <f>IF(AND(emissions[[#This Row],[Market-based]]=0,emissions[[#This Row],[Impact Type]]="CO2E"),emissions[[#This Row],[kgCO2e]],0)/1000</f>
        <v>6453.5926339999996</v>
      </c>
      <c r="AP373">
        <f>IF(AND(emissions[[#This Row],[Market-based]]=1,OR(emissions[[#This Row],[Impact Type]]="CO2E",emissions[[#This Row],[Impact Type]]="CO2E MKT")),emissions[[#This Row],[kgCO2e]],0)/1000</f>
        <v>0</v>
      </c>
      <c r="AQ373" t="str">
        <f>_xlfn.TEXTAFTER(emissions[[#This Row],[Reporting Unit]]," &gt; ",LEN(emissions[[#This Row],[Reporting Unit]])-LEN(SUBSTITUTE(emissions[[#This Row],[Reporting Unit]],"&gt;","")))</f>
        <v>Vantage_Leuna</v>
      </c>
      <c r="AR373" t="str">
        <f>_xlfn.XLOOKUP(emissions[[#This Row],[Reporting unit name]],hierarchy!$A:$A,hierarchy!$C:$C)</f>
        <v>Office (with heat &amp; steam)</v>
      </c>
    </row>
    <row r="374" spans="1:44" hidden="1" x14ac:dyDescent="0.25">
      <c r="A374">
        <v>255508</v>
      </c>
      <c r="B374" t="s">
        <v>164</v>
      </c>
      <c r="C374" t="s">
        <v>537</v>
      </c>
      <c r="D374" t="s">
        <v>548</v>
      </c>
      <c r="E374" s="3">
        <v>44562</v>
      </c>
      <c r="F374" s="3">
        <v>44926</v>
      </c>
      <c r="G374" t="s">
        <v>181</v>
      </c>
      <c r="H374" s="3">
        <v>44562</v>
      </c>
      <c r="I374" s="3">
        <v>44926</v>
      </c>
      <c r="J374" t="s">
        <v>182</v>
      </c>
      <c r="K374">
        <v>37799992</v>
      </c>
      <c r="L374" t="s">
        <v>109</v>
      </c>
      <c r="M374" t="s">
        <v>110</v>
      </c>
      <c r="O374" t="s">
        <v>696</v>
      </c>
      <c r="P374" t="s">
        <v>550</v>
      </c>
      <c r="Q374">
        <v>2022</v>
      </c>
      <c r="R374" t="s">
        <v>700</v>
      </c>
      <c r="S374" t="s">
        <v>701</v>
      </c>
      <c r="T374" t="s">
        <v>553</v>
      </c>
      <c r="U374" t="b">
        <v>0</v>
      </c>
      <c r="V374" t="s">
        <v>702</v>
      </c>
      <c r="W374" t="s">
        <v>555</v>
      </c>
      <c r="X374" t="s">
        <v>556</v>
      </c>
      <c r="Y374" t="s">
        <v>468</v>
      </c>
      <c r="AC374">
        <v>0</v>
      </c>
      <c r="AD374" t="s">
        <v>566</v>
      </c>
      <c r="AE374">
        <v>21923.995360000001</v>
      </c>
      <c r="AF374">
        <v>5.8E-4</v>
      </c>
      <c r="AG374" t="s">
        <v>560</v>
      </c>
      <c r="AH374">
        <v>1</v>
      </c>
      <c r="AI374">
        <v>37799992</v>
      </c>
      <c r="AJ374" t="s">
        <v>561</v>
      </c>
      <c r="AK374" t="s">
        <v>589</v>
      </c>
      <c r="AL374" t="s">
        <v>590</v>
      </c>
      <c r="AM374">
        <v>2022</v>
      </c>
      <c r="AN374">
        <v>2020</v>
      </c>
      <c r="AO374">
        <f>IF(AND(emissions[[#This Row],[Market-based]]=0,emissions[[#This Row],[Impact Type]]="CO2E"),emissions[[#This Row],[kgCO2e]],0)/1000</f>
        <v>0</v>
      </c>
      <c r="AP374">
        <f>IF(AND(emissions[[#This Row],[Market-based]]=1,OR(emissions[[#This Row],[Impact Type]]="CO2E",emissions[[#This Row],[Impact Type]]="CO2E MKT")),emissions[[#This Row],[kgCO2e]],0)/1000</f>
        <v>0</v>
      </c>
      <c r="AQ374" t="str">
        <f>_xlfn.TEXTAFTER(emissions[[#This Row],[Reporting Unit]]," &gt; ",LEN(emissions[[#This Row],[Reporting Unit]])-LEN(SUBSTITUTE(emissions[[#This Row],[Reporting Unit]],"&gt;","")))</f>
        <v>Vantage_Leuna</v>
      </c>
      <c r="AR374" t="str">
        <f>_xlfn.XLOOKUP(emissions[[#This Row],[Reporting unit name]],hierarchy!$A:$A,hierarchy!$C:$C)</f>
        <v>Office (with heat &amp; steam)</v>
      </c>
    </row>
    <row r="375" spans="1:44" hidden="1" x14ac:dyDescent="0.25">
      <c r="A375">
        <v>255508</v>
      </c>
      <c r="B375" t="s">
        <v>164</v>
      </c>
      <c r="C375" t="s">
        <v>537</v>
      </c>
      <c r="D375" t="s">
        <v>548</v>
      </c>
      <c r="E375" s="3">
        <v>44562</v>
      </c>
      <c r="F375" s="3">
        <v>44926</v>
      </c>
      <c r="G375" t="s">
        <v>181</v>
      </c>
      <c r="H375" s="3">
        <v>44562</v>
      </c>
      <c r="I375" s="3">
        <v>44926</v>
      </c>
      <c r="J375" t="s">
        <v>182</v>
      </c>
      <c r="K375">
        <v>37799992</v>
      </c>
      <c r="L375" t="s">
        <v>109</v>
      </c>
      <c r="M375" t="s">
        <v>110</v>
      </c>
      <c r="O375" t="s">
        <v>696</v>
      </c>
      <c r="P375" t="s">
        <v>550</v>
      </c>
      <c r="Q375">
        <v>2022</v>
      </c>
      <c r="R375" t="s">
        <v>700</v>
      </c>
      <c r="S375" t="s">
        <v>701</v>
      </c>
      <c r="T375" t="s">
        <v>553</v>
      </c>
      <c r="U375" t="b">
        <v>0</v>
      </c>
      <c r="V375" t="s">
        <v>702</v>
      </c>
      <c r="W375" t="s">
        <v>555</v>
      </c>
      <c r="X375" t="s">
        <v>556</v>
      </c>
      <c r="Y375" t="s">
        <v>468</v>
      </c>
      <c r="AC375">
        <v>1</v>
      </c>
      <c r="AD375" t="s">
        <v>558</v>
      </c>
      <c r="AE375">
        <v>41201.991280000002</v>
      </c>
      <c r="AF375">
        <v>1.09E-3</v>
      </c>
      <c r="AG375" t="s">
        <v>560</v>
      </c>
      <c r="AH375">
        <v>1</v>
      </c>
      <c r="AI375">
        <v>37799992</v>
      </c>
      <c r="AJ375" t="s">
        <v>561</v>
      </c>
      <c r="AK375" t="s">
        <v>589</v>
      </c>
      <c r="AL375" t="s">
        <v>590</v>
      </c>
      <c r="AM375">
        <v>2022</v>
      </c>
      <c r="AN375">
        <v>2020</v>
      </c>
      <c r="AO375">
        <f>IF(AND(emissions[[#This Row],[Market-based]]=0,emissions[[#This Row],[Impact Type]]="CO2E"),emissions[[#This Row],[kgCO2e]],0)/1000</f>
        <v>0</v>
      </c>
      <c r="AP375">
        <f>IF(AND(emissions[[#This Row],[Market-based]]=1,OR(emissions[[#This Row],[Impact Type]]="CO2E",emissions[[#This Row],[Impact Type]]="CO2E MKT")),emissions[[#This Row],[kgCO2e]],0)/1000</f>
        <v>0</v>
      </c>
      <c r="AQ375" t="str">
        <f>_xlfn.TEXTAFTER(emissions[[#This Row],[Reporting Unit]]," &gt; ",LEN(emissions[[#This Row],[Reporting Unit]])-LEN(SUBSTITUTE(emissions[[#This Row],[Reporting Unit]],"&gt;","")))</f>
        <v>Vantage_Leuna</v>
      </c>
      <c r="AR375" t="str">
        <f>_xlfn.XLOOKUP(emissions[[#This Row],[Reporting unit name]],hierarchy!$A:$A,hierarchy!$C:$C)</f>
        <v>Office (with heat &amp; steam)</v>
      </c>
    </row>
    <row r="376" spans="1:44" hidden="1" x14ac:dyDescent="0.25">
      <c r="A376">
        <v>255508</v>
      </c>
      <c r="B376" t="s">
        <v>164</v>
      </c>
      <c r="C376" t="s">
        <v>537</v>
      </c>
      <c r="D376" t="s">
        <v>548</v>
      </c>
      <c r="E376" s="3">
        <v>44562</v>
      </c>
      <c r="F376" s="3">
        <v>44926</v>
      </c>
      <c r="G376" t="s">
        <v>181</v>
      </c>
      <c r="H376" s="3">
        <v>44562</v>
      </c>
      <c r="I376" s="3">
        <v>44926</v>
      </c>
      <c r="J376" t="s">
        <v>182</v>
      </c>
      <c r="K376">
        <v>37799992</v>
      </c>
      <c r="L376" t="s">
        <v>109</v>
      </c>
      <c r="M376" t="s">
        <v>110</v>
      </c>
      <c r="O376" t="s">
        <v>696</v>
      </c>
      <c r="P376" t="s">
        <v>550</v>
      </c>
      <c r="Q376">
        <v>2022</v>
      </c>
      <c r="R376" t="s">
        <v>700</v>
      </c>
      <c r="S376" t="s">
        <v>701</v>
      </c>
      <c r="T376" t="s">
        <v>553</v>
      </c>
      <c r="U376" t="b">
        <v>0</v>
      </c>
      <c r="V376" t="s">
        <v>702</v>
      </c>
      <c r="W376" t="s">
        <v>555</v>
      </c>
      <c r="X376" t="s">
        <v>556</v>
      </c>
      <c r="Y376" t="s">
        <v>468</v>
      </c>
      <c r="AC376">
        <v>1</v>
      </c>
      <c r="AD376" t="s">
        <v>564</v>
      </c>
      <c r="AE376">
        <v>6390466.648</v>
      </c>
      <c r="AF376">
        <v>0.16905999999999999</v>
      </c>
      <c r="AG376" t="s">
        <v>560</v>
      </c>
      <c r="AH376">
        <v>1</v>
      </c>
      <c r="AI376">
        <v>37799992</v>
      </c>
      <c r="AJ376" t="s">
        <v>561</v>
      </c>
      <c r="AK376" t="s">
        <v>589</v>
      </c>
      <c r="AL376" t="s">
        <v>590</v>
      </c>
      <c r="AM376">
        <v>2022</v>
      </c>
      <c r="AN376">
        <v>2020</v>
      </c>
      <c r="AO376">
        <f>IF(AND(emissions[[#This Row],[Market-based]]=0,emissions[[#This Row],[Impact Type]]="CO2E"),emissions[[#This Row],[kgCO2e]],0)/1000</f>
        <v>0</v>
      </c>
      <c r="AP376">
        <f>IF(AND(emissions[[#This Row],[Market-based]]=1,OR(emissions[[#This Row],[Impact Type]]="CO2E",emissions[[#This Row],[Impact Type]]="CO2E MKT")),emissions[[#This Row],[kgCO2e]],0)/1000</f>
        <v>0</v>
      </c>
      <c r="AQ376" t="str">
        <f>_xlfn.TEXTAFTER(emissions[[#This Row],[Reporting Unit]]," &gt; ",LEN(emissions[[#This Row],[Reporting Unit]])-LEN(SUBSTITUTE(emissions[[#This Row],[Reporting Unit]],"&gt;","")))</f>
        <v>Vantage_Leuna</v>
      </c>
      <c r="AR376" t="str">
        <f>_xlfn.XLOOKUP(emissions[[#This Row],[Reporting unit name]],hierarchy!$A:$A,hierarchy!$C:$C)</f>
        <v>Office (with heat &amp; steam)</v>
      </c>
    </row>
    <row r="377" spans="1:44" hidden="1" x14ac:dyDescent="0.25">
      <c r="A377">
        <v>255508</v>
      </c>
      <c r="B377" t="s">
        <v>164</v>
      </c>
      <c r="C377" t="s">
        <v>537</v>
      </c>
      <c r="D377" t="s">
        <v>548</v>
      </c>
      <c r="E377" s="3">
        <v>44562</v>
      </c>
      <c r="F377" s="3">
        <v>44926</v>
      </c>
      <c r="G377" t="s">
        <v>181</v>
      </c>
      <c r="H377" s="3">
        <v>44562</v>
      </c>
      <c r="I377" s="3">
        <v>44926</v>
      </c>
      <c r="J377" t="s">
        <v>182</v>
      </c>
      <c r="K377">
        <v>37799992</v>
      </c>
      <c r="L377" t="s">
        <v>109</v>
      </c>
      <c r="M377" t="s">
        <v>110</v>
      </c>
      <c r="O377" t="s">
        <v>696</v>
      </c>
      <c r="P377" t="s">
        <v>550</v>
      </c>
      <c r="Q377">
        <v>2022</v>
      </c>
      <c r="R377" t="s">
        <v>700</v>
      </c>
      <c r="S377" t="s">
        <v>701</v>
      </c>
      <c r="T377" t="s">
        <v>553</v>
      </c>
      <c r="U377" t="b">
        <v>0</v>
      </c>
      <c r="V377" t="s">
        <v>702</v>
      </c>
      <c r="W377" t="s">
        <v>555</v>
      </c>
      <c r="X377" t="s">
        <v>556</v>
      </c>
      <c r="Y377" t="s">
        <v>468</v>
      </c>
      <c r="AC377">
        <v>1</v>
      </c>
      <c r="AD377" t="s">
        <v>565</v>
      </c>
      <c r="AE377">
        <v>6453592.6339999996</v>
      </c>
      <c r="AF377">
        <v>0.17072999999999999</v>
      </c>
      <c r="AG377" t="s">
        <v>560</v>
      </c>
      <c r="AH377">
        <v>1</v>
      </c>
      <c r="AI377">
        <v>37799992</v>
      </c>
      <c r="AJ377" t="s">
        <v>561</v>
      </c>
      <c r="AK377" t="s">
        <v>589</v>
      </c>
      <c r="AL377" t="s">
        <v>590</v>
      </c>
      <c r="AM377">
        <v>2022</v>
      </c>
      <c r="AN377">
        <v>2020</v>
      </c>
      <c r="AO377">
        <f>IF(AND(emissions[[#This Row],[Market-based]]=0,emissions[[#This Row],[Impact Type]]="CO2E"),emissions[[#This Row],[kgCO2e]],0)/1000</f>
        <v>0</v>
      </c>
      <c r="AP377">
        <f>IF(AND(emissions[[#This Row],[Market-based]]=1,OR(emissions[[#This Row],[Impact Type]]="CO2E",emissions[[#This Row],[Impact Type]]="CO2E MKT")),emissions[[#This Row],[kgCO2e]],0)/1000</f>
        <v>6453.5926339999996</v>
      </c>
      <c r="AQ377" t="str">
        <f>_xlfn.TEXTAFTER(emissions[[#This Row],[Reporting Unit]]," &gt; ",LEN(emissions[[#This Row],[Reporting Unit]])-LEN(SUBSTITUTE(emissions[[#This Row],[Reporting Unit]],"&gt;","")))</f>
        <v>Vantage_Leuna</v>
      </c>
      <c r="AR377" t="str">
        <f>_xlfn.XLOOKUP(emissions[[#This Row],[Reporting unit name]],hierarchy!$A:$A,hierarchy!$C:$C)</f>
        <v>Office (with heat &amp; steam)</v>
      </c>
    </row>
    <row r="378" spans="1:44" hidden="1" x14ac:dyDescent="0.25">
      <c r="A378">
        <v>255508</v>
      </c>
      <c r="B378" t="s">
        <v>164</v>
      </c>
      <c r="C378" t="s">
        <v>537</v>
      </c>
      <c r="D378" t="s">
        <v>548</v>
      </c>
      <c r="E378" s="3">
        <v>44562</v>
      </c>
      <c r="F378" s="3">
        <v>44926</v>
      </c>
      <c r="G378" t="s">
        <v>181</v>
      </c>
      <c r="H378" s="3">
        <v>44562</v>
      </c>
      <c r="I378" s="3">
        <v>44926</v>
      </c>
      <c r="J378" t="s">
        <v>182</v>
      </c>
      <c r="K378">
        <v>37799992</v>
      </c>
      <c r="L378" t="s">
        <v>109</v>
      </c>
      <c r="M378" t="s">
        <v>110</v>
      </c>
      <c r="O378" t="s">
        <v>696</v>
      </c>
      <c r="P378" t="s">
        <v>550</v>
      </c>
      <c r="Q378">
        <v>2022</v>
      </c>
      <c r="R378" t="s">
        <v>700</v>
      </c>
      <c r="S378" t="s">
        <v>701</v>
      </c>
      <c r="T378" t="s">
        <v>553</v>
      </c>
      <c r="U378" t="b">
        <v>0</v>
      </c>
      <c r="V378" t="s">
        <v>702</v>
      </c>
      <c r="W378" t="s">
        <v>555</v>
      </c>
      <c r="X378" t="s">
        <v>556</v>
      </c>
      <c r="Y378" t="s">
        <v>468</v>
      </c>
      <c r="AC378">
        <v>1</v>
      </c>
      <c r="AD378" t="s">
        <v>566</v>
      </c>
      <c r="AE378">
        <v>21923.995360000001</v>
      </c>
      <c r="AF378">
        <v>5.8E-4</v>
      </c>
      <c r="AG378" t="s">
        <v>560</v>
      </c>
      <c r="AH378">
        <v>1</v>
      </c>
      <c r="AI378">
        <v>37799992</v>
      </c>
      <c r="AJ378" t="s">
        <v>561</v>
      </c>
      <c r="AK378" t="s">
        <v>589</v>
      </c>
      <c r="AL378" t="s">
        <v>590</v>
      </c>
      <c r="AM378">
        <v>2022</v>
      </c>
      <c r="AN378">
        <v>2020</v>
      </c>
      <c r="AO378">
        <f>IF(AND(emissions[[#This Row],[Market-based]]=0,emissions[[#This Row],[Impact Type]]="CO2E"),emissions[[#This Row],[kgCO2e]],0)/1000</f>
        <v>0</v>
      </c>
      <c r="AP378">
        <f>IF(AND(emissions[[#This Row],[Market-based]]=1,OR(emissions[[#This Row],[Impact Type]]="CO2E",emissions[[#This Row],[Impact Type]]="CO2E MKT")),emissions[[#This Row],[kgCO2e]],0)/1000</f>
        <v>0</v>
      </c>
      <c r="AQ378" t="str">
        <f>_xlfn.TEXTAFTER(emissions[[#This Row],[Reporting Unit]]," &gt; ",LEN(emissions[[#This Row],[Reporting Unit]])-LEN(SUBSTITUTE(emissions[[#This Row],[Reporting Unit]],"&gt;","")))</f>
        <v>Vantage_Leuna</v>
      </c>
      <c r="AR378" t="str">
        <f>_xlfn.XLOOKUP(emissions[[#This Row],[Reporting unit name]],hierarchy!$A:$A,hierarchy!$C:$C)</f>
        <v>Office (with heat &amp; steam)</v>
      </c>
    </row>
    <row r="379" spans="1:44" hidden="1" x14ac:dyDescent="0.25">
      <c r="A379">
        <v>255508</v>
      </c>
      <c r="B379" t="s">
        <v>164</v>
      </c>
      <c r="C379" t="s">
        <v>537</v>
      </c>
      <c r="D379" t="s">
        <v>548</v>
      </c>
      <c r="E379" s="3">
        <v>44562</v>
      </c>
      <c r="F379" s="3">
        <v>44926</v>
      </c>
      <c r="G379" t="s">
        <v>181</v>
      </c>
      <c r="H379" s="3">
        <v>44562</v>
      </c>
      <c r="I379" s="3">
        <v>44926</v>
      </c>
      <c r="J379" t="s">
        <v>182</v>
      </c>
      <c r="K379">
        <v>37799992</v>
      </c>
      <c r="L379" t="s">
        <v>109</v>
      </c>
      <c r="M379" t="s">
        <v>110</v>
      </c>
      <c r="O379" t="s">
        <v>696</v>
      </c>
      <c r="P379" t="s">
        <v>550</v>
      </c>
      <c r="Q379">
        <v>2022</v>
      </c>
      <c r="R379" t="s">
        <v>703</v>
      </c>
      <c r="S379" t="s">
        <v>704</v>
      </c>
      <c r="T379" t="s">
        <v>569</v>
      </c>
      <c r="U379" t="b">
        <v>0</v>
      </c>
      <c r="V379" t="s">
        <v>705</v>
      </c>
      <c r="W379" t="s">
        <v>571</v>
      </c>
      <c r="X379" t="s">
        <v>572</v>
      </c>
      <c r="Y379" t="s">
        <v>468</v>
      </c>
      <c r="AC379">
        <v>0</v>
      </c>
      <c r="AD379" t="s">
        <v>565</v>
      </c>
      <c r="AE379">
        <v>1191833.7479999999</v>
      </c>
      <c r="AF379">
        <v>3.1530000000000002E-2</v>
      </c>
      <c r="AG379" t="s">
        <v>560</v>
      </c>
      <c r="AH379">
        <v>1</v>
      </c>
      <c r="AI379">
        <v>37799992</v>
      </c>
      <c r="AJ379" t="s">
        <v>561</v>
      </c>
      <c r="AK379" t="s">
        <v>589</v>
      </c>
      <c r="AL379" t="s">
        <v>590</v>
      </c>
      <c r="AM379">
        <v>2022</v>
      </c>
      <c r="AN379">
        <v>2020</v>
      </c>
      <c r="AO379">
        <f>IF(AND(emissions[[#This Row],[Market-based]]=0,emissions[[#This Row],[Impact Type]]="CO2E"),emissions[[#This Row],[kgCO2e]],0)/1000</f>
        <v>1191.833748</v>
      </c>
      <c r="AP379">
        <f>IF(AND(emissions[[#This Row],[Market-based]]=1,OR(emissions[[#This Row],[Impact Type]]="CO2E",emissions[[#This Row],[Impact Type]]="CO2E MKT")),emissions[[#This Row],[kgCO2e]],0)/1000</f>
        <v>0</v>
      </c>
      <c r="AQ379" t="str">
        <f>_xlfn.TEXTAFTER(emissions[[#This Row],[Reporting Unit]]," &gt; ",LEN(emissions[[#This Row],[Reporting Unit]])-LEN(SUBSTITUTE(emissions[[#This Row],[Reporting Unit]],"&gt;","")))</f>
        <v>Vantage_Leuna</v>
      </c>
      <c r="AR379" t="str">
        <f>_xlfn.XLOOKUP(emissions[[#This Row],[Reporting unit name]],hierarchy!$A:$A,hierarchy!$C:$C)</f>
        <v>Office (with heat &amp; steam)</v>
      </c>
    </row>
    <row r="380" spans="1:44" hidden="1" x14ac:dyDescent="0.25">
      <c r="A380">
        <v>255508</v>
      </c>
      <c r="B380" t="s">
        <v>164</v>
      </c>
      <c r="C380" t="s">
        <v>537</v>
      </c>
      <c r="D380" t="s">
        <v>548</v>
      </c>
      <c r="E380" s="3">
        <v>44562</v>
      </c>
      <c r="F380" s="3">
        <v>44926</v>
      </c>
      <c r="G380" t="s">
        <v>181</v>
      </c>
      <c r="H380" s="3">
        <v>44562</v>
      </c>
      <c r="I380" s="3">
        <v>44926</v>
      </c>
      <c r="J380" t="s">
        <v>182</v>
      </c>
      <c r="K380">
        <v>37799992</v>
      </c>
      <c r="L380" t="s">
        <v>109</v>
      </c>
      <c r="M380" t="s">
        <v>110</v>
      </c>
      <c r="O380" t="s">
        <v>696</v>
      </c>
      <c r="P380" t="s">
        <v>550</v>
      </c>
      <c r="Q380">
        <v>2022</v>
      </c>
      <c r="R380" t="s">
        <v>703</v>
      </c>
      <c r="S380" t="s">
        <v>704</v>
      </c>
      <c r="T380" t="s">
        <v>569</v>
      </c>
      <c r="U380" t="b">
        <v>0</v>
      </c>
      <c r="V380" t="s">
        <v>705</v>
      </c>
      <c r="W380" t="s">
        <v>571</v>
      </c>
      <c r="X380" t="s">
        <v>572</v>
      </c>
      <c r="Y380" t="s">
        <v>468</v>
      </c>
      <c r="AC380">
        <v>1</v>
      </c>
      <c r="AD380" t="s">
        <v>565</v>
      </c>
      <c r="AE380">
        <v>1191833.7479999999</v>
      </c>
      <c r="AF380">
        <v>3.1530000000000002E-2</v>
      </c>
      <c r="AG380" t="s">
        <v>560</v>
      </c>
      <c r="AH380">
        <v>1</v>
      </c>
      <c r="AI380">
        <v>37799992</v>
      </c>
      <c r="AJ380" t="s">
        <v>561</v>
      </c>
      <c r="AK380" t="s">
        <v>589</v>
      </c>
      <c r="AL380" t="s">
        <v>590</v>
      </c>
      <c r="AM380">
        <v>2022</v>
      </c>
      <c r="AN380">
        <v>2020</v>
      </c>
      <c r="AO380">
        <f>IF(AND(emissions[[#This Row],[Market-based]]=0,emissions[[#This Row],[Impact Type]]="CO2E"),emissions[[#This Row],[kgCO2e]],0)/1000</f>
        <v>0</v>
      </c>
      <c r="AP380">
        <f>IF(AND(emissions[[#This Row],[Market-based]]=1,OR(emissions[[#This Row],[Impact Type]]="CO2E",emissions[[#This Row],[Impact Type]]="CO2E MKT")),emissions[[#This Row],[kgCO2e]],0)/1000</f>
        <v>1191.833748</v>
      </c>
      <c r="AQ380" t="str">
        <f>_xlfn.TEXTAFTER(emissions[[#This Row],[Reporting Unit]]," &gt; ",LEN(emissions[[#This Row],[Reporting Unit]])-LEN(SUBSTITUTE(emissions[[#This Row],[Reporting Unit]],"&gt;","")))</f>
        <v>Vantage_Leuna</v>
      </c>
      <c r="AR380" t="str">
        <f>_xlfn.XLOOKUP(emissions[[#This Row],[Reporting unit name]],hierarchy!$A:$A,hierarchy!$C:$C)</f>
        <v>Office (with heat &amp; steam)</v>
      </c>
    </row>
    <row r="381" spans="1:44" hidden="1" x14ac:dyDescent="0.25">
      <c r="A381">
        <v>255508</v>
      </c>
      <c r="B381" t="s">
        <v>164</v>
      </c>
      <c r="C381" t="s">
        <v>537</v>
      </c>
      <c r="D381" t="s">
        <v>548</v>
      </c>
      <c r="E381" s="3">
        <v>44562</v>
      </c>
      <c r="F381" s="3">
        <v>44926</v>
      </c>
      <c r="G381" t="s">
        <v>181</v>
      </c>
      <c r="H381" s="3">
        <v>44562</v>
      </c>
      <c r="I381" s="3">
        <v>44926</v>
      </c>
      <c r="J381" t="s">
        <v>182</v>
      </c>
      <c r="K381">
        <v>37799992</v>
      </c>
      <c r="L381" t="s">
        <v>109</v>
      </c>
      <c r="M381" t="s">
        <v>110</v>
      </c>
      <c r="O381" t="s">
        <v>696</v>
      </c>
      <c r="P381" t="s">
        <v>550</v>
      </c>
      <c r="Q381">
        <v>2022</v>
      </c>
      <c r="R381" t="s">
        <v>706</v>
      </c>
      <c r="S381" t="s">
        <v>707</v>
      </c>
      <c r="T381" t="s">
        <v>577</v>
      </c>
      <c r="U381" t="b">
        <v>0</v>
      </c>
      <c r="V381" t="s">
        <v>708</v>
      </c>
      <c r="W381" t="s">
        <v>571</v>
      </c>
      <c r="X381" t="s">
        <v>572</v>
      </c>
      <c r="Y381" t="s">
        <v>468</v>
      </c>
      <c r="AC381">
        <v>0</v>
      </c>
      <c r="AD381" t="s">
        <v>565</v>
      </c>
      <c r="AE381">
        <v>62747.986720000001</v>
      </c>
      <c r="AF381">
        <v>1.66E-3</v>
      </c>
      <c r="AG381" t="s">
        <v>560</v>
      </c>
      <c r="AH381">
        <v>1</v>
      </c>
      <c r="AI381">
        <v>37799992</v>
      </c>
      <c r="AJ381" t="s">
        <v>561</v>
      </c>
      <c r="AK381" t="s">
        <v>589</v>
      </c>
      <c r="AL381" t="s">
        <v>590</v>
      </c>
      <c r="AM381">
        <v>2022</v>
      </c>
      <c r="AN381">
        <v>2020</v>
      </c>
      <c r="AO381">
        <f>IF(AND(emissions[[#This Row],[Market-based]]=0,emissions[[#This Row],[Impact Type]]="CO2E"),emissions[[#This Row],[kgCO2e]],0)/1000</f>
        <v>62.74798672</v>
      </c>
      <c r="AP381">
        <f>IF(AND(emissions[[#This Row],[Market-based]]=1,OR(emissions[[#This Row],[Impact Type]]="CO2E",emissions[[#This Row],[Impact Type]]="CO2E MKT")),emissions[[#This Row],[kgCO2e]],0)/1000</f>
        <v>0</v>
      </c>
      <c r="AQ381" t="str">
        <f>_xlfn.TEXTAFTER(emissions[[#This Row],[Reporting Unit]]," &gt; ",LEN(emissions[[#This Row],[Reporting Unit]])-LEN(SUBSTITUTE(emissions[[#This Row],[Reporting Unit]],"&gt;","")))</f>
        <v>Vantage_Leuna</v>
      </c>
      <c r="AR381" t="str">
        <f>_xlfn.XLOOKUP(emissions[[#This Row],[Reporting unit name]],hierarchy!$A:$A,hierarchy!$C:$C)</f>
        <v>Office (with heat &amp; steam)</v>
      </c>
    </row>
    <row r="382" spans="1:44" hidden="1" x14ac:dyDescent="0.25">
      <c r="A382">
        <v>255508</v>
      </c>
      <c r="B382" t="s">
        <v>164</v>
      </c>
      <c r="C382" t="s">
        <v>537</v>
      </c>
      <c r="D382" t="s">
        <v>548</v>
      </c>
      <c r="E382" s="3">
        <v>44562</v>
      </c>
      <c r="F382" s="3">
        <v>44926</v>
      </c>
      <c r="G382" t="s">
        <v>181</v>
      </c>
      <c r="H382" s="3">
        <v>44562</v>
      </c>
      <c r="I382" s="3">
        <v>44926</v>
      </c>
      <c r="J382" t="s">
        <v>182</v>
      </c>
      <c r="K382">
        <v>37799992</v>
      </c>
      <c r="L382" t="s">
        <v>109</v>
      </c>
      <c r="M382" t="s">
        <v>110</v>
      </c>
      <c r="O382" t="s">
        <v>696</v>
      </c>
      <c r="P382" t="s">
        <v>550</v>
      </c>
      <c r="Q382">
        <v>2022</v>
      </c>
      <c r="R382" t="s">
        <v>706</v>
      </c>
      <c r="S382" t="s">
        <v>707</v>
      </c>
      <c r="T382" t="s">
        <v>577</v>
      </c>
      <c r="U382" t="b">
        <v>0</v>
      </c>
      <c r="V382" t="s">
        <v>708</v>
      </c>
      <c r="W382" t="s">
        <v>571</v>
      </c>
      <c r="X382" t="s">
        <v>572</v>
      </c>
      <c r="Y382" t="s">
        <v>468</v>
      </c>
      <c r="AC382">
        <v>1</v>
      </c>
      <c r="AD382" t="s">
        <v>565</v>
      </c>
      <c r="AE382">
        <v>62747.986720000001</v>
      </c>
      <c r="AF382">
        <v>1.66E-3</v>
      </c>
      <c r="AG382" t="s">
        <v>560</v>
      </c>
      <c r="AH382">
        <v>1</v>
      </c>
      <c r="AI382">
        <v>37799992</v>
      </c>
      <c r="AJ382" t="s">
        <v>561</v>
      </c>
      <c r="AK382" t="s">
        <v>589</v>
      </c>
      <c r="AL382" t="s">
        <v>590</v>
      </c>
      <c r="AM382">
        <v>2022</v>
      </c>
      <c r="AN382">
        <v>2020</v>
      </c>
      <c r="AO382">
        <f>IF(AND(emissions[[#This Row],[Market-based]]=0,emissions[[#This Row],[Impact Type]]="CO2E"),emissions[[#This Row],[kgCO2e]],0)/1000</f>
        <v>0</v>
      </c>
      <c r="AP382">
        <f>IF(AND(emissions[[#This Row],[Market-based]]=1,OR(emissions[[#This Row],[Impact Type]]="CO2E",emissions[[#This Row],[Impact Type]]="CO2E MKT")),emissions[[#This Row],[kgCO2e]],0)/1000</f>
        <v>62.74798672</v>
      </c>
      <c r="AQ382" t="str">
        <f>_xlfn.TEXTAFTER(emissions[[#This Row],[Reporting Unit]]," &gt; ",LEN(emissions[[#This Row],[Reporting Unit]])-LEN(SUBSTITUTE(emissions[[#This Row],[Reporting Unit]],"&gt;","")))</f>
        <v>Vantage_Leuna</v>
      </c>
      <c r="AR382" t="str">
        <f>_xlfn.XLOOKUP(emissions[[#This Row],[Reporting unit name]],hierarchy!$A:$A,hierarchy!$C:$C)</f>
        <v>Office (with heat &amp; steam)</v>
      </c>
    </row>
    <row r="383" spans="1:44" hidden="1" x14ac:dyDescent="0.25">
      <c r="A383">
        <v>255508</v>
      </c>
      <c r="B383" t="s">
        <v>164</v>
      </c>
      <c r="C383" t="s">
        <v>537</v>
      </c>
      <c r="D383" t="s">
        <v>548</v>
      </c>
      <c r="E383" s="3">
        <v>44562</v>
      </c>
      <c r="F383" s="3">
        <v>44926</v>
      </c>
      <c r="G383" t="s">
        <v>181</v>
      </c>
      <c r="H383" s="3">
        <v>44562</v>
      </c>
      <c r="I383" s="3">
        <v>44926</v>
      </c>
      <c r="J383" t="s">
        <v>182</v>
      </c>
      <c r="K383">
        <v>37799992</v>
      </c>
      <c r="L383" t="s">
        <v>109</v>
      </c>
      <c r="M383" t="s">
        <v>110</v>
      </c>
      <c r="O383" t="s">
        <v>696</v>
      </c>
      <c r="P383" t="s">
        <v>550</v>
      </c>
      <c r="Q383">
        <v>2022</v>
      </c>
      <c r="R383" t="s">
        <v>709</v>
      </c>
      <c r="S383" t="s">
        <v>710</v>
      </c>
      <c r="T383" t="s">
        <v>581</v>
      </c>
      <c r="U383" t="b">
        <v>0</v>
      </c>
      <c r="V383" t="s">
        <v>711</v>
      </c>
      <c r="W383" t="s">
        <v>571</v>
      </c>
      <c r="X383" t="s">
        <v>572</v>
      </c>
      <c r="Y383" t="s">
        <v>468</v>
      </c>
      <c r="AC383">
        <v>0</v>
      </c>
      <c r="AD383" t="s">
        <v>558</v>
      </c>
      <c r="AE383">
        <v>2267.9995199999998</v>
      </c>
      <c r="AF383">
        <v>6.0000000000000002E-5</v>
      </c>
      <c r="AG383" t="s">
        <v>560</v>
      </c>
      <c r="AH383">
        <v>1</v>
      </c>
      <c r="AI383">
        <v>37799992</v>
      </c>
      <c r="AJ383" t="s">
        <v>561</v>
      </c>
      <c r="AK383" t="s">
        <v>589</v>
      </c>
      <c r="AL383" t="s">
        <v>603</v>
      </c>
      <c r="AM383">
        <v>2022</v>
      </c>
      <c r="AN383">
        <v>2019</v>
      </c>
      <c r="AO383">
        <f>IF(AND(emissions[[#This Row],[Market-based]]=0,emissions[[#This Row],[Impact Type]]="CO2E"),emissions[[#This Row],[kgCO2e]],0)/1000</f>
        <v>0</v>
      </c>
      <c r="AP383">
        <f>IF(AND(emissions[[#This Row],[Market-based]]=1,OR(emissions[[#This Row],[Impact Type]]="CO2E",emissions[[#This Row],[Impact Type]]="CO2E MKT")),emissions[[#This Row],[kgCO2e]],0)/1000</f>
        <v>0</v>
      </c>
      <c r="AQ383" t="str">
        <f>_xlfn.TEXTAFTER(emissions[[#This Row],[Reporting Unit]]," &gt; ",LEN(emissions[[#This Row],[Reporting Unit]])-LEN(SUBSTITUTE(emissions[[#This Row],[Reporting Unit]],"&gt;","")))</f>
        <v>Vantage_Leuna</v>
      </c>
      <c r="AR383" t="str">
        <f>_xlfn.XLOOKUP(emissions[[#This Row],[Reporting unit name]],hierarchy!$A:$A,hierarchy!$C:$C)</f>
        <v>Office (with heat &amp; steam)</v>
      </c>
    </row>
    <row r="384" spans="1:44" hidden="1" x14ac:dyDescent="0.25">
      <c r="A384">
        <v>255508</v>
      </c>
      <c r="B384" t="s">
        <v>164</v>
      </c>
      <c r="C384" t="s">
        <v>537</v>
      </c>
      <c r="D384" t="s">
        <v>548</v>
      </c>
      <c r="E384" s="3">
        <v>44562</v>
      </c>
      <c r="F384" s="3">
        <v>44926</v>
      </c>
      <c r="G384" t="s">
        <v>181</v>
      </c>
      <c r="H384" s="3">
        <v>44562</v>
      </c>
      <c r="I384" s="3">
        <v>44926</v>
      </c>
      <c r="J384" t="s">
        <v>182</v>
      </c>
      <c r="K384">
        <v>37799992</v>
      </c>
      <c r="L384" t="s">
        <v>109</v>
      </c>
      <c r="M384" t="s">
        <v>110</v>
      </c>
      <c r="O384" t="s">
        <v>696</v>
      </c>
      <c r="P384" t="s">
        <v>550</v>
      </c>
      <c r="Q384">
        <v>2022</v>
      </c>
      <c r="R384" t="s">
        <v>709</v>
      </c>
      <c r="S384" t="s">
        <v>710</v>
      </c>
      <c r="T384" t="s">
        <v>581</v>
      </c>
      <c r="U384" t="b">
        <v>0</v>
      </c>
      <c r="V384" t="s">
        <v>711</v>
      </c>
      <c r="W384" t="s">
        <v>571</v>
      </c>
      <c r="X384" t="s">
        <v>572</v>
      </c>
      <c r="Y384" t="s">
        <v>468</v>
      </c>
      <c r="AC384">
        <v>0</v>
      </c>
      <c r="AD384" t="s">
        <v>564</v>
      </c>
      <c r="AE384">
        <v>336419.92879999999</v>
      </c>
      <c r="AF384">
        <v>8.8999999999999999E-3</v>
      </c>
      <c r="AG384" t="s">
        <v>560</v>
      </c>
      <c r="AH384">
        <v>1</v>
      </c>
      <c r="AI384">
        <v>37799992</v>
      </c>
      <c r="AJ384" t="s">
        <v>561</v>
      </c>
      <c r="AK384" t="s">
        <v>589</v>
      </c>
      <c r="AL384" t="s">
        <v>603</v>
      </c>
      <c r="AM384">
        <v>2022</v>
      </c>
      <c r="AN384">
        <v>2019</v>
      </c>
      <c r="AO384">
        <f>IF(AND(emissions[[#This Row],[Market-based]]=0,emissions[[#This Row],[Impact Type]]="CO2E"),emissions[[#This Row],[kgCO2e]],0)/1000</f>
        <v>0</v>
      </c>
      <c r="AP384">
        <f>IF(AND(emissions[[#This Row],[Market-based]]=1,OR(emissions[[#This Row],[Impact Type]]="CO2E",emissions[[#This Row],[Impact Type]]="CO2E MKT")),emissions[[#This Row],[kgCO2e]],0)/1000</f>
        <v>0</v>
      </c>
      <c r="AQ384" t="str">
        <f>_xlfn.TEXTAFTER(emissions[[#This Row],[Reporting Unit]]," &gt; ",LEN(emissions[[#This Row],[Reporting Unit]])-LEN(SUBSTITUTE(emissions[[#This Row],[Reporting Unit]],"&gt;","")))</f>
        <v>Vantage_Leuna</v>
      </c>
      <c r="AR384" t="str">
        <f>_xlfn.XLOOKUP(emissions[[#This Row],[Reporting unit name]],hierarchy!$A:$A,hierarchy!$C:$C)</f>
        <v>Office (with heat &amp; steam)</v>
      </c>
    </row>
    <row r="385" spans="1:44" hidden="1" x14ac:dyDescent="0.25">
      <c r="A385">
        <v>255508</v>
      </c>
      <c r="B385" t="s">
        <v>164</v>
      </c>
      <c r="C385" t="s">
        <v>537</v>
      </c>
      <c r="D385" t="s">
        <v>548</v>
      </c>
      <c r="E385" s="3">
        <v>44562</v>
      </c>
      <c r="F385" s="3">
        <v>44926</v>
      </c>
      <c r="G385" t="s">
        <v>181</v>
      </c>
      <c r="H385" s="3">
        <v>44562</v>
      </c>
      <c r="I385" s="3">
        <v>44926</v>
      </c>
      <c r="J385" t="s">
        <v>182</v>
      </c>
      <c r="K385">
        <v>37799992</v>
      </c>
      <c r="L385" t="s">
        <v>109</v>
      </c>
      <c r="M385" t="s">
        <v>110</v>
      </c>
      <c r="O385" t="s">
        <v>696</v>
      </c>
      <c r="P385" t="s">
        <v>550</v>
      </c>
      <c r="Q385">
        <v>2022</v>
      </c>
      <c r="R385" t="s">
        <v>709</v>
      </c>
      <c r="S385" t="s">
        <v>710</v>
      </c>
      <c r="T385" t="s">
        <v>581</v>
      </c>
      <c r="U385" t="b">
        <v>0</v>
      </c>
      <c r="V385" t="s">
        <v>711</v>
      </c>
      <c r="W385" t="s">
        <v>571</v>
      </c>
      <c r="X385" t="s">
        <v>572</v>
      </c>
      <c r="Y385" t="s">
        <v>468</v>
      </c>
      <c r="AC385">
        <v>0</v>
      </c>
      <c r="AD385" t="s">
        <v>565</v>
      </c>
      <c r="AE385">
        <v>339821.92810000002</v>
      </c>
      <c r="AF385">
        <v>8.9899999999999997E-3</v>
      </c>
      <c r="AG385" t="s">
        <v>560</v>
      </c>
      <c r="AH385">
        <v>1</v>
      </c>
      <c r="AI385">
        <v>37799992</v>
      </c>
      <c r="AJ385" t="s">
        <v>561</v>
      </c>
      <c r="AK385" t="s">
        <v>589</v>
      </c>
      <c r="AL385" t="s">
        <v>603</v>
      </c>
      <c r="AM385">
        <v>2022</v>
      </c>
      <c r="AN385">
        <v>2019</v>
      </c>
      <c r="AO385">
        <f>IF(AND(emissions[[#This Row],[Market-based]]=0,emissions[[#This Row],[Impact Type]]="CO2E"),emissions[[#This Row],[kgCO2e]],0)/1000</f>
        <v>339.82192810000004</v>
      </c>
      <c r="AP385">
        <f>IF(AND(emissions[[#This Row],[Market-based]]=1,OR(emissions[[#This Row],[Impact Type]]="CO2E",emissions[[#This Row],[Impact Type]]="CO2E MKT")),emissions[[#This Row],[kgCO2e]],0)/1000</f>
        <v>0</v>
      </c>
      <c r="AQ385" t="str">
        <f>_xlfn.TEXTAFTER(emissions[[#This Row],[Reporting Unit]]," &gt; ",LEN(emissions[[#This Row],[Reporting Unit]])-LEN(SUBSTITUTE(emissions[[#This Row],[Reporting Unit]],"&gt;","")))</f>
        <v>Vantage_Leuna</v>
      </c>
      <c r="AR385" t="str">
        <f>_xlfn.XLOOKUP(emissions[[#This Row],[Reporting unit name]],hierarchy!$A:$A,hierarchy!$C:$C)</f>
        <v>Office (with heat &amp; steam)</v>
      </c>
    </row>
    <row r="386" spans="1:44" hidden="1" x14ac:dyDescent="0.25">
      <c r="A386">
        <v>255508</v>
      </c>
      <c r="B386" t="s">
        <v>164</v>
      </c>
      <c r="C386" t="s">
        <v>537</v>
      </c>
      <c r="D386" t="s">
        <v>548</v>
      </c>
      <c r="E386" s="3">
        <v>44562</v>
      </c>
      <c r="F386" s="3">
        <v>44926</v>
      </c>
      <c r="G386" t="s">
        <v>181</v>
      </c>
      <c r="H386" s="3">
        <v>44562</v>
      </c>
      <c r="I386" s="3">
        <v>44926</v>
      </c>
      <c r="J386" t="s">
        <v>182</v>
      </c>
      <c r="K386">
        <v>37799992</v>
      </c>
      <c r="L386" t="s">
        <v>109</v>
      </c>
      <c r="M386" t="s">
        <v>110</v>
      </c>
      <c r="O386" t="s">
        <v>696</v>
      </c>
      <c r="P386" t="s">
        <v>550</v>
      </c>
      <c r="Q386">
        <v>2022</v>
      </c>
      <c r="R386" t="s">
        <v>709</v>
      </c>
      <c r="S386" t="s">
        <v>710</v>
      </c>
      <c r="T386" t="s">
        <v>581</v>
      </c>
      <c r="U386" t="b">
        <v>0</v>
      </c>
      <c r="V386" t="s">
        <v>711</v>
      </c>
      <c r="W386" t="s">
        <v>571</v>
      </c>
      <c r="X386" t="s">
        <v>572</v>
      </c>
      <c r="Y386" t="s">
        <v>468</v>
      </c>
      <c r="AC386">
        <v>0</v>
      </c>
      <c r="AD386" t="s">
        <v>566</v>
      </c>
      <c r="AE386">
        <v>1133.9997599999999</v>
      </c>
      <c r="AF386">
        <v>3.0000000000000001E-5</v>
      </c>
      <c r="AG386" t="s">
        <v>560</v>
      </c>
      <c r="AH386">
        <v>1</v>
      </c>
      <c r="AI386">
        <v>37799992</v>
      </c>
      <c r="AJ386" t="s">
        <v>561</v>
      </c>
      <c r="AK386" t="s">
        <v>589</v>
      </c>
      <c r="AL386" t="s">
        <v>603</v>
      </c>
      <c r="AM386">
        <v>2022</v>
      </c>
      <c r="AN386">
        <v>2019</v>
      </c>
      <c r="AO386">
        <f>IF(AND(emissions[[#This Row],[Market-based]]=0,emissions[[#This Row],[Impact Type]]="CO2E"),emissions[[#This Row],[kgCO2e]],0)/1000</f>
        <v>0</v>
      </c>
      <c r="AP386">
        <f>IF(AND(emissions[[#This Row],[Market-based]]=1,OR(emissions[[#This Row],[Impact Type]]="CO2E",emissions[[#This Row],[Impact Type]]="CO2E MKT")),emissions[[#This Row],[kgCO2e]],0)/1000</f>
        <v>0</v>
      </c>
      <c r="AQ386" t="str">
        <f>_xlfn.TEXTAFTER(emissions[[#This Row],[Reporting Unit]]," &gt; ",LEN(emissions[[#This Row],[Reporting Unit]])-LEN(SUBSTITUTE(emissions[[#This Row],[Reporting Unit]],"&gt;","")))</f>
        <v>Vantage_Leuna</v>
      </c>
      <c r="AR386" t="str">
        <f>_xlfn.XLOOKUP(emissions[[#This Row],[Reporting unit name]],hierarchy!$A:$A,hierarchy!$C:$C)</f>
        <v>Office (with heat &amp; steam)</v>
      </c>
    </row>
    <row r="387" spans="1:44" hidden="1" x14ac:dyDescent="0.25">
      <c r="A387">
        <v>255508</v>
      </c>
      <c r="B387" t="s">
        <v>164</v>
      </c>
      <c r="C387" t="s">
        <v>537</v>
      </c>
      <c r="D387" t="s">
        <v>548</v>
      </c>
      <c r="E387" s="3">
        <v>44562</v>
      </c>
      <c r="F387" s="3">
        <v>44926</v>
      </c>
      <c r="G387" t="s">
        <v>181</v>
      </c>
      <c r="H387" s="3">
        <v>44562</v>
      </c>
      <c r="I387" s="3">
        <v>44926</v>
      </c>
      <c r="J387" t="s">
        <v>182</v>
      </c>
      <c r="K387">
        <v>37799992</v>
      </c>
      <c r="L387" t="s">
        <v>109</v>
      </c>
      <c r="M387" t="s">
        <v>110</v>
      </c>
      <c r="O387" t="s">
        <v>696</v>
      </c>
      <c r="P387" t="s">
        <v>550</v>
      </c>
      <c r="Q387">
        <v>2022</v>
      </c>
      <c r="R387" t="s">
        <v>709</v>
      </c>
      <c r="S387" t="s">
        <v>710</v>
      </c>
      <c r="T387" t="s">
        <v>581</v>
      </c>
      <c r="U387" t="b">
        <v>0</v>
      </c>
      <c r="V387" t="s">
        <v>711</v>
      </c>
      <c r="W387" t="s">
        <v>571</v>
      </c>
      <c r="X387" t="s">
        <v>572</v>
      </c>
      <c r="Y387" t="s">
        <v>468</v>
      </c>
      <c r="AC387">
        <v>1</v>
      </c>
      <c r="AD387" t="s">
        <v>558</v>
      </c>
      <c r="AE387">
        <v>2267.9995199999998</v>
      </c>
      <c r="AF387">
        <v>6.0000000000000002E-5</v>
      </c>
      <c r="AG387" t="s">
        <v>560</v>
      </c>
      <c r="AH387">
        <v>1</v>
      </c>
      <c r="AI387">
        <v>37799992</v>
      </c>
      <c r="AJ387" t="s">
        <v>561</v>
      </c>
      <c r="AK387" t="s">
        <v>589</v>
      </c>
      <c r="AL387" t="s">
        <v>603</v>
      </c>
      <c r="AM387">
        <v>2022</v>
      </c>
      <c r="AN387">
        <v>2019</v>
      </c>
      <c r="AO387">
        <f>IF(AND(emissions[[#This Row],[Market-based]]=0,emissions[[#This Row],[Impact Type]]="CO2E"),emissions[[#This Row],[kgCO2e]],0)/1000</f>
        <v>0</v>
      </c>
      <c r="AP387">
        <f>IF(AND(emissions[[#This Row],[Market-based]]=1,OR(emissions[[#This Row],[Impact Type]]="CO2E",emissions[[#This Row],[Impact Type]]="CO2E MKT")),emissions[[#This Row],[kgCO2e]],0)/1000</f>
        <v>0</v>
      </c>
      <c r="AQ387" t="str">
        <f>_xlfn.TEXTAFTER(emissions[[#This Row],[Reporting Unit]]," &gt; ",LEN(emissions[[#This Row],[Reporting Unit]])-LEN(SUBSTITUTE(emissions[[#This Row],[Reporting Unit]],"&gt;","")))</f>
        <v>Vantage_Leuna</v>
      </c>
      <c r="AR387" t="str">
        <f>_xlfn.XLOOKUP(emissions[[#This Row],[Reporting unit name]],hierarchy!$A:$A,hierarchy!$C:$C)</f>
        <v>Office (with heat &amp; steam)</v>
      </c>
    </row>
    <row r="388" spans="1:44" hidden="1" x14ac:dyDescent="0.25">
      <c r="A388">
        <v>255508</v>
      </c>
      <c r="B388" t="s">
        <v>164</v>
      </c>
      <c r="C388" t="s">
        <v>537</v>
      </c>
      <c r="D388" t="s">
        <v>548</v>
      </c>
      <c r="E388" s="3">
        <v>44562</v>
      </c>
      <c r="F388" s="3">
        <v>44926</v>
      </c>
      <c r="G388" t="s">
        <v>181</v>
      </c>
      <c r="H388" s="3">
        <v>44562</v>
      </c>
      <c r="I388" s="3">
        <v>44926</v>
      </c>
      <c r="J388" t="s">
        <v>182</v>
      </c>
      <c r="K388">
        <v>37799992</v>
      </c>
      <c r="L388" t="s">
        <v>109</v>
      </c>
      <c r="M388" t="s">
        <v>110</v>
      </c>
      <c r="O388" t="s">
        <v>696</v>
      </c>
      <c r="P388" t="s">
        <v>550</v>
      </c>
      <c r="Q388">
        <v>2022</v>
      </c>
      <c r="R388" t="s">
        <v>709</v>
      </c>
      <c r="S388" t="s">
        <v>710</v>
      </c>
      <c r="T388" t="s">
        <v>581</v>
      </c>
      <c r="U388" t="b">
        <v>0</v>
      </c>
      <c r="V388" t="s">
        <v>711</v>
      </c>
      <c r="W388" t="s">
        <v>571</v>
      </c>
      <c r="X388" t="s">
        <v>572</v>
      </c>
      <c r="Y388" t="s">
        <v>468</v>
      </c>
      <c r="AC388">
        <v>1</v>
      </c>
      <c r="AD388" t="s">
        <v>564</v>
      </c>
      <c r="AE388">
        <v>336419.92879999999</v>
      </c>
      <c r="AF388">
        <v>8.8999999999999999E-3</v>
      </c>
      <c r="AG388" t="s">
        <v>560</v>
      </c>
      <c r="AH388">
        <v>1</v>
      </c>
      <c r="AI388">
        <v>37799992</v>
      </c>
      <c r="AJ388" t="s">
        <v>561</v>
      </c>
      <c r="AK388" t="s">
        <v>589</v>
      </c>
      <c r="AL388" t="s">
        <v>603</v>
      </c>
      <c r="AM388">
        <v>2022</v>
      </c>
      <c r="AN388">
        <v>2019</v>
      </c>
      <c r="AO388">
        <f>IF(AND(emissions[[#This Row],[Market-based]]=0,emissions[[#This Row],[Impact Type]]="CO2E"),emissions[[#This Row],[kgCO2e]],0)/1000</f>
        <v>0</v>
      </c>
      <c r="AP388">
        <f>IF(AND(emissions[[#This Row],[Market-based]]=1,OR(emissions[[#This Row],[Impact Type]]="CO2E",emissions[[#This Row],[Impact Type]]="CO2E MKT")),emissions[[#This Row],[kgCO2e]],0)/1000</f>
        <v>0</v>
      </c>
      <c r="AQ388" t="str">
        <f>_xlfn.TEXTAFTER(emissions[[#This Row],[Reporting Unit]]," &gt; ",LEN(emissions[[#This Row],[Reporting Unit]])-LEN(SUBSTITUTE(emissions[[#This Row],[Reporting Unit]],"&gt;","")))</f>
        <v>Vantage_Leuna</v>
      </c>
      <c r="AR388" t="str">
        <f>_xlfn.XLOOKUP(emissions[[#This Row],[Reporting unit name]],hierarchy!$A:$A,hierarchy!$C:$C)</f>
        <v>Office (with heat &amp; steam)</v>
      </c>
    </row>
    <row r="389" spans="1:44" hidden="1" x14ac:dyDescent="0.25">
      <c r="A389">
        <v>255508</v>
      </c>
      <c r="B389" t="s">
        <v>164</v>
      </c>
      <c r="C389" t="s">
        <v>537</v>
      </c>
      <c r="D389" t="s">
        <v>548</v>
      </c>
      <c r="E389" s="3">
        <v>44562</v>
      </c>
      <c r="F389" s="3">
        <v>44926</v>
      </c>
      <c r="G389" t="s">
        <v>181</v>
      </c>
      <c r="H389" s="3">
        <v>44562</v>
      </c>
      <c r="I389" s="3">
        <v>44926</v>
      </c>
      <c r="J389" t="s">
        <v>182</v>
      </c>
      <c r="K389">
        <v>37799992</v>
      </c>
      <c r="L389" t="s">
        <v>109</v>
      </c>
      <c r="M389" t="s">
        <v>110</v>
      </c>
      <c r="O389" t="s">
        <v>696</v>
      </c>
      <c r="P389" t="s">
        <v>550</v>
      </c>
      <c r="Q389">
        <v>2022</v>
      </c>
      <c r="R389" t="s">
        <v>709</v>
      </c>
      <c r="S389" t="s">
        <v>710</v>
      </c>
      <c r="T389" t="s">
        <v>581</v>
      </c>
      <c r="U389" t="b">
        <v>0</v>
      </c>
      <c r="V389" t="s">
        <v>711</v>
      </c>
      <c r="W389" t="s">
        <v>571</v>
      </c>
      <c r="X389" t="s">
        <v>572</v>
      </c>
      <c r="Y389" t="s">
        <v>468</v>
      </c>
      <c r="AC389">
        <v>1</v>
      </c>
      <c r="AD389" t="s">
        <v>565</v>
      </c>
      <c r="AE389">
        <v>339821.92810000002</v>
      </c>
      <c r="AF389">
        <v>8.9899999999999997E-3</v>
      </c>
      <c r="AG389" t="s">
        <v>560</v>
      </c>
      <c r="AH389">
        <v>1</v>
      </c>
      <c r="AI389">
        <v>37799992</v>
      </c>
      <c r="AJ389" t="s">
        <v>561</v>
      </c>
      <c r="AK389" t="s">
        <v>589</v>
      </c>
      <c r="AL389" t="s">
        <v>603</v>
      </c>
      <c r="AM389">
        <v>2022</v>
      </c>
      <c r="AN389">
        <v>2019</v>
      </c>
      <c r="AO389">
        <f>IF(AND(emissions[[#This Row],[Market-based]]=0,emissions[[#This Row],[Impact Type]]="CO2E"),emissions[[#This Row],[kgCO2e]],0)/1000</f>
        <v>0</v>
      </c>
      <c r="AP389">
        <f>IF(AND(emissions[[#This Row],[Market-based]]=1,OR(emissions[[#This Row],[Impact Type]]="CO2E",emissions[[#This Row],[Impact Type]]="CO2E MKT")),emissions[[#This Row],[kgCO2e]],0)/1000</f>
        <v>339.82192810000004</v>
      </c>
      <c r="AQ389" t="str">
        <f>_xlfn.TEXTAFTER(emissions[[#This Row],[Reporting Unit]]," &gt; ",LEN(emissions[[#This Row],[Reporting Unit]])-LEN(SUBSTITUTE(emissions[[#This Row],[Reporting Unit]],"&gt;","")))</f>
        <v>Vantage_Leuna</v>
      </c>
      <c r="AR389" t="str">
        <f>_xlfn.XLOOKUP(emissions[[#This Row],[Reporting unit name]],hierarchy!$A:$A,hierarchy!$C:$C)</f>
        <v>Office (with heat &amp; steam)</v>
      </c>
    </row>
    <row r="390" spans="1:44" hidden="1" x14ac:dyDescent="0.25">
      <c r="A390">
        <v>255508</v>
      </c>
      <c r="B390" t="s">
        <v>164</v>
      </c>
      <c r="C390" t="s">
        <v>537</v>
      </c>
      <c r="D390" t="s">
        <v>548</v>
      </c>
      <c r="E390" s="3">
        <v>44562</v>
      </c>
      <c r="F390" s="3">
        <v>44926</v>
      </c>
      <c r="G390" t="s">
        <v>181</v>
      </c>
      <c r="H390" s="3">
        <v>44562</v>
      </c>
      <c r="I390" s="3">
        <v>44926</v>
      </c>
      <c r="J390" t="s">
        <v>182</v>
      </c>
      <c r="K390">
        <v>37799992</v>
      </c>
      <c r="L390" t="s">
        <v>109</v>
      </c>
      <c r="M390" t="s">
        <v>110</v>
      </c>
      <c r="O390" t="s">
        <v>696</v>
      </c>
      <c r="P390" t="s">
        <v>550</v>
      </c>
      <c r="Q390">
        <v>2022</v>
      </c>
      <c r="R390" t="s">
        <v>709</v>
      </c>
      <c r="S390" t="s">
        <v>710</v>
      </c>
      <c r="T390" t="s">
        <v>581</v>
      </c>
      <c r="U390" t="b">
        <v>0</v>
      </c>
      <c r="V390" t="s">
        <v>711</v>
      </c>
      <c r="W390" t="s">
        <v>571</v>
      </c>
      <c r="X390" t="s">
        <v>572</v>
      </c>
      <c r="Y390" t="s">
        <v>468</v>
      </c>
      <c r="AC390">
        <v>1</v>
      </c>
      <c r="AD390" t="s">
        <v>566</v>
      </c>
      <c r="AE390">
        <v>1133.9997599999999</v>
      </c>
      <c r="AF390">
        <v>3.0000000000000001E-5</v>
      </c>
      <c r="AG390" t="s">
        <v>560</v>
      </c>
      <c r="AH390">
        <v>1</v>
      </c>
      <c r="AI390">
        <v>37799992</v>
      </c>
      <c r="AJ390" t="s">
        <v>561</v>
      </c>
      <c r="AK390" t="s">
        <v>589</v>
      </c>
      <c r="AL390" t="s">
        <v>603</v>
      </c>
      <c r="AM390">
        <v>2022</v>
      </c>
      <c r="AN390">
        <v>2019</v>
      </c>
      <c r="AO390">
        <f>IF(AND(emissions[[#This Row],[Market-based]]=0,emissions[[#This Row],[Impact Type]]="CO2E"),emissions[[#This Row],[kgCO2e]],0)/1000</f>
        <v>0</v>
      </c>
      <c r="AP390">
        <f>IF(AND(emissions[[#This Row],[Market-based]]=1,OR(emissions[[#This Row],[Impact Type]]="CO2E",emissions[[#This Row],[Impact Type]]="CO2E MKT")),emissions[[#This Row],[kgCO2e]],0)/1000</f>
        <v>0</v>
      </c>
      <c r="AQ390" t="str">
        <f>_xlfn.TEXTAFTER(emissions[[#This Row],[Reporting Unit]]," &gt; ",LEN(emissions[[#This Row],[Reporting Unit]])-LEN(SUBSTITUTE(emissions[[#This Row],[Reporting Unit]],"&gt;","")))</f>
        <v>Vantage_Leuna</v>
      </c>
      <c r="AR390" t="str">
        <f>_xlfn.XLOOKUP(emissions[[#This Row],[Reporting unit name]],hierarchy!$A:$A,hierarchy!$C:$C)</f>
        <v>Office (with heat &amp; steam)</v>
      </c>
    </row>
    <row r="391" spans="1:44" hidden="1" x14ac:dyDescent="0.25">
      <c r="A391">
        <v>4954</v>
      </c>
      <c r="B391" t="s">
        <v>164</v>
      </c>
      <c r="C391" t="s">
        <v>537</v>
      </c>
      <c r="D391" t="s">
        <v>599</v>
      </c>
      <c r="E391" s="3">
        <v>44197</v>
      </c>
      <c r="F391" s="3">
        <v>44561</v>
      </c>
      <c r="G391" t="s">
        <v>108</v>
      </c>
      <c r="H391" s="3">
        <v>44197</v>
      </c>
      <c r="I391" s="3">
        <v>44561</v>
      </c>
      <c r="J391" t="s">
        <v>108</v>
      </c>
      <c r="K391">
        <v>14654340</v>
      </c>
      <c r="L391" t="s">
        <v>109</v>
      </c>
      <c r="M391" t="s">
        <v>110</v>
      </c>
      <c r="O391" t="s">
        <v>600</v>
      </c>
      <c r="P391" t="s">
        <v>550</v>
      </c>
      <c r="Q391">
        <v>2021</v>
      </c>
      <c r="R391" t="s">
        <v>551</v>
      </c>
      <c r="S391" t="s">
        <v>552</v>
      </c>
      <c r="T391" t="s">
        <v>553</v>
      </c>
      <c r="U391" t="b">
        <v>0</v>
      </c>
      <c r="V391" t="s">
        <v>667</v>
      </c>
      <c r="W391" t="s">
        <v>555</v>
      </c>
      <c r="X391" t="s">
        <v>556</v>
      </c>
      <c r="Y391" t="s">
        <v>468</v>
      </c>
      <c r="Z391" t="s">
        <v>527</v>
      </c>
      <c r="AA391" t="s">
        <v>668</v>
      </c>
      <c r="AC391">
        <v>0</v>
      </c>
      <c r="AD391" t="s">
        <v>558</v>
      </c>
      <c r="AE391">
        <v>4396.3019999999997</v>
      </c>
      <c r="AF391" t="s">
        <v>559</v>
      </c>
      <c r="AG391" t="s">
        <v>560</v>
      </c>
      <c r="AH391">
        <v>1</v>
      </c>
      <c r="AI391">
        <v>14654340</v>
      </c>
      <c r="AJ391" t="s">
        <v>561</v>
      </c>
      <c r="AK391" t="s">
        <v>562</v>
      </c>
      <c r="AL391" t="s">
        <v>601</v>
      </c>
      <c r="AM391">
        <v>2021</v>
      </c>
      <c r="AN391">
        <v>2019</v>
      </c>
      <c r="AO391">
        <f>IF(AND(emissions[[#This Row],[Market-based]]=0,emissions[[#This Row],[Impact Type]]="CO2E"),emissions[[#This Row],[kgCO2e]],0)/1000</f>
        <v>0</v>
      </c>
      <c r="AP391">
        <f>IF(AND(emissions[[#This Row],[Market-based]]=1,OR(emissions[[#This Row],[Impact Type]]="CO2E",emissions[[#This Row],[Impact Type]]="CO2E MKT")),emissions[[#This Row],[kgCO2e]],0)/1000</f>
        <v>0</v>
      </c>
      <c r="AQ391" t="str">
        <f>_xlfn.TEXTAFTER(emissions[[#This Row],[Reporting Unit]]," &gt; ",LEN(emissions[[#This Row],[Reporting Unit]])-LEN(SUBSTITUTE(emissions[[#This Row],[Reporting Unit]],"&gt;","")))</f>
        <v>Vantage_Leuna</v>
      </c>
      <c r="AR391" t="str">
        <f>_xlfn.XLOOKUP(emissions[[#This Row],[Reporting unit name]],hierarchy!$A:$A,hierarchy!$C:$C)</f>
        <v>Office (with heat &amp; steam)</v>
      </c>
    </row>
    <row r="392" spans="1:44" hidden="1" x14ac:dyDescent="0.25">
      <c r="A392">
        <v>4954</v>
      </c>
      <c r="B392" t="s">
        <v>164</v>
      </c>
      <c r="C392" t="s">
        <v>537</v>
      </c>
      <c r="D392" t="s">
        <v>599</v>
      </c>
      <c r="E392" s="3">
        <v>44197</v>
      </c>
      <c r="F392" s="3">
        <v>44561</v>
      </c>
      <c r="G392" t="s">
        <v>108</v>
      </c>
      <c r="H392" s="3">
        <v>44197</v>
      </c>
      <c r="I392" s="3">
        <v>44561</v>
      </c>
      <c r="J392" t="s">
        <v>108</v>
      </c>
      <c r="K392">
        <v>14654340</v>
      </c>
      <c r="L392" t="s">
        <v>109</v>
      </c>
      <c r="M392" t="s">
        <v>110</v>
      </c>
      <c r="O392" t="s">
        <v>600</v>
      </c>
      <c r="P392" t="s">
        <v>550</v>
      </c>
      <c r="Q392">
        <v>2021</v>
      </c>
      <c r="R392" t="s">
        <v>551</v>
      </c>
      <c r="S392" t="s">
        <v>552</v>
      </c>
      <c r="T392" t="s">
        <v>553</v>
      </c>
      <c r="U392" t="b">
        <v>0</v>
      </c>
      <c r="V392" t="s">
        <v>667</v>
      </c>
      <c r="W392" t="s">
        <v>555</v>
      </c>
      <c r="X392" t="s">
        <v>556</v>
      </c>
      <c r="Y392" t="s">
        <v>468</v>
      </c>
      <c r="Z392" t="s">
        <v>527</v>
      </c>
      <c r="AA392" t="s">
        <v>668</v>
      </c>
      <c r="AC392">
        <v>0</v>
      </c>
      <c r="AD392" t="s">
        <v>564</v>
      </c>
      <c r="AE392">
        <v>4854982.8420000002</v>
      </c>
      <c r="AF392" t="s">
        <v>559</v>
      </c>
      <c r="AG392" t="s">
        <v>560</v>
      </c>
      <c r="AH392">
        <v>1</v>
      </c>
      <c r="AI392">
        <v>14654340</v>
      </c>
      <c r="AJ392" t="s">
        <v>561</v>
      </c>
      <c r="AK392" t="s">
        <v>562</v>
      </c>
      <c r="AL392" t="s">
        <v>601</v>
      </c>
      <c r="AM392">
        <v>2021</v>
      </c>
      <c r="AN392">
        <v>2019</v>
      </c>
      <c r="AO392">
        <f>IF(AND(emissions[[#This Row],[Market-based]]=0,emissions[[#This Row],[Impact Type]]="CO2E"),emissions[[#This Row],[kgCO2e]],0)/1000</f>
        <v>0</v>
      </c>
      <c r="AP392">
        <f>IF(AND(emissions[[#This Row],[Market-based]]=1,OR(emissions[[#This Row],[Impact Type]]="CO2E",emissions[[#This Row],[Impact Type]]="CO2E MKT")),emissions[[#This Row],[kgCO2e]],0)/1000</f>
        <v>0</v>
      </c>
      <c r="AQ392" t="str">
        <f>_xlfn.TEXTAFTER(emissions[[#This Row],[Reporting Unit]]," &gt; ",LEN(emissions[[#This Row],[Reporting Unit]])-LEN(SUBSTITUTE(emissions[[#This Row],[Reporting Unit]],"&gt;","")))</f>
        <v>Vantage_Leuna</v>
      </c>
      <c r="AR392" t="str">
        <f>_xlfn.XLOOKUP(emissions[[#This Row],[Reporting unit name]],hierarchy!$A:$A,hierarchy!$C:$C)</f>
        <v>Office (with heat &amp; steam)</v>
      </c>
    </row>
    <row r="393" spans="1:44" hidden="1" x14ac:dyDescent="0.25">
      <c r="A393">
        <v>4954</v>
      </c>
      <c r="B393" t="s">
        <v>164</v>
      </c>
      <c r="C393" t="s">
        <v>537</v>
      </c>
      <c r="D393" t="s">
        <v>599</v>
      </c>
      <c r="E393" s="3">
        <v>44197</v>
      </c>
      <c r="F393" s="3">
        <v>44561</v>
      </c>
      <c r="G393" t="s">
        <v>108</v>
      </c>
      <c r="H393" s="3">
        <v>44197</v>
      </c>
      <c r="I393" s="3">
        <v>44561</v>
      </c>
      <c r="J393" t="s">
        <v>108</v>
      </c>
      <c r="K393">
        <v>14654340</v>
      </c>
      <c r="L393" t="s">
        <v>109</v>
      </c>
      <c r="M393" t="s">
        <v>110</v>
      </c>
      <c r="O393" t="s">
        <v>600</v>
      </c>
      <c r="P393" t="s">
        <v>550</v>
      </c>
      <c r="Q393">
        <v>2021</v>
      </c>
      <c r="R393" t="s">
        <v>551</v>
      </c>
      <c r="S393" t="s">
        <v>552</v>
      </c>
      <c r="T393" t="s">
        <v>553</v>
      </c>
      <c r="U393" t="b">
        <v>0</v>
      </c>
      <c r="V393" t="s">
        <v>667</v>
      </c>
      <c r="W393" t="s">
        <v>555</v>
      </c>
      <c r="X393" t="s">
        <v>556</v>
      </c>
      <c r="Y393" t="s">
        <v>468</v>
      </c>
      <c r="Z393" t="s">
        <v>527</v>
      </c>
      <c r="AA393" t="s">
        <v>668</v>
      </c>
      <c r="AC393">
        <v>0</v>
      </c>
      <c r="AD393" t="s">
        <v>565</v>
      </c>
      <c r="AE393">
        <v>4881360.6540000001</v>
      </c>
      <c r="AF393" t="s">
        <v>559</v>
      </c>
      <c r="AG393" t="s">
        <v>560</v>
      </c>
      <c r="AH393">
        <v>1</v>
      </c>
      <c r="AI393">
        <v>14654340</v>
      </c>
      <c r="AJ393" t="s">
        <v>561</v>
      </c>
      <c r="AK393" t="s">
        <v>562</v>
      </c>
      <c r="AL393" t="s">
        <v>601</v>
      </c>
      <c r="AM393">
        <v>2021</v>
      </c>
      <c r="AN393">
        <v>2019</v>
      </c>
      <c r="AO393">
        <f>IF(AND(emissions[[#This Row],[Market-based]]=0,emissions[[#This Row],[Impact Type]]="CO2E"),emissions[[#This Row],[kgCO2e]],0)/1000</f>
        <v>4881.3606540000001</v>
      </c>
      <c r="AP393">
        <f>IF(AND(emissions[[#This Row],[Market-based]]=1,OR(emissions[[#This Row],[Impact Type]]="CO2E",emissions[[#This Row],[Impact Type]]="CO2E MKT")),emissions[[#This Row],[kgCO2e]],0)/1000</f>
        <v>0</v>
      </c>
      <c r="AQ393" t="str">
        <f>_xlfn.TEXTAFTER(emissions[[#This Row],[Reporting Unit]]," &gt; ",LEN(emissions[[#This Row],[Reporting Unit]])-LEN(SUBSTITUTE(emissions[[#This Row],[Reporting Unit]],"&gt;","")))</f>
        <v>Vantage_Leuna</v>
      </c>
      <c r="AR393" t="str">
        <f>_xlfn.XLOOKUP(emissions[[#This Row],[Reporting unit name]],hierarchy!$A:$A,hierarchy!$C:$C)</f>
        <v>Office (with heat &amp; steam)</v>
      </c>
    </row>
    <row r="394" spans="1:44" hidden="1" x14ac:dyDescent="0.25">
      <c r="A394">
        <v>4954</v>
      </c>
      <c r="B394" t="s">
        <v>164</v>
      </c>
      <c r="C394" t="s">
        <v>537</v>
      </c>
      <c r="D394" t="s">
        <v>599</v>
      </c>
      <c r="E394" s="3">
        <v>44197</v>
      </c>
      <c r="F394" s="3">
        <v>44561</v>
      </c>
      <c r="G394" t="s">
        <v>108</v>
      </c>
      <c r="H394" s="3">
        <v>44197</v>
      </c>
      <c r="I394" s="3">
        <v>44561</v>
      </c>
      <c r="J394" t="s">
        <v>108</v>
      </c>
      <c r="K394">
        <v>14654340</v>
      </c>
      <c r="L394" t="s">
        <v>109</v>
      </c>
      <c r="M394" t="s">
        <v>110</v>
      </c>
      <c r="O394" t="s">
        <v>600</v>
      </c>
      <c r="P394" t="s">
        <v>550</v>
      </c>
      <c r="Q394">
        <v>2021</v>
      </c>
      <c r="R394" t="s">
        <v>551</v>
      </c>
      <c r="S394" t="s">
        <v>552</v>
      </c>
      <c r="T394" t="s">
        <v>553</v>
      </c>
      <c r="U394" t="b">
        <v>0</v>
      </c>
      <c r="V394" t="s">
        <v>667</v>
      </c>
      <c r="W394" t="s">
        <v>555</v>
      </c>
      <c r="X394" t="s">
        <v>556</v>
      </c>
      <c r="Y394" t="s">
        <v>468</v>
      </c>
      <c r="Z394" t="s">
        <v>527</v>
      </c>
      <c r="AA394" t="s">
        <v>668</v>
      </c>
      <c r="AC394">
        <v>0</v>
      </c>
      <c r="AD394" t="s">
        <v>566</v>
      </c>
      <c r="AE394">
        <v>21981.51</v>
      </c>
      <c r="AF394" t="s">
        <v>559</v>
      </c>
      <c r="AG394" t="s">
        <v>560</v>
      </c>
      <c r="AH394">
        <v>1</v>
      </c>
      <c r="AI394">
        <v>14654340</v>
      </c>
      <c r="AJ394" t="s">
        <v>561</v>
      </c>
      <c r="AK394" t="s">
        <v>562</v>
      </c>
      <c r="AL394" t="s">
        <v>601</v>
      </c>
      <c r="AM394">
        <v>2021</v>
      </c>
      <c r="AN394">
        <v>2019</v>
      </c>
      <c r="AO394">
        <f>IF(AND(emissions[[#This Row],[Market-based]]=0,emissions[[#This Row],[Impact Type]]="CO2E"),emissions[[#This Row],[kgCO2e]],0)/1000</f>
        <v>0</v>
      </c>
      <c r="AP394">
        <f>IF(AND(emissions[[#This Row],[Market-based]]=1,OR(emissions[[#This Row],[Impact Type]]="CO2E",emissions[[#This Row],[Impact Type]]="CO2E MKT")),emissions[[#This Row],[kgCO2e]],0)/1000</f>
        <v>0</v>
      </c>
      <c r="AQ394" t="str">
        <f>_xlfn.TEXTAFTER(emissions[[#This Row],[Reporting Unit]]," &gt; ",LEN(emissions[[#This Row],[Reporting Unit]])-LEN(SUBSTITUTE(emissions[[#This Row],[Reporting Unit]],"&gt;","")))</f>
        <v>Vantage_Leuna</v>
      </c>
      <c r="AR394" t="str">
        <f>_xlfn.XLOOKUP(emissions[[#This Row],[Reporting unit name]],hierarchy!$A:$A,hierarchy!$C:$C)</f>
        <v>Office (with heat &amp; steam)</v>
      </c>
    </row>
    <row r="395" spans="1:44" hidden="1" x14ac:dyDescent="0.25">
      <c r="A395">
        <v>4954</v>
      </c>
      <c r="B395" t="s">
        <v>164</v>
      </c>
      <c r="C395" t="s">
        <v>537</v>
      </c>
      <c r="D395" t="s">
        <v>599</v>
      </c>
      <c r="E395" s="3">
        <v>44197</v>
      </c>
      <c r="F395" s="3">
        <v>44561</v>
      </c>
      <c r="G395" t="s">
        <v>108</v>
      </c>
      <c r="H395" s="3">
        <v>44197</v>
      </c>
      <c r="I395" s="3">
        <v>44561</v>
      </c>
      <c r="J395" t="s">
        <v>108</v>
      </c>
      <c r="K395">
        <v>14654340</v>
      </c>
      <c r="L395" t="s">
        <v>109</v>
      </c>
      <c r="M395" t="s">
        <v>110</v>
      </c>
      <c r="O395" t="s">
        <v>600</v>
      </c>
      <c r="P395" t="s">
        <v>550</v>
      </c>
      <c r="Q395">
        <v>2021</v>
      </c>
      <c r="R395" t="s">
        <v>551</v>
      </c>
      <c r="S395" t="s">
        <v>552</v>
      </c>
      <c r="T395" t="s">
        <v>553</v>
      </c>
      <c r="U395" t="b">
        <v>0</v>
      </c>
      <c r="V395" t="s">
        <v>667</v>
      </c>
      <c r="W395" t="s">
        <v>555</v>
      </c>
      <c r="X395" t="s">
        <v>556</v>
      </c>
      <c r="Y395" t="s">
        <v>468</v>
      </c>
      <c r="Z395" t="s">
        <v>527</v>
      </c>
      <c r="AA395" t="s">
        <v>668</v>
      </c>
      <c r="AC395">
        <v>1</v>
      </c>
      <c r="AD395" t="s">
        <v>639</v>
      </c>
      <c r="AE395">
        <v>8679000.9250000007</v>
      </c>
      <c r="AF395">
        <v>0.59224781999999998</v>
      </c>
      <c r="AG395" t="s">
        <v>560</v>
      </c>
      <c r="AH395">
        <v>1</v>
      </c>
      <c r="AI395">
        <v>14654340</v>
      </c>
      <c r="AJ395" t="s">
        <v>561</v>
      </c>
      <c r="AK395" t="s">
        <v>640</v>
      </c>
      <c r="AL395" t="s">
        <v>651</v>
      </c>
      <c r="AM395">
        <v>2021</v>
      </c>
      <c r="AN395">
        <v>2020</v>
      </c>
      <c r="AO395">
        <f>IF(AND(emissions[[#This Row],[Market-based]]=0,emissions[[#This Row],[Impact Type]]="CO2E"),emissions[[#This Row],[kgCO2e]],0)/1000</f>
        <v>0</v>
      </c>
      <c r="AP395">
        <f>IF(AND(emissions[[#This Row],[Market-based]]=1,OR(emissions[[#This Row],[Impact Type]]="CO2E",emissions[[#This Row],[Impact Type]]="CO2E MKT")),emissions[[#This Row],[kgCO2e]],0)/1000</f>
        <v>8679.0009250000003</v>
      </c>
      <c r="AQ395" t="str">
        <f>_xlfn.TEXTAFTER(emissions[[#This Row],[Reporting Unit]]," &gt; ",LEN(emissions[[#This Row],[Reporting Unit]])-LEN(SUBSTITUTE(emissions[[#This Row],[Reporting Unit]],"&gt;","")))</f>
        <v>Vantage_Leuna</v>
      </c>
      <c r="AR395" t="str">
        <f>_xlfn.XLOOKUP(emissions[[#This Row],[Reporting unit name]],hierarchy!$A:$A,hierarchy!$C:$C)</f>
        <v>Office (with heat &amp; steam)</v>
      </c>
    </row>
    <row r="396" spans="1:44" hidden="1" x14ac:dyDescent="0.25">
      <c r="A396">
        <v>4954</v>
      </c>
      <c r="B396" t="s">
        <v>164</v>
      </c>
      <c r="C396" t="s">
        <v>537</v>
      </c>
      <c r="D396" t="s">
        <v>599</v>
      </c>
      <c r="E396" s="3">
        <v>44197</v>
      </c>
      <c r="F396" s="3">
        <v>44561</v>
      </c>
      <c r="G396" t="s">
        <v>108</v>
      </c>
      <c r="H396" s="3">
        <v>44197</v>
      </c>
      <c r="I396" s="3">
        <v>44561</v>
      </c>
      <c r="J396" t="s">
        <v>108</v>
      </c>
      <c r="K396">
        <v>14654340</v>
      </c>
      <c r="L396" t="s">
        <v>109</v>
      </c>
      <c r="M396" t="s">
        <v>110</v>
      </c>
      <c r="O396" t="s">
        <v>600</v>
      </c>
      <c r="P396" t="s">
        <v>550</v>
      </c>
      <c r="Q396">
        <v>2021</v>
      </c>
      <c r="R396" t="s">
        <v>567</v>
      </c>
      <c r="S396" t="s">
        <v>568</v>
      </c>
      <c r="T396" t="s">
        <v>569</v>
      </c>
      <c r="U396" t="b">
        <v>0</v>
      </c>
      <c r="V396" t="s">
        <v>712</v>
      </c>
      <c r="W396" t="s">
        <v>571</v>
      </c>
      <c r="X396" t="s">
        <v>572</v>
      </c>
      <c r="Y396" t="s">
        <v>468</v>
      </c>
      <c r="Z396" t="s">
        <v>527</v>
      </c>
      <c r="AA396" t="s">
        <v>668</v>
      </c>
      <c r="AC396">
        <v>0</v>
      </c>
      <c r="AD396" t="s">
        <v>565</v>
      </c>
      <c r="AE396">
        <v>79418.452480000007</v>
      </c>
      <c r="AF396">
        <v>5.4194489999999998E-3</v>
      </c>
      <c r="AG396" t="s">
        <v>560</v>
      </c>
      <c r="AH396">
        <v>1</v>
      </c>
      <c r="AI396">
        <v>14654340</v>
      </c>
      <c r="AJ396" t="s">
        <v>561</v>
      </c>
      <c r="AK396" t="s">
        <v>589</v>
      </c>
      <c r="AL396" t="s">
        <v>603</v>
      </c>
      <c r="AM396">
        <v>2021</v>
      </c>
      <c r="AN396">
        <v>2019</v>
      </c>
      <c r="AO396">
        <f>IF(AND(emissions[[#This Row],[Market-based]]=0,emissions[[#This Row],[Impact Type]]="CO2E"),emissions[[#This Row],[kgCO2e]],0)/1000</f>
        <v>79.418452480000013</v>
      </c>
      <c r="AP396">
        <f>IF(AND(emissions[[#This Row],[Market-based]]=1,OR(emissions[[#This Row],[Impact Type]]="CO2E",emissions[[#This Row],[Impact Type]]="CO2E MKT")),emissions[[#This Row],[kgCO2e]],0)/1000</f>
        <v>0</v>
      </c>
      <c r="AQ396" t="str">
        <f>_xlfn.TEXTAFTER(emissions[[#This Row],[Reporting Unit]]," &gt; ",LEN(emissions[[#This Row],[Reporting Unit]])-LEN(SUBSTITUTE(emissions[[#This Row],[Reporting Unit]],"&gt;","")))</f>
        <v>Vantage_Leuna</v>
      </c>
      <c r="AR396" t="str">
        <f>_xlfn.XLOOKUP(emissions[[#This Row],[Reporting unit name]],hierarchy!$A:$A,hierarchy!$C:$C)</f>
        <v>Office (with heat &amp; steam)</v>
      </c>
    </row>
    <row r="397" spans="1:44" hidden="1" x14ac:dyDescent="0.25">
      <c r="A397">
        <v>4954</v>
      </c>
      <c r="B397" t="s">
        <v>164</v>
      </c>
      <c r="C397" t="s">
        <v>537</v>
      </c>
      <c r="D397" t="s">
        <v>599</v>
      </c>
      <c r="E397" s="3">
        <v>44197</v>
      </c>
      <c r="F397" s="3">
        <v>44561</v>
      </c>
      <c r="G397" t="s">
        <v>108</v>
      </c>
      <c r="H397" s="3">
        <v>44197</v>
      </c>
      <c r="I397" s="3">
        <v>44561</v>
      </c>
      <c r="J397" t="s">
        <v>108</v>
      </c>
      <c r="K397">
        <v>14654340</v>
      </c>
      <c r="L397" t="s">
        <v>109</v>
      </c>
      <c r="M397" t="s">
        <v>110</v>
      </c>
      <c r="O397" t="s">
        <v>600</v>
      </c>
      <c r="P397" t="s">
        <v>550</v>
      </c>
      <c r="Q397">
        <v>2021</v>
      </c>
      <c r="R397" t="s">
        <v>567</v>
      </c>
      <c r="S397" t="s">
        <v>568</v>
      </c>
      <c r="T397" t="s">
        <v>569</v>
      </c>
      <c r="U397" t="b">
        <v>0</v>
      </c>
      <c r="V397" t="s">
        <v>670</v>
      </c>
      <c r="W397" t="s">
        <v>571</v>
      </c>
      <c r="X397" t="s">
        <v>572</v>
      </c>
      <c r="Y397" t="s">
        <v>468</v>
      </c>
      <c r="Z397" t="s">
        <v>527</v>
      </c>
      <c r="AA397" t="s">
        <v>668</v>
      </c>
      <c r="AC397">
        <v>1</v>
      </c>
      <c r="AD397" t="s">
        <v>639</v>
      </c>
      <c r="AE397">
        <v>18550.76872</v>
      </c>
      <c r="AF397">
        <v>1.2658890000000001E-3</v>
      </c>
      <c r="AG397" t="s">
        <v>560</v>
      </c>
      <c r="AH397">
        <v>1</v>
      </c>
      <c r="AI397">
        <v>14654340</v>
      </c>
      <c r="AJ397" t="s">
        <v>561</v>
      </c>
      <c r="AK397" t="s">
        <v>573</v>
      </c>
      <c r="AL397" t="s">
        <v>671</v>
      </c>
      <c r="AM397">
        <v>2021</v>
      </c>
      <c r="AN397">
        <v>2020</v>
      </c>
      <c r="AO397">
        <f>IF(AND(emissions[[#This Row],[Market-based]]=0,emissions[[#This Row],[Impact Type]]="CO2E"),emissions[[#This Row],[kgCO2e]],0)/1000</f>
        <v>0</v>
      </c>
      <c r="AP397">
        <f>IF(AND(emissions[[#This Row],[Market-based]]=1,OR(emissions[[#This Row],[Impact Type]]="CO2E",emissions[[#This Row],[Impact Type]]="CO2E MKT")),emissions[[#This Row],[kgCO2e]],0)/1000</f>
        <v>18.550768720000001</v>
      </c>
      <c r="AQ397" t="str">
        <f>_xlfn.TEXTAFTER(emissions[[#This Row],[Reporting Unit]]," &gt; ",LEN(emissions[[#This Row],[Reporting Unit]])-LEN(SUBSTITUTE(emissions[[#This Row],[Reporting Unit]],"&gt;","")))</f>
        <v>Vantage_Leuna</v>
      </c>
      <c r="AR397" t="str">
        <f>_xlfn.XLOOKUP(emissions[[#This Row],[Reporting unit name]],hierarchy!$A:$A,hierarchy!$C:$C)</f>
        <v>Office (with heat &amp; steam)</v>
      </c>
    </row>
    <row r="398" spans="1:44" hidden="1" x14ac:dyDescent="0.25">
      <c r="A398">
        <v>4954</v>
      </c>
      <c r="B398" t="s">
        <v>164</v>
      </c>
      <c r="C398" t="s">
        <v>537</v>
      </c>
      <c r="D398" t="s">
        <v>599</v>
      </c>
      <c r="E398" s="3">
        <v>44197</v>
      </c>
      <c r="F398" s="3">
        <v>44561</v>
      </c>
      <c r="G398" t="s">
        <v>108</v>
      </c>
      <c r="H398" s="3">
        <v>44197</v>
      </c>
      <c r="I398" s="3">
        <v>44561</v>
      </c>
      <c r="J398" t="s">
        <v>108</v>
      </c>
      <c r="K398">
        <v>14654340</v>
      </c>
      <c r="L398" t="s">
        <v>109</v>
      </c>
      <c r="M398" t="s">
        <v>110</v>
      </c>
      <c r="O398" t="s">
        <v>600</v>
      </c>
      <c r="P398" t="s">
        <v>550</v>
      </c>
      <c r="Q398">
        <v>2021</v>
      </c>
      <c r="R398" t="s">
        <v>575</v>
      </c>
      <c r="S398" t="s">
        <v>576</v>
      </c>
      <c r="T398" t="s">
        <v>577</v>
      </c>
      <c r="U398" t="b">
        <v>0</v>
      </c>
      <c r="V398" t="s">
        <v>713</v>
      </c>
      <c r="W398" t="s">
        <v>571</v>
      </c>
      <c r="X398" t="s">
        <v>572</v>
      </c>
      <c r="Y398" t="s">
        <v>468</v>
      </c>
      <c r="Z398" t="s">
        <v>527</v>
      </c>
      <c r="AA398" t="s">
        <v>668</v>
      </c>
      <c r="AC398">
        <v>0</v>
      </c>
      <c r="AD398" t="s">
        <v>565</v>
      </c>
      <c r="AE398">
        <v>1527940.581</v>
      </c>
      <c r="AF398">
        <v>0.104265397</v>
      </c>
      <c r="AG398" t="s">
        <v>560</v>
      </c>
      <c r="AH398">
        <v>1</v>
      </c>
      <c r="AI398">
        <v>14654340</v>
      </c>
      <c r="AJ398" t="s">
        <v>561</v>
      </c>
      <c r="AK398" t="s">
        <v>589</v>
      </c>
      <c r="AL398" t="s">
        <v>603</v>
      </c>
      <c r="AM398">
        <v>2021</v>
      </c>
      <c r="AN398">
        <v>2019</v>
      </c>
      <c r="AO398">
        <f>IF(AND(emissions[[#This Row],[Market-based]]=0,emissions[[#This Row],[Impact Type]]="CO2E"),emissions[[#This Row],[kgCO2e]],0)/1000</f>
        <v>1527.9405810000001</v>
      </c>
      <c r="AP398">
        <f>IF(AND(emissions[[#This Row],[Market-based]]=1,OR(emissions[[#This Row],[Impact Type]]="CO2E",emissions[[#This Row],[Impact Type]]="CO2E MKT")),emissions[[#This Row],[kgCO2e]],0)/1000</f>
        <v>0</v>
      </c>
      <c r="AQ398" t="str">
        <f>_xlfn.TEXTAFTER(emissions[[#This Row],[Reporting Unit]]," &gt; ",LEN(emissions[[#This Row],[Reporting Unit]])-LEN(SUBSTITUTE(emissions[[#This Row],[Reporting Unit]],"&gt;","")))</f>
        <v>Vantage_Leuna</v>
      </c>
      <c r="AR398" t="str">
        <f>_xlfn.XLOOKUP(emissions[[#This Row],[Reporting unit name]],hierarchy!$A:$A,hierarchy!$C:$C)</f>
        <v>Office (with heat &amp; steam)</v>
      </c>
    </row>
    <row r="399" spans="1:44" hidden="1" x14ac:dyDescent="0.25">
      <c r="A399">
        <v>4954</v>
      </c>
      <c r="B399" t="s">
        <v>164</v>
      </c>
      <c r="C399" t="s">
        <v>537</v>
      </c>
      <c r="D399" t="s">
        <v>599</v>
      </c>
      <c r="E399" s="3">
        <v>44197</v>
      </c>
      <c r="F399" s="3">
        <v>44561</v>
      </c>
      <c r="G399" t="s">
        <v>108</v>
      </c>
      <c r="H399" s="3">
        <v>44197</v>
      </c>
      <c r="I399" s="3">
        <v>44561</v>
      </c>
      <c r="J399" t="s">
        <v>108</v>
      </c>
      <c r="K399">
        <v>14654340</v>
      </c>
      <c r="L399" t="s">
        <v>109</v>
      </c>
      <c r="M399" t="s">
        <v>110</v>
      </c>
      <c r="O399" t="s">
        <v>600</v>
      </c>
      <c r="P399" t="s">
        <v>550</v>
      </c>
      <c r="Q399">
        <v>2021</v>
      </c>
      <c r="R399" t="s">
        <v>575</v>
      </c>
      <c r="S399" t="s">
        <v>576</v>
      </c>
      <c r="T399" t="s">
        <v>577</v>
      </c>
      <c r="U399" t="b">
        <v>0</v>
      </c>
      <c r="V399" t="s">
        <v>673</v>
      </c>
      <c r="W399" t="s">
        <v>571</v>
      </c>
      <c r="X399" t="s">
        <v>572</v>
      </c>
      <c r="Y399" t="s">
        <v>468</v>
      </c>
      <c r="Z399" t="s">
        <v>527</v>
      </c>
      <c r="AA399" t="s">
        <v>668</v>
      </c>
      <c r="AC399">
        <v>1</v>
      </c>
      <c r="AD399" t="s">
        <v>639</v>
      </c>
      <c r="AE399">
        <v>2716660.0980000002</v>
      </c>
      <c r="AF399">
        <v>0.18538263099999999</v>
      </c>
      <c r="AG399" t="s">
        <v>560</v>
      </c>
      <c r="AH399">
        <v>1</v>
      </c>
      <c r="AI399">
        <v>14654340</v>
      </c>
      <c r="AJ399" t="s">
        <v>561</v>
      </c>
      <c r="AK399" t="s">
        <v>573</v>
      </c>
      <c r="AL399" t="s">
        <v>674</v>
      </c>
      <c r="AM399">
        <v>2021</v>
      </c>
      <c r="AN399">
        <v>2020</v>
      </c>
      <c r="AO399">
        <f>IF(AND(emissions[[#This Row],[Market-based]]=0,emissions[[#This Row],[Impact Type]]="CO2E"),emissions[[#This Row],[kgCO2e]],0)/1000</f>
        <v>0</v>
      </c>
      <c r="AP399">
        <f>IF(AND(emissions[[#This Row],[Market-based]]=1,OR(emissions[[#This Row],[Impact Type]]="CO2E",emissions[[#This Row],[Impact Type]]="CO2E MKT")),emissions[[#This Row],[kgCO2e]],0)/1000</f>
        <v>2716.6600980000003</v>
      </c>
      <c r="AQ399" t="str">
        <f>_xlfn.TEXTAFTER(emissions[[#This Row],[Reporting Unit]]," &gt; ",LEN(emissions[[#This Row],[Reporting Unit]])-LEN(SUBSTITUTE(emissions[[#This Row],[Reporting Unit]],"&gt;","")))</f>
        <v>Vantage_Leuna</v>
      </c>
      <c r="AR399" t="str">
        <f>_xlfn.XLOOKUP(emissions[[#This Row],[Reporting unit name]],hierarchy!$A:$A,hierarchy!$C:$C)</f>
        <v>Office (with heat &amp; steam)</v>
      </c>
    </row>
    <row r="400" spans="1:44" hidden="1" x14ac:dyDescent="0.25">
      <c r="A400">
        <v>4954</v>
      </c>
      <c r="B400" t="s">
        <v>164</v>
      </c>
      <c r="C400" t="s">
        <v>537</v>
      </c>
      <c r="D400" t="s">
        <v>599</v>
      </c>
      <c r="E400" s="3">
        <v>44197</v>
      </c>
      <c r="F400" s="3">
        <v>44561</v>
      </c>
      <c r="G400" t="s">
        <v>108</v>
      </c>
      <c r="H400" s="3">
        <v>44197</v>
      </c>
      <c r="I400" s="3">
        <v>44561</v>
      </c>
      <c r="J400" t="s">
        <v>108</v>
      </c>
      <c r="K400">
        <v>14654340</v>
      </c>
      <c r="L400" t="s">
        <v>109</v>
      </c>
      <c r="M400" t="s">
        <v>110</v>
      </c>
      <c r="O400" t="s">
        <v>600</v>
      </c>
      <c r="P400" t="s">
        <v>550</v>
      </c>
      <c r="Q400">
        <v>2021</v>
      </c>
      <c r="R400" t="s">
        <v>579</v>
      </c>
      <c r="S400" t="s">
        <v>580</v>
      </c>
      <c r="T400" t="s">
        <v>581</v>
      </c>
      <c r="U400" t="b">
        <v>0</v>
      </c>
      <c r="V400" t="s">
        <v>675</v>
      </c>
      <c r="W400" t="s">
        <v>571</v>
      </c>
      <c r="X400" t="s">
        <v>572</v>
      </c>
      <c r="Y400" t="s">
        <v>468</v>
      </c>
      <c r="Z400" t="s">
        <v>527</v>
      </c>
      <c r="AA400" t="s">
        <v>668</v>
      </c>
      <c r="AC400">
        <v>0</v>
      </c>
      <c r="AD400" t="s">
        <v>565</v>
      </c>
      <c r="AE400">
        <v>225676.83600000001</v>
      </c>
      <c r="AF400" t="s">
        <v>559</v>
      </c>
      <c r="AG400" t="s">
        <v>560</v>
      </c>
      <c r="AH400">
        <v>1</v>
      </c>
      <c r="AI400">
        <v>14654340</v>
      </c>
      <c r="AJ400" t="s">
        <v>561</v>
      </c>
      <c r="AK400" t="s">
        <v>562</v>
      </c>
      <c r="AL400" t="s">
        <v>601</v>
      </c>
      <c r="AM400">
        <v>2021</v>
      </c>
      <c r="AN400">
        <v>2019</v>
      </c>
      <c r="AO400">
        <f>IF(AND(emissions[[#This Row],[Market-based]]=0,emissions[[#This Row],[Impact Type]]="CO2E"),emissions[[#This Row],[kgCO2e]],0)/1000</f>
        <v>225.67683600000001</v>
      </c>
      <c r="AP400">
        <f>IF(AND(emissions[[#This Row],[Market-based]]=1,OR(emissions[[#This Row],[Impact Type]]="CO2E",emissions[[#This Row],[Impact Type]]="CO2E MKT")),emissions[[#This Row],[kgCO2e]],0)/1000</f>
        <v>0</v>
      </c>
      <c r="AQ400" t="str">
        <f>_xlfn.TEXTAFTER(emissions[[#This Row],[Reporting Unit]]," &gt; ",LEN(emissions[[#This Row],[Reporting Unit]])-LEN(SUBSTITUTE(emissions[[#This Row],[Reporting Unit]],"&gt;","")))</f>
        <v>Vantage_Leuna</v>
      </c>
      <c r="AR400" t="str">
        <f>_xlfn.XLOOKUP(emissions[[#This Row],[Reporting unit name]],hierarchy!$A:$A,hierarchy!$C:$C)</f>
        <v>Office (with heat &amp; steam)</v>
      </c>
    </row>
    <row r="401" spans="1:44" hidden="1" x14ac:dyDescent="0.25">
      <c r="A401">
        <v>4954</v>
      </c>
      <c r="B401" t="s">
        <v>164</v>
      </c>
      <c r="C401" t="s">
        <v>537</v>
      </c>
      <c r="D401" t="s">
        <v>599</v>
      </c>
      <c r="E401" s="3">
        <v>44197</v>
      </c>
      <c r="F401" s="3">
        <v>44561</v>
      </c>
      <c r="G401" t="s">
        <v>108</v>
      </c>
      <c r="H401" s="3">
        <v>44197</v>
      </c>
      <c r="I401" s="3">
        <v>44561</v>
      </c>
      <c r="J401" t="s">
        <v>108</v>
      </c>
      <c r="K401">
        <v>14654340</v>
      </c>
      <c r="L401" t="s">
        <v>109</v>
      </c>
      <c r="M401" t="s">
        <v>110</v>
      </c>
      <c r="O401" t="s">
        <v>600</v>
      </c>
      <c r="P401" t="s">
        <v>550</v>
      </c>
      <c r="Q401">
        <v>2021</v>
      </c>
      <c r="R401" t="s">
        <v>579</v>
      </c>
      <c r="S401" t="s">
        <v>580</v>
      </c>
      <c r="T401" t="s">
        <v>581</v>
      </c>
      <c r="U401" t="b">
        <v>0</v>
      </c>
      <c r="V401" t="s">
        <v>676</v>
      </c>
      <c r="W401" t="s">
        <v>571</v>
      </c>
      <c r="X401" t="s">
        <v>572</v>
      </c>
      <c r="Y401" t="s">
        <v>468</v>
      </c>
      <c r="Z401" t="s">
        <v>527</v>
      </c>
      <c r="AA401" t="s">
        <v>668</v>
      </c>
      <c r="AC401">
        <v>1</v>
      </c>
      <c r="AD401" t="s">
        <v>639</v>
      </c>
      <c r="AE401">
        <v>401250.7182</v>
      </c>
      <c r="AF401">
        <v>2.7381016000000001E-2</v>
      </c>
      <c r="AG401" t="s">
        <v>560</v>
      </c>
      <c r="AH401">
        <v>1</v>
      </c>
      <c r="AI401">
        <v>14654340</v>
      </c>
      <c r="AJ401" t="s">
        <v>561</v>
      </c>
      <c r="AK401" t="s">
        <v>573</v>
      </c>
      <c r="AL401" t="s">
        <v>677</v>
      </c>
      <c r="AM401">
        <v>2021</v>
      </c>
      <c r="AN401">
        <v>2020</v>
      </c>
      <c r="AO401">
        <f>IF(AND(emissions[[#This Row],[Market-based]]=0,emissions[[#This Row],[Impact Type]]="CO2E"),emissions[[#This Row],[kgCO2e]],0)/1000</f>
        <v>0</v>
      </c>
      <c r="AP401">
        <f>IF(AND(emissions[[#This Row],[Market-based]]=1,OR(emissions[[#This Row],[Impact Type]]="CO2E",emissions[[#This Row],[Impact Type]]="CO2E MKT")),emissions[[#This Row],[kgCO2e]],0)/1000</f>
        <v>401.25071819999999</v>
      </c>
      <c r="AQ401" t="str">
        <f>_xlfn.TEXTAFTER(emissions[[#This Row],[Reporting Unit]]," &gt; ",LEN(emissions[[#This Row],[Reporting Unit]])-LEN(SUBSTITUTE(emissions[[#This Row],[Reporting Unit]],"&gt;","")))</f>
        <v>Vantage_Leuna</v>
      </c>
      <c r="AR401" t="str">
        <f>_xlfn.XLOOKUP(emissions[[#This Row],[Reporting unit name]],hierarchy!$A:$A,hierarchy!$C:$C)</f>
        <v>Office (with heat &amp; steam)</v>
      </c>
    </row>
    <row r="402" spans="1:44" hidden="1" x14ac:dyDescent="0.25">
      <c r="A402">
        <v>4981</v>
      </c>
      <c r="B402" t="s">
        <v>164</v>
      </c>
      <c r="C402" t="s">
        <v>537</v>
      </c>
      <c r="D402" t="s">
        <v>599</v>
      </c>
      <c r="E402" s="3">
        <v>44197</v>
      </c>
      <c r="F402" s="3">
        <v>44561</v>
      </c>
      <c r="G402" t="s">
        <v>135</v>
      </c>
      <c r="H402" s="3">
        <v>44197</v>
      </c>
      <c r="I402" s="3">
        <v>44561</v>
      </c>
      <c r="J402" t="s">
        <v>135</v>
      </c>
      <c r="K402">
        <v>948</v>
      </c>
      <c r="L402" t="s">
        <v>109</v>
      </c>
      <c r="M402" t="s">
        <v>110</v>
      </c>
      <c r="O402" t="s">
        <v>600</v>
      </c>
      <c r="P402" t="s">
        <v>550</v>
      </c>
      <c r="Q402">
        <v>2021</v>
      </c>
      <c r="R402" t="s">
        <v>605</v>
      </c>
      <c r="S402" t="s">
        <v>606</v>
      </c>
      <c r="T402" t="s">
        <v>553</v>
      </c>
      <c r="U402" t="b">
        <v>0</v>
      </c>
      <c r="V402" t="s">
        <v>607</v>
      </c>
      <c r="W402" t="s">
        <v>587</v>
      </c>
      <c r="X402" t="s">
        <v>556</v>
      </c>
      <c r="Y402" t="s">
        <v>468</v>
      </c>
      <c r="AC402">
        <v>0</v>
      </c>
      <c r="AD402" t="s">
        <v>558</v>
      </c>
      <c r="AE402">
        <v>0.23699999999999999</v>
      </c>
      <c r="AF402">
        <v>2.5000000000000001E-4</v>
      </c>
      <c r="AG402" t="s">
        <v>608</v>
      </c>
      <c r="AH402">
        <v>1</v>
      </c>
      <c r="AI402">
        <v>948</v>
      </c>
      <c r="AJ402" t="s">
        <v>561</v>
      </c>
      <c r="AK402" t="s">
        <v>589</v>
      </c>
      <c r="AL402" t="s">
        <v>603</v>
      </c>
      <c r="AM402">
        <v>2021</v>
      </c>
      <c r="AN402">
        <v>2019</v>
      </c>
      <c r="AO402">
        <f>IF(AND(emissions[[#This Row],[Market-based]]=0,emissions[[#This Row],[Impact Type]]="CO2E"),emissions[[#This Row],[kgCO2e]],0)/1000</f>
        <v>0</v>
      </c>
      <c r="AP402">
        <f>IF(AND(emissions[[#This Row],[Market-based]]=1,OR(emissions[[#This Row],[Impact Type]]="CO2E",emissions[[#This Row],[Impact Type]]="CO2E MKT")),emissions[[#This Row],[kgCO2e]],0)/1000</f>
        <v>0</v>
      </c>
      <c r="AQ402" t="str">
        <f>_xlfn.TEXTAFTER(emissions[[#This Row],[Reporting Unit]]," &gt; ",LEN(emissions[[#This Row],[Reporting Unit]])-LEN(SUBSTITUTE(emissions[[#This Row],[Reporting Unit]],"&gt;","")))</f>
        <v>Vantage_Leuna</v>
      </c>
      <c r="AR402" t="str">
        <f>_xlfn.XLOOKUP(emissions[[#This Row],[Reporting unit name]],hierarchy!$A:$A,hierarchy!$C:$C)</f>
        <v>Office (with heat &amp; steam)</v>
      </c>
    </row>
    <row r="403" spans="1:44" hidden="1" x14ac:dyDescent="0.25">
      <c r="A403">
        <v>4981</v>
      </c>
      <c r="B403" t="s">
        <v>164</v>
      </c>
      <c r="C403" t="s">
        <v>537</v>
      </c>
      <c r="D403" t="s">
        <v>599</v>
      </c>
      <c r="E403" s="3">
        <v>44197</v>
      </c>
      <c r="F403" s="3">
        <v>44561</v>
      </c>
      <c r="G403" t="s">
        <v>135</v>
      </c>
      <c r="H403" s="3">
        <v>44197</v>
      </c>
      <c r="I403" s="3">
        <v>44561</v>
      </c>
      <c r="J403" t="s">
        <v>135</v>
      </c>
      <c r="K403">
        <v>948</v>
      </c>
      <c r="L403" t="s">
        <v>109</v>
      </c>
      <c r="M403" t="s">
        <v>110</v>
      </c>
      <c r="O403" t="s">
        <v>600</v>
      </c>
      <c r="P403" t="s">
        <v>550</v>
      </c>
      <c r="Q403">
        <v>2021</v>
      </c>
      <c r="R403" t="s">
        <v>605</v>
      </c>
      <c r="S403" t="s">
        <v>606</v>
      </c>
      <c r="T403" t="s">
        <v>553</v>
      </c>
      <c r="U403" t="b">
        <v>0</v>
      </c>
      <c r="V403" t="s">
        <v>607</v>
      </c>
      <c r="W403" t="s">
        <v>587</v>
      </c>
      <c r="X403" t="s">
        <v>556</v>
      </c>
      <c r="Y403" t="s">
        <v>468</v>
      </c>
      <c r="AC403">
        <v>0</v>
      </c>
      <c r="AD403" t="s">
        <v>564</v>
      </c>
      <c r="AE403">
        <v>173.31335999999999</v>
      </c>
      <c r="AF403">
        <v>0.18282000000000001</v>
      </c>
      <c r="AG403" t="s">
        <v>608</v>
      </c>
      <c r="AH403">
        <v>1</v>
      </c>
      <c r="AI403">
        <v>948</v>
      </c>
      <c r="AJ403" t="s">
        <v>561</v>
      </c>
      <c r="AK403" t="s">
        <v>589</v>
      </c>
      <c r="AL403" t="s">
        <v>603</v>
      </c>
      <c r="AM403">
        <v>2021</v>
      </c>
      <c r="AN403">
        <v>2019</v>
      </c>
      <c r="AO403">
        <f>IF(AND(emissions[[#This Row],[Market-based]]=0,emissions[[#This Row],[Impact Type]]="CO2E"),emissions[[#This Row],[kgCO2e]],0)/1000</f>
        <v>0</v>
      </c>
      <c r="AP403">
        <f>IF(AND(emissions[[#This Row],[Market-based]]=1,OR(emissions[[#This Row],[Impact Type]]="CO2E",emissions[[#This Row],[Impact Type]]="CO2E MKT")),emissions[[#This Row],[kgCO2e]],0)/1000</f>
        <v>0</v>
      </c>
      <c r="AQ403" t="str">
        <f>_xlfn.TEXTAFTER(emissions[[#This Row],[Reporting Unit]]," &gt; ",LEN(emissions[[#This Row],[Reporting Unit]])-LEN(SUBSTITUTE(emissions[[#This Row],[Reporting Unit]],"&gt;","")))</f>
        <v>Vantage_Leuna</v>
      </c>
      <c r="AR403" t="str">
        <f>_xlfn.XLOOKUP(emissions[[#This Row],[Reporting unit name]],hierarchy!$A:$A,hierarchy!$C:$C)</f>
        <v>Office (with heat &amp; steam)</v>
      </c>
    </row>
    <row r="404" spans="1:44" hidden="1" x14ac:dyDescent="0.25">
      <c r="A404">
        <v>4981</v>
      </c>
      <c r="B404" t="s">
        <v>164</v>
      </c>
      <c r="C404" t="s">
        <v>537</v>
      </c>
      <c r="D404" t="s">
        <v>599</v>
      </c>
      <c r="E404" s="3">
        <v>44197</v>
      </c>
      <c r="F404" s="3">
        <v>44561</v>
      </c>
      <c r="G404" t="s">
        <v>135</v>
      </c>
      <c r="H404" s="3">
        <v>44197</v>
      </c>
      <c r="I404" s="3">
        <v>44561</v>
      </c>
      <c r="J404" t="s">
        <v>135</v>
      </c>
      <c r="K404">
        <v>948</v>
      </c>
      <c r="L404" t="s">
        <v>109</v>
      </c>
      <c r="M404" t="s">
        <v>110</v>
      </c>
      <c r="O404" t="s">
        <v>600</v>
      </c>
      <c r="P404" t="s">
        <v>550</v>
      </c>
      <c r="Q404">
        <v>2021</v>
      </c>
      <c r="R404" t="s">
        <v>605</v>
      </c>
      <c r="S404" t="s">
        <v>606</v>
      </c>
      <c r="T404" t="s">
        <v>553</v>
      </c>
      <c r="U404" t="b">
        <v>0</v>
      </c>
      <c r="V404" t="s">
        <v>607</v>
      </c>
      <c r="W404" t="s">
        <v>587</v>
      </c>
      <c r="X404" t="s">
        <v>556</v>
      </c>
      <c r="Y404" t="s">
        <v>468</v>
      </c>
      <c r="AC404">
        <v>0</v>
      </c>
      <c r="AD404" t="s">
        <v>565</v>
      </c>
      <c r="AE404">
        <v>173.64516</v>
      </c>
      <c r="AF404">
        <v>0.18317</v>
      </c>
      <c r="AG404" t="s">
        <v>608</v>
      </c>
      <c r="AH404">
        <v>1</v>
      </c>
      <c r="AI404">
        <v>948</v>
      </c>
      <c r="AJ404" t="s">
        <v>561</v>
      </c>
      <c r="AK404" t="s">
        <v>589</v>
      </c>
      <c r="AL404" t="s">
        <v>603</v>
      </c>
      <c r="AM404">
        <v>2021</v>
      </c>
      <c r="AN404">
        <v>2019</v>
      </c>
      <c r="AO404">
        <f>IF(AND(emissions[[#This Row],[Market-based]]=0,emissions[[#This Row],[Impact Type]]="CO2E"),emissions[[#This Row],[kgCO2e]],0)/1000</f>
        <v>0.17364515999999999</v>
      </c>
      <c r="AP404">
        <f>IF(AND(emissions[[#This Row],[Market-based]]=1,OR(emissions[[#This Row],[Impact Type]]="CO2E",emissions[[#This Row],[Impact Type]]="CO2E MKT")),emissions[[#This Row],[kgCO2e]],0)/1000</f>
        <v>0</v>
      </c>
      <c r="AQ404" t="str">
        <f>_xlfn.TEXTAFTER(emissions[[#This Row],[Reporting Unit]]," &gt; ",LEN(emissions[[#This Row],[Reporting Unit]])-LEN(SUBSTITUTE(emissions[[#This Row],[Reporting Unit]],"&gt;","")))</f>
        <v>Vantage_Leuna</v>
      </c>
      <c r="AR404" t="str">
        <f>_xlfn.XLOOKUP(emissions[[#This Row],[Reporting unit name]],hierarchy!$A:$A,hierarchy!$C:$C)</f>
        <v>Office (with heat &amp; steam)</v>
      </c>
    </row>
    <row r="405" spans="1:44" hidden="1" x14ac:dyDescent="0.25">
      <c r="A405">
        <v>4981</v>
      </c>
      <c r="B405" t="s">
        <v>164</v>
      </c>
      <c r="C405" t="s">
        <v>537</v>
      </c>
      <c r="D405" t="s">
        <v>599</v>
      </c>
      <c r="E405" s="3">
        <v>44197</v>
      </c>
      <c r="F405" s="3">
        <v>44561</v>
      </c>
      <c r="G405" t="s">
        <v>135</v>
      </c>
      <c r="H405" s="3">
        <v>44197</v>
      </c>
      <c r="I405" s="3">
        <v>44561</v>
      </c>
      <c r="J405" t="s">
        <v>135</v>
      </c>
      <c r="K405">
        <v>948</v>
      </c>
      <c r="L405" t="s">
        <v>109</v>
      </c>
      <c r="M405" t="s">
        <v>110</v>
      </c>
      <c r="O405" t="s">
        <v>600</v>
      </c>
      <c r="P405" t="s">
        <v>550</v>
      </c>
      <c r="Q405">
        <v>2021</v>
      </c>
      <c r="R405" t="s">
        <v>605</v>
      </c>
      <c r="S405" t="s">
        <v>606</v>
      </c>
      <c r="T405" t="s">
        <v>553</v>
      </c>
      <c r="U405" t="b">
        <v>0</v>
      </c>
      <c r="V405" t="s">
        <v>607</v>
      </c>
      <c r="W405" t="s">
        <v>587</v>
      </c>
      <c r="X405" t="s">
        <v>556</v>
      </c>
      <c r="Y405" t="s">
        <v>468</v>
      </c>
      <c r="AC405">
        <v>0</v>
      </c>
      <c r="AD405" t="s">
        <v>566</v>
      </c>
      <c r="AE405">
        <v>9.4799999999999995E-2</v>
      </c>
      <c r="AF405">
        <v>1E-4</v>
      </c>
      <c r="AG405" t="s">
        <v>608</v>
      </c>
      <c r="AH405">
        <v>1</v>
      </c>
      <c r="AI405">
        <v>948</v>
      </c>
      <c r="AJ405" t="s">
        <v>561</v>
      </c>
      <c r="AK405" t="s">
        <v>589</v>
      </c>
      <c r="AL405" t="s">
        <v>603</v>
      </c>
      <c r="AM405">
        <v>2021</v>
      </c>
      <c r="AN405">
        <v>2019</v>
      </c>
      <c r="AO405">
        <f>IF(AND(emissions[[#This Row],[Market-based]]=0,emissions[[#This Row],[Impact Type]]="CO2E"),emissions[[#This Row],[kgCO2e]],0)/1000</f>
        <v>0</v>
      </c>
      <c r="AP405">
        <f>IF(AND(emissions[[#This Row],[Market-based]]=1,OR(emissions[[#This Row],[Impact Type]]="CO2E",emissions[[#This Row],[Impact Type]]="CO2E MKT")),emissions[[#This Row],[kgCO2e]],0)/1000</f>
        <v>0</v>
      </c>
      <c r="AQ405" t="str">
        <f>_xlfn.TEXTAFTER(emissions[[#This Row],[Reporting Unit]]," &gt; ",LEN(emissions[[#This Row],[Reporting Unit]])-LEN(SUBSTITUTE(emissions[[#This Row],[Reporting Unit]],"&gt;","")))</f>
        <v>Vantage_Leuna</v>
      </c>
      <c r="AR405" t="str">
        <f>_xlfn.XLOOKUP(emissions[[#This Row],[Reporting unit name]],hierarchy!$A:$A,hierarchy!$C:$C)</f>
        <v>Office (with heat &amp; steam)</v>
      </c>
    </row>
    <row r="406" spans="1:44" hidden="1" x14ac:dyDescent="0.25">
      <c r="A406">
        <v>4981</v>
      </c>
      <c r="B406" t="s">
        <v>164</v>
      </c>
      <c r="C406" t="s">
        <v>537</v>
      </c>
      <c r="D406" t="s">
        <v>599</v>
      </c>
      <c r="E406" s="3">
        <v>44197</v>
      </c>
      <c r="F406" s="3">
        <v>44561</v>
      </c>
      <c r="G406" t="s">
        <v>135</v>
      </c>
      <c r="H406" s="3">
        <v>44197</v>
      </c>
      <c r="I406" s="3">
        <v>44561</v>
      </c>
      <c r="J406" t="s">
        <v>135</v>
      </c>
      <c r="K406">
        <v>948</v>
      </c>
      <c r="L406" t="s">
        <v>109</v>
      </c>
      <c r="M406" t="s">
        <v>110</v>
      </c>
      <c r="O406" t="s">
        <v>600</v>
      </c>
      <c r="P406" t="s">
        <v>550</v>
      </c>
      <c r="Q406">
        <v>2021</v>
      </c>
      <c r="R406" t="s">
        <v>605</v>
      </c>
      <c r="S406" t="s">
        <v>606</v>
      </c>
      <c r="T406" t="s">
        <v>553</v>
      </c>
      <c r="U406" t="b">
        <v>0</v>
      </c>
      <c r="V406" t="s">
        <v>607</v>
      </c>
      <c r="W406" t="s">
        <v>587</v>
      </c>
      <c r="X406" t="s">
        <v>556</v>
      </c>
      <c r="Y406" t="s">
        <v>468</v>
      </c>
      <c r="AC406">
        <v>1</v>
      </c>
      <c r="AD406" t="s">
        <v>558</v>
      </c>
      <c r="AE406">
        <v>0.23699999999999999</v>
      </c>
      <c r="AF406">
        <v>2.5000000000000001E-4</v>
      </c>
      <c r="AG406" t="s">
        <v>608</v>
      </c>
      <c r="AH406">
        <v>1</v>
      </c>
      <c r="AI406">
        <v>948</v>
      </c>
      <c r="AJ406" t="s">
        <v>561</v>
      </c>
      <c r="AK406" t="s">
        <v>589</v>
      </c>
      <c r="AL406" t="s">
        <v>603</v>
      </c>
      <c r="AM406">
        <v>2021</v>
      </c>
      <c r="AN406">
        <v>2019</v>
      </c>
      <c r="AO406">
        <f>IF(AND(emissions[[#This Row],[Market-based]]=0,emissions[[#This Row],[Impact Type]]="CO2E"),emissions[[#This Row],[kgCO2e]],0)/1000</f>
        <v>0</v>
      </c>
      <c r="AP406">
        <f>IF(AND(emissions[[#This Row],[Market-based]]=1,OR(emissions[[#This Row],[Impact Type]]="CO2E",emissions[[#This Row],[Impact Type]]="CO2E MKT")),emissions[[#This Row],[kgCO2e]],0)/1000</f>
        <v>0</v>
      </c>
      <c r="AQ406" t="str">
        <f>_xlfn.TEXTAFTER(emissions[[#This Row],[Reporting Unit]]," &gt; ",LEN(emissions[[#This Row],[Reporting Unit]])-LEN(SUBSTITUTE(emissions[[#This Row],[Reporting Unit]],"&gt;","")))</f>
        <v>Vantage_Leuna</v>
      </c>
      <c r="AR406" t="str">
        <f>_xlfn.XLOOKUP(emissions[[#This Row],[Reporting unit name]],hierarchy!$A:$A,hierarchy!$C:$C)</f>
        <v>Office (with heat &amp; steam)</v>
      </c>
    </row>
    <row r="407" spans="1:44" hidden="1" x14ac:dyDescent="0.25">
      <c r="A407">
        <v>4981</v>
      </c>
      <c r="B407" t="s">
        <v>164</v>
      </c>
      <c r="C407" t="s">
        <v>537</v>
      </c>
      <c r="D407" t="s">
        <v>599</v>
      </c>
      <c r="E407" s="3">
        <v>44197</v>
      </c>
      <c r="F407" s="3">
        <v>44561</v>
      </c>
      <c r="G407" t="s">
        <v>135</v>
      </c>
      <c r="H407" s="3">
        <v>44197</v>
      </c>
      <c r="I407" s="3">
        <v>44561</v>
      </c>
      <c r="J407" t="s">
        <v>135</v>
      </c>
      <c r="K407">
        <v>948</v>
      </c>
      <c r="L407" t="s">
        <v>109</v>
      </c>
      <c r="M407" t="s">
        <v>110</v>
      </c>
      <c r="O407" t="s">
        <v>600</v>
      </c>
      <c r="P407" t="s">
        <v>550</v>
      </c>
      <c r="Q407">
        <v>2021</v>
      </c>
      <c r="R407" t="s">
        <v>605</v>
      </c>
      <c r="S407" t="s">
        <v>606</v>
      </c>
      <c r="T407" t="s">
        <v>553</v>
      </c>
      <c r="U407" t="b">
        <v>0</v>
      </c>
      <c r="V407" t="s">
        <v>607</v>
      </c>
      <c r="W407" t="s">
        <v>587</v>
      </c>
      <c r="X407" t="s">
        <v>556</v>
      </c>
      <c r="Y407" t="s">
        <v>468</v>
      </c>
      <c r="AC407">
        <v>1</v>
      </c>
      <c r="AD407" t="s">
        <v>564</v>
      </c>
      <c r="AE407">
        <v>173.31335999999999</v>
      </c>
      <c r="AF407">
        <v>0.18282000000000001</v>
      </c>
      <c r="AG407" t="s">
        <v>608</v>
      </c>
      <c r="AH407">
        <v>1</v>
      </c>
      <c r="AI407">
        <v>948</v>
      </c>
      <c r="AJ407" t="s">
        <v>561</v>
      </c>
      <c r="AK407" t="s">
        <v>589</v>
      </c>
      <c r="AL407" t="s">
        <v>603</v>
      </c>
      <c r="AM407">
        <v>2021</v>
      </c>
      <c r="AN407">
        <v>2019</v>
      </c>
      <c r="AO407">
        <f>IF(AND(emissions[[#This Row],[Market-based]]=0,emissions[[#This Row],[Impact Type]]="CO2E"),emissions[[#This Row],[kgCO2e]],0)/1000</f>
        <v>0</v>
      </c>
      <c r="AP407">
        <f>IF(AND(emissions[[#This Row],[Market-based]]=1,OR(emissions[[#This Row],[Impact Type]]="CO2E",emissions[[#This Row],[Impact Type]]="CO2E MKT")),emissions[[#This Row],[kgCO2e]],0)/1000</f>
        <v>0</v>
      </c>
      <c r="AQ407" t="str">
        <f>_xlfn.TEXTAFTER(emissions[[#This Row],[Reporting Unit]]," &gt; ",LEN(emissions[[#This Row],[Reporting Unit]])-LEN(SUBSTITUTE(emissions[[#This Row],[Reporting Unit]],"&gt;","")))</f>
        <v>Vantage_Leuna</v>
      </c>
      <c r="AR407" t="str">
        <f>_xlfn.XLOOKUP(emissions[[#This Row],[Reporting unit name]],hierarchy!$A:$A,hierarchy!$C:$C)</f>
        <v>Office (with heat &amp; steam)</v>
      </c>
    </row>
    <row r="408" spans="1:44" hidden="1" x14ac:dyDescent="0.25">
      <c r="A408">
        <v>4981</v>
      </c>
      <c r="B408" t="s">
        <v>164</v>
      </c>
      <c r="C408" t="s">
        <v>537</v>
      </c>
      <c r="D408" t="s">
        <v>599</v>
      </c>
      <c r="E408" s="3">
        <v>44197</v>
      </c>
      <c r="F408" s="3">
        <v>44561</v>
      </c>
      <c r="G408" t="s">
        <v>135</v>
      </c>
      <c r="H408" s="3">
        <v>44197</v>
      </c>
      <c r="I408" s="3">
        <v>44561</v>
      </c>
      <c r="J408" t="s">
        <v>135</v>
      </c>
      <c r="K408">
        <v>948</v>
      </c>
      <c r="L408" t="s">
        <v>109</v>
      </c>
      <c r="M408" t="s">
        <v>110</v>
      </c>
      <c r="O408" t="s">
        <v>600</v>
      </c>
      <c r="P408" t="s">
        <v>550</v>
      </c>
      <c r="Q408">
        <v>2021</v>
      </c>
      <c r="R408" t="s">
        <v>605</v>
      </c>
      <c r="S408" t="s">
        <v>606</v>
      </c>
      <c r="T408" t="s">
        <v>553</v>
      </c>
      <c r="U408" t="b">
        <v>0</v>
      </c>
      <c r="V408" t="s">
        <v>607</v>
      </c>
      <c r="W408" t="s">
        <v>587</v>
      </c>
      <c r="X408" t="s">
        <v>556</v>
      </c>
      <c r="Y408" t="s">
        <v>468</v>
      </c>
      <c r="AC408">
        <v>1</v>
      </c>
      <c r="AD408" t="s">
        <v>565</v>
      </c>
      <c r="AE408">
        <v>173.64516</v>
      </c>
      <c r="AF408">
        <v>0.18317</v>
      </c>
      <c r="AG408" t="s">
        <v>608</v>
      </c>
      <c r="AH408">
        <v>1</v>
      </c>
      <c r="AI408">
        <v>948</v>
      </c>
      <c r="AJ408" t="s">
        <v>561</v>
      </c>
      <c r="AK408" t="s">
        <v>589</v>
      </c>
      <c r="AL408" t="s">
        <v>603</v>
      </c>
      <c r="AM408">
        <v>2021</v>
      </c>
      <c r="AN408">
        <v>2019</v>
      </c>
      <c r="AO408">
        <f>IF(AND(emissions[[#This Row],[Market-based]]=0,emissions[[#This Row],[Impact Type]]="CO2E"),emissions[[#This Row],[kgCO2e]],0)/1000</f>
        <v>0</v>
      </c>
      <c r="AP408">
        <f>IF(AND(emissions[[#This Row],[Market-based]]=1,OR(emissions[[#This Row],[Impact Type]]="CO2E",emissions[[#This Row],[Impact Type]]="CO2E MKT")),emissions[[#This Row],[kgCO2e]],0)/1000</f>
        <v>0.17364515999999999</v>
      </c>
      <c r="AQ408" t="str">
        <f>_xlfn.TEXTAFTER(emissions[[#This Row],[Reporting Unit]]," &gt; ",LEN(emissions[[#This Row],[Reporting Unit]])-LEN(SUBSTITUTE(emissions[[#This Row],[Reporting Unit]],"&gt;","")))</f>
        <v>Vantage_Leuna</v>
      </c>
      <c r="AR408" t="str">
        <f>_xlfn.XLOOKUP(emissions[[#This Row],[Reporting unit name]],hierarchy!$A:$A,hierarchy!$C:$C)</f>
        <v>Office (with heat &amp; steam)</v>
      </c>
    </row>
    <row r="409" spans="1:44" hidden="1" x14ac:dyDescent="0.25">
      <c r="A409">
        <v>4981</v>
      </c>
      <c r="B409" t="s">
        <v>164</v>
      </c>
      <c r="C409" t="s">
        <v>537</v>
      </c>
      <c r="D409" t="s">
        <v>599</v>
      </c>
      <c r="E409" s="3">
        <v>44197</v>
      </c>
      <c r="F409" s="3">
        <v>44561</v>
      </c>
      <c r="G409" t="s">
        <v>135</v>
      </c>
      <c r="H409" s="3">
        <v>44197</v>
      </c>
      <c r="I409" s="3">
        <v>44561</v>
      </c>
      <c r="J409" t="s">
        <v>135</v>
      </c>
      <c r="K409">
        <v>948</v>
      </c>
      <c r="L409" t="s">
        <v>109</v>
      </c>
      <c r="M409" t="s">
        <v>110</v>
      </c>
      <c r="O409" t="s">
        <v>600</v>
      </c>
      <c r="P409" t="s">
        <v>550</v>
      </c>
      <c r="Q409">
        <v>2021</v>
      </c>
      <c r="R409" t="s">
        <v>605</v>
      </c>
      <c r="S409" t="s">
        <v>606</v>
      </c>
      <c r="T409" t="s">
        <v>553</v>
      </c>
      <c r="U409" t="b">
        <v>0</v>
      </c>
      <c r="V409" t="s">
        <v>607</v>
      </c>
      <c r="W409" t="s">
        <v>587</v>
      </c>
      <c r="X409" t="s">
        <v>556</v>
      </c>
      <c r="Y409" t="s">
        <v>468</v>
      </c>
      <c r="AC409">
        <v>1</v>
      </c>
      <c r="AD409" t="s">
        <v>566</v>
      </c>
      <c r="AE409">
        <v>9.4799999999999995E-2</v>
      </c>
      <c r="AF409">
        <v>1E-4</v>
      </c>
      <c r="AG409" t="s">
        <v>608</v>
      </c>
      <c r="AH409">
        <v>1</v>
      </c>
      <c r="AI409">
        <v>948</v>
      </c>
      <c r="AJ409" t="s">
        <v>561</v>
      </c>
      <c r="AK409" t="s">
        <v>589</v>
      </c>
      <c r="AL409" t="s">
        <v>603</v>
      </c>
      <c r="AM409">
        <v>2021</v>
      </c>
      <c r="AN409">
        <v>2019</v>
      </c>
      <c r="AO409">
        <f>IF(AND(emissions[[#This Row],[Market-based]]=0,emissions[[#This Row],[Impact Type]]="CO2E"),emissions[[#This Row],[kgCO2e]],0)/1000</f>
        <v>0</v>
      </c>
      <c r="AP409">
        <f>IF(AND(emissions[[#This Row],[Market-based]]=1,OR(emissions[[#This Row],[Impact Type]]="CO2E",emissions[[#This Row],[Impact Type]]="CO2E MKT")),emissions[[#This Row],[kgCO2e]],0)/1000</f>
        <v>0</v>
      </c>
      <c r="AQ409" t="str">
        <f>_xlfn.TEXTAFTER(emissions[[#This Row],[Reporting Unit]]," &gt; ",LEN(emissions[[#This Row],[Reporting Unit]])-LEN(SUBSTITUTE(emissions[[#This Row],[Reporting Unit]],"&gt;","")))</f>
        <v>Vantage_Leuna</v>
      </c>
      <c r="AR409" t="str">
        <f>_xlfn.XLOOKUP(emissions[[#This Row],[Reporting unit name]],hierarchy!$A:$A,hierarchy!$C:$C)</f>
        <v>Office (with heat &amp; steam)</v>
      </c>
    </row>
    <row r="410" spans="1:44" hidden="1" x14ac:dyDescent="0.25">
      <c r="A410">
        <v>4981</v>
      </c>
      <c r="B410" t="s">
        <v>164</v>
      </c>
      <c r="C410" t="s">
        <v>537</v>
      </c>
      <c r="D410" t="s">
        <v>599</v>
      </c>
      <c r="E410" s="3">
        <v>44197</v>
      </c>
      <c r="F410" s="3">
        <v>44561</v>
      </c>
      <c r="G410" t="s">
        <v>135</v>
      </c>
      <c r="H410" s="3">
        <v>44197</v>
      </c>
      <c r="I410" s="3">
        <v>44561</v>
      </c>
      <c r="J410" t="s">
        <v>135</v>
      </c>
      <c r="K410">
        <v>948</v>
      </c>
      <c r="L410" t="s">
        <v>109</v>
      </c>
      <c r="M410" t="s">
        <v>110</v>
      </c>
      <c r="O410" t="s">
        <v>600</v>
      </c>
      <c r="P410" t="s">
        <v>550</v>
      </c>
      <c r="Q410">
        <v>2021</v>
      </c>
      <c r="R410" t="s">
        <v>609</v>
      </c>
      <c r="S410" t="s">
        <v>610</v>
      </c>
      <c r="T410" t="s">
        <v>577</v>
      </c>
      <c r="U410" t="b">
        <v>0</v>
      </c>
      <c r="V410" t="s">
        <v>611</v>
      </c>
      <c r="W410" t="s">
        <v>571</v>
      </c>
      <c r="X410" t="s">
        <v>572</v>
      </c>
      <c r="Y410" t="s">
        <v>468</v>
      </c>
      <c r="AC410">
        <v>0</v>
      </c>
      <c r="AD410" t="s">
        <v>565</v>
      </c>
      <c r="AE410">
        <v>29.719799999999999</v>
      </c>
      <c r="AF410">
        <v>3.1350000000000003E-2</v>
      </c>
      <c r="AG410" t="s">
        <v>608</v>
      </c>
      <c r="AH410">
        <v>1</v>
      </c>
      <c r="AI410">
        <v>948</v>
      </c>
      <c r="AJ410" t="s">
        <v>561</v>
      </c>
      <c r="AK410" t="s">
        <v>589</v>
      </c>
      <c r="AL410" t="s">
        <v>603</v>
      </c>
      <c r="AM410">
        <v>2021</v>
      </c>
      <c r="AN410">
        <v>2019</v>
      </c>
      <c r="AO410">
        <f>IF(AND(emissions[[#This Row],[Market-based]]=0,emissions[[#This Row],[Impact Type]]="CO2E"),emissions[[#This Row],[kgCO2e]],0)/1000</f>
        <v>2.9719799999999998E-2</v>
      </c>
      <c r="AP410">
        <f>IF(AND(emissions[[#This Row],[Market-based]]=1,OR(emissions[[#This Row],[Impact Type]]="CO2E",emissions[[#This Row],[Impact Type]]="CO2E MKT")),emissions[[#This Row],[kgCO2e]],0)/1000</f>
        <v>0</v>
      </c>
      <c r="AQ410" t="str">
        <f>_xlfn.TEXTAFTER(emissions[[#This Row],[Reporting Unit]]," &gt; ",LEN(emissions[[#This Row],[Reporting Unit]])-LEN(SUBSTITUTE(emissions[[#This Row],[Reporting Unit]],"&gt;","")))</f>
        <v>Vantage_Leuna</v>
      </c>
      <c r="AR410" t="str">
        <f>_xlfn.XLOOKUP(emissions[[#This Row],[Reporting unit name]],hierarchy!$A:$A,hierarchy!$C:$C)</f>
        <v>Office (with heat &amp; steam)</v>
      </c>
    </row>
    <row r="411" spans="1:44" hidden="1" x14ac:dyDescent="0.25">
      <c r="A411">
        <v>4981</v>
      </c>
      <c r="B411" t="s">
        <v>164</v>
      </c>
      <c r="C411" t="s">
        <v>537</v>
      </c>
      <c r="D411" t="s">
        <v>599</v>
      </c>
      <c r="E411" s="3">
        <v>44197</v>
      </c>
      <c r="F411" s="3">
        <v>44561</v>
      </c>
      <c r="G411" t="s">
        <v>135</v>
      </c>
      <c r="H411" s="3">
        <v>44197</v>
      </c>
      <c r="I411" s="3">
        <v>44561</v>
      </c>
      <c r="J411" t="s">
        <v>135</v>
      </c>
      <c r="K411">
        <v>948</v>
      </c>
      <c r="L411" t="s">
        <v>109</v>
      </c>
      <c r="M411" t="s">
        <v>110</v>
      </c>
      <c r="O411" t="s">
        <v>600</v>
      </c>
      <c r="P411" t="s">
        <v>550</v>
      </c>
      <c r="Q411">
        <v>2021</v>
      </c>
      <c r="R411" t="s">
        <v>609</v>
      </c>
      <c r="S411" t="s">
        <v>610</v>
      </c>
      <c r="T411" t="s">
        <v>577</v>
      </c>
      <c r="U411" t="b">
        <v>0</v>
      </c>
      <c r="V411" t="s">
        <v>611</v>
      </c>
      <c r="W411" t="s">
        <v>571</v>
      </c>
      <c r="X411" t="s">
        <v>572</v>
      </c>
      <c r="Y411" t="s">
        <v>468</v>
      </c>
      <c r="AC411">
        <v>1</v>
      </c>
      <c r="AD411" t="s">
        <v>565</v>
      </c>
      <c r="AE411">
        <v>29.719799999999999</v>
      </c>
      <c r="AF411">
        <v>3.1350000000000003E-2</v>
      </c>
      <c r="AG411" t="s">
        <v>608</v>
      </c>
      <c r="AH411">
        <v>1</v>
      </c>
      <c r="AI411">
        <v>948</v>
      </c>
      <c r="AJ411" t="s">
        <v>561</v>
      </c>
      <c r="AK411" t="s">
        <v>589</v>
      </c>
      <c r="AL411" t="s">
        <v>603</v>
      </c>
      <c r="AM411">
        <v>2021</v>
      </c>
      <c r="AN411">
        <v>2019</v>
      </c>
      <c r="AO411">
        <f>IF(AND(emissions[[#This Row],[Market-based]]=0,emissions[[#This Row],[Impact Type]]="CO2E"),emissions[[#This Row],[kgCO2e]],0)/1000</f>
        <v>0</v>
      </c>
      <c r="AP411">
        <f>IF(AND(emissions[[#This Row],[Market-based]]=1,OR(emissions[[#This Row],[Impact Type]]="CO2E",emissions[[#This Row],[Impact Type]]="CO2E MKT")),emissions[[#This Row],[kgCO2e]],0)/1000</f>
        <v>2.9719799999999998E-2</v>
      </c>
      <c r="AQ411" t="str">
        <f>_xlfn.TEXTAFTER(emissions[[#This Row],[Reporting Unit]]," &gt; ",LEN(emissions[[#This Row],[Reporting Unit]])-LEN(SUBSTITUTE(emissions[[#This Row],[Reporting Unit]],"&gt;","")))</f>
        <v>Vantage_Leuna</v>
      </c>
      <c r="AR411" t="str">
        <f>_xlfn.XLOOKUP(emissions[[#This Row],[Reporting unit name]],hierarchy!$A:$A,hierarchy!$C:$C)</f>
        <v>Office (with heat &amp; steam)</v>
      </c>
    </row>
    <row r="412" spans="1:44" hidden="1" x14ac:dyDescent="0.25">
      <c r="A412">
        <v>5014</v>
      </c>
      <c r="B412" t="s">
        <v>164</v>
      </c>
      <c r="C412" t="s">
        <v>537</v>
      </c>
      <c r="D412" t="s">
        <v>599</v>
      </c>
      <c r="E412" s="3">
        <v>44197</v>
      </c>
      <c r="F412" s="3">
        <v>44561</v>
      </c>
      <c r="G412" t="s">
        <v>141</v>
      </c>
      <c r="H412" s="3">
        <v>44197</v>
      </c>
      <c r="I412" s="3">
        <v>44561</v>
      </c>
      <c r="J412" t="s">
        <v>142</v>
      </c>
      <c r="K412">
        <v>10606.83</v>
      </c>
      <c r="L412" t="s">
        <v>143</v>
      </c>
      <c r="M412" t="s">
        <v>110</v>
      </c>
      <c r="O412" t="s">
        <v>600</v>
      </c>
      <c r="P412" t="s">
        <v>550</v>
      </c>
      <c r="Q412">
        <v>2021</v>
      </c>
      <c r="R412" t="s">
        <v>612</v>
      </c>
      <c r="S412" t="s">
        <v>613</v>
      </c>
      <c r="T412" t="s">
        <v>553</v>
      </c>
      <c r="U412" t="b">
        <v>0</v>
      </c>
      <c r="V412" t="s">
        <v>614</v>
      </c>
      <c r="W412" t="s">
        <v>587</v>
      </c>
      <c r="X412" t="s">
        <v>556</v>
      </c>
      <c r="Y412" t="s">
        <v>468</v>
      </c>
      <c r="AC412">
        <v>0</v>
      </c>
      <c r="AD412" t="s">
        <v>558</v>
      </c>
      <c r="AE412">
        <v>2.7577758000000001</v>
      </c>
      <c r="AF412">
        <v>2.5999999999999998E-4</v>
      </c>
      <c r="AG412" t="s">
        <v>588</v>
      </c>
      <c r="AH412">
        <v>1</v>
      </c>
      <c r="AI412">
        <v>10606.83</v>
      </c>
      <c r="AJ412" t="s">
        <v>561</v>
      </c>
      <c r="AK412" t="s">
        <v>589</v>
      </c>
      <c r="AL412" t="s">
        <v>603</v>
      </c>
      <c r="AM412">
        <v>2021</v>
      </c>
      <c r="AN412">
        <v>2019</v>
      </c>
      <c r="AO412">
        <f>IF(AND(emissions[[#This Row],[Market-based]]=0,emissions[[#This Row],[Impact Type]]="CO2E"),emissions[[#This Row],[kgCO2e]],0)/1000</f>
        <v>0</v>
      </c>
      <c r="AP412">
        <f>IF(AND(emissions[[#This Row],[Market-based]]=1,OR(emissions[[#This Row],[Impact Type]]="CO2E",emissions[[#This Row],[Impact Type]]="CO2E MKT")),emissions[[#This Row],[kgCO2e]],0)/1000</f>
        <v>0</v>
      </c>
      <c r="AQ412" t="str">
        <f>_xlfn.TEXTAFTER(emissions[[#This Row],[Reporting Unit]]," &gt; ",LEN(emissions[[#This Row],[Reporting Unit]])-LEN(SUBSTITUTE(emissions[[#This Row],[Reporting Unit]],"&gt;","")))</f>
        <v>Vantage_Leuna</v>
      </c>
      <c r="AR412" t="str">
        <f>_xlfn.XLOOKUP(emissions[[#This Row],[Reporting unit name]],hierarchy!$A:$A,hierarchy!$C:$C)</f>
        <v>Office (with heat &amp; steam)</v>
      </c>
    </row>
    <row r="413" spans="1:44" hidden="1" x14ac:dyDescent="0.25">
      <c r="A413">
        <v>5014</v>
      </c>
      <c r="B413" t="s">
        <v>164</v>
      </c>
      <c r="C413" t="s">
        <v>537</v>
      </c>
      <c r="D413" t="s">
        <v>599</v>
      </c>
      <c r="E413" s="3">
        <v>44197</v>
      </c>
      <c r="F413" s="3">
        <v>44561</v>
      </c>
      <c r="G413" t="s">
        <v>141</v>
      </c>
      <c r="H413" s="3">
        <v>44197</v>
      </c>
      <c r="I413" s="3">
        <v>44561</v>
      </c>
      <c r="J413" t="s">
        <v>142</v>
      </c>
      <c r="K413">
        <v>10606.83</v>
      </c>
      <c r="L413" t="s">
        <v>143</v>
      </c>
      <c r="M413" t="s">
        <v>110</v>
      </c>
      <c r="O413" t="s">
        <v>600</v>
      </c>
      <c r="P413" t="s">
        <v>550</v>
      </c>
      <c r="Q413">
        <v>2021</v>
      </c>
      <c r="R413" t="s">
        <v>612</v>
      </c>
      <c r="S413" t="s">
        <v>613</v>
      </c>
      <c r="T413" t="s">
        <v>553</v>
      </c>
      <c r="U413" t="b">
        <v>0</v>
      </c>
      <c r="V413" t="s">
        <v>614</v>
      </c>
      <c r="W413" t="s">
        <v>587</v>
      </c>
      <c r="X413" t="s">
        <v>556</v>
      </c>
      <c r="Y413" t="s">
        <v>468</v>
      </c>
      <c r="AC413">
        <v>0</v>
      </c>
      <c r="AD413" t="s">
        <v>564</v>
      </c>
      <c r="AE413">
        <v>28299.764920000001</v>
      </c>
      <c r="AF413">
        <v>2.6680700000000002</v>
      </c>
      <c r="AG413" t="s">
        <v>588</v>
      </c>
      <c r="AH413">
        <v>1</v>
      </c>
      <c r="AI413">
        <v>10606.83</v>
      </c>
      <c r="AJ413" t="s">
        <v>561</v>
      </c>
      <c r="AK413" t="s">
        <v>589</v>
      </c>
      <c r="AL413" t="s">
        <v>603</v>
      </c>
      <c r="AM413">
        <v>2021</v>
      </c>
      <c r="AN413">
        <v>2019</v>
      </c>
      <c r="AO413">
        <f>IF(AND(emissions[[#This Row],[Market-based]]=0,emissions[[#This Row],[Impact Type]]="CO2E"),emissions[[#This Row],[kgCO2e]],0)/1000</f>
        <v>0</v>
      </c>
      <c r="AP413">
        <f>IF(AND(emissions[[#This Row],[Market-based]]=1,OR(emissions[[#This Row],[Impact Type]]="CO2E",emissions[[#This Row],[Impact Type]]="CO2E MKT")),emissions[[#This Row],[kgCO2e]],0)/1000</f>
        <v>0</v>
      </c>
      <c r="AQ413" t="str">
        <f>_xlfn.TEXTAFTER(emissions[[#This Row],[Reporting Unit]]," &gt; ",LEN(emissions[[#This Row],[Reporting Unit]])-LEN(SUBSTITUTE(emissions[[#This Row],[Reporting Unit]],"&gt;","")))</f>
        <v>Vantage_Leuna</v>
      </c>
      <c r="AR413" t="str">
        <f>_xlfn.XLOOKUP(emissions[[#This Row],[Reporting unit name]],hierarchy!$A:$A,hierarchy!$C:$C)</f>
        <v>Office (with heat &amp; steam)</v>
      </c>
    </row>
    <row r="414" spans="1:44" hidden="1" x14ac:dyDescent="0.25">
      <c r="A414">
        <v>5014</v>
      </c>
      <c r="B414" t="s">
        <v>164</v>
      </c>
      <c r="C414" t="s">
        <v>537</v>
      </c>
      <c r="D414" t="s">
        <v>599</v>
      </c>
      <c r="E414" s="3">
        <v>44197</v>
      </c>
      <c r="F414" s="3">
        <v>44561</v>
      </c>
      <c r="G414" t="s">
        <v>141</v>
      </c>
      <c r="H414" s="3">
        <v>44197</v>
      </c>
      <c r="I414" s="3">
        <v>44561</v>
      </c>
      <c r="J414" t="s">
        <v>142</v>
      </c>
      <c r="K414">
        <v>10606.83</v>
      </c>
      <c r="L414" t="s">
        <v>143</v>
      </c>
      <c r="M414" t="s">
        <v>110</v>
      </c>
      <c r="O414" t="s">
        <v>600</v>
      </c>
      <c r="P414" t="s">
        <v>550</v>
      </c>
      <c r="Q414">
        <v>2021</v>
      </c>
      <c r="R414" t="s">
        <v>612</v>
      </c>
      <c r="S414" t="s">
        <v>613</v>
      </c>
      <c r="T414" t="s">
        <v>553</v>
      </c>
      <c r="U414" t="b">
        <v>0</v>
      </c>
      <c r="V414" t="s">
        <v>614</v>
      </c>
      <c r="W414" t="s">
        <v>587</v>
      </c>
      <c r="X414" t="s">
        <v>556</v>
      </c>
      <c r="Y414" t="s">
        <v>468</v>
      </c>
      <c r="AC414">
        <v>0</v>
      </c>
      <c r="AD414" t="s">
        <v>565</v>
      </c>
      <c r="AE414">
        <v>28697.09677</v>
      </c>
      <c r="AF414">
        <v>2.70553</v>
      </c>
      <c r="AG414" t="s">
        <v>588</v>
      </c>
      <c r="AH414">
        <v>1</v>
      </c>
      <c r="AI414">
        <v>10606.83</v>
      </c>
      <c r="AJ414" t="s">
        <v>561</v>
      </c>
      <c r="AK414" t="s">
        <v>589</v>
      </c>
      <c r="AL414" t="s">
        <v>603</v>
      </c>
      <c r="AM414">
        <v>2021</v>
      </c>
      <c r="AN414">
        <v>2019</v>
      </c>
      <c r="AO414">
        <f>IF(AND(emissions[[#This Row],[Market-based]]=0,emissions[[#This Row],[Impact Type]]="CO2E"),emissions[[#This Row],[kgCO2e]],0)/1000</f>
        <v>28.697096770000002</v>
      </c>
      <c r="AP414">
        <f>IF(AND(emissions[[#This Row],[Market-based]]=1,OR(emissions[[#This Row],[Impact Type]]="CO2E",emissions[[#This Row],[Impact Type]]="CO2E MKT")),emissions[[#This Row],[kgCO2e]],0)/1000</f>
        <v>0</v>
      </c>
      <c r="AQ414" t="str">
        <f>_xlfn.TEXTAFTER(emissions[[#This Row],[Reporting Unit]]," &gt; ",LEN(emissions[[#This Row],[Reporting Unit]])-LEN(SUBSTITUTE(emissions[[#This Row],[Reporting Unit]],"&gt;","")))</f>
        <v>Vantage_Leuna</v>
      </c>
      <c r="AR414" t="str">
        <f>_xlfn.XLOOKUP(emissions[[#This Row],[Reporting unit name]],hierarchy!$A:$A,hierarchy!$C:$C)</f>
        <v>Office (with heat &amp; steam)</v>
      </c>
    </row>
    <row r="415" spans="1:44" hidden="1" x14ac:dyDescent="0.25">
      <c r="A415">
        <v>5014</v>
      </c>
      <c r="B415" t="s">
        <v>164</v>
      </c>
      <c r="C415" t="s">
        <v>537</v>
      </c>
      <c r="D415" t="s">
        <v>599</v>
      </c>
      <c r="E415" s="3">
        <v>44197</v>
      </c>
      <c r="F415" s="3">
        <v>44561</v>
      </c>
      <c r="G415" t="s">
        <v>141</v>
      </c>
      <c r="H415" s="3">
        <v>44197</v>
      </c>
      <c r="I415" s="3">
        <v>44561</v>
      </c>
      <c r="J415" t="s">
        <v>142</v>
      </c>
      <c r="K415">
        <v>10606.83</v>
      </c>
      <c r="L415" t="s">
        <v>143</v>
      </c>
      <c r="M415" t="s">
        <v>110</v>
      </c>
      <c r="O415" t="s">
        <v>600</v>
      </c>
      <c r="P415" t="s">
        <v>550</v>
      </c>
      <c r="Q415">
        <v>2021</v>
      </c>
      <c r="R415" t="s">
        <v>612</v>
      </c>
      <c r="S415" t="s">
        <v>613</v>
      </c>
      <c r="T415" t="s">
        <v>553</v>
      </c>
      <c r="U415" t="b">
        <v>0</v>
      </c>
      <c r="V415" t="s">
        <v>614</v>
      </c>
      <c r="W415" t="s">
        <v>587</v>
      </c>
      <c r="X415" t="s">
        <v>556</v>
      </c>
      <c r="Y415" t="s">
        <v>468</v>
      </c>
      <c r="AC415">
        <v>0</v>
      </c>
      <c r="AD415" t="s">
        <v>566</v>
      </c>
      <c r="AE415">
        <v>394.57407599999999</v>
      </c>
      <c r="AF415">
        <v>3.7199999999999997E-2</v>
      </c>
      <c r="AG415" t="s">
        <v>588</v>
      </c>
      <c r="AH415">
        <v>1</v>
      </c>
      <c r="AI415">
        <v>10606.83</v>
      </c>
      <c r="AJ415" t="s">
        <v>561</v>
      </c>
      <c r="AK415" t="s">
        <v>589</v>
      </c>
      <c r="AL415" t="s">
        <v>603</v>
      </c>
      <c r="AM415">
        <v>2021</v>
      </c>
      <c r="AN415">
        <v>2019</v>
      </c>
      <c r="AO415">
        <f>IF(AND(emissions[[#This Row],[Market-based]]=0,emissions[[#This Row],[Impact Type]]="CO2E"),emissions[[#This Row],[kgCO2e]],0)/1000</f>
        <v>0</v>
      </c>
      <c r="AP415">
        <f>IF(AND(emissions[[#This Row],[Market-based]]=1,OR(emissions[[#This Row],[Impact Type]]="CO2E",emissions[[#This Row],[Impact Type]]="CO2E MKT")),emissions[[#This Row],[kgCO2e]],0)/1000</f>
        <v>0</v>
      </c>
      <c r="AQ415" t="str">
        <f>_xlfn.TEXTAFTER(emissions[[#This Row],[Reporting Unit]]," &gt; ",LEN(emissions[[#This Row],[Reporting Unit]])-LEN(SUBSTITUTE(emissions[[#This Row],[Reporting Unit]],"&gt;","")))</f>
        <v>Vantage_Leuna</v>
      </c>
      <c r="AR415" t="str">
        <f>_xlfn.XLOOKUP(emissions[[#This Row],[Reporting unit name]],hierarchy!$A:$A,hierarchy!$C:$C)</f>
        <v>Office (with heat &amp; steam)</v>
      </c>
    </row>
    <row r="416" spans="1:44" hidden="1" x14ac:dyDescent="0.25">
      <c r="A416">
        <v>5014</v>
      </c>
      <c r="B416" t="s">
        <v>164</v>
      </c>
      <c r="C416" t="s">
        <v>537</v>
      </c>
      <c r="D416" t="s">
        <v>599</v>
      </c>
      <c r="E416" s="3">
        <v>44197</v>
      </c>
      <c r="F416" s="3">
        <v>44561</v>
      </c>
      <c r="G416" t="s">
        <v>141</v>
      </c>
      <c r="H416" s="3">
        <v>44197</v>
      </c>
      <c r="I416" s="3">
        <v>44561</v>
      </c>
      <c r="J416" t="s">
        <v>142</v>
      </c>
      <c r="K416">
        <v>10606.83</v>
      </c>
      <c r="L416" t="s">
        <v>143</v>
      </c>
      <c r="M416" t="s">
        <v>110</v>
      </c>
      <c r="O416" t="s">
        <v>600</v>
      </c>
      <c r="P416" t="s">
        <v>550</v>
      </c>
      <c r="Q416">
        <v>2021</v>
      </c>
      <c r="R416" t="s">
        <v>612</v>
      </c>
      <c r="S416" t="s">
        <v>613</v>
      </c>
      <c r="T416" t="s">
        <v>553</v>
      </c>
      <c r="U416" t="b">
        <v>0</v>
      </c>
      <c r="V416" t="s">
        <v>614</v>
      </c>
      <c r="W416" t="s">
        <v>587</v>
      </c>
      <c r="X416" t="s">
        <v>556</v>
      </c>
      <c r="Y416" t="s">
        <v>468</v>
      </c>
      <c r="AC416">
        <v>1</v>
      </c>
      <c r="AD416" t="s">
        <v>558</v>
      </c>
      <c r="AE416">
        <v>2.7577758000000001</v>
      </c>
      <c r="AF416">
        <v>2.5999999999999998E-4</v>
      </c>
      <c r="AG416" t="s">
        <v>588</v>
      </c>
      <c r="AH416">
        <v>1</v>
      </c>
      <c r="AI416">
        <v>10606.83</v>
      </c>
      <c r="AJ416" t="s">
        <v>561</v>
      </c>
      <c r="AK416" t="s">
        <v>589</v>
      </c>
      <c r="AL416" t="s">
        <v>603</v>
      </c>
      <c r="AM416">
        <v>2021</v>
      </c>
      <c r="AN416">
        <v>2019</v>
      </c>
      <c r="AO416">
        <f>IF(AND(emissions[[#This Row],[Market-based]]=0,emissions[[#This Row],[Impact Type]]="CO2E"),emissions[[#This Row],[kgCO2e]],0)/1000</f>
        <v>0</v>
      </c>
      <c r="AP416">
        <f>IF(AND(emissions[[#This Row],[Market-based]]=1,OR(emissions[[#This Row],[Impact Type]]="CO2E",emissions[[#This Row],[Impact Type]]="CO2E MKT")),emissions[[#This Row],[kgCO2e]],0)/1000</f>
        <v>0</v>
      </c>
      <c r="AQ416" t="str">
        <f>_xlfn.TEXTAFTER(emissions[[#This Row],[Reporting Unit]]," &gt; ",LEN(emissions[[#This Row],[Reporting Unit]])-LEN(SUBSTITUTE(emissions[[#This Row],[Reporting Unit]],"&gt;","")))</f>
        <v>Vantage_Leuna</v>
      </c>
      <c r="AR416" t="str">
        <f>_xlfn.XLOOKUP(emissions[[#This Row],[Reporting unit name]],hierarchy!$A:$A,hierarchy!$C:$C)</f>
        <v>Office (with heat &amp; steam)</v>
      </c>
    </row>
    <row r="417" spans="1:44" hidden="1" x14ac:dyDescent="0.25">
      <c r="A417">
        <v>5014</v>
      </c>
      <c r="B417" t="s">
        <v>164</v>
      </c>
      <c r="C417" t="s">
        <v>537</v>
      </c>
      <c r="D417" t="s">
        <v>599</v>
      </c>
      <c r="E417" s="3">
        <v>44197</v>
      </c>
      <c r="F417" s="3">
        <v>44561</v>
      </c>
      <c r="G417" t="s">
        <v>141</v>
      </c>
      <c r="H417" s="3">
        <v>44197</v>
      </c>
      <c r="I417" s="3">
        <v>44561</v>
      </c>
      <c r="J417" t="s">
        <v>142</v>
      </c>
      <c r="K417">
        <v>10606.83</v>
      </c>
      <c r="L417" t="s">
        <v>143</v>
      </c>
      <c r="M417" t="s">
        <v>110</v>
      </c>
      <c r="O417" t="s">
        <v>600</v>
      </c>
      <c r="P417" t="s">
        <v>550</v>
      </c>
      <c r="Q417">
        <v>2021</v>
      </c>
      <c r="R417" t="s">
        <v>612</v>
      </c>
      <c r="S417" t="s">
        <v>613</v>
      </c>
      <c r="T417" t="s">
        <v>553</v>
      </c>
      <c r="U417" t="b">
        <v>0</v>
      </c>
      <c r="V417" t="s">
        <v>614</v>
      </c>
      <c r="W417" t="s">
        <v>587</v>
      </c>
      <c r="X417" t="s">
        <v>556</v>
      </c>
      <c r="Y417" t="s">
        <v>468</v>
      </c>
      <c r="AC417">
        <v>1</v>
      </c>
      <c r="AD417" t="s">
        <v>564</v>
      </c>
      <c r="AE417">
        <v>28299.764920000001</v>
      </c>
      <c r="AF417">
        <v>2.6680700000000002</v>
      </c>
      <c r="AG417" t="s">
        <v>588</v>
      </c>
      <c r="AH417">
        <v>1</v>
      </c>
      <c r="AI417">
        <v>10606.83</v>
      </c>
      <c r="AJ417" t="s">
        <v>561</v>
      </c>
      <c r="AK417" t="s">
        <v>589</v>
      </c>
      <c r="AL417" t="s">
        <v>603</v>
      </c>
      <c r="AM417">
        <v>2021</v>
      </c>
      <c r="AN417">
        <v>2019</v>
      </c>
      <c r="AO417">
        <f>IF(AND(emissions[[#This Row],[Market-based]]=0,emissions[[#This Row],[Impact Type]]="CO2E"),emissions[[#This Row],[kgCO2e]],0)/1000</f>
        <v>0</v>
      </c>
      <c r="AP417">
        <f>IF(AND(emissions[[#This Row],[Market-based]]=1,OR(emissions[[#This Row],[Impact Type]]="CO2E",emissions[[#This Row],[Impact Type]]="CO2E MKT")),emissions[[#This Row],[kgCO2e]],0)/1000</f>
        <v>0</v>
      </c>
      <c r="AQ417" t="str">
        <f>_xlfn.TEXTAFTER(emissions[[#This Row],[Reporting Unit]]," &gt; ",LEN(emissions[[#This Row],[Reporting Unit]])-LEN(SUBSTITUTE(emissions[[#This Row],[Reporting Unit]],"&gt;","")))</f>
        <v>Vantage_Leuna</v>
      </c>
      <c r="AR417" t="str">
        <f>_xlfn.XLOOKUP(emissions[[#This Row],[Reporting unit name]],hierarchy!$A:$A,hierarchy!$C:$C)</f>
        <v>Office (with heat &amp; steam)</v>
      </c>
    </row>
    <row r="418" spans="1:44" hidden="1" x14ac:dyDescent="0.25">
      <c r="A418">
        <v>5014</v>
      </c>
      <c r="B418" t="s">
        <v>164</v>
      </c>
      <c r="C418" t="s">
        <v>537</v>
      </c>
      <c r="D418" t="s">
        <v>599</v>
      </c>
      <c r="E418" s="3">
        <v>44197</v>
      </c>
      <c r="F418" s="3">
        <v>44561</v>
      </c>
      <c r="G418" t="s">
        <v>141</v>
      </c>
      <c r="H418" s="3">
        <v>44197</v>
      </c>
      <c r="I418" s="3">
        <v>44561</v>
      </c>
      <c r="J418" t="s">
        <v>142</v>
      </c>
      <c r="K418">
        <v>10606.83</v>
      </c>
      <c r="L418" t="s">
        <v>143</v>
      </c>
      <c r="M418" t="s">
        <v>110</v>
      </c>
      <c r="O418" t="s">
        <v>600</v>
      </c>
      <c r="P418" t="s">
        <v>550</v>
      </c>
      <c r="Q418">
        <v>2021</v>
      </c>
      <c r="R418" t="s">
        <v>612</v>
      </c>
      <c r="S418" t="s">
        <v>613</v>
      </c>
      <c r="T418" t="s">
        <v>553</v>
      </c>
      <c r="U418" t="b">
        <v>0</v>
      </c>
      <c r="V418" t="s">
        <v>614</v>
      </c>
      <c r="W418" t="s">
        <v>587</v>
      </c>
      <c r="X418" t="s">
        <v>556</v>
      </c>
      <c r="Y418" t="s">
        <v>468</v>
      </c>
      <c r="AC418">
        <v>1</v>
      </c>
      <c r="AD418" t="s">
        <v>565</v>
      </c>
      <c r="AE418">
        <v>28697.09677</v>
      </c>
      <c r="AF418">
        <v>2.70553</v>
      </c>
      <c r="AG418" t="s">
        <v>588</v>
      </c>
      <c r="AH418">
        <v>1</v>
      </c>
      <c r="AI418">
        <v>10606.83</v>
      </c>
      <c r="AJ418" t="s">
        <v>561</v>
      </c>
      <c r="AK418" t="s">
        <v>589</v>
      </c>
      <c r="AL418" t="s">
        <v>603</v>
      </c>
      <c r="AM418">
        <v>2021</v>
      </c>
      <c r="AN418">
        <v>2019</v>
      </c>
      <c r="AO418">
        <f>IF(AND(emissions[[#This Row],[Market-based]]=0,emissions[[#This Row],[Impact Type]]="CO2E"),emissions[[#This Row],[kgCO2e]],0)/1000</f>
        <v>0</v>
      </c>
      <c r="AP418">
        <f>IF(AND(emissions[[#This Row],[Market-based]]=1,OR(emissions[[#This Row],[Impact Type]]="CO2E",emissions[[#This Row],[Impact Type]]="CO2E MKT")),emissions[[#This Row],[kgCO2e]],0)/1000</f>
        <v>28.697096770000002</v>
      </c>
      <c r="AQ418" t="str">
        <f>_xlfn.TEXTAFTER(emissions[[#This Row],[Reporting Unit]]," &gt; ",LEN(emissions[[#This Row],[Reporting Unit]])-LEN(SUBSTITUTE(emissions[[#This Row],[Reporting Unit]],"&gt;","")))</f>
        <v>Vantage_Leuna</v>
      </c>
      <c r="AR418" t="str">
        <f>_xlfn.XLOOKUP(emissions[[#This Row],[Reporting unit name]],hierarchy!$A:$A,hierarchy!$C:$C)</f>
        <v>Office (with heat &amp; steam)</v>
      </c>
    </row>
    <row r="419" spans="1:44" hidden="1" x14ac:dyDescent="0.25">
      <c r="A419">
        <v>5014</v>
      </c>
      <c r="B419" t="s">
        <v>164</v>
      </c>
      <c r="C419" t="s">
        <v>537</v>
      </c>
      <c r="D419" t="s">
        <v>599</v>
      </c>
      <c r="E419" s="3">
        <v>44197</v>
      </c>
      <c r="F419" s="3">
        <v>44561</v>
      </c>
      <c r="G419" t="s">
        <v>141</v>
      </c>
      <c r="H419" s="3">
        <v>44197</v>
      </c>
      <c r="I419" s="3">
        <v>44561</v>
      </c>
      <c r="J419" t="s">
        <v>142</v>
      </c>
      <c r="K419">
        <v>10606.83</v>
      </c>
      <c r="L419" t="s">
        <v>143</v>
      </c>
      <c r="M419" t="s">
        <v>110</v>
      </c>
      <c r="O419" t="s">
        <v>600</v>
      </c>
      <c r="P419" t="s">
        <v>550</v>
      </c>
      <c r="Q419">
        <v>2021</v>
      </c>
      <c r="R419" t="s">
        <v>612</v>
      </c>
      <c r="S419" t="s">
        <v>613</v>
      </c>
      <c r="T419" t="s">
        <v>553</v>
      </c>
      <c r="U419" t="b">
        <v>0</v>
      </c>
      <c r="V419" t="s">
        <v>614</v>
      </c>
      <c r="W419" t="s">
        <v>587</v>
      </c>
      <c r="X419" t="s">
        <v>556</v>
      </c>
      <c r="Y419" t="s">
        <v>468</v>
      </c>
      <c r="AC419">
        <v>1</v>
      </c>
      <c r="AD419" t="s">
        <v>566</v>
      </c>
      <c r="AE419">
        <v>394.57407599999999</v>
      </c>
      <c r="AF419">
        <v>3.7199999999999997E-2</v>
      </c>
      <c r="AG419" t="s">
        <v>588</v>
      </c>
      <c r="AH419">
        <v>1</v>
      </c>
      <c r="AI419">
        <v>10606.83</v>
      </c>
      <c r="AJ419" t="s">
        <v>561</v>
      </c>
      <c r="AK419" t="s">
        <v>589</v>
      </c>
      <c r="AL419" t="s">
        <v>603</v>
      </c>
      <c r="AM419">
        <v>2021</v>
      </c>
      <c r="AN419">
        <v>2019</v>
      </c>
      <c r="AO419">
        <f>IF(AND(emissions[[#This Row],[Market-based]]=0,emissions[[#This Row],[Impact Type]]="CO2E"),emissions[[#This Row],[kgCO2e]],0)/1000</f>
        <v>0</v>
      </c>
      <c r="AP419">
        <f>IF(AND(emissions[[#This Row],[Market-based]]=1,OR(emissions[[#This Row],[Impact Type]]="CO2E",emissions[[#This Row],[Impact Type]]="CO2E MKT")),emissions[[#This Row],[kgCO2e]],0)/1000</f>
        <v>0</v>
      </c>
      <c r="AQ419" t="str">
        <f>_xlfn.TEXTAFTER(emissions[[#This Row],[Reporting Unit]]," &gt; ",LEN(emissions[[#This Row],[Reporting Unit]])-LEN(SUBSTITUTE(emissions[[#This Row],[Reporting Unit]],"&gt;","")))</f>
        <v>Vantage_Leuna</v>
      </c>
      <c r="AR419" t="str">
        <f>_xlfn.XLOOKUP(emissions[[#This Row],[Reporting unit name]],hierarchy!$A:$A,hierarchy!$C:$C)</f>
        <v>Office (with heat &amp; steam)</v>
      </c>
    </row>
    <row r="420" spans="1:44" hidden="1" x14ac:dyDescent="0.25">
      <c r="A420">
        <v>5014</v>
      </c>
      <c r="B420" t="s">
        <v>164</v>
      </c>
      <c r="C420" t="s">
        <v>537</v>
      </c>
      <c r="D420" t="s">
        <v>599</v>
      </c>
      <c r="E420" s="3">
        <v>44197</v>
      </c>
      <c r="F420" s="3">
        <v>44561</v>
      </c>
      <c r="G420" t="s">
        <v>141</v>
      </c>
      <c r="H420" s="3">
        <v>44197</v>
      </c>
      <c r="I420" s="3">
        <v>44561</v>
      </c>
      <c r="J420" t="s">
        <v>142</v>
      </c>
      <c r="K420">
        <v>10606.83</v>
      </c>
      <c r="L420" t="s">
        <v>143</v>
      </c>
      <c r="M420" t="s">
        <v>110</v>
      </c>
      <c r="O420" t="s">
        <v>600</v>
      </c>
      <c r="P420" t="s">
        <v>550</v>
      </c>
      <c r="Q420">
        <v>2021</v>
      </c>
      <c r="R420" t="s">
        <v>615</v>
      </c>
      <c r="S420" t="s">
        <v>616</v>
      </c>
      <c r="T420" t="s">
        <v>577</v>
      </c>
      <c r="U420" t="b">
        <v>0</v>
      </c>
      <c r="V420" t="s">
        <v>617</v>
      </c>
      <c r="W420" t="s">
        <v>571</v>
      </c>
      <c r="X420" t="s">
        <v>572</v>
      </c>
      <c r="Y420" t="s">
        <v>468</v>
      </c>
      <c r="AC420">
        <v>0</v>
      </c>
      <c r="AD420" t="s">
        <v>565</v>
      </c>
      <c r="AE420">
        <v>6668.9382939999996</v>
      </c>
      <c r="AF420">
        <v>0.62873999999999997</v>
      </c>
      <c r="AG420" t="s">
        <v>588</v>
      </c>
      <c r="AH420">
        <v>1</v>
      </c>
      <c r="AI420">
        <v>10606.83</v>
      </c>
      <c r="AJ420" t="s">
        <v>561</v>
      </c>
      <c r="AK420" t="s">
        <v>589</v>
      </c>
      <c r="AL420" t="s">
        <v>603</v>
      </c>
      <c r="AM420">
        <v>2021</v>
      </c>
      <c r="AN420">
        <v>2019</v>
      </c>
      <c r="AO420">
        <f>IF(AND(emissions[[#This Row],[Market-based]]=0,emissions[[#This Row],[Impact Type]]="CO2E"),emissions[[#This Row],[kgCO2e]],0)/1000</f>
        <v>6.6689382939999993</v>
      </c>
      <c r="AP420">
        <f>IF(AND(emissions[[#This Row],[Market-based]]=1,OR(emissions[[#This Row],[Impact Type]]="CO2E",emissions[[#This Row],[Impact Type]]="CO2E MKT")),emissions[[#This Row],[kgCO2e]],0)/1000</f>
        <v>0</v>
      </c>
      <c r="AQ420" t="str">
        <f>_xlfn.TEXTAFTER(emissions[[#This Row],[Reporting Unit]]," &gt; ",LEN(emissions[[#This Row],[Reporting Unit]])-LEN(SUBSTITUTE(emissions[[#This Row],[Reporting Unit]],"&gt;","")))</f>
        <v>Vantage_Leuna</v>
      </c>
      <c r="AR420" t="str">
        <f>_xlfn.XLOOKUP(emissions[[#This Row],[Reporting unit name]],hierarchy!$A:$A,hierarchy!$C:$C)</f>
        <v>Office (with heat &amp; steam)</v>
      </c>
    </row>
    <row r="421" spans="1:44" hidden="1" x14ac:dyDescent="0.25">
      <c r="A421">
        <v>5014</v>
      </c>
      <c r="B421" t="s">
        <v>164</v>
      </c>
      <c r="C421" t="s">
        <v>537</v>
      </c>
      <c r="D421" t="s">
        <v>599</v>
      </c>
      <c r="E421" s="3">
        <v>44197</v>
      </c>
      <c r="F421" s="3">
        <v>44561</v>
      </c>
      <c r="G421" t="s">
        <v>141</v>
      </c>
      <c r="H421" s="3">
        <v>44197</v>
      </c>
      <c r="I421" s="3">
        <v>44561</v>
      </c>
      <c r="J421" t="s">
        <v>142</v>
      </c>
      <c r="K421">
        <v>10606.83</v>
      </c>
      <c r="L421" t="s">
        <v>143</v>
      </c>
      <c r="M421" t="s">
        <v>110</v>
      </c>
      <c r="O421" t="s">
        <v>600</v>
      </c>
      <c r="P421" t="s">
        <v>550</v>
      </c>
      <c r="Q421">
        <v>2021</v>
      </c>
      <c r="R421" t="s">
        <v>615</v>
      </c>
      <c r="S421" t="s">
        <v>616</v>
      </c>
      <c r="T421" t="s">
        <v>577</v>
      </c>
      <c r="U421" t="b">
        <v>0</v>
      </c>
      <c r="V421" t="s">
        <v>617</v>
      </c>
      <c r="W421" t="s">
        <v>571</v>
      </c>
      <c r="X421" t="s">
        <v>572</v>
      </c>
      <c r="Y421" t="s">
        <v>468</v>
      </c>
      <c r="AC421">
        <v>1</v>
      </c>
      <c r="AD421" t="s">
        <v>565</v>
      </c>
      <c r="AE421">
        <v>6668.9382939999996</v>
      </c>
      <c r="AF421">
        <v>0.62873999999999997</v>
      </c>
      <c r="AG421" t="s">
        <v>588</v>
      </c>
      <c r="AH421">
        <v>1</v>
      </c>
      <c r="AI421">
        <v>10606.83</v>
      </c>
      <c r="AJ421" t="s">
        <v>561</v>
      </c>
      <c r="AK421" t="s">
        <v>589</v>
      </c>
      <c r="AL421" t="s">
        <v>603</v>
      </c>
      <c r="AM421">
        <v>2021</v>
      </c>
      <c r="AN421">
        <v>2019</v>
      </c>
      <c r="AO421">
        <f>IF(AND(emissions[[#This Row],[Market-based]]=0,emissions[[#This Row],[Impact Type]]="CO2E"),emissions[[#This Row],[kgCO2e]],0)/1000</f>
        <v>0</v>
      </c>
      <c r="AP421">
        <f>IF(AND(emissions[[#This Row],[Market-based]]=1,OR(emissions[[#This Row],[Impact Type]]="CO2E",emissions[[#This Row],[Impact Type]]="CO2E MKT")),emissions[[#This Row],[kgCO2e]],0)/1000</f>
        <v>6.6689382939999993</v>
      </c>
      <c r="AQ421" t="str">
        <f>_xlfn.TEXTAFTER(emissions[[#This Row],[Reporting Unit]]," &gt; ",LEN(emissions[[#This Row],[Reporting Unit]])-LEN(SUBSTITUTE(emissions[[#This Row],[Reporting Unit]],"&gt;","")))</f>
        <v>Vantage_Leuna</v>
      </c>
      <c r="AR421" t="str">
        <f>_xlfn.XLOOKUP(emissions[[#This Row],[Reporting unit name]],hierarchy!$A:$A,hierarchy!$C:$C)</f>
        <v>Office (with heat &amp; steam)</v>
      </c>
    </row>
    <row r="422" spans="1:44" hidden="1" x14ac:dyDescent="0.25">
      <c r="A422">
        <v>5015</v>
      </c>
      <c r="B422" t="s">
        <v>164</v>
      </c>
      <c r="C422" t="s">
        <v>537</v>
      </c>
      <c r="D422" t="s">
        <v>599</v>
      </c>
      <c r="E422" s="3">
        <v>44197</v>
      </c>
      <c r="F422" s="3">
        <v>44561</v>
      </c>
      <c r="G422" t="s">
        <v>141</v>
      </c>
      <c r="H422" s="3">
        <v>44197</v>
      </c>
      <c r="I422" s="3">
        <v>44561</v>
      </c>
      <c r="J422" t="s">
        <v>187</v>
      </c>
      <c r="K422">
        <v>2679.19</v>
      </c>
      <c r="L422" t="s">
        <v>143</v>
      </c>
      <c r="M422" t="s">
        <v>110</v>
      </c>
      <c r="O422" t="s">
        <v>600</v>
      </c>
      <c r="P422" t="s">
        <v>550</v>
      </c>
      <c r="Q422">
        <v>2021</v>
      </c>
      <c r="R422" t="s">
        <v>654</v>
      </c>
      <c r="S422" t="s">
        <v>655</v>
      </c>
      <c r="T422" t="s">
        <v>553</v>
      </c>
      <c r="U422" t="b">
        <v>0</v>
      </c>
      <c r="V422" t="s">
        <v>656</v>
      </c>
      <c r="W422" t="s">
        <v>587</v>
      </c>
      <c r="X422" t="s">
        <v>556</v>
      </c>
      <c r="Y422" t="s">
        <v>468</v>
      </c>
      <c r="AC422">
        <v>0</v>
      </c>
      <c r="AD422" t="s">
        <v>558</v>
      </c>
      <c r="AE422">
        <v>19.611670799999999</v>
      </c>
      <c r="AF422">
        <v>7.3200000000000001E-3</v>
      </c>
      <c r="AG422" t="s">
        <v>588</v>
      </c>
      <c r="AH422">
        <v>1</v>
      </c>
      <c r="AI422">
        <v>2679.19</v>
      </c>
      <c r="AJ422" t="s">
        <v>561</v>
      </c>
      <c r="AK422" t="s">
        <v>589</v>
      </c>
      <c r="AL422" t="s">
        <v>603</v>
      </c>
      <c r="AM422">
        <v>2021</v>
      </c>
      <c r="AN422">
        <v>2019</v>
      </c>
      <c r="AO422">
        <f>IF(AND(emissions[[#This Row],[Market-based]]=0,emissions[[#This Row],[Impact Type]]="CO2E"),emissions[[#This Row],[kgCO2e]],0)/1000</f>
        <v>0</v>
      </c>
      <c r="AP422">
        <f>IF(AND(emissions[[#This Row],[Market-based]]=1,OR(emissions[[#This Row],[Impact Type]]="CO2E",emissions[[#This Row],[Impact Type]]="CO2E MKT")),emissions[[#This Row],[kgCO2e]],0)/1000</f>
        <v>0</v>
      </c>
      <c r="AQ422" t="str">
        <f>_xlfn.TEXTAFTER(emissions[[#This Row],[Reporting Unit]]," &gt; ",LEN(emissions[[#This Row],[Reporting Unit]])-LEN(SUBSTITUTE(emissions[[#This Row],[Reporting Unit]],"&gt;","")))</f>
        <v>Vantage_Leuna</v>
      </c>
      <c r="AR422" t="str">
        <f>_xlfn.XLOOKUP(emissions[[#This Row],[Reporting unit name]],hierarchy!$A:$A,hierarchy!$C:$C)</f>
        <v>Office (with heat &amp; steam)</v>
      </c>
    </row>
    <row r="423" spans="1:44" hidden="1" x14ac:dyDescent="0.25">
      <c r="A423">
        <v>5015</v>
      </c>
      <c r="B423" t="s">
        <v>164</v>
      </c>
      <c r="C423" t="s">
        <v>537</v>
      </c>
      <c r="D423" t="s">
        <v>599</v>
      </c>
      <c r="E423" s="3">
        <v>44197</v>
      </c>
      <c r="F423" s="3">
        <v>44561</v>
      </c>
      <c r="G423" t="s">
        <v>141</v>
      </c>
      <c r="H423" s="3">
        <v>44197</v>
      </c>
      <c r="I423" s="3">
        <v>44561</v>
      </c>
      <c r="J423" t="s">
        <v>187</v>
      </c>
      <c r="K423">
        <v>2679.19</v>
      </c>
      <c r="L423" t="s">
        <v>143</v>
      </c>
      <c r="M423" t="s">
        <v>110</v>
      </c>
      <c r="O423" t="s">
        <v>600</v>
      </c>
      <c r="P423" t="s">
        <v>550</v>
      </c>
      <c r="Q423">
        <v>2021</v>
      </c>
      <c r="R423" t="s">
        <v>654</v>
      </c>
      <c r="S423" t="s">
        <v>655</v>
      </c>
      <c r="T423" t="s">
        <v>553</v>
      </c>
      <c r="U423" t="b">
        <v>0</v>
      </c>
      <c r="V423" t="s">
        <v>656</v>
      </c>
      <c r="W423" t="s">
        <v>587</v>
      </c>
      <c r="X423" t="s">
        <v>556</v>
      </c>
      <c r="Y423" t="s">
        <v>468</v>
      </c>
      <c r="AC423">
        <v>0</v>
      </c>
      <c r="AD423" t="s">
        <v>564</v>
      </c>
      <c r="AE423">
        <v>6230.9118070000004</v>
      </c>
      <c r="AF423">
        <v>2.3256700000000001</v>
      </c>
      <c r="AG423" t="s">
        <v>588</v>
      </c>
      <c r="AH423">
        <v>1</v>
      </c>
      <c r="AI423">
        <v>2679.19</v>
      </c>
      <c r="AJ423" t="s">
        <v>561</v>
      </c>
      <c r="AK423" t="s">
        <v>589</v>
      </c>
      <c r="AL423" t="s">
        <v>603</v>
      </c>
      <c r="AM423">
        <v>2021</v>
      </c>
      <c r="AN423">
        <v>2019</v>
      </c>
      <c r="AO423">
        <f>IF(AND(emissions[[#This Row],[Market-based]]=0,emissions[[#This Row],[Impact Type]]="CO2E"),emissions[[#This Row],[kgCO2e]],0)/1000</f>
        <v>0</v>
      </c>
      <c r="AP423">
        <f>IF(AND(emissions[[#This Row],[Market-based]]=1,OR(emissions[[#This Row],[Impact Type]]="CO2E",emissions[[#This Row],[Impact Type]]="CO2E MKT")),emissions[[#This Row],[kgCO2e]],0)/1000</f>
        <v>0</v>
      </c>
      <c r="AQ423" t="str">
        <f>_xlfn.TEXTAFTER(emissions[[#This Row],[Reporting Unit]]," &gt; ",LEN(emissions[[#This Row],[Reporting Unit]])-LEN(SUBSTITUTE(emissions[[#This Row],[Reporting Unit]],"&gt;","")))</f>
        <v>Vantage_Leuna</v>
      </c>
      <c r="AR423" t="str">
        <f>_xlfn.XLOOKUP(emissions[[#This Row],[Reporting unit name]],hierarchy!$A:$A,hierarchy!$C:$C)</f>
        <v>Office (with heat &amp; steam)</v>
      </c>
    </row>
    <row r="424" spans="1:44" hidden="1" x14ac:dyDescent="0.25">
      <c r="A424">
        <v>5015</v>
      </c>
      <c r="B424" t="s">
        <v>164</v>
      </c>
      <c r="C424" t="s">
        <v>537</v>
      </c>
      <c r="D424" t="s">
        <v>599</v>
      </c>
      <c r="E424" s="3">
        <v>44197</v>
      </c>
      <c r="F424" s="3">
        <v>44561</v>
      </c>
      <c r="G424" t="s">
        <v>141</v>
      </c>
      <c r="H424" s="3">
        <v>44197</v>
      </c>
      <c r="I424" s="3">
        <v>44561</v>
      </c>
      <c r="J424" t="s">
        <v>187</v>
      </c>
      <c r="K424">
        <v>2679.19</v>
      </c>
      <c r="L424" t="s">
        <v>143</v>
      </c>
      <c r="M424" t="s">
        <v>110</v>
      </c>
      <c r="O424" t="s">
        <v>600</v>
      </c>
      <c r="P424" t="s">
        <v>550</v>
      </c>
      <c r="Q424">
        <v>2021</v>
      </c>
      <c r="R424" t="s">
        <v>654</v>
      </c>
      <c r="S424" t="s">
        <v>655</v>
      </c>
      <c r="T424" t="s">
        <v>553</v>
      </c>
      <c r="U424" t="b">
        <v>0</v>
      </c>
      <c r="V424" t="s">
        <v>656</v>
      </c>
      <c r="W424" t="s">
        <v>587</v>
      </c>
      <c r="X424" t="s">
        <v>556</v>
      </c>
      <c r="Y424" t="s">
        <v>468</v>
      </c>
      <c r="AC424">
        <v>0</v>
      </c>
      <c r="AD424" t="s">
        <v>565</v>
      </c>
      <c r="AE424">
        <v>6268.5008429999998</v>
      </c>
      <c r="AF424">
        <v>2.3397000000000001</v>
      </c>
      <c r="AG424" t="s">
        <v>588</v>
      </c>
      <c r="AH424">
        <v>1</v>
      </c>
      <c r="AI424">
        <v>2679.19</v>
      </c>
      <c r="AJ424" t="s">
        <v>561</v>
      </c>
      <c r="AK424" t="s">
        <v>589</v>
      </c>
      <c r="AL424" t="s">
        <v>603</v>
      </c>
      <c r="AM424">
        <v>2021</v>
      </c>
      <c r="AN424">
        <v>2019</v>
      </c>
      <c r="AO424">
        <f>IF(AND(emissions[[#This Row],[Market-based]]=0,emissions[[#This Row],[Impact Type]]="CO2E"),emissions[[#This Row],[kgCO2e]],0)/1000</f>
        <v>6.268500843</v>
      </c>
      <c r="AP424">
        <f>IF(AND(emissions[[#This Row],[Market-based]]=1,OR(emissions[[#This Row],[Impact Type]]="CO2E",emissions[[#This Row],[Impact Type]]="CO2E MKT")),emissions[[#This Row],[kgCO2e]],0)/1000</f>
        <v>0</v>
      </c>
      <c r="AQ424" t="str">
        <f>_xlfn.TEXTAFTER(emissions[[#This Row],[Reporting Unit]]," &gt; ",LEN(emissions[[#This Row],[Reporting Unit]])-LEN(SUBSTITUTE(emissions[[#This Row],[Reporting Unit]],"&gt;","")))</f>
        <v>Vantage_Leuna</v>
      </c>
      <c r="AR424" t="str">
        <f>_xlfn.XLOOKUP(emissions[[#This Row],[Reporting unit name]],hierarchy!$A:$A,hierarchy!$C:$C)</f>
        <v>Office (with heat &amp; steam)</v>
      </c>
    </row>
    <row r="425" spans="1:44" hidden="1" x14ac:dyDescent="0.25">
      <c r="A425">
        <v>5015</v>
      </c>
      <c r="B425" t="s">
        <v>164</v>
      </c>
      <c r="C425" t="s">
        <v>537</v>
      </c>
      <c r="D425" t="s">
        <v>599</v>
      </c>
      <c r="E425" s="3">
        <v>44197</v>
      </c>
      <c r="F425" s="3">
        <v>44561</v>
      </c>
      <c r="G425" t="s">
        <v>141</v>
      </c>
      <c r="H425" s="3">
        <v>44197</v>
      </c>
      <c r="I425" s="3">
        <v>44561</v>
      </c>
      <c r="J425" t="s">
        <v>187</v>
      </c>
      <c r="K425">
        <v>2679.19</v>
      </c>
      <c r="L425" t="s">
        <v>143</v>
      </c>
      <c r="M425" t="s">
        <v>110</v>
      </c>
      <c r="O425" t="s">
        <v>600</v>
      </c>
      <c r="P425" t="s">
        <v>550</v>
      </c>
      <c r="Q425">
        <v>2021</v>
      </c>
      <c r="R425" t="s">
        <v>654</v>
      </c>
      <c r="S425" t="s">
        <v>655</v>
      </c>
      <c r="T425" t="s">
        <v>553</v>
      </c>
      <c r="U425" t="b">
        <v>0</v>
      </c>
      <c r="V425" t="s">
        <v>656</v>
      </c>
      <c r="W425" t="s">
        <v>587</v>
      </c>
      <c r="X425" t="s">
        <v>556</v>
      </c>
      <c r="Y425" t="s">
        <v>468</v>
      </c>
      <c r="AC425">
        <v>0</v>
      </c>
      <c r="AD425" t="s">
        <v>566</v>
      </c>
      <c r="AE425">
        <v>17.977364900000001</v>
      </c>
      <c r="AF425">
        <v>6.7099999999999998E-3</v>
      </c>
      <c r="AG425" t="s">
        <v>588</v>
      </c>
      <c r="AH425">
        <v>1</v>
      </c>
      <c r="AI425">
        <v>2679.19</v>
      </c>
      <c r="AJ425" t="s">
        <v>561</v>
      </c>
      <c r="AK425" t="s">
        <v>589</v>
      </c>
      <c r="AL425" t="s">
        <v>603</v>
      </c>
      <c r="AM425">
        <v>2021</v>
      </c>
      <c r="AN425">
        <v>2019</v>
      </c>
      <c r="AO425">
        <f>IF(AND(emissions[[#This Row],[Market-based]]=0,emissions[[#This Row],[Impact Type]]="CO2E"),emissions[[#This Row],[kgCO2e]],0)/1000</f>
        <v>0</v>
      </c>
      <c r="AP425">
        <f>IF(AND(emissions[[#This Row],[Market-based]]=1,OR(emissions[[#This Row],[Impact Type]]="CO2E",emissions[[#This Row],[Impact Type]]="CO2E MKT")),emissions[[#This Row],[kgCO2e]],0)/1000</f>
        <v>0</v>
      </c>
      <c r="AQ425" t="str">
        <f>_xlfn.TEXTAFTER(emissions[[#This Row],[Reporting Unit]]," &gt; ",LEN(emissions[[#This Row],[Reporting Unit]])-LEN(SUBSTITUTE(emissions[[#This Row],[Reporting Unit]],"&gt;","")))</f>
        <v>Vantage_Leuna</v>
      </c>
      <c r="AR425" t="str">
        <f>_xlfn.XLOOKUP(emissions[[#This Row],[Reporting unit name]],hierarchy!$A:$A,hierarchy!$C:$C)</f>
        <v>Office (with heat &amp; steam)</v>
      </c>
    </row>
    <row r="426" spans="1:44" hidden="1" x14ac:dyDescent="0.25">
      <c r="A426">
        <v>5015</v>
      </c>
      <c r="B426" t="s">
        <v>164</v>
      </c>
      <c r="C426" t="s">
        <v>537</v>
      </c>
      <c r="D426" t="s">
        <v>599</v>
      </c>
      <c r="E426" s="3">
        <v>44197</v>
      </c>
      <c r="F426" s="3">
        <v>44561</v>
      </c>
      <c r="G426" t="s">
        <v>141</v>
      </c>
      <c r="H426" s="3">
        <v>44197</v>
      </c>
      <c r="I426" s="3">
        <v>44561</v>
      </c>
      <c r="J426" t="s">
        <v>187</v>
      </c>
      <c r="K426">
        <v>2679.19</v>
      </c>
      <c r="L426" t="s">
        <v>143</v>
      </c>
      <c r="M426" t="s">
        <v>110</v>
      </c>
      <c r="O426" t="s">
        <v>600</v>
      </c>
      <c r="P426" t="s">
        <v>550</v>
      </c>
      <c r="Q426">
        <v>2021</v>
      </c>
      <c r="R426" t="s">
        <v>654</v>
      </c>
      <c r="S426" t="s">
        <v>655</v>
      </c>
      <c r="T426" t="s">
        <v>553</v>
      </c>
      <c r="U426" t="b">
        <v>0</v>
      </c>
      <c r="V426" t="s">
        <v>656</v>
      </c>
      <c r="W426" t="s">
        <v>587</v>
      </c>
      <c r="X426" t="s">
        <v>556</v>
      </c>
      <c r="Y426" t="s">
        <v>468</v>
      </c>
      <c r="AC426">
        <v>1</v>
      </c>
      <c r="AD426" t="s">
        <v>558</v>
      </c>
      <c r="AE426">
        <v>19.611670799999999</v>
      </c>
      <c r="AF426">
        <v>7.3200000000000001E-3</v>
      </c>
      <c r="AG426" t="s">
        <v>588</v>
      </c>
      <c r="AH426">
        <v>1</v>
      </c>
      <c r="AI426">
        <v>2679.19</v>
      </c>
      <c r="AJ426" t="s">
        <v>561</v>
      </c>
      <c r="AK426" t="s">
        <v>589</v>
      </c>
      <c r="AL426" t="s">
        <v>603</v>
      </c>
      <c r="AM426">
        <v>2021</v>
      </c>
      <c r="AN426">
        <v>2019</v>
      </c>
      <c r="AO426">
        <f>IF(AND(emissions[[#This Row],[Market-based]]=0,emissions[[#This Row],[Impact Type]]="CO2E"),emissions[[#This Row],[kgCO2e]],0)/1000</f>
        <v>0</v>
      </c>
      <c r="AP426">
        <f>IF(AND(emissions[[#This Row],[Market-based]]=1,OR(emissions[[#This Row],[Impact Type]]="CO2E",emissions[[#This Row],[Impact Type]]="CO2E MKT")),emissions[[#This Row],[kgCO2e]],0)/1000</f>
        <v>0</v>
      </c>
      <c r="AQ426" t="str">
        <f>_xlfn.TEXTAFTER(emissions[[#This Row],[Reporting Unit]]," &gt; ",LEN(emissions[[#This Row],[Reporting Unit]])-LEN(SUBSTITUTE(emissions[[#This Row],[Reporting Unit]],"&gt;","")))</f>
        <v>Vantage_Leuna</v>
      </c>
      <c r="AR426" t="str">
        <f>_xlfn.XLOOKUP(emissions[[#This Row],[Reporting unit name]],hierarchy!$A:$A,hierarchy!$C:$C)</f>
        <v>Office (with heat &amp; steam)</v>
      </c>
    </row>
    <row r="427" spans="1:44" hidden="1" x14ac:dyDescent="0.25">
      <c r="A427">
        <v>5015</v>
      </c>
      <c r="B427" t="s">
        <v>164</v>
      </c>
      <c r="C427" t="s">
        <v>537</v>
      </c>
      <c r="D427" t="s">
        <v>599</v>
      </c>
      <c r="E427" s="3">
        <v>44197</v>
      </c>
      <c r="F427" s="3">
        <v>44561</v>
      </c>
      <c r="G427" t="s">
        <v>141</v>
      </c>
      <c r="H427" s="3">
        <v>44197</v>
      </c>
      <c r="I427" s="3">
        <v>44561</v>
      </c>
      <c r="J427" t="s">
        <v>187</v>
      </c>
      <c r="K427">
        <v>2679.19</v>
      </c>
      <c r="L427" t="s">
        <v>143</v>
      </c>
      <c r="M427" t="s">
        <v>110</v>
      </c>
      <c r="O427" t="s">
        <v>600</v>
      </c>
      <c r="P427" t="s">
        <v>550</v>
      </c>
      <c r="Q427">
        <v>2021</v>
      </c>
      <c r="R427" t="s">
        <v>654</v>
      </c>
      <c r="S427" t="s">
        <v>655</v>
      </c>
      <c r="T427" t="s">
        <v>553</v>
      </c>
      <c r="U427" t="b">
        <v>0</v>
      </c>
      <c r="V427" t="s">
        <v>656</v>
      </c>
      <c r="W427" t="s">
        <v>587</v>
      </c>
      <c r="X427" t="s">
        <v>556</v>
      </c>
      <c r="Y427" t="s">
        <v>468</v>
      </c>
      <c r="AC427">
        <v>1</v>
      </c>
      <c r="AD427" t="s">
        <v>564</v>
      </c>
      <c r="AE427">
        <v>6230.9118070000004</v>
      </c>
      <c r="AF427">
        <v>2.3256700000000001</v>
      </c>
      <c r="AG427" t="s">
        <v>588</v>
      </c>
      <c r="AH427">
        <v>1</v>
      </c>
      <c r="AI427">
        <v>2679.19</v>
      </c>
      <c r="AJ427" t="s">
        <v>561</v>
      </c>
      <c r="AK427" t="s">
        <v>589</v>
      </c>
      <c r="AL427" t="s">
        <v>603</v>
      </c>
      <c r="AM427">
        <v>2021</v>
      </c>
      <c r="AN427">
        <v>2019</v>
      </c>
      <c r="AO427">
        <f>IF(AND(emissions[[#This Row],[Market-based]]=0,emissions[[#This Row],[Impact Type]]="CO2E"),emissions[[#This Row],[kgCO2e]],0)/1000</f>
        <v>0</v>
      </c>
      <c r="AP427">
        <f>IF(AND(emissions[[#This Row],[Market-based]]=1,OR(emissions[[#This Row],[Impact Type]]="CO2E",emissions[[#This Row],[Impact Type]]="CO2E MKT")),emissions[[#This Row],[kgCO2e]],0)/1000</f>
        <v>0</v>
      </c>
      <c r="AQ427" t="str">
        <f>_xlfn.TEXTAFTER(emissions[[#This Row],[Reporting Unit]]," &gt; ",LEN(emissions[[#This Row],[Reporting Unit]])-LEN(SUBSTITUTE(emissions[[#This Row],[Reporting Unit]],"&gt;","")))</f>
        <v>Vantage_Leuna</v>
      </c>
      <c r="AR427" t="str">
        <f>_xlfn.XLOOKUP(emissions[[#This Row],[Reporting unit name]],hierarchy!$A:$A,hierarchy!$C:$C)</f>
        <v>Office (with heat &amp; steam)</v>
      </c>
    </row>
    <row r="428" spans="1:44" hidden="1" x14ac:dyDescent="0.25">
      <c r="A428">
        <v>5015</v>
      </c>
      <c r="B428" t="s">
        <v>164</v>
      </c>
      <c r="C428" t="s">
        <v>537</v>
      </c>
      <c r="D428" t="s">
        <v>599</v>
      </c>
      <c r="E428" s="3">
        <v>44197</v>
      </c>
      <c r="F428" s="3">
        <v>44561</v>
      </c>
      <c r="G428" t="s">
        <v>141</v>
      </c>
      <c r="H428" s="3">
        <v>44197</v>
      </c>
      <c r="I428" s="3">
        <v>44561</v>
      </c>
      <c r="J428" t="s">
        <v>187</v>
      </c>
      <c r="K428">
        <v>2679.19</v>
      </c>
      <c r="L428" t="s">
        <v>143</v>
      </c>
      <c r="M428" t="s">
        <v>110</v>
      </c>
      <c r="O428" t="s">
        <v>600</v>
      </c>
      <c r="P428" t="s">
        <v>550</v>
      </c>
      <c r="Q428">
        <v>2021</v>
      </c>
      <c r="R428" t="s">
        <v>654</v>
      </c>
      <c r="S428" t="s">
        <v>655</v>
      </c>
      <c r="T428" t="s">
        <v>553</v>
      </c>
      <c r="U428" t="b">
        <v>0</v>
      </c>
      <c r="V428" t="s">
        <v>656</v>
      </c>
      <c r="W428" t="s">
        <v>587</v>
      </c>
      <c r="X428" t="s">
        <v>556</v>
      </c>
      <c r="Y428" t="s">
        <v>468</v>
      </c>
      <c r="AC428">
        <v>1</v>
      </c>
      <c r="AD428" t="s">
        <v>565</v>
      </c>
      <c r="AE428">
        <v>6268.5008429999998</v>
      </c>
      <c r="AF428">
        <v>2.3397000000000001</v>
      </c>
      <c r="AG428" t="s">
        <v>588</v>
      </c>
      <c r="AH428">
        <v>1</v>
      </c>
      <c r="AI428">
        <v>2679.19</v>
      </c>
      <c r="AJ428" t="s">
        <v>561</v>
      </c>
      <c r="AK428" t="s">
        <v>589</v>
      </c>
      <c r="AL428" t="s">
        <v>603</v>
      </c>
      <c r="AM428">
        <v>2021</v>
      </c>
      <c r="AN428">
        <v>2019</v>
      </c>
      <c r="AO428">
        <f>IF(AND(emissions[[#This Row],[Market-based]]=0,emissions[[#This Row],[Impact Type]]="CO2E"),emissions[[#This Row],[kgCO2e]],0)/1000</f>
        <v>0</v>
      </c>
      <c r="AP428">
        <f>IF(AND(emissions[[#This Row],[Market-based]]=1,OR(emissions[[#This Row],[Impact Type]]="CO2E",emissions[[#This Row],[Impact Type]]="CO2E MKT")),emissions[[#This Row],[kgCO2e]],0)/1000</f>
        <v>6.268500843</v>
      </c>
      <c r="AQ428" t="str">
        <f>_xlfn.TEXTAFTER(emissions[[#This Row],[Reporting Unit]]," &gt; ",LEN(emissions[[#This Row],[Reporting Unit]])-LEN(SUBSTITUTE(emissions[[#This Row],[Reporting Unit]],"&gt;","")))</f>
        <v>Vantage_Leuna</v>
      </c>
      <c r="AR428" t="str">
        <f>_xlfn.XLOOKUP(emissions[[#This Row],[Reporting unit name]],hierarchy!$A:$A,hierarchy!$C:$C)</f>
        <v>Office (with heat &amp; steam)</v>
      </c>
    </row>
    <row r="429" spans="1:44" hidden="1" x14ac:dyDescent="0.25">
      <c r="A429">
        <v>5015</v>
      </c>
      <c r="B429" t="s">
        <v>164</v>
      </c>
      <c r="C429" t="s">
        <v>537</v>
      </c>
      <c r="D429" t="s">
        <v>599</v>
      </c>
      <c r="E429" s="3">
        <v>44197</v>
      </c>
      <c r="F429" s="3">
        <v>44561</v>
      </c>
      <c r="G429" t="s">
        <v>141</v>
      </c>
      <c r="H429" s="3">
        <v>44197</v>
      </c>
      <c r="I429" s="3">
        <v>44561</v>
      </c>
      <c r="J429" t="s">
        <v>187</v>
      </c>
      <c r="K429">
        <v>2679.19</v>
      </c>
      <c r="L429" t="s">
        <v>143</v>
      </c>
      <c r="M429" t="s">
        <v>110</v>
      </c>
      <c r="O429" t="s">
        <v>600</v>
      </c>
      <c r="P429" t="s">
        <v>550</v>
      </c>
      <c r="Q429">
        <v>2021</v>
      </c>
      <c r="R429" t="s">
        <v>654</v>
      </c>
      <c r="S429" t="s">
        <v>655</v>
      </c>
      <c r="T429" t="s">
        <v>553</v>
      </c>
      <c r="U429" t="b">
        <v>0</v>
      </c>
      <c r="V429" t="s">
        <v>656</v>
      </c>
      <c r="W429" t="s">
        <v>587</v>
      </c>
      <c r="X429" t="s">
        <v>556</v>
      </c>
      <c r="Y429" t="s">
        <v>468</v>
      </c>
      <c r="AC429">
        <v>1</v>
      </c>
      <c r="AD429" t="s">
        <v>566</v>
      </c>
      <c r="AE429">
        <v>17.977364900000001</v>
      </c>
      <c r="AF429">
        <v>6.7099999999999998E-3</v>
      </c>
      <c r="AG429" t="s">
        <v>588</v>
      </c>
      <c r="AH429">
        <v>1</v>
      </c>
      <c r="AI429">
        <v>2679.19</v>
      </c>
      <c r="AJ429" t="s">
        <v>561</v>
      </c>
      <c r="AK429" t="s">
        <v>589</v>
      </c>
      <c r="AL429" t="s">
        <v>603</v>
      </c>
      <c r="AM429">
        <v>2021</v>
      </c>
      <c r="AN429">
        <v>2019</v>
      </c>
      <c r="AO429">
        <f>IF(AND(emissions[[#This Row],[Market-based]]=0,emissions[[#This Row],[Impact Type]]="CO2E"),emissions[[#This Row],[kgCO2e]],0)/1000</f>
        <v>0</v>
      </c>
      <c r="AP429">
        <f>IF(AND(emissions[[#This Row],[Market-based]]=1,OR(emissions[[#This Row],[Impact Type]]="CO2E",emissions[[#This Row],[Impact Type]]="CO2E MKT")),emissions[[#This Row],[kgCO2e]],0)/1000</f>
        <v>0</v>
      </c>
      <c r="AQ429" t="str">
        <f>_xlfn.TEXTAFTER(emissions[[#This Row],[Reporting Unit]]," &gt; ",LEN(emissions[[#This Row],[Reporting Unit]])-LEN(SUBSTITUTE(emissions[[#This Row],[Reporting Unit]],"&gt;","")))</f>
        <v>Vantage_Leuna</v>
      </c>
      <c r="AR429" t="str">
        <f>_xlfn.XLOOKUP(emissions[[#This Row],[Reporting unit name]],hierarchy!$A:$A,hierarchy!$C:$C)</f>
        <v>Office (with heat &amp; steam)</v>
      </c>
    </row>
    <row r="430" spans="1:44" hidden="1" x14ac:dyDescent="0.25">
      <c r="A430">
        <v>5015</v>
      </c>
      <c r="B430" t="s">
        <v>164</v>
      </c>
      <c r="C430" t="s">
        <v>537</v>
      </c>
      <c r="D430" t="s">
        <v>599</v>
      </c>
      <c r="E430" s="3">
        <v>44197</v>
      </c>
      <c r="F430" s="3">
        <v>44561</v>
      </c>
      <c r="G430" t="s">
        <v>141</v>
      </c>
      <c r="H430" s="3">
        <v>44197</v>
      </c>
      <c r="I430" s="3">
        <v>44561</v>
      </c>
      <c r="J430" t="s">
        <v>187</v>
      </c>
      <c r="K430">
        <v>2679.19</v>
      </c>
      <c r="L430" t="s">
        <v>143</v>
      </c>
      <c r="M430" t="s">
        <v>110</v>
      </c>
      <c r="O430" t="s">
        <v>600</v>
      </c>
      <c r="P430" t="s">
        <v>550</v>
      </c>
      <c r="Q430">
        <v>2021</v>
      </c>
      <c r="R430" t="s">
        <v>657</v>
      </c>
      <c r="S430" t="s">
        <v>658</v>
      </c>
      <c r="T430" t="s">
        <v>577</v>
      </c>
      <c r="U430" t="b">
        <v>0</v>
      </c>
      <c r="V430" t="s">
        <v>659</v>
      </c>
      <c r="W430" t="s">
        <v>571</v>
      </c>
      <c r="X430" t="s">
        <v>572</v>
      </c>
      <c r="Y430" t="s">
        <v>468</v>
      </c>
      <c r="AC430">
        <v>0</v>
      </c>
      <c r="AD430" t="s">
        <v>565</v>
      </c>
      <c r="AE430">
        <v>1615.096108</v>
      </c>
      <c r="AF430">
        <v>0.60282999999999998</v>
      </c>
      <c r="AG430" t="s">
        <v>588</v>
      </c>
      <c r="AH430">
        <v>1</v>
      </c>
      <c r="AI430">
        <v>2679.19</v>
      </c>
      <c r="AJ430" t="s">
        <v>561</v>
      </c>
      <c r="AK430" t="s">
        <v>589</v>
      </c>
      <c r="AL430" t="s">
        <v>603</v>
      </c>
      <c r="AM430">
        <v>2021</v>
      </c>
      <c r="AN430">
        <v>2019</v>
      </c>
      <c r="AO430">
        <f>IF(AND(emissions[[#This Row],[Market-based]]=0,emissions[[#This Row],[Impact Type]]="CO2E"),emissions[[#This Row],[kgCO2e]],0)/1000</f>
        <v>1.6150961079999999</v>
      </c>
      <c r="AP430">
        <f>IF(AND(emissions[[#This Row],[Market-based]]=1,OR(emissions[[#This Row],[Impact Type]]="CO2E",emissions[[#This Row],[Impact Type]]="CO2E MKT")),emissions[[#This Row],[kgCO2e]],0)/1000</f>
        <v>0</v>
      </c>
      <c r="AQ430" t="str">
        <f>_xlfn.TEXTAFTER(emissions[[#This Row],[Reporting Unit]]," &gt; ",LEN(emissions[[#This Row],[Reporting Unit]])-LEN(SUBSTITUTE(emissions[[#This Row],[Reporting Unit]],"&gt;","")))</f>
        <v>Vantage_Leuna</v>
      </c>
      <c r="AR430" t="str">
        <f>_xlfn.XLOOKUP(emissions[[#This Row],[Reporting unit name]],hierarchy!$A:$A,hierarchy!$C:$C)</f>
        <v>Office (with heat &amp; steam)</v>
      </c>
    </row>
    <row r="431" spans="1:44" hidden="1" x14ac:dyDescent="0.25">
      <c r="A431">
        <v>5015</v>
      </c>
      <c r="B431" t="s">
        <v>164</v>
      </c>
      <c r="C431" t="s">
        <v>537</v>
      </c>
      <c r="D431" t="s">
        <v>599</v>
      </c>
      <c r="E431" s="3">
        <v>44197</v>
      </c>
      <c r="F431" s="3">
        <v>44561</v>
      </c>
      <c r="G431" t="s">
        <v>141</v>
      </c>
      <c r="H431" s="3">
        <v>44197</v>
      </c>
      <c r="I431" s="3">
        <v>44561</v>
      </c>
      <c r="J431" t="s">
        <v>187</v>
      </c>
      <c r="K431">
        <v>2679.19</v>
      </c>
      <c r="L431" t="s">
        <v>143</v>
      </c>
      <c r="M431" t="s">
        <v>110</v>
      </c>
      <c r="O431" t="s">
        <v>600</v>
      </c>
      <c r="P431" t="s">
        <v>550</v>
      </c>
      <c r="Q431">
        <v>2021</v>
      </c>
      <c r="R431" t="s">
        <v>657</v>
      </c>
      <c r="S431" t="s">
        <v>658</v>
      </c>
      <c r="T431" t="s">
        <v>577</v>
      </c>
      <c r="U431" t="b">
        <v>0</v>
      </c>
      <c r="V431" t="s">
        <v>659</v>
      </c>
      <c r="W431" t="s">
        <v>571</v>
      </c>
      <c r="X431" t="s">
        <v>572</v>
      </c>
      <c r="Y431" t="s">
        <v>468</v>
      </c>
      <c r="AC431">
        <v>1</v>
      </c>
      <c r="AD431" t="s">
        <v>565</v>
      </c>
      <c r="AE431">
        <v>1615.096108</v>
      </c>
      <c r="AF431">
        <v>0.60282999999999998</v>
      </c>
      <c r="AG431" t="s">
        <v>588</v>
      </c>
      <c r="AH431">
        <v>1</v>
      </c>
      <c r="AI431">
        <v>2679.19</v>
      </c>
      <c r="AJ431" t="s">
        <v>561</v>
      </c>
      <c r="AK431" t="s">
        <v>589</v>
      </c>
      <c r="AL431" t="s">
        <v>603</v>
      </c>
      <c r="AM431">
        <v>2021</v>
      </c>
      <c r="AN431">
        <v>2019</v>
      </c>
      <c r="AO431">
        <f>IF(AND(emissions[[#This Row],[Market-based]]=0,emissions[[#This Row],[Impact Type]]="CO2E"),emissions[[#This Row],[kgCO2e]],0)/1000</f>
        <v>0</v>
      </c>
      <c r="AP431">
        <f>IF(AND(emissions[[#This Row],[Market-based]]=1,OR(emissions[[#This Row],[Impact Type]]="CO2E",emissions[[#This Row],[Impact Type]]="CO2E MKT")),emissions[[#This Row],[kgCO2e]],0)/1000</f>
        <v>1.6150961079999999</v>
      </c>
      <c r="AQ431" t="str">
        <f>_xlfn.TEXTAFTER(emissions[[#This Row],[Reporting Unit]]," &gt; ",LEN(emissions[[#This Row],[Reporting Unit]])-LEN(SUBSTITUTE(emissions[[#This Row],[Reporting Unit]],"&gt;","")))</f>
        <v>Vantage_Leuna</v>
      </c>
      <c r="AR431" t="str">
        <f>_xlfn.XLOOKUP(emissions[[#This Row],[Reporting unit name]],hierarchy!$A:$A,hierarchy!$C:$C)</f>
        <v>Office (with heat &amp; steam)</v>
      </c>
    </row>
    <row r="432" spans="1:44" hidden="1" x14ac:dyDescent="0.25">
      <c r="A432">
        <v>5040</v>
      </c>
      <c r="B432" t="s">
        <v>164</v>
      </c>
      <c r="C432" t="s">
        <v>537</v>
      </c>
      <c r="D432" t="s">
        <v>599</v>
      </c>
      <c r="E432" s="3">
        <v>44197</v>
      </c>
      <c r="F432" s="3">
        <v>44561</v>
      </c>
      <c r="G432" t="s">
        <v>116</v>
      </c>
      <c r="H432" s="3">
        <v>44197</v>
      </c>
      <c r="I432" s="3">
        <v>44561</v>
      </c>
      <c r="J432" t="s">
        <v>175</v>
      </c>
      <c r="K432">
        <v>34.4</v>
      </c>
      <c r="L432" t="s">
        <v>118</v>
      </c>
      <c r="M432" t="s">
        <v>110</v>
      </c>
      <c r="O432" t="s">
        <v>618</v>
      </c>
      <c r="P432" t="s">
        <v>550</v>
      </c>
      <c r="Q432">
        <v>2021</v>
      </c>
      <c r="R432" t="s">
        <v>664</v>
      </c>
      <c r="S432" t="s">
        <v>175</v>
      </c>
      <c r="T432" t="s">
        <v>553</v>
      </c>
      <c r="U432" t="b">
        <v>0</v>
      </c>
      <c r="V432" t="s">
        <v>665</v>
      </c>
      <c r="W432" t="s">
        <v>587</v>
      </c>
      <c r="X432" t="s">
        <v>556</v>
      </c>
      <c r="AC432">
        <v>0</v>
      </c>
      <c r="AD432" t="s">
        <v>565</v>
      </c>
      <c r="AE432">
        <v>71827.199999999997</v>
      </c>
      <c r="AF432">
        <v>2088</v>
      </c>
      <c r="AG432" t="s">
        <v>622</v>
      </c>
      <c r="AH432">
        <v>1</v>
      </c>
      <c r="AI432">
        <v>34.4</v>
      </c>
      <c r="AJ432" t="s">
        <v>561</v>
      </c>
      <c r="AK432" t="s">
        <v>623</v>
      </c>
      <c r="AL432" t="s">
        <v>624</v>
      </c>
      <c r="AM432">
        <v>2021</v>
      </c>
      <c r="AN432">
        <v>2007</v>
      </c>
      <c r="AO432">
        <f>IF(AND(emissions[[#This Row],[Market-based]]=0,emissions[[#This Row],[Impact Type]]="CO2E"),emissions[[#This Row],[kgCO2e]],0)/1000</f>
        <v>71.827199999999991</v>
      </c>
      <c r="AP432">
        <f>IF(AND(emissions[[#This Row],[Market-based]]=1,OR(emissions[[#This Row],[Impact Type]]="CO2E",emissions[[#This Row],[Impact Type]]="CO2E MKT")),emissions[[#This Row],[kgCO2e]],0)/1000</f>
        <v>0</v>
      </c>
      <c r="AQ432" t="str">
        <f>_xlfn.TEXTAFTER(emissions[[#This Row],[Reporting Unit]]," &gt; ",LEN(emissions[[#This Row],[Reporting Unit]])-LEN(SUBSTITUTE(emissions[[#This Row],[Reporting Unit]],"&gt;","")))</f>
        <v>Vantage_Leuna</v>
      </c>
      <c r="AR432" t="str">
        <f>_xlfn.XLOOKUP(emissions[[#This Row],[Reporting unit name]],hierarchy!$A:$A,hierarchy!$C:$C)</f>
        <v>Office (with heat &amp; steam)</v>
      </c>
    </row>
    <row r="433" spans="1:44" hidden="1" x14ac:dyDescent="0.25">
      <c r="A433">
        <v>5040</v>
      </c>
      <c r="B433" t="s">
        <v>164</v>
      </c>
      <c r="C433" t="s">
        <v>537</v>
      </c>
      <c r="D433" t="s">
        <v>599</v>
      </c>
      <c r="E433" s="3">
        <v>44197</v>
      </c>
      <c r="F433" s="3">
        <v>44561</v>
      </c>
      <c r="G433" t="s">
        <v>116</v>
      </c>
      <c r="H433" s="3">
        <v>44197</v>
      </c>
      <c r="I433" s="3">
        <v>44561</v>
      </c>
      <c r="J433" t="s">
        <v>175</v>
      </c>
      <c r="K433">
        <v>34.4</v>
      </c>
      <c r="L433" t="s">
        <v>118</v>
      </c>
      <c r="M433" t="s">
        <v>110</v>
      </c>
      <c r="O433" t="s">
        <v>618</v>
      </c>
      <c r="P433" t="s">
        <v>550</v>
      </c>
      <c r="Q433">
        <v>2021</v>
      </c>
      <c r="R433" t="s">
        <v>664</v>
      </c>
      <c r="S433" t="s">
        <v>175</v>
      </c>
      <c r="T433" t="s">
        <v>553</v>
      </c>
      <c r="U433" t="b">
        <v>0</v>
      </c>
      <c r="V433" t="s">
        <v>665</v>
      </c>
      <c r="W433" t="s">
        <v>587</v>
      </c>
      <c r="X433" t="s">
        <v>556</v>
      </c>
      <c r="AC433">
        <v>1</v>
      </c>
      <c r="AD433" t="s">
        <v>565</v>
      </c>
      <c r="AE433">
        <v>71827.199999999997</v>
      </c>
      <c r="AF433">
        <v>2088</v>
      </c>
      <c r="AG433" t="s">
        <v>622</v>
      </c>
      <c r="AH433">
        <v>1</v>
      </c>
      <c r="AI433">
        <v>34.4</v>
      </c>
      <c r="AJ433" t="s">
        <v>561</v>
      </c>
      <c r="AK433" t="s">
        <v>623</v>
      </c>
      <c r="AL433" t="s">
        <v>624</v>
      </c>
      <c r="AM433">
        <v>2021</v>
      </c>
      <c r="AN433">
        <v>2007</v>
      </c>
      <c r="AO433">
        <f>IF(AND(emissions[[#This Row],[Market-based]]=0,emissions[[#This Row],[Impact Type]]="CO2E"),emissions[[#This Row],[kgCO2e]],0)/1000</f>
        <v>0</v>
      </c>
      <c r="AP433">
        <f>IF(AND(emissions[[#This Row],[Market-based]]=1,OR(emissions[[#This Row],[Impact Type]]="CO2E",emissions[[#This Row],[Impact Type]]="CO2E MKT")),emissions[[#This Row],[kgCO2e]],0)/1000</f>
        <v>71.827199999999991</v>
      </c>
      <c r="AQ433" t="str">
        <f>_xlfn.TEXTAFTER(emissions[[#This Row],[Reporting Unit]]," &gt; ",LEN(emissions[[#This Row],[Reporting Unit]])-LEN(SUBSTITUTE(emissions[[#This Row],[Reporting Unit]],"&gt;","")))</f>
        <v>Vantage_Leuna</v>
      </c>
      <c r="AR433" t="str">
        <f>_xlfn.XLOOKUP(emissions[[#This Row],[Reporting unit name]],hierarchy!$A:$A,hierarchy!$C:$C)</f>
        <v>Office (with heat &amp; steam)</v>
      </c>
    </row>
    <row r="434" spans="1:44" hidden="1" x14ac:dyDescent="0.25">
      <c r="A434">
        <v>1257574</v>
      </c>
      <c r="B434" t="s">
        <v>164</v>
      </c>
      <c r="C434" t="s">
        <v>537</v>
      </c>
      <c r="D434" t="s">
        <v>599</v>
      </c>
      <c r="E434" s="3">
        <v>44197</v>
      </c>
      <c r="F434" s="3">
        <v>44561</v>
      </c>
      <c r="G434" t="s">
        <v>116</v>
      </c>
      <c r="H434" s="3">
        <v>44197</v>
      </c>
      <c r="I434" s="3">
        <v>44561</v>
      </c>
      <c r="J434" t="s">
        <v>178</v>
      </c>
      <c r="K434">
        <v>0</v>
      </c>
      <c r="L434" t="s">
        <v>118</v>
      </c>
      <c r="M434" t="s">
        <v>110</v>
      </c>
      <c r="O434" t="s">
        <v>714</v>
      </c>
      <c r="P434" t="s">
        <v>550</v>
      </c>
      <c r="Q434">
        <v>2021</v>
      </c>
      <c r="R434" t="s">
        <v>698</v>
      </c>
      <c r="S434" t="s">
        <v>178</v>
      </c>
      <c r="T434" t="s">
        <v>553</v>
      </c>
      <c r="U434" t="b">
        <v>0</v>
      </c>
      <c r="V434" t="s">
        <v>699</v>
      </c>
      <c r="W434" t="s">
        <v>587</v>
      </c>
      <c r="X434" t="s">
        <v>556</v>
      </c>
      <c r="AC434">
        <v>0</v>
      </c>
      <c r="AD434" t="s">
        <v>565</v>
      </c>
      <c r="AE434">
        <v>0</v>
      </c>
      <c r="AF434">
        <v>1774</v>
      </c>
      <c r="AG434" t="s">
        <v>622</v>
      </c>
      <c r="AH434">
        <v>1</v>
      </c>
      <c r="AI434">
        <v>0</v>
      </c>
      <c r="AJ434" t="s">
        <v>561</v>
      </c>
      <c r="AK434" t="s">
        <v>623</v>
      </c>
      <c r="AL434" t="s">
        <v>624</v>
      </c>
      <c r="AM434">
        <v>2021</v>
      </c>
      <c r="AN434">
        <v>2007</v>
      </c>
      <c r="AO434">
        <f>IF(AND(emissions[[#This Row],[Market-based]]=0,emissions[[#This Row],[Impact Type]]="CO2E"),emissions[[#This Row],[kgCO2e]],0)/1000</f>
        <v>0</v>
      </c>
      <c r="AP434">
        <f>IF(AND(emissions[[#This Row],[Market-based]]=1,OR(emissions[[#This Row],[Impact Type]]="CO2E",emissions[[#This Row],[Impact Type]]="CO2E MKT")),emissions[[#This Row],[kgCO2e]],0)/1000</f>
        <v>0</v>
      </c>
      <c r="AQ434" t="str">
        <f>_xlfn.TEXTAFTER(emissions[[#This Row],[Reporting Unit]]," &gt; ",LEN(emissions[[#This Row],[Reporting Unit]])-LEN(SUBSTITUTE(emissions[[#This Row],[Reporting Unit]],"&gt;","")))</f>
        <v>Vantage_Leuna</v>
      </c>
      <c r="AR434" t="str">
        <f>_xlfn.XLOOKUP(emissions[[#This Row],[Reporting unit name]],hierarchy!$A:$A,hierarchy!$C:$C)</f>
        <v>Office (with heat &amp; steam)</v>
      </c>
    </row>
    <row r="435" spans="1:44" hidden="1" x14ac:dyDescent="0.25">
      <c r="A435">
        <v>1257574</v>
      </c>
      <c r="B435" t="s">
        <v>164</v>
      </c>
      <c r="C435" t="s">
        <v>537</v>
      </c>
      <c r="D435" t="s">
        <v>599</v>
      </c>
      <c r="E435" s="3">
        <v>44197</v>
      </c>
      <c r="F435" s="3">
        <v>44561</v>
      </c>
      <c r="G435" t="s">
        <v>116</v>
      </c>
      <c r="H435" s="3">
        <v>44197</v>
      </c>
      <c r="I435" s="3">
        <v>44561</v>
      </c>
      <c r="J435" t="s">
        <v>178</v>
      </c>
      <c r="K435">
        <v>0</v>
      </c>
      <c r="L435" t="s">
        <v>118</v>
      </c>
      <c r="M435" t="s">
        <v>110</v>
      </c>
      <c r="O435" t="s">
        <v>714</v>
      </c>
      <c r="P435" t="s">
        <v>550</v>
      </c>
      <c r="Q435">
        <v>2021</v>
      </c>
      <c r="R435" t="s">
        <v>698</v>
      </c>
      <c r="S435" t="s">
        <v>178</v>
      </c>
      <c r="T435" t="s">
        <v>553</v>
      </c>
      <c r="U435" t="b">
        <v>0</v>
      </c>
      <c r="V435" t="s">
        <v>699</v>
      </c>
      <c r="W435" t="s">
        <v>587</v>
      </c>
      <c r="X435" t="s">
        <v>556</v>
      </c>
      <c r="AC435">
        <v>1</v>
      </c>
      <c r="AD435" t="s">
        <v>565</v>
      </c>
      <c r="AE435">
        <v>0</v>
      </c>
      <c r="AF435">
        <v>1774</v>
      </c>
      <c r="AG435" t="s">
        <v>622</v>
      </c>
      <c r="AH435">
        <v>1</v>
      </c>
      <c r="AI435">
        <v>0</v>
      </c>
      <c r="AJ435" t="s">
        <v>561</v>
      </c>
      <c r="AK435" t="s">
        <v>623</v>
      </c>
      <c r="AL435" t="s">
        <v>624</v>
      </c>
      <c r="AM435">
        <v>2021</v>
      </c>
      <c r="AN435">
        <v>2007</v>
      </c>
      <c r="AO435">
        <f>IF(AND(emissions[[#This Row],[Market-based]]=0,emissions[[#This Row],[Impact Type]]="CO2E"),emissions[[#This Row],[kgCO2e]],0)/1000</f>
        <v>0</v>
      </c>
      <c r="AP435">
        <f>IF(AND(emissions[[#This Row],[Market-based]]=1,OR(emissions[[#This Row],[Impact Type]]="CO2E",emissions[[#This Row],[Impact Type]]="CO2E MKT")),emissions[[#This Row],[kgCO2e]],0)/1000</f>
        <v>0</v>
      </c>
      <c r="AQ435" t="str">
        <f>_xlfn.TEXTAFTER(emissions[[#This Row],[Reporting Unit]]," &gt; ",LEN(emissions[[#This Row],[Reporting Unit]])-LEN(SUBSTITUTE(emissions[[#This Row],[Reporting Unit]],"&gt;","")))</f>
        <v>Vantage_Leuna</v>
      </c>
      <c r="AR435" t="str">
        <f>_xlfn.XLOOKUP(emissions[[#This Row],[Reporting unit name]],hierarchy!$A:$A,hierarchy!$C:$C)</f>
        <v>Office (with heat &amp; steam)</v>
      </c>
    </row>
    <row r="436" spans="1:44" hidden="1" x14ac:dyDescent="0.25">
      <c r="A436">
        <v>5169</v>
      </c>
      <c r="B436" t="s">
        <v>164</v>
      </c>
      <c r="C436" t="s">
        <v>537</v>
      </c>
      <c r="D436" t="s">
        <v>599</v>
      </c>
      <c r="E436" s="3">
        <v>44197</v>
      </c>
      <c r="F436" s="3">
        <v>44561</v>
      </c>
      <c r="G436" t="s">
        <v>181</v>
      </c>
      <c r="H436" s="3">
        <v>44197</v>
      </c>
      <c r="I436" s="3">
        <v>44561</v>
      </c>
      <c r="J436" t="s">
        <v>182</v>
      </c>
      <c r="K436">
        <v>37497000</v>
      </c>
      <c r="L436" t="s">
        <v>109</v>
      </c>
      <c r="M436" t="s">
        <v>110</v>
      </c>
      <c r="O436" t="s">
        <v>715</v>
      </c>
      <c r="P436" t="s">
        <v>550</v>
      </c>
      <c r="Q436">
        <v>2021</v>
      </c>
      <c r="R436" t="s">
        <v>700</v>
      </c>
      <c r="S436" t="s">
        <v>701</v>
      </c>
      <c r="T436" t="s">
        <v>553</v>
      </c>
      <c r="U436" t="b">
        <v>0</v>
      </c>
      <c r="V436" t="s">
        <v>716</v>
      </c>
      <c r="W436" t="s">
        <v>555</v>
      </c>
      <c r="X436" t="s">
        <v>556</v>
      </c>
      <c r="Y436" t="s">
        <v>468</v>
      </c>
      <c r="AC436">
        <v>0</v>
      </c>
      <c r="AD436" t="s">
        <v>558</v>
      </c>
      <c r="AE436">
        <v>40871.730000000003</v>
      </c>
      <c r="AF436">
        <v>1.09E-3</v>
      </c>
      <c r="AG436" t="s">
        <v>560</v>
      </c>
      <c r="AH436">
        <v>1</v>
      </c>
      <c r="AI436">
        <v>37497000</v>
      </c>
      <c r="AJ436" t="s">
        <v>561</v>
      </c>
      <c r="AK436" t="s">
        <v>589</v>
      </c>
      <c r="AL436" t="s">
        <v>603</v>
      </c>
      <c r="AM436">
        <v>2021</v>
      </c>
      <c r="AN436">
        <v>2019</v>
      </c>
      <c r="AO436">
        <f>IF(AND(emissions[[#This Row],[Market-based]]=0,emissions[[#This Row],[Impact Type]]="CO2E"),emissions[[#This Row],[kgCO2e]],0)/1000</f>
        <v>0</v>
      </c>
      <c r="AP436">
        <f>IF(AND(emissions[[#This Row],[Market-based]]=1,OR(emissions[[#This Row],[Impact Type]]="CO2E",emissions[[#This Row],[Impact Type]]="CO2E MKT")),emissions[[#This Row],[kgCO2e]],0)/1000</f>
        <v>0</v>
      </c>
      <c r="AQ436" t="str">
        <f>_xlfn.TEXTAFTER(emissions[[#This Row],[Reporting Unit]]," &gt; ",LEN(emissions[[#This Row],[Reporting Unit]])-LEN(SUBSTITUTE(emissions[[#This Row],[Reporting Unit]],"&gt;","")))</f>
        <v>Vantage_Leuna</v>
      </c>
      <c r="AR436" t="str">
        <f>_xlfn.XLOOKUP(emissions[[#This Row],[Reporting unit name]],hierarchy!$A:$A,hierarchy!$C:$C)</f>
        <v>Office (with heat &amp; steam)</v>
      </c>
    </row>
    <row r="437" spans="1:44" hidden="1" x14ac:dyDescent="0.25">
      <c r="A437">
        <v>5169</v>
      </c>
      <c r="B437" t="s">
        <v>164</v>
      </c>
      <c r="C437" t="s">
        <v>537</v>
      </c>
      <c r="D437" t="s">
        <v>599</v>
      </c>
      <c r="E437" s="3">
        <v>44197</v>
      </c>
      <c r="F437" s="3">
        <v>44561</v>
      </c>
      <c r="G437" t="s">
        <v>181</v>
      </c>
      <c r="H437" s="3">
        <v>44197</v>
      </c>
      <c r="I437" s="3">
        <v>44561</v>
      </c>
      <c r="J437" t="s">
        <v>182</v>
      </c>
      <c r="K437">
        <v>37497000</v>
      </c>
      <c r="L437" t="s">
        <v>109</v>
      </c>
      <c r="M437" t="s">
        <v>110</v>
      </c>
      <c r="O437" t="s">
        <v>715</v>
      </c>
      <c r="P437" t="s">
        <v>550</v>
      </c>
      <c r="Q437">
        <v>2021</v>
      </c>
      <c r="R437" t="s">
        <v>700</v>
      </c>
      <c r="S437" t="s">
        <v>701</v>
      </c>
      <c r="T437" t="s">
        <v>553</v>
      </c>
      <c r="U437" t="b">
        <v>0</v>
      </c>
      <c r="V437" t="s">
        <v>716</v>
      </c>
      <c r="W437" t="s">
        <v>555</v>
      </c>
      <c r="X437" t="s">
        <v>556</v>
      </c>
      <c r="Y437" t="s">
        <v>468</v>
      </c>
      <c r="AC437">
        <v>0</v>
      </c>
      <c r="AD437" t="s">
        <v>564</v>
      </c>
      <c r="AE437">
        <v>6339242.8200000003</v>
      </c>
      <c r="AF437">
        <v>0.16905999999999999</v>
      </c>
      <c r="AG437" t="s">
        <v>560</v>
      </c>
      <c r="AH437">
        <v>1</v>
      </c>
      <c r="AI437">
        <v>37497000</v>
      </c>
      <c r="AJ437" t="s">
        <v>561</v>
      </c>
      <c r="AK437" t="s">
        <v>589</v>
      </c>
      <c r="AL437" t="s">
        <v>603</v>
      </c>
      <c r="AM437">
        <v>2021</v>
      </c>
      <c r="AN437">
        <v>2019</v>
      </c>
      <c r="AO437">
        <f>IF(AND(emissions[[#This Row],[Market-based]]=0,emissions[[#This Row],[Impact Type]]="CO2E"),emissions[[#This Row],[kgCO2e]],0)/1000</f>
        <v>0</v>
      </c>
      <c r="AP437">
        <f>IF(AND(emissions[[#This Row],[Market-based]]=1,OR(emissions[[#This Row],[Impact Type]]="CO2E",emissions[[#This Row],[Impact Type]]="CO2E MKT")),emissions[[#This Row],[kgCO2e]],0)/1000</f>
        <v>0</v>
      </c>
      <c r="AQ437" t="str">
        <f>_xlfn.TEXTAFTER(emissions[[#This Row],[Reporting Unit]]," &gt; ",LEN(emissions[[#This Row],[Reporting Unit]])-LEN(SUBSTITUTE(emissions[[#This Row],[Reporting Unit]],"&gt;","")))</f>
        <v>Vantage_Leuna</v>
      </c>
      <c r="AR437" t="str">
        <f>_xlfn.XLOOKUP(emissions[[#This Row],[Reporting unit name]],hierarchy!$A:$A,hierarchy!$C:$C)</f>
        <v>Office (with heat &amp; steam)</v>
      </c>
    </row>
    <row r="438" spans="1:44" hidden="1" x14ac:dyDescent="0.25">
      <c r="A438">
        <v>5169</v>
      </c>
      <c r="B438" t="s">
        <v>164</v>
      </c>
      <c r="C438" t="s">
        <v>537</v>
      </c>
      <c r="D438" t="s">
        <v>599</v>
      </c>
      <c r="E438" s="3">
        <v>44197</v>
      </c>
      <c r="F438" s="3">
        <v>44561</v>
      </c>
      <c r="G438" t="s">
        <v>181</v>
      </c>
      <c r="H438" s="3">
        <v>44197</v>
      </c>
      <c r="I438" s="3">
        <v>44561</v>
      </c>
      <c r="J438" t="s">
        <v>182</v>
      </c>
      <c r="K438">
        <v>37497000</v>
      </c>
      <c r="L438" t="s">
        <v>109</v>
      </c>
      <c r="M438" t="s">
        <v>110</v>
      </c>
      <c r="O438" t="s">
        <v>715</v>
      </c>
      <c r="P438" t="s">
        <v>550</v>
      </c>
      <c r="Q438">
        <v>2021</v>
      </c>
      <c r="R438" t="s">
        <v>700</v>
      </c>
      <c r="S438" t="s">
        <v>701</v>
      </c>
      <c r="T438" t="s">
        <v>553</v>
      </c>
      <c r="U438" t="b">
        <v>0</v>
      </c>
      <c r="V438" t="s">
        <v>716</v>
      </c>
      <c r="W438" t="s">
        <v>555</v>
      </c>
      <c r="X438" t="s">
        <v>556</v>
      </c>
      <c r="Y438" t="s">
        <v>468</v>
      </c>
      <c r="AC438">
        <v>0</v>
      </c>
      <c r="AD438" t="s">
        <v>565</v>
      </c>
      <c r="AE438">
        <v>6401862.8099999996</v>
      </c>
      <c r="AF438">
        <v>0.17072999999999999</v>
      </c>
      <c r="AG438" t="s">
        <v>560</v>
      </c>
      <c r="AH438">
        <v>1</v>
      </c>
      <c r="AI438">
        <v>37497000</v>
      </c>
      <c r="AJ438" t="s">
        <v>561</v>
      </c>
      <c r="AK438" t="s">
        <v>589</v>
      </c>
      <c r="AL438" t="s">
        <v>603</v>
      </c>
      <c r="AM438">
        <v>2021</v>
      </c>
      <c r="AN438">
        <v>2019</v>
      </c>
      <c r="AO438">
        <f>IF(AND(emissions[[#This Row],[Market-based]]=0,emissions[[#This Row],[Impact Type]]="CO2E"),emissions[[#This Row],[kgCO2e]],0)/1000</f>
        <v>6401.8628099999996</v>
      </c>
      <c r="AP438">
        <f>IF(AND(emissions[[#This Row],[Market-based]]=1,OR(emissions[[#This Row],[Impact Type]]="CO2E",emissions[[#This Row],[Impact Type]]="CO2E MKT")),emissions[[#This Row],[kgCO2e]],0)/1000</f>
        <v>0</v>
      </c>
      <c r="AQ438" t="str">
        <f>_xlfn.TEXTAFTER(emissions[[#This Row],[Reporting Unit]]," &gt; ",LEN(emissions[[#This Row],[Reporting Unit]])-LEN(SUBSTITUTE(emissions[[#This Row],[Reporting Unit]],"&gt;","")))</f>
        <v>Vantage_Leuna</v>
      </c>
      <c r="AR438" t="str">
        <f>_xlfn.XLOOKUP(emissions[[#This Row],[Reporting unit name]],hierarchy!$A:$A,hierarchy!$C:$C)</f>
        <v>Office (with heat &amp; steam)</v>
      </c>
    </row>
    <row r="439" spans="1:44" hidden="1" x14ac:dyDescent="0.25">
      <c r="A439">
        <v>5169</v>
      </c>
      <c r="B439" t="s">
        <v>164</v>
      </c>
      <c r="C439" t="s">
        <v>537</v>
      </c>
      <c r="D439" t="s">
        <v>599</v>
      </c>
      <c r="E439" s="3">
        <v>44197</v>
      </c>
      <c r="F439" s="3">
        <v>44561</v>
      </c>
      <c r="G439" t="s">
        <v>181</v>
      </c>
      <c r="H439" s="3">
        <v>44197</v>
      </c>
      <c r="I439" s="3">
        <v>44561</v>
      </c>
      <c r="J439" t="s">
        <v>182</v>
      </c>
      <c r="K439">
        <v>37497000</v>
      </c>
      <c r="L439" t="s">
        <v>109</v>
      </c>
      <c r="M439" t="s">
        <v>110</v>
      </c>
      <c r="O439" t="s">
        <v>715</v>
      </c>
      <c r="P439" t="s">
        <v>550</v>
      </c>
      <c r="Q439">
        <v>2021</v>
      </c>
      <c r="R439" t="s">
        <v>700</v>
      </c>
      <c r="S439" t="s">
        <v>701</v>
      </c>
      <c r="T439" t="s">
        <v>553</v>
      </c>
      <c r="U439" t="b">
        <v>0</v>
      </c>
      <c r="V439" t="s">
        <v>716</v>
      </c>
      <c r="W439" t="s">
        <v>555</v>
      </c>
      <c r="X439" t="s">
        <v>556</v>
      </c>
      <c r="Y439" t="s">
        <v>468</v>
      </c>
      <c r="AC439">
        <v>0</v>
      </c>
      <c r="AD439" t="s">
        <v>566</v>
      </c>
      <c r="AE439">
        <v>21748.26</v>
      </c>
      <c r="AF439">
        <v>5.8E-4</v>
      </c>
      <c r="AG439" t="s">
        <v>560</v>
      </c>
      <c r="AH439">
        <v>1</v>
      </c>
      <c r="AI439">
        <v>37497000</v>
      </c>
      <c r="AJ439" t="s">
        <v>561</v>
      </c>
      <c r="AK439" t="s">
        <v>589</v>
      </c>
      <c r="AL439" t="s">
        <v>603</v>
      </c>
      <c r="AM439">
        <v>2021</v>
      </c>
      <c r="AN439">
        <v>2019</v>
      </c>
      <c r="AO439">
        <f>IF(AND(emissions[[#This Row],[Market-based]]=0,emissions[[#This Row],[Impact Type]]="CO2E"),emissions[[#This Row],[kgCO2e]],0)/1000</f>
        <v>0</v>
      </c>
      <c r="AP439">
        <f>IF(AND(emissions[[#This Row],[Market-based]]=1,OR(emissions[[#This Row],[Impact Type]]="CO2E",emissions[[#This Row],[Impact Type]]="CO2E MKT")),emissions[[#This Row],[kgCO2e]],0)/1000</f>
        <v>0</v>
      </c>
      <c r="AQ439" t="str">
        <f>_xlfn.TEXTAFTER(emissions[[#This Row],[Reporting Unit]]," &gt; ",LEN(emissions[[#This Row],[Reporting Unit]])-LEN(SUBSTITUTE(emissions[[#This Row],[Reporting Unit]],"&gt;","")))</f>
        <v>Vantage_Leuna</v>
      </c>
      <c r="AR439" t="str">
        <f>_xlfn.XLOOKUP(emissions[[#This Row],[Reporting unit name]],hierarchy!$A:$A,hierarchy!$C:$C)</f>
        <v>Office (with heat &amp; steam)</v>
      </c>
    </row>
    <row r="440" spans="1:44" hidden="1" x14ac:dyDescent="0.25">
      <c r="A440">
        <v>5169</v>
      </c>
      <c r="B440" t="s">
        <v>164</v>
      </c>
      <c r="C440" t="s">
        <v>537</v>
      </c>
      <c r="D440" t="s">
        <v>599</v>
      </c>
      <c r="E440" s="3">
        <v>44197</v>
      </c>
      <c r="F440" s="3">
        <v>44561</v>
      </c>
      <c r="G440" t="s">
        <v>181</v>
      </c>
      <c r="H440" s="3">
        <v>44197</v>
      </c>
      <c r="I440" s="3">
        <v>44561</v>
      </c>
      <c r="J440" t="s">
        <v>182</v>
      </c>
      <c r="K440">
        <v>37497000</v>
      </c>
      <c r="L440" t="s">
        <v>109</v>
      </c>
      <c r="M440" t="s">
        <v>110</v>
      </c>
      <c r="O440" t="s">
        <v>715</v>
      </c>
      <c r="P440" t="s">
        <v>550</v>
      </c>
      <c r="Q440">
        <v>2021</v>
      </c>
      <c r="R440" t="s">
        <v>700</v>
      </c>
      <c r="S440" t="s">
        <v>701</v>
      </c>
      <c r="T440" t="s">
        <v>553</v>
      </c>
      <c r="U440" t="b">
        <v>0</v>
      </c>
      <c r="V440" t="s">
        <v>716</v>
      </c>
      <c r="W440" t="s">
        <v>555</v>
      </c>
      <c r="X440" t="s">
        <v>556</v>
      </c>
      <c r="Y440" t="s">
        <v>468</v>
      </c>
      <c r="AC440">
        <v>1</v>
      </c>
      <c r="AD440" t="s">
        <v>558</v>
      </c>
      <c r="AE440">
        <v>40871.730000000003</v>
      </c>
      <c r="AF440">
        <v>1.09E-3</v>
      </c>
      <c r="AG440" t="s">
        <v>560</v>
      </c>
      <c r="AH440">
        <v>1</v>
      </c>
      <c r="AI440">
        <v>37497000</v>
      </c>
      <c r="AJ440" t="s">
        <v>561</v>
      </c>
      <c r="AK440" t="s">
        <v>589</v>
      </c>
      <c r="AL440" t="s">
        <v>603</v>
      </c>
      <c r="AM440">
        <v>2021</v>
      </c>
      <c r="AN440">
        <v>2019</v>
      </c>
      <c r="AO440">
        <f>IF(AND(emissions[[#This Row],[Market-based]]=0,emissions[[#This Row],[Impact Type]]="CO2E"),emissions[[#This Row],[kgCO2e]],0)/1000</f>
        <v>0</v>
      </c>
      <c r="AP440">
        <f>IF(AND(emissions[[#This Row],[Market-based]]=1,OR(emissions[[#This Row],[Impact Type]]="CO2E",emissions[[#This Row],[Impact Type]]="CO2E MKT")),emissions[[#This Row],[kgCO2e]],0)/1000</f>
        <v>0</v>
      </c>
      <c r="AQ440" t="str">
        <f>_xlfn.TEXTAFTER(emissions[[#This Row],[Reporting Unit]]," &gt; ",LEN(emissions[[#This Row],[Reporting Unit]])-LEN(SUBSTITUTE(emissions[[#This Row],[Reporting Unit]],"&gt;","")))</f>
        <v>Vantage_Leuna</v>
      </c>
      <c r="AR440" t="str">
        <f>_xlfn.XLOOKUP(emissions[[#This Row],[Reporting unit name]],hierarchy!$A:$A,hierarchy!$C:$C)</f>
        <v>Office (with heat &amp; steam)</v>
      </c>
    </row>
    <row r="441" spans="1:44" hidden="1" x14ac:dyDescent="0.25">
      <c r="A441">
        <v>5169</v>
      </c>
      <c r="B441" t="s">
        <v>164</v>
      </c>
      <c r="C441" t="s">
        <v>537</v>
      </c>
      <c r="D441" t="s">
        <v>599</v>
      </c>
      <c r="E441" s="3">
        <v>44197</v>
      </c>
      <c r="F441" s="3">
        <v>44561</v>
      </c>
      <c r="G441" t="s">
        <v>181</v>
      </c>
      <c r="H441" s="3">
        <v>44197</v>
      </c>
      <c r="I441" s="3">
        <v>44561</v>
      </c>
      <c r="J441" t="s">
        <v>182</v>
      </c>
      <c r="K441">
        <v>37497000</v>
      </c>
      <c r="L441" t="s">
        <v>109</v>
      </c>
      <c r="M441" t="s">
        <v>110</v>
      </c>
      <c r="O441" t="s">
        <v>715</v>
      </c>
      <c r="P441" t="s">
        <v>550</v>
      </c>
      <c r="Q441">
        <v>2021</v>
      </c>
      <c r="R441" t="s">
        <v>700</v>
      </c>
      <c r="S441" t="s">
        <v>701</v>
      </c>
      <c r="T441" t="s">
        <v>553</v>
      </c>
      <c r="U441" t="b">
        <v>0</v>
      </c>
      <c r="V441" t="s">
        <v>716</v>
      </c>
      <c r="W441" t="s">
        <v>555</v>
      </c>
      <c r="X441" t="s">
        <v>556</v>
      </c>
      <c r="Y441" t="s">
        <v>468</v>
      </c>
      <c r="AC441">
        <v>1</v>
      </c>
      <c r="AD441" t="s">
        <v>564</v>
      </c>
      <c r="AE441">
        <v>6339242.8200000003</v>
      </c>
      <c r="AF441">
        <v>0.16905999999999999</v>
      </c>
      <c r="AG441" t="s">
        <v>560</v>
      </c>
      <c r="AH441">
        <v>1</v>
      </c>
      <c r="AI441">
        <v>37497000</v>
      </c>
      <c r="AJ441" t="s">
        <v>561</v>
      </c>
      <c r="AK441" t="s">
        <v>589</v>
      </c>
      <c r="AL441" t="s">
        <v>603</v>
      </c>
      <c r="AM441">
        <v>2021</v>
      </c>
      <c r="AN441">
        <v>2019</v>
      </c>
      <c r="AO441">
        <f>IF(AND(emissions[[#This Row],[Market-based]]=0,emissions[[#This Row],[Impact Type]]="CO2E"),emissions[[#This Row],[kgCO2e]],0)/1000</f>
        <v>0</v>
      </c>
      <c r="AP441">
        <f>IF(AND(emissions[[#This Row],[Market-based]]=1,OR(emissions[[#This Row],[Impact Type]]="CO2E",emissions[[#This Row],[Impact Type]]="CO2E MKT")),emissions[[#This Row],[kgCO2e]],0)/1000</f>
        <v>0</v>
      </c>
      <c r="AQ441" t="str">
        <f>_xlfn.TEXTAFTER(emissions[[#This Row],[Reporting Unit]]," &gt; ",LEN(emissions[[#This Row],[Reporting Unit]])-LEN(SUBSTITUTE(emissions[[#This Row],[Reporting Unit]],"&gt;","")))</f>
        <v>Vantage_Leuna</v>
      </c>
      <c r="AR441" t="str">
        <f>_xlfn.XLOOKUP(emissions[[#This Row],[Reporting unit name]],hierarchy!$A:$A,hierarchy!$C:$C)</f>
        <v>Office (with heat &amp; steam)</v>
      </c>
    </row>
    <row r="442" spans="1:44" hidden="1" x14ac:dyDescent="0.25">
      <c r="A442">
        <v>5169</v>
      </c>
      <c r="B442" t="s">
        <v>164</v>
      </c>
      <c r="C442" t="s">
        <v>537</v>
      </c>
      <c r="D442" t="s">
        <v>599</v>
      </c>
      <c r="E442" s="3">
        <v>44197</v>
      </c>
      <c r="F442" s="3">
        <v>44561</v>
      </c>
      <c r="G442" t="s">
        <v>181</v>
      </c>
      <c r="H442" s="3">
        <v>44197</v>
      </c>
      <c r="I442" s="3">
        <v>44561</v>
      </c>
      <c r="J442" t="s">
        <v>182</v>
      </c>
      <c r="K442">
        <v>37497000</v>
      </c>
      <c r="L442" t="s">
        <v>109</v>
      </c>
      <c r="M442" t="s">
        <v>110</v>
      </c>
      <c r="O442" t="s">
        <v>715</v>
      </c>
      <c r="P442" t="s">
        <v>550</v>
      </c>
      <c r="Q442">
        <v>2021</v>
      </c>
      <c r="R442" t="s">
        <v>700</v>
      </c>
      <c r="S442" t="s">
        <v>701</v>
      </c>
      <c r="T442" t="s">
        <v>553</v>
      </c>
      <c r="U442" t="b">
        <v>0</v>
      </c>
      <c r="V442" t="s">
        <v>716</v>
      </c>
      <c r="W442" t="s">
        <v>555</v>
      </c>
      <c r="X442" t="s">
        <v>556</v>
      </c>
      <c r="Y442" t="s">
        <v>468</v>
      </c>
      <c r="AC442">
        <v>1</v>
      </c>
      <c r="AD442" t="s">
        <v>565</v>
      </c>
      <c r="AE442">
        <v>6401862.8099999996</v>
      </c>
      <c r="AF442">
        <v>0.17072999999999999</v>
      </c>
      <c r="AG442" t="s">
        <v>560</v>
      </c>
      <c r="AH442">
        <v>1</v>
      </c>
      <c r="AI442">
        <v>37497000</v>
      </c>
      <c r="AJ442" t="s">
        <v>561</v>
      </c>
      <c r="AK442" t="s">
        <v>589</v>
      </c>
      <c r="AL442" t="s">
        <v>603</v>
      </c>
      <c r="AM442">
        <v>2021</v>
      </c>
      <c r="AN442">
        <v>2019</v>
      </c>
      <c r="AO442">
        <f>IF(AND(emissions[[#This Row],[Market-based]]=0,emissions[[#This Row],[Impact Type]]="CO2E"),emissions[[#This Row],[kgCO2e]],0)/1000</f>
        <v>0</v>
      </c>
      <c r="AP442">
        <f>IF(AND(emissions[[#This Row],[Market-based]]=1,OR(emissions[[#This Row],[Impact Type]]="CO2E",emissions[[#This Row],[Impact Type]]="CO2E MKT")),emissions[[#This Row],[kgCO2e]],0)/1000</f>
        <v>6401.8628099999996</v>
      </c>
      <c r="AQ442" t="str">
        <f>_xlfn.TEXTAFTER(emissions[[#This Row],[Reporting Unit]]," &gt; ",LEN(emissions[[#This Row],[Reporting Unit]])-LEN(SUBSTITUTE(emissions[[#This Row],[Reporting Unit]],"&gt;","")))</f>
        <v>Vantage_Leuna</v>
      </c>
      <c r="AR442" t="str">
        <f>_xlfn.XLOOKUP(emissions[[#This Row],[Reporting unit name]],hierarchy!$A:$A,hierarchy!$C:$C)</f>
        <v>Office (with heat &amp; steam)</v>
      </c>
    </row>
    <row r="443" spans="1:44" hidden="1" x14ac:dyDescent="0.25">
      <c r="A443">
        <v>5169</v>
      </c>
      <c r="B443" t="s">
        <v>164</v>
      </c>
      <c r="C443" t="s">
        <v>537</v>
      </c>
      <c r="D443" t="s">
        <v>599</v>
      </c>
      <c r="E443" s="3">
        <v>44197</v>
      </c>
      <c r="F443" s="3">
        <v>44561</v>
      </c>
      <c r="G443" t="s">
        <v>181</v>
      </c>
      <c r="H443" s="3">
        <v>44197</v>
      </c>
      <c r="I443" s="3">
        <v>44561</v>
      </c>
      <c r="J443" t="s">
        <v>182</v>
      </c>
      <c r="K443">
        <v>37497000</v>
      </c>
      <c r="L443" t="s">
        <v>109</v>
      </c>
      <c r="M443" t="s">
        <v>110</v>
      </c>
      <c r="O443" t="s">
        <v>715</v>
      </c>
      <c r="P443" t="s">
        <v>550</v>
      </c>
      <c r="Q443">
        <v>2021</v>
      </c>
      <c r="R443" t="s">
        <v>700</v>
      </c>
      <c r="S443" t="s">
        <v>701</v>
      </c>
      <c r="T443" t="s">
        <v>553</v>
      </c>
      <c r="U443" t="b">
        <v>0</v>
      </c>
      <c r="V443" t="s">
        <v>716</v>
      </c>
      <c r="W443" t="s">
        <v>555</v>
      </c>
      <c r="X443" t="s">
        <v>556</v>
      </c>
      <c r="Y443" t="s">
        <v>468</v>
      </c>
      <c r="AC443">
        <v>1</v>
      </c>
      <c r="AD443" t="s">
        <v>566</v>
      </c>
      <c r="AE443">
        <v>21748.26</v>
      </c>
      <c r="AF443">
        <v>5.8E-4</v>
      </c>
      <c r="AG443" t="s">
        <v>560</v>
      </c>
      <c r="AH443">
        <v>1</v>
      </c>
      <c r="AI443">
        <v>37497000</v>
      </c>
      <c r="AJ443" t="s">
        <v>561</v>
      </c>
      <c r="AK443" t="s">
        <v>589</v>
      </c>
      <c r="AL443" t="s">
        <v>603</v>
      </c>
      <c r="AM443">
        <v>2021</v>
      </c>
      <c r="AN443">
        <v>2019</v>
      </c>
      <c r="AO443">
        <f>IF(AND(emissions[[#This Row],[Market-based]]=0,emissions[[#This Row],[Impact Type]]="CO2E"),emissions[[#This Row],[kgCO2e]],0)/1000</f>
        <v>0</v>
      </c>
      <c r="AP443">
        <f>IF(AND(emissions[[#This Row],[Market-based]]=1,OR(emissions[[#This Row],[Impact Type]]="CO2E",emissions[[#This Row],[Impact Type]]="CO2E MKT")),emissions[[#This Row],[kgCO2e]],0)/1000</f>
        <v>0</v>
      </c>
      <c r="AQ443" t="str">
        <f>_xlfn.TEXTAFTER(emissions[[#This Row],[Reporting Unit]]," &gt; ",LEN(emissions[[#This Row],[Reporting Unit]])-LEN(SUBSTITUTE(emissions[[#This Row],[Reporting Unit]],"&gt;","")))</f>
        <v>Vantage_Leuna</v>
      </c>
      <c r="AR443" t="str">
        <f>_xlfn.XLOOKUP(emissions[[#This Row],[Reporting unit name]],hierarchy!$A:$A,hierarchy!$C:$C)</f>
        <v>Office (with heat &amp; steam)</v>
      </c>
    </row>
    <row r="444" spans="1:44" hidden="1" x14ac:dyDescent="0.25">
      <c r="A444">
        <v>5169</v>
      </c>
      <c r="B444" t="s">
        <v>164</v>
      </c>
      <c r="C444" t="s">
        <v>537</v>
      </c>
      <c r="D444" t="s">
        <v>599</v>
      </c>
      <c r="E444" s="3">
        <v>44197</v>
      </c>
      <c r="F444" s="3">
        <v>44561</v>
      </c>
      <c r="G444" t="s">
        <v>181</v>
      </c>
      <c r="H444" s="3">
        <v>44197</v>
      </c>
      <c r="I444" s="3">
        <v>44561</v>
      </c>
      <c r="J444" t="s">
        <v>182</v>
      </c>
      <c r="K444">
        <v>37497000</v>
      </c>
      <c r="L444" t="s">
        <v>109</v>
      </c>
      <c r="M444" t="s">
        <v>110</v>
      </c>
      <c r="O444" t="s">
        <v>715</v>
      </c>
      <c r="P444" t="s">
        <v>550</v>
      </c>
      <c r="Q444">
        <v>2021</v>
      </c>
      <c r="R444" t="s">
        <v>703</v>
      </c>
      <c r="S444" t="s">
        <v>704</v>
      </c>
      <c r="T444" t="s">
        <v>569</v>
      </c>
      <c r="U444" t="b">
        <v>0</v>
      </c>
      <c r="V444" t="s">
        <v>717</v>
      </c>
      <c r="W444" t="s">
        <v>571</v>
      </c>
      <c r="X444" t="s">
        <v>572</v>
      </c>
      <c r="Y444" t="s">
        <v>468</v>
      </c>
      <c r="AC444">
        <v>0</v>
      </c>
      <c r="AD444" t="s">
        <v>565</v>
      </c>
      <c r="AE444">
        <v>1182280.4099999999</v>
      </c>
      <c r="AF444">
        <v>3.1530000000000002E-2</v>
      </c>
      <c r="AG444" t="s">
        <v>560</v>
      </c>
      <c r="AH444">
        <v>1</v>
      </c>
      <c r="AI444">
        <v>37497000</v>
      </c>
      <c r="AJ444" t="s">
        <v>561</v>
      </c>
      <c r="AK444" t="s">
        <v>589</v>
      </c>
      <c r="AL444" t="s">
        <v>603</v>
      </c>
      <c r="AM444">
        <v>2021</v>
      </c>
      <c r="AN444">
        <v>2019</v>
      </c>
      <c r="AO444">
        <f>IF(AND(emissions[[#This Row],[Market-based]]=0,emissions[[#This Row],[Impact Type]]="CO2E"),emissions[[#This Row],[kgCO2e]],0)/1000</f>
        <v>1182.2804099999998</v>
      </c>
      <c r="AP444">
        <f>IF(AND(emissions[[#This Row],[Market-based]]=1,OR(emissions[[#This Row],[Impact Type]]="CO2E",emissions[[#This Row],[Impact Type]]="CO2E MKT")),emissions[[#This Row],[kgCO2e]],0)/1000</f>
        <v>0</v>
      </c>
      <c r="AQ444" t="str">
        <f>_xlfn.TEXTAFTER(emissions[[#This Row],[Reporting Unit]]," &gt; ",LEN(emissions[[#This Row],[Reporting Unit]])-LEN(SUBSTITUTE(emissions[[#This Row],[Reporting Unit]],"&gt;","")))</f>
        <v>Vantage_Leuna</v>
      </c>
      <c r="AR444" t="str">
        <f>_xlfn.XLOOKUP(emissions[[#This Row],[Reporting unit name]],hierarchy!$A:$A,hierarchy!$C:$C)</f>
        <v>Office (with heat &amp; steam)</v>
      </c>
    </row>
    <row r="445" spans="1:44" hidden="1" x14ac:dyDescent="0.25">
      <c r="A445">
        <v>5169</v>
      </c>
      <c r="B445" t="s">
        <v>164</v>
      </c>
      <c r="C445" t="s">
        <v>537</v>
      </c>
      <c r="D445" t="s">
        <v>599</v>
      </c>
      <c r="E445" s="3">
        <v>44197</v>
      </c>
      <c r="F445" s="3">
        <v>44561</v>
      </c>
      <c r="G445" t="s">
        <v>181</v>
      </c>
      <c r="H445" s="3">
        <v>44197</v>
      </c>
      <c r="I445" s="3">
        <v>44561</v>
      </c>
      <c r="J445" t="s">
        <v>182</v>
      </c>
      <c r="K445">
        <v>37497000</v>
      </c>
      <c r="L445" t="s">
        <v>109</v>
      </c>
      <c r="M445" t="s">
        <v>110</v>
      </c>
      <c r="O445" t="s">
        <v>715</v>
      </c>
      <c r="P445" t="s">
        <v>550</v>
      </c>
      <c r="Q445">
        <v>2021</v>
      </c>
      <c r="R445" t="s">
        <v>703</v>
      </c>
      <c r="S445" t="s">
        <v>704</v>
      </c>
      <c r="T445" t="s">
        <v>569</v>
      </c>
      <c r="U445" t="b">
        <v>0</v>
      </c>
      <c r="V445" t="s">
        <v>717</v>
      </c>
      <c r="W445" t="s">
        <v>571</v>
      </c>
      <c r="X445" t="s">
        <v>572</v>
      </c>
      <c r="Y445" t="s">
        <v>468</v>
      </c>
      <c r="AC445">
        <v>1</v>
      </c>
      <c r="AD445" t="s">
        <v>565</v>
      </c>
      <c r="AE445">
        <v>1182280.4099999999</v>
      </c>
      <c r="AF445">
        <v>3.1530000000000002E-2</v>
      </c>
      <c r="AG445" t="s">
        <v>560</v>
      </c>
      <c r="AH445">
        <v>1</v>
      </c>
      <c r="AI445">
        <v>37497000</v>
      </c>
      <c r="AJ445" t="s">
        <v>561</v>
      </c>
      <c r="AK445" t="s">
        <v>589</v>
      </c>
      <c r="AL445" t="s">
        <v>603</v>
      </c>
      <c r="AM445">
        <v>2021</v>
      </c>
      <c r="AN445">
        <v>2019</v>
      </c>
      <c r="AO445">
        <f>IF(AND(emissions[[#This Row],[Market-based]]=0,emissions[[#This Row],[Impact Type]]="CO2E"),emissions[[#This Row],[kgCO2e]],0)/1000</f>
        <v>0</v>
      </c>
      <c r="AP445">
        <f>IF(AND(emissions[[#This Row],[Market-based]]=1,OR(emissions[[#This Row],[Impact Type]]="CO2E",emissions[[#This Row],[Impact Type]]="CO2E MKT")),emissions[[#This Row],[kgCO2e]],0)/1000</f>
        <v>1182.2804099999998</v>
      </c>
      <c r="AQ445" t="str">
        <f>_xlfn.TEXTAFTER(emissions[[#This Row],[Reporting Unit]]," &gt; ",LEN(emissions[[#This Row],[Reporting Unit]])-LEN(SUBSTITUTE(emissions[[#This Row],[Reporting Unit]],"&gt;","")))</f>
        <v>Vantage_Leuna</v>
      </c>
      <c r="AR445" t="str">
        <f>_xlfn.XLOOKUP(emissions[[#This Row],[Reporting unit name]],hierarchy!$A:$A,hierarchy!$C:$C)</f>
        <v>Office (with heat &amp; steam)</v>
      </c>
    </row>
    <row r="446" spans="1:44" hidden="1" x14ac:dyDescent="0.25">
      <c r="A446">
        <v>5169</v>
      </c>
      <c r="B446" t="s">
        <v>164</v>
      </c>
      <c r="C446" t="s">
        <v>537</v>
      </c>
      <c r="D446" t="s">
        <v>599</v>
      </c>
      <c r="E446" s="3">
        <v>44197</v>
      </c>
      <c r="F446" s="3">
        <v>44561</v>
      </c>
      <c r="G446" t="s">
        <v>181</v>
      </c>
      <c r="H446" s="3">
        <v>44197</v>
      </c>
      <c r="I446" s="3">
        <v>44561</v>
      </c>
      <c r="J446" t="s">
        <v>182</v>
      </c>
      <c r="K446">
        <v>37497000</v>
      </c>
      <c r="L446" t="s">
        <v>109</v>
      </c>
      <c r="M446" t="s">
        <v>110</v>
      </c>
      <c r="O446" t="s">
        <v>715</v>
      </c>
      <c r="P446" t="s">
        <v>550</v>
      </c>
      <c r="Q446">
        <v>2021</v>
      </c>
      <c r="R446" t="s">
        <v>706</v>
      </c>
      <c r="S446" t="s">
        <v>707</v>
      </c>
      <c r="T446" t="s">
        <v>577</v>
      </c>
      <c r="U446" t="b">
        <v>0</v>
      </c>
      <c r="V446" t="s">
        <v>718</v>
      </c>
      <c r="W446" t="s">
        <v>571</v>
      </c>
      <c r="X446" t="s">
        <v>572</v>
      </c>
      <c r="Y446" t="s">
        <v>468</v>
      </c>
      <c r="AC446">
        <v>0</v>
      </c>
      <c r="AD446" t="s">
        <v>565</v>
      </c>
      <c r="AE446">
        <v>62225.284740000003</v>
      </c>
      <c r="AF446">
        <v>1.659474E-3</v>
      </c>
      <c r="AG446" t="s">
        <v>560</v>
      </c>
      <c r="AH446">
        <v>1</v>
      </c>
      <c r="AI446">
        <v>37497000</v>
      </c>
      <c r="AJ446" t="s">
        <v>561</v>
      </c>
      <c r="AK446" t="s">
        <v>589</v>
      </c>
      <c r="AL446" t="s">
        <v>603</v>
      </c>
      <c r="AM446">
        <v>2021</v>
      </c>
      <c r="AN446">
        <v>2019</v>
      </c>
      <c r="AO446">
        <f>IF(AND(emissions[[#This Row],[Market-based]]=0,emissions[[#This Row],[Impact Type]]="CO2E"),emissions[[#This Row],[kgCO2e]],0)/1000</f>
        <v>62.225284739999999</v>
      </c>
      <c r="AP446">
        <f>IF(AND(emissions[[#This Row],[Market-based]]=1,OR(emissions[[#This Row],[Impact Type]]="CO2E",emissions[[#This Row],[Impact Type]]="CO2E MKT")),emissions[[#This Row],[kgCO2e]],0)/1000</f>
        <v>0</v>
      </c>
      <c r="AQ446" t="str">
        <f>_xlfn.TEXTAFTER(emissions[[#This Row],[Reporting Unit]]," &gt; ",LEN(emissions[[#This Row],[Reporting Unit]])-LEN(SUBSTITUTE(emissions[[#This Row],[Reporting Unit]],"&gt;","")))</f>
        <v>Vantage_Leuna</v>
      </c>
      <c r="AR446" t="str">
        <f>_xlfn.XLOOKUP(emissions[[#This Row],[Reporting unit name]],hierarchy!$A:$A,hierarchy!$C:$C)</f>
        <v>Office (with heat &amp; steam)</v>
      </c>
    </row>
    <row r="447" spans="1:44" hidden="1" x14ac:dyDescent="0.25">
      <c r="A447">
        <v>5169</v>
      </c>
      <c r="B447" t="s">
        <v>164</v>
      </c>
      <c r="C447" t="s">
        <v>537</v>
      </c>
      <c r="D447" t="s">
        <v>599</v>
      </c>
      <c r="E447" s="3">
        <v>44197</v>
      </c>
      <c r="F447" s="3">
        <v>44561</v>
      </c>
      <c r="G447" t="s">
        <v>181</v>
      </c>
      <c r="H447" s="3">
        <v>44197</v>
      </c>
      <c r="I447" s="3">
        <v>44561</v>
      </c>
      <c r="J447" t="s">
        <v>182</v>
      </c>
      <c r="K447">
        <v>37497000</v>
      </c>
      <c r="L447" t="s">
        <v>109</v>
      </c>
      <c r="M447" t="s">
        <v>110</v>
      </c>
      <c r="O447" t="s">
        <v>715</v>
      </c>
      <c r="P447" t="s">
        <v>550</v>
      </c>
      <c r="Q447">
        <v>2021</v>
      </c>
      <c r="R447" t="s">
        <v>706</v>
      </c>
      <c r="S447" t="s">
        <v>707</v>
      </c>
      <c r="T447" t="s">
        <v>577</v>
      </c>
      <c r="U447" t="b">
        <v>0</v>
      </c>
      <c r="V447" t="s">
        <v>718</v>
      </c>
      <c r="W447" t="s">
        <v>571</v>
      </c>
      <c r="X447" t="s">
        <v>572</v>
      </c>
      <c r="Y447" t="s">
        <v>468</v>
      </c>
      <c r="AC447">
        <v>1</v>
      </c>
      <c r="AD447" t="s">
        <v>565</v>
      </c>
      <c r="AE447">
        <v>62225.284740000003</v>
      </c>
      <c r="AF447">
        <v>1.659474E-3</v>
      </c>
      <c r="AG447" t="s">
        <v>560</v>
      </c>
      <c r="AH447">
        <v>1</v>
      </c>
      <c r="AI447">
        <v>37497000</v>
      </c>
      <c r="AJ447" t="s">
        <v>561</v>
      </c>
      <c r="AK447" t="s">
        <v>589</v>
      </c>
      <c r="AL447" t="s">
        <v>603</v>
      </c>
      <c r="AM447">
        <v>2021</v>
      </c>
      <c r="AN447">
        <v>2019</v>
      </c>
      <c r="AO447">
        <f>IF(AND(emissions[[#This Row],[Market-based]]=0,emissions[[#This Row],[Impact Type]]="CO2E"),emissions[[#This Row],[kgCO2e]],0)/1000</f>
        <v>0</v>
      </c>
      <c r="AP447">
        <f>IF(AND(emissions[[#This Row],[Market-based]]=1,OR(emissions[[#This Row],[Impact Type]]="CO2E",emissions[[#This Row],[Impact Type]]="CO2E MKT")),emissions[[#This Row],[kgCO2e]],0)/1000</f>
        <v>62.225284739999999</v>
      </c>
      <c r="AQ447" t="str">
        <f>_xlfn.TEXTAFTER(emissions[[#This Row],[Reporting Unit]]," &gt; ",LEN(emissions[[#This Row],[Reporting Unit]])-LEN(SUBSTITUTE(emissions[[#This Row],[Reporting Unit]],"&gt;","")))</f>
        <v>Vantage_Leuna</v>
      </c>
      <c r="AR447" t="str">
        <f>_xlfn.XLOOKUP(emissions[[#This Row],[Reporting unit name]],hierarchy!$A:$A,hierarchy!$C:$C)</f>
        <v>Office (with heat &amp; steam)</v>
      </c>
    </row>
    <row r="448" spans="1:44" hidden="1" x14ac:dyDescent="0.25">
      <c r="A448">
        <v>5169</v>
      </c>
      <c r="B448" t="s">
        <v>164</v>
      </c>
      <c r="C448" t="s">
        <v>537</v>
      </c>
      <c r="D448" t="s">
        <v>599</v>
      </c>
      <c r="E448" s="3">
        <v>44197</v>
      </c>
      <c r="F448" s="3">
        <v>44561</v>
      </c>
      <c r="G448" t="s">
        <v>181</v>
      </c>
      <c r="H448" s="3">
        <v>44197</v>
      </c>
      <c r="I448" s="3">
        <v>44561</v>
      </c>
      <c r="J448" t="s">
        <v>182</v>
      </c>
      <c r="K448">
        <v>37497000</v>
      </c>
      <c r="L448" t="s">
        <v>109</v>
      </c>
      <c r="M448" t="s">
        <v>110</v>
      </c>
      <c r="O448" t="s">
        <v>715</v>
      </c>
      <c r="P448" t="s">
        <v>550</v>
      </c>
      <c r="Q448">
        <v>2021</v>
      </c>
      <c r="R448" t="s">
        <v>709</v>
      </c>
      <c r="S448" t="s">
        <v>710</v>
      </c>
      <c r="T448" t="s">
        <v>581</v>
      </c>
      <c r="U448" t="b">
        <v>0</v>
      </c>
      <c r="V448" t="s">
        <v>711</v>
      </c>
      <c r="W448" t="s">
        <v>571</v>
      </c>
      <c r="X448" t="s">
        <v>572</v>
      </c>
      <c r="Y448" t="s">
        <v>468</v>
      </c>
      <c r="AC448">
        <v>0</v>
      </c>
      <c r="AD448" t="s">
        <v>558</v>
      </c>
      <c r="AE448">
        <v>2249.8200000000002</v>
      </c>
      <c r="AF448">
        <v>6.0000000000000002E-5</v>
      </c>
      <c r="AG448" t="s">
        <v>560</v>
      </c>
      <c r="AH448">
        <v>1</v>
      </c>
      <c r="AI448">
        <v>37497000</v>
      </c>
      <c r="AJ448" t="s">
        <v>561</v>
      </c>
      <c r="AK448" t="s">
        <v>589</v>
      </c>
      <c r="AL448" t="s">
        <v>603</v>
      </c>
      <c r="AM448">
        <v>2021</v>
      </c>
      <c r="AN448">
        <v>2019</v>
      </c>
      <c r="AO448">
        <f>IF(AND(emissions[[#This Row],[Market-based]]=0,emissions[[#This Row],[Impact Type]]="CO2E"),emissions[[#This Row],[kgCO2e]],0)/1000</f>
        <v>0</v>
      </c>
      <c r="AP448">
        <f>IF(AND(emissions[[#This Row],[Market-based]]=1,OR(emissions[[#This Row],[Impact Type]]="CO2E",emissions[[#This Row],[Impact Type]]="CO2E MKT")),emissions[[#This Row],[kgCO2e]],0)/1000</f>
        <v>0</v>
      </c>
      <c r="AQ448" t="str">
        <f>_xlfn.TEXTAFTER(emissions[[#This Row],[Reporting Unit]]," &gt; ",LEN(emissions[[#This Row],[Reporting Unit]])-LEN(SUBSTITUTE(emissions[[#This Row],[Reporting Unit]],"&gt;","")))</f>
        <v>Vantage_Leuna</v>
      </c>
      <c r="AR448" t="str">
        <f>_xlfn.XLOOKUP(emissions[[#This Row],[Reporting unit name]],hierarchy!$A:$A,hierarchy!$C:$C)</f>
        <v>Office (with heat &amp; steam)</v>
      </c>
    </row>
    <row r="449" spans="1:44" hidden="1" x14ac:dyDescent="0.25">
      <c r="A449">
        <v>5169</v>
      </c>
      <c r="B449" t="s">
        <v>164</v>
      </c>
      <c r="C449" t="s">
        <v>537</v>
      </c>
      <c r="D449" t="s">
        <v>599</v>
      </c>
      <c r="E449" s="3">
        <v>44197</v>
      </c>
      <c r="F449" s="3">
        <v>44561</v>
      </c>
      <c r="G449" t="s">
        <v>181</v>
      </c>
      <c r="H449" s="3">
        <v>44197</v>
      </c>
      <c r="I449" s="3">
        <v>44561</v>
      </c>
      <c r="J449" t="s">
        <v>182</v>
      </c>
      <c r="K449">
        <v>37497000</v>
      </c>
      <c r="L449" t="s">
        <v>109</v>
      </c>
      <c r="M449" t="s">
        <v>110</v>
      </c>
      <c r="O449" t="s">
        <v>715</v>
      </c>
      <c r="P449" t="s">
        <v>550</v>
      </c>
      <c r="Q449">
        <v>2021</v>
      </c>
      <c r="R449" t="s">
        <v>709</v>
      </c>
      <c r="S449" t="s">
        <v>710</v>
      </c>
      <c r="T449" t="s">
        <v>581</v>
      </c>
      <c r="U449" t="b">
        <v>0</v>
      </c>
      <c r="V449" t="s">
        <v>711</v>
      </c>
      <c r="W449" t="s">
        <v>571</v>
      </c>
      <c r="X449" t="s">
        <v>572</v>
      </c>
      <c r="Y449" t="s">
        <v>468</v>
      </c>
      <c r="AC449">
        <v>0</v>
      </c>
      <c r="AD449" t="s">
        <v>564</v>
      </c>
      <c r="AE449">
        <v>333723.3</v>
      </c>
      <c r="AF449">
        <v>8.8999999999999999E-3</v>
      </c>
      <c r="AG449" t="s">
        <v>560</v>
      </c>
      <c r="AH449">
        <v>1</v>
      </c>
      <c r="AI449">
        <v>37497000</v>
      </c>
      <c r="AJ449" t="s">
        <v>561</v>
      </c>
      <c r="AK449" t="s">
        <v>589</v>
      </c>
      <c r="AL449" t="s">
        <v>603</v>
      </c>
      <c r="AM449">
        <v>2021</v>
      </c>
      <c r="AN449">
        <v>2019</v>
      </c>
      <c r="AO449">
        <f>IF(AND(emissions[[#This Row],[Market-based]]=0,emissions[[#This Row],[Impact Type]]="CO2E"),emissions[[#This Row],[kgCO2e]],0)/1000</f>
        <v>0</v>
      </c>
      <c r="AP449">
        <f>IF(AND(emissions[[#This Row],[Market-based]]=1,OR(emissions[[#This Row],[Impact Type]]="CO2E",emissions[[#This Row],[Impact Type]]="CO2E MKT")),emissions[[#This Row],[kgCO2e]],0)/1000</f>
        <v>0</v>
      </c>
      <c r="AQ449" t="str">
        <f>_xlfn.TEXTAFTER(emissions[[#This Row],[Reporting Unit]]," &gt; ",LEN(emissions[[#This Row],[Reporting Unit]])-LEN(SUBSTITUTE(emissions[[#This Row],[Reporting Unit]],"&gt;","")))</f>
        <v>Vantage_Leuna</v>
      </c>
      <c r="AR449" t="str">
        <f>_xlfn.XLOOKUP(emissions[[#This Row],[Reporting unit name]],hierarchy!$A:$A,hierarchy!$C:$C)</f>
        <v>Office (with heat &amp; steam)</v>
      </c>
    </row>
    <row r="450" spans="1:44" hidden="1" x14ac:dyDescent="0.25">
      <c r="A450">
        <v>5169</v>
      </c>
      <c r="B450" t="s">
        <v>164</v>
      </c>
      <c r="C450" t="s">
        <v>537</v>
      </c>
      <c r="D450" t="s">
        <v>599</v>
      </c>
      <c r="E450" s="3">
        <v>44197</v>
      </c>
      <c r="F450" s="3">
        <v>44561</v>
      </c>
      <c r="G450" t="s">
        <v>181</v>
      </c>
      <c r="H450" s="3">
        <v>44197</v>
      </c>
      <c r="I450" s="3">
        <v>44561</v>
      </c>
      <c r="J450" t="s">
        <v>182</v>
      </c>
      <c r="K450">
        <v>37497000</v>
      </c>
      <c r="L450" t="s">
        <v>109</v>
      </c>
      <c r="M450" t="s">
        <v>110</v>
      </c>
      <c r="O450" t="s">
        <v>715</v>
      </c>
      <c r="P450" t="s">
        <v>550</v>
      </c>
      <c r="Q450">
        <v>2021</v>
      </c>
      <c r="R450" t="s">
        <v>709</v>
      </c>
      <c r="S450" t="s">
        <v>710</v>
      </c>
      <c r="T450" t="s">
        <v>581</v>
      </c>
      <c r="U450" t="b">
        <v>0</v>
      </c>
      <c r="V450" t="s">
        <v>711</v>
      </c>
      <c r="W450" t="s">
        <v>571</v>
      </c>
      <c r="X450" t="s">
        <v>572</v>
      </c>
      <c r="Y450" t="s">
        <v>468</v>
      </c>
      <c r="AC450">
        <v>0</v>
      </c>
      <c r="AD450" t="s">
        <v>565</v>
      </c>
      <c r="AE450">
        <v>337098.03</v>
      </c>
      <c r="AF450">
        <v>8.9899999999999997E-3</v>
      </c>
      <c r="AG450" t="s">
        <v>560</v>
      </c>
      <c r="AH450">
        <v>1</v>
      </c>
      <c r="AI450">
        <v>37497000</v>
      </c>
      <c r="AJ450" t="s">
        <v>561</v>
      </c>
      <c r="AK450" t="s">
        <v>589</v>
      </c>
      <c r="AL450" t="s">
        <v>603</v>
      </c>
      <c r="AM450">
        <v>2021</v>
      </c>
      <c r="AN450">
        <v>2019</v>
      </c>
      <c r="AO450">
        <f>IF(AND(emissions[[#This Row],[Market-based]]=0,emissions[[#This Row],[Impact Type]]="CO2E"),emissions[[#This Row],[kgCO2e]],0)/1000</f>
        <v>337.09803000000005</v>
      </c>
      <c r="AP450">
        <f>IF(AND(emissions[[#This Row],[Market-based]]=1,OR(emissions[[#This Row],[Impact Type]]="CO2E",emissions[[#This Row],[Impact Type]]="CO2E MKT")),emissions[[#This Row],[kgCO2e]],0)/1000</f>
        <v>0</v>
      </c>
      <c r="AQ450" t="str">
        <f>_xlfn.TEXTAFTER(emissions[[#This Row],[Reporting Unit]]," &gt; ",LEN(emissions[[#This Row],[Reporting Unit]])-LEN(SUBSTITUTE(emissions[[#This Row],[Reporting Unit]],"&gt;","")))</f>
        <v>Vantage_Leuna</v>
      </c>
      <c r="AR450" t="str">
        <f>_xlfn.XLOOKUP(emissions[[#This Row],[Reporting unit name]],hierarchy!$A:$A,hierarchy!$C:$C)</f>
        <v>Office (with heat &amp; steam)</v>
      </c>
    </row>
    <row r="451" spans="1:44" hidden="1" x14ac:dyDescent="0.25">
      <c r="A451">
        <v>5169</v>
      </c>
      <c r="B451" t="s">
        <v>164</v>
      </c>
      <c r="C451" t="s">
        <v>537</v>
      </c>
      <c r="D451" t="s">
        <v>599</v>
      </c>
      <c r="E451" s="3">
        <v>44197</v>
      </c>
      <c r="F451" s="3">
        <v>44561</v>
      </c>
      <c r="G451" t="s">
        <v>181</v>
      </c>
      <c r="H451" s="3">
        <v>44197</v>
      </c>
      <c r="I451" s="3">
        <v>44561</v>
      </c>
      <c r="J451" t="s">
        <v>182</v>
      </c>
      <c r="K451">
        <v>37497000</v>
      </c>
      <c r="L451" t="s">
        <v>109</v>
      </c>
      <c r="M451" t="s">
        <v>110</v>
      </c>
      <c r="O451" t="s">
        <v>715</v>
      </c>
      <c r="P451" t="s">
        <v>550</v>
      </c>
      <c r="Q451">
        <v>2021</v>
      </c>
      <c r="R451" t="s">
        <v>709</v>
      </c>
      <c r="S451" t="s">
        <v>710</v>
      </c>
      <c r="T451" t="s">
        <v>581</v>
      </c>
      <c r="U451" t="b">
        <v>0</v>
      </c>
      <c r="V451" t="s">
        <v>711</v>
      </c>
      <c r="W451" t="s">
        <v>571</v>
      </c>
      <c r="X451" t="s">
        <v>572</v>
      </c>
      <c r="Y451" t="s">
        <v>468</v>
      </c>
      <c r="AC451">
        <v>0</v>
      </c>
      <c r="AD451" t="s">
        <v>566</v>
      </c>
      <c r="AE451">
        <v>1124.9100000000001</v>
      </c>
      <c r="AF451">
        <v>3.0000000000000001E-5</v>
      </c>
      <c r="AG451" t="s">
        <v>560</v>
      </c>
      <c r="AH451">
        <v>1</v>
      </c>
      <c r="AI451">
        <v>37497000</v>
      </c>
      <c r="AJ451" t="s">
        <v>561</v>
      </c>
      <c r="AK451" t="s">
        <v>589</v>
      </c>
      <c r="AL451" t="s">
        <v>603</v>
      </c>
      <c r="AM451">
        <v>2021</v>
      </c>
      <c r="AN451">
        <v>2019</v>
      </c>
      <c r="AO451">
        <f>IF(AND(emissions[[#This Row],[Market-based]]=0,emissions[[#This Row],[Impact Type]]="CO2E"),emissions[[#This Row],[kgCO2e]],0)/1000</f>
        <v>0</v>
      </c>
      <c r="AP451">
        <f>IF(AND(emissions[[#This Row],[Market-based]]=1,OR(emissions[[#This Row],[Impact Type]]="CO2E",emissions[[#This Row],[Impact Type]]="CO2E MKT")),emissions[[#This Row],[kgCO2e]],0)/1000</f>
        <v>0</v>
      </c>
      <c r="AQ451" t="str">
        <f>_xlfn.TEXTAFTER(emissions[[#This Row],[Reporting Unit]]," &gt; ",LEN(emissions[[#This Row],[Reporting Unit]])-LEN(SUBSTITUTE(emissions[[#This Row],[Reporting Unit]],"&gt;","")))</f>
        <v>Vantage_Leuna</v>
      </c>
      <c r="AR451" t="str">
        <f>_xlfn.XLOOKUP(emissions[[#This Row],[Reporting unit name]],hierarchy!$A:$A,hierarchy!$C:$C)</f>
        <v>Office (with heat &amp; steam)</v>
      </c>
    </row>
    <row r="452" spans="1:44" hidden="1" x14ac:dyDescent="0.25">
      <c r="A452">
        <v>5169</v>
      </c>
      <c r="B452" t="s">
        <v>164</v>
      </c>
      <c r="C452" t="s">
        <v>537</v>
      </c>
      <c r="D452" t="s">
        <v>599</v>
      </c>
      <c r="E452" s="3">
        <v>44197</v>
      </c>
      <c r="F452" s="3">
        <v>44561</v>
      </c>
      <c r="G452" t="s">
        <v>181</v>
      </c>
      <c r="H452" s="3">
        <v>44197</v>
      </c>
      <c r="I452" s="3">
        <v>44561</v>
      </c>
      <c r="J452" t="s">
        <v>182</v>
      </c>
      <c r="K452">
        <v>37497000</v>
      </c>
      <c r="L452" t="s">
        <v>109</v>
      </c>
      <c r="M452" t="s">
        <v>110</v>
      </c>
      <c r="O452" t="s">
        <v>715</v>
      </c>
      <c r="P452" t="s">
        <v>550</v>
      </c>
      <c r="Q452">
        <v>2021</v>
      </c>
      <c r="R452" t="s">
        <v>709</v>
      </c>
      <c r="S452" t="s">
        <v>710</v>
      </c>
      <c r="T452" t="s">
        <v>581</v>
      </c>
      <c r="U452" t="b">
        <v>0</v>
      </c>
      <c r="V452" t="s">
        <v>711</v>
      </c>
      <c r="W452" t="s">
        <v>571</v>
      </c>
      <c r="X452" t="s">
        <v>572</v>
      </c>
      <c r="Y452" t="s">
        <v>468</v>
      </c>
      <c r="AC452">
        <v>1</v>
      </c>
      <c r="AD452" t="s">
        <v>558</v>
      </c>
      <c r="AE452">
        <v>2249.8200000000002</v>
      </c>
      <c r="AF452">
        <v>6.0000000000000002E-5</v>
      </c>
      <c r="AG452" t="s">
        <v>560</v>
      </c>
      <c r="AH452">
        <v>1</v>
      </c>
      <c r="AI452">
        <v>37497000</v>
      </c>
      <c r="AJ452" t="s">
        <v>561</v>
      </c>
      <c r="AK452" t="s">
        <v>589</v>
      </c>
      <c r="AL452" t="s">
        <v>603</v>
      </c>
      <c r="AM452">
        <v>2021</v>
      </c>
      <c r="AN452">
        <v>2019</v>
      </c>
      <c r="AO452">
        <f>IF(AND(emissions[[#This Row],[Market-based]]=0,emissions[[#This Row],[Impact Type]]="CO2E"),emissions[[#This Row],[kgCO2e]],0)/1000</f>
        <v>0</v>
      </c>
      <c r="AP452">
        <f>IF(AND(emissions[[#This Row],[Market-based]]=1,OR(emissions[[#This Row],[Impact Type]]="CO2E",emissions[[#This Row],[Impact Type]]="CO2E MKT")),emissions[[#This Row],[kgCO2e]],0)/1000</f>
        <v>0</v>
      </c>
      <c r="AQ452" t="str">
        <f>_xlfn.TEXTAFTER(emissions[[#This Row],[Reporting Unit]]," &gt; ",LEN(emissions[[#This Row],[Reporting Unit]])-LEN(SUBSTITUTE(emissions[[#This Row],[Reporting Unit]],"&gt;","")))</f>
        <v>Vantage_Leuna</v>
      </c>
      <c r="AR452" t="str">
        <f>_xlfn.XLOOKUP(emissions[[#This Row],[Reporting unit name]],hierarchy!$A:$A,hierarchy!$C:$C)</f>
        <v>Office (with heat &amp; steam)</v>
      </c>
    </row>
    <row r="453" spans="1:44" hidden="1" x14ac:dyDescent="0.25">
      <c r="A453">
        <v>5169</v>
      </c>
      <c r="B453" t="s">
        <v>164</v>
      </c>
      <c r="C453" t="s">
        <v>537</v>
      </c>
      <c r="D453" t="s">
        <v>599</v>
      </c>
      <c r="E453" s="3">
        <v>44197</v>
      </c>
      <c r="F453" s="3">
        <v>44561</v>
      </c>
      <c r="G453" t="s">
        <v>181</v>
      </c>
      <c r="H453" s="3">
        <v>44197</v>
      </c>
      <c r="I453" s="3">
        <v>44561</v>
      </c>
      <c r="J453" t="s">
        <v>182</v>
      </c>
      <c r="K453">
        <v>37497000</v>
      </c>
      <c r="L453" t="s">
        <v>109</v>
      </c>
      <c r="M453" t="s">
        <v>110</v>
      </c>
      <c r="O453" t="s">
        <v>715</v>
      </c>
      <c r="P453" t="s">
        <v>550</v>
      </c>
      <c r="Q453">
        <v>2021</v>
      </c>
      <c r="R453" t="s">
        <v>709</v>
      </c>
      <c r="S453" t="s">
        <v>710</v>
      </c>
      <c r="T453" t="s">
        <v>581</v>
      </c>
      <c r="U453" t="b">
        <v>0</v>
      </c>
      <c r="V453" t="s">
        <v>711</v>
      </c>
      <c r="W453" t="s">
        <v>571</v>
      </c>
      <c r="X453" t="s">
        <v>572</v>
      </c>
      <c r="Y453" t="s">
        <v>468</v>
      </c>
      <c r="AC453">
        <v>1</v>
      </c>
      <c r="AD453" t="s">
        <v>564</v>
      </c>
      <c r="AE453">
        <v>333723.3</v>
      </c>
      <c r="AF453">
        <v>8.8999999999999999E-3</v>
      </c>
      <c r="AG453" t="s">
        <v>560</v>
      </c>
      <c r="AH453">
        <v>1</v>
      </c>
      <c r="AI453">
        <v>37497000</v>
      </c>
      <c r="AJ453" t="s">
        <v>561</v>
      </c>
      <c r="AK453" t="s">
        <v>589</v>
      </c>
      <c r="AL453" t="s">
        <v>603</v>
      </c>
      <c r="AM453">
        <v>2021</v>
      </c>
      <c r="AN453">
        <v>2019</v>
      </c>
      <c r="AO453">
        <f>IF(AND(emissions[[#This Row],[Market-based]]=0,emissions[[#This Row],[Impact Type]]="CO2E"),emissions[[#This Row],[kgCO2e]],0)/1000</f>
        <v>0</v>
      </c>
      <c r="AP453">
        <f>IF(AND(emissions[[#This Row],[Market-based]]=1,OR(emissions[[#This Row],[Impact Type]]="CO2E",emissions[[#This Row],[Impact Type]]="CO2E MKT")),emissions[[#This Row],[kgCO2e]],0)/1000</f>
        <v>0</v>
      </c>
      <c r="AQ453" t="str">
        <f>_xlfn.TEXTAFTER(emissions[[#This Row],[Reporting Unit]]," &gt; ",LEN(emissions[[#This Row],[Reporting Unit]])-LEN(SUBSTITUTE(emissions[[#This Row],[Reporting Unit]],"&gt;","")))</f>
        <v>Vantage_Leuna</v>
      </c>
      <c r="AR453" t="str">
        <f>_xlfn.XLOOKUP(emissions[[#This Row],[Reporting unit name]],hierarchy!$A:$A,hierarchy!$C:$C)</f>
        <v>Office (with heat &amp; steam)</v>
      </c>
    </row>
    <row r="454" spans="1:44" hidden="1" x14ac:dyDescent="0.25">
      <c r="A454">
        <v>5169</v>
      </c>
      <c r="B454" t="s">
        <v>164</v>
      </c>
      <c r="C454" t="s">
        <v>537</v>
      </c>
      <c r="D454" t="s">
        <v>599</v>
      </c>
      <c r="E454" s="3">
        <v>44197</v>
      </c>
      <c r="F454" s="3">
        <v>44561</v>
      </c>
      <c r="G454" t="s">
        <v>181</v>
      </c>
      <c r="H454" s="3">
        <v>44197</v>
      </c>
      <c r="I454" s="3">
        <v>44561</v>
      </c>
      <c r="J454" t="s">
        <v>182</v>
      </c>
      <c r="K454">
        <v>37497000</v>
      </c>
      <c r="L454" t="s">
        <v>109</v>
      </c>
      <c r="M454" t="s">
        <v>110</v>
      </c>
      <c r="O454" t="s">
        <v>715</v>
      </c>
      <c r="P454" t="s">
        <v>550</v>
      </c>
      <c r="Q454">
        <v>2021</v>
      </c>
      <c r="R454" t="s">
        <v>709</v>
      </c>
      <c r="S454" t="s">
        <v>710</v>
      </c>
      <c r="T454" t="s">
        <v>581</v>
      </c>
      <c r="U454" t="b">
        <v>0</v>
      </c>
      <c r="V454" t="s">
        <v>711</v>
      </c>
      <c r="W454" t="s">
        <v>571</v>
      </c>
      <c r="X454" t="s">
        <v>572</v>
      </c>
      <c r="Y454" t="s">
        <v>468</v>
      </c>
      <c r="AC454">
        <v>1</v>
      </c>
      <c r="AD454" t="s">
        <v>565</v>
      </c>
      <c r="AE454">
        <v>337098.03</v>
      </c>
      <c r="AF454">
        <v>8.9899999999999997E-3</v>
      </c>
      <c r="AG454" t="s">
        <v>560</v>
      </c>
      <c r="AH454">
        <v>1</v>
      </c>
      <c r="AI454">
        <v>37497000</v>
      </c>
      <c r="AJ454" t="s">
        <v>561</v>
      </c>
      <c r="AK454" t="s">
        <v>589</v>
      </c>
      <c r="AL454" t="s">
        <v>603</v>
      </c>
      <c r="AM454">
        <v>2021</v>
      </c>
      <c r="AN454">
        <v>2019</v>
      </c>
      <c r="AO454">
        <f>IF(AND(emissions[[#This Row],[Market-based]]=0,emissions[[#This Row],[Impact Type]]="CO2E"),emissions[[#This Row],[kgCO2e]],0)/1000</f>
        <v>0</v>
      </c>
      <c r="AP454">
        <f>IF(AND(emissions[[#This Row],[Market-based]]=1,OR(emissions[[#This Row],[Impact Type]]="CO2E",emissions[[#This Row],[Impact Type]]="CO2E MKT")),emissions[[#This Row],[kgCO2e]],0)/1000</f>
        <v>337.09803000000005</v>
      </c>
      <c r="AQ454" t="str">
        <f>_xlfn.TEXTAFTER(emissions[[#This Row],[Reporting Unit]]," &gt; ",LEN(emissions[[#This Row],[Reporting Unit]])-LEN(SUBSTITUTE(emissions[[#This Row],[Reporting Unit]],"&gt;","")))</f>
        <v>Vantage_Leuna</v>
      </c>
      <c r="AR454" t="str">
        <f>_xlfn.XLOOKUP(emissions[[#This Row],[Reporting unit name]],hierarchy!$A:$A,hierarchy!$C:$C)</f>
        <v>Office (with heat &amp; steam)</v>
      </c>
    </row>
    <row r="455" spans="1:44" hidden="1" x14ac:dyDescent="0.25">
      <c r="A455">
        <v>5169</v>
      </c>
      <c r="B455" t="s">
        <v>164</v>
      </c>
      <c r="C455" t="s">
        <v>537</v>
      </c>
      <c r="D455" t="s">
        <v>599</v>
      </c>
      <c r="E455" s="3">
        <v>44197</v>
      </c>
      <c r="F455" s="3">
        <v>44561</v>
      </c>
      <c r="G455" t="s">
        <v>181</v>
      </c>
      <c r="H455" s="3">
        <v>44197</v>
      </c>
      <c r="I455" s="3">
        <v>44561</v>
      </c>
      <c r="J455" t="s">
        <v>182</v>
      </c>
      <c r="K455">
        <v>37497000</v>
      </c>
      <c r="L455" t="s">
        <v>109</v>
      </c>
      <c r="M455" t="s">
        <v>110</v>
      </c>
      <c r="O455" t="s">
        <v>715</v>
      </c>
      <c r="P455" t="s">
        <v>550</v>
      </c>
      <c r="Q455">
        <v>2021</v>
      </c>
      <c r="R455" t="s">
        <v>709</v>
      </c>
      <c r="S455" t="s">
        <v>710</v>
      </c>
      <c r="T455" t="s">
        <v>581</v>
      </c>
      <c r="U455" t="b">
        <v>0</v>
      </c>
      <c r="V455" t="s">
        <v>711</v>
      </c>
      <c r="W455" t="s">
        <v>571</v>
      </c>
      <c r="X455" t="s">
        <v>572</v>
      </c>
      <c r="Y455" t="s">
        <v>468</v>
      </c>
      <c r="AC455">
        <v>1</v>
      </c>
      <c r="AD455" t="s">
        <v>566</v>
      </c>
      <c r="AE455">
        <v>1124.9100000000001</v>
      </c>
      <c r="AF455">
        <v>3.0000000000000001E-5</v>
      </c>
      <c r="AG455" t="s">
        <v>560</v>
      </c>
      <c r="AH455">
        <v>1</v>
      </c>
      <c r="AI455">
        <v>37497000</v>
      </c>
      <c r="AJ455" t="s">
        <v>561</v>
      </c>
      <c r="AK455" t="s">
        <v>589</v>
      </c>
      <c r="AL455" t="s">
        <v>603</v>
      </c>
      <c r="AM455">
        <v>2021</v>
      </c>
      <c r="AN455">
        <v>2019</v>
      </c>
      <c r="AO455">
        <f>IF(AND(emissions[[#This Row],[Market-based]]=0,emissions[[#This Row],[Impact Type]]="CO2E"),emissions[[#This Row],[kgCO2e]],0)/1000</f>
        <v>0</v>
      </c>
      <c r="AP455">
        <f>IF(AND(emissions[[#This Row],[Market-based]]=1,OR(emissions[[#This Row],[Impact Type]]="CO2E",emissions[[#This Row],[Impact Type]]="CO2E MKT")),emissions[[#This Row],[kgCO2e]],0)/1000</f>
        <v>0</v>
      </c>
      <c r="AQ455" t="str">
        <f>_xlfn.TEXTAFTER(emissions[[#This Row],[Reporting Unit]]," &gt; ",LEN(emissions[[#This Row],[Reporting Unit]])-LEN(SUBSTITUTE(emissions[[#This Row],[Reporting Unit]],"&gt;","")))</f>
        <v>Vantage_Leuna</v>
      </c>
      <c r="AR455" t="str">
        <f>_xlfn.XLOOKUP(emissions[[#This Row],[Reporting unit name]],hierarchy!$A:$A,hierarchy!$C:$C)</f>
        <v>Office (with heat &amp; steam)</v>
      </c>
    </row>
    <row r="456" spans="1:44" hidden="1" x14ac:dyDescent="0.25">
      <c r="A456">
        <v>11229</v>
      </c>
      <c r="B456" t="s">
        <v>151</v>
      </c>
      <c r="C456" t="s">
        <v>525</v>
      </c>
      <c r="D456" t="s">
        <v>548</v>
      </c>
      <c r="E456" s="3">
        <v>44562</v>
      </c>
      <c r="F456" s="3">
        <v>44926</v>
      </c>
      <c r="G456" t="s">
        <v>108</v>
      </c>
      <c r="H456" s="3">
        <v>44562</v>
      </c>
      <c r="I456" s="3">
        <v>44926</v>
      </c>
      <c r="J456" t="s">
        <v>108</v>
      </c>
      <c r="K456">
        <v>0</v>
      </c>
      <c r="L456" t="s">
        <v>109</v>
      </c>
      <c r="M456" t="s">
        <v>110</v>
      </c>
      <c r="N456" t="s">
        <v>153</v>
      </c>
      <c r="O456" t="s">
        <v>719</v>
      </c>
      <c r="P456" t="s">
        <v>550</v>
      </c>
      <c r="Q456">
        <v>2022</v>
      </c>
      <c r="R456" t="s">
        <v>551</v>
      </c>
      <c r="S456" t="s">
        <v>552</v>
      </c>
      <c r="T456" t="s">
        <v>553</v>
      </c>
      <c r="U456" t="b">
        <v>0</v>
      </c>
      <c r="V456" t="s">
        <v>720</v>
      </c>
      <c r="W456" t="s">
        <v>555</v>
      </c>
      <c r="X456" t="s">
        <v>556</v>
      </c>
      <c r="Y456" t="s">
        <v>468</v>
      </c>
      <c r="Z456" t="s">
        <v>527</v>
      </c>
      <c r="AA456" t="s">
        <v>721</v>
      </c>
      <c r="AC456">
        <v>0</v>
      </c>
      <c r="AD456" t="s">
        <v>558</v>
      </c>
      <c r="AE456">
        <v>0</v>
      </c>
      <c r="AF456" t="s">
        <v>559</v>
      </c>
      <c r="AG456" t="s">
        <v>560</v>
      </c>
      <c r="AH456">
        <v>1</v>
      </c>
      <c r="AI456">
        <v>0</v>
      </c>
      <c r="AJ456" t="s">
        <v>561</v>
      </c>
      <c r="AK456" t="s">
        <v>562</v>
      </c>
      <c r="AL456" t="s">
        <v>563</v>
      </c>
      <c r="AM456">
        <v>2022</v>
      </c>
      <c r="AN456">
        <v>2020</v>
      </c>
      <c r="AO456">
        <f>IF(AND(emissions[[#This Row],[Market-based]]=0,emissions[[#This Row],[Impact Type]]="CO2E"),emissions[[#This Row],[kgCO2e]],0)/1000</f>
        <v>0</v>
      </c>
      <c r="AP456">
        <f>IF(AND(emissions[[#This Row],[Market-based]]=1,OR(emissions[[#This Row],[Impact Type]]="CO2E",emissions[[#This Row],[Impact Type]]="CO2E MKT")),emissions[[#This Row],[kgCO2e]],0)/1000</f>
        <v>0</v>
      </c>
      <c r="AQ456" t="str">
        <f>_xlfn.TEXTAFTER(emissions[[#This Row],[Reporting Unit]]," &gt; ",LEN(emissions[[#This Row],[Reporting Unit]])-LEN(SUBSTITUTE(emissions[[#This Row],[Reporting Unit]],"&gt;","")))</f>
        <v>Vantage_Paris</v>
      </c>
      <c r="AR456" t="str">
        <f>_xlfn.XLOOKUP(emissions[[#This Row],[Reporting unit name]],hierarchy!$A:$A,hierarchy!$C:$C)</f>
        <v>Unspecified Facility Type</v>
      </c>
    </row>
    <row r="457" spans="1:44" hidden="1" x14ac:dyDescent="0.25">
      <c r="A457">
        <v>11229</v>
      </c>
      <c r="B457" t="s">
        <v>151</v>
      </c>
      <c r="C457" t="s">
        <v>525</v>
      </c>
      <c r="D457" t="s">
        <v>548</v>
      </c>
      <c r="E457" s="3">
        <v>44562</v>
      </c>
      <c r="F457" s="3">
        <v>44926</v>
      </c>
      <c r="G457" t="s">
        <v>108</v>
      </c>
      <c r="H457" s="3">
        <v>44562</v>
      </c>
      <c r="I457" s="3">
        <v>44926</v>
      </c>
      <c r="J457" t="s">
        <v>108</v>
      </c>
      <c r="K457">
        <v>0</v>
      </c>
      <c r="L457" t="s">
        <v>109</v>
      </c>
      <c r="M457" t="s">
        <v>110</v>
      </c>
      <c r="N457" t="s">
        <v>153</v>
      </c>
      <c r="O457" t="s">
        <v>719</v>
      </c>
      <c r="P457" t="s">
        <v>550</v>
      </c>
      <c r="Q457">
        <v>2022</v>
      </c>
      <c r="R457" t="s">
        <v>551</v>
      </c>
      <c r="S457" t="s">
        <v>552</v>
      </c>
      <c r="T457" t="s">
        <v>553</v>
      </c>
      <c r="U457" t="b">
        <v>0</v>
      </c>
      <c r="V457" t="s">
        <v>720</v>
      </c>
      <c r="W457" t="s">
        <v>555</v>
      </c>
      <c r="X457" t="s">
        <v>556</v>
      </c>
      <c r="Y457" t="s">
        <v>468</v>
      </c>
      <c r="Z457" t="s">
        <v>527</v>
      </c>
      <c r="AA457" t="s">
        <v>721</v>
      </c>
      <c r="AC457">
        <v>0</v>
      </c>
      <c r="AD457" t="s">
        <v>564</v>
      </c>
      <c r="AE457">
        <v>0</v>
      </c>
      <c r="AF457" t="s">
        <v>559</v>
      </c>
      <c r="AG457" t="s">
        <v>560</v>
      </c>
      <c r="AH457">
        <v>1</v>
      </c>
      <c r="AI457">
        <v>0</v>
      </c>
      <c r="AJ457" t="s">
        <v>561</v>
      </c>
      <c r="AK457" t="s">
        <v>562</v>
      </c>
      <c r="AL457" t="s">
        <v>563</v>
      </c>
      <c r="AM457">
        <v>2022</v>
      </c>
      <c r="AN457">
        <v>2020</v>
      </c>
      <c r="AO457">
        <f>IF(AND(emissions[[#This Row],[Market-based]]=0,emissions[[#This Row],[Impact Type]]="CO2E"),emissions[[#This Row],[kgCO2e]],0)/1000</f>
        <v>0</v>
      </c>
      <c r="AP457">
        <f>IF(AND(emissions[[#This Row],[Market-based]]=1,OR(emissions[[#This Row],[Impact Type]]="CO2E",emissions[[#This Row],[Impact Type]]="CO2E MKT")),emissions[[#This Row],[kgCO2e]],0)/1000</f>
        <v>0</v>
      </c>
      <c r="AQ457" t="str">
        <f>_xlfn.TEXTAFTER(emissions[[#This Row],[Reporting Unit]]," &gt; ",LEN(emissions[[#This Row],[Reporting Unit]])-LEN(SUBSTITUTE(emissions[[#This Row],[Reporting Unit]],"&gt;","")))</f>
        <v>Vantage_Paris</v>
      </c>
      <c r="AR457" t="str">
        <f>_xlfn.XLOOKUP(emissions[[#This Row],[Reporting unit name]],hierarchy!$A:$A,hierarchy!$C:$C)</f>
        <v>Unspecified Facility Type</v>
      </c>
    </row>
    <row r="458" spans="1:44" hidden="1" x14ac:dyDescent="0.25">
      <c r="A458">
        <v>11229</v>
      </c>
      <c r="B458" t="s">
        <v>151</v>
      </c>
      <c r="C458" t="s">
        <v>525</v>
      </c>
      <c r="D458" t="s">
        <v>548</v>
      </c>
      <c r="E458" s="3">
        <v>44562</v>
      </c>
      <c r="F458" s="3">
        <v>44926</v>
      </c>
      <c r="G458" t="s">
        <v>108</v>
      </c>
      <c r="H458" s="3">
        <v>44562</v>
      </c>
      <c r="I458" s="3">
        <v>44926</v>
      </c>
      <c r="J458" t="s">
        <v>108</v>
      </c>
      <c r="K458">
        <v>0</v>
      </c>
      <c r="L458" t="s">
        <v>109</v>
      </c>
      <c r="M458" t="s">
        <v>110</v>
      </c>
      <c r="N458" t="s">
        <v>153</v>
      </c>
      <c r="O458" t="s">
        <v>719</v>
      </c>
      <c r="P458" t="s">
        <v>550</v>
      </c>
      <c r="Q458">
        <v>2022</v>
      </c>
      <c r="R458" t="s">
        <v>551</v>
      </c>
      <c r="S458" t="s">
        <v>552</v>
      </c>
      <c r="T458" t="s">
        <v>553</v>
      </c>
      <c r="U458" t="b">
        <v>0</v>
      </c>
      <c r="V458" t="s">
        <v>720</v>
      </c>
      <c r="W458" t="s">
        <v>555</v>
      </c>
      <c r="X458" t="s">
        <v>556</v>
      </c>
      <c r="Y458" t="s">
        <v>468</v>
      </c>
      <c r="Z458" t="s">
        <v>527</v>
      </c>
      <c r="AA458" t="s">
        <v>721</v>
      </c>
      <c r="AC458">
        <v>0</v>
      </c>
      <c r="AD458" t="s">
        <v>565</v>
      </c>
      <c r="AE458">
        <v>0</v>
      </c>
      <c r="AF458" t="s">
        <v>559</v>
      </c>
      <c r="AG458" t="s">
        <v>560</v>
      </c>
      <c r="AH458">
        <v>1</v>
      </c>
      <c r="AI458">
        <v>0</v>
      </c>
      <c r="AJ458" t="s">
        <v>561</v>
      </c>
      <c r="AK458" t="s">
        <v>562</v>
      </c>
      <c r="AL458" t="s">
        <v>563</v>
      </c>
      <c r="AM458">
        <v>2022</v>
      </c>
      <c r="AN458">
        <v>2020</v>
      </c>
      <c r="AO458">
        <f>IF(AND(emissions[[#This Row],[Market-based]]=0,emissions[[#This Row],[Impact Type]]="CO2E"),emissions[[#This Row],[kgCO2e]],0)/1000</f>
        <v>0</v>
      </c>
      <c r="AP458">
        <f>IF(AND(emissions[[#This Row],[Market-based]]=1,OR(emissions[[#This Row],[Impact Type]]="CO2E",emissions[[#This Row],[Impact Type]]="CO2E MKT")),emissions[[#This Row],[kgCO2e]],0)/1000</f>
        <v>0</v>
      </c>
      <c r="AQ458" t="str">
        <f>_xlfn.TEXTAFTER(emissions[[#This Row],[Reporting Unit]]," &gt; ",LEN(emissions[[#This Row],[Reporting Unit]])-LEN(SUBSTITUTE(emissions[[#This Row],[Reporting Unit]],"&gt;","")))</f>
        <v>Vantage_Paris</v>
      </c>
      <c r="AR458" t="str">
        <f>_xlfn.XLOOKUP(emissions[[#This Row],[Reporting unit name]],hierarchy!$A:$A,hierarchy!$C:$C)</f>
        <v>Unspecified Facility Type</v>
      </c>
    </row>
    <row r="459" spans="1:44" hidden="1" x14ac:dyDescent="0.25">
      <c r="A459">
        <v>11229</v>
      </c>
      <c r="B459" t="s">
        <v>151</v>
      </c>
      <c r="C459" t="s">
        <v>525</v>
      </c>
      <c r="D459" t="s">
        <v>548</v>
      </c>
      <c r="E459" s="3">
        <v>44562</v>
      </c>
      <c r="F459" s="3">
        <v>44926</v>
      </c>
      <c r="G459" t="s">
        <v>108</v>
      </c>
      <c r="H459" s="3">
        <v>44562</v>
      </c>
      <c r="I459" s="3">
        <v>44926</v>
      </c>
      <c r="J459" t="s">
        <v>108</v>
      </c>
      <c r="K459">
        <v>0</v>
      </c>
      <c r="L459" t="s">
        <v>109</v>
      </c>
      <c r="M459" t="s">
        <v>110</v>
      </c>
      <c r="N459" t="s">
        <v>153</v>
      </c>
      <c r="O459" t="s">
        <v>719</v>
      </c>
      <c r="P459" t="s">
        <v>550</v>
      </c>
      <c r="Q459">
        <v>2022</v>
      </c>
      <c r="R459" t="s">
        <v>551</v>
      </c>
      <c r="S459" t="s">
        <v>552</v>
      </c>
      <c r="T459" t="s">
        <v>553</v>
      </c>
      <c r="U459" t="b">
        <v>0</v>
      </c>
      <c r="V459" t="s">
        <v>720</v>
      </c>
      <c r="W459" t="s">
        <v>555</v>
      </c>
      <c r="X459" t="s">
        <v>556</v>
      </c>
      <c r="Y459" t="s">
        <v>468</v>
      </c>
      <c r="Z459" t="s">
        <v>527</v>
      </c>
      <c r="AA459" t="s">
        <v>721</v>
      </c>
      <c r="AC459">
        <v>0</v>
      </c>
      <c r="AD459" t="s">
        <v>566</v>
      </c>
      <c r="AE459">
        <v>0</v>
      </c>
      <c r="AF459" t="s">
        <v>559</v>
      </c>
      <c r="AG459" t="s">
        <v>560</v>
      </c>
      <c r="AH459">
        <v>1</v>
      </c>
      <c r="AI459">
        <v>0</v>
      </c>
      <c r="AJ459" t="s">
        <v>561</v>
      </c>
      <c r="AK459" t="s">
        <v>562</v>
      </c>
      <c r="AL459" t="s">
        <v>563</v>
      </c>
      <c r="AM459">
        <v>2022</v>
      </c>
      <c r="AN459">
        <v>2020</v>
      </c>
      <c r="AO459">
        <f>IF(AND(emissions[[#This Row],[Market-based]]=0,emissions[[#This Row],[Impact Type]]="CO2E"),emissions[[#This Row],[kgCO2e]],0)/1000</f>
        <v>0</v>
      </c>
      <c r="AP459">
        <f>IF(AND(emissions[[#This Row],[Market-based]]=1,OR(emissions[[#This Row],[Impact Type]]="CO2E",emissions[[#This Row],[Impact Type]]="CO2E MKT")),emissions[[#This Row],[kgCO2e]],0)/1000</f>
        <v>0</v>
      </c>
      <c r="AQ459" t="str">
        <f>_xlfn.TEXTAFTER(emissions[[#This Row],[Reporting Unit]]," &gt; ",LEN(emissions[[#This Row],[Reporting Unit]])-LEN(SUBSTITUTE(emissions[[#This Row],[Reporting Unit]],"&gt;","")))</f>
        <v>Vantage_Paris</v>
      </c>
      <c r="AR459" t="str">
        <f>_xlfn.XLOOKUP(emissions[[#This Row],[Reporting unit name]],hierarchy!$A:$A,hierarchy!$C:$C)</f>
        <v>Unspecified Facility Type</v>
      </c>
    </row>
    <row r="460" spans="1:44" hidden="1" x14ac:dyDescent="0.25">
      <c r="A460">
        <v>11229</v>
      </c>
      <c r="B460" t="s">
        <v>151</v>
      </c>
      <c r="C460" t="s">
        <v>525</v>
      </c>
      <c r="D460" t="s">
        <v>548</v>
      </c>
      <c r="E460" s="3">
        <v>44562</v>
      </c>
      <c r="F460" s="3">
        <v>44926</v>
      </c>
      <c r="G460" t="s">
        <v>108</v>
      </c>
      <c r="H460" s="3">
        <v>44562</v>
      </c>
      <c r="I460" s="3">
        <v>44926</v>
      </c>
      <c r="J460" t="s">
        <v>108</v>
      </c>
      <c r="K460">
        <v>0</v>
      </c>
      <c r="L460" t="s">
        <v>109</v>
      </c>
      <c r="M460" t="s">
        <v>110</v>
      </c>
      <c r="N460" t="s">
        <v>153</v>
      </c>
      <c r="O460" t="s">
        <v>719</v>
      </c>
      <c r="P460" t="s">
        <v>550</v>
      </c>
      <c r="Q460">
        <v>2022</v>
      </c>
      <c r="R460" t="s">
        <v>551</v>
      </c>
      <c r="S460" t="s">
        <v>552</v>
      </c>
      <c r="T460" t="s">
        <v>553</v>
      </c>
      <c r="U460" t="b">
        <v>0</v>
      </c>
      <c r="V460" t="s">
        <v>720</v>
      </c>
      <c r="W460" t="s">
        <v>555</v>
      </c>
      <c r="X460" t="s">
        <v>556</v>
      </c>
      <c r="Y460" t="s">
        <v>468</v>
      </c>
      <c r="Z460" t="s">
        <v>527</v>
      </c>
      <c r="AA460" t="s">
        <v>721</v>
      </c>
      <c r="AC460">
        <v>1</v>
      </c>
      <c r="AD460" t="s">
        <v>639</v>
      </c>
      <c r="AE460">
        <v>0</v>
      </c>
      <c r="AF460">
        <v>4.9783384E-2</v>
      </c>
      <c r="AG460" t="s">
        <v>560</v>
      </c>
      <c r="AH460">
        <v>1</v>
      </c>
      <c r="AI460">
        <v>0</v>
      </c>
      <c r="AJ460" t="s">
        <v>561</v>
      </c>
      <c r="AK460" t="s">
        <v>640</v>
      </c>
      <c r="AL460" t="s">
        <v>641</v>
      </c>
      <c r="AM460">
        <v>2022</v>
      </c>
      <c r="AN460">
        <v>2021</v>
      </c>
      <c r="AO460">
        <f>IF(AND(emissions[[#This Row],[Market-based]]=0,emissions[[#This Row],[Impact Type]]="CO2E"),emissions[[#This Row],[kgCO2e]],0)/1000</f>
        <v>0</v>
      </c>
      <c r="AP460">
        <f>IF(AND(emissions[[#This Row],[Market-based]]=1,OR(emissions[[#This Row],[Impact Type]]="CO2E",emissions[[#This Row],[Impact Type]]="CO2E MKT")),emissions[[#This Row],[kgCO2e]],0)/1000</f>
        <v>0</v>
      </c>
      <c r="AQ460" t="str">
        <f>_xlfn.TEXTAFTER(emissions[[#This Row],[Reporting Unit]]," &gt; ",LEN(emissions[[#This Row],[Reporting Unit]])-LEN(SUBSTITUTE(emissions[[#This Row],[Reporting Unit]],"&gt;","")))</f>
        <v>Vantage_Paris</v>
      </c>
      <c r="AR460" t="str">
        <f>_xlfn.XLOOKUP(emissions[[#This Row],[Reporting unit name]],hierarchy!$A:$A,hierarchy!$C:$C)</f>
        <v>Unspecified Facility Type</v>
      </c>
    </row>
    <row r="461" spans="1:44" hidden="1" x14ac:dyDescent="0.25">
      <c r="A461">
        <v>11229</v>
      </c>
      <c r="B461" t="s">
        <v>151</v>
      </c>
      <c r="C461" t="s">
        <v>525</v>
      </c>
      <c r="D461" t="s">
        <v>548</v>
      </c>
      <c r="E461" s="3">
        <v>44562</v>
      </c>
      <c r="F461" s="3">
        <v>44926</v>
      </c>
      <c r="G461" t="s">
        <v>108</v>
      </c>
      <c r="H461" s="3">
        <v>44562</v>
      </c>
      <c r="I461" s="3">
        <v>44926</v>
      </c>
      <c r="J461" t="s">
        <v>108</v>
      </c>
      <c r="K461">
        <v>0</v>
      </c>
      <c r="L461" t="s">
        <v>109</v>
      </c>
      <c r="M461" t="s">
        <v>110</v>
      </c>
      <c r="N461" t="s">
        <v>153</v>
      </c>
      <c r="O461" t="s">
        <v>719</v>
      </c>
      <c r="P461" t="s">
        <v>550</v>
      </c>
      <c r="Q461">
        <v>2022</v>
      </c>
      <c r="R461" t="s">
        <v>567</v>
      </c>
      <c r="S461" t="s">
        <v>568</v>
      </c>
      <c r="T461" t="s">
        <v>569</v>
      </c>
      <c r="U461" t="b">
        <v>0</v>
      </c>
      <c r="V461" t="s">
        <v>722</v>
      </c>
      <c r="W461" t="s">
        <v>571</v>
      </c>
      <c r="X461" t="s">
        <v>572</v>
      </c>
      <c r="Y461" t="s">
        <v>468</v>
      </c>
      <c r="Z461" t="s">
        <v>527</v>
      </c>
      <c r="AA461" t="s">
        <v>721</v>
      </c>
      <c r="AC461">
        <v>0</v>
      </c>
      <c r="AD461" t="s">
        <v>565</v>
      </c>
      <c r="AE461">
        <v>0</v>
      </c>
      <c r="AF461">
        <v>4.7043399999999999E-4</v>
      </c>
      <c r="AG461" t="s">
        <v>560</v>
      </c>
      <c r="AH461">
        <v>1</v>
      </c>
      <c r="AI461">
        <v>0</v>
      </c>
      <c r="AJ461" t="s">
        <v>561</v>
      </c>
      <c r="AK461" t="s">
        <v>573</v>
      </c>
      <c r="AL461" t="s">
        <v>574</v>
      </c>
      <c r="AM461">
        <v>2022</v>
      </c>
      <c r="AN461">
        <v>2020</v>
      </c>
      <c r="AO461">
        <f>IF(AND(emissions[[#This Row],[Market-based]]=0,emissions[[#This Row],[Impact Type]]="CO2E"),emissions[[#This Row],[kgCO2e]],0)/1000</f>
        <v>0</v>
      </c>
      <c r="AP461">
        <f>IF(AND(emissions[[#This Row],[Market-based]]=1,OR(emissions[[#This Row],[Impact Type]]="CO2E",emissions[[#This Row],[Impact Type]]="CO2E MKT")),emissions[[#This Row],[kgCO2e]],0)/1000</f>
        <v>0</v>
      </c>
      <c r="AQ461" t="str">
        <f>_xlfn.TEXTAFTER(emissions[[#This Row],[Reporting Unit]]," &gt; ",LEN(emissions[[#This Row],[Reporting Unit]])-LEN(SUBSTITUTE(emissions[[#This Row],[Reporting Unit]],"&gt;","")))</f>
        <v>Vantage_Paris</v>
      </c>
      <c r="AR461" t="str">
        <f>_xlfn.XLOOKUP(emissions[[#This Row],[Reporting unit name]],hierarchy!$A:$A,hierarchy!$C:$C)</f>
        <v>Unspecified Facility Type</v>
      </c>
    </row>
    <row r="462" spans="1:44" hidden="1" x14ac:dyDescent="0.25">
      <c r="A462">
        <v>11229</v>
      </c>
      <c r="B462" t="s">
        <v>151</v>
      </c>
      <c r="C462" t="s">
        <v>525</v>
      </c>
      <c r="D462" t="s">
        <v>548</v>
      </c>
      <c r="E462" s="3">
        <v>44562</v>
      </c>
      <c r="F462" s="3">
        <v>44926</v>
      </c>
      <c r="G462" t="s">
        <v>108</v>
      </c>
      <c r="H462" s="3">
        <v>44562</v>
      </c>
      <c r="I462" s="3">
        <v>44926</v>
      </c>
      <c r="J462" t="s">
        <v>108</v>
      </c>
      <c r="K462">
        <v>0</v>
      </c>
      <c r="L462" t="s">
        <v>109</v>
      </c>
      <c r="M462" t="s">
        <v>110</v>
      </c>
      <c r="N462" t="s">
        <v>153</v>
      </c>
      <c r="O462" t="s">
        <v>719</v>
      </c>
      <c r="P462" t="s">
        <v>550</v>
      </c>
      <c r="Q462">
        <v>2022</v>
      </c>
      <c r="R462" t="s">
        <v>567</v>
      </c>
      <c r="S462" t="s">
        <v>568</v>
      </c>
      <c r="T462" t="s">
        <v>569</v>
      </c>
      <c r="U462" t="b">
        <v>0</v>
      </c>
      <c r="V462" t="s">
        <v>723</v>
      </c>
      <c r="W462" t="s">
        <v>571</v>
      </c>
      <c r="X462" t="s">
        <v>572</v>
      </c>
      <c r="Y462" t="s">
        <v>468</v>
      </c>
      <c r="Z462" t="s">
        <v>527</v>
      </c>
      <c r="AA462" t="s">
        <v>721</v>
      </c>
      <c r="AC462">
        <v>1</v>
      </c>
      <c r="AD462" t="s">
        <v>639</v>
      </c>
      <c r="AE462">
        <v>0</v>
      </c>
      <c r="AF462">
        <v>2.5437600000000001E-4</v>
      </c>
      <c r="AG462" t="s">
        <v>560</v>
      </c>
      <c r="AH462">
        <v>1</v>
      </c>
      <c r="AI462">
        <v>0</v>
      </c>
      <c r="AJ462" t="s">
        <v>561</v>
      </c>
      <c r="AK462" t="s">
        <v>573</v>
      </c>
      <c r="AL462" t="s">
        <v>724</v>
      </c>
      <c r="AM462">
        <v>2022</v>
      </c>
      <c r="AN462">
        <v>2020</v>
      </c>
      <c r="AO462">
        <f>IF(AND(emissions[[#This Row],[Market-based]]=0,emissions[[#This Row],[Impact Type]]="CO2E"),emissions[[#This Row],[kgCO2e]],0)/1000</f>
        <v>0</v>
      </c>
      <c r="AP462">
        <f>IF(AND(emissions[[#This Row],[Market-based]]=1,OR(emissions[[#This Row],[Impact Type]]="CO2E",emissions[[#This Row],[Impact Type]]="CO2E MKT")),emissions[[#This Row],[kgCO2e]],0)/1000</f>
        <v>0</v>
      </c>
      <c r="AQ462" t="str">
        <f>_xlfn.TEXTAFTER(emissions[[#This Row],[Reporting Unit]]," &gt; ",LEN(emissions[[#This Row],[Reporting Unit]])-LEN(SUBSTITUTE(emissions[[#This Row],[Reporting Unit]],"&gt;","")))</f>
        <v>Vantage_Paris</v>
      </c>
      <c r="AR462" t="str">
        <f>_xlfn.XLOOKUP(emissions[[#This Row],[Reporting unit name]],hierarchy!$A:$A,hierarchy!$C:$C)</f>
        <v>Unspecified Facility Type</v>
      </c>
    </row>
    <row r="463" spans="1:44" hidden="1" x14ac:dyDescent="0.25">
      <c r="A463">
        <v>11229</v>
      </c>
      <c r="B463" t="s">
        <v>151</v>
      </c>
      <c r="C463" t="s">
        <v>525</v>
      </c>
      <c r="D463" t="s">
        <v>548</v>
      </c>
      <c r="E463" s="3">
        <v>44562</v>
      </c>
      <c r="F463" s="3">
        <v>44926</v>
      </c>
      <c r="G463" t="s">
        <v>108</v>
      </c>
      <c r="H463" s="3">
        <v>44562</v>
      </c>
      <c r="I463" s="3">
        <v>44926</v>
      </c>
      <c r="J463" t="s">
        <v>108</v>
      </c>
      <c r="K463">
        <v>0</v>
      </c>
      <c r="L463" t="s">
        <v>109</v>
      </c>
      <c r="M463" t="s">
        <v>110</v>
      </c>
      <c r="N463" t="s">
        <v>153</v>
      </c>
      <c r="O463" t="s">
        <v>719</v>
      </c>
      <c r="P463" t="s">
        <v>550</v>
      </c>
      <c r="Q463">
        <v>2022</v>
      </c>
      <c r="R463" t="s">
        <v>575</v>
      </c>
      <c r="S463" t="s">
        <v>576</v>
      </c>
      <c r="T463" t="s">
        <v>577</v>
      </c>
      <c r="U463" t="b">
        <v>0</v>
      </c>
      <c r="V463" t="s">
        <v>725</v>
      </c>
      <c r="W463" t="s">
        <v>571</v>
      </c>
      <c r="X463" t="s">
        <v>572</v>
      </c>
      <c r="Y463" t="s">
        <v>468</v>
      </c>
      <c r="Z463" t="s">
        <v>527</v>
      </c>
      <c r="AA463" t="s">
        <v>721</v>
      </c>
      <c r="AC463">
        <v>0</v>
      </c>
      <c r="AD463" t="s">
        <v>565</v>
      </c>
      <c r="AE463">
        <v>0</v>
      </c>
      <c r="AF463">
        <v>7.4463009999999998E-3</v>
      </c>
      <c r="AG463" t="s">
        <v>560</v>
      </c>
      <c r="AH463">
        <v>1</v>
      </c>
      <c r="AI463">
        <v>0</v>
      </c>
      <c r="AJ463" t="s">
        <v>561</v>
      </c>
      <c r="AK463" t="s">
        <v>573</v>
      </c>
      <c r="AL463" t="s">
        <v>574</v>
      </c>
      <c r="AM463">
        <v>2022</v>
      </c>
      <c r="AN463">
        <v>2020</v>
      </c>
      <c r="AO463">
        <f>IF(AND(emissions[[#This Row],[Market-based]]=0,emissions[[#This Row],[Impact Type]]="CO2E"),emissions[[#This Row],[kgCO2e]],0)/1000</f>
        <v>0</v>
      </c>
      <c r="AP463">
        <f>IF(AND(emissions[[#This Row],[Market-based]]=1,OR(emissions[[#This Row],[Impact Type]]="CO2E",emissions[[#This Row],[Impact Type]]="CO2E MKT")),emissions[[#This Row],[kgCO2e]],0)/1000</f>
        <v>0</v>
      </c>
      <c r="AQ463" t="str">
        <f>_xlfn.TEXTAFTER(emissions[[#This Row],[Reporting Unit]]," &gt; ",LEN(emissions[[#This Row],[Reporting Unit]])-LEN(SUBSTITUTE(emissions[[#This Row],[Reporting Unit]],"&gt;","")))</f>
        <v>Vantage_Paris</v>
      </c>
      <c r="AR463" t="str">
        <f>_xlfn.XLOOKUP(emissions[[#This Row],[Reporting unit name]],hierarchy!$A:$A,hierarchy!$C:$C)</f>
        <v>Unspecified Facility Type</v>
      </c>
    </row>
    <row r="464" spans="1:44" hidden="1" x14ac:dyDescent="0.25">
      <c r="A464">
        <v>11229</v>
      </c>
      <c r="B464" t="s">
        <v>151</v>
      </c>
      <c r="C464" t="s">
        <v>525</v>
      </c>
      <c r="D464" t="s">
        <v>548</v>
      </c>
      <c r="E464" s="3">
        <v>44562</v>
      </c>
      <c r="F464" s="3">
        <v>44926</v>
      </c>
      <c r="G464" t="s">
        <v>108</v>
      </c>
      <c r="H464" s="3">
        <v>44562</v>
      </c>
      <c r="I464" s="3">
        <v>44926</v>
      </c>
      <c r="J464" t="s">
        <v>108</v>
      </c>
      <c r="K464">
        <v>0</v>
      </c>
      <c r="L464" t="s">
        <v>109</v>
      </c>
      <c r="M464" t="s">
        <v>110</v>
      </c>
      <c r="N464" t="s">
        <v>153</v>
      </c>
      <c r="O464" t="s">
        <v>719</v>
      </c>
      <c r="P464" t="s">
        <v>550</v>
      </c>
      <c r="Q464">
        <v>2022</v>
      </c>
      <c r="R464" t="s">
        <v>575</v>
      </c>
      <c r="S464" t="s">
        <v>576</v>
      </c>
      <c r="T464" t="s">
        <v>577</v>
      </c>
      <c r="U464" t="b">
        <v>0</v>
      </c>
      <c r="V464" t="s">
        <v>726</v>
      </c>
      <c r="W464" t="s">
        <v>571</v>
      </c>
      <c r="X464" t="s">
        <v>572</v>
      </c>
      <c r="Y464" t="s">
        <v>468</v>
      </c>
      <c r="Z464" t="s">
        <v>527</v>
      </c>
      <c r="AA464" t="s">
        <v>721</v>
      </c>
      <c r="AC464">
        <v>1</v>
      </c>
      <c r="AD464" t="s">
        <v>639</v>
      </c>
      <c r="AE464">
        <v>0</v>
      </c>
      <c r="AF464">
        <v>8.0858890000000006E-3</v>
      </c>
      <c r="AG464" t="s">
        <v>560</v>
      </c>
      <c r="AH464">
        <v>1</v>
      </c>
      <c r="AI464">
        <v>0</v>
      </c>
      <c r="AJ464" t="s">
        <v>561</v>
      </c>
      <c r="AK464" t="s">
        <v>573</v>
      </c>
      <c r="AL464" t="s">
        <v>727</v>
      </c>
      <c r="AM464">
        <v>2022</v>
      </c>
      <c r="AN464">
        <v>2020</v>
      </c>
      <c r="AO464">
        <f>IF(AND(emissions[[#This Row],[Market-based]]=0,emissions[[#This Row],[Impact Type]]="CO2E"),emissions[[#This Row],[kgCO2e]],0)/1000</f>
        <v>0</v>
      </c>
      <c r="AP464">
        <f>IF(AND(emissions[[#This Row],[Market-based]]=1,OR(emissions[[#This Row],[Impact Type]]="CO2E",emissions[[#This Row],[Impact Type]]="CO2E MKT")),emissions[[#This Row],[kgCO2e]],0)/1000</f>
        <v>0</v>
      </c>
      <c r="AQ464" t="str">
        <f>_xlfn.TEXTAFTER(emissions[[#This Row],[Reporting Unit]]," &gt; ",LEN(emissions[[#This Row],[Reporting Unit]])-LEN(SUBSTITUTE(emissions[[#This Row],[Reporting Unit]],"&gt;","")))</f>
        <v>Vantage_Paris</v>
      </c>
      <c r="AR464" t="str">
        <f>_xlfn.XLOOKUP(emissions[[#This Row],[Reporting unit name]],hierarchy!$A:$A,hierarchy!$C:$C)</f>
        <v>Unspecified Facility Type</v>
      </c>
    </row>
    <row r="465" spans="1:44" hidden="1" x14ac:dyDescent="0.25">
      <c r="A465">
        <v>11229</v>
      </c>
      <c r="B465" t="s">
        <v>151</v>
      </c>
      <c r="C465" t="s">
        <v>525</v>
      </c>
      <c r="D465" t="s">
        <v>548</v>
      </c>
      <c r="E465" s="3">
        <v>44562</v>
      </c>
      <c r="F465" s="3">
        <v>44926</v>
      </c>
      <c r="G465" t="s">
        <v>108</v>
      </c>
      <c r="H465" s="3">
        <v>44562</v>
      </c>
      <c r="I465" s="3">
        <v>44926</v>
      </c>
      <c r="J465" t="s">
        <v>108</v>
      </c>
      <c r="K465">
        <v>0</v>
      </c>
      <c r="L465" t="s">
        <v>109</v>
      </c>
      <c r="M465" t="s">
        <v>110</v>
      </c>
      <c r="N465" t="s">
        <v>153</v>
      </c>
      <c r="O465" t="s">
        <v>719</v>
      </c>
      <c r="P465" t="s">
        <v>550</v>
      </c>
      <c r="Q465">
        <v>2022</v>
      </c>
      <c r="R465" t="s">
        <v>579</v>
      </c>
      <c r="S465" t="s">
        <v>580</v>
      </c>
      <c r="T465" t="s">
        <v>581</v>
      </c>
      <c r="U465" t="b">
        <v>0</v>
      </c>
      <c r="V465" t="s">
        <v>728</v>
      </c>
      <c r="W465" t="s">
        <v>571</v>
      </c>
      <c r="X465" t="s">
        <v>572</v>
      </c>
      <c r="Y465" t="s">
        <v>468</v>
      </c>
      <c r="Z465" t="s">
        <v>527</v>
      </c>
      <c r="AA465" t="s">
        <v>721</v>
      </c>
      <c r="AC465">
        <v>0</v>
      </c>
      <c r="AD465" t="s">
        <v>565</v>
      </c>
      <c r="AE465">
        <v>0</v>
      </c>
      <c r="AF465" t="s">
        <v>559</v>
      </c>
      <c r="AG465" t="s">
        <v>560</v>
      </c>
      <c r="AH465">
        <v>1</v>
      </c>
      <c r="AI465">
        <v>0</v>
      </c>
      <c r="AJ465" t="s">
        <v>561</v>
      </c>
      <c r="AK465" t="s">
        <v>562</v>
      </c>
      <c r="AL465" t="s">
        <v>563</v>
      </c>
      <c r="AM465">
        <v>2022</v>
      </c>
      <c r="AN465">
        <v>2020</v>
      </c>
      <c r="AO465">
        <f>IF(AND(emissions[[#This Row],[Market-based]]=0,emissions[[#This Row],[Impact Type]]="CO2E"),emissions[[#This Row],[kgCO2e]],0)/1000</f>
        <v>0</v>
      </c>
      <c r="AP465">
        <f>IF(AND(emissions[[#This Row],[Market-based]]=1,OR(emissions[[#This Row],[Impact Type]]="CO2E",emissions[[#This Row],[Impact Type]]="CO2E MKT")),emissions[[#This Row],[kgCO2e]],0)/1000</f>
        <v>0</v>
      </c>
      <c r="AQ465" t="str">
        <f>_xlfn.TEXTAFTER(emissions[[#This Row],[Reporting Unit]]," &gt; ",LEN(emissions[[#This Row],[Reporting Unit]])-LEN(SUBSTITUTE(emissions[[#This Row],[Reporting Unit]],"&gt;","")))</f>
        <v>Vantage_Paris</v>
      </c>
      <c r="AR465" t="str">
        <f>_xlfn.XLOOKUP(emissions[[#This Row],[Reporting unit name]],hierarchy!$A:$A,hierarchy!$C:$C)</f>
        <v>Unspecified Facility Type</v>
      </c>
    </row>
    <row r="466" spans="1:44" hidden="1" x14ac:dyDescent="0.25">
      <c r="A466">
        <v>11229</v>
      </c>
      <c r="B466" t="s">
        <v>151</v>
      </c>
      <c r="C466" t="s">
        <v>525</v>
      </c>
      <c r="D466" t="s">
        <v>548</v>
      </c>
      <c r="E466" s="3">
        <v>44562</v>
      </c>
      <c r="F466" s="3">
        <v>44926</v>
      </c>
      <c r="G466" t="s">
        <v>108</v>
      </c>
      <c r="H466" s="3">
        <v>44562</v>
      </c>
      <c r="I466" s="3">
        <v>44926</v>
      </c>
      <c r="J466" t="s">
        <v>108</v>
      </c>
      <c r="K466">
        <v>0</v>
      </c>
      <c r="L466" t="s">
        <v>109</v>
      </c>
      <c r="M466" t="s">
        <v>110</v>
      </c>
      <c r="N466" t="s">
        <v>153</v>
      </c>
      <c r="O466" t="s">
        <v>719</v>
      </c>
      <c r="P466" t="s">
        <v>550</v>
      </c>
      <c r="Q466">
        <v>2022</v>
      </c>
      <c r="R466" t="s">
        <v>579</v>
      </c>
      <c r="S466" t="s">
        <v>580</v>
      </c>
      <c r="T466" t="s">
        <v>581</v>
      </c>
      <c r="U466" t="b">
        <v>0</v>
      </c>
      <c r="V466" t="s">
        <v>729</v>
      </c>
      <c r="W466" t="s">
        <v>571</v>
      </c>
      <c r="X466" t="s">
        <v>572</v>
      </c>
      <c r="Y466" t="s">
        <v>468</v>
      </c>
      <c r="Z466" t="s">
        <v>527</v>
      </c>
      <c r="AA466" t="s">
        <v>721</v>
      </c>
      <c r="AC466">
        <v>1</v>
      </c>
      <c r="AD466" t="s">
        <v>639</v>
      </c>
      <c r="AE466">
        <v>0</v>
      </c>
      <c r="AF466">
        <v>3.9118879999999997E-3</v>
      </c>
      <c r="AG466" t="s">
        <v>560</v>
      </c>
      <c r="AH466">
        <v>1</v>
      </c>
      <c r="AI466">
        <v>0</v>
      </c>
      <c r="AJ466" t="s">
        <v>561</v>
      </c>
      <c r="AK466" t="s">
        <v>573</v>
      </c>
      <c r="AL466" t="s">
        <v>730</v>
      </c>
      <c r="AM466">
        <v>2022</v>
      </c>
      <c r="AN466">
        <v>2020</v>
      </c>
      <c r="AO466">
        <f>IF(AND(emissions[[#This Row],[Market-based]]=0,emissions[[#This Row],[Impact Type]]="CO2E"),emissions[[#This Row],[kgCO2e]],0)/1000</f>
        <v>0</v>
      </c>
      <c r="AP466">
        <f>IF(AND(emissions[[#This Row],[Market-based]]=1,OR(emissions[[#This Row],[Impact Type]]="CO2E",emissions[[#This Row],[Impact Type]]="CO2E MKT")),emissions[[#This Row],[kgCO2e]],0)/1000</f>
        <v>0</v>
      </c>
      <c r="AQ466" t="str">
        <f>_xlfn.TEXTAFTER(emissions[[#This Row],[Reporting Unit]]," &gt; ",LEN(emissions[[#This Row],[Reporting Unit]])-LEN(SUBSTITUTE(emissions[[#This Row],[Reporting Unit]],"&gt;","")))</f>
        <v>Vantage_Paris</v>
      </c>
      <c r="AR466" t="str">
        <f>_xlfn.XLOOKUP(emissions[[#This Row],[Reporting unit name]],hierarchy!$A:$A,hierarchy!$C:$C)</f>
        <v>Unspecified Facility Type</v>
      </c>
    </row>
    <row r="467" spans="1:44" hidden="1" x14ac:dyDescent="0.25">
      <c r="A467">
        <v>232861</v>
      </c>
      <c r="B467" t="s">
        <v>151</v>
      </c>
      <c r="C467" t="s">
        <v>525</v>
      </c>
      <c r="D467" t="s">
        <v>548</v>
      </c>
      <c r="E467" s="3">
        <v>44562</v>
      </c>
      <c r="F467" s="3">
        <v>44926</v>
      </c>
      <c r="G467" t="s">
        <v>135</v>
      </c>
      <c r="H467" s="3">
        <v>44562</v>
      </c>
      <c r="I467" s="3">
        <v>44926</v>
      </c>
      <c r="J467" t="s">
        <v>135</v>
      </c>
      <c r="K467">
        <v>0</v>
      </c>
      <c r="L467" t="s">
        <v>154</v>
      </c>
      <c r="M467" t="s">
        <v>110</v>
      </c>
      <c r="N467" t="s">
        <v>153</v>
      </c>
      <c r="O467" t="s">
        <v>731</v>
      </c>
      <c r="P467" t="s">
        <v>550</v>
      </c>
      <c r="Q467">
        <v>2022</v>
      </c>
      <c r="R467" t="s">
        <v>605</v>
      </c>
      <c r="S467" t="s">
        <v>606</v>
      </c>
      <c r="T467" t="s">
        <v>553</v>
      </c>
      <c r="U467" t="b">
        <v>0</v>
      </c>
      <c r="V467" t="s">
        <v>607</v>
      </c>
      <c r="W467" t="s">
        <v>587</v>
      </c>
      <c r="X467" t="s">
        <v>556</v>
      </c>
      <c r="Y467" t="s">
        <v>468</v>
      </c>
      <c r="AC467">
        <v>0</v>
      </c>
      <c r="AD467" t="s">
        <v>558</v>
      </c>
      <c r="AE467">
        <v>0</v>
      </c>
      <c r="AF467">
        <v>2.5000000000000001E-4</v>
      </c>
      <c r="AG467" t="s">
        <v>608</v>
      </c>
      <c r="AH467">
        <v>2.8000000000000002E-7</v>
      </c>
      <c r="AI467">
        <v>0</v>
      </c>
      <c r="AJ467" t="s">
        <v>561</v>
      </c>
      <c r="AK467" t="s">
        <v>589</v>
      </c>
      <c r="AL467" t="s">
        <v>590</v>
      </c>
      <c r="AM467">
        <v>2022</v>
      </c>
      <c r="AN467">
        <v>2020</v>
      </c>
      <c r="AO467">
        <f>IF(AND(emissions[[#This Row],[Market-based]]=0,emissions[[#This Row],[Impact Type]]="CO2E"),emissions[[#This Row],[kgCO2e]],0)/1000</f>
        <v>0</v>
      </c>
      <c r="AP467">
        <f>IF(AND(emissions[[#This Row],[Market-based]]=1,OR(emissions[[#This Row],[Impact Type]]="CO2E",emissions[[#This Row],[Impact Type]]="CO2E MKT")),emissions[[#This Row],[kgCO2e]],0)/1000</f>
        <v>0</v>
      </c>
      <c r="AQ467" t="str">
        <f>_xlfn.TEXTAFTER(emissions[[#This Row],[Reporting Unit]]," &gt; ",LEN(emissions[[#This Row],[Reporting Unit]])-LEN(SUBSTITUTE(emissions[[#This Row],[Reporting Unit]],"&gt;","")))</f>
        <v>Vantage_Paris</v>
      </c>
      <c r="AR467" t="str">
        <f>_xlfn.XLOOKUP(emissions[[#This Row],[Reporting unit name]],hierarchy!$A:$A,hierarchy!$C:$C)</f>
        <v>Unspecified Facility Type</v>
      </c>
    </row>
    <row r="468" spans="1:44" hidden="1" x14ac:dyDescent="0.25">
      <c r="A468">
        <v>232861</v>
      </c>
      <c r="B468" t="s">
        <v>151</v>
      </c>
      <c r="C468" t="s">
        <v>525</v>
      </c>
      <c r="D468" t="s">
        <v>548</v>
      </c>
      <c r="E468" s="3">
        <v>44562</v>
      </c>
      <c r="F468" s="3">
        <v>44926</v>
      </c>
      <c r="G468" t="s">
        <v>135</v>
      </c>
      <c r="H468" s="3">
        <v>44562</v>
      </c>
      <c r="I468" s="3">
        <v>44926</v>
      </c>
      <c r="J468" t="s">
        <v>135</v>
      </c>
      <c r="K468">
        <v>0</v>
      </c>
      <c r="L468" t="s">
        <v>154</v>
      </c>
      <c r="M468" t="s">
        <v>110</v>
      </c>
      <c r="N468" t="s">
        <v>153</v>
      </c>
      <c r="O468" t="s">
        <v>731</v>
      </c>
      <c r="P468" t="s">
        <v>550</v>
      </c>
      <c r="Q468">
        <v>2022</v>
      </c>
      <c r="R468" t="s">
        <v>605</v>
      </c>
      <c r="S468" t="s">
        <v>606</v>
      </c>
      <c r="T468" t="s">
        <v>553</v>
      </c>
      <c r="U468" t="b">
        <v>0</v>
      </c>
      <c r="V468" t="s">
        <v>607</v>
      </c>
      <c r="W468" t="s">
        <v>587</v>
      </c>
      <c r="X468" t="s">
        <v>556</v>
      </c>
      <c r="Y468" t="s">
        <v>468</v>
      </c>
      <c r="AC468">
        <v>0</v>
      </c>
      <c r="AD468" t="s">
        <v>564</v>
      </c>
      <c r="AE468">
        <v>0</v>
      </c>
      <c r="AF468">
        <v>0.18218999999999999</v>
      </c>
      <c r="AG468" t="s">
        <v>608</v>
      </c>
      <c r="AH468">
        <v>2.8000000000000002E-7</v>
      </c>
      <c r="AI468">
        <v>0</v>
      </c>
      <c r="AJ468" t="s">
        <v>561</v>
      </c>
      <c r="AK468" t="s">
        <v>589</v>
      </c>
      <c r="AL468" t="s">
        <v>590</v>
      </c>
      <c r="AM468">
        <v>2022</v>
      </c>
      <c r="AN468">
        <v>2020</v>
      </c>
      <c r="AO468">
        <f>IF(AND(emissions[[#This Row],[Market-based]]=0,emissions[[#This Row],[Impact Type]]="CO2E"),emissions[[#This Row],[kgCO2e]],0)/1000</f>
        <v>0</v>
      </c>
      <c r="AP468">
        <f>IF(AND(emissions[[#This Row],[Market-based]]=1,OR(emissions[[#This Row],[Impact Type]]="CO2E",emissions[[#This Row],[Impact Type]]="CO2E MKT")),emissions[[#This Row],[kgCO2e]],0)/1000</f>
        <v>0</v>
      </c>
      <c r="AQ468" t="str">
        <f>_xlfn.TEXTAFTER(emissions[[#This Row],[Reporting Unit]]," &gt; ",LEN(emissions[[#This Row],[Reporting Unit]])-LEN(SUBSTITUTE(emissions[[#This Row],[Reporting Unit]],"&gt;","")))</f>
        <v>Vantage_Paris</v>
      </c>
      <c r="AR468" t="str">
        <f>_xlfn.XLOOKUP(emissions[[#This Row],[Reporting unit name]],hierarchy!$A:$A,hierarchy!$C:$C)</f>
        <v>Unspecified Facility Type</v>
      </c>
    </row>
    <row r="469" spans="1:44" hidden="1" x14ac:dyDescent="0.25">
      <c r="A469">
        <v>232861</v>
      </c>
      <c r="B469" t="s">
        <v>151</v>
      </c>
      <c r="C469" t="s">
        <v>525</v>
      </c>
      <c r="D469" t="s">
        <v>548</v>
      </c>
      <c r="E469" s="3">
        <v>44562</v>
      </c>
      <c r="F469" s="3">
        <v>44926</v>
      </c>
      <c r="G469" t="s">
        <v>135</v>
      </c>
      <c r="H469" s="3">
        <v>44562</v>
      </c>
      <c r="I469" s="3">
        <v>44926</v>
      </c>
      <c r="J469" t="s">
        <v>135</v>
      </c>
      <c r="K469">
        <v>0</v>
      </c>
      <c r="L469" t="s">
        <v>154</v>
      </c>
      <c r="M469" t="s">
        <v>110</v>
      </c>
      <c r="N469" t="s">
        <v>153</v>
      </c>
      <c r="O469" t="s">
        <v>731</v>
      </c>
      <c r="P469" t="s">
        <v>550</v>
      </c>
      <c r="Q469">
        <v>2022</v>
      </c>
      <c r="R469" t="s">
        <v>605</v>
      </c>
      <c r="S469" t="s">
        <v>606</v>
      </c>
      <c r="T469" t="s">
        <v>553</v>
      </c>
      <c r="U469" t="b">
        <v>0</v>
      </c>
      <c r="V469" t="s">
        <v>607</v>
      </c>
      <c r="W469" t="s">
        <v>587</v>
      </c>
      <c r="X469" t="s">
        <v>556</v>
      </c>
      <c r="Y469" t="s">
        <v>468</v>
      </c>
      <c r="AC469">
        <v>0</v>
      </c>
      <c r="AD469" t="s">
        <v>565</v>
      </c>
      <c r="AE469">
        <v>0</v>
      </c>
      <c r="AF469">
        <v>0.18254000000000001</v>
      </c>
      <c r="AG469" t="s">
        <v>608</v>
      </c>
      <c r="AH469">
        <v>2.8000000000000002E-7</v>
      </c>
      <c r="AI469">
        <v>0</v>
      </c>
      <c r="AJ469" t="s">
        <v>561</v>
      </c>
      <c r="AK469" t="s">
        <v>589</v>
      </c>
      <c r="AL469" t="s">
        <v>590</v>
      </c>
      <c r="AM469">
        <v>2022</v>
      </c>
      <c r="AN469">
        <v>2020</v>
      </c>
      <c r="AO469">
        <f>IF(AND(emissions[[#This Row],[Market-based]]=0,emissions[[#This Row],[Impact Type]]="CO2E"),emissions[[#This Row],[kgCO2e]],0)/1000</f>
        <v>0</v>
      </c>
      <c r="AP469">
        <f>IF(AND(emissions[[#This Row],[Market-based]]=1,OR(emissions[[#This Row],[Impact Type]]="CO2E",emissions[[#This Row],[Impact Type]]="CO2E MKT")),emissions[[#This Row],[kgCO2e]],0)/1000</f>
        <v>0</v>
      </c>
      <c r="AQ469" t="str">
        <f>_xlfn.TEXTAFTER(emissions[[#This Row],[Reporting Unit]]," &gt; ",LEN(emissions[[#This Row],[Reporting Unit]])-LEN(SUBSTITUTE(emissions[[#This Row],[Reporting Unit]],"&gt;","")))</f>
        <v>Vantage_Paris</v>
      </c>
      <c r="AR469" t="str">
        <f>_xlfn.XLOOKUP(emissions[[#This Row],[Reporting unit name]],hierarchy!$A:$A,hierarchy!$C:$C)</f>
        <v>Unspecified Facility Type</v>
      </c>
    </row>
    <row r="470" spans="1:44" hidden="1" x14ac:dyDescent="0.25">
      <c r="A470">
        <v>232861</v>
      </c>
      <c r="B470" t="s">
        <v>151</v>
      </c>
      <c r="C470" t="s">
        <v>525</v>
      </c>
      <c r="D470" t="s">
        <v>548</v>
      </c>
      <c r="E470" s="3">
        <v>44562</v>
      </c>
      <c r="F470" s="3">
        <v>44926</v>
      </c>
      <c r="G470" t="s">
        <v>135</v>
      </c>
      <c r="H470" s="3">
        <v>44562</v>
      </c>
      <c r="I470" s="3">
        <v>44926</v>
      </c>
      <c r="J470" t="s">
        <v>135</v>
      </c>
      <c r="K470">
        <v>0</v>
      </c>
      <c r="L470" t="s">
        <v>154</v>
      </c>
      <c r="M470" t="s">
        <v>110</v>
      </c>
      <c r="N470" t="s">
        <v>153</v>
      </c>
      <c r="O470" t="s">
        <v>731</v>
      </c>
      <c r="P470" t="s">
        <v>550</v>
      </c>
      <c r="Q470">
        <v>2022</v>
      </c>
      <c r="R470" t="s">
        <v>605</v>
      </c>
      <c r="S470" t="s">
        <v>606</v>
      </c>
      <c r="T470" t="s">
        <v>553</v>
      </c>
      <c r="U470" t="b">
        <v>0</v>
      </c>
      <c r="V470" t="s">
        <v>607</v>
      </c>
      <c r="W470" t="s">
        <v>587</v>
      </c>
      <c r="X470" t="s">
        <v>556</v>
      </c>
      <c r="Y470" t="s">
        <v>468</v>
      </c>
      <c r="AC470">
        <v>0</v>
      </c>
      <c r="AD470" t="s">
        <v>566</v>
      </c>
      <c r="AE470">
        <v>0</v>
      </c>
      <c r="AF470">
        <v>1E-4</v>
      </c>
      <c r="AG470" t="s">
        <v>608</v>
      </c>
      <c r="AH470">
        <v>2.8000000000000002E-7</v>
      </c>
      <c r="AI470">
        <v>0</v>
      </c>
      <c r="AJ470" t="s">
        <v>561</v>
      </c>
      <c r="AK470" t="s">
        <v>589</v>
      </c>
      <c r="AL470" t="s">
        <v>590</v>
      </c>
      <c r="AM470">
        <v>2022</v>
      </c>
      <c r="AN470">
        <v>2020</v>
      </c>
      <c r="AO470">
        <f>IF(AND(emissions[[#This Row],[Market-based]]=0,emissions[[#This Row],[Impact Type]]="CO2E"),emissions[[#This Row],[kgCO2e]],0)/1000</f>
        <v>0</v>
      </c>
      <c r="AP470">
        <f>IF(AND(emissions[[#This Row],[Market-based]]=1,OR(emissions[[#This Row],[Impact Type]]="CO2E",emissions[[#This Row],[Impact Type]]="CO2E MKT")),emissions[[#This Row],[kgCO2e]],0)/1000</f>
        <v>0</v>
      </c>
      <c r="AQ470" t="str">
        <f>_xlfn.TEXTAFTER(emissions[[#This Row],[Reporting Unit]]," &gt; ",LEN(emissions[[#This Row],[Reporting Unit]])-LEN(SUBSTITUTE(emissions[[#This Row],[Reporting Unit]],"&gt;","")))</f>
        <v>Vantage_Paris</v>
      </c>
      <c r="AR470" t="str">
        <f>_xlfn.XLOOKUP(emissions[[#This Row],[Reporting unit name]],hierarchy!$A:$A,hierarchy!$C:$C)</f>
        <v>Unspecified Facility Type</v>
      </c>
    </row>
    <row r="471" spans="1:44" hidden="1" x14ac:dyDescent="0.25">
      <c r="A471">
        <v>232861</v>
      </c>
      <c r="B471" t="s">
        <v>151</v>
      </c>
      <c r="C471" t="s">
        <v>525</v>
      </c>
      <c r="D471" t="s">
        <v>548</v>
      </c>
      <c r="E471" s="3">
        <v>44562</v>
      </c>
      <c r="F471" s="3">
        <v>44926</v>
      </c>
      <c r="G471" t="s">
        <v>135</v>
      </c>
      <c r="H471" s="3">
        <v>44562</v>
      </c>
      <c r="I471" s="3">
        <v>44926</v>
      </c>
      <c r="J471" t="s">
        <v>135</v>
      </c>
      <c r="K471">
        <v>0</v>
      </c>
      <c r="L471" t="s">
        <v>154</v>
      </c>
      <c r="M471" t="s">
        <v>110</v>
      </c>
      <c r="N471" t="s">
        <v>153</v>
      </c>
      <c r="O471" t="s">
        <v>731</v>
      </c>
      <c r="P471" t="s">
        <v>550</v>
      </c>
      <c r="Q471">
        <v>2022</v>
      </c>
      <c r="R471" t="s">
        <v>605</v>
      </c>
      <c r="S471" t="s">
        <v>606</v>
      </c>
      <c r="T471" t="s">
        <v>553</v>
      </c>
      <c r="U471" t="b">
        <v>0</v>
      </c>
      <c r="V471" t="s">
        <v>607</v>
      </c>
      <c r="W471" t="s">
        <v>587</v>
      </c>
      <c r="X471" t="s">
        <v>556</v>
      </c>
      <c r="Y471" t="s">
        <v>468</v>
      </c>
      <c r="AC471">
        <v>1</v>
      </c>
      <c r="AD471" t="s">
        <v>558</v>
      </c>
      <c r="AE471">
        <v>0</v>
      </c>
      <c r="AF471">
        <v>2.5000000000000001E-4</v>
      </c>
      <c r="AG471" t="s">
        <v>608</v>
      </c>
      <c r="AH471">
        <v>2.8000000000000002E-7</v>
      </c>
      <c r="AI471">
        <v>0</v>
      </c>
      <c r="AJ471" t="s">
        <v>561</v>
      </c>
      <c r="AK471" t="s">
        <v>589</v>
      </c>
      <c r="AL471" t="s">
        <v>590</v>
      </c>
      <c r="AM471">
        <v>2022</v>
      </c>
      <c r="AN471">
        <v>2020</v>
      </c>
      <c r="AO471">
        <f>IF(AND(emissions[[#This Row],[Market-based]]=0,emissions[[#This Row],[Impact Type]]="CO2E"),emissions[[#This Row],[kgCO2e]],0)/1000</f>
        <v>0</v>
      </c>
      <c r="AP471">
        <f>IF(AND(emissions[[#This Row],[Market-based]]=1,OR(emissions[[#This Row],[Impact Type]]="CO2E",emissions[[#This Row],[Impact Type]]="CO2E MKT")),emissions[[#This Row],[kgCO2e]],0)/1000</f>
        <v>0</v>
      </c>
      <c r="AQ471" t="str">
        <f>_xlfn.TEXTAFTER(emissions[[#This Row],[Reporting Unit]]," &gt; ",LEN(emissions[[#This Row],[Reporting Unit]])-LEN(SUBSTITUTE(emissions[[#This Row],[Reporting Unit]],"&gt;","")))</f>
        <v>Vantage_Paris</v>
      </c>
      <c r="AR471" t="str">
        <f>_xlfn.XLOOKUP(emissions[[#This Row],[Reporting unit name]],hierarchy!$A:$A,hierarchy!$C:$C)</f>
        <v>Unspecified Facility Type</v>
      </c>
    </row>
    <row r="472" spans="1:44" hidden="1" x14ac:dyDescent="0.25">
      <c r="A472">
        <v>232861</v>
      </c>
      <c r="B472" t="s">
        <v>151</v>
      </c>
      <c r="C472" t="s">
        <v>525</v>
      </c>
      <c r="D472" t="s">
        <v>548</v>
      </c>
      <c r="E472" s="3">
        <v>44562</v>
      </c>
      <c r="F472" s="3">
        <v>44926</v>
      </c>
      <c r="G472" t="s">
        <v>135</v>
      </c>
      <c r="H472" s="3">
        <v>44562</v>
      </c>
      <c r="I472" s="3">
        <v>44926</v>
      </c>
      <c r="J472" t="s">
        <v>135</v>
      </c>
      <c r="K472">
        <v>0</v>
      </c>
      <c r="L472" t="s">
        <v>154</v>
      </c>
      <c r="M472" t="s">
        <v>110</v>
      </c>
      <c r="N472" t="s">
        <v>153</v>
      </c>
      <c r="O472" t="s">
        <v>731</v>
      </c>
      <c r="P472" t="s">
        <v>550</v>
      </c>
      <c r="Q472">
        <v>2022</v>
      </c>
      <c r="R472" t="s">
        <v>605</v>
      </c>
      <c r="S472" t="s">
        <v>606</v>
      </c>
      <c r="T472" t="s">
        <v>553</v>
      </c>
      <c r="U472" t="b">
        <v>0</v>
      </c>
      <c r="V472" t="s">
        <v>607</v>
      </c>
      <c r="W472" t="s">
        <v>587</v>
      </c>
      <c r="X472" t="s">
        <v>556</v>
      </c>
      <c r="Y472" t="s">
        <v>468</v>
      </c>
      <c r="AC472">
        <v>1</v>
      </c>
      <c r="AD472" t="s">
        <v>564</v>
      </c>
      <c r="AE472">
        <v>0</v>
      </c>
      <c r="AF472">
        <v>0.18218999999999999</v>
      </c>
      <c r="AG472" t="s">
        <v>608</v>
      </c>
      <c r="AH472">
        <v>2.8000000000000002E-7</v>
      </c>
      <c r="AI472">
        <v>0</v>
      </c>
      <c r="AJ472" t="s">
        <v>561</v>
      </c>
      <c r="AK472" t="s">
        <v>589</v>
      </c>
      <c r="AL472" t="s">
        <v>590</v>
      </c>
      <c r="AM472">
        <v>2022</v>
      </c>
      <c r="AN472">
        <v>2020</v>
      </c>
      <c r="AO472">
        <f>IF(AND(emissions[[#This Row],[Market-based]]=0,emissions[[#This Row],[Impact Type]]="CO2E"),emissions[[#This Row],[kgCO2e]],0)/1000</f>
        <v>0</v>
      </c>
      <c r="AP472">
        <f>IF(AND(emissions[[#This Row],[Market-based]]=1,OR(emissions[[#This Row],[Impact Type]]="CO2E",emissions[[#This Row],[Impact Type]]="CO2E MKT")),emissions[[#This Row],[kgCO2e]],0)/1000</f>
        <v>0</v>
      </c>
      <c r="AQ472" t="str">
        <f>_xlfn.TEXTAFTER(emissions[[#This Row],[Reporting Unit]]," &gt; ",LEN(emissions[[#This Row],[Reporting Unit]])-LEN(SUBSTITUTE(emissions[[#This Row],[Reporting Unit]],"&gt;","")))</f>
        <v>Vantage_Paris</v>
      </c>
      <c r="AR472" t="str">
        <f>_xlfn.XLOOKUP(emissions[[#This Row],[Reporting unit name]],hierarchy!$A:$A,hierarchy!$C:$C)</f>
        <v>Unspecified Facility Type</v>
      </c>
    </row>
    <row r="473" spans="1:44" hidden="1" x14ac:dyDescent="0.25">
      <c r="A473">
        <v>232861</v>
      </c>
      <c r="B473" t="s">
        <v>151</v>
      </c>
      <c r="C473" t="s">
        <v>525</v>
      </c>
      <c r="D473" t="s">
        <v>548</v>
      </c>
      <c r="E473" s="3">
        <v>44562</v>
      </c>
      <c r="F473" s="3">
        <v>44926</v>
      </c>
      <c r="G473" t="s">
        <v>135</v>
      </c>
      <c r="H473" s="3">
        <v>44562</v>
      </c>
      <c r="I473" s="3">
        <v>44926</v>
      </c>
      <c r="J473" t="s">
        <v>135</v>
      </c>
      <c r="K473">
        <v>0</v>
      </c>
      <c r="L473" t="s">
        <v>154</v>
      </c>
      <c r="M473" t="s">
        <v>110</v>
      </c>
      <c r="N473" t="s">
        <v>153</v>
      </c>
      <c r="O473" t="s">
        <v>731</v>
      </c>
      <c r="P473" t="s">
        <v>550</v>
      </c>
      <c r="Q473">
        <v>2022</v>
      </c>
      <c r="R473" t="s">
        <v>605</v>
      </c>
      <c r="S473" t="s">
        <v>606</v>
      </c>
      <c r="T473" t="s">
        <v>553</v>
      </c>
      <c r="U473" t="b">
        <v>0</v>
      </c>
      <c r="V473" t="s">
        <v>607</v>
      </c>
      <c r="W473" t="s">
        <v>587</v>
      </c>
      <c r="X473" t="s">
        <v>556</v>
      </c>
      <c r="Y473" t="s">
        <v>468</v>
      </c>
      <c r="AC473">
        <v>1</v>
      </c>
      <c r="AD473" t="s">
        <v>565</v>
      </c>
      <c r="AE473">
        <v>0</v>
      </c>
      <c r="AF473">
        <v>0.18254000000000001</v>
      </c>
      <c r="AG473" t="s">
        <v>608</v>
      </c>
      <c r="AH473">
        <v>2.8000000000000002E-7</v>
      </c>
      <c r="AI473">
        <v>0</v>
      </c>
      <c r="AJ473" t="s">
        <v>561</v>
      </c>
      <c r="AK473" t="s">
        <v>589</v>
      </c>
      <c r="AL473" t="s">
        <v>590</v>
      </c>
      <c r="AM473">
        <v>2022</v>
      </c>
      <c r="AN473">
        <v>2020</v>
      </c>
      <c r="AO473">
        <f>IF(AND(emissions[[#This Row],[Market-based]]=0,emissions[[#This Row],[Impact Type]]="CO2E"),emissions[[#This Row],[kgCO2e]],0)/1000</f>
        <v>0</v>
      </c>
      <c r="AP473">
        <f>IF(AND(emissions[[#This Row],[Market-based]]=1,OR(emissions[[#This Row],[Impact Type]]="CO2E",emissions[[#This Row],[Impact Type]]="CO2E MKT")),emissions[[#This Row],[kgCO2e]],0)/1000</f>
        <v>0</v>
      </c>
      <c r="AQ473" t="str">
        <f>_xlfn.TEXTAFTER(emissions[[#This Row],[Reporting Unit]]," &gt; ",LEN(emissions[[#This Row],[Reporting Unit]])-LEN(SUBSTITUTE(emissions[[#This Row],[Reporting Unit]],"&gt;","")))</f>
        <v>Vantage_Paris</v>
      </c>
      <c r="AR473" t="str">
        <f>_xlfn.XLOOKUP(emissions[[#This Row],[Reporting unit name]],hierarchy!$A:$A,hierarchy!$C:$C)</f>
        <v>Unspecified Facility Type</v>
      </c>
    </row>
    <row r="474" spans="1:44" hidden="1" x14ac:dyDescent="0.25">
      <c r="A474">
        <v>232861</v>
      </c>
      <c r="B474" t="s">
        <v>151</v>
      </c>
      <c r="C474" t="s">
        <v>525</v>
      </c>
      <c r="D474" t="s">
        <v>548</v>
      </c>
      <c r="E474" s="3">
        <v>44562</v>
      </c>
      <c r="F474" s="3">
        <v>44926</v>
      </c>
      <c r="G474" t="s">
        <v>135</v>
      </c>
      <c r="H474" s="3">
        <v>44562</v>
      </c>
      <c r="I474" s="3">
        <v>44926</v>
      </c>
      <c r="J474" t="s">
        <v>135</v>
      </c>
      <c r="K474">
        <v>0</v>
      </c>
      <c r="L474" t="s">
        <v>154</v>
      </c>
      <c r="M474" t="s">
        <v>110</v>
      </c>
      <c r="N474" t="s">
        <v>153</v>
      </c>
      <c r="O474" t="s">
        <v>731</v>
      </c>
      <c r="P474" t="s">
        <v>550</v>
      </c>
      <c r="Q474">
        <v>2022</v>
      </c>
      <c r="R474" t="s">
        <v>605</v>
      </c>
      <c r="S474" t="s">
        <v>606</v>
      </c>
      <c r="T474" t="s">
        <v>553</v>
      </c>
      <c r="U474" t="b">
        <v>0</v>
      </c>
      <c r="V474" t="s">
        <v>607</v>
      </c>
      <c r="W474" t="s">
        <v>587</v>
      </c>
      <c r="X474" t="s">
        <v>556</v>
      </c>
      <c r="Y474" t="s">
        <v>468</v>
      </c>
      <c r="AC474">
        <v>1</v>
      </c>
      <c r="AD474" t="s">
        <v>566</v>
      </c>
      <c r="AE474">
        <v>0</v>
      </c>
      <c r="AF474">
        <v>1E-4</v>
      </c>
      <c r="AG474" t="s">
        <v>608</v>
      </c>
      <c r="AH474">
        <v>2.8000000000000002E-7</v>
      </c>
      <c r="AI474">
        <v>0</v>
      </c>
      <c r="AJ474" t="s">
        <v>561</v>
      </c>
      <c r="AK474" t="s">
        <v>589</v>
      </c>
      <c r="AL474" t="s">
        <v>590</v>
      </c>
      <c r="AM474">
        <v>2022</v>
      </c>
      <c r="AN474">
        <v>2020</v>
      </c>
      <c r="AO474">
        <f>IF(AND(emissions[[#This Row],[Market-based]]=0,emissions[[#This Row],[Impact Type]]="CO2E"),emissions[[#This Row],[kgCO2e]],0)/1000</f>
        <v>0</v>
      </c>
      <c r="AP474">
        <f>IF(AND(emissions[[#This Row],[Market-based]]=1,OR(emissions[[#This Row],[Impact Type]]="CO2E",emissions[[#This Row],[Impact Type]]="CO2E MKT")),emissions[[#This Row],[kgCO2e]],0)/1000</f>
        <v>0</v>
      </c>
      <c r="AQ474" t="str">
        <f>_xlfn.TEXTAFTER(emissions[[#This Row],[Reporting Unit]]," &gt; ",LEN(emissions[[#This Row],[Reporting Unit]])-LEN(SUBSTITUTE(emissions[[#This Row],[Reporting Unit]],"&gt;","")))</f>
        <v>Vantage_Paris</v>
      </c>
      <c r="AR474" t="str">
        <f>_xlfn.XLOOKUP(emissions[[#This Row],[Reporting unit name]],hierarchy!$A:$A,hierarchy!$C:$C)</f>
        <v>Unspecified Facility Type</v>
      </c>
    </row>
    <row r="475" spans="1:44" hidden="1" x14ac:dyDescent="0.25">
      <c r="A475">
        <v>232861</v>
      </c>
      <c r="B475" t="s">
        <v>151</v>
      </c>
      <c r="C475" t="s">
        <v>525</v>
      </c>
      <c r="D475" t="s">
        <v>548</v>
      </c>
      <c r="E475" s="3">
        <v>44562</v>
      </c>
      <c r="F475" s="3">
        <v>44926</v>
      </c>
      <c r="G475" t="s">
        <v>135</v>
      </c>
      <c r="H475" s="3">
        <v>44562</v>
      </c>
      <c r="I475" s="3">
        <v>44926</v>
      </c>
      <c r="J475" t="s">
        <v>135</v>
      </c>
      <c r="K475">
        <v>0</v>
      </c>
      <c r="L475" t="s">
        <v>154</v>
      </c>
      <c r="M475" t="s">
        <v>110</v>
      </c>
      <c r="N475" t="s">
        <v>153</v>
      </c>
      <c r="O475" t="s">
        <v>731</v>
      </c>
      <c r="P475" t="s">
        <v>550</v>
      </c>
      <c r="Q475">
        <v>2022</v>
      </c>
      <c r="R475" t="s">
        <v>609</v>
      </c>
      <c r="S475" t="s">
        <v>610</v>
      </c>
      <c r="T475" t="s">
        <v>577</v>
      </c>
      <c r="U475" t="b">
        <v>0</v>
      </c>
      <c r="V475" t="s">
        <v>632</v>
      </c>
      <c r="W475" t="s">
        <v>571</v>
      </c>
      <c r="X475" t="s">
        <v>572</v>
      </c>
      <c r="Y475" t="s">
        <v>468</v>
      </c>
      <c r="AC475">
        <v>0</v>
      </c>
      <c r="AD475" t="s">
        <v>565</v>
      </c>
      <c r="AE475">
        <v>0</v>
      </c>
      <c r="AF475">
        <v>3.1099999999999999E-2</v>
      </c>
      <c r="AG475" t="s">
        <v>608</v>
      </c>
      <c r="AH475">
        <v>2.8000000000000002E-7</v>
      </c>
      <c r="AI475">
        <v>0</v>
      </c>
      <c r="AJ475" t="s">
        <v>561</v>
      </c>
      <c r="AK475" t="s">
        <v>589</v>
      </c>
      <c r="AL475" t="s">
        <v>590</v>
      </c>
      <c r="AM475">
        <v>2022</v>
      </c>
      <c r="AN475">
        <v>2020</v>
      </c>
      <c r="AO475">
        <f>IF(AND(emissions[[#This Row],[Market-based]]=0,emissions[[#This Row],[Impact Type]]="CO2E"),emissions[[#This Row],[kgCO2e]],0)/1000</f>
        <v>0</v>
      </c>
      <c r="AP475">
        <f>IF(AND(emissions[[#This Row],[Market-based]]=1,OR(emissions[[#This Row],[Impact Type]]="CO2E",emissions[[#This Row],[Impact Type]]="CO2E MKT")),emissions[[#This Row],[kgCO2e]],0)/1000</f>
        <v>0</v>
      </c>
      <c r="AQ475" t="str">
        <f>_xlfn.TEXTAFTER(emissions[[#This Row],[Reporting Unit]]," &gt; ",LEN(emissions[[#This Row],[Reporting Unit]])-LEN(SUBSTITUTE(emissions[[#This Row],[Reporting Unit]],"&gt;","")))</f>
        <v>Vantage_Paris</v>
      </c>
      <c r="AR475" t="str">
        <f>_xlfn.XLOOKUP(emissions[[#This Row],[Reporting unit name]],hierarchy!$A:$A,hierarchy!$C:$C)</f>
        <v>Unspecified Facility Type</v>
      </c>
    </row>
    <row r="476" spans="1:44" hidden="1" x14ac:dyDescent="0.25">
      <c r="A476">
        <v>232861</v>
      </c>
      <c r="B476" t="s">
        <v>151</v>
      </c>
      <c r="C476" t="s">
        <v>525</v>
      </c>
      <c r="D476" t="s">
        <v>548</v>
      </c>
      <c r="E476" s="3">
        <v>44562</v>
      </c>
      <c r="F476" s="3">
        <v>44926</v>
      </c>
      <c r="G476" t="s">
        <v>135</v>
      </c>
      <c r="H476" s="3">
        <v>44562</v>
      </c>
      <c r="I476" s="3">
        <v>44926</v>
      </c>
      <c r="J476" t="s">
        <v>135</v>
      </c>
      <c r="K476">
        <v>0</v>
      </c>
      <c r="L476" t="s">
        <v>154</v>
      </c>
      <c r="M476" t="s">
        <v>110</v>
      </c>
      <c r="N476" t="s">
        <v>153</v>
      </c>
      <c r="O476" t="s">
        <v>731</v>
      </c>
      <c r="P476" t="s">
        <v>550</v>
      </c>
      <c r="Q476">
        <v>2022</v>
      </c>
      <c r="R476" t="s">
        <v>609</v>
      </c>
      <c r="S476" t="s">
        <v>610</v>
      </c>
      <c r="T476" t="s">
        <v>577</v>
      </c>
      <c r="U476" t="b">
        <v>0</v>
      </c>
      <c r="V476" t="s">
        <v>632</v>
      </c>
      <c r="W476" t="s">
        <v>571</v>
      </c>
      <c r="X476" t="s">
        <v>572</v>
      </c>
      <c r="Y476" t="s">
        <v>468</v>
      </c>
      <c r="AC476">
        <v>1</v>
      </c>
      <c r="AD476" t="s">
        <v>565</v>
      </c>
      <c r="AE476">
        <v>0</v>
      </c>
      <c r="AF476">
        <v>3.1099999999999999E-2</v>
      </c>
      <c r="AG476" t="s">
        <v>608</v>
      </c>
      <c r="AH476">
        <v>2.8000000000000002E-7</v>
      </c>
      <c r="AI476">
        <v>0</v>
      </c>
      <c r="AJ476" t="s">
        <v>561</v>
      </c>
      <c r="AK476" t="s">
        <v>589</v>
      </c>
      <c r="AL476" t="s">
        <v>590</v>
      </c>
      <c r="AM476">
        <v>2022</v>
      </c>
      <c r="AN476">
        <v>2020</v>
      </c>
      <c r="AO476">
        <f>IF(AND(emissions[[#This Row],[Market-based]]=0,emissions[[#This Row],[Impact Type]]="CO2E"),emissions[[#This Row],[kgCO2e]],0)/1000</f>
        <v>0</v>
      </c>
      <c r="AP476">
        <f>IF(AND(emissions[[#This Row],[Market-based]]=1,OR(emissions[[#This Row],[Impact Type]]="CO2E",emissions[[#This Row],[Impact Type]]="CO2E MKT")),emissions[[#This Row],[kgCO2e]],0)/1000</f>
        <v>0</v>
      </c>
      <c r="AQ476" t="str">
        <f>_xlfn.TEXTAFTER(emissions[[#This Row],[Reporting Unit]]," &gt; ",LEN(emissions[[#This Row],[Reporting Unit]])-LEN(SUBSTITUTE(emissions[[#This Row],[Reporting Unit]],"&gt;","")))</f>
        <v>Vantage_Paris</v>
      </c>
      <c r="AR476" t="str">
        <f>_xlfn.XLOOKUP(emissions[[#This Row],[Reporting unit name]],hierarchy!$A:$A,hierarchy!$C:$C)</f>
        <v>Unspecified Facility Type</v>
      </c>
    </row>
    <row r="477" spans="1:44" hidden="1" x14ac:dyDescent="0.25">
      <c r="A477">
        <v>232859</v>
      </c>
      <c r="B477" t="s">
        <v>151</v>
      </c>
      <c r="C477" t="s">
        <v>525</v>
      </c>
      <c r="D477" t="s">
        <v>548</v>
      </c>
      <c r="E477" s="3">
        <v>44562</v>
      </c>
      <c r="F477" s="3">
        <v>44926</v>
      </c>
      <c r="G477" t="s">
        <v>141</v>
      </c>
      <c r="H477" s="3">
        <v>44562</v>
      </c>
      <c r="I477" s="3">
        <v>44926</v>
      </c>
      <c r="J477" t="s">
        <v>156</v>
      </c>
      <c r="K477">
        <v>0</v>
      </c>
      <c r="L477" t="s">
        <v>140</v>
      </c>
      <c r="M477" t="s">
        <v>110</v>
      </c>
      <c r="N477" t="s">
        <v>153</v>
      </c>
      <c r="O477" t="s">
        <v>732</v>
      </c>
      <c r="P477" t="s">
        <v>550</v>
      </c>
      <c r="Q477">
        <v>2022</v>
      </c>
      <c r="R477" t="s">
        <v>733</v>
      </c>
      <c r="S477" t="s">
        <v>734</v>
      </c>
      <c r="T477" t="s">
        <v>553</v>
      </c>
      <c r="U477" t="b">
        <v>0</v>
      </c>
      <c r="V477" t="s">
        <v>735</v>
      </c>
      <c r="W477" t="s">
        <v>587</v>
      </c>
      <c r="X477" t="s">
        <v>556</v>
      </c>
      <c r="Y477" t="s">
        <v>468</v>
      </c>
      <c r="AC477">
        <v>0</v>
      </c>
      <c r="AD477" t="s">
        <v>558</v>
      </c>
      <c r="AE477">
        <v>0</v>
      </c>
      <c r="AF477">
        <v>2.6900000000000001E-3</v>
      </c>
      <c r="AG477" t="s">
        <v>608</v>
      </c>
      <c r="AH477">
        <v>2.9306999999999998E-4</v>
      </c>
      <c r="AI477">
        <v>0</v>
      </c>
      <c r="AJ477" t="s">
        <v>561</v>
      </c>
      <c r="AK477" t="s">
        <v>589</v>
      </c>
      <c r="AL477" t="s">
        <v>590</v>
      </c>
      <c r="AM477">
        <v>2022</v>
      </c>
      <c r="AN477">
        <v>2020</v>
      </c>
      <c r="AO477">
        <f>IF(AND(emissions[[#This Row],[Market-based]]=0,emissions[[#This Row],[Impact Type]]="CO2E"),emissions[[#This Row],[kgCO2e]],0)/1000</f>
        <v>0</v>
      </c>
      <c r="AP477">
        <f>IF(AND(emissions[[#This Row],[Market-based]]=1,OR(emissions[[#This Row],[Impact Type]]="CO2E",emissions[[#This Row],[Impact Type]]="CO2E MKT")),emissions[[#This Row],[kgCO2e]],0)/1000</f>
        <v>0</v>
      </c>
      <c r="AQ477" t="str">
        <f>_xlfn.TEXTAFTER(emissions[[#This Row],[Reporting Unit]]," &gt; ",LEN(emissions[[#This Row],[Reporting Unit]])-LEN(SUBSTITUTE(emissions[[#This Row],[Reporting Unit]],"&gt;","")))</f>
        <v>Vantage_Paris</v>
      </c>
      <c r="AR477" t="str">
        <f>_xlfn.XLOOKUP(emissions[[#This Row],[Reporting unit name]],hierarchy!$A:$A,hierarchy!$C:$C)</f>
        <v>Unspecified Facility Type</v>
      </c>
    </row>
    <row r="478" spans="1:44" hidden="1" x14ac:dyDescent="0.25">
      <c r="A478">
        <v>232859</v>
      </c>
      <c r="B478" t="s">
        <v>151</v>
      </c>
      <c r="C478" t="s">
        <v>525</v>
      </c>
      <c r="D478" t="s">
        <v>548</v>
      </c>
      <c r="E478" s="3">
        <v>44562</v>
      </c>
      <c r="F478" s="3">
        <v>44926</v>
      </c>
      <c r="G478" t="s">
        <v>141</v>
      </c>
      <c r="H478" s="3">
        <v>44562</v>
      </c>
      <c r="I478" s="3">
        <v>44926</v>
      </c>
      <c r="J478" t="s">
        <v>156</v>
      </c>
      <c r="K478">
        <v>0</v>
      </c>
      <c r="L478" t="s">
        <v>140</v>
      </c>
      <c r="M478" t="s">
        <v>110</v>
      </c>
      <c r="N478" t="s">
        <v>153</v>
      </c>
      <c r="O478" t="s">
        <v>732</v>
      </c>
      <c r="P478" t="s">
        <v>550</v>
      </c>
      <c r="Q478">
        <v>2022</v>
      </c>
      <c r="R478" t="s">
        <v>733</v>
      </c>
      <c r="S478" t="s">
        <v>734</v>
      </c>
      <c r="T478" t="s">
        <v>553</v>
      </c>
      <c r="U478" t="b">
        <v>0</v>
      </c>
      <c r="V478" t="s">
        <v>735</v>
      </c>
      <c r="W478" t="s">
        <v>587</v>
      </c>
      <c r="X478" t="s">
        <v>556</v>
      </c>
      <c r="Y478" t="s">
        <v>468</v>
      </c>
      <c r="AC478">
        <v>0</v>
      </c>
      <c r="AD478" t="s">
        <v>564</v>
      </c>
      <c r="AE478">
        <v>0</v>
      </c>
      <c r="AF478">
        <v>0.23877999999999999</v>
      </c>
      <c r="AG478" t="s">
        <v>608</v>
      </c>
      <c r="AH478">
        <v>2.9306999999999998E-4</v>
      </c>
      <c r="AI478">
        <v>0</v>
      </c>
      <c r="AJ478" t="s">
        <v>561</v>
      </c>
      <c r="AK478" t="s">
        <v>589</v>
      </c>
      <c r="AL478" t="s">
        <v>590</v>
      </c>
      <c r="AM478">
        <v>2022</v>
      </c>
      <c r="AN478">
        <v>2020</v>
      </c>
      <c r="AO478">
        <f>IF(AND(emissions[[#This Row],[Market-based]]=0,emissions[[#This Row],[Impact Type]]="CO2E"),emissions[[#This Row],[kgCO2e]],0)/1000</f>
        <v>0</v>
      </c>
      <c r="AP478">
        <f>IF(AND(emissions[[#This Row],[Market-based]]=1,OR(emissions[[#This Row],[Impact Type]]="CO2E",emissions[[#This Row],[Impact Type]]="CO2E MKT")),emissions[[#This Row],[kgCO2e]],0)/1000</f>
        <v>0</v>
      </c>
      <c r="AQ478" t="str">
        <f>_xlfn.TEXTAFTER(emissions[[#This Row],[Reporting Unit]]," &gt; ",LEN(emissions[[#This Row],[Reporting Unit]])-LEN(SUBSTITUTE(emissions[[#This Row],[Reporting Unit]],"&gt;","")))</f>
        <v>Vantage_Paris</v>
      </c>
      <c r="AR478" t="str">
        <f>_xlfn.XLOOKUP(emissions[[#This Row],[Reporting unit name]],hierarchy!$A:$A,hierarchy!$C:$C)</f>
        <v>Unspecified Facility Type</v>
      </c>
    </row>
    <row r="479" spans="1:44" hidden="1" x14ac:dyDescent="0.25">
      <c r="A479">
        <v>232859</v>
      </c>
      <c r="B479" t="s">
        <v>151</v>
      </c>
      <c r="C479" t="s">
        <v>525</v>
      </c>
      <c r="D479" t="s">
        <v>548</v>
      </c>
      <c r="E479" s="3">
        <v>44562</v>
      </c>
      <c r="F479" s="3">
        <v>44926</v>
      </c>
      <c r="G479" t="s">
        <v>141</v>
      </c>
      <c r="H479" s="3">
        <v>44562</v>
      </c>
      <c r="I479" s="3">
        <v>44926</v>
      </c>
      <c r="J479" t="s">
        <v>156</v>
      </c>
      <c r="K479">
        <v>0</v>
      </c>
      <c r="L479" t="s">
        <v>140</v>
      </c>
      <c r="M479" t="s">
        <v>110</v>
      </c>
      <c r="N479" t="s">
        <v>153</v>
      </c>
      <c r="O479" t="s">
        <v>732</v>
      </c>
      <c r="P479" t="s">
        <v>550</v>
      </c>
      <c r="Q479">
        <v>2022</v>
      </c>
      <c r="R479" t="s">
        <v>733</v>
      </c>
      <c r="S479" t="s">
        <v>734</v>
      </c>
      <c r="T479" t="s">
        <v>553</v>
      </c>
      <c r="U479" t="b">
        <v>0</v>
      </c>
      <c r="V479" t="s">
        <v>735</v>
      </c>
      <c r="W479" t="s">
        <v>587</v>
      </c>
      <c r="X479" t="s">
        <v>556</v>
      </c>
      <c r="Y479" t="s">
        <v>468</v>
      </c>
      <c r="AC479">
        <v>0</v>
      </c>
      <c r="AD479" t="s">
        <v>565</v>
      </c>
      <c r="AE479">
        <v>0</v>
      </c>
      <c r="AF479">
        <v>0.24374999999999999</v>
      </c>
      <c r="AG479" t="s">
        <v>608</v>
      </c>
      <c r="AH479">
        <v>2.9306999999999998E-4</v>
      </c>
      <c r="AI479">
        <v>0</v>
      </c>
      <c r="AJ479" t="s">
        <v>561</v>
      </c>
      <c r="AK479" t="s">
        <v>589</v>
      </c>
      <c r="AL479" t="s">
        <v>590</v>
      </c>
      <c r="AM479">
        <v>2022</v>
      </c>
      <c r="AN479">
        <v>2020</v>
      </c>
      <c r="AO479">
        <f>IF(AND(emissions[[#This Row],[Market-based]]=0,emissions[[#This Row],[Impact Type]]="CO2E"),emissions[[#This Row],[kgCO2e]],0)/1000</f>
        <v>0</v>
      </c>
      <c r="AP479">
        <f>IF(AND(emissions[[#This Row],[Market-based]]=1,OR(emissions[[#This Row],[Impact Type]]="CO2E",emissions[[#This Row],[Impact Type]]="CO2E MKT")),emissions[[#This Row],[kgCO2e]],0)/1000</f>
        <v>0</v>
      </c>
      <c r="AQ479" t="str">
        <f>_xlfn.TEXTAFTER(emissions[[#This Row],[Reporting Unit]]," &gt; ",LEN(emissions[[#This Row],[Reporting Unit]])-LEN(SUBSTITUTE(emissions[[#This Row],[Reporting Unit]],"&gt;","")))</f>
        <v>Vantage_Paris</v>
      </c>
      <c r="AR479" t="str">
        <f>_xlfn.XLOOKUP(emissions[[#This Row],[Reporting unit name]],hierarchy!$A:$A,hierarchy!$C:$C)</f>
        <v>Unspecified Facility Type</v>
      </c>
    </row>
    <row r="480" spans="1:44" hidden="1" x14ac:dyDescent="0.25">
      <c r="A480">
        <v>232859</v>
      </c>
      <c r="B480" t="s">
        <v>151</v>
      </c>
      <c r="C480" t="s">
        <v>525</v>
      </c>
      <c r="D480" t="s">
        <v>548</v>
      </c>
      <c r="E480" s="3">
        <v>44562</v>
      </c>
      <c r="F480" s="3">
        <v>44926</v>
      </c>
      <c r="G480" t="s">
        <v>141</v>
      </c>
      <c r="H480" s="3">
        <v>44562</v>
      </c>
      <c r="I480" s="3">
        <v>44926</v>
      </c>
      <c r="J480" t="s">
        <v>156</v>
      </c>
      <c r="K480">
        <v>0</v>
      </c>
      <c r="L480" t="s">
        <v>140</v>
      </c>
      <c r="M480" t="s">
        <v>110</v>
      </c>
      <c r="N480" t="s">
        <v>153</v>
      </c>
      <c r="O480" t="s">
        <v>732</v>
      </c>
      <c r="P480" t="s">
        <v>550</v>
      </c>
      <c r="Q480">
        <v>2022</v>
      </c>
      <c r="R480" t="s">
        <v>733</v>
      </c>
      <c r="S480" t="s">
        <v>734</v>
      </c>
      <c r="T480" t="s">
        <v>553</v>
      </c>
      <c r="U480" t="b">
        <v>0</v>
      </c>
      <c r="V480" t="s">
        <v>735</v>
      </c>
      <c r="W480" t="s">
        <v>587</v>
      </c>
      <c r="X480" t="s">
        <v>556</v>
      </c>
      <c r="Y480" t="s">
        <v>468</v>
      </c>
      <c r="AC480">
        <v>0</v>
      </c>
      <c r="AD480" t="s">
        <v>566</v>
      </c>
      <c r="AE480">
        <v>0</v>
      </c>
      <c r="AF480">
        <v>2.2799999999999999E-3</v>
      </c>
      <c r="AG480" t="s">
        <v>608</v>
      </c>
      <c r="AH480">
        <v>2.9306999999999998E-4</v>
      </c>
      <c r="AI480">
        <v>0</v>
      </c>
      <c r="AJ480" t="s">
        <v>561</v>
      </c>
      <c r="AK480" t="s">
        <v>589</v>
      </c>
      <c r="AL480" t="s">
        <v>590</v>
      </c>
      <c r="AM480">
        <v>2022</v>
      </c>
      <c r="AN480">
        <v>2020</v>
      </c>
      <c r="AO480">
        <f>IF(AND(emissions[[#This Row],[Market-based]]=0,emissions[[#This Row],[Impact Type]]="CO2E"),emissions[[#This Row],[kgCO2e]],0)/1000</f>
        <v>0</v>
      </c>
      <c r="AP480">
        <f>IF(AND(emissions[[#This Row],[Market-based]]=1,OR(emissions[[#This Row],[Impact Type]]="CO2E",emissions[[#This Row],[Impact Type]]="CO2E MKT")),emissions[[#This Row],[kgCO2e]],0)/1000</f>
        <v>0</v>
      </c>
      <c r="AQ480" t="str">
        <f>_xlfn.TEXTAFTER(emissions[[#This Row],[Reporting Unit]]," &gt; ",LEN(emissions[[#This Row],[Reporting Unit]])-LEN(SUBSTITUTE(emissions[[#This Row],[Reporting Unit]],"&gt;","")))</f>
        <v>Vantage_Paris</v>
      </c>
      <c r="AR480" t="str">
        <f>_xlfn.XLOOKUP(emissions[[#This Row],[Reporting unit name]],hierarchy!$A:$A,hierarchy!$C:$C)</f>
        <v>Unspecified Facility Type</v>
      </c>
    </row>
    <row r="481" spans="1:44" hidden="1" x14ac:dyDescent="0.25">
      <c r="A481">
        <v>232859</v>
      </c>
      <c r="B481" t="s">
        <v>151</v>
      </c>
      <c r="C481" t="s">
        <v>525</v>
      </c>
      <c r="D481" t="s">
        <v>548</v>
      </c>
      <c r="E481" s="3">
        <v>44562</v>
      </c>
      <c r="F481" s="3">
        <v>44926</v>
      </c>
      <c r="G481" t="s">
        <v>141</v>
      </c>
      <c r="H481" s="3">
        <v>44562</v>
      </c>
      <c r="I481" s="3">
        <v>44926</v>
      </c>
      <c r="J481" t="s">
        <v>156</v>
      </c>
      <c r="K481">
        <v>0</v>
      </c>
      <c r="L481" t="s">
        <v>140</v>
      </c>
      <c r="M481" t="s">
        <v>110</v>
      </c>
      <c r="N481" t="s">
        <v>153</v>
      </c>
      <c r="O481" t="s">
        <v>732</v>
      </c>
      <c r="P481" t="s">
        <v>550</v>
      </c>
      <c r="Q481">
        <v>2022</v>
      </c>
      <c r="R481" t="s">
        <v>733</v>
      </c>
      <c r="S481" t="s">
        <v>734</v>
      </c>
      <c r="T481" t="s">
        <v>553</v>
      </c>
      <c r="U481" t="b">
        <v>0</v>
      </c>
      <c r="V481" t="s">
        <v>735</v>
      </c>
      <c r="W481" t="s">
        <v>587</v>
      </c>
      <c r="X481" t="s">
        <v>556</v>
      </c>
      <c r="Y481" t="s">
        <v>468</v>
      </c>
      <c r="AC481">
        <v>1</v>
      </c>
      <c r="AD481" t="s">
        <v>558</v>
      </c>
      <c r="AE481">
        <v>0</v>
      </c>
      <c r="AF481">
        <v>2.6900000000000001E-3</v>
      </c>
      <c r="AG481" t="s">
        <v>608</v>
      </c>
      <c r="AH481">
        <v>2.9306999999999998E-4</v>
      </c>
      <c r="AI481">
        <v>0</v>
      </c>
      <c r="AJ481" t="s">
        <v>561</v>
      </c>
      <c r="AK481" t="s">
        <v>589</v>
      </c>
      <c r="AL481" t="s">
        <v>590</v>
      </c>
      <c r="AM481">
        <v>2022</v>
      </c>
      <c r="AN481">
        <v>2020</v>
      </c>
      <c r="AO481">
        <f>IF(AND(emissions[[#This Row],[Market-based]]=0,emissions[[#This Row],[Impact Type]]="CO2E"),emissions[[#This Row],[kgCO2e]],0)/1000</f>
        <v>0</v>
      </c>
      <c r="AP481">
        <f>IF(AND(emissions[[#This Row],[Market-based]]=1,OR(emissions[[#This Row],[Impact Type]]="CO2E",emissions[[#This Row],[Impact Type]]="CO2E MKT")),emissions[[#This Row],[kgCO2e]],0)/1000</f>
        <v>0</v>
      </c>
      <c r="AQ481" t="str">
        <f>_xlfn.TEXTAFTER(emissions[[#This Row],[Reporting Unit]]," &gt; ",LEN(emissions[[#This Row],[Reporting Unit]])-LEN(SUBSTITUTE(emissions[[#This Row],[Reporting Unit]],"&gt;","")))</f>
        <v>Vantage_Paris</v>
      </c>
      <c r="AR481" t="str">
        <f>_xlfn.XLOOKUP(emissions[[#This Row],[Reporting unit name]],hierarchy!$A:$A,hierarchy!$C:$C)</f>
        <v>Unspecified Facility Type</v>
      </c>
    </row>
    <row r="482" spans="1:44" hidden="1" x14ac:dyDescent="0.25">
      <c r="A482">
        <v>232859</v>
      </c>
      <c r="B482" t="s">
        <v>151</v>
      </c>
      <c r="C482" t="s">
        <v>525</v>
      </c>
      <c r="D482" t="s">
        <v>548</v>
      </c>
      <c r="E482" s="3">
        <v>44562</v>
      </c>
      <c r="F482" s="3">
        <v>44926</v>
      </c>
      <c r="G482" t="s">
        <v>141</v>
      </c>
      <c r="H482" s="3">
        <v>44562</v>
      </c>
      <c r="I482" s="3">
        <v>44926</v>
      </c>
      <c r="J482" t="s">
        <v>156</v>
      </c>
      <c r="K482">
        <v>0</v>
      </c>
      <c r="L482" t="s">
        <v>140</v>
      </c>
      <c r="M482" t="s">
        <v>110</v>
      </c>
      <c r="N482" t="s">
        <v>153</v>
      </c>
      <c r="O482" t="s">
        <v>732</v>
      </c>
      <c r="P482" t="s">
        <v>550</v>
      </c>
      <c r="Q482">
        <v>2022</v>
      </c>
      <c r="R482" t="s">
        <v>733</v>
      </c>
      <c r="S482" t="s">
        <v>734</v>
      </c>
      <c r="T482" t="s">
        <v>553</v>
      </c>
      <c r="U482" t="b">
        <v>0</v>
      </c>
      <c r="V482" t="s">
        <v>735</v>
      </c>
      <c r="W482" t="s">
        <v>587</v>
      </c>
      <c r="X482" t="s">
        <v>556</v>
      </c>
      <c r="Y482" t="s">
        <v>468</v>
      </c>
      <c r="AC482">
        <v>1</v>
      </c>
      <c r="AD482" t="s">
        <v>564</v>
      </c>
      <c r="AE482">
        <v>0</v>
      </c>
      <c r="AF482">
        <v>0.23877999999999999</v>
      </c>
      <c r="AG482" t="s">
        <v>608</v>
      </c>
      <c r="AH482">
        <v>2.9306999999999998E-4</v>
      </c>
      <c r="AI482">
        <v>0</v>
      </c>
      <c r="AJ482" t="s">
        <v>561</v>
      </c>
      <c r="AK482" t="s">
        <v>589</v>
      </c>
      <c r="AL482" t="s">
        <v>590</v>
      </c>
      <c r="AM482">
        <v>2022</v>
      </c>
      <c r="AN482">
        <v>2020</v>
      </c>
      <c r="AO482">
        <f>IF(AND(emissions[[#This Row],[Market-based]]=0,emissions[[#This Row],[Impact Type]]="CO2E"),emissions[[#This Row],[kgCO2e]],0)/1000</f>
        <v>0</v>
      </c>
      <c r="AP482">
        <f>IF(AND(emissions[[#This Row],[Market-based]]=1,OR(emissions[[#This Row],[Impact Type]]="CO2E",emissions[[#This Row],[Impact Type]]="CO2E MKT")),emissions[[#This Row],[kgCO2e]],0)/1000</f>
        <v>0</v>
      </c>
      <c r="AQ482" t="str">
        <f>_xlfn.TEXTAFTER(emissions[[#This Row],[Reporting Unit]]," &gt; ",LEN(emissions[[#This Row],[Reporting Unit]])-LEN(SUBSTITUTE(emissions[[#This Row],[Reporting Unit]],"&gt;","")))</f>
        <v>Vantage_Paris</v>
      </c>
      <c r="AR482" t="str">
        <f>_xlfn.XLOOKUP(emissions[[#This Row],[Reporting unit name]],hierarchy!$A:$A,hierarchy!$C:$C)</f>
        <v>Unspecified Facility Type</v>
      </c>
    </row>
    <row r="483" spans="1:44" hidden="1" x14ac:dyDescent="0.25">
      <c r="A483">
        <v>232859</v>
      </c>
      <c r="B483" t="s">
        <v>151</v>
      </c>
      <c r="C483" t="s">
        <v>525</v>
      </c>
      <c r="D483" t="s">
        <v>548</v>
      </c>
      <c r="E483" s="3">
        <v>44562</v>
      </c>
      <c r="F483" s="3">
        <v>44926</v>
      </c>
      <c r="G483" t="s">
        <v>141</v>
      </c>
      <c r="H483" s="3">
        <v>44562</v>
      </c>
      <c r="I483" s="3">
        <v>44926</v>
      </c>
      <c r="J483" t="s">
        <v>156</v>
      </c>
      <c r="K483">
        <v>0</v>
      </c>
      <c r="L483" t="s">
        <v>140</v>
      </c>
      <c r="M483" t="s">
        <v>110</v>
      </c>
      <c r="N483" t="s">
        <v>153</v>
      </c>
      <c r="O483" t="s">
        <v>732</v>
      </c>
      <c r="P483" t="s">
        <v>550</v>
      </c>
      <c r="Q483">
        <v>2022</v>
      </c>
      <c r="R483" t="s">
        <v>733</v>
      </c>
      <c r="S483" t="s">
        <v>734</v>
      </c>
      <c r="T483" t="s">
        <v>553</v>
      </c>
      <c r="U483" t="b">
        <v>0</v>
      </c>
      <c r="V483" t="s">
        <v>735</v>
      </c>
      <c r="W483" t="s">
        <v>587</v>
      </c>
      <c r="X483" t="s">
        <v>556</v>
      </c>
      <c r="Y483" t="s">
        <v>468</v>
      </c>
      <c r="AC483">
        <v>1</v>
      </c>
      <c r="AD483" t="s">
        <v>565</v>
      </c>
      <c r="AE483">
        <v>0</v>
      </c>
      <c r="AF483">
        <v>0.24374999999999999</v>
      </c>
      <c r="AG483" t="s">
        <v>608</v>
      </c>
      <c r="AH483">
        <v>2.9306999999999998E-4</v>
      </c>
      <c r="AI483">
        <v>0</v>
      </c>
      <c r="AJ483" t="s">
        <v>561</v>
      </c>
      <c r="AK483" t="s">
        <v>589</v>
      </c>
      <c r="AL483" t="s">
        <v>590</v>
      </c>
      <c r="AM483">
        <v>2022</v>
      </c>
      <c r="AN483">
        <v>2020</v>
      </c>
      <c r="AO483">
        <f>IF(AND(emissions[[#This Row],[Market-based]]=0,emissions[[#This Row],[Impact Type]]="CO2E"),emissions[[#This Row],[kgCO2e]],0)/1000</f>
        <v>0</v>
      </c>
      <c r="AP483">
        <f>IF(AND(emissions[[#This Row],[Market-based]]=1,OR(emissions[[#This Row],[Impact Type]]="CO2E",emissions[[#This Row],[Impact Type]]="CO2E MKT")),emissions[[#This Row],[kgCO2e]],0)/1000</f>
        <v>0</v>
      </c>
      <c r="AQ483" t="str">
        <f>_xlfn.TEXTAFTER(emissions[[#This Row],[Reporting Unit]]," &gt; ",LEN(emissions[[#This Row],[Reporting Unit]])-LEN(SUBSTITUTE(emissions[[#This Row],[Reporting Unit]],"&gt;","")))</f>
        <v>Vantage_Paris</v>
      </c>
      <c r="AR483" t="str">
        <f>_xlfn.XLOOKUP(emissions[[#This Row],[Reporting unit name]],hierarchy!$A:$A,hierarchy!$C:$C)</f>
        <v>Unspecified Facility Type</v>
      </c>
    </row>
    <row r="484" spans="1:44" hidden="1" x14ac:dyDescent="0.25">
      <c r="A484">
        <v>232859</v>
      </c>
      <c r="B484" t="s">
        <v>151</v>
      </c>
      <c r="C484" t="s">
        <v>525</v>
      </c>
      <c r="D484" t="s">
        <v>548</v>
      </c>
      <c r="E484" s="3">
        <v>44562</v>
      </c>
      <c r="F484" s="3">
        <v>44926</v>
      </c>
      <c r="G484" t="s">
        <v>141</v>
      </c>
      <c r="H484" s="3">
        <v>44562</v>
      </c>
      <c r="I484" s="3">
        <v>44926</v>
      </c>
      <c r="J484" t="s">
        <v>156</v>
      </c>
      <c r="K484">
        <v>0</v>
      </c>
      <c r="L484" t="s">
        <v>140</v>
      </c>
      <c r="M484" t="s">
        <v>110</v>
      </c>
      <c r="N484" t="s">
        <v>153</v>
      </c>
      <c r="O484" t="s">
        <v>732</v>
      </c>
      <c r="P484" t="s">
        <v>550</v>
      </c>
      <c r="Q484">
        <v>2022</v>
      </c>
      <c r="R484" t="s">
        <v>733</v>
      </c>
      <c r="S484" t="s">
        <v>734</v>
      </c>
      <c r="T484" t="s">
        <v>553</v>
      </c>
      <c r="U484" t="b">
        <v>0</v>
      </c>
      <c r="V484" t="s">
        <v>735</v>
      </c>
      <c r="W484" t="s">
        <v>587</v>
      </c>
      <c r="X484" t="s">
        <v>556</v>
      </c>
      <c r="Y484" t="s">
        <v>468</v>
      </c>
      <c r="AC484">
        <v>1</v>
      </c>
      <c r="AD484" t="s">
        <v>566</v>
      </c>
      <c r="AE484">
        <v>0</v>
      </c>
      <c r="AF484">
        <v>2.2799999999999999E-3</v>
      </c>
      <c r="AG484" t="s">
        <v>608</v>
      </c>
      <c r="AH484">
        <v>2.9306999999999998E-4</v>
      </c>
      <c r="AI484">
        <v>0</v>
      </c>
      <c r="AJ484" t="s">
        <v>561</v>
      </c>
      <c r="AK484" t="s">
        <v>589</v>
      </c>
      <c r="AL484" t="s">
        <v>590</v>
      </c>
      <c r="AM484">
        <v>2022</v>
      </c>
      <c r="AN484">
        <v>2020</v>
      </c>
      <c r="AO484">
        <f>IF(AND(emissions[[#This Row],[Market-based]]=0,emissions[[#This Row],[Impact Type]]="CO2E"),emissions[[#This Row],[kgCO2e]],0)/1000</f>
        <v>0</v>
      </c>
      <c r="AP484">
        <f>IF(AND(emissions[[#This Row],[Market-based]]=1,OR(emissions[[#This Row],[Impact Type]]="CO2E",emissions[[#This Row],[Impact Type]]="CO2E MKT")),emissions[[#This Row],[kgCO2e]],0)/1000</f>
        <v>0</v>
      </c>
      <c r="AQ484" t="str">
        <f>_xlfn.TEXTAFTER(emissions[[#This Row],[Reporting Unit]]," &gt; ",LEN(emissions[[#This Row],[Reporting Unit]])-LEN(SUBSTITUTE(emissions[[#This Row],[Reporting Unit]],"&gt;","")))</f>
        <v>Vantage_Paris</v>
      </c>
      <c r="AR484" t="str">
        <f>_xlfn.XLOOKUP(emissions[[#This Row],[Reporting unit name]],hierarchy!$A:$A,hierarchy!$C:$C)</f>
        <v>Unspecified Facility Type</v>
      </c>
    </row>
    <row r="485" spans="1:44" hidden="1" x14ac:dyDescent="0.25">
      <c r="A485">
        <v>232859</v>
      </c>
      <c r="B485" t="s">
        <v>151</v>
      </c>
      <c r="C485" t="s">
        <v>525</v>
      </c>
      <c r="D485" t="s">
        <v>548</v>
      </c>
      <c r="E485" s="3">
        <v>44562</v>
      </c>
      <c r="F485" s="3">
        <v>44926</v>
      </c>
      <c r="G485" t="s">
        <v>141</v>
      </c>
      <c r="H485" s="3">
        <v>44562</v>
      </c>
      <c r="I485" s="3">
        <v>44926</v>
      </c>
      <c r="J485" t="s">
        <v>156</v>
      </c>
      <c r="K485">
        <v>0</v>
      </c>
      <c r="L485" t="s">
        <v>140</v>
      </c>
      <c r="M485" t="s">
        <v>110</v>
      </c>
      <c r="N485" t="s">
        <v>153</v>
      </c>
      <c r="O485" t="s">
        <v>732</v>
      </c>
      <c r="P485" t="s">
        <v>550</v>
      </c>
      <c r="Q485">
        <v>2022</v>
      </c>
      <c r="R485" t="s">
        <v>736</v>
      </c>
      <c r="S485" t="s">
        <v>737</v>
      </c>
      <c r="T485" t="s">
        <v>577</v>
      </c>
      <c r="U485" t="b">
        <v>0</v>
      </c>
      <c r="V485" t="s">
        <v>738</v>
      </c>
      <c r="W485" t="s">
        <v>571</v>
      </c>
      <c r="X485" t="s">
        <v>572</v>
      </c>
      <c r="Y485" t="s">
        <v>468</v>
      </c>
      <c r="AC485">
        <v>0</v>
      </c>
      <c r="AD485" t="s">
        <v>565</v>
      </c>
      <c r="AE485">
        <v>0</v>
      </c>
      <c r="AF485">
        <v>6.2239999999999997E-2</v>
      </c>
      <c r="AG485" t="s">
        <v>608</v>
      </c>
      <c r="AH485">
        <v>2.9306999999999998E-4</v>
      </c>
      <c r="AI485">
        <v>0</v>
      </c>
      <c r="AJ485" t="s">
        <v>561</v>
      </c>
      <c r="AK485" t="s">
        <v>589</v>
      </c>
      <c r="AL485" t="s">
        <v>590</v>
      </c>
      <c r="AM485">
        <v>2022</v>
      </c>
      <c r="AN485">
        <v>2020</v>
      </c>
      <c r="AO485">
        <f>IF(AND(emissions[[#This Row],[Market-based]]=0,emissions[[#This Row],[Impact Type]]="CO2E"),emissions[[#This Row],[kgCO2e]],0)/1000</f>
        <v>0</v>
      </c>
      <c r="AP485">
        <f>IF(AND(emissions[[#This Row],[Market-based]]=1,OR(emissions[[#This Row],[Impact Type]]="CO2E",emissions[[#This Row],[Impact Type]]="CO2E MKT")),emissions[[#This Row],[kgCO2e]],0)/1000</f>
        <v>0</v>
      </c>
      <c r="AQ485" t="str">
        <f>_xlfn.TEXTAFTER(emissions[[#This Row],[Reporting Unit]]," &gt; ",LEN(emissions[[#This Row],[Reporting Unit]])-LEN(SUBSTITUTE(emissions[[#This Row],[Reporting Unit]],"&gt;","")))</f>
        <v>Vantage_Paris</v>
      </c>
      <c r="AR485" t="str">
        <f>_xlfn.XLOOKUP(emissions[[#This Row],[Reporting unit name]],hierarchy!$A:$A,hierarchy!$C:$C)</f>
        <v>Unspecified Facility Type</v>
      </c>
    </row>
    <row r="486" spans="1:44" hidden="1" x14ac:dyDescent="0.25">
      <c r="A486">
        <v>232859</v>
      </c>
      <c r="B486" t="s">
        <v>151</v>
      </c>
      <c r="C486" t="s">
        <v>525</v>
      </c>
      <c r="D486" t="s">
        <v>548</v>
      </c>
      <c r="E486" s="3">
        <v>44562</v>
      </c>
      <c r="F486" s="3">
        <v>44926</v>
      </c>
      <c r="G486" t="s">
        <v>141</v>
      </c>
      <c r="H486" s="3">
        <v>44562</v>
      </c>
      <c r="I486" s="3">
        <v>44926</v>
      </c>
      <c r="J486" t="s">
        <v>156</v>
      </c>
      <c r="K486">
        <v>0</v>
      </c>
      <c r="L486" t="s">
        <v>140</v>
      </c>
      <c r="M486" t="s">
        <v>110</v>
      </c>
      <c r="N486" t="s">
        <v>153</v>
      </c>
      <c r="O486" t="s">
        <v>732</v>
      </c>
      <c r="P486" t="s">
        <v>550</v>
      </c>
      <c r="Q486">
        <v>2022</v>
      </c>
      <c r="R486" t="s">
        <v>736</v>
      </c>
      <c r="S486" t="s">
        <v>737</v>
      </c>
      <c r="T486" t="s">
        <v>577</v>
      </c>
      <c r="U486" t="b">
        <v>0</v>
      </c>
      <c r="V486" t="s">
        <v>738</v>
      </c>
      <c r="W486" t="s">
        <v>571</v>
      </c>
      <c r="X486" t="s">
        <v>572</v>
      </c>
      <c r="Y486" t="s">
        <v>468</v>
      </c>
      <c r="AC486">
        <v>1</v>
      </c>
      <c r="AD486" t="s">
        <v>565</v>
      </c>
      <c r="AE486">
        <v>0</v>
      </c>
      <c r="AF486">
        <v>6.2239999999999997E-2</v>
      </c>
      <c r="AG486" t="s">
        <v>608</v>
      </c>
      <c r="AH486">
        <v>2.9306999999999998E-4</v>
      </c>
      <c r="AI486">
        <v>0</v>
      </c>
      <c r="AJ486" t="s">
        <v>561</v>
      </c>
      <c r="AK486" t="s">
        <v>589</v>
      </c>
      <c r="AL486" t="s">
        <v>590</v>
      </c>
      <c r="AM486">
        <v>2022</v>
      </c>
      <c r="AN486">
        <v>2020</v>
      </c>
      <c r="AO486">
        <f>IF(AND(emissions[[#This Row],[Market-based]]=0,emissions[[#This Row],[Impact Type]]="CO2E"),emissions[[#This Row],[kgCO2e]],0)/1000</f>
        <v>0</v>
      </c>
      <c r="AP486">
        <f>IF(AND(emissions[[#This Row],[Market-based]]=1,OR(emissions[[#This Row],[Impact Type]]="CO2E",emissions[[#This Row],[Impact Type]]="CO2E MKT")),emissions[[#This Row],[kgCO2e]],0)/1000</f>
        <v>0</v>
      </c>
      <c r="AQ486" t="str">
        <f>_xlfn.TEXTAFTER(emissions[[#This Row],[Reporting Unit]]," &gt; ",LEN(emissions[[#This Row],[Reporting Unit]])-LEN(SUBSTITUTE(emissions[[#This Row],[Reporting Unit]],"&gt;","")))</f>
        <v>Vantage_Paris</v>
      </c>
      <c r="AR486" t="str">
        <f>_xlfn.XLOOKUP(emissions[[#This Row],[Reporting unit name]],hierarchy!$A:$A,hierarchy!$C:$C)</f>
        <v>Unspecified Facility Type</v>
      </c>
    </row>
    <row r="487" spans="1:44" hidden="1" x14ac:dyDescent="0.25">
      <c r="A487">
        <v>232863</v>
      </c>
      <c r="B487" t="s">
        <v>151</v>
      </c>
      <c r="C487" t="s">
        <v>525</v>
      </c>
      <c r="D487" t="s">
        <v>548</v>
      </c>
      <c r="E487" s="3">
        <v>44562</v>
      </c>
      <c r="F487" s="3">
        <v>44926</v>
      </c>
      <c r="G487" t="s">
        <v>116</v>
      </c>
      <c r="H487" s="3">
        <v>44562</v>
      </c>
      <c r="I487" s="3">
        <v>44926</v>
      </c>
      <c r="J487" t="s">
        <v>158</v>
      </c>
      <c r="K487">
        <v>0</v>
      </c>
      <c r="L487" t="s">
        <v>159</v>
      </c>
      <c r="M487" t="s">
        <v>110</v>
      </c>
      <c r="N487" t="s">
        <v>153</v>
      </c>
      <c r="O487" t="s">
        <v>731</v>
      </c>
      <c r="P487" t="s">
        <v>550</v>
      </c>
      <c r="Q487">
        <v>2022</v>
      </c>
      <c r="R487" t="s">
        <v>739</v>
      </c>
      <c r="S487" t="s">
        <v>158</v>
      </c>
      <c r="T487" t="s">
        <v>553</v>
      </c>
      <c r="U487" t="b">
        <v>0</v>
      </c>
      <c r="V487" t="s">
        <v>740</v>
      </c>
      <c r="W487" t="s">
        <v>587</v>
      </c>
      <c r="X487" t="s">
        <v>556</v>
      </c>
      <c r="AC487">
        <v>0</v>
      </c>
      <c r="AD487" t="s">
        <v>565</v>
      </c>
      <c r="AE487">
        <v>0</v>
      </c>
      <c r="AF487">
        <v>14800</v>
      </c>
      <c r="AG487" t="s">
        <v>622</v>
      </c>
      <c r="AH487">
        <v>1000000</v>
      </c>
      <c r="AI487">
        <v>0</v>
      </c>
      <c r="AJ487" t="s">
        <v>561</v>
      </c>
      <c r="AK487" t="s">
        <v>623</v>
      </c>
      <c r="AL487" t="s">
        <v>624</v>
      </c>
      <c r="AM487">
        <v>2022</v>
      </c>
      <c r="AN487">
        <v>2007</v>
      </c>
      <c r="AO487">
        <f>IF(AND(emissions[[#This Row],[Market-based]]=0,emissions[[#This Row],[Impact Type]]="CO2E"),emissions[[#This Row],[kgCO2e]],0)/1000</f>
        <v>0</v>
      </c>
      <c r="AP487">
        <f>IF(AND(emissions[[#This Row],[Market-based]]=1,OR(emissions[[#This Row],[Impact Type]]="CO2E",emissions[[#This Row],[Impact Type]]="CO2E MKT")),emissions[[#This Row],[kgCO2e]],0)/1000</f>
        <v>0</v>
      </c>
      <c r="AQ487" t="str">
        <f>_xlfn.TEXTAFTER(emissions[[#This Row],[Reporting Unit]]," &gt; ",LEN(emissions[[#This Row],[Reporting Unit]])-LEN(SUBSTITUTE(emissions[[#This Row],[Reporting Unit]],"&gt;","")))</f>
        <v>Vantage_Paris</v>
      </c>
      <c r="AR487" t="str">
        <f>_xlfn.XLOOKUP(emissions[[#This Row],[Reporting unit name]],hierarchy!$A:$A,hierarchy!$C:$C)</f>
        <v>Unspecified Facility Type</v>
      </c>
    </row>
    <row r="488" spans="1:44" hidden="1" x14ac:dyDescent="0.25">
      <c r="A488">
        <v>232863</v>
      </c>
      <c r="B488" t="s">
        <v>151</v>
      </c>
      <c r="C488" t="s">
        <v>525</v>
      </c>
      <c r="D488" t="s">
        <v>548</v>
      </c>
      <c r="E488" s="3">
        <v>44562</v>
      </c>
      <c r="F488" s="3">
        <v>44926</v>
      </c>
      <c r="G488" t="s">
        <v>116</v>
      </c>
      <c r="H488" s="3">
        <v>44562</v>
      </c>
      <c r="I488" s="3">
        <v>44926</v>
      </c>
      <c r="J488" t="s">
        <v>158</v>
      </c>
      <c r="K488">
        <v>0</v>
      </c>
      <c r="L488" t="s">
        <v>159</v>
      </c>
      <c r="M488" t="s">
        <v>110</v>
      </c>
      <c r="N488" t="s">
        <v>153</v>
      </c>
      <c r="O488" t="s">
        <v>731</v>
      </c>
      <c r="P488" t="s">
        <v>550</v>
      </c>
      <c r="Q488">
        <v>2022</v>
      </c>
      <c r="R488" t="s">
        <v>739</v>
      </c>
      <c r="S488" t="s">
        <v>158</v>
      </c>
      <c r="T488" t="s">
        <v>553</v>
      </c>
      <c r="U488" t="b">
        <v>0</v>
      </c>
      <c r="V488" t="s">
        <v>740</v>
      </c>
      <c r="W488" t="s">
        <v>587</v>
      </c>
      <c r="X488" t="s">
        <v>556</v>
      </c>
      <c r="AC488">
        <v>1</v>
      </c>
      <c r="AD488" t="s">
        <v>565</v>
      </c>
      <c r="AE488">
        <v>0</v>
      </c>
      <c r="AF488">
        <v>14800</v>
      </c>
      <c r="AG488" t="s">
        <v>622</v>
      </c>
      <c r="AH488">
        <v>1000000</v>
      </c>
      <c r="AI488">
        <v>0</v>
      </c>
      <c r="AJ488" t="s">
        <v>561</v>
      </c>
      <c r="AK488" t="s">
        <v>623</v>
      </c>
      <c r="AL488" t="s">
        <v>624</v>
      </c>
      <c r="AM488">
        <v>2022</v>
      </c>
      <c r="AN488">
        <v>2007</v>
      </c>
      <c r="AO488">
        <f>IF(AND(emissions[[#This Row],[Market-based]]=0,emissions[[#This Row],[Impact Type]]="CO2E"),emissions[[#This Row],[kgCO2e]],0)/1000</f>
        <v>0</v>
      </c>
      <c r="AP488">
        <f>IF(AND(emissions[[#This Row],[Market-based]]=1,OR(emissions[[#This Row],[Impact Type]]="CO2E",emissions[[#This Row],[Impact Type]]="CO2E MKT")),emissions[[#This Row],[kgCO2e]],0)/1000</f>
        <v>0</v>
      </c>
      <c r="AQ488" t="str">
        <f>_xlfn.TEXTAFTER(emissions[[#This Row],[Reporting Unit]]," &gt; ",LEN(emissions[[#This Row],[Reporting Unit]])-LEN(SUBSTITUTE(emissions[[#This Row],[Reporting Unit]],"&gt;","")))</f>
        <v>Vantage_Paris</v>
      </c>
      <c r="AR488" t="str">
        <f>_xlfn.XLOOKUP(emissions[[#This Row],[Reporting unit name]],hierarchy!$A:$A,hierarchy!$C:$C)</f>
        <v>Unspecified Facility Type</v>
      </c>
    </row>
    <row r="489" spans="1:44" hidden="1" x14ac:dyDescent="0.25">
      <c r="A489">
        <v>294648</v>
      </c>
      <c r="B489" t="s">
        <v>151</v>
      </c>
      <c r="C489" t="s">
        <v>525</v>
      </c>
      <c r="D489" t="s">
        <v>548</v>
      </c>
      <c r="E489" s="3">
        <v>44562</v>
      </c>
      <c r="F489" s="3">
        <v>44926</v>
      </c>
      <c r="G489" t="s">
        <v>121</v>
      </c>
      <c r="H489" s="3">
        <v>44562</v>
      </c>
      <c r="I489" s="3">
        <v>44926</v>
      </c>
      <c r="J489" t="s">
        <v>122</v>
      </c>
      <c r="K489">
        <v>0</v>
      </c>
      <c r="L489" t="s">
        <v>160</v>
      </c>
      <c r="M489" t="s">
        <v>110</v>
      </c>
      <c r="O489" t="s">
        <v>741</v>
      </c>
      <c r="P489" t="s">
        <v>550</v>
      </c>
      <c r="Q489">
        <v>2022</v>
      </c>
      <c r="R489" t="s">
        <v>742</v>
      </c>
      <c r="S489" t="s">
        <v>122</v>
      </c>
      <c r="T489" t="s">
        <v>553</v>
      </c>
      <c r="U489" t="b">
        <v>0</v>
      </c>
      <c r="V489" t="s">
        <v>743</v>
      </c>
      <c r="W489" t="s">
        <v>587</v>
      </c>
      <c r="X489" t="s">
        <v>556</v>
      </c>
      <c r="Y489" t="s">
        <v>468</v>
      </c>
      <c r="AC489">
        <v>0</v>
      </c>
      <c r="AD489" t="s">
        <v>558</v>
      </c>
      <c r="AE489">
        <v>0</v>
      </c>
      <c r="AF489">
        <v>1.2099999999999999E-3</v>
      </c>
      <c r="AG489" t="s">
        <v>588</v>
      </c>
      <c r="AH489">
        <v>28.316800000000001</v>
      </c>
      <c r="AI489">
        <v>0</v>
      </c>
      <c r="AJ489" t="s">
        <v>561</v>
      </c>
      <c r="AK489" t="s">
        <v>589</v>
      </c>
      <c r="AL489" t="s">
        <v>590</v>
      </c>
      <c r="AM489">
        <v>2022</v>
      </c>
      <c r="AN489">
        <v>2020</v>
      </c>
      <c r="AO489">
        <f>IF(AND(emissions[[#This Row],[Market-based]]=0,emissions[[#This Row],[Impact Type]]="CO2E"),emissions[[#This Row],[kgCO2e]],0)/1000</f>
        <v>0</v>
      </c>
      <c r="AP489">
        <f>IF(AND(emissions[[#This Row],[Market-based]]=1,OR(emissions[[#This Row],[Impact Type]]="CO2E",emissions[[#This Row],[Impact Type]]="CO2E MKT")),emissions[[#This Row],[kgCO2e]],0)/1000</f>
        <v>0</v>
      </c>
      <c r="AQ489" t="str">
        <f>_xlfn.TEXTAFTER(emissions[[#This Row],[Reporting Unit]]," &gt; ",LEN(emissions[[#This Row],[Reporting Unit]])-LEN(SUBSTITUTE(emissions[[#This Row],[Reporting Unit]],"&gt;","")))</f>
        <v>Vantage_Paris</v>
      </c>
      <c r="AR489" t="str">
        <f>_xlfn.XLOOKUP(emissions[[#This Row],[Reporting unit name]],hierarchy!$A:$A,hierarchy!$C:$C)</f>
        <v>Unspecified Facility Type</v>
      </c>
    </row>
    <row r="490" spans="1:44" hidden="1" x14ac:dyDescent="0.25">
      <c r="A490">
        <v>294648</v>
      </c>
      <c r="B490" t="s">
        <v>151</v>
      </c>
      <c r="C490" t="s">
        <v>525</v>
      </c>
      <c r="D490" t="s">
        <v>548</v>
      </c>
      <c r="E490" s="3">
        <v>44562</v>
      </c>
      <c r="F490" s="3">
        <v>44926</v>
      </c>
      <c r="G490" t="s">
        <v>121</v>
      </c>
      <c r="H490" s="3">
        <v>44562</v>
      </c>
      <c r="I490" s="3">
        <v>44926</v>
      </c>
      <c r="J490" t="s">
        <v>122</v>
      </c>
      <c r="K490">
        <v>0</v>
      </c>
      <c r="L490" t="s">
        <v>160</v>
      </c>
      <c r="M490" t="s">
        <v>110</v>
      </c>
      <c r="O490" t="s">
        <v>741</v>
      </c>
      <c r="P490" t="s">
        <v>550</v>
      </c>
      <c r="Q490">
        <v>2022</v>
      </c>
      <c r="R490" t="s">
        <v>742</v>
      </c>
      <c r="S490" t="s">
        <v>122</v>
      </c>
      <c r="T490" t="s">
        <v>553</v>
      </c>
      <c r="U490" t="b">
        <v>0</v>
      </c>
      <c r="V490" t="s">
        <v>743</v>
      </c>
      <c r="W490" t="s">
        <v>587</v>
      </c>
      <c r="X490" t="s">
        <v>556</v>
      </c>
      <c r="Y490" t="s">
        <v>468</v>
      </c>
      <c r="AC490">
        <v>0</v>
      </c>
      <c r="AD490" t="s">
        <v>564</v>
      </c>
      <c r="AE490">
        <v>0</v>
      </c>
      <c r="AF490">
        <v>1.55491</v>
      </c>
      <c r="AG490" t="s">
        <v>588</v>
      </c>
      <c r="AH490">
        <v>28.316800000000001</v>
      </c>
      <c r="AI490">
        <v>0</v>
      </c>
      <c r="AJ490" t="s">
        <v>561</v>
      </c>
      <c r="AK490" t="s">
        <v>589</v>
      </c>
      <c r="AL490" t="s">
        <v>590</v>
      </c>
      <c r="AM490">
        <v>2022</v>
      </c>
      <c r="AN490">
        <v>2020</v>
      </c>
      <c r="AO490">
        <f>IF(AND(emissions[[#This Row],[Market-based]]=0,emissions[[#This Row],[Impact Type]]="CO2E"),emissions[[#This Row],[kgCO2e]],0)/1000</f>
        <v>0</v>
      </c>
      <c r="AP490">
        <f>IF(AND(emissions[[#This Row],[Market-based]]=1,OR(emissions[[#This Row],[Impact Type]]="CO2E",emissions[[#This Row],[Impact Type]]="CO2E MKT")),emissions[[#This Row],[kgCO2e]],0)/1000</f>
        <v>0</v>
      </c>
      <c r="AQ490" t="str">
        <f>_xlfn.TEXTAFTER(emissions[[#This Row],[Reporting Unit]]," &gt; ",LEN(emissions[[#This Row],[Reporting Unit]])-LEN(SUBSTITUTE(emissions[[#This Row],[Reporting Unit]],"&gt;","")))</f>
        <v>Vantage_Paris</v>
      </c>
      <c r="AR490" t="str">
        <f>_xlfn.XLOOKUP(emissions[[#This Row],[Reporting unit name]],hierarchy!$A:$A,hierarchy!$C:$C)</f>
        <v>Unspecified Facility Type</v>
      </c>
    </row>
    <row r="491" spans="1:44" hidden="1" x14ac:dyDescent="0.25">
      <c r="A491">
        <v>294648</v>
      </c>
      <c r="B491" t="s">
        <v>151</v>
      </c>
      <c r="C491" t="s">
        <v>525</v>
      </c>
      <c r="D491" t="s">
        <v>548</v>
      </c>
      <c r="E491" s="3">
        <v>44562</v>
      </c>
      <c r="F491" s="3">
        <v>44926</v>
      </c>
      <c r="G491" t="s">
        <v>121</v>
      </c>
      <c r="H491" s="3">
        <v>44562</v>
      </c>
      <c r="I491" s="3">
        <v>44926</v>
      </c>
      <c r="J491" t="s">
        <v>122</v>
      </c>
      <c r="K491">
        <v>0</v>
      </c>
      <c r="L491" t="s">
        <v>160</v>
      </c>
      <c r="M491" t="s">
        <v>110</v>
      </c>
      <c r="O491" t="s">
        <v>741</v>
      </c>
      <c r="P491" t="s">
        <v>550</v>
      </c>
      <c r="Q491">
        <v>2022</v>
      </c>
      <c r="R491" t="s">
        <v>742</v>
      </c>
      <c r="S491" t="s">
        <v>122</v>
      </c>
      <c r="T491" t="s">
        <v>553</v>
      </c>
      <c r="U491" t="b">
        <v>0</v>
      </c>
      <c r="V491" t="s">
        <v>743</v>
      </c>
      <c r="W491" t="s">
        <v>587</v>
      </c>
      <c r="X491" t="s">
        <v>556</v>
      </c>
      <c r="Y491" t="s">
        <v>468</v>
      </c>
      <c r="AC491">
        <v>0</v>
      </c>
      <c r="AD491" t="s">
        <v>565</v>
      </c>
      <c r="AE491">
        <v>0</v>
      </c>
      <c r="AF491">
        <v>1.5570900000000001</v>
      </c>
      <c r="AG491" t="s">
        <v>588</v>
      </c>
      <c r="AH491">
        <v>28.316800000000001</v>
      </c>
      <c r="AI491">
        <v>0</v>
      </c>
      <c r="AJ491" t="s">
        <v>561</v>
      </c>
      <c r="AK491" t="s">
        <v>589</v>
      </c>
      <c r="AL491" t="s">
        <v>590</v>
      </c>
      <c r="AM491">
        <v>2022</v>
      </c>
      <c r="AN491">
        <v>2020</v>
      </c>
      <c r="AO491">
        <f>IF(AND(emissions[[#This Row],[Market-based]]=0,emissions[[#This Row],[Impact Type]]="CO2E"),emissions[[#This Row],[kgCO2e]],0)/1000</f>
        <v>0</v>
      </c>
      <c r="AP491">
        <f>IF(AND(emissions[[#This Row],[Market-based]]=1,OR(emissions[[#This Row],[Impact Type]]="CO2E",emissions[[#This Row],[Impact Type]]="CO2E MKT")),emissions[[#This Row],[kgCO2e]],0)/1000</f>
        <v>0</v>
      </c>
      <c r="AQ491" t="str">
        <f>_xlfn.TEXTAFTER(emissions[[#This Row],[Reporting Unit]]," &gt; ",LEN(emissions[[#This Row],[Reporting Unit]])-LEN(SUBSTITUTE(emissions[[#This Row],[Reporting Unit]],"&gt;","")))</f>
        <v>Vantage_Paris</v>
      </c>
      <c r="AR491" t="str">
        <f>_xlfn.XLOOKUP(emissions[[#This Row],[Reporting unit name]],hierarchy!$A:$A,hierarchy!$C:$C)</f>
        <v>Unspecified Facility Type</v>
      </c>
    </row>
    <row r="492" spans="1:44" hidden="1" x14ac:dyDescent="0.25">
      <c r="A492">
        <v>294648</v>
      </c>
      <c r="B492" t="s">
        <v>151</v>
      </c>
      <c r="C492" t="s">
        <v>525</v>
      </c>
      <c r="D492" t="s">
        <v>548</v>
      </c>
      <c r="E492" s="3">
        <v>44562</v>
      </c>
      <c r="F492" s="3">
        <v>44926</v>
      </c>
      <c r="G492" t="s">
        <v>121</v>
      </c>
      <c r="H492" s="3">
        <v>44562</v>
      </c>
      <c r="I492" s="3">
        <v>44926</v>
      </c>
      <c r="J492" t="s">
        <v>122</v>
      </c>
      <c r="K492">
        <v>0</v>
      </c>
      <c r="L492" t="s">
        <v>160</v>
      </c>
      <c r="M492" t="s">
        <v>110</v>
      </c>
      <c r="O492" t="s">
        <v>741</v>
      </c>
      <c r="P492" t="s">
        <v>550</v>
      </c>
      <c r="Q492">
        <v>2022</v>
      </c>
      <c r="R492" t="s">
        <v>742</v>
      </c>
      <c r="S492" t="s">
        <v>122</v>
      </c>
      <c r="T492" t="s">
        <v>553</v>
      </c>
      <c r="U492" t="b">
        <v>0</v>
      </c>
      <c r="V492" t="s">
        <v>743</v>
      </c>
      <c r="W492" t="s">
        <v>587</v>
      </c>
      <c r="X492" t="s">
        <v>556</v>
      </c>
      <c r="Y492" t="s">
        <v>468</v>
      </c>
      <c r="AC492">
        <v>0</v>
      </c>
      <c r="AD492" t="s">
        <v>566</v>
      </c>
      <c r="AE492">
        <v>0</v>
      </c>
      <c r="AF492">
        <v>9.7000000000000005E-4</v>
      </c>
      <c r="AG492" t="s">
        <v>588</v>
      </c>
      <c r="AH492">
        <v>28.316800000000001</v>
      </c>
      <c r="AI492">
        <v>0</v>
      </c>
      <c r="AJ492" t="s">
        <v>561</v>
      </c>
      <c r="AK492" t="s">
        <v>589</v>
      </c>
      <c r="AL492" t="s">
        <v>590</v>
      </c>
      <c r="AM492">
        <v>2022</v>
      </c>
      <c r="AN492">
        <v>2020</v>
      </c>
      <c r="AO492">
        <f>IF(AND(emissions[[#This Row],[Market-based]]=0,emissions[[#This Row],[Impact Type]]="CO2E"),emissions[[#This Row],[kgCO2e]],0)/1000</f>
        <v>0</v>
      </c>
      <c r="AP492">
        <f>IF(AND(emissions[[#This Row],[Market-based]]=1,OR(emissions[[#This Row],[Impact Type]]="CO2E",emissions[[#This Row],[Impact Type]]="CO2E MKT")),emissions[[#This Row],[kgCO2e]],0)/1000</f>
        <v>0</v>
      </c>
      <c r="AQ492" t="str">
        <f>_xlfn.TEXTAFTER(emissions[[#This Row],[Reporting Unit]]," &gt; ",LEN(emissions[[#This Row],[Reporting Unit]])-LEN(SUBSTITUTE(emissions[[#This Row],[Reporting Unit]],"&gt;","")))</f>
        <v>Vantage_Paris</v>
      </c>
      <c r="AR492" t="str">
        <f>_xlfn.XLOOKUP(emissions[[#This Row],[Reporting unit name]],hierarchy!$A:$A,hierarchy!$C:$C)</f>
        <v>Unspecified Facility Type</v>
      </c>
    </row>
    <row r="493" spans="1:44" hidden="1" x14ac:dyDescent="0.25">
      <c r="A493">
        <v>294648</v>
      </c>
      <c r="B493" t="s">
        <v>151</v>
      </c>
      <c r="C493" t="s">
        <v>525</v>
      </c>
      <c r="D493" t="s">
        <v>548</v>
      </c>
      <c r="E493" s="3">
        <v>44562</v>
      </c>
      <c r="F493" s="3">
        <v>44926</v>
      </c>
      <c r="G493" t="s">
        <v>121</v>
      </c>
      <c r="H493" s="3">
        <v>44562</v>
      </c>
      <c r="I493" s="3">
        <v>44926</v>
      </c>
      <c r="J493" t="s">
        <v>122</v>
      </c>
      <c r="K493">
        <v>0</v>
      </c>
      <c r="L493" t="s">
        <v>160</v>
      </c>
      <c r="M493" t="s">
        <v>110</v>
      </c>
      <c r="O493" t="s">
        <v>741</v>
      </c>
      <c r="P493" t="s">
        <v>550</v>
      </c>
      <c r="Q493">
        <v>2022</v>
      </c>
      <c r="R493" t="s">
        <v>742</v>
      </c>
      <c r="S493" t="s">
        <v>122</v>
      </c>
      <c r="T493" t="s">
        <v>553</v>
      </c>
      <c r="U493" t="b">
        <v>0</v>
      </c>
      <c r="V493" t="s">
        <v>743</v>
      </c>
      <c r="W493" t="s">
        <v>587</v>
      </c>
      <c r="X493" t="s">
        <v>556</v>
      </c>
      <c r="Y493" t="s">
        <v>468</v>
      </c>
      <c r="AC493">
        <v>1</v>
      </c>
      <c r="AD493" t="s">
        <v>558</v>
      </c>
      <c r="AE493">
        <v>0</v>
      </c>
      <c r="AF493">
        <v>1.2099999999999999E-3</v>
      </c>
      <c r="AG493" t="s">
        <v>588</v>
      </c>
      <c r="AH493">
        <v>28.316800000000001</v>
      </c>
      <c r="AI493">
        <v>0</v>
      </c>
      <c r="AJ493" t="s">
        <v>561</v>
      </c>
      <c r="AK493" t="s">
        <v>589</v>
      </c>
      <c r="AL493" t="s">
        <v>590</v>
      </c>
      <c r="AM493">
        <v>2022</v>
      </c>
      <c r="AN493">
        <v>2020</v>
      </c>
      <c r="AO493">
        <f>IF(AND(emissions[[#This Row],[Market-based]]=0,emissions[[#This Row],[Impact Type]]="CO2E"),emissions[[#This Row],[kgCO2e]],0)/1000</f>
        <v>0</v>
      </c>
      <c r="AP493">
        <f>IF(AND(emissions[[#This Row],[Market-based]]=1,OR(emissions[[#This Row],[Impact Type]]="CO2E",emissions[[#This Row],[Impact Type]]="CO2E MKT")),emissions[[#This Row],[kgCO2e]],0)/1000</f>
        <v>0</v>
      </c>
      <c r="AQ493" t="str">
        <f>_xlfn.TEXTAFTER(emissions[[#This Row],[Reporting Unit]]," &gt; ",LEN(emissions[[#This Row],[Reporting Unit]])-LEN(SUBSTITUTE(emissions[[#This Row],[Reporting Unit]],"&gt;","")))</f>
        <v>Vantage_Paris</v>
      </c>
      <c r="AR493" t="str">
        <f>_xlfn.XLOOKUP(emissions[[#This Row],[Reporting unit name]],hierarchy!$A:$A,hierarchy!$C:$C)</f>
        <v>Unspecified Facility Type</v>
      </c>
    </row>
    <row r="494" spans="1:44" hidden="1" x14ac:dyDescent="0.25">
      <c r="A494">
        <v>294648</v>
      </c>
      <c r="B494" t="s">
        <v>151</v>
      </c>
      <c r="C494" t="s">
        <v>525</v>
      </c>
      <c r="D494" t="s">
        <v>548</v>
      </c>
      <c r="E494" s="3">
        <v>44562</v>
      </c>
      <c r="F494" s="3">
        <v>44926</v>
      </c>
      <c r="G494" t="s">
        <v>121</v>
      </c>
      <c r="H494" s="3">
        <v>44562</v>
      </c>
      <c r="I494" s="3">
        <v>44926</v>
      </c>
      <c r="J494" t="s">
        <v>122</v>
      </c>
      <c r="K494">
        <v>0</v>
      </c>
      <c r="L494" t="s">
        <v>160</v>
      </c>
      <c r="M494" t="s">
        <v>110</v>
      </c>
      <c r="O494" t="s">
        <v>741</v>
      </c>
      <c r="P494" t="s">
        <v>550</v>
      </c>
      <c r="Q494">
        <v>2022</v>
      </c>
      <c r="R494" t="s">
        <v>742</v>
      </c>
      <c r="S494" t="s">
        <v>122</v>
      </c>
      <c r="T494" t="s">
        <v>553</v>
      </c>
      <c r="U494" t="b">
        <v>0</v>
      </c>
      <c r="V494" t="s">
        <v>743</v>
      </c>
      <c r="W494" t="s">
        <v>587</v>
      </c>
      <c r="X494" t="s">
        <v>556</v>
      </c>
      <c r="Y494" t="s">
        <v>468</v>
      </c>
      <c r="AC494">
        <v>1</v>
      </c>
      <c r="AD494" t="s">
        <v>564</v>
      </c>
      <c r="AE494">
        <v>0</v>
      </c>
      <c r="AF494">
        <v>1.55491</v>
      </c>
      <c r="AG494" t="s">
        <v>588</v>
      </c>
      <c r="AH494">
        <v>28.316800000000001</v>
      </c>
      <c r="AI494">
        <v>0</v>
      </c>
      <c r="AJ494" t="s">
        <v>561</v>
      </c>
      <c r="AK494" t="s">
        <v>589</v>
      </c>
      <c r="AL494" t="s">
        <v>590</v>
      </c>
      <c r="AM494">
        <v>2022</v>
      </c>
      <c r="AN494">
        <v>2020</v>
      </c>
      <c r="AO494">
        <f>IF(AND(emissions[[#This Row],[Market-based]]=0,emissions[[#This Row],[Impact Type]]="CO2E"),emissions[[#This Row],[kgCO2e]],0)/1000</f>
        <v>0</v>
      </c>
      <c r="AP494">
        <f>IF(AND(emissions[[#This Row],[Market-based]]=1,OR(emissions[[#This Row],[Impact Type]]="CO2E",emissions[[#This Row],[Impact Type]]="CO2E MKT")),emissions[[#This Row],[kgCO2e]],0)/1000</f>
        <v>0</v>
      </c>
      <c r="AQ494" t="str">
        <f>_xlfn.TEXTAFTER(emissions[[#This Row],[Reporting Unit]]," &gt; ",LEN(emissions[[#This Row],[Reporting Unit]])-LEN(SUBSTITUTE(emissions[[#This Row],[Reporting Unit]],"&gt;","")))</f>
        <v>Vantage_Paris</v>
      </c>
      <c r="AR494" t="str">
        <f>_xlfn.XLOOKUP(emissions[[#This Row],[Reporting unit name]],hierarchy!$A:$A,hierarchy!$C:$C)</f>
        <v>Unspecified Facility Type</v>
      </c>
    </row>
    <row r="495" spans="1:44" hidden="1" x14ac:dyDescent="0.25">
      <c r="A495">
        <v>294648</v>
      </c>
      <c r="B495" t="s">
        <v>151</v>
      </c>
      <c r="C495" t="s">
        <v>525</v>
      </c>
      <c r="D495" t="s">
        <v>548</v>
      </c>
      <c r="E495" s="3">
        <v>44562</v>
      </c>
      <c r="F495" s="3">
        <v>44926</v>
      </c>
      <c r="G495" t="s">
        <v>121</v>
      </c>
      <c r="H495" s="3">
        <v>44562</v>
      </c>
      <c r="I495" s="3">
        <v>44926</v>
      </c>
      <c r="J495" t="s">
        <v>122</v>
      </c>
      <c r="K495">
        <v>0</v>
      </c>
      <c r="L495" t="s">
        <v>160</v>
      </c>
      <c r="M495" t="s">
        <v>110</v>
      </c>
      <c r="O495" t="s">
        <v>741</v>
      </c>
      <c r="P495" t="s">
        <v>550</v>
      </c>
      <c r="Q495">
        <v>2022</v>
      </c>
      <c r="R495" t="s">
        <v>742</v>
      </c>
      <c r="S495" t="s">
        <v>122</v>
      </c>
      <c r="T495" t="s">
        <v>553</v>
      </c>
      <c r="U495" t="b">
        <v>0</v>
      </c>
      <c r="V495" t="s">
        <v>743</v>
      </c>
      <c r="W495" t="s">
        <v>587</v>
      </c>
      <c r="X495" t="s">
        <v>556</v>
      </c>
      <c r="Y495" t="s">
        <v>468</v>
      </c>
      <c r="AC495">
        <v>1</v>
      </c>
      <c r="AD495" t="s">
        <v>565</v>
      </c>
      <c r="AE495">
        <v>0</v>
      </c>
      <c r="AF495">
        <v>1.5570900000000001</v>
      </c>
      <c r="AG495" t="s">
        <v>588</v>
      </c>
      <c r="AH495">
        <v>28.316800000000001</v>
      </c>
      <c r="AI495">
        <v>0</v>
      </c>
      <c r="AJ495" t="s">
        <v>561</v>
      </c>
      <c r="AK495" t="s">
        <v>589</v>
      </c>
      <c r="AL495" t="s">
        <v>590</v>
      </c>
      <c r="AM495">
        <v>2022</v>
      </c>
      <c r="AN495">
        <v>2020</v>
      </c>
      <c r="AO495">
        <f>IF(AND(emissions[[#This Row],[Market-based]]=0,emissions[[#This Row],[Impact Type]]="CO2E"),emissions[[#This Row],[kgCO2e]],0)/1000</f>
        <v>0</v>
      </c>
      <c r="AP495">
        <f>IF(AND(emissions[[#This Row],[Market-based]]=1,OR(emissions[[#This Row],[Impact Type]]="CO2E",emissions[[#This Row],[Impact Type]]="CO2E MKT")),emissions[[#This Row],[kgCO2e]],0)/1000</f>
        <v>0</v>
      </c>
      <c r="AQ495" t="str">
        <f>_xlfn.TEXTAFTER(emissions[[#This Row],[Reporting Unit]]," &gt; ",LEN(emissions[[#This Row],[Reporting Unit]])-LEN(SUBSTITUTE(emissions[[#This Row],[Reporting Unit]],"&gt;","")))</f>
        <v>Vantage_Paris</v>
      </c>
      <c r="AR495" t="str">
        <f>_xlfn.XLOOKUP(emissions[[#This Row],[Reporting unit name]],hierarchy!$A:$A,hierarchy!$C:$C)</f>
        <v>Unspecified Facility Type</v>
      </c>
    </row>
    <row r="496" spans="1:44" hidden="1" x14ac:dyDescent="0.25">
      <c r="A496">
        <v>294648</v>
      </c>
      <c r="B496" t="s">
        <v>151</v>
      </c>
      <c r="C496" t="s">
        <v>525</v>
      </c>
      <c r="D496" t="s">
        <v>548</v>
      </c>
      <c r="E496" s="3">
        <v>44562</v>
      </c>
      <c r="F496" s="3">
        <v>44926</v>
      </c>
      <c r="G496" t="s">
        <v>121</v>
      </c>
      <c r="H496" s="3">
        <v>44562</v>
      </c>
      <c r="I496" s="3">
        <v>44926</v>
      </c>
      <c r="J496" t="s">
        <v>122</v>
      </c>
      <c r="K496">
        <v>0</v>
      </c>
      <c r="L496" t="s">
        <v>160</v>
      </c>
      <c r="M496" t="s">
        <v>110</v>
      </c>
      <c r="O496" t="s">
        <v>741</v>
      </c>
      <c r="P496" t="s">
        <v>550</v>
      </c>
      <c r="Q496">
        <v>2022</v>
      </c>
      <c r="R496" t="s">
        <v>742</v>
      </c>
      <c r="S496" t="s">
        <v>122</v>
      </c>
      <c r="T496" t="s">
        <v>553</v>
      </c>
      <c r="U496" t="b">
        <v>0</v>
      </c>
      <c r="V496" t="s">
        <v>743</v>
      </c>
      <c r="W496" t="s">
        <v>587</v>
      </c>
      <c r="X496" t="s">
        <v>556</v>
      </c>
      <c r="Y496" t="s">
        <v>468</v>
      </c>
      <c r="AC496">
        <v>1</v>
      </c>
      <c r="AD496" t="s">
        <v>566</v>
      </c>
      <c r="AE496">
        <v>0</v>
      </c>
      <c r="AF496">
        <v>9.7000000000000005E-4</v>
      </c>
      <c r="AG496" t="s">
        <v>588</v>
      </c>
      <c r="AH496">
        <v>28.316800000000001</v>
      </c>
      <c r="AI496">
        <v>0</v>
      </c>
      <c r="AJ496" t="s">
        <v>561</v>
      </c>
      <c r="AK496" t="s">
        <v>589</v>
      </c>
      <c r="AL496" t="s">
        <v>590</v>
      </c>
      <c r="AM496">
        <v>2022</v>
      </c>
      <c r="AN496">
        <v>2020</v>
      </c>
      <c r="AO496">
        <f>IF(AND(emissions[[#This Row],[Market-based]]=0,emissions[[#This Row],[Impact Type]]="CO2E"),emissions[[#This Row],[kgCO2e]],0)/1000</f>
        <v>0</v>
      </c>
      <c r="AP496">
        <f>IF(AND(emissions[[#This Row],[Market-based]]=1,OR(emissions[[#This Row],[Impact Type]]="CO2E",emissions[[#This Row],[Impact Type]]="CO2E MKT")),emissions[[#This Row],[kgCO2e]],0)/1000</f>
        <v>0</v>
      </c>
      <c r="AQ496" t="str">
        <f>_xlfn.TEXTAFTER(emissions[[#This Row],[Reporting Unit]]," &gt; ",LEN(emissions[[#This Row],[Reporting Unit]])-LEN(SUBSTITUTE(emissions[[#This Row],[Reporting Unit]],"&gt;","")))</f>
        <v>Vantage_Paris</v>
      </c>
      <c r="AR496" t="str">
        <f>_xlfn.XLOOKUP(emissions[[#This Row],[Reporting unit name]],hierarchy!$A:$A,hierarchy!$C:$C)</f>
        <v>Unspecified Facility Type</v>
      </c>
    </row>
    <row r="497" spans="1:44" hidden="1" x14ac:dyDescent="0.25">
      <c r="A497">
        <v>294648</v>
      </c>
      <c r="B497" t="s">
        <v>151</v>
      </c>
      <c r="C497" t="s">
        <v>525</v>
      </c>
      <c r="D497" t="s">
        <v>548</v>
      </c>
      <c r="E497" s="3">
        <v>44562</v>
      </c>
      <c r="F497" s="3">
        <v>44926</v>
      </c>
      <c r="G497" t="s">
        <v>121</v>
      </c>
      <c r="H497" s="3">
        <v>44562</v>
      </c>
      <c r="I497" s="3">
        <v>44926</v>
      </c>
      <c r="J497" t="s">
        <v>122</v>
      </c>
      <c r="K497">
        <v>0</v>
      </c>
      <c r="L497" t="s">
        <v>160</v>
      </c>
      <c r="M497" t="s">
        <v>110</v>
      </c>
      <c r="O497" t="s">
        <v>741</v>
      </c>
      <c r="P497" t="s">
        <v>550</v>
      </c>
      <c r="Q497">
        <v>2022</v>
      </c>
      <c r="R497" t="s">
        <v>744</v>
      </c>
      <c r="S497" t="s">
        <v>745</v>
      </c>
      <c r="T497" t="s">
        <v>577</v>
      </c>
      <c r="U497" t="b">
        <v>0</v>
      </c>
      <c r="V497" t="s">
        <v>746</v>
      </c>
      <c r="W497" t="s">
        <v>571</v>
      </c>
      <c r="X497" t="s">
        <v>572</v>
      </c>
      <c r="Y497" t="s">
        <v>468</v>
      </c>
      <c r="AC497">
        <v>0</v>
      </c>
      <c r="AD497" t="s">
        <v>565</v>
      </c>
      <c r="AE497">
        <v>0</v>
      </c>
      <c r="AF497">
        <v>0.18382999999999999</v>
      </c>
      <c r="AG497" t="s">
        <v>588</v>
      </c>
      <c r="AH497">
        <v>28.316800000000001</v>
      </c>
      <c r="AI497">
        <v>0</v>
      </c>
      <c r="AJ497" t="s">
        <v>561</v>
      </c>
      <c r="AK497" t="s">
        <v>589</v>
      </c>
      <c r="AL497" t="s">
        <v>590</v>
      </c>
      <c r="AM497">
        <v>2022</v>
      </c>
      <c r="AN497">
        <v>2020</v>
      </c>
      <c r="AO497">
        <f>IF(AND(emissions[[#This Row],[Market-based]]=0,emissions[[#This Row],[Impact Type]]="CO2E"),emissions[[#This Row],[kgCO2e]],0)/1000</f>
        <v>0</v>
      </c>
      <c r="AP497">
        <f>IF(AND(emissions[[#This Row],[Market-based]]=1,OR(emissions[[#This Row],[Impact Type]]="CO2E",emissions[[#This Row],[Impact Type]]="CO2E MKT")),emissions[[#This Row],[kgCO2e]],0)/1000</f>
        <v>0</v>
      </c>
      <c r="AQ497" t="str">
        <f>_xlfn.TEXTAFTER(emissions[[#This Row],[Reporting Unit]]," &gt; ",LEN(emissions[[#This Row],[Reporting Unit]])-LEN(SUBSTITUTE(emissions[[#This Row],[Reporting Unit]],"&gt;","")))</f>
        <v>Vantage_Paris</v>
      </c>
      <c r="AR497" t="str">
        <f>_xlfn.XLOOKUP(emissions[[#This Row],[Reporting unit name]],hierarchy!$A:$A,hierarchy!$C:$C)</f>
        <v>Unspecified Facility Type</v>
      </c>
    </row>
    <row r="498" spans="1:44" hidden="1" x14ac:dyDescent="0.25">
      <c r="A498">
        <v>294648</v>
      </c>
      <c r="B498" t="s">
        <v>151</v>
      </c>
      <c r="C498" t="s">
        <v>525</v>
      </c>
      <c r="D498" t="s">
        <v>548</v>
      </c>
      <c r="E498" s="3">
        <v>44562</v>
      </c>
      <c r="F498" s="3">
        <v>44926</v>
      </c>
      <c r="G498" t="s">
        <v>121</v>
      </c>
      <c r="H498" s="3">
        <v>44562</v>
      </c>
      <c r="I498" s="3">
        <v>44926</v>
      </c>
      <c r="J498" t="s">
        <v>122</v>
      </c>
      <c r="K498">
        <v>0</v>
      </c>
      <c r="L498" t="s">
        <v>160</v>
      </c>
      <c r="M498" t="s">
        <v>110</v>
      </c>
      <c r="O498" t="s">
        <v>741</v>
      </c>
      <c r="P498" t="s">
        <v>550</v>
      </c>
      <c r="Q498">
        <v>2022</v>
      </c>
      <c r="R498" t="s">
        <v>744</v>
      </c>
      <c r="S498" t="s">
        <v>745</v>
      </c>
      <c r="T498" t="s">
        <v>577</v>
      </c>
      <c r="U498" t="b">
        <v>0</v>
      </c>
      <c r="V498" t="s">
        <v>746</v>
      </c>
      <c r="W498" t="s">
        <v>571</v>
      </c>
      <c r="X498" t="s">
        <v>572</v>
      </c>
      <c r="Y498" t="s">
        <v>468</v>
      </c>
      <c r="AC498">
        <v>1</v>
      </c>
      <c r="AD498" t="s">
        <v>565</v>
      </c>
      <c r="AE498">
        <v>0</v>
      </c>
      <c r="AF498">
        <v>0.18382999999999999</v>
      </c>
      <c r="AG498" t="s">
        <v>588</v>
      </c>
      <c r="AH498">
        <v>28.316800000000001</v>
      </c>
      <c r="AI498">
        <v>0</v>
      </c>
      <c r="AJ498" t="s">
        <v>561</v>
      </c>
      <c r="AK498" t="s">
        <v>589</v>
      </c>
      <c r="AL498" t="s">
        <v>590</v>
      </c>
      <c r="AM498">
        <v>2022</v>
      </c>
      <c r="AN498">
        <v>2020</v>
      </c>
      <c r="AO498">
        <f>IF(AND(emissions[[#This Row],[Market-based]]=0,emissions[[#This Row],[Impact Type]]="CO2E"),emissions[[#This Row],[kgCO2e]],0)/1000</f>
        <v>0</v>
      </c>
      <c r="AP498">
        <f>IF(AND(emissions[[#This Row],[Market-based]]=1,OR(emissions[[#This Row],[Impact Type]]="CO2E",emissions[[#This Row],[Impact Type]]="CO2E MKT")),emissions[[#This Row],[kgCO2e]],0)/1000</f>
        <v>0</v>
      </c>
      <c r="AQ498" t="str">
        <f>_xlfn.TEXTAFTER(emissions[[#This Row],[Reporting Unit]]," &gt; ",LEN(emissions[[#This Row],[Reporting Unit]])-LEN(SUBSTITUTE(emissions[[#This Row],[Reporting Unit]],"&gt;","")))</f>
        <v>Vantage_Paris</v>
      </c>
      <c r="AR498" t="str">
        <f>_xlfn.XLOOKUP(emissions[[#This Row],[Reporting unit name]],hierarchy!$A:$A,hierarchy!$C:$C)</f>
        <v>Unspecified Facility Type</v>
      </c>
    </row>
    <row r="499" spans="1:44" hidden="1" x14ac:dyDescent="0.25">
      <c r="A499">
        <v>4958</v>
      </c>
      <c r="B499" t="s">
        <v>151</v>
      </c>
      <c r="C499" t="s">
        <v>525</v>
      </c>
      <c r="D499" t="s">
        <v>599</v>
      </c>
      <c r="E499" s="3">
        <v>44197</v>
      </c>
      <c r="F499" s="3">
        <v>44561</v>
      </c>
      <c r="G499" t="s">
        <v>108</v>
      </c>
      <c r="H499" s="3">
        <v>44197</v>
      </c>
      <c r="I499" s="3">
        <v>44561</v>
      </c>
      <c r="J499" t="s">
        <v>108</v>
      </c>
      <c r="K499">
        <v>23387</v>
      </c>
      <c r="L499" t="s">
        <v>109</v>
      </c>
      <c r="M499" t="s">
        <v>110</v>
      </c>
      <c r="O499" t="s">
        <v>600</v>
      </c>
      <c r="P499" t="s">
        <v>550</v>
      </c>
      <c r="Q499">
        <v>2021</v>
      </c>
      <c r="R499" t="s">
        <v>551</v>
      </c>
      <c r="S499" t="s">
        <v>552</v>
      </c>
      <c r="T499" t="s">
        <v>553</v>
      </c>
      <c r="U499" t="b">
        <v>0</v>
      </c>
      <c r="V499" t="s">
        <v>720</v>
      </c>
      <c r="W499" t="s">
        <v>555</v>
      </c>
      <c r="X499" t="s">
        <v>556</v>
      </c>
      <c r="Y499" t="s">
        <v>468</v>
      </c>
      <c r="Z499" t="s">
        <v>527</v>
      </c>
      <c r="AA499" t="s">
        <v>721</v>
      </c>
      <c r="AC499">
        <v>0</v>
      </c>
      <c r="AD499" t="s">
        <v>558</v>
      </c>
      <c r="AE499">
        <v>2.3386999999999998</v>
      </c>
      <c r="AF499" t="s">
        <v>559</v>
      </c>
      <c r="AG499" t="s">
        <v>560</v>
      </c>
      <c r="AH499">
        <v>1</v>
      </c>
      <c r="AI499">
        <v>23387</v>
      </c>
      <c r="AJ499" t="s">
        <v>561</v>
      </c>
      <c r="AK499" t="s">
        <v>562</v>
      </c>
      <c r="AL499" t="s">
        <v>601</v>
      </c>
      <c r="AM499">
        <v>2021</v>
      </c>
      <c r="AN499">
        <v>2019</v>
      </c>
      <c r="AO499">
        <f>IF(AND(emissions[[#This Row],[Market-based]]=0,emissions[[#This Row],[Impact Type]]="CO2E"),emissions[[#This Row],[kgCO2e]],0)/1000</f>
        <v>0</v>
      </c>
      <c r="AP499">
        <f>IF(AND(emissions[[#This Row],[Market-based]]=1,OR(emissions[[#This Row],[Impact Type]]="CO2E",emissions[[#This Row],[Impact Type]]="CO2E MKT")),emissions[[#This Row],[kgCO2e]],0)/1000</f>
        <v>0</v>
      </c>
      <c r="AQ499" t="str">
        <f>_xlfn.TEXTAFTER(emissions[[#This Row],[Reporting Unit]]," &gt; ",LEN(emissions[[#This Row],[Reporting Unit]])-LEN(SUBSTITUTE(emissions[[#This Row],[Reporting Unit]],"&gt;","")))</f>
        <v>Vantage_Paris</v>
      </c>
      <c r="AR499" t="str">
        <f>_xlfn.XLOOKUP(emissions[[#This Row],[Reporting unit name]],hierarchy!$A:$A,hierarchy!$C:$C)</f>
        <v>Unspecified Facility Type</v>
      </c>
    </row>
    <row r="500" spans="1:44" hidden="1" x14ac:dyDescent="0.25">
      <c r="A500">
        <v>4958</v>
      </c>
      <c r="B500" t="s">
        <v>151</v>
      </c>
      <c r="C500" t="s">
        <v>525</v>
      </c>
      <c r="D500" t="s">
        <v>599</v>
      </c>
      <c r="E500" s="3">
        <v>44197</v>
      </c>
      <c r="F500" s="3">
        <v>44561</v>
      </c>
      <c r="G500" t="s">
        <v>108</v>
      </c>
      <c r="H500" s="3">
        <v>44197</v>
      </c>
      <c r="I500" s="3">
        <v>44561</v>
      </c>
      <c r="J500" t="s">
        <v>108</v>
      </c>
      <c r="K500">
        <v>23387</v>
      </c>
      <c r="L500" t="s">
        <v>109</v>
      </c>
      <c r="M500" t="s">
        <v>110</v>
      </c>
      <c r="O500" t="s">
        <v>600</v>
      </c>
      <c r="P500" t="s">
        <v>550</v>
      </c>
      <c r="Q500">
        <v>2021</v>
      </c>
      <c r="R500" t="s">
        <v>551</v>
      </c>
      <c r="S500" t="s">
        <v>552</v>
      </c>
      <c r="T500" t="s">
        <v>553</v>
      </c>
      <c r="U500" t="b">
        <v>0</v>
      </c>
      <c r="V500" t="s">
        <v>720</v>
      </c>
      <c r="W500" t="s">
        <v>555</v>
      </c>
      <c r="X500" t="s">
        <v>556</v>
      </c>
      <c r="Y500" t="s">
        <v>468</v>
      </c>
      <c r="Z500" t="s">
        <v>527</v>
      </c>
      <c r="AA500" t="s">
        <v>721</v>
      </c>
      <c r="AC500">
        <v>0</v>
      </c>
      <c r="AD500" t="s">
        <v>564</v>
      </c>
      <c r="AE500">
        <v>1323.7041999999999</v>
      </c>
      <c r="AF500" t="s">
        <v>559</v>
      </c>
      <c r="AG500" t="s">
        <v>560</v>
      </c>
      <c r="AH500">
        <v>1</v>
      </c>
      <c r="AI500">
        <v>23387</v>
      </c>
      <c r="AJ500" t="s">
        <v>561</v>
      </c>
      <c r="AK500" t="s">
        <v>562</v>
      </c>
      <c r="AL500" t="s">
        <v>601</v>
      </c>
      <c r="AM500">
        <v>2021</v>
      </c>
      <c r="AN500">
        <v>2019</v>
      </c>
      <c r="AO500">
        <f>IF(AND(emissions[[#This Row],[Market-based]]=0,emissions[[#This Row],[Impact Type]]="CO2E"),emissions[[#This Row],[kgCO2e]],0)/1000</f>
        <v>0</v>
      </c>
      <c r="AP500">
        <f>IF(AND(emissions[[#This Row],[Market-based]]=1,OR(emissions[[#This Row],[Impact Type]]="CO2E",emissions[[#This Row],[Impact Type]]="CO2E MKT")),emissions[[#This Row],[kgCO2e]],0)/1000</f>
        <v>0</v>
      </c>
      <c r="AQ500" t="str">
        <f>_xlfn.TEXTAFTER(emissions[[#This Row],[Reporting Unit]]," &gt; ",LEN(emissions[[#This Row],[Reporting Unit]])-LEN(SUBSTITUTE(emissions[[#This Row],[Reporting Unit]],"&gt;","")))</f>
        <v>Vantage_Paris</v>
      </c>
      <c r="AR500" t="str">
        <f>_xlfn.XLOOKUP(emissions[[#This Row],[Reporting unit name]],hierarchy!$A:$A,hierarchy!$C:$C)</f>
        <v>Unspecified Facility Type</v>
      </c>
    </row>
    <row r="501" spans="1:44" hidden="1" x14ac:dyDescent="0.25">
      <c r="A501">
        <v>4958</v>
      </c>
      <c r="B501" t="s">
        <v>151</v>
      </c>
      <c r="C501" t="s">
        <v>525</v>
      </c>
      <c r="D501" t="s">
        <v>599</v>
      </c>
      <c r="E501" s="3">
        <v>44197</v>
      </c>
      <c r="F501" s="3">
        <v>44561</v>
      </c>
      <c r="G501" t="s">
        <v>108</v>
      </c>
      <c r="H501" s="3">
        <v>44197</v>
      </c>
      <c r="I501" s="3">
        <v>44561</v>
      </c>
      <c r="J501" t="s">
        <v>108</v>
      </c>
      <c r="K501">
        <v>23387</v>
      </c>
      <c r="L501" t="s">
        <v>109</v>
      </c>
      <c r="M501" t="s">
        <v>110</v>
      </c>
      <c r="O501" t="s">
        <v>600</v>
      </c>
      <c r="P501" t="s">
        <v>550</v>
      </c>
      <c r="Q501">
        <v>2021</v>
      </c>
      <c r="R501" t="s">
        <v>551</v>
      </c>
      <c r="S501" t="s">
        <v>552</v>
      </c>
      <c r="T501" t="s">
        <v>553</v>
      </c>
      <c r="U501" t="b">
        <v>0</v>
      </c>
      <c r="V501" t="s">
        <v>720</v>
      </c>
      <c r="W501" t="s">
        <v>555</v>
      </c>
      <c r="X501" t="s">
        <v>556</v>
      </c>
      <c r="Y501" t="s">
        <v>468</v>
      </c>
      <c r="Z501" t="s">
        <v>527</v>
      </c>
      <c r="AA501" t="s">
        <v>721</v>
      </c>
      <c r="AC501">
        <v>0</v>
      </c>
      <c r="AD501" t="s">
        <v>565</v>
      </c>
      <c r="AE501">
        <v>1330.7203</v>
      </c>
      <c r="AF501" t="s">
        <v>559</v>
      </c>
      <c r="AG501" t="s">
        <v>560</v>
      </c>
      <c r="AH501">
        <v>1</v>
      </c>
      <c r="AI501">
        <v>23387</v>
      </c>
      <c r="AJ501" t="s">
        <v>561</v>
      </c>
      <c r="AK501" t="s">
        <v>562</v>
      </c>
      <c r="AL501" t="s">
        <v>601</v>
      </c>
      <c r="AM501">
        <v>2021</v>
      </c>
      <c r="AN501">
        <v>2019</v>
      </c>
      <c r="AO501">
        <f>IF(AND(emissions[[#This Row],[Market-based]]=0,emissions[[#This Row],[Impact Type]]="CO2E"),emissions[[#This Row],[kgCO2e]],0)/1000</f>
        <v>1.3307202999999999</v>
      </c>
      <c r="AP501">
        <f>IF(AND(emissions[[#This Row],[Market-based]]=1,OR(emissions[[#This Row],[Impact Type]]="CO2E",emissions[[#This Row],[Impact Type]]="CO2E MKT")),emissions[[#This Row],[kgCO2e]],0)/1000</f>
        <v>0</v>
      </c>
      <c r="AQ501" t="str">
        <f>_xlfn.TEXTAFTER(emissions[[#This Row],[Reporting Unit]]," &gt; ",LEN(emissions[[#This Row],[Reporting Unit]])-LEN(SUBSTITUTE(emissions[[#This Row],[Reporting Unit]],"&gt;","")))</f>
        <v>Vantage_Paris</v>
      </c>
      <c r="AR501" t="str">
        <f>_xlfn.XLOOKUP(emissions[[#This Row],[Reporting unit name]],hierarchy!$A:$A,hierarchy!$C:$C)</f>
        <v>Unspecified Facility Type</v>
      </c>
    </row>
    <row r="502" spans="1:44" hidden="1" x14ac:dyDescent="0.25">
      <c r="A502">
        <v>4958</v>
      </c>
      <c r="B502" t="s">
        <v>151</v>
      </c>
      <c r="C502" t="s">
        <v>525</v>
      </c>
      <c r="D502" t="s">
        <v>599</v>
      </c>
      <c r="E502" s="3">
        <v>44197</v>
      </c>
      <c r="F502" s="3">
        <v>44561</v>
      </c>
      <c r="G502" t="s">
        <v>108</v>
      </c>
      <c r="H502" s="3">
        <v>44197</v>
      </c>
      <c r="I502" s="3">
        <v>44561</v>
      </c>
      <c r="J502" t="s">
        <v>108</v>
      </c>
      <c r="K502">
        <v>23387</v>
      </c>
      <c r="L502" t="s">
        <v>109</v>
      </c>
      <c r="M502" t="s">
        <v>110</v>
      </c>
      <c r="O502" t="s">
        <v>600</v>
      </c>
      <c r="P502" t="s">
        <v>550</v>
      </c>
      <c r="Q502">
        <v>2021</v>
      </c>
      <c r="R502" t="s">
        <v>551</v>
      </c>
      <c r="S502" t="s">
        <v>552</v>
      </c>
      <c r="T502" t="s">
        <v>553</v>
      </c>
      <c r="U502" t="b">
        <v>0</v>
      </c>
      <c r="V502" t="s">
        <v>720</v>
      </c>
      <c r="W502" t="s">
        <v>555</v>
      </c>
      <c r="X502" t="s">
        <v>556</v>
      </c>
      <c r="Y502" t="s">
        <v>468</v>
      </c>
      <c r="Z502" t="s">
        <v>527</v>
      </c>
      <c r="AA502" t="s">
        <v>721</v>
      </c>
      <c r="AC502">
        <v>0</v>
      </c>
      <c r="AD502" t="s">
        <v>566</v>
      </c>
      <c r="AE502">
        <v>4.6773999999999996</v>
      </c>
      <c r="AF502" t="s">
        <v>559</v>
      </c>
      <c r="AG502" t="s">
        <v>560</v>
      </c>
      <c r="AH502">
        <v>1</v>
      </c>
      <c r="AI502">
        <v>23387</v>
      </c>
      <c r="AJ502" t="s">
        <v>561</v>
      </c>
      <c r="AK502" t="s">
        <v>562</v>
      </c>
      <c r="AL502" t="s">
        <v>601</v>
      </c>
      <c r="AM502">
        <v>2021</v>
      </c>
      <c r="AN502">
        <v>2019</v>
      </c>
      <c r="AO502">
        <f>IF(AND(emissions[[#This Row],[Market-based]]=0,emissions[[#This Row],[Impact Type]]="CO2E"),emissions[[#This Row],[kgCO2e]],0)/1000</f>
        <v>0</v>
      </c>
      <c r="AP502">
        <f>IF(AND(emissions[[#This Row],[Market-based]]=1,OR(emissions[[#This Row],[Impact Type]]="CO2E",emissions[[#This Row],[Impact Type]]="CO2E MKT")),emissions[[#This Row],[kgCO2e]],0)/1000</f>
        <v>0</v>
      </c>
      <c r="AQ502" t="str">
        <f>_xlfn.TEXTAFTER(emissions[[#This Row],[Reporting Unit]]," &gt; ",LEN(emissions[[#This Row],[Reporting Unit]])-LEN(SUBSTITUTE(emissions[[#This Row],[Reporting Unit]],"&gt;","")))</f>
        <v>Vantage_Paris</v>
      </c>
      <c r="AR502" t="str">
        <f>_xlfn.XLOOKUP(emissions[[#This Row],[Reporting unit name]],hierarchy!$A:$A,hierarchy!$C:$C)</f>
        <v>Unspecified Facility Type</v>
      </c>
    </row>
    <row r="503" spans="1:44" hidden="1" x14ac:dyDescent="0.25">
      <c r="A503">
        <v>4958</v>
      </c>
      <c r="B503" t="s">
        <v>151</v>
      </c>
      <c r="C503" t="s">
        <v>525</v>
      </c>
      <c r="D503" t="s">
        <v>599</v>
      </c>
      <c r="E503" s="3">
        <v>44197</v>
      </c>
      <c r="F503" s="3">
        <v>44561</v>
      </c>
      <c r="G503" t="s">
        <v>108</v>
      </c>
      <c r="H503" s="3">
        <v>44197</v>
      </c>
      <c r="I503" s="3">
        <v>44561</v>
      </c>
      <c r="J503" t="s">
        <v>108</v>
      </c>
      <c r="K503">
        <v>23387</v>
      </c>
      <c r="L503" t="s">
        <v>109</v>
      </c>
      <c r="M503" t="s">
        <v>110</v>
      </c>
      <c r="O503" t="s">
        <v>600</v>
      </c>
      <c r="P503" t="s">
        <v>550</v>
      </c>
      <c r="Q503">
        <v>2021</v>
      </c>
      <c r="R503" t="s">
        <v>551</v>
      </c>
      <c r="S503" t="s">
        <v>552</v>
      </c>
      <c r="T503" t="s">
        <v>553</v>
      </c>
      <c r="U503" t="b">
        <v>0</v>
      </c>
      <c r="V503" t="s">
        <v>720</v>
      </c>
      <c r="W503" t="s">
        <v>555</v>
      </c>
      <c r="X503" t="s">
        <v>556</v>
      </c>
      <c r="Y503" t="s">
        <v>468</v>
      </c>
      <c r="Z503" t="s">
        <v>527</v>
      </c>
      <c r="AA503" t="s">
        <v>721</v>
      </c>
      <c r="AC503">
        <v>1</v>
      </c>
      <c r="AD503" t="s">
        <v>639</v>
      </c>
      <c r="AE503">
        <v>1406.9267990000001</v>
      </c>
      <c r="AF503">
        <v>6.0158497999999998E-2</v>
      </c>
      <c r="AG503" t="s">
        <v>560</v>
      </c>
      <c r="AH503">
        <v>1</v>
      </c>
      <c r="AI503">
        <v>23387</v>
      </c>
      <c r="AJ503" t="s">
        <v>561</v>
      </c>
      <c r="AK503" t="s">
        <v>640</v>
      </c>
      <c r="AL503" t="s">
        <v>651</v>
      </c>
      <c r="AM503">
        <v>2021</v>
      </c>
      <c r="AN503">
        <v>2020</v>
      </c>
      <c r="AO503">
        <f>IF(AND(emissions[[#This Row],[Market-based]]=0,emissions[[#This Row],[Impact Type]]="CO2E"),emissions[[#This Row],[kgCO2e]],0)/1000</f>
        <v>0</v>
      </c>
      <c r="AP503">
        <f>IF(AND(emissions[[#This Row],[Market-based]]=1,OR(emissions[[#This Row],[Impact Type]]="CO2E",emissions[[#This Row],[Impact Type]]="CO2E MKT")),emissions[[#This Row],[kgCO2e]],0)/1000</f>
        <v>1.4069267990000001</v>
      </c>
      <c r="AQ503" t="str">
        <f>_xlfn.TEXTAFTER(emissions[[#This Row],[Reporting Unit]]," &gt; ",LEN(emissions[[#This Row],[Reporting Unit]])-LEN(SUBSTITUTE(emissions[[#This Row],[Reporting Unit]],"&gt;","")))</f>
        <v>Vantage_Paris</v>
      </c>
      <c r="AR503" t="str">
        <f>_xlfn.XLOOKUP(emissions[[#This Row],[Reporting unit name]],hierarchy!$A:$A,hierarchy!$C:$C)</f>
        <v>Unspecified Facility Type</v>
      </c>
    </row>
    <row r="504" spans="1:44" hidden="1" x14ac:dyDescent="0.25">
      <c r="A504">
        <v>4958</v>
      </c>
      <c r="B504" t="s">
        <v>151</v>
      </c>
      <c r="C504" t="s">
        <v>525</v>
      </c>
      <c r="D504" t="s">
        <v>599</v>
      </c>
      <c r="E504" s="3">
        <v>44197</v>
      </c>
      <c r="F504" s="3">
        <v>44561</v>
      </c>
      <c r="G504" t="s">
        <v>108</v>
      </c>
      <c r="H504" s="3">
        <v>44197</v>
      </c>
      <c r="I504" s="3">
        <v>44561</v>
      </c>
      <c r="J504" t="s">
        <v>108</v>
      </c>
      <c r="K504">
        <v>23387</v>
      </c>
      <c r="L504" t="s">
        <v>109</v>
      </c>
      <c r="M504" t="s">
        <v>110</v>
      </c>
      <c r="O504" t="s">
        <v>600</v>
      </c>
      <c r="P504" t="s">
        <v>550</v>
      </c>
      <c r="Q504">
        <v>2021</v>
      </c>
      <c r="R504" t="s">
        <v>567</v>
      </c>
      <c r="S504" t="s">
        <v>568</v>
      </c>
      <c r="T504" t="s">
        <v>569</v>
      </c>
      <c r="U504" t="b">
        <v>0</v>
      </c>
      <c r="V504" t="s">
        <v>747</v>
      </c>
      <c r="W504" t="s">
        <v>571</v>
      </c>
      <c r="X504" t="s">
        <v>572</v>
      </c>
      <c r="Y504" t="s">
        <v>468</v>
      </c>
      <c r="Z504" t="s">
        <v>527</v>
      </c>
      <c r="AA504" t="s">
        <v>721</v>
      </c>
      <c r="AC504">
        <v>0</v>
      </c>
      <c r="AD504" t="s">
        <v>565</v>
      </c>
      <c r="AE504">
        <v>15.68245333</v>
      </c>
      <c r="AF504">
        <v>6.70563E-4</v>
      </c>
      <c r="AG504" t="s">
        <v>560</v>
      </c>
      <c r="AH504">
        <v>1</v>
      </c>
      <c r="AI504">
        <v>23387</v>
      </c>
      <c r="AJ504" t="s">
        <v>561</v>
      </c>
      <c r="AK504" t="s">
        <v>589</v>
      </c>
      <c r="AL504" t="s">
        <v>603</v>
      </c>
      <c r="AM504">
        <v>2021</v>
      </c>
      <c r="AN504">
        <v>2019</v>
      </c>
      <c r="AO504">
        <f>IF(AND(emissions[[#This Row],[Market-based]]=0,emissions[[#This Row],[Impact Type]]="CO2E"),emissions[[#This Row],[kgCO2e]],0)/1000</f>
        <v>1.5682453329999999E-2</v>
      </c>
      <c r="AP504">
        <f>IF(AND(emissions[[#This Row],[Market-based]]=1,OR(emissions[[#This Row],[Impact Type]]="CO2E",emissions[[#This Row],[Impact Type]]="CO2E MKT")),emissions[[#This Row],[kgCO2e]],0)/1000</f>
        <v>0</v>
      </c>
      <c r="AQ504" t="str">
        <f>_xlfn.TEXTAFTER(emissions[[#This Row],[Reporting Unit]]," &gt; ",LEN(emissions[[#This Row],[Reporting Unit]])-LEN(SUBSTITUTE(emissions[[#This Row],[Reporting Unit]],"&gt;","")))</f>
        <v>Vantage_Paris</v>
      </c>
      <c r="AR504" t="str">
        <f>_xlfn.XLOOKUP(emissions[[#This Row],[Reporting unit name]],hierarchy!$A:$A,hierarchy!$C:$C)</f>
        <v>Unspecified Facility Type</v>
      </c>
    </row>
    <row r="505" spans="1:44" hidden="1" x14ac:dyDescent="0.25">
      <c r="A505">
        <v>4958</v>
      </c>
      <c r="B505" t="s">
        <v>151</v>
      </c>
      <c r="C505" t="s">
        <v>525</v>
      </c>
      <c r="D505" t="s">
        <v>599</v>
      </c>
      <c r="E505" s="3">
        <v>44197</v>
      </c>
      <c r="F505" s="3">
        <v>44561</v>
      </c>
      <c r="G505" t="s">
        <v>108</v>
      </c>
      <c r="H505" s="3">
        <v>44197</v>
      </c>
      <c r="I505" s="3">
        <v>44561</v>
      </c>
      <c r="J505" t="s">
        <v>108</v>
      </c>
      <c r="K505">
        <v>23387</v>
      </c>
      <c r="L505" t="s">
        <v>109</v>
      </c>
      <c r="M505" t="s">
        <v>110</v>
      </c>
      <c r="O505" t="s">
        <v>600</v>
      </c>
      <c r="P505" t="s">
        <v>550</v>
      </c>
      <c r="Q505">
        <v>2021</v>
      </c>
      <c r="R505" t="s">
        <v>567</v>
      </c>
      <c r="S505" t="s">
        <v>568</v>
      </c>
      <c r="T505" t="s">
        <v>569</v>
      </c>
      <c r="U505" t="b">
        <v>0</v>
      </c>
      <c r="V505" t="s">
        <v>723</v>
      </c>
      <c r="W505" t="s">
        <v>571</v>
      </c>
      <c r="X505" t="s">
        <v>572</v>
      </c>
      <c r="Y505" t="s">
        <v>468</v>
      </c>
      <c r="Z505" t="s">
        <v>527</v>
      </c>
      <c r="AA505" t="s">
        <v>721</v>
      </c>
      <c r="AC505">
        <v>1</v>
      </c>
      <c r="AD505" t="s">
        <v>639</v>
      </c>
      <c r="AE505">
        <v>5.9490883339999998</v>
      </c>
      <c r="AF505">
        <v>2.5437600000000001E-4</v>
      </c>
      <c r="AG505" t="s">
        <v>560</v>
      </c>
      <c r="AH505">
        <v>1</v>
      </c>
      <c r="AI505">
        <v>23387</v>
      </c>
      <c r="AJ505" t="s">
        <v>561</v>
      </c>
      <c r="AK505" t="s">
        <v>573</v>
      </c>
      <c r="AL505" t="s">
        <v>724</v>
      </c>
      <c r="AM505">
        <v>2021</v>
      </c>
      <c r="AN505">
        <v>2020</v>
      </c>
      <c r="AO505">
        <f>IF(AND(emissions[[#This Row],[Market-based]]=0,emissions[[#This Row],[Impact Type]]="CO2E"),emissions[[#This Row],[kgCO2e]],0)/1000</f>
        <v>0</v>
      </c>
      <c r="AP505">
        <f>IF(AND(emissions[[#This Row],[Market-based]]=1,OR(emissions[[#This Row],[Impact Type]]="CO2E",emissions[[#This Row],[Impact Type]]="CO2E MKT")),emissions[[#This Row],[kgCO2e]],0)/1000</f>
        <v>5.9490883339999995E-3</v>
      </c>
      <c r="AQ505" t="str">
        <f>_xlfn.TEXTAFTER(emissions[[#This Row],[Reporting Unit]]," &gt; ",LEN(emissions[[#This Row],[Reporting Unit]])-LEN(SUBSTITUTE(emissions[[#This Row],[Reporting Unit]],"&gt;","")))</f>
        <v>Vantage_Paris</v>
      </c>
      <c r="AR505" t="str">
        <f>_xlfn.XLOOKUP(emissions[[#This Row],[Reporting unit name]],hierarchy!$A:$A,hierarchy!$C:$C)</f>
        <v>Unspecified Facility Type</v>
      </c>
    </row>
    <row r="506" spans="1:44" hidden="1" x14ac:dyDescent="0.25">
      <c r="A506">
        <v>4958</v>
      </c>
      <c r="B506" t="s">
        <v>151</v>
      </c>
      <c r="C506" t="s">
        <v>525</v>
      </c>
      <c r="D506" t="s">
        <v>599</v>
      </c>
      <c r="E506" s="3">
        <v>44197</v>
      </c>
      <c r="F506" s="3">
        <v>44561</v>
      </c>
      <c r="G506" t="s">
        <v>108</v>
      </c>
      <c r="H506" s="3">
        <v>44197</v>
      </c>
      <c r="I506" s="3">
        <v>44561</v>
      </c>
      <c r="J506" t="s">
        <v>108</v>
      </c>
      <c r="K506">
        <v>23387</v>
      </c>
      <c r="L506" t="s">
        <v>109</v>
      </c>
      <c r="M506" t="s">
        <v>110</v>
      </c>
      <c r="O506" t="s">
        <v>600</v>
      </c>
      <c r="P506" t="s">
        <v>550</v>
      </c>
      <c r="Q506">
        <v>2021</v>
      </c>
      <c r="R506" t="s">
        <v>575</v>
      </c>
      <c r="S506" t="s">
        <v>576</v>
      </c>
      <c r="T506" t="s">
        <v>577</v>
      </c>
      <c r="U506" t="b">
        <v>0</v>
      </c>
      <c r="V506" t="s">
        <v>748</v>
      </c>
      <c r="W506" t="s">
        <v>571</v>
      </c>
      <c r="X506" t="s">
        <v>572</v>
      </c>
      <c r="Y506" t="s">
        <v>468</v>
      </c>
      <c r="Z506" t="s">
        <v>527</v>
      </c>
      <c r="AA506" t="s">
        <v>721</v>
      </c>
      <c r="AC506">
        <v>0</v>
      </c>
      <c r="AD506" t="s">
        <v>565</v>
      </c>
      <c r="AE506">
        <v>178.86179730000001</v>
      </c>
      <c r="AF506">
        <v>7.6479149999999999E-3</v>
      </c>
      <c r="AG506" t="s">
        <v>560</v>
      </c>
      <c r="AH506">
        <v>1</v>
      </c>
      <c r="AI506">
        <v>23387</v>
      </c>
      <c r="AJ506" t="s">
        <v>561</v>
      </c>
      <c r="AK506" t="s">
        <v>589</v>
      </c>
      <c r="AL506" t="s">
        <v>603</v>
      </c>
      <c r="AM506">
        <v>2021</v>
      </c>
      <c r="AN506">
        <v>2019</v>
      </c>
      <c r="AO506">
        <f>IF(AND(emissions[[#This Row],[Market-based]]=0,emissions[[#This Row],[Impact Type]]="CO2E"),emissions[[#This Row],[kgCO2e]],0)/1000</f>
        <v>0.17886179730000001</v>
      </c>
      <c r="AP506">
        <f>IF(AND(emissions[[#This Row],[Market-based]]=1,OR(emissions[[#This Row],[Impact Type]]="CO2E",emissions[[#This Row],[Impact Type]]="CO2E MKT")),emissions[[#This Row],[kgCO2e]],0)/1000</f>
        <v>0</v>
      </c>
      <c r="AQ506" t="str">
        <f>_xlfn.TEXTAFTER(emissions[[#This Row],[Reporting Unit]]," &gt; ",LEN(emissions[[#This Row],[Reporting Unit]])-LEN(SUBSTITUTE(emissions[[#This Row],[Reporting Unit]],"&gt;","")))</f>
        <v>Vantage_Paris</v>
      </c>
      <c r="AR506" t="str">
        <f>_xlfn.XLOOKUP(emissions[[#This Row],[Reporting unit name]],hierarchy!$A:$A,hierarchy!$C:$C)</f>
        <v>Unspecified Facility Type</v>
      </c>
    </row>
    <row r="507" spans="1:44" hidden="1" x14ac:dyDescent="0.25">
      <c r="A507">
        <v>4958</v>
      </c>
      <c r="B507" t="s">
        <v>151</v>
      </c>
      <c r="C507" t="s">
        <v>525</v>
      </c>
      <c r="D507" t="s">
        <v>599</v>
      </c>
      <c r="E507" s="3">
        <v>44197</v>
      </c>
      <c r="F507" s="3">
        <v>44561</v>
      </c>
      <c r="G507" t="s">
        <v>108</v>
      </c>
      <c r="H507" s="3">
        <v>44197</v>
      </c>
      <c r="I507" s="3">
        <v>44561</v>
      </c>
      <c r="J507" t="s">
        <v>108</v>
      </c>
      <c r="K507">
        <v>23387</v>
      </c>
      <c r="L507" t="s">
        <v>109</v>
      </c>
      <c r="M507" t="s">
        <v>110</v>
      </c>
      <c r="O507" t="s">
        <v>600</v>
      </c>
      <c r="P507" t="s">
        <v>550</v>
      </c>
      <c r="Q507">
        <v>2021</v>
      </c>
      <c r="R507" t="s">
        <v>575</v>
      </c>
      <c r="S507" t="s">
        <v>576</v>
      </c>
      <c r="T507" t="s">
        <v>577</v>
      </c>
      <c r="U507" t="b">
        <v>0</v>
      </c>
      <c r="V507" t="s">
        <v>726</v>
      </c>
      <c r="W507" t="s">
        <v>571</v>
      </c>
      <c r="X507" t="s">
        <v>572</v>
      </c>
      <c r="Y507" t="s">
        <v>468</v>
      </c>
      <c r="Z507" t="s">
        <v>527</v>
      </c>
      <c r="AA507" t="s">
        <v>721</v>
      </c>
      <c r="AC507">
        <v>1</v>
      </c>
      <c r="AD507" t="s">
        <v>639</v>
      </c>
      <c r="AE507">
        <v>189.10469459999999</v>
      </c>
      <c r="AF507">
        <v>8.0858890000000006E-3</v>
      </c>
      <c r="AG507" t="s">
        <v>560</v>
      </c>
      <c r="AH507">
        <v>1</v>
      </c>
      <c r="AI507">
        <v>23387</v>
      </c>
      <c r="AJ507" t="s">
        <v>561</v>
      </c>
      <c r="AK507" t="s">
        <v>573</v>
      </c>
      <c r="AL507" t="s">
        <v>727</v>
      </c>
      <c r="AM507">
        <v>2021</v>
      </c>
      <c r="AN507">
        <v>2020</v>
      </c>
      <c r="AO507">
        <f>IF(AND(emissions[[#This Row],[Market-based]]=0,emissions[[#This Row],[Impact Type]]="CO2E"),emissions[[#This Row],[kgCO2e]],0)/1000</f>
        <v>0</v>
      </c>
      <c r="AP507">
        <f>IF(AND(emissions[[#This Row],[Market-based]]=1,OR(emissions[[#This Row],[Impact Type]]="CO2E",emissions[[#This Row],[Impact Type]]="CO2E MKT")),emissions[[#This Row],[kgCO2e]],0)/1000</f>
        <v>0.18910469459999998</v>
      </c>
      <c r="AQ507" t="str">
        <f>_xlfn.TEXTAFTER(emissions[[#This Row],[Reporting Unit]]," &gt; ",LEN(emissions[[#This Row],[Reporting Unit]])-LEN(SUBSTITUTE(emissions[[#This Row],[Reporting Unit]],"&gt;","")))</f>
        <v>Vantage_Paris</v>
      </c>
      <c r="AR507" t="str">
        <f>_xlfn.XLOOKUP(emissions[[#This Row],[Reporting unit name]],hierarchy!$A:$A,hierarchy!$C:$C)</f>
        <v>Unspecified Facility Type</v>
      </c>
    </row>
    <row r="508" spans="1:44" hidden="1" x14ac:dyDescent="0.25">
      <c r="A508">
        <v>4958</v>
      </c>
      <c r="B508" t="s">
        <v>151</v>
      </c>
      <c r="C508" t="s">
        <v>525</v>
      </c>
      <c r="D508" t="s">
        <v>599</v>
      </c>
      <c r="E508" s="3">
        <v>44197</v>
      </c>
      <c r="F508" s="3">
        <v>44561</v>
      </c>
      <c r="G508" t="s">
        <v>108</v>
      </c>
      <c r="H508" s="3">
        <v>44197</v>
      </c>
      <c r="I508" s="3">
        <v>44561</v>
      </c>
      <c r="J508" t="s">
        <v>108</v>
      </c>
      <c r="K508">
        <v>23387</v>
      </c>
      <c r="L508" t="s">
        <v>109</v>
      </c>
      <c r="M508" t="s">
        <v>110</v>
      </c>
      <c r="O508" t="s">
        <v>600</v>
      </c>
      <c r="P508" t="s">
        <v>550</v>
      </c>
      <c r="Q508">
        <v>2021</v>
      </c>
      <c r="R508" t="s">
        <v>579</v>
      </c>
      <c r="S508" t="s">
        <v>580</v>
      </c>
      <c r="T508" t="s">
        <v>581</v>
      </c>
      <c r="U508" t="b">
        <v>0</v>
      </c>
      <c r="V508" t="s">
        <v>728</v>
      </c>
      <c r="W508" t="s">
        <v>571</v>
      </c>
      <c r="X508" t="s">
        <v>572</v>
      </c>
      <c r="Y508" t="s">
        <v>468</v>
      </c>
      <c r="Z508" t="s">
        <v>527</v>
      </c>
      <c r="AA508" t="s">
        <v>721</v>
      </c>
      <c r="AC508">
        <v>0</v>
      </c>
      <c r="AD508" t="s">
        <v>565</v>
      </c>
      <c r="AE508">
        <v>86.531899999999993</v>
      </c>
      <c r="AF508" t="s">
        <v>559</v>
      </c>
      <c r="AG508" t="s">
        <v>560</v>
      </c>
      <c r="AH508">
        <v>1</v>
      </c>
      <c r="AI508">
        <v>23387</v>
      </c>
      <c r="AJ508" t="s">
        <v>561</v>
      </c>
      <c r="AK508" t="s">
        <v>562</v>
      </c>
      <c r="AL508" t="s">
        <v>601</v>
      </c>
      <c r="AM508">
        <v>2021</v>
      </c>
      <c r="AN508">
        <v>2019</v>
      </c>
      <c r="AO508">
        <f>IF(AND(emissions[[#This Row],[Market-based]]=0,emissions[[#This Row],[Impact Type]]="CO2E"),emissions[[#This Row],[kgCO2e]],0)/1000</f>
        <v>8.6531899999999995E-2</v>
      </c>
      <c r="AP508">
        <f>IF(AND(emissions[[#This Row],[Market-based]]=1,OR(emissions[[#This Row],[Impact Type]]="CO2E",emissions[[#This Row],[Impact Type]]="CO2E MKT")),emissions[[#This Row],[kgCO2e]],0)/1000</f>
        <v>0</v>
      </c>
      <c r="AQ508" t="str">
        <f>_xlfn.TEXTAFTER(emissions[[#This Row],[Reporting Unit]]," &gt; ",LEN(emissions[[#This Row],[Reporting Unit]])-LEN(SUBSTITUTE(emissions[[#This Row],[Reporting Unit]],"&gt;","")))</f>
        <v>Vantage_Paris</v>
      </c>
      <c r="AR508" t="str">
        <f>_xlfn.XLOOKUP(emissions[[#This Row],[Reporting unit name]],hierarchy!$A:$A,hierarchy!$C:$C)</f>
        <v>Unspecified Facility Type</v>
      </c>
    </row>
    <row r="509" spans="1:44" hidden="1" x14ac:dyDescent="0.25">
      <c r="A509">
        <v>4958</v>
      </c>
      <c r="B509" t="s">
        <v>151</v>
      </c>
      <c r="C509" t="s">
        <v>525</v>
      </c>
      <c r="D509" t="s">
        <v>599</v>
      </c>
      <c r="E509" s="3">
        <v>44197</v>
      </c>
      <c r="F509" s="3">
        <v>44561</v>
      </c>
      <c r="G509" t="s">
        <v>108</v>
      </c>
      <c r="H509" s="3">
        <v>44197</v>
      </c>
      <c r="I509" s="3">
        <v>44561</v>
      </c>
      <c r="J509" t="s">
        <v>108</v>
      </c>
      <c r="K509">
        <v>23387</v>
      </c>
      <c r="L509" t="s">
        <v>109</v>
      </c>
      <c r="M509" t="s">
        <v>110</v>
      </c>
      <c r="O509" t="s">
        <v>600</v>
      </c>
      <c r="P509" t="s">
        <v>550</v>
      </c>
      <c r="Q509">
        <v>2021</v>
      </c>
      <c r="R509" t="s">
        <v>579</v>
      </c>
      <c r="S509" t="s">
        <v>580</v>
      </c>
      <c r="T509" t="s">
        <v>581</v>
      </c>
      <c r="U509" t="b">
        <v>0</v>
      </c>
      <c r="V509" t="s">
        <v>729</v>
      </c>
      <c r="W509" t="s">
        <v>571</v>
      </c>
      <c r="X509" t="s">
        <v>572</v>
      </c>
      <c r="Y509" t="s">
        <v>468</v>
      </c>
      <c r="Z509" t="s">
        <v>527</v>
      </c>
      <c r="AA509" t="s">
        <v>721</v>
      </c>
      <c r="AC509">
        <v>1</v>
      </c>
      <c r="AD509" t="s">
        <v>639</v>
      </c>
      <c r="AE509">
        <v>91.487331409999996</v>
      </c>
      <c r="AF509">
        <v>3.9118879999999997E-3</v>
      </c>
      <c r="AG509" t="s">
        <v>560</v>
      </c>
      <c r="AH509">
        <v>1</v>
      </c>
      <c r="AI509">
        <v>23387</v>
      </c>
      <c r="AJ509" t="s">
        <v>561</v>
      </c>
      <c r="AK509" t="s">
        <v>573</v>
      </c>
      <c r="AL509" t="s">
        <v>730</v>
      </c>
      <c r="AM509">
        <v>2021</v>
      </c>
      <c r="AN509">
        <v>2020</v>
      </c>
      <c r="AO509">
        <f>IF(AND(emissions[[#This Row],[Market-based]]=0,emissions[[#This Row],[Impact Type]]="CO2E"),emissions[[#This Row],[kgCO2e]],0)/1000</f>
        <v>0</v>
      </c>
      <c r="AP509">
        <f>IF(AND(emissions[[#This Row],[Market-based]]=1,OR(emissions[[#This Row],[Impact Type]]="CO2E",emissions[[#This Row],[Impact Type]]="CO2E MKT")),emissions[[#This Row],[kgCO2e]],0)/1000</f>
        <v>9.1487331409999997E-2</v>
      </c>
      <c r="AQ509" t="str">
        <f>_xlfn.TEXTAFTER(emissions[[#This Row],[Reporting Unit]]," &gt; ",LEN(emissions[[#This Row],[Reporting Unit]])-LEN(SUBSTITUTE(emissions[[#This Row],[Reporting Unit]],"&gt;","")))</f>
        <v>Vantage_Paris</v>
      </c>
      <c r="AR509" t="str">
        <f>_xlfn.XLOOKUP(emissions[[#This Row],[Reporting unit name]],hierarchy!$A:$A,hierarchy!$C:$C)</f>
        <v>Unspecified Facility Type</v>
      </c>
    </row>
    <row r="510" spans="1:44" hidden="1" x14ac:dyDescent="0.25">
      <c r="A510">
        <v>294640</v>
      </c>
      <c r="B510" t="s">
        <v>107</v>
      </c>
      <c r="C510" t="s">
        <v>475</v>
      </c>
      <c r="D510" t="s">
        <v>548</v>
      </c>
      <c r="E510" s="3">
        <v>44562</v>
      </c>
      <c r="F510" s="3">
        <v>44926</v>
      </c>
      <c r="G510" t="s">
        <v>108</v>
      </c>
      <c r="H510" s="3">
        <v>44562</v>
      </c>
      <c r="I510" s="3">
        <v>44926</v>
      </c>
      <c r="J510" t="s">
        <v>108</v>
      </c>
      <c r="K510">
        <v>41510.999000000003</v>
      </c>
      <c r="L510" t="s">
        <v>109</v>
      </c>
      <c r="M510" t="s">
        <v>110</v>
      </c>
      <c r="N510" t="s">
        <v>114</v>
      </c>
      <c r="O510" t="s">
        <v>749</v>
      </c>
      <c r="P510" t="s">
        <v>550</v>
      </c>
      <c r="Q510">
        <v>2022</v>
      </c>
      <c r="R510" t="s">
        <v>551</v>
      </c>
      <c r="S510" t="s">
        <v>552</v>
      </c>
      <c r="T510" t="s">
        <v>553</v>
      </c>
      <c r="U510" t="b">
        <v>0</v>
      </c>
      <c r="V510" t="s">
        <v>750</v>
      </c>
      <c r="W510" t="s">
        <v>555</v>
      </c>
      <c r="X510" t="s">
        <v>556</v>
      </c>
      <c r="Y510" t="s">
        <v>470</v>
      </c>
      <c r="Z510" t="s">
        <v>481</v>
      </c>
      <c r="AA510" t="s">
        <v>751</v>
      </c>
      <c r="AC510">
        <v>0</v>
      </c>
      <c r="AD510" t="s">
        <v>558</v>
      </c>
      <c r="AE510">
        <v>12.453299700000001</v>
      </c>
      <c r="AF510" t="s">
        <v>559</v>
      </c>
      <c r="AG510" t="s">
        <v>560</v>
      </c>
      <c r="AH510">
        <v>1</v>
      </c>
      <c r="AI510">
        <v>41510.999000000003</v>
      </c>
      <c r="AJ510" t="s">
        <v>561</v>
      </c>
      <c r="AK510" t="s">
        <v>562</v>
      </c>
      <c r="AL510" t="s">
        <v>563</v>
      </c>
      <c r="AM510">
        <v>2022</v>
      </c>
      <c r="AN510">
        <v>2020</v>
      </c>
      <c r="AO510">
        <f>IF(AND(emissions[[#This Row],[Market-based]]=0,emissions[[#This Row],[Impact Type]]="CO2E"),emissions[[#This Row],[kgCO2e]],0)/1000</f>
        <v>0</v>
      </c>
      <c r="AP510">
        <f>IF(AND(emissions[[#This Row],[Market-based]]=1,OR(emissions[[#This Row],[Impact Type]]="CO2E",emissions[[#This Row],[Impact Type]]="CO2E MKT")),emissions[[#This Row],[kgCO2e]],0)/1000</f>
        <v>0</v>
      </c>
      <c r="AQ510" t="str">
        <f>_xlfn.TEXTAFTER(emissions[[#This Row],[Reporting Unit]]," &gt; ",LEN(emissions[[#This Row],[Reporting Unit]])-LEN(SUBSTITUTE(emissions[[#This Row],[Reporting Unit]],"&gt;","")))</f>
        <v>Vantage_South Africa</v>
      </c>
      <c r="AR510" t="str">
        <f>_xlfn.XLOOKUP(emissions[[#This Row],[Reporting unit name]],hierarchy!$A:$A,hierarchy!$C:$C)</f>
        <v>Labratory</v>
      </c>
    </row>
    <row r="511" spans="1:44" hidden="1" x14ac:dyDescent="0.25">
      <c r="A511">
        <v>294640</v>
      </c>
      <c r="B511" t="s">
        <v>107</v>
      </c>
      <c r="C511" t="s">
        <v>475</v>
      </c>
      <c r="D511" t="s">
        <v>548</v>
      </c>
      <c r="E511" s="3">
        <v>44562</v>
      </c>
      <c r="F511" s="3">
        <v>44926</v>
      </c>
      <c r="G511" t="s">
        <v>108</v>
      </c>
      <c r="H511" s="3">
        <v>44562</v>
      </c>
      <c r="I511" s="3">
        <v>44926</v>
      </c>
      <c r="J511" t="s">
        <v>108</v>
      </c>
      <c r="K511">
        <v>41510.999000000003</v>
      </c>
      <c r="L511" t="s">
        <v>109</v>
      </c>
      <c r="M511" t="s">
        <v>110</v>
      </c>
      <c r="N511" t="s">
        <v>114</v>
      </c>
      <c r="O511" t="s">
        <v>749</v>
      </c>
      <c r="P511" t="s">
        <v>550</v>
      </c>
      <c r="Q511">
        <v>2022</v>
      </c>
      <c r="R511" t="s">
        <v>551</v>
      </c>
      <c r="S511" t="s">
        <v>552</v>
      </c>
      <c r="T511" t="s">
        <v>553</v>
      </c>
      <c r="U511" t="b">
        <v>0</v>
      </c>
      <c r="V511" t="s">
        <v>750</v>
      </c>
      <c r="W511" t="s">
        <v>555</v>
      </c>
      <c r="X511" t="s">
        <v>556</v>
      </c>
      <c r="Y511" t="s">
        <v>470</v>
      </c>
      <c r="Z511" t="s">
        <v>481</v>
      </c>
      <c r="AA511" t="s">
        <v>751</v>
      </c>
      <c r="AC511">
        <v>0</v>
      </c>
      <c r="AD511" t="s">
        <v>564</v>
      </c>
      <c r="AE511">
        <v>38347.86088</v>
      </c>
      <c r="AF511" t="s">
        <v>559</v>
      </c>
      <c r="AG511" t="s">
        <v>560</v>
      </c>
      <c r="AH511">
        <v>1</v>
      </c>
      <c r="AI511">
        <v>41510.999000000003</v>
      </c>
      <c r="AJ511" t="s">
        <v>561</v>
      </c>
      <c r="AK511" t="s">
        <v>562</v>
      </c>
      <c r="AL511" t="s">
        <v>563</v>
      </c>
      <c r="AM511">
        <v>2022</v>
      </c>
      <c r="AN511">
        <v>2020</v>
      </c>
      <c r="AO511">
        <f>IF(AND(emissions[[#This Row],[Market-based]]=0,emissions[[#This Row],[Impact Type]]="CO2E"),emissions[[#This Row],[kgCO2e]],0)/1000</f>
        <v>0</v>
      </c>
      <c r="AP511">
        <f>IF(AND(emissions[[#This Row],[Market-based]]=1,OR(emissions[[#This Row],[Impact Type]]="CO2E",emissions[[#This Row],[Impact Type]]="CO2E MKT")),emissions[[#This Row],[kgCO2e]],0)/1000</f>
        <v>0</v>
      </c>
      <c r="AQ511" t="str">
        <f>_xlfn.TEXTAFTER(emissions[[#This Row],[Reporting Unit]]," &gt; ",LEN(emissions[[#This Row],[Reporting Unit]])-LEN(SUBSTITUTE(emissions[[#This Row],[Reporting Unit]],"&gt;","")))</f>
        <v>Vantage_South Africa</v>
      </c>
      <c r="AR511" t="str">
        <f>_xlfn.XLOOKUP(emissions[[#This Row],[Reporting unit name]],hierarchy!$A:$A,hierarchy!$C:$C)</f>
        <v>Labratory</v>
      </c>
    </row>
    <row r="512" spans="1:44" hidden="1" x14ac:dyDescent="0.25">
      <c r="A512">
        <v>294640</v>
      </c>
      <c r="B512" t="s">
        <v>107</v>
      </c>
      <c r="C512" t="s">
        <v>475</v>
      </c>
      <c r="D512" t="s">
        <v>548</v>
      </c>
      <c r="E512" s="3">
        <v>44562</v>
      </c>
      <c r="F512" s="3">
        <v>44926</v>
      </c>
      <c r="G512" t="s">
        <v>108</v>
      </c>
      <c r="H512" s="3">
        <v>44562</v>
      </c>
      <c r="I512" s="3">
        <v>44926</v>
      </c>
      <c r="J512" t="s">
        <v>108</v>
      </c>
      <c r="K512">
        <v>41510.999000000003</v>
      </c>
      <c r="L512" t="s">
        <v>109</v>
      </c>
      <c r="M512" t="s">
        <v>110</v>
      </c>
      <c r="N512" t="s">
        <v>114</v>
      </c>
      <c r="O512" t="s">
        <v>749</v>
      </c>
      <c r="P512" t="s">
        <v>550</v>
      </c>
      <c r="Q512">
        <v>2022</v>
      </c>
      <c r="R512" t="s">
        <v>551</v>
      </c>
      <c r="S512" t="s">
        <v>552</v>
      </c>
      <c r="T512" t="s">
        <v>553</v>
      </c>
      <c r="U512" t="b">
        <v>0</v>
      </c>
      <c r="V512" t="s">
        <v>750</v>
      </c>
      <c r="W512" t="s">
        <v>555</v>
      </c>
      <c r="X512" t="s">
        <v>556</v>
      </c>
      <c r="Y512" t="s">
        <v>470</v>
      </c>
      <c r="Z512" t="s">
        <v>481</v>
      </c>
      <c r="AA512" t="s">
        <v>751</v>
      </c>
      <c r="AC512">
        <v>0</v>
      </c>
      <c r="AD512" t="s">
        <v>565</v>
      </c>
      <c r="AE512">
        <v>38542.962570000003</v>
      </c>
      <c r="AF512" t="s">
        <v>559</v>
      </c>
      <c r="AG512" t="s">
        <v>560</v>
      </c>
      <c r="AH512">
        <v>1</v>
      </c>
      <c r="AI512">
        <v>41510.999000000003</v>
      </c>
      <c r="AJ512" t="s">
        <v>561</v>
      </c>
      <c r="AK512" t="s">
        <v>562</v>
      </c>
      <c r="AL512" t="s">
        <v>563</v>
      </c>
      <c r="AM512">
        <v>2022</v>
      </c>
      <c r="AN512">
        <v>2020</v>
      </c>
      <c r="AO512">
        <f>IF(AND(emissions[[#This Row],[Market-based]]=0,emissions[[#This Row],[Impact Type]]="CO2E"),emissions[[#This Row],[kgCO2e]],0)/1000</f>
        <v>38.54296257</v>
      </c>
      <c r="AP512">
        <f>IF(AND(emissions[[#This Row],[Market-based]]=1,OR(emissions[[#This Row],[Impact Type]]="CO2E",emissions[[#This Row],[Impact Type]]="CO2E MKT")),emissions[[#This Row],[kgCO2e]],0)/1000</f>
        <v>0</v>
      </c>
      <c r="AQ512" t="str">
        <f>_xlfn.TEXTAFTER(emissions[[#This Row],[Reporting Unit]]," &gt; ",LEN(emissions[[#This Row],[Reporting Unit]])-LEN(SUBSTITUTE(emissions[[#This Row],[Reporting Unit]],"&gt;","")))</f>
        <v>Vantage_South Africa</v>
      </c>
      <c r="AR512" t="str">
        <f>_xlfn.XLOOKUP(emissions[[#This Row],[Reporting unit name]],hierarchy!$A:$A,hierarchy!$C:$C)</f>
        <v>Labratory</v>
      </c>
    </row>
    <row r="513" spans="1:44" hidden="1" x14ac:dyDescent="0.25">
      <c r="A513">
        <v>294640</v>
      </c>
      <c r="B513" t="s">
        <v>107</v>
      </c>
      <c r="C513" t="s">
        <v>475</v>
      </c>
      <c r="D513" t="s">
        <v>548</v>
      </c>
      <c r="E513" s="3">
        <v>44562</v>
      </c>
      <c r="F513" s="3">
        <v>44926</v>
      </c>
      <c r="G513" t="s">
        <v>108</v>
      </c>
      <c r="H513" s="3">
        <v>44562</v>
      </c>
      <c r="I513" s="3">
        <v>44926</v>
      </c>
      <c r="J513" t="s">
        <v>108</v>
      </c>
      <c r="K513">
        <v>41510.999000000003</v>
      </c>
      <c r="L513" t="s">
        <v>109</v>
      </c>
      <c r="M513" t="s">
        <v>110</v>
      </c>
      <c r="N513" t="s">
        <v>114</v>
      </c>
      <c r="O513" t="s">
        <v>749</v>
      </c>
      <c r="P513" t="s">
        <v>550</v>
      </c>
      <c r="Q513">
        <v>2022</v>
      </c>
      <c r="R513" t="s">
        <v>551</v>
      </c>
      <c r="S513" t="s">
        <v>552</v>
      </c>
      <c r="T513" t="s">
        <v>553</v>
      </c>
      <c r="U513" t="b">
        <v>0</v>
      </c>
      <c r="V513" t="s">
        <v>750</v>
      </c>
      <c r="W513" t="s">
        <v>555</v>
      </c>
      <c r="X513" t="s">
        <v>556</v>
      </c>
      <c r="Y513" t="s">
        <v>470</v>
      </c>
      <c r="Z513" t="s">
        <v>481</v>
      </c>
      <c r="AA513" t="s">
        <v>751</v>
      </c>
      <c r="AC513">
        <v>0</v>
      </c>
      <c r="AD513" t="s">
        <v>566</v>
      </c>
      <c r="AE513">
        <v>182.64839559999999</v>
      </c>
      <c r="AF513" t="s">
        <v>559</v>
      </c>
      <c r="AG513" t="s">
        <v>560</v>
      </c>
      <c r="AH513">
        <v>1</v>
      </c>
      <c r="AI513">
        <v>41510.999000000003</v>
      </c>
      <c r="AJ513" t="s">
        <v>561</v>
      </c>
      <c r="AK513" t="s">
        <v>562</v>
      </c>
      <c r="AL513" t="s">
        <v>563</v>
      </c>
      <c r="AM513">
        <v>2022</v>
      </c>
      <c r="AN513">
        <v>2020</v>
      </c>
      <c r="AO513">
        <f>IF(AND(emissions[[#This Row],[Market-based]]=0,emissions[[#This Row],[Impact Type]]="CO2E"),emissions[[#This Row],[kgCO2e]],0)/1000</f>
        <v>0</v>
      </c>
      <c r="AP513">
        <f>IF(AND(emissions[[#This Row],[Market-based]]=1,OR(emissions[[#This Row],[Impact Type]]="CO2E",emissions[[#This Row],[Impact Type]]="CO2E MKT")),emissions[[#This Row],[kgCO2e]],0)/1000</f>
        <v>0</v>
      </c>
      <c r="AQ513" t="str">
        <f>_xlfn.TEXTAFTER(emissions[[#This Row],[Reporting Unit]]," &gt; ",LEN(emissions[[#This Row],[Reporting Unit]])-LEN(SUBSTITUTE(emissions[[#This Row],[Reporting Unit]],"&gt;","")))</f>
        <v>Vantage_South Africa</v>
      </c>
      <c r="AR513" t="str">
        <f>_xlfn.XLOOKUP(emissions[[#This Row],[Reporting unit name]],hierarchy!$A:$A,hierarchy!$C:$C)</f>
        <v>Labratory</v>
      </c>
    </row>
    <row r="514" spans="1:44" hidden="1" x14ac:dyDescent="0.25">
      <c r="A514">
        <v>294640</v>
      </c>
      <c r="B514" t="s">
        <v>107</v>
      </c>
      <c r="C514" t="s">
        <v>475</v>
      </c>
      <c r="D514" t="s">
        <v>548</v>
      </c>
      <c r="E514" s="3">
        <v>44562</v>
      </c>
      <c r="F514" s="3">
        <v>44926</v>
      </c>
      <c r="G514" t="s">
        <v>108</v>
      </c>
      <c r="H514" s="3">
        <v>44562</v>
      </c>
      <c r="I514" s="3">
        <v>44926</v>
      </c>
      <c r="J514" t="s">
        <v>108</v>
      </c>
      <c r="K514">
        <v>41510.999000000003</v>
      </c>
      <c r="L514" t="s">
        <v>109</v>
      </c>
      <c r="M514" t="s">
        <v>110</v>
      </c>
      <c r="N514" t="s">
        <v>114</v>
      </c>
      <c r="O514" t="s">
        <v>749</v>
      </c>
      <c r="P514" t="s">
        <v>550</v>
      </c>
      <c r="Q514">
        <v>2022</v>
      </c>
      <c r="R514" t="s">
        <v>551</v>
      </c>
      <c r="S514" t="s">
        <v>552</v>
      </c>
      <c r="T514" t="s">
        <v>553</v>
      </c>
      <c r="U514" t="b">
        <v>0</v>
      </c>
      <c r="V514" t="s">
        <v>750</v>
      </c>
      <c r="W514" t="s">
        <v>555</v>
      </c>
      <c r="X514" t="s">
        <v>556</v>
      </c>
      <c r="Y514" t="s">
        <v>470</v>
      </c>
      <c r="Z514" t="s">
        <v>481</v>
      </c>
      <c r="AA514" t="s">
        <v>751</v>
      </c>
      <c r="AC514">
        <v>1</v>
      </c>
      <c r="AD514" t="s">
        <v>558</v>
      </c>
      <c r="AE514">
        <v>12.453299700000001</v>
      </c>
      <c r="AF514" t="s">
        <v>559</v>
      </c>
      <c r="AG514" t="s">
        <v>560</v>
      </c>
      <c r="AH514">
        <v>1</v>
      </c>
      <c r="AI514">
        <v>41510.999000000003</v>
      </c>
      <c r="AJ514" t="s">
        <v>561</v>
      </c>
      <c r="AK514" t="s">
        <v>562</v>
      </c>
      <c r="AL514" t="s">
        <v>563</v>
      </c>
      <c r="AM514">
        <v>2022</v>
      </c>
      <c r="AN514">
        <v>2020</v>
      </c>
      <c r="AO514">
        <f>IF(AND(emissions[[#This Row],[Market-based]]=0,emissions[[#This Row],[Impact Type]]="CO2E"),emissions[[#This Row],[kgCO2e]],0)/1000</f>
        <v>0</v>
      </c>
      <c r="AP514">
        <f>IF(AND(emissions[[#This Row],[Market-based]]=1,OR(emissions[[#This Row],[Impact Type]]="CO2E",emissions[[#This Row],[Impact Type]]="CO2E MKT")),emissions[[#This Row],[kgCO2e]],0)/1000</f>
        <v>0</v>
      </c>
      <c r="AQ514" t="str">
        <f>_xlfn.TEXTAFTER(emissions[[#This Row],[Reporting Unit]]," &gt; ",LEN(emissions[[#This Row],[Reporting Unit]])-LEN(SUBSTITUTE(emissions[[#This Row],[Reporting Unit]],"&gt;","")))</f>
        <v>Vantage_South Africa</v>
      </c>
      <c r="AR514" t="str">
        <f>_xlfn.XLOOKUP(emissions[[#This Row],[Reporting unit name]],hierarchy!$A:$A,hierarchy!$C:$C)</f>
        <v>Labratory</v>
      </c>
    </row>
    <row r="515" spans="1:44" hidden="1" x14ac:dyDescent="0.25">
      <c r="A515">
        <v>294640</v>
      </c>
      <c r="B515" t="s">
        <v>107</v>
      </c>
      <c r="C515" t="s">
        <v>475</v>
      </c>
      <c r="D515" t="s">
        <v>548</v>
      </c>
      <c r="E515" s="3">
        <v>44562</v>
      </c>
      <c r="F515" s="3">
        <v>44926</v>
      </c>
      <c r="G515" t="s">
        <v>108</v>
      </c>
      <c r="H515" s="3">
        <v>44562</v>
      </c>
      <c r="I515" s="3">
        <v>44926</v>
      </c>
      <c r="J515" t="s">
        <v>108</v>
      </c>
      <c r="K515">
        <v>41510.999000000003</v>
      </c>
      <c r="L515" t="s">
        <v>109</v>
      </c>
      <c r="M515" t="s">
        <v>110</v>
      </c>
      <c r="N515" t="s">
        <v>114</v>
      </c>
      <c r="O515" t="s">
        <v>749</v>
      </c>
      <c r="P515" t="s">
        <v>550</v>
      </c>
      <c r="Q515">
        <v>2022</v>
      </c>
      <c r="R515" t="s">
        <v>551</v>
      </c>
      <c r="S515" t="s">
        <v>552</v>
      </c>
      <c r="T515" t="s">
        <v>553</v>
      </c>
      <c r="U515" t="b">
        <v>0</v>
      </c>
      <c r="V515" t="s">
        <v>750</v>
      </c>
      <c r="W515" t="s">
        <v>555</v>
      </c>
      <c r="X515" t="s">
        <v>556</v>
      </c>
      <c r="Y515" t="s">
        <v>470</v>
      </c>
      <c r="Z515" t="s">
        <v>481</v>
      </c>
      <c r="AA515" t="s">
        <v>751</v>
      </c>
      <c r="AC515">
        <v>1</v>
      </c>
      <c r="AD515" t="s">
        <v>564</v>
      </c>
      <c r="AE515">
        <v>38347.86088</v>
      </c>
      <c r="AF515" t="s">
        <v>559</v>
      </c>
      <c r="AG515" t="s">
        <v>560</v>
      </c>
      <c r="AH515">
        <v>1</v>
      </c>
      <c r="AI515">
        <v>41510.999000000003</v>
      </c>
      <c r="AJ515" t="s">
        <v>561</v>
      </c>
      <c r="AK515" t="s">
        <v>562</v>
      </c>
      <c r="AL515" t="s">
        <v>563</v>
      </c>
      <c r="AM515">
        <v>2022</v>
      </c>
      <c r="AN515">
        <v>2020</v>
      </c>
      <c r="AO515">
        <f>IF(AND(emissions[[#This Row],[Market-based]]=0,emissions[[#This Row],[Impact Type]]="CO2E"),emissions[[#This Row],[kgCO2e]],0)/1000</f>
        <v>0</v>
      </c>
      <c r="AP515">
        <f>IF(AND(emissions[[#This Row],[Market-based]]=1,OR(emissions[[#This Row],[Impact Type]]="CO2E",emissions[[#This Row],[Impact Type]]="CO2E MKT")),emissions[[#This Row],[kgCO2e]],0)/1000</f>
        <v>0</v>
      </c>
      <c r="AQ515" t="str">
        <f>_xlfn.TEXTAFTER(emissions[[#This Row],[Reporting Unit]]," &gt; ",LEN(emissions[[#This Row],[Reporting Unit]])-LEN(SUBSTITUTE(emissions[[#This Row],[Reporting Unit]],"&gt;","")))</f>
        <v>Vantage_South Africa</v>
      </c>
      <c r="AR515" t="str">
        <f>_xlfn.XLOOKUP(emissions[[#This Row],[Reporting unit name]],hierarchy!$A:$A,hierarchy!$C:$C)</f>
        <v>Labratory</v>
      </c>
    </row>
    <row r="516" spans="1:44" hidden="1" x14ac:dyDescent="0.25">
      <c r="A516">
        <v>294640</v>
      </c>
      <c r="B516" t="s">
        <v>107</v>
      </c>
      <c r="C516" t="s">
        <v>475</v>
      </c>
      <c r="D516" t="s">
        <v>548</v>
      </c>
      <c r="E516" s="3">
        <v>44562</v>
      </c>
      <c r="F516" s="3">
        <v>44926</v>
      </c>
      <c r="G516" t="s">
        <v>108</v>
      </c>
      <c r="H516" s="3">
        <v>44562</v>
      </c>
      <c r="I516" s="3">
        <v>44926</v>
      </c>
      <c r="J516" t="s">
        <v>108</v>
      </c>
      <c r="K516">
        <v>41510.999000000003</v>
      </c>
      <c r="L516" t="s">
        <v>109</v>
      </c>
      <c r="M516" t="s">
        <v>110</v>
      </c>
      <c r="N516" t="s">
        <v>114</v>
      </c>
      <c r="O516" t="s">
        <v>749</v>
      </c>
      <c r="P516" t="s">
        <v>550</v>
      </c>
      <c r="Q516">
        <v>2022</v>
      </c>
      <c r="R516" t="s">
        <v>551</v>
      </c>
      <c r="S516" t="s">
        <v>552</v>
      </c>
      <c r="T516" t="s">
        <v>553</v>
      </c>
      <c r="U516" t="b">
        <v>0</v>
      </c>
      <c r="V516" t="s">
        <v>750</v>
      </c>
      <c r="W516" t="s">
        <v>555</v>
      </c>
      <c r="X516" t="s">
        <v>556</v>
      </c>
      <c r="Y516" t="s">
        <v>470</v>
      </c>
      <c r="Z516" t="s">
        <v>481</v>
      </c>
      <c r="AA516" t="s">
        <v>751</v>
      </c>
      <c r="AC516">
        <v>1</v>
      </c>
      <c r="AD516" t="s">
        <v>565</v>
      </c>
      <c r="AE516">
        <v>38542.962570000003</v>
      </c>
      <c r="AF516" t="s">
        <v>559</v>
      </c>
      <c r="AG516" t="s">
        <v>560</v>
      </c>
      <c r="AH516">
        <v>1</v>
      </c>
      <c r="AI516">
        <v>41510.999000000003</v>
      </c>
      <c r="AJ516" t="s">
        <v>561</v>
      </c>
      <c r="AK516" t="s">
        <v>562</v>
      </c>
      <c r="AL516" t="s">
        <v>563</v>
      </c>
      <c r="AM516">
        <v>2022</v>
      </c>
      <c r="AN516">
        <v>2020</v>
      </c>
      <c r="AO516">
        <f>IF(AND(emissions[[#This Row],[Market-based]]=0,emissions[[#This Row],[Impact Type]]="CO2E"),emissions[[#This Row],[kgCO2e]],0)/1000</f>
        <v>0</v>
      </c>
      <c r="AP516">
        <f>IF(AND(emissions[[#This Row],[Market-based]]=1,OR(emissions[[#This Row],[Impact Type]]="CO2E",emissions[[#This Row],[Impact Type]]="CO2E MKT")),emissions[[#This Row],[kgCO2e]],0)/1000</f>
        <v>38.54296257</v>
      </c>
      <c r="AQ516" t="str">
        <f>_xlfn.TEXTAFTER(emissions[[#This Row],[Reporting Unit]]," &gt; ",LEN(emissions[[#This Row],[Reporting Unit]])-LEN(SUBSTITUTE(emissions[[#This Row],[Reporting Unit]],"&gt;","")))</f>
        <v>Vantage_South Africa</v>
      </c>
      <c r="AR516" t="str">
        <f>_xlfn.XLOOKUP(emissions[[#This Row],[Reporting unit name]],hierarchy!$A:$A,hierarchy!$C:$C)</f>
        <v>Labratory</v>
      </c>
    </row>
    <row r="517" spans="1:44" hidden="1" x14ac:dyDescent="0.25">
      <c r="A517">
        <v>294640</v>
      </c>
      <c r="B517" t="s">
        <v>107</v>
      </c>
      <c r="C517" t="s">
        <v>475</v>
      </c>
      <c r="D517" t="s">
        <v>548</v>
      </c>
      <c r="E517" s="3">
        <v>44562</v>
      </c>
      <c r="F517" s="3">
        <v>44926</v>
      </c>
      <c r="G517" t="s">
        <v>108</v>
      </c>
      <c r="H517" s="3">
        <v>44562</v>
      </c>
      <c r="I517" s="3">
        <v>44926</v>
      </c>
      <c r="J517" t="s">
        <v>108</v>
      </c>
      <c r="K517">
        <v>41510.999000000003</v>
      </c>
      <c r="L517" t="s">
        <v>109</v>
      </c>
      <c r="M517" t="s">
        <v>110</v>
      </c>
      <c r="N517" t="s">
        <v>114</v>
      </c>
      <c r="O517" t="s">
        <v>749</v>
      </c>
      <c r="P517" t="s">
        <v>550</v>
      </c>
      <c r="Q517">
        <v>2022</v>
      </c>
      <c r="R517" t="s">
        <v>551</v>
      </c>
      <c r="S517" t="s">
        <v>552</v>
      </c>
      <c r="T517" t="s">
        <v>553</v>
      </c>
      <c r="U517" t="b">
        <v>0</v>
      </c>
      <c r="V517" t="s">
        <v>750</v>
      </c>
      <c r="W517" t="s">
        <v>555</v>
      </c>
      <c r="X517" t="s">
        <v>556</v>
      </c>
      <c r="Y517" t="s">
        <v>470</v>
      </c>
      <c r="Z517" t="s">
        <v>481</v>
      </c>
      <c r="AA517" t="s">
        <v>751</v>
      </c>
      <c r="AC517">
        <v>1</v>
      </c>
      <c r="AD517" t="s">
        <v>566</v>
      </c>
      <c r="AE517">
        <v>182.64839559999999</v>
      </c>
      <c r="AF517" t="s">
        <v>559</v>
      </c>
      <c r="AG517" t="s">
        <v>560</v>
      </c>
      <c r="AH517">
        <v>1</v>
      </c>
      <c r="AI517">
        <v>41510.999000000003</v>
      </c>
      <c r="AJ517" t="s">
        <v>561</v>
      </c>
      <c r="AK517" t="s">
        <v>562</v>
      </c>
      <c r="AL517" t="s">
        <v>563</v>
      </c>
      <c r="AM517">
        <v>2022</v>
      </c>
      <c r="AN517">
        <v>2020</v>
      </c>
      <c r="AO517">
        <f>IF(AND(emissions[[#This Row],[Market-based]]=0,emissions[[#This Row],[Impact Type]]="CO2E"),emissions[[#This Row],[kgCO2e]],0)/1000</f>
        <v>0</v>
      </c>
      <c r="AP517">
        <f>IF(AND(emissions[[#This Row],[Market-based]]=1,OR(emissions[[#This Row],[Impact Type]]="CO2E",emissions[[#This Row],[Impact Type]]="CO2E MKT")),emissions[[#This Row],[kgCO2e]],0)/1000</f>
        <v>0</v>
      </c>
      <c r="AQ517" t="str">
        <f>_xlfn.TEXTAFTER(emissions[[#This Row],[Reporting Unit]]," &gt; ",LEN(emissions[[#This Row],[Reporting Unit]])-LEN(SUBSTITUTE(emissions[[#This Row],[Reporting Unit]],"&gt;","")))</f>
        <v>Vantage_South Africa</v>
      </c>
      <c r="AR517" t="str">
        <f>_xlfn.XLOOKUP(emissions[[#This Row],[Reporting unit name]],hierarchy!$A:$A,hierarchy!$C:$C)</f>
        <v>Labratory</v>
      </c>
    </row>
    <row r="518" spans="1:44" hidden="1" x14ac:dyDescent="0.25">
      <c r="A518">
        <v>294640</v>
      </c>
      <c r="B518" t="s">
        <v>107</v>
      </c>
      <c r="C518" t="s">
        <v>475</v>
      </c>
      <c r="D518" t="s">
        <v>548</v>
      </c>
      <c r="E518" s="3">
        <v>44562</v>
      </c>
      <c r="F518" s="3">
        <v>44926</v>
      </c>
      <c r="G518" t="s">
        <v>108</v>
      </c>
      <c r="H518" s="3">
        <v>44562</v>
      </c>
      <c r="I518" s="3">
        <v>44926</v>
      </c>
      <c r="J518" t="s">
        <v>108</v>
      </c>
      <c r="K518">
        <v>41510.999000000003</v>
      </c>
      <c r="L518" t="s">
        <v>109</v>
      </c>
      <c r="M518" t="s">
        <v>110</v>
      </c>
      <c r="N518" t="s">
        <v>114</v>
      </c>
      <c r="O518" t="s">
        <v>749</v>
      </c>
      <c r="P518" t="s">
        <v>550</v>
      </c>
      <c r="Q518">
        <v>2022</v>
      </c>
      <c r="R518" t="s">
        <v>567</v>
      </c>
      <c r="S518" t="s">
        <v>568</v>
      </c>
      <c r="T518" t="s">
        <v>569</v>
      </c>
      <c r="U518" t="b">
        <v>0</v>
      </c>
      <c r="V518" t="s">
        <v>752</v>
      </c>
      <c r="W518" t="s">
        <v>571</v>
      </c>
      <c r="X518" t="s">
        <v>572</v>
      </c>
      <c r="Y518" t="s">
        <v>470</v>
      </c>
      <c r="Z518" t="s">
        <v>481</v>
      </c>
      <c r="AA518" t="s">
        <v>751</v>
      </c>
      <c r="AC518">
        <v>0</v>
      </c>
      <c r="AD518" t="s">
        <v>565</v>
      </c>
      <c r="AE518">
        <v>815.56282350000004</v>
      </c>
      <c r="AF518">
        <v>1.9646909000000001E-2</v>
      </c>
      <c r="AG518" t="s">
        <v>560</v>
      </c>
      <c r="AH518">
        <v>1</v>
      </c>
      <c r="AI518">
        <v>41510.999000000003</v>
      </c>
      <c r="AJ518" t="s">
        <v>561</v>
      </c>
      <c r="AK518" t="s">
        <v>573</v>
      </c>
      <c r="AL518" t="s">
        <v>574</v>
      </c>
      <c r="AM518">
        <v>2022</v>
      </c>
      <c r="AN518">
        <v>2020</v>
      </c>
      <c r="AO518">
        <f>IF(AND(emissions[[#This Row],[Market-based]]=0,emissions[[#This Row],[Impact Type]]="CO2E"),emissions[[#This Row],[kgCO2e]],0)/1000</f>
        <v>0.81556282350000009</v>
      </c>
      <c r="AP518">
        <f>IF(AND(emissions[[#This Row],[Market-based]]=1,OR(emissions[[#This Row],[Impact Type]]="CO2E",emissions[[#This Row],[Impact Type]]="CO2E MKT")),emissions[[#This Row],[kgCO2e]],0)/1000</f>
        <v>0</v>
      </c>
      <c r="AQ518" t="str">
        <f>_xlfn.TEXTAFTER(emissions[[#This Row],[Reporting Unit]]," &gt; ",LEN(emissions[[#This Row],[Reporting Unit]])-LEN(SUBSTITUTE(emissions[[#This Row],[Reporting Unit]],"&gt;","")))</f>
        <v>Vantage_South Africa</v>
      </c>
      <c r="AR518" t="str">
        <f>_xlfn.XLOOKUP(emissions[[#This Row],[Reporting unit name]],hierarchy!$A:$A,hierarchy!$C:$C)</f>
        <v>Labratory</v>
      </c>
    </row>
    <row r="519" spans="1:44" hidden="1" x14ac:dyDescent="0.25">
      <c r="A519">
        <v>294640</v>
      </c>
      <c r="B519" t="s">
        <v>107</v>
      </c>
      <c r="C519" t="s">
        <v>475</v>
      </c>
      <c r="D519" t="s">
        <v>548</v>
      </c>
      <c r="E519" s="3">
        <v>44562</v>
      </c>
      <c r="F519" s="3">
        <v>44926</v>
      </c>
      <c r="G519" t="s">
        <v>108</v>
      </c>
      <c r="H519" s="3">
        <v>44562</v>
      </c>
      <c r="I519" s="3">
        <v>44926</v>
      </c>
      <c r="J519" t="s">
        <v>108</v>
      </c>
      <c r="K519">
        <v>41510.999000000003</v>
      </c>
      <c r="L519" t="s">
        <v>109</v>
      </c>
      <c r="M519" t="s">
        <v>110</v>
      </c>
      <c r="N519" t="s">
        <v>114</v>
      </c>
      <c r="O519" t="s">
        <v>749</v>
      </c>
      <c r="P519" t="s">
        <v>550</v>
      </c>
      <c r="Q519">
        <v>2022</v>
      </c>
      <c r="R519" t="s">
        <v>567</v>
      </c>
      <c r="S519" t="s">
        <v>568</v>
      </c>
      <c r="T519" t="s">
        <v>569</v>
      </c>
      <c r="U519" t="b">
        <v>0</v>
      </c>
      <c r="V519" t="s">
        <v>752</v>
      </c>
      <c r="W519" t="s">
        <v>571</v>
      </c>
      <c r="X519" t="s">
        <v>572</v>
      </c>
      <c r="Y519" t="s">
        <v>470</v>
      </c>
      <c r="Z519" t="s">
        <v>481</v>
      </c>
      <c r="AA519" t="s">
        <v>751</v>
      </c>
      <c r="AC519">
        <v>1</v>
      </c>
      <c r="AD519" t="s">
        <v>565</v>
      </c>
      <c r="AE519">
        <v>815.56282350000004</v>
      </c>
      <c r="AF519">
        <v>1.9646909000000001E-2</v>
      </c>
      <c r="AG519" t="s">
        <v>560</v>
      </c>
      <c r="AH519">
        <v>1</v>
      </c>
      <c r="AI519">
        <v>41510.999000000003</v>
      </c>
      <c r="AJ519" t="s">
        <v>561</v>
      </c>
      <c r="AK519" t="s">
        <v>573</v>
      </c>
      <c r="AL519" t="s">
        <v>574</v>
      </c>
      <c r="AM519">
        <v>2022</v>
      </c>
      <c r="AN519">
        <v>2020</v>
      </c>
      <c r="AO519">
        <f>IF(AND(emissions[[#This Row],[Market-based]]=0,emissions[[#This Row],[Impact Type]]="CO2E"),emissions[[#This Row],[kgCO2e]],0)/1000</f>
        <v>0</v>
      </c>
      <c r="AP519">
        <f>IF(AND(emissions[[#This Row],[Market-based]]=1,OR(emissions[[#This Row],[Impact Type]]="CO2E",emissions[[#This Row],[Impact Type]]="CO2E MKT")),emissions[[#This Row],[kgCO2e]],0)/1000</f>
        <v>0.81556282350000009</v>
      </c>
      <c r="AQ519" t="str">
        <f>_xlfn.TEXTAFTER(emissions[[#This Row],[Reporting Unit]]," &gt; ",LEN(emissions[[#This Row],[Reporting Unit]])-LEN(SUBSTITUTE(emissions[[#This Row],[Reporting Unit]],"&gt;","")))</f>
        <v>Vantage_South Africa</v>
      </c>
      <c r="AR519" t="str">
        <f>_xlfn.XLOOKUP(emissions[[#This Row],[Reporting unit name]],hierarchy!$A:$A,hierarchy!$C:$C)</f>
        <v>Labratory</v>
      </c>
    </row>
    <row r="520" spans="1:44" hidden="1" x14ac:dyDescent="0.25">
      <c r="A520">
        <v>294640</v>
      </c>
      <c r="B520" t="s">
        <v>107</v>
      </c>
      <c r="C520" t="s">
        <v>475</v>
      </c>
      <c r="D520" t="s">
        <v>548</v>
      </c>
      <c r="E520" s="3">
        <v>44562</v>
      </c>
      <c r="F520" s="3">
        <v>44926</v>
      </c>
      <c r="G520" t="s">
        <v>108</v>
      </c>
      <c r="H520" s="3">
        <v>44562</v>
      </c>
      <c r="I520" s="3">
        <v>44926</v>
      </c>
      <c r="J520" t="s">
        <v>108</v>
      </c>
      <c r="K520">
        <v>41510.999000000003</v>
      </c>
      <c r="L520" t="s">
        <v>109</v>
      </c>
      <c r="M520" t="s">
        <v>110</v>
      </c>
      <c r="N520" t="s">
        <v>114</v>
      </c>
      <c r="O520" t="s">
        <v>749</v>
      </c>
      <c r="P520" t="s">
        <v>550</v>
      </c>
      <c r="Q520">
        <v>2022</v>
      </c>
      <c r="R520" t="s">
        <v>575</v>
      </c>
      <c r="S520" t="s">
        <v>576</v>
      </c>
      <c r="T520" t="s">
        <v>577</v>
      </c>
      <c r="U520" t="b">
        <v>0</v>
      </c>
      <c r="V520" t="s">
        <v>753</v>
      </c>
      <c r="W520" t="s">
        <v>571</v>
      </c>
      <c r="X520" t="s">
        <v>572</v>
      </c>
      <c r="Y520" t="s">
        <v>470</v>
      </c>
      <c r="Z520" t="s">
        <v>481</v>
      </c>
      <c r="AA520" t="s">
        <v>751</v>
      </c>
      <c r="AC520">
        <v>0</v>
      </c>
      <c r="AD520" t="s">
        <v>565</v>
      </c>
      <c r="AE520">
        <v>7330.5913030000002</v>
      </c>
      <c r="AF520">
        <v>0.176593951</v>
      </c>
      <c r="AG520" t="s">
        <v>560</v>
      </c>
      <c r="AH520">
        <v>1</v>
      </c>
      <c r="AI520">
        <v>41510.999000000003</v>
      </c>
      <c r="AJ520" t="s">
        <v>561</v>
      </c>
      <c r="AK520" t="s">
        <v>573</v>
      </c>
      <c r="AL520" t="s">
        <v>574</v>
      </c>
      <c r="AM520">
        <v>2022</v>
      </c>
      <c r="AN520">
        <v>2020</v>
      </c>
      <c r="AO520">
        <f>IF(AND(emissions[[#This Row],[Market-based]]=0,emissions[[#This Row],[Impact Type]]="CO2E"),emissions[[#This Row],[kgCO2e]],0)/1000</f>
        <v>7.3305913030000003</v>
      </c>
      <c r="AP520">
        <f>IF(AND(emissions[[#This Row],[Market-based]]=1,OR(emissions[[#This Row],[Impact Type]]="CO2E",emissions[[#This Row],[Impact Type]]="CO2E MKT")),emissions[[#This Row],[kgCO2e]],0)/1000</f>
        <v>0</v>
      </c>
      <c r="AQ520" t="str">
        <f>_xlfn.TEXTAFTER(emissions[[#This Row],[Reporting Unit]]," &gt; ",LEN(emissions[[#This Row],[Reporting Unit]])-LEN(SUBSTITUTE(emissions[[#This Row],[Reporting Unit]],"&gt;","")))</f>
        <v>Vantage_South Africa</v>
      </c>
      <c r="AR520" t="str">
        <f>_xlfn.XLOOKUP(emissions[[#This Row],[Reporting unit name]],hierarchy!$A:$A,hierarchy!$C:$C)</f>
        <v>Labratory</v>
      </c>
    </row>
    <row r="521" spans="1:44" hidden="1" x14ac:dyDescent="0.25">
      <c r="A521">
        <v>294640</v>
      </c>
      <c r="B521" t="s">
        <v>107</v>
      </c>
      <c r="C521" t="s">
        <v>475</v>
      </c>
      <c r="D521" t="s">
        <v>548</v>
      </c>
      <c r="E521" s="3">
        <v>44562</v>
      </c>
      <c r="F521" s="3">
        <v>44926</v>
      </c>
      <c r="G521" t="s">
        <v>108</v>
      </c>
      <c r="H521" s="3">
        <v>44562</v>
      </c>
      <c r="I521" s="3">
        <v>44926</v>
      </c>
      <c r="J521" t="s">
        <v>108</v>
      </c>
      <c r="K521">
        <v>41510.999000000003</v>
      </c>
      <c r="L521" t="s">
        <v>109</v>
      </c>
      <c r="M521" t="s">
        <v>110</v>
      </c>
      <c r="N521" t="s">
        <v>114</v>
      </c>
      <c r="O521" t="s">
        <v>749</v>
      </c>
      <c r="P521" t="s">
        <v>550</v>
      </c>
      <c r="Q521">
        <v>2022</v>
      </c>
      <c r="R521" t="s">
        <v>575</v>
      </c>
      <c r="S521" t="s">
        <v>576</v>
      </c>
      <c r="T521" t="s">
        <v>577</v>
      </c>
      <c r="U521" t="b">
        <v>0</v>
      </c>
      <c r="V521" t="s">
        <v>753</v>
      </c>
      <c r="W521" t="s">
        <v>571</v>
      </c>
      <c r="X521" t="s">
        <v>572</v>
      </c>
      <c r="Y521" t="s">
        <v>470</v>
      </c>
      <c r="Z521" t="s">
        <v>481</v>
      </c>
      <c r="AA521" t="s">
        <v>751</v>
      </c>
      <c r="AC521">
        <v>1</v>
      </c>
      <c r="AD521" t="s">
        <v>565</v>
      </c>
      <c r="AE521">
        <v>7330.5913030000002</v>
      </c>
      <c r="AF521">
        <v>0.176593951</v>
      </c>
      <c r="AG521" t="s">
        <v>560</v>
      </c>
      <c r="AH521">
        <v>1</v>
      </c>
      <c r="AI521">
        <v>41510.999000000003</v>
      </c>
      <c r="AJ521" t="s">
        <v>561</v>
      </c>
      <c r="AK521" t="s">
        <v>573</v>
      </c>
      <c r="AL521" t="s">
        <v>574</v>
      </c>
      <c r="AM521">
        <v>2022</v>
      </c>
      <c r="AN521">
        <v>2020</v>
      </c>
      <c r="AO521">
        <f>IF(AND(emissions[[#This Row],[Market-based]]=0,emissions[[#This Row],[Impact Type]]="CO2E"),emissions[[#This Row],[kgCO2e]],0)/1000</f>
        <v>0</v>
      </c>
      <c r="AP521">
        <f>IF(AND(emissions[[#This Row],[Market-based]]=1,OR(emissions[[#This Row],[Impact Type]]="CO2E",emissions[[#This Row],[Impact Type]]="CO2E MKT")),emissions[[#This Row],[kgCO2e]],0)/1000</f>
        <v>7.3305913030000003</v>
      </c>
      <c r="AQ521" t="str">
        <f>_xlfn.TEXTAFTER(emissions[[#This Row],[Reporting Unit]]," &gt; ",LEN(emissions[[#This Row],[Reporting Unit]])-LEN(SUBSTITUTE(emissions[[#This Row],[Reporting Unit]],"&gt;","")))</f>
        <v>Vantage_South Africa</v>
      </c>
      <c r="AR521" t="str">
        <f>_xlfn.XLOOKUP(emissions[[#This Row],[Reporting unit name]],hierarchy!$A:$A,hierarchy!$C:$C)</f>
        <v>Labratory</v>
      </c>
    </row>
    <row r="522" spans="1:44" hidden="1" x14ac:dyDescent="0.25">
      <c r="A522">
        <v>294640</v>
      </c>
      <c r="B522" t="s">
        <v>107</v>
      </c>
      <c r="C522" t="s">
        <v>475</v>
      </c>
      <c r="D522" t="s">
        <v>548</v>
      </c>
      <c r="E522" s="3">
        <v>44562</v>
      </c>
      <c r="F522" s="3">
        <v>44926</v>
      </c>
      <c r="G522" t="s">
        <v>108</v>
      </c>
      <c r="H522" s="3">
        <v>44562</v>
      </c>
      <c r="I522" s="3">
        <v>44926</v>
      </c>
      <c r="J522" t="s">
        <v>108</v>
      </c>
      <c r="K522">
        <v>41510.999000000003</v>
      </c>
      <c r="L522" t="s">
        <v>109</v>
      </c>
      <c r="M522" t="s">
        <v>110</v>
      </c>
      <c r="N522" t="s">
        <v>114</v>
      </c>
      <c r="O522" t="s">
        <v>749</v>
      </c>
      <c r="P522" t="s">
        <v>550</v>
      </c>
      <c r="Q522">
        <v>2022</v>
      </c>
      <c r="R522" t="s">
        <v>579</v>
      </c>
      <c r="S522" t="s">
        <v>580</v>
      </c>
      <c r="T522" t="s">
        <v>581</v>
      </c>
      <c r="U522" t="b">
        <v>0</v>
      </c>
      <c r="V522" t="s">
        <v>754</v>
      </c>
      <c r="W522" t="s">
        <v>571</v>
      </c>
      <c r="X522" t="s">
        <v>572</v>
      </c>
      <c r="Y522" t="s">
        <v>470</v>
      </c>
      <c r="Z522" t="s">
        <v>481</v>
      </c>
      <c r="AA522" t="s">
        <v>751</v>
      </c>
      <c r="AC522">
        <v>0</v>
      </c>
      <c r="AD522" t="s">
        <v>565</v>
      </c>
      <c r="AE522">
        <v>4288.0861969999996</v>
      </c>
      <c r="AF522" t="s">
        <v>559</v>
      </c>
      <c r="AG522" t="s">
        <v>560</v>
      </c>
      <c r="AH522">
        <v>1</v>
      </c>
      <c r="AI522">
        <v>41510.999000000003</v>
      </c>
      <c r="AJ522" t="s">
        <v>561</v>
      </c>
      <c r="AK522" t="s">
        <v>562</v>
      </c>
      <c r="AL522" t="s">
        <v>563</v>
      </c>
      <c r="AM522">
        <v>2022</v>
      </c>
      <c r="AN522">
        <v>2020</v>
      </c>
      <c r="AO522">
        <f>IF(AND(emissions[[#This Row],[Market-based]]=0,emissions[[#This Row],[Impact Type]]="CO2E"),emissions[[#This Row],[kgCO2e]],0)/1000</f>
        <v>4.2880861969999993</v>
      </c>
      <c r="AP522">
        <f>IF(AND(emissions[[#This Row],[Market-based]]=1,OR(emissions[[#This Row],[Impact Type]]="CO2E",emissions[[#This Row],[Impact Type]]="CO2E MKT")),emissions[[#This Row],[kgCO2e]],0)/1000</f>
        <v>0</v>
      </c>
      <c r="AQ522" t="str">
        <f>_xlfn.TEXTAFTER(emissions[[#This Row],[Reporting Unit]]," &gt; ",LEN(emissions[[#This Row],[Reporting Unit]])-LEN(SUBSTITUTE(emissions[[#This Row],[Reporting Unit]],"&gt;","")))</f>
        <v>Vantage_South Africa</v>
      </c>
      <c r="AR522" t="str">
        <f>_xlfn.XLOOKUP(emissions[[#This Row],[Reporting unit name]],hierarchy!$A:$A,hierarchy!$C:$C)</f>
        <v>Labratory</v>
      </c>
    </row>
    <row r="523" spans="1:44" hidden="1" x14ac:dyDescent="0.25">
      <c r="A523">
        <v>294640</v>
      </c>
      <c r="B523" t="s">
        <v>107</v>
      </c>
      <c r="C523" t="s">
        <v>475</v>
      </c>
      <c r="D523" t="s">
        <v>548</v>
      </c>
      <c r="E523" s="3">
        <v>44562</v>
      </c>
      <c r="F523" s="3">
        <v>44926</v>
      </c>
      <c r="G523" t="s">
        <v>108</v>
      </c>
      <c r="H523" s="3">
        <v>44562</v>
      </c>
      <c r="I523" s="3">
        <v>44926</v>
      </c>
      <c r="J523" t="s">
        <v>108</v>
      </c>
      <c r="K523">
        <v>41510.999000000003</v>
      </c>
      <c r="L523" t="s">
        <v>109</v>
      </c>
      <c r="M523" t="s">
        <v>110</v>
      </c>
      <c r="N523" t="s">
        <v>114</v>
      </c>
      <c r="O523" t="s">
        <v>749</v>
      </c>
      <c r="P523" t="s">
        <v>550</v>
      </c>
      <c r="Q523">
        <v>2022</v>
      </c>
      <c r="R523" t="s">
        <v>579</v>
      </c>
      <c r="S523" t="s">
        <v>580</v>
      </c>
      <c r="T523" t="s">
        <v>581</v>
      </c>
      <c r="U523" t="b">
        <v>0</v>
      </c>
      <c r="V523" t="s">
        <v>754</v>
      </c>
      <c r="W523" t="s">
        <v>571</v>
      </c>
      <c r="X523" t="s">
        <v>572</v>
      </c>
      <c r="Y523" t="s">
        <v>470</v>
      </c>
      <c r="Z523" t="s">
        <v>481</v>
      </c>
      <c r="AA523" t="s">
        <v>751</v>
      </c>
      <c r="AC523">
        <v>1</v>
      </c>
      <c r="AD523" t="s">
        <v>565</v>
      </c>
      <c r="AE523">
        <v>4288.0861969999996</v>
      </c>
      <c r="AF523" t="s">
        <v>559</v>
      </c>
      <c r="AG523" t="s">
        <v>560</v>
      </c>
      <c r="AH523">
        <v>1</v>
      </c>
      <c r="AI523">
        <v>41510.999000000003</v>
      </c>
      <c r="AJ523" t="s">
        <v>561</v>
      </c>
      <c r="AK523" t="s">
        <v>562</v>
      </c>
      <c r="AL523" t="s">
        <v>563</v>
      </c>
      <c r="AM523">
        <v>2022</v>
      </c>
      <c r="AN523">
        <v>2020</v>
      </c>
      <c r="AO523">
        <f>IF(AND(emissions[[#This Row],[Market-based]]=0,emissions[[#This Row],[Impact Type]]="CO2E"),emissions[[#This Row],[kgCO2e]],0)/1000</f>
        <v>0</v>
      </c>
      <c r="AP523">
        <f>IF(AND(emissions[[#This Row],[Market-based]]=1,OR(emissions[[#This Row],[Impact Type]]="CO2E",emissions[[#This Row],[Impact Type]]="CO2E MKT")),emissions[[#This Row],[kgCO2e]],0)/1000</f>
        <v>4.2880861969999993</v>
      </c>
      <c r="AQ523" t="str">
        <f>_xlfn.TEXTAFTER(emissions[[#This Row],[Reporting Unit]]," &gt; ",LEN(emissions[[#This Row],[Reporting Unit]])-LEN(SUBSTITUTE(emissions[[#This Row],[Reporting Unit]],"&gt;","")))</f>
        <v>Vantage_South Africa</v>
      </c>
      <c r="AR523" t="str">
        <f>_xlfn.XLOOKUP(emissions[[#This Row],[Reporting unit name]],hierarchy!$A:$A,hierarchy!$C:$C)</f>
        <v>Labratory</v>
      </c>
    </row>
    <row r="524" spans="1:44" hidden="1" x14ac:dyDescent="0.25">
      <c r="A524">
        <v>1590451</v>
      </c>
      <c r="B524" t="s">
        <v>107</v>
      </c>
      <c r="C524" t="s">
        <v>475</v>
      </c>
      <c r="D524" t="s">
        <v>548</v>
      </c>
      <c r="E524" s="3">
        <v>44562</v>
      </c>
      <c r="F524" s="3">
        <v>44926</v>
      </c>
      <c r="G524" t="s">
        <v>116</v>
      </c>
      <c r="H524" s="3">
        <v>44562</v>
      </c>
      <c r="I524" s="3">
        <v>44926</v>
      </c>
      <c r="J524" t="s">
        <v>117</v>
      </c>
      <c r="K524">
        <v>4.8781994800000001</v>
      </c>
      <c r="L524" t="s">
        <v>118</v>
      </c>
      <c r="M524" t="s">
        <v>82</v>
      </c>
      <c r="N524" t="s">
        <v>120</v>
      </c>
      <c r="O524" t="s">
        <v>631</v>
      </c>
      <c r="P524" t="s">
        <v>631</v>
      </c>
      <c r="Q524">
        <v>2022</v>
      </c>
      <c r="R524" t="s">
        <v>619</v>
      </c>
      <c r="S524" t="s">
        <v>620</v>
      </c>
      <c r="T524" t="s">
        <v>553</v>
      </c>
      <c r="U524" t="b">
        <v>0</v>
      </c>
      <c r="V524" t="s">
        <v>621</v>
      </c>
      <c r="W524" t="s">
        <v>587</v>
      </c>
      <c r="X524" t="s">
        <v>556</v>
      </c>
      <c r="AC524">
        <v>0</v>
      </c>
      <c r="AD524" t="s">
        <v>565</v>
      </c>
      <c r="AE524">
        <v>6975.8252560000001</v>
      </c>
      <c r="AF524">
        <v>1430</v>
      </c>
      <c r="AG524" t="s">
        <v>622</v>
      </c>
      <c r="AH524">
        <v>1</v>
      </c>
      <c r="AI524">
        <v>4.8781994800000001</v>
      </c>
      <c r="AJ524" t="s">
        <v>561</v>
      </c>
      <c r="AK524" t="s">
        <v>623</v>
      </c>
      <c r="AL524" t="s">
        <v>624</v>
      </c>
      <c r="AM524">
        <v>2022</v>
      </c>
      <c r="AN524">
        <v>2007</v>
      </c>
      <c r="AO524">
        <f>IF(AND(emissions[[#This Row],[Market-based]]=0,emissions[[#This Row],[Impact Type]]="CO2E"),emissions[[#This Row],[kgCO2e]],0)/1000</f>
        <v>6.9758252560000003</v>
      </c>
      <c r="AP524">
        <f>IF(AND(emissions[[#This Row],[Market-based]]=1,OR(emissions[[#This Row],[Impact Type]]="CO2E",emissions[[#This Row],[Impact Type]]="CO2E MKT")),emissions[[#This Row],[kgCO2e]],0)/1000</f>
        <v>0</v>
      </c>
      <c r="AQ524" t="str">
        <f>_xlfn.TEXTAFTER(emissions[[#This Row],[Reporting Unit]]," &gt; ",LEN(emissions[[#This Row],[Reporting Unit]])-LEN(SUBSTITUTE(emissions[[#This Row],[Reporting Unit]],"&gt;","")))</f>
        <v>Vantage_South Africa</v>
      </c>
      <c r="AR524" t="str">
        <f>_xlfn.XLOOKUP(emissions[[#This Row],[Reporting unit name]],hierarchy!$A:$A,hierarchy!$C:$C)</f>
        <v>Labratory</v>
      </c>
    </row>
    <row r="525" spans="1:44" hidden="1" x14ac:dyDescent="0.25">
      <c r="A525">
        <v>1590451</v>
      </c>
      <c r="B525" t="s">
        <v>107</v>
      </c>
      <c r="C525" t="s">
        <v>475</v>
      </c>
      <c r="D525" t="s">
        <v>548</v>
      </c>
      <c r="E525" s="3">
        <v>44562</v>
      </c>
      <c r="F525" s="3">
        <v>44926</v>
      </c>
      <c r="G525" t="s">
        <v>116</v>
      </c>
      <c r="H525" s="3">
        <v>44562</v>
      </c>
      <c r="I525" s="3">
        <v>44926</v>
      </c>
      <c r="J525" t="s">
        <v>117</v>
      </c>
      <c r="K525">
        <v>4.8781994800000001</v>
      </c>
      <c r="L525" t="s">
        <v>118</v>
      </c>
      <c r="M525" t="s">
        <v>82</v>
      </c>
      <c r="N525" t="s">
        <v>120</v>
      </c>
      <c r="O525" t="s">
        <v>631</v>
      </c>
      <c r="P525" t="s">
        <v>631</v>
      </c>
      <c r="Q525">
        <v>2022</v>
      </c>
      <c r="R525" t="s">
        <v>619</v>
      </c>
      <c r="S525" t="s">
        <v>620</v>
      </c>
      <c r="T525" t="s">
        <v>553</v>
      </c>
      <c r="U525" t="b">
        <v>0</v>
      </c>
      <c r="V525" t="s">
        <v>621</v>
      </c>
      <c r="W525" t="s">
        <v>587</v>
      </c>
      <c r="X525" t="s">
        <v>556</v>
      </c>
      <c r="AC525">
        <v>1</v>
      </c>
      <c r="AD525" t="s">
        <v>565</v>
      </c>
      <c r="AE525">
        <v>6975.8252560000001</v>
      </c>
      <c r="AF525">
        <v>1430</v>
      </c>
      <c r="AG525" t="s">
        <v>622</v>
      </c>
      <c r="AH525">
        <v>1</v>
      </c>
      <c r="AI525">
        <v>4.8781994800000001</v>
      </c>
      <c r="AJ525" t="s">
        <v>561</v>
      </c>
      <c r="AK525" t="s">
        <v>623</v>
      </c>
      <c r="AL525" t="s">
        <v>624</v>
      </c>
      <c r="AM525">
        <v>2022</v>
      </c>
      <c r="AN525">
        <v>2007</v>
      </c>
      <c r="AO525">
        <f>IF(AND(emissions[[#This Row],[Market-based]]=0,emissions[[#This Row],[Impact Type]]="CO2E"),emissions[[#This Row],[kgCO2e]],0)/1000</f>
        <v>0</v>
      </c>
      <c r="AP525">
        <f>IF(AND(emissions[[#This Row],[Market-based]]=1,OR(emissions[[#This Row],[Impact Type]]="CO2E",emissions[[#This Row],[Impact Type]]="CO2E MKT")),emissions[[#This Row],[kgCO2e]],0)/1000</f>
        <v>6.9758252560000003</v>
      </c>
      <c r="AQ525" t="str">
        <f>_xlfn.TEXTAFTER(emissions[[#This Row],[Reporting Unit]]," &gt; ",LEN(emissions[[#This Row],[Reporting Unit]])-LEN(SUBSTITUTE(emissions[[#This Row],[Reporting Unit]],"&gt;","")))</f>
        <v>Vantage_South Africa</v>
      </c>
      <c r="AR525" t="str">
        <f>_xlfn.XLOOKUP(emissions[[#This Row],[Reporting unit name]],hierarchy!$A:$A,hierarchy!$C:$C)</f>
        <v>Labratory</v>
      </c>
    </row>
    <row r="526" spans="1:44" hidden="1" x14ac:dyDescent="0.25">
      <c r="A526">
        <v>294642</v>
      </c>
      <c r="B526" t="s">
        <v>107</v>
      </c>
      <c r="C526" t="s">
        <v>475</v>
      </c>
      <c r="D526" t="s">
        <v>548</v>
      </c>
      <c r="E526" s="3">
        <v>44562</v>
      </c>
      <c r="F526" s="3">
        <v>44926</v>
      </c>
      <c r="G526" t="s">
        <v>121</v>
      </c>
      <c r="H526" s="3">
        <v>44562</v>
      </c>
      <c r="I526" s="3">
        <v>44926</v>
      </c>
      <c r="J526" t="s">
        <v>122</v>
      </c>
      <c r="K526">
        <v>228</v>
      </c>
      <c r="L526" t="s">
        <v>118</v>
      </c>
      <c r="M526" t="s">
        <v>82</v>
      </c>
      <c r="N526" t="s">
        <v>124</v>
      </c>
      <c r="O526" t="s">
        <v>755</v>
      </c>
      <c r="P526" t="s">
        <v>550</v>
      </c>
      <c r="Q526">
        <v>2022</v>
      </c>
      <c r="R526" t="s">
        <v>742</v>
      </c>
      <c r="S526" t="s">
        <v>122</v>
      </c>
      <c r="T526" t="s">
        <v>553</v>
      </c>
      <c r="U526" t="b">
        <v>0</v>
      </c>
      <c r="V526" t="s">
        <v>743</v>
      </c>
      <c r="W526" t="s">
        <v>587</v>
      </c>
      <c r="X526" t="s">
        <v>556</v>
      </c>
      <c r="AC526">
        <v>0</v>
      </c>
      <c r="AD526" t="s">
        <v>558</v>
      </c>
      <c r="AE526">
        <v>0.51983999999999997</v>
      </c>
      <c r="AF526">
        <v>2.2799999999999998</v>
      </c>
      <c r="AG526" t="s">
        <v>756</v>
      </c>
      <c r="AH526">
        <v>1E-3</v>
      </c>
      <c r="AI526">
        <v>0.22800000000000001</v>
      </c>
      <c r="AJ526" t="s">
        <v>561</v>
      </c>
      <c r="AK526" t="s">
        <v>589</v>
      </c>
      <c r="AL526" t="s">
        <v>590</v>
      </c>
      <c r="AM526">
        <v>2022</v>
      </c>
      <c r="AN526">
        <v>2020</v>
      </c>
      <c r="AO526">
        <f>IF(AND(emissions[[#This Row],[Market-based]]=0,emissions[[#This Row],[Impact Type]]="CO2E"),emissions[[#This Row],[kgCO2e]],0)/1000</f>
        <v>0</v>
      </c>
      <c r="AP526">
        <f>IF(AND(emissions[[#This Row],[Market-based]]=1,OR(emissions[[#This Row],[Impact Type]]="CO2E",emissions[[#This Row],[Impact Type]]="CO2E MKT")),emissions[[#This Row],[kgCO2e]],0)/1000</f>
        <v>0</v>
      </c>
      <c r="AQ526" t="str">
        <f>_xlfn.TEXTAFTER(emissions[[#This Row],[Reporting Unit]]," &gt; ",LEN(emissions[[#This Row],[Reporting Unit]])-LEN(SUBSTITUTE(emissions[[#This Row],[Reporting Unit]],"&gt;","")))</f>
        <v>Vantage_South Africa</v>
      </c>
      <c r="AR526" t="str">
        <f>_xlfn.XLOOKUP(emissions[[#This Row],[Reporting unit name]],hierarchy!$A:$A,hierarchy!$C:$C)</f>
        <v>Labratory</v>
      </c>
    </row>
    <row r="527" spans="1:44" hidden="1" x14ac:dyDescent="0.25">
      <c r="A527">
        <v>294642</v>
      </c>
      <c r="B527" t="s">
        <v>107</v>
      </c>
      <c r="C527" t="s">
        <v>475</v>
      </c>
      <c r="D527" t="s">
        <v>548</v>
      </c>
      <c r="E527" s="3">
        <v>44562</v>
      </c>
      <c r="F527" s="3">
        <v>44926</v>
      </c>
      <c r="G527" t="s">
        <v>121</v>
      </c>
      <c r="H527" s="3">
        <v>44562</v>
      </c>
      <c r="I527" s="3">
        <v>44926</v>
      </c>
      <c r="J527" t="s">
        <v>122</v>
      </c>
      <c r="K527">
        <v>228</v>
      </c>
      <c r="L527" t="s">
        <v>118</v>
      </c>
      <c r="M527" t="s">
        <v>82</v>
      </c>
      <c r="N527" t="s">
        <v>124</v>
      </c>
      <c r="O527" t="s">
        <v>755</v>
      </c>
      <c r="P527" t="s">
        <v>550</v>
      </c>
      <c r="Q527">
        <v>2022</v>
      </c>
      <c r="R527" t="s">
        <v>742</v>
      </c>
      <c r="S527" t="s">
        <v>122</v>
      </c>
      <c r="T527" t="s">
        <v>553</v>
      </c>
      <c r="U527" t="b">
        <v>0</v>
      </c>
      <c r="V527" t="s">
        <v>743</v>
      </c>
      <c r="W527" t="s">
        <v>587</v>
      </c>
      <c r="X527" t="s">
        <v>556</v>
      </c>
      <c r="AC527">
        <v>0</v>
      </c>
      <c r="AD527" t="s">
        <v>564</v>
      </c>
      <c r="AE527">
        <v>669.22104000000002</v>
      </c>
      <c r="AF527">
        <v>2935.18</v>
      </c>
      <c r="AG527" t="s">
        <v>756</v>
      </c>
      <c r="AH527">
        <v>1E-3</v>
      </c>
      <c r="AI527">
        <v>0.22800000000000001</v>
      </c>
      <c r="AJ527" t="s">
        <v>561</v>
      </c>
      <c r="AK527" t="s">
        <v>589</v>
      </c>
      <c r="AL527" t="s">
        <v>590</v>
      </c>
      <c r="AM527">
        <v>2022</v>
      </c>
      <c r="AN527">
        <v>2020</v>
      </c>
      <c r="AO527">
        <f>IF(AND(emissions[[#This Row],[Market-based]]=0,emissions[[#This Row],[Impact Type]]="CO2E"),emissions[[#This Row],[kgCO2e]],0)/1000</f>
        <v>0</v>
      </c>
      <c r="AP527">
        <f>IF(AND(emissions[[#This Row],[Market-based]]=1,OR(emissions[[#This Row],[Impact Type]]="CO2E",emissions[[#This Row],[Impact Type]]="CO2E MKT")),emissions[[#This Row],[kgCO2e]],0)/1000</f>
        <v>0</v>
      </c>
      <c r="AQ527" t="str">
        <f>_xlfn.TEXTAFTER(emissions[[#This Row],[Reporting Unit]]," &gt; ",LEN(emissions[[#This Row],[Reporting Unit]])-LEN(SUBSTITUTE(emissions[[#This Row],[Reporting Unit]],"&gt;","")))</f>
        <v>Vantage_South Africa</v>
      </c>
      <c r="AR527" t="str">
        <f>_xlfn.XLOOKUP(emissions[[#This Row],[Reporting unit name]],hierarchy!$A:$A,hierarchy!$C:$C)</f>
        <v>Labratory</v>
      </c>
    </row>
    <row r="528" spans="1:44" hidden="1" x14ac:dyDescent="0.25">
      <c r="A528">
        <v>294642</v>
      </c>
      <c r="B528" t="s">
        <v>107</v>
      </c>
      <c r="C528" t="s">
        <v>475</v>
      </c>
      <c r="D528" t="s">
        <v>548</v>
      </c>
      <c r="E528" s="3">
        <v>44562</v>
      </c>
      <c r="F528" s="3">
        <v>44926</v>
      </c>
      <c r="G528" t="s">
        <v>121</v>
      </c>
      <c r="H528" s="3">
        <v>44562</v>
      </c>
      <c r="I528" s="3">
        <v>44926</v>
      </c>
      <c r="J528" t="s">
        <v>122</v>
      </c>
      <c r="K528">
        <v>228</v>
      </c>
      <c r="L528" t="s">
        <v>118</v>
      </c>
      <c r="M528" t="s">
        <v>82</v>
      </c>
      <c r="N528" t="s">
        <v>124</v>
      </c>
      <c r="O528" t="s">
        <v>755</v>
      </c>
      <c r="P528" t="s">
        <v>550</v>
      </c>
      <c r="Q528">
        <v>2022</v>
      </c>
      <c r="R528" t="s">
        <v>742</v>
      </c>
      <c r="S528" t="s">
        <v>122</v>
      </c>
      <c r="T528" t="s">
        <v>553</v>
      </c>
      <c r="U528" t="b">
        <v>0</v>
      </c>
      <c r="V528" t="s">
        <v>743</v>
      </c>
      <c r="W528" t="s">
        <v>587</v>
      </c>
      <c r="X528" t="s">
        <v>556</v>
      </c>
      <c r="AC528">
        <v>0</v>
      </c>
      <c r="AD528" t="s">
        <v>565</v>
      </c>
      <c r="AE528">
        <v>670.15812000000005</v>
      </c>
      <c r="AF528">
        <v>2939.29</v>
      </c>
      <c r="AG528" t="s">
        <v>756</v>
      </c>
      <c r="AH528">
        <v>1E-3</v>
      </c>
      <c r="AI528">
        <v>0.22800000000000001</v>
      </c>
      <c r="AJ528" t="s">
        <v>561</v>
      </c>
      <c r="AK528" t="s">
        <v>589</v>
      </c>
      <c r="AL528" t="s">
        <v>590</v>
      </c>
      <c r="AM528">
        <v>2022</v>
      </c>
      <c r="AN528">
        <v>2020</v>
      </c>
      <c r="AO528">
        <f>IF(AND(emissions[[#This Row],[Market-based]]=0,emissions[[#This Row],[Impact Type]]="CO2E"),emissions[[#This Row],[kgCO2e]],0)/1000</f>
        <v>0.67015812000000008</v>
      </c>
      <c r="AP528">
        <f>IF(AND(emissions[[#This Row],[Market-based]]=1,OR(emissions[[#This Row],[Impact Type]]="CO2E",emissions[[#This Row],[Impact Type]]="CO2E MKT")),emissions[[#This Row],[kgCO2e]],0)/1000</f>
        <v>0</v>
      </c>
      <c r="AQ528" t="str">
        <f>_xlfn.TEXTAFTER(emissions[[#This Row],[Reporting Unit]]," &gt; ",LEN(emissions[[#This Row],[Reporting Unit]])-LEN(SUBSTITUTE(emissions[[#This Row],[Reporting Unit]],"&gt;","")))</f>
        <v>Vantage_South Africa</v>
      </c>
      <c r="AR528" t="str">
        <f>_xlfn.XLOOKUP(emissions[[#This Row],[Reporting unit name]],hierarchy!$A:$A,hierarchy!$C:$C)</f>
        <v>Labratory</v>
      </c>
    </row>
    <row r="529" spans="1:44" hidden="1" x14ac:dyDescent="0.25">
      <c r="A529">
        <v>294642</v>
      </c>
      <c r="B529" t="s">
        <v>107</v>
      </c>
      <c r="C529" t="s">
        <v>475</v>
      </c>
      <c r="D529" t="s">
        <v>548</v>
      </c>
      <c r="E529" s="3">
        <v>44562</v>
      </c>
      <c r="F529" s="3">
        <v>44926</v>
      </c>
      <c r="G529" t="s">
        <v>121</v>
      </c>
      <c r="H529" s="3">
        <v>44562</v>
      </c>
      <c r="I529" s="3">
        <v>44926</v>
      </c>
      <c r="J529" t="s">
        <v>122</v>
      </c>
      <c r="K529">
        <v>228</v>
      </c>
      <c r="L529" t="s">
        <v>118</v>
      </c>
      <c r="M529" t="s">
        <v>82</v>
      </c>
      <c r="N529" t="s">
        <v>124</v>
      </c>
      <c r="O529" t="s">
        <v>755</v>
      </c>
      <c r="P529" t="s">
        <v>550</v>
      </c>
      <c r="Q529">
        <v>2022</v>
      </c>
      <c r="R529" t="s">
        <v>742</v>
      </c>
      <c r="S529" t="s">
        <v>122</v>
      </c>
      <c r="T529" t="s">
        <v>553</v>
      </c>
      <c r="U529" t="b">
        <v>0</v>
      </c>
      <c r="V529" t="s">
        <v>743</v>
      </c>
      <c r="W529" t="s">
        <v>587</v>
      </c>
      <c r="X529" t="s">
        <v>556</v>
      </c>
      <c r="AC529">
        <v>0</v>
      </c>
      <c r="AD529" t="s">
        <v>566</v>
      </c>
      <c r="AE529">
        <v>0.41724</v>
      </c>
      <c r="AF529">
        <v>1.83</v>
      </c>
      <c r="AG529" t="s">
        <v>756</v>
      </c>
      <c r="AH529">
        <v>1E-3</v>
      </c>
      <c r="AI529">
        <v>0.22800000000000001</v>
      </c>
      <c r="AJ529" t="s">
        <v>561</v>
      </c>
      <c r="AK529" t="s">
        <v>589</v>
      </c>
      <c r="AL529" t="s">
        <v>590</v>
      </c>
      <c r="AM529">
        <v>2022</v>
      </c>
      <c r="AN529">
        <v>2020</v>
      </c>
      <c r="AO529">
        <f>IF(AND(emissions[[#This Row],[Market-based]]=0,emissions[[#This Row],[Impact Type]]="CO2E"),emissions[[#This Row],[kgCO2e]],0)/1000</f>
        <v>0</v>
      </c>
      <c r="AP529">
        <f>IF(AND(emissions[[#This Row],[Market-based]]=1,OR(emissions[[#This Row],[Impact Type]]="CO2E",emissions[[#This Row],[Impact Type]]="CO2E MKT")),emissions[[#This Row],[kgCO2e]],0)/1000</f>
        <v>0</v>
      </c>
      <c r="AQ529" t="str">
        <f>_xlfn.TEXTAFTER(emissions[[#This Row],[Reporting Unit]]," &gt; ",LEN(emissions[[#This Row],[Reporting Unit]])-LEN(SUBSTITUTE(emissions[[#This Row],[Reporting Unit]],"&gt;","")))</f>
        <v>Vantage_South Africa</v>
      </c>
      <c r="AR529" t="str">
        <f>_xlfn.XLOOKUP(emissions[[#This Row],[Reporting unit name]],hierarchy!$A:$A,hierarchy!$C:$C)</f>
        <v>Labratory</v>
      </c>
    </row>
    <row r="530" spans="1:44" hidden="1" x14ac:dyDescent="0.25">
      <c r="A530">
        <v>294642</v>
      </c>
      <c r="B530" t="s">
        <v>107</v>
      </c>
      <c r="C530" t="s">
        <v>475</v>
      </c>
      <c r="D530" t="s">
        <v>548</v>
      </c>
      <c r="E530" s="3">
        <v>44562</v>
      </c>
      <c r="F530" s="3">
        <v>44926</v>
      </c>
      <c r="G530" t="s">
        <v>121</v>
      </c>
      <c r="H530" s="3">
        <v>44562</v>
      </c>
      <c r="I530" s="3">
        <v>44926</v>
      </c>
      <c r="J530" t="s">
        <v>122</v>
      </c>
      <c r="K530">
        <v>228</v>
      </c>
      <c r="L530" t="s">
        <v>118</v>
      </c>
      <c r="M530" t="s">
        <v>82</v>
      </c>
      <c r="N530" t="s">
        <v>124</v>
      </c>
      <c r="O530" t="s">
        <v>755</v>
      </c>
      <c r="P530" t="s">
        <v>550</v>
      </c>
      <c r="Q530">
        <v>2022</v>
      </c>
      <c r="R530" t="s">
        <v>742</v>
      </c>
      <c r="S530" t="s">
        <v>122</v>
      </c>
      <c r="T530" t="s">
        <v>553</v>
      </c>
      <c r="U530" t="b">
        <v>0</v>
      </c>
      <c r="V530" t="s">
        <v>743</v>
      </c>
      <c r="W530" t="s">
        <v>587</v>
      </c>
      <c r="X530" t="s">
        <v>556</v>
      </c>
      <c r="AC530">
        <v>1</v>
      </c>
      <c r="AD530" t="s">
        <v>558</v>
      </c>
      <c r="AE530">
        <v>0.51983999999999997</v>
      </c>
      <c r="AF530">
        <v>2.2799999999999998</v>
      </c>
      <c r="AG530" t="s">
        <v>756</v>
      </c>
      <c r="AH530">
        <v>1E-3</v>
      </c>
      <c r="AI530">
        <v>0.22800000000000001</v>
      </c>
      <c r="AJ530" t="s">
        <v>561</v>
      </c>
      <c r="AK530" t="s">
        <v>589</v>
      </c>
      <c r="AL530" t="s">
        <v>590</v>
      </c>
      <c r="AM530">
        <v>2022</v>
      </c>
      <c r="AN530">
        <v>2020</v>
      </c>
      <c r="AO530">
        <f>IF(AND(emissions[[#This Row],[Market-based]]=0,emissions[[#This Row],[Impact Type]]="CO2E"),emissions[[#This Row],[kgCO2e]],0)/1000</f>
        <v>0</v>
      </c>
      <c r="AP530">
        <f>IF(AND(emissions[[#This Row],[Market-based]]=1,OR(emissions[[#This Row],[Impact Type]]="CO2E",emissions[[#This Row],[Impact Type]]="CO2E MKT")),emissions[[#This Row],[kgCO2e]],0)/1000</f>
        <v>0</v>
      </c>
      <c r="AQ530" t="str">
        <f>_xlfn.TEXTAFTER(emissions[[#This Row],[Reporting Unit]]," &gt; ",LEN(emissions[[#This Row],[Reporting Unit]])-LEN(SUBSTITUTE(emissions[[#This Row],[Reporting Unit]],"&gt;","")))</f>
        <v>Vantage_South Africa</v>
      </c>
      <c r="AR530" t="str">
        <f>_xlfn.XLOOKUP(emissions[[#This Row],[Reporting unit name]],hierarchy!$A:$A,hierarchy!$C:$C)</f>
        <v>Labratory</v>
      </c>
    </row>
    <row r="531" spans="1:44" hidden="1" x14ac:dyDescent="0.25">
      <c r="A531">
        <v>294642</v>
      </c>
      <c r="B531" t="s">
        <v>107</v>
      </c>
      <c r="C531" t="s">
        <v>475</v>
      </c>
      <c r="D531" t="s">
        <v>548</v>
      </c>
      <c r="E531" s="3">
        <v>44562</v>
      </c>
      <c r="F531" s="3">
        <v>44926</v>
      </c>
      <c r="G531" t="s">
        <v>121</v>
      </c>
      <c r="H531" s="3">
        <v>44562</v>
      </c>
      <c r="I531" s="3">
        <v>44926</v>
      </c>
      <c r="J531" t="s">
        <v>122</v>
      </c>
      <c r="K531">
        <v>228</v>
      </c>
      <c r="L531" t="s">
        <v>118</v>
      </c>
      <c r="M531" t="s">
        <v>82</v>
      </c>
      <c r="N531" t="s">
        <v>124</v>
      </c>
      <c r="O531" t="s">
        <v>755</v>
      </c>
      <c r="P531" t="s">
        <v>550</v>
      </c>
      <c r="Q531">
        <v>2022</v>
      </c>
      <c r="R531" t="s">
        <v>742</v>
      </c>
      <c r="S531" t="s">
        <v>122</v>
      </c>
      <c r="T531" t="s">
        <v>553</v>
      </c>
      <c r="U531" t="b">
        <v>0</v>
      </c>
      <c r="V531" t="s">
        <v>743</v>
      </c>
      <c r="W531" t="s">
        <v>587</v>
      </c>
      <c r="X531" t="s">
        <v>556</v>
      </c>
      <c r="AC531">
        <v>1</v>
      </c>
      <c r="AD531" t="s">
        <v>564</v>
      </c>
      <c r="AE531">
        <v>669.22104000000002</v>
      </c>
      <c r="AF531">
        <v>2935.18</v>
      </c>
      <c r="AG531" t="s">
        <v>756</v>
      </c>
      <c r="AH531">
        <v>1E-3</v>
      </c>
      <c r="AI531">
        <v>0.22800000000000001</v>
      </c>
      <c r="AJ531" t="s">
        <v>561</v>
      </c>
      <c r="AK531" t="s">
        <v>589</v>
      </c>
      <c r="AL531" t="s">
        <v>590</v>
      </c>
      <c r="AM531">
        <v>2022</v>
      </c>
      <c r="AN531">
        <v>2020</v>
      </c>
      <c r="AO531">
        <f>IF(AND(emissions[[#This Row],[Market-based]]=0,emissions[[#This Row],[Impact Type]]="CO2E"),emissions[[#This Row],[kgCO2e]],0)/1000</f>
        <v>0</v>
      </c>
      <c r="AP531">
        <f>IF(AND(emissions[[#This Row],[Market-based]]=1,OR(emissions[[#This Row],[Impact Type]]="CO2E",emissions[[#This Row],[Impact Type]]="CO2E MKT")),emissions[[#This Row],[kgCO2e]],0)/1000</f>
        <v>0</v>
      </c>
      <c r="AQ531" t="str">
        <f>_xlfn.TEXTAFTER(emissions[[#This Row],[Reporting Unit]]," &gt; ",LEN(emissions[[#This Row],[Reporting Unit]])-LEN(SUBSTITUTE(emissions[[#This Row],[Reporting Unit]],"&gt;","")))</f>
        <v>Vantage_South Africa</v>
      </c>
      <c r="AR531" t="str">
        <f>_xlfn.XLOOKUP(emissions[[#This Row],[Reporting unit name]],hierarchy!$A:$A,hierarchy!$C:$C)</f>
        <v>Labratory</v>
      </c>
    </row>
    <row r="532" spans="1:44" hidden="1" x14ac:dyDescent="0.25">
      <c r="A532">
        <v>294642</v>
      </c>
      <c r="B532" t="s">
        <v>107</v>
      </c>
      <c r="C532" t="s">
        <v>475</v>
      </c>
      <c r="D532" t="s">
        <v>548</v>
      </c>
      <c r="E532" s="3">
        <v>44562</v>
      </c>
      <c r="F532" s="3">
        <v>44926</v>
      </c>
      <c r="G532" t="s">
        <v>121</v>
      </c>
      <c r="H532" s="3">
        <v>44562</v>
      </c>
      <c r="I532" s="3">
        <v>44926</v>
      </c>
      <c r="J532" t="s">
        <v>122</v>
      </c>
      <c r="K532">
        <v>228</v>
      </c>
      <c r="L532" t="s">
        <v>118</v>
      </c>
      <c r="M532" t="s">
        <v>82</v>
      </c>
      <c r="N532" t="s">
        <v>124</v>
      </c>
      <c r="O532" t="s">
        <v>755</v>
      </c>
      <c r="P532" t="s">
        <v>550</v>
      </c>
      <c r="Q532">
        <v>2022</v>
      </c>
      <c r="R532" t="s">
        <v>742</v>
      </c>
      <c r="S532" t="s">
        <v>122</v>
      </c>
      <c r="T532" t="s">
        <v>553</v>
      </c>
      <c r="U532" t="b">
        <v>0</v>
      </c>
      <c r="V532" t="s">
        <v>743</v>
      </c>
      <c r="W532" t="s">
        <v>587</v>
      </c>
      <c r="X532" t="s">
        <v>556</v>
      </c>
      <c r="AC532">
        <v>1</v>
      </c>
      <c r="AD532" t="s">
        <v>565</v>
      </c>
      <c r="AE532">
        <v>670.15812000000005</v>
      </c>
      <c r="AF532">
        <v>2939.29</v>
      </c>
      <c r="AG532" t="s">
        <v>756</v>
      </c>
      <c r="AH532">
        <v>1E-3</v>
      </c>
      <c r="AI532">
        <v>0.22800000000000001</v>
      </c>
      <c r="AJ532" t="s">
        <v>561</v>
      </c>
      <c r="AK532" t="s">
        <v>589</v>
      </c>
      <c r="AL532" t="s">
        <v>590</v>
      </c>
      <c r="AM532">
        <v>2022</v>
      </c>
      <c r="AN532">
        <v>2020</v>
      </c>
      <c r="AO532">
        <f>IF(AND(emissions[[#This Row],[Market-based]]=0,emissions[[#This Row],[Impact Type]]="CO2E"),emissions[[#This Row],[kgCO2e]],0)/1000</f>
        <v>0</v>
      </c>
      <c r="AP532">
        <f>IF(AND(emissions[[#This Row],[Market-based]]=1,OR(emissions[[#This Row],[Impact Type]]="CO2E",emissions[[#This Row],[Impact Type]]="CO2E MKT")),emissions[[#This Row],[kgCO2e]],0)/1000</f>
        <v>0.67015812000000008</v>
      </c>
      <c r="AQ532" t="str">
        <f>_xlfn.TEXTAFTER(emissions[[#This Row],[Reporting Unit]]," &gt; ",LEN(emissions[[#This Row],[Reporting Unit]])-LEN(SUBSTITUTE(emissions[[#This Row],[Reporting Unit]],"&gt;","")))</f>
        <v>Vantage_South Africa</v>
      </c>
      <c r="AR532" t="str">
        <f>_xlfn.XLOOKUP(emissions[[#This Row],[Reporting unit name]],hierarchy!$A:$A,hierarchy!$C:$C)</f>
        <v>Labratory</v>
      </c>
    </row>
    <row r="533" spans="1:44" hidden="1" x14ac:dyDescent="0.25">
      <c r="A533">
        <v>294642</v>
      </c>
      <c r="B533" t="s">
        <v>107</v>
      </c>
      <c r="C533" t="s">
        <v>475</v>
      </c>
      <c r="D533" t="s">
        <v>548</v>
      </c>
      <c r="E533" s="3">
        <v>44562</v>
      </c>
      <c r="F533" s="3">
        <v>44926</v>
      </c>
      <c r="G533" t="s">
        <v>121</v>
      </c>
      <c r="H533" s="3">
        <v>44562</v>
      </c>
      <c r="I533" s="3">
        <v>44926</v>
      </c>
      <c r="J533" t="s">
        <v>122</v>
      </c>
      <c r="K533">
        <v>228</v>
      </c>
      <c r="L533" t="s">
        <v>118</v>
      </c>
      <c r="M533" t="s">
        <v>82</v>
      </c>
      <c r="N533" t="s">
        <v>124</v>
      </c>
      <c r="O533" t="s">
        <v>755</v>
      </c>
      <c r="P533" t="s">
        <v>550</v>
      </c>
      <c r="Q533">
        <v>2022</v>
      </c>
      <c r="R533" t="s">
        <v>742</v>
      </c>
      <c r="S533" t="s">
        <v>122</v>
      </c>
      <c r="T533" t="s">
        <v>553</v>
      </c>
      <c r="U533" t="b">
        <v>0</v>
      </c>
      <c r="V533" t="s">
        <v>743</v>
      </c>
      <c r="W533" t="s">
        <v>587</v>
      </c>
      <c r="X533" t="s">
        <v>556</v>
      </c>
      <c r="AC533">
        <v>1</v>
      </c>
      <c r="AD533" t="s">
        <v>566</v>
      </c>
      <c r="AE533">
        <v>0.41724</v>
      </c>
      <c r="AF533">
        <v>1.83</v>
      </c>
      <c r="AG533" t="s">
        <v>756</v>
      </c>
      <c r="AH533">
        <v>1E-3</v>
      </c>
      <c r="AI533">
        <v>0.22800000000000001</v>
      </c>
      <c r="AJ533" t="s">
        <v>561</v>
      </c>
      <c r="AK533" t="s">
        <v>589</v>
      </c>
      <c r="AL533" t="s">
        <v>590</v>
      </c>
      <c r="AM533">
        <v>2022</v>
      </c>
      <c r="AN533">
        <v>2020</v>
      </c>
      <c r="AO533">
        <f>IF(AND(emissions[[#This Row],[Market-based]]=0,emissions[[#This Row],[Impact Type]]="CO2E"),emissions[[#This Row],[kgCO2e]],0)/1000</f>
        <v>0</v>
      </c>
      <c r="AP533">
        <f>IF(AND(emissions[[#This Row],[Market-based]]=1,OR(emissions[[#This Row],[Impact Type]]="CO2E",emissions[[#This Row],[Impact Type]]="CO2E MKT")),emissions[[#This Row],[kgCO2e]],0)/1000</f>
        <v>0</v>
      </c>
      <c r="AQ533" t="str">
        <f>_xlfn.TEXTAFTER(emissions[[#This Row],[Reporting Unit]]," &gt; ",LEN(emissions[[#This Row],[Reporting Unit]])-LEN(SUBSTITUTE(emissions[[#This Row],[Reporting Unit]],"&gt;","")))</f>
        <v>Vantage_South Africa</v>
      </c>
      <c r="AR533" t="str">
        <f>_xlfn.XLOOKUP(emissions[[#This Row],[Reporting unit name]],hierarchy!$A:$A,hierarchy!$C:$C)</f>
        <v>Labratory</v>
      </c>
    </row>
    <row r="534" spans="1:44" hidden="1" x14ac:dyDescent="0.25">
      <c r="A534">
        <v>294642</v>
      </c>
      <c r="B534" t="s">
        <v>107</v>
      </c>
      <c r="C534" t="s">
        <v>475</v>
      </c>
      <c r="D534" t="s">
        <v>548</v>
      </c>
      <c r="E534" s="3">
        <v>44562</v>
      </c>
      <c r="F534" s="3">
        <v>44926</v>
      </c>
      <c r="G534" t="s">
        <v>121</v>
      </c>
      <c r="H534" s="3">
        <v>44562</v>
      </c>
      <c r="I534" s="3">
        <v>44926</v>
      </c>
      <c r="J534" t="s">
        <v>122</v>
      </c>
      <c r="K534">
        <v>228</v>
      </c>
      <c r="L534" t="s">
        <v>118</v>
      </c>
      <c r="M534" t="s">
        <v>82</v>
      </c>
      <c r="N534" t="s">
        <v>124</v>
      </c>
      <c r="O534" t="s">
        <v>755</v>
      </c>
      <c r="P534" t="s">
        <v>550</v>
      </c>
      <c r="Q534">
        <v>2022</v>
      </c>
      <c r="R534" t="s">
        <v>744</v>
      </c>
      <c r="S534" t="s">
        <v>745</v>
      </c>
      <c r="T534" t="s">
        <v>577</v>
      </c>
      <c r="U534" t="b">
        <v>0</v>
      </c>
      <c r="V534" t="s">
        <v>746</v>
      </c>
      <c r="W534" t="s">
        <v>571</v>
      </c>
      <c r="X534" t="s">
        <v>572</v>
      </c>
      <c r="AC534">
        <v>0</v>
      </c>
      <c r="AD534" t="s">
        <v>565</v>
      </c>
      <c r="AE534">
        <v>79.118120399999995</v>
      </c>
      <c r="AF534">
        <v>347.0093</v>
      </c>
      <c r="AG534" t="s">
        <v>756</v>
      </c>
      <c r="AH534">
        <v>1E-3</v>
      </c>
      <c r="AI534">
        <v>0.22800000000000001</v>
      </c>
      <c r="AJ534" t="s">
        <v>561</v>
      </c>
      <c r="AK534" t="s">
        <v>589</v>
      </c>
      <c r="AL534" t="s">
        <v>590</v>
      </c>
      <c r="AM534">
        <v>2022</v>
      </c>
      <c r="AN534">
        <v>2020</v>
      </c>
      <c r="AO534">
        <f>IF(AND(emissions[[#This Row],[Market-based]]=0,emissions[[#This Row],[Impact Type]]="CO2E"),emissions[[#This Row],[kgCO2e]],0)/1000</f>
        <v>7.9118120399999992E-2</v>
      </c>
      <c r="AP534">
        <f>IF(AND(emissions[[#This Row],[Market-based]]=1,OR(emissions[[#This Row],[Impact Type]]="CO2E",emissions[[#This Row],[Impact Type]]="CO2E MKT")),emissions[[#This Row],[kgCO2e]],0)/1000</f>
        <v>0</v>
      </c>
      <c r="AQ534" t="str">
        <f>_xlfn.TEXTAFTER(emissions[[#This Row],[Reporting Unit]]," &gt; ",LEN(emissions[[#This Row],[Reporting Unit]])-LEN(SUBSTITUTE(emissions[[#This Row],[Reporting Unit]],"&gt;","")))</f>
        <v>Vantage_South Africa</v>
      </c>
      <c r="AR534" t="str">
        <f>_xlfn.XLOOKUP(emissions[[#This Row],[Reporting unit name]],hierarchy!$A:$A,hierarchy!$C:$C)</f>
        <v>Labratory</v>
      </c>
    </row>
    <row r="535" spans="1:44" hidden="1" x14ac:dyDescent="0.25">
      <c r="A535">
        <v>294642</v>
      </c>
      <c r="B535" t="s">
        <v>107</v>
      </c>
      <c r="C535" t="s">
        <v>475</v>
      </c>
      <c r="D535" t="s">
        <v>548</v>
      </c>
      <c r="E535" s="3">
        <v>44562</v>
      </c>
      <c r="F535" s="3">
        <v>44926</v>
      </c>
      <c r="G535" t="s">
        <v>121</v>
      </c>
      <c r="H535" s="3">
        <v>44562</v>
      </c>
      <c r="I535" s="3">
        <v>44926</v>
      </c>
      <c r="J535" t="s">
        <v>122</v>
      </c>
      <c r="K535">
        <v>228</v>
      </c>
      <c r="L535" t="s">
        <v>118</v>
      </c>
      <c r="M535" t="s">
        <v>82</v>
      </c>
      <c r="N535" t="s">
        <v>124</v>
      </c>
      <c r="O535" t="s">
        <v>755</v>
      </c>
      <c r="P535" t="s">
        <v>550</v>
      </c>
      <c r="Q535">
        <v>2022</v>
      </c>
      <c r="R535" t="s">
        <v>744</v>
      </c>
      <c r="S535" t="s">
        <v>745</v>
      </c>
      <c r="T535" t="s">
        <v>577</v>
      </c>
      <c r="U535" t="b">
        <v>0</v>
      </c>
      <c r="V535" t="s">
        <v>746</v>
      </c>
      <c r="W535" t="s">
        <v>571</v>
      </c>
      <c r="X535" t="s">
        <v>572</v>
      </c>
      <c r="AC535">
        <v>1</v>
      </c>
      <c r="AD535" t="s">
        <v>565</v>
      </c>
      <c r="AE535">
        <v>79.118120399999995</v>
      </c>
      <c r="AF535">
        <v>347.0093</v>
      </c>
      <c r="AG535" t="s">
        <v>756</v>
      </c>
      <c r="AH535">
        <v>1E-3</v>
      </c>
      <c r="AI535">
        <v>0.22800000000000001</v>
      </c>
      <c r="AJ535" t="s">
        <v>561</v>
      </c>
      <c r="AK535" t="s">
        <v>589</v>
      </c>
      <c r="AL535" t="s">
        <v>590</v>
      </c>
      <c r="AM535">
        <v>2022</v>
      </c>
      <c r="AN535">
        <v>2020</v>
      </c>
      <c r="AO535">
        <f>IF(AND(emissions[[#This Row],[Market-based]]=0,emissions[[#This Row],[Impact Type]]="CO2E"),emissions[[#This Row],[kgCO2e]],0)/1000</f>
        <v>0</v>
      </c>
      <c r="AP535">
        <f>IF(AND(emissions[[#This Row],[Market-based]]=1,OR(emissions[[#This Row],[Impact Type]]="CO2E",emissions[[#This Row],[Impact Type]]="CO2E MKT")),emissions[[#This Row],[kgCO2e]],0)/1000</f>
        <v>7.9118120399999992E-2</v>
      </c>
      <c r="AQ535" t="str">
        <f>_xlfn.TEXTAFTER(emissions[[#This Row],[Reporting Unit]]," &gt; ",LEN(emissions[[#This Row],[Reporting Unit]])-LEN(SUBSTITUTE(emissions[[#This Row],[Reporting Unit]],"&gt;","")))</f>
        <v>Vantage_South Africa</v>
      </c>
      <c r="AR535" t="str">
        <f>_xlfn.XLOOKUP(emissions[[#This Row],[Reporting unit name]],hierarchy!$A:$A,hierarchy!$C:$C)</f>
        <v>Labratory</v>
      </c>
    </row>
    <row r="536" spans="1:44" hidden="1" x14ac:dyDescent="0.25">
      <c r="A536">
        <v>4963</v>
      </c>
      <c r="B536" t="s">
        <v>107</v>
      </c>
      <c r="C536" t="s">
        <v>475</v>
      </c>
      <c r="D536" t="s">
        <v>599</v>
      </c>
      <c r="E536" s="3">
        <v>44197</v>
      </c>
      <c r="F536" s="3">
        <v>44561</v>
      </c>
      <c r="G536" t="s">
        <v>108</v>
      </c>
      <c r="H536" s="3">
        <v>44197</v>
      </c>
      <c r="I536" s="3">
        <v>44561</v>
      </c>
      <c r="J536" t="s">
        <v>108</v>
      </c>
      <c r="K536">
        <v>43695.567999999999</v>
      </c>
      <c r="L536" t="s">
        <v>109</v>
      </c>
      <c r="M536" t="s">
        <v>110</v>
      </c>
      <c r="O536" t="s">
        <v>600</v>
      </c>
      <c r="P536" t="s">
        <v>757</v>
      </c>
      <c r="Q536">
        <v>2021</v>
      </c>
      <c r="R536" t="s">
        <v>551</v>
      </c>
      <c r="S536" t="s">
        <v>552</v>
      </c>
      <c r="T536" t="s">
        <v>553</v>
      </c>
      <c r="U536" t="b">
        <v>0</v>
      </c>
      <c r="V536" t="s">
        <v>750</v>
      </c>
      <c r="W536" t="s">
        <v>555</v>
      </c>
      <c r="X536" t="s">
        <v>556</v>
      </c>
      <c r="Y536" t="s">
        <v>470</v>
      </c>
      <c r="Z536" t="s">
        <v>481</v>
      </c>
      <c r="AA536" t="s">
        <v>751</v>
      </c>
      <c r="AC536">
        <v>0</v>
      </c>
      <c r="AD536" t="s">
        <v>558</v>
      </c>
      <c r="AE536">
        <v>13.108670399999999</v>
      </c>
      <c r="AF536" t="s">
        <v>559</v>
      </c>
      <c r="AG536" t="s">
        <v>560</v>
      </c>
      <c r="AH536">
        <v>1</v>
      </c>
      <c r="AI536">
        <v>43695.567999999999</v>
      </c>
      <c r="AJ536" t="s">
        <v>561</v>
      </c>
      <c r="AK536" t="s">
        <v>562</v>
      </c>
      <c r="AL536" t="s">
        <v>601</v>
      </c>
      <c r="AM536">
        <v>2021</v>
      </c>
      <c r="AN536">
        <v>2019</v>
      </c>
      <c r="AO536">
        <f>IF(AND(emissions[[#This Row],[Market-based]]=0,emissions[[#This Row],[Impact Type]]="CO2E"),emissions[[#This Row],[kgCO2e]],0)/1000</f>
        <v>0</v>
      </c>
      <c r="AP536">
        <f>IF(AND(emissions[[#This Row],[Market-based]]=1,OR(emissions[[#This Row],[Impact Type]]="CO2E",emissions[[#This Row],[Impact Type]]="CO2E MKT")),emissions[[#This Row],[kgCO2e]],0)/1000</f>
        <v>0</v>
      </c>
      <c r="AQ536" t="str">
        <f>_xlfn.TEXTAFTER(emissions[[#This Row],[Reporting Unit]]," &gt; ",LEN(emissions[[#This Row],[Reporting Unit]])-LEN(SUBSTITUTE(emissions[[#This Row],[Reporting Unit]],"&gt;","")))</f>
        <v>Vantage_South Africa</v>
      </c>
      <c r="AR536" t="str">
        <f>_xlfn.XLOOKUP(emissions[[#This Row],[Reporting unit name]],hierarchy!$A:$A,hierarchy!$C:$C)</f>
        <v>Labratory</v>
      </c>
    </row>
    <row r="537" spans="1:44" hidden="1" x14ac:dyDescent="0.25">
      <c r="A537">
        <v>4963</v>
      </c>
      <c r="B537" t="s">
        <v>107</v>
      </c>
      <c r="C537" t="s">
        <v>475</v>
      </c>
      <c r="D537" t="s">
        <v>599</v>
      </c>
      <c r="E537" s="3">
        <v>44197</v>
      </c>
      <c r="F537" s="3">
        <v>44561</v>
      </c>
      <c r="G537" t="s">
        <v>108</v>
      </c>
      <c r="H537" s="3">
        <v>44197</v>
      </c>
      <c r="I537" s="3">
        <v>44561</v>
      </c>
      <c r="J537" t="s">
        <v>108</v>
      </c>
      <c r="K537">
        <v>43695.567999999999</v>
      </c>
      <c r="L537" t="s">
        <v>109</v>
      </c>
      <c r="M537" t="s">
        <v>110</v>
      </c>
      <c r="O537" t="s">
        <v>600</v>
      </c>
      <c r="P537" t="s">
        <v>757</v>
      </c>
      <c r="Q537">
        <v>2021</v>
      </c>
      <c r="R537" t="s">
        <v>551</v>
      </c>
      <c r="S537" t="s">
        <v>552</v>
      </c>
      <c r="T537" t="s">
        <v>553</v>
      </c>
      <c r="U537" t="b">
        <v>0</v>
      </c>
      <c r="V537" t="s">
        <v>750</v>
      </c>
      <c r="W537" t="s">
        <v>555</v>
      </c>
      <c r="X537" t="s">
        <v>556</v>
      </c>
      <c r="Y537" t="s">
        <v>470</v>
      </c>
      <c r="Z537" t="s">
        <v>481</v>
      </c>
      <c r="AA537" t="s">
        <v>751</v>
      </c>
      <c r="AC537">
        <v>0</v>
      </c>
      <c r="AD537" t="s">
        <v>564</v>
      </c>
      <c r="AE537">
        <v>40719.899819999999</v>
      </c>
      <c r="AF537" t="s">
        <v>559</v>
      </c>
      <c r="AG537" t="s">
        <v>560</v>
      </c>
      <c r="AH537">
        <v>1</v>
      </c>
      <c r="AI537">
        <v>43695.567999999999</v>
      </c>
      <c r="AJ537" t="s">
        <v>561</v>
      </c>
      <c r="AK537" t="s">
        <v>562</v>
      </c>
      <c r="AL537" t="s">
        <v>601</v>
      </c>
      <c r="AM537">
        <v>2021</v>
      </c>
      <c r="AN537">
        <v>2019</v>
      </c>
      <c r="AO537">
        <f>IF(AND(emissions[[#This Row],[Market-based]]=0,emissions[[#This Row],[Impact Type]]="CO2E"),emissions[[#This Row],[kgCO2e]],0)/1000</f>
        <v>0</v>
      </c>
      <c r="AP537">
        <f>IF(AND(emissions[[#This Row],[Market-based]]=1,OR(emissions[[#This Row],[Impact Type]]="CO2E",emissions[[#This Row],[Impact Type]]="CO2E MKT")),emissions[[#This Row],[kgCO2e]],0)/1000</f>
        <v>0</v>
      </c>
      <c r="AQ537" t="str">
        <f>_xlfn.TEXTAFTER(emissions[[#This Row],[Reporting Unit]]," &gt; ",LEN(emissions[[#This Row],[Reporting Unit]])-LEN(SUBSTITUTE(emissions[[#This Row],[Reporting Unit]],"&gt;","")))</f>
        <v>Vantage_South Africa</v>
      </c>
      <c r="AR537" t="str">
        <f>_xlfn.XLOOKUP(emissions[[#This Row],[Reporting unit name]],hierarchy!$A:$A,hierarchy!$C:$C)</f>
        <v>Labratory</v>
      </c>
    </row>
    <row r="538" spans="1:44" hidden="1" x14ac:dyDescent="0.25">
      <c r="A538">
        <v>4963</v>
      </c>
      <c r="B538" t="s">
        <v>107</v>
      </c>
      <c r="C538" t="s">
        <v>475</v>
      </c>
      <c r="D538" t="s">
        <v>599</v>
      </c>
      <c r="E538" s="3">
        <v>44197</v>
      </c>
      <c r="F538" s="3">
        <v>44561</v>
      </c>
      <c r="G538" t="s">
        <v>108</v>
      </c>
      <c r="H538" s="3">
        <v>44197</v>
      </c>
      <c r="I538" s="3">
        <v>44561</v>
      </c>
      <c r="J538" t="s">
        <v>108</v>
      </c>
      <c r="K538">
        <v>43695.567999999999</v>
      </c>
      <c r="L538" t="s">
        <v>109</v>
      </c>
      <c r="M538" t="s">
        <v>110</v>
      </c>
      <c r="O538" t="s">
        <v>600</v>
      </c>
      <c r="P538" t="s">
        <v>757</v>
      </c>
      <c r="Q538">
        <v>2021</v>
      </c>
      <c r="R538" t="s">
        <v>551</v>
      </c>
      <c r="S538" t="s">
        <v>552</v>
      </c>
      <c r="T538" t="s">
        <v>553</v>
      </c>
      <c r="U538" t="b">
        <v>0</v>
      </c>
      <c r="V538" t="s">
        <v>750</v>
      </c>
      <c r="W538" t="s">
        <v>555</v>
      </c>
      <c r="X538" t="s">
        <v>556</v>
      </c>
      <c r="Y538" t="s">
        <v>470</v>
      </c>
      <c r="Z538" t="s">
        <v>481</v>
      </c>
      <c r="AA538" t="s">
        <v>751</v>
      </c>
      <c r="AC538">
        <v>0</v>
      </c>
      <c r="AD538" t="s">
        <v>565</v>
      </c>
      <c r="AE538">
        <v>40925.268989999997</v>
      </c>
      <c r="AF538" t="s">
        <v>559</v>
      </c>
      <c r="AG538" t="s">
        <v>560</v>
      </c>
      <c r="AH538">
        <v>1</v>
      </c>
      <c r="AI538">
        <v>43695.567999999999</v>
      </c>
      <c r="AJ538" t="s">
        <v>561</v>
      </c>
      <c r="AK538" t="s">
        <v>562</v>
      </c>
      <c r="AL538" t="s">
        <v>601</v>
      </c>
      <c r="AM538">
        <v>2021</v>
      </c>
      <c r="AN538">
        <v>2019</v>
      </c>
      <c r="AO538">
        <f>IF(AND(emissions[[#This Row],[Market-based]]=0,emissions[[#This Row],[Impact Type]]="CO2E"),emissions[[#This Row],[kgCO2e]],0)/1000</f>
        <v>40.925268989999999</v>
      </c>
      <c r="AP538">
        <f>IF(AND(emissions[[#This Row],[Market-based]]=1,OR(emissions[[#This Row],[Impact Type]]="CO2E",emissions[[#This Row],[Impact Type]]="CO2E MKT")),emissions[[#This Row],[kgCO2e]],0)/1000</f>
        <v>0</v>
      </c>
      <c r="AQ538" t="str">
        <f>_xlfn.TEXTAFTER(emissions[[#This Row],[Reporting Unit]]," &gt; ",LEN(emissions[[#This Row],[Reporting Unit]])-LEN(SUBSTITUTE(emissions[[#This Row],[Reporting Unit]],"&gt;","")))</f>
        <v>Vantage_South Africa</v>
      </c>
      <c r="AR538" t="str">
        <f>_xlfn.XLOOKUP(emissions[[#This Row],[Reporting unit name]],hierarchy!$A:$A,hierarchy!$C:$C)</f>
        <v>Labratory</v>
      </c>
    </row>
    <row r="539" spans="1:44" hidden="1" x14ac:dyDescent="0.25">
      <c r="A539">
        <v>4963</v>
      </c>
      <c r="B539" t="s">
        <v>107</v>
      </c>
      <c r="C539" t="s">
        <v>475</v>
      </c>
      <c r="D539" t="s">
        <v>599</v>
      </c>
      <c r="E539" s="3">
        <v>44197</v>
      </c>
      <c r="F539" s="3">
        <v>44561</v>
      </c>
      <c r="G539" t="s">
        <v>108</v>
      </c>
      <c r="H539" s="3">
        <v>44197</v>
      </c>
      <c r="I539" s="3">
        <v>44561</v>
      </c>
      <c r="J539" t="s">
        <v>108</v>
      </c>
      <c r="K539">
        <v>43695.567999999999</v>
      </c>
      <c r="L539" t="s">
        <v>109</v>
      </c>
      <c r="M539" t="s">
        <v>110</v>
      </c>
      <c r="O539" t="s">
        <v>600</v>
      </c>
      <c r="P539" t="s">
        <v>757</v>
      </c>
      <c r="Q539">
        <v>2021</v>
      </c>
      <c r="R539" t="s">
        <v>551</v>
      </c>
      <c r="S539" t="s">
        <v>552</v>
      </c>
      <c r="T539" t="s">
        <v>553</v>
      </c>
      <c r="U539" t="b">
        <v>0</v>
      </c>
      <c r="V539" t="s">
        <v>750</v>
      </c>
      <c r="W539" t="s">
        <v>555</v>
      </c>
      <c r="X539" t="s">
        <v>556</v>
      </c>
      <c r="Y539" t="s">
        <v>470</v>
      </c>
      <c r="Z539" t="s">
        <v>481</v>
      </c>
      <c r="AA539" t="s">
        <v>751</v>
      </c>
      <c r="AC539">
        <v>0</v>
      </c>
      <c r="AD539" t="s">
        <v>566</v>
      </c>
      <c r="AE539">
        <v>192.2604992</v>
      </c>
      <c r="AF539" t="s">
        <v>559</v>
      </c>
      <c r="AG539" t="s">
        <v>560</v>
      </c>
      <c r="AH539">
        <v>1</v>
      </c>
      <c r="AI539">
        <v>43695.567999999999</v>
      </c>
      <c r="AJ539" t="s">
        <v>561</v>
      </c>
      <c r="AK539" t="s">
        <v>562</v>
      </c>
      <c r="AL539" t="s">
        <v>601</v>
      </c>
      <c r="AM539">
        <v>2021</v>
      </c>
      <c r="AN539">
        <v>2019</v>
      </c>
      <c r="AO539">
        <f>IF(AND(emissions[[#This Row],[Market-based]]=0,emissions[[#This Row],[Impact Type]]="CO2E"),emissions[[#This Row],[kgCO2e]],0)/1000</f>
        <v>0</v>
      </c>
      <c r="AP539">
        <f>IF(AND(emissions[[#This Row],[Market-based]]=1,OR(emissions[[#This Row],[Impact Type]]="CO2E",emissions[[#This Row],[Impact Type]]="CO2E MKT")),emissions[[#This Row],[kgCO2e]],0)/1000</f>
        <v>0</v>
      </c>
      <c r="AQ539" t="str">
        <f>_xlfn.TEXTAFTER(emissions[[#This Row],[Reporting Unit]]," &gt; ",LEN(emissions[[#This Row],[Reporting Unit]])-LEN(SUBSTITUTE(emissions[[#This Row],[Reporting Unit]],"&gt;","")))</f>
        <v>Vantage_South Africa</v>
      </c>
      <c r="AR539" t="str">
        <f>_xlfn.XLOOKUP(emissions[[#This Row],[Reporting unit name]],hierarchy!$A:$A,hierarchy!$C:$C)</f>
        <v>Labratory</v>
      </c>
    </row>
    <row r="540" spans="1:44" hidden="1" x14ac:dyDescent="0.25">
      <c r="A540">
        <v>4963</v>
      </c>
      <c r="B540" t="s">
        <v>107</v>
      </c>
      <c r="C540" t="s">
        <v>475</v>
      </c>
      <c r="D540" t="s">
        <v>599</v>
      </c>
      <c r="E540" s="3">
        <v>44197</v>
      </c>
      <c r="F540" s="3">
        <v>44561</v>
      </c>
      <c r="G540" t="s">
        <v>108</v>
      </c>
      <c r="H540" s="3">
        <v>44197</v>
      </c>
      <c r="I540" s="3">
        <v>44561</v>
      </c>
      <c r="J540" t="s">
        <v>108</v>
      </c>
      <c r="K540">
        <v>43695.567999999999</v>
      </c>
      <c r="L540" t="s">
        <v>109</v>
      </c>
      <c r="M540" t="s">
        <v>110</v>
      </c>
      <c r="O540" t="s">
        <v>600</v>
      </c>
      <c r="P540" t="s">
        <v>757</v>
      </c>
      <c r="Q540">
        <v>2021</v>
      </c>
      <c r="R540" t="s">
        <v>551</v>
      </c>
      <c r="S540" t="s">
        <v>552</v>
      </c>
      <c r="T540" t="s">
        <v>553</v>
      </c>
      <c r="U540" t="b">
        <v>0</v>
      </c>
      <c r="V540" t="s">
        <v>750</v>
      </c>
      <c r="W540" t="s">
        <v>555</v>
      </c>
      <c r="X540" t="s">
        <v>556</v>
      </c>
      <c r="Y540" t="s">
        <v>470</v>
      </c>
      <c r="Z540" t="s">
        <v>481</v>
      </c>
      <c r="AA540" t="s">
        <v>751</v>
      </c>
      <c r="AC540">
        <v>1</v>
      </c>
      <c r="AD540" t="s">
        <v>558</v>
      </c>
      <c r="AE540">
        <v>13.108670399999999</v>
      </c>
      <c r="AF540" t="s">
        <v>559</v>
      </c>
      <c r="AG540" t="s">
        <v>560</v>
      </c>
      <c r="AH540">
        <v>1</v>
      </c>
      <c r="AI540">
        <v>43695.567999999999</v>
      </c>
      <c r="AJ540" t="s">
        <v>561</v>
      </c>
      <c r="AK540" t="s">
        <v>562</v>
      </c>
      <c r="AL540" t="s">
        <v>601</v>
      </c>
      <c r="AM540">
        <v>2021</v>
      </c>
      <c r="AN540">
        <v>2019</v>
      </c>
      <c r="AO540">
        <f>IF(AND(emissions[[#This Row],[Market-based]]=0,emissions[[#This Row],[Impact Type]]="CO2E"),emissions[[#This Row],[kgCO2e]],0)/1000</f>
        <v>0</v>
      </c>
      <c r="AP540">
        <f>IF(AND(emissions[[#This Row],[Market-based]]=1,OR(emissions[[#This Row],[Impact Type]]="CO2E",emissions[[#This Row],[Impact Type]]="CO2E MKT")),emissions[[#This Row],[kgCO2e]],0)/1000</f>
        <v>0</v>
      </c>
      <c r="AQ540" t="str">
        <f>_xlfn.TEXTAFTER(emissions[[#This Row],[Reporting Unit]]," &gt; ",LEN(emissions[[#This Row],[Reporting Unit]])-LEN(SUBSTITUTE(emissions[[#This Row],[Reporting Unit]],"&gt;","")))</f>
        <v>Vantage_South Africa</v>
      </c>
      <c r="AR540" t="str">
        <f>_xlfn.XLOOKUP(emissions[[#This Row],[Reporting unit name]],hierarchy!$A:$A,hierarchy!$C:$C)</f>
        <v>Labratory</v>
      </c>
    </row>
    <row r="541" spans="1:44" hidden="1" x14ac:dyDescent="0.25">
      <c r="A541">
        <v>4963</v>
      </c>
      <c r="B541" t="s">
        <v>107</v>
      </c>
      <c r="C541" t="s">
        <v>475</v>
      </c>
      <c r="D541" t="s">
        <v>599</v>
      </c>
      <c r="E541" s="3">
        <v>44197</v>
      </c>
      <c r="F541" s="3">
        <v>44561</v>
      </c>
      <c r="G541" t="s">
        <v>108</v>
      </c>
      <c r="H541" s="3">
        <v>44197</v>
      </c>
      <c r="I541" s="3">
        <v>44561</v>
      </c>
      <c r="J541" t="s">
        <v>108</v>
      </c>
      <c r="K541">
        <v>43695.567999999999</v>
      </c>
      <c r="L541" t="s">
        <v>109</v>
      </c>
      <c r="M541" t="s">
        <v>110</v>
      </c>
      <c r="O541" t="s">
        <v>600</v>
      </c>
      <c r="P541" t="s">
        <v>757</v>
      </c>
      <c r="Q541">
        <v>2021</v>
      </c>
      <c r="R541" t="s">
        <v>551</v>
      </c>
      <c r="S541" t="s">
        <v>552</v>
      </c>
      <c r="T541" t="s">
        <v>553</v>
      </c>
      <c r="U541" t="b">
        <v>0</v>
      </c>
      <c r="V541" t="s">
        <v>750</v>
      </c>
      <c r="W541" t="s">
        <v>555</v>
      </c>
      <c r="X541" t="s">
        <v>556</v>
      </c>
      <c r="Y541" t="s">
        <v>470</v>
      </c>
      <c r="Z541" t="s">
        <v>481</v>
      </c>
      <c r="AA541" t="s">
        <v>751</v>
      </c>
      <c r="AC541">
        <v>1</v>
      </c>
      <c r="AD541" t="s">
        <v>564</v>
      </c>
      <c r="AE541">
        <v>40719.899819999999</v>
      </c>
      <c r="AF541" t="s">
        <v>559</v>
      </c>
      <c r="AG541" t="s">
        <v>560</v>
      </c>
      <c r="AH541">
        <v>1</v>
      </c>
      <c r="AI541">
        <v>43695.567999999999</v>
      </c>
      <c r="AJ541" t="s">
        <v>561</v>
      </c>
      <c r="AK541" t="s">
        <v>562</v>
      </c>
      <c r="AL541" t="s">
        <v>601</v>
      </c>
      <c r="AM541">
        <v>2021</v>
      </c>
      <c r="AN541">
        <v>2019</v>
      </c>
      <c r="AO541">
        <f>IF(AND(emissions[[#This Row],[Market-based]]=0,emissions[[#This Row],[Impact Type]]="CO2E"),emissions[[#This Row],[kgCO2e]],0)/1000</f>
        <v>0</v>
      </c>
      <c r="AP541">
        <f>IF(AND(emissions[[#This Row],[Market-based]]=1,OR(emissions[[#This Row],[Impact Type]]="CO2E",emissions[[#This Row],[Impact Type]]="CO2E MKT")),emissions[[#This Row],[kgCO2e]],0)/1000</f>
        <v>0</v>
      </c>
      <c r="AQ541" t="str">
        <f>_xlfn.TEXTAFTER(emissions[[#This Row],[Reporting Unit]]," &gt; ",LEN(emissions[[#This Row],[Reporting Unit]])-LEN(SUBSTITUTE(emissions[[#This Row],[Reporting Unit]],"&gt;","")))</f>
        <v>Vantage_South Africa</v>
      </c>
      <c r="AR541" t="str">
        <f>_xlfn.XLOOKUP(emissions[[#This Row],[Reporting unit name]],hierarchy!$A:$A,hierarchy!$C:$C)</f>
        <v>Labratory</v>
      </c>
    </row>
    <row r="542" spans="1:44" hidden="1" x14ac:dyDescent="0.25">
      <c r="A542">
        <v>4963</v>
      </c>
      <c r="B542" t="s">
        <v>107</v>
      </c>
      <c r="C542" t="s">
        <v>475</v>
      </c>
      <c r="D542" t="s">
        <v>599</v>
      </c>
      <c r="E542" s="3">
        <v>44197</v>
      </c>
      <c r="F542" s="3">
        <v>44561</v>
      </c>
      <c r="G542" t="s">
        <v>108</v>
      </c>
      <c r="H542" s="3">
        <v>44197</v>
      </c>
      <c r="I542" s="3">
        <v>44561</v>
      </c>
      <c r="J542" t="s">
        <v>108</v>
      </c>
      <c r="K542">
        <v>43695.567999999999</v>
      </c>
      <c r="L542" t="s">
        <v>109</v>
      </c>
      <c r="M542" t="s">
        <v>110</v>
      </c>
      <c r="O542" t="s">
        <v>600</v>
      </c>
      <c r="P542" t="s">
        <v>757</v>
      </c>
      <c r="Q542">
        <v>2021</v>
      </c>
      <c r="R542" t="s">
        <v>551</v>
      </c>
      <c r="S542" t="s">
        <v>552</v>
      </c>
      <c r="T542" t="s">
        <v>553</v>
      </c>
      <c r="U542" t="b">
        <v>0</v>
      </c>
      <c r="V542" t="s">
        <v>750</v>
      </c>
      <c r="W542" t="s">
        <v>555</v>
      </c>
      <c r="X542" t="s">
        <v>556</v>
      </c>
      <c r="Y542" t="s">
        <v>470</v>
      </c>
      <c r="Z542" t="s">
        <v>481</v>
      </c>
      <c r="AA542" t="s">
        <v>751</v>
      </c>
      <c r="AC542">
        <v>1</v>
      </c>
      <c r="AD542" t="s">
        <v>565</v>
      </c>
      <c r="AE542">
        <v>40925.268989999997</v>
      </c>
      <c r="AF542" t="s">
        <v>559</v>
      </c>
      <c r="AG542" t="s">
        <v>560</v>
      </c>
      <c r="AH542">
        <v>1</v>
      </c>
      <c r="AI542">
        <v>43695.567999999999</v>
      </c>
      <c r="AJ542" t="s">
        <v>561</v>
      </c>
      <c r="AK542" t="s">
        <v>562</v>
      </c>
      <c r="AL542" t="s">
        <v>601</v>
      </c>
      <c r="AM542">
        <v>2021</v>
      </c>
      <c r="AN542">
        <v>2019</v>
      </c>
      <c r="AO542">
        <f>IF(AND(emissions[[#This Row],[Market-based]]=0,emissions[[#This Row],[Impact Type]]="CO2E"),emissions[[#This Row],[kgCO2e]],0)/1000</f>
        <v>0</v>
      </c>
      <c r="AP542">
        <f>IF(AND(emissions[[#This Row],[Market-based]]=1,OR(emissions[[#This Row],[Impact Type]]="CO2E",emissions[[#This Row],[Impact Type]]="CO2E MKT")),emissions[[#This Row],[kgCO2e]],0)/1000</f>
        <v>40.925268989999999</v>
      </c>
      <c r="AQ542" t="str">
        <f>_xlfn.TEXTAFTER(emissions[[#This Row],[Reporting Unit]]," &gt; ",LEN(emissions[[#This Row],[Reporting Unit]])-LEN(SUBSTITUTE(emissions[[#This Row],[Reporting Unit]],"&gt;","")))</f>
        <v>Vantage_South Africa</v>
      </c>
      <c r="AR542" t="str">
        <f>_xlfn.XLOOKUP(emissions[[#This Row],[Reporting unit name]],hierarchy!$A:$A,hierarchy!$C:$C)</f>
        <v>Labratory</v>
      </c>
    </row>
    <row r="543" spans="1:44" hidden="1" x14ac:dyDescent="0.25">
      <c r="A543">
        <v>4963</v>
      </c>
      <c r="B543" t="s">
        <v>107</v>
      </c>
      <c r="C543" t="s">
        <v>475</v>
      </c>
      <c r="D543" t="s">
        <v>599</v>
      </c>
      <c r="E543" s="3">
        <v>44197</v>
      </c>
      <c r="F543" s="3">
        <v>44561</v>
      </c>
      <c r="G543" t="s">
        <v>108</v>
      </c>
      <c r="H543" s="3">
        <v>44197</v>
      </c>
      <c r="I543" s="3">
        <v>44561</v>
      </c>
      <c r="J543" t="s">
        <v>108</v>
      </c>
      <c r="K543">
        <v>43695.567999999999</v>
      </c>
      <c r="L543" t="s">
        <v>109</v>
      </c>
      <c r="M543" t="s">
        <v>110</v>
      </c>
      <c r="O543" t="s">
        <v>600</v>
      </c>
      <c r="P543" t="s">
        <v>757</v>
      </c>
      <c r="Q543">
        <v>2021</v>
      </c>
      <c r="R543" t="s">
        <v>551</v>
      </c>
      <c r="S543" t="s">
        <v>552</v>
      </c>
      <c r="T543" t="s">
        <v>553</v>
      </c>
      <c r="U543" t="b">
        <v>0</v>
      </c>
      <c r="V543" t="s">
        <v>750</v>
      </c>
      <c r="W543" t="s">
        <v>555</v>
      </c>
      <c r="X543" t="s">
        <v>556</v>
      </c>
      <c r="Y543" t="s">
        <v>470</v>
      </c>
      <c r="Z543" t="s">
        <v>481</v>
      </c>
      <c r="AA543" t="s">
        <v>751</v>
      </c>
      <c r="AC543">
        <v>1</v>
      </c>
      <c r="AD543" t="s">
        <v>566</v>
      </c>
      <c r="AE543">
        <v>192.2604992</v>
      </c>
      <c r="AF543" t="s">
        <v>559</v>
      </c>
      <c r="AG543" t="s">
        <v>560</v>
      </c>
      <c r="AH543">
        <v>1</v>
      </c>
      <c r="AI543">
        <v>43695.567999999999</v>
      </c>
      <c r="AJ543" t="s">
        <v>561</v>
      </c>
      <c r="AK543" t="s">
        <v>562</v>
      </c>
      <c r="AL543" t="s">
        <v>601</v>
      </c>
      <c r="AM543">
        <v>2021</v>
      </c>
      <c r="AN543">
        <v>2019</v>
      </c>
      <c r="AO543">
        <f>IF(AND(emissions[[#This Row],[Market-based]]=0,emissions[[#This Row],[Impact Type]]="CO2E"),emissions[[#This Row],[kgCO2e]],0)/1000</f>
        <v>0</v>
      </c>
      <c r="AP543">
        <f>IF(AND(emissions[[#This Row],[Market-based]]=1,OR(emissions[[#This Row],[Impact Type]]="CO2E",emissions[[#This Row],[Impact Type]]="CO2E MKT")),emissions[[#This Row],[kgCO2e]],0)/1000</f>
        <v>0</v>
      </c>
      <c r="AQ543" t="str">
        <f>_xlfn.TEXTAFTER(emissions[[#This Row],[Reporting Unit]]," &gt; ",LEN(emissions[[#This Row],[Reporting Unit]])-LEN(SUBSTITUTE(emissions[[#This Row],[Reporting Unit]],"&gt;","")))</f>
        <v>Vantage_South Africa</v>
      </c>
      <c r="AR543" t="str">
        <f>_xlfn.XLOOKUP(emissions[[#This Row],[Reporting unit name]],hierarchy!$A:$A,hierarchy!$C:$C)</f>
        <v>Labratory</v>
      </c>
    </row>
    <row r="544" spans="1:44" hidden="1" x14ac:dyDescent="0.25">
      <c r="A544">
        <v>4963</v>
      </c>
      <c r="B544" t="s">
        <v>107</v>
      </c>
      <c r="C544" t="s">
        <v>475</v>
      </c>
      <c r="D544" t="s">
        <v>599</v>
      </c>
      <c r="E544" s="3">
        <v>44197</v>
      </c>
      <c r="F544" s="3">
        <v>44561</v>
      </c>
      <c r="G544" t="s">
        <v>108</v>
      </c>
      <c r="H544" s="3">
        <v>44197</v>
      </c>
      <c r="I544" s="3">
        <v>44561</v>
      </c>
      <c r="J544" t="s">
        <v>108</v>
      </c>
      <c r="K544">
        <v>43695.567999999999</v>
      </c>
      <c r="L544" t="s">
        <v>109</v>
      </c>
      <c r="M544" t="s">
        <v>110</v>
      </c>
      <c r="O544" t="s">
        <v>600</v>
      </c>
      <c r="P544" t="s">
        <v>757</v>
      </c>
      <c r="Q544">
        <v>2021</v>
      </c>
      <c r="R544" t="s">
        <v>567</v>
      </c>
      <c r="S544" t="s">
        <v>568</v>
      </c>
      <c r="T544" t="s">
        <v>569</v>
      </c>
      <c r="U544" t="b">
        <v>0</v>
      </c>
      <c r="V544" t="s">
        <v>758</v>
      </c>
      <c r="W544" t="s">
        <v>571</v>
      </c>
      <c r="X544" t="s">
        <v>572</v>
      </c>
      <c r="Y544" t="s">
        <v>470</v>
      </c>
      <c r="Z544" t="s">
        <v>481</v>
      </c>
      <c r="AA544" t="s">
        <v>751</v>
      </c>
      <c r="AC544">
        <v>0</v>
      </c>
      <c r="AD544" t="s">
        <v>565</v>
      </c>
      <c r="AE544">
        <v>861.53206039999998</v>
      </c>
      <c r="AF544">
        <v>1.9716692000000001E-2</v>
      </c>
      <c r="AG544" t="s">
        <v>560</v>
      </c>
      <c r="AH544">
        <v>1</v>
      </c>
      <c r="AI544">
        <v>43695.567999999999</v>
      </c>
      <c r="AJ544" t="s">
        <v>561</v>
      </c>
      <c r="AK544" t="s">
        <v>589</v>
      </c>
      <c r="AL544" t="s">
        <v>603</v>
      </c>
      <c r="AM544">
        <v>2021</v>
      </c>
      <c r="AN544">
        <v>2019</v>
      </c>
      <c r="AO544">
        <f>IF(AND(emissions[[#This Row],[Market-based]]=0,emissions[[#This Row],[Impact Type]]="CO2E"),emissions[[#This Row],[kgCO2e]],0)/1000</f>
        <v>0.86153206039999997</v>
      </c>
      <c r="AP544">
        <f>IF(AND(emissions[[#This Row],[Market-based]]=1,OR(emissions[[#This Row],[Impact Type]]="CO2E",emissions[[#This Row],[Impact Type]]="CO2E MKT")),emissions[[#This Row],[kgCO2e]],0)/1000</f>
        <v>0</v>
      </c>
      <c r="AQ544" t="str">
        <f>_xlfn.TEXTAFTER(emissions[[#This Row],[Reporting Unit]]," &gt; ",LEN(emissions[[#This Row],[Reporting Unit]])-LEN(SUBSTITUTE(emissions[[#This Row],[Reporting Unit]],"&gt;","")))</f>
        <v>Vantage_South Africa</v>
      </c>
      <c r="AR544" t="str">
        <f>_xlfn.XLOOKUP(emissions[[#This Row],[Reporting unit name]],hierarchy!$A:$A,hierarchy!$C:$C)</f>
        <v>Labratory</v>
      </c>
    </row>
    <row r="545" spans="1:44" hidden="1" x14ac:dyDescent="0.25">
      <c r="A545">
        <v>4963</v>
      </c>
      <c r="B545" t="s">
        <v>107</v>
      </c>
      <c r="C545" t="s">
        <v>475</v>
      </c>
      <c r="D545" t="s">
        <v>599</v>
      </c>
      <c r="E545" s="3">
        <v>44197</v>
      </c>
      <c r="F545" s="3">
        <v>44561</v>
      </c>
      <c r="G545" t="s">
        <v>108</v>
      </c>
      <c r="H545" s="3">
        <v>44197</v>
      </c>
      <c r="I545" s="3">
        <v>44561</v>
      </c>
      <c r="J545" t="s">
        <v>108</v>
      </c>
      <c r="K545">
        <v>43695.567999999999</v>
      </c>
      <c r="L545" t="s">
        <v>109</v>
      </c>
      <c r="M545" t="s">
        <v>110</v>
      </c>
      <c r="O545" t="s">
        <v>600</v>
      </c>
      <c r="P545" t="s">
        <v>757</v>
      </c>
      <c r="Q545">
        <v>2021</v>
      </c>
      <c r="R545" t="s">
        <v>567</v>
      </c>
      <c r="S545" t="s">
        <v>568</v>
      </c>
      <c r="T545" t="s">
        <v>569</v>
      </c>
      <c r="U545" t="b">
        <v>0</v>
      </c>
      <c r="V545" t="s">
        <v>758</v>
      </c>
      <c r="W545" t="s">
        <v>571</v>
      </c>
      <c r="X545" t="s">
        <v>572</v>
      </c>
      <c r="Y545" t="s">
        <v>470</v>
      </c>
      <c r="Z545" t="s">
        <v>481</v>
      </c>
      <c r="AA545" t="s">
        <v>751</v>
      </c>
      <c r="AC545">
        <v>1</v>
      </c>
      <c r="AD545" t="s">
        <v>565</v>
      </c>
      <c r="AE545">
        <v>861.53206039999998</v>
      </c>
      <c r="AF545">
        <v>1.9716692000000001E-2</v>
      </c>
      <c r="AG545" t="s">
        <v>560</v>
      </c>
      <c r="AH545">
        <v>1</v>
      </c>
      <c r="AI545">
        <v>43695.567999999999</v>
      </c>
      <c r="AJ545" t="s">
        <v>561</v>
      </c>
      <c r="AK545" t="s">
        <v>589</v>
      </c>
      <c r="AL545" t="s">
        <v>603</v>
      </c>
      <c r="AM545">
        <v>2021</v>
      </c>
      <c r="AN545">
        <v>2019</v>
      </c>
      <c r="AO545">
        <f>IF(AND(emissions[[#This Row],[Market-based]]=0,emissions[[#This Row],[Impact Type]]="CO2E"),emissions[[#This Row],[kgCO2e]],0)/1000</f>
        <v>0</v>
      </c>
      <c r="AP545">
        <f>IF(AND(emissions[[#This Row],[Market-based]]=1,OR(emissions[[#This Row],[Impact Type]]="CO2E",emissions[[#This Row],[Impact Type]]="CO2E MKT")),emissions[[#This Row],[kgCO2e]],0)/1000</f>
        <v>0.86153206039999997</v>
      </c>
      <c r="AQ545" t="str">
        <f>_xlfn.TEXTAFTER(emissions[[#This Row],[Reporting Unit]]," &gt; ",LEN(emissions[[#This Row],[Reporting Unit]])-LEN(SUBSTITUTE(emissions[[#This Row],[Reporting Unit]],"&gt;","")))</f>
        <v>Vantage_South Africa</v>
      </c>
      <c r="AR545" t="str">
        <f>_xlfn.XLOOKUP(emissions[[#This Row],[Reporting unit name]],hierarchy!$A:$A,hierarchy!$C:$C)</f>
        <v>Labratory</v>
      </c>
    </row>
    <row r="546" spans="1:44" hidden="1" x14ac:dyDescent="0.25">
      <c r="A546">
        <v>4963</v>
      </c>
      <c r="B546" t="s">
        <v>107</v>
      </c>
      <c r="C546" t="s">
        <v>475</v>
      </c>
      <c r="D546" t="s">
        <v>599</v>
      </c>
      <c r="E546" s="3">
        <v>44197</v>
      </c>
      <c r="F546" s="3">
        <v>44561</v>
      </c>
      <c r="G546" t="s">
        <v>108</v>
      </c>
      <c r="H546" s="3">
        <v>44197</v>
      </c>
      <c r="I546" s="3">
        <v>44561</v>
      </c>
      <c r="J546" t="s">
        <v>108</v>
      </c>
      <c r="K546">
        <v>43695.567999999999</v>
      </c>
      <c r="L546" t="s">
        <v>109</v>
      </c>
      <c r="M546" t="s">
        <v>110</v>
      </c>
      <c r="O546" t="s">
        <v>600</v>
      </c>
      <c r="P546" t="s">
        <v>757</v>
      </c>
      <c r="Q546">
        <v>2021</v>
      </c>
      <c r="R546" t="s">
        <v>575</v>
      </c>
      <c r="S546" t="s">
        <v>576</v>
      </c>
      <c r="T546" t="s">
        <v>577</v>
      </c>
      <c r="U546" t="b">
        <v>0</v>
      </c>
      <c r="V546" t="s">
        <v>759</v>
      </c>
      <c r="W546" t="s">
        <v>571</v>
      </c>
      <c r="X546" t="s">
        <v>572</v>
      </c>
      <c r="Y546" t="s">
        <v>470</v>
      </c>
      <c r="Z546" t="s">
        <v>481</v>
      </c>
      <c r="AA546" t="s">
        <v>751</v>
      </c>
      <c r="AC546">
        <v>0</v>
      </c>
      <c r="AD546" t="s">
        <v>565</v>
      </c>
      <c r="AE546">
        <v>7783.688666</v>
      </c>
      <c r="AF546">
        <v>0.17813451199999999</v>
      </c>
      <c r="AG546" t="s">
        <v>560</v>
      </c>
      <c r="AH546">
        <v>1</v>
      </c>
      <c r="AI546">
        <v>43695.567999999999</v>
      </c>
      <c r="AJ546" t="s">
        <v>561</v>
      </c>
      <c r="AK546" t="s">
        <v>589</v>
      </c>
      <c r="AL546" t="s">
        <v>603</v>
      </c>
      <c r="AM546">
        <v>2021</v>
      </c>
      <c r="AN546">
        <v>2019</v>
      </c>
      <c r="AO546">
        <f>IF(AND(emissions[[#This Row],[Market-based]]=0,emissions[[#This Row],[Impact Type]]="CO2E"),emissions[[#This Row],[kgCO2e]],0)/1000</f>
        <v>7.7836886659999998</v>
      </c>
      <c r="AP546">
        <f>IF(AND(emissions[[#This Row],[Market-based]]=1,OR(emissions[[#This Row],[Impact Type]]="CO2E",emissions[[#This Row],[Impact Type]]="CO2E MKT")),emissions[[#This Row],[kgCO2e]],0)/1000</f>
        <v>0</v>
      </c>
      <c r="AQ546" t="str">
        <f>_xlfn.TEXTAFTER(emissions[[#This Row],[Reporting Unit]]," &gt; ",LEN(emissions[[#This Row],[Reporting Unit]])-LEN(SUBSTITUTE(emissions[[#This Row],[Reporting Unit]],"&gt;","")))</f>
        <v>Vantage_South Africa</v>
      </c>
      <c r="AR546" t="str">
        <f>_xlfn.XLOOKUP(emissions[[#This Row],[Reporting unit name]],hierarchy!$A:$A,hierarchy!$C:$C)</f>
        <v>Labratory</v>
      </c>
    </row>
    <row r="547" spans="1:44" hidden="1" x14ac:dyDescent="0.25">
      <c r="A547">
        <v>4963</v>
      </c>
      <c r="B547" t="s">
        <v>107</v>
      </c>
      <c r="C547" t="s">
        <v>475</v>
      </c>
      <c r="D547" t="s">
        <v>599</v>
      </c>
      <c r="E547" s="3">
        <v>44197</v>
      </c>
      <c r="F547" s="3">
        <v>44561</v>
      </c>
      <c r="G547" t="s">
        <v>108</v>
      </c>
      <c r="H547" s="3">
        <v>44197</v>
      </c>
      <c r="I547" s="3">
        <v>44561</v>
      </c>
      <c r="J547" t="s">
        <v>108</v>
      </c>
      <c r="K547">
        <v>43695.567999999999</v>
      </c>
      <c r="L547" t="s">
        <v>109</v>
      </c>
      <c r="M547" t="s">
        <v>110</v>
      </c>
      <c r="O547" t="s">
        <v>600</v>
      </c>
      <c r="P547" t="s">
        <v>757</v>
      </c>
      <c r="Q547">
        <v>2021</v>
      </c>
      <c r="R547" t="s">
        <v>575</v>
      </c>
      <c r="S547" t="s">
        <v>576</v>
      </c>
      <c r="T547" t="s">
        <v>577</v>
      </c>
      <c r="U547" t="b">
        <v>0</v>
      </c>
      <c r="V547" t="s">
        <v>759</v>
      </c>
      <c r="W547" t="s">
        <v>571</v>
      </c>
      <c r="X547" t="s">
        <v>572</v>
      </c>
      <c r="Y547" t="s">
        <v>470</v>
      </c>
      <c r="Z547" t="s">
        <v>481</v>
      </c>
      <c r="AA547" t="s">
        <v>751</v>
      </c>
      <c r="AC547">
        <v>1</v>
      </c>
      <c r="AD547" t="s">
        <v>565</v>
      </c>
      <c r="AE547">
        <v>7783.688666</v>
      </c>
      <c r="AF547">
        <v>0.17813451199999999</v>
      </c>
      <c r="AG547" t="s">
        <v>560</v>
      </c>
      <c r="AH547">
        <v>1</v>
      </c>
      <c r="AI547">
        <v>43695.567999999999</v>
      </c>
      <c r="AJ547" t="s">
        <v>561</v>
      </c>
      <c r="AK547" t="s">
        <v>589</v>
      </c>
      <c r="AL547" t="s">
        <v>603</v>
      </c>
      <c r="AM547">
        <v>2021</v>
      </c>
      <c r="AN547">
        <v>2019</v>
      </c>
      <c r="AO547">
        <f>IF(AND(emissions[[#This Row],[Market-based]]=0,emissions[[#This Row],[Impact Type]]="CO2E"),emissions[[#This Row],[kgCO2e]],0)/1000</f>
        <v>0</v>
      </c>
      <c r="AP547">
        <f>IF(AND(emissions[[#This Row],[Market-based]]=1,OR(emissions[[#This Row],[Impact Type]]="CO2E",emissions[[#This Row],[Impact Type]]="CO2E MKT")),emissions[[#This Row],[kgCO2e]],0)/1000</f>
        <v>7.7836886659999998</v>
      </c>
      <c r="AQ547" t="str">
        <f>_xlfn.TEXTAFTER(emissions[[#This Row],[Reporting Unit]]," &gt; ",LEN(emissions[[#This Row],[Reporting Unit]])-LEN(SUBSTITUTE(emissions[[#This Row],[Reporting Unit]],"&gt;","")))</f>
        <v>Vantage_South Africa</v>
      </c>
      <c r="AR547" t="str">
        <f>_xlfn.XLOOKUP(emissions[[#This Row],[Reporting unit name]],hierarchy!$A:$A,hierarchy!$C:$C)</f>
        <v>Labratory</v>
      </c>
    </row>
    <row r="548" spans="1:44" hidden="1" x14ac:dyDescent="0.25">
      <c r="A548">
        <v>4963</v>
      </c>
      <c r="B548" t="s">
        <v>107</v>
      </c>
      <c r="C548" t="s">
        <v>475</v>
      </c>
      <c r="D548" t="s">
        <v>599</v>
      </c>
      <c r="E548" s="3">
        <v>44197</v>
      </c>
      <c r="F548" s="3">
        <v>44561</v>
      </c>
      <c r="G548" t="s">
        <v>108</v>
      </c>
      <c r="H548" s="3">
        <v>44197</v>
      </c>
      <c r="I548" s="3">
        <v>44561</v>
      </c>
      <c r="J548" t="s">
        <v>108</v>
      </c>
      <c r="K548">
        <v>43695.567999999999</v>
      </c>
      <c r="L548" t="s">
        <v>109</v>
      </c>
      <c r="M548" t="s">
        <v>110</v>
      </c>
      <c r="O548" t="s">
        <v>600</v>
      </c>
      <c r="P548" t="s">
        <v>757</v>
      </c>
      <c r="Q548">
        <v>2021</v>
      </c>
      <c r="R548" t="s">
        <v>579</v>
      </c>
      <c r="S548" t="s">
        <v>580</v>
      </c>
      <c r="T548" t="s">
        <v>581</v>
      </c>
      <c r="U548" t="b">
        <v>0</v>
      </c>
      <c r="V548" t="s">
        <v>754</v>
      </c>
      <c r="W548" t="s">
        <v>571</v>
      </c>
      <c r="X548" t="s">
        <v>572</v>
      </c>
      <c r="Y548" t="s">
        <v>470</v>
      </c>
      <c r="Z548" t="s">
        <v>481</v>
      </c>
      <c r="AA548" t="s">
        <v>751</v>
      </c>
      <c r="AC548">
        <v>0</v>
      </c>
      <c r="AD548" t="s">
        <v>565</v>
      </c>
      <c r="AE548">
        <v>3823.3622</v>
      </c>
      <c r="AF548" t="s">
        <v>559</v>
      </c>
      <c r="AG548" t="s">
        <v>560</v>
      </c>
      <c r="AH548">
        <v>1</v>
      </c>
      <c r="AI548">
        <v>43695.567999999999</v>
      </c>
      <c r="AJ548" t="s">
        <v>561</v>
      </c>
      <c r="AK548" t="s">
        <v>562</v>
      </c>
      <c r="AL548" t="s">
        <v>601</v>
      </c>
      <c r="AM548">
        <v>2021</v>
      </c>
      <c r="AN548">
        <v>2019</v>
      </c>
      <c r="AO548">
        <f>IF(AND(emissions[[#This Row],[Market-based]]=0,emissions[[#This Row],[Impact Type]]="CO2E"),emissions[[#This Row],[kgCO2e]],0)/1000</f>
        <v>3.8233622</v>
      </c>
      <c r="AP548">
        <f>IF(AND(emissions[[#This Row],[Market-based]]=1,OR(emissions[[#This Row],[Impact Type]]="CO2E",emissions[[#This Row],[Impact Type]]="CO2E MKT")),emissions[[#This Row],[kgCO2e]],0)/1000</f>
        <v>0</v>
      </c>
      <c r="AQ548" t="str">
        <f>_xlfn.TEXTAFTER(emissions[[#This Row],[Reporting Unit]]," &gt; ",LEN(emissions[[#This Row],[Reporting Unit]])-LEN(SUBSTITUTE(emissions[[#This Row],[Reporting Unit]],"&gt;","")))</f>
        <v>Vantage_South Africa</v>
      </c>
      <c r="AR548" t="str">
        <f>_xlfn.XLOOKUP(emissions[[#This Row],[Reporting unit name]],hierarchy!$A:$A,hierarchy!$C:$C)</f>
        <v>Labratory</v>
      </c>
    </row>
    <row r="549" spans="1:44" hidden="1" x14ac:dyDescent="0.25">
      <c r="A549">
        <v>4963</v>
      </c>
      <c r="B549" t="s">
        <v>107</v>
      </c>
      <c r="C549" t="s">
        <v>475</v>
      </c>
      <c r="D549" t="s">
        <v>599</v>
      </c>
      <c r="E549" s="3">
        <v>44197</v>
      </c>
      <c r="F549" s="3">
        <v>44561</v>
      </c>
      <c r="G549" t="s">
        <v>108</v>
      </c>
      <c r="H549" s="3">
        <v>44197</v>
      </c>
      <c r="I549" s="3">
        <v>44561</v>
      </c>
      <c r="J549" t="s">
        <v>108</v>
      </c>
      <c r="K549">
        <v>43695.567999999999</v>
      </c>
      <c r="L549" t="s">
        <v>109</v>
      </c>
      <c r="M549" t="s">
        <v>110</v>
      </c>
      <c r="O549" t="s">
        <v>600</v>
      </c>
      <c r="P549" t="s">
        <v>757</v>
      </c>
      <c r="Q549">
        <v>2021</v>
      </c>
      <c r="R549" t="s">
        <v>579</v>
      </c>
      <c r="S549" t="s">
        <v>580</v>
      </c>
      <c r="T549" t="s">
        <v>581</v>
      </c>
      <c r="U549" t="b">
        <v>0</v>
      </c>
      <c r="V549" t="s">
        <v>754</v>
      </c>
      <c r="W549" t="s">
        <v>571</v>
      </c>
      <c r="X549" t="s">
        <v>572</v>
      </c>
      <c r="Y549" t="s">
        <v>470</v>
      </c>
      <c r="Z549" t="s">
        <v>481</v>
      </c>
      <c r="AA549" t="s">
        <v>751</v>
      </c>
      <c r="AC549">
        <v>1</v>
      </c>
      <c r="AD549" t="s">
        <v>565</v>
      </c>
      <c r="AE549">
        <v>3823.3622</v>
      </c>
      <c r="AF549" t="s">
        <v>559</v>
      </c>
      <c r="AG549" t="s">
        <v>560</v>
      </c>
      <c r="AH549">
        <v>1</v>
      </c>
      <c r="AI549">
        <v>43695.567999999999</v>
      </c>
      <c r="AJ549" t="s">
        <v>561</v>
      </c>
      <c r="AK549" t="s">
        <v>562</v>
      </c>
      <c r="AL549" t="s">
        <v>601</v>
      </c>
      <c r="AM549">
        <v>2021</v>
      </c>
      <c r="AN549">
        <v>2019</v>
      </c>
      <c r="AO549">
        <f>IF(AND(emissions[[#This Row],[Market-based]]=0,emissions[[#This Row],[Impact Type]]="CO2E"),emissions[[#This Row],[kgCO2e]],0)/1000</f>
        <v>0</v>
      </c>
      <c r="AP549">
        <f>IF(AND(emissions[[#This Row],[Market-based]]=1,OR(emissions[[#This Row],[Impact Type]]="CO2E",emissions[[#This Row],[Impact Type]]="CO2E MKT")),emissions[[#This Row],[kgCO2e]],0)/1000</f>
        <v>3.8233622</v>
      </c>
      <c r="AQ549" t="str">
        <f>_xlfn.TEXTAFTER(emissions[[#This Row],[Reporting Unit]]," &gt; ",LEN(emissions[[#This Row],[Reporting Unit]])-LEN(SUBSTITUTE(emissions[[#This Row],[Reporting Unit]],"&gt;","")))</f>
        <v>Vantage_South Africa</v>
      </c>
      <c r="AR549" t="str">
        <f>_xlfn.XLOOKUP(emissions[[#This Row],[Reporting unit name]],hierarchy!$A:$A,hierarchy!$C:$C)</f>
        <v>Labratory</v>
      </c>
    </row>
    <row r="550" spans="1:44" hidden="1" x14ac:dyDescent="0.25">
      <c r="A550">
        <v>5048</v>
      </c>
      <c r="B550" t="s">
        <v>107</v>
      </c>
      <c r="C550" t="s">
        <v>475</v>
      </c>
      <c r="D550" t="s">
        <v>599</v>
      </c>
      <c r="E550" s="3">
        <v>44197</v>
      </c>
      <c r="F550" s="3">
        <v>44561</v>
      </c>
      <c r="G550" t="s">
        <v>116</v>
      </c>
      <c r="H550" s="3">
        <v>44197</v>
      </c>
      <c r="I550" s="3">
        <v>44561</v>
      </c>
      <c r="J550" t="s">
        <v>128</v>
      </c>
      <c r="K550">
        <v>4.8781999999999996</v>
      </c>
      <c r="L550" t="s">
        <v>118</v>
      </c>
      <c r="M550" t="s">
        <v>82</v>
      </c>
      <c r="O550" t="s">
        <v>618</v>
      </c>
      <c r="P550" t="s">
        <v>550</v>
      </c>
      <c r="Q550">
        <v>2021</v>
      </c>
      <c r="R550" t="s">
        <v>619</v>
      </c>
      <c r="S550" t="s">
        <v>620</v>
      </c>
      <c r="T550" t="s">
        <v>553</v>
      </c>
      <c r="U550" t="b">
        <v>0</v>
      </c>
      <c r="V550" t="s">
        <v>621</v>
      </c>
      <c r="W550" t="s">
        <v>587</v>
      </c>
      <c r="X550" t="s">
        <v>556</v>
      </c>
      <c r="AC550">
        <v>0</v>
      </c>
      <c r="AD550" t="s">
        <v>565</v>
      </c>
      <c r="AE550">
        <v>6975.826</v>
      </c>
      <c r="AF550">
        <v>1430</v>
      </c>
      <c r="AG550" t="s">
        <v>622</v>
      </c>
      <c r="AH550">
        <v>1</v>
      </c>
      <c r="AI550">
        <v>4.8781999999999996</v>
      </c>
      <c r="AJ550" t="s">
        <v>561</v>
      </c>
      <c r="AK550" t="s">
        <v>623</v>
      </c>
      <c r="AL550" t="s">
        <v>624</v>
      </c>
      <c r="AM550">
        <v>2021</v>
      </c>
      <c r="AN550">
        <v>2007</v>
      </c>
      <c r="AO550">
        <f>IF(AND(emissions[[#This Row],[Market-based]]=0,emissions[[#This Row],[Impact Type]]="CO2E"),emissions[[#This Row],[kgCO2e]],0)/1000</f>
        <v>6.9758259999999996</v>
      </c>
      <c r="AP550">
        <f>IF(AND(emissions[[#This Row],[Market-based]]=1,OR(emissions[[#This Row],[Impact Type]]="CO2E",emissions[[#This Row],[Impact Type]]="CO2E MKT")),emissions[[#This Row],[kgCO2e]],0)/1000</f>
        <v>0</v>
      </c>
      <c r="AQ550" t="str">
        <f>_xlfn.TEXTAFTER(emissions[[#This Row],[Reporting Unit]]," &gt; ",LEN(emissions[[#This Row],[Reporting Unit]])-LEN(SUBSTITUTE(emissions[[#This Row],[Reporting Unit]],"&gt;","")))</f>
        <v>Vantage_South Africa</v>
      </c>
      <c r="AR550" t="str">
        <f>_xlfn.XLOOKUP(emissions[[#This Row],[Reporting unit name]],hierarchy!$A:$A,hierarchy!$C:$C)</f>
        <v>Labratory</v>
      </c>
    </row>
    <row r="551" spans="1:44" hidden="1" x14ac:dyDescent="0.25">
      <c r="A551">
        <v>5048</v>
      </c>
      <c r="B551" t="s">
        <v>107</v>
      </c>
      <c r="C551" t="s">
        <v>475</v>
      </c>
      <c r="D551" t="s">
        <v>599</v>
      </c>
      <c r="E551" s="3">
        <v>44197</v>
      </c>
      <c r="F551" s="3">
        <v>44561</v>
      </c>
      <c r="G551" t="s">
        <v>116</v>
      </c>
      <c r="H551" s="3">
        <v>44197</v>
      </c>
      <c r="I551" s="3">
        <v>44561</v>
      </c>
      <c r="J551" t="s">
        <v>128</v>
      </c>
      <c r="K551">
        <v>4.8781999999999996</v>
      </c>
      <c r="L551" t="s">
        <v>118</v>
      </c>
      <c r="M551" t="s">
        <v>82</v>
      </c>
      <c r="O551" t="s">
        <v>618</v>
      </c>
      <c r="P551" t="s">
        <v>550</v>
      </c>
      <c r="Q551">
        <v>2021</v>
      </c>
      <c r="R551" t="s">
        <v>619</v>
      </c>
      <c r="S551" t="s">
        <v>620</v>
      </c>
      <c r="T551" t="s">
        <v>553</v>
      </c>
      <c r="U551" t="b">
        <v>0</v>
      </c>
      <c r="V551" t="s">
        <v>621</v>
      </c>
      <c r="W551" t="s">
        <v>587</v>
      </c>
      <c r="X551" t="s">
        <v>556</v>
      </c>
      <c r="AC551">
        <v>1</v>
      </c>
      <c r="AD551" t="s">
        <v>565</v>
      </c>
      <c r="AE551">
        <v>6975.826</v>
      </c>
      <c r="AF551">
        <v>1430</v>
      </c>
      <c r="AG551" t="s">
        <v>622</v>
      </c>
      <c r="AH551">
        <v>1</v>
      </c>
      <c r="AI551">
        <v>4.8781999999999996</v>
      </c>
      <c r="AJ551" t="s">
        <v>561</v>
      </c>
      <c r="AK551" t="s">
        <v>623</v>
      </c>
      <c r="AL551" t="s">
        <v>624</v>
      </c>
      <c r="AM551">
        <v>2021</v>
      </c>
      <c r="AN551">
        <v>2007</v>
      </c>
      <c r="AO551">
        <f>IF(AND(emissions[[#This Row],[Market-based]]=0,emissions[[#This Row],[Impact Type]]="CO2E"),emissions[[#This Row],[kgCO2e]],0)/1000</f>
        <v>0</v>
      </c>
      <c r="AP551">
        <f>IF(AND(emissions[[#This Row],[Market-based]]=1,OR(emissions[[#This Row],[Impact Type]]="CO2E",emissions[[#This Row],[Impact Type]]="CO2E MKT")),emissions[[#This Row],[kgCO2e]],0)/1000</f>
        <v>6.9758259999999996</v>
      </c>
      <c r="AQ551" t="str">
        <f>_xlfn.TEXTAFTER(emissions[[#This Row],[Reporting Unit]]," &gt; ",LEN(emissions[[#This Row],[Reporting Unit]])-LEN(SUBSTITUTE(emissions[[#This Row],[Reporting Unit]],"&gt;","")))</f>
        <v>Vantage_South Africa</v>
      </c>
      <c r="AR551" t="str">
        <f>_xlfn.XLOOKUP(emissions[[#This Row],[Reporting unit name]],hierarchy!$A:$A,hierarchy!$C:$C)</f>
        <v>Labratory</v>
      </c>
    </row>
    <row r="552" spans="1:44" hidden="1" x14ac:dyDescent="0.25">
      <c r="A552">
        <v>1230929</v>
      </c>
      <c r="B552" t="s">
        <v>107</v>
      </c>
      <c r="C552" t="s">
        <v>475</v>
      </c>
      <c r="D552" t="s">
        <v>599</v>
      </c>
      <c r="E552" s="3">
        <v>44197</v>
      </c>
      <c r="F552" s="3">
        <v>44561</v>
      </c>
      <c r="G552" t="s">
        <v>121</v>
      </c>
      <c r="H552" s="3">
        <v>44197</v>
      </c>
      <c r="I552" s="3">
        <v>44561</v>
      </c>
      <c r="J552" t="s">
        <v>122</v>
      </c>
      <c r="K552">
        <v>228</v>
      </c>
      <c r="L552" t="s">
        <v>118</v>
      </c>
      <c r="M552" t="s">
        <v>110</v>
      </c>
      <c r="O552" t="s">
        <v>760</v>
      </c>
      <c r="P552" t="s">
        <v>550</v>
      </c>
      <c r="Q552">
        <v>2021</v>
      </c>
      <c r="R552" t="s">
        <v>742</v>
      </c>
      <c r="S552" t="s">
        <v>122</v>
      </c>
      <c r="T552" t="s">
        <v>553</v>
      </c>
      <c r="U552" t="b">
        <v>0</v>
      </c>
      <c r="V552" t="s">
        <v>743</v>
      </c>
      <c r="W552" t="s">
        <v>587</v>
      </c>
      <c r="X552" t="s">
        <v>556</v>
      </c>
      <c r="AC552">
        <v>0</v>
      </c>
      <c r="AD552" t="s">
        <v>558</v>
      </c>
      <c r="AE552">
        <v>0.51983999999999997</v>
      </c>
      <c r="AF552">
        <v>2.2799999999999998</v>
      </c>
      <c r="AG552" t="s">
        <v>756</v>
      </c>
      <c r="AH552">
        <v>1E-3</v>
      </c>
      <c r="AI552">
        <v>0.22800000000000001</v>
      </c>
      <c r="AJ552" t="s">
        <v>561</v>
      </c>
      <c r="AK552" t="s">
        <v>589</v>
      </c>
      <c r="AL552" t="s">
        <v>603</v>
      </c>
      <c r="AM552">
        <v>2021</v>
      </c>
      <c r="AN552">
        <v>2019</v>
      </c>
      <c r="AO552">
        <f>IF(AND(emissions[[#This Row],[Market-based]]=0,emissions[[#This Row],[Impact Type]]="CO2E"),emissions[[#This Row],[kgCO2e]],0)/1000</f>
        <v>0</v>
      </c>
      <c r="AP552">
        <f>IF(AND(emissions[[#This Row],[Market-based]]=1,OR(emissions[[#This Row],[Impact Type]]="CO2E",emissions[[#This Row],[Impact Type]]="CO2E MKT")),emissions[[#This Row],[kgCO2e]],0)/1000</f>
        <v>0</v>
      </c>
      <c r="AQ552" t="str">
        <f>_xlfn.TEXTAFTER(emissions[[#This Row],[Reporting Unit]]," &gt; ",LEN(emissions[[#This Row],[Reporting Unit]])-LEN(SUBSTITUTE(emissions[[#This Row],[Reporting Unit]],"&gt;","")))</f>
        <v>Vantage_South Africa</v>
      </c>
      <c r="AR552" t="str">
        <f>_xlfn.XLOOKUP(emissions[[#This Row],[Reporting unit name]],hierarchy!$A:$A,hierarchy!$C:$C)</f>
        <v>Labratory</v>
      </c>
    </row>
    <row r="553" spans="1:44" hidden="1" x14ac:dyDescent="0.25">
      <c r="A553">
        <v>1230929</v>
      </c>
      <c r="B553" t="s">
        <v>107</v>
      </c>
      <c r="C553" t="s">
        <v>475</v>
      </c>
      <c r="D553" t="s">
        <v>599</v>
      </c>
      <c r="E553" s="3">
        <v>44197</v>
      </c>
      <c r="F553" s="3">
        <v>44561</v>
      </c>
      <c r="G553" t="s">
        <v>121</v>
      </c>
      <c r="H553" s="3">
        <v>44197</v>
      </c>
      <c r="I553" s="3">
        <v>44561</v>
      </c>
      <c r="J553" t="s">
        <v>122</v>
      </c>
      <c r="K553">
        <v>228</v>
      </c>
      <c r="L553" t="s">
        <v>118</v>
      </c>
      <c r="M553" t="s">
        <v>110</v>
      </c>
      <c r="O553" t="s">
        <v>760</v>
      </c>
      <c r="P553" t="s">
        <v>550</v>
      </c>
      <c r="Q553">
        <v>2021</v>
      </c>
      <c r="R553" t="s">
        <v>742</v>
      </c>
      <c r="S553" t="s">
        <v>122</v>
      </c>
      <c r="T553" t="s">
        <v>553</v>
      </c>
      <c r="U553" t="b">
        <v>0</v>
      </c>
      <c r="V553" t="s">
        <v>743</v>
      </c>
      <c r="W553" t="s">
        <v>587</v>
      </c>
      <c r="X553" t="s">
        <v>556</v>
      </c>
      <c r="AC553">
        <v>0</v>
      </c>
      <c r="AD553" t="s">
        <v>564</v>
      </c>
      <c r="AE553">
        <v>669.22104000000002</v>
      </c>
      <c r="AF553">
        <v>2935.18</v>
      </c>
      <c r="AG553" t="s">
        <v>756</v>
      </c>
      <c r="AH553">
        <v>1E-3</v>
      </c>
      <c r="AI553">
        <v>0.22800000000000001</v>
      </c>
      <c r="AJ553" t="s">
        <v>561</v>
      </c>
      <c r="AK553" t="s">
        <v>589</v>
      </c>
      <c r="AL553" t="s">
        <v>603</v>
      </c>
      <c r="AM553">
        <v>2021</v>
      </c>
      <c r="AN553">
        <v>2019</v>
      </c>
      <c r="AO553">
        <f>IF(AND(emissions[[#This Row],[Market-based]]=0,emissions[[#This Row],[Impact Type]]="CO2E"),emissions[[#This Row],[kgCO2e]],0)/1000</f>
        <v>0</v>
      </c>
      <c r="AP553">
        <f>IF(AND(emissions[[#This Row],[Market-based]]=1,OR(emissions[[#This Row],[Impact Type]]="CO2E",emissions[[#This Row],[Impact Type]]="CO2E MKT")),emissions[[#This Row],[kgCO2e]],0)/1000</f>
        <v>0</v>
      </c>
      <c r="AQ553" t="str">
        <f>_xlfn.TEXTAFTER(emissions[[#This Row],[Reporting Unit]]," &gt; ",LEN(emissions[[#This Row],[Reporting Unit]])-LEN(SUBSTITUTE(emissions[[#This Row],[Reporting Unit]],"&gt;","")))</f>
        <v>Vantage_South Africa</v>
      </c>
      <c r="AR553" t="str">
        <f>_xlfn.XLOOKUP(emissions[[#This Row],[Reporting unit name]],hierarchy!$A:$A,hierarchy!$C:$C)</f>
        <v>Labratory</v>
      </c>
    </row>
    <row r="554" spans="1:44" hidden="1" x14ac:dyDescent="0.25">
      <c r="A554">
        <v>1230929</v>
      </c>
      <c r="B554" t="s">
        <v>107</v>
      </c>
      <c r="C554" t="s">
        <v>475</v>
      </c>
      <c r="D554" t="s">
        <v>599</v>
      </c>
      <c r="E554" s="3">
        <v>44197</v>
      </c>
      <c r="F554" s="3">
        <v>44561</v>
      </c>
      <c r="G554" t="s">
        <v>121</v>
      </c>
      <c r="H554" s="3">
        <v>44197</v>
      </c>
      <c r="I554" s="3">
        <v>44561</v>
      </c>
      <c r="J554" t="s">
        <v>122</v>
      </c>
      <c r="K554">
        <v>228</v>
      </c>
      <c r="L554" t="s">
        <v>118</v>
      </c>
      <c r="M554" t="s">
        <v>110</v>
      </c>
      <c r="O554" t="s">
        <v>760</v>
      </c>
      <c r="P554" t="s">
        <v>550</v>
      </c>
      <c r="Q554">
        <v>2021</v>
      </c>
      <c r="R554" t="s">
        <v>742</v>
      </c>
      <c r="S554" t="s">
        <v>122</v>
      </c>
      <c r="T554" t="s">
        <v>553</v>
      </c>
      <c r="U554" t="b">
        <v>0</v>
      </c>
      <c r="V554" t="s">
        <v>743</v>
      </c>
      <c r="W554" t="s">
        <v>587</v>
      </c>
      <c r="X554" t="s">
        <v>556</v>
      </c>
      <c r="AC554">
        <v>0</v>
      </c>
      <c r="AD554" t="s">
        <v>565</v>
      </c>
      <c r="AE554">
        <v>670.15812000000005</v>
      </c>
      <c r="AF554">
        <v>2939.29</v>
      </c>
      <c r="AG554" t="s">
        <v>756</v>
      </c>
      <c r="AH554">
        <v>1E-3</v>
      </c>
      <c r="AI554">
        <v>0.22800000000000001</v>
      </c>
      <c r="AJ554" t="s">
        <v>561</v>
      </c>
      <c r="AK554" t="s">
        <v>589</v>
      </c>
      <c r="AL554" t="s">
        <v>603</v>
      </c>
      <c r="AM554">
        <v>2021</v>
      </c>
      <c r="AN554">
        <v>2019</v>
      </c>
      <c r="AO554">
        <f>IF(AND(emissions[[#This Row],[Market-based]]=0,emissions[[#This Row],[Impact Type]]="CO2E"),emissions[[#This Row],[kgCO2e]],0)/1000</f>
        <v>0.67015812000000008</v>
      </c>
      <c r="AP554">
        <f>IF(AND(emissions[[#This Row],[Market-based]]=1,OR(emissions[[#This Row],[Impact Type]]="CO2E",emissions[[#This Row],[Impact Type]]="CO2E MKT")),emissions[[#This Row],[kgCO2e]],0)/1000</f>
        <v>0</v>
      </c>
      <c r="AQ554" t="str">
        <f>_xlfn.TEXTAFTER(emissions[[#This Row],[Reporting Unit]]," &gt; ",LEN(emissions[[#This Row],[Reporting Unit]])-LEN(SUBSTITUTE(emissions[[#This Row],[Reporting Unit]],"&gt;","")))</f>
        <v>Vantage_South Africa</v>
      </c>
      <c r="AR554" t="str">
        <f>_xlfn.XLOOKUP(emissions[[#This Row],[Reporting unit name]],hierarchy!$A:$A,hierarchy!$C:$C)</f>
        <v>Labratory</v>
      </c>
    </row>
    <row r="555" spans="1:44" hidden="1" x14ac:dyDescent="0.25">
      <c r="A555">
        <v>1230929</v>
      </c>
      <c r="B555" t="s">
        <v>107</v>
      </c>
      <c r="C555" t="s">
        <v>475</v>
      </c>
      <c r="D555" t="s">
        <v>599</v>
      </c>
      <c r="E555" s="3">
        <v>44197</v>
      </c>
      <c r="F555" s="3">
        <v>44561</v>
      </c>
      <c r="G555" t="s">
        <v>121</v>
      </c>
      <c r="H555" s="3">
        <v>44197</v>
      </c>
      <c r="I555" s="3">
        <v>44561</v>
      </c>
      <c r="J555" t="s">
        <v>122</v>
      </c>
      <c r="K555">
        <v>228</v>
      </c>
      <c r="L555" t="s">
        <v>118</v>
      </c>
      <c r="M555" t="s">
        <v>110</v>
      </c>
      <c r="O555" t="s">
        <v>760</v>
      </c>
      <c r="P555" t="s">
        <v>550</v>
      </c>
      <c r="Q555">
        <v>2021</v>
      </c>
      <c r="R555" t="s">
        <v>742</v>
      </c>
      <c r="S555" t="s">
        <v>122</v>
      </c>
      <c r="T555" t="s">
        <v>553</v>
      </c>
      <c r="U555" t="b">
        <v>0</v>
      </c>
      <c r="V555" t="s">
        <v>743</v>
      </c>
      <c r="W555" t="s">
        <v>587</v>
      </c>
      <c r="X555" t="s">
        <v>556</v>
      </c>
      <c r="AC555">
        <v>0</v>
      </c>
      <c r="AD555" t="s">
        <v>566</v>
      </c>
      <c r="AE555">
        <v>0.41724</v>
      </c>
      <c r="AF555">
        <v>1.83</v>
      </c>
      <c r="AG555" t="s">
        <v>756</v>
      </c>
      <c r="AH555">
        <v>1E-3</v>
      </c>
      <c r="AI555">
        <v>0.22800000000000001</v>
      </c>
      <c r="AJ555" t="s">
        <v>561</v>
      </c>
      <c r="AK555" t="s">
        <v>589</v>
      </c>
      <c r="AL555" t="s">
        <v>603</v>
      </c>
      <c r="AM555">
        <v>2021</v>
      </c>
      <c r="AN555">
        <v>2019</v>
      </c>
      <c r="AO555">
        <f>IF(AND(emissions[[#This Row],[Market-based]]=0,emissions[[#This Row],[Impact Type]]="CO2E"),emissions[[#This Row],[kgCO2e]],0)/1000</f>
        <v>0</v>
      </c>
      <c r="AP555">
        <f>IF(AND(emissions[[#This Row],[Market-based]]=1,OR(emissions[[#This Row],[Impact Type]]="CO2E",emissions[[#This Row],[Impact Type]]="CO2E MKT")),emissions[[#This Row],[kgCO2e]],0)/1000</f>
        <v>0</v>
      </c>
      <c r="AQ555" t="str">
        <f>_xlfn.TEXTAFTER(emissions[[#This Row],[Reporting Unit]]," &gt; ",LEN(emissions[[#This Row],[Reporting Unit]])-LEN(SUBSTITUTE(emissions[[#This Row],[Reporting Unit]],"&gt;","")))</f>
        <v>Vantage_South Africa</v>
      </c>
      <c r="AR555" t="str">
        <f>_xlfn.XLOOKUP(emissions[[#This Row],[Reporting unit name]],hierarchy!$A:$A,hierarchy!$C:$C)</f>
        <v>Labratory</v>
      </c>
    </row>
    <row r="556" spans="1:44" hidden="1" x14ac:dyDescent="0.25">
      <c r="A556">
        <v>1230929</v>
      </c>
      <c r="B556" t="s">
        <v>107</v>
      </c>
      <c r="C556" t="s">
        <v>475</v>
      </c>
      <c r="D556" t="s">
        <v>599</v>
      </c>
      <c r="E556" s="3">
        <v>44197</v>
      </c>
      <c r="F556" s="3">
        <v>44561</v>
      </c>
      <c r="G556" t="s">
        <v>121</v>
      </c>
      <c r="H556" s="3">
        <v>44197</v>
      </c>
      <c r="I556" s="3">
        <v>44561</v>
      </c>
      <c r="J556" t="s">
        <v>122</v>
      </c>
      <c r="K556">
        <v>228</v>
      </c>
      <c r="L556" t="s">
        <v>118</v>
      </c>
      <c r="M556" t="s">
        <v>110</v>
      </c>
      <c r="O556" t="s">
        <v>760</v>
      </c>
      <c r="P556" t="s">
        <v>550</v>
      </c>
      <c r="Q556">
        <v>2021</v>
      </c>
      <c r="R556" t="s">
        <v>742</v>
      </c>
      <c r="S556" t="s">
        <v>122</v>
      </c>
      <c r="T556" t="s">
        <v>553</v>
      </c>
      <c r="U556" t="b">
        <v>0</v>
      </c>
      <c r="V556" t="s">
        <v>743</v>
      </c>
      <c r="W556" t="s">
        <v>587</v>
      </c>
      <c r="X556" t="s">
        <v>556</v>
      </c>
      <c r="AC556">
        <v>1</v>
      </c>
      <c r="AD556" t="s">
        <v>558</v>
      </c>
      <c r="AE556">
        <v>0.51983999999999997</v>
      </c>
      <c r="AF556">
        <v>2.2799999999999998</v>
      </c>
      <c r="AG556" t="s">
        <v>756</v>
      </c>
      <c r="AH556">
        <v>1E-3</v>
      </c>
      <c r="AI556">
        <v>0.22800000000000001</v>
      </c>
      <c r="AJ556" t="s">
        <v>561</v>
      </c>
      <c r="AK556" t="s">
        <v>589</v>
      </c>
      <c r="AL556" t="s">
        <v>603</v>
      </c>
      <c r="AM556">
        <v>2021</v>
      </c>
      <c r="AN556">
        <v>2019</v>
      </c>
      <c r="AO556">
        <f>IF(AND(emissions[[#This Row],[Market-based]]=0,emissions[[#This Row],[Impact Type]]="CO2E"),emissions[[#This Row],[kgCO2e]],0)/1000</f>
        <v>0</v>
      </c>
      <c r="AP556">
        <f>IF(AND(emissions[[#This Row],[Market-based]]=1,OR(emissions[[#This Row],[Impact Type]]="CO2E",emissions[[#This Row],[Impact Type]]="CO2E MKT")),emissions[[#This Row],[kgCO2e]],0)/1000</f>
        <v>0</v>
      </c>
      <c r="AQ556" t="str">
        <f>_xlfn.TEXTAFTER(emissions[[#This Row],[Reporting Unit]]," &gt; ",LEN(emissions[[#This Row],[Reporting Unit]])-LEN(SUBSTITUTE(emissions[[#This Row],[Reporting Unit]],"&gt;","")))</f>
        <v>Vantage_South Africa</v>
      </c>
      <c r="AR556" t="str">
        <f>_xlfn.XLOOKUP(emissions[[#This Row],[Reporting unit name]],hierarchy!$A:$A,hierarchy!$C:$C)</f>
        <v>Labratory</v>
      </c>
    </row>
    <row r="557" spans="1:44" hidden="1" x14ac:dyDescent="0.25">
      <c r="A557">
        <v>1230929</v>
      </c>
      <c r="B557" t="s">
        <v>107</v>
      </c>
      <c r="C557" t="s">
        <v>475</v>
      </c>
      <c r="D557" t="s">
        <v>599</v>
      </c>
      <c r="E557" s="3">
        <v>44197</v>
      </c>
      <c r="F557" s="3">
        <v>44561</v>
      </c>
      <c r="G557" t="s">
        <v>121</v>
      </c>
      <c r="H557" s="3">
        <v>44197</v>
      </c>
      <c r="I557" s="3">
        <v>44561</v>
      </c>
      <c r="J557" t="s">
        <v>122</v>
      </c>
      <c r="K557">
        <v>228</v>
      </c>
      <c r="L557" t="s">
        <v>118</v>
      </c>
      <c r="M557" t="s">
        <v>110</v>
      </c>
      <c r="O557" t="s">
        <v>760</v>
      </c>
      <c r="P557" t="s">
        <v>550</v>
      </c>
      <c r="Q557">
        <v>2021</v>
      </c>
      <c r="R557" t="s">
        <v>742</v>
      </c>
      <c r="S557" t="s">
        <v>122</v>
      </c>
      <c r="T557" t="s">
        <v>553</v>
      </c>
      <c r="U557" t="b">
        <v>0</v>
      </c>
      <c r="V557" t="s">
        <v>743</v>
      </c>
      <c r="W557" t="s">
        <v>587</v>
      </c>
      <c r="X557" t="s">
        <v>556</v>
      </c>
      <c r="AC557">
        <v>1</v>
      </c>
      <c r="AD557" t="s">
        <v>564</v>
      </c>
      <c r="AE557">
        <v>669.22104000000002</v>
      </c>
      <c r="AF557">
        <v>2935.18</v>
      </c>
      <c r="AG557" t="s">
        <v>756</v>
      </c>
      <c r="AH557">
        <v>1E-3</v>
      </c>
      <c r="AI557">
        <v>0.22800000000000001</v>
      </c>
      <c r="AJ557" t="s">
        <v>561</v>
      </c>
      <c r="AK557" t="s">
        <v>589</v>
      </c>
      <c r="AL557" t="s">
        <v>603</v>
      </c>
      <c r="AM557">
        <v>2021</v>
      </c>
      <c r="AN557">
        <v>2019</v>
      </c>
      <c r="AO557">
        <f>IF(AND(emissions[[#This Row],[Market-based]]=0,emissions[[#This Row],[Impact Type]]="CO2E"),emissions[[#This Row],[kgCO2e]],0)/1000</f>
        <v>0</v>
      </c>
      <c r="AP557">
        <f>IF(AND(emissions[[#This Row],[Market-based]]=1,OR(emissions[[#This Row],[Impact Type]]="CO2E",emissions[[#This Row],[Impact Type]]="CO2E MKT")),emissions[[#This Row],[kgCO2e]],0)/1000</f>
        <v>0</v>
      </c>
      <c r="AQ557" t="str">
        <f>_xlfn.TEXTAFTER(emissions[[#This Row],[Reporting Unit]]," &gt; ",LEN(emissions[[#This Row],[Reporting Unit]])-LEN(SUBSTITUTE(emissions[[#This Row],[Reporting Unit]],"&gt;","")))</f>
        <v>Vantage_South Africa</v>
      </c>
      <c r="AR557" t="str">
        <f>_xlfn.XLOOKUP(emissions[[#This Row],[Reporting unit name]],hierarchy!$A:$A,hierarchy!$C:$C)</f>
        <v>Labratory</v>
      </c>
    </row>
    <row r="558" spans="1:44" hidden="1" x14ac:dyDescent="0.25">
      <c r="A558">
        <v>1230929</v>
      </c>
      <c r="B558" t="s">
        <v>107</v>
      </c>
      <c r="C558" t="s">
        <v>475</v>
      </c>
      <c r="D558" t="s">
        <v>599</v>
      </c>
      <c r="E558" s="3">
        <v>44197</v>
      </c>
      <c r="F558" s="3">
        <v>44561</v>
      </c>
      <c r="G558" t="s">
        <v>121</v>
      </c>
      <c r="H558" s="3">
        <v>44197</v>
      </c>
      <c r="I558" s="3">
        <v>44561</v>
      </c>
      <c r="J558" t="s">
        <v>122</v>
      </c>
      <c r="K558">
        <v>228</v>
      </c>
      <c r="L558" t="s">
        <v>118</v>
      </c>
      <c r="M558" t="s">
        <v>110</v>
      </c>
      <c r="O558" t="s">
        <v>760</v>
      </c>
      <c r="P558" t="s">
        <v>550</v>
      </c>
      <c r="Q558">
        <v>2021</v>
      </c>
      <c r="R558" t="s">
        <v>742</v>
      </c>
      <c r="S558" t="s">
        <v>122</v>
      </c>
      <c r="T558" t="s">
        <v>553</v>
      </c>
      <c r="U558" t="b">
        <v>0</v>
      </c>
      <c r="V558" t="s">
        <v>743</v>
      </c>
      <c r="W558" t="s">
        <v>587</v>
      </c>
      <c r="X558" t="s">
        <v>556</v>
      </c>
      <c r="AC558">
        <v>1</v>
      </c>
      <c r="AD558" t="s">
        <v>565</v>
      </c>
      <c r="AE558">
        <v>670.15812000000005</v>
      </c>
      <c r="AF558">
        <v>2939.29</v>
      </c>
      <c r="AG558" t="s">
        <v>756</v>
      </c>
      <c r="AH558">
        <v>1E-3</v>
      </c>
      <c r="AI558">
        <v>0.22800000000000001</v>
      </c>
      <c r="AJ558" t="s">
        <v>561</v>
      </c>
      <c r="AK558" t="s">
        <v>589</v>
      </c>
      <c r="AL558" t="s">
        <v>603</v>
      </c>
      <c r="AM558">
        <v>2021</v>
      </c>
      <c r="AN558">
        <v>2019</v>
      </c>
      <c r="AO558">
        <f>IF(AND(emissions[[#This Row],[Market-based]]=0,emissions[[#This Row],[Impact Type]]="CO2E"),emissions[[#This Row],[kgCO2e]],0)/1000</f>
        <v>0</v>
      </c>
      <c r="AP558">
        <f>IF(AND(emissions[[#This Row],[Market-based]]=1,OR(emissions[[#This Row],[Impact Type]]="CO2E",emissions[[#This Row],[Impact Type]]="CO2E MKT")),emissions[[#This Row],[kgCO2e]],0)/1000</f>
        <v>0.67015812000000008</v>
      </c>
      <c r="AQ558" t="str">
        <f>_xlfn.TEXTAFTER(emissions[[#This Row],[Reporting Unit]]," &gt; ",LEN(emissions[[#This Row],[Reporting Unit]])-LEN(SUBSTITUTE(emissions[[#This Row],[Reporting Unit]],"&gt;","")))</f>
        <v>Vantage_South Africa</v>
      </c>
      <c r="AR558" t="str">
        <f>_xlfn.XLOOKUP(emissions[[#This Row],[Reporting unit name]],hierarchy!$A:$A,hierarchy!$C:$C)</f>
        <v>Labratory</v>
      </c>
    </row>
    <row r="559" spans="1:44" hidden="1" x14ac:dyDescent="0.25">
      <c r="A559">
        <v>1230929</v>
      </c>
      <c r="B559" t="s">
        <v>107</v>
      </c>
      <c r="C559" t="s">
        <v>475</v>
      </c>
      <c r="D559" t="s">
        <v>599</v>
      </c>
      <c r="E559" s="3">
        <v>44197</v>
      </c>
      <c r="F559" s="3">
        <v>44561</v>
      </c>
      <c r="G559" t="s">
        <v>121</v>
      </c>
      <c r="H559" s="3">
        <v>44197</v>
      </c>
      <c r="I559" s="3">
        <v>44561</v>
      </c>
      <c r="J559" t="s">
        <v>122</v>
      </c>
      <c r="K559">
        <v>228</v>
      </c>
      <c r="L559" t="s">
        <v>118</v>
      </c>
      <c r="M559" t="s">
        <v>110</v>
      </c>
      <c r="O559" t="s">
        <v>760</v>
      </c>
      <c r="P559" t="s">
        <v>550</v>
      </c>
      <c r="Q559">
        <v>2021</v>
      </c>
      <c r="R559" t="s">
        <v>742</v>
      </c>
      <c r="S559" t="s">
        <v>122</v>
      </c>
      <c r="T559" t="s">
        <v>553</v>
      </c>
      <c r="U559" t="b">
        <v>0</v>
      </c>
      <c r="V559" t="s">
        <v>743</v>
      </c>
      <c r="W559" t="s">
        <v>587</v>
      </c>
      <c r="X559" t="s">
        <v>556</v>
      </c>
      <c r="AC559">
        <v>1</v>
      </c>
      <c r="AD559" t="s">
        <v>566</v>
      </c>
      <c r="AE559">
        <v>0.41724</v>
      </c>
      <c r="AF559">
        <v>1.83</v>
      </c>
      <c r="AG559" t="s">
        <v>756</v>
      </c>
      <c r="AH559">
        <v>1E-3</v>
      </c>
      <c r="AI559">
        <v>0.22800000000000001</v>
      </c>
      <c r="AJ559" t="s">
        <v>561</v>
      </c>
      <c r="AK559" t="s">
        <v>589</v>
      </c>
      <c r="AL559" t="s">
        <v>603</v>
      </c>
      <c r="AM559">
        <v>2021</v>
      </c>
      <c r="AN559">
        <v>2019</v>
      </c>
      <c r="AO559">
        <f>IF(AND(emissions[[#This Row],[Market-based]]=0,emissions[[#This Row],[Impact Type]]="CO2E"),emissions[[#This Row],[kgCO2e]],0)/1000</f>
        <v>0</v>
      </c>
      <c r="AP559">
        <f>IF(AND(emissions[[#This Row],[Market-based]]=1,OR(emissions[[#This Row],[Impact Type]]="CO2E",emissions[[#This Row],[Impact Type]]="CO2E MKT")),emissions[[#This Row],[kgCO2e]],0)/1000</f>
        <v>0</v>
      </c>
      <c r="AQ559" t="str">
        <f>_xlfn.TEXTAFTER(emissions[[#This Row],[Reporting Unit]]," &gt; ",LEN(emissions[[#This Row],[Reporting Unit]])-LEN(SUBSTITUTE(emissions[[#This Row],[Reporting Unit]],"&gt;","")))</f>
        <v>Vantage_South Africa</v>
      </c>
      <c r="AR559" t="str">
        <f>_xlfn.XLOOKUP(emissions[[#This Row],[Reporting unit name]],hierarchy!$A:$A,hierarchy!$C:$C)</f>
        <v>Labratory</v>
      </c>
    </row>
    <row r="560" spans="1:44" hidden="1" x14ac:dyDescent="0.25">
      <c r="A560">
        <v>1230929</v>
      </c>
      <c r="B560" t="s">
        <v>107</v>
      </c>
      <c r="C560" t="s">
        <v>475</v>
      </c>
      <c r="D560" t="s">
        <v>599</v>
      </c>
      <c r="E560" s="3">
        <v>44197</v>
      </c>
      <c r="F560" s="3">
        <v>44561</v>
      </c>
      <c r="G560" t="s">
        <v>121</v>
      </c>
      <c r="H560" s="3">
        <v>44197</v>
      </c>
      <c r="I560" s="3">
        <v>44561</v>
      </c>
      <c r="J560" t="s">
        <v>122</v>
      </c>
      <c r="K560">
        <v>228</v>
      </c>
      <c r="L560" t="s">
        <v>118</v>
      </c>
      <c r="M560" t="s">
        <v>110</v>
      </c>
      <c r="O560" t="s">
        <v>760</v>
      </c>
      <c r="P560" t="s">
        <v>550</v>
      </c>
      <c r="Q560">
        <v>2021</v>
      </c>
      <c r="R560" t="s">
        <v>744</v>
      </c>
      <c r="S560" t="s">
        <v>745</v>
      </c>
      <c r="T560" t="s">
        <v>577</v>
      </c>
      <c r="U560" t="b">
        <v>0</v>
      </c>
      <c r="V560" t="s">
        <v>761</v>
      </c>
      <c r="W560" t="s">
        <v>571</v>
      </c>
      <c r="X560" t="s">
        <v>572</v>
      </c>
      <c r="AC560">
        <v>0</v>
      </c>
      <c r="AD560" t="s">
        <v>565</v>
      </c>
      <c r="AE560">
        <v>79.118120399999995</v>
      </c>
      <c r="AF560">
        <v>347.0093</v>
      </c>
      <c r="AG560" t="s">
        <v>756</v>
      </c>
      <c r="AH560">
        <v>1E-3</v>
      </c>
      <c r="AI560">
        <v>0.22800000000000001</v>
      </c>
      <c r="AJ560" t="s">
        <v>561</v>
      </c>
      <c r="AK560" t="s">
        <v>589</v>
      </c>
      <c r="AL560" t="s">
        <v>603</v>
      </c>
      <c r="AM560">
        <v>2021</v>
      </c>
      <c r="AN560">
        <v>2019</v>
      </c>
      <c r="AO560">
        <f>IF(AND(emissions[[#This Row],[Market-based]]=0,emissions[[#This Row],[Impact Type]]="CO2E"),emissions[[#This Row],[kgCO2e]],0)/1000</f>
        <v>7.9118120399999992E-2</v>
      </c>
      <c r="AP560">
        <f>IF(AND(emissions[[#This Row],[Market-based]]=1,OR(emissions[[#This Row],[Impact Type]]="CO2E",emissions[[#This Row],[Impact Type]]="CO2E MKT")),emissions[[#This Row],[kgCO2e]],0)/1000</f>
        <v>0</v>
      </c>
      <c r="AQ560" t="str">
        <f>_xlfn.TEXTAFTER(emissions[[#This Row],[Reporting Unit]]," &gt; ",LEN(emissions[[#This Row],[Reporting Unit]])-LEN(SUBSTITUTE(emissions[[#This Row],[Reporting Unit]],"&gt;","")))</f>
        <v>Vantage_South Africa</v>
      </c>
      <c r="AR560" t="str">
        <f>_xlfn.XLOOKUP(emissions[[#This Row],[Reporting unit name]],hierarchy!$A:$A,hierarchy!$C:$C)</f>
        <v>Labratory</v>
      </c>
    </row>
    <row r="561" spans="1:44" hidden="1" x14ac:dyDescent="0.25">
      <c r="A561">
        <v>1230929</v>
      </c>
      <c r="B561" t="s">
        <v>107</v>
      </c>
      <c r="C561" t="s">
        <v>475</v>
      </c>
      <c r="D561" t="s">
        <v>599</v>
      </c>
      <c r="E561" s="3">
        <v>44197</v>
      </c>
      <c r="F561" s="3">
        <v>44561</v>
      </c>
      <c r="G561" t="s">
        <v>121</v>
      </c>
      <c r="H561" s="3">
        <v>44197</v>
      </c>
      <c r="I561" s="3">
        <v>44561</v>
      </c>
      <c r="J561" t="s">
        <v>122</v>
      </c>
      <c r="K561">
        <v>228</v>
      </c>
      <c r="L561" t="s">
        <v>118</v>
      </c>
      <c r="M561" t="s">
        <v>110</v>
      </c>
      <c r="O561" t="s">
        <v>760</v>
      </c>
      <c r="P561" t="s">
        <v>550</v>
      </c>
      <c r="Q561">
        <v>2021</v>
      </c>
      <c r="R561" t="s">
        <v>744</v>
      </c>
      <c r="S561" t="s">
        <v>745</v>
      </c>
      <c r="T561" t="s">
        <v>577</v>
      </c>
      <c r="U561" t="b">
        <v>0</v>
      </c>
      <c r="V561" t="s">
        <v>761</v>
      </c>
      <c r="W561" t="s">
        <v>571</v>
      </c>
      <c r="X561" t="s">
        <v>572</v>
      </c>
      <c r="AC561">
        <v>1</v>
      </c>
      <c r="AD561" t="s">
        <v>565</v>
      </c>
      <c r="AE561">
        <v>79.118120399999995</v>
      </c>
      <c r="AF561">
        <v>347.0093</v>
      </c>
      <c r="AG561" t="s">
        <v>756</v>
      </c>
      <c r="AH561">
        <v>1E-3</v>
      </c>
      <c r="AI561">
        <v>0.22800000000000001</v>
      </c>
      <c r="AJ561" t="s">
        <v>561</v>
      </c>
      <c r="AK561" t="s">
        <v>589</v>
      </c>
      <c r="AL561" t="s">
        <v>603</v>
      </c>
      <c r="AM561">
        <v>2021</v>
      </c>
      <c r="AN561">
        <v>2019</v>
      </c>
      <c r="AO561">
        <f>IF(AND(emissions[[#This Row],[Market-based]]=0,emissions[[#This Row],[Impact Type]]="CO2E"),emissions[[#This Row],[kgCO2e]],0)/1000</f>
        <v>0</v>
      </c>
      <c r="AP561">
        <f>IF(AND(emissions[[#This Row],[Market-based]]=1,OR(emissions[[#This Row],[Impact Type]]="CO2E",emissions[[#This Row],[Impact Type]]="CO2E MKT")),emissions[[#This Row],[kgCO2e]],0)/1000</f>
        <v>7.9118120399999992E-2</v>
      </c>
      <c r="AQ561" t="str">
        <f>_xlfn.TEXTAFTER(emissions[[#This Row],[Reporting Unit]]," &gt; ",LEN(emissions[[#This Row],[Reporting Unit]])-LEN(SUBSTITUTE(emissions[[#This Row],[Reporting Unit]],"&gt;","")))</f>
        <v>Vantage_South Africa</v>
      </c>
      <c r="AR561" t="str">
        <f>_xlfn.XLOOKUP(emissions[[#This Row],[Reporting unit name]],hierarchy!$A:$A,hierarchy!$C:$C)</f>
        <v>Labratory</v>
      </c>
    </row>
    <row r="562" spans="1:44" hidden="1" x14ac:dyDescent="0.25">
      <c r="A562">
        <v>20144</v>
      </c>
      <c r="B562" t="s">
        <v>444</v>
      </c>
      <c r="C562" t="s">
        <v>501</v>
      </c>
      <c r="D562" t="s">
        <v>548</v>
      </c>
      <c r="E562" s="3">
        <v>44562</v>
      </c>
      <c r="F562" s="3">
        <v>44926</v>
      </c>
      <c r="G562" t="s">
        <v>108</v>
      </c>
      <c r="H562" s="3">
        <v>44562</v>
      </c>
      <c r="I562" s="3">
        <v>44926</v>
      </c>
      <c r="J562" t="s">
        <v>108</v>
      </c>
      <c r="K562">
        <v>51796</v>
      </c>
      <c r="L562" t="s">
        <v>109</v>
      </c>
      <c r="M562" t="s">
        <v>110</v>
      </c>
      <c r="O562" t="s">
        <v>762</v>
      </c>
      <c r="P562" t="s">
        <v>550</v>
      </c>
      <c r="Q562">
        <v>2022</v>
      </c>
      <c r="R562" t="s">
        <v>551</v>
      </c>
      <c r="S562" t="s">
        <v>552</v>
      </c>
      <c r="T562" t="s">
        <v>553</v>
      </c>
      <c r="U562" t="b">
        <v>0</v>
      </c>
      <c r="V562" t="s">
        <v>763</v>
      </c>
      <c r="W562" t="s">
        <v>555</v>
      </c>
      <c r="X562" t="s">
        <v>556</v>
      </c>
      <c r="Y562" t="s">
        <v>472</v>
      </c>
      <c r="Z562" t="s">
        <v>485</v>
      </c>
      <c r="AA562" t="s">
        <v>764</v>
      </c>
      <c r="AB562" t="s">
        <v>765</v>
      </c>
      <c r="AC562">
        <v>0</v>
      </c>
      <c r="AD562" t="s">
        <v>558</v>
      </c>
      <c r="AE562">
        <v>50.512681350000001</v>
      </c>
      <c r="AF562">
        <v>9.7522400000000001E-4</v>
      </c>
      <c r="AG562" t="s">
        <v>560</v>
      </c>
      <c r="AH562">
        <v>1</v>
      </c>
      <c r="AI562">
        <v>51796</v>
      </c>
      <c r="AJ562" t="s">
        <v>561</v>
      </c>
      <c r="AK562" t="s">
        <v>766</v>
      </c>
      <c r="AL562" t="s">
        <v>767</v>
      </c>
      <c r="AM562">
        <v>2022</v>
      </c>
      <c r="AN562">
        <v>2020</v>
      </c>
      <c r="AO562">
        <f>IF(AND(emissions[[#This Row],[Market-based]]=0,emissions[[#This Row],[Impact Type]]="CO2E"),emissions[[#This Row],[kgCO2e]],0)/1000</f>
        <v>0</v>
      </c>
      <c r="AP562">
        <f>IF(AND(emissions[[#This Row],[Market-based]]=1,OR(emissions[[#This Row],[Impact Type]]="CO2E",emissions[[#This Row],[Impact Type]]="CO2E MKT")),emissions[[#This Row],[kgCO2e]],0)/1000</f>
        <v>0</v>
      </c>
      <c r="AQ562" t="str">
        <f>_xlfn.TEXTAFTER(emissions[[#This Row],[Reporting Unit]]," &gt; ",LEN(emissions[[#This Row],[Reporting Unit]])-LEN(SUBSTITUTE(emissions[[#This Row],[Reporting Unit]],"&gt;","")))</f>
        <v>Vantage_Carnegie</v>
      </c>
      <c r="AR562" t="str">
        <f>_xlfn.XLOOKUP(emissions[[#This Row],[Reporting unit name]],hierarchy!$A:$A,hierarchy!$C:$C)</f>
        <v>Office</v>
      </c>
    </row>
    <row r="563" spans="1:44" hidden="1" x14ac:dyDescent="0.25">
      <c r="A563">
        <v>20144</v>
      </c>
      <c r="B563" t="s">
        <v>444</v>
      </c>
      <c r="C563" t="s">
        <v>501</v>
      </c>
      <c r="D563" t="s">
        <v>548</v>
      </c>
      <c r="E563" s="3">
        <v>44562</v>
      </c>
      <c r="F563" s="3">
        <v>44926</v>
      </c>
      <c r="G563" t="s">
        <v>108</v>
      </c>
      <c r="H563" s="3">
        <v>44562</v>
      </c>
      <c r="I563" s="3">
        <v>44926</v>
      </c>
      <c r="J563" t="s">
        <v>108</v>
      </c>
      <c r="K563">
        <v>51796</v>
      </c>
      <c r="L563" t="s">
        <v>109</v>
      </c>
      <c r="M563" t="s">
        <v>110</v>
      </c>
      <c r="O563" t="s">
        <v>762</v>
      </c>
      <c r="P563" t="s">
        <v>550</v>
      </c>
      <c r="Q563">
        <v>2022</v>
      </c>
      <c r="R563" t="s">
        <v>551</v>
      </c>
      <c r="S563" t="s">
        <v>552</v>
      </c>
      <c r="T563" t="s">
        <v>553</v>
      </c>
      <c r="U563" t="b">
        <v>0</v>
      </c>
      <c r="V563" t="s">
        <v>763</v>
      </c>
      <c r="W563" t="s">
        <v>555</v>
      </c>
      <c r="X563" t="s">
        <v>556</v>
      </c>
      <c r="Y563" t="s">
        <v>472</v>
      </c>
      <c r="Z563" t="s">
        <v>485</v>
      </c>
      <c r="AA563" t="s">
        <v>764</v>
      </c>
      <c r="AB563" t="s">
        <v>765</v>
      </c>
      <c r="AC563">
        <v>0</v>
      </c>
      <c r="AD563" t="s">
        <v>564</v>
      </c>
      <c r="AE563">
        <v>23141.31597</v>
      </c>
      <c r="AF563">
        <v>0.44677805199999998</v>
      </c>
      <c r="AG563" t="s">
        <v>560</v>
      </c>
      <c r="AH563">
        <v>1</v>
      </c>
      <c r="AI563">
        <v>51796</v>
      </c>
      <c r="AJ563" t="s">
        <v>561</v>
      </c>
      <c r="AK563" t="s">
        <v>766</v>
      </c>
      <c r="AL563" t="s">
        <v>767</v>
      </c>
      <c r="AM563">
        <v>2022</v>
      </c>
      <c r="AN563">
        <v>2020</v>
      </c>
      <c r="AO563">
        <f>IF(AND(emissions[[#This Row],[Market-based]]=0,emissions[[#This Row],[Impact Type]]="CO2E"),emissions[[#This Row],[kgCO2e]],0)/1000</f>
        <v>0</v>
      </c>
      <c r="AP563">
        <f>IF(AND(emissions[[#This Row],[Market-based]]=1,OR(emissions[[#This Row],[Impact Type]]="CO2E",emissions[[#This Row],[Impact Type]]="CO2E MKT")),emissions[[#This Row],[kgCO2e]],0)/1000</f>
        <v>0</v>
      </c>
      <c r="AQ563" t="str">
        <f>_xlfn.TEXTAFTER(emissions[[#This Row],[Reporting Unit]]," &gt; ",LEN(emissions[[#This Row],[Reporting Unit]])-LEN(SUBSTITUTE(emissions[[#This Row],[Reporting Unit]],"&gt;","")))</f>
        <v>Vantage_Carnegie</v>
      </c>
      <c r="AR563" t="str">
        <f>_xlfn.XLOOKUP(emissions[[#This Row],[Reporting unit name]],hierarchy!$A:$A,hierarchy!$C:$C)</f>
        <v>Office</v>
      </c>
    </row>
    <row r="564" spans="1:44" hidden="1" x14ac:dyDescent="0.25">
      <c r="A564">
        <v>20144</v>
      </c>
      <c r="B564" t="s">
        <v>444</v>
      </c>
      <c r="C564" t="s">
        <v>501</v>
      </c>
      <c r="D564" t="s">
        <v>548</v>
      </c>
      <c r="E564" s="3">
        <v>44562</v>
      </c>
      <c r="F564" s="3">
        <v>44926</v>
      </c>
      <c r="G564" t="s">
        <v>108</v>
      </c>
      <c r="H564" s="3">
        <v>44562</v>
      </c>
      <c r="I564" s="3">
        <v>44926</v>
      </c>
      <c r="J564" t="s">
        <v>108</v>
      </c>
      <c r="K564">
        <v>51796</v>
      </c>
      <c r="L564" t="s">
        <v>109</v>
      </c>
      <c r="M564" t="s">
        <v>110</v>
      </c>
      <c r="O564" t="s">
        <v>762</v>
      </c>
      <c r="P564" t="s">
        <v>550</v>
      </c>
      <c r="Q564">
        <v>2022</v>
      </c>
      <c r="R564" t="s">
        <v>551</v>
      </c>
      <c r="S564" t="s">
        <v>552</v>
      </c>
      <c r="T564" t="s">
        <v>553</v>
      </c>
      <c r="U564" t="b">
        <v>0</v>
      </c>
      <c r="V564" t="s">
        <v>763</v>
      </c>
      <c r="W564" t="s">
        <v>555</v>
      </c>
      <c r="X564" t="s">
        <v>556</v>
      </c>
      <c r="Y564" t="s">
        <v>472</v>
      </c>
      <c r="Z564" t="s">
        <v>485</v>
      </c>
      <c r="AA564" t="s">
        <v>764</v>
      </c>
      <c r="AB564" t="s">
        <v>765</v>
      </c>
      <c r="AC564">
        <v>0</v>
      </c>
      <c r="AD564" t="s">
        <v>565</v>
      </c>
      <c r="AE564">
        <v>23275.844160000001</v>
      </c>
      <c r="AF564">
        <v>0.44937532200000002</v>
      </c>
      <c r="AG564" t="s">
        <v>560</v>
      </c>
      <c r="AH564">
        <v>1</v>
      </c>
      <c r="AI564">
        <v>51796</v>
      </c>
      <c r="AJ564" t="s">
        <v>561</v>
      </c>
      <c r="AK564" t="s">
        <v>766</v>
      </c>
      <c r="AL564" t="s">
        <v>767</v>
      </c>
      <c r="AM564">
        <v>2022</v>
      </c>
      <c r="AN564">
        <v>2020</v>
      </c>
      <c r="AO564">
        <f>IF(AND(emissions[[#This Row],[Market-based]]=0,emissions[[#This Row],[Impact Type]]="CO2E"),emissions[[#This Row],[kgCO2e]],0)/1000</f>
        <v>23.275844160000002</v>
      </c>
      <c r="AP564">
        <f>IF(AND(emissions[[#This Row],[Market-based]]=1,OR(emissions[[#This Row],[Impact Type]]="CO2E",emissions[[#This Row],[Impact Type]]="CO2E MKT")),emissions[[#This Row],[kgCO2e]],0)/1000</f>
        <v>0</v>
      </c>
      <c r="AQ564" t="str">
        <f>_xlfn.TEXTAFTER(emissions[[#This Row],[Reporting Unit]]," &gt; ",LEN(emissions[[#This Row],[Reporting Unit]])-LEN(SUBSTITUTE(emissions[[#This Row],[Reporting Unit]],"&gt;","")))</f>
        <v>Vantage_Carnegie</v>
      </c>
      <c r="AR564" t="str">
        <f>_xlfn.XLOOKUP(emissions[[#This Row],[Reporting unit name]],hierarchy!$A:$A,hierarchy!$C:$C)</f>
        <v>Office</v>
      </c>
    </row>
    <row r="565" spans="1:44" hidden="1" x14ac:dyDescent="0.25">
      <c r="A565">
        <v>20144</v>
      </c>
      <c r="B565" t="s">
        <v>444</v>
      </c>
      <c r="C565" t="s">
        <v>501</v>
      </c>
      <c r="D565" t="s">
        <v>548</v>
      </c>
      <c r="E565" s="3">
        <v>44562</v>
      </c>
      <c r="F565" s="3">
        <v>44926</v>
      </c>
      <c r="G565" t="s">
        <v>108</v>
      </c>
      <c r="H565" s="3">
        <v>44562</v>
      </c>
      <c r="I565" s="3">
        <v>44926</v>
      </c>
      <c r="J565" t="s">
        <v>108</v>
      </c>
      <c r="K565">
        <v>51796</v>
      </c>
      <c r="L565" t="s">
        <v>109</v>
      </c>
      <c r="M565" t="s">
        <v>110</v>
      </c>
      <c r="O565" t="s">
        <v>762</v>
      </c>
      <c r="P565" t="s">
        <v>550</v>
      </c>
      <c r="Q565">
        <v>2022</v>
      </c>
      <c r="R565" t="s">
        <v>551</v>
      </c>
      <c r="S565" t="s">
        <v>552</v>
      </c>
      <c r="T565" t="s">
        <v>553</v>
      </c>
      <c r="U565" t="b">
        <v>0</v>
      </c>
      <c r="V565" t="s">
        <v>763</v>
      </c>
      <c r="W565" t="s">
        <v>555</v>
      </c>
      <c r="X565" t="s">
        <v>556</v>
      </c>
      <c r="Y565" t="s">
        <v>472</v>
      </c>
      <c r="Z565" t="s">
        <v>485</v>
      </c>
      <c r="AA565" t="s">
        <v>764</v>
      </c>
      <c r="AB565" t="s">
        <v>765</v>
      </c>
      <c r="AC565">
        <v>0</v>
      </c>
      <c r="AD565" t="s">
        <v>566</v>
      </c>
      <c r="AE565">
        <v>84.015510939999999</v>
      </c>
      <c r="AF565">
        <v>1.622046E-3</v>
      </c>
      <c r="AG565" t="s">
        <v>560</v>
      </c>
      <c r="AH565">
        <v>1</v>
      </c>
      <c r="AI565">
        <v>51796</v>
      </c>
      <c r="AJ565" t="s">
        <v>561</v>
      </c>
      <c r="AK565" t="s">
        <v>766</v>
      </c>
      <c r="AL565" t="s">
        <v>767</v>
      </c>
      <c r="AM565">
        <v>2022</v>
      </c>
      <c r="AN565">
        <v>2020</v>
      </c>
      <c r="AO565">
        <f>IF(AND(emissions[[#This Row],[Market-based]]=0,emissions[[#This Row],[Impact Type]]="CO2E"),emissions[[#This Row],[kgCO2e]],0)/1000</f>
        <v>0</v>
      </c>
      <c r="AP565">
        <f>IF(AND(emissions[[#This Row],[Market-based]]=1,OR(emissions[[#This Row],[Impact Type]]="CO2E",emissions[[#This Row],[Impact Type]]="CO2E MKT")),emissions[[#This Row],[kgCO2e]],0)/1000</f>
        <v>0</v>
      </c>
      <c r="AQ565" t="str">
        <f>_xlfn.TEXTAFTER(emissions[[#This Row],[Reporting Unit]]," &gt; ",LEN(emissions[[#This Row],[Reporting Unit]])-LEN(SUBSTITUTE(emissions[[#This Row],[Reporting Unit]],"&gt;","")))</f>
        <v>Vantage_Carnegie</v>
      </c>
      <c r="AR565" t="str">
        <f>_xlfn.XLOOKUP(emissions[[#This Row],[Reporting unit name]],hierarchy!$A:$A,hierarchy!$C:$C)</f>
        <v>Office</v>
      </c>
    </row>
    <row r="566" spans="1:44" hidden="1" x14ac:dyDescent="0.25">
      <c r="A566">
        <v>20144</v>
      </c>
      <c r="B566" t="s">
        <v>444</v>
      </c>
      <c r="C566" t="s">
        <v>501</v>
      </c>
      <c r="D566" t="s">
        <v>548</v>
      </c>
      <c r="E566" s="3">
        <v>44562</v>
      </c>
      <c r="F566" s="3">
        <v>44926</v>
      </c>
      <c r="G566" t="s">
        <v>108</v>
      </c>
      <c r="H566" s="3">
        <v>44562</v>
      </c>
      <c r="I566" s="3">
        <v>44926</v>
      </c>
      <c r="J566" t="s">
        <v>108</v>
      </c>
      <c r="K566">
        <v>51796</v>
      </c>
      <c r="L566" t="s">
        <v>109</v>
      </c>
      <c r="M566" t="s">
        <v>110</v>
      </c>
      <c r="O566" t="s">
        <v>762</v>
      </c>
      <c r="P566" t="s">
        <v>550</v>
      </c>
      <c r="Q566">
        <v>2022</v>
      </c>
      <c r="R566" t="s">
        <v>551</v>
      </c>
      <c r="S566" t="s">
        <v>552</v>
      </c>
      <c r="T566" t="s">
        <v>553</v>
      </c>
      <c r="U566" t="b">
        <v>1</v>
      </c>
      <c r="V566" t="s">
        <v>763</v>
      </c>
      <c r="W566" t="s">
        <v>555</v>
      </c>
      <c r="X566" t="s">
        <v>556</v>
      </c>
      <c r="AC566">
        <v>1</v>
      </c>
      <c r="AD566" t="s">
        <v>639</v>
      </c>
      <c r="AE566">
        <v>20329.122289999999</v>
      </c>
      <c r="AF566">
        <v>0.39248440600000001</v>
      </c>
      <c r="AG566" t="s">
        <v>768</v>
      </c>
      <c r="AH566">
        <v>1</v>
      </c>
      <c r="AI566">
        <v>51796</v>
      </c>
      <c r="AL566" t="s">
        <v>769</v>
      </c>
      <c r="AM566">
        <v>2022</v>
      </c>
      <c r="AO566">
        <f>IF(AND(emissions[[#This Row],[Market-based]]=0,emissions[[#This Row],[Impact Type]]="CO2E"),emissions[[#This Row],[kgCO2e]],0)/1000</f>
        <v>0</v>
      </c>
      <c r="AP566">
        <f>IF(AND(emissions[[#This Row],[Market-based]]=1,OR(emissions[[#This Row],[Impact Type]]="CO2E",emissions[[#This Row],[Impact Type]]="CO2E MKT")),emissions[[#This Row],[kgCO2e]],0)/1000</f>
        <v>20.329122290000001</v>
      </c>
      <c r="AQ566" t="str">
        <f>_xlfn.TEXTAFTER(emissions[[#This Row],[Reporting Unit]]," &gt; ",LEN(emissions[[#This Row],[Reporting Unit]])-LEN(SUBSTITUTE(emissions[[#This Row],[Reporting Unit]],"&gt;","")))</f>
        <v>Vantage_Carnegie</v>
      </c>
      <c r="AR566" t="str">
        <f>_xlfn.XLOOKUP(emissions[[#This Row],[Reporting unit name]],hierarchy!$A:$A,hierarchy!$C:$C)</f>
        <v>Office</v>
      </c>
    </row>
    <row r="567" spans="1:44" hidden="1" x14ac:dyDescent="0.25">
      <c r="A567">
        <v>20144</v>
      </c>
      <c r="B567" t="s">
        <v>444</v>
      </c>
      <c r="C567" t="s">
        <v>501</v>
      </c>
      <c r="D567" t="s">
        <v>548</v>
      </c>
      <c r="E567" s="3">
        <v>44562</v>
      </c>
      <c r="F567" s="3">
        <v>44926</v>
      </c>
      <c r="G567" t="s">
        <v>108</v>
      </c>
      <c r="H567" s="3">
        <v>44562</v>
      </c>
      <c r="I567" s="3">
        <v>44926</v>
      </c>
      <c r="J567" t="s">
        <v>108</v>
      </c>
      <c r="K567">
        <v>51796</v>
      </c>
      <c r="L567" t="s">
        <v>109</v>
      </c>
      <c r="M567" t="s">
        <v>110</v>
      </c>
      <c r="O567" t="s">
        <v>762</v>
      </c>
      <c r="P567" t="s">
        <v>550</v>
      </c>
      <c r="Q567">
        <v>2022</v>
      </c>
      <c r="R567" t="s">
        <v>567</v>
      </c>
      <c r="S567" t="s">
        <v>568</v>
      </c>
      <c r="T567" t="s">
        <v>569</v>
      </c>
      <c r="U567" t="b">
        <v>0</v>
      </c>
      <c r="V567" t="s">
        <v>770</v>
      </c>
      <c r="W567" t="s">
        <v>571</v>
      </c>
      <c r="X567" t="s">
        <v>572</v>
      </c>
      <c r="Y567" t="s">
        <v>472</v>
      </c>
      <c r="Z567" t="s">
        <v>485</v>
      </c>
      <c r="AA567" t="s">
        <v>764</v>
      </c>
      <c r="AB567" t="s">
        <v>765</v>
      </c>
      <c r="AC567">
        <v>0</v>
      </c>
      <c r="AD567" t="s">
        <v>565</v>
      </c>
      <c r="AE567">
        <v>364.46834410000002</v>
      </c>
      <c r="AF567">
        <v>7.0366120000000002E-3</v>
      </c>
      <c r="AG567" t="s">
        <v>560</v>
      </c>
      <c r="AH567">
        <v>1</v>
      </c>
      <c r="AI567">
        <v>51796</v>
      </c>
      <c r="AJ567" t="s">
        <v>561</v>
      </c>
      <c r="AK567" t="s">
        <v>573</v>
      </c>
      <c r="AL567" t="s">
        <v>574</v>
      </c>
      <c r="AM567">
        <v>2022</v>
      </c>
      <c r="AN567">
        <v>2020</v>
      </c>
      <c r="AO567">
        <f>IF(AND(emissions[[#This Row],[Market-based]]=0,emissions[[#This Row],[Impact Type]]="CO2E"),emissions[[#This Row],[kgCO2e]],0)/1000</f>
        <v>0.36446834410000001</v>
      </c>
      <c r="AP567">
        <f>IF(AND(emissions[[#This Row],[Market-based]]=1,OR(emissions[[#This Row],[Impact Type]]="CO2E",emissions[[#This Row],[Impact Type]]="CO2E MKT")),emissions[[#This Row],[kgCO2e]],0)/1000</f>
        <v>0</v>
      </c>
      <c r="AQ567" t="str">
        <f>_xlfn.TEXTAFTER(emissions[[#This Row],[Reporting Unit]]," &gt; ",LEN(emissions[[#This Row],[Reporting Unit]])-LEN(SUBSTITUTE(emissions[[#This Row],[Reporting Unit]],"&gt;","")))</f>
        <v>Vantage_Carnegie</v>
      </c>
      <c r="AR567" t="str">
        <f>_xlfn.XLOOKUP(emissions[[#This Row],[Reporting unit name]],hierarchy!$A:$A,hierarchy!$C:$C)</f>
        <v>Office</v>
      </c>
    </row>
    <row r="568" spans="1:44" hidden="1" x14ac:dyDescent="0.25">
      <c r="A568">
        <v>20144</v>
      </c>
      <c r="B568" t="s">
        <v>444</v>
      </c>
      <c r="C568" t="s">
        <v>501</v>
      </c>
      <c r="D568" t="s">
        <v>548</v>
      </c>
      <c r="E568" s="3">
        <v>44562</v>
      </c>
      <c r="F568" s="3">
        <v>44926</v>
      </c>
      <c r="G568" t="s">
        <v>108</v>
      </c>
      <c r="H568" s="3">
        <v>44562</v>
      </c>
      <c r="I568" s="3">
        <v>44926</v>
      </c>
      <c r="J568" t="s">
        <v>108</v>
      </c>
      <c r="K568">
        <v>51796</v>
      </c>
      <c r="L568" t="s">
        <v>109</v>
      </c>
      <c r="M568" t="s">
        <v>110</v>
      </c>
      <c r="O568" t="s">
        <v>762</v>
      </c>
      <c r="P568" t="s">
        <v>550</v>
      </c>
      <c r="Q568">
        <v>2022</v>
      </c>
      <c r="R568" t="s">
        <v>567</v>
      </c>
      <c r="S568" t="s">
        <v>568</v>
      </c>
      <c r="T568" t="s">
        <v>569</v>
      </c>
      <c r="U568" t="b">
        <v>0</v>
      </c>
      <c r="V568" t="s">
        <v>771</v>
      </c>
      <c r="W568" t="s">
        <v>571</v>
      </c>
      <c r="X568" t="s">
        <v>572</v>
      </c>
      <c r="Y568" t="s">
        <v>472</v>
      </c>
      <c r="Z568" t="s">
        <v>485</v>
      </c>
      <c r="AA568" t="s">
        <v>764</v>
      </c>
      <c r="AB568" t="s">
        <v>765</v>
      </c>
      <c r="AC568">
        <v>1</v>
      </c>
      <c r="AD568" t="s">
        <v>639</v>
      </c>
      <c r="AE568">
        <v>338.07787189999999</v>
      </c>
      <c r="AF568">
        <v>6.5271039999999997E-3</v>
      </c>
      <c r="AG568" t="s">
        <v>560</v>
      </c>
      <c r="AH568">
        <v>1</v>
      </c>
      <c r="AI568">
        <v>51796</v>
      </c>
      <c r="AJ568" t="s">
        <v>561</v>
      </c>
      <c r="AK568" t="s">
        <v>573</v>
      </c>
      <c r="AL568" t="s">
        <v>772</v>
      </c>
      <c r="AM568">
        <v>2022</v>
      </c>
      <c r="AN568">
        <v>2019</v>
      </c>
      <c r="AO568">
        <f>IF(AND(emissions[[#This Row],[Market-based]]=0,emissions[[#This Row],[Impact Type]]="CO2E"),emissions[[#This Row],[kgCO2e]],0)/1000</f>
        <v>0</v>
      </c>
      <c r="AP568">
        <f>IF(AND(emissions[[#This Row],[Market-based]]=1,OR(emissions[[#This Row],[Impact Type]]="CO2E",emissions[[#This Row],[Impact Type]]="CO2E MKT")),emissions[[#This Row],[kgCO2e]],0)/1000</f>
        <v>0.33807787189999999</v>
      </c>
      <c r="AQ568" t="str">
        <f>_xlfn.TEXTAFTER(emissions[[#This Row],[Reporting Unit]]," &gt; ",LEN(emissions[[#This Row],[Reporting Unit]])-LEN(SUBSTITUTE(emissions[[#This Row],[Reporting Unit]],"&gt;","")))</f>
        <v>Vantage_Carnegie</v>
      </c>
      <c r="AR568" t="str">
        <f>_xlfn.XLOOKUP(emissions[[#This Row],[Reporting unit name]],hierarchy!$A:$A,hierarchy!$C:$C)</f>
        <v>Office</v>
      </c>
    </row>
    <row r="569" spans="1:44" hidden="1" x14ac:dyDescent="0.25">
      <c r="A569">
        <v>20144</v>
      </c>
      <c r="B569" t="s">
        <v>444</v>
      </c>
      <c r="C569" t="s">
        <v>501</v>
      </c>
      <c r="D569" t="s">
        <v>548</v>
      </c>
      <c r="E569" s="3">
        <v>44562</v>
      </c>
      <c r="F569" s="3">
        <v>44926</v>
      </c>
      <c r="G569" t="s">
        <v>108</v>
      </c>
      <c r="H569" s="3">
        <v>44562</v>
      </c>
      <c r="I569" s="3">
        <v>44926</v>
      </c>
      <c r="J569" t="s">
        <v>108</v>
      </c>
      <c r="K569">
        <v>51796</v>
      </c>
      <c r="L569" t="s">
        <v>109</v>
      </c>
      <c r="M569" t="s">
        <v>110</v>
      </c>
      <c r="O569" t="s">
        <v>762</v>
      </c>
      <c r="P569" t="s">
        <v>550</v>
      </c>
      <c r="Q569">
        <v>2022</v>
      </c>
      <c r="R569" t="s">
        <v>575</v>
      </c>
      <c r="S569" t="s">
        <v>576</v>
      </c>
      <c r="T569" t="s">
        <v>577</v>
      </c>
      <c r="U569" t="b">
        <v>0</v>
      </c>
      <c r="V569" t="s">
        <v>773</v>
      </c>
      <c r="W569" t="s">
        <v>571</v>
      </c>
      <c r="X569" t="s">
        <v>572</v>
      </c>
      <c r="Y569" t="s">
        <v>472</v>
      </c>
      <c r="Z569" t="s">
        <v>485</v>
      </c>
      <c r="AA569" t="s">
        <v>764</v>
      </c>
      <c r="AB569" t="s">
        <v>765</v>
      </c>
      <c r="AC569">
        <v>0</v>
      </c>
      <c r="AD569" t="s">
        <v>565</v>
      </c>
      <c r="AE569">
        <v>6512.2928650000003</v>
      </c>
      <c r="AF569">
        <v>0.125729648</v>
      </c>
      <c r="AG569" t="s">
        <v>560</v>
      </c>
      <c r="AH569">
        <v>1</v>
      </c>
      <c r="AI569">
        <v>51796</v>
      </c>
      <c r="AJ569" t="s">
        <v>561</v>
      </c>
      <c r="AK569" t="s">
        <v>573</v>
      </c>
      <c r="AL569" t="s">
        <v>574</v>
      </c>
      <c r="AM569">
        <v>2022</v>
      </c>
      <c r="AN569">
        <v>2020</v>
      </c>
      <c r="AO569">
        <f>IF(AND(emissions[[#This Row],[Market-based]]=0,emissions[[#This Row],[Impact Type]]="CO2E"),emissions[[#This Row],[kgCO2e]],0)/1000</f>
        <v>6.512292865</v>
      </c>
      <c r="AP569">
        <f>IF(AND(emissions[[#This Row],[Market-based]]=1,OR(emissions[[#This Row],[Impact Type]]="CO2E",emissions[[#This Row],[Impact Type]]="CO2E MKT")),emissions[[#This Row],[kgCO2e]],0)/1000</f>
        <v>0</v>
      </c>
      <c r="AQ569" t="str">
        <f>_xlfn.TEXTAFTER(emissions[[#This Row],[Reporting Unit]]," &gt; ",LEN(emissions[[#This Row],[Reporting Unit]])-LEN(SUBSTITUTE(emissions[[#This Row],[Reporting Unit]],"&gt;","")))</f>
        <v>Vantage_Carnegie</v>
      </c>
      <c r="AR569" t="str">
        <f>_xlfn.XLOOKUP(emissions[[#This Row],[Reporting unit name]],hierarchy!$A:$A,hierarchy!$C:$C)</f>
        <v>Office</v>
      </c>
    </row>
    <row r="570" spans="1:44" hidden="1" x14ac:dyDescent="0.25">
      <c r="A570">
        <v>20144</v>
      </c>
      <c r="B570" t="s">
        <v>444</v>
      </c>
      <c r="C570" t="s">
        <v>501</v>
      </c>
      <c r="D570" t="s">
        <v>548</v>
      </c>
      <c r="E570" s="3">
        <v>44562</v>
      </c>
      <c r="F570" s="3">
        <v>44926</v>
      </c>
      <c r="G570" t="s">
        <v>108</v>
      </c>
      <c r="H570" s="3">
        <v>44562</v>
      </c>
      <c r="I570" s="3">
        <v>44926</v>
      </c>
      <c r="J570" t="s">
        <v>108</v>
      </c>
      <c r="K570">
        <v>51796</v>
      </c>
      <c r="L570" t="s">
        <v>109</v>
      </c>
      <c r="M570" t="s">
        <v>110</v>
      </c>
      <c r="O570" t="s">
        <v>762</v>
      </c>
      <c r="P570" t="s">
        <v>550</v>
      </c>
      <c r="Q570">
        <v>2022</v>
      </c>
      <c r="R570" t="s">
        <v>575</v>
      </c>
      <c r="S570" t="s">
        <v>576</v>
      </c>
      <c r="T570" t="s">
        <v>577</v>
      </c>
      <c r="U570" t="b">
        <v>0</v>
      </c>
      <c r="V570" t="s">
        <v>774</v>
      </c>
      <c r="W570" t="s">
        <v>571</v>
      </c>
      <c r="X570" t="s">
        <v>572</v>
      </c>
      <c r="Y570" t="s">
        <v>472</v>
      </c>
      <c r="Z570" t="s">
        <v>485</v>
      </c>
      <c r="AA570" t="s">
        <v>764</v>
      </c>
      <c r="AB570" t="s">
        <v>765</v>
      </c>
      <c r="AC570">
        <v>1</v>
      </c>
      <c r="AD570" t="s">
        <v>639</v>
      </c>
      <c r="AE570">
        <v>6628.9778800000004</v>
      </c>
      <c r="AF570">
        <v>0.12798242900000001</v>
      </c>
      <c r="AG570" t="s">
        <v>560</v>
      </c>
      <c r="AH570">
        <v>1</v>
      </c>
      <c r="AI570">
        <v>51796</v>
      </c>
      <c r="AJ570" t="s">
        <v>561</v>
      </c>
      <c r="AK570" t="s">
        <v>573</v>
      </c>
      <c r="AL570" t="s">
        <v>775</v>
      </c>
      <c r="AM570">
        <v>2022</v>
      </c>
      <c r="AN570">
        <v>2019</v>
      </c>
      <c r="AO570">
        <f>IF(AND(emissions[[#This Row],[Market-based]]=0,emissions[[#This Row],[Impact Type]]="CO2E"),emissions[[#This Row],[kgCO2e]],0)/1000</f>
        <v>0</v>
      </c>
      <c r="AP570">
        <f>IF(AND(emissions[[#This Row],[Market-based]]=1,OR(emissions[[#This Row],[Impact Type]]="CO2E",emissions[[#This Row],[Impact Type]]="CO2E MKT")),emissions[[#This Row],[kgCO2e]],0)/1000</f>
        <v>6.6289778800000008</v>
      </c>
      <c r="AQ570" t="str">
        <f>_xlfn.TEXTAFTER(emissions[[#This Row],[Reporting Unit]]," &gt; ",LEN(emissions[[#This Row],[Reporting Unit]])-LEN(SUBSTITUTE(emissions[[#This Row],[Reporting Unit]],"&gt;","")))</f>
        <v>Vantage_Carnegie</v>
      </c>
      <c r="AR570" t="str">
        <f>_xlfn.XLOOKUP(emissions[[#This Row],[Reporting unit name]],hierarchy!$A:$A,hierarchy!$C:$C)</f>
        <v>Office</v>
      </c>
    </row>
    <row r="571" spans="1:44" hidden="1" x14ac:dyDescent="0.25">
      <c r="A571">
        <v>20144</v>
      </c>
      <c r="B571" t="s">
        <v>444</v>
      </c>
      <c r="C571" t="s">
        <v>501</v>
      </c>
      <c r="D571" t="s">
        <v>548</v>
      </c>
      <c r="E571" s="3">
        <v>44562</v>
      </c>
      <c r="F571" s="3">
        <v>44926</v>
      </c>
      <c r="G571" t="s">
        <v>108</v>
      </c>
      <c r="H571" s="3">
        <v>44562</v>
      </c>
      <c r="I571" s="3">
        <v>44926</v>
      </c>
      <c r="J571" t="s">
        <v>108</v>
      </c>
      <c r="K571">
        <v>51796</v>
      </c>
      <c r="L571" t="s">
        <v>109</v>
      </c>
      <c r="M571" t="s">
        <v>110</v>
      </c>
      <c r="O571" t="s">
        <v>762</v>
      </c>
      <c r="P571" t="s">
        <v>550</v>
      </c>
      <c r="Q571">
        <v>2022</v>
      </c>
      <c r="R571" t="s">
        <v>579</v>
      </c>
      <c r="S571" t="s">
        <v>580</v>
      </c>
      <c r="T571" t="s">
        <v>581</v>
      </c>
      <c r="U571" t="b">
        <v>0</v>
      </c>
      <c r="V571" t="s">
        <v>776</v>
      </c>
      <c r="W571" t="s">
        <v>571</v>
      </c>
      <c r="X571" t="s">
        <v>572</v>
      </c>
      <c r="Y571" t="s">
        <v>472</v>
      </c>
      <c r="Z571" t="s">
        <v>485</v>
      </c>
      <c r="AA571" t="s">
        <v>764</v>
      </c>
      <c r="AB571" t="s">
        <v>765</v>
      </c>
      <c r="AC571">
        <v>0</v>
      </c>
      <c r="AD571" t="s">
        <v>565</v>
      </c>
      <c r="AE571">
        <v>1233.619741</v>
      </c>
      <c r="AF571">
        <v>2.3816891999999999E-2</v>
      </c>
      <c r="AG571" t="s">
        <v>560</v>
      </c>
      <c r="AH571">
        <v>1</v>
      </c>
      <c r="AI571">
        <v>51796</v>
      </c>
      <c r="AJ571" t="s">
        <v>561</v>
      </c>
      <c r="AK571" t="s">
        <v>766</v>
      </c>
      <c r="AL571" t="s">
        <v>767</v>
      </c>
      <c r="AM571">
        <v>2022</v>
      </c>
      <c r="AN571">
        <v>2020</v>
      </c>
      <c r="AO571">
        <f>IF(AND(emissions[[#This Row],[Market-based]]=0,emissions[[#This Row],[Impact Type]]="CO2E"),emissions[[#This Row],[kgCO2e]],0)/1000</f>
        <v>1.233619741</v>
      </c>
      <c r="AP571">
        <f>IF(AND(emissions[[#This Row],[Market-based]]=1,OR(emissions[[#This Row],[Impact Type]]="CO2E",emissions[[#This Row],[Impact Type]]="CO2E MKT")),emissions[[#This Row],[kgCO2e]],0)/1000</f>
        <v>0</v>
      </c>
      <c r="AQ571" t="str">
        <f>_xlfn.TEXTAFTER(emissions[[#This Row],[Reporting Unit]]," &gt; ",LEN(emissions[[#This Row],[Reporting Unit]])-LEN(SUBSTITUTE(emissions[[#This Row],[Reporting Unit]],"&gt;","")))</f>
        <v>Vantage_Carnegie</v>
      </c>
      <c r="AR571" t="str">
        <f>_xlfn.XLOOKUP(emissions[[#This Row],[Reporting unit name]],hierarchy!$A:$A,hierarchy!$C:$C)</f>
        <v>Office</v>
      </c>
    </row>
    <row r="572" spans="1:44" hidden="1" x14ac:dyDescent="0.25">
      <c r="A572">
        <v>20144</v>
      </c>
      <c r="B572" t="s">
        <v>444</v>
      </c>
      <c r="C572" t="s">
        <v>501</v>
      </c>
      <c r="D572" t="s">
        <v>548</v>
      </c>
      <c r="E572" s="3">
        <v>44562</v>
      </c>
      <c r="F572" s="3">
        <v>44926</v>
      </c>
      <c r="G572" t="s">
        <v>108</v>
      </c>
      <c r="H572" s="3">
        <v>44562</v>
      </c>
      <c r="I572" s="3">
        <v>44926</v>
      </c>
      <c r="J572" t="s">
        <v>108</v>
      </c>
      <c r="K572">
        <v>51796</v>
      </c>
      <c r="L572" t="s">
        <v>109</v>
      </c>
      <c r="M572" t="s">
        <v>110</v>
      </c>
      <c r="O572" t="s">
        <v>762</v>
      </c>
      <c r="P572" t="s">
        <v>550</v>
      </c>
      <c r="Q572">
        <v>2022</v>
      </c>
      <c r="R572" t="s">
        <v>579</v>
      </c>
      <c r="S572" t="s">
        <v>580</v>
      </c>
      <c r="T572" t="s">
        <v>581</v>
      </c>
      <c r="U572" t="b">
        <v>0</v>
      </c>
      <c r="V572" t="s">
        <v>777</v>
      </c>
      <c r="W572" t="s">
        <v>571</v>
      </c>
      <c r="X572" t="s">
        <v>572</v>
      </c>
      <c r="Y572" t="s">
        <v>472</v>
      </c>
      <c r="Z572" t="s">
        <v>485</v>
      </c>
      <c r="AA572" t="s">
        <v>764</v>
      </c>
      <c r="AB572" t="s">
        <v>765</v>
      </c>
      <c r="AC572">
        <v>1</v>
      </c>
      <c r="AD572" t="s">
        <v>639</v>
      </c>
      <c r="AE572">
        <v>1279.7697949999999</v>
      </c>
      <c r="AF572">
        <v>2.4707889E-2</v>
      </c>
      <c r="AG572" t="s">
        <v>560</v>
      </c>
      <c r="AH572">
        <v>1</v>
      </c>
      <c r="AI572">
        <v>51796</v>
      </c>
      <c r="AJ572" t="s">
        <v>561</v>
      </c>
      <c r="AK572" t="s">
        <v>573</v>
      </c>
      <c r="AL572" t="s">
        <v>778</v>
      </c>
      <c r="AM572">
        <v>2022</v>
      </c>
      <c r="AN572">
        <v>2019</v>
      </c>
      <c r="AO572">
        <f>IF(AND(emissions[[#This Row],[Market-based]]=0,emissions[[#This Row],[Impact Type]]="CO2E"),emissions[[#This Row],[kgCO2e]],0)/1000</f>
        <v>0</v>
      </c>
      <c r="AP572">
        <f>IF(AND(emissions[[#This Row],[Market-based]]=1,OR(emissions[[#This Row],[Impact Type]]="CO2E",emissions[[#This Row],[Impact Type]]="CO2E MKT")),emissions[[#This Row],[kgCO2e]],0)/1000</f>
        <v>1.279769795</v>
      </c>
      <c r="AQ572" t="str">
        <f>_xlfn.TEXTAFTER(emissions[[#This Row],[Reporting Unit]]," &gt; ",LEN(emissions[[#This Row],[Reporting Unit]])-LEN(SUBSTITUTE(emissions[[#This Row],[Reporting Unit]],"&gt;","")))</f>
        <v>Vantage_Carnegie</v>
      </c>
      <c r="AR572" t="str">
        <f>_xlfn.XLOOKUP(emissions[[#This Row],[Reporting unit name]],hierarchy!$A:$A,hierarchy!$C:$C)</f>
        <v>Office</v>
      </c>
    </row>
    <row r="573" spans="1:44" hidden="1" x14ac:dyDescent="0.25">
      <c r="A573">
        <v>20565</v>
      </c>
      <c r="B573" t="s">
        <v>444</v>
      </c>
      <c r="C573" t="s">
        <v>501</v>
      </c>
      <c r="D573" t="s">
        <v>548</v>
      </c>
      <c r="E573" s="3">
        <v>44562</v>
      </c>
      <c r="F573" s="3">
        <v>44926</v>
      </c>
      <c r="G573" t="s">
        <v>108</v>
      </c>
      <c r="H573" s="3">
        <v>44562</v>
      </c>
      <c r="I573" s="3">
        <v>44926</v>
      </c>
      <c r="J573" t="s">
        <v>108</v>
      </c>
      <c r="K573">
        <v>1455979</v>
      </c>
      <c r="L573" t="s">
        <v>109</v>
      </c>
      <c r="M573" t="s">
        <v>110</v>
      </c>
      <c r="O573" t="s">
        <v>779</v>
      </c>
      <c r="P573" t="s">
        <v>550</v>
      </c>
      <c r="Q573">
        <v>2022</v>
      </c>
      <c r="R573" t="s">
        <v>551</v>
      </c>
      <c r="S573" t="s">
        <v>552</v>
      </c>
      <c r="T573" t="s">
        <v>553</v>
      </c>
      <c r="U573" t="b">
        <v>0</v>
      </c>
      <c r="V573" t="s">
        <v>763</v>
      </c>
      <c r="W573" t="s">
        <v>555</v>
      </c>
      <c r="X573" t="s">
        <v>556</v>
      </c>
      <c r="Y573" t="s">
        <v>472</v>
      </c>
      <c r="Z573" t="s">
        <v>485</v>
      </c>
      <c r="AA573" t="s">
        <v>764</v>
      </c>
      <c r="AB573" t="s">
        <v>765</v>
      </c>
      <c r="AC573">
        <v>0</v>
      </c>
      <c r="AD573" t="s">
        <v>558</v>
      </c>
      <c r="AE573">
        <v>1419.9050749999999</v>
      </c>
      <c r="AF573">
        <v>9.7522400000000001E-4</v>
      </c>
      <c r="AG573" t="s">
        <v>560</v>
      </c>
      <c r="AH573">
        <v>1</v>
      </c>
      <c r="AI573">
        <v>1455979</v>
      </c>
      <c r="AJ573" t="s">
        <v>561</v>
      </c>
      <c r="AK573" t="s">
        <v>766</v>
      </c>
      <c r="AL573" t="s">
        <v>767</v>
      </c>
      <c r="AM573">
        <v>2022</v>
      </c>
      <c r="AN573">
        <v>2020</v>
      </c>
      <c r="AO573">
        <f>IF(AND(emissions[[#This Row],[Market-based]]=0,emissions[[#This Row],[Impact Type]]="CO2E"),emissions[[#This Row],[kgCO2e]],0)/1000</f>
        <v>0</v>
      </c>
      <c r="AP573">
        <f>IF(AND(emissions[[#This Row],[Market-based]]=1,OR(emissions[[#This Row],[Impact Type]]="CO2E",emissions[[#This Row],[Impact Type]]="CO2E MKT")),emissions[[#This Row],[kgCO2e]],0)/1000</f>
        <v>0</v>
      </c>
      <c r="AQ573" t="str">
        <f>_xlfn.TEXTAFTER(emissions[[#This Row],[Reporting Unit]]," &gt; ",LEN(emissions[[#This Row],[Reporting Unit]])-LEN(SUBSTITUTE(emissions[[#This Row],[Reporting Unit]],"&gt;","")))</f>
        <v>Vantage_Carnegie</v>
      </c>
      <c r="AR573" t="str">
        <f>_xlfn.XLOOKUP(emissions[[#This Row],[Reporting unit name]],hierarchy!$A:$A,hierarchy!$C:$C)</f>
        <v>Office</v>
      </c>
    </row>
    <row r="574" spans="1:44" hidden="1" x14ac:dyDescent="0.25">
      <c r="A574">
        <v>20565</v>
      </c>
      <c r="B574" t="s">
        <v>444</v>
      </c>
      <c r="C574" t="s">
        <v>501</v>
      </c>
      <c r="D574" t="s">
        <v>548</v>
      </c>
      <c r="E574" s="3">
        <v>44562</v>
      </c>
      <c r="F574" s="3">
        <v>44926</v>
      </c>
      <c r="G574" t="s">
        <v>108</v>
      </c>
      <c r="H574" s="3">
        <v>44562</v>
      </c>
      <c r="I574" s="3">
        <v>44926</v>
      </c>
      <c r="J574" t="s">
        <v>108</v>
      </c>
      <c r="K574">
        <v>1455979</v>
      </c>
      <c r="L574" t="s">
        <v>109</v>
      </c>
      <c r="M574" t="s">
        <v>110</v>
      </c>
      <c r="O574" t="s">
        <v>779</v>
      </c>
      <c r="P574" t="s">
        <v>550</v>
      </c>
      <c r="Q574">
        <v>2022</v>
      </c>
      <c r="R574" t="s">
        <v>551</v>
      </c>
      <c r="S574" t="s">
        <v>552</v>
      </c>
      <c r="T574" t="s">
        <v>553</v>
      </c>
      <c r="U574" t="b">
        <v>0</v>
      </c>
      <c r="V574" t="s">
        <v>763</v>
      </c>
      <c r="W574" t="s">
        <v>555</v>
      </c>
      <c r="X574" t="s">
        <v>556</v>
      </c>
      <c r="Y574" t="s">
        <v>472</v>
      </c>
      <c r="Z574" t="s">
        <v>485</v>
      </c>
      <c r="AA574" t="s">
        <v>764</v>
      </c>
      <c r="AB574" t="s">
        <v>765</v>
      </c>
      <c r="AC574">
        <v>0</v>
      </c>
      <c r="AD574" t="s">
        <v>564</v>
      </c>
      <c r="AE574">
        <v>650499.46109999996</v>
      </c>
      <c r="AF574">
        <v>0.44677805199999998</v>
      </c>
      <c r="AG574" t="s">
        <v>560</v>
      </c>
      <c r="AH574">
        <v>1</v>
      </c>
      <c r="AI574">
        <v>1455979</v>
      </c>
      <c r="AJ574" t="s">
        <v>561</v>
      </c>
      <c r="AK574" t="s">
        <v>766</v>
      </c>
      <c r="AL574" t="s">
        <v>767</v>
      </c>
      <c r="AM574">
        <v>2022</v>
      </c>
      <c r="AN574">
        <v>2020</v>
      </c>
      <c r="AO574">
        <f>IF(AND(emissions[[#This Row],[Market-based]]=0,emissions[[#This Row],[Impact Type]]="CO2E"),emissions[[#This Row],[kgCO2e]],0)/1000</f>
        <v>0</v>
      </c>
      <c r="AP574">
        <f>IF(AND(emissions[[#This Row],[Market-based]]=1,OR(emissions[[#This Row],[Impact Type]]="CO2E",emissions[[#This Row],[Impact Type]]="CO2E MKT")),emissions[[#This Row],[kgCO2e]],0)/1000</f>
        <v>0</v>
      </c>
      <c r="AQ574" t="str">
        <f>_xlfn.TEXTAFTER(emissions[[#This Row],[Reporting Unit]]," &gt; ",LEN(emissions[[#This Row],[Reporting Unit]])-LEN(SUBSTITUTE(emissions[[#This Row],[Reporting Unit]],"&gt;","")))</f>
        <v>Vantage_Carnegie</v>
      </c>
      <c r="AR574" t="str">
        <f>_xlfn.XLOOKUP(emissions[[#This Row],[Reporting unit name]],hierarchy!$A:$A,hierarchy!$C:$C)</f>
        <v>Office</v>
      </c>
    </row>
    <row r="575" spans="1:44" hidden="1" x14ac:dyDescent="0.25">
      <c r="A575">
        <v>20565</v>
      </c>
      <c r="B575" t="s">
        <v>444</v>
      </c>
      <c r="C575" t="s">
        <v>501</v>
      </c>
      <c r="D575" t="s">
        <v>548</v>
      </c>
      <c r="E575" s="3">
        <v>44562</v>
      </c>
      <c r="F575" s="3">
        <v>44926</v>
      </c>
      <c r="G575" t="s">
        <v>108</v>
      </c>
      <c r="H575" s="3">
        <v>44562</v>
      </c>
      <c r="I575" s="3">
        <v>44926</v>
      </c>
      <c r="J575" t="s">
        <v>108</v>
      </c>
      <c r="K575">
        <v>1455979</v>
      </c>
      <c r="L575" t="s">
        <v>109</v>
      </c>
      <c r="M575" t="s">
        <v>110</v>
      </c>
      <c r="O575" t="s">
        <v>779</v>
      </c>
      <c r="P575" t="s">
        <v>550</v>
      </c>
      <c r="Q575">
        <v>2022</v>
      </c>
      <c r="R575" t="s">
        <v>551</v>
      </c>
      <c r="S575" t="s">
        <v>552</v>
      </c>
      <c r="T575" t="s">
        <v>553</v>
      </c>
      <c r="U575" t="b">
        <v>0</v>
      </c>
      <c r="V575" t="s">
        <v>763</v>
      </c>
      <c r="W575" t="s">
        <v>555</v>
      </c>
      <c r="X575" t="s">
        <v>556</v>
      </c>
      <c r="Y575" t="s">
        <v>472</v>
      </c>
      <c r="Z575" t="s">
        <v>485</v>
      </c>
      <c r="AA575" t="s">
        <v>764</v>
      </c>
      <c r="AB575" t="s">
        <v>765</v>
      </c>
      <c r="AC575">
        <v>0</v>
      </c>
      <c r="AD575" t="s">
        <v>565</v>
      </c>
      <c r="AE575">
        <v>654281.03159999999</v>
      </c>
      <c r="AF575">
        <v>0.44937532200000002</v>
      </c>
      <c r="AG575" t="s">
        <v>560</v>
      </c>
      <c r="AH575">
        <v>1</v>
      </c>
      <c r="AI575">
        <v>1455979</v>
      </c>
      <c r="AJ575" t="s">
        <v>561</v>
      </c>
      <c r="AK575" t="s">
        <v>766</v>
      </c>
      <c r="AL575" t="s">
        <v>767</v>
      </c>
      <c r="AM575">
        <v>2022</v>
      </c>
      <c r="AN575">
        <v>2020</v>
      </c>
      <c r="AO575">
        <f>IF(AND(emissions[[#This Row],[Market-based]]=0,emissions[[#This Row],[Impact Type]]="CO2E"),emissions[[#This Row],[kgCO2e]],0)/1000</f>
        <v>654.28103160000001</v>
      </c>
      <c r="AP575">
        <f>IF(AND(emissions[[#This Row],[Market-based]]=1,OR(emissions[[#This Row],[Impact Type]]="CO2E",emissions[[#This Row],[Impact Type]]="CO2E MKT")),emissions[[#This Row],[kgCO2e]],0)/1000</f>
        <v>0</v>
      </c>
      <c r="AQ575" t="str">
        <f>_xlfn.TEXTAFTER(emissions[[#This Row],[Reporting Unit]]," &gt; ",LEN(emissions[[#This Row],[Reporting Unit]])-LEN(SUBSTITUTE(emissions[[#This Row],[Reporting Unit]],"&gt;","")))</f>
        <v>Vantage_Carnegie</v>
      </c>
      <c r="AR575" t="str">
        <f>_xlfn.XLOOKUP(emissions[[#This Row],[Reporting unit name]],hierarchy!$A:$A,hierarchy!$C:$C)</f>
        <v>Office</v>
      </c>
    </row>
    <row r="576" spans="1:44" hidden="1" x14ac:dyDescent="0.25">
      <c r="A576">
        <v>20565</v>
      </c>
      <c r="B576" t="s">
        <v>444</v>
      </c>
      <c r="C576" t="s">
        <v>501</v>
      </c>
      <c r="D576" t="s">
        <v>548</v>
      </c>
      <c r="E576" s="3">
        <v>44562</v>
      </c>
      <c r="F576" s="3">
        <v>44926</v>
      </c>
      <c r="G576" t="s">
        <v>108</v>
      </c>
      <c r="H576" s="3">
        <v>44562</v>
      </c>
      <c r="I576" s="3">
        <v>44926</v>
      </c>
      <c r="J576" t="s">
        <v>108</v>
      </c>
      <c r="K576">
        <v>1455979</v>
      </c>
      <c r="L576" t="s">
        <v>109</v>
      </c>
      <c r="M576" t="s">
        <v>110</v>
      </c>
      <c r="O576" t="s">
        <v>779</v>
      </c>
      <c r="P576" t="s">
        <v>550</v>
      </c>
      <c r="Q576">
        <v>2022</v>
      </c>
      <c r="R576" t="s">
        <v>551</v>
      </c>
      <c r="S576" t="s">
        <v>552</v>
      </c>
      <c r="T576" t="s">
        <v>553</v>
      </c>
      <c r="U576" t="b">
        <v>0</v>
      </c>
      <c r="V576" t="s">
        <v>763</v>
      </c>
      <c r="W576" t="s">
        <v>555</v>
      </c>
      <c r="X576" t="s">
        <v>556</v>
      </c>
      <c r="Y576" t="s">
        <v>472</v>
      </c>
      <c r="Z576" t="s">
        <v>485</v>
      </c>
      <c r="AA576" t="s">
        <v>764</v>
      </c>
      <c r="AB576" t="s">
        <v>765</v>
      </c>
      <c r="AC576">
        <v>0</v>
      </c>
      <c r="AD576" t="s">
        <v>566</v>
      </c>
      <c r="AE576">
        <v>2361.6653719999999</v>
      </c>
      <c r="AF576">
        <v>1.622046E-3</v>
      </c>
      <c r="AG576" t="s">
        <v>560</v>
      </c>
      <c r="AH576">
        <v>1</v>
      </c>
      <c r="AI576">
        <v>1455979</v>
      </c>
      <c r="AJ576" t="s">
        <v>561</v>
      </c>
      <c r="AK576" t="s">
        <v>766</v>
      </c>
      <c r="AL576" t="s">
        <v>767</v>
      </c>
      <c r="AM576">
        <v>2022</v>
      </c>
      <c r="AN576">
        <v>2020</v>
      </c>
      <c r="AO576">
        <f>IF(AND(emissions[[#This Row],[Market-based]]=0,emissions[[#This Row],[Impact Type]]="CO2E"),emissions[[#This Row],[kgCO2e]],0)/1000</f>
        <v>0</v>
      </c>
      <c r="AP576">
        <f>IF(AND(emissions[[#This Row],[Market-based]]=1,OR(emissions[[#This Row],[Impact Type]]="CO2E",emissions[[#This Row],[Impact Type]]="CO2E MKT")),emissions[[#This Row],[kgCO2e]],0)/1000</f>
        <v>0</v>
      </c>
      <c r="AQ576" t="str">
        <f>_xlfn.TEXTAFTER(emissions[[#This Row],[Reporting Unit]]," &gt; ",LEN(emissions[[#This Row],[Reporting Unit]])-LEN(SUBSTITUTE(emissions[[#This Row],[Reporting Unit]],"&gt;","")))</f>
        <v>Vantage_Carnegie</v>
      </c>
      <c r="AR576" t="str">
        <f>_xlfn.XLOOKUP(emissions[[#This Row],[Reporting unit name]],hierarchy!$A:$A,hierarchy!$C:$C)</f>
        <v>Office</v>
      </c>
    </row>
    <row r="577" spans="1:44" hidden="1" x14ac:dyDescent="0.25">
      <c r="A577">
        <v>20565</v>
      </c>
      <c r="B577" t="s">
        <v>444</v>
      </c>
      <c r="C577" t="s">
        <v>501</v>
      </c>
      <c r="D577" t="s">
        <v>548</v>
      </c>
      <c r="E577" s="3">
        <v>44562</v>
      </c>
      <c r="F577" s="3">
        <v>44926</v>
      </c>
      <c r="G577" t="s">
        <v>108</v>
      </c>
      <c r="H577" s="3">
        <v>44562</v>
      </c>
      <c r="I577" s="3">
        <v>44926</v>
      </c>
      <c r="J577" t="s">
        <v>108</v>
      </c>
      <c r="K577">
        <v>1455979</v>
      </c>
      <c r="L577" t="s">
        <v>109</v>
      </c>
      <c r="M577" t="s">
        <v>110</v>
      </c>
      <c r="O577" t="s">
        <v>779</v>
      </c>
      <c r="P577" t="s">
        <v>550</v>
      </c>
      <c r="Q577">
        <v>2022</v>
      </c>
      <c r="R577" t="s">
        <v>551</v>
      </c>
      <c r="S577" t="s">
        <v>552</v>
      </c>
      <c r="T577" t="s">
        <v>553</v>
      </c>
      <c r="U577" t="b">
        <v>1</v>
      </c>
      <c r="V577" t="s">
        <v>763</v>
      </c>
      <c r="W577" t="s">
        <v>555</v>
      </c>
      <c r="X577" t="s">
        <v>556</v>
      </c>
      <c r="AC577">
        <v>1</v>
      </c>
      <c r="AD577" t="s">
        <v>639</v>
      </c>
      <c r="AE577">
        <v>571449.05299999996</v>
      </c>
      <c r="AF577">
        <v>0.39248440600000001</v>
      </c>
      <c r="AG577" t="s">
        <v>768</v>
      </c>
      <c r="AH577">
        <v>1</v>
      </c>
      <c r="AI577">
        <v>1455979</v>
      </c>
      <c r="AL577" t="s">
        <v>769</v>
      </c>
      <c r="AM577">
        <v>2022</v>
      </c>
      <c r="AO577">
        <f>IF(AND(emissions[[#This Row],[Market-based]]=0,emissions[[#This Row],[Impact Type]]="CO2E"),emissions[[#This Row],[kgCO2e]],0)/1000</f>
        <v>0</v>
      </c>
      <c r="AP577">
        <f>IF(AND(emissions[[#This Row],[Market-based]]=1,OR(emissions[[#This Row],[Impact Type]]="CO2E",emissions[[#This Row],[Impact Type]]="CO2E MKT")),emissions[[#This Row],[kgCO2e]],0)/1000</f>
        <v>571.44905299999994</v>
      </c>
      <c r="AQ577" t="str">
        <f>_xlfn.TEXTAFTER(emissions[[#This Row],[Reporting Unit]]," &gt; ",LEN(emissions[[#This Row],[Reporting Unit]])-LEN(SUBSTITUTE(emissions[[#This Row],[Reporting Unit]],"&gt;","")))</f>
        <v>Vantage_Carnegie</v>
      </c>
      <c r="AR577" t="str">
        <f>_xlfn.XLOOKUP(emissions[[#This Row],[Reporting unit name]],hierarchy!$A:$A,hierarchy!$C:$C)</f>
        <v>Office</v>
      </c>
    </row>
    <row r="578" spans="1:44" hidden="1" x14ac:dyDescent="0.25">
      <c r="A578">
        <v>20565</v>
      </c>
      <c r="B578" t="s">
        <v>444</v>
      </c>
      <c r="C578" t="s">
        <v>501</v>
      </c>
      <c r="D578" t="s">
        <v>548</v>
      </c>
      <c r="E578" s="3">
        <v>44562</v>
      </c>
      <c r="F578" s="3">
        <v>44926</v>
      </c>
      <c r="G578" t="s">
        <v>108</v>
      </c>
      <c r="H578" s="3">
        <v>44562</v>
      </c>
      <c r="I578" s="3">
        <v>44926</v>
      </c>
      <c r="J578" t="s">
        <v>108</v>
      </c>
      <c r="K578">
        <v>1455979</v>
      </c>
      <c r="L578" t="s">
        <v>109</v>
      </c>
      <c r="M578" t="s">
        <v>110</v>
      </c>
      <c r="O578" t="s">
        <v>779</v>
      </c>
      <c r="P578" t="s">
        <v>550</v>
      </c>
      <c r="Q578">
        <v>2022</v>
      </c>
      <c r="R578" t="s">
        <v>567</v>
      </c>
      <c r="S578" t="s">
        <v>568</v>
      </c>
      <c r="T578" t="s">
        <v>569</v>
      </c>
      <c r="U578" t="b">
        <v>0</v>
      </c>
      <c r="V578" t="s">
        <v>770</v>
      </c>
      <c r="W578" t="s">
        <v>571</v>
      </c>
      <c r="X578" t="s">
        <v>572</v>
      </c>
      <c r="Y578" t="s">
        <v>472</v>
      </c>
      <c r="Z578" t="s">
        <v>485</v>
      </c>
      <c r="AA578" t="s">
        <v>764</v>
      </c>
      <c r="AB578" t="s">
        <v>765</v>
      </c>
      <c r="AC578">
        <v>0</v>
      </c>
      <c r="AD578" t="s">
        <v>565</v>
      </c>
      <c r="AE578">
        <v>10245.15899</v>
      </c>
      <c r="AF578">
        <v>7.0366120000000002E-3</v>
      </c>
      <c r="AG578" t="s">
        <v>560</v>
      </c>
      <c r="AH578">
        <v>1</v>
      </c>
      <c r="AI578">
        <v>1455979</v>
      </c>
      <c r="AJ578" t="s">
        <v>561</v>
      </c>
      <c r="AK578" t="s">
        <v>573</v>
      </c>
      <c r="AL578" t="s">
        <v>574</v>
      </c>
      <c r="AM578">
        <v>2022</v>
      </c>
      <c r="AN578">
        <v>2020</v>
      </c>
      <c r="AO578">
        <f>IF(AND(emissions[[#This Row],[Market-based]]=0,emissions[[#This Row],[Impact Type]]="CO2E"),emissions[[#This Row],[kgCO2e]],0)/1000</f>
        <v>10.24515899</v>
      </c>
      <c r="AP578">
        <f>IF(AND(emissions[[#This Row],[Market-based]]=1,OR(emissions[[#This Row],[Impact Type]]="CO2E",emissions[[#This Row],[Impact Type]]="CO2E MKT")),emissions[[#This Row],[kgCO2e]],0)/1000</f>
        <v>0</v>
      </c>
      <c r="AQ578" t="str">
        <f>_xlfn.TEXTAFTER(emissions[[#This Row],[Reporting Unit]]," &gt; ",LEN(emissions[[#This Row],[Reporting Unit]])-LEN(SUBSTITUTE(emissions[[#This Row],[Reporting Unit]],"&gt;","")))</f>
        <v>Vantage_Carnegie</v>
      </c>
      <c r="AR578" t="str">
        <f>_xlfn.XLOOKUP(emissions[[#This Row],[Reporting unit name]],hierarchy!$A:$A,hierarchy!$C:$C)</f>
        <v>Office</v>
      </c>
    </row>
    <row r="579" spans="1:44" hidden="1" x14ac:dyDescent="0.25">
      <c r="A579">
        <v>20565</v>
      </c>
      <c r="B579" t="s">
        <v>444</v>
      </c>
      <c r="C579" t="s">
        <v>501</v>
      </c>
      <c r="D579" t="s">
        <v>548</v>
      </c>
      <c r="E579" s="3">
        <v>44562</v>
      </c>
      <c r="F579" s="3">
        <v>44926</v>
      </c>
      <c r="G579" t="s">
        <v>108</v>
      </c>
      <c r="H579" s="3">
        <v>44562</v>
      </c>
      <c r="I579" s="3">
        <v>44926</v>
      </c>
      <c r="J579" t="s">
        <v>108</v>
      </c>
      <c r="K579">
        <v>1455979</v>
      </c>
      <c r="L579" t="s">
        <v>109</v>
      </c>
      <c r="M579" t="s">
        <v>110</v>
      </c>
      <c r="O579" t="s">
        <v>779</v>
      </c>
      <c r="P579" t="s">
        <v>550</v>
      </c>
      <c r="Q579">
        <v>2022</v>
      </c>
      <c r="R579" t="s">
        <v>567</v>
      </c>
      <c r="S579" t="s">
        <v>568</v>
      </c>
      <c r="T579" t="s">
        <v>569</v>
      </c>
      <c r="U579" t="b">
        <v>0</v>
      </c>
      <c r="V579" t="s">
        <v>771</v>
      </c>
      <c r="W579" t="s">
        <v>571</v>
      </c>
      <c r="X579" t="s">
        <v>572</v>
      </c>
      <c r="Y579" t="s">
        <v>472</v>
      </c>
      <c r="Z579" t="s">
        <v>485</v>
      </c>
      <c r="AA579" t="s">
        <v>764</v>
      </c>
      <c r="AB579" t="s">
        <v>765</v>
      </c>
      <c r="AC579">
        <v>1</v>
      </c>
      <c r="AD579" t="s">
        <v>639</v>
      </c>
      <c r="AE579">
        <v>9503.3261610000009</v>
      </c>
      <c r="AF579">
        <v>6.5271039999999997E-3</v>
      </c>
      <c r="AG579" t="s">
        <v>560</v>
      </c>
      <c r="AH579">
        <v>1</v>
      </c>
      <c r="AI579">
        <v>1455979</v>
      </c>
      <c r="AJ579" t="s">
        <v>561</v>
      </c>
      <c r="AK579" t="s">
        <v>573</v>
      </c>
      <c r="AL579" t="s">
        <v>772</v>
      </c>
      <c r="AM579">
        <v>2022</v>
      </c>
      <c r="AN579">
        <v>2019</v>
      </c>
      <c r="AO579">
        <f>IF(AND(emissions[[#This Row],[Market-based]]=0,emissions[[#This Row],[Impact Type]]="CO2E"),emissions[[#This Row],[kgCO2e]],0)/1000</f>
        <v>0</v>
      </c>
      <c r="AP579">
        <f>IF(AND(emissions[[#This Row],[Market-based]]=1,OR(emissions[[#This Row],[Impact Type]]="CO2E",emissions[[#This Row],[Impact Type]]="CO2E MKT")),emissions[[#This Row],[kgCO2e]],0)/1000</f>
        <v>9.5033261610000004</v>
      </c>
      <c r="AQ579" t="str">
        <f>_xlfn.TEXTAFTER(emissions[[#This Row],[Reporting Unit]]," &gt; ",LEN(emissions[[#This Row],[Reporting Unit]])-LEN(SUBSTITUTE(emissions[[#This Row],[Reporting Unit]],"&gt;","")))</f>
        <v>Vantage_Carnegie</v>
      </c>
      <c r="AR579" t="str">
        <f>_xlfn.XLOOKUP(emissions[[#This Row],[Reporting unit name]],hierarchy!$A:$A,hierarchy!$C:$C)</f>
        <v>Office</v>
      </c>
    </row>
    <row r="580" spans="1:44" hidden="1" x14ac:dyDescent="0.25">
      <c r="A580">
        <v>20565</v>
      </c>
      <c r="B580" t="s">
        <v>444</v>
      </c>
      <c r="C580" t="s">
        <v>501</v>
      </c>
      <c r="D580" t="s">
        <v>548</v>
      </c>
      <c r="E580" s="3">
        <v>44562</v>
      </c>
      <c r="F580" s="3">
        <v>44926</v>
      </c>
      <c r="G580" t="s">
        <v>108</v>
      </c>
      <c r="H580" s="3">
        <v>44562</v>
      </c>
      <c r="I580" s="3">
        <v>44926</v>
      </c>
      <c r="J580" t="s">
        <v>108</v>
      </c>
      <c r="K580">
        <v>1455979</v>
      </c>
      <c r="L580" t="s">
        <v>109</v>
      </c>
      <c r="M580" t="s">
        <v>110</v>
      </c>
      <c r="O580" t="s">
        <v>779</v>
      </c>
      <c r="P580" t="s">
        <v>550</v>
      </c>
      <c r="Q580">
        <v>2022</v>
      </c>
      <c r="R580" t="s">
        <v>575</v>
      </c>
      <c r="S580" t="s">
        <v>576</v>
      </c>
      <c r="T580" t="s">
        <v>577</v>
      </c>
      <c r="U580" t="b">
        <v>0</v>
      </c>
      <c r="V580" t="s">
        <v>773</v>
      </c>
      <c r="W580" t="s">
        <v>571</v>
      </c>
      <c r="X580" t="s">
        <v>572</v>
      </c>
      <c r="Y580" t="s">
        <v>472</v>
      </c>
      <c r="Z580" t="s">
        <v>485</v>
      </c>
      <c r="AA580" t="s">
        <v>764</v>
      </c>
      <c r="AB580" t="s">
        <v>765</v>
      </c>
      <c r="AC580">
        <v>0</v>
      </c>
      <c r="AD580" t="s">
        <v>565</v>
      </c>
      <c r="AE580">
        <v>183059.72760000001</v>
      </c>
      <c r="AF580">
        <v>0.125729648</v>
      </c>
      <c r="AG580" t="s">
        <v>560</v>
      </c>
      <c r="AH580">
        <v>1</v>
      </c>
      <c r="AI580">
        <v>1455979</v>
      </c>
      <c r="AJ580" t="s">
        <v>561</v>
      </c>
      <c r="AK580" t="s">
        <v>573</v>
      </c>
      <c r="AL580" t="s">
        <v>574</v>
      </c>
      <c r="AM580">
        <v>2022</v>
      </c>
      <c r="AN580">
        <v>2020</v>
      </c>
      <c r="AO580">
        <f>IF(AND(emissions[[#This Row],[Market-based]]=0,emissions[[#This Row],[Impact Type]]="CO2E"),emissions[[#This Row],[kgCO2e]],0)/1000</f>
        <v>183.0597276</v>
      </c>
      <c r="AP580">
        <f>IF(AND(emissions[[#This Row],[Market-based]]=1,OR(emissions[[#This Row],[Impact Type]]="CO2E",emissions[[#This Row],[Impact Type]]="CO2E MKT")),emissions[[#This Row],[kgCO2e]],0)/1000</f>
        <v>0</v>
      </c>
      <c r="AQ580" t="str">
        <f>_xlfn.TEXTAFTER(emissions[[#This Row],[Reporting Unit]]," &gt; ",LEN(emissions[[#This Row],[Reporting Unit]])-LEN(SUBSTITUTE(emissions[[#This Row],[Reporting Unit]],"&gt;","")))</f>
        <v>Vantage_Carnegie</v>
      </c>
      <c r="AR580" t="str">
        <f>_xlfn.XLOOKUP(emissions[[#This Row],[Reporting unit name]],hierarchy!$A:$A,hierarchy!$C:$C)</f>
        <v>Office</v>
      </c>
    </row>
    <row r="581" spans="1:44" hidden="1" x14ac:dyDescent="0.25">
      <c r="A581">
        <v>20565</v>
      </c>
      <c r="B581" t="s">
        <v>444</v>
      </c>
      <c r="C581" t="s">
        <v>501</v>
      </c>
      <c r="D581" t="s">
        <v>548</v>
      </c>
      <c r="E581" s="3">
        <v>44562</v>
      </c>
      <c r="F581" s="3">
        <v>44926</v>
      </c>
      <c r="G581" t="s">
        <v>108</v>
      </c>
      <c r="H581" s="3">
        <v>44562</v>
      </c>
      <c r="I581" s="3">
        <v>44926</v>
      </c>
      <c r="J581" t="s">
        <v>108</v>
      </c>
      <c r="K581">
        <v>1455979</v>
      </c>
      <c r="L581" t="s">
        <v>109</v>
      </c>
      <c r="M581" t="s">
        <v>110</v>
      </c>
      <c r="O581" t="s">
        <v>779</v>
      </c>
      <c r="P581" t="s">
        <v>550</v>
      </c>
      <c r="Q581">
        <v>2022</v>
      </c>
      <c r="R581" t="s">
        <v>575</v>
      </c>
      <c r="S581" t="s">
        <v>576</v>
      </c>
      <c r="T581" t="s">
        <v>577</v>
      </c>
      <c r="U581" t="b">
        <v>0</v>
      </c>
      <c r="V581" t="s">
        <v>774</v>
      </c>
      <c r="W581" t="s">
        <v>571</v>
      </c>
      <c r="X581" t="s">
        <v>572</v>
      </c>
      <c r="Y581" t="s">
        <v>472</v>
      </c>
      <c r="Z581" t="s">
        <v>485</v>
      </c>
      <c r="AA581" t="s">
        <v>764</v>
      </c>
      <c r="AB581" t="s">
        <v>765</v>
      </c>
      <c r="AC581">
        <v>1</v>
      </c>
      <c r="AD581" t="s">
        <v>639</v>
      </c>
      <c r="AE581">
        <v>186339.7286</v>
      </c>
      <c r="AF581">
        <v>0.12798242900000001</v>
      </c>
      <c r="AG581" t="s">
        <v>560</v>
      </c>
      <c r="AH581">
        <v>1</v>
      </c>
      <c r="AI581">
        <v>1455979</v>
      </c>
      <c r="AJ581" t="s">
        <v>561</v>
      </c>
      <c r="AK581" t="s">
        <v>573</v>
      </c>
      <c r="AL581" t="s">
        <v>775</v>
      </c>
      <c r="AM581">
        <v>2022</v>
      </c>
      <c r="AN581">
        <v>2019</v>
      </c>
      <c r="AO581">
        <f>IF(AND(emissions[[#This Row],[Market-based]]=0,emissions[[#This Row],[Impact Type]]="CO2E"),emissions[[#This Row],[kgCO2e]],0)/1000</f>
        <v>0</v>
      </c>
      <c r="AP581">
        <f>IF(AND(emissions[[#This Row],[Market-based]]=1,OR(emissions[[#This Row],[Impact Type]]="CO2E",emissions[[#This Row],[Impact Type]]="CO2E MKT")),emissions[[#This Row],[kgCO2e]],0)/1000</f>
        <v>186.3397286</v>
      </c>
      <c r="AQ581" t="str">
        <f>_xlfn.TEXTAFTER(emissions[[#This Row],[Reporting Unit]]," &gt; ",LEN(emissions[[#This Row],[Reporting Unit]])-LEN(SUBSTITUTE(emissions[[#This Row],[Reporting Unit]],"&gt;","")))</f>
        <v>Vantage_Carnegie</v>
      </c>
      <c r="AR581" t="str">
        <f>_xlfn.XLOOKUP(emissions[[#This Row],[Reporting unit name]],hierarchy!$A:$A,hierarchy!$C:$C)</f>
        <v>Office</v>
      </c>
    </row>
    <row r="582" spans="1:44" hidden="1" x14ac:dyDescent="0.25">
      <c r="A582">
        <v>20565</v>
      </c>
      <c r="B582" t="s">
        <v>444</v>
      </c>
      <c r="C582" t="s">
        <v>501</v>
      </c>
      <c r="D582" t="s">
        <v>548</v>
      </c>
      <c r="E582" s="3">
        <v>44562</v>
      </c>
      <c r="F582" s="3">
        <v>44926</v>
      </c>
      <c r="G582" t="s">
        <v>108</v>
      </c>
      <c r="H582" s="3">
        <v>44562</v>
      </c>
      <c r="I582" s="3">
        <v>44926</v>
      </c>
      <c r="J582" t="s">
        <v>108</v>
      </c>
      <c r="K582">
        <v>1455979</v>
      </c>
      <c r="L582" t="s">
        <v>109</v>
      </c>
      <c r="M582" t="s">
        <v>110</v>
      </c>
      <c r="O582" t="s">
        <v>779</v>
      </c>
      <c r="P582" t="s">
        <v>550</v>
      </c>
      <c r="Q582">
        <v>2022</v>
      </c>
      <c r="R582" t="s">
        <v>579</v>
      </c>
      <c r="S582" t="s">
        <v>580</v>
      </c>
      <c r="T582" t="s">
        <v>581</v>
      </c>
      <c r="U582" t="b">
        <v>0</v>
      </c>
      <c r="V582" t="s">
        <v>776</v>
      </c>
      <c r="W582" t="s">
        <v>571</v>
      </c>
      <c r="X582" t="s">
        <v>572</v>
      </c>
      <c r="Y582" t="s">
        <v>472</v>
      </c>
      <c r="Z582" t="s">
        <v>485</v>
      </c>
      <c r="AA582" t="s">
        <v>764</v>
      </c>
      <c r="AB582" t="s">
        <v>765</v>
      </c>
      <c r="AC582">
        <v>0</v>
      </c>
      <c r="AD582" t="s">
        <v>565</v>
      </c>
      <c r="AE582">
        <v>34676.894670000001</v>
      </c>
      <c r="AF582">
        <v>2.3816891999999999E-2</v>
      </c>
      <c r="AG582" t="s">
        <v>560</v>
      </c>
      <c r="AH582">
        <v>1</v>
      </c>
      <c r="AI582">
        <v>1455979</v>
      </c>
      <c r="AJ582" t="s">
        <v>561</v>
      </c>
      <c r="AK582" t="s">
        <v>766</v>
      </c>
      <c r="AL582" t="s">
        <v>767</v>
      </c>
      <c r="AM582">
        <v>2022</v>
      </c>
      <c r="AN582">
        <v>2020</v>
      </c>
      <c r="AO582">
        <f>IF(AND(emissions[[#This Row],[Market-based]]=0,emissions[[#This Row],[Impact Type]]="CO2E"),emissions[[#This Row],[kgCO2e]],0)/1000</f>
        <v>34.676894670000003</v>
      </c>
      <c r="AP582">
        <f>IF(AND(emissions[[#This Row],[Market-based]]=1,OR(emissions[[#This Row],[Impact Type]]="CO2E",emissions[[#This Row],[Impact Type]]="CO2E MKT")),emissions[[#This Row],[kgCO2e]],0)/1000</f>
        <v>0</v>
      </c>
      <c r="AQ582" t="str">
        <f>_xlfn.TEXTAFTER(emissions[[#This Row],[Reporting Unit]]," &gt; ",LEN(emissions[[#This Row],[Reporting Unit]])-LEN(SUBSTITUTE(emissions[[#This Row],[Reporting Unit]],"&gt;","")))</f>
        <v>Vantage_Carnegie</v>
      </c>
      <c r="AR582" t="str">
        <f>_xlfn.XLOOKUP(emissions[[#This Row],[Reporting unit name]],hierarchy!$A:$A,hierarchy!$C:$C)</f>
        <v>Office</v>
      </c>
    </row>
    <row r="583" spans="1:44" hidden="1" x14ac:dyDescent="0.25">
      <c r="A583">
        <v>20565</v>
      </c>
      <c r="B583" t="s">
        <v>444</v>
      </c>
      <c r="C583" t="s">
        <v>501</v>
      </c>
      <c r="D583" t="s">
        <v>548</v>
      </c>
      <c r="E583" s="3">
        <v>44562</v>
      </c>
      <c r="F583" s="3">
        <v>44926</v>
      </c>
      <c r="G583" t="s">
        <v>108</v>
      </c>
      <c r="H583" s="3">
        <v>44562</v>
      </c>
      <c r="I583" s="3">
        <v>44926</v>
      </c>
      <c r="J583" t="s">
        <v>108</v>
      </c>
      <c r="K583">
        <v>1455979</v>
      </c>
      <c r="L583" t="s">
        <v>109</v>
      </c>
      <c r="M583" t="s">
        <v>110</v>
      </c>
      <c r="O583" t="s">
        <v>779</v>
      </c>
      <c r="P583" t="s">
        <v>550</v>
      </c>
      <c r="Q583">
        <v>2022</v>
      </c>
      <c r="R583" t="s">
        <v>579</v>
      </c>
      <c r="S583" t="s">
        <v>580</v>
      </c>
      <c r="T583" t="s">
        <v>581</v>
      </c>
      <c r="U583" t="b">
        <v>0</v>
      </c>
      <c r="V583" t="s">
        <v>777</v>
      </c>
      <c r="W583" t="s">
        <v>571</v>
      </c>
      <c r="X583" t="s">
        <v>572</v>
      </c>
      <c r="Y583" t="s">
        <v>472</v>
      </c>
      <c r="Z583" t="s">
        <v>485</v>
      </c>
      <c r="AA583" t="s">
        <v>764</v>
      </c>
      <c r="AB583" t="s">
        <v>765</v>
      </c>
      <c r="AC583">
        <v>1</v>
      </c>
      <c r="AD583" t="s">
        <v>639</v>
      </c>
      <c r="AE583">
        <v>35974.166839999998</v>
      </c>
      <c r="AF583">
        <v>2.4707889E-2</v>
      </c>
      <c r="AG583" t="s">
        <v>560</v>
      </c>
      <c r="AH583">
        <v>1</v>
      </c>
      <c r="AI583">
        <v>1455979</v>
      </c>
      <c r="AJ583" t="s">
        <v>561</v>
      </c>
      <c r="AK583" t="s">
        <v>573</v>
      </c>
      <c r="AL583" t="s">
        <v>778</v>
      </c>
      <c r="AM583">
        <v>2022</v>
      </c>
      <c r="AN583">
        <v>2019</v>
      </c>
      <c r="AO583">
        <f>IF(AND(emissions[[#This Row],[Market-based]]=0,emissions[[#This Row],[Impact Type]]="CO2E"),emissions[[#This Row],[kgCO2e]],0)/1000</f>
        <v>0</v>
      </c>
      <c r="AP583">
        <f>IF(AND(emissions[[#This Row],[Market-based]]=1,OR(emissions[[#This Row],[Impact Type]]="CO2E",emissions[[#This Row],[Impact Type]]="CO2E MKT")),emissions[[#This Row],[kgCO2e]],0)/1000</f>
        <v>35.974166839999995</v>
      </c>
      <c r="AQ583" t="str">
        <f>_xlfn.TEXTAFTER(emissions[[#This Row],[Reporting Unit]]," &gt; ",LEN(emissions[[#This Row],[Reporting Unit]])-LEN(SUBSTITUTE(emissions[[#This Row],[Reporting Unit]],"&gt;","")))</f>
        <v>Vantage_Carnegie</v>
      </c>
      <c r="AR583" t="str">
        <f>_xlfn.XLOOKUP(emissions[[#This Row],[Reporting unit name]],hierarchy!$A:$A,hierarchy!$C:$C)</f>
        <v>Office</v>
      </c>
    </row>
    <row r="584" spans="1:44" hidden="1" x14ac:dyDescent="0.25">
      <c r="A584">
        <v>20126</v>
      </c>
      <c r="B584" t="s">
        <v>444</v>
      </c>
      <c r="C584" t="s">
        <v>501</v>
      </c>
      <c r="D584" t="s">
        <v>548</v>
      </c>
      <c r="E584" s="3">
        <v>44562</v>
      </c>
      <c r="F584" s="3">
        <v>44926</v>
      </c>
      <c r="G584" t="s">
        <v>135</v>
      </c>
      <c r="H584" s="3">
        <v>44562</v>
      </c>
      <c r="I584" s="3">
        <v>44926</v>
      </c>
      <c r="J584" t="s">
        <v>135</v>
      </c>
      <c r="K584">
        <v>24338400</v>
      </c>
      <c r="L584" t="s">
        <v>160</v>
      </c>
      <c r="M584" t="s">
        <v>110</v>
      </c>
      <c r="O584" t="s">
        <v>780</v>
      </c>
      <c r="P584" t="s">
        <v>550</v>
      </c>
      <c r="Q584">
        <v>2022</v>
      </c>
      <c r="R584" t="s">
        <v>605</v>
      </c>
      <c r="S584" t="s">
        <v>606</v>
      </c>
      <c r="T584" t="s">
        <v>553</v>
      </c>
      <c r="U584" t="b">
        <v>0</v>
      </c>
      <c r="V584" t="s">
        <v>781</v>
      </c>
      <c r="W584" t="s">
        <v>587</v>
      </c>
      <c r="X584" t="s">
        <v>556</v>
      </c>
      <c r="Y584" t="s">
        <v>472</v>
      </c>
      <c r="Z584" t="s">
        <v>485</v>
      </c>
      <c r="AA584" t="s">
        <v>764</v>
      </c>
      <c r="AC584">
        <v>0</v>
      </c>
      <c r="AD584" t="s">
        <v>558</v>
      </c>
      <c r="AE584">
        <v>626.71379999999999</v>
      </c>
      <c r="AF584">
        <v>2.5749999999999999E-5</v>
      </c>
      <c r="AG584" t="s">
        <v>782</v>
      </c>
      <c r="AH584">
        <v>1</v>
      </c>
      <c r="AI584">
        <v>24338400</v>
      </c>
      <c r="AJ584" t="s">
        <v>561</v>
      </c>
      <c r="AK584" t="s">
        <v>766</v>
      </c>
      <c r="AL584" t="s">
        <v>767</v>
      </c>
      <c r="AM584">
        <v>2022</v>
      </c>
      <c r="AN584">
        <v>2022</v>
      </c>
      <c r="AO584">
        <f>IF(AND(emissions[[#This Row],[Market-based]]=0,emissions[[#This Row],[Impact Type]]="CO2E"),emissions[[#This Row],[kgCO2e]],0)/1000</f>
        <v>0</v>
      </c>
      <c r="AP584">
        <f>IF(AND(emissions[[#This Row],[Market-based]]=1,OR(emissions[[#This Row],[Impact Type]]="CO2E",emissions[[#This Row],[Impact Type]]="CO2E MKT")),emissions[[#This Row],[kgCO2e]],0)/1000</f>
        <v>0</v>
      </c>
      <c r="AQ584" t="str">
        <f>_xlfn.TEXTAFTER(emissions[[#This Row],[Reporting Unit]]," &gt; ",LEN(emissions[[#This Row],[Reporting Unit]])-LEN(SUBSTITUTE(emissions[[#This Row],[Reporting Unit]],"&gt;","")))</f>
        <v>Vantage_Carnegie</v>
      </c>
      <c r="AR584" t="str">
        <f>_xlfn.XLOOKUP(emissions[[#This Row],[Reporting unit name]],hierarchy!$A:$A,hierarchy!$C:$C)</f>
        <v>Office</v>
      </c>
    </row>
    <row r="585" spans="1:44" hidden="1" x14ac:dyDescent="0.25">
      <c r="A585">
        <v>20126</v>
      </c>
      <c r="B585" t="s">
        <v>444</v>
      </c>
      <c r="C585" t="s">
        <v>501</v>
      </c>
      <c r="D585" t="s">
        <v>548</v>
      </c>
      <c r="E585" s="3">
        <v>44562</v>
      </c>
      <c r="F585" s="3">
        <v>44926</v>
      </c>
      <c r="G585" t="s">
        <v>135</v>
      </c>
      <c r="H585" s="3">
        <v>44562</v>
      </c>
      <c r="I585" s="3">
        <v>44926</v>
      </c>
      <c r="J585" t="s">
        <v>135</v>
      </c>
      <c r="K585">
        <v>24338400</v>
      </c>
      <c r="L585" t="s">
        <v>160</v>
      </c>
      <c r="M585" t="s">
        <v>110</v>
      </c>
      <c r="O585" t="s">
        <v>780</v>
      </c>
      <c r="P585" t="s">
        <v>550</v>
      </c>
      <c r="Q585">
        <v>2022</v>
      </c>
      <c r="R585" t="s">
        <v>605</v>
      </c>
      <c r="S585" t="s">
        <v>606</v>
      </c>
      <c r="T585" t="s">
        <v>553</v>
      </c>
      <c r="U585" t="b">
        <v>0</v>
      </c>
      <c r="V585" t="s">
        <v>781</v>
      </c>
      <c r="W585" t="s">
        <v>587</v>
      </c>
      <c r="X585" t="s">
        <v>556</v>
      </c>
      <c r="Y585" t="s">
        <v>472</v>
      </c>
      <c r="Z585" t="s">
        <v>485</v>
      </c>
      <c r="AA585" t="s">
        <v>764</v>
      </c>
      <c r="AC585">
        <v>0</v>
      </c>
      <c r="AD585" t="s">
        <v>564</v>
      </c>
      <c r="AE585">
        <v>1324982.496</v>
      </c>
      <c r="AF585">
        <v>5.4440000000000002E-2</v>
      </c>
      <c r="AG585" t="s">
        <v>782</v>
      </c>
      <c r="AH585">
        <v>1</v>
      </c>
      <c r="AI585">
        <v>24338400</v>
      </c>
      <c r="AJ585" t="s">
        <v>561</v>
      </c>
      <c r="AK585" t="s">
        <v>766</v>
      </c>
      <c r="AL585" t="s">
        <v>767</v>
      </c>
      <c r="AM585">
        <v>2022</v>
      </c>
      <c r="AN585">
        <v>2022</v>
      </c>
      <c r="AO585">
        <f>IF(AND(emissions[[#This Row],[Market-based]]=0,emissions[[#This Row],[Impact Type]]="CO2E"),emissions[[#This Row],[kgCO2e]],0)/1000</f>
        <v>0</v>
      </c>
      <c r="AP585">
        <f>IF(AND(emissions[[#This Row],[Market-based]]=1,OR(emissions[[#This Row],[Impact Type]]="CO2E",emissions[[#This Row],[Impact Type]]="CO2E MKT")),emissions[[#This Row],[kgCO2e]],0)/1000</f>
        <v>0</v>
      </c>
      <c r="AQ585" t="str">
        <f>_xlfn.TEXTAFTER(emissions[[#This Row],[Reporting Unit]]," &gt; ",LEN(emissions[[#This Row],[Reporting Unit]])-LEN(SUBSTITUTE(emissions[[#This Row],[Reporting Unit]],"&gt;","")))</f>
        <v>Vantage_Carnegie</v>
      </c>
      <c r="AR585" t="str">
        <f>_xlfn.XLOOKUP(emissions[[#This Row],[Reporting unit name]],hierarchy!$A:$A,hierarchy!$C:$C)</f>
        <v>Office</v>
      </c>
    </row>
    <row r="586" spans="1:44" hidden="1" x14ac:dyDescent="0.25">
      <c r="A586">
        <v>20126</v>
      </c>
      <c r="B586" t="s">
        <v>444</v>
      </c>
      <c r="C586" t="s">
        <v>501</v>
      </c>
      <c r="D586" t="s">
        <v>548</v>
      </c>
      <c r="E586" s="3">
        <v>44562</v>
      </c>
      <c r="F586" s="3">
        <v>44926</v>
      </c>
      <c r="G586" t="s">
        <v>135</v>
      </c>
      <c r="H586" s="3">
        <v>44562</v>
      </c>
      <c r="I586" s="3">
        <v>44926</v>
      </c>
      <c r="J586" t="s">
        <v>135</v>
      </c>
      <c r="K586">
        <v>24338400</v>
      </c>
      <c r="L586" t="s">
        <v>160</v>
      </c>
      <c r="M586" t="s">
        <v>110</v>
      </c>
      <c r="O586" t="s">
        <v>780</v>
      </c>
      <c r="P586" t="s">
        <v>550</v>
      </c>
      <c r="Q586">
        <v>2022</v>
      </c>
      <c r="R586" t="s">
        <v>605</v>
      </c>
      <c r="S586" t="s">
        <v>606</v>
      </c>
      <c r="T586" t="s">
        <v>553</v>
      </c>
      <c r="U586" t="b">
        <v>0</v>
      </c>
      <c r="V586" t="s">
        <v>781</v>
      </c>
      <c r="W586" t="s">
        <v>587</v>
      </c>
      <c r="X586" t="s">
        <v>556</v>
      </c>
      <c r="Y586" t="s">
        <v>472</v>
      </c>
      <c r="Z586" t="s">
        <v>485</v>
      </c>
      <c r="AA586" t="s">
        <v>764</v>
      </c>
      <c r="AC586">
        <v>0</v>
      </c>
      <c r="AD586" t="s">
        <v>565</v>
      </c>
      <c r="AE586">
        <v>1326334.4939999999</v>
      </c>
      <c r="AF586">
        <v>5.4495549999999997E-2</v>
      </c>
      <c r="AG586" t="s">
        <v>782</v>
      </c>
      <c r="AH586">
        <v>1</v>
      </c>
      <c r="AI586">
        <v>24338400</v>
      </c>
      <c r="AJ586" t="s">
        <v>561</v>
      </c>
      <c r="AK586" t="s">
        <v>766</v>
      </c>
      <c r="AL586" t="s">
        <v>767</v>
      </c>
      <c r="AM586">
        <v>2022</v>
      </c>
      <c r="AN586">
        <v>2022</v>
      </c>
      <c r="AO586">
        <f>IF(AND(emissions[[#This Row],[Market-based]]=0,emissions[[#This Row],[Impact Type]]="CO2E"),emissions[[#This Row],[kgCO2e]],0)/1000</f>
        <v>1326.3344939999999</v>
      </c>
      <c r="AP586">
        <f>IF(AND(emissions[[#This Row],[Market-based]]=1,OR(emissions[[#This Row],[Impact Type]]="CO2E",emissions[[#This Row],[Impact Type]]="CO2E MKT")),emissions[[#This Row],[kgCO2e]],0)/1000</f>
        <v>0</v>
      </c>
      <c r="AQ586" t="str">
        <f>_xlfn.TEXTAFTER(emissions[[#This Row],[Reporting Unit]]," &gt; ",LEN(emissions[[#This Row],[Reporting Unit]])-LEN(SUBSTITUTE(emissions[[#This Row],[Reporting Unit]],"&gt;","")))</f>
        <v>Vantage_Carnegie</v>
      </c>
      <c r="AR586" t="str">
        <f>_xlfn.XLOOKUP(emissions[[#This Row],[Reporting unit name]],hierarchy!$A:$A,hierarchy!$C:$C)</f>
        <v>Office</v>
      </c>
    </row>
    <row r="587" spans="1:44" hidden="1" x14ac:dyDescent="0.25">
      <c r="A587">
        <v>20126</v>
      </c>
      <c r="B587" t="s">
        <v>444</v>
      </c>
      <c r="C587" t="s">
        <v>501</v>
      </c>
      <c r="D587" t="s">
        <v>548</v>
      </c>
      <c r="E587" s="3">
        <v>44562</v>
      </c>
      <c r="F587" s="3">
        <v>44926</v>
      </c>
      <c r="G587" t="s">
        <v>135</v>
      </c>
      <c r="H587" s="3">
        <v>44562</v>
      </c>
      <c r="I587" s="3">
        <v>44926</v>
      </c>
      <c r="J587" t="s">
        <v>135</v>
      </c>
      <c r="K587">
        <v>24338400</v>
      </c>
      <c r="L587" t="s">
        <v>160</v>
      </c>
      <c r="M587" t="s">
        <v>110</v>
      </c>
      <c r="O587" t="s">
        <v>780</v>
      </c>
      <c r="P587" t="s">
        <v>550</v>
      </c>
      <c r="Q587">
        <v>2022</v>
      </c>
      <c r="R587" t="s">
        <v>605</v>
      </c>
      <c r="S587" t="s">
        <v>606</v>
      </c>
      <c r="T587" t="s">
        <v>553</v>
      </c>
      <c r="U587" t="b">
        <v>0</v>
      </c>
      <c r="V587" t="s">
        <v>781</v>
      </c>
      <c r="W587" t="s">
        <v>587</v>
      </c>
      <c r="X587" t="s">
        <v>556</v>
      </c>
      <c r="Y587" t="s">
        <v>472</v>
      </c>
      <c r="Z587" t="s">
        <v>485</v>
      </c>
      <c r="AA587" t="s">
        <v>764</v>
      </c>
      <c r="AC587">
        <v>0</v>
      </c>
      <c r="AD587" t="s">
        <v>566</v>
      </c>
      <c r="AE587">
        <v>725.28431999999998</v>
      </c>
      <c r="AF587">
        <v>2.9799999999999999E-5</v>
      </c>
      <c r="AG587" t="s">
        <v>782</v>
      </c>
      <c r="AH587">
        <v>1</v>
      </c>
      <c r="AI587">
        <v>24338400</v>
      </c>
      <c r="AJ587" t="s">
        <v>561</v>
      </c>
      <c r="AK587" t="s">
        <v>766</v>
      </c>
      <c r="AL587" t="s">
        <v>767</v>
      </c>
      <c r="AM587">
        <v>2022</v>
      </c>
      <c r="AN587">
        <v>2022</v>
      </c>
      <c r="AO587">
        <f>IF(AND(emissions[[#This Row],[Market-based]]=0,emissions[[#This Row],[Impact Type]]="CO2E"),emissions[[#This Row],[kgCO2e]],0)/1000</f>
        <v>0</v>
      </c>
      <c r="AP587">
        <f>IF(AND(emissions[[#This Row],[Market-based]]=1,OR(emissions[[#This Row],[Impact Type]]="CO2E",emissions[[#This Row],[Impact Type]]="CO2E MKT")),emissions[[#This Row],[kgCO2e]],0)/1000</f>
        <v>0</v>
      </c>
      <c r="AQ587" t="str">
        <f>_xlfn.TEXTAFTER(emissions[[#This Row],[Reporting Unit]]," &gt; ",LEN(emissions[[#This Row],[Reporting Unit]])-LEN(SUBSTITUTE(emissions[[#This Row],[Reporting Unit]],"&gt;","")))</f>
        <v>Vantage_Carnegie</v>
      </c>
      <c r="AR587" t="str">
        <f>_xlfn.XLOOKUP(emissions[[#This Row],[Reporting unit name]],hierarchy!$A:$A,hierarchy!$C:$C)</f>
        <v>Office</v>
      </c>
    </row>
    <row r="588" spans="1:44" hidden="1" x14ac:dyDescent="0.25">
      <c r="A588">
        <v>20126</v>
      </c>
      <c r="B588" t="s">
        <v>444</v>
      </c>
      <c r="C588" t="s">
        <v>501</v>
      </c>
      <c r="D588" t="s">
        <v>548</v>
      </c>
      <c r="E588" s="3">
        <v>44562</v>
      </c>
      <c r="F588" s="3">
        <v>44926</v>
      </c>
      <c r="G588" t="s">
        <v>135</v>
      </c>
      <c r="H588" s="3">
        <v>44562</v>
      </c>
      <c r="I588" s="3">
        <v>44926</v>
      </c>
      <c r="J588" t="s">
        <v>135</v>
      </c>
      <c r="K588">
        <v>24338400</v>
      </c>
      <c r="L588" t="s">
        <v>160</v>
      </c>
      <c r="M588" t="s">
        <v>110</v>
      </c>
      <c r="O588" t="s">
        <v>780</v>
      </c>
      <c r="P588" t="s">
        <v>550</v>
      </c>
      <c r="Q588">
        <v>2022</v>
      </c>
      <c r="R588" t="s">
        <v>605</v>
      </c>
      <c r="S588" t="s">
        <v>606</v>
      </c>
      <c r="T588" t="s">
        <v>553</v>
      </c>
      <c r="U588" t="b">
        <v>0</v>
      </c>
      <c r="V588" t="s">
        <v>781</v>
      </c>
      <c r="W588" t="s">
        <v>587</v>
      </c>
      <c r="X588" t="s">
        <v>556</v>
      </c>
      <c r="Y588" t="s">
        <v>472</v>
      </c>
      <c r="Z588" t="s">
        <v>485</v>
      </c>
      <c r="AA588" t="s">
        <v>764</v>
      </c>
      <c r="AC588">
        <v>1</v>
      </c>
      <c r="AD588" t="s">
        <v>558</v>
      </c>
      <c r="AE588">
        <v>626.71379999999999</v>
      </c>
      <c r="AF588">
        <v>2.5749999999999999E-5</v>
      </c>
      <c r="AG588" t="s">
        <v>782</v>
      </c>
      <c r="AH588">
        <v>1</v>
      </c>
      <c r="AI588">
        <v>24338400</v>
      </c>
      <c r="AJ588" t="s">
        <v>561</v>
      </c>
      <c r="AK588" t="s">
        <v>766</v>
      </c>
      <c r="AL588" t="s">
        <v>767</v>
      </c>
      <c r="AM588">
        <v>2022</v>
      </c>
      <c r="AN588">
        <v>2022</v>
      </c>
      <c r="AO588">
        <f>IF(AND(emissions[[#This Row],[Market-based]]=0,emissions[[#This Row],[Impact Type]]="CO2E"),emissions[[#This Row],[kgCO2e]],0)/1000</f>
        <v>0</v>
      </c>
      <c r="AP588">
        <f>IF(AND(emissions[[#This Row],[Market-based]]=1,OR(emissions[[#This Row],[Impact Type]]="CO2E",emissions[[#This Row],[Impact Type]]="CO2E MKT")),emissions[[#This Row],[kgCO2e]],0)/1000</f>
        <v>0</v>
      </c>
      <c r="AQ588" t="str">
        <f>_xlfn.TEXTAFTER(emissions[[#This Row],[Reporting Unit]]," &gt; ",LEN(emissions[[#This Row],[Reporting Unit]])-LEN(SUBSTITUTE(emissions[[#This Row],[Reporting Unit]],"&gt;","")))</f>
        <v>Vantage_Carnegie</v>
      </c>
      <c r="AR588" t="str">
        <f>_xlfn.XLOOKUP(emissions[[#This Row],[Reporting unit name]],hierarchy!$A:$A,hierarchy!$C:$C)</f>
        <v>Office</v>
      </c>
    </row>
    <row r="589" spans="1:44" hidden="1" x14ac:dyDescent="0.25">
      <c r="A589">
        <v>20126</v>
      </c>
      <c r="B589" t="s">
        <v>444</v>
      </c>
      <c r="C589" t="s">
        <v>501</v>
      </c>
      <c r="D589" t="s">
        <v>548</v>
      </c>
      <c r="E589" s="3">
        <v>44562</v>
      </c>
      <c r="F589" s="3">
        <v>44926</v>
      </c>
      <c r="G589" t="s">
        <v>135</v>
      </c>
      <c r="H589" s="3">
        <v>44562</v>
      </c>
      <c r="I589" s="3">
        <v>44926</v>
      </c>
      <c r="J589" t="s">
        <v>135</v>
      </c>
      <c r="K589">
        <v>24338400</v>
      </c>
      <c r="L589" t="s">
        <v>160</v>
      </c>
      <c r="M589" t="s">
        <v>110</v>
      </c>
      <c r="O589" t="s">
        <v>780</v>
      </c>
      <c r="P589" t="s">
        <v>550</v>
      </c>
      <c r="Q589">
        <v>2022</v>
      </c>
      <c r="R589" t="s">
        <v>605</v>
      </c>
      <c r="S589" t="s">
        <v>606</v>
      </c>
      <c r="T589" t="s">
        <v>553</v>
      </c>
      <c r="U589" t="b">
        <v>0</v>
      </c>
      <c r="V589" t="s">
        <v>781</v>
      </c>
      <c r="W589" t="s">
        <v>587</v>
      </c>
      <c r="X589" t="s">
        <v>556</v>
      </c>
      <c r="Y589" t="s">
        <v>472</v>
      </c>
      <c r="Z589" t="s">
        <v>485</v>
      </c>
      <c r="AA589" t="s">
        <v>764</v>
      </c>
      <c r="AC589">
        <v>1</v>
      </c>
      <c r="AD589" t="s">
        <v>564</v>
      </c>
      <c r="AE589">
        <v>1324982.496</v>
      </c>
      <c r="AF589">
        <v>5.4440000000000002E-2</v>
      </c>
      <c r="AG589" t="s">
        <v>782</v>
      </c>
      <c r="AH589">
        <v>1</v>
      </c>
      <c r="AI589">
        <v>24338400</v>
      </c>
      <c r="AJ589" t="s">
        <v>561</v>
      </c>
      <c r="AK589" t="s">
        <v>766</v>
      </c>
      <c r="AL589" t="s">
        <v>767</v>
      </c>
      <c r="AM589">
        <v>2022</v>
      </c>
      <c r="AN589">
        <v>2022</v>
      </c>
      <c r="AO589">
        <f>IF(AND(emissions[[#This Row],[Market-based]]=0,emissions[[#This Row],[Impact Type]]="CO2E"),emissions[[#This Row],[kgCO2e]],0)/1000</f>
        <v>0</v>
      </c>
      <c r="AP589">
        <f>IF(AND(emissions[[#This Row],[Market-based]]=1,OR(emissions[[#This Row],[Impact Type]]="CO2E",emissions[[#This Row],[Impact Type]]="CO2E MKT")),emissions[[#This Row],[kgCO2e]],0)/1000</f>
        <v>0</v>
      </c>
      <c r="AQ589" t="str">
        <f>_xlfn.TEXTAFTER(emissions[[#This Row],[Reporting Unit]]," &gt; ",LEN(emissions[[#This Row],[Reporting Unit]])-LEN(SUBSTITUTE(emissions[[#This Row],[Reporting Unit]],"&gt;","")))</f>
        <v>Vantage_Carnegie</v>
      </c>
      <c r="AR589" t="str">
        <f>_xlfn.XLOOKUP(emissions[[#This Row],[Reporting unit name]],hierarchy!$A:$A,hierarchy!$C:$C)</f>
        <v>Office</v>
      </c>
    </row>
    <row r="590" spans="1:44" hidden="1" x14ac:dyDescent="0.25">
      <c r="A590">
        <v>20126</v>
      </c>
      <c r="B590" t="s">
        <v>444</v>
      </c>
      <c r="C590" t="s">
        <v>501</v>
      </c>
      <c r="D590" t="s">
        <v>548</v>
      </c>
      <c r="E590" s="3">
        <v>44562</v>
      </c>
      <c r="F590" s="3">
        <v>44926</v>
      </c>
      <c r="G590" t="s">
        <v>135</v>
      </c>
      <c r="H590" s="3">
        <v>44562</v>
      </c>
      <c r="I590" s="3">
        <v>44926</v>
      </c>
      <c r="J590" t="s">
        <v>135</v>
      </c>
      <c r="K590">
        <v>24338400</v>
      </c>
      <c r="L590" t="s">
        <v>160</v>
      </c>
      <c r="M590" t="s">
        <v>110</v>
      </c>
      <c r="O590" t="s">
        <v>780</v>
      </c>
      <c r="P590" t="s">
        <v>550</v>
      </c>
      <c r="Q590">
        <v>2022</v>
      </c>
      <c r="R590" t="s">
        <v>605</v>
      </c>
      <c r="S590" t="s">
        <v>606</v>
      </c>
      <c r="T590" t="s">
        <v>553</v>
      </c>
      <c r="U590" t="b">
        <v>0</v>
      </c>
      <c r="V590" t="s">
        <v>781</v>
      </c>
      <c r="W590" t="s">
        <v>587</v>
      </c>
      <c r="X590" t="s">
        <v>556</v>
      </c>
      <c r="Y590" t="s">
        <v>472</v>
      </c>
      <c r="Z590" t="s">
        <v>485</v>
      </c>
      <c r="AA590" t="s">
        <v>764</v>
      </c>
      <c r="AC590">
        <v>1</v>
      </c>
      <c r="AD590" t="s">
        <v>565</v>
      </c>
      <c r="AE590">
        <v>1326334.4939999999</v>
      </c>
      <c r="AF590">
        <v>5.4495549999999997E-2</v>
      </c>
      <c r="AG590" t="s">
        <v>782</v>
      </c>
      <c r="AH590">
        <v>1</v>
      </c>
      <c r="AI590">
        <v>24338400</v>
      </c>
      <c r="AJ590" t="s">
        <v>561</v>
      </c>
      <c r="AK590" t="s">
        <v>766</v>
      </c>
      <c r="AL590" t="s">
        <v>767</v>
      </c>
      <c r="AM590">
        <v>2022</v>
      </c>
      <c r="AN590">
        <v>2022</v>
      </c>
      <c r="AO590">
        <f>IF(AND(emissions[[#This Row],[Market-based]]=0,emissions[[#This Row],[Impact Type]]="CO2E"),emissions[[#This Row],[kgCO2e]],0)/1000</f>
        <v>0</v>
      </c>
      <c r="AP590">
        <f>IF(AND(emissions[[#This Row],[Market-based]]=1,OR(emissions[[#This Row],[Impact Type]]="CO2E",emissions[[#This Row],[Impact Type]]="CO2E MKT")),emissions[[#This Row],[kgCO2e]],0)/1000</f>
        <v>1326.3344939999999</v>
      </c>
      <c r="AQ590" t="str">
        <f>_xlfn.TEXTAFTER(emissions[[#This Row],[Reporting Unit]]," &gt; ",LEN(emissions[[#This Row],[Reporting Unit]])-LEN(SUBSTITUTE(emissions[[#This Row],[Reporting Unit]],"&gt;","")))</f>
        <v>Vantage_Carnegie</v>
      </c>
      <c r="AR590" t="str">
        <f>_xlfn.XLOOKUP(emissions[[#This Row],[Reporting unit name]],hierarchy!$A:$A,hierarchy!$C:$C)</f>
        <v>Office</v>
      </c>
    </row>
    <row r="591" spans="1:44" hidden="1" x14ac:dyDescent="0.25">
      <c r="A591">
        <v>20126</v>
      </c>
      <c r="B591" t="s">
        <v>444</v>
      </c>
      <c r="C591" t="s">
        <v>501</v>
      </c>
      <c r="D591" t="s">
        <v>548</v>
      </c>
      <c r="E591" s="3">
        <v>44562</v>
      </c>
      <c r="F591" s="3">
        <v>44926</v>
      </c>
      <c r="G591" t="s">
        <v>135</v>
      </c>
      <c r="H591" s="3">
        <v>44562</v>
      </c>
      <c r="I591" s="3">
        <v>44926</v>
      </c>
      <c r="J591" t="s">
        <v>135</v>
      </c>
      <c r="K591">
        <v>24338400</v>
      </c>
      <c r="L591" t="s">
        <v>160</v>
      </c>
      <c r="M591" t="s">
        <v>110</v>
      </c>
      <c r="O591" t="s">
        <v>780</v>
      </c>
      <c r="P591" t="s">
        <v>550</v>
      </c>
      <c r="Q591">
        <v>2022</v>
      </c>
      <c r="R591" t="s">
        <v>605</v>
      </c>
      <c r="S591" t="s">
        <v>606</v>
      </c>
      <c r="T591" t="s">
        <v>553</v>
      </c>
      <c r="U591" t="b">
        <v>0</v>
      </c>
      <c r="V591" t="s">
        <v>781</v>
      </c>
      <c r="W591" t="s">
        <v>587</v>
      </c>
      <c r="X591" t="s">
        <v>556</v>
      </c>
      <c r="Y591" t="s">
        <v>472</v>
      </c>
      <c r="Z591" t="s">
        <v>485</v>
      </c>
      <c r="AA591" t="s">
        <v>764</v>
      </c>
      <c r="AC591">
        <v>1</v>
      </c>
      <c r="AD591" t="s">
        <v>566</v>
      </c>
      <c r="AE591">
        <v>725.28431999999998</v>
      </c>
      <c r="AF591">
        <v>2.9799999999999999E-5</v>
      </c>
      <c r="AG591" t="s">
        <v>782</v>
      </c>
      <c r="AH591">
        <v>1</v>
      </c>
      <c r="AI591">
        <v>24338400</v>
      </c>
      <c r="AJ591" t="s">
        <v>561</v>
      </c>
      <c r="AK591" t="s">
        <v>766</v>
      </c>
      <c r="AL591" t="s">
        <v>767</v>
      </c>
      <c r="AM591">
        <v>2022</v>
      </c>
      <c r="AN591">
        <v>2022</v>
      </c>
      <c r="AO591">
        <f>IF(AND(emissions[[#This Row],[Market-based]]=0,emissions[[#This Row],[Impact Type]]="CO2E"),emissions[[#This Row],[kgCO2e]],0)/1000</f>
        <v>0</v>
      </c>
      <c r="AP591">
        <f>IF(AND(emissions[[#This Row],[Market-based]]=1,OR(emissions[[#This Row],[Impact Type]]="CO2E",emissions[[#This Row],[Impact Type]]="CO2E MKT")),emissions[[#This Row],[kgCO2e]],0)/1000</f>
        <v>0</v>
      </c>
      <c r="AQ591" t="str">
        <f>_xlfn.TEXTAFTER(emissions[[#This Row],[Reporting Unit]]," &gt; ",LEN(emissions[[#This Row],[Reporting Unit]])-LEN(SUBSTITUTE(emissions[[#This Row],[Reporting Unit]],"&gt;","")))</f>
        <v>Vantage_Carnegie</v>
      </c>
      <c r="AR591" t="str">
        <f>_xlfn.XLOOKUP(emissions[[#This Row],[Reporting unit name]],hierarchy!$A:$A,hierarchy!$C:$C)</f>
        <v>Office</v>
      </c>
    </row>
    <row r="592" spans="1:44" hidden="1" x14ac:dyDescent="0.25">
      <c r="A592">
        <v>20126</v>
      </c>
      <c r="B592" t="s">
        <v>444</v>
      </c>
      <c r="C592" t="s">
        <v>501</v>
      </c>
      <c r="D592" t="s">
        <v>548</v>
      </c>
      <c r="E592" s="3">
        <v>44562</v>
      </c>
      <c r="F592" s="3">
        <v>44926</v>
      </c>
      <c r="G592" t="s">
        <v>135</v>
      </c>
      <c r="H592" s="3">
        <v>44562</v>
      </c>
      <c r="I592" s="3">
        <v>44926</v>
      </c>
      <c r="J592" t="s">
        <v>135</v>
      </c>
      <c r="K592">
        <v>24338400</v>
      </c>
      <c r="L592" t="s">
        <v>160</v>
      </c>
      <c r="M592" t="s">
        <v>110</v>
      </c>
      <c r="O592" t="s">
        <v>780</v>
      </c>
      <c r="P592" t="s">
        <v>550</v>
      </c>
      <c r="Q592">
        <v>2022</v>
      </c>
      <c r="R592" t="s">
        <v>609</v>
      </c>
      <c r="S592" t="s">
        <v>610</v>
      </c>
      <c r="T592" t="s">
        <v>577</v>
      </c>
      <c r="U592" t="b">
        <v>0</v>
      </c>
      <c r="V592" t="s">
        <v>632</v>
      </c>
      <c r="W592" t="s">
        <v>571</v>
      </c>
      <c r="X592" t="s">
        <v>572</v>
      </c>
      <c r="AC592">
        <v>0</v>
      </c>
      <c r="AD592" t="s">
        <v>565</v>
      </c>
      <c r="AE592">
        <v>236666.33679999999</v>
      </c>
      <c r="AF592">
        <v>0.34339999999999998</v>
      </c>
      <c r="AG592" t="s">
        <v>783</v>
      </c>
      <c r="AH592">
        <v>2.83168E-2</v>
      </c>
      <c r="AI592">
        <v>689185.60510000004</v>
      </c>
      <c r="AJ592" t="s">
        <v>561</v>
      </c>
      <c r="AK592" t="s">
        <v>589</v>
      </c>
      <c r="AL592" t="s">
        <v>590</v>
      </c>
      <c r="AM592">
        <v>2022</v>
      </c>
      <c r="AN592">
        <v>2020</v>
      </c>
      <c r="AO592">
        <f>IF(AND(emissions[[#This Row],[Market-based]]=0,emissions[[#This Row],[Impact Type]]="CO2E"),emissions[[#This Row],[kgCO2e]],0)/1000</f>
        <v>236.66633679999998</v>
      </c>
      <c r="AP592">
        <f>IF(AND(emissions[[#This Row],[Market-based]]=1,OR(emissions[[#This Row],[Impact Type]]="CO2E",emissions[[#This Row],[Impact Type]]="CO2E MKT")),emissions[[#This Row],[kgCO2e]],0)/1000</f>
        <v>0</v>
      </c>
      <c r="AQ592" t="str">
        <f>_xlfn.TEXTAFTER(emissions[[#This Row],[Reporting Unit]]," &gt; ",LEN(emissions[[#This Row],[Reporting Unit]])-LEN(SUBSTITUTE(emissions[[#This Row],[Reporting Unit]],"&gt;","")))</f>
        <v>Vantage_Carnegie</v>
      </c>
      <c r="AR592" t="str">
        <f>_xlfn.XLOOKUP(emissions[[#This Row],[Reporting unit name]],hierarchy!$A:$A,hierarchy!$C:$C)</f>
        <v>Office</v>
      </c>
    </row>
    <row r="593" spans="1:44" hidden="1" x14ac:dyDescent="0.25">
      <c r="A593">
        <v>20126</v>
      </c>
      <c r="B593" t="s">
        <v>444</v>
      </c>
      <c r="C593" t="s">
        <v>501</v>
      </c>
      <c r="D593" t="s">
        <v>548</v>
      </c>
      <c r="E593" s="3">
        <v>44562</v>
      </c>
      <c r="F593" s="3">
        <v>44926</v>
      </c>
      <c r="G593" t="s">
        <v>135</v>
      </c>
      <c r="H593" s="3">
        <v>44562</v>
      </c>
      <c r="I593" s="3">
        <v>44926</v>
      </c>
      <c r="J593" t="s">
        <v>135</v>
      </c>
      <c r="K593">
        <v>24338400</v>
      </c>
      <c r="L593" t="s">
        <v>160</v>
      </c>
      <c r="M593" t="s">
        <v>110</v>
      </c>
      <c r="O593" t="s">
        <v>780</v>
      </c>
      <c r="P593" t="s">
        <v>550</v>
      </c>
      <c r="Q593">
        <v>2022</v>
      </c>
      <c r="R593" t="s">
        <v>609</v>
      </c>
      <c r="S593" t="s">
        <v>610</v>
      </c>
      <c r="T593" t="s">
        <v>577</v>
      </c>
      <c r="U593" t="b">
        <v>0</v>
      </c>
      <c r="V593" t="s">
        <v>632</v>
      </c>
      <c r="W593" t="s">
        <v>571</v>
      </c>
      <c r="X593" t="s">
        <v>572</v>
      </c>
      <c r="AC593">
        <v>1</v>
      </c>
      <c r="AD593" t="s">
        <v>565</v>
      </c>
      <c r="AE593">
        <v>236666.33679999999</v>
      </c>
      <c r="AF593">
        <v>0.34339999999999998</v>
      </c>
      <c r="AG593" t="s">
        <v>783</v>
      </c>
      <c r="AH593">
        <v>2.83168E-2</v>
      </c>
      <c r="AI593">
        <v>689185.60510000004</v>
      </c>
      <c r="AJ593" t="s">
        <v>561</v>
      </c>
      <c r="AK593" t="s">
        <v>589</v>
      </c>
      <c r="AL593" t="s">
        <v>590</v>
      </c>
      <c r="AM593">
        <v>2022</v>
      </c>
      <c r="AN593">
        <v>2020</v>
      </c>
      <c r="AO593">
        <f>IF(AND(emissions[[#This Row],[Market-based]]=0,emissions[[#This Row],[Impact Type]]="CO2E"),emissions[[#This Row],[kgCO2e]],0)/1000</f>
        <v>0</v>
      </c>
      <c r="AP593">
        <f>IF(AND(emissions[[#This Row],[Market-based]]=1,OR(emissions[[#This Row],[Impact Type]]="CO2E",emissions[[#This Row],[Impact Type]]="CO2E MKT")),emissions[[#This Row],[kgCO2e]],0)/1000</f>
        <v>236.66633679999998</v>
      </c>
      <c r="AQ593" t="str">
        <f>_xlfn.TEXTAFTER(emissions[[#This Row],[Reporting Unit]]," &gt; ",LEN(emissions[[#This Row],[Reporting Unit]])-LEN(SUBSTITUTE(emissions[[#This Row],[Reporting Unit]],"&gt;","")))</f>
        <v>Vantage_Carnegie</v>
      </c>
      <c r="AR593" t="str">
        <f>_xlfn.XLOOKUP(emissions[[#This Row],[Reporting unit name]],hierarchy!$A:$A,hierarchy!$C:$C)</f>
        <v>Office</v>
      </c>
    </row>
    <row r="594" spans="1:44" hidden="1" x14ac:dyDescent="0.25">
      <c r="A594">
        <v>292831</v>
      </c>
      <c r="B594" t="s">
        <v>444</v>
      </c>
      <c r="C594" t="s">
        <v>501</v>
      </c>
      <c r="D594" t="s">
        <v>548</v>
      </c>
      <c r="E594" s="3">
        <v>44562</v>
      </c>
      <c r="F594" s="3">
        <v>44926</v>
      </c>
      <c r="G594" t="s">
        <v>141</v>
      </c>
      <c r="H594" s="3">
        <v>44562</v>
      </c>
      <c r="I594" s="3">
        <v>44926</v>
      </c>
      <c r="J594" t="s">
        <v>147</v>
      </c>
      <c r="K594">
        <v>0</v>
      </c>
      <c r="L594" t="s">
        <v>148</v>
      </c>
      <c r="M594" t="s">
        <v>110</v>
      </c>
      <c r="N594" t="s">
        <v>452</v>
      </c>
      <c r="O594" t="s">
        <v>784</v>
      </c>
      <c r="P594" t="s">
        <v>550</v>
      </c>
      <c r="Q594">
        <v>2022</v>
      </c>
      <c r="R594" t="s">
        <v>584</v>
      </c>
      <c r="S594" t="s">
        <v>585</v>
      </c>
      <c r="T594" t="s">
        <v>553</v>
      </c>
      <c r="U594" t="b">
        <v>0</v>
      </c>
      <c r="V594" t="s">
        <v>785</v>
      </c>
      <c r="W594" t="s">
        <v>587</v>
      </c>
      <c r="X594" t="s">
        <v>556</v>
      </c>
      <c r="Y594" t="s">
        <v>472</v>
      </c>
      <c r="Z594" t="s">
        <v>485</v>
      </c>
      <c r="AA594" t="s">
        <v>764</v>
      </c>
      <c r="AC594">
        <v>0</v>
      </c>
      <c r="AD594" t="s">
        <v>558</v>
      </c>
      <c r="AE594">
        <v>0</v>
      </c>
      <c r="AF594">
        <v>1.025E-2</v>
      </c>
      <c r="AG594" t="s">
        <v>786</v>
      </c>
      <c r="AH594">
        <v>1</v>
      </c>
      <c r="AI594">
        <v>0</v>
      </c>
      <c r="AJ594" t="s">
        <v>561</v>
      </c>
      <c r="AK594" t="s">
        <v>766</v>
      </c>
      <c r="AL594" t="s">
        <v>767</v>
      </c>
      <c r="AM594">
        <v>2022</v>
      </c>
      <c r="AN594">
        <v>2022</v>
      </c>
      <c r="AO594">
        <f>IF(AND(emissions[[#This Row],[Market-based]]=0,emissions[[#This Row],[Impact Type]]="CO2E"),emissions[[#This Row],[kgCO2e]],0)/1000</f>
        <v>0</v>
      </c>
      <c r="AP594">
        <f>IF(AND(emissions[[#This Row],[Market-based]]=1,OR(emissions[[#This Row],[Impact Type]]="CO2E",emissions[[#This Row],[Impact Type]]="CO2E MKT")),emissions[[#This Row],[kgCO2e]],0)/1000</f>
        <v>0</v>
      </c>
      <c r="AQ594" t="str">
        <f>_xlfn.TEXTAFTER(emissions[[#This Row],[Reporting Unit]]," &gt; ",LEN(emissions[[#This Row],[Reporting Unit]])-LEN(SUBSTITUTE(emissions[[#This Row],[Reporting Unit]],"&gt;","")))</f>
        <v>Vantage_Carnegie</v>
      </c>
      <c r="AR594" t="str">
        <f>_xlfn.XLOOKUP(emissions[[#This Row],[Reporting unit name]],hierarchy!$A:$A,hierarchy!$C:$C)</f>
        <v>Office</v>
      </c>
    </row>
    <row r="595" spans="1:44" hidden="1" x14ac:dyDescent="0.25">
      <c r="A595">
        <v>292831</v>
      </c>
      <c r="B595" t="s">
        <v>444</v>
      </c>
      <c r="C595" t="s">
        <v>501</v>
      </c>
      <c r="D595" t="s">
        <v>548</v>
      </c>
      <c r="E595" s="3">
        <v>44562</v>
      </c>
      <c r="F595" s="3">
        <v>44926</v>
      </c>
      <c r="G595" t="s">
        <v>141</v>
      </c>
      <c r="H595" s="3">
        <v>44562</v>
      </c>
      <c r="I595" s="3">
        <v>44926</v>
      </c>
      <c r="J595" t="s">
        <v>147</v>
      </c>
      <c r="K595">
        <v>0</v>
      </c>
      <c r="L595" t="s">
        <v>148</v>
      </c>
      <c r="M595" t="s">
        <v>110</v>
      </c>
      <c r="N595" t="s">
        <v>452</v>
      </c>
      <c r="O595" t="s">
        <v>784</v>
      </c>
      <c r="P595" t="s">
        <v>550</v>
      </c>
      <c r="Q595">
        <v>2022</v>
      </c>
      <c r="R595" t="s">
        <v>584</v>
      </c>
      <c r="S595" t="s">
        <v>585</v>
      </c>
      <c r="T595" t="s">
        <v>553</v>
      </c>
      <c r="U595" t="b">
        <v>0</v>
      </c>
      <c r="V595" t="s">
        <v>785</v>
      </c>
      <c r="W595" t="s">
        <v>587</v>
      </c>
      <c r="X595" t="s">
        <v>556</v>
      </c>
      <c r="Y595" t="s">
        <v>472</v>
      </c>
      <c r="Z595" t="s">
        <v>485</v>
      </c>
      <c r="AA595" t="s">
        <v>764</v>
      </c>
      <c r="AC595">
        <v>0</v>
      </c>
      <c r="AD595" t="s">
        <v>564</v>
      </c>
      <c r="AE595">
        <v>0</v>
      </c>
      <c r="AF595">
        <v>10.210000000000001</v>
      </c>
      <c r="AG595" t="s">
        <v>786</v>
      </c>
      <c r="AH595">
        <v>1</v>
      </c>
      <c r="AI595">
        <v>0</v>
      </c>
      <c r="AJ595" t="s">
        <v>561</v>
      </c>
      <c r="AK595" t="s">
        <v>766</v>
      </c>
      <c r="AL595" t="s">
        <v>767</v>
      </c>
      <c r="AM595">
        <v>2022</v>
      </c>
      <c r="AN595">
        <v>2022</v>
      </c>
      <c r="AO595">
        <f>IF(AND(emissions[[#This Row],[Market-based]]=0,emissions[[#This Row],[Impact Type]]="CO2E"),emissions[[#This Row],[kgCO2e]],0)/1000</f>
        <v>0</v>
      </c>
      <c r="AP595">
        <f>IF(AND(emissions[[#This Row],[Market-based]]=1,OR(emissions[[#This Row],[Impact Type]]="CO2E",emissions[[#This Row],[Impact Type]]="CO2E MKT")),emissions[[#This Row],[kgCO2e]],0)/1000</f>
        <v>0</v>
      </c>
      <c r="AQ595" t="str">
        <f>_xlfn.TEXTAFTER(emissions[[#This Row],[Reporting Unit]]," &gt; ",LEN(emissions[[#This Row],[Reporting Unit]])-LEN(SUBSTITUTE(emissions[[#This Row],[Reporting Unit]],"&gt;","")))</f>
        <v>Vantage_Carnegie</v>
      </c>
      <c r="AR595" t="str">
        <f>_xlfn.XLOOKUP(emissions[[#This Row],[Reporting unit name]],hierarchy!$A:$A,hierarchy!$C:$C)</f>
        <v>Office</v>
      </c>
    </row>
    <row r="596" spans="1:44" hidden="1" x14ac:dyDescent="0.25">
      <c r="A596">
        <v>292831</v>
      </c>
      <c r="B596" t="s">
        <v>444</v>
      </c>
      <c r="C596" t="s">
        <v>501</v>
      </c>
      <c r="D596" t="s">
        <v>548</v>
      </c>
      <c r="E596" s="3">
        <v>44562</v>
      </c>
      <c r="F596" s="3">
        <v>44926</v>
      </c>
      <c r="G596" t="s">
        <v>141</v>
      </c>
      <c r="H596" s="3">
        <v>44562</v>
      </c>
      <c r="I596" s="3">
        <v>44926</v>
      </c>
      <c r="J596" t="s">
        <v>147</v>
      </c>
      <c r="K596">
        <v>0</v>
      </c>
      <c r="L596" t="s">
        <v>148</v>
      </c>
      <c r="M596" t="s">
        <v>110</v>
      </c>
      <c r="N596" t="s">
        <v>452</v>
      </c>
      <c r="O596" t="s">
        <v>784</v>
      </c>
      <c r="P596" t="s">
        <v>550</v>
      </c>
      <c r="Q596">
        <v>2022</v>
      </c>
      <c r="R596" t="s">
        <v>584</v>
      </c>
      <c r="S596" t="s">
        <v>585</v>
      </c>
      <c r="T596" t="s">
        <v>553</v>
      </c>
      <c r="U596" t="b">
        <v>0</v>
      </c>
      <c r="V596" t="s">
        <v>785</v>
      </c>
      <c r="W596" t="s">
        <v>587</v>
      </c>
      <c r="X596" t="s">
        <v>556</v>
      </c>
      <c r="Y596" t="s">
        <v>472</v>
      </c>
      <c r="Z596" t="s">
        <v>485</v>
      </c>
      <c r="AA596" t="s">
        <v>764</v>
      </c>
      <c r="AC596">
        <v>0</v>
      </c>
      <c r="AD596" t="s">
        <v>565</v>
      </c>
      <c r="AE596">
        <v>0</v>
      </c>
      <c r="AF596">
        <v>10.24409</v>
      </c>
      <c r="AG596" t="s">
        <v>786</v>
      </c>
      <c r="AH596">
        <v>1</v>
      </c>
      <c r="AI596">
        <v>0</v>
      </c>
      <c r="AJ596" t="s">
        <v>561</v>
      </c>
      <c r="AK596" t="s">
        <v>766</v>
      </c>
      <c r="AL596" t="s">
        <v>787</v>
      </c>
      <c r="AM596">
        <v>2022</v>
      </c>
      <c r="AN596">
        <v>2021</v>
      </c>
      <c r="AO596">
        <f>IF(AND(emissions[[#This Row],[Market-based]]=0,emissions[[#This Row],[Impact Type]]="CO2E"),emissions[[#This Row],[kgCO2e]],0)/1000</f>
        <v>0</v>
      </c>
      <c r="AP596">
        <f>IF(AND(emissions[[#This Row],[Market-based]]=1,OR(emissions[[#This Row],[Impact Type]]="CO2E",emissions[[#This Row],[Impact Type]]="CO2E MKT")),emissions[[#This Row],[kgCO2e]],0)/1000</f>
        <v>0</v>
      </c>
      <c r="AQ596" t="str">
        <f>_xlfn.TEXTAFTER(emissions[[#This Row],[Reporting Unit]]," &gt; ",LEN(emissions[[#This Row],[Reporting Unit]])-LEN(SUBSTITUTE(emissions[[#This Row],[Reporting Unit]],"&gt;","")))</f>
        <v>Vantage_Carnegie</v>
      </c>
      <c r="AR596" t="str">
        <f>_xlfn.XLOOKUP(emissions[[#This Row],[Reporting unit name]],hierarchy!$A:$A,hierarchy!$C:$C)</f>
        <v>Office</v>
      </c>
    </row>
    <row r="597" spans="1:44" hidden="1" x14ac:dyDescent="0.25">
      <c r="A597">
        <v>292831</v>
      </c>
      <c r="B597" t="s">
        <v>444</v>
      </c>
      <c r="C597" t="s">
        <v>501</v>
      </c>
      <c r="D597" t="s">
        <v>548</v>
      </c>
      <c r="E597" s="3">
        <v>44562</v>
      </c>
      <c r="F597" s="3">
        <v>44926</v>
      </c>
      <c r="G597" t="s">
        <v>141</v>
      </c>
      <c r="H597" s="3">
        <v>44562</v>
      </c>
      <c r="I597" s="3">
        <v>44926</v>
      </c>
      <c r="J597" t="s">
        <v>147</v>
      </c>
      <c r="K597">
        <v>0</v>
      </c>
      <c r="L597" t="s">
        <v>148</v>
      </c>
      <c r="M597" t="s">
        <v>110</v>
      </c>
      <c r="N597" t="s">
        <v>452</v>
      </c>
      <c r="O597" t="s">
        <v>784</v>
      </c>
      <c r="P597" t="s">
        <v>550</v>
      </c>
      <c r="Q597">
        <v>2022</v>
      </c>
      <c r="R597" t="s">
        <v>584</v>
      </c>
      <c r="S597" t="s">
        <v>585</v>
      </c>
      <c r="T597" t="s">
        <v>553</v>
      </c>
      <c r="U597" t="b">
        <v>0</v>
      </c>
      <c r="V597" t="s">
        <v>785</v>
      </c>
      <c r="W597" t="s">
        <v>587</v>
      </c>
      <c r="X597" t="s">
        <v>556</v>
      </c>
      <c r="Y597" t="s">
        <v>472</v>
      </c>
      <c r="Z597" t="s">
        <v>485</v>
      </c>
      <c r="AA597" t="s">
        <v>764</v>
      </c>
      <c r="AC597">
        <v>0</v>
      </c>
      <c r="AD597" t="s">
        <v>566</v>
      </c>
      <c r="AE597">
        <v>0</v>
      </c>
      <c r="AF597">
        <v>2.384E-2</v>
      </c>
      <c r="AG597" t="s">
        <v>786</v>
      </c>
      <c r="AH597">
        <v>1</v>
      </c>
      <c r="AI597">
        <v>0</v>
      </c>
      <c r="AJ597" t="s">
        <v>561</v>
      </c>
      <c r="AK597" t="s">
        <v>766</v>
      </c>
      <c r="AL597" t="s">
        <v>767</v>
      </c>
      <c r="AM597">
        <v>2022</v>
      </c>
      <c r="AN597">
        <v>2022</v>
      </c>
      <c r="AO597">
        <f>IF(AND(emissions[[#This Row],[Market-based]]=0,emissions[[#This Row],[Impact Type]]="CO2E"),emissions[[#This Row],[kgCO2e]],0)/1000</f>
        <v>0</v>
      </c>
      <c r="AP597">
        <f>IF(AND(emissions[[#This Row],[Market-based]]=1,OR(emissions[[#This Row],[Impact Type]]="CO2E",emissions[[#This Row],[Impact Type]]="CO2E MKT")),emissions[[#This Row],[kgCO2e]],0)/1000</f>
        <v>0</v>
      </c>
      <c r="AQ597" t="str">
        <f>_xlfn.TEXTAFTER(emissions[[#This Row],[Reporting Unit]]," &gt; ",LEN(emissions[[#This Row],[Reporting Unit]])-LEN(SUBSTITUTE(emissions[[#This Row],[Reporting Unit]],"&gt;","")))</f>
        <v>Vantage_Carnegie</v>
      </c>
      <c r="AR597" t="str">
        <f>_xlfn.XLOOKUP(emissions[[#This Row],[Reporting unit name]],hierarchy!$A:$A,hierarchy!$C:$C)</f>
        <v>Office</v>
      </c>
    </row>
    <row r="598" spans="1:44" hidden="1" x14ac:dyDescent="0.25">
      <c r="A598">
        <v>292831</v>
      </c>
      <c r="B598" t="s">
        <v>444</v>
      </c>
      <c r="C598" t="s">
        <v>501</v>
      </c>
      <c r="D598" t="s">
        <v>548</v>
      </c>
      <c r="E598" s="3">
        <v>44562</v>
      </c>
      <c r="F598" s="3">
        <v>44926</v>
      </c>
      <c r="G598" t="s">
        <v>141</v>
      </c>
      <c r="H598" s="3">
        <v>44562</v>
      </c>
      <c r="I598" s="3">
        <v>44926</v>
      </c>
      <c r="J598" t="s">
        <v>147</v>
      </c>
      <c r="K598">
        <v>0</v>
      </c>
      <c r="L598" t="s">
        <v>148</v>
      </c>
      <c r="M598" t="s">
        <v>110</v>
      </c>
      <c r="N598" t="s">
        <v>452</v>
      </c>
      <c r="O598" t="s">
        <v>784</v>
      </c>
      <c r="P598" t="s">
        <v>550</v>
      </c>
      <c r="Q598">
        <v>2022</v>
      </c>
      <c r="R598" t="s">
        <v>584</v>
      </c>
      <c r="S598" t="s">
        <v>585</v>
      </c>
      <c r="T598" t="s">
        <v>553</v>
      </c>
      <c r="U598" t="b">
        <v>0</v>
      </c>
      <c r="V598" t="s">
        <v>785</v>
      </c>
      <c r="W598" t="s">
        <v>587</v>
      </c>
      <c r="X598" t="s">
        <v>556</v>
      </c>
      <c r="Y598" t="s">
        <v>472</v>
      </c>
      <c r="Z598" t="s">
        <v>485</v>
      </c>
      <c r="AA598" t="s">
        <v>764</v>
      </c>
      <c r="AC598">
        <v>1</v>
      </c>
      <c r="AD598" t="s">
        <v>558</v>
      </c>
      <c r="AE598">
        <v>0</v>
      </c>
      <c r="AF598">
        <v>1.025E-2</v>
      </c>
      <c r="AG598" t="s">
        <v>786</v>
      </c>
      <c r="AH598">
        <v>1</v>
      </c>
      <c r="AI598">
        <v>0</v>
      </c>
      <c r="AJ598" t="s">
        <v>561</v>
      </c>
      <c r="AK598" t="s">
        <v>766</v>
      </c>
      <c r="AL598" t="s">
        <v>767</v>
      </c>
      <c r="AM598">
        <v>2022</v>
      </c>
      <c r="AN598">
        <v>2022</v>
      </c>
      <c r="AO598">
        <f>IF(AND(emissions[[#This Row],[Market-based]]=0,emissions[[#This Row],[Impact Type]]="CO2E"),emissions[[#This Row],[kgCO2e]],0)/1000</f>
        <v>0</v>
      </c>
      <c r="AP598">
        <f>IF(AND(emissions[[#This Row],[Market-based]]=1,OR(emissions[[#This Row],[Impact Type]]="CO2E",emissions[[#This Row],[Impact Type]]="CO2E MKT")),emissions[[#This Row],[kgCO2e]],0)/1000</f>
        <v>0</v>
      </c>
      <c r="AQ598" t="str">
        <f>_xlfn.TEXTAFTER(emissions[[#This Row],[Reporting Unit]]," &gt; ",LEN(emissions[[#This Row],[Reporting Unit]])-LEN(SUBSTITUTE(emissions[[#This Row],[Reporting Unit]],"&gt;","")))</f>
        <v>Vantage_Carnegie</v>
      </c>
      <c r="AR598" t="str">
        <f>_xlfn.XLOOKUP(emissions[[#This Row],[Reporting unit name]],hierarchy!$A:$A,hierarchy!$C:$C)</f>
        <v>Office</v>
      </c>
    </row>
    <row r="599" spans="1:44" hidden="1" x14ac:dyDescent="0.25">
      <c r="A599">
        <v>292831</v>
      </c>
      <c r="B599" t="s">
        <v>444</v>
      </c>
      <c r="C599" t="s">
        <v>501</v>
      </c>
      <c r="D599" t="s">
        <v>548</v>
      </c>
      <c r="E599" s="3">
        <v>44562</v>
      </c>
      <c r="F599" s="3">
        <v>44926</v>
      </c>
      <c r="G599" t="s">
        <v>141</v>
      </c>
      <c r="H599" s="3">
        <v>44562</v>
      </c>
      <c r="I599" s="3">
        <v>44926</v>
      </c>
      <c r="J599" t="s">
        <v>147</v>
      </c>
      <c r="K599">
        <v>0</v>
      </c>
      <c r="L599" t="s">
        <v>148</v>
      </c>
      <c r="M599" t="s">
        <v>110</v>
      </c>
      <c r="N599" t="s">
        <v>452</v>
      </c>
      <c r="O599" t="s">
        <v>784</v>
      </c>
      <c r="P599" t="s">
        <v>550</v>
      </c>
      <c r="Q599">
        <v>2022</v>
      </c>
      <c r="R599" t="s">
        <v>584</v>
      </c>
      <c r="S599" t="s">
        <v>585</v>
      </c>
      <c r="T599" t="s">
        <v>553</v>
      </c>
      <c r="U599" t="b">
        <v>0</v>
      </c>
      <c r="V599" t="s">
        <v>785</v>
      </c>
      <c r="W599" t="s">
        <v>587</v>
      </c>
      <c r="X599" t="s">
        <v>556</v>
      </c>
      <c r="Y599" t="s">
        <v>472</v>
      </c>
      <c r="Z599" t="s">
        <v>485</v>
      </c>
      <c r="AA599" t="s">
        <v>764</v>
      </c>
      <c r="AC599">
        <v>1</v>
      </c>
      <c r="AD599" t="s">
        <v>564</v>
      </c>
      <c r="AE599">
        <v>0</v>
      </c>
      <c r="AF599">
        <v>10.210000000000001</v>
      </c>
      <c r="AG599" t="s">
        <v>786</v>
      </c>
      <c r="AH599">
        <v>1</v>
      </c>
      <c r="AI599">
        <v>0</v>
      </c>
      <c r="AJ599" t="s">
        <v>561</v>
      </c>
      <c r="AK599" t="s">
        <v>766</v>
      </c>
      <c r="AL599" t="s">
        <v>767</v>
      </c>
      <c r="AM599">
        <v>2022</v>
      </c>
      <c r="AN599">
        <v>2022</v>
      </c>
      <c r="AO599">
        <f>IF(AND(emissions[[#This Row],[Market-based]]=0,emissions[[#This Row],[Impact Type]]="CO2E"),emissions[[#This Row],[kgCO2e]],0)/1000</f>
        <v>0</v>
      </c>
      <c r="AP599">
        <f>IF(AND(emissions[[#This Row],[Market-based]]=1,OR(emissions[[#This Row],[Impact Type]]="CO2E",emissions[[#This Row],[Impact Type]]="CO2E MKT")),emissions[[#This Row],[kgCO2e]],0)/1000</f>
        <v>0</v>
      </c>
      <c r="AQ599" t="str">
        <f>_xlfn.TEXTAFTER(emissions[[#This Row],[Reporting Unit]]," &gt; ",LEN(emissions[[#This Row],[Reporting Unit]])-LEN(SUBSTITUTE(emissions[[#This Row],[Reporting Unit]],"&gt;","")))</f>
        <v>Vantage_Carnegie</v>
      </c>
      <c r="AR599" t="str">
        <f>_xlfn.XLOOKUP(emissions[[#This Row],[Reporting unit name]],hierarchy!$A:$A,hierarchy!$C:$C)</f>
        <v>Office</v>
      </c>
    </row>
    <row r="600" spans="1:44" hidden="1" x14ac:dyDescent="0.25">
      <c r="A600">
        <v>292831</v>
      </c>
      <c r="B600" t="s">
        <v>444</v>
      </c>
      <c r="C600" t="s">
        <v>501</v>
      </c>
      <c r="D600" t="s">
        <v>548</v>
      </c>
      <c r="E600" s="3">
        <v>44562</v>
      </c>
      <c r="F600" s="3">
        <v>44926</v>
      </c>
      <c r="G600" t="s">
        <v>141</v>
      </c>
      <c r="H600" s="3">
        <v>44562</v>
      </c>
      <c r="I600" s="3">
        <v>44926</v>
      </c>
      <c r="J600" t="s">
        <v>147</v>
      </c>
      <c r="K600">
        <v>0</v>
      </c>
      <c r="L600" t="s">
        <v>148</v>
      </c>
      <c r="M600" t="s">
        <v>110</v>
      </c>
      <c r="N600" t="s">
        <v>452</v>
      </c>
      <c r="O600" t="s">
        <v>784</v>
      </c>
      <c r="P600" t="s">
        <v>550</v>
      </c>
      <c r="Q600">
        <v>2022</v>
      </c>
      <c r="R600" t="s">
        <v>584</v>
      </c>
      <c r="S600" t="s">
        <v>585</v>
      </c>
      <c r="T600" t="s">
        <v>553</v>
      </c>
      <c r="U600" t="b">
        <v>0</v>
      </c>
      <c r="V600" t="s">
        <v>785</v>
      </c>
      <c r="W600" t="s">
        <v>587</v>
      </c>
      <c r="X600" t="s">
        <v>556</v>
      </c>
      <c r="Y600" t="s">
        <v>472</v>
      </c>
      <c r="Z600" t="s">
        <v>485</v>
      </c>
      <c r="AA600" t="s">
        <v>764</v>
      </c>
      <c r="AC600">
        <v>1</v>
      </c>
      <c r="AD600" t="s">
        <v>565</v>
      </c>
      <c r="AE600">
        <v>0</v>
      </c>
      <c r="AF600">
        <v>10.24409</v>
      </c>
      <c r="AG600" t="s">
        <v>786</v>
      </c>
      <c r="AH600">
        <v>1</v>
      </c>
      <c r="AI600">
        <v>0</v>
      </c>
      <c r="AJ600" t="s">
        <v>561</v>
      </c>
      <c r="AK600" t="s">
        <v>766</v>
      </c>
      <c r="AL600" t="s">
        <v>787</v>
      </c>
      <c r="AM600">
        <v>2022</v>
      </c>
      <c r="AN600">
        <v>2021</v>
      </c>
      <c r="AO600">
        <f>IF(AND(emissions[[#This Row],[Market-based]]=0,emissions[[#This Row],[Impact Type]]="CO2E"),emissions[[#This Row],[kgCO2e]],0)/1000</f>
        <v>0</v>
      </c>
      <c r="AP600">
        <f>IF(AND(emissions[[#This Row],[Market-based]]=1,OR(emissions[[#This Row],[Impact Type]]="CO2E",emissions[[#This Row],[Impact Type]]="CO2E MKT")),emissions[[#This Row],[kgCO2e]],0)/1000</f>
        <v>0</v>
      </c>
      <c r="AQ600" t="str">
        <f>_xlfn.TEXTAFTER(emissions[[#This Row],[Reporting Unit]]," &gt; ",LEN(emissions[[#This Row],[Reporting Unit]])-LEN(SUBSTITUTE(emissions[[#This Row],[Reporting Unit]],"&gt;","")))</f>
        <v>Vantage_Carnegie</v>
      </c>
      <c r="AR600" t="str">
        <f>_xlfn.XLOOKUP(emissions[[#This Row],[Reporting unit name]],hierarchy!$A:$A,hierarchy!$C:$C)</f>
        <v>Office</v>
      </c>
    </row>
    <row r="601" spans="1:44" hidden="1" x14ac:dyDescent="0.25">
      <c r="A601">
        <v>292831</v>
      </c>
      <c r="B601" t="s">
        <v>444</v>
      </c>
      <c r="C601" t="s">
        <v>501</v>
      </c>
      <c r="D601" t="s">
        <v>548</v>
      </c>
      <c r="E601" s="3">
        <v>44562</v>
      </c>
      <c r="F601" s="3">
        <v>44926</v>
      </c>
      <c r="G601" t="s">
        <v>141</v>
      </c>
      <c r="H601" s="3">
        <v>44562</v>
      </c>
      <c r="I601" s="3">
        <v>44926</v>
      </c>
      <c r="J601" t="s">
        <v>147</v>
      </c>
      <c r="K601">
        <v>0</v>
      </c>
      <c r="L601" t="s">
        <v>148</v>
      </c>
      <c r="M601" t="s">
        <v>110</v>
      </c>
      <c r="N601" t="s">
        <v>452</v>
      </c>
      <c r="O601" t="s">
        <v>784</v>
      </c>
      <c r="P601" t="s">
        <v>550</v>
      </c>
      <c r="Q601">
        <v>2022</v>
      </c>
      <c r="R601" t="s">
        <v>584</v>
      </c>
      <c r="S601" t="s">
        <v>585</v>
      </c>
      <c r="T601" t="s">
        <v>553</v>
      </c>
      <c r="U601" t="b">
        <v>0</v>
      </c>
      <c r="V601" t="s">
        <v>785</v>
      </c>
      <c r="W601" t="s">
        <v>587</v>
      </c>
      <c r="X601" t="s">
        <v>556</v>
      </c>
      <c r="Y601" t="s">
        <v>472</v>
      </c>
      <c r="Z601" t="s">
        <v>485</v>
      </c>
      <c r="AA601" t="s">
        <v>764</v>
      </c>
      <c r="AC601">
        <v>1</v>
      </c>
      <c r="AD601" t="s">
        <v>566</v>
      </c>
      <c r="AE601">
        <v>0</v>
      </c>
      <c r="AF601">
        <v>2.384E-2</v>
      </c>
      <c r="AG601" t="s">
        <v>786</v>
      </c>
      <c r="AH601">
        <v>1</v>
      </c>
      <c r="AI601">
        <v>0</v>
      </c>
      <c r="AJ601" t="s">
        <v>561</v>
      </c>
      <c r="AK601" t="s">
        <v>766</v>
      </c>
      <c r="AL601" t="s">
        <v>767</v>
      </c>
      <c r="AM601">
        <v>2022</v>
      </c>
      <c r="AN601">
        <v>2022</v>
      </c>
      <c r="AO601">
        <f>IF(AND(emissions[[#This Row],[Market-based]]=0,emissions[[#This Row],[Impact Type]]="CO2E"),emissions[[#This Row],[kgCO2e]],0)/1000</f>
        <v>0</v>
      </c>
      <c r="AP601">
        <f>IF(AND(emissions[[#This Row],[Market-based]]=1,OR(emissions[[#This Row],[Impact Type]]="CO2E",emissions[[#This Row],[Impact Type]]="CO2E MKT")),emissions[[#This Row],[kgCO2e]],0)/1000</f>
        <v>0</v>
      </c>
      <c r="AQ601" t="str">
        <f>_xlfn.TEXTAFTER(emissions[[#This Row],[Reporting Unit]]," &gt; ",LEN(emissions[[#This Row],[Reporting Unit]])-LEN(SUBSTITUTE(emissions[[#This Row],[Reporting Unit]],"&gt;","")))</f>
        <v>Vantage_Carnegie</v>
      </c>
      <c r="AR601" t="str">
        <f>_xlfn.XLOOKUP(emissions[[#This Row],[Reporting unit name]],hierarchy!$A:$A,hierarchy!$C:$C)</f>
        <v>Office</v>
      </c>
    </row>
    <row r="602" spans="1:44" hidden="1" x14ac:dyDescent="0.25">
      <c r="A602">
        <v>292831</v>
      </c>
      <c r="B602" t="s">
        <v>444</v>
      </c>
      <c r="C602" t="s">
        <v>501</v>
      </c>
      <c r="D602" t="s">
        <v>548</v>
      </c>
      <c r="E602" s="3">
        <v>44562</v>
      </c>
      <c r="F602" s="3">
        <v>44926</v>
      </c>
      <c r="G602" t="s">
        <v>141</v>
      </c>
      <c r="H602" s="3">
        <v>44562</v>
      </c>
      <c r="I602" s="3">
        <v>44926</v>
      </c>
      <c r="J602" t="s">
        <v>147</v>
      </c>
      <c r="K602">
        <v>0</v>
      </c>
      <c r="L602" t="s">
        <v>148</v>
      </c>
      <c r="M602" t="s">
        <v>110</v>
      </c>
      <c r="N602" t="s">
        <v>452</v>
      </c>
      <c r="O602" t="s">
        <v>784</v>
      </c>
      <c r="P602" t="s">
        <v>550</v>
      </c>
      <c r="Q602">
        <v>2022</v>
      </c>
      <c r="R602" t="s">
        <v>591</v>
      </c>
      <c r="S602" t="s">
        <v>592</v>
      </c>
      <c r="T602" t="s">
        <v>577</v>
      </c>
      <c r="U602" t="b">
        <v>0</v>
      </c>
      <c r="V602" t="s">
        <v>593</v>
      </c>
      <c r="W602" t="s">
        <v>571</v>
      </c>
      <c r="X602" t="s">
        <v>572</v>
      </c>
      <c r="AC602">
        <v>0</v>
      </c>
      <c r="AD602" t="s">
        <v>565</v>
      </c>
      <c r="AE602">
        <v>0</v>
      </c>
      <c r="AF602">
        <v>0.60985999999999996</v>
      </c>
      <c r="AG602" t="s">
        <v>588</v>
      </c>
      <c r="AH602">
        <v>3.7854100000000002</v>
      </c>
      <c r="AI602">
        <v>0</v>
      </c>
      <c r="AJ602" t="s">
        <v>561</v>
      </c>
      <c r="AK602" t="s">
        <v>589</v>
      </c>
      <c r="AL602" t="s">
        <v>590</v>
      </c>
      <c r="AM602">
        <v>2022</v>
      </c>
      <c r="AN602">
        <v>2020</v>
      </c>
      <c r="AO602">
        <f>IF(AND(emissions[[#This Row],[Market-based]]=0,emissions[[#This Row],[Impact Type]]="CO2E"),emissions[[#This Row],[kgCO2e]],0)/1000</f>
        <v>0</v>
      </c>
      <c r="AP602">
        <f>IF(AND(emissions[[#This Row],[Market-based]]=1,OR(emissions[[#This Row],[Impact Type]]="CO2E",emissions[[#This Row],[Impact Type]]="CO2E MKT")),emissions[[#This Row],[kgCO2e]],0)/1000</f>
        <v>0</v>
      </c>
      <c r="AQ602" t="str">
        <f>_xlfn.TEXTAFTER(emissions[[#This Row],[Reporting Unit]]," &gt; ",LEN(emissions[[#This Row],[Reporting Unit]])-LEN(SUBSTITUTE(emissions[[#This Row],[Reporting Unit]],"&gt;","")))</f>
        <v>Vantage_Carnegie</v>
      </c>
      <c r="AR602" t="str">
        <f>_xlfn.XLOOKUP(emissions[[#This Row],[Reporting unit name]],hierarchy!$A:$A,hierarchy!$C:$C)</f>
        <v>Office</v>
      </c>
    </row>
    <row r="603" spans="1:44" hidden="1" x14ac:dyDescent="0.25">
      <c r="A603">
        <v>292831</v>
      </c>
      <c r="B603" t="s">
        <v>444</v>
      </c>
      <c r="C603" t="s">
        <v>501</v>
      </c>
      <c r="D603" t="s">
        <v>548</v>
      </c>
      <c r="E603" s="3">
        <v>44562</v>
      </c>
      <c r="F603" s="3">
        <v>44926</v>
      </c>
      <c r="G603" t="s">
        <v>141</v>
      </c>
      <c r="H603" s="3">
        <v>44562</v>
      </c>
      <c r="I603" s="3">
        <v>44926</v>
      </c>
      <c r="J603" t="s">
        <v>147</v>
      </c>
      <c r="K603">
        <v>0</v>
      </c>
      <c r="L603" t="s">
        <v>148</v>
      </c>
      <c r="M603" t="s">
        <v>110</v>
      </c>
      <c r="N603" t="s">
        <v>452</v>
      </c>
      <c r="O603" t="s">
        <v>784</v>
      </c>
      <c r="P603" t="s">
        <v>550</v>
      </c>
      <c r="Q603">
        <v>2022</v>
      </c>
      <c r="R603" t="s">
        <v>591</v>
      </c>
      <c r="S603" t="s">
        <v>592</v>
      </c>
      <c r="T603" t="s">
        <v>577</v>
      </c>
      <c r="U603" t="b">
        <v>0</v>
      </c>
      <c r="V603" t="s">
        <v>593</v>
      </c>
      <c r="W603" t="s">
        <v>571</v>
      </c>
      <c r="X603" t="s">
        <v>572</v>
      </c>
      <c r="AC603">
        <v>1</v>
      </c>
      <c r="AD603" t="s">
        <v>565</v>
      </c>
      <c r="AE603">
        <v>0</v>
      </c>
      <c r="AF603">
        <v>0.60985999999999996</v>
      </c>
      <c r="AG603" t="s">
        <v>588</v>
      </c>
      <c r="AH603">
        <v>3.7854100000000002</v>
      </c>
      <c r="AI603">
        <v>0</v>
      </c>
      <c r="AJ603" t="s">
        <v>561</v>
      </c>
      <c r="AK603" t="s">
        <v>589</v>
      </c>
      <c r="AL603" t="s">
        <v>590</v>
      </c>
      <c r="AM603">
        <v>2022</v>
      </c>
      <c r="AN603">
        <v>2020</v>
      </c>
      <c r="AO603">
        <f>IF(AND(emissions[[#This Row],[Market-based]]=0,emissions[[#This Row],[Impact Type]]="CO2E"),emissions[[#This Row],[kgCO2e]],0)/1000</f>
        <v>0</v>
      </c>
      <c r="AP603">
        <f>IF(AND(emissions[[#This Row],[Market-based]]=1,OR(emissions[[#This Row],[Impact Type]]="CO2E",emissions[[#This Row],[Impact Type]]="CO2E MKT")),emissions[[#This Row],[kgCO2e]],0)/1000</f>
        <v>0</v>
      </c>
      <c r="AQ603" t="str">
        <f>_xlfn.TEXTAFTER(emissions[[#This Row],[Reporting Unit]]," &gt; ",LEN(emissions[[#This Row],[Reporting Unit]])-LEN(SUBSTITUTE(emissions[[#This Row],[Reporting Unit]],"&gt;","")))</f>
        <v>Vantage_Carnegie</v>
      </c>
      <c r="AR603" t="str">
        <f>_xlfn.XLOOKUP(emissions[[#This Row],[Reporting unit name]],hierarchy!$A:$A,hierarchy!$C:$C)</f>
        <v>Office</v>
      </c>
    </row>
    <row r="604" spans="1:44" hidden="1" x14ac:dyDescent="0.25">
      <c r="A604">
        <v>786297</v>
      </c>
      <c r="B604" t="s">
        <v>444</v>
      </c>
      <c r="C604" t="s">
        <v>501</v>
      </c>
      <c r="D604" t="s">
        <v>548</v>
      </c>
      <c r="E604" s="3">
        <v>44562</v>
      </c>
      <c r="F604" s="3">
        <v>44926</v>
      </c>
      <c r="G604" t="s">
        <v>116</v>
      </c>
      <c r="H604" s="3">
        <v>44562</v>
      </c>
      <c r="I604" s="3">
        <v>44926</v>
      </c>
      <c r="J604" t="s">
        <v>175</v>
      </c>
      <c r="K604">
        <v>0</v>
      </c>
      <c r="L604" t="s">
        <v>303</v>
      </c>
      <c r="M604" t="s">
        <v>110</v>
      </c>
      <c r="N604" t="s">
        <v>454</v>
      </c>
      <c r="O604" t="s">
        <v>788</v>
      </c>
      <c r="P604" t="s">
        <v>550</v>
      </c>
      <c r="Q604">
        <v>2022</v>
      </c>
      <c r="R604" t="s">
        <v>664</v>
      </c>
      <c r="S604" t="s">
        <v>175</v>
      </c>
      <c r="T604" t="s">
        <v>553</v>
      </c>
      <c r="U604" t="b">
        <v>0</v>
      </c>
      <c r="V604" t="s">
        <v>665</v>
      </c>
      <c r="W604" t="s">
        <v>587</v>
      </c>
      <c r="X604" t="s">
        <v>556</v>
      </c>
      <c r="AC604">
        <v>0</v>
      </c>
      <c r="AD604" t="s">
        <v>565</v>
      </c>
      <c r="AE604">
        <v>0</v>
      </c>
      <c r="AF604">
        <v>2088</v>
      </c>
      <c r="AG604" t="s">
        <v>622</v>
      </c>
      <c r="AH604">
        <v>1E-3</v>
      </c>
      <c r="AI604">
        <v>0</v>
      </c>
      <c r="AJ604" t="s">
        <v>561</v>
      </c>
      <c r="AK604" t="s">
        <v>623</v>
      </c>
      <c r="AL604" t="s">
        <v>624</v>
      </c>
      <c r="AM604">
        <v>2022</v>
      </c>
      <c r="AN604">
        <v>2007</v>
      </c>
      <c r="AO604">
        <f>IF(AND(emissions[[#This Row],[Market-based]]=0,emissions[[#This Row],[Impact Type]]="CO2E"),emissions[[#This Row],[kgCO2e]],0)/1000</f>
        <v>0</v>
      </c>
      <c r="AP604">
        <f>IF(AND(emissions[[#This Row],[Market-based]]=1,OR(emissions[[#This Row],[Impact Type]]="CO2E",emissions[[#This Row],[Impact Type]]="CO2E MKT")),emissions[[#This Row],[kgCO2e]],0)/1000</f>
        <v>0</v>
      </c>
      <c r="AQ604" t="str">
        <f>_xlfn.TEXTAFTER(emissions[[#This Row],[Reporting Unit]]," &gt; ",LEN(emissions[[#This Row],[Reporting Unit]])-LEN(SUBSTITUTE(emissions[[#This Row],[Reporting Unit]],"&gt;","")))</f>
        <v>Vantage_Carnegie</v>
      </c>
      <c r="AR604" t="str">
        <f>_xlfn.XLOOKUP(emissions[[#This Row],[Reporting unit name]],hierarchy!$A:$A,hierarchy!$C:$C)</f>
        <v>Office</v>
      </c>
    </row>
    <row r="605" spans="1:44" hidden="1" x14ac:dyDescent="0.25">
      <c r="A605">
        <v>786297</v>
      </c>
      <c r="B605" t="s">
        <v>444</v>
      </c>
      <c r="C605" t="s">
        <v>501</v>
      </c>
      <c r="D605" t="s">
        <v>548</v>
      </c>
      <c r="E605" s="3">
        <v>44562</v>
      </c>
      <c r="F605" s="3">
        <v>44926</v>
      </c>
      <c r="G605" t="s">
        <v>116</v>
      </c>
      <c r="H605" s="3">
        <v>44562</v>
      </c>
      <c r="I605" s="3">
        <v>44926</v>
      </c>
      <c r="J605" t="s">
        <v>175</v>
      </c>
      <c r="K605">
        <v>0</v>
      </c>
      <c r="L605" t="s">
        <v>303</v>
      </c>
      <c r="M605" t="s">
        <v>110</v>
      </c>
      <c r="N605" t="s">
        <v>454</v>
      </c>
      <c r="O605" t="s">
        <v>788</v>
      </c>
      <c r="P605" t="s">
        <v>550</v>
      </c>
      <c r="Q605">
        <v>2022</v>
      </c>
      <c r="R605" t="s">
        <v>664</v>
      </c>
      <c r="S605" t="s">
        <v>175</v>
      </c>
      <c r="T605" t="s">
        <v>553</v>
      </c>
      <c r="U605" t="b">
        <v>0</v>
      </c>
      <c r="V605" t="s">
        <v>665</v>
      </c>
      <c r="W605" t="s">
        <v>587</v>
      </c>
      <c r="X605" t="s">
        <v>556</v>
      </c>
      <c r="AC605">
        <v>1</v>
      </c>
      <c r="AD605" t="s">
        <v>565</v>
      </c>
      <c r="AE605">
        <v>0</v>
      </c>
      <c r="AF605">
        <v>2088</v>
      </c>
      <c r="AG605" t="s">
        <v>622</v>
      </c>
      <c r="AH605">
        <v>1E-3</v>
      </c>
      <c r="AI605">
        <v>0</v>
      </c>
      <c r="AJ605" t="s">
        <v>561</v>
      </c>
      <c r="AK605" t="s">
        <v>623</v>
      </c>
      <c r="AL605" t="s">
        <v>624</v>
      </c>
      <c r="AM605">
        <v>2022</v>
      </c>
      <c r="AN605">
        <v>2007</v>
      </c>
      <c r="AO605">
        <f>IF(AND(emissions[[#This Row],[Market-based]]=0,emissions[[#This Row],[Impact Type]]="CO2E"),emissions[[#This Row],[kgCO2e]],0)/1000</f>
        <v>0</v>
      </c>
      <c r="AP605">
        <f>IF(AND(emissions[[#This Row],[Market-based]]=1,OR(emissions[[#This Row],[Impact Type]]="CO2E",emissions[[#This Row],[Impact Type]]="CO2E MKT")),emissions[[#This Row],[kgCO2e]],0)/1000</f>
        <v>0</v>
      </c>
      <c r="AQ605" t="str">
        <f>_xlfn.TEXTAFTER(emissions[[#This Row],[Reporting Unit]]," &gt; ",LEN(emissions[[#This Row],[Reporting Unit]])-LEN(SUBSTITUTE(emissions[[#This Row],[Reporting Unit]],"&gt;","")))</f>
        <v>Vantage_Carnegie</v>
      </c>
      <c r="AR605" t="str">
        <f>_xlfn.XLOOKUP(emissions[[#This Row],[Reporting unit name]],hierarchy!$A:$A,hierarchy!$C:$C)</f>
        <v>Office</v>
      </c>
    </row>
    <row r="606" spans="1:44" hidden="1" x14ac:dyDescent="0.25">
      <c r="A606">
        <v>292833</v>
      </c>
      <c r="B606" t="s">
        <v>444</v>
      </c>
      <c r="C606" t="s">
        <v>501</v>
      </c>
      <c r="D606" t="s">
        <v>548</v>
      </c>
      <c r="E606" s="3">
        <v>44562</v>
      </c>
      <c r="F606" s="3">
        <v>44926</v>
      </c>
      <c r="G606" t="s">
        <v>121</v>
      </c>
      <c r="H606" s="3">
        <v>44562</v>
      </c>
      <c r="I606" s="3">
        <v>44926</v>
      </c>
      <c r="J606" t="s">
        <v>150</v>
      </c>
      <c r="K606">
        <v>445.4</v>
      </c>
      <c r="L606" t="s">
        <v>148</v>
      </c>
      <c r="M606" t="s">
        <v>110</v>
      </c>
      <c r="O606" t="s">
        <v>784</v>
      </c>
      <c r="P606" t="s">
        <v>550</v>
      </c>
      <c r="Q606">
        <v>2022</v>
      </c>
      <c r="R606" t="s">
        <v>594</v>
      </c>
      <c r="S606" t="s">
        <v>150</v>
      </c>
      <c r="T606" t="s">
        <v>553</v>
      </c>
      <c r="U606" t="b">
        <v>0</v>
      </c>
      <c r="V606" t="s">
        <v>789</v>
      </c>
      <c r="W606" t="s">
        <v>587</v>
      </c>
      <c r="X606" t="s">
        <v>556</v>
      </c>
      <c r="Y606" t="s">
        <v>472</v>
      </c>
      <c r="Z606" t="s">
        <v>485</v>
      </c>
      <c r="AA606" t="s">
        <v>764</v>
      </c>
      <c r="AC606">
        <v>0</v>
      </c>
      <c r="AD606" t="s">
        <v>558</v>
      </c>
      <c r="AE606">
        <v>3.0064500000000001</v>
      </c>
      <c r="AF606">
        <v>6.7499999999999999E-3</v>
      </c>
      <c r="AG606" t="s">
        <v>786</v>
      </c>
      <c r="AH606">
        <v>1</v>
      </c>
      <c r="AI606">
        <v>445.4</v>
      </c>
      <c r="AJ606" t="s">
        <v>561</v>
      </c>
      <c r="AK606" t="s">
        <v>766</v>
      </c>
      <c r="AL606" t="s">
        <v>787</v>
      </c>
      <c r="AM606">
        <v>2022</v>
      </c>
      <c r="AN606">
        <v>2021</v>
      </c>
      <c r="AO606">
        <f>IF(AND(emissions[[#This Row],[Market-based]]=0,emissions[[#This Row],[Impact Type]]="CO2E"),emissions[[#This Row],[kgCO2e]],0)/1000</f>
        <v>0</v>
      </c>
      <c r="AP606">
        <f>IF(AND(emissions[[#This Row],[Market-based]]=1,OR(emissions[[#This Row],[Impact Type]]="CO2E",emissions[[#This Row],[Impact Type]]="CO2E MKT")),emissions[[#This Row],[kgCO2e]],0)/1000</f>
        <v>0</v>
      </c>
      <c r="AQ606" t="str">
        <f>_xlfn.TEXTAFTER(emissions[[#This Row],[Reporting Unit]]," &gt; ",LEN(emissions[[#This Row],[Reporting Unit]])-LEN(SUBSTITUTE(emissions[[#This Row],[Reporting Unit]],"&gt;","")))</f>
        <v>Vantage_Carnegie</v>
      </c>
      <c r="AR606" t="str">
        <f>_xlfn.XLOOKUP(emissions[[#This Row],[Reporting unit name]],hierarchy!$A:$A,hierarchy!$C:$C)</f>
        <v>Office</v>
      </c>
    </row>
    <row r="607" spans="1:44" hidden="1" x14ac:dyDescent="0.25">
      <c r="A607">
        <v>292833</v>
      </c>
      <c r="B607" t="s">
        <v>444</v>
      </c>
      <c r="C607" t="s">
        <v>501</v>
      </c>
      <c r="D607" t="s">
        <v>548</v>
      </c>
      <c r="E607" s="3">
        <v>44562</v>
      </c>
      <c r="F607" s="3">
        <v>44926</v>
      </c>
      <c r="G607" t="s">
        <v>121</v>
      </c>
      <c r="H607" s="3">
        <v>44562</v>
      </c>
      <c r="I607" s="3">
        <v>44926</v>
      </c>
      <c r="J607" t="s">
        <v>150</v>
      </c>
      <c r="K607">
        <v>445.4</v>
      </c>
      <c r="L607" t="s">
        <v>148</v>
      </c>
      <c r="M607" t="s">
        <v>110</v>
      </c>
      <c r="O607" t="s">
        <v>784</v>
      </c>
      <c r="P607" t="s">
        <v>550</v>
      </c>
      <c r="Q607">
        <v>2022</v>
      </c>
      <c r="R607" t="s">
        <v>594</v>
      </c>
      <c r="S607" t="s">
        <v>150</v>
      </c>
      <c r="T607" t="s">
        <v>553</v>
      </c>
      <c r="U607" t="b">
        <v>0</v>
      </c>
      <c r="V607" t="s">
        <v>789</v>
      </c>
      <c r="W607" t="s">
        <v>587</v>
      </c>
      <c r="X607" t="s">
        <v>556</v>
      </c>
      <c r="Y607" t="s">
        <v>472</v>
      </c>
      <c r="Z607" t="s">
        <v>485</v>
      </c>
      <c r="AA607" t="s">
        <v>764</v>
      </c>
      <c r="AC607">
        <v>0</v>
      </c>
      <c r="AD607" t="s">
        <v>564</v>
      </c>
      <c r="AE607">
        <v>2547.6880000000001</v>
      </c>
      <c r="AF607">
        <v>5.72</v>
      </c>
      <c r="AG607" t="s">
        <v>786</v>
      </c>
      <c r="AH607">
        <v>1</v>
      </c>
      <c r="AI607">
        <v>445.4</v>
      </c>
      <c r="AJ607" t="s">
        <v>561</v>
      </c>
      <c r="AK607" t="s">
        <v>766</v>
      </c>
      <c r="AL607" t="s">
        <v>767</v>
      </c>
      <c r="AM607">
        <v>2022</v>
      </c>
      <c r="AN607">
        <v>2022</v>
      </c>
      <c r="AO607">
        <f>IF(AND(emissions[[#This Row],[Market-based]]=0,emissions[[#This Row],[Impact Type]]="CO2E"),emissions[[#This Row],[kgCO2e]],0)/1000</f>
        <v>0</v>
      </c>
      <c r="AP607">
        <f>IF(AND(emissions[[#This Row],[Market-based]]=1,OR(emissions[[#This Row],[Impact Type]]="CO2E",emissions[[#This Row],[Impact Type]]="CO2E MKT")),emissions[[#This Row],[kgCO2e]],0)/1000</f>
        <v>0</v>
      </c>
      <c r="AQ607" t="str">
        <f>_xlfn.TEXTAFTER(emissions[[#This Row],[Reporting Unit]]," &gt; ",LEN(emissions[[#This Row],[Reporting Unit]])-LEN(SUBSTITUTE(emissions[[#This Row],[Reporting Unit]],"&gt;","")))</f>
        <v>Vantage_Carnegie</v>
      </c>
      <c r="AR607" t="str">
        <f>_xlfn.XLOOKUP(emissions[[#This Row],[Reporting unit name]],hierarchy!$A:$A,hierarchy!$C:$C)</f>
        <v>Office</v>
      </c>
    </row>
    <row r="608" spans="1:44" hidden="1" x14ac:dyDescent="0.25">
      <c r="A608">
        <v>292833</v>
      </c>
      <c r="B608" t="s">
        <v>444</v>
      </c>
      <c r="C608" t="s">
        <v>501</v>
      </c>
      <c r="D608" t="s">
        <v>548</v>
      </c>
      <c r="E608" s="3">
        <v>44562</v>
      </c>
      <c r="F608" s="3">
        <v>44926</v>
      </c>
      <c r="G608" t="s">
        <v>121</v>
      </c>
      <c r="H608" s="3">
        <v>44562</v>
      </c>
      <c r="I608" s="3">
        <v>44926</v>
      </c>
      <c r="J608" t="s">
        <v>150</v>
      </c>
      <c r="K608">
        <v>445.4</v>
      </c>
      <c r="L608" t="s">
        <v>148</v>
      </c>
      <c r="M608" t="s">
        <v>110</v>
      </c>
      <c r="O608" t="s">
        <v>784</v>
      </c>
      <c r="P608" t="s">
        <v>550</v>
      </c>
      <c r="Q608">
        <v>2022</v>
      </c>
      <c r="R608" t="s">
        <v>594</v>
      </c>
      <c r="S608" t="s">
        <v>150</v>
      </c>
      <c r="T608" t="s">
        <v>553</v>
      </c>
      <c r="U608" t="b">
        <v>0</v>
      </c>
      <c r="V608" t="s">
        <v>789</v>
      </c>
      <c r="W608" t="s">
        <v>587</v>
      </c>
      <c r="X608" t="s">
        <v>556</v>
      </c>
      <c r="Y608" t="s">
        <v>472</v>
      </c>
      <c r="Z608" t="s">
        <v>485</v>
      </c>
      <c r="AA608" t="s">
        <v>764</v>
      </c>
      <c r="AC608">
        <v>0</v>
      </c>
      <c r="AD608" t="s">
        <v>565</v>
      </c>
      <c r="AE608">
        <v>2557.3309100000001</v>
      </c>
      <c r="AF608">
        <v>5.7416499999999999</v>
      </c>
      <c r="AG608" t="s">
        <v>786</v>
      </c>
      <c r="AH608">
        <v>1</v>
      </c>
      <c r="AI608">
        <v>445.4</v>
      </c>
      <c r="AJ608" t="s">
        <v>561</v>
      </c>
      <c r="AK608" t="s">
        <v>766</v>
      </c>
      <c r="AL608" t="s">
        <v>767</v>
      </c>
      <c r="AM608">
        <v>2022</v>
      </c>
      <c r="AN608">
        <v>2022</v>
      </c>
      <c r="AO608">
        <f>IF(AND(emissions[[#This Row],[Market-based]]=0,emissions[[#This Row],[Impact Type]]="CO2E"),emissions[[#This Row],[kgCO2e]],0)/1000</f>
        <v>2.5573309100000001</v>
      </c>
      <c r="AP608">
        <f>IF(AND(emissions[[#This Row],[Market-based]]=1,OR(emissions[[#This Row],[Impact Type]]="CO2E",emissions[[#This Row],[Impact Type]]="CO2E MKT")),emissions[[#This Row],[kgCO2e]],0)/1000</f>
        <v>0</v>
      </c>
      <c r="AQ608" t="str">
        <f>_xlfn.TEXTAFTER(emissions[[#This Row],[Reporting Unit]]," &gt; ",LEN(emissions[[#This Row],[Reporting Unit]])-LEN(SUBSTITUTE(emissions[[#This Row],[Reporting Unit]],"&gt;","")))</f>
        <v>Vantage_Carnegie</v>
      </c>
      <c r="AR608" t="str">
        <f>_xlfn.XLOOKUP(emissions[[#This Row],[Reporting unit name]],hierarchy!$A:$A,hierarchy!$C:$C)</f>
        <v>Office</v>
      </c>
    </row>
    <row r="609" spans="1:44" hidden="1" x14ac:dyDescent="0.25">
      <c r="A609">
        <v>292833</v>
      </c>
      <c r="B609" t="s">
        <v>444</v>
      </c>
      <c r="C609" t="s">
        <v>501</v>
      </c>
      <c r="D609" t="s">
        <v>548</v>
      </c>
      <c r="E609" s="3">
        <v>44562</v>
      </c>
      <c r="F609" s="3">
        <v>44926</v>
      </c>
      <c r="G609" t="s">
        <v>121</v>
      </c>
      <c r="H609" s="3">
        <v>44562</v>
      </c>
      <c r="I609" s="3">
        <v>44926</v>
      </c>
      <c r="J609" t="s">
        <v>150</v>
      </c>
      <c r="K609">
        <v>445.4</v>
      </c>
      <c r="L609" t="s">
        <v>148</v>
      </c>
      <c r="M609" t="s">
        <v>110</v>
      </c>
      <c r="O609" t="s">
        <v>784</v>
      </c>
      <c r="P609" t="s">
        <v>550</v>
      </c>
      <c r="Q609">
        <v>2022</v>
      </c>
      <c r="R609" t="s">
        <v>594</v>
      </c>
      <c r="S609" t="s">
        <v>150</v>
      </c>
      <c r="T609" t="s">
        <v>553</v>
      </c>
      <c r="U609" t="b">
        <v>0</v>
      </c>
      <c r="V609" t="s">
        <v>789</v>
      </c>
      <c r="W609" t="s">
        <v>587</v>
      </c>
      <c r="X609" t="s">
        <v>556</v>
      </c>
      <c r="Y609" t="s">
        <v>472</v>
      </c>
      <c r="Z609" t="s">
        <v>485</v>
      </c>
      <c r="AA609" t="s">
        <v>764</v>
      </c>
      <c r="AC609">
        <v>0</v>
      </c>
      <c r="AD609" t="s">
        <v>566</v>
      </c>
      <c r="AE609">
        <v>6.6364599999999996</v>
      </c>
      <c r="AF609">
        <v>1.49E-2</v>
      </c>
      <c r="AG609" t="s">
        <v>786</v>
      </c>
      <c r="AH609">
        <v>1</v>
      </c>
      <c r="AI609">
        <v>445.4</v>
      </c>
      <c r="AJ609" t="s">
        <v>561</v>
      </c>
      <c r="AK609" t="s">
        <v>766</v>
      </c>
      <c r="AL609" t="s">
        <v>787</v>
      </c>
      <c r="AM609">
        <v>2022</v>
      </c>
      <c r="AN609">
        <v>2021</v>
      </c>
      <c r="AO609">
        <f>IF(AND(emissions[[#This Row],[Market-based]]=0,emissions[[#This Row],[Impact Type]]="CO2E"),emissions[[#This Row],[kgCO2e]],0)/1000</f>
        <v>0</v>
      </c>
      <c r="AP609">
        <f>IF(AND(emissions[[#This Row],[Market-based]]=1,OR(emissions[[#This Row],[Impact Type]]="CO2E",emissions[[#This Row],[Impact Type]]="CO2E MKT")),emissions[[#This Row],[kgCO2e]],0)/1000</f>
        <v>0</v>
      </c>
      <c r="AQ609" t="str">
        <f>_xlfn.TEXTAFTER(emissions[[#This Row],[Reporting Unit]]," &gt; ",LEN(emissions[[#This Row],[Reporting Unit]])-LEN(SUBSTITUTE(emissions[[#This Row],[Reporting Unit]],"&gt;","")))</f>
        <v>Vantage_Carnegie</v>
      </c>
      <c r="AR609" t="str">
        <f>_xlfn.XLOOKUP(emissions[[#This Row],[Reporting unit name]],hierarchy!$A:$A,hierarchy!$C:$C)</f>
        <v>Office</v>
      </c>
    </row>
    <row r="610" spans="1:44" hidden="1" x14ac:dyDescent="0.25">
      <c r="A610">
        <v>292833</v>
      </c>
      <c r="B610" t="s">
        <v>444</v>
      </c>
      <c r="C610" t="s">
        <v>501</v>
      </c>
      <c r="D610" t="s">
        <v>548</v>
      </c>
      <c r="E610" s="3">
        <v>44562</v>
      </c>
      <c r="F610" s="3">
        <v>44926</v>
      </c>
      <c r="G610" t="s">
        <v>121</v>
      </c>
      <c r="H610" s="3">
        <v>44562</v>
      </c>
      <c r="I610" s="3">
        <v>44926</v>
      </c>
      <c r="J610" t="s">
        <v>150</v>
      </c>
      <c r="K610">
        <v>445.4</v>
      </c>
      <c r="L610" t="s">
        <v>148</v>
      </c>
      <c r="M610" t="s">
        <v>110</v>
      </c>
      <c r="O610" t="s">
        <v>784</v>
      </c>
      <c r="P610" t="s">
        <v>550</v>
      </c>
      <c r="Q610">
        <v>2022</v>
      </c>
      <c r="R610" t="s">
        <v>594</v>
      </c>
      <c r="S610" t="s">
        <v>150</v>
      </c>
      <c r="T610" t="s">
        <v>553</v>
      </c>
      <c r="U610" t="b">
        <v>0</v>
      </c>
      <c r="V610" t="s">
        <v>789</v>
      </c>
      <c r="W610" t="s">
        <v>587</v>
      </c>
      <c r="X610" t="s">
        <v>556</v>
      </c>
      <c r="Y610" t="s">
        <v>472</v>
      </c>
      <c r="Z610" t="s">
        <v>485</v>
      </c>
      <c r="AA610" t="s">
        <v>764</v>
      </c>
      <c r="AC610">
        <v>1</v>
      </c>
      <c r="AD610" t="s">
        <v>558</v>
      </c>
      <c r="AE610">
        <v>3.0064500000000001</v>
      </c>
      <c r="AF610">
        <v>6.7499999999999999E-3</v>
      </c>
      <c r="AG610" t="s">
        <v>786</v>
      </c>
      <c r="AH610">
        <v>1</v>
      </c>
      <c r="AI610">
        <v>445.4</v>
      </c>
      <c r="AJ610" t="s">
        <v>561</v>
      </c>
      <c r="AK610" t="s">
        <v>766</v>
      </c>
      <c r="AL610" t="s">
        <v>787</v>
      </c>
      <c r="AM610">
        <v>2022</v>
      </c>
      <c r="AN610">
        <v>2021</v>
      </c>
      <c r="AO610">
        <f>IF(AND(emissions[[#This Row],[Market-based]]=0,emissions[[#This Row],[Impact Type]]="CO2E"),emissions[[#This Row],[kgCO2e]],0)/1000</f>
        <v>0</v>
      </c>
      <c r="AP610">
        <f>IF(AND(emissions[[#This Row],[Market-based]]=1,OR(emissions[[#This Row],[Impact Type]]="CO2E",emissions[[#This Row],[Impact Type]]="CO2E MKT")),emissions[[#This Row],[kgCO2e]],0)/1000</f>
        <v>0</v>
      </c>
      <c r="AQ610" t="str">
        <f>_xlfn.TEXTAFTER(emissions[[#This Row],[Reporting Unit]]," &gt; ",LEN(emissions[[#This Row],[Reporting Unit]])-LEN(SUBSTITUTE(emissions[[#This Row],[Reporting Unit]],"&gt;","")))</f>
        <v>Vantage_Carnegie</v>
      </c>
      <c r="AR610" t="str">
        <f>_xlfn.XLOOKUP(emissions[[#This Row],[Reporting unit name]],hierarchy!$A:$A,hierarchy!$C:$C)</f>
        <v>Office</v>
      </c>
    </row>
    <row r="611" spans="1:44" hidden="1" x14ac:dyDescent="0.25">
      <c r="A611">
        <v>292833</v>
      </c>
      <c r="B611" t="s">
        <v>444</v>
      </c>
      <c r="C611" t="s">
        <v>501</v>
      </c>
      <c r="D611" t="s">
        <v>548</v>
      </c>
      <c r="E611" s="3">
        <v>44562</v>
      </c>
      <c r="F611" s="3">
        <v>44926</v>
      </c>
      <c r="G611" t="s">
        <v>121</v>
      </c>
      <c r="H611" s="3">
        <v>44562</v>
      </c>
      <c r="I611" s="3">
        <v>44926</v>
      </c>
      <c r="J611" t="s">
        <v>150</v>
      </c>
      <c r="K611">
        <v>445.4</v>
      </c>
      <c r="L611" t="s">
        <v>148</v>
      </c>
      <c r="M611" t="s">
        <v>110</v>
      </c>
      <c r="O611" t="s">
        <v>784</v>
      </c>
      <c r="P611" t="s">
        <v>550</v>
      </c>
      <c r="Q611">
        <v>2022</v>
      </c>
      <c r="R611" t="s">
        <v>594</v>
      </c>
      <c r="S611" t="s">
        <v>150</v>
      </c>
      <c r="T611" t="s">
        <v>553</v>
      </c>
      <c r="U611" t="b">
        <v>0</v>
      </c>
      <c r="V611" t="s">
        <v>789</v>
      </c>
      <c r="W611" t="s">
        <v>587</v>
      </c>
      <c r="X611" t="s">
        <v>556</v>
      </c>
      <c r="Y611" t="s">
        <v>472</v>
      </c>
      <c r="Z611" t="s">
        <v>485</v>
      </c>
      <c r="AA611" t="s">
        <v>764</v>
      </c>
      <c r="AC611">
        <v>1</v>
      </c>
      <c r="AD611" t="s">
        <v>564</v>
      </c>
      <c r="AE611">
        <v>2547.6880000000001</v>
      </c>
      <c r="AF611">
        <v>5.72</v>
      </c>
      <c r="AG611" t="s">
        <v>786</v>
      </c>
      <c r="AH611">
        <v>1</v>
      </c>
      <c r="AI611">
        <v>445.4</v>
      </c>
      <c r="AJ611" t="s">
        <v>561</v>
      </c>
      <c r="AK611" t="s">
        <v>766</v>
      </c>
      <c r="AL611" t="s">
        <v>767</v>
      </c>
      <c r="AM611">
        <v>2022</v>
      </c>
      <c r="AN611">
        <v>2022</v>
      </c>
      <c r="AO611">
        <f>IF(AND(emissions[[#This Row],[Market-based]]=0,emissions[[#This Row],[Impact Type]]="CO2E"),emissions[[#This Row],[kgCO2e]],0)/1000</f>
        <v>0</v>
      </c>
      <c r="AP611">
        <f>IF(AND(emissions[[#This Row],[Market-based]]=1,OR(emissions[[#This Row],[Impact Type]]="CO2E",emissions[[#This Row],[Impact Type]]="CO2E MKT")),emissions[[#This Row],[kgCO2e]],0)/1000</f>
        <v>0</v>
      </c>
      <c r="AQ611" t="str">
        <f>_xlfn.TEXTAFTER(emissions[[#This Row],[Reporting Unit]]," &gt; ",LEN(emissions[[#This Row],[Reporting Unit]])-LEN(SUBSTITUTE(emissions[[#This Row],[Reporting Unit]],"&gt;","")))</f>
        <v>Vantage_Carnegie</v>
      </c>
      <c r="AR611" t="str">
        <f>_xlfn.XLOOKUP(emissions[[#This Row],[Reporting unit name]],hierarchy!$A:$A,hierarchy!$C:$C)</f>
        <v>Office</v>
      </c>
    </row>
    <row r="612" spans="1:44" hidden="1" x14ac:dyDescent="0.25">
      <c r="A612">
        <v>292833</v>
      </c>
      <c r="B612" t="s">
        <v>444</v>
      </c>
      <c r="C612" t="s">
        <v>501</v>
      </c>
      <c r="D612" t="s">
        <v>548</v>
      </c>
      <c r="E612" s="3">
        <v>44562</v>
      </c>
      <c r="F612" s="3">
        <v>44926</v>
      </c>
      <c r="G612" t="s">
        <v>121</v>
      </c>
      <c r="H612" s="3">
        <v>44562</v>
      </c>
      <c r="I612" s="3">
        <v>44926</v>
      </c>
      <c r="J612" t="s">
        <v>150</v>
      </c>
      <c r="K612">
        <v>445.4</v>
      </c>
      <c r="L612" t="s">
        <v>148</v>
      </c>
      <c r="M612" t="s">
        <v>110</v>
      </c>
      <c r="O612" t="s">
        <v>784</v>
      </c>
      <c r="P612" t="s">
        <v>550</v>
      </c>
      <c r="Q612">
        <v>2022</v>
      </c>
      <c r="R612" t="s">
        <v>594</v>
      </c>
      <c r="S612" t="s">
        <v>150</v>
      </c>
      <c r="T612" t="s">
        <v>553</v>
      </c>
      <c r="U612" t="b">
        <v>0</v>
      </c>
      <c r="V612" t="s">
        <v>789</v>
      </c>
      <c r="W612" t="s">
        <v>587</v>
      </c>
      <c r="X612" t="s">
        <v>556</v>
      </c>
      <c r="Y612" t="s">
        <v>472</v>
      </c>
      <c r="Z612" t="s">
        <v>485</v>
      </c>
      <c r="AA612" t="s">
        <v>764</v>
      </c>
      <c r="AC612">
        <v>1</v>
      </c>
      <c r="AD612" t="s">
        <v>565</v>
      </c>
      <c r="AE612">
        <v>2557.3309100000001</v>
      </c>
      <c r="AF612">
        <v>5.7416499999999999</v>
      </c>
      <c r="AG612" t="s">
        <v>786</v>
      </c>
      <c r="AH612">
        <v>1</v>
      </c>
      <c r="AI612">
        <v>445.4</v>
      </c>
      <c r="AJ612" t="s">
        <v>561</v>
      </c>
      <c r="AK612" t="s">
        <v>766</v>
      </c>
      <c r="AL612" t="s">
        <v>767</v>
      </c>
      <c r="AM612">
        <v>2022</v>
      </c>
      <c r="AN612">
        <v>2022</v>
      </c>
      <c r="AO612">
        <f>IF(AND(emissions[[#This Row],[Market-based]]=0,emissions[[#This Row],[Impact Type]]="CO2E"),emissions[[#This Row],[kgCO2e]],0)/1000</f>
        <v>0</v>
      </c>
      <c r="AP612">
        <f>IF(AND(emissions[[#This Row],[Market-based]]=1,OR(emissions[[#This Row],[Impact Type]]="CO2E",emissions[[#This Row],[Impact Type]]="CO2E MKT")),emissions[[#This Row],[kgCO2e]],0)/1000</f>
        <v>2.5573309100000001</v>
      </c>
      <c r="AQ612" t="str">
        <f>_xlfn.TEXTAFTER(emissions[[#This Row],[Reporting Unit]]," &gt; ",LEN(emissions[[#This Row],[Reporting Unit]])-LEN(SUBSTITUTE(emissions[[#This Row],[Reporting Unit]],"&gt;","")))</f>
        <v>Vantage_Carnegie</v>
      </c>
      <c r="AR612" t="str">
        <f>_xlfn.XLOOKUP(emissions[[#This Row],[Reporting unit name]],hierarchy!$A:$A,hierarchy!$C:$C)</f>
        <v>Office</v>
      </c>
    </row>
    <row r="613" spans="1:44" hidden="1" x14ac:dyDescent="0.25">
      <c r="A613">
        <v>292833</v>
      </c>
      <c r="B613" t="s">
        <v>444</v>
      </c>
      <c r="C613" t="s">
        <v>501</v>
      </c>
      <c r="D613" t="s">
        <v>548</v>
      </c>
      <c r="E613" s="3">
        <v>44562</v>
      </c>
      <c r="F613" s="3">
        <v>44926</v>
      </c>
      <c r="G613" t="s">
        <v>121</v>
      </c>
      <c r="H613" s="3">
        <v>44562</v>
      </c>
      <c r="I613" s="3">
        <v>44926</v>
      </c>
      <c r="J613" t="s">
        <v>150</v>
      </c>
      <c r="K613">
        <v>445.4</v>
      </c>
      <c r="L613" t="s">
        <v>148</v>
      </c>
      <c r="M613" t="s">
        <v>110</v>
      </c>
      <c r="O613" t="s">
        <v>784</v>
      </c>
      <c r="P613" t="s">
        <v>550</v>
      </c>
      <c r="Q613">
        <v>2022</v>
      </c>
      <c r="R613" t="s">
        <v>594</v>
      </c>
      <c r="S613" t="s">
        <v>150</v>
      </c>
      <c r="T613" t="s">
        <v>553</v>
      </c>
      <c r="U613" t="b">
        <v>0</v>
      </c>
      <c r="V613" t="s">
        <v>789</v>
      </c>
      <c r="W613" t="s">
        <v>587</v>
      </c>
      <c r="X613" t="s">
        <v>556</v>
      </c>
      <c r="Y613" t="s">
        <v>472</v>
      </c>
      <c r="Z613" t="s">
        <v>485</v>
      </c>
      <c r="AA613" t="s">
        <v>764</v>
      </c>
      <c r="AC613">
        <v>1</v>
      </c>
      <c r="AD613" t="s">
        <v>566</v>
      </c>
      <c r="AE613">
        <v>6.6364599999999996</v>
      </c>
      <c r="AF613">
        <v>1.49E-2</v>
      </c>
      <c r="AG613" t="s">
        <v>786</v>
      </c>
      <c r="AH613">
        <v>1</v>
      </c>
      <c r="AI613">
        <v>445.4</v>
      </c>
      <c r="AJ613" t="s">
        <v>561</v>
      </c>
      <c r="AK613" t="s">
        <v>766</v>
      </c>
      <c r="AL613" t="s">
        <v>787</v>
      </c>
      <c r="AM613">
        <v>2022</v>
      </c>
      <c r="AN613">
        <v>2021</v>
      </c>
      <c r="AO613">
        <f>IF(AND(emissions[[#This Row],[Market-based]]=0,emissions[[#This Row],[Impact Type]]="CO2E"),emissions[[#This Row],[kgCO2e]],0)/1000</f>
        <v>0</v>
      </c>
      <c r="AP613">
        <f>IF(AND(emissions[[#This Row],[Market-based]]=1,OR(emissions[[#This Row],[Impact Type]]="CO2E",emissions[[#This Row],[Impact Type]]="CO2E MKT")),emissions[[#This Row],[kgCO2e]],0)/1000</f>
        <v>0</v>
      </c>
      <c r="AQ613" t="str">
        <f>_xlfn.TEXTAFTER(emissions[[#This Row],[Reporting Unit]]," &gt; ",LEN(emissions[[#This Row],[Reporting Unit]])-LEN(SUBSTITUTE(emissions[[#This Row],[Reporting Unit]],"&gt;","")))</f>
        <v>Vantage_Carnegie</v>
      </c>
      <c r="AR613" t="str">
        <f>_xlfn.XLOOKUP(emissions[[#This Row],[Reporting unit name]],hierarchy!$A:$A,hierarchy!$C:$C)</f>
        <v>Office</v>
      </c>
    </row>
    <row r="614" spans="1:44" hidden="1" x14ac:dyDescent="0.25">
      <c r="A614">
        <v>292833</v>
      </c>
      <c r="B614" t="s">
        <v>444</v>
      </c>
      <c r="C614" t="s">
        <v>501</v>
      </c>
      <c r="D614" t="s">
        <v>548</v>
      </c>
      <c r="E614" s="3">
        <v>44562</v>
      </c>
      <c r="F614" s="3">
        <v>44926</v>
      </c>
      <c r="G614" t="s">
        <v>121</v>
      </c>
      <c r="H614" s="3">
        <v>44562</v>
      </c>
      <c r="I614" s="3">
        <v>44926</v>
      </c>
      <c r="J614" t="s">
        <v>150</v>
      </c>
      <c r="K614">
        <v>445.4</v>
      </c>
      <c r="L614" t="s">
        <v>148</v>
      </c>
      <c r="M614" t="s">
        <v>110</v>
      </c>
      <c r="O614" t="s">
        <v>784</v>
      </c>
      <c r="P614" t="s">
        <v>550</v>
      </c>
      <c r="Q614">
        <v>2022</v>
      </c>
      <c r="R614" t="s">
        <v>596</v>
      </c>
      <c r="S614" t="s">
        <v>597</v>
      </c>
      <c r="T614" t="s">
        <v>577</v>
      </c>
      <c r="U614" t="b">
        <v>0</v>
      </c>
      <c r="V614" t="s">
        <v>598</v>
      </c>
      <c r="W614" t="s">
        <v>571</v>
      </c>
      <c r="X614" t="s">
        <v>572</v>
      </c>
      <c r="AC614">
        <v>0</v>
      </c>
      <c r="AD614" t="s">
        <v>565</v>
      </c>
      <c r="AE614">
        <v>304.25946049999999</v>
      </c>
      <c r="AF614">
        <v>0.18046000000000001</v>
      </c>
      <c r="AG614" t="s">
        <v>588</v>
      </c>
      <c r="AH614">
        <v>3.7854100000000002</v>
      </c>
      <c r="AI614">
        <v>1686.021614</v>
      </c>
      <c r="AJ614" t="s">
        <v>561</v>
      </c>
      <c r="AK614" t="s">
        <v>589</v>
      </c>
      <c r="AL614" t="s">
        <v>590</v>
      </c>
      <c r="AM614">
        <v>2022</v>
      </c>
      <c r="AN614">
        <v>2020</v>
      </c>
      <c r="AO614">
        <f>IF(AND(emissions[[#This Row],[Market-based]]=0,emissions[[#This Row],[Impact Type]]="CO2E"),emissions[[#This Row],[kgCO2e]],0)/1000</f>
        <v>0.30425946049999997</v>
      </c>
      <c r="AP614">
        <f>IF(AND(emissions[[#This Row],[Market-based]]=1,OR(emissions[[#This Row],[Impact Type]]="CO2E",emissions[[#This Row],[Impact Type]]="CO2E MKT")),emissions[[#This Row],[kgCO2e]],0)/1000</f>
        <v>0</v>
      </c>
      <c r="AQ614" t="str">
        <f>_xlfn.TEXTAFTER(emissions[[#This Row],[Reporting Unit]]," &gt; ",LEN(emissions[[#This Row],[Reporting Unit]])-LEN(SUBSTITUTE(emissions[[#This Row],[Reporting Unit]],"&gt;","")))</f>
        <v>Vantage_Carnegie</v>
      </c>
      <c r="AR614" t="str">
        <f>_xlfn.XLOOKUP(emissions[[#This Row],[Reporting unit name]],hierarchy!$A:$A,hierarchy!$C:$C)</f>
        <v>Office</v>
      </c>
    </row>
    <row r="615" spans="1:44" hidden="1" x14ac:dyDescent="0.25">
      <c r="A615">
        <v>292833</v>
      </c>
      <c r="B615" t="s">
        <v>444</v>
      </c>
      <c r="C615" t="s">
        <v>501</v>
      </c>
      <c r="D615" t="s">
        <v>548</v>
      </c>
      <c r="E615" s="3">
        <v>44562</v>
      </c>
      <c r="F615" s="3">
        <v>44926</v>
      </c>
      <c r="G615" t="s">
        <v>121</v>
      </c>
      <c r="H615" s="3">
        <v>44562</v>
      </c>
      <c r="I615" s="3">
        <v>44926</v>
      </c>
      <c r="J615" t="s">
        <v>150</v>
      </c>
      <c r="K615">
        <v>445.4</v>
      </c>
      <c r="L615" t="s">
        <v>148</v>
      </c>
      <c r="M615" t="s">
        <v>110</v>
      </c>
      <c r="O615" t="s">
        <v>784</v>
      </c>
      <c r="P615" t="s">
        <v>550</v>
      </c>
      <c r="Q615">
        <v>2022</v>
      </c>
      <c r="R615" t="s">
        <v>596</v>
      </c>
      <c r="S615" t="s">
        <v>597</v>
      </c>
      <c r="T615" t="s">
        <v>577</v>
      </c>
      <c r="U615" t="b">
        <v>0</v>
      </c>
      <c r="V615" t="s">
        <v>598</v>
      </c>
      <c r="W615" t="s">
        <v>571</v>
      </c>
      <c r="X615" t="s">
        <v>572</v>
      </c>
      <c r="AC615">
        <v>1</v>
      </c>
      <c r="AD615" t="s">
        <v>565</v>
      </c>
      <c r="AE615">
        <v>304.25946049999999</v>
      </c>
      <c r="AF615">
        <v>0.18046000000000001</v>
      </c>
      <c r="AG615" t="s">
        <v>588</v>
      </c>
      <c r="AH615">
        <v>3.7854100000000002</v>
      </c>
      <c r="AI615">
        <v>1686.021614</v>
      </c>
      <c r="AJ615" t="s">
        <v>561</v>
      </c>
      <c r="AK615" t="s">
        <v>589</v>
      </c>
      <c r="AL615" t="s">
        <v>590</v>
      </c>
      <c r="AM615">
        <v>2022</v>
      </c>
      <c r="AN615">
        <v>2020</v>
      </c>
      <c r="AO615">
        <f>IF(AND(emissions[[#This Row],[Market-based]]=0,emissions[[#This Row],[Impact Type]]="CO2E"),emissions[[#This Row],[kgCO2e]],0)/1000</f>
        <v>0</v>
      </c>
      <c r="AP615">
        <f>IF(AND(emissions[[#This Row],[Market-based]]=1,OR(emissions[[#This Row],[Impact Type]]="CO2E",emissions[[#This Row],[Impact Type]]="CO2E MKT")),emissions[[#This Row],[kgCO2e]],0)/1000</f>
        <v>0.30425946049999997</v>
      </c>
      <c r="AQ615" t="str">
        <f>_xlfn.TEXTAFTER(emissions[[#This Row],[Reporting Unit]]," &gt; ",LEN(emissions[[#This Row],[Reporting Unit]])-LEN(SUBSTITUTE(emissions[[#This Row],[Reporting Unit]],"&gt;","")))</f>
        <v>Vantage_Carnegie</v>
      </c>
      <c r="AR615" t="str">
        <f>_xlfn.XLOOKUP(emissions[[#This Row],[Reporting unit name]],hierarchy!$A:$A,hierarchy!$C:$C)</f>
        <v>Office</v>
      </c>
    </row>
    <row r="616" spans="1:44" hidden="1" x14ac:dyDescent="0.25">
      <c r="A616">
        <v>4943</v>
      </c>
      <c r="B616" t="s">
        <v>444</v>
      </c>
      <c r="C616" t="s">
        <v>501</v>
      </c>
      <c r="D616" t="s">
        <v>599</v>
      </c>
      <c r="E616" s="3">
        <v>44197</v>
      </c>
      <c r="F616" s="3">
        <v>44561</v>
      </c>
      <c r="G616" t="s">
        <v>108</v>
      </c>
      <c r="H616" s="3">
        <v>44197</v>
      </c>
      <c r="I616" s="3">
        <v>44561</v>
      </c>
      <c r="J616" t="s">
        <v>108</v>
      </c>
      <c r="K616">
        <v>1392124</v>
      </c>
      <c r="L616" t="s">
        <v>109</v>
      </c>
      <c r="M616" t="s">
        <v>110</v>
      </c>
      <c r="O616" t="s">
        <v>600</v>
      </c>
      <c r="P616" t="s">
        <v>550</v>
      </c>
      <c r="Q616">
        <v>2021</v>
      </c>
      <c r="R616" t="s">
        <v>551</v>
      </c>
      <c r="S616" t="s">
        <v>552</v>
      </c>
      <c r="T616" t="s">
        <v>553</v>
      </c>
      <c r="U616" t="b">
        <v>0</v>
      </c>
      <c r="V616" t="s">
        <v>763</v>
      </c>
      <c r="W616" t="s">
        <v>555</v>
      </c>
      <c r="X616" t="s">
        <v>556</v>
      </c>
      <c r="Y616" t="s">
        <v>472</v>
      </c>
      <c r="Z616" t="s">
        <v>485</v>
      </c>
      <c r="AA616" t="s">
        <v>764</v>
      </c>
      <c r="AB616" t="s">
        <v>765</v>
      </c>
      <c r="AC616">
        <v>0</v>
      </c>
      <c r="AD616" t="s">
        <v>558</v>
      </c>
      <c r="AE616">
        <v>1562.8556410000001</v>
      </c>
      <c r="AF616">
        <v>1.122641E-3</v>
      </c>
      <c r="AG616" t="s">
        <v>560</v>
      </c>
      <c r="AH616">
        <v>1</v>
      </c>
      <c r="AI616">
        <v>1392124</v>
      </c>
      <c r="AJ616" t="s">
        <v>561</v>
      </c>
      <c r="AK616" t="s">
        <v>766</v>
      </c>
      <c r="AL616" t="s">
        <v>790</v>
      </c>
      <c r="AM616">
        <v>2021</v>
      </c>
      <c r="AN616">
        <v>2019</v>
      </c>
      <c r="AO616">
        <f>IF(AND(emissions[[#This Row],[Market-based]]=0,emissions[[#This Row],[Impact Type]]="CO2E"),emissions[[#This Row],[kgCO2e]],0)/1000</f>
        <v>0</v>
      </c>
      <c r="AP616">
        <f>IF(AND(emissions[[#This Row],[Market-based]]=1,OR(emissions[[#This Row],[Impact Type]]="CO2E",emissions[[#This Row],[Impact Type]]="CO2E MKT")),emissions[[#This Row],[kgCO2e]],0)/1000</f>
        <v>0</v>
      </c>
      <c r="AQ616" t="str">
        <f>_xlfn.TEXTAFTER(emissions[[#This Row],[Reporting Unit]]," &gt; ",LEN(emissions[[#This Row],[Reporting Unit]])-LEN(SUBSTITUTE(emissions[[#This Row],[Reporting Unit]],"&gt;","")))</f>
        <v>Vantage_Carnegie</v>
      </c>
      <c r="AR616" t="str">
        <f>_xlfn.XLOOKUP(emissions[[#This Row],[Reporting unit name]],hierarchy!$A:$A,hierarchy!$C:$C)</f>
        <v>Office</v>
      </c>
    </row>
    <row r="617" spans="1:44" hidden="1" x14ac:dyDescent="0.25">
      <c r="A617">
        <v>4943</v>
      </c>
      <c r="B617" t="s">
        <v>444</v>
      </c>
      <c r="C617" t="s">
        <v>501</v>
      </c>
      <c r="D617" t="s">
        <v>599</v>
      </c>
      <c r="E617" s="3">
        <v>44197</v>
      </c>
      <c r="F617" s="3">
        <v>44561</v>
      </c>
      <c r="G617" t="s">
        <v>108</v>
      </c>
      <c r="H617" s="3">
        <v>44197</v>
      </c>
      <c r="I617" s="3">
        <v>44561</v>
      </c>
      <c r="J617" t="s">
        <v>108</v>
      </c>
      <c r="K617">
        <v>1392124</v>
      </c>
      <c r="L617" t="s">
        <v>109</v>
      </c>
      <c r="M617" t="s">
        <v>110</v>
      </c>
      <c r="O617" t="s">
        <v>600</v>
      </c>
      <c r="P617" t="s">
        <v>550</v>
      </c>
      <c r="Q617">
        <v>2021</v>
      </c>
      <c r="R617" t="s">
        <v>551</v>
      </c>
      <c r="S617" t="s">
        <v>552</v>
      </c>
      <c r="T617" t="s">
        <v>553</v>
      </c>
      <c r="U617" t="b">
        <v>0</v>
      </c>
      <c r="V617" t="s">
        <v>763</v>
      </c>
      <c r="W617" t="s">
        <v>555</v>
      </c>
      <c r="X617" t="s">
        <v>556</v>
      </c>
      <c r="Y617" t="s">
        <v>472</v>
      </c>
      <c r="Z617" t="s">
        <v>485</v>
      </c>
      <c r="AA617" t="s">
        <v>764</v>
      </c>
      <c r="AB617" t="s">
        <v>765</v>
      </c>
      <c r="AC617">
        <v>0</v>
      </c>
      <c r="AD617" t="s">
        <v>564</v>
      </c>
      <c r="AE617">
        <v>674193.19090000005</v>
      </c>
      <c r="AF617">
        <v>0.484291048</v>
      </c>
      <c r="AG617" t="s">
        <v>560</v>
      </c>
      <c r="AH617">
        <v>1</v>
      </c>
      <c r="AI617">
        <v>1392124</v>
      </c>
      <c r="AJ617" t="s">
        <v>561</v>
      </c>
      <c r="AK617" t="s">
        <v>766</v>
      </c>
      <c r="AL617" t="s">
        <v>790</v>
      </c>
      <c r="AM617">
        <v>2021</v>
      </c>
      <c r="AN617">
        <v>2019</v>
      </c>
      <c r="AO617">
        <f>IF(AND(emissions[[#This Row],[Market-based]]=0,emissions[[#This Row],[Impact Type]]="CO2E"),emissions[[#This Row],[kgCO2e]],0)/1000</f>
        <v>0</v>
      </c>
      <c r="AP617">
        <f>IF(AND(emissions[[#This Row],[Market-based]]=1,OR(emissions[[#This Row],[Impact Type]]="CO2E",emissions[[#This Row],[Impact Type]]="CO2E MKT")),emissions[[#This Row],[kgCO2e]],0)/1000</f>
        <v>0</v>
      </c>
      <c r="AQ617" t="str">
        <f>_xlfn.TEXTAFTER(emissions[[#This Row],[Reporting Unit]]," &gt; ",LEN(emissions[[#This Row],[Reporting Unit]])-LEN(SUBSTITUTE(emissions[[#This Row],[Reporting Unit]],"&gt;","")))</f>
        <v>Vantage_Carnegie</v>
      </c>
      <c r="AR617" t="str">
        <f>_xlfn.XLOOKUP(emissions[[#This Row],[Reporting unit name]],hierarchy!$A:$A,hierarchy!$C:$C)</f>
        <v>Office</v>
      </c>
    </row>
    <row r="618" spans="1:44" hidden="1" x14ac:dyDescent="0.25">
      <c r="A618">
        <v>4943</v>
      </c>
      <c r="B618" t="s">
        <v>444</v>
      </c>
      <c r="C618" t="s">
        <v>501</v>
      </c>
      <c r="D618" t="s">
        <v>599</v>
      </c>
      <c r="E618" s="3">
        <v>44197</v>
      </c>
      <c r="F618" s="3">
        <v>44561</v>
      </c>
      <c r="G618" t="s">
        <v>108</v>
      </c>
      <c r="H618" s="3">
        <v>44197</v>
      </c>
      <c r="I618" s="3">
        <v>44561</v>
      </c>
      <c r="J618" t="s">
        <v>108</v>
      </c>
      <c r="K618">
        <v>1392124</v>
      </c>
      <c r="L618" t="s">
        <v>109</v>
      </c>
      <c r="M618" t="s">
        <v>110</v>
      </c>
      <c r="O618" t="s">
        <v>600</v>
      </c>
      <c r="P618" t="s">
        <v>550</v>
      </c>
      <c r="Q618">
        <v>2021</v>
      </c>
      <c r="R618" t="s">
        <v>551</v>
      </c>
      <c r="S618" t="s">
        <v>552</v>
      </c>
      <c r="T618" t="s">
        <v>553</v>
      </c>
      <c r="U618" t="b">
        <v>0</v>
      </c>
      <c r="V618" t="s">
        <v>763</v>
      </c>
      <c r="W618" t="s">
        <v>555</v>
      </c>
      <c r="X618" t="s">
        <v>556</v>
      </c>
      <c r="Y618" t="s">
        <v>472</v>
      </c>
      <c r="Z618" t="s">
        <v>485</v>
      </c>
      <c r="AA618" t="s">
        <v>764</v>
      </c>
      <c r="AB618" t="s">
        <v>765</v>
      </c>
      <c r="AC618">
        <v>0</v>
      </c>
      <c r="AD618" t="s">
        <v>565</v>
      </c>
      <c r="AE618">
        <v>678390.48439999996</v>
      </c>
      <c r="AF618">
        <v>0.48730607599999998</v>
      </c>
      <c r="AG618" t="s">
        <v>560</v>
      </c>
      <c r="AH618">
        <v>1</v>
      </c>
      <c r="AI618">
        <v>1392124</v>
      </c>
      <c r="AJ618" t="s">
        <v>561</v>
      </c>
      <c r="AK618" t="s">
        <v>766</v>
      </c>
      <c r="AL618" t="s">
        <v>790</v>
      </c>
      <c r="AM618">
        <v>2021</v>
      </c>
      <c r="AN618">
        <v>2019</v>
      </c>
      <c r="AO618">
        <f>IF(AND(emissions[[#This Row],[Market-based]]=0,emissions[[#This Row],[Impact Type]]="CO2E"),emissions[[#This Row],[kgCO2e]],0)/1000</f>
        <v>678.39048439999999</v>
      </c>
      <c r="AP618">
        <f>IF(AND(emissions[[#This Row],[Market-based]]=1,OR(emissions[[#This Row],[Impact Type]]="CO2E",emissions[[#This Row],[Impact Type]]="CO2E MKT")),emissions[[#This Row],[kgCO2e]],0)/1000</f>
        <v>0</v>
      </c>
      <c r="AQ618" t="str">
        <f>_xlfn.TEXTAFTER(emissions[[#This Row],[Reporting Unit]]," &gt; ",LEN(emissions[[#This Row],[Reporting Unit]])-LEN(SUBSTITUTE(emissions[[#This Row],[Reporting Unit]],"&gt;","")))</f>
        <v>Vantage_Carnegie</v>
      </c>
      <c r="AR618" t="str">
        <f>_xlfn.XLOOKUP(emissions[[#This Row],[Reporting unit name]],hierarchy!$A:$A,hierarchy!$C:$C)</f>
        <v>Office</v>
      </c>
    </row>
    <row r="619" spans="1:44" hidden="1" x14ac:dyDescent="0.25">
      <c r="A619">
        <v>4943</v>
      </c>
      <c r="B619" t="s">
        <v>444</v>
      </c>
      <c r="C619" t="s">
        <v>501</v>
      </c>
      <c r="D619" t="s">
        <v>599</v>
      </c>
      <c r="E619" s="3">
        <v>44197</v>
      </c>
      <c r="F619" s="3">
        <v>44561</v>
      </c>
      <c r="G619" t="s">
        <v>108</v>
      </c>
      <c r="H619" s="3">
        <v>44197</v>
      </c>
      <c r="I619" s="3">
        <v>44561</v>
      </c>
      <c r="J619" t="s">
        <v>108</v>
      </c>
      <c r="K619">
        <v>1392124</v>
      </c>
      <c r="L619" t="s">
        <v>109</v>
      </c>
      <c r="M619" t="s">
        <v>110</v>
      </c>
      <c r="O619" t="s">
        <v>600</v>
      </c>
      <c r="P619" t="s">
        <v>550</v>
      </c>
      <c r="Q619">
        <v>2021</v>
      </c>
      <c r="R619" t="s">
        <v>551</v>
      </c>
      <c r="S619" t="s">
        <v>552</v>
      </c>
      <c r="T619" t="s">
        <v>553</v>
      </c>
      <c r="U619" t="b">
        <v>0</v>
      </c>
      <c r="V619" t="s">
        <v>763</v>
      </c>
      <c r="W619" t="s">
        <v>555</v>
      </c>
      <c r="X619" t="s">
        <v>556</v>
      </c>
      <c r="Y619" t="s">
        <v>472</v>
      </c>
      <c r="Z619" t="s">
        <v>485</v>
      </c>
      <c r="AA619" t="s">
        <v>764</v>
      </c>
      <c r="AB619" t="s">
        <v>765</v>
      </c>
      <c r="AC619">
        <v>0</v>
      </c>
      <c r="AD619" t="s">
        <v>566</v>
      </c>
      <c r="AE619">
        <v>2634.437872</v>
      </c>
      <c r="AF619">
        <v>1.8923869999999999E-3</v>
      </c>
      <c r="AG619" t="s">
        <v>560</v>
      </c>
      <c r="AH619">
        <v>1</v>
      </c>
      <c r="AI619">
        <v>1392124</v>
      </c>
      <c r="AJ619" t="s">
        <v>561</v>
      </c>
      <c r="AK619" t="s">
        <v>766</v>
      </c>
      <c r="AL619" t="s">
        <v>790</v>
      </c>
      <c r="AM619">
        <v>2021</v>
      </c>
      <c r="AN619">
        <v>2019</v>
      </c>
      <c r="AO619">
        <f>IF(AND(emissions[[#This Row],[Market-based]]=0,emissions[[#This Row],[Impact Type]]="CO2E"),emissions[[#This Row],[kgCO2e]],0)/1000</f>
        <v>0</v>
      </c>
      <c r="AP619">
        <f>IF(AND(emissions[[#This Row],[Market-based]]=1,OR(emissions[[#This Row],[Impact Type]]="CO2E",emissions[[#This Row],[Impact Type]]="CO2E MKT")),emissions[[#This Row],[kgCO2e]],0)/1000</f>
        <v>0</v>
      </c>
      <c r="AQ619" t="str">
        <f>_xlfn.TEXTAFTER(emissions[[#This Row],[Reporting Unit]]," &gt; ",LEN(emissions[[#This Row],[Reporting Unit]])-LEN(SUBSTITUTE(emissions[[#This Row],[Reporting Unit]],"&gt;","")))</f>
        <v>Vantage_Carnegie</v>
      </c>
      <c r="AR619" t="str">
        <f>_xlfn.XLOOKUP(emissions[[#This Row],[Reporting unit name]],hierarchy!$A:$A,hierarchy!$C:$C)</f>
        <v>Office</v>
      </c>
    </row>
    <row r="620" spans="1:44" hidden="1" x14ac:dyDescent="0.25">
      <c r="A620">
        <v>4943</v>
      </c>
      <c r="B620" t="s">
        <v>444</v>
      </c>
      <c r="C620" t="s">
        <v>501</v>
      </c>
      <c r="D620" t="s">
        <v>599</v>
      </c>
      <c r="E620" s="3">
        <v>44197</v>
      </c>
      <c r="F620" s="3">
        <v>44561</v>
      </c>
      <c r="G620" t="s">
        <v>108</v>
      </c>
      <c r="H620" s="3">
        <v>44197</v>
      </c>
      <c r="I620" s="3">
        <v>44561</v>
      </c>
      <c r="J620" t="s">
        <v>108</v>
      </c>
      <c r="K620">
        <v>1392124</v>
      </c>
      <c r="L620" t="s">
        <v>109</v>
      </c>
      <c r="M620" t="s">
        <v>110</v>
      </c>
      <c r="O620" t="s">
        <v>600</v>
      </c>
      <c r="P620" t="s">
        <v>550</v>
      </c>
      <c r="Q620">
        <v>2021</v>
      </c>
      <c r="R620" t="s">
        <v>551</v>
      </c>
      <c r="S620" t="s">
        <v>552</v>
      </c>
      <c r="T620" t="s">
        <v>553</v>
      </c>
      <c r="U620" t="b">
        <v>1</v>
      </c>
      <c r="V620" t="s">
        <v>763</v>
      </c>
      <c r="W620" t="s">
        <v>555</v>
      </c>
      <c r="X620" t="s">
        <v>556</v>
      </c>
      <c r="AC620">
        <v>1</v>
      </c>
      <c r="AD620" t="s">
        <v>639</v>
      </c>
      <c r="AE620">
        <v>546386.96120000002</v>
      </c>
      <c r="AF620">
        <v>0.39248440600000001</v>
      </c>
      <c r="AG620" t="s">
        <v>768</v>
      </c>
      <c r="AH620">
        <v>1</v>
      </c>
      <c r="AI620">
        <v>1392124</v>
      </c>
      <c r="AL620" t="s">
        <v>769</v>
      </c>
      <c r="AM620">
        <v>2021</v>
      </c>
      <c r="AO620">
        <f>IF(AND(emissions[[#This Row],[Market-based]]=0,emissions[[#This Row],[Impact Type]]="CO2E"),emissions[[#This Row],[kgCO2e]],0)/1000</f>
        <v>0</v>
      </c>
      <c r="AP620">
        <f>IF(AND(emissions[[#This Row],[Market-based]]=1,OR(emissions[[#This Row],[Impact Type]]="CO2E",emissions[[#This Row],[Impact Type]]="CO2E MKT")),emissions[[#This Row],[kgCO2e]],0)/1000</f>
        <v>546.38696119999997</v>
      </c>
      <c r="AQ620" t="str">
        <f>_xlfn.TEXTAFTER(emissions[[#This Row],[Reporting Unit]]," &gt; ",LEN(emissions[[#This Row],[Reporting Unit]])-LEN(SUBSTITUTE(emissions[[#This Row],[Reporting Unit]],"&gt;","")))</f>
        <v>Vantage_Carnegie</v>
      </c>
      <c r="AR620" t="str">
        <f>_xlfn.XLOOKUP(emissions[[#This Row],[Reporting unit name]],hierarchy!$A:$A,hierarchy!$C:$C)</f>
        <v>Office</v>
      </c>
    </row>
    <row r="621" spans="1:44" hidden="1" x14ac:dyDescent="0.25">
      <c r="A621">
        <v>4943</v>
      </c>
      <c r="B621" t="s">
        <v>444</v>
      </c>
      <c r="C621" t="s">
        <v>501</v>
      </c>
      <c r="D621" t="s">
        <v>599</v>
      </c>
      <c r="E621" s="3">
        <v>44197</v>
      </c>
      <c r="F621" s="3">
        <v>44561</v>
      </c>
      <c r="G621" t="s">
        <v>108</v>
      </c>
      <c r="H621" s="3">
        <v>44197</v>
      </c>
      <c r="I621" s="3">
        <v>44561</v>
      </c>
      <c r="J621" t="s">
        <v>108</v>
      </c>
      <c r="K621">
        <v>1392124</v>
      </c>
      <c r="L621" t="s">
        <v>109</v>
      </c>
      <c r="M621" t="s">
        <v>110</v>
      </c>
      <c r="O621" t="s">
        <v>600</v>
      </c>
      <c r="P621" t="s">
        <v>550</v>
      </c>
      <c r="Q621">
        <v>2021</v>
      </c>
      <c r="R621" t="s">
        <v>567</v>
      </c>
      <c r="S621" t="s">
        <v>568</v>
      </c>
      <c r="T621" t="s">
        <v>569</v>
      </c>
      <c r="U621" t="b">
        <v>0</v>
      </c>
      <c r="V621" t="s">
        <v>771</v>
      </c>
      <c r="W621" t="s">
        <v>571</v>
      </c>
      <c r="X621" t="s">
        <v>572</v>
      </c>
      <c r="Y621" t="s">
        <v>472</v>
      </c>
      <c r="Z621" t="s">
        <v>485</v>
      </c>
      <c r="AA621" t="s">
        <v>764</v>
      </c>
      <c r="AB621" t="s">
        <v>765</v>
      </c>
      <c r="AC621">
        <v>0</v>
      </c>
      <c r="AD621" t="s">
        <v>558</v>
      </c>
      <c r="AE621">
        <v>21.055905899999999</v>
      </c>
      <c r="AF621" s="13">
        <v>1.5125E-5</v>
      </c>
      <c r="AG621" t="s">
        <v>560</v>
      </c>
      <c r="AH621">
        <v>1</v>
      </c>
      <c r="AI621">
        <v>1392124</v>
      </c>
      <c r="AJ621" t="s">
        <v>561</v>
      </c>
      <c r="AK621" t="s">
        <v>573</v>
      </c>
      <c r="AL621" t="s">
        <v>791</v>
      </c>
      <c r="AM621">
        <v>2021</v>
      </c>
      <c r="AN621">
        <v>2019</v>
      </c>
      <c r="AO621">
        <f>IF(AND(emissions[[#This Row],[Market-based]]=0,emissions[[#This Row],[Impact Type]]="CO2E"),emissions[[#This Row],[kgCO2e]],0)/1000</f>
        <v>0</v>
      </c>
      <c r="AP621">
        <f>IF(AND(emissions[[#This Row],[Market-based]]=1,OR(emissions[[#This Row],[Impact Type]]="CO2E",emissions[[#This Row],[Impact Type]]="CO2E MKT")),emissions[[#This Row],[kgCO2e]],0)/1000</f>
        <v>0</v>
      </c>
      <c r="AQ621" t="str">
        <f>_xlfn.TEXTAFTER(emissions[[#This Row],[Reporting Unit]]," &gt; ",LEN(emissions[[#This Row],[Reporting Unit]])-LEN(SUBSTITUTE(emissions[[#This Row],[Reporting Unit]],"&gt;","")))</f>
        <v>Vantage_Carnegie</v>
      </c>
      <c r="AR621" t="str">
        <f>_xlfn.XLOOKUP(emissions[[#This Row],[Reporting unit name]],hierarchy!$A:$A,hierarchy!$C:$C)</f>
        <v>Office</v>
      </c>
    </row>
    <row r="622" spans="1:44" hidden="1" x14ac:dyDescent="0.25">
      <c r="A622">
        <v>4943</v>
      </c>
      <c r="B622" t="s">
        <v>444</v>
      </c>
      <c r="C622" t="s">
        <v>501</v>
      </c>
      <c r="D622" t="s">
        <v>599</v>
      </c>
      <c r="E622" s="3">
        <v>44197</v>
      </c>
      <c r="F622" s="3">
        <v>44561</v>
      </c>
      <c r="G622" t="s">
        <v>108</v>
      </c>
      <c r="H622" s="3">
        <v>44197</v>
      </c>
      <c r="I622" s="3">
        <v>44561</v>
      </c>
      <c r="J622" t="s">
        <v>108</v>
      </c>
      <c r="K622">
        <v>1392124</v>
      </c>
      <c r="L622" t="s">
        <v>109</v>
      </c>
      <c r="M622" t="s">
        <v>110</v>
      </c>
      <c r="O622" t="s">
        <v>600</v>
      </c>
      <c r="P622" t="s">
        <v>550</v>
      </c>
      <c r="Q622">
        <v>2021</v>
      </c>
      <c r="R622" t="s">
        <v>567</v>
      </c>
      <c r="S622" t="s">
        <v>568</v>
      </c>
      <c r="T622" t="s">
        <v>569</v>
      </c>
      <c r="U622" t="b">
        <v>0</v>
      </c>
      <c r="V622" t="s">
        <v>771</v>
      </c>
      <c r="W622" t="s">
        <v>571</v>
      </c>
      <c r="X622" t="s">
        <v>572</v>
      </c>
      <c r="Y622" t="s">
        <v>472</v>
      </c>
      <c r="Z622" t="s">
        <v>485</v>
      </c>
      <c r="AA622" t="s">
        <v>764</v>
      </c>
      <c r="AB622" t="s">
        <v>765</v>
      </c>
      <c r="AC622">
        <v>0</v>
      </c>
      <c r="AD622" t="s">
        <v>564</v>
      </c>
      <c r="AE622">
        <v>9083.2115360000007</v>
      </c>
      <c r="AF622">
        <v>6.524714E-3</v>
      </c>
      <c r="AG622" t="s">
        <v>560</v>
      </c>
      <c r="AH622">
        <v>1</v>
      </c>
      <c r="AI622">
        <v>1392124</v>
      </c>
      <c r="AJ622" t="s">
        <v>561</v>
      </c>
      <c r="AK622" t="s">
        <v>573</v>
      </c>
      <c r="AL622" t="s">
        <v>791</v>
      </c>
      <c r="AM622">
        <v>2021</v>
      </c>
      <c r="AN622">
        <v>2019</v>
      </c>
      <c r="AO622">
        <f>IF(AND(emissions[[#This Row],[Market-based]]=0,emissions[[#This Row],[Impact Type]]="CO2E"),emissions[[#This Row],[kgCO2e]],0)/1000</f>
        <v>0</v>
      </c>
      <c r="AP622">
        <f>IF(AND(emissions[[#This Row],[Market-based]]=1,OR(emissions[[#This Row],[Impact Type]]="CO2E",emissions[[#This Row],[Impact Type]]="CO2E MKT")),emissions[[#This Row],[kgCO2e]],0)/1000</f>
        <v>0</v>
      </c>
      <c r="AQ622" t="str">
        <f>_xlfn.TEXTAFTER(emissions[[#This Row],[Reporting Unit]]," &gt; ",LEN(emissions[[#This Row],[Reporting Unit]])-LEN(SUBSTITUTE(emissions[[#This Row],[Reporting Unit]],"&gt;","")))</f>
        <v>Vantage_Carnegie</v>
      </c>
      <c r="AR622" t="str">
        <f>_xlfn.XLOOKUP(emissions[[#This Row],[Reporting unit name]],hierarchy!$A:$A,hierarchy!$C:$C)</f>
        <v>Office</v>
      </c>
    </row>
    <row r="623" spans="1:44" hidden="1" x14ac:dyDescent="0.25">
      <c r="A623">
        <v>4943</v>
      </c>
      <c r="B623" t="s">
        <v>444</v>
      </c>
      <c r="C623" t="s">
        <v>501</v>
      </c>
      <c r="D623" t="s">
        <v>599</v>
      </c>
      <c r="E623" s="3">
        <v>44197</v>
      </c>
      <c r="F623" s="3">
        <v>44561</v>
      </c>
      <c r="G623" t="s">
        <v>108</v>
      </c>
      <c r="H623" s="3">
        <v>44197</v>
      </c>
      <c r="I623" s="3">
        <v>44561</v>
      </c>
      <c r="J623" t="s">
        <v>108</v>
      </c>
      <c r="K623">
        <v>1392124</v>
      </c>
      <c r="L623" t="s">
        <v>109</v>
      </c>
      <c r="M623" t="s">
        <v>110</v>
      </c>
      <c r="O623" t="s">
        <v>600</v>
      </c>
      <c r="P623" t="s">
        <v>550</v>
      </c>
      <c r="Q623">
        <v>2021</v>
      </c>
      <c r="R623" t="s">
        <v>567</v>
      </c>
      <c r="S623" t="s">
        <v>568</v>
      </c>
      <c r="T623" t="s">
        <v>569</v>
      </c>
      <c r="U623" t="b">
        <v>0</v>
      </c>
      <c r="V623" t="s">
        <v>771</v>
      </c>
      <c r="W623" t="s">
        <v>571</v>
      </c>
      <c r="X623" t="s">
        <v>572</v>
      </c>
      <c r="Y623" t="s">
        <v>472</v>
      </c>
      <c r="Z623" t="s">
        <v>485</v>
      </c>
      <c r="AA623" t="s">
        <v>764</v>
      </c>
      <c r="AB623" t="s">
        <v>765</v>
      </c>
      <c r="AC623">
        <v>0</v>
      </c>
      <c r="AD623" t="s">
        <v>565</v>
      </c>
      <c r="AE623">
        <v>9139.7604680000004</v>
      </c>
      <c r="AF623">
        <v>6.5653350000000003E-3</v>
      </c>
      <c r="AG623" t="s">
        <v>560</v>
      </c>
      <c r="AH623">
        <v>1</v>
      </c>
      <c r="AI623">
        <v>1392124</v>
      </c>
      <c r="AJ623" t="s">
        <v>561</v>
      </c>
      <c r="AK623" t="s">
        <v>573</v>
      </c>
      <c r="AL623" t="s">
        <v>791</v>
      </c>
      <c r="AM623">
        <v>2021</v>
      </c>
      <c r="AN623">
        <v>2019</v>
      </c>
      <c r="AO623">
        <f>IF(AND(emissions[[#This Row],[Market-based]]=0,emissions[[#This Row],[Impact Type]]="CO2E"),emissions[[#This Row],[kgCO2e]],0)/1000</f>
        <v>9.1397604680000004</v>
      </c>
      <c r="AP623">
        <f>IF(AND(emissions[[#This Row],[Market-based]]=1,OR(emissions[[#This Row],[Impact Type]]="CO2E",emissions[[#This Row],[Impact Type]]="CO2E MKT")),emissions[[#This Row],[kgCO2e]],0)/1000</f>
        <v>0</v>
      </c>
      <c r="AQ623" t="str">
        <f>_xlfn.TEXTAFTER(emissions[[#This Row],[Reporting Unit]]," &gt; ",LEN(emissions[[#This Row],[Reporting Unit]])-LEN(SUBSTITUTE(emissions[[#This Row],[Reporting Unit]],"&gt;","")))</f>
        <v>Vantage_Carnegie</v>
      </c>
      <c r="AR623" t="str">
        <f>_xlfn.XLOOKUP(emissions[[#This Row],[Reporting unit name]],hierarchy!$A:$A,hierarchy!$C:$C)</f>
        <v>Office</v>
      </c>
    </row>
    <row r="624" spans="1:44" hidden="1" x14ac:dyDescent="0.25">
      <c r="A624">
        <v>4943</v>
      </c>
      <c r="B624" t="s">
        <v>444</v>
      </c>
      <c r="C624" t="s">
        <v>501</v>
      </c>
      <c r="D624" t="s">
        <v>599</v>
      </c>
      <c r="E624" s="3">
        <v>44197</v>
      </c>
      <c r="F624" s="3">
        <v>44561</v>
      </c>
      <c r="G624" t="s">
        <v>108</v>
      </c>
      <c r="H624" s="3">
        <v>44197</v>
      </c>
      <c r="I624" s="3">
        <v>44561</v>
      </c>
      <c r="J624" t="s">
        <v>108</v>
      </c>
      <c r="K624">
        <v>1392124</v>
      </c>
      <c r="L624" t="s">
        <v>109</v>
      </c>
      <c r="M624" t="s">
        <v>110</v>
      </c>
      <c r="O624" t="s">
        <v>600</v>
      </c>
      <c r="P624" t="s">
        <v>550</v>
      </c>
      <c r="Q624">
        <v>2021</v>
      </c>
      <c r="R624" t="s">
        <v>567</v>
      </c>
      <c r="S624" t="s">
        <v>568</v>
      </c>
      <c r="T624" t="s">
        <v>569</v>
      </c>
      <c r="U624" t="b">
        <v>0</v>
      </c>
      <c r="V624" t="s">
        <v>771</v>
      </c>
      <c r="W624" t="s">
        <v>571</v>
      </c>
      <c r="X624" t="s">
        <v>572</v>
      </c>
      <c r="Y624" t="s">
        <v>472</v>
      </c>
      <c r="Z624" t="s">
        <v>485</v>
      </c>
      <c r="AA624" t="s">
        <v>764</v>
      </c>
      <c r="AB624" t="s">
        <v>765</v>
      </c>
      <c r="AC624">
        <v>0</v>
      </c>
      <c r="AD624" t="s">
        <v>566</v>
      </c>
      <c r="AE624">
        <v>35.493026020000002</v>
      </c>
      <c r="AF624" s="13">
        <v>2.54956E-5</v>
      </c>
      <c r="AG624" t="s">
        <v>560</v>
      </c>
      <c r="AH624">
        <v>1</v>
      </c>
      <c r="AI624">
        <v>1392124</v>
      </c>
      <c r="AJ624" t="s">
        <v>561</v>
      </c>
      <c r="AK624" t="s">
        <v>573</v>
      </c>
      <c r="AL624" t="s">
        <v>791</v>
      </c>
      <c r="AM624">
        <v>2021</v>
      </c>
      <c r="AN624">
        <v>2019</v>
      </c>
      <c r="AO624">
        <f>IF(AND(emissions[[#This Row],[Market-based]]=0,emissions[[#This Row],[Impact Type]]="CO2E"),emissions[[#This Row],[kgCO2e]],0)/1000</f>
        <v>0</v>
      </c>
      <c r="AP624">
        <f>IF(AND(emissions[[#This Row],[Market-based]]=1,OR(emissions[[#This Row],[Impact Type]]="CO2E",emissions[[#This Row],[Impact Type]]="CO2E MKT")),emissions[[#This Row],[kgCO2e]],0)/1000</f>
        <v>0</v>
      </c>
      <c r="AQ624" t="str">
        <f>_xlfn.TEXTAFTER(emissions[[#This Row],[Reporting Unit]]," &gt; ",LEN(emissions[[#This Row],[Reporting Unit]])-LEN(SUBSTITUTE(emissions[[#This Row],[Reporting Unit]],"&gt;","")))</f>
        <v>Vantage_Carnegie</v>
      </c>
      <c r="AR624" t="str">
        <f>_xlfn.XLOOKUP(emissions[[#This Row],[Reporting unit name]],hierarchy!$A:$A,hierarchy!$C:$C)</f>
        <v>Office</v>
      </c>
    </row>
    <row r="625" spans="1:44" hidden="1" x14ac:dyDescent="0.25">
      <c r="A625">
        <v>4943</v>
      </c>
      <c r="B625" t="s">
        <v>444</v>
      </c>
      <c r="C625" t="s">
        <v>501</v>
      </c>
      <c r="D625" t="s">
        <v>599</v>
      </c>
      <c r="E625" s="3">
        <v>44197</v>
      </c>
      <c r="F625" s="3">
        <v>44561</v>
      </c>
      <c r="G625" t="s">
        <v>108</v>
      </c>
      <c r="H625" s="3">
        <v>44197</v>
      </c>
      <c r="I625" s="3">
        <v>44561</v>
      </c>
      <c r="J625" t="s">
        <v>108</v>
      </c>
      <c r="K625">
        <v>1392124</v>
      </c>
      <c r="L625" t="s">
        <v>109</v>
      </c>
      <c r="M625" t="s">
        <v>110</v>
      </c>
      <c r="O625" t="s">
        <v>600</v>
      </c>
      <c r="P625" t="s">
        <v>550</v>
      </c>
      <c r="Q625">
        <v>2021</v>
      </c>
      <c r="R625" t="s">
        <v>567</v>
      </c>
      <c r="S625" t="s">
        <v>568</v>
      </c>
      <c r="T625" t="s">
        <v>569</v>
      </c>
      <c r="U625" t="b">
        <v>0</v>
      </c>
      <c r="V625" t="s">
        <v>771</v>
      </c>
      <c r="W625" t="s">
        <v>571</v>
      </c>
      <c r="X625" t="s">
        <v>572</v>
      </c>
      <c r="Y625" t="s">
        <v>472</v>
      </c>
      <c r="Z625" t="s">
        <v>485</v>
      </c>
      <c r="AA625" t="s">
        <v>764</v>
      </c>
      <c r="AB625" t="s">
        <v>765</v>
      </c>
      <c r="AC625">
        <v>1</v>
      </c>
      <c r="AD625" t="s">
        <v>639</v>
      </c>
      <c r="AE625">
        <v>9086.5379429999994</v>
      </c>
      <c r="AF625">
        <v>6.5271039999999997E-3</v>
      </c>
      <c r="AG625" t="s">
        <v>560</v>
      </c>
      <c r="AH625">
        <v>1</v>
      </c>
      <c r="AI625">
        <v>1392124</v>
      </c>
      <c r="AJ625" t="s">
        <v>561</v>
      </c>
      <c r="AK625" t="s">
        <v>573</v>
      </c>
      <c r="AL625" t="s">
        <v>772</v>
      </c>
      <c r="AM625">
        <v>2021</v>
      </c>
      <c r="AN625">
        <v>2019</v>
      </c>
      <c r="AO625">
        <f>IF(AND(emissions[[#This Row],[Market-based]]=0,emissions[[#This Row],[Impact Type]]="CO2E"),emissions[[#This Row],[kgCO2e]],0)/1000</f>
        <v>0</v>
      </c>
      <c r="AP625">
        <f>IF(AND(emissions[[#This Row],[Market-based]]=1,OR(emissions[[#This Row],[Impact Type]]="CO2E",emissions[[#This Row],[Impact Type]]="CO2E MKT")),emissions[[#This Row],[kgCO2e]],0)/1000</f>
        <v>9.0865379429999997</v>
      </c>
      <c r="AQ625" t="str">
        <f>_xlfn.TEXTAFTER(emissions[[#This Row],[Reporting Unit]]," &gt; ",LEN(emissions[[#This Row],[Reporting Unit]])-LEN(SUBSTITUTE(emissions[[#This Row],[Reporting Unit]],"&gt;","")))</f>
        <v>Vantage_Carnegie</v>
      </c>
      <c r="AR625" t="str">
        <f>_xlfn.XLOOKUP(emissions[[#This Row],[Reporting unit name]],hierarchy!$A:$A,hierarchy!$C:$C)</f>
        <v>Office</v>
      </c>
    </row>
    <row r="626" spans="1:44" hidden="1" x14ac:dyDescent="0.25">
      <c r="A626">
        <v>4943</v>
      </c>
      <c r="B626" t="s">
        <v>444</v>
      </c>
      <c r="C626" t="s">
        <v>501</v>
      </c>
      <c r="D626" t="s">
        <v>599</v>
      </c>
      <c r="E626" s="3">
        <v>44197</v>
      </c>
      <c r="F626" s="3">
        <v>44561</v>
      </c>
      <c r="G626" t="s">
        <v>108</v>
      </c>
      <c r="H626" s="3">
        <v>44197</v>
      </c>
      <c r="I626" s="3">
        <v>44561</v>
      </c>
      <c r="J626" t="s">
        <v>108</v>
      </c>
      <c r="K626">
        <v>1392124</v>
      </c>
      <c r="L626" t="s">
        <v>109</v>
      </c>
      <c r="M626" t="s">
        <v>110</v>
      </c>
      <c r="O626" t="s">
        <v>600</v>
      </c>
      <c r="P626" t="s">
        <v>550</v>
      </c>
      <c r="Q626">
        <v>2021</v>
      </c>
      <c r="R626" t="s">
        <v>575</v>
      </c>
      <c r="S626" t="s">
        <v>576</v>
      </c>
      <c r="T626" t="s">
        <v>577</v>
      </c>
      <c r="U626" t="b">
        <v>0</v>
      </c>
      <c r="V626" t="s">
        <v>774</v>
      </c>
      <c r="W626" t="s">
        <v>571</v>
      </c>
      <c r="X626" t="s">
        <v>572</v>
      </c>
      <c r="Y626" t="s">
        <v>472</v>
      </c>
      <c r="Z626" t="s">
        <v>485</v>
      </c>
      <c r="AA626" t="s">
        <v>764</v>
      </c>
      <c r="AB626" t="s">
        <v>765</v>
      </c>
      <c r="AC626">
        <v>0</v>
      </c>
      <c r="AD626" t="s">
        <v>558</v>
      </c>
      <c r="AE626">
        <v>412.86089989999999</v>
      </c>
      <c r="AF626">
        <v>2.96569E-4</v>
      </c>
      <c r="AG626" t="s">
        <v>560</v>
      </c>
      <c r="AH626">
        <v>1</v>
      </c>
      <c r="AI626">
        <v>1392124</v>
      </c>
      <c r="AJ626" t="s">
        <v>561</v>
      </c>
      <c r="AK626" t="s">
        <v>573</v>
      </c>
      <c r="AL626" t="s">
        <v>792</v>
      </c>
      <c r="AM626">
        <v>2021</v>
      </c>
      <c r="AN626">
        <v>2019</v>
      </c>
      <c r="AO626">
        <f>IF(AND(emissions[[#This Row],[Market-based]]=0,emissions[[#This Row],[Impact Type]]="CO2E"),emissions[[#This Row],[kgCO2e]],0)/1000</f>
        <v>0</v>
      </c>
      <c r="AP626">
        <f>IF(AND(emissions[[#This Row],[Market-based]]=1,OR(emissions[[#This Row],[Impact Type]]="CO2E",emissions[[#This Row],[Impact Type]]="CO2E MKT")),emissions[[#This Row],[kgCO2e]],0)/1000</f>
        <v>0</v>
      </c>
      <c r="AQ626" t="str">
        <f>_xlfn.TEXTAFTER(emissions[[#This Row],[Reporting Unit]]," &gt; ",LEN(emissions[[#This Row],[Reporting Unit]])-LEN(SUBSTITUTE(emissions[[#This Row],[Reporting Unit]],"&gt;","")))</f>
        <v>Vantage_Carnegie</v>
      </c>
      <c r="AR626" t="str">
        <f>_xlfn.XLOOKUP(emissions[[#This Row],[Reporting unit name]],hierarchy!$A:$A,hierarchy!$C:$C)</f>
        <v>Office</v>
      </c>
    </row>
    <row r="627" spans="1:44" hidden="1" x14ac:dyDescent="0.25">
      <c r="A627">
        <v>4943</v>
      </c>
      <c r="B627" t="s">
        <v>444</v>
      </c>
      <c r="C627" t="s">
        <v>501</v>
      </c>
      <c r="D627" t="s">
        <v>599</v>
      </c>
      <c r="E627" s="3">
        <v>44197</v>
      </c>
      <c r="F627" s="3">
        <v>44561</v>
      </c>
      <c r="G627" t="s">
        <v>108</v>
      </c>
      <c r="H627" s="3">
        <v>44197</v>
      </c>
      <c r="I627" s="3">
        <v>44561</v>
      </c>
      <c r="J627" t="s">
        <v>108</v>
      </c>
      <c r="K627">
        <v>1392124</v>
      </c>
      <c r="L627" t="s">
        <v>109</v>
      </c>
      <c r="M627" t="s">
        <v>110</v>
      </c>
      <c r="O627" t="s">
        <v>600</v>
      </c>
      <c r="P627" t="s">
        <v>550</v>
      </c>
      <c r="Q627">
        <v>2021</v>
      </c>
      <c r="R627" t="s">
        <v>575</v>
      </c>
      <c r="S627" t="s">
        <v>576</v>
      </c>
      <c r="T627" t="s">
        <v>577</v>
      </c>
      <c r="U627" t="b">
        <v>0</v>
      </c>
      <c r="V627" t="s">
        <v>774</v>
      </c>
      <c r="W627" t="s">
        <v>571</v>
      </c>
      <c r="X627" t="s">
        <v>572</v>
      </c>
      <c r="Y627" t="s">
        <v>472</v>
      </c>
      <c r="Z627" t="s">
        <v>485</v>
      </c>
      <c r="AA627" t="s">
        <v>764</v>
      </c>
      <c r="AB627" t="s">
        <v>765</v>
      </c>
      <c r="AC627">
        <v>0</v>
      </c>
      <c r="AD627" t="s">
        <v>564</v>
      </c>
      <c r="AE627">
        <v>178102.18700000001</v>
      </c>
      <c r="AF627">
        <v>0.12793557699999999</v>
      </c>
      <c r="AG627" t="s">
        <v>560</v>
      </c>
      <c r="AH627">
        <v>1</v>
      </c>
      <c r="AI627">
        <v>1392124</v>
      </c>
      <c r="AJ627" t="s">
        <v>561</v>
      </c>
      <c r="AK627" t="s">
        <v>573</v>
      </c>
      <c r="AL627" t="s">
        <v>792</v>
      </c>
      <c r="AM627">
        <v>2021</v>
      </c>
      <c r="AN627">
        <v>2019</v>
      </c>
      <c r="AO627">
        <f>IF(AND(emissions[[#This Row],[Market-based]]=0,emissions[[#This Row],[Impact Type]]="CO2E"),emissions[[#This Row],[kgCO2e]],0)/1000</f>
        <v>0</v>
      </c>
      <c r="AP627">
        <f>IF(AND(emissions[[#This Row],[Market-based]]=1,OR(emissions[[#This Row],[Impact Type]]="CO2E",emissions[[#This Row],[Impact Type]]="CO2E MKT")),emissions[[#This Row],[kgCO2e]],0)/1000</f>
        <v>0</v>
      </c>
      <c r="AQ627" t="str">
        <f>_xlfn.TEXTAFTER(emissions[[#This Row],[Reporting Unit]]," &gt; ",LEN(emissions[[#This Row],[Reporting Unit]])-LEN(SUBSTITUTE(emissions[[#This Row],[Reporting Unit]],"&gt;","")))</f>
        <v>Vantage_Carnegie</v>
      </c>
      <c r="AR627" t="str">
        <f>_xlfn.XLOOKUP(emissions[[#This Row],[Reporting unit name]],hierarchy!$A:$A,hierarchy!$C:$C)</f>
        <v>Office</v>
      </c>
    </row>
    <row r="628" spans="1:44" hidden="1" x14ac:dyDescent="0.25">
      <c r="A628">
        <v>4943</v>
      </c>
      <c r="B628" t="s">
        <v>444</v>
      </c>
      <c r="C628" t="s">
        <v>501</v>
      </c>
      <c r="D628" t="s">
        <v>599</v>
      </c>
      <c r="E628" s="3">
        <v>44197</v>
      </c>
      <c r="F628" s="3">
        <v>44561</v>
      </c>
      <c r="G628" t="s">
        <v>108</v>
      </c>
      <c r="H628" s="3">
        <v>44197</v>
      </c>
      <c r="I628" s="3">
        <v>44561</v>
      </c>
      <c r="J628" t="s">
        <v>108</v>
      </c>
      <c r="K628">
        <v>1392124</v>
      </c>
      <c r="L628" t="s">
        <v>109</v>
      </c>
      <c r="M628" t="s">
        <v>110</v>
      </c>
      <c r="O628" t="s">
        <v>600</v>
      </c>
      <c r="P628" t="s">
        <v>550</v>
      </c>
      <c r="Q628">
        <v>2021</v>
      </c>
      <c r="R628" t="s">
        <v>575</v>
      </c>
      <c r="S628" t="s">
        <v>576</v>
      </c>
      <c r="T628" t="s">
        <v>577</v>
      </c>
      <c r="U628" t="b">
        <v>0</v>
      </c>
      <c r="V628" t="s">
        <v>774</v>
      </c>
      <c r="W628" t="s">
        <v>571</v>
      </c>
      <c r="X628" t="s">
        <v>572</v>
      </c>
      <c r="Y628" t="s">
        <v>472</v>
      </c>
      <c r="Z628" t="s">
        <v>485</v>
      </c>
      <c r="AA628" t="s">
        <v>764</v>
      </c>
      <c r="AB628" t="s">
        <v>765</v>
      </c>
      <c r="AC628">
        <v>0</v>
      </c>
      <c r="AD628" t="s">
        <v>565</v>
      </c>
      <c r="AE628">
        <v>179210.9896</v>
      </c>
      <c r="AF628">
        <v>0.12873205900000001</v>
      </c>
      <c r="AG628" t="s">
        <v>560</v>
      </c>
      <c r="AH628">
        <v>1</v>
      </c>
      <c r="AI628">
        <v>1392124</v>
      </c>
      <c r="AJ628" t="s">
        <v>561</v>
      </c>
      <c r="AK628" t="s">
        <v>573</v>
      </c>
      <c r="AL628" t="s">
        <v>792</v>
      </c>
      <c r="AM628">
        <v>2021</v>
      </c>
      <c r="AN628">
        <v>2019</v>
      </c>
      <c r="AO628">
        <f>IF(AND(emissions[[#This Row],[Market-based]]=0,emissions[[#This Row],[Impact Type]]="CO2E"),emissions[[#This Row],[kgCO2e]],0)/1000</f>
        <v>179.2109896</v>
      </c>
      <c r="AP628">
        <f>IF(AND(emissions[[#This Row],[Market-based]]=1,OR(emissions[[#This Row],[Impact Type]]="CO2E",emissions[[#This Row],[Impact Type]]="CO2E MKT")),emissions[[#This Row],[kgCO2e]],0)/1000</f>
        <v>0</v>
      </c>
      <c r="AQ628" t="str">
        <f>_xlfn.TEXTAFTER(emissions[[#This Row],[Reporting Unit]]," &gt; ",LEN(emissions[[#This Row],[Reporting Unit]])-LEN(SUBSTITUTE(emissions[[#This Row],[Reporting Unit]],"&gt;","")))</f>
        <v>Vantage_Carnegie</v>
      </c>
      <c r="AR628" t="str">
        <f>_xlfn.XLOOKUP(emissions[[#This Row],[Reporting unit name]],hierarchy!$A:$A,hierarchy!$C:$C)</f>
        <v>Office</v>
      </c>
    </row>
    <row r="629" spans="1:44" hidden="1" x14ac:dyDescent="0.25">
      <c r="A629">
        <v>4943</v>
      </c>
      <c r="B629" t="s">
        <v>444</v>
      </c>
      <c r="C629" t="s">
        <v>501</v>
      </c>
      <c r="D629" t="s">
        <v>599</v>
      </c>
      <c r="E629" s="3">
        <v>44197</v>
      </c>
      <c r="F629" s="3">
        <v>44561</v>
      </c>
      <c r="G629" t="s">
        <v>108</v>
      </c>
      <c r="H629" s="3">
        <v>44197</v>
      </c>
      <c r="I629" s="3">
        <v>44561</v>
      </c>
      <c r="J629" t="s">
        <v>108</v>
      </c>
      <c r="K629">
        <v>1392124</v>
      </c>
      <c r="L629" t="s">
        <v>109</v>
      </c>
      <c r="M629" t="s">
        <v>110</v>
      </c>
      <c r="O629" t="s">
        <v>600</v>
      </c>
      <c r="P629" t="s">
        <v>550</v>
      </c>
      <c r="Q629">
        <v>2021</v>
      </c>
      <c r="R629" t="s">
        <v>575</v>
      </c>
      <c r="S629" t="s">
        <v>576</v>
      </c>
      <c r="T629" t="s">
        <v>577</v>
      </c>
      <c r="U629" t="b">
        <v>0</v>
      </c>
      <c r="V629" t="s">
        <v>774</v>
      </c>
      <c r="W629" t="s">
        <v>571</v>
      </c>
      <c r="X629" t="s">
        <v>572</v>
      </c>
      <c r="Y629" t="s">
        <v>472</v>
      </c>
      <c r="Z629" t="s">
        <v>485</v>
      </c>
      <c r="AA629" t="s">
        <v>764</v>
      </c>
      <c r="AB629" t="s">
        <v>765</v>
      </c>
      <c r="AC629">
        <v>0</v>
      </c>
      <c r="AD629" t="s">
        <v>566</v>
      </c>
      <c r="AE629">
        <v>695.94168660000003</v>
      </c>
      <c r="AF629">
        <v>4.9991399999999996E-4</v>
      </c>
      <c r="AG629" t="s">
        <v>560</v>
      </c>
      <c r="AH629">
        <v>1</v>
      </c>
      <c r="AI629">
        <v>1392124</v>
      </c>
      <c r="AJ629" t="s">
        <v>561</v>
      </c>
      <c r="AK629" t="s">
        <v>573</v>
      </c>
      <c r="AL629" t="s">
        <v>792</v>
      </c>
      <c r="AM629">
        <v>2021</v>
      </c>
      <c r="AN629">
        <v>2019</v>
      </c>
      <c r="AO629">
        <f>IF(AND(emissions[[#This Row],[Market-based]]=0,emissions[[#This Row],[Impact Type]]="CO2E"),emissions[[#This Row],[kgCO2e]],0)/1000</f>
        <v>0</v>
      </c>
      <c r="AP629">
        <f>IF(AND(emissions[[#This Row],[Market-based]]=1,OR(emissions[[#This Row],[Impact Type]]="CO2E",emissions[[#This Row],[Impact Type]]="CO2E MKT")),emissions[[#This Row],[kgCO2e]],0)/1000</f>
        <v>0</v>
      </c>
      <c r="AQ629" t="str">
        <f>_xlfn.TEXTAFTER(emissions[[#This Row],[Reporting Unit]]," &gt; ",LEN(emissions[[#This Row],[Reporting Unit]])-LEN(SUBSTITUTE(emissions[[#This Row],[Reporting Unit]],"&gt;","")))</f>
        <v>Vantage_Carnegie</v>
      </c>
      <c r="AR629" t="str">
        <f>_xlfn.XLOOKUP(emissions[[#This Row],[Reporting unit name]],hierarchy!$A:$A,hierarchy!$C:$C)</f>
        <v>Office</v>
      </c>
    </row>
    <row r="630" spans="1:44" hidden="1" x14ac:dyDescent="0.25">
      <c r="A630">
        <v>4943</v>
      </c>
      <c r="B630" t="s">
        <v>444</v>
      </c>
      <c r="C630" t="s">
        <v>501</v>
      </c>
      <c r="D630" t="s">
        <v>599</v>
      </c>
      <c r="E630" s="3">
        <v>44197</v>
      </c>
      <c r="F630" s="3">
        <v>44561</v>
      </c>
      <c r="G630" t="s">
        <v>108</v>
      </c>
      <c r="H630" s="3">
        <v>44197</v>
      </c>
      <c r="I630" s="3">
        <v>44561</v>
      </c>
      <c r="J630" t="s">
        <v>108</v>
      </c>
      <c r="K630">
        <v>1392124</v>
      </c>
      <c r="L630" t="s">
        <v>109</v>
      </c>
      <c r="M630" t="s">
        <v>110</v>
      </c>
      <c r="O630" t="s">
        <v>600</v>
      </c>
      <c r="P630" t="s">
        <v>550</v>
      </c>
      <c r="Q630">
        <v>2021</v>
      </c>
      <c r="R630" t="s">
        <v>575</v>
      </c>
      <c r="S630" t="s">
        <v>576</v>
      </c>
      <c r="T630" t="s">
        <v>577</v>
      </c>
      <c r="U630" t="b">
        <v>0</v>
      </c>
      <c r="V630" t="s">
        <v>774</v>
      </c>
      <c r="W630" t="s">
        <v>571</v>
      </c>
      <c r="X630" t="s">
        <v>572</v>
      </c>
      <c r="Y630" t="s">
        <v>472</v>
      </c>
      <c r="Z630" t="s">
        <v>485</v>
      </c>
      <c r="AA630" t="s">
        <v>764</v>
      </c>
      <c r="AB630" t="s">
        <v>765</v>
      </c>
      <c r="AC630">
        <v>1</v>
      </c>
      <c r="AD630" t="s">
        <v>639</v>
      </c>
      <c r="AE630">
        <v>178167.41070000001</v>
      </c>
      <c r="AF630">
        <v>0.12798242900000001</v>
      </c>
      <c r="AG630" t="s">
        <v>560</v>
      </c>
      <c r="AH630">
        <v>1</v>
      </c>
      <c r="AI630">
        <v>1392124</v>
      </c>
      <c r="AJ630" t="s">
        <v>561</v>
      </c>
      <c r="AK630" t="s">
        <v>573</v>
      </c>
      <c r="AL630" t="s">
        <v>775</v>
      </c>
      <c r="AM630">
        <v>2021</v>
      </c>
      <c r="AN630">
        <v>2019</v>
      </c>
      <c r="AO630">
        <f>IF(AND(emissions[[#This Row],[Market-based]]=0,emissions[[#This Row],[Impact Type]]="CO2E"),emissions[[#This Row],[kgCO2e]],0)/1000</f>
        <v>0</v>
      </c>
      <c r="AP630">
        <f>IF(AND(emissions[[#This Row],[Market-based]]=1,OR(emissions[[#This Row],[Impact Type]]="CO2E",emissions[[#This Row],[Impact Type]]="CO2E MKT")),emissions[[#This Row],[kgCO2e]],0)/1000</f>
        <v>178.1674107</v>
      </c>
      <c r="AQ630" t="str">
        <f>_xlfn.TEXTAFTER(emissions[[#This Row],[Reporting Unit]]," &gt; ",LEN(emissions[[#This Row],[Reporting Unit]])-LEN(SUBSTITUTE(emissions[[#This Row],[Reporting Unit]],"&gt;","")))</f>
        <v>Vantage_Carnegie</v>
      </c>
      <c r="AR630" t="str">
        <f>_xlfn.XLOOKUP(emissions[[#This Row],[Reporting unit name]],hierarchy!$A:$A,hierarchy!$C:$C)</f>
        <v>Office</v>
      </c>
    </row>
    <row r="631" spans="1:44" hidden="1" x14ac:dyDescent="0.25">
      <c r="A631">
        <v>4943</v>
      </c>
      <c r="B631" t="s">
        <v>444</v>
      </c>
      <c r="C631" t="s">
        <v>501</v>
      </c>
      <c r="D631" t="s">
        <v>599</v>
      </c>
      <c r="E631" s="3">
        <v>44197</v>
      </c>
      <c r="F631" s="3">
        <v>44561</v>
      </c>
      <c r="G631" t="s">
        <v>108</v>
      </c>
      <c r="H631" s="3">
        <v>44197</v>
      </c>
      <c r="I631" s="3">
        <v>44561</v>
      </c>
      <c r="J631" t="s">
        <v>108</v>
      </c>
      <c r="K631">
        <v>1392124</v>
      </c>
      <c r="L631" t="s">
        <v>109</v>
      </c>
      <c r="M631" t="s">
        <v>110</v>
      </c>
      <c r="O631" t="s">
        <v>600</v>
      </c>
      <c r="P631" t="s">
        <v>550</v>
      </c>
      <c r="Q631">
        <v>2021</v>
      </c>
      <c r="R631" t="s">
        <v>579</v>
      </c>
      <c r="S631" t="s">
        <v>580</v>
      </c>
      <c r="T631" t="s">
        <v>581</v>
      </c>
      <c r="U631" t="b">
        <v>0</v>
      </c>
      <c r="V631" t="s">
        <v>776</v>
      </c>
      <c r="W631" t="s">
        <v>571</v>
      </c>
      <c r="X631" t="s">
        <v>572</v>
      </c>
      <c r="Y631" t="s">
        <v>472</v>
      </c>
      <c r="Z631" t="s">
        <v>485</v>
      </c>
      <c r="AA631" t="s">
        <v>764</v>
      </c>
      <c r="AB631" t="s">
        <v>765</v>
      </c>
      <c r="AC631">
        <v>0</v>
      </c>
      <c r="AD631" t="s">
        <v>565</v>
      </c>
      <c r="AE631">
        <v>34597.914709999997</v>
      </c>
      <c r="AF631">
        <v>2.4852610000000001E-2</v>
      </c>
      <c r="AG631" t="s">
        <v>560</v>
      </c>
      <c r="AH631">
        <v>1</v>
      </c>
      <c r="AI631">
        <v>1392124</v>
      </c>
      <c r="AJ631" t="s">
        <v>561</v>
      </c>
      <c r="AK631" t="s">
        <v>766</v>
      </c>
      <c r="AL631" t="s">
        <v>790</v>
      </c>
      <c r="AM631">
        <v>2021</v>
      </c>
      <c r="AN631">
        <v>2019</v>
      </c>
      <c r="AO631">
        <f>IF(AND(emissions[[#This Row],[Market-based]]=0,emissions[[#This Row],[Impact Type]]="CO2E"),emissions[[#This Row],[kgCO2e]],0)/1000</f>
        <v>34.597914709999998</v>
      </c>
      <c r="AP631">
        <f>IF(AND(emissions[[#This Row],[Market-based]]=1,OR(emissions[[#This Row],[Impact Type]]="CO2E",emissions[[#This Row],[Impact Type]]="CO2E MKT")),emissions[[#This Row],[kgCO2e]],0)/1000</f>
        <v>0</v>
      </c>
      <c r="AQ631" t="str">
        <f>_xlfn.TEXTAFTER(emissions[[#This Row],[Reporting Unit]]," &gt; ",LEN(emissions[[#This Row],[Reporting Unit]])-LEN(SUBSTITUTE(emissions[[#This Row],[Reporting Unit]],"&gt;","")))</f>
        <v>Vantage_Carnegie</v>
      </c>
      <c r="AR631" t="str">
        <f>_xlfn.XLOOKUP(emissions[[#This Row],[Reporting unit name]],hierarchy!$A:$A,hierarchy!$C:$C)</f>
        <v>Office</v>
      </c>
    </row>
    <row r="632" spans="1:44" hidden="1" x14ac:dyDescent="0.25">
      <c r="A632">
        <v>4943</v>
      </c>
      <c r="B632" t="s">
        <v>444</v>
      </c>
      <c r="C632" t="s">
        <v>501</v>
      </c>
      <c r="D632" t="s">
        <v>599</v>
      </c>
      <c r="E632" s="3">
        <v>44197</v>
      </c>
      <c r="F632" s="3">
        <v>44561</v>
      </c>
      <c r="G632" t="s">
        <v>108</v>
      </c>
      <c r="H632" s="3">
        <v>44197</v>
      </c>
      <c r="I632" s="3">
        <v>44561</v>
      </c>
      <c r="J632" t="s">
        <v>108</v>
      </c>
      <c r="K632">
        <v>1392124</v>
      </c>
      <c r="L632" t="s">
        <v>109</v>
      </c>
      <c r="M632" t="s">
        <v>110</v>
      </c>
      <c r="O632" t="s">
        <v>600</v>
      </c>
      <c r="P632" t="s">
        <v>550</v>
      </c>
      <c r="Q632">
        <v>2021</v>
      </c>
      <c r="R632" t="s">
        <v>579</v>
      </c>
      <c r="S632" t="s">
        <v>580</v>
      </c>
      <c r="T632" t="s">
        <v>581</v>
      </c>
      <c r="U632" t="b">
        <v>0</v>
      </c>
      <c r="V632" t="s">
        <v>777</v>
      </c>
      <c r="W632" t="s">
        <v>571</v>
      </c>
      <c r="X632" t="s">
        <v>572</v>
      </c>
      <c r="Y632" t="s">
        <v>472</v>
      </c>
      <c r="Z632" t="s">
        <v>485</v>
      </c>
      <c r="AA632" t="s">
        <v>764</v>
      </c>
      <c r="AB632" t="s">
        <v>765</v>
      </c>
      <c r="AC632">
        <v>1</v>
      </c>
      <c r="AD632" t="s">
        <v>639</v>
      </c>
      <c r="AE632">
        <v>34396.444620000002</v>
      </c>
      <c r="AF632">
        <v>2.4707889E-2</v>
      </c>
      <c r="AG632" t="s">
        <v>560</v>
      </c>
      <c r="AH632">
        <v>1</v>
      </c>
      <c r="AI632">
        <v>1392124</v>
      </c>
      <c r="AJ632" t="s">
        <v>561</v>
      </c>
      <c r="AK632" t="s">
        <v>573</v>
      </c>
      <c r="AL632" t="s">
        <v>778</v>
      </c>
      <c r="AM632">
        <v>2021</v>
      </c>
      <c r="AN632">
        <v>2019</v>
      </c>
      <c r="AO632">
        <f>IF(AND(emissions[[#This Row],[Market-based]]=0,emissions[[#This Row],[Impact Type]]="CO2E"),emissions[[#This Row],[kgCO2e]],0)/1000</f>
        <v>0</v>
      </c>
      <c r="AP632">
        <f>IF(AND(emissions[[#This Row],[Market-based]]=1,OR(emissions[[#This Row],[Impact Type]]="CO2E",emissions[[#This Row],[Impact Type]]="CO2E MKT")),emissions[[#This Row],[kgCO2e]],0)/1000</f>
        <v>34.396444620000004</v>
      </c>
      <c r="AQ632" t="str">
        <f>_xlfn.TEXTAFTER(emissions[[#This Row],[Reporting Unit]]," &gt; ",LEN(emissions[[#This Row],[Reporting Unit]])-LEN(SUBSTITUTE(emissions[[#This Row],[Reporting Unit]],"&gt;","")))</f>
        <v>Vantage_Carnegie</v>
      </c>
      <c r="AR632" t="str">
        <f>_xlfn.XLOOKUP(emissions[[#This Row],[Reporting unit name]],hierarchy!$A:$A,hierarchy!$C:$C)</f>
        <v>Office</v>
      </c>
    </row>
    <row r="633" spans="1:44" hidden="1" x14ac:dyDescent="0.25">
      <c r="A633">
        <v>4970</v>
      </c>
      <c r="B633" t="s">
        <v>444</v>
      </c>
      <c r="C633" t="s">
        <v>501</v>
      </c>
      <c r="D633" t="s">
        <v>599</v>
      </c>
      <c r="E633" s="3">
        <v>44197</v>
      </c>
      <c r="F633" s="3">
        <v>44561</v>
      </c>
      <c r="G633" t="s">
        <v>135</v>
      </c>
      <c r="H633" s="3">
        <v>44197</v>
      </c>
      <c r="I633" s="3">
        <v>44561</v>
      </c>
      <c r="J633" t="s">
        <v>135</v>
      </c>
      <c r="K633">
        <v>22490600</v>
      </c>
      <c r="L633" t="s">
        <v>160</v>
      </c>
      <c r="M633" t="s">
        <v>110</v>
      </c>
      <c r="O633" t="s">
        <v>600</v>
      </c>
      <c r="P633" t="s">
        <v>550</v>
      </c>
      <c r="Q633">
        <v>2021</v>
      </c>
      <c r="R633" t="s">
        <v>605</v>
      </c>
      <c r="S633" t="s">
        <v>606</v>
      </c>
      <c r="T633" t="s">
        <v>553</v>
      </c>
      <c r="U633" t="b">
        <v>0</v>
      </c>
      <c r="V633" t="s">
        <v>781</v>
      </c>
      <c r="W633" t="s">
        <v>587</v>
      </c>
      <c r="X633" t="s">
        <v>556</v>
      </c>
      <c r="Y633" t="s">
        <v>472</v>
      </c>
      <c r="Z633" t="s">
        <v>485</v>
      </c>
      <c r="AA633" t="s">
        <v>764</v>
      </c>
      <c r="AC633">
        <v>0</v>
      </c>
      <c r="AD633" t="s">
        <v>558</v>
      </c>
      <c r="AE633">
        <v>579.13295000000005</v>
      </c>
      <c r="AF633">
        <v>2.5749999999999999E-5</v>
      </c>
      <c r="AG633" t="s">
        <v>782</v>
      </c>
      <c r="AH633">
        <v>1</v>
      </c>
      <c r="AI633">
        <v>22490600</v>
      </c>
      <c r="AJ633" t="s">
        <v>561</v>
      </c>
      <c r="AK633" t="s">
        <v>766</v>
      </c>
      <c r="AL633" t="s">
        <v>787</v>
      </c>
      <c r="AM633">
        <v>2021</v>
      </c>
      <c r="AN633">
        <v>2020</v>
      </c>
      <c r="AO633">
        <f>IF(AND(emissions[[#This Row],[Market-based]]=0,emissions[[#This Row],[Impact Type]]="CO2E"),emissions[[#This Row],[kgCO2e]],0)/1000</f>
        <v>0</v>
      </c>
      <c r="AP633">
        <f>IF(AND(emissions[[#This Row],[Market-based]]=1,OR(emissions[[#This Row],[Impact Type]]="CO2E",emissions[[#This Row],[Impact Type]]="CO2E MKT")),emissions[[#This Row],[kgCO2e]],0)/1000</f>
        <v>0</v>
      </c>
      <c r="AQ633" t="str">
        <f>_xlfn.TEXTAFTER(emissions[[#This Row],[Reporting Unit]]," &gt; ",LEN(emissions[[#This Row],[Reporting Unit]])-LEN(SUBSTITUTE(emissions[[#This Row],[Reporting Unit]],"&gt;","")))</f>
        <v>Vantage_Carnegie</v>
      </c>
      <c r="AR633" t="str">
        <f>_xlfn.XLOOKUP(emissions[[#This Row],[Reporting unit name]],hierarchy!$A:$A,hierarchy!$C:$C)</f>
        <v>Office</v>
      </c>
    </row>
    <row r="634" spans="1:44" hidden="1" x14ac:dyDescent="0.25">
      <c r="A634">
        <v>4970</v>
      </c>
      <c r="B634" t="s">
        <v>444</v>
      </c>
      <c r="C634" t="s">
        <v>501</v>
      </c>
      <c r="D634" t="s">
        <v>599</v>
      </c>
      <c r="E634" s="3">
        <v>44197</v>
      </c>
      <c r="F634" s="3">
        <v>44561</v>
      </c>
      <c r="G634" t="s">
        <v>135</v>
      </c>
      <c r="H634" s="3">
        <v>44197</v>
      </c>
      <c r="I634" s="3">
        <v>44561</v>
      </c>
      <c r="J634" t="s">
        <v>135</v>
      </c>
      <c r="K634">
        <v>22490600</v>
      </c>
      <c r="L634" t="s">
        <v>160</v>
      </c>
      <c r="M634" t="s">
        <v>110</v>
      </c>
      <c r="O634" t="s">
        <v>600</v>
      </c>
      <c r="P634" t="s">
        <v>550</v>
      </c>
      <c r="Q634">
        <v>2021</v>
      </c>
      <c r="R634" t="s">
        <v>605</v>
      </c>
      <c r="S634" t="s">
        <v>606</v>
      </c>
      <c r="T634" t="s">
        <v>553</v>
      </c>
      <c r="U634" t="b">
        <v>0</v>
      </c>
      <c r="V634" t="s">
        <v>781</v>
      </c>
      <c r="W634" t="s">
        <v>587</v>
      </c>
      <c r="X634" t="s">
        <v>556</v>
      </c>
      <c r="Y634" t="s">
        <v>472</v>
      </c>
      <c r="Z634" t="s">
        <v>485</v>
      </c>
      <c r="AA634" t="s">
        <v>764</v>
      </c>
      <c r="AC634">
        <v>0</v>
      </c>
      <c r="AD634" t="s">
        <v>564</v>
      </c>
      <c r="AE634">
        <v>1224388.264</v>
      </c>
      <c r="AF634">
        <v>5.4440000000000002E-2</v>
      </c>
      <c r="AG634" t="s">
        <v>782</v>
      </c>
      <c r="AH634">
        <v>1</v>
      </c>
      <c r="AI634">
        <v>22490600</v>
      </c>
      <c r="AJ634" t="s">
        <v>561</v>
      </c>
      <c r="AK634" t="s">
        <v>766</v>
      </c>
      <c r="AL634" t="s">
        <v>790</v>
      </c>
      <c r="AM634">
        <v>2021</v>
      </c>
      <c r="AN634">
        <v>2021</v>
      </c>
      <c r="AO634">
        <f>IF(AND(emissions[[#This Row],[Market-based]]=0,emissions[[#This Row],[Impact Type]]="CO2E"),emissions[[#This Row],[kgCO2e]],0)/1000</f>
        <v>0</v>
      </c>
      <c r="AP634">
        <f>IF(AND(emissions[[#This Row],[Market-based]]=1,OR(emissions[[#This Row],[Impact Type]]="CO2E",emissions[[#This Row],[Impact Type]]="CO2E MKT")),emissions[[#This Row],[kgCO2e]],0)/1000</f>
        <v>0</v>
      </c>
      <c r="AQ634" t="str">
        <f>_xlfn.TEXTAFTER(emissions[[#This Row],[Reporting Unit]]," &gt; ",LEN(emissions[[#This Row],[Reporting Unit]])-LEN(SUBSTITUTE(emissions[[#This Row],[Reporting Unit]],"&gt;","")))</f>
        <v>Vantage_Carnegie</v>
      </c>
      <c r="AR634" t="str">
        <f>_xlfn.XLOOKUP(emissions[[#This Row],[Reporting unit name]],hierarchy!$A:$A,hierarchy!$C:$C)</f>
        <v>Office</v>
      </c>
    </row>
    <row r="635" spans="1:44" hidden="1" x14ac:dyDescent="0.25">
      <c r="A635">
        <v>4970</v>
      </c>
      <c r="B635" t="s">
        <v>444</v>
      </c>
      <c r="C635" t="s">
        <v>501</v>
      </c>
      <c r="D635" t="s">
        <v>599</v>
      </c>
      <c r="E635" s="3">
        <v>44197</v>
      </c>
      <c r="F635" s="3">
        <v>44561</v>
      </c>
      <c r="G635" t="s">
        <v>135</v>
      </c>
      <c r="H635" s="3">
        <v>44197</v>
      </c>
      <c r="I635" s="3">
        <v>44561</v>
      </c>
      <c r="J635" t="s">
        <v>135</v>
      </c>
      <c r="K635">
        <v>22490600</v>
      </c>
      <c r="L635" t="s">
        <v>160</v>
      </c>
      <c r="M635" t="s">
        <v>110</v>
      </c>
      <c r="O635" t="s">
        <v>600</v>
      </c>
      <c r="P635" t="s">
        <v>550</v>
      </c>
      <c r="Q635">
        <v>2021</v>
      </c>
      <c r="R635" t="s">
        <v>605</v>
      </c>
      <c r="S635" t="s">
        <v>606</v>
      </c>
      <c r="T635" t="s">
        <v>553</v>
      </c>
      <c r="U635" t="b">
        <v>0</v>
      </c>
      <c r="V635" t="s">
        <v>781</v>
      </c>
      <c r="W635" t="s">
        <v>587</v>
      </c>
      <c r="X635" t="s">
        <v>556</v>
      </c>
      <c r="Y635" t="s">
        <v>472</v>
      </c>
      <c r="Z635" t="s">
        <v>485</v>
      </c>
      <c r="AA635" t="s">
        <v>764</v>
      </c>
      <c r="AC635">
        <v>0</v>
      </c>
      <c r="AD635" t="s">
        <v>565</v>
      </c>
      <c r="AE635">
        <v>1225637.6170000001</v>
      </c>
      <c r="AF635">
        <v>5.4495549999999997E-2</v>
      </c>
      <c r="AG635" t="s">
        <v>782</v>
      </c>
      <c r="AH635">
        <v>1</v>
      </c>
      <c r="AI635">
        <v>22490600</v>
      </c>
      <c r="AJ635" t="s">
        <v>561</v>
      </c>
      <c r="AK635" t="s">
        <v>766</v>
      </c>
      <c r="AL635" t="s">
        <v>787</v>
      </c>
      <c r="AM635">
        <v>2021</v>
      </c>
      <c r="AN635">
        <v>2020</v>
      </c>
      <c r="AO635">
        <f>IF(AND(emissions[[#This Row],[Market-based]]=0,emissions[[#This Row],[Impact Type]]="CO2E"),emissions[[#This Row],[kgCO2e]],0)/1000</f>
        <v>1225.6376170000001</v>
      </c>
      <c r="AP635">
        <f>IF(AND(emissions[[#This Row],[Market-based]]=1,OR(emissions[[#This Row],[Impact Type]]="CO2E",emissions[[#This Row],[Impact Type]]="CO2E MKT")),emissions[[#This Row],[kgCO2e]],0)/1000</f>
        <v>0</v>
      </c>
      <c r="AQ635" t="str">
        <f>_xlfn.TEXTAFTER(emissions[[#This Row],[Reporting Unit]]," &gt; ",LEN(emissions[[#This Row],[Reporting Unit]])-LEN(SUBSTITUTE(emissions[[#This Row],[Reporting Unit]],"&gt;","")))</f>
        <v>Vantage_Carnegie</v>
      </c>
      <c r="AR635" t="str">
        <f>_xlfn.XLOOKUP(emissions[[#This Row],[Reporting unit name]],hierarchy!$A:$A,hierarchy!$C:$C)</f>
        <v>Office</v>
      </c>
    </row>
    <row r="636" spans="1:44" hidden="1" x14ac:dyDescent="0.25">
      <c r="A636">
        <v>4970</v>
      </c>
      <c r="B636" t="s">
        <v>444</v>
      </c>
      <c r="C636" t="s">
        <v>501</v>
      </c>
      <c r="D636" t="s">
        <v>599</v>
      </c>
      <c r="E636" s="3">
        <v>44197</v>
      </c>
      <c r="F636" s="3">
        <v>44561</v>
      </c>
      <c r="G636" t="s">
        <v>135</v>
      </c>
      <c r="H636" s="3">
        <v>44197</v>
      </c>
      <c r="I636" s="3">
        <v>44561</v>
      </c>
      <c r="J636" t="s">
        <v>135</v>
      </c>
      <c r="K636">
        <v>22490600</v>
      </c>
      <c r="L636" t="s">
        <v>160</v>
      </c>
      <c r="M636" t="s">
        <v>110</v>
      </c>
      <c r="O636" t="s">
        <v>600</v>
      </c>
      <c r="P636" t="s">
        <v>550</v>
      </c>
      <c r="Q636">
        <v>2021</v>
      </c>
      <c r="R636" t="s">
        <v>605</v>
      </c>
      <c r="S636" t="s">
        <v>606</v>
      </c>
      <c r="T636" t="s">
        <v>553</v>
      </c>
      <c r="U636" t="b">
        <v>0</v>
      </c>
      <c r="V636" t="s">
        <v>781</v>
      </c>
      <c r="W636" t="s">
        <v>587</v>
      </c>
      <c r="X636" t="s">
        <v>556</v>
      </c>
      <c r="Y636" t="s">
        <v>472</v>
      </c>
      <c r="Z636" t="s">
        <v>485</v>
      </c>
      <c r="AA636" t="s">
        <v>764</v>
      </c>
      <c r="AC636">
        <v>0</v>
      </c>
      <c r="AD636" t="s">
        <v>566</v>
      </c>
      <c r="AE636">
        <v>670.21987999999999</v>
      </c>
      <c r="AF636">
        <v>2.9799999999999999E-5</v>
      </c>
      <c r="AG636" t="s">
        <v>782</v>
      </c>
      <c r="AH636">
        <v>1</v>
      </c>
      <c r="AI636">
        <v>22490600</v>
      </c>
      <c r="AJ636" t="s">
        <v>561</v>
      </c>
      <c r="AK636" t="s">
        <v>766</v>
      </c>
      <c r="AL636" t="s">
        <v>790</v>
      </c>
      <c r="AM636">
        <v>2021</v>
      </c>
      <c r="AN636">
        <v>2021</v>
      </c>
      <c r="AO636">
        <f>IF(AND(emissions[[#This Row],[Market-based]]=0,emissions[[#This Row],[Impact Type]]="CO2E"),emissions[[#This Row],[kgCO2e]],0)/1000</f>
        <v>0</v>
      </c>
      <c r="AP636">
        <f>IF(AND(emissions[[#This Row],[Market-based]]=1,OR(emissions[[#This Row],[Impact Type]]="CO2E",emissions[[#This Row],[Impact Type]]="CO2E MKT")),emissions[[#This Row],[kgCO2e]],0)/1000</f>
        <v>0</v>
      </c>
      <c r="AQ636" t="str">
        <f>_xlfn.TEXTAFTER(emissions[[#This Row],[Reporting Unit]]," &gt; ",LEN(emissions[[#This Row],[Reporting Unit]])-LEN(SUBSTITUTE(emissions[[#This Row],[Reporting Unit]],"&gt;","")))</f>
        <v>Vantage_Carnegie</v>
      </c>
      <c r="AR636" t="str">
        <f>_xlfn.XLOOKUP(emissions[[#This Row],[Reporting unit name]],hierarchy!$A:$A,hierarchy!$C:$C)</f>
        <v>Office</v>
      </c>
    </row>
    <row r="637" spans="1:44" hidden="1" x14ac:dyDescent="0.25">
      <c r="A637">
        <v>4970</v>
      </c>
      <c r="B637" t="s">
        <v>444</v>
      </c>
      <c r="C637" t="s">
        <v>501</v>
      </c>
      <c r="D637" t="s">
        <v>599</v>
      </c>
      <c r="E637" s="3">
        <v>44197</v>
      </c>
      <c r="F637" s="3">
        <v>44561</v>
      </c>
      <c r="G637" t="s">
        <v>135</v>
      </c>
      <c r="H637" s="3">
        <v>44197</v>
      </c>
      <c r="I637" s="3">
        <v>44561</v>
      </c>
      <c r="J637" t="s">
        <v>135</v>
      </c>
      <c r="K637">
        <v>22490600</v>
      </c>
      <c r="L637" t="s">
        <v>160</v>
      </c>
      <c r="M637" t="s">
        <v>110</v>
      </c>
      <c r="O637" t="s">
        <v>600</v>
      </c>
      <c r="P637" t="s">
        <v>550</v>
      </c>
      <c r="Q637">
        <v>2021</v>
      </c>
      <c r="R637" t="s">
        <v>605</v>
      </c>
      <c r="S637" t="s">
        <v>606</v>
      </c>
      <c r="T637" t="s">
        <v>553</v>
      </c>
      <c r="U637" t="b">
        <v>0</v>
      </c>
      <c r="V637" t="s">
        <v>781</v>
      </c>
      <c r="W637" t="s">
        <v>587</v>
      </c>
      <c r="X637" t="s">
        <v>556</v>
      </c>
      <c r="Y637" t="s">
        <v>472</v>
      </c>
      <c r="Z637" t="s">
        <v>485</v>
      </c>
      <c r="AA637" t="s">
        <v>764</v>
      </c>
      <c r="AC637">
        <v>1</v>
      </c>
      <c r="AD637" t="s">
        <v>558</v>
      </c>
      <c r="AE637">
        <v>579.13295000000005</v>
      </c>
      <c r="AF637">
        <v>2.5749999999999999E-5</v>
      </c>
      <c r="AG637" t="s">
        <v>782</v>
      </c>
      <c r="AH637">
        <v>1</v>
      </c>
      <c r="AI637">
        <v>22490600</v>
      </c>
      <c r="AJ637" t="s">
        <v>561</v>
      </c>
      <c r="AK637" t="s">
        <v>766</v>
      </c>
      <c r="AL637" t="s">
        <v>787</v>
      </c>
      <c r="AM637">
        <v>2021</v>
      </c>
      <c r="AN637">
        <v>2020</v>
      </c>
      <c r="AO637">
        <f>IF(AND(emissions[[#This Row],[Market-based]]=0,emissions[[#This Row],[Impact Type]]="CO2E"),emissions[[#This Row],[kgCO2e]],0)/1000</f>
        <v>0</v>
      </c>
      <c r="AP637">
        <f>IF(AND(emissions[[#This Row],[Market-based]]=1,OR(emissions[[#This Row],[Impact Type]]="CO2E",emissions[[#This Row],[Impact Type]]="CO2E MKT")),emissions[[#This Row],[kgCO2e]],0)/1000</f>
        <v>0</v>
      </c>
      <c r="AQ637" t="str">
        <f>_xlfn.TEXTAFTER(emissions[[#This Row],[Reporting Unit]]," &gt; ",LEN(emissions[[#This Row],[Reporting Unit]])-LEN(SUBSTITUTE(emissions[[#This Row],[Reporting Unit]],"&gt;","")))</f>
        <v>Vantage_Carnegie</v>
      </c>
      <c r="AR637" t="str">
        <f>_xlfn.XLOOKUP(emissions[[#This Row],[Reporting unit name]],hierarchy!$A:$A,hierarchy!$C:$C)</f>
        <v>Office</v>
      </c>
    </row>
    <row r="638" spans="1:44" hidden="1" x14ac:dyDescent="0.25">
      <c r="A638">
        <v>4970</v>
      </c>
      <c r="B638" t="s">
        <v>444</v>
      </c>
      <c r="C638" t="s">
        <v>501</v>
      </c>
      <c r="D638" t="s">
        <v>599</v>
      </c>
      <c r="E638" s="3">
        <v>44197</v>
      </c>
      <c r="F638" s="3">
        <v>44561</v>
      </c>
      <c r="G638" t="s">
        <v>135</v>
      </c>
      <c r="H638" s="3">
        <v>44197</v>
      </c>
      <c r="I638" s="3">
        <v>44561</v>
      </c>
      <c r="J638" t="s">
        <v>135</v>
      </c>
      <c r="K638">
        <v>22490600</v>
      </c>
      <c r="L638" t="s">
        <v>160</v>
      </c>
      <c r="M638" t="s">
        <v>110</v>
      </c>
      <c r="O638" t="s">
        <v>600</v>
      </c>
      <c r="P638" t="s">
        <v>550</v>
      </c>
      <c r="Q638">
        <v>2021</v>
      </c>
      <c r="R638" t="s">
        <v>605</v>
      </c>
      <c r="S638" t="s">
        <v>606</v>
      </c>
      <c r="T638" t="s">
        <v>553</v>
      </c>
      <c r="U638" t="b">
        <v>0</v>
      </c>
      <c r="V638" t="s">
        <v>781</v>
      </c>
      <c r="W638" t="s">
        <v>587</v>
      </c>
      <c r="X638" t="s">
        <v>556</v>
      </c>
      <c r="Y638" t="s">
        <v>472</v>
      </c>
      <c r="Z638" t="s">
        <v>485</v>
      </c>
      <c r="AA638" t="s">
        <v>764</v>
      </c>
      <c r="AC638">
        <v>1</v>
      </c>
      <c r="AD638" t="s">
        <v>564</v>
      </c>
      <c r="AE638">
        <v>1224388.264</v>
      </c>
      <c r="AF638">
        <v>5.4440000000000002E-2</v>
      </c>
      <c r="AG638" t="s">
        <v>782</v>
      </c>
      <c r="AH638">
        <v>1</v>
      </c>
      <c r="AI638">
        <v>22490600</v>
      </c>
      <c r="AJ638" t="s">
        <v>561</v>
      </c>
      <c r="AK638" t="s">
        <v>766</v>
      </c>
      <c r="AL638" t="s">
        <v>790</v>
      </c>
      <c r="AM638">
        <v>2021</v>
      </c>
      <c r="AN638">
        <v>2021</v>
      </c>
      <c r="AO638">
        <f>IF(AND(emissions[[#This Row],[Market-based]]=0,emissions[[#This Row],[Impact Type]]="CO2E"),emissions[[#This Row],[kgCO2e]],0)/1000</f>
        <v>0</v>
      </c>
      <c r="AP638">
        <f>IF(AND(emissions[[#This Row],[Market-based]]=1,OR(emissions[[#This Row],[Impact Type]]="CO2E",emissions[[#This Row],[Impact Type]]="CO2E MKT")),emissions[[#This Row],[kgCO2e]],0)/1000</f>
        <v>0</v>
      </c>
      <c r="AQ638" t="str">
        <f>_xlfn.TEXTAFTER(emissions[[#This Row],[Reporting Unit]]," &gt; ",LEN(emissions[[#This Row],[Reporting Unit]])-LEN(SUBSTITUTE(emissions[[#This Row],[Reporting Unit]],"&gt;","")))</f>
        <v>Vantage_Carnegie</v>
      </c>
      <c r="AR638" t="str">
        <f>_xlfn.XLOOKUP(emissions[[#This Row],[Reporting unit name]],hierarchy!$A:$A,hierarchy!$C:$C)</f>
        <v>Office</v>
      </c>
    </row>
    <row r="639" spans="1:44" hidden="1" x14ac:dyDescent="0.25">
      <c r="A639">
        <v>4970</v>
      </c>
      <c r="B639" t="s">
        <v>444</v>
      </c>
      <c r="C639" t="s">
        <v>501</v>
      </c>
      <c r="D639" t="s">
        <v>599</v>
      </c>
      <c r="E639" s="3">
        <v>44197</v>
      </c>
      <c r="F639" s="3">
        <v>44561</v>
      </c>
      <c r="G639" t="s">
        <v>135</v>
      </c>
      <c r="H639" s="3">
        <v>44197</v>
      </c>
      <c r="I639" s="3">
        <v>44561</v>
      </c>
      <c r="J639" t="s">
        <v>135</v>
      </c>
      <c r="K639">
        <v>22490600</v>
      </c>
      <c r="L639" t="s">
        <v>160</v>
      </c>
      <c r="M639" t="s">
        <v>110</v>
      </c>
      <c r="O639" t="s">
        <v>600</v>
      </c>
      <c r="P639" t="s">
        <v>550</v>
      </c>
      <c r="Q639">
        <v>2021</v>
      </c>
      <c r="R639" t="s">
        <v>605</v>
      </c>
      <c r="S639" t="s">
        <v>606</v>
      </c>
      <c r="T639" t="s">
        <v>553</v>
      </c>
      <c r="U639" t="b">
        <v>0</v>
      </c>
      <c r="V639" t="s">
        <v>781</v>
      </c>
      <c r="W639" t="s">
        <v>587</v>
      </c>
      <c r="X639" t="s">
        <v>556</v>
      </c>
      <c r="Y639" t="s">
        <v>472</v>
      </c>
      <c r="Z639" t="s">
        <v>485</v>
      </c>
      <c r="AA639" t="s">
        <v>764</v>
      </c>
      <c r="AC639">
        <v>1</v>
      </c>
      <c r="AD639" t="s">
        <v>565</v>
      </c>
      <c r="AE639">
        <v>1225637.6170000001</v>
      </c>
      <c r="AF639">
        <v>5.4495549999999997E-2</v>
      </c>
      <c r="AG639" t="s">
        <v>782</v>
      </c>
      <c r="AH639">
        <v>1</v>
      </c>
      <c r="AI639">
        <v>22490600</v>
      </c>
      <c r="AJ639" t="s">
        <v>561</v>
      </c>
      <c r="AK639" t="s">
        <v>766</v>
      </c>
      <c r="AL639" t="s">
        <v>787</v>
      </c>
      <c r="AM639">
        <v>2021</v>
      </c>
      <c r="AN639">
        <v>2020</v>
      </c>
      <c r="AO639">
        <f>IF(AND(emissions[[#This Row],[Market-based]]=0,emissions[[#This Row],[Impact Type]]="CO2E"),emissions[[#This Row],[kgCO2e]],0)/1000</f>
        <v>0</v>
      </c>
      <c r="AP639">
        <f>IF(AND(emissions[[#This Row],[Market-based]]=1,OR(emissions[[#This Row],[Impact Type]]="CO2E",emissions[[#This Row],[Impact Type]]="CO2E MKT")),emissions[[#This Row],[kgCO2e]],0)/1000</f>
        <v>1225.6376170000001</v>
      </c>
      <c r="AQ639" t="str">
        <f>_xlfn.TEXTAFTER(emissions[[#This Row],[Reporting Unit]]," &gt; ",LEN(emissions[[#This Row],[Reporting Unit]])-LEN(SUBSTITUTE(emissions[[#This Row],[Reporting Unit]],"&gt;","")))</f>
        <v>Vantage_Carnegie</v>
      </c>
      <c r="AR639" t="str">
        <f>_xlfn.XLOOKUP(emissions[[#This Row],[Reporting unit name]],hierarchy!$A:$A,hierarchy!$C:$C)</f>
        <v>Office</v>
      </c>
    </row>
    <row r="640" spans="1:44" hidden="1" x14ac:dyDescent="0.25">
      <c r="A640">
        <v>4970</v>
      </c>
      <c r="B640" t="s">
        <v>444</v>
      </c>
      <c r="C640" t="s">
        <v>501</v>
      </c>
      <c r="D640" t="s">
        <v>599</v>
      </c>
      <c r="E640" s="3">
        <v>44197</v>
      </c>
      <c r="F640" s="3">
        <v>44561</v>
      </c>
      <c r="G640" t="s">
        <v>135</v>
      </c>
      <c r="H640" s="3">
        <v>44197</v>
      </c>
      <c r="I640" s="3">
        <v>44561</v>
      </c>
      <c r="J640" t="s">
        <v>135</v>
      </c>
      <c r="K640">
        <v>22490600</v>
      </c>
      <c r="L640" t="s">
        <v>160</v>
      </c>
      <c r="M640" t="s">
        <v>110</v>
      </c>
      <c r="O640" t="s">
        <v>600</v>
      </c>
      <c r="P640" t="s">
        <v>550</v>
      </c>
      <c r="Q640">
        <v>2021</v>
      </c>
      <c r="R640" t="s">
        <v>605</v>
      </c>
      <c r="S640" t="s">
        <v>606</v>
      </c>
      <c r="T640" t="s">
        <v>553</v>
      </c>
      <c r="U640" t="b">
        <v>0</v>
      </c>
      <c r="V640" t="s">
        <v>781</v>
      </c>
      <c r="W640" t="s">
        <v>587</v>
      </c>
      <c r="X640" t="s">
        <v>556</v>
      </c>
      <c r="Y640" t="s">
        <v>472</v>
      </c>
      <c r="Z640" t="s">
        <v>485</v>
      </c>
      <c r="AA640" t="s">
        <v>764</v>
      </c>
      <c r="AC640">
        <v>1</v>
      </c>
      <c r="AD640" t="s">
        <v>566</v>
      </c>
      <c r="AE640">
        <v>670.21987999999999</v>
      </c>
      <c r="AF640">
        <v>2.9799999999999999E-5</v>
      </c>
      <c r="AG640" t="s">
        <v>782</v>
      </c>
      <c r="AH640">
        <v>1</v>
      </c>
      <c r="AI640">
        <v>22490600</v>
      </c>
      <c r="AJ640" t="s">
        <v>561</v>
      </c>
      <c r="AK640" t="s">
        <v>766</v>
      </c>
      <c r="AL640" t="s">
        <v>790</v>
      </c>
      <c r="AM640">
        <v>2021</v>
      </c>
      <c r="AN640">
        <v>2021</v>
      </c>
      <c r="AO640">
        <f>IF(AND(emissions[[#This Row],[Market-based]]=0,emissions[[#This Row],[Impact Type]]="CO2E"),emissions[[#This Row],[kgCO2e]],0)/1000</f>
        <v>0</v>
      </c>
      <c r="AP640">
        <f>IF(AND(emissions[[#This Row],[Market-based]]=1,OR(emissions[[#This Row],[Impact Type]]="CO2E",emissions[[#This Row],[Impact Type]]="CO2E MKT")),emissions[[#This Row],[kgCO2e]],0)/1000</f>
        <v>0</v>
      </c>
      <c r="AQ640" t="str">
        <f>_xlfn.TEXTAFTER(emissions[[#This Row],[Reporting Unit]]," &gt; ",LEN(emissions[[#This Row],[Reporting Unit]])-LEN(SUBSTITUTE(emissions[[#This Row],[Reporting Unit]],"&gt;","")))</f>
        <v>Vantage_Carnegie</v>
      </c>
      <c r="AR640" t="str">
        <f>_xlfn.XLOOKUP(emissions[[#This Row],[Reporting unit name]],hierarchy!$A:$A,hierarchy!$C:$C)</f>
        <v>Office</v>
      </c>
    </row>
    <row r="641" spans="1:44" hidden="1" x14ac:dyDescent="0.25">
      <c r="A641">
        <v>4970</v>
      </c>
      <c r="B641" t="s">
        <v>444</v>
      </c>
      <c r="C641" t="s">
        <v>501</v>
      </c>
      <c r="D641" t="s">
        <v>599</v>
      </c>
      <c r="E641" s="3">
        <v>44197</v>
      </c>
      <c r="F641" s="3">
        <v>44561</v>
      </c>
      <c r="G641" t="s">
        <v>135</v>
      </c>
      <c r="H641" s="3">
        <v>44197</v>
      </c>
      <c r="I641" s="3">
        <v>44561</v>
      </c>
      <c r="J641" t="s">
        <v>135</v>
      </c>
      <c r="K641">
        <v>22490600</v>
      </c>
      <c r="L641" t="s">
        <v>160</v>
      </c>
      <c r="M641" t="s">
        <v>110</v>
      </c>
      <c r="O641" t="s">
        <v>600</v>
      </c>
      <c r="P641" t="s">
        <v>550</v>
      </c>
      <c r="Q641">
        <v>2021</v>
      </c>
      <c r="R641" t="s">
        <v>609</v>
      </c>
      <c r="S641" t="s">
        <v>610</v>
      </c>
      <c r="T641" t="s">
        <v>577</v>
      </c>
      <c r="U641" t="b">
        <v>0</v>
      </c>
      <c r="V641" t="s">
        <v>611</v>
      </c>
      <c r="W641" t="s">
        <v>571</v>
      </c>
      <c r="X641" t="s">
        <v>572</v>
      </c>
      <c r="AC641">
        <v>0</v>
      </c>
      <c r="AD641" t="s">
        <v>565</v>
      </c>
      <c r="AE641">
        <v>220309.61009999999</v>
      </c>
      <c r="AF641">
        <v>0.34593000000000002</v>
      </c>
      <c r="AG641" t="s">
        <v>783</v>
      </c>
      <c r="AH641">
        <v>2.83168E-2</v>
      </c>
      <c r="AI641">
        <v>636861.82209999999</v>
      </c>
      <c r="AJ641" t="s">
        <v>561</v>
      </c>
      <c r="AK641" t="s">
        <v>589</v>
      </c>
      <c r="AL641" t="s">
        <v>603</v>
      </c>
      <c r="AM641">
        <v>2021</v>
      </c>
      <c r="AN641">
        <v>2019</v>
      </c>
      <c r="AO641">
        <f>IF(AND(emissions[[#This Row],[Market-based]]=0,emissions[[#This Row],[Impact Type]]="CO2E"),emissions[[#This Row],[kgCO2e]],0)/1000</f>
        <v>220.30961009999999</v>
      </c>
      <c r="AP641">
        <f>IF(AND(emissions[[#This Row],[Market-based]]=1,OR(emissions[[#This Row],[Impact Type]]="CO2E",emissions[[#This Row],[Impact Type]]="CO2E MKT")),emissions[[#This Row],[kgCO2e]],0)/1000</f>
        <v>0</v>
      </c>
      <c r="AQ641" t="str">
        <f>_xlfn.TEXTAFTER(emissions[[#This Row],[Reporting Unit]]," &gt; ",LEN(emissions[[#This Row],[Reporting Unit]])-LEN(SUBSTITUTE(emissions[[#This Row],[Reporting Unit]],"&gt;","")))</f>
        <v>Vantage_Carnegie</v>
      </c>
      <c r="AR641" t="str">
        <f>_xlfn.XLOOKUP(emissions[[#This Row],[Reporting unit name]],hierarchy!$A:$A,hierarchy!$C:$C)</f>
        <v>Office</v>
      </c>
    </row>
    <row r="642" spans="1:44" hidden="1" x14ac:dyDescent="0.25">
      <c r="A642">
        <v>4970</v>
      </c>
      <c r="B642" t="s">
        <v>444</v>
      </c>
      <c r="C642" t="s">
        <v>501</v>
      </c>
      <c r="D642" t="s">
        <v>599</v>
      </c>
      <c r="E642" s="3">
        <v>44197</v>
      </c>
      <c r="F642" s="3">
        <v>44561</v>
      </c>
      <c r="G642" t="s">
        <v>135</v>
      </c>
      <c r="H642" s="3">
        <v>44197</v>
      </c>
      <c r="I642" s="3">
        <v>44561</v>
      </c>
      <c r="J642" t="s">
        <v>135</v>
      </c>
      <c r="K642">
        <v>22490600</v>
      </c>
      <c r="L642" t="s">
        <v>160</v>
      </c>
      <c r="M642" t="s">
        <v>110</v>
      </c>
      <c r="O642" t="s">
        <v>600</v>
      </c>
      <c r="P642" t="s">
        <v>550</v>
      </c>
      <c r="Q642">
        <v>2021</v>
      </c>
      <c r="R642" t="s">
        <v>609</v>
      </c>
      <c r="S642" t="s">
        <v>610</v>
      </c>
      <c r="T642" t="s">
        <v>577</v>
      </c>
      <c r="U642" t="b">
        <v>0</v>
      </c>
      <c r="V642" t="s">
        <v>611</v>
      </c>
      <c r="W642" t="s">
        <v>571</v>
      </c>
      <c r="X642" t="s">
        <v>572</v>
      </c>
      <c r="AC642">
        <v>1</v>
      </c>
      <c r="AD642" t="s">
        <v>565</v>
      </c>
      <c r="AE642">
        <v>220309.61009999999</v>
      </c>
      <c r="AF642">
        <v>0.34593000000000002</v>
      </c>
      <c r="AG642" t="s">
        <v>783</v>
      </c>
      <c r="AH642">
        <v>2.83168E-2</v>
      </c>
      <c r="AI642">
        <v>636861.82209999999</v>
      </c>
      <c r="AJ642" t="s">
        <v>561</v>
      </c>
      <c r="AK642" t="s">
        <v>589</v>
      </c>
      <c r="AL642" t="s">
        <v>603</v>
      </c>
      <c r="AM642">
        <v>2021</v>
      </c>
      <c r="AN642">
        <v>2019</v>
      </c>
      <c r="AO642">
        <f>IF(AND(emissions[[#This Row],[Market-based]]=0,emissions[[#This Row],[Impact Type]]="CO2E"),emissions[[#This Row],[kgCO2e]],0)/1000</f>
        <v>0</v>
      </c>
      <c r="AP642">
        <f>IF(AND(emissions[[#This Row],[Market-based]]=1,OR(emissions[[#This Row],[Impact Type]]="CO2E",emissions[[#This Row],[Impact Type]]="CO2E MKT")),emissions[[#This Row],[kgCO2e]],0)/1000</f>
        <v>220.30961009999999</v>
      </c>
      <c r="AQ642" t="str">
        <f>_xlfn.TEXTAFTER(emissions[[#This Row],[Reporting Unit]]," &gt; ",LEN(emissions[[#This Row],[Reporting Unit]])-LEN(SUBSTITUTE(emissions[[#This Row],[Reporting Unit]],"&gt;","")))</f>
        <v>Vantage_Carnegie</v>
      </c>
      <c r="AR642" t="str">
        <f>_xlfn.XLOOKUP(emissions[[#This Row],[Reporting unit name]],hierarchy!$A:$A,hierarchy!$C:$C)</f>
        <v>Office</v>
      </c>
    </row>
    <row r="643" spans="1:44" hidden="1" x14ac:dyDescent="0.25">
      <c r="A643">
        <v>5029</v>
      </c>
      <c r="B643" t="s">
        <v>444</v>
      </c>
      <c r="C643" t="s">
        <v>501</v>
      </c>
      <c r="D643" t="s">
        <v>599</v>
      </c>
      <c r="E643" s="3">
        <v>44197</v>
      </c>
      <c r="F643" s="3">
        <v>44561</v>
      </c>
      <c r="G643" t="s">
        <v>116</v>
      </c>
      <c r="H643" s="3">
        <v>44197</v>
      </c>
      <c r="I643" s="3">
        <v>44561</v>
      </c>
      <c r="J643" t="s">
        <v>218</v>
      </c>
      <c r="K643">
        <v>0</v>
      </c>
      <c r="L643" t="s">
        <v>118</v>
      </c>
      <c r="M643" t="s">
        <v>110</v>
      </c>
      <c r="N643" t="s">
        <v>458</v>
      </c>
      <c r="O643" t="s">
        <v>600</v>
      </c>
      <c r="P643" t="s">
        <v>793</v>
      </c>
      <c r="Q643">
        <v>2021</v>
      </c>
      <c r="R643" t="s">
        <v>664</v>
      </c>
      <c r="S643" t="s">
        <v>175</v>
      </c>
      <c r="T643" t="s">
        <v>553</v>
      </c>
      <c r="U643" t="b">
        <v>0</v>
      </c>
      <c r="V643" t="s">
        <v>665</v>
      </c>
      <c r="W643" t="s">
        <v>587</v>
      </c>
      <c r="X643" t="s">
        <v>556</v>
      </c>
      <c r="AC643">
        <v>0</v>
      </c>
      <c r="AD643" t="s">
        <v>565</v>
      </c>
      <c r="AE643">
        <v>0</v>
      </c>
      <c r="AF643">
        <v>2088</v>
      </c>
      <c r="AG643" t="s">
        <v>622</v>
      </c>
      <c r="AH643">
        <v>1</v>
      </c>
      <c r="AI643">
        <v>0</v>
      </c>
      <c r="AJ643" t="s">
        <v>561</v>
      </c>
      <c r="AK643" t="s">
        <v>623</v>
      </c>
      <c r="AL643" t="s">
        <v>624</v>
      </c>
      <c r="AM643">
        <v>2021</v>
      </c>
      <c r="AN643">
        <v>2007</v>
      </c>
      <c r="AO643">
        <f>IF(AND(emissions[[#This Row],[Market-based]]=0,emissions[[#This Row],[Impact Type]]="CO2E"),emissions[[#This Row],[kgCO2e]],0)/1000</f>
        <v>0</v>
      </c>
      <c r="AP643">
        <f>IF(AND(emissions[[#This Row],[Market-based]]=1,OR(emissions[[#This Row],[Impact Type]]="CO2E",emissions[[#This Row],[Impact Type]]="CO2E MKT")),emissions[[#This Row],[kgCO2e]],0)/1000</f>
        <v>0</v>
      </c>
      <c r="AQ643" t="str">
        <f>_xlfn.TEXTAFTER(emissions[[#This Row],[Reporting Unit]]," &gt; ",LEN(emissions[[#This Row],[Reporting Unit]])-LEN(SUBSTITUTE(emissions[[#This Row],[Reporting Unit]],"&gt;","")))</f>
        <v>Vantage_Carnegie</v>
      </c>
      <c r="AR643" t="str">
        <f>_xlfn.XLOOKUP(emissions[[#This Row],[Reporting unit name]],hierarchy!$A:$A,hierarchy!$C:$C)</f>
        <v>Office</v>
      </c>
    </row>
    <row r="644" spans="1:44" hidden="1" x14ac:dyDescent="0.25">
      <c r="A644">
        <v>5029</v>
      </c>
      <c r="B644" t="s">
        <v>444</v>
      </c>
      <c r="C644" t="s">
        <v>501</v>
      </c>
      <c r="D644" t="s">
        <v>599</v>
      </c>
      <c r="E644" s="3">
        <v>44197</v>
      </c>
      <c r="F644" s="3">
        <v>44561</v>
      </c>
      <c r="G644" t="s">
        <v>116</v>
      </c>
      <c r="H644" s="3">
        <v>44197</v>
      </c>
      <c r="I644" s="3">
        <v>44561</v>
      </c>
      <c r="J644" t="s">
        <v>218</v>
      </c>
      <c r="K644">
        <v>0</v>
      </c>
      <c r="L644" t="s">
        <v>118</v>
      </c>
      <c r="M644" t="s">
        <v>110</v>
      </c>
      <c r="N644" t="s">
        <v>458</v>
      </c>
      <c r="O644" t="s">
        <v>600</v>
      </c>
      <c r="P644" t="s">
        <v>793</v>
      </c>
      <c r="Q644">
        <v>2021</v>
      </c>
      <c r="R644" t="s">
        <v>664</v>
      </c>
      <c r="S644" t="s">
        <v>175</v>
      </c>
      <c r="T644" t="s">
        <v>553</v>
      </c>
      <c r="U644" t="b">
        <v>0</v>
      </c>
      <c r="V644" t="s">
        <v>665</v>
      </c>
      <c r="W644" t="s">
        <v>587</v>
      </c>
      <c r="X644" t="s">
        <v>556</v>
      </c>
      <c r="AC644">
        <v>1</v>
      </c>
      <c r="AD644" t="s">
        <v>565</v>
      </c>
      <c r="AE644">
        <v>0</v>
      </c>
      <c r="AF644">
        <v>2088</v>
      </c>
      <c r="AG644" t="s">
        <v>622</v>
      </c>
      <c r="AH644">
        <v>1</v>
      </c>
      <c r="AI644">
        <v>0</v>
      </c>
      <c r="AJ644" t="s">
        <v>561</v>
      </c>
      <c r="AK644" t="s">
        <v>623</v>
      </c>
      <c r="AL644" t="s">
        <v>624</v>
      </c>
      <c r="AM644">
        <v>2021</v>
      </c>
      <c r="AN644">
        <v>2007</v>
      </c>
      <c r="AO644">
        <f>IF(AND(emissions[[#This Row],[Market-based]]=0,emissions[[#This Row],[Impact Type]]="CO2E"),emissions[[#This Row],[kgCO2e]],0)/1000</f>
        <v>0</v>
      </c>
      <c r="AP644">
        <f>IF(AND(emissions[[#This Row],[Market-based]]=1,OR(emissions[[#This Row],[Impact Type]]="CO2E",emissions[[#This Row],[Impact Type]]="CO2E MKT")),emissions[[#This Row],[kgCO2e]],0)/1000</f>
        <v>0</v>
      </c>
      <c r="AQ644" t="str">
        <f>_xlfn.TEXTAFTER(emissions[[#This Row],[Reporting Unit]]," &gt; ",LEN(emissions[[#This Row],[Reporting Unit]])-LEN(SUBSTITUTE(emissions[[#This Row],[Reporting Unit]],"&gt;","")))</f>
        <v>Vantage_Carnegie</v>
      </c>
      <c r="AR644" t="str">
        <f>_xlfn.XLOOKUP(emissions[[#This Row],[Reporting unit name]],hierarchy!$A:$A,hierarchy!$C:$C)</f>
        <v>Office</v>
      </c>
    </row>
    <row r="645" spans="1:44" hidden="1" x14ac:dyDescent="0.25">
      <c r="A645">
        <v>1230932</v>
      </c>
      <c r="B645" t="s">
        <v>444</v>
      </c>
      <c r="C645" t="s">
        <v>501</v>
      </c>
      <c r="D645" t="s">
        <v>599</v>
      </c>
      <c r="E645" s="3">
        <v>44197</v>
      </c>
      <c r="F645" s="3">
        <v>44561</v>
      </c>
      <c r="G645" t="s">
        <v>121</v>
      </c>
      <c r="H645" s="3">
        <v>44197</v>
      </c>
      <c r="I645" s="3">
        <v>44561</v>
      </c>
      <c r="J645" t="s">
        <v>150</v>
      </c>
      <c r="K645">
        <v>767.68</v>
      </c>
      <c r="L645" t="s">
        <v>143</v>
      </c>
      <c r="M645" t="s">
        <v>110</v>
      </c>
      <c r="O645" t="s">
        <v>794</v>
      </c>
      <c r="P645" t="s">
        <v>550</v>
      </c>
      <c r="Q645">
        <v>2021</v>
      </c>
      <c r="R645" t="s">
        <v>594</v>
      </c>
      <c r="S645" t="s">
        <v>150</v>
      </c>
      <c r="T645" t="s">
        <v>553</v>
      </c>
      <c r="U645" t="b">
        <v>0</v>
      </c>
      <c r="V645" t="s">
        <v>789</v>
      </c>
      <c r="W645" t="s">
        <v>587</v>
      </c>
      <c r="X645" t="s">
        <v>556</v>
      </c>
      <c r="Y645" t="s">
        <v>472</v>
      </c>
      <c r="Z645" t="s">
        <v>485</v>
      </c>
      <c r="AA645" t="s">
        <v>764</v>
      </c>
      <c r="AC645">
        <v>0</v>
      </c>
      <c r="AD645" t="s">
        <v>558</v>
      </c>
      <c r="AE645">
        <v>1.368897969</v>
      </c>
      <c r="AF645">
        <v>6.7499999999999999E-3</v>
      </c>
      <c r="AG645" t="s">
        <v>786</v>
      </c>
      <c r="AH645">
        <v>0.26417217999999998</v>
      </c>
      <c r="AI645">
        <v>202.7996991</v>
      </c>
      <c r="AJ645" t="s">
        <v>561</v>
      </c>
      <c r="AK645" t="s">
        <v>766</v>
      </c>
      <c r="AL645" t="s">
        <v>790</v>
      </c>
      <c r="AM645">
        <v>2021</v>
      </c>
      <c r="AN645">
        <v>2021</v>
      </c>
      <c r="AO645">
        <f>IF(AND(emissions[[#This Row],[Market-based]]=0,emissions[[#This Row],[Impact Type]]="CO2E"),emissions[[#This Row],[kgCO2e]],0)/1000</f>
        <v>0</v>
      </c>
      <c r="AP645">
        <f>IF(AND(emissions[[#This Row],[Market-based]]=1,OR(emissions[[#This Row],[Impact Type]]="CO2E",emissions[[#This Row],[Impact Type]]="CO2E MKT")),emissions[[#This Row],[kgCO2e]],0)/1000</f>
        <v>0</v>
      </c>
      <c r="AQ645" t="str">
        <f>_xlfn.TEXTAFTER(emissions[[#This Row],[Reporting Unit]]," &gt; ",LEN(emissions[[#This Row],[Reporting Unit]])-LEN(SUBSTITUTE(emissions[[#This Row],[Reporting Unit]],"&gt;","")))</f>
        <v>Vantage_Carnegie</v>
      </c>
      <c r="AR645" t="str">
        <f>_xlfn.XLOOKUP(emissions[[#This Row],[Reporting unit name]],hierarchy!$A:$A,hierarchy!$C:$C)</f>
        <v>Office</v>
      </c>
    </row>
    <row r="646" spans="1:44" hidden="1" x14ac:dyDescent="0.25">
      <c r="A646">
        <v>1230932</v>
      </c>
      <c r="B646" t="s">
        <v>444</v>
      </c>
      <c r="C646" t="s">
        <v>501</v>
      </c>
      <c r="D646" t="s">
        <v>599</v>
      </c>
      <c r="E646" s="3">
        <v>44197</v>
      </c>
      <c r="F646" s="3">
        <v>44561</v>
      </c>
      <c r="G646" t="s">
        <v>121</v>
      </c>
      <c r="H646" s="3">
        <v>44197</v>
      </c>
      <c r="I646" s="3">
        <v>44561</v>
      </c>
      <c r="J646" t="s">
        <v>150</v>
      </c>
      <c r="K646">
        <v>767.68</v>
      </c>
      <c r="L646" t="s">
        <v>143</v>
      </c>
      <c r="M646" t="s">
        <v>110</v>
      </c>
      <c r="O646" t="s">
        <v>794</v>
      </c>
      <c r="P646" t="s">
        <v>550</v>
      </c>
      <c r="Q646">
        <v>2021</v>
      </c>
      <c r="R646" t="s">
        <v>594</v>
      </c>
      <c r="S646" t="s">
        <v>150</v>
      </c>
      <c r="T646" t="s">
        <v>553</v>
      </c>
      <c r="U646" t="b">
        <v>0</v>
      </c>
      <c r="V646" t="s">
        <v>789</v>
      </c>
      <c r="W646" t="s">
        <v>587</v>
      </c>
      <c r="X646" t="s">
        <v>556</v>
      </c>
      <c r="Y646" t="s">
        <v>472</v>
      </c>
      <c r="Z646" t="s">
        <v>485</v>
      </c>
      <c r="AA646" t="s">
        <v>764</v>
      </c>
      <c r="AC646">
        <v>0</v>
      </c>
      <c r="AD646" t="s">
        <v>564</v>
      </c>
      <c r="AE646">
        <v>1160.014279</v>
      </c>
      <c r="AF646">
        <v>5.72</v>
      </c>
      <c r="AG646" t="s">
        <v>786</v>
      </c>
      <c r="AH646">
        <v>0.26417217999999998</v>
      </c>
      <c r="AI646">
        <v>202.7996991</v>
      </c>
      <c r="AJ646" t="s">
        <v>561</v>
      </c>
      <c r="AK646" t="s">
        <v>766</v>
      </c>
      <c r="AL646" t="s">
        <v>790</v>
      </c>
      <c r="AM646">
        <v>2021</v>
      </c>
      <c r="AN646">
        <v>2021</v>
      </c>
      <c r="AO646">
        <f>IF(AND(emissions[[#This Row],[Market-based]]=0,emissions[[#This Row],[Impact Type]]="CO2E"),emissions[[#This Row],[kgCO2e]],0)/1000</f>
        <v>0</v>
      </c>
      <c r="AP646">
        <f>IF(AND(emissions[[#This Row],[Market-based]]=1,OR(emissions[[#This Row],[Impact Type]]="CO2E",emissions[[#This Row],[Impact Type]]="CO2E MKT")),emissions[[#This Row],[kgCO2e]],0)/1000</f>
        <v>0</v>
      </c>
      <c r="AQ646" t="str">
        <f>_xlfn.TEXTAFTER(emissions[[#This Row],[Reporting Unit]]," &gt; ",LEN(emissions[[#This Row],[Reporting Unit]])-LEN(SUBSTITUTE(emissions[[#This Row],[Reporting Unit]],"&gt;","")))</f>
        <v>Vantage_Carnegie</v>
      </c>
      <c r="AR646" t="str">
        <f>_xlfn.XLOOKUP(emissions[[#This Row],[Reporting unit name]],hierarchy!$A:$A,hierarchy!$C:$C)</f>
        <v>Office</v>
      </c>
    </row>
    <row r="647" spans="1:44" hidden="1" x14ac:dyDescent="0.25">
      <c r="A647">
        <v>1230932</v>
      </c>
      <c r="B647" t="s">
        <v>444</v>
      </c>
      <c r="C647" t="s">
        <v>501</v>
      </c>
      <c r="D647" t="s">
        <v>599</v>
      </c>
      <c r="E647" s="3">
        <v>44197</v>
      </c>
      <c r="F647" s="3">
        <v>44561</v>
      </c>
      <c r="G647" t="s">
        <v>121</v>
      </c>
      <c r="H647" s="3">
        <v>44197</v>
      </c>
      <c r="I647" s="3">
        <v>44561</v>
      </c>
      <c r="J647" t="s">
        <v>150</v>
      </c>
      <c r="K647">
        <v>767.68</v>
      </c>
      <c r="L647" t="s">
        <v>143</v>
      </c>
      <c r="M647" t="s">
        <v>110</v>
      </c>
      <c r="O647" t="s">
        <v>794</v>
      </c>
      <c r="P647" t="s">
        <v>550</v>
      </c>
      <c r="Q647">
        <v>2021</v>
      </c>
      <c r="R647" t="s">
        <v>594</v>
      </c>
      <c r="S647" t="s">
        <v>150</v>
      </c>
      <c r="T647" t="s">
        <v>553</v>
      </c>
      <c r="U647" t="b">
        <v>0</v>
      </c>
      <c r="V647" t="s">
        <v>789</v>
      </c>
      <c r="W647" t="s">
        <v>587</v>
      </c>
      <c r="X647" t="s">
        <v>556</v>
      </c>
      <c r="Y647" t="s">
        <v>472</v>
      </c>
      <c r="Z647" t="s">
        <v>485</v>
      </c>
      <c r="AA647" t="s">
        <v>764</v>
      </c>
      <c r="AC647">
        <v>0</v>
      </c>
      <c r="AD647" t="s">
        <v>565</v>
      </c>
      <c r="AE647">
        <v>1164.4048929999999</v>
      </c>
      <c r="AF647">
        <v>5.7416499999999999</v>
      </c>
      <c r="AG647" t="s">
        <v>786</v>
      </c>
      <c r="AH647">
        <v>0.26417217999999998</v>
      </c>
      <c r="AI647">
        <v>202.7996991</v>
      </c>
      <c r="AJ647" t="s">
        <v>561</v>
      </c>
      <c r="AK647" t="s">
        <v>766</v>
      </c>
      <c r="AL647" t="s">
        <v>790</v>
      </c>
      <c r="AM647">
        <v>2021</v>
      </c>
      <c r="AN647">
        <v>2021</v>
      </c>
      <c r="AO647">
        <f>IF(AND(emissions[[#This Row],[Market-based]]=0,emissions[[#This Row],[Impact Type]]="CO2E"),emissions[[#This Row],[kgCO2e]],0)/1000</f>
        <v>1.1644048929999999</v>
      </c>
      <c r="AP647">
        <f>IF(AND(emissions[[#This Row],[Market-based]]=1,OR(emissions[[#This Row],[Impact Type]]="CO2E",emissions[[#This Row],[Impact Type]]="CO2E MKT")),emissions[[#This Row],[kgCO2e]],0)/1000</f>
        <v>0</v>
      </c>
      <c r="AQ647" t="str">
        <f>_xlfn.TEXTAFTER(emissions[[#This Row],[Reporting Unit]]," &gt; ",LEN(emissions[[#This Row],[Reporting Unit]])-LEN(SUBSTITUTE(emissions[[#This Row],[Reporting Unit]],"&gt;","")))</f>
        <v>Vantage_Carnegie</v>
      </c>
      <c r="AR647" t="str">
        <f>_xlfn.XLOOKUP(emissions[[#This Row],[Reporting unit name]],hierarchy!$A:$A,hierarchy!$C:$C)</f>
        <v>Office</v>
      </c>
    </row>
    <row r="648" spans="1:44" hidden="1" x14ac:dyDescent="0.25">
      <c r="A648">
        <v>1230932</v>
      </c>
      <c r="B648" t="s">
        <v>444</v>
      </c>
      <c r="C648" t="s">
        <v>501</v>
      </c>
      <c r="D648" t="s">
        <v>599</v>
      </c>
      <c r="E648" s="3">
        <v>44197</v>
      </c>
      <c r="F648" s="3">
        <v>44561</v>
      </c>
      <c r="G648" t="s">
        <v>121</v>
      </c>
      <c r="H648" s="3">
        <v>44197</v>
      </c>
      <c r="I648" s="3">
        <v>44561</v>
      </c>
      <c r="J648" t="s">
        <v>150</v>
      </c>
      <c r="K648">
        <v>767.68</v>
      </c>
      <c r="L648" t="s">
        <v>143</v>
      </c>
      <c r="M648" t="s">
        <v>110</v>
      </c>
      <c r="O648" t="s">
        <v>794</v>
      </c>
      <c r="P648" t="s">
        <v>550</v>
      </c>
      <c r="Q648">
        <v>2021</v>
      </c>
      <c r="R648" t="s">
        <v>594</v>
      </c>
      <c r="S648" t="s">
        <v>150</v>
      </c>
      <c r="T648" t="s">
        <v>553</v>
      </c>
      <c r="U648" t="b">
        <v>0</v>
      </c>
      <c r="V648" t="s">
        <v>789</v>
      </c>
      <c r="W648" t="s">
        <v>587</v>
      </c>
      <c r="X648" t="s">
        <v>556</v>
      </c>
      <c r="Y648" t="s">
        <v>472</v>
      </c>
      <c r="Z648" t="s">
        <v>485</v>
      </c>
      <c r="AA648" t="s">
        <v>764</v>
      </c>
      <c r="AC648">
        <v>0</v>
      </c>
      <c r="AD648" t="s">
        <v>566</v>
      </c>
      <c r="AE648">
        <v>3.0217155170000001</v>
      </c>
      <c r="AF648">
        <v>1.49E-2</v>
      </c>
      <c r="AG648" t="s">
        <v>786</v>
      </c>
      <c r="AH648">
        <v>0.26417217999999998</v>
      </c>
      <c r="AI648">
        <v>202.7996991</v>
      </c>
      <c r="AJ648" t="s">
        <v>561</v>
      </c>
      <c r="AK648" t="s">
        <v>766</v>
      </c>
      <c r="AL648" t="s">
        <v>790</v>
      </c>
      <c r="AM648">
        <v>2021</v>
      </c>
      <c r="AN648">
        <v>2021</v>
      </c>
      <c r="AO648">
        <f>IF(AND(emissions[[#This Row],[Market-based]]=0,emissions[[#This Row],[Impact Type]]="CO2E"),emissions[[#This Row],[kgCO2e]],0)/1000</f>
        <v>0</v>
      </c>
      <c r="AP648">
        <f>IF(AND(emissions[[#This Row],[Market-based]]=1,OR(emissions[[#This Row],[Impact Type]]="CO2E",emissions[[#This Row],[Impact Type]]="CO2E MKT")),emissions[[#This Row],[kgCO2e]],0)/1000</f>
        <v>0</v>
      </c>
      <c r="AQ648" t="str">
        <f>_xlfn.TEXTAFTER(emissions[[#This Row],[Reporting Unit]]," &gt; ",LEN(emissions[[#This Row],[Reporting Unit]])-LEN(SUBSTITUTE(emissions[[#This Row],[Reporting Unit]],"&gt;","")))</f>
        <v>Vantage_Carnegie</v>
      </c>
      <c r="AR648" t="str">
        <f>_xlfn.XLOOKUP(emissions[[#This Row],[Reporting unit name]],hierarchy!$A:$A,hierarchy!$C:$C)</f>
        <v>Office</v>
      </c>
    </row>
    <row r="649" spans="1:44" hidden="1" x14ac:dyDescent="0.25">
      <c r="A649">
        <v>1230932</v>
      </c>
      <c r="B649" t="s">
        <v>444</v>
      </c>
      <c r="C649" t="s">
        <v>501</v>
      </c>
      <c r="D649" t="s">
        <v>599</v>
      </c>
      <c r="E649" s="3">
        <v>44197</v>
      </c>
      <c r="F649" s="3">
        <v>44561</v>
      </c>
      <c r="G649" t="s">
        <v>121</v>
      </c>
      <c r="H649" s="3">
        <v>44197</v>
      </c>
      <c r="I649" s="3">
        <v>44561</v>
      </c>
      <c r="J649" t="s">
        <v>150</v>
      </c>
      <c r="K649">
        <v>767.68</v>
      </c>
      <c r="L649" t="s">
        <v>143</v>
      </c>
      <c r="M649" t="s">
        <v>110</v>
      </c>
      <c r="O649" t="s">
        <v>794</v>
      </c>
      <c r="P649" t="s">
        <v>550</v>
      </c>
      <c r="Q649">
        <v>2021</v>
      </c>
      <c r="R649" t="s">
        <v>594</v>
      </c>
      <c r="S649" t="s">
        <v>150</v>
      </c>
      <c r="T649" t="s">
        <v>553</v>
      </c>
      <c r="U649" t="b">
        <v>0</v>
      </c>
      <c r="V649" t="s">
        <v>789</v>
      </c>
      <c r="W649" t="s">
        <v>587</v>
      </c>
      <c r="X649" t="s">
        <v>556</v>
      </c>
      <c r="Y649" t="s">
        <v>472</v>
      </c>
      <c r="Z649" t="s">
        <v>485</v>
      </c>
      <c r="AA649" t="s">
        <v>764</v>
      </c>
      <c r="AC649">
        <v>1</v>
      </c>
      <c r="AD649" t="s">
        <v>558</v>
      </c>
      <c r="AE649">
        <v>1.368897969</v>
      </c>
      <c r="AF649">
        <v>6.7499999999999999E-3</v>
      </c>
      <c r="AG649" t="s">
        <v>786</v>
      </c>
      <c r="AH649">
        <v>0.26417217999999998</v>
      </c>
      <c r="AI649">
        <v>202.7996991</v>
      </c>
      <c r="AJ649" t="s">
        <v>561</v>
      </c>
      <c r="AK649" t="s">
        <v>766</v>
      </c>
      <c r="AL649" t="s">
        <v>790</v>
      </c>
      <c r="AM649">
        <v>2021</v>
      </c>
      <c r="AN649">
        <v>2021</v>
      </c>
      <c r="AO649">
        <f>IF(AND(emissions[[#This Row],[Market-based]]=0,emissions[[#This Row],[Impact Type]]="CO2E"),emissions[[#This Row],[kgCO2e]],0)/1000</f>
        <v>0</v>
      </c>
      <c r="AP649">
        <f>IF(AND(emissions[[#This Row],[Market-based]]=1,OR(emissions[[#This Row],[Impact Type]]="CO2E",emissions[[#This Row],[Impact Type]]="CO2E MKT")),emissions[[#This Row],[kgCO2e]],0)/1000</f>
        <v>0</v>
      </c>
      <c r="AQ649" t="str">
        <f>_xlfn.TEXTAFTER(emissions[[#This Row],[Reporting Unit]]," &gt; ",LEN(emissions[[#This Row],[Reporting Unit]])-LEN(SUBSTITUTE(emissions[[#This Row],[Reporting Unit]],"&gt;","")))</f>
        <v>Vantage_Carnegie</v>
      </c>
      <c r="AR649" t="str">
        <f>_xlfn.XLOOKUP(emissions[[#This Row],[Reporting unit name]],hierarchy!$A:$A,hierarchy!$C:$C)</f>
        <v>Office</v>
      </c>
    </row>
    <row r="650" spans="1:44" hidden="1" x14ac:dyDescent="0.25">
      <c r="A650">
        <v>1230932</v>
      </c>
      <c r="B650" t="s">
        <v>444</v>
      </c>
      <c r="C650" t="s">
        <v>501</v>
      </c>
      <c r="D650" t="s">
        <v>599</v>
      </c>
      <c r="E650" s="3">
        <v>44197</v>
      </c>
      <c r="F650" s="3">
        <v>44561</v>
      </c>
      <c r="G650" t="s">
        <v>121</v>
      </c>
      <c r="H650" s="3">
        <v>44197</v>
      </c>
      <c r="I650" s="3">
        <v>44561</v>
      </c>
      <c r="J650" t="s">
        <v>150</v>
      </c>
      <c r="K650">
        <v>767.68</v>
      </c>
      <c r="L650" t="s">
        <v>143</v>
      </c>
      <c r="M650" t="s">
        <v>110</v>
      </c>
      <c r="O650" t="s">
        <v>794</v>
      </c>
      <c r="P650" t="s">
        <v>550</v>
      </c>
      <c r="Q650">
        <v>2021</v>
      </c>
      <c r="R650" t="s">
        <v>594</v>
      </c>
      <c r="S650" t="s">
        <v>150</v>
      </c>
      <c r="T650" t="s">
        <v>553</v>
      </c>
      <c r="U650" t="b">
        <v>0</v>
      </c>
      <c r="V650" t="s">
        <v>789</v>
      </c>
      <c r="W650" t="s">
        <v>587</v>
      </c>
      <c r="X650" t="s">
        <v>556</v>
      </c>
      <c r="Y650" t="s">
        <v>472</v>
      </c>
      <c r="Z650" t="s">
        <v>485</v>
      </c>
      <c r="AA650" t="s">
        <v>764</v>
      </c>
      <c r="AC650">
        <v>1</v>
      </c>
      <c r="AD650" t="s">
        <v>564</v>
      </c>
      <c r="AE650">
        <v>1160.014279</v>
      </c>
      <c r="AF650">
        <v>5.72</v>
      </c>
      <c r="AG650" t="s">
        <v>786</v>
      </c>
      <c r="AH650">
        <v>0.26417217999999998</v>
      </c>
      <c r="AI650">
        <v>202.7996991</v>
      </c>
      <c r="AJ650" t="s">
        <v>561</v>
      </c>
      <c r="AK650" t="s">
        <v>766</v>
      </c>
      <c r="AL650" t="s">
        <v>790</v>
      </c>
      <c r="AM650">
        <v>2021</v>
      </c>
      <c r="AN650">
        <v>2021</v>
      </c>
      <c r="AO650">
        <f>IF(AND(emissions[[#This Row],[Market-based]]=0,emissions[[#This Row],[Impact Type]]="CO2E"),emissions[[#This Row],[kgCO2e]],0)/1000</f>
        <v>0</v>
      </c>
      <c r="AP650">
        <f>IF(AND(emissions[[#This Row],[Market-based]]=1,OR(emissions[[#This Row],[Impact Type]]="CO2E",emissions[[#This Row],[Impact Type]]="CO2E MKT")),emissions[[#This Row],[kgCO2e]],0)/1000</f>
        <v>0</v>
      </c>
      <c r="AQ650" t="str">
        <f>_xlfn.TEXTAFTER(emissions[[#This Row],[Reporting Unit]]," &gt; ",LEN(emissions[[#This Row],[Reporting Unit]])-LEN(SUBSTITUTE(emissions[[#This Row],[Reporting Unit]],"&gt;","")))</f>
        <v>Vantage_Carnegie</v>
      </c>
      <c r="AR650" t="str">
        <f>_xlfn.XLOOKUP(emissions[[#This Row],[Reporting unit name]],hierarchy!$A:$A,hierarchy!$C:$C)</f>
        <v>Office</v>
      </c>
    </row>
    <row r="651" spans="1:44" hidden="1" x14ac:dyDescent="0.25">
      <c r="A651">
        <v>1230932</v>
      </c>
      <c r="B651" t="s">
        <v>444</v>
      </c>
      <c r="C651" t="s">
        <v>501</v>
      </c>
      <c r="D651" t="s">
        <v>599</v>
      </c>
      <c r="E651" s="3">
        <v>44197</v>
      </c>
      <c r="F651" s="3">
        <v>44561</v>
      </c>
      <c r="G651" t="s">
        <v>121</v>
      </c>
      <c r="H651" s="3">
        <v>44197</v>
      </c>
      <c r="I651" s="3">
        <v>44561</v>
      </c>
      <c r="J651" t="s">
        <v>150</v>
      </c>
      <c r="K651">
        <v>767.68</v>
      </c>
      <c r="L651" t="s">
        <v>143</v>
      </c>
      <c r="M651" t="s">
        <v>110</v>
      </c>
      <c r="O651" t="s">
        <v>794</v>
      </c>
      <c r="P651" t="s">
        <v>550</v>
      </c>
      <c r="Q651">
        <v>2021</v>
      </c>
      <c r="R651" t="s">
        <v>594</v>
      </c>
      <c r="S651" t="s">
        <v>150</v>
      </c>
      <c r="T651" t="s">
        <v>553</v>
      </c>
      <c r="U651" t="b">
        <v>0</v>
      </c>
      <c r="V651" t="s">
        <v>789</v>
      </c>
      <c r="W651" t="s">
        <v>587</v>
      </c>
      <c r="X651" t="s">
        <v>556</v>
      </c>
      <c r="Y651" t="s">
        <v>472</v>
      </c>
      <c r="Z651" t="s">
        <v>485</v>
      </c>
      <c r="AA651" t="s">
        <v>764</v>
      </c>
      <c r="AC651">
        <v>1</v>
      </c>
      <c r="AD651" t="s">
        <v>565</v>
      </c>
      <c r="AE651">
        <v>1164.4048929999999</v>
      </c>
      <c r="AF651">
        <v>5.7416499999999999</v>
      </c>
      <c r="AG651" t="s">
        <v>786</v>
      </c>
      <c r="AH651">
        <v>0.26417217999999998</v>
      </c>
      <c r="AI651">
        <v>202.7996991</v>
      </c>
      <c r="AJ651" t="s">
        <v>561</v>
      </c>
      <c r="AK651" t="s">
        <v>766</v>
      </c>
      <c r="AL651" t="s">
        <v>790</v>
      </c>
      <c r="AM651">
        <v>2021</v>
      </c>
      <c r="AN651">
        <v>2021</v>
      </c>
      <c r="AO651">
        <f>IF(AND(emissions[[#This Row],[Market-based]]=0,emissions[[#This Row],[Impact Type]]="CO2E"),emissions[[#This Row],[kgCO2e]],0)/1000</f>
        <v>0</v>
      </c>
      <c r="AP651">
        <f>IF(AND(emissions[[#This Row],[Market-based]]=1,OR(emissions[[#This Row],[Impact Type]]="CO2E",emissions[[#This Row],[Impact Type]]="CO2E MKT")),emissions[[#This Row],[kgCO2e]],0)/1000</f>
        <v>1.1644048929999999</v>
      </c>
      <c r="AQ651" t="str">
        <f>_xlfn.TEXTAFTER(emissions[[#This Row],[Reporting Unit]]," &gt; ",LEN(emissions[[#This Row],[Reporting Unit]])-LEN(SUBSTITUTE(emissions[[#This Row],[Reporting Unit]],"&gt;","")))</f>
        <v>Vantage_Carnegie</v>
      </c>
      <c r="AR651" t="str">
        <f>_xlfn.XLOOKUP(emissions[[#This Row],[Reporting unit name]],hierarchy!$A:$A,hierarchy!$C:$C)</f>
        <v>Office</v>
      </c>
    </row>
    <row r="652" spans="1:44" hidden="1" x14ac:dyDescent="0.25">
      <c r="A652">
        <v>1230932</v>
      </c>
      <c r="B652" t="s">
        <v>444</v>
      </c>
      <c r="C652" t="s">
        <v>501</v>
      </c>
      <c r="D652" t="s">
        <v>599</v>
      </c>
      <c r="E652" s="3">
        <v>44197</v>
      </c>
      <c r="F652" s="3">
        <v>44561</v>
      </c>
      <c r="G652" t="s">
        <v>121</v>
      </c>
      <c r="H652" s="3">
        <v>44197</v>
      </c>
      <c r="I652" s="3">
        <v>44561</v>
      </c>
      <c r="J652" t="s">
        <v>150</v>
      </c>
      <c r="K652">
        <v>767.68</v>
      </c>
      <c r="L652" t="s">
        <v>143</v>
      </c>
      <c r="M652" t="s">
        <v>110</v>
      </c>
      <c r="O652" t="s">
        <v>794</v>
      </c>
      <c r="P652" t="s">
        <v>550</v>
      </c>
      <c r="Q652">
        <v>2021</v>
      </c>
      <c r="R652" t="s">
        <v>594</v>
      </c>
      <c r="S652" t="s">
        <v>150</v>
      </c>
      <c r="T652" t="s">
        <v>553</v>
      </c>
      <c r="U652" t="b">
        <v>0</v>
      </c>
      <c r="V652" t="s">
        <v>789</v>
      </c>
      <c r="W652" t="s">
        <v>587</v>
      </c>
      <c r="X652" t="s">
        <v>556</v>
      </c>
      <c r="Y652" t="s">
        <v>472</v>
      </c>
      <c r="Z652" t="s">
        <v>485</v>
      </c>
      <c r="AA652" t="s">
        <v>764</v>
      </c>
      <c r="AC652">
        <v>1</v>
      </c>
      <c r="AD652" t="s">
        <v>566</v>
      </c>
      <c r="AE652">
        <v>3.0217155170000001</v>
      </c>
      <c r="AF652">
        <v>1.49E-2</v>
      </c>
      <c r="AG652" t="s">
        <v>786</v>
      </c>
      <c r="AH652">
        <v>0.26417217999999998</v>
      </c>
      <c r="AI652">
        <v>202.7996991</v>
      </c>
      <c r="AJ652" t="s">
        <v>561</v>
      </c>
      <c r="AK652" t="s">
        <v>766</v>
      </c>
      <c r="AL652" t="s">
        <v>790</v>
      </c>
      <c r="AM652">
        <v>2021</v>
      </c>
      <c r="AN652">
        <v>2021</v>
      </c>
      <c r="AO652">
        <f>IF(AND(emissions[[#This Row],[Market-based]]=0,emissions[[#This Row],[Impact Type]]="CO2E"),emissions[[#This Row],[kgCO2e]],0)/1000</f>
        <v>0</v>
      </c>
      <c r="AP652">
        <f>IF(AND(emissions[[#This Row],[Market-based]]=1,OR(emissions[[#This Row],[Impact Type]]="CO2E",emissions[[#This Row],[Impact Type]]="CO2E MKT")),emissions[[#This Row],[kgCO2e]],0)/1000</f>
        <v>0</v>
      </c>
      <c r="AQ652" t="str">
        <f>_xlfn.TEXTAFTER(emissions[[#This Row],[Reporting Unit]]," &gt; ",LEN(emissions[[#This Row],[Reporting Unit]])-LEN(SUBSTITUTE(emissions[[#This Row],[Reporting Unit]],"&gt;","")))</f>
        <v>Vantage_Carnegie</v>
      </c>
      <c r="AR652" t="str">
        <f>_xlfn.XLOOKUP(emissions[[#This Row],[Reporting unit name]],hierarchy!$A:$A,hierarchy!$C:$C)</f>
        <v>Office</v>
      </c>
    </row>
    <row r="653" spans="1:44" hidden="1" x14ac:dyDescent="0.25">
      <c r="A653">
        <v>1230932</v>
      </c>
      <c r="B653" t="s">
        <v>444</v>
      </c>
      <c r="C653" t="s">
        <v>501</v>
      </c>
      <c r="D653" t="s">
        <v>599</v>
      </c>
      <c r="E653" s="3">
        <v>44197</v>
      </c>
      <c r="F653" s="3">
        <v>44561</v>
      </c>
      <c r="G653" t="s">
        <v>121</v>
      </c>
      <c r="H653" s="3">
        <v>44197</v>
      </c>
      <c r="I653" s="3">
        <v>44561</v>
      </c>
      <c r="J653" t="s">
        <v>150</v>
      </c>
      <c r="K653">
        <v>767.68</v>
      </c>
      <c r="L653" t="s">
        <v>143</v>
      </c>
      <c r="M653" t="s">
        <v>110</v>
      </c>
      <c r="O653" t="s">
        <v>794</v>
      </c>
      <c r="P653" t="s">
        <v>550</v>
      </c>
      <c r="Q653">
        <v>2021</v>
      </c>
      <c r="R653" t="s">
        <v>596</v>
      </c>
      <c r="S653" t="s">
        <v>597</v>
      </c>
      <c r="T653" t="s">
        <v>577</v>
      </c>
      <c r="U653" t="b">
        <v>0</v>
      </c>
      <c r="V653" t="s">
        <v>795</v>
      </c>
      <c r="W653" t="s">
        <v>571</v>
      </c>
      <c r="X653" t="s">
        <v>572</v>
      </c>
      <c r="AC653">
        <v>0</v>
      </c>
      <c r="AD653" t="s">
        <v>565</v>
      </c>
      <c r="AE653">
        <v>138.5355328</v>
      </c>
      <c r="AF653">
        <v>0.18046000000000001</v>
      </c>
      <c r="AG653" t="s">
        <v>588</v>
      </c>
      <c r="AH653">
        <v>1</v>
      </c>
      <c r="AI653">
        <v>767.68</v>
      </c>
      <c r="AJ653" t="s">
        <v>561</v>
      </c>
      <c r="AK653" t="s">
        <v>589</v>
      </c>
      <c r="AL653" t="s">
        <v>603</v>
      </c>
      <c r="AM653">
        <v>2021</v>
      </c>
      <c r="AN653">
        <v>2019</v>
      </c>
      <c r="AO653">
        <f>IF(AND(emissions[[#This Row],[Market-based]]=0,emissions[[#This Row],[Impact Type]]="CO2E"),emissions[[#This Row],[kgCO2e]],0)/1000</f>
        <v>0.1385355328</v>
      </c>
      <c r="AP653">
        <f>IF(AND(emissions[[#This Row],[Market-based]]=1,OR(emissions[[#This Row],[Impact Type]]="CO2E",emissions[[#This Row],[Impact Type]]="CO2E MKT")),emissions[[#This Row],[kgCO2e]],0)/1000</f>
        <v>0</v>
      </c>
      <c r="AQ653" t="str">
        <f>_xlfn.TEXTAFTER(emissions[[#This Row],[Reporting Unit]]," &gt; ",LEN(emissions[[#This Row],[Reporting Unit]])-LEN(SUBSTITUTE(emissions[[#This Row],[Reporting Unit]],"&gt;","")))</f>
        <v>Vantage_Carnegie</v>
      </c>
      <c r="AR653" t="str">
        <f>_xlfn.XLOOKUP(emissions[[#This Row],[Reporting unit name]],hierarchy!$A:$A,hierarchy!$C:$C)</f>
        <v>Office</v>
      </c>
    </row>
    <row r="654" spans="1:44" hidden="1" x14ac:dyDescent="0.25">
      <c r="A654">
        <v>1230932</v>
      </c>
      <c r="B654" t="s">
        <v>444</v>
      </c>
      <c r="C654" t="s">
        <v>501</v>
      </c>
      <c r="D654" t="s">
        <v>599</v>
      </c>
      <c r="E654" s="3">
        <v>44197</v>
      </c>
      <c r="F654" s="3">
        <v>44561</v>
      </c>
      <c r="G654" t="s">
        <v>121</v>
      </c>
      <c r="H654" s="3">
        <v>44197</v>
      </c>
      <c r="I654" s="3">
        <v>44561</v>
      </c>
      <c r="J654" t="s">
        <v>150</v>
      </c>
      <c r="K654">
        <v>767.68</v>
      </c>
      <c r="L654" t="s">
        <v>143</v>
      </c>
      <c r="M654" t="s">
        <v>110</v>
      </c>
      <c r="O654" t="s">
        <v>794</v>
      </c>
      <c r="P654" t="s">
        <v>550</v>
      </c>
      <c r="Q654">
        <v>2021</v>
      </c>
      <c r="R654" t="s">
        <v>596</v>
      </c>
      <c r="S654" t="s">
        <v>597</v>
      </c>
      <c r="T654" t="s">
        <v>577</v>
      </c>
      <c r="U654" t="b">
        <v>0</v>
      </c>
      <c r="V654" t="s">
        <v>795</v>
      </c>
      <c r="W654" t="s">
        <v>571</v>
      </c>
      <c r="X654" t="s">
        <v>572</v>
      </c>
      <c r="AC654">
        <v>1</v>
      </c>
      <c r="AD654" t="s">
        <v>565</v>
      </c>
      <c r="AE654">
        <v>138.5355328</v>
      </c>
      <c r="AF654">
        <v>0.18046000000000001</v>
      </c>
      <c r="AG654" t="s">
        <v>588</v>
      </c>
      <c r="AH654">
        <v>1</v>
      </c>
      <c r="AI654">
        <v>767.68</v>
      </c>
      <c r="AJ654" t="s">
        <v>561</v>
      </c>
      <c r="AK654" t="s">
        <v>589</v>
      </c>
      <c r="AL654" t="s">
        <v>603</v>
      </c>
      <c r="AM654">
        <v>2021</v>
      </c>
      <c r="AN654">
        <v>2019</v>
      </c>
      <c r="AO654">
        <f>IF(AND(emissions[[#This Row],[Market-based]]=0,emissions[[#This Row],[Impact Type]]="CO2E"),emissions[[#This Row],[kgCO2e]],0)/1000</f>
        <v>0</v>
      </c>
      <c r="AP654">
        <f>IF(AND(emissions[[#This Row],[Market-based]]=1,OR(emissions[[#This Row],[Impact Type]]="CO2E",emissions[[#This Row],[Impact Type]]="CO2E MKT")),emissions[[#This Row],[kgCO2e]],0)/1000</f>
        <v>0.1385355328</v>
      </c>
      <c r="AQ654" t="str">
        <f>_xlfn.TEXTAFTER(emissions[[#This Row],[Reporting Unit]]," &gt; ",LEN(emissions[[#This Row],[Reporting Unit]])-LEN(SUBSTITUTE(emissions[[#This Row],[Reporting Unit]],"&gt;","")))</f>
        <v>Vantage_Carnegie</v>
      </c>
      <c r="AR654" t="str">
        <f>_xlfn.XLOOKUP(emissions[[#This Row],[Reporting unit name]],hierarchy!$A:$A,hierarchy!$C:$C)</f>
        <v>Office</v>
      </c>
    </row>
    <row r="655" spans="1:44" hidden="1" x14ac:dyDescent="0.25">
      <c r="A655">
        <v>20579</v>
      </c>
      <c r="B655" t="s">
        <v>416</v>
      </c>
      <c r="C655" t="s">
        <v>475</v>
      </c>
      <c r="D655" t="s">
        <v>548</v>
      </c>
      <c r="E655" s="3">
        <v>44562</v>
      </c>
      <c r="F655" s="3">
        <v>44926</v>
      </c>
      <c r="G655" t="s">
        <v>108</v>
      </c>
      <c r="H655" s="3">
        <v>44562</v>
      </c>
      <c r="I655" s="3">
        <v>44926</v>
      </c>
      <c r="J655" t="s">
        <v>108</v>
      </c>
      <c r="K655">
        <v>32905016</v>
      </c>
      <c r="L655" t="s">
        <v>109</v>
      </c>
      <c r="M655" t="s">
        <v>110</v>
      </c>
      <c r="O655" t="s">
        <v>796</v>
      </c>
      <c r="P655" t="s">
        <v>550</v>
      </c>
      <c r="Q655">
        <v>2022</v>
      </c>
      <c r="R655" t="s">
        <v>551</v>
      </c>
      <c r="S655" t="s">
        <v>552</v>
      </c>
      <c r="T655" t="s">
        <v>553</v>
      </c>
      <c r="U655" t="b">
        <v>0</v>
      </c>
      <c r="V655" t="s">
        <v>763</v>
      </c>
      <c r="W655" t="s">
        <v>555</v>
      </c>
      <c r="X655" t="s">
        <v>556</v>
      </c>
      <c r="Y655" t="s">
        <v>472</v>
      </c>
      <c r="Z655" t="s">
        <v>485</v>
      </c>
      <c r="AA655" t="s">
        <v>764</v>
      </c>
      <c r="AB655" t="s">
        <v>765</v>
      </c>
      <c r="AC655">
        <v>0</v>
      </c>
      <c r="AD655" t="s">
        <v>558</v>
      </c>
      <c r="AE655">
        <v>32089.748009999999</v>
      </c>
      <c r="AF655">
        <v>9.7522400000000001E-4</v>
      </c>
      <c r="AG655" t="s">
        <v>560</v>
      </c>
      <c r="AH655">
        <v>1</v>
      </c>
      <c r="AI655">
        <v>32905016</v>
      </c>
      <c r="AJ655" t="s">
        <v>561</v>
      </c>
      <c r="AK655" t="s">
        <v>766</v>
      </c>
      <c r="AL655" t="s">
        <v>767</v>
      </c>
      <c r="AM655">
        <v>2022</v>
      </c>
      <c r="AN655">
        <v>2020</v>
      </c>
      <c r="AO655">
        <f>IF(AND(emissions[[#This Row],[Market-based]]=0,emissions[[#This Row],[Impact Type]]="CO2E"),emissions[[#This Row],[kgCO2e]],0)/1000</f>
        <v>0</v>
      </c>
      <c r="AP655">
        <f>IF(AND(emissions[[#This Row],[Market-based]]=1,OR(emissions[[#This Row],[Impact Type]]="CO2E",emissions[[#This Row],[Impact Type]]="CO2E MKT")),emissions[[#This Row],[kgCO2e]],0)/1000</f>
        <v>0</v>
      </c>
      <c r="AQ655" t="str">
        <f>_xlfn.TEXTAFTER(emissions[[#This Row],[Reporting Unit]]," &gt; ",LEN(emissions[[#This Row],[Reporting Unit]])-LEN(SUBSTITUTE(emissions[[#This Row],[Reporting Unit]],"&gt;","")))</f>
        <v>Vantage_Chicago</v>
      </c>
      <c r="AR655" t="str">
        <f>_xlfn.XLOOKUP(emissions[[#This Row],[Reporting unit name]],hierarchy!$A:$A,hierarchy!$C:$C)</f>
        <v>Labratory</v>
      </c>
    </row>
    <row r="656" spans="1:44" hidden="1" x14ac:dyDescent="0.25">
      <c r="A656">
        <v>20579</v>
      </c>
      <c r="B656" t="s">
        <v>416</v>
      </c>
      <c r="C656" t="s">
        <v>475</v>
      </c>
      <c r="D656" t="s">
        <v>548</v>
      </c>
      <c r="E656" s="3">
        <v>44562</v>
      </c>
      <c r="F656" s="3">
        <v>44926</v>
      </c>
      <c r="G656" t="s">
        <v>108</v>
      </c>
      <c r="H656" s="3">
        <v>44562</v>
      </c>
      <c r="I656" s="3">
        <v>44926</v>
      </c>
      <c r="J656" t="s">
        <v>108</v>
      </c>
      <c r="K656">
        <v>32905016</v>
      </c>
      <c r="L656" t="s">
        <v>109</v>
      </c>
      <c r="M656" t="s">
        <v>110</v>
      </c>
      <c r="O656" t="s">
        <v>796</v>
      </c>
      <c r="P656" t="s">
        <v>550</v>
      </c>
      <c r="Q656">
        <v>2022</v>
      </c>
      <c r="R656" t="s">
        <v>551</v>
      </c>
      <c r="S656" t="s">
        <v>552</v>
      </c>
      <c r="T656" t="s">
        <v>553</v>
      </c>
      <c r="U656" t="b">
        <v>0</v>
      </c>
      <c r="V656" t="s">
        <v>763</v>
      </c>
      <c r="W656" t="s">
        <v>555</v>
      </c>
      <c r="X656" t="s">
        <v>556</v>
      </c>
      <c r="Y656" t="s">
        <v>472</v>
      </c>
      <c r="Z656" t="s">
        <v>485</v>
      </c>
      <c r="AA656" t="s">
        <v>764</v>
      </c>
      <c r="AB656" t="s">
        <v>765</v>
      </c>
      <c r="AC656">
        <v>0</v>
      </c>
      <c r="AD656" t="s">
        <v>564</v>
      </c>
      <c r="AE656">
        <v>14701238.939999999</v>
      </c>
      <c r="AF656">
        <v>0.44677805199999998</v>
      </c>
      <c r="AG656" t="s">
        <v>560</v>
      </c>
      <c r="AH656">
        <v>1</v>
      </c>
      <c r="AI656">
        <v>32905016</v>
      </c>
      <c r="AJ656" t="s">
        <v>561</v>
      </c>
      <c r="AK656" t="s">
        <v>766</v>
      </c>
      <c r="AL656" t="s">
        <v>767</v>
      </c>
      <c r="AM656">
        <v>2022</v>
      </c>
      <c r="AN656">
        <v>2020</v>
      </c>
      <c r="AO656">
        <f>IF(AND(emissions[[#This Row],[Market-based]]=0,emissions[[#This Row],[Impact Type]]="CO2E"),emissions[[#This Row],[kgCO2e]],0)/1000</f>
        <v>0</v>
      </c>
      <c r="AP656">
        <f>IF(AND(emissions[[#This Row],[Market-based]]=1,OR(emissions[[#This Row],[Impact Type]]="CO2E",emissions[[#This Row],[Impact Type]]="CO2E MKT")),emissions[[#This Row],[kgCO2e]],0)/1000</f>
        <v>0</v>
      </c>
      <c r="AQ656" t="str">
        <f>_xlfn.TEXTAFTER(emissions[[#This Row],[Reporting Unit]]," &gt; ",LEN(emissions[[#This Row],[Reporting Unit]])-LEN(SUBSTITUTE(emissions[[#This Row],[Reporting Unit]],"&gt;","")))</f>
        <v>Vantage_Chicago</v>
      </c>
      <c r="AR656" t="str">
        <f>_xlfn.XLOOKUP(emissions[[#This Row],[Reporting unit name]],hierarchy!$A:$A,hierarchy!$C:$C)</f>
        <v>Labratory</v>
      </c>
    </row>
    <row r="657" spans="1:44" hidden="1" x14ac:dyDescent="0.25">
      <c r="A657">
        <v>20579</v>
      </c>
      <c r="B657" t="s">
        <v>416</v>
      </c>
      <c r="C657" t="s">
        <v>475</v>
      </c>
      <c r="D657" t="s">
        <v>548</v>
      </c>
      <c r="E657" s="3">
        <v>44562</v>
      </c>
      <c r="F657" s="3">
        <v>44926</v>
      </c>
      <c r="G657" t="s">
        <v>108</v>
      </c>
      <c r="H657" s="3">
        <v>44562</v>
      </c>
      <c r="I657" s="3">
        <v>44926</v>
      </c>
      <c r="J657" t="s">
        <v>108</v>
      </c>
      <c r="K657">
        <v>32905016</v>
      </c>
      <c r="L657" t="s">
        <v>109</v>
      </c>
      <c r="M657" t="s">
        <v>110</v>
      </c>
      <c r="O657" t="s">
        <v>796</v>
      </c>
      <c r="P657" t="s">
        <v>550</v>
      </c>
      <c r="Q657">
        <v>2022</v>
      </c>
      <c r="R657" t="s">
        <v>551</v>
      </c>
      <c r="S657" t="s">
        <v>552</v>
      </c>
      <c r="T657" t="s">
        <v>553</v>
      </c>
      <c r="U657" t="b">
        <v>0</v>
      </c>
      <c r="V657" t="s">
        <v>763</v>
      </c>
      <c r="W657" t="s">
        <v>555</v>
      </c>
      <c r="X657" t="s">
        <v>556</v>
      </c>
      <c r="Y657" t="s">
        <v>472</v>
      </c>
      <c r="Z657" t="s">
        <v>485</v>
      </c>
      <c r="AA657" t="s">
        <v>764</v>
      </c>
      <c r="AB657" t="s">
        <v>765</v>
      </c>
      <c r="AC657">
        <v>0</v>
      </c>
      <c r="AD657" t="s">
        <v>565</v>
      </c>
      <c r="AE657">
        <v>14786702.15</v>
      </c>
      <c r="AF657">
        <v>0.44937532200000002</v>
      </c>
      <c r="AG657" t="s">
        <v>560</v>
      </c>
      <c r="AH657">
        <v>1</v>
      </c>
      <c r="AI657">
        <v>32905016</v>
      </c>
      <c r="AJ657" t="s">
        <v>561</v>
      </c>
      <c r="AK657" t="s">
        <v>766</v>
      </c>
      <c r="AL657" t="s">
        <v>767</v>
      </c>
      <c r="AM657">
        <v>2022</v>
      </c>
      <c r="AN657">
        <v>2020</v>
      </c>
      <c r="AO657">
        <f>IF(AND(emissions[[#This Row],[Market-based]]=0,emissions[[#This Row],[Impact Type]]="CO2E"),emissions[[#This Row],[kgCO2e]],0)/1000</f>
        <v>14786.702150000001</v>
      </c>
      <c r="AP657">
        <f>IF(AND(emissions[[#This Row],[Market-based]]=1,OR(emissions[[#This Row],[Impact Type]]="CO2E",emissions[[#This Row],[Impact Type]]="CO2E MKT")),emissions[[#This Row],[kgCO2e]],0)/1000</f>
        <v>0</v>
      </c>
      <c r="AQ657" t="str">
        <f>_xlfn.TEXTAFTER(emissions[[#This Row],[Reporting Unit]]," &gt; ",LEN(emissions[[#This Row],[Reporting Unit]])-LEN(SUBSTITUTE(emissions[[#This Row],[Reporting Unit]],"&gt;","")))</f>
        <v>Vantage_Chicago</v>
      </c>
      <c r="AR657" t="str">
        <f>_xlfn.XLOOKUP(emissions[[#This Row],[Reporting unit name]],hierarchy!$A:$A,hierarchy!$C:$C)</f>
        <v>Labratory</v>
      </c>
    </row>
    <row r="658" spans="1:44" hidden="1" x14ac:dyDescent="0.25">
      <c r="A658">
        <v>20579</v>
      </c>
      <c r="B658" t="s">
        <v>416</v>
      </c>
      <c r="C658" t="s">
        <v>475</v>
      </c>
      <c r="D658" t="s">
        <v>548</v>
      </c>
      <c r="E658" s="3">
        <v>44562</v>
      </c>
      <c r="F658" s="3">
        <v>44926</v>
      </c>
      <c r="G658" t="s">
        <v>108</v>
      </c>
      <c r="H658" s="3">
        <v>44562</v>
      </c>
      <c r="I658" s="3">
        <v>44926</v>
      </c>
      <c r="J658" t="s">
        <v>108</v>
      </c>
      <c r="K658">
        <v>32905016</v>
      </c>
      <c r="L658" t="s">
        <v>109</v>
      </c>
      <c r="M658" t="s">
        <v>110</v>
      </c>
      <c r="O658" t="s">
        <v>796</v>
      </c>
      <c r="P658" t="s">
        <v>550</v>
      </c>
      <c r="Q658">
        <v>2022</v>
      </c>
      <c r="R658" t="s">
        <v>551</v>
      </c>
      <c r="S658" t="s">
        <v>552</v>
      </c>
      <c r="T658" t="s">
        <v>553</v>
      </c>
      <c r="U658" t="b">
        <v>0</v>
      </c>
      <c r="V658" t="s">
        <v>763</v>
      </c>
      <c r="W658" t="s">
        <v>555</v>
      </c>
      <c r="X658" t="s">
        <v>556</v>
      </c>
      <c r="Y658" t="s">
        <v>472</v>
      </c>
      <c r="Z658" t="s">
        <v>485</v>
      </c>
      <c r="AA658" t="s">
        <v>764</v>
      </c>
      <c r="AB658" t="s">
        <v>765</v>
      </c>
      <c r="AC658">
        <v>0</v>
      </c>
      <c r="AD658" t="s">
        <v>566</v>
      </c>
      <c r="AE658">
        <v>53373.459949999997</v>
      </c>
      <c r="AF658">
        <v>1.622046E-3</v>
      </c>
      <c r="AG658" t="s">
        <v>560</v>
      </c>
      <c r="AH658">
        <v>1</v>
      </c>
      <c r="AI658">
        <v>32905016</v>
      </c>
      <c r="AJ658" t="s">
        <v>561</v>
      </c>
      <c r="AK658" t="s">
        <v>766</v>
      </c>
      <c r="AL658" t="s">
        <v>767</v>
      </c>
      <c r="AM658">
        <v>2022</v>
      </c>
      <c r="AN658">
        <v>2020</v>
      </c>
      <c r="AO658">
        <f>IF(AND(emissions[[#This Row],[Market-based]]=0,emissions[[#This Row],[Impact Type]]="CO2E"),emissions[[#This Row],[kgCO2e]],0)/1000</f>
        <v>0</v>
      </c>
      <c r="AP658">
        <f>IF(AND(emissions[[#This Row],[Market-based]]=1,OR(emissions[[#This Row],[Impact Type]]="CO2E",emissions[[#This Row],[Impact Type]]="CO2E MKT")),emissions[[#This Row],[kgCO2e]],0)/1000</f>
        <v>0</v>
      </c>
      <c r="AQ658" t="str">
        <f>_xlfn.TEXTAFTER(emissions[[#This Row],[Reporting Unit]]," &gt; ",LEN(emissions[[#This Row],[Reporting Unit]])-LEN(SUBSTITUTE(emissions[[#This Row],[Reporting Unit]],"&gt;","")))</f>
        <v>Vantage_Chicago</v>
      </c>
      <c r="AR658" t="str">
        <f>_xlfn.XLOOKUP(emissions[[#This Row],[Reporting unit name]],hierarchy!$A:$A,hierarchy!$C:$C)</f>
        <v>Labratory</v>
      </c>
    </row>
    <row r="659" spans="1:44" hidden="1" x14ac:dyDescent="0.25">
      <c r="A659">
        <v>20579</v>
      </c>
      <c r="B659" t="s">
        <v>416</v>
      </c>
      <c r="C659" t="s">
        <v>475</v>
      </c>
      <c r="D659" t="s">
        <v>548</v>
      </c>
      <c r="E659" s="3">
        <v>44562</v>
      </c>
      <c r="F659" s="3">
        <v>44926</v>
      </c>
      <c r="G659" t="s">
        <v>108</v>
      </c>
      <c r="H659" s="3">
        <v>44562</v>
      </c>
      <c r="I659" s="3">
        <v>44926</v>
      </c>
      <c r="J659" t="s">
        <v>108</v>
      </c>
      <c r="K659">
        <v>32905016</v>
      </c>
      <c r="L659" t="s">
        <v>109</v>
      </c>
      <c r="M659" t="s">
        <v>110</v>
      </c>
      <c r="O659" t="s">
        <v>796</v>
      </c>
      <c r="P659" t="s">
        <v>550</v>
      </c>
      <c r="Q659">
        <v>2022</v>
      </c>
      <c r="R659" t="s">
        <v>551</v>
      </c>
      <c r="S659" t="s">
        <v>552</v>
      </c>
      <c r="T659" t="s">
        <v>553</v>
      </c>
      <c r="U659" t="b">
        <v>1</v>
      </c>
      <c r="V659" t="s">
        <v>763</v>
      </c>
      <c r="W659" t="s">
        <v>555</v>
      </c>
      <c r="X659" t="s">
        <v>556</v>
      </c>
      <c r="AC659">
        <v>1</v>
      </c>
      <c r="AD659" t="s">
        <v>639</v>
      </c>
      <c r="AE659">
        <v>12586727.539999999</v>
      </c>
      <c r="AF659">
        <v>0.382516986</v>
      </c>
      <c r="AG659" t="s">
        <v>768</v>
      </c>
      <c r="AH659">
        <v>1</v>
      </c>
      <c r="AI659">
        <v>32905016</v>
      </c>
      <c r="AL659" t="s">
        <v>769</v>
      </c>
      <c r="AM659">
        <v>2022</v>
      </c>
      <c r="AO659">
        <f>IF(AND(emissions[[#This Row],[Market-based]]=0,emissions[[#This Row],[Impact Type]]="CO2E"),emissions[[#This Row],[kgCO2e]],0)/1000</f>
        <v>0</v>
      </c>
      <c r="AP659">
        <f>IF(AND(emissions[[#This Row],[Market-based]]=1,OR(emissions[[#This Row],[Impact Type]]="CO2E",emissions[[#This Row],[Impact Type]]="CO2E MKT")),emissions[[#This Row],[kgCO2e]],0)/1000</f>
        <v>12586.72754</v>
      </c>
      <c r="AQ659" t="str">
        <f>_xlfn.TEXTAFTER(emissions[[#This Row],[Reporting Unit]]," &gt; ",LEN(emissions[[#This Row],[Reporting Unit]])-LEN(SUBSTITUTE(emissions[[#This Row],[Reporting Unit]],"&gt;","")))</f>
        <v>Vantage_Chicago</v>
      </c>
      <c r="AR659" t="str">
        <f>_xlfn.XLOOKUP(emissions[[#This Row],[Reporting unit name]],hierarchy!$A:$A,hierarchy!$C:$C)</f>
        <v>Labratory</v>
      </c>
    </row>
    <row r="660" spans="1:44" hidden="1" x14ac:dyDescent="0.25">
      <c r="A660">
        <v>20579</v>
      </c>
      <c r="B660" t="s">
        <v>416</v>
      </c>
      <c r="C660" t="s">
        <v>475</v>
      </c>
      <c r="D660" t="s">
        <v>548</v>
      </c>
      <c r="E660" s="3">
        <v>44562</v>
      </c>
      <c r="F660" s="3">
        <v>44926</v>
      </c>
      <c r="G660" t="s">
        <v>108</v>
      </c>
      <c r="H660" s="3">
        <v>44562</v>
      </c>
      <c r="I660" s="3">
        <v>44926</v>
      </c>
      <c r="J660" t="s">
        <v>108</v>
      </c>
      <c r="K660">
        <v>32905016</v>
      </c>
      <c r="L660" t="s">
        <v>109</v>
      </c>
      <c r="M660" t="s">
        <v>110</v>
      </c>
      <c r="O660" t="s">
        <v>796</v>
      </c>
      <c r="P660" t="s">
        <v>550</v>
      </c>
      <c r="Q660">
        <v>2022</v>
      </c>
      <c r="R660" t="s">
        <v>567</v>
      </c>
      <c r="S660" t="s">
        <v>568</v>
      </c>
      <c r="T660" t="s">
        <v>569</v>
      </c>
      <c r="U660" t="b">
        <v>0</v>
      </c>
      <c r="V660" t="s">
        <v>770</v>
      </c>
      <c r="W660" t="s">
        <v>571</v>
      </c>
      <c r="X660" t="s">
        <v>572</v>
      </c>
      <c r="Y660" t="s">
        <v>472</v>
      </c>
      <c r="Z660" t="s">
        <v>485</v>
      </c>
      <c r="AA660" t="s">
        <v>764</v>
      </c>
      <c r="AB660" t="s">
        <v>765</v>
      </c>
      <c r="AC660">
        <v>0</v>
      </c>
      <c r="AD660" t="s">
        <v>565</v>
      </c>
      <c r="AE660">
        <v>231539.82339999999</v>
      </c>
      <c r="AF660">
        <v>7.0366120000000002E-3</v>
      </c>
      <c r="AG660" t="s">
        <v>560</v>
      </c>
      <c r="AH660">
        <v>1</v>
      </c>
      <c r="AI660">
        <v>32905016</v>
      </c>
      <c r="AJ660" t="s">
        <v>561</v>
      </c>
      <c r="AK660" t="s">
        <v>573</v>
      </c>
      <c r="AL660" t="s">
        <v>574</v>
      </c>
      <c r="AM660">
        <v>2022</v>
      </c>
      <c r="AN660">
        <v>2020</v>
      </c>
      <c r="AO660">
        <f>IF(AND(emissions[[#This Row],[Market-based]]=0,emissions[[#This Row],[Impact Type]]="CO2E"),emissions[[#This Row],[kgCO2e]],0)/1000</f>
        <v>231.53982339999999</v>
      </c>
      <c r="AP660">
        <f>IF(AND(emissions[[#This Row],[Market-based]]=1,OR(emissions[[#This Row],[Impact Type]]="CO2E",emissions[[#This Row],[Impact Type]]="CO2E MKT")),emissions[[#This Row],[kgCO2e]],0)/1000</f>
        <v>0</v>
      </c>
      <c r="AQ660" t="str">
        <f>_xlfn.TEXTAFTER(emissions[[#This Row],[Reporting Unit]]," &gt; ",LEN(emissions[[#This Row],[Reporting Unit]])-LEN(SUBSTITUTE(emissions[[#This Row],[Reporting Unit]],"&gt;","")))</f>
        <v>Vantage_Chicago</v>
      </c>
      <c r="AR660" t="str">
        <f>_xlfn.XLOOKUP(emissions[[#This Row],[Reporting unit name]],hierarchy!$A:$A,hierarchy!$C:$C)</f>
        <v>Labratory</v>
      </c>
    </row>
    <row r="661" spans="1:44" hidden="1" x14ac:dyDescent="0.25">
      <c r="A661">
        <v>20579</v>
      </c>
      <c r="B661" t="s">
        <v>416</v>
      </c>
      <c r="C661" t="s">
        <v>475</v>
      </c>
      <c r="D661" t="s">
        <v>548</v>
      </c>
      <c r="E661" s="3">
        <v>44562</v>
      </c>
      <c r="F661" s="3">
        <v>44926</v>
      </c>
      <c r="G661" t="s">
        <v>108</v>
      </c>
      <c r="H661" s="3">
        <v>44562</v>
      </c>
      <c r="I661" s="3">
        <v>44926</v>
      </c>
      <c r="J661" t="s">
        <v>108</v>
      </c>
      <c r="K661">
        <v>32905016</v>
      </c>
      <c r="L661" t="s">
        <v>109</v>
      </c>
      <c r="M661" t="s">
        <v>110</v>
      </c>
      <c r="O661" t="s">
        <v>796</v>
      </c>
      <c r="P661" t="s">
        <v>550</v>
      </c>
      <c r="Q661">
        <v>2022</v>
      </c>
      <c r="R661" t="s">
        <v>567</v>
      </c>
      <c r="S661" t="s">
        <v>568</v>
      </c>
      <c r="T661" t="s">
        <v>569</v>
      </c>
      <c r="U661" t="b">
        <v>0</v>
      </c>
      <c r="V661" t="s">
        <v>771</v>
      </c>
      <c r="W661" t="s">
        <v>571</v>
      </c>
      <c r="X661" t="s">
        <v>572</v>
      </c>
      <c r="Y661" t="s">
        <v>472</v>
      </c>
      <c r="Z661" t="s">
        <v>485</v>
      </c>
      <c r="AA661" t="s">
        <v>764</v>
      </c>
      <c r="AB661" t="s">
        <v>765</v>
      </c>
      <c r="AC661">
        <v>1</v>
      </c>
      <c r="AD661" t="s">
        <v>639</v>
      </c>
      <c r="AE661">
        <v>214774.4572</v>
      </c>
      <c r="AF661">
        <v>6.5271039999999997E-3</v>
      </c>
      <c r="AG661" t="s">
        <v>560</v>
      </c>
      <c r="AH661">
        <v>1</v>
      </c>
      <c r="AI661">
        <v>32905016</v>
      </c>
      <c r="AJ661" t="s">
        <v>561</v>
      </c>
      <c r="AK661" t="s">
        <v>573</v>
      </c>
      <c r="AL661" t="s">
        <v>772</v>
      </c>
      <c r="AM661">
        <v>2022</v>
      </c>
      <c r="AN661">
        <v>2019</v>
      </c>
      <c r="AO661">
        <f>IF(AND(emissions[[#This Row],[Market-based]]=0,emissions[[#This Row],[Impact Type]]="CO2E"),emissions[[#This Row],[kgCO2e]],0)/1000</f>
        <v>0</v>
      </c>
      <c r="AP661">
        <f>IF(AND(emissions[[#This Row],[Market-based]]=1,OR(emissions[[#This Row],[Impact Type]]="CO2E",emissions[[#This Row],[Impact Type]]="CO2E MKT")),emissions[[#This Row],[kgCO2e]],0)/1000</f>
        <v>214.7744572</v>
      </c>
      <c r="AQ661" t="str">
        <f>_xlfn.TEXTAFTER(emissions[[#This Row],[Reporting Unit]]," &gt; ",LEN(emissions[[#This Row],[Reporting Unit]])-LEN(SUBSTITUTE(emissions[[#This Row],[Reporting Unit]],"&gt;","")))</f>
        <v>Vantage_Chicago</v>
      </c>
      <c r="AR661" t="str">
        <f>_xlfn.XLOOKUP(emissions[[#This Row],[Reporting unit name]],hierarchy!$A:$A,hierarchy!$C:$C)</f>
        <v>Labratory</v>
      </c>
    </row>
    <row r="662" spans="1:44" hidden="1" x14ac:dyDescent="0.25">
      <c r="A662">
        <v>20579</v>
      </c>
      <c r="B662" t="s">
        <v>416</v>
      </c>
      <c r="C662" t="s">
        <v>475</v>
      </c>
      <c r="D662" t="s">
        <v>548</v>
      </c>
      <c r="E662" s="3">
        <v>44562</v>
      </c>
      <c r="F662" s="3">
        <v>44926</v>
      </c>
      <c r="G662" t="s">
        <v>108</v>
      </c>
      <c r="H662" s="3">
        <v>44562</v>
      </c>
      <c r="I662" s="3">
        <v>44926</v>
      </c>
      <c r="J662" t="s">
        <v>108</v>
      </c>
      <c r="K662">
        <v>32905016</v>
      </c>
      <c r="L662" t="s">
        <v>109</v>
      </c>
      <c r="M662" t="s">
        <v>110</v>
      </c>
      <c r="O662" t="s">
        <v>796</v>
      </c>
      <c r="P662" t="s">
        <v>550</v>
      </c>
      <c r="Q662">
        <v>2022</v>
      </c>
      <c r="R662" t="s">
        <v>575</v>
      </c>
      <c r="S662" t="s">
        <v>576</v>
      </c>
      <c r="T662" t="s">
        <v>577</v>
      </c>
      <c r="U662" t="b">
        <v>0</v>
      </c>
      <c r="V662" t="s">
        <v>773</v>
      </c>
      <c r="W662" t="s">
        <v>571</v>
      </c>
      <c r="X662" t="s">
        <v>572</v>
      </c>
      <c r="Y662" t="s">
        <v>472</v>
      </c>
      <c r="Z662" t="s">
        <v>485</v>
      </c>
      <c r="AA662" t="s">
        <v>764</v>
      </c>
      <c r="AB662" t="s">
        <v>765</v>
      </c>
      <c r="AC662">
        <v>0</v>
      </c>
      <c r="AD662" t="s">
        <v>565</v>
      </c>
      <c r="AE662">
        <v>4137136.09</v>
      </c>
      <c r="AF662">
        <v>0.125729648</v>
      </c>
      <c r="AG662" t="s">
        <v>560</v>
      </c>
      <c r="AH662">
        <v>1</v>
      </c>
      <c r="AI662">
        <v>32905016</v>
      </c>
      <c r="AJ662" t="s">
        <v>561</v>
      </c>
      <c r="AK662" t="s">
        <v>573</v>
      </c>
      <c r="AL662" t="s">
        <v>574</v>
      </c>
      <c r="AM662">
        <v>2022</v>
      </c>
      <c r="AN662">
        <v>2020</v>
      </c>
      <c r="AO662">
        <f>IF(AND(emissions[[#This Row],[Market-based]]=0,emissions[[#This Row],[Impact Type]]="CO2E"),emissions[[#This Row],[kgCO2e]],0)/1000</f>
        <v>4137.13609</v>
      </c>
      <c r="AP662">
        <f>IF(AND(emissions[[#This Row],[Market-based]]=1,OR(emissions[[#This Row],[Impact Type]]="CO2E",emissions[[#This Row],[Impact Type]]="CO2E MKT")),emissions[[#This Row],[kgCO2e]],0)/1000</f>
        <v>0</v>
      </c>
      <c r="AQ662" t="str">
        <f>_xlfn.TEXTAFTER(emissions[[#This Row],[Reporting Unit]]," &gt; ",LEN(emissions[[#This Row],[Reporting Unit]])-LEN(SUBSTITUTE(emissions[[#This Row],[Reporting Unit]],"&gt;","")))</f>
        <v>Vantage_Chicago</v>
      </c>
      <c r="AR662" t="str">
        <f>_xlfn.XLOOKUP(emissions[[#This Row],[Reporting unit name]],hierarchy!$A:$A,hierarchy!$C:$C)</f>
        <v>Labratory</v>
      </c>
    </row>
    <row r="663" spans="1:44" hidden="1" x14ac:dyDescent="0.25">
      <c r="A663">
        <v>20579</v>
      </c>
      <c r="B663" t="s">
        <v>416</v>
      </c>
      <c r="C663" t="s">
        <v>475</v>
      </c>
      <c r="D663" t="s">
        <v>548</v>
      </c>
      <c r="E663" s="3">
        <v>44562</v>
      </c>
      <c r="F663" s="3">
        <v>44926</v>
      </c>
      <c r="G663" t="s">
        <v>108</v>
      </c>
      <c r="H663" s="3">
        <v>44562</v>
      </c>
      <c r="I663" s="3">
        <v>44926</v>
      </c>
      <c r="J663" t="s">
        <v>108</v>
      </c>
      <c r="K663">
        <v>32905016</v>
      </c>
      <c r="L663" t="s">
        <v>109</v>
      </c>
      <c r="M663" t="s">
        <v>110</v>
      </c>
      <c r="O663" t="s">
        <v>796</v>
      </c>
      <c r="P663" t="s">
        <v>550</v>
      </c>
      <c r="Q663">
        <v>2022</v>
      </c>
      <c r="R663" t="s">
        <v>575</v>
      </c>
      <c r="S663" t="s">
        <v>576</v>
      </c>
      <c r="T663" t="s">
        <v>577</v>
      </c>
      <c r="U663" t="b">
        <v>0</v>
      </c>
      <c r="V663" t="s">
        <v>774</v>
      </c>
      <c r="W663" t="s">
        <v>571</v>
      </c>
      <c r="X663" t="s">
        <v>572</v>
      </c>
      <c r="Y663" t="s">
        <v>472</v>
      </c>
      <c r="Z663" t="s">
        <v>485</v>
      </c>
      <c r="AA663" t="s">
        <v>764</v>
      </c>
      <c r="AB663" t="s">
        <v>765</v>
      </c>
      <c r="AC663">
        <v>1</v>
      </c>
      <c r="AD663" t="s">
        <v>639</v>
      </c>
      <c r="AE663">
        <v>4211263.8660000004</v>
      </c>
      <c r="AF663">
        <v>0.12798242900000001</v>
      </c>
      <c r="AG663" t="s">
        <v>560</v>
      </c>
      <c r="AH663">
        <v>1</v>
      </c>
      <c r="AI663">
        <v>32905016</v>
      </c>
      <c r="AJ663" t="s">
        <v>561</v>
      </c>
      <c r="AK663" t="s">
        <v>573</v>
      </c>
      <c r="AL663" t="s">
        <v>775</v>
      </c>
      <c r="AM663">
        <v>2022</v>
      </c>
      <c r="AN663">
        <v>2019</v>
      </c>
      <c r="AO663">
        <f>IF(AND(emissions[[#This Row],[Market-based]]=0,emissions[[#This Row],[Impact Type]]="CO2E"),emissions[[#This Row],[kgCO2e]],0)/1000</f>
        <v>0</v>
      </c>
      <c r="AP663">
        <f>IF(AND(emissions[[#This Row],[Market-based]]=1,OR(emissions[[#This Row],[Impact Type]]="CO2E",emissions[[#This Row],[Impact Type]]="CO2E MKT")),emissions[[#This Row],[kgCO2e]],0)/1000</f>
        <v>4211.2638660000002</v>
      </c>
      <c r="AQ663" t="str">
        <f>_xlfn.TEXTAFTER(emissions[[#This Row],[Reporting Unit]]," &gt; ",LEN(emissions[[#This Row],[Reporting Unit]])-LEN(SUBSTITUTE(emissions[[#This Row],[Reporting Unit]],"&gt;","")))</f>
        <v>Vantage_Chicago</v>
      </c>
      <c r="AR663" t="str">
        <f>_xlfn.XLOOKUP(emissions[[#This Row],[Reporting unit name]],hierarchy!$A:$A,hierarchy!$C:$C)</f>
        <v>Labratory</v>
      </c>
    </row>
    <row r="664" spans="1:44" hidden="1" x14ac:dyDescent="0.25">
      <c r="A664">
        <v>20579</v>
      </c>
      <c r="B664" t="s">
        <v>416</v>
      </c>
      <c r="C664" t="s">
        <v>475</v>
      </c>
      <c r="D664" t="s">
        <v>548</v>
      </c>
      <c r="E664" s="3">
        <v>44562</v>
      </c>
      <c r="F664" s="3">
        <v>44926</v>
      </c>
      <c r="G664" t="s">
        <v>108</v>
      </c>
      <c r="H664" s="3">
        <v>44562</v>
      </c>
      <c r="I664" s="3">
        <v>44926</v>
      </c>
      <c r="J664" t="s">
        <v>108</v>
      </c>
      <c r="K664">
        <v>32905016</v>
      </c>
      <c r="L664" t="s">
        <v>109</v>
      </c>
      <c r="M664" t="s">
        <v>110</v>
      </c>
      <c r="O664" t="s">
        <v>796</v>
      </c>
      <c r="P664" t="s">
        <v>550</v>
      </c>
      <c r="Q664">
        <v>2022</v>
      </c>
      <c r="R664" t="s">
        <v>579</v>
      </c>
      <c r="S664" t="s">
        <v>580</v>
      </c>
      <c r="T664" t="s">
        <v>581</v>
      </c>
      <c r="U664" t="b">
        <v>0</v>
      </c>
      <c r="V664" t="s">
        <v>776</v>
      </c>
      <c r="W664" t="s">
        <v>571</v>
      </c>
      <c r="X664" t="s">
        <v>572</v>
      </c>
      <c r="Y664" t="s">
        <v>472</v>
      </c>
      <c r="Z664" t="s">
        <v>485</v>
      </c>
      <c r="AA664" t="s">
        <v>764</v>
      </c>
      <c r="AB664" t="s">
        <v>765</v>
      </c>
      <c r="AC664">
        <v>0</v>
      </c>
      <c r="AD664" t="s">
        <v>565</v>
      </c>
      <c r="AE664">
        <v>783695.21400000004</v>
      </c>
      <c r="AF664">
        <v>2.3816891999999999E-2</v>
      </c>
      <c r="AG664" t="s">
        <v>560</v>
      </c>
      <c r="AH664">
        <v>1</v>
      </c>
      <c r="AI664">
        <v>32905016</v>
      </c>
      <c r="AJ664" t="s">
        <v>561</v>
      </c>
      <c r="AK664" t="s">
        <v>766</v>
      </c>
      <c r="AL664" t="s">
        <v>767</v>
      </c>
      <c r="AM664">
        <v>2022</v>
      </c>
      <c r="AN664">
        <v>2020</v>
      </c>
      <c r="AO664">
        <f>IF(AND(emissions[[#This Row],[Market-based]]=0,emissions[[#This Row],[Impact Type]]="CO2E"),emissions[[#This Row],[kgCO2e]],0)/1000</f>
        <v>783.69521400000008</v>
      </c>
      <c r="AP664">
        <f>IF(AND(emissions[[#This Row],[Market-based]]=1,OR(emissions[[#This Row],[Impact Type]]="CO2E",emissions[[#This Row],[Impact Type]]="CO2E MKT")),emissions[[#This Row],[kgCO2e]],0)/1000</f>
        <v>0</v>
      </c>
      <c r="AQ664" t="str">
        <f>_xlfn.TEXTAFTER(emissions[[#This Row],[Reporting Unit]]," &gt; ",LEN(emissions[[#This Row],[Reporting Unit]])-LEN(SUBSTITUTE(emissions[[#This Row],[Reporting Unit]],"&gt;","")))</f>
        <v>Vantage_Chicago</v>
      </c>
      <c r="AR664" t="str">
        <f>_xlfn.XLOOKUP(emissions[[#This Row],[Reporting unit name]],hierarchy!$A:$A,hierarchy!$C:$C)</f>
        <v>Labratory</v>
      </c>
    </row>
    <row r="665" spans="1:44" hidden="1" x14ac:dyDescent="0.25">
      <c r="A665">
        <v>20579</v>
      </c>
      <c r="B665" t="s">
        <v>416</v>
      </c>
      <c r="C665" t="s">
        <v>475</v>
      </c>
      <c r="D665" t="s">
        <v>548</v>
      </c>
      <c r="E665" s="3">
        <v>44562</v>
      </c>
      <c r="F665" s="3">
        <v>44926</v>
      </c>
      <c r="G665" t="s">
        <v>108</v>
      </c>
      <c r="H665" s="3">
        <v>44562</v>
      </c>
      <c r="I665" s="3">
        <v>44926</v>
      </c>
      <c r="J665" t="s">
        <v>108</v>
      </c>
      <c r="K665">
        <v>32905016</v>
      </c>
      <c r="L665" t="s">
        <v>109</v>
      </c>
      <c r="M665" t="s">
        <v>110</v>
      </c>
      <c r="O665" t="s">
        <v>796</v>
      </c>
      <c r="P665" t="s">
        <v>550</v>
      </c>
      <c r="Q665">
        <v>2022</v>
      </c>
      <c r="R665" t="s">
        <v>579</v>
      </c>
      <c r="S665" t="s">
        <v>580</v>
      </c>
      <c r="T665" t="s">
        <v>581</v>
      </c>
      <c r="U665" t="b">
        <v>0</v>
      </c>
      <c r="V665" t="s">
        <v>777</v>
      </c>
      <c r="W665" t="s">
        <v>571</v>
      </c>
      <c r="X665" t="s">
        <v>572</v>
      </c>
      <c r="Y665" t="s">
        <v>472</v>
      </c>
      <c r="Z665" t="s">
        <v>485</v>
      </c>
      <c r="AA665" t="s">
        <v>764</v>
      </c>
      <c r="AB665" t="s">
        <v>765</v>
      </c>
      <c r="AC665">
        <v>1</v>
      </c>
      <c r="AD665" t="s">
        <v>639</v>
      </c>
      <c r="AE665">
        <v>813013.46750000003</v>
      </c>
      <c r="AF665">
        <v>2.4707889E-2</v>
      </c>
      <c r="AG665" t="s">
        <v>560</v>
      </c>
      <c r="AH665">
        <v>1</v>
      </c>
      <c r="AI665">
        <v>32905016</v>
      </c>
      <c r="AJ665" t="s">
        <v>561</v>
      </c>
      <c r="AK665" t="s">
        <v>573</v>
      </c>
      <c r="AL665" t="s">
        <v>778</v>
      </c>
      <c r="AM665">
        <v>2022</v>
      </c>
      <c r="AN665">
        <v>2019</v>
      </c>
      <c r="AO665">
        <f>IF(AND(emissions[[#This Row],[Market-based]]=0,emissions[[#This Row],[Impact Type]]="CO2E"),emissions[[#This Row],[kgCO2e]],0)/1000</f>
        <v>0</v>
      </c>
      <c r="AP665">
        <f>IF(AND(emissions[[#This Row],[Market-based]]=1,OR(emissions[[#This Row],[Impact Type]]="CO2E",emissions[[#This Row],[Impact Type]]="CO2E MKT")),emissions[[#This Row],[kgCO2e]],0)/1000</f>
        <v>813.01346750000005</v>
      </c>
      <c r="AQ665" t="str">
        <f>_xlfn.TEXTAFTER(emissions[[#This Row],[Reporting Unit]]," &gt; ",LEN(emissions[[#This Row],[Reporting Unit]])-LEN(SUBSTITUTE(emissions[[#This Row],[Reporting Unit]],"&gt;","")))</f>
        <v>Vantage_Chicago</v>
      </c>
      <c r="AR665" t="str">
        <f>_xlfn.XLOOKUP(emissions[[#This Row],[Reporting unit name]],hierarchy!$A:$A,hierarchy!$C:$C)</f>
        <v>Labratory</v>
      </c>
    </row>
    <row r="666" spans="1:44" hidden="1" x14ac:dyDescent="0.25">
      <c r="A666">
        <v>20569</v>
      </c>
      <c r="B666" t="s">
        <v>416</v>
      </c>
      <c r="C666" t="s">
        <v>475</v>
      </c>
      <c r="D666" t="s">
        <v>548</v>
      </c>
      <c r="E666" s="3">
        <v>44562</v>
      </c>
      <c r="F666" s="3">
        <v>44926</v>
      </c>
      <c r="G666" t="s">
        <v>135</v>
      </c>
      <c r="H666" s="3">
        <v>44562</v>
      </c>
      <c r="I666" s="3">
        <v>44926</v>
      </c>
      <c r="J666" t="s">
        <v>135</v>
      </c>
      <c r="K666">
        <v>9186501</v>
      </c>
      <c r="L666" t="s">
        <v>136</v>
      </c>
      <c r="M666" t="s">
        <v>110</v>
      </c>
      <c r="O666" t="s">
        <v>797</v>
      </c>
      <c r="P666" t="s">
        <v>550</v>
      </c>
      <c r="Q666">
        <v>2022</v>
      </c>
      <c r="R666" t="s">
        <v>605</v>
      </c>
      <c r="S666" t="s">
        <v>606</v>
      </c>
      <c r="T666" t="s">
        <v>553</v>
      </c>
      <c r="U666" t="b">
        <v>0</v>
      </c>
      <c r="V666" t="s">
        <v>781</v>
      </c>
      <c r="W666" t="s">
        <v>587</v>
      </c>
      <c r="X666" t="s">
        <v>556</v>
      </c>
      <c r="Y666" t="s">
        <v>472</v>
      </c>
      <c r="Z666" t="s">
        <v>485</v>
      </c>
      <c r="AA666" t="s">
        <v>764</v>
      </c>
      <c r="AC666">
        <v>0</v>
      </c>
      <c r="AD666" t="s">
        <v>558</v>
      </c>
      <c r="AE666">
        <v>22966.252499999999</v>
      </c>
      <c r="AF666">
        <v>2.5000000000000001E-2</v>
      </c>
      <c r="AG666" t="s">
        <v>798</v>
      </c>
      <c r="AH666">
        <v>0.1</v>
      </c>
      <c r="AI666">
        <v>918650.1</v>
      </c>
      <c r="AJ666" t="s">
        <v>561</v>
      </c>
      <c r="AK666" t="s">
        <v>766</v>
      </c>
      <c r="AL666" t="s">
        <v>787</v>
      </c>
      <c r="AM666">
        <v>2022</v>
      </c>
      <c r="AN666">
        <v>2021</v>
      </c>
      <c r="AO666">
        <f>IF(AND(emissions[[#This Row],[Market-based]]=0,emissions[[#This Row],[Impact Type]]="CO2E"),emissions[[#This Row],[kgCO2e]],0)/1000</f>
        <v>0</v>
      </c>
      <c r="AP666">
        <f>IF(AND(emissions[[#This Row],[Market-based]]=1,OR(emissions[[#This Row],[Impact Type]]="CO2E",emissions[[#This Row],[Impact Type]]="CO2E MKT")),emissions[[#This Row],[kgCO2e]],0)/1000</f>
        <v>0</v>
      </c>
      <c r="AQ666" t="str">
        <f>_xlfn.TEXTAFTER(emissions[[#This Row],[Reporting Unit]]," &gt; ",LEN(emissions[[#This Row],[Reporting Unit]])-LEN(SUBSTITUTE(emissions[[#This Row],[Reporting Unit]],"&gt;","")))</f>
        <v>Vantage_Chicago</v>
      </c>
      <c r="AR666" t="str">
        <f>_xlfn.XLOOKUP(emissions[[#This Row],[Reporting unit name]],hierarchy!$A:$A,hierarchy!$C:$C)</f>
        <v>Labratory</v>
      </c>
    </row>
    <row r="667" spans="1:44" hidden="1" x14ac:dyDescent="0.25">
      <c r="A667">
        <v>20569</v>
      </c>
      <c r="B667" t="s">
        <v>416</v>
      </c>
      <c r="C667" t="s">
        <v>475</v>
      </c>
      <c r="D667" t="s">
        <v>548</v>
      </c>
      <c r="E667" s="3">
        <v>44562</v>
      </c>
      <c r="F667" s="3">
        <v>44926</v>
      </c>
      <c r="G667" t="s">
        <v>135</v>
      </c>
      <c r="H667" s="3">
        <v>44562</v>
      </c>
      <c r="I667" s="3">
        <v>44926</v>
      </c>
      <c r="J667" t="s">
        <v>135</v>
      </c>
      <c r="K667">
        <v>9186501</v>
      </c>
      <c r="L667" t="s">
        <v>136</v>
      </c>
      <c r="M667" t="s">
        <v>110</v>
      </c>
      <c r="O667" t="s">
        <v>797</v>
      </c>
      <c r="P667" t="s">
        <v>550</v>
      </c>
      <c r="Q667">
        <v>2022</v>
      </c>
      <c r="R667" t="s">
        <v>605</v>
      </c>
      <c r="S667" t="s">
        <v>606</v>
      </c>
      <c r="T667" t="s">
        <v>553</v>
      </c>
      <c r="U667" t="b">
        <v>0</v>
      </c>
      <c r="V667" t="s">
        <v>781</v>
      </c>
      <c r="W667" t="s">
        <v>587</v>
      </c>
      <c r="X667" t="s">
        <v>556</v>
      </c>
      <c r="Y667" t="s">
        <v>472</v>
      </c>
      <c r="Z667" t="s">
        <v>485</v>
      </c>
      <c r="AA667" t="s">
        <v>764</v>
      </c>
      <c r="AC667">
        <v>0</v>
      </c>
      <c r="AD667" t="s">
        <v>564</v>
      </c>
      <c r="AE667">
        <v>48743574.310000002</v>
      </c>
      <c r="AF667">
        <v>53.06</v>
      </c>
      <c r="AG667" t="s">
        <v>798</v>
      </c>
      <c r="AH667">
        <v>0.1</v>
      </c>
      <c r="AI667">
        <v>918650.1</v>
      </c>
      <c r="AJ667" t="s">
        <v>561</v>
      </c>
      <c r="AK667" t="s">
        <v>766</v>
      </c>
      <c r="AL667" t="s">
        <v>767</v>
      </c>
      <c r="AM667">
        <v>2022</v>
      </c>
      <c r="AN667">
        <v>2022</v>
      </c>
      <c r="AO667">
        <f>IF(AND(emissions[[#This Row],[Market-based]]=0,emissions[[#This Row],[Impact Type]]="CO2E"),emissions[[#This Row],[kgCO2e]],0)/1000</f>
        <v>0</v>
      </c>
      <c r="AP667">
        <f>IF(AND(emissions[[#This Row],[Market-based]]=1,OR(emissions[[#This Row],[Impact Type]]="CO2E",emissions[[#This Row],[Impact Type]]="CO2E MKT")),emissions[[#This Row],[kgCO2e]],0)/1000</f>
        <v>0</v>
      </c>
      <c r="AQ667" t="str">
        <f>_xlfn.TEXTAFTER(emissions[[#This Row],[Reporting Unit]]," &gt; ",LEN(emissions[[#This Row],[Reporting Unit]])-LEN(SUBSTITUTE(emissions[[#This Row],[Reporting Unit]],"&gt;","")))</f>
        <v>Vantage_Chicago</v>
      </c>
      <c r="AR667" t="str">
        <f>_xlfn.XLOOKUP(emissions[[#This Row],[Reporting unit name]],hierarchy!$A:$A,hierarchy!$C:$C)</f>
        <v>Labratory</v>
      </c>
    </row>
    <row r="668" spans="1:44" hidden="1" x14ac:dyDescent="0.25">
      <c r="A668">
        <v>20569</v>
      </c>
      <c r="B668" t="s">
        <v>416</v>
      </c>
      <c r="C668" t="s">
        <v>475</v>
      </c>
      <c r="D668" t="s">
        <v>548</v>
      </c>
      <c r="E668" s="3">
        <v>44562</v>
      </c>
      <c r="F668" s="3">
        <v>44926</v>
      </c>
      <c r="G668" t="s">
        <v>135</v>
      </c>
      <c r="H668" s="3">
        <v>44562</v>
      </c>
      <c r="I668" s="3">
        <v>44926</v>
      </c>
      <c r="J668" t="s">
        <v>135</v>
      </c>
      <c r="K668">
        <v>9186501</v>
      </c>
      <c r="L668" t="s">
        <v>136</v>
      </c>
      <c r="M668" t="s">
        <v>110</v>
      </c>
      <c r="O668" t="s">
        <v>797</v>
      </c>
      <c r="P668" t="s">
        <v>550</v>
      </c>
      <c r="Q668">
        <v>2022</v>
      </c>
      <c r="R668" t="s">
        <v>605</v>
      </c>
      <c r="S668" t="s">
        <v>606</v>
      </c>
      <c r="T668" t="s">
        <v>553</v>
      </c>
      <c r="U668" t="b">
        <v>0</v>
      </c>
      <c r="V668" t="s">
        <v>781</v>
      </c>
      <c r="W668" t="s">
        <v>587</v>
      </c>
      <c r="X668" t="s">
        <v>556</v>
      </c>
      <c r="Y668" t="s">
        <v>472</v>
      </c>
      <c r="Z668" t="s">
        <v>485</v>
      </c>
      <c r="AA668" t="s">
        <v>764</v>
      </c>
      <c r="AC668">
        <v>0</v>
      </c>
      <c r="AD668" t="s">
        <v>565</v>
      </c>
      <c r="AE668">
        <v>48793916.329999998</v>
      </c>
      <c r="AF668">
        <v>53.114800000000002</v>
      </c>
      <c r="AG668" t="s">
        <v>798</v>
      </c>
      <c r="AH668">
        <v>0.1</v>
      </c>
      <c r="AI668">
        <v>918650.1</v>
      </c>
      <c r="AJ668" t="s">
        <v>561</v>
      </c>
      <c r="AK668" t="s">
        <v>766</v>
      </c>
      <c r="AL668" t="s">
        <v>787</v>
      </c>
      <c r="AM668">
        <v>2022</v>
      </c>
      <c r="AN668">
        <v>2021</v>
      </c>
      <c r="AO668">
        <f>IF(AND(emissions[[#This Row],[Market-based]]=0,emissions[[#This Row],[Impact Type]]="CO2E"),emissions[[#This Row],[kgCO2e]],0)/1000</f>
        <v>48793.91633</v>
      </c>
      <c r="AP668">
        <f>IF(AND(emissions[[#This Row],[Market-based]]=1,OR(emissions[[#This Row],[Impact Type]]="CO2E",emissions[[#This Row],[Impact Type]]="CO2E MKT")),emissions[[#This Row],[kgCO2e]],0)/1000</f>
        <v>0</v>
      </c>
      <c r="AQ668" t="str">
        <f>_xlfn.TEXTAFTER(emissions[[#This Row],[Reporting Unit]]," &gt; ",LEN(emissions[[#This Row],[Reporting Unit]])-LEN(SUBSTITUTE(emissions[[#This Row],[Reporting Unit]],"&gt;","")))</f>
        <v>Vantage_Chicago</v>
      </c>
      <c r="AR668" t="str">
        <f>_xlfn.XLOOKUP(emissions[[#This Row],[Reporting unit name]],hierarchy!$A:$A,hierarchy!$C:$C)</f>
        <v>Labratory</v>
      </c>
    </row>
    <row r="669" spans="1:44" hidden="1" x14ac:dyDescent="0.25">
      <c r="A669">
        <v>20569</v>
      </c>
      <c r="B669" t="s">
        <v>416</v>
      </c>
      <c r="C669" t="s">
        <v>475</v>
      </c>
      <c r="D669" t="s">
        <v>548</v>
      </c>
      <c r="E669" s="3">
        <v>44562</v>
      </c>
      <c r="F669" s="3">
        <v>44926</v>
      </c>
      <c r="G669" t="s">
        <v>135</v>
      </c>
      <c r="H669" s="3">
        <v>44562</v>
      </c>
      <c r="I669" s="3">
        <v>44926</v>
      </c>
      <c r="J669" t="s">
        <v>135</v>
      </c>
      <c r="K669">
        <v>9186501</v>
      </c>
      <c r="L669" t="s">
        <v>136</v>
      </c>
      <c r="M669" t="s">
        <v>110</v>
      </c>
      <c r="O669" t="s">
        <v>797</v>
      </c>
      <c r="P669" t="s">
        <v>550</v>
      </c>
      <c r="Q669">
        <v>2022</v>
      </c>
      <c r="R669" t="s">
        <v>605</v>
      </c>
      <c r="S669" t="s">
        <v>606</v>
      </c>
      <c r="T669" t="s">
        <v>553</v>
      </c>
      <c r="U669" t="b">
        <v>0</v>
      </c>
      <c r="V669" t="s">
        <v>781</v>
      </c>
      <c r="W669" t="s">
        <v>587</v>
      </c>
      <c r="X669" t="s">
        <v>556</v>
      </c>
      <c r="Y669" t="s">
        <v>472</v>
      </c>
      <c r="Z669" t="s">
        <v>485</v>
      </c>
      <c r="AA669" t="s">
        <v>764</v>
      </c>
      <c r="AC669">
        <v>0</v>
      </c>
      <c r="AD669" t="s">
        <v>566</v>
      </c>
      <c r="AE669">
        <v>27375.772980000002</v>
      </c>
      <c r="AF669">
        <v>2.98E-2</v>
      </c>
      <c r="AG669" t="s">
        <v>798</v>
      </c>
      <c r="AH669">
        <v>0.1</v>
      </c>
      <c r="AI669">
        <v>918650.1</v>
      </c>
      <c r="AJ669" t="s">
        <v>561</v>
      </c>
      <c r="AK669" t="s">
        <v>766</v>
      </c>
      <c r="AL669" t="s">
        <v>767</v>
      </c>
      <c r="AM669">
        <v>2022</v>
      </c>
      <c r="AN669">
        <v>2022</v>
      </c>
      <c r="AO669">
        <f>IF(AND(emissions[[#This Row],[Market-based]]=0,emissions[[#This Row],[Impact Type]]="CO2E"),emissions[[#This Row],[kgCO2e]],0)/1000</f>
        <v>0</v>
      </c>
      <c r="AP669">
        <f>IF(AND(emissions[[#This Row],[Market-based]]=1,OR(emissions[[#This Row],[Impact Type]]="CO2E",emissions[[#This Row],[Impact Type]]="CO2E MKT")),emissions[[#This Row],[kgCO2e]],0)/1000</f>
        <v>0</v>
      </c>
      <c r="AQ669" t="str">
        <f>_xlfn.TEXTAFTER(emissions[[#This Row],[Reporting Unit]]," &gt; ",LEN(emissions[[#This Row],[Reporting Unit]])-LEN(SUBSTITUTE(emissions[[#This Row],[Reporting Unit]],"&gt;","")))</f>
        <v>Vantage_Chicago</v>
      </c>
      <c r="AR669" t="str">
        <f>_xlfn.XLOOKUP(emissions[[#This Row],[Reporting unit name]],hierarchy!$A:$A,hierarchy!$C:$C)</f>
        <v>Labratory</v>
      </c>
    </row>
    <row r="670" spans="1:44" hidden="1" x14ac:dyDescent="0.25">
      <c r="A670">
        <v>20569</v>
      </c>
      <c r="B670" t="s">
        <v>416</v>
      </c>
      <c r="C670" t="s">
        <v>475</v>
      </c>
      <c r="D670" t="s">
        <v>548</v>
      </c>
      <c r="E670" s="3">
        <v>44562</v>
      </c>
      <c r="F670" s="3">
        <v>44926</v>
      </c>
      <c r="G670" t="s">
        <v>135</v>
      </c>
      <c r="H670" s="3">
        <v>44562</v>
      </c>
      <c r="I670" s="3">
        <v>44926</v>
      </c>
      <c r="J670" t="s">
        <v>135</v>
      </c>
      <c r="K670">
        <v>9186501</v>
      </c>
      <c r="L670" t="s">
        <v>136</v>
      </c>
      <c r="M670" t="s">
        <v>110</v>
      </c>
      <c r="O670" t="s">
        <v>797</v>
      </c>
      <c r="P670" t="s">
        <v>550</v>
      </c>
      <c r="Q670">
        <v>2022</v>
      </c>
      <c r="R670" t="s">
        <v>605</v>
      </c>
      <c r="S670" t="s">
        <v>606</v>
      </c>
      <c r="T670" t="s">
        <v>553</v>
      </c>
      <c r="U670" t="b">
        <v>0</v>
      </c>
      <c r="V670" t="s">
        <v>781</v>
      </c>
      <c r="W670" t="s">
        <v>587</v>
      </c>
      <c r="X670" t="s">
        <v>556</v>
      </c>
      <c r="Y670" t="s">
        <v>472</v>
      </c>
      <c r="Z670" t="s">
        <v>485</v>
      </c>
      <c r="AA670" t="s">
        <v>764</v>
      </c>
      <c r="AC670">
        <v>1</v>
      </c>
      <c r="AD670" t="s">
        <v>558</v>
      </c>
      <c r="AE670">
        <v>22966.252499999999</v>
      </c>
      <c r="AF670">
        <v>2.5000000000000001E-2</v>
      </c>
      <c r="AG670" t="s">
        <v>798</v>
      </c>
      <c r="AH670">
        <v>0.1</v>
      </c>
      <c r="AI670">
        <v>918650.1</v>
      </c>
      <c r="AJ670" t="s">
        <v>561</v>
      </c>
      <c r="AK670" t="s">
        <v>766</v>
      </c>
      <c r="AL670" t="s">
        <v>787</v>
      </c>
      <c r="AM670">
        <v>2022</v>
      </c>
      <c r="AN670">
        <v>2021</v>
      </c>
      <c r="AO670">
        <f>IF(AND(emissions[[#This Row],[Market-based]]=0,emissions[[#This Row],[Impact Type]]="CO2E"),emissions[[#This Row],[kgCO2e]],0)/1000</f>
        <v>0</v>
      </c>
      <c r="AP670">
        <f>IF(AND(emissions[[#This Row],[Market-based]]=1,OR(emissions[[#This Row],[Impact Type]]="CO2E",emissions[[#This Row],[Impact Type]]="CO2E MKT")),emissions[[#This Row],[kgCO2e]],0)/1000</f>
        <v>0</v>
      </c>
      <c r="AQ670" t="str">
        <f>_xlfn.TEXTAFTER(emissions[[#This Row],[Reporting Unit]]," &gt; ",LEN(emissions[[#This Row],[Reporting Unit]])-LEN(SUBSTITUTE(emissions[[#This Row],[Reporting Unit]],"&gt;","")))</f>
        <v>Vantage_Chicago</v>
      </c>
      <c r="AR670" t="str">
        <f>_xlfn.XLOOKUP(emissions[[#This Row],[Reporting unit name]],hierarchy!$A:$A,hierarchy!$C:$C)</f>
        <v>Labratory</v>
      </c>
    </row>
    <row r="671" spans="1:44" hidden="1" x14ac:dyDescent="0.25">
      <c r="A671">
        <v>20569</v>
      </c>
      <c r="B671" t="s">
        <v>416</v>
      </c>
      <c r="C671" t="s">
        <v>475</v>
      </c>
      <c r="D671" t="s">
        <v>548</v>
      </c>
      <c r="E671" s="3">
        <v>44562</v>
      </c>
      <c r="F671" s="3">
        <v>44926</v>
      </c>
      <c r="G671" t="s">
        <v>135</v>
      </c>
      <c r="H671" s="3">
        <v>44562</v>
      </c>
      <c r="I671" s="3">
        <v>44926</v>
      </c>
      <c r="J671" t="s">
        <v>135</v>
      </c>
      <c r="K671">
        <v>9186501</v>
      </c>
      <c r="L671" t="s">
        <v>136</v>
      </c>
      <c r="M671" t="s">
        <v>110</v>
      </c>
      <c r="O671" t="s">
        <v>797</v>
      </c>
      <c r="P671" t="s">
        <v>550</v>
      </c>
      <c r="Q671">
        <v>2022</v>
      </c>
      <c r="R671" t="s">
        <v>605</v>
      </c>
      <c r="S671" t="s">
        <v>606</v>
      </c>
      <c r="T671" t="s">
        <v>553</v>
      </c>
      <c r="U671" t="b">
        <v>0</v>
      </c>
      <c r="V671" t="s">
        <v>781</v>
      </c>
      <c r="W671" t="s">
        <v>587</v>
      </c>
      <c r="X671" t="s">
        <v>556</v>
      </c>
      <c r="Y671" t="s">
        <v>472</v>
      </c>
      <c r="Z671" t="s">
        <v>485</v>
      </c>
      <c r="AA671" t="s">
        <v>764</v>
      </c>
      <c r="AC671">
        <v>1</v>
      </c>
      <c r="AD671" t="s">
        <v>564</v>
      </c>
      <c r="AE671">
        <v>48743574.310000002</v>
      </c>
      <c r="AF671">
        <v>53.06</v>
      </c>
      <c r="AG671" t="s">
        <v>798</v>
      </c>
      <c r="AH671">
        <v>0.1</v>
      </c>
      <c r="AI671">
        <v>918650.1</v>
      </c>
      <c r="AJ671" t="s">
        <v>561</v>
      </c>
      <c r="AK671" t="s">
        <v>766</v>
      </c>
      <c r="AL671" t="s">
        <v>767</v>
      </c>
      <c r="AM671">
        <v>2022</v>
      </c>
      <c r="AN671">
        <v>2022</v>
      </c>
      <c r="AO671">
        <f>IF(AND(emissions[[#This Row],[Market-based]]=0,emissions[[#This Row],[Impact Type]]="CO2E"),emissions[[#This Row],[kgCO2e]],0)/1000</f>
        <v>0</v>
      </c>
      <c r="AP671">
        <f>IF(AND(emissions[[#This Row],[Market-based]]=1,OR(emissions[[#This Row],[Impact Type]]="CO2E",emissions[[#This Row],[Impact Type]]="CO2E MKT")),emissions[[#This Row],[kgCO2e]],0)/1000</f>
        <v>0</v>
      </c>
      <c r="AQ671" t="str">
        <f>_xlfn.TEXTAFTER(emissions[[#This Row],[Reporting Unit]]," &gt; ",LEN(emissions[[#This Row],[Reporting Unit]])-LEN(SUBSTITUTE(emissions[[#This Row],[Reporting Unit]],"&gt;","")))</f>
        <v>Vantage_Chicago</v>
      </c>
      <c r="AR671" t="str">
        <f>_xlfn.XLOOKUP(emissions[[#This Row],[Reporting unit name]],hierarchy!$A:$A,hierarchy!$C:$C)</f>
        <v>Labratory</v>
      </c>
    </row>
    <row r="672" spans="1:44" hidden="1" x14ac:dyDescent="0.25">
      <c r="A672">
        <v>20569</v>
      </c>
      <c r="B672" t="s">
        <v>416</v>
      </c>
      <c r="C672" t="s">
        <v>475</v>
      </c>
      <c r="D672" t="s">
        <v>548</v>
      </c>
      <c r="E672" s="3">
        <v>44562</v>
      </c>
      <c r="F672" s="3">
        <v>44926</v>
      </c>
      <c r="G672" t="s">
        <v>135</v>
      </c>
      <c r="H672" s="3">
        <v>44562</v>
      </c>
      <c r="I672" s="3">
        <v>44926</v>
      </c>
      <c r="J672" t="s">
        <v>135</v>
      </c>
      <c r="K672">
        <v>9186501</v>
      </c>
      <c r="L672" t="s">
        <v>136</v>
      </c>
      <c r="M672" t="s">
        <v>110</v>
      </c>
      <c r="O672" t="s">
        <v>797</v>
      </c>
      <c r="P672" t="s">
        <v>550</v>
      </c>
      <c r="Q672">
        <v>2022</v>
      </c>
      <c r="R672" t="s">
        <v>605</v>
      </c>
      <c r="S672" t="s">
        <v>606</v>
      </c>
      <c r="T672" t="s">
        <v>553</v>
      </c>
      <c r="U672" t="b">
        <v>0</v>
      </c>
      <c r="V672" t="s">
        <v>781</v>
      </c>
      <c r="W672" t="s">
        <v>587</v>
      </c>
      <c r="X672" t="s">
        <v>556</v>
      </c>
      <c r="Y672" t="s">
        <v>472</v>
      </c>
      <c r="Z672" t="s">
        <v>485</v>
      </c>
      <c r="AA672" t="s">
        <v>764</v>
      </c>
      <c r="AC672">
        <v>1</v>
      </c>
      <c r="AD672" t="s">
        <v>565</v>
      </c>
      <c r="AE672">
        <v>48793916.329999998</v>
      </c>
      <c r="AF672">
        <v>53.114800000000002</v>
      </c>
      <c r="AG672" t="s">
        <v>798</v>
      </c>
      <c r="AH672">
        <v>0.1</v>
      </c>
      <c r="AI672">
        <v>918650.1</v>
      </c>
      <c r="AJ672" t="s">
        <v>561</v>
      </c>
      <c r="AK672" t="s">
        <v>766</v>
      </c>
      <c r="AL672" t="s">
        <v>787</v>
      </c>
      <c r="AM672">
        <v>2022</v>
      </c>
      <c r="AN672">
        <v>2021</v>
      </c>
      <c r="AO672">
        <f>IF(AND(emissions[[#This Row],[Market-based]]=0,emissions[[#This Row],[Impact Type]]="CO2E"),emissions[[#This Row],[kgCO2e]],0)/1000</f>
        <v>0</v>
      </c>
      <c r="AP672">
        <f>IF(AND(emissions[[#This Row],[Market-based]]=1,OR(emissions[[#This Row],[Impact Type]]="CO2E",emissions[[#This Row],[Impact Type]]="CO2E MKT")),emissions[[#This Row],[kgCO2e]],0)/1000</f>
        <v>48793.91633</v>
      </c>
      <c r="AQ672" t="str">
        <f>_xlfn.TEXTAFTER(emissions[[#This Row],[Reporting Unit]]," &gt; ",LEN(emissions[[#This Row],[Reporting Unit]])-LEN(SUBSTITUTE(emissions[[#This Row],[Reporting Unit]],"&gt;","")))</f>
        <v>Vantage_Chicago</v>
      </c>
      <c r="AR672" t="str">
        <f>_xlfn.XLOOKUP(emissions[[#This Row],[Reporting unit name]],hierarchy!$A:$A,hierarchy!$C:$C)</f>
        <v>Labratory</v>
      </c>
    </row>
    <row r="673" spans="1:44" hidden="1" x14ac:dyDescent="0.25">
      <c r="A673">
        <v>20569</v>
      </c>
      <c r="B673" t="s">
        <v>416</v>
      </c>
      <c r="C673" t="s">
        <v>475</v>
      </c>
      <c r="D673" t="s">
        <v>548</v>
      </c>
      <c r="E673" s="3">
        <v>44562</v>
      </c>
      <c r="F673" s="3">
        <v>44926</v>
      </c>
      <c r="G673" t="s">
        <v>135</v>
      </c>
      <c r="H673" s="3">
        <v>44562</v>
      </c>
      <c r="I673" s="3">
        <v>44926</v>
      </c>
      <c r="J673" t="s">
        <v>135</v>
      </c>
      <c r="K673">
        <v>9186501</v>
      </c>
      <c r="L673" t="s">
        <v>136</v>
      </c>
      <c r="M673" t="s">
        <v>110</v>
      </c>
      <c r="O673" t="s">
        <v>797</v>
      </c>
      <c r="P673" t="s">
        <v>550</v>
      </c>
      <c r="Q673">
        <v>2022</v>
      </c>
      <c r="R673" t="s">
        <v>605</v>
      </c>
      <c r="S673" t="s">
        <v>606</v>
      </c>
      <c r="T673" t="s">
        <v>553</v>
      </c>
      <c r="U673" t="b">
        <v>0</v>
      </c>
      <c r="V673" t="s">
        <v>781</v>
      </c>
      <c r="W673" t="s">
        <v>587</v>
      </c>
      <c r="X673" t="s">
        <v>556</v>
      </c>
      <c r="Y673" t="s">
        <v>472</v>
      </c>
      <c r="Z673" t="s">
        <v>485</v>
      </c>
      <c r="AA673" t="s">
        <v>764</v>
      </c>
      <c r="AC673">
        <v>1</v>
      </c>
      <c r="AD673" t="s">
        <v>566</v>
      </c>
      <c r="AE673">
        <v>27375.772980000002</v>
      </c>
      <c r="AF673">
        <v>2.98E-2</v>
      </c>
      <c r="AG673" t="s">
        <v>798</v>
      </c>
      <c r="AH673">
        <v>0.1</v>
      </c>
      <c r="AI673">
        <v>918650.1</v>
      </c>
      <c r="AJ673" t="s">
        <v>561</v>
      </c>
      <c r="AK673" t="s">
        <v>766</v>
      </c>
      <c r="AL673" t="s">
        <v>767</v>
      </c>
      <c r="AM673">
        <v>2022</v>
      </c>
      <c r="AN673">
        <v>2022</v>
      </c>
      <c r="AO673">
        <f>IF(AND(emissions[[#This Row],[Market-based]]=0,emissions[[#This Row],[Impact Type]]="CO2E"),emissions[[#This Row],[kgCO2e]],0)/1000</f>
        <v>0</v>
      </c>
      <c r="AP673">
        <f>IF(AND(emissions[[#This Row],[Market-based]]=1,OR(emissions[[#This Row],[Impact Type]]="CO2E",emissions[[#This Row],[Impact Type]]="CO2E MKT")),emissions[[#This Row],[kgCO2e]],0)/1000</f>
        <v>0</v>
      </c>
      <c r="AQ673" t="str">
        <f>_xlfn.TEXTAFTER(emissions[[#This Row],[Reporting Unit]]," &gt; ",LEN(emissions[[#This Row],[Reporting Unit]])-LEN(SUBSTITUTE(emissions[[#This Row],[Reporting Unit]],"&gt;","")))</f>
        <v>Vantage_Chicago</v>
      </c>
      <c r="AR673" t="str">
        <f>_xlfn.XLOOKUP(emissions[[#This Row],[Reporting unit name]],hierarchy!$A:$A,hierarchy!$C:$C)</f>
        <v>Labratory</v>
      </c>
    </row>
    <row r="674" spans="1:44" hidden="1" x14ac:dyDescent="0.25">
      <c r="A674">
        <v>20569</v>
      </c>
      <c r="B674" t="s">
        <v>416</v>
      </c>
      <c r="C674" t="s">
        <v>475</v>
      </c>
      <c r="D674" t="s">
        <v>548</v>
      </c>
      <c r="E674" s="3">
        <v>44562</v>
      </c>
      <c r="F674" s="3">
        <v>44926</v>
      </c>
      <c r="G674" t="s">
        <v>135</v>
      </c>
      <c r="H674" s="3">
        <v>44562</v>
      </c>
      <c r="I674" s="3">
        <v>44926</v>
      </c>
      <c r="J674" t="s">
        <v>135</v>
      </c>
      <c r="K674">
        <v>9186501</v>
      </c>
      <c r="L674" t="s">
        <v>136</v>
      </c>
      <c r="M674" t="s">
        <v>110</v>
      </c>
      <c r="O674" t="s">
        <v>797</v>
      </c>
      <c r="P674" t="s">
        <v>550</v>
      </c>
      <c r="Q674">
        <v>2022</v>
      </c>
      <c r="R674" t="s">
        <v>609</v>
      </c>
      <c r="S674" t="s">
        <v>610</v>
      </c>
      <c r="T674" t="s">
        <v>577</v>
      </c>
      <c r="U674" t="b">
        <v>0</v>
      </c>
      <c r="V674" t="s">
        <v>632</v>
      </c>
      <c r="W674" t="s">
        <v>571</v>
      </c>
      <c r="X674" t="s">
        <v>572</v>
      </c>
      <c r="AC674">
        <v>0</v>
      </c>
      <c r="AD674" t="s">
        <v>565</v>
      </c>
      <c r="AE674">
        <v>8371043.8760000002</v>
      </c>
      <c r="AF674">
        <v>3.1099999999999999E-2</v>
      </c>
      <c r="AG674" t="s">
        <v>608</v>
      </c>
      <c r="AH674">
        <v>29.3001</v>
      </c>
      <c r="AI674">
        <v>269165398</v>
      </c>
      <c r="AJ674" t="s">
        <v>561</v>
      </c>
      <c r="AK674" t="s">
        <v>589</v>
      </c>
      <c r="AL674" t="s">
        <v>590</v>
      </c>
      <c r="AM674">
        <v>2022</v>
      </c>
      <c r="AN674">
        <v>2020</v>
      </c>
      <c r="AO674">
        <f>IF(AND(emissions[[#This Row],[Market-based]]=0,emissions[[#This Row],[Impact Type]]="CO2E"),emissions[[#This Row],[kgCO2e]],0)/1000</f>
        <v>8371.0438759999997</v>
      </c>
      <c r="AP674">
        <f>IF(AND(emissions[[#This Row],[Market-based]]=1,OR(emissions[[#This Row],[Impact Type]]="CO2E",emissions[[#This Row],[Impact Type]]="CO2E MKT")),emissions[[#This Row],[kgCO2e]],0)/1000</f>
        <v>0</v>
      </c>
      <c r="AQ674" t="str">
        <f>_xlfn.TEXTAFTER(emissions[[#This Row],[Reporting Unit]]," &gt; ",LEN(emissions[[#This Row],[Reporting Unit]])-LEN(SUBSTITUTE(emissions[[#This Row],[Reporting Unit]],"&gt;","")))</f>
        <v>Vantage_Chicago</v>
      </c>
      <c r="AR674" t="str">
        <f>_xlfn.XLOOKUP(emissions[[#This Row],[Reporting unit name]],hierarchy!$A:$A,hierarchy!$C:$C)</f>
        <v>Labratory</v>
      </c>
    </row>
    <row r="675" spans="1:44" hidden="1" x14ac:dyDescent="0.25">
      <c r="A675">
        <v>20569</v>
      </c>
      <c r="B675" t="s">
        <v>416</v>
      </c>
      <c r="C675" t="s">
        <v>475</v>
      </c>
      <c r="D675" t="s">
        <v>548</v>
      </c>
      <c r="E675" s="3">
        <v>44562</v>
      </c>
      <c r="F675" s="3">
        <v>44926</v>
      </c>
      <c r="G675" t="s">
        <v>135</v>
      </c>
      <c r="H675" s="3">
        <v>44562</v>
      </c>
      <c r="I675" s="3">
        <v>44926</v>
      </c>
      <c r="J675" t="s">
        <v>135</v>
      </c>
      <c r="K675">
        <v>9186501</v>
      </c>
      <c r="L675" t="s">
        <v>136</v>
      </c>
      <c r="M675" t="s">
        <v>110</v>
      </c>
      <c r="O675" t="s">
        <v>797</v>
      </c>
      <c r="P675" t="s">
        <v>550</v>
      </c>
      <c r="Q675">
        <v>2022</v>
      </c>
      <c r="R675" t="s">
        <v>609</v>
      </c>
      <c r="S675" t="s">
        <v>610</v>
      </c>
      <c r="T675" t="s">
        <v>577</v>
      </c>
      <c r="U675" t="b">
        <v>0</v>
      </c>
      <c r="V675" t="s">
        <v>632</v>
      </c>
      <c r="W675" t="s">
        <v>571</v>
      </c>
      <c r="X675" t="s">
        <v>572</v>
      </c>
      <c r="AC675">
        <v>1</v>
      </c>
      <c r="AD675" t="s">
        <v>565</v>
      </c>
      <c r="AE675">
        <v>8371043.8760000002</v>
      </c>
      <c r="AF675">
        <v>3.1099999999999999E-2</v>
      </c>
      <c r="AG675" t="s">
        <v>608</v>
      </c>
      <c r="AH675">
        <v>29.3001</v>
      </c>
      <c r="AI675">
        <v>269165398</v>
      </c>
      <c r="AJ675" t="s">
        <v>561</v>
      </c>
      <c r="AK675" t="s">
        <v>589</v>
      </c>
      <c r="AL675" t="s">
        <v>590</v>
      </c>
      <c r="AM675">
        <v>2022</v>
      </c>
      <c r="AN675">
        <v>2020</v>
      </c>
      <c r="AO675">
        <f>IF(AND(emissions[[#This Row],[Market-based]]=0,emissions[[#This Row],[Impact Type]]="CO2E"),emissions[[#This Row],[kgCO2e]],0)/1000</f>
        <v>0</v>
      </c>
      <c r="AP675">
        <f>IF(AND(emissions[[#This Row],[Market-based]]=1,OR(emissions[[#This Row],[Impact Type]]="CO2E",emissions[[#This Row],[Impact Type]]="CO2E MKT")),emissions[[#This Row],[kgCO2e]],0)/1000</f>
        <v>8371.0438759999997</v>
      </c>
      <c r="AQ675" t="str">
        <f>_xlfn.TEXTAFTER(emissions[[#This Row],[Reporting Unit]]," &gt; ",LEN(emissions[[#This Row],[Reporting Unit]])-LEN(SUBSTITUTE(emissions[[#This Row],[Reporting Unit]],"&gt;","")))</f>
        <v>Vantage_Chicago</v>
      </c>
      <c r="AR675" t="str">
        <f>_xlfn.XLOOKUP(emissions[[#This Row],[Reporting unit name]],hierarchy!$A:$A,hierarchy!$C:$C)</f>
        <v>Labratory</v>
      </c>
    </row>
    <row r="676" spans="1:44" hidden="1" x14ac:dyDescent="0.25">
      <c r="A676">
        <v>283996</v>
      </c>
      <c r="B676" t="s">
        <v>416</v>
      </c>
      <c r="C676" t="s">
        <v>475</v>
      </c>
      <c r="D676" t="s">
        <v>548</v>
      </c>
      <c r="E676" s="3">
        <v>44562</v>
      </c>
      <c r="F676" s="3">
        <v>44926</v>
      </c>
      <c r="G676" t="s">
        <v>141</v>
      </c>
      <c r="H676" s="3">
        <v>44562</v>
      </c>
      <c r="I676" s="3">
        <v>44926</v>
      </c>
      <c r="J676" t="s">
        <v>147</v>
      </c>
      <c r="K676">
        <v>1775.9</v>
      </c>
      <c r="L676" t="s">
        <v>148</v>
      </c>
      <c r="M676" t="s">
        <v>110</v>
      </c>
      <c r="O676" t="s">
        <v>799</v>
      </c>
      <c r="P676" t="s">
        <v>550</v>
      </c>
      <c r="Q676">
        <v>2022</v>
      </c>
      <c r="R676" t="s">
        <v>584</v>
      </c>
      <c r="S676" t="s">
        <v>585</v>
      </c>
      <c r="T676" t="s">
        <v>553</v>
      </c>
      <c r="U676" t="b">
        <v>0</v>
      </c>
      <c r="V676" t="s">
        <v>785</v>
      </c>
      <c r="W676" t="s">
        <v>587</v>
      </c>
      <c r="X676" t="s">
        <v>556</v>
      </c>
      <c r="Y676" t="s">
        <v>472</v>
      </c>
      <c r="Z676" t="s">
        <v>485</v>
      </c>
      <c r="AA676" t="s">
        <v>764</v>
      </c>
      <c r="AC676">
        <v>0</v>
      </c>
      <c r="AD676" t="s">
        <v>558</v>
      </c>
      <c r="AE676">
        <v>18.202974999999999</v>
      </c>
      <c r="AF676">
        <v>1.025E-2</v>
      </c>
      <c r="AG676" t="s">
        <v>786</v>
      </c>
      <c r="AH676">
        <v>1</v>
      </c>
      <c r="AI676">
        <v>1775.9</v>
      </c>
      <c r="AJ676" t="s">
        <v>561</v>
      </c>
      <c r="AK676" t="s">
        <v>766</v>
      </c>
      <c r="AL676" t="s">
        <v>767</v>
      </c>
      <c r="AM676">
        <v>2022</v>
      </c>
      <c r="AN676">
        <v>2022</v>
      </c>
      <c r="AO676">
        <f>IF(AND(emissions[[#This Row],[Market-based]]=0,emissions[[#This Row],[Impact Type]]="CO2E"),emissions[[#This Row],[kgCO2e]],0)/1000</f>
        <v>0</v>
      </c>
      <c r="AP676">
        <f>IF(AND(emissions[[#This Row],[Market-based]]=1,OR(emissions[[#This Row],[Impact Type]]="CO2E",emissions[[#This Row],[Impact Type]]="CO2E MKT")),emissions[[#This Row],[kgCO2e]],0)/1000</f>
        <v>0</v>
      </c>
      <c r="AQ676" t="str">
        <f>_xlfn.TEXTAFTER(emissions[[#This Row],[Reporting Unit]]," &gt; ",LEN(emissions[[#This Row],[Reporting Unit]])-LEN(SUBSTITUTE(emissions[[#This Row],[Reporting Unit]],"&gt;","")))</f>
        <v>Vantage_Chicago</v>
      </c>
      <c r="AR676" t="str">
        <f>_xlfn.XLOOKUP(emissions[[#This Row],[Reporting unit name]],hierarchy!$A:$A,hierarchy!$C:$C)</f>
        <v>Labratory</v>
      </c>
    </row>
    <row r="677" spans="1:44" hidden="1" x14ac:dyDescent="0.25">
      <c r="A677">
        <v>283996</v>
      </c>
      <c r="B677" t="s">
        <v>416</v>
      </c>
      <c r="C677" t="s">
        <v>475</v>
      </c>
      <c r="D677" t="s">
        <v>548</v>
      </c>
      <c r="E677" s="3">
        <v>44562</v>
      </c>
      <c r="F677" s="3">
        <v>44926</v>
      </c>
      <c r="G677" t="s">
        <v>141</v>
      </c>
      <c r="H677" s="3">
        <v>44562</v>
      </c>
      <c r="I677" s="3">
        <v>44926</v>
      </c>
      <c r="J677" t="s">
        <v>147</v>
      </c>
      <c r="K677">
        <v>1775.9</v>
      </c>
      <c r="L677" t="s">
        <v>148</v>
      </c>
      <c r="M677" t="s">
        <v>110</v>
      </c>
      <c r="O677" t="s">
        <v>799</v>
      </c>
      <c r="P677" t="s">
        <v>550</v>
      </c>
      <c r="Q677">
        <v>2022</v>
      </c>
      <c r="R677" t="s">
        <v>584</v>
      </c>
      <c r="S677" t="s">
        <v>585</v>
      </c>
      <c r="T677" t="s">
        <v>553</v>
      </c>
      <c r="U677" t="b">
        <v>0</v>
      </c>
      <c r="V677" t="s">
        <v>785</v>
      </c>
      <c r="W677" t="s">
        <v>587</v>
      </c>
      <c r="X677" t="s">
        <v>556</v>
      </c>
      <c r="Y677" t="s">
        <v>472</v>
      </c>
      <c r="Z677" t="s">
        <v>485</v>
      </c>
      <c r="AA677" t="s">
        <v>764</v>
      </c>
      <c r="AC677">
        <v>0</v>
      </c>
      <c r="AD677" t="s">
        <v>564</v>
      </c>
      <c r="AE677">
        <v>18131.938999999998</v>
      </c>
      <c r="AF677">
        <v>10.210000000000001</v>
      </c>
      <c r="AG677" t="s">
        <v>786</v>
      </c>
      <c r="AH677">
        <v>1</v>
      </c>
      <c r="AI677">
        <v>1775.9</v>
      </c>
      <c r="AJ677" t="s">
        <v>561</v>
      </c>
      <c r="AK677" t="s">
        <v>766</v>
      </c>
      <c r="AL677" t="s">
        <v>767</v>
      </c>
      <c r="AM677">
        <v>2022</v>
      </c>
      <c r="AN677">
        <v>2022</v>
      </c>
      <c r="AO677">
        <f>IF(AND(emissions[[#This Row],[Market-based]]=0,emissions[[#This Row],[Impact Type]]="CO2E"),emissions[[#This Row],[kgCO2e]],0)/1000</f>
        <v>0</v>
      </c>
      <c r="AP677">
        <f>IF(AND(emissions[[#This Row],[Market-based]]=1,OR(emissions[[#This Row],[Impact Type]]="CO2E",emissions[[#This Row],[Impact Type]]="CO2E MKT")),emissions[[#This Row],[kgCO2e]],0)/1000</f>
        <v>0</v>
      </c>
      <c r="AQ677" t="str">
        <f>_xlfn.TEXTAFTER(emissions[[#This Row],[Reporting Unit]]," &gt; ",LEN(emissions[[#This Row],[Reporting Unit]])-LEN(SUBSTITUTE(emissions[[#This Row],[Reporting Unit]],"&gt;","")))</f>
        <v>Vantage_Chicago</v>
      </c>
      <c r="AR677" t="str">
        <f>_xlfn.XLOOKUP(emissions[[#This Row],[Reporting unit name]],hierarchy!$A:$A,hierarchy!$C:$C)</f>
        <v>Labratory</v>
      </c>
    </row>
    <row r="678" spans="1:44" hidden="1" x14ac:dyDescent="0.25">
      <c r="A678">
        <v>283996</v>
      </c>
      <c r="B678" t="s">
        <v>416</v>
      </c>
      <c r="C678" t="s">
        <v>475</v>
      </c>
      <c r="D678" t="s">
        <v>548</v>
      </c>
      <c r="E678" s="3">
        <v>44562</v>
      </c>
      <c r="F678" s="3">
        <v>44926</v>
      </c>
      <c r="G678" t="s">
        <v>141</v>
      </c>
      <c r="H678" s="3">
        <v>44562</v>
      </c>
      <c r="I678" s="3">
        <v>44926</v>
      </c>
      <c r="J678" t="s">
        <v>147</v>
      </c>
      <c r="K678">
        <v>1775.9</v>
      </c>
      <c r="L678" t="s">
        <v>148</v>
      </c>
      <c r="M678" t="s">
        <v>110</v>
      </c>
      <c r="O678" t="s">
        <v>799</v>
      </c>
      <c r="P678" t="s">
        <v>550</v>
      </c>
      <c r="Q678">
        <v>2022</v>
      </c>
      <c r="R678" t="s">
        <v>584</v>
      </c>
      <c r="S678" t="s">
        <v>585</v>
      </c>
      <c r="T678" t="s">
        <v>553</v>
      </c>
      <c r="U678" t="b">
        <v>0</v>
      </c>
      <c r="V678" t="s">
        <v>785</v>
      </c>
      <c r="W678" t="s">
        <v>587</v>
      </c>
      <c r="X678" t="s">
        <v>556</v>
      </c>
      <c r="Y678" t="s">
        <v>472</v>
      </c>
      <c r="Z678" t="s">
        <v>485</v>
      </c>
      <c r="AA678" t="s">
        <v>764</v>
      </c>
      <c r="AC678">
        <v>0</v>
      </c>
      <c r="AD678" t="s">
        <v>565</v>
      </c>
      <c r="AE678">
        <v>18192.479429999999</v>
      </c>
      <c r="AF678">
        <v>10.24409</v>
      </c>
      <c r="AG678" t="s">
        <v>786</v>
      </c>
      <c r="AH678">
        <v>1</v>
      </c>
      <c r="AI678">
        <v>1775.9</v>
      </c>
      <c r="AJ678" t="s">
        <v>561</v>
      </c>
      <c r="AK678" t="s">
        <v>766</v>
      </c>
      <c r="AL678" t="s">
        <v>787</v>
      </c>
      <c r="AM678">
        <v>2022</v>
      </c>
      <c r="AN678">
        <v>2021</v>
      </c>
      <c r="AO678">
        <f>IF(AND(emissions[[#This Row],[Market-based]]=0,emissions[[#This Row],[Impact Type]]="CO2E"),emissions[[#This Row],[kgCO2e]],0)/1000</f>
        <v>18.192479429999999</v>
      </c>
      <c r="AP678">
        <f>IF(AND(emissions[[#This Row],[Market-based]]=1,OR(emissions[[#This Row],[Impact Type]]="CO2E",emissions[[#This Row],[Impact Type]]="CO2E MKT")),emissions[[#This Row],[kgCO2e]],0)/1000</f>
        <v>0</v>
      </c>
      <c r="AQ678" t="str">
        <f>_xlfn.TEXTAFTER(emissions[[#This Row],[Reporting Unit]]," &gt; ",LEN(emissions[[#This Row],[Reporting Unit]])-LEN(SUBSTITUTE(emissions[[#This Row],[Reporting Unit]],"&gt;","")))</f>
        <v>Vantage_Chicago</v>
      </c>
      <c r="AR678" t="str">
        <f>_xlfn.XLOOKUP(emissions[[#This Row],[Reporting unit name]],hierarchy!$A:$A,hierarchy!$C:$C)</f>
        <v>Labratory</v>
      </c>
    </row>
    <row r="679" spans="1:44" hidden="1" x14ac:dyDescent="0.25">
      <c r="A679">
        <v>283996</v>
      </c>
      <c r="B679" t="s">
        <v>416</v>
      </c>
      <c r="C679" t="s">
        <v>475</v>
      </c>
      <c r="D679" t="s">
        <v>548</v>
      </c>
      <c r="E679" s="3">
        <v>44562</v>
      </c>
      <c r="F679" s="3">
        <v>44926</v>
      </c>
      <c r="G679" t="s">
        <v>141</v>
      </c>
      <c r="H679" s="3">
        <v>44562</v>
      </c>
      <c r="I679" s="3">
        <v>44926</v>
      </c>
      <c r="J679" t="s">
        <v>147</v>
      </c>
      <c r="K679">
        <v>1775.9</v>
      </c>
      <c r="L679" t="s">
        <v>148</v>
      </c>
      <c r="M679" t="s">
        <v>110</v>
      </c>
      <c r="O679" t="s">
        <v>799</v>
      </c>
      <c r="P679" t="s">
        <v>550</v>
      </c>
      <c r="Q679">
        <v>2022</v>
      </c>
      <c r="R679" t="s">
        <v>584</v>
      </c>
      <c r="S679" t="s">
        <v>585</v>
      </c>
      <c r="T679" t="s">
        <v>553</v>
      </c>
      <c r="U679" t="b">
        <v>0</v>
      </c>
      <c r="V679" t="s">
        <v>785</v>
      </c>
      <c r="W679" t="s">
        <v>587</v>
      </c>
      <c r="X679" t="s">
        <v>556</v>
      </c>
      <c r="Y679" t="s">
        <v>472</v>
      </c>
      <c r="Z679" t="s">
        <v>485</v>
      </c>
      <c r="AA679" t="s">
        <v>764</v>
      </c>
      <c r="AC679">
        <v>0</v>
      </c>
      <c r="AD679" t="s">
        <v>566</v>
      </c>
      <c r="AE679">
        <v>42.337456000000003</v>
      </c>
      <c r="AF679">
        <v>2.384E-2</v>
      </c>
      <c r="AG679" t="s">
        <v>786</v>
      </c>
      <c r="AH679">
        <v>1</v>
      </c>
      <c r="AI679">
        <v>1775.9</v>
      </c>
      <c r="AJ679" t="s">
        <v>561</v>
      </c>
      <c r="AK679" t="s">
        <v>766</v>
      </c>
      <c r="AL679" t="s">
        <v>767</v>
      </c>
      <c r="AM679">
        <v>2022</v>
      </c>
      <c r="AN679">
        <v>2022</v>
      </c>
      <c r="AO679">
        <f>IF(AND(emissions[[#This Row],[Market-based]]=0,emissions[[#This Row],[Impact Type]]="CO2E"),emissions[[#This Row],[kgCO2e]],0)/1000</f>
        <v>0</v>
      </c>
      <c r="AP679">
        <f>IF(AND(emissions[[#This Row],[Market-based]]=1,OR(emissions[[#This Row],[Impact Type]]="CO2E",emissions[[#This Row],[Impact Type]]="CO2E MKT")),emissions[[#This Row],[kgCO2e]],0)/1000</f>
        <v>0</v>
      </c>
      <c r="AQ679" t="str">
        <f>_xlfn.TEXTAFTER(emissions[[#This Row],[Reporting Unit]]," &gt; ",LEN(emissions[[#This Row],[Reporting Unit]])-LEN(SUBSTITUTE(emissions[[#This Row],[Reporting Unit]],"&gt;","")))</f>
        <v>Vantage_Chicago</v>
      </c>
      <c r="AR679" t="str">
        <f>_xlfn.XLOOKUP(emissions[[#This Row],[Reporting unit name]],hierarchy!$A:$A,hierarchy!$C:$C)</f>
        <v>Labratory</v>
      </c>
    </row>
    <row r="680" spans="1:44" hidden="1" x14ac:dyDescent="0.25">
      <c r="A680">
        <v>283996</v>
      </c>
      <c r="B680" t="s">
        <v>416</v>
      </c>
      <c r="C680" t="s">
        <v>475</v>
      </c>
      <c r="D680" t="s">
        <v>548</v>
      </c>
      <c r="E680" s="3">
        <v>44562</v>
      </c>
      <c r="F680" s="3">
        <v>44926</v>
      </c>
      <c r="G680" t="s">
        <v>141</v>
      </c>
      <c r="H680" s="3">
        <v>44562</v>
      </c>
      <c r="I680" s="3">
        <v>44926</v>
      </c>
      <c r="J680" t="s">
        <v>147</v>
      </c>
      <c r="K680">
        <v>1775.9</v>
      </c>
      <c r="L680" t="s">
        <v>148</v>
      </c>
      <c r="M680" t="s">
        <v>110</v>
      </c>
      <c r="O680" t="s">
        <v>799</v>
      </c>
      <c r="P680" t="s">
        <v>550</v>
      </c>
      <c r="Q680">
        <v>2022</v>
      </c>
      <c r="R680" t="s">
        <v>584</v>
      </c>
      <c r="S680" t="s">
        <v>585</v>
      </c>
      <c r="T680" t="s">
        <v>553</v>
      </c>
      <c r="U680" t="b">
        <v>0</v>
      </c>
      <c r="V680" t="s">
        <v>785</v>
      </c>
      <c r="W680" t="s">
        <v>587</v>
      </c>
      <c r="X680" t="s">
        <v>556</v>
      </c>
      <c r="Y680" t="s">
        <v>472</v>
      </c>
      <c r="Z680" t="s">
        <v>485</v>
      </c>
      <c r="AA680" t="s">
        <v>764</v>
      </c>
      <c r="AC680">
        <v>1</v>
      </c>
      <c r="AD680" t="s">
        <v>558</v>
      </c>
      <c r="AE680">
        <v>18.202974999999999</v>
      </c>
      <c r="AF680">
        <v>1.025E-2</v>
      </c>
      <c r="AG680" t="s">
        <v>786</v>
      </c>
      <c r="AH680">
        <v>1</v>
      </c>
      <c r="AI680">
        <v>1775.9</v>
      </c>
      <c r="AJ680" t="s">
        <v>561</v>
      </c>
      <c r="AK680" t="s">
        <v>766</v>
      </c>
      <c r="AL680" t="s">
        <v>767</v>
      </c>
      <c r="AM680">
        <v>2022</v>
      </c>
      <c r="AN680">
        <v>2022</v>
      </c>
      <c r="AO680">
        <f>IF(AND(emissions[[#This Row],[Market-based]]=0,emissions[[#This Row],[Impact Type]]="CO2E"),emissions[[#This Row],[kgCO2e]],0)/1000</f>
        <v>0</v>
      </c>
      <c r="AP680">
        <f>IF(AND(emissions[[#This Row],[Market-based]]=1,OR(emissions[[#This Row],[Impact Type]]="CO2E",emissions[[#This Row],[Impact Type]]="CO2E MKT")),emissions[[#This Row],[kgCO2e]],0)/1000</f>
        <v>0</v>
      </c>
      <c r="AQ680" t="str">
        <f>_xlfn.TEXTAFTER(emissions[[#This Row],[Reporting Unit]]," &gt; ",LEN(emissions[[#This Row],[Reporting Unit]])-LEN(SUBSTITUTE(emissions[[#This Row],[Reporting Unit]],"&gt;","")))</f>
        <v>Vantage_Chicago</v>
      </c>
      <c r="AR680" t="str">
        <f>_xlfn.XLOOKUP(emissions[[#This Row],[Reporting unit name]],hierarchy!$A:$A,hierarchy!$C:$C)</f>
        <v>Labratory</v>
      </c>
    </row>
    <row r="681" spans="1:44" hidden="1" x14ac:dyDescent="0.25">
      <c r="A681">
        <v>283996</v>
      </c>
      <c r="B681" t="s">
        <v>416</v>
      </c>
      <c r="C681" t="s">
        <v>475</v>
      </c>
      <c r="D681" t="s">
        <v>548</v>
      </c>
      <c r="E681" s="3">
        <v>44562</v>
      </c>
      <c r="F681" s="3">
        <v>44926</v>
      </c>
      <c r="G681" t="s">
        <v>141</v>
      </c>
      <c r="H681" s="3">
        <v>44562</v>
      </c>
      <c r="I681" s="3">
        <v>44926</v>
      </c>
      <c r="J681" t="s">
        <v>147</v>
      </c>
      <c r="K681">
        <v>1775.9</v>
      </c>
      <c r="L681" t="s">
        <v>148</v>
      </c>
      <c r="M681" t="s">
        <v>110</v>
      </c>
      <c r="O681" t="s">
        <v>799</v>
      </c>
      <c r="P681" t="s">
        <v>550</v>
      </c>
      <c r="Q681">
        <v>2022</v>
      </c>
      <c r="R681" t="s">
        <v>584</v>
      </c>
      <c r="S681" t="s">
        <v>585</v>
      </c>
      <c r="T681" t="s">
        <v>553</v>
      </c>
      <c r="U681" t="b">
        <v>0</v>
      </c>
      <c r="V681" t="s">
        <v>785</v>
      </c>
      <c r="W681" t="s">
        <v>587</v>
      </c>
      <c r="X681" t="s">
        <v>556</v>
      </c>
      <c r="Y681" t="s">
        <v>472</v>
      </c>
      <c r="Z681" t="s">
        <v>485</v>
      </c>
      <c r="AA681" t="s">
        <v>764</v>
      </c>
      <c r="AC681">
        <v>1</v>
      </c>
      <c r="AD681" t="s">
        <v>564</v>
      </c>
      <c r="AE681">
        <v>18131.938999999998</v>
      </c>
      <c r="AF681">
        <v>10.210000000000001</v>
      </c>
      <c r="AG681" t="s">
        <v>786</v>
      </c>
      <c r="AH681">
        <v>1</v>
      </c>
      <c r="AI681">
        <v>1775.9</v>
      </c>
      <c r="AJ681" t="s">
        <v>561</v>
      </c>
      <c r="AK681" t="s">
        <v>766</v>
      </c>
      <c r="AL681" t="s">
        <v>767</v>
      </c>
      <c r="AM681">
        <v>2022</v>
      </c>
      <c r="AN681">
        <v>2022</v>
      </c>
      <c r="AO681">
        <f>IF(AND(emissions[[#This Row],[Market-based]]=0,emissions[[#This Row],[Impact Type]]="CO2E"),emissions[[#This Row],[kgCO2e]],0)/1000</f>
        <v>0</v>
      </c>
      <c r="AP681">
        <f>IF(AND(emissions[[#This Row],[Market-based]]=1,OR(emissions[[#This Row],[Impact Type]]="CO2E",emissions[[#This Row],[Impact Type]]="CO2E MKT")),emissions[[#This Row],[kgCO2e]],0)/1000</f>
        <v>0</v>
      </c>
      <c r="AQ681" t="str">
        <f>_xlfn.TEXTAFTER(emissions[[#This Row],[Reporting Unit]]," &gt; ",LEN(emissions[[#This Row],[Reporting Unit]])-LEN(SUBSTITUTE(emissions[[#This Row],[Reporting Unit]],"&gt;","")))</f>
        <v>Vantage_Chicago</v>
      </c>
      <c r="AR681" t="str">
        <f>_xlfn.XLOOKUP(emissions[[#This Row],[Reporting unit name]],hierarchy!$A:$A,hierarchy!$C:$C)</f>
        <v>Labratory</v>
      </c>
    </row>
    <row r="682" spans="1:44" hidden="1" x14ac:dyDescent="0.25">
      <c r="A682">
        <v>283996</v>
      </c>
      <c r="B682" t="s">
        <v>416</v>
      </c>
      <c r="C682" t="s">
        <v>475</v>
      </c>
      <c r="D682" t="s">
        <v>548</v>
      </c>
      <c r="E682" s="3">
        <v>44562</v>
      </c>
      <c r="F682" s="3">
        <v>44926</v>
      </c>
      <c r="G682" t="s">
        <v>141</v>
      </c>
      <c r="H682" s="3">
        <v>44562</v>
      </c>
      <c r="I682" s="3">
        <v>44926</v>
      </c>
      <c r="J682" t="s">
        <v>147</v>
      </c>
      <c r="K682">
        <v>1775.9</v>
      </c>
      <c r="L682" t="s">
        <v>148</v>
      </c>
      <c r="M682" t="s">
        <v>110</v>
      </c>
      <c r="O682" t="s">
        <v>799</v>
      </c>
      <c r="P682" t="s">
        <v>550</v>
      </c>
      <c r="Q682">
        <v>2022</v>
      </c>
      <c r="R682" t="s">
        <v>584</v>
      </c>
      <c r="S682" t="s">
        <v>585</v>
      </c>
      <c r="T682" t="s">
        <v>553</v>
      </c>
      <c r="U682" t="b">
        <v>0</v>
      </c>
      <c r="V682" t="s">
        <v>785</v>
      </c>
      <c r="W682" t="s">
        <v>587</v>
      </c>
      <c r="X682" t="s">
        <v>556</v>
      </c>
      <c r="Y682" t="s">
        <v>472</v>
      </c>
      <c r="Z682" t="s">
        <v>485</v>
      </c>
      <c r="AA682" t="s">
        <v>764</v>
      </c>
      <c r="AC682">
        <v>1</v>
      </c>
      <c r="AD682" t="s">
        <v>565</v>
      </c>
      <c r="AE682">
        <v>18192.479429999999</v>
      </c>
      <c r="AF682">
        <v>10.24409</v>
      </c>
      <c r="AG682" t="s">
        <v>786</v>
      </c>
      <c r="AH682">
        <v>1</v>
      </c>
      <c r="AI682">
        <v>1775.9</v>
      </c>
      <c r="AJ682" t="s">
        <v>561</v>
      </c>
      <c r="AK682" t="s">
        <v>766</v>
      </c>
      <c r="AL682" t="s">
        <v>787</v>
      </c>
      <c r="AM682">
        <v>2022</v>
      </c>
      <c r="AN682">
        <v>2021</v>
      </c>
      <c r="AO682">
        <f>IF(AND(emissions[[#This Row],[Market-based]]=0,emissions[[#This Row],[Impact Type]]="CO2E"),emissions[[#This Row],[kgCO2e]],0)/1000</f>
        <v>0</v>
      </c>
      <c r="AP682">
        <f>IF(AND(emissions[[#This Row],[Market-based]]=1,OR(emissions[[#This Row],[Impact Type]]="CO2E",emissions[[#This Row],[Impact Type]]="CO2E MKT")),emissions[[#This Row],[kgCO2e]],0)/1000</f>
        <v>18.192479429999999</v>
      </c>
      <c r="AQ682" t="str">
        <f>_xlfn.TEXTAFTER(emissions[[#This Row],[Reporting Unit]]," &gt; ",LEN(emissions[[#This Row],[Reporting Unit]])-LEN(SUBSTITUTE(emissions[[#This Row],[Reporting Unit]],"&gt;","")))</f>
        <v>Vantage_Chicago</v>
      </c>
      <c r="AR682" t="str">
        <f>_xlfn.XLOOKUP(emissions[[#This Row],[Reporting unit name]],hierarchy!$A:$A,hierarchy!$C:$C)</f>
        <v>Labratory</v>
      </c>
    </row>
    <row r="683" spans="1:44" hidden="1" x14ac:dyDescent="0.25">
      <c r="A683">
        <v>283996</v>
      </c>
      <c r="B683" t="s">
        <v>416</v>
      </c>
      <c r="C683" t="s">
        <v>475</v>
      </c>
      <c r="D683" t="s">
        <v>548</v>
      </c>
      <c r="E683" s="3">
        <v>44562</v>
      </c>
      <c r="F683" s="3">
        <v>44926</v>
      </c>
      <c r="G683" t="s">
        <v>141</v>
      </c>
      <c r="H683" s="3">
        <v>44562</v>
      </c>
      <c r="I683" s="3">
        <v>44926</v>
      </c>
      <c r="J683" t="s">
        <v>147</v>
      </c>
      <c r="K683">
        <v>1775.9</v>
      </c>
      <c r="L683" t="s">
        <v>148</v>
      </c>
      <c r="M683" t="s">
        <v>110</v>
      </c>
      <c r="O683" t="s">
        <v>799</v>
      </c>
      <c r="P683" t="s">
        <v>550</v>
      </c>
      <c r="Q683">
        <v>2022</v>
      </c>
      <c r="R683" t="s">
        <v>584</v>
      </c>
      <c r="S683" t="s">
        <v>585</v>
      </c>
      <c r="T683" t="s">
        <v>553</v>
      </c>
      <c r="U683" t="b">
        <v>0</v>
      </c>
      <c r="V683" t="s">
        <v>785</v>
      </c>
      <c r="W683" t="s">
        <v>587</v>
      </c>
      <c r="X683" t="s">
        <v>556</v>
      </c>
      <c r="Y683" t="s">
        <v>472</v>
      </c>
      <c r="Z683" t="s">
        <v>485</v>
      </c>
      <c r="AA683" t="s">
        <v>764</v>
      </c>
      <c r="AC683">
        <v>1</v>
      </c>
      <c r="AD683" t="s">
        <v>566</v>
      </c>
      <c r="AE683">
        <v>42.337456000000003</v>
      </c>
      <c r="AF683">
        <v>2.384E-2</v>
      </c>
      <c r="AG683" t="s">
        <v>786</v>
      </c>
      <c r="AH683">
        <v>1</v>
      </c>
      <c r="AI683">
        <v>1775.9</v>
      </c>
      <c r="AJ683" t="s">
        <v>561</v>
      </c>
      <c r="AK683" t="s">
        <v>766</v>
      </c>
      <c r="AL683" t="s">
        <v>767</v>
      </c>
      <c r="AM683">
        <v>2022</v>
      </c>
      <c r="AN683">
        <v>2022</v>
      </c>
      <c r="AO683">
        <f>IF(AND(emissions[[#This Row],[Market-based]]=0,emissions[[#This Row],[Impact Type]]="CO2E"),emissions[[#This Row],[kgCO2e]],0)/1000</f>
        <v>0</v>
      </c>
      <c r="AP683">
        <f>IF(AND(emissions[[#This Row],[Market-based]]=1,OR(emissions[[#This Row],[Impact Type]]="CO2E",emissions[[#This Row],[Impact Type]]="CO2E MKT")),emissions[[#This Row],[kgCO2e]],0)/1000</f>
        <v>0</v>
      </c>
      <c r="AQ683" t="str">
        <f>_xlfn.TEXTAFTER(emissions[[#This Row],[Reporting Unit]]," &gt; ",LEN(emissions[[#This Row],[Reporting Unit]])-LEN(SUBSTITUTE(emissions[[#This Row],[Reporting Unit]],"&gt;","")))</f>
        <v>Vantage_Chicago</v>
      </c>
      <c r="AR683" t="str">
        <f>_xlfn.XLOOKUP(emissions[[#This Row],[Reporting unit name]],hierarchy!$A:$A,hierarchy!$C:$C)</f>
        <v>Labratory</v>
      </c>
    </row>
    <row r="684" spans="1:44" hidden="1" x14ac:dyDescent="0.25">
      <c r="A684">
        <v>283996</v>
      </c>
      <c r="B684" t="s">
        <v>416</v>
      </c>
      <c r="C684" t="s">
        <v>475</v>
      </c>
      <c r="D684" t="s">
        <v>548</v>
      </c>
      <c r="E684" s="3">
        <v>44562</v>
      </c>
      <c r="F684" s="3">
        <v>44926</v>
      </c>
      <c r="G684" t="s">
        <v>141</v>
      </c>
      <c r="H684" s="3">
        <v>44562</v>
      </c>
      <c r="I684" s="3">
        <v>44926</v>
      </c>
      <c r="J684" t="s">
        <v>147</v>
      </c>
      <c r="K684">
        <v>1775.9</v>
      </c>
      <c r="L684" t="s">
        <v>148</v>
      </c>
      <c r="M684" t="s">
        <v>110</v>
      </c>
      <c r="O684" t="s">
        <v>799</v>
      </c>
      <c r="P684" t="s">
        <v>550</v>
      </c>
      <c r="Q684">
        <v>2022</v>
      </c>
      <c r="R684" t="s">
        <v>591</v>
      </c>
      <c r="S684" t="s">
        <v>592</v>
      </c>
      <c r="T684" t="s">
        <v>577</v>
      </c>
      <c r="U684" t="b">
        <v>0</v>
      </c>
      <c r="V684" t="s">
        <v>593</v>
      </c>
      <c r="W684" t="s">
        <v>571</v>
      </c>
      <c r="X684" t="s">
        <v>572</v>
      </c>
      <c r="AC684">
        <v>0</v>
      </c>
      <c r="AD684" t="s">
        <v>565</v>
      </c>
      <c r="AE684">
        <v>4099.7897160000002</v>
      </c>
      <c r="AF684">
        <v>0.60985999999999996</v>
      </c>
      <c r="AG684" t="s">
        <v>588</v>
      </c>
      <c r="AH684">
        <v>3.7854100000000002</v>
      </c>
      <c r="AI684">
        <v>6722.5096190000004</v>
      </c>
      <c r="AJ684" t="s">
        <v>561</v>
      </c>
      <c r="AK684" t="s">
        <v>589</v>
      </c>
      <c r="AL684" t="s">
        <v>590</v>
      </c>
      <c r="AM684">
        <v>2022</v>
      </c>
      <c r="AN684">
        <v>2020</v>
      </c>
      <c r="AO684">
        <f>IF(AND(emissions[[#This Row],[Market-based]]=0,emissions[[#This Row],[Impact Type]]="CO2E"),emissions[[#This Row],[kgCO2e]],0)/1000</f>
        <v>4.0997897160000001</v>
      </c>
      <c r="AP684">
        <f>IF(AND(emissions[[#This Row],[Market-based]]=1,OR(emissions[[#This Row],[Impact Type]]="CO2E",emissions[[#This Row],[Impact Type]]="CO2E MKT")),emissions[[#This Row],[kgCO2e]],0)/1000</f>
        <v>0</v>
      </c>
      <c r="AQ684" t="str">
        <f>_xlfn.TEXTAFTER(emissions[[#This Row],[Reporting Unit]]," &gt; ",LEN(emissions[[#This Row],[Reporting Unit]])-LEN(SUBSTITUTE(emissions[[#This Row],[Reporting Unit]],"&gt;","")))</f>
        <v>Vantage_Chicago</v>
      </c>
      <c r="AR684" t="str">
        <f>_xlfn.XLOOKUP(emissions[[#This Row],[Reporting unit name]],hierarchy!$A:$A,hierarchy!$C:$C)</f>
        <v>Labratory</v>
      </c>
    </row>
    <row r="685" spans="1:44" hidden="1" x14ac:dyDescent="0.25">
      <c r="A685">
        <v>283996</v>
      </c>
      <c r="B685" t="s">
        <v>416</v>
      </c>
      <c r="C685" t="s">
        <v>475</v>
      </c>
      <c r="D685" t="s">
        <v>548</v>
      </c>
      <c r="E685" s="3">
        <v>44562</v>
      </c>
      <c r="F685" s="3">
        <v>44926</v>
      </c>
      <c r="G685" t="s">
        <v>141</v>
      </c>
      <c r="H685" s="3">
        <v>44562</v>
      </c>
      <c r="I685" s="3">
        <v>44926</v>
      </c>
      <c r="J685" t="s">
        <v>147</v>
      </c>
      <c r="K685">
        <v>1775.9</v>
      </c>
      <c r="L685" t="s">
        <v>148</v>
      </c>
      <c r="M685" t="s">
        <v>110</v>
      </c>
      <c r="O685" t="s">
        <v>799</v>
      </c>
      <c r="P685" t="s">
        <v>550</v>
      </c>
      <c r="Q685">
        <v>2022</v>
      </c>
      <c r="R685" t="s">
        <v>591</v>
      </c>
      <c r="S685" t="s">
        <v>592</v>
      </c>
      <c r="T685" t="s">
        <v>577</v>
      </c>
      <c r="U685" t="b">
        <v>0</v>
      </c>
      <c r="V685" t="s">
        <v>593</v>
      </c>
      <c r="W685" t="s">
        <v>571</v>
      </c>
      <c r="X685" t="s">
        <v>572</v>
      </c>
      <c r="AC685">
        <v>1</v>
      </c>
      <c r="AD685" t="s">
        <v>565</v>
      </c>
      <c r="AE685">
        <v>4099.7897160000002</v>
      </c>
      <c r="AF685">
        <v>0.60985999999999996</v>
      </c>
      <c r="AG685" t="s">
        <v>588</v>
      </c>
      <c r="AH685">
        <v>3.7854100000000002</v>
      </c>
      <c r="AI685">
        <v>6722.5096190000004</v>
      </c>
      <c r="AJ685" t="s">
        <v>561</v>
      </c>
      <c r="AK685" t="s">
        <v>589</v>
      </c>
      <c r="AL685" t="s">
        <v>590</v>
      </c>
      <c r="AM685">
        <v>2022</v>
      </c>
      <c r="AN685">
        <v>2020</v>
      </c>
      <c r="AO685">
        <f>IF(AND(emissions[[#This Row],[Market-based]]=0,emissions[[#This Row],[Impact Type]]="CO2E"),emissions[[#This Row],[kgCO2e]],0)/1000</f>
        <v>0</v>
      </c>
      <c r="AP685">
        <f>IF(AND(emissions[[#This Row],[Market-based]]=1,OR(emissions[[#This Row],[Impact Type]]="CO2E",emissions[[#This Row],[Impact Type]]="CO2E MKT")),emissions[[#This Row],[kgCO2e]],0)/1000</f>
        <v>4.0997897160000001</v>
      </c>
      <c r="AQ685" t="str">
        <f>_xlfn.TEXTAFTER(emissions[[#This Row],[Reporting Unit]]," &gt; ",LEN(emissions[[#This Row],[Reporting Unit]])-LEN(SUBSTITUTE(emissions[[#This Row],[Reporting Unit]],"&gt;","")))</f>
        <v>Vantage_Chicago</v>
      </c>
      <c r="AR685" t="str">
        <f>_xlfn.XLOOKUP(emissions[[#This Row],[Reporting unit name]],hierarchy!$A:$A,hierarchy!$C:$C)</f>
        <v>Labratory</v>
      </c>
    </row>
    <row r="686" spans="1:44" hidden="1" x14ac:dyDescent="0.25">
      <c r="A686">
        <v>288915</v>
      </c>
      <c r="B686" t="s">
        <v>416</v>
      </c>
      <c r="C686" t="s">
        <v>475</v>
      </c>
      <c r="D686" t="s">
        <v>548</v>
      </c>
      <c r="E686" s="3">
        <v>44562</v>
      </c>
      <c r="F686" s="3">
        <v>44926</v>
      </c>
      <c r="G686" t="s">
        <v>116</v>
      </c>
      <c r="H686" s="3">
        <v>44562</v>
      </c>
      <c r="I686" s="3">
        <v>44926</v>
      </c>
      <c r="J686" t="s">
        <v>128</v>
      </c>
      <c r="K686">
        <v>0</v>
      </c>
      <c r="L686" t="s">
        <v>303</v>
      </c>
      <c r="M686" t="s">
        <v>110</v>
      </c>
      <c r="N686" t="s">
        <v>424</v>
      </c>
      <c r="O686" t="s">
        <v>800</v>
      </c>
      <c r="P686" t="s">
        <v>550</v>
      </c>
      <c r="Q686">
        <v>2022</v>
      </c>
      <c r="R686" t="s">
        <v>619</v>
      </c>
      <c r="S686" t="s">
        <v>620</v>
      </c>
      <c r="T686" t="s">
        <v>553</v>
      </c>
      <c r="U686" t="b">
        <v>0</v>
      </c>
      <c r="V686" t="s">
        <v>621</v>
      </c>
      <c r="W686" t="s">
        <v>587</v>
      </c>
      <c r="X686" t="s">
        <v>556</v>
      </c>
      <c r="AC686">
        <v>0</v>
      </c>
      <c r="AD686" t="s">
        <v>565</v>
      </c>
      <c r="AE686">
        <v>0</v>
      </c>
      <c r="AF686">
        <v>1430</v>
      </c>
      <c r="AG686" t="s">
        <v>622</v>
      </c>
      <c r="AH686">
        <v>1E-3</v>
      </c>
      <c r="AI686">
        <v>0</v>
      </c>
      <c r="AJ686" t="s">
        <v>561</v>
      </c>
      <c r="AK686" t="s">
        <v>623</v>
      </c>
      <c r="AL686" t="s">
        <v>624</v>
      </c>
      <c r="AM686">
        <v>2022</v>
      </c>
      <c r="AN686">
        <v>2007</v>
      </c>
      <c r="AO686">
        <f>IF(AND(emissions[[#This Row],[Market-based]]=0,emissions[[#This Row],[Impact Type]]="CO2E"),emissions[[#This Row],[kgCO2e]],0)/1000</f>
        <v>0</v>
      </c>
      <c r="AP686">
        <f>IF(AND(emissions[[#This Row],[Market-based]]=1,OR(emissions[[#This Row],[Impact Type]]="CO2E",emissions[[#This Row],[Impact Type]]="CO2E MKT")),emissions[[#This Row],[kgCO2e]],0)/1000</f>
        <v>0</v>
      </c>
      <c r="AQ686" t="str">
        <f>_xlfn.TEXTAFTER(emissions[[#This Row],[Reporting Unit]]," &gt; ",LEN(emissions[[#This Row],[Reporting Unit]])-LEN(SUBSTITUTE(emissions[[#This Row],[Reporting Unit]],"&gt;","")))</f>
        <v>Vantage_Chicago</v>
      </c>
      <c r="AR686" t="str">
        <f>_xlfn.XLOOKUP(emissions[[#This Row],[Reporting unit name]],hierarchy!$A:$A,hierarchy!$C:$C)</f>
        <v>Labratory</v>
      </c>
    </row>
    <row r="687" spans="1:44" hidden="1" x14ac:dyDescent="0.25">
      <c r="A687">
        <v>288915</v>
      </c>
      <c r="B687" t="s">
        <v>416</v>
      </c>
      <c r="C687" t="s">
        <v>475</v>
      </c>
      <c r="D687" t="s">
        <v>548</v>
      </c>
      <c r="E687" s="3">
        <v>44562</v>
      </c>
      <c r="F687" s="3">
        <v>44926</v>
      </c>
      <c r="G687" t="s">
        <v>116</v>
      </c>
      <c r="H687" s="3">
        <v>44562</v>
      </c>
      <c r="I687" s="3">
        <v>44926</v>
      </c>
      <c r="J687" t="s">
        <v>128</v>
      </c>
      <c r="K687">
        <v>0</v>
      </c>
      <c r="L687" t="s">
        <v>303</v>
      </c>
      <c r="M687" t="s">
        <v>110</v>
      </c>
      <c r="N687" t="s">
        <v>424</v>
      </c>
      <c r="O687" t="s">
        <v>800</v>
      </c>
      <c r="P687" t="s">
        <v>550</v>
      </c>
      <c r="Q687">
        <v>2022</v>
      </c>
      <c r="R687" t="s">
        <v>619</v>
      </c>
      <c r="S687" t="s">
        <v>620</v>
      </c>
      <c r="T687" t="s">
        <v>553</v>
      </c>
      <c r="U687" t="b">
        <v>0</v>
      </c>
      <c r="V687" t="s">
        <v>621</v>
      </c>
      <c r="W687" t="s">
        <v>587</v>
      </c>
      <c r="X687" t="s">
        <v>556</v>
      </c>
      <c r="AC687">
        <v>1</v>
      </c>
      <c r="AD687" t="s">
        <v>565</v>
      </c>
      <c r="AE687">
        <v>0</v>
      </c>
      <c r="AF687">
        <v>1430</v>
      </c>
      <c r="AG687" t="s">
        <v>622</v>
      </c>
      <c r="AH687">
        <v>1E-3</v>
      </c>
      <c r="AI687">
        <v>0</v>
      </c>
      <c r="AJ687" t="s">
        <v>561</v>
      </c>
      <c r="AK687" t="s">
        <v>623</v>
      </c>
      <c r="AL687" t="s">
        <v>624</v>
      </c>
      <c r="AM687">
        <v>2022</v>
      </c>
      <c r="AN687">
        <v>2007</v>
      </c>
      <c r="AO687">
        <f>IF(AND(emissions[[#This Row],[Market-based]]=0,emissions[[#This Row],[Impact Type]]="CO2E"),emissions[[#This Row],[kgCO2e]],0)/1000</f>
        <v>0</v>
      </c>
      <c r="AP687">
        <f>IF(AND(emissions[[#This Row],[Market-based]]=1,OR(emissions[[#This Row],[Impact Type]]="CO2E",emissions[[#This Row],[Impact Type]]="CO2E MKT")),emissions[[#This Row],[kgCO2e]],0)/1000</f>
        <v>0</v>
      </c>
      <c r="AQ687" t="str">
        <f>_xlfn.TEXTAFTER(emissions[[#This Row],[Reporting Unit]]," &gt; ",LEN(emissions[[#This Row],[Reporting Unit]])-LEN(SUBSTITUTE(emissions[[#This Row],[Reporting Unit]],"&gt;","")))</f>
        <v>Vantage_Chicago</v>
      </c>
      <c r="AR687" t="str">
        <f>_xlfn.XLOOKUP(emissions[[#This Row],[Reporting unit name]],hierarchy!$A:$A,hierarchy!$C:$C)</f>
        <v>Labratory</v>
      </c>
    </row>
    <row r="688" spans="1:44" hidden="1" x14ac:dyDescent="0.25">
      <c r="A688">
        <v>787641</v>
      </c>
      <c r="B688" t="s">
        <v>416</v>
      </c>
      <c r="C688" t="s">
        <v>475</v>
      </c>
      <c r="D688" t="s">
        <v>548</v>
      </c>
      <c r="E688" s="3">
        <v>44562</v>
      </c>
      <c r="F688" s="3">
        <v>44926</v>
      </c>
      <c r="G688" t="s">
        <v>116</v>
      </c>
      <c r="H688" s="3">
        <v>44562</v>
      </c>
      <c r="I688" s="3">
        <v>44926</v>
      </c>
      <c r="J688" t="s">
        <v>175</v>
      </c>
      <c r="K688">
        <v>16</v>
      </c>
      <c r="L688" t="s">
        <v>215</v>
      </c>
      <c r="M688" t="s">
        <v>110</v>
      </c>
      <c r="O688" t="s">
        <v>801</v>
      </c>
      <c r="P688" t="s">
        <v>550</v>
      </c>
      <c r="Q688">
        <v>2022</v>
      </c>
      <c r="R688" t="s">
        <v>664</v>
      </c>
      <c r="S688" t="s">
        <v>175</v>
      </c>
      <c r="T688" t="s">
        <v>553</v>
      </c>
      <c r="U688" t="b">
        <v>0</v>
      </c>
      <c r="V688" t="s">
        <v>665</v>
      </c>
      <c r="W688" t="s">
        <v>587</v>
      </c>
      <c r="X688" t="s">
        <v>556</v>
      </c>
      <c r="AC688">
        <v>0</v>
      </c>
      <c r="AD688" t="s">
        <v>565</v>
      </c>
      <c r="AE688">
        <v>15153.631939999999</v>
      </c>
      <c r="AF688">
        <v>2088</v>
      </c>
      <c r="AG688" t="s">
        <v>622</v>
      </c>
      <c r="AH688">
        <v>0.45359291000000002</v>
      </c>
      <c r="AI688">
        <v>7.2574865600000003</v>
      </c>
      <c r="AJ688" t="s">
        <v>561</v>
      </c>
      <c r="AK688" t="s">
        <v>623</v>
      </c>
      <c r="AL688" t="s">
        <v>624</v>
      </c>
      <c r="AM688">
        <v>2022</v>
      </c>
      <c r="AN688">
        <v>2007</v>
      </c>
      <c r="AO688">
        <f>IF(AND(emissions[[#This Row],[Market-based]]=0,emissions[[#This Row],[Impact Type]]="CO2E"),emissions[[#This Row],[kgCO2e]],0)/1000</f>
        <v>15.153631939999999</v>
      </c>
      <c r="AP688">
        <f>IF(AND(emissions[[#This Row],[Market-based]]=1,OR(emissions[[#This Row],[Impact Type]]="CO2E",emissions[[#This Row],[Impact Type]]="CO2E MKT")),emissions[[#This Row],[kgCO2e]],0)/1000</f>
        <v>0</v>
      </c>
      <c r="AQ688" t="str">
        <f>_xlfn.TEXTAFTER(emissions[[#This Row],[Reporting Unit]]," &gt; ",LEN(emissions[[#This Row],[Reporting Unit]])-LEN(SUBSTITUTE(emissions[[#This Row],[Reporting Unit]],"&gt;","")))</f>
        <v>Vantage_Chicago</v>
      </c>
      <c r="AR688" t="str">
        <f>_xlfn.XLOOKUP(emissions[[#This Row],[Reporting unit name]],hierarchy!$A:$A,hierarchy!$C:$C)</f>
        <v>Labratory</v>
      </c>
    </row>
    <row r="689" spans="1:44" hidden="1" x14ac:dyDescent="0.25">
      <c r="A689">
        <v>787641</v>
      </c>
      <c r="B689" t="s">
        <v>416</v>
      </c>
      <c r="C689" t="s">
        <v>475</v>
      </c>
      <c r="D689" t="s">
        <v>548</v>
      </c>
      <c r="E689" s="3">
        <v>44562</v>
      </c>
      <c r="F689" s="3">
        <v>44926</v>
      </c>
      <c r="G689" t="s">
        <v>116</v>
      </c>
      <c r="H689" s="3">
        <v>44562</v>
      </c>
      <c r="I689" s="3">
        <v>44926</v>
      </c>
      <c r="J689" t="s">
        <v>175</v>
      </c>
      <c r="K689">
        <v>16</v>
      </c>
      <c r="L689" t="s">
        <v>215</v>
      </c>
      <c r="M689" t="s">
        <v>110</v>
      </c>
      <c r="O689" t="s">
        <v>801</v>
      </c>
      <c r="P689" t="s">
        <v>550</v>
      </c>
      <c r="Q689">
        <v>2022</v>
      </c>
      <c r="R689" t="s">
        <v>664</v>
      </c>
      <c r="S689" t="s">
        <v>175</v>
      </c>
      <c r="T689" t="s">
        <v>553</v>
      </c>
      <c r="U689" t="b">
        <v>0</v>
      </c>
      <c r="V689" t="s">
        <v>665</v>
      </c>
      <c r="W689" t="s">
        <v>587</v>
      </c>
      <c r="X689" t="s">
        <v>556</v>
      </c>
      <c r="AC689">
        <v>1</v>
      </c>
      <c r="AD689" t="s">
        <v>565</v>
      </c>
      <c r="AE689">
        <v>15153.631939999999</v>
      </c>
      <c r="AF689">
        <v>2088</v>
      </c>
      <c r="AG689" t="s">
        <v>622</v>
      </c>
      <c r="AH689">
        <v>0.45359291000000002</v>
      </c>
      <c r="AI689">
        <v>7.2574865600000003</v>
      </c>
      <c r="AJ689" t="s">
        <v>561</v>
      </c>
      <c r="AK689" t="s">
        <v>623</v>
      </c>
      <c r="AL689" t="s">
        <v>624</v>
      </c>
      <c r="AM689">
        <v>2022</v>
      </c>
      <c r="AN689">
        <v>2007</v>
      </c>
      <c r="AO689">
        <f>IF(AND(emissions[[#This Row],[Market-based]]=0,emissions[[#This Row],[Impact Type]]="CO2E"),emissions[[#This Row],[kgCO2e]],0)/1000</f>
        <v>0</v>
      </c>
      <c r="AP689">
        <f>IF(AND(emissions[[#This Row],[Market-based]]=1,OR(emissions[[#This Row],[Impact Type]]="CO2E",emissions[[#This Row],[Impact Type]]="CO2E MKT")),emissions[[#This Row],[kgCO2e]],0)/1000</f>
        <v>15.153631939999999</v>
      </c>
      <c r="AQ689" t="str">
        <f>_xlfn.TEXTAFTER(emissions[[#This Row],[Reporting Unit]]," &gt; ",LEN(emissions[[#This Row],[Reporting Unit]])-LEN(SUBSTITUTE(emissions[[#This Row],[Reporting Unit]],"&gt;","")))</f>
        <v>Vantage_Chicago</v>
      </c>
      <c r="AR689" t="str">
        <f>_xlfn.XLOOKUP(emissions[[#This Row],[Reporting unit name]],hierarchy!$A:$A,hierarchy!$C:$C)</f>
        <v>Labratory</v>
      </c>
    </row>
    <row r="690" spans="1:44" hidden="1" x14ac:dyDescent="0.25">
      <c r="A690">
        <v>787643</v>
      </c>
      <c r="B690" t="s">
        <v>416</v>
      </c>
      <c r="C690" t="s">
        <v>475</v>
      </c>
      <c r="D690" t="s">
        <v>548</v>
      </c>
      <c r="E690" s="3">
        <v>44562</v>
      </c>
      <c r="F690" s="3">
        <v>44926</v>
      </c>
      <c r="G690" t="s">
        <v>116</v>
      </c>
      <c r="H690" s="3">
        <v>44562</v>
      </c>
      <c r="I690" s="3">
        <v>44926</v>
      </c>
      <c r="J690" t="s">
        <v>272</v>
      </c>
      <c r="K690">
        <v>12</v>
      </c>
      <c r="L690" t="s">
        <v>215</v>
      </c>
      <c r="M690" t="s">
        <v>110</v>
      </c>
      <c r="O690" t="s">
        <v>802</v>
      </c>
      <c r="P690" t="s">
        <v>550</v>
      </c>
      <c r="Q690">
        <v>2022</v>
      </c>
      <c r="R690" t="s">
        <v>803</v>
      </c>
      <c r="S690" t="s">
        <v>272</v>
      </c>
      <c r="T690" t="s">
        <v>553</v>
      </c>
      <c r="U690" t="b">
        <v>0</v>
      </c>
      <c r="V690" t="s">
        <v>804</v>
      </c>
      <c r="W690" t="s">
        <v>587</v>
      </c>
      <c r="X690" t="s">
        <v>556</v>
      </c>
      <c r="AC690">
        <v>0</v>
      </c>
      <c r="AD690" t="s">
        <v>565</v>
      </c>
      <c r="AE690">
        <v>9852.0380050000003</v>
      </c>
      <c r="AF690">
        <v>1810</v>
      </c>
      <c r="AG690" t="s">
        <v>622</v>
      </c>
      <c r="AH690">
        <v>0.45359291000000002</v>
      </c>
      <c r="AI690">
        <v>5.4431149200000002</v>
      </c>
      <c r="AJ690" t="s">
        <v>561</v>
      </c>
      <c r="AK690" t="s">
        <v>623</v>
      </c>
      <c r="AL690" t="s">
        <v>624</v>
      </c>
      <c r="AM690">
        <v>2022</v>
      </c>
      <c r="AN690">
        <v>2007</v>
      </c>
      <c r="AO690">
        <f>IF(AND(emissions[[#This Row],[Market-based]]=0,emissions[[#This Row],[Impact Type]]="CO2E"),emissions[[#This Row],[kgCO2e]],0)/1000</f>
        <v>9.8520380050000007</v>
      </c>
      <c r="AP690">
        <f>IF(AND(emissions[[#This Row],[Market-based]]=1,OR(emissions[[#This Row],[Impact Type]]="CO2E",emissions[[#This Row],[Impact Type]]="CO2E MKT")),emissions[[#This Row],[kgCO2e]],0)/1000</f>
        <v>0</v>
      </c>
      <c r="AQ690" t="str">
        <f>_xlfn.TEXTAFTER(emissions[[#This Row],[Reporting Unit]]," &gt; ",LEN(emissions[[#This Row],[Reporting Unit]])-LEN(SUBSTITUTE(emissions[[#This Row],[Reporting Unit]],"&gt;","")))</f>
        <v>Vantage_Chicago</v>
      </c>
      <c r="AR690" t="str">
        <f>_xlfn.XLOOKUP(emissions[[#This Row],[Reporting unit name]],hierarchy!$A:$A,hierarchy!$C:$C)</f>
        <v>Labratory</v>
      </c>
    </row>
    <row r="691" spans="1:44" hidden="1" x14ac:dyDescent="0.25">
      <c r="A691">
        <v>787643</v>
      </c>
      <c r="B691" t="s">
        <v>416</v>
      </c>
      <c r="C691" t="s">
        <v>475</v>
      </c>
      <c r="D691" t="s">
        <v>548</v>
      </c>
      <c r="E691" s="3">
        <v>44562</v>
      </c>
      <c r="F691" s="3">
        <v>44926</v>
      </c>
      <c r="G691" t="s">
        <v>116</v>
      </c>
      <c r="H691" s="3">
        <v>44562</v>
      </c>
      <c r="I691" s="3">
        <v>44926</v>
      </c>
      <c r="J691" t="s">
        <v>272</v>
      </c>
      <c r="K691">
        <v>12</v>
      </c>
      <c r="L691" t="s">
        <v>215</v>
      </c>
      <c r="M691" t="s">
        <v>110</v>
      </c>
      <c r="O691" t="s">
        <v>802</v>
      </c>
      <c r="P691" t="s">
        <v>550</v>
      </c>
      <c r="Q691">
        <v>2022</v>
      </c>
      <c r="R691" t="s">
        <v>803</v>
      </c>
      <c r="S691" t="s">
        <v>272</v>
      </c>
      <c r="T691" t="s">
        <v>553</v>
      </c>
      <c r="U691" t="b">
        <v>0</v>
      </c>
      <c r="V691" t="s">
        <v>804</v>
      </c>
      <c r="W691" t="s">
        <v>587</v>
      </c>
      <c r="X691" t="s">
        <v>556</v>
      </c>
      <c r="AC691">
        <v>1</v>
      </c>
      <c r="AD691" t="s">
        <v>565</v>
      </c>
      <c r="AE691">
        <v>9852.0380050000003</v>
      </c>
      <c r="AF691">
        <v>1810</v>
      </c>
      <c r="AG691" t="s">
        <v>622</v>
      </c>
      <c r="AH691">
        <v>0.45359291000000002</v>
      </c>
      <c r="AI691">
        <v>5.4431149200000002</v>
      </c>
      <c r="AJ691" t="s">
        <v>561</v>
      </c>
      <c r="AK691" t="s">
        <v>623</v>
      </c>
      <c r="AL691" t="s">
        <v>624</v>
      </c>
      <c r="AM691">
        <v>2022</v>
      </c>
      <c r="AN691">
        <v>2007</v>
      </c>
      <c r="AO691">
        <f>IF(AND(emissions[[#This Row],[Market-based]]=0,emissions[[#This Row],[Impact Type]]="CO2E"),emissions[[#This Row],[kgCO2e]],0)/1000</f>
        <v>0</v>
      </c>
      <c r="AP691">
        <f>IF(AND(emissions[[#This Row],[Market-based]]=1,OR(emissions[[#This Row],[Impact Type]]="CO2E",emissions[[#This Row],[Impact Type]]="CO2E MKT")),emissions[[#This Row],[kgCO2e]],0)/1000</f>
        <v>9.8520380050000007</v>
      </c>
      <c r="AQ691" t="str">
        <f>_xlfn.TEXTAFTER(emissions[[#This Row],[Reporting Unit]]," &gt; ",LEN(emissions[[#This Row],[Reporting Unit]])-LEN(SUBSTITUTE(emissions[[#This Row],[Reporting Unit]],"&gt;","")))</f>
        <v>Vantage_Chicago</v>
      </c>
      <c r="AR691" t="str">
        <f>_xlfn.XLOOKUP(emissions[[#This Row],[Reporting unit name]],hierarchy!$A:$A,hierarchy!$C:$C)</f>
        <v>Labratory</v>
      </c>
    </row>
    <row r="692" spans="1:44" hidden="1" x14ac:dyDescent="0.25">
      <c r="A692">
        <v>1239487</v>
      </c>
      <c r="B692" t="s">
        <v>416</v>
      </c>
      <c r="C692" t="s">
        <v>475</v>
      </c>
      <c r="D692" t="s">
        <v>548</v>
      </c>
      <c r="E692" s="3">
        <v>44562</v>
      </c>
      <c r="F692" s="3">
        <v>44926</v>
      </c>
      <c r="G692" t="s">
        <v>116</v>
      </c>
      <c r="H692" s="3">
        <v>44562</v>
      </c>
      <c r="I692" s="3">
        <v>44926</v>
      </c>
      <c r="J692" t="s">
        <v>428</v>
      </c>
      <c r="K692">
        <v>85600</v>
      </c>
      <c r="L692" t="s">
        <v>215</v>
      </c>
      <c r="M692" t="s">
        <v>110</v>
      </c>
      <c r="O692" t="s">
        <v>805</v>
      </c>
      <c r="P692" t="s">
        <v>806</v>
      </c>
      <c r="Q692">
        <v>2022</v>
      </c>
      <c r="R692" t="s">
        <v>807</v>
      </c>
      <c r="S692" t="s">
        <v>428</v>
      </c>
      <c r="T692" t="s">
        <v>553</v>
      </c>
      <c r="U692" t="b">
        <v>0</v>
      </c>
      <c r="V692" t="s">
        <v>808</v>
      </c>
      <c r="W692" t="s">
        <v>587</v>
      </c>
      <c r="X692" t="s">
        <v>556</v>
      </c>
      <c r="AC692">
        <v>0</v>
      </c>
      <c r="AD692" t="s">
        <v>565</v>
      </c>
      <c r="AE692">
        <v>38827.553099999997</v>
      </c>
      <c r="AF692">
        <v>1</v>
      </c>
      <c r="AG692" t="s">
        <v>622</v>
      </c>
      <c r="AH692">
        <v>0.45359291000000002</v>
      </c>
      <c r="AI692">
        <v>38827.553099999997</v>
      </c>
      <c r="AJ692" t="s">
        <v>561</v>
      </c>
      <c r="AK692" t="s">
        <v>589</v>
      </c>
      <c r="AL692" t="s">
        <v>603</v>
      </c>
      <c r="AM692">
        <v>2022</v>
      </c>
      <c r="AN692">
        <v>2019</v>
      </c>
      <c r="AO692">
        <f>IF(AND(emissions[[#This Row],[Market-based]]=0,emissions[[#This Row],[Impact Type]]="CO2E"),emissions[[#This Row],[kgCO2e]],0)/1000</f>
        <v>38.827553099999996</v>
      </c>
      <c r="AP692">
        <f>IF(AND(emissions[[#This Row],[Market-based]]=1,OR(emissions[[#This Row],[Impact Type]]="CO2E",emissions[[#This Row],[Impact Type]]="CO2E MKT")),emissions[[#This Row],[kgCO2e]],0)/1000</f>
        <v>0</v>
      </c>
      <c r="AQ692" t="str">
        <f>_xlfn.TEXTAFTER(emissions[[#This Row],[Reporting Unit]]," &gt; ",LEN(emissions[[#This Row],[Reporting Unit]])-LEN(SUBSTITUTE(emissions[[#This Row],[Reporting Unit]],"&gt;","")))</f>
        <v>Vantage_Chicago</v>
      </c>
      <c r="AR692" t="str">
        <f>_xlfn.XLOOKUP(emissions[[#This Row],[Reporting unit name]],hierarchy!$A:$A,hierarchy!$C:$C)</f>
        <v>Labratory</v>
      </c>
    </row>
    <row r="693" spans="1:44" hidden="1" x14ac:dyDescent="0.25">
      <c r="A693">
        <v>1239487</v>
      </c>
      <c r="B693" t="s">
        <v>416</v>
      </c>
      <c r="C693" t="s">
        <v>475</v>
      </c>
      <c r="D693" t="s">
        <v>548</v>
      </c>
      <c r="E693" s="3">
        <v>44562</v>
      </c>
      <c r="F693" s="3">
        <v>44926</v>
      </c>
      <c r="G693" t="s">
        <v>116</v>
      </c>
      <c r="H693" s="3">
        <v>44562</v>
      </c>
      <c r="I693" s="3">
        <v>44926</v>
      </c>
      <c r="J693" t="s">
        <v>428</v>
      </c>
      <c r="K693">
        <v>85600</v>
      </c>
      <c r="L693" t="s">
        <v>215</v>
      </c>
      <c r="M693" t="s">
        <v>110</v>
      </c>
      <c r="O693" t="s">
        <v>805</v>
      </c>
      <c r="P693" t="s">
        <v>806</v>
      </c>
      <c r="Q693">
        <v>2022</v>
      </c>
      <c r="R693" t="s">
        <v>807</v>
      </c>
      <c r="S693" t="s">
        <v>428</v>
      </c>
      <c r="T693" t="s">
        <v>553</v>
      </c>
      <c r="U693" t="b">
        <v>0</v>
      </c>
      <c r="V693" t="s">
        <v>808</v>
      </c>
      <c r="W693" t="s">
        <v>587</v>
      </c>
      <c r="X693" t="s">
        <v>556</v>
      </c>
      <c r="AC693">
        <v>1</v>
      </c>
      <c r="AD693" t="s">
        <v>565</v>
      </c>
      <c r="AE693">
        <v>38827.553099999997</v>
      </c>
      <c r="AF693">
        <v>1</v>
      </c>
      <c r="AG693" t="s">
        <v>622</v>
      </c>
      <c r="AH693">
        <v>0.45359291000000002</v>
      </c>
      <c r="AI693">
        <v>38827.553099999997</v>
      </c>
      <c r="AJ693" t="s">
        <v>561</v>
      </c>
      <c r="AK693" t="s">
        <v>589</v>
      </c>
      <c r="AL693" t="s">
        <v>603</v>
      </c>
      <c r="AM693">
        <v>2022</v>
      </c>
      <c r="AN693">
        <v>2019</v>
      </c>
      <c r="AO693">
        <f>IF(AND(emissions[[#This Row],[Market-based]]=0,emissions[[#This Row],[Impact Type]]="CO2E"),emissions[[#This Row],[kgCO2e]],0)/1000</f>
        <v>0</v>
      </c>
      <c r="AP693">
        <f>IF(AND(emissions[[#This Row],[Market-based]]=1,OR(emissions[[#This Row],[Impact Type]]="CO2E",emissions[[#This Row],[Impact Type]]="CO2E MKT")),emissions[[#This Row],[kgCO2e]],0)/1000</f>
        <v>38.827553099999996</v>
      </c>
      <c r="AQ693" t="str">
        <f>_xlfn.TEXTAFTER(emissions[[#This Row],[Reporting Unit]]," &gt; ",LEN(emissions[[#This Row],[Reporting Unit]])-LEN(SUBSTITUTE(emissions[[#This Row],[Reporting Unit]],"&gt;","")))</f>
        <v>Vantage_Chicago</v>
      </c>
      <c r="AR693" t="str">
        <f>_xlfn.XLOOKUP(emissions[[#This Row],[Reporting unit name]],hierarchy!$A:$A,hierarchy!$C:$C)</f>
        <v>Labratory</v>
      </c>
    </row>
    <row r="694" spans="1:44" x14ac:dyDescent="0.25">
      <c r="A694">
        <v>283998</v>
      </c>
      <c r="B694" t="s">
        <v>416</v>
      </c>
      <c r="C694" t="s">
        <v>475</v>
      </c>
      <c r="D694" t="s">
        <v>548</v>
      </c>
      <c r="E694" s="3">
        <v>44562</v>
      </c>
      <c r="F694" s="3">
        <v>44926</v>
      </c>
      <c r="G694" t="s">
        <v>121</v>
      </c>
      <c r="H694" s="3">
        <v>44562</v>
      </c>
      <c r="I694" s="3">
        <v>44926</v>
      </c>
      <c r="J694" t="s">
        <v>150</v>
      </c>
      <c r="K694">
        <v>5896</v>
      </c>
      <c r="L694" t="s">
        <v>215</v>
      </c>
      <c r="M694" t="s">
        <v>110</v>
      </c>
      <c r="O694" t="s">
        <v>809</v>
      </c>
      <c r="P694" t="s">
        <v>550</v>
      </c>
      <c r="Q694">
        <v>2022</v>
      </c>
      <c r="R694" t="s">
        <v>594</v>
      </c>
      <c r="S694" t="s">
        <v>150</v>
      </c>
      <c r="T694" t="s">
        <v>553</v>
      </c>
      <c r="U694" t="b">
        <v>0</v>
      </c>
      <c r="V694" t="s">
        <v>595</v>
      </c>
      <c r="W694" t="s">
        <v>587</v>
      </c>
      <c r="X694" t="s">
        <v>556</v>
      </c>
      <c r="AC694">
        <v>0</v>
      </c>
      <c r="AD694" t="s">
        <v>558</v>
      </c>
      <c r="AE694">
        <v>6.1777869379999997</v>
      </c>
      <c r="AF694">
        <v>2.31</v>
      </c>
      <c r="AG694" t="s">
        <v>756</v>
      </c>
      <c r="AH694">
        <v>4.5359000000000003E-4</v>
      </c>
      <c r="AI694">
        <v>2.6743666400000001</v>
      </c>
      <c r="AJ694" t="s">
        <v>561</v>
      </c>
      <c r="AK694" t="s">
        <v>589</v>
      </c>
      <c r="AL694" t="s">
        <v>590</v>
      </c>
      <c r="AM694">
        <v>2022</v>
      </c>
      <c r="AN694">
        <v>2020</v>
      </c>
      <c r="AO694">
        <f>IF(AND(emissions[[#This Row],[Market-based]]=0,emissions[[#This Row],[Impact Type]]="CO2E"),emissions[[#This Row],[kgCO2e]],0)/1000</f>
        <v>0</v>
      </c>
      <c r="AP694">
        <f>IF(AND(emissions[[#This Row],[Market-based]]=1,OR(emissions[[#This Row],[Impact Type]]="CO2E",emissions[[#This Row],[Impact Type]]="CO2E MKT")),emissions[[#This Row],[kgCO2e]],0)/1000</f>
        <v>0</v>
      </c>
      <c r="AQ694" t="str">
        <f>_xlfn.TEXTAFTER(emissions[[#This Row],[Reporting Unit]]," &gt; ",LEN(emissions[[#This Row],[Reporting Unit]])-LEN(SUBSTITUTE(emissions[[#This Row],[Reporting Unit]],"&gt;","")))</f>
        <v>Vantage_Chicago</v>
      </c>
      <c r="AR694" t="str">
        <f>_xlfn.XLOOKUP(emissions[[#This Row],[Reporting unit name]],hierarchy!$A:$A,hierarchy!$C:$C)</f>
        <v>Labratory</v>
      </c>
    </row>
    <row r="695" spans="1:44" x14ac:dyDescent="0.25">
      <c r="A695">
        <v>283998</v>
      </c>
      <c r="B695" t="s">
        <v>416</v>
      </c>
      <c r="C695" t="s">
        <v>475</v>
      </c>
      <c r="D695" t="s">
        <v>548</v>
      </c>
      <c r="E695" s="3">
        <v>44562</v>
      </c>
      <c r="F695" s="3">
        <v>44926</v>
      </c>
      <c r="G695" t="s">
        <v>121</v>
      </c>
      <c r="H695" s="3">
        <v>44562</v>
      </c>
      <c r="I695" s="3">
        <v>44926</v>
      </c>
      <c r="J695" t="s">
        <v>150</v>
      </c>
      <c r="K695">
        <v>5896</v>
      </c>
      <c r="L695" t="s">
        <v>215</v>
      </c>
      <c r="M695" t="s">
        <v>110</v>
      </c>
      <c r="O695" t="s">
        <v>809</v>
      </c>
      <c r="P695" t="s">
        <v>550</v>
      </c>
      <c r="Q695">
        <v>2022</v>
      </c>
      <c r="R695" t="s">
        <v>594</v>
      </c>
      <c r="S695" t="s">
        <v>150</v>
      </c>
      <c r="T695" t="s">
        <v>553</v>
      </c>
      <c r="U695" t="b">
        <v>0</v>
      </c>
      <c r="V695" t="s">
        <v>595</v>
      </c>
      <c r="W695" t="s">
        <v>587</v>
      </c>
      <c r="X695" t="s">
        <v>556</v>
      </c>
      <c r="AC695">
        <v>0</v>
      </c>
      <c r="AD695" t="s">
        <v>564</v>
      </c>
      <c r="AE695">
        <v>8005.4490999999998</v>
      </c>
      <c r="AF695">
        <v>2993.4</v>
      </c>
      <c r="AG695" t="s">
        <v>756</v>
      </c>
      <c r="AH695">
        <v>4.5359000000000003E-4</v>
      </c>
      <c r="AI695">
        <v>2.6743666400000001</v>
      </c>
      <c r="AJ695" t="s">
        <v>561</v>
      </c>
      <c r="AK695" t="s">
        <v>589</v>
      </c>
      <c r="AL695" t="s">
        <v>590</v>
      </c>
      <c r="AM695">
        <v>2022</v>
      </c>
      <c r="AN695">
        <v>2020</v>
      </c>
      <c r="AO695">
        <f>IF(AND(emissions[[#This Row],[Market-based]]=0,emissions[[#This Row],[Impact Type]]="CO2E"),emissions[[#This Row],[kgCO2e]],0)/1000</f>
        <v>0</v>
      </c>
      <c r="AP695">
        <f>IF(AND(emissions[[#This Row],[Market-based]]=1,OR(emissions[[#This Row],[Impact Type]]="CO2E",emissions[[#This Row],[Impact Type]]="CO2E MKT")),emissions[[#This Row],[kgCO2e]],0)/1000</f>
        <v>0</v>
      </c>
      <c r="AQ695" t="str">
        <f>_xlfn.TEXTAFTER(emissions[[#This Row],[Reporting Unit]]," &gt; ",LEN(emissions[[#This Row],[Reporting Unit]])-LEN(SUBSTITUTE(emissions[[#This Row],[Reporting Unit]],"&gt;","")))</f>
        <v>Vantage_Chicago</v>
      </c>
      <c r="AR695" t="str">
        <f>_xlfn.XLOOKUP(emissions[[#This Row],[Reporting unit name]],hierarchy!$A:$A,hierarchy!$C:$C)</f>
        <v>Labratory</v>
      </c>
    </row>
    <row r="696" spans="1:44" x14ac:dyDescent="0.25">
      <c r="A696">
        <v>283998</v>
      </c>
      <c r="B696" t="s">
        <v>416</v>
      </c>
      <c r="C696" t="s">
        <v>475</v>
      </c>
      <c r="D696" t="s">
        <v>548</v>
      </c>
      <c r="E696" s="3">
        <v>44562</v>
      </c>
      <c r="F696" s="3">
        <v>44926</v>
      </c>
      <c r="G696" t="s">
        <v>121</v>
      </c>
      <c r="H696" s="3">
        <v>44562</v>
      </c>
      <c r="I696" s="3">
        <v>44926</v>
      </c>
      <c r="J696" t="s">
        <v>150</v>
      </c>
      <c r="K696">
        <v>5896</v>
      </c>
      <c r="L696" t="s">
        <v>215</v>
      </c>
      <c r="M696" t="s">
        <v>110</v>
      </c>
      <c r="O696" t="s">
        <v>809</v>
      </c>
      <c r="P696" t="s">
        <v>550</v>
      </c>
      <c r="Q696">
        <v>2022</v>
      </c>
      <c r="R696" t="s">
        <v>594</v>
      </c>
      <c r="S696" t="s">
        <v>150</v>
      </c>
      <c r="T696" t="s">
        <v>553</v>
      </c>
      <c r="U696" t="b">
        <v>0</v>
      </c>
      <c r="V696" t="s">
        <v>595</v>
      </c>
      <c r="W696" t="s">
        <v>587</v>
      </c>
      <c r="X696" t="s">
        <v>556</v>
      </c>
      <c r="AC696">
        <v>0</v>
      </c>
      <c r="AD696" t="s">
        <v>565</v>
      </c>
      <c r="AE696">
        <v>8016.5744649999997</v>
      </c>
      <c r="AF696">
        <v>2997.56</v>
      </c>
      <c r="AG696" t="s">
        <v>756</v>
      </c>
      <c r="AH696">
        <v>4.5359000000000003E-4</v>
      </c>
      <c r="AI696">
        <v>2.6743666400000001</v>
      </c>
      <c r="AJ696" t="s">
        <v>561</v>
      </c>
      <c r="AK696" t="s">
        <v>589</v>
      </c>
      <c r="AL696" t="s">
        <v>590</v>
      </c>
      <c r="AM696">
        <v>2022</v>
      </c>
      <c r="AN696">
        <v>2020</v>
      </c>
      <c r="AO696">
        <f>IF(AND(emissions[[#This Row],[Market-based]]=0,emissions[[#This Row],[Impact Type]]="CO2E"),emissions[[#This Row],[kgCO2e]],0)/1000</f>
        <v>8.0165744649999997</v>
      </c>
      <c r="AP696">
        <f>IF(AND(emissions[[#This Row],[Market-based]]=1,OR(emissions[[#This Row],[Impact Type]]="CO2E",emissions[[#This Row],[Impact Type]]="CO2E MKT")),emissions[[#This Row],[kgCO2e]],0)/1000</f>
        <v>0</v>
      </c>
      <c r="AQ696" t="str">
        <f>_xlfn.TEXTAFTER(emissions[[#This Row],[Reporting Unit]]," &gt; ",LEN(emissions[[#This Row],[Reporting Unit]])-LEN(SUBSTITUTE(emissions[[#This Row],[Reporting Unit]],"&gt;","")))</f>
        <v>Vantage_Chicago</v>
      </c>
      <c r="AR696" t="str">
        <f>_xlfn.XLOOKUP(emissions[[#This Row],[Reporting unit name]],hierarchy!$A:$A,hierarchy!$C:$C)</f>
        <v>Labratory</v>
      </c>
    </row>
    <row r="697" spans="1:44" x14ac:dyDescent="0.25">
      <c r="A697">
        <v>283998</v>
      </c>
      <c r="B697" t="s">
        <v>416</v>
      </c>
      <c r="C697" t="s">
        <v>475</v>
      </c>
      <c r="D697" t="s">
        <v>548</v>
      </c>
      <c r="E697" s="3">
        <v>44562</v>
      </c>
      <c r="F697" s="3">
        <v>44926</v>
      </c>
      <c r="G697" t="s">
        <v>121</v>
      </c>
      <c r="H697" s="3">
        <v>44562</v>
      </c>
      <c r="I697" s="3">
        <v>44926</v>
      </c>
      <c r="J697" t="s">
        <v>150</v>
      </c>
      <c r="K697">
        <v>5896</v>
      </c>
      <c r="L697" t="s">
        <v>215</v>
      </c>
      <c r="M697" t="s">
        <v>110</v>
      </c>
      <c r="O697" t="s">
        <v>809</v>
      </c>
      <c r="P697" t="s">
        <v>550</v>
      </c>
      <c r="Q697">
        <v>2022</v>
      </c>
      <c r="R697" t="s">
        <v>594</v>
      </c>
      <c r="S697" t="s">
        <v>150</v>
      </c>
      <c r="T697" t="s">
        <v>553</v>
      </c>
      <c r="U697" t="b">
        <v>0</v>
      </c>
      <c r="V697" t="s">
        <v>595</v>
      </c>
      <c r="W697" t="s">
        <v>587</v>
      </c>
      <c r="X697" t="s">
        <v>556</v>
      </c>
      <c r="AC697">
        <v>0</v>
      </c>
      <c r="AD697" t="s">
        <v>566</v>
      </c>
      <c r="AE697">
        <v>4.9475782840000004</v>
      </c>
      <c r="AF697">
        <v>1.85</v>
      </c>
      <c r="AG697" t="s">
        <v>756</v>
      </c>
      <c r="AH697">
        <v>4.5359000000000003E-4</v>
      </c>
      <c r="AI697">
        <v>2.6743666400000001</v>
      </c>
      <c r="AJ697" t="s">
        <v>561</v>
      </c>
      <c r="AK697" t="s">
        <v>589</v>
      </c>
      <c r="AL697" t="s">
        <v>590</v>
      </c>
      <c r="AM697">
        <v>2022</v>
      </c>
      <c r="AN697">
        <v>2020</v>
      </c>
      <c r="AO697">
        <f>IF(AND(emissions[[#This Row],[Market-based]]=0,emissions[[#This Row],[Impact Type]]="CO2E"),emissions[[#This Row],[kgCO2e]],0)/1000</f>
        <v>0</v>
      </c>
      <c r="AP697">
        <f>IF(AND(emissions[[#This Row],[Market-based]]=1,OR(emissions[[#This Row],[Impact Type]]="CO2E",emissions[[#This Row],[Impact Type]]="CO2E MKT")),emissions[[#This Row],[kgCO2e]],0)/1000</f>
        <v>0</v>
      </c>
      <c r="AQ697" t="str">
        <f>_xlfn.TEXTAFTER(emissions[[#This Row],[Reporting Unit]]," &gt; ",LEN(emissions[[#This Row],[Reporting Unit]])-LEN(SUBSTITUTE(emissions[[#This Row],[Reporting Unit]],"&gt;","")))</f>
        <v>Vantage_Chicago</v>
      </c>
      <c r="AR697" t="str">
        <f>_xlfn.XLOOKUP(emissions[[#This Row],[Reporting unit name]],hierarchy!$A:$A,hierarchy!$C:$C)</f>
        <v>Labratory</v>
      </c>
    </row>
    <row r="698" spans="1:44" x14ac:dyDescent="0.25">
      <c r="A698">
        <v>283998</v>
      </c>
      <c r="B698" t="s">
        <v>416</v>
      </c>
      <c r="C698" t="s">
        <v>475</v>
      </c>
      <c r="D698" t="s">
        <v>548</v>
      </c>
      <c r="E698" s="3">
        <v>44562</v>
      </c>
      <c r="F698" s="3">
        <v>44926</v>
      </c>
      <c r="G698" t="s">
        <v>121</v>
      </c>
      <c r="H698" s="3">
        <v>44562</v>
      </c>
      <c r="I698" s="3">
        <v>44926</v>
      </c>
      <c r="J698" t="s">
        <v>150</v>
      </c>
      <c r="K698">
        <v>5896</v>
      </c>
      <c r="L698" t="s">
        <v>215</v>
      </c>
      <c r="M698" t="s">
        <v>110</v>
      </c>
      <c r="O698" t="s">
        <v>809</v>
      </c>
      <c r="P698" t="s">
        <v>550</v>
      </c>
      <c r="Q698">
        <v>2022</v>
      </c>
      <c r="R698" t="s">
        <v>594</v>
      </c>
      <c r="S698" t="s">
        <v>150</v>
      </c>
      <c r="T698" t="s">
        <v>553</v>
      </c>
      <c r="U698" t="b">
        <v>0</v>
      </c>
      <c r="V698" t="s">
        <v>595</v>
      </c>
      <c r="W698" t="s">
        <v>587</v>
      </c>
      <c r="X698" t="s">
        <v>556</v>
      </c>
      <c r="AC698">
        <v>1</v>
      </c>
      <c r="AD698" t="s">
        <v>558</v>
      </c>
      <c r="AE698">
        <v>6.1777869379999997</v>
      </c>
      <c r="AF698">
        <v>2.31</v>
      </c>
      <c r="AG698" t="s">
        <v>756</v>
      </c>
      <c r="AH698">
        <v>4.5359000000000003E-4</v>
      </c>
      <c r="AI698">
        <v>2.6743666400000001</v>
      </c>
      <c r="AJ698" t="s">
        <v>561</v>
      </c>
      <c r="AK698" t="s">
        <v>589</v>
      </c>
      <c r="AL698" t="s">
        <v>590</v>
      </c>
      <c r="AM698">
        <v>2022</v>
      </c>
      <c r="AN698">
        <v>2020</v>
      </c>
      <c r="AO698">
        <f>IF(AND(emissions[[#This Row],[Market-based]]=0,emissions[[#This Row],[Impact Type]]="CO2E"),emissions[[#This Row],[kgCO2e]],0)/1000</f>
        <v>0</v>
      </c>
      <c r="AP698">
        <f>IF(AND(emissions[[#This Row],[Market-based]]=1,OR(emissions[[#This Row],[Impact Type]]="CO2E",emissions[[#This Row],[Impact Type]]="CO2E MKT")),emissions[[#This Row],[kgCO2e]],0)/1000</f>
        <v>0</v>
      </c>
      <c r="AQ698" t="str">
        <f>_xlfn.TEXTAFTER(emissions[[#This Row],[Reporting Unit]]," &gt; ",LEN(emissions[[#This Row],[Reporting Unit]])-LEN(SUBSTITUTE(emissions[[#This Row],[Reporting Unit]],"&gt;","")))</f>
        <v>Vantage_Chicago</v>
      </c>
      <c r="AR698" t="str">
        <f>_xlfn.XLOOKUP(emissions[[#This Row],[Reporting unit name]],hierarchy!$A:$A,hierarchy!$C:$C)</f>
        <v>Labratory</v>
      </c>
    </row>
    <row r="699" spans="1:44" x14ac:dyDescent="0.25">
      <c r="A699">
        <v>283998</v>
      </c>
      <c r="B699" t="s">
        <v>416</v>
      </c>
      <c r="C699" t="s">
        <v>475</v>
      </c>
      <c r="D699" t="s">
        <v>548</v>
      </c>
      <c r="E699" s="3">
        <v>44562</v>
      </c>
      <c r="F699" s="3">
        <v>44926</v>
      </c>
      <c r="G699" t="s">
        <v>121</v>
      </c>
      <c r="H699" s="3">
        <v>44562</v>
      </c>
      <c r="I699" s="3">
        <v>44926</v>
      </c>
      <c r="J699" t="s">
        <v>150</v>
      </c>
      <c r="K699">
        <v>5896</v>
      </c>
      <c r="L699" t="s">
        <v>215</v>
      </c>
      <c r="M699" t="s">
        <v>110</v>
      </c>
      <c r="O699" t="s">
        <v>809</v>
      </c>
      <c r="P699" t="s">
        <v>550</v>
      </c>
      <c r="Q699">
        <v>2022</v>
      </c>
      <c r="R699" t="s">
        <v>594</v>
      </c>
      <c r="S699" t="s">
        <v>150</v>
      </c>
      <c r="T699" t="s">
        <v>553</v>
      </c>
      <c r="U699" t="b">
        <v>0</v>
      </c>
      <c r="V699" t="s">
        <v>595</v>
      </c>
      <c r="W699" t="s">
        <v>587</v>
      </c>
      <c r="X699" t="s">
        <v>556</v>
      </c>
      <c r="AC699">
        <v>1</v>
      </c>
      <c r="AD699" t="s">
        <v>564</v>
      </c>
      <c r="AE699">
        <v>8005.4490999999998</v>
      </c>
      <c r="AF699">
        <v>2993.4</v>
      </c>
      <c r="AG699" t="s">
        <v>756</v>
      </c>
      <c r="AH699">
        <v>4.5359000000000003E-4</v>
      </c>
      <c r="AI699">
        <v>2.6743666400000001</v>
      </c>
      <c r="AJ699" t="s">
        <v>561</v>
      </c>
      <c r="AK699" t="s">
        <v>589</v>
      </c>
      <c r="AL699" t="s">
        <v>590</v>
      </c>
      <c r="AM699">
        <v>2022</v>
      </c>
      <c r="AN699">
        <v>2020</v>
      </c>
      <c r="AO699">
        <f>IF(AND(emissions[[#This Row],[Market-based]]=0,emissions[[#This Row],[Impact Type]]="CO2E"),emissions[[#This Row],[kgCO2e]],0)/1000</f>
        <v>0</v>
      </c>
      <c r="AP699">
        <f>IF(AND(emissions[[#This Row],[Market-based]]=1,OR(emissions[[#This Row],[Impact Type]]="CO2E",emissions[[#This Row],[Impact Type]]="CO2E MKT")),emissions[[#This Row],[kgCO2e]],0)/1000</f>
        <v>0</v>
      </c>
      <c r="AQ699" t="str">
        <f>_xlfn.TEXTAFTER(emissions[[#This Row],[Reporting Unit]]," &gt; ",LEN(emissions[[#This Row],[Reporting Unit]])-LEN(SUBSTITUTE(emissions[[#This Row],[Reporting Unit]],"&gt;","")))</f>
        <v>Vantage_Chicago</v>
      </c>
      <c r="AR699" t="str">
        <f>_xlfn.XLOOKUP(emissions[[#This Row],[Reporting unit name]],hierarchy!$A:$A,hierarchy!$C:$C)</f>
        <v>Labratory</v>
      </c>
    </row>
    <row r="700" spans="1:44" x14ac:dyDescent="0.25">
      <c r="A700">
        <v>283998</v>
      </c>
      <c r="B700" t="s">
        <v>416</v>
      </c>
      <c r="C700" t="s">
        <v>475</v>
      </c>
      <c r="D700" t="s">
        <v>548</v>
      </c>
      <c r="E700" s="3">
        <v>44562</v>
      </c>
      <c r="F700" s="3">
        <v>44926</v>
      </c>
      <c r="G700" t="s">
        <v>121</v>
      </c>
      <c r="H700" s="3">
        <v>44562</v>
      </c>
      <c r="I700" s="3">
        <v>44926</v>
      </c>
      <c r="J700" t="s">
        <v>150</v>
      </c>
      <c r="K700">
        <v>5896</v>
      </c>
      <c r="L700" t="s">
        <v>215</v>
      </c>
      <c r="M700" t="s">
        <v>110</v>
      </c>
      <c r="O700" t="s">
        <v>809</v>
      </c>
      <c r="P700" t="s">
        <v>550</v>
      </c>
      <c r="Q700">
        <v>2022</v>
      </c>
      <c r="R700" t="s">
        <v>594</v>
      </c>
      <c r="S700" t="s">
        <v>150</v>
      </c>
      <c r="T700" t="s">
        <v>553</v>
      </c>
      <c r="U700" t="b">
        <v>0</v>
      </c>
      <c r="V700" t="s">
        <v>595</v>
      </c>
      <c r="W700" t="s">
        <v>587</v>
      </c>
      <c r="X700" t="s">
        <v>556</v>
      </c>
      <c r="AC700">
        <v>1</v>
      </c>
      <c r="AD700" t="s">
        <v>565</v>
      </c>
      <c r="AE700">
        <v>8016.5744649999997</v>
      </c>
      <c r="AF700">
        <v>2997.56</v>
      </c>
      <c r="AG700" t="s">
        <v>756</v>
      </c>
      <c r="AH700">
        <v>4.5359000000000003E-4</v>
      </c>
      <c r="AI700">
        <v>2.6743666400000001</v>
      </c>
      <c r="AJ700" t="s">
        <v>561</v>
      </c>
      <c r="AK700" t="s">
        <v>589</v>
      </c>
      <c r="AL700" t="s">
        <v>590</v>
      </c>
      <c r="AM700">
        <v>2022</v>
      </c>
      <c r="AN700">
        <v>2020</v>
      </c>
      <c r="AO700">
        <f>IF(AND(emissions[[#This Row],[Market-based]]=0,emissions[[#This Row],[Impact Type]]="CO2E"),emissions[[#This Row],[kgCO2e]],0)/1000</f>
        <v>0</v>
      </c>
      <c r="AP700">
        <f>IF(AND(emissions[[#This Row],[Market-based]]=1,OR(emissions[[#This Row],[Impact Type]]="CO2E",emissions[[#This Row],[Impact Type]]="CO2E MKT")),emissions[[#This Row],[kgCO2e]],0)/1000</f>
        <v>8.0165744649999997</v>
      </c>
      <c r="AQ700" t="str">
        <f>_xlfn.TEXTAFTER(emissions[[#This Row],[Reporting Unit]]," &gt; ",LEN(emissions[[#This Row],[Reporting Unit]])-LEN(SUBSTITUTE(emissions[[#This Row],[Reporting Unit]],"&gt;","")))</f>
        <v>Vantage_Chicago</v>
      </c>
      <c r="AR700" t="str">
        <f>_xlfn.XLOOKUP(emissions[[#This Row],[Reporting unit name]],hierarchy!$A:$A,hierarchy!$C:$C)</f>
        <v>Labratory</v>
      </c>
    </row>
    <row r="701" spans="1:44" x14ac:dyDescent="0.25">
      <c r="A701">
        <v>283998</v>
      </c>
      <c r="B701" t="s">
        <v>416</v>
      </c>
      <c r="C701" t="s">
        <v>475</v>
      </c>
      <c r="D701" t="s">
        <v>548</v>
      </c>
      <c r="E701" s="3">
        <v>44562</v>
      </c>
      <c r="F701" s="3">
        <v>44926</v>
      </c>
      <c r="G701" t="s">
        <v>121</v>
      </c>
      <c r="H701" s="3">
        <v>44562</v>
      </c>
      <c r="I701" s="3">
        <v>44926</v>
      </c>
      <c r="J701" t="s">
        <v>150</v>
      </c>
      <c r="K701">
        <v>5896</v>
      </c>
      <c r="L701" t="s">
        <v>215</v>
      </c>
      <c r="M701" t="s">
        <v>110</v>
      </c>
      <c r="O701" t="s">
        <v>809</v>
      </c>
      <c r="P701" t="s">
        <v>550</v>
      </c>
      <c r="Q701">
        <v>2022</v>
      </c>
      <c r="R701" t="s">
        <v>594</v>
      </c>
      <c r="S701" t="s">
        <v>150</v>
      </c>
      <c r="T701" t="s">
        <v>553</v>
      </c>
      <c r="U701" t="b">
        <v>0</v>
      </c>
      <c r="V701" t="s">
        <v>595</v>
      </c>
      <c r="W701" t="s">
        <v>587</v>
      </c>
      <c r="X701" t="s">
        <v>556</v>
      </c>
      <c r="AC701">
        <v>1</v>
      </c>
      <c r="AD701" t="s">
        <v>566</v>
      </c>
      <c r="AE701">
        <v>4.9475782840000004</v>
      </c>
      <c r="AF701">
        <v>1.85</v>
      </c>
      <c r="AG701" t="s">
        <v>756</v>
      </c>
      <c r="AH701">
        <v>4.5359000000000003E-4</v>
      </c>
      <c r="AI701">
        <v>2.6743666400000001</v>
      </c>
      <c r="AJ701" t="s">
        <v>561</v>
      </c>
      <c r="AK701" t="s">
        <v>589</v>
      </c>
      <c r="AL701" t="s">
        <v>590</v>
      </c>
      <c r="AM701">
        <v>2022</v>
      </c>
      <c r="AN701">
        <v>2020</v>
      </c>
      <c r="AO701">
        <f>IF(AND(emissions[[#This Row],[Market-based]]=0,emissions[[#This Row],[Impact Type]]="CO2E"),emissions[[#This Row],[kgCO2e]],0)/1000</f>
        <v>0</v>
      </c>
      <c r="AP701">
        <f>IF(AND(emissions[[#This Row],[Market-based]]=1,OR(emissions[[#This Row],[Impact Type]]="CO2E",emissions[[#This Row],[Impact Type]]="CO2E MKT")),emissions[[#This Row],[kgCO2e]],0)/1000</f>
        <v>0</v>
      </c>
      <c r="AQ701" t="str">
        <f>_xlfn.TEXTAFTER(emissions[[#This Row],[Reporting Unit]]," &gt; ",LEN(emissions[[#This Row],[Reporting Unit]])-LEN(SUBSTITUTE(emissions[[#This Row],[Reporting Unit]],"&gt;","")))</f>
        <v>Vantage_Chicago</v>
      </c>
      <c r="AR701" t="str">
        <f>_xlfn.XLOOKUP(emissions[[#This Row],[Reporting unit name]],hierarchy!$A:$A,hierarchy!$C:$C)</f>
        <v>Labratory</v>
      </c>
    </row>
    <row r="702" spans="1:44" x14ac:dyDescent="0.25">
      <c r="A702">
        <v>283998</v>
      </c>
      <c r="B702" t="s">
        <v>416</v>
      </c>
      <c r="C702" t="s">
        <v>475</v>
      </c>
      <c r="D702" t="s">
        <v>548</v>
      </c>
      <c r="E702" s="3">
        <v>44562</v>
      </c>
      <c r="F702" s="3">
        <v>44926</v>
      </c>
      <c r="G702" t="s">
        <v>121</v>
      </c>
      <c r="H702" s="3">
        <v>44562</v>
      </c>
      <c r="I702" s="3">
        <v>44926</v>
      </c>
      <c r="J702" t="s">
        <v>150</v>
      </c>
      <c r="K702">
        <v>5896</v>
      </c>
      <c r="L702" t="s">
        <v>215</v>
      </c>
      <c r="M702" t="s">
        <v>110</v>
      </c>
      <c r="O702" t="s">
        <v>809</v>
      </c>
      <c r="P702" t="s">
        <v>550</v>
      </c>
      <c r="Q702">
        <v>2022</v>
      </c>
      <c r="R702" t="s">
        <v>596</v>
      </c>
      <c r="S702" t="s">
        <v>597</v>
      </c>
      <c r="T702" t="s">
        <v>577</v>
      </c>
      <c r="U702" t="b">
        <v>0</v>
      </c>
      <c r="V702" t="s">
        <v>598</v>
      </c>
      <c r="W702" t="s">
        <v>571</v>
      </c>
      <c r="X702" t="s">
        <v>572</v>
      </c>
      <c r="AC702">
        <v>0</v>
      </c>
      <c r="AD702" t="s">
        <v>565</v>
      </c>
      <c r="AE702">
        <v>937.246712</v>
      </c>
      <c r="AF702">
        <v>350.45558</v>
      </c>
      <c r="AG702" t="s">
        <v>756</v>
      </c>
      <c r="AH702">
        <v>4.5359000000000003E-4</v>
      </c>
      <c r="AI702">
        <v>2.6743666400000001</v>
      </c>
      <c r="AJ702" t="s">
        <v>561</v>
      </c>
      <c r="AK702" t="s">
        <v>589</v>
      </c>
      <c r="AL702" t="s">
        <v>590</v>
      </c>
      <c r="AM702">
        <v>2022</v>
      </c>
      <c r="AN702">
        <v>2020</v>
      </c>
      <c r="AO702">
        <f>IF(AND(emissions[[#This Row],[Market-based]]=0,emissions[[#This Row],[Impact Type]]="CO2E"),emissions[[#This Row],[kgCO2e]],0)/1000</f>
        <v>0.93724671199999998</v>
      </c>
      <c r="AP702">
        <f>IF(AND(emissions[[#This Row],[Market-based]]=1,OR(emissions[[#This Row],[Impact Type]]="CO2E",emissions[[#This Row],[Impact Type]]="CO2E MKT")),emissions[[#This Row],[kgCO2e]],0)/1000</f>
        <v>0</v>
      </c>
      <c r="AQ702" t="str">
        <f>_xlfn.TEXTAFTER(emissions[[#This Row],[Reporting Unit]]," &gt; ",LEN(emissions[[#This Row],[Reporting Unit]])-LEN(SUBSTITUTE(emissions[[#This Row],[Reporting Unit]],"&gt;","")))</f>
        <v>Vantage_Chicago</v>
      </c>
      <c r="AR702" t="str">
        <f>_xlfn.XLOOKUP(emissions[[#This Row],[Reporting unit name]],hierarchy!$A:$A,hierarchy!$C:$C)</f>
        <v>Labratory</v>
      </c>
    </row>
    <row r="703" spans="1:44" x14ac:dyDescent="0.25">
      <c r="A703">
        <v>283998</v>
      </c>
      <c r="B703" t="s">
        <v>416</v>
      </c>
      <c r="C703" t="s">
        <v>475</v>
      </c>
      <c r="D703" t="s">
        <v>548</v>
      </c>
      <c r="E703" s="3">
        <v>44562</v>
      </c>
      <c r="F703" s="3">
        <v>44926</v>
      </c>
      <c r="G703" t="s">
        <v>121</v>
      </c>
      <c r="H703" s="3">
        <v>44562</v>
      </c>
      <c r="I703" s="3">
        <v>44926</v>
      </c>
      <c r="J703" t="s">
        <v>150</v>
      </c>
      <c r="K703">
        <v>5896</v>
      </c>
      <c r="L703" t="s">
        <v>215</v>
      </c>
      <c r="M703" t="s">
        <v>110</v>
      </c>
      <c r="O703" t="s">
        <v>809</v>
      </c>
      <c r="P703" t="s">
        <v>550</v>
      </c>
      <c r="Q703">
        <v>2022</v>
      </c>
      <c r="R703" t="s">
        <v>596</v>
      </c>
      <c r="S703" t="s">
        <v>597</v>
      </c>
      <c r="T703" t="s">
        <v>577</v>
      </c>
      <c r="U703" t="b">
        <v>0</v>
      </c>
      <c r="V703" t="s">
        <v>598</v>
      </c>
      <c r="W703" t="s">
        <v>571</v>
      </c>
      <c r="X703" t="s">
        <v>572</v>
      </c>
      <c r="AC703">
        <v>1</v>
      </c>
      <c r="AD703" t="s">
        <v>565</v>
      </c>
      <c r="AE703">
        <v>937.246712</v>
      </c>
      <c r="AF703">
        <v>350.45558</v>
      </c>
      <c r="AG703" t="s">
        <v>756</v>
      </c>
      <c r="AH703">
        <v>4.5359000000000003E-4</v>
      </c>
      <c r="AI703">
        <v>2.6743666400000001</v>
      </c>
      <c r="AJ703" t="s">
        <v>561</v>
      </c>
      <c r="AK703" t="s">
        <v>589</v>
      </c>
      <c r="AL703" t="s">
        <v>590</v>
      </c>
      <c r="AM703">
        <v>2022</v>
      </c>
      <c r="AN703">
        <v>2020</v>
      </c>
      <c r="AO703">
        <f>IF(AND(emissions[[#This Row],[Market-based]]=0,emissions[[#This Row],[Impact Type]]="CO2E"),emissions[[#This Row],[kgCO2e]],0)/1000</f>
        <v>0</v>
      </c>
      <c r="AP703">
        <f>IF(AND(emissions[[#This Row],[Market-based]]=1,OR(emissions[[#This Row],[Impact Type]]="CO2E",emissions[[#This Row],[Impact Type]]="CO2E MKT")),emissions[[#This Row],[kgCO2e]],0)/1000</f>
        <v>0.93724671199999998</v>
      </c>
      <c r="AQ703" t="str">
        <f>_xlfn.TEXTAFTER(emissions[[#This Row],[Reporting Unit]]," &gt; ",LEN(emissions[[#This Row],[Reporting Unit]])-LEN(SUBSTITUTE(emissions[[#This Row],[Reporting Unit]],"&gt;","")))</f>
        <v>Vantage_Chicago</v>
      </c>
      <c r="AR703" t="str">
        <f>_xlfn.XLOOKUP(emissions[[#This Row],[Reporting unit name]],hierarchy!$A:$A,hierarchy!$C:$C)</f>
        <v>Labratory</v>
      </c>
    </row>
    <row r="704" spans="1:44" hidden="1" x14ac:dyDescent="0.25">
      <c r="A704">
        <v>4672</v>
      </c>
      <c r="B704" t="s">
        <v>416</v>
      </c>
      <c r="C704" t="s">
        <v>475</v>
      </c>
      <c r="D704" t="s">
        <v>599</v>
      </c>
      <c r="E704" s="3">
        <v>44197</v>
      </c>
      <c r="F704" s="3">
        <v>44561</v>
      </c>
      <c r="G704" t="s">
        <v>108</v>
      </c>
      <c r="H704" s="3">
        <v>44197</v>
      </c>
      <c r="I704" s="3">
        <v>44561</v>
      </c>
      <c r="J704" t="s">
        <v>108</v>
      </c>
      <c r="K704">
        <v>33498781</v>
      </c>
      <c r="L704" t="s">
        <v>109</v>
      </c>
      <c r="M704" t="s">
        <v>110</v>
      </c>
      <c r="O704" t="s">
        <v>810</v>
      </c>
      <c r="P704" t="s">
        <v>550</v>
      </c>
      <c r="Q704">
        <v>2021</v>
      </c>
      <c r="R704" t="s">
        <v>551</v>
      </c>
      <c r="S704" t="s">
        <v>552</v>
      </c>
      <c r="T704" t="s">
        <v>553</v>
      </c>
      <c r="U704" t="b">
        <v>0</v>
      </c>
      <c r="V704" t="s">
        <v>763</v>
      </c>
      <c r="W704" t="s">
        <v>555</v>
      </c>
      <c r="X704" t="s">
        <v>556</v>
      </c>
      <c r="Y704" t="s">
        <v>472</v>
      </c>
      <c r="Z704" t="s">
        <v>485</v>
      </c>
      <c r="AA704" t="s">
        <v>764</v>
      </c>
      <c r="AB704" t="s">
        <v>765</v>
      </c>
      <c r="AC704">
        <v>0</v>
      </c>
      <c r="AD704" t="s">
        <v>558</v>
      </c>
      <c r="AE704">
        <v>37607.10888</v>
      </c>
      <c r="AF704">
        <v>1.122641E-3</v>
      </c>
      <c r="AG704" t="s">
        <v>560</v>
      </c>
      <c r="AH704">
        <v>1</v>
      </c>
      <c r="AI704">
        <v>33498781</v>
      </c>
      <c r="AJ704" t="s">
        <v>561</v>
      </c>
      <c r="AK704" t="s">
        <v>766</v>
      </c>
      <c r="AL704" t="s">
        <v>790</v>
      </c>
      <c r="AM704">
        <v>2021</v>
      </c>
      <c r="AN704">
        <v>2019</v>
      </c>
      <c r="AO704">
        <f>IF(AND(emissions[[#This Row],[Market-based]]=0,emissions[[#This Row],[Impact Type]]="CO2E"),emissions[[#This Row],[kgCO2e]],0)/1000</f>
        <v>0</v>
      </c>
      <c r="AP704">
        <f>IF(AND(emissions[[#This Row],[Market-based]]=1,OR(emissions[[#This Row],[Impact Type]]="CO2E",emissions[[#This Row],[Impact Type]]="CO2E MKT")),emissions[[#This Row],[kgCO2e]],0)/1000</f>
        <v>0</v>
      </c>
      <c r="AQ704" t="str">
        <f>_xlfn.TEXTAFTER(emissions[[#This Row],[Reporting Unit]]," &gt; ",LEN(emissions[[#This Row],[Reporting Unit]])-LEN(SUBSTITUTE(emissions[[#This Row],[Reporting Unit]],"&gt;","")))</f>
        <v>Vantage_Chicago</v>
      </c>
      <c r="AR704" t="str">
        <f>_xlfn.XLOOKUP(emissions[[#This Row],[Reporting unit name]],hierarchy!$A:$A,hierarchy!$C:$C)</f>
        <v>Labratory</v>
      </c>
    </row>
    <row r="705" spans="1:44" hidden="1" x14ac:dyDescent="0.25">
      <c r="A705">
        <v>4672</v>
      </c>
      <c r="B705" t="s">
        <v>416</v>
      </c>
      <c r="C705" t="s">
        <v>475</v>
      </c>
      <c r="D705" t="s">
        <v>599</v>
      </c>
      <c r="E705" s="3">
        <v>44197</v>
      </c>
      <c r="F705" s="3">
        <v>44561</v>
      </c>
      <c r="G705" t="s">
        <v>108</v>
      </c>
      <c r="H705" s="3">
        <v>44197</v>
      </c>
      <c r="I705" s="3">
        <v>44561</v>
      </c>
      <c r="J705" t="s">
        <v>108</v>
      </c>
      <c r="K705">
        <v>33498781</v>
      </c>
      <c r="L705" t="s">
        <v>109</v>
      </c>
      <c r="M705" t="s">
        <v>110</v>
      </c>
      <c r="O705" t="s">
        <v>810</v>
      </c>
      <c r="P705" t="s">
        <v>550</v>
      </c>
      <c r="Q705">
        <v>2021</v>
      </c>
      <c r="R705" t="s">
        <v>551</v>
      </c>
      <c r="S705" t="s">
        <v>552</v>
      </c>
      <c r="T705" t="s">
        <v>553</v>
      </c>
      <c r="U705" t="b">
        <v>0</v>
      </c>
      <c r="V705" t="s">
        <v>763</v>
      </c>
      <c r="W705" t="s">
        <v>555</v>
      </c>
      <c r="X705" t="s">
        <v>556</v>
      </c>
      <c r="Y705" t="s">
        <v>472</v>
      </c>
      <c r="Z705" t="s">
        <v>485</v>
      </c>
      <c r="AA705" t="s">
        <v>764</v>
      </c>
      <c r="AB705" t="s">
        <v>765</v>
      </c>
      <c r="AC705">
        <v>0</v>
      </c>
      <c r="AD705" t="s">
        <v>564</v>
      </c>
      <c r="AE705">
        <v>16223159.76</v>
      </c>
      <c r="AF705">
        <v>0.484291048</v>
      </c>
      <c r="AG705" t="s">
        <v>560</v>
      </c>
      <c r="AH705">
        <v>1</v>
      </c>
      <c r="AI705">
        <v>33498781</v>
      </c>
      <c r="AJ705" t="s">
        <v>561</v>
      </c>
      <c r="AK705" t="s">
        <v>766</v>
      </c>
      <c r="AL705" t="s">
        <v>790</v>
      </c>
      <c r="AM705">
        <v>2021</v>
      </c>
      <c r="AN705">
        <v>2019</v>
      </c>
      <c r="AO705">
        <f>IF(AND(emissions[[#This Row],[Market-based]]=0,emissions[[#This Row],[Impact Type]]="CO2E"),emissions[[#This Row],[kgCO2e]],0)/1000</f>
        <v>0</v>
      </c>
      <c r="AP705">
        <f>IF(AND(emissions[[#This Row],[Market-based]]=1,OR(emissions[[#This Row],[Impact Type]]="CO2E",emissions[[#This Row],[Impact Type]]="CO2E MKT")),emissions[[#This Row],[kgCO2e]],0)/1000</f>
        <v>0</v>
      </c>
      <c r="AQ705" t="str">
        <f>_xlfn.TEXTAFTER(emissions[[#This Row],[Reporting Unit]]," &gt; ",LEN(emissions[[#This Row],[Reporting Unit]])-LEN(SUBSTITUTE(emissions[[#This Row],[Reporting Unit]],"&gt;","")))</f>
        <v>Vantage_Chicago</v>
      </c>
      <c r="AR705" t="str">
        <f>_xlfn.XLOOKUP(emissions[[#This Row],[Reporting unit name]],hierarchy!$A:$A,hierarchy!$C:$C)</f>
        <v>Labratory</v>
      </c>
    </row>
    <row r="706" spans="1:44" hidden="1" x14ac:dyDescent="0.25">
      <c r="A706">
        <v>4672</v>
      </c>
      <c r="B706" t="s">
        <v>416</v>
      </c>
      <c r="C706" t="s">
        <v>475</v>
      </c>
      <c r="D706" t="s">
        <v>599</v>
      </c>
      <c r="E706" s="3">
        <v>44197</v>
      </c>
      <c r="F706" s="3">
        <v>44561</v>
      </c>
      <c r="G706" t="s">
        <v>108</v>
      </c>
      <c r="H706" s="3">
        <v>44197</v>
      </c>
      <c r="I706" s="3">
        <v>44561</v>
      </c>
      <c r="J706" t="s">
        <v>108</v>
      </c>
      <c r="K706">
        <v>33498781</v>
      </c>
      <c r="L706" t="s">
        <v>109</v>
      </c>
      <c r="M706" t="s">
        <v>110</v>
      </c>
      <c r="O706" t="s">
        <v>810</v>
      </c>
      <c r="P706" t="s">
        <v>550</v>
      </c>
      <c r="Q706">
        <v>2021</v>
      </c>
      <c r="R706" t="s">
        <v>551</v>
      </c>
      <c r="S706" t="s">
        <v>552</v>
      </c>
      <c r="T706" t="s">
        <v>553</v>
      </c>
      <c r="U706" t="b">
        <v>0</v>
      </c>
      <c r="V706" t="s">
        <v>763</v>
      </c>
      <c r="W706" t="s">
        <v>555</v>
      </c>
      <c r="X706" t="s">
        <v>556</v>
      </c>
      <c r="Y706" t="s">
        <v>472</v>
      </c>
      <c r="Z706" t="s">
        <v>485</v>
      </c>
      <c r="AA706" t="s">
        <v>764</v>
      </c>
      <c r="AB706" t="s">
        <v>765</v>
      </c>
      <c r="AC706">
        <v>0</v>
      </c>
      <c r="AD706" t="s">
        <v>565</v>
      </c>
      <c r="AE706">
        <v>16324159.539999999</v>
      </c>
      <c r="AF706">
        <v>0.48730607599999998</v>
      </c>
      <c r="AG706" t="s">
        <v>560</v>
      </c>
      <c r="AH706">
        <v>1</v>
      </c>
      <c r="AI706">
        <v>33498781</v>
      </c>
      <c r="AJ706" t="s">
        <v>561</v>
      </c>
      <c r="AK706" t="s">
        <v>766</v>
      </c>
      <c r="AL706" t="s">
        <v>790</v>
      </c>
      <c r="AM706">
        <v>2021</v>
      </c>
      <c r="AN706">
        <v>2019</v>
      </c>
      <c r="AO706">
        <f>IF(AND(emissions[[#This Row],[Market-based]]=0,emissions[[#This Row],[Impact Type]]="CO2E"),emissions[[#This Row],[kgCO2e]],0)/1000</f>
        <v>16324.159539999999</v>
      </c>
      <c r="AP706">
        <f>IF(AND(emissions[[#This Row],[Market-based]]=1,OR(emissions[[#This Row],[Impact Type]]="CO2E",emissions[[#This Row],[Impact Type]]="CO2E MKT")),emissions[[#This Row],[kgCO2e]],0)/1000</f>
        <v>0</v>
      </c>
      <c r="AQ706" t="str">
        <f>_xlfn.TEXTAFTER(emissions[[#This Row],[Reporting Unit]]," &gt; ",LEN(emissions[[#This Row],[Reporting Unit]])-LEN(SUBSTITUTE(emissions[[#This Row],[Reporting Unit]],"&gt;","")))</f>
        <v>Vantage_Chicago</v>
      </c>
      <c r="AR706" t="str">
        <f>_xlfn.XLOOKUP(emissions[[#This Row],[Reporting unit name]],hierarchy!$A:$A,hierarchy!$C:$C)</f>
        <v>Labratory</v>
      </c>
    </row>
    <row r="707" spans="1:44" hidden="1" x14ac:dyDescent="0.25">
      <c r="A707">
        <v>4672</v>
      </c>
      <c r="B707" t="s">
        <v>416</v>
      </c>
      <c r="C707" t="s">
        <v>475</v>
      </c>
      <c r="D707" t="s">
        <v>599</v>
      </c>
      <c r="E707" s="3">
        <v>44197</v>
      </c>
      <c r="F707" s="3">
        <v>44561</v>
      </c>
      <c r="G707" t="s">
        <v>108</v>
      </c>
      <c r="H707" s="3">
        <v>44197</v>
      </c>
      <c r="I707" s="3">
        <v>44561</v>
      </c>
      <c r="J707" t="s">
        <v>108</v>
      </c>
      <c r="K707">
        <v>33498781</v>
      </c>
      <c r="L707" t="s">
        <v>109</v>
      </c>
      <c r="M707" t="s">
        <v>110</v>
      </c>
      <c r="O707" t="s">
        <v>810</v>
      </c>
      <c r="P707" t="s">
        <v>550</v>
      </c>
      <c r="Q707">
        <v>2021</v>
      </c>
      <c r="R707" t="s">
        <v>551</v>
      </c>
      <c r="S707" t="s">
        <v>552</v>
      </c>
      <c r="T707" t="s">
        <v>553</v>
      </c>
      <c r="U707" t="b">
        <v>0</v>
      </c>
      <c r="V707" t="s">
        <v>763</v>
      </c>
      <c r="W707" t="s">
        <v>555</v>
      </c>
      <c r="X707" t="s">
        <v>556</v>
      </c>
      <c r="Y707" t="s">
        <v>472</v>
      </c>
      <c r="Z707" t="s">
        <v>485</v>
      </c>
      <c r="AA707" t="s">
        <v>764</v>
      </c>
      <c r="AB707" t="s">
        <v>765</v>
      </c>
      <c r="AC707">
        <v>0</v>
      </c>
      <c r="AD707" t="s">
        <v>566</v>
      </c>
      <c r="AE707">
        <v>63392.67</v>
      </c>
      <c r="AF707">
        <v>1.8923869999999999E-3</v>
      </c>
      <c r="AG707" t="s">
        <v>560</v>
      </c>
      <c r="AH707">
        <v>1</v>
      </c>
      <c r="AI707">
        <v>33498781</v>
      </c>
      <c r="AJ707" t="s">
        <v>561</v>
      </c>
      <c r="AK707" t="s">
        <v>766</v>
      </c>
      <c r="AL707" t="s">
        <v>790</v>
      </c>
      <c r="AM707">
        <v>2021</v>
      </c>
      <c r="AN707">
        <v>2019</v>
      </c>
      <c r="AO707">
        <f>IF(AND(emissions[[#This Row],[Market-based]]=0,emissions[[#This Row],[Impact Type]]="CO2E"),emissions[[#This Row],[kgCO2e]],0)/1000</f>
        <v>0</v>
      </c>
      <c r="AP707">
        <f>IF(AND(emissions[[#This Row],[Market-based]]=1,OR(emissions[[#This Row],[Impact Type]]="CO2E",emissions[[#This Row],[Impact Type]]="CO2E MKT")),emissions[[#This Row],[kgCO2e]],0)/1000</f>
        <v>0</v>
      </c>
      <c r="AQ707" t="str">
        <f>_xlfn.TEXTAFTER(emissions[[#This Row],[Reporting Unit]]," &gt; ",LEN(emissions[[#This Row],[Reporting Unit]])-LEN(SUBSTITUTE(emissions[[#This Row],[Reporting Unit]],"&gt;","")))</f>
        <v>Vantage_Chicago</v>
      </c>
      <c r="AR707" t="str">
        <f>_xlfn.XLOOKUP(emissions[[#This Row],[Reporting unit name]],hierarchy!$A:$A,hierarchy!$C:$C)</f>
        <v>Labratory</v>
      </c>
    </row>
    <row r="708" spans="1:44" hidden="1" x14ac:dyDescent="0.25">
      <c r="A708">
        <v>4672</v>
      </c>
      <c r="B708" t="s">
        <v>416</v>
      </c>
      <c r="C708" t="s">
        <v>475</v>
      </c>
      <c r="D708" t="s">
        <v>599</v>
      </c>
      <c r="E708" s="3">
        <v>44197</v>
      </c>
      <c r="F708" s="3">
        <v>44561</v>
      </c>
      <c r="G708" t="s">
        <v>108</v>
      </c>
      <c r="H708" s="3">
        <v>44197</v>
      </c>
      <c r="I708" s="3">
        <v>44561</v>
      </c>
      <c r="J708" t="s">
        <v>108</v>
      </c>
      <c r="K708">
        <v>33498781</v>
      </c>
      <c r="L708" t="s">
        <v>109</v>
      </c>
      <c r="M708" t="s">
        <v>110</v>
      </c>
      <c r="O708" t="s">
        <v>810</v>
      </c>
      <c r="P708" t="s">
        <v>550</v>
      </c>
      <c r="Q708">
        <v>2021</v>
      </c>
      <c r="R708" t="s">
        <v>551</v>
      </c>
      <c r="S708" t="s">
        <v>552</v>
      </c>
      <c r="T708" t="s">
        <v>553</v>
      </c>
      <c r="U708" t="b">
        <v>1</v>
      </c>
      <c r="V708" t="s">
        <v>763</v>
      </c>
      <c r="W708" t="s">
        <v>555</v>
      </c>
      <c r="X708" t="s">
        <v>556</v>
      </c>
      <c r="AC708">
        <v>1</v>
      </c>
      <c r="AD708" t="s">
        <v>639</v>
      </c>
      <c r="AE708">
        <v>12813852.73</v>
      </c>
      <c r="AF708">
        <v>0.382516986</v>
      </c>
      <c r="AG708" t="s">
        <v>768</v>
      </c>
      <c r="AH708">
        <v>1</v>
      </c>
      <c r="AI708">
        <v>33498781</v>
      </c>
      <c r="AL708" t="s">
        <v>769</v>
      </c>
      <c r="AM708">
        <v>2021</v>
      </c>
      <c r="AO708">
        <f>IF(AND(emissions[[#This Row],[Market-based]]=0,emissions[[#This Row],[Impact Type]]="CO2E"),emissions[[#This Row],[kgCO2e]],0)/1000</f>
        <v>0</v>
      </c>
      <c r="AP708">
        <f>IF(AND(emissions[[#This Row],[Market-based]]=1,OR(emissions[[#This Row],[Impact Type]]="CO2E",emissions[[#This Row],[Impact Type]]="CO2E MKT")),emissions[[#This Row],[kgCO2e]],0)/1000</f>
        <v>12813.852730000001</v>
      </c>
      <c r="AQ708" t="str">
        <f>_xlfn.TEXTAFTER(emissions[[#This Row],[Reporting Unit]]," &gt; ",LEN(emissions[[#This Row],[Reporting Unit]])-LEN(SUBSTITUTE(emissions[[#This Row],[Reporting Unit]],"&gt;","")))</f>
        <v>Vantage_Chicago</v>
      </c>
      <c r="AR708" t="str">
        <f>_xlfn.XLOOKUP(emissions[[#This Row],[Reporting unit name]],hierarchy!$A:$A,hierarchy!$C:$C)</f>
        <v>Labratory</v>
      </c>
    </row>
    <row r="709" spans="1:44" hidden="1" x14ac:dyDescent="0.25">
      <c r="A709">
        <v>4672</v>
      </c>
      <c r="B709" t="s">
        <v>416</v>
      </c>
      <c r="C709" t="s">
        <v>475</v>
      </c>
      <c r="D709" t="s">
        <v>599</v>
      </c>
      <c r="E709" s="3">
        <v>44197</v>
      </c>
      <c r="F709" s="3">
        <v>44561</v>
      </c>
      <c r="G709" t="s">
        <v>108</v>
      </c>
      <c r="H709" s="3">
        <v>44197</v>
      </c>
      <c r="I709" s="3">
        <v>44561</v>
      </c>
      <c r="J709" t="s">
        <v>108</v>
      </c>
      <c r="K709">
        <v>33498781</v>
      </c>
      <c r="L709" t="s">
        <v>109</v>
      </c>
      <c r="M709" t="s">
        <v>110</v>
      </c>
      <c r="O709" t="s">
        <v>810</v>
      </c>
      <c r="P709" t="s">
        <v>550</v>
      </c>
      <c r="Q709">
        <v>2021</v>
      </c>
      <c r="R709" t="s">
        <v>567</v>
      </c>
      <c r="S709" t="s">
        <v>568</v>
      </c>
      <c r="T709" t="s">
        <v>569</v>
      </c>
      <c r="U709" t="b">
        <v>0</v>
      </c>
      <c r="V709" t="s">
        <v>771</v>
      </c>
      <c r="W709" t="s">
        <v>571</v>
      </c>
      <c r="X709" t="s">
        <v>572</v>
      </c>
      <c r="Y709" t="s">
        <v>472</v>
      </c>
      <c r="Z709" t="s">
        <v>485</v>
      </c>
      <c r="AA709" t="s">
        <v>764</v>
      </c>
      <c r="AB709" t="s">
        <v>765</v>
      </c>
      <c r="AC709">
        <v>0</v>
      </c>
      <c r="AD709" t="s">
        <v>558</v>
      </c>
      <c r="AE709">
        <v>506.66979400000002</v>
      </c>
      <c r="AF709" s="13">
        <v>1.5125E-5</v>
      </c>
      <c r="AG709" t="s">
        <v>560</v>
      </c>
      <c r="AH709">
        <v>1</v>
      </c>
      <c r="AI709">
        <v>33498781</v>
      </c>
      <c r="AJ709" t="s">
        <v>561</v>
      </c>
      <c r="AK709" t="s">
        <v>573</v>
      </c>
      <c r="AL709" t="s">
        <v>791</v>
      </c>
      <c r="AM709">
        <v>2021</v>
      </c>
      <c r="AN709">
        <v>2019</v>
      </c>
      <c r="AO709">
        <f>IF(AND(emissions[[#This Row],[Market-based]]=0,emissions[[#This Row],[Impact Type]]="CO2E"),emissions[[#This Row],[kgCO2e]],0)/1000</f>
        <v>0</v>
      </c>
      <c r="AP709">
        <f>IF(AND(emissions[[#This Row],[Market-based]]=1,OR(emissions[[#This Row],[Impact Type]]="CO2E",emissions[[#This Row],[Impact Type]]="CO2E MKT")),emissions[[#This Row],[kgCO2e]],0)/1000</f>
        <v>0</v>
      </c>
      <c r="AQ709" t="str">
        <f>_xlfn.TEXTAFTER(emissions[[#This Row],[Reporting Unit]]," &gt; ",LEN(emissions[[#This Row],[Reporting Unit]])-LEN(SUBSTITUTE(emissions[[#This Row],[Reporting Unit]],"&gt;","")))</f>
        <v>Vantage_Chicago</v>
      </c>
      <c r="AR709" t="str">
        <f>_xlfn.XLOOKUP(emissions[[#This Row],[Reporting unit name]],hierarchy!$A:$A,hierarchy!$C:$C)</f>
        <v>Labratory</v>
      </c>
    </row>
    <row r="710" spans="1:44" hidden="1" x14ac:dyDescent="0.25">
      <c r="A710">
        <v>4672</v>
      </c>
      <c r="B710" t="s">
        <v>416</v>
      </c>
      <c r="C710" t="s">
        <v>475</v>
      </c>
      <c r="D710" t="s">
        <v>599</v>
      </c>
      <c r="E710" s="3">
        <v>44197</v>
      </c>
      <c r="F710" s="3">
        <v>44561</v>
      </c>
      <c r="G710" t="s">
        <v>108</v>
      </c>
      <c r="H710" s="3">
        <v>44197</v>
      </c>
      <c r="I710" s="3">
        <v>44561</v>
      </c>
      <c r="J710" t="s">
        <v>108</v>
      </c>
      <c r="K710">
        <v>33498781</v>
      </c>
      <c r="L710" t="s">
        <v>109</v>
      </c>
      <c r="M710" t="s">
        <v>110</v>
      </c>
      <c r="O710" t="s">
        <v>810</v>
      </c>
      <c r="P710" t="s">
        <v>550</v>
      </c>
      <c r="Q710">
        <v>2021</v>
      </c>
      <c r="R710" t="s">
        <v>567</v>
      </c>
      <c r="S710" t="s">
        <v>568</v>
      </c>
      <c r="T710" t="s">
        <v>569</v>
      </c>
      <c r="U710" t="b">
        <v>0</v>
      </c>
      <c r="V710" t="s">
        <v>771</v>
      </c>
      <c r="W710" t="s">
        <v>571</v>
      </c>
      <c r="X710" t="s">
        <v>572</v>
      </c>
      <c r="Y710" t="s">
        <v>472</v>
      </c>
      <c r="Z710" t="s">
        <v>485</v>
      </c>
      <c r="AA710" t="s">
        <v>764</v>
      </c>
      <c r="AB710" t="s">
        <v>765</v>
      </c>
      <c r="AC710">
        <v>0</v>
      </c>
      <c r="AD710" t="s">
        <v>564</v>
      </c>
      <c r="AE710">
        <v>218569.97940000001</v>
      </c>
      <c r="AF710">
        <v>6.524714E-3</v>
      </c>
      <c r="AG710" t="s">
        <v>560</v>
      </c>
      <c r="AH710">
        <v>1</v>
      </c>
      <c r="AI710">
        <v>33498781</v>
      </c>
      <c r="AJ710" t="s">
        <v>561</v>
      </c>
      <c r="AK710" t="s">
        <v>573</v>
      </c>
      <c r="AL710" t="s">
        <v>791</v>
      </c>
      <c r="AM710">
        <v>2021</v>
      </c>
      <c r="AN710">
        <v>2019</v>
      </c>
      <c r="AO710">
        <f>IF(AND(emissions[[#This Row],[Market-based]]=0,emissions[[#This Row],[Impact Type]]="CO2E"),emissions[[#This Row],[kgCO2e]],0)/1000</f>
        <v>0</v>
      </c>
      <c r="AP710">
        <f>IF(AND(emissions[[#This Row],[Market-based]]=1,OR(emissions[[#This Row],[Impact Type]]="CO2E",emissions[[#This Row],[Impact Type]]="CO2E MKT")),emissions[[#This Row],[kgCO2e]],0)/1000</f>
        <v>0</v>
      </c>
      <c r="AQ710" t="str">
        <f>_xlfn.TEXTAFTER(emissions[[#This Row],[Reporting Unit]]," &gt; ",LEN(emissions[[#This Row],[Reporting Unit]])-LEN(SUBSTITUTE(emissions[[#This Row],[Reporting Unit]],"&gt;","")))</f>
        <v>Vantage_Chicago</v>
      </c>
      <c r="AR710" t="str">
        <f>_xlfn.XLOOKUP(emissions[[#This Row],[Reporting unit name]],hierarchy!$A:$A,hierarchy!$C:$C)</f>
        <v>Labratory</v>
      </c>
    </row>
    <row r="711" spans="1:44" hidden="1" x14ac:dyDescent="0.25">
      <c r="A711">
        <v>4672</v>
      </c>
      <c r="B711" t="s">
        <v>416</v>
      </c>
      <c r="C711" t="s">
        <v>475</v>
      </c>
      <c r="D711" t="s">
        <v>599</v>
      </c>
      <c r="E711" s="3">
        <v>44197</v>
      </c>
      <c r="F711" s="3">
        <v>44561</v>
      </c>
      <c r="G711" t="s">
        <v>108</v>
      </c>
      <c r="H711" s="3">
        <v>44197</v>
      </c>
      <c r="I711" s="3">
        <v>44561</v>
      </c>
      <c r="J711" t="s">
        <v>108</v>
      </c>
      <c r="K711">
        <v>33498781</v>
      </c>
      <c r="L711" t="s">
        <v>109</v>
      </c>
      <c r="M711" t="s">
        <v>110</v>
      </c>
      <c r="O711" t="s">
        <v>810</v>
      </c>
      <c r="P711" t="s">
        <v>550</v>
      </c>
      <c r="Q711">
        <v>2021</v>
      </c>
      <c r="R711" t="s">
        <v>567</v>
      </c>
      <c r="S711" t="s">
        <v>568</v>
      </c>
      <c r="T711" t="s">
        <v>569</v>
      </c>
      <c r="U711" t="b">
        <v>0</v>
      </c>
      <c r="V711" t="s">
        <v>771</v>
      </c>
      <c r="W711" t="s">
        <v>571</v>
      </c>
      <c r="X711" t="s">
        <v>572</v>
      </c>
      <c r="Y711" t="s">
        <v>472</v>
      </c>
      <c r="Z711" t="s">
        <v>485</v>
      </c>
      <c r="AA711" t="s">
        <v>764</v>
      </c>
      <c r="AB711" t="s">
        <v>765</v>
      </c>
      <c r="AC711">
        <v>0</v>
      </c>
      <c r="AD711" t="s">
        <v>565</v>
      </c>
      <c r="AE711">
        <v>219930.7205</v>
      </c>
      <c r="AF711">
        <v>6.5653350000000003E-3</v>
      </c>
      <c r="AG711" t="s">
        <v>560</v>
      </c>
      <c r="AH711">
        <v>1</v>
      </c>
      <c r="AI711">
        <v>33498781</v>
      </c>
      <c r="AJ711" t="s">
        <v>561</v>
      </c>
      <c r="AK711" t="s">
        <v>573</v>
      </c>
      <c r="AL711" t="s">
        <v>791</v>
      </c>
      <c r="AM711">
        <v>2021</v>
      </c>
      <c r="AN711">
        <v>2019</v>
      </c>
      <c r="AO711">
        <f>IF(AND(emissions[[#This Row],[Market-based]]=0,emissions[[#This Row],[Impact Type]]="CO2E"),emissions[[#This Row],[kgCO2e]],0)/1000</f>
        <v>219.93072050000001</v>
      </c>
      <c r="AP711">
        <f>IF(AND(emissions[[#This Row],[Market-based]]=1,OR(emissions[[#This Row],[Impact Type]]="CO2E",emissions[[#This Row],[Impact Type]]="CO2E MKT")),emissions[[#This Row],[kgCO2e]],0)/1000</f>
        <v>0</v>
      </c>
      <c r="AQ711" t="str">
        <f>_xlfn.TEXTAFTER(emissions[[#This Row],[Reporting Unit]]," &gt; ",LEN(emissions[[#This Row],[Reporting Unit]])-LEN(SUBSTITUTE(emissions[[#This Row],[Reporting Unit]],"&gt;","")))</f>
        <v>Vantage_Chicago</v>
      </c>
      <c r="AR711" t="str">
        <f>_xlfn.XLOOKUP(emissions[[#This Row],[Reporting unit name]],hierarchy!$A:$A,hierarchy!$C:$C)</f>
        <v>Labratory</v>
      </c>
    </row>
    <row r="712" spans="1:44" hidden="1" x14ac:dyDescent="0.25">
      <c r="A712">
        <v>4672</v>
      </c>
      <c r="B712" t="s">
        <v>416</v>
      </c>
      <c r="C712" t="s">
        <v>475</v>
      </c>
      <c r="D712" t="s">
        <v>599</v>
      </c>
      <c r="E712" s="3">
        <v>44197</v>
      </c>
      <c r="F712" s="3">
        <v>44561</v>
      </c>
      <c r="G712" t="s">
        <v>108</v>
      </c>
      <c r="H712" s="3">
        <v>44197</v>
      </c>
      <c r="I712" s="3">
        <v>44561</v>
      </c>
      <c r="J712" t="s">
        <v>108</v>
      </c>
      <c r="K712">
        <v>33498781</v>
      </c>
      <c r="L712" t="s">
        <v>109</v>
      </c>
      <c r="M712" t="s">
        <v>110</v>
      </c>
      <c r="O712" t="s">
        <v>810</v>
      </c>
      <c r="P712" t="s">
        <v>550</v>
      </c>
      <c r="Q712">
        <v>2021</v>
      </c>
      <c r="R712" t="s">
        <v>567</v>
      </c>
      <c r="S712" t="s">
        <v>568</v>
      </c>
      <c r="T712" t="s">
        <v>569</v>
      </c>
      <c r="U712" t="b">
        <v>0</v>
      </c>
      <c r="V712" t="s">
        <v>771</v>
      </c>
      <c r="W712" t="s">
        <v>571</v>
      </c>
      <c r="X712" t="s">
        <v>572</v>
      </c>
      <c r="Y712" t="s">
        <v>472</v>
      </c>
      <c r="Z712" t="s">
        <v>485</v>
      </c>
      <c r="AA712" t="s">
        <v>764</v>
      </c>
      <c r="AB712" t="s">
        <v>765</v>
      </c>
      <c r="AC712">
        <v>0</v>
      </c>
      <c r="AD712" t="s">
        <v>566</v>
      </c>
      <c r="AE712">
        <v>854.07126489999996</v>
      </c>
      <c r="AF712" s="13">
        <v>2.54956E-5</v>
      </c>
      <c r="AG712" t="s">
        <v>560</v>
      </c>
      <c r="AH712">
        <v>1</v>
      </c>
      <c r="AI712">
        <v>33498781</v>
      </c>
      <c r="AJ712" t="s">
        <v>561</v>
      </c>
      <c r="AK712" t="s">
        <v>573</v>
      </c>
      <c r="AL712" t="s">
        <v>791</v>
      </c>
      <c r="AM712">
        <v>2021</v>
      </c>
      <c r="AN712">
        <v>2019</v>
      </c>
      <c r="AO712">
        <f>IF(AND(emissions[[#This Row],[Market-based]]=0,emissions[[#This Row],[Impact Type]]="CO2E"),emissions[[#This Row],[kgCO2e]],0)/1000</f>
        <v>0</v>
      </c>
      <c r="AP712">
        <f>IF(AND(emissions[[#This Row],[Market-based]]=1,OR(emissions[[#This Row],[Impact Type]]="CO2E",emissions[[#This Row],[Impact Type]]="CO2E MKT")),emissions[[#This Row],[kgCO2e]],0)/1000</f>
        <v>0</v>
      </c>
      <c r="AQ712" t="str">
        <f>_xlfn.TEXTAFTER(emissions[[#This Row],[Reporting Unit]]," &gt; ",LEN(emissions[[#This Row],[Reporting Unit]])-LEN(SUBSTITUTE(emissions[[#This Row],[Reporting Unit]],"&gt;","")))</f>
        <v>Vantage_Chicago</v>
      </c>
      <c r="AR712" t="str">
        <f>_xlfn.XLOOKUP(emissions[[#This Row],[Reporting unit name]],hierarchy!$A:$A,hierarchy!$C:$C)</f>
        <v>Labratory</v>
      </c>
    </row>
    <row r="713" spans="1:44" hidden="1" x14ac:dyDescent="0.25">
      <c r="A713">
        <v>4672</v>
      </c>
      <c r="B713" t="s">
        <v>416</v>
      </c>
      <c r="C713" t="s">
        <v>475</v>
      </c>
      <c r="D713" t="s">
        <v>599</v>
      </c>
      <c r="E713" s="3">
        <v>44197</v>
      </c>
      <c r="F713" s="3">
        <v>44561</v>
      </c>
      <c r="G713" t="s">
        <v>108</v>
      </c>
      <c r="H713" s="3">
        <v>44197</v>
      </c>
      <c r="I713" s="3">
        <v>44561</v>
      </c>
      <c r="J713" t="s">
        <v>108</v>
      </c>
      <c r="K713">
        <v>33498781</v>
      </c>
      <c r="L713" t="s">
        <v>109</v>
      </c>
      <c r="M713" t="s">
        <v>110</v>
      </c>
      <c r="O713" t="s">
        <v>810</v>
      </c>
      <c r="P713" t="s">
        <v>550</v>
      </c>
      <c r="Q713">
        <v>2021</v>
      </c>
      <c r="R713" t="s">
        <v>567</v>
      </c>
      <c r="S713" t="s">
        <v>568</v>
      </c>
      <c r="T713" t="s">
        <v>569</v>
      </c>
      <c r="U713" t="b">
        <v>0</v>
      </c>
      <c r="V713" t="s">
        <v>771</v>
      </c>
      <c r="W713" t="s">
        <v>571</v>
      </c>
      <c r="X713" t="s">
        <v>572</v>
      </c>
      <c r="Y713" t="s">
        <v>472</v>
      </c>
      <c r="Z713" t="s">
        <v>485</v>
      </c>
      <c r="AA713" t="s">
        <v>764</v>
      </c>
      <c r="AB713" t="s">
        <v>765</v>
      </c>
      <c r="AC713">
        <v>1</v>
      </c>
      <c r="AD713" t="s">
        <v>639</v>
      </c>
      <c r="AE713">
        <v>218650.02299999999</v>
      </c>
      <c r="AF713">
        <v>6.5271039999999997E-3</v>
      </c>
      <c r="AG713" t="s">
        <v>560</v>
      </c>
      <c r="AH713">
        <v>1</v>
      </c>
      <c r="AI713">
        <v>33498781</v>
      </c>
      <c r="AJ713" t="s">
        <v>561</v>
      </c>
      <c r="AK713" t="s">
        <v>573</v>
      </c>
      <c r="AL713" t="s">
        <v>772</v>
      </c>
      <c r="AM713">
        <v>2021</v>
      </c>
      <c r="AN713">
        <v>2019</v>
      </c>
      <c r="AO713">
        <f>IF(AND(emissions[[#This Row],[Market-based]]=0,emissions[[#This Row],[Impact Type]]="CO2E"),emissions[[#This Row],[kgCO2e]],0)/1000</f>
        <v>0</v>
      </c>
      <c r="AP713">
        <f>IF(AND(emissions[[#This Row],[Market-based]]=1,OR(emissions[[#This Row],[Impact Type]]="CO2E",emissions[[#This Row],[Impact Type]]="CO2E MKT")),emissions[[#This Row],[kgCO2e]],0)/1000</f>
        <v>218.65002299999998</v>
      </c>
      <c r="AQ713" t="str">
        <f>_xlfn.TEXTAFTER(emissions[[#This Row],[Reporting Unit]]," &gt; ",LEN(emissions[[#This Row],[Reporting Unit]])-LEN(SUBSTITUTE(emissions[[#This Row],[Reporting Unit]],"&gt;","")))</f>
        <v>Vantage_Chicago</v>
      </c>
      <c r="AR713" t="str">
        <f>_xlfn.XLOOKUP(emissions[[#This Row],[Reporting unit name]],hierarchy!$A:$A,hierarchy!$C:$C)</f>
        <v>Labratory</v>
      </c>
    </row>
    <row r="714" spans="1:44" hidden="1" x14ac:dyDescent="0.25">
      <c r="A714">
        <v>4672</v>
      </c>
      <c r="B714" t="s">
        <v>416</v>
      </c>
      <c r="C714" t="s">
        <v>475</v>
      </c>
      <c r="D714" t="s">
        <v>599</v>
      </c>
      <c r="E714" s="3">
        <v>44197</v>
      </c>
      <c r="F714" s="3">
        <v>44561</v>
      </c>
      <c r="G714" t="s">
        <v>108</v>
      </c>
      <c r="H714" s="3">
        <v>44197</v>
      </c>
      <c r="I714" s="3">
        <v>44561</v>
      </c>
      <c r="J714" t="s">
        <v>108</v>
      </c>
      <c r="K714">
        <v>33498781</v>
      </c>
      <c r="L714" t="s">
        <v>109</v>
      </c>
      <c r="M714" t="s">
        <v>110</v>
      </c>
      <c r="O714" t="s">
        <v>810</v>
      </c>
      <c r="P714" t="s">
        <v>550</v>
      </c>
      <c r="Q714">
        <v>2021</v>
      </c>
      <c r="R714" t="s">
        <v>575</v>
      </c>
      <c r="S714" t="s">
        <v>576</v>
      </c>
      <c r="T714" t="s">
        <v>577</v>
      </c>
      <c r="U714" t="b">
        <v>0</v>
      </c>
      <c r="V714" t="s">
        <v>774</v>
      </c>
      <c r="W714" t="s">
        <v>571</v>
      </c>
      <c r="X714" t="s">
        <v>572</v>
      </c>
      <c r="Y714" t="s">
        <v>472</v>
      </c>
      <c r="Z714" t="s">
        <v>485</v>
      </c>
      <c r="AA714" t="s">
        <v>764</v>
      </c>
      <c r="AB714" t="s">
        <v>765</v>
      </c>
      <c r="AC714">
        <v>0</v>
      </c>
      <c r="AD714" t="s">
        <v>558</v>
      </c>
      <c r="AE714">
        <v>9934.7018439999993</v>
      </c>
      <c r="AF714">
        <v>2.96569E-4</v>
      </c>
      <c r="AG714" t="s">
        <v>560</v>
      </c>
      <c r="AH714">
        <v>1</v>
      </c>
      <c r="AI714">
        <v>33498781</v>
      </c>
      <c r="AJ714" t="s">
        <v>561</v>
      </c>
      <c r="AK714" t="s">
        <v>573</v>
      </c>
      <c r="AL714" t="s">
        <v>792</v>
      </c>
      <c r="AM714">
        <v>2021</v>
      </c>
      <c r="AN714">
        <v>2019</v>
      </c>
      <c r="AO714">
        <f>IF(AND(emissions[[#This Row],[Market-based]]=0,emissions[[#This Row],[Impact Type]]="CO2E"),emissions[[#This Row],[kgCO2e]],0)/1000</f>
        <v>0</v>
      </c>
      <c r="AP714">
        <f>IF(AND(emissions[[#This Row],[Market-based]]=1,OR(emissions[[#This Row],[Impact Type]]="CO2E",emissions[[#This Row],[Impact Type]]="CO2E MKT")),emissions[[#This Row],[kgCO2e]],0)/1000</f>
        <v>0</v>
      </c>
      <c r="AQ714" t="str">
        <f>_xlfn.TEXTAFTER(emissions[[#This Row],[Reporting Unit]]," &gt; ",LEN(emissions[[#This Row],[Reporting Unit]])-LEN(SUBSTITUTE(emissions[[#This Row],[Reporting Unit]],"&gt;","")))</f>
        <v>Vantage_Chicago</v>
      </c>
      <c r="AR714" t="str">
        <f>_xlfn.XLOOKUP(emissions[[#This Row],[Reporting unit name]],hierarchy!$A:$A,hierarchy!$C:$C)</f>
        <v>Labratory</v>
      </c>
    </row>
    <row r="715" spans="1:44" hidden="1" x14ac:dyDescent="0.25">
      <c r="A715">
        <v>4672</v>
      </c>
      <c r="B715" t="s">
        <v>416</v>
      </c>
      <c r="C715" t="s">
        <v>475</v>
      </c>
      <c r="D715" t="s">
        <v>599</v>
      </c>
      <c r="E715" s="3">
        <v>44197</v>
      </c>
      <c r="F715" s="3">
        <v>44561</v>
      </c>
      <c r="G715" t="s">
        <v>108</v>
      </c>
      <c r="H715" s="3">
        <v>44197</v>
      </c>
      <c r="I715" s="3">
        <v>44561</v>
      </c>
      <c r="J715" t="s">
        <v>108</v>
      </c>
      <c r="K715">
        <v>33498781</v>
      </c>
      <c r="L715" t="s">
        <v>109</v>
      </c>
      <c r="M715" t="s">
        <v>110</v>
      </c>
      <c r="O715" t="s">
        <v>810</v>
      </c>
      <c r="P715" t="s">
        <v>550</v>
      </c>
      <c r="Q715">
        <v>2021</v>
      </c>
      <c r="R715" t="s">
        <v>575</v>
      </c>
      <c r="S715" t="s">
        <v>576</v>
      </c>
      <c r="T715" t="s">
        <v>577</v>
      </c>
      <c r="U715" t="b">
        <v>0</v>
      </c>
      <c r="V715" t="s">
        <v>774</v>
      </c>
      <c r="W715" t="s">
        <v>571</v>
      </c>
      <c r="X715" t="s">
        <v>572</v>
      </c>
      <c r="Y715" t="s">
        <v>472</v>
      </c>
      <c r="Z715" t="s">
        <v>485</v>
      </c>
      <c r="AA715" t="s">
        <v>764</v>
      </c>
      <c r="AB715" t="s">
        <v>765</v>
      </c>
      <c r="AC715">
        <v>0</v>
      </c>
      <c r="AD715" t="s">
        <v>564</v>
      </c>
      <c r="AE715">
        <v>4285685.8710000003</v>
      </c>
      <c r="AF715">
        <v>0.12793557699999999</v>
      </c>
      <c r="AG715" t="s">
        <v>560</v>
      </c>
      <c r="AH715">
        <v>1</v>
      </c>
      <c r="AI715">
        <v>33498781</v>
      </c>
      <c r="AJ715" t="s">
        <v>561</v>
      </c>
      <c r="AK715" t="s">
        <v>573</v>
      </c>
      <c r="AL715" t="s">
        <v>792</v>
      </c>
      <c r="AM715">
        <v>2021</v>
      </c>
      <c r="AN715">
        <v>2019</v>
      </c>
      <c r="AO715">
        <f>IF(AND(emissions[[#This Row],[Market-based]]=0,emissions[[#This Row],[Impact Type]]="CO2E"),emissions[[#This Row],[kgCO2e]],0)/1000</f>
        <v>0</v>
      </c>
      <c r="AP715">
        <f>IF(AND(emissions[[#This Row],[Market-based]]=1,OR(emissions[[#This Row],[Impact Type]]="CO2E",emissions[[#This Row],[Impact Type]]="CO2E MKT")),emissions[[#This Row],[kgCO2e]],0)/1000</f>
        <v>0</v>
      </c>
      <c r="AQ715" t="str">
        <f>_xlfn.TEXTAFTER(emissions[[#This Row],[Reporting Unit]]," &gt; ",LEN(emissions[[#This Row],[Reporting Unit]])-LEN(SUBSTITUTE(emissions[[#This Row],[Reporting Unit]],"&gt;","")))</f>
        <v>Vantage_Chicago</v>
      </c>
      <c r="AR715" t="str">
        <f>_xlfn.XLOOKUP(emissions[[#This Row],[Reporting unit name]],hierarchy!$A:$A,hierarchy!$C:$C)</f>
        <v>Labratory</v>
      </c>
    </row>
    <row r="716" spans="1:44" hidden="1" x14ac:dyDescent="0.25">
      <c r="A716">
        <v>4672</v>
      </c>
      <c r="B716" t="s">
        <v>416</v>
      </c>
      <c r="C716" t="s">
        <v>475</v>
      </c>
      <c r="D716" t="s">
        <v>599</v>
      </c>
      <c r="E716" s="3">
        <v>44197</v>
      </c>
      <c r="F716" s="3">
        <v>44561</v>
      </c>
      <c r="G716" t="s">
        <v>108</v>
      </c>
      <c r="H716" s="3">
        <v>44197</v>
      </c>
      <c r="I716" s="3">
        <v>44561</v>
      </c>
      <c r="J716" t="s">
        <v>108</v>
      </c>
      <c r="K716">
        <v>33498781</v>
      </c>
      <c r="L716" t="s">
        <v>109</v>
      </c>
      <c r="M716" t="s">
        <v>110</v>
      </c>
      <c r="O716" t="s">
        <v>810</v>
      </c>
      <c r="P716" t="s">
        <v>550</v>
      </c>
      <c r="Q716">
        <v>2021</v>
      </c>
      <c r="R716" t="s">
        <v>575</v>
      </c>
      <c r="S716" t="s">
        <v>576</v>
      </c>
      <c r="T716" t="s">
        <v>577</v>
      </c>
      <c r="U716" t="b">
        <v>0</v>
      </c>
      <c r="V716" t="s">
        <v>774</v>
      </c>
      <c r="W716" t="s">
        <v>571</v>
      </c>
      <c r="X716" t="s">
        <v>572</v>
      </c>
      <c r="Y716" t="s">
        <v>472</v>
      </c>
      <c r="Z716" t="s">
        <v>485</v>
      </c>
      <c r="AA716" t="s">
        <v>764</v>
      </c>
      <c r="AB716" t="s">
        <v>765</v>
      </c>
      <c r="AC716">
        <v>0</v>
      </c>
      <c r="AD716" t="s">
        <v>565</v>
      </c>
      <c r="AE716">
        <v>4312367.068</v>
      </c>
      <c r="AF716">
        <v>0.12873205900000001</v>
      </c>
      <c r="AG716" t="s">
        <v>560</v>
      </c>
      <c r="AH716">
        <v>1</v>
      </c>
      <c r="AI716">
        <v>33498781</v>
      </c>
      <c r="AJ716" t="s">
        <v>561</v>
      </c>
      <c r="AK716" t="s">
        <v>573</v>
      </c>
      <c r="AL716" t="s">
        <v>792</v>
      </c>
      <c r="AM716">
        <v>2021</v>
      </c>
      <c r="AN716">
        <v>2019</v>
      </c>
      <c r="AO716">
        <f>IF(AND(emissions[[#This Row],[Market-based]]=0,emissions[[#This Row],[Impact Type]]="CO2E"),emissions[[#This Row],[kgCO2e]],0)/1000</f>
        <v>4312.3670679999996</v>
      </c>
      <c r="AP716">
        <f>IF(AND(emissions[[#This Row],[Market-based]]=1,OR(emissions[[#This Row],[Impact Type]]="CO2E",emissions[[#This Row],[Impact Type]]="CO2E MKT")),emissions[[#This Row],[kgCO2e]],0)/1000</f>
        <v>0</v>
      </c>
      <c r="AQ716" t="str">
        <f>_xlfn.TEXTAFTER(emissions[[#This Row],[Reporting Unit]]," &gt; ",LEN(emissions[[#This Row],[Reporting Unit]])-LEN(SUBSTITUTE(emissions[[#This Row],[Reporting Unit]],"&gt;","")))</f>
        <v>Vantage_Chicago</v>
      </c>
      <c r="AR716" t="str">
        <f>_xlfn.XLOOKUP(emissions[[#This Row],[Reporting unit name]],hierarchy!$A:$A,hierarchy!$C:$C)</f>
        <v>Labratory</v>
      </c>
    </row>
    <row r="717" spans="1:44" hidden="1" x14ac:dyDescent="0.25">
      <c r="A717">
        <v>4672</v>
      </c>
      <c r="B717" t="s">
        <v>416</v>
      </c>
      <c r="C717" t="s">
        <v>475</v>
      </c>
      <c r="D717" t="s">
        <v>599</v>
      </c>
      <c r="E717" s="3">
        <v>44197</v>
      </c>
      <c r="F717" s="3">
        <v>44561</v>
      </c>
      <c r="G717" t="s">
        <v>108</v>
      </c>
      <c r="H717" s="3">
        <v>44197</v>
      </c>
      <c r="I717" s="3">
        <v>44561</v>
      </c>
      <c r="J717" t="s">
        <v>108</v>
      </c>
      <c r="K717">
        <v>33498781</v>
      </c>
      <c r="L717" t="s">
        <v>109</v>
      </c>
      <c r="M717" t="s">
        <v>110</v>
      </c>
      <c r="O717" t="s">
        <v>810</v>
      </c>
      <c r="P717" t="s">
        <v>550</v>
      </c>
      <c r="Q717">
        <v>2021</v>
      </c>
      <c r="R717" t="s">
        <v>575</v>
      </c>
      <c r="S717" t="s">
        <v>576</v>
      </c>
      <c r="T717" t="s">
        <v>577</v>
      </c>
      <c r="U717" t="b">
        <v>0</v>
      </c>
      <c r="V717" t="s">
        <v>774</v>
      </c>
      <c r="W717" t="s">
        <v>571</v>
      </c>
      <c r="X717" t="s">
        <v>572</v>
      </c>
      <c r="Y717" t="s">
        <v>472</v>
      </c>
      <c r="Z717" t="s">
        <v>485</v>
      </c>
      <c r="AA717" t="s">
        <v>764</v>
      </c>
      <c r="AB717" t="s">
        <v>765</v>
      </c>
      <c r="AC717">
        <v>0</v>
      </c>
      <c r="AD717" t="s">
        <v>566</v>
      </c>
      <c r="AE717">
        <v>16746.49539</v>
      </c>
      <c r="AF717">
        <v>4.9991399999999996E-4</v>
      </c>
      <c r="AG717" t="s">
        <v>560</v>
      </c>
      <c r="AH717">
        <v>1</v>
      </c>
      <c r="AI717">
        <v>33498781</v>
      </c>
      <c r="AJ717" t="s">
        <v>561</v>
      </c>
      <c r="AK717" t="s">
        <v>573</v>
      </c>
      <c r="AL717" t="s">
        <v>792</v>
      </c>
      <c r="AM717">
        <v>2021</v>
      </c>
      <c r="AN717">
        <v>2019</v>
      </c>
      <c r="AO717">
        <f>IF(AND(emissions[[#This Row],[Market-based]]=0,emissions[[#This Row],[Impact Type]]="CO2E"),emissions[[#This Row],[kgCO2e]],0)/1000</f>
        <v>0</v>
      </c>
      <c r="AP717">
        <f>IF(AND(emissions[[#This Row],[Market-based]]=1,OR(emissions[[#This Row],[Impact Type]]="CO2E",emissions[[#This Row],[Impact Type]]="CO2E MKT")),emissions[[#This Row],[kgCO2e]],0)/1000</f>
        <v>0</v>
      </c>
      <c r="AQ717" t="str">
        <f>_xlfn.TEXTAFTER(emissions[[#This Row],[Reporting Unit]]," &gt; ",LEN(emissions[[#This Row],[Reporting Unit]])-LEN(SUBSTITUTE(emissions[[#This Row],[Reporting Unit]],"&gt;","")))</f>
        <v>Vantage_Chicago</v>
      </c>
      <c r="AR717" t="str">
        <f>_xlfn.XLOOKUP(emissions[[#This Row],[Reporting unit name]],hierarchy!$A:$A,hierarchy!$C:$C)</f>
        <v>Labratory</v>
      </c>
    </row>
    <row r="718" spans="1:44" hidden="1" x14ac:dyDescent="0.25">
      <c r="A718">
        <v>4672</v>
      </c>
      <c r="B718" t="s">
        <v>416</v>
      </c>
      <c r="C718" t="s">
        <v>475</v>
      </c>
      <c r="D718" t="s">
        <v>599</v>
      </c>
      <c r="E718" s="3">
        <v>44197</v>
      </c>
      <c r="F718" s="3">
        <v>44561</v>
      </c>
      <c r="G718" t="s">
        <v>108</v>
      </c>
      <c r="H718" s="3">
        <v>44197</v>
      </c>
      <c r="I718" s="3">
        <v>44561</v>
      </c>
      <c r="J718" t="s">
        <v>108</v>
      </c>
      <c r="K718">
        <v>33498781</v>
      </c>
      <c r="L718" t="s">
        <v>109</v>
      </c>
      <c r="M718" t="s">
        <v>110</v>
      </c>
      <c r="O718" t="s">
        <v>810</v>
      </c>
      <c r="P718" t="s">
        <v>550</v>
      </c>
      <c r="Q718">
        <v>2021</v>
      </c>
      <c r="R718" t="s">
        <v>575</v>
      </c>
      <c r="S718" t="s">
        <v>576</v>
      </c>
      <c r="T718" t="s">
        <v>577</v>
      </c>
      <c r="U718" t="b">
        <v>0</v>
      </c>
      <c r="V718" t="s">
        <v>774</v>
      </c>
      <c r="W718" t="s">
        <v>571</v>
      </c>
      <c r="X718" t="s">
        <v>572</v>
      </c>
      <c r="Y718" t="s">
        <v>472</v>
      </c>
      <c r="Z718" t="s">
        <v>485</v>
      </c>
      <c r="AA718" t="s">
        <v>764</v>
      </c>
      <c r="AB718" t="s">
        <v>765</v>
      </c>
      <c r="AC718">
        <v>1</v>
      </c>
      <c r="AD718" t="s">
        <v>639</v>
      </c>
      <c r="AE718">
        <v>4287255.3530000001</v>
      </c>
      <c r="AF718">
        <v>0.12798242900000001</v>
      </c>
      <c r="AG718" t="s">
        <v>560</v>
      </c>
      <c r="AH718">
        <v>1</v>
      </c>
      <c r="AI718">
        <v>33498781</v>
      </c>
      <c r="AJ718" t="s">
        <v>561</v>
      </c>
      <c r="AK718" t="s">
        <v>573</v>
      </c>
      <c r="AL718" t="s">
        <v>775</v>
      </c>
      <c r="AM718">
        <v>2021</v>
      </c>
      <c r="AN718">
        <v>2019</v>
      </c>
      <c r="AO718">
        <f>IF(AND(emissions[[#This Row],[Market-based]]=0,emissions[[#This Row],[Impact Type]]="CO2E"),emissions[[#This Row],[kgCO2e]],0)/1000</f>
        <v>0</v>
      </c>
      <c r="AP718">
        <f>IF(AND(emissions[[#This Row],[Market-based]]=1,OR(emissions[[#This Row],[Impact Type]]="CO2E",emissions[[#This Row],[Impact Type]]="CO2E MKT")),emissions[[#This Row],[kgCO2e]],0)/1000</f>
        <v>4287.2553530000005</v>
      </c>
      <c r="AQ718" t="str">
        <f>_xlfn.TEXTAFTER(emissions[[#This Row],[Reporting Unit]]," &gt; ",LEN(emissions[[#This Row],[Reporting Unit]])-LEN(SUBSTITUTE(emissions[[#This Row],[Reporting Unit]],"&gt;","")))</f>
        <v>Vantage_Chicago</v>
      </c>
      <c r="AR718" t="str">
        <f>_xlfn.XLOOKUP(emissions[[#This Row],[Reporting unit name]],hierarchy!$A:$A,hierarchy!$C:$C)</f>
        <v>Labratory</v>
      </c>
    </row>
    <row r="719" spans="1:44" hidden="1" x14ac:dyDescent="0.25">
      <c r="A719">
        <v>4672</v>
      </c>
      <c r="B719" t="s">
        <v>416</v>
      </c>
      <c r="C719" t="s">
        <v>475</v>
      </c>
      <c r="D719" t="s">
        <v>599</v>
      </c>
      <c r="E719" s="3">
        <v>44197</v>
      </c>
      <c r="F719" s="3">
        <v>44561</v>
      </c>
      <c r="G719" t="s">
        <v>108</v>
      </c>
      <c r="H719" s="3">
        <v>44197</v>
      </c>
      <c r="I719" s="3">
        <v>44561</v>
      </c>
      <c r="J719" t="s">
        <v>108</v>
      </c>
      <c r="K719">
        <v>33498781</v>
      </c>
      <c r="L719" t="s">
        <v>109</v>
      </c>
      <c r="M719" t="s">
        <v>110</v>
      </c>
      <c r="O719" t="s">
        <v>810</v>
      </c>
      <c r="P719" t="s">
        <v>550</v>
      </c>
      <c r="Q719">
        <v>2021</v>
      </c>
      <c r="R719" t="s">
        <v>579</v>
      </c>
      <c r="S719" t="s">
        <v>580</v>
      </c>
      <c r="T719" t="s">
        <v>581</v>
      </c>
      <c r="U719" t="b">
        <v>0</v>
      </c>
      <c r="V719" t="s">
        <v>776</v>
      </c>
      <c r="W719" t="s">
        <v>571</v>
      </c>
      <c r="X719" t="s">
        <v>572</v>
      </c>
      <c r="Y719" t="s">
        <v>472</v>
      </c>
      <c r="Z719" t="s">
        <v>485</v>
      </c>
      <c r="AA719" t="s">
        <v>764</v>
      </c>
      <c r="AB719" t="s">
        <v>765</v>
      </c>
      <c r="AC719">
        <v>0</v>
      </c>
      <c r="AD719" t="s">
        <v>565</v>
      </c>
      <c r="AE719">
        <v>832532.13639999996</v>
      </c>
      <c r="AF719">
        <v>2.4852610000000001E-2</v>
      </c>
      <c r="AG719" t="s">
        <v>560</v>
      </c>
      <c r="AH719">
        <v>1</v>
      </c>
      <c r="AI719">
        <v>33498781</v>
      </c>
      <c r="AJ719" t="s">
        <v>561</v>
      </c>
      <c r="AK719" t="s">
        <v>766</v>
      </c>
      <c r="AL719" t="s">
        <v>790</v>
      </c>
      <c r="AM719">
        <v>2021</v>
      </c>
      <c r="AN719">
        <v>2019</v>
      </c>
      <c r="AO719">
        <f>IF(AND(emissions[[#This Row],[Market-based]]=0,emissions[[#This Row],[Impact Type]]="CO2E"),emissions[[#This Row],[kgCO2e]],0)/1000</f>
        <v>832.53213640000001</v>
      </c>
      <c r="AP719">
        <f>IF(AND(emissions[[#This Row],[Market-based]]=1,OR(emissions[[#This Row],[Impact Type]]="CO2E",emissions[[#This Row],[Impact Type]]="CO2E MKT")),emissions[[#This Row],[kgCO2e]],0)/1000</f>
        <v>0</v>
      </c>
      <c r="AQ719" t="str">
        <f>_xlfn.TEXTAFTER(emissions[[#This Row],[Reporting Unit]]," &gt; ",LEN(emissions[[#This Row],[Reporting Unit]])-LEN(SUBSTITUTE(emissions[[#This Row],[Reporting Unit]],"&gt;","")))</f>
        <v>Vantage_Chicago</v>
      </c>
      <c r="AR719" t="str">
        <f>_xlfn.XLOOKUP(emissions[[#This Row],[Reporting unit name]],hierarchy!$A:$A,hierarchy!$C:$C)</f>
        <v>Labratory</v>
      </c>
    </row>
    <row r="720" spans="1:44" hidden="1" x14ac:dyDescent="0.25">
      <c r="A720">
        <v>4672</v>
      </c>
      <c r="B720" t="s">
        <v>416</v>
      </c>
      <c r="C720" t="s">
        <v>475</v>
      </c>
      <c r="D720" t="s">
        <v>599</v>
      </c>
      <c r="E720" s="3">
        <v>44197</v>
      </c>
      <c r="F720" s="3">
        <v>44561</v>
      </c>
      <c r="G720" t="s">
        <v>108</v>
      </c>
      <c r="H720" s="3">
        <v>44197</v>
      </c>
      <c r="I720" s="3">
        <v>44561</v>
      </c>
      <c r="J720" t="s">
        <v>108</v>
      </c>
      <c r="K720">
        <v>33498781</v>
      </c>
      <c r="L720" t="s">
        <v>109</v>
      </c>
      <c r="M720" t="s">
        <v>110</v>
      </c>
      <c r="O720" t="s">
        <v>810</v>
      </c>
      <c r="P720" t="s">
        <v>550</v>
      </c>
      <c r="Q720">
        <v>2021</v>
      </c>
      <c r="R720" t="s">
        <v>579</v>
      </c>
      <c r="S720" t="s">
        <v>580</v>
      </c>
      <c r="T720" t="s">
        <v>581</v>
      </c>
      <c r="U720" t="b">
        <v>0</v>
      </c>
      <c r="V720" t="s">
        <v>777</v>
      </c>
      <c r="W720" t="s">
        <v>571</v>
      </c>
      <c r="X720" t="s">
        <v>572</v>
      </c>
      <c r="Y720" t="s">
        <v>472</v>
      </c>
      <c r="Z720" t="s">
        <v>485</v>
      </c>
      <c r="AA720" t="s">
        <v>764</v>
      </c>
      <c r="AB720" t="s">
        <v>765</v>
      </c>
      <c r="AC720">
        <v>1</v>
      </c>
      <c r="AD720" t="s">
        <v>639</v>
      </c>
      <c r="AE720">
        <v>827684.147</v>
      </c>
      <c r="AF720">
        <v>2.4707889E-2</v>
      </c>
      <c r="AG720" t="s">
        <v>560</v>
      </c>
      <c r="AH720">
        <v>1</v>
      </c>
      <c r="AI720">
        <v>33498781</v>
      </c>
      <c r="AJ720" t="s">
        <v>561</v>
      </c>
      <c r="AK720" t="s">
        <v>573</v>
      </c>
      <c r="AL720" t="s">
        <v>778</v>
      </c>
      <c r="AM720">
        <v>2021</v>
      </c>
      <c r="AN720">
        <v>2019</v>
      </c>
      <c r="AO720">
        <f>IF(AND(emissions[[#This Row],[Market-based]]=0,emissions[[#This Row],[Impact Type]]="CO2E"),emissions[[#This Row],[kgCO2e]],0)/1000</f>
        <v>0</v>
      </c>
      <c r="AP720">
        <f>IF(AND(emissions[[#This Row],[Market-based]]=1,OR(emissions[[#This Row],[Impact Type]]="CO2E",emissions[[#This Row],[Impact Type]]="CO2E MKT")),emissions[[#This Row],[kgCO2e]],0)/1000</f>
        <v>827.68414700000005</v>
      </c>
      <c r="AQ720" t="str">
        <f>_xlfn.TEXTAFTER(emissions[[#This Row],[Reporting Unit]]," &gt; ",LEN(emissions[[#This Row],[Reporting Unit]])-LEN(SUBSTITUTE(emissions[[#This Row],[Reporting Unit]],"&gt;","")))</f>
        <v>Vantage_Chicago</v>
      </c>
      <c r="AR720" t="str">
        <f>_xlfn.XLOOKUP(emissions[[#This Row],[Reporting unit name]],hierarchy!$A:$A,hierarchy!$C:$C)</f>
        <v>Labratory</v>
      </c>
    </row>
    <row r="721" spans="1:44" hidden="1" x14ac:dyDescent="0.25">
      <c r="A721">
        <v>4971</v>
      </c>
      <c r="B721" t="s">
        <v>416</v>
      </c>
      <c r="C721" t="s">
        <v>475</v>
      </c>
      <c r="D721" t="s">
        <v>599</v>
      </c>
      <c r="E721" s="3">
        <v>44197</v>
      </c>
      <c r="F721" s="3">
        <v>44561</v>
      </c>
      <c r="G721" t="s">
        <v>135</v>
      </c>
      <c r="H721" s="3">
        <v>44197</v>
      </c>
      <c r="I721" s="3">
        <v>44561</v>
      </c>
      <c r="J721" t="s">
        <v>135</v>
      </c>
      <c r="K721">
        <v>9415099</v>
      </c>
      <c r="L721" t="s">
        <v>136</v>
      </c>
      <c r="M721" t="s">
        <v>110</v>
      </c>
      <c r="O721" t="s">
        <v>600</v>
      </c>
      <c r="P721" t="s">
        <v>550</v>
      </c>
      <c r="Q721">
        <v>2021</v>
      </c>
      <c r="R721" t="s">
        <v>605</v>
      </c>
      <c r="S721" t="s">
        <v>606</v>
      </c>
      <c r="T721" t="s">
        <v>553</v>
      </c>
      <c r="U721" t="b">
        <v>0</v>
      </c>
      <c r="V721" t="s">
        <v>781</v>
      </c>
      <c r="W721" t="s">
        <v>587</v>
      </c>
      <c r="X721" t="s">
        <v>556</v>
      </c>
      <c r="Y721" t="s">
        <v>472</v>
      </c>
      <c r="Z721" t="s">
        <v>485</v>
      </c>
      <c r="AA721" t="s">
        <v>764</v>
      </c>
      <c r="AC721">
        <v>0</v>
      </c>
      <c r="AD721" t="s">
        <v>558</v>
      </c>
      <c r="AE721">
        <v>23537.747500000001</v>
      </c>
      <c r="AF721">
        <v>2.5000000000000001E-2</v>
      </c>
      <c r="AG721" t="s">
        <v>798</v>
      </c>
      <c r="AH721">
        <v>0.1</v>
      </c>
      <c r="AI721">
        <v>941509.9</v>
      </c>
      <c r="AJ721" t="s">
        <v>561</v>
      </c>
      <c r="AK721" t="s">
        <v>766</v>
      </c>
      <c r="AL721" t="s">
        <v>790</v>
      </c>
      <c r="AM721">
        <v>2021</v>
      </c>
      <c r="AN721">
        <v>2021</v>
      </c>
      <c r="AO721">
        <f>IF(AND(emissions[[#This Row],[Market-based]]=0,emissions[[#This Row],[Impact Type]]="CO2E"),emissions[[#This Row],[kgCO2e]],0)/1000</f>
        <v>0</v>
      </c>
      <c r="AP721">
        <f>IF(AND(emissions[[#This Row],[Market-based]]=1,OR(emissions[[#This Row],[Impact Type]]="CO2E",emissions[[#This Row],[Impact Type]]="CO2E MKT")),emissions[[#This Row],[kgCO2e]],0)/1000</f>
        <v>0</v>
      </c>
      <c r="AQ721" t="str">
        <f>_xlfn.TEXTAFTER(emissions[[#This Row],[Reporting Unit]]," &gt; ",LEN(emissions[[#This Row],[Reporting Unit]])-LEN(SUBSTITUTE(emissions[[#This Row],[Reporting Unit]],"&gt;","")))</f>
        <v>Vantage_Chicago</v>
      </c>
      <c r="AR721" t="str">
        <f>_xlfn.XLOOKUP(emissions[[#This Row],[Reporting unit name]],hierarchy!$A:$A,hierarchy!$C:$C)</f>
        <v>Labratory</v>
      </c>
    </row>
    <row r="722" spans="1:44" hidden="1" x14ac:dyDescent="0.25">
      <c r="A722">
        <v>4971</v>
      </c>
      <c r="B722" t="s">
        <v>416</v>
      </c>
      <c r="C722" t="s">
        <v>475</v>
      </c>
      <c r="D722" t="s">
        <v>599</v>
      </c>
      <c r="E722" s="3">
        <v>44197</v>
      </c>
      <c r="F722" s="3">
        <v>44561</v>
      </c>
      <c r="G722" t="s">
        <v>135</v>
      </c>
      <c r="H722" s="3">
        <v>44197</v>
      </c>
      <c r="I722" s="3">
        <v>44561</v>
      </c>
      <c r="J722" t="s">
        <v>135</v>
      </c>
      <c r="K722">
        <v>9415099</v>
      </c>
      <c r="L722" t="s">
        <v>136</v>
      </c>
      <c r="M722" t="s">
        <v>110</v>
      </c>
      <c r="O722" t="s">
        <v>600</v>
      </c>
      <c r="P722" t="s">
        <v>550</v>
      </c>
      <c r="Q722">
        <v>2021</v>
      </c>
      <c r="R722" t="s">
        <v>605</v>
      </c>
      <c r="S722" t="s">
        <v>606</v>
      </c>
      <c r="T722" t="s">
        <v>553</v>
      </c>
      <c r="U722" t="b">
        <v>0</v>
      </c>
      <c r="V722" t="s">
        <v>781</v>
      </c>
      <c r="W722" t="s">
        <v>587</v>
      </c>
      <c r="X722" t="s">
        <v>556</v>
      </c>
      <c r="Y722" t="s">
        <v>472</v>
      </c>
      <c r="Z722" t="s">
        <v>485</v>
      </c>
      <c r="AA722" t="s">
        <v>764</v>
      </c>
      <c r="AC722">
        <v>0</v>
      </c>
      <c r="AD722" t="s">
        <v>564</v>
      </c>
      <c r="AE722">
        <v>49956515.289999999</v>
      </c>
      <c r="AF722">
        <v>53.06</v>
      </c>
      <c r="AG722" t="s">
        <v>798</v>
      </c>
      <c r="AH722">
        <v>0.1</v>
      </c>
      <c r="AI722">
        <v>941509.9</v>
      </c>
      <c r="AJ722" t="s">
        <v>561</v>
      </c>
      <c r="AK722" t="s">
        <v>766</v>
      </c>
      <c r="AL722" t="s">
        <v>787</v>
      </c>
      <c r="AM722">
        <v>2021</v>
      </c>
      <c r="AN722">
        <v>2020</v>
      </c>
      <c r="AO722">
        <f>IF(AND(emissions[[#This Row],[Market-based]]=0,emissions[[#This Row],[Impact Type]]="CO2E"),emissions[[#This Row],[kgCO2e]],0)/1000</f>
        <v>0</v>
      </c>
      <c r="AP722">
        <f>IF(AND(emissions[[#This Row],[Market-based]]=1,OR(emissions[[#This Row],[Impact Type]]="CO2E",emissions[[#This Row],[Impact Type]]="CO2E MKT")),emissions[[#This Row],[kgCO2e]],0)/1000</f>
        <v>0</v>
      </c>
      <c r="AQ722" t="str">
        <f>_xlfn.TEXTAFTER(emissions[[#This Row],[Reporting Unit]]," &gt; ",LEN(emissions[[#This Row],[Reporting Unit]])-LEN(SUBSTITUTE(emissions[[#This Row],[Reporting Unit]],"&gt;","")))</f>
        <v>Vantage_Chicago</v>
      </c>
      <c r="AR722" t="str">
        <f>_xlfn.XLOOKUP(emissions[[#This Row],[Reporting unit name]],hierarchy!$A:$A,hierarchy!$C:$C)</f>
        <v>Labratory</v>
      </c>
    </row>
    <row r="723" spans="1:44" hidden="1" x14ac:dyDescent="0.25">
      <c r="A723">
        <v>4971</v>
      </c>
      <c r="B723" t="s">
        <v>416</v>
      </c>
      <c r="C723" t="s">
        <v>475</v>
      </c>
      <c r="D723" t="s">
        <v>599</v>
      </c>
      <c r="E723" s="3">
        <v>44197</v>
      </c>
      <c r="F723" s="3">
        <v>44561</v>
      </c>
      <c r="G723" t="s">
        <v>135</v>
      </c>
      <c r="H723" s="3">
        <v>44197</v>
      </c>
      <c r="I723" s="3">
        <v>44561</v>
      </c>
      <c r="J723" t="s">
        <v>135</v>
      </c>
      <c r="K723">
        <v>9415099</v>
      </c>
      <c r="L723" t="s">
        <v>136</v>
      </c>
      <c r="M723" t="s">
        <v>110</v>
      </c>
      <c r="O723" t="s">
        <v>600</v>
      </c>
      <c r="P723" t="s">
        <v>550</v>
      </c>
      <c r="Q723">
        <v>2021</v>
      </c>
      <c r="R723" t="s">
        <v>605</v>
      </c>
      <c r="S723" t="s">
        <v>606</v>
      </c>
      <c r="T723" t="s">
        <v>553</v>
      </c>
      <c r="U723" t="b">
        <v>0</v>
      </c>
      <c r="V723" t="s">
        <v>781</v>
      </c>
      <c r="W723" t="s">
        <v>587</v>
      </c>
      <c r="X723" t="s">
        <v>556</v>
      </c>
      <c r="Y723" t="s">
        <v>472</v>
      </c>
      <c r="Z723" t="s">
        <v>485</v>
      </c>
      <c r="AA723" t="s">
        <v>764</v>
      </c>
      <c r="AC723">
        <v>0</v>
      </c>
      <c r="AD723" t="s">
        <v>565</v>
      </c>
      <c r="AE723">
        <v>50008110.039999999</v>
      </c>
      <c r="AF723">
        <v>53.114800000000002</v>
      </c>
      <c r="AG723" t="s">
        <v>798</v>
      </c>
      <c r="AH723">
        <v>0.1</v>
      </c>
      <c r="AI723">
        <v>941509.9</v>
      </c>
      <c r="AJ723" t="s">
        <v>561</v>
      </c>
      <c r="AK723" t="s">
        <v>766</v>
      </c>
      <c r="AL723" t="s">
        <v>790</v>
      </c>
      <c r="AM723">
        <v>2021</v>
      </c>
      <c r="AN723">
        <v>2021</v>
      </c>
      <c r="AO723">
        <f>IF(AND(emissions[[#This Row],[Market-based]]=0,emissions[[#This Row],[Impact Type]]="CO2E"),emissions[[#This Row],[kgCO2e]],0)/1000</f>
        <v>50008.11004</v>
      </c>
      <c r="AP723">
        <f>IF(AND(emissions[[#This Row],[Market-based]]=1,OR(emissions[[#This Row],[Impact Type]]="CO2E",emissions[[#This Row],[Impact Type]]="CO2E MKT")),emissions[[#This Row],[kgCO2e]],0)/1000</f>
        <v>0</v>
      </c>
      <c r="AQ723" t="str">
        <f>_xlfn.TEXTAFTER(emissions[[#This Row],[Reporting Unit]]," &gt; ",LEN(emissions[[#This Row],[Reporting Unit]])-LEN(SUBSTITUTE(emissions[[#This Row],[Reporting Unit]],"&gt;","")))</f>
        <v>Vantage_Chicago</v>
      </c>
      <c r="AR723" t="str">
        <f>_xlfn.XLOOKUP(emissions[[#This Row],[Reporting unit name]],hierarchy!$A:$A,hierarchy!$C:$C)</f>
        <v>Labratory</v>
      </c>
    </row>
    <row r="724" spans="1:44" hidden="1" x14ac:dyDescent="0.25">
      <c r="A724">
        <v>4971</v>
      </c>
      <c r="B724" t="s">
        <v>416</v>
      </c>
      <c r="C724" t="s">
        <v>475</v>
      </c>
      <c r="D724" t="s">
        <v>599</v>
      </c>
      <c r="E724" s="3">
        <v>44197</v>
      </c>
      <c r="F724" s="3">
        <v>44561</v>
      </c>
      <c r="G724" t="s">
        <v>135</v>
      </c>
      <c r="H724" s="3">
        <v>44197</v>
      </c>
      <c r="I724" s="3">
        <v>44561</v>
      </c>
      <c r="J724" t="s">
        <v>135</v>
      </c>
      <c r="K724">
        <v>9415099</v>
      </c>
      <c r="L724" t="s">
        <v>136</v>
      </c>
      <c r="M724" t="s">
        <v>110</v>
      </c>
      <c r="O724" t="s">
        <v>600</v>
      </c>
      <c r="P724" t="s">
        <v>550</v>
      </c>
      <c r="Q724">
        <v>2021</v>
      </c>
      <c r="R724" t="s">
        <v>605</v>
      </c>
      <c r="S724" t="s">
        <v>606</v>
      </c>
      <c r="T724" t="s">
        <v>553</v>
      </c>
      <c r="U724" t="b">
        <v>0</v>
      </c>
      <c r="V724" t="s">
        <v>781</v>
      </c>
      <c r="W724" t="s">
        <v>587</v>
      </c>
      <c r="X724" t="s">
        <v>556</v>
      </c>
      <c r="Y724" t="s">
        <v>472</v>
      </c>
      <c r="Z724" t="s">
        <v>485</v>
      </c>
      <c r="AA724" t="s">
        <v>764</v>
      </c>
      <c r="AC724">
        <v>0</v>
      </c>
      <c r="AD724" t="s">
        <v>566</v>
      </c>
      <c r="AE724">
        <v>28056.995019999998</v>
      </c>
      <c r="AF724">
        <v>2.98E-2</v>
      </c>
      <c r="AG724" t="s">
        <v>798</v>
      </c>
      <c r="AH724">
        <v>0.1</v>
      </c>
      <c r="AI724">
        <v>941509.9</v>
      </c>
      <c r="AJ724" t="s">
        <v>561</v>
      </c>
      <c r="AK724" t="s">
        <v>766</v>
      </c>
      <c r="AL724" t="s">
        <v>790</v>
      </c>
      <c r="AM724">
        <v>2021</v>
      </c>
      <c r="AN724">
        <v>2021</v>
      </c>
      <c r="AO724">
        <f>IF(AND(emissions[[#This Row],[Market-based]]=0,emissions[[#This Row],[Impact Type]]="CO2E"),emissions[[#This Row],[kgCO2e]],0)/1000</f>
        <v>0</v>
      </c>
      <c r="AP724">
        <f>IF(AND(emissions[[#This Row],[Market-based]]=1,OR(emissions[[#This Row],[Impact Type]]="CO2E",emissions[[#This Row],[Impact Type]]="CO2E MKT")),emissions[[#This Row],[kgCO2e]],0)/1000</f>
        <v>0</v>
      </c>
      <c r="AQ724" t="str">
        <f>_xlfn.TEXTAFTER(emissions[[#This Row],[Reporting Unit]]," &gt; ",LEN(emissions[[#This Row],[Reporting Unit]])-LEN(SUBSTITUTE(emissions[[#This Row],[Reporting Unit]],"&gt;","")))</f>
        <v>Vantage_Chicago</v>
      </c>
      <c r="AR724" t="str">
        <f>_xlfn.XLOOKUP(emissions[[#This Row],[Reporting unit name]],hierarchy!$A:$A,hierarchy!$C:$C)</f>
        <v>Labratory</v>
      </c>
    </row>
    <row r="725" spans="1:44" hidden="1" x14ac:dyDescent="0.25">
      <c r="A725">
        <v>4971</v>
      </c>
      <c r="B725" t="s">
        <v>416</v>
      </c>
      <c r="C725" t="s">
        <v>475</v>
      </c>
      <c r="D725" t="s">
        <v>599</v>
      </c>
      <c r="E725" s="3">
        <v>44197</v>
      </c>
      <c r="F725" s="3">
        <v>44561</v>
      </c>
      <c r="G725" t="s">
        <v>135</v>
      </c>
      <c r="H725" s="3">
        <v>44197</v>
      </c>
      <c r="I725" s="3">
        <v>44561</v>
      </c>
      <c r="J725" t="s">
        <v>135</v>
      </c>
      <c r="K725">
        <v>9415099</v>
      </c>
      <c r="L725" t="s">
        <v>136</v>
      </c>
      <c r="M725" t="s">
        <v>110</v>
      </c>
      <c r="O725" t="s">
        <v>600</v>
      </c>
      <c r="P725" t="s">
        <v>550</v>
      </c>
      <c r="Q725">
        <v>2021</v>
      </c>
      <c r="R725" t="s">
        <v>605</v>
      </c>
      <c r="S725" t="s">
        <v>606</v>
      </c>
      <c r="T725" t="s">
        <v>553</v>
      </c>
      <c r="U725" t="b">
        <v>0</v>
      </c>
      <c r="V725" t="s">
        <v>781</v>
      </c>
      <c r="W725" t="s">
        <v>587</v>
      </c>
      <c r="X725" t="s">
        <v>556</v>
      </c>
      <c r="Y725" t="s">
        <v>472</v>
      </c>
      <c r="Z725" t="s">
        <v>485</v>
      </c>
      <c r="AA725" t="s">
        <v>764</v>
      </c>
      <c r="AC725">
        <v>1</v>
      </c>
      <c r="AD725" t="s">
        <v>558</v>
      </c>
      <c r="AE725">
        <v>23537.747500000001</v>
      </c>
      <c r="AF725">
        <v>2.5000000000000001E-2</v>
      </c>
      <c r="AG725" t="s">
        <v>798</v>
      </c>
      <c r="AH725">
        <v>0.1</v>
      </c>
      <c r="AI725">
        <v>941509.9</v>
      </c>
      <c r="AJ725" t="s">
        <v>561</v>
      </c>
      <c r="AK725" t="s">
        <v>766</v>
      </c>
      <c r="AL725" t="s">
        <v>790</v>
      </c>
      <c r="AM725">
        <v>2021</v>
      </c>
      <c r="AN725">
        <v>2021</v>
      </c>
      <c r="AO725">
        <f>IF(AND(emissions[[#This Row],[Market-based]]=0,emissions[[#This Row],[Impact Type]]="CO2E"),emissions[[#This Row],[kgCO2e]],0)/1000</f>
        <v>0</v>
      </c>
      <c r="AP725">
        <f>IF(AND(emissions[[#This Row],[Market-based]]=1,OR(emissions[[#This Row],[Impact Type]]="CO2E",emissions[[#This Row],[Impact Type]]="CO2E MKT")),emissions[[#This Row],[kgCO2e]],0)/1000</f>
        <v>0</v>
      </c>
      <c r="AQ725" t="str">
        <f>_xlfn.TEXTAFTER(emissions[[#This Row],[Reporting Unit]]," &gt; ",LEN(emissions[[#This Row],[Reporting Unit]])-LEN(SUBSTITUTE(emissions[[#This Row],[Reporting Unit]],"&gt;","")))</f>
        <v>Vantage_Chicago</v>
      </c>
      <c r="AR725" t="str">
        <f>_xlfn.XLOOKUP(emissions[[#This Row],[Reporting unit name]],hierarchy!$A:$A,hierarchy!$C:$C)</f>
        <v>Labratory</v>
      </c>
    </row>
    <row r="726" spans="1:44" hidden="1" x14ac:dyDescent="0.25">
      <c r="A726">
        <v>4971</v>
      </c>
      <c r="B726" t="s">
        <v>416</v>
      </c>
      <c r="C726" t="s">
        <v>475</v>
      </c>
      <c r="D726" t="s">
        <v>599</v>
      </c>
      <c r="E726" s="3">
        <v>44197</v>
      </c>
      <c r="F726" s="3">
        <v>44561</v>
      </c>
      <c r="G726" t="s">
        <v>135</v>
      </c>
      <c r="H726" s="3">
        <v>44197</v>
      </c>
      <c r="I726" s="3">
        <v>44561</v>
      </c>
      <c r="J726" t="s">
        <v>135</v>
      </c>
      <c r="K726">
        <v>9415099</v>
      </c>
      <c r="L726" t="s">
        <v>136</v>
      </c>
      <c r="M726" t="s">
        <v>110</v>
      </c>
      <c r="O726" t="s">
        <v>600</v>
      </c>
      <c r="P726" t="s">
        <v>550</v>
      </c>
      <c r="Q726">
        <v>2021</v>
      </c>
      <c r="R726" t="s">
        <v>605</v>
      </c>
      <c r="S726" t="s">
        <v>606</v>
      </c>
      <c r="T726" t="s">
        <v>553</v>
      </c>
      <c r="U726" t="b">
        <v>0</v>
      </c>
      <c r="V726" t="s">
        <v>781</v>
      </c>
      <c r="W726" t="s">
        <v>587</v>
      </c>
      <c r="X726" t="s">
        <v>556</v>
      </c>
      <c r="Y726" t="s">
        <v>472</v>
      </c>
      <c r="Z726" t="s">
        <v>485</v>
      </c>
      <c r="AA726" t="s">
        <v>764</v>
      </c>
      <c r="AC726">
        <v>1</v>
      </c>
      <c r="AD726" t="s">
        <v>564</v>
      </c>
      <c r="AE726">
        <v>49956515.289999999</v>
      </c>
      <c r="AF726">
        <v>53.06</v>
      </c>
      <c r="AG726" t="s">
        <v>798</v>
      </c>
      <c r="AH726">
        <v>0.1</v>
      </c>
      <c r="AI726">
        <v>941509.9</v>
      </c>
      <c r="AJ726" t="s">
        <v>561</v>
      </c>
      <c r="AK726" t="s">
        <v>766</v>
      </c>
      <c r="AL726" t="s">
        <v>787</v>
      </c>
      <c r="AM726">
        <v>2021</v>
      </c>
      <c r="AN726">
        <v>2020</v>
      </c>
      <c r="AO726">
        <f>IF(AND(emissions[[#This Row],[Market-based]]=0,emissions[[#This Row],[Impact Type]]="CO2E"),emissions[[#This Row],[kgCO2e]],0)/1000</f>
        <v>0</v>
      </c>
      <c r="AP726">
        <f>IF(AND(emissions[[#This Row],[Market-based]]=1,OR(emissions[[#This Row],[Impact Type]]="CO2E",emissions[[#This Row],[Impact Type]]="CO2E MKT")),emissions[[#This Row],[kgCO2e]],0)/1000</f>
        <v>0</v>
      </c>
      <c r="AQ726" t="str">
        <f>_xlfn.TEXTAFTER(emissions[[#This Row],[Reporting Unit]]," &gt; ",LEN(emissions[[#This Row],[Reporting Unit]])-LEN(SUBSTITUTE(emissions[[#This Row],[Reporting Unit]],"&gt;","")))</f>
        <v>Vantage_Chicago</v>
      </c>
      <c r="AR726" t="str">
        <f>_xlfn.XLOOKUP(emissions[[#This Row],[Reporting unit name]],hierarchy!$A:$A,hierarchy!$C:$C)</f>
        <v>Labratory</v>
      </c>
    </row>
    <row r="727" spans="1:44" hidden="1" x14ac:dyDescent="0.25">
      <c r="A727">
        <v>4971</v>
      </c>
      <c r="B727" t="s">
        <v>416</v>
      </c>
      <c r="C727" t="s">
        <v>475</v>
      </c>
      <c r="D727" t="s">
        <v>599</v>
      </c>
      <c r="E727" s="3">
        <v>44197</v>
      </c>
      <c r="F727" s="3">
        <v>44561</v>
      </c>
      <c r="G727" t="s">
        <v>135</v>
      </c>
      <c r="H727" s="3">
        <v>44197</v>
      </c>
      <c r="I727" s="3">
        <v>44561</v>
      </c>
      <c r="J727" t="s">
        <v>135</v>
      </c>
      <c r="K727">
        <v>9415099</v>
      </c>
      <c r="L727" t="s">
        <v>136</v>
      </c>
      <c r="M727" t="s">
        <v>110</v>
      </c>
      <c r="O727" t="s">
        <v>600</v>
      </c>
      <c r="P727" t="s">
        <v>550</v>
      </c>
      <c r="Q727">
        <v>2021</v>
      </c>
      <c r="R727" t="s">
        <v>605</v>
      </c>
      <c r="S727" t="s">
        <v>606</v>
      </c>
      <c r="T727" t="s">
        <v>553</v>
      </c>
      <c r="U727" t="b">
        <v>0</v>
      </c>
      <c r="V727" t="s">
        <v>781</v>
      </c>
      <c r="W727" t="s">
        <v>587</v>
      </c>
      <c r="X727" t="s">
        <v>556</v>
      </c>
      <c r="Y727" t="s">
        <v>472</v>
      </c>
      <c r="Z727" t="s">
        <v>485</v>
      </c>
      <c r="AA727" t="s">
        <v>764</v>
      </c>
      <c r="AC727">
        <v>1</v>
      </c>
      <c r="AD727" t="s">
        <v>565</v>
      </c>
      <c r="AE727">
        <v>50008110.039999999</v>
      </c>
      <c r="AF727">
        <v>53.114800000000002</v>
      </c>
      <c r="AG727" t="s">
        <v>798</v>
      </c>
      <c r="AH727">
        <v>0.1</v>
      </c>
      <c r="AI727">
        <v>941509.9</v>
      </c>
      <c r="AJ727" t="s">
        <v>561</v>
      </c>
      <c r="AK727" t="s">
        <v>766</v>
      </c>
      <c r="AL727" t="s">
        <v>790</v>
      </c>
      <c r="AM727">
        <v>2021</v>
      </c>
      <c r="AN727">
        <v>2021</v>
      </c>
      <c r="AO727">
        <f>IF(AND(emissions[[#This Row],[Market-based]]=0,emissions[[#This Row],[Impact Type]]="CO2E"),emissions[[#This Row],[kgCO2e]],0)/1000</f>
        <v>0</v>
      </c>
      <c r="AP727">
        <f>IF(AND(emissions[[#This Row],[Market-based]]=1,OR(emissions[[#This Row],[Impact Type]]="CO2E",emissions[[#This Row],[Impact Type]]="CO2E MKT")),emissions[[#This Row],[kgCO2e]],0)/1000</f>
        <v>50008.11004</v>
      </c>
      <c r="AQ727" t="str">
        <f>_xlfn.TEXTAFTER(emissions[[#This Row],[Reporting Unit]]," &gt; ",LEN(emissions[[#This Row],[Reporting Unit]])-LEN(SUBSTITUTE(emissions[[#This Row],[Reporting Unit]],"&gt;","")))</f>
        <v>Vantage_Chicago</v>
      </c>
      <c r="AR727" t="str">
        <f>_xlfn.XLOOKUP(emissions[[#This Row],[Reporting unit name]],hierarchy!$A:$A,hierarchy!$C:$C)</f>
        <v>Labratory</v>
      </c>
    </row>
    <row r="728" spans="1:44" hidden="1" x14ac:dyDescent="0.25">
      <c r="A728">
        <v>4971</v>
      </c>
      <c r="B728" t="s">
        <v>416</v>
      </c>
      <c r="C728" t="s">
        <v>475</v>
      </c>
      <c r="D728" t="s">
        <v>599</v>
      </c>
      <c r="E728" s="3">
        <v>44197</v>
      </c>
      <c r="F728" s="3">
        <v>44561</v>
      </c>
      <c r="G728" t="s">
        <v>135</v>
      </c>
      <c r="H728" s="3">
        <v>44197</v>
      </c>
      <c r="I728" s="3">
        <v>44561</v>
      </c>
      <c r="J728" t="s">
        <v>135</v>
      </c>
      <c r="K728">
        <v>9415099</v>
      </c>
      <c r="L728" t="s">
        <v>136</v>
      </c>
      <c r="M728" t="s">
        <v>110</v>
      </c>
      <c r="O728" t="s">
        <v>600</v>
      </c>
      <c r="P728" t="s">
        <v>550</v>
      </c>
      <c r="Q728">
        <v>2021</v>
      </c>
      <c r="R728" t="s">
        <v>605</v>
      </c>
      <c r="S728" t="s">
        <v>606</v>
      </c>
      <c r="T728" t="s">
        <v>553</v>
      </c>
      <c r="U728" t="b">
        <v>0</v>
      </c>
      <c r="V728" t="s">
        <v>781</v>
      </c>
      <c r="W728" t="s">
        <v>587</v>
      </c>
      <c r="X728" t="s">
        <v>556</v>
      </c>
      <c r="Y728" t="s">
        <v>472</v>
      </c>
      <c r="Z728" t="s">
        <v>485</v>
      </c>
      <c r="AA728" t="s">
        <v>764</v>
      </c>
      <c r="AC728">
        <v>1</v>
      </c>
      <c r="AD728" t="s">
        <v>566</v>
      </c>
      <c r="AE728">
        <v>28056.995019999998</v>
      </c>
      <c r="AF728">
        <v>2.98E-2</v>
      </c>
      <c r="AG728" t="s">
        <v>798</v>
      </c>
      <c r="AH728">
        <v>0.1</v>
      </c>
      <c r="AI728">
        <v>941509.9</v>
      </c>
      <c r="AJ728" t="s">
        <v>561</v>
      </c>
      <c r="AK728" t="s">
        <v>766</v>
      </c>
      <c r="AL728" t="s">
        <v>790</v>
      </c>
      <c r="AM728">
        <v>2021</v>
      </c>
      <c r="AN728">
        <v>2021</v>
      </c>
      <c r="AO728">
        <f>IF(AND(emissions[[#This Row],[Market-based]]=0,emissions[[#This Row],[Impact Type]]="CO2E"),emissions[[#This Row],[kgCO2e]],0)/1000</f>
        <v>0</v>
      </c>
      <c r="AP728">
        <f>IF(AND(emissions[[#This Row],[Market-based]]=1,OR(emissions[[#This Row],[Impact Type]]="CO2E",emissions[[#This Row],[Impact Type]]="CO2E MKT")),emissions[[#This Row],[kgCO2e]],0)/1000</f>
        <v>0</v>
      </c>
      <c r="AQ728" t="str">
        <f>_xlfn.TEXTAFTER(emissions[[#This Row],[Reporting Unit]]," &gt; ",LEN(emissions[[#This Row],[Reporting Unit]])-LEN(SUBSTITUTE(emissions[[#This Row],[Reporting Unit]],"&gt;","")))</f>
        <v>Vantage_Chicago</v>
      </c>
      <c r="AR728" t="str">
        <f>_xlfn.XLOOKUP(emissions[[#This Row],[Reporting unit name]],hierarchy!$A:$A,hierarchy!$C:$C)</f>
        <v>Labratory</v>
      </c>
    </row>
    <row r="729" spans="1:44" hidden="1" x14ac:dyDescent="0.25">
      <c r="A729">
        <v>4971</v>
      </c>
      <c r="B729" t="s">
        <v>416</v>
      </c>
      <c r="C729" t="s">
        <v>475</v>
      </c>
      <c r="D729" t="s">
        <v>599</v>
      </c>
      <c r="E729" s="3">
        <v>44197</v>
      </c>
      <c r="F729" s="3">
        <v>44561</v>
      </c>
      <c r="G729" t="s">
        <v>135</v>
      </c>
      <c r="H729" s="3">
        <v>44197</v>
      </c>
      <c r="I729" s="3">
        <v>44561</v>
      </c>
      <c r="J729" t="s">
        <v>135</v>
      </c>
      <c r="K729">
        <v>9415099</v>
      </c>
      <c r="L729" t="s">
        <v>136</v>
      </c>
      <c r="M729" t="s">
        <v>110</v>
      </c>
      <c r="O729" t="s">
        <v>600</v>
      </c>
      <c r="P729" t="s">
        <v>550</v>
      </c>
      <c r="Q729">
        <v>2021</v>
      </c>
      <c r="R729" t="s">
        <v>609</v>
      </c>
      <c r="S729" t="s">
        <v>610</v>
      </c>
      <c r="T729" t="s">
        <v>577</v>
      </c>
      <c r="U729" t="b">
        <v>0</v>
      </c>
      <c r="V729" t="s">
        <v>611</v>
      </c>
      <c r="W729" t="s">
        <v>571</v>
      </c>
      <c r="X729" t="s">
        <v>572</v>
      </c>
      <c r="AC729">
        <v>0</v>
      </c>
      <c r="AD729" t="s">
        <v>565</v>
      </c>
      <c r="AE729">
        <v>8648315.7780000009</v>
      </c>
      <c r="AF729">
        <v>3.1350000000000003E-2</v>
      </c>
      <c r="AG729" t="s">
        <v>608</v>
      </c>
      <c r="AH729">
        <v>29.3001</v>
      </c>
      <c r="AI729">
        <v>275863342.19999999</v>
      </c>
      <c r="AJ729" t="s">
        <v>561</v>
      </c>
      <c r="AK729" t="s">
        <v>589</v>
      </c>
      <c r="AL729" t="s">
        <v>603</v>
      </c>
      <c r="AM729">
        <v>2021</v>
      </c>
      <c r="AN729">
        <v>2019</v>
      </c>
      <c r="AO729">
        <f>IF(AND(emissions[[#This Row],[Market-based]]=0,emissions[[#This Row],[Impact Type]]="CO2E"),emissions[[#This Row],[kgCO2e]],0)/1000</f>
        <v>8648.3157780000001</v>
      </c>
      <c r="AP729">
        <f>IF(AND(emissions[[#This Row],[Market-based]]=1,OR(emissions[[#This Row],[Impact Type]]="CO2E",emissions[[#This Row],[Impact Type]]="CO2E MKT")),emissions[[#This Row],[kgCO2e]],0)/1000</f>
        <v>0</v>
      </c>
      <c r="AQ729" t="str">
        <f>_xlfn.TEXTAFTER(emissions[[#This Row],[Reporting Unit]]," &gt; ",LEN(emissions[[#This Row],[Reporting Unit]])-LEN(SUBSTITUTE(emissions[[#This Row],[Reporting Unit]],"&gt;","")))</f>
        <v>Vantage_Chicago</v>
      </c>
      <c r="AR729" t="str">
        <f>_xlfn.XLOOKUP(emissions[[#This Row],[Reporting unit name]],hierarchy!$A:$A,hierarchy!$C:$C)</f>
        <v>Labratory</v>
      </c>
    </row>
    <row r="730" spans="1:44" hidden="1" x14ac:dyDescent="0.25">
      <c r="A730">
        <v>4971</v>
      </c>
      <c r="B730" t="s">
        <v>416</v>
      </c>
      <c r="C730" t="s">
        <v>475</v>
      </c>
      <c r="D730" t="s">
        <v>599</v>
      </c>
      <c r="E730" s="3">
        <v>44197</v>
      </c>
      <c r="F730" s="3">
        <v>44561</v>
      </c>
      <c r="G730" t="s">
        <v>135</v>
      </c>
      <c r="H730" s="3">
        <v>44197</v>
      </c>
      <c r="I730" s="3">
        <v>44561</v>
      </c>
      <c r="J730" t="s">
        <v>135</v>
      </c>
      <c r="K730">
        <v>9415099</v>
      </c>
      <c r="L730" t="s">
        <v>136</v>
      </c>
      <c r="M730" t="s">
        <v>110</v>
      </c>
      <c r="O730" t="s">
        <v>600</v>
      </c>
      <c r="P730" t="s">
        <v>550</v>
      </c>
      <c r="Q730">
        <v>2021</v>
      </c>
      <c r="R730" t="s">
        <v>609</v>
      </c>
      <c r="S730" t="s">
        <v>610</v>
      </c>
      <c r="T730" t="s">
        <v>577</v>
      </c>
      <c r="U730" t="b">
        <v>0</v>
      </c>
      <c r="V730" t="s">
        <v>611</v>
      </c>
      <c r="W730" t="s">
        <v>571</v>
      </c>
      <c r="X730" t="s">
        <v>572</v>
      </c>
      <c r="AC730">
        <v>1</v>
      </c>
      <c r="AD730" t="s">
        <v>565</v>
      </c>
      <c r="AE730">
        <v>8648315.7780000009</v>
      </c>
      <c r="AF730">
        <v>3.1350000000000003E-2</v>
      </c>
      <c r="AG730" t="s">
        <v>608</v>
      </c>
      <c r="AH730">
        <v>29.3001</v>
      </c>
      <c r="AI730">
        <v>275863342.19999999</v>
      </c>
      <c r="AJ730" t="s">
        <v>561</v>
      </c>
      <c r="AK730" t="s">
        <v>589</v>
      </c>
      <c r="AL730" t="s">
        <v>603</v>
      </c>
      <c r="AM730">
        <v>2021</v>
      </c>
      <c r="AN730">
        <v>2019</v>
      </c>
      <c r="AO730">
        <f>IF(AND(emissions[[#This Row],[Market-based]]=0,emissions[[#This Row],[Impact Type]]="CO2E"),emissions[[#This Row],[kgCO2e]],0)/1000</f>
        <v>0</v>
      </c>
      <c r="AP730">
        <f>IF(AND(emissions[[#This Row],[Market-based]]=1,OR(emissions[[#This Row],[Impact Type]]="CO2E",emissions[[#This Row],[Impact Type]]="CO2E MKT")),emissions[[#This Row],[kgCO2e]],0)/1000</f>
        <v>8648.3157780000001</v>
      </c>
      <c r="AQ730" t="str">
        <f>_xlfn.TEXTAFTER(emissions[[#This Row],[Reporting Unit]]," &gt; ",LEN(emissions[[#This Row],[Reporting Unit]])-LEN(SUBSTITUTE(emissions[[#This Row],[Reporting Unit]],"&gt;","")))</f>
        <v>Vantage_Chicago</v>
      </c>
      <c r="AR730" t="str">
        <f>_xlfn.XLOOKUP(emissions[[#This Row],[Reporting unit name]],hierarchy!$A:$A,hierarchy!$C:$C)</f>
        <v>Labratory</v>
      </c>
    </row>
    <row r="731" spans="1:44" hidden="1" x14ac:dyDescent="0.25">
      <c r="A731">
        <v>5002</v>
      </c>
      <c r="B731" t="s">
        <v>416</v>
      </c>
      <c r="C731" t="s">
        <v>475</v>
      </c>
      <c r="D731" t="s">
        <v>599</v>
      </c>
      <c r="E731" s="3">
        <v>44197</v>
      </c>
      <c r="F731" s="3">
        <v>44561</v>
      </c>
      <c r="G731" t="s">
        <v>141</v>
      </c>
      <c r="H731" s="3">
        <v>44197</v>
      </c>
      <c r="I731" s="3">
        <v>44561</v>
      </c>
      <c r="J731" t="s">
        <v>142</v>
      </c>
      <c r="K731">
        <v>2243.5</v>
      </c>
      <c r="L731" t="s">
        <v>148</v>
      </c>
      <c r="M731" t="s">
        <v>110</v>
      </c>
      <c r="O731" t="s">
        <v>600</v>
      </c>
      <c r="P731" t="s">
        <v>550</v>
      </c>
      <c r="Q731">
        <v>2021</v>
      </c>
      <c r="R731" t="s">
        <v>612</v>
      </c>
      <c r="S731" t="s">
        <v>613</v>
      </c>
      <c r="T731" t="s">
        <v>553</v>
      </c>
      <c r="U731" t="b">
        <v>0</v>
      </c>
      <c r="V731" t="s">
        <v>614</v>
      </c>
      <c r="W731" t="s">
        <v>587</v>
      </c>
      <c r="X731" t="s">
        <v>556</v>
      </c>
      <c r="AC731">
        <v>0</v>
      </c>
      <c r="AD731" t="s">
        <v>558</v>
      </c>
      <c r="AE731">
        <v>2.208067507</v>
      </c>
      <c r="AF731">
        <v>2.5999999999999998E-4</v>
      </c>
      <c r="AG731" t="s">
        <v>588</v>
      </c>
      <c r="AH731">
        <v>3.7854100000000002</v>
      </c>
      <c r="AI731">
        <v>8492.5673349999997</v>
      </c>
      <c r="AJ731" t="s">
        <v>561</v>
      </c>
      <c r="AK731" t="s">
        <v>589</v>
      </c>
      <c r="AL731" t="s">
        <v>603</v>
      </c>
      <c r="AM731">
        <v>2021</v>
      </c>
      <c r="AN731">
        <v>2019</v>
      </c>
      <c r="AO731">
        <f>IF(AND(emissions[[#This Row],[Market-based]]=0,emissions[[#This Row],[Impact Type]]="CO2E"),emissions[[#This Row],[kgCO2e]],0)/1000</f>
        <v>0</v>
      </c>
      <c r="AP731">
        <f>IF(AND(emissions[[#This Row],[Market-based]]=1,OR(emissions[[#This Row],[Impact Type]]="CO2E",emissions[[#This Row],[Impact Type]]="CO2E MKT")),emissions[[#This Row],[kgCO2e]],0)/1000</f>
        <v>0</v>
      </c>
      <c r="AQ731" t="str">
        <f>_xlfn.TEXTAFTER(emissions[[#This Row],[Reporting Unit]]," &gt; ",LEN(emissions[[#This Row],[Reporting Unit]])-LEN(SUBSTITUTE(emissions[[#This Row],[Reporting Unit]],"&gt;","")))</f>
        <v>Vantage_Chicago</v>
      </c>
      <c r="AR731" t="str">
        <f>_xlfn.XLOOKUP(emissions[[#This Row],[Reporting unit name]],hierarchy!$A:$A,hierarchy!$C:$C)</f>
        <v>Labratory</v>
      </c>
    </row>
    <row r="732" spans="1:44" hidden="1" x14ac:dyDescent="0.25">
      <c r="A732">
        <v>5002</v>
      </c>
      <c r="B732" t="s">
        <v>416</v>
      </c>
      <c r="C732" t="s">
        <v>475</v>
      </c>
      <c r="D732" t="s">
        <v>599</v>
      </c>
      <c r="E732" s="3">
        <v>44197</v>
      </c>
      <c r="F732" s="3">
        <v>44561</v>
      </c>
      <c r="G732" t="s">
        <v>141</v>
      </c>
      <c r="H732" s="3">
        <v>44197</v>
      </c>
      <c r="I732" s="3">
        <v>44561</v>
      </c>
      <c r="J732" t="s">
        <v>142</v>
      </c>
      <c r="K732">
        <v>2243.5</v>
      </c>
      <c r="L732" t="s">
        <v>148</v>
      </c>
      <c r="M732" t="s">
        <v>110</v>
      </c>
      <c r="O732" t="s">
        <v>600</v>
      </c>
      <c r="P732" t="s">
        <v>550</v>
      </c>
      <c r="Q732">
        <v>2021</v>
      </c>
      <c r="R732" t="s">
        <v>612</v>
      </c>
      <c r="S732" t="s">
        <v>613</v>
      </c>
      <c r="T732" t="s">
        <v>553</v>
      </c>
      <c r="U732" t="b">
        <v>0</v>
      </c>
      <c r="V732" t="s">
        <v>614</v>
      </c>
      <c r="W732" t="s">
        <v>587</v>
      </c>
      <c r="X732" t="s">
        <v>556</v>
      </c>
      <c r="AC732">
        <v>0</v>
      </c>
      <c r="AD732" t="s">
        <v>564</v>
      </c>
      <c r="AE732">
        <v>22658.76413</v>
      </c>
      <c r="AF732">
        <v>2.6680700000000002</v>
      </c>
      <c r="AG732" t="s">
        <v>588</v>
      </c>
      <c r="AH732">
        <v>3.7854100000000002</v>
      </c>
      <c r="AI732">
        <v>8492.5673349999997</v>
      </c>
      <c r="AJ732" t="s">
        <v>561</v>
      </c>
      <c r="AK732" t="s">
        <v>589</v>
      </c>
      <c r="AL732" t="s">
        <v>603</v>
      </c>
      <c r="AM732">
        <v>2021</v>
      </c>
      <c r="AN732">
        <v>2019</v>
      </c>
      <c r="AO732">
        <f>IF(AND(emissions[[#This Row],[Market-based]]=0,emissions[[#This Row],[Impact Type]]="CO2E"),emissions[[#This Row],[kgCO2e]],0)/1000</f>
        <v>0</v>
      </c>
      <c r="AP732">
        <f>IF(AND(emissions[[#This Row],[Market-based]]=1,OR(emissions[[#This Row],[Impact Type]]="CO2E",emissions[[#This Row],[Impact Type]]="CO2E MKT")),emissions[[#This Row],[kgCO2e]],0)/1000</f>
        <v>0</v>
      </c>
      <c r="AQ732" t="str">
        <f>_xlfn.TEXTAFTER(emissions[[#This Row],[Reporting Unit]]," &gt; ",LEN(emissions[[#This Row],[Reporting Unit]])-LEN(SUBSTITUTE(emissions[[#This Row],[Reporting Unit]],"&gt;","")))</f>
        <v>Vantage_Chicago</v>
      </c>
      <c r="AR732" t="str">
        <f>_xlfn.XLOOKUP(emissions[[#This Row],[Reporting unit name]],hierarchy!$A:$A,hierarchy!$C:$C)</f>
        <v>Labratory</v>
      </c>
    </row>
    <row r="733" spans="1:44" hidden="1" x14ac:dyDescent="0.25">
      <c r="A733">
        <v>5002</v>
      </c>
      <c r="B733" t="s">
        <v>416</v>
      </c>
      <c r="C733" t="s">
        <v>475</v>
      </c>
      <c r="D733" t="s">
        <v>599</v>
      </c>
      <c r="E733" s="3">
        <v>44197</v>
      </c>
      <c r="F733" s="3">
        <v>44561</v>
      </c>
      <c r="G733" t="s">
        <v>141</v>
      </c>
      <c r="H733" s="3">
        <v>44197</v>
      </c>
      <c r="I733" s="3">
        <v>44561</v>
      </c>
      <c r="J733" t="s">
        <v>142</v>
      </c>
      <c r="K733">
        <v>2243.5</v>
      </c>
      <c r="L733" t="s">
        <v>148</v>
      </c>
      <c r="M733" t="s">
        <v>110</v>
      </c>
      <c r="O733" t="s">
        <v>600</v>
      </c>
      <c r="P733" t="s">
        <v>550</v>
      </c>
      <c r="Q733">
        <v>2021</v>
      </c>
      <c r="R733" t="s">
        <v>612</v>
      </c>
      <c r="S733" t="s">
        <v>613</v>
      </c>
      <c r="T733" t="s">
        <v>553</v>
      </c>
      <c r="U733" t="b">
        <v>0</v>
      </c>
      <c r="V733" t="s">
        <v>614</v>
      </c>
      <c r="W733" t="s">
        <v>587</v>
      </c>
      <c r="X733" t="s">
        <v>556</v>
      </c>
      <c r="AC733">
        <v>0</v>
      </c>
      <c r="AD733" t="s">
        <v>565</v>
      </c>
      <c r="AE733">
        <v>22976.895700000001</v>
      </c>
      <c r="AF733">
        <v>2.70553</v>
      </c>
      <c r="AG733" t="s">
        <v>588</v>
      </c>
      <c r="AH733">
        <v>3.7854100000000002</v>
      </c>
      <c r="AI733">
        <v>8492.5673349999997</v>
      </c>
      <c r="AJ733" t="s">
        <v>561</v>
      </c>
      <c r="AK733" t="s">
        <v>589</v>
      </c>
      <c r="AL733" t="s">
        <v>603</v>
      </c>
      <c r="AM733">
        <v>2021</v>
      </c>
      <c r="AN733">
        <v>2019</v>
      </c>
      <c r="AO733">
        <f>IF(AND(emissions[[#This Row],[Market-based]]=0,emissions[[#This Row],[Impact Type]]="CO2E"),emissions[[#This Row],[kgCO2e]],0)/1000</f>
        <v>22.9768957</v>
      </c>
      <c r="AP733">
        <f>IF(AND(emissions[[#This Row],[Market-based]]=1,OR(emissions[[#This Row],[Impact Type]]="CO2E",emissions[[#This Row],[Impact Type]]="CO2E MKT")),emissions[[#This Row],[kgCO2e]],0)/1000</f>
        <v>0</v>
      </c>
      <c r="AQ733" t="str">
        <f>_xlfn.TEXTAFTER(emissions[[#This Row],[Reporting Unit]]," &gt; ",LEN(emissions[[#This Row],[Reporting Unit]])-LEN(SUBSTITUTE(emissions[[#This Row],[Reporting Unit]],"&gt;","")))</f>
        <v>Vantage_Chicago</v>
      </c>
      <c r="AR733" t="str">
        <f>_xlfn.XLOOKUP(emissions[[#This Row],[Reporting unit name]],hierarchy!$A:$A,hierarchy!$C:$C)</f>
        <v>Labratory</v>
      </c>
    </row>
    <row r="734" spans="1:44" hidden="1" x14ac:dyDescent="0.25">
      <c r="A734">
        <v>5002</v>
      </c>
      <c r="B734" t="s">
        <v>416</v>
      </c>
      <c r="C734" t="s">
        <v>475</v>
      </c>
      <c r="D734" t="s">
        <v>599</v>
      </c>
      <c r="E734" s="3">
        <v>44197</v>
      </c>
      <c r="F734" s="3">
        <v>44561</v>
      </c>
      <c r="G734" t="s">
        <v>141</v>
      </c>
      <c r="H734" s="3">
        <v>44197</v>
      </c>
      <c r="I734" s="3">
        <v>44561</v>
      </c>
      <c r="J734" t="s">
        <v>142</v>
      </c>
      <c r="K734">
        <v>2243.5</v>
      </c>
      <c r="L734" t="s">
        <v>148</v>
      </c>
      <c r="M734" t="s">
        <v>110</v>
      </c>
      <c r="O734" t="s">
        <v>600</v>
      </c>
      <c r="P734" t="s">
        <v>550</v>
      </c>
      <c r="Q734">
        <v>2021</v>
      </c>
      <c r="R734" t="s">
        <v>612</v>
      </c>
      <c r="S734" t="s">
        <v>613</v>
      </c>
      <c r="T734" t="s">
        <v>553</v>
      </c>
      <c r="U734" t="b">
        <v>0</v>
      </c>
      <c r="V734" t="s">
        <v>614</v>
      </c>
      <c r="W734" t="s">
        <v>587</v>
      </c>
      <c r="X734" t="s">
        <v>556</v>
      </c>
      <c r="AC734">
        <v>0</v>
      </c>
      <c r="AD734" t="s">
        <v>566</v>
      </c>
      <c r="AE734">
        <v>315.92350490000001</v>
      </c>
      <c r="AF734">
        <v>3.7199999999999997E-2</v>
      </c>
      <c r="AG734" t="s">
        <v>588</v>
      </c>
      <c r="AH734">
        <v>3.7854100000000002</v>
      </c>
      <c r="AI734">
        <v>8492.5673349999997</v>
      </c>
      <c r="AJ734" t="s">
        <v>561</v>
      </c>
      <c r="AK734" t="s">
        <v>589</v>
      </c>
      <c r="AL734" t="s">
        <v>603</v>
      </c>
      <c r="AM734">
        <v>2021</v>
      </c>
      <c r="AN734">
        <v>2019</v>
      </c>
      <c r="AO734">
        <f>IF(AND(emissions[[#This Row],[Market-based]]=0,emissions[[#This Row],[Impact Type]]="CO2E"),emissions[[#This Row],[kgCO2e]],0)/1000</f>
        <v>0</v>
      </c>
      <c r="AP734">
        <f>IF(AND(emissions[[#This Row],[Market-based]]=1,OR(emissions[[#This Row],[Impact Type]]="CO2E",emissions[[#This Row],[Impact Type]]="CO2E MKT")),emissions[[#This Row],[kgCO2e]],0)/1000</f>
        <v>0</v>
      </c>
      <c r="AQ734" t="str">
        <f>_xlfn.TEXTAFTER(emissions[[#This Row],[Reporting Unit]]," &gt; ",LEN(emissions[[#This Row],[Reporting Unit]])-LEN(SUBSTITUTE(emissions[[#This Row],[Reporting Unit]],"&gt;","")))</f>
        <v>Vantage_Chicago</v>
      </c>
      <c r="AR734" t="str">
        <f>_xlfn.XLOOKUP(emissions[[#This Row],[Reporting unit name]],hierarchy!$A:$A,hierarchy!$C:$C)</f>
        <v>Labratory</v>
      </c>
    </row>
    <row r="735" spans="1:44" hidden="1" x14ac:dyDescent="0.25">
      <c r="A735">
        <v>5002</v>
      </c>
      <c r="B735" t="s">
        <v>416</v>
      </c>
      <c r="C735" t="s">
        <v>475</v>
      </c>
      <c r="D735" t="s">
        <v>599</v>
      </c>
      <c r="E735" s="3">
        <v>44197</v>
      </c>
      <c r="F735" s="3">
        <v>44561</v>
      </c>
      <c r="G735" t="s">
        <v>141</v>
      </c>
      <c r="H735" s="3">
        <v>44197</v>
      </c>
      <c r="I735" s="3">
        <v>44561</v>
      </c>
      <c r="J735" t="s">
        <v>142</v>
      </c>
      <c r="K735">
        <v>2243.5</v>
      </c>
      <c r="L735" t="s">
        <v>148</v>
      </c>
      <c r="M735" t="s">
        <v>110</v>
      </c>
      <c r="O735" t="s">
        <v>600</v>
      </c>
      <c r="P735" t="s">
        <v>550</v>
      </c>
      <c r="Q735">
        <v>2021</v>
      </c>
      <c r="R735" t="s">
        <v>612</v>
      </c>
      <c r="S735" t="s">
        <v>613</v>
      </c>
      <c r="T735" t="s">
        <v>553</v>
      </c>
      <c r="U735" t="b">
        <v>0</v>
      </c>
      <c r="V735" t="s">
        <v>614</v>
      </c>
      <c r="W735" t="s">
        <v>587</v>
      </c>
      <c r="X735" t="s">
        <v>556</v>
      </c>
      <c r="AC735">
        <v>1</v>
      </c>
      <c r="AD735" t="s">
        <v>558</v>
      </c>
      <c r="AE735">
        <v>2.208067507</v>
      </c>
      <c r="AF735">
        <v>2.5999999999999998E-4</v>
      </c>
      <c r="AG735" t="s">
        <v>588</v>
      </c>
      <c r="AH735">
        <v>3.7854100000000002</v>
      </c>
      <c r="AI735">
        <v>8492.5673349999997</v>
      </c>
      <c r="AJ735" t="s">
        <v>561</v>
      </c>
      <c r="AK735" t="s">
        <v>589</v>
      </c>
      <c r="AL735" t="s">
        <v>603</v>
      </c>
      <c r="AM735">
        <v>2021</v>
      </c>
      <c r="AN735">
        <v>2019</v>
      </c>
      <c r="AO735">
        <f>IF(AND(emissions[[#This Row],[Market-based]]=0,emissions[[#This Row],[Impact Type]]="CO2E"),emissions[[#This Row],[kgCO2e]],0)/1000</f>
        <v>0</v>
      </c>
      <c r="AP735">
        <f>IF(AND(emissions[[#This Row],[Market-based]]=1,OR(emissions[[#This Row],[Impact Type]]="CO2E",emissions[[#This Row],[Impact Type]]="CO2E MKT")),emissions[[#This Row],[kgCO2e]],0)/1000</f>
        <v>0</v>
      </c>
      <c r="AQ735" t="str">
        <f>_xlfn.TEXTAFTER(emissions[[#This Row],[Reporting Unit]]," &gt; ",LEN(emissions[[#This Row],[Reporting Unit]])-LEN(SUBSTITUTE(emissions[[#This Row],[Reporting Unit]],"&gt;","")))</f>
        <v>Vantage_Chicago</v>
      </c>
      <c r="AR735" t="str">
        <f>_xlfn.XLOOKUP(emissions[[#This Row],[Reporting unit name]],hierarchy!$A:$A,hierarchy!$C:$C)</f>
        <v>Labratory</v>
      </c>
    </row>
    <row r="736" spans="1:44" hidden="1" x14ac:dyDescent="0.25">
      <c r="A736">
        <v>5002</v>
      </c>
      <c r="B736" t="s">
        <v>416</v>
      </c>
      <c r="C736" t="s">
        <v>475</v>
      </c>
      <c r="D736" t="s">
        <v>599</v>
      </c>
      <c r="E736" s="3">
        <v>44197</v>
      </c>
      <c r="F736" s="3">
        <v>44561</v>
      </c>
      <c r="G736" t="s">
        <v>141</v>
      </c>
      <c r="H736" s="3">
        <v>44197</v>
      </c>
      <c r="I736" s="3">
        <v>44561</v>
      </c>
      <c r="J736" t="s">
        <v>142</v>
      </c>
      <c r="K736">
        <v>2243.5</v>
      </c>
      <c r="L736" t="s">
        <v>148</v>
      </c>
      <c r="M736" t="s">
        <v>110</v>
      </c>
      <c r="O736" t="s">
        <v>600</v>
      </c>
      <c r="P736" t="s">
        <v>550</v>
      </c>
      <c r="Q736">
        <v>2021</v>
      </c>
      <c r="R736" t="s">
        <v>612</v>
      </c>
      <c r="S736" t="s">
        <v>613</v>
      </c>
      <c r="T736" t="s">
        <v>553</v>
      </c>
      <c r="U736" t="b">
        <v>0</v>
      </c>
      <c r="V736" t="s">
        <v>614</v>
      </c>
      <c r="W736" t="s">
        <v>587</v>
      </c>
      <c r="X736" t="s">
        <v>556</v>
      </c>
      <c r="AC736">
        <v>1</v>
      </c>
      <c r="AD736" t="s">
        <v>564</v>
      </c>
      <c r="AE736">
        <v>22658.76413</v>
      </c>
      <c r="AF736">
        <v>2.6680700000000002</v>
      </c>
      <c r="AG736" t="s">
        <v>588</v>
      </c>
      <c r="AH736">
        <v>3.7854100000000002</v>
      </c>
      <c r="AI736">
        <v>8492.5673349999997</v>
      </c>
      <c r="AJ736" t="s">
        <v>561</v>
      </c>
      <c r="AK736" t="s">
        <v>589</v>
      </c>
      <c r="AL736" t="s">
        <v>603</v>
      </c>
      <c r="AM736">
        <v>2021</v>
      </c>
      <c r="AN736">
        <v>2019</v>
      </c>
      <c r="AO736">
        <f>IF(AND(emissions[[#This Row],[Market-based]]=0,emissions[[#This Row],[Impact Type]]="CO2E"),emissions[[#This Row],[kgCO2e]],0)/1000</f>
        <v>0</v>
      </c>
      <c r="AP736">
        <f>IF(AND(emissions[[#This Row],[Market-based]]=1,OR(emissions[[#This Row],[Impact Type]]="CO2E",emissions[[#This Row],[Impact Type]]="CO2E MKT")),emissions[[#This Row],[kgCO2e]],0)/1000</f>
        <v>0</v>
      </c>
      <c r="AQ736" t="str">
        <f>_xlfn.TEXTAFTER(emissions[[#This Row],[Reporting Unit]]," &gt; ",LEN(emissions[[#This Row],[Reporting Unit]])-LEN(SUBSTITUTE(emissions[[#This Row],[Reporting Unit]],"&gt;","")))</f>
        <v>Vantage_Chicago</v>
      </c>
      <c r="AR736" t="str">
        <f>_xlfn.XLOOKUP(emissions[[#This Row],[Reporting unit name]],hierarchy!$A:$A,hierarchy!$C:$C)</f>
        <v>Labratory</v>
      </c>
    </row>
    <row r="737" spans="1:44" hidden="1" x14ac:dyDescent="0.25">
      <c r="A737">
        <v>5002</v>
      </c>
      <c r="B737" t="s">
        <v>416</v>
      </c>
      <c r="C737" t="s">
        <v>475</v>
      </c>
      <c r="D737" t="s">
        <v>599</v>
      </c>
      <c r="E737" s="3">
        <v>44197</v>
      </c>
      <c r="F737" s="3">
        <v>44561</v>
      </c>
      <c r="G737" t="s">
        <v>141</v>
      </c>
      <c r="H737" s="3">
        <v>44197</v>
      </c>
      <c r="I737" s="3">
        <v>44561</v>
      </c>
      <c r="J737" t="s">
        <v>142</v>
      </c>
      <c r="K737">
        <v>2243.5</v>
      </c>
      <c r="L737" t="s">
        <v>148</v>
      </c>
      <c r="M737" t="s">
        <v>110</v>
      </c>
      <c r="O737" t="s">
        <v>600</v>
      </c>
      <c r="P737" t="s">
        <v>550</v>
      </c>
      <c r="Q737">
        <v>2021</v>
      </c>
      <c r="R737" t="s">
        <v>612</v>
      </c>
      <c r="S737" t="s">
        <v>613</v>
      </c>
      <c r="T737" t="s">
        <v>553</v>
      </c>
      <c r="U737" t="b">
        <v>0</v>
      </c>
      <c r="V737" t="s">
        <v>614</v>
      </c>
      <c r="W737" t="s">
        <v>587</v>
      </c>
      <c r="X737" t="s">
        <v>556</v>
      </c>
      <c r="AC737">
        <v>1</v>
      </c>
      <c r="AD737" t="s">
        <v>565</v>
      </c>
      <c r="AE737">
        <v>22976.895700000001</v>
      </c>
      <c r="AF737">
        <v>2.70553</v>
      </c>
      <c r="AG737" t="s">
        <v>588</v>
      </c>
      <c r="AH737">
        <v>3.7854100000000002</v>
      </c>
      <c r="AI737">
        <v>8492.5673349999997</v>
      </c>
      <c r="AJ737" t="s">
        <v>561</v>
      </c>
      <c r="AK737" t="s">
        <v>589</v>
      </c>
      <c r="AL737" t="s">
        <v>603</v>
      </c>
      <c r="AM737">
        <v>2021</v>
      </c>
      <c r="AN737">
        <v>2019</v>
      </c>
      <c r="AO737">
        <f>IF(AND(emissions[[#This Row],[Market-based]]=0,emissions[[#This Row],[Impact Type]]="CO2E"),emissions[[#This Row],[kgCO2e]],0)/1000</f>
        <v>0</v>
      </c>
      <c r="AP737">
        <f>IF(AND(emissions[[#This Row],[Market-based]]=1,OR(emissions[[#This Row],[Impact Type]]="CO2E",emissions[[#This Row],[Impact Type]]="CO2E MKT")),emissions[[#This Row],[kgCO2e]],0)/1000</f>
        <v>22.9768957</v>
      </c>
      <c r="AQ737" t="str">
        <f>_xlfn.TEXTAFTER(emissions[[#This Row],[Reporting Unit]]," &gt; ",LEN(emissions[[#This Row],[Reporting Unit]])-LEN(SUBSTITUTE(emissions[[#This Row],[Reporting Unit]],"&gt;","")))</f>
        <v>Vantage_Chicago</v>
      </c>
      <c r="AR737" t="str">
        <f>_xlfn.XLOOKUP(emissions[[#This Row],[Reporting unit name]],hierarchy!$A:$A,hierarchy!$C:$C)</f>
        <v>Labratory</v>
      </c>
    </row>
    <row r="738" spans="1:44" hidden="1" x14ac:dyDescent="0.25">
      <c r="A738">
        <v>5002</v>
      </c>
      <c r="B738" t="s">
        <v>416</v>
      </c>
      <c r="C738" t="s">
        <v>475</v>
      </c>
      <c r="D738" t="s">
        <v>599</v>
      </c>
      <c r="E738" s="3">
        <v>44197</v>
      </c>
      <c r="F738" s="3">
        <v>44561</v>
      </c>
      <c r="G738" t="s">
        <v>141</v>
      </c>
      <c r="H738" s="3">
        <v>44197</v>
      </c>
      <c r="I738" s="3">
        <v>44561</v>
      </c>
      <c r="J738" t="s">
        <v>142</v>
      </c>
      <c r="K738">
        <v>2243.5</v>
      </c>
      <c r="L738" t="s">
        <v>148</v>
      </c>
      <c r="M738" t="s">
        <v>110</v>
      </c>
      <c r="O738" t="s">
        <v>600</v>
      </c>
      <c r="P738" t="s">
        <v>550</v>
      </c>
      <c r="Q738">
        <v>2021</v>
      </c>
      <c r="R738" t="s">
        <v>612</v>
      </c>
      <c r="S738" t="s">
        <v>613</v>
      </c>
      <c r="T738" t="s">
        <v>553</v>
      </c>
      <c r="U738" t="b">
        <v>0</v>
      </c>
      <c r="V738" t="s">
        <v>614</v>
      </c>
      <c r="W738" t="s">
        <v>587</v>
      </c>
      <c r="X738" t="s">
        <v>556</v>
      </c>
      <c r="AC738">
        <v>1</v>
      </c>
      <c r="AD738" t="s">
        <v>566</v>
      </c>
      <c r="AE738">
        <v>315.92350490000001</v>
      </c>
      <c r="AF738">
        <v>3.7199999999999997E-2</v>
      </c>
      <c r="AG738" t="s">
        <v>588</v>
      </c>
      <c r="AH738">
        <v>3.7854100000000002</v>
      </c>
      <c r="AI738">
        <v>8492.5673349999997</v>
      </c>
      <c r="AJ738" t="s">
        <v>561</v>
      </c>
      <c r="AK738" t="s">
        <v>589</v>
      </c>
      <c r="AL738" t="s">
        <v>603</v>
      </c>
      <c r="AM738">
        <v>2021</v>
      </c>
      <c r="AN738">
        <v>2019</v>
      </c>
      <c r="AO738">
        <f>IF(AND(emissions[[#This Row],[Market-based]]=0,emissions[[#This Row],[Impact Type]]="CO2E"),emissions[[#This Row],[kgCO2e]],0)/1000</f>
        <v>0</v>
      </c>
      <c r="AP738">
        <f>IF(AND(emissions[[#This Row],[Market-based]]=1,OR(emissions[[#This Row],[Impact Type]]="CO2E",emissions[[#This Row],[Impact Type]]="CO2E MKT")),emissions[[#This Row],[kgCO2e]],0)/1000</f>
        <v>0</v>
      </c>
      <c r="AQ738" t="str">
        <f>_xlfn.TEXTAFTER(emissions[[#This Row],[Reporting Unit]]," &gt; ",LEN(emissions[[#This Row],[Reporting Unit]])-LEN(SUBSTITUTE(emissions[[#This Row],[Reporting Unit]],"&gt;","")))</f>
        <v>Vantage_Chicago</v>
      </c>
      <c r="AR738" t="str">
        <f>_xlfn.XLOOKUP(emissions[[#This Row],[Reporting unit name]],hierarchy!$A:$A,hierarchy!$C:$C)</f>
        <v>Labratory</v>
      </c>
    </row>
    <row r="739" spans="1:44" hidden="1" x14ac:dyDescent="0.25">
      <c r="A739">
        <v>5002</v>
      </c>
      <c r="B739" t="s">
        <v>416</v>
      </c>
      <c r="C739" t="s">
        <v>475</v>
      </c>
      <c r="D739" t="s">
        <v>599</v>
      </c>
      <c r="E739" s="3">
        <v>44197</v>
      </c>
      <c r="F739" s="3">
        <v>44561</v>
      </c>
      <c r="G739" t="s">
        <v>141</v>
      </c>
      <c r="H739" s="3">
        <v>44197</v>
      </c>
      <c r="I739" s="3">
        <v>44561</v>
      </c>
      <c r="J739" t="s">
        <v>142</v>
      </c>
      <c r="K739">
        <v>2243.5</v>
      </c>
      <c r="L739" t="s">
        <v>148</v>
      </c>
      <c r="M739" t="s">
        <v>110</v>
      </c>
      <c r="O739" t="s">
        <v>600</v>
      </c>
      <c r="P739" t="s">
        <v>550</v>
      </c>
      <c r="Q739">
        <v>2021</v>
      </c>
      <c r="R739" t="s">
        <v>615</v>
      </c>
      <c r="S739" t="s">
        <v>616</v>
      </c>
      <c r="T739" t="s">
        <v>577</v>
      </c>
      <c r="U739" t="b">
        <v>0</v>
      </c>
      <c r="V739" t="s">
        <v>617</v>
      </c>
      <c r="W739" t="s">
        <v>571</v>
      </c>
      <c r="X739" t="s">
        <v>572</v>
      </c>
      <c r="AC739">
        <v>0</v>
      </c>
      <c r="AD739" t="s">
        <v>565</v>
      </c>
      <c r="AE739">
        <v>5339.6167859999996</v>
      </c>
      <c r="AF739">
        <v>0.62873999999999997</v>
      </c>
      <c r="AG739" t="s">
        <v>588</v>
      </c>
      <c r="AH739">
        <v>3.7854100000000002</v>
      </c>
      <c r="AI739">
        <v>8492.5673349999997</v>
      </c>
      <c r="AJ739" t="s">
        <v>561</v>
      </c>
      <c r="AK739" t="s">
        <v>589</v>
      </c>
      <c r="AL739" t="s">
        <v>603</v>
      </c>
      <c r="AM739">
        <v>2021</v>
      </c>
      <c r="AN739">
        <v>2019</v>
      </c>
      <c r="AO739">
        <f>IF(AND(emissions[[#This Row],[Market-based]]=0,emissions[[#This Row],[Impact Type]]="CO2E"),emissions[[#This Row],[kgCO2e]],0)/1000</f>
        <v>5.3396167859999997</v>
      </c>
      <c r="AP739">
        <f>IF(AND(emissions[[#This Row],[Market-based]]=1,OR(emissions[[#This Row],[Impact Type]]="CO2E",emissions[[#This Row],[Impact Type]]="CO2E MKT")),emissions[[#This Row],[kgCO2e]],0)/1000</f>
        <v>0</v>
      </c>
      <c r="AQ739" t="str">
        <f>_xlfn.TEXTAFTER(emissions[[#This Row],[Reporting Unit]]," &gt; ",LEN(emissions[[#This Row],[Reporting Unit]])-LEN(SUBSTITUTE(emissions[[#This Row],[Reporting Unit]],"&gt;","")))</f>
        <v>Vantage_Chicago</v>
      </c>
      <c r="AR739" t="str">
        <f>_xlfn.XLOOKUP(emissions[[#This Row],[Reporting unit name]],hierarchy!$A:$A,hierarchy!$C:$C)</f>
        <v>Labratory</v>
      </c>
    </row>
    <row r="740" spans="1:44" hidden="1" x14ac:dyDescent="0.25">
      <c r="A740">
        <v>5002</v>
      </c>
      <c r="B740" t="s">
        <v>416</v>
      </c>
      <c r="C740" t="s">
        <v>475</v>
      </c>
      <c r="D740" t="s">
        <v>599</v>
      </c>
      <c r="E740" s="3">
        <v>44197</v>
      </c>
      <c r="F740" s="3">
        <v>44561</v>
      </c>
      <c r="G740" t="s">
        <v>141</v>
      </c>
      <c r="H740" s="3">
        <v>44197</v>
      </c>
      <c r="I740" s="3">
        <v>44561</v>
      </c>
      <c r="J740" t="s">
        <v>142</v>
      </c>
      <c r="K740">
        <v>2243.5</v>
      </c>
      <c r="L740" t="s">
        <v>148</v>
      </c>
      <c r="M740" t="s">
        <v>110</v>
      </c>
      <c r="O740" t="s">
        <v>600</v>
      </c>
      <c r="P740" t="s">
        <v>550</v>
      </c>
      <c r="Q740">
        <v>2021</v>
      </c>
      <c r="R740" t="s">
        <v>615</v>
      </c>
      <c r="S740" t="s">
        <v>616</v>
      </c>
      <c r="T740" t="s">
        <v>577</v>
      </c>
      <c r="U740" t="b">
        <v>0</v>
      </c>
      <c r="V740" t="s">
        <v>617</v>
      </c>
      <c r="W740" t="s">
        <v>571</v>
      </c>
      <c r="X740" t="s">
        <v>572</v>
      </c>
      <c r="AC740">
        <v>1</v>
      </c>
      <c r="AD740" t="s">
        <v>565</v>
      </c>
      <c r="AE740">
        <v>5339.6167859999996</v>
      </c>
      <c r="AF740">
        <v>0.62873999999999997</v>
      </c>
      <c r="AG740" t="s">
        <v>588</v>
      </c>
      <c r="AH740">
        <v>3.7854100000000002</v>
      </c>
      <c r="AI740">
        <v>8492.5673349999997</v>
      </c>
      <c r="AJ740" t="s">
        <v>561</v>
      </c>
      <c r="AK740" t="s">
        <v>589</v>
      </c>
      <c r="AL740" t="s">
        <v>603</v>
      </c>
      <c r="AM740">
        <v>2021</v>
      </c>
      <c r="AN740">
        <v>2019</v>
      </c>
      <c r="AO740">
        <f>IF(AND(emissions[[#This Row],[Market-based]]=0,emissions[[#This Row],[Impact Type]]="CO2E"),emissions[[#This Row],[kgCO2e]],0)/1000</f>
        <v>0</v>
      </c>
      <c r="AP740">
        <f>IF(AND(emissions[[#This Row],[Market-based]]=1,OR(emissions[[#This Row],[Impact Type]]="CO2E",emissions[[#This Row],[Impact Type]]="CO2E MKT")),emissions[[#This Row],[kgCO2e]],0)/1000</f>
        <v>5.3396167859999997</v>
      </c>
      <c r="AQ740" t="str">
        <f>_xlfn.TEXTAFTER(emissions[[#This Row],[Reporting Unit]]," &gt; ",LEN(emissions[[#This Row],[Reporting Unit]])-LEN(SUBSTITUTE(emissions[[#This Row],[Reporting Unit]],"&gt;","")))</f>
        <v>Vantage_Chicago</v>
      </c>
      <c r="AR740" t="str">
        <f>_xlfn.XLOOKUP(emissions[[#This Row],[Reporting unit name]],hierarchy!$A:$A,hierarchy!$C:$C)</f>
        <v>Labratory</v>
      </c>
    </row>
    <row r="741" spans="1:44" hidden="1" x14ac:dyDescent="0.25">
      <c r="A741">
        <v>5030</v>
      </c>
      <c r="B741" t="s">
        <v>416</v>
      </c>
      <c r="C741" t="s">
        <v>475</v>
      </c>
      <c r="D741" t="s">
        <v>599</v>
      </c>
      <c r="E741" s="3">
        <v>44197</v>
      </c>
      <c r="F741" s="3">
        <v>44561</v>
      </c>
      <c r="G741" t="s">
        <v>116</v>
      </c>
      <c r="H741" s="3">
        <v>44197</v>
      </c>
      <c r="I741" s="3">
        <v>44561</v>
      </c>
      <c r="J741" t="s">
        <v>128</v>
      </c>
      <c r="K741">
        <v>20.451599999999999</v>
      </c>
      <c r="L741" t="s">
        <v>118</v>
      </c>
      <c r="M741" t="s">
        <v>82</v>
      </c>
      <c r="O741" t="s">
        <v>600</v>
      </c>
      <c r="P741" t="s">
        <v>550</v>
      </c>
      <c r="Q741">
        <v>2021</v>
      </c>
      <c r="R741" t="s">
        <v>619</v>
      </c>
      <c r="S741" t="s">
        <v>620</v>
      </c>
      <c r="T741" t="s">
        <v>553</v>
      </c>
      <c r="U741" t="b">
        <v>0</v>
      </c>
      <c r="V741" t="s">
        <v>621</v>
      </c>
      <c r="W741" t="s">
        <v>587</v>
      </c>
      <c r="X741" t="s">
        <v>556</v>
      </c>
      <c r="AC741">
        <v>0</v>
      </c>
      <c r="AD741" t="s">
        <v>565</v>
      </c>
      <c r="AE741">
        <v>29245.788</v>
      </c>
      <c r="AF741">
        <v>1430</v>
      </c>
      <c r="AG741" t="s">
        <v>622</v>
      </c>
      <c r="AH741">
        <v>1</v>
      </c>
      <c r="AI741">
        <v>20.451599999999999</v>
      </c>
      <c r="AJ741" t="s">
        <v>561</v>
      </c>
      <c r="AK741" t="s">
        <v>623</v>
      </c>
      <c r="AL741" t="s">
        <v>624</v>
      </c>
      <c r="AM741">
        <v>2021</v>
      </c>
      <c r="AN741">
        <v>2007</v>
      </c>
      <c r="AO741">
        <f>IF(AND(emissions[[#This Row],[Market-based]]=0,emissions[[#This Row],[Impact Type]]="CO2E"),emissions[[#This Row],[kgCO2e]],0)/1000</f>
        <v>29.245788000000001</v>
      </c>
      <c r="AP741">
        <f>IF(AND(emissions[[#This Row],[Market-based]]=1,OR(emissions[[#This Row],[Impact Type]]="CO2E",emissions[[#This Row],[Impact Type]]="CO2E MKT")),emissions[[#This Row],[kgCO2e]],0)/1000</f>
        <v>0</v>
      </c>
      <c r="AQ741" t="str">
        <f>_xlfn.TEXTAFTER(emissions[[#This Row],[Reporting Unit]]," &gt; ",LEN(emissions[[#This Row],[Reporting Unit]])-LEN(SUBSTITUTE(emissions[[#This Row],[Reporting Unit]],"&gt;","")))</f>
        <v>Vantage_Chicago</v>
      </c>
      <c r="AR741" t="str">
        <f>_xlfn.XLOOKUP(emissions[[#This Row],[Reporting unit name]],hierarchy!$A:$A,hierarchy!$C:$C)</f>
        <v>Labratory</v>
      </c>
    </row>
    <row r="742" spans="1:44" hidden="1" x14ac:dyDescent="0.25">
      <c r="A742">
        <v>5030</v>
      </c>
      <c r="B742" t="s">
        <v>416</v>
      </c>
      <c r="C742" t="s">
        <v>475</v>
      </c>
      <c r="D742" t="s">
        <v>599</v>
      </c>
      <c r="E742" s="3">
        <v>44197</v>
      </c>
      <c r="F742" s="3">
        <v>44561</v>
      </c>
      <c r="G742" t="s">
        <v>116</v>
      </c>
      <c r="H742" s="3">
        <v>44197</v>
      </c>
      <c r="I742" s="3">
        <v>44561</v>
      </c>
      <c r="J742" t="s">
        <v>128</v>
      </c>
      <c r="K742">
        <v>20.451599999999999</v>
      </c>
      <c r="L742" t="s">
        <v>118</v>
      </c>
      <c r="M742" t="s">
        <v>82</v>
      </c>
      <c r="O742" t="s">
        <v>600</v>
      </c>
      <c r="P742" t="s">
        <v>550</v>
      </c>
      <c r="Q742">
        <v>2021</v>
      </c>
      <c r="R742" t="s">
        <v>619</v>
      </c>
      <c r="S742" t="s">
        <v>620</v>
      </c>
      <c r="T742" t="s">
        <v>553</v>
      </c>
      <c r="U742" t="b">
        <v>0</v>
      </c>
      <c r="V742" t="s">
        <v>621</v>
      </c>
      <c r="W742" t="s">
        <v>587</v>
      </c>
      <c r="X742" t="s">
        <v>556</v>
      </c>
      <c r="AC742">
        <v>1</v>
      </c>
      <c r="AD742" t="s">
        <v>565</v>
      </c>
      <c r="AE742">
        <v>29245.788</v>
      </c>
      <c r="AF742">
        <v>1430</v>
      </c>
      <c r="AG742" t="s">
        <v>622</v>
      </c>
      <c r="AH742">
        <v>1</v>
      </c>
      <c r="AI742">
        <v>20.451599999999999</v>
      </c>
      <c r="AJ742" t="s">
        <v>561</v>
      </c>
      <c r="AK742" t="s">
        <v>623</v>
      </c>
      <c r="AL742" t="s">
        <v>624</v>
      </c>
      <c r="AM742">
        <v>2021</v>
      </c>
      <c r="AN742">
        <v>2007</v>
      </c>
      <c r="AO742">
        <f>IF(AND(emissions[[#This Row],[Market-based]]=0,emissions[[#This Row],[Impact Type]]="CO2E"),emissions[[#This Row],[kgCO2e]],0)/1000</f>
        <v>0</v>
      </c>
      <c r="AP742">
        <f>IF(AND(emissions[[#This Row],[Market-based]]=1,OR(emissions[[#This Row],[Impact Type]]="CO2E",emissions[[#This Row],[Impact Type]]="CO2E MKT")),emissions[[#This Row],[kgCO2e]],0)/1000</f>
        <v>29.245788000000001</v>
      </c>
      <c r="AQ742" t="str">
        <f>_xlfn.TEXTAFTER(emissions[[#This Row],[Reporting Unit]]," &gt; ",LEN(emissions[[#This Row],[Reporting Unit]])-LEN(SUBSTITUTE(emissions[[#This Row],[Reporting Unit]],"&gt;","")))</f>
        <v>Vantage_Chicago</v>
      </c>
      <c r="AR742" t="str">
        <f>_xlfn.XLOOKUP(emissions[[#This Row],[Reporting unit name]],hierarchy!$A:$A,hierarchy!$C:$C)</f>
        <v>Labratory</v>
      </c>
    </row>
    <row r="743" spans="1:44" hidden="1" x14ac:dyDescent="0.25">
      <c r="A743">
        <v>1236896</v>
      </c>
      <c r="B743" t="s">
        <v>416</v>
      </c>
      <c r="C743" t="s">
        <v>475</v>
      </c>
      <c r="D743" t="s">
        <v>599</v>
      </c>
      <c r="E743" s="3">
        <v>44197</v>
      </c>
      <c r="F743" s="3">
        <v>44561</v>
      </c>
      <c r="G743" t="s">
        <v>116</v>
      </c>
      <c r="H743" s="3">
        <v>44197</v>
      </c>
      <c r="I743" s="3">
        <v>44561</v>
      </c>
      <c r="J743" t="s">
        <v>428</v>
      </c>
      <c r="K743">
        <v>77000</v>
      </c>
      <c r="L743" t="s">
        <v>215</v>
      </c>
      <c r="M743" t="s">
        <v>110</v>
      </c>
      <c r="O743" t="s">
        <v>811</v>
      </c>
      <c r="P743" t="s">
        <v>812</v>
      </c>
      <c r="Q743">
        <v>2021</v>
      </c>
      <c r="R743" t="s">
        <v>807</v>
      </c>
      <c r="S743" t="s">
        <v>428</v>
      </c>
      <c r="T743" t="s">
        <v>553</v>
      </c>
      <c r="U743" t="b">
        <v>0</v>
      </c>
      <c r="V743" t="s">
        <v>808</v>
      </c>
      <c r="W743" t="s">
        <v>587</v>
      </c>
      <c r="X743" t="s">
        <v>556</v>
      </c>
      <c r="AC743">
        <v>0</v>
      </c>
      <c r="AD743" t="s">
        <v>565</v>
      </c>
      <c r="AE743">
        <v>34926.654069999997</v>
      </c>
      <c r="AF743">
        <v>1</v>
      </c>
      <c r="AG743" t="s">
        <v>622</v>
      </c>
      <c r="AH743">
        <v>0.45359291000000002</v>
      </c>
      <c r="AI743">
        <v>34926.654069999997</v>
      </c>
      <c r="AJ743" t="s">
        <v>561</v>
      </c>
      <c r="AK743" t="s">
        <v>589</v>
      </c>
      <c r="AL743" t="s">
        <v>603</v>
      </c>
      <c r="AM743">
        <v>2021</v>
      </c>
      <c r="AN743">
        <v>2019</v>
      </c>
      <c r="AO743">
        <f>IF(AND(emissions[[#This Row],[Market-based]]=0,emissions[[#This Row],[Impact Type]]="CO2E"),emissions[[#This Row],[kgCO2e]],0)/1000</f>
        <v>34.926654069999998</v>
      </c>
      <c r="AP743">
        <f>IF(AND(emissions[[#This Row],[Market-based]]=1,OR(emissions[[#This Row],[Impact Type]]="CO2E",emissions[[#This Row],[Impact Type]]="CO2E MKT")),emissions[[#This Row],[kgCO2e]],0)/1000</f>
        <v>0</v>
      </c>
      <c r="AQ743" t="str">
        <f>_xlfn.TEXTAFTER(emissions[[#This Row],[Reporting Unit]]," &gt; ",LEN(emissions[[#This Row],[Reporting Unit]])-LEN(SUBSTITUTE(emissions[[#This Row],[Reporting Unit]],"&gt;","")))</f>
        <v>Vantage_Chicago</v>
      </c>
      <c r="AR743" t="str">
        <f>_xlfn.XLOOKUP(emissions[[#This Row],[Reporting unit name]],hierarchy!$A:$A,hierarchy!$C:$C)</f>
        <v>Labratory</v>
      </c>
    </row>
    <row r="744" spans="1:44" hidden="1" x14ac:dyDescent="0.25">
      <c r="A744">
        <v>1236896</v>
      </c>
      <c r="B744" t="s">
        <v>416</v>
      </c>
      <c r="C744" t="s">
        <v>475</v>
      </c>
      <c r="D744" t="s">
        <v>599</v>
      </c>
      <c r="E744" s="3">
        <v>44197</v>
      </c>
      <c r="F744" s="3">
        <v>44561</v>
      </c>
      <c r="G744" t="s">
        <v>116</v>
      </c>
      <c r="H744" s="3">
        <v>44197</v>
      </c>
      <c r="I744" s="3">
        <v>44561</v>
      </c>
      <c r="J744" t="s">
        <v>428</v>
      </c>
      <c r="K744">
        <v>77000</v>
      </c>
      <c r="L744" t="s">
        <v>215</v>
      </c>
      <c r="M744" t="s">
        <v>110</v>
      </c>
      <c r="O744" t="s">
        <v>811</v>
      </c>
      <c r="P744" t="s">
        <v>812</v>
      </c>
      <c r="Q744">
        <v>2021</v>
      </c>
      <c r="R744" t="s">
        <v>807</v>
      </c>
      <c r="S744" t="s">
        <v>428</v>
      </c>
      <c r="T744" t="s">
        <v>553</v>
      </c>
      <c r="U744" t="b">
        <v>0</v>
      </c>
      <c r="V744" t="s">
        <v>808</v>
      </c>
      <c r="W744" t="s">
        <v>587</v>
      </c>
      <c r="X744" t="s">
        <v>556</v>
      </c>
      <c r="AC744">
        <v>1</v>
      </c>
      <c r="AD744" t="s">
        <v>565</v>
      </c>
      <c r="AE744">
        <v>34926.654069999997</v>
      </c>
      <c r="AF744">
        <v>1</v>
      </c>
      <c r="AG744" t="s">
        <v>622</v>
      </c>
      <c r="AH744">
        <v>0.45359291000000002</v>
      </c>
      <c r="AI744">
        <v>34926.654069999997</v>
      </c>
      <c r="AJ744" t="s">
        <v>561</v>
      </c>
      <c r="AK744" t="s">
        <v>589</v>
      </c>
      <c r="AL744" t="s">
        <v>603</v>
      </c>
      <c r="AM744">
        <v>2021</v>
      </c>
      <c r="AN744">
        <v>2019</v>
      </c>
      <c r="AO744">
        <f>IF(AND(emissions[[#This Row],[Market-based]]=0,emissions[[#This Row],[Impact Type]]="CO2E"),emissions[[#This Row],[kgCO2e]],0)/1000</f>
        <v>0</v>
      </c>
      <c r="AP744">
        <f>IF(AND(emissions[[#This Row],[Market-based]]=1,OR(emissions[[#This Row],[Impact Type]]="CO2E",emissions[[#This Row],[Impact Type]]="CO2E MKT")),emissions[[#This Row],[kgCO2e]],0)/1000</f>
        <v>34.926654069999998</v>
      </c>
      <c r="AQ744" t="str">
        <f>_xlfn.TEXTAFTER(emissions[[#This Row],[Reporting Unit]]," &gt; ",LEN(emissions[[#This Row],[Reporting Unit]])-LEN(SUBSTITUTE(emissions[[#This Row],[Reporting Unit]],"&gt;","")))</f>
        <v>Vantage_Chicago</v>
      </c>
      <c r="AR744" t="str">
        <f>_xlfn.XLOOKUP(emissions[[#This Row],[Reporting unit name]],hierarchy!$A:$A,hierarchy!$C:$C)</f>
        <v>Labratory</v>
      </c>
    </row>
    <row r="745" spans="1:44" hidden="1" x14ac:dyDescent="0.25">
      <c r="A745">
        <v>1257576</v>
      </c>
      <c r="B745" t="s">
        <v>416</v>
      </c>
      <c r="C745" t="s">
        <v>475</v>
      </c>
      <c r="D745" t="s">
        <v>599</v>
      </c>
      <c r="E745" s="3">
        <v>44197</v>
      </c>
      <c r="F745" s="3">
        <v>44561</v>
      </c>
      <c r="G745" t="s">
        <v>116</v>
      </c>
      <c r="H745" s="3">
        <v>44197</v>
      </c>
      <c r="I745" s="3">
        <v>44561</v>
      </c>
      <c r="J745" t="s">
        <v>272</v>
      </c>
      <c r="K745">
        <v>26</v>
      </c>
      <c r="L745" t="s">
        <v>215</v>
      </c>
      <c r="M745" t="s">
        <v>110</v>
      </c>
      <c r="O745" t="s">
        <v>813</v>
      </c>
      <c r="P745" t="s">
        <v>814</v>
      </c>
      <c r="Q745">
        <v>2021</v>
      </c>
      <c r="R745" t="s">
        <v>803</v>
      </c>
      <c r="S745" t="s">
        <v>272</v>
      </c>
      <c r="T745" t="s">
        <v>553</v>
      </c>
      <c r="U745" t="b">
        <v>0</v>
      </c>
      <c r="V745" t="s">
        <v>804</v>
      </c>
      <c r="W745" t="s">
        <v>587</v>
      </c>
      <c r="X745" t="s">
        <v>556</v>
      </c>
      <c r="AC745">
        <v>0</v>
      </c>
      <c r="AD745" t="s">
        <v>565</v>
      </c>
      <c r="AE745">
        <v>21346.082340000001</v>
      </c>
      <c r="AF745">
        <v>1810</v>
      </c>
      <c r="AG745" t="s">
        <v>622</v>
      </c>
      <c r="AH745">
        <v>0.45359291000000002</v>
      </c>
      <c r="AI745">
        <v>11.793415660000001</v>
      </c>
      <c r="AJ745" t="s">
        <v>561</v>
      </c>
      <c r="AK745" t="s">
        <v>623</v>
      </c>
      <c r="AL745" t="s">
        <v>624</v>
      </c>
      <c r="AM745">
        <v>2021</v>
      </c>
      <c r="AN745">
        <v>2007</v>
      </c>
      <c r="AO745">
        <f>IF(AND(emissions[[#This Row],[Market-based]]=0,emissions[[#This Row],[Impact Type]]="CO2E"),emissions[[#This Row],[kgCO2e]],0)/1000</f>
        <v>21.346082340000002</v>
      </c>
      <c r="AP745">
        <f>IF(AND(emissions[[#This Row],[Market-based]]=1,OR(emissions[[#This Row],[Impact Type]]="CO2E",emissions[[#This Row],[Impact Type]]="CO2E MKT")),emissions[[#This Row],[kgCO2e]],0)/1000</f>
        <v>0</v>
      </c>
      <c r="AQ745" t="str">
        <f>_xlfn.TEXTAFTER(emissions[[#This Row],[Reporting Unit]]," &gt; ",LEN(emissions[[#This Row],[Reporting Unit]])-LEN(SUBSTITUTE(emissions[[#This Row],[Reporting Unit]],"&gt;","")))</f>
        <v>Vantage_Chicago</v>
      </c>
      <c r="AR745" t="str">
        <f>_xlfn.XLOOKUP(emissions[[#This Row],[Reporting unit name]],hierarchy!$A:$A,hierarchy!$C:$C)</f>
        <v>Labratory</v>
      </c>
    </row>
    <row r="746" spans="1:44" hidden="1" x14ac:dyDescent="0.25">
      <c r="A746">
        <v>1257576</v>
      </c>
      <c r="B746" t="s">
        <v>416</v>
      </c>
      <c r="C746" t="s">
        <v>475</v>
      </c>
      <c r="D746" t="s">
        <v>599</v>
      </c>
      <c r="E746" s="3">
        <v>44197</v>
      </c>
      <c r="F746" s="3">
        <v>44561</v>
      </c>
      <c r="G746" t="s">
        <v>116</v>
      </c>
      <c r="H746" s="3">
        <v>44197</v>
      </c>
      <c r="I746" s="3">
        <v>44561</v>
      </c>
      <c r="J746" t="s">
        <v>272</v>
      </c>
      <c r="K746">
        <v>26</v>
      </c>
      <c r="L746" t="s">
        <v>215</v>
      </c>
      <c r="M746" t="s">
        <v>110</v>
      </c>
      <c r="O746" t="s">
        <v>813</v>
      </c>
      <c r="P746" t="s">
        <v>814</v>
      </c>
      <c r="Q746">
        <v>2021</v>
      </c>
      <c r="R746" t="s">
        <v>803</v>
      </c>
      <c r="S746" t="s">
        <v>272</v>
      </c>
      <c r="T746" t="s">
        <v>553</v>
      </c>
      <c r="U746" t="b">
        <v>0</v>
      </c>
      <c r="V746" t="s">
        <v>804</v>
      </c>
      <c r="W746" t="s">
        <v>587</v>
      </c>
      <c r="X746" t="s">
        <v>556</v>
      </c>
      <c r="AC746">
        <v>1</v>
      </c>
      <c r="AD746" t="s">
        <v>565</v>
      </c>
      <c r="AE746">
        <v>21346.082340000001</v>
      </c>
      <c r="AF746">
        <v>1810</v>
      </c>
      <c r="AG746" t="s">
        <v>622</v>
      </c>
      <c r="AH746">
        <v>0.45359291000000002</v>
      </c>
      <c r="AI746">
        <v>11.793415660000001</v>
      </c>
      <c r="AJ746" t="s">
        <v>561</v>
      </c>
      <c r="AK746" t="s">
        <v>623</v>
      </c>
      <c r="AL746" t="s">
        <v>624</v>
      </c>
      <c r="AM746">
        <v>2021</v>
      </c>
      <c r="AN746">
        <v>2007</v>
      </c>
      <c r="AO746">
        <f>IF(AND(emissions[[#This Row],[Market-based]]=0,emissions[[#This Row],[Impact Type]]="CO2E"),emissions[[#This Row],[kgCO2e]],0)/1000</f>
        <v>0</v>
      </c>
      <c r="AP746">
        <f>IF(AND(emissions[[#This Row],[Market-based]]=1,OR(emissions[[#This Row],[Impact Type]]="CO2E",emissions[[#This Row],[Impact Type]]="CO2E MKT")),emissions[[#This Row],[kgCO2e]],0)/1000</f>
        <v>21.346082340000002</v>
      </c>
      <c r="AQ746" t="str">
        <f>_xlfn.TEXTAFTER(emissions[[#This Row],[Reporting Unit]]," &gt; ",LEN(emissions[[#This Row],[Reporting Unit]])-LEN(SUBSTITUTE(emissions[[#This Row],[Reporting Unit]],"&gt;","")))</f>
        <v>Vantage_Chicago</v>
      </c>
      <c r="AR746" t="str">
        <f>_xlfn.XLOOKUP(emissions[[#This Row],[Reporting unit name]],hierarchy!$A:$A,hierarchy!$C:$C)</f>
        <v>Labratory</v>
      </c>
    </row>
    <row r="747" spans="1:44" hidden="1" x14ac:dyDescent="0.25">
      <c r="A747">
        <v>1257578</v>
      </c>
      <c r="B747" t="s">
        <v>416</v>
      </c>
      <c r="C747" t="s">
        <v>475</v>
      </c>
      <c r="D747" t="s">
        <v>599</v>
      </c>
      <c r="E747" s="3">
        <v>44197</v>
      </c>
      <c r="F747" s="3">
        <v>44561</v>
      </c>
      <c r="G747" t="s">
        <v>116</v>
      </c>
      <c r="H747" s="3">
        <v>44197</v>
      </c>
      <c r="I747" s="3">
        <v>44561</v>
      </c>
      <c r="J747" t="s">
        <v>218</v>
      </c>
      <c r="K747">
        <v>24.5</v>
      </c>
      <c r="L747" t="s">
        <v>215</v>
      </c>
      <c r="M747" t="s">
        <v>110</v>
      </c>
      <c r="O747" t="s">
        <v>815</v>
      </c>
      <c r="P747" t="s">
        <v>814</v>
      </c>
      <c r="Q747">
        <v>2021</v>
      </c>
      <c r="R747" t="s">
        <v>664</v>
      </c>
      <c r="S747" t="s">
        <v>175</v>
      </c>
      <c r="T747" t="s">
        <v>553</v>
      </c>
      <c r="U747" t="b">
        <v>0</v>
      </c>
      <c r="V747" t="s">
        <v>665</v>
      </c>
      <c r="W747" t="s">
        <v>587</v>
      </c>
      <c r="X747" t="s">
        <v>556</v>
      </c>
      <c r="AC747">
        <v>0</v>
      </c>
      <c r="AD747" t="s">
        <v>565</v>
      </c>
      <c r="AE747">
        <v>23203.998899999999</v>
      </c>
      <c r="AF747">
        <v>2088</v>
      </c>
      <c r="AG747" t="s">
        <v>622</v>
      </c>
      <c r="AH747">
        <v>0.45359291000000002</v>
      </c>
      <c r="AI747">
        <v>11.1130263</v>
      </c>
      <c r="AJ747" t="s">
        <v>561</v>
      </c>
      <c r="AK747" t="s">
        <v>623</v>
      </c>
      <c r="AL747" t="s">
        <v>624</v>
      </c>
      <c r="AM747">
        <v>2021</v>
      </c>
      <c r="AN747">
        <v>2007</v>
      </c>
      <c r="AO747">
        <f>IF(AND(emissions[[#This Row],[Market-based]]=0,emissions[[#This Row],[Impact Type]]="CO2E"),emissions[[#This Row],[kgCO2e]],0)/1000</f>
        <v>23.203998899999998</v>
      </c>
      <c r="AP747">
        <f>IF(AND(emissions[[#This Row],[Market-based]]=1,OR(emissions[[#This Row],[Impact Type]]="CO2E",emissions[[#This Row],[Impact Type]]="CO2E MKT")),emissions[[#This Row],[kgCO2e]],0)/1000</f>
        <v>0</v>
      </c>
      <c r="AQ747" t="str">
        <f>_xlfn.TEXTAFTER(emissions[[#This Row],[Reporting Unit]]," &gt; ",LEN(emissions[[#This Row],[Reporting Unit]])-LEN(SUBSTITUTE(emissions[[#This Row],[Reporting Unit]],"&gt;","")))</f>
        <v>Vantage_Chicago</v>
      </c>
      <c r="AR747" t="str">
        <f>_xlfn.XLOOKUP(emissions[[#This Row],[Reporting unit name]],hierarchy!$A:$A,hierarchy!$C:$C)</f>
        <v>Labratory</v>
      </c>
    </row>
    <row r="748" spans="1:44" hidden="1" x14ac:dyDescent="0.25">
      <c r="A748">
        <v>1257578</v>
      </c>
      <c r="B748" t="s">
        <v>416</v>
      </c>
      <c r="C748" t="s">
        <v>475</v>
      </c>
      <c r="D748" t="s">
        <v>599</v>
      </c>
      <c r="E748" s="3">
        <v>44197</v>
      </c>
      <c r="F748" s="3">
        <v>44561</v>
      </c>
      <c r="G748" t="s">
        <v>116</v>
      </c>
      <c r="H748" s="3">
        <v>44197</v>
      </c>
      <c r="I748" s="3">
        <v>44561</v>
      </c>
      <c r="J748" t="s">
        <v>218</v>
      </c>
      <c r="K748">
        <v>24.5</v>
      </c>
      <c r="L748" t="s">
        <v>215</v>
      </c>
      <c r="M748" t="s">
        <v>110</v>
      </c>
      <c r="O748" t="s">
        <v>815</v>
      </c>
      <c r="P748" t="s">
        <v>814</v>
      </c>
      <c r="Q748">
        <v>2021</v>
      </c>
      <c r="R748" t="s">
        <v>664</v>
      </c>
      <c r="S748" t="s">
        <v>175</v>
      </c>
      <c r="T748" t="s">
        <v>553</v>
      </c>
      <c r="U748" t="b">
        <v>0</v>
      </c>
      <c r="V748" t="s">
        <v>665</v>
      </c>
      <c r="W748" t="s">
        <v>587</v>
      </c>
      <c r="X748" t="s">
        <v>556</v>
      </c>
      <c r="AC748">
        <v>1</v>
      </c>
      <c r="AD748" t="s">
        <v>565</v>
      </c>
      <c r="AE748">
        <v>23203.998899999999</v>
      </c>
      <c r="AF748">
        <v>2088</v>
      </c>
      <c r="AG748" t="s">
        <v>622</v>
      </c>
      <c r="AH748">
        <v>0.45359291000000002</v>
      </c>
      <c r="AI748">
        <v>11.1130263</v>
      </c>
      <c r="AJ748" t="s">
        <v>561</v>
      </c>
      <c r="AK748" t="s">
        <v>623</v>
      </c>
      <c r="AL748" t="s">
        <v>624</v>
      </c>
      <c r="AM748">
        <v>2021</v>
      </c>
      <c r="AN748">
        <v>2007</v>
      </c>
      <c r="AO748">
        <f>IF(AND(emissions[[#This Row],[Market-based]]=0,emissions[[#This Row],[Impact Type]]="CO2E"),emissions[[#This Row],[kgCO2e]],0)/1000</f>
        <v>0</v>
      </c>
      <c r="AP748">
        <f>IF(AND(emissions[[#This Row],[Market-based]]=1,OR(emissions[[#This Row],[Impact Type]]="CO2E",emissions[[#This Row],[Impact Type]]="CO2E MKT")),emissions[[#This Row],[kgCO2e]],0)/1000</f>
        <v>23.203998899999998</v>
      </c>
      <c r="AQ748" t="str">
        <f>_xlfn.TEXTAFTER(emissions[[#This Row],[Reporting Unit]]," &gt; ",LEN(emissions[[#This Row],[Reporting Unit]])-LEN(SUBSTITUTE(emissions[[#This Row],[Reporting Unit]],"&gt;","")))</f>
        <v>Vantage_Chicago</v>
      </c>
      <c r="AR748" t="str">
        <f>_xlfn.XLOOKUP(emissions[[#This Row],[Reporting unit name]],hierarchy!$A:$A,hierarchy!$C:$C)</f>
        <v>Labratory</v>
      </c>
    </row>
    <row r="749" spans="1:44" hidden="1" x14ac:dyDescent="0.25">
      <c r="A749">
        <v>1230941</v>
      </c>
      <c r="B749" t="s">
        <v>416</v>
      </c>
      <c r="C749" t="s">
        <v>475</v>
      </c>
      <c r="D749" t="s">
        <v>599</v>
      </c>
      <c r="E749" s="3">
        <v>44197</v>
      </c>
      <c r="F749" s="3">
        <v>44561</v>
      </c>
      <c r="G749" t="s">
        <v>121</v>
      </c>
      <c r="H749" s="3">
        <v>44197</v>
      </c>
      <c r="I749" s="3">
        <v>44561</v>
      </c>
      <c r="J749" t="s">
        <v>150</v>
      </c>
      <c r="K749">
        <v>4690</v>
      </c>
      <c r="L749" t="s">
        <v>215</v>
      </c>
      <c r="M749" t="s">
        <v>110</v>
      </c>
      <c r="O749" t="s">
        <v>816</v>
      </c>
      <c r="P749" t="s">
        <v>550</v>
      </c>
      <c r="Q749">
        <v>2021</v>
      </c>
      <c r="R749" t="s">
        <v>594</v>
      </c>
      <c r="S749" t="s">
        <v>150</v>
      </c>
      <c r="T749" t="s">
        <v>553</v>
      </c>
      <c r="U749" t="b">
        <v>0</v>
      </c>
      <c r="V749" t="s">
        <v>595</v>
      </c>
      <c r="W749" t="s">
        <v>587</v>
      </c>
      <c r="X749" t="s">
        <v>556</v>
      </c>
      <c r="AC749">
        <v>0</v>
      </c>
      <c r="AD749" t="s">
        <v>558</v>
      </c>
      <c r="AE749">
        <v>4.9141487010000002</v>
      </c>
      <c r="AF749">
        <v>2.31</v>
      </c>
      <c r="AG749" t="s">
        <v>756</v>
      </c>
      <c r="AH749">
        <v>4.5359000000000003E-4</v>
      </c>
      <c r="AI749">
        <v>2.1273371000000001</v>
      </c>
      <c r="AJ749" t="s">
        <v>561</v>
      </c>
      <c r="AK749" t="s">
        <v>589</v>
      </c>
      <c r="AL749" t="s">
        <v>603</v>
      </c>
      <c r="AM749">
        <v>2021</v>
      </c>
      <c r="AN749">
        <v>2019</v>
      </c>
      <c r="AO749">
        <f>IF(AND(emissions[[#This Row],[Market-based]]=0,emissions[[#This Row],[Impact Type]]="CO2E"),emissions[[#This Row],[kgCO2e]],0)/1000</f>
        <v>0</v>
      </c>
      <c r="AP749">
        <f>IF(AND(emissions[[#This Row],[Market-based]]=1,OR(emissions[[#This Row],[Impact Type]]="CO2E",emissions[[#This Row],[Impact Type]]="CO2E MKT")),emissions[[#This Row],[kgCO2e]],0)/1000</f>
        <v>0</v>
      </c>
      <c r="AQ749" t="str">
        <f>_xlfn.TEXTAFTER(emissions[[#This Row],[Reporting Unit]]," &gt; ",LEN(emissions[[#This Row],[Reporting Unit]])-LEN(SUBSTITUTE(emissions[[#This Row],[Reporting Unit]],"&gt;","")))</f>
        <v>Vantage_Chicago</v>
      </c>
      <c r="AR749" t="str">
        <f>_xlfn.XLOOKUP(emissions[[#This Row],[Reporting unit name]],hierarchy!$A:$A,hierarchy!$C:$C)</f>
        <v>Labratory</v>
      </c>
    </row>
    <row r="750" spans="1:44" hidden="1" x14ac:dyDescent="0.25">
      <c r="A750">
        <v>1230941</v>
      </c>
      <c r="B750" t="s">
        <v>416</v>
      </c>
      <c r="C750" t="s">
        <v>475</v>
      </c>
      <c r="D750" t="s">
        <v>599</v>
      </c>
      <c r="E750" s="3">
        <v>44197</v>
      </c>
      <c r="F750" s="3">
        <v>44561</v>
      </c>
      <c r="G750" t="s">
        <v>121</v>
      </c>
      <c r="H750" s="3">
        <v>44197</v>
      </c>
      <c r="I750" s="3">
        <v>44561</v>
      </c>
      <c r="J750" t="s">
        <v>150</v>
      </c>
      <c r="K750">
        <v>4690</v>
      </c>
      <c r="L750" t="s">
        <v>215</v>
      </c>
      <c r="M750" t="s">
        <v>110</v>
      </c>
      <c r="O750" t="s">
        <v>816</v>
      </c>
      <c r="P750" t="s">
        <v>550</v>
      </c>
      <c r="Q750">
        <v>2021</v>
      </c>
      <c r="R750" t="s">
        <v>594</v>
      </c>
      <c r="S750" t="s">
        <v>150</v>
      </c>
      <c r="T750" t="s">
        <v>553</v>
      </c>
      <c r="U750" t="b">
        <v>0</v>
      </c>
      <c r="V750" t="s">
        <v>595</v>
      </c>
      <c r="W750" t="s">
        <v>587</v>
      </c>
      <c r="X750" t="s">
        <v>556</v>
      </c>
      <c r="AC750">
        <v>0</v>
      </c>
      <c r="AD750" t="s">
        <v>564</v>
      </c>
      <c r="AE750">
        <v>6367.970875</v>
      </c>
      <c r="AF750">
        <v>2993.4</v>
      </c>
      <c r="AG750" t="s">
        <v>756</v>
      </c>
      <c r="AH750">
        <v>4.5359000000000003E-4</v>
      </c>
      <c r="AI750">
        <v>2.1273371000000001</v>
      </c>
      <c r="AJ750" t="s">
        <v>561</v>
      </c>
      <c r="AK750" t="s">
        <v>589</v>
      </c>
      <c r="AL750" t="s">
        <v>603</v>
      </c>
      <c r="AM750">
        <v>2021</v>
      </c>
      <c r="AN750">
        <v>2019</v>
      </c>
      <c r="AO750">
        <f>IF(AND(emissions[[#This Row],[Market-based]]=0,emissions[[#This Row],[Impact Type]]="CO2E"),emissions[[#This Row],[kgCO2e]],0)/1000</f>
        <v>0</v>
      </c>
      <c r="AP750">
        <f>IF(AND(emissions[[#This Row],[Market-based]]=1,OR(emissions[[#This Row],[Impact Type]]="CO2E",emissions[[#This Row],[Impact Type]]="CO2E MKT")),emissions[[#This Row],[kgCO2e]],0)/1000</f>
        <v>0</v>
      </c>
      <c r="AQ750" t="str">
        <f>_xlfn.TEXTAFTER(emissions[[#This Row],[Reporting Unit]]," &gt; ",LEN(emissions[[#This Row],[Reporting Unit]])-LEN(SUBSTITUTE(emissions[[#This Row],[Reporting Unit]],"&gt;","")))</f>
        <v>Vantage_Chicago</v>
      </c>
      <c r="AR750" t="str">
        <f>_xlfn.XLOOKUP(emissions[[#This Row],[Reporting unit name]],hierarchy!$A:$A,hierarchy!$C:$C)</f>
        <v>Labratory</v>
      </c>
    </row>
    <row r="751" spans="1:44" hidden="1" x14ac:dyDescent="0.25">
      <c r="A751">
        <v>1230941</v>
      </c>
      <c r="B751" t="s">
        <v>416</v>
      </c>
      <c r="C751" t="s">
        <v>475</v>
      </c>
      <c r="D751" t="s">
        <v>599</v>
      </c>
      <c r="E751" s="3">
        <v>44197</v>
      </c>
      <c r="F751" s="3">
        <v>44561</v>
      </c>
      <c r="G751" t="s">
        <v>121</v>
      </c>
      <c r="H751" s="3">
        <v>44197</v>
      </c>
      <c r="I751" s="3">
        <v>44561</v>
      </c>
      <c r="J751" t="s">
        <v>150</v>
      </c>
      <c r="K751">
        <v>4690</v>
      </c>
      <c r="L751" t="s">
        <v>215</v>
      </c>
      <c r="M751" t="s">
        <v>110</v>
      </c>
      <c r="O751" t="s">
        <v>816</v>
      </c>
      <c r="P751" t="s">
        <v>550</v>
      </c>
      <c r="Q751">
        <v>2021</v>
      </c>
      <c r="R751" t="s">
        <v>594</v>
      </c>
      <c r="S751" t="s">
        <v>150</v>
      </c>
      <c r="T751" t="s">
        <v>553</v>
      </c>
      <c r="U751" t="b">
        <v>0</v>
      </c>
      <c r="V751" t="s">
        <v>595</v>
      </c>
      <c r="W751" t="s">
        <v>587</v>
      </c>
      <c r="X751" t="s">
        <v>556</v>
      </c>
      <c r="AC751">
        <v>0</v>
      </c>
      <c r="AD751" t="s">
        <v>565</v>
      </c>
      <c r="AE751">
        <v>6376.8205969999999</v>
      </c>
      <c r="AF751">
        <v>2997.56</v>
      </c>
      <c r="AG751" t="s">
        <v>756</v>
      </c>
      <c r="AH751">
        <v>4.5359000000000003E-4</v>
      </c>
      <c r="AI751">
        <v>2.1273371000000001</v>
      </c>
      <c r="AJ751" t="s">
        <v>561</v>
      </c>
      <c r="AK751" t="s">
        <v>589</v>
      </c>
      <c r="AL751" t="s">
        <v>603</v>
      </c>
      <c r="AM751">
        <v>2021</v>
      </c>
      <c r="AN751">
        <v>2019</v>
      </c>
      <c r="AO751">
        <f>IF(AND(emissions[[#This Row],[Market-based]]=0,emissions[[#This Row],[Impact Type]]="CO2E"),emissions[[#This Row],[kgCO2e]],0)/1000</f>
        <v>6.376820597</v>
      </c>
      <c r="AP751">
        <f>IF(AND(emissions[[#This Row],[Market-based]]=1,OR(emissions[[#This Row],[Impact Type]]="CO2E",emissions[[#This Row],[Impact Type]]="CO2E MKT")),emissions[[#This Row],[kgCO2e]],0)/1000</f>
        <v>0</v>
      </c>
      <c r="AQ751" t="str">
        <f>_xlfn.TEXTAFTER(emissions[[#This Row],[Reporting Unit]]," &gt; ",LEN(emissions[[#This Row],[Reporting Unit]])-LEN(SUBSTITUTE(emissions[[#This Row],[Reporting Unit]],"&gt;","")))</f>
        <v>Vantage_Chicago</v>
      </c>
      <c r="AR751" t="str">
        <f>_xlfn.XLOOKUP(emissions[[#This Row],[Reporting unit name]],hierarchy!$A:$A,hierarchy!$C:$C)</f>
        <v>Labratory</v>
      </c>
    </row>
    <row r="752" spans="1:44" hidden="1" x14ac:dyDescent="0.25">
      <c r="A752">
        <v>1230941</v>
      </c>
      <c r="B752" t="s">
        <v>416</v>
      </c>
      <c r="C752" t="s">
        <v>475</v>
      </c>
      <c r="D752" t="s">
        <v>599</v>
      </c>
      <c r="E752" s="3">
        <v>44197</v>
      </c>
      <c r="F752" s="3">
        <v>44561</v>
      </c>
      <c r="G752" t="s">
        <v>121</v>
      </c>
      <c r="H752" s="3">
        <v>44197</v>
      </c>
      <c r="I752" s="3">
        <v>44561</v>
      </c>
      <c r="J752" t="s">
        <v>150</v>
      </c>
      <c r="K752">
        <v>4690</v>
      </c>
      <c r="L752" t="s">
        <v>215</v>
      </c>
      <c r="M752" t="s">
        <v>110</v>
      </c>
      <c r="O752" t="s">
        <v>816</v>
      </c>
      <c r="P752" t="s">
        <v>550</v>
      </c>
      <c r="Q752">
        <v>2021</v>
      </c>
      <c r="R752" t="s">
        <v>594</v>
      </c>
      <c r="S752" t="s">
        <v>150</v>
      </c>
      <c r="T752" t="s">
        <v>553</v>
      </c>
      <c r="U752" t="b">
        <v>0</v>
      </c>
      <c r="V752" t="s">
        <v>595</v>
      </c>
      <c r="W752" t="s">
        <v>587</v>
      </c>
      <c r="X752" t="s">
        <v>556</v>
      </c>
      <c r="AC752">
        <v>0</v>
      </c>
      <c r="AD752" t="s">
        <v>566</v>
      </c>
      <c r="AE752">
        <v>3.9355736349999999</v>
      </c>
      <c r="AF752">
        <v>1.85</v>
      </c>
      <c r="AG752" t="s">
        <v>756</v>
      </c>
      <c r="AH752">
        <v>4.5359000000000003E-4</v>
      </c>
      <c r="AI752">
        <v>2.1273371000000001</v>
      </c>
      <c r="AJ752" t="s">
        <v>561</v>
      </c>
      <c r="AK752" t="s">
        <v>589</v>
      </c>
      <c r="AL752" t="s">
        <v>603</v>
      </c>
      <c r="AM752">
        <v>2021</v>
      </c>
      <c r="AN752">
        <v>2019</v>
      </c>
      <c r="AO752">
        <f>IF(AND(emissions[[#This Row],[Market-based]]=0,emissions[[#This Row],[Impact Type]]="CO2E"),emissions[[#This Row],[kgCO2e]],0)/1000</f>
        <v>0</v>
      </c>
      <c r="AP752">
        <f>IF(AND(emissions[[#This Row],[Market-based]]=1,OR(emissions[[#This Row],[Impact Type]]="CO2E",emissions[[#This Row],[Impact Type]]="CO2E MKT")),emissions[[#This Row],[kgCO2e]],0)/1000</f>
        <v>0</v>
      </c>
      <c r="AQ752" t="str">
        <f>_xlfn.TEXTAFTER(emissions[[#This Row],[Reporting Unit]]," &gt; ",LEN(emissions[[#This Row],[Reporting Unit]])-LEN(SUBSTITUTE(emissions[[#This Row],[Reporting Unit]],"&gt;","")))</f>
        <v>Vantage_Chicago</v>
      </c>
      <c r="AR752" t="str">
        <f>_xlfn.XLOOKUP(emissions[[#This Row],[Reporting unit name]],hierarchy!$A:$A,hierarchy!$C:$C)</f>
        <v>Labratory</v>
      </c>
    </row>
    <row r="753" spans="1:44" hidden="1" x14ac:dyDescent="0.25">
      <c r="A753">
        <v>1230941</v>
      </c>
      <c r="B753" t="s">
        <v>416</v>
      </c>
      <c r="C753" t="s">
        <v>475</v>
      </c>
      <c r="D753" t="s">
        <v>599</v>
      </c>
      <c r="E753" s="3">
        <v>44197</v>
      </c>
      <c r="F753" s="3">
        <v>44561</v>
      </c>
      <c r="G753" t="s">
        <v>121</v>
      </c>
      <c r="H753" s="3">
        <v>44197</v>
      </c>
      <c r="I753" s="3">
        <v>44561</v>
      </c>
      <c r="J753" t="s">
        <v>150</v>
      </c>
      <c r="K753">
        <v>4690</v>
      </c>
      <c r="L753" t="s">
        <v>215</v>
      </c>
      <c r="M753" t="s">
        <v>110</v>
      </c>
      <c r="O753" t="s">
        <v>816</v>
      </c>
      <c r="P753" t="s">
        <v>550</v>
      </c>
      <c r="Q753">
        <v>2021</v>
      </c>
      <c r="R753" t="s">
        <v>594</v>
      </c>
      <c r="S753" t="s">
        <v>150</v>
      </c>
      <c r="T753" t="s">
        <v>553</v>
      </c>
      <c r="U753" t="b">
        <v>0</v>
      </c>
      <c r="V753" t="s">
        <v>595</v>
      </c>
      <c r="W753" t="s">
        <v>587</v>
      </c>
      <c r="X753" t="s">
        <v>556</v>
      </c>
      <c r="AC753">
        <v>1</v>
      </c>
      <c r="AD753" t="s">
        <v>558</v>
      </c>
      <c r="AE753">
        <v>4.9141487010000002</v>
      </c>
      <c r="AF753">
        <v>2.31</v>
      </c>
      <c r="AG753" t="s">
        <v>756</v>
      </c>
      <c r="AH753">
        <v>4.5359000000000003E-4</v>
      </c>
      <c r="AI753">
        <v>2.1273371000000001</v>
      </c>
      <c r="AJ753" t="s">
        <v>561</v>
      </c>
      <c r="AK753" t="s">
        <v>589</v>
      </c>
      <c r="AL753" t="s">
        <v>603</v>
      </c>
      <c r="AM753">
        <v>2021</v>
      </c>
      <c r="AN753">
        <v>2019</v>
      </c>
      <c r="AO753">
        <f>IF(AND(emissions[[#This Row],[Market-based]]=0,emissions[[#This Row],[Impact Type]]="CO2E"),emissions[[#This Row],[kgCO2e]],0)/1000</f>
        <v>0</v>
      </c>
      <c r="AP753">
        <f>IF(AND(emissions[[#This Row],[Market-based]]=1,OR(emissions[[#This Row],[Impact Type]]="CO2E",emissions[[#This Row],[Impact Type]]="CO2E MKT")),emissions[[#This Row],[kgCO2e]],0)/1000</f>
        <v>0</v>
      </c>
      <c r="AQ753" t="str">
        <f>_xlfn.TEXTAFTER(emissions[[#This Row],[Reporting Unit]]," &gt; ",LEN(emissions[[#This Row],[Reporting Unit]])-LEN(SUBSTITUTE(emissions[[#This Row],[Reporting Unit]],"&gt;","")))</f>
        <v>Vantage_Chicago</v>
      </c>
      <c r="AR753" t="str">
        <f>_xlfn.XLOOKUP(emissions[[#This Row],[Reporting unit name]],hierarchy!$A:$A,hierarchy!$C:$C)</f>
        <v>Labratory</v>
      </c>
    </row>
    <row r="754" spans="1:44" hidden="1" x14ac:dyDescent="0.25">
      <c r="A754">
        <v>1230941</v>
      </c>
      <c r="B754" t="s">
        <v>416</v>
      </c>
      <c r="C754" t="s">
        <v>475</v>
      </c>
      <c r="D754" t="s">
        <v>599</v>
      </c>
      <c r="E754" s="3">
        <v>44197</v>
      </c>
      <c r="F754" s="3">
        <v>44561</v>
      </c>
      <c r="G754" t="s">
        <v>121</v>
      </c>
      <c r="H754" s="3">
        <v>44197</v>
      </c>
      <c r="I754" s="3">
        <v>44561</v>
      </c>
      <c r="J754" t="s">
        <v>150</v>
      </c>
      <c r="K754">
        <v>4690</v>
      </c>
      <c r="L754" t="s">
        <v>215</v>
      </c>
      <c r="M754" t="s">
        <v>110</v>
      </c>
      <c r="O754" t="s">
        <v>816</v>
      </c>
      <c r="P754" t="s">
        <v>550</v>
      </c>
      <c r="Q754">
        <v>2021</v>
      </c>
      <c r="R754" t="s">
        <v>594</v>
      </c>
      <c r="S754" t="s">
        <v>150</v>
      </c>
      <c r="T754" t="s">
        <v>553</v>
      </c>
      <c r="U754" t="b">
        <v>0</v>
      </c>
      <c r="V754" t="s">
        <v>595</v>
      </c>
      <c r="W754" t="s">
        <v>587</v>
      </c>
      <c r="X754" t="s">
        <v>556</v>
      </c>
      <c r="AC754">
        <v>1</v>
      </c>
      <c r="AD754" t="s">
        <v>564</v>
      </c>
      <c r="AE754">
        <v>6367.970875</v>
      </c>
      <c r="AF754">
        <v>2993.4</v>
      </c>
      <c r="AG754" t="s">
        <v>756</v>
      </c>
      <c r="AH754">
        <v>4.5359000000000003E-4</v>
      </c>
      <c r="AI754">
        <v>2.1273371000000001</v>
      </c>
      <c r="AJ754" t="s">
        <v>561</v>
      </c>
      <c r="AK754" t="s">
        <v>589</v>
      </c>
      <c r="AL754" t="s">
        <v>603</v>
      </c>
      <c r="AM754">
        <v>2021</v>
      </c>
      <c r="AN754">
        <v>2019</v>
      </c>
      <c r="AO754">
        <f>IF(AND(emissions[[#This Row],[Market-based]]=0,emissions[[#This Row],[Impact Type]]="CO2E"),emissions[[#This Row],[kgCO2e]],0)/1000</f>
        <v>0</v>
      </c>
      <c r="AP754">
        <f>IF(AND(emissions[[#This Row],[Market-based]]=1,OR(emissions[[#This Row],[Impact Type]]="CO2E",emissions[[#This Row],[Impact Type]]="CO2E MKT")),emissions[[#This Row],[kgCO2e]],0)/1000</f>
        <v>0</v>
      </c>
      <c r="AQ754" t="str">
        <f>_xlfn.TEXTAFTER(emissions[[#This Row],[Reporting Unit]]," &gt; ",LEN(emissions[[#This Row],[Reporting Unit]])-LEN(SUBSTITUTE(emissions[[#This Row],[Reporting Unit]],"&gt;","")))</f>
        <v>Vantage_Chicago</v>
      </c>
      <c r="AR754" t="str">
        <f>_xlfn.XLOOKUP(emissions[[#This Row],[Reporting unit name]],hierarchy!$A:$A,hierarchy!$C:$C)</f>
        <v>Labratory</v>
      </c>
    </row>
    <row r="755" spans="1:44" hidden="1" x14ac:dyDescent="0.25">
      <c r="A755">
        <v>1230941</v>
      </c>
      <c r="B755" t="s">
        <v>416</v>
      </c>
      <c r="C755" t="s">
        <v>475</v>
      </c>
      <c r="D755" t="s">
        <v>599</v>
      </c>
      <c r="E755" s="3">
        <v>44197</v>
      </c>
      <c r="F755" s="3">
        <v>44561</v>
      </c>
      <c r="G755" t="s">
        <v>121</v>
      </c>
      <c r="H755" s="3">
        <v>44197</v>
      </c>
      <c r="I755" s="3">
        <v>44561</v>
      </c>
      <c r="J755" t="s">
        <v>150</v>
      </c>
      <c r="K755">
        <v>4690</v>
      </c>
      <c r="L755" t="s">
        <v>215</v>
      </c>
      <c r="M755" t="s">
        <v>110</v>
      </c>
      <c r="O755" t="s">
        <v>816</v>
      </c>
      <c r="P755" t="s">
        <v>550</v>
      </c>
      <c r="Q755">
        <v>2021</v>
      </c>
      <c r="R755" t="s">
        <v>594</v>
      </c>
      <c r="S755" t="s">
        <v>150</v>
      </c>
      <c r="T755" t="s">
        <v>553</v>
      </c>
      <c r="U755" t="b">
        <v>0</v>
      </c>
      <c r="V755" t="s">
        <v>595</v>
      </c>
      <c r="W755" t="s">
        <v>587</v>
      </c>
      <c r="X755" t="s">
        <v>556</v>
      </c>
      <c r="AC755">
        <v>1</v>
      </c>
      <c r="AD755" t="s">
        <v>565</v>
      </c>
      <c r="AE755">
        <v>6376.8205969999999</v>
      </c>
      <c r="AF755">
        <v>2997.56</v>
      </c>
      <c r="AG755" t="s">
        <v>756</v>
      </c>
      <c r="AH755">
        <v>4.5359000000000003E-4</v>
      </c>
      <c r="AI755">
        <v>2.1273371000000001</v>
      </c>
      <c r="AJ755" t="s">
        <v>561</v>
      </c>
      <c r="AK755" t="s">
        <v>589</v>
      </c>
      <c r="AL755" t="s">
        <v>603</v>
      </c>
      <c r="AM755">
        <v>2021</v>
      </c>
      <c r="AN755">
        <v>2019</v>
      </c>
      <c r="AO755">
        <f>IF(AND(emissions[[#This Row],[Market-based]]=0,emissions[[#This Row],[Impact Type]]="CO2E"),emissions[[#This Row],[kgCO2e]],0)/1000</f>
        <v>0</v>
      </c>
      <c r="AP755">
        <f>IF(AND(emissions[[#This Row],[Market-based]]=1,OR(emissions[[#This Row],[Impact Type]]="CO2E",emissions[[#This Row],[Impact Type]]="CO2E MKT")),emissions[[#This Row],[kgCO2e]],0)/1000</f>
        <v>6.376820597</v>
      </c>
      <c r="AQ755" t="str">
        <f>_xlfn.TEXTAFTER(emissions[[#This Row],[Reporting Unit]]," &gt; ",LEN(emissions[[#This Row],[Reporting Unit]])-LEN(SUBSTITUTE(emissions[[#This Row],[Reporting Unit]],"&gt;","")))</f>
        <v>Vantage_Chicago</v>
      </c>
      <c r="AR755" t="str">
        <f>_xlfn.XLOOKUP(emissions[[#This Row],[Reporting unit name]],hierarchy!$A:$A,hierarchy!$C:$C)</f>
        <v>Labratory</v>
      </c>
    </row>
    <row r="756" spans="1:44" hidden="1" x14ac:dyDescent="0.25">
      <c r="A756">
        <v>1230941</v>
      </c>
      <c r="B756" t="s">
        <v>416</v>
      </c>
      <c r="C756" t="s">
        <v>475</v>
      </c>
      <c r="D756" t="s">
        <v>599</v>
      </c>
      <c r="E756" s="3">
        <v>44197</v>
      </c>
      <c r="F756" s="3">
        <v>44561</v>
      </c>
      <c r="G756" t="s">
        <v>121</v>
      </c>
      <c r="H756" s="3">
        <v>44197</v>
      </c>
      <c r="I756" s="3">
        <v>44561</v>
      </c>
      <c r="J756" t="s">
        <v>150</v>
      </c>
      <c r="K756">
        <v>4690</v>
      </c>
      <c r="L756" t="s">
        <v>215</v>
      </c>
      <c r="M756" t="s">
        <v>110</v>
      </c>
      <c r="O756" t="s">
        <v>816</v>
      </c>
      <c r="P756" t="s">
        <v>550</v>
      </c>
      <c r="Q756">
        <v>2021</v>
      </c>
      <c r="R756" t="s">
        <v>594</v>
      </c>
      <c r="S756" t="s">
        <v>150</v>
      </c>
      <c r="T756" t="s">
        <v>553</v>
      </c>
      <c r="U756" t="b">
        <v>0</v>
      </c>
      <c r="V756" t="s">
        <v>595</v>
      </c>
      <c r="W756" t="s">
        <v>587</v>
      </c>
      <c r="X756" t="s">
        <v>556</v>
      </c>
      <c r="AC756">
        <v>1</v>
      </c>
      <c r="AD756" t="s">
        <v>566</v>
      </c>
      <c r="AE756">
        <v>3.9355736349999999</v>
      </c>
      <c r="AF756">
        <v>1.85</v>
      </c>
      <c r="AG756" t="s">
        <v>756</v>
      </c>
      <c r="AH756">
        <v>4.5359000000000003E-4</v>
      </c>
      <c r="AI756">
        <v>2.1273371000000001</v>
      </c>
      <c r="AJ756" t="s">
        <v>561</v>
      </c>
      <c r="AK756" t="s">
        <v>589</v>
      </c>
      <c r="AL756" t="s">
        <v>603</v>
      </c>
      <c r="AM756">
        <v>2021</v>
      </c>
      <c r="AN756">
        <v>2019</v>
      </c>
      <c r="AO756">
        <f>IF(AND(emissions[[#This Row],[Market-based]]=0,emissions[[#This Row],[Impact Type]]="CO2E"),emissions[[#This Row],[kgCO2e]],0)/1000</f>
        <v>0</v>
      </c>
      <c r="AP756">
        <f>IF(AND(emissions[[#This Row],[Market-based]]=1,OR(emissions[[#This Row],[Impact Type]]="CO2E",emissions[[#This Row],[Impact Type]]="CO2E MKT")),emissions[[#This Row],[kgCO2e]],0)/1000</f>
        <v>0</v>
      </c>
      <c r="AQ756" t="str">
        <f>_xlfn.TEXTAFTER(emissions[[#This Row],[Reporting Unit]]," &gt; ",LEN(emissions[[#This Row],[Reporting Unit]])-LEN(SUBSTITUTE(emissions[[#This Row],[Reporting Unit]],"&gt;","")))</f>
        <v>Vantage_Chicago</v>
      </c>
      <c r="AR756" t="str">
        <f>_xlfn.XLOOKUP(emissions[[#This Row],[Reporting unit name]],hierarchy!$A:$A,hierarchy!$C:$C)</f>
        <v>Labratory</v>
      </c>
    </row>
    <row r="757" spans="1:44" hidden="1" x14ac:dyDescent="0.25">
      <c r="A757">
        <v>1230941</v>
      </c>
      <c r="B757" t="s">
        <v>416</v>
      </c>
      <c r="C757" t="s">
        <v>475</v>
      </c>
      <c r="D757" t="s">
        <v>599</v>
      </c>
      <c r="E757" s="3">
        <v>44197</v>
      </c>
      <c r="F757" s="3">
        <v>44561</v>
      </c>
      <c r="G757" t="s">
        <v>121</v>
      </c>
      <c r="H757" s="3">
        <v>44197</v>
      </c>
      <c r="I757" s="3">
        <v>44561</v>
      </c>
      <c r="J757" t="s">
        <v>150</v>
      </c>
      <c r="K757">
        <v>4690</v>
      </c>
      <c r="L757" t="s">
        <v>215</v>
      </c>
      <c r="M757" t="s">
        <v>110</v>
      </c>
      <c r="O757" t="s">
        <v>816</v>
      </c>
      <c r="P757" t="s">
        <v>550</v>
      </c>
      <c r="Q757">
        <v>2021</v>
      </c>
      <c r="R757" t="s">
        <v>596</v>
      </c>
      <c r="S757" t="s">
        <v>597</v>
      </c>
      <c r="T757" t="s">
        <v>577</v>
      </c>
      <c r="U757" t="b">
        <v>0</v>
      </c>
      <c r="V757" t="s">
        <v>795</v>
      </c>
      <c r="W757" t="s">
        <v>571</v>
      </c>
      <c r="X757" t="s">
        <v>572</v>
      </c>
      <c r="AC757">
        <v>0</v>
      </c>
      <c r="AD757" t="s">
        <v>565</v>
      </c>
      <c r="AE757">
        <v>745.53715720000002</v>
      </c>
      <c r="AF757">
        <v>350.45558</v>
      </c>
      <c r="AG757" t="s">
        <v>756</v>
      </c>
      <c r="AH757">
        <v>4.5359000000000003E-4</v>
      </c>
      <c r="AI757">
        <v>2.1273371000000001</v>
      </c>
      <c r="AJ757" t="s">
        <v>561</v>
      </c>
      <c r="AK757" t="s">
        <v>589</v>
      </c>
      <c r="AL757" t="s">
        <v>603</v>
      </c>
      <c r="AM757">
        <v>2021</v>
      </c>
      <c r="AN757">
        <v>2019</v>
      </c>
      <c r="AO757">
        <f>IF(AND(emissions[[#This Row],[Market-based]]=0,emissions[[#This Row],[Impact Type]]="CO2E"),emissions[[#This Row],[kgCO2e]],0)/1000</f>
        <v>0.74553715720000002</v>
      </c>
      <c r="AP757">
        <f>IF(AND(emissions[[#This Row],[Market-based]]=1,OR(emissions[[#This Row],[Impact Type]]="CO2E",emissions[[#This Row],[Impact Type]]="CO2E MKT")),emissions[[#This Row],[kgCO2e]],0)/1000</f>
        <v>0</v>
      </c>
      <c r="AQ757" t="str">
        <f>_xlfn.TEXTAFTER(emissions[[#This Row],[Reporting Unit]]," &gt; ",LEN(emissions[[#This Row],[Reporting Unit]])-LEN(SUBSTITUTE(emissions[[#This Row],[Reporting Unit]],"&gt;","")))</f>
        <v>Vantage_Chicago</v>
      </c>
      <c r="AR757" t="str">
        <f>_xlfn.XLOOKUP(emissions[[#This Row],[Reporting unit name]],hierarchy!$A:$A,hierarchy!$C:$C)</f>
        <v>Labratory</v>
      </c>
    </row>
    <row r="758" spans="1:44" hidden="1" x14ac:dyDescent="0.25">
      <c r="A758">
        <v>1230941</v>
      </c>
      <c r="B758" t="s">
        <v>416</v>
      </c>
      <c r="C758" t="s">
        <v>475</v>
      </c>
      <c r="D758" t="s">
        <v>599</v>
      </c>
      <c r="E758" s="3">
        <v>44197</v>
      </c>
      <c r="F758" s="3">
        <v>44561</v>
      </c>
      <c r="G758" t="s">
        <v>121</v>
      </c>
      <c r="H758" s="3">
        <v>44197</v>
      </c>
      <c r="I758" s="3">
        <v>44561</v>
      </c>
      <c r="J758" t="s">
        <v>150</v>
      </c>
      <c r="K758">
        <v>4690</v>
      </c>
      <c r="L758" t="s">
        <v>215</v>
      </c>
      <c r="M758" t="s">
        <v>110</v>
      </c>
      <c r="O758" t="s">
        <v>816</v>
      </c>
      <c r="P758" t="s">
        <v>550</v>
      </c>
      <c r="Q758">
        <v>2021</v>
      </c>
      <c r="R758" t="s">
        <v>596</v>
      </c>
      <c r="S758" t="s">
        <v>597</v>
      </c>
      <c r="T758" t="s">
        <v>577</v>
      </c>
      <c r="U758" t="b">
        <v>0</v>
      </c>
      <c r="V758" t="s">
        <v>795</v>
      </c>
      <c r="W758" t="s">
        <v>571</v>
      </c>
      <c r="X758" t="s">
        <v>572</v>
      </c>
      <c r="AC758">
        <v>1</v>
      </c>
      <c r="AD758" t="s">
        <v>565</v>
      </c>
      <c r="AE758">
        <v>745.53715720000002</v>
      </c>
      <c r="AF758">
        <v>350.45558</v>
      </c>
      <c r="AG758" t="s">
        <v>756</v>
      </c>
      <c r="AH758">
        <v>4.5359000000000003E-4</v>
      </c>
      <c r="AI758">
        <v>2.1273371000000001</v>
      </c>
      <c r="AJ758" t="s">
        <v>561</v>
      </c>
      <c r="AK758" t="s">
        <v>589</v>
      </c>
      <c r="AL758" t="s">
        <v>603</v>
      </c>
      <c r="AM758">
        <v>2021</v>
      </c>
      <c r="AN758">
        <v>2019</v>
      </c>
      <c r="AO758">
        <f>IF(AND(emissions[[#This Row],[Market-based]]=0,emissions[[#This Row],[Impact Type]]="CO2E"),emissions[[#This Row],[kgCO2e]],0)/1000</f>
        <v>0</v>
      </c>
      <c r="AP758">
        <f>IF(AND(emissions[[#This Row],[Market-based]]=1,OR(emissions[[#This Row],[Impact Type]]="CO2E",emissions[[#This Row],[Impact Type]]="CO2E MKT")),emissions[[#This Row],[kgCO2e]],0)/1000</f>
        <v>0.74553715720000002</v>
      </c>
      <c r="AQ758" t="str">
        <f>_xlfn.TEXTAFTER(emissions[[#This Row],[Reporting Unit]]," &gt; ",LEN(emissions[[#This Row],[Reporting Unit]])-LEN(SUBSTITUTE(emissions[[#This Row],[Reporting Unit]],"&gt;","")))</f>
        <v>Vantage_Chicago</v>
      </c>
      <c r="AR758" t="str">
        <f>_xlfn.XLOOKUP(emissions[[#This Row],[Reporting unit name]],hierarchy!$A:$A,hierarchy!$C:$C)</f>
        <v>Labratory</v>
      </c>
    </row>
    <row r="759" spans="1:44" hidden="1" x14ac:dyDescent="0.25">
      <c r="A759">
        <v>1590445</v>
      </c>
      <c r="B759" t="s">
        <v>410</v>
      </c>
      <c r="C759" t="s">
        <v>525</v>
      </c>
      <c r="D759" t="s">
        <v>548</v>
      </c>
      <c r="E759" s="3">
        <v>44562</v>
      </c>
      <c r="F759" s="3">
        <v>44926</v>
      </c>
      <c r="G759" t="s">
        <v>108</v>
      </c>
      <c r="H759" s="3">
        <v>44562</v>
      </c>
      <c r="I759" s="3">
        <v>44926</v>
      </c>
      <c r="J759" t="s">
        <v>108</v>
      </c>
      <c r="K759">
        <v>162.785043</v>
      </c>
      <c r="L759" t="s">
        <v>109</v>
      </c>
      <c r="M759" t="s">
        <v>82</v>
      </c>
      <c r="N759" t="s">
        <v>137</v>
      </c>
      <c r="O759" t="s">
        <v>631</v>
      </c>
      <c r="P759" t="s">
        <v>631</v>
      </c>
      <c r="Q759">
        <v>2022</v>
      </c>
      <c r="R759" t="s">
        <v>551</v>
      </c>
      <c r="S759" t="s">
        <v>552</v>
      </c>
      <c r="T759" t="s">
        <v>553</v>
      </c>
      <c r="U759" t="b">
        <v>0</v>
      </c>
      <c r="V759" t="s">
        <v>817</v>
      </c>
      <c r="W759" t="s">
        <v>555</v>
      </c>
      <c r="X759" t="s">
        <v>556</v>
      </c>
      <c r="Y759" t="s">
        <v>472</v>
      </c>
      <c r="Z759" t="s">
        <v>491</v>
      </c>
      <c r="AA759" t="s">
        <v>818</v>
      </c>
      <c r="AC759">
        <v>0</v>
      </c>
      <c r="AD759" t="s">
        <v>558</v>
      </c>
      <c r="AE759">
        <v>0</v>
      </c>
      <c r="AF759" t="s">
        <v>559</v>
      </c>
      <c r="AG759" t="s">
        <v>560</v>
      </c>
      <c r="AH759">
        <v>1</v>
      </c>
      <c r="AI759">
        <v>162.785043</v>
      </c>
      <c r="AJ759" t="s">
        <v>561</v>
      </c>
      <c r="AK759" t="s">
        <v>562</v>
      </c>
      <c r="AL759" t="s">
        <v>563</v>
      </c>
      <c r="AM759">
        <v>2022</v>
      </c>
      <c r="AN759">
        <v>2020</v>
      </c>
      <c r="AO759">
        <f>IF(AND(emissions[[#This Row],[Market-based]]=0,emissions[[#This Row],[Impact Type]]="CO2E"),emissions[[#This Row],[kgCO2e]],0)/1000</f>
        <v>0</v>
      </c>
      <c r="AP759">
        <f>IF(AND(emissions[[#This Row],[Market-based]]=1,OR(emissions[[#This Row],[Impact Type]]="CO2E",emissions[[#This Row],[Impact Type]]="CO2E MKT")),emissions[[#This Row],[kgCO2e]],0)/1000</f>
        <v>0</v>
      </c>
      <c r="AQ759" t="str">
        <f>_xlfn.TEXTAFTER(emissions[[#This Row],[Reporting Unit]]," &gt; ",LEN(emissions[[#This Row],[Reporting Unit]])-LEN(SUBSTITUTE(emissions[[#This Row],[Reporting Unit]],"&gt;","")))</f>
        <v>Vantage_Costa_Rica</v>
      </c>
      <c r="AR759" t="str">
        <f>_xlfn.XLOOKUP(emissions[[#This Row],[Reporting unit name]],hierarchy!$A:$A,hierarchy!$C:$C)</f>
        <v>Unspecified Facility Type</v>
      </c>
    </row>
    <row r="760" spans="1:44" hidden="1" x14ac:dyDescent="0.25">
      <c r="A760">
        <v>1590445</v>
      </c>
      <c r="B760" t="s">
        <v>410</v>
      </c>
      <c r="C760" t="s">
        <v>525</v>
      </c>
      <c r="D760" t="s">
        <v>548</v>
      </c>
      <c r="E760" s="3">
        <v>44562</v>
      </c>
      <c r="F760" s="3">
        <v>44926</v>
      </c>
      <c r="G760" t="s">
        <v>108</v>
      </c>
      <c r="H760" s="3">
        <v>44562</v>
      </c>
      <c r="I760" s="3">
        <v>44926</v>
      </c>
      <c r="J760" t="s">
        <v>108</v>
      </c>
      <c r="K760">
        <v>162.785043</v>
      </c>
      <c r="L760" t="s">
        <v>109</v>
      </c>
      <c r="M760" t="s">
        <v>82</v>
      </c>
      <c r="N760" t="s">
        <v>137</v>
      </c>
      <c r="O760" t="s">
        <v>631</v>
      </c>
      <c r="P760" t="s">
        <v>631</v>
      </c>
      <c r="Q760">
        <v>2022</v>
      </c>
      <c r="R760" t="s">
        <v>551</v>
      </c>
      <c r="S760" t="s">
        <v>552</v>
      </c>
      <c r="T760" t="s">
        <v>553</v>
      </c>
      <c r="U760" t="b">
        <v>0</v>
      </c>
      <c r="V760" t="s">
        <v>817</v>
      </c>
      <c r="W760" t="s">
        <v>555</v>
      </c>
      <c r="X760" t="s">
        <v>556</v>
      </c>
      <c r="Y760" t="s">
        <v>472</v>
      </c>
      <c r="Z760" t="s">
        <v>491</v>
      </c>
      <c r="AA760" t="s">
        <v>818</v>
      </c>
      <c r="AC760">
        <v>0</v>
      </c>
      <c r="AD760" t="s">
        <v>564</v>
      </c>
      <c r="AE760">
        <v>0.29301307700000001</v>
      </c>
      <c r="AF760" t="s">
        <v>559</v>
      </c>
      <c r="AG760" t="s">
        <v>560</v>
      </c>
      <c r="AH760">
        <v>1</v>
      </c>
      <c r="AI760">
        <v>162.785043</v>
      </c>
      <c r="AJ760" t="s">
        <v>561</v>
      </c>
      <c r="AK760" t="s">
        <v>562</v>
      </c>
      <c r="AL760" t="s">
        <v>563</v>
      </c>
      <c r="AM760">
        <v>2022</v>
      </c>
      <c r="AN760">
        <v>2020</v>
      </c>
      <c r="AO760">
        <f>IF(AND(emissions[[#This Row],[Market-based]]=0,emissions[[#This Row],[Impact Type]]="CO2E"),emissions[[#This Row],[kgCO2e]],0)/1000</f>
        <v>0</v>
      </c>
      <c r="AP760">
        <f>IF(AND(emissions[[#This Row],[Market-based]]=1,OR(emissions[[#This Row],[Impact Type]]="CO2E",emissions[[#This Row],[Impact Type]]="CO2E MKT")),emissions[[#This Row],[kgCO2e]],0)/1000</f>
        <v>0</v>
      </c>
      <c r="AQ760" t="str">
        <f>_xlfn.TEXTAFTER(emissions[[#This Row],[Reporting Unit]]," &gt; ",LEN(emissions[[#This Row],[Reporting Unit]])-LEN(SUBSTITUTE(emissions[[#This Row],[Reporting Unit]],"&gt;","")))</f>
        <v>Vantage_Costa_Rica</v>
      </c>
      <c r="AR760" t="str">
        <f>_xlfn.XLOOKUP(emissions[[#This Row],[Reporting unit name]],hierarchy!$A:$A,hierarchy!$C:$C)</f>
        <v>Unspecified Facility Type</v>
      </c>
    </row>
    <row r="761" spans="1:44" hidden="1" x14ac:dyDescent="0.25">
      <c r="A761">
        <v>1590445</v>
      </c>
      <c r="B761" t="s">
        <v>410</v>
      </c>
      <c r="C761" t="s">
        <v>525</v>
      </c>
      <c r="D761" t="s">
        <v>548</v>
      </c>
      <c r="E761" s="3">
        <v>44562</v>
      </c>
      <c r="F761" s="3">
        <v>44926</v>
      </c>
      <c r="G761" t="s">
        <v>108</v>
      </c>
      <c r="H761" s="3">
        <v>44562</v>
      </c>
      <c r="I761" s="3">
        <v>44926</v>
      </c>
      <c r="J761" t="s">
        <v>108</v>
      </c>
      <c r="K761">
        <v>162.785043</v>
      </c>
      <c r="L761" t="s">
        <v>109</v>
      </c>
      <c r="M761" t="s">
        <v>82</v>
      </c>
      <c r="N761" t="s">
        <v>137</v>
      </c>
      <c r="O761" t="s">
        <v>631</v>
      </c>
      <c r="P761" t="s">
        <v>631</v>
      </c>
      <c r="Q761">
        <v>2022</v>
      </c>
      <c r="R761" t="s">
        <v>551</v>
      </c>
      <c r="S761" t="s">
        <v>552</v>
      </c>
      <c r="T761" t="s">
        <v>553</v>
      </c>
      <c r="U761" t="b">
        <v>0</v>
      </c>
      <c r="V761" t="s">
        <v>817</v>
      </c>
      <c r="W761" t="s">
        <v>555</v>
      </c>
      <c r="X761" t="s">
        <v>556</v>
      </c>
      <c r="Y761" t="s">
        <v>472</v>
      </c>
      <c r="Z761" t="s">
        <v>491</v>
      </c>
      <c r="AA761" t="s">
        <v>818</v>
      </c>
      <c r="AC761">
        <v>0</v>
      </c>
      <c r="AD761" t="s">
        <v>565</v>
      </c>
      <c r="AE761">
        <v>0.29301307700000001</v>
      </c>
      <c r="AF761" t="s">
        <v>559</v>
      </c>
      <c r="AG761" t="s">
        <v>560</v>
      </c>
      <c r="AH761">
        <v>1</v>
      </c>
      <c r="AI761">
        <v>162.785043</v>
      </c>
      <c r="AJ761" t="s">
        <v>561</v>
      </c>
      <c r="AK761" t="s">
        <v>562</v>
      </c>
      <c r="AL761" t="s">
        <v>563</v>
      </c>
      <c r="AM761">
        <v>2022</v>
      </c>
      <c r="AN761">
        <v>2020</v>
      </c>
      <c r="AO761">
        <f>IF(AND(emissions[[#This Row],[Market-based]]=0,emissions[[#This Row],[Impact Type]]="CO2E"),emissions[[#This Row],[kgCO2e]],0)/1000</f>
        <v>2.9301307700000003E-4</v>
      </c>
      <c r="AP761">
        <f>IF(AND(emissions[[#This Row],[Market-based]]=1,OR(emissions[[#This Row],[Impact Type]]="CO2E",emissions[[#This Row],[Impact Type]]="CO2E MKT")),emissions[[#This Row],[kgCO2e]],0)/1000</f>
        <v>0</v>
      </c>
      <c r="AQ761" t="str">
        <f>_xlfn.TEXTAFTER(emissions[[#This Row],[Reporting Unit]]," &gt; ",LEN(emissions[[#This Row],[Reporting Unit]])-LEN(SUBSTITUTE(emissions[[#This Row],[Reporting Unit]],"&gt;","")))</f>
        <v>Vantage_Costa_Rica</v>
      </c>
      <c r="AR761" t="str">
        <f>_xlfn.XLOOKUP(emissions[[#This Row],[Reporting unit name]],hierarchy!$A:$A,hierarchy!$C:$C)</f>
        <v>Unspecified Facility Type</v>
      </c>
    </row>
    <row r="762" spans="1:44" hidden="1" x14ac:dyDescent="0.25">
      <c r="A762">
        <v>1590445</v>
      </c>
      <c r="B762" t="s">
        <v>410</v>
      </c>
      <c r="C762" t="s">
        <v>525</v>
      </c>
      <c r="D762" t="s">
        <v>548</v>
      </c>
      <c r="E762" s="3">
        <v>44562</v>
      </c>
      <c r="F762" s="3">
        <v>44926</v>
      </c>
      <c r="G762" t="s">
        <v>108</v>
      </c>
      <c r="H762" s="3">
        <v>44562</v>
      </c>
      <c r="I762" s="3">
        <v>44926</v>
      </c>
      <c r="J762" t="s">
        <v>108</v>
      </c>
      <c r="K762">
        <v>162.785043</v>
      </c>
      <c r="L762" t="s">
        <v>109</v>
      </c>
      <c r="M762" t="s">
        <v>82</v>
      </c>
      <c r="N762" t="s">
        <v>137</v>
      </c>
      <c r="O762" t="s">
        <v>631</v>
      </c>
      <c r="P762" t="s">
        <v>631</v>
      </c>
      <c r="Q762">
        <v>2022</v>
      </c>
      <c r="R762" t="s">
        <v>551</v>
      </c>
      <c r="S762" t="s">
        <v>552</v>
      </c>
      <c r="T762" t="s">
        <v>553</v>
      </c>
      <c r="U762" t="b">
        <v>0</v>
      </c>
      <c r="V762" t="s">
        <v>817</v>
      </c>
      <c r="W762" t="s">
        <v>555</v>
      </c>
      <c r="X762" t="s">
        <v>556</v>
      </c>
      <c r="Y762" t="s">
        <v>472</v>
      </c>
      <c r="Z762" t="s">
        <v>491</v>
      </c>
      <c r="AA762" t="s">
        <v>818</v>
      </c>
      <c r="AC762">
        <v>0</v>
      </c>
      <c r="AD762" t="s">
        <v>566</v>
      </c>
      <c r="AE762">
        <v>0</v>
      </c>
      <c r="AF762" t="s">
        <v>559</v>
      </c>
      <c r="AG762" t="s">
        <v>560</v>
      </c>
      <c r="AH762">
        <v>1</v>
      </c>
      <c r="AI762">
        <v>162.785043</v>
      </c>
      <c r="AJ762" t="s">
        <v>561</v>
      </c>
      <c r="AK762" t="s">
        <v>562</v>
      </c>
      <c r="AL762" t="s">
        <v>563</v>
      </c>
      <c r="AM762">
        <v>2022</v>
      </c>
      <c r="AN762">
        <v>2020</v>
      </c>
      <c r="AO762">
        <f>IF(AND(emissions[[#This Row],[Market-based]]=0,emissions[[#This Row],[Impact Type]]="CO2E"),emissions[[#This Row],[kgCO2e]],0)/1000</f>
        <v>0</v>
      </c>
      <c r="AP762">
        <f>IF(AND(emissions[[#This Row],[Market-based]]=1,OR(emissions[[#This Row],[Impact Type]]="CO2E",emissions[[#This Row],[Impact Type]]="CO2E MKT")),emissions[[#This Row],[kgCO2e]],0)/1000</f>
        <v>0</v>
      </c>
      <c r="AQ762" t="str">
        <f>_xlfn.TEXTAFTER(emissions[[#This Row],[Reporting Unit]]," &gt; ",LEN(emissions[[#This Row],[Reporting Unit]])-LEN(SUBSTITUTE(emissions[[#This Row],[Reporting Unit]],"&gt;","")))</f>
        <v>Vantage_Costa_Rica</v>
      </c>
      <c r="AR762" t="str">
        <f>_xlfn.XLOOKUP(emissions[[#This Row],[Reporting unit name]],hierarchy!$A:$A,hierarchy!$C:$C)</f>
        <v>Unspecified Facility Type</v>
      </c>
    </row>
    <row r="763" spans="1:44" hidden="1" x14ac:dyDescent="0.25">
      <c r="A763">
        <v>1590445</v>
      </c>
      <c r="B763" t="s">
        <v>410</v>
      </c>
      <c r="C763" t="s">
        <v>525</v>
      </c>
      <c r="D763" t="s">
        <v>548</v>
      </c>
      <c r="E763" s="3">
        <v>44562</v>
      </c>
      <c r="F763" s="3">
        <v>44926</v>
      </c>
      <c r="G763" t="s">
        <v>108</v>
      </c>
      <c r="H763" s="3">
        <v>44562</v>
      </c>
      <c r="I763" s="3">
        <v>44926</v>
      </c>
      <c r="J763" t="s">
        <v>108</v>
      </c>
      <c r="K763">
        <v>162.785043</v>
      </c>
      <c r="L763" t="s">
        <v>109</v>
      </c>
      <c r="M763" t="s">
        <v>82</v>
      </c>
      <c r="N763" t="s">
        <v>137</v>
      </c>
      <c r="O763" t="s">
        <v>631</v>
      </c>
      <c r="P763" t="s">
        <v>631</v>
      </c>
      <c r="Q763">
        <v>2022</v>
      </c>
      <c r="R763" t="s">
        <v>551</v>
      </c>
      <c r="S763" t="s">
        <v>552</v>
      </c>
      <c r="T763" t="s">
        <v>553</v>
      </c>
      <c r="U763" t="b">
        <v>0</v>
      </c>
      <c r="V763" t="s">
        <v>817</v>
      </c>
      <c r="W763" t="s">
        <v>555</v>
      </c>
      <c r="X763" t="s">
        <v>556</v>
      </c>
      <c r="Y763" t="s">
        <v>472</v>
      </c>
      <c r="Z763" t="s">
        <v>491</v>
      </c>
      <c r="AA763" t="s">
        <v>818</v>
      </c>
      <c r="AC763">
        <v>1</v>
      </c>
      <c r="AD763" t="s">
        <v>558</v>
      </c>
      <c r="AE763">
        <v>0</v>
      </c>
      <c r="AF763" t="s">
        <v>559</v>
      </c>
      <c r="AG763" t="s">
        <v>560</v>
      </c>
      <c r="AH763">
        <v>1</v>
      </c>
      <c r="AI763">
        <v>162.785043</v>
      </c>
      <c r="AJ763" t="s">
        <v>561</v>
      </c>
      <c r="AK763" t="s">
        <v>562</v>
      </c>
      <c r="AL763" t="s">
        <v>563</v>
      </c>
      <c r="AM763">
        <v>2022</v>
      </c>
      <c r="AN763">
        <v>2020</v>
      </c>
      <c r="AO763">
        <f>IF(AND(emissions[[#This Row],[Market-based]]=0,emissions[[#This Row],[Impact Type]]="CO2E"),emissions[[#This Row],[kgCO2e]],0)/1000</f>
        <v>0</v>
      </c>
      <c r="AP763">
        <f>IF(AND(emissions[[#This Row],[Market-based]]=1,OR(emissions[[#This Row],[Impact Type]]="CO2E",emissions[[#This Row],[Impact Type]]="CO2E MKT")),emissions[[#This Row],[kgCO2e]],0)/1000</f>
        <v>0</v>
      </c>
      <c r="AQ763" t="str">
        <f>_xlfn.TEXTAFTER(emissions[[#This Row],[Reporting Unit]]," &gt; ",LEN(emissions[[#This Row],[Reporting Unit]])-LEN(SUBSTITUTE(emissions[[#This Row],[Reporting Unit]],"&gt;","")))</f>
        <v>Vantage_Costa_Rica</v>
      </c>
      <c r="AR763" t="str">
        <f>_xlfn.XLOOKUP(emissions[[#This Row],[Reporting unit name]],hierarchy!$A:$A,hierarchy!$C:$C)</f>
        <v>Unspecified Facility Type</v>
      </c>
    </row>
    <row r="764" spans="1:44" hidden="1" x14ac:dyDescent="0.25">
      <c r="A764">
        <v>1590445</v>
      </c>
      <c r="B764" t="s">
        <v>410</v>
      </c>
      <c r="C764" t="s">
        <v>525</v>
      </c>
      <c r="D764" t="s">
        <v>548</v>
      </c>
      <c r="E764" s="3">
        <v>44562</v>
      </c>
      <c r="F764" s="3">
        <v>44926</v>
      </c>
      <c r="G764" t="s">
        <v>108</v>
      </c>
      <c r="H764" s="3">
        <v>44562</v>
      </c>
      <c r="I764" s="3">
        <v>44926</v>
      </c>
      <c r="J764" t="s">
        <v>108</v>
      </c>
      <c r="K764">
        <v>162.785043</v>
      </c>
      <c r="L764" t="s">
        <v>109</v>
      </c>
      <c r="M764" t="s">
        <v>82</v>
      </c>
      <c r="N764" t="s">
        <v>137</v>
      </c>
      <c r="O764" t="s">
        <v>631</v>
      </c>
      <c r="P764" t="s">
        <v>631</v>
      </c>
      <c r="Q764">
        <v>2022</v>
      </c>
      <c r="R764" t="s">
        <v>551</v>
      </c>
      <c r="S764" t="s">
        <v>552</v>
      </c>
      <c r="T764" t="s">
        <v>553</v>
      </c>
      <c r="U764" t="b">
        <v>0</v>
      </c>
      <c r="V764" t="s">
        <v>817</v>
      </c>
      <c r="W764" t="s">
        <v>555</v>
      </c>
      <c r="X764" t="s">
        <v>556</v>
      </c>
      <c r="Y764" t="s">
        <v>472</v>
      </c>
      <c r="Z764" t="s">
        <v>491</v>
      </c>
      <c r="AA764" t="s">
        <v>818</v>
      </c>
      <c r="AC764">
        <v>1</v>
      </c>
      <c r="AD764" t="s">
        <v>564</v>
      </c>
      <c r="AE764">
        <v>0.29301307700000001</v>
      </c>
      <c r="AF764" t="s">
        <v>559</v>
      </c>
      <c r="AG764" t="s">
        <v>560</v>
      </c>
      <c r="AH764">
        <v>1</v>
      </c>
      <c r="AI764">
        <v>162.785043</v>
      </c>
      <c r="AJ764" t="s">
        <v>561</v>
      </c>
      <c r="AK764" t="s">
        <v>562</v>
      </c>
      <c r="AL764" t="s">
        <v>563</v>
      </c>
      <c r="AM764">
        <v>2022</v>
      </c>
      <c r="AN764">
        <v>2020</v>
      </c>
      <c r="AO764">
        <f>IF(AND(emissions[[#This Row],[Market-based]]=0,emissions[[#This Row],[Impact Type]]="CO2E"),emissions[[#This Row],[kgCO2e]],0)/1000</f>
        <v>0</v>
      </c>
      <c r="AP764">
        <f>IF(AND(emissions[[#This Row],[Market-based]]=1,OR(emissions[[#This Row],[Impact Type]]="CO2E",emissions[[#This Row],[Impact Type]]="CO2E MKT")),emissions[[#This Row],[kgCO2e]],0)/1000</f>
        <v>0</v>
      </c>
      <c r="AQ764" t="str">
        <f>_xlfn.TEXTAFTER(emissions[[#This Row],[Reporting Unit]]," &gt; ",LEN(emissions[[#This Row],[Reporting Unit]])-LEN(SUBSTITUTE(emissions[[#This Row],[Reporting Unit]],"&gt;","")))</f>
        <v>Vantage_Costa_Rica</v>
      </c>
      <c r="AR764" t="str">
        <f>_xlfn.XLOOKUP(emissions[[#This Row],[Reporting unit name]],hierarchy!$A:$A,hierarchy!$C:$C)</f>
        <v>Unspecified Facility Type</v>
      </c>
    </row>
    <row r="765" spans="1:44" hidden="1" x14ac:dyDescent="0.25">
      <c r="A765">
        <v>1590445</v>
      </c>
      <c r="B765" t="s">
        <v>410</v>
      </c>
      <c r="C765" t="s">
        <v>525</v>
      </c>
      <c r="D765" t="s">
        <v>548</v>
      </c>
      <c r="E765" s="3">
        <v>44562</v>
      </c>
      <c r="F765" s="3">
        <v>44926</v>
      </c>
      <c r="G765" t="s">
        <v>108</v>
      </c>
      <c r="H765" s="3">
        <v>44562</v>
      </c>
      <c r="I765" s="3">
        <v>44926</v>
      </c>
      <c r="J765" t="s">
        <v>108</v>
      </c>
      <c r="K765">
        <v>162.785043</v>
      </c>
      <c r="L765" t="s">
        <v>109</v>
      </c>
      <c r="M765" t="s">
        <v>82</v>
      </c>
      <c r="N765" t="s">
        <v>137</v>
      </c>
      <c r="O765" t="s">
        <v>631</v>
      </c>
      <c r="P765" t="s">
        <v>631</v>
      </c>
      <c r="Q765">
        <v>2022</v>
      </c>
      <c r="R765" t="s">
        <v>551</v>
      </c>
      <c r="S765" t="s">
        <v>552</v>
      </c>
      <c r="T765" t="s">
        <v>553</v>
      </c>
      <c r="U765" t="b">
        <v>0</v>
      </c>
      <c r="V765" t="s">
        <v>817</v>
      </c>
      <c r="W765" t="s">
        <v>555</v>
      </c>
      <c r="X765" t="s">
        <v>556</v>
      </c>
      <c r="Y765" t="s">
        <v>472</v>
      </c>
      <c r="Z765" t="s">
        <v>491</v>
      </c>
      <c r="AA765" t="s">
        <v>818</v>
      </c>
      <c r="AC765">
        <v>1</v>
      </c>
      <c r="AD765" t="s">
        <v>565</v>
      </c>
      <c r="AE765">
        <v>0.29301307700000001</v>
      </c>
      <c r="AF765" t="s">
        <v>559</v>
      </c>
      <c r="AG765" t="s">
        <v>560</v>
      </c>
      <c r="AH765">
        <v>1</v>
      </c>
      <c r="AI765">
        <v>162.785043</v>
      </c>
      <c r="AJ765" t="s">
        <v>561</v>
      </c>
      <c r="AK765" t="s">
        <v>562</v>
      </c>
      <c r="AL765" t="s">
        <v>563</v>
      </c>
      <c r="AM765">
        <v>2022</v>
      </c>
      <c r="AN765">
        <v>2020</v>
      </c>
      <c r="AO765">
        <f>IF(AND(emissions[[#This Row],[Market-based]]=0,emissions[[#This Row],[Impact Type]]="CO2E"),emissions[[#This Row],[kgCO2e]],0)/1000</f>
        <v>0</v>
      </c>
      <c r="AP765">
        <f>IF(AND(emissions[[#This Row],[Market-based]]=1,OR(emissions[[#This Row],[Impact Type]]="CO2E",emissions[[#This Row],[Impact Type]]="CO2E MKT")),emissions[[#This Row],[kgCO2e]],0)/1000</f>
        <v>2.9301307700000003E-4</v>
      </c>
      <c r="AQ765" t="str">
        <f>_xlfn.TEXTAFTER(emissions[[#This Row],[Reporting Unit]]," &gt; ",LEN(emissions[[#This Row],[Reporting Unit]])-LEN(SUBSTITUTE(emissions[[#This Row],[Reporting Unit]],"&gt;","")))</f>
        <v>Vantage_Costa_Rica</v>
      </c>
      <c r="AR765" t="str">
        <f>_xlfn.XLOOKUP(emissions[[#This Row],[Reporting unit name]],hierarchy!$A:$A,hierarchy!$C:$C)</f>
        <v>Unspecified Facility Type</v>
      </c>
    </row>
    <row r="766" spans="1:44" hidden="1" x14ac:dyDescent="0.25">
      <c r="A766">
        <v>1590445</v>
      </c>
      <c r="B766" t="s">
        <v>410</v>
      </c>
      <c r="C766" t="s">
        <v>525</v>
      </c>
      <c r="D766" t="s">
        <v>548</v>
      </c>
      <c r="E766" s="3">
        <v>44562</v>
      </c>
      <c r="F766" s="3">
        <v>44926</v>
      </c>
      <c r="G766" t="s">
        <v>108</v>
      </c>
      <c r="H766" s="3">
        <v>44562</v>
      </c>
      <c r="I766" s="3">
        <v>44926</v>
      </c>
      <c r="J766" t="s">
        <v>108</v>
      </c>
      <c r="K766">
        <v>162.785043</v>
      </c>
      <c r="L766" t="s">
        <v>109</v>
      </c>
      <c r="M766" t="s">
        <v>82</v>
      </c>
      <c r="N766" t="s">
        <v>137</v>
      </c>
      <c r="O766" t="s">
        <v>631</v>
      </c>
      <c r="P766" t="s">
        <v>631</v>
      </c>
      <c r="Q766">
        <v>2022</v>
      </c>
      <c r="R766" t="s">
        <v>551</v>
      </c>
      <c r="S766" t="s">
        <v>552</v>
      </c>
      <c r="T766" t="s">
        <v>553</v>
      </c>
      <c r="U766" t="b">
        <v>0</v>
      </c>
      <c r="V766" t="s">
        <v>817</v>
      </c>
      <c r="W766" t="s">
        <v>555</v>
      </c>
      <c r="X766" t="s">
        <v>556</v>
      </c>
      <c r="Y766" t="s">
        <v>472</v>
      </c>
      <c r="Z766" t="s">
        <v>491</v>
      </c>
      <c r="AA766" t="s">
        <v>818</v>
      </c>
      <c r="AC766">
        <v>1</v>
      </c>
      <c r="AD766" t="s">
        <v>566</v>
      </c>
      <c r="AE766">
        <v>0</v>
      </c>
      <c r="AF766" t="s">
        <v>559</v>
      </c>
      <c r="AG766" t="s">
        <v>560</v>
      </c>
      <c r="AH766">
        <v>1</v>
      </c>
      <c r="AI766">
        <v>162.785043</v>
      </c>
      <c r="AJ766" t="s">
        <v>561</v>
      </c>
      <c r="AK766" t="s">
        <v>562</v>
      </c>
      <c r="AL766" t="s">
        <v>563</v>
      </c>
      <c r="AM766">
        <v>2022</v>
      </c>
      <c r="AN766">
        <v>2020</v>
      </c>
      <c r="AO766">
        <f>IF(AND(emissions[[#This Row],[Market-based]]=0,emissions[[#This Row],[Impact Type]]="CO2E"),emissions[[#This Row],[kgCO2e]],0)/1000</f>
        <v>0</v>
      </c>
      <c r="AP766">
        <f>IF(AND(emissions[[#This Row],[Market-based]]=1,OR(emissions[[#This Row],[Impact Type]]="CO2E",emissions[[#This Row],[Impact Type]]="CO2E MKT")),emissions[[#This Row],[kgCO2e]],0)/1000</f>
        <v>0</v>
      </c>
      <c r="AQ766" t="str">
        <f>_xlfn.TEXTAFTER(emissions[[#This Row],[Reporting Unit]]," &gt; ",LEN(emissions[[#This Row],[Reporting Unit]])-LEN(SUBSTITUTE(emissions[[#This Row],[Reporting Unit]],"&gt;","")))</f>
        <v>Vantage_Costa_Rica</v>
      </c>
      <c r="AR766" t="str">
        <f>_xlfn.XLOOKUP(emissions[[#This Row],[Reporting unit name]],hierarchy!$A:$A,hierarchy!$C:$C)</f>
        <v>Unspecified Facility Type</v>
      </c>
    </row>
    <row r="767" spans="1:44" hidden="1" x14ac:dyDescent="0.25">
      <c r="A767">
        <v>1590445</v>
      </c>
      <c r="B767" t="s">
        <v>410</v>
      </c>
      <c r="C767" t="s">
        <v>525</v>
      </c>
      <c r="D767" t="s">
        <v>548</v>
      </c>
      <c r="E767" s="3">
        <v>44562</v>
      </c>
      <c r="F767" s="3">
        <v>44926</v>
      </c>
      <c r="G767" t="s">
        <v>108</v>
      </c>
      <c r="H767" s="3">
        <v>44562</v>
      </c>
      <c r="I767" s="3">
        <v>44926</v>
      </c>
      <c r="J767" t="s">
        <v>108</v>
      </c>
      <c r="K767">
        <v>162.785043</v>
      </c>
      <c r="L767" t="s">
        <v>109</v>
      </c>
      <c r="M767" t="s">
        <v>82</v>
      </c>
      <c r="N767" t="s">
        <v>137</v>
      </c>
      <c r="O767" t="s">
        <v>631</v>
      </c>
      <c r="P767" t="s">
        <v>631</v>
      </c>
      <c r="Q767">
        <v>2022</v>
      </c>
      <c r="R767" t="s">
        <v>567</v>
      </c>
      <c r="S767" t="s">
        <v>568</v>
      </c>
      <c r="T767" t="s">
        <v>569</v>
      </c>
      <c r="U767" t="b">
        <v>0</v>
      </c>
      <c r="V767" t="s">
        <v>819</v>
      </c>
      <c r="W767" t="s">
        <v>571</v>
      </c>
      <c r="X767" t="s">
        <v>572</v>
      </c>
      <c r="Y767" t="s">
        <v>472</v>
      </c>
      <c r="Z767" t="s">
        <v>491</v>
      </c>
      <c r="AA767" t="s">
        <v>818</v>
      </c>
      <c r="AC767">
        <v>0</v>
      </c>
      <c r="AD767" t="s">
        <v>565</v>
      </c>
      <c r="AE767">
        <v>6.8967450000000001E-3</v>
      </c>
      <c r="AF767" s="13">
        <v>4.2367200000000003E-5</v>
      </c>
      <c r="AG767" t="s">
        <v>560</v>
      </c>
      <c r="AH767">
        <v>1</v>
      </c>
      <c r="AI767">
        <v>162.785043</v>
      </c>
      <c r="AJ767" t="s">
        <v>561</v>
      </c>
      <c r="AK767" t="s">
        <v>573</v>
      </c>
      <c r="AL767" t="s">
        <v>574</v>
      </c>
      <c r="AM767">
        <v>2022</v>
      </c>
      <c r="AN767">
        <v>2020</v>
      </c>
      <c r="AO767">
        <f>IF(AND(emissions[[#This Row],[Market-based]]=0,emissions[[#This Row],[Impact Type]]="CO2E"),emissions[[#This Row],[kgCO2e]],0)/1000</f>
        <v>6.8967450000000002E-6</v>
      </c>
      <c r="AP767">
        <f>IF(AND(emissions[[#This Row],[Market-based]]=1,OR(emissions[[#This Row],[Impact Type]]="CO2E",emissions[[#This Row],[Impact Type]]="CO2E MKT")),emissions[[#This Row],[kgCO2e]],0)/1000</f>
        <v>0</v>
      </c>
      <c r="AQ767" t="str">
        <f>_xlfn.TEXTAFTER(emissions[[#This Row],[Reporting Unit]]," &gt; ",LEN(emissions[[#This Row],[Reporting Unit]])-LEN(SUBSTITUTE(emissions[[#This Row],[Reporting Unit]],"&gt;","")))</f>
        <v>Vantage_Costa_Rica</v>
      </c>
      <c r="AR767" t="str">
        <f>_xlfn.XLOOKUP(emissions[[#This Row],[Reporting unit name]],hierarchy!$A:$A,hierarchy!$C:$C)</f>
        <v>Unspecified Facility Type</v>
      </c>
    </row>
    <row r="768" spans="1:44" hidden="1" x14ac:dyDescent="0.25">
      <c r="A768">
        <v>1590445</v>
      </c>
      <c r="B768" t="s">
        <v>410</v>
      </c>
      <c r="C768" t="s">
        <v>525</v>
      </c>
      <c r="D768" t="s">
        <v>548</v>
      </c>
      <c r="E768" s="3">
        <v>44562</v>
      </c>
      <c r="F768" s="3">
        <v>44926</v>
      </c>
      <c r="G768" t="s">
        <v>108</v>
      </c>
      <c r="H768" s="3">
        <v>44562</v>
      </c>
      <c r="I768" s="3">
        <v>44926</v>
      </c>
      <c r="J768" t="s">
        <v>108</v>
      </c>
      <c r="K768">
        <v>162.785043</v>
      </c>
      <c r="L768" t="s">
        <v>109</v>
      </c>
      <c r="M768" t="s">
        <v>82</v>
      </c>
      <c r="N768" t="s">
        <v>137</v>
      </c>
      <c r="O768" t="s">
        <v>631</v>
      </c>
      <c r="P768" t="s">
        <v>631</v>
      </c>
      <c r="Q768">
        <v>2022</v>
      </c>
      <c r="R768" t="s">
        <v>567</v>
      </c>
      <c r="S768" t="s">
        <v>568</v>
      </c>
      <c r="T768" t="s">
        <v>569</v>
      </c>
      <c r="U768" t="b">
        <v>0</v>
      </c>
      <c r="V768" t="s">
        <v>819</v>
      </c>
      <c r="W768" t="s">
        <v>571</v>
      </c>
      <c r="X768" t="s">
        <v>572</v>
      </c>
      <c r="Y768" t="s">
        <v>472</v>
      </c>
      <c r="Z768" t="s">
        <v>491</v>
      </c>
      <c r="AA768" t="s">
        <v>818</v>
      </c>
      <c r="AC768">
        <v>1</v>
      </c>
      <c r="AD768" t="s">
        <v>565</v>
      </c>
      <c r="AE768">
        <v>6.8967450000000001E-3</v>
      </c>
      <c r="AF768" s="13">
        <v>4.2367200000000003E-5</v>
      </c>
      <c r="AG768" t="s">
        <v>560</v>
      </c>
      <c r="AH768">
        <v>1</v>
      </c>
      <c r="AI768">
        <v>162.785043</v>
      </c>
      <c r="AJ768" t="s">
        <v>561</v>
      </c>
      <c r="AK768" t="s">
        <v>573</v>
      </c>
      <c r="AL768" t="s">
        <v>574</v>
      </c>
      <c r="AM768">
        <v>2022</v>
      </c>
      <c r="AN768">
        <v>2020</v>
      </c>
      <c r="AO768">
        <f>IF(AND(emissions[[#This Row],[Market-based]]=0,emissions[[#This Row],[Impact Type]]="CO2E"),emissions[[#This Row],[kgCO2e]],0)/1000</f>
        <v>0</v>
      </c>
      <c r="AP768">
        <f>IF(AND(emissions[[#This Row],[Market-based]]=1,OR(emissions[[#This Row],[Impact Type]]="CO2E",emissions[[#This Row],[Impact Type]]="CO2E MKT")),emissions[[#This Row],[kgCO2e]],0)/1000</f>
        <v>6.8967450000000002E-6</v>
      </c>
      <c r="AQ768" t="str">
        <f>_xlfn.TEXTAFTER(emissions[[#This Row],[Reporting Unit]]," &gt; ",LEN(emissions[[#This Row],[Reporting Unit]])-LEN(SUBSTITUTE(emissions[[#This Row],[Reporting Unit]],"&gt;","")))</f>
        <v>Vantage_Costa_Rica</v>
      </c>
      <c r="AR768" t="str">
        <f>_xlfn.XLOOKUP(emissions[[#This Row],[Reporting unit name]],hierarchy!$A:$A,hierarchy!$C:$C)</f>
        <v>Unspecified Facility Type</v>
      </c>
    </row>
    <row r="769" spans="1:44" hidden="1" x14ac:dyDescent="0.25">
      <c r="A769">
        <v>1590445</v>
      </c>
      <c r="B769" t="s">
        <v>410</v>
      </c>
      <c r="C769" t="s">
        <v>525</v>
      </c>
      <c r="D769" t="s">
        <v>548</v>
      </c>
      <c r="E769" s="3">
        <v>44562</v>
      </c>
      <c r="F769" s="3">
        <v>44926</v>
      </c>
      <c r="G769" t="s">
        <v>108</v>
      </c>
      <c r="H769" s="3">
        <v>44562</v>
      </c>
      <c r="I769" s="3">
        <v>44926</v>
      </c>
      <c r="J769" t="s">
        <v>108</v>
      </c>
      <c r="K769">
        <v>162.785043</v>
      </c>
      <c r="L769" t="s">
        <v>109</v>
      </c>
      <c r="M769" t="s">
        <v>82</v>
      </c>
      <c r="N769" t="s">
        <v>137</v>
      </c>
      <c r="O769" t="s">
        <v>631</v>
      </c>
      <c r="P769" t="s">
        <v>631</v>
      </c>
      <c r="Q769">
        <v>2022</v>
      </c>
      <c r="R769" t="s">
        <v>575</v>
      </c>
      <c r="S769" t="s">
        <v>576</v>
      </c>
      <c r="T769" t="s">
        <v>577</v>
      </c>
      <c r="U769" t="b">
        <v>0</v>
      </c>
      <c r="V769" t="s">
        <v>820</v>
      </c>
      <c r="W769" t="s">
        <v>571</v>
      </c>
      <c r="X769" t="s">
        <v>572</v>
      </c>
      <c r="Y769" t="s">
        <v>472</v>
      </c>
      <c r="Z769" t="s">
        <v>491</v>
      </c>
      <c r="AA769" t="s">
        <v>818</v>
      </c>
      <c r="AC769">
        <v>0</v>
      </c>
      <c r="AD769" t="s">
        <v>565</v>
      </c>
      <c r="AE769">
        <v>6.2070700999999999E-2</v>
      </c>
      <c r="AF769">
        <v>3.8130500000000002E-4</v>
      </c>
      <c r="AG769" t="s">
        <v>560</v>
      </c>
      <c r="AH769">
        <v>1</v>
      </c>
      <c r="AI769">
        <v>162.785043</v>
      </c>
      <c r="AJ769" t="s">
        <v>561</v>
      </c>
      <c r="AK769" t="s">
        <v>573</v>
      </c>
      <c r="AL769" t="s">
        <v>574</v>
      </c>
      <c r="AM769">
        <v>2022</v>
      </c>
      <c r="AN769">
        <v>2020</v>
      </c>
      <c r="AO769">
        <f>IF(AND(emissions[[#This Row],[Market-based]]=0,emissions[[#This Row],[Impact Type]]="CO2E"),emissions[[#This Row],[kgCO2e]],0)/1000</f>
        <v>6.2070700999999998E-5</v>
      </c>
      <c r="AP769">
        <f>IF(AND(emissions[[#This Row],[Market-based]]=1,OR(emissions[[#This Row],[Impact Type]]="CO2E",emissions[[#This Row],[Impact Type]]="CO2E MKT")),emissions[[#This Row],[kgCO2e]],0)/1000</f>
        <v>0</v>
      </c>
      <c r="AQ769" t="str">
        <f>_xlfn.TEXTAFTER(emissions[[#This Row],[Reporting Unit]]," &gt; ",LEN(emissions[[#This Row],[Reporting Unit]])-LEN(SUBSTITUTE(emissions[[#This Row],[Reporting Unit]],"&gt;","")))</f>
        <v>Vantage_Costa_Rica</v>
      </c>
      <c r="AR769" t="str">
        <f>_xlfn.XLOOKUP(emissions[[#This Row],[Reporting unit name]],hierarchy!$A:$A,hierarchy!$C:$C)</f>
        <v>Unspecified Facility Type</v>
      </c>
    </row>
    <row r="770" spans="1:44" hidden="1" x14ac:dyDescent="0.25">
      <c r="A770">
        <v>1590445</v>
      </c>
      <c r="B770" t="s">
        <v>410</v>
      </c>
      <c r="C770" t="s">
        <v>525</v>
      </c>
      <c r="D770" t="s">
        <v>548</v>
      </c>
      <c r="E770" s="3">
        <v>44562</v>
      </c>
      <c r="F770" s="3">
        <v>44926</v>
      </c>
      <c r="G770" t="s">
        <v>108</v>
      </c>
      <c r="H770" s="3">
        <v>44562</v>
      </c>
      <c r="I770" s="3">
        <v>44926</v>
      </c>
      <c r="J770" t="s">
        <v>108</v>
      </c>
      <c r="K770">
        <v>162.785043</v>
      </c>
      <c r="L770" t="s">
        <v>109</v>
      </c>
      <c r="M770" t="s">
        <v>82</v>
      </c>
      <c r="N770" t="s">
        <v>137</v>
      </c>
      <c r="O770" t="s">
        <v>631</v>
      </c>
      <c r="P770" t="s">
        <v>631</v>
      </c>
      <c r="Q770">
        <v>2022</v>
      </c>
      <c r="R770" t="s">
        <v>575</v>
      </c>
      <c r="S770" t="s">
        <v>576</v>
      </c>
      <c r="T770" t="s">
        <v>577</v>
      </c>
      <c r="U770" t="b">
        <v>0</v>
      </c>
      <c r="V770" t="s">
        <v>820</v>
      </c>
      <c r="W770" t="s">
        <v>571</v>
      </c>
      <c r="X770" t="s">
        <v>572</v>
      </c>
      <c r="Y770" t="s">
        <v>472</v>
      </c>
      <c r="Z770" t="s">
        <v>491</v>
      </c>
      <c r="AA770" t="s">
        <v>818</v>
      </c>
      <c r="AC770">
        <v>1</v>
      </c>
      <c r="AD770" t="s">
        <v>565</v>
      </c>
      <c r="AE770">
        <v>6.2070700999999999E-2</v>
      </c>
      <c r="AF770">
        <v>3.8130500000000002E-4</v>
      </c>
      <c r="AG770" t="s">
        <v>560</v>
      </c>
      <c r="AH770">
        <v>1</v>
      </c>
      <c r="AI770">
        <v>162.785043</v>
      </c>
      <c r="AJ770" t="s">
        <v>561</v>
      </c>
      <c r="AK770" t="s">
        <v>573</v>
      </c>
      <c r="AL770" t="s">
        <v>574</v>
      </c>
      <c r="AM770">
        <v>2022</v>
      </c>
      <c r="AN770">
        <v>2020</v>
      </c>
      <c r="AO770">
        <f>IF(AND(emissions[[#This Row],[Market-based]]=0,emissions[[#This Row],[Impact Type]]="CO2E"),emissions[[#This Row],[kgCO2e]],0)/1000</f>
        <v>0</v>
      </c>
      <c r="AP770">
        <f>IF(AND(emissions[[#This Row],[Market-based]]=1,OR(emissions[[#This Row],[Impact Type]]="CO2E",emissions[[#This Row],[Impact Type]]="CO2E MKT")),emissions[[#This Row],[kgCO2e]],0)/1000</f>
        <v>6.2070700999999998E-5</v>
      </c>
      <c r="AQ770" t="str">
        <f>_xlfn.TEXTAFTER(emissions[[#This Row],[Reporting Unit]]," &gt; ",LEN(emissions[[#This Row],[Reporting Unit]])-LEN(SUBSTITUTE(emissions[[#This Row],[Reporting Unit]],"&gt;","")))</f>
        <v>Vantage_Costa_Rica</v>
      </c>
      <c r="AR770" t="str">
        <f>_xlfn.XLOOKUP(emissions[[#This Row],[Reporting unit name]],hierarchy!$A:$A,hierarchy!$C:$C)</f>
        <v>Unspecified Facility Type</v>
      </c>
    </row>
    <row r="771" spans="1:44" hidden="1" x14ac:dyDescent="0.25">
      <c r="A771">
        <v>1590445</v>
      </c>
      <c r="B771" t="s">
        <v>410</v>
      </c>
      <c r="C771" t="s">
        <v>525</v>
      </c>
      <c r="D771" t="s">
        <v>548</v>
      </c>
      <c r="E771" s="3">
        <v>44562</v>
      </c>
      <c r="F771" s="3">
        <v>44926</v>
      </c>
      <c r="G771" t="s">
        <v>108</v>
      </c>
      <c r="H771" s="3">
        <v>44562</v>
      </c>
      <c r="I771" s="3">
        <v>44926</v>
      </c>
      <c r="J771" t="s">
        <v>108</v>
      </c>
      <c r="K771">
        <v>162.785043</v>
      </c>
      <c r="L771" t="s">
        <v>109</v>
      </c>
      <c r="M771" t="s">
        <v>82</v>
      </c>
      <c r="N771" t="s">
        <v>137</v>
      </c>
      <c r="O771" t="s">
        <v>631</v>
      </c>
      <c r="P771" t="s">
        <v>631</v>
      </c>
      <c r="Q771">
        <v>2022</v>
      </c>
      <c r="R771" t="s">
        <v>579</v>
      </c>
      <c r="S771" t="s">
        <v>580</v>
      </c>
      <c r="T771" t="s">
        <v>581</v>
      </c>
      <c r="U771" t="b">
        <v>0</v>
      </c>
      <c r="V771" t="s">
        <v>821</v>
      </c>
      <c r="W771" t="s">
        <v>571</v>
      </c>
      <c r="X771" t="s">
        <v>572</v>
      </c>
      <c r="Y771" t="s">
        <v>472</v>
      </c>
      <c r="Z771" t="s">
        <v>491</v>
      </c>
      <c r="AA771" t="s">
        <v>818</v>
      </c>
      <c r="AC771">
        <v>0</v>
      </c>
      <c r="AD771" t="s">
        <v>565</v>
      </c>
      <c r="AE771">
        <v>3.2557008999999998E-2</v>
      </c>
      <c r="AF771" t="s">
        <v>559</v>
      </c>
      <c r="AG771" t="s">
        <v>560</v>
      </c>
      <c r="AH771">
        <v>1</v>
      </c>
      <c r="AI771">
        <v>162.785043</v>
      </c>
      <c r="AJ771" t="s">
        <v>561</v>
      </c>
      <c r="AK771" t="s">
        <v>562</v>
      </c>
      <c r="AL771" t="s">
        <v>563</v>
      </c>
      <c r="AM771">
        <v>2022</v>
      </c>
      <c r="AN771">
        <v>2020</v>
      </c>
      <c r="AO771">
        <f>IF(AND(emissions[[#This Row],[Market-based]]=0,emissions[[#This Row],[Impact Type]]="CO2E"),emissions[[#This Row],[kgCO2e]],0)/1000</f>
        <v>3.2557008999999998E-5</v>
      </c>
      <c r="AP771">
        <f>IF(AND(emissions[[#This Row],[Market-based]]=1,OR(emissions[[#This Row],[Impact Type]]="CO2E",emissions[[#This Row],[Impact Type]]="CO2E MKT")),emissions[[#This Row],[kgCO2e]],0)/1000</f>
        <v>0</v>
      </c>
      <c r="AQ771" t="str">
        <f>_xlfn.TEXTAFTER(emissions[[#This Row],[Reporting Unit]]," &gt; ",LEN(emissions[[#This Row],[Reporting Unit]])-LEN(SUBSTITUTE(emissions[[#This Row],[Reporting Unit]],"&gt;","")))</f>
        <v>Vantage_Costa_Rica</v>
      </c>
      <c r="AR771" t="str">
        <f>_xlfn.XLOOKUP(emissions[[#This Row],[Reporting unit name]],hierarchy!$A:$A,hierarchy!$C:$C)</f>
        <v>Unspecified Facility Type</v>
      </c>
    </row>
    <row r="772" spans="1:44" hidden="1" x14ac:dyDescent="0.25">
      <c r="A772">
        <v>1590445</v>
      </c>
      <c r="B772" t="s">
        <v>410</v>
      </c>
      <c r="C772" t="s">
        <v>525</v>
      </c>
      <c r="D772" t="s">
        <v>548</v>
      </c>
      <c r="E772" s="3">
        <v>44562</v>
      </c>
      <c r="F772" s="3">
        <v>44926</v>
      </c>
      <c r="G772" t="s">
        <v>108</v>
      </c>
      <c r="H772" s="3">
        <v>44562</v>
      </c>
      <c r="I772" s="3">
        <v>44926</v>
      </c>
      <c r="J772" t="s">
        <v>108</v>
      </c>
      <c r="K772">
        <v>162.785043</v>
      </c>
      <c r="L772" t="s">
        <v>109</v>
      </c>
      <c r="M772" t="s">
        <v>82</v>
      </c>
      <c r="N772" t="s">
        <v>137</v>
      </c>
      <c r="O772" t="s">
        <v>631</v>
      </c>
      <c r="P772" t="s">
        <v>631</v>
      </c>
      <c r="Q772">
        <v>2022</v>
      </c>
      <c r="R772" t="s">
        <v>579</v>
      </c>
      <c r="S772" t="s">
        <v>580</v>
      </c>
      <c r="T772" t="s">
        <v>581</v>
      </c>
      <c r="U772" t="b">
        <v>0</v>
      </c>
      <c r="V772" t="s">
        <v>821</v>
      </c>
      <c r="W772" t="s">
        <v>571</v>
      </c>
      <c r="X772" t="s">
        <v>572</v>
      </c>
      <c r="Y772" t="s">
        <v>472</v>
      </c>
      <c r="Z772" t="s">
        <v>491</v>
      </c>
      <c r="AA772" t="s">
        <v>818</v>
      </c>
      <c r="AC772">
        <v>1</v>
      </c>
      <c r="AD772" t="s">
        <v>565</v>
      </c>
      <c r="AE772">
        <v>3.2557008999999998E-2</v>
      </c>
      <c r="AF772" t="s">
        <v>559</v>
      </c>
      <c r="AG772" t="s">
        <v>560</v>
      </c>
      <c r="AH772">
        <v>1</v>
      </c>
      <c r="AI772">
        <v>162.785043</v>
      </c>
      <c r="AJ772" t="s">
        <v>561</v>
      </c>
      <c r="AK772" t="s">
        <v>562</v>
      </c>
      <c r="AL772" t="s">
        <v>563</v>
      </c>
      <c r="AM772">
        <v>2022</v>
      </c>
      <c r="AN772">
        <v>2020</v>
      </c>
      <c r="AO772">
        <f>IF(AND(emissions[[#This Row],[Market-based]]=0,emissions[[#This Row],[Impact Type]]="CO2E"),emissions[[#This Row],[kgCO2e]],0)/1000</f>
        <v>0</v>
      </c>
      <c r="AP772">
        <f>IF(AND(emissions[[#This Row],[Market-based]]=1,OR(emissions[[#This Row],[Impact Type]]="CO2E",emissions[[#This Row],[Impact Type]]="CO2E MKT")),emissions[[#This Row],[kgCO2e]],0)/1000</f>
        <v>3.2557008999999998E-5</v>
      </c>
      <c r="AQ772" t="str">
        <f>_xlfn.TEXTAFTER(emissions[[#This Row],[Reporting Unit]]," &gt; ",LEN(emissions[[#This Row],[Reporting Unit]])-LEN(SUBSTITUTE(emissions[[#This Row],[Reporting Unit]],"&gt;","")))</f>
        <v>Vantage_Costa_Rica</v>
      </c>
      <c r="AR772" t="str">
        <f>_xlfn.XLOOKUP(emissions[[#This Row],[Reporting unit name]],hierarchy!$A:$A,hierarchy!$C:$C)</f>
        <v>Unspecified Facility Type</v>
      </c>
    </row>
    <row r="773" spans="1:44" hidden="1" x14ac:dyDescent="0.25">
      <c r="A773">
        <v>237712</v>
      </c>
      <c r="B773" t="s">
        <v>410</v>
      </c>
      <c r="C773" t="s">
        <v>525</v>
      </c>
      <c r="D773" t="s">
        <v>548</v>
      </c>
      <c r="E773" s="3">
        <v>44562</v>
      </c>
      <c r="F773" s="3">
        <v>44926</v>
      </c>
      <c r="G773" t="s">
        <v>135</v>
      </c>
      <c r="H773" s="3">
        <v>44562</v>
      </c>
      <c r="I773" s="3">
        <v>44926</v>
      </c>
      <c r="J773" t="s">
        <v>135</v>
      </c>
      <c r="K773">
        <v>0</v>
      </c>
      <c r="L773" t="s">
        <v>140</v>
      </c>
      <c r="M773" t="s">
        <v>110</v>
      </c>
      <c r="O773" t="s">
        <v>822</v>
      </c>
      <c r="P773" t="s">
        <v>550</v>
      </c>
      <c r="Q773">
        <v>2022</v>
      </c>
      <c r="R773" t="s">
        <v>605</v>
      </c>
      <c r="S773" t="s">
        <v>606</v>
      </c>
      <c r="T773" t="s">
        <v>553</v>
      </c>
      <c r="U773" t="b">
        <v>0</v>
      </c>
      <c r="V773" t="s">
        <v>781</v>
      </c>
      <c r="W773" t="s">
        <v>587</v>
      </c>
      <c r="X773" t="s">
        <v>556</v>
      </c>
      <c r="Y773" t="s">
        <v>472</v>
      </c>
      <c r="AC773">
        <v>0</v>
      </c>
      <c r="AD773" t="s">
        <v>558</v>
      </c>
      <c r="AE773">
        <v>0</v>
      </c>
      <c r="AF773">
        <v>2.5000000000000001E-2</v>
      </c>
      <c r="AG773" t="s">
        <v>798</v>
      </c>
      <c r="AH773">
        <v>9.9999999999999995E-7</v>
      </c>
      <c r="AI773">
        <v>0</v>
      </c>
      <c r="AJ773" t="s">
        <v>561</v>
      </c>
      <c r="AK773" t="s">
        <v>766</v>
      </c>
      <c r="AL773" t="s">
        <v>787</v>
      </c>
      <c r="AM773">
        <v>2022</v>
      </c>
      <c r="AN773">
        <v>2021</v>
      </c>
      <c r="AO773">
        <f>IF(AND(emissions[[#This Row],[Market-based]]=0,emissions[[#This Row],[Impact Type]]="CO2E"),emissions[[#This Row],[kgCO2e]],0)/1000</f>
        <v>0</v>
      </c>
      <c r="AP773">
        <f>IF(AND(emissions[[#This Row],[Market-based]]=1,OR(emissions[[#This Row],[Impact Type]]="CO2E",emissions[[#This Row],[Impact Type]]="CO2E MKT")),emissions[[#This Row],[kgCO2e]],0)/1000</f>
        <v>0</v>
      </c>
      <c r="AQ773" t="str">
        <f>_xlfn.TEXTAFTER(emissions[[#This Row],[Reporting Unit]]," &gt; ",LEN(emissions[[#This Row],[Reporting Unit]])-LEN(SUBSTITUTE(emissions[[#This Row],[Reporting Unit]],"&gt;","")))</f>
        <v>Vantage_Costa_Rica</v>
      </c>
      <c r="AR773" t="str">
        <f>_xlfn.XLOOKUP(emissions[[#This Row],[Reporting unit name]],hierarchy!$A:$A,hierarchy!$C:$C)</f>
        <v>Unspecified Facility Type</v>
      </c>
    </row>
    <row r="774" spans="1:44" hidden="1" x14ac:dyDescent="0.25">
      <c r="A774">
        <v>237712</v>
      </c>
      <c r="B774" t="s">
        <v>410</v>
      </c>
      <c r="C774" t="s">
        <v>525</v>
      </c>
      <c r="D774" t="s">
        <v>548</v>
      </c>
      <c r="E774" s="3">
        <v>44562</v>
      </c>
      <c r="F774" s="3">
        <v>44926</v>
      </c>
      <c r="G774" t="s">
        <v>135</v>
      </c>
      <c r="H774" s="3">
        <v>44562</v>
      </c>
      <c r="I774" s="3">
        <v>44926</v>
      </c>
      <c r="J774" t="s">
        <v>135</v>
      </c>
      <c r="K774">
        <v>0</v>
      </c>
      <c r="L774" t="s">
        <v>140</v>
      </c>
      <c r="M774" t="s">
        <v>110</v>
      </c>
      <c r="O774" t="s">
        <v>822</v>
      </c>
      <c r="P774" t="s">
        <v>550</v>
      </c>
      <c r="Q774">
        <v>2022</v>
      </c>
      <c r="R774" t="s">
        <v>605</v>
      </c>
      <c r="S774" t="s">
        <v>606</v>
      </c>
      <c r="T774" t="s">
        <v>553</v>
      </c>
      <c r="U774" t="b">
        <v>0</v>
      </c>
      <c r="V774" t="s">
        <v>781</v>
      </c>
      <c r="W774" t="s">
        <v>587</v>
      </c>
      <c r="X774" t="s">
        <v>556</v>
      </c>
      <c r="Y774" t="s">
        <v>472</v>
      </c>
      <c r="AC774">
        <v>0</v>
      </c>
      <c r="AD774" t="s">
        <v>564</v>
      </c>
      <c r="AE774">
        <v>0</v>
      </c>
      <c r="AF774">
        <v>53.06</v>
      </c>
      <c r="AG774" t="s">
        <v>798</v>
      </c>
      <c r="AH774">
        <v>9.9999999999999995E-7</v>
      </c>
      <c r="AI774">
        <v>0</v>
      </c>
      <c r="AJ774" t="s">
        <v>561</v>
      </c>
      <c r="AK774" t="s">
        <v>766</v>
      </c>
      <c r="AL774" t="s">
        <v>767</v>
      </c>
      <c r="AM774">
        <v>2022</v>
      </c>
      <c r="AN774">
        <v>2022</v>
      </c>
      <c r="AO774">
        <f>IF(AND(emissions[[#This Row],[Market-based]]=0,emissions[[#This Row],[Impact Type]]="CO2E"),emissions[[#This Row],[kgCO2e]],0)/1000</f>
        <v>0</v>
      </c>
      <c r="AP774">
        <f>IF(AND(emissions[[#This Row],[Market-based]]=1,OR(emissions[[#This Row],[Impact Type]]="CO2E",emissions[[#This Row],[Impact Type]]="CO2E MKT")),emissions[[#This Row],[kgCO2e]],0)/1000</f>
        <v>0</v>
      </c>
      <c r="AQ774" t="str">
        <f>_xlfn.TEXTAFTER(emissions[[#This Row],[Reporting Unit]]," &gt; ",LEN(emissions[[#This Row],[Reporting Unit]])-LEN(SUBSTITUTE(emissions[[#This Row],[Reporting Unit]],"&gt;","")))</f>
        <v>Vantage_Costa_Rica</v>
      </c>
      <c r="AR774" t="str">
        <f>_xlfn.XLOOKUP(emissions[[#This Row],[Reporting unit name]],hierarchy!$A:$A,hierarchy!$C:$C)</f>
        <v>Unspecified Facility Type</v>
      </c>
    </row>
    <row r="775" spans="1:44" hidden="1" x14ac:dyDescent="0.25">
      <c r="A775">
        <v>237712</v>
      </c>
      <c r="B775" t="s">
        <v>410</v>
      </c>
      <c r="C775" t="s">
        <v>525</v>
      </c>
      <c r="D775" t="s">
        <v>548</v>
      </c>
      <c r="E775" s="3">
        <v>44562</v>
      </c>
      <c r="F775" s="3">
        <v>44926</v>
      </c>
      <c r="G775" t="s">
        <v>135</v>
      </c>
      <c r="H775" s="3">
        <v>44562</v>
      </c>
      <c r="I775" s="3">
        <v>44926</v>
      </c>
      <c r="J775" t="s">
        <v>135</v>
      </c>
      <c r="K775">
        <v>0</v>
      </c>
      <c r="L775" t="s">
        <v>140</v>
      </c>
      <c r="M775" t="s">
        <v>110</v>
      </c>
      <c r="O775" t="s">
        <v>822</v>
      </c>
      <c r="P775" t="s">
        <v>550</v>
      </c>
      <c r="Q775">
        <v>2022</v>
      </c>
      <c r="R775" t="s">
        <v>605</v>
      </c>
      <c r="S775" t="s">
        <v>606</v>
      </c>
      <c r="T775" t="s">
        <v>553</v>
      </c>
      <c r="U775" t="b">
        <v>0</v>
      </c>
      <c r="V775" t="s">
        <v>781</v>
      </c>
      <c r="W775" t="s">
        <v>587</v>
      </c>
      <c r="X775" t="s">
        <v>556</v>
      </c>
      <c r="Y775" t="s">
        <v>472</v>
      </c>
      <c r="AC775">
        <v>0</v>
      </c>
      <c r="AD775" t="s">
        <v>565</v>
      </c>
      <c r="AE775">
        <v>0</v>
      </c>
      <c r="AF775">
        <v>53.114800000000002</v>
      </c>
      <c r="AG775" t="s">
        <v>798</v>
      </c>
      <c r="AH775">
        <v>9.9999999999999995E-7</v>
      </c>
      <c r="AI775">
        <v>0</v>
      </c>
      <c r="AJ775" t="s">
        <v>561</v>
      </c>
      <c r="AK775" t="s">
        <v>766</v>
      </c>
      <c r="AL775" t="s">
        <v>787</v>
      </c>
      <c r="AM775">
        <v>2022</v>
      </c>
      <c r="AN775">
        <v>2021</v>
      </c>
      <c r="AO775">
        <f>IF(AND(emissions[[#This Row],[Market-based]]=0,emissions[[#This Row],[Impact Type]]="CO2E"),emissions[[#This Row],[kgCO2e]],0)/1000</f>
        <v>0</v>
      </c>
      <c r="AP775">
        <f>IF(AND(emissions[[#This Row],[Market-based]]=1,OR(emissions[[#This Row],[Impact Type]]="CO2E",emissions[[#This Row],[Impact Type]]="CO2E MKT")),emissions[[#This Row],[kgCO2e]],0)/1000</f>
        <v>0</v>
      </c>
      <c r="AQ775" t="str">
        <f>_xlfn.TEXTAFTER(emissions[[#This Row],[Reporting Unit]]," &gt; ",LEN(emissions[[#This Row],[Reporting Unit]])-LEN(SUBSTITUTE(emissions[[#This Row],[Reporting Unit]],"&gt;","")))</f>
        <v>Vantage_Costa_Rica</v>
      </c>
      <c r="AR775" t="str">
        <f>_xlfn.XLOOKUP(emissions[[#This Row],[Reporting unit name]],hierarchy!$A:$A,hierarchy!$C:$C)</f>
        <v>Unspecified Facility Type</v>
      </c>
    </row>
    <row r="776" spans="1:44" hidden="1" x14ac:dyDescent="0.25">
      <c r="A776">
        <v>237712</v>
      </c>
      <c r="B776" t="s">
        <v>410</v>
      </c>
      <c r="C776" t="s">
        <v>525</v>
      </c>
      <c r="D776" t="s">
        <v>548</v>
      </c>
      <c r="E776" s="3">
        <v>44562</v>
      </c>
      <c r="F776" s="3">
        <v>44926</v>
      </c>
      <c r="G776" t="s">
        <v>135</v>
      </c>
      <c r="H776" s="3">
        <v>44562</v>
      </c>
      <c r="I776" s="3">
        <v>44926</v>
      </c>
      <c r="J776" t="s">
        <v>135</v>
      </c>
      <c r="K776">
        <v>0</v>
      </c>
      <c r="L776" t="s">
        <v>140</v>
      </c>
      <c r="M776" t="s">
        <v>110</v>
      </c>
      <c r="O776" t="s">
        <v>822</v>
      </c>
      <c r="P776" t="s">
        <v>550</v>
      </c>
      <c r="Q776">
        <v>2022</v>
      </c>
      <c r="R776" t="s">
        <v>605</v>
      </c>
      <c r="S776" t="s">
        <v>606</v>
      </c>
      <c r="T776" t="s">
        <v>553</v>
      </c>
      <c r="U776" t="b">
        <v>0</v>
      </c>
      <c r="V776" t="s">
        <v>781</v>
      </c>
      <c r="W776" t="s">
        <v>587</v>
      </c>
      <c r="X776" t="s">
        <v>556</v>
      </c>
      <c r="Y776" t="s">
        <v>472</v>
      </c>
      <c r="AC776">
        <v>0</v>
      </c>
      <c r="AD776" t="s">
        <v>566</v>
      </c>
      <c r="AE776">
        <v>0</v>
      </c>
      <c r="AF776">
        <v>2.98E-2</v>
      </c>
      <c r="AG776" t="s">
        <v>798</v>
      </c>
      <c r="AH776">
        <v>9.9999999999999995E-7</v>
      </c>
      <c r="AI776">
        <v>0</v>
      </c>
      <c r="AJ776" t="s">
        <v>561</v>
      </c>
      <c r="AK776" t="s">
        <v>766</v>
      </c>
      <c r="AL776" t="s">
        <v>767</v>
      </c>
      <c r="AM776">
        <v>2022</v>
      </c>
      <c r="AN776">
        <v>2022</v>
      </c>
      <c r="AO776">
        <f>IF(AND(emissions[[#This Row],[Market-based]]=0,emissions[[#This Row],[Impact Type]]="CO2E"),emissions[[#This Row],[kgCO2e]],0)/1000</f>
        <v>0</v>
      </c>
      <c r="AP776">
        <f>IF(AND(emissions[[#This Row],[Market-based]]=1,OR(emissions[[#This Row],[Impact Type]]="CO2E",emissions[[#This Row],[Impact Type]]="CO2E MKT")),emissions[[#This Row],[kgCO2e]],0)/1000</f>
        <v>0</v>
      </c>
      <c r="AQ776" t="str">
        <f>_xlfn.TEXTAFTER(emissions[[#This Row],[Reporting Unit]]," &gt; ",LEN(emissions[[#This Row],[Reporting Unit]])-LEN(SUBSTITUTE(emissions[[#This Row],[Reporting Unit]],"&gt;","")))</f>
        <v>Vantage_Costa_Rica</v>
      </c>
      <c r="AR776" t="str">
        <f>_xlfn.XLOOKUP(emissions[[#This Row],[Reporting unit name]],hierarchy!$A:$A,hierarchy!$C:$C)</f>
        <v>Unspecified Facility Type</v>
      </c>
    </row>
    <row r="777" spans="1:44" hidden="1" x14ac:dyDescent="0.25">
      <c r="A777">
        <v>237712</v>
      </c>
      <c r="B777" t="s">
        <v>410</v>
      </c>
      <c r="C777" t="s">
        <v>525</v>
      </c>
      <c r="D777" t="s">
        <v>548</v>
      </c>
      <c r="E777" s="3">
        <v>44562</v>
      </c>
      <c r="F777" s="3">
        <v>44926</v>
      </c>
      <c r="G777" t="s">
        <v>135</v>
      </c>
      <c r="H777" s="3">
        <v>44562</v>
      </c>
      <c r="I777" s="3">
        <v>44926</v>
      </c>
      <c r="J777" t="s">
        <v>135</v>
      </c>
      <c r="K777">
        <v>0</v>
      </c>
      <c r="L777" t="s">
        <v>140</v>
      </c>
      <c r="M777" t="s">
        <v>110</v>
      </c>
      <c r="O777" t="s">
        <v>822</v>
      </c>
      <c r="P777" t="s">
        <v>550</v>
      </c>
      <c r="Q777">
        <v>2022</v>
      </c>
      <c r="R777" t="s">
        <v>605</v>
      </c>
      <c r="S777" t="s">
        <v>606</v>
      </c>
      <c r="T777" t="s">
        <v>553</v>
      </c>
      <c r="U777" t="b">
        <v>0</v>
      </c>
      <c r="V777" t="s">
        <v>781</v>
      </c>
      <c r="W777" t="s">
        <v>587</v>
      </c>
      <c r="X777" t="s">
        <v>556</v>
      </c>
      <c r="Y777" t="s">
        <v>472</v>
      </c>
      <c r="AC777">
        <v>1</v>
      </c>
      <c r="AD777" t="s">
        <v>558</v>
      </c>
      <c r="AE777">
        <v>0</v>
      </c>
      <c r="AF777">
        <v>2.5000000000000001E-2</v>
      </c>
      <c r="AG777" t="s">
        <v>798</v>
      </c>
      <c r="AH777">
        <v>9.9999999999999995E-7</v>
      </c>
      <c r="AI777">
        <v>0</v>
      </c>
      <c r="AJ777" t="s">
        <v>561</v>
      </c>
      <c r="AK777" t="s">
        <v>766</v>
      </c>
      <c r="AL777" t="s">
        <v>787</v>
      </c>
      <c r="AM777">
        <v>2022</v>
      </c>
      <c r="AN777">
        <v>2021</v>
      </c>
      <c r="AO777">
        <f>IF(AND(emissions[[#This Row],[Market-based]]=0,emissions[[#This Row],[Impact Type]]="CO2E"),emissions[[#This Row],[kgCO2e]],0)/1000</f>
        <v>0</v>
      </c>
      <c r="AP777">
        <f>IF(AND(emissions[[#This Row],[Market-based]]=1,OR(emissions[[#This Row],[Impact Type]]="CO2E",emissions[[#This Row],[Impact Type]]="CO2E MKT")),emissions[[#This Row],[kgCO2e]],0)/1000</f>
        <v>0</v>
      </c>
      <c r="AQ777" t="str">
        <f>_xlfn.TEXTAFTER(emissions[[#This Row],[Reporting Unit]]," &gt; ",LEN(emissions[[#This Row],[Reporting Unit]])-LEN(SUBSTITUTE(emissions[[#This Row],[Reporting Unit]],"&gt;","")))</f>
        <v>Vantage_Costa_Rica</v>
      </c>
      <c r="AR777" t="str">
        <f>_xlfn.XLOOKUP(emissions[[#This Row],[Reporting unit name]],hierarchy!$A:$A,hierarchy!$C:$C)</f>
        <v>Unspecified Facility Type</v>
      </c>
    </row>
    <row r="778" spans="1:44" hidden="1" x14ac:dyDescent="0.25">
      <c r="A778">
        <v>237712</v>
      </c>
      <c r="B778" t="s">
        <v>410</v>
      </c>
      <c r="C778" t="s">
        <v>525</v>
      </c>
      <c r="D778" t="s">
        <v>548</v>
      </c>
      <c r="E778" s="3">
        <v>44562</v>
      </c>
      <c r="F778" s="3">
        <v>44926</v>
      </c>
      <c r="G778" t="s">
        <v>135</v>
      </c>
      <c r="H778" s="3">
        <v>44562</v>
      </c>
      <c r="I778" s="3">
        <v>44926</v>
      </c>
      <c r="J778" t="s">
        <v>135</v>
      </c>
      <c r="K778">
        <v>0</v>
      </c>
      <c r="L778" t="s">
        <v>140</v>
      </c>
      <c r="M778" t="s">
        <v>110</v>
      </c>
      <c r="O778" t="s">
        <v>822</v>
      </c>
      <c r="P778" t="s">
        <v>550</v>
      </c>
      <c r="Q778">
        <v>2022</v>
      </c>
      <c r="R778" t="s">
        <v>605</v>
      </c>
      <c r="S778" t="s">
        <v>606</v>
      </c>
      <c r="T778" t="s">
        <v>553</v>
      </c>
      <c r="U778" t="b">
        <v>0</v>
      </c>
      <c r="V778" t="s">
        <v>781</v>
      </c>
      <c r="W778" t="s">
        <v>587</v>
      </c>
      <c r="X778" t="s">
        <v>556</v>
      </c>
      <c r="Y778" t="s">
        <v>472</v>
      </c>
      <c r="AC778">
        <v>1</v>
      </c>
      <c r="AD778" t="s">
        <v>564</v>
      </c>
      <c r="AE778">
        <v>0</v>
      </c>
      <c r="AF778">
        <v>53.06</v>
      </c>
      <c r="AG778" t="s">
        <v>798</v>
      </c>
      <c r="AH778">
        <v>9.9999999999999995E-7</v>
      </c>
      <c r="AI778">
        <v>0</v>
      </c>
      <c r="AJ778" t="s">
        <v>561</v>
      </c>
      <c r="AK778" t="s">
        <v>766</v>
      </c>
      <c r="AL778" t="s">
        <v>767</v>
      </c>
      <c r="AM778">
        <v>2022</v>
      </c>
      <c r="AN778">
        <v>2022</v>
      </c>
      <c r="AO778">
        <f>IF(AND(emissions[[#This Row],[Market-based]]=0,emissions[[#This Row],[Impact Type]]="CO2E"),emissions[[#This Row],[kgCO2e]],0)/1000</f>
        <v>0</v>
      </c>
      <c r="AP778">
        <f>IF(AND(emissions[[#This Row],[Market-based]]=1,OR(emissions[[#This Row],[Impact Type]]="CO2E",emissions[[#This Row],[Impact Type]]="CO2E MKT")),emissions[[#This Row],[kgCO2e]],0)/1000</f>
        <v>0</v>
      </c>
      <c r="AQ778" t="str">
        <f>_xlfn.TEXTAFTER(emissions[[#This Row],[Reporting Unit]]," &gt; ",LEN(emissions[[#This Row],[Reporting Unit]])-LEN(SUBSTITUTE(emissions[[#This Row],[Reporting Unit]],"&gt;","")))</f>
        <v>Vantage_Costa_Rica</v>
      </c>
      <c r="AR778" t="str">
        <f>_xlfn.XLOOKUP(emissions[[#This Row],[Reporting unit name]],hierarchy!$A:$A,hierarchy!$C:$C)</f>
        <v>Unspecified Facility Type</v>
      </c>
    </row>
    <row r="779" spans="1:44" hidden="1" x14ac:dyDescent="0.25">
      <c r="A779">
        <v>237712</v>
      </c>
      <c r="B779" t="s">
        <v>410</v>
      </c>
      <c r="C779" t="s">
        <v>525</v>
      </c>
      <c r="D779" t="s">
        <v>548</v>
      </c>
      <c r="E779" s="3">
        <v>44562</v>
      </c>
      <c r="F779" s="3">
        <v>44926</v>
      </c>
      <c r="G779" t="s">
        <v>135</v>
      </c>
      <c r="H779" s="3">
        <v>44562</v>
      </c>
      <c r="I779" s="3">
        <v>44926</v>
      </c>
      <c r="J779" t="s">
        <v>135</v>
      </c>
      <c r="K779">
        <v>0</v>
      </c>
      <c r="L779" t="s">
        <v>140</v>
      </c>
      <c r="M779" t="s">
        <v>110</v>
      </c>
      <c r="O779" t="s">
        <v>822</v>
      </c>
      <c r="P779" t="s">
        <v>550</v>
      </c>
      <c r="Q779">
        <v>2022</v>
      </c>
      <c r="R779" t="s">
        <v>605</v>
      </c>
      <c r="S779" t="s">
        <v>606</v>
      </c>
      <c r="T779" t="s">
        <v>553</v>
      </c>
      <c r="U779" t="b">
        <v>0</v>
      </c>
      <c r="V779" t="s">
        <v>781</v>
      </c>
      <c r="W779" t="s">
        <v>587</v>
      </c>
      <c r="X779" t="s">
        <v>556</v>
      </c>
      <c r="Y779" t="s">
        <v>472</v>
      </c>
      <c r="AC779">
        <v>1</v>
      </c>
      <c r="AD779" t="s">
        <v>565</v>
      </c>
      <c r="AE779">
        <v>0</v>
      </c>
      <c r="AF779">
        <v>53.114800000000002</v>
      </c>
      <c r="AG779" t="s">
        <v>798</v>
      </c>
      <c r="AH779">
        <v>9.9999999999999995E-7</v>
      </c>
      <c r="AI779">
        <v>0</v>
      </c>
      <c r="AJ779" t="s">
        <v>561</v>
      </c>
      <c r="AK779" t="s">
        <v>766</v>
      </c>
      <c r="AL779" t="s">
        <v>787</v>
      </c>
      <c r="AM779">
        <v>2022</v>
      </c>
      <c r="AN779">
        <v>2021</v>
      </c>
      <c r="AO779">
        <f>IF(AND(emissions[[#This Row],[Market-based]]=0,emissions[[#This Row],[Impact Type]]="CO2E"),emissions[[#This Row],[kgCO2e]],0)/1000</f>
        <v>0</v>
      </c>
      <c r="AP779">
        <f>IF(AND(emissions[[#This Row],[Market-based]]=1,OR(emissions[[#This Row],[Impact Type]]="CO2E",emissions[[#This Row],[Impact Type]]="CO2E MKT")),emissions[[#This Row],[kgCO2e]],0)/1000</f>
        <v>0</v>
      </c>
      <c r="AQ779" t="str">
        <f>_xlfn.TEXTAFTER(emissions[[#This Row],[Reporting Unit]]," &gt; ",LEN(emissions[[#This Row],[Reporting Unit]])-LEN(SUBSTITUTE(emissions[[#This Row],[Reporting Unit]],"&gt;","")))</f>
        <v>Vantage_Costa_Rica</v>
      </c>
      <c r="AR779" t="str">
        <f>_xlfn.XLOOKUP(emissions[[#This Row],[Reporting unit name]],hierarchy!$A:$A,hierarchy!$C:$C)</f>
        <v>Unspecified Facility Type</v>
      </c>
    </row>
    <row r="780" spans="1:44" hidden="1" x14ac:dyDescent="0.25">
      <c r="A780">
        <v>237712</v>
      </c>
      <c r="B780" t="s">
        <v>410</v>
      </c>
      <c r="C780" t="s">
        <v>525</v>
      </c>
      <c r="D780" t="s">
        <v>548</v>
      </c>
      <c r="E780" s="3">
        <v>44562</v>
      </c>
      <c r="F780" s="3">
        <v>44926</v>
      </c>
      <c r="G780" t="s">
        <v>135</v>
      </c>
      <c r="H780" s="3">
        <v>44562</v>
      </c>
      <c r="I780" s="3">
        <v>44926</v>
      </c>
      <c r="J780" t="s">
        <v>135</v>
      </c>
      <c r="K780">
        <v>0</v>
      </c>
      <c r="L780" t="s">
        <v>140</v>
      </c>
      <c r="M780" t="s">
        <v>110</v>
      </c>
      <c r="O780" t="s">
        <v>822</v>
      </c>
      <c r="P780" t="s">
        <v>550</v>
      </c>
      <c r="Q780">
        <v>2022</v>
      </c>
      <c r="R780" t="s">
        <v>605</v>
      </c>
      <c r="S780" t="s">
        <v>606</v>
      </c>
      <c r="T780" t="s">
        <v>553</v>
      </c>
      <c r="U780" t="b">
        <v>0</v>
      </c>
      <c r="V780" t="s">
        <v>781</v>
      </c>
      <c r="W780" t="s">
        <v>587</v>
      </c>
      <c r="X780" t="s">
        <v>556</v>
      </c>
      <c r="Y780" t="s">
        <v>472</v>
      </c>
      <c r="AC780">
        <v>1</v>
      </c>
      <c r="AD780" t="s">
        <v>566</v>
      </c>
      <c r="AE780">
        <v>0</v>
      </c>
      <c r="AF780">
        <v>2.98E-2</v>
      </c>
      <c r="AG780" t="s">
        <v>798</v>
      </c>
      <c r="AH780">
        <v>9.9999999999999995E-7</v>
      </c>
      <c r="AI780">
        <v>0</v>
      </c>
      <c r="AJ780" t="s">
        <v>561</v>
      </c>
      <c r="AK780" t="s">
        <v>766</v>
      </c>
      <c r="AL780" t="s">
        <v>767</v>
      </c>
      <c r="AM780">
        <v>2022</v>
      </c>
      <c r="AN780">
        <v>2022</v>
      </c>
      <c r="AO780">
        <f>IF(AND(emissions[[#This Row],[Market-based]]=0,emissions[[#This Row],[Impact Type]]="CO2E"),emissions[[#This Row],[kgCO2e]],0)/1000</f>
        <v>0</v>
      </c>
      <c r="AP780">
        <f>IF(AND(emissions[[#This Row],[Market-based]]=1,OR(emissions[[#This Row],[Impact Type]]="CO2E",emissions[[#This Row],[Impact Type]]="CO2E MKT")),emissions[[#This Row],[kgCO2e]],0)/1000</f>
        <v>0</v>
      </c>
      <c r="AQ780" t="str">
        <f>_xlfn.TEXTAFTER(emissions[[#This Row],[Reporting Unit]]," &gt; ",LEN(emissions[[#This Row],[Reporting Unit]])-LEN(SUBSTITUTE(emissions[[#This Row],[Reporting Unit]],"&gt;","")))</f>
        <v>Vantage_Costa_Rica</v>
      </c>
      <c r="AR780" t="str">
        <f>_xlfn.XLOOKUP(emissions[[#This Row],[Reporting unit name]],hierarchy!$A:$A,hierarchy!$C:$C)</f>
        <v>Unspecified Facility Type</v>
      </c>
    </row>
    <row r="781" spans="1:44" hidden="1" x14ac:dyDescent="0.25">
      <c r="A781">
        <v>237712</v>
      </c>
      <c r="B781" t="s">
        <v>410</v>
      </c>
      <c r="C781" t="s">
        <v>525</v>
      </c>
      <c r="D781" t="s">
        <v>548</v>
      </c>
      <c r="E781" s="3">
        <v>44562</v>
      </c>
      <c r="F781" s="3">
        <v>44926</v>
      </c>
      <c r="G781" t="s">
        <v>135</v>
      </c>
      <c r="H781" s="3">
        <v>44562</v>
      </c>
      <c r="I781" s="3">
        <v>44926</v>
      </c>
      <c r="J781" t="s">
        <v>135</v>
      </c>
      <c r="K781">
        <v>0</v>
      </c>
      <c r="L781" t="s">
        <v>140</v>
      </c>
      <c r="M781" t="s">
        <v>110</v>
      </c>
      <c r="O781" t="s">
        <v>822</v>
      </c>
      <c r="P781" t="s">
        <v>550</v>
      </c>
      <c r="Q781">
        <v>2022</v>
      </c>
      <c r="R781" t="s">
        <v>609</v>
      </c>
      <c r="S781" t="s">
        <v>610</v>
      </c>
      <c r="T781" t="s">
        <v>577</v>
      </c>
      <c r="U781" t="b">
        <v>0</v>
      </c>
      <c r="V781" t="s">
        <v>632</v>
      </c>
      <c r="W781" t="s">
        <v>571</v>
      </c>
      <c r="X781" t="s">
        <v>572</v>
      </c>
      <c r="AC781">
        <v>0</v>
      </c>
      <c r="AD781" t="s">
        <v>565</v>
      </c>
      <c r="AE781">
        <v>0</v>
      </c>
      <c r="AF781">
        <v>3.1099999999999999E-2</v>
      </c>
      <c r="AG781" t="s">
        <v>608</v>
      </c>
      <c r="AH781">
        <v>2.9306999999999998E-4</v>
      </c>
      <c r="AI781">
        <v>0</v>
      </c>
      <c r="AJ781" t="s">
        <v>561</v>
      </c>
      <c r="AK781" t="s">
        <v>589</v>
      </c>
      <c r="AL781" t="s">
        <v>590</v>
      </c>
      <c r="AM781">
        <v>2022</v>
      </c>
      <c r="AN781">
        <v>2020</v>
      </c>
      <c r="AO781">
        <f>IF(AND(emissions[[#This Row],[Market-based]]=0,emissions[[#This Row],[Impact Type]]="CO2E"),emissions[[#This Row],[kgCO2e]],0)/1000</f>
        <v>0</v>
      </c>
      <c r="AP781">
        <f>IF(AND(emissions[[#This Row],[Market-based]]=1,OR(emissions[[#This Row],[Impact Type]]="CO2E",emissions[[#This Row],[Impact Type]]="CO2E MKT")),emissions[[#This Row],[kgCO2e]],0)/1000</f>
        <v>0</v>
      </c>
      <c r="AQ781" t="str">
        <f>_xlfn.TEXTAFTER(emissions[[#This Row],[Reporting Unit]]," &gt; ",LEN(emissions[[#This Row],[Reporting Unit]])-LEN(SUBSTITUTE(emissions[[#This Row],[Reporting Unit]],"&gt;","")))</f>
        <v>Vantage_Costa_Rica</v>
      </c>
      <c r="AR781" t="str">
        <f>_xlfn.XLOOKUP(emissions[[#This Row],[Reporting unit name]],hierarchy!$A:$A,hierarchy!$C:$C)</f>
        <v>Unspecified Facility Type</v>
      </c>
    </row>
    <row r="782" spans="1:44" hidden="1" x14ac:dyDescent="0.25">
      <c r="A782">
        <v>237712</v>
      </c>
      <c r="B782" t="s">
        <v>410</v>
      </c>
      <c r="C782" t="s">
        <v>525</v>
      </c>
      <c r="D782" t="s">
        <v>548</v>
      </c>
      <c r="E782" s="3">
        <v>44562</v>
      </c>
      <c r="F782" s="3">
        <v>44926</v>
      </c>
      <c r="G782" t="s">
        <v>135</v>
      </c>
      <c r="H782" s="3">
        <v>44562</v>
      </c>
      <c r="I782" s="3">
        <v>44926</v>
      </c>
      <c r="J782" t="s">
        <v>135</v>
      </c>
      <c r="K782">
        <v>0</v>
      </c>
      <c r="L782" t="s">
        <v>140</v>
      </c>
      <c r="M782" t="s">
        <v>110</v>
      </c>
      <c r="O782" t="s">
        <v>822</v>
      </c>
      <c r="P782" t="s">
        <v>550</v>
      </c>
      <c r="Q782">
        <v>2022</v>
      </c>
      <c r="R782" t="s">
        <v>609</v>
      </c>
      <c r="S782" t="s">
        <v>610</v>
      </c>
      <c r="T782" t="s">
        <v>577</v>
      </c>
      <c r="U782" t="b">
        <v>0</v>
      </c>
      <c r="V782" t="s">
        <v>632</v>
      </c>
      <c r="W782" t="s">
        <v>571</v>
      </c>
      <c r="X782" t="s">
        <v>572</v>
      </c>
      <c r="AC782">
        <v>1</v>
      </c>
      <c r="AD782" t="s">
        <v>565</v>
      </c>
      <c r="AE782">
        <v>0</v>
      </c>
      <c r="AF782">
        <v>3.1099999999999999E-2</v>
      </c>
      <c r="AG782" t="s">
        <v>608</v>
      </c>
      <c r="AH782">
        <v>2.9306999999999998E-4</v>
      </c>
      <c r="AI782">
        <v>0</v>
      </c>
      <c r="AJ782" t="s">
        <v>561</v>
      </c>
      <c r="AK782" t="s">
        <v>589</v>
      </c>
      <c r="AL782" t="s">
        <v>590</v>
      </c>
      <c r="AM782">
        <v>2022</v>
      </c>
      <c r="AN782">
        <v>2020</v>
      </c>
      <c r="AO782">
        <f>IF(AND(emissions[[#This Row],[Market-based]]=0,emissions[[#This Row],[Impact Type]]="CO2E"),emissions[[#This Row],[kgCO2e]],0)/1000</f>
        <v>0</v>
      </c>
      <c r="AP782">
        <f>IF(AND(emissions[[#This Row],[Market-based]]=1,OR(emissions[[#This Row],[Impact Type]]="CO2E",emissions[[#This Row],[Impact Type]]="CO2E MKT")),emissions[[#This Row],[kgCO2e]],0)/1000</f>
        <v>0</v>
      </c>
      <c r="AQ782" t="str">
        <f>_xlfn.TEXTAFTER(emissions[[#This Row],[Reporting Unit]]," &gt; ",LEN(emissions[[#This Row],[Reporting Unit]])-LEN(SUBSTITUTE(emissions[[#This Row],[Reporting Unit]],"&gt;","")))</f>
        <v>Vantage_Costa_Rica</v>
      </c>
      <c r="AR782" t="str">
        <f>_xlfn.XLOOKUP(emissions[[#This Row],[Reporting unit name]],hierarchy!$A:$A,hierarchy!$C:$C)</f>
        <v>Unspecified Facility Type</v>
      </c>
    </row>
    <row r="783" spans="1:44" hidden="1" x14ac:dyDescent="0.25">
      <c r="A783">
        <v>1590452</v>
      </c>
      <c r="B783" t="s">
        <v>410</v>
      </c>
      <c r="C783" t="s">
        <v>525</v>
      </c>
      <c r="D783" t="s">
        <v>548</v>
      </c>
      <c r="E783" s="3">
        <v>44562</v>
      </c>
      <c r="F783" s="3">
        <v>44926</v>
      </c>
      <c r="G783" t="s">
        <v>116</v>
      </c>
      <c r="H783" s="3">
        <v>44562</v>
      </c>
      <c r="I783" s="3">
        <v>44926</v>
      </c>
      <c r="J783" t="s">
        <v>117</v>
      </c>
      <c r="K783">
        <v>0.11840290000000001</v>
      </c>
      <c r="L783" t="s">
        <v>118</v>
      </c>
      <c r="M783" t="s">
        <v>82</v>
      </c>
      <c r="N783" t="s">
        <v>120</v>
      </c>
      <c r="O783" t="s">
        <v>631</v>
      </c>
      <c r="P783" t="s">
        <v>631</v>
      </c>
      <c r="Q783">
        <v>2022</v>
      </c>
      <c r="R783" t="s">
        <v>619</v>
      </c>
      <c r="S783" t="s">
        <v>620</v>
      </c>
      <c r="T783" t="s">
        <v>553</v>
      </c>
      <c r="U783" t="b">
        <v>0</v>
      </c>
      <c r="V783" t="s">
        <v>621</v>
      </c>
      <c r="W783" t="s">
        <v>587</v>
      </c>
      <c r="X783" t="s">
        <v>556</v>
      </c>
      <c r="AC783">
        <v>0</v>
      </c>
      <c r="AD783" t="s">
        <v>565</v>
      </c>
      <c r="AE783">
        <v>169.316147</v>
      </c>
      <c r="AF783">
        <v>1430</v>
      </c>
      <c r="AG783" t="s">
        <v>622</v>
      </c>
      <c r="AH783">
        <v>1</v>
      </c>
      <c r="AI783">
        <v>0.11840290000000001</v>
      </c>
      <c r="AJ783" t="s">
        <v>561</v>
      </c>
      <c r="AK783" t="s">
        <v>623</v>
      </c>
      <c r="AL783" t="s">
        <v>624</v>
      </c>
      <c r="AM783">
        <v>2022</v>
      </c>
      <c r="AN783">
        <v>2007</v>
      </c>
      <c r="AO783">
        <f>IF(AND(emissions[[#This Row],[Market-based]]=0,emissions[[#This Row],[Impact Type]]="CO2E"),emissions[[#This Row],[kgCO2e]],0)/1000</f>
        <v>0.169316147</v>
      </c>
      <c r="AP783">
        <f>IF(AND(emissions[[#This Row],[Market-based]]=1,OR(emissions[[#This Row],[Impact Type]]="CO2E",emissions[[#This Row],[Impact Type]]="CO2E MKT")),emissions[[#This Row],[kgCO2e]],0)/1000</f>
        <v>0</v>
      </c>
      <c r="AQ783" t="str">
        <f>_xlfn.TEXTAFTER(emissions[[#This Row],[Reporting Unit]]," &gt; ",LEN(emissions[[#This Row],[Reporting Unit]])-LEN(SUBSTITUTE(emissions[[#This Row],[Reporting Unit]],"&gt;","")))</f>
        <v>Vantage_Costa_Rica</v>
      </c>
      <c r="AR783" t="str">
        <f>_xlfn.XLOOKUP(emissions[[#This Row],[Reporting unit name]],hierarchy!$A:$A,hierarchy!$C:$C)</f>
        <v>Unspecified Facility Type</v>
      </c>
    </row>
    <row r="784" spans="1:44" hidden="1" x14ac:dyDescent="0.25">
      <c r="A784">
        <v>1590452</v>
      </c>
      <c r="B784" t="s">
        <v>410</v>
      </c>
      <c r="C784" t="s">
        <v>525</v>
      </c>
      <c r="D784" t="s">
        <v>548</v>
      </c>
      <c r="E784" s="3">
        <v>44562</v>
      </c>
      <c r="F784" s="3">
        <v>44926</v>
      </c>
      <c r="G784" t="s">
        <v>116</v>
      </c>
      <c r="H784" s="3">
        <v>44562</v>
      </c>
      <c r="I784" s="3">
        <v>44926</v>
      </c>
      <c r="J784" t="s">
        <v>117</v>
      </c>
      <c r="K784">
        <v>0.11840290000000001</v>
      </c>
      <c r="L784" t="s">
        <v>118</v>
      </c>
      <c r="M784" t="s">
        <v>82</v>
      </c>
      <c r="N784" t="s">
        <v>120</v>
      </c>
      <c r="O784" t="s">
        <v>631</v>
      </c>
      <c r="P784" t="s">
        <v>631</v>
      </c>
      <c r="Q784">
        <v>2022</v>
      </c>
      <c r="R784" t="s">
        <v>619</v>
      </c>
      <c r="S784" t="s">
        <v>620</v>
      </c>
      <c r="T784" t="s">
        <v>553</v>
      </c>
      <c r="U784" t="b">
        <v>0</v>
      </c>
      <c r="V784" t="s">
        <v>621</v>
      </c>
      <c r="W784" t="s">
        <v>587</v>
      </c>
      <c r="X784" t="s">
        <v>556</v>
      </c>
      <c r="AC784">
        <v>1</v>
      </c>
      <c r="AD784" t="s">
        <v>565</v>
      </c>
      <c r="AE784">
        <v>169.316147</v>
      </c>
      <c r="AF784">
        <v>1430</v>
      </c>
      <c r="AG784" t="s">
        <v>622</v>
      </c>
      <c r="AH784">
        <v>1</v>
      </c>
      <c r="AI784">
        <v>0.11840290000000001</v>
      </c>
      <c r="AJ784" t="s">
        <v>561</v>
      </c>
      <c r="AK784" t="s">
        <v>623</v>
      </c>
      <c r="AL784" t="s">
        <v>624</v>
      </c>
      <c r="AM784">
        <v>2022</v>
      </c>
      <c r="AN784">
        <v>2007</v>
      </c>
      <c r="AO784">
        <f>IF(AND(emissions[[#This Row],[Market-based]]=0,emissions[[#This Row],[Impact Type]]="CO2E"),emissions[[#This Row],[kgCO2e]],0)/1000</f>
        <v>0</v>
      </c>
      <c r="AP784">
        <f>IF(AND(emissions[[#This Row],[Market-based]]=1,OR(emissions[[#This Row],[Impact Type]]="CO2E",emissions[[#This Row],[Impact Type]]="CO2E MKT")),emissions[[#This Row],[kgCO2e]],0)/1000</f>
        <v>0.169316147</v>
      </c>
      <c r="AQ784" t="str">
        <f>_xlfn.TEXTAFTER(emissions[[#This Row],[Reporting Unit]]," &gt; ",LEN(emissions[[#This Row],[Reporting Unit]])-LEN(SUBSTITUTE(emissions[[#This Row],[Reporting Unit]],"&gt;","")))</f>
        <v>Vantage_Costa_Rica</v>
      </c>
      <c r="AR784" t="str">
        <f>_xlfn.XLOOKUP(emissions[[#This Row],[Reporting unit name]],hierarchy!$A:$A,hierarchy!$C:$C)</f>
        <v>Unspecified Facility Type</v>
      </c>
    </row>
    <row r="785" spans="1:44" hidden="1" x14ac:dyDescent="0.25">
      <c r="A785">
        <v>291093</v>
      </c>
      <c r="B785" t="s">
        <v>410</v>
      </c>
      <c r="C785" t="s">
        <v>525</v>
      </c>
      <c r="D785" t="s">
        <v>548</v>
      </c>
      <c r="E785" s="3">
        <v>44562</v>
      </c>
      <c r="F785" s="3">
        <v>44926</v>
      </c>
      <c r="G785" t="s">
        <v>121</v>
      </c>
      <c r="H785" s="3">
        <v>44562</v>
      </c>
      <c r="I785" s="3">
        <v>44926</v>
      </c>
      <c r="J785" t="s">
        <v>122</v>
      </c>
      <c r="K785">
        <v>26479.3</v>
      </c>
      <c r="L785" t="s">
        <v>143</v>
      </c>
      <c r="M785" t="s">
        <v>110</v>
      </c>
      <c r="O785" t="s">
        <v>823</v>
      </c>
      <c r="P785" t="s">
        <v>550</v>
      </c>
      <c r="Q785">
        <v>2022</v>
      </c>
      <c r="R785" t="s">
        <v>742</v>
      </c>
      <c r="S785" t="s">
        <v>122</v>
      </c>
      <c r="T785" t="s">
        <v>553</v>
      </c>
      <c r="U785" t="b">
        <v>0</v>
      </c>
      <c r="V785" t="s">
        <v>824</v>
      </c>
      <c r="W785" t="s">
        <v>587</v>
      </c>
      <c r="X785" t="s">
        <v>556</v>
      </c>
      <c r="Y785" t="s">
        <v>472</v>
      </c>
      <c r="AC785">
        <v>0</v>
      </c>
      <c r="AD785" t="s">
        <v>558</v>
      </c>
      <c r="AE785">
        <v>48.965660839999998</v>
      </c>
      <c r="AF785">
        <v>7.0000000000000001E-3</v>
      </c>
      <c r="AG785" t="s">
        <v>786</v>
      </c>
      <c r="AH785">
        <v>0.26417217999999998</v>
      </c>
      <c r="AI785">
        <v>6995.0944060000002</v>
      </c>
      <c r="AJ785" t="s">
        <v>561</v>
      </c>
      <c r="AK785" t="s">
        <v>766</v>
      </c>
      <c r="AL785" t="s">
        <v>787</v>
      </c>
      <c r="AM785">
        <v>2022</v>
      </c>
      <c r="AN785">
        <v>2021</v>
      </c>
      <c r="AO785">
        <f>IF(AND(emissions[[#This Row],[Market-based]]=0,emissions[[#This Row],[Impact Type]]="CO2E"),emissions[[#This Row],[kgCO2e]],0)/1000</f>
        <v>0</v>
      </c>
      <c r="AP785">
        <f>IF(AND(emissions[[#This Row],[Market-based]]=1,OR(emissions[[#This Row],[Impact Type]]="CO2E",emissions[[#This Row],[Impact Type]]="CO2E MKT")),emissions[[#This Row],[kgCO2e]],0)/1000</f>
        <v>0</v>
      </c>
      <c r="AQ785" t="str">
        <f>_xlfn.TEXTAFTER(emissions[[#This Row],[Reporting Unit]]," &gt; ",LEN(emissions[[#This Row],[Reporting Unit]])-LEN(SUBSTITUTE(emissions[[#This Row],[Reporting Unit]],"&gt;","")))</f>
        <v>Vantage_Costa_Rica</v>
      </c>
      <c r="AR785" t="str">
        <f>_xlfn.XLOOKUP(emissions[[#This Row],[Reporting unit name]],hierarchy!$A:$A,hierarchy!$C:$C)</f>
        <v>Unspecified Facility Type</v>
      </c>
    </row>
    <row r="786" spans="1:44" hidden="1" x14ac:dyDescent="0.25">
      <c r="A786">
        <v>291093</v>
      </c>
      <c r="B786" t="s">
        <v>410</v>
      </c>
      <c r="C786" t="s">
        <v>525</v>
      </c>
      <c r="D786" t="s">
        <v>548</v>
      </c>
      <c r="E786" s="3">
        <v>44562</v>
      </c>
      <c r="F786" s="3">
        <v>44926</v>
      </c>
      <c r="G786" t="s">
        <v>121</v>
      </c>
      <c r="H786" s="3">
        <v>44562</v>
      </c>
      <c r="I786" s="3">
        <v>44926</v>
      </c>
      <c r="J786" t="s">
        <v>122</v>
      </c>
      <c r="K786">
        <v>26479.3</v>
      </c>
      <c r="L786" t="s">
        <v>143</v>
      </c>
      <c r="M786" t="s">
        <v>110</v>
      </c>
      <c r="O786" t="s">
        <v>823</v>
      </c>
      <c r="P786" t="s">
        <v>550</v>
      </c>
      <c r="Q786">
        <v>2022</v>
      </c>
      <c r="R786" t="s">
        <v>742</v>
      </c>
      <c r="S786" t="s">
        <v>122</v>
      </c>
      <c r="T786" t="s">
        <v>553</v>
      </c>
      <c r="U786" t="b">
        <v>0</v>
      </c>
      <c r="V786" t="s">
        <v>824</v>
      </c>
      <c r="W786" t="s">
        <v>587</v>
      </c>
      <c r="X786" t="s">
        <v>556</v>
      </c>
      <c r="Y786" t="s">
        <v>472</v>
      </c>
      <c r="AC786">
        <v>0</v>
      </c>
      <c r="AD786" t="s">
        <v>564</v>
      </c>
      <c r="AE786">
        <v>39732.136229999996</v>
      </c>
      <c r="AF786">
        <v>5.68</v>
      </c>
      <c r="AG786" t="s">
        <v>786</v>
      </c>
      <c r="AH786">
        <v>0.26417217999999998</v>
      </c>
      <c r="AI786">
        <v>6995.0944060000002</v>
      </c>
      <c r="AJ786" t="s">
        <v>561</v>
      </c>
      <c r="AK786" t="s">
        <v>766</v>
      </c>
      <c r="AL786" t="s">
        <v>767</v>
      </c>
      <c r="AM786">
        <v>2022</v>
      </c>
      <c r="AN786">
        <v>2022</v>
      </c>
      <c r="AO786">
        <f>IF(AND(emissions[[#This Row],[Market-based]]=0,emissions[[#This Row],[Impact Type]]="CO2E"),emissions[[#This Row],[kgCO2e]],0)/1000</f>
        <v>0</v>
      </c>
      <c r="AP786">
        <f>IF(AND(emissions[[#This Row],[Market-based]]=1,OR(emissions[[#This Row],[Impact Type]]="CO2E",emissions[[#This Row],[Impact Type]]="CO2E MKT")),emissions[[#This Row],[kgCO2e]],0)/1000</f>
        <v>0</v>
      </c>
      <c r="AQ786" t="str">
        <f>_xlfn.TEXTAFTER(emissions[[#This Row],[Reporting Unit]]," &gt; ",LEN(emissions[[#This Row],[Reporting Unit]])-LEN(SUBSTITUTE(emissions[[#This Row],[Reporting Unit]],"&gt;","")))</f>
        <v>Vantage_Costa_Rica</v>
      </c>
      <c r="AR786" t="str">
        <f>_xlfn.XLOOKUP(emissions[[#This Row],[Reporting unit name]],hierarchy!$A:$A,hierarchy!$C:$C)</f>
        <v>Unspecified Facility Type</v>
      </c>
    </row>
    <row r="787" spans="1:44" hidden="1" x14ac:dyDescent="0.25">
      <c r="A787">
        <v>291093</v>
      </c>
      <c r="B787" t="s">
        <v>410</v>
      </c>
      <c r="C787" t="s">
        <v>525</v>
      </c>
      <c r="D787" t="s">
        <v>548</v>
      </c>
      <c r="E787" s="3">
        <v>44562</v>
      </c>
      <c r="F787" s="3">
        <v>44926</v>
      </c>
      <c r="G787" t="s">
        <v>121</v>
      </c>
      <c r="H787" s="3">
        <v>44562</v>
      </c>
      <c r="I787" s="3">
        <v>44926</v>
      </c>
      <c r="J787" t="s">
        <v>122</v>
      </c>
      <c r="K787">
        <v>26479.3</v>
      </c>
      <c r="L787" t="s">
        <v>143</v>
      </c>
      <c r="M787" t="s">
        <v>110</v>
      </c>
      <c r="O787" t="s">
        <v>823</v>
      </c>
      <c r="P787" t="s">
        <v>550</v>
      </c>
      <c r="Q787">
        <v>2022</v>
      </c>
      <c r="R787" t="s">
        <v>742</v>
      </c>
      <c r="S787" t="s">
        <v>122</v>
      </c>
      <c r="T787" t="s">
        <v>553</v>
      </c>
      <c r="U787" t="b">
        <v>0</v>
      </c>
      <c r="V787" t="s">
        <v>824</v>
      </c>
      <c r="W787" t="s">
        <v>587</v>
      </c>
      <c r="X787" t="s">
        <v>556</v>
      </c>
      <c r="Y787" t="s">
        <v>472</v>
      </c>
      <c r="AC787">
        <v>0</v>
      </c>
      <c r="AD787" t="s">
        <v>565</v>
      </c>
      <c r="AE787">
        <v>39906.174169999998</v>
      </c>
      <c r="AF787">
        <v>5.7048800000000002</v>
      </c>
      <c r="AG787" t="s">
        <v>786</v>
      </c>
      <c r="AH787">
        <v>0.26417217999999998</v>
      </c>
      <c r="AI787">
        <v>6995.0944060000002</v>
      </c>
      <c r="AJ787" t="s">
        <v>561</v>
      </c>
      <c r="AK787" t="s">
        <v>766</v>
      </c>
      <c r="AL787" t="s">
        <v>767</v>
      </c>
      <c r="AM787">
        <v>2022</v>
      </c>
      <c r="AN787">
        <v>2022</v>
      </c>
      <c r="AO787">
        <f>IF(AND(emissions[[#This Row],[Market-based]]=0,emissions[[#This Row],[Impact Type]]="CO2E"),emissions[[#This Row],[kgCO2e]],0)/1000</f>
        <v>39.90617417</v>
      </c>
      <c r="AP787">
        <f>IF(AND(emissions[[#This Row],[Market-based]]=1,OR(emissions[[#This Row],[Impact Type]]="CO2E",emissions[[#This Row],[Impact Type]]="CO2E MKT")),emissions[[#This Row],[kgCO2e]],0)/1000</f>
        <v>0</v>
      </c>
      <c r="AQ787" t="str">
        <f>_xlfn.TEXTAFTER(emissions[[#This Row],[Reporting Unit]]," &gt; ",LEN(emissions[[#This Row],[Reporting Unit]])-LEN(SUBSTITUTE(emissions[[#This Row],[Reporting Unit]],"&gt;","")))</f>
        <v>Vantage_Costa_Rica</v>
      </c>
      <c r="AR787" t="str">
        <f>_xlfn.XLOOKUP(emissions[[#This Row],[Reporting unit name]],hierarchy!$A:$A,hierarchy!$C:$C)</f>
        <v>Unspecified Facility Type</v>
      </c>
    </row>
    <row r="788" spans="1:44" hidden="1" x14ac:dyDescent="0.25">
      <c r="A788">
        <v>291093</v>
      </c>
      <c r="B788" t="s">
        <v>410</v>
      </c>
      <c r="C788" t="s">
        <v>525</v>
      </c>
      <c r="D788" t="s">
        <v>548</v>
      </c>
      <c r="E788" s="3">
        <v>44562</v>
      </c>
      <c r="F788" s="3">
        <v>44926</v>
      </c>
      <c r="G788" t="s">
        <v>121</v>
      </c>
      <c r="H788" s="3">
        <v>44562</v>
      </c>
      <c r="I788" s="3">
        <v>44926</v>
      </c>
      <c r="J788" t="s">
        <v>122</v>
      </c>
      <c r="K788">
        <v>26479.3</v>
      </c>
      <c r="L788" t="s">
        <v>143</v>
      </c>
      <c r="M788" t="s">
        <v>110</v>
      </c>
      <c r="O788" t="s">
        <v>823</v>
      </c>
      <c r="P788" t="s">
        <v>550</v>
      </c>
      <c r="Q788">
        <v>2022</v>
      </c>
      <c r="R788" t="s">
        <v>742</v>
      </c>
      <c r="S788" t="s">
        <v>122</v>
      </c>
      <c r="T788" t="s">
        <v>553</v>
      </c>
      <c r="U788" t="b">
        <v>0</v>
      </c>
      <c r="V788" t="s">
        <v>824</v>
      </c>
      <c r="W788" t="s">
        <v>587</v>
      </c>
      <c r="X788" t="s">
        <v>556</v>
      </c>
      <c r="Y788" t="s">
        <v>472</v>
      </c>
      <c r="AC788">
        <v>0</v>
      </c>
      <c r="AD788" t="s">
        <v>566</v>
      </c>
      <c r="AE788">
        <v>125.072288</v>
      </c>
      <c r="AF788">
        <v>1.788E-2</v>
      </c>
      <c r="AG788" t="s">
        <v>786</v>
      </c>
      <c r="AH788">
        <v>0.26417217999999998</v>
      </c>
      <c r="AI788">
        <v>6995.0944060000002</v>
      </c>
      <c r="AJ788" t="s">
        <v>561</v>
      </c>
      <c r="AK788" t="s">
        <v>766</v>
      </c>
      <c r="AL788" t="s">
        <v>767</v>
      </c>
      <c r="AM788">
        <v>2022</v>
      </c>
      <c r="AN788">
        <v>2022</v>
      </c>
      <c r="AO788">
        <f>IF(AND(emissions[[#This Row],[Market-based]]=0,emissions[[#This Row],[Impact Type]]="CO2E"),emissions[[#This Row],[kgCO2e]],0)/1000</f>
        <v>0</v>
      </c>
      <c r="AP788">
        <f>IF(AND(emissions[[#This Row],[Market-based]]=1,OR(emissions[[#This Row],[Impact Type]]="CO2E",emissions[[#This Row],[Impact Type]]="CO2E MKT")),emissions[[#This Row],[kgCO2e]],0)/1000</f>
        <v>0</v>
      </c>
      <c r="AQ788" t="str">
        <f>_xlfn.TEXTAFTER(emissions[[#This Row],[Reporting Unit]]," &gt; ",LEN(emissions[[#This Row],[Reporting Unit]])-LEN(SUBSTITUTE(emissions[[#This Row],[Reporting Unit]],"&gt;","")))</f>
        <v>Vantage_Costa_Rica</v>
      </c>
      <c r="AR788" t="str">
        <f>_xlfn.XLOOKUP(emissions[[#This Row],[Reporting unit name]],hierarchy!$A:$A,hierarchy!$C:$C)</f>
        <v>Unspecified Facility Type</v>
      </c>
    </row>
    <row r="789" spans="1:44" hidden="1" x14ac:dyDescent="0.25">
      <c r="A789">
        <v>291093</v>
      </c>
      <c r="B789" t="s">
        <v>410</v>
      </c>
      <c r="C789" t="s">
        <v>525</v>
      </c>
      <c r="D789" t="s">
        <v>548</v>
      </c>
      <c r="E789" s="3">
        <v>44562</v>
      </c>
      <c r="F789" s="3">
        <v>44926</v>
      </c>
      <c r="G789" t="s">
        <v>121</v>
      </c>
      <c r="H789" s="3">
        <v>44562</v>
      </c>
      <c r="I789" s="3">
        <v>44926</v>
      </c>
      <c r="J789" t="s">
        <v>122</v>
      </c>
      <c r="K789">
        <v>26479.3</v>
      </c>
      <c r="L789" t="s">
        <v>143</v>
      </c>
      <c r="M789" t="s">
        <v>110</v>
      </c>
      <c r="O789" t="s">
        <v>823</v>
      </c>
      <c r="P789" t="s">
        <v>550</v>
      </c>
      <c r="Q789">
        <v>2022</v>
      </c>
      <c r="R789" t="s">
        <v>742</v>
      </c>
      <c r="S789" t="s">
        <v>122</v>
      </c>
      <c r="T789" t="s">
        <v>553</v>
      </c>
      <c r="U789" t="b">
        <v>0</v>
      </c>
      <c r="V789" t="s">
        <v>824</v>
      </c>
      <c r="W789" t="s">
        <v>587</v>
      </c>
      <c r="X789" t="s">
        <v>556</v>
      </c>
      <c r="Y789" t="s">
        <v>472</v>
      </c>
      <c r="AC789">
        <v>1</v>
      </c>
      <c r="AD789" t="s">
        <v>558</v>
      </c>
      <c r="AE789">
        <v>48.965660839999998</v>
      </c>
      <c r="AF789">
        <v>7.0000000000000001E-3</v>
      </c>
      <c r="AG789" t="s">
        <v>786</v>
      </c>
      <c r="AH789">
        <v>0.26417217999999998</v>
      </c>
      <c r="AI789">
        <v>6995.0944060000002</v>
      </c>
      <c r="AJ789" t="s">
        <v>561</v>
      </c>
      <c r="AK789" t="s">
        <v>766</v>
      </c>
      <c r="AL789" t="s">
        <v>787</v>
      </c>
      <c r="AM789">
        <v>2022</v>
      </c>
      <c r="AN789">
        <v>2021</v>
      </c>
      <c r="AO789">
        <f>IF(AND(emissions[[#This Row],[Market-based]]=0,emissions[[#This Row],[Impact Type]]="CO2E"),emissions[[#This Row],[kgCO2e]],0)/1000</f>
        <v>0</v>
      </c>
      <c r="AP789">
        <f>IF(AND(emissions[[#This Row],[Market-based]]=1,OR(emissions[[#This Row],[Impact Type]]="CO2E",emissions[[#This Row],[Impact Type]]="CO2E MKT")),emissions[[#This Row],[kgCO2e]],0)/1000</f>
        <v>0</v>
      </c>
      <c r="AQ789" t="str">
        <f>_xlfn.TEXTAFTER(emissions[[#This Row],[Reporting Unit]]," &gt; ",LEN(emissions[[#This Row],[Reporting Unit]])-LEN(SUBSTITUTE(emissions[[#This Row],[Reporting Unit]],"&gt;","")))</f>
        <v>Vantage_Costa_Rica</v>
      </c>
      <c r="AR789" t="str">
        <f>_xlfn.XLOOKUP(emissions[[#This Row],[Reporting unit name]],hierarchy!$A:$A,hierarchy!$C:$C)</f>
        <v>Unspecified Facility Type</v>
      </c>
    </row>
    <row r="790" spans="1:44" hidden="1" x14ac:dyDescent="0.25">
      <c r="A790">
        <v>291093</v>
      </c>
      <c r="B790" t="s">
        <v>410</v>
      </c>
      <c r="C790" t="s">
        <v>525</v>
      </c>
      <c r="D790" t="s">
        <v>548</v>
      </c>
      <c r="E790" s="3">
        <v>44562</v>
      </c>
      <c r="F790" s="3">
        <v>44926</v>
      </c>
      <c r="G790" t="s">
        <v>121</v>
      </c>
      <c r="H790" s="3">
        <v>44562</v>
      </c>
      <c r="I790" s="3">
        <v>44926</v>
      </c>
      <c r="J790" t="s">
        <v>122</v>
      </c>
      <c r="K790">
        <v>26479.3</v>
      </c>
      <c r="L790" t="s">
        <v>143</v>
      </c>
      <c r="M790" t="s">
        <v>110</v>
      </c>
      <c r="O790" t="s">
        <v>823</v>
      </c>
      <c r="P790" t="s">
        <v>550</v>
      </c>
      <c r="Q790">
        <v>2022</v>
      </c>
      <c r="R790" t="s">
        <v>742</v>
      </c>
      <c r="S790" t="s">
        <v>122</v>
      </c>
      <c r="T790" t="s">
        <v>553</v>
      </c>
      <c r="U790" t="b">
        <v>0</v>
      </c>
      <c r="V790" t="s">
        <v>824</v>
      </c>
      <c r="W790" t="s">
        <v>587</v>
      </c>
      <c r="X790" t="s">
        <v>556</v>
      </c>
      <c r="Y790" t="s">
        <v>472</v>
      </c>
      <c r="AC790">
        <v>1</v>
      </c>
      <c r="AD790" t="s">
        <v>564</v>
      </c>
      <c r="AE790">
        <v>39732.136229999996</v>
      </c>
      <c r="AF790">
        <v>5.68</v>
      </c>
      <c r="AG790" t="s">
        <v>786</v>
      </c>
      <c r="AH790">
        <v>0.26417217999999998</v>
      </c>
      <c r="AI790">
        <v>6995.0944060000002</v>
      </c>
      <c r="AJ790" t="s">
        <v>561</v>
      </c>
      <c r="AK790" t="s">
        <v>766</v>
      </c>
      <c r="AL790" t="s">
        <v>767</v>
      </c>
      <c r="AM790">
        <v>2022</v>
      </c>
      <c r="AN790">
        <v>2022</v>
      </c>
      <c r="AO790">
        <f>IF(AND(emissions[[#This Row],[Market-based]]=0,emissions[[#This Row],[Impact Type]]="CO2E"),emissions[[#This Row],[kgCO2e]],0)/1000</f>
        <v>0</v>
      </c>
      <c r="AP790">
        <f>IF(AND(emissions[[#This Row],[Market-based]]=1,OR(emissions[[#This Row],[Impact Type]]="CO2E",emissions[[#This Row],[Impact Type]]="CO2E MKT")),emissions[[#This Row],[kgCO2e]],0)/1000</f>
        <v>0</v>
      </c>
      <c r="AQ790" t="str">
        <f>_xlfn.TEXTAFTER(emissions[[#This Row],[Reporting Unit]]," &gt; ",LEN(emissions[[#This Row],[Reporting Unit]])-LEN(SUBSTITUTE(emissions[[#This Row],[Reporting Unit]],"&gt;","")))</f>
        <v>Vantage_Costa_Rica</v>
      </c>
      <c r="AR790" t="str">
        <f>_xlfn.XLOOKUP(emissions[[#This Row],[Reporting unit name]],hierarchy!$A:$A,hierarchy!$C:$C)</f>
        <v>Unspecified Facility Type</v>
      </c>
    </row>
    <row r="791" spans="1:44" hidden="1" x14ac:dyDescent="0.25">
      <c r="A791">
        <v>291093</v>
      </c>
      <c r="B791" t="s">
        <v>410</v>
      </c>
      <c r="C791" t="s">
        <v>525</v>
      </c>
      <c r="D791" t="s">
        <v>548</v>
      </c>
      <c r="E791" s="3">
        <v>44562</v>
      </c>
      <c r="F791" s="3">
        <v>44926</v>
      </c>
      <c r="G791" t="s">
        <v>121</v>
      </c>
      <c r="H791" s="3">
        <v>44562</v>
      </c>
      <c r="I791" s="3">
        <v>44926</v>
      </c>
      <c r="J791" t="s">
        <v>122</v>
      </c>
      <c r="K791">
        <v>26479.3</v>
      </c>
      <c r="L791" t="s">
        <v>143</v>
      </c>
      <c r="M791" t="s">
        <v>110</v>
      </c>
      <c r="O791" t="s">
        <v>823</v>
      </c>
      <c r="P791" t="s">
        <v>550</v>
      </c>
      <c r="Q791">
        <v>2022</v>
      </c>
      <c r="R791" t="s">
        <v>742</v>
      </c>
      <c r="S791" t="s">
        <v>122</v>
      </c>
      <c r="T791" t="s">
        <v>553</v>
      </c>
      <c r="U791" t="b">
        <v>0</v>
      </c>
      <c r="V791" t="s">
        <v>824</v>
      </c>
      <c r="W791" t="s">
        <v>587</v>
      </c>
      <c r="X791" t="s">
        <v>556</v>
      </c>
      <c r="Y791" t="s">
        <v>472</v>
      </c>
      <c r="AC791">
        <v>1</v>
      </c>
      <c r="AD791" t="s">
        <v>565</v>
      </c>
      <c r="AE791">
        <v>39906.174169999998</v>
      </c>
      <c r="AF791">
        <v>5.7048800000000002</v>
      </c>
      <c r="AG791" t="s">
        <v>786</v>
      </c>
      <c r="AH791">
        <v>0.26417217999999998</v>
      </c>
      <c r="AI791">
        <v>6995.0944060000002</v>
      </c>
      <c r="AJ791" t="s">
        <v>561</v>
      </c>
      <c r="AK791" t="s">
        <v>766</v>
      </c>
      <c r="AL791" t="s">
        <v>767</v>
      </c>
      <c r="AM791">
        <v>2022</v>
      </c>
      <c r="AN791">
        <v>2022</v>
      </c>
      <c r="AO791">
        <f>IF(AND(emissions[[#This Row],[Market-based]]=0,emissions[[#This Row],[Impact Type]]="CO2E"),emissions[[#This Row],[kgCO2e]],0)/1000</f>
        <v>0</v>
      </c>
      <c r="AP791">
        <f>IF(AND(emissions[[#This Row],[Market-based]]=1,OR(emissions[[#This Row],[Impact Type]]="CO2E",emissions[[#This Row],[Impact Type]]="CO2E MKT")),emissions[[#This Row],[kgCO2e]],0)/1000</f>
        <v>39.90617417</v>
      </c>
      <c r="AQ791" t="str">
        <f>_xlfn.TEXTAFTER(emissions[[#This Row],[Reporting Unit]]," &gt; ",LEN(emissions[[#This Row],[Reporting Unit]])-LEN(SUBSTITUTE(emissions[[#This Row],[Reporting Unit]],"&gt;","")))</f>
        <v>Vantage_Costa_Rica</v>
      </c>
      <c r="AR791" t="str">
        <f>_xlfn.XLOOKUP(emissions[[#This Row],[Reporting unit name]],hierarchy!$A:$A,hierarchy!$C:$C)</f>
        <v>Unspecified Facility Type</v>
      </c>
    </row>
    <row r="792" spans="1:44" hidden="1" x14ac:dyDescent="0.25">
      <c r="A792">
        <v>291093</v>
      </c>
      <c r="B792" t="s">
        <v>410</v>
      </c>
      <c r="C792" t="s">
        <v>525</v>
      </c>
      <c r="D792" t="s">
        <v>548</v>
      </c>
      <c r="E792" s="3">
        <v>44562</v>
      </c>
      <c r="F792" s="3">
        <v>44926</v>
      </c>
      <c r="G792" t="s">
        <v>121</v>
      </c>
      <c r="H792" s="3">
        <v>44562</v>
      </c>
      <c r="I792" s="3">
        <v>44926</v>
      </c>
      <c r="J792" t="s">
        <v>122</v>
      </c>
      <c r="K792">
        <v>26479.3</v>
      </c>
      <c r="L792" t="s">
        <v>143</v>
      </c>
      <c r="M792" t="s">
        <v>110</v>
      </c>
      <c r="O792" t="s">
        <v>823</v>
      </c>
      <c r="P792" t="s">
        <v>550</v>
      </c>
      <c r="Q792">
        <v>2022</v>
      </c>
      <c r="R792" t="s">
        <v>742</v>
      </c>
      <c r="S792" t="s">
        <v>122</v>
      </c>
      <c r="T792" t="s">
        <v>553</v>
      </c>
      <c r="U792" t="b">
        <v>0</v>
      </c>
      <c r="V792" t="s">
        <v>824</v>
      </c>
      <c r="W792" t="s">
        <v>587</v>
      </c>
      <c r="X792" t="s">
        <v>556</v>
      </c>
      <c r="Y792" t="s">
        <v>472</v>
      </c>
      <c r="AC792">
        <v>1</v>
      </c>
      <c r="AD792" t="s">
        <v>566</v>
      </c>
      <c r="AE792">
        <v>125.072288</v>
      </c>
      <c r="AF792">
        <v>1.788E-2</v>
      </c>
      <c r="AG792" t="s">
        <v>786</v>
      </c>
      <c r="AH792">
        <v>0.26417217999999998</v>
      </c>
      <c r="AI792">
        <v>6995.0944060000002</v>
      </c>
      <c r="AJ792" t="s">
        <v>561</v>
      </c>
      <c r="AK792" t="s">
        <v>766</v>
      </c>
      <c r="AL792" t="s">
        <v>767</v>
      </c>
      <c r="AM792">
        <v>2022</v>
      </c>
      <c r="AN792">
        <v>2022</v>
      </c>
      <c r="AO792">
        <f>IF(AND(emissions[[#This Row],[Market-based]]=0,emissions[[#This Row],[Impact Type]]="CO2E"),emissions[[#This Row],[kgCO2e]],0)/1000</f>
        <v>0</v>
      </c>
      <c r="AP792">
        <f>IF(AND(emissions[[#This Row],[Market-based]]=1,OR(emissions[[#This Row],[Impact Type]]="CO2E",emissions[[#This Row],[Impact Type]]="CO2E MKT")),emissions[[#This Row],[kgCO2e]],0)/1000</f>
        <v>0</v>
      </c>
      <c r="AQ792" t="str">
        <f>_xlfn.TEXTAFTER(emissions[[#This Row],[Reporting Unit]]," &gt; ",LEN(emissions[[#This Row],[Reporting Unit]])-LEN(SUBSTITUTE(emissions[[#This Row],[Reporting Unit]],"&gt;","")))</f>
        <v>Vantage_Costa_Rica</v>
      </c>
      <c r="AR792" t="str">
        <f>_xlfn.XLOOKUP(emissions[[#This Row],[Reporting unit name]],hierarchy!$A:$A,hierarchy!$C:$C)</f>
        <v>Unspecified Facility Type</v>
      </c>
    </row>
    <row r="793" spans="1:44" hidden="1" x14ac:dyDescent="0.25">
      <c r="A793">
        <v>291093</v>
      </c>
      <c r="B793" t="s">
        <v>410</v>
      </c>
      <c r="C793" t="s">
        <v>525</v>
      </c>
      <c r="D793" t="s">
        <v>548</v>
      </c>
      <c r="E793" s="3">
        <v>44562</v>
      </c>
      <c r="F793" s="3">
        <v>44926</v>
      </c>
      <c r="G793" t="s">
        <v>121</v>
      </c>
      <c r="H793" s="3">
        <v>44562</v>
      </c>
      <c r="I793" s="3">
        <v>44926</v>
      </c>
      <c r="J793" t="s">
        <v>122</v>
      </c>
      <c r="K793">
        <v>26479.3</v>
      </c>
      <c r="L793" t="s">
        <v>143</v>
      </c>
      <c r="M793" t="s">
        <v>110</v>
      </c>
      <c r="O793" t="s">
        <v>823</v>
      </c>
      <c r="P793" t="s">
        <v>550</v>
      </c>
      <c r="Q793">
        <v>2022</v>
      </c>
      <c r="R793" t="s">
        <v>744</v>
      </c>
      <c r="S793" t="s">
        <v>745</v>
      </c>
      <c r="T793" t="s">
        <v>577</v>
      </c>
      <c r="U793" t="b">
        <v>0</v>
      </c>
      <c r="V793" t="s">
        <v>746</v>
      </c>
      <c r="W793" t="s">
        <v>571</v>
      </c>
      <c r="X793" t="s">
        <v>572</v>
      </c>
      <c r="AC793">
        <v>0</v>
      </c>
      <c r="AD793" t="s">
        <v>565</v>
      </c>
      <c r="AE793">
        <v>4867.689719</v>
      </c>
      <c r="AF793">
        <v>0.18382999999999999</v>
      </c>
      <c r="AG793" t="s">
        <v>588</v>
      </c>
      <c r="AH793">
        <v>1</v>
      </c>
      <c r="AI793">
        <v>26479.3</v>
      </c>
      <c r="AJ793" t="s">
        <v>561</v>
      </c>
      <c r="AK793" t="s">
        <v>589</v>
      </c>
      <c r="AL793" t="s">
        <v>590</v>
      </c>
      <c r="AM793">
        <v>2022</v>
      </c>
      <c r="AN793">
        <v>2020</v>
      </c>
      <c r="AO793">
        <f>IF(AND(emissions[[#This Row],[Market-based]]=0,emissions[[#This Row],[Impact Type]]="CO2E"),emissions[[#This Row],[kgCO2e]],0)/1000</f>
        <v>4.8676897190000004</v>
      </c>
      <c r="AP793">
        <f>IF(AND(emissions[[#This Row],[Market-based]]=1,OR(emissions[[#This Row],[Impact Type]]="CO2E",emissions[[#This Row],[Impact Type]]="CO2E MKT")),emissions[[#This Row],[kgCO2e]],0)/1000</f>
        <v>0</v>
      </c>
      <c r="AQ793" t="str">
        <f>_xlfn.TEXTAFTER(emissions[[#This Row],[Reporting Unit]]," &gt; ",LEN(emissions[[#This Row],[Reporting Unit]])-LEN(SUBSTITUTE(emissions[[#This Row],[Reporting Unit]],"&gt;","")))</f>
        <v>Vantage_Costa_Rica</v>
      </c>
      <c r="AR793" t="str">
        <f>_xlfn.XLOOKUP(emissions[[#This Row],[Reporting unit name]],hierarchy!$A:$A,hierarchy!$C:$C)</f>
        <v>Unspecified Facility Type</v>
      </c>
    </row>
    <row r="794" spans="1:44" hidden="1" x14ac:dyDescent="0.25">
      <c r="A794">
        <v>291093</v>
      </c>
      <c r="B794" t="s">
        <v>410</v>
      </c>
      <c r="C794" t="s">
        <v>525</v>
      </c>
      <c r="D794" t="s">
        <v>548</v>
      </c>
      <c r="E794" s="3">
        <v>44562</v>
      </c>
      <c r="F794" s="3">
        <v>44926</v>
      </c>
      <c r="G794" t="s">
        <v>121</v>
      </c>
      <c r="H794" s="3">
        <v>44562</v>
      </c>
      <c r="I794" s="3">
        <v>44926</v>
      </c>
      <c r="J794" t="s">
        <v>122</v>
      </c>
      <c r="K794">
        <v>26479.3</v>
      </c>
      <c r="L794" t="s">
        <v>143</v>
      </c>
      <c r="M794" t="s">
        <v>110</v>
      </c>
      <c r="O794" t="s">
        <v>823</v>
      </c>
      <c r="P794" t="s">
        <v>550</v>
      </c>
      <c r="Q794">
        <v>2022</v>
      </c>
      <c r="R794" t="s">
        <v>744</v>
      </c>
      <c r="S794" t="s">
        <v>745</v>
      </c>
      <c r="T794" t="s">
        <v>577</v>
      </c>
      <c r="U794" t="b">
        <v>0</v>
      </c>
      <c r="V794" t="s">
        <v>746</v>
      </c>
      <c r="W794" t="s">
        <v>571</v>
      </c>
      <c r="X794" t="s">
        <v>572</v>
      </c>
      <c r="AC794">
        <v>1</v>
      </c>
      <c r="AD794" t="s">
        <v>565</v>
      </c>
      <c r="AE794">
        <v>4867.689719</v>
      </c>
      <c r="AF794">
        <v>0.18382999999999999</v>
      </c>
      <c r="AG794" t="s">
        <v>588</v>
      </c>
      <c r="AH794">
        <v>1</v>
      </c>
      <c r="AI794">
        <v>26479.3</v>
      </c>
      <c r="AJ794" t="s">
        <v>561</v>
      </c>
      <c r="AK794" t="s">
        <v>589</v>
      </c>
      <c r="AL794" t="s">
        <v>590</v>
      </c>
      <c r="AM794">
        <v>2022</v>
      </c>
      <c r="AN794">
        <v>2020</v>
      </c>
      <c r="AO794">
        <f>IF(AND(emissions[[#This Row],[Market-based]]=0,emissions[[#This Row],[Impact Type]]="CO2E"),emissions[[#This Row],[kgCO2e]],0)/1000</f>
        <v>0</v>
      </c>
      <c r="AP794">
        <f>IF(AND(emissions[[#This Row],[Market-based]]=1,OR(emissions[[#This Row],[Impact Type]]="CO2E",emissions[[#This Row],[Impact Type]]="CO2E MKT")),emissions[[#This Row],[kgCO2e]],0)/1000</f>
        <v>4.8676897190000004</v>
      </c>
      <c r="AQ794" t="str">
        <f>_xlfn.TEXTAFTER(emissions[[#This Row],[Reporting Unit]]," &gt; ",LEN(emissions[[#This Row],[Reporting Unit]])-LEN(SUBSTITUTE(emissions[[#This Row],[Reporting Unit]],"&gt;","")))</f>
        <v>Vantage_Costa_Rica</v>
      </c>
      <c r="AR794" t="str">
        <f>_xlfn.XLOOKUP(emissions[[#This Row],[Reporting unit name]],hierarchy!$A:$A,hierarchy!$C:$C)</f>
        <v>Unspecified Facility Type</v>
      </c>
    </row>
    <row r="795" spans="1:44" hidden="1" x14ac:dyDescent="0.25">
      <c r="A795">
        <v>4945</v>
      </c>
      <c r="B795" t="s">
        <v>410</v>
      </c>
      <c r="C795" t="s">
        <v>525</v>
      </c>
      <c r="D795" t="s">
        <v>599</v>
      </c>
      <c r="E795" s="3">
        <v>44197</v>
      </c>
      <c r="F795" s="3">
        <v>44561</v>
      </c>
      <c r="G795" t="s">
        <v>108</v>
      </c>
      <c r="H795" s="3">
        <v>44197</v>
      </c>
      <c r="I795" s="3">
        <v>44561</v>
      </c>
      <c r="J795" t="s">
        <v>108</v>
      </c>
      <c r="K795">
        <v>6766.5971</v>
      </c>
      <c r="L795" t="s">
        <v>109</v>
      </c>
      <c r="M795" t="s">
        <v>82</v>
      </c>
      <c r="O795" t="s">
        <v>600</v>
      </c>
      <c r="P795" t="s">
        <v>550</v>
      </c>
      <c r="Q795">
        <v>2021</v>
      </c>
      <c r="R795" t="s">
        <v>551</v>
      </c>
      <c r="S795" t="s">
        <v>552</v>
      </c>
      <c r="T795" t="s">
        <v>553</v>
      </c>
      <c r="U795" t="b">
        <v>0</v>
      </c>
      <c r="V795" t="s">
        <v>817</v>
      </c>
      <c r="W795" t="s">
        <v>555</v>
      </c>
      <c r="X795" t="s">
        <v>556</v>
      </c>
      <c r="Y795" t="s">
        <v>472</v>
      </c>
      <c r="Z795" t="s">
        <v>491</v>
      </c>
      <c r="AA795" t="s">
        <v>818</v>
      </c>
      <c r="AC795">
        <v>0</v>
      </c>
      <c r="AD795" t="s">
        <v>558</v>
      </c>
      <c r="AE795">
        <v>0</v>
      </c>
      <c r="AF795" t="s">
        <v>559</v>
      </c>
      <c r="AG795" t="s">
        <v>560</v>
      </c>
      <c r="AH795">
        <v>1</v>
      </c>
      <c r="AI795">
        <v>6766.5971</v>
      </c>
      <c r="AJ795" t="s">
        <v>561</v>
      </c>
      <c r="AK795" t="s">
        <v>562</v>
      </c>
      <c r="AL795" t="s">
        <v>601</v>
      </c>
      <c r="AM795">
        <v>2021</v>
      </c>
      <c r="AN795">
        <v>2019</v>
      </c>
      <c r="AO795">
        <f>IF(AND(emissions[[#This Row],[Market-based]]=0,emissions[[#This Row],[Impact Type]]="CO2E"),emissions[[#This Row],[kgCO2e]],0)/1000</f>
        <v>0</v>
      </c>
      <c r="AP795">
        <f>IF(AND(emissions[[#This Row],[Market-based]]=1,OR(emissions[[#This Row],[Impact Type]]="CO2E",emissions[[#This Row],[Impact Type]]="CO2E MKT")),emissions[[#This Row],[kgCO2e]],0)/1000</f>
        <v>0</v>
      </c>
      <c r="AQ795" t="str">
        <f>_xlfn.TEXTAFTER(emissions[[#This Row],[Reporting Unit]]," &gt; ",LEN(emissions[[#This Row],[Reporting Unit]])-LEN(SUBSTITUTE(emissions[[#This Row],[Reporting Unit]],"&gt;","")))</f>
        <v>Vantage_Costa_Rica</v>
      </c>
      <c r="AR795" t="str">
        <f>_xlfn.XLOOKUP(emissions[[#This Row],[Reporting unit name]],hierarchy!$A:$A,hierarchy!$C:$C)</f>
        <v>Unspecified Facility Type</v>
      </c>
    </row>
    <row r="796" spans="1:44" hidden="1" x14ac:dyDescent="0.25">
      <c r="A796">
        <v>4945</v>
      </c>
      <c r="B796" t="s">
        <v>410</v>
      </c>
      <c r="C796" t="s">
        <v>525</v>
      </c>
      <c r="D796" t="s">
        <v>599</v>
      </c>
      <c r="E796" s="3">
        <v>44197</v>
      </c>
      <c r="F796" s="3">
        <v>44561</v>
      </c>
      <c r="G796" t="s">
        <v>108</v>
      </c>
      <c r="H796" s="3">
        <v>44197</v>
      </c>
      <c r="I796" s="3">
        <v>44561</v>
      </c>
      <c r="J796" t="s">
        <v>108</v>
      </c>
      <c r="K796">
        <v>6766.5971</v>
      </c>
      <c r="L796" t="s">
        <v>109</v>
      </c>
      <c r="M796" t="s">
        <v>82</v>
      </c>
      <c r="O796" t="s">
        <v>600</v>
      </c>
      <c r="P796" t="s">
        <v>550</v>
      </c>
      <c r="Q796">
        <v>2021</v>
      </c>
      <c r="R796" t="s">
        <v>551</v>
      </c>
      <c r="S796" t="s">
        <v>552</v>
      </c>
      <c r="T796" t="s">
        <v>553</v>
      </c>
      <c r="U796" t="b">
        <v>0</v>
      </c>
      <c r="V796" t="s">
        <v>817</v>
      </c>
      <c r="W796" t="s">
        <v>555</v>
      </c>
      <c r="X796" t="s">
        <v>556</v>
      </c>
      <c r="Y796" t="s">
        <v>472</v>
      </c>
      <c r="Z796" t="s">
        <v>491</v>
      </c>
      <c r="AA796" t="s">
        <v>818</v>
      </c>
      <c r="AC796">
        <v>0</v>
      </c>
      <c r="AD796" t="s">
        <v>564</v>
      </c>
      <c r="AE796">
        <v>39.922922890000002</v>
      </c>
      <c r="AF796" t="s">
        <v>559</v>
      </c>
      <c r="AG796" t="s">
        <v>560</v>
      </c>
      <c r="AH796">
        <v>1</v>
      </c>
      <c r="AI796">
        <v>6766.5971</v>
      </c>
      <c r="AJ796" t="s">
        <v>561</v>
      </c>
      <c r="AK796" t="s">
        <v>562</v>
      </c>
      <c r="AL796" t="s">
        <v>601</v>
      </c>
      <c r="AM796">
        <v>2021</v>
      </c>
      <c r="AN796">
        <v>2019</v>
      </c>
      <c r="AO796">
        <f>IF(AND(emissions[[#This Row],[Market-based]]=0,emissions[[#This Row],[Impact Type]]="CO2E"),emissions[[#This Row],[kgCO2e]],0)/1000</f>
        <v>0</v>
      </c>
      <c r="AP796">
        <f>IF(AND(emissions[[#This Row],[Market-based]]=1,OR(emissions[[#This Row],[Impact Type]]="CO2E",emissions[[#This Row],[Impact Type]]="CO2E MKT")),emissions[[#This Row],[kgCO2e]],0)/1000</f>
        <v>0</v>
      </c>
      <c r="AQ796" t="str">
        <f>_xlfn.TEXTAFTER(emissions[[#This Row],[Reporting Unit]]," &gt; ",LEN(emissions[[#This Row],[Reporting Unit]])-LEN(SUBSTITUTE(emissions[[#This Row],[Reporting Unit]],"&gt;","")))</f>
        <v>Vantage_Costa_Rica</v>
      </c>
      <c r="AR796" t="str">
        <f>_xlfn.XLOOKUP(emissions[[#This Row],[Reporting unit name]],hierarchy!$A:$A,hierarchy!$C:$C)</f>
        <v>Unspecified Facility Type</v>
      </c>
    </row>
    <row r="797" spans="1:44" hidden="1" x14ac:dyDescent="0.25">
      <c r="A797">
        <v>4945</v>
      </c>
      <c r="B797" t="s">
        <v>410</v>
      </c>
      <c r="C797" t="s">
        <v>525</v>
      </c>
      <c r="D797" t="s">
        <v>599</v>
      </c>
      <c r="E797" s="3">
        <v>44197</v>
      </c>
      <c r="F797" s="3">
        <v>44561</v>
      </c>
      <c r="G797" t="s">
        <v>108</v>
      </c>
      <c r="H797" s="3">
        <v>44197</v>
      </c>
      <c r="I797" s="3">
        <v>44561</v>
      </c>
      <c r="J797" t="s">
        <v>108</v>
      </c>
      <c r="K797">
        <v>6766.5971</v>
      </c>
      <c r="L797" t="s">
        <v>109</v>
      </c>
      <c r="M797" t="s">
        <v>82</v>
      </c>
      <c r="O797" t="s">
        <v>600</v>
      </c>
      <c r="P797" t="s">
        <v>550</v>
      </c>
      <c r="Q797">
        <v>2021</v>
      </c>
      <c r="R797" t="s">
        <v>551</v>
      </c>
      <c r="S797" t="s">
        <v>552</v>
      </c>
      <c r="T797" t="s">
        <v>553</v>
      </c>
      <c r="U797" t="b">
        <v>0</v>
      </c>
      <c r="V797" t="s">
        <v>817</v>
      </c>
      <c r="W797" t="s">
        <v>555</v>
      </c>
      <c r="X797" t="s">
        <v>556</v>
      </c>
      <c r="Y797" t="s">
        <v>472</v>
      </c>
      <c r="Z797" t="s">
        <v>491</v>
      </c>
      <c r="AA797" t="s">
        <v>818</v>
      </c>
      <c r="AC797">
        <v>0</v>
      </c>
      <c r="AD797" t="s">
        <v>565</v>
      </c>
      <c r="AE797">
        <v>39.922922890000002</v>
      </c>
      <c r="AF797" t="s">
        <v>559</v>
      </c>
      <c r="AG797" t="s">
        <v>560</v>
      </c>
      <c r="AH797">
        <v>1</v>
      </c>
      <c r="AI797">
        <v>6766.5971</v>
      </c>
      <c r="AJ797" t="s">
        <v>561</v>
      </c>
      <c r="AK797" t="s">
        <v>562</v>
      </c>
      <c r="AL797" t="s">
        <v>601</v>
      </c>
      <c r="AM797">
        <v>2021</v>
      </c>
      <c r="AN797">
        <v>2019</v>
      </c>
      <c r="AO797">
        <f>IF(AND(emissions[[#This Row],[Market-based]]=0,emissions[[#This Row],[Impact Type]]="CO2E"),emissions[[#This Row],[kgCO2e]],0)/1000</f>
        <v>3.9922922890000004E-2</v>
      </c>
      <c r="AP797">
        <f>IF(AND(emissions[[#This Row],[Market-based]]=1,OR(emissions[[#This Row],[Impact Type]]="CO2E",emissions[[#This Row],[Impact Type]]="CO2E MKT")),emissions[[#This Row],[kgCO2e]],0)/1000</f>
        <v>0</v>
      </c>
      <c r="AQ797" t="str">
        <f>_xlfn.TEXTAFTER(emissions[[#This Row],[Reporting Unit]]," &gt; ",LEN(emissions[[#This Row],[Reporting Unit]])-LEN(SUBSTITUTE(emissions[[#This Row],[Reporting Unit]],"&gt;","")))</f>
        <v>Vantage_Costa_Rica</v>
      </c>
      <c r="AR797" t="str">
        <f>_xlfn.XLOOKUP(emissions[[#This Row],[Reporting unit name]],hierarchy!$A:$A,hierarchy!$C:$C)</f>
        <v>Unspecified Facility Type</v>
      </c>
    </row>
    <row r="798" spans="1:44" hidden="1" x14ac:dyDescent="0.25">
      <c r="A798">
        <v>4945</v>
      </c>
      <c r="B798" t="s">
        <v>410</v>
      </c>
      <c r="C798" t="s">
        <v>525</v>
      </c>
      <c r="D798" t="s">
        <v>599</v>
      </c>
      <c r="E798" s="3">
        <v>44197</v>
      </c>
      <c r="F798" s="3">
        <v>44561</v>
      </c>
      <c r="G798" t="s">
        <v>108</v>
      </c>
      <c r="H798" s="3">
        <v>44197</v>
      </c>
      <c r="I798" s="3">
        <v>44561</v>
      </c>
      <c r="J798" t="s">
        <v>108</v>
      </c>
      <c r="K798">
        <v>6766.5971</v>
      </c>
      <c r="L798" t="s">
        <v>109</v>
      </c>
      <c r="M798" t="s">
        <v>82</v>
      </c>
      <c r="O798" t="s">
        <v>600</v>
      </c>
      <c r="P798" t="s">
        <v>550</v>
      </c>
      <c r="Q798">
        <v>2021</v>
      </c>
      <c r="R798" t="s">
        <v>551</v>
      </c>
      <c r="S798" t="s">
        <v>552</v>
      </c>
      <c r="T798" t="s">
        <v>553</v>
      </c>
      <c r="U798" t="b">
        <v>0</v>
      </c>
      <c r="V798" t="s">
        <v>817</v>
      </c>
      <c r="W798" t="s">
        <v>555</v>
      </c>
      <c r="X798" t="s">
        <v>556</v>
      </c>
      <c r="Y798" t="s">
        <v>472</v>
      </c>
      <c r="Z798" t="s">
        <v>491</v>
      </c>
      <c r="AA798" t="s">
        <v>818</v>
      </c>
      <c r="AC798">
        <v>0</v>
      </c>
      <c r="AD798" t="s">
        <v>566</v>
      </c>
      <c r="AE798">
        <v>0</v>
      </c>
      <c r="AF798" t="s">
        <v>559</v>
      </c>
      <c r="AG798" t="s">
        <v>560</v>
      </c>
      <c r="AH798">
        <v>1</v>
      </c>
      <c r="AI798">
        <v>6766.5971</v>
      </c>
      <c r="AJ798" t="s">
        <v>561</v>
      </c>
      <c r="AK798" t="s">
        <v>562</v>
      </c>
      <c r="AL798" t="s">
        <v>601</v>
      </c>
      <c r="AM798">
        <v>2021</v>
      </c>
      <c r="AN798">
        <v>2019</v>
      </c>
      <c r="AO798">
        <f>IF(AND(emissions[[#This Row],[Market-based]]=0,emissions[[#This Row],[Impact Type]]="CO2E"),emissions[[#This Row],[kgCO2e]],0)/1000</f>
        <v>0</v>
      </c>
      <c r="AP798">
        <f>IF(AND(emissions[[#This Row],[Market-based]]=1,OR(emissions[[#This Row],[Impact Type]]="CO2E",emissions[[#This Row],[Impact Type]]="CO2E MKT")),emissions[[#This Row],[kgCO2e]],0)/1000</f>
        <v>0</v>
      </c>
      <c r="AQ798" t="str">
        <f>_xlfn.TEXTAFTER(emissions[[#This Row],[Reporting Unit]]," &gt; ",LEN(emissions[[#This Row],[Reporting Unit]])-LEN(SUBSTITUTE(emissions[[#This Row],[Reporting Unit]],"&gt;","")))</f>
        <v>Vantage_Costa_Rica</v>
      </c>
      <c r="AR798" t="str">
        <f>_xlfn.XLOOKUP(emissions[[#This Row],[Reporting unit name]],hierarchy!$A:$A,hierarchy!$C:$C)</f>
        <v>Unspecified Facility Type</v>
      </c>
    </row>
    <row r="799" spans="1:44" hidden="1" x14ac:dyDescent="0.25">
      <c r="A799">
        <v>4945</v>
      </c>
      <c r="B799" t="s">
        <v>410</v>
      </c>
      <c r="C799" t="s">
        <v>525</v>
      </c>
      <c r="D799" t="s">
        <v>599</v>
      </c>
      <c r="E799" s="3">
        <v>44197</v>
      </c>
      <c r="F799" s="3">
        <v>44561</v>
      </c>
      <c r="G799" t="s">
        <v>108</v>
      </c>
      <c r="H799" s="3">
        <v>44197</v>
      </c>
      <c r="I799" s="3">
        <v>44561</v>
      </c>
      <c r="J799" t="s">
        <v>108</v>
      </c>
      <c r="K799">
        <v>6766.5971</v>
      </c>
      <c r="L799" t="s">
        <v>109</v>
      </c>
      <c r="M799" t="s">
        <v>82</v>
      </c>
      <c r="O799" t="s">
        <v>600</v>
      </c>
      <c r="P799" t="s">
        <v>550</v>
      </c>
      <c r="Q799">
        <v>2021</v>
      </c>
      <c r="R799" t="s">
        <v>551</v>
      </c>
      <c r="S799" t="s">
        <v>552</v>
      </c>
      <c r="T799" t="s">
        <v>553</v>
      </c>
      <c r="U799" t="b">
        <v>0</v>
      </c>
      <c r="V799" t="s">
        <v>817</v>
      </c>
      <c r="W799" t="s">
        <v>555</v>
      </c>
      <c r="X799" t="s">
        <v>556</v>
      </c>
      <c r="Y799" t="s">
        <v>472</v>
      </c>
      <c r="Z799" t="s">
        <v>491</v>
      </c>
      <c r="AA799" t="s">
        <v>818</v>
      </c>
      <c r="AC799">
        <v>1</v>
      </c>
      <c r="AD799" t="s">
        <v>558</v>
      </c>
      <c r="AE799">
        <v>0</v>
      </c>
      <c r="AF799" t="s">
        <v>559</v>
      </c>
      <c r="AG799" t="s">
        <v>560</v>
      </c>
      <c r="AH799">
        <v>1</v>
      </c>
      <c r="AI799">
        <v>6766.5971</v>
      </c>
      <c r="AJ799" t="s">
        <v>561</v>
      </c>
      <c r="AK799" t="s">
        <v>562</v>
      </c>
      <c r="AL799" t="s">
        <v>601</v>
      </c>
      <c r="AM799">
        <v>2021</v>
      </c>
      <c r="AN799">
        <v>2019</v>
      </c>
      <c r="AO799">
        <f>IF(AND(emissions[[#This Row],[Market-based]]=0,emissions[[#This Row],[Impact Type]]="CO2E"),emissions[[#This Row],[kgCO2e]],0)/1000</f>
        <v>0</v>
      </c>
      <c r="AP799">
        <f>IF(AND(emissions[[#This Row],[Market-based]]=1,OR(emissions[[#This Row],[Impact Type]]="CO2E",emissions[[#This Row],[Impact Type]]="CO2E MKT")),emissions[[#This Row],[kgCO2e]],0)/1000</f>
        <v>0</v>
      </c>
      <c r="AQ799" t="str">
        <f>_xlfn.TEXTAFTER(emissions[[#This Row],[Reporting Unit]]," &gt; ",LEN(emissions[[#This Row],[Reporting Unit]])-LEN(SUBSTITUTE(emissions[[#This Row],[Reporting Unit]],"&gt;","")))</f>
        <v>Vantage_Costa_Rica</v>
      </c>
      <c r="AR799" t="str">
        <f>_xlfn.XLOOKUP(emissions[[#This Row],[Reporting unit name]],hierarchy!$A:$A,hierarchy!$C:$C)</f>
        <v>Unspecified Facility Type</v>
      </c>
    </row>
    <row r="800" spans="1:44" hidden="1" x14ac:dyDescent="0.25">
      <c r="A800">
        <v>4945</v>
      </c>
      <c r="B800" t="s">
        <v>410</v>
      </c>
      <c r="C800" t="s">
        <v>525</v>
      </c>
      <c r="D800" t="s">
        <v>599</v>
      </c>
      <c r="E800" s="3">
        <v>44197</v>
      </c>
      <c r="F800" s="3">
        <v>44561</v>
      </c>
      <c r="G800" t="s">
        <v>108</v>
      </c>
      <c r="H800" s="3">
        <v>44197</v>
      </c>
      <c r="I800" s="3">
        <v>44561</v>
      </c>
      <c r="J800" t="s">
        <v>108</v>
      </c>
      <c r="K800">
        <v>6766.5971</v>
      </c>
      <c r="L800" t="s">
        <v>109</v>
      </c>
      <c r="M800" t="s">
        <v>82</v>
      </c>
      <c r="O800" t="s">
        <v>600</v>
      </c>
      <c r="P800" t="s">
        <v>550</v>
      </c>
      <c r="Q800">
        <v>2021</v>
      </c>
      <c r="R800" t="s">
        <v>551</v>
      </c>
      <c r="S800" t="s">
        <v>552</v>
      </c>
      <c r="T800" t="s">
        <v>553</v>
      </c>
      <c r="U800" t="b">
        <v>0</v>
      </c>
      <c r="V800" t="s">
        <v>817</v>
      </c>
      <c r="W800" t="s">
        <v>555</v>
      </c>
      <c r="X800" t="s">
        <v>556</v>
      </c>
      <c r="Y800" t="s">
        <v>472</v>
      </c>
      <c r="Z800" t="s">
        <v>491</v>
      </c>
      <c r="AA800" t="s">
        <v>818</v>
      </c>
      <c r="AC800">
        <v>1</v>
      </c>
      <c r="AD800" t="s">
        <v>564</v>
      </c>
      <c r="AE800">
        <v>39.922922890000002</v>
      </c>
      <c r="AF800" t="s">
        <v>559</v>
      </c>
      <c r="AG800" t="s">
        <v>560</v>
      </c>
      <c r="AH800">
        <v>1</v>
      </c>
      <c r="AI800">
        <v>6766.5971</v>
      </c>
      <c r="AJ800" t="s">
        <v>561</v>
      </c>
      <c r="AK800" t="s">
        <v>562</v>
      </c>
      <c r="AL800" t="s">
        <v>601</v>
      </c>
      <c r="AM800">
        <v>2021</v>
      </c>
      <c r="AN800">
        <v>2019</v>
      </c>
      <c r="AO800">
        <f>IF(AND(emissions[[#This Row],[Market-based]]=0,emissions[[#This Row],[Impact Type]]="CO2E"),emissions[[#This Row],[kgCO2e]],0)/1000</f>
        <v>0</v>
      </c>
      <c r="AP800">
        <f>IF(AND(emissions[[#This Row],[Market-based]]=1,OR(emissions[[#This Row],[Impact Type]]="CO2E",emissions[[#This Row],[Impact Type]]="CO2E MKT")),emissions[[#This Row],[kgCO2e]],0)/1000</f>
        <v>0</v>
      </c>
      <c r="AQ800" t="str">
        <f>_xlfn.TEXTAFTER(emissions[[#This Row],[Reporting Unit]]," &gt; ",LEN(emissions[[#This Row],[Reporting Unit]])-LEN(SUBSTITUTE(emissions[[#This Row],[Reporting Unit]],"&gt;","")))</f>
        <v>Vantage_Costa_Rica</v>
      </c>
      <c r="AR800" t="str">
        <f>_xlfn.XLOOKUP(emissions[[#This Row],[Reporting unit name]],hierarchy!$A:$A,hierarchy!$C:$C)</f>
        <v>Unspecified Facility Type</v>
      </c>
    </row>
    <row r="801" spans="1:44" hidden="1" x14ac:dyDescent="0.25">
      <c r="A801">
        <v>4945</v>
      </c>
      <c r="B801" t="s">
        <v>410</v>
      </c>
      <c r="C801" t="s">
        <v>525</v>
      </c>
      <c r="D801" t="s">
        <v>599</v>
      </c>
      <c r="E801" s="3">
        <v>44197</v>
      </c>
      <c r="F801" s="3">
        <v>44561</v>
      </c>
      <c r="G801" t="s">
        <v>108</v>
      </c>
      <c r="H801" s="3">
        <v>44197</v>
      </c>
      <c r="I801" s="3">
        <v>44561</v>
      </c>
      <c r="J801" t="s">
        <v>108</v>
      </c>
      <c r="K801">
        <v>6766.5971</v>
      </c>
      <c r="L801" t="s">
        <v>109</v>
      </c>
      <c r="M801" t="s">
        <v>82</v>
      </c>
      <c r="O801" t="s">
        <v>600</v>
      </c>
      <c r="P801" t="s">
        <v>550</v>
      </c>
      <c r="Q801">
        <v>2021</v>
      </c>
      <c r="R801" t="s">
        <v>551</v>
      </c>
      <c r="S801" t="s">
        <v>552</v>
      </c>
      <c r="T801" t="s">
        <v>553</v>
      </c>
      <c r="U801" t="b">
        <v>0</v>
      </c>
      <c r="V801" t="s">
        <v>817</v>
      </c>
      <c r="W801" t="s">
        <v>555</v>
      </c>
      <c r="X801" t="s">
        <v>556</v>
      </c>
      <c r="Y801" t="s">
        <v>472</v>
      </c>
      <c r="Z801" t="s">
        <v>491</v>
      </c>
      <c r="AA801" t="s">
        <v>818</v>
      </c>
      <c r="AC801">
        <v>1</v>
      </c>
      <c r="AD801" t="s">
        <v>565</v>
      </c>
      <c r="AE801">
        <v>39.922922890000002</v>
      </c>
      <c r="AF801" t="s">
        <v>559</v>
      </c>
      <c r="AG801" t="s">
        <v>560</v>
      </c>
      <c r="AH801">
        <v>1</v>
      </c>
      <c r="AI801">
        <v>6766.5971</v>
      </c>
      <c r="AJ801" t="s">
        <v>561</v>
      </c>
      <c r="AK801" t="s">
        <v>562</v>
      </c>
      <c r="AL801" t="s">
        <v>601</v>
      </c>
      <c r="AM801">
        <v>2021</v>
      </c>
      <c r="AN801">
        <v>2019</v>
      </c>
      <c r="AO801">
        <f>IF(AND(emissions[[#This Row],[Market-based]]=0,emissions[[#This Row],[Impact Type]]="CO2E"),emissions[[#This Row],[kgCO2e]],0)/1000</f>
        <v>0</v>
      </c>
      <c r="AP801">
        <f>IF(AND(emissions[[#This Row],[Market-based]]=1,OR(emissions[[#This Row],[Impact Type]]="CO2E",emissions[[#This Row],[Impact Type]]="CO2E MKT")),emissions[[#This Row],[kgCO2e]],0)/1000</f>
        <v>3.9922922890000004E-2</v>
      </c>
      <c r="AQ801" t="str">
        <f>_xlfn.TEXTAFTER(emissions[[#This Row],[Reporting Unit]]," &gt; ",LEN(emissions[[#This Row],[Reporting Unit]])-LEN(SUBSTITUTE(emissions[[#This Row],[Reporting Unit]],"&gt;","")))</f>
        <v>Vantage_Costa_Rica</v>
      </c>
      <c r="AR801" t="str">
        <f>_xlfn.XLOOKUP(emissions[[#This Row],[Reporting unit name]],hierarchy!$A:$A,hierarchy!$C:$C)</f>
        <v>Unspecified Facility Type</v>
      </c>
    </row>
    <row r="802" spans="1:44" hidden="1" x14ac:dyDescent="0.25">
      <c r="A802">
        <v>4945</v>
      </c>
      <c r="B802" t="s">
        <v>410</v>
      </c>
      <c r="C802" t="s">
        <v>525</v>
      </c>
      <c r="D802" t="s">
        <v>599</v>
      </c>
      <c r="E802" s="3">
        <v>44197</v>
      </c>
      <c r="F802" s="3">
        <v>44561</v>
      </c>
      <c r="G802" t="s">
        <v>108</v>
      </c>
      <c r="H802" s="3">
        <v>44197</v>
      </c>
      <c r="I802" s="3">
        <v>44561</v>
      </c>
      <c r="J802" t="s">
        <v>108</v>
      </c>
      <c r="K802">
        <v>6766.5971</v>
      </c>
      <c r="L802" t="s">
        <v>109</v>
      </c>
      <c r="M802" t="s">
        <v>82</v>
      </c>
      <c r="O802" t="s">
        <v>600</v>
      </c>
      <c r="P802" t="s">
        <v>550</v>
      </c>
      <c r="Q802">
        <v>2021</v>
      </c>
      <c r="R802" t="s">
        <v>551</v>
      </c>
      <c r="S802" t="s">
        <v>552</v>
      </c>
      <c r="T802" t="s">
        <v>553</v>
      </c>
      <c r="U802" t="b">
        <v>0</v>
      </c>
      <c r="V802" t="s">
        <v>817</v>
      </c>
      <c r="W802" t="s">
        <v>555</v>
      </c>
      <c r="X802" t="s">
        <v>556</v>
      </c>
      <c r="Y802" t="s">
        <v>472</v>
      </c>
      <c r="Z802" t="s">
        <v>491</v>
      </c>
      <c r="AA802" t="s">
        <v>818</v>
      </c>
      <c r="AC802">
        <v>1</v>
      </c>
      <c r="AD802" t="s">
        <v>566</v>
      </c>
      <c r="AE802">
        <v>0</v>
      </c>
      <c r="AF802" t="s">
        <v>559</v>
      </c>
      <c r="AG802" t="s">
        <v>560</v>
      </c>
      <c r="AH802">
        <v>1</v>
      </c>
      <c r="AI802">
        <v>6766.5971</v>
      </c>
      <c r="AJ802" t="s">
        <v>561</v>
      </c>
      <c r="AK802" t="s">
        <v>562</v>
      </c>
      <c r="AL802" t="s">
        <v>601</v>
      </c>
      <c r="AM802">
        <v>2021</v>
      </c>
      <c r="AN802">
        <v>2019</v>
      </c>
      <c r="AO802">
        <f>IF(AND(emissions[[#This Row],[Market-based]]=0,emissions[[#This Row],[Impact Type]]="CO2E"),emissions[[#This Row],[kgCO2e]],0)/1000</f>
        <v>0</v>
      </c>
      <c r="AP802">
        <f>IF(AND(emissions[[#This Row],[Market-based]]=1,OR(emissions[[#This Row],[Impact Type]]="CO2E",emissions[[#This Row],[Impact Type]]="CO2E MKT")),emissions[[#This Row],[kgCO2e]],0)/1000</f>
        <v>0</v>
      </c>
      <c r="AQ802" t="str">
        <f>_xlfn.TEXTAFTER(emissions[[#This Row],[Reporting Unit]]," &gt; ",LEN(emissions[[#This Row],[Reporting Unit]])-LEN(SUBSTITUTE(emissions[[#This Row],[Reporting Unit]],"&gt;","")))</f>
        <v>Vantage_Costa_Rica</v>
      </c>
      <c r="AR802" t="str">
        <f>_xlfn.XLOOKUP(emissions[[#This Row],[Reporting unit name]],hierarchy!$A:$A,hierarchy!$C:$C)</f>
        <v>Unspecified Facility Type</v>
      </c>
    </row>
    <row r="803" spans="1:44" hidden="1" x14ac:dyDescent="0.25">
      <c r="A803">
        <v>4945</v>
      </c>
      <c r="B803" t="s">
        <v>410</v>
      </c>
      <c r="C803" t="s">
        <v>525</v>
      </c>
      <c r="D803" t="s">
        <v>599</v>
      </c>
      <c r="E803" s="3">
        <v>44197</v>
      </c>
      <c r="F803" s="3">
        <v>44561</v>
      </c>
      <c r="G803" t="s">
        <v>108</v>
      </c>
      <c r="H803" s="3">
        <v>44197</v>
      </c>
      <c r="I803" s="3">
        <v>44561</v>
      </c>
      <c r="J803" t="s">
        <v>108</v>
      </c>
      <c r="K803">
        <v>6766.5971</v>
      </c>
      <c r="L803" t="s">
        <v>109</v>
      </c>
      <c r="M803" t="s">
        <v>82</v>
      </c>
      <c r="O803" t="s">
        <v>600</v>
      </c>
      <c r="P803" t="s">
        <v>550</v>
      </c>
      <c r="Q803">
        <v>2021</v>
      </c>
      <c r="R803" t="s">
        <v>567</v>
      </c>
      <c r="S803" t="s">
        <v>568</v>
      </c>
      <c r="T803" t="s">
        <v>569</v>
      </c>
      <c r="U803" t="b">
        <v>0</v>
      </c>
      <c r="V803" t="s">
        <v>825</v>
      </c>
      <c r="W803" t="s">
        <v>571</v>
      </c>
      <c r="X803" t="s">
        <v>572</v>
      </c>
      <c r="Y803" t="s">
        <v>472</v>
      </c>
      <c r="Z803" t="s">
        <v>491</v>
      </c>
      <c r="AA803" t="s">
        <v>818</v>
      </c>
      <c r="AC803">
        <v>0</v>
      </c>
      <c r="AD803" t="s">
        <v>558</v>
      </c>
      <c r="AE803">
        <v>0</v>
      </c>
      <c r="AF803">
        <v>0</v>
      </c>
      <c r="AG803" t="s">
        <v>560</v>
      </c>
      <c r="AH803">
        <v>1</v>
      </c>
      <c r="AI803">
        <v>6766.5971</v>
      </c>
      <c r="AJ803" t="s">
        <v>561</v>
      </c>
      <c r="AK803" t="s">
        <v>573</v>
      </c>
      <c r="AL803" t="s">
        <v>826</v>
      </c>
      <c r="AM803">
        <v>2021</v>
      </c>
      <c r="AN803">
        <v>2019</v>
      </c>
      <c r="AO803">
        <f>IF(AND(emissions[[#This Row],[Market-based]]=0,emissions[[#This Row],[Impact Type]]="CO2E"),emissions[[#This Row],[kgCO2e]],0)/1000</f>
        <v>0</v>
      </c>
      <c r="AP803">
        <f>IF(AND(emissions[[#This Row],[Market-based]]=1,OR(emissions[[#This Row],[Impact Type]]="CO2E",emissions[[#This Row],[Impact Type]]="CO2E MKT")),emissions[[#This Row],[kgCO2e]],0)/1000</f>
        <v>0</v>
      </c>
      <c r="AQ803" t="str">
        <f>_xlfn.TEXTAFTER(emissions[[#This Row],[Reporting Unit]]," &gt; ",LEN(emissions[[#This Row],[Reporting Unit]])-LEN(SUBSTITUTE(emissions[[#This Row],[Reporting Unit]],"&gt;","")))</f>
        <v>Vantage_Costa_Rica</v>
      </c>
      <c r="AR803" t="str">
        <f>_xlfn.XLOOKUP(emissions[[#This Row],[Reporting unit name]],hierarchy!$A:$A,hierarchy!$C:$C)</f>
        <v>Unspecified Facility Type</v>
      </c>
    </row>
    <row r="804" spans="1:44" hidden="1" x14ac:dyDescent="0.25">
      <c r="A804">
        <v>4945</v>
      </c>
      <c r="B804" t="s">
        <v>410</v>
      </c>
      <c r="C804" t="s">
        <v>525</v>
      </c>
      <c r="D804" t="s">
        <v>599</v>
      </c>
      <c r="E804" s="3">
        <v>44197</v>
      </c>
      <c r="F804" s="3">
        <v>44561</v>
      </c>
      <c r="G804" t="s">
        <v>108</v>
      </c>
      <c r="H804" s="3">
        <v>44197</v>
      </c>
      <c r="I804" s="3">
        <v>44561</v>
      </c>
      <c r="J804" t="s">
        <v>108</v>
      </c>
      <c r="K804">
        <v>6766.5971</v>
      </c>
      <c r="L804" t="s">
        <v>109</v>
      </c>
      <c r="M804" t="s">
        <v>82</v>
      </c>
      <c r="O804" t="s">
        <v>600</v>
      </c>
      <c r="P804" t="s">
        <v>550</v>
      </c>
      <c r="Q804">
        <v>2021</v>
      </c>
      <c r="R804" t="s">
        <v>567</v>
      </c>
      <c r="S804" t="s">
        <v>568</v>
      </c>
      <c r="T804" t="s">
        <v>569</v>
      </c>
      <c r="U804" t="b">
        <v>0</v>
      </c>
      <c r="V804" t="s">
        <v>825</v>
      </c>
      <c r="W804" t="s">
        <v>571</v>
      </c>
      <c r="X804" t="s">
        <v>572</v>
      </c>
      <c r="Y804" t="s">
        <v>472</v>
      </c>
      <c r="Z804" t="s">
        <v>491</v>
      </c>
      <c r="AA804" t="s">
        <v>818</v>
      </c>
      <c r="AC804">
        <v>0</v>
      </c>
      <c r="AD804" t="s">
        <v>564</v>
      </c>
      <c r="AE804">
        <v>1.0100898229999999</v>
      </c>
      <c r="AF804">
        <v>1.49276E-4</v>
      </c>
      <c r="AG804" t="s">
        <v>560</v>
      </c>
      <c r="AH804">
        <v>1</v>
      </c>
      <c r="AI804">
        <v>6766.5971</v>
      </c>
      <c r="AJ804" t="s">
        <v>561</v>
      </c>
      <c r="AK804" t="s">
        <v>573</v>
      </c>
      <c r="AL804" t="s">
        <v>826</v>
      </c>
      <c r="AM804">
        <v>2021</v>
      </c>
      <c r="AN804">
        <v>2019</v>
      </c>
      <c r="AO804">
        <f>IF(AND(emissions[[#This Row],[Market-based]]=0,emissions[[#This Row],[Impact Type]]="CO2E"),emissions[[#This Row],[kgCO2e]],0)/1000</f>
        <v>0</v>
      </c>
      <c r="AP804">
        <f>IF(AND(emissions[[#This Row],[Market-based]]=1,OR(emissions[[#This Row],[Impact Type]]="CO2E",emissions[[#This Row],[Impact Type]]="CO2E MKT")),emissions[[#This Row],[kgCO2e]],0)/1000</f>
        <v>0</v>
      </c>
      <c r="AQ804" t="str">
        <f>_xlfn.TEXTAFTER(emissions[[#This Row],[Reporting Unit]]," &gt; ",LEN(emissions[[#This Row],[Reporting Unit]])-LEN(SUBSTITUTE(emissions[[#This Row],[Reporting Unit]],"&gt;","")))</f>
        <v>Vantage_Costa_Rica</v>
      </c>
      <c r="AR804" t="str">
        <f>_xlfn.XLOOKUP(emissions[[#This Row],[Reporting unit name]],hierarchy!$A:$A,hierarchy!$C:$C)</f>
        <v>Unspecified Facility Type</v>
      </c>
    </row>
    <row r="805" spans="1:44" hidden="1" x14ac:dyDescent="0.25">
      <c r="A805">
        <v>4945</v>
      </c>
      <c r="B805" t="s">
        <v>410</v>
      </c>
      <c r="C805" t="s">
        <v>525</v>
      </c>
      <c r="D805" t="s">
        <v>599</v>
      </c>
      <c r="E805" s="3">
        <v>44197</v>
      </c>
      <c r="F805" s="3">
        <v>44561</v>
      </c>
      <c r="G805" t="s">
        <v>108</v>
      </c>
      <c r="H805" s="3">
        <v>44197</v>
      </c>
      <c r="I805" s="3">
        <v>44561</v>
      </c>
      <c r="J805" t="s">
        <v>108</v>
      </c>
      <c r="K805">
        <v>6766.5971</v>
      </c>
      <c r="L805" t="s">
        <v>109</v>
      </c>
      <c r="M805" t="s">
        <v>82</v>
      </c>
      <c r="O805" t="s">
        <v>600</v>
      </c>
      <c r="P805" t="s">
        <v>550</v>
      </c>
      <c r="Q805">
        <v>2021</v>
      </c>
      <c r="R805" t="s">
        <v>567</v>
      </c>
      <c r="S805" t="s">
        <v>568</v>
      </c>
      <c r="T805" t="s">
        <v>569</v>
      </c>
      <c r="U805" t="b">
        <v>0</v>
      </c>
      <c r="V805" t="s">
        <v>825</v>
      </c>
      <c r="W805" t="s">
        <v>571</v>
      </c>
      <c r="X805" t="s">
        <v>572</v>
      </c>
      <c r="Y805" t="s">
        <v>472</v>
      </c>
      <c r="Z805" t="s">
        <v>491</v>
      </c>
      <c r="AA805" t="s">
        <v>818</v>
      </c>
      <c r="AC805">
        <v>0</v>
      </c>
      <c r="AD805" t="s">
        <v>565</v>
      </c>
      <c r="AE805">
        <v>0.71670423299999997</v>
      </c>
      <c r="AF805">
        <v>1.05918E-4</v>
      </c>
      <c r="AG805" t="s">
        <v>560</v>
      </c>
      <c r="AH805">
        <v>1</v>
      </c>
      <c r="AI805">
        <v>6766.5971</v>
      </c>
      <c r="AJ805" t="s">
        <v>561</v>
      </c>
      <c r="AK805" t="s">
        <v>573</v>
      </c>
      <c r="AL805" t="s">
        <v>826</v>
      </c>
      <c r="AM805">
        <v>2021</v>
      </c>
      <c r="AN805">
        <v>2019</v>
      </c>
      <c r="AO805">
        <f>IF(AND(emissions[[#This Row],[Market-based]]=0,emissions[[#This Row],[Impact Type]]="CO2E"),emissions[[#This Row],[kgCO2e]],0)/1000</f>
        <v>7.1670423300000002E-4</v>
      </c>
      <c r="AP805">
        <f>IF(AND(emissions[[#This Row],[Market-based]]=1,OR(emissions[[#This Row],[Impact Type]]="CO2E",emissions[[#This Row],[Impact Type]]="CO2E MKT")),emissions[[#This Row],[kgCO2e]],0)/1000</f>
        <v>0</v>
      </c>
      <c r="AQ805" t="str">
        <f>_xlfn.TEXTAFTER(emissions[[#This Row],[Reporting Unit]]," &gt; ",LEN(emissions[[#This Row],[Reporting Unit]])-LEN(SUBSTITUTE(emissions[[#This Row],[Reporting Unit]],"&gt;","")))</f>
        <v>Vantage_Costa_Rica</v>
      </c>
      <c r="AR805" t="str">
        <f>_xlfn.XLOOKUP(emissions[[#This Row],[Reporting unit name]],hierarchy!$A:$A,hierarchy!$C:$C)</f>
        <v>Unspecified Facility Type</v>
      </c>
    </row>
    <row r="806" spans="1:44" hidden="1" x14ac:dyDescent="0.25">
      <c r="A806">
        <v>4945</v>
      </c>
      <c r="B806" t="s">
        <v>410</v>
      </c>
      <c r="C806" t="s">
        <v>525</v>
      </c>
      <c r="D806" t="s">
        <v>599</v>
      </c>
      <c r="E806" s="3">
        <v>44197</v>
      </c>
      <c r="F806" s="3">
        <v>44561</v>
      </c>
      <c r="G806" t="s">
        <v>108</v>
      </c>
      <c r="H806" s="3">
        <v>44197</v>
      </c>
      <c r="I806" s="3">
        <v>44561</v>
      </c>
      <c r="J806" t="s">
        <v>108</v>
      </c>
      <c r="K806">
        <v>6766.5971</v>
      </c>
      <c r="L806" t="s">
        <v>109</v>
      </c>
      <c r="M806" t="s">
        <v>82</v>
      </c>
      <c r="O806" t="s">
        <v>600</v>
      </c>
      <c r="P806" t="s">
        <v>550</v>
      </c>
      <c r="Q806">
        <v>2021</v>
      </c>
      <c r="R806" t="s">
        <v>567</v>
      </c>
      <c r="S806" t="s">
        <v>568</v>
      </c>
      <c r="T806" t="s">
        <v>569</v>
      </c>
      <c r="U806" t="b">
        <v>0</v>
      </c>
      <c r="V806" t="s">
        <v>825</v>
      </c>
      <c r="W806" t="s">
        <v>571</v>
      </c>
      <c r="X806" t="s">
        <v>572</v>
      </c>
      <c r="Y806" t="s">
        <v>472</v>
      </c>
      <c r="Z806" t="s">
        <v>491</v>
      </c>
      <c r="AA806" t="s">
        <v>818</v>
      </c>
      <c r="AC806">
        <v>0</v>
      </c>
      <c r="AD806" t="s">
        <v>566</v>
      </c>
      <c r="AE806">
        <v>0</v>
      </c>
      <c r="AF806">
        <v>0</v>
      </c>
      <c r="AG806" t="s">
        <v>560</v>
      </c>
      <c r="AH806">
        <v>1</v>
      </c>
      <c r="AI806">
        <v>6766.5971</v>
      </c>
      <c r="AJ806" t="s">
        <v>561</v>
      </c>
      <c r="AK806" t="s">
        <v>573</v>
      </c>
      <c r="AL806" t="s">
        <v>826</v>
      </c>
      <c r="AM806">
        <v>2021</v>
      </c>
      <c r="AN806">
        <v>2019</v>
      </c>
      <c r="AO806">
        <f>IF(AND(emissions[[#This Row],[Market-based]]=0,emissions[[#This Row],[Impact Type]]="CO2E"),emissions[[#This Row],[kgCO2e]],0)/1000</f>
        <v>0</v>
      </c>
      <c r="AP806">
        <f>IF(AND(emissions[[#This Row],[Market-based]]=1,OR(emissions[[#This Row],[Impact Type]]="CO2E",emissions[[#This Row],[Impact Type]]="CO2E MKT")),emissions[[#This Row],[kgCO2e]],0)/1000</f>
        <v>0</v>
      </c>
      <c r="AQ806" t="str">
        <f>_xlfn.TEXTAFTER(emissions[[#This Row],[Reporting Unit]]," &gt; ",LEN(emissions[[#This Row],[Reporting Unit]])-LEN(SUBSTITUTE(emissions[[#This Row],[Reporting Unit]],"&gt;","")))</f>
        <v>Vantage_Costa_Rica</v>
      </c>
      <c r="AR806" t="str">
        <f>_xlfn.XLOOKUP(emissions[[#This Row],[Reporting unit name]],hierarchy!$A:$A,hierarchy!$C:$C)</f>
        <v>Unspecified Facility Type</v>
      </c>
    </row>
    <row r="807" spans="1:44" hidden="1" x14ac:dyDescent="0.25">
      <c r="A807">
        <v>4945</v>
      </c>
      <c r="B807" t="s">
        <v>410</v>
      </c>
      <c r="C807" t="s">
        <v>525</v>
      </c>
      <c r="D807" t="s">
        <v>599</v>
      </c>
      <c r="E807" s="3">
        <v>44197</v>
      </c>
      <c r="F807" s="3">
        <v>44561</v>
      </c>
      <c r="G807" t="s">
        <v>108</v>
      </c>
      <c r="H807" s="3">
        <v>44197</v>
      </c>
      <c r="I807" s="3">
        <v>44561</v>
      </c>
      <c r="J807" t="s">
        <v>108</v>
      </c>
      <c r="K807">
        <v>6766.5971</v>
      </c>
      <c r="L807" t="s">
        <v>109</v>
      </c>
      <c r="M807" t="s">
        <v>82</v>
      </c>
      <c r="O807" t="s">
        <v>600</v>
      </c>
      <c r="P807" t="s">
        <v>550</v>
      </c>
      <c r="Q807">
        <v>2021</v>
      </c>
      <c r="R807" t="s">
        <v>567</v>
      </c>
      <c r="S807" t="s">
        <v>568</v>
      </c>
      <c r="T807" t="s">
        <v>569</v>
      </c>
      <c r="U807" t="b">
        <v>0</v>
      </c>
      <c r="V807" t="s">
        <v>825</v>
      </c>
      <c r="W807" t="s">
        <v>571</v>
      </c>
      <c r="X807" t="s">
        <v>572</v>
      </c>
      <c r="Y807" t="s">
        <v>472</v>
      </c>
      <c r="Z807" t="s">
        <v>491</v>
      </c>
      <c r="AA807" t="s">
        <v>818</v>
      </c>
      <c r="AC807">
        <v>1</v>
      </c>
      <c r="AD807" t="s">
        <v>558</v>
      </c>
      <c r="AE807">
        <v>0</v>
      </c>
      <c r="AF807">
        <v>0</v>
      </c>
      <c r="AG807" t="s">
        <v>560</v>
      </c>
      <c r="AH807">
        <v>1</v>
      </c>
      <c r="AI807">
        <v>6766.5971</v>
      </c>
      <c r="AJ807" t="s">
        <v>561</v>
      </c>
      <c r="AK807" t="s">
        <v>573</v>
      </c>
      <c r="AL807" t="s">
        <v>826</v>
      </c>
      <c r="AM807">
        <v>2021</v>
      </c>
      <c r="AN807">
        <v>2019</v>
      </c>
      <c r="AO807">
        <f>IF(AND(emissions[[#This Row],[Market-based]]=0,emissions[[#This Row],[Impact Type]]="CO2E"),emissions[[#This Row],[kgCO2e]],0)/1000</f>
        <v>0</v>
      </c>
      <c r="AP807">
        <f>IF(AND(emissions[[#This Row],[Market-based]]=1,OR(emissions[[#This Row],[Impact Type]]="CO2E",emissions[[#This Row],[Impact Type]]="CO2E MKT")),emissions[[#This Row],[kgCO2e]],0)/1000</f>
        <v>0</v>
      </c>
      <c r="AQ807" t="str">
        <f>_xlfn.TEXTAFTER(emissions[[#This Row],[Reporting Unit]]," &gt; ",LEN(emissions[[#This Row],[Reporting Unit]])-LEN(SUBSTITUTE(emissions[[#This Row],[Reporting Unit]],"&gt;","")))</f>
        <v>Vantage_Costa_Rica</v>
      </c>
      <c r="AR807" t="str">
        <f>_xlfn.XLOOKUP(emissions[[#This Row],[Reporting unit name]],hierarchy!$A:$A,hierarchy!$C:$C)</f>
        <v>Unspecified Facility Type</v>
      </c>
    </row>
    <row r="808" spans="1:44" hidden="1" x14ac:dyDescent="0.25">
      <c r="A808">
        <v>4945</v>
      </c>
      <c r="B808" t="s">
        <v>410</v>
      </c>
      <c r="C808" t="s">
        <v>525</v>
      </c>
      <c r="D808" t="s">
        <v>599</v>
      </c>
      <c r="E808" s="3">
        <v>44197</v>
      </c>
      <c r="F808" s="3">
        <v>44561</v>
      </c>
      <c r="G808" t="s">
        <v>108</v>
      </c>
      <c r="H808" s="3">
        <v>44197</v>
      </c>
      <c r="I808" s="3">
        <v>44561</v>
      </c>
      <c r="J808" t="s">
        <v>108</v>
      </c>
      <c r="K808">
        <v>6766.5971</v>
      </c>
      <c r="L808" t="s">
        <v>109</v>
      </c>
      <c r="M808" t="s">
        <v>82</v>
      </c>
      <c r="O808" t="s">
        <v>600</v>
      </c>
      <c r="P808" t="s">
        <v>550</v>
      </c>
      <c r="Q808">
        <v>2021</v>
      </c>
      <c r="R808" t="s">
        <v>567</v>
      </c>
      <c r="S808" t="s">
        <v>568</v>
      </c>
      <c r="T808" t="s">
        <v>569</v>
      </c>
      <c r="U808" t="b">
        <v>0</v>
      </c>
      <c r="V808" t="s">
        <v>825</v>
      </c>
      <c r="W808" t="s">
        <v>571</v>
      </c>
      <c r="X808" t="s">
        <v>572</v>
      </c>
      <c r="Y808" t="s">
        <v>472</v>
      </c>
      <c r="Z808" t="s">
        <v>491</v>
      </c>
      <c r="AA808" t="s">
        <v>818</v>
      </c>
      <c r="AC808">
        <v>1</v>
      </c>
      <c r="AD808" t="s">
        <v>564</v>
      </c>
      <c r="AE808">
        <v>1.0100898229999999</v>
      </c>
      <c r="AF808">
        <v>1.49276E-4</v>
      </c>
      <c r="AG808" t="s">
        <v>560</v>
      </c>
      <c r="AH808">
        <v>1</v>
      </c>
      <c r="AI808">
        <v>6766.5971</v>
      </c>
      <c r="AJ808" t="s">
        <v>561</v>
      </c>
      <c r="AK808" t="s">
        <v>573</v>
      </c>
      <c r="AL808" t="s">
        <v>826</v>
      </c>
      <c r="AM808">
        <v>2021</v>
      </c>
      <c r="AN808">
        <v>2019</v>
      </c>
      <c r="AO808">
        <f>IF(AND(emissions[[#This Row],[Market-based]]=0,emissions[[#This Row],[Impact Type]]="CO2E"),emissions[[#This Row],[kgCO2e]],0)/1000</f>
        <v>0</v>
      </c>
      <c r="AP808">
        <f>IF(AND(emissions[[#This Row],[Market-based]]=1,OR(emissions[[#This Row],[Impact Type]]="CO2E",emissions[[#This Row],[Impact Type]]="CO2E MKT")),emissions[[#This Row],[kgCO2e]],0)/1000</f>
        <v>0</v>
      </c>
      <c r="AQ808" t="str">
        <f>_xlfn.TEXTAFTER(emissions[[#This Row],[Reporting Unit]]," &gt; ",LEN(emissions[[#This Row],[Reporting Unit]])-LEN(SUBSTITUTE(emissions[[#This Row],[Reporting Unit]],"&gt;","")))</f>
        <v>Vantage_Costa_Rica</v>
      </c>
      <c r="AR808" t="str">
        <f>_xlfn.XLOOKUP(emissions[[#This Row],[Reporting unit name]],hierarchy!$A:$A,hierarchy!$C:$C)</f>
        <v>Unspecified Facility Type</v>
      </c>
    </row>
    <row r="809" spans="1:44" hidden="1" x14ac:dyDescent="0.25">
      <c r="A809">
        <v>4945</v>
      </c>
      <c r="B809" t="s">
        <v>410</v>
      </c>
      <c r="C809" t="s">
        <v>525</v>
      </c>
      <c r="D809" t="s">
        <v>599</v>
      </c>
      <c r="E809" s="3">
        <v>44197</v>
      </c>
      <c r="F809" s="3">
        <v>44561</v>
      </c>
      <c r="G809" t="s">
        <v>108</v>
      </c>
      <c r="H809" s="3">
        <v>44197</v>
      </c>
      <c r="I809" s="3">
        <v>44561</v>
      </c>
      <c r="J809" t="s">
        <v>108</v>
      </c>
      <c r="K809">
        <v>6766.5971</v>
      </c>
      <c r="L809" t="s">
        <v>109</v>
      </c>
      <c r="M809" t="s">
        <v>82</v>
      </c>
      <c r="O809" t="s">
        <v>600</v>
      </c>
      <c r="P809" t="s">
        <v>550</v>
      </c>
      <c r="Q809">
        <v>2021</v>
      </c>
      <c r="R809" t="s">
        <v>567</v>
      </c>
      <c r="S809" t="s">
        <v>568</v>
      </c>
      <c r="T809" t="s">
        <v>569</v>
      </c>
      <c r="U809" t="b">
        <v>0</v>
      </c>
      <c r="V809" t="s">
        <v>825</v>
      </c>
      <c r="W809" t="s">
        <v>571</v>
      </c>
      <c r="X809" t="s">
        <v>572</v>
      </c>
      <c r="Y809" t="s">
        <v>472</v>
      </c>
      <c r="Z809" t="s">
        <v>491</v>
      </c>
      <c r="AA809" t="s">
        <v>818</v>
      </c>
      <c r="AC809">
        <v>1</v>
      </c>
      <c r="AD809" t="s">
        <v>565</v>
      </c>
      <c r="AE809">
        <v>0.71670423299999997</v>
      </c>
      <c r="AF809">
        <v>1.05918E-4</v>
      </c>
      <c r="AG809" t="s">
        <v>560</v>
      </c>
      <c r="AH809">
        <v>1</v>
      </c>
      <c r="AI809">
        <v>6766.5971</v>
      </c>
      <c r="AJ809" t="s">
        <v>561</v>
      </c>
      <c r="AK809" t="s">
        <v>573</v>
      </c>
      <c r="AL809" t="s">
        <v>826</v>
      </c>
      <c r="AM809">
        <v>2021</v>
      </c>
      <c r="AN809">
        <v>2019</v>
      </c>
      <c r="AO809">
        <f>IF(AND(emissions[[#This Row],[Market-based]]=0,emissions[[#This Row],[Impact Type]]="CO2E"),emissions[[#This Row],[kgCO2e]],0)/1000</f>
        <v>0</v>
      </c>
      <c r="AP809">
        <f>IF(AND(emissions[[#This Row],[Market-based]]=1,OR(emissions[[#This Row],[Impact Type]]="CO2E",emissions[[#This Row],[Impact Type]]="CO2E MKT")),emissions[[#This Row],[kgCO2e]],0)/1000</f>
        <v>7.1670423300000002E-4</v>
      </c>
      <c r="AQ809" t="str">
        <f>_xlfn.TEXTAFTER(emissions[[#This Row],[Reporting Unit]]," &gt; ",LEN(emissions[[#This Row],[Reporting Unit]])-LEN(SUBSTITUTE(emissions[[#This Row],[Reporting Unit]],"&gt;","")))</f>
        <v>Vantage_Costa_Rica</v>
      </c>
      <c r="AR809" t="str">
        <f>_xlfn.XLOOKUP(emissions[[#This Row],[Reporting unit name]],hierarchy!$A:$A,hierarchy!$C:$C)</f>
        <v>Unspecified Facility Type</v>
      </c>
    </row>
    <row r="810" spans="1:44" hidden="1" x14ac:dyDescent="0.25">
      <c r="A810">
        <v>4945</v>
      </c>
      <c r="B810" t="s">
        <v>410</v>
      </c>
      <c r="C810" t="s">
        <v>525</v>
      </c>
      <c r="D810" t="s">
        <v>599</v>
      </c>
      <c r="E810" s="3">
        <v>44197</v>
      </c>
      <c r="F810" s="3">
        <v>44561</v>
      </c>
      <c r="G810" t="s">
        <v>108</v>
      </c>
      <c r="H810" s="3">
        <v>44197</v>
      </c>
      <c r="I810" s="3">
        <v>44561</v>
      </c>
      <c r="J810" t="s">
        <v>108</v>
      </c>
      <c r="K810">
        <v>6766.5971</v>
      </c>
      <c r="L810" t="s">
        <v>109</v>
      </c>
      <c r="M810" t="s">
        <v>82</v>
      </c>
      <c r="O810" t="s">
        <v>600</v>
      </c>
      <c r="P810" t="s">
        <v>550</v>
      </c>
      <c r="Q810">
        <v>2021</v>
      </c>
      <c r="R810" t="s">
        <v>567</v>
      </c>
      <c r="S810" t="s">
        <v>568</v>
      </c>
      <c r="T810" t="s">
        <v>569</v>
      </c>
      <c r="U810" t="b">
        <v>0</v>
      </c>
      <c r="V810" t="s">
        <v>825</v>
      </c>
      <c r="W810" t="s">
        <v>571</v>
      </c>
      <c r="X810" t="s">
        <v>572</v>
      </c>
      <c r="Y810" t="s">
        <v>472</v>
      </c>
      <c r="Z810" t="s">
        <v>491</v>
      </c>
      <c r="AA810" t="s">
        <v>818</v>
      </c>
      <c r="AC810">
        <v>1</v>
      </c>
      <c r="AD810" t="s">
        <v>566</v>
      </c>
      <c r="AE810">
        <v>0</v>
      </c>
      <c r="AF810">
        <v>0</v>
      </c>
      <c r="AG810" t="s">
        <v>560</v>
      </c>
      <c r="AH810">
        <v>1</v>
      </c>
      <c r="AI810">
        <v>6766.5971</v>
      </c>
      <c r="AJ810" t="s">
        <v>561</v>
      </c>
      <c r="AK810" t="s">
        <v>573</v>
      </c>
      <c r="AL810" t="s">
        <v>826</v>
      </c>
      <c r="AM810">
        <v>2021</v>
      </c>
      <c r="AN810">
        <v>2019</v>
      </c>
      <c r="AO810">
        <f>IF(AND(emissions[[#This Row],[Market-based]]=0,emissions[[#This Row],[Impact Type]]="CO2E"),emissions[[#This Row],[kgCO2e]],0)/1000</f>
        <v>0</v>
      </c>
      <c r="AP810">
        <f>IF(AND(emissions[[#This Row],[Market-based]]=1,OR(emissions[[#This Row],[Impact Type]]="CO2E",emissions[[#This Row],[Impact Type]]="CO2E MKT")),emissions[[#This Row],[kgCO2e]],0)/1000</f>
        <v>0</v>
      </c>
      <c r="AQ810" t="str">
        <f>_xlfn.TEXTAFTER(emissions[[#This Row],[Reporting Unit]]," &gt; ",LEN(emissions[[#This Row],[Reporting Unit]])-LEN(SUBSTITUTE(emissions[[#This Row],[Reporting Unit]],"&gt;","")))</f>
        <v>Vantage_Costa_Rica</v>
      </c>
      <c r="AR810" t="str">
        <f>_xlfn.XLOOKUP(emissions[[#This Row],[Reporting unit name]],hierarchy!$A:$A,hierarchy!$C:$C)</f>
        <v>Unspecified Facility Type</v>
      </c>
    </row>
    <row r="811" spans="1:44" hidden="1" x14ac:dyDescent="0.25">
      <c r="A811">
        <v>4945</v>
      </c>
      <c r="B811" t="s">
        <v>410</v>
      </c>
      <c r="C811" t="s">
        <v>525</v>
      </c>
      <c r="D811" t="s">
        <v>599</v>
      </c>
      <c r="E811" s="3">
        <v>44197</v>
      </c>
      <c r="F811" s="3">
        <v>44561</v>
      </c>
      <c r="G811" t="s">
        <v>108</v>
      </c>
      <c r="H811" s="3">
        <v>44197</v>
      </c>
      <c r="I811" s="3">
        <v>44561</v>
      </c>
      <c r="J811" t="s">
        <v>108</v>
      </c>
      <c r="K811">
        <v>6766.5971</v>
      </c>
      <c r="L811" t="s">
        <v>109</v>
      </c>
      <c r="M811" t="s">
        <v>82</v>
      </c>
      <c r="O811" t="s">
        <v>600</v>
      </c>
      <c r="P811" t="s">
        <v>550</v>
      </c>
      <c r="Q811">
        <v>2021</v>
      </c>
      <c r="R811" t="s">
        <v>575</v>
      </c>
      <c r="S811" t="s">
        <v>576</v>
      </c>
      <c r="T811" t="s">
        <v>577</v>
      </c>
      <c r="U811" t="b">
        <v>0</v>
      </c>
      <c r="V811" t="s">
        <v>827</v>
      </c>
      <c r="W811" t="s">
        <v>571</v>
      </c>
      <c r="X811" t="s">
        <v>572</v>
      </c>
      <c r="Y811" t="s">
        <v>472</v>
      </c>
      <c r="Z811" t="s">
        <v>491</v>
      </c>
      <c r="AA811" t="s">
        <v>818</v>
      </c>
      <c r="AC811">
        <v>0</v>
      </c>
      <c r="AD811" t="s">
        <v>558</v>
      </c>
      <c r="AE811">
        <v>0</v>
      </c>
      <c r="AF811">
        <v>0</v>
      </c>
      <c r="AG811" t="s">
        <v>560</v>
      </c>
      <c r="AH811">
        <v>1</v>
      </c>
      <c r="AI811">
        <v>6766.5971</v>
      </c>
      <c r="AJ811" t="s">
        <v>561</v>
      </c>
      <c r="AK811" t="s">
        <v>573</v>
      </c>
      <c r="AL811" t="s">
        <v>828</v>
      </c>
      <c r="AM811">
        <v>2021</v>
      </c>
      <c r="AN811">
        <v>2019</v>
      </c>
      <c r="AO811">
        <f>IF(AND(emissions[[#This Row],[Market-based]]=0,emissions[[#This Row],[Impact Type]]="CO2E"),emissions[[#This Row],[kgCO2e]],0)/1000</f>
        <v>0</v>
      </c>
      <c r="AP811">
        <f>IF(AND(emissions[[#This Row],[Market-based]]=1,OR(emissions[[#This Row],[Impact Type]]="CO2E",emissions[[#This Row],[Impact Type]]="CO2E MKT")),emissions[[#This Row],[kgCO2e]],0)/1000</f>
        <v>0</v>
      </c>
      <c r="AQ811" t="str">
        <f>_xlfn.TEXTAFTER(emissions[[#This Row],[Reporting Unit]]," &gt; ",LEN(emissions[[#This Row],[Reporting Unit]])-LEN(SUBSTITUTE(emissions[[#This Row],[Reporting Unit]],"&gt;","")))</f>
        <v>Vantage_Costa_Rica</v>
      </c>
      <c r="AR811" t="str">
        <f>_xlfn.XLOOKUP(emissions[[#This Row],[Reporting unit name]],hierarchy!$A:$A,hierarchy!$C:$C)</f>
        <v>Unspecified Facility Type</v>
      </c>
    </row>
    <row r="812" spans="1:44" hidden="1" x14ac:dyDescent="0.25">
      <c r="A812">
        <v>4945</v>
      </c>
      <c r="B812" t="s">
        <v>410</v>
      </c>
      <c r="C812" t="s">
        <v>525</v>
      </c>
      <c r="D812" t="s">
        <v>599</v>
      </c>
      <c r="E812" s="3">
        <v>44197</v>
      </c>
      <c r="F812" s="3">
        <v>44561</v>
      </c>
      <c r="G812" t="s">
        <v>108</v>
      </c>
      <c r="H812" s="3">
        <v>44197</v>
      </c>
      <c r="I812" s="3">
        <v>44561</v>
      </c>
      <c r="J812" t="s">
        <v>108</v>
      </c>
      <c r="K812">
        <v>6766.5971</v>
      </c>
      <c r="L812" t="s">
        <v>109</v>
      </c>
      <c r="M812" t="s">
        <v>82</v>
      </c>
      <c r="O812" t="s">
        <v>600</v>
      </c>
      <c r="P812" t="s">
        <v>550</v>
      </c>
      <c r="Q812">
        <v>2021</v>
      </c>
      <c r="R812" t="s">
        <v>575</v>
      </c>
      <c r="S812" t="s">
        <v>576</v>
      </c>
      <c r="T812" t="s">
        <v>577</v>
      </c>
      <c r="U812" t="b">
        <v>0</v>
      </c>
      <c r="V812" t="s">
        <v>827</v>
      </c>
      <c r="W812" t="s">
        <v>571</v>
      </c>
      <c r="X812" t="s">
        <v>572</v>
      </c>
      <c r="Y812" t="s">
        <v>472</v>
      </c>
      <c r="Z812" t="s">
        <v>491</v>
      </c>
      <c r="AA812" t="s">
        <v>818</v>
      </c>
      <c r="AC812">
        <v>0</v>
      </c>
      <c r="AD812" t="s">
        <v>564</v>
      </c>
      <c r="AE812">
        <v>8.4571099529999998</v>
      </c>
      <c r="AF812">
        <v>1.249832E-3</v>
      </c>
      <c r="AG812" t="s">
        <v>560</v>
      </c>
      <c r="AH812">
        <v>1</v>
      </c>
      <c r="AI812">
        <v>6766.5971</v>
      </c>
      <c r="AJ812" t="s">
        <v>561</v>
      </c>
      <c r="AK812" t="s">
        <v>573</v>
      </c>
      <c r="AL812" t="s">
        <v>828</v>
      </c>
      <c r="AM812">
        <v>2021</v>
      </c>
      <c r="AN812">
        <v>2019</v>
      </c>
      <c r="AO812">
        <f>IF(AND(emissions[[#This Row],[Market-based]]=0,emissions[[#This Row],[Impact Type]]="CO2E"),emissions[[#This Row],[kgCO2e]],0)/1000</f>
        <v>0</v>
      </c>
      <c r="AP812">
        <f>IF(AND(emissions[[#This Row],[Market-based]]=1,OR(emissions[[#This Row],[Impact Type]]="CO2E",emissions[[#This Row],[Impact Type]]="CO2E MKT")),emissions[[#This Row],[kgCO2e]],0)/1000</f>
        <v>0</v>
      </c>
      <c r="AQ812" t="str">
        <f>_xlfn.TEXTAFTER(emissions[[#This Row],[Reporting Unit]]," &gt; ",LEN(emissions[[#This Row],[Reporting Unit]])-LEN(SUBSTITUTE(emissions[[#This Row],[Reporting Unit]],"&gt;","")))</f>
        <v>Vantage_Costa_Rica</v>
      </c>
      <c r="AR812" t="str">
        <f>_xlfn.XLOOKUP(emissions[[#This Row],[Reporting unit name]],hierarchy!$A:$A,hierarchy!$C:$C)</f>
        <v>Unspecified Facility Type</v>
      </c>
    </row>
    <row r="813" spans="1:44" hidden="1" x14ac:dyDescent="0.25">
      <c r="A813">
        <v>4945</v>
      </c>
      <c r="B813" t="s">
        <v>410</v>
      </c>
      <c r="C813" t="s">
        <v>525</v>
      </c>
      <c r="D813" t="s">
        <v>599</v>
      </c>
      <c r="E813" s="3">
        <v>44197</v>
      </c>
      <c r="F813" s="3">
        <v>44561</v>
      </c>
      <c r="G813" t="s">
        <v>108</v>
      </c>
      <c r="H813" s="3">
        <v>44197</v>
      </c>
      <c r="I813" s="3">
        <v>44561</v>
      </c>
      <c r="J813" t="s">
        <v>108</v>
      </c>
      <c r="K813">
        <v>6766.5971</v>
      </c>
      <c r="L813" t="s">
        <v>109</v>
      </c>
      <c r="M813" t="s">
        <v>82</v>
      </c>
      <c r="O813" t="s">
        <v>600</v>
      </c>
      <c r="P813" t="s">
        <v>550</v>
      </c>
      <c r="Q813">
        <v>2021</v>
      </c>
      <c r="R813" t="s">
        <v>575</v>
      </c>
      <c r="S813" t="s">
        <v>576</v>
      </c>
      <c r="T813" t="s">
        <v>577</v>
      </c>
      <c r="U813" t="b">
        <v>0</v>
      </c>
      <c r="V813" t="s">
        <v>827</v>
      </c>
      <c r="W813" t="s">
        <v>571</v>
      </c>
      <c r="X813" t="s">
        <v>572</v>
      </c>
      <c r="Y813" t="s">
        <v>472</v>
      </c>
      <c r="Z813" t="s">
        <v>491</v>
      </c>
      <c r="AA813" t="s">
        <v>818</v>
      </c>
      <c r="AC813">
        <v>0</v>
      </c>
      <c r="AD813" t="s">
        <v>565</v>
      </c>
      <c r="AE813">
        <v>8.4571099529999998</v>
      </c>
      <c r="AF813">
        <v>1.249832E-3</v>
      </c>
      <c r="AG813" t="s">
        <v>560</v>
      </c>
      <c r="AH813">
        <v>1</v>
      </c>
      <c r="AI813">
        <v>6766.5971</v>
      </c>
      <c r="AJ813" t="s">
        <v>561</v>
      </c>
      <c r="AK813" t="s">
        <v>573</v>
      </c>
      <c r="AL813" t="s">
        <v>828</v>
      </c>
      <c r="AM813">
        <v>2021</v>
      </c>
      <c r="AN813">
        <v>2019</v>
      </c>
      <c r="AO813">
        <f>IF(AND(emissions[[#This Row],[Market-based]]=0,emissions[[#This Row],[Impact Type]]="CO2E"),emissions[[#This Row],[kgCO2e]],0)/1000</f>
        <v>8.4571099529999992E-3</v>
      </c>
      <c r="AP813">
        <f>IF(AND(emissions[[#This Row],[Market-based]]=1,OR(emissions[[#This Row],[Impact Type]]="CO2E",emissions[[#This Row],[Impact Type]]="CO2E MKT")),emissions[[#This Row],[kgCO2e]],0)/1000</f>
        <v>0</v>
      </c>
      <c r="AQ813" t="str">
        <f>_xlfn.TEXTAFTER(emissions[[#This Row],[Reporting Unit]]," &gt; ",LEN(emissions[[#This Row],[Reporting Unit]])-LEN(SUBSTITUTE(emissions[[#This Row],[Reporting Unit]],"&gt;","")))</f>
        <v>Vantage_Costa_Rica</v>
      </c>
      <c r="AR813" t="str">
        <f>_xlfn.XLOOKUP(emissions[[#This Row],[Reporting unit name]],hierarchy!$A:$A,hierarchy!$C:$C)</f>
        <v>Unspecified Facility Type</v>
      </c>
    </row>
    <row r="814" spans="1:44" hidden="1" x14ac:dyDescent="0.25">
      <c r="A814">
        <v>4945</v>
      </c>
      <c r="B814" t="s">
        <v>410</v>
      </c>
      <c r="C814" t="s">
        <v>525</v>
      </c>
      <c r="D814" t="s">
        <v>599</v>
      </c>
      <c r="E814" s="3">
        <v>44197</v>
      </c>
      <c r="F814" s="3">
        <v>44561</v>
      </c>
      <c r="G814" t="s">
        <v>108</v>
      </c>
      <c r="H814" s="3">
        <v>44197</v>
      </c>
      <c r="I814" s="3">
        <v>44561</v>
      </c>
      <c r="J814" t="s">
        <v>108</v>
      </c>
      <c r="K814">
        <v>6766.5971</v>
      </c>
      <c r="L814" t="s">
        <v>109</v>
      </c>
      <c r="M814" t="s">
        <v>82</v>
      </c>
      <c r="O814" t="s">
        <v>600</v>
      </c>
      <c r="P814" t="s">
        <v>550</v>
      </c>
      <c r="Q814">
        <v>2021</v>
      </c>
      <c r="R814" t="s">
        <v>575</v>
      </c>
      <c r="S814" t="s">
        <v>576</v>
      </c>
      <c r="T814" t="s">
        <v>577</v>
      </c>
      <c r="U814" t="b">
        <v>0</v>
      </c>
      <c r="V814" t="s">
        <v>827</v>
      </c>
      <c r="W814" t="s">
        <v>571</v>
      </c>
      <c r="X814" t="s">
        <v>572</v>
      </c>
      <c r="Y814" t="s">
        <v>472</v>
      </c>
      <c r="Z814" t="s">
        <v>491</v>
      </c>
      <c r="AA814" t="s">
        <v>818</v>
      </c>
      <c r="AC814">
        <v>0</v>
      </c>
      <c r="AD814" t="s">
        <v>566</v>
      </c>
      <c r="AE814">
        <v>0</v>
      </c>
      <c r="AF814">
        <v>0</v>
      </c>
      <c r="AG814" t="s">
        <v>560</v>
      </c>
      <c r="AH814">
        <v>1</v>
      </c>
      <c r="AI814">
        <v>6766.5971</v>
      </c>
      <c r="AJ814" t="s">
        <v>561</v>
      </c>
      <c r="AK814" t="s">
        <v>573</v>
      </c>
      <c r="AL814" t="s">
        <v>828</v>
      </c>
      <c r="AM814">
        <v>2021</v>
      </c>
      <c r="AN814">
        <v>2019</v>
      </c>
      <c r="AO814">
        <f>IF(AND(emissions[[#This Row],[Market-based]]=0,emissions[[#This Row],[Impact Type]]="CO2E"),emissions[[#This Row],[kgCO2e]],0)/1000</f>
        <v>0</v>
      </c>
      <c r="AP814">
        <f>IF(AND(emissions[[#This Row],[Market-based]]=1,OR(emissions[[#This Row],[Impact Type]]="CO2E",emissions[[#This Row],[Impact Type]]="CO2E MKT")),emissions[[#This Row],[kgCO2e]],0)/1000</f>
        <v>0</v>
      </c>
      <c r="AQ814" t="str">
        <f>_xlfn.TEXTAFTER(emissions[[#This Row],[Reporting Unit]]," &gt; ",LEN(emissions[[#This Row],[Reporting Unit]])-LEN(SUBSTITUTE(emissions[[#This Row],[Reporting Unit]],"&gt;","")))</f>
        <v>Vantage_Costa_Rica</v>
      </c>
      <c r="AR814" t="str">
        <f>_xlfn.XLOOKUP(emissions[[#This Row],[Reporting unit name]],hierarchy!$A:$A,hierarchy!$C:$C)</f>
        <v>Unspecified Facility Type</v>
      </c>
    </row>
    <row r="815" spans="1:44" hidden="1" x14ac:dyDescent="0.25">
      <c r="A815">
        <v>4945</v>
      </c>
      <c r="B815" t="s">
        <v>410</v>
      </c>
      <c r="C815" t="s">
        <v>525</v>
      </c>
      <c r="D815" t="s">
        <v>599</v>
      </c>
      <c r="E815" s="3">
        <v>44197</v>
      </c>
      <c r="F815" s="3">
        <v>44561</v>
      </c>
      <c r="G815" t="s">
        <v>108</v>
      </c>
      <c r="H815" s="3">
        <v>44197</v>
      </c>
      <c r="I815" s="3">
        <v>44561</v>
      </c>
      <c r="J815" t="s">
        <v>108</v>
      </c>
      <c r="K815">
        <v>6766.5971</v>
      </c>
      <c r="L815" t="s">
        <v>109</v>
      </c>
      <c r="M815" t="s">
        <v>82</v>
      </c>
      <c r="O815" t="s">
        <v>600</v>
      </c>
      <c r="P815" t="s">
        <v>550</v>
      </c>
      <c r="Q815">
        <v>2021</v>
      </c>
      <c r="R815" t="s">
        <v>575</v>
      </c>
      <c r="S815" t="s">
        <v>576</v>
      </c>
      <c r="T815" t="s">
        <v>577</v>
      </c>
      <c r="U815" t="b">
        <v>0</v>
      </c>
      <c r="V815" t="s">
        <v>827</v>
      </c>
      <c r="W815" t="s">
        <v>571</v>
      </c>
      <c r="X815" t="s">
        <v>572</v>
      </c>
      <c r="Y815" t="s">
        <v>472</v>
      </c>
      <c r="Z815" t="s">
        <v>491</v>
      </c>
      <c r="AA815" t="s">
        <v>818</v>
      </c>
      <c r="AC815">
        <v>1</v>
      </c>
      <c r="AD815" t="s">
        <v>558</v>
      </c>
      <c r="AE815">
        <v>0</v>
      </c>
      <c r="AF815">
        <v>0</v>
      </c>
      <c r="AG815" t="s">
        <v>560</v>
      </c>
      <c r="AH815">
        <v>1</v>
      </c>
      <c r="AI815">
        <v>6766.5971</v>
      </c>
      <c r="AJ815" t="s">
        <v>561</v>
      </c>
      <c r="AK815" t="s">
        <v>573</v>
      </c>
      <c r="AL815" t="s">
        <v>828</v>
      </c>
      <c r="AM815">
        <v>2021</v>
      </c>
      <c r="AN815">
        <v>2019</v>
      </c>
      <c r="AO815">
        <f>IF(AND(emissions[[#This Row],[Market-based]]=0,emissions[[#This Row],[Impact Type]]="CO2E"),emissions[[#This Row],[kgCO2e]],0)/1000</f>
        <v>0</v>
      </c>
      <c r="AP815">
        <f>IF(AND(emissions[[#This Row],[Market-based]]=1,OR(emissions[[#This Row],[Impact Type]]="CO2E",emissions[[#This Row],[Impact Type]]="CO2E MKT")),emissions[[#This Row],[kgCO2e]],0)/1000</f>
        <v>0</v>
      </c>
      <c r="AQ815" t="str">
        <f>_xlfn.TEXTAFTER(emissions[[#This Row],[Reporting Unit]]," &gt; ",LEN(emissions[[#This Row],[Reporting Unit]])-LEN(SUBSTITUTE(emissions[[#This Row],[Reporting Unit]],"&gt;","")))</f>
        <v>Vantage_Costa_Rica</v>
      </c>
      <c r="AR815" t="str">
        <f>_xlfn.XLOOKUP(emissions[[#This Row],[Reporting unit name]],hierarchy!$A:$A,hierarchy!$C:$C)</f>
        <v>Unspecified Facility Type</v>
      </c>
    </row>
    <row r="816" spans="1:44" hidden="1" x14ac:dyDescent="0.25">
      <c r="A816">
        <v>4945</v>
      </c>
      <c r="B816" t="s">
        <v>410</v>
      </c>
      <c r="C816" t="s">
        <v>525</v>
      </c>
      <c r="D816" t="s">
        <v>599</v>
      </c>
      <c r="E816" s="3">
        <v>44197</v>
      </c>
      <c r="F816" s="3">
        <v>44561</v>
      </c>
      <c r="G816" t="s">
        <v>108</v>
      </c>
      <c r="H816" s="3">
        <v>44197</v>
      </c>
      <c r="I816" s="3">
        <v>44561</v>
      </c>
      <c r="J816" t="s">
        <v>108</v>
      </c>
      <c r="K816">
        <v>6766.5971</v>
      </c>
      <c r="L816" t="s">
        <v>109</v>
      </c>
      <c r="M816" t="s">
        <v>82</v>
      </c>
      <c r="O816" t="s">
        <v>600</v>
      </c>
      <c r="P816" t="s">
        <v>550</v>
      </c>
      <c r="Q816">
        <v>2021</v>
      </c>
      <c r="R816" t="s">
        <v>575</v>
      </c>
      <c r="S816" t="s">
        <v>576</v>
      </c>
      <c r="T816" t="s">
        <v>577</v>
      </c>
      <c r="U816" t="b">
        <v>0</v>
      </c>
      <c r="V816" t="s">
        <v>827</v>
      </c>
      <c r="W816" t="s">
        <v>571</v>
      </c>
      <c r="X816" t="s">
        <v>572</v>
      </c>
      <c r="Y816" t="s">
        <v>472</v>
      </c>
      <c r="Z816" t="s">
        <v>491</v>
      </c>
      <c r="AA816" t="s">
        <v>818</v>
      </c>
      <c r="AC816">
        <v>1</v>
      </c>
      <c r="AD816" t="s">
        <v>564</v>
      </c>
      <c r="AE816">
        <v>8.4571099529999998</v>
      </c>
      <c r="AF816">
        <v>1.249832E-3</v>
      </c>
      <c r="AG816" t="s">
        <v>560</v>
      </c>
      <c r="AH816">
        <v>1</v>
      </c>
      <c r="AI816">
        <v>6766.5971</v>
      </c>
      <c r="AJ816" t="s">
        <v>561</v>
      </c>
      <c r="AK816" t="s">
        <v>573</v>
      </c>
      <c r="AL816" t="s">
        <v>828</v>
      </c>
      <c r="AM816">
        <v>2021</v>
      </c>
      <c r="AN816">
        <v>2019</v>
      </c>
      <c r="AO816">
        <f>IF(AND(emissions[[#This Row],[Market-based]]=0,emissions[[#This Row],[Impact Type]]="CO2E"),emissions[[#This Row],[kgCO2e]],0)/1000</f>
        <v>0</v>
      </c>
      <c r="AP816">
        <f>IF(AND(emissions[[#This Row],[Market-based]]=1,OR(emissions[[#This Row],[Impact Type]]="CO2E",emissions[[#This Row],[Impact Type]]="CO2E MKT")),emissions[[#This Row],[kgCO2e]],0)/1000</f>
        <v>0</v>
      </c>
      <c r="AQ816" t="str">
        <f>_xlfn.TEXTAFTER(emissions[[#This Row],[Reporting Unit]]," &gt; ",LEN(emissions[[#This Row],[Reporting Unit]])-LEN(SUBSTITUTE(emissions[[#This Row],[Reporting Unit]],"&gt;","")))</f>
        <v>Vantage_Costa_Rica</v>
      </c>
      <c r="AR816" t="str">
        <f>_xlfn.XLOOKUP(emissions[[#This Row],[Reporting unit name]],hierarchy!$A:$A,hierarchy!$C:$C)</f>
        <v>Unspecified Facility Type</v>
      </c>
    </row>
    <row r="817" spans="1:44" hidden="1" x14ac:dyDescent="0.25">
      <c r="A817">
        <v>4945</v>
      </c>
      <c r="B817" t="s">
        <v>410</v>
      </c>
      <c r="C817" t="s">
        <v>525</v>
      </c>
      <c r="D817" t="s">
        <v>599</v>
      </c>
      <c r="E817" s="3">
        <v>44197</v>
      </c>
      <c r="F817" s="3">
        <v>44561</v>
      </c>
      <c r="G817" t="s">
        <v>108</v>
      </c>
      <c r="H817" s="3">
        <v>44197</v>
      </c>
      <c r="I817" s="3">
        <v>44561</v>
      </c>
      <c r="J817" t="s">
        <v>108</v>
      </c>
      <c r="K817">
        <v>6766.5971</v>
      </c>
      <c r="L817" t="s">
        <v>109</v>
      </c>
      <c r="M817" t="s">
        <v>82</v>
      </c>
      <c r="O817" t="s">
        <v>600</v>
      </c>
      <c r="P817" t="s">
        <v>550</v>
      </c>
      <c r="Q817">
        <v>2021</v>
      </c>
      <c r="R817" t="s">
        <v>575</v>
      </c>
      <c r="S817" t="s">
        <v>576</v>
      </c>
      <c r="T817" t="s">
        <v>577</v>
      </c>
      <c r="U817" t="b">
        <v>0</v>
      </c>
      <c r="V817" t="s">
        <v>827</v>
      </c>
      <c r="W817" t="s">
        <v>571</v>
      </c>
      <c r="X817" t="s">
        <v>572</v>
      </c>
      <c r="Y817" t="s">
        <v>472</v>
      </c>
      <c r="Z817" t="s">
        <v>491</v>
      </c>
      <c r="AA817" t="s">
        <v>818</v>
      </c>
      <c r="AC817">
        <v>1</v>
      </c>
      <c r="AD817" t="s">
        <v>565</v>
      </c>
      <c r="AE817">
        <v>8.4571099529999998</v>
      </c>
      <c r="AF817">
        <v>1.249832E-3</v>
      </c>
      <c r="AG817" t="s">
        <v>560</v>
      </c>
      <c r="AH817">
        <v>1</v>
      </c>
      <c r="AI817">
        <v>6766.5971</v>
      </c>
      <c r="AJ817" t="s">
        <v>561</v>
      </c>
      <c r="AK817" t="s">
        <v>573</v>
      </c>
      <c r="AL817" t="s">
        <v>828</v>
      </c>
      <c r="AM817">
        <v>2021</v>
      </c>
      <c r="AN817">
        <v>2019</v>
      </c>
      <c r="AO817">
        <f>IF(AND(emissions[[#This Row],[Market-based]]=0,emissions[[#This Row],[Impact Type]]="CO2E"),emissions[[#This Row],[kgCO2e]],0)/1000</f>
        <v>0</v>
      </c>
      <c r="AP817">
        <f>IF(AND(emissions[[#This Row],[Market-based]]=1,OR(emissions[[#This Row],[Impact Type]]="CO2E",emissions[[#This Row],[Impact Type]]="CO2E MKT")),emissions[[#This Row],[kgCO2e]],0)/1000</f>
        <v>8.4571099529999992E-3</v>
      </c>
      <c r="AQ817" t="str">
        <f>_xlfn.TEXTAFTER(emissions[[#This Row],[Reporting Unit]]," &gt; ",LEN(emissions[[#This Row],[Reporting Unit]])-LEN(SUBSTITUTE(emissions[[#This Row],[Reporting Unit]],"&gt;","")))</f>
        <v>Vantage_Costa_Rica</v>
      </c>
      <c r="AR817" t="str">
        <f>_xlfn.XLOOKUP(emissions[[#This Row],[Reporting unit name]],hierarchy!$A:$A,hierarchy!$C:$C)</f>
        <v>Unspecified Facility Type</v>
      </c>
    </row>
    <row r="818" spans="1:44" hidden="1" x14ac:dyDescent="0.25">
      <c r="A818">
        <v>4945</v>
      </c>
      <c r="B818" t="s">
        <v>410</v>
      </c>
      <c r="C818" t="s">
        <v>525</v>
      </c>
      <c r="D818" t="s">
        <v>599</v>
      </c>
      <c r="E818" s="3">
        <v>44197</v>
      </c>
      <c r="F818" s="3">
        <v>44561</v>
      </c>
      <c r="G818" t="s">
        <v>108</v>
      </c>
      <c r="H818" s="3">
        <v>44197</v>
      </c>
      <c r="I818" s="3">
        <v>44561</v>
      </c>
      <c r="J818" t="s">
        <v>108</v>
      </c>
      <c r="K818">
        <v>6766.5971</v>
      </c>
      <c r="L818" t="s">
        <v>109</v>
      </c>
      <c r="M818" t="s">
        <v>82</v>
      </c>
      <c r="O818" t="s">
        <v>600</v>
      </c>
      <c r="P818" t="s">
        <v>550</v>
      </c>
      <c r="Q818">
        <v>2021</v>
      </c>
      <c r="R818" t="s">
        <v>575</v>
      </c>
      <c r="S818" t="s">
        <v>576</v>
      </c>
      <c r="T818" t="s">
        <v>577</v>
      </c>
      <c r="U818" t="b">
        <v>0</v>
      </c>
      <c r="V818" t="s">
        <v>827</v>
      </c>
      <c r="W818" t="s">
        <v>571</v>
      </c>
      <c r="X818" t="s">
        <v>572</v>
      </c>
      <c r="Y818" t="s">
        <v>472</v>
      </c>
      <c r="Z818" t="s">
        <v>491</v>
      </c>
      <c r="AA818" t="s">
        <v>818</v>
      </c>
      <c r="AC818">
        <v>1</v>
      </c>
      <c r="AD818" t="s">
        <v>566</v>
      </c>
      <c r="AE818">
        <v>0</v>
      </c>
      <c r="AF818">
        <v>0</v>
      </c>
      <c r="AG818" t="s">
        <v>560</v>
      </c>
      <c r="AH818">
        <v>1</v>
      </c>
      <c r="AI818">
        <v>6766.5971</v>
      </c>
      <c r="AJ818" t="s">
        <v>561</v>
      </c>
      <c r="AK818" t="s">
        <v>573</v>
      </c>
      <c r="AL818" t="s">
        <v>828</v>
      </c>
      <c r="AM818">
        <v>2021</v>
      </c>
      <c r="AN818">
        <v>2019</v>
      </c>
      <c r="AO818">
        <f>IF(AND(emissions[[#This Row],[Market-based]]=0,emissions[[#This Row],[Impact Type]]="CO2E"),emissions[[#This Row],[kgCO2e]],0)/1000</f>
        <v>0</v>
      </c>
      <c r="AP818">
        <f>IF(AND(emissions[[#This Row],[Market-based]]=1,OR(emissions[[#This Row],[Impact Type]]="CO2E",emissions[[#This Row],[Impact Type]]="CO2E MKT")),emissions[[#This Row],[kgCO2e]],0)/1000</f>
        <v>0</v>
      </c>
      <c r="AQ818" t="str">
        <f>_xlfn.TEXTAFTER(emissions[[#This Row],[Reporting Unit]]," &gt; ",LEN(emissions[[#This Row],[Reporting Unit]])-LEN(SUBSTITUTE(emissions[[#This Row],[Reporting Unit]],"&gt;","")))</f>
        <v>Vantage_Costa_Rica</v>
      </c>
      <c r="AR818" t="str">
        <f>_xlfn.XLOOKUP(emissions[[#This Row],[Reporting unit name]],hierarchy!$A:$A,hierarchy!$C:$C)</f>
        <v>Unspecified Facility Type</v>
      </c>
    </row>
    <row r="819" spans="1:44" hidden="1" x14ac:dyDescent="0.25">
      <c r="A819">
        <v>4945</v>
      </c>
      <c r="B819" t="s">
        <v>410</v>
      </c>
      <c r="C819" t="s">
        <v>525</v>
      </c>
      <c r="D819" t="s">
        <v>599</v>
      </c>
      <c r="E819" s="3">
        <v>44197</v>
      </c>
      <c r="F819" s="3">
        <v>44561</v>
      </c>
      <c r="G819" t="s">
        <v>108</v>
      </c>
      <c r="H819" s="3">
        <v>44197</v>
      </c>
      <c r="I819" s="3">
        <v>44561</v>
      </c>
      <c r="J819" t="s">
        <v>108</v>
      </c>
      <c r="K819">
        <v>6766.5971</v>
      </c>
      <c r="L819" t="s">
        <v>109</v>
      </c>
      <c r="M819" t="s">
        <v>82</v>
      </c>
      <c r="O819" t="s">
        <v>600</v>
      </c>
      <c r="P819" t="s">
        <v>550</v>
      </c>
      <c r="Q819">
        <v>2021</v>
      </c>
      <c r="R819" t="s">
        <v>579</v>
      </c>
      <c r="S819" t="s">
        <v>580</v>
      </c>
      <c r="T819" t="s">
        <v>581</v>
      </c>
      <c r="U819" t="b">
        <v>0</v>
      </c>
      <c r="V819" t="s">
        <v>821</v>
      </c>
      <c r="W819" t="s">
        <v>571</v>
      </c>
      <c r="X819" t="s">
        <v>572</v>
      </c>
      <c r="Y819" t="s">
        <v>472</v>
      </c>
      <c r="Z819" t="s">
        <v>491</v>
      </c>
      <c r="AA819" t="s">
        <v>818</v>
      </c>
      <c r="AC819">
        <v>0</v>
      </c>
      <c r="AD819" t="s">
        <v>565</v>
      </c>
      <c r="AE819">
        <v>3.3832985500000001</v>
      </c>
      <c r="AF819" t="s">
        <v>559</v>
      </c>
      <c r="AG819" t="s">
        <v>560</v>
      </c>
      <c r="AH819">
        <v>1</v>
      </c>
      <c r="AI819">
        <v>6766.5971</v>
      </c>
      <c r="AJ819" t="s">
        <v>561</v>
      </c>
      <c r="AK819" t="s">
        <v>562</v>
      </c>
      <c r="AL819" t="s">
        <v>601</v>
      </c>
      <c r="AM819">
        <v>2021</v>
      </c>
      <c r="AN819">
        <v>2019</v>
      </c>
      <c r="AO819">
        <f>IF(AND(emissions[[#This Row],[Market-based]]=0,emissions[[#This Row],[Impact Type]]="CO2E"),emissions[[#This Row],[kgCO2e]],0)/1000</f>
        <v>3.3832985500000003E-3</v>
      </c>
      <c r="AP819">
        <f>IF(AND(emissions[[#This Row],[Market-based]]=1,OR(emissions[[#This Row],[Impact Type]]="CO2E",emissions[[#This Row],[Impact Type]]="CO2E MKT")),emissions[[#This Row],[kgCO2e]],0)/1000</f>
        <v>0</v>
      </c>
      <c r="AQ819" t="str">
        <f>_xlfn.TEXTAFTER(emissions[[#This Row],[Reporting Unit]]," &gt; ",LEN(emissions[[#This Row],[Reporting Unit]])-LEN(SUBSTITUTE(emissions[[#This Row],[Reporting Unit]],"&gt;","")))</f>
        <v>Vantage_Costa_Rica</v>
      </c>
      <c r="AR819" t="str">
        <f>_xlfn.XLOOKUP(emissions[[#This Row],[Reporting unit name]],hierarchy!$A:$A,hierarchy!$C:$C)</f>
        <v>Unspecified Facility Type</v>
      </c>
    </row>
    <row r="820" spans="1:44" hidden="1" x14ac:dyDescent="0.25">
      <c r="A820">
        <v>4945</v>
      </c>
      <c r="B820" t="s">
        <v>410</v>
      </c>
      <c r="C820" t="s">
        <v>525</v>
      </c>
      <c r="D820" t="s">
        <v>599</v>
      </c>
      <c r="E820" s="3">
        <v>44197</v>
      </c>
      <c r="F820" s="3">
        <v>44561</v>
      </c>
      <c r="G820" t="s">
        <v>108</v>
      </c>
      <c r="H820" s="3">
        <v>44197</v>
      </c>
      <c r="I820" s="3">
        <v>44561</v>
      </c>
      <c r="J820" t="s">
        <v>108</v>
      </c>
      <c r="K820">
        <v>6766.5971</v>
      </c>
      <c r="L820" t="s">
        <v>109</v>
      </c>
      <c r="M820" t="s">
        <v>82</v>
      </c>
      <c r="O820" t="s">
        <v>600</v>
      </c>
      <c r="P820" t="s">
        <v>550</v>
      </c>
      <c r="Q820">
        <v>2021</v>
      </c>
      <c r="R820" t="s">
        <v>579</v>
      </c>
      <c r="S820" t="s">
        <v>580</v>
      </c>
      <c r="T820" t="s">
        <v>581</v>
      </c>
      <c r="U820" t="b">
        <v>0</v>
      </c>
      <c r="V820" t="s">
        <v>821</v>
      </c>
      <c r="W820" t="s">
        <v>571</v>
      </c>
      <c r="X820" t="s">
        <v>572</v>
      </c>
      <c r="Y820" t="s">
        <v>472</v>
      </c>
      <c r="Z820" t="s">
        <v>491</v>
      </c>
      <c r="AA820" t="s">
        <v>818</v>
      </c>
      <c r="AC820">
        <v>1</v>
      </c>
      <c r="AD820" t="s">
        <v>565</v>
      </c>
      <c r="AE820">
        <v>3.3832985500000001</v>
      </c>
      <c r="AF820" t="s">
        <v>559</v>
      </c>
      <c r="AG820" t="s">
        <v>560</v>
      </c>
      <c r="AH820">
        <v>1</v>
      </c>
      <c r="AI820">
        <v>6766.5971</v>
      </c>
      <c r="AJ820" t="s">
        <v>561</v>
      </c>
      <c r="AK820" t="s">
        <v>562</v>
      </c>
      <c r="AL820" t="s">
        <v>601</v>
      </c>
      <c r="AM820">
        <v>2021</v>
      </c>
      <c r="AN820">
        <v>2019</v>
      </c>
      <c r="AO820">
        <f>IF(AND(emissions[[#This Row],[Market-based]]=0,emissions[[#This Row],[Impact Type]]="CO2E"),emissions[[#This Row],[kgCO2e]],0)/1000</f>
        <v>0</v>
      </c>
      <c r="AP820">
        <f>IF(AND(emissions[[#This Row],[Market-based]]=1,OR(emissions[[#This Row],[Impact Type]]="CO2E",emissions[[#This Row],[Impact Type]]="CO2E MKT")),emissions[[#This Row],[kgCO2e]],0)/1000</f>
        <v>3.3832985500000003E-3</v>
      </c>
      <c r="AQ820" t="str">
        <f>_xlfn.TEXTAFTER(emissions[[#This Row],[Reporting Unit]]," &gt; ",LEN(emissions[[#This Row],[Reporting Unit]])-LEN(SUBSTITUTE(emissions[[#This Row],[Reporting Unit]],"&gt;","")))</f>
        <v>Vantage_Costa_Rica</v>
      </c>
      <c r="AR820" t="str">
        <f>_xlfn.XLOOKUP(emissions[[#This Row],[Reporting unit name]],hierarchy!$A:$A,hierarchy!$C:$C)</f>
        <v>Unspecified Facility Type</v>
      </c>
    </row>
    <row r="821" spans="1:44" hidden="1" x14ac:dyDescent="0.25">
      <c r="A821">
        <v>4972</v>
      </c>
      <c r="B821" t="s">
        <v>410</v>
      </c>
      <c r="C821" t="s">
        <v>525</v>
      </c>
      <c r="D821" t="s">
        <v>599</v>
      </c>
      <c r="E821" s="3">
        <v>44197</v>
      </c>
      <c r="F821" s="3">
        <v>44561</v>
      </c>
      <c r="G821" t="s">
        <v>135</v>
      </c>
      <c r="H821" s="3">
        <v>44197</v>
      </c>
      <c r="I821" s="3">
        <v>44561</v>
      </c>
      <c r="J821" t="s">
        <v>135</v>
      </c>
      <c r="K821">
        <v>0</v>
      </c>
      <c r="L821" t="s">
        <v>136</v>
      </c>
      <c r="M821" t="s">
        <v>82</v>
      </c>
      <c r="O821" t="s">
        <v>600</v>
      </c>
      <c r="P821" t="s">
        <v>550</v>
      </c>
      <c r="Q821">
        <v>2021</v>
      </c>
      <c r="R821" t="s">
        <v>605</v>
      </c>
      <c r="S821" t="s">
        <v>606</v>
      </c>
      <c r="T821" t="s">
        <v>553</v>
      </c>
      <c r="U821" t="b">
        <v>0</v>
      </c>
      <c r="V821" t="s">
        <v>781</v>
      </c>
      <c r="W821" t="s">
        <v>587</v>
      </c>
      <c r="X821" t="s">
        <v>556</v>
      </c>
      <c r="Y821" t="s">
        <v>472</v>
      </c>
      <c r="AC821">
        <v>0</v>
      </c>
      <c r="AD821" t="s">
        <v>558</v>
      </c>
      <c r="AE821">
        <v>0</v>
      </c>
      <c r="AF821">
        <v>2.5000000000000001E-2</v>
      </c>
      <c r="AG821" t="s">
        <v>798</v>
      </c>
      <c r="AH821">
        <v>0.1</v>
      </c>
      <c r="AI821">
        <v>0</v>
      </c>
      <c r="AJ821" t="s">
        <v>561</v>
      </c>
      <c r="AK821" t="s">
        <v>766</v>
      </c>
      <c r="AL821" t="s">
        <v>790</v>
      </c>
      <c r="AM821">
        <v>2021</v>
      </c>
      <c r="AN821">
        <v>2021</v>
      </c>
      <c r="AO821">
        <f>IF(AND(emissions[[#This Row],[Market-based]]=0,emissions[[#This Row],[Impact Type]]="CO2E"),emissions[[#This Row],[kgCO2e]],0)/1000</f>
        <v>0</v>
      </c>
      <c r="AP821">
        <f>IF(AND(emissions[[#This Row],[Market-based]]=1,OR(emissions[[#This Row],[Impact Type]]="CO2E",emissions[[#This Row],[Impact Type]]="CO2E MKT")),emissions[[#This Row],[kgCO2e]],0)/1000</f>
        <v>0</v>
      </c>
      <c r="AQ821" t="str">
        <f>_xlfn.TEXTAFTER(emissions[[#This Row],[Reporting Unit]]," &gt; ",LEN(emissions[[#This Row],[Reporting Unit]])-LEN(SUBSTITUTE(emissions[[#This Row],[Reporting Unit]],"&gt;","")))</f>
        <v>Vantage_Costa_Rica</v>
      </c>
      <c r="AR821" t="str">
        <f>_xlfn.XLOOKUP(emissions[[#This Row],[Reporting unit name]],hierarchy!$A:$A,hierarchy!$C:$C)</f>
        <v>Unspecified Facility Type</v>
      </c>
    </row>
    <row r="822" spans="1:44" hidden="1" x14ac:dyDescent="0.25">
      <c r="A822">
        <v>4972</v>
      </c>
      <c r="B822" t="s">
        <v>410</v>
      </c>
      <c r="C822" t="s">
        <v>525</v>
      </c>
      <c r="D822" t="s">
        <v>599</v>
      </c>
      <c r="E822" s="3">
        <v>44197</v>
      </c>
      <c r="F822" s="3">
        <v>44561</v>
      </c>
      <c r="G822" t="s">
        <v>135</v>
      </c>
      <c r="H822" s="3">
        <v>44197</v>
      </c>
      <c r="I822" s="3">
        <v>44561</v>
      </c>
      <c r="J822" t="s">
        <v>135</v>
      </c>
      <c r="K822">
        <v>0</v>
      </c>
      <c r="L822" t="s">
        <v>136</v>
      </c>
      <c r="M822" t="s">
        <v>82</v>
      </c>
      <c r="O822" t="s">
        <v>600</v>
      </c>
      <c r="P822" t="s">
        <v>550</v>
      </c>
      <c r="Q822">
        <v>2021</v>
      </c>
      <c r="R822" t="s">
        <v>605</v>
      </c>
      <c r="S822" t="s">
        <v>606</v>
      </c>
      <c r="T822" t="s">
        <v>553</v>
      </c>
      <c r="U822" t="b">
        <v>0</v>
      </c>
      <c r="V822" t="s">
        <v>781</v>
      </c>
      <c r="W822" t="s">
        <v>587</v>
      </c>
      <c r="X822" t="s">
        <v>556</v>
      </c>
      <c r="Y822" t="s">
        <v>472</v>
      </c>
      <c r="AC822">
        <v>0</v>
      </c>
      <c r="AD822" t="s">
        <v>564</v>
      </c>
      <c r="AE822">
        <v>0</v>
      </c>
      <c r="AF822">
        <v>53.06</v>
      </c>
      <c r="AG822" t="s">
        <v>798</v>
      </c>
      <c r="AH822">
        <v>0.1</v>
      </c>
      <c r="AI822">
        <v>0</v>
      </c>
      <c r="AJ822" t="s">
        <v>561</v>
      </c>
      <c r="AK822" t="s">
        <v>766</v>
      </c>
      <c r="AL822" t="s">
        <v>787</v>
      </c>
      <c r="AM822">
        <v>2021</v>
      </c>
      <c r="AN822">
        <v>2020</v>
      </c>
      <c r="AO822">
        <f>IF(AND(emissions[[#This Row],[Market-based]]=0,emissions[[#This Row],[Impact Type]]="CO2E"),emissions[[#This Row],[kgCO2e]],0)/1000</f>
        <v>0</v>
      </c>
      <c r="AP822">
        <f>IF(AND(emissions[[#This Row],[Market-based]]=1,OR(emissions[[#This Row],[Impact Type]]="CO2E",emissions[[#This Row],[Impact Type]]="CO2E MKT")),emissions[[#This Row],[kgCO2e]],0)/1000</f>
        <v>0</v>
      </c>
      <c r="AQ822" t="str">
        <f>_xlfn.TEXTAFTER(emissions[[#This Row],[Reporting Unit]]," &gt; ",LEN(emissions[[#This Row],[Reporting Unit]])-LEN(SUBSTITUTE(emissions[[#This Row],[Reporting Unit]],"&gt;","")))</f>
        <v>Vantage_Costa_Rica</v>
      </c>
      <c r="AR822" t="str">
        <f>_xlfn.XLOOKUP(emissions[[#This Row],[Reporting unit name]],hierarchy!$A:$A,hierarchy!$C:$C)</f>
        <v>Unspecified Facility Type</v>
      </c>
    </row>
    <row r="823" spans="1:44" hidden="1" x14ac:dyDescent="0.25">
      <c r="A823">
        <v>4972</v>
      </c>
      <c r="B823" t="s">
        <v>410</v>
      </c>
      <c r="C823" t="s">
        <v>525</v>
      </c>
      <c r="D823" t="s">
        <v>599</v>
      </c>
      <c r="E823" s="3">
        <v>44197</v>
      </c>
      <c r="F823" s="3">
        <v>44561</v>
      </c>
      <c r="G823" t="s">
        <v>135</v>
      </c>
      <c r="H823" s="3">
        <v>44197</v>
      </c>
      <c r="I823" s="3">
        <v>44561</v>
      </c>
      <c r="J823" t="s">
        <v>135</v>
      </c>
      <c r="K823">
        <v>0</v>
      </c>
      <c r="L823" t="s">
        <v>136</v>
      </c>
      <c r="M823" t="s">
        <v>82</v>
      </c>
      <c r="O823" t="s">
        <v>600</v>
      </c>
      <c r="P823" t="s">
        <v>550</v>
      </c>
      <c r="Q823">
        <v>2021</v>
      </c>
      <c r="R823" t="s">
        <v>605</v>
      </c>
      <c r="S823" t="s">
        <v>606</v>
      </c>
      <c r="T823" t="s">
        <v>553</v>
      </c>
      <c r="U823" t="b">
        <v>0</v>
      </c>
      <c r="V823" t="s">
        <v>781</v>
      </c>
      <c r="W823" t="s">
        <v>587</v>
      </c>
      <c r="X823" t="s">
        <v>556</v>
      </c>
      <c r="Y823" t="s">
        <v>472</v>
      </c>
      <c r="AC823">
        <v>0</v>
      </c>
      <c r="AD823" t="s">
        <v>565</v>
      </c>
      <c r="AE823">
        <v>0</v>
      </c>
      <c r="AF823">
        <v>53.114800000000002</v>
      </c>
      <c r="AG823" t="s">
        <v>798</v>
      </c>
      <c r="AH823">
        <v>0.1</v>
      </c>
      <c r="AI823">
        <v>0</v>
      </c>
      <c r="AJ823" t="s">
        <v>561</v>
      </c>
      <c r="AK823" t="s">
        <v>766</v>
      </c>
      <c r="AL823" t="s">
        <v>790</v>
      </c>
      <c r="AM823">
        <v>2021</v>
      </c>
      <c r="AN823">
        <v>2021</v>
      </c>
      <c r="AO823">
        <f>IF(AND(emissions[[#This Row],[Market-based]]=0,emissions[[#This Row],[Impact Type]]="CO2E"),emissions[[#This Row],[kgCO2e]],0)/1000</f>
        <v>0</v>
      </c>
      <c r="AP823">
        <f>IF(AND(emissions[[#This Row],[Market-based]]=1,OR(emissions[[#This Row],[Impact Type]]="CO2E",emissions[[#This Row],[Impact Type]]="CO2E MKT")),emissions[[#This Row],[kgCO2e]],0)/1000</f>
        <v>0</v>
      </c>
      <c r="AQ823" t="str">
        <f>_xlfn.TEXTAFTER(emissions[[#This Row],[Reporting Unit]]," &gt; ",LEN(emissions[[#This Row],[Reporting Unit]])-LEN(SUBSTITUTE(emissions[[#This Row],[Reporting Unit]],"&gt;","")))</f>
        <v>Vantage_Costa_Rica</v>
      </c>
      <c r="AR823" t="str">
        <f>_xlfn.XLOOKUP(emissions[[#This Row],[Reporting unit name]],hierarchy!$A:$A,hierarchy!$C:$C)</f>
        <v>Unspecified Facility Type</v>
      </c>
    </row>
    <row r="824" spans="1:44" hidden="1" x14ac:dyDescent="0.25">
      <c r="A824">
        <v>4972</v>
      </c>
      <c r="B824" t="s">
        <v>410</v>
      </c>
      <c r="C824" t="s">
        <v>525</v>
      </c>
      <c r="D824" t="s">
        <v>599</v>
      </c>
      <c r="E824" s="3">
        <v>44197</v>
      </c>
      <c r="F824" s="3">
        <v>44561</v>
      </c>
      <c r="G824" t="s">
        <v>135</v>
      </c>
      <c r="H824" s="3">
        <v>44197</v>
      </c>
      <c r="I824" s="3">
        <v>44561</v>
      </c>
      <c r="J824" t="s">
        <v>135</v>
      </c>
      <c r="K824">
        <v>0</v>
      </c>
      <c r="L824" t="s">
        <v>136</v>
      </c>
      <c r="M824" t="s">
        <v>82</v>
      </c>
      <c r="O824" t="s">
        <v>600</v>
      </c>
      <c r="P824" t="s">
        <v>550</v>
      </c>
      <c r="Q824">
        <v>2021</v>
      </c>
      <c r="R824" t="s">
        <v>605</v>
      </c>
      <c r="S824" t="s">
        <v>606</v>
      </c>
      <c r="T824" t="s">
        <v>553</v>
      </c>
      <c r="U824" t="b">
        <v>0</v>
      </c>
      <c r="V824" t="s">
        <v>781</v>
      </c>
      <c r="W824" t="s">
        <v>587</v>
      </c>
      <c r="X824" t="s">
        <v>556</v>
      </c>
      <c r="Y824" t="s">
        <v>472</v>
      </c>
      <c r="AC824">
        <v>0</v>
      </c>
      <c r="AD824" t="s">
        <v>566</v>
      </c>
      <c r="AE824">
        <v>0</v>
      </c>
      <c r="AF824">
        <v>2.98E-2</v>
      </c>
      <c r="AG824" t="s">
        <v>798</v>
      </c>
      <c r="AH824">
        <v>0.1</v>
      </c>
      <c r="AI824">
        <v>0</v>
      </c>
      <c r="AJ824" t="s">
        <v>561</v>
      </c>
      <c r="AK824" t="s">
        <v>766</v>
      </c>
      <c r="AL824" t="s">
        <v>790</v>
      </c>
      <c r="AM824">
        <v>2021</v>
      </c>
      <c r="AN824">
        <v>2021</v>
      </c>
      <c r="AO824">
        <f>IF(AND(emissions[[#This Row],[Market-based]]=0,emissions[[#This Row],[Impact Type]]="CO2E"),emissions[[#This Row],[kgCO2e]],0)/1000</f>
        <v>0</v>
      </c>
      <c r="AP824">
        <f>IF(AND(emissions[[#This Row],[Market-based]]=1,OR(emissions[[#This Row],[Impact Type]]="CO2E",emissions[[#This Row],[Impact Type]]="CO2E MKT")),emissions[[#This Row],[kgCO2e]],0)/1000</f>
        <v>0</v>
      </c>
      <c r="AQ824" t="str">
        <f>_xlfn.TEXTAFTER(emissions[[#This Row],[Reporting Unit]]," &gt; ",LEN(emissions[[#This Row],[Reporting Unit]])-LEN(SUBSTITUTE(emissions[[#This Row],[Reporting Unit]],"&gt;","")))</f>
        <v>Vantage_Costa_Rica</v>
      </c>
      <c r="AR824" t="str">
        <f>_xlfn.XLOOKUP(emissions[[#This Row],[Reporting unit name]],hierarchy!$A:$A,hierarchy!$C:$C)</f>
        <v>Unspecified Facility Type</v>
      </c>
    </row>
    <row r="825" spans="1:44" hidden="1" x14ac:dyDescent="0.25">
      <c r="A825">
        <v>4972</v>
      </c>
      <c r="B825" t="s">
        <v>410</v>
      </c>
      <c r="C825" t="s">
        <v>525</v>
      </c>
      <c r="D825" t="s">
        <v>599</v>
      </c>
      <c r="E825" s="3">
        <v>44197</v>
      </c>
      <c r="F825" s="3">
        <v>44561</v>
      </c>
      <c r="G825" t="s">
        <v>135</v>
      </c>
      <c r="H825" s="3">
        <v>44197</v>
      </c>
      <c r="I825" s="3">
        <v>44561</v>
      </c>
      <c r="J825" t="s">
        <v>135</v>
      </c>
      <c r="K825">
        <v>0</v>
      </c>
      <c r="L825" t="s">
        <v>136</v>
      </c>
      <c r="M825" t="s">
        <v>82</v>
      </c>
      <c r="O825" t="s">
        <v>600</v>
      </c>
      <c r="P825" t="s">
        <v>550</v>
      </c>
      <c r="Q825">
        <v>2021</v>
      </c>
      <c r="R825" t="s">
        <v>605</v>
      </c>
      <c r="S825" t="s">
        <v>606</v>
      </c>
      <c r="T825" t="s">
        <v>553</v>
      </c>
      <c r="U825" t="b">
        <v>0</v>
      </c>
      <c r="V825" t="s">
        <v>781</v>
      </c>
      <c r="W825" t="s">
        <v>587</v>
      </c>
      <c r="X825" t="s">
        <v>556</v>
      </c>
      <c r="Y825" t="s">
        <v>472</v>
      </c>
      <c r="AC825">
        <v>1</v>
      </c>
      <c r="AD825" t="s">
        <v>558</v>
      </c>
      <c r="AE825">
        <v>0</v>
      </c>
      <c r="AF825">
        <v>2.5000000000000001E-2</v>
      </c>
      <c r="AG825" t="s">
        <v>798</v>
      </c>
      <c r="AH825">
        <v>0.1</v>
      </c>
      <c r="AI825">
        <v>0</v>
      </c>
      <c r="AJ825" t="s">
        <v>561</v>
      </c>
      <c r="AK825" t="s">
        <v>766</v>
      </c>
      <c r="AL825" t="s">
        <v>790</v>
      </c>
      <c r="AM825">
        <v>2021</v>
      </c>
      <c r="AN825">
        <v>2021</v>
      </c>
      <c r="AO825">
        <f>IF(AND(emissions[[#This Row],[Market-based]]=0,emissions[[#This Row],[Impact Type]]="CO2E"),emissions[[#This Row],[kgCO2e]],0)/1000</f>
        <v>0</v>
      </c>
      <c r="AP825">
        <f>IF(AND(emissions[[#This Row],[Market-based]]=1,OR(emissions[[#This Row],[Impact Type]]="CO2E",emissions[[#This Row],[Impact Type]]="CO2E MKT")),emissions[[#This Row],[kgCO2e]],0)/1000</f>
        <v>0</v>
      </c>
      <c r="AQ825" t="str">
        <f>_xlfn.TEXTAFTER(emissions[[#This Row],[Reporting Unit]]," &gt; ",LEN(emissions[[#This Row],[Reporting Unit]])-LEN(SUBSTITUTE(emissions[[#This Row],[Reporting Unit]],"&gt;","")))</f>
        <v>Vantage_Costa_Rica</v>
      </c>
      <c r="AR825" t="str">
        <f>_xlfn.XLOOKUP(emissions[[#This Row],[Reporting unit name]],hierarchy!$A:$A,hierarchy!$C:$C)</f>
        <v>Unspecified Facility Type</v>
      </c>
    </row>
    <row r="826" spans="1:44" hidden="1" x14ac:dyDescent="0.25">
      <c r="A826">
        <v>4972</v>
      </c>
      <c r="B826" t="s">
        <v>410</v>
      </c>
      <c r="C826" t="s">
        <v>525</v>
      </c>
      <c r="D826" t="s">
        <v>599</v>
      </c>
      <c r="E826" s="3">
        <v>44197</v>
      </c>
      <c r="F826" s="3">
        <v>44561</v>
      </c>
      <c r="G826" t="s">
        <v>135</v>
      </c>
      <c r="H826" s="3">
        <v>44197</v>
      </c>
      <c r="I826" s="3">
        <v>44561</v>
      </c>
      <c r="J826" t="s">
        <v>135</v>
      </c>
      <c r="K826">
        <v>0</v>
      </c>
      <c r="L826" t="s">
        <v>136</v>
      </c>
      <c r="M826" t="s">
        <v>82</v>
      </c>
      <c r="O826" t="s">
        <v>600</v>
      </c>
      <c r="P826" t="s">
        <v>550</v>
      </c>
      <c r="Q826">
        <v>2021</v>
      </c>
      <c r="R826" t="s">
        <v>605</v>
      </c>
      <c r="S826" t="s">
        <v>606</v>
      </c>
      <c r="T826" t="s">
        <v>553</v>
      </c>
      <c r="U826" t="b">
        <v>0</v>
      </c>
      <c r="V826" t="s">
        <v>781</v>
      </c>
      <c r="W826" t="s">
        <v>587</v>
      </c>
      <c r="X826" t="s">
        <v>556</v>
      </c>
      <c r="Y826" t="s">
        <v>472</v>
      </c>
      <c r="AC826">
        <v>1</v>
      </c>
      <c r="AD826" t="s">
        <v>564</v>
      </c>
      <c r="AE826">
        <v>0</v>
      </c>
      <c r="AF826">
        <v>53.06</v>
      </c>
      <c r="AG826" t="s">
        <v>798</v>
      </c>
      <c r="AH826">
        <v>0.1</v>
      </c>
      <c r="AI826">
        <v>0</v>
      </c>
      <c r="AJ826" t="s">
        <v>561</v>
      </c>
      <c r="AK826" t="s">
        <v>766</v>
      </c>
      <c r="AL826" t="s">
        <v>787</v>
      </c>
      <c r="AM826">
        <v>2021</v>
      </c>
      <c r="AN826">
        <v>2020</v>
      </c>
      <c r="AO826">
        <f>IF(AND(emissions[[#This Row],[Market-based]]=0,emissions[[#This Row],[Impact Type]]="CO2E"),emissions[[#This Row],[kgCO2e]],0)/1000</f>
        <v>0</v>
      </c>
      <c r="AP826">
        <f>IF(AND(emissions[[#This Row],[Market-based]]=1,OR(emissions[[#This Row],[Impact Type]]="CO2E",emissions[[#This Row],[Impact Type]]="CO2E MKT")),emissions[[#This Row],[kgCO2e]],0)/1000</f>
        <v>0</v>
      </c>
      <c r="AQ826" t="str">
        <f>_xlfn.TEXTAFTER(emissions[[#This Row],[Reporting Unit]]," &gt; ",LEN(emissions[[#This Row],[Reporting Unit]])-LEN(SUBSTITUTE(emissions[[#This Row],[Reporting Unit]],"&gt;","")))</f>
        <v>Vantage_Costa_Rica</v>
      </c>
      <c r="AR826" t="str">
        <f>_xlfn.XLOOKUP(emissions[[#This Row],[Reporting unit name]],hierarchy!$A:$A,hierarchy!$C:$C)</f>
        <v>Unspecified Facility Type</v>
      </c>
    </row>
    <row r="827" spans="1:44" hidden="1" x14ac:dyDescent="0.25">
      <c r="A827">
        <v>4972</v>
      </c>
      <c r="B827" t="s">
        <v>410</v>
      </c>
      <c r="C827" t="s">
        <v>525</v>
      </c>
      <c r="D827" t="s">
        <v>599</v>
      </c>
      <c r="E827" s="3">
        <v>44197</v>
      </c>
      <c r="F827" s="3">
        <v>44561</v>
      </c>
      <c r="G827" t="s">
        <v>135</v>
      </c>
      <c r="H827" s="3">
        <v>44197</v>
      </c>
      <c r="I827" s="3">
        <v>44561</v>
      </c>
      <c r="J827" t="s">
        <v>135</v>
      </c>
      <c r="K827">
        <v>0</v>
      </c>
      <c r="L827" t="s">
        <v>136</v>
      </c>
      <c r="M827" t="s">
        <v>82</v>
      </c>
      <c r="O827" t="s">
        <v>600</v>
      </c>
      <c r="P827" t="s">
        <v>550</v>
      </c>
      <c r="Q827">
        <v>2021</v>
      </c>
      <c r="R827" t="s">
        <v>605</v>
      </c>
      <c r="S827" t="s">
        <v>606</v>
      </c>
      <c r="T827" t="s">
        <v>553</v>
      </c>
      <c r="U827" t="b">
        <v>0</v>
      </c>
      <c r="V827" t="s">
        <v>781</v>
      </c>
      <c r="W827" t="s">
        <v>587</v>
      </c>
      <c r="X827" t="s">
        <v>556</v>
      </c>
      <c r="Y827" t="s">
        <v>472</v>
      </c>
      <c r="AC827">
        <v>1</v>
      </c>
      <c r="AD827" t="s">
        <v>565</v>
      </c>
      <c r="AE827">
        <v>0</v>
      </c>
      <c r="AF827">
        <v>53.114800000000002</v>
      </c>
      <c r="AG827" t="s">
        <v>798</v>
      </c>
      <c r="AH827">
        <v>0.1</v>
      </c>
      <c r="AI827">
        <v>0</v>
      </c>
      <c r="AJ827" t="s">
        <v>561</v>
      </c>
      <c r="AK827" t="s">
        <v>766</v>
      </c>
      <c r="AL827" t="s">
        <v>790</v>
      </c>
      <c r="AM827">
        <v>2021</v>
      </c>
      <c r="AN827">
        <v>2021</v>
      </c>
      <c r="AO827">
        <f>IF(AND(emissions[[#This Row],[Market-based]]=0,emissions[[#This Row],[Impact Type]]="CO2E"),emissions[[#This Row],[kgCO2e]],0)/1000</f>
        <v>0</v>
      </c>
      <c r="AP827">
        <f>IF(AND(emissions[[#This Row],[Market-based]]=1,OR(emissions[[#This Row],[Impact Type]]="CO2E",emissions[[#This Row],[Impact Type]]="CO2E MKT")),emissions[[#This Row],[kgCO2e]],0)/1000</f>
        <v>0</v>
      </c>
      <c r="AQ827" t="str">
        <f>_xlfn.TEXTAFTER(emissions[[#This Row],[Reporting Unit]]," &gt; ",LEN(emissions[[#This Row],[Reporting Unit]])-LEN(SUBSTITUTE(emissions[[#This Row],[Reporting Unit]],"&gt;","")))</f>
        <v>Vantage_Costa_Rica</v>
      </c>
      <c r="AR827" t="str">
        <f>_xlfn.XLOOKUP(emissions[[#This Row],[Reporting unit name]],hierarchy!$A:$A,hierarchy!$C:$C)</f>
        <v>Unspecified Facility Type</v>
      </c>
    </row>
    <row r="828" spans="1:44" hidden="1" x14ac:dyDescent="0.25">
      <c r="A828">
        <v>4972</v>
      </c>
      <c r="B828" t="s">
        <v>410</v>
      </c>
      <c r="C828" t="s">
        <v>525</v>
      </c>
      <c r="D828" t="s">
        <v>599</v>
      </c>
      <c r="E828" s="3">
        <v>44197</v>
      </c>
      <c r="F828" s="3">
        <v>44561</v>
      </c>
      <c r="G828" t="s">
        <v>135</v>
      </c>
      <c r="H828" s="3">
        <v>44197</v>
      </c>
      <c r="I828" s="3">
        <v>44561</v>
      </c>
      <c r="J828" t="s">
        <v>135</v>
      </c>
      <c r="K828">
        <v>0</v>
      </c>
      <c r="L828" t="s">
        <v>136</v>
      </c>
      <c r="M828" t="s">
        <v>82</v>
      </c>
      <c r="O828" t="s">
        <v>600</v>
      </c>
      <c r="P828" t="s">
        <v>550</v>
      </c>
      <c r="Q828">
        <v>2021</v>
      </c>
      <c r="R828" t="s">
        <v>605</v>
      </c>
      <c r="S828" t="s">
        <v>606</v>
      </c>
      <c r="T828" t="s">
        <v>553</v>
      </c>
      <c r="U828" t="b">
        <v>0</v>
      </c>
      <c r="V828" t="s">
        <v>781</v>
      </c>
      <c r="W828" t="s">
        <v>587</v>
      </c>
      <c r="X828" t="s">
        <v>556</v>
      </c>
      <c r="Y828" t="s">
        <v>472</v>
      </c>
      <c r="AC828">
        <v>1</v>
      </c>
      <c r="AD828" t="s">
        <v>566</v>
      </c>
      <c r="AE828">
        <v>0</v>
      </c>
      <c r="AF828">
        <v>2.98E-2</v>
      </c>
      <c r="AG828" t="s">
        <v>798</v>
      </c>
      <c r="AH828">
        <v>0.1</v>
      </c>
      <c r="AI828">
        <v>0</v>
      </c>
      <c r="AJ828" t="s">
        <v>561</v>
      </c>
      <c r="AK828" t="s">
        <v>766</v>
      </c>
      <c r="AL828" t="s">
        <v>790</v>
      </c>
      <c r="AM828">
        <v>2021</v>
      </c>
      <c r="AN828">
        <v>2021</v>
      </c>
      <c r="AO828">
        <f>IF(AND(emissions[[#This Row],[Market-based]]=0,emissions[[#This Row],[Impact Type]]="CO2E"),emissions[[#This Row],[kgCO2e]],0)/1000</f>
        <v>0</v>
      </c>
      <c r="AP828">
        <f>IF(AND(emissions[[#This Row],[Market-based]]=1,OR(emissions[[#This Row],[Impact Type]]="CO2E",emissions[[#This Row],[Impact Type]]="CO2E MKT")),emissions[[#This Row],[kgCO2e]],0)/1000</f>
        <v>0</v>
      </c>
      <c r="AQ828" t="str">
        <f>_xlfn.TEXTAFTER(emissions[[#This Row],[Reporting Unit]]," &gt; ",LEN(emissions[[#This Row],[Reporting Unit]])-LEN(SUBSTITUTE(emissions[[#This Row],[Reporting Unit]],"&gt;","")))</f>
        <v>Vantage_Costa_Rica</v>
      </c>
      <c r="AR828" t="str">
        <f>_xlfn.XLOOKUP(emissions[[#This Row],[Reporting unit name]],hierarchy!$A:$A,hierarchy!$C:$C)</f>
        <v>Unspecified Facility Type</v>
      </c>
    </row>
    <row r="829" spans="1:44" hidden="1" x14ac:dyDescent="0.25">
      <c r="A829">
        <v>4972</v>
      </c>
      <c r="B829" t="s">
        <v>410</v>
      </c>
      <c r="C829" t="s">
        <v>525</v>
      </c>
      <c r="D829" t="s">
        <v>599</v>
      </c>
      <c r="E829" s="3">
        <v>44197</v>
      </c>
      <c r="F829" s="3">
        <v>44561</v>
      </c>
      <c r="G829" t="s">
        <v>135</v>
      </c>
      <c r="H829" s="3">
        <v>44197</v>
      </c>
      <c r="I829" s="3">
        <v>44561</v>
      </c>
      <c r="J829" t="s">
        <v>135</v>
      </c>
      <c r="K829">
        <v>0</v>
      </c>
      <c r="L829" t="s">
        <v>136</v>
      </c>
      <c r="M829" t="s">
        <v>82</v>
      </c>
      <c r="O829" t="s">
        <v>600</v>
      </c>
      <c r="P829" t="s">
        <v>550</v>
      </c>
      <c r="Q829">
        <v>2021</v>
      </c>
      <c r="R829" t="s">
        <v>609</v>
      </c>
      <c r="S829" t="s">
        <v>610</v>
      </c>
      <c r="T829" t="s">
        <v>577</v>
      </c>
      <c r="U829" t="b">
        <v>0</v>
      </c>
      <c r="V829" t="s">
        <v>611</v>
      </c>
      <c r="W829" t="s">
        <v>571</v>
      </c>
      <c r="X829" t="s">
        <v>572</v>
      </c>
      <c r="AC829">
        <v>0</v>
      </c>
      <c r="AD829" t="s">
        <v>565</v>
      </c>
      <c r="AE829">
        <v>0</v>
      </c>
      <c r="AF829">
        <v>3.1350000000000003E-2</v>
      </c>
      <c r="AG829" t="s">
        <v>608</v>
      </c>
      <c r="AH829">
        <v>29.3001</v>
      </c>
      <c r="AI829">
        <v>0</v>
      </c>
      <c r="AJ829" t="s">
        <v>561</v>
      </c>
      <c r="AK829" t="s">
        <v>589</v>
      </c>
      <c r="AL829" t="s">
        <v>603</v>
      </c>
      <c r="AM829">
        <v>2021</v>
      </c>
      <c r="AN829">
        <v>2019</v>
      </c>
      <c r="AO829">
        <f>IF(AND(emissions[[#This Row],[Market-based]]=0,emissions[[#This Row],[Impact Type]]="CO2E"),emissions[[#This Row],[kgCO2e]],0)/1000</f>
        <v>0</v>
      </c>
      <c r="AP829">
        <f>IF(AND(emissions[[#This Row],[Market-based]]=1,OR(emissions[[#This Row],[Impact Type]]="CO2E",emissions[[#This Row],[Impact Type]]="CO2E MKT")),emissions[[#This Row],[kgCO2e]],0)/1000</f>
        <v>0</v>
      </c>
      <c r="AQ829" t="str">
        <f>_xlfn.TEXTAFTER(emissions[[#This Row],[Reporting Unit]]," &gt; ",LEN(emissions[[#This Row],[Reporting Unit]])-LEN(SUBSTITUTE(emissions[[#This Row],[Reporting Unit]],"&gt;","")))</f>
        <v>Vantage_Costa_Rica</v>
      </c>
      <c r="AR829" t="str">
        <f>_xlfn.XLOOKUP(emissions[[#This Row],[Reporting unit name]],hierarchy!$A:$A,hierarchy!$C:$C)</f>
        <v>Unspecified Facility Type</v>
      </c>
    </row>
    <row r="830" spans="1:44" hidden="1" x14ac:dyDescent="0.25">
      <c r="A830">
        <v>4972</v>
      </c>
      <c r="B830" t="s">
        <v>410</v>
      </c>
      <c r="C830" t="s">
        <v>525</v>
      </c>
      <c r="D830" t="s">
        <v>599</v>
      </c>
      <c r="E830" s="3">
        <v>44197</v>
      </c>
      <c r="F830" s="3">
        <v>44561</v>
      </c>
      <c r="G830" t="s">
        <v>135</v>
      </c>
      <c r="H830" s="3">
        <v>44197</v>
      </c>
      <c r="I830" s="3">
        <v>44561</v>
      </c>
      <c r="J830" t="s">
        <v>135</v>
      </c>
      <c r="K830">
        <v>0</v>
      </c>
      <c r="L830" t="s">
        <v>136</v>
      </c>
      <c r="M830" t="s">
        <v>82</v>
      </c>
      <c r="O830" t="s">
        <v>600</v>
      </c>
      <c r="P830" t="s">
        <v>550</v>
      </c>
      <c r="Q830">
        <v>2021</v>
      </c>
      <c r="R830" t="s">
        <v>609</v>
      </c>
      <c r="S830" t="s">
        <v>610</v>
      </c>
      <c r="T830" t="s">
        <v>577</v>
      </c>
      <c r="U830" t="b">
        <v>0</v>
      </c>
      <c r="V830" t="s">
        <v>611</v>
      </c>
      <c r="W830" t="s">
        <v>571</v>
      </c>
      <c r="X830" t="s">
        <v>572</v>
      </c>
      <c r="AC830">
        <v>1</v>
      </c>
      <c r="AD830" t="s">
        <v>565</v>
      </c>
      <c r="AE830">
        <v>0</v>
      </c>
      <c r="AF830">
        <v>3.1350000000000003E-2</v>
      </c>
      <c r="AG830" t="s">
        <v>608</v>
      </c>
      <c r="AH830">
        <v>29.3001</v>
      </c>
      <c r="AI830">
        <v>0</v>
      </c>
      <c r="AJ830" t="s">
        <v>561</v>
      </c>
      <c r="AK830" t="s">
        <v>589</v>
      </c>
      <c r="AL830" t="s">
        <v>603</v>
      </c>
      <c r="AM830">
        <v>2021</v>
      </c>
      <c r="AN830">
        <v>2019</v>
      </c>
      <c r="AO830">
        <f>IF(AND(emissions[[#This Row],[Market-based]]=0,emissions[[#This Row],[Impact Type]]="CO2E"),emissions[[#This Row],[kgCO2e]],0)/1000</f>
        <v>0</v>
      </c>
      <c r="AP830">
        <f>IF(AND(emissions[[#This Row],[Market-based]]=1,OR(emissions[[#This Row],[Impact Type]]="CO2E",emissions[[#This Row],[Impact Type]]="CO2E MKT")),emissions[[#This Row],[kgCO2e]],0)/1000</f>
        <v>0</v>
      </c>
      <c r="AQ830" t="str">
        <f>_xlfn.TEXTAFTER(emissions[[#This Row],[Reporting Unit]]," &gt; ",LEN(emissions[[#This Row],[Reporting Unit]])-LEN(SUBSTITUTE(emissions[[#This Row],[Reporting Unit]],"&gt;","")))</f>
        <v>Vantage_Costa_Rica</v>
      </c>
      <c r="AR830" t="str">
        <f>_xlfn.XLOOKUP(emissions[[#This Row],[Reporting unit name]],hierarchy!$A:$A,hierarchy!$C:$C)</f>
        <v>Unspecified Facility Type</v>
      </c>
    </row>
    <row r="831" spans="1:44" hidden="1" x14ac:dyDescent="0.25">
      <c r="A831">
        <v>5004</v>
      </c>
      <c r="B831" t="s">
        <v>410</v>
      </c>
      <c r="C831" t="s">
        <v>525</v>
      </c>
      <c r="D831" t="s">
        <v>599</v>
      </c>
      <c r="E831" s="3">
        <v>44197</v>
      </c>
      <c r="F831" s="3">
        <v>44561</v>
      </c>
      <c r="G831" t="s">
        <v>141</v>
      </c>
      <c r="H831" s="3">
        <v>44197</v>
      </c>
      <c r="I831" s="3">
        <v>44561</v>
      </c>
      <c r="J831" t="s">
        <v>142</v>
      </c>
      <c r="K831">
        <v>0</v>
      </c>
      <c r="L831" t="s">
        <v>143</v>
      </c>
      <c r="M831" t="s">
        <v>82</v>
      </c>
      <c r="O831" t="s">
        <v>600</v>
      </c>
      <c r="P831" t="s">
        <v>550</v>
      </c>
      <c r="Q831">
        <v>2021</v>
      </c>
      <c r="R831" t="s">
        <v>612</v>
      </c>
      <c r="S831" t="s">
        <v>613</v>
      </c>
      <c r="T831" t="s">
        <v>553</v>
      </c>
      <c r="U831" t="b">
        <v>0</v>
      </c>
      <c r="V831" t="s">
        <v>614</v>
      </c>
      <c r="W831" t="s">
        <v>587</v>
      </c>
      <c r="X831" t="s">
        <v>556</v>
      </c>
      <c r="AC831">
        <v>0</v>
      </c>
      <c r="AD831" t="s">
        <v>558</v>
      </c>
      <c r="AE831">
        <v>0</v>
      </c>
      <c r="AF831">
        <v>2.5999999999999998E-4</v>
      </c>
      <c r="AG831" t="s">
        <v>588</v>
      </c>
      <c r="AH831">
        <v>1</v>
      </c>
      <c r="AI831">
        <v>0</v>
      </c>
      <c r="AJ831" t="s">
        <v>561</v>
      </c>
      <c r="AK831" t="s">
        <v>589</v>
      </c>
      <c r="AL831" t="s">
        <v>603</v>
      </c>
      <c r="AM831">
        <v>2021</v>
      </c>
      <c r="AN831">
        <v>2019</v>
      </c>
      <c r="AO831">
        <f>IF(AND(emissions[[#This Row],[Market-based]]=0,emissions[[#This Row],[Impact Type]]="CO2E"),emissions[[#This Row],[kgCO2e]],0)/1000</f>
        <v>0</v>
      </c>
      <c r="AP831">
        <f>IF(AND(emissions[[#This Row],[Market-based]]=1,OR(emissions[[#This Row],[Impact Type]]="CO2E",emissions[[#This Row],[Impact Type]]="CO2E MKT")),emissions[[#This Row],[kgCO2e]],0)/1000</f>
        <v>0</v>
      </c>
      <c r="AQ831" t="str">
        <f>_xlfn.TEXTAFTER(emissions[[#This Row],[Reporting Unit]]," &gt; ",LEN(emissions[[#This Row],[Reporting Unit]])-LEN(SUBSTITUTE(emissions[[#This Row],[Reporting Unit]],"&gt;","")))</f>
        <v>Vantage_Costa_Rica</v>
      </c>
      <c r="AR831" t="str">
        <f>_xlfn.XLOOKUP(emissions[[#This Row],[Reporting unit name]],hierarchy!$A:$A,hierarchy!$C:$C)</f>
        <v>Unspecified Facility Type</v>
      </c>
    </row>
    <row r="832" spans="1:44" hidden="1" x14ac:dyDescent="0.25">
      <c r="A832">
        <v>5004</v>
      </c>
      <c r="B832" t="s">
        <v>410</v>
      </c>
      <c r="C832" t="s">
        <v>525</v>
      </c>
      <c r="D832" t="s">
        <v>599</v>
      </c>
      <c r="E832" s="3">
        <v>44197</v>
      </c>
      <c r="F832" s="3">
        <v>44561</v>
      </c>
      <c r="G832" t="s">
        <v>141</v>
      </c>
      <c r="H832" s="3">
        <v>44197</v>
      </c>
      <c r="I832" s="3">
        <v>44561</v>
      </c>
      <c r="J832" t="s">
        <v>142</v>
      </c>
      <c r="K832">
        <v>0</v>
      </c>
      <c r="L832" t="s">
        <v>143</v>
      </c>
      <c r="M832" t="s">
        <v>82</v>
      </c>
      <c r="O832" t="s">
        <v>600</v>
      </c>
      <c r="P832" t="s">
        <v>550</v>
      </c>
      <c r="Q832">
        <v>2021</v>
      </c>
      <c r="R832" t="s">
        <v>612</v>
      </c>
      <c r="S832" t="s">
        <v>613</v>
      </c>
      <c r="T832" t="s">
        <v>553</v>
      </c>
      <c r="U832" t="b">
        <v>0</v>
      </c>
      <c r="V832" t="s">
        <v>614</v>
      </c>
      <c r="W832" t="s">
        <v>587</v>
      </c>
      <c r="X832" t="s">
        <v>556</v>
      </c>
      <c r="AC832">
        <v>0</v>
      </c>
      <c r="AD832" t="s">
        <v>564</v>
      </c>
      <c r="AE832">
        <v>0</v>
      </c>
      <c r="AF832">
        <v>2.6680700000000002</v>
      </c>
      <c r="AG832" t="s">
        <v>588</v>
      </c>
      <c r="AH832">
        <v>1</v>
      </c>
      <c r="AI832">
        <v>0</v>
      </c>
      <c r="AJ832" t="s">
        <v>561</v>
      </c>
      <c r="AK832" t="s">
        <v>589</v>
      </c>
      <c r="AL832" t="s">
        <v>603</v>
      </c>
      <c r="AM832">
        <v>2021</v>
      </c>
      <c r="AN832">
        <v>2019</v>
      </c>
      <c r="AO832">
        <f>IF(AND(emissions[[#This Row],[Market-based]]=0,emissions[[#This Row],[Impact Type]]="CO2E"),emissions[[#This Row],[kgCO2e]],0)/1000</f>
        <v>0</v>
      </c>
      <c r="AP832">
        <f>IF(AND(emissions[[#This Row],[Market-based]]=1,OR(emissions[[#This Row],[Impact Type]]="CO2E",emissions[[#This Row],[Impact Type]]="CO2E MKT")),emissions[[#This Row],[kgCO2e]],0)/1000</f>
        <v>0</v>
      </c>
      <c r="AQ832" t="str">
        <f>_xlfn.TEXTAFTER(emissions[[#This Row],[Reporting Unit]]," &gt; ",LEN(emissions[[#This Row],[Reporting Unit]])-LEN(SUBSTITUTE(emissions[[#This Row],[Reporting Unit]],"&gt;","")))</f>
        <v>Vantage_Costa_Rica</v>
      </c>
      <c r="AR832" t="str">
        <f>_xlfn.XLOOKUP(emissions[[#This Row],[Reporting unit name]],hierarchy!$A:$A,hierarchy!$C:$C)</f>
        <v>Unspecified Facility Type</v>
      </c>
    </row>
    <row r="833" spans="1:44" hidden="1" x14ac:dyDescent="0.25">
      <c r="A833">
        <v>5004</v>
      </c>
      <c r="B833" t="s">
        <v>410</v>
      </c>
      <c r="C833" t="s">
        <v>525</v>
      </c>
      <c r="D833" t="s">
        <v>599</v>
      </c>
      <c r="E833" s="3">
        <v>44197</v>
      </c>
      <c r="F833" s="3">
        <v>44561</v>
      </c>
      <c r="G833" t="s">
        <v>141</v>
      </c>
      <c r="H833" s="3">
        <v>44197</v>
      </c>
      <c r="I833" s="3">
        <v>44561</v>
      </c>
      <c r="J833" t="s">
        <v>142</v>
      </c>
      <c r="K833">
        <v>0</v>
      </c>
      <c r="L833" t="s">
        <v>143</v>
      </c>
      <c r="M833" t="s">
        <v>82</v>
      </c>
      <c r="O833" t="s">
        <v>600</v>
      </c>
      <c r="P833" t="s">
        <v>550</v>
      </c>
      <c r="Q833">
        <v>2021</v>
      </c>
      <c r="R833" t="s">
        <v>612</v>
      </c>
      <c r="S833" t="s">
        <v>613</v>
      </c>
      <c r="T833" t="s">
        <v>553</v>
      </c>
      <c r="U833" t="b">
        <v>0</v>
      </c>
      <c r="V833" t="s">
        <v>614</v>
      </c>
      <c r="W833" t="s">
        <v>587</v>
      </c>
      <c r="X833" t="s">
        <v>556</v>
      </c>
      <c r="AC833">
        <v>0</v>
      </c>
      <c r="AD833" t="s">
        <v>565</v>
      </c>
      <c r="AE833">
        <v>0</v>
      </c>
      <c r="AF833">
        <v>2.70553</v>
      </c>
      <c r="AG833" t="s">
        <v>588</v>
      </c>
      <c r="AH833">
        <v>1</v>
      </c>
      <c r="AI833">
        <v>0</v>
      </c>
      <c r="AJ833" t="s">
        <v>561</v>
      </c>
      <c r="AK833" t="s">
        <v>589</v>
      </c>
      <c r="AL833" t="s">
        <v>603</v>
      </c>
      <c r="AM833">
        <v>2021</v>
      </c>
      <c r="AN833">
        <v>2019</v>
      </c>
      <c r="AO833">
        <f>IF(AND(emissions[[#This Row],[Market-based]]=0,emissions[[#This Row],[Impact Type]]="CO2E"),emissions[[#This Row],[kgCO2e]],0)/1000</f>
        <v>0</v>
      </c>
      <c r="AP833">
        <f>IF(AND(emissions[[#This Row],[Market-based]]=1,OR(emissions[[#This Row],[Impact Type]]="CO2E",emissions[[#This Row],[Impact Type]]="CO2E MKT")),emissions[[#This Row],[kgCO2e]],0)/1000</f>
        <v>0</v>
      </c>
      <c r="AQ833" t="str">
        <f>_xlfn.TEXTAFTER(emissions[[#This Row],[Reporting Unit]]," &gt; ",LEN(emissions[[#This Row],[Reporting Unit]])-LEN(SUBSTITUTE(emissions[[#This Row],[Reporting Unit]],"&gt;","")))</f>
        <v>Vantage_Costa_Rica</v>
      </c>
      <c r="AR833" t="str">
        <f>_xlfn.XLOOKUP(emissions[[#This Row],[Reporting unit name]],hierarchy!$A:$A,hierarchy!$C:$C)</f>
        <v>Unspecified Facility Type</v>
      </c>
    </row>
    <row r="834" spans="1:44" hidden="1" x14ac:dyDescent="0.25">
      <c r="A834">
        <v>5004</v>
      </c>
      <c r="B834" t="s">
        <v>410</v>
      </c>
      <c r="C834" t="s">
        <v>525</v>
      </c>
      <c r="D834" t="s">
        <v>599</v>
      </c>
      <c r="E834" s="3">
        <v>44197</v>
      </c>
      <c r="F834" s="3">
        <v>44561</v>
      </c>
      <c r="G834" t="s">
        <v>141</v>
      </c>
      <c r="H834" s="3">
        <v>44197</v>
      </c>
      <c r="I834" s="3">
        <v>44561</v>
      </c>
      <c r="J834" t="s">
        <v>142</v>
      </c>
      <c r="K834">
        <v>0</v>
      </c>
      <c r="L834" t="s">
        <v>143</v>
      </c>
      <c r="M834" t="s">
        <v>82</v>
      </c>
      <c r="O834" t="s">
        <v>600</v>
      </c>
      <c r="P834" t="s">
        <v>550</v>
      </c>
      <c r="Q834">
        <v>2021</v>
      </c>
      <c r="R834" t="s">
        <v>612</v>
      </c>
      <c r="S834" t="s">
        <v>613</v>
      </c>
      <c r="T834" t="s">
        <v>553</v>
      </c>
      <c r="U834" t="b">
        <v>0</v>
      </c>
      <c r="V834" t="s">
        <v>614</v>
      </c>
      <c r="W834" t="s">
        <v>587</v>
      </c>
      <c r="X834" t="s">
        <v>556</v>
      </c>
      <c r="AC834">
        <v>0</v>
      </c>
      <c r="AD834" t="s">
        <v>566</v>
      </c>
      <c r="AE834">
        <v>0</v>
      </c>
      <c r="AF834">
        <v>3.7199999999999997E-2</v>
      </c>
      <c r="AG834" t="s">
        <v>588</v>
      </c>
      <c r="AH834">
        <v>1</v>
      </c>
      <c r="AI834">
        <v>0</v>
      </c>
      <c r="AJ834" t="s">
        <v>561</v>
      </c>
      <c r="AK834" t="s">
        <v>589</v>
      </c>
      <c r="AL834" t="s">
        <v>603</v>
      </c>
      <c r="AM834">
        <v>2021</v>
      </c>
      <c r="AN834">
        <v>2019</v>
      </c>
      <c r="AO834">
        <f>IF(AND(emissions[[#This Row],[Market-based]]=0,emissions[[#This Row],[Impact Type]]="CO2E"),emissions[[#This Row],[kgCO2e]],0)/1000</f>
        <v>0</v>
      </c>
      <c r="AP834">
        <f>IF(AND(emissions[[#This Row],[Market-based]]=1,OR(emissions[[#This Row],[Impact Type]]="CO2E",emissions[[#This Row],[Impact Type]]="CO2E MKT")),emissions[[#This Row],[kgCO2e]],0)/1000</f>
        <v>0</v>
      </c>
      <c r="AQ834" t="str">
        <f>_xlfn.TEXTAFTER(emissions[[#This Row],[Reporting Unit]]," &gt; ",LEN(emissions[[#This Row],[Reporting Unit]])-LEN(SUBSTITUTE(emissions[[#This Row],[Reporting Unit]],"&gt;","")))</f>
        <v>Vantage_Costa_Rica</v>
      </c>
      <c r="AR834" t="str">
        <f>_xlfn.XLOOKUP(emissions[[#This Row],[Reporting unit name]],hierarchy!$A:$A,hierarchy!$C:$C)</f>
        <v>Unspecified Facility Type</v>
      </c>
    </row>
    <row r="835" spans="1:44" hidden="1" x14ac:dyDescent="0.25">
      <c r="A835">
        <v>5004</v>
      </c>
      <c r="B835" t="s">
        <v>410</v>
      </c>
      <c r="C835" t="s">
        <v>525</v>
      </c>
      <c r="D835" t="s">
        <v>599</v>
      </c>
      <c r="E835" s="3">
        <v>44197</v>
      </c>
      <c r="F835" s="3">
        <v>44561</v>
      </c>
      <c r="G835" t="s">
        <v>141</v>
      </c>
      <c r="H835" s="3">
        <v>44197</v>
      </c>
      <c r="I835" s="3">
        <v>44561</v>
      </c>
      <c r="J835" t="s">
        <v>142</v>
      </c>
      <c r="K835">
        <v>0</v>
      </c>
      <c r="L835" t="s">
        <v>143</v>
      </c>
      <c r="M835" t="s">
        <v>82</v>
      </c>
      <c r="O835" t="s">
        <v>600</v>
      </c>
      <c r="P835" t="s">
        <v>550</v>
      </c>
      <c r="Q835">
        <v>2021</v>
      </c>
      <c r="R835" t="s">
        <v>612</v>
      </c>
      <c r="S835" t="s">
        <v>613</v>
      </c>
      <c r="T835" t="s">
        <v>553</v>
      </c>
      <c r="U835" t="b">
        <v>0</v>
      </c>
      <c r="V835" t="s">
        <v>614</v>
      </c>
      <c r="W835" t="s">
        <v>587</v>
      </c>
      <c r="X835" t="s">
        <v>556</v>
      </c>
      <c r="AC835">
        <v>1</v>
      </c>
      <c r="AD835" t="s">
        <v>558</v>
      </c>
      <c r="AE835">
        <v>0</v>
      </c>
      <c r="AF835">
        <v>2.5999999999999998E-4</v>
      </c>
      <c r="AG835" t="s">
        <v>588</v>
      </c>
      <c r="AH835">
        <v>1</v>
      </c>
      <c r="AI835">
        <v>0</v>
      </c>
      <c r="AJ835" t="s">
        <v>561</v>
      </c>
      <c r="AK835" t="s">
        <v>589</v>
      </c>
      <c r="AL835" t="s">
        <v>603</v>
      </c>
      <c r="AM835">
        <v>2021</v>
      </c>
      <c r="AN835">
        <v>2019</v>
      </c>
      <c r="AO835">
        <f>IF(AND(emissions[[#This Row],[Market-based]]=0,emissions[[#This Row],[Impact Type]]="CO2E"),emissions[[#This Row],[kgCO2e]],0)/1000</f>
        <v>0</v>
      </c>
      <c r="AP835">
        <f>IF(AND(emissions[[#This Row],[Market-based]]=1,OR(emissions[[#This Row],[Impact Type]]="CO2E",emissions[[#This Row],[Impact Type]]="CO2E MKT")),emissions[[#This Row],[kgCO2e]],0)/1000</f>
        <v>0</v>
      </c>
      <c r="AQ835" t="str">
        <f>_xlfn.TEXTAFTER(emissions[[#This Row],[Reporting Unit]]," &gt; ",LEN(emissions[[#This Row],[Reporting Unit]])-LEN(SUBSTITUTE(emissions[[#This Row],[Reporting Unit]],"&gt;","")))</f>
        <v>Vantage_Costa_Rica</v>
      </c>
      <c r="AR835" t="str">
        <f>_xlfn.XLOOKUP(emissions[[#This Row],[Reporting unit name]],hierarchy!$A:$A,hierarchy!$C:$C)</f>
        <v>Unspecified Facility Type</v>
      </c>
    </row>
    <row r="836" spans="1:44" hidden="1" x14ac:dyDescent="0.25">
      <c r="A836">
        <v>5004</v>
      </c>
      <c r="B836" t="s">
        <v>410</v>
      </c>
      <c r="C836" t="s">
        <v>525</v>
      </c>
      <c r="D836" t="s">
        <v>599</v>
      </c>
      <c r="E836" s="3">
        <v>44197</v>
      </c>
      <c r="F836" s="3">
        <v>44561</v>
      </c>
      <c r="G836" t="s">
        <v>141</v>
      </c>
      <c r="H836" s="3">
        <v>44197</v>
      </c>
      <c r="I836" s="3">
        <v>44561</v>
      </c>
      <c r="J836" t="s">
        <v>142</v>
      </c>
      <c r="K836">
        <v>0</v>
      </c>
      <c r="L836" t="s">
        <v>143</v>
      </c>
      <c r="M836" t="s">
        <v>82</v>
      </c>
      <c r="O836" t="s">
        <v>600</v>
      </c>
      <c r="P836" t="s">
        <v>550</v>
      </c>
      <c r="Q836">
        <v>2021</v>
      </c>
      <c r="R836" t="s">
        <v>612</v>
      </c>
      <c r="S836" t="s">
        <v>613</v>
      </c>
      <c r="T836" t="s">
        <v>553</v>
      </c>
      <c r="U836" t="b">
        <v>0</v>
      </c>
      <c r="V836" t="s">
        <v>614</v>
      </c>
      <c r="W836" t="s">
        <v>587</v>
      </c>
      <c r="X836" t="s">
        <v>556</v>
      </c>
      <c r="AC836">
        <v>1</v>
      </c>
      <c r="AD836" t="s">
        <v>564</v>
      </c>
      <c r="AE836">
        <v>0</v>
      </c>
      <c r="AF836">
        <v>2.6680700000000002</v>
      </c>
      <c r="AG836" t="s">
        <v>588</v>
      </c>
      <c r="AH836">
        <v>1</v>
      </c>
      <c r="AI836">
        <v>0</v>
      </c>
      <c r="AJ836" t="s">
        <v>561</v>
      </c>
      <c r="AK836" t="s">
        <v>589</v>
      </c>
      <c r="AL836" t="s">
        <v>603</v>
      </c>
      <c r="AM836">
        <v>2021</v>
      </c>
      <c r="AN836">
        <v>2019</v>
      </c>
      <c r="AO836">
        <f>IF(AND(emissions[[#This Row],[Market-based]]=0,emissions[[#This Row],[Impact Type]]="CO2E"),emissions[[#This Row],[kgCO2e]],0)/1000</f>
        <v>0</v>
      </c>
      <c r="AP836">
        <f>IF(AND(emissions[[#This Row],[Market-based]]=1,OR(emissions[[#This Row],[Impact Type]]="CO2E",emissions[[#This Row],[Impact Type]]="CO2E MKT")),emissions[[#This Row],[kgCO2e]],0)/1000</f>
        <v>0</v>
      </c>
      <c r="AQ836" t="str">
        <f>_xlfn.TEXTAFTER(emissions[[#This Row],[Reporting Unit]]," &gt; ",LEN(emissions[[#This Row],[Reporting Unit]])-LEN(SUBSTITUTE(emissions[[#This Row],[Reporting Unit]],"&gt;","")))</f>
        <v>Vantage_Costa_Rica</v>
      </c>
      <c r="AR836" t="str">
        <f>_xlfn.XLOOKUP(emissions[[#This Row],[Reporting unit name]],hierarchy!$A:$A,hierarchy!$C:$C)</f>
        <v>Unspecified Facility Type</v>
      </c>
    </row>
    <row r="837" spans="1:44" hidden="1" x14ac:dyDescent="0.25">
      <c r="A837">
        <v>5004</v>
      </c>
      <c r="B837" t="s">
        <v>410</v>
      </c>
      <c r="C837" t="s">
        <v>525</v>
      </c>
      <c r="D837" t="s">
        <v>599</v>
      </c>
      <c r="E837" s="3">
        <v>44197</v>
      </c>
      <c r="F837" s="3">
        <v>44561</v>
      </c>
      <c r="G837" t="s">
        <v>141</v>
      </c>
      <c r="H837" s="3">
        <v>44197</v>
      </c>
      <c r="I837" s="3">
        <v>44561</v>
      </c>
      <c r="J837" t="s">
        <v>142</v>
      </c>
      <c r="K837">
        <v>0</v>
      </c>
      <c r="L837" t="s">
        <v>143</v>
      </c>
      <c r="M837" t="s">
        <v>82</v>
      </c>
      <c r="O837" t="s">
        <v>600</v>
      </c>
      <c r="P837" t="s">
        <v>550</v>
      </c>
      <c r="Q837">
        <v>2021</v>
      </c>
      <c r="R837" t="s">
        <v>612</v>
      </c>
      <c r="S837" t="s">
        <v>613</v>
      </c>
      <c r="T837" t="s">
        <v>553</v>
      </c>
      <c r="U837" t="b">
        <v>0</v>
      </c>
      <c r="V837" t="s">
        <v>614</v>
      </c>
      <c r="W837" t="s">
        <v>587</v>
      </c>
      <c r="X837" t="s">
        <v>556</v>
      </c>
      <c r="AC837">
        <v>1</v>
      </c>
      <c r="AD837" t="s">
        <v>565</v>
      </c>
      <c r="AE837">
        <v>0</v>
      </c>
      <c r="AF837">
        <v>2.70553</v>
      </c>
      <c r="AG837" t="s">
        <v>588</v>
      </c>
      <c r="AH837">
        <v>1</v>
      </c>
      <c r="AI837">
        <v>0</v>
      </c>
      <c r="AJ837" t="s">
        <v>561</v>
      </c>
      <c r="AK837" t="s">
        <v>589</v>
      </c>
      <c r="AL837" t="s">
        <v>603</v>
      </c>
      <c r="AM837">
        <v>2021</v>
      </c>
      <c r="AN837">
        <v>2019</v>
      </c>
      <c r="AO837">
        <f>IF(AND(emissions[[#This Row],[Market-based]]=0,emissions[[#This Row],[Impact Type]]="CO2E"),emissions[[#This Row],[kgCO2e]],0)/1000</f>
        <v>0</v>
      </c>
      <c r="AP837">
        <f>IF(AND(emissions[[#This Row],[Market-based]]=1,OR(emissions[[#This Row],[Impact Type]]="CO2E",emissions[[#This Row],[Impact Type]]="CO2E MKT")),emissions[[#This Row],[kgCO2e]],0)/1000</f>
        <v>0</v>
      </c>
      <c r="AQ837" t="str">
        <f>_xlfn.TEXTAFTER(emissions[[#This Row],[Reporting Unit]]," &gt; ",LEN(emissions[[#This Row],[Reporting Unit]])-LEN(SUBSTITUTE(emissions[[#This Row],[Reporting Unit]],"&gt;","")))</f>
        <v>Vantage_Costa_Rica</v>
      </c>
      <c r="AR837" t="str">
        <f>_xlfn.XLOOKUP(emissions[[#This Row],[Reporting unit name]],hierarchy!$A:$A,hierarchy!$C:$C)</f>
        <v>Unspecified Facility Type</v>
      </c>
    </row>
    <row r="838" spans="1:44" hidden="1" x14ac:dyDescent="0.25">
      <c r="A838">
        <v>5004</v>
      </c>
      <c r="B838" t="s">
        <v>410</v>
      </c>
      <c r="C838" t="s">
        <v>525</v>
      </c>
      <c r="D838" t="s">
        <v>599</v>
      </c>
      <c r="E838" s="3">
        <v>44197</v>
      </c>
      <c r="F838" s="3">
        <v>44561</v>
      </c>
      <c r="G838" t="s">
        <v>141</v>
      </c>
      <c r="H838" s="3">
        <v>44197</v>
      </c>
      <c r="I838" s="3">
        <v>44561</v>
      </c>
      <c r="J838" t="s">
        <v>142</v>
      </c>
      <c r="K838">
        <v>0</v>
      </c>
      <c r="L838" t="s">
        <v>143</v>
      </c>
      <c r="M838" t="s">
        <v>82</v>
      </c>
      <c r="O838" t="s">
        <v>600</v>
      </c>
      <c r="P838" t="s">
        <v>550</v>
      </c>
      <c r="Q838">
        <v>2021</v>
      </c>
      <c r="R838" t="s">
        <v>612</v>
      </c>
      <c r="S838" t="s">
        <v>613</v>
      </c>
      <c r="T838" t="s">
        <v>553</v>
      </c>
      <c r="U838" t="b">
        <v>0</v>
      </c>
      <c r="V838" t="s">
        <v>614</v>
      </c>
      <c r="W838" t="s">
        <v>587</v>
      </c>
      <c r="X838" t="s">
        <v>556</v>
      </c>
      <c r="AC838">
        <v>1</v>
      </c>
      <c r="AD838" t="s">
        <v>566</v>
      </c>
      <c r="AE838">
        <v>0</v>
      </c>
      <c r="AF838">
        <v>3.7199999999999997E-2</v>
      </c>
      <c r="AG838" t="s">
        <v>588</v>
      </c>
      <c r="AH838">
        <v>1</v>
      </c>
      <c r="AI838">
        <v>0</v>
      </c>
      <c r="AJ838" t="s">
        <v>561</v>
      </c>
      <c r="AK838" t="s">
        <v>589</v>
      </c>
      <c r="AL838" t="s">
        <v>603</v>
      </c>
      <c r="AM838">
        <v>2021</v>
      </c>
      <c r="AN838">
        <v>2019</v>
      </c>
      <c r="AO838">
        <f>IF(AND(emissions[[#This Row],[Market-based]]=0,emissions[[#This Row],[Impact Type]]="CO2E"),emissions[[#This Row],[kgCO2e]],0)/1000</f>
        <v>0</v>
      </c>
      <c r="AP838">
        <f>IF(AND(emissions[[#This Row],[Market-based]]=1,OR(emissions[[#This Row],[Impact Type]]="CO2E",emissions[[#This Row],[Impact Type]]="CO2E MKT")),emissions[[#This Row],[kgCO2e]],0)/1000</f>
        <v>0</v>
      </c>
      <c r="AQ838" t="str">
        <f>_xlfn.TEXTAFTER(emissions[[#This Row],[Reporting Unit]]," &gt; ",LEN(emissions[[#This Row],[Reporting Unit]])-LEN(SUBSTITUTE(emissions[[#This Row],[Reporting Unit]],"&gt;","")))</f>
        <v>Vantage_Costa_Rica</v>
      </c>
      <c r="AR838" t="str">
        <f>_xlfn.XLOOKUP(emissions[[#This Row],[Reporting unit name]],hierarchy!$A:$A,hierarchy!$C:$C)</f>
        <v>Unspecified Facility Type</v>
      </c>
    </row>
    <row r="839" spans="1:44" hidden="1" x14ac:dyDescent="0.25">
      <c r="A839">
        <v>5004</v>
      </c>
      <c r="B839" t="s">
        <v>410</v>
      </c>
      <c r="C839" t="s">
        <v>525</v>
      </c>
      <c r="D839" t="s">
        <v>599</v>
      </c>
      <c r="E839" s="3">
        <v>44197</v>
      </c>
      <c r="F839" s="3">
        <v>44561</v>
      </c>
      <c r="G839" t="s">
        <v>141</v>
      </c>
      <c r="H839" s="3">
        <v>44197</v>
      </c>
      <c r="I839" s="3">
        <v>44561</v>
      </c>
      <c r="J839" t="s">
        <v>142</v>
      </c>
      <c r="K839">
        <v>0</v>
      </c>
      <c r="L839" t="s">
        <v>143</v>
      </c>
      <c r="M839" t="s">
        <v>82</v>
      </c>
      <c r="O839" t="s">
        <v>600</v>
      </c>
      <c r="P839" t="s">
        <v>550</v>
      </c>
      <c r="Q839">
        <v>2021</v>
      </c>
      <c r="R839" t="s">
        <v>615</v>
      </c>
      <c r="S839" t="s">
        <v>616</v>
      </c>
      <c r="T839" t="s">
        <v>577</v>
      </c>
      <c r="U839" t="b">
        <v>0</v>
      </c>
      <c r="V839" t="s">
        <v>617</v>
      </c>
      <c r="W839" t="s">
        <v>571</v>
      </c>
      <c r="X839" t="s">
        <v>572</v>
      </c>
      <c r="AC839">
        <v>0</v>
      </c>
      <c r="AD839" t="s">
        <v>565</v>
      </c>
      <c r="AE839">
        <v>0</v>
      </c>
      <c r="AF839">
        <v>0.62873999999999997</v>
      </c>
      <c r="AG839" t="s">
        <v>588</v>
      </c>
      <c r="AH839">
        <v>1</v>
      </c>
      <c r="AI839">
        <v>0</v>
      </c>
      <c r="AJ839" t="s">
        <v>561</v>
      </c>
      <c r="AK839" t="s">
        <v>589</v>
      </c>
      <c r="AL839" t="s">
        <v>603</v>
      </c>
      <c r="AM839">
        <v>2021</v>
      </c>
      <c r="AN839">
        <v>2019</v>
      </c>
      <c r="AO839">
        <f>IF(AND(emissions[[#This Row],[Market-based]]=0,emissions[[#This Row],[Impact Type]]="CO2E"),emissions[[#This Row],[kgCO2e]],0)/1000</f>
        <v>0</v>
      </c>
      <c r="AP839">
        <f>IF(AND(emissions[[#This Row],[Market-based]]=1,OR(emissions[[#This Row],[Impact Type]]="CO2E",emissions[[#This Row],[Impact Type]]="CO2E MKT")),emissions[[#This Row],[kgCO2e]],0)/1000</f>
        <v>0</v>
      </c>
      <c r="AQ839" t="str">
        <f>_xlfn.TEXTAFTER(emissions[[#This Row],[Reporting Unit]]," &gt; ",LEN(emissions[[#This Row],[Reporting Unit]])-LEN(SUBSTITUTE(emissions[[#This Row],[Reporting Unit]],"&gt;","")))</f>
        <v>Vantage_Costa_Rica</v>
      </c>
      <c r="AR839" t="str">
        <f>_xlfn.XLOOKUP(emissions[[#This Row],[Reporting unit name]],hierarchy!$A:$A,hierarchy!$C:$C)</f>
        <v>Unspecified Facility Type</v>
      </c>
    </row>
    <row r="840" spans="1:44" hidden="1" x14ac:dyDescent="0.25">
      <c r="A840">
        <v>5004</v>
      </c>
      <c r="B840" t="s">
        <v>410</v>
      </c>
      <c r="C840" t="s">
        <v>525</v>
      </c>
      <c r="D840" t="s">
        <v>599</v>
      </c>
      <c r="E840" s="3">
        <v>44197</v>
      </c>
      <c r="F840" s="3">
        <v>44561</v>
      </c>
      <c r="G840" t="s">
        <v>141</v>
      </c>
      <c r="H840" s="3">
        <v>44197</v>
      </c>
      <c r="I840" s="3">
        <v>44561</v>
      </c>
      <c r="J840" t="s">
        <v>142</v>
      </c>
      <c r="K840">
        <v>0</v>
      </c>
      <c r="L840" t="s">
        <v>143</v>
      </c>
      <c r="M840" t="s">
        <v>82</v>
      </c>
      <c r="O840" t="s">
        <v>600</v>
      </c>
      <c r="P840" t="s">
        <v>550</v>
      </c>
      <c r="Q840">
        <v>2021</v>
      </c>
      <c r="R840" t="s">
        <v>615</v>
      </c>
      <c r="S840" t="s">
        <v>616</v>
      </c>
      <c r="T840" t="s">
        <v>577</v>
      </c>
      <c r="U840" t="b">
        <v>0</v>
      </c>
      <c r="V840" t="s">
        <v>617</v>
      </c>
      <c r="W840" t="s">
        <v>571</v>
      </c>
      <c r="X840" t="s">
        <v>572</v>
      </c>
      <c r="AC840">
        <v>1</v>
      </c>
      <c r="AD840" t="s">
        <v>565</v>
      </c>
      <c r="AE840">
        <v>0</v>
      </c>
      <c r="AF840">
        <v>0.62873999999999997</v>
      </c>
      <c r="AG840" t="s">
        <v>588</v>
      </c>
      <c r="AH840">
        <v>1</v>
      </c>
      <c r="AI840">
        <v>0</v>
      </c>
      <c r="AJ840" t="s">
        <v>561</v>
      </c>
      <c r="AK840" t="s">
        <v>589</v>
      </c>
      <c r="AL840" t="s">
        <v>603</v>
      </c>
      <c r="AM840">
        <v>2021</v>
      </c>
      <c r="AN840">
        <v>2019</v>
      </c>
      <c r="AO840">
        <f>IF(AND(emissions[[#This Row],[Market-based]]=0,emissions[[#This Row],[Impact Type]]="CO2E"),emissions[[#This Row],[kgCO2e]],0)/1000</f>
        <v>0</v>
      </c>
      <c r="AP840">
        <f>IF(AND(emissions[[#This Row],[Market-based]]=1,OR(emissions[[#This Row],[Impact Type]]="CO2E",emissions[[#This Row],[Impact Type]]="CO2E MKT")),emissions[[#This Row],[kgCO2e]],0)/1000</f>
        <v>0</v>
      </c>
      <c r="AQ840" t="str">
        <f>_xlfn.TEXTAFTER(emissions[[#This Row],[Reporting Unit]]," &gt; ",LEN(emissions[[#This Row],[Reporting Unit]])-LEN(SUBSTITUTE(emissions[[#This Row],[Reporting Unit]],"&gt;","")))</f>
        <v>Vantage_Costa_Rica</v>
      </c>
      <c r="AR840" t="str">
        <f>_xlfn.XLOOKUP(emissions[[#This Row],[Reporting unit name]],hierarchy!$A:$A,hierarchy!$C:$C)</f>
        <v>Unspecified Facility Type</v>
      </c>
    </row>
    <row r="841" spans="1:44" hidden="1" x14ac:dyDescent="0.25">
      <c r="A841">
        <v>5031</v>
      </c>
      <c r="B841" t="s">
        <v>410</v>
      </c>
      <c r="C841" t="s">
        <v>525</v>
      </c>
      <c r="D841" t="s">
        <v>599</v>
      </c>
      <c r="E841" s="3">
        <v>44197</v>
      </c>
      <c r="F841" s="3">
        <v>44561</v>
      </c>
      <c r="G841" t="s">
        <v>116</v>
      </c>
      <c r="H841" s="3">
        <v>44197</v>
      </c>
      <c r="I841" s="3">
        <v>44561</v>
      </c>
      <c r="J841" t="s">
        <v>128</v>
      </c>
      <c r="K841">
        <v>0.11840000000000001</v>
      </c>
      <c r="L841" t="s">
        <v>118</v>
      </c>
      <c r="M841" t="s">
        <v>82</v>
      </c>
      <c r="O841" t="s">
        <v>600</v>
      </c>
      <c r="P841" t="s">
        <v>550</v>
      </c>
      <c r="Q841">
        <v>2021</v>
      </c>
      <c r="R841" t="s">
        <v>619</v>
      </c>
      <c r="S841" t="s">
        <v>620</v>
      </c>
      <c r="T841" t="s">
        <v>553</v>
      </c>
      <c r="U841" t="b">
        <v>0</v>
      </c>
      <c r="V841" t="s">
        <v>621</v>
      </c>
      <c r="W841" t="s">
        <v>587</v>
      </c>
      <c r="X841" t="s">
        <v>556</v>
      </c>
      <c r="AC841">
        <v>0</v>
      </c>
      <c r="AD841" t="s">
        <v>565</v>
      </c>
      <c r="AE841">
        <v>169.31200000000001</v>
      </c>
      <c r="AF841">
        <v>1430</v>
      </c>
      <c r="AG841" t="s">
        <v>622</v>
      </c>
      <c r="AH841">
        <v>1</v>
      </c>
      <c r="AI841">
        <v>0.11840000000000001</v>
      </c>
      <c r="AJ841" t="s">
        <v>561</v>
      </c>
      <c r="AK841" t="s">
        <v>623</v>
      </c>
      <c r="AL841" t="s">
        <v>624</v>
      </c>
      <c r="AM841">
        <v>2021</v>
      </c>
      <c r="AN841">
        <v>2007</v>
      </c>
      <c r="AO841">
        <f>IF(AND(emissions[[#This Row],[Market-based]]=0,emissions[[#This Row],[Impact Type]]="CO2E"),emissions[[#This Row],[kgCO2e]],0)/1000</f>
        <v>0.16931200000000002</v>
      </c>
      <c r="AP841">
        <f>IF(AND(emissions[[#This Row],[Market-based]]=1,OR(emissions[[#This Row],[Impact Type]]="CO2E",emissions[[#This Row],[Impact Type]]="CO2E MKT")),emissions[[#This Row],[kgCO2e]],0)/1000</f>
        <v>0</v>
      </c>
      <c r="AQ841" t="str">
        <f>_xlfn.TEXTAFTER(emissions[[#This Row],[Reporting Unit]]," &gt; ",LEN(emissions[[#This Row],[Reporting Unit]])-LEN(SUBSTITUTE(emissions[[#This Row],[Reporting Unit]],"&gt;","")))</f>
        <v>Vantage_Costa_Rica</v>
      </c>
      <c r="AR841" t="str">
        <f>_xlfn.XLOOKUP(emissions[[#This Row],[Reporting unit name]],hierarchy!$A:$A,hierarchy!$C:$C)</f>
        <v>Unspecified Facility Type</v>
      </c>
    </row>
    <row r="842" spans="1:44" hidden="1" x14ac:dyDescent="0.25">
      <c r="A842">
        <v>5031</v>
      </c>
      <c r="B842" t="s">
        <v>410</v>
      </c>
      <c r="C842" t="s">
        <v>525</v>
      </c>
      <c r="D842" t="s">
        <v>599</v>
      </c>
      <c r="E842" s="3">
        <v>44197</v>
      </c>
      <c r="F842" s="3">
        <v>44561</v>
      </c>
      <c r="G842" t="s">
        <v>116</v>
      </c>
      <c r="H842" s="3">
        <v>44197</v>
      </c>
      <c r="I842" s="3">
        <v>44561</v>
      </c>
      <c r="J842" t="s">
        <v>128</v>
      </c>
      <c r="K842">
        <v>0.11840000000000001</v>
      </c>
      <c r="L842" t="s">
        <v>118</v>
      </c>
      <c r="M842" t="s">
        <v>82</v>
      </c>
      <c r="O842" t="s">
        <v>600</v>
      </c>
      <c r="P842" t="s">
        <v>550</v>
      </c>
      <c r="Q842">
        <v>2021</v>
      </c>
      <c r="R842" t="s">
        <v>619</v>
      </c>
      <c r="S842" t="s">
        <v>620</v>
      </c>
      <c r="T842" t="s">
        <v>553</v>
      </c>
      <c r="U842" t="b">
        <v>0</v>
      </c>
      <c r="V842" t="s">
        <v>621</v>
      </c>
      <c r="W842" t="s">
        <v>587</v>
      </c>
      <c r="X842" t="s">
        <v>556</v>
      </c>
      <c r="AC842">
        <v>1</v>
      </c>
      <c r="AD842" t="s">
        <v>565</v>
      </c>
      <c r="AE842">
        <v>169.31200000000001</v>
      </c>
      <c r="AF842">
        <v>1430</v>
      </c>
      <c r="AG842" t="s">
        <v>622</v>
      </c>
      <c r="AH842">
        <v>1</v>
      </c>
      <c r="AI842">
        <v>0.11840000000000001</v>
      </c>
      <c r="AJ842" t="s">
        <v>561</v>
      </c>
      <c r="AK842" t="s">
        <v>623</v>
      </c>
      <c r="AL842" t="s">
        <v>624</v>
      </c>
      <c r="AM842">
        <v>2021</v>
      </c>
      <c r="AN842">
        <v>2007</v>
      </c>
      <c r="AO842">
        <f>IF(AND(emissions[[#This Row],[Market-based]]=0,emissions[[#This Row],[Impact Type]]="CO2E"),emissions[[#This Row],[kgCO2e]],0)/1000</f>
        <v>0</v>
      </c>
      <c r="AP842">
        <f>IF(AND(emissions[[#This Row],[Market-based]]=1,OR(emissions[[#This Row],[Impact Type]]="CO2E",emissions[[#This Row],[Impact Type]]="CO2E MKT")),emissions[[#This Row],[kgCO2e]],0)/1000</f>
        <v>0.16931200000000002</v>
      </c>
      <c r="AQ842" t="str">
        <f>_xlfn.TEXTAFTER(emissions[[#This Row],[Reporting Unit]]," &gt; ",LEN(emissions[[#This Row],[Reporting Unit]])-LEN(SUBSTITUTE(emissions[[#This Row],[Reporting Unit]],"&gt;","")))</f>
        <v>Vantage_Costa_Rica</v>
      </c>
      <c r="AR842" t="str">
        <f>_xlfn.XLOOKUP(emissions[[#This Row],[Reporting unit name]],hierarchy!$A:$A,hierarchy!$C:$C)</f>
        <v>Unspecified Facility Type</v>
      </c>
    </row>
    <row r="843" spans="1:44" hidden="1" x14ac:dyDescent="0.25">
      <c r="A843">
        <v>1230943</v>
      </c>
      <c r="B843" t="s">
        <v>410</v>
      </c>
      <c r="C843" t="s">
        <v>525</v>
      </c>
      <c r="D843" t="s">
        <v>599</v>
      </c>
      <c r="E843" s="3">
        <v>44197</v>
      </c>
      <c r="F843" s="3">
        <v>44561</v>
      </c>
      <c r="G843" t="s">
        <v>121</v>
      </c>
      <c r="H843" s="3">
        <v>44197</v>
      </c>
      <c r="I843" s="3">
        <v>44561</v>
      </c>
      <c r="J843" t="s">
        <v>122</v>
      </c>
      <c r="K843">
        <v>22596.5</v>
      </c>
      <c r="L843" t="s">
        <v>143</v>
      </c>
      <c r="M843" t="s">
        <v>110</v>
      </c>
      <c r="O843" t="s">
        <v>829</v>
      </c>
      <c r="P843" t="s">
        <v>550</v>
      </c>
      <c r="Q843">
        <v>2021</v>
      </c>
      <c r="R843" t="s">
        <v>742</v>
      </c>
      <c r="S843" t="s">
        <v>122</v>
      </c>
      <c r="T843" t="s">
        <v>553</v>
      </c>
      <c r="U843" t="b">
        <v>0</v>
      </c>
      <c r="V843" t="s">
        <v>824</v>
      </c>
      <c r="W843" t="s">
        <v>587</v>
      </c>
      <c r="X843" t="s">
        <v>556</v>
      </c>
      <c r="Y843" t="s">
        <v>472</v>
      </c>
      <c r="AC843">
        <v>0</v>
      </c>
      <c r="AD843" t="s">
        <v>558</v>
      </c>
      <c r="AE843">
        <v>41.785566660000001</v>
      </c>
      <c r="AF843">
        <v>7.0000000000000001E-3</v>
      </c>
      <c r="AG843" t="s">
        <v>786</v>
      </c>
      <c r="AH843">
        <v>0.26417217999999998</v>
      </c>
      <c r="AI843">
        <v>5969.3666649999996</v>
      </c>
      <c r="AJ843" t="s">
        <v>561</v>
      </c>
      <c r="AK843" t="s">
        <v>766</v>
      </c>
      <c r="AL843" t="s">
        <v>787</v>
      </c>
      <c r="AM843">
        <v>2021</v>
      </c>
      <c r="AN843">
        <v>2020</v>
      </c>
      <c r="AO843">
        <f>IF(AND(emissions[[#This Row],[Market-based]]=0,emissions[[#This Row],[Impact Type]]="CO2E"),emissions[[#This Row],[kgCO2e]],0)/1000</f>
        <v>0</v>
      </c>
      <c r="AP843">
        <f>IF(AND(emissions[[#This Row],[Market-based]]=1,OR(emissions[[#This Row],[Impact Type]]="CO2E",emissions[[#This Row],[Impact Type]]="CO2E MKT")),emissions[[#This Row],[kgCO2e]],0)/1000</f>
        <v>0</v>
      </c>
      <c r="AQ843" t="str">
        <f>_xlfn.TEXTAFTER(emissions[[#This Row],[Reporting Unit]]," &gt; ",LEN(emissions[[#This Row],[Reporting Unit]])-LEN(SUBSTITUTE(emissions[[#This Row],[Reporting Unit]],"&gt;","")))</f>
        <v>Vantage_Costa_Rica</v>
      </c>
      <c r="AR843" t="str">
        <f>_xlfn.XLOOKUP(emissions[[#This Row],[Reporting unit name]],hierarchy!$A:$A,hierarchy!$C:$C)</f>
        <v>Unspecified Facility Type</v>
      </c>
    </row>
    <row r="844" spans="1:44" hidden="1" x14ac:dyDescent="0.25">
      <c r="A844">
        <v>1230943</v>
      </c>
      <c r="B844" t="s">
        <v>410</v>
      </c>
      <c r="C844" t="s">
        <v>525</v>
      </c>
      <c r="D844" t="s">
        <v>599</v>
      </c>
      <c r="E844" s="3">
        <v>44197</v>
      </c>
      <c r="F844" s="3">
        <v>44561</v>
      </c>
      <c r="G844" t="s">
        <v>121</v>
      </c>
      <c r="H844" s="3">
        <v>44197</v>
      </c>
      <c r="I844" s="3">
        <v>44561</v>
      </c>
      <c r="J844" t="s">
        <v>122</v>
      </c>
      <c r="K844">
        <v>22596.5</v>
      </c>
      <c r="L844" t="s">
        <v>143</v>
      </c>
      <c r="M844" t="s">
        <v>110</v>
      </c>
      <c r="O844" t="s">
        <v>829</v>
      </c>
      <c r="P844" t="s">
        <v>550</v>
      </c>
      <c r="Q844">
        <v>2021</v>
      </c>
      <c r="R844" t="s">
        <v>742</v>
      </c>
      <c r="S844" t="s">
        <v>122</v>
      </c>
      <c r="T844" t="s">
        <v>553</v>
      </c>
      <c r="U844" t="b">
        <v>0</v>
      </c>
      <c r="V844" t="s">
        <v>824</v>
      </c>
      <c r="W844" t="s">
        <v>587</v>
      </c>
      <c r="X844" t="s">
        <v>556</v>
      </c>
      <c r="Y844" t="s">
        <v>472</v>
      </c>
      <c r="AC844">
        <v>0</v>
      </c>
      <c r="AD844" t="s">
        <v>564</v>
      </c>
      <c r="AE844">
        <v>33906.002659999998</v>
      </c>
      <c r="AF844">
        <v>5.68</v>
      </c>
      <c r="AG844" t="s">
        <v>786</v>
      </c>
      <c r="AH844">
        <v>0.26417217999999998</v>
      </c>
      <c r="AI844">
        <v>5969.3666649999996</v>
      </c>
      <c r="AJ844" t="s">
        <v>561</v>
      </c>
      <c r="AK844" t="s">
        <v>766</v>
      </c>
      <c r="AL844" t="s">
        <v>790</v>
      </c>
      <c r="AM844">
        <v>2021</v>
      </c>
      <c r="AN844">
        <v>2021</v>
      </c>
      <c r="AO844">
        <f>IF(AND(emissions[[#This Row],[Market-based]]=0,emissions[[#This Row],[Impact Type]]="CO2E"),emissions[[#This Row],[kgCO2e]],0)/1000</f>
        <v>0</v>
      </c>
      <c r="AP844">
        <f>IF(AND(emissions[[#This Row],[Market-based]]=1,OR(emissions[[#This Row],[Impact Type]]="CO2E",emissions[[#This Row],[Impact Type]]="CO2E MKT")),emissions[[#This Row],[kgCO2e]],0)/1000</f>
        <v>0</v>
      </c>
      <c r="AQ844" t="str">
        <f>_xlfn.TEXTAFTER(emissions[[#This Row],[Reporting Unit]]," &gt; ",LEN(emissions[[#This Row],[Reporting Unit]])-LEN(SUBSTITUTE(emissions[[#This Row],[Reporting Unit]],"&gt;","")))</f>
        <v>Vantage_Costa_Rica</v>
      </c>
      <c r="AR844" t="str">
        <f>_xlfn.XLOOKUP(emissions[[#This Row],[Reporting unit name]],hierarchy!$A:$A,hierarchy!$C:$C)</f>
        <v>Unspecified Facility Type</v>
      </c>
    </row>
    <row r="845" spans="1:44" hidden="1" x14ac:dyDescent="0.25">
      <c r="A845">
        <v>1230943</v>
      </c>
      <c r="B845" t="s">
        <v>410</v>
      </c>
      <c r="C845" t="s">
        <v>525</v>
      </c>
      <c r="D845" t="s">
        <v>599</v>
      </c>
      <c r="E845" s="3">
        <v>44197</v>
      </c>
      <c r="F845" s="3">
        <v>44561</v>
      </c>
      <c r="G845" t="s">
        <v>121</v>
      </c>
      <c r="H845" s="3">
        <v>44197</v>
      </c>
      <c r="I845" s="3">
        <v>44561</v>
      </c>
      <c r="J845" t="s">
        <v>122</v>
      </c>
      <c r="K845">
        <v>22596.5</v>
      </c>
      <c r="L845" t="s">
        <v>143</v>
      </c>
      <c r="M845" t="s">
        <v>110</v>
      </c>
      <c r="O845" t="s">
        <v>829</v>
      </c>
      <c r="P845" t="s">
        <v>550</v>
      </c>
      <c r="Q845">
        <v>2021</v>
      </c>
      <c r="R845" t="s">
        <v>742</v>
      </c>
      <c r="S845" t="s">
        <v>122</v>
      </c>
      <c r="T845" t="s">
        <v>553</v>
      </c>
      <c r="U845" t="b">
        <v>0</v>
      </c>
      <c r="V845" t="s">
        <v>824</v>
      </c>
      <c r="W845" t="s">
        <v>587</v>
      </c>
      <c r="X845" t="s">
        <v>556</v>
      </c>
      <c r="Y845" t="s">
        <v>472</v>
      </c>
      <c r="AC845">
        <v>0</v>
      </c>
      <c r="AD845" t="s">
        <v>565</v>
      </c>
      <c r="AE845">
        <v>34054.520499999999</v>
      </c>
      <c r="AF845">
        <v>5.7048800000000002</v>
      </c>
      <c r="AG845" t="s">
        <v>786</v>
      </c>
      <c r="AH845">
        <v>0.26417217999999998</v>
      </c>
      <c r="AI845">
        <v>5969.3666649999996</v>
      </c>
      <c r="AJ845" t="s">
        <v>561</v>
      </c>
      <c r="AK845" t="s">
        <v>766</v>
      </c>
      <c r="AL845" t="s">
        <v>787</v>
      </c>
      <c r="AM845">
        <v>2021</v>
      </c>
      <c r="AN845">
        <v>2020</v>
      </c>
      <c r="AO845">
        <f>IF(AND(emissions[[#This Row],[Market-based]]=0,emissions[[#This Row],[Impact Type]]="CO2E"),emissions[[#This Row],[kgCO2e]],0)/1000</f>
        <v>34.054520499999995</v>
      </c>
      <c r="AP845">
        <f>IF(AND(emissions[[#This Row],[Market-based]]=1,OR(emissions[[#This Row],[Impact Type]]="CO2E",emissions[[#This Row],[Impact Type]]="CO2E MKT")),emissions[[#This Row],[kgCO2e]],0)/1000</f>
        <v>0</v>
      </c>
      <c r="AQ845" t="str">
        <f>_xlfn.TEXTAFTER(emissions[[#This Row],[Reporting Unit]]," &gt; ",LEN(emissions[[#This Row],[Reporting Unit]])-LEN(SUBSTITUTE(emissions[[#This Row],[Reporting Unit]],"&gt;","")))</f>
        <v>Vantage_Costa_Rica</v>
      </c>
      <c r="AR845" t="str">
        <f>_xlfn.XLOOKUP(emissions[[#This Row],[Reporting unit name]],hierarchy!$A:$A,hierarchy!$C:$C)</f>
        <v>Unspecified Facility Type</v>
      </c>
    </row>
    <row r="846" spans="1:44" hidden="1" x14ac:dyDescent="0.25">
      <c r="A846">
        <v>1230943</v>
      </c>
      <c r="B846" t="s">
        <v>410</v>
      </c>
      <c r="C846" t="s">
        <v>525</v>
      </c>
      <c r="D846" t="s">
        <v>599</v>
      </c>
      <c r="E846" s="3">
        <v>44197</v>
      </c>
      <c r="F846" s="3">
        <v>44561</v>
      </c>
      <c r="G846" t="s">
        <v>121</v>
      </c>
      <c r="H846" s="3">
        <v>44197</v>
      </c>
      <c r="I846" s="3">
        <v>44561</v>
      </c>
      <c r="J846" t="s">
        <v>122</v>
      </c>
      <c r="K846">
        <v>22596.5</v>
      </c>
      <c r="L846" t="s">
        <v>143</v>
      </c>
      <c r="M846" t="s">
        <v>110</v>
      </c>
      <c r="O846" t="s">
        <v>829</v>
      </c>
      <c r="P846" t="s">
        <v>550</v>
      </c>
      <c r="Q846">
        <v>2021</v>
      </c>
      <c r="R846" t="s">
        <v>742</v>
      </c>
      <c r="S846" t="s">
        <v>122</v>
      </c>
      <c r="T846" t="s">
        <v>553</v>
      </c>
      <c r="U846" t="b">
        <v>0</v>
      </c>
      <c r="V846" t="s">
        <v>824</v>
      </c>
      <c r="W846" t="s">
        <v>587</v>
      </c>
      <c r="X846" t="s">
        <v>556</v>
      </c>
      <c r="Y846" t="s">
        <v>472</v>
      </c>
      <c r="AC846">
        <v>0</v>
      </c>
      <c r="AD846" t="s">
        <v>566</v>
      </c>
      <c r="AE846">
        <v>106.732276</v>
      </c>
      <c r="AF846">
        <v>1.788E-2</v>
      </c>
      <c r="AG846" t="s">
        <v>786</v>
      </c>
      <c r="AH846">
        <v>0.26417217999999998</v>
      </c>
      <c r="AI846">
        <v>5969.3666649999996</v>
      </c>
      <c r="AJ846" t="s">
        <v>561</v>
      </c>
      <c r="AK846" t="s">
        <v>766</v>
      </c>
      <c r="AL846" t="s">
        <v>787</v>
      </c>
      <c r="AM846">
        <v>2021</v>
      </c>
      <c r="AN846">
        <v>2020</v>
      </c>
      <c r="AO846">
        <f>IF(AND(emissions[[#This Row],[Market-based]]=0,emissions[[#This Row],[Impact Type]]="CO2E"),emissions[[#This Row],[kgCO2e]],0)/1000</f>
        <v>0</v>
      </c>
      <c r="AP846">
        <f>IF(AND(emissions[[#This Row],[Market-based]]=1,OR(emissions[[#This Row],[Impact Type]]="CO2E",emissions[[#This Row],[Impact Type]]="CO2E MKT")),emissions[[#This Row],[kgCO2e]],0)/1000</f>
        <v>0</v>
      </c>
      <c r="AQ846" t="str">
        <f>_xlfn.TEXTAFTER(emissions[[#This Row],[Reporting Unit]]," &gt; ",LEN(emissions[[#This Row],[Reporting Unit]])-LEN(SUBSTITUTE(emissions[[#This Row],[Reporting Unit]],"&gt;","")))</f>
        <v>Vantage_Costa_Rica</v>
      </c>
      <c r="AR846" t="str">
        <f>_xlfn.XLOOKUP(emissions[[#This Row],[Reporting unit name]],hierarchy!$A:$A,hierarchy!$C:$C)</f>
        <v>Unspecified Facility Type</v>
      </c>
    </row>
    <row r="847" spans="1:44" hidden="1" x14ac:dyDescent="0.25">
      <c r="A847">
        <v>1230943</v>
      </c>
      <c r="B847" t="s">
        <v>410</v>
      </c>
      <c r="C847" t="s">
        <v>525</v>
      </c>
      <c r="D847" t="s">
        <v>599</v>
      </c>
      <c r="E847" s="3">
        <v>44197</v>
      </c>
      <c r="F847" s="3">
        <v>44561</v>
      </c>
      <c r="G847" t="s">
        <v>121</v>
      </c>
      <c r="H847" s="3">
        <v>44197</v>
      </c>
      <c r="I847" s="3">
        <v>44561</v>
      </c>
      <c r="J847" t="s">
        <v>122</v>
      </c>
      <c r="K847">
        <v>22596.5</v>
      </c>
      <c r="L847" t="s">
        <v>143</v>
      </c>
      <c r="M847" t="s">
        <v>110</v>
      </c>
      <c r="O847" t="s">
        <v>829</v>
      </c>
      <c r="P847" t="s">
        <v>550</v>
      </c>
      <c r="Q847">
        <v>2021</v>
      </c>
      <c r="R847" t="s">
        <v>742</v>
      </c>
      <c r="S847" t="s">
        <v>122</v>
      </c>
      <c r="T847" t="s">
        <v>553</v>
      </c>
      <c r="U847" t="b">
        <v>0</v>
      </c>
      <c r="V847" t="s">
        <v>824</v>
      </c>
      <c r="W847" t="s">
        <v>587</v>
      </c>
      <c r="X847" t="s">
        <v>556</v>
      </c>
      <c r="Y847" t="s">
        <v>472</v>
      </c>
      <c r="AC847">
        <v>1</v>
      </c>
      <c r="AD847" t="s">
        <v>558</v>
      </c>
      <c r="AE847">
        <v>41.785566660000001</v>
      </c>
      <c r="AF847">
        <v>7.0000000000000001E-3</v>
      </c>
      <c r="AG847" t="s">
        <v>786</v>
      </c>
      <c r="AH847">
        <v>0.26417217999999998</v>
      </c>
      <c r="AI847">
        <v>5969.3666649999996</v>
      </c>
      <c r="AJ847" t="s">
        <v>561</v>
      </c>
      <c r="AK847" t="s">
        <v>766</v>
      </c>
      <c r="AL847" t="s">
        <v>787</v>
      </c>
      <c r="AM847">
        <v>2021</v>
      </c>
      <c r="AN847">
        <v>2020</v>
      </c>
      <c r="AO847">
        <f>IF(AND(emissions[[#This Row],[Market-based]]=0,emissions[[#This Row],[Impact Type]]="CO2E"),emissions[[#This Row],[kgCO2e]],0)/1000</f>
        <v>0</v>
      </c>
      <c r="AP847">
        <f>IF(AND(emissions[[#This Row],[Market-based]]=1,OR(emissions[[#This Row],[Impact Type]]="CO2E",emissions[[#This Row],[Impact Type]]="CO2E MKT")),emissions[[#This Row],[kgCO2e]],0)/1000</f>
        <v>0</v>
      </c>
      <c r="AQ847" t="str">
        <f>_xlfn.TEXTAFTER(emissions[[#This Row],[Reporting Unit]]," &gt; ",LEN(emissions[[#This Row],[Reporting Unit]])-LEN(SUBSTITUTE(emissions[[#This Row],[Reporting Unit]],"&gt;","")))</f>
        <v>Vantage_Costa_Rica</v>
      </c>
      <c r="AR847" t="str">
        <f>_xlfn.XLOOKUP(emissions[[#This Row],[Reporting unit name]],hierarchy!$A:$A,hierarchy!$C:$C)</f>
        <v>Unspecified Facility Type</v>
      </c>
    </row>
    <row r="848" spans="1:44" hidden="1" x14ac:dyDescent="0.25">
      <c r="A848">
        <v>1230943</v>
      </c>
      <c r="B848" t="s">
        <v>410</v>
      </c>
      <c r="C848" t="s">
        <v>525</v>
      </c>
      <c r="D848" t="s">
        <v>599</v>
      </c>
      <c r="E848" s="3">
        <v>44197</v>
      </c>
      <c r="F848" s="3">
        <v>44561</v>
      </c>
      <c r="G848" t="s">
        <v>121</v>
      </c>
      <c r="H848" s="3">
        <v>44197</v>
      </c>
      <c r="I848" s="3">
        <v>44561</v>
      </c>
      <c r="J848" t="s">
        <v>122</v>
      </c>
      <c r="K848">
        <v>22596.5</v>
      </c>
      <c r="L848" t="s">
        <v>143</v>
      </c>
      <c r="M848" t="s">
        <v>110</v>
      </c>
      <c r="O848" t="s">
        <v>829</v>
      </c>
      <c r="P848" t="s">
        <v>550</v>
      </c>
      <c r="Q848">
        <v>2021</v>
      </c>
      <c r="R848" t="s">
        <v>742</v>
      </c>
      <c r="S848" t="s">
        <v>122</v>
      </c>
      <c r="T848" t="s">
        <v>553</v>
      </c>
      <c r="U848" t="b">
        <v>0</v>
      </c>
      <c r="V848" t="s">
        <v>824</v>
      </c>
      <c r="W848" t="s">
        <v>587</v>
      </c>
      <c r="X848" t="s">
        <v>556</v>
      </c>
      <c r="Y848" t="s">
        <v>472</v>
      </c>
      <c r="AC848">
        <v>1</v>
      </c>
      <c r="AD848" t="s">
        <v>564</v>
      </c>
      <c r="AE848">
        <v>33906.002659999998</v>
      </c>
      <c r="AF848">
        <v>5.68</v>
      </c>
      <c r="AG848" t="s">
        <v>786</v>
      </c>
      <c r="AH848">
        <v>0.26417217999999998</v>
      </c>
      <c r="AI848">
        <v>5969.3666649999996</v>
      </c>
      <c r="AJ848" t="s">
        <v>561</v>
      </c>
      <c r="AK848" t="s">
        <v>766</v>
      </c>
      <c r="AL848" t="s">
        <v>790</v>
      </c>
      <c r="AM848">
        <v>2021</v>
      </c>
      <c r="AN848">
        <v>2021</v>
      </c>
      <c r="AO848">
        <f>IF(AND(emissions[[#This Row],[Market-based]]=0,emissions[[#This Row],[Impact Type]]="CO2E"),emissions[[#This Row],[kgCO2e]],0)/1000</f>
        <v>0</v>
      </c>
      <c r="AP848">
        <f>IF(AND(emissions[[#This Row],[Market-based]]=1,OR(emissions[[#This Row],[Impact Type]]="CO2E",emissions[[#This Row],[Impact Type]]="CO2E MKT")),emissions[[#This Row],[kgCO2e]],0)/1000</f>
        <v>0</v>
      </c>
      <c r="AQ848" t="str">
        <f>_xlfn.TEXTAFTER(emissions[[#This Row],[Reporting Unit]]," &gt; ",LEN(emissions[[#This Row],[Reporting Unit]])-LEN(SUBSTITUTE(emissions[[#This Row],[Reporting Unit]],"&gt;","")))</f>
        <v>Vantage_Costa_Rica</v>
      </c>
      <c r="AR848" t="str">
        <f>_xlfn.XLOOKUP(emissions[[#This Row],[Reporting unit name]],hierarchy!$A:$A,hierarchy!$C:$C)</f>
        <v>Unspecified Facility Type</v>
      </c>
    </row>
    <row r="849" spans="1:44" hidden="1" x14ac:dyDescent="0.25">
      <c r="A849">
        <v>1230943</v>
      </c>
      <c r="B849" t="s">
        <v>410</v>
      </c>
      <c r="C849" t="s">
        <v>525</v>
      </c>
      <c r="D849" t="s">
        <v>599</v>
      </c>
      <c r="E849" s="3">
        <v>44197</v>
      </c>
      <c r="F849" s="3">
        <v>44561</v>
      </c>
      <c r="G849" t="s">
        <v>121</v>
      </c>
      <c r="H849" s="3">
        <v>44197</v>
      </c>
      <c r="I849" s="3">
        <v>44561</v>
      </c>
      <c r="J849" t="s">
        <v>122</v>
      </c>
      <c r="K849">
        <v>22596.5</v>
      </c>
      <c r="L849" t="s">
        <v>143</v>
      </c>
      <c r="M849" t="s">
        <v>110</v>
      </c>
      <c r="O849" t="s">
        <v>829</v>
      </c>
      <c r="P849" t="s">
        <v>550</v>
      </c>
      <c r="Q849">
        <v>2021</v>
      </c>
      <c r="R849" t="s">
        <v>742</v>
      </c>
      <c r="S849" t="s">
        <v>122</v>
      </c>
      <c r="T849" t="s">
        <v>553</v>
      </c>
      <c r="U849" t="b">
        <v>0</v>
      </c>
      <c r="V849" t="s">
        <v>824</v>
      </c>
      <c r="W849" t="s">
        <v>587</v>
      </c>
      <c r="X849" t="s">
        <v>556</v>
      </c>
      <c r="Y849" t="s">
        <v>472</v>
      </c>
      <c r="AC849">
        <v>1</v>
      </c>
      <c r="AD849" t="s">
        <v>565</v>
      </c>
      <c r="AE849">
        <v>34054.520499999999</v>
      </c>
      <c r="AF849">
        <v>5.7048800000000002</v>
      </c>
      <c r="AG849" t="s">
        <v>786</v>
      </c>
      <c r="AH849">
        <v>0.26417217999999998</v>
      </c>
      <c r="AI849">
        <v>5969.3666649999996</v>
      </c>
      <c r="AJ849" t="s">
        <v>561</v>
      </c>
      <c r="AK849" t="s">
        <v>766</v>
      </c>
      <c r="AL849" t="s">
        <v>787</v>
      </c>
      <c r="AM849">
        <v>2021</v>
      </c>
      <c r="AN849">
        <v>2020</v>
      </c>
      <c r="AO849">
        <f>IF(AND(emissions[[#This Row],[Market-based]]=0,emissions[[#This Row],[Impact Type]]="CO2E"),emissions[[#This Row],[kgCO2e]],0)/1000</f>
        <v>0</v>
      </c>
      <c r="AP849">
        <f>IF(AND(emissions[[#This Row],[Market-based]]=1,OR(emissions[[#This Row],[Impact Type]]="CO2E",emissions[[#This Row],[Impact Type]]="CO2E MKT")),emissions[[#This Row],[kgCO2e]],0)/1000</f>
        <v>34.054520499999995</v>
      </c>
      <c r="AQ849" t="str">
        <f>_xlfn.TEXTAFTER(emissions[[#This Row],[Reporting Unit]]," &gt; ",LEN(emissions[[#This Row],[Reporting Unit]])-LEN(SUBSTITUTE(emissions[[#This Row],[Reporting Unit]],"&gt;","")))</f>
        <v>Vantage_Costa_Rica</v>
      </c>
      <c r="AR849" t="str">
        <f>_xlfn.XLOOKUP(emissions[[#This Row],[Reporting unit name]],hierarchy!$A:$A,hierarchy!$C:$C)</f>
        <v>Unspecified Facility Type</v>
      </c>
    </row>
    <row r="850" spans="1:44" hidden="1" x14ac:dyDescent="0.25">
      <c r="A850">
        <v>1230943</v>
      </c>
      <c r="B850" t="s">
        <v>410</v>
      </c>
      <c r="C850" t="s">
        <v>525</v>
      </c>
      <c r="D850" t="s">
        <v>599</v>
      </c>
      <c r="E850" s="3">
        <v>44197</v>
      </c>
      <c r="F850" s="3">
        <v>44561</v>
      </c>
      <c r="G850" t="s">
        <v>121</v>
      </c>
      <c r="H850" s="3">
        <v>44197</v>
      </c>
      <c r="I850" s="3">
        <v>44561</v>
      </c>
      <c r="J850" t="s">
        <v>122</v>
      </c>
      <c r="K850">
        <v>22596.5</v>
      </c>
      <c r="L850" t="s">
        <v>143</v>
      </c>
      <c r="M850" t="s">
        <v>110</v>
      </c>
      <c r="O850" t="s">
        <v>829</v>
      </c>
      <c r="P850" t="s">
        <v>550</v>
      </c>
      <c r="Q850">
        <v>2021</v>
      </c>
      <c r="R850" t="s">
        <v>742</v>
      </c>
      <c r="S850" t="s">
        <v>122</v>
      </c>
      <c r="T850" t="s">
        <v>553</v>
      </c>
      <c r="U850" t="b">
        <v>0</v>
      </c>
      <c r="V850" t="s">
        <v>824</v>
      </c>
      <c r="W850" t="s">
        <v>587</v>
      </c>
      <c r="X850" t="s">
        <v>556</v>
      </c>
      <c r="Y850" t="s">
        <v>472</v>
      </c>
      <c r="AC850">
        <v>1</v>
      </c>
      <c r="AD850" t="s">
        <v>566</v>
      </c>
      <c r="AE850">
        <v>106.732276</v>
      </c>
      <c r="AF850">
        <v>1.788E-2</v>
      </c>
      <c r="AG850" t="s">
        <v>786</v>
      </c>
      <c r="AH850">
        <v>0.26417217999999998</v>
      </c>
      <c r="AI850">
        <v>5969.3666649999996</v>
      </c>
      <c r="AJ850" t="s">
        <v>561</v>
      </c>
      <c r="AK850" t="s">
        <v>766</v>
      </c>
      <c r="AL850" t="s">
        <v>787</v>
      </c>
      <c r="AM850">
        <v>2021</v>
      </c>
      <c r="AN850">
        <v>2020</v>
      </c>
      <c r="AO850">
        <f>IF(AND(emissions[[#This Row],[Market-based]]=0,emissions[[#This Row],[Impact Type]]="CO2E"),emissions[[#This Row],[kgCO2e]],0)/1000</f>
        <v>0</v>
      </c>
      <c r="AP850">
        <f>IF(AND(emissions[[#This Row],[Market-based]]=1,OR(emissions[[#This Row],[Impact Type]]="CO2E",emissions[[#This Row],[Impact Type]]="CO2E MKT")),emissions[[#This Row],[kgCO2e]],0)/1000</f>
        <v>0</v>
      </c>
      <c r="AQ850" t="str">
        <f>_xlfn.TEXTAFTER(emissions[[#This Row],[Reporting Unit]]," &gt; ",LEN(emissions[[#This Row],[Reporting Unit]])-LEN(SUBSTITUTE(emissions[[#This Row],[Reporting Unit]],"&gt;","")))</f>
        <v>Vantage_Costa_Rica</v>
      </c>
      <c r="AR850" t="str">
        <f>_xlfn.XLOOKUP(emissions[[#This Row],[Reporting unit name]],hierarchy!$A:$A,hierarchy!$C:$C)</f>
        <v>Unspecified Facility Type</v>
      </c>
    </row>
    <row r="851" spans="1:44" hidden="1" x14ac:dyDescent="0.25">
      <c r="A851">
        <v>1230943</v>
      </c>
      <c r="B851" t="s">
        <v>410</v>
      </c>
      <c r="C851" t="s">
        <v>525</v>
      </c>
      <c r="D851" t="s">
        <v>599</v>
      </c>
      <c r="E851" s="3">
        <v>44197</v>
      </c>
      <c r="F851" s="3">
        <v>44561</v>
      </c>
      <c r="G851" t="s">
        <v>121</v>
      </c>
      <c r="H851" s="3">
        <v>44197</v>
      </c>
      <c r="I851" s="3">
        <v>44561</v>
      </c>
      <c r="J851" t="s">
        <v>122</v>
      </c>
      <c r="K851">
        <v>22596.5</v>
      </c>
      <c r="L851" t="s">
        <v>143</v>
      </c>
      <c r="M851" t="s">
        <v>110</v>
      </c>
      <c r="O851" t="s">
        <v>829</v>
      </c>
      <c r="P851" t="s">
        <v>550</v>
      </c>
      <c r="Q851">
        <v>2021</v>
      </c>
      <c r="R851" t="s">
        <v>744</v>
      </c>
      <c r="S851" t="s">
        <v>745</v>
      </c>
      <c r="T851" t="s">
        <v>577</v>
      </c>
      <c r="U851" t="b">
        <v>0</v>
      </c>
      <c r="V851" t="s">
        <v>761</v>
      </c>
      <c r="W851" t="s">
        <v>571</v>
      </c>
      <c r="X851" t="s">
        <v>572</v>
      </c>
      <c r="AC851">
        <v>0</v>
      </c>
      <c r="AD851" t="s">
        <v>565</v>
      </c>
      <c r="AE851">
        <v>4153.9145950000002</v>
      </c>
      <c r="AF851">
        <v>0.18382999999999999</v>
      </c>
      <c r="AG851" t="s">
        <v>588</v>
      </c>
      <c r="AH851">
        <v>1</v>
      </c>
      <c r="AI851">
        <v>22596.5</v>
      </c>
      <c r="AJ851" t="s">
        <v>561</v>
      </c>
      <c r="AK851" t="s">
        <v>589</v>
      </c>
      <c r="AL851" t="s">
        <v>603</v>
      </c>
      <c r="AM851">
        <v>2021</v>
      </c>
      <c r="AN851">
        <v>2019</v>
      </c>
      <c r="AO851">
        <f>IF(AND(emissions[[#This Row],[Market-based]]=0,emissions[[#This Row],[Impact Type]]="CO2E"),emissions[[#This Row],[kgCO2e]],0)/1000</f>
        <v>4.1539145949999998</v>
      </c>
      <c r="AP851">
        <f>IF(AND(emissions[[#This Row],[Market-based]]=1,OR(emissions[[#This Row],[Impact Type]]="CO2E",emissions[[#This Row],[Impact Type]]="CO2E MKT")),emissions[[#This Row],[kgCO2e]],0)/1000</f>
        <v>0</v>
      </c>
      <c r="AQ851" t="str">
        <f>_xlfn.TEXTAFTER(emissions[[#This Row],[Reporting Unit]]," &gt; ",LEN(emissions[[#This Row],[Reporting Unit]])-LEN(SUBSTITUTE(emissions[[#This Row],[Reporting Unit]],"&gt;","")))</f>
        <v>Vantage_Costa_Rica</v>
      </c>
      <c r="AR851" t="str">
        <f>_xlfn.XLOOKUP(emissions[[#This Row],[Reporting unit name]],hierarchy!$A:$A,hierarchy!$C:$C)</f>
        <v>Unspecified Facility Type</v>
      </c>
    </row>
    <row r="852" spans="1:44" hidden="1" x14ac:dyDescent="0.25">
      <c r="A852">
        <v>1230943</v>
      </c>
      <c r="B852" t="s">
        <v>410</v>
      </c>
      <c r="C852" t="s">
        <v>525</v>
      </c>
      <c r="D852" t="s">
        <v>599</v>
      </c>
      <c r="E852" s="3">
        <v>44197</v>
      </c>
      <c r="F852" s="3">
        <v>44561</v>
      </c>
      <c r="G852" t="s">
        <v>121</v>
      </c>
      <c r="H852" s="3">
        <v>44197</v>
      </c>
      <c r="I852" s="3">
        <v>44561</v>
      </c>
      <c r="J852" t="s">
        <v>122</v>
      </c>
      <c r="K852">
        <v>22596.5</v>
      </c>
      <c r="L852" t="s">
        <v>143</v>
      </c>
      <c r="M852" t="s">
        <v>110</v>
      </c>
      <c r="O852" t="s">
        <v>829</v>
      </c>
      <c r="P852" t="s">
        <v>550</v>
      </c>
      <c r="Q852">
        <v>2021</v>
      </c>
      <c r="R852" t="s">
        <v>744</v>
      </c>
      <c r="S852" t="s">
        <v>745</v>
      </c>
      <c r="T852" t="s">
        <v>577</v>
      </c>
      <c r="U852" t="b">
        <v>0</v>
      </c>
      <c r="V852" t="s">
        <v>761</v>
      </c>
      <c r="W852" t="s">
        <v>571</v>
      </c>
      <c r="X852" t="s">
        <v>572</v>
      </c>
      <c r="AC852">
        <v>1</v>
      </c>
      <c r="AD852" t="s">
        <v>565</v>
      </c>
      <c r="AE852">
        <v>4153.9145950000002</v>
      </c>
      <c r="AF852">
        <v>0.18382999999999999</v>
      </c>
      <c r="AG852" t="s">
        <v>588</v>
      </c>
      <c r="AH852">
        <v>1</v>
      </c>
      <c r="AI852">
        <v>22596.5</v>
      </c>
      <c r="AJ852" t="s">
        <v>561</v>
      </c>
      <c r="AK852" t="s">
        <v>589</v>
      </c>
      <c r="AL852" t="s">
        <v>603</v>
      </c>
      <c r="AM852">
        <v>2021</v>
      </c>
      <c r="AN852">
        <v>2019</v>
      </c>
      <c r="AO852">
        <f>IF(AND(emissions[[#This Row],[Market-based]]=0,emissions[[#This Row],[Impact Type]]="CO2E"),emissions[[#This Row],[kgCO2e]],0)/1000</f>
        <v>0</v>
      </c>
      <c r="AP852">
        <f>IF(AND(emissions[[#This Row],[Market-based]]=1,OR(emissions[[#This Row],[Impact Type]]="CO2E",emissions[[#This Row],[Impact Type]]="CO2E MKT")),emissions[[#This Row],[kgCO2e]],0)/1000</f>
        <v>4.1539145949999998</v>
      </c>
      <c r="AQ852" t="str">
        <f>_xlfn.TEXTAFTER(emissions[[#This Row],[Reporting Unit]]," &gt; ",LEN(emissions[[#This Row],[Reporting Unit]])-LEN(SUBSTITUTE(emissions[[#This Row],[Reporting Unit]],"&gt;","")))</f>
        <v>Vantage_Costa_Rica</v>
      </c>
      <c r="AR852" t="str">
        <f>_xlfn.XLOOKUP(emissions[[#This Row],[Reporting unit name]],hierarchy!$A:$A,hierarchy!$C:$C)</f>
        <v>Unspecified Facility Type</v>
      </c>
    </row>
    <row r="853" spans="1:44" hidden="1" x14ac:dyDescent="0.25">
      <c r="A853">
        <v>290053</v>
      </c>
      <c r="B853" t="s">
        <v>387</v>
      </c>
      <c r="C853" t="s">
        <v>475</v>
      </c>
      <c r="D853" t="s">
        <v>548</v>
      </c>
      <c r="E853" s="3">
        <v>44562</v>
      </c>
      <c r="F853" s="3">
        <v>44926</v>
      </c>
      <c r="G853" t="s">
        <v>108</v>
      </c>
      <c r="H853" s="3">
        <v>44562</v>
      </c>
      <c r="I853" s="3">
        <v>44926</v>
      </c>
      <c r="J853" t="s">
        <v>108</v>
      </c>
      <c r="K853">
        <v>3896174</v>
      </c>
      <c r="L853" t="s">
        <v>109</v>
      </c>
      <c r="M853" t="s">
        <v>110</v>
      </c>
      <c r="O853" t="s">
        <v>830</v>
      </c>
      <c r="P853" t="s">
        <v>550</v>
      </c>
      <c r="Q853">
        <v>2022</v>
      </c>
      <c r="R853" t="s">
        <v>551</v>
      </c>
      <c r="S853" t="s">
        <v>552</v>
      </c>
      <c r="T853" t="s">
        <v>553</v>
      </c>
      <c r="U853" t="b">
        <v>0</v>
      </c>
      <c r="V853" t="s">
        <v>831</v>
      </c>
      <c r="W853" t="s">
        <v>555</v>
      </c>
      <c r="X853" t="s">
        <v>556</v>
      </c>
      <c r="Y853" t="s">
        <v>472</v>
      </c>
      <c r="Z853" t="s">
        <v>485</v>
      </c>
      <c r="AA853" t="s">
        <v>764</v>
      </c>
      <c r="AB853" t="s">
        <v>832</v>
      </c>
      <c r="AC853">
        <v>0</v>
      </c>
      <c r="AD853" t="s">
        <v>558</v>
      </c>
      <c r="AE853">
        <v>2385.8209780000002</v>
      </c>
      <c r="AF853">
        <v>6.1235E-4</v>
      </c>
      <c r="AG853" t="s">
        <v>560</v>
      </c>
      <c r="AH853">
        <v>1</v>
      </c>
      <c r="AI853">
        <v>3896174</v>
      </c>
      <c r="AJ853" t="s">
        <v>561</v>
      </c>
      <c r="AK853" t="s">
        <v>766</v>
      </c>
      <c r="AL853" t="s">
        <v>767</v>
      </c>
      <c r="AM853">
        <v>2022</v>
      </c>
      <c r="AN853">
        <v>2020</v>
      </c>
      <c r="AO853">
        <f>IF(AND(emissions[[#This Row],[Market-based]]=0,emissions[[#This Row],[Impact Type]]="CO2E"),emissions[[#This Row],[kgCO2e]],0)/1000</f>
        <v>0</v>
      </c>
      <c r="AP853">
        <f>IF(AND(emissions[[#This Row],[Market-based]]=1,OR(emissions[[#This Row],[Impact Type]]="CO2E",emissions[[#This Row],[Impact Type]]="CO2E MKT")),emissions[[#This Row],[kgCO2e]],0)/1000</f>
        <v>0</v>
      </c>
      <c r="AQ853" t="str">
        <f>_xlfn.TEXTAFTER(emissions[[#This Row],[Reporting Unit]]," &gt; ",LEN(emissions[[#This Row],[Reporting Unit]])-LEN(SUBSTITUTE(emissions[[#This Row],[Reporting Unit]],"&gt;","")))</f>
        <v>Vantage_Dateland</v>
      </c>
      <c r="AR853" t="str">
        <f>_xlfn.XLOOKUP(emissions[[#This Row],[Reporting unit name]],hierarchy!$A:$A,hierarchy!$C:$C)</f>
        <v>Labratory</v>
      </c>
    </row>
    <row r="854" spans="1:44" hidden="1" x14ac:dyDescent="0.25">
      <c r="A854">
        <v>290053</v>
      </c>
      <c r="B854" t="s">
        <v>387</v>
      </c>
      <c r="C854" t="s">
        <v>475</v>
      </c>
      <c r="D854" t="s">
        <v>548</v>
      </c>
      <c r="E854" s="3">
        <v>44562</v>
      </c>
      <c r="F854" s="3">
        <v>44926</v>
      </c>
      <c r="G854" t="s">
        <v>108</v>
      </c>
      <c r="H854" s="3">
        <v>44562</v>
      </c>
      <c r="I854" s="3">
        <v>44926</v>
      </c>
      <c r="J854" t="s">
        <v>108</v>
      </c>
      <c r="K854">
        <v>3896174</v>
      </c>
      <c r="L854" t="s">
        <v>109</v>
      </c>
      <c r="M854" t="s">
        <v>110</v>
      </c>
      <c r="O854" t="s">
        <v>830</v>
      </c>
      <c r="P854" t="s">
        <v>550</v>
      </c>
      <c r="Q854">
        <v>2022</v>
      </c>
      <c r="R854" t="s">
        <v>551</v>
      </c>
      <c r="S854" t="s">
        <v>552</v>
      </c>
      <c r="T854" t="s">
        <v>553</v>
      </c>
      <c r="U854" t="b">
        <v>0</v>
      </c>
      <c r="V854" t="s">
        <v>831</v>
      </c>
      <c r="W854" t="s">
        <v>555</v>
      </c>
      <c r="X854" t="s">
        <v>556</v>
      </c>
      <c r="Y854" t="s">
        <v>472</v>
      </c>
      <c r="Z854" t="s">
        <v>485</v>
      </c>
      <c r="AA854" t="s">
        <v>764</v>
      </c>
      <c r="AB854" t="s">
        <v>832</v>
      </c>
      <c r="AC854">
        <v>0</v>
      </c>
      <c r="AD854" t="s">
        <v>564</v>
      </c>
      <c r="AE854">
        <v>1496203.121</v>
      </c>
      <c r="AF854">
        <v>0.38401855800000001</v>
      </c>
      <c r="AG854" t="s">
        <v>560</v>
      </c>
      <c r="AH854">
        <v>1</v>
      </c>
      <c r="AI854">
        <v>3896174</v>
      </c>
      <c r="AJ854" t="s">
        <v>561</v>
      </c>
      <c r="AK854" t="s">
        <v>766</v>
      </c>
      <c r="AL854" t="s">
        <v>767</v>
      </c>
      <c r="AM854">
        <v>2022</v>
      </c>
      <c r="AN854">
        <v>2020</v>
      </c>
      <c r="AO854">
        <f>IF(AND(emissions[[#This Row],[Market-based]]=0,emissions[[#This Row],[Impact Type]]="CO2E"),emissions[[#This Row],[kgCO2e]],0)/1000</f>
        <v>0</v>
      </c>
      <c r="AP854">
        <f>IF(AND(emissions[[#This Row],[Market-based]]=1,OR(emissions[[#This Row],[Impact Type]]="CO2E",emissions[[#This Row],[Impact Type]]="CO2E MKT")),emissions[[#This Row],[kgCO2e]],0)/1000</f>
        <v>0</v>
      </c>
      <c r="AQ854" t="str">
        <f>_xlfn.TEXTAFTER(emissions[[#This Row],[Reporting Unit]]," &gt; ",LEN(emissions[[#This Row],[Reporting Unit]])-LEN(SUBSTITUTE(emissions[[#This Row],[Reporting Unit]],"&gt;","")))</f>
        <v>Vantage_Dateland</v>
      </c>
      <c r="AR854" t="str">
        <f>_xlfn.XLOOKUP(emissions[[#This Row],[Reporting unit name]],hierarchy!$A:$A,hierarchy!$C:$C)</f>
        <v>Labratory</v>
      </c>
    </row>
    <row r="855" spans="1:44" hidden="1" x14ac:dyDescent="0.25">
      <c r="A855">
        <v>290053</v>
      </c>
      <c r="B855" t="s">
        <v>387</v>
      </c>
      <c r="C855" t="s">
        <v>475</v>
      </c>
      <c r="D855" t="s">
        <v>548</v>
      </c>
      <c r="E855" s="3">
        <v>44562</v>
      </c>
      <c r="F855" s="3">
        <v>44926</v>
      </c>
      <c r="G855" t="s">
        <v>108</v>
      </c>
      <c r="H855" s="3">
        <v>44562</v>
      </c>
      <c r="I855" s="3">
        <v>44926</v>
      </c>
      <c r="J855" t="s">
        <v>108</v>
      </c>
      <c r="K855">
        <v>3896174</v>
      </c>
      <c r="L855" t="s">
        <v>109</v>
      </c>
      <c r="M855" t="s">
        <v>110</v>
      </c>
      <c r="O855" t="s">
        <v>830</v>
      </c>
      <c r="P855" t="s">
        <v>550</v>
      </c>
      <c r="Q855">
        <v>2022</v>
      </c>
      <c r="R855" t="s">
        <v>551</v>
      </c>
      <c r="S855" t="s">
        <v>552</v>
      </c>
      <c r="T855" t="s">
        <v>553</v>
      </c>
      <c r="U855" t="b">
        <v>0</v>
      </c>
      <c r="V855" t="s">
        <v>831</v>
      </c>
      <c r="W855" t="s">
        <v>555</v>
      </c>
      <c r="X855" t="s">
        <v>556</v>
      </c>
      <c r="Y855" t="s">
        <v>472</v>
      </c>
      <c r="Z855" t="s">
        <v>485</v>
      </c>
      <c r="AA855" t="s">
        <v>764</v>
      </c>
      <c r="AB855" t="s">
        <v>832</v>
      </c>
      <c r="AC855">
        <v>0</v>
      </c>
      <c r="AD855" t="s">
        <v>565</v>
      </c>
      <c r="AE855">
        <v>1502275.477</v>
      </c>
      <c r="AF855">
        <v>0.38557710099999998</v>
      </c>
      <c r="AG855" t="s">
        <v>560</v>
      </c>
      <c r="AH855">
        <v>1</v>
      </c>
      <c r="AI855">
        <v>3896174</v>
      </c>
      <c r="AJ855" t="s">
        <v>561</v>
      </c>
      <c r="AK855" t="s">
        <v>766</v>
      </c>
      <c r="AL855" t="s">
        <v>767</v>
      </c>
      <c r="AM855">
        <v>2022</v>
      </c>
      <c r="AN855">
        <v>2020</v>
      </c>
      <c r="AO855">
        <f>IF(AND(emissions[[#This Row],[Market-based]]=0,emissions[[#This Row],[Impact Type]]="CO2E"),emissions[[#This Row],[kgCO2e]],0)/1000</f>
        <v>1502.2754769999999</v>
      </c>
      <c r="AP855">
        <f>IF(AND(emissions[[#This Row],[Market-based]]=1,OR(emissions[[#This Row],[Impact Type]]="CO2E",emissions[[#This Row],[Impact Type]]="CO2E MKT")),emissions[[#This Row],[kgCO2e]],0)/1000</f>
        <v>0</v>
      </c>
      <c r="AQ855" t="str">
        <f>_xlfn.TEXTAFTER(emissions[[#This Row],[Reporting Unit]]," &gt; ",LEN(emissions[[#This Row],[Reporting Unit]])-LEN(SUBSTITUTE(emissions[[#This Row],[Reporting Unit]],"&gt;","")))</f>
        <v>Vantage_Dateland</v>
      </c>
      <c r="AR855" t="str">
        <f>_xlfn.XLOOKUP(emissions[[#This Row],[Reporting unit name]],hierarchy!$A:$A,hierarchy!$C:$C)</f>
        <v>Labratory</v>
      </c>
    </row>
    <row r="856" spans="1:44" hidden="1" x14ac:dyDescent="0.25">
      <c r="A856">
        <v>290053</v>
      </c>
      <c r="B856" t="s">
        <v>387</v>
      </c>
      <c r="C856" t="s">
        <v>475</v>
      </c>
      <c r="D856" t="s">
        <v>548</v>
      </c>
      <c r="E856" s="3">
        <v>44562</v>
      </c>
      <c r="F856" s="3">
        <v>44926</v>
      </c>
      <c r="G856" t="s">
        <v>108</v>
      </c>
      <c r="H856" s="3">
        <v>44562</v>
      </c>
      <c r="I856" s="3">
        <v>44926</v>
      </c>
      <c r="J856" t="s">
        <v>108</v>
      </c>
      <c r="K856">
        <v>3896174</v>
      </c>
      <c r="L856" t="s">
        <v>109</v>
      </c>
      <c r="M856" t="s">
        <v>110</v>
      </c>
      <c r="O856" t="s">
        <v>830</v>
      </c>
      <c r="P856" t="s">
        <v>550</v>
      </c>
      <c r="Q856">
        <v>2022</v>
      </c>
      <c r="R856" t="s">
        <v>551</v>
      </c>
      <c r="S856" t="s">
        <v>552</v>
      </c>
      <c r="T856" t="s">
        <v>553</v>
      </c>
      <c r="U856" t="b">
        <v>0</v>
      </c>
      <c r="V856" t="s">
        <v>831</v>
      </c>
      <c r="W856" t="s">
        <v>555</v>
      </c>
      <c r="X856" t="s">
        <v>556</v>
      </c>
      <c r="Y856" t="s">
        <v>472</v>
      </c>
      <c r="Z856" t="s">
        <v>485</v>
      </c>
      <c r="AA856" t="s">
        <v>764</v>
      </c>
      <c r="AB856" t="s">
        <v>832</v>
      </c>
      <c r="AC856">
        <v>0</v>
      </c>
      <c r="AD856" t="s">
        <v>566</v>
      </c>
      <c r="AE856">
        <v>3686.53523</v>
      </c>
      <c r="AF856">
        <v>9.4619400000000003E-4</v>
      </c>
      <c r="AG856" t="s">
        <v>560</v>
      </c>
      <c r="AH856">
        <v>1</v>
      </c>
      <c r="AI856">
        <v>3896174</v>
      </c>
      <c r="AJ856" t="s">
        <v>561</v>
      </c>
      <c r="AK856" t="s">
        <v>766</v>
      </c>
      <c r="AL856" t="s">
        <v>767</v>
      </c>
      <c r="AM856">
        <v>2022</v>
      </c>
      <c r="AN856">
        <v>2020</v>
      </c>
      <c r="AO856">
        <f>IF(AND(emissions[[#This Row],[Market-based]]=0,emissions[[#This Row],[Impact Type]]="CO2E"),emissions[[#This Row],[kgCO2e]],0)/1000</f>
        <v>0</v>
      </c>
      <c r="AP856">
        <f>IF(AND(emissions[[#This Row],[Market-based]]=1,OR(emissions[[#This Row],[Impact Type]]="CO2E",emissions[[#This Row],[Impact Type]]="CO2E MKT")),emissions[[#This Row],[kgCO2e]],0)/1000</f>
        <v>0</v>
      </c>
      <c r="AQ856" t="str">
        <f>_xlfn.TEXTAFTER(emissions[[#This Row],[Reporting Unit]]," &gt; ",LEN(emissions[[#This Row],[Reporting Unit]])-LEN(SUBSTITUTE(emissions[[#This Row],[Reporting Unit]],"&gt;","")))</f>
        <v>Vantage_Dateland</v>
      </c>
      <c r="AR856" t="str">
        <f>_xlfn.XLOOKUP(emissions[[#This Row],[Reporting unit name]],hierarchy!$A:$A,hierarchy!$C:$C)</f>
        <v>Labratory</v>
      </c>
    </row>
    <row r="857" spans="1:44" hidden="1" x14ac:dyDescent="0.25">
      <c r="A857">
        <v>290053</v>
      </c>
      <c r="B857" t="s">
        <v>387</v>
      </c>
      <c r="C857" t="s">
        <v>475</v>
      </c>
      <c r="D857" t="s">
        <v>548</v>
      </c>
      <c r="E857" s="3">
        <v>44562</v>
      </c>
      <c r="F857" s="3">
        <v>44926</v>
      </c>
      <c r="G857" t="s">
        <v>108</v>
      </c>
      <c r="H857" s="3">
        <v>44562</v>
      </c>
      <c r="I857" s="3">
        <v>44926</v>
      </c>
      <c r="J857" t="s">
        <v>108</v>
      </c>
      <c r="K857">
        <v>3896174</v>
      </c>
      <c r="L857" t="s">
        <v>109</v>
      </c>
      <c r="M857" t="s">
        <v>110</v>
      </c>
      <c r="O857" t="s">
        <v>830</v>
      </c>
      <c r="P857" t="s">
        <v>550</v>
      </c>
      <c r="Q857">
        <v>2022</v>
      </c>
      <c r="R857" t="s">
        <v>551</v>
      </c>
      <c r="S857" t="s">
        <v>552</v>
      </c>
      <c r="T857" t="s">
        <v>553</v>
      </c>
      <c r="U857" t="b">
        <v>0</v>
      </c>
      <c r="V857" t="s">
        <v>831</v>
      </c>
      <c r="W857" t="s">
        <v>555</v>
      </c>
      <c r="X857" t="s">
        <v>556</v>
      </c>
      <c r="Y857" t="s">
        <v>472</v>
      </c>
      <c r="Z857" t="s">
        <v>485</v>
      </c>
      <c r="AA857" t="s">
        <v>764</v>
      </c>
      <c r="AB857" t="s">
        <v>832</v>
      </c>
      <c r="AC857">
        <v>1</v>
      </c>
      <c r="AD857" t="s">
        <v>639</v>
      </c>
      <c r="AE857">
        <v>1499008.6470000001</v>
      </c>
      <c r="AF857">
        <v>0.38473863000000003</v>
      </c>
      <c r="AG857" t="s">
        <v>560</v>
      </c>
      <c r="AH857">
        <v>1</v>
      </c>
      <c r="AI857">
        <v>3896174</v>
      </c>
      <c r="AJ857" t="s">
        <v>561</v>
      </c>
      <c r="AK857" t="s">
        <v>833</v>
      </c>
      <c r="AL857" t="s">
        <v>834</v>
      </c>
      <c r="AM857">
        <v>2022</v>
      </c>
      <c r="AN857">
        <v>2020</v>
      </c>
      <c r="AO857">
        <f>IF(AND(emissions[[#This Row],[Market-based]]=0,emissions[[#This Row],[Impact Type]]="CO2E"),emissions[[#This Row],[kgCO2e]],0)/1000</f>
        <v>0</v>
      </c>
      <c r="AP857">
        <f>IF(AND(emissions[[#This Row],[Market-based]]=1,OR(emissions[[#This Row],[Impact Type]]="CO2E",emissions[[#This Row],[Impact Type]]="CO2E MKT")),emissions[[#This Row],[kgCO2e]],0)/1000</f>
        <v>1499.0086470000001</v>
      </c>
      <c r="AQ857" t="str">
        <f>_xlfn.TEXTAFTER(emissions[[#This Row],[Reporting Unit]]," &gt; ",LEN(emissions[[#This Row],[Reporting Unit]])-LEN(SUBSTITUTE(emissions[[#This Row],[Reporting Unit]],"&gt;","")))</f>
        <v>Vantage_Dateland</v>
      </c>
      <c r="AR857" t="str">
        <f>_xlfn.XLOOKUP(emissions[[#This Row],[Reporting unit name]],hierarchy!$A:$A,hierarchy!$C:$C)</f>
        <v>Labratory</v>
      </c>
    </row>
    <row r="858" spans="1:44" hidden="1" x14ac:dyDescent="0.25">
      <c r="A858">
        <v>290053</v>
      </c>
      <c r="B858" t="s">
        <v>387</v>
      </c>
      <c r="C858" t="s">
        <v>475</v>
      </c>
      <c r="D858" t="s">
        <v>548</v>
      </c>
      <c r="E858" s="3">
        <v>44562</v>
      </c>
      <c r="F858" s="3">
        <v>44926</v>
      </c>
      <c r="G858" t="s">
        <v>108</v>
      </c>
      <c r="H858" s="3">
        <v>44562</v>
      </c>
      <c r="I858" s="3">
        <v>44926</v>
      </c>
      <c r="J858" t="s">
        <v>108</v>
      </c>
      <c r="K858">
        <v>3896174</v>
      </c>
      <c r="L858" t="s">
        <v>109</v>
      </c>
      <c r="M858" t="s">
        <v>110</v>
      </c>
      <c r="O858" t="s">
        <v>830</v>
      </c>
      <c r="P858" t="s">
        <v>550</v>
      </c>
      <c r="Q858">
        <v>2022</v>
      </c>
      <c r="R858" t="s">
        <v>567</v>
      </c>
      <c r="S858" t="s">
        <v>568</v>
      </c>
      <c r="T858" t="s">
        <v>569</v>
      </c>
      <c r="U858" t="b">
        <v>0</v>
      </c>
      <c r="V858" t="s">
        <v>835</v>
      </c>
      <c r="W858" t="s">
        <v>571</v>
      </c>
      <c r="X858" t="s">
        <v>572</v>
      </c>
      <c r="Y858" t="s">
        <v>472</v>
      </c>
      <c r="Z858" t="s">
        <v>485</v>
      </c>
      <c r="AA858" t="s">
        <v>764</v>
      </c>
      <c r="AB858" t="s">
        <v>832</v>
      </c>
      <c r="AC858">
        <v>0</v>
      </c>
      <c r="AD858" t="s">
        <v>565</v>
      </c>
      <c r="AE858">
        <v>23523.608919999999</v>
      </c>
      <c r="AF858">
        <v>6.0376179999999998E-3</v>
      </c>
      <c r="AG858" t="s">
        <v>560</v>
      </c>
      <c r="AH858">
        <v>1</v>
      </c>
      <c r="AI858">
        <v>3896174</v>
      </c>
      <c r="AJ858" t="s">
        <v>561</v>
      </c>
      <c r="AK858" t="s">
        <v>573</v>
      </c>
      <c r="AL858" t="s">
        <v>574</v>
      </c>
      <c r="AM858">
        <v>2022</v>
      </c>
      <c r="AN858">
        <v>2020</v>
      </c>
      <c r="AO858">
        <f>IF(AND(emissions[[#This Row],[Market-based]]=0,emissions[[#This Row],[Impact Type]]="CO2E"),emissions[[#This Row],[kgCO2e]],0)/1000</f>
        <v>23.523608919999997</v>
      </c>
      <c r="AP858">
        <f>IF(AND(emissions[[#This Row],[Market-based]]=1,OR(emissions[[#This Row],[Impact Type]]="CO2E",emissions[[#This Row],[Impact Type]]="CO2E MKT")),emissions[[#This Row],[kgCO2e]],0)/1000</f>
        <v>0</v>
      </c>
      <c r="AQ858" t="str">
        <f>_xlfn.TEXTAFTER(emissions[[#This Row],[Reporting Unit]]," &gt; ",LEN(emissions[[#This Row],[Reporting Unit]])-LEN(SUBSTITUTE(emissions[[#This Row],[Reporting Unit]],"&gt;","")))</f>
        <v>Vantage_Dateland</v>
      </c>
      <c r="AR858" t="str">
        <f>_xlfn.XLOOKUP(emissions[[#This Row],[Reporting unit name]],hierarchy!$A:$A,hierarchy!$C:$C)</f>
        <v>Labratory</v>
      </c>
    </row>
    <row r="859" spans="1:44" hidden="1" x14ac:dyDescent="0.25">
      <c r="A859">
        <v>290053</v>
      </c>
      <c r="B859" t="s">
        <v>387</v>
      </c>
      <c r="C859" t="s">
        <v>475</v>
      </c>
      <c r="D859" t="s">
        <v>548</v>
      </c>
      <c r="E859" s="3">
        <v>44562</v>
      </c>
      <c r="F859" s="3">
        <v>44926</v>
      </c>
      <c r="G859" t="s">
        <v>108</v>
      </c>
      <c r="H859" s="3">
        <v>44562</v>
      </c>
      <c r="I859" s="3">
        <v>44926</v>
      </c>
      <c r="J859" t="s">
        <v>108</v>
      </c>
      <c r="K859">
        <v>3896174</v>
      </c>
      <c r="L859" t="s">
        <v>109</v>
      </c>
      <c r="M859" t="s">
        <v>110</v>
      </c>
      <c r="O859" t="s">
        <v>830</v>
      </c>
      <c r="P859" t="s">
        <v>550</v>
      </c>
      <c r="Q859">
        <v>2022</v>
      </c>
      <c r="R859" t="s">
        <v>567</v>
      </c>
      <c r="S859" t="s">
        <v>568</v>
      </c>
      <c r="T859" t="s">
        <v>569</v>
      </c>
      <c r="U859" t="b">
        <v>0</v>
      </c>
      <c r="V859" t="s">
        <v>836</v>
      </c>
      <c r="W859" t="s">
        <v>571</v>
      </c>
      <c r="X859" t="s">
        <v>572</v>
      </c>
      <c r="Y859" t="s">
        <v>472</v>
      </c>
      <c r="Z859" t="s">
        <v>485</v>
      </c>
      <c r="AA859" t="s">
        <v>764</v>
      </c>
      <c r="AB859" t="s">
        <v>832</v>
      </c>
      <c r="AC859">
        <v>1</v>
      </c>
      <c r="AD859" t="s">
        <v>639</v>
      </c>
      <c r="AE859">
        <v>22735.918099999999</v>
      </c>
      <c r="AF859">
        <v>5.8354469999999997E-3</v>
      </c>
      <c r="AG859" t="s">
        <v>560</v>
      </c>
      <c r="AH859">
        <v>1</v>
      </c>
      <c r="AI859">
        <v>3896174</v>
      </c>
      <c r="AJ859" t="s">
        <v>561</v>
      </c>
      <c r="AK859" t="s">
        <v>573</v>
      </c>
      <c r="AL859" t="s">
        <v>772</v>
      </c>
      <c r="AM859">
        <v>2022</v>
      </c>
      <c r="AN859">
        <v>2019</v>
      </c>
      <c r="AO859">
        <f>IF(AND(emissions[[#This Row],[Market-based]]=0,emissions[[#This Row],[Impact Type]]="CO2E"),emissions[[#This Row],[kgCO2e]],0)/1000</f>
        <v>0</v>
      </c>
      <c r="AP859">
        <f>IF(AND(emissions[[#This Row],[Market-based]]=1,OR(emissions[[#This Row],[Impact Type]]="CO2E",emissions[[#This Row],[Impact Type]]="CO2E MKT")),emissions[[#This Row],[kgCO2e]],0)/1000</f>
        <v>22.735918099999999</v>
      </c>
      <c r="AQ859" t="str">
        <f>_xlfn.TEXTAFTER(emissions[[#This Row],[Reporting Unit]]," &gt; ",LEN(emissions[[#This Row],[Reporting Unit]])-LEN(SUBSTITUTE(emissions[[#This Row],[Reporting Unit]],"&gt;","")))</f>
        <v>Vantage_Dateland</v>
      </c>
      <c r="AR859" t="str">
        <f>_xlfn.XLOOKUP(emissions[[#This Row],[Reporting unit name]],hierarchy!$A:$A,hierarchy!$C:$C)</f>
        <v>Labratory</v>
      </c>
    </row>
    <row r="860" spans="1:44" hidden="1" x14ac:dyDescent="0.25">
      <c r="A860">
        <v>290053</v>
      </c>
      <c r="B860" t="s">
        <v>387</v>
      </c>
      <c r="C860" t="s">
        <v>475</v>
      </c>
      <c r="D860" t="s">
        <v>548</v>
      </c>
      <c r="E860" s="3">
        <v>44562</v>
      </c>
      <c r="F860" s="3">
        <v>44926</v>
      </c>
      <c r="G860" t="s">
        <v>108</v>
      </c>
      <c r="H860" s="3">
        <v>44562</v>
      </c>
      <c r="I860" s="3">
        <v>44926</v>
      </c>
      <c r="J860" t="s">
        <v>108</v>
      </c>
      <c r="K860">
        <v>3896174</v>
      </c>
      <c r="L860" t="s">
        <v>109</v>
      </c>
      <c r="M860" t="s">
        <v>110</v>
      </c>
      <c r="O860" t="s">
        <v>830</v>
      </c>
      <c r="P860" t="s">
        <v>550</v>
      </c>
      <c r="Q860">
        <v>2022</v>
      </c>
      <c r="R860" t="s">
        <v>575</v>
      </c>
      <c r="S860" t="s">
        <v>576</v>
      </c>
      <c r="T860" t="s">
        <v>577</v>
      </c>
      <c r="U860" t="b">
        <v>0</v>
      </c>
      <c r="V860" t="s">
        <v>837</v>
      </c>
      <c r="W860" t="s">
        <v>571</v>
      </c>
      <c r="X860" t="s">
        <v>572</v>
      </c>
      <c r="Y860" t="s">
        <v>472</v>
      </c>
      <c r="Z860" t="s">
        <v>485</v>
      </c>
      <c r="AA860" t="s">
        <v>764</v>
      </c>
      <c r="AB860" t="s">
        <v>832</v>
      </c>
      <c r="AC860">
        <v>0</v>
      </c>
      <c r="AD860" t="s">
        <v>565</v>
      </c>
      <c r="AE860">
        <v>420318.06890000001</v>
      </c>
      <c r="AF860">
        <v>0.107879697</v>
      </c>
      <c r="AG860" t="s">
        <v>560</v>
      </c>
      <c r="AH860">
        <v>1</v>
      </c>
      <c r="AI860">
        <v>3896174</v>
      </c>
      <c r="AJ860" t="s">
        <v>561</v>
      </c>
      <c r="AK860" t="s">
        <v>573</v>
      </c>
      <c r="AL860" t="s">
        <v>574</v>
      </c>
      <c r="AM860">
        <v>2022</v>
      </c>
      <c r="AN860">
        <v>2020</v>
      </c>
      <c r="AO860">
        <f>IF(AND(emissions[[#This Row],[Market-based]]=0,emissions[[#This Row],[Impact Type]]="CO2E"),emissions[[#This Row],[kgCO2e]],0)/1000</f>
        <v>420.31806890000001</v>
      </c>
      <c r="AP860">
        <f>IF(AND(emissions[[#This Row],[Market-based]]=1,OR(emissions[[#This Row],[Impact Type]]="CO2E",emissions[[#This Row],[Impact Type]]="CO2E MKT")),emissions[[#This Row],[kgCO2e]],0)/1000</f>
        <v>0</v>
      </c>
      <c r="AQ860" t="str">
        <f>_xlfn.TEXTAFTER(emissions[[#This Row],[Reporting Unit]]," &gt; ",LEN(emissions[[#This Row],[Reporting Unit]])-LEN(SUBSTITUTE(emissions[[#This Row],[Reporting Unit]],"&gt;","")))</f>
        <v>Vantage_Dateland</v>
      </c>
      <c r="AR860" t="str">
        <f>_xlfn.XLOOKUP(emissions[[#This Row],[Reporting unit name]],hierarchy!$A:$A,hierarchy!$C:$C)</f>
        <v>Labratory</v>
      </c>
    </row>
    <row r="861" spans="1:44" hidden="1" x14ac:dyDescent="0.25">
      <c r="A861">
        <v>290053</v>
      </c>
      <c r="B861" t="s">
        <v>387</v>
      </c>
      <c r="C861" t="s">
        <v>475</v>
      </c>
      <c r="D861" t="s">
        <v>548</v>
      </c>
      <c r="E861" s="3">
        <v>44562</v>
      </c>
      <c r="F861" s="3">
        <v>44926</v>
      </c>
      <c r="G861" t="s">
        <v>108</v>
      </c>
      <c r="H861" s="3">
        <v>44562</v>
      </c>
      <c r="I861" s="3">
        <v>44926</v>
      </c>
      <c r="J861" t="s">
        <v>108</v>
      </c>
      <c r="K861">
        <v>3896174</v>
      </c>
      <c r="L861" t="s">
        <v>109</v>
      </c>
      <c r="M861" t="s">
        <v>110</v>
      </c>
      <c r="O861" t="s">
        <v>830</v>
      </c>
      <c r="P861" t="s">
        <v>550</v>
      </c>
      <c r="Q861">
        <v>2022</v>
      </c>
      <c r="R861" t="s">
        <v>575</v>
      </c>
      <c r="S861" t="s">
        <v>576</v>
      </c>
      <c r="T861" t="s">
        <v>577</v>
      </c>
      <c r="U861" t="b">
        <v>0</v>
      </c>
      <c r="V861" t="s">
        <v>838</v>
      </c>
      <c r="W861" t="s">
        <v>571</v>
      </c>
      <c r="X861" t="s">
        <v>572</v>
      </c>
      <c r="Y861" t="s">
        <v>472</v>
      </c>
      <c r="Z861" t="s">
        <v>485</v>
      </c>
      <c r="AA861" t="s">
        <v>764</v>
      </c>
      <c r="AB861" t="s">
        <v>832</v>
      </c>
      <c r="AC861">
        <v>1</v>
      </c>
      <c r="AD861" t="s">
        <v>639</v>
      </c>
      <c r="AE861">
        <v>445802.31569999998</v>
      </c>
      <c r="AF861">
        <v>0.114420536</v>
      </c>
      <c r="AG861" t="s">
        <v>560</v>
      </c>
      <c r="AH861">
        <v>1</v>
      </c>
      <c r="AI861">
        <v>3896174</v>
      </c>
      <c r="AJ861" t="s">
        <v>561</v>
      </c>
      <c r="AK861" t="s">
        <v>573</v>
      </c>
      <c r="AL861" t="s">
        <v>839</v>
      </c>
      <c r="AM861">
        <v>2022</v>
      </c>
      <c r="AN861">
        <v>2019</v>
      </c>
      <c r="AO861">
        <f>IF(AND(emissions[[#This Row],[Market-based]]=0,emissions[[#This Row],[Impact Type]]="CO2E"),emissions[[#This Row],[kgCO2e]],0)/1000</f>
        <v>0</v>
      </c>
      <c r="AP861">
        <f>IF(AND(emissions[[#This Row],[Market-based]]=1,OR(emissions[[#This Row],[Impact Type]]="CO2E",emissions[[#This Row],[Impact Type]]="CO2E MKT")),emissions[[#This Row],[kgCO2e]],0)/1000</f>
        <v>445.80231569999995</v>
      </c>
      <c r="AQ861" t="str">
        <f>_xlfn.TEXTAFTER(emissions[[#This Row],[Reporting Unit]]," &gt; ",LEN(emissions[[#This Row],[Reporting Unit]])-LEN(SUBSTITUTE(emissions[[#This Row],[Reporting Unit]],"&gt;","")))</f>
        <v>Vantage_Dateland</v>
      </c>
      <c r="AR861" t="str">
        <f>_xlfn.XLOOKUP(emissions[[#This Row],[Reporting unit name]],hierarchy!$A:$A,hierarchy!$C:$C)</f>
        <v>Labratory</v>
      </c>
    </row>
    <row r="862" spans="1:44" hidden="1" x14ac:dyDescent="0.25">
      <c r="A862">
        <v>290053</v>
      </c>
      <c r="B862" t="s">
        <v>387</v>
      </c>
      <c r="C862" t="s">
        <v>475</v>
      </c>
      <c r="D862" t="s">
        <v>548</v>
      </c>
      <c r="E862" s="3">
        <v>44562</v>
      </c>
      <c r="F862" s="3">
        <v>44926</v>
      </c>
      <c r="G862" t="s">
        <v>108</v>
      </c>
      <c r="H862" s="3">
        <v>44562</v>
      </c>
      <c r="I862" s="3">
        <v>44926</v>
      </c>
      <c r="J862" t="s">
        <v>108</v>
      </c>
      <c r="K862">
        <v>3896174</v>
      </c>
      <c r="L862" t="s">
        <v>109</v>
      </c>
      <c r="M862" t="s">
        <v>110</v>
      </c>
      <c r="O862" t="s">
        <v>830</v>
      </c>
      <c r="P862" t="s">
        <v>550</v>
      </c>
      <c r="Q862">
        <v>2022</v>
      </c>
      <c r="R862" t="s">
        <v>579</v>
      </c>
      <c r="S862" t="s">
        <v>580</v>
      </c>
      <c r="T862" t="s">
        <v>581</v>
      </c>
      <c r="U862" t="b">
        <v>0</v>
      </c>
      <c r="V862" t="s">
        <v>840</v>
      </c>
      <c r="W862" t="s">
        <v>571</v>
      </c>
      <c r="X862" t="s">
        <v>572</v>
      </c>
      <c r="Y862" t="s">
        <v>472</v>
      </c>
      <c r="Z862" t="s">
        <v>485</v>
      </c>
      <c r="AA862" t="s">
        <v>764</v>
      </c>
      <c r="AB862" t="s">
        <v>832</v>
      </c>
      <c r="AC862">
        <v>0</v>
      </c>
      <c r="AD862" t="s">
        <v>565</v>
      </c>
      <c r="AE862">
        <v>79620.600290000002</v>
      </c>
      <c r="AF862">
        <v>2.0435585999999999E-2</v>
      </c>
      <c r="AG862" t="s">
        <v>560</v>
      </c>
      <c r="AH862">
        <v>1</v>
      </c>
      <c r="AI862">
        <v>3896174</v>
      </c>
      <c r="AJ862" t="s">
        <v>561</v>
      </c>
      <c r="AK862" t="s">
        <v>766</v>
      </c>
      <c r="AL862" t="s">
        <v>767</v>
      </c>
      <c r="AM862">
        <v>2022</v>
      </c>
      <c r="AN862">
        <v>2020</v>
      </c>
      <c r="AO862">
        <f>IF(AND(emissions[[#This Row],[Market-based]]=0,emissions[[#This Row],[Impact Type]]="CO2E"),emissions[[#This Row],[kgCO2e]],0)/1000</f>
        <v>79.620600289999999</v>
      </c>
      <c r="AP862">
        <f>IF(AND(emissions[[#This Row],[Market-based]]=1,OR(emissions[[#This Row],[Impact Type]]="CO2E",emissions[[#This Row],[Impact Type]]="CO2E MKT")),emissions[[#This Row],[kgCO2e]],0)/1000</f>
        <v>0</v>
      </c>
      <c r="AQ862" t="str">
        <f>_xlfn.TEXTAFTER(emissions[[#This Row],[Reporting Unit]]," &gt; ",LEN(emissions[[#This Row],[Reporting Unit]])-LEN(SUBSTITUTE(emissions[[#This Row],[Reporting Unit]],"&gt;","")))</f>
        <v>Vantage_Dateland</v>
      </c>
      <c r="AR862" t="str">
        <f>_xlfn.XLOOKUP(emissions[[#This Row],[Reporting unit name]],hierarchy!$A:$A,hierarchy!$C:$C)</f>
        <v>Labratory</v>
      </c>
    </row>
    <row r="863" spans="1:44" hidden="1" x14ac:dyDescent="0.25">
      <c r="A863">
        <v>290053</v>
      </c>
      <c r="B863" t="s">
        <v>387</v>
      </c>
      <c r="C863" t="s">
        <v>475</v>
      </c>
      <c r="D863" t="s">
        <v>548</v>
      </c>
      <c r="E863" s="3">
        <v>44562</v>
      </c>
      <c r="F863" s="3">
        <v>44926</v>
      </c>
      <c r="G863" t="s">
        <v>108</v>
      </c>
      <c r="H863" s="3">
        <v>44562</v>
      </c>
      <c r="I863" s="3">
        <v>44926</v>
      </c>
      <c r="J863" t="s">
        <v>108</v>
      </c>
      <c r="K863">
        <v>3896174</v>
      </c>
      <c r="L863" t="s">
        <v>109</v>
      </c>
      <c r="M863" t="s">
        <v>110</v>
      </c>
      <c r="O863" t="s">
        <v>830</v>
      </c>
      <c r="P863" t="s">
        <v>550</v>
      </c>
      <c r="Q863">
        <v>2022</v>
      </c>
      <c r="R863" t="s">
        <v>579</v>
      </c>
      <c r="S863" t="s">
        <v>580</v>
      </c>
      <c r="T863" t="s">
        <v>581</v>
      </c>
      <c r="U863" t="b">
        <v>0</v>
      </c>
      <c r="V863" t="s">
        <v>841</v>
      </c>
      <c r="W863" t="s">
        <v>571</v>
      </c>
      <c r="X863" t="s">
        <v>572</v>
      </c>
      <c r="Y863" t="s">
        <v>472</v>
      </c>
      <c r="Z863" t="s">
        <v>485</v>
      </c>
      <c r="AA863" t="s">
        <v>764</v>
      </c>
      <c r="AB863" t="s">
        <v>832</v>
      </c>
      <c r="AC863">
        <v>1</v>
      </c>
      <c r="AD863" t="s">
        <v>639</v>
      </c>
      <c r="AE863">
        <v>86065.20465</v>
      </c>
      <c r="AF863">
        <v>2.2089672000000001E-2</v>
      </c>
      <c r="AG863" t="s">
        <v>560</v>
      </c>
      <c r="AH863">
        <v>1</v>
      </c>
      <c r="AI863">
        <v>3896174</v>
      </c>
      <c r="AJ863" t="s">
        <v>561</v>
      </c>
      <c r="AK863" t="s">
        <v>573</v>
      </c>
      <c r="AL863" t="s">
        <v>842</v>
      </c>
      <c r="AM863">
        <v>2022</v>
      </c>
      <c r="AN863">
        <v>2019</v>
      </c>
      <c r="AO863">
        <f>IF(AND(emissions[[#This Row],[Market-based]]=0,emissions[[#This Row],[Impact Type]]="CO2E"),emissions[[#This Row],[kgCO2e]],0)/1000</f>
        <v>0</v>
      </c>
      <c r="AP863">
        <f>IF(AND(emissions[[#This Row],[Market-based]]=1,OR(emissions[[#This Row],[Impact Type]]="CO2E",emissions[[#This Row],[Impact Type]]="CO2E MKT")),emissions[[#This Row],[kgCO2e]],0)/1000</f>
        <v>86.065204649999998</v>
      </c>
      <c r="AQ863" t="str">
        <f>_xlfn.TEXTAFTER(emissions[[#This Row],[Reporting Unit]]," &gt; ",LEN(emissions[[#This Row],[Reporting Unit]])-LEN(SUBSTITUTE(emissions[[#This Row],[Reporting Unit]],"&gt;","")))</f>
        <v>Vantage_Dateland</v>
      </c>
      <c r="AR863" t="str">
        <f>_xlfn.XLOOKUP(emissions[[#This Row],[Reporting unit name]],hierarchy!$A:$A,hierarchy!$C:$C)</f>
        <v>Labratory</v>
      </c>
    </row>
    <row r="864" spans="1:44" hidden="1" x14ac:dyDescent="0.25">
      <c r="A864">
        <v>290050</v>
      </c>
      <c r="B864" t="s">
        <v>387</v>
      </c>
      <c r="C864" t="s">
        <v>475</v>
      </c>
      <c r="D864" t="s">
        <v>548</v>
      </c>
      <c r="E864" s="3">
        <v>44562</v>
      </c>
      <c r="F864" s="3">
        <v>44926</v>
      </c>
      <c r="G864" t="s">
        <v>135</v>
      </c>
      <c r="H864" s="3">
        <v>44562</v>
      </c>
      <c r="I864" s="3">
        <v>44926</v>
      </c>
      <c r="J864" t="s">
        <v>135</v>
      </c>
      <c r="K864">
        <v>70156.36</v>
      </c>
      <c r="L864" t="s">
        <v>136</v>
      </c>
      <c r="M864" t="s">
        <v>110</v>
      </c>
      <c r="O864" t="s">
        <v>843</v>
      </c>
      <c r="P864" t="s">
        <v>550</v>
      </c>
      <c r="Q864">
        <v>2022</v>
      </c>
      <c r="R864" t="s">
        <v>605</v>
      </c>
      <c r="S864" t="s">
        <v>606</v>
      </c>
      <c r="T864" t="s">
        <v>553</v>
      </c>
      <c r="U864" t="b">
        <v>0</v>
      </c>
      <c r="V864" t="s">
        <v>781</v>
      </c>
      <c r="W864" t="s">
        <v>587</v>
      </c>
      <c r="X864" t="s">
        <v>556</v>
      </c>
      <c r="Y864" t="s">
        <v>472</v>
      </c>
      <c r="Z864" t="s">
        <v>485</v>
      </c>
      <c r="AA864" t="s">
        <v>764</v>
      </c>
      <c r="AC864">
        <v>0</v>
      </c>
      <c r="AD864" t="s">
        <v>558</v>
      </c>
      <c r="AE864">
        <v>175.39089999999999</v>
      </c>
      <c r="AF864">
        <v>2.5000000000000001E-2</v>
      </c>
      <c r="AG864" t="s">
        <v>798</v>
      </c>
      <c r="AH864">
        <v>0.1</v>
      </c>
      <c r="AI864">
        <v>7015.6360000000004</v>
      </c>
      <c r="AJ864" t="s">
        <v>561</v>
      </c>
      <c r="AK864" t="s">
        <v>766</v>
      </c>
      <c r="AL864" t="s">
        <v>787</v>
      </c>
      <c r="AM864">
        <v>2022</v>
      </c>
      <c r="AN864">
        <v>2021</v>
      </c>
      <c r="AO864">
        <f>IF(AND(emissions[[#This Row],[Market-based]]=0,emissions[[#This Row],[Impact Type]]="CO2E"),emissions[[#This Row],[kgCO2e]],0)/1000</f>
        <v>0</v>
      </c>
      <c r="AP864">
        <f>IF(AND(emissions[[#This Row],[Market-based]]=1,OR(emissions[[#This Row],[Impact Type]]="CO2E",emissions[[#This Row],[Impact Type]]="CO2E MKT")),emissions[[#This Row],[kgCO2e]],0)/1000</f>
        <v>0</v>
      </c>
      <c r="AQ864" t="str">
        <f>_xlfn.TEXTAFTER(emissions[[#This Row],[Reporting Unit]]," &gt; ",LEN(emissions[[#This Row],[Reporting Unit]])-LEN(SUBSTITUTE(emissions[[#This Row],[Reporting Unit]],"&gt;","")))</f>
        <v>Vantage_Dateland</v>
      </c>
      <c r="AR864" t="str">
        <f>_xlfn.XLOOKUP(emissions[[#This Row],[Reporting unit name]],hierarchy!$A:$A,hierarchy!$C:$C)</f>
        <v>Labratory</v>
      </c>
    </row>
    <row r="865" spans="1:44" hidden="1" x14ac:dyDescent="0.25">
      <c r="A865">
        <v>290050</v>
      </c>
      <c r="B865" t="s">
        <v>387</v>
      </c>
      <c r="C865" t="s">
        <v>475</v>
      </c>
      <c r="D865" t="s">
        <v>548</v>
      </c>
      <c r="E865" s="3">
        <v>44562</v>
      </c>
      <c r="F865" s="3">
        <v>44926</v>
      </c>
      <c r="G865" t="s">
        <v>135</v>
      </c>
      <c r="H865" s="3">
        <v>44562</v>
      </c>
      <c r="I865" s="3">
        <v>44926</v>
      </c>
      <c r="J865" t="s">
        <v>135</v>
      </c>
      <c r="K865">
        <v>70156.36</v>
      </c>
      <c r="L865" t="s">
        <v>136</v>
      </c>
      <c r="M865" t="s">
        <v>110</v>
      </c>
      <c r="O865" t="s">
        <v>843</v>
      </c>
      <c r="P865" t="s">
        <v>550</v>
      </c>
      <c r="Q865">
        <v>2022</v>
      </c>
      <c r="R865" t="s">
        <v>605</v>
      </c>
      <c r="S865" t="s">
        <v>606</v>
      </c>
      <c r="T865" t="s">
        <v>553</v>
      </c>
      <c r="U865" t="b">
        <v>0</v>
      </c>
      <c r="V865" t="s">
        <v>781</v>
      </c>
      <c r="W865" t="s">
        <v>587</v>
      </c>
      <c r="X865" t="s">
        <v>556</v>
      </c>
      <c r="Y865" t="s">
        <v>472</v>
      </c>
      <c r="Z865" t="s">
        <v>485</v>
      </c>
      <c r="AA865" t="s">
        <v>764</v>
      </c>
      <c r="AC865">
        <v>0</v>
      </c>
      <c r="AD865" t="s">
        <v>564</v>
      </c>
      <c r="AE865">
        <v>372249.64620000002</v>
      </c>
      <c r="AF865">
        <v>53.06</v>
      </c>
      <c r="AG865" t="s">
        <v>798</v>
      </c>
      <c r="AH865">
        <v>0.1</v>
      </c>
      <c r="AI865">
        <v>7015.6360000000004</v>
      </c>
      <c r="AJ865" t="s">
        <v>561</v>
      </c>
      <c r="AK865" t="s">
        <v>766</v>
      </c>
      <c r="AL865" t="s">
        <v>767</v>
      </c>
      <c r="AM865">
        <v>2022</v>
      </c>
      <c r="AN865">
        <v>2022</v>
      </c>
      <c r="AO865">
        <f>IF(AND(emissions[[#This Row],[Market-based]]=0,emissions[[#This Row],[Impact Type]]="CO2E"),emissions[[#This Row],[kgCO2e]],0)/1000</f>
        <v>0</v>
      </c>
      <c r="AP865">
        <f>IF(AND(emissions[[#This Row],[Market-based]]=1,OR(emissions[[#This Row],[Impact Type]]="CO2E",emissions[[#This Row],[Impact Type]]="CO2E MKT")),emissions[[#This Row],[kgCO2e]],0)/1000</f>
        <v>0</v>
      </c>
      <c r="AQ865" t="str">
        <f>_xlfn.TEXTAFTER(emissions[[#This Row],[Reporting Unit]]," &gt; ",LEN(emissions[[#This Row],[Reporting Unit]])-LEN(SUBSTITUTE(emissions[[#This Row],[Reporting Unit]],"&gt;","")))</f>
        <v>Vantage_Dateland</v>
      </c>
      <c r="AR865" t="str">
        <f>_xlfn.XLOOKUP(emissions[[#This Row],[Reporting unit name]],hierarchy!$A:$A,hierarchy!$C:$C)</f>
        <v>Labratory</v>
      </c>
    </row>
    <row r="866" spans="1:44" hidden="1" x14ac:dyDescent="0.25">
      <c r="A866">
        <v>290050</v>
      </c>
      <c r="B866" t="s">
        <v>387</v>
      </c>
      <c r="C866" t="s">
        <v>475</v>
      </c>
      <c r="D866" t="s">
        <v>548</v>
      </c>
      <c r="E866" s="3">
        <v>44562</v>
      </c>
      <c r="F866" s="3">
        <v>44926</v>
      </c>
      <c r="G866" t="s">
        <v>135</v>
      </c>
      <c r="H866" s="3">
        <v>44562</v>
      </c>
      <c r="I866" s="3">
        <v>44926</v>
      </c>
      <c r="J866" t="s">
        <v>135</v>
      </c>
      <c r="K866">
        <v>70156.36</v>
      </c>
      <c r="L866" t="s">
        <v>136</v>
      </c>
      <c r="M866" t="s">
        <v>110</v>
      </c>
      <c r="O866" t="s">
        <v>843</v>
      </c>
      <c r="P866" t="s">
        <v>550</v>
      </c>
      <c r="Q866">
        <v>2022</v>
      </c>
      <c r="R866" t="s">
        <v>605</v>
      </c>
      <c r="S866" t="s">
        <v>606</v>
      </c>
      <c r="T866" t="s">
        <v>553</v>
      </c>
      <c r="U866" t="b">
        <v>0</v>
      </c>
      <c r="V866" t="s">
        <v>781</v>
      </c>
      <c r="W866" t="s">
        <v>587</v>
      </c>
      <c r="X866" t="s">
        <v>556</v>
      </c>
      <c r="Y866" t="s">
        <v>472</v>
      </c>
      <c r="Z866" t="s">
        <v>485</v>
      </c>
      <c r="AA866" t="s">
        <v>764</v>
      </c>
      <c r="AC866">
        <v>0</v>
      </c>
      <c r="AD866" t="s">
        <v>565</v>
      </c>
      <c r="AE866">
        <v>372634.103</v>
      </c>
      <c r="AF866">
        <v>53.114800000000002</v>
      </c>
      <c r="AG866" t="s">
        <v>798</v>
      </c>
      <c r="AH866">
        <v>0.1</v>
      </c>
      <c r="AI866">
        <v>7015.6360000000004</v>
      </c>
      <c r="AJ866" t="s">
        <v>561</v>
      </c>
      <c r="AK866" t="s">
        <v>766</v>
      </c>
      <c r="AL866" t="s">
        <v>787</v>
      </c>
      <c r="AM866">
        <v>2022</v>
      </c>
      <c r="AN866">
        <v>2021</v>
      </c>
      <c r="AO866">
        <f>IF(AND(emissions[[#This Row],[Market-based]]=0,emissions[[#This Row],[Impact Type]]="CO2E"),emissions[[#This Row],[kgCO2e]],0)/1000</f>
        <v>372.63410299999998</v>
      </c>
      <c r="AP866">
        <f>IF(AND(emissions[[#This Row],[Market-based]]=1,OR(emissions[[#This Row],[Impact Type]]="CO2E",emissions[[#This Row],[Impact Type]]="CO2E MKT")),emissions[[#This Row],[kgCO2e]],0)/1000</f>
        <v>0</v>
      </c>
      <c r="AQ866" t="str">
        <f>_xlfn.TEXTAFTER(emissions[[#This Row],[Reporting Unit]]," &gt; ",LEN(emissions[[#This Row],[Reporting Unit]])-LEN(SUBSTITUTE(emissions[[#This Row],[Reporting Unit]],"&gt;","")))</f>
        <v>Vantage_Dateland</v>
      </c>
      <c r="AR866" t="str">
        <f>_xlfn.XLOOKUP(emissions[[#This Row],[Reporting unit name]],hierarchy!$A:$A,hierarchy!$C:$C)</f>
        <v>Labratory</v>
      </c>
    </row>
    <row r="867" spans="1:44" hidden="1" x14ac:dyDescent="0.25">
      <c r="A867">
        <v>290050</v>
      </c>
      <c r="B867" t="s">
        <v>387</v>
      </c>
      <c r="C867" t="s">
        <v>475</v>
      </c>
      <c r="D867" t="s">
        <v>548</v>
      </c>
      <c r="E867" s="3">
        <v>44562</v>
      </c>
      <c r="F867" s="3">
        <v>44926</v>
      </c>
      <c r="G867" t="s">
        <v>135</v>
      </c>
      <c r="H867" s="3">
        <v>44562</v>
      </c>
      <c r="I867" s="3">
        <v>44926</v>
      </c>
      <c r="J867" t="s">
        <v>135</v>
      </c>
      <c r="K867">
        <v>70156.36</v>
      </c>
      <c r="L867" t="s">
        <v>136</v>
      </c>
      <c r="M867" t="s">
        <v>110</v>
      </c>
      <c r="O867" t="s">
        <v>843</v>
      </c>
      <c r="P867" t="s">
        <v>550</v>
      </c>
      <c r="Q867">
        <v>2022</v>
      </c>
      <c r="R867" t="s">
        <v>605</v>
      </c>
      <c r="S867" t="s">
        <v>606</v>
      </c>
      <c r="T867" t="s">
        <v>553</v>
      </c>
      <c r="U867" t="b">
        <v>0</v>
      </c>
      <c r="V867" t="s">
        <v>781</v>
      </c>
      <c r="W867" t="s">
        <v>587</v>
      </c>
      <c r="X867" t="s">
        <v>556</v>
      </c>
      <c r="Y867" t="s">
        <v>472</v>
      </c>
      <c r="Z867" t="s">
        <v>485</v>
      </c>
      <c r="AA867" t="s">
        <v>764</v>
      </c>
      <c r="AC867">
        <v>0</v>
      </c>
      <c r="AD867" t="s">
        <v>566</v>
      </c>
      <c r="AE867">
        <v>209.06595279999999</v>
      </c>
      <c r="AF867">
        <v>2.98E-2</v>
      </c>
      <c r="AG867" t="s">
        <v>798</v>
      </c>
      <c r="AH867">
        <v>0.1</v>
      </c>
      <c r="AI867">
        <v>7015.6360000000004</v>
      </c>
      <c r="AJ867" t="s">
        <v>561</v>
      </c>
      <c r="AK867" t="s">
        <v>766</v>
      </c>
      <c r="AL867" t="s">
        <v>767</v>
      </c>
      <c r="AM867">
        <v>2022</v>
      </c>
      <c r="AN867">
        <v>2022</v>
      </c>
      <c r="AO867">
        <f>IF(AND(emissions[[#This Row],[Market-based]]=0,emissions[[#This Row],[Impact Type]]="CO2E"),emissions[[#This Row],[kgCO2e]],0)/1000</f>
        <v>0</v>
      </c>
      <c r="AP867">
        <f>IF(AND(emissions[[#This Row],[Market-based]]=1,OR(emissions[[#This Row],[Impact Type]]="CO2E",emissions[[#This Row],[Impact Type]]="CO2E MKT")),emissions[[#This Row],[kgCO2e]],0)/1000</f>
        <v>0</v>
      </c>
      <c r="AQ867" t="str">
        <f>_xlfn.TEXTAFTER(emissions[[#This Row],[Reporting Unit]]," &gt; ",LEN(emissions[[#This Row],[Reporting Unit]])-LEN(SUBSTITUTE(emissions[[#This Row],[Reporting Unit]],"&gt;","")))</f>
        <v>Vantage_Dateland</v>
      </c>
      <c r="AR867" t="str">
        <f>_xlfn.XLOOKUP(emissions[[#This Row],[Reporting unit name]],hierarchy!$A:$A,hierarchy!$C:$C)</f>
        <v>Labratory</v>
      </c>
    </row>
    <row r="868" spans="1:44" hidden="1" x14ac:dyDescent="0.25">
      <c r="A868">
        <v>290050</v>
      </c>
      <c r="B868" t="s">
        <v>387</v>
      </c>
      <c r="C868" t="s">
        <v>475</v>
      </c>
      <c r="D868" t="s">
        <v>548</v>
      </c>
      <c r="E868" s="3">
        <v>44562</v>
      </c>
      <c r="F868" s="3">
        <v>44926</v>
      </c>
      <c r="G868" t="s">
        <v>135</v>
      </c>
      <c r="H868" s="3">
        <v>44562</v>
      </c>
      <c r="I868" s="3">
        <v>44926</v>
      </c>
      <c r="J868" t="s">
        <v>135</v>
      </c>
      <c r="K868">
        <v>70156.36</v>
      </c>
      <c r="L868" t="s">
        <v>136</v>
      </c>
      <c r="M868" t="s">
        <v>110</v>
      </c>
      <c r="O868" t="s">
        <v>843</v>
      </c>
      <c r="P868" t="s">
        <v>550</v>
      </c>
      <c r="Q868">
        <v>2022</v>
      </c>
      <c r="R868" t="s">
        <v>605</v>
      </c>
      <c r="S868" t="s">
        <v>606</v>
      </c>
      <c r="T868" t="s">
        <v>553</v>
      </c>
      <c r="U868" t="b">
        <v>0</v>
      </c>
      <c r="V868" t="s">
        <v>781</v>
      </c>
      <c r="W868" t="s">
        <v>587</v>
      </c>
      <c r="X868" t="s">
        <v>556</v>
      </c>
      <c r="Y868" t="s">
        <v>472</v>
      </c>
      <c r="Z868" t="s">
        <v>485</v>
      </c>
      <c r="AA868" t="s">
        <v>764</v>
      </c>
      <c r="AC868">
        <v>1</v>
      </c>
      <c r="AD868" t="s">
        <v>558</v>
      </c>
      <c r="AE868">
        <v>175.39089999999999</v>
      </c>
      <c r="AF868">
        <v>2.5000000000000001E-2</v>
      </c>
      <c r="AG868" t="s">
        <v>798</v>
      </c>
      <c r="AH868">
        <v>0.1</v>
      </c>
      <c r="AI868">
        <v>7015.6360000000004</v>
      </c>
      <c r="AJ868" t="s">
        <v>561</v>
      </c>
      <c r="AK868" t="s">
        <v>766</v>
      </c>
      <c r="AL868" t="s">
        <v>787</v>
      </c>
      <c r="AM868">
        <v>2022</v>
      </c>
      <c r="AN868">
        <v>2021</v>
      </c>
      <c r="AO868">
        <f>IF(AND(emissions[[#This Row],[Market-based]]=0,emissions[[#This Row],[Impact Type]]="CO2E"),emissions[[#This Row],[kgCO2e]],0)/1000</f>
        <v>0</v>
      </c>
      <c r="AP868">
        <f>IF(AND(emissions[[#This Row],[Market-based]]=1,OR(emissions[[#This Row],[Impact Type]]="CO2E",emissions[[#This Row],[Impact Type]]="CO2E MKT")),emissions[[#This Row],[kgCO2e]],0)/1000</f>
        <v>0</v>
      </c>
      <c r="AQ868" t="str">
        <f>_xlfn.TEXTAFTER(emissions[[#This Row],[Reporting Unit]]," &gt; ",LEN(emissions[[#This Row],[Reporting Unit]])-LEN(SUBSTITUTE(emissions[[#This Row],[Reporting Unit]],"&gt;","")))</f>
        <v>Vantage_Dateland</v>
      </c>
      <c r="AR868" t="str">
        <f>_xlfn.XLOOKUP(emissions[[#This Row],[Reporting unit name]],hierarchy!$A:$A,hierarchy!$C:$C)</f>
        <v>Labratory</v>
      </c>
    </row>
    <row r="869" spans="1:44" hidden="1" x14ac:dyDescent="0.25">
      <c r="A869">
        <v>290050</v>
      </c>
      <c r="B869" t="s">
        <v>387</v>
      </c>
      <c r="C869" t="s">
        <v>475</v>
      </c>
      <c r="D869" t="s">
        <v>548</v>
      </c>
      <c r="E869" s="3">
        <v>44562</v>
      </c>
      <c r="F869" s="3">
        <v>44926</v>
      </c>
      <c r="G869" t="s">
        <v>135</v>
      </c>
      <c r="H869" s="3">
        <v>44562</v>
      </c>
      <c r="I869" s="3">
        <v>44926</v>
      </c>
      <c r="J869" t="s">
        <v>135</v>
      </c>
      <c r="K869">
        <v>70156.36</v>
      </c>
      <c r="L869" t="s">
        <v>136</v>
      </c>
      <c r="M869" t="s">
        <v>110</v>
      </c>
      <c r="O869" t="s">
        <v>843</v>
      </c>
      <c r="P869" t="s">
        <v>550</v>
      </c>
      <c r="Q869">
        <v>2022</v>
      </c>
      <c r="R869" t="s">
        <v>605</v>
      </c>
      <c r="S869" t="s">
        <v>606</v>
      </c>
      <c r="T869" t="s">
        <v>553</v>
      </c>
      <c r="U869" t="b">
        <v>0</v>
      </c>
      <c r="V869" t="s">
        <v>781</v>
      </c>
      <c r="W869" t="s">
        <v>587</v>
      </c>
      <c r="X869" t="s">
        <v>556</v>
      </c>
      <c r="Y869" t="s">
        <v>472</v>
      </c>
      <c r="Z869" t="s">
        <v>485</v>
      </c>
      <c r="AA869" t="s">
        <v>764</v>
      </c>
      <c r="AC869">
        <v>1</v>
      </c>
      <c r="AD869" t="s">
        <v>564</v>
      </c>
      <c r="AE869">
        <v>372249.64620000002</v>
      </c>
      <c r="AF869">
        <v>53.06</v>
      </c>
      <c r="AG869" t="s">
        <v>798</v>
      </c>
      <c r="AH869">
        <v>0.1</v>
      </c>
      <c r="AI869">
        <v>7015.6360000000004</v>
      </c>
      <c r="AJ869" t="s">
        <v>561</v>
      </c>
      <c r="AK869" t="s">
        <v>766</v>
      </c>
      <c r="AL869" t="s">
        <v>767</v>
      </c>
      <c r="AM869">
        <v>2022</v>
      </c>
      <c r="AN869">
        <v>2022</v>
      </c>
      <c r="AO869">
        <f>IF(AND(emissions[[#This Row],[Market-based]]=0,emissions[[#This Row],[Impact Type]]="CO2E"),emissions[[#This Row],[kgCO2e]],0)/1000</f>
        <v>0</v>
      </c>
      <c r="AP869">
        <f>IF(AND(emissions[[#This Row],[Market-based]]=1,OR(emissions[[#This Row],[Impact Type]]="CO2E",emissions[[#This Row],[Impact Type]]="CO2E MKT")),emissions[[#This Row],[kgCO2e]],0)/1000</f>
        <v>0</v>
      </c>
      <c r="AQ869" t="str">
        <f>_xlfn.TEXTAFTER(emissions[[#This Row],[Reporting Unit]]," &gt; ",LEN(emissions[[#This Row],[Reporting Unit]])-LEN(SUBSTITUTE(emissions[[#This Row],[Reporting Unit]],"&gt;","")))</f>
        <v>Vantage_Dateland</v>
      </c>
      <c r="AR869" t="str">
        <f>_xlfn.XLOOKUP(emissions[[#This Row],[Reporting unit name]],hierarchy!$A:$A,hierarchy!$C:$C)</f>
        <v>Labratory</v>
      </c>
    </row>
    <row r="870" spans="1:44" hidden="1" x14ac:dyDescent="0.25">
      <c r="A870">
        <v>290050</v>
      </c>
      <c r="B870" t="s">
        <v>387</v>
      </c>
      <c r="C870" t="s">
        <v>475</v>
      </c>
      <c r="D870" t="s">
        <v>548</v>
      </c>
      <c r="E870" s="3">
        <v>44562</v>
      </c>
      <c r="F870" s="3">
        <v>44926</v>
      </c>
      <c r="G870" t="s">
        <v>135</v>
      </c>
      <c r="H870" s="3">
        <v>44562</v>
      </c>
      <c r="I870" s="3">
        <v>44926</v>
      </c>
      <c r="J870" t="s">
        <v>135</v>
      </c>
      <c r="K870">
        <v>70156.36</v>
      </c>
      <c r="L870" t="s">
        <v>136</v>
      </c>
      <c r="M870" t="s">
        <v>110</v>
      </c>
      <c r="O870" t="s">
        <v>843</v>
      </c>
      <c r="P870" t="s">
        <v>550</v>
      </c>
      <c r="Q870">
        <v>2022</v>
      </c>
      <c r="R870" t="s">
        <v>605</v>
      </c>
      <c r="S870" t="s">
        <v>606</v>
      </c>
      <c r="T870" t="s">
        <v>553</v>
      </c>
      <c r="U870" t="b">
        <v>0</v>
      </c>
      <c r="V870" t="s">
        <v>781</v>
      </c>
      <c r="W870" t="s">
        <v>587</v>
      </c>
      <c r="X870" t="s">
        <v>556</v>
      </c>
      <c r="Y870" t="s">
        <v>472</v>
      </c>
      <c r="Z870" t="s">
        <v>485</v>
      </c>
      <c r="AA870" t="s">
        <v>764</v>
      </c>
      <c r="AC870">
        <v>1</v>
      </c>
      <c r="AD870" t="s">
        <v>565</v>
      </c>
      <c r="AE870">
        <v>372634.103</v>
      </c>
      <c r="AF870">
        <v>53.114800000000002</v>
      </c>
      <c r="AG870" t="s">
        <v>798</v>
      </c>
      <c r="AH870">
        <v>0.1</v>
      </c>
      <c r="AI870">
        <v>7015.6360000000004</v>
      </c>
      <c r="AJ870" t="s">
        <v>561</v>
      </c>
      <c r="AK870" t="s">
        <v>766</v>
      </c>
      <c r="AL870" t="s">
        <v>787</v>
      </c>
      <c r="AM870">
        <v>2022</v>
      </c>
      <c r="AN870">
        <v>2021</v>
      </c>
      <c r="AO870">
        <f>IF(AND(emissions[[#This Row],[Market-based]]=0,emissions[[#This Row],[Impact Type]]="CO2E"),emissions[[#This Row],[kgCO2e]],0)/1000</f>
        <v>0</v>
      </c>
      <c r="AP870">
        <f>IF(AND(emissions[[#This Row],[Market-based]]=1,OR(emissions[[#This Row],[Impact Type]]="CO2E",emissions[[#This Row],[Impact Type]]="CO2E MKT")),emissions[[#This Row],[kgCO2e]],0)/1000</f>
        <v>372.63410299999998</v>
      </c>
      <c r="AQ870" t="str">
        <f>_xlfn.TEXTAFTER(emissions[[#This Row],[Reporting Unit]]," &gt; ",LEN(emissions[[#This Row],[Reporting Unit]])-LEN(SUBSTITUTE(emissions[[#This Row],[Reporting Unit]],"&gt;","")))</f>
        <v>Vantage_Dateland</v>
      </c>
      <c r="AR870" t="str">
        <f>_xlfn.XLOOKUP(emissions[[#This Row],[Reporting unit name]],hierarchy!$A:$A,hierarchy!$C:$C)</f>
        <v>Labratory</v>
      </c>
    </row>
    <row r="871" spans="1:44" hidden="1" x14ac:dyDescent="0.25">
      <c r="A871">
        <v>290050</v>
      </c>
      <c r="B871" t="s">
        <v>387</v>
      </c>
      <c r="C871" t="s">
        <v>475</v>
      </c>
      <c r="D871" t="s">
        <v>548</v>
      </c>
      <c r="E871" s="3">
        <v>44562</v>
      </c>
      <c r="F871" s="3">
        <v>44926</v>
      </c>
      <c r="G871" t="s">
        <v>135</v>
      </c>
      <c r="H871" s="3">
        <v>44562</v>
      </c>
      <c r="I871" s="3">
        <v>44926</v>
      </c>
      <c r="J871" t="s">
        <v>135</v>
      </c>
      <c r="K871">
        <v>70156.36</v>
      </c>
      <c r="L871" t="s">
        <v>136</v>
      </c>
      <c r="M871" t="s">
        <v>110</v>
      </c>
      <c r="O871" t="s">
        <v>843</v>
      </c>
      <c r="P871" t="s">
        <v>550</v>
      </c>
      <c r="Q871">
        <v>2022</v>
      </c>
      <c r="R871" t="s">
        <v>605</v>
      </c>
      <c r="S871" t="s">
        <v>606</v>
      </c>
      <c r="T871" t="s">
        <v>553</v>
      </c>
      <c r="U871" t="b">
        <v>0</v>
      </c>
      <c r="V871" t="s">
        <v>781</v>
      </c>
      <c r="W871" t="s">
        <v>587</v>
      </c>
      <c r="X871" t="s">
        <v>556</v>
      </c>
      <c r="Y871" t="s">
        <v>472</v>
      </c>
      <c r="Z871" t="s">
        <v>485</v>
      </c>
      <c r="AA871" t="s">
        <v>764</v>
      </c>
      <c r="AC871">
        <v>1</v>
      </c>
      <c r="AD871" t="s">
        <v>566</v>
      </c>
      <c r="AE871">
        <v>209.06595279999999</v>
      </c>
      <c r="AF871">
        <v>2.98E-2</v>
      </c>
      <c r="AG871" t="s">
        <v>798</v>
      </c>
      <c r="AH871">
        <v>0.1</v>
      </c>
      <c r="AI871">
        <v>7015.6360000000004</v>
      </c>
      <c r="AJ871" t="s">
        <v>561</v>
      </c>
      <c r="AK871" t="s">
        <v>766</v>
      </c>
      <c r="AL871" t="s">
        <v>767</v>
      </c>
      <c r="AM871">
        <v>2022</v>
      </c>
      <c r="AN871">
        <v>2022</v>
      </c>
      <c r="AO871">
        <f>IF(AND(emissions[[#This Row],[Market-based]]=0,emissions[[#This Row],[Impact Type]]="CO2E"),emissions[[#This Row],[kgCO2e]],0)/1000</f>
        <v>0</v>
      </c>
      <c r="AP871">
        <f>IF(AND(emissions[[#This Row],[Market-based]]=1,OR(emissions[[#This Row],[Impact Type]]="CO2E",emissions[[#This Row],[Impact Type]]="CO2E MKT")),emissions[[#This Row],[kgCO2e]],0)/1000</f>
        <v>0</v>
      </c>
      <c r="AQ871" t="str">
        <f>_xlfn.TEXTAFTER(emissions[[#This Row],[Reporting Unit]]," &gt; ",LEN(emissions[[#This Row],[Reporting Unit]])-LEN(SUBSTITUTE(emissions[[#This Row],[Reporting Unit]],"&gt;","")))</f>
        <v>Vantage_Dateland</v>
      </c>
      <c r="AR871" t="str">
        <f>_xlfn.XLOOKUP(emissions[[#This Row],[Reporting unit name]],hierarchy!$A:$A,hierarchy!$C:$C)</f>
        <v>Labratory</v>
      </c>
    </row>
    <row r="872" spans="1:44" hidden="1" x14ac:dyDescent="0.25">
      <c r="A872">
        <v>290050</v>
      </c>
      <c r="B872" t="s">
        <v>387</v>
      </c>
      <c r="C872" t="s">
        <v>475</v>
      </c>
      <c r="D872" t="s">
        <v>548</v>
      </c>
      <c r="E872" s="3">
        <v>44562</v>
      </c>
      <c r="F872" s="3">
        <v>44926</v>
      </c>
      <c r="G872" t="s">
        <v>135</v>
      </c>
      <c r="H872" s="3">
        <v>44562</v>
      </c>
      <c r="I872" s="3">
        <v>44926</v>
      </c>
      <c r="J872" t="s">
        <v>135</v>
      </c>
      <c r="K872">
        <v>70156.36</v>
      </c>
      <c r="L872" t="s">
        <v>136</v>
      </c>
      <c r="M872" t="s">
        <v>110</v>
      </c>
      <c r="O872" t="s">
        <v>843</v>
      </c>
      <c r="P872" t="s">
        <v>550</v>
      </c>
      <c r="Q872">
        <v>2022</v>
      </c>
      <c r="R872" t="s">
        <v>609</v>
      </c>
      <c r="S872" t="s">
        <v>610</v>
      </c>
      <c r="T872" t="s">
        <v>577</v>
      </c>
      <c r="U872" t="b">
        <v>0</v>
      </c>
      <c r="V872" t="s">
        <v>632</v>
      </c>
      <c r="W872" t="s">
        <v>571</v>
      </c>
      <c r="X872" t="s">
        <v>572</v>
      </c>
      <c r="AC872">
        <v>0</v>
      </c>
      <c r="AD872" t="s">
        <v>565</v>
      </c>
      <c r="AE872">
        <v>63928.798110000003</v>
      </c>
      <c r="AF872">
        <v>3.1099999999999999E-2</v>
      </c>
      <c r="AG872" t="s">
        <v>608</v>
      </c>
      <c r="AH872">
        <v>29.3001</v>
      </c>
      <c r="AI872">
        <v>2055588.3640000001</v>
      </c>
      <c r="AJ872" t="s">
        <v>561</v>
      </c>
      <c r="AK872" t="s">
        <v>589</v>
      </c>
      <c r="AL872" t="s">
        <v>590</v>
      </c>
      <c r="AM872">
        <v>2022</v>
      </c>
      <c r="AN872">
        <v>2020</v>
      </c>
      <c r="AO872">
        <f>IF(AND(emissions[[#This Row],[Market-based]]=0,emissions[[#This Row],[Impact Type]]="CO2E"),emissions[[#This Row],[kgCO2e]],0)/1000</f>
        <v>63.928798110000002</v>
      </c>
      <c r="AP872">
        <f>IF(AND(emissions[[#This Row],[Market-based]]=1,OR(emissions[[#This Row],[Impact Type]]="CO2E",emissions[[#This Row],[Impact Type]]="CO2E MKT")),emissions[[#This Row],[kgCO2e]],0)/1000</f>
        <v>0</v>
      </c>
      <c r="AQ872" t="str">
        <f>_xlfn.TEXTAFTER(emissions[[#This Row],[Reporting Unit]]," &gt; ",LEN(emissions[[#This Row],[Reporting Unit]])-LEN(SUBSTITUTE(emissions[[#This Row],[Reporting Unit]],"&gt;","")))</f>
        <v>Vantage_Dateland</v>
      </c>
      <c r="AR872" t="str">
        <f>_xlfn.XLOOKUP(emissions[[#This Row],[Reporting unit name]],hierarchy!$A:$A,hierarchy!$C:$C)</f>
        <v>Labratory</v>
      </c>
    </row>
    <row r="873" spans="1:44" hidden="1" x14ac:dyDescent="0.25">
      <c r="A873">
        <v>290050</v>
      </c>
      <c r="B873" t="s">
        <v>387</v>
      </c>
      <c r="C873" t="s">
        <v>475</v>
      </c>
      <c r="D873" t="s">
        <v>548</v>
      </c>
      <c r="E873" s="3">
        <v>44562</v>
      </c>
      <c r="F873" s="3">
        <v>44926</v>
      </c>
      <c r="G873" t="s">
        <v>135</v>
      </c>
      <c r="H873" s="3">
        <v>44562</v>
      </c>
      <c r="I873" s="3">
        <v>44926</v>
      </c>
      <c r="J873" t="s">
        <v>135</v>
      </c>
      <c r="K873">
        <v>70156.36</v>
      </c>
      <c r="L873" t="s">
        <v>136</v>
      </c>
      <c r="M873" t="s">
        <v>110</v>
      </c>
      <c r="O873" t="s">
        <v>843</v>
      </c>
      <c r="P873" t="s">
        <v>550</v>
      </c>
      <c r="Q873">
        <v>2022</v>
      </c>
      <c r="R873" t="s">
        <v>609</v>
      </c>
      <c r="S873" t="s">
        <v>610</v>
      </c>
      <c r="T873" t="s">
        <v>577</v>
      </c>
      <c r="U873" t="b">
        <v>0</v>
      </c>
      <c r="V873" t="s">
        <v>632</v>
      </c>
      <c r="W873" t="s">
        <v>571</v>
      </c>
      <c r="X873" t="s">
        <v>572</v>
      </c>
      <c r="AC873">
        <v>1</v>
      </c>
      <c r="AD873" t="s">
        <v>565</v>
      </c>
      <c r="AE873">
        <v>63928.798110000003</v>
      </c>
      <c r="AF873">
        <v>3.1099999999999999E-2</v>
      </c>
      <c r="AG873" t="s">
        <v>608</v>
      </c>
      <c r="AH873">
        <v>29.3001</v>
      </c>
      <c r="AI873">
        <v>2055588.3640000001</v>
      </c>
      <c r="AJ873" t="s">
        <v>561</v>
      </c>
      <c r="AK873" t="s">
        <v>589</v>
      </c>
      <c r="AL873" t="s">
        <v>590</v>
      </c>
      <c r="AM873">
        <v>2022</v>
      </c>
      <c r="AN873">
        <v>2020</v>
      </c>
      <c r="AO873">
        <f>IF(AND(emissions[[#This Row],[Market-based]]=0,emissions[[#This Row],[Impact Type]]="CO2E"),emissions[[#This Row],[kgCO2e]],0)/1000</f>
        <v>0</v>
      </c>
      <c r="AP873">
        <f>IF(AND(emissions[[#This Row],[Market-based]]=1,OR(emissions[[#This Row],[Impact Type]]="CO2E",emissions[[#This Row],[Impact Type]]="CO2E MKT")),emissions[[#This Row],[kgCO2e]],0)/1000</f>
        <v>63.928798110000002</v>
      </c>
      <c r="AQ873" t="str">
        <f>_xlfn.TEXTAFTER(emissions[[#This Row],[Reporting Unit]]," &gt; ",LEN(emissions[[#This Row],[Reporting Unit]])-LEN(SUBSTITUTE(emissions[[#This Row],[Reporting Unit]],"&gt;","")))</f>
        <v>Vantage_Dateland</v>
      </c>
      <c r="AR873" t="str">
        <f>_xlfn.XLOOKUP(emissions[[#This Row],[Reporting unit name]],hierarchy!$A:$A,hierarchy!$C:$C)</f>
        <v>Labratory</v>
      </c>
    </row>
    <row r="874" spans="1:44" hidden="1" x14ac:dyDescent="0.25">
      <c r="A874">
        <v>250119</v>
      </c>
      <c r="B874" t="s">
        <v>387</v>
      </c>
      <c r="C874" t="s">
        <v>475</v>
      </c>
      <c r="D874" t="s">
        <v>548</v>
      </c>
      <c r="E874" s="3">
        <v>44562</v>
      </c>
      <c r="F874" s="3">
        <v>44926</v>
      </c>
      <c r="G874" t="s">
        <v>141</v>
      </c>
      <c r="H874" s="3">
        <v>44562</v>
      </c>
      <c r="I874" s="3">
        <v>44926</v>
      </c>
      <c r="J874" t="s">
        <v>168</v>
      </c>
      <c r="K874">
        <v>16368</v>
      </c>
      <c r="L874" t="s">
        <v>148</v>
      </c>
      <c r="M874" t="s">
        <v>110</v>
      </c>
      <c r="O874" t="s">
        <v>844</v>
      </c>
      <c r="P874" t="s">
        <v>550</v>
      </c>
      <c r="Q874">
        <v>2022</v>
      </c>
      <c r="R874" t="s">
        <v>680</v>
      </c>
      <c r="S874" t="s">
        <v>681</v>
      </c>
      <c r="T874" t="s">
        <v>553</v>
      </c>
      <c r="U874" t="b">
        <v>0</v>
      </c>
      <c r="V874" t="s">
        <v>845</v>
      </c>
      <c r="W874" t="s">
        <v>587</v>
      </c>
      <c r="X874" t="s">
        <v>556</v>
      </c>
      <c r="Y874" t="s">
        <v>472</v>
      </c>
      <c r="Z874" t="s">
        <v>485</v>
      </c>
      <c r="AA874" t="s">
        <v>764</v>
      </c>
      <c r="AC874">
        <v>0</v>
      </c>
      <c r="AD874" t="s">
        <v>558</v>
      </c>
      <c r="AE874">
        <v>155.49600000000001</v>
      </c>
      <c r="AF874">
        <v>9.4999999999999998E-3</v>
      </c>
      <c r="AG874" t="s">
        <v>786</v>
      </c>
      <c r="AH874">
        <v>1</v>
      </c>
      <c r="AI874">
        <v>16368</v>
      </c>
      <c r="AJ874" t="s">
        <v>561</v>
      </c>
      <c r="AK874" t="s">
        <v>766</v>
      </c>
      <c r="AL874" t="s">
        <v>767</v>
      </c>
      <c r="AM874">
        <v>2022</v>
      </c>
      <c r="AN874">
        <v>2022</v>
      </c>
      <c r="AO874">
        <f>IF(AND(emissions[[#This Row],[Market-based]]=0,emissions[[#This Row],[Impact Type]]="CO2E"),emissions[[#This Row],[kgCO2e]],0)/1000</f>
        <v>0</v>
      </c>
      <c r="AP874">
        <f>IF(AND(emissions[[#This Row],[Market-based]]=1,OR(emissions[[#This Row],[Impact Type]]="CO2E",emissions[[#This Row],[Impact Type]]="CO2E MKT")),emissions[[#This Row],[kgCO2e]],0)/1000</f>
        <v>0</v>
      </c>
      <c r="AQ874" t="str">
        <f>_xlfn.TEXTAFTER(emissions[[#This Row],[Reporting Unit]]," &gt; ",LEN(emissions[[#This Row],[Reporting Unit]])-LEN(SUBSTITUTE(emissions[[#This Row],[Reporting Unit]],"&gt;","")))</f>
        <v>Vantage_Dateland</v>
      </c>
      <c r="AR874" t="str">
        <f>_xlfn.XLOOKUP(emissions[[#This Row],[Reporting unit name]],hierarchy!$A:$A,hierarchy!$C:$C)</f>
        <v>Labratory</v>
      </c>
    </row>
    <row r="875" spans="1:44" hidden="1" x14ac:dyDescent="0.25">
      <c r="A875">
        <v>250119</v>
      </c>
      <c r="B875" t="s">
        <v>387</v>
      </c>
      <c r="C875" t="s">
        <v>475</v>
      </c>
      <c r="D875" t="s">
        <v>548</v>
      </c>
      <c r="E875" s="3">
        <v>44562</v>
      </c>
      <c r="F875" s="3">
        <v>44926</v>
      </c>
      <c r="G875" t="s">
        <v>141</v>
      </c>
      <c r="H875" s="3">
        <v>44562</v>
      </c>
      <c r="I875" s="3">
        <v>44926</v>
      </c>
      <c r="J875" t="s">
        <v>168</v>
      </c>
      <c r="K875">
        <v>16368</v>
      </c>
      <c r="L875" t="s">
        <v>148</v>
      </c>
      <c r="M875" t="s">
        <v>110</v>
      </c>
      <c r="O875" t="s">
        <v>844</v>
      </c>
      <c r="P875" t="s">
        <v>550</v>
      </c>
      <c r="Q875">
        <v>2022</v>
      </c>
      <c r="R875" t="s">
        <v>680</v>
      </c>
      <c r="S875" t="s">
        <v>681</v>
      </c>
      <c r="T875" t="s">
        <v>553</v>
      </c>
      <c r="U875" t="b">
        <v>0</v>
      </c>
      <c r="V875" t="s">
        <v>845</v>
      </c>
      <c r="W875" t="s">
        <v>587</v>
      </c>
      <c r="X875" t="s">
        <v>556</v>
      </c>
      <c r="Y875" t="s">
        <v>472</v>
      </c>
      <c r="Z875" t="s">
        <v>485</v>
      </c>
      <c r="AA875" t="s">
        <v>764</v>
      </c>
      <c r="AC875">
        <v>0</v>
      </c>
      <c r="AD875" t="s">
        <v>564</v>
      </c>
      <c r="AE875">
        <v>143711.04000000001</v>
      </c>
      <c r="AF875">
        <v>8.7799999999999994</v>
      </c>
      <c r="AG875" t="s">
        <v>786</v>
      </c>
      <c r="AH875">
        <v>1</v>
      </c>
      <c r="AI875">
        <v>16368</v>
      </c>
      <c r="AJ875" t="s">
        <v>561</v>
      </c>
      <c r="AK875" t="s">
        <v>766</v>
      </c>
      <c r="AL875" t="s">
        <v>767</v>
      </c>
      <c r="AM875">
        <v>2022</v>
      </c>
      <c r="AN875">
        <v>2022</v>
      </c>
      <c r="AO875">
        <f>IF(AND(emissions[[#This Row],[Market-based]]=0,emissions[[#This Row],[Impact Type]]="CO2E"),emissions[[#This Row],[kgCO2e]],0)/1000</f>
        <v>0</v>
      </c>
      <c r="AP875">
        <f>IF(AND(emissions[[#This Row],[Market-based]]=1,OR(emissions[[#This Row],[Impact Type]]="CO2E",emissions[[#This Row],[Impact Type]]="CO2E MKT")),emissions[[#This Row],[kgCO2e]],0)/1000</f>
        <v>0</v>
      </c>
      <c r="AQ875" t="str">
        <f>_xlfn.TEXTAFTER(emissions[[#This Row],[Reporting Unit]]," &gt; ",LEN(emissions[[#This Row],[Reporting Unit]])-LEN(SUBSTITUTE(emissions[[#This Row],[Reporting Unit]],"&gt;","")))</f>
        <v>Vantage_Dateland</v>
      </c>
      <c r="AR875" t="str">
        <f>_xlfn.XLOOKUP(emissions[[#This Row],[Reporting unit name]],hierarchy!$A:$A,hierarchy!$C:$C)</f>
        <v>Labratory</v>
      </c>
    </row>
    <row r="876" spans="1:44" hidden="1" x14ac:dyDescent="0.25">
      <c r="A876">
        <v>250119</v>
      </c>
      <c r="B876" t="s">
        <v>387</v>
      </c>
      <c r="C876" t="s">
        <v>475</v>
      </c>
      <c r="D876" t="s">
        <v>548</v>
      </c>
      <c r="E876" s="3">
        <v>44562</v>
      </c>
      <c r="F876" s="3">
        <v>44926</v>
      </c>
      <c r="G876" t="s">
        <v>141</v>
      </c>
      <c r="H876" s="3">
        <v>44562</v>
      </c>
      <c r="I876" s="3">
        <v>44926</v>
      </c>
      <c r="J876" t="s">
        <v>168</v>
      </c>
      <c r="K876">
        <v>16368</v>
      </c>
      <c r="L876" t="s">
        <v>148</v>
      </c>
      <c r="M876" t="s">
        <v>110</v>
      </c>
      <c r="O876" t="s">
        <v>844</v>
      </c>
      <c r="P876" t="s">
        <v>550</v>
      </c>
      <c r="Q876">
        <v>2022</v>
      </c>
      <c r="R876" t="s">
        <v>680</v>
      </c>
      <c r="S876" t="s">
        <v>681</v>
      </c>
      <c r="T876" t="s">
        <v>553</v>
      </c>
      <c r="U876" t="b">
        <v>0</v>
      </c>
      <c r="V876" t="s">
        <v>845</v>
      </c>
      <c r="W876" t="s">
        <v>587</v>
      </c>
      <c r="X876" t="s">
        <v>556</v>
      </c>
      <c r="Y876" t="s">
        <v>472</v>
      </c>
      <c r="Z876" t="s">
        <v>485</v>
      </c>
      <c r="AA876" t="s">
        <v>764</v>
      </c>
      <c r="AC876">
        <v>0</v>
      </c>
      <c r="AD876" t="s">
        <v>565</v>
      </c>
      <c r="AE876">
        <v>144256.74909999999</v>
      </c>
      <c r="AF876">
        <v>8.8133400000000002</v>
      </c>
      <c r="AG876" t="s">
        <v>786</v>
      </c>
      <c r="AH876">
        <v>1</v>
      </c>
      <c r="AI876">
        <v>16368</v>
      </c>
      <c r="AJ876" t="s">
        <v>561</v>
      </c>
      <c r="AK876" t="s">
        <v>766</v>
      </c>
      <c r="AL876" t="s">
        <v>767</v>
      </c>
      <c r="AM876">
        <v>2022</v>
      </c>
      <c r="AN876">
        <v>2022</v>
      </c>
      <c r="AO876">
        <f>IF(AND(emissions[[#This Row],[Market-based]]=0,emissions[[#This Row],[Impact Type]]="CO2E"),emissions[[#This Row],[kgCO2e]],0)/1000</f>
        <v>144.25674909999998</v>
      </c>
      <c r="AP876">
        <f>IF(AND(emissions[[#This Row],[Market-based]]=1,OR(emissions[[#This Row],[Impact Type]]="CO2E",emissions[[#This Row],[Impact Type]]="CO2E MKT")),emissions[[#This Row],[kgCO2e]],0)/1000</f>
        <v>0</v>
      </c>
      <c r="AQ876" t="str">
        <f>_xlfn.TEXTAFTER(emissions[[#This Row],[Reporting Unit]]," &gt; ",LEN(emissions[[#This Row],[Reporting Unit]])-LEN(SUBSTITUTE(emissions[[#This Row],[Reporting Unit]],"&gt;","")))</f>
        <v>Vantage_Dateland</v>
      </c>
      <c r="AR876" t="str">
        <f>_xlfn.XLOOKUP(emissions[[#This Row],[Reporting unit name]],hierarchy!$A:$A,hierarchy!$C:$C)</f>
        <v>Labratory</v>
      </c>
    </row>
    <row r="877" spans="1:44" hidden="1" x14ac:dyDescent="0.25">
      <c r="A877">
        <v>250119</v>
      </c>
      <c r="B877" t="s">
        <v>387</v>
      </c>
      <c r="C877" t="s">
        <v>475</v>
      </c>
      <c r="D877" t="s">
        <v>548</v>
      </c>
      <c r="E877" s="3">
        <v>44562</v>
      </c>
      <c r="F877" s="3">
        <v>44926</v>
      </c>
      <c r="G877" t="s">
        <v>141</v>
      </c>
      <c r="H877" s="3">
        <v>44562</v>
      </c>
      <c r="I877" s="3">
        <v>44926</v>
      </c>
      <c r="J877" t="s">
        <v>168</v>
      </c>
      <c r="K877">
        <v>16368</v>
      </c>
      <c r="L877" t="s">
        <v>148</v>
      </c>
      <c r="M877" t="s">
        <v>110</v>
      </c>
      <c r="O877" t="s">
        <v>844</v>
      </c>
      <c r="P877" t="s">
        <v>550</v>
      </c>
      <c r="Q877">
        <v>2022</v>
      </c>
      <c r="R877" t="s">
        <v>680</v>
      </c>
      <c r="S877" t="s">
        <v>681</v>
      </c>
      <c r="T877" t="s">
        <v>553</v>
      </c>
      <c r="U877" t="b">
        <v>0</v>
      </c>
      <c r="V877" t="s">
        <v>845</v>
      </c>
      <c r="W877" t="s">
        <v>587</v>
      </c>
      <c r="X877" t="s">
        <v>556</v>
      </c>
      <c r="Y877" t="s">
        <v>472</v>
      </c>
      <c r="Z877" t="s">
        <v>485</v>
      </c>
      <c r="AA877" t="s">
        <v>764</v>
      </c>
      <c r="AC877">
        <v>0</v>
      </c>
      <c r="AD877" t="s">
        <v>566</v>
      </c>
      <c r="AE877">
        <v>390.21312</v>
      </c>
      <c r="AF877">
        <v>2.384E-2</v>
      </c>
      <c r="AG877" t="s">
        <v>786</v>
      </c>
      <c r="AH877">
        <v>1</v>
      </c>
      <c r="AI877">
        <v>16368</v>
      </c>
      <c r="AJ877" t="s">
        <v>561</v>
      </c>
      <c r="AK877" t="s">
        <v>766</v>
      </c>
      <c r="AL877" t="s">
        <v>787</v>
      </c>
      <c r="AM877">
        <v>2022</v>
      </c>
      <c r="AN877">
        <v>2021</v>
      </c>
      <c r="AO877">
        <f>IF(AND(emissions[[#This Row],[Market-based]]=0,emissions[[#This Row],[Impact Type]]="CO2E"),emissions[[#This Row],[kgCO2e]],0)/1000</f>
        <v>0</v>
      </c>
      <c r="AP877">
        <f>IF(AND(emissions[[#This Row],[Market-based]]=1,OR(emissions[[#This Row],[Impact Type]]="CO2E",emissions[[#This Row],[Impact Type]]="CO2E MKT")),emissions[[#This Row],[kgCO2e]],0)/1000</f>
        <v>0</v>
      </c>
      <c r="AQ877" t="str">
        <f>_xlfn.TEXTAFTER(emissions[[#This Row],[Reporting Unit]]," &gt; ",LEN(emissions[[#This Row],[Reporting Unit]])-LEN(SUBSTITUTE(emissions[[#This Row],[Reporting Unit]],"&gt;","")))</f>
        <v>Vantage_Dateland</v>
      </c>
      <c r="AR877" t="str">
        <f>_xlfn.XLOOKUP(emissions[[#This Row],[Reporting unit name]],hierarchy!$A:$A,hierarchy!$C:$C)</f>
        <v>Labratory</v>
      </c>
    </row>
    <row r="878" spans="1:44" hidden="1" x14ac:dyDescent="0.25">
      <c r="A878">
        <v>250119</v>
      </c>
      <c r="B878" t="s">
        <v>387</v>
      </c>
      <c r="C878" t="s">
        <v>475</v>
      </c>
      <c r="D878" t="s">
        <v>548</v>
      </c>
      <c r="E878" s="3">
        <v>44562</v>
      </c>
      <c r="F878" s="3">
        <v>44926</v>
      </c>
      <c r="G878" t="s">
        <v>141</v>
      </c>
      <c r="H878" s="3">
        <v>44562</v>
      </c>
      <c r="I878" s="3">
        <v>44926</v>
      </c>
      <c r="J878" t="s">
        <v>168</v>
      </c>
      <c r="K878">
        <v>16368</v>
      </c>
      <c r="L878" t="s">
        <v>148</v>
      </c>
      <c r="M878" t="s">
        <v>110</v>
      </c>
      <c r="O878" t="s">
        <v>844</v>
      </c>
      <c r="P878" t="s">
        <v>550</v>
      </c>
      <c r="Q878">
        <v>2022</v>
      </c>
      <c r="R878" t="s">
        <v>680</v>
      </c>
      <c r="S878" t="s">
        <v>681</v>
      </c>
      <c r="T878" t="s">
        <v>553</v>
      </c>
      <c r="U878" t="b">
        <v>0</v>
      </c>
      <c r="V878" t="s">
        <v>845</v>
      </c>
      <c r="W878" t="s">
        <v>587</v>
      </c>
      <c r="X878" t="s">
        <v>556</v>
      </c>
      <c r="Y878" t="s">
        <v>472</v>
      </c>
      <c r="Z878" t="s">
        <v>485</v>
      </c>
      <c r="AA878" t="s">
        <v>764</v>
      </c>
      <c r="AC878">
        <v>1</v>
      </c>
      <c r="AD878" t="s">
        <v>558</v>
      </c>
      <c r="AE878">
        <v>155.49600000000001</v>
      </c>
      <c r="AF878">
        <v>9.4999999999999998E-3</v>
      </c>
      <c r="AG878" t="s">
        <v>786</v>
      </c>
      <c r="AH878">
        <v>1</v>
      </c>
      <c r="AI878">
        <v>16368</v>
      </c>
      <c r="AJ878" t="s">
        <v>561</v>
      </c>
      <c r="AK878" t="s">
        <v>766</v>
      </c>
      <c r="AL878" t="s">
        <v>767</v>
      </c>
      <c r="AM878">
        <v>2022</v>
      </c>
      <c r="AN878">
        <v>2022</v>
      </c>
      <c r="AO878">
        <f>IF(AND(emissions[[#This Row],[Market-based]]=0,emissions[[#This Row],[Impact Type]]="CO2E"),emissions[[#This Row],[kgCO2e]],0)/1000</f>
        <v>0</v>
      </c>
      <c r="AP878">
        <f>IF(AND(emissions[[#This Row],[Market-based]]=1,OR(emissions[[#This Row],[Impact Type]]="CO2E",emissions[[#This Row],[Impact Type]]="CO2E MKT")),emissions[[#This Row],[kgCO2e]],0)/1000</f>
        <v>0</v>
      </c>
      <c r="AQ878" t="str">
        <f>_xlfn.TEXTAFTER(emissions[[#This Row],[Reporting Unit]]," &gt; ",LEN(emissions[[#This Row],[Reporting Unit]])-LEN(SUBSTITUTE(emissions[[#This Row],[Reporting Unit]],"&gt;","")))</f>
        <v>Vantage_Dateland</v>
      </c>
      <c r="AR878" t="str">
        <f>_xlfn.XLOOKUP(emissions[[#This Row],[Reporting unit name]],hierarchy!$A:$A,hierarchy!$C:$C)</f>
        <v>Labratory</v>
      </c>
    </row>
    <row r="879" spans="1:44" hidden="1" x14ac:dyDescent="0.25">
      <c r="A879">
        <v>250119</v>
      </c>
      <c r="B879" t="s">
        <v>387</v>
      </c>
      <c r="C879" t="s">
        <v>475</v>
      </c>
      <c r="D879" t="s">
        <v>548</v>
      </c>
      <c r="E879" s="3">
        <v>44562</v>
      </c>
      <c r="F879" s="3">
        <v>44926</v>
      </c>
      <c r="G879" t="s">
        <v>141</v>
      </c>
      <c r="H879" s="3">
        <v>44562</v>
      </c>
      <c r="I879" s="3">
        <v>44926</v>
      </c>
      <c r="J879" t="s">
        <v>168</v>
      </c>
      <c r="K879">
        <v>16368</v>
      </c>
      <c r="L879" t="s">
        <v>148</v>
      </c>
      <c r="M879" t="s">
        <v>110</v>
      </c>
      <c r="O879" t="s">
        <v>844</v>
      </c>
      <c r="P879" t="s">
        <v>550</v>
      </c>
      <c r="Q879">
        <v>2022</v>
      </c>
      <c r="R879" t="s">
        <v>680</v>
      </c>
      <c r="S879" t="s">
        <v>681</v>
      </c>
      <c r="T879" t="s">
        <v>553</v>
      </c>
      <c r="U879" t="b">
        <v>0</v>
      </c>
      <c r="V879" t="s">
        <v>845</v>
      </c>
      <c r="W879" t="s">
        <v>587</v>
      </c>
      <c r="X879" t="s">
        <v>556</v>
      </c>
      <c r="Y879" t="s">
        <v>472</v>
      </c>
      <c r="Z879" t="s">
        <v>485</v>
      </c>
      <c r="AA879" t="s">
        <v>764</v>
      </c>
      <c r="AC879">
        <v>1</v>
      </c>
      <c r="AD879" t="s">
        <v>564</v>
      </c>
      <c r="AE879">
        <v>143711.04000000001</v>
      </c>
      <c r="AF879">
        <v>8.7799999999999994</v>
      </c>
      <c r="AG879" t="s">
        <v>786</v>
      </c>
      <c r="AH879">
        <v>1</v>
      </c>
      <c r="AI879">
        <v>16368</v>
      </c>
      <c r="AJ879" t="s">
        <v>561</v>
      </c>
      <c r="AK879" t="s">
        <v>766</v>
      </c>
      <c r="AL879" t="s">
        <v>767</v>
      </c>
      <c r="AM879">
        <v>2022</v>
      </c>
      <c r="AN879">
        <v>2022</v>
      </c>
      <c r="AO879">
        <f>IF(AND(emissions[[#This Row],[Market-based]]=0,emissions[[#This Row],[Impact Type]]="CO2E"),emissions[[#This Row],[kgCO2e]],0)/1000</f>
        <v>0</v>
      </c>
      <c r="AP879">
        <f>IF(AND(emissions[[#This Row],[Market-based]]=1,OR(emissions[[#This Row],[Impact Type]]="CO2E",emissions[[#This Row],[Impact Type]]="CO2E MKT")),emissions[[#This Row],[kgCO2e]],0)/1000</f>
        <v>0</v>
      </c>
      <c r="AQ879" t="str">
        <f>_xlfn.TEXTAFTER(emissions[[#This Row],[Reporting Unit]]," &gt; ",LEN(emissions[[#This Row],[Reporting Unit]])-LEN(SUBSTITUTE(emissions[[#This Row],[Reporting Unit]],"&gt;","")))</f>
        <v>Vantage_Dateland</v>
      </c>
      <c r="AR879" t="str">
        <f>_xlfn.XLOOKUP(emissions[[#This Row],[Reporting unit name]],hierarchy!$A:$A,hierarchy!$C:$C)</f>
        <v>Labratory</v>
      </c>
    </row>
    <row r="880" spans="1:44" hidden="1" x14ac:dyDescent="0.25">
      <c r="A880">
        <v>250119</v>
      </c>
      <c r="B880" t="s">
        <v>387</v>
      </c>
      <c r="C880" t="s">
        <v>475</v>
      </c>
      <c r="D880" t="s">
        <v>548</v>
      </c>
      <c r="E880" s="3">
        <v>44562</v>
      </c>
      <c r="F880" s="3">
        <v>44926</v>
      </c>
      <c r="G880" t="s">
        <v>141</v>
      </c>
      <c r="H880" s="3">
        <v>44562</v>
      </c>
      <c r="I880" s="3">
        <v>44926</v>
      </c>
      <c r="J880" t="s">
        <v>168</v>
      </c>
      <c r="K880">
        <v>16368</v>
      </c>
      <c r="L880" t="s">
        <v>148</v>
      </c>
      <c r="M880" t="s">
        <v>110</v>
      </c>
      <c r="O880" t="s">
        <v>844</v>
      </c>
      <c r="P880" t="s">
        <v>550</v>
      </c>
      <c r="Q880">
        <v>2022</v>
      </c>
      <c r="R880" t="s">
        <v>680</v>
      </c>
      <c r="S880" t="s">
        <v>681</v>
      </c>
      <c r="T880" t="s">
        <v>553</v>
      </c>
      <c r="U880" t="b">
        <v>0</v>
      </c>
      <c r="V880" t="s">
        <v>845</v>
      </c>
      <c r="W880" t="s">
        <v>587</v>
      </c>
      <c r="X880" t="s">
        <v>556</v>
      </c>
      <c r="Y880" t="s">
        <v>472</v>
      </c>
      <c r="Z880" t="s">
        <v>485</v>
      </c>
      <c r="AA880" t="s">
        <v>764</v>
      </c>
      <c r="AC880">
        <v>1</v>
      </c>
      <c r="AD880" t="s">
        <v>565</v>
      </c>
      <c r="AE880">
        <v>144256.74909999999</v>
      </c>
      <c r="AF880">
        <v>8.8133400000000002</v>
      </c>
      <c r="AG880" t="s">
        <v>786</v>
      </c>
      <c r="AH880">
        <v>1</v>
      </c>
      <c r="AI880">
        <v>16368</v>
      </c>
      <c r="AJ880" t="s">
        <v>561</v>
      </c>
      <c r="AK880" t="s">
        <v>766</v>
      </c>
      <c r="AL880" t="s">
        <v>767</v>
      </c>
      <c r="AM880">
        <v>2022</v>
      </c>
      <c r="AN880">
        <v>2022</v>
      </c>
      <c r="AO880">
        <f>IF(AND(emissions[[#This Row],[Market-based]]=0,emissions[[#This Row],[Impact Type]]="CO2E"),emissions[[#This Row],[kgCO2e]],0)/1000</f>
        <v>0</v>
      </c>
      <c r="AP880">
        <f>IF(AND(emissions[[#This Row],[Market-based]]=1,OR(emissions[[#This Row],[Impact Type]]="CO2E",emissions[[#This Row],[Impact Type]]="CO2E MKT")),emissions[[#This Row],[kgCO2e]],0)/1000</f>
        <v>144.25674909999998</v>
      </c>
      <c r="AQ880" t="str">
        <f>_xlfn.TEXTAFTER(emissions[[#This Row],[Reporting Unit]]," &gt; ",LEN(emissions[[#This Row],[Reporting Unit]])-LEN(SUBSTITUTE(emissions[[#This Row],[Reporting Unit]],"&gt;","")))</f>
        <v>Vantage_Dateland</v>
      </c>
      <c r="AR880" t="str">
        <f>_xlfn.XLOOKUP(emissions[[#This Row],[Reporting unit name]],hierarchy!$A:$A,hierarchy!$C:$C)</f>
        <v>Labratory</v>
      </c>
    </row>
    <row r="881" spans="1:44" hidden="1" x14ac:dyDescent="0.25">
      <c r="A881">
        <v>250119</v>
      </c>
      <c r="B881" t="s">
        <v>387</v>
      </c>
      <c r="C881" t="s">
        <v>475</v>
      </c>
      <c r="D881" t="s">
        <v>548</v>
      </c>
      <c r="E881" s="3">
        <v>44562</v>
      </c>
      <c r="F881" s="3">
        <v>44926</v>
      </c>
      <c r="G881" t="s">
        <v>141</v>
      </c>
      <c r="H881" s="3">
        <v>44562</v>
      </c>
      <c r="I881" s="3">
        <v>44926</v>
      </c>
      <c r="J881" t="s">
        <v>168</v>
      </c>
      <c r="K881">
        <v>16368</v>
      </c>
      <c r="L881" t="s">
        <v>148</v>
      </c>
      <c r="M881" t="s">
        <v>110</v>
      </c>
      <c r="O881" t="s">
        <v>844</v>
      </c>
      <c r="P881" t="s">
        <v>550</v>
      </c>
      <c r="Q881">
        <v>2022</v>
      </c>
      <c r="R881" t="s">
        <v>680</v>
      </c>
      <c r="S881" t="s">
        <v>681</v>
      </c>
      <c r="T881" t="s">
        <v>553</v>
      </c>
      <c r="U881" t="b">
        <v>0</v>
      </c>
      <c r="V881" t="s">
        <v>845</v>
      </c>
      <c r="W881" t="s">
        <v>587</v>
      </c>
      <c r="X881" t="s">
        <v>556</v>
      </c>
      <c r="Y881" t="s">
        <v>472</v>
      </c>
      <c r="Z881" t="s">
        <v>485</v>
      </c>
      <c r="AA881" t="s">
        <v>764</v>
      </c>
      <c r="AC881">
        <v>1</v>
      </c>
      <c r="AD881" t="s">
        <v>566</v>
      </c>
      <c r="AE881">
        <v>390.21312</v>
      </c>
      <c r="AF881">
        <v>2.384E-2</v>
      </c>
      <c r="AG881" t="s">
        <v>786</v>
      </c>
      <c r="AH881">
        <v>1</v>
      </c>
      <c r="AI881">
        <v>16368</v>
      </c>
      <c r="AJ881" t="s">
        <v>561</v>
      </c>
      <c r="AK881" t="s">
        <v>766</v>
      </c>
      <c r="AL881" t="s">
        <v>787</v>
      </c>
      <c r="AM881">
        <v>2022</v>
      </c>
      <c r="AN881">
        <v>2021</v>
      </c>
      <c r="AO881">
        <f>IF(AND(emissions[[#This Row],[Market-based]]=0,emissions[[#This Row],[Impact Type]]="CO2E"),emissions[[#This Row],[kgCO2e]],0)/1000</f>
        <v>0</v>
      </c>
      <c r="AP881">
        <f>IF(AND(emissions[[#This Row],[Market-based]]=1,OR(emissions[[#This Row],[Impact Type]]="CO2E",emissions[[#This Row],[Impact Type]]="CO2E MKT")),emissions[[#This Row],[kgCO2e]],0)/1000</f>
        <v>0</v>
      </c>
      <c r="AQ881" t="str">
        <f>_xlfn.TEXTAFTER(emissions[[#This Row],[Reporting Unit]]," &gt; ",LEN(emissions[[#This Row],[Reporting Unit]])-LEN(SUBSTITUTE(emissions[[#This Row],[Reporting Unit]],"&gt;","")))</f>
        <v>Vantage_Dateland</v>
      </c>
      <c r="AR881" t="str">
        <f>_xlfn.XLOOKUP(emissions[[#This Row],[Reporting unit name]],hierarchy!$A:$A,hierarchy!$C:$C)</f>
        <v>Labratory</v>
      </c>
    </row>
    <row r="882" spans="1:44" hidden="1" x14ac:dyDescent="0.25">
      <c r="A882">
        <v>250119</v>
      </c>
      <c r="B882" t="s">
        <v>387</v>
      </c>
      <c r="C882" t="s">
        <v>475</v>
      </c>
      <c r="D882" t="s">
        <v>548</v>
      </c>
      <c r="E882" s="3">
        <v>44562</v>
      </c>
      <c r="F882" s="3">
        <v>44926</v>
      </c>
      <c r="G882" t="s">
        <v>141</v>
      </c>
      <c r="H882" s="3">
        <v>44562</v>
      </c>
      <c r="I882" s="3">
        <v>44926</v>
      </c>
      <c r="J882" t="s">
        <v>168</v>
      </c>
      <c r="K882">
        <v>16368</v>
      </c>
      <c r="L882" t="s">
        <v>148</v>
      </c>
      <c r="M882" t="s">
        <v>110</v>
      </c>
      <c r="O882" t="s">
        <v>844</v>
      </c>
      <c r="P882" t="s">
        <v>550</v>
      </c>
      <c r="Q882">
        <v>2022</v>
      </c>
      <c r="R882" t="s">
        <v>683</v>
      </c>
      <c r="S882" t="s">
        <v>684</v>
      </c>
      <c r="T882" t="s">
        <v>577</v>
      </c>
      <c r="U882" t="b">
        <v>0</v>
      </c>
      <c r="V882" t="s">
        <v>685</v>
      </c>
      <c r="W882" t="s">
        <v>571</v>
      </c>
      <c r="X882" t="s">
        <v>572</v>
      </c>
      <c r="AC882">
        <v>0</v>
      </c>
      <c r="AD882" t="s">
        <v>565</v>
      </c>
      <c r="AE882">
        <v>37998.57789</v>
      </c>
      <c r="AF882">
        <v>0.61328000000000005</v>
      </c>
      <c r="AG882" t="s">
        <v>588</v>
      </c>
      <c r="AH882">
        <v>3.7854100000000002</v>
      </c>
      <c r="AI882">
        <v>61959.590880000003</v>
      </c>
      <c r="AJ882" t="s">
        <v>561</v>
      </c>
      <c r="AK882" t="s">
        <v>589</v>
      </c>
      <c r="AL882" t="s">
        <v>590</v>
      </c>
      <c r="AM882">
        <v>2022</v>
      </c>
      <c r="AN882">
        <v>2020</v>
      </c>
      <c r="AO882">
        <f>IF(AND(emissions[[#This Row],[Market-based]]=0,emissions[[#This Row],[Impact Type]]="CO2E"),emissions[[#This Row],[kgCO2e]],0)/1000</f>
        <v>37.99857789</v>
      </c>
      <c r="AP882">
        <f>IF(AND(emissions[[#This Row],[Market-based]]=1,OR(emissions[[#This Row],[Impact Type]]="CO2E",emissions[[#This Row],[Impact Type]]="CO2E MKT")),emissions[[#This Row],[kgCO2e]],0)/1000</f>
        <v>0</v>
      </c>
      <c r="AQ882" t="str">
        <f>_xlfn.TEXTAFTER(emissions[[#This Row],[Reporting Unit]]," &gt; ",LEN(emissions[[#This Row],[Reporting Unit]])-LEN(SUBSTITUTE(emissions[[#This Row],[Reporting Unit]],"&gt;","")))</f>
        <v>Vantage_Dateland</v>
      </c>
      <c r="AR882" t="str">
        <f>_xlfn.XLOOKUP(emissions[[#This Row],[Reporting unit name]],hierarchy!$A:$A,hierarchy!$C:$C)</f>
        <v>Labratory</v>
      </c>
    </row>
    <row r="883" spans="1:44" hidden="1" x14ac:dyDescent="0.25">
      <c r="A883">
        <v>250119</v>
      </c>
      <c r="B883" t="s">
        <v>387</v>
      </c>
      <c r="C883" t="s">
        <v>475</v>
      </c>
      <c r="D883" t="s">
        <v>548</v>
      </c>
      <c r="E883" s="3">
        <v>44562</v>
      </c>
      <c r="F883" s="3">
        <v>44926</v>
      </c>
      <c r="G883" t="s">
        <v>141</v>
      </c>
      <c r="H883" s="3">
        <v>44562</v>
      </c>
      <c r="I883" s="3">
        <v>44926</v>
      </c>
      <c r="J883" t="s">
        <v>168</v>
      </c>
      <c r="K883">
        <v>16368</v>
      </c>
      <c r="L883" t="s">
        <v>148</v>
      </c>
      <c r="M883" t="s">
        <v>110</v>
      </c>
      <c r="O883" t="s">
        <v>844</v>
      </c>
      <c r="P883" t="s">
        <v>550</v>
      </c>
      <c r="Q883">
        <v>2022</v>
      </c>
      <c r="R883" t="s">
        <v>683</v>
      </c>
      <c r="S883" t="s">
        <v>684</v>
      </c>
      <c r="T883" t="s">
        <v>577</v>
      </c>
      <c r="U883" t="b">
        <v>0</v>
      </c>
      <c r="V883" t="s">
        <v>685</v>
      </c>
      <c r="W883" t="s">
        <v>571</v>
      </c>
      <c r="X883" t="s">
        <v>572</v>
      </c>
      <c r="AC883">
        <v>1</v>
      </c>
      <c r="AD883" t="s">
        <v>565</v>
      </c>
      <c r="AE883">
        <v>37998.57789</v>
      </c>
      <c r="AF883">
        <v>0.61328000000000005</v>
      </c>
      <c r="AG883" t="s">
        <v>588</v>
      </c>
      <c r="AH883">
        <v>3.7854100000000002</v>
      </c>
      <c r="AI883">
        <v>61959.590880000003</v>
      </c>
      <c r="AJ883" t="s">
        <v>561</v>
      </c>
      <c r="AK883" t="s">
        <v>589</v>
      </c>
      <c r="AL883" t="s">
        <v>590</v>
      </c>
      <c r="AM883">
        <v>2022</v>
      </c>
      <c r="AN883">
        <v>2020</v>
      </c>
      <c r="AO883">
        <f>IF(AND(emissions[[#This Row],[Market-based]]=0,emissions[[#This Row],[Impact Type]]="CO2E"),emissions[[#This Row],[kgCO2e]],0)/1000</f>
        <v>0</v>
      </c>
      <c r="AP883">
        <f>IF(AND(emissions[[#This Row],[Market-based]]=1,OR(emissions[[#This Row],[Impact Type]]="CO2E",emissions[[#This Row],[Impact Type]]="CO2E MKT")),emissions[[#This Row],[kgCO2e]],0)/1000</f>
        <v>37.99857789</v>
      </c>
      <c r="AQ883" t="str">
        <f>_xlfn.TEXTAFTER(emissions[[#This Row],[Reporting Unit]]," &gt; ",LEN(emissions[[#This Row],[Reporting Unit]])-LEN(SUBSTITUTE(emissions[[#This Row],[Reporting Unit]],"&gt;","")))</f>
        <v>Vantage_Dateland</v>
      </c>
      <c r="AR883" t="str">
        <f>_xlfn.XLOOKUP(emissions[[#This Row],[Reporting unit name]],hierarchy!$A:$A,hierarchy!$C:$C)</f>
        <v>Labratory</v>
      </c>
    </row>
    <row r="884" spans="1:44" hidden="1" x14ac:dyDescent="0.25">
      <c r="A884">
        <v>250121</v>
      </c>
      <c r="B884" t="s">
        <v>387</v>
      </c>
      <c r="C884" t="s">
        <v>475</v>
      </c>
      <c r="D884" t="s">
        <v>548</v>
      </c>
      <c r="E884" s="3">
        <v>44562</v>
      </c>
      <c r="F884" s="3">
        <v>44926</v>
      </c>
      <c r="G884" t="s">
        <v>141</v>
      </c>
      <c r="H884" s="3">
        <v>44562</v>
      </c>
      <c r="I884" s="3">
        <v>44926</v>
      </c>
      <c r="J884" t="s">
        <v>147</v>
      </c>
      <c r="K884">
        <v>12837</v>
      </c>
      <c r="L884" t="s">
        <v>148</v>
      </c>
      <c r="M884" t="s">
        <v>110</v>
      </c>
      <c r="O884" t="s">
        <v>844</v>
      </c>
      <c r="P884" t="s">
        <v>550</v>
      </c>
      <c r="Q884">
        <v>2022</v>
      </c>
      <c r="R884" t="s">
        <v>584</v>
      </c>
      <c r="S884" t="s">
        <v>585</v>
      </c>
      <c r="T884" t="s">
        <v>553</v>
      </c>
      <c r="U884" t="b">
        <v>0</v>
      </c>
      <c r="V884" t="s">
        <v>785</v>
      </c>
      <c r="W884" t="s">
        <v>587</v>
      </c>
      <c r="X884" t="s">
        <v>556</v>
      </c>
      <c r="Y884" t="s">
        <v>472</v>
      </c>
      <c r="Z884" t="s">
        <v>485</v>
      </c>
      <c r="AA884" t="s">
        <v>764</v>
      </c>
      <c r="AC884">
        <v>0</v>
      </c>
      <c r="AD884" t="s">
        <v>558</v>
      </c>
      <c r="AE884">
        <v>131.57925</v>
      </c>
      <c r="AF884">
        <v>1.025E-2</v>
      </c>
      <c r="AG884" t="s">
        <v>786</v>
      </c>
      <c r="AH884">
        <v>1</v>
      </c>
      <c r="AI884">
        <v>12837</v>
      </c>
      <c r="AJ884" t="s">
        <v>561</v>
      </c>
      <c r="AK884" t="s">
        <v>766</v>
      </c>
      <c r="AL884" t="s">
        <v>767</v>
      </c>
      <c r="AM884">
        <v>2022</v>
      </c>
      <c r="AN884">
        <v>2022</v>
      </c>
      <c r="AO884">
        <f>IF(AND(emissions[[#This Row],[Market-based]]=0,emissions[[#This Row],[Impact Type]]="CO2E"),emissions[[#This Row],[kgCO2e]],0)/1000</f>
        <v>0</v>
      </c>
      <c r="AP884">
        <f>IF(AND(emissions[[#This Row],[Market-based]]=1,OR(emissions[[#This Row],[Impact Type]]="CO2E",emissions[[#This Row],[Impact Type]]="CO2E MKT")),emissions[[#This Row],[kgCO2e]],0)/1000</f>
        <v>0</v>
      </c>
      <c r="AQ884" t="str">
        <f>_xlfn.TEXTAFTER(emissions[[#This Row],[Reporting Unit]]," &gt; ",LEN(emissions[[#This Row],[Reporting Unit]])-LEN(SUBSTITUTE(emissions[[#This Row],[Reporting Unit]],"&gt;","")))</f>
        <v>Vantage_Dateland</v>
      </c>
      <c r="AR884" t="str">
        <f>_xlfn.XLOOKUP(emissions[[#This Row],[Reporting unit name]],hierarchy!$A:$A,hierarchy!$C:$C)</f>
        <v>Labratory</v>
      </c>
    </row>
    <row r="885" spans="1:44" hidden="1" x14ac:dyDescent="0.25">
      <c r="A885">
        <v>250121</v>
      </c>
      <c r="B885" t="s">
        <v>387</v>
      </c>
      <c r="C885" t="s">
        <v>475</v>
      </c>
      <c r="D885" t="s">
        <v>548</v>
      </c>
      <c r="E885" s="3">
        <v>44562</v>
      </c>
      <c r="F885" s="3">
        <v>44926</v>
      </c>
      <c r="G885" t="s">
        <v>141</v>
      </c>
      <c r="H885" s="3">
        <v>44562</v>
      </c>
      <c r="I885" s="3">
        <v>44926</v>
      </c>
      <c r="J885" t="s">
        <v>147</v>
      </c>
      <c r="K885">
        <v>12837</v>
      </c>
      <c r="L885" t="s">
        <v>148</v>
      </c>
      <c r="M885" t="s">
        <v>110</v>
      </c>
      <c r="O885" t="s">
        <v>844</v>
      </c>
      <c r="P885" t="s">
        <v>550</v>
      </c>
      <c r="Q885">
        <v>2022</v>
      </c>
      <c r="R885" t="s">
        <v>584</v>
      </c>
      <c r="S885" t="s">
        <v>585</v>
      </c>
      <c r="T885" t="s">
        <v>553</v>
      </c>
      <c r="U885" t="b">
        <v>0</v>
      </c>
      <c r="V885" t="s">
        <v>785</v>
      </c>
      <c r="W885" t="s">
        <v>587</v>
      </c>
      <c r="X885" t="s">
        <v>556</v>
      </c>
      <c r="Y885" t="s">
        <v>472</v>
      </c>
      <c r="Z885" t="s">
        <v>485</v>
      </c>
      <c r="AA885" t="s">
        <v>764</v>
      </c>
      <c r="AC885">
        <v>0</v>
      </c>
      <c r="AD885" t="s">
        <v>564</v>
      </c>
      <c r="AE885">
        <v>131065.77</v>
      </c>
      <c r="AF885">
        <v>10.210000000000001</v>
      </c>
      <c r="AG885" t="s">
        <v>786</v>
      </c>
      <c r="AH885">
        <v>1</v>
      </c>
      <c r="AI885">
        <v>12837</v>
      </c>
      <c r="AJ885" t="s">
        <v>561</v>
      </c>
      <c r="AK885" t="s">
        <v>766</v>
      </c>
      <c r="AL885" t="s">
        <v>767</v>
      </c>
      <c r="AM885">
        <v>2022</v>
      </c>
      <c r="AN885">
        <v>2022</v>
      </c>
      <c r="AO885">
        <f>IF(AND(emissions[[#This Row],[Market-based]]=0,emissions[[#This Row],[Impact Type]]="CO2E"),emissions[[#This Row],[kgCO2e]],0)/1000</f>
        <v>0</v>
      </c>
      <c r="AP885">
        <f>IF(AND(emissions[[#This Row],[Market-based]]=1,OR(emissions[[#This Row],[Impact Type]]="CO2E",emissions[[#This Row],[Impact Type]]="CO2E MKT")),emissions[[#This Row],[kgCO2e]],0)/1000</f>
        <v>0</v>
      </c>
      <c r="AQ885" t="str">
        <f>_xlfn.TEXTAFTER(emissions[[#This Row],[Reporting Unit]]," &gt; ",LEN(emissions[[#This Row],[Reporting Unit]])-LEN(SUBSTITUTE(emissions[[#This Row],[Reporting Unit]],"&gt;","")))</f>
        <v>Vantage_Dateland</v>
      </c>
      <c r="AR885" t="str">
        <f>_xlfn.XLOOKUP(emissions[[#This Row],[Reporting unit name]],hierarchy!$A:$A,hierarchy!$C:$C)</f>
        <v>Labratory</v>
      </c>
    </row>
    <row r="886" spans="1:44" hidden="1" x14ac:dyDescent="0.25">
      <c r="A886">
        <v>250121</v>
      </c>
      <c r="B886" t="s">
        <v>387</v>
      </c>
      <c r="C886" t="s">
        <v>475</v>
      </c>
      <c r="D886" t="s">
        <v>548</v>
      </c>
      <c r="E886" s="3">
        <v>44562</v>
      </c>
      <c r="F886" s="3">
        <v>44926</v>
      </c>
      <c r="G886" t="s">
        <v>141</v>
      </c>
      <c r="H886" s="3">
        <v>44562</v>
      </c>
      <c r="I886" s="3">
        <v>44926</v>
      </c>
      <c r="J886" t="s">
        <v>147</v>
      </c>
      <c r="K886">
        <v>12837</v>
      </c>
      <c r="L886" t="s">
        <v>148</v>
      </c>
      <c r="M886" t="s">
        <v>110</v>
      </c>
      <c r="O886" t="s">
        <v>844</v>
      </c>
      <c r="P886" t="s">
        <v>550</v>
      </c>
      <c r="Q886">
        <v>2022</v>
      </c>
      <c r="R886" t="s">
        <v>584</v>
      </c>
      <c r="S886" t="s">
        <v>585</v>
      </c>
      <c r="T886" t="s">
        <v>553</v>
      </c>
      <c r="U886" t="b">
        <v>0</v>
      </c>
      <c r="V886" t="s">
        <v>785</v>
      </c>
      <c r="W886" t="s">
        <v>587</v>
      </c>
      <c r="X886" t="s">
        <v>556</v>
      </c>
      <c r="Y886" t="s">
        <v>472</v>
      </c>
      <c r="Z886" t="s">
        <v>485</v>
      </c>
      <c r="AA886" t="s">
        <v>764</v>
      </c>
      <c r="AC886">
        <v>0</v>
      </c>
      <c r="AD886" t="s">
        <v>565</v>
      </c>
      <c r="AE886">
        <v>131503.38329999999</v>
      </c>
      <c r="AF886">
        <v>10.24409</v>
      </c>
      <c r="AG886" t="s">
        <v>786</v>
      </c>
      <c r="AH886">
        <v>1</v>
      </c>
      <c r="AI886">
        <v>12837</v>
      </c>
      <c r="AJ886" t="s">
        <v>561</v>
      </c>
      <c r="AK886" t="s">
        <v>766</v>
      </c>
      <c r="AL886" t="s">
        <v>787</v>
      </c>
      <c r="AM886">
        <v>2022</v>
      </c>
      <c r="AN886">
        <v>2021</v>
      </c>
      <c r="AO886">
        <f>IF(AND(emissions[[#This Row],[Market-based]]=0,emissions[[#This Row],[Impact Type]]="CO2E"),emissions[[#This Row],[kgCO2e]],0)/1000</f>
        <v>131.5033833</v>
      </c>
      <c r="AP886">
        <f>IF(AND(emissions[[#This Row],[Market-based]]=1,OR(emissions[[#This Row],[Impact Type]]="CO2E",emissions[[#This Row],[Impact Type]]="CO2E MKT")),emissions[[#This Row],[kgCO2e]],0)/1000</f>
        <v>0</v>
      </c>
      <c r="AQ886" t="str">
        <f>_xlfn.TEXTAFTER(emissions[[#This Row],[Reporting Unit]]," &gt; ",LEN(emissions[[#This Row],[Reporting Unit]])-LEN(SUBSTITUTE(emissions[[#This Row],[Reporting Unit]],"&gt;","")))</f>
        <v>Vantage_Dateland</v>
      </c>
      <c r="AR886" t="str">
        <f>_xlfn.XLOOKUP(emissions[[#This Row],[Reporting unit name]],hierarchy!$A:$A,hierarchy!$C:$C)</f>
        <v>Labratory</v>
      </c>
    </row>
    <row r="887" spans="1:44" hidden="1" x14ac:dyDescent="0.25">
      <c r="A887">
        <v>250121</v>
      </c>
      <c r="B887" t="s">
        <v>387</v>
      </c>
      <c r="C887" t="s">
        <v>475</v>
      </c>
      <c r="D887" t="s">
        <v>548</v>
      </c>
      <c r="E887" s="3">
        <v>44562</v>
      </c>
      <c r="F887" s="3">
        <v>44926</v>
      </c>
      <c r="G887" t="s">
        <v>141</v>
      </c>
      <c r="H887" s="3">
        <v>44562</v>
      </c>
      <c r="I887" s="3">
        <v>44926</v>
      </c>
      <c r="J887" t="s">
        <v>147</v>
      </c>
      <c r="K887">
        <v>12837</v>
      </c>
      <c r="L887" t="s">
        <v>148</v>
      </c>
      <c r="M887" t="s">
        <v>110</v>
      </c>
      <c r="O887" t="s">
        <v>844</v>
      </c>
      <c r="P887" t="s">
        <v>550</v>
      </c>
      <c r="Q887">
        <v>2022</v>
      </c>
      <c r="R887" t="s">
        <v>584</v>
      </c>
      <c r="S887" t="s">
        <v>585</v>
      </c>
      <c r="T887" t="s">
        <v>553</v>
      </c>
      <c r="U887" t="b">
        <v>0</v>
      </c>
      <c r="V887" t="s">
        <v>785</v>
      </c>
      <c r="W887" t="s">
        <v>587</v>
      </c>
      <c r="X887" t="s">
        <v>556</v>
      </c>
      <c r="Y887" t="s">
        <v>472</v>
      </c>
      <c r="Z887" t="s">
        <v>485</v>
      </c>
      <c r="AA887" t="s">
        <v>764</v>
      </c>
      <c r="AC887">
        <v>0</v>
      </c>
      <c r="AD887" t="s">
        <v>566</v>
      </c>
      <c r="AE887">
        <v>306.03408000000002</v>
      </c>
      <c r="AF887">
        <v>2.384E-2</v>
      </c>
      <c r="AG887" t="s">
        <v>786</v>
      </c>
      <c r="AH887">
        <v>1</v>
      </c>
      <c r="AI887">
        <v>12837</v>
      </c>
      <c r="AJ887" t="s">
        <v>561</v>
      </c>
      <c r="AK887" t="s">
        <v>766</v>
      </c>
      <c r="AL887" t="s">
        <v>767</v>
      </c>
      <c r="AM887">
        <v>2022</v>
      </c>
      <c r="AN887">
        <v>2022</v>
      </c>
      <c r="AO887">
        <f>IF(AND(emissions[[#This Row],[Market-based]]=0,emissions[[#This Row],[Impact Type]]="CO2E"),emissions[[#This Row],[kgCO2e]],0)/1000</f>
        <v>0</v>
      </c>
      <c r="AP887">
        <f>IF(AND(emissions[[#This Row],[Market-based]]=1,OR(emissions[[#This Row],[Impact Type]]="CO2E",emissions[[#This Row],[Impact Type]]="CO2E MKT")),emissions[[#This Row],[kgCO2e]],0)/1000</f>
        <v>0</v>
      </c>
      <c r="AQ887" t="str">
        <f>_xlfn.TEXTAFTER(emissions[[#This Row],[Reporting Unit]]," &gt; ",LEN(emissions[[#This Row],[Reporting Unit]])-LEN(SUBSTITUTE(emissions[[#This Row],[Reporting Unit]],"&gt;","")))</f>
        <v>Vantage_Dateland</v>
      </c>
      <c r="AR887" t="str">
        <f>_xlfn.XLOOKUP(emissions[[#This Row],[Reporting unit name]],hierarchy!$A:$A,hierarchy!$C:$C)</f>
        <v>Labratory</v>
      </c>
    </row>
    <row r="888" spans="1:44" hidden="1" x14ac:dyDescent="0.25">
      <c r="A888">
        <v>250121</v>
      </c>
      <c r="B888" t="s">
        <v>387</v>
      </c>
      <c r="C888" t="s">
        <v>475</v>
      </c>
      <c r="D888" t="s">
        <v>548</v>
      </c>
      <c r="E888" s="3">
        <v>44562</v>
      </c>
      <c r="F888" s="3">
        <v>44926</v>
      </c>
      <c r="G888" t="s">
        <v>141</v>
      </c>
      <c r="H888" s="3">
        <v>44562</v>
      </c>
      <c r="I888" s="3">
        <v>44926</v>
      </c>
      <c r="J888" t="s">
        <v>147</v>
      </c>
      <c r="K888">
        <v>12837</v>
      </c>
      <c r="L888" t="s">
        <v>148</v>
      </c>
      <c r="M888" t="s">
        <v>110</v>
      </c>
      <c r="O888" t="s">
        <v>844</v>
      </c>
      <c r="P888" t="s">
        <v>550</v>
      </c>
      <c r="Q888">
        <v>2022</v>
      </c>
      <c r="R888" t="s">
        <v>584</v>
      </c>
      <c r="S888" t="s">
        <v>585</v>
      </c>
      <c r="T888" t="s">
        <v>553</v>
      </c>
      <c r="U888" t="b">
        <v>0</v>
      </c>
      <c r="V888" t="s">
        <v>785</v>
      </c>
      <c r="W888" t="s">
        <v>587</v>
      </c>
      <c r="X888" t="s">
        <v>556</v>
      </c>
      <c r="Y888" t="s">
        <v>472</v>
      </c>
      <c r="Z888" t="s">
        <v>485</v>
      </c>
      <c r="AA888" t="s">
        <v>764</v>
      </c>
      <c r="AC888">
        <v>1</v>
      </c>
      <c r="AD888" t="s">
        <v>558</v>
      </c>
      <c r="AE888">
        <v>131.57925</v>
      </c>
      <c r="AF888">
        <v>1.025E-2</v>
      </c>
      <c r="AG888" t="s">
        <v>786</v>
      </c>
      <c r="AH888">
        <v>1</v>
      </c>
      <c r="AI888">
        <v>12837</v>
      </c>
      <c r="AJ888" t="s">
        <v>561</v>
      </c>
      <c r="AK888" t="s">
        <v>766</v>
      </c>
      <c r="AL888" t="s">
        <v>767</v>
      </c>
      <c r="AM888">
        <v>2022</v>
      </c>
      <c r="AN888">
        <v>2022</v>
      </c>
      <c r="AO888">
        <f>IF(AND(emissions[[#This Row],[Market-based]]=0,emissions[[#This Row],[Impact Type]]="CO2E"),emissions[[#This Row],[kgCO2e]],0)/1000</f>
        <v>0</v>
      </c>
      <c r="AP888">
        <f>IF(AND(emissions[[#This Row],[Market-based]]=1,OR(emissions[[#This Row],[Impact Type]]="CO2E",emissions[[#This Row],[Impact Type]]="CO2E MKT")),emissions[[#This Row],[kgCO2e]],0)/1000</f>
        <v>0</v>
      </c>
      <c r="AQ888" t="str">
        <f>_xlfn.TEXTAFTER(emissions[[#This Row],[Reporting Unit]]," &gt; ",LEN(emissions[[#This Row],[Reporting Unit]])-LEN(SUBSTITUTE(emissions[[#This Row],[Reporting Unit]],"&gt;","")))</f>
        <v>Vantage_Dateland</v>
      </c>
      <c r="AR888" t="str">
        <f>_xlfn.XLOOKUP(emissions[[#This Row],[Reporting unit name]],hierarchy!$A:$A,hierarchy!$C:$C)</f>
        <v>Labratory</v>
      </c>
    </row>
    <row r="889" spans="1:44" hidden="1" x14ac:dyDescent="0.25">
      <c r="A889">
        <v>250121</v>
      </c>
      <c r="B889" t="s">
        <v>387</v>
      </c>
      <c r="C889" t="s">
        <v>475</v>
      </c>
      <c r="D889" t="s">
        <v>548</v>
      </c>
      <c r="E889" s="3">
        <v>44562</v>
      </c>
      <c r="F889" s="3">
        <v>44926</v>
      </c>
      <c r="G889" t="s">
        <v>141</v>
      </c>
      <c r="H889" s="3">
        <v>44562</v>
      </c>
      <c r="I889" s="3">
        <v>44926</v>
      </c>
      <c r="J889" t="s">
        <v>147</v>
      </c>
      <c r="K889">
        <v>12837</v>
      </c>
      <c r="L889" t="s">
        <v>148</v>
      </c>
      <c r="M889" t="s">
        <v>110</v>
      </c>
      <c r="O889" t="s">
        <v>844</v>
      </c>
      <c r="P889" t="s">
        <v>550</v>
      </c>
      <c r="Q889">
        <v>2022</v>
      </c>
      <c r="R889" t="s">
        <v>584</v>
      </c>
      <c r="S889" t="s">
        <v>585</v>
      </c>
      <c r="T889" t="s">
        <v>553</v>
      </c>
      <c r="U889" t="b">
        <v>0</v>
      </c>
      <c r="V889" t="s">
        <v>785</v>
      </c>
      <c r="W889" t="s">
        <v>587</v>
      </c>
      <c r="X889" t="s">
        <v>556</v>
      </c>
      <c r="Y889" t="s">
        <v>472</v>
      </c>
      <c r="Z889" t="s">
        <v>485</v>
      </c>
      <c r="AA889" t="s">
        <v>764</v>
      </c>
      <c r="AC889">
        <v>1</v>
      </c>
      <c r="AD889" t="s">
        <v>564</v>
      </c>
      <c r="AE889">
        <v>131065.77</v>
      </c>
      <c r="AF889">
        <v>10.210000000000001</v>
      </c>
      <c r="AG889" t="s">
        <v>786</v>
      </c>
      <c r="AH889">
        <v>1</v>
      </c>
      <c r="AI889">
        <v>12837</v>
      </c>
      <c r="AJ889" t="s">
        <v>561</v>
      </c>
      <c r="AK889" t="s">
        <v>766</v>
      </c>
      <c r="AL889" t="s">
        <v>767</v>
      </c>
      <c r="AM889">
        <v>2022</v>
      </c>
      <c r="AN889">
        <v>2022</v>
      </c>
      <c r="AO889">
        <f>IF(AND(emissions[[#This Row],[Market-based]]=0,emissions[[#This Row],[Impact Type]]="CO2E"),emissions[[#This Row],[kgCO2e]],0)/1000</f>
        <v>0</v>
      </c>
      <c r="AP889">
        <f>IF(AND(emissions[[#This Row],[Market-based]]=1,OR(emissions[[#This Row],[Impact Type]]="CO2E",emissions[[#This Row],[Impact Type]]="CO2E MKT")),emissions[[#This Row],[kgCO2e]],0)/1000</f>
        <v>0</v>
      </c>
      <c r="AQ889" t="str">
        <f>_xlfn.TEXTAFTER(emissions[[#This Row],[Reporting Unit]]," &gt; ",LEN(emissions[[#This Row],[Reporting Unit]])-LEN(SUBSTITUTE(emissions[[#This Row],[Reporting Unit]],"&gt;","")))</f>
        <v>Vantage_Dateland</v>
      </c>
      <c r="AR889" t="str">
        <f>_xlfn.XLOOKUP(emissions[[#This Row],[Reporting unit name]],hierarchy!$A:$A,hierarchy!$C:$C)</f>
        <v>Labratory</v>
      </c>
    </row>
    <row r="890" spans="1:44" hidden="1" x14ac:dyDescent="0.25">
      <c r="A890">
        <v>250121</v>
      </c>
      <c r="B890" t="s">
        <v>387</v>
      </c>
      <c r="C890" t="s">
        <v>475</v>
      </c>
      <c r="D890" t="s">
        <v>548</v>
      </c>
      <c r="E890" s="3">
        <v>44562</v>
      </c>
      <c r="F890" s="3">
        <v>44926</v>
      </c>
      <c r="G890" t="s">
        <v>141</v>
      </c>
      <c r="H890" s="3">
        <v>44562</v>
      </c>
      <c r="I890" s="3">
        <v>44926</v>
      </c>
      <c r="J890" t="s">
        <v>147</v>
      </c>
      <c r="K890">
        <v>12837</v>
      </c>
      <c r="L890" t="s">
        <v>148</v>
      </c>
      <c r="M890" t="s">
        <v>110</v>
      </c>
      <c r="O890" t="s">
        <v>844</v>
      </c>
      <c r="P890" t="s">
        <v>550</v>
      </c>
      <c r="Q890">
        <v>2022</v>
      </c>
      <c r="R890" t="s">
        <v>584</v>
      </c>
      <c r="S890" t="s">
        <v>585</v>
      </c>
      <c r="T890" t="s">
        <v>553</v>
      </c>
      <c r="U890" t="b">
        <v>0</v>
      </c>
      <c r="V890" t="s">
        <v>785</v>
      </c>
      <c r="W890" t="s">
        <v>587</v>
      </c>
      <c r="X890" t="s">
        <v>556</v>
      </c>
      <c r="Y890" t="s">
        <v>472</v>
      </c>
      <c r="Z890" t="s">
        <v>485</v>
      </c>
      <c r="AA890" t="s">
        <v>764</v>
      </c>
      <c r="AC890">
        <v>1</v>
      </c>
      <c r="AD890" t="s">
        <v>565</v>
      </c>
      <c r="AE890">
        <v>131503.38329999999</v>
      </c>
      <c r="AF890">
        <v>10.24409</v>
      </c>
      <c r="AG890" t="s">
        <v>786</v>
      </c>
      <c r="AH890">
        <v>1</v>
      </c>
      <c r="AI890">
        <v>12837</v>
      </c>
      <c r="AJ890" t="s">
        <v>561</v>
      </c>
      <c r="AK890" t="s">
        <v>766</v>
      </c>
      <c r="AL890" t="s">
        <v>787</v>
      </c>
      <c r="AM890">
        <v>2022</v>
      </c>
      <c r="AN890">
        <v>2021</v>
      </c>
      <c r="AO890">
        <f>IF(AND(emissions[[#This Row],[Market-based]]=0,emissions[[#This Row],[Impact Type]]="CO2E"),emissions[[#This Row],[kgCO2e]],0)/1000</f>
        <v>0</v>
      </c>
      <c r="AP890">
        <f>IF(AND(emissions[[#This Row],[Market-based]]=1,OR(emissions[[#This Row],[Impact Type]]="CO2E",emissions[[#This Row],[Impact Type]]="CO2E MKT")),emissions[[#This Row],[kgCO2e]],0)/1000</f>
        <v>131.5033833</v>
      </c>
      <c r="AQ890" t="str">
        <f>_xlfn.TEXTAFTER(emissions[[#This Row],[Reporting Unit]]," &gt; ",LEN(emissions[[#This Row],[Reporting Unit]])-LEN(SUBSTITUTE(emissions[[#This Row],[Reporting Unit]],"&gt;","")))</f>
        <v>Vantage_Dateland</v>
      </c>
      <c r="AR890" t="str">
        <f>_xlfn.XLOOKUP(emissions[[#This Row],[Reporting unit name]],hierarchy!$A:$A,hierarchy!$C:$C)</f>
        <v>Labratory</v>
      </c>
    </row>
    <row r="891" spans="1:44" hidden="1" x14ac:dyDescent="0.25">
      <c r="A891">
        <v>250121</v>
      </c>
      <c r="B891" t="s">
        <v>387</v>
      </c>
      <c r="C891" t="s">
        <v>475</v>
      </c>
      <c r="D891" t="s">
        <v>548</v>
      </c>
      <c r="E891" s="3">
        <v>44562</v>
      </c>
      <c r="F891" s="3">
        <v>44926</v>
      </c>
      <c r="G891" t="s">
        <v>141</v>
      </c>
      <c r="H891" s="3">
        <v>44562</v>
      </c>
      <c r="I891" s="3">
        <v>44926</v>
      </c>
      <c r="J891" t="s">
        <v>147</v>
      </c>
      <c r="K891">
        <v>12837</v>
      </c>
      <c r="L891" t="s">
        <v>148</v>
      </c>
      <c r="M891" t="s">
        <v>110</v>
      </c>
      <c r="O891" t="s">
        <v>844</v>
      </c>
      <c r="P891" t="s">
        <v>550</v>
      </c>
      <c r="Q891">
        <v>2022</v>
      </c>
      <c r="R891" t="s">
        <v>584</v>
      </c>
      <c r="S891" t="s">
        <v>585</v>
      </c>
      <c r="T891" t="s">
        <v>553</v>
      </c>
      <c r="U891" t="b">
        <v>0</v>
      </c>
      <c r="V891" t="s">
        <v>785</v>
      </c>
      <c r="W891" t="s">
        <v>587</v>
      </c>
      <c r="X891" t="s">
        <v>556</v>
      </c>
      <c r="Y891" t="s">
        <v>472</v>
      </c>
      <c r="Z891" t="s">
        <v>485</v>
      </c>
      <c r="AA891" t="s">
        <v>764</v>
      </c>
      <c r="AC891">
        <v>1</v>
      </c>
      <c r="AD891" t="s">
        <v>566</v>
      </c>
      <c r="AE891">
        <v>306.03408000000002</v>
      </c>
      <c r="AF891">
        <v>2.384E-2</v>
      </c>
      <c r="AG891" t="s">
        <v>786</v>
      </c>
      <c r="AH891">
        <v>1</v>
      </c>
      <c r="AI891">
        <v>12837</v>
      </c>
      <c r="AJ891" t="s">
        <v>561</v>
      </c>
      <c r="AK891" t="s">
        <v>766</v>
      </c>
      <c r="AL891" t="s">
        <v>767</v>
      </c>
      <c r="AM891">
        <v>2022</v>
      </c>
      <c r="AN891">
        <v>2022</v>
      </c>
      <c r="AO891">
        <f>IF(AND(emissions[[#This Row],[Market-based]]=0,emissions[[#This Row],[Impact Type]]="CO2E"),emissions[[#This Row],[kgCO2e]],0)/1000</f>
        <v>0</v>
      </c>
      <c r="AP891">
        <f>IF(AND(emissions[[#This Row],[Market-based]]=1,OR(emissions[[#This Row],[Impact Type]]="CO2E",emissions[[#This Row],[Impact Type]]="CO2E MKT")),emissions[[#This Row],[kgCO2e]],0)/1000</f>
        <v>0</v>
      </c>
      <c r="AQ891" t="str">
        <f>_xlfn.TEXTAFTER(emissions[[#This Row],[Reporting Unit]]," &gt; ",LEN(emissions[[#This Row],[Reporting Unit]])-LEN(SUBSTITUTE(emissions[[#This Row],[Reporting Unit]],"&gt;","")))</f>
        <v>Vantage_Dateland</v>
      </c>
      <c r="AR891" t="str">
        <f>_xlfn.XLOOKUP(emissions[[#This Row],[Reporting unit name]],hierarchy!$A:$A,hierarchy!$C:$C)</f>
        <v>Labratory</v>
      </c>
    </row>
    <row r="892" spans="1:44" hidden="1" x14ac:dyDescent="0.25">
      <c r="A892">
        <v>250121</v>
      </c>
      <c r="B892" t="s">
        <v>387</v>
      </c>
      <c r="C892" t="s">
        <v>475</v>
      </c>
      <c r="D892" t="s">
        <v>548</v>
      </c>
      <c r="E892" s="3">
        <v>44562</v>
      </c>
      <c r="F892" s="3">
        <v>44926</v>
      </c>
      <c r="G892" t="s">
        <v>141</v>
      </c>
      <c r="H892" s="3">
        <v>44562</v>
      </c>
      <c r="I892" s="3">
        <v>44926</v>
      </c>
      <c r="J892" t="s">
        <v>147</v>
      </c>
      <c r="K892">
        <v>12837</v>
      </c>
      <c r="L892" t="s">
        <v>148</v>
      </c>
      <c r="M892" t="s">
        <v>110</v>
      </c>
      <c r="O892" t="s">
        <v>844</v>
      </c>
      <c r="P892" t="s">
        <v>550</v>
      </c>
      <c r="Q892">
        <v>2022</v>
      </c>
      <c r="R892" t="s">
        <v>591</v>
      </c>
      <c r="S892" t="s">
        <v>592</v>
      </c>
      <c r="T892" t="s">
        <v>577</v>
      </c>
      <c r="U892" t="b">
        <v>0</v>
      </c>
      <c r="V892" t="s">
        <v>593</v>
      </c>
      <c r="W892" t="s">
        <v>571</v>
      </c>
      <c r="X892" t="s">
        <v>572</v>
      </c>
      <c r="AC892">
        <v>0</v>
      </c>
      <c r="AD892" t="s">
        <v>565</v>
      </c>
      <c r="AE892">
        <v>29635.11492</v>
      </c>
      <c r="AF892">
        <v>0.60985999999999996</v>
      </c>
      <c r="AG892" t="s">
        <v>588</v>
      </c>
      <c r="AH892">
        <v>3.7854100000000002</v>
      </c>
      <c r="AI892">
        <v>48593.308169999997</v>
      </c>
      <c r="AJ892" t="s">
        <v>561</v>
      </c>
      <c r="AK892" t="s">
        <v>589</v>
      </c>
      <c r="AL892" t="s">
        <v>590</v>
      </c>
      <c r="AM892">
        <v>2022</v>
      </c>
      <c r="AN892">
        <v>2020</v>
      </c>
      <c r="AO892">
        <f>IF(AND(emissions[[#This Row],[Market-based]]=0,emissions[[#This Row],[Impact Type]]="CO2E"),emissions[[#This Row],[kgCO2e]],0)/1000</f>
        <v>29.635114919999999</v>
      </c>
      <c r="AP892">
        <f>IF(AND(emissions[[#This Row],[Market-based]]=1,OR(emissions[[#This Row],[Impact Type]]="CO2E",emissions[[#This Row],[Impact Type]]="CO2E MKT")),emissions[[#This Row],[kgCO2e]],0)/1000</f>
        <v>0</v>
      </c>
      <c r="AQ892" t="str">
        <f>_xlfn.TEXTAFTER(emissions[[#This Row],[Reporting Unit]]," &gt; ",LEN(emissions[[#This Row],[Reporting Unit]])-LEN(SUBSTITUTE(emissions[[#This Row],[Reporting Unit]],"&gt;","")))</f>
        <v>Vantage_Dateland</v>
      </c>
      <c r="AR892" t="str">
        <f>_xlfn.XLOOKUP(emissions[[#This Row],[Reporting unit name]],hierarchy!$A:$A,hierarchy!$C:$C)</f>
        <v>Labratory</v>
      </c>
    </row>
    <row r="893" spans="1:44" hidden="1" x14ac:dyDescent="0.25">
      <c r="A893">
        <v>250121</v>
      </c>
      <c r="B893" t="s">
        <v>387</v>
      </c>
      <c r="C893" t="s">
        <v>475</v>
      </c>
      <c r="D893" t="s">
        <v>548</v>
      </c>
      <c r="E893" s="3">
        <v>44562</v>
      </c>
      <c r="F893" s="3">
        <v>44926</v>
      </c>
      <c r="G893" t="s">
        <v>141</v>
      </c>
      <c r="H893" s="3">
        <v>44562</v>
      </c>
      <c r="I893" s="3">
        <v>44926</v>
      </c>
      <c r="J893" t="s">
        <v>147</v>
      </c>
      <c r="K893">
        <v>12837</v>
      </c>
      <c r="L893" t="s">
        <v>148</v>
      </c>
      <c r="M893" t="s">
        <v>110</v>
      </c>
      <c r="O893" t="s">
        <v>844</v>
      </c>
      <c r="P893" t="s">
        <v>550</v>
      </c>
      <c r="Q893">
        <v>2022</v>
      </c>
      <c r="R893" t="s">
        <v>591</v>
      </c>
      <c r="S893" t="s">
        <v>592</v>
      </c>
      <c r="T893" t="s">
        <v>577</v>
      </c>
      <c r="U893" t="b">
        <v>0</v>
      </c>
      <c r="V893" t="s">
        <v>593</v>
      </c>
      <c r="W893" t="s">
        <v>571</v>
      </c>
      <c r="X893" t="s">
        <v>572</v>
      </c>
      <c r="AC893">
        <v>1</v>
      </c>
      <c r="AD893" t="s">
        <v>565</v>
      </c>
      <c r="AE893">
        <v>29635.11492</v>
      </c>
      <c r="AF893">
        <v>0.60985999999999996</v>
      </c>
      <c r="AG893" t="s">
        <v>588</v>
      </c>
      <c r="AH893">
        <v>3.7854100000000002</v>
      </c>
      <c r="AI893">
        <v>48593.308169999997</v>
      </c>
      <c r="AJ893" t="s">
        <v>561</v>
      </c>
      <c r="AK893" t="s">
        <v>589</v>
      </c>
      <c r="AL893" t="s">
        <v>590</v>
      </c>
      <c r="AM893">
        <v>2022</v>
      </c>
      <c r="AN893">
        <v>2020</v>
      </c>
      <c r="AO893">
        <f>IF(AND(emissions[[#This Row],[Market-based]]=0,emissions[[#This Row],[Impact Type]]="CO2E"),emissions[[#This Row],[kgCO2e]],0)/1000</f>
        <v>0</v>
      </c>
      <c r="AP893">
        <f>IF(AND(emissions[[#This Row],[Market-based]]=1,OR(emissions[[#This Row],[Impact Type]]="CO2E",emissions[[#This Row],[Impact Type]]="CO2E MKT")),emissions[[#This Row],[kgCO2e]],0)/1000</f>
        <v>29.635114919999999</v>
      </c>
      <c r="AQ893" t="str">
        <f>_xlfn.TEXTAFTER(emissions[[#This Row],[Reporting Unit]]," &gt; ",LEN(emissions[[#This Row],[Reporting Unit]])-LEN(SUBSTITUTE(emissions[[#This Row],[Reporting Unit]],"&gt;","")))</f>
        <v>Vantage_Dateland</v>
      </c>
      <c r="AR893" t="str">
        <f>_xlfn.XLOOKUP(emissions[[#This Row],[Reporting unit name]],hierarchy!$A:$A,hierarchy!$C:$C)</f>
        <v>Labratory</v>
      </c>
    </row>
    <row r="894" spans="1:44" hidden="1" x14ac:dyDescent="0.25">
      <c r="A894">
        <v>250123</v>
      </c>
      <c r="B894" t="s">
        <v>387</v>
      </c>
      <c r="C894" t="s">
        <v>475</v>
      </c>
      <c r="D894" t="s">
        <v>548</v>
      </c>
      <c r="E894" s="3">
        <v>44562</v>
      </c>
      <c r="F894" s="3">
        <v>44926</v>
      </c>
      <c r="G894" t="s">
        <v>141</v>
      </c>
      <c r="H894" s="3">
        <v>44562</v>
      </c>
      <c r="I894" s="3">
        <v>44926</v>
      </c>
      <c r="J894" t="s">
        <v>147</v>
      </c>
      <c r="K894">
        <v>4365</v>
      </c>
      <c r="L894" t="s">
        <v>148</v>
      </c>
      <c r="M894" t="s">
        <v>110</v>
      </c>
      <c r="O894" t="s">
        <v>846</v>
      </c>
      <c r="P894" t="s">
        <v>550</v>
      </c>
      <c r="Q894">
        <v>2022</v>
      </c>
      <c r="R894" t="s">
        <v>584</v>
      </c>
      <c r="S894" t="s">
        <v>585</v>
      </c>
      <c r="T894" t="s">
        <v>553</v>
      </c>
      <c r="U894" t="b">
        <v>0</v>
      </c>
      <c r="V894" t="s">
        <v>785</v>
      </c>
      <c r="W894" t="s">
        <v>587</v>
      </c>
      <c r="X894" t="s">
        <v>556</v>
      </c>
      <c r="Y894" t="s">
        <v>472</v>
      </c>
      <c r="Z894" t="s">
        <v>485</v>
      </c>
      <c r="AA894" t="s">
        <v>764</v>
      </c>
      <c r="AC894">
        <v>0</v>
      </c>
      <c r="AD894" t="s">
        <v>558</v>
      </c>
      <c r="AE894">
        <v>44.741250000000001</v>
      </c>
      <c r="AF894">
        <v>1.025E-2</v>
      </c>
      <c r="AG894" t="s">
        <v>786</v>
      </c>
      <c r="AH894">
        <v>1</v>
      </c>
      <c r="AI894">
        <v>4365</v>
      </c>
      <c r="AJ894" t="s">
        <v>561</v>
      </c>
      <c r="AK894" t="s">
        <v>766</v>
      </c>
      <c r="AL894" t="s">
        <v>767</v>
      </c>
      <c r="AM894">
        <v>2022</v>
      </c>
      <c r="AN894">
        <v>2022</v>
      </c>
      <c r="AO894">
        <f>IF(AND(emissions[[#This Row],[Market-based]]=0,emissions[[#This Row],[Impact Type]]="CO2E"),emissions[[#This Row],[kgCO2e]],0)/1000</f>
        <v>0</v>
      </c>
      <c r="AP894">
        <f>IF(AND(emissions[[#This Row],[Market-based]]=1,OR(emissions[[#This Row],[Impact Type]]="CO2E",emissions[[#This Row],[Impact Type]]="CO2E MKT")),emissions[[#This Row],[kgCO2e]],0)/1000</f>
        <v>0</v>
      </c>
      <c r="AQ894" t="str">
        <f>_xlfn.TEXTAFTER(emissions[[#This Row],[Reporting Unit]]," &gt; ",LEN(emissions[[#This Row],[Reporting Unit]])-LEN(SUBSTITUTE(emissions[[#This Row],[Reporting Unit]],"&gt;","")))</f>
        <v>Vantage_Dateland</v>
      </c>
      <c r="AR894" t="str">
        <f>_xlfn.XLOOKUP(emissions[[#This Row],[Reporting unit name]],hierarchy!$A:$A,hierarchy!$C:$C)</f>
        <v>Labratory</v>
      </c>
    </row>
    <row r="895" spans="1:44" hidden="1" x14ac:dyDescent="0.25">
      <c r="A895">
        <v>250123</v>
      </c>
      <c r="B895" t="s">
        <v>387</v>
      </c>
      <c r="C895" t="s">
        <v>475</v>
      </c>
      <c r="D895" t="s">
        <v>548</v>
      </c>
      <c r="E895" s="3">
        <v>44562</v>
      </c>
      <c r="F895" s="3">
        <v>44926</v>
      </c>
      <c r="G895" t="s">
        <v>141</v>
      </c>
      <c r="H895" s="3">
        <v>44562</v>
      </c>
      <c r="I895" s="3">
        <v>44926</v>
      </c>
      <c r="J895" t="s">
        <v>147</v>
      </c>
      <c r="K895">
        <v>4365</v>
      </c>
      <c r="L895" t="s">
        <v>148</v>
      </c>
      <c r="M895" t="s">
        <v>110</v>
      </c>
      <c r="O895" t="s">
        <v>846</v>
      </c>
      <c r="P895" t="s">
        <v>550</v>
      </c>
      <c r="Q895">
        <v>2022</v>
      </c>
      <c r="R895" t="s">
        <v>584</v>
      </c>
      <c r="S895" t="s">
        <v>585</v>
      </c>
      <c r="T895" t="s">
        <v>553</v>
      </c>
      <c r="U895" t="b">
        <v>0</v>
      </c>
      <c r="V895" t="s">
        <v>785</v>
      </c>
      <c r="W895" t="s">
        <v>587</v>
      </c>
      <c r="X895" t="s">
        <v>556</v>
      </c>
      <c r="Y895" t="s">
        <v>472</v>
      </c>
      <c r="Z895" t="s">
        <v>485</v>
      </c>
      <c r="AA895" t="s">
        <v>764</v>
      </c>
      <c r="AC895">
        <v>0</v>
      </c>
      <c r="AD895" t="s">
        <v>564</v>
      </c>
      <c r="AE895">
        <v>44566.65</v>
      </c>
      <c r="AF895">
        <v>10.210000000000001</v>
      </c>
      <c r="AG895" t="s">
        <v>786</v>
      </c>
      <c r="AH895">
        <v>1</v>
      </c>
      <c r="AI895">
        <v>4365</v>
      </c>
      <c r="AJ895" t="s">
        <v>561</v>
      </c>
      <c r="AK895" t="s">
        <v>766</v>
      </c>
      <c r="AL895" t="s">
        <v>767</v>
      </c>
      <c r="AM895">
        <v>2022</v>
      </c>
      <c r="AN895">
        <v>2022</v>
      </c>
      <c r="AO895">
        <f>IF(AND(emissions[[#This Row],[Market-based]]=0,emissions[[#This Row],[Impact Type]]="CO2E"),emissions[[#This Row],[kgCO2e]],0)/1000</f>
        <v>0</v>
      </c>
      <c r="AP895">
        <f>IF(AND(emissions[[#This Row],[Market-based]]=1,OR(emissions[[#This Row],[Impact Type]]="CO2E",emissions[[#This Row],[Impact Type]]="CO2E MKT")),emissions[[#This Row],[kgCO2e]],0)/1000</f>
        <v>0</v>
      </c>
      <c r="AQ895" t="str">
        <f>_xlfn.TEXTAFTER(emissions[[#This Row],[Reporting Unit]]," &gt; ",LEN(emissions[[#This Row],[Reporting Unit]])-LEN(SUBSTITUTE(emissions[[#This Row],[Reporting Unit]],"&gt;","")))</f>
        <v>Vantage_Dateland</v>
      </c>
      <c r="AR895" t="str">
        <f>_xlfn.XLOOKUP(emissions[[#This Row],[Reporting unit name]],hierarchy!$A:$A,hierarchy!$C:$C)</f>
        <v>Labratory</v>
      </c>
    </row>
    <row r="896" spans="1:44" hidden="1" x14ac:dyDescent="0.25">
      <c r="A896">
        <v>250123</v>
      </c>
      <c r="B896" t="s">
        <v>387</v>
      </c>
      <c r="C896" t="s">
        <v>475</v>
      </c>
      <c r="D896" t="s">
        <v>548</v>
      </c>
      <c r="E896" s="3">
        <v>44562</v>
      </c>
      <c r="F896" s="3">
        <v>44926</v>
      </c>
      <c r="G896" t="s">
        <v>141</v>
      </c>
      <c r="H896" s="3">
        <v>44562</v>
      </c>
      <c r="I896" s="3">
        <v>44926</v>
      </c>
      <c r="J896" t="s">
        <v>147</v>
      </c>
      <c r="K896">
        <v>4365</v>
      </c>
      <c r="L896" t="s">
        <v>148</v>
      </c>
      <c r="M896" t="s">
        <v>110</v>
      </c>
      <c r="O896" t="s">
        <v>846</v>
      </c>
      <c r="P896" t="s">
        <v>550</v>
      </c>
      <c r="Q896">
        <v>2022</v>
      </c>
      <c r="R896" t="s">
        <v>584</v>
      </c>
      <c r="S896" t="s">
        <v>585</v>
      </c>
      <c r="T896" t="s">
        <v>553</v>
      </c>
      <c r="U896" t="b">
        <v>0</v>
      </c>
      <c r="V896" t="s">
        <v>785</v>
      </c>
      <c r="W896" t="s">
        <v>587</v>
      </c>
      <c r="X896" t="s">
        <v>556</v>
      </c>
      <c r="Y896" t="s">
        <v>472</v>
      </c>
      <c r="Z896" t="s">
        <v>485</v>
      </c>
      <c r="AA896" t="s">
        <v>764</v>
      </c>
      <c r="AC896">
        <v>0</v>
      </c>
      <c r="AD896" t="s">
        <v>565</v>
      </c>
      <c r="AE896">
        <v>44715.452850000001</v>
      </c>
      <c r="AF896">
        <v>10.24409</v>
      </c>
      <c r="AG896" t="s">
        <v>786</v>
      </c>
      <c r="AH896">
        <v>1</v>
      </c>
      <c r="AI896">
        <v>4365</v>
      </c>
      <c r="AJ896" t="s">
        <v>561</v>
      </c>
      <c r="AK896" t="s">
        <v>766</v>
      </c>
      <c r="AL896" t="s">
        <v>787</v>
      </c>
      <c r="AM896">
        <v>2022</v>
      </c>
      <c r="AN896">
        <v>2021</v>
      </c>
      <c r="AO896">
        <f>IF(AND(emissions[[#This Row],[Market-based]]=0,emissions[[#This Row],[Impact Type]]="CO2E"),emissions[[#This Row],[kgCO2e]],0)/1000</f>
        <v>44.715452849999998</v>
      </c>
      <c r="AP896">
        <f>IF(AND(emissions[[#This Row],[Market-based]]=1,OR(emissions[[#This Row],[Impact Type]]="CO2E",emissions[[#This Row],[Impact Type]]="CO2E MKT")),emissions[[#This Row],[kgCO2e]],0)/1000</f>
        <v>0</v>
      </c>
      <c r="AQ896" t="str">
        <f>_xlfn.TEXTAFTER(emissions[[#This Row],[Reporting Unit]]," &gt; ",LEN(emissions[[#This Row],[Reporting Unit]])-LEN(SUBSTITUTE(emissions[[#This Row],[Reporting Unit]],"&gt;","")))</f>
        <v>Vantage_Dateland</v>
      </c>
      <c r="AR896" t="str">
        <f>_xlfn.XLOOKUP(emissions[[#This Row],[Reporting unit name]],hierarchy!$A:$A,hierarchy!$C:$C)</f>
        <v>Labratory</v>
      </c>
    </row>
    <row r="897" spans="1:44" hidden="1" x14ac:dyDescent="0.25">
      <c r="A897">
        <v>250123</v>
      </c>
      <c r="B897" t="s">
        <v>387</v>
      </c>
      <c r="C897" t="s">
        <v>475</v>
      </c>
      <c r="D897" t="s">
        <v>548</v>
      </c>
      <c r="E897" s="3">
        <v>44562</v>
      </c>
      <c r="F897" s="3">
        <v>44926</v>
      </c>
      <c r="G897" t="s">
        <v>141</v>
      </c>
      <c r="H897" s="3">
        <v>44562</v>
      </c>
      <c r="I897" s="3">
        <v>44926</v>
      </c>
      <c r="J897" t="s">
        <v>147</v>
      </c>
      <c r="K897">
        <v>4365</v>
      </c>
      <c r="L897" t="s">
        <v>148</v>
      </c>
      <c r="M897" t="s">
        <v>110</v>
      </c>
      <c r="O897" t="s">
        <v>846</v>
      </c>
      <c r="P897" t="s">
        <v>550</v>
      </c>
      <c r="Q897">
        <v>2022</v>
      </c>
      <c r="R897" t="s">
        <v>584</v>
      </c>
      <c r="S897" t="s">
        <v>585</v>
      </c>
      <c r="T897" t="s">
        <v>553</v>
      </c>
      <c r="U897" t="b">
        <v>0</v>
      </c>
      <c r="V897" t="s">
        <v>785</v>
      </c>
      <c r="W897" t="s">
        <v>587</v>
      </c>
      <c r="X897" t="s">
        <v>556</v>
      </c>
      <c r="Y897" t="s">
        <v>472</v>
      </c>
      <c r="Z897" t="s">
        <v>485</v>
      </c>
      <c r="AA897" t="s">
        <v>764</v>
      </c>
      <c r="AC897">
        <v>0</v>
      </c>
      <c r="AD897" t="s">
        <v>566</v>
      </c>
      <c r="AE897">
        <v>104.0616</v>
      </c>
      <c r="AF897">
        <v>2.384E-2</v>
      </c>
      <c r="AG897" t="s">
        <v>786</v>
      </c>
      <c r="AH897">
        <v>1</v>
      </c>
      <c r="AI897">
        <v>4365</v>
      </c>
      <c r="AJ897" t="s">
        <v>561</v>
      </c>
      <c r="AK897" t="s">
        <v>766</v>
      </c>
      <c r="AL897" t="s">
        <v>767</v>
      </c>
      <c r="AM897">
        <v>2022</v>
      </c>
      <c r="AN897">
        <v>2022</v>
      </c>
      <c r="AO897">
        <f>IF(AND(emissions[[#This Row],[Market-based]]=0,emissions[[#This Row],[Impact Type]]="CO2E"),emissions[[#This Row],[kgCO2e]],0)/1000</f>
        <v>0</v>
      </c>
      <c r="AP897">
        <f>IF(AND(emissions[[#This Row],[Market-based]]=1,OR(emissions[[#This Row],[Impact Type]]="CO2E",emissions[[#This Row],[Impact Type]]="CO2E MKT")),emissions[[#This Row],[kgCO2e]],0)/1000</f>
        <v>0</v>
      </c>
      <c r="AQ897" t="str">
        <f>_xlfn.TEXTAFTER(emissions[[#This Row],[Reporting Unit]]," &gt; ",LEN(emissions[[#This Row],[Reporting Unit]])-LEN(SUBSTITUTE(emissions[[#This Row],[Reporting Unit]],"&gt;","")))</f>
        <v>Vantage_Dateland</v>
      </c>
      <c r="AR897" t="str">
        <f>_xlfn.XLOOKUP(emissions[[#This Row],[Reporting unit name]],hierarchy!$A:$A,hierarchy!$C:$C)</f>
        <v>Labratory</v>
      </c>
    </row>
    <row r="898" spans="1:44" hidden="1" x14ac:dyDescent="0.25">
      <c r="A898">
        <v>250123</v>
      </c>
      <c r="B898" t="s">
        <v>387</v>
      </c>
      <c r="C898" t="s">
        <v>475</v>
      </c>
      <c r="D898" t="s">
        <v>548</v>
      </c>
      <c r="E898" s="3">
        <v>44562</v>
      </c>
      <c r="F898" s="3">
        <v>44926</v>
      </c>
      <c r="G898" t="s">
        <v>141</v>
      </c>
      <c r="H898" s="3">
        <v>44562</v>
      </c>
      <c r="I898" s="3">
        <v>44926</v>
      </c>
      <c r="J898" t="s">
        <v>147</v>
      </c>
      <c r="K898">
        <v>4365</v>
      </c>
      <c r="L898" t="s">
        <v>148</v>
      </c>
      <c r="M898" t="s">
        <v>110</v>
      </c>
      <c r="O898" t="s">
        <v>846</v>
      </c>
      <c r="P898" t="s">
        <v>550</v>
      </c>
      <c r="Q898">
        <v>2022</v>
      </c>
      <c r="R898" t="s">
        <v>584</v>
      </c>
      <c r="S898" t="s">
        <v>585</v>
      </c>
      <c r="T898" t="s">
        <v>553</v>
      </c>
      <c r="U898" t="b">
        <v>0</v>
      </c>
      <c r="V898" t="s">
        <v>785</v>
      </c>
      <c r="W898" t="s">
        <v>587</v>
      </c>
      <c r="X898" t="s">
        <v>556</v>
      </c>
      <c r="Y898" t="s">
        <v>472</v>
      </c>
      <c r="Z898" t="s">
        <v>485</v>
      </c>
      <c r="AA898" t="s">
        <v>764</v>
      </c>
      <c r="AC898">
        <v>1</v>
      </c>
      <c r="AD898" t="s">
        <v>558</v>
      </c>
      <c r="AE898">
        <v>44.741250000000001</v>
      </c>
      <c r="AF898">
        <v>1.025E-2</v>
      </c>
      <c r="AG898" t="s">
        <v>786</v>
      </c>
      <c r="AH898">
        <v>1</v>
      </c>
      <c r="AI898">
        <v>4365</v>
      </c>
      <c r="AJ898" t="s">
        <v>561</v>
      </c>
      <c r="AK898" t="s">
        <v>766</v>
      </c>
      <c r="AL898" t="s">
        <v>767</v>
      </c>
      <c r="AM898">
        <v>2022</v>
      </c>
      <c r="AN898">
        <v>2022</v>
      </c>
      <c r="AO898">
        <f>IF(AND(emissions[[#This Row],[Market-based]]=0,emissions[[#This Row],[Impact Type]]="CO2E"),emissions[[#This Row],[kgCO2e]],0)/1000</f>
        <v>0</v>
      </c>
      <c r="AP898">
        <f>IF(AND(emissions[[#This Row],[Market-based]]=1,OR(emissions[[#This Row],[Impact Type]]="CO2E",emissions[[#This Row],[Impact Type]]="CO2E MKT")),emissions[[#This Row],[kgCO2e]],0)/1000</f>
        <v>0</v>
      </c>
      <c r="AQ898" t="str">
        <f>_xlfn.TEXTAFTER(emissions[[#This Row],[Reporting Unit]]," &gt; ",LEN(emissions[[#This Row],[Reporting Unit]])-LEN(SUBSTITUTE(emissions[[#This Row],[Reporting Unit]],"&gt;","")))</f>
        <v>Vantage_Dateland</v>
      </c>
      <c r="AR898" t="str">
        <f>_xlfn.XLOOKUP(emissions[[#This Row],[Reporting unit name]],hierarchy!$A:$A,hierarchy!$C:$C)</f>
        <v>Labratory</v>
      </c>
    </row>
    <row r="899" spans="1:44" hidden="1" x14ac:dyDescent="0.25">
      <c r="A899">
        <v>250123</v>
      </c>
      <c r="B899" t="s">
        <v>387</v>
      </c>
      <c r="C899" t="s">
        <v>475</v>
      </c>
      <c r="D899" t="s">
        <v>548</v>
      </c>
      <c r="E899" s="3">
        <v>44562</v>
      </c>
      <c r="F899" s="3">
        <v>44926</v>
      </c>
      <c r="G899" t="s">
        <v>141</v>
      </c>
      <c r="H899" s="3">
        <v>44562</v>
      </c>
      <c r="I899" s="3">
        <v>44926</v>
      </c>
      <c r="J899" t="s">
        <v>147</v>
      </c>
      <c r="K899">
        <v>4365</v>
      </c>
      <c r="L899" t="s">
        <v>148</v>
      </c>
      <c r="M899" t="s">
        <v>110</v>
      </c>
      <c r="O899" t="s">
        <v>846</v>
      </c>
      <c r="P899" t="s">
        <v>550</v>
      </c>
      <c r="Q899">
        <v>2022</v>
      </c>
      <c r="R899" t="s">
        <v>584</v>
      </c>
      <c r="S899" t="s">
        <v>585</v>
      </c>
      <c r="T899" t="s">
        <v>553</v>
      </c>
      <c r="U899" t="b">
        <v>0</v>
      </c>
      <c r="V899" t="s">
        <v>785</v>
      </c>
      <c r="W899" t="s">
        <v>587</v>
      </c>
      <c r="X899" t="s">
        <v>556</v>
      </c>
      <c r="Y899" t="s">
        <v>472</v>
      </c>
      <c r="Z899" t="s">
        <v>485</v>
      </c>
      <c r="AA899" t="s">
        <v>764</v>
      </c>
      <c r="AC899">
        <v>1</v>
      </c>
      <c r="AD899" t="s">
        <v>564</v>
      </c>
      <c r="AE899">
        <v>44566.65</v>
      </c>
      <c r="AF899">
        <v>10.210000000000001</v>
      </c>
      <c r="AG899" t="s">
        <v>786</v>
      </c>
      <c r="AH899">
        <v>1</v>
      </c>
      <c r="AI899">
        <v>4365</v>
      </c>
      <c r="AJ899" t="s">
        <v>561</v>
      </c>
      <c r="AK899" t="s">
        <v>766</v>
      </c>
      <c r="AL899" t="s">
        <v>767</v>
      </c>
      <c r="AM899">
        <v>2022</v>
      </c>
      <c r="AN899">
        <v>2022</v>
      </c>
      <c r="AO899">
        <f>IF(AND(emissions[[#This Row],[Market-based]]=0,emissions[[#This Row],[Impact Type]]="CO2E"),emissions[[#This Row],[kgCO2e]],0)/1000</f>
        <v>0</v>
      </c>
      <c r="AP899">
        <f>IF(AND(emissions[[#This Row],[Market-based]]=1,OR(emissions[[#This Row],[Impact Type]]="CO2E",emissions[[#This Row],[Impact Type]]="CO2E MKT")),emissions[[#This Row],[kgCO2e]],0)/1000</f>
        <v>0</v>
      </c>
      <c r="AQ899" t="str">
        <f>_xlfn.TEXTAFTER(emissions[[#This Row],[Reporting Unit]]," &gt; ",LEN(emissions[[#This Row],[Reporting Unit]])-LEN(SUBSTITUTE(emissions[[#This Row],[Reporting Unit]],"&gt;","")))</f>
        <v>Vantage_Dateland</v>
      </c>
      <c r="AR899" t="str">
        <f>_xlfn.XLOOKUP(emissions[[#This Row],[Reporting unit name]],hierarchy!$A:$A,hierarchy!$C:$C)</f>
        <v>Labratory</v>
      </c>
    </row>
    <row r="900" spans="1:44" hidden="1" x14ac:dyDescent="0.25">
      <c r="A900">
        <v>250123</v>
      </c>
      <c r="B900" t="s">
        <v>387</v>
      </c>
      <c r="C900" t="s">
        <v>475</v>
      </c>
      <c r="D900" t="s">
        <v>548</v>
      </c>
      <c r="E900" s="3">
        <v>44562</v>
      </c>
      <c r="F900" s="3">
        <v>44926</v>
      </c>
      <c r="G900" t="s">
        <v>141</v>
      </c>
      <c r="H900" s="3">
        <v>44562</v>
      </c>
      <c r="I900" s="3">
        <v>44926</v>
      </c>
      <c r="J900" t="s">
        <v>147</v>
      </c>
      <c r="K900">
        <v>4365</v>
      </c>
      <c r="L900" t="s">
        <v>148</v>
      </c>
      <c r="M900" t="s">
        <v>110</v>
      </c>
      <c r="O900" t="s">
        <v>846</v>
      </c>
      <c r="P900" t="s">
        <v>550</v>
      </c>
      <c r="Q900">
        <v>2022</v>
      </c>
      <c r="R900" t="s">
        <v>584</v>
      </c>
      <c r="S900" t="s">
        <v>585</v>
      </c>
      <c r="T900" t="s">
        <v>553</v>
      </c>
      <c r="U900" t="b">
        <v>0</v>
      </c>
      <c r="V900" t="s">
        <v>785</v>
      </c>
      <c r="W900" t="s">
        <v>587</v>
      </c>
      <c r="X900" t="s">
        <v>556</v>
      </c>
      <c r="Y900" t="s">
        <v>472</v>
      </c>
      <c r="Z900" t="s">
        <v>485</v>
      </c>
      <c r="AA900" t="s">
        <v>764</v>
      </c>
      <c r="AC900">
        <v>1</v>
      </c>
      <c r="AD900" t="s">
        <v>565</v>
      </c>
      <c r="AE900">
        <v>44715.452850000001</v>
      </c>
      <c r="AF900">
        <v>10.24409</v>
      </c>
      <c r="AG900" t="s">
        <v>786</v>
      </c>
      <c r="AH900">
        <v>1</v>
      </c>
      <c r="AI900">
        <v>4365</v>
      </c>
      <c r="AJ900" t="s">
        <v>561</v>
      </c>
      <c r="AK900" t="s">
        <v>766</v>
      </c>
      <c r="AL900" t="s">
        <v>787</v>
      </c>
      <c r="AM900">
        <v>2022</v>
      </c>
      <c r="AN900">
        <v>2021</v>
      </c>
      <c r="AO900">
        <f>IF(AND(emissions[[#This Row],[Market-based]]=0,emissions[[#This Row],[Impact Type]]="CO2E"),emissions[[#This Row],[kgCO2e]],0)/1000</f>
        <v>0</v>
      </c>
      <c r="AP900">
        <f>IF(AND(emissions[[#This Row],[Market-based]]=1,OR(emissions[[#This Row],[Impact Type]]="CO2E",emissions[[#This Row],[Impact Type]]="CO2E MKT")),emissions[[#This Row],[kgCO2e]],0)/1000</f>
        <v>44.715452849999998</v>
      </c>
      <c r="AQ900" t="str">
        <f>_xlfn.TEXTAFTER(emissions[[#This Row],[Reporting Unit]]," &gt; ",LEN(emissions[[#This Row],[Reporting Unit]])-LEN(SUBSTITUTE(emissions[[#This Row],[Reporting Unit]],"&gt;","")))</f>
        <v>Vantage_Dateland</v>
      </c>
      <c r="AR900" t="str">
        <f>_xlfn.XLOOKUP(emissions[[#This Row],[Reporting unit name]],hierarchy!$A:$A,hierarchy!$C:$C)</f>
        <v>Labratory</v>
      </c>
    </row>
    <row r="901" spans="1:44" hidden="1" x14ac:dyDescent="0.25">
      <c r="A901">
        <v>250123</v>
      </c>
      <c r="B901" t="s">
        <v>387</v>
      </c>
      <c r="C901" t="s">
        <v>475</v>
      </c>
      <c r="D901" t="s">
        <v>548</v>
      </c>
      <c r="E901" s="3">
        <v>44562</v>
      </c>
      <c r="F901" s="3">
        <v>44926</v>
      </c>
      <c r="G901" t="s">
        <v>141</v>
      </c>
      <c r="H901" s="3">
        <v>44562</v>
      </c>
      <c r="I901" s="3">
        <v>44926</v>
      </c>
      <c r="J901" t="s">
        <v>147</v>
      </c>
      <c r="K901">
        <v>4365</v>
      </c>
      <c r="L901" t="s">
        <v>148</v>
      </c>
      <c r="M901" t="s">
        <v>110</v>
      </c>
      <c r="O901" t="s">
        <v>846</v>
      </c>
      <c r="P901" t="s">
        <v>550</v>
      </c>
      <c r="Q901">
        <v>2022</v>
      </c>
      <c r="R901" t="s">
        <v>584</v>
      </c>
      <c r="S901" t="s">
        <v>585</v>
      </c>
      <c r="T901" t="s">
        <v>553</v>
      </c>
      <c r="U901" t="b">
        <v>0</v>
      </c>
      <c r="V901" t="s">
        <v>785</v>
      </c>
      <c r="W901" t="s">
        <v>587</v>
      </c>
      <c r="X901" t="s">
        <v>556</v>
      </c>
      <c r="Y901" t="s">
        <v>472</v>
      </c>
      <c r="Z901" t="s">
        <v>485</v>
      </c>
      <c r="AA901" t="s">
        <v>764</v>
      </c>
      <c r="AC901">
        <v>1</v>
      </c>
      <c r="AD901" t="s">
        <v>566</v>
      </c>
      <c r="AE901">
        <v>104.0616</v>
      </c>
      <c r="AF901">
        <v>2.384E-2</v>
      </c>
      <c r="AG901" t="s">
        <v>786</v>
      </c>
      <c r="AH901">
        <v>1</v>
      </c>
      <c r="AI901">
        <v>4365</v>
      </c>
      <c r="AJ901" t="s">
        <v>561</v>
      </c>
      <c r="AK901" t="s">
        <v>766</v>
      </c>
      <c r="AL901" t="s">
        <v>767</v>
      </c>
      <c r="AM901">
        <v>2022</v>
      </c>
      <c r="AN901">
        <v>2022</v>
      </c>
      <c r="AO901">
        <f>IF(AND(emissions[[#This Row],[Market-based]]=0,emissions[[#This Row],[Impact Type]]="CO2E"),emissions[[#This Row],[kgCO2e]],0)/1000</f>
        <v>0</v>
      </c>
      <c r="AP901">
        <f>IF(AND(emissions[[#This Row],[Market-based]]=1,OR(emissions[[#This Row],[Impact Type]]="CO2E",emissions[[#This Row],[Impact Type]]="CO2E MKT")),emissions[[#This Row],[kgCO2e]],0)/1000</f>
        <v>0</v>
      </c>
      <c r="AQ901" t="str">
        <f>_xlfn.TEXTAFTER(emissions[[#This Row],[Reporting Unit]]," &gt; ",LEN(emissions[[#This Row],[Reporting Unit]])-LEN(SUBSTITUTE(emissions[[#This Row],[Reporting Unit]],"&gt;","")))</f>
        <v>Vantage_Dateland</v>
      </c>
      <c r="AR901" t="str">
        <f>_xlfn.XLOOKUP(emissions[[#This Row],[Reporting unit name]],hierarchy!$A:$A,hierarchy!$C:$C)</f>
        <v>Labratory</v>
      </c>
    </row>
    <row r="902" spans="1:44" hidden="1" x14ac:dyDescent="0.25">
      <c r="A902">
        <v>250123</v>
      </c>
      <c r="B902" t="s">
        <v>387</v>
      </c>
      <c r="C902" t="s">
        <v>475</v>
      </c>
      <c r="D902" t="s">
        <v>548</v>
      </c>
      <c r="E902" s="3">
        <v>44562</v>
      </c>
      <c r="F902" s="3">
        <v>44926</v>
      </c>
      <c r="G902" t="s">
        <v>141</v>
      </c>
      <c r="H902" s="3">
        <v>44562</v>
      </c>
      <c r="I902" s="3">
        <v>44926</v>
      </c>
      <c r="J902" t="s">
        <v>147</v>
      </c>
      <c r="K902">
        <v>4365</v>
      </c>
      <c r="L902" t="s">
        <v>148</v>
      </c>
      <c r="M902" t="s">
        <v>110</v>
      </c>
      <c r="O902" t="s">
        <v>846</v>
      </c>
      <c r="P902" t="s">
        <v>550</v>
      </c>
      <c r="Q902">
        <v>2022</v>
      </c>
      <c r="R902" t="s">
        <v>591</v>
      </c>
      <c r="S902" t="s">
        <v>592</v>
      </c>
      <c r="T902" t="s">
        <v>577</v>
      </c>
      <c r="U902" t="b">
        <v>0</v>
      </c>
      <c r="V902" t="s">
        <v>593</v>
      </c>
      <c r="W902" t="s">
        <v>571</v>
      </c>
      <c r="X902" t="s">
        <v>572</v>
      </c>
      <c r="AC902">
        <v>0</v>
      </c>
      <c r="AD902" t="s">
        <v>565</v>
      </c>
      <c r="AE902">
        <v>10076.908670000001</v>
      </c>
      <c r="AF902">
        <v>0.60985999999999996</v>
      </c>
      <c r="AG902" t="s">
        <v>588</v>
      </c>
      <c r="AH902">
        <v>3.7854100000000002</v>
      </c>
      <c r="AI902">
        <v>16523.31465</v>
      </c>
      <c r="AJ902" t="s">
        <v>561</v>
      </c>
      <c r="AK902" t="s">
        <v>589</v>
      </c>
      <c r="AL902" t="s">
        <v>590</v>
      </c>
      <c r="AM902">
        <v>2022</v>
      </c>
      <c r="AN902">
        <v>2020</v>
      </c>
      <c r="AO902">
        <f>IF(AND(emissions[[#This Row],[Market-based]]=0,emissions[[#This Row],[Impact Type]]="CO2E"),emissions[[#This Row],[kgCO2e]],0)/1000</f>
        <v>10.07690867</v>
      </c>
      <c r="AP902">
        <f>IF(AND(emissions[[#This Row],[Market-based]]=1,OR(emissions[[#This Row],[Impact Type]]="CO2E",emissions[[#This Row],[Impact Type]]="CO2E MKT")),emissions[[#This Row],[kgCO2e]],0)/1000</f>
        <v>0</v>
      </c>
      <c r="AQ902" t="str">
        <f>_xlfn.TEXTAFTER(emissions[[#This Row],[Reporting Unit]]," &gt; ",LEN(emissions[[#This Row],[Reporting Unit]])-LEN(SUBSTITUTE(emissions[[#This Row],[Reporting Unit]],"&gt;","")))</f>
        <v>Vantage_Dateland</v>
      </c>
      <c r="AR902" t="str">
        <f>_xlfn.XLOOKUP(emissions[[#This Row],[Reporting unit name]],hierarchy!$A:$A,hierarchy!$C:$C)</f>
        <v>Labratory</v>
      </c>
    </row>
    <row r="903" spans="1:44" hidden="1" x14ac:dyDescent="0.25">
      <c r="A903">
        <v>250123</v>
      </c>
      <c r="B903" t="s">
        <v>387</v>
      </c>
      <c r="C903" t="s">
        <v>475</v>
      </c>
      <c r="D903" t="s">
        <v>548</v>
      </c>
      <c r="E903" s="3">
        <v>44562</v>
      </c>
      <c r="F903" s="3">
        <v>44926</v>
      </c>
      <c r="G903" t="s">
        <v>141</v>
      </c>
      <c r="H903" s="3">
        <v>44562</v>
      </c>
      <c r="I903" s="3">
        <v>44926</v>
      </c>
      <c r="J903" t="s">
        <v>147</v>
      </c>
      <c r="K903">
        <v>4365</v>
      </c>
      <c r="L903" t="s">
        <v>148</v>
      </c>
      <c r="M903" t="s">
        <v>110</v>
      </c>
      <c r="O903" t="s">
        <v>846</v>
      </c>
      <c r="P903" t="s">
        <v>550</v>
      </c>
      <c r="Q903">
        <v>2022</v>
      </c>
      <c r="R903" t="s">
        <v>591</v>
      </c>
      <c r="S903" t="s">
        <v>592</v>
      </c>
      <c r="T903" t="s">
        <v>577</v>
      </c>
      <c r="U903" t="b">
        <v>0</v>
      </c>
      <c r="V903" t="s">
        <v>593</v>
      </c>
      <c r="W903" t="s">
        <v>571</v>
      </c>
      <c r="X903" t="s">
        <v>572</v>
      </c>
      <c r="AC903">
        <v>1</v>
      </c>
      <c r="AD903" t="s">
        <v>565</v>
      </c>
      <c r="AE903">
        <v>10076.908670000001</v>
      </c>
      <c r="AF903">
        <v>0.60985999999999996</v>
      </c>
      <c r="AG903" t="s">
        <v>588</v>
      </c>
      <c r="AH903">
        <v>3.7854100000000002</v>
      </c>
      <c r="AI903">
        <v>16523.31465</v>
      </c>
      <c r="AJ903" t="s">
        <v>561</v>
      </c>
      <c r="AK903" t="s">
        <v>589</v>
      </c>
      <c r="AL903" t="s">
        <v>590</v>
      </c>
      <c r="AM903">
        <v>2022</v>
      </c>
      <c r="AN903">
        <v>2020</v>
      </c>
      <c r="AO903">
        <f>IF(AND(emissions[[#This Row],[Market-based]]=0,emissions[[#This Row],[Impact Type]]="CO2E"),emissions[[#This Row],[kgCO2e]],0)/1000</f>
        <v>0</v>
      </c>
      <c r="AP903">
        <f>IF(AND(emissions[[#This Row],[Market-based]]=1,OR(emissions[[#This Row],[Impact Type]]="CO2E",emissions[[#This Row],[Impact Type]]="CO2E MKT")),emissions[[#This Row],[kgCO2e]],0)/1000</f>
        <v>10.07690867</v>
      </c>
      <c r="AQ903" t="str">
        <f>_xlfn.TEXTAFTER(emissions[[#This Row],[Reporting Unit]]," &gt; ",LEN(emissions[[#This Row],[Reporting Unit]])-LEN(SUBSTITUTE(emissions[[#This Row],[Reporting Unit]],"&gt;","")))</f>
        <v>Vantage_Dateland</v>
      </c>
      <c r="AR903" t="str">
        <f>_xlfn.XLOOKUP(emissions[[#This Row],[Reporting unit name]],hierarchy!$A:$A,hierarchy!$C:$C)</f>
        <v>Labratory</v>
      </c>
    </row>
    <row r="904" spans="1:44" hidden="1" x14ac:dyDescent="0.25">
      <c r="A904">
        <v>290057</v>
      </c>
      <c r="B904" t="s">
        <v>387</v>
      </c>
      <c r="C904" t="s">
        <v>475</v>
      </c>
      <c r="D904" t="s">
        <v>548</v>
      </c>
      <c r="E904" s="3">
        <v>44562</v>
      </c>
      <c r="F904" s="3">
        <v>44926</v>
      </c>
      <c r="G904" t="s">
        <v>116</v>
      </c>
      <c r="H904" s="3">
        <v>44562</v>
      </c>
      <c r="I904" s="3">
        <v>44926</v>
      </c>
      <c r="J904" t="s">
        <v>395</v>
      </c>
      <c r="K904">
        <v>0</v>
      </c>
      <c r="L904" t="s">
        <v>215</v>
      </c>
      <c r="M904" t="s">
        <v>110</v>
      </c>
      <c r="N904" t="s">
        <v>396</v>
      </c>
      <c r="O904" t="s">
        <v>847</v>
      </c>
      <c r="P904" t="s">
        <v>550</v>
      </c>
      <c r="Q904">
        <v>2022</v>
      </c>
      <c r="R904" t="s">
        <v>848</v>
      </c>
      <c r="S904" t="s">
        <v>395</v>
      </c>
      <c r="T904" t="s">
        <v>553</v>
      </c>
      <c r="U904" t="b">
        <v>0</v>
      </c>
      <c r="V904" t="s">
        <v>849</v>
      </c>
      <c r="W904" t="s">
        <v>587</v>
      </c>
      <c r="X904" t="s">
        <v>556</v>
      </c>
      <c r="AC904">
        <v>0</v>
      </c>
      <c r="AD904" t="s">
        <v>565</v>
      </c>
      <c r="AE904">
        <v>0</v>
      </c>
      <c r="AF904">
        <v>3922</v>
      </c>
      <c r="AG904" t="s">
        <v>622</v>
      </c>
      <c r="AH904">
        <v>0.45359291000000002</v>
      </c>
      <c r="AI904">
        <v>0</v>
      </c>
      <c r="AJ904" t="s">
        <v>561</v>
      </c>
      <c r="AK904" t="s">
        <v>623</v>
      </c>
      <c r="AL904" t="s">
        <v>624</v>
      </c>
      <c r="AM904">
        <v>2022</v>
      </c>
      <c r="AN904">
        <v>2007</v>
      </c>
      <c r="AO904">
        <f>IF(AND(emissions[[#This Row],[Market-based]]=0,emissions[[#This Row],[Impact Type]]="CO2E"),emissions[[#This Row],[kgCO2e]],0)/1000</f>
        <v>0</v>
      </c>
      <c r="AP904">
        <f>IF(AND(emissions[[#This Row],[Market-based]]=1,OR(emissions[[#This Row],[Impact Type]]="CO2E",emissions[[#This Row],[Impact Type]]="CO2E MKT")),emissions[[#This Row],[kgCO2e]],0)/1000</f>
        <v>0</v>
      </c>
      <c r="AQ904" t="str">
        <f>_xlfn.TEXTAFTER(emissions[[#This Row],[Reporting Unit]]," &gt; ",LEN(emissions[[#This Row],[Reporting Unit]])-LEN(SUBSTITUTE(emissions[[#This Row],[Reporting Unit]],"&gt;","")))</f>
        <v>Vantage_Dateland</v>
      </c>
      <c r="AR904" t="str">
        <f>_xlfn.XLOOKUP(emissions[[#This Row],[Reporting unit name]],hierarchy!$A:$A,hierarchy!$C:$C)</f>
        <v>Labratory</v>
      </c>
    </row>
    <row r="905" spans="1:44" hidden="1" x14ac:dyDescent="0.25">
      <c r="A905">
        <v>290057</v>
      </c>
      <c r="B905" t="s">
        <v>387</v>
      </c>
      <c r="C905" t="s">
        <v>475</v>
      </c>
      <c r="D905" t="s">
        <v>548</v>
      </c>
      <c r="E905" s="3">
        <v>44562</v>
      </c>
      <c r="F905" s="3">
        <v>44926</v>
      </c>
      <c r="G905" t="s">
        <v>116</v>
      </c>
      <c r="H905" s="3">
        <v>44562</v>
      </c>
      <c r="I905" s="3">
        <v>44926</v>
      </c>
      <c r="J905" t="s">
        <v>395</v>
      </c>
      <c r="K905">
        <v>0</v>
      </c>
      <c r="L905" t="s">
        <v>215</v>
      </c>
      <c r="M905" t="s">
        <v>110</v>
      </c>
      <c r="N905" t="s">
        <v>396</v>
      </c>
      <c r="O905" t="s">
        <v>847</v>
      </c>
      <c r="P905" t="s">
        <v>550</v>
      </c>
      <c r="Q905">
        <v>2022</v>
      </c>
      <c r="R905" t="s">
        <v>848</v>
      </c>
      <c r="S905" t="s">
        <v>395</v>
      </c>
      <c r="T905" t="s">
        <v>553</v>
      </c>
      <c r="U905" t="b">
        <v>0</v>
      </c>
      <c r="V905" t="s">
        <v>849</v>
      </c>
      <c r="W905" t="s">
        <v>587</v>
      </c>
      <c r="X905" t="s">
        <v>556</v>
      </c>
      <c r="AC905">
        <v>1</v>
      </c>
      <c r="AD905" t="s">
        <v>565</v>
      </c>
      <c r="AE905">
        <v>0</v>
      </c>
      <c r="AF905">
        <v>3922</v>
      </c>
      <c r="AG905" t="s">
        <v>622</v>
      </c>
      <c r="AH905">
        <v>0.45359291000000002</v>
      </c>
      <c r="AI905">
        <v>0</v>
      </c>
      <c r="AJ905" t="s">
        <v>561</v>
      </c>
      <c r="AK905" t="s">
        <v>623</v>
      </c>
      <c r="AL905" t="s">
        <v>624</v>
      </c>
      <c r="AM905">
        <v>2022</v>
      </c>
      <c r="AN905">
        <v>2007</v>
      </c>
      <c r="AO905">
        <f>IF(AND(emissions[[#This Row],[Market-based]]=0,emissions[[#This Row],[Impact Type]]="CO2E"),emissions[[#This Row],[kgCO2e]],0)/1000</f>
        <v>0</v>
      </c>
      <c r="AP905">
        <f>IF(AND(emissions[[#This Row],[Market-based]]=1,OR(emissions[[#This Row],[Impact Type]]="CO2E",emissions[[#This Row],[Impact Type]]="CO2E MKT")),emissions[[#This Row],[kgCO2e]],0)/1000</f>
        <v>0</v>
      </c>
      <c r="AQ905" t="str">
        <f>_xlfn.TEXTAFTER(emissions[[#This Row],[Reporting Unit]]," &gt; ",LEN(emissions[[#This Row],[Reporting Unit]])-LEN(SUBSTITUTE(emissions[[#This Row],[Reporting Unit]],"&gt;","")))</f>
        <v>Vantage_Dateland</v>
      </c>
      <c r="AR905" t="str">
        <f>_xlfn.XLOOKUP(emissions[[#This Row],[Reporting unit name]],hierarchy!$A:$A,hierarchy!$C:$C)</f>
        <v>Labratory</v>
      </c>
    </row>
    <row r="906" spans="1:44" hidden="1" x14ac:dyDescent="0.25">
      <c r="A906">
        <v>291056</v>
      </c>
      <c r="B906" t="s">
        <v>387</v>
      </c>
      <c r="C906" t="s">
        <v>475</v>
      </c>
      <c r="D906" t="s">
        <v>548</v>
      </c>
      <c r="E906" s="3">
        <v>44562</v>
      </c>
      <c r="F906" s="3">
        <v>44926</v>
      </c>
      <c r="G906" t="s">
        <v>116</v>
      </c>
      <c r="H906" s="3">
        <v>44562</v>
      </c>
      <c r="I906" s="3">
        <v>44926</v>
      </c>
      <c r="J906" t="s">
        <v>175</v>
      </c>
      <c r="K906">
        <v>0</v>
      </c>
      <c r="L906" t="s">
        <v>215</v>
      </c>
      <c r="M906" t="s">
        <v>82</v>
      </c>
      <c r="N906" t="s">
        <v>397</v>
      </c>
      <c r="O906" t="s">
        <v>850</v>
      </c>
      <c r="P906" t="s">
        <v>550</v>
      </c>
      <c r="Q906">
        <v>2022</v>
      </c>
      <c r="R906" t="s">
        <v>664</v>
      </c>
      <c r="S906" t="s">
        <v>175</v>
      </c>
      <c r="T906" t="s">
        <v>553</v>
      </c>
      <c r="U906" t="b">
        <v>0</v>
      </c>
      <c r="V906" t="s">
        <v>665</v>
      </c>
      <c r="W906" t="s">
        <v>587</v>
      </c>
      <c r="X906" t="s">
        <v>556</v>
      </c>
      <c r="AC906">
        <v>0</v>
      </c>
      <c r="AD906" t="s">
        <v>565</v>
      </c>
      <c r="AE906">
        <v>0</v>
      </c>
      <c r="AF906">
        <v>2088</v>
      </c>
      <c r="AG906" t="s">
        <v>622</v>
      </c>
      <c r="AH906">
        <v>0.45359291000000002</v>
      </c>
      <c r="AI906">
        <v>0</v>
      </c>
      <c r="AJ906" t="s">
        <v>561</v>
      </c>
      <c r="AK906" t="s">
        <v>623</v>
      </c>
      <c r="AL906" t="s">
        <v>624</v>
      </c>
      <c r="AM906">
        <v>2022</v>
      </c>
      <c r="AN906">
        <v>2007</v>
      </c>
      <c r="AO906">
        <f>IF(AND(emissions[[#This Row],[Market-based]]=0,emissions[[#This Row],[Impact Type]]="CO2E"),emissions[[#This Row],[kgCO2e]],0)/1000</f>
        <v>0</v>
      </c>
      <c r="AP906">
        <f>IF(AND(emissions[[#This Row],[Market-based]]=1,OR(emissions[[#This Row],[Impact Type]]="CO2E",emissions[[#This Row],[Impact Type]]="CO2E MKT")),emissions[[#This Row],[kgCO2e]],0)/1000</f>
        <v>0</v>
      </c>
      <c r="AQ906" t="str">
        <f>_xlfn.TEXTAFTER(emissions[[#This Row],[Reporting Unit]]," &gt; ",LEN(emissions[[#This Row],[Reporting Unit]])-LEN(SUBSTITUTE(emissions[[#This Row],[Reporting Unit]],"&gt;","")))</f>
        <v>Vantage_Dateland</v>
      </c>
      <c r="AR906" t="str">
        <f>_xlfn.XLOOKUP(emissions[[#This Row],[Reporting unit name]],hierarchy!$A:$A,hierarchy!$C:$C)</f>
        <v>Labratory</v>
      </c>
    </row>
    <row r="907" spans="1:44" hidden="1" x14ac:dyDescent="0.25">
      <c r="A907">
        <v>291056</v>
      </c>
      <c r="B907" t="s">
        <v>387</v>
      </c>
      <c r="C907" t="s">
        <v>475</v>
      </c>
      <c r="D907" t="s">
        <v>548</v>
      </c>
      <c r="E907" s="3">
        <v>44562</v>
      </c>
      <c r="F907" s="3">
        <v>44926</v>
      </c>
      <c r="G907" t="s">
        <v>116</v>
      </c>
      <c r="H907" s="3">
        <v>44562</v>
      </c>
      <c r="I907" s="3">
        <v>44926</v>
      </c>
      <c r="J907" t="s">
        <v>175</v>
      </c>
      <c r="K907">
        <v>0</v>
      </c>
      <c r="L907" t="s">
        <v>215</v>
      </c>
      <c r="M907" t="s">
        <v>82</v>
      </c>
      <c r="N907" t="s">
        <v>397</v>
      </c>
      <c r="O907" t="s">
        <v>850</v>
      </c>
      <c r="P907" t="s">
        <v>550</v>
      </c>
      <c r="Q907">
        <v>2022</v>
      </c>
      <c r="R907" t="s">
        <v>664</v>
      </c>
      <c r="S907" t="s">
        <v>175</v>
      </c>
      <c r="T907" t="s">
        <v>553</v>
      </c>
      <c r="U907" t="b">
        <v>0</v>
      </c>
      <c r="V907" t="s">
        <v>665</v>
      </c>
      <c r="W907" t="s">
        <v>587</v>
      </c>
      <c r="X907" t="s">
        <v>556</v>
      </c>
      <c r="AC907">
        <v>1</v>
      </c>
      <c r="AD907" t="s">
        <v>565</v>
      </c>
      <c r="AE907">
        <v>0</v>
      </c>
      <c r="AF907">
        <v>2088</v>
      </c>
      <c r="AG907" t="s">
        <v>622</v>
      </c>
      <c r="AH907">
        <v>0.45359291000000002</v>
      </c>
      <c r="AI907">
        <v>0</v>
      </c>
      <c r="AJ907" t="s">
        <v>561</v>
      </c>
      <c r="AK907" t="s">
        <v>623</v>
      </c>
      <c r="AL907" t="s">
        <v>624</v>
      </c>
      <c r="AM907">
        <v>2022</v>
      </c>
      <c r="AN907">
        <v>2007</v>
      </c>
      <c r="AO907">
        <f>IF(AND(emissions[[#This Row],[Market-based]]=0,emissions[[#This Row],[Impact Type]]="CO2E"),emissions[[#This Row],[kgCO2e]],0)/1000</f>
        <v>0</v>
      </c>
      <c r="AP907">
        <f>IF(AND(emissions[[#This Row],[Market-based]]=1,OR(emissions[[#This Row],[Impact Type]]="CO2E",emissions[[#This Row],[Impact Type]]="CO2E MKT")),emissions[[#This Row],[kgCO2e]],0)/1000</f>
        <v>0</v>
      </c>
      <c r="AQ907" t="str">
        <f>_xlfn.TEXTAFTER(emissions[[#This Row],[Reporting Unit]]," &gt; ",LEN(emissions[[#This Row],[Reporting Unit]])-LEN(SUBSTITUTE(emissions[[#This Row],[Reporting Unit]],"&gt;","")))</f>
        <v>Vantage_Dateland</v>
      </c>
      <c r="AR907" t="str">
        <f>_xlfn.XLOOKUP(emissions[[#This Row],[Reporting unit name]],hierarchy!$A:$A,hierarchy!$C:$C)</f>
        <v>Labratory</v>
      </c>
    </row>
    <row r="908" spans="1:44" hidden="1" x14ac:dyDescent="0.25">
      <c r="A908">
        <v>283994</v>
      </c>
      <c r="B908" t="s">
        <v>387</v>
      </c>
      <c r="C908" t="s">
        <v>475</v>
      </c>
      <c r="D908" t="s">
        <v>548</v>
      </c>
      <c r="E908" s="3">
        <v>44562</v>
      </c>
      <c r="F908" s="3">
        <v>44926</v>
      </c>
      <c r="G908" t="s">
        <v>121</v>
      </c>
      <c r="H908" s="3">
        <v>44562</v>
      </c>
      <c r="I908" s="3">
        <v>44926</v>
      </c>
      <c r="J908" t="s">
        <v>150</v>
      </c>
      <c r="K908">
        <v>710</v>
      </c>
      <c r="L908" t="s">
        <v>148</v>
      </c>
      <c r="M908" t="s">
        <v>110</v>
      </c>
      <c r="O908" t="s">
        <v>851</v>
      </c>
      <c r="P908" t="s">
        <v>550</v>
      </c>
      <c r="Q908">
        <v>2022</v>
      </c>
      <c r="R908" t="s">
        <v>594</v>
      </c>
      <c r="S908" t="s">
        <v>150</v>
      </c>
      <c r="T908" t="s">
        <v>553</v>
      </c>
      <c r="U908" t="b">
        <v>0</v>
      </c>
      <c r="V908" t="s">
        <v>789</v>
      </c>
      <c r="W908" t="s">
        <v>587</v>
      </c>
      <c r="X908" t="s">
        <v>556</v>
      </c>
      <c r="Y908" t="s">
        <v>472</v>
      </c>
      <c r="Z908" t="s">
        <v>485</v>
      </c>
      <c r="AA908" t="s">
        <v>764</v>
      </c>
      <c r="AC908">
        <v>0</v>
      </c>
      <c r="AD908" t="s">
        <v>558</v>
      </c>
      <c r="AE908">
        <v>4.7925000000000004</v>
      </c>
      <c r="AF908">
        <v>6.7499999999999999E-3</v>
      </c>
      <c r="AG908" t="s">
        <v>786</v>
      </c>
      <c r="AH908">
        <v>1</v>
      </c>
      <c r="AI908">
        <v>710</v>
      </c>
      <c r="AJ908" t="s">
        <v>561</v>
      </c>
      <c r="AK908" t="s">
        <v>766</v>
      </c>
      <c r="AL908" t="s">
        <v>787</v>
      </c>
      <c r="AM908">
        <v>2022</v>
      </c>
      <c r="AN908">
        <v>2021</v>
      </c>
      <c r="AO908">
        <f>IF(AND(emissions[[#This Row],[Market-based]]=0,emissions[[#This Row],[Impact Type]]="CO2E"),emissions[[#This Row],[kgCO2e]],0)/1000</f>
        <v>0</v>
      </c>
      <c r="AP908">
        <f>IF(AND(emissions[[#This Row],[Market-based]]=1,OR(emissions[[#This Row],[Impact Type]]="CO2E",emissions[[#This Row],[Impact Type]]="CO2E MKT")),emissions[[#This Row],[kgCO2e]],0)/1000</f>
        <v>0</v>
      </c>
      <c r="AQ908" t="str">
        <f>_xlfn.TEXTAFTER(emissions[[#This Row],[Reporting Unit]]," &gt; ",LEN(emissions[[#This Row],[Reporting Unit]])-LEN(SUBSTITUTE(emissions[[#This Row],[Reporting Unit]],"&gt;","")))</f>
        <v>Vantage_Dateland</v>
      </c>
      <c r="AR908" t="str">
        <f>_xlfn.XLOOKUP(emissions[[#This Row],[Reporting unit name]],hierarchy!$A:$A,hierarchy!$C:$C)</f>
        <v>Labratory</v>
      </c>
    </row>
    <row r="909" spans="1:44" hidden="1" x14ac:dyDescent="0.25">
      <c r="A909">
        <v>283994</v>
      </c>
      <c r="B909" t="s">
        <v>387</v>
      </c>
      <c r="C909" t="s">
        <v>475</v>
      </c>
      <c r="D909" t="s">
        <v>548</v>
      </c>
      <c r="E909" s="3">
        <v>44562</v>
      </c>
      <c r="F909" s="3">
        <v>44926</v>
      </c>
      <c r="G909" t="s">
        <v>121</v>
      </c>
      <c r="H909" s="3">
        <v>44562</v>
      </c>
      <c r="I909" s="3">
        <v>44926</v>
      </c>
      <c r="J909" t="s">
        <v>150</v>
      </c>
      <c r="K909">
        <v>710</v>
      </c>
      <c r="L909" t="s">
        <v>148</v>
      </c>
      <c r="M909" t="s">
        <v>110</v>
      </c>
      <c r="O909" t="s">
        <v>851</v>
      </c>
      <c r="P909" t="s">
        <v>550</v>
      </c>
      <c r="Q909">
        <v>2022</v>
      </c>
      <c r="R909" t="s">
        <v>594</v>
      </c>
      <c r="S909" t="s">
        <v>150</v>
      </c>
      <c r="T909" t="s">
        <v>553</v>
      </c>
      <c r="U909" t="b">
        <v>0</v>
      </c>
      <c r="V909" t="s">
        <v>789</v>
      </c>
      <c r="W909" t="s">
        <v>587</v>
      </c>
      <c r="X909" t="s">
        <v>556</v>
      </c>
      <c r="Y909" t="s">
        <v>472</v>
      </c>
      <c r="Z909" t="s">
        <v>485</v>
      </c>
      <c r="AA909" t="s">
        <v>764</v>
      </c>
      <c r="AC909">
        <v>0</v>
      </c>
      <c r="AD909" t="s">
        <v>564</v>
      </c>
      <c r="AE909">
        <v>4061.2</v>
      </c>
      <c r="AF909">
        <v>5.72</v>
      </c>
      <c r="AG909" t="s">
        <v>786</v>
      </c>
      <c r="AH909">
        <v>1</v>
      </c>
      <c r="AI909">
        <v>710</v>
      </c>
      <c r="AJ909" t="s">
        <v>561</v>
      </c>
      <c r="AK909" t="s">
        <v>766</v>
      </c>
      <c r="AL909" t="s">
        <v>767</v>
      </c>
      <c r="AM909">
        <v>2022</v>
      </c>
      <c r="AN909">
        <v>2022</v>
      </c>
      <c r="AO909">
        <f>IF(AND(emissions[[#This Row],[Market-based]]=0,emissions[[#This Row],[Impact Type]]="CO2E"),emissions[[#This Row],[kgCO2e]],0)/1000</f>
        <v>0</v>
      </c>
      <c r="AP909">
        <f>IF(AND(emissions[[#This Row],[Market-based]]=1,OR(emissions[[#This Row],[Impact Type]]="CO2E",emissions[[#This Row],[Impact Type]]="CO2E MKT")),emissions[[#This Row],[kgCO2e]],0)/1000</f>
        <v>0</v>
      </c>
      <c r="AQ909" t="str">
        <f>_xlfn.TEXTAFTER(emissions[[#This Row],[Reporting Unit]]," &gt; ",LEN(emissions[[#This Row],[Reporting Unit]])-LEN(SUBSTITUTE(emissions[[#This Row],[Reporting Unit]],"&gt;","")))</f>
        <v>Vantage_Dateland</v>
      </c>
      <c r="AR909" t="str">
        <f>_xlfn.XLOOKUP(emissions[[#This Row],[Reporting unit name]],hierarchy!$A:$A,hierarchy!$C:$C)</f>
        <v>Labratory</v>
      </c>
    </row>
    <row r="910" spans="1:44" hidden="1" x14ac:dyDescent="0.25">
      <c r="A910">
        <v>283994</v>
      </c>
      <c r="B910" t="s">
        <v>387</v>
      </c>
      <c r="C910" t="s">
        <v>475</v>
      </c>
      <c r="D910" t="s">
        <v>548</v>
      </c>
      <c r="E910" s="3">
        <v>44562</v>
      </c>
      <c r="F910" s="3">
        <v>44926</v>
      </c>
      <c r="G910" t="s">
        <v>121</v>
      </c>
      <c r="H910" s="3">
        <v>44562</v>
      </c>
      <c r="I910" s="3">
        <v>44926</v>
      </c>
      <c r="J910" t="s">
        <v>150</v>
      </c>
      <c r="K910">
        <v>710</v>
      </c>
      <c r="L910" t="s">
        <v>148</v>
      </c>
      <c r="M910" t="s">
        <v>110</v>
      </c>
      <c r="O910" t="s">
        <v>851</v>
      </c>
      <c r="P910" t="s">
        <v>550</v>
      </c>
      <c r="Q910">
        <v>2022</v>
      </c>
      <c r="R910" t="s">
        <v>594</v>
      </c>
      <c r="S910" t="s">
        <v>150</v>
      </c>
      <c r="T910" t="s">
        <v>553</v>
      </c>
      <c r="U910" t="b">
        <v>0</v>
      </c>
      <c r="V910" t="s">
        <v>789</v>
      </c>
      <c r="W910" t="s">
        <v>587</v>
      </c>
      <c r="X910" t="s">
        <v>556</v>
      </c>
      <c r="Y910" t="s">
        <v>472</v>
      </c>
      <c r="Z910" t="s">
        <v>485</v>
      </c>
      <c r="AA910" t="s">
        <v>764</v>
      </c>
      <c r="AC910">
        <v>0</v>
      </c>
      <c r="AD910" t="s">
        <v>565</v>
      </c>
      <c r="AE910">
        <v>4076.5715</v>
      </c>
      <c r="AF910">
        <v>5.7416499999999999</v>
      </c>
      <c r="AG910" t="s">
        <v>786</v>
      </c>
      <c r="AH910">
        <v>1</v>
      </c>
      <c r="AI910">
        <v>710</v>
      </c>
      <c r="AJ910" t="s">
        <v>561</v>
      </c>
      <c r="AK910" t="s">
        <v>766</v>
      </c>
      <c r="AL910" t="s">
        <v>767</v>
      </c>
      <c r="AM910">
        <v>2022</v>
      </c>
      <c r="AN910">
        <v>2022</v>
      </c>
      <c r="AO910">
        <f>IF(AND(emissions[[#This Row],[Market-based]]=0,emissions[[#This Row],[Impact Type]]="CO2E"),emissions[[#This Row],[kgCO2e]],0)/1000</f>
        <v>4.0765715</v>
      </c>
      <c r="AP910">
        <f>IF(AND(emissions[[#This Row],[Market-based]]=1,OR(emissions[[#This Row],[Impact Type]]="CO2E",emissions[[#This Row],[Impact Type]]="CO2E MKT")),emissions[[#This Row],[kgCO2e]],0)/1000</f>
        <v>0</v>
      </c>
      <c r="AQ910" t="str">
        <f>_xlfn.TEXTAFTER(emissions[[#This Row],[Reporting Unit]]," &gt; ",LEN(emissions[[#This Row],[Reporting Unit]])-LEN(SUBSTITUTE(emissions[[#This Row],[Reporting Unit]],"&gt;","")))</f>
        <v>Vantage_Dateland</v>
      </c>
      <c r="AR910" t="str">
        <f>_xlfn.XLOOKUP(emissions[[#This Row],[Reporting unit name]],hierarchy!$A:$A,hierarchy!$C:$C)</f>
        <v>Labratory</v>
      </c>
    </row>
    <row r="911" spans="1:44" hidden="1" x14ac:dyDescent="0.25">
      <c r="A911">
        <v>283994</v>
      </c>
      <c r="B911" t="s">
        <v>387</v>
      </c>
      <c r="C911" t="s">
        <v>475</v>
      </c>
      <c r="D911" t="s">
        <v>548</v>
      </c>
      <c r="E911" s="3">
        <v>44562</v>
      </c>
      <c r="F911" s="3">
        <v>44926</v>
      </c>
      <c r="G911" t="s">
        <v>121</v>
      </c>
      <c r="H911" s="3">
        <v>44562</v>
      </c>
      <c r="I911" s="3">
        <v>44926</v>
      </c>
      <c r="J911" t="s">
        <v>150</v>
      </c>
      <c r="K911">
        <v>710</v>
      </c>
      <c r="L911" t="s">
        <v>148</v>
      </c>
      <c r="M911" t="s">
        <v>110</v>
      </c>
      <c r="O911" t="s">
        <v>851</v>
      </c>
      <c r="P911" t="s">
        <v>550</v>
      </c>
      <c r="Q911">
        <v>2022</v>
      </c>
      <c r="R911" t="s">
        <v>594</v>
      </c>
      <c r="S911" t="s">
        <v>150</v>
      </c>
      <c r="T911" t="s">
        <v>553</v>
      </c>
      <c r="U911" t="b">
        <v>0</v>
      </c>
      <c r="V911" t="s">
        <v>789</v>
      </c>
      <c r="W911" t="s">
        <v>587</v>
      </c>
      <c r="X911" t="s">
        <v>556</v>
      </c>
      <c r="Y911" t="s">
        <v>472</v>
      </c>
      <c r="Z911" t="s">
        <v>485</v>
      </c>
      <c r="AA911" t="s">
        <v>764</v>
      </c>
      <c r="AC911">
        <v>0</v>
      </c>
      <c r="AD911" t="s">
        <v>566</v>
      </c>
      <c r="AE911">
        <v>10.579000000000001</v>
      </c>
      <c r="AF911">
        <v>1.49E-2</v>
      </c>
      <c r="AG911" t="s">
        <v>786</v>
      </c>
      <c r="AH911">
        <v>1</v>
      </c>
      <c r="AI911">
        <v>710</v>
      </c>
      <c r="AJ911" t="s">
        <v>561</v>
      </c>
      <c r="AK911" t="s">
        <v>766</v>
      </c>
      <c r="AL911" t="s">
        <v>787</v>
      </c>
      <c r="AM911">
        <v>2022</v>
      </c>
      <c r="AN911">
        <v>2021</v>
      </c>
      <c r="AO911">
        <f>IF(AND(emissions[[#This Row],[Market-based]]=0,emissions[[#This Row],[Impact Type]]="CO2E"),emissions[[#This Row],[kgCO2e]],0)/1000</f>
        <v>0</v>
      </c>
      <c r="AP911">
        <f>IF(AND(emissions[[#This Row],[Market-based]]=1,OR(emissions[[#This Row],[Impact Type]]="CO2E",emissions[[#This Row],[Impact Type]]="CO2E MKT")),emissions[[#This Row],[kgCO2e]],0)/1000</f>
        <v>0</v>
      </c>
      <c r="AQ911" t="str">
        <f>_xlfn.TEXTAFTER(emissions[[#This Row],[Reporting Unit]]," &gt; ",LEN(emissions[[#This Row],[Reporting Unit]])-LEN(SUBSTITUTE(emissions[[#This Row],[Reporting Unit]],"&gt;","")))</f>
        <v>Vantage_Dateland</v>
      </c>
      <c r="AR911" t="str">
        <f>_xlfn.XLOOKUP(emissions[[#This Row],[Reporting unit name]],hierarchy!$A:$A,hierarchy!$C:$C)</f>
        <v>Labratory</v>
      </c>
    </row>
    <row r="912" spans="1:44" hidden="1" x14ac:dyDescent="0.25">
      <c r="A912">
        <v>283994</v>
      </c>
      <c r="B912" t="s">
        <v>387</v>
      </c>
      <c r="C912" t="s">
        <v>475</v>
      </c>
      <c r="D912" t="s">
        <v>548</v>
      </c>
      <c r="E912" s="3">
        <v>44562</v>
      </c>
      <c r="F912" s="3">
        <v>44926</v>
      </c>
      <c r="G912" t="s">
        <v>121</v>
      </c>
      <c r="H912" s="3">
        <v>44562</v>
      </c>
      <c r="I912" s="3">
        <v>44926</v>
      </c>
      <c r="J912" t="s">
        <v>150</v>
      </c>
      <c r="K912">
        <v>710</v>
      </c>
      <c r="L912" t="s">
        <v>148</v>
      </c>
      <c r="M912" t="s">
        <v>110</v>
      </c>
      <c r="O912" t="s">
        <v>851</v>
      </c>
      <c r="P912" t="s">
        <v>550</v>
      </c>
      <c r="Q912">
        <v>2022</v>
      </c>
      <c r="R912" t="s">
        <v>594</v>
      </c>
      <c r="S912" t="s">
        <v>150</v>
      </c>
      <c r="T912" t="s">
        <v>553</v>
      </c>
      <c r="U912" t="b">
        <v>0</v>
      </c>
      <c r="V912" t="s">
        <v>789</v>
      </c>
      <c r="W912" t="s">
        <v>587</v>
      </c>
      <c r="X912" t="s">
        <v>556</v>
      </c>
      <c r="Y912" t="s">
        <v>472</v>
      </c>
      <c r="Z912" t="s">
        <v>485</v>
      </c>
      <c r="AA912" t="s">
        <v>764</v>
      </c>
      <c r="AC912">
        <v>1</v>
      </c>
      <c r="AD912" t="s">
        <v>558</v>
      </c>
      <c r="AE912">
        <v>4.7925000000000004</v>
      </c>
      <c r="AF912">
        <v>6.7499999999999999E-3</v>
      </c>
      <c r="AG912" t="s">
        <v>786</v>
      </c>
      <c r="AH912">
        <v>1</v>
      </c>
      <c r="AI912">
        <v>710</v>
      </c>
      <c r="AJ912" t="s">
        <v>561</v>
      </c>
      <c r="AK912" t="s">
        <v>766</v>
      </c>
      <c r="AL912" t="s">
        <v>787</v>
      </c>
      <c r="AM912">
        <v>2022</v>
      </c>
      <c r="AN912">
        <v>2021</v>
      </c>
      <c r="AO912">
        <f>IF(AND(emissions[[#This Row],[Market-based]]=0,emissions[[#This Row],[Impact Type]]="CO2E"),emissions[[#This Row],[kgCO2e]],0)/1000</f>
        <v>0</v>
      </c>
      <c r="AP912">
        <f>IF(AND(emissions[[#This Row],[Market-based]]=1,OR(emissions[[#This Row],[Impact Type]]="CO2E",emissions[[#This Row],[Impact Type]]="CO2E MKT")),emissions[[#This Row],[kgCO2e]],0)/1000</f>
        <v>0</v>
      </c>
      <c r="AQ912" t="str">
        <f>_xlfn.TEXTAFTER(emissions[[#This Row],[Reporting Unit]]," &gt; ",LEN(emissions[[#This Row],[Reporting Unit]])-LEN(SUBSTITUTE(emissions[[#This Row],[Reporting Unit]],"&gt;","")))</f>
        <v>Vantage_Dateland</v>
      </c>
      <c r="AR912" t="str">
        <f>_xlfn.XLOOKUP(emissions[[#This Row],[Reporting unit name]],hierarchy!$A:$A,hierarchy!$C:$C)</f>
        <v>Labratory</v>
      </c>
    </row>
    <row r="913" spans="1:44" hidden="1" x14ac:dyDescent="0.25">
      <c r="A913">
        <v>283994</v>
      </c>
      <c r="B913" t="s">
        <v>387</v>
      </c>
      <c r="C913" t="s">
        <v>475</v>
      </c>
      <c r="D913" t="s">
        <v>548</v>
      </c>
      <c r="E913" s="3">
        <v>44562</v>
      </c>
      <c r="F913" s="3">
        <v>44926</v>
      </c>
      <c r="G913" t="s">
        <v>121</v>
      </c>
      <c r="H913" s="3">
        <v>44562</v>
      </c>
      <c r="I913" s="3">
        <v>44926</v>
      </c>
      <c r="J913" t="s">
        <v>150</v>
      </c>
      <c r="K913">
        <v>710</v>
      </c>
      <c r="L913" t="s">
        <v>148</v>
      </c>
      <c r="M913" t="s">
        <v>110</v>
      </c>
      <c r="O913" t="s">
        <v>851</v>
      </c>
      <c r="P913" t="s">
        <v>550</v>
      </c>
      <c r="Q913">
        <v>2022</v>
      </c>
      <c r="R913" t="s">
        <v>594</v>
      </c>
      <c r="S913" t="s">
        <v>150</v>
      </c>
      <c r="T913" t="s">
        <v>553</v>
      </c>
      <c r="U913" t="b">
        <v>0</v>
      </c>
      <c r="V913" t="s">
        <v>789</v>
      </c>
      <c r="W913" t="s">
        <v>587</v>
      </c>
      <c r="X913" t="s">
        <v>556</v>
      </c>
      <c r="Y913" t="s">
        <v>472</v>
      </c>
      <c r="Z913" t="s">
        <v>485</v>
      </c>
      <c r="AA913" t="s">
        <v>764</v>
      </c>
      <c r="AC913">
        <v>1</v>
      </c>
      <c r="AD913" t="s">
        <v>564</v>
      </c>
      <c r="AE913">
        <v>4061.2</v>
      </c>
      <c r="AF913">
        <v>5.72</v>
      </c>
      <c r="AG913" t="s">
        <v>786</v>
      </c>
      <c r="AH913">
        <v>1</v>
      </c>
      <c r="AI913">
        <v>710</v>
      </c>
      <c r="AJ913" t="s">
        <v>561</v>
      </c>
      <c r="AK913" t="s">
        <v>766</v>
      </c>
      <c r="AL913" t="s">
        <v>767</v>
      </c>
      <c r="AM913">
        <v>2022</v>
      </c>
      <c r="AN913">
        <v>2022</v>
      </c>
      <c r="AO913">
        <f>IF(AND(emissions[[#This Row],[Market-based]]=0,emissions[[#This Row],[Impact Type]]="CO2E"),emissions[[#This Row],[kgCO2e]],0)/1000</f>
        <v>0</v>
      </c>
      <c r="AP913">
        <f>IF(AND(emissions[[#This Row],[Market-based]]=1,OR(emissions[[#This Row],[Impact Type]]="CO2E",emissions[[#This Row],[Impact Type]]="CO2E MKT")),emissions[[#This Row],[kgCO2e]],0)/1000</f>
        <v>0</v>
      </c>
      <c r="AQ913" t="str">
        <f>_xlfn.TEXTAFTER(emissions[[#This Row],[Reporting Unit]]," &gt; ",LEN(emissions[[#This Row],[Reporting Unit]])-LEN(SUBSTITUTE(emissions[[#This Row],[Reporting Unit]],"&gt;","")))</f>
        <v>Vantage_Dateland</v>
      </c>
      <c r="AR913" t="str">
        <f>_xlfn.XLOOKUP(emissions[[#This Row],[Reporting unit name]],hierarchy!$A:$A,hierarchy!$C:$C)</f>
        <v>Labratory</v>
      </c>
    </row>
    <row r="914" spans="1:44" hidden="1" x14ac:dyDescent="0.25">
      <c r="A914">
        <v>283994</v>
      </c>
      <c r="B914" t="s">
        <v>387</v>
      </c>
      <c r="C914" t="s">
        <v>475</v>
      </c>
      <c r="D914" t="s">
        <v>548</v>
      </c>
      <c r="E914" s="3">
        <v>44562</v>
      </c>
      <c r="F914" s="3">
        <v>44926</v>
      </c>
      <c r="G914" t="s">
        <v>121</v>
      </c>
      <c r="H914" s="3">
        <v>44562</v>
      </c>
      <c r="I914" s="3">
        <v>44926</v>
      </c>
      <c r="J914" t="s">
        <v>150</v>
      </c>
      <c r="K914">
        <v>710</v>
      </c>
      <c r="L914" t="s">
        <v>148</v>
      </c>
      <c r="M914" t="s">
        <v>110</v>
      </c>
      <c r="O914" t="s">
        <v>851</v>
      </c>
      <c r="P914" t="s">
        <v>550</v>
      </c>
      <c r="Q914">
        <v>2022</v>
      </c>
      <c r="R914" t="s">
        <v>594</v>
      </c>
      <c r="S914" t="s">
        <v>150</v>
      </c>
      <c r="T914" t="s">
        <v>553</v>
      </c>
      <c r="U914" t="b">
        <v>0</v>
      </c>
      <c r="V914" t="s">
        <v>789</v>
      </c>
      <c r="W914" t="s">
        <v>587</v>
      </c>
      <c r="X914" t="s">
        <v>556</v>
      </c>
      <c r="Y914" t="s">
        <v>472</v>
      </c>
      <c r="Z914" t="s">
        <v>485</v>
      </c>
      <c r="AA914" t="s">
        <v>764</v>
      </c>
      <c r="AC914">
        <v>1</v>
      </c>
      <c r="AD914" t="s">
        <v>565</v>
      </c>
      <c r="AE914">
        <v>4076.5715</v>
      </c>
      <c r="AF914">
        <v>5.7416499999999999</v>
      </c>
      <c r="AG914" t="s">
        <v>786</v>
      </c>
      <c r="AH914">
        <v>1</v>
      </c>
      <c r="AI914">
        <v>710</v>
      </c>
      <c r="AJ914" t="s">
        <v>561</v>
      </c>
      <c r="AK914" t="s">
        <v>766</v>
      </c>
      <c r="AL914" t="s">
        <v>767</v>
      </c>
      <c r="AM914">
        <v>2022</v>
      </c>
      <c r="AN914">
        <v>2022</v>
      </c>
      <c r="AO914">
        <f>IF(AND(emissions[[#This Row],[Market-based]]=0,emissions[[#This Row],[Impact Type]]="CO2E"),emissions[[#This Row],[kgCO2e]],0)/1000</f>
        <v>0</v>
      </c>
      <c r="AP914">
        <f>IF(AND(emissions[[#This Row],[Market-based]]=1,OR(emissions[[#This Row],[Impact Type]]="CO2E",emissions[[#This Row],[Impact Type]]="CO2E MKT")),emissions[[#This Row],[kgCO2e]],0)/1000</f>
        <v>4.0765715</v>
      </c>
      <c r="AQ914" t="str">
        <f>_xlfn.TEXTAFTER(emissions[[#This Row],[Reporting Unit]]," &gt; ",LEN(emissions[[#This Row],[Reporting Unit]])-LEN(SUBSTITUTE(emissions[[#This Row],[Reporting Unit]],"&gt;","")))</f>
        <v>Vantage_Dateland</v>
      </c>
      <c r="AR914" t="str">
        <f>_xlfn.XLOOKUP(emissions[[#This Row],[Reporting unit name]],hierarchy!$A:$A,hierarchy!$C:$C)</f>
        <v>Labratory</v>
      </c>
    </row>
    <row r="915" spans="1:44" hidden="1" x14ac:dyDescent="0.25">
      <c r="A915">
        <v>283994</v>
      </c>
      <c r="B915" t="s">
        <v>387</v>
      </c>
      <c r="C915" t="s">
        <v>475</v>
      </c>
      <c r="D915" t="s">
        <v>548</v>
      </c>
      <c r="E915" s="3">
        <v>44562</v>
      </c>
      <c r="F915" s="3">
        <v>44926</v>
      </c>
      <c r="G915" t="s">
        <v>121</v>
      </c>
      <c r="H915" s="3">
        <v>44562</v>
      </c>
      <c r="I915" s="3">
        <v>44926</v>
      </c>
      <c r="J915" t="s">
        <v>150</v>
      </c>
      <c r="K915">
        <v>710</v>
      </c>
      <c r="L915" t="s">
        <v>148</v>
      </c>
      <c r="M915" t="s">
        <v>110</v>
      </c>
      <c r="O915" t="s">
        <v>851</v>
      </c>
      <c r="P915" t="s">
        <v>550</v>
      </c>
      <c r="Q915">
        <v>2022</v>
      </c>
      <c r="R915" t="s">
        <v>594</v>
      </c>
      <c r="S915" t="s">
        <v>150</v>
      </c>
      <c r="T915" t="s">
        <v>553</v>
      </c>
      <c r="U915" t="b">
        <v>0</v>
      </c>
      <c r="V915" t="s">
        <v>789</v>
      </c>
      <c r="W915" t="s">
        <v>587</v>
      </c>
      <c r="X915" t="s">
        <v>556</v>
      </c>
      <c r="Y915" t="s">
        <v>472</v>
      </c>
      <c r="Z915" t="s">
        <v>485</v>
      </c>
      <c r="AA915" t="s">
        <v>764</v>
      </c>
      <c r="AC915">
        <v>1</v>
      </c>
      <c r="AD915" t="s">
        <v>566</v>
      </c>
      <c r="AE915">
        <v>10.579000000000001</v>
      </c>
      <c r="AF915">
        <v>1.49E-2</v>
      </c>
      <c r="AG915" t="s">
        <v>786</v>
      </c>
      <c r="AH915">
        <v>1</v>
      </c>
      <c r="AI915">
        <v>710</v>
      </c>
      <c r="AJ915" t="s">
        <v>561</v>
      </c>
      <c r="AK915" t="s">
        <v>766</v>
      </c>
      <c r="AL915" t="s">
        <v>787</v>
      </c>
      <c r="AM915">
        <v>2022</v>
      </c>
      <c r="AN915">
        <v>2021</v>
      </c>
      <c r="AO915">
        <f>IF(AND(emissions[[#This Row],[Market-based]]=0,emissions[[#This Row],[Impact Type]]="CO2E"),emissions[[#This Row],[kgCO2e]],0)/1000</f>
        <v>0</v>
      </c>
      <c r="AP915">
        <f>IF(AND(emissions[[#This Row],[Market-based]]=1,OR(emissions[[#This Row],[Impact Type]]="CO2E",emissions[[#This Row],[Impact Type]]="CO2E MKT")),emissions[[#This Row],[kgCO2e]],0)/1000</f>
        <v>0</v>
      </c>
      <c r="AQ915" t="str">
        <f>_xlfn.TEXTAFTER(emissions[[#This Row],[Reporting Unit]]," &gt; ",LEN(emissions[[#This Row],[Reporting Unit]])-LEN(SUBSTITUTE(emissions[[#This Row],[Reporting Unit]],"&gt;","")))</f>
        <v>Vantage_Dateland</v>
      </c>
      <c r="AR915" t="str">
        <f>_xlfn.XLOOKUP(emissions[[#This Row],[Reporting unit name]],hierarchy!$A:$A,hierarchy!$C:$C)</f>
        <v>Labratory</v>
      </c>
    </row>
    <row r="916" spans="1:44" hidden="1" x14ac:dyDescent="0.25">
      <c r="A916">
        <v>283994</v>
      </c>
      <c r="B916" t="s">
        <v>387</v>
      </c>
      <c r="C916" t="s">
        <v>475</v>
      </c>
      <c r="D916" t="s">
        <v>548</v>
      </c>
      <c r="E916" s="3">
        <v>44562</v>
      </c>
      <c r="F916" s="3">
        <v>44926</v>
      </c>
      <c r="G916" t="s">
        <v>121</v>
      </c>
      <c r="H916" s="3">
        <v>44562</v>
      </c>
      <c r="I916" s="3">
        <v>44926</v>
      </c>
      <c r="J916" t="s">
        <v>150</v>
      </c>
      <c r="K916">
        <v>710</v>
      </c>
      <c r="L916" t="s">
        <v>148</v>
      </c>
      <c r="M916" t="s">
        <v>110</v>
      </c>
      <c r="O916" t="s">
        <v>851</v>
      </c>
      <c r="P916" t="s">
        <v>550</v>
      </c>
      <c r="Q916">
        <v>2022</v>
      </c>
      <c r="R916" t="s">
        <v>596</v>
      </c>
      <c r="S916" t="s">
        <v>597</v>
      </c>
      <c r="T916" t="s">
        <v>577</v>
      </c>
      <c r="U916" t="b">
        <v>0</v>
      </c>
      <c r="V916" t="s">
        <v>598</v>
      </c>
      <c r="W916" t="s">
        <v>571</v>
      </c>
      <c r="X916" t="s">
        <v>572</v>
      </c>
      <c r="AC916">
        <v>0</v>
      </c>
      <c r="AD916" t="s">
        <v>565</v>
      </c>
      <c r="AE916">
        <v>485.01171290000002</v>
      </c>
      <c r="AF916">
        <v>0.18046000000000001</v>
      </c>
      <c r="AG916" t="s">
        <v>588</v>
      </c>
      <c r="AH916">
        <v>3.7854100000000002</v>
      </c>
      <c r="AI916">
        <v>2687.6410999999998</v>
      </c>
      <c r="AJ916" t="s">
        <v>561</v>
      </c>
      <c r="AK916" t="s">
        <v>589</v>
      </c>
      <c r="AL916" t="s">
        <v>590</v>
      </c>
      <c r="AM916">
        <v>2022</v>
      </c>
      <c r="AN916">
        <v>2020</v>
      </c>
      <c r="AO916">
        <f>IF(AND(emissions[[#This Row],[Market-based]]=0,emissions[[#This Row],[Impact Type]]="CO2E"),emissions[[#This Row],[kgCO2e]],0)/1000</f>
        <v>0.4850117129</v>
      </c>
      <c r="AP916">
        <f>IF(AND(emissions[[#This Row],[Market-based]]=1,OR(emissions[[#This Row],[Impact Type]]="CO2E",emissions[[#This Row],[Impact Type]]="CO2E MKT")),emissions[[#This Row],[kgCO2e]],0)/1000</f>
        <v>0</v>
      </c>
      <c r="AQ916" t="str">
        <f>_xlfn.TEXTAFTER(emissions[[#This Row],[Reporting Unit]]," &gt; ",LEN(emissions[[#This Row],[Reporting Unit]])-LEN(SUBSTITUTE(emissions[[#This Row],[Reporting Unit]],"&gt;","")))</f>
        <v>Vantage_Dateland</v>
      </c>
      <c r="AR916" t="str">
        <f>_xlfn.XLOOKUP(emissions[[#This Row],[Reporting unit name]],hierarchy!$A:$A,hierarchy!$C:$C)</f>
        <v>Labratory</v>
      </c>
    </row>
    <row r="917" spans="1:44" hidden="1" x14ac:dyDescent="0.25">
      <c r="A917">
        <v>283994</v>
      </c>
      <c r="B917" t="s">
        <v>387</v>
      </c>
      <c r="C917" t="s">
        <v>475</v>
      </c>
      <c r="D917" t="s">
        <v>548</v>
      </c>
      <c r="E917" s="3">
        <v>44562</v>
      </c>
      <c r="F917" s="3">
        <v>44926</v>
      </c>
      <c r="G917" t="s">
        <v>121</v>
      </c>
      <c r="H917" s="3">
        <v>44562</v>
      </c>
      <c r="I917" s="3">
        <v>44926</v>
      </c>
      <c r="J917" t="s">
        <v>150</v>
      </c>
      <c r="K917">
        <v>710</v>
      </c>
      <c r="L917" t="s">
        <v>148</v>
      </c>
      <c r="M917" t="s">
        <v>110</v>
      </c>
      <c r="O917" t="s">
        <v>851</v>
      </c>
      <c r="P917" t="s">
        <v>550</v>
      </c>
      <c r="Q917">
        <v>2022</v>
      </c>
      <c r="R917" t="s">
        <v>596</v>
      </c>
      <c r="S917" t="s">
        <v>597</v>
      </c>
      <c r="T917" t="s">
        <v>577</v>
      </c>
      <c r="U917" t="b">
        <v>0</v>
      </c>
      <c r="V917" t="s">
        <v>598</v>
      </c>
      <c r="W917" t="s">
        <v>571</v>
      </c>
      <c r="X917" t="s">
        <v>572</v>
      </c>
      <c r="AC917">
        <v>1</v>
      </c>
      <c r="AD917" t="s">
        <v>565</v>
      </c>
      <c r="AE917">
        <v>485.01171290000002</v>
      </c>
      <c r="AF917">
        <v>0.18046000000000001</v>
      </c>
      <c r="AG917" t="s">
        <v>588</v>
      </c>
      <c r="AH917">
        <v>3.7854100000000002</v>
      </c>
      <c r="AI917">
        <v>2687.6410999999998</v>
      </c>
      <c r="AJ917" t="s">
        <v>561</v>
      </c>
      <c r="AK917" t="s">
        <v>589</v>
      </c>
      <c r="AL917" t="s">
        <v>590</v>
      </c>
      <c r="AM917">
        <v>2022</v>
      </c>
      <c r="AN917">
        <v>2020</v>
      </c>
      <c r="AO917">
        <f>IF(AND(emissions[[#This Row],[Market-based]]=0,emissions[[#This Row],[Impact Type]]="CO2E"),emissions[[#This Row],[kgCO2e]],0)/1000</f>
        <v>0</v>
      </c>
      <c r="AP917">
        <f>IF(AND(emissions[[#This Row],[Market-based]]=1,OR(emissions[[#This Row],[Impact Type]]="CO2E",emissions[[#This Row],[Impact Type]]="CO2E MKT")),emissions[[#This Row],[kgCO2e]],0)/1000</f>
        <v>0.4850117129</v>
      </c>
      <c r="AQ917" t="str">
        <f>_xlfn.TEXTAFTER(emissions[[#This Row],[Reporting Unit]]," &gt; ",LEN(emissions[[#This Row],[Reporting Unit]])-LEN(SUBSTITUTE(emissions[[#This Row],[Reporting Unit]],"&gt;","")))</f>
        <v>Vantage_Dateland</v>
      </c>
      <c r="AR917" t="str">
        <f>_xlfn.XLOOKUP(emissions[[#This Row],[Reporting unit name]],hierarchy!$A:$A,hierarchy!$C:$C)</f>
        <v>Labratory</v>
      </c>
    </row>
    <row r="918" spans="1:44" hidden="1" x14ac:dyDescent="0.25">
      <c r="A918">
        <v>4946</v>
      </c>
      <c r="B918" t="s">
        <v>387</v>
      </c>
      <c r="C918" t="s">
        <v>475</v>
      </c>
      <c r="D918" t="s">
        <v>599</v>
      </c>
      <c r="E918" s="3">
        <v>44197</v>
      </c>
      <c r="F918" s="3">
        <v>44561</v>
      </c>
      <c r="G918" t="s">
        <v>108</v>
      </c>
      <c r="H918" s="3">
        <v>44197</v>
      </c>
      <c r="I918" s="3">
        <v>44561</v>
      </c>
      <c r="J918" t="s">
        <v>108</v>
      </c>
      <c r="K918">
        <v>5074767</v>
      </c>
      <c r="L918" t="s">
        <v>109</v>
      </c>
      <c r="M918" t="s">
        <v>110</v>
      </c>
      <c r="O918" t="s">
        <v>600</v>
      </c>
      <c r="P918" t="s">
        <v>852</v>
      </c>
      <c r="Q918">
        <v>2021</v>
      </c>
      <c r="R918" t="s">
        <v>551</v>
      </c>
      <c r="S918" t="s">
        <v>552</v>
      </c>
      <c r="T918" t="s">
        <v>553</v>
      </c>
      <c r="U918" t="b">
        <v>0</v>
      </c>
      <c r="V918" t="s">
        <v>831</v>
      </c>
      <c r="W918" t="s">
        <v>555</v>
      </c>
      <c r="X918" t="s">
        <v>556</v>
      </c>
      <c r="Y918" t="s">
        <v>472</v>
      </c>
      <c r="Z918" t="s">
        <v>485</v>
      </c>
      <c r="AA918" t="s">
        <v>764</v>
      </c>
      <c r="AB918" t="s">
        <v>832</v>
      </c>
      <c r="AC918">
        <v>0</v>
      </c>
      <c r="AD918" t="s">
        <v>558</v>
      </c>
      <c r="AE918">
        <v>3913.1885040000002</v>
      </c>
      <c r="AF918">
        <v>7.7110700000000004E-4</v>
      </c>
      <c r="AG918" t="s">
        <v>560</v>
      </c>
      <c r="AH918">
        <v>1</v>
      </c>
      <c r="AI918">
        <v>5074767</v>
      </c>
      <c r="AJ918" t="s">
        <v>561</v>
      </c>
      <c r="AK918" t="s">
        <v>766</v>
      </c>
      <c r="AL918" t="s">
        <v>790</v>
      </c>
      <c r="AM918">
        <v>2021</v>
      </c>
      <c r="AN918">
        <v>2019</v>
      </c>
      <c r="AO918">
        <f>IF(AND(emissions[[#This Row],[Market-based]]=0,emissions[[#This Row],[Impact Type]]="CO2E"),emissions[[#This Row],[kgCO2e]],0)/1000</f>
        <v>0</v>
      </c>
      <c r="AP918">
        <f>IF(AND(emissions[[#This Row],[Market-based]]=1,OR(emissions[[#This Row],[Impact Type]]="CO2E",emissions[[#This Row],[Impact Type]]="CO2E MKT")),emissions[[#This Row],[kgCO2e]],0)/1000</f>
        <v>0</v>
      </c>
      <c r="AQ918" t="str">
        <f>_xlfn.TEXTAFTER(emissions[[#This Row],[Reporting Unit]]," &gt; ",LEN(emissions[[#This Row],[Reporting Unit]])-LEN(SUBSTITUTE(emissions[[#This Row],[Reporting Unit]],"&gt;","")))</f>
        <v>Vantage_Dateland</v>
      </c>
      <c r="AR918" t="str">
        <f>_xlfn.XLOOKUP(emissions[[#This Row],[Reporting unit name]],hierarchy!$A:$A,hierarchy!$C:$C)</f>
        <v>Labratory</v>
      </c>
    </row>
    <row r="919" spans="1:44" hidden="1" x14ac:dyDescent="0.25">
      <c r="A919">
        <v>4946</v>
      </c>
      <c r="B919" t="s">
        <v>387</v>
      </c>
      <c r="C919" t="s">
        <v>475</v>
      </c>
      <c r="D919" t="s">
        <v>599</v>
      </c>
      <c r="E919" s="3">
        <v>44197</v>
      </c>
      <c r="F919" s="3">
        <v>44561</v>
      </c>
      <c r="G919" t="s">
        <v>108</v>
      </c>
      <c r="H919" s="3">
        <v>44197</v>
      </c>
      <c r="I919" s="3">
        <v>44561</v>
      </c>
      <c r="J919" t="s">
        <v>108</v>
      </c>
      <c r="K919">
        <v>5074767</v>
      </c>
      <c r="L919" t="s">
        <v>109</v>
      </c>
      <c r="M919" t="s">
        <v>110</v>
      </c>
      <c r="O919" t="s">
        <v>600</v>
      </c>
      <c r="P919" t="s">
        <v>852</v>
      </c>
      <c r="Q919">
        <v>2021</v>
      </c>
      <c r="R919" t="s">
        <v>551</v>
      </c>
      <c r="S919" t="s">
        <v>552</v>
      </c>
      <c r="T919" t="s">
        <v>553</v>
      </c>
      <c r="U919" t="b">
        <v>0</v>
      </c>
      <c r="V919" t="s">
        <v>831</v>
      </c>
      <c r="W919" t="s">
        <v>555</v>
      </c>
      <c r="X919" t="s">
        <v>556</v>
      </c>
      <c r="Y919" t="s">
        <v>472</v>
      </c>
      <c r="Z919" t="s">
        <v>485</v>
      </c>
      <c r="AA919" t="s">
        <v>764</v>
      </c>
      <c r="AB919" t="s">
        <v>832</v>
      </c>
      <c r="AC919">
        <v>0</v>
      </c>
      <c r="AD919" t="s">
        <v>564</v>
      </c>
      <c r="AE919">
        <v>2192124.4640000002</v>
      </c>
      <c r="AF919">
        <v>0.43196553900000001</v>
      </c>
      <c r="AG919" t="s">
        <v>560</v>
      </c>
      <c r="AH919">
        <v>1</v>
      </c>
      <c r="AI919">
        <v>5074767</v>
      </c>
      <c r="AJ919" t="s">
        <v>561</v>
      </c>
      <c r="AK919" t="s">
        <v>766</v>
      </c>
      <c r="AL919" t="s">
        <v>790</v>
      </c>
      <c r="AM919">
        <v>2021</v>
      </c>
      <c r="AN919">
        <v>2019</v>
      </c>
      <c r="AO919">
        <f>IF(AND(emissions[[#This Row],[Market-based]]=0,emissions[[#This Row],[Impact Type]]="CO2E"),emissions[[#This Row],[kgCO2e]],0)/1000</f>
        <v>0</v>
      </c>
      <c r="AP919">
        <f>IF(AND(emissions[[#This Row],[Market-based]]=1,OR(emissions[[#This Row],[Impact Type]]="CO2E",emissions[[#This Row],[Impact Type]]="CO2E MKT")),emissions[[#This Row],[kgCO2e]],0)/1000</f>
        <v>0</v>
      </c>
      <c r="AQ919" t="str">
        <f>_xlfn.TEXTAFTER(emissions[[#This Row],[Reporting Unit]]," &gt; ",LEN(emissions[[#This Row],[Reporting Unit]])-LEN(SUBSTITUTE(emissions[[#This Row],[Reporting Unit]],"&gt;","")))</f>
        <v>Vantage_Dateland</v>
      </c>
      <c r="AR919" t="str">
        <f>_xlfn.XLOOKUP(emissions[[#This Row],[Reporting unit name]],hierarchy!$A:$A,hierarchy!$C:$C)</f>
        <v>Labratory</v>
      </c>
    </row>
    <row r="920" spans="1:44" hidden="1" x14ac:dyDescent="0.25">
      <c r="A920">
        <v>4946</v>
      </c>
      <c r="B920" t="s">
        <v>387</v>
      </c>
      <c r="C920" t="s">
        <v>475</v>
      </c>
      <c r="D920" t="s">
        <v>599</v>
      </c>
      <c r="E920" s="3">
        <v>44197</v>
      </c>
      <c r="F920" s="3">
        <v>44561</v>
      </c>
      <c r="G920" t="s">
        <v>108</v>
      </c>
      <c r="H920" s="3">
        <v>44197</v>
      </c>
      <c r="I920" s="3">
        <v>44561</v>
      </c>
      <c r="J920" t="s">
        <v>108</v>
      </c>
      <c r="K920">
        <v>5074767</v>
      </c>
      <c r="L920" t="s">
        <v>109</v>
      </c>
      <c r="M920" t="s">
        <v>110</v>
      </c>
      <c r="O920" t="s">
        <v>600</v>
      </c>
      <c r="P920" t="s">
        <v>852</v>
      </c>
      <c r="Q920">
        <v>2021</v>
      </c>
      <c r="R920" t="s">
        <v>551</v>
      </c>
      <c r="S920" t="s">
        <v>552</v>
      </c>
      <c r="T920" t="s">
        <v>553</v>
      </c>
      <c r="U920" t="b">
        <v>0</v>
      </c>
      <c r="V920" t="s">
        <v>831</v>
      </c>
      <c r="W920" t="s">
        <v>555</v>
      </c>
      <c r="X920" t="s">
        <v>556</v>
      </c>
      <c r="Y920" t="s">
        <v>472</v>
      </c>
      <c r="Z920" t="s">
        <v>485</v>
      </c>
      <c r="AA920" t="s">
        <v>764</v>
      </c>
      <c r="AB920" t="s">
        <v>832</v>
      </c>
      <c r="AC920">
        <v>0</v>
      </c>
      <c r="AD920" t="s">
        <v>565</v>
      </c>
      <c r="AE920">
        <v>2202897.2420000001</v>
      </c>
      <c r="AF920">
        <v>0.43408835200000001</v>
      </c>
      <c r="AG920" t="s">
        <v>560</v>
      </c>
      <c r="AH920">
        <v>1</v>
      </c>
      <c r="AI920">
        <v>5074767</v>
      </c>
      <c r="AJ920" t="s">
        <v>561</v>
      </c>
      <c r="AK920" t="s">
        <v>766</v>
      </c>
      <c r="AL920" t="s">
        <v>790</v>
      </c>
      <c r="AM920">
        <v>2021</v>
      </c>
      <c r="AN920">
        <v>2019</v>
      </c>
      <c r="AO920">
        <f>IF(AND(emissions[[#This Row],[Market-based]]=0,emissions[[#This Row],[Impact Type]]="CO2E"),emissions[[#This Row],[kgCO2e]],0)/1000</f>
        <v>2202.897242</v>
      </c>
      <c r="AP920">
        <f>IF(AND(emissions[[#This Row],[Market-based]]=1,OR(emissions[[#This Row],[Impact Type]]="CO2E",emissions[[#This Row],[Impact Type]]="CO2E MKT")),emissions[[#This Row],[kgCO2e]],0)/1000</f>
        <v>0</v>
      </c>
      <c r="AQ920" t="str">
        <f>_xlfn.TEXTAFTER(emissions[[#This Row],[Reporting Unit]]," &gt; ",LEN(emissions[[#This Row],[Reporting Unit]])-LEN(SUBSTITUTE(emissions[[#This Row],[Reporting Unit]],"&gt;","")))</f>
        <v>Vantage_Dateland</v>
      </c>
      <c r="AR920" t="str">
        <f>_xlfn.XLOOKUP(emissions[[#This Row],[Reporting unit name]],hierarchy!$A:$A,hierarchy!$C:$C)</f>
        <v>Labratory</v>
      </c>
    </row>
    <row r="921" spans="1:44" hidden="1" x14ac:dyDescent="0.25">
      <c r="A921">
        <v>4946</v>
      </c>
      <c r="B921" t="s">
        <v>387</v>
      </c>
      <c r="C921" t="s">
        <v>475</v>
      </c>
      <c r="D921" t="s">
        <v>599</v>
      </c>
      <c r="E921" s="3">
        <v>44197</v>
      </c>
      <c r="F921" s="3">
        <v>44561</v>
      </c>
      <c r="G921" t="s">
        <v>108</v>
      </c>
      <c r="H921" s="3">
        <v>44197</v>
      </c>
      <c r="I921" s="3">
        <v>44561</v>
      </c>
      <c r="J921" t="s">
        <v>108</v>
      </c>
      <c r="K921">
        <v>5074767</v>
      </c>
      <c r="L921" t="s">
        <v>109</v>
      </c>
      <c r="M921" t="s">
        <v>110</v>
      </c>
      <c r="O921" t="s">
        <v>600</v>
      </c>
      <c r="P921" t="s">
        <v>852</v>
      </c>
      <c r="Q921">
        <v>2021</v>
      </c>
      <c r="R921" t="s">
        <v>551</v>
      </c>
      <c r="S921" t="s">
        <v>552</v>
      </c>
      <c r="T921" t="s">
        <v>553</v>
      </c>
      <c r="U921" t="b">
        <v>0</v>
      </c>
      <c r="V921" t="s">
        <v>831</v>
      </c>
      <c r="W921" t="s">
        <v>555</v>
      </c>
      <c r="X921" t="s">
        <v>556</v>
      </c>
      <c r="Y921" t="s">
        <v>472</v>
      </c>
      <c r="Z921" t="s">
        <v>485</v>
      </c>
      <c r="AA921" t="s">
        <v>764</v>
      </c>
      <c r="AB921" t="s">
        <v>832</v>
      </c>
      <c r="AC921">
        <v>0</v>
      </c>
      <c r="AD921" t="s">
        <v>566</v>
      </c>
      <c r="AE921">
        <v>6859.5892599999997</v>
      </c>
      <c r="AF921">
        <v>1.3517049999999999E-3</v>
      </c>
      <c r="AG921" t="s">
        <v>560</v>
      </c>
      <c r="AH921">
        <v>1</v>
      </c>
      <c r="AI921">
        <v>5074767</v>
      </c>
      <c r="AJ921" t="s">
        <v>561</v>
      </c>
      <c r="AK921" t="s">
        <v>766</v>
      </c>
      <c r="AL921" t="s">
        <v>790</v>
      </c>
      <c r="AM921">
        <v>2021</v>
      </c>
      <c r="AN921">
        <v>2019</v>
      </c>
      <c r="AO921">
        <f>IF(AND(emissions[[#This Row],[Market-based]]=0,emissions[[#This Row],[Impact Type]]="CO2E"),emissions[[#This Row],[kgCO2e]],0)/1000</f>
        <v>0</v>
      </c>
      <c r="AP921">
        <f>IF(AND(emissions[[#This Row],[Market-based]]=1,OR(emissions[[#This Row],[Impact Type]]="CO2E",emissions[[#This Row],[Impact Type]]="CO2E MKT")),emissions[[#This Row],[kgCO2e]],0)/1000</f>
        <v>0</v>
      </c>
      <c r="AQ921" t="str">
        <f>_xlfn.TEXTAFTER(emissions[[#This Row],[Reporting Unit]]," &gt; ",LEN(emissions[[#This Row],[Reporting Unit]])-LEN(SUBSTITUTE(emissions[[#This Row],[Reporting Unit]],"&gt;","")))</f>
        <v>Vantage_Dateland</v>
      </c>
      <c r="AR921" t="str">
        <f>_xlfn.XLOOKUP(emissions[[#This Row],[Reporting unit name]],hierarchy!$A:$A,hierarchy!$C:$C)</f>
        <v>Labratory</v>
      </c>
    </row>
    <row r="922" spans="1:44" hidden="1" x14ac:dyDescent="0.25">
      <c r="A922">
        <v>4946</v>
      </c>
      <c r="B922" t="s">
        <v>387</v>
      </c>
      <c r="C922" t="s">
        <v>475</v>
      </c>
      <c r="D922" t="s">
        <v>599</v>
      </c>
      <c r="E922" s="3">
        <v>44197</v>
      </c>
      <c r="F922" s="3">
        <v>44561</v>
      </c>
      <c r="G922" t="s">
        <v>108</v>
      </c>
      <c r="H922" s="3">
        <v>44197</v>
      </c>
      <c r="I922" s="3">
        <v>44561</v>
      </c>
      <c r="J922" t="s">
        <v>108</v>
      </c>
      <c r="K922">
        <v>5074767</v>
      </c>
      <c r="L922" t="s">
        <v>109</v>
      </c>
      <c r="M922" t="s">
        <v>110</v>
      </c>
      <c r="O922" t="s">
        <v>600</v>
      </c>
      <c r="P922" t="s">
        <v>852</v>
      </c>
      <c r="Q922">
        <v>2021</v>
      </c>
      <c r="R922" t="s">
        <v>551</v>
      </c>
      <c r="S922" t="s">
        <v>552</v>
      </c>
      <c r="T922" t="s">
        <v>553</v>
      </c>
      <c r="U922" t="b">
        <v>0</v>
      </c>
      <c r="V922" t="s">
        <v>831</v>
      </c>
      <c r="W922" t="s">
        <v>555</v>
      </c>
      <c r="X922" t="s">
        <v>556</v>
      </c>
      <c r="Y922" t="s">
        <v>472</v>
      </c>
      <c r="Z922" t="s">
        <v>485</v>
      </c>
      <c r="AA922" t="s">
        <v>764</v>
      </c>
      <c r="AB922" t="s">
        <v>832</v>
      </c>
      <c r="AC922">
        <v>1</v>
      </c>
      <c r="AD922" t="s">
        <v>639</v>
      </c>
      <c r="AE922">
        <v>2198037.983</v>
      </c>
      <c r="AF922">
        <v>0.43313081799999997</v>
      </c>
      <c r="AG922" t="s">
        <v>560</v>
      </c>
      <c r="AH922">
        <v>1</v>
      </c>
      <c r="AI922">
        <v>5074767</v>
      </c>
      <c r="AJ922" t="s">
        <v>561</v>
      </c>
      <c r="AK922" t="s">
        <v>833</v>
      </c>
      <c r="AL922" t="s">
        <v>853</v>
      </c>
      <c r="AM922">
        <v>2021</v>
      </c>
      <c r="AN922">
        <v>2019</v>
      </c>
      <c r="AO922">
        <f>IF(AND(emissions[[#This Row],[Market-based]]=0,emissions[[#This Row],[Impact Type]]="CO2E"),emissions[[#This Row],[kgCO2e]],0)/1000</f>
        <v>0</v>
      </c>
      <c r="AP922">
        <f>IF(AND(emissions[[#This Row],[Market-based]]=1,OR(emissions[[#This Row],[Impact Type]]="CO2E",emissions[[#This Row],[Impact Type]]="CO2E MKT")),emissions[[#This Row],[kgCO2e]],0)/1000</f>
        <v>2198.0379830000002</v>
      </c>
      <c r="AQ922" t="str">
        <f>_xlfn.TEXTAFTER(emissions[[#This Row],[Reporting Unit]]," &gt; ",LEN(emissions[[#This Row],[Reporting Unit]])-LEN(SUBSTITUTE(emissions[[#This Row],[Reporting Unit]],"&gt;","")))</f>
        <v>Vantage_Dateland</v>
      </c>
      <c r="AR922" t="str">
        <f>_xlfn.XLOOKUP(emissions[[#This Row],[Reporting unit name]],hierarchy!$A:$A,hierarchy!$C:$C)</f>
        <v>Labratory</v>
      </c>
    </row>
    <row r="923" spans="1:44" hidden="1" x14ac:dyDescent="0.25">
      <c r="A923">
        <v>4946</v>
      </c>
      <c r="B923" t="s">
        <v>387</v>
      </c>
      <c r="C923" t="s">
        <v>475</v>
      </c>
      <c r="D923" t="s">
        <v>599</v>
      </c>
      <c r="E923" s="3">
        <v>44197</v>
      </c>
      <c r="F923" s="3">
        <v>44561</v>
      </c>
      <c r="G923" t="s">
        <v>108</v>
      </c>
      <c r="H923" s="3">
        <v>44197</v>
      </c>
      <c r="I923" s="3">
        <v>44561</v>
      </c>
      <c r="J923" t="s">
        <v>108</v>
      </c>
      <c r="K923">
        <v>5074767</v>
      </c>
      <c r="L923" t="s">
        <v>109</v>
      </c>
      <c r="M923" t="s">
        <v>110</v>
      </c>
      <c r="O923" t="s">
        <v>600</v>
      </c>
      <c r="P923" t="s">
        <v>852</v>
      </c>
      <c r="Q923">
        <v>2021</v>
      </c>
      <c r="R923" t="s">
        <v>567</v>
      </c>
      <c r="S923" t="s">
        <v>568</v>
      </c>
      <c r="T923" t="s">
        <v>569</v>
      </c>
      <c r="U923" t="b">
        <v>0</v>
      </c>
      <c r="V923" t="s">
        <v>836</v>
      </c>
      <c r="W923" t="s">
        <v>571</v>
      </c>
      <c r="X923" t="s">
        <v>572</v>
      </c>
      <c r="Y923" t="s">
        <v>472</v>
      </c>
      <c r="Z923" t="s">
        <v>485</v>
      </c>
      <c r="AA923" t="s">
        <v>764</v>
      </c>
      <c r="AB923" t="s">
        <v>832</v>
      </c>
      <c r="AC923">
        <v>0</v>
      </c>
      <c r="AD923" t="s">
        <v>558</v>
      </c>
      <c r="AE923">
        <v>52.721266610000001</v>
      </c>
      <c r="AF923" s="13">
        <v>1.03889E-5</v>
      </c>
      <c r="AG923" t="s">
        <v>560</v>
      </c>
      <c r="AH923">
        <v>1</v>
      </c>
      <c r="AI923">
        <v>5074767</v>
      </c>
      <c r="AJ923" t="s">
        <v>561</v>
      </c>
      <c r="AK923" t="s">
        <v>573</v>
      </c>
      <c r="AL923" t="s">
        <v>854</v>
      </c>
      <c r="AM923">
        <v>2021</v>
      </c>
      <c r="AN923">
        <v>2019</v>
      </c>
      <c r="AO923">
        <f>IF(AND(emissions[[#This Row],[Market-based]]=0,emissions[[#This Row],[Impact Type]]="CO2E"),emissions[[#This Row],[kgCO2e]],0)/1000</f>
        <v>0</v>
      </c>
      <c r="AP923">
        <f>IF(AND(emissions[[#This Row],[Market-based]]=1,OR(emissions[[#This Row],[Impact Type]]="CO2E",emissions[[#This Row],[Impact Type]]="CO2E MKT")),emissions[[#This Row],[kgCO2e]],0)/1000</f>
        <v>0</v>
      </c>
      <c r="AQ923" t="str">
        <f>_xlfn.TEXTAFTER(emissions[[#This Row],[Reporting Unit]]," &gt; ",LEN(emissions[[#This Row],[Reporting Unit]])-LEN(SUBSTITUTE(emissions[[#This Row],[Reporting Unit]],"&gt;","")))</f>
        <v>Vantage_Dateland</v>
      </c>
      <c r="AR923" t="str">
        <f>_xlfn.XLOOKUP(emissions[[#This Row],[Reporting unit name]],hierarchy!$A:$A,hierarchy!$C:$C)</f>
        <v>Labratory</v>
      </c>
    </row>
    <row r="924" spans="1:44" hidden="1" x14ac:dyDescent="0.25">
      <c r="A924">
        <v>4946</v>
      </c>
      <c r="B924" t="s">
        <v>387</v>
      </c>
      <c r="C924" t="s">
        <v>475</v>
      </c>
      <c r="D924" t="s">
        <v>599</v>
      </c>
      <c r="E924" s="3">
        <v>44197</v>
      </c>
      <c r="F924" s="3">
        <v>44561</v>
      </c>
      <c r="G924" t="s">
        <v>108</v>
      </c>
      <c r="H924" s="3">
        <v>44197</v>
      </c>
      <c r="I924" s="3">
        <v>44561</v>
      </c>
      <c r="J924" t="s">
        <v>108</v>
      </c>
      <c r="K924">
        <v>5074767</v>
      </c>
      <c r="L924" t="s">
        <v>109</v>
      </c>
      <c r="M924" t="s">
        <v>110</v>
      </c>
      <c r="O924" t="s">
        <v>600</v>
      </c>
      <c r="P924" t="s">
        <v>852</v>
      </c>
      <c r="Q924">
        <v>2021</v>
      </c>
      <c r="R924" t="s">
        <v>567</v>
      </c>
      <c r="S924" t="s">
        <v>568</v>
      </c>
      <c r="T924" t="s">
        <v>569</v>
      </c>
      <c r="U924" t="b">
        <v>0</v>
      </c>
      <c r="V924" t="s">
        <v>836</v>
      </c>
      <c r="W924" t="s">
        <v>571</v>
      </c>
      <c r="X924" t="s">
        <v>572</v>
      </c>
      <c r="Y924" t="s">
        <v>472</v>
      </c>
      <c r="Z924" t="s">
        <v>485</v>
      </c>
      <c r="AA924" t="s">
        <v>764</v>
      </c>
      <c r="AB924" t="s">
        <v>832</v>
      </c>
      <c r="AC924">
        <v>0</v>
      </c>
      <c r="AD924" t="s">
        <v>564</v>
      </c>
      <c r="AE924">
        <v>29533.864320000001</v>
      </c>
      <c r="AF924">
        <v>5.8197479999999996E-3</v>
      </c>
      <c r="AG924" t="s">
        <v>560</v>
      </c>
      <c r="AH924">
        <v>1</v>
      </c>
      <c r="AI924">
        <v>5074767</v>
      </c>
      <c r="AJ924" t="s">
        <v>561</v>
      </c>
      <c r="AK924" t="s">
        <v>573</v>
      </c>
      <c r="AL924" t="s">
        <v>854</v>
      </c>
      <c r="AM924">
        <v>2021</v>
      </c>
      <c r="AN924">
        <v>2019</v>
      </c>
      <c r="AO924">
        <f>IF(AND(emissions[[#This Row],[Market-based]]=0,emissions[[#This Row],[Impact Type]]="CO2E"),emissions[[#This Row],[kgCO2e]],0)/1000</f>
        <v>0</v>
      </c>
      <c r="AP924">
        <f>IF(AND(emissions[[#This Row],[Market-based]]=1,OR(emissions[[#This Row],[Impact Type]]="CO2E",emissions[[#This Row],[Impact Type]]="CO2E MKT")),emissions[[#This Row],[kgCO2e]],0)/1000</f>
        <v>0</v>
      </c>
      <c r="AQ924" t="str">
        <f>_xlfn.TEXTAFTER(emissions[[#This Row],[Reporting Unit]]," &gt; ",LEN(emissions[[#This Row],[Reporting Unit]])-LEN(SUBSTITUTE(emissions[[#This Row],[Reporting Unit]],"&gt;","")))</f>
        <v>Vantage_Dateland</v>
      </c>
      <c r="AR924" t="str">
        <f>_xlfn.XLOOKUP(emissions[[#This Row],[Reporting unit name]],hierarchy!$A:$A,hierarchy!$C:$C)</f>
        <v>Labratory</v>
      </c>
    </row>
    <row r="925" spans="1:44" hidden="1" x14ac:dyDescent="0.25">
      <c r="A925">
        <v>4946</v>
      </c>
      <c r="B925" t="s">
        <v>387</v>
      </c>
      <c r="C925" t="s">
        <v>475</v>
      </c>
      <c r="D925" t="s">
        <v>599</v>
      </c>
      <c r="E925" s="3">
        <v>44197</v>
      </c>
      <c r="F925" s="3">
        <v>44561</v>
      </c>
      <c r="G925" t="s">
        <v>108</v>
      </c>
      <c r="H925" s="3">
        <v>44197</v>
      </c>
      <c r="I925" s="3">
        <v>44561</v>
      </c>
      <c r="J925" t="s">
        <v>108</v>
      </c>
      <c r="K925">
        <v>5074767</v>
      </c>
      <c r="L925" t="s">
        <v>109</v>
      </c>
      <c r="M925" t="s">
        <v>110</v>
      </c>
      <c r="O925" t="s">
        <v>600</v>
      </c>
      <c r="P925" t="s">
        <v>852</v>
      </c>
      <c r="Q925">
        <v>2021</v>
      </c>
      <c r="R925" t="s">
        <v>567</v>
      </c>
      <c r="S925" t="s">
        <v>568</v>
      </c>
      <c r="T925" t="s">
        <v>569</v>
      </c>
      <c r="U925" t="b">
        <v>0</v>
      </c>
      <c r="V925" t="s">
        <v>836</v>
      </c>
      <c r="W925" t="s">
        <v>571</v>
      </c>
      <c r="X925" t="s">
        <v>572</v>
      </c>
      <c r="Y925" t="s">
        <v>472</v>
      </c>
      <c r="Z925" t="s">
        <v>485</v>
      </c>
      <c r="AA925" t="s">
        <v>764</v>
      </c>
      <c r="AB925" t="s">
        <v>832</v>
      </c>
      <c r="AC925">
        <v>0</v>
      </c>
      <c r="AD925" t="s">
        <v>565</v>
      </c>
      <c r="AE925">
        <v>29679.002860000001</v>
      </c>
      <c r="AF925">
        <v>5.8483479999999997E-3</v>
      </c>
      <c r="AG925" t="s">
        <v>560</v>
      </c>
      <c r="AH925">
        <v>1</v>
      </c>
      <c r="AI925">
        <v>5074767</v>
      </c>
      <c r="AJ925" t="s">
        <v>561</v>
      </c>
      <c r="AK925" t="s">
        <v>573</v>
      </c>
      <c r="AL925" t="s">
        <v>854</v>
      </c>
      <c r="AM925">
        <v>2021</v>
      </c>
      <c r="AN925">
        <v>2019</v>
      </c>
      <c r="AO925">
        <f>IF(AND(emissions[[#This Row],[Market-based]]=0,emissions[[#This Row],[Impact Type]]="CO2E"),emissions[[#This Row],[kgCO2e]],0)/1000</f>
        <v>29.679002860000001</v>
      </c>
      <c r="AP925">
        <f>IF(AND(emissions[[#This Row],[Market-based]]=1,OR(emissions[[#This Row],[Impact Type]]="CO2E",emissions[[#This Row],[Impact Type]]="CO2E MKT")),emissions[[#This Row],[kgCO2e]],0)/1000</f>
        <v>0</v>
      </c>
      <c r="AQ925" t="str">
        <f>_xlfn.TEXTAFTER(emissions[[#This Row],[Reporting Unit]]," &gt; ",LEN(emissions[[#This Row],[Reporting Unit]])-LEN(SUBSTITUTE(emissions[[#This Row],[Reporting Unit]],"&gt;","")))</f>
        <v>Vantage_Dateland</v>
      </c>
      <c r="AR925" t="str">
        <f>_xlfn.XLOOKUP(emissions[[#This Row],[Reporting unit name]],hierarchy!$A:$A,hierarchy!$C:$C)</f>
        <v>Labratory</v>
      </c>
    </row>
    <row r="926" spans="1:44" hidden="1" x14ac:dyDescent="0.25">
      <c r="A926">
        <v>4946</v>
      </c>
      <c r="B926" t="s">
        <v>387</v>
      </c>
      <c r="C926" t="s">
        <v>475</v>
      </c>
      <c r="D926" t="s">
        <v>599</v>
      </c>
      <c r="E926" s="3">
        <v>44197</v>
      </c>
      <c r="F926" s="3">
        <v>44561</v>
      </c>
      <c r="G926" t="s">
        <v>108</v>
      </c>
      <c r="H926" s="3">
        <v>44197</v>
      </c>
      <c r="I926" s="3">
        <v>44561</v>
      </c>
      <c r="J926" t="s">
        <v>108</v>
      </c>
      <c r="K926">
        <v>5074767</v>
      </c>
      <c r="L926" t="s">
        <v>109</v>
      </c>
      <c r="M926" t="s">
        <v>110</v>
      </c>
      <c r="O926" t="s">
        <v>600</v>
      </c>
      <c r="P926" t="s">
        <v>852</v>
      </c>
      <c r="Q926">
        <v>2021</v>
      </c>
      <c r="R926" t="s">
        <v>567</v>
      </c>
      <c r="S926" t="s">
        <v>568</v>
      </c>
      <c r="T926" t="s">
        <v>569</v>
      </c>
      <c r="U926" t="b">
        <v>0</v>
      </c>
      <c r="V926" t="s">
        <v>836</v>
      </c>
      <c r="W926" t="s">
        <v>571</v>
      </c>
      <c r="X926" t="s">
        <v>572</v>
      </c>
      <c r="Y926" t="s">
        <v>472</v>
      </c>
      <c r="Z926" t="s">
        <v>485</v>
      </c>
      <c r="AA926" t="s">
        <v>764</v>
      </c>
      <c r="AB926" t="s">
        <v>832</v>
      </c>
      <c r="AC926">
        <v>0</v>
      </c>
      <c r="AD926" t="s">
        <v>566</v>
      </c>
      <c r="AE926">
        <v>92.417279109999996</v>
      </c>
      <c r="AF926" s="13">
        <v>1.8211099999999999E-5</v>
      </c>
      <c r="AG926" t="s">
        <v>560</v>
      </c>
      <c r="AH926">
        <v>1</v>
      </c>
      <c r="AI926">
        <v>5074767</v>
      </c>
      <c r="AJ926" t="s">
        <v>561</v>
      </c>
      <c r="AK926" t="s">
        <v>573</v>
      </c>
      <c r="AL926" t="s">
        <v>854</v>
      </c>
      <c r="AM926">
        <v>2021</v>
      </c>
      <c r="AN926">
        <v>2019</v>
      </c>
      <c r="AO926">
        <f>IF(AND(emissions[[#This Row],[Market-based]]=0,emissions[[#This Row],[Impact Type]]="CO2E"),emissions[[#This Row],[kgCO2e]],0)/1000</f>
        <v>0</v>
      </c>
      <c r="AP926">
        <f>IF(AND(emissions[[#This Row],[Market-based]]=1,OR(emissions[[#This Row],[Impact Type]]="CO2E",emissions[[#This Row],[Impact Type]]="CO2E MKT")),emissions[[#This Row],[kgCO2e]],0)/1000</f>
        <v>0</v>
      </c>
      <c r="AQ926" t="str">
        <f>_xlfn.TEXTAFTER(emissions[[#This Row],[Reporting Unit]]," &gt; ",LEN(emissions[[#This Row],[Reporting Unit]])-LEN(SUBSTITUTE(emissions[[#This Row],[Reporting Unit]],"&gt;","")))</f>
        <v>Vantage_Dateland</v>
      </c>
      <c r="AR926" t="str">
        <f>_xlfn.XLOOKUP(emissions[[#This Row],[Reporting unit name]],hierarchy!$A:$A,hierarchy!$C:$C)</f>
        <v>Labratory</v>
      </c>
    </row>
    <row r="927" spans="1:44" hidden="1" x14ac:dyDescent="0.25">
      <c r="A927">
        <v>4946</v>
      </c>
      <c r="B927" t="s">
        <v>387</v>
      </c>
      <c r="C927" t="s">
        <v>475</v>
      </c>
      <c r="D927" t="s">
        <v>599</v>
      </c>
      <c r="E927" s="3">
        <v>44197</v>
      </c>
      <c r="F927" s="3">
        <v>44561</v>
      </c>
      <c r="G927" t="s">
        <v>108</v>
      </c>
      <c r="H927" s="3">
        <v>44197</v>
      </c>
      <c r="I927" s="3">
        <v>44561</v>
      </c>
      <c r="J927" t="s">
        <v>108</v>
      </c>
      <c r="K927">
        <v>5074767</v>
      </c>
      <c r="L927" t="s">
        <v>109</v>
      </c>
      <c r="M927" t="s">
        <v>110</v>
      </c>
      <c r="O927" t="s">
        <v>600</v>
      </c>
      <c r="P927" t="s">
        <v>852</v>
      </c>
      <c r="Q927">
        <v>2021</v>
      </c>
      <c r="R927" t="s">
        <v>567</v>
      </c>
      <c r="S927" t="s">
        <v>568</v>
      </c>
      <c r="T927" t="s">
        <v>569</v>
      </c>
      <c r="U927" t="b">
        <v>0</v>
      </c>
      <c r="V927" t="s">
        <v>836</v>
      </c>
      <c r="W927" t="s">
        <v>571</v>
      </c>
      <c r="X927" t="s">
        <v>572</v>
      </c>
      <c r="Y927" t="s">
        <v>472</v>
      </c>
      <c r="Z927" t="s">
        <v>485</v>
      </c>
      <c r="AA927" t="s">
        <v>764</v>
      </c>
      <c r="AB927" t="s">
        <v>832</v>
      </c>
      <c r="AC927">
        <v>1</v>
      </c>
      <c r="AD927" t="s">
        <v>639</v>
      </c>
      <c r="AE927">
        <v>31204.989939999999</v>
      </c>
      <c r="AF927">
        <v>6.1490490000000002E-3</v>
      </c>
      <c r="AG927" t="s">
        <v>560</v>
      </c>
      <c r="AH927">
        <v>1</v>
      </c>
      <c r="AI927">
        <v>5074767</v>
      </c>
      <c r="AJ927" t="s">
        <v>561</v>
      </c>
      <c r="AK927" t="s">
        <v>573</v>
      </c>
      <c r="AL927" t="s">
        <v>772</v>
      </c>
      <c r="AM927">
        <v>2021</v>
      </c>
      <c r="AN927">
        <v>2019</v>
      </c>
      <c r="AO927">
        <f>IF(AND(emissions[[#This Row],[Market-based]]=0,emissions[[#This Row],[Impact Type]]="CO2E"),emissions[[#This Row],[kgCO2e]],0)/1000</f>
        <v>0</v>
      </c>
      <c r="AP927">
        <f>IF(AND(emissions[[#This Row],[Market-based]]=1,OR(emissions[[#This Row],[Impact Type]]="CO2E",emissions[[#This Row],[Impact Type]]="CO2E MKT")),emissions[[#This Row],[kgCO2e]],0)/1000</f>
        <v>31.204989940000001</v>
      </c>
      <c r="AQ927" t="str">
        <f>_xlfn.TEXTAFTER(emissions[[#This Row],[Reporting Unit]]," &gt; ",LEN(emissions[[#This Row],[Reporting Unit]])-LEN(SUBSTITUTE(emissions[[#This Row],[Reporting Unit]],"&gt;","")))</f>
        <v>Vantage_Dateland</v>
      </c>
      <c r="AR927" t="str">
        <f>_xlfn.XLOOKUP(emissions[[#This Row],[Reporting unit name]],hierarchy!$A:$A,hierarchy!$C:$C)</f>
        <v>Labratory</v>
      </c>
    </row>
    <row r="928" spans="1:44" hidden="1" x14ac:dyDescent="0.25">
      <c r="A928">
        <v>4946</v>
      </c>
      <c r="B928" t="s">
        <v>387</v>
      </c>
      <c r="C928" t="s">
        <v>475</v>
      </c>
      <c r="D928" t="s">
        <v>599</v>
      </c>
      <c r="E928" s="3">
        <v>44197</v>
      </c>
      <c r="F928" s="3">
        <v>44561</v>
      </c>
      <c r="G928" t="s">
        <v>108</v>
      </c>
      <c r="H928" s="3">
        <v>44197</v>
      </c>
      <c r="I928" s="3">
        <v>44561</v>
      </c>
      <c r="J928" t="s">
        <v>108</v>
      </c>
      <c r="K928">
        <v>5074767</v>
      </c>
      <c r="L928" t="s">
        <v>109</v>
      </c>
      <c r="M928" t="s">
        <v>110</v>
      </c>
      <c r="O928" t="s">
        <v>600</v>
      </c>
      <c r="P928" t="s">
        <v>852</v>
      </c>
      <c r="Q928">
        <v>2021</v>
      </c>
      <c r="R928" t="s">
        <v>575</v>
      </c>
      <c r="S928" t="s">
        <v>576</v>
      </c>
      <c r="T928" t="s">
        <v>577</v>
      </c>
      <c r="U928" t="b">
        <v>0</v>
      </c>
      <c r="V928" t="s">
        <v>838</v>
      </c>
      <c r="W928" t="s">
        <v>571</v>
      </c>
      <c r="X928" t="s">
        <v>572</v>
      </c>
      <c r="Y928" t="s">
        <v>472</v>
      </c>
      <c r="Z928" t="s">
        <v>485</v>
      </c>
      <c r="AA928" t="s">
        <v>764</v>
      </c>
      <c r="AB928" t="s">
        <v>832</v>
      </c>
      <c r="AC928">
        <v>0</v>
      </c>
      <c r="AD928" t="s">
        <v>558</v>
      </c>
      <c r="AE928">
        <v>1033.7503260000001</v>
      </c>
      <c r="AF928">
        <v>2.03704E-4</v>
      </c>
      <c r="AG928" t="s">
        <v>560</v>
      </c>
      <c r="AH928">
        <v>1</v>
      </c>
      <c r="AI928">
        <v>5074767</v>
      </c>
      <c r="AJ928" t="s">
        <v>561</v>
      </c>
      <c r="AK928" t="s">
        <v>573</v>
      </c>
      <c r="AL928" t="s">
        <v>855</v>
      </c>
      <c r="AM928">
        <v>2021</v>
      </c>
      <c r="AN928">
        <v>2019</v>
      </c>
      <c r="AO928">
        <f>IF(AND(emissions[[#This Row],[Market-based]]=0,emissions[[#This Row],[Impact Type]]="CO2E"),emissions[[#This Row],[kgCO2e]],0)/1000</f>
        <v>0</v>
      </c>
      <c r="AP928">
        <f>IF(AND(emissions[[#This Row],[Market-based]]=1,OR(emissions[[#This Row],[Impact Type]]="CO2E",emissions[[#This Row],[Impact Type]]="CO2E MKT")),emissions[[#This Row],[kgCO2e]],0)/1000</f>
        <v>0</v>
      </c>
      <c r="AQ928" t="str">
        <f>_xlfn.TEXTAFTER(emissions[[#This Row],[Reporting Unit]]," &gt; ",LEN(emissions[[#This Row],[Reporting Unit]])-LEN(SUBSTITUTE(emissions[[#This Row],[Reporting Unit]],"&gt;","")))</f>
        <v>Vantage_Dateland</v>
      </c>
      <c r="AR928" t="str">
        <f>_xlfn.XLOOKUP(emissions[[#This Row],[Reporting unit name]],hierarchy!$A:$A,hierarchy!$C:$C)</f>
        <v>Labratory</v>
      </c>
    </row>
    <row r="929" spans="1:44" hidden="1" x14ac:dyDescent="0.25">
      <c r="A929">
        <v>4946</v>
      </c>
      <c r="B929" t="s">
        <v>387</v>
      </c>
      <c r="C929" t="s">
        <v>475</v>
      </c>
      <c r="D929" t="s">
        <v>599</v>
      </c>
      <c r="E929" s="3">
        <v>44197</v>
      </c>
      <c r="F929" s="3">
        <v>44561</v>
      </c>
      <c r="G929" t="s">
        <v>108</v>
      </c>
      <c r="H929" s="3">
        <v>44197</v>
      </c>
      <c r="I929" s="3">
        <v>44561</v>
      </c>
      <c r="J929" t="s">
        <v>108</v>
      </c>
      <c r="K929">
        <v>5074767</v>
      </c>
      <c r="L929" t="s">
        <v>109</v>
      </c>
      <c r="M929" t="s">
        <v>110</v>
      </c>
      <c r="O929" t="s">
        <v>600</v>
      </c>
      <c r="P929" t="s">
        <v>852</v>
      </c>
      <c r="Q929">
        <v>2021</v>
      </c>
      <c r="R929" t="s">
        <v>575</v>
      </c>
      <c r="S929" t="s">
        <v>576</v>
      </c>
      <c r="T929" t="s">
        <v>577</v>
      </c>
      <c r="U929" t="b">
        <v>0</v>
      </c>
      <c r="V929" t="s">
        <v>838</v>
      </c>
      <c r="W929" t="s">
        <v>571</v>
      </c>
      <c r="X929" t="s">
        <v>572</v>
      </c>
      <c r="Y929" t="s">
        <v>472</v>
      </c>
      <c r="Z929" t="s">
        <v>485</v>
      </c>
      <c r="AA929" t="s">
        <v>764</v>
      </c>
      <c r="AB929" t="s">
        <v>832</v>
      </c>
      <c r="AC929">
        <v>0</v>
      </c>
      <c r="AD929" t="s">
        <v>564</v>
      </c>
      <c r="AE929">
        <v>579095.3787</v>
      </c>
      <c r="AF929">
        <v>0.114112703</v>
      </c>
      <c r="AG929" t="s">
        <v>560</v>
      </c>
      <c r="AH929">
        <v>1</v>
      </c>
      <c r="AI929">
        <v>5074767</v>
      </c>
      <c r="AJ929" t="s">
        <v>561</v>
      </c>
      <c r="AK929" t="s">
        <v>573</v>
      </c>
      <c r="AL929" t="s">
        <v>855</v>
      </c>
      <c r="AM929">
        <v>2021</v>
      </c>
      <c r="AN929">
        <v>2019</v>
      </c>
      <c r="AO929">
        <f>IF(AND(emissions[[#This Row],[Market-based]]=0,emissions[[#This Row],[Impact Type]]="CO2E"),emissions[[#This Row],[kgCO2e]],0)/1000</f>
        <v>0</v>
      </c>
      <c r="AP929">
        <f>IF(AND(emissions[[#This Row],[Market-based]]=1,OR(emissions[[#This Row],[Impact Type]]="CO2E",emissions[[#This Row],[Impact Type]]="CO2E MKT")),emissions[[#This Row],[kgCO2e]],0)/1000</f>
        <v>0</v>
      </c>
      <c r="AQ929" t="str">
        <f>_xlfn.TEXTAFTER(emissions[[#This Row],[Reporting Unit]]," &gt; ",LEN(emissions[[#This Row],[Reporting Unit]])-LEN(SUBSTITUTE(emissions[[#This Row],[Reporting Unit]],"&gt;","")))</f>
        <v>Vantage_Dateland</v>
      </c>
      <c r="AR929" t="str">
        <f>_xlfn.XLOOKUP(emissions[[#This Row],[Reporting unit name]],hierarchy!$A:$A,hierarchy!$C:$C)</f>
        <v>Labratory</v>
      </c>
    </row>
    <row r="930" spans="1:44" hidden="1" x14ac:dyDescent="0.25">
      <c r="A930">
        <v>4946</v>
      </c>
      <c r="B930" t="s">
        <v>387</v>
      </c>
      <c r="C930" t="s">
        <v>475</v>
      </c>
      <c r="D930" t="s">
        <v>599</v>
      </c>
      <c r="E930" s="3">
        <v>44197</v>
      </c>
      <c r="F930" s="3">
        <v>44561</v>
      </c>
      <c r="G930" t="s">
        <v>108</v>
      </c>
      <c r="H930" s="3">
        <v>44197</v>
      </c>
      <c r="I930" s="3">
        <v>44561</v>
      </c>
      <c r="J930" t="s">
        <v>108</v>
      </c>
      <c r="K930">
        <v>5074767</v>
      </c>
      <c r="L930" t="s">
        <v>109</v>
      </c>
      <c r="M930" t="s">
        <v>110</v>
      </c>
      <c r="O930" t="s">
        <v>600</v>
      </c>
      <c r="P930" t="s">
        <v>852</v>
      </c>
      <c r="Q930">
        <v>2021</v>
      </c>
      <c r="R930" t="s">
        <v>575</v>
      </c>
      <c r="S930" t="s">
        <v>576</v>
      </c>
      <c r="T930" t="s">
        <v>577</v>
      </c>
      <c r="U930" t="b">
        <v>0</v>
      </c>
      <c r="V930" t="s">
        <v>838</v>
      </c>
      <c r="W930" t="s">
        <v>571</v>
      </c>
      <c r="X930" t="s">
        <v>572</v>
      </c>
      <c r="Y930" t="s">
        <v>472</v>
      </c>
      <c r="Z930" t="s">
        <v>485</v>
      </c>
      <c r="AA930" t="s">
        <v>764</v>
      </c>
      <c r="AB930" t="s">
        <v>832</v>
      </c>
      <c r="AC930">
        <v>0</v>
      </c>
      <c r="AD930" t="s">
        <v>565</v>
      </c>
      <c r="AE930">
        <v>581941.23259999999</v>
      </c>
      <c r="AF930">
        <v>0.114673488</v>
      </c>
      <c r="AG930" t="s">
        <v>560</v>
      </c>
      <c r="AH930">
        <v>1</v>
      </c>
      <c r="AI930">
        <v>5074767</v>
      </c>
      <c r="AJ930" t="s">
        <v>561</v>
      </c>
      <c r="AK930" t="s">
        <v>573</v>
      </c>
      <c r="AL930" t="s">
        <v>855</v>
      </c>
      <c r="AM930">
        <v>2021</v>
      </c>
      <c r="AN930">
        <v>2019</v>
      </c>
      <c r="AO930">
        <f>IF(AND(emissions[[#This Row],[Market-based]]=0,emissions[[#This Row],[Impact Type]]="CO2E"),emissions[[#This Row],[kgCO2e]],0)/1000</f>
        <v>581.94123260000003</v>
      </c>
      <c r="AP930">
        <f>IF(AND(emissions[[#This Row],[Market-based]]=1,OR(emissions[[#This Row],[Impact Type]]="CO2E",emissions[[#This Row],[Impact Type]]="CO2E MKT")),emissions[[#This Row],[kgCO2e]],0)/1000</f>
        <v>0</v>
      </c>
      <c r="AQ930" t="str">
        <f>_xlfn.TEXTAFTER(emissions[[#This Row],[Reporting Unit]]," &gt; ",LEN(emissions[[#This Row],[Reporting Unit]])-LEN(SUBSTITUTE(emissions[[#This Row],[Reporting Unit]],"&gt;","")))</f>
        <v>Vantage_Dateland</v>
      </c>
      <c r="AR930" t="str">
        <f>_xlfn.XLOOKUP(emissions[[#This Row],[Reporting unit name]],hierarchy!$A:$A,hierarchy!$C:$C)</f>
        <v>Labratory</v>
      </c>
    </row>
    <row r="931" spans="1:44" hidden="1" x14ac:dyDescent="0.25">
      <c r="A931">
        <v>4946</v>
      </c>
      <c r="B931" t="s">
        <v>387</v>
      </c>
      <c r="C931" t="s">
        <v>475</v>
      </c>
      <c r="D931" t="s">
        <v>599</v>
      </c>
      <c r="E931" s="3">
        <v>44197</v>
      </c>
      <c r="F931" s="3">
        <v>44561</v>
      </c>
      <c r="G931" t="s">
        <v>108</v>
      </c>
      <c r="H931" s="3">
        <v>44197</v>
      </c>
      <c r="I931" s="3">
        <v>44561</v>
      </c>
      <c r="J931" t="s">
        <v>108</v>
      </c>
      <c r="K931">
        <v>5074767</v>
      </c>
      <c r="L931" t="s">
        <v>109</v>
      </c>
      <c r="M931" t="s">
        <v>110</v>
      </c>
      <c r="O931" t="s">
        <v>600</v>
      </c>
      <c r="P931" t="s">
        <v>852</v>
      </c>
      <c r="Q931">
        <v>2021</v>
      </c>
      <c r="R931" t="s">
        <v>575</v>
      </c>
      <c r="S931" t="s">
        <v>576</v>
      </c>
      <c r="T931" t="s">
        <v>577</v>
      </c>
      <c r="U931" t="b">
        <v>0</v>
      </c>
      <c r="V931" t="s">
        <v>838</v>
      </c>
      <c r="W931" t="s">
        <v>571</v>
      </c>
      <c r="X931" t="s">
        <v>572</v>
      </c>
      <c r="Y931" t="s">
        <v>472</v>
      </c>
      <c r="Z931" t="s">
        <v>485</v>
      </c>
      <c r="AA931" t="s">
        <v>764</v>
      </c>
      <c r="AB931" t="s">
        <v>832</v>
      </c>
      <c r="AC931">
        <v>0</v>
      </c>
      <c r="AD931" t="s">
        <v>566</v>
      </c>
      <c r="AE931">
        <v>1812.1035119999999</v>
      </c>
      <c r="AF931">
        <v>3.5708099999999998E-4</v>
      </c>
      <c r="AG931" t="s">
        <v>560</v>
      </c>
      <c r="AH931">
        <v>1</v>
      </c>
      <c r="AI931">
        <v>5074767</v>
      </c>
      <c r="AJ931" t="s">
        <v>561</v>
      </c>
      <c r="AK931" t="s">
        <v>573</v>
      </c>
      <c r="AL931" t="s">
        <v>855</v>
      </c>
      <c r="AM931">
        <v>2021</v>
      </c>
      <c r="AN931">
        <v>2019</v>
      </c>
      <c r="AO931">
        <f>IF(AND(emissions[[#This Row],[Market-based]]=0,emissions[[#This Row],[Impact Type]]="CO2E"),emissions[[#This Row],[kgCO2e]],0)/1000</f>
        <v>0</v>
      </c>
      <c r="AP931">
        <f>IF(AND(emissions[[#This Row],[Market-based]]=1,OR(emissions[[#This Row],[Impact Type]]="CO2E",emissions[[#This Row],[Impact Type]]="CO2E MKT")),emissions[[#This Row],[kgCO2e]],0)/1000</f>
        <v>0</v>
      </c>
      <c r="AQ931" t="str">
        <f>_xlfn.TEXTAFTER(emissions[[#This Row],[Reporting Unit]]," &gt; ",LEN(emissions[[#This Row],[Reporting Unit]])-LEN(SUBSTITUTE(emissions[[#This Row],[Reporting Unit]],"&gt;","")))</f>
        <v>Vantage_Dateland</v>
      </c>
      <c r="AR931" t="str">
        <f>_xlfn.XLOOKUP(emissions[[#This Row],[Reporting unit name]],hierarchy!$A:$A,hierarchy!$C:$C)</f>
        <v>Labratory</v>
      </c>
    </row>
    <row r="932" spans="1:44" hidden="1" x14ac:dyDescent="0.25">
      <c r="A932">
        <v>4946</v>
      </c>
      <c r="B932" t="s">
        <v>387</v>
      </c>
      <c r="C932" t="s">
        <v>475</v>
      </c>
      <c r="D932" t="s">
        <v>599</v>
      </c>
      <c r="E932" s="3">
        <v>44197</v>
      </c>
      <c r="F932" s="3">
        <v>44561</v>
      </c>
      <c r="G932" t="s">
        <v>108</v>
      </c>
      <c r="H932" s="3">
        <v>44197</v>
      </c>
      <c r="I932" s="3">
        <v>44561</v>
      </c>
      <c r="J932" t="s">
        <v>108</v>
      </c>
      <c r="K932">
        <v>5074767</v>
      </c>
      <c r="L932" t="s">
        <v>109</v>
      </c>
      <c r="M932" t="s">
        <v>110</v>
      </c>
      <c r="O932" t="s">
        <v>600</v>
      </c>
      <c r="P932" t="s">
        <v>852</v>
      </c>
      <c r="Q932">
        <v>2021</v>
      </c>
      <c r="R932" t="s">
        <v>575</v>
      </c>
      <c r="S932" t="s">
        <v>576</v>
      </c>
      <c r="T932" t="s">
        <v>577</v>
      </c>
      <c r="U932" t="b">
        <v>0</v>
      </c>
      <c r="V932" t="s">
        <v>838</v>
      </c>
      <c r="W932" t="s">
        <v>571</v>
      </c>
      <c r="X932" t="s">
        <v>572</v>
      </c>
      <c r="Y932" t="s">
        <v>472</v>
      </c>
      <c r="Z932" t="s">
        <v>485</v>
      </c>
      <c r="AA932" t="s">
        <v>764</v>
      </c>
      <c r="AB932" t="s">
        <v>832</v>
      </c>
      <c r="AC932">
        <v>1</v>
      </c>
      <c r="AD932" t="s">
        <v>639</v>
      </c>
      <c r="AE932">
        <v>580657.55790000001</v>
      </c>
      <c r="AF932">
        <v>0.114420536</v>
      </c>
      <c r="AG932" t="s">
        <v>560</v>
      </c>
      <c r="AH932">
        <v>1</v>
      </c>
      <c r="AI932">
        <v>5074767</v>
      </c>
      <c r="AJ932" t="s">
        <v>561</v>
      </c>
      <c r="AK932" t="s">
        <v>573</v>
      </c>
      <c r="AL932" t="s">
        <v>856</v>
      </c>
      <c r="AM932">
        <v>2021</v>
      </c>
      <c r="AN932">
        <v>2019</v>
      </c>
      <c r="AO932">
        <f>IF(AND(emissions[[#This Row],[Market-based]]=0,emissions[[#This Row],[Impact Type]]="CO2E"),emissions[[#This Row],[kgCO2e]],0)/1000</f>
        <v>0</v>
      </c>
      <c r="AP932">
        <f>IF(AND(emissions[[#This Row],[Market-based]]=1,OR(emissions[[#This Row],[Impact Type]]="CO2E",emissions[[#This Row],[Impact Type]]="CO2E MKT")),emissions[[#This Row],[kgCO2e]],0)/1000</f>
        <v>580.65755790000003</v>
      </c>
      <c r="AQ932" t="str">
        <f>_xlfn.TEXTAFTER(emissions[[#This Row],[Reporting Unit]]," &gt; ",LEN(emissions[[#This Row],[Reporting Unit]])-LEN(SUBSTITUTE(emissions[[#This Row],[Reporting Unit]],"&gt;","")))</f>
        <v>Vantage_Dateland</v>
      </c>
      <c r="AR932" t="str">
        <f>_xlfn.XLOOKUP(emissions[[#This Row],[Reporting unit name]],hierarchy!$A:$A,hierarchy!$C:$C)</f>
        <v>Labratory</v>
      </c>
    </row>
    <row r="933" spans="1:44" hidden="1" x14ac:dyDescent="0.25">
      <c r="A933">
        <v>4946</v>
      </c>
      <c r="B933" t="s">
        <v>387</v>
      </c>
      <c r="C933" t="s">
        <v>475</v>
      </c>
      <c r="D933" t="s">
        <v>599</v>
      </c>
      <c r="E933" s="3">
        <v>44197</v>
      </c>
      <c r="F933" s="3">
        <v>44561</v>
      </c>
      <c r="G933" t="s">
        <v>108</v>
      </c>
      <c r="H933" s="3">
        <v>44197</v>
      </c>
      <c r="I933" s="3">
        <v>44561</v>
      </c>
      <c r="J933" t="s">
        <v>108</v>
      </c>
      <c r="K933">
        <v>5074767</v>
      </c>
      <c r="L933" t="s">
        <v>109</v>
      </c>
      <c r="M933" t="s">
        <v>110</v>
      </c>
      <c r="O933" t="s">
        <v>600</v>
      </c>
      <c r="P933" t="s">
        <v>852</v>
      </c>
      <c r="Q933">
        <v>2021</v>
      </c>
      <c r="R933" t="s">
        <v>579</v>
      </c>
      <c r="S933" t="s">
        <v>580</v>
      </c>
      <c r="T933" t="s">
        <v>581</v>
      </c>
      <c r="U933" t="b">
        <v>0</v>
      </c>
      <c r="V933" t="s">
        <v>840</v>
      </c>
      <c r="W933" t="s">
        <v>571</v>
      </c>
      <c r="X933" t="s">
        <v>572</v>
      </c>
      <c r="Y933" t="s">
        <v>472</v>
      </c>
      <c r="Z933" t="s">
        <v>485</v>
      </c>
      <c r="AA933" t="s">
        <v>764</v>
      </c>
      <c r="AB933" t="s">
        <v>832</v>
      </c>
      <c r="AC933">
        <v>0</v>
      </c>
      <c r="AD933" t="s">
        <v>565</v>
      </c>
      <c r="AE933">
        <v>118385.4155</v>
      </c>
      <c r="AF933">
        <v>2.3328247E-2</v>
      </c>
      <c r="AG933" t="s">
        <v>560</v>
      </c>
      <c r="AH933">
        <v>1</v>
      </c>
      <c r="AI933">
        <v>5074767</v>
      </c>
      <c r="AJ933" t="s">
        <v>561</v>
      </c>
      <c r="AK933" t="s">
        <v>766</v>
      </c>
      <c r="AL933" t="s">
        <v>790</v>
      </c>
      <c r="AM933">
        <v>2021</v>
      </c>
      <c r="AN933">
        <v>2019</v>
      </c>
      <c r="AO933">
        <f>IF(AND(emissions[[#This Row],[Market-based]]=0,emissions[[#This Row],[Impact Type]]="CO2E"),emissions[[#This Row],[kgCO2e]],0)/1000</f>
        <v>118.38541550000001</v>
      </c>
      <c r="AP933">
        <f>IF(AND(emissions[[#This Row],[Market-based]]=1,OR(emissions[[#This Row],[Impact Type]]="CO2E",emissions[[#This Row],[Impact Type]]="CO2E MKT")),emissions[[#This Row],[kgCO2e]],0)/1000</f>
        <v>0</v>
      </c>
      <c r="AQ933" t="str">
        <f>_xlfn.TEXTAFTER(emissions[[#This Row],[Reporting Unit]]," &gt; ",LEN(emissions[[#This Row],[Reporting Unit]])-LEN(SUBSTITUTE(emissions[[#This Row],[Reporting Unit]],"&gt;","")))</f>
        <v>Vantage_Dateland</v>
      </c>
      <c r="AR933" t="str">
        <f>_xlfn.XLOOKUP(emissions[[#This Row],[Reporting unit name]],hierarchy!$A:$A,hierarchy!$C:$C)</f>
        <v>Labratory</v>
      </c>
    </row>
    <row r="934" spans="1:44" hidden="1" x14ac:dyDescent="0.25">
      <c r="A934">
        <v>4946</v>
      </c>
      <c r="B934" t="s">
        <v>387</v>
      </c>
      <c r="C934" t="s">
        <v>475</v>
      </c>
      <c r="D934" t="s">
        <v>599</v>
      </c>
      <c r="E934" s="3">
        <v>44197</v>
      </c>
      <c r="F934" s="3">
        <v>44561</v>
      </c>
      <c r="G934" t="s">
        <v>108</v>
      </c>
      <c r="H934" s="3">
        <v>44197</v>
      </c>
      <c r="I934" s="3">
        <v>44561</v>
      </c>
      <c r="J934" t="s">
        <v>108</v>
      </c>
      <c r="K934">
        <v>5074767</v>
      </c>
      <c r="L934" t="s">
        <v>109</v>
      </c>
      <c r="M934" t="s">
        <v>110</v>
      </c>
      <c r="O934" t="s">
        <v>600</v>
      </c>
      <c r="P934" t="s">
        <v>852</v>
      </c>
      <c r="Q934">
        <v>2021</v>
      </c>
      <c r="R934" t="s">
        <v>579</v>
      </c>
      <c r="S934" t="s">
        <v>580</v>
      </c>
      <c r="T934" t="s">
        <v>581</v>
      </c>
      <c r="U934" t="b">
        <v>0</v>
      </c>
      <c r="V934" t="s">
        <v>841</v>
      </c>
      <c r="W934" t="s">
        <v>571</v>
      </c>
      <c r="X934" t="s">
        <v>572</v>
      </c>
      <c r="Y934" t="s">
        <v>472</v>
      </c>
      <c r="Z934" t="s">
        <v>485</v>
      </c>
      <c r="AA934" t="s">
        <v>764</v>
      </c>
      <c r="AB934" t="s">
        <v>832</v>
      </c>
      <c r="AC934">
        <v>1</v>
      </c>
      <c r="AD934" t="s">
        <v>639</v>
      </c>
      <c r="AE934">
        <v>118124.2752</v>
      </c>
      <c r="AF934">
        <v>2.3276788E-2</v>
      </c>
      <c r="AG934" t="s">
        <v>560</v>
      </c>
      <c r="AH934">
        <v>1</v>
      </c>
      <c r="AI934">
        <v>5074767</v>
      </c>
      <c r="AJ934" t="s">
        <v>561</v>
      </c>
      <c r="AK934" t="s">
        <v>573</v>
      </c>
      <c r="AL934" t="s">
        <v>857</v>
      </c>
      <c r="AM934">
        <v>2021</v>
      </c>
      <c r="AN934">
        <v>2019</v>
      </c>
      <c r="AO934">
        <f>IF(AND(emissions[[#This Row],[Market-based]]=0,emissions[[#This Row],[Impact Type]]="CO2E"),emissions[[#This Row],[kgCO2e]],0)/1000</f>
        <v>0</v>
      </c>
      <c r="AP934">
        <f>IF(AND(emissions[[#This Row],[Market-based]]=1,OR(emissions[[#This Row],[Impact Type]]="CO2E",emissions[[#This Row],[Impact Type]]="CO2E MKT")),emissions[[#This Row],[kgCO2e]],0)/1000</f>
        <v>118.1242752</v>
      </c>
      <c r="AQ934" t="str">
        <f>_xlfn.TEXTAFTER(emissions[[#This Row],[Reporting Unit]]," &gt; ",LEN(emissions[[#This Row],[Reporting Unit]])-LEN(SUBSTITUTE(emissions[[#This Row],[Reporting Unit]],"&gt;","")))</f>
        <v>Vantage_Dateland</v>
      </c>
      <c r="AR934" t="str">
        <f>_xlfn.XLOOKUP(emissions[[#This Row],[Reporting unit name]],hierarchy!$A:$A,hierarchy!$C:$C)</f>
        <v>Labratory</v>
      </c>
    </row>
    <row r="935" spans="1:44" hidden="1" x14ac:dyDescent="0.25">
      <c r="A935">
        <v>4973</v>
      </c>
      <c r="B935" t="s">
        <v>387</v>
      </c>
      <c r="C935" t="s">
        <v>475</v>
      </c>
      <c r="D935" t="s">
        <v>599</v>
      </c>
      <c r="E935" s="3">
        <v>44197</v>
      </c>
      <c r="F935" s="3">
        <v>44561</v>
      </c>
      <c r="G935" t="s">
        <v>135</v>
      </c>
      <c r="H935" s="3">
        <v>44197</v>
      </c>
      <c r="I935" s="3">
        <v>44561</v>
      </c>
      <c r="J935" t="s">
        <v>135</v>
      </c>
      <c r="K935">
        <v>72687</v>
      </c>
      <c r="L935" t="s">
        <v>136</v>
      </c>
      <c r="M935" t="s">
        <v>110</v>
      </c>
      <c r="O935" t="s">
        <v>600</v>
      </c>
      <c r="P935" t="s">
        <v>858</v>
      </c>
      <c r="Q935">
        <v>2021</v>
      </c>
      <c r="R935" t="s">
        <v>605</v>
      </c>
      <c r="S935" t="s">
        <v>606</v>
      </c>
      <c r="T935" t="s">
        <v>553</v>
      </c>
      <c r="U935" t="b">
        <v>0</v>
      </c>
      <c r="V935" t="s">
        <v>781</v>
      </c>
      <c r="W935" t="s">
        <v>587</v>
      </c>
      <c r="X935" t="s">
        <v>556</v>
      </c>
      <c r="Y935" t="s">
        <v>472</v>
      </c>
      <c r="Z935" t="s">
        <v>485</v>
      </c>
      <c r="AA935" t="s">
        <v>764</v>
      </c>
      <c r="AC935">
        <v>0</v>
      </c>
      <c r="AD935" t="s">
        <v>558</v>
      </c>
      <c r="AE935">
        <v>181.7175</v>
      </c>
      <c r="AF935">
        <v>2.5000000000000001E-2</v>
      </c>
      <c r="AG935" t="s">
        <v>798</v>
      </c>
      <c r="AH935">
        <v>0.1</v>
      </c>
      <c r="AI935">
        <v>7268.7</v>
      </c>
      <c r="AJ935" t="s">
        <v>561</v>
      </c>
      <c r="AK935" t="s">
        <v>766</v>
      </c>
      <c r="AL935" t="s">
        <v>790</v>
      </c>
      <c r="AM935">
        <v>2021</v>
      </c>
      <c r="AN935">
        <v>2021</v>
      </c>
      <c r="AO935">
        <f>IF(AND(emissions[[#This Row],[Market-based]]=0,emissions[[#This Row],[Impact Type]]="CO2E"),emissions[[#This Row],[kgCO2e]],0)/1000</f>
        <v>0</v>
      </c>
      <c r="AP935">
        <f>IF(AND(emissions[[#This Row],[Market-based]]=1,OR(emissions[[#This Row],[Impact Type]]="CO2E",emissions[[#This Row],[Impact Type]]="CO2E MKT")),emissions[[#This Row],[kgCO2e]],0)/1000</f>
        <v>0</v>
      </c>
      <c r="AQ935" t="str">
        <f>_xlfn.TEXTAFTER(emissions[[#This Row],[Reporting Unit]]," &gt; ",LEN(emissions[[#This Row],[Reporting Unit]])-LEN(SUBSTITUTE(emissions[[#This Row],[Reporting Unit]],"&gt;","")))</f>
        <v>Vantage_Dateland</v>
      </c>
      <c r="AR935" t="str">
        <f>_xlfn.XLOOKUP(emissions[[#This Row],[Reporting unit name]],hierarchy!$A:$A,hierarchy!$C:$C)</f>
        <v>Labratory</v>
      </c>
    </row>
    <row r="936" spans="1:44" hidden="1" x14ac:dyDescent="0.25">
      <c r="A936">
        <v>4973</v>
      </c>
      <c r="B936" t="s">
        <v>387</v>
      </c>
      <c r="C936" t="s">
        <v>475</v>
      </c>
      <c r="D936" t="s">
        <v>599</v>
      </c>
      <c r="E936" s="3">
        <v>44197</v>
      </c>
      <c r="F936" s="3">
        <v>44561</v>
      </c>
      <c r="G936" t="s">
        <v>135</v>
      </c>
      <c r="H936" s="3">
        <v>44197</v>
      </c>
      <c r="I936" s="3">
        <v>44561</v>
      </c>
      <c r="J936" t="s">
        <v>135</v>
      </c>
      <c r="K936">
        <v>72687</v>
      </c>
      <c r="L936" t="s">
        <v>136</v>
      </c>
      <c r="M936" t="s">
        <v>110</v>
      </c>
      <c r="O936" t="s">
        <v>600</v>
      </c>
      <c r="P936" t="s">
        <v>858</v>
      </c>
      <c r="Q936">
        <v>2021</v>
      </c>
      <c r="R936" t="s">
        <v>605</v>
      </c>
      <c r="S936" t="s">
        <v>606</v>
      </c>
      <c r="T936" t="s">
        <v>553</v>
      </c>
      <c r="U936" t="b">
        <v>0</v>
      </c>
      <c r="V936" t="s">
        <v>781</v>
      </c>
      <c r="W936" t="s">
        <v>587</v>
      </c>
      <c r="X936" t="s">
        <v>556</v>
      </c>
      <c r="Y936" t="s">
        <v>472</v>
      </c>
      <c r="Z936" t="s">
        <v>485</v>
      </c>
      <c r="AA936" t="s">
        <v>764</v>
      </c>
      <c r="AC936">
        <v>0</v>
      </c>
      <c r="AD936" t="s">
        <v>564</v>
      </c>
      <c r="AE936">
        <v>385677.22200000001</v>
      </c>
      <c r="AF936">
        <v>53.06</v>
      </c>
      <c r="AG936" t="s">
        <v>798</v>
      </c>
      <c r="AH936">
        <v>0.1</v>
      </c>
      <c r="AI936">
        <v>7268.7</v>
      </c>
      <c r="AJ936" t="s">
        <v>561</v>
      </c>
      <c r="AK936" t="s">
        <v>766</v>
      </c>
      <c r="AL936" t="s">
        <v>787</v>
      </c>
      <c r="AM936">
        <v>2021</v>
      </c>
      <c r="AN936">
        <v>2020</v>
      </c>
      <c r="AO936">
        <f>IF(AND(emissions[[#This Row],[Market-based]]=0,emissions[[#This Row],[Impact Type]]="CO2E"),emissions[[#This Row],[kgCO2e]],0)/1000</f>
        <v>0</v>
      </c>
      <c r="AP936">
        <f>IF(AND(emissions[[#This Row],[Market-based]]=1,OR(emissions[[#This Row],[Impact Type]]="CO2E",emissions[[#This Row],[Impact Type]]="CO2E MKT")),emissions[[#This Row],[kgCO2e]],0)/1000</f>
        <v>0</v>
      </c>
      <c r="AQ936" t="str">
        <f>_xlfn.TEXTAFTER(emissions[[#This Row],[Reporting Unit]]," &gt; ",LEN(emissions[[#This Row],[Reporting Unit]])-LEN(SUBSTITUTE(emissions[[#This Row],[Reporting Unit]],"&gt;","")))</f>
        <v>Vantage_Dateland</v>
      </c>
      <c r="AR936" t="str">
        <f>_xlfn.XLOOKUP(emissions[[#This Row],[Reporting unit name]],hierarchy!$A:$A,hierarchy!$C:$C)</f>
        <v>Labratory</v>
      </c>
    </row>
    <row r="937" spans="1:44" hidden="1" x14ac:dyDescent="0.25">
      <c r="A937">
        <v>4973</v>
      </c>
      <c r="B937" t="s">
        <v>387</v>
      </c>
      <c r="C937" t="s">
        <v>475</v>
      </c>
      <c r="D937" t="s">
        <v>599</v>
      </c>
      <c r="E937" s="3">
        <v>44197</v>
      </c>
      <c r="F937" s="3">
        <v>44561</v>
      </c>
      <c r="G937" t="s">
        <v>135</v>
      </c>
      <c r="H937" s="3">
        <v>44197</v>
      </c>
      <c r="I937" s="3">
        <v>44561</v>
      </c>
      <c r="J937" t="s">
        <v>135</v>
      </c>
      <c r="K937">
        <v>72687</v>
      </c>
      <c r="L937" t="s">
        <v>136</v>
      </c>
      <c r="M937" t="s">
        <v>110</v>
      </c>
      <c r="O937" t="s">
        <v>600</v>
      </c>
      <c r="P937" t="s">
        <v>858</v>
      </c>
      <c r="Q937">
        <v>2021</v>
      </c>
      <c r="R937" t="s">
        <v>605</v>
      </c>
      <c r="S937" t="s">
        <v>606</v>
      </c>
      <c r="T937" t="s">
        <v>553</v>
      </c>
      <c r="U937" t="b">
        <v>0</v>
      </c>
      <c r="V937" t="s">
        <v>781</v>
      </c>
      <c r="W937" t="s">
        <v>587</v>
      </c>
      <c r="X937" t="s">
        <v>556</v>
      </c>
      <c r="Y937" t="s">
        <v>472</v>
      </c>
      <c r="Z937" t="s">
        <v>485</v>
      </c>
      <c r="AA937" t="s">
        <v>764</v>
      </c>
      <c r="AC937">
        <v>0</v>
      </c>
      <c r="AD937" t="s">
        <v>565</v>
      </c>
      <c r="AE937">
        <v>386075.54680000001</v>
      </c>
      <c r="AF937">
        <v>53.114800000000002</v>
      </c>
      <c r="AG937" t="s">
        <v>798</v>
      </c>
      <c r="AH937">
        <v>0.1</v>
      </c>
      <c r="AI937">
        <v>7268.7</v>
      </c>
      <c r="AJ937" t="s">
        <v>561</v>
      </c>
      <c r="AK937" t="s">
        <v>766</v>
      </c>
      <c r="AL937" t="s">
        <v>790</v>
      </c>
      <c r="AM937">
        <v>2021</v>
      </c>
      <c r="AN937">
        <v>2021</v>
      </c>
      <c r="AO937">
        <f>IF(AND(emissions[[#This Row],[Market-based]]=0,emissions[[#This Row],[Impact Type]]="CO2E"),emissions[[#This Row],[kgCO2e]],0)/1000</f>
        <v>386.07554679999998</v>
      </c>
      <c r="AP937">
        <f>IF(AND(emissions[[#This Row],[Market-based]]=1,OR(emissions[[#This Row],[Impact Type]]="CO2E",emissions[[#This Row],[Impact Type]]="CO2E MKT")),emissions[[#This Row],[kgCO2e]],0)/1000</f>
        <v>0</v>
      </c>
      <c r="AQ937" t="str">
        <f>_xlfn.TEXTAFTER(emissions[[#This Row],[Reporting Unit]]," &gt; ",LEN(emissions[[#This Row],[Reporting Unit]])-LEN(SUBSTITUTE(emissions[[#This Row],[Reporting Unit]],"&gt;","")))</f>
        <v>Vantage_Dateland</v>
      </c>
      <c r="AR937" t="str">
        <f>_xlfn.XLOOKUP(emissions[[#This Row],[Reporting unit name]],hierarchy!$A:$A,hierarchy!$C:$C)</f>
        <v>Labratory</v>
      </c>
    </row>
    <row r="938" spans="1:44" hidden="1" x14ac:dyDescent="0.25">
      <c r="A938">
        <v>4973</v>
      </c>
      <c r="B938" t="s">
        <v>387</v>
      </c>
      <c r="C938" t="s">
        <v>475</v>
      </c>
      <c r="D938" t="s">
        <v>599</v>
      </c>
      <c r="E938" s="3">
        <v>44197</v>
      </c>
      <c r="F938" s="3">
        <v>44561</v>
      </c>
      <c r="G938" t="s">
        <v>135</v>
      </c>
      <c r="H938" s="3">
        <v>44197</v>
      </c>
      <c r="I938" s="3">
        <v>44561</v>
      </c>
      <c r="J938" t="s">
        <v>135</v>
      </c>
      <c r="K938">
        <v>72687</v>
      </c>
      <c r="L938" t="s">
        <v>136</v>
      </c>
      <c r="M938" t="s">
        <v>110</v>
      </c>
      <c r="O938" t="s">
        <v>600</v>
      </c>
      <c r="P938" t="s">
        <v>858</v>
      </c>
      <c r="Q938">
        <v>2021</v>
      </c>
      <c r="R938" t="s">
        <v>605</v>
      </c>
      <c r="S938" t="s">
        <v>606</v>
      </c>
      <c r="T938" t="s">
        <v>553</v>
      </c>
      <c r="U938" t="b">
        <v>0</v>
      </c>
      <c r="V938" t="s">
        <v>781</v>
      </c>
      <c r="W938" t="s">
        <v>587</v>
      </c>
      <c r="X938" t="s">
        <v>556</v>
      </c>
      <c r="Y938" t="s">
        <v>472</v>
      </c>
      <c r="Z938" t="s">
        <v>485</v>
      </c>
      <c r="AA938" t="s">
        <v>764</v>
      </c>
      <c r="AC938">
        <v>0</v>
      </c>
      <c r="AD938" t="s">
        <v>566</v>
      </c>
      <c r="AE938">
        <v>216.60726</v>
      </c>
      <c r="AF938">
        <v>2.98E-2</v>
      </c>
      <c r="AG938" t="s">
        <v>798</v>
      </c>
      <c r="AH938">
        <v>0.1</v>
      </c>
      <c r="AI938">
        <v>7268.7</v>
      </c>
      <c r="AJ938" t="s">
        <v>561</v>
      </c>
      <c r="AK938" t="s">
        <v>766</v>
      </c>
      <c r="AL938" t="s">
        <v>790</v>
      </c>
      <c r="AM938">
        <v>2021</v>
      </c>
      <c r="AN938">
        <v>2021</v>
      </c>
      <c r="AO938">
        <f>IF(AND(emissions[[#This Row],[Market-based]]=0,emissions[[#This Row],[Impact Type]]="CO2E"),emissions[[#This Row],[kgCO2e]],0)/1000</f>
        <v>0</v>
      </c>
      <c r="AP938">
        <f>IF(AND(emissions[[#This Row],[Market-based]]=1,OR(emissions[[#This Row],[Impact Type]]="CO2E",emissions[[#This Row],[Impact Type]]="CO2E MKT")),emissions[[#This Row],[kgCO2e]],0)/1000</f>
        <v>0</v>
      </c>
      <c r="AQ938" t="str">
        <f>_xlfn.TEXTAFTER(emissions[[#This Row],[Reporting Unit]]," &gt; ",LEN(emissions[[#This Row],[Reporting Unit]])-LEN(SUBSTITUTE(emissions[[#This Row],[Reporting Unit]],"&gt;","")))</f>
        <v>Vantage_Dateland</v>
      </c>
      <c r="AR938" t="str">
        <f>_xlfn.XLOOKUP(emissions[[#This Row],[Reporting unit name]],hierarchy!$A:$A,hierarchy!$C:$C)</f>
        <v>Labratory</v>
      </c>
    </row>
    <row r="939" spans="1:44" hidden="1" x14ac:dyDescent="0.25">
      <c r="A939">
        <v>4973</v>
      </c>
      <c r="B939" t="s">
        <v>387</v>
      </c>
      <c r="C939" t="s">
        <v>475</v>
      </c>
      <c r="D939" t="s">
        <v>599</v>
      </c>
      <c r="E939" s="3">
        <v>44197</v>
      </c>
      <c r="F939" s="3">
        <v>44561</v>
      </c>
      <c r="G939" t="s">
        <v>135</v>
      </c>
      <c r="H939" s="3">
        <v>44197</v>
      </c>
      <c r="I939" s="3">
        <v>44561</v>
      </c>
      <c r="J939" t="s">
        <v>135</v>
      </c>
      <c r="K939">
        <v>72687</v>
      </c>
      <c r="L939" t="s">
        <v>136</v>
      </c>
      <c r="M939" t="s">
        <v>110</v>
      </c>
      <c r="O939" t="s">
        <v>600</v>
      </c>
      <c r="P939" t="s">
        <v>858</v>
      </c>
      <c r="Q939">
        <v>2021</v>
      </c>
      <c r="R939" t="s">
        <v>605</v>
      </c>
      <c r="S939" t="s">
        <v>606</v>
      </c>
      <c r="T939" t="s">
        <v>553</v>
      </c>
      <c r="U939" t="b">
        <v>0</v>
      </c>
      <c r="V939" t="s">
        <v>781</v>
      </c>
      <c r="W939" t="s">
        <v>587</v>
      </c>
      <c r="X939" t="s">
        <v>556</v>
      </c>
      <c r="Y939" t="s">
        <v>472</v>
      </c>
      <c r="Z939" t="s">
        <v>485</v>
      </c>
      <c r="AA939" t="s">
        <v>764</v>
      </c>
      <c r="AC939">
        <v>1</v>
      </c>
      <c r="AD939" t="s">
        <v>558</v>
      </c>
      <c r="AE939">
        <v>181.7175</v>
      </c>
      <c r="AF939">
        <v>2.5000000000000001E-2</v>
      </c>
      <c r="AG939" t="s">
        <v>798</v>
      </c>
      <c r="AH939">
        <v>0.1</v>
      </c>
      <c r="AI939">
        <v>7268.7</v>
      </c>
      <c r="AJ939" t="s">
        <v>561</v>
      </c>
      <c r="AK939" t="s">
        <v>766</v>
      </c>
      <c r="AL939" t="s">
        <v>790</v>
      </c>
      <c r="AM939">
        <v>2021</v>
      </c>
      <c r="AN939">
        <v>2021</v>
      </c>
      <c r="AO939">
        <f>IF(AND(emissions[[#This Row],[Market-based]]=0,emissions[[#This Row],[Impact Type]]="CO2E"),emissions[[#This Row],[kgCO2e]],0)/1000</f>
        <v>0</v>
      </c>
      <c r="AP939">
        <f>IF(AND(emissions[[#This Row],[Market-based]]=1,OR(emissions[[#This Row],[Impact Type]]="CO2E",emissions[[#This Row],[Impact Type]]="CO2E MKT")),emissions[[#This Row],[kgCO2e]],0)/1000</f>
        <v>0</v>
      </c>
      <c r="AQ939" t="str">
        <f>_xlfn.TEXTAFTER(emissions[[#This Row],[Reporting Unit]]," &gt; ",LEN(emissions[[#This Row],[Reporting Unit]])-LEN(SUBSTITUTE(emissions[[#This Row],[Reporting Unit]],"&gt;","")))</f>
        <v>Vantage_Dateland</v>
      </c>
      <c r="AR939" t="str">
        <f>_xlfn.XLOOKUP(emissions[[#This Row],[Reporting unit name]],hierarchy!$A:$A,hierarchy!$C:$C)</f>
        <v>Labratory</v>
      </c>
    </row>
    <row r="940" spans="1:44" hidden="1" x14ac:dyDescent="0.25">
      <c r="A940">
        <v>4973</v>
      </c>
      <c r="B940" t="s">
        <v>387</v>
      </c>
      <c r="C940" t="s">
        <v>475</v>
      </c>
      <c r="D940" t="s">
        <v>599</v>
      </c>
      <c r="E940" s="3">
        <v>44197</v>
      </c>
      <c r="F940" s="3">
        <v>44561</v>
      </c>
      <c r="G940" t="s">
        <v>135</v>
      </c>
      <c r="H940" s="3">
        <v>44197</v>
      </c>
      <c r="I940" s="3">
        <v>44561</v>
      </c>
      <c r="J940" t="s">
        <v>135</v>
      </c>
      <c r="K940">
        <v>72687</v>
      </c>
      <c r="L940" t="s">
        <v>136</v>
      </c>
      <c r="M940" t="s">
        <v>110</v>
      </c>
      <c r="O940" t="s">
        <v>600</v>
      </c>
      <c r="P940" t="s">
        <v>858</v>
      </c>
      <c r="Q940">
        <v>2021</v>
      </c>
      <c r="R940" t="s">
        <v>605</v>
      </c>
      <c r="S940" t="s">
        <v>606</v>
      </c>
      <c r="T940" t="s">
        <v>553</v>
      </c>
      <c r="U940" t="b">
        <v>0</v>
      </c>
      <c r="V940" t="s">
        <v>781</v>
      </c>
      <c r="W940" t="s">
        <v>587</v>
      </c>
      <c r="X940" t="s">
        <v>556</v>
      </c>
      <c r="Y940" t="s">
        <v>472</v>
      </c>
      <c r="Z940" t="s">
        <v>485</v>
      </c>
      <c r="AA940" t="s">
        <v>764</v>
      </c>
      <c r="AC940">
        <v>1</v>
      </c>
      <c r="AD940" t="s">
        <v>564</v>
      </c>
      <c r="AE940">
        <v>385677.22200000001</v>
      </c>
      <c r="AF940">
        <v>53.06</v>
      </c>
      <c r="AG940" t="s">
        <v>798</v>
      </c>
      <c r="AH940">
        <v>0.1</v>
      </c>
      <c r="AI940">
        <v>7268.7</v>
      </c>
      <c r="AJ940" t="s">
        <v>561</v>
      </c>
      <c r="AK940" t="s">
        <v>766</v>
      </c>
      <c r="AL940" t="s">
        <v>787</v>
      </c>
      <c r="AM940">
        <v>2021</v>
      </c>
      <c r="AN940">
        <v>2020</v>
      </c>
      <c r="AO940">
        <f>IF(AND(emissions[[#This Row],[Market-based]]=0,emissions[[#This Row],[Impact Type]]="CO2E"),emissions[[#This Row],[kgCO2e]],0)/1000</f>
        <v>0</v>
      </c>
      <c r="AP940">
        <f>IF(AND(emissions[[#This Row],[Market-based]]=1,OR(emissions[[#This Row],[Impact Type]]="CO2E",emissions[[#This Row],[Impact Type]]="CO2E MKT")),emissions[[#This Row],[kgCO2e]],0)/1000</f>
        <v>0</v>
      </c>
      <c r="AQ940" t="str">
        <f>_xlfn.TEXTAFTER(emissions[[#This Row],[Reporting Unit]]," &gt; ",LEN(emissions[[#This Row],[Reporting Unit]])-LEN(SUBSTITUTE(emissions[[#This Row],[Reporting Unit]],"&gt;","")))</f>
        <v>Vantage_Dateland</v>
      </c>
      <c r="AR940" t="str">
        <f>_xlfn.XLOOKUP(emissions[[#This Row],[Reporting unit name]],hierarchy!$A:$A,hierarchy!$C:$C)</f>
        <v>Labratory</v>
      </c>
    </row>
    <row r="941" spans="1:44" hidden="1" x14ac:dyDescent="0.25">
      <c r="A941">
        <v>4973</v>
      </c>
      <c r="B941" t="s">
        <v>387</v>
      </c>
      <c r="C941" t="s">
        <v>475</v>
      </c>
      <c r="D941" t="s">
        <v>599</v>
      </c>
      <c r="E941" s="3">
        <v>44197</v>
      </c>
      <c r="F941" s="3">
        <v>44561</v>
      </c>
      <c r="G941" t="s">
        <v>135</v>
      </c>
      <c r="H941" s="3">
        <v>44197</v>
      </c>
      <c r="I941" s="3">
        <v>44561</v>
      </c>
      <c r="J941" t="s">
        <v>135</v>
      </c>
      <c r="K941">
        <v>72687</v>
      </c>
      <c r="L941" t="s">
        <v>136</v>
      </c>
      <c r="M941" t="s">
        <v>110</v>
      </c>
      <c r="O941" t="s">
        <v>600</v>
      </c>
      <c r="P941" t="s">
        <v>858</v>
      </c>
      <c r="Q941">
        <v>2021</v>
      </c>
      <c r="R941" t="s">
        <v>605</v>
      </c>
      <c r="S941" t="s">
        <v>606</v>
      </c>
      <c r="T941" t="s">
        <v>553</v>
      </c>
      <c r="U941" t="b">
        <v>0</v>
      </c>
      <c r="V941" t="s">
        <v>781</v>
      </c>
      <c r="W941" t="s">
        <v>587</v>
      </c>
      <c r="X941" t="s">
        <v>556</v>
      </c>
      <c r="Y941" t="s">
        <v>472</v>
      </c>
      <c r="Z941" t="s">
        <v>485</v>
      </c>
      <c r="AA941" t="s">
        <v>764</v>
      </c>
      <c r="AC941">
        <v>1</v>
      </c>
      <c r="AD941" t="s">
        <v>565</v>
      </c>
      <c r="AE941">
        <v>386075.54680000001</v>
      </c>
      <c r="AF941">
        <v>53.114800000000002</v>
      </c>
      <c r="AG941" t="s">
        <v>798</v>
      </c>
      <c r="AH941">
        <v>0.1</v>
      </c>
      <c r="AI941">
        <v>7268.7</v>
      </c>
      <c r="AJ941" t="s">
        <v>561</v>
      </c>
      <c r="AK941" t="s">
        <v>766</v>
      </c>
      <c r="AL941" t="s">
        <v>790</v>
      </c>
      <c r="AM941">
        <v>2021</v>
      </c>
      <c r="AN941">
        <v>2021</v>
      </c>
      <c r="AO941">
        <f>IF(AND(emissions[[#This Row],[Market-based]]=0,emissions[[#This Row],[Impact Type]]="CO2E"),emissions[[#This Row],[kgCO2e]],0)/1000</f>
        <v>0</v>
      </c>
      <c r="AP941">
        <f>IF(AND(emissions[[#This Row],[Market-based]]=1,OR(emissions[[#This Row],[Impact Type]]="CO2E",emissions[[#This Row],[Impact Type]]="CO2E MKT")),emissions[[#This Row],[kgCO2e]],0)/1000</f>
        <v>386.07554679999998</v>
      </c>
      <c r="AQ941" t="str">
        <f>_xlfn.TEXTAFTER(emissions[[#This Row],[Reporting Unit]]," &gt; ",LEN(emissions[[#This Row],[Reporting Unit]])-LEN(SUBSTITUTE(emissions[[#This Row],[Reporting Unit]],"&gt;","")))</f>
        <v>Vantage_Dateland</v>
      </c>
      <c r="AR941" t="str">
        <f>_xlfn.XLOOKUP(emissions[[#This Row],[Reporting unit name]],hierarchy!$A:$A,hierarchy!$C:$C)</f>
        <v>Labratory</v>
      </c>
    </row>
    <row r="942" spans="1:44" hidden="1" x14ac:dyDescent="0.25">
      <c r="A942">
        <v>4973</v>
      </c>
      <c r="B942" t="s">
        <v>387</v>
      </c>
      <c r="C942" t="s">
        <v>475</v>
      </c>
      <c r="D942" t="s">
        <v>599</v>
      </c>
      <c r="E942" s="3">
        <v>44197</v>
      </c>
      <c r="F942" s="3">
        <v>44561</v>
      </c>
      <c r="G942" t="s">
        <v>135</v>
      </c>
      <c r="H942" s="3">
        <v>44197</v>
      </c>
      <c r="I942" s="3">
        <v>44561</v>
      </c>
      <c r="J942" t="s">
        <v>135</v>
      </c>
      <c r="K942">
        <v>72687</v>
      </c>
      <c r="L942" t="s">
        <v>136</v>
      </c>
      <c r="M942" t="s">
        <v>110</v>
      </c>
      <c r="O942" t="s">
        <v>600</v>
      </c>
      <c r="P942" t="s">
        <v>858</v>
      </c>
      <c r="Q942">
        <v>2021</v>
      </c>
      <c r="R942" t="s">
        <v>605</v>
      </c>
      <c r="S942" t="s">
        <v>606</v>
      </c>
      <c r="T942" t="s">
        <v>553</v>
      </c>
      <c r="U942" t="b">
        <v>0</v>
      </c>
      <c r="V942" t="s">
        <v>781</v>
      </c>
      <c r="W942" t="s">
        <v>587</v>
      </c>
      <c r="X942" t="s">
        <v>556</v>
      </c>
      <c r="Y942" t="s">
        <v>472</v>
      </c>
      <c r="Z942" t="s">
        <v>485</v>
      </c>
      <c r="AA942" t="s">
        <v>764</v>
      </c>
      <c r="AC942">
        <v>1</v>
      </c>
      <c r="AD942" t="s">
        <v>566</v>
      </c>
      <c r="AE942">
        <v>216.60726</v>
      </c>
      <c r="AF942">
        <v>2.98E-2</v>
      </c>
      <c r="AG942" t="s">
        <v>798</v>
      </c>
      <c r="AH942">
        <v>0.1</v>
      </c>
      <c r="AI942">
        <v>7268.7</v>
      </c>
      <c r="AJ942" t="s">
        <v>561</v>
      </c>
      <c r="AK942" t="s">
        <v>766</v>
      </c>
      <c r="AL942" t="s">
        <v>790</v>
      </c>
      <c r="AM942">
        <v>2021</v>
      </c>
      <c r="AN942">
        <v>2021</v>
      </c>
      <c r="AO942">
        <f>IF(AND(emissions[[#This Row],[Market-based]]=0,emissions[[#This Row],[Impact Type]]="CO2E"),emissions[[#This Row],[kgCO2e]],0)/1000</f>
        <v>0</v>
      </c>
      <c r="AP942">
        <f>IF(AND(emissions[[#This Row],[Market-based]]=1,OR(emissions[[#This Row],[Impact Type]]="CO2E",emissions[[#This Row],[Impact Type]]="CO2E MKT")),emissions[[#This Row],[kgCO2e]],0)/1000</f>
        <v>0</v>
      </c>
      <c r="AQ942" t="str">
        <f>_xlfn.TEXTAFTER(emissions[[#This Row],[Reporting Unit]]," &gt; ",LEN(emissions[[#This Row],[Reporting Unit]])-LEN(SUBSTITUTE(emissions[[#This Row],[Reporting Unit]],"&gt;","")))</f>
        <v>Vantage_Dateland</v>
      </c>
      <c r="AR942" t="str">
        <f>_xlfn.XLOOKUP(emissions[[#This Row],[Reporting unit name]],hierarchy!$A:$A,hierarchy!$C:$C)</f>
        <v>Labratory</v>
      </c>
    </row>
    <row r="943" spans="1:44" hidden="1" x14ac:dyDescent="0.25">
      <c r="A943">
        <v>4973</v>
      </c>
      <c r="B943" t="s">
        <v>387</v>
      </c>
      <c r="C943" t="s">
        <v>475</v>
      </c>
      <c r="D943" t="s">
        <v>599</v>
      </c>
      <c r="E943" s="3">
        <v>44197</v>
      </c>
      <c r="F943" s="3">
        <v>44561</v>
      </c>
      <c r="G943" t="s">
        <v>135</v>
      </c>
      <c r="H943" s="3">
        <v>44197</v>
      </c>
      <c r="I943" s="3">
        <v>44561</v>
      </c>
      <c r="J943" t="s">
        <v>135</v>
      </c>
      <c r="K943">
        <v>72687</v>
      </c>
      <c r="L943" t="s">
        <v>136</v>
      </c>
      <c r="M943" t="s">
        <v>110</v>
      </c>
      <c r="O943" t="s">
        <v>600</v>
      </c>
      <c r="P943" t="s">
        <v>858</v>
      </c>
      <c r="Q943">
        <v>2021</v>
      </c>
      <c r="R943" t="s">
        <v>609</v>
      </c>
      <c r="S943" t="s">
        <v>610</v>
      </c>
      <c r="T943" t="s">
        <v>577</v>
      </c>
      <c r="U943" t="b">
        <v>0</v>
      </c>
      <c r="V943" t="s">
        <v>611</v>
      </c>
      <c r="W943" t="s">
        <v>571</v>
      </c>
      <c r="X943" t="s">
        <v>572</v>
      </c>
      <c r="AC943">
        <v>0</v>
      </c>
      <c r="AD943" t="s">
        <v>565</v>
      </c>
      <c r="AE943">
        <v>66767.235159999997</v>
      </c>
      <c r="AF943">
        <v>3.1350000000000003E-2</v>
      </c>
      <c r="AG943" t="s">
        <v>608</v>
      </c>
      <c r="AH943">
        <v>29.3001</v>
      </c>
      <c r="AI943">
        <v>2129736.3689999999</v>
      </c>
      <c r="AJ943" t="s">
        <v>561</v>
      </c>
      <c r="AK943" t="s">
        <v>589</v>
      </c>
      <c r="AL943" t="s">
        <v>603</v>
      </c>
      <c r="AM943">
        <v>2021</v>
      </c>
      <c r="AN943">
        <v>2019</v>
      </c>
      <c r="AO943">
        <f>IF(AND(emissions[[#This Row],[Market-based]]=0,emissions[[#This Row],[Impact Type]]="CO2E"),emissions[[#This Row],[kgCO2e]],0)/1000</f>
        <v>66.767235159999998</v>
      </c>
      <c r="AP943">
        <f>IF(AND(emissions[[#This Row],[Market-based]]=1,OR(emissions[[#This Row],[Impact Type]]="CO2E",emissions[[#This Row],[Impact Type]]="CO2E MKT")),emissions[[#This Row],[kgCO2e]],0)/1000</f>
        <v>0</v>
      </c>
      <c r="AQ943" t="str">
        <f>_xlfn.TEXTAFTER(emissions[[#This Row],[Reporting Unit]]," &gt; ",LEN(emissions[[#This Row],[Reporting Unit]])-LEN(SUBSTITUTE(emissions[[#This Row],[Reporting Unit]],"&gt;","")))</f>
        <v>Vantage_Dateland</v>
      </c>
      <c r="AR943" t="str">
        <f>_xlfn.XLOOKUP(emissions[[#This Row],[Reporting unit name]],hierarchy!$A:$A,hierarchy!$C:$C)</f>
        <v>Labratory</v>
      </c>
    </row>
    <row r="944" spans="1:44" hidden="1" x14ac:dyDescent="0.25">
      <c r="A944">
        <v>4973</v>
      </c>
      <c r="B944" t="s">
        <v>387</v>
      </c>
      <c r="C944" t="s">
        <v>475</v>
      </c>
      <c r="D944" t="s">
        <v>599</v>
      </c>
      <c r="E944" s="3">
        <v>44197</v>
      </c>
      <c r="F944" s="3">
        <v>44561</v>
      </c>
      <c r="G944" t="s">
        <v>135</v>
      </c>
      <c r="H944" s="3">
        <v>44197</v>
      </c>
      <c r="I944" s="3">
        <v>44561</v>
      </c>
      <c r="J944" t="s">
        <v>135</v>
      </c>
      <c r="K944">
        <v>72687</v>
      </c>
      <c r="L944" t="s">
        <v>136</v>
      </c>
      <c r="M944" t="s">
        <v>110</v>
      </c>
      <c r="O944" t="s">
        <v>600</v>
      </c>
      <c r="P944" t="s">
        <v>858</v>
      </c>
      <c r="Q944">
        <v>2021</v>
      </c>
      <c r="R944" t="s">
        <v>609</v>
      </c>
      <c r="S944" t="s">
        <v>610</v>
      </c>
      <c r="T944" t="s">
        <v>577</v>
      </c>
      <c r="U944" t="b">
        <v>0</v>
      </c>
      <c r="V944" t="s">
        <v>611</v>
      </c>
      <c r="W944" t="s">
        <v>571</v>
      </c>
      <c r="X944" t="s">
        <v>572</v>
      </c>
      <c r="AC944">
        <v>1</v>
      </c>
      <c r="AD944" t="s">
        <v>565</v>
      </c>
      <c r="AE944">
        <v>66767.235159999997</v>
      </c>
      <c r="AF944">
        <v>3.1350000000000003E-2</v>
      </c>
      <c r="AG944" t="s">
        <v>608</v>
      </c>
      <c r="AH944">
        <v>29.3001</v>
      </c>
      <c r="AI944">
        <v>2129736.3689999999</v>
      </c>
      <c r="AJ944" t="s">
        <v>561</v>
      </c>
      <c r="AK944" t="s">
        <v>589</v>
      </c>
      <c r="AL944" t="s">
        <v>603</v>
      </c>
      <c r="AM944">
        <v>2021</v>
      </c>
      <c r="AN944">
        <v>2019</v>
      </c>
      <c r="AO944">
        <f>IF(AND(emissions[[#This Row],[Market-based]]=0,emissions[[#This Row],[Impact Type]]="CO2E"),emissions[[#This Row],[kgCO2e]],0)/1000</f>
        <v>0</v>
      </c>
      <c r="AP944">
        <f>IF(AND(emissions[[#This Row],[Market-based]]=1,OR(emissions[[#This Row],[Impact Type]]="CO2E",emissions[[#This Row],[Impact Type]]="CO2E MKT")),emissions[[#This Row],[kgCO2e]],0)/1000</f>
        <v>66.767235159999998</v>
      </c>
      <c r="AQ944" t="str">
        <f>_xlfn.TEXTAFTER(emissions[[#This Row],[Reporting Unit]]," &gt; ",LEN(emissions[[#This Row],[Reporting Unit]])-LEN(SUBSTITUTE(emissions[[#This Row],[Reporting Unit]],"&gt;","")))</f>
        <v>Vantage_Dateland</v>
      </c>
      <c r="AR944" t="str">
        <f>_xlfn.XLOOKUP(emissions[[#This Row],[Reporting unit name]],hierarchy!$A:$A,hierarchy!$C:$C)</f>
        <v>Labratory</v>
      </c>
    </row>
    <row r="945" spans="1:44" hidden="1" x14ac:dyDescent="0.25">
      <c r="A945">
        <v>5005</v>
      </c>
      <c r="B945" t="s">
        <v>387</v>
      </c>
      <c r="C945" t="s">
        <v>475</v>
      </c>
      <c r="D945" t="s">
        <v>599</v>
      </c>
      <c r="E945" s="3">
        <v>44197</v>
      </c>
      <c r="F945" s="3">
        <v>44561</v>
      </c>
      <c r="G945" t="s">
        <v>141</v>
      </c>
      <c r="H945" s="3">
        <v>44197</v>
      </c>
      <c r="I945" s="3">
        <v>44561</v>
      </c>
      <c r="J945" t="s">
        <v>187</v>
      </c>
      <c r="K945">
        <v>22533</v>
      </c>
      <c r="L945" t="s">
        <v>148</v>
      </c>
      <c r="M945" t="s">
        <v>110</v>
      </c>
      <c r="O945" t="s">
        <v>600</v>
      </c>
      <c r="P945" t="s">
        <v>859</v>
      </c>
      <c r="Q945">
        <v>2021</v>
      </c>
      <c r="R945" t="s">
        <v>654</v>
      </c>
      <c r="S945" t="s">
        <v>655</v>
      </c>
      <c r="T945" t="s">
        <v>553</v>
      </c>
      <c r="U945" t="b">
        <v>0</v>
      </c>
      <c r="V945" t="s">
        <v>656</v>
      </c>
      <c r="W945" t="s">
        <v>587</v>
      </c>
      <c r="X945" t="s">
        <v>556</v>
      </c>
      <c r="AC945">
        <v>0</v>
      </c>
      <c r="AD945" t="s">
        <v>558</v>
      </c>
      <c r="AE945">
        <v>624.37143060000005</v>
      </c>
      <c r="AF945">
        <v>7.3200000000000001E-3</v>
      </c>
      <c r="AG945" t="s">
        <v>588</v>
      </c>
      <c r="AH945">
        <v>3.7854100000000002</v>
      </c>
      <c r="AI945">
        <v>85296.643530000001</v>
      </c>
      <c r="AJ945" t="s">
        <v>561</v>
      </c>
      <c r="AK945" t="s">
        <v>589</v>
      </c>
      <c r="AL945" t="s">
        <v>603</v>
      </c>
      <c r="AM945">
        <v>2021</v>
      </c>
      <c r="AN945">
        <v>2019</v>
      </c>
      <c r="AO945">
        <f>IF(AND(emissions[[#This Row],[Market-based]]=0,emissions[[#This Row],[Impact Type]]="CO2E"),emissions[[#This Row],[kgCO2e]],0)/1000</f>
        <v>0</v>
      </c>
      <c r="AP945">
        <f>IF(AND(emissions[[#This Row],[Market-based]]=1,OR(emissions[[#This Row],[Impact Type]]="CO2E",emissions[[#This Row],[Impact Type]]="CO2E MKT")),emissions[[#This Row],[kgCO2e]],0)/1000</f>
        <v>0</v>
      </c>
      <c r="AQ945" t="str">
        <f>_xlfn.TEXTAFTER(emissions[[#This Row],[Reporting Unit]]," &gt; ",LEN(emissions[[#This Row],[Reporting Unit]])-LEN(SUBSTITUTE(emissions[[#This Row],[Reporting Unit]],"&gt;","")))</f>
        <v>Vantage_Dateland</v>
      </c>
      <c r="AR945" t="str">
        <f>_xlfn.XLOOKUP(emissions[[#This Row],[Reporting unit name]],hierarchy!$A:$A,hierarchy!$C:$C)</f>
        <v>Labratory</v>
      </c>
    </row>
    <row r="946" spans="1:44" hidden="1" x14ac:dyDescent="0.25">
      <c r="A946">
        <v>5005</v>
      </c>
      <c r="B946" t="s">
        <v>387</v>
      </c>
      <c r="C946" t="s">
        <v>475</v>
      </c>
      <c r="D946" t="s">
        <v>599</v>
      </c>
      <c r="E946" s="3">
        <v>44197</v>
      </c>
      <c r="F946" s="3">
        <v>44561</v>
      </c>
      <c r="G946" t="s">
        <v>141</v>
      </c>
      <c r="H946" s="3">
        <v>44197</v>
      </c>
      <c r="I946" s="3">
        <v>44561</v>
      </c>
      <c r="J946" t="s">
        <v>187</v>
      </c>
      <c r="K946">
        <v>22533</v>
      </c>
      <c r="L946" t="s">
        <v>148</v>
      </c>
      <c r="M946" t="s">
        <v>110</v>
      </c>
      <c r="O946" t="s">
        <v>600</v>
      </c>
      <c r="P946" t="s">
        <v>859</v>
      </c>
      <c r="Q946">
        <v>2021</v>
      </c>
      <c r="R946" t="s">
        <v>654</v>
      </c>
      <c r="S946" t="s">
        <v>655</v>
      </c>
      <c r="T946" t="s">
        <v>553</v>
      </c>
      <c r="U946" t="b">
        <v>0</v>
      </c>
      <c r="V946" t="s">
        <v>656</v>
      </c>
      <c r="W946" t="s">
        <v>587</v>
      </c>
      <c r="X946" t="s">
        <v>556</v>
      </c>
      <c r="AC946">
        <v>0</v>
      </c>
      <c r="AD946" t="s">
        <v>564</v>
      </c>
      <c r="AE946">
        <v>198371.845</v>
      </c>
      <c r="AF946">
        <v>2.3256700000000001</v>
      </c>
      <c r="AG946" t="s">
        <v>588</v>
      </c>
      <c r="AH946">
        <v>3.7854100000000002</v>
      </c>
      <c r="AI946">
        <v>85296.643530000001</v>
      </c>
      <c r="AJ946" t="s">
        <v>561</v>
      </c>
      <c r="AK946" t="s">
        <v>589</v>
      </c>
      <c r="AL946" t="s">
        <v>603</v>
      </c>
      <c r="AM946">
        <v>2021</v>
      </c>
      <c r="AN946">
        <v>2019</v>
      </c>
      <c r="AO946">
        <f>IF(AND(emissions[[#This Row],[Market-based]]=0,emissions[[#This Row],[Impact Type]]="CO2E"),emissions[[#This Row],[kgCO2e]],0)/1000</f>
        <v>0</v>
      </c>
      <c r="AP946">
        <f>IF(AND(emissions[[#This Row],[Market-based]]=1,OR(emissions[[#This Row],[Impact Type]]="CO2E",emissions[[#This Row],[Impact Type]]="CO2E MKT")),emissions[[#This Row],[kgCO2e]],0)/1000</f>
        <v>0</v>
      </c>
      <c r="AQ946" t="str">
        <f>_xlfn.TEXTAFTER(emissions[[#This Row],[Reporting Unit]]," &gt; ",LEN(emissions[[#This Row],[Reporting Unit]])-LEN(SUBSTITUTE(emissions[[#This Row],[Reporting Unit]],"&gt;","")))</f>
        <v>Vantage_Dateland</v>
      </c>
      <c r="AR946" t="str">
        <f>_xlfn.XLOOKUP(emissions[[#This Row],[Reporting unit name]],hierarchy!$A:$A,hierarchy!$C:$C)</f>
        <v>Labratory</v>
      </c>
    </row>
    <row r="947" spans="1:44" hidden="1" x14ac:dyDescent="0.25">
      <c r="A947">
        <v>5005</v>
      </c>
      <c r="B947" t="s">
        <v>387</v>
      </c>
      <c r="C947" t="s">
        <v>475</v>
      </c>
      <c r="D947" t="s">
        <v>599</v>
      </c>
      <c r="E947" s="3">
        <v>44197</v>
      </c>
      <c r="F947" s="3">
        <v>44561</v>
      </c>
      <c r="G947" t="s">
        <v>141</v>
      </c>
      <c r="H947" s="3">
        <v>44197</v>
      </c>
      <c r="I947" s="3">
        <v>44561</v>
      </c>
      <c r="J947" t="s">
        <v>187</v>
      </c>
      <c r="K947">
        <v>22533</v>
      </c>
      <c r="L947" t="s">
        <v>148</v>
      </c>
      <c r="M947" t="s">
        <v>110</v>
      </c>
      <c r="O947" t="s">
        <v>600</v>
      </c>
      <c r="P947" t="s">
        <v>859</v>
      </c>
      <c r="Q947">
        <v>2021</v>
      </c>
      <c r="R947" t="s">
        <v>654</v>
      </c>
      <c r="S947" t="s">
        <v>655</v>
      </c>
      <c r="T947" t="s">
        <v>553</v>
      </c>
      <c r="U947" t="b">
        <v>0</v>
      </c>
      <c r="V947" t="s">
        <v>656</v>
      </c>
      <c r="W947" t="s">
        <v>587</v>
      </c>
      <c r="X947" t="s">
        <v>556</v>
      </c>
      <c r="AC947">
        <v>0</v>
      </c>
      <c r="AD947" t="s">
        <v>565</v>
      </c>
      <c r="AE947">
        <v>199568.5569</v>
      </c>
      <c r="AF947">
        <v>2.3397000000000001</v>
      </c>
      <c r="AG947" t="s">
        <v>588</v>
      </c>
      <c r="AH947">
        <v>3.7854100000000002</v>
      </c>
      <c r="AI947">
        <v>85296.643530000001</v>
      </c>
      <c r="AJ947" t="s">
        <v>561</v>
      </c>
      <c r="AK947" t="s">
        <v>589</v>
      </c>
      <c r="AL947" t="s">
        <v>603</v>
      </c>
      <c r="AM947">
        <v>2021</v>
      </c>
      <c r="AN947">
        <v>2019</v>
      </c>
      <c r="AO947">
        <f>IF(AND(emissions[[#This Row],[Market-based]]=0,emissions[[#This Row],[Impact Type]]="CO2E"),emissions[[#This Row],[kgCO2e]],0)/1000</f>
        <v>199.5685569</v>
      </c>
      <c r="AP947">
        <f>IF(AND(emissions[[#This Row],[Market-based]]=1,OR(emissions[[#This Row],[Impact Type]]="CO2E",emissions[[#This Row],[Impact Type]]="CO2E MKT")),emissions[[#This Row],[kgCO2e]],0)/1000</f>
        <v>0</v>
      </c>
      <c r="AQ947" t="str">
        <f>_xlfn.TEXTAFTER(emissions[[#This Row],[Reporting Unit]]," &gt; ",LEN(emissions[[#This Row],[Reporting Unit]])-LEN(SUBSTITUTE(emissions[[#This Row],[Reporting Unit]],"&gt;","")))</f>
        <v>Vantage_Dateland</v>
      </c>
      <c r="AR947" t="str">
        <f>_xlfn.XLOOKUP(emissions[[#This Row],[Reporting unit name]],hierarchy!$A:$A,hierarchy!$C:$C)</f>
        <v>Labratory</v>
      </c>
    </row>
    <row r="948" spans="1:44" hidden="1" x14ac:dyDescent="0.25">
      <c r="A948">
        <v>5005</v>
      </c>
      <c r="B948" t="s">
        <v>387</v>
      </c>
      <c r="C948" t="s">
        <v>475</v>
      </c>
      <c r="D948" t="s">
        <v>599</v>
      </c>
      <c r="E948" s="3">
        <v>44197</v>
      </c>
      <c r="F948" s="3">
        <v>44561</v>
      </c>
      <c r="G948" t="s">
        <v>141</v>
      </c>
      <c r="H948" s="3">
        <v>44197</v>
      </c>
      <c r="I948" s="3">
        <v>44561</v>
      </c>
      <c r="J948" t="s">
        <v>187</v>
      </c>
      <c r="K948">
        <v>22533</v>
      </c>
      <c r="L948" t="s">
        <v>148</v>
      </c>
      <c r="M948" t="s">
        <v>110</v>
      </c>
      <c r="O948" t="s">
        <v>600</v>
      </c>
      <c r="P948" t="s">
        <v>859</v>
      </c>
      <c r="Q948">
        <v>2021</v>
      </c>
      <c r="R948" t="s">
        <v>654</v>
      </c>
      <c r="S948" t="s">
        <v>655</v>
      </c>
      <c r="T948" t="s">
        <v>553</v>
      </c>
      <c r="U948" t="b">
        <v>0</v>
      </c>
      <c r="V948" t="s">
        <v>656</v>
      </c>
      <c r="W948" t="s">
        <v>587</v>
      </c>
      <c r="X948" t="s">
        <v>556</v>
      </c>
      <c r="AC948">
        <v>0</v>
      </c>
      <c r="AD948" t="s">
        <v>566</v>
      </c>
      <c r="AE948">
        <v>572.34047810000004</v>
      </c>
      <c r="AF948">
        <v>6.7099999999999998E-3</v>
      </c>
      <c r="AG948" t="s">
        <v>588</v>
      </c>
      <c r="AH948">
        <v>3.7854100000000002</v>
      </c>
      <c r="AI948">
        <v>85296.643530000001</v>
      </c>
      <c r="AJ948" t="s">
        <v>561</v>
      </c>
      <c r="AK948" t="s">
        <v>589</v>
      </c>
      <c r="AL948" t="s">
        <v>603</v>
      </c>
      <c r="AM948">
        <v>2021</v>
      </c>
      <c r="AN948">
        <v>2019</v>
      </c>
      <c r="AO948">
        <f>IF(AND(emissions[[#This Row],[Market-based]]=0,emissions[[#This Row],[Impact Type]]="CO2E"),emissions[[#This Row],[kgCO2e]],0)/1000</f>
        <v>0</v>
      </c>
      <c r="AP948">
        <f>IF(AND(emissions[[#This Row],[Market-based]]=1,OR(emissions[[#This Row],[Impact Type]]="CO2E",emissions[[#This Row],[Impact Type]]="CO2E MKT")),emissions[[#This Row],[kgCO2e]],0)/1000</f>
        <v>0</v>
      </c>
      <c r="AQ948" t="str">
        <f>_xlfn.TEXTAFTER(emissions[[#This Row],[Reporting Unit]]," &gt; ",LEN(emissions[[#This Row],[Reporting Unit]])-LEN(SUBSTITUTE(emissions[[#This Row],[Reporting Unit]],"&gt;","")))</f>
        <v>Vantage_Dateland</v>
      </c>
      <c r="AR948" t="str">
        <f>_xlfn.XLOOKUP(emissions[[#This Row],[Reporting unit name]],hierarchy!$A:$A,hierarchy!$C:$C)</f>
        <v>Labratory</v>
      </c>
    </row>
    <row r="949" spans="1:44" hidden="1" x14ac:dyDescent="0.25">
      <c r="A949">
        <v>5005</v>
      </c>
      <c r="B949" t="s">
        <v>387</v>
      </c>
      <c r="C949" t="s">
        <v>475</v>
      </c>
      <c r="D949" t="s">
        <v>599</v>
      </c>
      <c r="E949" s="3">
        <v>44197</v>
      </c>
      <c r="F949" s="3">
        <v>44561</v>
      </c>
      <c r="G949" t="s">
        <v>141</v>
      </c>
      <c r="H949" s="3">
        <v>44197</v>
      </c>
      <c r="I949" s="3">
        <v>44561</v>
      </c>
      <c r="J949" t="s">
        <v>187</v>
      </c>
      <c r="K949">
        <v>22533</v>
      </c>
      <c r="L949" t="s">
        <v>148</v>
      </c>
      <c r="M949" t="s">
        <v>110</v>
      </c>
      <c r="O949" t="s">
        <v>600</v>
      </c>
      <c r="P949" t="s">
        <v>859</v>
      </c>
      <c r="Q949">
        <v>2021</v>
      </c>
      <c r="R949" t="s">
        <v>654</v>
      </c>
      <c r="S949" t="s">
        <v>655</v>
      </c>
      <c r="T949" t="s">
        <v>553</v>
      </c>
      <c r="U949" t="b">
        <v>0</v>
      </c>
      <c r="V949" t="s">
        <v>656</v>
      </c>
      <c r="W949" t="s">
        <v>587</v>
      </c>
      <c r="X949" t="s">
        <v>556</v>
      </c>
      <c r="AC949">
        <v>1</v>
      </c>
      <c r="AD949" t="s">
        <v>558</v>
      </c>
      <c r="AE949">
        <v>624.37143060000005</v>
      </c>
      <c r="AF949">
        <v>7.3200000000000001E-3</v>
      </c>
      <c r="AG949" t="s">
        <v>588</v>
      </c>
      <c r="AH949">
        <v>3.7854100000000002</v>
      </c>
      <c r="AI949">
        <v>85296.643530000001</v>
      </c>
      <c r="AJ949" t="s">
        <v>561</v>
      </c>
      <c r="AK949" t="s">
        <v>589</v>
      </c>
      <c r="AL949" t="s">
        <v>603</v>
      </c>
      <c r="AM949">
        <v>2021</v>
      </c>
      <c r="AN949">
        <v>2019</v>
      </c>
      <c r="AO949">
        <f>IF(AND(emissions[[#This Row],[Market-based]]=0,emissions[[#This Row],[Impact Type]]="CO2E"),emissions[[#This Row],[kgCO2e]],0)/1000</f>
        <v>0</v>
      </c>
      <c r="AP949">
        <f>IF(AND(emissions[[#This Row],[Market-based]]=1,OR(emissions[[#This Row],[Impact Type]]="CO2E",emissions[[#This Row],[Impact Type]]="CO2E MKT")),emissions[[#This Row],[kgCO2e]],0)/1000</f>
        <v>0</v>
      </c>
      <c r="AQ949" t="str">
        <f>_xlfn.TEXTAFTER(emissions[[#This Row],[Reporting Unit]]," &gt; ",LEN(emissions[[#This Row],[Reporting Unit]])-LEN(SUBSTITUTE(emissions[[#This Row],[Reporting Unit]],"&gt;","")))</f>
        <v>Vantage_Dateland</v>
      </c>
      <c r="AR949" t="str">
        <f>_xlfn.XLOOKUP(emissions[[#This Row],[Reporting unit name]],hierarchy!$A:$A,hierarchy!$C:$C)</f>
        <v>Labratory</v>
      </c>
    </row>
    <row r="950" spans="1:44" hidden="1" x14ac:dyDescent="0.25">
      <c r="A950">
        <v>5005</v>
      </c>
      <c r="B950" t="s">
        <v>387</v>
      </c>
      <c r="C950" t="s">
        <v>475</v>
      </c>
      <c r="D950" t="s">
        <v>599</v>
      </c>
      <c r="E950" s="3">
        <v>44197</v>
      </c>
      <c r="F950" s="3">
        <v>44561</v>
      </c>
      <c r="G950" t="s">
        <v>141</v>
      </c>
      <c r="H950" s="3">
        <v>44197</v>
      </c>
      <c r="I950" s="3">
        <v>44561</v>
      </c>
      <c r="J950" t="s">
        <v>187</v>
      </c>
      <c r="K950">
        <v>22533</v>
      </c>
      <c r="L950" t="s">
        <v>148</v>
      </c>
      <c r="M950" t="s">
        <v>110</v>
      </c>
      <c r="O950" t="s">
        <v>600</v>
      </c>
      <c r="P950" t="s">
        <v>859</v>
      </c>
      <c r="Q950">
        <v>2021</v>
      </c>
      <c r="R950" t="s">
        <v>654</v>
      </c>
      <c r="S950" t="s">
        <v>655</v>
      </c>
      <c r="T950" t="s">
        <v>553</v>
      </c>
      <c r="U950" t="b">
        <v>0</v>
      </c>
      <c r="V950" t="s">
        <v>656</v>
      </c>
      <c r="W950" t="s">
        <v>587</v>
      </c>
      <c r="X950" t="s">
        <v>556</v>
      </c>
      <c r="AC950">
        <v>1</v>
      </c>
      <c r="AD950" t="s">
        <v>564</v>
      </c>
      <c r="AE950">
        <v>198371.845</v>
      </c>
      <c r="AF950">
        <v>2.3256700000000001</v>
      </c>
      <c r="AG950" t="s">
        <v>588</v>
      </c>
      <c r="AH950">
        <v>3.7854100000000002</v>
      </c>
      <c r="AI950">
        <v>85296.643530000001</v>
      </c>
      <c r="AJ950" t="s">
        <v>561</v>
      </c>
      <c r="AK950" t="s">
        <v>589</v>
      </c>
      <c r="AL950" t="s">
        <v>603</v>
      </c>
      <c r="AM950">
        <v>2021</v>
      </c>
      <c r="AN950">
        <v>2019</v>
      </c>
      <c r="AO950">
        <f>IF(AND(emissions[[#This Row],[Market-based]]=0,emissions[[#This Row],[Impact Type]]="CO2E"),emissions[[#This Row],[kgCO2e]],0)/1000</f>
        <v>0</v>
      </c>
      <c r="AP950">
        <f>IF(AND(emissions[[#This Row],[Market-based]]=1,OR(emissions[[#This Row],[Impact Type]]="CO2E",emissions[[#This Row],[Impact Type]]="CO2E MKT")),emissions[[#This Row],[kgCO2e]],0)/1000</f>
        <v>0</v>
      </c>
      <c r="AQ950" t="str">
        <f>_xlfn.TEXTAFTER(emissions[[#This Row],[Reporting Unit]]," &gt; ",LEN(emissions[[#This Row],[Reporting Unit]])-LEN(SUBSTITUTE(emissions[[#This Row],[Reporting Unit]],"&gt;","")))</f>
        <v>Vantage_Dateland</v>
      </c>
      <c r="AR950" t="str">
        <f>_xlfn.XLOOKUP(emissions[[#This Row],[Reporting unit name]],hierarchy!$A:$A,hierarchy!$C:$C)</f>
        <v>Labratory</v>
      </c>
    </row>
    <row r="951" spans="1:44" hidden="1" x14ac:dyDescent="0.25">
      <c r="A951">
        <v>5005</v>
      </c>
      <c r="B951" t="s">
        <v>387</v>
      </c>
      <c r="C951" t="s">
        <v>475</v>
      </c>
      <c r="D951" t="s">
        <v>599</v>
      </c>
      <c r="E951" s="3">
        <v>44197</v>
      </c>
      <c r="F951" s="3">
        <v>44561</v>
      </c>
      <c r="G951" t="s">
        <v>141</v>
      </c>
      <c r="H951" s="3">
        <v>44197</v>
      </c>
      <c r="I951" s="3">
        <v>44561</v>
      </c>
      <c r="J951" t="s">
        <v>187</v>
      </c>
      <c r="K951">
        <v>22533</v>
      </c>
      <c r="L951" t="s">
        <v>148</v>
      </c>
      <c r="M951" t="s">
        <v>110</v>
      </c>
      <c r="O951" t="s">
        <v>600</v>
      </c>
      <c r="P951" t="s">
        <v>859</v>
      </c>
      <c r="Q951">
        <v>2021</v>
      </c>
      <c r="R951" t="s">
        <v>654</v>
      </c>
      <c r="S951" t="s">
        <v>655</v>
      </c>
      <c r="T951" t="s">
        <v>553</v>
      </c>
      <c r="U951" t="b">
        <v>0</v>
      </c>
      <c r="V951" t="s">
        <v>656</v>
      </c>
      <c r="W951" t="s">
        <v>587</v>
      </c>
      <c r="X951" t="s">
        <v>556</v>
      </c>
      <c r="AC951">
        <v>1</v>
      </c>
      <c r="AD951" t="s">
        <v>565</v>
      </c>
      <c r="AE951">
        <v>199568.5569</v>
      </c>
      <c r="AF951">
        <v>2.3397000000000001</v>
      </c>
      <c r="AG951" t="s">
        <v>588</v>
      </c>
      <c r="AH951">
        <v>3.7854100000000002</v>
      </c>
      <c r="AI951">
        <v>85296.643530000001</v>
      </c>
      <c r="AJ951" t="s">
        <v>561</v>
      </c>
      <c r="AK951" t="s">
        <v>589</v>
      </c>
      <c r="AL951" t="s">
        <v>603</v>
      </c>
      <c r="AM951">
        <v>2021</v>
      </c>
      <c r="AN951">
        <v>2019</v>
      </c>
      <c r="AO951">
        <f>IF(AND(emissions[[#This Row],[Market-based]]=0,emissions[[#This Row],[Impact Type]]="CO2E"),emissions[[#This Row],[kgCO2e]],0)/1000</f>
        <v>0</v>
      </c>
      <c r="AP951">
        <f>IF(AND(emissions[[#This Row],[Market-based]]=1,OR(emissions[[#This Row],[Impact Type]]="CO2E",emissions[[#This Row],[Impact Type]]="CO2E MKT")),emissions[[#This Row],[kgCO2e]],0)/1000</f>
        <v>199.5685569</v>
      </c>
      <c r="AQ951" t="str">
        <f>_xlfn.TEXTAFTER(emissions[[#This Row],[Reporting Unit]]," &gt; ",LEN(emissions[[#This Row],[Reporting Unit]])-LEN(SUBSTITUTE(emissions[[#This Row],[Reporting Unit]],"&gt;","")))</f>
        <v>Vantage_Dateland</v>
      </c>
      <c r="AR951" t="str">
        <f>_xlfn.XLOOKUP(emissions[[#This Row],[Reporting unit name]],hierarchy!$A:$A,hierarchy!$C:$C)</f>
        <v>Labratory</v>
      </c>
    </row>
    <row r="952" spans="1:44" hidden="1" x14ac:dyDescent="0.25">
      <c r="A952">
        <v>5005</v>
      </c>
      <c r="B952" t="s">
        <v>387</v>
      </c>
      <c r="C952" t="s">
        <v>475</v>
      </c>
      <c r="D952" t="s">
        <v>599</v>
      </c>
      <c r="E952" s="3">
        <v>44197</v>
      </c>
      <c r="F952" s="3">
        <v>44561</v>
      </c>
      <c r="G952" t="s">
        <v>141</v>
      </c>
      <c r="H952" s="3">
        <v>44197</v>
      </c>
      <c r="I952" s="3">
        <v>44561</v>
      </c>
      <c r="J952" t="s">
        <v>187</v>
      </c>
      <c r="K952">
        <v>22533</v>
      </c>
      <c r="L952" t="s">
        <v>148</v>
      </c>
      <c r="M952" t="s">
        <v>110</v>
      </c>
      <c r="O952" t="s">
        <v>600</v>
      </c>
      <c r="P952" t="s">
        <v>859</v>
      </c>
      <c r="Q952">
        <v>2021</v>
      </c>
      <c r="R952" t="s">
        <v>654</v>
      </c>
      <c r="S952" t="s">
        <v>655</v>
      </c>
      <c r="T952" t="s">
        <v>553</v>
      </c>
      <c r="U952" t="b">
        <v>0</v>
      </c>
      <c r="V952" t="s">
        <v>656</v>
      </c>
      <c r="W952" t="s">
        <v>587</v>
      </c>
      <c r="X952" t="s">
        <v>556</v>
      </c>
      <c r="AC952">
        <v>1</v>
      </c>
      <c r="AD952" t="s">
        <v>566</v>
      </c>
      <c r="AE952">
        <v>572.34047810000004</v>
      </c>
      <c r="AF952">
        <v>6.7099999999999998E-3</v>
      </c>
      <c r="AG952" t="s">
        <v>588</v>
      </c>
      <c r="AH952">
        <v>3.7854100000000002</v>
      </c>
      <c r="AI952">
        <v>85296.643530000001</v>
      </c>
      <c r="AJ952" t="s">
        <v>561</v>
      </c>
      <c r="AK952" t="s">
        <v>589</v>
      </c>
      <c r="AL952" t="s">
        <v>603</v>
      </c>
      <c r="AM952">
        <v>2021</v>
      </c>
      <c r="AN952">
        <v>2019</v>
      </c>
      <c r="AO952">
        <f>IF(AND(emissions[[#This Row],[Market-based]]=0,emissions[[#This Row],[Impact Type]]="CO2E"),emissions[[#This Row],[kgCO2e]],0)/1000</f>
        <v>0</v>
      </c>
      <c r="AP952">
        <f>IF(AND(emissions[[#This Row],[Market-based]]=1,OR(emissions[[#This Row],[Impact Type]]="CO2E",emissions[[#This Row],[Impact Type]]="CO2E MKT")),emissions[[#This Row],[kgCO2e]],0)/1000</f>
        <v>0</v>
      </c>
      <c r="AQ952" t="str">
        <f>_xlfn.TEXTAFTER(emissions[[#This Row],[Reporting Unit]]," &gt; ",LEN(emissions[[#This Row],[Reporting Unit]])-LEN(SUBSTITUTE(emissions[[#This Row],[Reporting Unit]],"&gt;","")))</f>
        <v>Vantage_Dateland</v>
      </c>
      <c r="AR952" t="str">
        <f>_xlfn.XLOOKUP(emissions[[#This Row],[Reporting unit name]],hierarchy!$A:$A,hierarchy!$C:$C)</f>
        <v>Labratory</v>
      </c>
    </row>
    <row r="953" spans="1:44" hidden="1" x14ac:dyDescent="0.25">
      <c r="A953">
        <v>5005</v>
      </c>
      <c r="B953" t="s">
        <v>387</v>
      </c>
      <c r="C953" t="s">
        <v>475</v>
      </c>
      <c r="D953" t="s">
        <v>599</v>
      </c>
      <c r="E953" s="3">
        <v>44197</v>
      </c>
      <c r="F953" s="3">
        <v>44561</v>
      </c>
      <c r="G953" t="s">
        <v>141</v>
      </c>
      <c r="H953" s="3">
        <v>44197</v>
      </c>
      <c r="I953" s="3">
        <v>44561</v>
      </c>
      <c r="J953" t="s">
        <v>187</v>
      </c>
      <c r="K953">
        <v>22533</v>
      </c>
      <c r="L953" t="s">
        <v>148</v>
      </c>
      <c r="M953" t="s">
        <v>110</v>
      </c>
      <c r="O953" t="s">
        <v>600</v>
      </c>
      <c r="P953" t="s">
        <v>859</v>
      </c>
      <c r="Q953">
        <v>2021</v>
      </c>
      <c r="R953" t="s">
        <v>657</v>
      </c>
      <c r="S953" t="s">
        <v>658</v>
      </c>
      <c r="T953" t="s">
        <v>577</v>
      </c>
      <c r="U953" t="b">
        <v>0</v>
      </c>
      <c r="V953" t="s">
        <v>659</v>
      </c>
      <c r="W953" t="s">
        <v>571</v>
      </c>
      <c r="X953" t="s">
        <v>572</v>
      </c>
      <c r="AC953">
        <v>0</v>
      </c>
      <c r="AD953" t="s">
        <v>565</v>
      </c>
      <c r="AE953">
        <v>51419.375619999999</v>
      </c>
      <c r="AF953">
        <v>0.60282999999999998</v>
      </c>
      <c r="AG953" t="s">
        <v>588</v>
      </c>
      <c r="AH953">
        <v>3.7854100000000002</v>
      </c>
      <c r="AI953">
        <v>85296.643530000001</v>
      </c>
      <c r="AJ953" t="s">
        <v>561</v>
      </c>
      <c r="AK953" t="s">
        <v>589</v>
      </c>
      <c r="AL953" t="s">
        <v>603</v>
      </c>
      <c r="AM953">
        <v>2021</v>
      </c>
      <c r="AN953">
        <v>2019</v>
      </c>
      <c r="AO953">
        <f>IF(AND(emissions[[#This Row],[Market-based]]=0,emissions[[#This Row],[Impact Type]]="CO2E"),emissions[[#This Row],[kgCO2e]],0)/1000</f>
        <v>51.419375619999997</v>
      </c>
      <c r="AP953">
        <f>IF(AND(emissions[[#This Row],[Market-based]]=1,OR(emissions[[#This Row],[Impact Type]]="CO2E",emissions[[#This Row],[Impact Type]]="CO2E MKT")),emissions[[#This Row],[kgCO2e]],0)/1000</f>
        <v>0</v>
      </c>
      <c r="AQ953" t="str">
        <f>_xlfn.TEXTAFTER(emissions[[#This Row],[Reporting Unit]]," &gt; ",LEN(emissions[[#This Row],[Reporting Unit]])-LEN(SUBSTITUTE(emissions[[#This Row],[Reporting Unit]],"&gt;","")))</f>
        <v>Vantage_Dateland</v>
      </c>
      <c r="AR953" t="str">
        <f>_xlfn.XLOOKUP(emissions[[#This Row],[Reporting unit name]],hierarchy!$A:$A,hierarchy!$C:$C)</f>
        <v>Labratory</v>
      </c>
    </row>
    <row r="954" spans="1:44" hidden="1" x14ac:dyDescent="0.25">
      <c r="A954">
        <v>5005</v>
      </c>
      <c r="B954" t="s">
        <v>387</v>
      </c>
      <c r="C954" t="s">
        <v>475</v>
      </c>
      <c r="D954" t="s">
        <v>599</v>
      </c>
      <c r="E954" s="3">
        <v>44197</v>
      </c>
      <c r="F954" s="3">
        <v>44561</v>
      </c>
      <c r="G954" t="s">
        <v>141</v>
      </c>
      <c r="H954" s="3">
        <v>44197</v>
      </c>
      <c r="I954" s="3">
        <v>44561</v>
      </c>
      <c r="J954" t="s">
        <v>187</v>
      </c>
      <c r="K954">
        <v>22533</v>
      </c>
      <c r="L954" t="s">
        <v>148</v>
      </c>
      <c r="M954" t="s">
        <v>110</v>
      </c>
      <c r="O954" t="s">
        <v>600</v>
      </c>
      <c r="P954" t="s">
        <v>859</v>
      </c>
      <c r="Q954">
        <v>2021</v>
      </c>
      <c r="R954" t="s">
        <v>657</v>
      </c>
      <c r="S954" t="s">
        <v>658</v>
      </c>
      <c r="T954" t="s">
        <v>577</v>
      </c>
      <c r="U954" t="b">
        <v>0</v>
      </c>
      <c r="V954" t="s">
        <v>659</v>
      </c>
      <c r="W954" t="s">
        <v>571</v>
      </c>
      <c r="X954" t="s">
        <v>572</v>
      </c>
      <c r="AC954">
        <v>1</v>
      </c>
      <c r="AD954" t="s">
        <v>565</v>
      </c>
      <c r="AE954">
        <v>51419.375619999999</v>
      </c>
      <c r="AF954">
        <v>0.60282999999999998</v>
      </c>
      <c r="AG954" t="s">
        <v>588</v>
      </c>
      <c r="AH954">
        <v>3.7854100000000002</v>
      </c>
      <c r="AI954">
        <v>85296.643530000001</v>
      </c>
      <c r="AJ954" t="s">
        <v>561</v>
      </c>
      <c r="AK954" t="s">
        <v>589</v>
      </c>
      <c r="AL954" t="s">
        <v>603</v>
      </c>
      <c r="AM954">
        <v>2021</v>
      </c>
      <c r="AN954">
        <v>2019</v>
      </c>
      <c r="AO954">
        <f>IF(AND(emissions[[#This Row],[Market-based]]=0,emissions[[#This Row],[Impact Type]]="CO2E"),emissions[[#This Row],[kgCO2e]],0)/1000</f>
        <v>0</v>
      </c>
      <c r="AP954">
        <f>IF(AND(emissions[[#This Row],[Market-based]]=1,OR(emissions[[#This Row],[Impact Type]]="CO2E",emissions[[#This Row],[Impact Type]]="CO2E MKT")),emissions[[#This Row],[kgCO2e]],0)/1000</f>
        <v>51.419375619999997</v>
      </c>
      <c r="AQ954" t="str">
        <f>_xlfn.TEXTAFTER(emissions[[#This Row],[Reporting Unit]]," &gt; ",LEN(emissions[[#This Row],[Reporting Unit]])-LEN(SUBSTITUTE(emissions[[#This Row],[Reporting Unit]],"&gt;","")))</f>
        <v>Vantage_Dateland</v>
      </c>
      <c r="AR954" t="str">
        <f>_xlfn.XLOOKUP(emissions[[#This Row],[Reporting unit name]],hierarchy!$A:$A,hierarchy!$C:$C)</f>
        <v>Labratory</v>
      </c>
    </row>
    <row r="955" spans="1:44" hidden="1" x14ac:dyDescent="0.25">
      <c r="A955">
        <v>5006</v>
      </c>
      <c r="B955" t="s">
        <v>387</v>
      </c>
      <c r="C955" t="s">
        <v>475</v>
      </c>
      <c r="D955" t="s">
        <v>599</v>
      </c>
      <c r="E955" s="3">
        <v>44197</v>
      </c>
      <c r="F955" s="3">
        <v>44561</v>
      </c>
      <c r="G955" t="s">
        <v>141</v>
      </c>
      <c r="H955" s="3">
        <v>44197</v>
      </c>
      <c r="I955" s="3">
        <v>44561</v>
      </c>
      <c r="J955" t="s">
        <v>147</v>
      </c>
      <c r="K955">
        <v>19846</v>
      </c>
      <c r="L955" t="s">
        <v>148</v>
      </c>
      <c r="M955" t="s">
        <v>110</v>
      </c>
      <c r="O955" t="s">
        <v>600</v>
      </c>
      <c r="P955" t="s">
        <v>860</v>
      </c>
      <c r="Q955">
        <v>2021</v>
      </c>
      <c r="R955" t="s">
        <v>584</v>
      </c>
      <c r="S955" t="s">
        <v>585</v>
      </c>
      <c r="T955" t="s">
        <v>553</v>
      </c>
      <c r="U955" t="b">
        <v>0</v>
      </c>
      <c r="V955" t="s">
        <v>785</v>
      </c>
      <c r="W955" t="s">
        <v>587</v>
      </c>
      <c r="X955" t="s">
        <v>556</v>
      </c>
      <c r="Y955" t="s">
        <v>472</v>
      </c>
      <c r="Z955" t="s">
        <v>485</v>
      </c>
      <c r="AA955" t="s">
        <v>764</v>
      </c>
      <c r="AC955">
        <v>0</v>
      </c>
      <c r="AD955" t="s">
        <v>558</v>
      </c>
      <c r="AE955">
        <v>203.42150000000001</v>
      </c>
      <c r="AF955">
        <v>1.025E-2</v>
      </c>
      <c r="AG955" t="s">
        <v>786</v>
      </c>
      <c r="AH955">
        <v>1</v>
      </c>
      <c r="AI955">
        <v>19846</v>
      </c>
      <c r="AJ955" t="s">
        <v>561</v>
      </c>
      <c r="AK955" t="s">
        <v>766</v>
      </c>
      <c r="AL955" t="s">
        <v>790</v>
      </c>
      <c r="AM955">
        <v>2021</v>
      </c>
      <c r="AN955">
        <v>2021</v>
      </c>
      <c r="AO955">
        <f>IF(AND(emissions[[#This Row],[Market-based]]=0,emissions[[#This Row],[Impact Type]]="CO2E"),emissions[[#This Row],[kgCO2e]],0)/1000</f>
        <v>0</v>
      </c>
      <c r="AP955">
        <f>IF(AND(emissions[[#This Row],[Market-based]]=1,OR(emissions[[#This Row],[Impact Type]]="CO2E",emissions[[#This Row],[Impact Type]]="CO2E MKT")),emissions[[#This Row],[kgCO2e]],0)/1000</f>
        <v>0</v>
      </c>
      <c r="AQ955" t="str">
        <f>_xlfn.TEXTAFTER(emissions[[#This Row],[Reporting Unit]]," &gt; ",LEN(emissions[[#This Row],[Reporting Unit]])-LEN(SUBSTITUTE(emissions[[#This Row],[Reporting Unit]],"&gt;","")))</f>
        <v>Vantage_Dateland</v>
      </c>
      <c r="AR955" t="str">
        <f>_xlfn.XLOOKUP(emissions[[#This Row],[Reporting unit name]],hierarchy!$A:$A,hierarchy!$C:$C)</f>
        <v>Labratory</v>
      </c>
    </row>
    <row r="956" spans="1:44" hidden="1" x14ac:dyDescent="0.25">
      <c r="A956">
        <v>5006</v>
      </c>
      <c r="B956" t="s">
        <v>387</v>
      </c>
      <c r="C956" t="s">
        <v>475</v>
      </c>
      <c r="D956" t="s">
        <v>599</v>
      </c>
      <c r="E956" s="3">
        <v>44197</v>
      </c>
      <c r="F956" s="3">
        <v>44561</v>
      </c>
      <c r="G956" t="s">
        <v>141</v>
      </c>
      <c r="H956" s="3">
        <v>44197</v>
      </c>
      <c r="I956" s="3">
        <v>44561</v>
      </c>
      <c r="J956" t="s">
        <v>147</v>
      </c>
      <c r="K956">
        <v>19846</v>
      </c>
      <c r="L956" t="s">
        <v>148</v>
      </c>
      <c r="M956" t="s">
        <v>110</v>
      </c>
      <c r="O956" t="s">
        <v>600</v>
      </c>
      <c r="P956" t="s">
        <v>860</v>
      </c>
      <c r="Q956">
        <v>2021</v>
      </c>
      <c r="R956" t="s">
        <v>584</v>
      </c>
      <c r="S956" t="s">
        <v>585</v>
      </c>
      <c r="T956" t="s">
        <v>553</v>
      </c>
      <c r="U956" t="b">
        <v>0</v>
      </c>
      <c r="V956" t="s">
        <v>785</v>
      </c>
      <c r="W956" t="s">
        <v>587</v>
      </c>
      <c r="X956" t="s">
        <v>556</v>
      </c>
      <c r="Y956" t="s">
        <v>472</v>
      </c>
      <c r="Z956" t="s">
        <v>485</v>
      </c>
      <c r="AA956" t="s">
        <v>764</v>
      </c>
      <c r="AC956">
        <v>0</v>
      </c>
      <c r="AD956" t="s">
        <v>564</v>
      </c>
      <c r="AE956">
        <v>202627.66</v>
      </c>
      <c r="AF956">
        <v>10.210000000000001</v>
      </c>
      <c r="AG956" t="s">
        <v>786</v>
      </c>
      <c r="AH956">
        <v>1</v>
      </c>
      <c r="AI956">
        <v>19846</v>
      </c>
      <c r="AJ956" t="s">
        <v>561</v>
      </c>
      <c r="AK956" t="s">
        <v>766</v>
      </c>
      <c r="AL956" t="s">
        <v>790</v>
      </c>
      <c r="AM956">
        <v>2021</v>
      </c>
      <c r="AN956">
        <v>2021</v>
      </c>
      <c r="AO956">
        <f>IF(AND(emissions[[#This Row],[Market-based]]=0,emissions[[#This Row],[Impact Type]]="CO2E"),emissions[[#This Row],[kgCO2e]],0)/1000</f>
        <v>0</v>
      </c>
      <c r="AP956">
        <f>IF(AND(emissions[[#This Row],[Market-based]]=1,OR(emissions[[#This Row],[Impact Type]]="CO2E",emissions[[#This Row],[Impact Type]]="CO2E MKT")),emissions[[#This Row],[kgCO2e]],0)/1000</f>
        <v>0</v>
      </c>
      <c r="AQ956" t="str">
        <f>_xlfn.TEXTAFTER(emissions[[#This Row],[Reporting Unit]]," &gt; ",LEN(emissions[[#This Row],[Reporting Unit]])-LEN(SUBSTITUTE(emissions[[#This Row],[Reporting Unit]],"&gt;","")))</f>
        <v>Vantage_Dateland</v>
      </c>
      <c r="AR956" t="str">
        <f>_xlfn.XLOOKUP(emissions[[#This Row],[Reporting unit name]],hierarchy!$A:$A,hierarchy!$C:$C)</f>
        <v>Labratory</v>
      </c>
    </row>
    <row r="957" spans="1:44" hidden="1" x14ac:dyDescent="0.25">
      <c r="A957">
        <v>5006</v>
      </c>
      <c r="B957" t="s">
        <v>387</v>
      </c>
      <c r="C957" t="s">
        <v>475</v>
      </c>
      <c r="D957" t="s">
        <v>599</v>
      </c>
      <c r="E957" s="3">
        <v>44197</v>
      </c>
      <c r="F957" s="3">
        <v>44561</v>
      </c>
      <c r="G957" t="s">
        <v>141</v>
      </c>
      <c r="H957" s="3">
        <v>44197</v>
      </c>
      <c r="I957" s="3">
        <v>44561</v>
      </c>
      <c r="J957" t="s">
        <v>147</v>
      </c>
      <c r="K957">
        <v>19846</v>
      </c>
      <c r="L957" t="s">
        <v>148</v>
      </c>
      <c r="M957" t="s">
        <v>110</v>
      </c>
      <c r="O957" t="s">
        <v>600</v>
      </c>
      <c r="P957" t="s">
        <v>860</v>
      </c>
      <c r="Q957">
        <v>2021</v>
      </c>
      <c r="R957" t="s">
        <v>584</v>
      </c>
      <c r="S957" t="s">
        <v>585</v>
      </c>
      <c r="T957" t="s">
        <v>553</v>
      </c>
      <c r="U957" t="b">
        <v>0</v>
      </c>
      <c r="V957" t="s">
        <v>785</v>
      </c>
      <c r="W957" t="s">
        <v>587</v>
      </c>
      <c r="X957" t="s">
        <v>556</v>
      </c>
      <c r="Y957" t="s">
        <v>472</v>
      </c>
      <c r="Z957" t="s">
        <v>485</v>
      </c>
      <c r="AA957" t="s">
        <v>764</v>
      </c>
      <c r="AC957">
        <v>0</v>
      </c>
      <c r="AD957" t="s">
        <v>565</v>
      </c>
      <c r="AE957">
        <v>203304.2101</v>
      </c>
      <c r="AF957">
        <v>10.24409</v>
      </c>
      <c r="AG957" t="s">
        <v>786</v>
      </c>
      <c r="AH957">
        <v>1</v>
      </c>
      <c r="AI957">
        <v>19846</v>
      </c>
      <c r="AJ957" t="s">
        <v>561</v>
      </c>
      <c r="AK957" t="s">
        <v>766</v>
      </c>
      <c r="AL957" t="s">
        <v>787</v>
      </c>
      <c r="AM957">
        <v>2021</v>
      </c>
      <c r="AN957">
        <v>2020</v>
      </c>
      <c r="AO957">
        <f>IF(AND(emissions[[#This Row],[Market-based]]=0,emissions[[#This Row],[Impact Type]]="CO2E"),emissions[[#This Row],[kgCO2e]],0)/1000</f>
        <v>203.30421010000001</v>
      </c>
      <c r="AP957">
        <f>IF(AND(emissions[[#This Row],[Market-based]]=1,OR(emissions[[#This Row],[Impact Type]]="CO2E",emissions[[#This Row],[Impact Type]]="CO2E MKT")),emissions[[#This Row],[kgCO2e]],0)/1000</f>
        <v>0</v>
      </c>
      <c r="AQ957" t="str">
        <f>_xlfn.TEXTAFTER(emissions[[#This Row],[Reporting Unit]]," &gt; ",LEN(emissions[[#This Row],[Reporting Unit]])-LEN(SUBSTITUTE(emissions[[#This Row],[Reporting Unit]],"&gt;","")))</f>
        <v>Vantage_Dateland</v>
      </c>
      <c r="AR957" t="str">
        <f>_xlfn.XLOOKUP(emissions[[#This Row],[Reporting unit name]],hierarchy!$A:$A,hierarchy!$C:$C)</f>
        <v>Labratory</v>
      </c>
    </row>
    <row r="958" spans="1:44" hidden="1" x14ac:dyDescent="0.25">
      <c r="A958">
        <v>5006</v>
      </c>
      <c r="B958" t="s">
        <v>387</v>
      </c>
      <c r="C958" t="s">
        <v>475</v>
      </c>
      <c r="D958" t="s">
        <v>599</v>
      </c>
      <c r="E958" s="3">
        <v>44197</v>
      </c>
      <c r="F958" s="3">
        <v>44561</v>
      </c>
      <c r="G958" t="s">
        <v>141</v>
      </c>
      <c r="H958" s="3">
        <v>44197</v>
      </c>
      <c r="I958" s="3">
        <v>44561</v>
      </c>
      <c r="J958" t="s">
        <v>147</v>
      </c>
      <c r="K958">
        <v>19846</v>
      </c>
      <c r="L958" t="s">
        <v>148</v>
      </c>
      <c r="M958" t="s">
        <v>110</v>
      </c>
      <c r="O958" t="s">
        <v>600</v>
      </c>
      <c r="P958" t="s">
        <v>860</v>
      </c>
      <c r="Q958">
        <v>2021</v>
      </c>
      <c r="R958" t="s">
        <v>584</v>
      </c>
      <c r="S958" t="s">
        <v>585</v>
      </c>
      <c r="T958" t="s">
        <v>553</v>
      </c>
      <c r="U958" t="b">
        <v>0</v>
      </c>
      <c r="V958" t="s">
        <v>785</v>
      </c>
      <c r="W958" t="s">
        <v>587</v>
      </c>
      <c r="X958" t="s">
        <v>556</v>
      </c>
      <c r="Y958" t="s">
        <v>472</v>
      </c>
      <c r="Z958" t="s">
        <v>485</v>
      </c>
      <c r="AA958" t="s">
        <v>764</v>
      </c>
      <c r="AC958">
        <v>0</v>
      </c>
      <c r="AD958" t="s">
        <v>566</v>
      </c>
      <c r="AE958">
        <v>473.12864000000002</v>
      </c>
      <c r="AF958">
        <v>2.384E-2</v>
      </c>
      <c r="AG958" t="s">
        <v>786</v>
      </c>
      <c r="AH958">
        <v>1</v>
      </c>
      <c r="AI958">
        <v>19846</v>
      </c>
      <c r="AJ958" t="s">
        <v>561</v>
      </c>
      <c r="AK958" t="s">
        <v>766</v>
      </c>
      <c r="AL958" t="s">
        <v>790</v>
      </c>
      <c r="AM958">
        <v>2021</v>
      </c>
      <c r="AN958">
        <v>2021</v>
      </c>
      <c r="AO958">
        <f>IF(AND(emissions[[#This Row],[Market-based]]=0,emissions[[#This Row],[Impact Type]]="CO2E"),emissions[[#This Row],[kgCO2e]],0)/1000</f>
        <v>0</v>
      </c>
      <c r="AP958">
        <f>IF(AND(emissions[[#This Row],[Market-based]]=1,OR(emissions[[#This Row],[Impact Type]]="CO2E",emissions[[#This Row],[Impact Type]]="CO2E MKT")),emissions[[#This Row],[kgCO2e]],0)/1000</f>
        <v>0</v>
      </c>
      <c r="AQ958" t="str">
        <f>_xlfn.TEXTAFTER(emissions[[#This Row],[Reporting Unit]]," &gt; ",LEN(emissions[[#This Row],[Reporting Unit]])-LEN(SUBSTITUTE(emissions[[#This Row],[Reporting Unit]],"&gt;","")))</f>
        <v>Vantage_Dateland</v>
      </c>
      <c r="AR958" t="str">
        <f>_xlfn.XLOOKUP(emissions[[#This Row],[Reporting unit name]],hierarchy!$A:$A,hierarchy!$C:$C)</f>
        <v>Labratory</v>
      </c>
    </row>
    <row r="959" spans="1:44" hidden="1" x14ac:dyDescent="0.25">
      <c r="A959">
        <v>5006</v>
      </c>
      <c r="B959" t="s">
        <v>387</v>
      </c>
      <c r="C959" t="s">
        <v>475</v>
      </c>
      <c r="D959" t="s">
        <v>599</v>
      </c>
      <c r="E959" s="3">
        <v>44197</v>
      </c>
      <c r="F959" s="3">
        <v>44561</v>
      </c>
      <c r="G959" t="s">
        <v>141</v>
      </c>
      <c r="H959" s="3">
        <v>44197</v>
      </c>
      <c r="I959" s="3">
        <v>44561</v>
      </c>
      <c r="J959" t="s">
        <v>147</v>
      </c>
      <c r="K959">
        <v>19846</v>
      </c>
      <c r="L959" t="s">
        <v>148</v>
      </c>
      <c r="M959" t="s">
        <v>110</v>
      </c>
      <c r="O959" t="s">
        <v>600</v>
      </c>
      <c r="P959" t="s">
        <v>860</v>
      </c>
      <c r="Q959">
        <v>2021</v>
      </c>
      <c r="R959" t="s">
        <v>584</v>
      </c>
      <c r="S959" t="s">
        <v>585</v>
      </c>
      <c r="T959" t="s">
        <v>553</v>
      </c>
      <c r="U959" t="b">
        <v>0</v>
      </c>
      <c r="V959" t="s">
        <v>785</v>
      </c>
      <c r="W959" t="s">
        <v>587</v>
      </c>
      <c r="X959" t="s">
        <v>556</v>
      </c>
      <c r="Y959" t="s">
        <v>472</v>
      </c>
      <c r="Z959" t="s">
        <v>485</v>
      </c>
      <c r="AA959" t="s">
        <v>764</v>
      </c>
      <c r="AC959">
        <v>1</v>
      </c>
      <c r="AD959" t="s">
        <v>558</v>
      </c>
      <c r="AE959">
        <v>203.42150000000001</v>
      </c>
      <c r="AF959">
        <v>1.025E-2</v>
      </c>
      <c r="AG959" t="s">
        <v>786</v>
      </c>
      <c r="AH959">
        <v>1</v>
      </c>
      <c r="AI959">
        <v>19846</v>
      </c>
      <c r="AJ959" t="s">
        <v>561</v>
      </c>
      <c r="AK959" t="s">
        <v>766</v>
      </c>
      <c r="AL959" t="s">
        <v>790</v>
      </c>
      <c r="AM959">
        <v>2021</v>
      </c>
      <c r="AN959">
        <v>2021</v>
      </c>
      <c r="AO959">
        <f>IF(AND(emissions[[#This Row],[Market-based]]=0,emissions[[#This Row],[Impact Type]]="CO2E"),emissions[[#This Row],[kgCO2e]],0)/1000</f>
        <v>0</v>
      </c>
      <c r="AP959">
        <f>IF(AND(emissions[[#This Row],[Market-based]]=1,OR(emissions[[#This Row],[Impact Type]]="CO2E",emissions[[#This Row],[Impact Type]]="CO2E MKT")),emissions[[#This Row],[kgCO2e]],0)/1000</f>
        <v>0</v>
      </c>
      <c r="AQ959" t="str">
        <f>_xlfn.TEXTAFTER(emissions[[#This Row],[Reporting Unit]]," &gt; ",LEN(emissions[[#This Row],[Reporting Unit]])-LEN(SUBSTITUTE(emissions[[#This Row],[Reporting Unit]],"&gt;","")))</f>
        <v>Vantage_Dateland</v>
      </c>
      <c r="AR959" t="str">
        <f>_xlfn.XLOOKUP(emissions[[#This Row],[Reporting unit name]],hierarchy!$A:$A,hierarchy!$C:$C)</f>
        <v>Labratory</v>
      </c>
    </row>
    <row r="960" spans="1:44" hidden="1" x14ac:dyDescent="0.25">
      <c r="A960">
        <v>5006</v>
      </c>
      <c r="B960" t="s">
        <v>387</v>
      </c>
      <c r="C960" t="s">
        <v>475</v>
      </c>
      <c r="D960" t="s">
        <v>599</v>
      </c>
      <c r="E960" s="3">
        <v>44197</v>
      </c>
      <c r="F960" s="3">
        <v>44561</v>
      </c>
      <c r="G960" t="s">
        <v>141</v>
      </c>
      <c r="H960" s="3">
        <v>44197</v>
      </c>
      <c r="I960" s="3">
        <v>44561</v>
      </c>
      <c r="J960" t="s">
        <v>147</v>
      </c>
      <c r="K960">
        <v>19846</v>
      </c>
      <c r="L960" t="s">
        <v>148</v>
      </c>
      <c r="M960" t="s">
        <v>110</v>
      </c>
      <c r="O960" t="s">
        <v>600</v>
      </c>
      <c r="P960" t="s">
        <v>860</v>
      </c>
      <c r="Q960">
        <v>2021</v>
      </c>
      <c r="R960" t="s">
        <v>584</v>
      </c>
      <c r="S960" t="s">
        <v>585</v>
      </c>
      <c r="T960" t="s">
        <v>553</v>
      </c>
      <c r="U960" t="b">
        <v>0</v>
      </c>
      <c r="V960" t="s">
        <v>785</v>
      </c>
      <c r="W960" t="s">
        <v>587</v>
      </c>
      <c r="X960" t="s">
        <v>556</v>
      </c>
      <c r="Y960" t="s">
        <v>472</v>
      </c>
      <c r="Z960" t="s">
        <v>485</v>
      </c>
      <c r="AA960" t="s">
        <v>764</v>
      </c>
      <c r="AC960">
        <v>1</v>
      </c>
      <c r="AD960" t="s">
        <v>564</v>
      </c>
      <c r="AE960">
        <v>202627.66</v>
      </c>
      <c r="AF960">
        <v>10.210000000000001</v>
      </c>
      <c r="AG960" t="s">
        <v>786</v>
      </c>
      <c r="AH960">
        <v>1</v>
      </c>
      <c r="AI960">
        <v>19846</v>
      </c>
      <c r="AJ960" t="s">
        <v>561</v>
      </c>
      <c r="AK960" t="s">
        <v>766</v>
      </c>
      <c r="AL960" t="s">
        <v>790</v>
      </c>
      <c r="AM960">
        <v>2021</v>
      </c>
      <c r="AN960">
        <v>2021</v>
      </c>
      <c r="AO960">
        <f>IF(AND(emissions[[#This Row],[Market-based]]=0,emissions[[#This Row],[Impact Type]]="CO2E"),emissions[[#This Row],[kgCO2e]],0)/1000</f>
        <v>0</v>
      </c>
      <c r="AP960">
        <f>IF(AND(emissions[[#This Row],[Market-based]]=1,OR(emissions[[#This Row],[Impact Type]]="CO2E",emissions[[#This Row],[Impact Type]]="CO2E MKT")),emissions[[#This Row],[kgCO2e]],0)/1000</f>
        <v>0</v>
      </c>
      <c r="AQ960" t="str">
        <f>_xlfn.TEXTAFTER(emissions[[#This Row],[Reporting Unit]]," &gt; ",LEN(emissions[[#This Row],[Reporting Unit]])-LEN(SUBSTITUTE(emissions[[#This Row],[Reporting Unit]],"&gt;","")))</f>
        <v>Vantage_Dateland</v>
      </c>
      <c r="AR960" t="str">
        <f>_xlfn.XLOOKUP(emissions[[#This Row],[Reporting unit name]],hierarchy!$A:$A,hierarchy!$C:$C)</f>
        <v>Labratory</v>
      </c>
    </row>
    <row r="961" spans="1:44" hidden="1" x14ac:dyDescent="0.25">
      <c r="A961">
        <v>5006</v>
      </c>
      <c r="B961" t="s">
        <v>387</v>
      </c>
      <c r="C961" t="s">
        <v>475</v>
      </c>
      <c r="D961" t="s">
        <v>599</v>
      </c>
      <c r="E961" s="3">
        <v>44197</v>
      </c>
      <c r="F961" s="3">
        <v>44561</v>
      </c>
      <c r="G961" t="s">
        <v>141</v>
      </c>
      <c r="H961" s="3">
        <v>44197</v>
      </c>
      <c r="I961" s="3">
        <v>44561</v>
      </c>
      <c r="J961" t="s">
        <v>147</v>
      </c>
      <c r="K961">
        <v>19846</v>
      </c>
      <c r="L961" t="s">
        <v>148</v>
      </c>
      <c r="M961" t="s">
        <v>110</v>
      </c>
      <c r="O961" t="s">
        <v>600</v>
      </c>
      <c r="P961" t="s">
        <v>860</v>
      </c>
      <c r="Q961">
        <v>2021</v>
      </c>
      <c r="R961" t="s">
        <v>584</v>
      </c>
      <c r="S961" t="s">
        <v>585</v>
      </c>
      <c r="T961" t="s">
        <v>553</v>
      </c>
      <c r="U961" t="b">
        <v>0</v>
      </c>
      <c r="V961" t="s">
        <v>785</v>
      </c>
      <c r="W961" t="s">
        <v>587</v>
      </c>
      <c r="X961" t="s">
        <v>556</v>
      </c>
      <c r="Y961" t="s">
        <v>472</v>
      </c>
      <c r="Z961" t="s">
        <v>485</v>
      </c>
      <c r="AA961" t="s">
        <v>764</v>
      </c>
      <c r="AC961">
        <v>1</v>
      </c>
      <c r="AD961" t="s">
        <v>565</v>
      </c>
      <c r="AE961">
        <v>203304.2101</v>
      </c>
      <c r="AF961">
        <v>10.24409</v>
      </c>
      <c r="AG961" t="s">
        <v>786</v>
      </c>
      <c r="AH961">
        <v>1</v>
      </c>
      <c r="AI961">
        <v>19846</v>
      </c>
      <c r="AJ961" t="s">
        <v>561</v>
      </c>
      <c r="AK961" t="s">
        <v>766</v>
      </c>
      <c r="AL961" t="s">
        <v>787</v>
      </c>
      <c r="AM961">
        <v>2021</v>
      </c>
      <c r="AN961">
        <v>2020</v>
      </c>
      <c r="AO961">
        <f>IF(AND(emissions[[#This Row],[Market-based]]=0,emissions[[#This Row],[Impact Type]]="CO2E"),emissions[[#This Row],[kgCO2e]],0)/1000</f>
        <v>0</v>
      </c>
      <c r="AP961">
        <f>IF(AND(emissions[[#This Row],[Market-based]]=1,OR(emissions[[#This Row],[Impact Type]]="CO2E",emissions[[#This Row],[Impact Type]]="CO2E MKT")),emissions[[#This Row],[kgCO2e]],0)/1000</f>
        <v>203.30421010000001</v>
      </c>
      <c r="AQ961" t="str">
        <f>_xlfn.TEXTAFTER(emissions[[#This Row],[Reporting Unit]]," &gt; ",LEN(emissions[[#This Row],[Reporting Unit]])-LEN(SUBSTITUTE(emissions[[#This Row],[Reporting Unit]],"&gt;","")))</f>
        <v>Vantage_Dateland</v>
      </c>
      <c r="AR961" t="str">
        <f>_xlfn.XLOOKUP(emissions[[#This Row],[Reporting unit name]],hierarchy!$A:$A,hierarchy!$C:$C)</f>
        <v>Labratory</v>
      </c>
    </row>
    <row r="962" spans="1:44" hidden="1" x14ac:dyDescent="0.25">
      <c r="A962">
        <v>5006</v>
      </c>
      <c r="B962" t="s">
        <v>387</v>
      </c>
      <c r="C962" t="s">
        <v>475</v>
      </c>
      <c r="D962" t="s">
        <v>599</v>
      </c>
      <c r="E962" s="3">
        <v>44197</v>
      </c>
      <c r="F962" s="3">
        <v>44561</v>
      </c>
      <c r="G962" t="s">
        <v>141</v>
      </c>
      <c r="H962" s="3">
        <v>44197</v>
      </c>
      <c r="I962" s="3">
        <v>44561</v>
      </c>
      <c r="J962" t="s">
        <v>147</v>
      </c>
      <c r="K962">
        <v>19846</v>
      </c>
      <c r="L962" t="s">
        <v>148</v>
      </c>
      <c r="M962" t="s">
        <v>110</v>
      </c>
      <c r="O962" t="s">
        <v>600</v>
      </c>
      <c r="P962" t="s">
        <v>860</v>
      </c>
      <c r="Q962">
        <v>2021</v>
      </c>
      <c r="R962" t="s">
        <v>584</v>
      </c>
      <c r="S962" t="s">
        <v>585</v>
      </c>
      <c r="T962" t="s">
        <v>553</v>
      </c>
      <c r="U962" t="b">
        <v>0</v>
      </c>
      <c r="V962" t="s">
        <v>785</v>
      </c>
      <c r="W962" t="s">
        <v>587</v>
      </c>
      <c r="X962" t="s">
        <v>556</v>
      </c>
      <c r="Y962" t="s">
        <v>472</v>
      </c>
      <c r="Z962" t="s">
        <v>485</v>
      </c>
      <c r="AA962" t="s">
        <v>764</v>
      </c>
      <c r="AC962">
        <v>1</v>
      </c>
      <c r="AD962" t="s">
        <v>566</v>
      </c>
      <c r="AE962">
        <v>473.12864000000002</v>
      </c>
      <c r="AF962">
        <v>2.384E-2</v>
      </c>
      <c r="AG962" t="s">
        <v>786</v>
      </c>
      <c r="AH962">
        <v>1</v>
      </c>
      <c r="AI962">
        <v>19846</v>
      </c>
      <c r="AJ962" t="s">
        <v>561</v>
      </c>
      <c r="AK962" t="s">
        <v>766</v>
      </c>
      <c r="AL962" t="s">
        <v>790</v>
      </c>
      <c r="AM962">
        <v>2021</v>
      </c>
      <c r="AN962">
        <v>2021</v>
      </c>
      <c r="AO962">
        <f>IF(AND(emissions[[#This Row],[Market-based]]=0,emissions[[#This Row],[Impact Type]]="CO2E"),emissions[[#This Row],[kgCO2e]],0)/1000</f>
        <v>0</v>
      </c>
      <c r="AP962">
        <f>IF(AND(emissions[[#This Row],[Market-based]]=1,OR(emissions[[#This Row],[Impact Type]]="CO2E",emissions[[#This Row],[Impact Type]]="CO2E MKT")),emissions[[#This Row],[kgCO2e]],0)/1000</f>
        <v>0</v>
      </c>
      <c r="AQ962" t="str">
        <f>_xlfn.TEXTAFTER(emissions[[#This Row],[Reporting Unit]]," &gt; ",LEN(emissions[[#This Row],[Reporting Unit]])-LEN(SUBSTITUTE(emissions[[#This Row],[Reporting Unit]],"&gt;","")))</f>
        <v>Vantage_Dateland</v>
      </c>
      <c r="AR962" t="str">
        <f>_xlfn.XLOOKUP(emissions[[#This Row],[Reporting unit name]],hierarchy!$A:$A,hierarchy!$C:$C)</f>
        <v>Labratory</v>
      </c>
    </row>
    <row r="963" spans="1:44" hidden="1" x14ac:dyDescent="0.25">
      <c r="A963">
        <v>5006</v>
      </c>
      <c r="B963" t="s">
        <v>387</v>
      </c>
      <c r="C963" t="s">
        <v>475</v>
      </c>
      <c r="D963" t="s">
        <v>599</v>
      </c>
      <c r="E963" s="3">
        <v>44197</v>
      </c>
      <c r="F963" s="3">
        <v>44561</v>
      </c>
      <c r="G963" t="s">
        <v>141</v>
      </c>
      <c r="H963" s="3">
        <v>44197</v>
      </c>
      <c r="I963" s="3">
        <v>44561</v>
      </c>
      <c r="J963" t="s">
        <v>147</v>
      </c>
      <c r="K963">
        <v>19846</v>
      </c>
      <c r="L963" t="s">
        <v>148</v>
      </c>
      <c r="M963" t="s">
        <v>110</v>
      </c>
      <c r="O963" t="s">
        <v>600</v>
      </c>
      <c r="P963" t="s">
        <v>860</v>
      </c>
      <c r="Q963">
        <v>2021</v>
      </c>
      <c r="R963" t="s">
        <v>591</v>
      </c>
      <c r="S963" t="s">
        <v>592</v>
      </c>
      <c r="T963" t="s">
        <v>577</v>
      </c>
      <c r="U963" t="b">
        <v>0</v>
      </c>
      <c r="V963" t="s">
        <v>861</v>
      </c>
      <c r="W963" t="s">
        <v>571</v>
      </c>
      <c r="X963" t="s">
        <v>572</v>
      </c>
      <c r="AC963">
        <v>0</v>
      </c>
      <c r="AD963" t="s">
        <v>565</v>
      </c>
      <c r="AE963">
        <v>45815.883049999997</v>
      </c>
      <c r="AF963">
        <v>0.60985999999999996</v>
      </c>
      <c r="AG963" t="s">
        <v>588</v>
      </c>
      <c r="AH963">
        <v>3.7854100000000002</v>
      </c>
      <c r="AI963">
        <v>75125.246859999999</v>
      </c>
      <c r="AJ963" t="s">
        <v>561</v>
      </c>
      <c r="AK963" t="s">
        <v>589</v>
      </c>
      <c r="AL963" t="s">
        <v>603</v>
      </c>
      <c r="AM963">
        <v>2021</v>
      </c>
      <c r="AN963">
        <v>2019</v>
      </c>
      <c r="AO963">
        <f>IF(AND(emissions[[#This Row],[Market-based]]=0,emissions[[#This Row],[Impact Type]]="CO2E"),emissions[[#This Row],[kgCO2e]],0)/1000</f>
        <v>45.815883049999997</v>
      </c>
      <c r="AP963">
        <f>IF(AND(emissions[[#This Row],[Market-based]]=1,OR(emissions[[#This Row],[Impact Type]]="CO2E",emissions[[#This Row],[Impact Type]]="CO2E MKT")),emissions[[#This Row],[kgCO2e]],0)/1000</f>
        <v>0</v>
      </c>
      <c r="AQ963" t="str">
        <f>_xlfn.TEXTAFTER(emissions[[#This Row],[Reporting Unit]]," &gt; ",LEN(emissions[[#This Row],[Reporting Unit]])-LEN(SUBSTITUTE(emissions[[#This Row],[Reporting Unit]],"&gt;","")))</f>
        <v>Vantage_Dateland</v>
      </c>
      <c r="AR963" t="str">
        <f>_xlfn.XLOOKUP(emissions[[#This Row],[Reporting unit name]],hierarchy!$A:$A,hierarchy!$C:$C)</f>
        <v>Labratory</v>
      </c>
    </row>
    <row r="964" spans="1:44" hidden="1" x14ac:dyDescent="0.25">
      <c r="A964">
        <v>5006</v>
      </c>
      <c r="B964" t="s">
        <v>387</v>
      </c>
      <c r="C964" t="s">
        <v>475</v>
      </c>
      <c r="D964" t="s">
        <v>599</v>
      </c>
      <c r="E964" s="3">
        <v>44197</v>
      </c>
      <c r="F964" s="3">
        <v>44561</v>
      </c>
      <c r="G964" t="s">
        <v>141</v>
      </c>
      <c r="H964" s="3">
        <v>44197</v>
      </c>
      <c r="I964" s="3">
        <v>44561</v>
      </c>
      <c r="J964" t="s">
        <v>147</v>
      </c>
      <c r="K964">
        <v>19846</v>
      </c>
      <c r="L964" t="s">
        <v>148</v>
      </c>
      <c r="M964" t="s">
        <v>110</v>
      </c>
      <c r="O964" t="s">
        <v>600</v>
      </c>
      <c r="P964" t="s">
        <v>860</v>
      </c>
      <c r="Q964">
        <v>2021</v>
      </c>
      <c r="R964" t="s">
        <v>591</v>
      </c>
      <c r="S964" t="s">
        <v>592</v>
      </c>
      <c r="T964" t="s">
        <v>577</v>
      </c>
      <c r="U964" t="b">
        <v>0</v>
      </c>
      <c r="V964" t="s">
        <v>861</v>
      </c>
      <c r="W964" t="s">
        <v>571</v>
      </c>
      <c r="X964" t="s">
        <v>572</v>
      </c>
      <c r="AC964">
        <v>1</v>
      </c>
      <c r="AD964" t="s">
        <v>565</v>
      </c>
      <c r="AE964">
        <v>45815.883049999997</v>
      </c>
      <c r="AF964">
        <v>0.60985999999999996</v>
      </c>
      <c r="AG964" t="s">
        <v>588</v>
      </c>
      <c r="AH964">
        <v>3.7854100000000002</v>
      </c>
      <c r="AI964">
        <v>75125.246859999999</v>
      </c>
      <c r="AJ964" t="s">
        <v>561</v>
      </c>
      <c r="AK964" t="s">
        <v>589</v>
      </c>
      <c r="AL964" t="s">
        <v>603</v>
      </c>
      <c r="AM964">
        <v>2021</v>
      </c>
      <c r="AN964">
        <v>2019</v>
      </c>
      <c r="AO964">
        <f>IF(AND(emissions[[#This Row],[Market-based]]=0,emissions[[#This Row],[Impact Type]]="CO2E"),emissions[[#This Row],[kgCO2e]],0)/1000</f>
        <v>0</v>
      </c>
      <c r="AP964">
        <f>IF(AND(emissions[[#This Row],[Market-based]]=1,OR(emissions[[#This Row],[Impact Type]]="CO2E",emissions[[#This Row],[Impact Type]]="CO2E MKT")),emissions[[#This Row],[kgCO2e]],0)/1000</f>
        <v>45.815883049999997</v>
      </c>
      <c r="AQ964" t="str">
        <f>_xlfn.TEXTAFTER(emissions[[#This Row],[Reporting Unit]]," &gt; ",LEN(emissions[[#This Row],[Reporting Unit]])-LEN(SUBSTITUTE(emissions[[#This Row],[Reporting Unit]],"&gt;","")))</f>
        <v>Vantage_Dateland</v>
      </c>
      <c r="AR964" t="str">
        <f>_xlfn.XLOOKUP(emissions[[#This Row],[Reporting unit name]],hierarchy!$A:$A,hierarchy!$C:$C)</f>
        <v>Labratory</v>
      </c>
    </row>
    <row r="965" spans="1:44" hidden="1" x14ac:dyDescent="0.25">
      <c r="A965">
        <v>5032</v>
      </c>
      <c r="B965" t="s">
        <v>387</v>
      </c>
      <c r="C965" t="s">
        <v>475</v>
      </c>
      <c r="D965" t="s">
        <v>599</v>
      </c>
      <c r="E965" s="3">
        <v>44197</v>
      </c>
      <c r="F965" s="3">
        <v>44561</v>
      </c>
      <c r="G965" t="s">
        <v>116</v>
      </c>
      <c r="H965" s="3">
        <v>44197</v>
      </c>
      <c r="I965" s="3">
        <v>44561</v>
      </c>
      <c r="J965" t="s">
        <v>175</v>
      </c>
      <c r="K965">
        <v>0.64080000000000004</v>
      </c>
      <c r="L965" t="s">
        <v>118</v>
      </c>
      <c r="M965" t="s">
        <v>82</v>
      </c>
      <c r="O965" t="s">
        <v>600</v>
      </c>
      <c r="P965" t="s">
        <v>550</v>
      </c>
      <c r="Q965">
        <v>2021</v>
      </c>
      <c r="R965" t="s">
        <v>664</v>
      </c>
      <c r="S965" t="s">
        <v>175</v>
      </c>
      <c r="T965" t="s">
        <v>553</v>
      </c>
      <c r="U965" t="b">
        <v>0</v>
      </c>
      <c r="V965" t="s">
        <v>665</v>
      </c>
      <c r="W965" t="s">
        <v>587</v>
      </c>
      <c r="X965" t="s">
        <v>556</v>
      </c>
      <c r="AC965">
        <v>0</v>
      </c>
      <c r="AD965" t="s">
        <v>565</v>
      </c>
      <c r="AE965">
        <v>1337.9903999999999</v>
      </c>
      <c r="AF965">
        <v>2088</v>
      </c>
      <c r="AG965" t="s">
        <v>622</v>
      </c>
      <c r="AH965">
        <v>1</v>
      </c>
      <c r="AI965">
        <v>0.64080000000000004</v>
      </c>
      <c r="AJ965" t="s">
        <v>561</v>
      </c>
      <c r="AK965" t="s">
        <v>623</v>
      </c>
      <c r="AL965" t="s">
        <v>624</v>
      </c>
      <c r="AM965">
        <v>2021</v>
      </c>
      <c r="AN965">
        <v>2007</v>
      </c>
      <c r="AO965">
        <f>IF(AND(emissions[[#This Row],[Market-based]]=0,emissions[[#This Row],[Impact Type]]="CO2E"),emissions[[#This Row],[kgCO2e]],0)/1000</f>
        <v>1.3379903999999998</v>
      </c>
      <c r="AP965">
        <f>IF(AND(emissions[[#This Row],[Market-based]]=1,OR(emissions[[#This Row],[Impact Type]]="CO2E",emissions[[#This Row],[Impact Type]]="CO2E MKT")),emissions[[#This Row],[kgCO2e]],0)/1000</f>
        <v>0</v>
      </c>
      <c r="AQ965" t="str">
        <f>_xlfn.TEXTAFTER(emissions[[#This Row],[Reporting Unit]]," &gt; ",LEN(emissions[[#This Row],[Reporting Unit]])-LEN(SUBSTITUTE(emissions[[#This Row],[Reporting Unit]],"&gt;","")))</f>
        <v>Vantage_Dateland</v>
      </c>
      <c r="AR965" t="str">
        <f>_xlfn.XLOOKUP(emissions[[#This Row],[Reporting unit name]],hierarchy!$A:$A,hierarchy!$C:$C)</f>
        <v>Labratory</v>
      </c>
    </row>
    <row r="966" spans="1:44" hidden="1" x14ac:dyDescent="0.25">
      <c r="A966">
        <v>5032</v>
      </c>
      <c r="B966" t="s">
        <v>387</v>
      </c>
      <c r="C966" t="s">
        <v>475</v>
      </c>
      <c r="D966" t="s">
        <v>599</v>
      </c>
      <c r="E966" s="3">
        <v>44197</v>
      </c>
      <c r="F966" s="3">
        <v>44561</v>
      </c>
      <c r="G966" t="s">
        <v>116</v>
      </c>
      <c r="H966" s="3">
        <v>44197</v>
      </c>
      <c r="I966" s="3">
        <v>44561</v>
      </c>
      <c r="J966" t="s">
        <v>175</v>
      </c>
      <c r="K966">
        <v>0.64080000000000004</v>
      </c>
      <c r="L966" t="s">
        <v>118</v>
      </c>
      <c r="M966" t="s">
        <v>82</v>
      </c>
      <c r="O966" t="s">
        <v>600</v>
      </c>
      <c r="P966" t="s">
        <v>550</v>
      </c>
      <c r="Q966">
        <v>2021</v>
      </c>
      <c r="R966" t="s">
        <v>664</v>
      </c>
      <c r="S966" t="s">
        <v>175</v>
      </c>
      <c r="T966" t="s">
        <v>553</v>
      </c>
      <c r="U966" t="b">
        <v>0</v>
      </c>
      <c r="V966" t="s">
        <v>665</v>
      </c>
      <c r="W966" t="s">
        <v>587</v>
      </c>
      <c r="X966" t="s">
        <v>556</v>
      </c>
      <c r="AC966">
        <v>1</v>
      </c>
      <c r="AD966" t="s">
        <v>565</v>
      </c>
      <c r="AE966">
        <v>1337.9903999999999</v>
      </c>
      <c r="AF966">
        <v>2088</v>
      </c>
      <c r="AG966" t="s">
        <v>622</v>
      </c>
      <c r="AH966">
        <v>1</v>
      </c>
      <c r="AI966">
        <v>0.64080000000000004</v>
      </c>
      <c r="AJ966" t="s">
        <v>561</v>
      </c>
      <c r="AK966" t="s">
        <v>623</v>
      </c>
      <c r="AL966" t="s">
        <v>624</v>
      </c>
      <c r="AM966">
        <v>2021</v>
      </c>
      <c r="AN966">
        <v>2007</v>
      </c>
      <c r="AO966">
        <f>IF(AND(emissions[[#This Row],[Market-based]]=0,emissions[[#This Row],[Impact Type]]="CO2E"),emissions[[#This Row],[kgCO2e]],0)/1000</f>
        <v>0</v>
      </c>
      <c r="AP966">
        <f>IF(AND(emissions[[#This Row],[Market-based]]=1,OR(emissions[[#This Row],[Impact Type]]="CO2E",emissions[[#This Row],[Impact Type]]="CO2E MKT")),emissions[[#This Row],[kgCO2e]],0)/1000</f>
        <v>1.3379903999999998</v>
      </c>
      <c r="AQ966" t="str">
        <f>_xlfn.TEXTAFTER(emissions[[#This Row],[Reporting Unit]]," &gt; ",LEN(emissions[[#This Row],[Reporting Unit]])-LEN(SUBSTITUTE(emissions[[#This Row],[Reporting Unit]],"&gt;","")))</f>
        <v>Vantage_Dateland</v>
      </c>
      <c r="AR966" t="str">
        <f>_xlfn.XLOOKUP(emissions[[#This Row],[Reporting unit name]],hierarchy!$A:$A,hierarchy!$C:$C)</f>
        <v>Labratory</v>
      </c>
    </row>
    <row r="967" spans="1:44" hidden="1" x14ac:dyDescent="0.25">
      <c r="A967">
        <v>1257572</v>
      </c>
      <c r="B967" t="s">
        <v>387</v>
      </c>
      <c r="C967" t="s">
        <v>475</v>
      </c>
      <c r="D967" t="s">
        <v>599</v>
      </c>
      <c r="E967" s="3">
        <v>44197</v>
      </c>
      <c r="F967" s="3">
        <v>44561</v>
      </c>
      <c r="G967" t="s">
        <v>116</v>
      </c>
      <c r="H967" s="3">
        <v>44197</v>
      </c>
      <c r="I967" s="3">
        <v>44561</v>
      </c>
      <c r="J967" t="s">
        <v>395</v>
      </c>
      <c r="K967">
        <v>0.64080000000000004</v>
      </c>
      <c r="L967" t="s">
        <v>118</v>
      </c>
      <c r="M967" t="s">
        <v>110</v>
      </c>
      <c r="O967" t="s">
        <v>862</v>
      </c>
      <c r="P967" t="s">
        <v>550</v>
      </c>
      <c r="Q967">
        <v>2021</v>
      </c>
      <c r="R967" t="s">
        <v>848</v>
      </c>
      <c r="S967" t="s">
        <v>395</v>
      </c>
      <c r="T967" t="s">
        <v>553</v>
      </c>
      <c r="U967" t="b">
        <v>0</v>
      </c>
      <c r="V967" t="s">
        <v>849</v>
      </c>
      <c r="W967" t="s">
        <v>587</v>
      </c>
      <c r="X967" t="s">
        <v>556</v>
      </c>
      <c r="AC967">
        <v>0</v>
      </c>
      <c r="AD967" t="s">
        <v>565</v>
      </c>
      <c r="AE967">
        <v>2513.2175999999999</v>
      </c>
      <c r="AF967">
        <v>3922</v>
      </c>
      <c r="AG967" t="s">
        <v>622</v>
      </c>
      <c r="AH967">
        <v>1</v>
      </c>
      <c r="AI967">
        <v>0.64080000000000004</v>
      </c>
      <c r="AJ967" t="s">
        <v>561</v>
      </c>
      <c r="AK967" t="s">
        <v>623</v>
      </c>
      <c r="AL967" t="s">
        <v>624</v>
      </c>
      <c r="AM967">
        <v>2021</v>
      </c>
      <c r="AN967">
        <v>2007</v>
      </c>
      <c r="AO967">
        <f>IF(AND(emissions[[#This Row],[Market-based]]=0,emissions[[#This Row],[Impact Type]]="CO2E"),emissions[[#This Row],[kgCO2e]],0)/1000</f>
        <v>2.5132175999999999</v>
      </c>
      <c r="AP967">
        <f>IF(AND(emissions[[#This Row],[Market-based]]=1,OR(emissions[[#This Row],[Impact Type]]="CO2E",emissions[[#This Row],[Impact Type]]="CO2E MKT")),emissions[[#This Row],[kgCO2e]],0)/1000</f>
        <v>0</v>
      </c>
      <c r="AQ967" t="str">
        <f>_xlfn.TEXTAFTER(emissions[[#This Row],[Reporting Unit]]," &gt; ",LEN(emissions[[#This Row],[Reporting Unit]])-LEN(SUBSTITUTE(emissions[[#This Row],[Reporting Unit]],"&gt;","")))</f>
        <v>Vantage_Dateland</v>
      </c>
      <c r="AR967" t="str">
        <f>_xlfn.XLOOKUP(emissions[[#This Row],[Reporting unit name]],hierarchy!$A:$A,hierarchy!$C:$C)</f>
        <v>Labratory</v>
      </c>
    </row>
    <row r="968" spans="1:44" hidden="1" x14ac:dyDescent="0.25">
      <c r="A968">
        <v>1257572</v>
      </c>
      <c r="B968" t="s">
        <v>387</v>
      </c>
      <c r="C968" t="s">
        <v>475</v>
      </c>
      <c r="D968" t="s">
        <v>599</v>
      </c>
      <c r="E968" s="3">
        <v>44197</v>
      </c>
      <c r="F968" s="3">
        <v>44561</v>
      </c>
      <c r="G968" t="s">
        <v>116</v>
      </c>
      <c r="H968" s="3">
        <v>44197</v>
      </c>
      <c r="I968" s="3">
        <v>44561</v>
      </c>
      <c r="J968" t="s">
        <v>395</v>
      </c>
      <c r="K968">
        <v>0.64080000000000004</v>
      </c>
      <c r="L968" t="s">
        <v>118</v>
      </c>
      <c r="M968" t="s">
        <v>110</v>
      </c>
      <c r="O968" t="s">
        <v>862</v>
      </c>
      <c r="P968" t="s">
        <v>550</v>
      </c>
      <c r="Q968">
        <v>2021</v>
      </c>
      <c r="R968" t="s">
        <v>848</v>
      </c>
      <c r="S968" t="s">
        <v>395</v>
      </c>
      <c r="T968" t="s">
        <v>553</v>
      </c>
      <c r="U968" t="b">
        <v>0</v>
      </c>
      <c r="V968" t="s">
        <v>849</v>
      </c>
      <c r="W968" t="s">
        <v>587</v>
      </c>
      <c r="X968" t="s">
        <v>556</v>
      </c>
      <c r="AC968">
        <v>1</v>
      </c>
      <c r="AD968" t="s">
        <v>565</v>
      </c>
      <c r="AE968">
        <v>2513.2175999999999</v>
      </c>
      <c r="AF968">
        <v>3922</v>
      </c>
      <c r="AG968" t="s">
        <v>622</v>
      </c>
      <c r="AH968">
        <v>1</v>
      </c>
      <c r="AI968">
        <v>0.64080000000000004</v>
      </c>
      <c r="AJ968" t="s">
        <v>561</v>
      </c>
      <c r="AK968" t="s">
        <v>623</v>
      </c>
      <c r="AL968" t="s">
        <v>624</v>
      </c>
      <c r="AM968">
        <v>2021</v>
      </c>
      <c r="AN968">
        <v>2007</v>
      </c>
      <c r="AO968">
        <f>IF(AND(emissions[[#This Row],[Market-based]]=0,emissions[[#This Row],[Impact Type]]="CO2E"),emissions[[#This Row],[kgCO2e]],0)/1000</f>
        <v>0</v>
      </c>
      <c r="AP968">
        <f>IF(AND(emissions[[#This Row],[Market-based]]=1,OR(emissions[[#This Row],[Impact Type]]="CO2E",emissions[[#This Row],[Impact Type]]="CO2E MKT")),emissions[[#This Row],[kgCO2e]],0)/1000</f>
        <v>2.5132175999999999</v>
      </c>
      <c r="AQ968" t="str">
        <f>_xlfn.TEXTAFTER(emissions[[#This Row],[Reporting Unit]]," &gt; ",LEN(emissions[[#This Row],[Reporting Unit]])-LEN(SUBSTITUTE(emissions[[#This Row],[Reporting Unit]],"&gt;","")))</f>
        <v>Vantage_Dateland</v>
      </c>
      <c r="AR968" t="str">
        <f>_xlfn.XLOOKUP(emissions[[#This Row],[Reporting unit name]],hierarchy!$A:$A,hierarchy!$C:$C)</f>
        <v>Labratory</v>
      </c>
    </row>
    <row r="969" spans="1:44" hidden="1" x14ac:dyDescent="0.25">
      <c r="A969">
        <v>1234347</v>
      </c>
      <c r="B969" t="s">
        <v>387</v>
      </c>
      <c r="C969" t="s">
        <v>475</v>
      </c>
      <c r="D969" t="s">
        <v>599</v>
      </c>
      <c r="E969" s="3">
        <v>44197</v>
      </c>
      <c r="F969" s="3">
        <v>44561</v>
      </c>
      <c r="G969" t="s">
        <v>121</v>
      </c>
      <c r="H969" s="3">
        <v>44197</v>
      </c>
      <c r="I969" s="3">
        <v>44561</v>
      </c>
      <c r="J969" t="s">
        <v>150</v>
      </c>
      <c r="K969">
        <v>1647.1</v>
      </c>
      <c r="L969" t="s">
        <v>148</v>
      </c>
      <c r="M969" t="s">
        <v>110</v>
      </c>
      <c r="O969" t="s">
        <v>863</v>
      </c>
      <c r="P969" t="s">
        <v>550</v>
      </c>
      <c r="Q969">
        <v>2021</v>
      </c>
      <c r="R969" t="s">
        <v>594</v>
      </c>
      <c r="S969" t="s">
        <v>150</v>
      </c>
      <c r="T969" t="s">
        <v>553</v>
      </c>
      <c r="U969" t="b">
        <v>0</v>
      </c>
      <c r="V969" t="s">
        <v>789</v>
      </c>
      <c r="W969" t="s">
        <v>587</v>
      </c>
      <c r="X969" t="s">
        <v>556</v>
      </c>
      <c r="Y969" t="s">
        <v>472</v>
      </c>
      <c r="Z969" t="s">
        <v>485</v>
      </c>
      <c r="AA969" t="s">
        <v>764</v>
      </c>
      <c r="AC969">
        <v>0</v>
      </c>
      <c r="AD969" t="s">
        <v>558</v>
      </c>
      <c r="AE969">
        <v>11.117925</v>
      </c>
      <c r="AF969">
        <v>6.7499999999999999E-3</v>
      </c>
      <c r="AG969" t="s">
        <v>786</v>
      </c>
      <c r="AH969">
        <v>1</v>
      </c>
      <c r="AI969">
        <v>1647.1</v>
      </c>
      <c r="AJ969" t="s">
        <v>561</v>
      </c>
      <c r="AK969" t="s">
        <v>766</v>
      </c>
      <c r="AL969" t="s">
        <v>790</v>
      </c>
      <c r="AM969">
        <v>2021</v>
      </c>
      <c r="AN969">
        <v>2021</v>
      </c>
      <c r="AO969">
        <f>IF(AND(emissions[[#This Row],[Market-based]]=0,emissions[[#This Row],[Impact Type]]="CO2E"),emissions[[#This Row],[kgCO2e]],0)/1000</f>
        <v>0</v>
      </c>
      <c r="AP969">
        <f>IF(AND(emissions[[#This Row],[Market-based]]=1,OR(emissions[[#This Row],[Impact Type]]="CO2E",emissions[[#This Row],[Impact Type]]="CO2E MKT")),emissions[[#This Row],[kgCO2e]],0)/1000</f>
        <v>0</v>
      </c>
      <c r="AQ969" t="str">
        <f>_xlfn.TEXTAFTER(emissions[[#This Row],[Reporting Unit]]," &gt; ",LEN(emissions[[#This Row],[Reporting Unit]])-LEN(SUBSTITUTE(emissions[[#This Row],[Reporting Unit]],"&gt;","")))</f>
        <v>Vantage_Dateland</v>
      </c>
      <c r="AR969" t="str">
        <f>_xlfn.XLOOKUP(emissions[[#This Row],[Reporting unit name]],hierarchy!$A:$A,hierarchy!$C:$C)</f>
        <v>Labratory</v>
      </c>
    </row>
    <row r="970" spans="1:44" hidden="1" x14ac:dyDescent="0.25">
      <c r="A970">
        <v>1234347</v>
      </c>
      <c r="B970" t="s">
        <v>387</v>
      </c>
      <c r="C970" t="s">
        <v>475</v>
      </c>
      <c r="D970" t="s">
        <v>599</v>
      </c>
      <c r="E970" s="3">
        <v>44197</v>
      </c>
      <c r="F970" s="3">
        <v>44561</v>
      </c>
      <c r="G970" t="s">
        <v>121</v>
      </c>
      <c r="H970" s="3">
        <v>44197</v>
      </c>
      <c r="I970" s="3">
        <v>44561</v>
      </c>
      <c r="J970" t="s">
        <v>150</v>
      </c>
      <c r="K970">
        <v>1647.1</v>
      </c>
      <c r="L970" t="s">
        <v>148</v>
      </c>
      <c r="M970" t="s">
        <v>110</v>
      </c>
      <c r="O970" t="s">
        <v>863</v>
      </c>
      <c r="P970" t="s">
        <v>550</v>
      </c>
      <c r="Q970">
        <v>2021</v>
      </c>
      <c r="R970" t="s">
        <v>594</v>
      </c>
      <c r="S970" t="s">
        <v>150</v>
      </c>
      <c r="T970" t="s">
        <v>553</v>
      </c>
      <c r="U970" t="b">
        <v>0</v>
      </c>
      <c r="V970" t="s">
        <v>789</v>
      </c>
      <c r="W970" t="s">
        <v>587</v>
      </c>
      <c r="X970" t="s">
        <v>556</v>
      </c>
      <c r="Y970" t="s">
        <v>472</v>
      </c>
      <c r="Z970" t="s">
        <v>485</v>
      </c>
      <c r="AA970" t="s">
        <v>764</v>
      </c>
      <c r="AC970">
        <v>0</v>
      </c>
      <c r="AD970" t="s">
        <v>564</v>
      </c>
      <c r="AE970">
        <v>9421.4120000000003</v>
      </c>
      <c r="AF970">
        <v>5.72</v>
      </c>
      <c r="AG970" t="s">
        <v>786</v>
      </c>
      <c r="AH970">
        <v>1</v>
      </c>
      <c r="AI970">
        <v>1647.1</v>
      </c>
      <c r="AJ970" t="s">
        <v>561</v>
      </c>
      <c r="AK970" t="s">
        <v>766</v>
      </c>
      <c r="AL970" t="s">
        <v>790</v>
      </c>
      <c r="AM970">
        <v>2021</v>
      </c>
      <c r="AN970">
        <v>2021</v>
      </c>
      <c r="AO970">
        <f>IF(AND(emissions[[#This Row],[Market-based]]=0,emissions[[#This Row],[Impact Type]]="CO2E"),emissions[[#This Row],[kgCO2e]],0)/1000</f>
        <v>0</v>
      </c>
      <c r="AP970">
        <f>IF(AND(emissions[[#This Row],[Market-based]]=1,OR(emissions[[#This Row],[Impact Type]]="CO2E",emissions[[#This Row],[Impact Type]]="CO2E MKT")),emissions[[#This Row],[kgCO2e]],0)/1000</f>
        <v>0</v>
      </c>
      <c r="AQ970" t="str">
        <f>_xlfn.TEXTAFTER(emissions[[#This Row],[Reporting Unit]]," &gt; ",LEN(emissions[[#This Row],[Reporting Unit]])-LEN(SUBSTITUTE(emissions[[#This Row],[Reporting Unit]],"&gt;","")))</f>
        <v>Vantage_Dateland</v>
      </c>
      <c r="AR970" t="str">
        <f>_xlfn.XLOOKUP(emissions[[#This Row],[Reporting unit name]],hierarchy!$A:$A,hierarchy!$C:$C)</f>
        <v>Labratory</v>
      </c>
    </row>
    <row r="971" spans="1:44" hidden="1" x14ac:dyDescent="0.25">
      <c r="A971">
        <v>1234347</v>
      </c>
      <c r="B971" t="s">
        <v>387</v>
      </c>
      <c r="C971" t="s">
        <v>475</v>
      </c>
      <c r="D971" t="s">
        <v>599</v>
      </c>
      <c r="E971" s="3">
        <v>44197</v>
      </c>
      <c r="F971" s="3">
        <v>44561</v>
      </c>
      <c r="G971" t="s">
        <v>121</v>
      </c>
      <c r="H971" s="3">
        <v>44197</v>
      </c>
      <c r="I971" s="3">
        <v>44561</v>
      </c>
      <c r="J971" t="s">
        <v>150</v>
      </c>
      <c r="K971">
        <v>1647.1</v>
      </c>
      <c r="L971" t="s">
        <v>148</v>
      </c>
      <c r="M971" t="s">
        <v>110</v>
      </c>
      <c r="O971" t="s">
        <v>863</v>
      </c>
      <c r="P971" t="s">
        <v>550</v>
      </c>
      <c r="Q971">
        <v>2021</v>
      </c>
      <c r="R971" t="s">
        <v>594</v>
      </c>
      <c r="S971" t="s">
        <v>150</v>
      </c>
      <c r="T971" t="s">
        <v>553</v>
      </c>
      <c r="U971" t="b">
        <v>0</v>
      </c>
      <c r="V971" t="s">
        <v>789</v>
      </c>
      <c r="W971" t="s">
        <v>587</v>
      </c>
      <c r="X971" t="s">
        <v>556</v>
      </c>
      <c r="Y971" t="s">
        <v>472</v>
      </c>
      <c r="Z971" t="s">
        <v>485</v>
      </c>
      <c r="AA971" t="s">
        <v>764</v>
      </c>
      <c r="AC971">
        <v>0</v>
      </c>
      <c r="AD971" t="s">
        <v>565</v>
      </c>
      <c r="AE971">
        <v>9457.071715</v>
      </c>
      <c r="AF971">
        <v>5.7416499999999999</v>
      </c>
      <c r="AG971" t="s">
        <v>786</v>
      </c>
      <c r="AH971">
        <v>1</v>
      </c>
      <c r="AI971">
        <v>1647.1</v>
      </c>
      <c r="AJ971" t="s">
        <v>561</v>
      </c>
      <c r="AK971" t="s">
        <v>766</v>
      </c>
      <c r="AL971" t="s">
        <v>790</v>
      </c>
      <c r="AM971">
        <v>2021</v>
      </c>
      <c r="AN971">
        <v>2021</v>
      </c>
      <c r="AO971">
        <f>IF(AND(emissions[[#This Row],[Market-based]]=0,emissions[[#This Row],[Impact Type]]="CO2E"),emissions[[#This Row],[kgCO2e]],0)/1000</f>
        <v>9.4570717149999997</v>
      </c>
      <c r="AP971">
        <f>IF(AND(emissions[[#This Row],[Market-based]]=1,OR(emissions[[#This Row],[Impact Type]]="CO2E",emissions[[#This Row],[Impact Type]]="CO2E MKT")),emissions[[#This Row],[kgCO2e]],0)/1000</f>
        <v>0</v>
      </c>
      <c r="AQ971" t="str">
        <f>_xlfn.TEXTAFTER(emissions[[#This Row],[Reporting Unit]]," &gt; ",LEN(emissions[[#This Row],[Reporting Unit]])-LEN(SUBSTITUTE(emissions[[#This Row],[Reporting Unit]],"&gt;","")))</f>
        <v>Vantage_Dateland</v>
      </c>
      <c r="AR971" t="str">
        <f>_xlfn.XLOOKUP(emissions[[#This Row],[Reporting unit name]],hierarchy!$A:$A,hierarchy!$C:$C)</f>
        <v>Labratory</v>
      </c>
    </row>
    <row r="972" spans="1:44" hidden="1" x14ac:dyDescent="0.25">
      <c r="A972">
        <v>1234347</v>
      </c>
      <c r="B972" t="s">
        <v>387</v>
      </c>
      <c r="C972" t="s">
        <v>475</v>
      </c>
      <c r="D972" t="s">
        <v>599</v>
      </c>
      <c r="E972" s="3">
        <v>44197</v>
      </c>
      <c r="F972" s="3">
        <v>44561</v>
      </c>
      <c r="G972" t="s">
        <v>121</v>
      </c>
      <c r="H972" s="3">
        <v>44197</v>
      </c>
      <c r="I972" s="3">
        <v>44561</v>
      </c>
      <c r="J972" t="s">
        <v>150</v>
      </c>
      <c r="K972">
        <v>1647.1</v>
      </c>
      <c r="L972" t="s">
        <v>148</v>
      </c>
      <c r="M972" t="s">
        <v>110</v>
      </c>
      <c r="O972" t="s">
        <v>863</v>
      </c>
      <c r="P972" t="s">
        <v>550</v>
      </c>
      <c r="Q972">
        <v>2021</v>
      </c>
      <c r="R972" t="s">
        <v>594</v>
      </c>
      <c r="S972" t="s">
        <v>150</v>
      </c>
      <c r="T972" t="s">
        <v>553</v>
      </c>
      <c r="U972" t="b">
        <v>0</v>
      </c>
      <c r="V972" t="s">
        <v>789</v>
      </c>
      <c r="W972" t="s">
        <v>587</v>
      </c>
      <c r="X972" t="s">
        <v>556</v>
      </c>
      <c r="Y972" t="s">
        <v>472</v>
      </c>
      <c r="Z972" t="s">
        <v>485</v>
      </c>
      <c r="AA972" t="s">
        <v>764</v>
      </c>
      <c r="AC972">
        <v>0</v>
      </c>
      <c r="AD972" t="s">
        <v>566</v>
      </c>
      <c r="AE972">
        <v>24.541789999999999</v>
      </c>
      <c r="AF972">
        <v>1.49E-2</v>
      </c>
      <c r="AG972" t="s">
        <v>786</v>
      </c>
      <c r="AH972">
        <v>1</v>
      </c>
      <c r="AI972">
        <v>1647.1</v>
      </c>
      <c r="AJ972" t="s">
        <v>561</v>
      </c>
      <c r="AK972" t="s">
        <v>766</v>
      </c>
      <c r="AL972" t="s">
        <v>790</v>
      </c>
      <c r="AM972">
        <v>2021</v>
      </c>
      <c r="AN972">
        <v>2021</v>
      </c>
      <c r="AO972">
        <f>IF(AND(emissions[[#This Row],[Market-based]]=0,emissions[[#This Row],[Impact Type]]="CO2E"),emissions[[#This Row],[kgCO2e]],0)/1000</f>
        <v>0</v>
      </c>
      <c r="AP972">
        <f>IF(AND(emissions[[#This Row],[Market-based]]=1,OR(emissions[[#This Row],[Impact Type]]="CO2E",emissions[[#This Row],[Impact Type]]="CO2E MKT")),emissions[[#This Row],[kgCO2e]],0)/1000</f>
        <v>0</v>
      </c>
      <c r="AQ972" t="str">
        <f>_xlfn.TEXTAFTER(emissions[[#This Row],[Reporting Unit]]," &gt; ",LEN(emissions[[#This Row],[Reporting Unit]])-LEN(SUBSTITUTE(emissions[[#This Row],[Reporting Unit]],"&gt;","")))</f>
        <v>Vantage_Dateland</v>
      </c>
      <c r="AR972" t="str">
        <f>_xlfn.XLOOKUP(emissions[[#This Row],[Reporting unit name]],hierarchy!$A:$A,hierarchy!$C:$C)</f>
        <v>Labratory</v>
      </c>
    </row>
    <row r="973" spans="1:44" hidden="1" x14ac:dyDescent="0.25">
      <c r="A973">
        <v>1234347</v>
      </c>
      <c r="B973" t="s">
        <v>387</v>
      </c>
      <c r="C973" t="s">
        <v>475</v>
      </c>
      <c r="D973" t="s">
        <v>599</v>
      </c>
      <c r="E973" s="3">
        <v>44197</v>
      </c>
      <c r="F973" s="3">
        <v>44561</v>
      </c>
      <c r="G973" t="s">
        <v>121</v>
      </c>
      <c r="H973" s="3">
        <v>44197</v>
      </c>
      <c r="I973" s="3">
        <v>44561</v>
      </c>
      <c r="J973" t="s">
        <v>150</v>
      </c>
      <c r="K973">
        <v>1647.1</v>
      </c>
      <c r="L973" t="s">
        <v>148</v>
      </c>
      <c r="M973" t="s">
        <v>110</v>
      </c>
      <c r="O973" t="s">
        <v>863</v>
      </c>
      <c r="P973" t="s">
        <v>550</v>
      </c>
      <c r="Q973">
        <v>2021</v>
      </c>
      <c r="R973" t="s">
        <v>594</v>
      </c>
      <c r="S973" t="s">
        <v>150</v>
      </c>
      <c r="T973" t="s">
        <v>553</v>
      </c>
      <c r="U973" t="b">
        <v>0</v>
      </c>
      <c r="V973" t="s">
        <v>789</v>
      </c>
      <c r="W973" t="s">
        <v>587</v>
      </c>
      <c r="X973" t="s">
        <v>556</v>
      </c>
      <c r="Y973" t="s">
        <v>472</v>
      </c>
      <c r="Z973" t="s">
        <v>485</v>
      </c>
      <c r="AA973" t="s">
        <v>764</v>
      </c>
      <c r="AC973">
        <v>1</v>
      </c>
      <c r="AD973" t="s">
        <v>558</v>
      </c>
      <c r="AE973">
        <v>11.117925</v>
      </c>
      <c r="AF973">
        <v>6.7499999999999999E-3</v>
      </c>
      <c r="AG973" t="s">
        <v>786</v>
      </c>
      <c r="AH973">
        <v>1</v>
      </c>
      <c r="AI973">
        <v>1647.1</v>
      </c>
      <c r="AJ973" t="s">
        <v>561</v>
      </c>
      <c r="AK973" t="s">
        <v>766</v>
      </c>
      <c r="AL973" t="s">
        <v>790</v>
      </c>
      <c r="AM973">
        <v>2021</v>
      </c>
      <c r="AN973">
        <v>2021</v>
      </c>
      <c r="AO973">
        <f>IF(AND(emissions[[#This Row],[Market-based]]=0,emissions[[#This Row],[Impact Type]]="CO2E"),emissions[[#This Row],[kgCO2e]],0)/1000</f>
        <v>0</v>
      </c>
      <c r="AP973">
        <f>IF(AND(emissions[[#This Row],[Market-based]]=1,OR(emissions[[#This Row],[Impact Type]]="CO2E",emissions[[#This Row],[Impact Type]]="CO2E MKT")),emissions[[#This Row],[kgCO2e]],0)/1000</f>
        <v>0</v>
      </c>
      <c r="AQ973" t="str">
        <f>_xlfn.TEXTAFTER(emissions[[#This Row],[Reporting Unit]]," &gt; ",LEN(emissions[[#This Row],[Reporting Unit]])-LEN(SUBSTITUTE(emissions[[#This Row],[Reporting Unit]],"&gt;","")))</f>
        <v>Vantage_Dateland</v>
      </c>
      <c r="AR973" t="str">
        <f>_xlfn.XLOOKUP(emissions[[#This Row],[Reporting unit name]],hierarchy!$A:$A,hierarchy!$C:$C)</f>
        <v>Labratory</v>
      </c>
    </row>
    <row r="974" spans="1:44" hidden="1" x14ac:dyDescent="0.25">
      <c r="A974">
        <v>1234347</v>
      </c>
      <c r="B974" t="s">
        <v>387</v>
      </c>
      <c r="C974" t="s">
        <v>475</v>
      </c>
      <c r="D974" t="s">
        <v>599</v>
      </c>
      <c r="E974" s="3">
        <v>44197</v>
      </c>
      <c r="F974" s="3">
        <v>44561</v>
      </c>
      <c r="G974" t="s">
        <v>121</v>
      </c>
      <c r="H974" s="3">
        <v>44197</v>
      </c>
      <c r="I974" s="3">
        <v>44561</v>
      </c>
      <c r="J974" t="s">
        <v>150</v>
      </c>
      <c r="K974">
        <v>1647.1</v>
      </c>
      <c r="L974" t="s">
        <v>148</v>
      </c>
      <c r="M974" t="s">
        <v>110</v>
      </c>
      <c r="O974" t="s">
        <v>863</v>
      </c>
      <c r="P974" t="s">
        <v>550</v>
      </c>
      <c r="Q974">
        <v>2021</v>
      </c>
      <c r="R974" t="s">
        <v>594</v>
      </c>
      <c r="S974" t="s">
        <v>150</v>
      </c>
      <c r="T974" t="s">
        <v>553</v>
      </c>
      <c r="U974" t="b">
        <v>0</v>
      </c>
      <c r="V974" t="s">
        <v>789</v>
      </c>
      <c r="W974" t="s">
        <v>587</v>
      </c>
      <c r="X974" t="s">
        <v>556</v>
      </c>
      <c r="Y974" t="s">
        <v>472</v>
      </c>
      <c r="Z974" t="s">
        <v>485</v>
      </c>
      <c r="AA974" t="s">
        <v>764</v>
      </c>
      <c r="AC974">
        <v>1</v>
      </c>
      <c r="AD974" t="s">
        <v>564</v>
      </c>
      <c r="AE974">
        <v>9421.4120000000003</v>
      </c>
      <c r="AF974">
        <v>5.72</v>
      </c>
      <c r="AG974" t="s">
        <v>786</v>
      </c>
      <c r="AH974">
        <v>1</v>
      </c>
      <c r="AI974">
        <v>1647.1</v>
      </c>
      <c r="AJ974" t="s">
        <v>561</v>
      </c>
      <c r="AK974" t="s">
        <v>766</v>
      </c>
      <c r="AL974" t="s">
        <v>790</v>
      </c>
      <c r="AM974">
        <v>2021</v>
      </c>
      <c r="AN974">
        <v>2021</v>
      </c>
      <c r="AO974">
        <f>IF(AND(emissions[[#This Row],[Market-based]]=0,emissions[[#This Row],[Impact Type]]="CO2E"),emissions[[#This Row],[kgCO2e]],0)/1000</f>
        <v>0</v>
      </c>
      <c r="AP974">
        <f>IF(AND(emissions[[#This Row],[Market-based]]=1,OR(emissions[[#This Row],[Impact Type]]="CO2E",emissions[[#This Row],[Impact Type]]="CO2E MKT")),emissions[[#This Row],[kgCO2e]],0)/1000</f>
        <v>0</v>
      </c>
      <c r="AQ974" t="str">
        <f>_xlfn.TEXTAFTER(emissions[[#This Row],[Reporting Unit]]," &gt; ",LEN(emissions[[#This Row],[Reporting Unit]])-LEN(SUBSTITUTE(emissions[[#This Row],[Reporting Unit]],"&gt;","")))</f>
        <v>Vantage_Dateland</v>
      </c>
      <c r="AR974" t="str">
        <f>_xlfn.XLOOKUP(emissions[[#This Row],[Reporting unit name]],hierarchy!$A:$A,hierarchy!$C:$C)</f>
        <v>Labratory</v>
      </c>
    </row>
    <row r="975" spans="1:44" hidden="1" x14ac:dyDescent="0.25">
      <c r="A975">
        <v>1234347</v>
      </c>
      <c r="B975" t="s">
        <v>387</v>
      </c>
      <c r="C975" t="s">
        <v>475</v>
      </c>
      <c r="D975" t="s">
        <v>599</v>
      </c>
      <c r="E975" s="3">
        <v>44197</v>
      </c>
      <c r="F975" s="3">
        <v>44561</v>
      </c>
      <c r="G975" t="s">
        <v>121</v>
      </c>
      <c r="H975" s="3">
        <v>44197</v>
      </c>
      <c r="I975" s="3">
        <v>44561</v>
      </c>
      <c r="J975" t="s">
        <v>150</v>
      </c>
      <c r="K975">
        <v>1647.1</v>
      </c>
      <c r="L975" t="s">
        <v>148</v>
      </c>
      <c r="M975" t="s">
        <v>110</v>
      </c>
      <c r="O975" t="s">
        <v>863</v>
      </c>
      <c r="P975" t="s">
        <v>550</v>
      </c>
      <c r="Q975">
        <v>2021</v>
      </c>
      <c r="R975" t="s">
        <v>594</v>
      </c>
      <c r="S975" t="s">
        <v>150</v>
      </c>
      <c r="T975" t="s">
        <v>553</v>
      </c>
      <c r="U975" t="b">
        <v>0</v>
      </c>
      <c r="V975" t="s">
        <v>789</v>
      </c>
      <c r="W975" t="s">
        <v>587</v>
      </c>
      <c r="X975" t="s">
        <v>556</v>
      </c>
      <c r="Y975" t="s">
        <v>472</v>
      </c>
      <c r="Z975" t="s">
        <v>485</v>
      </c>
      <c r="AA975" t="s">
        <v>764</v>
      </c>
      <c r="AC975">
        <v>1</v>
      </c>
      <c r="AD975" t="s">
        <v>565</v>
      </c>
      <c r="AE975">
        <v>9457.071715</v>
      </c>
      <c r="AF975">
        <v>5.7416499999999999</v>
      </c>
      <c r="AG975" t="s">
        <v>786</v>
      </c>
      <c r="AH975">
        <v>1</v>
      </c>
      <c r="AI975">
        <v>1647.1</v>
      </c>
      <c r="AJ975" t="s">
        <v>561</v>
      </c>
      <c r="AK975" t="s">
        <v>766</v>
      </c>
      <c r="AL975" t="s">
        <v>790</v>
      </c>
      <c r="AM975">
        <v>2021</v>
      </c>
      <c r="AN975">
        <v>2021</v>
      </c>
      <c r="AO975">
        <f>IF(AND(emissions[[#This Row],[Market-based]]=0,emissions[[#This Row],[Impact Type]]="CO2E"),emissions[[#This Row],[kgCO2e]],0)/1000</f>
        <v>0</v>
      </c>
      <c r="AP975">
        <f>IF(AND(emissions[[#This Row],[Market-based]]=1,OR(emissions[[#This Row],[Impact Type]]="CO2E",emissions[[#This Row],[Impact Type]]="CO2E MKT")),emissions[[#This Row],[kgCO2e]],0)/1000</f>
        <v>9.4570717149999997</v>
      </c>
      <c r="AQ975" t="str">
        <f>_xlfn.TEXTAFTER(emissions[[#This Row],[Reporting Unit]]," &gt; ",LEN(emissions[[#This Row],[Reporting Unit]])-LEN(SUBSTITUTE(emissions[[#This Row],[Reporting Unit]],"&gt;","")))</f>
        <v>Vantage_Dateland</v>
      </c>
      <c r="AR975" t="str">
        <f>_xlfn.XLOOKUP(emissions[[#This Row],[Reporting unit name]],hierarchy!$A:$A,hierarchy!$C:$C)</f>
        <v>Labratory</v>
      </c>
    </row>
    <row r="976" spans="1:44" hidden="1" x14ac:dyDescent="0.25">
      <c r="A976">
        <v>1234347</v>
      </c>
      <c r="B976" t="s">
        <v>387</v>
      </c>
      <c r="C976" t="s">
        <v>475</v>
      </c>
      <c r="D976" t="s">
        <v>599</v>
      </c>
      <c r="E976" s="3">
        <v>44197</v>
      </c>
      <c r="F976" s="3">
        <v>44561</v>
      </c>
      <c r="G976" t="s">
        <v>121</v>
      </c>
      <c r="H976" s="3">
        <v>44197</v>
      </c>
      <c r="I976" s="3">
        <v>44561</v>
      </c>
      <c r="J976" t="s">
        <v>150</v>
      </c>
      <c r="K976">
        <v>1647.1</v>
      </c>
      <c r="L976" t="s">
        <v>148</v>
      </c>
      <c r="M976" t="s">
        <v>110</v>
      </c>
      <c r="O976" t="s">
        <v>863</v>
      </c>
      <c r="P976" t="s">
        <v>550</v>
      </c>
      <c r="Q976">
        <v>2021</v>
      </c>
      <c r="R976" t="s">
        <v>594</v>
      </c>
      <c r="S976" t="s">
        <v>150</v>
      </c>
      <c r="T976" t="s">
        <v>553</v>
      </c>
      <c r="U976" t="b">
        <v>0</v>
      </c>
      <c r="V976" t="s">
        <v>789</v>
      </c>
      <c r="W976" t="s">
        <v>587</v>
      </c>
      <c r="X976" t="s">
        <v>556</v>
      </c>
      <c r="Y976" t="s">
        <v>472</v>
      </c>
      <c r="Z976" t="s">
        <v>485</v>
      </c>
      <c r="AA976" t="s">
        <v>764</v>
      </c>
      <c r="AC976">
        <v>1</v>
      </c>
      <c r="AD976" t="s">
        <v>566</v>
      </c>
      <c r="AE976">
        <v>24.541789999999999</v>
      </c>
      <c r="AF976">
        <v>1.49E-2</v>
      </c>
      <c r="AG976" t="s">
        <v>786</v>
      </c>
      <c r="AH976">
        <v>1</v>
      </c>
      <c r="AI976">
        <v>1647.1</v>
      </c>
      <c r="AJ976" t="s">
        <v>561</v>
      </c>
      <c r="AK976" t="s">
        <v>766</v>
      </c>
      <c r="AL976" t="s">
        <v>790</v>
      </c>
      <c r="AM976">
        <v>2021</v>
      </c>
      <c r="AN976">
        <v>2021</v>
      </c>
      <c r="AO976">
        <f>IF(AND(emissions[[#This Row],[Market-based]]=0,emissions[[#This Row],[Impact Type]]="CO2E"),emissions[[#This Row],[kgCO2e]],0)/1000</f>
        <v>0</v>
      </c>
      <c r="AP976">
        <f>IF(AND(emissions[[#This Row],[Market-based]]=1,OR(emissions[[#This Row],[Impact Type]]="CO2E",emissions[[#This Row],[Impact Type]]="CO2E MKT")),emissions[[#This Row],[kgCO2e]],0)/1000</f>
        <v>0</v>
      </c>
      <c r="AQ976" t="str">
        <f>_xlfn.TEXTAFTER(emissions[[#This Row],[Reporting Unit]]," &gt; ",LEN(emissions[[#This Row],[Reporting Unit]])-LEN(SUBSTITUTE(emissions[[#This Row],[Reporting Unit]],"&gt;","")))</f>
        <v>Vantage_Dateland</v>
      </c>
      <c r="AR976" t="str">
        <f>_xlfn.XLOOKUP(emissions[[#This Row],[Reporting unit name]],hierarchy!$A:$A,hierarchy!$C:$C)</f>
        <v>Labratory</v>
      </c>
    </row>
    <row r="977" spans="1:44" hidden="1" x14ac:dyDescent="0.25">
      <c r="A977">
        <v>1234347</v>
      </c>
      <c r="B977" t="s">
        <v>387</v>
      </c>
      <c r="C977" t="s">
        <v>475</v>
      </c>
      <c r="D977" t="s">
        <v>599</v>
      </c>
      <c r="E977" s="3">
        <v>44197</v>
      </c>
      <c r="F977" s="3">
        <v>44561</v>
      </c>
      <c r="G977" t="s">
        <v>121</v>
      </c>
      <c r="H977" s="3">
        <v>44197</v>
      </c>
      <c r="I977" s="3">
        <v>44561</v>
      </c>
      <c r="J977" t="s">
        <v>150</v>
      </c>
      <c r="K977">
        <v>1647.1</v>
      </c>
      <c r="L977" t="s">
        <v>148</v>
      </c>
      <c r="M977" t="s">
        <v>110</v>
      </c>
      <c r="O977" t="s">
        <v>863</v>
      </c>
      <c r="P977" t="s">
        <v>550</v>
      </c>
      <c r="Q977">
        <v>2021</v>
      </c>
      <c r="R977" t="s">
        <v>596</v>
      </c>
      <c r="S977" t="s">
        <v>597</v>
      </c>
      <c r="T977" t="s">
        <v>577</v>
      </c>
      <c r="U977" t="b">
        <v>0</v>
      </c>
      <c r="V977" t="s">
        <v>795</v>
      </c>
      <c r="W977" t="s">
        <v>571</v>
      </c>
      <c r="X977" t="s">
        <v>572</v>
      </c>
      <c r="AC977">
        <v>0</v>
      </c>
      <c r="AD977" t="s">
        <v>565</v>
      </c>
      <c r="AE977">
        <v>1125.158862</v>
      </c>
      <c r="AF977">
        <v>0.18046000000000001</v>
      </c>
      <c r="AG977" t="s">
        <v>588</v>
      </c>
      <c r="AH977">
        <v>3.7854100000000002</v>
      </c>
      <c r="AI977">
        <v>6234.9488110000002</v>
      </c>
      <c r="AJ977" t="s">
        <v>561</v>
      </c>
      <c r="AK977" t="s">
        <v>589</v>
      </c>
      <c r="AL977" t="s">
        <v>603</v>
      </c>
      <c r="AM977">
        <v>2021</v>
      </c>
      <c r="AN977">
        <v>2019</v>
      </c>
      <c r="AO977">
        <f>IF(AND(emissions[[#This Row],[Market-based]]=0,emissions[[#This Row],[Impact Type]]="CO2E"),emissions[[#This Row],[kgCO2e]],0)/1000</f>
        <v>1.1251588619999999</v>
      </c>
      <c r="AP977">
        <f>IF(AND(emissions[[#This Row],[Market-based]]=1,OR(emissions[[#This Row],[Impact Type]]="CO2E",emissions[[#This Row],[Impact Type]]="CO2E MKT")),emissions[[#This Row],[kgCO2e]],0)/1000</f>
        <v>0</v>
      </c>
      <c r="AQ977" t="str">
        <f>_xlfn.TEXTAFTER(emissions[[#This Row],[Reporting Unit]]," &gt; ",LEN(emissions[[#This Row],[Reporting Unit]])-LEN(SUBSTITUTE(emissions[[#This Row],[Reporting Unit]],"&gt;","")))</f>
        <v>Vantage_Dateland</v>
      </c>
      <c r="AR977" t="str">
        <f>_xlfn.XLOOKUP(emissions[[#This Row],[Reporting unit name]],hierarchy!$A:$A,hierarchy!$C:$C)</f>
        <v>Labratory</v>
      </c>
    </row>
    <row r="978" spans="1:44" hidden="1" x14ac:dyDescent="0.25">
      <c r="A978">
        <v>1234347</v>
      </c>
      <c r="B978" t="s">
        <v>387</v>
      </c>
      <c r="C978" t="s">
        <v>475</v>
      </c>
      <c r="D978" t="s">
        <v>599</v>
      </c>
      <c r="E978" s="3">
        <v>44197</v>
      </c>
      <c r="F978" s="3">
        <v>44561</v>
      </c>
      <c r="G978" t="s">
        <v>121</v>
      </c>
      <c r="H978" s="3">
        <v>44197</v>
      </c>
      <c r="I978" s="3">
        <v>44561</v>
      </c>
      <c r="J978" t="s">
        <v>150</v>
      </c>
      <c r="K978">
        <v>1647.1</v>
      </c>
      <c r="L978" t="s">
        <v>148</v>
      </c>
      <c r="M978" t="s">
        <v>110</v>
      </c>
      <c r="O978" t="s">
        <v>863</v>
      </c>
      <c r="P978" t="s">
        <v>550</v>
      </c>
      <c r="Q978">
        <v>2021</v>
      </c>
      <c r="R978" t="s">
        <v>596</v>
      </c>
      <c r="S978" t="s">
        <v>597</v>
      </c>
      <c r="T978" t="s">
        <v>577</v>
      </c>
      <c r="U978" t="b">
        <v>0</v>
      </c>
      <c r="V978" t="s">
        <v>795</v>
      </c>
      <c r="W978" t="s">
        <v>571</v>
      </c>
      <c r="X978" t="s">
        <v>572</v>
      </c>
      <c r="AC978">
        <v>1</v>
      </c>
      <c r="AD978" t="s">
        <v>565</v>
      </c>
      <c r="AE978">
        <v>1125.158862</v>
      </c>
      <c r="AF978">
        <v>0.18046000000000001</v>
      </c>
      <c r="AG978" t="s">
        <v>588</v>
      </c>
      <c r="AH978">
        <v>3.7854100000000002</v>
      </c>
      <c r="AI978">
        <v>6234.9488110000002</v>
      </c>
      <c r="AJ978" t="s">
        <v>561</v>
      </c>
      <c r="AK978" t="s">
        <v>589</v>
      </c>
      <c r="AL978" t="s">
        <v>603</v>
      </c>
      <c r="AM978">
        <v>2021</v>
      </c>
      <c r="AN978">
        <v>2019</v>
      </c>
      <c r="AO978">
        <f>IF(AND(emissions[[#This Row],[Market-based]]=0,emissions[[#This Row],[Impact Type]]="CO2E"),emissions[[#This Row],[kgCO2e]],0)/1000</f>
        <v>0</v>
      </c>
      <c r="AP978">
        <f>IF(AND(emissions[[#This Row],[Market-based]]=1,OR(emissions[[#This Row],[Impact Type]]="CO2E",emissions[[#This Row],[Impact Type]]="CO2E MKT")),emissions[[#This Row],[kgCO2e]],0)/1000</f>
        <v>1.1251588619999999</v>
      </c>
      <c r="AQ978" t="str">
        <f>_xlfn.TEXTAFTER(emissions[[#This Row],[Reporting Unit]]," &gt; ",LEN(emissions[[#This Row],[Reporting Unit]])-LEN(SUBSTITUTE(emissions[[#This Row],[Reporting Unit]],"&gt;","")))</f>
        <v>Vantage_Dateland</v>
      </c>
      <c r="AR978" t="str">
        <f>_xlfn.XLOOKUP(emissions[[#This Row],[Reporting unit name]],hierarchy!$A:$A,hierarchy!$C:$C)</f>
        <v>Labratory</v>
      </c>
    </row>
    <row r="979" spans="1:44" hidden="1" x14ac:dyDescent="0.25">
      <c r="A979">
        <v>291418</v>
      </c>
      <c r="B979" t="s">
        <v>382</v>
      </c>
      <c r="C979" t="s">
        <v>501</v>
      </c>
      <c r="D979" t="s">
        <v>548</v>
      </c>
      <c r="E979" s="3">
        <v>44562</v>
      </c>
      <c r="F979" s="3">
        <v>44926</v>
      </c>
      <c r="G979" t="s">
        <v>108</v>
      </c>
      <c r="H979" s="3">
        <v>44562</v>
      </c>
      <c r="I979" s="3">
        <v>44926</v>
      </c>
      <c r="J979" t="s">
        <v>108</v>
      </c>
      <c r="K979">
        <v>57577</v>
      </c>
      <c r="L979" t="s">
        <v>109</v>
      </c>
      <c r="M979" t="s">
        <v>110</v>
      </c>
      <c r="O979" t="s">
        <v>864</v>
      </c>
      <c r="P979" t="s">
        <v>550</v>
      </c>
      <c r="Q979">
        <v>2022</v>
      </c>
      <c r="R979" t="s">
        <v>551</v>
      </c>
      <c r="S979" t="s">
        <v>552</v>
      </c>
      <c r="T979" t="s">
        <v>553</v>
      </c>
      <c r="U979" t="b">
        <v>0</v>
      </c>
      <c r="V979" t="s">
        <v>763</v>
      </c>
      <c r="W979" t="s">
        <v>555</v>
      </c>
      <c r="X979" t="s">
        <v>556</v>
      </c>
      <c r="Y979" t="s">
        <v>472</v>
      </c>
      <c r="Z979" t="s">
        <v>485</v>
      </c>
      <c r="AA979" t="s">
        <v>764</v>
      </c>
      <c r="AB979" t="s">
        <v>765</v>
      </c>
      <c r="AC979">
        <v>0</v>
      </c>
      <c r="AD979" t="s">
        <v>558</v>
      </c>
      <c r="AE979">
        <v>56.150448959999999</v>
      </c>
      <c r="AF979">
        <v>9.7522400000000001E-4</v>
      </c>
      <c r="AG979" t="s">
        <v>560</v>
      </c>
      <c r="AH979">
        <v>1</v>
      </c>
      <c r="AI979">
        <v>57577</v>
      </c>
      <c r="AJ979" t="s">
        <v>561</v>
      </c>
      <c r="AK979" t="s">
        <v>766</v>
      </c>
      <c r="AL979" t="s">
        <v>767</v>
      </c>
      <c r="AM979">
        <v>2022</v>
      </c>
      <c r="AN979">
        <v>2020</v>
      </c>
      <c r="AO979">
        <f>IF(AND(emissions[[#This Row],[Market-based]]=0,emissions[[#This Row],[Impact Type]]="CO2E"),emissions[[#This Row],[kgCO2e]],0)/1000</f>
        <v>0</v>
      </c>
      <c r="AP979">
        <f>IF(AND(emissions[[#This Row],[Market-based]]=1,OR(emissions[[#This Row],[Impact Type]]="CO2E",emissions[[#This Row],[Impact Type]]="CO2E MKT")),emissions[[#This Row],[kgCO2e]],0)/1000</f>
        <v>0</v>
      </c>
      <c r="AQ979" t="str">
        <f>_xlfn.TEXTAFTER(emissions[[#This Row],[Reporting Unit]]," &gt; ",LEN(emissions[[#This Row],[Reporting Unit]])-LEN(SUBSTITUTE(emissions[[#This Row],[Reporting Unit]],"&gt;","")))</f>
        <v>Vantage_Deerfield</v>
      </c>
      <c r="AR979" t="str">
        <f>_xlfn.XLOOKUP(emissions[[#This Row],[Reporting unit name]],hierarchy!$A:$A,hierarchy!$C:$C)</f>
        <v>Office</v>
      </c>
    </row>
    <row r="980" spans="1:44" hidden="1" x14ac:dyDescent="0.25">
      <c r="A980">
        <v>291418</v>
      </c>
      <c r="B980" t="s">
        <v>382</v>
      </c>
      <c r="C980" t="s">
        <v>501</v>
      </c>
      <c r="D980" t="s">
        <v>548</v>
      </c>
      <c r="E980" s="3">
        <v>44562</v>
      </c>
      <c r="F980" s="3">
        <v>44926</v>
      </c>
      <c r="G980" t="s">
        <v>108</v>
      </c>
      <c r="H980" s="3">
        <v>44562</v>
      </c>
      <c r="I980" s="3">
        <v>44926</v>
      </c>
      <c r="J980" t="s">
        <v>108</v>
      </c>
      <c r="K980">
        <v>57577</v>
      </c>
      <c r="L980" t="s">
        <v>109</v>
      </c>
      <c r="M980" t="s">
        <v>110</v>
      </c>
      <c r="O980" t="s">
        <v>864</v>
      </c>
      <c r="P980" t="s">
        <v>550</v>
      </c>
      <c r="Q980">
        <v>2022</v>
      </c>
      <c r="R980" t="s">
        <v>551</v>
      </c>
      <c r="S980" t="s">
        <v>552</v>
      </c>
      <c r="T980" t="s">
        <v>553</v>
      </c>
      <c r="U980" t="b">
        <v>0</v>
      </c>
      <c r="V980" t="s">
        <v>763</v>
      </c>
      <c r="W980" t="s">
        <v>555</v>
      </c>
      <c r="X980" t="s">
        <v>556</v>
      </c>
      <c r="Y980" t="s">
        <v>472</v>
      </c>
      <c r="Z980" t="s">
        <v>485</v>
      </c>
      <c r="AA980" t="s">
        <v>764</v>
      </c>
      <c r="AB980" t="s">
        <v>765</v>
      </c>
      <c r="AC980">
        <v>0</v>
      </c>
      <c r="AD980" t="s">
        <v>564</v>
      </c>
      <c r="AE980">
        <v>25724.139889999999</v>
      </c>
      <c r="AF980">
        <v>0.44677805199999998</v>
      </c>
      <c r="AG980" t="s">
        <v>560</v>
      </c>
      <c r="AH980">
        <v>1</v>
      </c>
      <c r="AI980">
        <v>57577</v>
      </c>
      <c r="AJ980" t="s">
        <v>561</v>
      </c>
      <c r="AK980" t="s">
        <v>766</v>
      </c>
      <c r="AL980" t="s">
        <v>767</v>
      </c>
      <c r="AM980">
        <v>2022</v>
      </c>
      <c r="AN980">
        <v>2020</v>
      </c>
      <c r="AO980">
        <f>IF(AND(emissions[[#This Row],[Market-based]]=0,emissions[[#This Row],[Impact Type]]="CO2E"),emissions[[#This Row],[kgCO2e]],0)/1000</f>
        <v>0</v>
      </c>
      <c r="AP980">
        <f>IF(AND(emissions[[#This Row],[Market-based]]=1,OR(emissions[[#This Row],[Impact Type]]="CO2E",emissions[[#This Row],[Impact Type]]="CO2E MKT")),emissions[[#This Row],[kgCO2e]],0)/1000</f>
        <v>0</v>
      </c>
      <c r="AQ980" t="str">
        <f>_xlfn.TEXTAFTER(emissions[[#This Row],[Reporting Unit]]," &gt; ",LEN(emissions[[#This Row],[Reporting Unit]])-LEN(SUBSTITUTE(emissions[[#This Row],[Reporting Unit]],"&gt;","")))</f>
        <v>Vantage_Deerfield</v>
      </c>
      <c r="AR980" t="str">
        <f>_xlfn.XLOOKUP(emissions[[#This Row],[Reporting unit name]],hierarchy!$A:$A,hierarchy!$C:$C)</f>
        <v>Office</v>
      </c>
    </row>
    <row r="981" spans="1:44" hidden="1" x14ac:dyDescent="0.25">
      <c r="A981">
        <v>291418</v>
      </c>
      <c r="B981" t="s">
        <v>382</v>
      </c>
      <c r="C981" t="s">
        <v>501</v>
      </c>
      <c r="D981" t="s">
        <v>548</v>
      </c>
      <c r="E981" s="3">
        <v>44562</v>
      </c>
      <c r="F981" s="3">
        <v>44926</v>
      </c>
      <c r="G981" t="s">
        <v>108</v>
      </c>
      <c r="H981" s="3">
        <v>44562</v>
      </c>
      <c r="I981" s="3">
        <v>44926</v>
      </c>
      <c r="J981" t="s">
        <v>108</v>
      </c>
      <c r="K981">
        <v>57577</v>
      </c>
      <c r="L981" t="s">
        <v>109</v>
      </c>
      <c r="M981" t="s">
        <v>110</v>
      </c>
      <c r="O981" t="s">
        <v>864</v>
      </c>
      <c r="P981" t="s">
        <v>550</v>
      </c>
      <c r="Q981">
        <v>2022</v>
      </c>
      <c r="R981" t="s">
        <v>551</v>
      </c>
      <c r="S981" t="s">
        <v>552</v>
      </c>
      <c r="T981" t="s">
        <v>553</v>
      </c>
      <c r="U981" t="b">
        <v>0</v>
      </c>
      <c r="V981" t="s">
        <v>763</v>
      </c>
      <c r="W981" t="s">
        <v>555</v>
      </c>
      <c r="X981" t="s">
        <v>556</v>
      </c>
      <c r="Y981" t="s">
        <v>472</v>
      </c>
      <c r="Z981" t="s">
        <v>485</v>
      </c>
      <c r="AA981" t="s">
        <v>764</v>
      </c>
      <c r="AB981" t="s">
        <v>765</v>
      </c>
      <c r="AC981">
        <v>0</v>
      </c>
      <c r="AD981" t="s">
        <v>565</v>
      </c>
      <c r="AE981">
        <v>25873.6829</v>
      </c>
      <c r="AF981">
        <v>0.44937532200000002</v>
      </c>
      <c r="AG981" t="s">
        <v>560</v>
      </c>
      <c r="AH981">
        <v>1</v>
      </c>
      <c r="AI981">
        <v>57577</v>
      </c>
      <c r="AJ981" t="s">
        <v>561</v>
      </c>
      <c r="AK981" t="s">
        <v>766</v>
      </c>
      <c r="AL981" t="s">
        <v>767</v>
      </c>
      <c r="AM981">
        <v>2022</v>
      </c>
      <c r="AN981">
        <v>2020</v>
      </c>
      <c r="AO981">
        <f>IF(AND(emissions[[#This Row],[Market-based]]=0,emissions[[#This Row],[Impact Type]]="CO2E"),emissions[[#This Row],[kgCO2e]],0)/1000</f>
        <v>25.873682899999999</v>
      </c>
      <c r="AP981">
        <f>IF(AND(emissions[[#This Row],[Market-based]]=1,OR(emissions[[#This Row],[Impact Type]]="CO2E",emissions[[#This Row],[Impact Type]]="CO2E MKT")),emissions[[#This Row],[kgCO2e]],0)/1000</f>
        <v>0</v>
      </c>
      <c r="AQ981" t="str">
        <f>_xlfn.TEXTAFTER(emissions[[#This Row],[Reporting Unit]]," &gt; ",LEN(emissions[[#This Row],[Reporting Unit]])-LEN(SUBSTITUTE(emissions[[#This Row],[Reporting Unit]],"&gt;","")))</f>
        <v>Vantage_Deerfield</v>
      </c>
      <c r="AR981" t="str">
        <f>_xlfn.XLOOKUP(emissions[[#This Row],[Reporting unit name]],hierarchy!$A:$A,hierarchy!$C:$C)</f>
        <v>Office</v>
      </c>
    </row>
    <row r="982" spans="1:44" hidden="1" x14ac:dyDescent="0.25">
      <c r="A982">
        <v>291418</v>
      </c>
      <c r="B982" t="s">
        <v>382</v>
      </c>
      <c r="C982" t="s">
        <v>501</v>
      </c>
      <c r="D982" t="s">
        <v>548</v>
      </c>
      <c r="E982" s="3">
        <v>44562</v>
      </c>
      <c r="F982" s="3">
        <v>44926</v>
      </c>
      <c r="G982" t="s">
        <v>108</v>
      </c>
      <c r="H982" s="3">
        <v>44562</v>
      </c>
      <c r="I982" s="3">
        <v>44926</v>
      </c>
      <c r="J982" t="s">
        <v>108</v>
      </c>
      <c r="K982">
        <v>57577</v>
      </c>
      <c r="L982" t="s">
        <v>109</v>
      </c>
      <c r="M982" t="s">
        <v>110</v>
      </c>
      <c r="O982" t="s">
        <v>864</v>
      </c>
      <c r="P982" t="s">
        <v>550</v>
      </c>
      <c r="Q982">
        <v>2022</v>
      </c>
      <c r="R982" t="s">
        <v>551</v>
      </c>
      <c r="S982" t="s">
        <v>552</v>
      </c>
      <c r="T982" t="s">
        <v>553</v>
      </c>
      <c r="U982" t="b">
        <v>0</v>
      </c>
      <c r="V982" t="s">
        <v>763</v>
      </c>
      <c r="W982" t="s">
        <v>555</v>
      </c>
      <c r="X982" t="s">
        <v>556</v>
      </c>
      <c r="Y982" t="s">
        <v>472</v>
      </c>
      <c r="Z982" t="s">
        <v>485</v>
      </c>
      <c r="AA982" t="s">
        <v>764</v>
      </c>
      <c r="AB982" t="s">
        <v>765</v>
      </c>
      <c r="AC982">
        <v>0</v>
      </c>
      <c r="AD982" t="s">
        <v>566</v>
      </c>
      <c r="AE982">
        <v>93.392560689999996</v>
      </c>
      <c r="AF982">
        <v>1.622046E-3</v>
      </c>
      <c r="AG982" t="s">
        <v>560</v>
      </c>
      <c r="AH982">
        <v>1</v>
      </c>
      <c r="AI982">
        <v>57577</v>
      </c>
      <c r="AJ982" t="s">
        <v>561</v>
      </c>
      <c r="AK982" t="s">
        <v>766</v>
      </c>
      <c r="AL982" t="s">
        <v>767</v>
      </c>
      <c r="AM982">
        <v>2022</v>
      </c>
      <c r="AN982">
        <v>2020</v>
      </c>
      <c r="AO982">
        <f>IF(AND(emissions[[#This Row],[Market-based]]=0,emissions[[#This Row],[Impact Type]]="CO2E"),emissions[[#This Row],[kgCO2e]],0)/1000</f>
        <v>0</v>
      </c>
      <c r="AP982">
        <f>IF(AND(emissions[[#This Row],[Market-based]]=1,OR(emissions[[#This Row],[Impact Type]]="CO2E",emissions[[#This Row],[Impact Type]]="CO2E MKT")),emissions[[#This Row],[kgCO2e]],0)/1000</f>
        <v>0</v>
      </c>
      <c r="AQ982" t="str">
        <f>_xlfn.TEXTAFTER(emissions[[#This Row],[Reporting Unit]]," &gt; ",LEN(emissions[[#This Row],[Reporting Unit]])-LEN(SUBSTITUTE(emissions[[#This Row],[Reporting Unit]],"&gt;","")))</f>
        <v>Vantage_Deerfield</v>
      </c>
      <c r="AR982" t="str">
        <f>_xlfn.XLOOKUP(emissions[[#This Row],[Reporting unit name]],hierarchy!$A:$A,hierarchy!$C:$C)</f>
        <v>Office</v>
      </c>
    </row>
    <row r="983" spans="1:44" hidden="1" x14ac:dyDescent="0.25">
      <c r="A983">
        <v>291418</v>
      </c>
      <c r="B983" t="s">
        <v>382</v>
      </c>
      <c r="C983" t="s">
        <v>501</v>
      </c>
      <c r="D983" t="s">
        <v>548</v>
      </c>
      <c r="E983" s="3">
        <v>44562</v>
      </c>
      <c r="F983" s="3">
        <v>44926</v>
      </c>
      <c r="G983" t="s">
        <v>108</v>
      </c>
      <c r="H983" s="3">
        <v>44562</v>
      </c>
      <c r="I983" s="3">
        <v>44926</v>
      </c>
      <c r="J983" t="s">
        <v>108</v>
      </c>
      <c r="K983">
        <v>57577</v>
      </c>
      <c r="L983" t="s">
        <v>109</v>
      </c>
      <c r="M983" t="s">
        <v>110</v>
      </c>
      <c r="O983" t="s">
        <v>864</v>
      </c>
      <c r="P983" t="s">
        <v>550</v>
      </c>
      <c r="Q983">
        <v>2022</v>
      </c>
      <c r="R983" t="s">
        <v>551</v>
      </c>
      <c r="S983" t="s">
        <v>552</v>
      </c>
      <c r="T983" t="s">
        <v>553</v>
      </c>
      <c r="U983" t="b">
        <v>0</v>
      </c>
      <c r="V983" t="s">
        <v>763</v>
      </c>
      <c r="W983" t="s">
        <v>555</v>
      </c>
      <c r="X983" t="s">
        <v>556</v>
      </c>
      <c r="Y983" t="s">
        <v>472</v>
      </c>
      <c r="Z983" t="s">
        <v>485</v>
      </c>
      <c r="AA983" t="s">
        <v>764</v>
      </c>
      <c r="AB983" t="s">
        <v>765</v>
      </c>
      <c r="AC983">
        <v>1</v>
      </c>
      <c r="AD983" t="s">
        <v>639</v>
      </c>
      <c r="AE983">
        <v>25773.52893</v>
      </c>
      <c r="AF983">
        <v>0.44763584299999998</v>
      </c>
      <c r="AG983" t="s">
        <v>560</v>
      </c>
      <c r="AH983">
        <v>1</v>
      </c>
      <c r="AI983">
        <v>57577</v>
      </c>
      <c r="AJ983" t="s">
        <v>561</v>
      </c>
      <c r="AK983" t="s">
        <v>833</v>
      </c>
      <c r="AL983" t="s">
        <v>834</v>
      </c>
      <c r="AM983">
        <v>2022</v>
      </c>
      <c r="AN983">
        <v>2020</v>
      </c>
      <c r="AO983">
        <f>IF(AND(emissions[[#This Row],[Market-based]]=0,emissions[[#This Row],[Impact Type]]="CO2E"),emissions[[#This Row],[kgCO2e]],0)/1000</f>
        <v>0</v>
      </c>
      <c r="AP983">
        <f>IF(AND(emissions[[#This Row],[Market-based]]=1,OR(emissions[[#This Row],[Impact Type]]="CO2E",emissions[[#This Row],[Impact Type]]="CO2E MKT")),emissions[[#This Row],[kgCO2e]],0)/1000</f>
        <v>25.773528930000001</v>
      </c>
      <c r="AQ983" t="str">
        <f>_xlfn.TEXTAFTER(emissions[[#This Row],[Reporting Unit]]," &gt; ",LEN(emissions[[#This Row],[Reporting Unit]])-LEN(SUBSTITUTE(emissions[[#This Row],[Reporting Unit]],"&gt;","")))</f>
        <v>Vantage_Deerfield</v>
      </c>
      <c r="AR983" t="str">
        <f>_xlfn.XLOOKUP(emissions[[#This Row],[Reporting unit name]],hierarchy!$A:$A,hierarchy!$C:$C)</f>
        <v>Office</v>
      </c>
    </row>
    <row r="984" spans="1:44" hidden="1" x14ac:dyDescent="0.25">
      <c r="A984">
        <v>291418</v>
      </c>
      <c r="B984" t="s">
        <v>382</v>
      </c>
      <c r="C984" t="s">
        <v>501</v>
      </c>
      <c r="D984" t="s">
        <v>548</v>
      </c>
      <c r="E984" s="3">
        <v>44562</v>
      </c>
      <c r="F984" s="3">
        <v>44926</v>
      </c>
      <c r="G984" t="s">
        <v>108</v>
      </c>
      <c r="H984" s="3">
        <v>44562</v>
      </c>
      <c r="I984" s="3">
        <v>44926</v>
      </c>
      <c r="J984" t="s">
        <v>108</v>
      </c>
      <c r="K984">
        <v>57577</v>
      </c>
      <c r="L984" t="s">
        <v>109</v>
      </c>
      <c r="M984" t="s">
        <v>110</v>
      </c>
      <c r="O984" t="s">
        <v>864</v>
      </c>
      <c r="P984" t="s">
        <v>550</v>
      </c>
      <c r="Q984">
        <v>2022</v>
      </c>
      <c r="R984" t="s">
        <v>567</v>
      </c>
      <c r="S984" t="s">
        <v>568</v>
      </c>
      <c r="T984" t="s">
        <v>569</v>
      </c>
      <c r="U984" t="b">
        <v>0</v>
      </c>
      <c r="V984" t="s">
        <v>770</v>
      </c>
      <c r="W984" t="s">
        <v>571</v>
      </c>
      <c r="X984" t="s">
        <v>572</v>
      </c>
      <c r="Y984" t="s">
        <v>472</v>
      </c>
      <c r="Z984" t="s">
        <v>485</v>
      </c>
      <c r="AA984" t="s">
        <v>764</v>
      </c>
      <c r="AB984" t="s">
        <v>765</v>
      </c>
      <c r="AC984">
        <v>0</v>
      </c>
      <c r="AD984" t="s">
        <v>565</v>
      </c>
      <c r="AE984">
        <v>405.14699680000001</v>
      </c>
      <c r="AF984">
        <v>7.0366120000000002E-3</v>
      </c>
      <c r="AG984" t="s">
        <v>560</v>
      </c>
      <c r="AH984">
        <v>1</v>
      </c>
      <c r="AI984">
        <v>57577</v>
      </c>
      <c r="AJ984" t="s">
        <v>561</v>
      </c>
      <c r="AK984" t="s">
        <v>573</v>
      </c>
      <c r="AL984" t="s">
        <v>574</v>
      </c>
      <c r="AM984">
        <v>2022</v>
      </c>
      <c r="AN984">
        <v>2020</v>
      </c>
      <c r="AO984">
        <f>IF(AND(emissions[[#This Row],[Market-based]]=0,emissions[[#This Row],[Impact Type]]="CO2E"),emissions[[#This Row],[kgCO2e]],0)/1000</f>
        <v>0.40514699679999999</v>
      </c>
      <c r="AP984">
        <f>IF(AND(emissions[[#This Row],[Market-based]]=1,OR(emissions[[#This Row],[Impact Type]]="CO2E",emissions[[#This Row],[Impact Type]]="CO2E MKT")),emissions[[#This Row],[kgCO2e]],0)/1000</f>
        <v>0</v>
      </c>
      <c r="AQ984" t="str">
        <f>_xlfn.TEXTAFTER(emissions[[#This Row],[Reporting Unit]]," &gt; ",LEN(emissions[[#This Row],[Reporting Unit]])-LEN(SUBSTITUTE(emissions[[#This Row],[Reporting Unit]],"&gt;","")))</f>
        <v>Vantage_Deerfield</v>
      </c>
      <c r="AR984" t="str">
        <f>_xlfn.XLOOKUP(emissions[[#This Row],[Reporting unit name]],hierarchy!$A:$A,hierarchy!$C:$C)</f>
        <v>Office</v>
      </c>
    </row>
    <row r="985" spans="1:44" hidden="1" x14ac:dyDescent="0.25">
      <c r="A985">
        <v>291418</v>
      </c>
      <c r="B985" t="s">
        <v>382</v>
      </c>
      <c r="C985" t="s">
        <v>501</v>
      </c>
      <c r="D985" t="s">
        <v>548</v>
      </c>
      <c r="E985" s="3">
        <v>44562</v>
      </c>
      <c r="F985" s="3">
        <v>44926</v>
      </c>
      <c r="G985" t="s">
        <v>108</v>
      </c>
      <c r="H985" s="3">
        <v>44562</v>
      </c>
      <c r="I985" s="3">
        <v>44926</v>
      </c>
      <c r="J985" t="s">
        <v>108</v>
      </c>
      <c r="K985">
        <v>57577</v>
      </c>
      <c r="L985" t="s">
        <v>109</v>
      </c>
      <c r="M985" t="s">
        <v>110</v>
      </c>
      <c r="O985" t="s">
        <v>864</v>
      </c>
      <c r="P985" t="s">
        <v>550</v>
      </c>
      <c r="Q985">
        <v>2022</v>
      </c>
      <c r="R985" t="s">
        <v>567</v>
      </c>
      <c r="S985" t="s">
        <v>568</v>
      </c>
      <c r="T985" t="s">
        <v>569</v>
      </c>
      <c r="U985" t="b">
        <v>0</v>
      </c>
      <c r="V985" t="s">
        <v>771</v>
      </c>
      <c r="W985" t="s">
        <v>571</v>
      </c>
      <c r="X985" t="s">
        <v>572</v>
      </c>
      <c r="Y985" t="s">
        <v>472</v>
      </c>
      <c r="Z985" t="s">
        <v>485</v>
      </c>
      <c r="AA985" t="s">
        <v>764</v>
      </c>
      <c r="AB985" t="s">
        <v>765</v>
      </c>
      <c r="AC985">
        <v>1</v>
      </c>
      <c r="AD985" t="s">
        <v>639</v>
      </c>
      <c r="AE985">
        <v>375.81105930000001</v>
      </c>
      <c r="AF985">
        <v>6.5271039999999997E-3</v>
      </c>
      <c r="AG985" t="s">
        <v>560</v>
      </c>
      <c r="AH985">
        <v>1</v>
      </c>
      <c r="AI985">
        <v>57577</v>
      </c>
      <c r="AJ985" t="s">
        <v>561</v>
      </c>
      <c r="AK985" t="s">
        <v>573</v>
      </c>
      <c r="AL985" t="s">
        <v>772</v>
      </c>
      <c r="AM985">
        <v>2022</v>
      </c>
      <c r="AN985">
        <v>2019</v>
      </c>
      <c r="AO985">
        <f>IF(AND(emissions[[#This Row],[Market-based]]=0,emissions[[#This Row],[Impact Type]]="CO2E"),emissions[[#This Row],[kgCO2e]],0)/1000</f>
        <v>0</v>
      </c>
      <c r="AP985">
        <f>IF(AND(emissions[[#This Row],[Market-based]]=1,OR(emissions[[#This Row],[Impact Type]]="CO2E",emissions[[#This Row],[Impact Type]]="CO2E MKT")),emissions[[#This Row],[kgCO2e]],0)/1000</f>
        <v>0.37581105930000003</v>
      </c>
      <c r="AQ985" t="str">
        <f>_xlfn.TEXTAFTER(emissions[[#This Row],[Reporting Unit]]," &gt; ",LEN(emissions[[#This Row],[Reporting Unit]])-LEN(SUBSTITUTE(emissions[[#This Row],[Reporting Unit]],"&gt;","")))</f>
        <v>Vantage_Deerfield</v>
      </c>
      <c r="AR985" t="str">
        <f>_xlfn.XLOOKUP(emissions[[#This Row],[Reporting unit name]],hierarchy!$A:$A,hierarchy!$C:$C)</f>
        <v>Office</v>
      </c>
    </row>
    <row r="986" spans="1:44" hidden="1" x14ac:dyDescent="0.25">
      <c r="A986">
        <v>291418</v>
      </c>
      <c r="B986" t="s">
        <v>382</v>
      </c>
      <c r="C986" t="s">
        <v>501</v>
      </c>
      <c r="D986" t="s">
        <v>548</v>
      </c>
      <c r="E986" s="3">
        <v>44562</v>
      </c>
      <c r="F986" s="3">
        <v>44926</v>
      </c>
      <c r="G986" t="s">
        <v>108</v>
      </c>
      <c r="H986" s="3">
        <v>44562</v>
      </c>
      <c r="I986" s="3">
        <v>44926</v>
      </c>
      <c r="J986" t="s">
        <v>108</v>
      </c>
      <c r="K986">
        <v>57577</v>
      </c>
      <c r="L986" t="s">
        <v>109</v>
      </c>
      <c r="M986" t="s">
        <v>110</v>
      </c>
      <c r="O986" t="s">
        <v>864</v>
      </c>
      <c r="P986" t="s">
        <v>550</v>
      </c>
      <c r="Q986">
        <v>2022</v>
      </c>
      <c r="R986" t="s">
        <v>575</v>
      </c>
      <c r="S986" t="s">
        <v>576</v>
      </c>
      <c r="T986" t="s">
        <v>577</v>
      </c>
      <c r="U986" t="b">
        <v>0</v>
      </c>
      <c r="V986" t="s">
        <v>773</v>
      </c>
      <c r="W986" t="s">
        <v>571</v>
      </c>
      <c r="X986" t="s">
        <v>572</v>
      </c>
      <c r="Y986" t="s">
        <v>472</v>
      </c>
      <c r="Z986" t="s">
        <v>485</v>
      </c>
      <c r="AA986" t="s">
        <v>764</v>
      </c>
      <c r="AB986" t="s">
        <v>765</v>
      </c>
      <c r="AC986">
        <v>0</v>
      </c>
      <c r="AD986" t="s">
        <v>565</v>
      </c>
      <c r="AE986">
        <v>7239.1359620000003</v>
      </c>
      <c r="AF986">
        <v>0.125729648</v>
      </c>
      <c r="AG986" t="s">
        <v>560</v>
      </c>
      <c r="AH986">
        <v>1</v>
      </c>
      <c r="AI986">
        <v>57577</v>
      </c>
      <c r="AJ986" t="s">
        <v>561</v>
      </c>
      <c r="AK986" t="s">
        <v>573</v>
      </c>
      <c r="AL986" t="s">
        <v>574</v>
      </c>
      <c r="AM986">
        <v>2022</v>
      </c>
      <c r="AN986">
        <v>2020</v>
      </c>
      <c r="AO986">
        <f>IF(AND(emissions[[#This Row],[Market-based]]=0,emissions[[#This Row],[Impact Type]]="CO2E"),emissions[[#This Row],[kgCO2e]],0)/1000</f>
        <v>7.2391359620000006</v>
      </c>
      <c r="AP986">
        <f>IF(AND(emissions[[#This Row],[Market-based]]=1,OR(emissions[[#This Row],[Impact Type]]="CO2E",emissions[[#This Row],[Impact Type]]="CO2E MKT")),emissions[[#This Row],[kgCO2e]],0)/1000</f>
        <v>0</v>
      </c>
      <c r="AQ986" t="str">
        <f>_xlfn.TEXTAFTER(emissions[[#This Row],[Reporting Unit]]," &gt; ",LEN(emissions[[#This Row],[Reporting Unit]])-LEN(SUBSTITUTE(emissions[[#This Row],[Reporting Unit]],"&gt;","")))</f>
        <v>Vantage_Deerfield</v>
      </c>
      <c r="AR986" t="str">
        <f>_xlfn.XLOOKUP(emissions[[#This Row],[Reporting unit name]],hierarchy!$A:$A,hierarchy!$C:$C)</f>
        <v>Office</v>
      </c>
    </row>
    <row r="987" spans="1:44" hidden="1" x14ac:dyDescent="0.25">
      <c r="A987">
        <v>291418</v>
      </c>
      <c r="B987" t="s">
        <v>382</v>
      </c>
      <c r="C987" t="s">
        <v>501</v>
      </c>
      <c r="D987" t="s">
        <v>548</v>
      </c>
      <c r="E987" s="3">
        <v>44562</v>
      </c>
      <c r="F987" s="3">
        <v>44926</v>
      </c>
      <c r="G987" t="s">
        <v>108</v>
      </c>
      <c r="H987" s="3">
        <v>44562</v>
      </c>
      <c r="I987" s="3">
        <v>44926</v>
      </c>
      <c r="J987" t="s">
        <v>108</v>
      </c>
      <c r="K987">
        <v>57577</v>
      </c>
      <c r="L987" t="s">
        <v>109</v>
      </c>
      <c r="M987" t="s">
        <v>110</v>
      </c>
      <c r="O987" t="s">
        <v>864</v>
      </c>
      <c r="P987" t="s">
        <v>550</v>
      </c>
      <c r="Q987">
        <v>2022</v>
      </c>
      <c r="R987" t="s">
        <v>575</v>
      </c>
      <c r="S987" t="s">
        <v>576</v>
      </c>
      <c r="T987" t="s">
        <v>577</v>
      </c>
      <c r="U987" t="b">
        <v>0</v>
      </c>
      <c r="V987" t="s">
        <v>774</v>
      </c>
      <c r="W987" t="s">
        <v>571</v>
      </c>
      <c r="X987" t="s">
        <v>572</v>
      </c>
      <c r="Y987" t="s">
        <v>472</v>
      </c>
      <c r="Z987" t="s">
        <v>485</v>
      </c>
      <c r="AA987" t="s">
        <v>764</v>
      </c>
      <c r="AB987" t="s">
        <v>765</v>
      </c>
      <c r="AC987">
        <v>1</v>
      </c>
      <c r="AD987" t="s">
        <v>639</v>
      </c>
      <c r="AE987">
        <v>7368.8443010000001</v>
      </c>
      <c r="AF987">
        <v>0.12798242900000001</v>
      </c>
      <c r="AG987" t="s">
        <v>560</v>
      </c>
      <c r="AH987">
        <v>1</v>
      </c>
      <c r="AI987">
        <v>57577</v>
      </c>
      <c r="AJ987" t="s">
        <v>561</v>
      </c>
      <c r="AK987" t="s">
        <v>573</v>
      </c>
      <c r="AL987" t="s">
        <v>775</v>
      </c>
      <c r="AM987">
        <v>2022</v>
      </c>
      <c r="AN987">
        <v>2019</v>
      </c>
      <c r="AO987">
        <f>IF(AND(emissions[[#This Row],[Market-based]]=0,emissions[[#This Row],[Impact Type]]="CO2E"),emissions[[#This Row],[kgCO2e]],0)/1000</f>
        <v>0</v>
      </c>
      <c r="AP987">
        <f>IF(AND(emissions[[#This Row],[Market-based]]=1,OR(emissions[[#This Row],[Impact Type]]="CO2E",emissions[[#This Row],[Impact Type]]="CO2E MKT")),emissions[[#This Row],[kgCO2e]],0)/1000</f>
        <v>7.3688443010000002</v>
      </c>
      <c r="AQ987" t="str">
        <f>_xlfn.TEXTAFTER(emissions[[#This Row],[Reporting Unit]]," &gt; ",LEN(emissions[[#This Row],[Reporting Unit]])-LEN(SUBSTITUTE(emissions[[#This Row],[Reporting Unit]],"&gt;","")))</f>
        <v>Vantage_Deerfield</v>
      </c>
      <c r="AR987" t="str">
        <f>_xlfn.XLOOKUP(emissions[[#This Row],[Reporting unit name]],hierarchy!$A:$A,hierarchy!$C:$C)</f>
        <v>Office</v>
      </c>
    </row>
    <row r="988" spans="1:44" hidden="1" x14ac:dyDescent="0.25">
      <c r="A988">
        <v>291418</v>
      </c>
      <c r="B988" t="s">
        <v>382</v>
      </c>
      <c r="C988" t="s">
        <v>501</v>
      </c>
      <c r="D988" t="s">
        <v>548</v>
      </c>
      <c r="E988" s="3">
        <v>44562</v>
      </c>
      <c r="F988" s="3">
        <v>44926</v>
      </c>
      <c r="G988" t="s">
        <v>108</v>
      </c>
      <c r="H988" s="3">
        <v>44562</v>
      </c>
      <c r="I988" s="3">
        <v>44926</v>
      </c>
      <c r="J988" t="s">
        <v>108</v>
      </c>
      <c r="K988">
        <v>57577</v>
      </c>
      <c r="L988" t="s">
        <v>109</v>
      </c>
      <c r="M988" t="s">
        <v>110</v>
      </c>
      <c r="O988" t="s">
        <v>864</v>
      </c>
      <c r="P988" t="s">
        <v>550</v>
      </c>
      <c r="Q988">
        <v>2022</v>
      </c>
      <c r="R988" t="s">
        <v>579</v>
      </c>
      <c r="S988" t="s">
        <v>580</v>
      </c>
      <c r="T988" t="s">
        <v>581</v>
      </c>
      <c r="U988" t="b">
        <v>0</v>
      </c>
      <c r="V988" t="s">
        <v>776</v>
      </c>
      <c r="W988" t="s">
        <v>571</v>
      </c>
      <c r="X988" t="s">
        <v>572</v>
      </c>
      <c r="Y988" t="s">
        <v>472</v>
      </c>
      <c r="Z988" t="s">
        <v>485</v>
      </c>
      <c r="AA988" t="s">
        <v>764</v>
      </c>
      <c r="AB988" t="s">
        <v>765</v>
      </c>
      <c r="AC988">
        <v>0</v>
      </c>
      <c r="AD988" t="s">
        <v>565</v>
      </c>
      <c r="AE988">
        <v>1371.305194</v>
      </c>
      <c r="AF988">
        <v>2.3816891999999999E-2</v>
      </c>
      <c r="AG988" t="s">
        <v>560</v>
      </c>
      <c r="AH988">
        <v>1</v>
      </c>
      <c r="AI988">
        <v>57577</v>
      </c>
      <c r="AJ988" t="s">
        <v>561</v>
      </c>
      <c r="AK988" t="s">
        <v>766</v>
      </c>
      <c r="AL988" t="s">
        <v>767</v>
      </c>
      <c r="AM988">
        <v>2022</v>
      </c>
      <c r="AN988">
        <v>2020</v>
      </c>
      <c r="AO988">
        <f>IF(AND(emissions[[#This Row],[Market-based]]=0,emissions[[#This Row],[Impact Type]]="CO2E"),emissions[[#This Row],[kgCO2e]],0)/1000</f>
        <v>1.3713051940000001</v>
      </c>
      <c r="AP988">
        <f>IF(AND(emissions[[#This Row],[Market-based]]=1,OR(emissions[[#This Row],[Impact Type]]="CO2E",emissions[[#This Row],[Impact Type]]="CO2E MKT")),emissions[[#This Row],[kgCO2e]],0)/1000</f>
        <v>0</v>
      </c>
      <c r="AQ988" t="str">
        <f>_xlfn.TEXTAFTER(emissions[[#This Row],[Reporting Unit]]," &gt; ",LEN(emissions[[#This Row],[Reporting Unit]])-LEN(SUBSTITUTE(emissions[[#This Row],[Reporting Unit]],"&gt;","")))</f>
        <v>Vantage_Deerfield</v>
      </c>
      <c r="AR988" t="str">
        <f>_xlfn.XLOOKUP(emissions[[#This Row],[Reporting unit name]],hierarchy!$A:$A,hierarchy!$C:$C)</f>
        <v>Office</v>
      </c>
    </row>
    <row r="989" spans="1:44" hidden="1" x14ac:dyDescent="0.25">
      <c r="A989">
        <v>291418</v>
      </c>
      <c r="B989" t="s">
        <v>382</v>
      </c>
      <c r="C989" t="s">
        <v>501</v>
      </c>
      <c r="D989" t="s">
        <v>548</v>
      </c>
      <c r="E989" s="3">
        <v>44562</v>
      </c>
      <c r="F989" s="3">
        <v>44926</v>
      </c>
      <c r="G989" t="s">
        <v>108</v>
      </c>
      <c r="H989" s="3">
        <v>44562</v>
      </c>
      <c r="I989" s="3">
        <v>44926</v>
      </c>
      <c r="J989" t="s">
        <v>108</v>
      </c>
      <c r="K989">
        <v>57577</v>
      </c>
      <c r="L989" t="s">
        <v>109</v>
      </c>
      <c r="M989" t="s">
        <v>110</v>
      </c>
      <c r="O989" t="s">
        <v>864</v>
      </c>
      <c r="P989" t="s">
        <v>550</v>
      </c>
      <c r="Q989">
        <v>2022</v>
      </c>
      <c r="R989" t="s">
        <v>579</v>
      </c>
      <c r="S989" t="s">
        <v>580</v>
      </c>
      <c r="T989" t="s">
        <v>581</v>
      </c>
      <c r="U989" t="b">
        <v>0</v>
      </c>
      <c r="V989" t="s">
        <v>777</v>
      </c>
      <c r="W989" t="s">
        <v>571</v>
      </c>
      <c r="X989" t="s">
        <v>572</v>
      </c>
      <c r="Y989" t="s">
        <v>472</v>
      </c>
      <c r="Z989" t="s">
        <v>485</v>
      </c>
      <c r="AA989" t="s">
        <v>764</v>
      </c>
      <c r="AB989" t="s">
        <v>765</v>
      </c>
      <c r="AC989">
        <v>1</v>
      </c>
      <c r="AD989" t="s">
        <v>639</v>
      </c>
      <c r="AE989">
        <v>1422.606098</v>
      </c>
      <c r="AF989">
        <v>2.4707889E-2</v>
      </c>
      <c r="AG989" t="s">
        <v>560</v>
      </c>
      <c r="AH989">
        <v>1</v>
      </c>
      <c r="AI989">
        <v>57577</v>
      </c>
      <c r="AJ989" t="s">
        <v>561</v>
      </c>
      <c r="AK989" t="s">
        <v>573</v>
      </c>
      <c r="AL989" t="s">
        <v>778</v>
      </c>
      <c r="AM989">
        <v>2022</v>
      </c>
      <c r="AN989">
        <v>2019</v>
      </c>
      <c r="AO989">
        <f>IF(AND(emissions[[#This Row],[Market-based]]=0,emissions[[#This Row],[Impact Type]]="CO2E"),emissions[[#This Row],[kgCO2e]],0)/1000</f>
        <v>0</v>
      </c>
      <c r="AP989">
        <f>IF(AND(emissions[[#This Row],[Market-based]]=1,OR(emissions[[#This Row],[Impact Type]]="CO2E",emissions[[#This Row],[Impact Type]]="CO2E MKT")),emissions[[#This Row],[kgCO2e]],0)/1000</f>
        <v>1.4226060979999999</v>
      </c>
      <c r="AQ989" t="str">
        <f>_xlfn.TEXTAFTER(emissions[[#This Row],[Reporting Unit]]," &gt; ",LEN(emissions[[#This Row],[Reporting Unit]])-LEN(SUBSTITUTE(emissions[[#This Row],[Reporting Unit]],"&gt;","")))</f>
        <v>Vantage_Deerfield</v>
      </c>
      <c r="AR989" t="str">
        <f>_xlfn.XLOOKUP(emissions[[#This Row],[Reporting unit name]],hierarchy!$A:$A,hierarchy!$C:$C)</f>
        <v>Office</v>
      </c>
    </row>
    <row r="990" spans="1:44" hidden="1" x14ac:dyDescent="0.25">
      <c r="A990">
        <v>1590443</v>
      </c>
      <c r="B990" t="s">
        <v>382</v>
      </c>
      <c r="C990" t="s">
        <v>501</v>
      </c>
      <c r="D990" t="s">
        <v>548</v>
      </c>
      <c r="E990" s="3">
        <v>44562</v>
      </c>
      <c r="F990" s="3">
        <v>44926</v>
      </c>
      <c r="G990" t="s">
        <v>135</v>
      </c>
      <c r="H990" s="3">
        <v>44562</v>
      </c>
      <c r="I990" s="3">
        <v>44926</v>
      </c>
      <c r="J990" t="s">
        <v>135</v>
      </c>
      <c r="K990">
        <v>4735.2239280000003</v>
      </c>
      <c r="L990" t="s">
        <v>136</v>
      </c>
      <c r="M990" t="s">
        <v>82</v>
      </c>
      <c r="N990" t="s">
        <v>137</v>
      </c>
      <c r="O990" t="s">
        <v>631</v>
      </c>
      <c r="P990" t="s">
        <v>631</v>
      </c>
      <c r="Q990">
        <v>2022</v>
      </c>
      <c r="R990" t="s">
        <v>605</v>
      </c>
      <c r="S990" t="s">
        <v>606</v>
      </c>
      <c r="T990" t="s">
        <v>553</v>
      </c>
      <c r="U990" t="b">
        <v>0</v>
      </c>
      <c r="V990" t="s">
        <v>781</v>
      </c>
      <c r="W990" t="s">
        <v>587</v>
      </c>
      <c r="X990" t="s">
        <v>556</v>
      </c>
      <c r="Y990" t="s">
        <v>472</v>
      </c>
      <c r="Z990" t="s">
        <v>485</v>
      </c>
      <c r="AA990" t="s">
        <v>764</v>
      </c>
      <c r="AC990">
        <v>0</v>
      </c>
      <c r="AD990" t="s">
        <v>558</v>
      </c>
      <c r="AE990">
        <v>11.83805982</v>
      </c>
      <c r="AF990">
        <v>2.5000000000000001E-2</v>
      </c>
      <c r="AG990" t="s">
        <v>798</v>
      </c>
      <c r="AH990">
        <v>0.1</v>
      </c>
      <c r="AI990">
        <v>473.52239279999998</v>
      </c>
      <c r="AJ990" t="s">
        <v>561</v>
      </c>
      <c r="AK990" t="s">
        <v>766</v>
      </c>
      <c r="AL990" t="s">
        <v>787</v>
      </c>
      <c r="AM990">
        <v>2022</v>
      </c>
      <c r="AN990">
        <v>2021</v>
      </c>
      <c r="AO990">
        <f>IF(AND(emissions[[#This Row],[Market-based]]=0,emissions[[#This Row],[Impact Type]]="CO2E"),emissions[[#This Row],[kgCO2e]],0)/1000</f>
        <v>0</v>
      </c>
      <c r="AP990">
        <f>IF(AND(emissions[[#This Row],[Market-based]]=1,OR(emissions[[#This Row],[Impact Type]]="CO2E",emissions[[#This Row],[Impact Type]]="CO2E MKT")),emissions[[#This Row],[kgCO2e]],0)/1000</f>
        <v>0</v>
      </c>
      <c r="AQ990" t="str">
        <f>_xlfn.TEXTAFTER(emissions[[#This Row],[Reporting Unit]]," &gt; ",LEN(emissions[[#This Row],[Reporting Unit]])-LEN(SUBSTITUTE(emissions[[#This Row],[Reporting Unit]],"&gt;","")))</f>
        <v>Vantage_Deerfield</v>
      </c>
      <c r="AR990" t="str">
        <f>_xlfn.XLOOKUP(emissions[[#This Row],[Reporting unit name]],hierarchy!$A:$A,hierarchy!$C:$C)</f>
        <v>Office</v>
      </c>
    </row>
    <row r="991" spans="1:44" hidden="1" x14ac:dyDescent="0.25">
      <c r="A991">
        <v>1590443</v>
      </c>
      <c r="B991" t="s">
        <v>382</v>
      </c>
      <c r="C991" t="s">
        <v>501</v>
      </c>
      <c r="D991" t="s">
        <v>548</v>
      </c>
      <c r="E991" s="3">
        <v>44562</v>
      </c>
      <c r="F991" s="3">
        <v>44926</v>
      </c>
      <c r="G991" t="s">
        <v>135</v>
      </c>
      <c r="H991" s="3">
        <v>44562</v>
      </c>
      <c r="I991" s="3">
        <v>44926</v>
      </c>
      <c r="J991" t="s">
        <v>135</v>
      </c>
      <c r="K991">
        <v>4735.2239280000003</v>
      </c>
      <c r="L991" t="s">
        <v>136</v>
      </c>
      <c r="M991" t="s">
        <v>82</v>
      </c>
      <c r="N991" t="s">
        <v>137</v>
      </c>
      <c r="O991" t="s">
        <v>631</v>
      </c>
      <c r="P991" t="s">
        <v>631</v>
      </c>
      <c r="Q991">
        <v>2022</v>
      </c>
      <c r="R991" t="s">
        <v>605</v>
      </c>
      <c r="S991" t="s">
        <v>606</v>
      </c>
      <c r="T991" t="s">
        <v>553</v>
      </c>
      <c r="U991" t="b">
        <v>0</v>
      </c>
      <c r="V991" t="s">
        <v>781</v>
      </c>
      <c r="W991" t="s">
        <v>587</v>
      </c>
      <c r="X991" t="s">
        <v>556</v>
      </c>
      <c r="Y991" t="s">
        <v>472</v>
      </c>
      <c r="Z991" t="s">
        <v>485</v>
      </c>
      <c r="AA991" t="s">
        <v>764</v>
      </c>
      <c r="AC991">
        <v>0</v>
      </c>
      <c r="AD991" t="s">
        <v>564</v>
      </c>
      <c r="AE991">
        <v>25125.098160000001</v>
      </c>
      <c r="AF991">
        <v>53.06</v>
      </c>
      <c r="AG991" t="s">
        <v>798</v>
      </c>
      <c r="AH991">
        <v>0.1</v>
      </c>
      <c r="AI991">
        <v>473.52239279999998</v>
      </c>
      <c r="AJ991" t="s">
        <v>561</v>
      </c>
      <c r="AK991" t="s">
        <v>766</v>
      </c>
      <c r="AL991" t="s">
        <v>767</v>
      </c>
      <c r="AM991">
        <v>2022</v>
      </c>
      <c r="AN991">
        <v>2022</v>
      </c>
      <c r="AO991">
        <f>IF(AND(emissions[[#This Row],[Market-based]]=0,emissions[[#This Row],[Impact Type]]="CO2E"),emissions[[#This Row],[kgCO2e]],0)/1000</f>
        <v>0</v>
      </c>
      <c r="AP991">
        <f>IF(AND(emissions[[#This Row],[Market-based]]=1,OR(emissions[[#This Row],[Impact Type]]="CO2E",emissions[[#This Row],[Impact Type]]="CO2E MKT")),emissions[[#This Row],[kgCO2e]],0)/1000</f>
        <v>0</v>
      </c>
      <c r="AQ991" t="str">
        <f>_xlfn.TEXTAFTER(emissions[[#This Row],[Reporting Unit]]," &gt; ",LEN(emissions[[#This Row],[Reporting Unit]])-LEN(SUBSTITUTE(emissions[[#This Row],[Reporting Unit]],"&gt;","")))</f>
        <v>Vantage_Deerfield</v>
      </c>
      <c r="AR991" t="str">
        <f>_xlfn.XLOOKUP(emissions[[#This Row],[Reporting unit name]],hierarchy!$A:$A,hierarchy!$C:$C)</f>
        <v>Office</v>
      </c>
    </row>
    <row r="992" spans="1:44" hidden="1" x14ac:dyDescent="0.25">
      <c r="A992">
        <v>1590443</v>
      </c>
      <c r="B992" t="s">
        <v>382</v>
      </c>
      <c r="C992" t="s">
        <v>501</v>
      </c>
      <c r="D992" t="s">
        <v>548</v>
      </c>
      <c r="E992" s="3">
        <v>44562</v>
      </c>
      <c r="F992" s="3">
        <v>44926</v>
      </c>
      <c r="G992" t="s">
        <v>135</v>
      </c>
      <c r="H992" s="3">
        <v>44562</v>
      </c>
      <c r="I992" s="3">
        <v>44926</v>
      </c>
      <c r="J992" t="s">
        <v>135</v>
      </c>
      <c r="K992">
        <v>4735.2239280000003</v>
      </c>
      <c r="L992" t="s">
        <v>136</v>
      </c>
      <c r="M992" t="s">
        <v>82</v>
      </c>
      <c r="N992" t="s">
        <v>137</v>
      </c>
      <c r="O992" t="s">
        <v>631</v>
      </c>
      <c r="P992" t="s">
        <v>631</v>
      </c>
      <c r="Q992">
        <v>2022</v>
      </c>
      <c r="R992" t="s">
        <v>605</v>
      </c>
      <c r="S992" t="s">
        <v>606</v>
      </c>
      <c r="T992" t="s">
        <v>553</v>
      </c>
      <c r="U992" t="b">
        <v>0</v>
      </c>
      <c r="V992" t="s">
        <v>781</v>
      </c>
      <c r="W992" t="s">
        <v>587</v>
      </c>
      <c r="X992" t="s">
        <v>556</v>
      </c>
      <c r="Y992" t="s">
        <v>472</v>
      </c>
      <c r="Z992" t="s">
        <v>485</v>
      </c>
      <c r="AA992" t="s">
        <v>764</v>
      </c>
      <c r="AC992">
        <v>0</v>
      </c>
      <c r="AD992" t="s">
        <v>565</v>
      </c>
      <c r="AE992">
        <v>25151.047190000001</v>
      </c>
      <c r="AF992">
        <v>53.114800000000002</v>
      </c>
      <c r="AG992" t="s">
        <v>798</v>
      </c>
      <c r="AH992">
        <v>0.1</v>
      </c>
      <c r="AI992">
        <v>473.52239279999998</v>
      </c>
      <c r="AJ992" t="s">
        <v>561</v>
      </c>
      <c r="AK992" t="s">
        <v>766</v>
      </c>
      <c r="AL992" t="s">
        <v>787</v>
      </c>
      <c r="AM992">
        <v>2022</v>
      </c>
      <c r="AN992">
        <v>2021</v>
      </c>
      <c r="AO992">
        <f>IF(AND(emissions[[#This Row],[Market-based]]=0,emissions[[#This Row],[Impact Type]]="CO2E"),emissions[[#This Row],[kgCO2e]],0)/1000</f>
        <v>25.15104719</v>
      </c>
      <c r="AP992">
        <f>IF(AND(emissions[[#This Row],[Market-based]]=1,OR(emissions[[#This Row],[Impact Type]]="CO2E",emissions[[#This Row],[Impact Type]]="CO2E MKT")),emissions[[#This Row],[kgCO2e]],0)/1000</f>
        <v>0</v>
      </c>
      <c r="AQ992" t="str">
        <f>_xlfn.TEXTAFTER(emissions[[#This Row],[Reporting Unit]]," &gt; ",LEN(emissions[[#This Row],[Reporting Unit]])-LEN(SUBSTITUTE(emissions[[#This Row],[Reporting Unit]],"&gt;","")))</f>
        <v>Vantage_Deerfield</v>
      </c>
      <c r="AR992" t="str">
        <f>_xlfn.XLOOKUP(emissions[[#This Row],[Reporting unit name]],hierarchy!$A:$A,hierarchy!$C:$C)</f>
        <v>Office</v>
      </c>
    </row>
    <row r="993" spans="1:44" hidden="1" x14ac:dyDescent="0.25">
      <c r="A993">
        <v>1590443</v>
      </c>
      <c r="B993" t="s">
        <v>382</v>
      </c>
      <c r="C993" t="s">
        <v>501</v>
      </c>
      <c r="D993" t="s">
        <v>548</v>
      </c>
      <c r="E993" s="3">
        <v>44562</v>
      </c>
      <c r="F993" s="3">
        <v>44926</v>
      </c>
      <c r="G993" t="s">
        <v>135</v>
      </c>
      <c r="H993" s="3">
        <v>44562</v>
      </c>
      <c r="I993" s="3">
        <v>44926</v>
      </c>
      <c r="J993" t="s">
        <v>135</v>
      </c>
      <c r="K993">
        <v>4735.2239280000003</v>
      </c>
      <c r="L993" t="s">
        <v>136</v>
      </c>
      <c r="M993" t="s">
        <v>82</v>
      </c>
      <c r="N993" t="s">
        <v>137</v>
      </c>
      <c r="O993" t="s">
        <v>631</v>
      </c>
      <c r="P993" t="s">
        <v>631</v>
      </c>
      <c r="Q993">
        <v>2022</v>
      </c>
      <c r="R993" t="s">
        <v>605</v>
      </c>
      <c r="S993" t="s">
        <v>606</v>
      </c>
      <c r="T993" t="s">
        <v>553</v>
      </c>
      <c r="U993" t="b">
        <v>0</v>
      </c>
      <c r="V993" t="s">
        <v>781</v>
      </c>
      <c r="W993" t="s">
        <v>587</v>
      </c>
      <c r="X993" t="s">
        <v>556</v>
      </c>
      <c r="Y993" t="s">
        <v>472</v>
      </c>
      <c r="Z993" t="s">
        <v>485</v>
      </c>
      <c r="AA993" t="s">
        <v>764</v>
      </c>
      <c r="AC993">
        <v>0</v>
      </c>
      <c r="AD993" t="s">
        <v>566</v>
      </c>
      <c r="AE993">
        <v>14.110967309999999</v>
      </c>
      <c r="AF993">
        <v>2.98E-2</v>
      </c>
      <c r="AG993" t="s">
        <v>798</v>
      </c>
      <c r="AH993">
        <v>0.1</v>
      </c>
      <c r="AI993">
        <v>473.52239279999998</v>
      </c>
      <c r="AJ993" t="s">
        <v>561</v>
      </c>
      <c r="AK993" t="s">
        <v>766</v>
      </c>
      <c r="AL993" t="s">
        <v>767</v>
      </c>
      <c r="AM993">
        <v>2022</v>
      </c>
      <c r="AN993">
        <v>2022</v>
      </c>
      <c r="AO993">
        <f>IF(AND(emissions[[#This Row],[Market-based]]=0,emissions[[#This Row],[Impact Type]]="CO2E"),emissions[[#This Row],[kgCO2e]],0)/1000</f>
        <v>0</v>
      </c>
      <c r="AP993">
        <f>IF(AND(emissions[[#This Row],[Market-based]]=1,OR(emissions[[#This Row],[Impact Type]]="CO2E",emissions[[#This Row],[Impact Type]]="CO2E MKT")),emissions[[#This Row],[kgCO2e]],0)/1000</f>
        <v>0</v>
      </c>
      <c r="AQ993" t="str">
        <f>_xlfn.TEXTAFTER(emissions[[#This Row],[Reporting Unit]]," &gt; ",LEN(emissions[[#This Row],[Reporting Unit]])-LEN(SUBSTITUTE(emissions[[#This Row],[Reporting Unit]],"&gt;","")))</f>
        <v>Vantage_Deerfield</v>
      </c>
      <c r="AR993" t="str">
        <f>_xlfn.XLOOKUP(emissions[[#This Row],[Reporting unit name]],hierarchy!$A:$A,hierarchy!$C:$C)</f>
        <v>Office</v>
      </c>
    </row>
    <row r="994" spans="1:44" hidden="1" x14ac:dyDescent="0.25">
      <c r="A994">
        <v>1590443</v>
      </c>
      <c r="B994" t="s">
        <v>382</v>
      </c>
      <c r="C994" t="s">
        <v>501</v>
      </c>
      <c r="D994" t="s">
        <v>548</v>
      </c>
      <c r="E994" s="3">
        <v>44562</v>
      </c>
      <c r="F994" s="3">
        <v>44926</v>
      </c>
      <c r="G994" t="s">
        <v>135</v>
      </c>
      <c r="H994" s="3">
        <v>44562</v>
      </c>
      <c r="I994" s="3">
        <v>44926</v>
      </c>
      <c r="J994" t="s">
        <v>135</v>
      </c>
      <c r="K994">
        <v>4735.2239280000003</v>
      </c>
      <c r="L994" t="s">
        <v>136</v>
      </c>
      <c r="M994" t="s">
        <v>82</v>
      </c>
      <c r="N994" t="s">
        <v>137</v>
      </c>
      <c r="O994" t="s">
        <v>631</v>
      </c>
      <c r="P994" t="s">
        <v>631</v>
      </c>
      <c r="Q994">
        <v>2022</v>
      </c>
      <c r="R994" t="s">
        <v>605</v>
      </c>
      <c r="S994" t="s">
        <v>606</v>
      </c>
      <c r="T994" t="s">
        <v>553</v>
      </c>
      <c r="U994" t="b">
        <v>0</v>
      </c>
      <c r="V994" t="s">
        <v>781</v>
      </c>
      <c r="W994" t="s">
        <v>587</v>
      </c>
      <c r="X994" t="s">
        <v>556</v>
      </c>
      <c r="Y994" t="s">
        <v>472</v>
      </c>
      <c r="Z994" t="s">
        <v>485</v>
      </c>
      <c r="AA994" t="s">
        <v>764</v>
      </c>
      <c r="AC994">
        <v>1</v>
      </c>
      <c r="AD994" t="s">
        <v>558</v>
      </c>
      <c r="AE994">
        <v>11.83805982</v>
      </c>
      <c r="AF994">
        <v>2.5000000000000001E-2</v>
      </c>
      <c r="AG994" t="s">
        <v>798</v>
      </c>
      <c r="AH994">
        <v>0.1</v>
      </c>
      <c r="AI994">
        <v>473.52239279999998</v>
      </c>
      <c r="AJ994" t="s">
        <v>561</v>
      </c>
      <c r="AK994" t="s">
        <v>766</v>
      </c>
      <c r="AL994" t="s">
        <v>787</v>
      </c>
      <c r="AM994">
        <v>2022</v>
      </c>
      <c r="AN994">
        <v>2021</v>
      </c>
      <c r="AO994">
        <f>IF(AND(emissions[[#This Row],[Market-based]]=0,emissions[[#This Row],[Impact Type]]="CO2E"),emissions[[#This Row],[kgCO2e]],0)/1000</f>
        <v>0</v>
      </c>
      <c r="AP994">
        <f>IF(AND(emissions[[#This Row],[Market-based]]=1,OR(emissions[[#This Row],[Impact Type]]="CO2E",emissions[[#This Row],[Impact Type]]="CO2E MKT")),emissions[[#This Row],[kgCO2e]],0)/1000</f>
        <v>0</v>
      </c>
      <c r="AQ994" t="str">
        <f>_xlfn.TEXTAFTER(emissions[[#This Row],[Reporting Unit]]," &gt; ",LEN(emissions[[#This Row],[Reporting Unit]])-LEN(SUBSTITUTE(emissions[[#This Row],[Reporting Unit]],"&gt;","")))</f>
        <v>Vantage_Deerfield</v>
      </c>
      <c r="AR994" t="str">
        <f>_xlfn.XLOOKUP(emissions[[#This Row],[Reporting unit name]],hierarchy!$A:$A,hierarchy!$C:$C)</f>
        <v>Office</v>
      </c>
    </row>
    <row r="995" spans="1:44" hidden="1" x14ac:dyDescent="0.25">
      <c r="A995">
        <v>1590443</v>
      </c>
      <c r="B995" t="s">
        <v>382</v>
      </c>
      <c r="C995" t="s">
        <v>501</v>
      </c>
      <c r="D995" t="s">
        <v>548</v>
      </c>
      <c r="E995" s="3">
        <v>44562</v>
      </c>
      <c r="F995" s="3">
        <v>44926</v>
      </c>
      <c r="G995" t="s">
        <v>135</v>
      </c>
      <c r="H995" s="3">
        <v>44562</v>
      </c>
      <c r="I995" s="3">
        <v>44926</v>
      </c>
      <c r="J995" t="s">
        <v>135</v>
      </c>
      <c r="K995">
        <v>4735.2239280000003</v>
      </c>
      <c r="L995" t="s">
        <v>136</v>
      </c>
      <c r="M995" t="s">
        <v>82</v>
      </c>
      <c r="N995" t="s">
        <v>137</v>
      </c>
      <c r="O995" t="s">
        <v>631</v>
      </c>
      <c r="P995" t="s">
        <v>631</v>
      </c>
      <c r="Q995">
        <v>2022</v>
      </c>
      <c r="R995" t="s">
        <v>605</v>
      </c>
      <c r="S995" t="s">
        <v>606</v>
      </c>
      <c r="T995" t="s">
        <v>553</v>
      </c>
      <c r="U995" t="b">
        <v>0</v>
      </c>
      <c r="V995" t="s">
        <v>781</v>
      </c>
      <c r="W995" t="s">
        <v>587</v>
      </c>
      <c r="X995" t="s">
        <v>556</v>
      </c>
      <c r="Y995" t="s">
        <v>472</v>
      </c>
      <c r="Z995" t="s">
        <v>485</v>
      </c>
      <c r="AA995" t="s">
        <v>764</v>
      </c>
      <c r="AC995">
        <v>1</v>
      </c>
      <c r="AD995" t="s">
        <v>564</v>
      </c>
      <c r="AE995">
        <v>25125.098160000001</v>
      </c>
      <c r="AF995">
        <v>53.06</v>
      </c>
      <c r="AG995" t="s">
        <v>798</v>
      </c>
      <c r="AH995">
        <v>0.1</v>
      </c>
      <c r="AI995">
        <v>473.52239279999998</v>
      </c>
      <c r="AJ995" t="s">
        <v>561</v>
      </c>
      <c r="AK995" t="s">
        <v>766</v>
      </c>
      <c r="AL995" t="s">
        <v>767</v>
      </c>
      <c r="AM995">
        <v>2022</v>
      </c>
      <c r="AN995">
        <v>2022</v>
      </c>
      <c r="AO995">
        <f>IF(AND(emissions[[#This Row],[Market-based]]=0,emissions[[#This Row],[Impact Type]]="CO2E"),emissions[[#This Row],[kgCO2e]],0)/1000</f>
        <v>0</v>
      </c>
      <c r="AP995">
        <f>IF(AND(emissions[[#This Row],[Market-based]]=1,OR(emissions[[#This Row],[Impact Type]]="CO2E",emissions[[#This Row],[Impact Type]]="CO2E MKT")),emissions[[#This Row],[kgCO2e]],0)/1000</f>
        <v>0</v>
      </c>
      <c r="AQ995" t="str">
        <f>_xlfn.TEXTAFTER(emissions[[#This Row],[Reporting Unit]]," &gt; ",LEN(emissions[[#This Row],[Reporting Unit]])-LEN(SUBSTITUTE(emissions[[#This Row],[Reporting Unit]],"&gt;","")))</f>
        <v>Vantage_Deerfield</v>
      </c>
      <c r="AR995" t="str">
        <f>_xlfn.XLOOKUP(emissions[[#This Row],[Reporting unit name]],hierarchy!$A:$A,hierarchy!$C:$C)</f>
        <v>Office</v>
      </c>
    </row>
    <row r="996" spans="1:44" hidden="1" x14ac:dyDescent="0.25">
      <c r="A996">
        <v>1590443</v>
      </c>
      <c r="B996" t="s">
        <v>382</v>
      </c>
      <c r="C996" t="s">
        <v>501</v>
      </c>
      <c r="D996" t="s">
        <v>548</v>
      </c>
      <c r="E996" s="3">
        <v>44562</v>
      </c>
      <c r="F996" s="3">
        <v>44926</v>
      </c>
      <c r="G996" t="s">
        <v>135</v>
      </c>
      <c r="H996" s="3">
        <v>44562</v>
      </c>
      <c r="I996" s="3">
        <v>44926</v>
      </c>
      <c r="J996" t="s">
        <v>135</v>
      </c>
      <c r="K996">
        <v>4735.2239280000003</v>
      </c>
      <c r="L996" t="s">
        <v>136</v>
      </c>
      <c r="M996" t="s">
        <v>82</v>
      </c>
      <c r="N996" t="s">
        <v>137</v>
      </c>
      <c r="O996" t="s">
        <v>631</v>
      </c>
      <c r="P996" t="s">
        <v>631</v>
      </c>
      <c r="Q996">
        <v>2022</v>
      </c>
      <c r="R996" t="s">
        <v>605</v>
      </c>
      <c r="S996" t="s">
        <v>606</v>
      </c>
      <c r="T996" t="s">
        <v>553</v>
      </c>
      <c r="U996" t="b">
        <v>0</v>
      </c>
      <c r="V996" t="s">
        <v>781</v>
      </c>
      <c r="W996" t="s">
        <v>587</v>
      </c>
      <c r="X996" t="s">
        <v>556</v>
      </c>
      <c r="Y996" t="s">
        <v>472</v>
      </c>
      <c r="Z996" t="s">
        <v>485</v>
      </c>
      <c r="AA996" t="s">
        <v>764</v>
      </c>
      <c r="AC996">
        <v>1</v>
      </c>
      <c r="AD996" t="s">
        <v>565</v>
      </c>
      <c r="AE996">
        <v>25151.047190000001</v>
      </c>
      <c r="AF996">
        <v>53.114800000000002</v>
      </c>
      <c r="AG996" t="s">
        <v>798</v>
      </c>
      <c r="AH996">
        <v>0.1</v>
      </c>
      <c r="AI996">
        <v>473.52239279999998</v>
      </c>
      <c r="AJ996" t="s">
        <v>561</v>
      </c>
      <c r="AK996" t="s">
        <v>766</v>
      </c>
      <c r="AL996" t="s">
        <v>787</v>
      </c>
      <c r="AM996">
        <v>2022</v>
      </c>
      <c r="AN996">
        <v>2021</v>
      </c>
      <c r="AO996">
        <f>IF(AND(emissions[[#This Row],[Market-based]]=0,emissions[[#This Row],[Impact Type]]="CO2E"),emissions[[#This Row],[kgCO2e]],0)/1000</f>
        <v>0</v>
      </c>
      <c r="AP996">
        <f>IF(AND(emissions[[#This Row],[Market-based]]=1,OR(emissions[[#This Row],[Impact Type]]="CO2E",emissions[[#This Row],[Impact Type]]="CO2E MKT")),emissions[[#This Row],[kgCO2e]],0)/1000</f>
        <v>25.15104719</v>
      </c>
      <c r="AQ996" t="str">
        <f>_xlfn.TEXTAFTER(emissions[[#This Row],[Reporting Unit]]," &gt; ",LEN(emissions[[#This Row],[Reporting Unit]])-LEN(SUBSTITUTE(emissions[[#This Row],[Reporting Unit]],"&gt;","")))</f>
        <v>Vantage_Deerfield</v>
      </c>
      <c r="AR996" t="str">
        <f>_xlfn.XLOOKUP(emissions[[#This Row],[Reporting unit name]],hierarchy!$A:$A,hierarchy!$C:$C)</f>
        <v>Office</v>
      </c>
    </row>
    <row r="997" spans="1:44" hidden="1" x14ac:dyDescent="0.25">
      <c r="A997">
        <v>1590443</v>
      </c>
      <c r="B997" t="s">
        <v>382</v>
      </c>
      <c r="C997" t="s">
        <v>501</v>
      </c>
      <c r="D997" t="s">
        <v>548</v>
      </c>
      <c r="E997" s="3">
        <v>44562</v>
      </c>
      <c r="F997" s="3">
        <v>44926</v>
      </c>
      <c r="G997" t="s">
        <v>135</v>
      </c>
      <c r="H997" s="3">
        <v>44562</v>
      </c>
      <c r="I997" s="3">
        <v>44926</v>
      </c>
      <c r="J997" t="s">
        <v>135</v>
      </c>
      <c r="K997">
        <v>4735.2239280000003</v>
      </c>
      <c r="L997" t="s">
        <v>136</v>
      </c>
      <c r="M997" t="s">
        <v>82</v>
      </c>
      <c r="N997" t="s">
        <v>137</v>
      </c>
      <c r="O997" t="s">
        <v>631</v>
      </c>
      <c r="P997" t="s">
        <v>631</v>
      </c>
      <c r="Q997">
        <v>2022</v>
      </c>
      <c r="R997" t="s">
        <v>605</v>
      </c>
      <c r="S997" t="s">
        <v>606</v>
      </c>
      <c r="T997" t="s">
        <v>553</v>
      </c>
      <c r="U997" t="b">
        <v>0</v>
      </c>
      <c r="V997" t="s">
        <v>781</v>
      </c>
      <c r="W997" t="s">
        <v>587</v>
      </c>
      <c r="X997" t="s">
        <v>556</v>
      </c>
      <c r="Y997" t="s">
        <v>472</v>
      </c>
      <c r="Z997" t="s">
        <v>485</v>
      </c>
      <c r="AA997" t="s">
        <v>764</v>
      </c>
      <c r="AC997">
        <v>1</v>
      </c>
      <c r="AD997" t="s">
        <v>566</v>
      </c>
      <c r="AE997">
        <v>14.110967309999999</v>
      </c>
      <c r="AF997">
        <v>2.98E-2</v>
      </c>
      <c r="AG997" t="s">
        <v>798</v>
      </c>
      <c r="AH997">
        <v>0.1</v>
      </c>
      <c r="AI997">
        <v>473.52239279999998</v>
      </c>
      <c r="AJ997" t="s">
        <v>561</v>
      </c>
      <c r="AK997" t="s">
        <v>766</v>
      </c>
      <c r="AL997" t="s">
        <v>767</v>
      </c>
      <c r="AM997">
        <v>2022</v>
      </c>
      <c r="AN997">
        <v>2022</v>
      </c>
      <c r="AO997">
        <f>IF(AND(emissions[[#This Row],[Market-based]]=0,emissions[[#This Row],[Impact Type]]="CO2E"),emissions[[#This Row],[kgCO2e]],0)/1000</f>
        <v>0</v>
      </c>
      <c r="AP997">
        <f>IF(AND(emissions[[#This Row],[Market-based]]=1,OR(emissions[[#This Row],[Impact Type]]="CO2E",emissions[[#This Row],[Impact Type]]="CO2E MKT")),emissions[[#This Row],[kgCO2e]],0)/1000</f>
        <v>0</v>
      </c>
      <c r="AQ997" t="str">
        <f>_xlfn.TEXTAFTER(emissions[[#This Row],[Reporting Unit]]," &gt; ",LEN(emissions[[#This Row],[Reporting Unit]])-LEN(SUBSTITUTE(emissions[[#This Row],[Reporting Unit]],"&gt;","")))</f>
        <v>Vantage_Deerfield</v>
      </c>
      <c r="AR997" t="str">
        <f>_xlfn.XLOOKUP(emissions[[#This Row],[Reporting unit name]],hierarchy!$A:$A,hierarchy!$C:$C)</f>
        <v>Office</v>
      </c>
    </row>
    <row r="998" spans="1:44" hidden="1" x14ac:dyDescent="0.25">
      <c r="A998">
        <v>1590443</v>
      </c>
      <c r="B998" t="s">
        <v>382</v>
      </c>
      <c r="C998" t="s">
        <v>501</v>
      </c>
      <c r="D998" t="s">
        <v>548</v>
      </c>
      <c r="E998" s="3">
        <v>44562</v>
      </c>
      <c r="F998" s="3">
        <v>44926</v>
      </c>
      <c r="G998" t="s">
        <v>135</v>
      </c>
      <c r="H998" s="3">
        <v>44562</v>
      </c>
      <c r="I998" s="3">
        <v>44926</v>
      </c>
      <c r="J998" t="s">
        <v>135</v>
      </c>
      <c r="K998">
        <v>4735.2239280000003</v>
      </c>
      <c r="L998" t="s">
        <v>136</v>
      </c>
      <c r="M998" t="s">
        <v>82</v>
      </c>
      <c r="N998" t="s">
        <v>137</v>
      </c>
      <c r="O998" t="s">
        <v>631</v>
      </c>
      <c r="P998" t="s">
        <v>631</v>
      </c>
      <c r="Q998">
        <v>2022</v>
      </c>
      <c r="R998" t="s">
        <v>609</v>
      </c>
      <c r="S998" t="s">
        <v>610</v>
      </c>
      <c r="T998" t="s">
        <v>577</v>
      </c>
      <c r="U998" t="b">
        <v>0</v>
      </c>
      <c r="V998" t="s">
        <v>632</v>
      </c>
      <c r="W998" t="s">
        <v>571</v>
      </c>
      <c r="X998" t="s">
        <v>572</v>
      </c>
      <c r="AC998">
        <v>0</v>
      </c>
      <c r="AD998" t="s">
        <v>565</v>
      </c>
      <c r="AE998">
        <v>4314.8928260000002</v>
      </c>
      <c r="AF998">
        <v>3.1099999999999999E-2</v>
      </c>
      <c r="AG998" t="s">
        <v>608</v>
      </c>
      <c r="AH998">
        <v>29.3001</v>
      </c>
      <c r="AI998">
        <v>138742.53460000001</v>
      </c>
      <c r="AJ998" t="s">
        <v>561</v>
      </c>
      <c r="AK998" t="s">
        <v>589</v>
      </c>
      <c r="AL998" t="s">
        <v>590</v>
      </c>
      <c r="AM998">
        <v>2022</v>
      </c>
      <c r="AN998">
        <v>2020</v>
      </c>
      <c r="AO998">
        <f>IF(AND(emissions[[#This Row],[Market-based]]=0,emissions[[#This Row],[Impact Type]]="CO2E"),emissions[[#This Row],[kgCO2e]],0)/1000</f>
        <v>4.3148928260000003</v>
      </c>
      <c r="AP998">
        <f>IF(AND(emissions[[#This Row],[Market-based]]=1,OR(emissions[[#This Row],[Impact Type]]="CO2E",emissions[[#This Row],[Impact Type]]="CO2E MKT")),emissions[[#This Row],[kgCO2e]],0)/1000</f>
        <v>0</v>
      </c>
      <c r="AQ998" t="str">
        <f>_xlfn.TEXTAFTER(emissions[[#This Row],[Reporting Unit]]," &gt; ",LEN(emissions[[#This Row],[Reporting Unit]])-LEN(SUBSTITUTE(emissions[[#This Row],[Reporting Unit]],"&gt;","")))</f>
        <v>Vantage_Deerfield</v>
      </c>
      <c r="AR998" t="str">
        <f>_xlfn.XLOOKUP(emissions[[#This Row],[Reporting unit name]],hierarchy!$A:$A,hierarchy!$C:$C)</f>
        <v>Office</v>
      </c>
    </row>
    <row r="999" spans="1:44" hidden="1" x14ac:dyDescent="0.25">
      <c r="A999">
        <v>1590443</v>
      </c>
      <c r="B999" t="s">
        <v>382</v>
      </c>
      <c r="C999" t="s">
        <v>501</v>
      </c>
      <c r="D999" t="s">
        <v>548</v>
      </c>
      <c r="E999" s="3">
        <v>44562</v>
      </c>
      <c r="F999" s="3">
        <v>44926</v>
      </c>
      <c r="G999" t="s">
        <v>135</v>
      </c>
      <c r="H999" s="3">
        <v>44562</v>
      </c>
      <c r="I999" s="3">
        <v>44926</v>
      </c>
      <c r="J999" t="s">
        <v>135</v>
      </c>
      <c r="K999">
        <v>4735.2239280000003</v>
      </c>
      <c r="L999" t="s">
        <v>136</v>
      </c>
      <c r="M999" t="s">
        <v>82</v>
      </c>
      <c r="N999" t="s">
        <v>137</v>
      </c>
      <c r="O999" t="s">
        <v>631</v>
      </c>
      <c r="P999" t="s">
        <v>631</v>
      </c>
      <c r="Q999">
        <v>2022</v>
      </c>
      <c r="R999" t="s">
        <v>609</v>
      </c>
      <c r="S999" t="s">
        <v>610</v>
      </c>
      <c r="T999" t="s">
        <v>577</v>
      </c>
      <c r="U999" t="b">
        <v>0</v>
      </c>
      <c r="V999" t="s">
        <v>632</v>
      </c>
      <c r="W999" t="s">
        <v>571</v>
      </c>
      <c r="X999" t="s">
        <v>572</v>
      </c>
      <c r="AC999">
        <v>1</v>
      </c>
      <c r="AD999" t="s">
        <v>565</v>
      </c>
      <c r="AE999">
        <v>4314.8928260000002</v>
      </c>
      <c r="AF999">
        <v>3.1099999999999999E-2</v>
      </c>
      <c r="AG999" t="s">
        <v>608</v>
      </c>
      <c r="AH999">
        <v>29.3001</v>
      </c>
      <c r="AI999">
        <v>138742.53460000001</v>
      </c>
      <c r="AJ999" t="s">
        <v>561</v>
      </c>
      <c r="AK999" t="s">
        <v>589</v>
      </c>
      <c r="AL999" t="s">
        <v>590</v>
      </c>
      <c r="AM999">
        <v>2022</v>
      </c>
      <c r="AN999">
        <v>2020</v>
      </c>
      <c r="AO999">
        <f>IF(AND(emissions[[#This Row],[Market-based]]=0,emissions[[#This Row],[Impact Type]]="CO2E"),emissions[[#This Row],[kgCO2e]],0)/1000</f>
        <v>0</v>
      </c>
      <c r="AP999">
        <f>IF(AND(emissions[[#This Row],[Market-based]]=1,OR(emissions[[#This Row],[Impact Type]]="CO2E",emissions[[#This Row],[Impact Type]]="CO2E MKT")),emissions[[#This Row],[kgCO2e]],0)/1000</f>
        <v>4.3148928260000003</v>
      </c>
      <c r="AQ999" t="str">
        <f>_xlfn.TEXTAFTER(emissions[[#This Row],[Reporting Unit]]," &gt; ",LEN(emissions[[#This Row],[Reporting Unit]])-LEN(SUBSTITUTE(emissions[[#This Row],[Reporting Unit]],"&gt;","")))</f>
        <v>Vantage_Deerfield</v>
      </c>
      <c r="AR999" t="str">
        <f>_xlfn.XLOOKUP(emissions[[#This Row],[Reporting unit name]],hierarchy!$A:$A,hierarchy!$C:$C)</f>
        <v>Office</v>
      </c>
    </row>
    <row r="1000" spans="1:44" hidden="1" x14ac:dyDescent="0.25">
      <c r="A1000">
        <v>291420</v>
      </c>
      <c r="B1000" t="s">
        <v>382</v>
      </c>
      <c r="C1000" t="s">
        <v>501</v>
      </c>
      <c r="D1000" t="s">
        <v>548</v>
      </c>
      <c r="E1000" s="3">
        <v>44562</v>
      </c>
      <c r="F1000" s="3">
        <v>44926</v>
      </c>
      <c r="G1000" t="s">
        <v>141</v>
      </c>
      <c r="H1000" s="3">
        <v>44562</v>
      </c>
      <c r="I1000" s="3">
        <v>44926</v>
      </c>
      <c r="J1000" t="s">
        <v>147</v>
      </c>
      <c r="K1000">
        <v>0</v>
      </c>
      <c r="L1000" t="s">
        <v>154</v>
      </c>
      <c r="M1000" t="s">
        <v>110</v>
      </c>
      <c r="O1000" t="s">
        <v>865</v>
      </c>
      <c r="P1000" t="s">
        <v>550</v>
      </c>
      <c r="Q1000">
        <v>2022</v>
      </c>
      <c r="R1000" t="s">
        <v>584</v>
      </c>
      <c r="S1000" t="s">
        <v>585</v>
      </c>
      <c r="T1000" t="s">
        <v>553</v>
      </c>
      <c r="U1000" t="b">
        <v>0</v>
      </c>
      <c r="V1000" t="s">
        <v>785</v>
      </c>
      <c r="W1000" t="s">
        <v>587</v>
      </c>
      <c r="X1000" t="s">
        <v>556</v>
      </c>
      <c r="Y1000" t="s">
        <v>472</v>
      </c>
      <c r="Z1000" t="s">
        <v>485</v>
      </c>
      <c r="AA1000" t="s">
        <v>764</v>
      </c>
      <c r="AC1000">
        <v>0</v>
      </c>
      <c r="AD1000" t="s">
        <v>558</v>
      </c>
      <c r="AE1000">
        <v>0</v>
      </c>
      <c r="AF1000">
        <v>7.4999999999999997E-2</v>
      </c>
      <c r="AG1000" t="s">
        <v>798</v>
      </c>
      <c r="AH1000">
        <v>0</v>
      </c>
      <c r="AI1000">
        <v>0</v>
      </c>
      <c r="AJ1000" t="s">
        <v>561</v>
      </c>
      <c r="AK1000" t="s">
        <v>766</v>
      </c>
      <c r="AL1000" t="s">
        <v>767</v>
      </c>
      <c r="AM1000">
        <v>2022</v>
      </c>
      <c r="AN1000">
        <v>2022</v>
      </c>
      <c r="AO1000">
        <f>IF(AND(emissions[[#This Row],[Market-based]]=0,emissions[[#This Row],[Impact Type]]="CO2E"),emissions[[#This Row],[kgCO2e]],0)/1000</f>
        <v>0</v>
      </c>
      <c r="AP1000">
        <f>IF(AND(emissions[[#This Row],[Market-based]]=1,OR(emissions[[#This Row],[Impact Type]]="CO2E",emissions[[#This Row],[Impact Type]]="CO2E MKT")),emissions[[#This Row],[kgCO2e]],0)/1000</f>
        <v>0</v>
      </c>
      <c r="AQ1000" t="str">
        <f>_xlfn.TEXTAFTER(emissions[[#This Row],[Reporting Unit]]," &gt; ",LEN(emissions[[#This Row],[Reporting Unit]])-LEN(SUBSTITUTE(emissions[[#This Row],[Reporting Unit]],"&gt;","")))</f>
        <v>Vantage_Deerfield</v>
      </c>
      <c r="AR1000" t="str">
        <f>_xlfn.XLOOKUP(emissions[[#This Row],[Reporting unit name]],hierarchy!$A:$A,hierarchy!$C:$C)</f>
        <v>Office</v>
      </c>
    </row>
    <row r="1001" spans="1:44" hidden="1" x14ac:dyDescent="0.25">
      <c r="A1001">
        <v>291420</v>
      </c>
      <c r="B1001" t="s">
        <v>382</v>
      </c>
      <c r="C1001" t="s">
        <v>501</v>
      </c>
      <c r="D1001" t="s">
        <v>548</v>
      </c>
      <c r="E1001" s="3">
        <v>44562</v>
      </c>
      <c r="F1001" s="3">
        <v>44926</v>
      </c>
      <c r="G1001" t="s">
        <v>141</v>
      </c>
      <c r="H1001" s="3">
        <v>44562</v>
      </c>
      <c r="I1001" s="3">
        <v>44926</v>
      </c>
      <c r="J1001" t="s">
        <v>147</v>
      </c>
      <c r="K1001">
        <v>0</v>
      </c>
      <c r="L1001" t="s">
        <v>154</v>
      </c>
      <c r="M1001" t="s">
        <v>110</v>
      </c>
      <c r="O1001" t="s">
        <v>865</v>
      </c>
      <c r="P1001" t="s">
        <v>550</v>
      </c>
      <c r="Q1001">
        <v>2022</v>
      </c>
      <c r="R1001" t="s">
        <v>584</v>
      </c>
      <c r="S1001" t="s">
        <v>585</v>
      </c>
      <c r="T1001" t="s">
        <v>553</v>
      </c>
      <c r="U1001" t="b">
        <v>0</v>
      </c>
      <c r="V1001" t="s">
        <v>785</v>
      </c>
      <c r="W1001" t="s">
        <v>587</v>
      </c>
      <c r="X1001" t="s">
        <v>556</v>
      </c>
      <c r="Y1001" t="s">
        <v>472</v>
      </c>
      <c r="Z1001" t="s">
        <v>485</v>
      </c>
      <c r="AA1001" t="s">
        <v>764</v>
      </c>
      <c r="AC1001">
        <v>0</v>
      </c>
      <c r="AD1001" t="s">
        <v>564</v>
      </c>
      <c r="AE1001">
        <v>0</v>
      </c>
      <c r="AF1001">
        <v>73.959999999999994</v>
      </c>
      <c r="AG1001" t="s">
        <v>798</v>
      </c>
      <c r="AH1001">
        <v>0</v>
      </c>
      <c r="AI1001">
        <v>0</v>
      </c>
      <c r="AJ1001" t="s">
        <v>561</v>
      </c>
      <c r="AK1001" t="s">
        <v>766</v>
      </c>
      <c r="AL1001" t="s">
        <v>767</v>
      </c>
      <c r="AM1001">
        <v>2022</v>
      </c>
      <c r="AN1001">
        <v>2022</v>
      </c>
      <c r="AO1001">
        <f>IF(AND(emissions[[#This Row],[Market-based]]=0,emissions[[#This Row],[Impact Type]]="CO2E"),emissions[[#This Row],[kgCO2e]],0)/1000</f>
        <v>0</v>
      </c>
      <c r="AP1001">
        <f>IF(AND(emissions[[#This Row],[Market-based]]=1,OR(emissions[[#This Row],[Impact Type]]="CO2E",emissions[[#This Row],[Impact Type]]="CO2E MKT")),emissions[[#This Row],[kgCO2e]],0)/1000</f>
        <v>0</v>
      </c>
      <c r="AQ1001" t="str">
        <f>_xlfn.TEXTAFTER(emissions[[#This Row],[Reporting Unit]]," &gt; ",LEN(emissions[[#This Row],[Reporting Unit]])-LEN(SUBSTITUTE(emissions[[#This Row],[Reporting Unit]],"&gt;","")))</f>
        <v>Vantage_Deerfield</v>
      </c>
      <c r="AR1001" t="str">
        <f>_xlfn.XLOOKUP(emissions[[#This Row],[Reporting unit name]],hierarchy!$A:$A,hierarchy!$C:$C)</f>
        <v>Office</v>
      </c>
    </row>
    <row r="1002" spans="1:44" hidden="1" x14ac:dyDescent="0.25">
      <c r="A1002">
        <v>291420</v>
      </c>
      <c r="B1002" t="s">
        <v>382</v>
      </c>
      <c r="C1002" t="s">
        <v>501</v>
      </c>
      <c r="D1002" t="s">
        <v>548</v>
      </c>
      <c r="E1002" s="3">
        <v>44562</v>
      </c>
      <c r="F1002" s="3">
        <v>44926</v>
      </c>
      <c r="G1002" t="s">
        <v>141</v>
      </c>
      <c r="H1002" s="3">
        <v>44562</v>
      </c>
      <c r="I1002" s="3">
        <v>44926</v>
      </c>
      <c r="J1002" t="s">
        <v>147</v>
      </c>
      <c r="K1002">
        <v>0</v>
      </c>
      <c r="L1002" t="s">
        <v>154</v>
      </c>
      <c r="M1002" t="s">
        <v>110</v>
      </c>
      <c r="O1002" t="s">
        <v>865</v>
      </c>
      <c r="P1002" t="s">
        <v>550</v>
      </c>
      <c r="Q1002">
        <v>2022</v>
      </c>
      <c r="R1002" t="s">
        <v>584</v>
      </c>
      <c r="S1002" t="s">
        <v>585</v>
      </c>
      <c r="T1002" t="s">
        <v>553</v>
      </c>
      <c r="U1002" t="b">
        <v>0</v>
      </c>
      <c r="V1002" t="s">
        <v>785</v>
      </c>
      <c r="W1002" t="s">
        <v>587</v>
      </c>
      <c r="X1002" t="s">
        <v>556</v>
      </c>
      <c r="Y1002" t="s">
        <v>472</v>
      </c>
      <c r="Z1002" t="s">
        <v>485</v>
      </c>
      <c r="AA1002" t="s">
        <v>764</v>
      </c>
      <c r="AC1002">
        <v>0</v>
      </c>
      <c r="AD1002" t="s">
        <v>565</v>
      </c>
      <c r="AE1002">
        <v>0</v>
      </c>
      <c r="AF1002">
        <v>74.213800000000006</v>
      </c>
      <c r="AG1002" t="s">
        <v>798</v>
      </c>
      <c r="AH1002">
        <v>0</v>
      </c>
      <c r="AI1002">
        <v>0</v>
      </c>
      <c r="AJ1002" t="s">
        <v>561</v>
      </c>
      <c r="AK1002" t="s">
        <v>766</v>
      </c>
      <c r="AL1002" t="s">
        <v>787</v>
      </c>
      <c r="AM1002">
        <v>2022</v>
      </c>
      <c r="AN1002">
        <v>2021</v>
      </c>
      <c r="AO1002">
        <f>IF(AND(emissions[[#This Row],[Market-based]]=0,emissions[[#This Row],[Impact Type]]="CO2E"),emissions[[#This Row],[kgCO2e]],0)/1000</f>
        <v>0</v>
      </c>
      <c r="AP1002">
        <f>IF(AND(emissions[[#This Row],[Market-based]]=1,OR(emissions[[#This Row],[Impact Type]]="CO2E",emissions[[#This Row],[Impact Type]]="CO2E MKT")),emissions[[#This Row],[kgCO2e]],0)/1000</f>
        <v>0</v>
      </c>
      <c r="AQ1002" t="str">
        <f>_xlfn.TEXTAFTER(emissions[[#This Row],[Reporting Unit]]," &gt; ",LEN(emissions[[#This Row],[Reporting Unit]])-LEN(SUBSTITUTE(emissions[[#This Row],[Reporting Unit]],"&gt;","")))</f>
        <v>Vantage_Deerfield</v>
      </c>
      <c r="AR1002" t="str">
        <f>_xlfn.XLOOKUP(emissions[[#This Row],[Reporting unit name]],hierarchy!$A:$A,hierarchy!$C:$C)</f>
        <v>Office</v>
      </c>
    </row>
    <row r="1003" spans="1:44" hidden="1" x14ac:dyDescent="0.25">
      <c r="A1003">
        <v>291420</v>
      </c>
      <c r="B1003" t="s">
        <v>382</v>
      </c>
      <c r="C1003" t="s">
        <v>501</v>
      </c>
      <c r="D1003" t="s">
        <v>548</v>
      </c>
      <c r="E1003" s="3">
        <v>44562</v>
      </c>
      <c r="F1003" s="3">
        <v>44926</v>
      </c>
      <c r="G1003" t="s">
        <v>141</v>
      </c>
      <c r="H1003" s="3">
        <v>44562</v>
      </c>
      <c r="I1003" s="3">
        <v>44926</v>
      </c>
      <c r="J1003" t="s">
        <v>147</v>
      </c>
      <c r="K1003">
        <v>0</v>
      </c>
      <c r="L1003" t="s">
        <v>154</v>
      </c>
      <c r="M1003" t="s">
        <v>110</v>
      </c>
      <c r="O1003" t="s">
        <v>865</v>
      </c>
      <c r="P1003" t="s">
        <v>550</v>
      </c>
      <c r="Q1003">
        <v>2022</v>
      </c>
      <c r="R1003" t="s">
        <v>584</v>
      </c>
      <c r="S1003" t="s">
        <v>585</v>
      </c>
      <c r="T1003" t="s">
        <v>553</v>
      </c>
      <c r="U1003" t="b">
        <v>0</v>
      </c>
      <c r="V1003" t="s">
        <v>785</v>
      </c>
      <c r="W1003" t="s">
        <v>587</v>
      </c>
      <c r="X1003" t="s">
        <v>556</v>
      </c>
      <c r="Y1003" t="s">
        <v>472</v>
      </c>
      <c r="Z1003" t="s">
        <v>485</v>
      </c>
      <c r="AA1003" t="s">
        <v>764</v>
      </c>
      <c r="AC1003">
        <v>0</v>
      </c>
      <c r="AD1003" t="s">
        <v>566</v>
      </c>
      <c r="AE1003">
        <v>0</v>
      </c>
      <c r="AF1003">
        <v>0.17879999999999999</v>
      </c>
      <c r="AG1003" t="s">
        <v>798</v>
      </c>
      <c r="AH1003">
        <v>0</v>
      </c>
      <c r="AI1003">
        <v>0</v>
      </c>
      <c r="AJ1003" t="s">
        <v>561</v>
      </c>
      <c r="AK1003" t="s">
        <v>766</v>
      </c>
      <c r="AL1003" t="s">
        <v>767</v>
      </c>
      <c r="AM1003">
        <v>2022</v>
      </c>
      <c r="AN1003">
        <v>2022</v>
      </c>
      <c r="AO1003">
        <f>IF(AND(emissions[[#This Row],[Market-based]]=0,emissions[[#This Row],[Impact Type]]="CO2E"),emissions[[#This Row],[kgCO2e]],0)/1000</f>
        <v>0</v>
      </c>
      <c r="AP1003">
        <f>IF(AND(emissions[[#This Row],[Market-based]]=1,OR(emissions[[#This Row],[Impact Type]]="CO2E",emissions[[#This Row],[Impact Type]]="CO2E MKT")),emissions[[#This Row],[kgCO2e]],0)/1000</f>
        <v>0</v>
      </c>
      <c r="AQ1003" t="str">
        <f>_xlfn.TEXTAFTER(emissions[[#This Row],[Reporting Unit]]," &gt; ",LEN(emissions[[#This Row],[Reporting Unit]])-LEN(SUBSTITUTE(emissions[[#This Row],[Reporting Unit]],"&gt;","")))</f>
        <v>Vantage_Deerfield</v>
      </c>
      <c r="AR1003" t="str">
        <f>_xlfn.XLOOKUP(emissions[[#This Row],[Reporting unit name]],hierarchy!$A:$A,hierarchy!$C:$C)</f>
        <v>Office</v>
      </c>
    </row>
    <row r="1004" spans="1:44" hidden="1" x14ac:dyDescent="0.25">
      <c r="A1004">
        <v>291420</v>
      </c>
      <c r="B1004" t="s">
        <v>382</v>
      </c>
      <c r="C1004" t="s">
        <v>501</v>
      </c>
      <c r="D1004" t="s">
        <v>548</v>
      </c>
      <c r="E1004" s="3">
        <v>44562</v>
      </c>
      <c r="F1004" s="3">
        <v>44926</v>
      </c>
      <c r="G1004" t="s">
        <v>141</v>
      </c>
      <c r="H1004" s="3">
        <v>44562</v>
      </c>
      <c r="I1004" s="3">
        <v>44926</v>
      </c>
      <c r="J1004" t="s">
        <v>147</v>
      </c>
      <c r="K1004">
        <v>0</v>
      </c>
      <c r="L1004" t="s">
        <v>154</v>
      </c>
      <c r="M1004" t="s">
        <v>110</v>
      </c>
      <c r="O1004" t="s">
        <v>865</v>
      </c>
      <c r="P1004" t="s">
        <v>550</v>
      </c>
      <c r="Q1004">
        <v>2022</v>
      </c>
      <c r="R1004" t="s">
        <v>584</v>
      </c>
      <c r="S1004" t="s">
        <v>585</v>
      </c>
      <c r="T1004" t="s">
        <v>553</v>
      </c>
      <c r="U1004" t="b">
        <v>0</v>
      </c>
      <c r="V1004" t="s">
        <v>785</v>
      </c>
      <c r="W1004" t="s">
        <v>587</v>
      </c>
      <c r="X1004" t="s">
        <v>556</v>
      </c>
      <c r="Y1004" t="s">
        <v>472</v>
      </c>
      <c r="Z1004" t="s">
        <v>485</v>
      </c>
      <c r="AA1004" t="s">
        <v>764</v>
      </c>
      <c r="AC1004">
        <v>1</v>
      </c>
      <c r="AD1004" t="s">
        <v>558</v>
      </c>
      <c r="AE1004">
        <v>0</v>
      </c>
      <c r="AF1004">
        <v>7.4999999999999997E-2</v>
      </c>
      <c r="AG1004" t="s">
        <v>798</v>
      </c>
      <c r="AH1004">
        <v>0</v>
      </c>
      <c r="AI1004">
        <v>0</v>
      </c>
      <c r="AJ1004" t="s">
        <v>561</v>
      </c>
      <c r="AK1004" t="s">
        <v>766</v>
      </c>
      <c r="AL1004" t="s">
        <v>767</v>
      </c>
      <c r="AM1004">
        <v>2022</v>
      </c>
      <c r="AN1004">
        <v>2022</v>
      </c>
      <c r="AO1004">
        <f>IF(AND(emissions[[#This Row],[Market-based]]=0,emissions[[#This Row],[Impact Type]]="CO2E"),emissions[[#This Row],[kgCO2e]],0)/1000</f>
        <v>0</v>
      </c>
      <c r="AP1004">
        <f>IF(AND(emissions[[#This Row],[Market-based]]=1,OR(emissions[[#This Row],[Impact Type]]="CO2E",emissions[[#This Row],[Impact Type]]="CO2E MKT")),emissions[[#This Row],[kgCO2e]],0)/1000</f>
        <v>0</v>
      </c>
      <c r="AQ1004" t="str">
        <f>_xlfn.TEXTAFTER(emissions[[#This Row],[Reporting Unit]]," &gt; ",LEN(emissions[[#This Row],[Reporting Unit]])-LEN(SUBSTITUTE(emissions[[#This Row],[Reporting Unit]],"&gt;","")))</f>
        <v>Vantage_Deerfield</v>
      </c>
      <c r="AR1004" t="str">
        <f>_xlfn.XLOOKUP(emissions[[#This Row],[Reporting unit name]],hierarchy!$A:$A,hierarchy!$C:$C)</f>
        <v>Office</v>
      </c>
    </row>
    <row r="1005" spans="1:44" hidden="1" x14ac:dyDescent="0.25">
      <c r="A1005">
        <v>291420</v>
      </c>
      <c r="B1005" t="s">
        <v>382</v>
      </c>
      <c r="C1005" t="s">
        <v>501</v>
      </c>
      <c r="D1005" t="s">
        <v>548</v>
      </c>
      <c r="E1005" s="3">
        <v>44562</v>
      </c>
      <c r="F1005" s="3">
        <v>44926</v>
      </c>
      <c r="G1005" t="s">
        <v>141</v>
      </c>
      <c r="H1005" s="3">
        <v>44562</v>
      </c>
      <c r="I1005" s="3">
        <v>44926</v>
      </c>
      <c r="J1005" t="s">
        <v>147</v>
      </c>
      <c r="K1005">
        <v>0</v>
      </c>
      <c r="L1005" t="s">
        <v>154</v>
      </c>
      <c r="M1005" t="s">
        <v>110</v>
      </c>
      <c r="O1005" t="s">
        <v>865</v>
      </c>
      <c r="P1005" t="s">
        <v>550</v>
      </c>
      <c r="Q1005">
        <v>2022</v>
      </c>
      <c r="R1005" t="s">
        <v>584</v>
      </c>
      <c r="S1005" t="s">
        <v>585</v>
      </c>
      <c r="T1005" t="s">
        <v>553</v>
      </c>
      <c r="U1005" t="b">
        <v>0</v>
      </c>
      <c r="V1005" t="s">
        <v>785</v>
      </c>
      <c r="W1005" t="s">
        <v>587</v>
      </c>
      <c r="X1005" t="s">
        <v>556</v>
      </c>
      <c r="Y1005" t="s">
        <v>472</v>
      </c>
      <c r="Z1005" t="s">
        <v>485</v>
      </c>
      <c r="AA1005" t="s">
        <v>764</v>
      </c>
      <c r="AC1005">
        <v>1</v>
      </c>
      <c r="AD1005" t="s">
        <v>564</v>
      </c>
      <c r="AE1005">
        <v>0</v>
      </c>
      <c r="AF1005">
        <v>73.959999999999994</v>
      </c>
      <c r="AG1005" t="s">
        <v>798</v>
      </c>
      <c r="AH1005">
        <v>0</v>
      </c>
      <c r="AI1005">
        <v>0</v>
      </c>
      <c r="AJ1005" t="s">
        <v>561</v>
      </c>
      <c r="AK1005" t="s">
        <v>766</v>
      </c>
      <c r="AL1005" t="s">
        <v>767</v>
      </c>
      <c r="AM1005">
        <v>2022</v>
      </c>
      <c r="AN1005">
        <v>2022</v>
      </c>
      <c r="AO1005">
        <f>IF(AND(emissions[[#This Row],[Market-based]]=0,emissions[[#This Row],[Impact Type]]="CO2E"),emissions[[#This Row],[kgCO2e]],0)/1000</f>
        <v>0</v>
      </c>
      <c r="AP1005">
        <f>IF(AND(emissions[[#This Row],[Market-based]]=1,OR(emissions[[#This Row],[Impact Type]]="CO2E",emissions[[#This Row],[Impact Type]]="CO2E MKT")),emissions[[#This Row],[kgCO2e]],0)/1000</f>
        <v>0</v>
      </c>
      <c r="AQ1005" t="str">
        <f>_xlfn.TEXTAFTER(emissions[[#This Row],[Reporting Unit]]," &gt; ",LEN(emissions[[#This Row],[Reporting Unit]])-LEN(SUBSTITUTE(emissions[[#This Row],[Reporting Unit]],"&gt;","")))</f>
        <v>Vantage_Deerfield</v>
      </c>
      <c r="AR1005" t="str">
        <f>_xlfn.XLOOKUP(emissions[[#This Row],[Reporting unit name]],hierarchy!$A:$A,hierarchy!$C:$C)</f>
        <v>Office</v>
      </c>
    </row>
    <row r="1006" spans="1:44" hidden="1" x14ac:dyDescent="0.25">
      <c r="A1006">
        <v>291420</v>
      </c>
      <c r="B1006" t="s">
        <v>382</v>
      </c>
      <c r="C1006" t="s">
        <v>501</v>
      </c>
      <c r="D1006" t="s">
        <v>548</v>
      </c>
      <c r="E1006" s="3">
        <v>44562</v>
      </c>
      <c r="F1006" s="3">
        <v>44926</v>
      </c>
      <c r="G1006" t="s">
        <v>141</v>
      </c>
      <c r="H1006" s="3">
        <v>44562</v>
      </c>
      <c r="I1006" s="3">
        <v>44926</v>
      </c>
      <c r="J1006" t="s">
        <v>147</v>
      </c>
      <c r="K1006">
        <v>0</v>
      </c>
      <c r="L1006" t="s">
        <v>154</v>
      </c>
      <c r="M1006" t="s">
        <v>110</v>
      </c>
      <c r="O1006" t="s">
        <v>865</v>
      </c>
      <c r="P1006" t="s">
        <v>550</v>
      </c>
      <c r="Q1006">
        <v>2022</v>
      </c>
      <c r="R1006" t="s">
        <v>584</v>
      </c>
      <c r="S1006" t="s">
        <v>585</v>
      </c>
      <c r="T1006" t="s">
        <v>553</v>
      </c>
      <c r="U1006" t="b">
        <v>0</v>
      </c>
      <c r="V1006" t="s">
        <v>785</v>
      </c>
      <c r="W1006" t="s">
        <v>587</v>
      </c>
      <c r="X1006" t="s">
        <v>556</v>
      </c>
      <c r="Y1006" t="s">
        <v>472</v>
      </c>
      <c r="Z1006" t="s">
        <v>485</v>
      </c>
      <c r="AA1006" t="s">
        <v>764</v>
      </c>
      <c r="AC1006">
        <v>1</v>
      </c>
      <c r="AD1006" t="s">
        <v>565</v>
      </c>
      <c r="AE1006">
        <v>0</v>
      </c>
      <c r="AF1006">
        <v>74.213800000000006</v>
      </c>
      <c r="AG1006" t="s">
        <v>798</v>
      </c>
      <c r="AH1006">
        <v>0</v>
      </c>
      <c r="AI1006">
        <v>0</v>
      </c>
      <c r="AJ1006" t="s">
        <v>561</v>
      </c>
      <c r="AK1006" t="s">
        <v>766</v>
      </c>
      <c r="AL1006" t="s">
        <v>787</v>
      </c>
      <c r="AM1006">
        <v>2022</v>
      </c>
      <c r="AN1006">
        <v>2021</v>
      </c>
      <c r="AO1006">
        <f>IF(AND(emissions[[#This Row],[Market-based]]=0,emissions[[#This Row],[Impact Type]]="CO2E"),emissions[[#This Row],[kgCO2e]],0)/1000</f>
        <v>0</v>
      </c>
      <c r="AP1006">
        <f>IF(AND(emissions[[#This Row],[Market-based]]=1,OR(emissions[[#This Row],[Impact Type]]="CO2E",emissions[[#This Row],[Impact Type]]="CO2E MKT")),emissions[[#This Row],[kgCO2e]],0)/1000</f>
        <v>0</v>
      </c>
      <c r="AQ1006" t="str">
        <f>_xlfn.TEXTAFTER(emissions[[#This Row],[Reporting Unit]]," &gt; ",LEN(emissions[[#This Row],[Reporting Unit]])-LEN(SUBSTITUTE(emissions[[#This Row],[Reporting Unit]],"&gt;","")))</f>
        <v>Vantage_Deerfield</v>
      </c>
      <c r="AR1006" t="str">
        <f>_xlfn.XLOOKUP(emissions[[#This Row],[Reporting unit name]],hierarchy!$A:$A,hierarchy!$C:$C)</f>
        <v>Office</v>
      </c>
    </row>
    <row r="1007" spans="1:44" hidden="1" x14ac:dyDescent="0.25">
      <c r="A1007">
        <v>291420</v>
      </c>
      <c r="B1007" t="s">
        <v>382</v>
      </c>
      <c r="C1007" t="s">
        <v>501</v>
      </c>
      <c r="D1007" t="s">
        <v>548</v>
      </c>
      <c r="E1007" s="3">
        <v>44562</v>
      </c>
      <c r="F1007" s="3">
        <v>44926</v>
      </c>
      <c r="G1007" t="s">
        <v>141</v>
      </c>
      <c r="H1007" s="3">
        <v>44562</v>
      </c>
      <c r="I1007" s="3">
        <v>44926</v>
      </c>
      <c r="J1007" t="s">
        <v>147</v>
      </c>
      <c r="K1007">
        <v>0</v>
      </c>
      <c r="L1007" t="s">
        <v>154</v>
      </c>
      <c r="M1007" t="s">
        <v>110</v>
      </c>
      <c r="O1007" t="s">
        <v>865</v>
      </c>
      <c r="P1007" t="s">
        <v>550</v>
      </c>
      <c r="Q1007">
        <v>2022</v>
      </c>
      <c r="R1007" t="s">
        <v>584</v>
      </c>
      <c r="S1007" t="s">
        <v>585</v>
      </c>
      <c r="T1007" t="s">
        <v>553</v>
      </c>
      <c r="U1007" t="b">
        <v>0</v>
      </c>
      <c r="V1007" t="s">
        <v>785</v>
      </c>
      <c r="W1007" t="s">
        <v>587</v>
      </c>
      <c r="X1007" t="s">
        <v>556</v>
      </c>
      <c r="Y1007" t="s">
        <v>472</v>
      </c>
      <c r="Z1007" t="s">
        <v>485</v>
      </c>
      <c r="AA1007" t="s">
        <v>764</v>
      </c>
      <c r="AC1007">
        <v>1</v>
      </c>
      <c r="AD1007" t="s">
        <v>566</v>
      </c>
      <c r="AE1007">
        <v>0</v>
      </c>
      <c r="AF1007">
        <v>0.17879999999999999</v>
      </c>
      <c r="AG1007" t="s">
        <v>798</v>
      </c>
      <c r="AH1007">
        <v>0</v>
      </c>
      <c r="AI1007">
        <v>0</v>
      </c>
      <c r="AJ1007" t="s">
        <v>561</v>
      </c>
      <c r="AK1007" t="s">
        <v>766</v>
      </c>
      <c r="AL1007" t="s">
        <v>767</v>
      </c>
      <c r="AM1007">
        <v>2022</v>
      </c>
      <c r="AN1007">
        <v>2022</v>
      </c>
      <c r="AO1007">
        <f>IF(AND(emissions[[#This Row],[Market-based]]=0,emissions[[#This Row],[Impact Type]]="CO2E"),emissions[[#This Row],[kgCO2e]],0)/1000</f>
        <v>0</v>
      </c>
      <c r="AP1007">
        <f>IF(AND(emissions[[#This Row],[Market-based]]=1,OR(emissions[[#This Row],[Impact Type]]="CO2E",emissions[[#This Row],[Impact Type]]="CO2E MKT")),emissions[[#This Row],[kgCO2e]],0)/1000</f>
        <v>0</v>
      </c>
      <c r="AQ1007" t="str">
        <f>_xlfn.TEXTAFTER(emissions[[#This Row],[Reporting Unit]]," &gt; ",LEN(emissions[[#This Row],[Reporting Unit]])-LEN(SUBSTITUTE(emissions[[#This Row],[Reporting Unit]],"&gt;","")))</f>
        <v>Vantage_Deerfield</v>
      </c>
      <c r="AR1007" t="str">
        <f>_xlfn.XLOOKUP(emissions[[#This Row],[Reporting unit name]],hierarchy!$A:$A,hierarchy!$C:$C)</f>
        <v>Office</v>
      </c>
    </row>
    <row r="1008" spans="1:44" hidden="1" x14ac:dyDescent="0.25">
      <c r="A1008">
        <v>291420</v>
      </c>
      <c r="B1008" t="s">
        <v>382</v>
      </c>
      <c r="C1008" t="s">
        <v>501</v>
      </c>
      <c r="D1008" t="s">
        <v>548</v>
      </c>
      <c r="E1008" s="3">
        <v>44562</v>
      </c>
      <c r="F1008" s="3">
        <v>44926</v>
      </c>
      <c r="G1008" t="s">
        <v>141</v>
      </c>
      <c r="H1008" s="3">
        <v>44562</v>
      </c>
      <c r="I1008" s="3">
        <v>44926</v>
      </c>
      <c r="J1008" t="s">
        <v>147</v>
      </c>
      <c r="K1008">
        <v>0</v>
      </c>
      <c r="L1008" t="s">
        <v>154</v>
      </c>
      <c r="M1008" t="s">
        <v>110</v>
      </c>
      <c r="O1008" t="s">
        <v>865</v>
      </c>
      <c r="P1008" t="s">
        <v>550</v>
      </c>
      <c r="Q1008">
        <v>2022</v>
      </c>
      <c r="R1008" t="s">
        <v>591</v>
      </c>
      <c r="S1008" t="s">
        <v>592</v>
      </c>
      <c r="T1008" t="s">
        <v>577</v>
      </c>
      <c r="U1008" t="b">
        <v>0</v>
      </c>
      <c r="V1008" t="s">
        <v>593</v>
      </c>
      <c r="W1008" t="s">
        <v>571</v>
      </c>
      <c r="X1008" t="s">
        <v>572</v>
      </c>
      <c r="AC1008">
        <v>0</v>
      </c>
      <c r="AD1008" t="s">
        <v>565</v>
      </c>
      <c r="AE1008">
        <v>0</v>
      </c>
      <c r="AF1008">
        <v>5.7500000000000002E-2</v>
      </c>
      <c r="AG1008" t="s">
        <v>608</v>
      </c>
      <c r="AH1008">
        <v>2.8000000000000002E-7</v>
      </c>
      <c r="AI1008">
        <v>0</v>
      </c>
      <c r="AJ1008" t="s">
        <v>561</v>
      </c>
      <c r="AK1008" t="s">
        <v>589</v>
      </c>
      <c r="AL1008" t="s">
        <v>590</v>
      </c>
      <c r="AM1008">
        <v>2022</v>
      </c>
      <c r="AN1008">
        <v>2020</v>
      </c>
      <c r="AO1008">
        <f>IF(AND(emissions[[#This Row],[Market-based]]=0,emissions[[#This Row],[Impact Type]]="CO2E"),emissions[[#This Row],[kgCO2e]],0)/1000</f>
        <v>0</v>
      </c>
      <c r="AP1008">
        <f>IF(AND(emissions[[#This Row],[Market-based]]=1,OR(emissions[[#This Row],[Impact Type]]="CO2E",emissions[[#This Row],[Impact Type]]="CO2E MKT")),emissions[[#This Row],[kgCO2e]],0)/1000</f>
        <v>0</v>
      </c>
      <c r="AQ1008" t="str">
        <f>_xlfn.TEXTAFTER(emissions[[#This Row],[Reporting Unit]]," &gt; ",LEN(emissions[[#This Row],[Reporting Unit]])-LEN(SUBSTITUTE(emissions[[#This Row],[Reporting Unit]],"&gt;","")))</f>
        <v>Vantage_Deerfield</v>
      </c>
      <c r="AR1008" t="str">
        <f>_xlfn.XLOOKUP(emissions[[#This Row],[Reporting unit name]],hierarchy!$A:$A,hierarchy!$C:$C)</f>
        <v>Office</v>
      </c>
    </row>
    <row r="1009" spans="1:44" hidden="1" x14ac:dyDescent="0.25">
      <c r="A1009">
        <v>291420</v>
      </c>
      <c r="B1009" t="s">
        <v>382</v>
      </c>
      <c r="C1009" t="s">
        <v>501</v>
      </c>
      <c r="D1009" t="s">
        <v>548</v>
      </c>
      <c r="E1009" s="3">
        <v>44562</v>
      </c>
      <c r="F1009" s="3">
        <v>44926</v>
      </c>
      <c r="G1009" t="s">
        <v>141</v>
      </c>
      <c r="H1009" s="3">
        <v>44562</v>
      </c>
      <c r="I1009" s="3">
        <v>44926</v>
      </c>
      <c r="J1009" t="s">
        <v>147</v>
      </c>
      <c r="K1009">
        <v>0</v>
      </c>
      <c r="L1009" t="s">
        <v>154</v>
      </c>
      <c r="M1009" t="s">
        <v>110</v>
      </c>
      <c r="O1009" t="s">
        <v>865</v>
      </c>
      <c r="P1009" t="s">
        <v>550</v>
      </c>
      <c r="Q1009">
        <v>2022</v>
      </c>
      <c r="R1009" t="s">
        <v>591</v>
      </c>
      <c r="S1009" t="s">
        <v>592</v>
      </c>
      <c r="T1009" t="s">
        <v>577</v>
      </c>
      <c r="U1009" t="b">
        <v>0</v>
      </c>
      <c r="V1009" t="s">
        <v>593</v>
      </c>
      <c r="W1009" t="s">
        <v>571</v>
      </c>
      <c r="X1009" t="s">
        <v>572</v>
      </c>
      <c r="AC1009">
        <v>1</v>
      </c>
      <c r="AD1009" t="s">
        <v>565</v>
      </c>
      <c r="AE1009">
        <v>0</v>
      </c>
      <c r="AF1009">
        <v>5.7500000000000002E-2</v>
      </c>
      <c r="AG1009" t="s">
        <v>608</v>
      </c>
      <c r="AH1009">
        <v>2.8000000000000002E-7</v>
      </c>
      <c r="AI1009">
        <v>0</v>
      </c>
      <c r="AJ1009" t="s">
        <v>561</v>
      </c>
      <c r="AK1009" t="s">
        <v>589</v>
      </c>
      <c r="AL1009" t="s">
        <v>590</v>
      </c>
      <c r="AM1009">
        <v>2022</v>
      </c>
      <c r="AN1009">
        <v>2020</v>
      </c>
      <c r="AO1009">
        <f>IF(AND(emissions[[#This Row],[Market-based]]=0,emissions[[#This Row],[Impact Type]]="CO2E"),emissions[[#This Row],[kgCO2e]],0)/1000</f>
        <v>0</v>
      </c>
      <c r="AP1009">
        <f>IF(AND(emissions[[#This Row],[Market-based]]=1,OR(emissions[[#This Row],[Impact Type]]="CO2E",emissions[[#This Row],[Impact Type]]="CO2E MKT")),emissions[[#This Row],[kgCO2e]],0)/1000</f>
        <v>0</v>
      </c>
      <c r="AQ1009" t="str">
        <f>_xlfn.TEXTAFTER(emissions[[#This Row],[Reporting Unit]]," &gt; ",LEN(emissions[[#This Row],[Reporting Unit]])-LEN(SUBSTITUTE(emissions[[#This Row],[Reporting Unit]],"&gt;","")))</f>
        <v>Vantage_Deerfield</v>
      </c>
      <c r="AR1009" t="str">
        <f>_xlfn.XLOOKUP(emissions[[#This Row],[Reporting unit name]],hierarchy!$A:$A,hierarchy!$C:$C)</f>
        <v>Office</v>
      </c>
    </row>
    <row r="1010" spans="1:44" hidden="1" x14ac:dyDescent="0.25">
      <c r="A1010">
        <v>1590453</v>
      </c>
      <c r="B1010" t="s">
        <v>382</v>
      </c>
      <c r="C1010" t="s">
        <v>501</v>
      </c>
      <c r="D1010" t="s">
        <v>548</v>
      </c>
      <c r="E1010" s="3">
        <v>44562</v>
      </c>
      <c r="F1010" s="3">
        <v>44926</v>
      </c>
      <c r="G1010" t="s">
        <v>116</v>
      </c>
      <c r="H1010" s="3">
        <v>44562</v>
      </c>
      <c r="I1010" s="3">
        <v>44926</v>
      </c>
      <c r="J1010" t="s">
        <v>117</v>
      </c>
      <c r="K1010">
        <v>3.4441999999999999</v>
      </c>
      <c r="L1010" t="s">
        <v>118</v>
      </c>
      <c r="M1010" t="s">
        <v>82</v>
      </c>
      <c r="N1010" t="s">
        <v>120</v>
      </c>
      <c r="O1010" t="s">
        <v>631</v>
      </c>
      <c r="P1010" t="s">
        <v>631</v>
      </c>
      <c r="Q1010">
        <v>2022</v>
      </c>
      <c r="R1010" t="s">
        <v>619</v>
      </c>
      <c r="S1010" t="s">
        <v>620</v>
      </c>
      <c r="T1010" t="s">
        <v>553</v>
      </c>
      <c r="U1010" t="b">
        <v>0</v>
      </c>
      <c r="V1010" t="s">
        <v>621</v>
      </c>
      <c r="W1010" t="s">
        <v>587</v>
      </c>
      <c r="X1010" t="s">
        <v>556</v>
      </c>
      <c r="AC1010">
        <v>0</v>
      </c>
      <c r="AD1010" t="s">
        <v>565</v>
      </c>
      <c r="AE1010">
        <v>4925.2060000000001</v>
      </c>
      <c r="AF1010">
        <v>1430</v>
      </c>
      <c r="AG1010" t="s">
        <v>622</v>
      </c>
      <c r="AH1010">
        <v>1</v>
      </c>
      <c r="AI1010">
        <v>3.4441999999999999</v>
      </c>
      <c r="AJ1010" t="s">
        <v>561</v>
      </c>
      <c r="AK1010" t="s">
        <v>623</v>
      </c>
      <c r="AL1010" t="s">
        <v>624</v>
      </c>
      <c r="AM1010">
        <v>2022</v>
      </c>
      <c r="AN1010">
        <v>2007</v>
      </c>
      <c r="AO1010">
        <f>IF(AND(emissions[[#This Row],[Market-based]]=0,emissions[[#This Row],[Impact Type]]="CO2E"),emissions[[#This Row],[kgCO2e]],0)/1000</f>
        <v>4.9252060000000002</v>
      </c>
      <c r="AP1010">
        <f>IF(AND(emissions[[#This Row],[Market-based]]=1,OR(emissions[[#This Row],[Impact Type]]="CO2E",emissions[[#This Row],[Impact Type]]="CO2E MKT")),emissions[[#This Row],[kgCO2e]],0)/1000</f>
        <v>0</v>
      </c>
      <c r="AQ1010" t="str">
        <f>_xlfn.TEXTAFTER(emissions[[#This Row],[Reporting Unit]]," &gt; ",LEN(emissions[[#This Row],[Reporting Unit]])-LEN(SUBSTITUTE(emissions[[#This Row],[Reporting Unit]],"&gt;","")))</f>
        <v>Vantage_Deerfield</v>
      </c>
      <c r="AR1010" t="str">
        <f>_xlfn.XLOOKUP(emissions[[#This Row],[Reporting unit name]],hierarchy!$A:$A,hierarchy!$C:$C)</f>
        <v>Office</v>
      </c>
    </row>
    <row r="1011" spans="1:44" hidden="1" x14ac:dyDescent="0.25">
      <c r="A1011">
        <v>1590453</v>
      </c>
      <c r="B1011" t="s">
        <v>382</v>
      </c>
      <c r="C1011" t="s">
        <v>501</v>
      </c>
      <c r="D1011" t="s">
        <v>548</v>
      </c>
      <c r="E1011" s="3">
        <v>44562</v>
      </c>
      <c r="F1011" s="3">
        <v>44926</v>
      </c>
      <c r="G1011" t="s">
        <v>116</v>
      </c>
      <c r="H1011" s="3">
        <v>44562</v>
      </c>
      <c r="I1011" s="3">
        <v>44926</v>
      </c>
      <c r="J1011" t="s">
        <v>117</v>
      </c>
      <c r="K1011">
        <v>3.4441999999999999</v>
      </c>
      <c r="L1011" t="s">
        <v>118</v>
      </c>
      <c r="M1011" t="s">
        <v>82</v>
      </c>
      <c r="N1011" t="s">
        <v>120</v>
      </c>
      <c r="O1011" t="s">
        <v>631</v>
      </c>
      <c r="P1011" t="s">
        <v>631</v>
      </c>
      <c r="Q1011">
        <v>2022</v>
      </c>
      <c r="R1011" t="s">
        <v>619</v>
      </c>
      <c r="S1011" t="s">
        <v>620</v>
      </c>
      <c r="T1011" t="s">
        <v>553</v>
      </c>
      <c r="U1011" t="b">
        <v>0</v>
      </c>
      <c r="V1011" t="s">
        <v>621</v>
      </c>
      <c r="W1011" t="s">
        <v>587</v>
      </c>
      <c r="X1011" t="s">
        <v>556</v>
      </c>
      <c r="AC1011">
        <v>1</v>
      </c>
      <c r="AD1011" t="s">
        <v>565</v>
      </c>
      <c r="AE1011">
        <v>4925.2060000000001</v>
      </c>
      <c r="AF1011">
        <v>1430</v>
      </c>
      <c r="AG1011" t="s">
        <v>622</v>
      </c>
      <c r="AH1011">
        <v>1</v>
      </c>
      <c r="AI1011">
        <v>3.4441999999999999</v>
      </c>
      <c r="AJ1011" t="s">
        <v>561</v>
      </c>
      <c r="AK1011" t="s">
        <v>623</v>
      </c>
      <c r="AL1011" t="s">
        <v>624</v>
      </c>
      <c r="AM1011">
        <v>2022</v>
      </c>
      <c r="AN1011">
        <v>2007</v>
      </c>
      <c r="AO1011">
        <f>IF(AND(emissions[[#This Row],[Market-based]]=0,emissions[[#This Row],[Impact Type]]="CO2E"),emissions[[#This Row],[kgCO2e]],0)/1000</f>
        <v>0</v>
      </c>
      <c r="AP1011">
        <f>IF(AND(emissions[[#This Row],[Market-based]]=1,OR(emissions[[#This Row],[Impact Type]]="CO2E",emissions[[#This Row],[Impact Type]]="CO2E MKT")),emissions[[#This Row],[kgCO2e]],0)/1000</f>
        <v>4.9252060000000002</v>
      </c>
      <c r="AQ1011" t="str">
        <f>_xlfn.TEXTAFTER(emissions[[#This Row],[Reporting Unit]]," &gt; ",LEN(emissions[[#This Row],[Reporting Unit]])-LEN(SUBSTITUTE(emissions[[#This Row],[Reporting Unit]],"&gt;","")))</f>
        <v>Vantage_Deerfield</v>
      </c>
      <c r="AR1011" t="str">
        <f>_xlfn.XLOOKUP(emissions[[#This Row],[Reporting unit name]],hierarchy!$A:$A,hierarchy!$C:$C)</f>
        <v>Office</v>
      </c>
    </row>
    <row r="1012" spans="1:44" hidden="1" x14ac:dyDescent="0.25">
      <c r="A1012">
        <v>291422</v>
      </c>
      <c r="B1012" t="s">
        <v>382</v>
      </c>
      <c r="C1012" t="s">
        <v>501</v>
      </c>
      <c r="D1012" t="s">
        <v>548</v>
      </c>
      <c r="E1012" s="3">
        <v>44562</v>
      </c>
      <c r="F1012" s="3">
        <v>44926</v>
      </c>
      <c r="G1012" t="s">
        <v>121</v>
      </c>
      <c r="H1012" s="3">
        <v>44562</v>
      </c>
      <c r="I1012" s="3">
        <v>44926</v>
      </c>
      <c r="J1012" t="s">
        <v>150</v>
      </c>
      <c r="K1012">
        <v>0</v>
      </c>
      <c r="L1012" t="s">
        <v>386</v>
      </c>
      <c r="M1012" t="s">
        <v>110</v>
      </c>
      <c r="O1012" t="s">
        <v>865</v>
      </c>
      <c r="P1012" t="s">
        <v>550</v>
      </c>
      <c r="Q1012">
        <v>2022</v>
      </c>
      <c r="R1012" t="s">
        <v>594</v>
      </c>
      <c r="S1012" t="s">
        <v>150</v>
      </c>
      <c r="T1012" t="s">
        <v>553</v>
      </c>
      <c r="U1012" t="b">
        <v>0</v>
      </c>
      <c r="V1012" t="s">
        <v>789</v>
      </c>
      <c r="W1012" t="s">
        <v>587</v>
      </c>
      <c r="X1012" t="s">
        <v>556</v>
      </c>
      <c r="Y1012" t="s">
        <v>472</v>
      </c>
      <c r="Z1012" t="s">
        <v>485</v>
      </c>
      <c r="AA1012" t="s">
        <v>764</v>
      </c>
      <c r="AC1012">
        <v>0</v>
      </c>
      <c r="AD1012" t="s">
        <v>558</v>
      </c>
      <c r="AE1012">
        <v>0</v>
      </c>
      <c r="AF1012">
        <v>7.4999999999999997E-2</v>
      </c>
      <c r="AG1012" t="s">
        <v>798</v>
      </c>
      <c r="AH1012">
        <v>9.4782000000000004E-4</v>
      </c>
      <c r="AI1012">
        <v>0</v>
      </c>
      <c r="AJ1012" t="s">
        <v>561</v>
      </c>
      <c r="AK1012" t="s">
        <v>766</v>
      </c>
      <c r="AL1012" t="s">
        <v>767</v>
      </c>
      <c r="AM1012">
        <v>2022</v>
      </c>
      <c r="AN1012">
        <v>2022</v>
      </c>
      <c r="AO1012">
        <f>IF(AND(emissions[[#This Row],[Market-based]]=0,emissions[[#This Row],[Impact Type]]="CO2E"),emissions[[#This Row],[kgCO2e]],0)/1000</f>
        <v>0</v>
      </c>
      <c r="AP1012">
        <f>IF(AND(emissions[[#This Row],[Market-based]]=1,OR(emissions[[#This Row],[Impact Type]]="CO2E",emissions[[#This Row],[Impact Type]]="CO2E MKT")),emissions[[#This Row],[kgCO2e]],0)/1000</f>
        <v>0</v>
      </c>
      <c r="AQ1012" t="str">
        <f>_xlfn.TEXTAFTER(emissions[[#This Row],[Reporting Unit]]," &gt; ",LEN(emissions[[#This Row],[Reporting Unit]])-LEN(SUBSTITUTE(emissions[[#This Row],[Reporting Unit]],"&gt;","")))</f>
        <v>Vantage_Deerfield</v>
      </c>
      <c r="AR1012" t="str">
        <f>_xlfn.XLOOKUP(emissions[[#This Row],[Reporting unit name]],hierarchy!$A:$A,hierarchy!$C:$C)</f>
        <v>Office</v>
      </c>
    </row>
    <row r="1013" spans="1:44" hidden="1" x14ac:dyDescent="0.25">
      <c r="A1013">
        <v>291422</v>
      </c>
      <c r="B1013" t="s">
        <v>382</v>
      </c>
      <c r="C1013" t="s">
        <v>501</v>
      </c>
      <c r="D1013" t="s">
        <v>548</v>
      </c>
      <c r="E1013" s="3">
        <v>44562</v>
      </c>
      <c r="F1013" s="3">
        <v>44926</v>
      </c>
      <c r="G1013" t="s">
        <v>121</v>
      </c>
      <c r="H1013" s="3">
        <v>44562</v>
      </c>
      <c r="I1013" s="3">
        <v>44926</v>
      </c>
      <c r="J1013" t="s">
        <v>150</v>
      </c>
      <c r="K1013">
        <v>0</v>
      </c>
      <c r="L1013" t="s">
        <v>386</v>
      </c>
      <c r="M1013" t="s">
        <v>110</v>
      </c>
      <c r="O1013" t="s">
        <v>865</v>
      </c>
      <c r="P1013" t="s">
        <v>550</v>
      </c>
      <c r="Q1013">
        <v>2022</v>
      </c>
      <c r="R1013" t="s">
        <v>594</v>
      </c>
      <c r="S1013" t="s">
        <v>150</v>
      </c>
      <c r="T1013" t="s">
        <v>553</v>
      </c>
      <c r="U1013" t="b">
        <v>0</v>
      </c>
      <c r="V1013" t="s">
        <v>789</v>
      </c>
      <c r="W1013" t="s">
        <v>587</v>
      </c>
      <c r="X1013" t="s">
        <v>556</v>
      </c>
      <c r="Y1013" t="s">
        <v>472</v>
      </c>
      <c r="Z1013" t="s">
        <v>485</v>
      </c>
      <c r="AA1013" t="s">
        <v>764</v>
      </c>
      <c r="AC1013">
        <v>0</v>
      </c>
      <c r="AD1013" t="s">
        <v>564</v>
      </c>
      <c r="AE1013">
        <v>0</v>
      </c>
      <c r="AF1013">
        <v>62.87</v>
      </c>
      <c r="AG1013" t="s">
        <v>798</v>
      </c>
      <c r="AH1013">
        <v>9.4782000000000004E-4</v>
      </c>
      <c r="AI1013">
        <v>0</v>
      </c>
      <c r="AJ1013" t="s">
        <v>561</v>
      </c>
      <c r="AK1013" t="s">
        <v>766</v>
      </c>
      <c r="AL1013" t="s">
        <v>767</v>
      </c>
      <c r="AM1013">
        <v>2022</v>
      </c>
      <c r="AN1013">
        <v>2022</v>
      </c>
      <c r="AO1013">
        <f>IF(AND(emissions[[#This Row],[Market-based]]=0,emissions[[#This Row],[Impact Type]]="CO2E"),emissions[[#This Row],[kgCO2e]],0)/1000</f>
        <v>0</v>
      </c>
      <c r="AP1013">
        <f>IF(AND(emissions[[#This Row],[Market-based]]=1,OR(emissions[[#This Row],[Impact Type]]="CO2E",emissions[[#This Row],[Impact Type]]="CO2E MKT")),emissions[[#This Row],[kgCO2e]],0)/1000</f>
        <v>0</v>
      </c>
      <c r="AQ1013" t="str">
        <f>_xlfn.TEXTAFTER(emissions[[#This Row],[Reporting Unit]]," &gt; ",LEN(emissions[[#This Row],[Reporting Unit]])-LEN(SUBSTITUTE(emissions[[#This Row],[Reporting Unit]],"&gt;","")))</f>
        <v>Vantage_Deerfield</v>
      </c>
      <c r="AR1013" t="str">
        <f>_xlfn.XLOOKUP(emissions[[#This Row],[Reporting unit name]],hierarchy!$A:$A,hierarchy!$C:$C)</f>
        <v>Office</v>
      </c>
    </row>
    <row r="1014" spans="1:44" hidden="1" x14ac:dyDescent="0.25">
      <c r="A1014">
        <v>291422</v>
      </c>
      <c r="B1014" t="s">
        <v>382</v>
      </c>
      <c r="C1014" t="s">
        <v>501</v>
      </c>
      <c r="D1014" t="s">
        <v>548</v>
      </c>
      <c r="E1014" s="3">
        <v>44562</v>
      </c>
      <c r="F1014" s="3">
        <v>44926</v>
      </c>
      <c r="G1014" t="s">
        <v>121</v>
      </c>
      <c r="H1014" s="3">
        <v>44562</v>
      </c>
      <c r="I1014" s="3">
        <v>44926</v>
      </c>
      <c r="J1014" t="s">
        <v>150</v>
      </c>
      <c r="K1014">
        <v>0</v>
      </c>
      <c r="L1014" t="s">
        <v>386</v>
      </c>
      <c r="M1014" t="s">
        <v>110</v>
      </c>
      <c r="O1014" t="s">
        <v>865</v>
      </c>
      <c r="P1014" t="s">
        <v>550</v>
      </c>
      <c r="Q1014">
        <v>2022</v>
      </c>
      <c r="R1014" t="s">
        <v>594</v>
      </c>
      <c r="S1014" t="s">
        <v>150</v>
      </c>
      <c r="T1014" t="s">
        <v>553</v>
      </c>
      <c r="U1014" t="b">
        <v>0</v>
      </c>
      <c r="V1014" t="s">
        <v>789</v>
      </c>
      <c r="W1014" t="s">
        <v>587</v>
      </c>
      <c r="X1014" t="s">
        <v>556</v>
      </c>
      <c r="Y1014" t="s">
        <v>472</v>
      </c>
      <c r="Z1014" t="s">
        <v>485</v>
      </c>
      <c r="AA1014" t="s">
        <v>764</v>
      </c>
      <c r="AC1014">
        <v>0</v>
      </c>
      <c r="AD1014" t="s">
        <v>565</v>
      </c>
      <c r="AE1014">
        <v>0</v>
      </c>
      <c r="AF1014">
        <v>63.123800000000003</v>
      </c>
      <c r="AG1014" t="s">
        <v>798</v>
      </c>
      <c r="AH1014">
        <v>9.4782000000000004E-4</v>
      </c>
      <c r="AI1014">
        <v>0</v>
      </c>
      <c r="AJ1014" t="s">
        <v>561</v>
      </c>
      <c r="AK1014" t="s">
        <v>766</v>
      </c>
      <c r="AL1014" t="s">
        <v>767</v>
      </c>
      <c r="AM1014">
        <v>2022</v>
      </c>
      <c r="AN1014">
        <v>2022</v>
      </c>
      <c r="AO1014">
        <f>IF(AND(emissions[[#This Row],[Market-based]]=0,emissions[[#This Row],[Impact Type]]="CO2E"),emissions[[#This Row],[kgCO2e]],0)/1000</f>
        <v>0</v>
      </c>
      <c r="AP1014">
        <f>IF(AND(emissions[[#This Row],[Market-based]]=1,OR(emissions[[#This Row],[Impact Type]]="CO2E",emissions[[#This Row],[Impact Type]]="CO2E MKT")),emissions[[#This Row],[kgCO2e]],0)/1000</f>
        <v>0</v>
      </c>
      <c r="AQ1014" t="str">
        <f>_xlfn.TEXTAFTER(emissions[[#This Row],[Reporting Unit]]," &gt; ",LEN(emissions[[#This Row],[Reporting Unit]])-LEN(SUBSTITUTE(emissions[[#This Row],[Reporting Unit]],"&gt;","")))</f>
        <v>Vantage_Deerfield</v>
      </c>
      <c r="AR1014" t="str">
        <f>_xlfn.XLOOKUP(emissions[[#This Row],[Reporting unit name]],hierarchy!$A:$A,hierarchy!$C:$C)</f>
        <v>Office</v>
      </c>
    </row>
    <row r="1015" spans="1:44" hidden="1" x14ac:dyDescent="0.25">
      <c r="A1015">
        <v>291422</v>
      </c>
      <c r="B1015" t="s">
        <v>382</v>
      </c>
      <c r="C1015" t="s">
        <v>501</v>
      </c>
      <c r="D1015" t="s">
        <v>548</v>
      </c>
      <c r="E1015" s="3">
        <v>44562</v>
      </c>
      <c r="F1015" s="3">
        <v>44926</v>
      </c>
      <c r="G1015" t="s">
        <v>121</v>
      </c>
      <c r="H1015" s="3">
        <v>44562</v>
      </c>
      <c r="I1015" s="3">
        <v>44926</v>
      </c>
      <c r="J1015" t="s">
        <v>150</v>
      </c>
      <c r="K1015">
        <v>0</v>
      </c>
      <c r="L1015" t="s">
        <v>386</v>
      </c>
      <c r="M1015" t="s">
        <v>110</v>
      </c>
      <c r="O1015" t="s">
        <v>865</v>
      </c>
      <c r="P1015" t="s">
        <v>550</v>
      </c>
      <c r="Q1015">
        <v>2022</v>
      </c>
      <c r="R1015" t="s">
        <v>594</v>
      </c>
      <c r="S1015" t="s">
        <v>150</v>
      </c>
      <c r="T1015" t="s">
        <v>553</v>
      </c>
      <c r="U1015" t="b">
        <v>0</v>
      </c>
      <c r="V1015" t="s">
        <v>789</v>
      </c>
      <c r="W1015" t="s">
        <v>587</v>
      </c>
      <c r="X1015" t="s">
        <v>556</v>
      </c>
      <c r="Y1015" t="s">
        <v>472</v>
      </c>
      <c r="Z1015" t="s">
        <v>485</v>
      </c>
      <c r="AA1015" t="s">
        <v>764</v>
      </c>
      <c r="AC1015">
        <v>0</v>
      </c>
      <c r="AD1015" t="s">
        <v>566</v>
      </c>
      <c r="AE1015">
        <v>0</v>
      </c>
      <c r="AF1015">
        <v>0.17879999999999999</v>
      </c>
      <c r="AG1015" t="s">
        <v>798</v>
      </c>
      <c r="AH1015">
        <v>9.4782000000000004E-4</v>
      </c>
      <c r="AI1015">
        <v>0</v>
      </c>
      <c r="AJ1015" t="s">
        <v>561</v>
      </c>
      <c r="AK1015" t="s">
        <v>766</v>
      </c>
      <c r="AL1015" t="s">
        <v>787</v>
      </c>
      <c r="AM1015">
        <v>2022</v>
      </c>
      <c r="AN1015">
        <v>2021</v>
      </c>
      <c r="AO1015">
        <f>IF(AND(emissions[[#This Row],[Market-based]]=0,emissions[[#This Row],[Impact Type]]="CO2E"),emissions[[#This Row],[kgCO2e]],0)/1000</f>
        <v>0</v>
      </c>
      <c r="AP1015">
        <f>IF(AND(emissions[[#This Row],[Market-based]]=1,OR(emissions[[#This Row],[Impact Type]]="CO2E",emissions[[#This Row],[Impact Type]]="CO2E MKT")),emissions[[#This Row],[kgCO2e]],0)/1000</f>
        <v>0</v>
      </c>
      <c r="AQ1015" t="str">
        <f>_xlfn.TEXTAFTER(emissions[[#This Row],[Reporting Unit]]," &gt; ",LEN(emissions[[#This Row],[Reporting Unit]])-LEN(SUBSTITUTE(emissions[[#This Row],[Reporting Unit]],"&gt;","")))</f>
        <v>Vantage_Deerfield</v>
      </c>
      <c r="AR1015" t="str">
        <f>_xlfn.XLOOKUP(emissions[[#This Row],[Reporting unit name]],hierarchy!$A:$A,hierarchy!$C:$C)</f>
        <v>Office</v>
      </c>
    </row>
    <row r="1016" spans="1:44" hidden="1" x14ac:dyDescent="0.25">
      <c r="A1016">
        <v>291422</v>
      </c>
      <c r="B1016" t="s">
        <v>382</v>
      </c>
      <c r="C1016" t="s">
        <v>501</v>
      </c>
      <c r="D1016" t="s">
        <v>548</v>
      </c>
      <c r="E1016" s="3">
        <v>44562</v>
      </c>
      <c r="F1016" s="3">
        <v>44926</v>
      </c>
      <c r="G1016" t="s">
        <v>121</v>
      </c>
      <c r="H1016" s="3">
        <v>44562</v>
      </c>
      <c r="I1016" s="3">
        <v>44926</v>
      </c>
      <c r="J1016" t="s">
        <v>150</v>
      </c>
      <c r="K1016">
        <v>0</v>
      </c>
      <c r="L1016" t="s">
        <v>386</v>
      </c>
      <c r="M1016" t="s">
        <v>110</v>
      </c>
      <c r="O1016" t="s">
        <v>865</v>
      </c>
      <c r="P1016" t="s">
        <v>550</v>
      </c>
      <c r="Q1016">
        <v>2022</v>
      </c>
      <c r="R1016" t="s">
        <v>594</v>
      </c>
      <c r="S1016" t="s">
        <v>150</v>
      </c>
      <c r="T1016" t="s">
        <v>553</v>
      </c>
      <c r="U1016" t="b">
        <v>0</v>
      </c>
      <c r="V1016" t="s">
        <v>789</v>
      </c>
      <c r="W1016" t="s">
        <v>587</v>
      </c>
      <c r="X1016" t="s">
        <v>556</v>
      </c>
      <c r="Y1016" t="s">
        <v>472</v>
      </c>
      <c r="Z1016" t="s">
        <v>485</v>
      </c>
      <c r="AA1016" t="s">
        <v>764</v>
      </c>
      <c r="AC1016">
        <v>1</v>
      </c>
      <c r="AD1016" t="s">
        <v>558</v>
      </c>
      <c r="AE1016">
        <v>0</v>
      </c>
      <c r="AF1016">
        <v>7.4999999999999997E-2</v>
      </c>
      <c r="AG1016" t="s">
        <v>798</v>
      </c>
      <c r="AH1016">
        <v>9.4782000000000004E-4</v>
      </c>
      <c r="AI1016">
        <v>0</v>
      </c>
      <c r="AJ1016" t="s">
        <v>561</v>
      </c>
      <c r="AK1016" t="s">
        <v>766</v>
      </c>
      <c r="AL1016" t="s">
        <v>767</v>
      </c>
      <c r="AM1016">
        <v>2022</v>
      </c>
      <c r="AN1016">
        <v>2022</v>
      </c>
      <c r="AO1016">
        <f>IF(AND(emissions[[#This Row],[Market-based]]=0,emissions[[#This Row],[Impact Type]]="CO2E"),emissions[[#This Row],[kgCO2e]],0)/1000</f>
        <v>0</v>
      </c>
      <c r="AP1016">
        <f>IF(AND(emissions[[#This Row],[Market-based]]=1,OR(emissions[[#This Row],[Impact Type]]="CO2E",emissions[[#This Row],[Impact Type]]="CO2E MKT")),emissions[[#This Row],[kgCO2e]],0)/1000</f>
        <v>0</v>
      </c>
      <c r="AQ1016" t="str">
        <f>_xlfn.TEXTAFTER(emissions[[#This Row],[Reporting Unit]]," &gt; ",LEN(emissions[[#This Row],[Reporting Unit]])-LEN(SUBSTITUTE(emissions[[#This Row],[Reporting Unit]],"&gt;","")))</f>
        <v>Vantage_Deerfield</v>
      </c>
      <c r="AR1016" t="str">
        <f>_xlfn.XLOOKUP(emissions[[#This Row],[Reporting unit name]],hierarchy!$A:$A,hierarchy!$C:$C)</f>
        <v>Office</v>
      </c>
    </row>
    <row r="1017" spans="1:44" hidden="1" x14ac:dyDescent="0.25">
      <c r="A1017">
        <v>291422</v>
      </c>
      <c r="B1017" t="s">
        <v>382</v>
      </c>
      <c r="C1017" t="s">
        <v>501</v>
      </c>
      <c r="D1017" t="s">
        <v>548</v>
      </c>
      <c r="E1017" s="3">
        <v>44562</v>
      </c>
      <c r="F1017" s="3">
        <v>44926</v>
      </c>
      <c r="G1017" t="s">
        <v>121</v>
      </c>
      <c r="H1017" s="3">
        <v>44562</v>
      </c>
      <c r="I1017" s="3">
        <v>44926</v>
      </c>
      <c r="J1017" t="s">
        <v>150</v>
      </c>
      <c r="K1017">
        <v>0</v>
      </c>
      <c r="L1017" t="s">
        <v>386</v>
      </c>
      <c r="M1017" t="s">
        <v>110</v>
      </c>
      <c r="O1017" t="s">
        <v>865</v>
      </c>
      <c r="P1017" t="s">
        <v>550</v>
      </c>
      <c r="Q1017">
        <v>2022</v>
      </c>
      <c r="R1017" t="s">
        <v>594</v>
      </c>
      <c r="S1017" t="s">
        <v>150</v>
      </c>
      <c r="T1017" t="s">
        <v>553</v>
      </c>
      <c r="U1017" t="b">
        <v>0</v>
      </c>
      <c r="V1017" t="s">
        <v>789</v>
      </c>
      <c r="W1017" t="s">
        <v>587</v>
      </c>
      <c r="X1017" t="s">
        <v>556</v>
      </c>
      <c r="Y1017" t="s">
        <v>472</v>
      </c>
      <c r="Z1017" t="s">
        <v>485</v>
      </c>
      <c r="AA1017" t="s">
        <v>764</v>
      </c>
      <c r="AC1017">
        <v>1</v>
      </c>
      <c r="AD1017" t="s">
        <v>564</v>
      </c>
      <c r="AE1017">
        <v>0</v>
      </c>
      <c r="AF1017">
        <v>62.87</v>
      </c>
      <c r="AG1017" t="s">
        <v>798</v>
      </c>
      <c r="AH1017">
        <v>9.4782000000000004E-4</v>
      </c>
      <c r="AI1017">
        <v>0</v>
      </c>
      <c r="AJ1017" t="s">
        <v>561</v>
      </c>
      <c r="AK1017" t="s">
        <v>766</v>
      </c>
      <c r="AL1017" t="s">
        <v>767</v>
      </c>
      <c r="AM1017">
        <v>2022</v>
      </c>
      <c r="AN1017">
        <v>2022</v>
      </c>
      <c r="AO1017">
        <f>IF(AND(emissions[[#This Row],[Market-based]]=0,emissions[[#This Row],[Impact Type]]="CO2E"),emissions[[#This Row],[kgCO2e]],0)/1000</f>
        <v>0</v>
      </c>
      <c r="AP1017">
        <f>IF(AND(emissions[[#This Row],[Market-based]]=1,OR(emissions[[#This Row],[Impact Type]]="CO2E",emissions[[#This Row],[Impact Type]]="CO2E MKT")),emissions[[#This Row],[kgCO2e]],0)/1000</f>
        <v>0</v>
      </c>
      <c r="AQ1017" t="str">
        <f>_xlfn.TEXTAFTER(emissions[[#This Row],[Reporting Unit]]," &gt; ",LEN(emissions[[#This Row],[Reporting Unit]])-LEN(SUBSTITUTE(emissions[[#This Row],[Reporting Unit]],"&gt;","")))</f>
        <v>Vantage_Deerfield</v>
      </c>
      <c r="AR1017" t="str">
        <f>_xlfn.XLOOKUP(emissions[[#This Row],[Reporting unit name]],hierarchy!$A:$A,hierarchy!$C:$C)</f>
        <v>Office</v>
      </c>
    </row>
    <row r="1018" spans="1:44" hidden="1" x14ac:dyDescent="0.25">
      <c r="A1018">
        <v>291422</v>
      </c>
      <c r="B1018" t="s">
        <v>382</v>
      </c>
      <c r="C1018" t="s">
        <v>501</v>
      </c>
      <c r="D1018" t="s">
        <v>548</v>
      </c>
      <c r="E1018" s="3">
        <v>44562</v>
      </c>
      <c r="F1018" s="3">
        <v>44926</v>
      </c>
      <c r="G1018" t="s">
        <v>121</v>
      </c>
      <c r="H1018" s="3">
        <v>44562</v>
      </c>
      <c r="I1018" s="3">
        <v>44926</v>
      </c>
      <c r="J1018" t="s">
        <v>150</v>
      </c>
      <c r="K1018">
        <v>0</v>
      </c>
      <c r="L1018" t="s">
        <v>386</v>
      </c>
      <c r="M1018" t="s">
        <v>110</v>
      </c>
      <c r="O1018" t="s">
        <v>865</v>
      </c>
      <c r="P1018" t="s">
        <v>550</v>
      </c>
      <c r="Q1018">
        <v>2022</v>
      </c>
      <c r="R1018" t="s">
        <v>594</v>
      </c>
      <c r="S1018" t="s">
        <v>150</v>
      </c>
      <c r="T1018" t="s">
        <v>553</v>
      </c>
      <c r="U1018" t="b">
        <v>0</v>
      </c>
      <c r="V1018" t="s">
        <v>789</v>
      </c>
      <c r="W1018" t="s">
        <v>587</v>
      </c>
      <c r="X1018" t="s">
        <v>556</v>
      </c>
      <c r="Y1018" t="s">
        <v>472</v>
      </c>
      <c r="Z1018" t="s">
        <v>485</v>
      </c>
      <c r="AA1018" t="s">
        <v>764</v>
      </c>
      <c r="AC1018">
        <v>1</v>
      </c>
      <c r="AD1018" t="s">
        <v>565</v>
      </c>
      <c r="AE1018">
        <v>0</v>
      </c>
      <c r="AF1018">
        <v>63.123800000000003</v>
      </c>
      <c r="AG1018" t="s">
        <v>798</v>
      </c>
      <c r="AH1018">
        <v>9.4782000000000004E-4</v>
      </c>
      <c r="AI1018">
        <v>0</v>
      </c>
      <c r="AJ1018" t="s">
        <v>561</v>
      </c>
      <c r="AK1018" t="s">
        <v>766</v>
      </c>
      <c r="AL1018" t="s">
        <v>767</v>
      </c>
      <c r="AM1018">
        <v>2022</v>
      </c>
      <c r="AN1018">
        <v>2022</v>
      </c>
      <c r="AO1018">
        <f>IF(AND(emissions[[#This Row],[Market-based]]=0,emissions[[#This Row],[Impact Type]]="CO2E"),emissions[[#This Row],[kgCO2e]],0)/1000</f>
        <v>0</v>
      </c>
      <c r="AP1018">
        <f>IF(AND(emissions[[#This Row],[Market-based]]=1,OR(emissions[[#This Row],[Impact Type]]="CO2E",emissions[[#This Row],[Impact Type]]="CO2E MKT")),emissions[[#This Row],[kgCO2e]],0)/1000</f>
        <v>0</v>
      </c>
      <c r="AQ1018" t="str">
        <f>_xlfn.TEXTAFTER(emissions[[#This Row],[Reporting Unit]]," &gt; ",LEN(emissions[[#This Row],[Reporting Unit]])-LEN(SUBSTITUTE(emissions[[#This Row],[Reporting Unit]],"&gt;","")))</f>
        <v>Vantage_Deerfield</v>
      </c>
      <c r="AR1018" t="str">
        <f>_xlfn.XLOOKUP(emissions[[#This Row],[Reporting unit name]],hierarchy!$A:$A,hierarchy!$C:$C)</f>
        <v>Office</v>
      </c>
    </row>
    <row r="1019" spans="1:44" hidden="1" x14ac:dyDescent="0.25">
      <c r="A1019">
        <v>291422</v>
      </c>
      <c r="B1019" t="s">
        <v>382</v>
      </c>
      <c r="C1019" t="s">
        <v>501</v>
      </c>
      <c r="D1019" t="s">
        <v>548</v>
      </c>
      <c r="E1019" s="3">
        <v>44562</v>
      </c>
      <c r="F1019" s="3">
        <v>44926</v>
      </c>
      <c r="G1019" t="s">
        <v>121</v>
      </c>
      <c r="H1019" s="3">
        <v>44562</v>
      </c>
      <c r="I1019" s="3">
        <v>44926</v>
      </c>
      <c r="J1019" t="s">
        <v>150</v>
      </c>
      <c r="K1019">
        <v>0</v>
      </c>
      <c r="L1019" t="s">
        <v>386</v>
      </c>
      <c r="M1019" t="s">
        <v>110</v>
      </c>
      <c r="O1019" t="s">
        <v>865</v>
      </c>
      <c r="P1019" t="s">
        <v>550</v>
      </c>
      <c r="Q1019">
        <v>2022</v>
      </c>
      <c r="R1019" t="s">
        <v>594</v>
      </c>
      <c r="S1019" t="s">
        <v>150</v>
      </c>
      <c r="T1019" t="s">
        <v>553</v>
      </c>
      <c r="U1019" t="b">
        <v>0</v>
      </c>
      <c r="V1019" t="s">
        <v>789</v>
      </c>
      <c r="W1019" t="s">
        <v>587</v>
      </c>
      <c r="X1019" t="s">
        <v>556</v>
      </c>
      <c r="Y1019" t="s">
        <v>472</v>
      </c>
      <c r="Z1019" t="s">
        <v>485</v>
      </c>
      <c r="AA1019" t="s">
        <v>764</v>
      </c>
      <c r="AC1019">
        <v>1</v>
      </c>
      <c r="AD1019" t="s">
        <v>566</v>
      </c>
      <c r="AE1019">
        <v>0</v>
      </c>
      <c r="AF1019">
        <v>0.17879999999999999</v>
      </c>
      <c r="AG1019" t="s">
        <v>798</v>
      </c>
      <c r="AH1019">
        <v>9.4782000000000004E-4</v>
      </c>
      <c r="AI1019">
        <v>0</v>
      </c>
      <c r="AJ1019" t="s">
        <v>561</v>
      </c>
      <c r="AK1019" t="s">
        <v>766</v>
      </c>
      <c r="AL1019" t="s">
        <v>787</v>
      </c>
      <c r="AM1019">
        <v>2022</v>
      </c>
      <c r="AN1019">
        <v>2021</v>
      </c>
      <c r="AO1019">
        <f>IF(AND(emissions[[#This Row],[Market-based]]=0,emissions[[#This Row],[Impact Type]]="CO2E"),emissions[[#This Row],[kgCO2e]],0)/1000</f>
        <v>0</v>
      </c>
      <c r="AP1019">
        <f>IF(AND(emissions[[#This Row],[Market-based]]=1,OR(emissions[[#This Row],[Impact Type]]="CO2E",emissions[[#This Row],[Impact Type]]="CO2E MKT")),emissions[[#This Row],[kgCO2e]],0)/1000</f>
        <v>0</v>
      </c>
      <c r="AQ1019" t="str">
        <f>_xlfn.TEXTAFTER(emissions[[#This Row],[Reporting Unit]]," &gt; ",LEN(emissions[[#This Row],[Reporting Unit]])-LEN(SUBSTITUTE(emissions[[#This Row],[Reporting Unit]],"&gt;","")))</f>
        <v>Vantage_Deerfield</v>
      </c>
      <c r="AR1019" t="str">
        <f>_xlfn.XLOOKUP(emissions[[#This Row],[Reporting unit name]],hierarchy!$A:$A,hierarchy!$C:$C)</f>
        <v>Office</v>
      </c>
    </row>
    <row r="1020" spans="1:44" hidden="1" x14ac:dyDescent="0.25">
      <c r="A1020">
        <v>291422</v>
      </c>
      <c r="B1020" t="s">
        <v>382</v>
      </c>
      <c r="C1020" t="s">
        <v>501</v>
      </c>
      <c r="D1020" t="s">
        <v>548</v>
      </c>
      <c r="E1020" s="3">
        <v>44562</v>
      </c>
      <c r="F1020" s="3">
        <v>44926</v>
      </c>
      <c r="G1020" t="s">
        <v>121</v>
      </c>
      <c r="H1020" s="3">
        <v>44562</v>
      </c>
      <c r="I1020" s="3">
        <v>44926</v>
      </c>
      <c r="J1020" t="s">
        <v>150</v>
      </c>
      <c r="K1020">
        <v>0</v>
      </c>
      <c r="L1020" t="s">
        <v>386</v>
      </c>
      <c r="M1020" t="s">
        <v>110</v>
      </c>
      <c r="O1020" t="s">
        <v>865</v>
      </c>
      <c r="P1020" t="s">
        <v>550</v>
      </c>
      <c r="Q1020">
        <v>2022</v>
      </c>
      <c r="R1020" t="s">
        <v>596</v>
      </c>
      <c r="S1020" t="s">
        <v>597</v>
      </c>
      <c r="T1020" t="s">
        <v>577</v>
      </c>
      <c r="U1020" t="b">
        <v>0</v>
      </c>
      <c r="V1020" t="s">
        <v>598</v>
      </c>
      <c r="W1020" t="s">
        <v>571</v>
      </c>
      <c r="X1020" t="s">
        <v>572</v>
      </c>
      <c r="AC1020">
        <v>0</v>
      </c>
      <c r="AD1020" t="s">
        <v>565</v>
      </c>
      <c r="AE1020">
        <v>0</v>
      </c>
      <c r="AF1020">
        <v>2.503E-2</v>
      </c>
      <c r="AG1020" t="s">
        <v>608</v>
      </c>
      <c r="AH1020">
        <v>0.27777777999999997</v>
      </c>
      <c r="AI1020">
        <v>0</v>
      </c>
      <c r="AJ1020" t="s">
        <v>561</v>
      </c>
      <c r="AK1020" t="s">
        <v>589</v>
      </c>
      <c r="AL1020" t="s">
        <v>590</v>
      </c>
      <c r="AM1020">
        <v>2022</v>
      </c>
      <c r="AN1020">
        <v>2020</v>
      </c>
      <c r="AO1020">
        <f>IF(AND(emissions[[#This Row],[Market-based]]=0,emissions[[#This Row],[Impact Type]]="CO2E"),emissions[[#This Row],[kgCO2e]],0)/1000</f>
        <v>0</v>
      </c>
      <c r="AP1020">
        <f>IF(AND(emissions[[#This Row],[Market-based]]=1,OR(emissions[[#This Row],[Impact Type]]="CO2E",emissions[[#This Row],[Impact Type]]="CO2E MKT")),emissions[[#This Row],[kgCO2e]],0)/1000</f>
        <v>0</v>
      </c>
      <c r="AQ1020" t="str">
        <f>_xlfn.TEXTAFTER(emissions[[#This Row],[Reporting Unit]]," &gt; ",LEN(emissions[[#This Row],[Reporting Unit]])-LEN(SUBSTITUTE(emissions[[#This Row],[Reporting Unit]],"&gt;","")))</f>
        <v>Vantage_Deerfield</v>
      </c>
      <c r="AR1020" t="str">
        <f>_xlfn.XLOOKUP(emissions[[#This Row],[Reporting unit name]],hierarchy!$A:$A,hierarchy!$C:$C)</f>
        <v>Office</v>
      </c>
    </row>
    <row r="1021" spans="1:44" hidden="1" x14ac:dyDescent="0.25">
      <c r="A1021">
        <v>291422</v>
      </c>
      <c r="B1021" t="s">
        <v>382</v>
      </c>
      <c r="C1021" t="s">
        <v>501</v>
      </c>
      <c r="D1021" t="s">
        <v>548</v>
      </c>
      <c r="E1021" s="3">
        <v>44562</v>
      </c>
      <c r="F1021" s="3">
        <v>44926</v>
      </c>
      <c r="G1021" t="s">
        <v>121</v>
      </c>
      <c r="H1021" s="3">
        <v>44562</v>
      </c>
      <c r="I1021" s="3">
        <v>44926</v>
      </c>
      <c r="J1021" t="s">
        <v>150</v>
      </c>
      <c r="K1021">
        <v>0</v>
      </c>
      <c r="L1021" t="s">
        <v>386</v>
      </c>
      <c r="M1021" t="s">
        <v>110</v>
      </c>
      <c r="O1021" t="s">
        <v>865</v>
      </c>
      <c r="P1021" t="s">
        <v>550</v>
      </c>
      <c r="Q1021">
        <v>2022</v>
      </c>
      <c r="R1021" t="s">
        <v>596</v>
      </c>
      <c r="S1021" t="s">
        <v>597</v>
      </c>
      <c r="T1021" t="s">
        <v>577</v>
      </c>
      <c r="U1021" t="b">
        <v>0</v>
      </c>
      <c r="V1021" t="s">
        <v>598</v>
      </c>
      <c r="W1021" t="s">
        <v>571</v>
      </c>
      <c r="X1021" t="s">
        <v>572</v>
      </c>
      <c r="AC1021">
        <v>1</v>
      </c>
      <c r="AD1021" t="s">
        <v>565</v>
      </c>
      <c r="AE1021">
        <v>0</v>
      </c>
      <c r="AF1021">
        <v>2.503E-2</v>
      </c>
      <c r="AG1021" t="s">
        <v>608</v>
      </c>
      <c r="AH1021">
        <v>0.27777777999999997</v>
      </c>
      <c r="AI1021">
        <v>0</v>
      </c>
      <c r="AJ1021" t="s">
        <v>561</v>
      </c>
      <c r="AK1021" t="s">
        <v>589</v>
      </c>
      <c r="AL1021" t="s">
        <v>590</v>
      </c>
      <c r="AM1021">
        <v>2022</v>
      </c>
      <c r="AN1021">
        <v>2020</v>
      </c>
      <c r="AO1021">
        <f>IF(AND(emissions[[#This Row],[Market-based]]=0,emissions[[#This Row],[Impact Type]]="CO2E"),emissions[[#This Row],[kgCO2e]],0)/1000</f>
        <v>0</v>
      </c>
      <c r="AP1021">
        <f>IF(AND(emissions[[#This Row],[Market-based]]=1,OR(emissions[[#This Row],[Impact Type]]="CO2E",emissions[[#This Row],[Impact Type]]="CO2E MKT")),emissions[[#This Row],[kgCO2e]],0)/1000</f>
        <v>0</v>
      </c>
      <c r="AQ1021" t="str">
        <f>_xlfn.TEXTAFTER(emissions[[#This Row],[Reporting Unit]]," &gt; ",LEN(emissions[[#This Row],[Reporting Unit]])-LEN(SUBSTITUTE(emissions[[#This Row],[Reporting Unit]],"&gt;","")))</f>
        <v>Vantage_Deerfield</v>
      </c>
      <c r="AR1021" t="str">
        <f>_xlfn.XLOOKUP(emissions[[#This Row],[Reporting unit name]],hierarchy!$A:$A,hierarchy!$C:$C)</f>
        <v>Office</v>
      </c>
    </row>
    <row r="1022" spans="1:44" hidden="1" x14ac:dyDescent="0.25">
      <c r="A1022">
        <v>4947</v>
      </c>
      <c r="B1022" t="s">
        <v>382</v>
      </c>
      <c r="C1022" t="s">
        <v>501</v>
      </c>
      <c r="D1022" t="s">
        <v>599</v>
      </c>
      <c r="E1022" s="3">
        <v>44197</v>
      </c>
      <c r="F1022" s="3">
        <v>44561</v>
      </c>
      <c r="G1022" t="s">
        <v>108</v>
      </c>
      <c r="H1022" s="3">
        <v>44197</v>
      </c>
      <c r="I1022" s="3">
        <v>44561</v>
      </c>
      <c r="J1022" t="s">
        <v>108</v>
      </c>
      <c r="K1022">
        <v>2118683.08</v>
      </c>
      <c r="L1022" t="s">
        <v>109</v>
      </c>
      <c r="M1022" t="s">
        <v>82</v>
      </c>
      <c r="O1022" t="s">
        <v>600</v>
      </c>
      <c r="P1022" t="s">
        <v>550</v>
      </c>
      <c r="Q1022">
        <v>2021</v>
      </c>
      <c r="R1022" t="s">
        <v>551</v>
      </c>
      <c r="S1022" t="s">
        <v>552</v>
      </c>
      <c r="T1022" t="s">
        <v>553</v>
      </c>
      <c r="U1022" t="b">
        <v>0</v>
      </c>
      <c r="V1022" t="s">
        <v>763</v>
      </c>
      <c r="W1022" t="s">
        <v>555</v>
      </c>
      <c r="X1022" t="s">
        <v>556</v>
      </c>
      <c r="Y1022" t="s">
        <v>472</v>
      </c>
      <c r="Z1022" t="s">
        <v>485</v>
      </c>
      <c r="AA1022" t="s">
        <v>764</v>
      </c>
      <c r="AB1022" t="s">
        <v>765</v>
      </c>
      <c r="AC1022">
        <v>0</v>
      </c>
      <c r="AD1022" t="s">
        <v>558</v>
      </c>
      <c r="AE1022">
        <v>2378.5207369999998</v>
      </c>
      <c r="AF1022">
        <v>1.122641E-3</v>
      </c>
      <c r="AG1022" t="s">
        <v>560</v>
      </c>
      <c r="AH1022">
        <v>1</v>
      </c>
      <c r="AI1022">
        <v>2118683.08</v>
      </c>
      <c r="AJ1022" t="s">
        <v>561</v>
      </c>
      <c r="AK1022" t="s">
        <v>766</v>
      </c>
      <c r="AL1022" t="s">
        <v>790</v>
      </c>
      <c r="AM1022">
        <v>2021</v>
      </c>
      <c r="AN1022">
        <v>2019</v>
      </c>
      <c r="AO1022">
        <f>IF(AND(emissions[[#This Row],[Market-based]]=0,emissions[[#This Row],[Impact Type]]="CO2E"),emissions[[#This Row],[kgCO2e]],0)/1000</f>
        <v>0</v>
      </c>
      <c r="AP1022">
        <f>IF(AND(emissions[[#This Row],[Market-based]]=1,OR(emissions[[#This Row],[Impact Type]]="CO2E",emissions[[#This Row],[Impact Type]]="CO2E MKT")),emissions[[#This Row],[kgCO2e]],0)/1000</f>
        <v>0</v>
      </c>
      <c r="AQ1022" t="str">
        <f>_xlfn.TEXTAFTER(emissions[[#This Row],[Reporting Unit]]," &gt; ",LEN(emissions[[#This Row],[Reporting Unit]])-LEN(SUBSTITUTE(emissions[[#This Row],[Reporting Unit]],"&gt;","")))</f>
        <v>Vantage_Deerfield</v>
      </c>
      <c r="AR1022" t="str">
        <f>_xlfn.XLOOKUP(emissions[[#This Row],[Reporting unit name]],hierarchy!$A:$A,hierarchy!$C:$C)</f>
        <v>Office</v>
      </c>
    </row>
    <row r="1023" spans="1:44" hidden="1" x14ac:dyDescent="0.25">
      <c r="A1023">
        <v>4947</v>
      </c>
      <c r="B1023" t="s">
        <v>382</v>
      </c>
      <c r="C1023" t="s">
        <v>501</v>
      </c>
      <c r="D1023" t="s">
        <v>599</v>
      </c>
      <c r="E1023" s="3">
        <v>44197</v>
      </c>
      <c r="F1023" s="3">
        <v>44561</v>
      </c>
      <c r="G1023" t="s">
        <v>108</v>
      </c>
      <c r="H1023" s="3">
        <v>44197</v>
      </c>
      <c r="I1023" s="3">
        <v>44561</v>
      </c>
      <c r="J1023" t="s">
        <v>108</v>
      </c>
      <c r="K1023">
        <v>2118683.08</v>
      </c>
      <c r="L1023" t="s">
        <v>109</v>
      </c>
      <c r="M1023" t="s">
        <v>82</v>
      </c>
      <c r="O1023" t="s">
        <v>600</v>
      </c>
      <c r="P1023" t="s">
        <v>550</v>
      </c>
      <c r="Q1023">
        <v>2021</v>
      </c>
      <c r="R1023" t="s">
        <v>551</v>
      </c>
      <c r="S1023" t="s">
        <v>552</v>
      </c>
      <c r="T1023" t="s">
        <v>553</v>
      </c>
      <c r="U1023" t="b">
        <v>0</v>
      </c>
      <c r="V1023" t="s">
        <v>763</v>
      </c>
      <c r="W1023" t="s">
        <v>555</v>
      </c>
      <c r="X1023" t="s">
        <v>556</v>
      </c>
      <c r="Y1023" t="s">
        <v>472</v>
      </c>
      <c r="Z1023" t="s">
        <v>485</v>
      </c>
      <c r="AA1023" t="s">
        <v>764</v>
      </c>
      <c r="AB1023" t="s">
        <v>765</v>
      </c>
      <c r="AC1023">
        <v>0</v>
      </c>
      <c r="AD1023" t="s">
        <v>564</v>
      </c>
      <c r="AE1023">
        <v>1026059.249</v>
      </c>
      <c r="AF1023">
        <v>0.484291048</v>
      </c>
      <c r="AG1023" t="s">
        <v>560</v>
      </c>
      <c r="AH1023">
        <v>1</v>
      </c>
      <c r="AI1023">
        <v>2118683.08</v>
      </c>
      <c r="AJ1023" t="s">
        <v>561</v>
      </c>
      <c r="AK1023" t="s">
        <v>766</v>
      </c>
      <c r="AL1023" t="s">
        <v>790</v>
      </c>
      <c r="AM1023">
        <v>2021</v>
      </c>
      <c r="AN1023">
        <v>2019</v>
      </c>
      <c r="AO1023">
        <f>IF(AND(emissions[[#This Row],[Market-based]]=0,emissions[[#This Row],[Impact Type]]="CO2E"),emissions[[#This Row],[kgCO2e]],0)/1000</f>
        <v>0</v>
      </c>
      <c r="AP1023">
        <f>IF(AND(emissions[[#This Row],[Market-based]]=1,OR(emissions[[#This Row],[Impact Type]]="CO2E",emissions[[#This Row],[Impact Type]]="CO2E MKT")),emissions[[#This Row],[kgCO2e]],0)/1000</f>
        <v>0</v>
      </c>
      <c r="AQ1023" t="str">
        <f>_xlfn.TEXTAFTER(emissions[[#This Row],[Reporting Unit]]," &gt; ",LEN(emissions[[#This Row],[Reporting Unit]])-LEN(SUBSTITUTE(emissions[[#This Row],[Reporting Unit]],"&gt;","")))</f>
        <v>Vantage_Deerfield</v>
      </c>
      <c r="AR1023" t="str">
        <f>_xlfn.XLOOKUP(emissions[[#This Row],[Reporting unit name]],hierarchy!$A:$A,hierarchy!$C:$C)</f>
        <v>Office</v>
      </c>
    </row>
    <row r="1024" spans="1:44" hidden="1" x14ac:dyDescent="0.25">
      <c r="A1024">
        <v>4947</v>
      </c>
      <c r="B1024" t="s">
        <v>382</v>
      </c>
      <c r="C1024" t="s">
        <v>501</v>
      </c>
      <c r="D1024" t="s">
        <v>599</v>
      </c>
      <c r="E1024" s="3">
        <v>44197</v>
      </c>
      <c r="F1024" s="3">
        <v>44561</v>
      </c>
      <c r="G1024" t="s">
        <v>108</v>
      </c>
      <c r="H1024" s="3">
        <v>44197</v>
      </c>
      <c r="I1024" s="3">
        <v>44561</v>
      </c>
      <c r="J1024" t="s">
        <v>108</v>
      </c>
      <c r="K1024">
        <v>2118683.08</v>
      </c>
      <c r="L1024" t="s">
        <v>109</v>
      </c>
      <c r="M1024" t="s">
        <v>82</v>
      </c>
      <c r="O1024" t="s">
        <v>600</v>
      </c>
      <c r="P1024" t="s">
        <v>550</v>
      </c>
      <c r="Q1024">
        <v>2021</v>
      </c>
      <c r="R1024" t="s">
        <v>551</v>
      </c>
      <c r="S1024" t="s">
        <v>552</v>
      </c>
      <c r="T1024" t="s">
        <v>553</v>
      </c>
      <c r="U1024" t="b">
        <v>0</v>
      </c>
      <c r="V1024" t="s">
        <v>763</v>
      </c>
      <c r="W1024" t="s">
        <v>555</v>
      </c>
      <c r="X1024" t="s">
        <v>556</v>
      </c>
      <c r="Y1024" t="s">
        <v>472</v>
      </c>
      <c r="Z1024" t="s">
        <v>485</v>
      </c>
      <c r="AA1024" t="s">
        <v>764</v>
      </c>
      <c r="AB1024" t="s">
        <v>765</v>
      </c>
      <c r="AC1024">
        <v>0</v>
      </c>
      <c r="AD1024" t="s">
        <v>565</v>
      </c>
      <c r="AE1024">
        <v>1032447.139</v>
      </c>
      <c r="AF1024">
        <v>0.48730607599999998</v>
      </c>
      <c r="AG1024" t="s">
        <v>560</v>
      </c>
      <c r="AH1024">
        <v>1</v>
      </c>
      <c r="AI1024">
        <v>2118683.08</v>
      </c>
      <c r="AJ1024" t="s">
        <v>561</v>
      </c>
      <c r="AK1024" t="s">
        <v>766</v>
      </c>
      <c r="AL1024" t="s">
        <v>790</v>
      </c>
      <c r="AM1024">
        <v>2021</v>
      </c>
      <c r="AN1024">
        <v>2019</v>
      </c>
      <c r="AO1024">
        <f>IF(AND(emissions[[#This Row],[Market-based]]=0,emissions[[#This Row],[Impact Type]]="CO2E"),emissions[[#This Row],[kgCO2e]],0)/1000</f>
        <v>1032.4471389999999</v>
      </c>
      <c r="AP1024">
        <f>IF(AND(emissions[[#This Row],[Market-based]]=1,OR(emissions[[#This Row],[Impact Type]]="CO2E",emissions[[#This Row],[Impact Type]]="CO2E MKT")),emissions[[#This Row],[kgCO2e]],0)/1000</f>
        <v>0</v>
      </c>
      <c r="AQ1024" t="str">
        <f>_xlfn.TEXTAFTER(emissions[[#This Row],[Reporting Unit]]," &gt; ",LEN(emissions[[#This Row],[Reporting Unit]])-LEN(SUBSTITUTE(emissions[[#This Row],[Reporting Unit]],"&gt;","")))</f>
        <v>Vantage_Deerfield</v>
      </c>
      <c r="AR1024" t="str">
        <f>_xlfn.XLOOKUP(emissions[[#This Row],[Reporting unit name]],hierarchy!$A:$A,hierarchy!$C:$C)</f>
        <v>Office</v>
      </c>
    </row>
    <row r="1025" spans="1:44" hidden="1" x14ac:dyDescent="0.25">
      <c r="A1025">
        <v>4947</v>
      </c>
      <c r="B1025" t="s">
        <v>382</v>
      </c>
      <c r="C1025" t="s">
        <v>501</v>
      </c>
      <c r="D1025" t="s">
        <v>599</v>
      </c>
      <c r="E1025" s="3">
        <v>44197</v>
      </c>
      <c r="F1025" s="3">
        <v>44561</v>
      </c>
      <c r="G1025" t="s">
        <v>108</v>
      </c>
      <c r="H1025" s="3">
        <v>44197</v>
      </c>
      <c r="I1025" s="3">
        <v>44561</v>
      </c>
      <c r="J1025" t="s">
        <v>108</v>
      </c>
      <c r="K1025">
        <v>2118683.08</v>
      </c>
      <c r="L1025" t="s">
        <v>109</v>
      </c>
      <c r="M1025" t="s">
        <v>82</v>
      </c>
      <c r="O1025" t="s">
        <v>600</v>
      </c>
      <c r="P1025" t="s">
        <v>550</v>
      </c>
      <c r="Q1025">
        <v>2021</v>
      </c>
      <c r="R1025" t="s">
        <v>551</v>
      </c>
      <c r="S1025" t="s">
        <v>552</v>
      </c>
      <c r="T1025" t="s">
        <v>553</v>
      </c>
      <c r="U1025" t="b">
        <v>0</v>
      </c>
      <c r="V1025" t="s">
        <v>763</v>
      </c>
      <c r="W1025" t="s">
        <v>555</v>
      </c>
      <c r="X1025" t="s">
        <v>556</v>
      </c>
      <c r="Y1025" t="s">
        <v>472</v>
      </c>
      <c r="Z1025" t="s">
        <v>485</v>
      </c>
      <c r="AA1025" t="s">
        <v>764</v>
      </c>
      <c r="AB1025" t="s">
        <v>765</v>
      </c>
      <c r="AC1025">
        <v>0</v>
      </c>
      <c r="AD1025" t="s">
        <v>566</v>
      </c>
      <c r="AE1025">
        <v>4009.3690969999998</v>
      </c>
      <c r="AF1025">
        <v>1.8923869999999999E-3</v>
      </c>
      <c r="AG1025" t="s">
        <v>560</v>
      </c>
      <c r="AH1025">
        <v>1</v>
      </c>
      <c r="AI1025">
        <v>2118683.08</v>
      </c>
      <c r="AJ1025" t="s">
        <v>561</v>
      </c>
      <c r="AK1025" t="s">
        <v>766</v>
      </c>
      <c r="AL1025" t="s">
        <v>790</v>
      </c>
      <c r="AM1025">
        <v>2021</v>
      </c>
      <c r="AN1025">
        <v>2019</v>
      </c>
      <c r="AO1025">
        <f>IF(AND(emissions[[#This Row],[Market-based]]=0,emissions[[#This Row],[Impact Type]]="CO2E"),emissions[[#This Row],[kgCO2e]],0)/1000</f>
        <v>0</v>
      </c>
      <c r="AP1025">
        <f>IF(AND(emissions[[#This Row],[Market-based]]=1,OR(emissions[[#This Row],[Impact Type]]="CO2E",emissions[[#This Row],[Impact Type]]="CO2E MKT")),emissions[[#This Row],[kgCO2e]],0)/1000</f>
        <v>0</v>
      </c>
      <c r="AQ1025" t="str">
        <f>_xlfn.TEXTAFTER(emissions[[#This Row],[Reporting Unit]]," &gt; ",LEN(emissions[[#This Row],[Reporting Unit]])-LEN(SUBSTITUTE(emissions[[#This Row],[Reporting Unit]],"&gt;","")))</f>
        <v>Vantage_Deerfield</v>
      </c>
      <c r="AR1025" t="str">
        <f>_xlfn.XLOOKUP(emissions[[#This Row],[Reporting unit name]],hierarchy!$A:$A,hierarchy!$C:$C)</f>
        <v>Office</v>
      </c>
    </row>
    <row r="1026" spans="1:44" hidden="1" x14ac:dyDescent="0.25">
      <c r="A1026">
        <v>4947</v>
      </c>
      <c r="B1026" t="s">
        <v>382</v>
      </c>
      <c r="C1026" t="s">
        <v>501</v>
      </c>
      <c r="D1026" t="s">
        <v>599</v>
      </c>
      <c r="E1026" s="3">
        <v>44197</v>
      </c>
      <c r="F1026" s="3">
        <v>44561</v>
      </c>
      <c r="G1026" t="s">
        <v>108</v>
      </c>
      <c r="H1026" s="3">
        <v>44197</v>
      </c>
      <c r="I1026" s="3">
        <v>44561</v>
      </c>
      <c r="J1026" t="s">
        <v>108</v>
      </c>
      <c r="K1026">
        <v>2118683.08</v>
      </c>
      <c r="L1026" t="s">
        <v>109</v>
      </c>
      <c r="M1026" t="s">
        <v>82</v>
      </c>
      <c r="O1026" t="s">
        <v>600</v>
      </c>
      <c r="P1026" t="s">
        <v>550</v>
      </c>
      <c r="Q1026">
        <v>2021</v>
      </c>
      <c r="R1026" t="s">
        <v>551</v>
      </c>
      <c r="S1026" t="s">
        <v>552</v>
      </c>
      <c r="T1026" t="s">
        <v>553</v>
      </c>
      <c r="U1026" t="b">
        <v>0</v>
      </c>
      <c r="V1026" t="s">
        <v>763</v>
      </c>
      <c r="W1026" t="s">
        <v>555</v>
      </c>
      <c r="X1026" t="s">
        <v>556</v>
      </c>
      <c r="Y1026" t="s">
        <v>472</v>
      </c>
      <c r="Z1026" t="s">
        <v>485</v>
      </c>
      <c r="AA1026" t="s">
        <v>764</v>
      </c>
      <c r="AB1026" t="s">
        <v>765</v>
      </c>
      <c r="AC1026">
        <v>1</v>
      </c>
      <c r="AD1026" t="s">
        <v>639</v>
      </c>
      <c r="AE1026">
        <v>1026435.007</v>
      </c>
      <c r="AF1026">
        <v>0.48446840299999999</v>
      </c>
      <c r="AG1026" t="s">
        <v>560</v>
      </c>
      <c r="AH1026">
        <v>1</v>
      </c>
      <c r="AI1026">
        <v>2118683.08</v>
      </c>
      <c r="AJ1026" t="s">
        <v>561</v>
      </c>
      <c r="AK1026" t="s">
        <v>833</v>
      </c>
      <c r="AL1026" t="s">
        <v>853</v>
      </c>
      <c r="AM1026">
        <v>2021</v>
      </c>
      <c r="AN1026">
        <v>2019</v>
      </c>
      <c r="AO1026">
        <f>IF(AND(emissions[[#This Row],[Market-based]]=0,emissions[[#This Row],[Impact Type]]="CO2E"),emissions[[#This Row],[kgCO2e]],0)/1000</f>
        <v>0</v>
      </c>
      <c r="AP1026">
        <f>IF(AND(emissions[[#This Row],[Market-based]]=1,OR(emissions[[#This Row],[Impact Type]]="CO2E",emissions[[#This Row],[Impact Type]]="CO2E MKT")),emissions[[#This Row],[kgCO2e]],0)/1000</f>
        <v>1026.435007</v>
      </c>
      <c r="AQ1026" t="str">
        <f>_xlfn.TEXTAFTER(emissions[[#This Row],[Reporting Unit]]," &gt; ",LEN(emissions[[#This Row],[Reporting Unit]])-LEN(SUBSTITUTE(emissions[[#This Row],[Reporting Unit]],"&gt;","")))</f>
        <v>Vantage_Deerfield</v>
      </c>
      <c r="AR1026" t="str">
        <f>_xlfn.XLOOKUP(emissions[[#This Row],[Reporting unit name]],hierarchy!$A:$A,hierarchy!$C:$C)</f>
        <v>Office</v>
      </c>
    </row>
    <row r="1027" spans="1:44" hidden="1" x14ac:dyDescent="0.25">
      <c r="A1027">
        <v>4947</v>
      </c>
      <c r="B1027" t="s">
        <v>382</v>
      </c>
      <c r="C1027" t="s">
        <v>501</v>
      </c>
      <c r="D1027" t="s">
        <v>599</v>
      </c>
      <c r="E1027" s="3">
        <v>44197</v>
      </c>
      <c r="F1027" s="3">
        <v>44561</v>
      </c>
      <c r="G1027" t="s">
        <v>108</v>
      </c>
      <c r="H1027" s="3">
        <v>44197</v>
      </c>
      <c r="I1027" s="3">
        <v>44561</v>
      </c>
      <c r="J1027" t="s">
        <v>108</v>
      </c>
      <c r="K1027">
        <v>2118683.08</v>
      </c>
      <c r="L1027" t="s">
        <v>109</v>
      </c>
      <c r="M1027" t="s">
        <v>82</v>
      </c>
      <c r="O1027" t="s">
        <v>600</v>
      </c>
      <c r="P1027" t="s">
        <v>550</v>
      </c>
      <c r="Q1027">
        <v>2021</v>
      </c>
      <c r="R1027" t="s">
        <v>567</v>
      </c>
      <c r="S1027" t="s">
        <v>568</v>
      </c>
      <c r="T1027" t="s">
        <v>569</v>
      </c>
      <c r="U1027" t="b">
        <v>0</v>
      </c>
      <c r="V1027" t="s">
        <v>771</v>
      </c>
      <c r="W1027" t="s">
        <v>571</v>
      </c>
      <c r="X1027" t="s">
        <v>572</v>
      </c>
      <c r="Y1027" t="s">
        <v>472</v>
      </c>
      <c r="Z1027" t="s">
        <v>485</v>
      </c>
      <c r="AA1027" t="s">
        <v>764</v>
      </c>
      <c r="AB1027" t="s">
        <v>765</v>
      </c>
      <c r="AC1027">
        <v>0</v>
      </c>
      <c r="AD1027" t="s">
        <v>558</v>
      </c>
      <c r="AE1027">
        <v>32.045127839999999</v>
      </c>
      <c r="AF1027" s="13">
        <v>1.5125E-5</v>
      </c>
      <c r="AG1027" t="s">
        <v>560</v>
      </c>
      <c r="AH1027">
        <v>1</v>
      </c>
      <c r="AI1027">
        <v>2118683.08</v>
      </c>
      <c r="AJ1027" t="s">
        <v>561</v>
      </c>
      <c r="AK1027" t="s">
        <v>573</v>
      </c>
      <c r="AL1027" t="s">
        <v>791</v>
      </c>
      <c r="AM1027">
        <v>2021</v>
      </c>
      <c r="AN1027">
        <v>2019</v>
      </c>
      <c r="AO1027">
        <f>IF(AND(emissions[[#This Row],[Market-based]]=0,emissions[[#This Row],[Impact Type]]="CO2E"),emissions[[#This Row],[kgCO2e]],0)/1000</f>
        <v>0</v>
      </c>
      <c r="AP1027">
        <f>IF(AND(emissions[[#This Row],[Market-based]]=1,OR(emissions[[#This Row],[Impact Type]]="CO2E",emissions[[#This Row],[Impact Type]]="CO2E MKT")),emissions[[#This Row],[kgCO2e]],0)/1000</f>
        <v>0</v>
      </c>
      <c r="AQ1027" t="str">
        <f>_xlfn.TEXTAFTER(emissions[[#This Row],[Reporting Unit]]," &gt; ",LEN(emissions[[#This Row],[Reporting Unit]])-LEN(SUBSTITUTE(emissions[[#This Row],[Reporting Unit]],"&gt;","")))</f>
        <v>Vantage_Deerfield</v>
      </c>
      <c r="AR1027" t="str">
        <f>_xlfn.XLOOKUP(emissions[[#This Row],[Reporting unit name]],hierarchy!$A:$A,hierarchy!$C:$C)</f>
        <v>Office</v>
      </c>
    </row>
    <row r="1028" spans="1:44" hidden="1" x14ac:dyDescent="0.25">
      <c r="A1028">
        <v>4947</v>
      </c>
      <c r="B1028" t="s">
        <v>382</v>
      </c>
      <c r="C1028" t="s">
        <v>501</v>
      </c>
      <c r="D1028" t="s">
        <v>599</v>
      </c>
      <c r="E1028" s="3">
        <v>44197</v>
      </c>
      <c r="F1028" s="3">
        <v>44561</v>
      </c>
      <c r="G1028" t="s">
        <v>108</v>
      </c>
      <c r="H1028" s="3">
        <v>44197</v>
      </c>
      <c r="I1028" s="3">
        <v>44561</v>
      </c>
      <c r="J1028" t="s">
        <v>108</v>
      </c>
      <c r="K1028">
        <v>2118683.08</v>
      </c>
      <c r="L1028" t="s">
        <v>109</v>
      </c>
      <c r="M1028" t="s">
        <v>82</v>
      </c>
      <c r="O1028" t="s">
        <v>600</v>
      </c>
      <c r="P1028" t="s">
        <v>550</v>
      </c>
      <c r="Q1028">
        <v>2021</v>
      </c>
      <c r="R1028" t="s">
        <v>567</v>
      </c>
      <c r="S1028" t="s">
        <v>568</v>
      </c>
      <c r="T1028" t="s">
        <v>569</v>
      </c>
      <c r="U1028" t="b">
        <v>0</v>
      </c>
      <c r="V1028" t="s">
        <v>771</v>
      </c>
      <c r="W1028" t="s">
        <v>571</v>
      </c>
      <c r="X1028" t="s">
        <v>572</v>
      </c>
      <c r="Y1028" t="s">
        <v>472</v>
      </c>
      <c r="Z1028" t="s">
        <v>485</v>
      </c>
      <c r="AA1028" t="s">
        <v>764</v>
      </c>
      <c r="AB1028" t="s">
        <v>765</v>
      </c>
      <c r="AC1028">
        <v>0</v>
      </c>
      <c r="AD1028" t="s">
        <v>564</v>
      </c>
      <c r="AE1028">
        <v>13823.80204</v>
      </c>
      <c r="AF1028">
        <v>6.524714E-3</v>
      </c>
      <c r="AG1028" t="s">
        <v>560</v>
      </c>
      <c r="AH1028">
        <v>1</v>
      </c>
      <c r="AI1028">
        <v>2118683.08</v>
      </c>
      <c r="AJ1028" t="s">
        <v>561</v>
      </c>
      <c r="AK1028" t="s">
        <v>573</v>
      </c>
      <c r="AL1028" t="s">
        <v>791</v>
      </c>
      <c r="AM1028">
        <v>2021</v>
      </c>
      <c r="AN1028">
        <v>2019</v>
      </c>
      <c r="AO1028">
        <f>IF(AND(emissions[[#This Row],[Market-based]]=0,emissions[[#This Row],[Impact Type]]="CO2E"),emissions[[#This Row],[kgCO2e]],0)/1000</f>
        <v>0</v>
      </c>
      <c r="AP1028">
        <f>IF(AND(emissions[[#This Row],[Market-based]]=1,OR(emissions[[#This Row],[Impact Type]]="CO2E",emissions[[#This Row],[Impact Type]]="CO2E MKT")),emissions[[#This Row],[kgCO2e]],0)/1000</f>
        <v>0</v>
      </c>
      <c r="AQ1028" t="str">
        <f>_xlfn.TEXTAFTER(emissions[[#This Row],[Reporting Unit]]," &gt; ",LEN(emissions[[#This Row],[Reporting Unit]])-LEN(SUBSTITUTE(emissions[[#This Row],[Reporting Unit]],"&gt;","")))</f>
        <v>Vantage_Deerfield</v>
      </c>
      <c r="AR1028" t="str">
        <f>_xlfn.XLOOKUP(emissions[[#This Row],[Reporting unit name]],hierarchy!$A:$A,hierarchy!$C:$C)</f>
        <v>Office</v>
      </c>
    </row>
    <row r="1029" spans="1:44" hidden="1" x14ac:dyDescent="0.25">
      <c r="A1029">
        <v>4947</v>
      </c>
      <c r="B1029" t="s">
        <v>382</v>
      </c>
      <c r="C1029" t="s">
        <v>501</v>
      </c>
      <c r="D1029" t="s">
        <v>599</v>
      </c>
      <c r="E1029" s="3">
        <v>44197</v>
      </c>
      <c r="F1029" s="3">
        <v>44561</v>
      </c>
      <c r="G1029" t="s">
        <v>108</v>
      </c>
      <c r="H1029" s="3">
        <v>44197</v>
      </c>
      <c r="I1029" s="3">
        <v>44561</v>
      </c>
      <c r="J1029" t="s">
        <v>108</v>
      </c>
      <c r="K1029">
        <v>2118683.08</v>
      </c>
      <c r="L1029" t="s">
        <v>109</v>
      </c>
      <c r="M1029" t="s">
        <v>82</v>
      </c>
      <c r="O1029" t="s">
        <v>600</v>
      </c>
      <c r="P1029" t="s">
        <v>550</v>
      </c>
      <c r="Q1029">
        <v>2021</v>
      </c>
      <c r="R1029" t="s">
        <v>567</v>
      </c>
      <c r="S1029" t="s">
        <v>568</v>
      </c>
      <c r="T1029" t="s">
        <v>569</v>
      </c>
      <c r="U1029" t="b">
        <v>0</v>
      </c>
      <c r="V1029" t="s">
        <v>771</v>
      </c>
      <c r="W1029" t="s">
        <v>571</v>
      </c>
      <c r="X1029" t="s">
        <v>572</v>
      </c>
      <c r="Y1029" t="s">
        <v>472</v>
      </c>
      <c r="Z1029" t="s">
        <v>485</v>
      </c>
      <c r="AA1029" t="s">
        <v>764</v>
      </c>
      <c r="AB1029" t="s">
        <v>765</v>
      </c>
      <c r="AC1029">
        <v>0</v>
      </c>
      <c r="AD1029" t="s">
        <v>565</v>
      </c>
      <c r="AE1029">
        <v>13909.864250000001</v>
      </c>
      <c r="AF1029">
        <v>6.5653350000000003E-3</v>
      </c>
      <c r="AG1029" t="s">
        <v>560</v>
      </c>
      <c r="AH1029">
        <v>1</v>
      </c>
      <c r="AI1029">
        <v>2118683.08</v>
      </c>
      <c r="AJ1029" t="s">
        <v>561</v>
      </c>
      <c r="AK1029" t="s">
        <v>573</v>
      </c>
      <c r="AL1029" t="s">
        <v>791</v>
      </c>
      <c r="AM1029">
        <v>2021</v>
      </c>
      <c r="AN1029">
        <v>2019</v>
      </c>
      <c r="AO1029">
        <f>IF(AND(emissions[[#This Row],[Market-based]]=0,emissions[[#This Row],[Impact Type]]="CO2E"),emissions[[#This Row],[kgCO2e]],0)/1000</f>
        <v>13.90986425</v>
      </c>
      <c r="AP1029">
        <f>IF(AND(emissions[[#This Row],[Market-based]]=1,OR(emissions[[#This Row],[Impact Type]]="CO2E",emissions[[#This Row],[Impact Type]]="CO2E MKT")),emissions[[#This Row],[kgCO2e]],0)/1000</f>
        <v>0</v>
      </c>
      <c r="AQ1029" t="str">
        <f>_xlfn.TEXTAFTER(emissions[[#This Row],[Reporting Unit]]," &gt; ",LEN(emissions[[#This Row],[Reporting Unit]])-LEN(SUBSTITUTE(emissions[[#This Row],[Reporting Unit]],"&gt;","")))</f>
        <v>Vantage_Deerfield</v>
      </c>
      <c r="AR1029" t="str">
        <f>_xlfn.XLOOKUP(emissions[[#This Row],[Reporting unit name]],hierarchy!$A:$A,hierarchy!$C:$C)</f>
        <v>Office</v>
      </c>
    </row>
    <row r="1030" spans="1:44" hidden="1" x14ac:dyDescent="0.25">
      <c r="A1030">
        <v>4947</v>
      </c>
      <c r="B1030" t="s">
        <v>382</v>
      </c>
      <c r="C1030" t="s">
        <v>501</v>
      </c>
      <c r="D1030" t="s">
        <v>599</v>
      </c>
      <c r="E1030" s="3">
        <v>44197</v>
      </c>
      <c r="F1030" s="3">
        <v>44561</v>
      </c>
      <c r="G1030" t="s">
        <v>108</v>
      </c>
      <c r="H1030" s="3">
        <v>44197</v>
      </c>
      <c r="I1030" s="3">
        <v>44561</v>
      </c>
      <c r="J1030" t="s">
        <v>108</v>
      </c>
      <c r="K1030">
        <v>2118683.08</v>
      </c>
      <c r="L1030" t="s">
        <v>109</v>
      </c>
      <c r="M1030" t="s">
        <v>82</v>
      </c>
      <c r="O1030" t="s">
        <v>600</v>
      </c>
      <c r="P1030" t="s">
        <v>550</v>
      </c>
      <c r="Q1030">
        <v>2021</v>
      </c>
      <c r="R1030" t="s">
        <v>567</v>
      </c>
      <c r="S1030" t="s">
        <v>568</v>
      </c>
      <c r="T1030" t="s">
        <v>569</v>
      </c>
      <c r="U1030" t="b">
        <v>0</v>
      </c>
      <c r="V1030" t="s">
        <v>771</v>
      </c>
      <c r="W1030" t="s">
        <v>571</v>
      </c>
      <c r="X1030" t="s">
        <v>572</v>
      </c>
      <c r="Y1030" t="s">
        <v>472</v>
      </c>
      <c r="Z1030" t="s">
        <v>485</v>
      </c>
      <c r="AA1030" t="s">
        <v>764</v>
      </c>
      <c r="AB1030" t="s">
        <v>765</v>
      </c>
      <c r="AC1030">
        <v>0</v>
      </c>
      <c r="AD1030" t="s">
        <v>566</v>
      </c>
      <c r="AE1030">
        <v>54.017080149999998</v>
      </c>
      <c r="AF1030" s="13">
        <v>2.54956E-5</v>
      </c>
      <c r="AG1030" t="s">
        <v>560</v>
      </c>
      <c r="AH1030">
        <v>1</v>
      </c>
      <c r="AI1030">
        <v>2118683.08</v>
      </c>
      <c r="AJ1030" t="s">
        <v>561</v>
      </c>
      <c r="AK1030" t="s">
        <v>573</v>
      </c>
      <c r="AL1030" t="s">
        <v>791</v>
      </c>
      <c r="AM1030">
        <v>2021</v>
      </c>
      <c r="AN1030">
        <v>2019</v>
      </c>
      <c r="AO1030">
        <f>IF(AND(emissions[[#This Row],[Market-based]]=0,emissions[[#This Row],[Impact Type]]="CO2E"),emissions[[#This Row],[kgCO2e]],0)/1000</f>
        <v>0</v>
      </c>
      <c r="AP1030">
        <f>IF(AND(emissions[[#This Row],[Market-based]]=1,OR(emissions[[#This Row],[Impact Type]]="CO2E",emissions[[#This Row],[Impact Type]]="CO2E MKT")),emissions[[#This Row],[kgCO2e]],0)/1000</f>
        <v>0</v>
      </c>
      <c r="AQ1030" t="str">
        <f>_xlfn.TEXTAFTER(emissions[[#This Row],[Reporting Unit]]," &gt; ",LEN(emissions[[#This Row],[Reporting Unit]])-LEN(SUBSTITUTE(emissions[[#This Row],[Reporting Unit]],"&gt;","")))</f>
        <v>Vantage_Deerfield</v>
      </c>
      <c r="AR1030" t="str">
        <f>_xlfn.XLOOKUP(emissions[[#This Row],[Reporting unit name]],hierarchy!$A:$A,hierarchy!$C:$C)</f>
        <v>Office</v>
      </c>
    </row>
    <row r="1031" spans="1:44" hidden="1" x14ac:dyDescent="0.25">
      <c r="A1031">
        <v>4947</v>
      </c>
      <c r="B1031" t="s">
        <v>382</v>
      </c>
      <c r="C1031" t="s">
        <v>501</v>
      </c>
      <c r="D1031" t="s">
        <v>599</v>
      </c>
      <c r="E1031" s="3">
        <v>44197</v>
      </c>
      <c r="F1031" s="3">
        <v>44561</v>
      </c>
      <c r="G1031" t="s">
        <v>108</v>
      </c>
      <c r="H1031" s="3">
        <v>44197</v>
      </c>
      <c r="I1031" s="3">
        <v>44561</v>
      </c>
      <c r="J1031" t="s">
        <v>108</v>
      </c>
      <c r="K1031">
        <v>2118683.08</v>
      </c>
      <c r="L1031" t="s">
        <v>109</v>
      </c>
      <c r="M1031" t="s">
        <v>82</v>
      </c>
      <c r="O1031" t="s">
        <v>600</v>
      </c>
      <c r="P1031" t="s">
        <v>550</v>
      </c>
      <c r="Q1031">
        <v>2021</v>
      </c>
      <c r="R1031" t="s">
        <v>567</v>
      </c>
      <c r="S1031" t="s">
        <v>568</v>
      </c>
      <c r="T1031" t="s">
        <v>569</v>
      </c>
      <c r="U1031" t="b">
        <v>0</v>
      </c>
      <c r="V1031" t="s">
        <v>771</v>
      </c>
      <c r="W1031" t="s">
        <v>571</v>
      </c>
      <c r="X1031" t="s">
        <v>572</v>
      </c>
      <c r="Y1031" t="s">
        <v>472</v>
      </c>
      <c r="Z1031" t="s">
        <v>485</v>
      </c>
      <c r="AA1031" t="s">
        <v>764</v>
      </c>
      <c r="AB1031" t="s">
        <v>765</v>
      </c>
      <c r="AC1031">
        <v>1</v>
      </c>
      <c r="AD1031" t="s">
        <v>639</v>
      </c>
      <c r="AE1031">
        <v>13828.864519999999</v>
      </c>
      <c r="AF1031">
        <v>6.5271039999999997E-3</v>
      </c>
      <c r="AG1031" t="s">
        <v>560</v>
      </c>
      <c r="AH1031">
        <v>1</v>
      </c>
      <c r="AI1031">
        <v>2118683.08</v>
      </c>
      <c r="AJ1031" t="s">
        <v>561</v>
      </c>
      <c r="AK1031" t="s">
        <v>573</v>
      </c>
      <c r="AL1031" t="s">
        <v>772</v>
      </c>
      <c r="AM1031">
        <v>2021</v>
      </c>
      <c r="AN1031">
        <v>2019</v>
      </c>
      <c r="AO1031">
        <f>IF(AND(emissions[[#This Row],[Market-based]]=0,emissions[[#This Row],[Impact Type]]="CO2E"),emissions[[#This Row],[kgCO2e]],0)/1000</f>
        <v>0</v>
      </c>
      <c r="AP1031">
        <f>IF(AND(emissions[[#This Row],[Market-based]]=1,OR(emissions[[#This Row],[Impact Type]]="CO2E",emissions[[#This Row],[Impact Type]]="CO2E MKT")),emissions[[#This Row],[kgCO2e]],0)/1000</f>
        <v>13.82886452</v>
      </c>
      <c r="AQ1031" t="str">
        <f>_xlfn.TEXTAFTER(emissions[[#This Row],[Reporting Unit]]," &gt; ",LEN(emissions[[#This Row],[Reporting Unit]])-LEN(SUBSTITUTE(emissions[[#This Row],[Reporting Unit]],"&gt;","")))</f>
        <v>Vantage_Deerfield</v>
      </c>
      <c r="AR1031" t="str">
        <f>_xlfn.XLOOKUP(emissions[[#This Row],[Reporting unit name]],hierarchy!$A:$A,hierarchy!$C:$C)</f>
        <v>Office</v>
      </c>
    </row>
    <row r="1032" spans="1:44" hidden="1" x14ac:dyDescent="0.25">
      <c r="A1032">
        <v>4947</v>
      </c>
      <c r="B1032" t="s">
        <v>382</v>
      </c>
      <c r="C1032" t="s">
        <v>501</v>
      </c>
      <c r="D1032" t="s">
        <v>599</v>
      </c>
      <c r="E1032" s="3">
        <v>44197</v>
      </c>
      <c r="F1032" s="3">
        <v>44561</v>
      </c>
      <c r="G1032" t="s">
        <v>108</v>
      </c>
      <c r="H1032" s="3">
        <v>44197</v>
      </c>
      <c r="I1032" s="3">
        <v>44561</v>
      </c>
      <c r="J1032" t="s">
        <v>108</v>
      </c>
      <c r="K1032">
        <v>2118683.08</v>
      </c>
      <c r="L1032" t="s">
        <v>109</v>
      </c>
      <c r="M1032" t="s">
        <v>82</v>
      </c>
      <c r="O1032" t="s">
        <v>600</v>
      </c>
      <c r="P1032" t="s">
        <v>550</v>
      </c>
      <c r="Q1032">
        <v>2021</v>
      </c>
      <c r="R1032" t="s">
        <v>575</v>
      </c>
      <c r="S1032" t="s">
        <v>576</v>
      </c>
      <c r="T1032" t="s">
        <v>577</v>
      </c>
      <c r="U1032" t="b">
        <v>0</v>
      </c>
      <c r="V1032" t="s">
        <v>774</v>
      </c>
      <c r="W1032" t="s">
        <v>571</v>
      </c>
      <c r="X1032" t="s">
        <v>572</v>
      </c>
      <c r="Y1032" t="s">
        <v>472</v>
      </c>
      <c r="Z1032" t="s">
        <v>485</v>
      </c>
      <c r="AA1032" t="s">
        <v>764</v>
      </c>
      <c r="AB1032" t="s">
        <v>765</v>
      </c>
      <c r="AC1032">
        <v>0</v>
      </c>
      <c r="AD1032" t="s">
        <v>558</v>
      </c>
      <c r="AE1032">
        <v>628.33584010000004</v>
      </c>
      <c r="AF1032">
        <v>2.96569E-4</v>
      </c>
      <c r="AG1032" t="s">
        <v>560</v>
      </c>
      <c r="AH1032">
        <v>1</v>
      </c>
      <c r="AI1032">
        <v>2118683.08</v>
      </c>
      <c r="AJ1032" t="s">
        <v>561</v>
      </c>
      <c r="AK1032" t="s">
        <v>573</v>
      </c>
      <c r="AL1032" t="s">
        <v>792</v>
      </c>
      <c r="AM1032">
        <v>2021</v>
      </c>
      <c r="AN1032">
        <v>2019</v>
      </c>
      <c r="AO1032">
        <f>IF(AND(emissions[[#This Row],[Market-based]]=0,emissions[[#This Row],[Impact Type]]="CO2E"),emissions[[#This Row],[kgCO2e]],0)/1000</f>
        <v>0</v>
      </c>
      <c r="AP1032">
        <f>IF(AND(emissions[[#This Row],[Market-based]]=1,OR(emissions[[#This Row],[Impact Type]]="CO2E",emissions[[#This Row],[Impact Type]]="CO2E MKT")),emissions[[#This Row],[kgCO2e]],0)/1000</f>
        <v>0</v>
      </c>
      <c r="AQ1032" t="str">
        <f>_xlfn.TEXTAFTER(emissions[[#This Row],[Reporting Unit]]," &gt; ",LEN(emissions[[#This Row],[Reporting Unit]])-LEN(SUBSTITUTE(emissions[[#This Row],[Reporting Unit]],"&gt;","")))</f>
        <v>Vantage_Deerfield</v>
      </c>
      <c r="AR1032" t="str">
        <f>_xlfn.XLOOKUP(emissions[[#This Row],[Reporting unit name]],hierarchy!$A:$A,hierarchy!$C:$C)</f>
        <v>Office</v>
      </c>
    </row>
    <row r="1033" spans="1:44" hidden="1" x14ac:dyDescent="0.25">
      <c r="A1033">
        <v>4947</v>
      </c>
      <c r="B1033" t="s">
        <v>382</v>
      </c>
      <c r="C1033" t="s">
        <v>501</v>
      </c>
      <c r="D1033" t="s">
        <v>599</v>
      </c>
      <c r="E1033" s="3">
        <v>44197</v>
      </c>
      <c r="F1033" s="3">
        <v>44561</v>
      </c>
      <c r="G1033" t="s">
        <v>108</v>
      </c>
      <c r="H1033" s="3">
        <v>44197</v>
      </c>
      <c r="I1033" s="3">
        <v>44561</v>
      </c>
      <c r="J1033" t="s">
        <v>108</v>
      </c>
      <c r="K1033">
        <v>2118683.08</v>
      </c>
      <c r="L1033" t="s">
        <v>109</v>
      </c>
      <c r="M1033" t="s">
        <v>82</v>
      </c>
      <c r="O1033" t="s">
        <v>600</v>
      </c>
      <c r="P1033" t="s">
        <v>550</v>
      </c>
      <c r="Q1033">
        <v>2021</v>
      </c>
      <c r="R1033" t="s">
        <v>575</v>
      </c>
      <c r="S1033" t="s">
        <v>576</v>
      </c>
      <c r="T1033" t="s">
        <v>577</v>
      </c>
      <c r="U1033" t="b">
        <v>0</v>
      </c>
      <c r="V1033" t="s">
        <v>774</v>
      </c>
      <c r="W1033" t="s">
        <v>571</v>
      </c>
      <c r="X1033" t="s">
        <v>572</v>
      </c>
      <c r="Y1033" t="s">
        <v>472</v>
      </c>
      <c r="Z1033" t="s">
        <v>485</v>
      </c>
      <c r="AA1033" t="s">
        <v>764</v>
      </c>
      <c r="AB1033" t="s">
        <v>765</v>
      </c>
      <c r="AC1033">
        <v>0</v>
      </c>
      <c r="AD1033" t="s">
        <v>564</v>
      </c>
      <c r="AE1033">
        <v>271054.94199999998</v>
      </c>
      <c r="AF1033">
        <v>0.12793557699999999</v>
      </c>
      <c r="AG1033" t="s">
        <v>560</v>
      </c>
      <c r="AH1033">
        <v>1</v>
      </c>
      <c r="AI1033">
        <v>2118683.08</v>
      </c>
      <c r="AJ1033" t="s">
        <v>561</v>
      </c>
      <c r="AK1033" t="s">
        <v>573</v>
      </c>
      <c r="AL1033" t="s">
        <v>792</v>
      </c>
      <c r="AM1033">
        <v>2021</v>
      </c>
      <c r="AN1033">
        <v>2019</v>
      </c>
      <c r="AO1033">
        <f>IF(AND(emissions[[#This Row],[Market-based]]=0,emissions[[#This Row],[Impact Type]]="CO2E"),emissions[[#This Row],[kgCO2e]],0)/1000</f>
        <v>0</v>
      </c>
      <c r="AP1033">
        <f>IF(AND(emissions[[#This Row],[Market-based]]=1,OR(emissions[[#This Row],[Impact Type]]="CO2E",emissions[[#This Row],[Impact Type]]="CO2E MKT")),emissions[[#This Row],[kgCO2e]],0)/1000</f>
        <v>0</v>
      </c>
      <c r="AQ1033" t="str">
        <f>_xlfn.TEXTAFTER(emissions[[#This Row],[Reporting Unit]]," &gt; ",LEN(emissions[[#This Row],[Reporting Unit]])-LEN(SUBSTITUTE(emissions[[#This Row],[Reporting Unit]],"&gt;","")))</f>
        <v>Vantage_Deerfield</v>
      </c>
      <c r="AR1033" t="str">
        <f>_xlfn.XLOOKUP(emissions[[#This Row],[Reporting unit name]],hierarchy!$A:$A,hierarchy!$C:$C)</f>
        <v>Office</v>
      </c>
    </row>
    <row r="1034" spans="1:44" hidden="1" x14ac:dyDescent="0.25">
      <c r="A1034">
        <v>4947</v>
      </c>
      <c r="B1034" t="s">
        <v>382</v>
      </c>
      <c r="C1034" t="s">
        <v>501</v>
      </c>
      <c r="D1034" t="s">
        <v>599</v>
      </c>
      <c r="E1034" s="3">
        <v>44197</v>
      </c>
      <c r="F1034" s="3">
        <v>44561</v>
      </c>
      <c r="G1034" t="s">
        <v>108</v>
      </c>
      <c r="H1034" s="3">
        <v>44197</v>
      </c>
      <c r="I1034" s="3">
        <v>44561</v>
      </c>
      <c r="J1034" t="s">
        <v>108</v>
      </c>
      <c r="K1034">
        <v>2118683.08</v>
      </c>
      <c r="L1034" t="s">
        <v>109</v>
      </c>
      <c r="M1034" t="s">
        <v>82</v>
      </c>
      <c r="O1034" t="s">
        <v>600</v>
      </c>
      <c r="P1034" t="s">
        <v>550</v>
      </c>
      <c r="Q1034">
        <v>2021</v>
      </c>
      <c r="R1034" t="s">
        <v>575</v>
      </c>
      <c r="S1034" t="s">
        <v>576</v>
      </c>
      <c r="T1034" t="s">
        <v>577</v>
      </c>
      <c r="U1034" t="b">
        <v>0</v>
      </c>
      <c r="V1034" t="s">
        <v>774</v>
      </c>
      <c r="W1034" t="s">
        <v>571</v>
      </c>
      <c r="X1034" t="s">
        <v>572</v>
      </c>
      <c r="Y1034" t="s">
        <v>472</v>
      </c>
      <c r="Z1034" t="s">
        <v>485</v>
      </c>
      <c r="AA1034" t="s">
        <v>764</v>
      </c>
      <c r="AB1034" t="s">
        <v>765</v>
      </c>
      <c r="AC1034">
        <v>0</v>
      </c>
      <c r="AD1034" t="s">
        <v>565</v>
      </c>
      <c r="AE1034">
        <v>272742.4363</v>
      </c>
      <c r="AF1034">
        <v>0.12873205900000001</v>
      </c>
      <c r="AG1034" t="s">
        <v>560</v>
      </c>
      <c r="AH1034">
        <v>1</v>
      </c>
      <c r="AI1034">
        <v>2118683.08</v>
      </c>
      <c r="AJ1034" t="s">
        <v>561</v>
      </c>
      <c r="AK1034" t="s">
        <v>573</v>
      </c>
      <c r="AL1034" t="s">
        <v>792</v>
      </c>
      <c r="AM1034">
        <v>2021</v>
      </c>
      <c r="AN1034">
        <v>2019</v>
      </c>
      <c r="AO1034">
        <f>IF(AND(emissions[[#This Row],[Market-based]]=0,emissions[[#This Row],[Impact Type]]="CO2E"),emissions[[#This Row],[kgCO2e]],0)/1000</f>
        <v>272.74243630000001</v>
      </c>
      <c r="AP1034">
        <f>IF(AND(emissions[[#This Row],[Market-based]]=1,OR(emissions[[#This Row],[Impact Type]]="CO2E",emissions[[#This Row],[Impact Type]]="CO2E MKT")),emissions[[#This Row],[kgCO2e]],0)/1000</f>
        <v>0</v>
      </c>
      <c r="AQ1034" t="str">
        <f>_xlfn.TEXTAFTER(emissions[[#This Row],[Reporting Unit]]," &gt; ",LEN(emissions[[#This Row],[Reporting Unit]])-LEN(SUBSTITUTE(emissions[[#This Row],[Reporting Unit]],"&gt;","")))</f>
        <v>Vantage_Deerfield</v>
      </c>
      <c r="AR1034" t="str">
        <f>_xlfn.XLOOKUP(emissions[[#This Row],[Reporting unit name]],hierarchy!$A:$A,hierarchy!$C:$C)</f>
        <v>Office</v>
      </c>
    </row>
    <row r="1035" spans="1:44" hidden="1" x14ac:dyDescent="0.25">
      <c r="A1035">
        <v>4947</v>
      </c>
      <c r="B1035" t="s">
        <v>382</v>
      </c>
      <c r="C1035" t="s">
        <v>501</v>
      </c>
      <c r="D1035" t="s">
        <v>599</v>
      </c>
      <c r="E1035" s="3">
        <v>44197</v>
      </c>
      <c r="F1035" s="3">
        <v>44561</v>
      </c>
      <c r="G1035" t="s">
        <v>108</v>
      </c>
      <c r="H1035" s="3">
        <v>44197</v>
      </c>
      <c r="I1035" s="3">
        <v>44561</v>
      </c>
      <c r="J1035" t="s">
        <v>108</v>
      </c>
      <c r="K1035">
        <v>2118683.08</v>
      </c>
      <c r="L1035" t="s">
        <v>109</v>
      </c>
      <c r="M1035" t="s">
        <v>82</v>
      </c>
      <c r="O1035" t="s">
        <v>600</v>
      </c>
      <c r="P1035" t="s">
        <v>550</v>
      </c>
      <c r="Q1035">
        <v>2021</v>
      </c>
      <c r="R1035" t="s">
        <v>575</v>
      </c>
      <c r="S1035" t="s">
        <v>576</v>
      </c>
      <c r="T1035" t="s">
        <v>577</v>
      </c>
      <c r="U1035" t="b">
        <v>0</v>
      </c>
      <c r="V1035" t="s">
        <v>774</v>
      </c>
      <c r="W1035" t="s">
        <v>571</v>
      </c>
      <c r="X1035" t="s">
        <v>572</v>
      </c>
      <c r="Y1035" t="s">
        <v>472</v>
      </c>
      <c r="Z1035" t="s">
        <v>485</v>
      </c>
      <c r="AA1035" t="s">
        <v>764</v>
      </c>
      <c r="AB1035" t="s">
        <v>765</v>
      </c>
      <c r="AC1035">
        <v>0</v>
      </c>
      <c r="AD1035" t="s">
        <v>566</v>
      </c>
      <c r="AE1035">
        <v>1059.1584339999999</v>
      </c>
      <c r="AF1035">
        <v>4.9991399999999996E-4</v>
      </c>
      <c r="AG1035" t="s">
        <v>560</v>
      </c>
      <c r="AH1035">
        <v>1</v>
      </c>
      <c r="AI1035">
        <v>2118683.08</v>
      </c>
      <c r="AJ1035" t="s">
        <v>561</v>
      </c>
      <c r="AK1035" t="s">
        <v>573</v>
      </c>
      <c r="AL1035" t="s">
        <v>792</v>
      </c>
      <c r="AM1035">
        <v>2021</v>
      </c>
      <c r="AN1035">
        <v>2019</v>
      </c>
      <c r="AO1035">
        <f>IF(AND(emissions[[#This Row],[Market-based]]=0,emissions[[#This Row],[Impact Type]]="CO2E"),emissions[[#This Row],[kgCO2e]],0)/1000</f>
        <v>0</v>
      </c>
      <c r="AP1035">
        <f>IF(AND(emissions[[#This Row],[Market-based]]=1,OR(emissions[[#This Row],[Impact Type]]="CO2E",emissions[[#This Row],[Impact Type]]="CO2E MKT")),emissions[[#This Row],[kgCO2e]],0)/1000</f>
        <v>0</v>
      </c>
      <c r="AQ1035" t="str">
        <f>_xlfn.TEXTAFTER(emissions[[#This Row],[Reporting Unit]]," &gt; ",LEN(emissions[[#This Row],[Reporting Unit]])-LEN(SUBSTITUTE(emissions[[#This Row],[Reporting Unit]],"&gt;","")))</f>
        <v>Vantage_Deerfield</v>
      </c>
      <c r="AR1035" t="str">
        <f>_xlfn.XLOOKUP(emissions[[#This Row],[Reporting unit name]],hierarchy!$A:$A,hierarchy!$C:$C)</f>
        <v>Office</v>
      </c>
    </row>
    <row r="1036" spans="1:44" hidden="1" x14ac:dyDescent="0.25">
      <c r="A1036">
        <v>4947</v>
      </c>
      <c r="B1036" t="s">
        <v>382</v>
      </c>
      <c r="C1036" t="s">
        <v>501</v>
      </c>
      <c r="D1036" t="s">
        <v>599</v>
      </c>
      <c r="E1036" s="3">
        <v>44197</v>
      </c>
      <c r="F1036" s="3">
        <v>44561</v>
      </c>
      <c r="G1036" t="s">
        <v>108</v>
      </c>
      <c r="H1036" s="3">
        <v>44197</v>
      </c>
      <c r="I1036" s="3">
        <v>44561</v>
      </c>
      <c r="J1036" t="s">
        <v>108</v>
      </c>
      <c r="K1036">
        <v>2118683.08</v>
      </c>
      <c r="L1036" t="s">
        <v>109</v>
      </c>
      <c r="M1036" t="s">
        <v>82</v>
      </c>
      <c r="O1036" t="s">
        <v>600</v>
      </c>
      <c r="P1036" t="s">
        <v>550</v>
      </c>
      <c r="Q1036">
        <v>2021</v>
      </c>
      <c r="R1036" t="s">
        <v>575</v>
      </c>
      <c r="S1036" t="s">
        <v>576</v>
      </c>
      <c r="T1036" t="s">
        <v>577</v>
      </c>
      <c r="U1036" t="b">
        <v>0</v>
      </c>
      <c r="V1036" t="s">
        <v>774</v>
      </c>
      <c r="W1036" t="s">
        <v>571</v>
      </c>
      <c r="X1036" t="s">
        <v>572</v>
      </c>
      <c r="Y1036" t="s">
        <v>472</v>
      </c>
      <c r="Z1036" t="s">
        <v>485</v>
      </c>
      <c r="AA1036" t="s">
        <v>764</v>
      </c>
      <c r="AB1036" t="s">
        <v>765</v>
      </c>
      <c r="AC1036">
        <v>1</v>
      </c>
      <c r="AD1036" t="s">
        <v>639</v>
      </c>
      <c r="AE1036">
        <v>271154.20640000002</v>
      </c>
      <c r="AF1036">
        <v>0.12798242900000001</v>
      </c>
      <c r="AG1036" t="s">
        <v>560</v>
      </c>
      <c r="AH1036">
        <v>1</v>
      </c>
      <c r="AI1036">
        <v>2118683.08</v>
      </c>
      <c r="AJ1036" t="s">
        <v>561</v>
      </c>
      <c r="AK1036" t="s">
        <v>573</v>
      </c>
      <c r="AL1036" t="s">
        <v>775</v>
      </c>
      <c r="AM1036">
        <v>2021</v>
      </c>
      <c r="AN1036">
        <v>2019</v>
      </c>
      <c r="AO1036">
        <f>IF(AND(emissions[[#This Row],[Market-based]]=0,emissions[[#This Row],[Impact Type]]="CO2E"),emissions[[#This Row],[kgCO2e]],0)/1000</f>
        <v>0</v>
      </c>
      <c r="AP1036">
        <f>IF(AND(emissions[[#This Row],[Market-based]]=1,OR(emissions[[#This Row],[Impact Type]]="CO2E",emissions[[#This Row],[Impact Type]]="CO2E MKT")),emissions[[#This Row],[kgCO2e]],0)/1000</f>
        <v>271.15420640000002</v>
      </c>
      <c r="AQ1036" t="str">
        <f>_xlfn.TEXTAFTER(emissions[[#This Row],[Reporting Unit]]," &gt; ",LEN(emissions[[#This Row],[Reporting Unit]])-LEN(SUBSTITUTE(emissions[[#This Row],[Reporting Unit]],"&gt;","")))</f>
        <v>Vantage_Deerfield</v>
      </c>
      <c r="AR1036" t="str">
        <f>_xlfn.XLOOKUP(emissions[[#This Row],[Reporting unit name]],hierarchy!$A:$A,hierarchy!$C:$C)</f>
        <v>Office</v>
      </c>
    </row>
    <row r="1037" spans="1:44" hidden="1" x14ac:dyDescent="0.25">
      <c r="A1037">
        <v>4947</v>
      </c>
      <c r="B1037" t="s">
        <v>382</v>
      </c>
      <c r="C1037" t="s">
        <v>501</v>
      </c>
      <c r="D1037" t="s">
        <v>599</v>
      </c>
      <c r="E1037" s="3">
        <v>44197</v>
      </c>
      <c r="F1037" s="3">
        <v>44561</v>
      </c>
      <c r="G1037" t="s">
        <v>108</v>
      </c>
      <c r="H1037" s="3">
        <v>44197</v>
      </c>
      <c r="I1037" s="3">
        <v>44561</v>
      </c>
      <c r="J1037" t="s">
        <v>108</v>
      </c>
      <c r="K1037">
        <v>2118683.08</v>
      </c>
      <c r="L1037" t="s">
        <v>109</v>
      </c>
      <c r="M1037" t="s">
        <v>82</v>
      </c>
      <c r="O1037" t="s">
        <v>600</v>
      </c>
      <c r="P1037" t="s">
        <v>550</v>
      </c>
      <c r="Q1037">
        <v>2021</v>
      </c>
      <c r="R1037" t="s">
        <v>579</v>
      </c>
      <c r="S1037" t="s">
        <v>580</v>
      </c>
      <c r="T1037" t="s">
        <v>581</v>
      </c>
      <c r="U1037" t="b">
        <v>0</v>
      </c>
      <c r="V1037" t="s">
        <v>776</v>
      </c>
      <c r="W1037" t="s">
        <v>571</v>
      </c>
      <c r="X1037" t="s">
        <v>572</v>
      </c>
      <c r="Y1037" t="s">
        <v>472</v>
      </c>
      <c r="Z1037" t="s">
        <v>485</v>
      </c>
      <c r="AA1037" t="s">
        <v>764</v>
      </c>
      <c r="AB1037" t="s">
        <v>765</v>
      </c>
      <c r="AC1037">
        <v>0</v>
      </c>
      <c r="AD1037" t="s">
        <v>565</v>
      </c>
      <c r="AE1037">
        <v>52654.804089999998</v>
      </c>
      <c r="AF1037">
        <v>2.4852610000000001E-2</v>
      </c>
      <c r="AG1037" t="s">
        <v>560</v>
      </c>
      <c r="AH1037">
        <v>1</v>
      </c>
      <c r="AI1037">
        <v>2118683.08</v>
      </c>
      <c r="AJ1037" t="s">
        <v>561</v>
      </c>
      <c r="AK1037" t="s">
        <v>766</v>
      </c>
      <c r="AL1037" t="s">
        <v>790</v>
      </c>
      <c r="AM1037">
        <v>2021</v>
      </c>
      <c r="AN1037">
        <v>2019</v>
      </c>
      <c r="AO1037">
        <f>IF(AND(emissions[[#This Row],[Market-based]]=0,emissions[[#This Row],[Impact Type]]="CO2E"),emissions[[#This Row],[kgCO2e]],0)/1000</f>
        <v>52.654804089999999</v>
      </c>
      <c r="AP1037">
        <f>IF(AND(emissions[[#This Row],[Market-based]]=1,OR(emissions[[#This Row],[Impact Type]]="CO2E",emissions[[#This Row],[Impact Type]]="CO2E MKT")),emissions[[#This Row],[kgCO2e]],0)/1000</f>
        <v>0</v>
      </c>
      <c r="AQ1037" t="str">
        <f>_xlfn.TEXTAFTER(emissions[[#This Row],[Reporting Unit]]," &gt; ",LEN(emissions[[#This Row],[Reporting Unit]])-LEN(SUBSTITUTE(emissions[[#This Row],[Reporting Unit]],"&gt;","")))</f>
        <v>Vantage_Deerfield</v>
      </c>
      <c r="AR1037" t="str">
        <f>_xlfn.XLOOKUP(emissions[[#This Row],[Reporting unit name]],hierarchy!$A:$A,hierarchy!$C:$C)</f>
        <v>Office</v>
      </c>
    </row>
    <row r="1038" spans="1:44" hidden="1" x14ac:dyDescent="0.25">
      <c r="A1038">
        <v>4947</v>
      </c>
      <c r="B1038" t="s">
        <v>382</v>
      </c>
      <c r="C1038" t="s">
        <v>501</v>
      </c>
      <c r="D1038" t="s">
        <v>599</v>
      </c>
      <c r="E1038" s="3">
        <v>44197</v>
      </c>
      <c r="F1038" s="3">
        <v>44561</v>
      </c>
      <c r="G1038" t="s">
        <v>108</v>
      </c>
      <c r="H1038" s="3">
        <v>44197</v>
      </c>
      <c r="I1038" s="3">
        <v>44561</v>
      </c>
      <c r="J1038" t="s">
        <v>108</v>
      </c>
      <c r="K1038">
        <v>2118683.08</v>
      </c>
      <c r="L1038" t="s">
        <v>109</v>
      </c>
      <c r="M1038" t="s">
        <v>82</v>
      </c>
      <c r="O1038" t="s">
        <v>600</v>
      </c>
      <c r="P1038" t="s">
        <v>550</v>
      </c>
      <c r="Q1038">
        <v>2021</v>
      </c>
      <c r="R1038" t="s">
        <v>579</v>
      </c>
      <c r="S1038" t="s">
        <v>580</v>
      </c>
      <c r="T1038" t="s">
        <v>581</v>
      </c>
      <c r="U1038" t="b">
        <v>0</v>
      </c>
      <c r="V1038" t="s">
        <v>777</v>
      </c>
      <c r="W1038" t="s">
        <v>571</v>
      </c>
      <c r="X1038" t="s">
        <v>572</v>
      </c>
      <c r="Y1038" t="s">
        <v>472</v>
      </c>
      <c r="Z1038" t="s">
        <v>485</v>
      </c>
      <c r="AA1038" t="s">
        <v>764</v>
      </c>
      <c r="AB1038" t="s">
        <v>765</v>
      </c>
      <c r="AC1038">
        <v>1</v>
      </c>
      <c r="AD1038" t="s">
        <v>639</v>
      </c>
      <c r="AE1038">
        <v>52348.185380000003</v>
      </c>
      <c r="AF1038">
        <v>2.4707889E-2</v>
      </c>
      <c r="AG1038" t="s">
        <v>560</v>
      </c>
      <c r="AH1038">
        <v>1</v>
      </c>
      <c r="AI1038">
        <v>2118683.08</v>
      </c>
      <c r="AJ1038" t="s">
        <v>561</v>
      </c>
      <c r="AK1038" t="s">
        <v>573</v>
      </c>
      <c r="AL1038" t="s">
        <v>778</v>
      </c>
      <c r="AM1038">
        <v>2021</v>
      </c>
      <c r="AN1038">
        <v>2019</v>
      </c>
      <c r="AO1038">
        <f>IF(AND(emissions[[#This Row],[Market-based]]=0,emissions[[#This Row],[Impact Type]]="CO2E"),emissions[[#This Row],[kgCO2e]],0)/1000</f>
        <v>0</v>
      </c>
      <c r="AP1038">
        <f>IF(AND(emissions[[#This Row],[Market-based]]=1,OR(emissions[[#This Row],[Impact Type]]="CO2E",emissions[[#This Row],[Impact Type]]="CO2E MKT")),emissions[[#This Row],[kgCO2e]],0)/1000</f>
        <v>52.348185380000004</v>
      </c>
      <c r="AQ1038" t="str">
        <f>_xlfn.TEXTAFTER(emissions[[#This Row],[Reporting Unit]]," &gt; ",LEN(emissions[[#This Row],[Reporting Unit]])-LEN(SUBSTITUTE(emissions[[#This Row],[Reporting Unit]],"&gt;","")))</f>
        <v>Vantage_Deerfield</v>
      </c>
      <c r="AR1038" t="str">
        <f>_xlfn.XLOOKUP(emissions[[#This Row],[Reporting unit name]],hierarchy!$A:$A,hierarchy!$C:$C)</f>
        <v>Office</v>
      </c>
    </row>
    <row r="1039" spans="1:44" hidden="1" x14ac:dyDescent="0.25">
      <c r="A1039">
        <v>4974</v>
      </c>
      <c r="B1039" t="s">
        <v>382</v>
      </c>
      <c r="C1039" t="s">
        <v>501</v>
      </c>
      <c r="D1039" t="s">
        <v>599</v>
      </c>
      <c r="E1039" s="3">
        <v>44197</v>
      </c>
      <c r="F1039" s="3">
        <v>44561</v>
      </c>
      <c r="G1039" t="s">
        <v>135</v>
      </c>
      <c r="H1039" s="3">
        <v>44197</v>
      </c>
      <c r="I1039" s="3">
        <v>44561</v>
      </c>
      <c r="J1039" t="s">
        <v>135</v>
      </c>
      <c r="K1039">
        <v>103326000</v>
      </c>
      <c r="L1039" t="s">
        <v>140</v>
      </c>
      <c r="M1039" t="s">
        <v>82</v>
      </c>
      <c r="O1039" t="s">
        <v>600</v>
      </c>
      <c r="P1039" t="s">
        <v>550</v>
      </c>
      <c r="Q1039">
        <v>2021</v>
      </c>
      <c r="R1039" t="s">
        <v>605</v>
      </c>
      <c r="S1039" t="s">
        <v>606</v>
      </c>
      <c r="T1039" t="s">
        <v>553</v>
      </c>
      <c r="U1039" t="b">
        <v>0</v>
      </c>
      <c r="V1039" t="s">
        <v>781</v>
      </c>
      <c r="W1039" t="s">
        <v>587</v>
      </c>
      <c r="X1039" t="s">
        <v>556</v>
      </c>
      <c r="Y1039" t="s">
        <v>472</v>
      </c>
      <c r="Z1039" t="s">
        <v>485</v>
      </c>
      <c r="AA1039" t="s">
        <v>764</v>
      </c>
      <c r="AC1039">
        <v>0</v>
      </c>
      <c r="AD1039" t="s">
        <v>558</v>
      </c>
      <c r="AE1039">
        <v>2.5831499999999998</v>
      </c>
      <c r="AF1039">
        <v>2.5000000000000001E-2</v>
      </c>
      <c r="AG1039" t="s">
        <v>798</v>
      </c>
      <c r="AH1039">
        <v>9.9999999999999995E-7</v>
      </c>
      <c r="AI1039">
        <v>103.32599999999999</v>
      </c>
      <c r="AJ1039" t="s">
        <v>561</v>
      </c>
      <c r="AK1039" t="s">
        <v>766</v>
      </c>
      <c r="AL1039" t="s">
        <v>790</v>
      </c>
      <c r="AM1039">
        <v>2021</v>
      </c>
      <c r="AN1039">
        <v>2021</v>
      </c>
      <c r="AO1039">
        <f>IF(AND(emissions[[#This Row],[Market-based]]=0,emissions[[#This Row],[Impact Type]]="CO2E"),emissions[[#This Row],[kgCO2e]],0)/1000</f>
        <v>0</v>
      </c>
      <c r="AP1039">
        <f>IF(AND(emissions[[#This Row],[Market-based]]=1,OR(emissions[[#This Row],[Impact Type]]="CO2E",emissions[[#This Row],[Impact Type]]="CO2E MKT")),emissions[[#This Row],[kgCO2e]],0)/1000</f>
        <v>0</v>
      </c>
      <c r="AQ1039" t="str">
        <f>_xlfn.TEXTAFTER(emissions[[#This Row],[Reporting Unit]]," &gt; ",LEN(emissions[[#This Row],[Reporting Unit]])-LEN(SUBSTITUTE(emissions[[#This Row],[Reporting Unit]],"&gt;","")))</f>
        <v>Vantage_Deerfield</v>
      </c>
      <c r="AR1039" t="str">
        <f>_xlfn.XLOOKUP(emissions[[#This Row],[Reporting unit name]],hierarchy!$A:$A,hierarchy!$C:$C)</f>
        <v>Office</v>
      </c>
    </row>
    <row r="1040" spans="1:44" hidden="1" x14ac:dyDescent="0.25">
      <c r="A1040">
        <v>4974</v>
      </c>
      <c r="B1040" t="s">
        <v>382</v>
      </c>
      <c r="C1040" t="s">
        <v>501</v>
      </c>
      <c r="D1040" t="s">
        <v>599</v>
      </c>
      <c r="E1040" s="3">
        <v>44197</v>
      </c>
      <c r="F1040" s="3">
        <v>44561</v>
      </c>
      <c r="G1040" t="s">
        <v>135</v>
      </c>
      <c r="H1040" s="3">
        <v>44197</v>
      </c>
      <c r="I1040" s="3">
        <v>44561</v>
      </c>
      <c r="J1040" t="s">
        <v>135</v>
      </c>
      <c r="K1040">
        <v>103326000</v>
      </c>
      <c r="L1040" t="s">
        <v>140</v>
      </c>
      <c r="M1040" t="s">
        <v>82</v>
      </c>
      <c r="O1040" t="s">
        <v>600</v>
      </c>
      <c r="P1040" t="s">
        <v>550</v>
      </c>
      <c r="Q1040">
        <v>2021</v>
      </c>
      <c r="R1040" t="s">
        <v>605</v>
      </c>
      <c r="S1040" t="s">
        <v>606</v>
      </c>
      <c r="T1040" t="s">
        <v>553</v>
      </c>
      <c r="U1040" t="b">
        <v>0</v>
      </c>
      <c r="V1040" t="s">
        <v>781</v>
      </c>
      <c r="W1040" t="s">
        <v>587</v>
      </c>
      <c r="X1040" t="s">
        <v>556</v>
      </c>
      <c r="Y1040" t="s">
        <v>472</v>
      </c>
      <c r="Z1040" t="s">
        <v>485</v>
      </c>
      <c r="AA1040" t="s">
        <v>764</v>
      </c>
      <c r="AC1040">
        <v>0</v>
      </c>
      <c r="AD1040" t="s">
        <v>564</v>
      </c>
      <c r="AE1040">
        <v>5482.4775600000003</v>
      </c>
      <c r="AF1040">
        <v>53.06</v>
      </c>
      <c r="AG1040" t="s">
        <v>798</v>
      </c>
      <c r="AH1040">
        <v>9.9999999999999995E-7</v>
      </c>
      <c r="AI1040">
        <v>103.32599999999999</v>
      </c>
      <c r="AJ1040" t="s">
        <v>561</v>
      </c>
      <c r="AK1040" t="s">
        <v>766</v>
      </c>
      <c r="AL1040" t="s">
        <v>787</v>
      </c>
      <c r="AM1040">
        <v>2021</v>
      </c>
      <c r="AN1040">
        <v>2020</v>
      </c>
      <c r="AO1040">
        <f>IF(AND(emissions[[#This Row],[Market-based]]=0,emissions[[#This Row],[Impact Type]]="CO2E"),emissions[[#This Row],[kgCO2e]],0)/1000</f>
        <v>0</v>
      </c>
      <c r="AP1040">
        <f>IF(AND(emissions[[#This Row],[Market-based]]=1,OR(emissions[[#This Row],[Impact Type]]="CO2E",emissions[[#This Row],[Impact Type]]="CO2E MKT")),emissions[[#This Row],[kgCO2e]],0)/1000</f>
        <v>0</v>
      </c>
      <c r="AQ1040" t="str">
        <f>_xlfn.TEXTAFTER(emissions[[#This Row],[Reporting Unit]]," &gt; ",LEN(emissions[[#This Row],[Reporting Unit]])-LEN(SUBSTITUTE(emissions[[#This Row],[Reporting Unit]],"&gt;","")))</f>
        <v>Vantage_Deerfield</v>
      </c>
      <c r="AR1040" t="str">
        <f>_xlfn.XLOOKUP(emissions[[#This Row],[Reporting unit name]],hierarchy!$A:$A,hierarchy!$C:$C)</f>
        <v>Office</v>
      </c>
    </row>
    <row r="1041" spans="1:44" hidden="1" x14ac:dyDescent="0.25">
      <c r="A1041">
        <v>4974</v>
      </c>
      <c r="B1041" t="s">
        <v>382</v>
      </c>
      <c r="C1041" t="s">
        <v>501</v>
      </c>
      <c r="D1041" t="s">
        <v>599</v>
      </c>
      <c r="E1041" s="3">
        <v>44197</v>
      </c>
      <c r="F1041" s="3">
        <v>44561</v>
      </c>
      <c r="G1041" t="s">
        <v>135</v>
      </c>
      <c r="H1041" s="3">
        <v>44197</v>
      </c>
      <c r="I1041" s="3">
        <v>44561</v>
      </c>
      <c r="J1041" t="s">
        <v>135</v>
      </c>
      <c r="K1041">
        <v>103326000</v>
      </c>
      <c r="L1041" t="s">
        <v>140</v>
      </c>
      <c r="M1041" t="s">
        <v>82</v>
      </c>
      <c r="O1041" t="s">
        <v>600</v>
      </c>
      <c r="P1041" t="s">
        <v>550</v>
      </c>
      <c r="Q1041">
        <v>2021</v>
      </c>
      <c r="R1041" t="s">
        <v>605</v>
      </c>
      <c r="S1041" t="s">
        <v>606</v>
      </c>
      <c r="T1041" t="s">
        <v>553</v>
      </c>
      <c r="U1041" t="b">
        <v>0</v>
      </c>
      <c r="V1041" t="s">
        <v>781</v>
      </c>
      <c r="W1041" t="s">
        <v>587</v>
      </c>
      <c r="X1041" t="s">
        <v>556</v>
      </c>
      <c r="Y1041" t="s">
        <v>472</v>
      </c>
      <c r="Z1041" t="s">
        <v>485</v>
      </c>
      <c r="AA1041" t="s">
        <v>764</v>
      </c>
      <c r="AC1041">
        <v>0</v>
      </c>
      <c r="AD1041" t="s">
        <v>565</v>
      </c>
      <c r="AE1041">
        <v>5488.1398250000002</v>
      </c>
      <c r="AF1041">
        <v>53.114800000000002</v>
      </c>
      <c r="AG1041" t="s">
        <v>798</v>
      </c>
      <c r="AH1041">
        <v>9.9999999999999995E-7</v>
      </c>
      <c r="AI1041">
        <v>103.32599999999999</v>
      </c>
      <c r="AJ1041" t="s">
        <v>561</v>
      </c>
      <c r="AK1041" t="s">
        <v>766</v>
      </c>
      <c r="AL1041" t="s">
        <v>790</v>
      </c>
      <c r="AM1041">
        <v>2021</v>
      </c>
      <c r="AN1041">
        <v>2021</v>
      </c>
      <c r="AO1041">
        <f>IF(AND(emissions[[#This Row],[Market-based]]=0,emissions[[#This Row],[Impact Type]]="CO2E"),emissions[[#This Row],[kgCO2e]],0)/1000</f>
        <v>5.4881398250000002</v>
      </c>
      <c r="AP1041">
        <f>IF(AND(emissions[[#This Row],[Market-based]]=1,OR(emissions[[#This Row],[Impact Type]]="CO2E",emissions[[#This Row],[Impact Type]]="CO2E MKT")),emissions[[#This Row],[kgCO2e]],0)/1000</f>
        <v>0</v>
      </c>
      <c r="AQ1041" t="str">
        <f>_xlfn.TEXTAFTER(emissions[[#This Row],[Reporting Unit]]," &gt; ",LEN(emissions[[#This Row],[Reporting Unit]])-LEN(SUBSTITUTE(emissions[[#This Row],[Reporting Unit]],"&gt;","")))</f>
        <v>Vantage_Deerfield</v>
      </c>
      <c r="AR1041" t="str">
        <f>_xlfn.XLOOKUP(emissions[[#This Row],[Reporting unit name]],hierarchy!$A:$A,hierarchy!$C:$C)</f>
        <v>Office</v>
      </c>
    </row>
    <row r="1042" spans="1:44" hidden="1" x14ac:dyDescent="0.25">
      <c r="A1042">
        <v>4974</v>
      </c>
      <c r="B1042" t="s">
        <v>382</v>
      </c>
      <c r="C1042" t="s">
        <v>501</v>
      </c>
      <c r="D1042" t="s">
        <v>599</v>
      </c>
      <c r="E1042" s="3">
        <v>44197</v>
      </c>
      <c r="F1042" s="3">
        <v>44561</v>
      </c>
      <c r="G1042" t="s">
        <v>135</v>
      </c>
      <c r="H1042" s="3">
        <v>44197</v>
      </c>
      <c r="I1042" s="3">
        <v>44561</v>
      </c>
      <c r="J1042" t="s">
        <v>135</v>
      </c>
      <c r="K1042">
        <v>103326000</v>
      </c>
      <c r="L1042" t="s">
        <v>140</v>
      </c>
      <c r="M1042" t="s">
        <v>82</v>
      </c>
      <c r="O1042" t="s">
        <v>600</v>
      </c>
      <c r="P1042" t="s">
        <v>550</v>
      </c>
      <c r="Q1042">
        <v>2021</v>
      </c>
      <c r="R1042" t="s">
        <v>605</v>
      </c>
      <c r="S1042" t="s">
        <v>606</v>
      </c>
      <c r="T1042" t="s">
        <v>553</v>
      </c>
      <c r="U1042" t="b">
        <v>0</v>
      </c>
      <c r="V1042" t="s">
        <v>781</v>
      </c>
      <c r="W1042" t="s">
        <v>587</v>
      </c>
      <c r="X1042" t="s">
        <v>556</v>
      </c>
      <c r="Y1042" t="s">
        <v>472</v>
      </c>
      <c r="Z1042" t="s">
        <v>485</v>
      </c>
      <c r="AA1042" t="s">
        <v>764</v>
      </c>
      <c r="AC1042">
        <v>0</v>
      </c>
      <c r="AD1042" t="s">
        <v>566</v>
      </c>
      <c r="AE1042">
        <v>3.0791148000000002</v>
      </c>
      <c r="AF1042">
        <v>2.98E-2</v>
      </c>
      <c r="AG1042" t="s">
        <v>798</v>
      </c>
      <c r="AH1042">
        <v>9.9999999999999995E-7</v>
      </c>
      <c r="AI1042">
        <v>103.32599999999999</v>
      </c>
      <c r="AJ1042" t="s">
        <v>561</v>
      </c>
      <c r="AK1042" t="s">
        <v>766</v>
      </c>
      <c r="AL1042" t="s">
        <v>790</v>
      </c>
      <c r="AM1042">
        <v>2021</v>
      </c>
      <c r="AN1042">
        <v>2021</v>
      </c>
      <c r="AO1042">
        <f>IF(AND(emissions[[#This Row],[Market-based]]=0,emissions[[#This Row],[Impact Type]]="CO2E"),emissions[[#This Row],[kgCO2e]],0)/1000</f>
        <v>0</v>
      </c>
      <c r="AP1042">
        <f>IF(AND(emissions[[#This Row],[Market-based]]=1,OR(emissions[[#This Row],[Impact Type]]="CO2E",emissions[[#This Row],[Impact Type]]="CO2E MKT")),emissions[[#This Row],[kgCO2e]],0)/1000</f>
        <v>0</v>
      </c>
      <c r="AQ1042" t="str">
        <f>_xlfn.TEXTAFTER(emissions[[#This Row],[Reporting Unit]]," &gt; ",LEN(emissions[[#This Row],[Reporting Unit]])-LEN(SUBSTITUTE(emissions[[#This Row],[Reporting Unit]],"&gt;","")))</f>
        <v>Vantage_Deerfield</v>
      </c>
      <c r="AR1042" t="str">
        <f>_xlfn.XLOOKUP(emissions[[#This Row],[Reporting unit name]],hierarchy!$A:$A,hierarchy!$C:$C)</f>
        <v>Office</v>
      </c>
    </row>
    <row r="1043" spans="1:44" hidden="1" x14ac:dyDescent="0.25">
      <c r="A1043">
        <v>4974</v>
      </c>
      <c r="B1043" t="s">
        <v>382</v>
      </c>
      <c r="C1043" t="s">
        <v>501</v>
      </c>
      <c r="D1043" t="s">
        <v>599</v>
      </c>
      <c r="E1043" s="3">
        <v>44197</v>
      </c>
      <c r="F1043" s="3">
        <v>44561</v>
      </c>
      <c r="G1043" t="s">
        <v>135</v>
      </c>
      <c r="H1043" s="3">
        <v>44197</v>
      </c>
      <c r="I1043" s="3">
        <v>44561</v>
      </c>
      <c r="J1043" t="s">
        <v>135</v>
      </c>
      <c r="K1043">
        <v>103326000</v>
      </c>
      <c r="L1043" t="s">
        <v>140</v>
      </c>
      <c r="M1043" t="s">
        <v>82</v>
      </c>
      <c r="O1043" t="s">
        <v>600</v>
      </c>
      <c r="P1043" t="s">
        <v>550</v>
      </c>
      <c r="Q1043">
        <v>2021</v>
      </c>
      <c r="R1043" t="s">
        <v>605</v>
      </c>
      <c r="S1043" t="s">
        <v>606</v>
      </c>
      <c r="T1043" t="s">
        <v>553</v>
      </c>
      <c r="U1043" t="b">
        <v>0</v>
      </c>
      <c r="V1043" t="s">
        <v>781</v>
      </c>
      <c r="W1043" t="s">
        <v>587</v>
      </c>
      <c r="X1043" t="s">
        <v>556</v>
      </c>
      <c r="Y1043" t="s">
        <v>472</v>
      </c>
      <c r="Z1043" t="s">
        <v>485</v>
      </c>
      <c r="AA1043" t="s">
        <v>764</v>
      </c>
      <c r="AC1043">
        <v>1</v>
      </c>
      <c r="AD1043" t="s">
        <v>558</v>
      </c>
      <c r="AE1043">
        <v>2.5831499999999998</v>
      </c>
      <c r="AF1043">
        <v>2.5000000000000001E-2</v>
      </c>
      <c r="AG1043" t="s">
        <v>798</v>
      </c>
      <c r="AH1043">
        <v>9.9999999999999995E-7</v>
      </c>
      <c r="AI1043">
        <v>103.32599999999999</v>
      </c>
      <c r="AJ1043" t="s">
        <v>561</v>
      </c>
      <c r="AK1043" t="s">
        <v>766</v>
      </c>
      <c r="AL1043" t="s">
        <v>790</v>
      </c>
      <c r="AM1043">
        <v>2021</v>
      </c>
      <c r="AN1043">
        <v>2021</v>
      </c>
      <c r="AO1043">
        <f>IF(AND(emissions[[#This Row],[Market-based]]=0,emissions[[#This Row],[Impact Type]]="CO2E"),emissions[[#This Row],[kgCO2e]],0)/1000</f>
        <v>0</v>
      </c>
      <c r="AP1043">
        <f>IF(AND(emissions[[#This Row],[Market-based]]=1,OR(emissions[[#This Row],[Impact Type]]="CO2E",emissions[[#This Row],[Impact Type]]="CO2E MKT")),emissions[[#This Row],[kgCO2e]],0)/1000</f>
        <v>0</v>
      </c>
      <c r="AQ1043" t="str">
        <f>_xlfn.TEXTAFTER(emissions[[#This Row],[Reporting Unit]]," &gt; ",LEN(emissions[[#This Row],[Reporting Unit]])-LEN(SUBSTITUTE(emissions[[#This Row],[Reporting Unit]],"&gt;","")))</f>
        <v>Vantage_Deerfield</v>
      </c>
      <c r="AR1043" t="str">
        <f>_xlfn.XLOOKUP(emissions[[#This Row],[Reporting unit name]],hierarchy!$A:$A,hierarchy!$C:$C)</f>
        <v>Office</v>
      </c>
    </row>
    <row r="1044" spans="1:44" hidden="1" x14ac:dyDescent="0.25">
      <c r="A1044">
        <v>4974</v>
      </c>
      <c r="B1044" t="s">
        <v>382</v>
      </c>
      <c r="C1044" t="s">
        <v>501</v>
      </c>
      <c r="D1044" t="s">
        <v>599</v>
      </c>
      <c r="E1044" s="3">
        <v>44197</v>
      </c>
      <c r="F1044" s="3">
        <v>44561</v>
      </c>
      <c r="G1044" t="s">
        <v>135</v>
      </c>
      <c r="H1044" s="3">
        <v>44197</v>
      </c>
      <c r="I1044" s="3">
        <v>44561</v>
      </c>
      <c r="J1044" t="s">
        <v>135</v>
      </c>
      <c r="K1044">
        <v>103326000</v>
      </c>
      <c r="L1044" t="s">
        <v>140</v>
      </c>
      <c r="M1044" t="s">
        <v>82</v>
      </c>
      <c r="O1044" t="s">
        <v>600</v>
      </c>
      <c r="P1044" t="s">
        <v>550</v>
      </c>
      <c r="Q1044">
        <v>2021</v>
      </c>
      <c r="R1044" t="s">
        <v>605</v>
      </c>
      <c r="S1044" t="s">
        <v>606</v>
      </c>
      <c r="T1044" t="s">
        <v>553</v>
      </c>
      <c r="U1044" t="b">
        <v>0</v>
      </c>
      <c r="V1044" t="s">
        <v>781</v>
      </c>
      <c r="W1044" t="s">
        <v>587</v>
      </c>
      <c r="X1044" t="s">
        <v>556</v>
      </c>
      <c r="Y1044" t="s">
        <v>472</v>
      </c>
      <c r="Z1044" t="s">
        <v>485</v>
      </c>
      <c r="AA1044" t="s">
        <v>764</v>
      </c>
      <c r="AC1044">
        <v>1</v>
      </c>
      <c r="AD1044" t="s">
        <v>564</v>
      </c>
      <c r="AE1044">
        <v>5482.4775600000003</v>
      </c>
      <c r="AF1044">
        <v>53.06</v>
      </c>
      <c r="AG1044" t="s">
        <v>798</v>
      </c>
      <c r="AH1044">
        <v>9.9999999999999995E-7</v>
      </c>
      <c r="AI1044">
        <v>103.32599999999999</v>
      </c>
      <c r="AJ1044" t="s">
        <v>561</v>
      </c>
      <c r="AK1044" t="s">
        <v>766</v>
      </c>
      <c r="AL1044" t="s">
        <v>787</v>
      </c>
      <c r="AM1044">
        <v>2021</v>
      </c>
      <c r="AN1044">
        <v>2020</v>
      </c>
      <c r="AO1044">
        <f>IF(AND(emissions[[#This Row],[Market-based]]=0,emissions[[#This Row],[Impact Type]]="CO2E"),emissions[[#This Row],[kgCO2e]],0)/1000</f>
        <v>0</v>
      </c>
      <c r="AP1044">
        <f>IF(AND(emissions[[#This Row],[Market-based]]=1,OR(emissions[[#This Row],[Impact Type]]="CO2E",emissions[[#This Row],[Impact Type]]="CO2E MKT")),emissions[[#This Row],[kgCO2e]],0)/1000</f>
        <v>0</v>
      </c>
      <c r="AQ1044" t="str">
        <f>_xlfn.TEXTAFTER(emissions[[#This Row],[Reporting Unit]]," &gt; ",LEN(emissions[[#This Row],[Reporting Unit]])-LEN(SUBSTITUTE(emissions[[#This Row],[Reporting Unit]],"&gt;","")))</f>
        <v>Vantage_Deerfield</v>
      </c>
      <c r="AR1044" t="str">
        <f>_xlfn.XLOOKUP(emissions[[#This Row],[Reporting unit name]],hierarchy!$A:$A,hierarchy!$C:$C)</f>
        <v>Office</v>
      </c>
    </row>
    <row r="1045" spans="1:44" hidden="1" x14ac:dyDescent="0.25">
      <c r="A1045">
        <v>4974</v>
      </c>
      <c r="B1045" t="s">
        <v>382</v>
      </c>
      <c r="C1045" t="s">
        <v>501</v>
      </c>
      <c r="D1045" t="s">
        <v>599</v>
      </c>
      <c r="E1045" s="3">
        <v>44197</v>
      </c>
      <c r="F1045" s="3">
        <v>44561</v>
      </c>
      <c r="G1045" t="s">
        <v>135</v>
      </c>
      <c r="H1045" s="3">
        <v>44197</v>
      </c>
      <c r="I1045" s="3">
        <v>44561</v>
      </c>
      <c r="J1045" t="s">
        <v>135</v>
      </c>
      <c r="K1045">
        <v>103326000</v>
      </c>
      <c r="L1045" t="s">
        <v>140</v>
      </c>
      <c r="M1045" t="s">
        <v>82</v>
      </c>
      <c r="O1045" t="s">
        <v>600</v>
      </c>
      <c r="P1045" t="s">
        <v>550</v>
      </c>
      <c r="Q1045">
        <v>2021</v>
      </c>
      <c r="R1045" t="s">
        <v>605</v>
      </c>
      <c r="S1045" t="s">
        <v>606</v>
      </c>
      <c r="T1045" t="s">
        <v>553</v>
      </c>
      <c r="U1045" t="b">
        <v>0</v>
      </c>
      <c r="V1045" t="s">
        <v>781</v>
      </c>
      <c r="W1045" t="s">
        <v>587</v>
      </c>
      <c r="X1045" t="s">
        <v>556</v>
      </c>
      <c r="Y1045" t="s">
        <v>472</v>
      </c>
      <c r="Z1045" t="s">
        <v>485</v>
      </c>
      <c r="AA1045" t="s">
        <v>764</v>
      </c>
      <c r="AC1045">
        <v>1</v>
      </c>
      <c r="AD1045" t="s">
        <v>565</v>
      </c>
      <c r="AE1045">
        <v>5488.1398250000002</v>
      </c>
      <c r="AF1045">
        <v>53.114800000000002</v>
      </c>
      <c r="AG1045" t="s">
        <v>798</v>
      </c>
      <c r="AH1045">
        <v>9.9999999999999995E-7</v>
      </c>
      <c r="AI1045">
        <v>103.32599999999999</v>
      </c>
      <c r="AJ1045" t="s">
        <v>561</v>
      </c>
      <c r="AK1045" t="s">
        <v>766</v>
      </c>
      <c r="AL1045" t="s">
        <v>790</v>
      </c>
      <c r="AM1045">
        <v>2021</v>
      </c>
      <c r="AN1045">
        <v>2021</v>
      </c>
      <c r="AO1045">
        <f>IF(AND(emissions[[#This Row],[Market-based]]=0,emissions[[#This Row],[Impact Type]]="CO2E"),emissions[[#This Row],[kgCO2e]],0)/1000</f>
        <v>0</v>
      </c>
      <c r="AP1045">
        <f>IF(AND(emissions[[#This Row],[Market-based]]=1,OR(emissions[[#This Row],[Impact Type]]="CO2E",emissions[[#This Row],[Impact Type]]="CO2E MKT")),emissions[[#This Row],[kgCO2e]],0)/1000</f>
        <v>5.4881398250000002</v>
      </c>
      <c r="AQ1045" t="str">
        <f>_xlfn.TEXTAFTER(emissions[[#This Row],[Reporting Unit]]," &gt; ",LEN(emissions[[#This Row],[Reporting Unit]])-LEN(SUBSTITUTE(emissions[[#This Row],[Reporting Unit]],"&gt;","")))</f>
        <v>Vantage_Deerfield</v>
      </c>
      <c r="AR1045" t="str">
        <f>_xlfn.XLOOKUP(emissions[[#This Row],[Reporting unit name]],hierarchy!$A:$A,hierarchy!$C:$C)</f>
        <v>Office</v>
      </c>
    </row>
    <row r="1046" spans="1:44" hidden="1" x14ac:dyDescent="0.25">
      <c r="A1046">
        <v>4974</v>
      </c>
      <c r="B1046" t="s">
        <v>382</v>
      </c>
      <c r="C1046" t="s">
        <v>501</v>
      </c>
      <c r="D1046" t="s">
        <v>599</v>
      </c>
      <c r="E1046" s="3">
        <v>44197</v>
      </c>
      <c r="F1046" s="3">
        <v>44561</v>
      </c>
      <c r="G1046" t="s">
        <v>135</v>
      </c>
      <c r="H1046" s="3">
        <v>44197</v>
      </c>
      <c r="I1046" s="3">
        <v>44561</v>
      </c>
      <c r="J1046" t="s">
        <v>135</v>
      </c>
      <c r="K1046">
        <v>103326000</v>
      </c>
      <c r="L1046" t="s">
        <v>140</v>
      </c>
      <c r="M1046" t="s">
        <v>82</v>
      </c>
      <c r="O1046" t="s">
        <v>600</v>
      </c>
      <c r="P1046" t="s">
        <v>550</v>
      </c>
      <c r="Q1046">
        <v>2021</v>
      </c>
      <c r="R1046" t="s">
        <v>605</v>
      </c>
      <c r="S1046" t="s">
        <v>606</v>
      </c>
      <c r="T1046" t="s">
        <v>553</v>
      </c>
      <c r="U1046" t="b">
        <v>0</v>
      </c>
      <c r="V1046" t="s">
        <v>781</v>
      </c>
      <c r="W1046" t="s">
        <v>587</v>
      </c>
      <c r="X1046" t="s">
        <v>556</v>
      </c>
      <c r="Y1046" t="s">
        <v>472</v>
      </c>
      <c r="Z1046" t="s">
        <v>485</v>
      </c>
      <c r="AA1046" t="s">
        <v>764</v>
      </c>
      <c r="AC1046">
        <v>1</v>
      </c>
      <c r="AD1046" t="s">
        <v>566</v>
      </c>
      <c r="AE1046">
        <v>3.0791148000000002</v>
      </c>
      <c r="AF1046">
        <v>2.98E-2</v>
      </c>
      <c r="AG1046" t="s">
        <v>798</v>
      </c>
      <c r="AH1046">
        <v>9.9999999999999995E-7</v>
      </c>
      <c r="AI1046">
        <v>103.32599999999999</v>
      </c>
      <c r="AJ1046" t="s">
        <v>561</v>
      </c>
      <c r="AK1046" t="s">
        <v>766</v>
      </c>
      <c r="AL1046" t="s">
        <v>790</v>
      </c>
      <c r="AM1046">
        <v>2021</v>
      </c>
      <c r="AN1046">
        <v>2021</v>
      </c>
      <c r="AO1046">
        <f>IF(AND(emissions[[#This Row],[Market-based]]=0,emissions[[#This Row],[Impact Type]]="CO2E"),emissions[[#This Row],[kgCO2e]],0)/1000</f>
        <v>0</v>
      </c>
      <c r="AP1046">
        <f>IF(AND(emissions[[#This Row],[Market-based]]=1,OR(emissions[[#This Row],[Impact Type]]="CO2E",emissions[[#This Row],[Impact Type]]="CO2E MKT")),emissions[[#This Row],[kgCO2e]],0)/1000</f>
        <v>0</v>
      </c>
      <c r="AQ1046" t="str">
        <f>_xlfn.TEXTAFTER(emissions[[#This Row],[Reporting Unit]]," &gt; ",LEN(emissions[[#This Row],[Reporting Unit]])-LEN(SUBSTITUTE(emissions[[#This Row],[Reporting Unit]],"&gt;","")))</f>
        <v>Vantage_Deerfield</v>
      </c>
      <c r="AR1046" t="str">
        <f>_xlfn.XLOOKUP(emissions[[#This Row],[Reporting unit name]],hierarchy!$A:$A,hierarchy!$C:$C)</f>
        <v>Office</v>
      </c>
    </row>
    <row r="1047" spans="1:44" hidden="1" x14ac:dyDescent="0.25">
      <c r="A1047">
        <v>4974</v>
      </c>
      <c r="B1047" t="s">
        <v>382</v>
      </c>
      <c r="C1047" t="s">
        <v>501</v>
      </c>
      <c r="D1047" t="s">
        <v>599</v>
      </c>
      <c r="E1047" s="3">
        <v>44197</v>
      </c>
      <c r="F1047" s="3">
        <v>44561</v>
      </c>
      <c r="G1047" t="s">
        <v>135</v>
      </c>
      <c r="H1047" s="3">
        <v>44197</v>
      </c>
      <c r="I1047" s="3">
        <v>44561</v>
      </c>
      <c r="J1047" t="s">
        <v>135</v>
      </c>
      <c r="K1047">
        <v>103326000</v>
      </c>
      <c r="L1047" t="s">
        <v>140</v>
      </c>
      <c r="M1047" t="s">
        <v>82</v>
      </c>
      <c r="O1047" t="s">
        <v>600</v>
      </c>
      <c r="P1047" t="s">
        <v>550</v>
      </c>
      <c r="Q1047">
        <v>2021</v>
      </c>
      <c r="R1047" t="s">
        <v>609</v>
      </c>
      <c r="S1047" t="s">
        <v>610</v>
      </c>
      <c r="T1047" t="s">
        <v>577</v>
      </c>
      <c r="U1047" t="b">
        <v>0</v>
      </c>
      <c r="V1047" t="s">
        <v>611</v>
      </c>
      <c r="W1047" t="s">
        <v>571</v>
      </c>
      <c r="X1047" t="s">
        <v>572</v>
      </c>
      <c r="AC1047">
        <v>0</v>
      </c>
      <c r="AD1047" t="s">
        <v>565</v>
      </c>
      <c r="AE1047">
        <v>949.33288819999996</v>
      </c>
      <c r="AF1047">
        <v>3.1350000000000003E-2</v>
      </c>
      <c r="AG1047" t="s">
        <v>608</v>
      </c>
      <c r="AH1047">
        <v>2.9306999999999998E-4</v>
      </c>
      <c r="AI1047">
        <v>30281.750820000001</v>
      </c>
      <c r="AJ1047" t="s">
        <v>561</v>
      </c>
      <c r="AK1047" t="s">
        <v>589</v>
      </c>
      <c r="AL1047" t="s">
        <v>603</v>
      </c>
      <c r="AM1047">
        <v>2021</v>
      </c>
      <c r="AN1047">
        <v>2019</v>
      </c>
      <c r="AO1047">
        <f>IF(AND(emissions[[#This Row],[Market-based]]=0,emissions[[#This Row],[Impact Type]]="CO2E"),emissions[[#This Row],[kgCO2e]],0)/1000</f>
        <v>0.94933288819999995</v>
      </c>
      <c r="AP1047">
        <f>IF(AND(emissions[[#This Row],[Market-based]]=1,OR(emissions[[#This Row],[Impact Type]]="CO2E",emissions[[#This Row],[Impact Type]]="CO2E MKT")),emissions[[#This Row],[kgCO2e]],0)/1000</f>
        <v>0</v>
      </c>
      <c r="AQ1047" t="str">
        <f>_xlfn.TEXTAFTER(emissions[[#This Row],[Reporting Unit]]," &gt; ",LEN(emissions[[#This Row],[Reporting Unit]])-LEN(SUBSTITUTE(emissions[[#This Row],[Reporting Unit]],"&gt;","")))</f>
        <v>Vantage_Deerfield</v>
      </c>
      <c r="AR1047" t="str">
        <f>_xlfn.XLOOKUP(emissions[[#This Row],[Reporting unit name]],hierarchy!$A:$A,hierarchy!$C:$C)</f>
        <v>Office</v>
      </c>
    </row>
    <row r="1048" spans="1:44" hidden="1" x14ac:dyDescent="0.25">
      <c r="A1048">
        <v>4974</v>
      </c>
      <c r="B1048" t="s">
        <v>382</v>
      </c>
      <c r="C1048" t="s">
        <v>501</v>
      </c>
      <c r="D1048" t="s">
        <v>599</v>
      </c>
      <c r="E1048" s="3">
        <v>44197</v>
      </c>
      <c r="F1048" s="3">
        <v>44561</v>
      </c>
      <c r="G1048" t="s">
        <v>135</v>
      </c>
      <c r="H1048" s="3">
        <v>44197</v>
      </c>
      <c r="I1048" s="3">
        <v>44561</v>
      </c>
      <c r="J1048" t="s">
        <v>135</v>
      </c>
      <c r="K1048">
        <v>103326000</v>
      </c>
      <c r="L1048" t="s">
        <v>140</v>
      </c>
      <c r="M1048" t="s">
        <v>82</v>
      </c>
      <c r="O1048" t="s">
        <v>600</v>
      </c>
      <c r="P1048" t="s">
        <v>550</v>
      </c>
      <c r="Q1048">
        <v>2021</v>
      </c>
      <c r="R1048" t="s">
        <v>609</v>
      </c>
      <c r="S1048" t="s">
        <v>610</v>
      </c>
      <c r="T1048" t="s">
        <v>577</v>
      </c>
      <c r="U1048" t="b">
        <v>0</v>
      </c>
      <c r="V1048" t="s">
        <v>611</v>
      </c>
      <c r="W1048" t="s">
        <v>571</v>
      </c>
      <c r="X1048" t="s">
        <v>572</v>
      </c>
      <c r="AC1048">
        <v>1</v>
      </c>
      <c r="AD1048" t="s">
        <v>565</v>
      </c>
      <c r="AE1048">
        <v>949.33288819999996</v>
      </c>
      <c r="AF1048">
        <v>3.1350000000000003E-2</v>
      </c>
      <c r="AG1048" t="s">
        <v>608</v>
      </c>
      <c r="AH1048">
        <v>2.9306999999999998E-4</v>
      </c>
      <c r="AI1048">
        <v>30281.750820000001</v>
      </c>
      <c r="AJ1048" t="s">
        <v>561</v>
      </c>
      <c r="AK1048" t="s">
        <v>589</v>
      </c>
      <c r="AL1048" t="s">
        <v>603</v>
      </c>
      <c r="AM1048">
        <v>2021</v>
      </c>
      <c r="AN1048">
        <v>2019</v>
      </c>
      <c r="AO1048">
        <f>IF(AND(emissions[[#This Row],[Market-based]]=0,emissions[[#This Row],[Impact Type]]="CO2E"),emissions[[#This Row],[kgCO2e]],0)/1000</f>
        <v>0</v>
      </c>
      <c r="AP1048">
        <f>IF(AND(emissions[[#This Row],[Market-based]]=1,OR(emissions[[#This Row],[Impact Type]]="CO2E",emissions[[#This Row],[Impact Type]]="CO2E MKT")),emissions[[#This Row],[kgCO2e]],0)/1000</f>
        <v>0.94933288819999995</v>
      </c>
      <c r="AQ1048" t="str">
        <f>_xlfn.TEXTAFTER(emissions[[#This Row],[Reporting Unit]]," &gt; ",LEN(emissions[[#This Row],[Reporting Unit]])-LEN(SUBSTITUTE(emissions[[#This Row],[Reporting Unit]],"&gt;","")))</f>
        <v>Vantage_Deerfield</v>
      </c>
      <c r="AR1048" t="str">
        <f>_xlfn.XLOOKUP(emissions[[#This Row],[Reporting unit name]],hierarchy!$A:$A,hierarchy!$C:$C)</f>
        <v>Office</v>
      </c>
    </row>
    <row r="1049" spans="1:44" hidden="1" x14ac:dyDescent="0.25">
      <c r="A1049">
        <v>5007</v>
      </c>
      <c r="B1049" t="s">
        <v>382</v>
      </c>
      <c r="C1049" t="s">
        <v>501</v>
      </c>
      <c r="D1049" t="s">
        <v>599</v>
      </c>
      <c r="E1049" s="3">
        <v>44197</v>
      </c>
      <c r="F1049" s="3">
        <v>44561</v>
      </c>
      <c r="G1049" t="s">
        <v>141</v>
      </c>
      <c r="H1049" s="3">
        <v>44197</v>
      </c>
      <c r="I1049" s="3">
        <v>44561</v>
      </c>
      <c r="J1049" t="s">
        <v>187</v>
      </c>
      <c r="K1049">
        <v>0</v>
      </c>
      <c r="L1049" t="s">
        <v>109</v>
      </c>
      <c r="M1049" t="s">
        <v>110</v>
      </c>
      <c r="O1049" t="s">
        <v>600</v>
      </c>
      <c r="P1049" t="s">
        <v>550</v>
      </c>
      <c r="Q1049">
        <v>2021</v>
      </c>
      <c r="R1049" t="s">
        <v>654</v>
      </c>
      <c r="S1049" t="s">
        <v>655</v>
      </c>
      <c r="T1049" t="s">
        <v>553</v>
      </c>
      <c r="U1049" t="b">
        <v>0</v>
      </c>
      <c r="V1049" t="s">
        <v>656</v>
      </c>
      <c r="W1049" t="s">
        <v>587</v>
      </c>
      <c r="X1049" t="s">
        <v>556</v>
      </c>
      <c r="AC1049">
        <v>0</v>
      </c>
      <c r="AD1049" t="s">
        <v>558</v>
      </c>
      <c r="AE1049">
        <v>0</v>
      </c>
      <c r="AF1049">
        <v>7.6000000000000004E-4</v>
      </c>
      <c r="AG1049" t="s">
        <v>608</v>
      </c>
      <c r="AH1049">
        <v>1</v>
      </c>
      <c r="AI1049">
        <v>0</v>
      </c>
      <c r="AJ1049" t="s">
        <v>561</v>
      </c>
      <c r="AK1049" t="s">
        <v>589</v>
      </c>
      <c r="AL1049" t="s">
        <v>603</v>
      </c>
      <c r="AM1049">
        <v>2021</v>
      </c>
      <c r="AN1049">
        <v>2019</v>
      </c>
      <c r="AO1049">
        <f>IF(AND(emissions[[#This Row],[Market-based]]=0,emissions[[#This Row],[Impact Type]]="CO2E"),emissions[[#This Row],[kgCO2e]],0)/1000</f>
        <v>0</v>
      </c>
      <c r="AP1049">
        <f>IF(AND(emissions[[#This Row],[Market-based]]=1,OR(emissions[[#This Row],[Impact Type]]="CO2E",emissions[[#This Row],[Impact Type]]="CO2E MKT")),emissions[[#This Row],[kgCO2e]],0)/1000</f>
        <v>0</v>
      </c>
      <c r="AQ1049" t="str">
        <f>_xlfn.TEXTAFTER(emissions[[#This Row],[Reporting Unit]]," &gt; ",LEN(emissions[[#This Row],[Reporting Unit]])-LEN(SUBSTITUTE(emissions[[#This Row],[Reporting Unit]],"&gt;","")))</f>
        <v>Vantage_Deerfield</v>
      </c>
      <c r="AR1049" t="str">
        <f>_xlfn.XLOOKUP(emissions[[#This Row],[Reporting unit name]],hierarchy!$A:$A,hierarchy!$C:$C)</f>
        <v>Office</v>
      </c>
    </row>
    <row r="1050" spans="1:44" hidden="1" x14ac:dyDescent="0.25">
      <c r="A1050">
        <v>5007</v>
      </c>
      <c r="B1050" t="s">
        <v>382</v>
      </c>
      <c r="C1050" t="s">
        <v>501</v>
      </c>
      <c r="D1050" t="s">
        <v>599</v>
      </c>
      <c r="E1050" s="3">
        <v>44197</v>
      </c>
      <c r="F1050" s="3">
        <v>44561</v>
      </c>
      <c r="G1050" t="s">
        <v>141</v>
      </c>
      <c r="H1050" s="3">
        <v>44197</v>
      </c>
      <c r="I1050" s="3">
        <v>44561</v>
      </c>
      <c r="J1050" t="s">
        <v>187</v>
      </c>
      <c r="K1050">
        <v>0</v>
      </c>
      <c r="L1050" t="s">
        <v>109</v>
      </c>
      <c r="M1050" t="s">
        <v>110</v>
      </c>
      <c r="O1050" t="s">
        <v>600</v>
      </c>
      <c r="P1050" t="s">
        <v>550</v>
      </c>
      <c r="Q1050">
        <v>2021</v>
      </c>
      <c r="R1050" t="s">
        <v>654</v>
      </c>
      <c r="S1050" t="s">
        <v>655</v>
      </c>
      <c r="T1050" t="s">
        <v>553</v>
      </c>
      <c r="U1050" t="b">
        <v>0</v>
      </c>
      <c r="V1050" t="s">
        <v>656</v>
      </c>
      <c r="W1050" t="s">
        <v>587</v>
      </c>
      <c r="X1050" t="s">
        <v>556</v>
      </c>
      <c r="AC1050">
        <v>0</v>
      </c>
      <c r="AD1050" t="s">
        <v>564</v>
      </c>
      <c r="AE1050">
        <v>0</v>
      </c>
      <c r="AF1050">
        <v>0.24013000000000001</v>
      </c>
      <c r="AG1050" t="s">
        <v>608</v>
      </c>
      <c r="AH1050">
        <v>1</v>
      </c>
      <c r="AI1050">
        <v>0</v>
      </c>
      <c r="AJ1050" t="s">
        <v>561</v>
      </c>
      <c r="AK1050" t="s">
        <v>589</v>
      </c>
      <c r="AL1050" t="s">
        <v>603</v>
      </c>
      <c r="AM1050">
        <v>2021</v>
      </c>
      <c r="AN1050">
        <v>2019</v>
      </c>
      <c r="AO1050">
        <f>IF(AND(emissions[[#This Row],[Market-based]]=0,emissions[[#This Row],[Impact Type]]="CO2E"),emissions[[#This Row],[kgCO2e]],0)/1000</f>
        <v>0</v>
      </c>
      <c r="AP1050">
        <f>IF(AND(emissions[[#This Row],[Market-based]]=1,OR(emissions[[#This Row],[Impact Type]]="CO2E",emissions[[#This Row],[Impact Type]]="CO2E MKT")),emissions[[#This Row],[kgCO2e]],0)/1000</f>
        <v>0</v>
      </c>
      <c r="AQ1050" t="str">
        <f>_xlfn.TEXTAFTER(emissions[[#This Row],[Reporting Unit]]," &gt; ",LEN(emissions[[#This Row],[Reporting Unit]])-LEN(SUBSTITUTE(emissions[[#This Row],[Reporting Unit]],"&gt;","")))</f>
        <v>Vantage_Deerfield</v>
      </c>
      <c r="AR1050" t="str">
        <f>_xlfn.XLOOKUP(emissions[[#This Row],[Reporting unit name]],hierarchy!$A:$A,hierarchy!$C:$C)</f>
        <v>Office</v>
      </c>
    </row>
    <row r="1051" spans="1:44" hidden="1" x14ac:dyDescent="0.25">
      <c r="A1051">
        <v>5007</v>
      </c>
      <c r="B1051" t="s">
        <v>382</v>
      </c>
      <c r="C1051" t="s">
        <v>501</v>
      </c>
      <c r="D1051" t="s">
        <v>599</v>
      </c>
      <c r="E1051" s="3">
        <v>44197</v>
      </c>
      <c r="F1051" s="3">
        <v>44561</v>
      </c>
      <c r="G1051" t="s">
        <v>141</v>
      </c>
      <c r="H1051" s="3">
        <v>44197</v>
      </c>
      <c r="I1051" s="3">
        <v>44561</v>
      </c>
      <c r="J1051" t="s">
        <v>187</v>
      </c>
      <c r="K1051">
        <v>0</v>
      </c>
      <c r="L1051" t="s">
        <v>109</v>
      </c>
      <c r="M1051" t="s">
        <v>110</v>
      </c>
      <c r="O1051" t="s">
        <v>600</v>
      </c>
      <c r="P1051" t="s">
        <v>550</v>
      </c>
      <c r="Q1051">
        <v>2021</v>
      </c>
      <c r="R1051" t="s">
        <v>654</v>
      </c>
      <c r="S1051" t="s">
        <v>655</v>
      </c>
      <c r="T1051" t="s">
        <v>553</v>
      </c>
      <c r="U1051" t="b">
        <v>0</v>
      </c>
      <c r="V1051" t="s">
        <v>656</v>
      </c>
      <c r="W1051" t="s">
        <v>587</v>
      </c>
      <c r="X1051" t="s">
        <v>556</v>
      </c>
      <c r="AC1051">
        <v>0</v>
      </c>
      <c r="AD1051" t="s">
        <v>565</v>
      </c>
      <c r="AE1051">
        <v>0</v>
      </c>
      <c r="AF1051">
        <v>0.24157999999999999</v>
      </c>
      <c r="AG1051" t="s">
        <v>608</v>
      </c>
      <c r="AH1051">
        <v>1</v>
      </c>
      <c r="AI1051">
        <v>0</v>
      </c>
      <c r="AJ1051" t="s">
        <v>561</v>
      </c>
      <c r="AK1051" t="s">
        <v>589</v>
      </c>
      <c r="AL1051" t="s">
        <v>603</v>
      </c>
      <c r="AM1051">
        <v>2021</v>
      </c>
      <c r="AN1051">
        <v>2019</v>
      </c>
      <c r="AO1051">
        <f>IF(AND(emissions[[#This Row],[Market-based]]=0,emissions[[#This Row],[Impact Type]]="CO2E"),emissions[[#This Row],[kgCO2e]],0)/1000</f>
        <v>0</v>
      </c>
      <c r="AP1051">
        <f>IF(AND(emissions[[#This Row],[Market-based]]=1,OR(emissions[[#This Row],[Impact Type]]="CO2E",emissions[[#This Row],[Impact Type]]="CO2E MKT")),emissions[[#This Row],[kgCO2e]],0)/1000</f>
        <v>0</v>
      </c>
      <c r="AQ1051" t="str">
        <f>_xlfn.TEXTAFTER(emissions[[#This Row],[Reporting Unit]]," &gt; ",LEN(emissions[[#This Row],[Reporting Unit]])-LEN(SUBSTITUTE(emissions[[#This Row],[Reporting Unit]],"&gt;","")))</f>
        <v>Vantage_Deerfield</v>
      </c>
      <c r="AR1051" t="str">
        <f>_xlfn.XLOOKUP(emissions[[#This Row],[Reporting unit name]],hierarchy!$A:$A,hierarchy!$C:$C)</f>
        <v>Office</v>
      </c>
    </row>
    <row r="1052" spans="1:44" hidden="1" x14ac:dyDescent="0.25">
      <c r="A1052">
        <v>5007</v>
      </c>
      <c r="B1052" t="s">
        <v>382</v>
      </c>
      <c r="C1052" t="s">
        <v>501</v>
      </c>
      <c r="D1052" t="s">
        <v>599</v>
      </c>
      <c r="E1052" s="3">
        <v>44197</v>
      </c>
      <c r="F1052" s="3">
        <v>44561</v>
      </c>
      <c r="G1052" t="s">
        <v>141</v>
      </c>
      <c r="H1052" s="3">
        <v>44197</v>
      </c>
      <c r="I1052" s="3">
        <v>44561</v>
      </c>
      <c r="J1052" t="s">
        <v>187</v>
      </c>
      <c r="K1052">
        <v>0</v>
      </c>
      <c r="L1052" t="s">
        <v>109</v>
      </c>
      <c r="M1052" t="s">
        <v>110</v>
      </c>
      <c r="O1052" t="s">
        <v>600</v>
      </c>
      <c r="P1052" t="s">
        <v>550</v>
      </c>
      <c r="Q1052">
        <v>2021</v>
      </c>
      <c r="R1052" t="s">
        <v>654</v>
      </c>
      <c r="S1052" t="s">
        <v>655</v>
      </c>
      <c r="T1052" t="s">
        <v>553</v>
      </c>
      <c r="U1052" t="b">
        <v>0</v>
      </c>
      <c r="V1052" t="s">
        <v>656</v>
      </c>
      <c r="W1052" t="s">
        <v>587</v>
      </c>
      <c r="X1052" t="s">
        <v>556</v>
      </c>
      <c r="AC1052">
        <v>0</v>
      </c>
      <c r="AD1052" t="s">
        <v>566</v>
      </c>
      <c r="AE1052">
        <v>0</v>
      </c>
      <c r="AF1052">
        <v>6.8999999999999997E-4</v>
      </c>
      <c r="AG1052" t="s">
        <v>608</v>
      </c>
      <c r="AH1052">
        <v>1</v>
      </c>
      <c r="AI1052">
        <v>0</v>
      </c>
      <c r="AJ1052" t="s">
        <v>561</v>
      </c>
      <c r="AK1052" t="s">
        <v>589</v>
      </c>
      <c r="AL1052" t="s">
        <v>603</v>
      </c>
      <c r="AM1052">
        <v>2021</v>
      </c>
      <c r="AN1052">
        <v>2019</v>
      </c>
      <c r="AO1052">
        <f>IF(AND(emissions[[#This Row],[Market-based]]=0,emissions[[#This Row],[Impact Type]]="CO2E"),emissions[[#This Row],[kgCO2e]],0)/1000</f>
        <v>0</v>
      </c>
      <c r="AP1052">
        <f>IF(AND(emissions[[#This Row],[Market-based]]=1,OR(emissions[[#This Row],[Impact Type]]="CO2E",emissions[[#This Row],[Impact Type]]="CO2E MKT")),emissions[[#This Row],[kgCO2e]],0)/1000</f>
        <v>0</v>
      </c>
      <c r="AQ1052" t="str">
        <f>_xlfn.TEXTAFTER(emissions[[#This Row],[Reporting Unit]]," &gt; ",LEN(emissions[[#This Row],[Reporting Unit]])-LEN(SUBSTITUTE(emissions[[#This Row],[Reporting Unit]],"&gt;","")))</f>
        <v>Vantage_Deerfield</v>
      </c>
      <c r="AR1052" t="str">
        <f>_xlfn.XLOOKUP(emissions[[#This Row],[Reporting unit name]],hierarchy!$A:$A,hierarchy!$C:$C)</f>
        <v>Office</v>
      </c>
    </row>
    <row r="1053" spans="1:44" hidden="1" x14ac:dyDescent="0.25">
      <c r="A1053">
        <v>5007</v>
      </c>
      <c r="B1053" t="s">
        <v>382</v>
      </c>
      <c r="C1053" t="s">
        <v>501</v>
      </c>
      <c r="D1053" t="s">
        <v>599</v>
      </c>
      <c r="E1053" s="3">
        <v>44197</v>
      </c>
      <c r="F1053" s="3">
        <v>44561</v>
      </c>
      <c r="G1053" t="s">
        <v>141</v>
      </c>
      <c r="H1053" s="3">
        <v>44197</v>
      </c>
      <c r="I1053" s="3">
        <v>44561</v>
      </c>
      <c r="J1053" t="s">
        <v>187</v>
      </c>
      <c r="K1053">
        <v>0</v>
      </c>
      <c r="L1053" t="s">
        <v>109</v>
      </c>
      <c r="M1053" t="s">
        <v>110</v>
      </c>
      <c r="O1053" t="s">
        <v>600</v>
      </c>
      <c r="P1053" t="s">
        <v>550</v>
      </c>
      <c r="Q1053">
        <v>2021</v>
      </c>
      <c r="R1053" t="s">
        <v>654</v>
      </c>
      <c r="S1053" t="s">
        <v>655</v>
      </c>
      <c r="T1053" t="s">
        <v>553</v>
      </c>
      <c r="U1053" t="b">
        <v>0</v>
      </c>
      <c r="V1053" t="s">
        <v>656</v>
      </c>
      <c r="W1053" t="s">
        <v>587</v>
      </c>
      <c r="X1053" t="s">
        <v>556</v>
      </c>
      <c r="AC1053">
        <v>1</v>
      </c>
      <c r="AD1053" t="s">
        <v>558</v>
      </c>
      <c r="AE1053">
        <v>0</v>
      </c>
      <c r="AF1053">
        <v>7.6000000000000004E-4</v>
      </c>
      <c r="AG1053" t="s">
        <v>608</v>
      </c>
      <c r="AH1053">
        <v>1</v>
      </c>
      <c r="AI1053">
        <v>0</v>
      </c>
      <c r="AJ1053" t="s">
        <v>561</v>
      </c>
      <c r="AK1053" t="s">
        <v>589</v>
      </c>
      <c r="AL1053" t="s">
        <v>603</v>
      </c>
      <c r="AM1053">
        <v>2021</v>
      </c>
      <c r="AN1053">
        <v>2019</v>
      </c>
      <c r="AO1053">
        <f>IF(AND(emissions[[#This Row],[Market-based]]=0,emissions[[#This Row],[Impact Type]]="CO2E"),emissions[[#This Row],[kgCO2e]],0)/1000</f>
        <v>0</v>
      </c>
      <c r="AP1053">
        <f>IF(AND(emissions[[#This Row],[Market-based]]=1,OR(emissions[[#This Row],[Impact Type]]="CO2E",emissions[[#This Row],[Impact Type]]="CO2E MKT")),emissions[[#This Row],[kgCO2e]],0)/1000</f>
        <v>0</v>
      </c>
      <c r="AQ1053" t="str">
        <f>_xlfn.TEXTAFTER(emissions[[#This Row],[Reporting Unit]]," &gt; ",LEN(emissions[[#This Row],[Reporting Unit]])-LEN(SUBSTITUTE(emissions[[#This Row],[Reporting Unit]],"&gt;","")))</f>
        <v>Vantage_Deerfield</v>
      </c>
      <c r="AR1053" t="str">
        <f>_xlfn.XLOOKUP(emissions[[#This Row],[Reporting unit name]],hierarchy!$A:$A,hierarchy!$C:$C)</f>
        <v>Office</v>
      </c>
    </row>
    <row r="1054" spans="1:44" hidden="1" x14ac:dyDescent="0.25">
      <c r="A1054">
        <v>5007</v>
      </c>
      <c r="B1054" t="s">
        <v>382</v>
      </c>
      <c r="C1054" t="s">
        <v>501</v>
      </c>
      <c r="D1054" t="s">
        <v>599</v>
      </c>
      <c r="E1054" s="3">
        <v>44197</v>
      </c>
      <c r="F1054" s="3">
        <v>44561</v>
      </c>
      <c r="G1054" t="s">
        <v>141</v>
      </c>
      <c r="H1054" s="3">
        <v>44197</v>
      </c>
      <c r="I1054" s="3">
        <v>44561</v>
      </c>
      <c r="J1054" t="s">
        <v>187</v>
      </c>
      <c r="K1054">
        <v>0</v>
      </c>
      <c r="L1054" t="s">
        <v>109</v>
      </c>
      <c r="M1054" t="s">
        <v>110</v>
      </c>
      <c r="O1054" t="s">
        <v>600</v>
      </c>
      <c r="P1054" t="s">
        <v>550</v>
      </c>
      <c r="Q1054">
        <v>2021</v>
      </c>
      <c r="R1054" t="s">
        <v>654</v>
      </c>
      <c r="S1054" t="s">
        <v>655</v>
      </c>
      <c r="T1054" t="s">
        <v>553</v>
      </c>
      <c r="U1054" t="b">
        <v>0</v>
      </c>
      <c r="V1054" t="s">
        <v>656</v>
      </c>
      <c r="W1054" t="s">
        <v>587</v>
      </c>
      <c r="X1054" t="s">
        <v>556</v>
      </c>
      <c r="AC1054">
        <v>1</v>
      </c>
      <c r="AD1054" t="s">
        <v>564</v>
      </c>
      <c r="AE1054">
        <v>0</v>
      </c>
      <c r="AF1054">
        <v>0.24013000000000001</v>
      </c>
      <c r="AG1054" t="s">
        <v>608</v>
      </c>
      <c r="AH1054">
        <v>1</v>
      </c>
      <c r="AI1054">
        <v>0</v>
      </c>
      <c r="AJ1054" t="s">
        <v>561</v>
      </c>
      <c r="AK1054" t="s">
        <v>589</v>
      </c>
      <c r="AL1054" t="s">
        <v>603</v>
      </c>
      <c r="AM1054">
        <v>2021</v>
      </c>
      <c r="AN1054">
        <v>2019</v>
      </c>
      <c r="AO1054">
        <f>IF(AND(emissions[[#This Row],[Market-based]]=0,emissions[[#This Row],[Impact Type]]="CO2E"),emissions[[#This Row],[kgCO2e]],0)/1000</f>
        <v>0</v>
      </c>
      <c r="AP1054">
        <f>IF(AND(emissions[[#This Row],[Market-based]]=1,OR(emissions[[#This Row],[Impact Type]]="CO2E",emissions[[#This Row],[Impact Type]]="CO2E MKT")),emissions[[#This Row],[kgCO2e]],0)/1000</f>
        <v>0</v>
      </c>
      <c r="AQ1054" t="str">
        <f>_xlfn.TEXTAFTER(emissions[[#This Row],[Reporting Unit]]," &gt; ",LEN(emissions[[#This Row],[Reporting Unit]])-LEN(SUBSTITUTE(emissions[[#This Row],[Reporting Unit]],"&gt;","")))</f>
        <v>Vantage_Deerfield</v>
      </c>
      <c r="AR1054" t="str">
        <f>_xlfn.XLOOKUP(emissions[[#This Row],[Reporting unit name]],hierarchy!$A:$A,hierarchy!$C:$C)</f>
        <v>Office</v>
      </c>
    </row>
    <row r="1055" spans="1:44" hidden="1" x14ac:dyDescent="0.25">
      <c r="A1055">
        <v>5007</v>
      </c>
      <c r="B1055" t="s">
        <v>382</v>
      </c>
      <c r="C1055" t="s">
        <v>501</v>
      </c>
      <c r="D1055" t="s">
        <v>599</v>
      </c>
      <c r="E1055" s="3">
        <v>44197</v>
      </c>
      <c r="F1055" s="3">
        <v>44561</v>
      </c>
      <c r="G1055" t="s">
        <v>141</v>
      </c>
      <c r="H1055" s="3">
        <v>44197</v>
      </c>
      <c r="I1055" s="3">
        <v>44561</v>
      </c>
      <c r="J1055" t="s">
        <v>187</v>
      </c>
      <c r="K1055">
        <v>0</v>
      </c>
      <c r="L1055" t="s">
        <v>109</v>
      </c>
      <c r="M1055" t="s">
        <v>110</v>
      </c>
      <c r="O1055" t="s">
        <v>600</v>
      </c>
      <c r="P1055" t="s">
        <v>550</v>
      </c>
      <c r="Q1055">
        <v>2021</v>
      </c>
      <c r="R1055" t="s">
        <v>654</v>
      </c>
      <c r="S1055" t="s">
        <v>655</v>
      </c>
      <c r="T1055" t="s">
        <v>553</v>
      </c>
      <c r="U1055" t="b">
        <v>0</v>
      </c>
      <c r="V1055" t="s">
        <v>656</v>
      </c>
      <c r="W1055" t="s">
        <v>587</v>
      </c>
      <c r="X1055" t="s">
        <v>556</v>
      </c>
      <c r="AC1055">
        <v>1</v>
      </c>
      <c r="AD1055" t="s">
        <v>565</v>
      </c>
      <c r="AE1055">
        <v>0</v>
      </c>
      <c r="AF1055">
        <v>0.24157999999999999</v>
      </c>
      <c r="AG1055" t="s">
        <v>608</v>
      </c>
      <c r="AH1055">
        <v>1</v>
      </c>
      <c r="AI1055">
        <v>0</v>
      </c>
      <c r="AJ1055" t="s">
        <v>561</v>
      </c>
      <c r="AK1055" t="s">
        <v>589</v>
      </c>
      <c r="AL1055" t="s">
        <v>603</v>
      </c>
      <c r="AM1055">
        <v>2021</v>
      </c>
      <c r="AN1055">
        <v>2019</v>
      </c>
      <c r="AO1055">
        <f>IF(AND(emissions[[#This Row],[Market-based]]=0,emissions[[#This Row],[Impact Type]]="CO2E"),emissions[[#This Row],[kgCO2e]],0)/1000</f>
        <v>0</v>
      </c>
      <c r="AP1055">
        <f>IF(AND(emissions[[#This Row],[Market-based]]=1,OR(emissions[[#This Row],[Impact Type]]="CO2E",emissions[[#This Row],[Impact Type]]="CO2E MKT")),emissions[[#This Row],[kgCO2e]],0)/1000</f>
        <v>0</v>
      </c>
      <c r="AQ1055" t="str">
        <f>_xlfn.TEXTAFTER(emissions[[#This Row],[Reporting Unit]]," &gt; ",LEN(emissions[[#This Row],[Reporting Unit]])-LEN(SUBSTITUTE(emissions[[#This Row],[Reporting Unit]],"&gt;","")))</f>
        <v>Vantage_Deerfield</v>
      </c>
      <c r="AR1055" t="str">
        <f>_xlfn.XLOOKUP(emissions[[#This Row],[Reporting unit name]],hierarchy!$A:$A,hierarchy!$C:$C)</f>
        <v>Office</v>
      </c>
    </row>
    <row r="1056" spans="1:44" hidden="1" x14ac:dyDescent="0.25">
      <c r="A1056">
        <v>5007</v>
      </c>
      <c r="B1056" t="s">
        <v>382</v>
      </c>
      <c r="C1056" t="s">
        <v>501</v>
      </c>
      <c r="D1056" t="s">
        <v>599</v>
      </c>
      <c r="E1056" s="3">
        <v>44197</v>
      </c>
      <c r="F1056" s="3">
        <v>44561</v>
      </c>
      <c r="G1056" t="s">
        <v>141</v>
      </c>
      <c r="H1056" s="3">
        <v>44197</v>
      </c>
      <c r="I1056" s="3">
        <v>44561</v>
      </c>
      <c r="J1056" t="s">
        <v>187</v>
      </c>
      <c r="K1056">
        <v>0</v>
      </c>
      <c r="L1056" t="s">
        <v>109</v>
      </c>
      <c r="M1056" t="s">
        <v>110</v>
      </c>
      <c r="O1056" t="s">
        <v>600</v>
      </c>
      <c r="P1056" t="s">
        <v>550</v>
      </c>
      <c r="Q1056">
        <v>2021</v>
      </c>
      <c r="R1056" t="s">
        <v>654</v>
      </c>
      <c r="S1056" t="s">
        <v>655</v>
      </c>
      <c r="T1056" t="s">
        <v>553</v>
      </c>
      <c r="U1056" t="b">
        <v>0</v>
      </c>
      <c r="V1056" t="s">
        <v>656</v>
      </c>
      <c r="W1056" t="s">
        <v>587</v>
      </c>
      <c r="X1056" t="s">
        <v>556</v>
      </c>
      <c r="AC1056">
        <v>1</v>
      </c>
      <c r="AD1056" t="s">
        <v>566</v>
      </c>
      <c r="AE1056">
        <v>0</v>
      </c>
      <c r="AF1056">
        <v>6.8999999999999997E-4</v>
      </c>
      <c r="AG1056" t="s">
        <v>608</v>
      </c>
      <c r="AH1056">
        <v>1</v>
      </c>
      <c r="AI1056">
        <v>0</v>
      </c>
      <c r="AJ1056" t="s">
        <v>561</v>
      </c>
      <c r="AK1056" t="s">
        <v>589</v>
      </c>
      <c r="AL1056" t="s">
        <v>603</v>
      </c>
      <c r="AM1056">
        <v>2021</v>
      </c>
      <c r="AN1056">
        <v>2019</v>
      </c>
      <c r="AO1056">
        <f>IF(AND(emissions[[#This Row],[Market-based]]=0,emissions[[#This Row],[Impact Type]]="CO2E"),emissions[[#This Row],[kgCO2e]],0)/1000</f>
        <v>0</v>
      </c>
      <c r="AP1056">
        <f>IF(AND(emissions[[#This Row],[Market-based]]=1,OR(emissions[[#This Row],[Impact Type]]="CO2E",emissions[[#This Row],[Impact Type]]="CO2E MKT")),emissions[[#This Row],[kgCO2e]],0)/1000</f>
        <v>0</v>
      </c>
      <c r="AQ1056" t="str">
        <f>_xlfn.TEXTAFTER(emissions[[#This Row],[Reporting Unit]]," &gt; ",LEN(emissions[[#This Row],[Reporting Unit]])-LEN(SUBSTITUTE(emissions[[#This Row],[Reporting Unit]],"&gt;","")))</f>
        <v>Vantage_Deerfield</v>
      </c>
      <c r="AR1056" t="str">
        <f>_xlfn.XLOOKUP(emissions[[#This Row],[Reporting unit name]],hierarchy!$A:$A,hierarchy!$C:$C)</f>
        <v>Office</v>
      </c>
    </row>
    <row r="1057" spans="1:44" hidden="1" x14ac:dyDescent="0.25">
      <c r="A1057">
        <v>5007</v>
      </c>
      <c r="B1057" t="s">
        <v>382</v>
      </c>
      <c r="C1057" t="s">
        <v>501</v>
      </c>
      <c r="D1057" t="s">
        <v>599</v>
      </c>
      <c r="E1057" s="3">
        <v>44197</v>
      </c>
      <c r="F1057" s="3">
        <v>44561</v>
      </c>
      <c r="G1057" t="s">
        <v>141</v>
      </c>
      <c r="H1057" s="3">
        <v>44197</v>
      </c>
      <c r="I1057" s="3">
        <v>44561</v>
      </c>
      <c r="J1057" t="s">
        <v>187</v>
      </c>
      <c r="K1057">
        <v>0</v>
      </c>
      <c r="L1057" t="s">
        <v>109</v>
      </c>
      <c r="M1057" t="s">
        <v>110</v>
      </c>
      <c r="O1057" t="s">
        <v>600</v>
      </c>
      <c r="P1057" t="s">
        <v>550</v>
      </c>
      <c r="Q1057">
        <v>2021</v>
      </c>
      <c r="R1057" t="s">
        <v>657</v>
      </c>
      <c r="S1057" t="s">
        <v>658</v>
      </c>
      <c r="T1057" t="s">
        <v>577</v>
      </c>
      <c r="U1057" t="b">
        <v>0</v>
      </c>
      <c r="V1057" t="s">
        <v>659</v>
      </c>
      <c r="W1057" t="s">
        <v>571</v>
      </c>
      <c r="X1057" t="s">
        <v>572</v>
      </c>
      <c r="AC1057">
        <v>0</v>
      </c>
      <c r="AD1057" t="s">
        <v>565</v>
      </c>
      <c r="AE1057">
        <v>0</v>
      </c>
      <c r="AF1057">
        <v>6.2239999999999997E-2</v>
      </c>
      <c r="AG1057" t="s">
        <v>608</v>
      </c>
      <c r="AH1057">
        <v>1</v>
      </c>
      <c r="AI1057">
        <v>0</v>
      </c>
      <c r="AJ1057" t="s">
        <v>561</v>
      </c>
      <c r="AK1057" t="s">
        <v>589</v>
      </c>
      <c r="AL1057" t="s">
        <v>603</v>
      </c>
      <c r="AM1057">
        <v>2021</v>
      </c>
      <c r="AN1057">
        <v>2019</v>
      </c>
      <c r="AO1057">
        <f>IF(AND(emissions[[#This Row],[Market-based]]=0,emissions[[#This Row],[Impact Type]]="CO2E"),emissions[[#This Row],[kgCO2e]],0)/1000</f>
        <v>0</v>
      </c>
      <c r="AP1057">
        <f>IF(AND(emissions[[#This Row],[Market-based]]=1,OR(emissions[[#This Row],[Impact Type]]="CO2E",emissions[[#This Row],[Impact Type]]="CO2E MKT")),emissions[[#This Row],[kgCO2e]],0)/1000</f>
        <v>0</v>
      </c>
      <c r="AQ1057" t="str">
        <f>_xlfn.TEXTAFTER(emissions[[#This Row],[Reporting Unit]]," &gt; ",LEN(emissions[[#This Row],[Reporting Unit]])-LEN(SUBSTITUTE(emissions[[#This Row],[Reporting Unit]],"&gt;","")))</f>
        <v>Vantage_Deerfield</v>
      </c>
      <c r="AR1057" t="str">
        <f>_xlfn.XLOOKUP(emissions[[#This Row],[Reporting unit name]],hierarchy!$A:$A,hierarchy!$C:$C)</f>
        <v>Office</v>
      </c>
    </row>
    <row r="1058" spans="1:44" hidden="1" x14ac:dyDescent="0.25">
      <c r="A1058">
        <v>5007</v>
      </c>
      <c r="B1058" t="s">
        <v>382</v>
      </c>
      <c r="C1058" t="s">
        <v>501</v>
      </c>
      <c r="D1058" t="s">
        <v>599</v>
      </c>
      <c r="E1058" s="3">
        <v>44197</v>
      </c>
      <c r="F1058" s="3">
        <v>44561</v>
      </c>
      <c r="G1058" t="s">
        <v>141</v>
      </c>
      <c r="H1058" s="3">
        <v>44197</v>
      </c>
      <c r="I1058" s="3">
        <v>44561</v>
      </c>
      <c r="J1058" t="s">
        <v>187</v>
      </c>
      <c r="K1058">
        <v>0</v>
      </c>
      <c r="L1058" t="s">
        <v>109</v>
      </c>
      <c r="M1058" t="s">
        <v>110</v>
      </c>
      <c r="O1058" t="s">
        <v>600</v>
      </c>
      <c r="P1058" t="s">
        <v>550</v>
      </c>
      <c r="Q1058">
        <v>2021</v>
      </c>
      <c r="R1058" t="s">
        <v>657</v>
      </c>
      <c r="S1058" t="s">
        <v>658</v>
      </c>
      <c r="T1058" t="s">
        <v>577</v>
      </c>
      <c r="U1058" t="b">
        <v>0</v>
      </c>
      <c r="V1058" t="s">
        <v>659</v>
      </c>
      <c r="W1058" t="s">
        <v>571</v>
      </c>
      <c r="X1058" t="s">
        <v>572</v>
      </c>
      <c r="AC1058">
        <v>1</v>
      </c>
      <c r="AD1058" t="s">
        <v>565</v>
      </c>
      <c r="AE1058">
        <v>0</v>
      </c>
      <c r="AF1058">
        <v>6.2239999999999997E-2</v>
      </c>
      <c r="AG1058" t="s">
        <v>608</v>
      </c>
      <c r="AH1058">
        <v>1</v>
      </c>
      <c r="AI1058">
        <v>0</v>
      </c>
      <c r="AJ1058" t="s">
        <v>561</v>
      </c>
      <c r="AK1058" t="s">
        <v>589</v>
      </c>
      <c r="AL1058" t="s">
        <v>603</v>
      </c>
      <c r="AM1058">
        <v>2021</v>
      </c>
      <c r="AN1058">
        <v>2019</v>
      </c>
      <c r="AO1058">
        <f>IF(AND(emissions[[#This Row],[Market-based]]=0,emissions[[#This Row],[Impact Type]]="CO2E"),emissions[[#This Row],[kgCO2e]],0)/1000</f>
        <v>0</v>
      </c>
      <c r="AP1058">
        <f>IF(AND(emissions[[#This Row],[Market-based]]=1,OR(emissions[[#This Row],[Impact Type]]="CO2E",emissions[[#This Row],[Impact Type]]="CO2E MKT")),emissions[[#This Row],[kgCO2e]],0)/1000</f>
        <v>0</v>
      </c>
      <c r="AQ1058" t="str">
        <f>_xlfn.TEXTAFTER(emissions[[#This Row],[Reporting Unit]]," &gt; ",LEN(emissions[[#This Row],[Reporting Unit]])-LEN(SUBSTITUTE(emissions[[#This Row],[Reporting Unit]],"&gt;","")))</f>
        <v>Vantage_Deerfield</v>
      </c>
      <c r="AR1058" t="str">
        <f>_xlfn.XLOOKUP(emissions[[#This Row],[Reporting unit name]],hierarchy!$A:$A,hierarchy!$C:$C)</f>
        <v>Office</v>
      </c>
    </row>
    <row r="1059" spans="1:44" hidden="1" x14ac:dyDescent="0.25">
      <c r="A1059">
        <v>5033</v>
      </c>
      <c r="B1059" t="s">
        <v>382</v>
      </c>
      <c r="C1059" t="s">
        <v>501</v>
      </c>
      <c r="D1059" t="s">
        <v>599</v>
      </c>
      <c r="E1059" s="3">
        <v>44197</v>
      </c>
      <c r="F1059" s="3">
        <v>44561</v>
      </c>
      <c r="G1059" t="s">
        <v>116</v>
      </c>
      <c r="H1059" s="3">
        <v>44197</v>
      </c>
      <c r="I1059" s="3">
        <v>44561</v>
      </c>
      <c r="J1059" t="s">
        <v>128</v>
      </c>
      <c r="K1059">
        <v>3.4441999999999999</v>
      </c>
      <c r="L1059" t="s">
        <v>118</v>
      </c>
      <c r="M1059" t="s">
        <v>82</v>
      </c>
      <c r="O1059" t="s">
        <v>600</v>
      </c>
      <c r="P1059" t="s">
        <v>550</v>
      </c>
      <c r="Q1059">
        <v>2021</v>
      </c>
      <c r="R1059" t="s">
        <v>619</v>
      </c>
      <c r="S1059" t="s">
        <v>620</v>
      </c>
      <c r="T1059" t="s">
        <v>553</v>
      </c>
      <c r="U1059" t="b">
        <v>0</v>
      </c>
      <c r="V1059" t="s">
        <v>621</v>
      </c>
      <c r="W1059" t="s">
        <v>587</v>
      </c>
      <c r="X1059" t="s">
        <v>556</v>
      </c>
      <c r="AC1059">
        <v>0</v>
      </c>
      <c r="AD1059" t="s">
        <v>565</v>
      </c>
      <c r="AE1059">
        <v>4925.2060000000001</v>
      </c>
      <c r="AF1059">
        <v>1430</v>
      </c>
      <c r="AG1059" t="s">
        <v>622</v>
      </c>
      <c r="AH1059">
        <v>1</v>
      </c>
      <c r="AI1059">
        <v>3.4441999999999999</v>
      </c>
      <c r="AJ1059" t="s">
        <v>561</v>
      </c>
      <c r="AK1059" t="s">
        <v>623</v>
      </c>
      <c r="AL1059" t="s">
        <v>624</v>
      </c>
      <c r="AM1059">
        <v>2021</v>
      </c>
      <c r="AN1059">
        <v>2007</v>
      </c>
      <c r="AO1059">
        <f>IF(AND(emissions[[#This Row],[Market-based]]=0,emissions[[#This Row],[Impact Type]]="CO2E"),emissions[[#This Row],[kgCO2e]],0)/1000</f>
        <v>4.9252060000000002</v>
      </c>
      <c r="AP1059">
        <f>IF(AND(emissions[[#This Row],[Market-based]]=1,OR(emissions[[#This Row],[Impact Type]]="CO2E",emissions[[#This Row],[Impact Type]]="CO2E MKT")),emissions[[#This Row],[kgCO2e]],0)/1000</f>
        <v>0</v>
      </c>
      <c r="AQ1059" t="str">
        <f>_xlfn.TEXTAFTER(emissions[[#This Row],[Reporting Unit]]," &gt; ",LEN(emissions[[#This Row],[Reporting Unit]])-LEN(SUBSTITUTE(emissions[[#This Row],[Reporting Unit]],"&gt;","")))</f>
        <v>Vantage_Deerfield</v>
      </c>
      <c r="AR1059" t="str">
        <f>_xlfn.XLOOKUP(emissions[[#This Row],[Reporting unit name]],hierarchy!$A:$A,hierarchy!$C:$C)</f>
        <v>Office</v>
      </c>
    </row>
    <row r="1060" spans="1:44" hidden="1" x14ac:dyDescent="0.25">
      <c r="A1060">
        <v>5033</v>
      </c>
      <c r="B1060" t="s">
        <v>382</v>
      </c>
      <c r="C1060" t="s">
        <v>501</v>
      </c>
      <c r="D1060" t="s">
        <v>599</v>
      </c>
      <c r="E1060" s="3">
        <v>44197</v>
      </c>
      <c r="F1060" s="3">
        <v>44561</v>
      </c>
      <c r="G1060" t="s">
        <v>116</v>
      </c>
      <c r="H1060" s="3">
        <v>44197</v>
      </c>
      <c r="I1060" s="3">
        <v>44561</v>
      </c>
      <c r="J1060" t="s">
        <v>128</v>
      </c>
      <c r="K1060">
        <v>3.4441999999999999</v>
      </c>
      <c r="L1060" t="s">
        <v>118</v>
      </c>
      <c r="M1060" t="s">
        <v>82</v>
      </c>
      <c r="O1060" t="s">
        <v>600</v>
      </c>
      <c r="P1060" t="s">
        <v>550</v>
      </c>
      <c r="Q1060">
        <v>2021</v>
      </c>
      <c r="R1060" t="s">
        <v>619</v>
      </c>
      <c r="S1060" t="s">
        <v>620</v>
      </c>
      <c r="T1060" t="s">
        <v>553</v>
      </c>
      <c r="U1060" t="b">
        <v>0</v>
      </c>
      <c r="V1060" t="s">
        <v>621</v>
      </c>
      <c r="W1060" t="s">
        <v>587</v>
      </c>
      <c r="X1060" t="s">
        <v>556</v>
      </c>
      <c r="AC1060">
        <v>1</v>
      </c>
      <c r="AD1060" t="s">
        <v>565</v>
      </c>
      <c r="AE1060">
        <v>4925.2060000000001</v>
      </c>
      <c r="AF1060">
        <v>1430</v>
      </c>
      <c r="AG1060" t="s">
        <v>622</v>
      </c>
      <c r="AH1060">
        <v>1</v>
      </c>
      <c r="AI1060">
        <v>3.4441999999999999</v>
      </c>
      <c r="AJ1060" t="s">
        <v>561</v>
      </c>
      <c r="AK1060" t="s">
        <v>623</v>
      </c>
      <c r="AL1060" t="s">
        <v>624</v>
      </c>
      <c r="AM1060">
        <v>2021</v>
      </c>
      <c r="AN1060">
        <v>2007</v>
      </c>
      <c r="AO1060">
        <f>IF(AND(emissions[[#This Row],[Market-based]]=0,emissions[[#This Row],[Impact Type]]="CO2E"),emissions[[#This Row],[kgCO2e]],0)/1000</f>
        <v>0</v>
      </c>
      <c r="AP1060">
        <f>IF(AND(emissions[[#This Row],[Market-based]]=1,OR(emissions[[#This Row],[Impact Type]]="CO2E",emissions[[#This Row],[Impact Type]]="CO2E MKT")),emissions[[#This Row],[kgCO2e]],0)/1000</f>
        <v>4.9252060000000002</v>
      </c>
      <c r="AQ1060" t="str">
        <f>_xlfn.TEXTAFTER(emissions[[#This Row],[Reporting Unit]]," &gt; ",LEN(emissions[[#This Row],[Reporting Unit]])-LEN(SUBSTITUTE(emissions[[#This Row],[Reporting Unit]],"&gt;","")))</f>
        <v>Vantage_Deerfield</v>
      </c>
      <c r="AR1060" t="str">
        <f>_xlfn.XLOOKUP(emissions[[#This Row],[Reporting unit name]],hierarchy!$A:$A,hierarchy!$C:$C)</f>
        <v>Office</v>
      </c>
    </row>
    <row r="1061" spans="1:44" hidden="1" x14ac:dyDescent="0.25">
      <c r="A1061">
        <v>261765</v>
      </c>
      <c r="B1061" t="s">
        <v>255</v>
      </c>
      <c r="C1061" t="s">
        <v>520</v>
      </c>
      <c r="D1061" t="s">
        <v>548</v>
      </c>
      <c r="E1061" s="3">
        <v>44562</v>
      </c>
      <c r="F1061" s="3">
        <v>44926</v>
      </c>
      <c r="G1061" t="s">
        <v>108</v>
      </c>
      <c r="H1061" s="3">
        <v>44562</v>
      </c>
      <c r="I1061" s="3">
        <v>44926</v>
      </c>
      <c r="J1061" t="s">
        <v>108</v>
      </c>
      <c r="K1061">
        <v>72408</v>
      </c>
      <c r="L1061" t="s">
        <v>109</v>
      </c>
      <c r="M1061" t="s">
        <v>110</v>
      </c>
      <c r="O1061" t="s">
        <v>866</v>
      </c>
      <c r="P1061" t="s">
        <v>550</v>
      </c>
      <c r="Q1061">
        <v>2022</v>
      </c>
      <c r="R1061" t="s">
        <v>551</v>
      </c>
      <c r="S1061" t="s">
        <v>552</v>
      </c>
      <c r="T1061" t="s">
        <v>553</v>
      </c>
      <c r="U1061" t="b">
        <v>0</v>
      </c>
      <c r="V1061" t="s">
        <v>867</v>
      </c>
      <c r="W1061" t="s">
        <v>555</v>
      </c>
      <c r="X1061" t="s">
        <v>556</v>
      </c>
      <c r="Y1061" t="s">
        <v>472</v>
      </c>
      <c r="Z1061" t="s">
        <v>485</v>
      </c>
      <c r="AA1061" t="s">
        <v>764</v>
      </c>
      <c r="AB1061" t="s">
        <v>868</v>
      </c>
      <c r="AC1061">
        <v>0</v>
      </c>
      <c r="AD1061" t="s">
        <v>558</v>
      </c>
      <c r="AE1061">
        <v>82.930383730000003</v>
      </c>
      <c r="AF1061">
        <v>1.1453209999999999E-3</v>
      </c>
      <c r="AG1061" t="s">
        <v>560</v>
      </c>
      <c r="AH1061">
        <v>1</v>
      </c>
      <c r="AI1061">
        <v>72408</v>
      </c>
      <c r="AJ1061" t="s">
        <v>561</v>
      </c>
      <c r="AK1061" t="s">
        <v>766</v>
      </c>
      <c r="AL1061" t="s">
        <v>767</v>
      </c>
      <c r="AM1061">
        <v>2022</v>
      </c>
      <c r="AN1061">
        <v>2020</v>
      </c>
      <c r="AO1061">
        <f>IF(AND(emissions[[#This Row],[Market-based]]=0,emissions[[#This Row],[Impact Type]]="CO2E"),emissions[[#This Row],[kgCO2e]],0)/1000</f>
        <v>0</v>
      </c>
      <c r="AP1061">
        <f>IF(AND(emissions[[#This Row],[Market-based]]=1,OR(emissions[[#This Row],[Impact Type]]="CO2E",emissions[[#This Row],[Impact Type]]="CO2E MKT")),emissions[[#This Row],[kgCO2e]],0)/1000</f>
        <v>0</v>
      </c>
      <c r="AQ1061" t="str">
        <f>_xlfn.TEXTAFTER(emissions[[#This Row],[Reporting Unit]]," &gt; ",LEN(emissions[[#This Row],[Reporting Unit]])-LEN(SUBSTITUTE(emissions[[#This Row],[Reporting Unit]],"&gt;","")))</f>
        <v>Vantage_Delta</v>
      </c>
      <c r="AR1061" t="str">
        <f>_xlfn.XLOOKUP(emissions[[#This Row],[Reporting unit name]],hierarchy!$A:$A,hierarchy!$C:$C)</f>
        <v>Factory</v>
      </c>
    </row>
    <row r="1062" spans="1:44" hidden="1" x14ac:dyDescent="0.25">
      <c r="A1062">
        <v>261765</v>
      </c>
      <c r="B1062" t="s">
        <v>255</v>
      </c>
      <c r="C1062" t="s">
        <v>520</v>
      </c>
      <c r="D1062" t="s">
        <v>548</v>
      </c>
      <c r="E1062" s="3">
        <v>44562</v>
      </c>
      <c r="F1062" s="3">
        <v>44926</v>
      </c>
      <c r="G1062" t="s">
        <v>108</v>
      </c>
      <c r="H1062" s="3">
        <v>44562</v>
      </c>
      <c r="I1062" s="3">
        <v>44926</v>
      </c>
      <c r="J1062" t="s">
        <v>108</v>
      </c>
      <c r="K1062">
        <v>72408</v>
      </c>
      <c r="L1062" t="s">
        <v>109</v>
      </c>
      <c r="M1062" t="s">
        <v>110</v>
      </c>
      <c r="O1062" t="s">
        <v>866</v>
      </c>
      <c r="P1062" t="s">
        <v>550</v>
      </c>
      <c r="Q1062">
        <v>2022</v>
      </c>
      <c r="R1062" t="s">
        <v>551</v>
      </c>
      <c r="S1062" t="s">
        <v>552</v>
      </c>
      <c r="T1062" t="s">
        <v>553</v>
      </c>
      <c r="U1062" t="b">
        <v>0</v>
      </c>
      <c r="V1062" t="s">
        <v>867</v>
      </c>
      <c r="W1062" t="s">
        <v>555</v>
      </c>
      <c r="X1062" t="s">
        <v>556</v>
      </c>
      <c r="Y1062" t="s">
        <v>472</v>
      </c>
      <c r="Z1062" t="s">
        <v>485</v>
      </c>
      <c r="AA1062" t="s">
        <v>764</v>
      </c>
      <c r="AB1062" t="s">
        <v>868</v>
      </c>
      <c r="AC1062">
        <v>0</v>
      </c>
      <c r="AD1062" t="s">
        <v>564</v>
      </c>
      <c r="AE1062">
        <v>37599.519289999997</v>
      </c>
      <c r="AF1062">
        <v>0.51927299900000001</v>
      </c>
      <c r="AG1062" t="s">
        <v>560</v>
      </c>
      <c r="AH1062">
        <v>1</v>
      </c>
      <c r="AI1062">
        <v>72408</v>
      </c>
      <c r="AJ1062" t="s">
        <v>561</v>
      </c>
      <c r="AK1062" t="s">
        <v>766</v>
      </c>
      <c r="AL1062" t="s">
        <v>767</v>
      </c>
      <c r="AM1062">
        <v>2022</v>
      </c>
      <c r="AN1062">
        <v>2020</v>
      </c>
      <c r="AO1062">
        <f>IF(AND(emissions[[#This Row],[Market-based]]=0,emissions[[#This Row],[Impact Type]]="CO2E"),emissions[[#This Row],[kgCO2e]],0)/1000</f>
        <v>0</v>
      </c>
      <c r="AP1062">
        <f>IF(AND(emissions[[#This Row],[Market-based]]=1,OR(emissions[[#This Row],[Impact Type]]="CO2E",emissions[[#This Row],[Impact Type]]="CO2E MKT")),emissions[[#This Row],[kgCO2e]],0)/1000</f>
        <v>0</v>
      </c>
      <c r="AQ1062" t="str">
        <f>_xlfn.TEXTAFTER(emissions[[#This Row],[Reporting Unit]]," &gt; ",LEN(emissions[[#This Row],[Reporting Unit]])-LEN(SUBSTITUTE(emissions[[#This Row],[Reporting Unit]],"&gt;","")))</f>
        <v>Vantage_Delta</v>
      </c>
      <c r="AR1062" t="str">
        <f>_xlfn.XLOOKUP(emissions[[#This Row],[Reporting unit name]],hierarchy!$A:$A,hierarchy!$C:$C)</f>
        <v>Factory</v>
      </c>
    </row>
    <row r="1063" spans="1:44" hidden="1" x14ac:dyDescent="0.25">
      <c r="A1063">
        <v>261765</v>
      </c>
      <c r="B1063" t="s">
        <v>255</v>
      </c>
      <c r="C1063" t="s">
        <v>520</v>
      </c>
      <c r="D1063" t="s">
        <v>548</v>
      </c>
      <c r="E1063" s="3">
        <v>44562</v>
      </c>
      <c r="F1063" s="3">
        <v>44926</v>
      </c>
      <c r="G1063" t="s">
        <v>108</v>
      </c>
      <c r="H1063" s="3">
        <v>44562</v>
      </c>
      <c r="I1063" s="3">
        <v>44926</v>
      </c>
      <c r="J1063" t="s">
        <v>108</v>
      </c>
      <c r="K1063">
        <v>72408</v>
      </c>
      <c r="L1063" t="s">
        <v>109</v>
      </c>
      <c r="M1063" t="s">
        <v>110</v>
      </c>
      <c r="O1063" t="s">
        <v>866</v>
      </c>
      <c r="P1063" t="s">
        <v>550</v>
      </c>
      <c r="Q1063">
        <v>2022</v>
      </c>
      <c r="R1063" t="s">
        <v>551</v>
      </c>
      <c r="S1063" t="s">
        <v>552</v>
      </c>
      <c r="T1063" t="s">
        <v>553</v>
      </c>
      <c r="U1063" t="b">
        <v>0</v>
      </c>
      <c r="V1063" t="s">
        <v>867</v>
      </c>
      <c r="W1063" t="s">
        <v>555</v>
      </c>
      <c r="X1063" t="s">
        <v>556</v>
      </c>
      <c r="Y1063" t="s">
        <v>472</v>
      </c>
      <c r="Z1063" t="s">
        <v>485</v>
      </c>
      <c r="AA1063" t="s">
        <v>764</v>
      </c>
      <c r="AB1063" t="s">
        <v>868</v>
      </c>
      <c r="AC1063">
        <v>0</v>
      </c>
      <c r="AD1063" t="s">
        <v>565</v>
      </c>
      <c r="AE1063">
        <v>37819.473660000003</v>
      </c>
      <c r="AF1063">
        <v>0.52231070700000004</v>
      </c>
      <c r="AG1063" t="s">
        <v>560</v>
      </c>
      <c r="AH1063">
        <v>1</v>
      </c>
      <c r="AI1063">
        <v>72408</v>
      </c>
      <c r="AJ1063" t="s">
        <v>561</v>
      </c>
      <c r="AK1063" t="s">
        <v>766</v>
      </c>
      <c r="AL1063" t="s">
        <v>767</v>
      </c>
      <c r="AM1063">
        <v>2022</v>
      </c>
      <c r="AN1063">
        <v>2020</v>
      </c>
      <c r="AO1063">
        <f>IF(AND(emissions[[#This Row],[Market-based]]=0,emissions[[#This Row],[Impact Type]]="CO2E"),emissions[[#This Row],[kgCO2e]],0)/1000</f>
        <v>37.81947366</v>
      </c>
      <c r="AP1063">
        <f>IF(AND(emissions[[#This Row],[Market-based]]=1,OR(emissions[[#This Row],[Impact Type]]="CO2E",emissions[[#This Row],[Impact Type]]="CO2E MKT")),emissions[[#This Row],[kgCO2e]],0)/1000</f>
        <v>0</v>
      </c>
      <c r="AQ1063" t="str">
        <f>_xlfn.TEXTAFTER(emissions[[#This Row],[Reporting Unit]]," &gt; ",LEN(emissions[[#This Row],[Reporting Unit]])-LEN(SUBSTITUTE(emissions[[#This Row],[Reporting Unit]],"&gt;","")))</f>
        <v>Vantage_Delta</v>
      </c>
      <c r="AR1063" t="str">
        <f>_xlfn.XLOOKUP(emissions[[#This Row],[Reporting unit name]],hierarchy!$A:$A,hierarchy!$C:$C)</f>
        <v>Factory</v>
      </c>
    </row>
    <row r="1064" spans="1:44" hidden="1" x14ac:dyDescent="0.25">
      <c r="A1064">
        <v>261765</v>
      </c>
      <c r="B1064" t="s">
        <v>255</v>
      </c>
      <c r="C1064" t="s">
        <v>520</v>
      </c>
      <c r="D1064" t="s">
        <v>548</v>
      </c>
      <c r="E1064" s="3">
        <v>44562</v>
      </c>
      <c r="F1064" s="3">
        <v>44926</v>
      </c>
      <c r="G1064" t="s">
        <v>108</v>
      </c>
      <c r="H1064" s="3">
        <v>44562</v>
      </c>
      <c r="I1064" s="3">
        <v>44926</v>
      </c>
      <c r="J1064" t="s">
        <v>108</v>
      </c>
      <c r="K1064">
        <v>72408</v>
      </c>
      <c r="L1064" t="s">
        <v>109</v>
      </c>
      <c r="M1064" t="s">
        <v>110</v>
      </c>
      <c r="O1064" t="s">
        <v>866</v>
      </c>
      <c r="P1064" t="s">
        <v>550</v>
      </c>
      <c r="Q1064">
        <v>2022</v>
      </c>
      <c r="R1064" t="s">
        <v>551</v>
      </c>
      <c r="S1064" t="s">
        <v>552</v>
      </c>
      <c r="T1064" t="s">
        <v>553</v>
      </c>
      <c r="U1064" t="b">
        <v>0</v>
      </c>
      <c r="V1064" t="s">
        <v>867</v>
      </c>
      <c r="W1064" t="s">
        <v>555</v>
      </c>
      <c r="X1064" t="s">
        <v>556</v>
      </c>
      <c r="Y1064" t="s">
        <v>472</v>
      </c>
      <c r="Z1064" t="s">
        <v>485</v>
      </c>
      <c r="AA1064" t="s">
        <v>764</v>
      </c>
      <c r="AB1064" t="s">
        <v>868</v>
      </c>
      <c r="AC1064">
        <v>0</v>
      </c>
      <c r="AD1064" t="s">
        <v>566</v>
      </c>
      <c r="AE1064">
        <v>137.02398450000001</v>
      </c>
      <c r="AF1064">
        <v>1.8923869999999999E-3</v>
      </c>
      <c r="AG1064" t="s">
        <v>560</v>
      </c>
      <c r="AH1064">
        <v>1</v>
      </c>
      <c r="AI1064">
        <v>72408</v>
      </c>
      <c r="AJ1064" t="s">
        <v>561</v>
      </c>
      <c r="AK1064" t="s">
        <v>766</v>
      </c>
      <c r="AL1064" t="s">
        <v>767</v>
      </c>
      <c r="AM1064">
        <v>2022</v>
      </c>
      <c r="AN1064">
        <v>2020</v>
      </c>
      <c r="AO1064">
        <f>IF(AND(emissions[[#This Row],[Market-based]]=0,emissions[[#This Row],[Impact Type]]="CO2E"),emissions[[#This Row],[kgCO2e]],0)/1000</f>
        <v>0</v>
      </c>
      <c r="AP1064">
        <f>IF(AND(emissions[[#This Row],[Market-based]]=1,OR(emissions[[#This Row],[Impact Type]]="CO2E",emissions[[#This Row],[Impact Type]]="CO2E MKT")),emissions[[#This Row],[kgCO2e]],0)/1000</f>
        <v>0</v>
      </c>
      <c r="AQ1064" t="str">
        <f>_xlfn.TEXTAFTER(emissions[[#This Row],[Reporting Unit]]," &gt; ",LEN(emissions[[#This Row],[Reporting Unit]])-LEN(SUBSTITUTE(emissions[[#This Row],[Reporting Unit]],"&gt;","")))</f>
        <v>Vantage_Delta</v>
      </c>
      <c r="AR1064" t="str">
        <f>_xlfn.XLOOKUP(emissions[[#This Row],[Reporting unit name]],hierarchy!$A:$A,hierarchy!$C:$C)</f>
        <v>Factory</v>
      </c>
    </row>
    <row r="1065" spans="1:44" hidden="1" x14ac:dyDescent="0.25">
      <c r="A1065">
        <v>261765</v>
      </c>
      <c r="B1065" t="s">
        <v>255</v>
      </c>
      <c r="C1065" t="s">
        <v>520</v>
      </c>
      <c r="D1065" t="s">
        <v>548</v>
      </c>
      <c r="E1065" s="3">
        <v>44562</v>
      </c>
      <c r="F1065" s="3">
        <v>44926</v>
      </c>
      <c r="G1065" t="s">
        <v>108</v>
      </c>
      <c r="H1065" s="3">
        <v>44562</v>
      </c>
      <c r="I1065" s="3">
        <v>44926</v>
      </c>
      <c r="J1065" t="s">
        <v>108</v>
      </c>
      <c r="K1065">
        <v>72408</v>
      </c>
      <c r="L1065" t="s">
        <v>109</v>
      </c>
      <c r="M1065" t="s">
        <v>110</v>
      </c>
      <c r="O1065" t="s">
        <v>866</v>
      </c>
      <c r="P1065" t="s">
        <v>550</v>
      </c>
      <c r="Q1065">
        <v>2022</v>
      </c>
      <c r="R1065" t="s">
        <v>551</v>
      </c>
      <c r="S1065" t="s">
        <v>552</v>
      </c>
      <c r="T1065" t="s">
        <v>553</v>
      </c>
      <c r="U1065" t="b">
        <v>0</v>
      </c>
      <c r="V1065" t="s">
        <v>867</v>
      </c>
      <c r="W1065" t="s">
        <v>555</v>
      </c>
      <c r="X1065" t="s">
        <v>556</v>
      </c>
      <c r="Y1065" t="s">
        <v>472</v>
      </c>
      <c r="Z1065" t="s">
        <v>485</v>
      </c>
      <c r="AA1065" t="s">
        <v>764</v>
      </c>
      <c r="AB1065" t="s">
        <v>868</v>
      </c>
      <c r="AC1065">
        <v>1</v>
      </c>
      <c r="AD1065" t="s">
        <v>639</v>
      </c>
      <c r="AE1065">
        <v>38370.142119999997</v>
      </c>
      <c r="AF1065">
        <v>0.52991578399999995</v>
      </c>
      <c r="AG1065" t="s">
        <v>560</v>
      </c>
      <c r="AH1065">
        <v>1</v>
      </c>
      <c r="AI1065">
        <v>72408</v>
      </c>
      <c r="AJ1065" t="s">
        <v>561</v>
      </c>
      <c r="AK1065" t="s">
        <v>833</v>
      </c>
      <c r="AL1065" t="s">
        <v>834</v>
      </c>
      <c r="AM1065">
        <v>2022</v>
      </c>
      <c r="AN1065">
        <v>2020</v>
      </c>
      <c r="AO1065">
        <f>IF(AND(emissions[[#This Row],[Market-based]]=0,emissions[[#This Row],[Impact Type]]="CO2E"),emissions[[#This Row],[kgCO2e]],0)/1000</f>
        <v>0</v>
      </c>
      <c r="AP1065">
        <f>IF(AND(emissions[[#This Row],[Market-based]]=1,OR(emissions[[#This Row],[Impact Type]]="CO2E",emissions[[#This Row],[Impact Type]]="CO2E MKT")),emissions[[#This Row],[kgCO2e]],0)/1000</f>
        <v>38.370142119999997</v>
      </c>
      <c r="AQ1065" t="str">
        <f>_xlfn.TEXTAFTER(emissions[[#This Row],[Reporting Unit]]," &gt; ",LEN(emissions[[#This Row],[Reporting Unit]])-LEN(SUBSTITUTE(emissions[[#This Row],[Reporting Unit]],"&gt;","")))</f>
        <v>Vantage_Delta</v>
      </c>
      <c r="AR1065" t="str">
        <f>_xlfn.XLOOKUP(emissions[[#This Row],[Reporting unit name]],hierarchy!$A:$A,hierarchy!$C:$C)</f>
        <v>Factory</v>
      </c>
    </row>
    <row r="1066" spans="1:44" hidden="1" x14ac:dyDescent="0.25">
      <c r="A1066">
        <v>261765</v>
      </c>
      <c r="B1066" t="s">
        <v>255</v>
      </c>
      <c r="C1066" t="s">
        <v>520</v>
      </c>
      <c r="D1066" t="s">
        <v>548</v>
      </c>
      <c r="E1066" s="3">
        <v>44562</v>
      </c>
      <c r="F1066" s="3">
        <v>44926</v>
      </c>
      <c r="G1066" t="s">
        <v>108</v>
      </c>
      <c r="H1066" s="3">
        <v>44562</v>
      </c>
      <c r="I1066" s="3">
        <v>44926</v>
      </c>
      <c r="J1066" t="s">
        <v>108</v>
      </c>
      <c r="K1066">
        <v>72408</v>
      </c>
      <c r="L1066" t="s">
        <v>109</v>
      </c>
      <c r="M1066" t="s">
        <v>110</v>
      </c>
      <c r="O1066" t="s">
        <v>866</v>
      </c>
      <c r="P1066" t="s">
        <v>550</v>
      </c>
      <c r="Q1066">
        <v>2022</v>
      </c>
      <c r="R1066" t="s">
        <v>567</v>
      </c>
      <c r="S1066" t="s">
        <v>568</v>
      </c>
      <c r="T1066" t="s">
        <v>569</v>
      </c>
      <c r="U1066" t="b">
        <v>0</v>
      </c>
      <c r="V1066" t="s">
        <v>869</v>
      </c>
      <c r="W1066" t="s">
        <v>571</v>
      </c>
      <c r="X1066" t="s">
        <v>572</v>
      </c>
      <c r="Y1066" t="s">
        <v>472</v>
      </c>
      <c r="Z1066" t="s">
        <v>485</v>
      </c>
      <c r="AA1066" t="s">
        <v>764</v>
      </c>
      <c r="AB1066" t="s">
        <v>868</v>
      </c>
      <c r="AC1066">
        <v>0</v>
      </c>
      <c r="AD1066" t="s">
        <v>565</v>
      </c>
      <c r="AE1066">
        <v>592.20197740000003</v>
      </c>
      <c r="AF1066">
        <v>8.1786819999999996E-3</v>
      </c>
      <c r="AG1066" t="s">
        <v>560</v>
      </c>
      <c r="AH1066">
        <v>1</v>
      </c>
      <c r="AI1066">
        <v>72408</v>
      </c>
      <c r="AJ1066" t="s">
        <v>561</v>
      </c>
      <c r="AK1066" t="s">
        <v>573</v>
      </c>
      <c r="AL1066" t="s">
        <v>574</v>
      </c>
      <c r="AM1066">
        <v>2022</v>
      </c>
      <c r="AN1066">
        <v>2020</v>
      </c>
      <c r="AO1066">
        <f>IF(AND(emissions[[#This Row],[Market-based]]=0,emissions[[#This Row],[Impact Type]]="CO2E"),emissions[[#This Row],[kgCO2e]],0)/1000</f>
        <v>0.59220197740000002</v>
      </c>
      <c r="AP1066">
        <f>IF(AND(emissions[[#This Row],[Market-based]]=1,OR(emissions[[#This Row],[Impact Type]]="CO2E",emissions[[#This Row],[Impact Type]]="CO2E MKT")),emissions[[#This Row],[kgCO2e]],0)/1000</f>
        <v>0</v>
      </c>
      <c r="AQ1066" t="str">
        <f>_xlfn.TEXTAFTER(emissions[[#This Row],[Reporting Unit]]," &gt; ",LEN(emissions[[#This Row],[Reporting Unit]])-LEN(SUBSTITUTE(emissions[[#This Row],[Reporting Unit]],"&gt;","")))</f>
        <v>Vantage_Delta</v>
      </c>
      <c r="AR1066" t="str">
        <f>_xlfn.XLOOKUP(emissions[[#This Row],[Reporting unit name]],hierarchy!$A:$A,hierarchy!$C:$C)</f>
        <v>Factory</v>
      </c>
    </row>
    <row r="1067" spans="1:44" hidden="1" x14ac:dyDescent="0.25">
      <c r="A1067">
        <v>261765</v>
      </c>
      <c r="B1067" t="s">
        <v>255</v>
      </c>
      <c r="C1067" t="s">
        <v>520</v>
      </c>
      <c r="D1067" t="s">
        <v>548</v>
      </c>
      <c r="E1067" s="3">
        <v>44562</v>
      </c>
      <c r="F1067" s="3">
        <v>44926</v>
      </c>
      <c r="G1067" t="s">
        <v>108</v>
      </c>
      <c r="H1067" s="3">
        <v>44562</v>
      </c>
      <c r="I1067" s="3">
        <v>44926</v>
      </c>
      <c r="J1067" t="s">
        <v>108</v>
      </c>
      <c r="K1067">
        <v>72408</v>
      </c>
      <c r="L1067" t="s">
        <v>109</v>
      </c>
      <c r="M1067" t="s">
        <v>110</v>
      </c>
      <c r="O1067" t="s">
        <v>866</v>
      </c>
      <c r="P1067" t="s">
        <v>550</v>
      </c>
      <c r="Q1067">
        <v>2022</v>
      </c>
      <c r="R1067" t="s">
        <v>567</v>
      </c>
      <c r="S1067" t="s">
        <v>568</v>
      </c>
      <c r="T1067" t="s">
        <v>569</v>
      </c>
      <c r="U1067" t="b">
        <v>0</v>
      </c>
      <c r="V1067" t="s">
        <v>870</v>
      </c>
      <c r="W1067" t="s">
        <v>571</v>
      </c>
      <c r="X1067" t="s">
        <v>572</v>
      </c>
      <c r="Y1067" t="s">
        <v>472</v>
      </c>
      <c r="Z1067" t="s">
        <v>485</v>
      </c>
      <c r="AA1067" t="s">
        <v>764</v>
      </c>
      <c r="AB1067" t="s">
        <v>868</v>
      </c>
      <c r="AC1067">
        <v>1</v>
      </c>
      <c r="AD1067" t="s">
        <v>639</v>
      </c>
      <c r="AE1067">
        <v>564.12671520000004</v>
      </c>
      <c r="AF1067">
        <v>7.7909449999999996E-3</v>
      </c>
      <c r="AG1067" t="s">
        <v>560</v>
      </c>
      <c r="AH1067">
        <v>1</v>
      </c>
      <c r="AI1067">
        <v>72408</v>
      </c>
      <c r="AJ1067" t="s">
        <v>561</v>
      </c>
      <c r="AK1067" t="s">
        <v>573</v>
      </c>
      <c r="AL1067" t="s">
        <v>772</v>
      </c>
      <c r="AM1067">
        <v>2022</v>
      </c>
      <c r="AN1067">
        <v>2019</v>
      </c>
      <c r="AO1067">
        <f>IF(AND(emissions[[#This Row],[Market-based]]=0,emissions[[#This Row],[Impact Type]]="CO2E"),emissions[[#This Row],[kgCO2e]],0)/1000</f>
        <v>0</v>
      </c>
      <c r="AP1067">
        <f>IF(AND(emissions[[#This Row],[Market-based]]=1,OR(emissions[[#This Row],[Impact Type]]="CO2E",emissions[[#This Row],[Impact Type]]="CO2E MKT")),emissions[[#This Row],[kgCO2e]],0)/1000</f>
        <v>0.56412671520000002</v>
      </c>
      <c r="AQ1067" t="str">
        <f>_xlfn.TEXTAFTER(emissions[[#This Row],[Reporting Unit]]," &gt; ",LEN(emissions[[#This Row],[Reporting Unit]])-LEN(SUBSTITUTE(emissions[[#This Row],[Reporting Unit]],"&gt;","")))</f>
        <v>Vantage_Delta</v>
      </c>
      <c r="AR1067" t="str">
        <f>_xlfn.XLOOKUP(emissions[[#This Row],[Reporting unit name]],hierarchy!$A:$A,hierarchy!$C:$C)</f>
        <v>Factory</v>
      </c>
    </row>
    <row r="1068" spans="1:44" hidden="1" x14ac:dyDescent="0.25">
      <c r="A1068">
        <v>261765</v>
      </c>
      <c r="B1068" t="s">
        <v>255</v>
      </c>
      <c r="C1068" t="s">
        <v>520</v>
      </c>
      <c r="D1068" t="s">
        <v>548</v>
      </c>
      <c r="E1068" s="3">
        <v>44562</v>
      </c>
      <c r="F1068" s="3">
        <v>44926</v>
      </c>
      <c r="G1068" t="s">
        <v>108</v>
      </c>
      <c r="H1068" s="3">
        <v>44562</v>
      </c>
      <c r="I1068" s="3">
        <v>44926</v>
      </c>
      <c r="J1068" t="s">
        <v>108</v>
      </c>
      <c r="K1068">
        <v>72408</v>
      </c>
      <c r="L1068" t="s">
        <v>109</v>
      </c>
      <c r="M1068" t="s">
        <v>110</v>
      </c>
      <c r="O1068" t="s">
        <v>866</v>
      </c>
      <c r="P1068" t="s">
        <v>550</v>
      </c>
      <c r="Q1068">
        <v>2022</v>
      </c>
      <c r="R1068" t="s">
        <v>575</v>
      </c>
      <c r="S1068" t="s">
        <v>576</v>
      </c>
      <c r="T1068" t="s">
        <v>577</v>
      </c>
      <c r="U1068" t="b">
        <v>0</v>
      </c>
      <c r="V1068" t="s">
        <v>871</v>
      </c>
      <c r="W1068" t="s">
        <v>571</v>
      </c>
      <c r="X1068" t="s">
        <v>572</v>
      </c>
      <c r="Y1068" t="s">
        <v>472</v>
      </c>
      <c r="Z1068" t="s">
        <v>485</v>
      </c>
      <c r="AA1068" t="s">
        <v>764</v>
      </c>
      <c r="AB1068" t="s">
        <v>868</v>
      </c>
      <c r="AC1068">
        <v>0</v>
      </c>
      <c r="AD1068" t="s">
        <v>565</v>
      </c>
      <c r="AE1068">
        <v>10581.420239999999</v>
      </c>
      <c r="AF1068">
        <v>0.14613606600000001</v>
      </c>
      <c r="AG1068" t="s">
        <v>560</v>
      </c>
      <c r="AH1068">
        <v>1</v>
      </c>
      <c r="AI1068">
        <v>72408</v>
      </c>
      <c r="AJ1068" t="s">
        <v>561</v>
      </c>
      <c r="AK1068" t="s">
        <v>573</v>
      </c>
      <c r="AL1068" t="s">
        <v>574</v>
      </c>
      <c r="AM1068">
        <v>2022</v>
      </c>
      <c r="AN1068">
        <v>2020</v>
      </c>
      <c r="AO1068">
        <f>IF(AND(emissions[[#This Row],[Market-based]]=0,emissions[[#This Row],[Impact Type]]="CO2E"),emissions[[#This Row],[kgCO2e]],0)/1000</f>
        <v>10.58142024</v>
      </c>
      <c r="AP1068">
        <f>IF(AND(emissions[[#This Row],[Market-based]]=1,OR(emissions[[#This Row],[Impact Type]]="CO2E",emissions[[#This Row],[Impact Type]]="CO2E MKT")),emissions[[#This Row],[kgCO2e]],0)/1000</f>
        <v>0</v>
      </c>
      <c r="AQ1068" t="str">
        <f>_xlfn.TEXTAFTER(emissions[[#This Row],[Reporting Unit]]," &gt; ",LEN(emissions[[#This Row],[Reporting Unit]])-LEN(SUBSTITUTE(emissions[[#This Row],[Reporting Unit]],"&gt;","")))</f>
        <v>Vantage_Delta</v>
      </c>
      <c r="AR1068" t="str">
        <f>_xlfn.XLOOKUP(emissions[[#This Row],[Reporting unit name]],hierarchy!$A:$A,hierarchy!$C:$C)</f>
        <v>Factory</v>
      </c>
    </row>
    <row r="1069" spans="1:44" hidden="1" x14ac:dyDescent="0.25">
      <c r="A1069">
        <v>261765</v>
      </c>
      <c r="B1069" t="s">
        <v>255</v>
      </c>
      <c r="C1069" t="s">
        <v>520</v>
      </c>
      <c r="D1069" t="s">
        <v>548</v>
      </c>
      <c r="E1069" s="3">
        <v>44562</v>
      </c>
      <c r="F1069" s="3">
        <v>44926</v>
      </c>
      <c r="G1069" t="s">
        <v>108</v>
      </c>
      <c r="H1069" s="3">
        <v>44562</v>
      </c>
      <c r="I1069" s="3">
        <v>44926</v>
      </c>
      <c r="J1069" t="s">
        <v>108</v>
      </c>
      <c r="K1069">
        <v>72408</v>
      </c>
      <c r="L1069" t="s">
        <v>109</v>
      </c>
      <c r="M1069" t="s">
        <v>110</v>
      </c>
      <c r="O1069" t="s">
        <v>866</v>
      </c>
      <c r="P1069" t="s">
        <v>550</v>
      </c>
      <c r="Q1069">
        <v>2022</v>
      </c>
      <c r="R1069" t="s">
        <v>575</v>
      </c>
      <c r="S1069" t="s">
        <v>576</v>
      </c>
      <c r="T1069" t="s">
        <v>577</v>
      </c>
      <c r="U1069" t="b">
        <v>0</v>
      </c>
      <c r="V1069" t="s">
        <v>872</v>
      </c>
      <c r="W1069" t="s">
        <v>571</v>
      </c>
      <c r="X1069" t="s">
        <v>572</v>
      </c>
      <c r="Y1069" t="s">
        <v>472</v>
      </c>
      <c r="Z1069" t="s">
        <v>485</v>
      </c>
      <c r="AA1069" t="s">
        <v>764</v>
      </c>
      <c r="AB1069" t="s">
        <v>868</v>
      </c>
      <c r="AC1069">
        <v>1</v>
      </c>
      <c r="AD1069" t="s">
        <v>639</v>
      </c>
      <c r="AE1069">
        <v>11061.308139999999</v>
      </c>
      <c r="AF1069">
        <v>0.15276361899999999</v>
      </c>
      <c r="AG1069" t="s">
        <v>560</v>
      </c>
      <c r="AH1069">
        <v>1</v>
      </c>
      <c r="AI1069">
        <v>72408</v>
      </c>
      <c r="AJ1069" t="s">
        <v>561</v>
      </c>
      <c r="AK1069" t="s">
        <v>573</v>
      </c>
      <c r="AL1069" t="s">
        <v>873</v>
      </c>
      <c r="AM1069">
        <v>2022</v>
      </c>
      <c r="AN1069">
        <v>2019</v>
      </c>
      <c r="AO1069">
        <f>IF(AND(emissions[[#This Row],[Market-based]]=0,emissions[[#This Row],[Impact Type]]="CO2E"),emissions[[#This Row],[kgCO2e]],0)/1000</f>
        <v>0</v>
      </c>
      <c r="AP1069">
        <f>IF(AND(emissions[[#This Row],[Market-based]]=1,OR(emissions[[#This Row],[Impact Type]]="CO2E",emissions[[#This Row],[Impact Type]]="CO2E MKT")),emissions[[#This Row],[kgCO2e]],0)/1000</f>
        <v>11.06130814</v>
      </c>
      <c r="AQ1069" t="str">
        <f>_xlfn.TEXTAFTER(emissions[[#This Row],[Reporting Unit]]," &gt; ",LEN(emissions[[#This Row],[Reporting Unit]])-LEN(SUBSTITUTE(emissions[[#This Row],[Reporting Unit]],"&gt;","")))</f>
        <v>Vantage_Delta</v>
      </c>
      <c r="AR1069" t="str">
        <f>_xlfn.XLOOKUP(emissions[[#This Row],[Reporting unit name]],hierarchy!$A:$A,hierarchy!$C:$C)</f>
        <v>Factory</v>
      </c>
    </row>
    <row r="1070" spans="1:44" hidden="1" x14ac:dyDescent="0.25">
      <c r="A1070">
        <v>261765</v>
      </c>
      <c r="B1070" t="s">
        <v>255</v>
      </c>
      <c r="C1070" t="s">
        <v>520</v>
      </c>
      <c r="D1070" t="s">
        <v>548</v>
      </c>
      <c r="E1070" s="3">
        <v>44562</v>
      </c>
      <c r="F1070" s="3">
        <v>44926</v>
      </c>
      <c r="G1070" t="s">
        <v>108</v>
      </c>
      <c r="H1070" s="3">
        <v>44562</v>
      </c>
      <c r="I1070" s="3">
        <v>44926</v>
      </c>
      <c r="J1070" t="s">
        <v>108</v>
      </c>
      <c r="K1070">
        <v>72408</v>
      </c>
      <c r="L1070" t="s">
        <v>109</v>
      </c>
      <c r="M1070" t="s">
        <v>110</v>
      </c>
      <c r="O1070" t="s">
        <v>866</v>
      </c>
      <c r="P1070" t="s">
        <v>550</v>
      </c>
      <c r="Q1070">
        <v>2022</v>
      </c>
      <c r="R1070" t="s">
        <v>579</v>
      </c>
      <c r="S1070" t="s">
        <v>580</v>
      </c>
      <c r="T1070" t="s">
        <v>581</v>
      </c>
      <c r="U1070" t="b">
        <v>0</v>
      </c>
      <c r="V1070" t="s">
        <v>874</v>
      </c>
      <c r="W1070" t="s">
        <v>571</v>
      </c>
      <c r="X1070" t="s">
        <v>572</v>
      </c>
      <c r="Y1070" t="s">
        <v>472</v>
      </c>
      <c r="Z1070" t="s">
        <v>485</v>
      </c>
      <c r="AA1070" t="s">
        <v>764</v>
      </c>
      <c r="AB1070" t="s">
        <v>868</v>
      </c>
      <c r="AC1070">
        <v>0</v>
      </c>
      <c r="AD1070" t="s">
        <v>565</v>
      </c>
      <c r="AE1070">
        <v>2004.432104</v>
      </c>
      <c r="AF1070">
        <v>2.7682466999999999E-2</v>
      </c>
      <c r="AG1070" t="s">
        <v>560</v>
      </c>
      <c r="AH1070">
        <v>1</v>
      </c>
      <c r="AI1070">
        <v>72408</v>
      </c>
      <c r="AJ1070" t="s">
        <v>561</v>
      </c>
      <c r="AK1070" t="s">
        <v>766</v>
      </c>
      <c r="AL1070" t="s">
        <v>767</v>
      </c>
      <c r="AM1070">
        <v>2022</v>
      </c>
      <c r="AN1070">
        <v>2020</v>
      </c>
      <c r="AO1070">
        <f>IF(AND(emissions[[#This Row],[Market-based]]=0,emissions[[#This Row],[Impact Type]]="CO2E"),emissions[[#This Row],[kgCO2e]],0)/1000</f>
        <v>2.0044321040000002</v>
      </c>
      <c r="AP1070">
        <f>IF(AND(emissions[[#This Row],[Market-based]]=1,OR(emissions[[#This Row],[Impact Type]]="CO2E",emissions[[#This Row],[Impact Type]]="CO2E MKT")),emissions[[#This Row],[kgCO2e]],0)/1000</f>
        <v>0</v>
      </c>
      <c r="AQ1070" t="str">
        <f>_xlfn.TEXTAFTER(emissions[[#This Row],[Reporting Unit]]," &gt; ",LEN(emissions[[#This Row],[Reporting Unit]])-LEN(SUBSTITUTE(emissions[[#This Row],[Reporting Unit]],"&gt;","")))</f>
        <v>Vantage_Delta</v>
      </c>
      <c r="AR1070" t="str">
        <f>_xlfn.XLOOKUP(emissions[[#This Row],[Reporting unit name]],hierarchy!$A:$A,hierarchy!$C:$C)</f>
        <v>Factory</v>
      </c>
    </row>
    <row r="1071" spans="1:44" hidden="1" x14ac:dyDescent="0.25">
      <c r="A1071">
        <v>261765</v>
      </c>
      <c r="B1071" t="s">
        <v>255</v>
      </c>
      <c r="C1071" t="s">
        <v>520</v>
      </c>
      <c r="D1071" t="s">
        <v>548</v>
      </c>
      <c r="E1071" s="3">
        <v>44562</v>
      </c>
      <c r="F1071" s="3">
        <v>44926</v>
      </c>
      <c r="G1071" t="s">
        <v>108</v>
      </c>
      <c r="H1071" s="3">
        <v>44562</v>
      </c>
      <c r="I1071" s="3">
        <v>44926</v>
      </c>
      <c r="J1071" t="s">
        <v>108</v>
      </c>
      <c r="K1071">
        <v>72408</v>
      </c>
      <c r="L1071" t="s">
        <v>109</v>
      </c>
      <c r="M1071" t="s">
        <v>110</v>
      </c>
      <c r="O1071" t="s">
        <v>866</v>
      </c>
      <c r="P1071" t="s">
        <v>550</v>
      </c>
      <c r="Q1071">
        <v>2022</v>
      </c>
      <c r="R1071" t="s">
        <v>579</v>
      </c>
      <c r="S1071" t="s">
        <v>580</v>
      </c>
      <c r="T1071" t="s">
        <v>581</v>
      </c>
      <c r="U1071" t="b">
        <v>0</v>
      </c>
      <c r="V1071" t="s">
        <v>875</v>
      </c>
      <c r="W1071" t="s">
        <v>571</v>
      </c>
      <c r="X1071" t="s">
        <v>572</v>
      </c>
      <c r="Y1071" t="s">
        <v>472</v>
      </c>
      <c r="Z1071" t="s">
        <v>485</v>
      </c>
      <c r="AA1071" t="s">
        <v>764</v>
      </c>
      <c r="AB1071" t="s">
        <v>868</v>
      </c>
      <c r="AC1071">
        <v>1</v>
      </c>
      <c r="AD1071" t="s">
        <v>639</v>
      </c>
      <c r="AE1071">
        <v>2135.4616510000001</v>
      </c>
      <c r="AF1071">
        <v>2.9492068E-2</v>
      </c>
      <c r="AG1071" t="s">
        <v>560</v>
      </c>
      <c r="AH1071">
        <v>1</v>
      </c>
      <c r="AI1071">
        <v>72408</v>
      </c>
      <c r="AJ1071" t="s">
        <v>561</v>
      </c>
      <c r="AK1071" t="s">
        <v>573</v>
      </c>
      <c r="AL1071" t="s">
        <v>876</v>
      </c>
      <c r="AM1071">
        <v>2022</v>
      </c>
      <c r="AN1071">
        <v>2019</v>
      </c>
      <c r="AO1071">
        <f>IF(AND(emissions[[#This Row],[Market-based]]=0,emissions[[#This Row],[Impact Type]]="CO2E"),emissions[[#This Row],[kgCO2e]],0)/1000</f>
        <v>0</v>
      </c>
      <c r="AP1071">
        <f>IF(AND(emissions[[#This Row],[Market-based]]=1,OR(emissions[[#This Row],[Impact Type]]="CO2E",emissions[[#This Row],[Impact Type]]="CO2E MKT")),emissions[[#This Row],[kgCO2e]],0)/1000</f>
        <v>2.135461651</v>
      </c>
      <c r="AQ1071" t="str">
        <f>_xlfn.TEXTAFTER(emissions[[#This Row],[Reporting Unit]]," &gt; ",LEN(emissions[[#This Row],[Reporting Unit]])-LEN(SUBSTITUTE(emissions[[#This Row],[Reporting Unit]],"&gt;","")))</f>
        <v>Vantage_Delta</v>
      </c>
      <c r="AR1071" t="str">
        <f>_xlfn.XLOOKUP(emissions[[#This Row],[Reporting unit name]],hierarchy!$A:$A,hierarchy!$C:$C)</f>
        <v>Factory</v>
      </c>
    </row>
    <row r="1072" spans="1:44" hidden="1" x14ac:dyDescent="0.25">
      <c r="A1072">
        <v>261769</v>
      </c>
      <c r="B1072" t="s">
        <v>255</v>
      </c>
      <c r="C1072" t="s">
        <v>520</v>
      </c>
      <c r="D1072" t="s">
        <v>548</v>
      </c>
      <c r="E1072" s="3">
        <v>44562</v>
      </c>
      <c r="F1072" s="3">
        <v>44926</v>
      </c>
      <c r="G1072" t="s">
        <v>135</v>
      </c>
      <c r="H1072" s="3">
        <v>44562</v>
      </c>
      <c r="I1072" s="3">
        <v>44926</v>
      </c>
      <c r="J1072" t="s">
        <v>135</v>
      </c>
      <c r="K1072">
        <v>11984</v>
      </c>
      <c r="L1072" t="s">
        <v>136</v>
      </c>
      <c r="M1072" t="s">
        <v>110</v>
      </c>
      <c r="O1072" t="s">
        <v>877</v>
      </c>
      <c r="P1072" t="s">
        <v>550</v>
      </c>
      <c r="Q1072">
        <v>2022</v>
      </c>
      <c r="R1072" t="s">
        <v>605</v>
      </c>
      <c r="S1072" t="s">
        <v>606</v>
      </c>
      <c r="T1072" t="s">
        <v>553</v>
      </c>
      <c r="U1072" t="b">
        <v>0</v>
      </c>
      <c r="V1072" t="s">
        <v>781</v>
      </c>
      <c r="W1072" t="s">
        <v>587</v>
      </c>
      <c r="X1072" t="s">
        <v>556</v>
      </c>
      <c r="Y1072" t="s">
        <v>472</v>
      </c>
      <c r="Z1072" t="s">
        <v>485</v>
      </c>
      <c r="AA1072" t="s">
        <v>764</v>
      </c>
      <c r="AC1072">
        <v>0</v>
      </c>
      <c r="AD1072" t="s">
        <v>558</v>
      </c>
      <c r="AE1072">
        <v>29.96</v>
      </c>
      <c r="AF1072">
        <v>2.5000000000000001E-2</v>
      </c>
      <c r="AG1072" t="s">
        <v>798</v>
      </c>
      <c r="AH1072">
        <v>0.1</v>
      </c>
      <c r="AI1072">
        <v>1198.4000000000001</v>
      </c>
      <c r="AJ1072" t="s">
        <v>561</v>
      </c>
      <c r="AK1072" t="s">
        <v>766</v>
      </c>
      <c r="AL1072" t="s">
        <v>787</v>
      </c>
      <c r="AM1072">
        <v>2022</v>
      </c>
      <c r="AN1072">
        <v>2021</v>
      </c>
      <c r="AO1072">
        <f>IF(AND(emissions[[#This Row],[Market-based]]=0,emissions[[#This Row],[Impact Type]]="CO2E"),emissions[[#This Row],[kgCO2e]],0)/1000</f>
        <v>0</v>
      </c>
      <c r="AP1072">
        <f>IF(AND(emissions[[#This Row],[Market-based]]=1,OR(emissions[[#This Row],[Impact Type]]="CO2E",emissions[[#This Row],[Impact Type]]="CO2E MKT")),emissions[[#This Row],[kgCO2e]],0)/1000</f>
        <v>0</v>
      </c>
      <c r="AQ1072" t="str">
        <f>_xlfn.TEXTAFTER(emissions[[#This Row],[Reporting Unit]]," &gt; ",LEN(emissions[[#This Row],[Reporting Unit]])-LEN(SUBSTITUTE(emissions[[#This Row],[Reporting Unit]],"&gt;","")))</f>
        <v>Vantage_Delta</v>
      </c>
      <c r="AR1072" t="str">
        <f>_xlfn.XLOOKUP(emissions[[#This Row],[Reporting unit name]],hierarchy!$A:$A,hierarchy!$C:$C)</f>
        <v>Factory</v>
      </c>
    </row>
    <row r="1073" spans="1:44" hidden="1" x14ac:dyDescent="0.25">
      <c r="A1073">
        <v>261769</v>
      </c>
      <c r="B1073" t="s">
        <v>255</v>
      </c>
      <c r="C1073" t="s">
        <v>520</v>
      </c>
      <c r="D1073" t="s">
        <v>548</v>
      </c>
      <c r="E1073" s="3">
        <v>44562</v>
      </c>
      <c r="F1073" s="3">
        <v>44926</v>
      </c>
      <c r="G1073" t="s">
        <v>135</v>
      </c>
      <c r="H1073" s="3">
        <v>44562</v>
      </c>
      <c r="I1073" s="3">
        <v>44926</v>
      </c>
      <c r="J1073" t="s">
        <v>135</v>
      </c>
      <c r="K1073">
        <v>11984</v>
      </c>
      <c r="L1073" t="s">
        <v>136</v>
      </c>
      <c r="M1073" t="s">
        <v>110</v>
      </c>
      <c r="O1073" t="s">
        <v>877</v>
      </c>
      <c r="P1073" t="s">
        <v>550</v>
      </c>
      <c r="Q1073">
        <v>2022</v>
      </c>
      <c r="R1073" t="s">
        <v>605</v>
      </c>
      <c r="S1073" t="s">
        <v>606</v>
      </c>
      <c r="T1073" t="s">
        <v>553</v>
      </c>
      <c r="U1073" t="b">
        <v>0</v>
      </c>
      <c r="V1073" t="s">
        <v>781</v>
      </c>
      <c r="W1073" t="s">
        <v>587</v>
      </c>
      <c r="X1073" t="s">
        <v>556</v>
      </c>
      <c r="Y1073" t="s">
        <v>472</v>
      </c>
      <c r="Z1073" t="s">
        <v>485</v>
      </c>
      <c r="AA1073" t="s">
        <v>764</v>
      </c>
      <c r="AC1073">
        <v>0</v>
      </c>
      <c r="AD1073" t="s">
        <v>564</v>
      </c>
      <c r="AE1073">
        <v>63587.103999999999</v>
      </c>
      <c r="AF1073">
        <v>53.06</v>
      </c>
      <c r="AG1073" t="s">
        <v>798</v>
      </c>
      <c r="AH1073">
        <v>0.1</v>
      </c>
      <c r="AI1073">
        <v>1198.4000000000001</v>
      </c>
      <c r="AJ1073" t="s">
        <v>561</v>
      </c>
      <c r="AK1073" t="s">
        <v>766</v>
      </c>
      <c r="AL1073" t="s">
        <v>767</v>
      </c>
      <c r="AM1073">
        <v>2022</v>
      </c>
      <c r="AN1073">
        <v>2022</v>
      </c>
      <c r="AO1073">
        <f>IF(AND(emissions[[#This Row],[Market-based]]=0,emissions[[#This Row],[Impact Type]]="CO2E"),emissions[[#This Row],[kgCO2e]],0)/1000</f>
        <v>0</v>
      </c>
      <c r="AP1073">
        <f>IF(AND(emissions[[#This Row],[Market-based]]=1,OR(emissions[[#This Row],[Impact Type]]="CO2E",emissions[[#This Row],[Impact Type]]="CO2E MKT")),emissions[[#This Row],[kgCO2e]],0)/1000</f>
        <v>0</v>
      </c>
      <c r="AQ1073" t="str">
        <f>_xlfn.TEXTAFTER(emissions[[#This Row],[Reporting Unit]]," &gt; ",LEN(emissions[[#This Row],[Reporting Unit]])-LEN(SUBSTITUTE(emissions[[#This Row],[Reporting Unit]],"&gt;","")))</f>
        <v>Vantage_Delta</v>
      </c>
      <c r="AR1073" t="str">
        <f>_xlfn.XLOOKUP(emissions[[#This Row],[Reporting unit name]],hierarchy!$A:$A,hierarchy!$C:$C)</f>
        <v>Factory</v>
      </c>
    </row>
    <row r="1074" spans="1:44" hidden="1" x14ac:dyDescent="0.25">
      <c r="A1074">
        <v>261769</v>
      </c>
      <c r="B1074" t="s">
        <v>255</v>
      </c>
      <c r="C1074" t="s">
        <v>520</v>
      </c>
      <c r="D1074" t="s">
        <v>548</v>
      </c>
      <c r="E1074" s="3">
        <v>44562</v>
      </c>
      <c r="F1074" s="3">
        <v>44926</v>
      </c>
      <c r="G1074" t="s">
        <v>135</v>
      </c>
      <c r="H1074" s="3">
        <v>44562</v>
      </c>
      <c r="I1074" s="3">
        <v>44926</v>
      </c>
      <c r="J1074" t="s">
        <v>135</v>
      </c>
      <c r="K1074">
        <v>11984</v>
      </c>
      <c r="L1074" t="s">
        <v>136</v>
      </c>
      <c r="M1074" t="s">
        <v>110</v>
      </c>
      <c r="O1074" t="s">
        <v>877</v>
      </c>
      <c r="P1074" t="s">
        <v>550</v>
      </c>
      <c r="Q1074">
        <v>2022</v>
      </c>
      <c r="R1074" t="s">
        <v>605</v>
      </c>
      <c r="S1074" t="s">
        <v>606</v>
      </c>
      <c r="T1074" t="s">
        <v>553</v>
      </c>
      <c r="U1074" t="b">
        <v>0</v>
      </c>
      <c r="V1074" t="s">
        <v>781</v>
      </c>
      <c r="W1074" t="s">
        <v>587</v>
      </c>
      <c r="X1074" t="s">
        <v>556</v>
      </c>
      <c r="Y1074" t="s">
        <v>472</v>
      </c>
      <c r="Z1074" t="s">
        <v>485</v>
      </c>
      <c r="AA1074" t="s">
        <v>764</v>
      </c>
      <c r="AC1074">
        <v>0</v>
      </c>
      <c r="AD1074" t="s">
        <v>565</v>
      </c>
      <c r="AE1074">
        <v>63652.776319999997</v>
      </c>
      <c r="AF1074">
        <v>53.114800000000002</v>
      </c>
      <c r="AG1074" t="s">
        <v>798</v>
      </c>
      <c r="AH1074">
        <v>0.1</v>
      </c>
      <c r="AI1074">
        <v>1198.4000000000001</v>
      </c>
      <c r="AJ1074" t="s">
        <v>561</v>
      </c>
      <c r="AK1074" t="s">
        <v>766</v>
      </c>
      <c r="AL1074" t="s">
        <v>787</v>
      </c>
      <c r="AM1074">
        <v>2022</v>
      </c>
      <c r="AN1074">
        <v>2021</v>
      </c>
      <c r="AO1074">
        <f>IF(AND(emissions[[#This Row],[Market-based]]=0,emissions[[#This Row],[Impact Type]]="CO2E"),emissions[[#This Row],[kgCO2e]],0)/1000</f>
        <v>63.652776319999994</v>
      </c>
      <c r="AP1074">
        <f>IF(AND(emissions[[#This Row],[Market-based]]=1,OR(emissions[[#This Row],[Impact Type]]="CO2E",emissions[[#This Row],[Impact Type]]="CO2E MKT")),emissions[[#This Row],[kgCO2e]],0)/1000</f>
        <v>0</v>
      </c>
      <c r="AQ1074" t="str">
        <f>_xlfn.TEXTAFTER(emissions[[#This Row],[Reporting Unit]]," &gt; ",LEN(emissions[[#This Row],[Reporting Unit]])-LEN(SUBSTITUTE(emissions[[#This Row],[Reporting Unit]],"&gt;","")))</f>
        <v>Vantage_Delta</v>
      </c>
      <c r="AR1074" t="str">
        <f>_xlfn.XLOOKUP(emissions[[#This Row],[Reporting unit name]],hierarchy!$A:$A,hierarchy!$C:$C)</f>
        <v>Factory</v>
      </c>
    </row>
    <row r="1075" spans="1:44" hidden="1" x14ac:dyDescent="0.25">
      <c r="A1075">
        <v>261769</v>
      </c>
      <c r="B1075" t="s">
        <v>255</v>
      </c>
      <c r="C1075" t="s">
        <v>520</v>
      </c>
      <c r="D1075" t="s">
        <v>548</v>
      </c>
      <c r="E1075" s="3">
        <v>44562</v>
      </c>
      <c r="F1075" s="3">
        <v>44926</v>
      </c>
      <c r="G1075" t="s">
        <v>135</v>
      </c>
      <c r="H1075" s="3">
        <v>44562</v>
      </c>
      <c r="I1075" s="3">
        <v>44926</v>
      </c>
      <c r="J1075" t="s">
        <v>135</v>
      </c>
      <c r="K1075">
        <v>11984</v>
      </c>
      <c r="L1075" t="s">
        <v>136</v>
      </c>
      <c r="M1075" t="s">
        <v>110</v>
      </c>
      <c r="O1075" t="s">
        <v>877</v>
      </c>
      <c r="P1075" t="s">
        <v>550</v>
      </c>
      <c r="Q1075">
        <v>2022</v>
      </c>
      <c r="R1075" t="s">
        <v>605</v>
      </c>
      <c r="S1075" t="s">
        <v>606</v>
      </c>
      <c r="T1075" t="s">
        <v>553</v>
      </c>
      <c r="U1075" t="b">
        <v>0</v>
      </c>
      <c r="V1075" t="s">
        <v>781</v>
      </c>
      <c r="W1075" t="s">
        <v>587</v>
      </c>
      <c r="X1075" t="s">
        <v>556</v>
      </c>
      <c r="Y1075" t="s">
        <v>472</v>
      </c>
      <c r="Z1075" t="s">
        <v>485</v>
      </c>
      <c r="AA1075" t="s">
        <v>764</v>
      </c>
      <c r="AC1075">
        <v>0</v>
      </c>
      <c r="AD1075" t="s">
        <v>566</v>
      </c>
      <c r="AE1075">
        <v>35.712319999999998</v>
      </c>
      <c r="AF1075">
        <v>2.98E-2</v>
      </c>
      <c r="AG1075" t="s">
        <v>798</v>
      </c>
      <c r="AH1075">
        <v>0.1</v>
      </c>
      <c r="AI1075">
        <v>1198.4000000000001</v>
      </c>
      <c r="AJ1075" t="s">
        <v>561</v>
      </c>
      <c r="AK1075" t="s">
        <v>766</v>
      </c>
      <c r="AL1075" t="s">
        <v>767</v>
      </c>
      <c r="AM1075">
        <v>2022</v>
      </c>
      <c r="AN1075">
        <v>2022</v>
      </c>
      <c r="AO1075">
        <f>IF(AND(emissions[[#This Row],[Market-based]]=0,emissions[[#This Row],[Impact Type]]="CO2E"),emissions[[#This Row],[kgCO2e]],0)/1000</f>
        <v>0</v>
      </c>
      <c r="AP1075">
        <f>IF(AND(emissions[[#This Row],[Market-based]]=1,OR(emissions[[#This Row],[Impact Type]]="CO2E",emissions[[#This Row],[Impact Type]]="CO2E MKT")),emissions[[#This Row],[kgCO2e]],0)/1000</f>
        <v>0</v>
      </c>
      <c r="AQ1075" t="str">
        <f>_xlfn.TEXTAFTER(emissions[[#This Row],[Reporting Unit]]," &gt; ",LEN(emissions[[#This Row],[Reporting Unit]])-LEN(SUBSTITUTE(emissions[[#This Row],[Reporting Unit]],"&gt;","")))</f>
        <v>Vantage_Delta</v>
      </c>
      <c r="AR1075" t="str">
        <f>_xlfn.XLOOKUP(emissions[[#This Row],[Reporting unit name]],hierarchy!$A:$A,hierarchy!$C:$C)</f>
        <v>Factory</v>
      </c>
    </row>
    <row r="1076" spans="1:44" hidden="1" x14ac:dyDescent="0.25">
      <c r="A1076">
        <v>261769</v>
      </c>
      <c r="B1076" t="s">
        <v>255</v>
      </c>
      <c r="C1076" t="s">
        <v>520</v>
      </c>
      <c r="D1076" t="s">
        <v>548</v>
      </c>
      <c r="E1076" s="3">
        <v>44562</v>
      </c>
      <c r="F1076" s="3">
        <v>44926</v>
      </c>
      <c r="G1076" t="s">
        <v>135</v>
      </c>
      <c r="H1076" s="3">
        <v>44562</v>
      </c>
      <c r="I1076" s="3">
        <v>44926</v>
      </c>
      <c r="J1076" t="s">
        <v>135</v>
      </c>
      <c r="K1076">
        <v>11984</v>
      </c>
      <c r="L1076" t="s">
        <v>136</v>
      </c>
      <c r="M1076" t="s">
        <v>110</v>
      </c>
      <c r="O1076" t="s">
        <v>877</v>
      </c>
      <c r="P1076" t="s">
        <v>550</v>
      </c>
      <c r="Q1076">
        <v>2022</v>
      </c>
      <c r="R1076" t="s">
        <v>605</v>
      </c>
      <c r="S1076" t="s">
        <v>606</v>
      </c>
      <c r="T1076" t="s">
        <v>553</v>
      </c>
      <c r="U1076" t="b">
        <v>0</v>
      </c>
      <c r="V1076" t="s">
        <v>781</v>
      </c>
      <c r="W1076" t="s">
        <v>587</v>
      </c>
      <c r="X1076" t="s">
        <v>556</v>
      </c>
      <c r="Y1076" t="s">
        <v>472</v>
      </c>
      <c r="Z1076" t="s">
        <v>485</v>
      </c>
      <c r="AA1076" t="s">
        <v>764</v>
      </c>
      <c r="AC1076">
        <v>1</v>
      </c>
      <c r="AD1076" t="s">
        <v>558</v>
      </c>
      <c r="AE1076">
        <v>29.96</v>
      </c>
      <c r="AF1076">
        <v>2.5000000000000001E-2</v>
      </c>
      <c r="AG1076" t="s">
        <v>798</v>
      </c>
      <c r="AH1076">
        <v>0.1</v>
      </c>
      <c r="AI1076">
        <v>1198.4000000000001</v>
      </c>
      <c r="AJ1076" t="s">
        <v>561</v>
      </c>
      <c r="AK1076" t="s">
        <v>766</v>
      </c>
      <c r="AL1076" t="s">
        <v>787</v>
      </c>
      <c r="AM1076">
        <v>2022</v>
      </c>
      <c r="AN1076">
        <v>2021</v>
      </c>
      <c r="AO1076">
        <f>IF(AND(emissions[[#This Row],[Market-based]]=0,emissions[[#This Row],[Impact Type]]="CO2E"),emissions[[#This Row],[kgCO2e]],0)/1000</f>
        <v>0</v>
      </c>
      <c r="AP1076">
        <f>IF(AND(emissions[[#This Row],[Market-based]]=1,OR(emissions[[#This Row],[Impact Type]]="CO2E",emissions[[#This Row],[Impact Type]]="CO2E MKT")),emissions[[#This Row],[kgCO2e]],0)/1000</f>
        <v>0</v>
      </c>
      <c r="AQ1076" t="str">
        <f>_xlfn.TEXTAFTER(emissions[[#This Row],[Reporting Unit]]," &gt; ",LEN(emissions[[#This Row],[Reporting Unit]])-LEN(SUBSTITUTE(emissions[[#This Row],[Reporting Unit]],"&gt;","")))</f>
        <v>Vantage_Delta</v>
      </c>
      <c r="AR1076" t="str">
        <f>_xlfn.XLOOKUP(emissions[[#This Row],[Reporting unit name]],hierarchy!$A:$A,hierarchy!$C:$C)</f>
        <v>Factory</v>
      </c>
    </row>
    <row r="1077" spans="1:44" hidden="1" x14ac:dyDescent="0.25">
      <c r="A1077">
        <v>261769</v>
      </c>
      <c r="B1077" t="s">
        <v>255</v>
      </c>
      <c r="C1077" t="s">
        <v>520</v>
      </c>
      <c r="D1077" t="s">
        <v>548</v>
      </c>
      <c r="E1077" s="3">
        <v>44562</v>
      </c>
      <c r="F1077" s="3">
        <v>44926</v>
      </c>
      <c r="G1077" t="s">
        <v>135</v>
      </c>
      <c r="H1077" s="3">
        <v>44562</v>
      </c>
      <c r="I1077" s="3">
        <v>44926</v>
      </c>
      <c r="J1077" t="s">
        <v>135</v>
      </c>
      <c r="K1077">
        <v>11984</v>
      </c>
      <c r="L1077" t="s">
        <v>136</v>
      </c>
      <c r="M1077" t="s">
        <v>110</v>
      </c>
      <c r="O1077" t="s">
        <v>877</v>
      </c>
      <c r="P1077" t="s">
        <v>550</v>
      </c>
      <c r="Q1077">
        <v>2022</v>
      </c>
      <c r="R1077" t="s">
        <v>605</v>
      </c>
      <c r="S1077" t="s">
        <v>606</v>
      </c>
      <c r="T1077" t="s">
        <v>553</v>
      </c>
      <c r="U1077" t="b">
        <v>0</v>
      </c>
      <c r="V1077" t="s">
        <v>781</v>
      </c>
      <c r="W1077" t="s">
        <v>587</v>
      </c>
      <c r="X1077" t="s">
        <v>556</v>
      </c>
      <c r="Y1077" t="s">
        <v>472</v>
      </c>
      <c r="Z1077" t="s">
        <v>485</v>
      </c>
      <c r="AA1077" t="s">
        <v>764</v>
      </c>
      <c r="AC1077">
        <v>1</v>
      </c>
      <c r="AD1077" t="s">
        <v>564</v>
      </c>
      <c r="AE1077">
        <v>63587.103999999999</v>
      </c>
      <c r="AF1077">
        <v>53.06</v>
      </c>
      <c r="AG1077" t="s">
        <v>798</v>
      </c>
      <c r="AH1077">
        <v>0.1</v>
      </c>
      <c r="AI1077">
        <v>1198.4000000000001</v>
      </c>
      <c r="AJ1077" t="s">
        <v>561</v>
      </c>
      <c r="AK1077" t="s">
        <v>766</v>
      </c>
      <c r="AL1077" t="s">
        <v>767</v>
      </c>
      <c r="AM1077">
        <v>2022</v>
      </c>
      <c r="AN1077">
        <v>2022</v>
      </c>
      <c r="AO1077">
        <f>IF(AND(emissions[[#This Row],[Market-based]]=0,emissions[[#This Row],[Impact Type]]="CO2E"),emissions[[#This Row],[kgCO2e]],0)/1000</f>
        <v>0</v>
      </c>
      <c r="AP1077">
        <f>IF(AND(emissions[[#This Row],[Market-based]]=1,OR(emissions[[#This Row],[Impact Type]]="CO2E",emissions[[#This Row],[Impact Type]]="CO2E MKT")),emissions[[#This Row],[kgCO2e]],0)/1000</f>
        <v>0</v>
      </c>
      <c r="AQ1077" t="str">
        <f>_xlfn.TEXTAFTER(emissions[[#This Row],[Reporting Unit]]," &gt; ",LEN(emissions[[#This Row],[Reporting Unit]])-LEN(SUBSTITUTE(emissions[[#This Row],[Reporting Unit]],"&gt;","")))</f>
        <v>Vantage_Delta</v>
      </c>
      <c r="AR1077" t="str">
        <f>_xlfn.XLOOKUP(emissions[[#This Row],[Reporting unit name]],hierarchy!$A:$A,hierarchy!$C:$C)</f>
        <v>Factory</v>
      </c>
    </row>
    <row r="1078" spans="1:44" hidden="1" x14ac:dyDescent="0.25">
      <c r="A1078">
        <v>261769</v>
      </c>
      <c r="B1078" t="s">
        <v>255</v>
      </c>
      <c r="C1078" t="s">
        <v>520</v>
      </c>
      <c r="D1078" t="s">
        <v>548</v>
      </c>
      <c r="E1078" s="3">
        <v>44562</v>
      </c>
      <c r="F1078" s="3">
        <v>44926</v>
      </c>
      <c r="G1078" t="s">
        <v>135</v>
      </c>
      <c r="H1078" s="3">
        <v>44562</v>
      </c>
      <c r="I1078" s="3">
        <v>44926</v>
      </c>
      <c r="J1078" t="s">
        <v>135</v>
      </c>
      <c r="K1078">
        <v>11984</v>
      </c>
      <c r="L1078" t="s">
        <v>136</v>
      </c>
      <c r="M1078" t="s">
        <v>110</v>
      </c>
      <c r="O1078" t="s">
        <v>877</v>
      </c>
      <c r="P1078" t="s">
        <v>550</v>
      </c>
      <c r="Q1078">
        <v>2022</v>
      </c>
      <c r="R1078" t="s">
        <v>605</v>
      </c>
      <c r="S1078" t="s">
        <v>606</v>
      </c>
      <c r="T1078" t="s">
        <v>553</v>
      </c>
      <c r="U1078" t="b">
        <v>0</v>
      </c>
      <c r="V1078" t="s">
        <v>781</v>
      </c>
      <c r="W1078" t="s">
        <v>587</v>
      </c>
      <c r="X1078" t="s">
        <v>556</v>
      </c>
      <c r="Y1078" t="s">
        <v>472</v>
      </c>
      <c r="Z1078" t="s">
        <v>485</v>
      </c>
      <c r="AA1078" t="s">
        <v>764</v>
      </c>
      <c r="AC1078">
        <v>1</v>
      </c>
      <c r="AD1078" t="s">
        <v>565</v>
      </c>
      <c r="AE1078">
        <v>63652.776319999997</v>
      </c>
      <c r="AF1078">
        <v>53.114800000000002</v>
      </c>
      <c r="AG1078" t="s">
        <v>798</v>
      </c>
      <c r="AH1078">
        <v>0.1</v>
      </c>
      <c r="AI1078">
        <v>1198.4000000000001</v>
      </c>
      <c r="AJ1078" t="s">
        <v>561</v>
      </c>
      <c r="AK1078" t="s">
        <v>766</v>
      </c>
      <c r="AL1078" t="s">
        <v>787</v>
      </c>
      <c r="AM1078">
        <v>2022</v>
      </c>
      <c r="AN1078">
        <v>2021</v>
      </c>
      <c r="AO1078">
        <f>IF(AND(emissions[[#This Row],[Market-based]]=0,emissions[[#This Row],[Impact Type]]="CO2E"),emissions[[#This Row],[kgCO2e]],0)/1000</f>
        <v>0</v>
      </c>
      <c r="AP1078">
        <f>IF(AND(emissions[[#This Row],[Market-based]]=1,OR(emissions[[#This Row],[Impact Type]]="CO2E",emissions[[#This Row],[Impact Type]]="CO2E MKT")),emissions[[#This Row],[kgCO2e]],0)/1000</f>
        <v>63.652776319999994</v>
      </c>
      <c r="AQ1078" t="str">
        <f>_xlfn.TEXTAFTER(emissions[[#This Row],[Reporting Unit]]," &gt; ",LEN(emissions[[#This Row],[Reporting Unit]])-LEN(SUBSTITUTE(emissions[[#This Row],[Reporting Unit]],"&gt;","")))</f>
        <v>Vantage_Delta</v>
      </c>
      <c r="AR1078" t="str">
        <f>_xlfn.XLOOKUP(emissions[[#This Row],[Reporting unit name]],hierarchy!$A:$A,hierarchy!$C:$C)</f>
        <v>Factory</v>
      </c>
    </row>
    <row r="1079" spans="1:44" hidden="1" x14ac:dyDescent="0.25">
      <c r="A1079">
        <v>261769</v>
      </c>
      <c r="B1079" t="s">
        <v>255</v>
      </c>
      <c r="C1079" t="s">
        <v>520</v>
      </c>
      <c r="D1079" t="s">
        <v>548</v>
      </c>
      <c r="E1079" s="3">
        <v>44562</v>
      </c>
      <c r="F1079" s="3">
        <v>44926</v>
      </c>
      <c r="G1079" t="s">
        <v>135</v>
      </c>
      <c r="H1079" s="3">
        <v>44562</v>
      </c>
      <c r="I1079" s="3">
        <v>44926</v>
      </c>
      <c r="J1079" t="s">
        <v>135</v>
      </c>
      <c r="K1079">
        <v>11984</v>
      </c>
      <c r="L1079" t="s">
        <v>136</v>
      </c>
      <c r="M1079" t="s">
        <v>110</v>
      </c>
      <c r="O1079" t="s">
        <v>877</v>
      </c>
      <c r="P1079" t="s">
        <v>550</v>
      </c>
      <c r="Q1079">
        <v>2022</v>
      </c>
      <c r="R1079" t="s">
        <v>605</v>
      </c>
      <c r="S1079" t="s">
        <v>606</v>
      </c>
      <c r="T1079" t="s">
        <v>553</v>
      </c>
      <c r="U1079" t="b">
        <v>0</v>
      </c>
      <c r="V1079" t="s">
        <v>781</v>
      </c>
      <c r="W1079" t="s">
        <v>587</v>
      </c>
      <c r="X1079" t="s">
        <v>556</v>
      </c>
      <c r="Y1079" t="s">
        <v>472</v>
      </c>
      <c r="Z1079" t="s">
        <v>485</v>
      </c>
      <c r="AA1079" t="s">
        <v>764</v>
      </c>
      <c r="AC1079">
        <v>1</v>
      </c>
      <c r="AD1079" t="s">
        <v>566</v>
      </c>
      <c r="AE1079">
        <v>35.712319999999998</v>
      </c>
      <c r="AF1079">
        <v>2.98E-2</v>
      </c>
      <c r="AG1079" t="s">
        <v>798</v>
      </c>
      <c r="AH1079">
        <v>0.1</v>
      </c>
      <c r="AI1079">
        <v>1198.4000000000001</v>
      </c>
      <c r="AJ1079" t="s">
        <v>561</v>
      </c>
      <c r="AK1079" t="s">
        <v>766</v>
      </c>
      <c r="AL1079" t="s">
        <v>767</v>
      </c>
      <c r="AM1079">
        <v>2022</v>
      </c>
      <c r="AN1079">
        <v>2022</v>
      </c>
      <c r="AO1079">
        <f>IF(AND(emissions[[#This Row],[Market-based]]=0,emissions[[#This Row],[Impact Type]]="CO2E"),emissions[[#This Row],[kgCO2e]],0)/1000</f>
        <v>0</v>
      </c>
      <c r="AP1079">
        <f>IF(AND(emissions[[#This Row],[Market-based]]=1,OR(emissions[[#This Row],[Impact Type]]="CO2E",emissions[[#This Row],[Impact Type]]="CO2E MKT")),emissions[[#This Row],[kgCO2e]],0)/1000</f>
        <v>0</v>
      </c>
      <c r="AQ1079" t="str">
        <f>_xlfn.TEXTAFTER(emissions[[#This Row],[Reporting Unit]]," &gt; ",LEN(emissions[[#This Row],[Reporting Unit]])-LEN(SUBSTITUTE(emissions[[#This Row],[Reporting Unit]],"&gt;","")))</f>
        <v>Vantage_Delta</v>
      </c>
      <c r="AR1079" t="str">
        <f>_xlfn.XLOOKUP(emissions[[#This Row],[Reporting unit name]],hierarchy!$A:$A,hierarchy!$C:$C)</f>
        <v>Factory</v>
      </c>
    </row>
    <row r="1080" spans="1:44" hidden="1" x14ac:dyDescent="0.25">
      <c r="A1080">
        <v>261769</v>
      </c>
      <c r="B1080" t="s">
        <v>255</v>
      </c>
      <c r="C1080" t="s">
        <v>520</v>
      </c>
      <c r="D1080" t="s">
        <v>548</v>
      </c>
      <c r="E1080" s="3">
        <v>44562</v>
      </c>
      <c r="F1080" s="3">
        <v>44926</v>
      </c>
      <c r="G1080" t="s">
        <v>135</v>
      </c>
      <c r="H1080" s="3">
        <v>44562</v>
      </c>
      <c r="I1080" s="3">
        <v>44926</v>
      </c>
      <c r="J1080" t="s">
        <v>135</v>
      </c>
      <c r="K1080">
        <v>11984</v>
      </c>
      <c r="L1080" t="s">
        <v>136</v>
      </c>
      <c r="M1080" t="s">
        <v>110</v>
      </c>
      <c r="O1080" t="s">
        <v>877</v>
      </c>
      <c r="P1080" t="s">
        <v>550</v>
      </c>
      <c r="Q1080">
        <v>2022</v>
      </c>
      <c r="R1080" t="s">
        <v>609</v>
      </c>
      <c r="S1080" t="s">
        <v>610</v>
      </c>
      <c r="T1080" t="s">
        <v>577</v>
      </c>
      <c r="U1080" t="b">
        <v>0</v>
      </c>
      <c r="V1080" t="s">
        <v>632</v>
      </c>
      <c r="W1080" t="s">
        <v>571</v>
      </c>
      <c r="X1080" t="s">
        <v>572</v>
      </c>
      <c r="AC1080">
        <v>0</v>
      </c>
      <c r="AD1080" t="s">
        <v>565</v>
      </c>
      <c r="AE1080">
        <v>10920.21759</v>
      </c>
      <c r="AF1080">
        <v>3.1099999999999999E-2</v>
      </c>
      <c r="AG1080" t="s">
        <v>608</v>
      </c>
      <c r="AH1080">
        <v>29.3001</v>
      </c>
      <c r="AI1080">
        <v>351132.39840000001</v>
      </c>
      <c r="AJ1080" t="s">
        <v>561</v>
      </c>
      <c r="AK1080" t="s">
        <v>589</v>
      </c>
      <c r="AL1080" t="s">
        <v>590</v>
      </c>
      <c r="AM1080">
        <v>2022</v>
      </c>
      <c r="AN1080">
        <v>2020</v>
      </c>
      <c r="AO1080">
        <f>IF(AND(emissions[[#This Row],[Market-based]]=0,emissions[[#This Row],[Impact Type]]="CO2E"),emissions[[#This Row],[kgCO2e]],0)/1000</f>
        <v>10.92021759</v>
      </c>
      <c r="AP1080">
        <f>IF(AND(emissions[[#This Row],[Market-based]]=1,OR(emissions[[#This Row],[Impact Type]]="CO2E",emissions[[#This Row],[Impact Type]]="CO2E MKT")),emissions[[#This Row],[kgCO2e]],0)/1000</f>
        <v>0</v>
      </c>
      <c r="AQ1080" t="str">
        <f>_xlfn.TEXTAFTER(emissions[[#This Row],[Reporting Unit]]," &gt; ",LEN(emissions[[#This Row],[Reporting Unit]])-LEN(SUBSTITUTE(emissions[[#This Row],[Reporting Unit]],"&gt;","")))</f>
        <v>Vantage_Delta</v>
      </c>
      <c r="AR1080" t="str">
        <f>_xlfn.XLOOKUP(emissions[[#This Row],[Reporting unit name]],hierarchy!$A:$A,hierarchy!$C:$C)</f>
        <v>Factory</v>
      </c>
    </row>
    <row r="1081" spans="1:44" hidden="1" x14ac:dyDescent="0.25">
      <c r="A1081">
        <v>261769</v>
      </c>
      <c r="B1081" t="s">
        <v>255</v>
      </c>
      <c r="C1081" t="s">
        <v>520</v>
      </c>
      <c r="D1081" t="s">
        <v>548</v>
      </c>
      <c r="E1081" s="3">
        <v>44562</v>
      </c>
      <c r="F1081" s="3">
        <v>44926</v>
      </c>
      <c r="G1081" t="s">
        <v>135</v>
      </c>
      <c r="H1081" s="3">
        <v>44562</v>
      </c>
      <c r="I1081" s="3">
        <v>44926</v>
      </c>
      <c r="J1081" t="s">
        <v>135</v>
      </c>
      <c r="K1081">
        <v>11984</v>
      </c>
      <c r="L1081" t="s">
        <v>136</v>
      </c>
      <c r="M1081" t="s">
        <v>110</v>
      </c>
      <c r="O1081" t="s">
        <v>877</v>
      </c>
      <c r="P1081" t="s">
        <v>550</v>
      </c>
      <c r="Q1081">
        <v>2022</v>
      </c>
      <c r="R1081" t="s">
        <v>609</v>
      </c>
      <c r="S1081" t="s">
        <v>610</v>
      </c>
      <c r="T1081" t="s">
        <v>577</v>
      </c>
      <c r="U1081" t="b">
        <v>0</v>
      </c>
      <c r="V1081" t="s">
        <v>632</v>
      </c>
      <c r="W1081" t="s">
        <v>571</v>
      </c>
      <c r="X1081" t="s">
        <v>572</v>
      </c>
      <c r="AC1081">
        <v>1</v>
      </c>
      <c r="AD1081" t="s">
        <v>565</v>
      </c>
      <c r="AE1081">
        <v>10920.21759</v>
      </c>
      <c r="AF1081">
        <v>3.1099999999999999E-2</v>
      </c>
      <c r="AG1081" t="s">
        <v>608</v>
      </c>
      <c r="AH1081">
        <v>29.3001</v>
      </c>
      <c r="AI1081">
        <v>351132.39840000001</v>
      </c>
      <c r="AJ1081" t="s">
        <v>561</v>
      </c>
      <c r="AK1081" t="s">
        <v>589</v>
      </c>
      <c r="AL1081" t="s">
        <v>590</v>
      </c>
      <c r="AM1081">
        <v>2022</v>
      </c>
      <c r="AN1081">
        <v>2020</v>
      </c>
      <c r="AO1081">
        <f>IF(AND(emissions[[#This Row],[Market-based]]=0,emissions[[#This Row],[Impact Type]]="CO2E"),emissions[[#This Row],[kgCO2e]],0)/1000</f>
        <v>0</v>
      </c>
      <c r="AP1081">
        <f>IF(AND(emissions[[#This Row],[Market-based]]=1,OR(emissions[[#This Row],[Impact Type]]="CO2E",emissions[[#This Row],[Impact Type]]="CO2E MKT")),emissions[[#This Row],[kgCO2e]],0)/1000</f>
        <v>10.92021759</v>
      </c>
      <c r="AQ1081" t="str">
        <f>_xlfn.TEXTAFTER(emissions[[#This Row],[Reporting Unit]]," &gt; ",LEN(emissions[[#This Row],[Reporting Unit]])-LEN(SUBSTITUTE(emissions[[#This Row],[Reporting Unit]],"&gt;","")))</f>
        <v>Vantage_Delta</v>
      </c>
      <c r="AR1081" t="str">
        <f>_xlfn.XLOOKUP(emissions[[#This Row],[Reporting unit name]],hierarchy!$A:$A,hierarchy!$C:$C)</f>
        <v>Factory</v>
      </c>
    </row>
    <row r="1082" spans="1:44" hidden="1" x14ac:dyDescent="0.25">
      <c r="A1082">
        <v>261781</v>
      </c>
      <c r="B1082" t="s">
        <v>255</v>
      </c>
      <c r="C1082" t="s">
        <v>520</v>
      </c>
      <c r="D1082" t="s">
        <v>548</v>
      </c>
      <c r="E1082" s="3">
        <v>44562</v>
      </c>
      <c r="F1082" s="3">
        <v>44926</v>
      </c>
      <c r="G1082" t="s">
        <v>141</v>
      </c>
      <c r="H1082" s="3">
        <v>44562</v>
      </c>
      <c r="I1082" s="3">
        <v>44926</v>
      </c>
      <c r="J1082" t="s">
        <v>142</v>
      </c>
      <c r="K1082">
        <v>0</v>
      </c>
      <c r="L1082" t="s">
        <v>140</v>
      </c>
      <c r="M1082" t="s">
        <v>110</v>
      </c>
      <c r="N1082" t="s">
        <v>261</v>
      </c>
      <c r="O1082" t="s">
        <v>878</v>
      </c>
      <c r="P1082" t="s">
        <v>550</v>
      </c>
      <c r="Q1082">
        <v>2022</v>
      </c>
      <c r="R1082" t="s">
        <v>612</v>
      </c>
      <c r="S1082" t="s">
        <v>613</v>
      </c>
      <c r="T1082" t="s">
        <v>553</v>
      </c>
      <c r="U1082" t="b">
        <v>0</v>
      </c>
      <c r="V1082" t="s">
        <v>614</v>
      </c>
      <c r="W1082" t="s">
        <v>587</v>
      </c>
      <c r="X1082" t="s">
        <v>556</v>
      </c>
      <c r="AC1082">
        <v>0</v>
      </c>
      <c r="AD1082" t="s">
        <v>558</v>
      </c>
      <c r="AE1082">
        <v>0</v>
      </c>
      <c r="AF1082">
        <v>2.0000000000000002E-5</v>
      </c>
      <c r="AG1082" t="s">
        <v>608</v>
      </c>
      <c r="AH1082">
        <v>2.9306999999999998E-4</v>
      </c>
      <c r="AI1082">
        <v>0</v>
      </c>
      <c r="AJ1082" t="s">
        <v>561</v>
      </c>
      <c r="AK1082" t="s">
        <v>589</v>
      </c>
      <c r="AL1082" t="s">
        <v>590</v>
      </c>
      <c r="AM1082">
        <v>2022</v>
      </c>
      <c r="AN1082">
        <v>2020</v>
      </c>
      <c r="AO1082">
        <f>IF(AND(emissions[[#This Row],[Market-based]]=0,emissions[[#This Row],[Impact Type]]="CO2E"),emissions[[#This Row],[kgCO2e]],0)/1000</f>
        <v>0</v>
      </c>
      <c r="AP1082">
        <f>IF(AND(emissions[[#This Row],[Market-based]]=1,OR(emissions[[#This Row],[Impact Type]]="CO2E",emissions[[#This Row],[Impact Type]]="CO2E MKT")),emissions[[#This Row],[kgCO2e]],0)/1000</f>
        <v>0</v>
      </c>
      <c r="AQ1082" t="str">
        <f>_xlfn.TEXTAFTER(emissions[[#This Row],[Reporting Unit]]," &gt; ",LEN(emissions[[#This Row],[Reporting Unit]])-LEN(SUBSTITUTE(emissions[[#This Row],[Reporting Unit]],"&gt;","")))</f>
        <v>Vantage_Delta</v>
      </c>
      <c r="AR1082" t="str">
        <f>_xlfn.XLOOKUP(emissions[[#This Row],[Reporting unit name]],hierarchy!$A:$A,hierarchy!$C:$C)</f>
        <v>Factory</v>
      </c>
    </row>
    <row r="1083" spans="1:44" hidden="1" x14ac:dyDescent="0.25">
      <c r="A1083">
        <v>261781</v>
      </c>
      <c r="B1083" t="s">
        <v>255</v>
      </c>
      <c r="C1083" t="s">
        <v>520</v>
      </c>
      <c r="D1083" t="s">
        <v>548</v>
      </c>
      <c r="E1083" s="3">
        <v>44562</v>
      </c>
      <c r="F1083" s="3">
        <v>44926</v>
      </c>
      <c r="G1083" t="s">
        <v>141</v>
      </c>
      <c r="H1083" s="3">
        <v>44562</v>
      </c>
      <c r="I1083" s="3">
        <v>44926</v>
      </c>
      <c r="J1083" t="s">
        <v>142</v>
      </c>
      <c r="K1083">
        <v>0</v>
      </c>
      <c r="L1083" t="s">
        <v>140</v>
      </c>
      <c r="M1083" t="s">
        <v>110</v>
      </c>
      <c r="N1083" t="s">
        <v>261</v>
      </c>
      <c r="O1083" t="s">
        <v>878</v>
      </c>
      <c r="P1083" t="s">
        <v>550</v>
      </c>
      <c r="Q1083">
        <v>2022</v>
      </c>
      <c r="R1083" t="s">
        <v>612</v>
      </c>
      <c r="S1083" t="s">
        <v>613</v>
      </c>
      <c r="T1083" t="s">
        <v>553</v>
      </c>
      <c r="U1083" t="b">
        <v>0</v>
      </c>
      <c r="V1083" t="s">
        <v>614</v>
      </c>
      <c r="W1083" t="s">
        <v>587</v>
      </c>
      <c r="X1083" t="s">
        <v>556</v>
      </c>
      <c r="AC1083">
        <v>0</v>
      </c>
      <c r="AD1083" t="s">
        <v>564</v>
      </c>
      <c r="AE1083">
        <v>0</v>
      </c>
      <c r="AF1083">
        <v>0.24970999999999999</v>
      </c>
      <c r="AG1083" t="s">
        <v>608</v>
      </c>
      <c r="AH1083">
        <v>2.9306999999999998E-4</v>
      </c>
      <c r="AI1083">
        <v>0</v>
      </c>
      <c r="AJ1083" t="s">
        <v>561</v>
      </c>
      <c r="AK1083" t="s">
        <v>589</v>
      </c>
      <c r="AL1083" t="s">
        <v>590</v>
      </c>
      <c r="AM1083">
        <v>2022</v>
      </c>
      <c r="AN1083">
        <v>2020</v>
      </c>
      <c r="AO1083">
        <f>IF(AND(emissions[[#This Row],[Market-based]]=0,emissions[[#This Row],[Impact Type]]="CO2E"),emissions[[#This Row],[kgCO2e]],0)/1000</f>
        <v>0</v>
      </c>
      <c r="AP1083">
        <f>IF(AND(emissions[[#This Row],[Market-based]]=1,OR(emissions[[#This Row],[Impact Type]]="CO2E",emissions[[#This Row],[Impact Type]]="CO2E MKT")),emissions[[#This Row],[kgCO2e]],0)/1000</f>
        <v>0</v>
      </c>
      <c r="AQ1083" t="str">
        <f>_xlfn.TEXTAFTER(emissions[[#This Row],[Reporting Unit]]," &gt; ",LEN(emissions[[#This Row],[Reporting Unit]])-LEN(SUBSTITUTE(emissions[[#This Row],[Reporting Unit]],"&gt;","")))</f>
        <v>Vantage_Delta</v>
      </c>
      <c r="AR1083" t="str">
        <f>_xlfn.XLOOKUP(emissions[[#This Row],[Reporting unit name]],hierarchy!$A:$A,hierarchy!$C:$C)</f>
        <v>Factory</v>
      </c>
    </row>
    <row r="1084" spans="1:44" hidden="1" x14ac:dyDescent="0.25">
      <c r="A1084">
        <v>261781</v>
      </c>
      <c r="B1084" t="s">
        <v>255</v>
      </c>
      <c r="C1084" t="s">
        <v>520</v>
      </c>
      <c r="D1084" t="s">
        <v>548</v>
      </c>
      <c r="E1084" s="3">
        <v>44562</v>
      </c>
      <c r="F1084" s="3">
        <v>44926</v>
      </c>
      <c r="G1084" t="s">
        <v>141</v>
      </c>
      <c r="H1084" s="3">
        <v>44562</v>
      </c>
      <c r="I1084" s="3">
        <v>44926</v>
      </c>
      <c r="J1084" t="s">
        <v>142</v>
      </c>
      <c r="K1084">
        <v>0</v>
      </c>
      <c r="L1084" t="s">
        <v>140</v>
      </c>
      <c r="M1084" t="s">
        <v>110</v>
      </c>
      <c r="N1084" t="s">
        <v>261</v>
      </c>
      <c r="O1084" t="s">
        <v>878</v>
      </c>
      <c r="P1084" t="s">
        <v>550</v>
      </c>
      <c r="Q1084">
        <v>2022</v>
      </c>
      <c r="R1084" t="s">
        <v>612</v>
      </c>
      <c r="S1084" t="s">
        <v>613</v>
      </c>
      <c r="T1084" t="s">
        <v>553</v>
      </c>
      <c r="U1084" t="b">
        <v>0</v>
      </c>
      <c r="V1084" t="s">
        <v>614</v>
      </c>
      <c r="W1084" t="s">
        <v>587</v>
      </c>
      <c r="X1084" t="s">
        <v>556</v>
      </c>
      <c r="AC1084">
        <v>0</v>
      </c>
      <c r="AD1084" t="s">
        <v>565</v>
      </c>
      <c r="AE1084">
        <v>0</v>
      </c>
      <c r="AF1084">
        <v>0.25320999999999999</v>
      </c>
      <c r="AG1084" t="s">
        <v>608</v>
      </c>
      <c r="AH1084">
        <v>2.9306999999999998E-4</v>
      </c>
      <c r="AI1084">
        <v>0</v>
      </c>
      <c r="AJ1084" t="s">
        <v>561</v>
      </c>
      <c r="AK1084" t="s">
        <v>589</v>
      </c>
      <c r="AL1084" t="s">
        <v>590</v>
      </c>
      <c r="AM1084">
        <v>2022</v>
      </c>
      <c r="AN1084">
        <v>2020</v>
      </c>
      <c r="AO1084">
        <f>IF(AND(emissions[[#This Row],[Market-based]]=0,emissions[[#This Row],[Impact Type]]="CO2E"),emissions[[#This Row],[kgCO2e]],0)/1000</f>
        <v>0</v>
      </c>
      <c r="AP1084">
        <f>IF(AND(emissions[[#This Row],[Market-based]]=1,OR(emissions[[#This Row],[Impact Type]]="CO2E",emissions[[#This Row],[Impact Type]]="CO2E MKT")),emissions[[#This Row],[kgCO2e]],0)/1000</f>
        <v>0</v>
      </c>
      <c r="AQ1084" t="str">
        <f>_xlfn.TEXTAFTER(emissions[[#This Row],[Reporting Unit]]," &gt; ",LEN(emissions[[#This Row],[Reporting Unit]])-LEN(SUBSTITUTE(emissions[[#This Row],[Reporting Unit]],"&gt;","")))</f>
        <v>Vantage_Delta</v>
      </c>
      <c r="AR1084" t="str">
        <f>_xlfn.XLOOKUP(emissions[[#This Row],[Reporting unit name]],hierarchy!$A:$A,hierarchy!$C:$C)</f>
        <v>Factory</v>
      </c>
    </row>
    <row r="1085" spans="1:44" hidden="1" x14ac:dyDescent="0.25">
      <c r="A1085">
        <v>261781</v>
      </c>
      <c r="B1085" t="s">
        <v>255</v>
      </c>
      <c r="C1085" t="s">
        <v>520</v>
      </c>
      <c r="D1085" t="s">
        <v>548</v>
      </c>
      <c r="E1085" s="3">
        <v>44562</v>
      </c>
      <c r="F1085" s="3">
        <v>44926</v>
      </c>
      <c r="G1085" t="s">
        <v>141</v>
      </c>
      <c r="H1085" s="3">
        <v>44562</v>
      </c>
      <c r="I1085" s="3">
        <v>44926</v>
      </c>
      <c r="J1085" t="s">
        <v>142</v>
      </c>
      <c r="K1085">
        <v>0</v>
      </c>
      <c r="L1085" t="s">
        <v>140</v>
      </c>
      <c r="M1085" t="s">
        <v>110</v>
      </c>
      <c r="N1085" t="s">
        <v>261</v>
      </c>
      <c r="O1085" t="s">
        <v>878</v>
      </c>
      <c r="P1085" t="s">
        <v>550</v>
      </c>
      <c r="Q1085">
        <v>2022</v>
      </c>
      <c r="R1085" t="s">
        <v>612</v>
      </c>
      <c r="S1085" t="s">
        <v>613</v>
      </c>
      <c r="T1085" t="s">
        <v>553</v>
      </c>
      <c r="U1085" t="b">
        <v>0</v>
      </c>
      <c r="V1085" t="s">
        <v>614</v>
      </c>
      <c r="W1085" t="s">
        <v>587</v>
      </c>
      <c r="X1085" t="s">
        <v>556</v>
      </c>
      <c r="AC1085">
        <v>0</v>
      </c>
      <c r="AD1085" t="s">
        <v>566</v>
      </c>
      <c r="AE1085">
        <v>0</v>
      </c>
      <c r="AF1085">
        <v>3.48E-3</v>
      </c>
      <c r="AG1085" t="s">
        <v>608</v>
      </c>
      <c r="AH1085">
        <v>2.9306999999999998E-4</v>
      </c>
      <c r="AI1085">
        <v>0</v>
      </c>
      <c r="AJ1085" t="s">
        <v>561</v>
      </c>
      <c r="AK1085" t="s">
        <v>589</v>
      </c>
      <c r="AL1085" t="s">
        <v>590</v>
      </c>
      <c r="AM1085">
        <v>2022</v>
      </c>
      <c r="AN1085">
        <v>2020</v>
      </c>
      <c r="AO1085">
        <f>IF(AND(emissions[[#This Row],[Market-based]]=0,emissions[[#This Row],[Impact Type]]="CO2E"),emissions[[#This Row],[kgCO2e]],0)/1000</f>
        <v>0</v>
      </c>
      <c r="AP1085">
        <f>IF(AND(emissions[[#This Row],[Market-based]]=1,OR(emissions[[#This Row],[Impact Type]]="CO2E",emissions[[#This Row],[Impact Type]]="CO2E MKT")),emissions[[#This Row],[kgCO2e]],0)/1000</f>
        <v>0</v>
      </c>
      <c r="AQ1085" t="str">
        <f>_xlfn.TEXTAFTER(emissions[[#This Row],[Reporting Unit]]," &gt; ",LEN(emissions[[#This Row],[Reporting Unit]])-LEN(SUBSTITUTE(emissions[[#This Row],[Reporting Unit]],"&gt;","")))</f>
        <v>Vantage_Delta</v>
      </c>
      <c r="AR1085" t="str">
        <f>_xlfn.XLOOKUP(emissions[[#This Row],[Reporting unit name]],hierarchy!$A:$A,hierarchy!$C:$C)</f>
        <v>Factory</v>
      </c>
    </row>
    <row r="1086" spans="1:44" hidden="1" x14ac:dyDescent="0.25">
      <c r="A1086">
        <v>261781</v>
      </c>
      <c r="B1086" t="s">
        <v>255</v>
      </c>
      <c r="C1086" t="s">
        <v>520</v>
      </c>
      <c r="D1086" t="s">
        <v>548</v>
      </c>
      <c r="E1086" s="3">
        <v>44562</v>
      </c>
      <c r="F1086" s="3">
        <v>44926</v>
      </c>
      <c r="G1086" t="s">
        <v>141</v>
      </c>
      <c r="H1086" s="3">
        <v>44562</v>
      </c>
      <c r="I1086" s="3">
        <v>44926</v>
      </c>
      <c r="J1086" t="s">
        <v>142</v>
      </c>
      <c r="K1086">
        <v>0</v>
      </c>
      <c r="L1086" t="s">
        <v>140</v>
      </c>
      <c r="M1086" t="s">
        <v>110</v>
      </c>
      <c r="N1086" t="s">
        <v>261</v>
      </c>
      <c r="O1086" t="s">
        <v>878</v>
      </c>
      <c r="P1086" t="s">
        <v>550</v>
      </c>
      <c r="Q1086">
        <v>2022</v>
      </c>
      <c r="R1086" t="s">
        <v>612</v>
      </c>
      <c r="S1086" t="s">
        <v>613</v>
      </c>
      <c r="T1086" t="s">
        <v>553</v>
      </c>
      <c r="U1086" t="b">
        <v>0</v>
      </c>
      <c r="V1086" t="s">
        <v>614</v>
      </c>
      <c r="W1086" t="s">
        <v>587</v>
      </c>
      <c r="X1086" t="s">
        <v>556</v>
      </c>
      <c r="AC1086">
        <v>1</v>
      </c>
      <c r="AD1086" t="s">
        <v>558</v>
      </c>
      <c r="AE1086">
        <v>0</v>
      </c>
      <c r="AF1086">
        <v>2.0000000000000002E-5</v>
      </c>
      <c r="AG1086" t="s">
        <v>608</v>
      </c>
      <c r="AH1086">
        <v>2.9306999999999998E-4</v>
      </c>
      <c r="AI1086">
        <v>0</v>
      </c>
      <c r="AJ1086" t="s">
        <v>561</v>
      </c>
      <c r="AK1086" t="s">
        <v>589</v>
      </c>
      <c r="AL1086" t="s">
        <v>590</v>
      </c>
      <c r="AM1086">
        <v>2022</v>
      </c>
      <c r="AN1086">
        <v>2020</v>
      </c>
      <c r="AO1086">
        <f>IF(AND(emissions[[#This Row],[Market-based]]=0,emissions[[#This Row],[Impact Type]]="CO2E"),emissions[[#This Row],[kgCO2e]],0)/1000</f>
        <v>0</v>
      </c>
      <c r="AP1086">
        <f>IF(AND(emissions[[#This Row],[Market-based]]=1,OR(emissions[[#This Row],[Impact Type]]="CO2E",emissions[[#This Row],[Impact Type]]="CO2E MKT")),emissions[[#This Row],[kgCO2e]],0)/1000</f>
        <v>0</v>
      </c>
      <c r="AQ1086" t="str">
        <f>_xlfn.TEXTAFTER(emissions[[#This Row],[Reporting Unit]]," &gt; ",LEN(emissions[[#This Row],[Reporting Unit]])-LEN(SUBSTITUTE(emissions[[#This Row],[Reporting Unit]],"&gt;","")))</f>
        <v>Vantage_Delta</v>
      </c>
      <c r="AR1086" t="str">
        <f>_xlfn.XLOOKUP(emissions[[#This Row],[Reporting unit name]],hierarchy!$A:$A,hierarchy!$C:$C)</f>
        <v>Factory</v>
      </c>
    </row>
    <row r="1087" spans="1:44" hidden="1" x14ac:dyDescent="0.25">
      <c r="A1087">
        <v>261781</v>
      </c>
      <c r="B1087" t="s">
        <v>255</v>
      </c>
      <c r="C1087" t="s">
        <v>520</v>
      </c>
      <c r="D1087" t="s">
        <v>548</v>
      </c>
      <c r="E1087" s="3">
        <v>44562</v>
      </c>
      <c r="F1087" s="3">
        <v>44926</v>
      </c>
      <c r="G1087" t="s">
        <v>141</v>
      </c>
      <c r="H1087" s="3">
        <v>44562</v>
      </c>
      <c r="I1087" s="3">
        <v>44926</v>
      </c>
      <c r="J1087" t="s">
        <v>142</v>
      </c>
      <c r="K1087">
        <v>0</v>
      </c>
      <c r="L1087" t="s">
        <v>140</v>
      </c>
      <c r="M1087" t="s">
        <v>110</v>
      </c>
      <c r="N1087" t="s">
        <v>261</v>
      </c>
      <c r="O1087" t="s">
        <v>878</v>
      </c>
      <c r="P1087" t="s">
        <v>550</v>
      </c>
      <c r="Q1087">
        <v>2022</v>
      </c>
      <c r="R1087" t="s">
        <v>612</v>
      </c>
      <c r="S1087" t="s">
        <v>613</v>
      </c>
      <c r="T1087" t="s">
        <v>553</v>
      </c>
      <c r="U1087" t="b">
        <v>0</v>
      </c>
      <c r="V1087" t="s">
        <v>614</v>
      </c>
      <c r="W1087" t="s">
        <v>587</v>
      </c>
      <c r="X1087" t="s">
        <v>556</v>
      </c>
      <c r="AC1087">
        <v>1</v>
      </c>
      <c r="AD1087" t="s">
        <v>564</v>
      </c>
      <c r="AE1087">
        <v>0</v>
      </c>
      <c r="AF1087">
        <v>0.24970999999999999</v>
      </c>
      <c r="AG1087" t="s">
        <v>608</v>
      </c>
      <c r="AH1087">
        <v>2.9306999999999998E-4</v>
      </c>
      <c r="AI1087">
        <v>0</v>
      </c>
      <c r="AJ1087" t="s">
        <v>561</v>
      </c>
      <c r="AK1087" t="s">
        <v>589</v>
      </c>
      <c r="AL1087" t="s">
        <v>590</v>
      </c>
      <c r="AM1087">
        <v>2022</v>
      </c>
      <c r="AN1087">
        <v>2020</v>
      </c>
      <c r="AO1087">
        <f>IF(AND(emissions[[#This Row],[Market-based]]=0,emissions[[#This Row],[Impact Type]]="CO2E"),emissions[[#This Row],[kgCO2e]],0)/1000</f>
        <v>0</v>
      </c>
      <c r="AP1087">
        <f>IF(AND(emissions[[#This Row],[Market-based]]=1,OR(emissions[[#This Row],[Impact Type]]="CO2E",emissions[[#This Row],[Impact Type]]="CO2E MKT")),emissions[[#This Row],[kgCO2e]],0)/1000</f>
        <v>0</v>
      </c>
      <c r="AQ1087" t="str">
        <f>_xlfn.TEXTAFTER(emissions[[#This Row],[Reporting Unit]]," &gt; ",LEN(emissions[[#This Row],[Reporting Unit]])-LEN(SUBSTITUTE(emissions[[#This Row],[Reporting Unit]],"&gt;","")))</f>
        <v>Vantage_Delta</v>
      </c>
      <c r="AR1087" t="str">
        <f>_xlfn.XLOOKUP(emissions[[#This Row],[Reporting unit name]],hierarchy!$A:$A,hierarchy!$C:$C)</f>
        <v>Factory</v>
      </c>
    </row>
    <row r="1088" spans="1:44" hidden="1" x14ac:dyDescent="0.25">
      <c r="A1088">
        <v>261781</v>
      </c>
      <c r="B1088" t="s">
        <v>255</v>
      </c>
      <c r="C1088" t="s">
        <v>520</v>
      </c>
      <c r="D1088" t="s">
        <v>548</v>
      </c>
      <c r="E1088" s="3">
        <v>44562</v>
      </c>
      <c r="F1088" s="3">
        <v>44926</v>
      </c>
      <c r="G1088" t="s">
        <v>141</v>
      </c>
      <c r="H1088" s="3">
        <v>44562</v>
      </c>
      <c r="I1088" s="3">
        <v>44926</v>
      </c>
      <c r="J1088" t="s">
        <v>142</v>
      </c>
      <c r="K1088">
        <v>0</v>
      </c>
      <c r="L1088" t="s">
        <v>140</v>
      </c>
      <c r="M1088" t="s">
        <v>110</v>
      </c>
      <c r="N1088" t="s">
        <v>261</v>
      </c>
      <c r="O1088" t="s">
        <v>878</v>
      </c>
      <c r="P1088" t="s">
        <v>550</v>
      </c>
      <c r="Q1088">
        <v>2022</v>
      </c>
      <c r="R1088" t="s">
        <v>612</v>
      </c>
      <c r="S1088" t="s">
        <v>613</v>
      </c>
      <c r="T1088" t="s">
        <v>553</v>
      </c>
      <c r="U1088" t="b">
        <v>0</v>
      </c>
      <c r="V1088" t="s">
        <v>614</v>
      </c>
      <c r="W1088" t="s">
        <v>587</v>
      </c>
      <c r="X1088" t="s">
        <v>556</v>
      </c>
      <c r="AC1088">
        <v>1</v>
      </c>
      <c r="AD1088" t="s">
        <v>565</v>
      </c>
      <c r="AE1088">
        <v>0</v>
      </c>
      <c r="AF1088">
        <v>0.25320999999999999</v>
      </c>
      <c r="AG1088" t="s">
        <v>608</v>
      </c>
      <c r="AH1088">
        <v>2.9306999999999998E-4</v>
      </c>
      <c r="AI1088">
        <v>0</v>
      </c>
      <c r="AJ1088" t="s">
        <v>561</v>
      </c>
      <c r="AK1088" t="s">
        <v>589</v>
      </c>
      <c r="AL1088" t="s">
        <v>590</v>
      </c>
      <c r="AM1088">
        <v>2022</v>
      </c>
      <c r="AN1088">
        <v>2020</v>
      </c>
      <c r="AO1088">
        <f>IF(AND(emissions[[#This Row],[Market-based]]=0,emissions[[#This Row],[Impact Type]]="CO2E"),emissions[[#This Row],[kgCO2e]],0)/1000</f>
        <v>0</v>
      </c>
      <c r="AP1088">
        <f>IF(AND(emissions[[#This Row],[Market-based]]=1,OR(emissions[[#This Row],[Impact Type]]="CO2E",emissions[[#This Row],[Impact Type]]="CO2E MKT")),emissions[[#This Row],[kgCO2e]],0)/1000</f>
        <v>0</v>
      </c>
      <c r="AQ1088" t="str">
        <f>_xlfn.TEXTAFTER(emissions[[#This Row],[Reporting Unit]]," &gt; ",LEN(emissions[[#This Row],[Reporting Unit]])-LEN(SUBSTITUTE(emissions[[#This Row],[Reporting Unit]],"&gt;","")))</f>
        <v>Vantage_Delta</v>
      </c>
      <c r="AR1088" t="str">
        <f>_xlfn.XLOOKUP(emissions[[#This Row],[Reporting unit name]],hierarchy!$A:$A,hierarchy!$C:$C)</f>
        <v>Factory</v>
      </c>
    </row>
    <row r="1089" spans="1:44" hidden="1" x14ac:dyDescent="0.25">
      <c r="A1089">
        <v>261781</v>
      </c>
      <c r="B1089" t="s">
        <v>255</v>
      </c>
      <c r="C1089" t="s">
        <v>520</v>
      </c>
      <c r="D1089" t="s">
        <v>548</v>
      </c>
      <c r="E1089" s="3">
        <v>44562</v>
      </c>
      <c r="F1089" s="3">
        <v>44926</v>
      </c>
      <c r="G1089" t="s">
        <v>141</v>
      </c>
      <c r="H1089" s="3">
        <v>44562</v>
      </c>
      <c r="I1089" s="3">
        <v>44926</v>
      </c>
      <c r="J1089" t="s">
        <v>142</v>
      </c>
      <c r="K1089">
        <v>0</v>
      </c>
      <c r="L1089" t="s">
        <v>140</v>
      </c>
      <c r="M1089" t="s">
        <v>110</v>
      </c>
      <c r="N1089" t="s">
        <v>261</v>
      </c>
      <c r="O1089" t="s">
        <v>878</v>
      </c>
      <c r="P1089" t="s">
        <v>550</v>
      </c>
      <c r="Q1089">
        <v>2022</v>
      </c>
      <c r="R1089" t="s">
        <v>612</v>
      </c>
      <c r="S1089" t="s">
        <v>613</v>
      </c>
      <c r="T1089" t="s">
        <v>553</v>
      </c>
      <c r="U1089" t="b">
        <v>0</v>
      </c>
      <c r="V1089" t="s">
        <v>614</v>
      </c>
      <c r="W1089" t="s">
        <v>587</v>
      </c>
      <c r="X1089" t="s">
        <v>556</v>
      </c>
      <c r="AC1089">
        <v>1</v>
      </c>
      <c r="AD1089" t="s">
        <v>566</v>
      </c>
      <c r="AE1089">
        <v>0</v>
      </c>
      <c r="AF1089">
        <v>3.48E-3</v>
      </c>
      <c r="AG1089" t="s">
        <v>608</v>
      </c>
      <c r="AH1089">
        <v>2.9306999999999998E-4</v>
      </c>
      <c r="AI1089">
        <v>0</v>
      </c>
      <c r="AJ1089" t="s">
        <v>561</v>
      </c>
      <c r="AK1089" t="s">
        <v>589</v>
      </c>
      <c r="AL1089" t="s">
        <v>590</v>
      </c>
      <c r="AM1089">
        <v>2022</v>
      </c>
      <c r="AN1089">
        <v>2020</v>
      </c>
      <c r="AO1089">
        <f>IF(AND(emissions[[#This Row],[Market-based]]=0,emissions[[#This Row],[Impact Type]]="CO2E"),emissions[[#This Row],[kgCO2e]],0)/1000</f>
        <v>0</v>
      </c>
      <c r="AP1089">
        <f>IF(AND(emissions[[#This Row],[Market-based]]=1,OR(emissions[[#This Row],[Impact Type]]="CO2E",emissions[[#This Row],[Impact Type]]="CO2E MKT")),emissions[[#This Row],[kgCO2e]],0)/1000</f>
        <v>0</v>
      </c>
      <c r="AQ1089" t="str">
        <f>_xlfn.TEXTAFTER(emissions[[#This Row],[Reporting Unit]]," &gt; ",LEN(emissions[[#This Row],[Reporting Unit]])-LEN(SUBSTITUTE(emissions[[#This Row],[Reporting Unit]],"&gt;","")))</f>
        <v>Vantage_Delta</v>
      </c>
      <c r="AR1089" t="str">
        <f>_xlfn.XLOOKUP(emissions[[#This Row],[Reporting unit name]],hierarchy!$A:$A,hierarchy!$C:$C)</f>
        <v>Factory</v>
      </c>
    </row>
    <row r="1090" spans="1:44" hidden="1" x14ac:dyDescent="0.25">
      <c r="A1090">
        <v>261781</v>
      </c>
      <c r="B1090" t="s">
        <v>255</v>
      </c>
      <c r="C1090" t="s">
        <v>520</v>
      </c>
      <c r="D1090" t="s">
        <v>548</v>
      </c>
      <c r="E1090" s="3">
        <v>44562</v>
      </c>
      <c r="F1090" s="3">
        <v>44926</v>
      </c>
      <c r="G1090" t="s">
        <v>141</v>
      </c>
      <c r="H1090" s="3">
        <v>44562</v>
      </c>
      <c r="I1090" s="3">
        <v>44926</v>
      </c>
      <c r="J1090" t="s">
        <v>142</v>
      </c>
      <c r="K1090">
        <v>0</v>
      </c>
      <c r="L1090" t="s">
        <v>140</v>
      </c>
      <c r="M1090" t="s">
        <v>110</v>
      </c>
      <c r="N1090" t="s">
        <v>261</v>
      </c>
      <c r="O1090" t="s">
        <v>878</v>
      </c>
      <c r="P1090" t="s">
        <v>550</v>
      </c>
      <c r="Q1090">
        <v>2022</v>
      </c>
      <c r="R1090" t="s">
        <v>615</v>
      </c>
      <c r="S1090" t="s">
        <v>616</v>
      </c>
      <c r="T1090" t="s">
        <v>577</v>
      </c>
      <c r="U1090" t="b">
        <v>0</v>
      </c>
      <c r="V1090" t="s">
        <v>879</v>
      </c>
      <c r="W1090" t="s">
        <v>571</v>
      </c>
      <c r="X1090" t="s">
        <v>572</v>
      </c>
      <c r="AC1090">
        <v>0</v>
      </c>
      <c r="AD1090" t="s">
        <v>565</v>
      </c>
      <c r="AE1090">
        <v>0</v>
      </c>
      <c r="AF1090">
        <v>5.8880000000000002E-2</v>
      </c>
      <c r="AG1090" t="s">
        <v>608</v>
      </c>
      <c r="AH1090">
        <v>2.9306999999999998E-4</v>
      </c>
      <c r="AI1090">
        <v>0</v>
      </c>
      <c r="AJ1090" t="s">
        <v>561</v>
      </c>
      <c r="AK1090" t="s">
        <v>589</v>
      </c>
      <c r="AL1090" t="s">
        <v>590</v>
      </c>
      <c r="AM1090">
        <v>2022</v>
      </c>
      <c r="AN1090">
        <v>2020</v>
      </c>
      <c r="AO1090">
        <f>IF(AND(emissions[[#This Row],[Market-based]]=0,emissions[[#This Row],[Impact Type]]="CO2E"),emissions[[#This Row],[kgCO2e]],0)/1000</f>
        <v>0</v>
      </c>
      <c r="AP1090">
        <f>IF(AND(emissions[[#This Row],[Market-based]]=1,OR(emissions[[#This Row],[Impact Type]]="CO2E",emissions[[#This Row],[Impact Type]]="CO2E MKT")),emissions[[#This Row],[kgCO2e]],0)/1000</f>
        <v>0</v>
      </c>
      <c r="AQ1090" t="str">
        <f>_xlfn.TEXTAFTER(emissions[[#This Row],[Reporting Unit]]," &gt; ",LEN(emissions[[#This Row],[Reporting Unit]])-LEN(SUBSTITUTE(emissions[[#This Row],[Reporting Unit]],"&gt;","")))</f>
        <v>Vantage_Delta</v>
      </c>
      <c r="AR1090" t="str">
        <f>_xlfn.XLOOKUP(emissions[[#This Row],[Reporting unit name]],hierarchy!$A:$A,hierarchy!$C:$C)</f>
        <v>Factory</v>
      </c>
    </row>
    <row r="1091" spans="1:44" hidden="1" x14ac:dyDescent="0.25">
      <c r="A1091">
        <v>261781</v>
      </c>
      <c r="B1091" t="s">
        <v>255</v>
      </c>
      <c r="C1091" t="s">
        <v>520</v>
      </c>
      <c r="D1091" t="s">
        <v>548</v>
      </c>
      <c r="E1091" s="3">
        <v>44562</v>
      </c>
      <c r="F1091" s="3">
        <v>44926</v>
      </c>
      <c r="G1091" t="s">
        <v>141</v>
      </c>
      <c r="H1091" s="3">
        <v>44562</v>
      </c>
      <c r="I1091" s="3">
        <v>44926</v>
      </c>
      <c r="J1091" t="s">
        <v>142</v>
      </c>
      <c r="K1091">
        <v>0</v>
      </c>
      <c r="L1091" t="s">
        <v>140</v>
      </c>
      <c r="M1091" t="s">
        <v>110</v>
      </c>
      <c r="N1091" t="s">
        <v>261</v>
      </c>
      <c r="O1091" t="s">
        <v>878</v>
      </c>
      <c r="P1091" t="s">
        <v>550</v>
      </c>
      <c r="Q1091">
        <v>2022</v>
      </c>
      <c r="R1091" t="s">
        <v>615</v>
      </c>
      <c r="S1091" t="s">
        <v>616</v>
      </c>
      <c r="T1091" t="s">
        <v>577</v>
      </c>
      <c r="U1091" t="b">
        <v>0</v>
      </c>
      <c r="V1091" t="s">
        <v>879</v>
      </c>
      <c r="W1091" t="s">
        <v>571</v>
      </c>
      <c r="X1091" t="s">
        <v>572</v>
      </c>
      <c r="AC1091">
        <v>1</v>
      </c>
      <c r="AD1091" t="s">
        <v>565</v>
      </c>
      <c r="AE1091">
        <v>0</v>
      </c>
      <c r="AF1091">
        <v>5.8880000000000002E-2</v>
      </c>
      <c r="AG1091" t="s">
        <v>608</v>
      </c>
      <c r="AH1091">
        <v>2.9306999999999998E-4</v>
      </c>
      <c r="AI1091">
        <v>0</v>
      </c>
      <c r="AJ1091" t="s">
        <v>561</v>
      </c>
      <c r="AK1091" t="s">
        <v>589</v>
      </c>
      <c r="AL1091" t="s">
        <v>590</v>
      </c>
      <c r="AM1091">
        <v>2022</v>
      </c>
      <c r="AN1091">
        <v>2020</v>
      </c>
      <c r="AO1091">
        <f>IF(AND(emissions[[#This Row],[Market-based]]=0,emissions[[#This Row],[Impact Type]]="CO2E"),emissions[[#This Row],[kgCO2e]],0)/1000</f>
        <v>0</v>
      </c>
      <c r="AP1091">
        <f>IF(AND(emissions[[#This Row],[Market-based]]=1,OR(emissions[[#This Row],[Impact Type]]="CO2E",emissions[[#This Row],[Impact Type]]="CO2E MKT")),emissions[[#This Row],[kgCO2e]],0)/1000</f>
        <v>0</v>
      </c>
      <c r="AQ1091" t="str">
        <f>_xlfn.TEXTAFTER(emissions[[#This Row],[Reporting Unit]]," &gt; ",LEN(emissions[[#This Row],[Reporting Unit]])-LEN(SUBSTITUTE(emissions[[#This Row],[Reporting Unit]],"&gt;","")))</f>
        <v>Vantage_Delta</v>
      </c>
      <c r="AR1091" t="str">
        <f>_xlfn.XLOOKUP(emissions[[#This Row],[Reporting unit name]],hierarchy!$A:$A,hierarchy!$C:$C)</f>
        <v>Factory</v>
      </c>
    </row>
    <row r="1092" spans="1:44" hidden="1" x14ac:dyDescent="0.25">
      <c r="A1092">
        <v>261783</v>
      </c>
      <c r="B1092" t="s">
        <v>255</v>
      </c>
      <c r="C1092" t="s">
        <v>520</v>
      </c>
      <c r="D1092" t="s">
        <v>548</v>
      </c>
      <c r="E1092" s="3">
        <v>44562</v>
      </c>
      <c r="F1092" s="3">
        <v>44926</v>
      </c>
      <c r="G1092" t="s">
        <v>116</v>
      </c>
      <c r="H1092" s="3">
        <v>44562</v>
      </c>
      <c r="I1092" s="3">
        <v>44926</v>
      </c>
      <c r="J1092" t="s">
        <v>250</v>
      </c>
      <c r="K1092">
        <v>0</v>
      </c>
      <c r="L1092" t="s">
        <v>118</v>
      </c>
      <c r="M1092" t="s">
        <v>110</v>
      </c>
      <c r="O1092" t="s">
        <v>878</v>
      </c>
      <c r="P1092" t="s">
        <v>550</v>
      </c>
      <c r="Q1092">
        <v>2022</v>
      </c>
      <c r="R1092" t="s">
        <v>880</v>
      </c>
      <c r="S1092" t="s">
        <v>250</v>
      </c>
      <c r="T1092" t="s">
        <v>553</v>
      </c>
      <c r="U1092" t="b">
        <v>0</v>
      </c>
      <c r="V1092" t="s">
        <v>881</v>
      </c>
      <c r="W1092" t="s">
        <v>587</v>
      </c>
      <c r="X1092" t="s">
        <v>556</v>
      </c>
      <c r="AC1092">
        <v>0</v>
      </c>
      <c r="AD1092" t="s">
        <v>565</v>
      </c>
      <c r="AE1092">
        <v>0</v>
      </c>
      <c r="AF1092">
        <v>675</v>
      </c>
      <c r="AG1092" t="s">
        <v>622</v>
      </c>
      <c r="AH1092">
        <v>1</v>
      </c>
      <c r="AI1092">
        <v>0</v>
      </c>
      <c r="AJ1092" t="s">
        <v>561</v>
      </c>
      <c r="AK1092" t="s">
        <v>623</v>
      </c>
      <c r="AL1092" t="s">
        <v>624</v>
      </c>
      <c r="AM1092">
        <v>2022</v>
      </c>
      <c r="AN1092">
        <v>2007</v>
      </c>
      <c r="AO1092">
        <f>IF(AND(emissions[[#This Row],[Market-based]]=0,emissions[[#This Row],[Impact Type]]="CO2E"),emissions[[#This Row],[kgCO2e]],0)/1000</f>
        <v>0</v>
      </c>
      <c r="AP1092">
        <f>IF(AND(emissions[[#This Row],[Market-based]]=1,OR(emissions[[#This Row],[Impact Type]]="CO2E",emissions[[#This Row],[Impact Type]]="CO2E MKT")),emissions[[#This Row],[kgCO2e]],0)/1000</f>
        <v>0</v>
      </c>
      <c r="AQ1092" t="str">
        <f>_xlfn.TEXTAFTER(emissions[[#This Row],[Reporting Unit]]," &gt; ",LEN(emissions[[#This Row],[Reporting Unit]])-LEN(SUBSTITUTE(emissions[[#This Row],[Reporting Unit]],"&gt;","")))</f>
        <v>Vantage_Delta</v>
      </c>
      <c r="AR1092" t="str">
        <f>_xlfn.XLOOKUP(emissions[[#This Row],[Reporting unit name]],hierarchy!$A:$A,hierarchy!$C:$C)</f>
        <v>Factory</v>
      </c>
    </row>
    <row r="1093" spans="1:44" hidden="1" x14ac:dyDescent="0.25">
      <c r="A1093">
        <v>261783</v>
      </c>
      <c r="B1093" t="s">
        <v>255</v>
      </c>
      <c r="C1093" t="s">
        <v>520</v>
      </c>
      <c r="D1093" t="s">
        <v>548</v>
      </c>
      <c r="E1093" s="3">
        <v>44562</v>
      </c>
      <c r="F1093" s="3">
        <v>44926</v>
      </c>
      <c r="G1093" t="s">
        <v>116</v>
      </c>
      <c r="H1093" s="3">
        <v>44562</v>
      </c>
      <c r="I1093" s="3">
        <v>44926</v>
      </c>
      <c r="J1093" t="s">
        <v>250</v>
      </c>
      <c r="K1093">
        <v>0</v>
      </c>
      <c r="L1093" t="s">
        <v>118</v>
      </c>
      <c r="M1093" t="s">
        <v>110</v>
      </c>
      <c r="O1093" t="s">
        <v>878</v>
      </c>
      <c r="P1093" t="s">
        <v>550</v>
      </c>
      <c r="Q1093">
        <v>2022</v>
      </c>
      <c r="R1093" t="s">
        <v>880</v>
      </c>
      <c r="S1093" t="s">
        <v>250</v>
      </c>
      <c r="T1093" t="s">
        <v>553</v>
      </c>
      <c r="U1093" t="b">
        <v>0</v>
      </c>
      <c r="V1093" t="s">
        <v>881</v>
      </c>
      <c r="W1093" t="s">
        <v>587</v>
      </c>
      <c r="X1093" t="s">
        <v>556</v>
      </c>
      <c r="AC1093">
        <v>1</v>
      </c>
      <c r="AD1093" t="s">
        <v>565</v>
      </c>
      <c r="AE1093">
        <v>0</v>
      </c>
      <c r="AF1093">
        <v>675</v>
      </c>
      <c r="AG1093" t="s">
        <v>622</v>
      </c>
      <c r="AH1093">
        <v>1</v>
      </c>
      <c r="AI1093">
        <v>0</v>
      </c>
      <c r="AJ1093" t="s">
        <v>561</v>
      </c>
      <c r="AK1093" t="s">
        <v>623</v>
      </c>
      <c r="AL1093" t="s">
        <v>624</v>
      </c>
      <c r="AM1093">
        <v>2022</v>
      </c>
      <c r="AN1093">
        <v>2007</v>
      </c>
      <c r="AO1093">
        <f>IF(AND(emissions[[#This Row],[Market-based]]=0,emissions[[#This Row],[Impact Type]]="CO2E"),emissions[[#This Row],[kgCO2e]],0)/1000</f>
        <v>0</v>
      </c>
      <c r="AP1093">
        <f>IF(AND(emissions[[#This Row],[Market-based]]=1,OR(emissions[[#This Row],[Impact Type]]="CO2E",emissions[[#This Row],[Impact Type]]="CO2E MKT")),emissions[[#This Row],[kgCO2e]],0)/1000</f>
        <v>0</v>
      </c>
      <c r="AQ1093" t="str">
        <f>_xlfn.TEXTAFTER(emissions[[#This Row],[Reporting Unit]]," &gt; ",LEN(emissions[[#This Row],[Reporting Unit]])-LEN(SUBSTITUTE(emissions[[#This Row],[Reporting Unit]],"&gt;","")))</f>
        <v>Vantage_Delta</v>
      </c>
      <c r="AR1093" t="str">
        <f>_xlfn.XLOOKUP(emissions[[#This Row],[Reporting unit name]],hierarchy!$A:$A,hierarchy!$C:$C)</f>
        <v>Factory</v>
      </c>
    </row>
    <row r="1094" spans="1:44" hidden="1" x14ac:dyDescent="0.25">
      <c r="A1094">
        <v>1234355</v>
      </c>
      <c r="B1094" t="s">
        <v>255</v>
      </c>
      <c r="C1094" t="s">
        <v>520</v>
      </c>
      <c r="D1094" t="s">
        <v>599</v>
      </c>
      <c r="E1094" s="3">
        <v>44197</v>
      </c>
      <c r="F1094" s="3">
        <v>44561</v>
      </c>
      <c r="G1094" t="s">
        <v>108</v>
      </c>
      <c r="H1094" s="3">
        <v>44197</v>
      </c>
      <c r="I1094" s="3">
        <v>44561</v>
      </c>
      <c r="J1094" t="s">
        <v>108</v>
      </c>
      <c r="K1094">
        <v>89463</v>
      </c>
      <c r="L1094" t="s">
        <v>109</v>
      </c>
      <c r="M1094" t="s">
        <v>110</v>
      </c>
      <c r="O1094" t="s">
        <v>882</v>
      </c>
      <c r="P1094" t="s">
        <v>550</v>
      </c>
      <c r="Q1094">
        <v>2021</v>
      </c>
      <c r="R1094" t="s">
        <v>551</v>
      </c>
      <c r="S1094" t="s">
        <v>552</v>
      </c>
      <c r="T1094" t="s">
        <v>553</v>
      </c>
      <c r="U1094" t="b">
        <v>0</v>
      </c>
      <c r="V1094" t="s">
        <v>867</v>
      </c>
      <c r="W1094" t="s">
        <v>555</v>
      </c>
      <c r="X1094" t="s">
        <v>556</v>
      </c>
      <c r="Y1094" t="s">
        <v>472</v>
      </c>
      <c r="Z1094" t="s">
        <v>485</v>
      </c>
      <c r="AA1094" t="s">
        <v>764</v>
      </c>
      <c r="AB1094" t="s">
        <v>868</v>
      </c>
      <c r="AC1094">
        <v>0</v>
      </c>
      <c r="AD1094" t="s">
        <v>558</v>
      </c>
      <c r="AE1094">
        <v>118.6957225</v>
      </c>
      <c r="AF1094">
        <v>1.3267579999999999E-3</v>
      </c>
      <c r="AG1094" t="s">
        <v>560</v>
      </c>
      <c r="AH1094">
        <v>1</v>
      </c>
      <c r="AI1094">
        <v>89463</v>
      </c>
      <c r="AJ1094" t="s">
        <v>561</v>
      </c>
      <c r="AK1094" t="s">
        <v>766</v>
      </c>
      <c r="AL1094" t="s">
        <v>790</v>
      </c>
      <c r="AM1094">
        <v>2021</v>
      </c>
      <c r="AN1094">
        <v>2019</v>
      </c>
      <c r="AO1094">
        <f>IF(AND(emissions[[#This Row],[Market-based]]=0,emissions[[#This Row],[Impact Type]]="CO2E"),emissions[[#This Row],[kgCO2e]],0)/1000</f>
        <v>0</v>
      </c>
      <c r="AP1094">
        <f>IF(AND(emissions[[#This Row],[Market-based]]=1,OR(emissions[[#This Row],[Impact Type]]="CO2E",emissions[[#This Row],[Impact Type]]="CO2E MKT")),emissions[[#This Row],[kgCO2e]],0)/1000</f>
        <v>0</v>
      </c>
      <c r="AQ1094" t="str">
        <f>_xlfn.TEXTAFTER(emissions[[#This Row],[Reporting Unit]]," &gt; ",LEN(emissions[[#This Row],[Reporting Unit]])-LEN(SUBSTITUTE(emissions[[#This Row],[Reporting Unit]],"&gt;","")))</f>
        <v>Vantage_Delta</v>
      </c>
      <c r="AR1094" t="str">
        <f>_xlfn.XLOOKUP(emissions[[#This Row],[Reporting unit name]],hierarchy!$A:$A,hierarchy!$C:$C)</f>
        <v>Factory</v>
      </c>
    </row>
    <row r="1095" spans="1:44" hidden="1" x14ac:dyDescent="0.25">
      <c r="A1095">
        <v>1234355</v>
      </c>
      <c r="B1095" t="s">
        <v>255</v>
      </c>
      <c r="C1095" t="s">
        <v>520</v>
      </c>
      <c r="D1095" t="s">
        <v>599</v>
      </c>
      <c r="E1095" s="3">
        <v>44197</v>
      </c>
      <c r="F1095" s="3">
        <v>44561</v>
      </c>
      <c r="G1095" t="s">
        <v>108</v>
      </c>
      <c r="H1095" s="3">
        <v>44197</v>
      </c>
      <c r="I1095" s="3">
        <v>44561</v>
      </c>
      <c r="J1095" t="s">
        <v>108</v>
      </c>
      <c r="K1095">
        <v>89463</v>
      </c>
      <c r="L1095" t="s">
        <v>109</v>
      </c>
      <c r="M1095" t="s">
        <v>110</v>
      </c>
      <c r="O1095" t="s">
        <v>882</v>
      </c>
      <c r="P1095" t="s">
        <v>550</v>
      </c>
      <c r="Q1095">
        <v>2021</v>
      </c>
      <c r="R1095" t="s">
        <v>551</v>
      </c>
      <c r="S1095" t="s">
        <v>552</v>
      </c>
      <c r="T1095" t="s">
        <v>553</v>
      </c>
      <c r="U1095" t="b">
        <v>0</v>
      </c>
      <c r="V1095" t="s">
        <v>867</v>
      </c>
      <c r="W1095" t="s">
        <v>555</v>
      </c>
      <c r="X1095" t="s">
        <v>556</v>
      </c>
      <c r="Y1095" t="s">
        <v>472</v>
      </c>
      <c r="Z1095" t="s">
        <v>485</v>
      </c>
      <c r="AA1095" t="s">
        <v>764</v>
      </c>
      <c r="AB1095" t="s">
        <v>868</v>
      </c>
      <c r="AC1095">
        <v>0</v>
      </c>
      <c r="AD1095" t="s">
        <v>564</v>
      </c>
      <c r="AE1095">
        <v>50424.824090000002</v>
      </c>
      <c r="AF1095">
        <v>0.56363886799999996</v>
      </c>
      <c r="AG1095" t="s">
        <v>560</v>
      </c>
      <c r="AH1095">
        <v>1</v>
      </c>
      <c r="AI1095">
        <v>89463</v>
      </c>
      <c r="AJ1095" t="s">
        <v>561</v>
      </c>
      <c r="AK1095" t="s">
        <v>766</v>
      </c>
      <c r="AL1095" t="s">
        <v>790</v>
      </c>
      <c r="AM1095">
        <v>2021</v>
      </c>
      <c r="AN1095">
        <v>2019</v>
      </c>
      <c r="AO1095">
        <f>IF(AND(emissions[[#This Row],[Market-based]]=0,emissions[[#This Row],[Impact Type]]="CO2E"),emissions[[#This Row],[kgCO2e]],0)/1000</f>
        <v>0</v>
      </c>
      <c r="AP1095">
        <f>IF(AND(emissions[[#This Row],[Market-based]]=1,OR(emissions[[#This Row],[Impact Type]]="CO2E",emissions[[#This Row],[Impact Type]]="CO2E MKT")),emissions[[#This Row],[kgCO2e]],0)/1000</f>
        <v>0</v>
      </c>
      <c r="AQ1095" t="str">
        <f>_xlfn.TEXTAFTER(emissions[[#This Row],[Reporting Unit]]," &gt; ",LEN(emissions[[#This Row],[Reporting Unit]])-LEN(SUBSTITUTE(emissions[[#This Row],[Reporting Unit]],"&gt;","")))</f>
        <v>Vantage_Delta</v>
      </c>
      <c r="AR1095" t="str">
        <f>_xlfn.XLOOKUP(emissions[[#This Row],[Reporting unit name]],hierarchy!$A:$A,hierarchy!$C:$C)</f>
        <v>Factory</v>
      </c>
    </row>
    <row r="1096" spans="1:44" hidden="1" x14ac:dyDescent="0.25">
      <c r="A1096">
        <v>1234355</v>
      </c>
      <c r="B1096" t="s">
        <v>255</v>
      </c>
      <c r="C1096" t="s">
        <v>520</v>
      </c>
      <c r="D1096" t="s">
        <v>599</v>
      </c>
      <c r="E1096" s="3">
        <v>44197</v>
      </c>
      <c r="F1096" s="3">
        <v>44561</v>
      </c>
      <c r="G1096" t="s">
        <v>108</v>
      </c>
      <c r="H1096" s="3">
        <v>44197</v>
      </c>
      <c r="I1096" s="3">
        <v>44561</v>
      </c>
      <c r="J1096" t="s">
        <v>108</v>
      </c>
      <c r="K1096">
        <v>89463</v>
      </c>
      <c r="L1096" t="s">
        <v>109</v>
      </c>
      <c r="M1096" t="s">
        <v>110</v>
      </c>
      <c r="O1096" t="s">
        <v>882</v>
      </c>
      <c r="P1096" t="s">
        <v>550</v>
      </c>
      <c r="Q1096">
        <v>2021</v>
      </c>
      <c r="R1096" t="s">
        <v>551</v>
      </c>
      <c r="S1096" t="s">
        <v>552</v>
      </c>
      <c r="T1096" t="s">
        <v>553</v>
      </c>
      <c r="U1096" t="b">
        <v>0</v>
      </c>
      <c r="V1096" t="s">
        <v>867</v>
      </c>
      <c r="W1096" t="s">
        <v>555</v>
      </c>
      <c r="X1096" t="s">
        <v>556</v>
      </c>
      <c r="Y1096" t="s">
        <v>472</v>
      </c>
      <c r="Z1096" t="s">
        <v>485</v>
      </c>
      <c r="AA1096" t="s">
        <v>764</v>
      </c>
      <c r="AB1096" t="s">
        <v>868</v>
      </c>
      <c r="AC1096">
        <v>0</v>
      </c>
      <c r="AD1096" t="s">
        <v>565</v>
      </c>
      <c r="AE1096">
        <v>50749.096749999997</v>
      </c>
      <c r="AF1096">
        <v>0.56726352499999999</v>
      </c>
      <c r="AG1096" t="s">
        <v>560</v>
      </c>
      <c r="AH1096">
        <v>1</v>
      </c>
      <c r="AI1096">
        <v>89463</v>
      </c>
      <c r="AJ1096" t="s">
        <v>561</v>
      </c>
      <c r="AK1096" t="s">
        <v>766</v>
      </c>
      <c r="AL1096" t="s">
        <v>790</v>
      </c>
      <c r="AM1096">
        <v>2021</v>
      </c>
      <c r="AN1096">
        <v>2019</v>
      </c>
      <c r="AO1096">
        <f>IF(AND(emissions[[#This Row],[Market-based]]=0,emissions[[#This Row],[Impact Type]]="CO2E"),emissions[[#This Row],[kgCO2e]],0)/1000</f>
        <v>50.74909675</v>
      </c>
      <c r="AP1096">
        <f>IF(AND(emissions[[#This Row],[Market-based]]=1,OR(emissions[[#This Row],[Impact Type]]="CO2E",emissions[[#This Row],[Impact Type]]="CO2E MKT")),emissions[[#This Row],[kgCO2e]],0)/1000</f>
        <v>0</v>
      </c>
      <c r="AQ1096" t="str">
        <f>_xlfn.TEXTAFTER(emissions[[#This Row],[Reporting Unit]]," &gt; ",LEN(emissions[[#This Row],[Reporting Unit]])-LEN(SUBSTITUTE(emissions[[#This Row],[Reporting Unit]],"&gt;","")))</f>
        <v>Vantage_Delta</v>
      </c>
      <c r="AR1096" t="str">
        <f>_xlfn.XLOOKUP(emissions[[#This Row],[Reporting unit name]],hierarchy!$A:$A,hierarchy!$C:$C)</f>
        <v>Factory</v>
      </c>
    </row>
    <row r="1097" spans="1:44" hidden="1" x14ac:dyDescent="0.25">
      <c r="A1097">
        <v>1234355</v>
      </c>
      <c r="B1097" t="s">
        <v>255</v>
      </c>
      <c r="C1097" t="s">
        <v>520</v>
      </c>
      <c r="D1097" t="s">
        <v>599</v>
      </c>
      <c r="E1097" s="3">
        <v>44197</v>
      </c>
      <c r="F1097" s="3">
        <v>44561</v>
      </c>
      <c r="G1097" t="s">
        <v>108</v>
      </c>
      <c r="H1097" s="3">
        <v>44197</v>
      </c>
      <c r="I1097" s="3">
        <v>44561</v>
      </c>
      <c r="J1097" t="s">
        <v>108</v>
      </c>
      <c r="K1097">
        <v>89463</v>
      </c>
      <c r="L1097" t="s">
        <v>109</v>
      </c>
      <c r="M1097" t="s">
        <v>110</v>
      </c>
      <c r="O1097" t="s">
        <v>882</v>
      </c>
      <c r="P1097" t="s">
        <v>550</v>
      </c>
      <c r="Q1097">
        <v>2021</v>
      </c>
      <c r="R1097" t="s">
        <v>551</v>
      </c>
      <c r="S1097" t="s">
        <v>552</v>
      </c>
      <c r="T1097" t="s">
        <v>553</v>
      </c>
      <c r="U1097" t="b">
        <v>0</v>
      </c>
      <c r="V1097" t="s">
        <v>867</v>
      </c>
      <c r="W1097" t="s">
        <v>555</v>
      </c>
      <c r="X1097" t="s">
        <v>556</v>
      </c>
      <c r="Y1097" t="s">
        <v>472</v>
      </c>
      <c r="Z1097" t="s">
        <v>485</v>
      </c>
      <c r="AA1097" t="s">
        <v>764</v>
      </c>
      <c r="AB1097" t="s">
        <v>868</v>
      </c>
      <c r="AC1097">
        <v>0</v>
      </c>
      <c r="AD1097" t="s">
        <v>566</v>
      </c>
      <c r="AE1097">
        <v>205.5769334</v>
      </c>
      <c r="AF1097">
        <v>2.2978989999999999E-3</v>
      </c>
      <c r="AG1097" t="s">
        <v>560</v>
      </c>
      <c r="AH1097">
        <v>1</v>
      </c>
      <c r="AI1097">
        <v>89463</v>
      </c>
      <c r="AJ1097" t="s">
        <v>561</v>
      </c>
      <c r="AK1097" t="s">
        <v>766</v>
      </c>
      <c r="AL1097" t="s">
        <v>790</v>
      </c>
      <c r="AM1097">
        <v>2021</v>
      </c>
      <c r="AN1097">
        <v>2019</v>
      </c>
      <c r="AO1097">
        <f>IF(AND(emissions[[#This Row],[Market-based]]=0,emissions[[#This Row],[Impact Type]]="CO2E"),emissions[[#This Row],[kgCO2e]],0)/1000</f>
        <v>0</v>
      </c>
      <c r="AP1097">
        <f>IF(AND(emissions[[#This Row],[Market-based]]=1,OR(emissions[[#This Row],[Impact Type]]="CO2E",emissions[[#This Row],[Impact Type]]="CO2E MKT")),emissions[[#This Row],[kgCO2e]],0)/1000</f>
        <v>0</v>
      </c>
      <c r="AQ1097" t="str">
        <f>_xlfn.TEXTAFTER(emissions[[#This Row],[Reporting Unit]]," &gt; ",LEN(emissions[[#This Row],[Reporting Unit]])-LEN(SUBSTITUTE(emissions[[#This Row],[Reporting Unit]],"&gt;","")))</f>
        <v>Vantage_Delta</v>
      </c>
      <c r="AR1097" t="str">
        <f>_xlfn.XLOOKUP(emissions[[#This Row],[Reporting unit name]],hierarchy!$A:$A,hierarchy!$C:$C)</f>
        <v>Factory</v>
      </c>
    </row>
    <row r="1098" spans="1:44" hidden="1" x14ac:dyDescent="0.25">
      <c r="A1098">
        <v>1234355</v>
      </c>
      <c r="B1098" t="s">
        <v>255</v>
      </c>
      <c r="C1098" t="s">
        <v>520</v>
      </c>
      <c r="D1098" t="s">
        <v>599</v>
      </c>
      <c r="E1098" s="3">
        <v>44197</v>
      </c>
      <c r="F1098" s="3">
        <v>44561</v>
      </c>
      <c r="G1098" t="s">
        <v>108</v>
      </c>
      <c r="H1098" s="3">
        <v>44197</v>
      </c>
      <c r="I1098" s="3">
        <v>44561</v>
      </c>
      <c r="J1098" t="s">
        <v>108</v>
      </c>
      <c r="K1098">
        <v>89463</v>
      </c>
      <c r="L1098" t="s">
        <v>109</v>
      </c>
      <c r="M1098" t="s">
        <v>110</v>
      </c>
      <c r="O1098" t="s">
        <v>882</v>
      </c>
      <c r="P1098" t="s">
        <v>550</v>
      </c>
      <c r="Q1098">
        <v>2021</v>
      </c>
      <c r="R1098" t="s">
        <v>551</v>
      </c>
      <c r="S1098" t="s">
        <v>552</v>
      </c>
      <c r="T1098" t="s">
        <v>553</v>
      </c>
      <c r="U1098" t="b">
        <v>0</v>
      </c>
      <c r="V1098" t="s">
        <v>867</v>
      </c>
      <c r="W1098" t="s">
        <v>555</v>
      </c>
      <c r="X1098" t="s">
        <v>556</v>
      </c>
      <c r="Y1098" t="s">
        <v>472</v>
      </c>
      <c r="Z1098" t="s">
        <v>485</v>
      </c>
      <c r="AA1098" t="s">
        <v>764</v>
      </c>
      <c r="AB1098" t="s">
        <v>868</v>
      </c>
      <c r="AC1098">
        <v>1</v>
      </c>
      <c r="AD1098" t="s">
        <v>639</v>
      </c>
      <c r="AE1098">
        <v>51734.291530000002</v>
      </c>
      <c r="AF1098">
        <v>0.57827584099999996</v>
      </c>
      <c r="AG1098" t="s">
        <v>560</v>
      </c>
      <c r="AH1098">
        <v>1</v>
      </c>
      <c r="AI1098">
        <v>89463</v>
      </c>
      <c r="AJ1098" t="s">
        <v>561</v>
      </c>
      <c r="AK1098" t="s">
        <v>833</v>
      </c>
      <c r="AL1098" t="s">
        <v>853</v>
      </c>
      <c r="AM1098">
        <v>2021</v>
      </c>
      <c r="AN1098">
        <v>2019</v>
      </c>
      <c r="AO1098">
        <f>IF(AND(emissions[[#This Row],[Market-based]]=0,emissions[[#This Row],[Impact Type]]="CO2E"),emissions[[#This Row],[kgCO2e]],0)/1000</f>
        <v>0</v>
      </c>
      <c r="AP1098">
        <f>IF(AND(emissions[[#This Row],[Market-based]]=1,OR(emissions[[#This Row],[Impact Type]]="CO2E",emissions[[#This Row],[Impact Type]]="CO2E MKT")),emissions[[#This Row],[kgCO2e]],0)/1000</f>
        <v>51.73429153</v>
      </c>
      <c r="AQ1098" t="str">
        <f>_xlfn.TEXTAFTER(emissions[[#This Row],[Reporting Unit]]," &gt; ",LEN(emissions[[#This Row],[Reporting Unit]])-LEN(SUBSTITUTE(emissions[[#This Row],[Reporting Unit]],"&gt;","")))</f>
        <v>Vantage_Delta</v>
      </c>
      <c r="AR1098" t="str">
        <f>_xlfn.XLOOKUP(emissions[[#This Row],[Reporting unit name]],hierarchy!$A:$A,hierarchy!$C:$C)</f>
        <v>Factory</v>
      </c>
    </row>
    <row r="1099" spans="1:44" hidden="1" x14ac:dyDescent="0.25">
      <c r="A1099">
        <v>1234355</v>
      </c>
      <c r="B1099" t="s">
        <v>255</v>
      </c>
      <c r="C1099" t="s">
        <v>520</v>
      </c>
      <c r="D1099" t="s">
        <v>599</v>
      </c>
      <c r="E1099" s="3">
        <v>44197</v>
      </c>
      <c r="F1099" s="3">
        <v>44561</v>
      </c>
      <c r="G1099" t="s">
        <v>108</v>
      </c>
      <c r="H1099" s="3">
        <v>44197</v>
      </c>
      <c r="I1099" s="3">
        <v>44561</v>
      </c>
      <c r="J1099" t="s">
        <v>108</v>
      </c>
      <c r="K1099">
        <v>89463</v>
      </c>
      <c r="L1099" t="s">
        <v>109</v>
      </c>
      <c r="M1099" t="s">
        <v>110</v>
      </c>
      <c r="O1099" t="s">
        <v>882</v>
      </c>
      <c r="P1099" t="s">
        <v>550</v>
      </c>
      <c r="Q1099">
        <v>2021</v>
      </c>
      <c r="R1099" t="s">
        <v>567</v>
      </c>
      <c r="S1099" t="s">
        <v>568</v>
      </c>
      <c r="T1099" t="s">
        <v>569</v>
      </c>
      <c r="U1099" t="b">
        <v>0</v>
      </c>
      <c r="V1099" t="s">
        <v>870</v>
      </c>
      <c r="W1099" t="s">
        <v>571</v>
      </c>
      <c r="X1099" t="s">
        <v>572</v>
      </c>
      <c r="Y1099" t="s">
        <v>472</v>
      </c>
      <c r="Z1099" t="s">
        <v>485</v>
      </c>
      <c r="AA1099" t="s">
        <v>764</v>
      </c>
      <c r="AB1099" t="s">
        <v>868</v>
      </c>
      <c r="AC1099">
        <v>0</v>
      </c>
      <c r="AD1099" t="s">
        <v>558</v>
      </c>
      <c r="AE1099">
        <v>1.5991534329999999</v>
      </c>
      <c r="AF1099" s="13">
        <v>1.7875000000000001E-5</v>
      </c>
      <c r="AG1099" t="s">
        <v>560</v>
      </c>
      <c r="AH1099">
        <v>1</v>
      </c>
      <c r="AI1099">
        <v>89463</v>
      </c>
      <c r="AJ1099" t="s">
        <v>561</v>
      </c>
      <c r="AK1099" t="s">
        <v>573</v>
      </c>
      <c r="AL1099" t="s">
        <v>883</v>
      </c>
      <c r="AM1099">
        <v>2021</v>
      </c>
      <c r="AN1099">
        <v>2019</v>
      </c>
      <c r="AO1099">
        <f>IF(AND(emissions[[#This Row],[Market-based]]=0,emissions[[#This Row],[Impact Type]]="CO2E"),emissions[[#This Row],[kgCO2e]],0)/1000</f>
        <v>0</v>
      </c>
      <c r="AP1099">
        <f>IF(AND(emissions[[#This Row],[Market-based]]=1,OR(emissions[[#This Row],[Impact Type]]="CO2E",emissions[[#This Row],[Impact Type]]="CO2E MKT")),emissions[[#This Row],[kgCO2e]],0)/1000</f>
        <v>0</v>
      </c>
      <c r="AQ1099" t="str">
        <f>_xlfn.TEXTAFTER(emissions[[#This Row],[Reporting Unit]]," &gt; ",LEN(emissions[[#This Row],[Reporting Unit]])-LEN(SUBSTITUTE(emissions[[#This Row],[Reporting Unit]],"&gt;","")))</f>
        <v>Vantage_Delta</v>
      </c>
      <c r="AR1099" t="str">
        <f>_xlfn.XLOOKUP(emissions[[#This Row],[Reporting unit name]],hierarchy!$A:$A,hierarchy!$C:$C)</f>
        <v>Factory</v>
      </c>
    </row>
    <row r="1100" spans="1:44" hidden="1" x14ac:dyDescent="0.25">
      <c r="A1100">
        <v>1234355</v>
      </c>
      <c r="B1100" t="s">
        <v>255</v>
      </c>
      <c r="C1100" t="s">
        <v>520</v>
      </c>
      <c r="D1100" t="s">
        <v>599</v>
      </c>
      <c r="E1100" s="3">
        <v>44197</v>
      </c>
      <c r="F1100" s="3">
        <v>44561</v>
      </c>
      <c r="G1100" t="s">
        <v>108</v>
      </c>
      <c r="H1100" s="3">
        <v>44197</v>
      </c>
      <c r="I1100" s="3">
        <v>44561</v>
      </c>
      <c r="J1100" t="s">
        <v>108</v>
      </c>
      <c r="K1100">
        <v>89463</v>
      </c>
      <c r="L1100" t="s">
        <v>109</v>
      </c>
      <c r="M1100" t="s">
        <v>110</v>
      </c>
      <c r="O1100" t="s">
        <v>882</v>
      </c>
      <c r="P1100" t="s">
        <v>550</v>
      </c>
      <c r="Q1100">
        <v>2021</v>
      </c>
      <c r="R1100" t="s">
        <v>567</v>
      </c>
      <c r="S1100" t="s">
        <v>568</v>
      </c>
      <c r="T1100" t="s">
        <v>569</v>
      </c>
      <c r="U1100" t="b">
        <v>0</v>
      </c>
      <c r="V1100" t="s">
        <v>870</v>
      </c>
      <c r="W1100" t="s">
        <v>571</v>
      </c>
      <c r="X1100" t="s">
        <v>572</v>
      </c>
      <c r="Y1100" t="s">
        <v>472</v>
      </c>
      <c r="Z1100" t="s">
        <v>485</v>
      </c>
      <c r="AA1100" t="s">
        <v>764</v>
      </c>
      <c r="AB1100" t="s">
        <v>868</v>
      </c>
      <c r="AC1100">
        <v>0</v>
      </c>
      <c r="AD1100" t="s">
        <v>564</v>
      </c>
      <c r="AE1100">
        <v>679.35919560000002</v>
      </c>
      <c r="AF1100">
        <v>7.5937449999999998E-3</v>
      </c>
      <c r="AG1100" t="s">
        <v>560</v>
      </c>
      <c r="AH1100">
        <v>1</v>
      </c>
      <c r="AI1100">
        <v>89463</v>
      </c>
      <c r="AJ1100" t="s">
        <v>561</v>
      </c>
      <c r="AK1100" t="s">
        <v>573</v>
      </c>
      <c r="AL1100" t="s">
        <v>883</v>
      </c>
      <c r="AM1100">
        <v>2021</v>
      </c>
      <c r="AN1100">
        <v>2019</v>
      </c>
      <c r="AO1100">
        <f>IF(AND(emissions[[#This Row],[Market-based]]=0,emissions[[#This Row],[Impact Type]]="CO2E"),emissions[[#This Row],[kgCO2e]],0)/1000</f>
        <v>0</v>
      </c>
      <c r="AP1100">
        <f>IF(AND(emissions[[#This Row],[Market-based]]=1,OR(emissions[[#This Row],[Impact Type]]="CO2E",emissions[[#This Row],[Impact Type]]="CO2E MKT")),emissions[[#This Row],[kgCO2e]],0)/1000</f>
        <v>0</v>
      </c>
      <c r="AQ1100" t="str">
        <f>_xlfn.TEXTAFTER(emissions[[#This Row],[Reporting Unit]]," &gt; ",LEN(emissions[[#This Row],[Reporting Unit]])-LEN(SUBSTITUTE(emissions[[#This Row],[Reporting Unit]],"&gt;","")))</f>
        <v>Vantage_Delta</v>
      </c>
      <c r="AR1100" t="str">
        <f>_xlfn.XLOOKUP(emissions[[#This Row],[Reporting unit name]],hierarchy!$A:$A,hierarchy!$C:$C)</f>
        <v>Factory</v>
      </c>
    </row>
    <row r="1101" spans="1:44" hidden="1" x14ac:dyDescent="0.25">
      <c r="A1101">
        <v>1234355</v>
      </c>
      <c r="B1101" t="s">
        <v>255</v>
      </c>
      <c r="C1101" t="s">
        <v>520</v>
      </c>
      <c r="D1101" t="s">
        <v>599</v>
      </c>
      <c r="E1101" s="3">
        <v>44197</v>
      </c>
      <c r="F1101" s="3">
        <v>44561</v>
      </c>
      <c r="G1101" t="s">
        <v>108</v>
      </c>
      <c r="H1101" s="3">
        <v>44197</v>
      </c>
      <c r="I1101" s="3">
        <v>44561</v>
      </c>
      <c r="J1101" t="s">
        <v>108</v>
      </c>
      <c r="K1101">
        <v>89463</v>
      </c>
      <c r="L1101" t="s">
        <v>109</v>
      </c>
      <c r="M1101" t="s">
        <v>110</v>
      </c>
      <c r="O1101" t="s">
        <v>882</v>
      </c>
      <c r="P1101" t="s">
        <v>550</v>
      </c>
      <c r="Q1101">
        <v>2021</v>
      </c>
      <c r="R1101" t="s">
        <v>567</v>
      </c>
      <c r="S1101" t="s">
        <v>568</v>
      </c>
      <c r="T1101" t="s">
        <v>569</v>
      </c>
      <c r="U1101" t="b">
        <v>0</v>
      </c>
      <c r="V1101" t="s">
        <v>870</v>
      </c>
      <c r="W1101" t="s">
        <v>571</v>
      </c>
      <c r="X1101" t="s">
        <v>572</v>
      </c>
      <c r="Y1101" t="s">
        <v>472</v>
      </c>
      <c r="Z1101" t="s">
        <v>485</v>
      </c>
      <c r="AA1101" t="s">
        <v>764</v>
      </c>
      <c r="AB1101" t="s">
        <v>868</v>
      </c>
      <c r="AC1101">
        <v>0</v>
      </c>
      <c r="AD1101" t="s">
        <v>565</v>
      </c>
      <c r="AE1101">
        <v>683.72802809999996</v>
      </c>
      <c r="AF1101">
        <v>7.642579E-3</v>
      </c>
      <c r="AG1101" t="s">
        <v>560</v>
      </c>
      <c r="AH1101">
        <v>1</v>
      </c>
      <c r="AI1101">
        <v>89463</v>
      </c>
      <c r="AJ1101" t="s">
        <v>561</v>
      </c>
      <c r="AK1101" t="s">
        <v>573</v>
      </c>
      <c r="AL1101" t="s">
        <v>883</v>
      </c>
      <c r="AM1101">
        <v>2021</v>
      </c>
      <c r="AN1101">
        <v>2019</v>
      </c>
      <c r="AO1101">
        <f>IF(AND(emissions[[#This Row],[Market-based]]=0,emissions[[#This Row],[Impact Type]]="CO2E"),emissions[[#This Row],[kgCO2e]],0)/1000</f>
        <v>0.6837280281</v>
      </c>
      <c r="AP1101">
        <f>IF(AND(emissions[[#This Row],[Market-based]]=1,OR(emissions[[#This Row],[Impact Type]]="CO2E",emissions[[#This Row],[Impact Type]]="CO2E MKT")),emissions[[#This Row],[kgCO2e]],0)/1000</f>
        <v>0</v>
      </c>
      <c r="AQ1101" t="str">
        <f>_xlfn.TEXTAFTER(emissions[[#This Row],[Reporting Unit]]," &gt; ",LEN(emissions[[#This Row],[Reporting Unit]])-LEN(SUBSTITUTE(emissions[[#This Row],[Reporting Unit]],"&gt;","")))</f>
        <v>Vantage_Delta</v>
      </c>
      <c r="AR1101" t="str">
        <f>_xlfn.XLOOKUP(emissions[[#This Row],[Reporting unit name]],hierarchy!$A:$A,hierarchy!$C:$C)</f>
        <v>Factory</v>
      </c>
    </row>
    <row r="1102" spans="1:44" hidden="1" x14ac:dyDescent="0.25">
      <c r="A1102">
        <v>1234355</v>
      </c>
      <c r="B1102" t="s">
        <v>255</v>
      </c>
      <c r="C1102" t="s">
        <v>520</v>
      </c>
      <c r="D1102" t="s">
        <v>599</v>
      </c>
      <c r="E1102" s="3">
        <v>44197</v>
      </c>
      <c r="F1102" s="3">
        <v>44561</v>
      </c>
      <c r="G1102" t="s">
        <v>108</v>
      </c>
      <c r="H1102" s="3">
        <v>44197</v>
      </c>
      <c r="I1102" s="3">
        <v>44561</v>
      </c>
      <c r="J1102" t="s">
        <v>108</v>
      </c>
      <c r="K1102">
        <v>89463</v>
      </c>
      <c r="L1102" t="s">
        <v>109</v>
      </c>
      <c r="M1102" t="s">
        <v>110</v>
      </c>
      <c r="O1102" t="s">
        <v>882</v>
      </c>
      <c r="P1102" t="s">
        <v>550</v>
      </c>
      <c r="Q1102">
        <v>2021</v>
      </c>
      <c r="R1102" t="s">
        <v>567</v>
      </c>
      <c r="S1102" t="s">
        <v>568</v>
      </c>
      <c r="T1102" t="s">
        <v>569</v>
      </c>
      <c r="U1102" t="b">
        <v>0</v>
      </c>
      <c r="V1102" t="s">
        <v>870</v>
      </c>
      <c r="W1102" t="s">
        <v>571</v>
      </c>
      <c r="X1102" t="s">
        <v>572</v>
      </c>
      <c r="Y1102" t="s">
        <v>472</v>
      </c>
      <c r="Z1102" t="s">
        <v>485</v>
      </c>
      <c r="AA1102" t="s">
        <v>764</v>
      </c>
      <c r="AB1102" t="s">
        <v>868</v>
      </c>
      <c r="AC1102">
        <v>0</v>
      </c>
      <c r="AD1102" t="s">
        <v>566</v>
      </c>
      <c r="AE1102">
        <v>2.769679075</v>
      </c>
      <c r="AF1102" s="13">
        <v>3.0958899999999999E-5</v>
      </c>
      <c r="AG1102" t="s">
        <v>560</v>
      </c>
      <c r="AH1102">
        <v>1</v>
      </c>
      <c r="AI1102">
        <v>89463</v>
      </c>
      <c r="AJ1102" t="s">
        <v>561</v>
      </c>
      <c r="AK1102" t="s">
        <v>573</v>
      </c>
      <c r="AL1102" t="s">
        <v>883</v>
      </c>
      <c r="AM1102">
        <v>2021</v>
      </c>
      <c r="AN1102">
        <v>2019</v>
      </c>
      <c r="AO1102">
        <f>IF(AND(emissions[[#This Row],[Market-based]]=0,emissions[[#This Row],[Impact Type]]="CO2E"),emissions[[#This Row],[kgCO2e]],0)/1000</f>
        <v>0</v>
      </c>
      <c r="AP1102">
        <f>IF(AND(emissions[[#This Row],[Market-based]]=1,OR(emissions[[#This Row],[Impact Type]]="CO2E",emissions[[#This Row],[Impact Type]]="CO2E MKT")),emissions[[#This Row],[kgCO2e]],0)/1000</f>
        <v>0</v>
      </c>
      <c r="AQ1102" t="str">
        <f>_xlfn.TEXTAFTER(emissions[[#This Row],[Reporting Unit]]," &gt; ",LEN(emissions[[#This Row],[Reporting Unit]])-LEN(SUBSTITUTE(emissions[[#This Row],[Reporting Unit]],"&gt;","")))</f>
        <v>Vantage_Delta</v>
      </c>
      <c r="AR1102" t="str">
        <f>_xlfn.XLOOKUP(emissions[[#This Row],[Reporting unit name]],hierarchy!$A:$A,hierarchy!$C:$C)</f>
        <v>Factory</v>
      </c>
    </row>
    <row r="1103" spans="1:44" hidden="1" x14ac:dyDescent="0.25">
      <c r="A1103">
        <v>1234355</v>
      </c>
      <c r="B1103" t="s">
        <v>255</v>
      </c>
      <c r="C1103" t="s">
        <v>520</v>
      </c>
      <c r="D1103" t="s">
        <v>599</v>
      </c>
      <c r="E1103" s="3">
        <v>44197</v>
      </c>
      <c r="F1103" s="3">
        <v>44561</v>
      </c>
      <c r="G1103" t="s">
        <v>108</v>
      </c>
      <c r="H1103" s="3">
        <v>44197</v>
      </c>
      <c r="I1103" s="3">
        <v>44561</v>
      </c>
      <c r="J1103" t="s">
        <v>108</v>
      </c>
      <c r="K1103">
        <v>89463</v>
      </c>
      <c r="L1103" t="s">
        <v>109</v>
      </c>
      <c r="M1103" t="s">
        <v>110</v>
      </c>
      <c r="O1103" t="s">
        <v>882</v>
      </c>
      <c r="P1103" t="s">
        <v>550</v>
      </c>
      <c r="Q1103">
        <v>2021</v>
      </c>
      <c r="R1103" t="s">
        <v>567</v>
      </c>
      <c r="S1103" t="s">
        <v>568</v>
      </c>
      <c r="T1103" t="s">
        <v>569</v>
      </c>
      <c r="U1103" t="b">
        <v>0</v>
      </c>
      <c r="V1103" t="s">
        <v>870</v>
      </c>
      <c r="W1103" t="s">
        <v>571</v>
      </c>
      <c r="X1103" t="s">
        <v>572</v>
      </c>
      <c r="Y1103" t="s">
        <v>472</v>
      </c>
      <c r="Z1103" t="s">
        <v>485</v>
      </c>
      <c r="AA1103" t="s">
        <v>764</v>
      </c>
      <c r="AB1103" t="s">
        <v>868</v>
      </c>
      <c r="AC1103">
        <v>1</v>
      </c>
      <c r="AD1103" t="s">
        <v>639</v>
      </c>
      <c r="AE1103">
        <v>697.00127499999996</v>
      </c>
      <c r="AF1103">
        <v>7.7909449999999996E-3</v>
      </c>
      <c r="AG1103" t="s">
        <v>560</v>
      </c>
      <c r="AH1103">
        <v>1</v>
      </c>
      <c r="AI1103">
        <v>89463</v>
      </c>
      <c r="AJ1103" t="s">
        <v>561</v>
      </c>
      <c r="AK1103" t="s">
        <v>573</v>
      </c>
      <c r="AL1103" t="s">
        <v>772</v>
      </c>
      <c r="AM1103">
        <v>2021</v>
      </c>
      <c r="AN1103">
        <v>2019</v>
      </c>
      <c r="AO1103">
        <f>IF(AND(emissions[[#This Row],[Market-based]]=0,emissions[[#This Row],[Impact Type]]="CO2E"),emissions[[#This Row],[kgCO2e]],0)/1000</f>
        <v>0</v>
      </c>
      <c r="AP1103">
        <f>IF(AND(emissions[[#This Row],[Market-based]]=1,OR(emissions[[#This Row],[Impact Type]]="CO2E",emissions[[#This Row],[Impact Type]]="CO2E MKT")),emissions[[#This Row],[kgCO2e]],0)/1000</f>
        <v>0.69700127499999998</v>
      </c>
      <c r="AQ1103" t="str">
        <f>_xlfn.TEXTAFTER(emissions[[#This Row],[Reporting Unit]]," &gt; ",LEN(emissions[[#This Row],[Reporting Unit]])-LEN(SUBSTITUTE(emissions[[#This Row],[Reporting Unit]],"&gt;","")))</f>
        <v>Vantage_Delta</v>
      </c>
      <c r="AR1103" t="str">
        <f>_xlfn.XLOOKUP(emissions[[#This Row],[Reporting unit name]],hierarchy!$A:$A,hierarchy!$C:$C)</f>
        <v>Factory</v>
      </c>
    </row>
    <row r="1104" spans="1:44" hidden="1" x14ac:dyDescent="0.25">
      <c r="A1104">
        <v>1234355</v>
      </c>
      <c r="B1104" t="s">
        <v>255</v>
      </c>
      <c r="C1104" t="s">
        <v>520</v>
      </c>
      <c r="D1104" t="s">
        <v>599</v>
      </c>
      <c r="E1104" s="3">
        <v>44197</v>
      </c>
      <c r="F1104" s="3">
        <v>44561</v>
      </c>
      <c r="G1104" t="s">
        <v>108</v>
      </c>
      <c r="H1104" s="3">
        <v>44197</v>
      </c>
      <c r="I1104" s="3">
        <v>44561</v>
      </c>
      <c r="J1104" t="s">
        <v>108</v>
      </c>
      <c r="K1104">
        <v>89463</v>
      </c>
      <c r="L1104" t="s">
        <v>109</v>
      </c>
      <c r="M1104" t="s">
        <v>110</v>
      </c>
      <c r="O1104" t="s">
        <v>882</v>
      </c>
      <c r="P1104" t="s">
        <v>550</v>
      </c>
      <c r="Q1104">
        <v>2021</v>
      </c>
      <c r="R1104" t="s">
        <v>575</v>
      </c>
      <c r="S1104" t="s">
        <v>576</v>
      </c>
      <c r="T1104" t="s">
        <v>577</v>
      </c>
      <c r="U1104" t="b">
        <v>0</v>
      </c>
      <c r="V1104" t="s">
        <v>872</v>
      </c>
      <c r="W1104" t="s">
        <v>571</v>
      </c>
      <c r="X1104" t="s">
        <v>572</v>
      </c>
      <c r="Y1104" t="s">
        <v>472</v>
      </c>
      <c r="Z1104" t="s">
        <v>485</v>
      </c>
      <c r="AA1104" t="s">
        <v>764</v>
      </c>
      <c r="AB1104" t="s">
        <v>868</v>
      </c>
      <c r="AC1104">
        <v>0</v>
      </c>
      <c r="AD1104" t="s">
        <v>558</v>
      </c>
      <c r="AE1104">
        <v>31.355949679999998</v>
      </c>
      <c r="AF1104">
        <v>3.5049099999999998E-4</v>
      </c>
      <c r="AG1104" t="s">
        <v>560</v>
      </c>
      <c r="AH1104">
        <v>1</v>
      </c>
      <c r="AI1104">
        <v>89463</v>
      </c>
      <c r="AJ1104" t="s">
        <v>561</v>
      </c>
      <c r="AK1104" t="s">
        <v>573</v>
      </c>
      <c r="AL1104" t="s">
        <v>884</v>
      </c>
      <c r="AM1104">
        <v>2021</v>
      </c>
      <c r="AN1104">
        <v>2019</v>
      </c>
      <c r="AO1104">
        <f>IF(AND(emissions[[#This Row],[Market-based]]=0,emissions[[#This Row],[Impact Type]]="CO2E"),emissions[[#This Row],[kgCO2e]],0)/1000</f>
        <v>0</v>
      </c>
      <c r="AP1104">
        <f>IF(AND(emissions[[#This Row],[Market-based]]=1,OR(emissions[[#This Row],[Impact Type]]="CO2E",emissions[[#This Row],[Impact Type]]="CO2E MKT")),emissions[[#This Row],[kgCO2e]],0)/1000</f>
        <v>0</v>
      </c>
      <c r="AQ1104" t="str">
        <f>_xlfn.TEXTAFTER(emissions[[#This Row],[Reporting Unit]]," &gt; ",LEN(emissions[[#This Row],[Reporting Unit]])-LEN(SUBSTITUTE(emissions[[#This Row],[Reporting Unit]],"&gt;","")))</f>
        <v>Vantage_Delta</v>
      </c>
      <c r="AR1104" t="str">
        <f>_xlfn.XLOOKUP(emissions[[#This Row],[Reporting unit name]],hierarchy!$A:$A,hierarchy!$C:$C)</f>
        <v>Factory</v>
      </c>
    </row>
    <row r="1105" spans="1:44" hidden="1" x14ac:dyDescent="0.25">
      <c r="A1105">
        <v>1234355</v>
      </c>
      <c r="B1105" t="s">
        <v>255</v>
      </c>
      <c r="C1105" t="s">
        <v>520</v>
      </c>
      <c r="D1105" t="s">
        <v>599</v>
      </c>
      <c r="E1105" s="3">
        <v>44197</v>
      </c>
      <c r="F1105" s="3">
        <v>44561</v>
      </c>
      <c r="G1105" t="s">
        <v>108</v>
      </c>
      <c r="H1105" s="3">
        <v>44197</v>
      </c>
      <c r="I1105" s="3">
        <v>44561</v>
      </c>
      <c r="J1105" t="s">
        <v>108</v>
      </c>
      <c r="K1105">
        <v>89463</v>
      </c>
      <c r="L1105" t="s">
        <v>109</v>
      </c>
      <c r="M1105" t="s">
        <v>110</v>
      </c>
      <c r="O1105" t="s">
        <v>882</v>
      </c>
      <c r="P1105" t="s">
        <v>550</v>
      </c>
      <c r="Q1105">
        <v>2021</v>
      </c>
      <c r="R1105" t="s">
        <v>575</v>
      </c>
      <c r="S1105" t="s">
        <v>576</v>
      </c>
      <c r="T1105" t="s">
        <v>577</v>
      </c>
      <c r="U1105" t="b">
        <v>0</v>
      </c>
      <c r="V1105" t="s">
        <v>872</v>
      </c>
      <c r="W1105" t="s">
        <v>571</v>
      </c>
      <c r="X1105" t="s">
        <v>572</v>
      </c>
      <c r="Y1105" t="s">
        <v>472</v>
      </c>
      <c r="Z1105" t="s">
        <v>485</v>
      </c>
      <c r="AA1105" t="s">
        <v>764</v>
      </c>
      <c r="AB1105" t="s">
        <v>868</v>
      </c>
      <c r="AC1105">
        <v>0</v>
      </c>
      <c r="AD1105" t="s">
        <v>564</v>
      </c>
      <c r="AE1105">
        <v>13320.768539999999</v>
      </c>
      <c r="AF1105">
        <v>0.148896958</v>
      </c>
      <c r="AG1105" t="s">
        <v>560</v>
      </c>
      <c r="AH1105">
        <v>1</v>
      </c>
      <c r="AI1105">
        <v>89463</v>
      </c>
      <c r="AJ1105" t="s">
        <v>561</v>
      </c>
      <c r="AK1105" t="s">
        <v>573</v>
      </c>
      <c r="AL1105" t="s">
        <v>884</v>
      </c>
      <c r="AM1105">
        <v>2021</v>
      </c>
      <c r="AN1105">
        <v>2019</v>
      </c>
      <c r="AO1105">
        <f>IF(AND(emissions[[#This Row],[Market-based]]=0,emissions[[#This Row],[Impact Type]]="CO2E"),emissions[[#This Row],[kgCO2e]],0)/1000</f>
        <v>0</v>
      </c>
      <c r="AP1105">
        <f>IF(AND(emissions[[#This Row],[Market-based]]=1,OR(emissions[[#This Row],[Impact Type]]="CO2E",emissions[[#This Row],[Impact Type]]="CO2E MKT")),emissions[[#This Row],[kgCO2e]],0)/1000</f>
        <v>0</v>
      </c>
      <c r="AQ1105" t="str">
        <f>_xlfn.TEXTAFTER(emissions[[#This Row],[Reporting Unit]]," &gt; ",LEN(emissions[[#This Row],[Reporting Unit]])-LEN(SUBSTITUTE(emissions[[#This Row],[Reporting Unit]],"&gt;","")))</f>
        <v>Vantage_Delta</v>
      </c>
      <c r="AR1105" t="str">
        <f>_xlfn.XLOOKUP(emissions[[#This Row],[Reporting unit name]],hierarchy!$A:$A,hierarchy!$C:$C)</f>
        <v>Factory</v>
      </c>
    </row>
    <row r="1106" spans="1:44" hidden="1" x14ac:dyDescent="0.25">
      <c r="A1106">
        <v>1234355</v>
      </c>
      <c r="B1106" t="s">
        <v>255</v>
      </c>
      <c r="C1106" t="s">
        <v>520</v>
      </c>
      <c r="D1106" t="s">
        <v>599</v>
      </c>
      <c r="E1106" s="3">
        <v>44197</v>
      </c>
      <c r="F1106" s="3">
        <v>44561</v>
      </c>
      <c r="G1106" t="s">
        <v>108</v>
      </c>
      <c r="H1106" s="3">
        <v>44197</v>
      </c>
      <c r="I1106" s="3">
        <v>44561</v>
      </c>
      <c r="J1106" t="s">
        <v>108</v>
      </c>
      <c r="K1106">
        <v>89463</v>
      </c>
      <c r="L1106" t="s">
        <v>109</v>
      </c>
      <c r="M1106" t="s">
        <v>110</v>
      </c>
      <c r="O1106" t="s">
        <v>882</v>
      </c>
      <c r="P1106" t="s">
        <v>550</v>
      </c>
      <c r="Q1106">
        <v>2021</v>
      </c>
      <c r="R1106" t="s">
        <v>575</v>
      </c>
      <c r="S1106" t="s">
        <v>576</v>
      </c>
      <c r="T1106" t="s">
        <v>577</v>
      </c>
      <c r="U1106" t="b">
        <v>0</v>
      </c>
      <c r="V1106" t="s">
        <v>872</v>
      </c>
      <c r="W1106" t="s">
        <v>571</v>
      </c>
      <c r="X1106" t="s">
        <v>572</v>
      </c>
      <c r="Y1106" t="s">
        <v>472</v>
      </c>
      <c r="Z1106" t="s">
        <v>485</v>
      </c>
      <c r="AA1106" t="s">
        <v>764</v>
      </c>
      <c r="AB1106" t="s">
        <v>868</v>
      </c>
      <c r="AC1106">
        <v>0</v>
      </c>
      <c r="AD1106" t="s">
        <v>565</v>
      </c>
      <c r="AE1106">
        <v>13406.431920000001</v>
      </c>
      <c r="AF1106">
        <v>0.14985448600000001</v>
      </c>
      <c r="AG1106" t="s">
        <v>560</v>
      </c>
      <c r="AH1106">
        <v>1</v>
      </c>
      <c r="AI1106">
        <v>89463</v>
      </c>
      <c r="AJ1106" t="s">
        <v>561</v>
      </c>
      <c r="AK1106" t="s">
        <v>573</v>
      </c>
      <c r="AL1106" t="s">
        <v>884</v>
      </c>
      <c r="AM1106">
        <v>2021</v>
      </c>
      <c r="AN1106">
        <v>2019</v>
      </c>
      <c r="AO1106">
        <f>IF(AND(emissions[[#This Row],[Market-based]]=0,emissions[[#This Row],[Impact Type]]="CO2E"),emissions[[#This Row],[kgCO2e]],0)/1000</f>
        <v>13.406431920000001</v>
      </c>
      <c r="AP1106">
        <f>IF(AND(emissions[[#This Row],[Market-based]]=1,OR(emissions[[#This Row],[Impact Type]]="CO2E",emissions[[#This Row],[Impact Type]]="CO2E MKT")),emissions[[#This Row],[kgCO2e]],0)/1000</f>
        <v>0</v>
      </c>
      <c r="AQ1106" t="str">
        <f>_xlfn.TEXTAFTER(emissions[[#This Row],[Reporting Unit]]," &gt; ",LEN(emissions[[#This Row],[Reporting Unit]])-LEN(SUBSTITUTE(emissions[[#This Row],[Reporting Unit]],"&gt;","")))</f>
        <v>Vantage_Delta</v>
      </c>
      <c r="AR1106" t="str">
        <f>_xlfn.XLOOKUP(emissions[[#This Row],[Reporting unit name]],hierarchy!$A:$A,hierarchy!$C:$C)</f>
        <v>Factory</v>
      </c>
    </row>
    <row r="1107" spans="1:44" hidden="1" x14ac:dyDescent="0.25">
      <c r="A1107">
        <v>1234355</v>
      </c>
      <c r="B1107" t="s">
        <v>255</v>
      </c>
      <c r="C1107" t="s">
        <v>520</v>
      </c>
      <c r="D1107" t="s">
        <v>599</v>
      </c>
      <c r="E1107" s="3">
        <v>44197</v>
      </c>
      <c r="F1107" s="3">
        <v>44561</v>
      </c>
      <c r="G1107" t="s">
        <v>108</v>
      </c>
      <c r="H1107" s="3">
        <v>44197</v>
      </c>
      <c r="I1107" s="3">
        <v>44561</v>
      </c>
      <c r="J1107" t="s">
        <v>108</v>
      </c>
      <c r="K1107">
        <v>89463</v>
      </c>
      <c r="L1107" t="s">
        <v>109</v>
      </c>
      <c r="M1107" t="s">
        <v>110</v>
      </c>
      <c r="O1107" t="s">
        <v>882</v>
      </c>
      <c r="P1107" t="s">
        <v>550</v>
      </c>
      <c r="Q1107">
        <v>2021</v>
      </c>
      <c r="R1107" t="s">
        <v>575</v>
      </c>
      <c r="S1107" t="s">
        <v>576</v>
      </c>
      <c r="T1107" t="s">
        <v>577</v>
      </c>
      <c r="U1107" t="b">
        <v>0</v>
      </c>
      <c r="V1107" t="s">
        <v>872</v>
      </c>
      <c r="W1107" t="s">
        <v>571</v>
      </c>
      <c r="X1107" t="s">
        <v>572</v>
      </c>
      <c r="Y1107" t="s">
        <v>472</v>
      </c>
      <c r="Z1107" t="s">
        <v>485</v>
      </c>
      <c r="AA1107" t="s">
        <v>764</v>
      </c>
      <c r="AB1107" t="s">
        <v>868</v>
      </c>
      <c r="AC1107">
        <v>0</v>
      </c>
      <c r="AD1107" t="s">
        <v>566</v>
      </c>
      <c r="AE1107">
        <v>54.307432839999997</v>
      </c>
      <c r="AF1107">
        <v>6.0703799999999996E-4</v>
      </c>
      <c r="AG1107" t="s">
        <v>560</v>
      </c>
      <c r="AH1107">
        <v>1</v>
      </c>
      <c r="AI1107">
        <v>89463</v>
      </c>
      <c r="AJ1107" t="s">
        <v>561</v>
      </c>
      <c r="AK1107" t="s">
        <v>573</v>
      </c>
      <c r="AL1107" t="s">
        <v>884</v>
      </c>
      <c r="AM1107">
        <v>2021</v>
      </c>
      <c r="AN1107">
        <v>2019</v>
      </c>
      <c r="AO1107">
        <f>IF(AND(emissions[[#This Row],[Market-based]]=0,emissions[[#This Row],[Impact Type]]="CO2E"),emissions[[#This Row],[kgCO2e]],0)/1000</f>
        <v>0</v>
      </c>
      <c r="AP1107">
        <f>IF(AND(emissions[[#This Row],[Market-based]]=1,OR(emissions[[#This Row],[Impact Type]]="CO2E",emissions[[#This Row],[Impact Type]]="CO2E MKT")),emissions[[#This Row],[kgCO2e]],0)/1000</f>
        <v>0</v>
      </c>
      <c r="AQ1107" t="str">
        <f>_xlfn.TEXTAFTER(emissions[[#This Row],[Reporting Unit]]," &gt; ",LEN(emissions[[#This Row],[Reporting Unit]])-LEN(SUBSTITUTE(emissions[[#This Row],[Reporting Unit]],"&gt;","")))</f>
        <v>Vantage_Delta</v>
      </c>
      <c r="AR1107" t="str">
        <f>_xlfn.XLOOKUP(emissions[[#This Row],[Reporting unit name]],hierarchy!$A:$A,hierarchy!$C:$C)</f>
        <v>Factory</v>
      </c>
    </row>
    <row r="1108" spans="1:44" hidden="1" x14ac:dyDescent="0.25">
      <c r="A1108">
        <v>1234355</v>
      </c>
      <c r="B1108" t="s">
        <v>255</v>
      </c>
      <c r="C1108" t="s">
        <v>520</v>
      </c>
      <c r="D1108" t="s">
        <v>599</v>
      </c>
      <c r="E1108" s="3">
        <v>44197</v>
      </c>
      <c r="F1108" s="3">
        <v>44561</v>
      </c>
      <c r="G1108" t="s">
        <v>108</v>
      </c>
      <c r="H1108" s="3">
        <v>44197</v>
      </c>
      <c r="I1108" s="3">
        <v>44561</v>
      </c>
      <c r="J1108" t="s">
        <v>108</v>
      </c>
      <c r="K1108">
        <v>89463</v>
      </c>
      <c r="L1108" t="s">
        <v>109</v>
      </c>
      <c r="M1108" t="s">
        <v>110</v>
      </c>
      <c r="O1108" t="s">
        <v>882</v>
      </c>
      <c r="P1108" t="s">
        <v>550</v>
      </c>
      <c r="Q1108">
        <v>2021</v>
      </c>
      <c r="R1108" t="s">
        <v>575</v>
      </c>
      <c r="S1108" t="s">
        <v>576</v>
      </c>
      <c r="T1108" t="s">
        <v>577</v>
      </c>
      <c r="U1108" t="b">
        <v>0</v>
      </c>
      <c r="V1108" t="s">
        <v>872</v>
      </c>
      <c r="W1108" t="s">
        <v>571</v>
      </c>
      <c r="X1108" t="s">
        <v>572</v>
      </c>
      <c r="Y1108" t="s">
        <v>472</v>
      </c>
      <c r="Z1108" t="s">
        <v>485</v>
      </c>
      <c r="AA1108" t="s">
        <v>764</v>
      </c>
      <c r="AB1108" t="s">
        <v>868</v>
      </c>
      <c r="AC1108">
        <v>1</v>
      </c>
      <c r="AD1108" t="s">
        <v>639</v>
      </c>
      <c r="AE1108">
        <v>13666.69167</v>
      </c>
      <c r="AF1108">
        <v>0.15276361899999999</v>
      </c>
      <c r="AG1108" t="s">
        <v>560</v>
      </c>
      <c r="AH1108">
        <v>1</v>
      </c>
      <c r="AI1108">
        <v>89463</v>
      </c>
      <c r="AJ1108" t="s">
        <v>561</v>
      </c>
      <c r="AK1108" t="s">
        <v>573</v>
      </c>
      <c r="AL1108" t="s">
        <v>873</v>
      </c>
      <c r="AM1108">
        <v>2021</v>
      </c>
      <c r="AN1108">
        <v>2019</v>
      </c>
      <c r="AO1108">
        <f>IF(AND(emissions[[#This Row],[Market-based]]=0,emissions[[#This Row],[Impact Type]]="CO2E"),emissions[[#This Row],[kgCO2e]],0)/1000</f>
        <v>0</v>
      </c>
      <c r="AP1108">
        <f>IF(AND(emissions[[#This Row],[Market-based]]=1,OR(emissions[[#This Row],[Impact Type]]="CO2E",emissions[[#This Row],[Impact Type]]="CO2E MKT")),emissions[[#This Row],[kgCO2e]],0)/1000</f>
        <v>13.666691670000001</v>
      </c>
      <c r="AQ1108" t="str">
        <f>_xlfn.TEXTAFTER(emissions[[#This Row],[Reporting Unit]]," &gt; ",LEN(emissions[[#This Row],[Reporting Unit]])-LEN(SUBSTITUTE(emissions[[#This Row],[Reporting Unit]],"&gt;","")))</f>
        <v>Vantage_Delta</v>
      </c>
      <c r="AR1108" t="str">
        <f>_xlfn.XLOOKUP(emissions[[#This Row],[Reporting unit name]],hierarchy!$A:$A,hierarchy!$C:$C)</f>
        <v>Factory</v>
      </c>
    </row>
    <row r="1109" spans="1:44" hidden="1" x14ac:dyDescent="0.25">
      <c r="A1109">
        <v>1234355</v>
      </c>
      <c r="B1109" t="s">
        <v>255</v>
      </c>
      <c r="C1109" t="s">
        <v>520</v>
      </c>
      <c r="D1109" t="s">
        <v>599</v>
      </c>
      <c r="E1109" s="3">
        <v>44197</v>
      </c>
      <c r="F1109" s="3">
        <v>44561</v>
      </c>
      <c r="G1109" t="s">
        <v>108</v>
      </c>
      <c r="H1109" s="3">
        <v>44197</v>
      </c>
      <c r="I1109" s="3">
        <v>44561</v>
      </c>
      <c r="J1109" t="s">
        <v>108</v>
      </c>
      <c r="K1109">
        <v>89463</v>
      </c>
      <c r="L1109" t="s">
        <v>109</v>
      </c>
      <c r="M1109" t="s">
        <v>110</v>
      </c>
      <c r="O1109" t="s">
        <v>882</v>
      </c>
      <c r="P1109" t="s">
        <v>550</v>
      </c>
      <c r="Q1109">
        <v>2021</v>
      </c>
      <c r="R1109" t="s">
        <v>579</v>
      </c>
      <c r="S1109" t="s">
        <v>580</v>
      </c>
      <c r="T1109" t="s">
        <v>581</v>
      </c>
      <c r="U1109" t="b">
        <v>0</v>
      </c>
      <c r="V1109" t="s">
        <v>874</v>
      </c>
      <c r="W1109" t="s">
        <v>571</v>
      </c>
      <c r="X1109" t="s">
        <v>572</v>
      </c>
      <c r="Y1109" t="s">
        <v>472</v>
      </c>
      <c r="Z1109" t="s">
        <v>485</v>
      </c>
      <c r="AA1109" t="s">
        <v>764</v>
      </c>
      <c r="AB1109" t="s">
        <v>868</v>
      </c>
      <c r="AC1109">
        <v>0</v>
      </c>
      <c r="AD1109" t="s">
        <v>565</v>
      </c>
      <c r="AE1109">
        <v>2588.2039340000001</v>
      </c>
      <c r="AF1109">
        <v>2.8930440000000002E-2</v>
      </c>
      <c r="AG1109" t="s">
        <v>560</v>
      </c>
      <c r="AH1109">
        <v>1</v>
      </c>
      <c r="AI1109">
        <v>89463</v>
      </c>
      <c r="AJ1109" t="s">
        <v>561</v>
      </c>
      <c r="AK1109" t="s">
        <v>766</v>
      </c>
      <c r="AL1109" t="s">
        <v>790</v>
      </c>
      <c r="AM1109">
        <v>2021</v>
      </c>
      <c r="AN1109">
        <v>2019</v>
      </c>
      <c r="AO1109">
        <f>IF(AND(emissions[[#This Row],[Market-based]]=0,emissions[[#This Row],[Impact Type]]="CO2E"),emissions[[#This Row],[kgCO2e]],0)/1000</f>
        <v>2.588203934</v>
      </c>
      <c r="AP1109">
        <f>IF(AND(emissions[[#This Row],[Market-based]]=1,OR(emissions[[#This Row],[Impact Type]]="CO2E",emissions[[#This Row],[Impact Type]]="CO2E MKT")),emissions[[#This Row],[kgCO2e]],0)/1000</f>
        <v>0</v>
      </c>
      <c r="AQ1109" t="str">
        <f>_xlfn.TEXTAFTER(emissions[[#This Row],[Reporting Unit]]," &gt; ",LEN(emissions[[#This Row],[Reporting Unit]])-LEN(SUBSTITUTE(emissions[[#This Row],[Reporting Unit]],"&gt;","")))</f>
        <v>Vantage_Delta</v>
      </c>
      <c r="AR1109" t="str">
        <f>_xlfn.XLOOKUP(emissions[[#This Row],[Reporting unit name]],hierarchy!$A:$A,hierarchy!$C:$C)</f>
        <v>Factory</v>
      </c>
    </row>
    <row r="1110" spans="1:44" hidden="1" x14ac:dyDescent="0.25">
      <c r="A1110">
        <v>1234355</v>
      </c>
      <c r="B1110" t="s">
        <v>255</v>
      </c>
      <c r="C1110" t="s">
        <v>520</v>
      </c>
      <c r="D1110" t="s">
        <v>599</v>
      </c>
      <c r="E1110" s="3">
        <v>44197</v>
      </c>
      <c r="F1110" s="3">
        <v>44561</v>
      </c>
      <c r="G1110" t="s">
        <v>108</v>
      </c>
      <c r="H1110" s="3">
        <v>44197</v>
      </c>
      <c r="I1110" s="3">
        <v>44561</v>
      </c>
      <c r="J1110" t="s">
        <v>108</v>
      </c>
      <c r="K1110">
        <v>89463</v>
      </c>
      <c r="L1110" t="s">
        <v>109</v>
      </c>
      <c r="M1110" t="s">
        <v>110</v>
      </c>
      <c r="O1110" t="s">
        <v>882</v>
      </c>
      <c r="P1110" t="s">
        <v>550</v>
      </c>
      <c r="Q1110">
        <v>2021</v>
      </c>
      <c r="R1110" t="s">
        <v>579</v>
      </c>
      <c r="S1110" t="s">
        <v>580</v>
      </c>
      <c r="T1110" t="s">
        <v>581</v>
      </c>
      <c r="U1110" t="b">
        <v>0</v>
      </c>
      <c r="V1110" t="s">
        <v>875</v>
      </c>
      <c r="W1110" t="s">
        <v>571</v>
      </c>
      <c r="X1110" t="s">
        <v>572</v>
      </c>
      <c r="Y1110" t="s">
        <v>472</v>
      </c>
      <c r="Z1110" t="s">
        <v>485</v>
      </c>
      <c r="AA1110" t="s">
        <v>764</v>
      </c>
      <c r="AB1110" t="s">
        <v>868</v>
      </c>
      <c r="AC1110">
        <v>1</v>
      </c>
      <c r="AD1110" t="s">
        <v>639</v>
      </c>
      <c r="AE1110">
        <v>2638.4488679999999</v>
      </c>
      <c r="AF1110">
        <v>2.9492068E-2</v>
      </c>
      <c r="AG1110" t="s">
        <v>560</v>
      </c>
      <c r="AH1110">
        <v>1</v>
      </c>
      <c r="AI1110">
        <v>89463</v>
      </c>
      <c r="AJ1110" t="s">
        <v>561</v>
      </c>
      <c r="AK1110" t="s">
        <v>573</v>
      </c>
      <c r="AL1110" t="s">
        <v>876</v>
      </c>
      <c r="AM1110">
        <v>2021</v>
      </c>
      <c r="AN1110">
        <v>2019</v>
      </c>
      <c r="AO1110">
        <f>IF(AND(emissions[[#This Row],[Market-based]]=0,emissions[[#This Row],[Impact Type]]="CO2E"),emissions[[#This Row],[kgCO2e]],0)/1000</f>
        <v>0</v>
      </c>
      <c r="AP1110">
        <f>IF(AND(emissions[[#This Row],[Market-based]]=1,OR(emissions[[#This Row],[Impact Type]]="CO2E",emissions[[#This Row],[Impact Type]]="CO2E MKT")),emissions[[#This Row],[kgCO2e]],0)/1000</f>
        <v>2.6384488679999998</v>
      </c>
      <c r="AQ1110" t="str">
        <f>_xlfn.TEXTAFTER(emissions[[#This Row],[Reporting Unit]]," &gt; ",LEN(emissions[[#This Row],[Reporting Unit]])-LEN(SUBSTITUTE(emissions[[#This Row],[Reporting Unit]],"&gt;","")))</f>
        <v>Vantage_Delta</v>
      </c>
      <c r="AR1110" t="str">
        <f>_xlfn.XLOOKUP(emissions[[#This Row],[Reporting unit name]],hierarchy!$A:$A,hierarchy!$C:$C)</f>
        <v>Factory</v>
      </c>
    </row>
    <row r="1111" spans="1:44" hidden="1" x14ac:dyDescent="0.25">
      <c r="A1111">
        <v>1234357</v>
      </c>
      <c r="B1111" t="s">
        <v>255</v>
      </c>
      <c r="C1111" t="s">
        <v>520</v>
      </c>
      <c r="D1111" t="s">
        <v>599</v>
      </c>
      <c r="E1111" s="3">
        <v>44197</v>
      </c>
      <c r="F1111" s="3">
        <v>44561</v>
      </c>
      <c r="G1111" t="s">
        <v>135</v>
      </c>
      <c r="H1111" s="3">
        <v>44197</v>
      </c>
      <c r="I1111" s="3">
        <v>44561</v>
      </c>
      <c r="J1111" t="s">
        <v>135</v>
      </c>
      <c r="K1111">
        <v>12191</v>
      </c>
      <c r="L1111" t="s">
        <v>136</v>
      </c>
      <c r="M1111" t="s">
        <v>110</v>
      </c>
      <c r="O1111" t="s">
        <v>885</v>
      </c>
      <c r="P1111" t="s">
        <v>550</v>
      </c>
      <c r="Q1111">
        <v>2021</v>
      </c>
      <c r="R1111" t="s">
        <v>605</v>
      </c>
      <c r="S1111" t="s">
        <v>606</v>
      </c>
      <c r="T1111" t="s">
        <v>553</v>
      </c>
      <c r="U1111" t="b">
        <v>0</v>
      </c>
      <c r="V1111" t="s">
        <v>781</v>
      </c>
      <c r="W1111" t="s">
        <v>587</v>
      </c>
      <c r="X1111" t="s">
        <v>556</v>
      </c>
      <c r="Y1111" t="s">
        <v>472</v>
      </c>
      <c r="Z1111" t="s">
        <v>485</v>
      </c>
      <c r="AA1111" t="s">
        <v>764</v>
      </c>
      <c r="AC1111">
        <v>0</v>
      </c>
      <c r="AD1111" t="s">
        <v>558</v>
      </c>
      <c r="AE1111">
        <v>30.477499999999999</v>
      </c>
      <c r="AF1111">
        <v>2.5000000000000001E-2</v>
      </c>
      <c r="AG1111" t="s">
        <v>798</v>
      </c>
      <c r="AH1111">
        <v>0.1</v>
      </c>
      <c r="AI1111">
        <v>1219.0999999999999</v>
      </c>
      <c r="AJ1111" t="s">
        <v>561</v>
      </c>
      <c r="AK1111" t="s">
        <v>766</v>
      </c>
      <c r="AL1111" t="s">
        <v>790</v>
      </c>
      <c r="AM1111">
        <v>2021</v>
      </c>
      <c r="AN1111">
        <v>2021</v>
      </c>
      <c r="AO1111">
        <f>IF(AND(emissions[[#This Row],[Market-based]]=0,emissions[[#This Row],[Impact Type]]="CO2E"),emissions[[#This Row],[kgCO2e]],0)/1000</f>
        <v>0</v>
      </c>
      <c r="AP1111">
        <f>IF(AND(emissions[[#This Row],[Market-based]]=1,OR(emissions[[#This Row],[Impact Type]]="CO2E",emissions[[#This Row],[Impact Type]]="CO2E MKT")),emissions[[#This Row],[kgCO2e]],0)/1000</f>
        <v>0</v>
      </c>
      <c r="AQ1111" t="str">
        <f>_xlfn.TEXTAFTER(emissions[[#This Row],[Reporting Unit]]," &gt; ",LEN(emissions[[#This Row],[Reporting Unit]])-LEN(SUBSTITUTE(emissions[[#This Row],[Reporting Unit]],"&gt;","")))</f>
        <v>Vantage_Delta</v>
      </c>
      <c r="AR1111" t="str">
        <f>_xlfn.XLOOKUP(emissions[[#This Row],[Reporting unit name]],hierarchy!$A:$A,hierarchy!$C:$C)</f>
        <v>Factory</v>
      </c>
    </row>
    <row r="1112" spans="1:44" hidden="1" x14ac:dyDescent="0.25">
      <c r="A1112">
        <v>1234357</v>
      </c>
      <c r="B1112" t="s">
        <v>255</v>
      </c>
      <c r="C1112" t="s">
        <v>520</v>
      </c>
      <c r="D1112" t="s">
        <v>599</v>
      </c>
      <c r="E1112" s="3">
        <v>44197</v>
      </c>
      <c r="F1112" s="3">
        <v>44561</v>
      </c>
      <c r="G1112" t="s">
        <v>135</v>
      </c>
      <c r="H1112" s="3">
        <v>44197</v>
      </c>
      <c r="I1112" s="3">
        <v>44561</v>
      </c>
      <c r="J1112" t="s">
        <v>135</v>
      </c>
      <c r="K1112">
        <v>12191</v>
      </c>
      <c r="L1112" t="s">
        <v>136</v>
      </c>
      <c r="M1112" t="s">
        <v>110</v>
      </c>
      <c r="O1112" t="s">
        <v>885</v>
      </c>
      <c r="P1112" t="s">
        <v>550</v>
      </c>
      <c r="Q1112">
        <v>2021</v>
      </c>
      <c r="R1112" t="s">
        <v>605</v>
      </c>
      <c r="S1112" t="s">
        <v>606</v>
      </c>
      <c r="T1112" t="s">
        <v>553</v>
      </c>
      <c r="U1112" t="b">
        <v>0</v>
      </c>
      <c r="V1112" t="s">
        <v>781</v>
      </c>
      <c r="W1112" t="s">
        <v>587</v>
      </c>
      <c r="X1112" t="s">
        <v>556</v>
      </c>
      <c r="Y1112" t="s">
        <v>472</v>
      </c>
      <c r="Z1112" t="s">
        <v>485</v>
      </c>
      <c r="AA1112" t="s">
        <v>764</v>
      </c>
      <c r="AC1112">
        <v>0</v>
      </c>
      <c r="AD1112" t="s">
        <v>564</v>
      </c>
      <c r="AE1112">
        <v>64685.446000000004</v>
      </c>
      <c r="AF1112">
        <v>53.06</v>
      </c>
      <c r="AG1112" t="s">
        <v>798</v>
      </c>
      <c r="AH1112">
        <v>0.1</v>
      </c>
      <c r="AI1112">
        <v>1219.0999999999999</v>
      </c>
      <c r="AJ1112" t="s">
        <v>561</v>
      </c>
      <c r="AK1112" t="s">
        <v>766</v>
      </c>
      <c r="AL1112" t="s">
        <v>787</v>
      </c>
      <c r="AM1112">
        <v>2021</v>
      </c>
      <c r="AN1112">
        <v>2020</v>
      </c>
      <c r="AO1112">
        <f>IF(AND(emissions[[#This Row],[Market-based]]=0,emissions[[#This Row],[Impact Type]]="CO2E"),emissions[[#This Row],[kgCO2e]],0)/1000</f>
        <v>0</v>
      </c>
      <c r="AP1112">
        <f>IF(AND(emissions[[#This Row],[Market-based]]=1,OR(emissions[[#This Row],[Impact Type]]="CO2E",emissions[[#This Row],[Impact Type]]="CO2E MKT")),emissions[[#This Row],[kgCO2e]],0)/1000</f>
        <v>0</v>
      </c>
      <c r="AQ1112" t="str">
        <f>_xlfn.TEXTAFTER(emissions[[#This Row],[Reporting Unit]]," &gt; ",LEN(emissions[[#This Row],[Reporting Unit]])-LEN(SUBSTITUTE(emissions[[#This Row],[Reporting Unit]],"&gt;","")))</f>
        <v>Vantage_Delta</v>
      </c>
      <c r="AR1112" t="str">
        <f>_xlfn.XLOOKUP(emissions[[#This Row],[Reporting unit name]],hierarchy!$A:$A,hierarchy!$C:$C)</f>
        <v>Factory</v>
      </c>
    </row>
    <row r="1113" spans="1:44" hidden="1" x14ac:dyDescent="0.25">
      <c r="A1113">
        <v>1234357</v>
      </c>
      <c r="B1113" t="s">
        <v>255</v>
      </c>
      <c r="C1113" t="s">
        <v>520</v>
      </c>
      <c r="D1113" t="s">
        <v>599</v>
      </c>
      <c r="E1113" s="3">
        <v>44197</v>
      </c>
      <c r="F1113" s="3">
        <v>44561</v>
      </c>
      <c r="G1113" t="s">
        <v>135</v>
      </c>
      <c r="H1113" s="3">
        <v>44197</v>
      </c>
      <c r="I1113" s="3">
        <v>44561</v>
      </c>
      <c r="J1113" t="s">
        <v>135</v>
      </c>
      <c r="K1113">
        <v>12191</v>
      </c>
      <c r="L1113" t="s">
        <v>136</v>
      </c>
      <c r="M1113" t="s">
        <v>110</v>
      </c>
      <c r="O1113" t="s">
        <v>885</v>
      </c>
      <c r="P1113" t="s">
        <v>550</v>
      </c>
      <c r="Q1113">
        <v>2021</v>
      </c>
      <c r="R1113" t="s">
        <v>605</v>
      </c>
      <c r="S1113" t="s">
        <v>606</v>
      </c>
      <c r="T1113" t="s">
        <v>553</v>
      </c>
      <c r="U1113" t="b">
        <v>0</v>
      </c>
      <c r="V1113" t="s">
        <v>781</v>
      </c>
      <c r="W1113" t="s">
        <v>587</v>
      </c>
      <c r="X1113" t="s">
        <v>556</v>
      </c>
      <c r="Y1113" t="s">
        <v>472</v>
      </c>
      <c r="Z1113" t="s">
        <v>485</v>
      </c>
      <c r="AA1113" t="s">
        <v>764</v>
      </c>
      <c r="AC1113">
        <v>0</v>
      </c>
      <c r="AD1113" t="s">
        <v>565</v>
      </c>
      <c r="AE1113">
        <v>64752.252679999998</v>
      </c>
      <c r="AF1113">
        <v>53.114800000000002</v>
      </c>
      <c r="AG1113" t="s">
        <v>798</v>
      </c>
      <c r="AH1113">
        <v>0.1</v>
      </c>
      <c r="AI1113">
        <v>1219.0999999999999</v>
      </c>
      <c r="AJ1113" t="s">
        <v>561</v>
      </c>
      <c r="AK1113" t="s">
        <v>766</v>
      </c>
      <c r="AL1113" t="s">
        <v>790</v>
      </c>
      <c r="AM1113">
        <v>2021</v>
      </c>
      <c r="AN1113">
        <v>2021</v>
      </c>
      <c r="AO1113">
        <f>IF(AND(emissions[[#This Row],[Market-based]]=0,emissions[[#This Row],[Impact Type]]="CO2E"),emissions[[#This Row],[kgCO2e]],0)/1000</f>
        <v>64.752252679999998</v>
      </c>
      <c r="AP1113">
        <f>IF(AND(emissions[[#This Row],[Market-based]]=1,OR(emissions[[#This Row],[Impact Type]]="CO2E",emissions[[#This Row],[Impact Type]]="CO2E MKT")),emissions[[#This Row],[kgCO2e]],0)/1000</f>
        <v>0</v>
      </c>
      <c r="AQ1113" t="str">
        <f>_xlfn.TEXTAFTER(emissions[[#This Row],[Reporting Unit]]," &gt; ",LEN(emissions[[#This Row],[Reporting Unit]])-LEN(SUBSTITUTE(emissions[[#This Row],[Reporting Unit]],"&gt;","")))</f>
        <v>Vantage_Delta</v>
      </c>
      <c r="AR1113" t="str">
        <f>_xlfn.XLOOKUP(emissions[[#This Row],[Reporting unit name]],hierarchy!$A:$A,hierarchy!$C:$C)</f>
        <v>Factory</v>
      </c>
    </row>
    <row r="1114" spans="1:44" hidden="1" x14ac:dyDescent="0.25">
      <c r="A1114">
        <v>1234357</v>
      </c>
      <c r="B1114" t="s">
        <v>255</v>
      </c>
      <c r="C1114" t="s">
        <v>520</v>
      </c>
      <c r="D1114" t="s">
        <v>599</v>
      </c>
      <c r="E1114" s="3">
        <v>44197</v>
      </c>
      <c r="F1114" s="3">
        <v>44561</v>
      </c>
      <c r="G1114" t="s">
        <v>135</v>
      </c>
      <c r="H1114" s="3">
        <v>44197</v>
      </c>
      <c r="I1114" s="3">
        <v>44561</v>
      </c>
      <c r="J1114" t="s">
        <v>135</v>
      </c>
      <c r="K1114">
        <v>12191</v>
      </c>
      <c r="L1114" t="s">
        <v>136</v>
      </c>
      <c r="M1114" t="s">
        <v>110</v>
      </c>
      <c r="O1114" t="s">
        <v>885</v>
      </c>
      <c r="P1114" t="s">
        <v>550</v>
      </c>
      <c r="Q1114">
        <v>2021</v>
      </c>
      <c r="R1114" t="s">
        <v>605</v>
      </c>
      <c r="S1114" t="s">
        <v>606</v>
      </c>
      <c r="T1114" t="s">
        <v>553</v>
      </c>
      <c r="U1114" t="b">
        <v>0</v>
      </c>
      <c r="V1114" t="s">
        <v>781</v>
      </c>
      <c r="W1114" t="s">
        <v>587</v>
      </c>
      <c r="X1114" t="s">
        <v>556</v>
      </c>
      <c r="Y1114" t="s">
        <v>472</v>
      </c>
      <c r="Z1114" t="s">
        <v>485</v>
      </c>
      <c r="AA1114" t="s">
        <v>764</v>
      </c>
      <c r="AC1114">
        <v>0</v>
      </c>
      <c r="AD1114" t="s">
        <v>566</v>
      </c>
      <c r="AE1114">
        <v>36.329180000000001</v>
      </c>
      <c r="AF1114">
        <v>2.98E-2</v>
      </c>
      <c r="AG1114" t="s">
        <v>798</v>
      </c>
      <c r="AH1114">
        <v>0.1</v>
      </c>
      <c r="AI1114">
        <v>1219.0999999999999</v>
      </c>
      <c r="AJ1114" t="s">
        <v>561</v>
      </c>
      <c r="AK1114" t="s">
        <v>766</v>
      </c>
      <c r="AL1114" t="s">
        <v>790</v>
      </c>
      <c r="AM1114">
        <v>2021</v>
      </c>
      <c r="AN1114">
        <v>2021</v>
      </c>
      <c r="AO1114">
        <f>IF(AND(emissions[[#This Row],[Market-based]]=0,emissions[[#This Row],[Impact Type]]="CO2E"),emissions[[#This Row],[kgCO2e]],0)/1000</f>
        <v>0</v>
      </c>
      <c r="AP1114">
        <f>IF(AND(emissions[[#This Row],[Market-based]]=1,OR(emissions[[#This Row],[Impact Type]]="CO2E",emissions[[#This Row],[Impact Type]]="CO2E MKT")),emissions[[#This Row],[kgCO2e]],0)/1000</f>
        <v>0</v>
      </c>
      <c r="AQ1114" t="str">
        <f>_xlfn.TEXTAFTER(emissions[[#This Row],[Reporting Unit]]," &gt; ",LEN(emissions[[#This Row],[Reporting Unit]])-LEN(SUBSTITUTE(emissions[[#This Row],[Reporting Unit]],"&gt;","")))</f>
        <v>Vantage_Delta</v>
      </c>
      <c r="AR1114" t="str">
        <f>_xlfn.XLOOKUP(emissions[[#This Row],[Reporting unit name]],hierarchy!$A:$A,hierarchy!$C:$C)</f>
        <v>Factory</v>
      </c>
    </row>
    <row r="1115" spans="1:44" hidden="1" x14ac:dyDescent="0.25">
      <c r="A1115">
        <v>1234357</v>
      </c>
      <c r="B1115" t="s">
        <v>255</v>
      </c>
      <c r="C1115" t="s">
        <v>520</v>
      </c>
      <c r="D1115" t="s">
        <v>599</v>
      </c>
      <c r="E1115" s="3">
        <v>44197</v>
      </c>
      <c r="F1115" s="3">
        <v>44561</v>
      </c>
      <c r="G1115" t="s">
        <v>135</v>
      </c>
      <c r="H1115" s="3">
        <v>44197</v>
      </c>
      <c r="I1115" s="3">
        <v>44561</v>
      </c>
      <c r="J1115" t="s">
        <v>135</v>
      </c>
      <c r="K1115">
        <v>12191</v>
      </c>
      <c r="L1115" t="s">
        <v>136</v>
      </c>
      <c r="M1115" t="s">
        <v>110</v>
      </c>
      <c r="O1115" t="s">
        <v>885</v>
      </c>
      <c r="P1115" t="s">
        <v>550</v>
      </c>
      <c r="Q1115">
        <v>2021</v>
      </c>
      <c r="R1115" t="s">
        <v>605</v>
      </c>
      <c r="S1115" t="s">
        <v>606</v>
      </c>
      <c r="T1115" t="s">
        <v>553</v>
      </c>
      <c r="U1115" t="b">
        <v>0</v>
      </c>
      <c r="V1115" t="s">
        <v>781</v>
      </c>
      <c r="W1115" t="s">
        <v>587</v>
      </c>
      <c r="X1115" t="s">
        <v>556</v>
      </c>
      <c r="Y1115" t="s">
        <v>472</v>
      </c>
      <c r="Z1115" t="s">
        <v>485</v>
      </c>
      <c r="AA1115" t="s">
        <v>764</v>
      </c>
      <c r="AC1115">
        <v>1</v>
      </c>
      <c r="AD1115" t="s">
        <v>558</v>
      </c>
      <c r="AE1115">
        <v>30.477499999999999</v>
      </c>
      <c r="AF1115">
        <v>2.5000000000000001E-2</v>
      </c>
      <c r="AG1115" t="s">
        <v>798</v>
      </c>
      <c r="AH1115">
        <v>0.1</v>
      </c>
      <c r="AI1115">
        <v>1219.0999999999999</v>
      </c>
      <c r="AJ1115" t="s">
        <v>561</v>
      </c>
      <c r="AK1115" t="s">
        <v>766</v>
      </c>
      <c r="AL1115" t="s">
        <v>790</v>
      </c>
      <c r="AM1115">
        <v>2021</v>
      </c>
      <c r="AN1115">
        <v>2021</v>
      </c>
      <c r="AO1115">
        <f>IF(AND(emissions[[#This Row],[Market-based]]=0,emissions[[#This Row],[Impact Type]]="CO2E"),emissions[[#This Row],[kgCO2e]],0)/1000</f>
        <v>0</v>
      </c>
      <c r="AP1115">
        <f>IF(AND(emissions[[#This Row],[Market-based]]=1,OR(emissions[[#This Row],[Impact Type]]="CO2E",emissions[[#This Row],[Impact Type]]="CO2E MKT")),emissions[[#This Row],[kgCO2e]],0)/1000</f>
        <v>0</v>
      </c>
      <c r="AQ1115" t="str">
        <f>_xlfn.TEXTAFTER(emissions[[#This Row],[Reporting Unit]]," &gt; ",LEN(emissions[[#This Row],[Reporting Unit]])-LEN(SUBSTITUTE(emissions[[#This Row],[Reporting Unit]],"&gt;","")))</f>
        <v>Vantage_Delta</v>
      </c>
      <c r="AR1115" t="str">
        <f>_xlfn.XLOOKUP(emissions[[#This Row],[Reporting unit name]],hierarchy!$A:$A,hierarchy!$C:$C)</f>
        <v>Factory</v>
      </c>
    </row>
    <row r="1116" spans="1:44" hidden="1" x14ac:dyDescent="0.25">
      <c r="A1116">
        <v>1234357</v>
      </c>
      <c r="B1116" t="s">
        <v>255</v>
      </c>
      <c r="C1116" t="s">
        <v>520</v>
      </c>
      <c r="D1116" t="s">
        <v>599</v>
      </c>
      <c r="E1116" s="3">
        <v>44197</v>
      </c>
      <c r="F1116" s="3">
        <v>44561</v>
      </c>
      <c r="G1116" t="s">
        <v>135</v>
      </c>
      <c r="H1116" s="3">
        <v>44197</v>
      </c>
      <c r="I1116" s="3">
        <v>44561</v>
      </c>
      <c r="J1116" t="s">
        <v>135</v>
      </c>
      <c r="K1116">
        <v>12191</v>
      </c>
      <c r="L1116" t="s">
        <v>136</v>
      </c>
      <c r="M1116" t="s">
        <v>110</v>
      </c>
      <c r="O1116" t="s">
        <v>885</v>
      </c>
      <c r="P1116" t="s">
        <v>550</v>
      </c>
      <c r="Q1116">
        <v>2021</v>
      </c>
      <c r="R1116" t="s">
        <v>605</v>
      </c>
      <c r="S1116" t="s">
        <v>606</v>
      </c>
      <c r="T1116" t="s">
        <v>553</v>
      </c>
      <c r="U1116" t="b">
        <v>0</v>
      </c>
      <c r="V1116" t="s">
        <v>781</v>
      </c>
      <c r="W1116" t="s">
        <v>587</v>
      </c>
      <c r="X1116" t="s">
        <v>556</v>
      </c>
      <c r="Y1116" t="s">
        <v>472</v>
      </c>
      <c r="Z1116" t="s">
        <v>485</v>
      </c>
      <c r="AA1116" t="s">
        <v>764</v>
      </c>
      <c r="AC1116">
        <v>1</v>
      </c>
      <c r="AD1116" t="s">
        <v>564</v>
      </c>
      <c r="AE1116">
        <v>64685.446000000004</v>
      </c>
      <c r="AF1116">
        <v>53.06</v>
      </c>
      <c r="AG1116" t="s">
        <v>798</v>
      </c>
      <c r="AH1116">
        <v>0.1</v>
      </c>
      <c r="AI1116">
        <v>1219.0999999999999</v>
      </c>
      <c r="AJ1116" t="s">
        <v>561</v>
      </c>
      <c r="AK1116" t="s">
        <v>766</v>
      </c>
      <c r="AL1116" t="s">
        <v>787</v>
      </c>
      <c r="AM1116">
        <v>2021</v>
      </c>
      <c r="AN1116">
        <v>2020</v>
      </c>
      <c r="AO1116">
        <f>IF(AND(emissions[[#This Row],[Market-based]]=0,emissions[[#This Row],[Impact Type]]="CO2E"),emissions[[#This Row],[kgCO2e]],0)/1000</f>
        <v>0</v>
      </c>
      <c r="AP1116">
        <f>IF(AND(emissions[[#This Row],[Market-based]]=1,OR(emissions[[#This Row],[Impact Type]]="CO2E",emissions[[#This Row],[Impact Type]]="CO2E MKT")),emissions[[#This Row],[kgCO2e]],0)/1000</f>
        <v>0</v>
      </c>
      <c r="AQ1116" t="str">
        <f>_xlfn.TEXTAFTER(emissions[[#This Row],[Reporting Unit]]," &gt; ",LEN(emissions[[#This Row],[Reporting Unit]])-LEN(SUBSTITUTE(emissions[[#This Row],[Reporting Unit]],"&gt;","")))</f>
        <v>Vantage_Delta</v>
      </c>
      <c r="AR1116" t="str">
        <f>_xlfn.XLOOKUP(emissions[[#This Row],[Reporting unit name]],hierarchy!$A:$A,hierarchy!$C:$C)</f>
        <v>Factory</v>
      </c>
    </row>
    <row r="1117" spans="1:44" hidden="1" x14ac:dyDescent="0.25">
      <c r="A1117">
        <v>1234357</v>
      </c>
      <c r="B1117" t="s">
        <v>255</v>
      </c>
      <c r="C1117" t="s">
        <v>520</v>
      </c>
      <c r="D1117" t="s">
        <v>599</v>
      </c>
      <c r="E1117" s="3">
        <v>44197</v>
      </c>
      <c r="F1117" s="3">
        <v>44561</v>
      </c>
      <c r="G1117" t="s">
        <v>135</v>
      </c>
      <c r="H1117" s="3">
        <v>44197</v>
      </c>
      <c r="I1117" s="3">
        <v>44561</v>
      </c>
      <c r="J1117" t="s">
        <v>135</v>
      </c>
      <c r="K1117">
        <v>12191</v>
      </c>
      <c r="L1117" t="s">
        <v>136</v>
      </c>
      <c r="M1117" t="s">
        <v>110</v>
      </c>
      <c r="O1117" t="s">
        <v>885</v>
      </c>
      <c r="P1117" t="s">
        <v>550</v>
      </c>
      <c r="Q1117">
        <v>2021</v>
      </c>
      <c r="R1117" t="s">
        <v>605</v>
      </c>
      <c r="S1117" t="s">
        <v>606</v>
      </c>
      <c r="T1117" t="s">
        <v>553</v>
      </c>
      <c r="U1117" t="b">
        <v>0</v>
      </c>
      <c r="V1117" t="s">
        <v>781</v>
      </c>
      <c r="W1117" t="s">
        <v>587</v>
      </c>
      <c r="X1117" t="s">
        <v>556</v>
      </c>
      <c r="Y1117" t="s">
        <v>472</v>
      </c>
      <c r="Z1117" t="s">
        <v>485</v>
      </c>
      <c r="AA1117" t="s">
        <v>764</v>
      </c>
      <c r="AC1117">
        <v>1</v>
      </c>
      <c r="AD1117" t="s">
        <v>565</v>
      </c>
      <c r="AE1117">
        <v>64752.252679999998</v>
      </c>
      <c r="AF1117">
        <v>53.114800000000002</v>
      </c>
      <c r="AG1117" t="s">
        <v>798</v>
      </c>
      <c r="AH1117">
        <v>0.1</v>
      </c>
      <c r="AI1117">
        <v>1219.0999999999999</v>
      </c>
      <c r="AJ1117" t="s">
        <v>561</v>
      </c>
      <c r="AK1117" t="s">
        <v>766</v>
      </c>
      <c r="AL1117" t="s">
        <v>790</v>
      </c>
      <c r="AM1117">
        <v>2021</v>
      </c>
      <c r="AN1117">
        <v>2021</v>
      </c>
      <c r="AO1117">
        <f>IF(AND(emissions[[#This Row],[Market-based]]=0,emissions[[#This Row],[Impact Type]]="CO2E"),emissions[[#This Row],[kgCO2e]],0)/1000</f>
        <v>0</v>
      </c>
      <c r="AP1117">
        <f>IF(AND(emissions[[#This Row],[Market-based]]=1,OR(emissions[[#This Row],[Impact Type]]="CO2E",emissions[[#This Row],[Impact Type]]="CO2E MKT")),emissions[[#This Row],[kgCO2e]],0)/1000</f>
        <v>64.752252679999998</v>
      </c>
      <c r="AQ1117" t="str">
        <f>_xlfn.TEXTAFTER(emissions[[#This Row],[Reporting Unit]]," &gt; ",LEN(emissions[[#This Row],[Reporting Unit]])-LEN(SUBSTITUTE(emissions[[#This Row],[Reporting Unit]],"&gt;","")))</f>
        <v>Vantage_Delta</v>
      </c>
      <c r="AR1117" t="str">
        <f>_xlfn.XLOOKUP(emissions[[#This Row],[Reporting unit name]],hierarchy!$A:$A,hierarchy!$C:$C)</f>
        <v>Factory</v>
      </c>
    </row>
    <row r="1118" spans="1:44" hidden="1" x14ac:dyDescent="0.25">
      <c r="A1118">
        <v>1234357</v>
      </c>
      <c r="B1118" t="s">
        <v>255</v>
      </c>
      <c r="C1118" t="s">
        <v>520</v>
      </c>
      <c r="D1118" t="s">
        <v>599</v>
      </c>
      <c r="E1118" s="3">
        <v>44197</v>
      </c>
      <c r="F1118" s="3">
        <v>44561</v>
      </c>
      <c r="G1118" t="s">
        <v>135</v>
      </c>
      <c r="H1118" s="3">
        <v>44197</v>
      </c>
      <c r="I1118" s="3">
        <v>44561</v>
      </c>
      <c r="J1118" t="s">
        <v>135</v>
      </c>
      <c r="K1118">
        <v>12191</v>
      </c>
      <c r="L1118" t="s">
        <v>136</v>
      </c>
      <c r="M1118" t="s">
        <v>110</v>
      </c>
      <c r="O1118" t="s">
        <v>885</v>
      </c>
      <c r="P1118" t="s">
        <v>550</v>
      </c>
      <c r="Q1118">
        <v>2021</v>
      </c>
      <c r="R1118" t="s">
        <v>605</v>
      </c>
      <c r="S1118" t="s">
        <v>606</v>
      </c>
      <c r="T1118" t="s">
        <v>553</v>
      </c>
      <c r="U1118" t="b">
        <v>0</v>
      </c>
      <c r="V1118" t="s">
        <v>781</v>
      </c>
      <c r="W1118" t="s">
        <v>587</v>
      </c>
      <c r="X1118" t="s">
        <v>556</v>
      </c>
      <c r="Y1118" t="s">
        <v>472</v>
      </c>
      <c r="Z1118" t="s">
        <v>485</v>
      </c>
      <c r="AA1118" t="s">
        <v>764</v>
      </c>
      <c r="AC1118">
        <v>1</v>
      </c>
      <c r="AD1118" t="s">
        <v>566</v>
      </c>
      <c r="AE1118">
        <v>36.329180000000001</v>
      </c>
      <c r="AF1118">
        <v>2.98E-2</v>
      </c>
      <c r="AG1118" t="s">
        <v>798</v>
      </c>
      <c r="AH1118">
        <v>0.1</v>
      </c>
      <c r="AI1118">
        <v>1219.0999999999999</v>
      </c>
      <c r="AJ1118" t="s">
        <v>561</v>
      </c>
      <c r="AK1118" t="s">
        <v>766</v>
      </c>
      <c r="AL1118" t="s">
        <v>790</v>
      </c>
      <c r="AM1118">
        <v>2021</v>
      </c>
      <c r="AN1118">
        <v>2021</v>
      </c>
      <c r="AO1118">
        <f>IF(AND(emissions[[#This Row],[Market-based]]=0,emissions[[#This Row],[Impact Type]]="CO2E"),emissions[[#This Row],[kgCO2e]],0)/1000</f>
        <v>0</v>
      </c>
      <c r="AP1118">
        <f>IF(AND(emissions[[#This Row],[Market-based]]=1,OR(emissions[[#This Row],[Impact Type]]="CO2E",emissions[[#This Row],[Impact Type]]="CO2E MKT")),emissions[[#This Row],[kgCO2e]],0)/1000</f>
        <v>0</v>
      </c>
      <c r="AQ1118" t="str">
        <f>_xlfn.TEXTAFTER(emissions[[#This Row],[Reporting Unit]]," &gt; ",LEN(emissions[[#This Row],[Reporting Unit]])-LEN(SUBSTITUTE(emissions[[#This Row],[Reporting Unit]],"&gt;","")))</f>
        <v>Vantage_Delta</v>
      </c>
      <c r="AR1118" t="str">
        <f>_xlfn.XLOOKUP(emissions[[#This Row],[Reporting unit name]],hierarchy!$A:$A,hierarchy!$C:$C)</f>
        <v>Factory</v>
      </c>
    </row>
    <row r="1119" spans="1:44" hidden="1" x14ac:dyDescent="0.25">
      <c r="A1119">
        <v>1234357</v>
      </c>
      <c r="B1119" t="s">
        <v>255</v>
      </c>
      <c r="C1119" t="s">
        <v>520</v>
      </c>
      <c r="D1119" t="s">
        <v>599</v>
      </c>
      <c r="E1119" s="3">
        <v>44197</v>
      </c>
      <c r="F1119" s="3">
        <v>44561</v>
      </c>
      <c r="G1119" t="s">
        <v>135</v>
      </c>
      <c r="H1119" s="3">
        <v>44197</v>
      </c>
      <c r="I1119" s="3">
        <v>44561</v>
      </c>
      <c r="J1119" t="s">
        <v>135</v>
      </c>
      <c r="K1119">
        <v>12191</v>
      </c>
      <c r="L1119" t="s">
        <v>136</v>
      </c>
      <c r="M1119" t="s">
        <v>110</v>
      </c>
      <c r="O1119" t="s">
        <v>885</v>
      </c>
      <c r="P1119" t="s">
        <v>550</v>
      </c>
      <c r="Q1119">
        <v>2021</v>
      </c>
      <c r="R1119" t="s">
        <v>609</v>
      </c>
      <c r="S1119" t="s">
        <v>610</v>
      </c>
      <c r="T1119" t="s">
        <v>577</v>
      </c>
      <c r="U1119" t="b">
        <v>0</v>
      </c>
      <c r="V1119" t="s">
        <v>611</v>
      </c>
      <c r="W1119" t="s">
        <v>571</v>
      </c>
      <c r="X1119" t="s">
        <v>572</v>
      </c>
      <c r="AC1119">
        <v>0</v>
      </c>
      <c r="AD1119" t="s">
        <v>565</v>
      </c>
      <c r="AE1119">
        <v>11198.14222</v>
      </c>
      <c r="AF1119">
        <v>3.1350000000000003E-2</v>
      </c>
      <c r="AG1119" t="s">
        <v>608</v>
      </c>
      <c r="AH1119">
        <v>29.3001</v>
      </c>
      <c r="AI1119">
        <v>357197.51909999998</v>
      </c>
      <c r="AJ1119" t="s">
        <v>561</v>
      </c>
      <c r="AK1119" t="s">
        <v>589</v>
      </c>
      <c r="AL1119" t="s">
        <v>603</v>
      </c>
      <c r="AM1119">
        <v>2021</v>
      </c>
      <c r="AN1119">
        <v>2019</v>
      </c>
      <c r="AO1119">
        <f>IF(AND(emissions[[#This Row],[Market-based]]=0,emissions[[#This Row],[Impact Type]]="CO2E"),emissions[[#This Row],[kgCO2e]],0)/1000</f>
        <v>11.198142219999999</v>
      </c>
      <c r="AP1119">
        <f>IF(AND(emissions[[#This Row],[Market-based]]=1,OR(emissions[[#This Row],[Impact Type]]="CO2E",emissions[[#This Row],[Impact Type]]="CO2E MKT")),emissions[[#This Row],[kgCO2e]],0)/1000</f>
        <v>0</v>
      </c>
      <c r="AQ1119" t="str">
        <f>_xlfn.TEXTAFTER(emissions[[#This Row],[Reporting Unit]]," &gt; ",LEN(emissions[[#This Row],[Reporting Unit]])-LEN(SUBSTITUTE(emissions[[#This Row],[Reporting Unit]],"&gt;","")))</f>
        <v>Vantage_Delta</v>
      </c>
      <c r="AR1119" t="str">
        <f>_xlfn.XLOOKUP(emissions[[#This Row],[Reporting unit name]],hierarchy!$A:$A,hierarchy!$C:$C)</f>
        <v>Factory</v>
      </c>
    </row>
    <row r="1120" spans="1:44" hidden="1" x14ac:dyDescent="0.25">
      <c r="A1120">
        <v>1234357</v>
      </c>
      <c r="B1120" t="s">
        <v>255</v>
      </c>
      <c r="C1120" t="s">
        <v>520</v>
      </c>
      <c r="D1120" t="s">
        <v>599</v>
      </c>
      <c r="E1120" s="3">
        <v>44197</v>
      </c>
      <c r="F1120" s="3">
        <v>44561</v>
      </c>
      <c r="G1120" t="s">
        <v>135</v>
      </c>
      <c r="H1120" s="3">
        <v>44197</v>
      </c>
      <c r="I1120" s="3">
        <v>44561</v>
      </c>
      <c r="J1120" t="s">
        <v>135</v>
      </c>
      <c r="K1120">
        <v>12191</v>
      </c>
      <c r="L1120" t="s">
        <v>136</v>
      </c>
      <c r="M1120" t="s">
        <v>110</v>
      </c>
      <c r="O1120" t="s">
        <v>885</v>
      </c>
      <c r="P1120" t="s">
        <v>550</v>
      </c>
      <c r="Q1120">
        <v>2021</v>
      </c>
      <c r="R1120" t="s">
        <v>609</v>
      </c>
      <c r="S1120" t="s">
        <v>610</v>
      </c>
      <c r="T1120" t="s">
        <v>577</v>
      </c>
      <c r="U1120" t="b">
        <v>0</v>
      </c>
      <c r="V1120" t="s">
        <v>611</v>
      </c>
      <c r="W1120" t="s">
        <v>571</v>
      </c>
      <c r="X1120" t="s">
        <v>572</v>
      </c>
      <c r="AC1120">
        <v>1</v>
      </c>
      <c r="AD1120" t="s">
        <v>565</v>
      </c>
      <c r="AE1120">
        <v>11198.14222</v>
      </c>
      <c r="AF1120">
        <v>3.1350000000000003E-2</v>
      </c>
      <c r="AG1120" t="s">
        <v>608</v>
      </c>
      <c r="AH1120">
        <v>29.3001</v>
      </c>
      <c r="AI1120">
        <v>357197.51909999998</v>
      </c>
      <c r="AJ1120" t="s">
        <v>561</v>
      </c>
      <c r="AK1120" t="s">
        <v>589</v>
      </c>
      <c r="AL1120" t="s">
        <v>603</v>
      </c>
      <c r="AM1120">
        <v>2021</v>
      </c>
      <c r="AN1120">
        <v>2019</v>
      </c>
      <c r="AO1120">
        <f>IF(AND(emissions[[#This Row],[Market-based]]=0,emissions[[#This Row],[Impact Type]]="CO2E"),emissions[[#This Row],[kgCO2e]],0)/1000</f>
        <v>0</v>
      </c>
      <c r="AP1120">
        <f>IF(AND(emissions[[#This Row],[Market-based]]=1,OR(emissions[[#This Row],[Impact Type]]="CO2E",emissions[[#This Row],[Impact Type]]="CO2E MKT")),emissions[[#This Row],[kgCO2e]],0)/1000</f>
        <v>11.198142219999999</v>
      </c>
      <c r="AQ1120" t="str">
        <f>_xlfn.TEXTAFTER(emissions[[#This Row],[Reporting Unit]]," &gt; ",LEN(emissions[[#This Row],[Reporting Unit]])-LEN(SUBSTITUTE(emissions[[#This Row],[Reporting Unit]],"&gt;","")))</f>
        <v>Vantage_Delta</v>
      </c>
      <c r="AR1120" t="str">
        <f>_xlfn.XLOOKUP(emissions[[#This Row],[Reporting unit name]],hierarchy!$A:$A,hierarchy!$C:$C)</f>
        <v>Factory</v>
      </c>
    </row>
    <row r="1121" spans="1:44" hidden="1" x14ac:dyDescent="0.25">
      <c r="A1121">
        <v>1257580</v>
      </c>
      <c r="B1121" t="s">
        <v>255</v>
      </c>
      <c r="C1121" t="s">
        <v>520</v>
      </c>
      <c r="D1121" t="s">
        <v>599</v>
      </c>
      <c r="E1121" s="3">
        <v>44197</v>
      </c>
      <c r="F1121" s="3">
        <v>44561</v>
      </c>
      <c r="G1121" t="s">
        <v>116</v>
      </c>
      <c r="H1121" s="3">
        <v>44197</v>
      </c>
      <c r="I1121" s="3">
        <v>44561</v>
      </c>
      <c r="J1121" t="s">
        <v>250</v>
      </c>
      <c r="K1121">
        <v>0</v>
      </c>
      <c r="L1121" t="s">
        <v>118</v>
      </c>
      <c r="M1121" t="s">
        <v>82</v>
      </c>
      <c r="O1121" t="s">
        <v>886</v>
      </c>
      <c r="P1121" t="s">
        <v>550</v>
      </c>
      <c r="Q1121">
        <v>2021</v>
      </c>
      <c r="R1121" t="s">
        <v>880</v>
      </c>
      <c r="S1121" t="s">
        <v>250</v>
      </c>
      <c r="T1121" t="s">
        <v>553</v>
      </c>
      <c r="U1121" t="b">
        <v>0</v>
      </c>
      <c r="V1121" t="s">
        <v>881</v>
      </c>
      <c r="W1121" t="s">
        <v>587</v>
      </c>
      <c r="X1121" t="s">
        <v>556</v>
      </c>
      <c r="AC1121">
        <v>0</v>
      </c>
      <c r="AD1121" t="s">
        <v>565</v>
      </c>
      <c r="AE1121">
        <v>0</v>
      </c>
      <c r="AF1121">
        <v>675</v>
      </c>
      <c r="AG1121" t="s">
        <v>622</v>
      </c>
      <c r="AH1121">
        <v>1</v>
      </c>
      <c r="AI1121">
        <v>0</v>
      </c>
      <c r="AJ1121" t="s">
        <v>561</v>
      </c>
      <c r="AK1121" t="s">
        <v>623</v>
      </c>
      <c r="AL1121" t="s">
        <v>624</v>
      </c>
      <c r="AM1121">
        <v>2021</v>
      </c>
      <c r="AN1121">
        <v>2007</v>
      </c>
      <c r="AO1121">
        <f>IF(AND(emissions[[#This Row],[Market-based]]=0,emissions[[#This Row],[Impact Type]]="CO2E"),emissions[[#This Row],[kgCO2e]],0)/1000</f>
        <v>0</v>
      </c>
      <c r="AP1121">
        <f>IF(AND(emissions[[#This Row],[Market-based]]=1,OR(emissions[[#This Row],[Impact Type]]="CO2E",emissions[[#This Row],[Impact Type]]="CO2E MKT")),emissions[[#This Row],[kgCO2e]],0)/1000</f>
        <v>0</v>
      </c>
      <c r="AQ1121" t="str">
        <f>_xlfn.TEXTAFTER(emissions[[#This Row],[Reporting Unit]]," &gt; ",LEN(emissions[[#This Row],[Reporting Unit]])-LEN(SUBSTITUTE(emissions[[#This Row],[Reporting Unit]],"&gt;","")))</f>
        <v>Vantage_Delta</v>
      </c>
      <c r="AR1121" t="str">
        <f>_xlfn.XLOOKUP(emissions[[#This Row],[Reporting unit name]],hierarchy!$A:$A,hierarchy!$C:$C)</f>
        <v>Factory</v>
      </c>
    </row>
    <row r="1122" spans="1:44" hidden="1" x14ac:dyDescent="0.25">
      <c r="A1122">
        <v>1257580</v>
      </c>
      <c r="B1122" t="s">
        <v>255</v>
      </c>
      <c r="C1122" t="s">
        <v>520</v>
      </c>
      <c r="D1122" t="s">
        <v>599</v>
      </c>
      <c r="E1122" s="3">
        <v>44197</v>
      </c>
      <c r="F1122" s="3">
        <v>44561</v>
      </c>
      <c r="G1122" t="s">
        <v>116</v>
      </c>
      <c r="H1122" s="3">
        <v>44197</v>
      </c>
      <c r="I1122" s="3">
        <v>44561</v>
      </c>
      <c r="J1122" t="s">
        <v>250</v>
      </c>
      <c r="K1122">
        <v>0</v>
      </c>
      <c r="L1122" t="s">
        <v>118</v>
      </c>
      <c r="M1122" t="s">
        <v>82</v>
      </c>
      <c r="O1122" t="s">
        <v>886</v>
      </c>
      <c r="P1122" t="s">
        <v>550</v>
      </c>
      <c r="Q1122">
        <v>2021</v>
      </c>
      <c r="R1122" t="s">
        <v>880</v>
      </c>
      <c r="S1122" t="s">
        <v>250</v>
      </c>
      <c r="T1122" t="s">
        <v>553</v>
      </c>
      <c r="U1122" t="b">
        <v>0</v>
      </c>
      <c r="V1122" t="s">
        <v>881</v>
      </c>
      <c r="W1122" t="s">
        <v>587</v>
      </c>
      <c r="X1122" t="s">
        <v>556</v>
      </c>
      <c r="AC1122">
        <v>1</v>
      </c>
      <c r="AD1122" t="s">
        <v>565</v>
      </c>
      <c r="AE1122">
        <v>0</v>
      </c>
      <c r="AF1122">
        <v>675</v>
      </c>
      <c r="AG1122" t="s">
        <v>622</v>
      </c>
      <c r="AH1122">
        <v>1</v>
      </c>
      <c r="AI1122">
        <v>0</v>
      </c>
      <c r="AJ1122" t="s">
        <v>561</v>
      </c>
      <c r="AK1122" t="s">
        <v>623</v>
      </c>
      <c r="AL1122" t="s">
        <v>624</v>
      </c>
      <c r="AM1122">
        <v>2021</v>
      </c>
      <c r="AN1122">
        <v>2007</v>
      </c>
      <c r="AO1122">
        <f>IF(AND(emissions[[#This Row],[Market-based]]=0,emissions[[#This Row],[Impact Type]]="CO2E"),emissions[[#This Row],[kgCO2e]],0)/1000</f>
        <v>0</v>
      </c>
      <c r="AP1122">
        <f>IF(AND(emissions[[#This Row],[Market-based]]=1,OR(emissions[[#This Row],[Impact Type]]="CO2E",emissions[[#This Row],[Impact Type]]="CO2E MKT")),emissions[[#This Row],[kgCO2e]],0)/1000</f>
        <v>0</v>
      </c>
      <c r="AQ1122" t="str">
        <f>_xlfn.TEXTAFTER(emissions[[#This Row],[Reporting Unit]]," &gt; ",LEN(emissions[[#This Row],[Reporting Unit]])-LEN(SUBSTITUTE(emissions[[#This Row],[Reporting Unit]],"&gt;","")))</f>
        <v>Vantage_Delta</v>
      </c>
      <c r="AR1122" t="str">
        <f>_xlfn.XLOOKUP(emissions[[#This Row],[Reporting unit name]],hierarchy!$A:$A,hierarchy!$C:$C)</f>
        <v>Factory</v>
      </c>
    </row>
    <row r="1123" spans="1:44" hidden="1" x14ac:dyDescent="0.25">
      <c r="A1123">
        <v>20131</v>
      </c>
      <c r="B1123" t="s">
        <v>367</v>
      </c>
      <c r="C1123" t="s">
        <v>501</v>
      </c>
      <c r="D1123" t="s">
        <v>548</v>
      </c>
      <c r="E1123" s="3">
        <v>44562</v>
      </c>
      <c r="F1123" s="3">
        <v>44926</v>
      </c>
      <c r="G1123" t="s">
        <v>108</v>
      </c>
      <c r="H1123" s="3">
        <v>44562</v>
      </c>
      <c r="I1123" s="3">
        <v>44926</v>
      </c>
      <c r="J1123" t="s">
        <v>108</v>
      </c>
      <c r="K1123">
        <v>1828445</v>
      </c>
      <c r="L1123" t="s">
        <v>109</v>
      </c>
      <c r="M1123" t="s">
        <v>110</v>
      </c>
      <c r="O1123" t="s">
        <v>887</v>
      </c>
      <c r="P1123" t="s">
        <v>550</v>
      </c>
      <c r="Q1123">
        <v>2022</v>
      </c>
      <c r="R1123" t="s">
        <v>551</v>
      </c>
      <c r="S1123" t="s">
        <v>552</v>
      </c>
      <c r="T1123" t="s">
        <v>553</v>
      </c>
      <c r="U1123" t="b">
        <v>0</v>
      </c>
      <c r="V1123" t="s">
        <v>763</v>
      </c>
      <c r="W1123" t="s">
        <v>555</v>
      </c>
      <c r="X1123" t="s">
        <v>556</v>
      </c>
      <c r="Y1123" t="s">
        <v>472</v>
      </c>
      <c r="Z1123" t="s">
        <v>485</v>
      </c>
      <c r="AA1123" t="s">
        <v>764</v>
      </c>
      <c r="AB1123" t="s">
        <v>765</v>
      </c>
      <c r="AC1123">
        <v>0</v>
      </c>
      <c r="AD1123" t="s">
        <v>558</v>
      </c>
      <c r="AE1123">
        <v>1783.142707</v>
      </c>
      <c r="AF1123">
        <v>9.7522400000000001E-4</v>
      </c>
      <c r="AG1123" t="s">
        <v>560</v>
      </c>
      <c r="AH1123">
        <v>1</v>
      </c>
      <c r="AI1123">
        <v>1828445</v>
      </c>
      <c r="AJ1123" t="s">
        <v>561</v>
      </c>
      <c r="AK1123" t="s">
        <v>766</v>
      </c>
      <c r="AL1123" t="s">
        <v>767</v>
      </c>
      <c r="AM1123">
        <v>2022</v>
      </c>
      <c r="AN1123">
        <v>2020</v>
      </c>
      <c r="AO1123">
        <f>IF(AND(emissions[[#This Row],[Market-based]]=0,emissions[[#This Row],[Impact Type]]="CO2E"),emissions[[#This Row],[kgCO2e]],0)/1000</f>
        <v>0</v>
      </c>
      <c r="AP1123">
        <f>IF(AND(emissions[[#This Row],[Market-based]]=1,OR(emissions[[#This Row],[Impact Type]]="CO2E",emissions[[#This Row],[Impact Type]]="CO2E MKT")),emissions[[#This Row],[kgCO2e]],0)/1000</f>
        <v>0</v>
      </c>
      <c r="AQ1123" t="str">
        <f>_xlfn.TEXTAFTER(emissions[[#This Row],[Reporting Unit]]," &gt; ",LEN(emissions[[#This Row],[Reporting Unit]])-LEN(SUBSTITUTE(emissions[[#This Row],[Reporting Unit]],"&gt;","")))</f>
        <v>Vantage_Englewood</v>
      </c>
      <c r="AR1123" t="str">
        <f>_xlfn.XLOOKUP(emissions[[#This Row],[Reporting unit name]],hierarchy!$A:$A,hierarchy!$C:$C)</f>
        <v>Office</v>
      </c>
    </row>
    <row r="1124" spans="1:44" hidden="1" x14ac:dyDescent="0.25">
      <c r="A1124">
        <v>20131</v>
      </c>
      <c r="B1124" t="s">
        <v>367</v>
      </c>
      <c r="C1124" t="s">
        <v>501</v>
      </c>
      <c r="D1124" t="s">
        <v>548</v>
      </c>
      <c r="E1124" s="3">
        <v>44562</v>
      </c>
      <c r="F1124" s="3">
        <v>44926</v>
      </c>
      <c r="G1124" t="s">
        <v>108</v>
      </c>
      <c r="H1124" s="3">
        <v>44562</v>
      </c>
      <c r="I1124" s="3">
        <v>44926</v>
      </c>
      <c r="J1124" t="s">
        <v>108</v>
      </c>
      <c r="K1124">
        <v>1828445</v>
      </c>
      <c r="L1124" t="s">
        <v>109</v>
      </c>
      <c r="M1124" t="s">
        <v>110</v>
      </c>
      <c r="O1124" t="s">
        <v>887</v>
      </c>
      <c r="P1124" t="s">
        <v>550</v>
      </c>
      <c r="Q1124">
        <v>2022</v>
      </c>
      <c r="R1124" t="s">
        <v>551</v>
      </c>
      <c r="S1124" t="s">
        <v>552</v>
      </c>
      <c r="T1124" t="s">
        <v>553</v>
      </c>
      <c r="U1124" t="b">
        <v>0</v>
      </c>
      <c r="V1124" t="s">
        <v>763</v>
      </c>
      <c r="W1124" t="s">
        <v>555</v>
      </c>
      <c r="X1124" t="s">
        <v>556</v>
      </c>
      <c r="Y1124" t="s">
        <v>472</v>
      </c>
      <c r="Z1124" t="s">
        <v>485</v>
      </c>
      <c r="AA1124" t="s">
        <v>764</v>
      </c>
      <c r="AB1124" t="s">
        <v>765</v>
      </c>
      <c r="AC1124">
        <v>0</v>
      </c>
      <c r="AD1124" t="s">
        <v>564</v>
      </c>
      <c r="AE1124">
        <v>816909.09499999997</v>
      </c>
      <c r="AF1124">
        <v>0.44677805199999998</v>
      </c>
      <c r="AG1124" t="s">
        <v>560</v>
      </c>
      <c r="AH1124">
        <v>1</v>
      </c>
      <c r="AI1124">
        <v>1828445</v>
      </c>
      <c r="AJ1124" t="s">
        <v>561</v>
      </c>
      <c r="AK1124" t="s">
        <v>766</v>
      </c>
      <c r="AL1124" t="s">
        <v>767</v>
      </c>
      <c r="AM1124">
        <v>2022</v>
      </c>
      <c r="AN1124">
        <v>2020</v>
      </c>
      <c r="AO1124">
        <f>IF(AND(emissions[[#This Row],[Market-based]]=0,emissions[[#This Row],[Impact Type]]="CO2E"),emissions[[#This Row],[kgCO2e]],0)/1000</f>
        <v>0</v>
      </c>
      <c r="AP1124">
        <f>IF(AND(emissions[[#This Row],[Market-based]]=1,OR(emissions[[#This Row],[Impact Type]]="CO2E",emissions[[#This Row],[Impact Type]]="CO2E MKT")),emissions[[#This Row],[kgCO2e]],0)/1000</f>
        <v>0</v>
      </c>
      <c r="AQ1124" t="str">
        <f>_xlfn.TEXTAFTER(emissions[[#This Row],[Reporting Unit]]," &gt; ",LEN(emissions[[#This Row],[Reporting Unit]])-LEN(SUBSTITUTE(emissions[[#This Row],[Reporting Unit]],"&gt;","")))</f>
        <v>Vantage_Englewood</v>
      </c>
      <c r="AR1124" t="str">
        <f>_xlfn.XLOOKUP(emissions[[#This Row],[Reporting unit name]],hierarchy!$A:$A,hierarchy!$C:$C)</f>
        <v>Office</v>
      </c>
    </row>
    <row r="1125" spans="1:44" hidden="1" x14ac:dyDescent="0.25">
      <c r="A1125">
        <v>20131</v>
      </c>
      <c r="B1125" t="s">
        <v>367</v>
      </c>
      <c r="C1125" t="s">
        <v>501</v>
      </c>
      <c r="D1125" t="s">
        <v>548</v>
      </c>
      <c r="E1125" s="3">
        <v>44562</v>
      </c>
      <c r="F1125" s="3">
        <v>44926</v>
      </c>
      <c r="G1125" t="s">
        <v>108</v>
      </c>
      <c r="H1125" s="3">
        <v>44562</v>
      </c>
      <c r="I1125" s="3">
        <v>44926</v>
      </c>
      <c r="J1125" t="s">
        <v>108</v>
      </c>
      <c r="K1125">
        <v>1828445</v>
      </c>
      <c r="L1125" t="s">
        <v>109</v>
      </c>
      <c r="M1125" t="s">
        <v>110</v>
      </c>
      <c r="O1125" t="s">
        <v>887</v>
      </c>
      <c r="P1125" t="s">
        <v>550</v>
      </c>
      <c r="Q1125">
        <v>2022</v>
      </c>
      <c r="R1125" t="s">
        <v>551</v>
      </c>
      <c r="S1125" t="s">
        <v>552</v>
      </c>
      <c r="T1125" t="s">
        <v>553</v>
      </c>
      <c r="U1125" t="b">
        <v>0</v>
      </c>
      <c r="V1125" t="s">
        <v>763</v>
      </c>
      <c r="W1125" t="s">
        <v>555</v>
      </c>
      <c r="X1125" t="s">
        <v>556</v>
      </c>
      <c r="Y1125" t="s">
        <v>472</v>
      </c>
      <c r="Z1125" t="s">
        <v>485</v>
      </c>
      <c r="AA1125" t="s">
        <v>764</v>
      </c>
      <c r="AB1125" t="s">
        <v>765</v>
      </c>
      <c r="AC1125">
        <v>0</v>
      </c>
      <c r="AD1125" t="s">
        <v>565</v>
      </c>
      <c r="AE1125">
        <v>821658.06019999995</v>
      </c>
      <c r="AF1125">
        <v>0.44937532200000002</v>
      </c>
      <c r="AG1125" t="s">
        <v>560</v>
      </c>
      <c r="AH1125">
        <v>1</v>
      </c>
      <c r="AI1125">
        <v>1828445</v>
      </c>
      <c r="AJ1125" t="s">
        <v>561</v>
      </c>
      <c r="AK1125" t="s">
        <v>766</v>
      </c>
      <c r="AL1125" t="s">
        <v>767</v>
      </c>
      <c r="AM1125">
        <v>2022</v>
      </c>
      <c r="AN1125">
        <v>2020</v>
      </c>
      <c r="AO1125">
        <f>IF(AND(emissions[[#This Row],[Market-based]]=0,emissions[[#This Row],[Impact Type]]="CO2E"),emissions[[#This Row],[kgCO2e]],0)/1000</f>
        <v>821.65806019999991</v>
      </c>
      <c r="AP1125">
        <f>IF(AND(emissions[[#This Row],[Market-based]]=1,OR(emissions[[#This Row],[Impact Type]]="CO2E",emissions[[#This Row],[Impact Type]]="CO2E MKT")),emissions[[#This Row],[kgCO2e]],0)/1000</f>
        <v>0</v>
      </c>
      <c r="AQ1125" t="str">
        <f>_xlfn.TEXTAFTER(emissions[[#This Row],[Reporting Unit]]," &gt; ",LEN(emissions[[#This Row],[Reporting Unit]])-LEN(SUBSTITUTE(emissions[[#This Row],[Reporting Unit]],"&gt;","")))</f>
        <v>Vantage_Englewood</v>
      </c>
      <c r="AR1125" t="str">
        <f>_xlfn.XLOOKUP(emissions[[#This Row],[Reporting unit name]],hierarchy!$A:$A,hierarchy!$C:$C)</f>
        <v>Office</v>
      </c>
    </row>
    <row r="1126" spans="1:44" hidden="1" x14ac:dyDescent="0.25">
      <c r="A1126">
        <v>20131</v>
      </c>
      <c r="B1126" t="s">
        <v>367</v>
      </c>
      <c r="C1126" t="s">
        <v>501</v>
      </c>
      <c r="D1126" t="s">
        <v>548</v>
      </c>
      <c r="E1126" s="3">
        <v>44562</v>
      </c>
      <c r="F1126" s="3">
        <v>44926</v>
      </c>
      <c r="G1126" t="s">
        <v>108</v>
      </c>
      <c r="H1126" s="3">
        <v>44562</v>
      </c>
      <c r="I1126" s="3">
        <v>44926</v>
      </c>
      <c r="J1126" t="s">
        <v>108</v>
      </c>
      <c r="K1126">
        <v>1828445</v>
      </c>
      <c r="L1126" t="s">
        <v>109</v>
      </c>
      <c r="M1126" t="s">
        <v>110</v>
      </c>
      <c r="O1126" t="s">
        <v>887</v>
      </c>
      <c r="P1126" t="s">
        <v>550</v>
      </c>
      <c r="Q1126">
        <v>2022</v>
      </c>
      <c r="R1126" t="s">
        <v>551</v>
      </c>
      <c r="S1126" t="s">
        <v>552</v>
      </c>
      <c r="T1126" t="s">
        <v>553</v>
      </c>
      <c r="U1126" t="b">
        <v>0</v>
      </c>
      <c r="V1126" t="s">
        <v>763</v>
      </c>
      <c r="W1126" t="s">
        <v>555</v>
      </c>
      <c r="X1126" t="s">
        <v>556</v>
      </c>
      <c r="Y1126" t="s">
        <v>472</v>
      </c>
      <c r="Z1126" t="s">
        <v>485</v>
      </c>
      <c r="AA1126" t="s">
        <v>764</v>
      </c>
      <c r="AB1126" t="s">
        <v>765</v>
      </c>
      <c r="AC1126">
        <v>0</v>
      </c>
      <c r="AD1126" t="s">
        <v>566</v>
      </c>
      <c r="AE1126">
        <v>2965.8224749999999</v>
      </c>
      <c r="AF1126">
        <v>1.622046E-3</v>
      </c>
      <c r="AG1126" t="s">
        <v>560</v>
      </c>
      <c r="AH1126">
        <v>1</v>
      </c>
      <c r="AI1126">
        <v>1828445</v>
      </c>
      <c r="AJ1126" t="s">
        <v>561</v>
      </c>
      <c r="AK1126" t="s">
        <v>766</v>
      </c>
      <c r="AL1126" t="s">
        <v>767</v>
      </c>
      <c r="AM1126">
        <v>2022</v>
      </c>
      <c r="AN1126">
        <v>2020</v>
      </c>
      <c r="AO1126">
        <f>IF(AND(emissions[[#This Row],[Market-based]]=0,emissions[[#This Row],[Impact Type]]="CO2E"),emissions[[#This Row],[kgCO2e]],0)/1000</f>
        <v>0</v>
      </c>
      <c r="AP1126">
        <f>IF(AND(emissions[[#This Row],[Market-based]]=1,OR(emissions[[#This Row],[Impact Type]]="CO2E",emissions[[#This Row],[Impact Type]]="CO2E MKT")),emissions[[#This Row],[kgCO2e]],0)/1000</f>
        <v>0</v>
      </c>
      <c r="AQ1126" t="str">
        <f>_xlfn.TEXTAFTER(emissions[[#This Row],[Reporting Unit]]," &gt; ",LEN(emissions[[#This Row],[Reporting Unit]])-LEN(SUBSTITUTE(emissions[[#This Row],[Reporting Unit]],"&gt;","")))</f>
        <v>Vantage_Englewood</v>
      </c>
      <c r="AR1126" t="str">
        <f>_xlfn.XLOOKUP(emissions[[#This Row],[Reporting unit name]],hierarchy!$A:$A,hierarchy!$C:$C)</f>
        <v>Office</v>
      </c>
    </row>
    <row r="1127" spans="1:44" hidden="1" x14ac:dyDescent="0.25">
      <c r="A1127">
        <v>20131</v>
      </c>
      <c r="B1127" t="s">
        <v>367</v>
      </c>
      <c r="C1127" t="s">
        <v>501</v>
      </c>
      <c r="D1127" t="s">
        <v>548</v>
      </c>
      <c r="E1127" s="3">
        <v>44562</v>
      </c>
      <c r="F1127" s="3">
        <v>44926</v>
      </c>
      <c r="G1127" t="s">
        <v>108</v>
      </c>
      <c r="H1127" s="3">
        <v>44562</v>
      </c>
      <c r="I1127" s="3">
        <v>44926</v>
      </c>
      <c r="J1127" t="s">
        <v>108</v>
      </c>
      <c r="K1127">
        <v>1828445</v>
      </c>
      <c r="L1127" t="s">
        <v>109</v>
      </c>
      <c r="M1127" t="s">
        <v>110</v>
      </c>
      <c r="O1127" t="s">
        <v>887</v>
      </c>
      <c r="P1127" t="s">
        <v>550</v>
      </c>
      <c r="Q1127">
        <v>2022</v>
      </c>
      <c r="R1127" t="s">
        <v>551</v>
      </c>
      <c r="S1127" t="s">
        <v>552</v>
      </c>
      <c r="T1127" t="s">
        <v>553</v>
      </c>
      <c r="U1127" t="b">
        <v>0</v>
      </c>
      <c r="V1127" t="s">
        <v>763</v>
      </c>
      <c r="W1127" t="s">
        <v>555</v>
      </c>
      <c r="X1127" t="s">
        <v>556</v>
      </c>
      <c r="Y1127" t="s">
        <v>472</v>
      </c>
      <c r="Z1127" t="s">
        <v>485</v>
      </c>
      <c r="AA1127" t="s">
        <v>764</v>
      </c>
      <c r="AB1127" t="s">
        <v>765</v>
      </c>
      <c r="AC1127">
        <v>1</v>
      </c>
      <c r="AD1127" t="s">
        <v>639</v>
      </c>
      <c r="AE1127">
        <v>818477.51879999996</v>
      </c>
      <c r="AF1127">
        <v>0.44763584299999998</v>
      </c>
      <c r="AG1127" t="s">
        <v>560</v>
      </c>
      <c r="AH1127">
        <v>1</v>
      </c>
      <c r="AI1127">
        <v>1828445</v>
      </c>
      <c r="AJ1127" t="s">
        <v>561</v>
      </c>
      <c r="AK1127" t="s">
        <v>833</v>
      </c>
      <c r="AL1127" t="s">
        <v>834</v>
      </c>
      <c r="AM1127">
        <v>2022</v>
      </c>
      <c r="AN1127">
        <v>2020</v>
      </c>
      <c r="AO1127">
        <f>IF(AND(emissions[[#This Row],[Market-based]]=0,emissions[[#This Row],[Impact Type]]="CO2E"),emissions[[#This Row],[kgCO2e]],0)/1000</f>
        <v>0</v>
      </c>
      <c r="AP1127">
        <f>IF(AND(emissions[[#This Row],[Market-based]]=1,OR(emissions[[#This Row],[Impact Type]]="CO2E",emissions[[#This Row],[Impact Type]]="CO2E MKT")),emissions[[#This Row],[kgCO2e]],0)/1000</f>
        <v>818.47751879999998</v>
      </c>
      <c r="AQ1127" t="str">
        <f>_xlfn.TEXTAFTER(emissions[[#This Row],[Reporting Unit]]," &gt; ",LEN(emissions[[#This Row],[Reporting Unit]])-LEN(SUBSTITUTE(emissions[[#This Row],[Reporting Unit]],"&gt;","")))</f>
        <v>Vantage_Englewood</v>
      </c>
      <c r="AR1127" t="str">
        <f>_xlfn.XLOOKUP(emissions[[#This Row],[Reporting unit name]],hierarchy!$A:$A,hierarchy!$C:$C)</f>
        <v>Office</v>
      </c>
    </row>
    <row r="1128" spans="1:44" hidden="1" x14ac:dyDescent="0.25">
      <c r="A1128">
        <v>20131</v>
      </c>
      <c r="B1128" t="s">
        <v>367</v>
      </c>
      <c r="C1128" t="s">
        <v>501</v>
      </c>
      <c r="D1128" t="s">
        <v>548</v>
      </c>
      <c r="E1128" s="3">
        <v>44562</v>
      </c>
      <c r="F1128" s="3">
        <v>44926</v>
      </c>
      <c r="G1128" t="s">
        <v>108</v>
      </c>
      <c r="H1128" s="3">
        <v>44562</v>
      </c>
      <c r="I1128" s="3">
        <v>44926</v>
      </c>
      <c r="J1128" t="s">
        <v>108</v>
      </c>
      <c r="K1128">
        <v>1828445</v>
      </c>
      <c r="L1128" t="s">
        <v>109</v>
      </c>
      <c r="M1128" t="s">
        <v>110</v>
      </c>
      <c r="O1128" t="s">
        <v>887</v>
      </c>
      <c r="P1128" t="s">
        <v>550</v>
      </c>
      <c r="Q1128">
        <v>2022</v>
      </c>
      <c r="R1128" t="s">
        <v>567</v>
      </c>
      <c r="S1128" t="s">
        <v>568</v>
      </c>
      <c r="T1128" t="s">
        <v>569</v>
      </c>
      <c r="U1128" t="b">
        <v>0</v>
      </c>
      <c r="V1128" t="s">
        <v>770</v>
      </c>
      <c r="W1128" t="s">
        <v>571</v>
      </c>
      <c r="X1128" t="s">
        <v>572</v>
      </c>
      <c r="Y1128" t="s">
        <v>472</v>
      </c>
      <c r="Z1128" t="s">
        <v>485</v>
      </c>
      <c r="AA1128" t="s">
        <v>764</v>
      </c>
      <c r="AB1128" t="s">
        <v>765</v>
      </c>
      <c r="AC1128">
        <v>0</v>
      </c>
      <c r="AD1128" t="s">
        <v>565</v>
      </c>
      <c r="AE1128">
        <v>12866.057640000001</v>
      </c>
      <c r="AF1128">
        <v>7.0366120000000002E-3</v>
      </c>
      <c r="AG1128" t="s">
        <v>560</v>
      </c>
      <c r="AH1128">
        <v>1</v>
      </c>
      <c r="AI1128">
        <v>1828445</v>
      </c>
      <c r="AJ1128" t="s">
        <v>561</v>
      </c>
      <c r="AK1128" t="s">
        <v>573</v>
      </c>
      <c r="AL1128" t="s">
        <v>574</v>
      </c>
      <c r="AM1128">
        <v>2022</v>
      </c>
      <c r="AN1128">
        <v>2020</v>
      </c>
      <c r="AO1128">
        <f>IF(AND(emissions[[#This Row],[Market-based]]=0,emissions[[#This Row],[Impact Type]]="CO2E"),emissions[[#This Row],[kgCO2e]],0)/1000</f>
        <v>12.866057640000001</v>
      </c>
      <c r="AP1128">
        <f>IF(AND(emissions[[#This Row],[Market-based]]=1,OR(emissions[[#This Row],[Impact Type]]="CO2E",emissions[[#This Row],[Impact Type]]="CO2E MKT")),emissions[[#This Row],[kgCO2e]],0)/1000</f>
        <v>0</v>
      </c>
      <c r="AQ1128" t="str">
        <f>_xlfn.TEXTAFTER(emissions[[#This Row],[Reporting Unit]]," &gt; ",LEN(emissions[[#This Row],[Reporting Unit]])-LEN(SUBSTITUTE(emissions[[#This Row],[Reporting Unit]],"&gt;","")))</f>
        <v>Vantage_Englewood</v>
      </c>
      <c r="AR1128" t="str">
        <f>_xlfn.XLOOKUP(emissions[[#This Row],[Reporting unit name]],hierarchy!$A:$A,hierarchy!$C:$C)</f>
        <v>Office</v>
      </c>
    </row>
    <row r="1129" spans="1:44" hidden="1" x14ac:dyDescent="0.25">
      <c r="A1129">
        <v>20131</v>
      </c>
      <c r="B1129" t="s">
        <v>367</v>
      </c>
      <c r="C1129" t="s">
        <v>501</v>
      </c>
      <c r="D1129" t="s">
        <v>548</v>
      </c>
      <c r="E1129" s="3">
        <v>44562</v>
      </c>
      <c r="F1129" s="3">
        <v>44926</v>
      </c>
      <c r="G1129" t="s">
        <v>108</v>
      </c>
      <c r="H1129" s="3">
        <v>44562</v>
      </c>
      <c r="I1129" s="3">
        <v>44926</v>
      </c>
      <c r="J1129" t="s">
        <v>108</v>
      </c>
      <c r="K1129">
        <v>1828445</v>
      </c>
      <c r="L1129" t="s">
        <v>109</v>
      </c>
      <c r="M1129" t="s">
        <v>110</v>
      </c>
      <c r="O1129" t="s">
        <v>887</v>
      </c>
      <c r="P1129" t="s">
        <v>550</v>
      </c>
      <c r="Q1129">
        <v>2022</v>
      </c>
      <c r="R1129" t="s">
        <v>567</v>
      </c>
      <c r="S1129" t="s">
        <v>568</v>
      </c>
      <c r="T1129" t="s">
        <v>569</v>
      </c>
      <c r="U1129" t="b">
        <v>0</v>
      </c>
      <c r="V1129" t="s">
        <v>771</v>
      </c>
      <c r="W1129" t="s">
        <v>571</v>
      </c>
      <c r="X1129" t="s">
        <v>572</v>
      </c>
      <c r="Y1129" t="s">
        <v>472</v>
      </c>
      <c r="Z1129" t="s">
        <v>485</v>
      </c>
      <c r="AA1129" t="s">
        <v>764</v>
      </c>
      <c r="AB1129" t="s">
        <v>765</v>
      </c>
      <c r="AC1129">
        <v>1</v>
      </c>
      <c r="AD1129" t="s">
        <v>639</v>
      </c>
      <c r="AE1129">
        <v>11934.450430000001</v>
      </c>
      <c r="AF1129">
        <v>6.5271039999999997E-3</v>
      </c>
      <c r="AG1129" t="s">
        <v>560</v>
      </c>
      <c r="AH1129">
        <v>1</v>
      </c>
      <c r="AI1129">
        <v>1828445</v>
      </c>
      <c r="AJ1129" t="s">
        <v>561</v>
      </c>
      <c r="AK1129" t="s">
        <v>573</v>
      </c>
      <c r="AL1129" t="s">
        <v>772</v>
      </c>
      <c r="AM1129">
        <v>2022</v>
      </c>
      <c r="AN1129">
        <v>2019</v>
      </c>
      <c r="AO1129">
        <f>IF(AND(emissions[[#This Row],[Market-based]]=0,emissions[[#This Row],[Impact Type]]="CO2E"),emissions[[#This Row],[kgCO2e]],0)/1000</f>
        <v>0</v>
      </c>
      <c r="AP1129">
        <f>IF(AND(emissions[[#This Row],[Market-based]]=1,OR(emissions[[#This Row],[Impact Type]]="CO2E",emissions[[#This Row],[Impact Type]]="CO2E MKT")),emissions[[#This Row],[kgCO2e]],0)/1000</f>
        <v>11.93445043</v>
      </c>
      <c r="AQ1129" t="str">
        <f>_xlfn.TEXTAFTER(emissions[[#This Row],[Reporting Unit]]," &gt; ",LEN(emissions[[#This Row],[Reporting Unit]])-LEN(SUBSTITUTE(emissions[[#This Row],[Reporting Unit]],"&gt;","")))</f>
        <v>Vantage_Englewood</v>
      </c>
      <c r="AR1129" t="str">
        <f>_xlfn.XLOOKUP(emissions[[#This Row],[Reporting unit name]],hierarchy!$A:$A,hierarchy!$C:$C)</f>
        <v>Office</v>
      </c>
    </row>
    <row r="1130" spans="1:44" hidden="1" x14ac:dyDescent="0.25">
      <c r="A1130">
        <v>20131</v>
      </c>
      <c r="B1130" t="s">
        <v>367</v>
      </c>
      <c r="C1130" t="s">
        <v>501</v>
      </c>
      <c r="D1130" t="s">
        <v>548</v>
      </c>
      <c r="E1130" s="3">
        <v>44562</v>
      </c>
      <c r="F1130" s="3">
        <v>44926</v>
      </c>
      <c r="G1130" t="s">
        <v>108</v>
      </c>
      <c r="H1130" s="3">
        <v>44562</v>
      </c>
      <c r="I1130" s="3">
        <v>44926</v>
      </c>
      <c r="J1130" t="s">
        <v>108</v>
      </c>
      <c r="K1130">
        <v>1828445</v>
      </c>
      <c r="L1130" t="s">
        <v>109</v>
      </c>
      <c r="M1130" t="s">
        <v>110</v>
      </c>
      <c r="O1130" t="s">
        <v>887</v>
      </c>
      <c r="P1130" t="s">
        <v>550</v>
      </c>
      <c r="Q1130">
        <v>2022</v>
      </c>
      <c r="R1130" t="s">
        <v>575</v>
      </c>
      <c r="S1130" t="s">
        <v>576</v>
      </c>
      <c r="T1130" t="s">
        <v>577</v>
      </c>
      <c r="U1130" t="b">
        <v>0</v>
      </c>
      <c r="V1130" t="s">
        <v>773</v>
      </c>
      <c r="W1130" t="s">
        <v>571</v>
      </c>
      <c r="X1130" t="s">
        <v>572</v>
      </c>
      <c r="Y1130" t="s">
        <v>472</v>
      </c>
      <c r="Z1130" t="s">
        <v>485</v>
      </c>
      <c r="AA1130" t="s">
        <v>764</v>
      </c>
      <c r="AB1130" t="s">
        <v>765</v>
      </c>
      <c r="AC1130">
        <v>0</v>
      </c>
      <c r="AD1130" t="s">
        <v>565</v>
      </c>
      <c r="AE1130">
        <v>229889.74679999999</v>
      </c>
      <c r="AF1130">
        <v>0.125729648</v>
      </c>
      <c r="AG1130" t="s">
        <v>560</v>
      </c>
      <c r="AH1130">
        <v>1</v>
      </c>
      <c r="AI1130">
        <v>1828445</v>
      </c>
      <c r="AJ1130" t="s">
        <v>561</v>
      </c>
      <c r="AK1130" t="s">
        <v>573</v>
      </c>
      <c r="AL1130" t="s">
        <v>574</v>
      </c>
      <c r="AM1130">
        <v>2022</v>
      </c>
      <c r="AN1130">
        <v>2020</v>
      </c>
      <c r="AO1130">
        <f>IF(AND(emissions[[#This Row],[Market-based]]=0,emissions[[#This Row],[Impact Type]]="CO2E"),emissions[[#This Row],[kgCO2e]],0)/1000</f>
        <v>229.88974679999998</v>
      </c>
      <c r="AP1130">
        <f>IF(AND(emissions[[#This Row],[Market-based]]=1,OR(emissions[[#This Row],[Impact Type]]="CO2E",emissions[[#This Row],[Impact Type]]="CO2E MKT")),emissions[[#This Row],[kgCO2e]],0)/1000</f>
        <v>0</v>
      </c>
      <c r="AQ1130" t="str">
        <f>_xlfn.TEXTAFTER(emissions[[#This Row],[Reporting Unit]]," &gt; ",LEN(emissions[[#This Row],[Reporting Unit]])-LEN(SUBSTITUTE(emissions[[#This Row],[Reporting Unit]],"&gt;","")))</f>
        <v>Vantage_Englewood</v>
      </c>
      <c r="AR1130" t="str">
        <f>_xlfn.XLOOKUP(emissions[[#This Row],[Reporting unit name]],hierarchy!$A:$A,hierarchy!$C:$C)</f>
        <v>Office</v>
      </c>
    </row>
    <row r="1131" spans="1:44" hidden="1" x14ac:dyDescent="0.25">
      <c r="A1131">
        <v>20131</v>
      </c>
      <c r="B1131" t="s">
        <v>367</v>
      </c>
      <c r="C1131" t="s">
        <v>501</v>
      </c>
      <c r="D1131" t="s">
        <v>548</v>
      </c>
      <c r="E1131" s="3">
        <v>44562</v>
      </c>
      <c r="F1131" s="3">
        <v>44926</v>
      </c>
      <c r="G1131" t="s">
        <v>108</v>
      </c>
      <c r="H1131" s="3">
        <v>44562</v>
      </c>
      <c r="I1131" s="3">
        <v>44926</v>
      </c>
      <c r="J1131" t="s">
        <v>108</v>
      </c>
      <c r="K1131">
        <v>1828445</v>
      </c>
      <c r="L1131" t="s">
        <v>109</v>
      </c>
      <c r="M1131" t="s">
        <v>110</v>
      </c>
      <c r="O1131" t="s">
        <v>887</v>
      </c>
      <c r="P1131" t="s">
        <v>550</v>
      </c>
      <c r="Q1131">
        <v>2022</v>
      </c>
      <c r="R1131" t="s">
        <v>575</v>
      </c>
      <c r="S1131" t="s">
        <v>576</v>
      </c>
      <c r="T1131" t="s">
        <v>577</v>
      </c>
      <c r="U1131" t="b">
        <v>0</v>
      </c>
      <c r="V1131" t="s">
        <v>774</v>
      </c>
      <c r="W1131" t="s">
        <v>571</v>
      </c>
      <c r="X1131" t="s">
        <v>572</v>
      </c>
      <c r="Y1131" t="s">
        <v>472</v>
      </c>
      <c r="Z1131" t="s">
        <v>485</v>
      </c>
      <c r="AA1131" t="s">
        <v>764</v>
      </c>
      <c r="AB1131" t="s">
        <v>765</v>
      </c>
      <c r="AC1131">
        <v>1</v>
      </c>
      <c r="AD1131" t="s">
        <v>639</v>
      </c>
      <c r="AE1131">
        <v>234008.83199999999</v>
      </c>
      <c r="AF1131">
        <v>0.12798242900000001</v>
      </c>
      <c r="AG1131" t="s">
        <v>560</v>
      </c>
      <c r="AH1131">
        <v>1</v>
      </c>
      <c r="AI1131">
        <v>1828445</v>
      </c>
      <c r="AJ1131" t="s">
        <v>561</v>
      </c>
      <c r="AK1131" t="s">
        <v>573</v>
      </c>
      <c r="AL1131" t="s">
        <v>775</v>
      </c>
      <c r="AM1131">
        <v>2022</v>
      </c>
      <c r="AN1131">
        <v>2019</v>
      </c>
      <c r="AO1131">
        <f>IF(AND(emissions[[#This Row],[Market-based]]=0,emissions[[#This Row],[Impact Type]]="CO2E"),emissions[[#This Row],[kgCO2e]],0)/1000</f>
        <v>0</v>
      </c>
      <c r="AP1131">
        <f>IF(AND(emissions[[#This Row],[Market-based]]=1,OR(emissions[[#This Row],[Impact Type]]="CO2E",emissions[[#This Row],[Impact Type]]="CO2E MKT")),emissions[[#This Row],[kgCO2e]],0)/1000</f>
        <v>234.00883199999998</v>
      </c>
      <c r="AQ1131" t="str">
        <f>_xlfn.TEXTAFTER(emissions[[#This Row],[Reporting Unit]]," &gt; ",LEN(emissions[[#This Row],[Reporting Unit]])-LEN(SUBSTITUTE(emissions[[#This Row],[Reporting Unit]],"&gt;","")))</f>
        <v>Vantage_Englewood</v>
      </c>
      <c r="AR1131" t="str">
        <f>_xlfn.XLOOKUP(emissions[[#This Row],[Reporting unit name]],hierarchy!$A:$A,hierarchy!$C:$C)</f>
        <v>Office</v>
      </c>
    </row>
    <row r="1132" spans="1:44" hidden="1" x14ac:dyDescent="0.25">
      <c r="A1132">
        <v>20131</v>
      </c>
      <c r="B1132" t="s">
        <v>367</v>
      </c>
      <c r="C1132" t="s">
        <v>501</v>
      </c>
      <c r="D1132" t="s">
        <v>548</v>
      </c>
      <c r="E1132" s="3">
        <v>44562</v>
      </c>
      <c r="F1132" s="3">
        <v>44926</v>
      </c>
      <c r="G1132" t="s">
        <v>108</v>
      </c>
      <c r="H1132" s="3">
        <v>44562</v>
      </c>
      <c r="I1132" s="3">
        <v>44926</v>
      </c>
      <c r="J1132" t="s">
        <v>108</v>
      </c>
      <c r="K1132">
        <v>1828445</v>
      </c>
      <c r="L1132" t="s">
        <v>109</v>
      </c>
      <c r="M1132" t="s">
        <v>110</v>
      </c>
      <c r="O1132" t="s">
        <v>887</v>
      </c>
      <c r="P1132" t="s">
        <v>550</v>
      </c>
      <c r="Q1132">
        <v>2022</v>
      </c>
      <c r="R1132" t="s">
        <v>579</v>
      </c>
      <c r="S1132" t="s">
        <v>580</v>
      </c>
      <c r="T1132" t="s">
        <v>581</v>
      </c>
      <c r="U1132" t="b">
        <v>0</v>
      </c>
      <c r="V1132" t="s">
        <v>776</v>
      </c>
      <c r="W1132" t="s">
        <v>571</v>
      </c>
      <c r="X1132" t="s">
        <v>572</v>
      </c>
      <c r="Y1132" t="s">
        <v>472</v>
      </c>
      <c r="Z1132" t="s">
        <v>485</v>
      </c>
      <c r="AA1132" t="s">
        <v>764</v>
      </c>
      <c r="AB1132" t="s">
        <v>765</v>
      </c>
      <c r="AC1132">
        <v>0</v>
      </c>
      <c r="AD1132" t="s">
        <v>565</v>
      </c>
      <c r="AE1132">
        <v>43547.877189999999</v>
      </c>
      <c r="AF1132">
        <v>2.3816891999999999E-2</v>
      </c>
      <c r="AG1132" t="s">
        <v>560</v>
      </c>
      <c r="AH1132">
        <v>1</v>
      </c>
      <c r="AI1132">
        <v>1828445</v>
      </c>
      <c r="AJ1132" t="s">
        <v>561</v>
      </c>
      <c r="AK1132" t="s">
        <v>766</v>
      </c>
      <c r="AL1132" t="s">
        <v>767</v>
      </c>
      <c r="AM1132">
        <v>2022</v>
      </c>
      <c r="AN1132">
        <v>2020</v>
      </c>
      <c r="AO1132">
        <f>IF(AND(emissions[[#This Row],[Market-based]]=0,emissions[[#This Row],[Impact Type]]="CO2E"),emissions[[#This Row],[kgCO2e]],0)/1000</f>
        <v>43.547877190000001</v>
      </c>
      <c r="AP1132">
        <f>IF(AND(emissions[[#This Row],[Market-based]]=1,OR(emissions[[#This Row],[Impact Type]]="CO2E",emissions[[#This Row],[Impact Type]]="CO2E MKT")),emissions[[#This Row],[kgCO2e]],0)/1000</f>
        <v>0</v>
      </c>
      <c r="AQ1132" t="str">
        <f>_xlfn.TEXTAFTER(emissions[[#This Row],[Reporting Unit]]," &gt; ",LEN(emissions[[#This Row],[Reporting Unit]])-LEN(SUBSTITUTE(emissions[[#This Row],[Reporting Unit]],"&gt;","")))</f>
        <v>Vantage_Englewood</v>
      </c>
      <c r="AR1132" t="str">
        <f>_xlfn.XLOOKUP(emissions[[#This Row],[Reporting unit name]],hierarchy!$A:$A,hierarchy!$C:$C)</f>
        <v>Office</v>
      </c>
    </row>
    <row r="1133" spans="1:44" hidden="1" x14ac:dyDescent="0.25">
      <c r="A1133">
        <v>20131</v>
      </c>
      <c r="B1133" t="s">
        <v>367</v>
      </c>
      <c r="C1133" t="s">
        <v>501</v>
      </c>
      <c r="D1133" t="s">
        <v>548</v>
      </c>
      <c r="E1133" s="3">
        <v>44562</v>
      </c>
      <c r="F1133" s="3">
        <v>44926</v>
      </c>
      <c r="G1133" t="s">
        <v>108</v>
      </c>
      <c r="H1133" s="3">
        <v>44562</v>
      </c>
      <c r="I1133" s="3">
        <v>44926</v>
      </c>
      <c r="J1133" t="s">
        <v>108</v>
      </c>
      <c r="K1133">
        <v>1828445</v>
      </c>
      <c r="L1133" t="s">
        <v>109</v>
      </c>
      <c r="M1133" t="s">
        <v>110</v>
      </c>
      <c r="O1133" t="s">
        <v>887</v>
      </c>
      <c r="P1133" t="s">
        <v>550</v>
      </c>
      <c r="Q1133">
        <v>2022</v>
      </c>
      <c r="R1133" t="s">
        <v>579</v>
      </c>
      <c r="S1133" t="s">
        <v>580</v>
      </c>
      <c r="T1133" t="s">
        <v>581</v>
      </c>
      <c r="U1133" t="b">
        <v>0</v>
      </c>
      <c r="V1133" t="s">
        <v>777</v>
      </c>
      <c r="W1133" t="s">
        <v>571</v>
      </c>
      <c r="X1133" t="s">
        <v>572</v>
      </c>
      <c r="Y1133" t="s">
        <v>472</v>
      </c>
      <c r="Z1133" t="s">
        <v>485</v>
      </c>
      <c r="AA1133" t="s">
        <v>764</v>
      </c>
      <c r="AB1133" t="s">
        <v>765</v>
      </c>
      <c r="AC1133">
        <v>1</v>
      </c>
      <c r="AD1133" t="s">
        <v>639</v>
      </c>
      <c r="AE1133">
        <v>45177.015249999997</v>
      </c>
      <c r="AF1133">
        <v>2.4707889E-2</v>
      </c>
      <c r="AG1133" t="s">
        <v>560</v>
      </c>
      <c r="AH1133">
        <v>1</v>
      </c>
      <c r="AI1133">
        <v>1828445</v>
      </c>
      <c r="AJ1133" t="s">
        <v>561</v>
      </c>
      <c r="AK1133" t="s">
        <v>573</v>
      </c>
      <c r="AL1133" t="s">
        <v>778</v>
      </c>
      <c r="AM1133">
        <v>2022</v>
      </c>
      <c r="AN1133">
        <v>2019</v>
      </c>
      <c r="AO1133">
        <f>IF(AND(emissions[[#This Row],[Market-based]]=0,emissions[[#This Row],[Impact Type]]="CO2E"),emissions[[#This Row],[kgCO2e]],0)/1000</f>
        <v>0</v>
      </c>
      <c r="AP1133">
        <f>IF(AND(emissions[[#This Row],[Market-based]]=1,OR(emissions[[#This Row],[Impact Type]]="CO2E",emissions[[#This Row],[Impact Type]]="CO2E MKT")),emissions[[#This Row],[kgCO2e]],0)/1000</f>
        <v>45.177015249999997</v>
      </c>
      <c r="AQ1133" t="str">
        <f>_xlfn.TEXTAFTER(emissions[[#This Row],[Reporting Unit]]," &gt; ",LEN(emissions[[#This Row],[Reporting Unit]])-LEN(SUBSTITUTE(emissions[[#This Row],[Reporting Unit]],"&gt;","")))</f>
        <v>Vantage_Englewood</v>
      </c>
      <c r="AR1133" t="str">
        <f>_xlfn.XLOOKUP(emissions[[#This Row],[Reporting unit name]],hierarchy!$A:$A,hierarchy!$C:$C)</f>
        <v>Office</v>
      </c>
    </row>
    <row r="1134" spans="1:44" hidden="1" x14ac:dyDescent="0.25">
      <c r="A1134">
        <v>20129</v>
      </c>
      <c r="B1134" t="s">
        <v>367</v>
      </c>
      <c r="C1134" t="s">
        <v>501</v>
      </c>
      <c r="D1134" t="s">
        <v>548</v>
      </c>
      <c r="E1134" s="3">
        <v>44562</v>
      </c>
      <c r="F1134" s="3">
        <v>44926</v>
      </c>
      <c r="G1134" t="s">
        <v>135</v>
      </c>
      <c r="H1134" s="3">
        <v>44562</v>
      </c>
      <c r="I1134" s="3">
        <v>44926</v>
      </c>
      <c r="J1134" t="s">
        <v>135</v>
      </c>
      <c r="K1134">
        <v>33973395</v>
      </c>
      <c r="L1134" t="s">
        <v>160</v>
      </c>
      <c r="M1134" t="s">
        <v>110</v>
      </c>
      <c r="O1134" t="s">
        <v>888</v>
      </c>
      <c r="P1134" t="s">
        <v>550</v>
      </c>
      <c r="Q1134">
        <v>2022</v>
      </c>
      <c r="R1134" t="s">
        <v>605</v>
      </c>
      <c r="S1134" t="s">
        <v>606</v>
      </c>
      <c r="T1134" t="s">
        <v>553</v>
      </c>
      <c r="U1134" t="b">
        <v>0</v>
      </c>
      <c r="V1134" t="s">
        <v>781</v>
      </c>
      <c r="W1134" t="s">
        <v>587</v>
      </c>
      <c r="X1134" t="s">
        <v>556</v>
      </c>
      <c r="Y1134" t="s">
        <v>472</v>
      </c>
      <c r="Z1134" t="s">
        <v>485</v>
      </c>
      <c r="AA1134" t="s">
        <v>764</v>
      </c>
      <c r="AC1134">
        <v>0</v>
      </c>
      <c r="AD1134" t="s">
        <v>558</v>
      </c>
      <c r="AE1134">
        <v>874.81492130000004</v>
      </c>
      <c r="AF1134">
        <v>2.5749999999999999E-5</v>
      </c>
      <c r="AG1134" t="s">
        <v>782</v>
      </c>
      <c r="AH1134">
        <v>1</v>
      </c>
      <c r="AI1134">
        <v>33973395</v>
      </c>
      <c r="AJ1134" t="s">
        <v>561</v>
      </c>
      <c r="AK1134" t="s">
        <v>766</v>
      </c>
      <c r="AL1134" t="s">
        <v>767</v>
      </c>
      <c r="AM1134">
        <v>2022</v>
      </c>
      <c r="AN1134">
        <v>2022</v>
      </c>
      <c r="AO1134">
        <f>IF(AND(emissions[[#This Row],[Market-based]]=0,emissions[[#This Row],[Impact Type]]="CO2E"),emissions[[#This Row],[kgCO2e]],0)/1000</f>
        <v>0</v>
      </c>
      <c r="AP1134">
        <f>IF(AND(emissions[[#This Row],[Market-based]]=1,OR(emissions[[#This Row],[Impact Type]]="CO2E",emissions[[#This Row],[Impact Type]]="CO2E MKT")),emissions[[#This Row],[kgCO2e]],0)/1000</f>
        <v>0</v>
      </c>
      <c r="AQ1134" t="str">
        <f>_xlfn.TEXTAFTER(emissions[[#This Row],[Reporting Unit]]," &gt; ",LEN(emissions[[#This Row],[Reporting Unit]])-LEN(SUBSTITUTE(emissions[[#This Row],[Reporting Unit]],"&gt;","")))</f>
        <v>Vantage_Englewood</v>
      </c>
      <c r="AR1134" t="str">
        <f>_xlfn.XLOOKUP(emissions[[#This Row],[Reporting unit name]],hierarchy!$A:$A,hierarchy!$C:$C)</f>
        <v>Office</v>
      </c>
    </row>
    <row r="1135" spans="1:44" hidden="1" x14ac:dyDescent="0.25">
      <c r="A1135">
        <v>20129</v>
      </c>
      <c r="B1135" t="s">
        <v>367</v>
      </c>
      <c r="C1135" t="s">
        <v>501</v>
      </c>
      <c r="D1135" t="s">
        <v>548</v>
      </c>
      <c r="E1135" s="3">
        <v>44562</v>
      </c>
      <c r="F1135" s="3">
        <v>44926</v>
      </c>
      <c r="G1135" t="s">
        <v>135</v>
      </c>
      <c r="H1135" s="3">
        <v>44562</v>
      </c>
      <c r="I1135" s="3">
        <v>44926</v>
      </c>
      <c r="J1135" t="s">
        <v>135</v>
      </c>
      <c r="K1135">
        <v>33973395</v>
      </c>
      <c r="L1135" t="s">
        <v>160</v>
      </c>
      <c r="M1135" t="s">
        <v>110</v>
      </c>
      <c r="O1135" t="s">
        <v>888</v>
      </c>
      <c r="P1135" t="s">
        <v>550</v>
      </c>
      <c r="Q1135">
        <v>2022</v>
      </c>
      <c r="R1135" t="s">
        <v>605</v>
      </c>
      <c r="S1135" t="s">
        <v>606</v>
      </c>
      <c r="T1135" t="s">
        <v>553</v>
      </c>
      <c r="U1135" t="b">
        <v>0</v>
      </c>
      <c r="V1135" t="s">
        <v>781</v>
      </c>
      <c r="W1135" t="s">
        <v>587</v>
      </c>
      <c r="X1135" t="s">
        <v>556</v>
      </c>
      <c r="Y1135" t="s">
        <v>472</v>
      </c>
      <c r="Z1135" t="s">
        <v>485</v>
      </c>
      <c r="AA1135" t="s">
        <v>764</v>
      </c>
      <c r="AC1135">
        <v>0</v>
      </c>
      <c r="AD1135" t="s">
        <v>564</v>
      </c>
      <c r="AE1135">
        <v>1849511.6240000001</v>
      </c>
      <c r="AF1135">
        <v>5.4440000000000002E-2</v>
      </c>
      <c r="AG1135" t="s">
        <v>782</v>
      </c>
      <c r="AH1135">
        <v>1</v>
      </c>
      <c r="AI1135">
        <v>33973395</v>
      </c>
      <c r="AJ1135" t="s">
        <v>561</v>
      </c>
      <c r="AK1135" t="s">
        <v>766</v>
      </c>
      <c r="AL1135" t="s">
        <v>767</v>
      </c>
      <c r="AM1135">
        <v>2022</v>
      </c>
      <c r="AN1135">
        <v>2022</v>
      </c>
      <c r="AO1135">
        <f>IF(AND(emissions[[#This Row],[Market-based]]=0,emissions[[#This Row],[Impact Type]]="CO2E"),emissions[[#This Row],[kgCO2e]],0)/1000</f>
        <v>0</v>
      </c>
      <c r="AP1135">
        <f>IF(AND(emissions[[#This Row],[Market-based]]=1,OR(emissions[[#This Row],[Impact Type]]="CO2E",emissions[[#This Row],[Impact Type]]="CO2E MKT")),emissions[[#This Row],[kgCO2e]],0)/1000</f>
        <v>0</v>
      </c>
      <c r="AQ1135" t="str">
        <f>_xlfn.TEXTAFTER(emissions[[#This Row],[Reporting Unit]]," &gt; ",LEN(emissions[[#This Row],[Reporting Unit]])-LEN(SUBSTITUTE(emissions[[#This Row],[Reporting Unit]],"&gt;","")))</f>
        <v>Vantage_Englewood</v>
      </c>
      <c r="AR1135" t="str">
        <f>_xlfn.XLOOKUP(emissions[[#This Row],[Reporting unit name]],hierarchy!$A:$A,hierarchy!$C:$C)</f>
        <v>Office</v>
      </c>
    </row>
    <row r="1136" spans="1:44" hidden="1" x14ac:dyDescent="0.25">
      <c r="A1136">
        <v>20129</v>
      </c>
      <c r="B1136" t="s">
        <v>367</v>
      </c>
      <c r="C1136" t="s">
        <v>501</v>
      </c>
      <c r="D1136" t="s">
        <v>548</v>
      </c>
      <c r="E1136" s="3">
        <v>44562</v>
      </c>
      <c r="F1136" s="3">
        <v>44926</v>
      </c>
      <c r="G1136" t="s">
        <v>135</v>
      </c>
      <c r="H1136" s="3">
        <v>44562</v>
      </c>
      <c r="I1136" s="3">
        <v>44926</v>
      </c>
      <c r="J1136" t="s">
        <v>135</v>
      </c>
      <c r="K1136">
        <v>33973395</v>
      </c>
      <c r="L1136" t="s">
        <v>160</v>
      </c>
      <c r="M1136" t="s">
        <v>110</v>
      </c>
      <c r="O1136" t="s">
        <v>888</v>
      </c>
      <c r="P1136" t="s">
        <v>550</v>
      </c>
      <c r="Q1136">
        <v>2022</v>
      </c>
      <c r="R1136" t="s">
        <v>605</v>
      </c>
      <c r="S1136" t="s">
        <v>606</v>
      </c>
      <c r="T1136" t="s">
        <v>553</v>
      </c>
      <c r="U1136" t="b">
        <v>0</v>
      </c>
      <c r="V1136" t="s">
        <v>781</v>
      </c>
      <c r="W1136" t="s">
        <v>587</v>
      </c>
      <c r="X1136" t="s">
        <v>556</v>
      </c>
      <c r="Y1136" t="s">
        <v>472</v>
      </c>
      <c r="Z1136" t="s">
        <v>485</v>
      </c>
      <c r="AA1136" t="s">
        <v>764</v>
      </c>
      <c r="AC1136">
        <v>0</v>
      </c>
      <c r="AD1136" t="s">
        <v>565</v>
      </c>
      <c r="AE1136">
        <v>1851398.8459999999</v>
      </c>
      <c r="AF1136">
        <v>5.4495549999999997E-2</v>
      </c>
      <c r="AG1136" t="s">
        <v>782</v>
      </c>
      <c r="AH1136">
        <v>1</v>
      </c>
      <c r="AI1136">
        <v>33973395</v>
      </c>
      <c r="AJ1136" t="s">
        <v>561</v>
      </c>
      <c r="AK1136" t="s">
        <v>766</v>
      </c>
      <c r="AL1136" t="s">
        <v>767</v>
      </c>
      <c r="AM1136">
        <v>2022</v>
      </c>
      <c r="AN1136">
        <v>2022</v>
      </c>
      <c r="AO1136">
        <f>IF(AND(emissions[[#This Row],[Market-based]]=0,emissions[[#This Row],[Impact Type]]="CO2E"),emissions[[#This Row],[kgCO2e]],0)/1000</f>
        <v>1851.3988459999998</v>
      </c>
      <c r="AP1136">
        <f>IF(AND(emissions[[#This Row],[Market-based]]=1,OR(emissions[[#This Row],[Impact Type]]="CO2E",emissions[[#This Row],[Impact Type]]="CO2E MKT")),emissions[[#This Row],[kgCO2e]],0)/1000</f>
        <v>0</v>
      </c>
      <c r="AQ1136" t="str">
        <f>_xlfn.TEXTAFTER(emissions[[#This Row],[Reporting Unit]]," &gt; ",LEN(emissions[[#This Row],[Reporting Unit]])-LEN(SUBSTITUTE(emissions[[#This Row],[Reporting Unit]],"&gt;","")))</f>
        <v>Vantage_Englewood</v>
      </c>
      <c r="AR1136" t="str">
        <f>_xlfn.XLOOKUP(emissions[[#This Row],[Reporting unit name]],hierarchy!$A:$A,hierarchy!$C:$C)</f>
        <v>Office</v>
      </c>
    </row>
    <row r="1137" spans="1:44" hidden="1" x14ac:dyDescent="0.25">
      <c r="A1137">
        <v>20129</v>
      </c>
      <c r="B1137" t="s">
        <v>367</v>
      </c>
      <c r="C1137" t="s">
        <v>501</v>
      </c>
      <c r="D1137" t="s">
        <v>548</v>
      </c>
      <c r="E1137" s="3">
        <v>44562</v>
      </c>
      <c r="F1137" s="3">
        <v>44926</v>
      </c>
      <c r="G1137" t="s">
        <v>135</v>
      </c>
      <c r="H1137" s="3">
        <v>44562</v>
      </c>
      <c r="I1137" s="3">
        <v>44926</v>
      </c>
      <c r="J1137" t="s">
        <v>135</v>
      </c>
      <c r="K1137">
        <v>33973395</v>
      </c>
      <c r="L1137" t="s">
        <v>160</v>
      </c>
      <c r="M1137" t="s">
        <v>110</v>
      </c>
      <c r="O1137" t="s">
        <v>888</v>
      </c>
      <c r="P1137" t="s">
        <v>550</v>
      </c>
      <c r="Q1137">
        <v>2022</v>
      </c>
      <c r="R1137" t="s">
        <v>605</v>
      </c>
      <c r="S1137" t="s">
        <v>606</v>
      </c>
      <c r="T1137" t="s">
        <v>553</v>
      </c>
      <c r="U1137" t="b">
        <v>0</v>
      </c>
      <c r="V1137" t="s">
        <v>781</v>
      </c>
      <c r="W1137" t="s">
        <v>587</v>
      </c>
      <c r="X1137" t="s">
        <v>556</v>
      </c>
      <c r="Y1137" t="s">
        <v>472</v>
      </c>
      <c r="Z1137" t="s">
        <v>485</v>
      </c>
      <c r="AA1137" t="s">
        <v>764</v>
      </c>
      <c r="AC1137">
        <v>0</v>
      </c>
      <c r="AD1137" t="s">
        <v>566</v>
      </c>
      <c r="AE1137">
        <v>1012.4071709999999</v>
      </c>
      <c r="AF1137">
        <v>2.9799999999999999E-5</v>
      </c>
      <c r="AG1137" t="s">
        <v>782</v>
      </c>
      <c r="AH1137">
        <v>1</v>
      </c>
      <c r="AI1137">
        <v>33973395</v>
      </c>
      <c r="AJ1137" t="s">
        <v>561</v>
      </c>
      <c r="AK1137" t="s">
        <v>766</v>
      </c>
      <c r="AL1137" t="s">
        <v>767</v>
      </c>
      <c r="AM1137">
        <v>2022</v>
      </c>
      <c r="AN1137">
        <v>2022</v>
      </c>
      <c r="AO1137">
        <f>IF(AND(emissions[[#This Row],[Market-based]]=0,emissions[[#This Row],[Impact Type]]="CO2E"),emissions[[#This Row],[kgCO2e]],0)/1000</f>
        <v>0</v>
      </c>
      <c r="AP1137">
        <f>IF(AND(emissions[[#This Row],[Market-based]]=1,OR(emissions[[#This Row],[Impact Type]]="CO2E",emissions[[#This Row],[Impact Type]]="CO2E MKT")),emissions[[#This Row],[kgCO2e]],0)/1000</f>
        <v>0</v>
      </c>
      <c r="AQ1137" t="str">
        <f>_xlfn.TEXTAFTER(emissions[[#This Row],[Reporting Unit]]," &gt; ",LEN(emissions[[#This Row],[Reporting Unit]])-LEN(SUBSTITUTE(emissions[[#This Row],[Reporting Unit]],"&gt;","")))</f>
        <v>Vantage_Englewood</v>
      </c>
      <c r="AR1137" t="str">
        <f>_xlfn.XLOOKUP(emissions[[#This Row],[Reporting unit name]],hierarchy!$A:$A,hierarchy!$C:$C)</f>
        <v>Office</v>
      </c>
    </row>
    <row r="1138" spans="1:44" hidden="1" x14ac:dyDescent="0.25">
      <c r="A1138">
        <v>20129</v>
      </c>
      <c r="B1138" t="s">
        <v>367</v>
      </c>
      <c r="C1138" t="s">
        <v>501</v>
      </c>
      <c r="D1138" t="s">
        <v>548</v>
      </c>
      <c r="E1138" s="3">
        <v>44562</v>
      </c>
      <c r="F1138" s="3">
        <v>44926</v>
      </c>
      <c r="G1138" t="s">
        <v>135</v>
      </c>
      <c r="H1138" s="3">
        <v>44562</v>
      </c>
      <c r="I1138" s="3">
        <v>44926</v>
      </c>
      <c r="J1138" t="s">
        <v>135</v>
      </c>
      <c r="K1138">
        <v>33973395</v>
      </c>
      <c r="L1138" t="s">
        <v>160</v>
      </c>
      <c r="M1138" t="s">
        <v>110</v>
      </c>
      <c r="O1138" t="s">
        <v>888</v>
      </c>
      <c r="P1138" t="s">
        <v>550</v>
      </c>
      <c r="Q1138">
        <v>2022</v>
      </c>
      <c r="R1138" t="s">
        <v>605</v>
      </c>
      <c r="S1138" t="s">
        <v>606</v>
      </c>
      <c r="T1138" t="s">
        <v>553</v>
      </c>
      <c r="U1138" t="b">
        <v>0</v>
      </c>
      <c r="V1138" t="s">
        <v>781</v>
      </c>
      <c r="W1138" t="s">
        <v>587</v>
      </c>
      <c r="X1138" t="s">
        <v>556</v>
      </c>
      <c r="Y1138" t="s">
        <v>472</v>
      </c>
      <c r="Z1138" t="s">
        <v>485</v>
      </c>
      <c r="AA1138" t="s">
        <v>764</v>
      </c>
      <c r="AC1138">
        <v>1</v>
      </c>
      <c r="AD1138" t="s">
        <v>558</v>
      </c>
      <c r="AE1138">
        <v>874.81492130000004</v>
      </c>
      <c r="AF1138">
        <v>2.5749999999999999E-5</v>
      </c>
      <c r="AG1138" t="s">
        <v>782</v>
      </c>
      <c r="AH1138">
        <v>1</v>
      </c>
      <c r="AI1138">
        <v>33973395</v>
      </c>
      <c r="AJ1138" t="s">
        <v>561</v>
      </c>
      <c r="AK1138" t="s">
        <v>766</v>
      </c>
      <c r="AL1138" t="s">
        <v>767</v>
      </c>
      <c r="AM1138">
        <v>2022</v>
      </c>
      <c r="AN1138">
        <v>2022</v>
      </c>
      <c r="AO1138">
        <f>IF(AND(emissions[[#This Row],[Market-based]]=0,emissions[[#This Row],[Impact Type]]="CO2E"),emissions[[#This Row],[kgCO2e]],0)/1000</f>
        <v>0</v>
      </c>
      <c r="AP1138">
        <f>IF(AND(emissions[[#This Row],[Market-based]]=1,OR(emissions[[#This Row],[Impact Type]]="CO2E",emissions[[#This Row],[Impact Type]]="CO2E MKT")),emissions[[#This Row],[kgCO2e]],0)/1000</f>
        <v>0</v>
      </c>
      <c r="AQ1138" t="str">
        <f>_xlfn.TEXTAFTER(emissions[[#This Row],[Reporting Unit]]," &gt; ",LEN(emissions[[#This Row],[Reporting Unit]])-LEN(SUBSTITUTE(emissions[[#This Row],[Reporting Unit]],"&gt;","")))</f>
        <v>Vantage_Englewood</v>
      </c>
      <c r="AR1138" t="str">
        <f>_xlfn.XLOOKUP(emissions[[#This Row],[Reporting unit name]],hierarchy!$A:$A,hierarchy!$C:$C)</f>
        <v>Office</v>
      </c>
    </row>
    <row r="1139" spans="1:44" hidden="1" x14ac:dyDescent="0.25">
      <c r="A1139">
        <v>20129</v>
      </c>
      <c r="B1139" t="s">
        <v>367</v>
      </c>
      <c r="C1139" t="s">
        <v>501</v>
      </c>
      <c r="D1139" t="s">
        <v>548</v>
      </c>
      <c r="E1139" s="3">
        <v>44562</v>
      </c>
      <c r="F1139" s="3">
        <v>44926</v>
      </c>
      <c r="G1139" t="s">
        <v>135</v>
      </c>
      <c r="H1139" s="3">
        <v>44562</v>
      </c>
      <c r="I1139" s="3">
        <v>44926</v>
      </c>
      <c r="J1139" t="s">
        <v>135</v>
      </c>
      <c r="K1139">
        <v>33973395</v>
      </c>
      <c r="L1139" t="s">
        <v>160</v>
      </c>
      <c r="M1139" t="s">
        <v>110</v>
      </c>
      <c r="O1139" t="s">
        <v>888</v>
      </c>
      <c r="P1139" t="s">
        <v>550</v>
      </c>
      <c r="Q1139">
        <v>2022</v>
      </c>
      <c r="R1139" t="s">
        <v>605</v>
      </c>
      <c r="S1139" t="s">
        <v>606</v>
      </c>
      <c r="T1139" t="s">
        <v>553</v>
      </c>
      <c r="U1139" t="b">
        <v>0</v>
      </c>
      <c r="V1139" t="s">
        <v>781</v>
      </c>
      <c r="W1139" t="s">
        <v>587</v>
      </c>
      <c r="X1139" t="s">
        <v>556</v>
      </c>
      <c r="Y1139" t="s">
        <v>472</v>
      </c>
      <c r="Z1139" t="s">
        <v>485</v>
      </c>
      <c r="AA1139" t="s">
        <v>764</v>
      </c>
      <c r="AC1139">
        <v>1</v>
      </c>
      <c r="AD1139" t="s">
        <v>564</v>
      </c>
      <c r="AE1139">
        <v>1849511.6240000001</v>
      </c>
      <c r="AF1139">
        <v>5.4440000000000002E-2</v>
      </c>
      <c r="AG1139" t="s">
        <v>782</v>
      </c>
      <c r="AH1139">
        <v>1</v>
      </c>
      <c r="AI1139">
        <v>33973395</v>
      </c>
      <c r="AJ1139" t="s">
        <v>561</v>
      </c>
      <c r="AK1139" t="s">
        <v>766</v>
      </c>
      <c r="AL1139" t="s">
        <v>767</v>
      </c>
      <c r="AM1139">
        <v>2022</v>
      </c>
      <c r="AN1139">
        <v>2022</v>
      </c>
      <c r="AO1139">
        <f>IF(AND(emissions[[#This Row],[Market-based]]=0,emissions[[#This Row],[Impact Type]]="CO2E"),emissions[[#This Row],[kgCO2e]],0)/1000</f>
        <v>0</v>
      </c>
      <c r="AP1139">
        <f>IF(AND(emissions[[#This Row],[Market-based]]=1,OR(emissions[[#This Row],[Impact Type]]="CO2E",emissions[[#This Row],[Impact Type]]="CO2E MKT")),emissions[[#This Row],[kgCO2e]],0)/1000</f>
        <v>0</v>
      </c>
      <c r="AQ1139" t="str">
        <f>_xlfn.TEXTAFTER(emissions[[#This Row],[Reporting Unit]]," &gt; ",LEN(emissions[[#This Row],[Reporting Unit]])-LEN(SUBSTITUTE(emissions[[#This Row],[Reporting Unit]],"&gt;","")))</f>
        <v>Vantage_Englewood</v>
      </c>
      <c r="AR1139" t="str">
        <f>_xlfn.XLOOKUP(emissions[[#This Row],[Reporting unit name]],hierarchy!$A:$A,hierarchy!$C:$C)</f>
        <v>Office</v>
      </c>
    </row>
    <row r="1140" spans="1:44" hidden="1" x14ac:dyDescent="0.25">
      <c r="A1140">
        <v>20129</v>
      </c>
      <c r="B1140" t="s">
        <v>367</v>
      </c>
      <c r="C1140" t="s">
        <v>501</v>
      </c>
      <c r="D1140" t="s">
        <v>548</v>
      </c>
      <c r="E1140" s="3">
        <v>44562</v>
      </c>
      <c r="F1140" s="3">
        <v>44926</v>
      </c>
      <c r="G1140" t="s">
        <v>135</v>
      </c>
      <c r="H1140" s="3">
        <v>44562</v>
      </c>
      <c r="I1140" s="3">
        <v>44926</v>
      </c>
      <c r="J1140" t="s">
        <v>135</v>
      </c>
      <c r="K1140">
        <v>33973395</v>
      </c>
      <c r="L1140" t="s">
        <v>160</v>
      </c>
      <c r="M1140" t="s">
        <v>110</v>
      </c>
      <c r="O1140" t="s">
        <v>888</v>
      </c>
      <c r="P1140" t="s">
        <v>550</v>
      </c>
      <c r="Q1140">
        <v>2022</v>
      </c>
      <c r="R1140" t="s">
        <v>605</v>
      </c>
      <c r="S1140" t="s">
        <v>606</v>
      </c>
      <c r="T1140" t="s">
        <v>553</v>
      </c>
      <c r="U1140" t="b">
        <v>0</v>
      </c>
      <c r="V1140" t="s">
        <v>781</v>
      </c>
      <c r="W1140" t="s">
        <v>587</v>
      </c>
      <c r="X1140" t="s">
        <v>556</v>
      </c>
      <c r="Y1140" t="s">
        <v>472</v>
      </c>
      <c r="Z1140" t="s">
        <v>485</v>
      </c>
      <c r="AA1140" t="s">
        <v>764</v>
      </c>
      <c r="AC1140">
        <v>1</v>
      </c>
      <c r="AD1140" t="s">
        <v>565</v>
      </c>
      <c r="AE1140">
        <v>1851398.8459999999</v>
      </c>
      <c r="AF1140">
        <v>5.4495549999999997E-2</v>
      </c>
      <c r="AG1140" t="s">
        <v>782</v>
      </c>
      <c r="AH1140">
        <v>1</v>
      </c>
      <c r="AI1140">
        <v>33973395</v>
      </c>
      <c r="AJ1140" t="s">
        <v>561</v>
      </c>
      <c r="AK1140" t="s">
        <v>766</v>
      </c>
      <c r="AL1140" t="s">
        <v>767</v>
      </c>
      <c r="AM1140">
        <v>2022</v>
      </c>
      <c r="AN1140">
        <v>2022</v>
      </c>
      <c r="AO1140">
        <f>IF(AND(emissions[[#This Row],[Market-based]]=0,emissions[[#This Row],[Impact Type]]="CO2E"),emissions[[#This Row],[kgCO2e]],0)/1000</f>
        <v>0</v>
      </c>
      <c r="AP1140">
        <f>IF(AND(emissions[[#This Row],[Market-based]]=1,OR(emissions[[#This Row],[Impact Type]]="CO2E",emissions[[#This Row],[Impact Type]]="CO2E MKT")),emissions[[#This Row],[kgCO2e]],0)/1000</f>
        <v>1851.3988459999998</v>
      </c>
      <c r="AQ1140" t="str">
        <f>_xlfn.TEXTAFTER(emissions[[#This Row],[Reporting Unit]]," &gt; ",LEN(emissions[[#This Row],[Reporting Unit]])-LEN(SUBSTITUTE(emissions[[#This Row],[Reporting Unit]],"&gt;","")))</f>
        <v>Vantage_Englewood</v>
      </c>
      <c r="AR1140" t="str">
        <f>_xlfn.XLOOKUP(emissions[[#This Row],[Reporting unit name]],hierarchy!$A:$A,hierarchy!$C:$C)</f>
        <v>Office</v>
      </c>
    </row>
    <row r="1141" spans="1:44" hidden="1" x14ac:dyDescent="0.25">
      <c r="A1141">
        <v>20129</v>
      </c>
      <c r="B1141" t="s">
        <v>367</v>
      </c>
      <c r="C1141" t="s">
        <v>501</v>
      </c>
      <c r="D1141" t="s">
        <v>548</v>
      </c>
      <c r="E1141" s="3">
        <v>44562</v>
      </c>
      <c r="F1141" s="3">
        <v>44926</v>
      </c>
      <c r="G1141" t="s">
        <v>135</v>
      </c>
      <c r="H1141" s="3">
        <v>44562</v>
      </c>
      <c r="I1141" s="3">
        <v>44926</v>
      </c>
      <c r="J1141" t="s">
        <v>135</v>
      </c>
      <c r="K1141">
        <v>33973395</v>
      </c>
      <c r="L1141" t="s">
        <v>160</v>
      </c>
      <c r="M1141" t="s">
        <v>110</v>
      </c>
      <c r="O1141" t="s">
        <v>888</v>
      </c>
      <c r="P1141" t="s">
        <v>550</v>
      </c>
      <c r="Q1141">
        <v>2022</v>
      </c>
      <c r="R1141" t="s">
        <v>605</v>
      </c>
      <c r="S1141" t="s">
        <v>606</v>
      </c>
      <c r="T1141" t="s">
        <v>553</v>
      </c>
      <c r="U1141" t="b">
        <v>0</v>
      </c>
      <c r="V1141" t="s">
        <v>781</v>
      </c>
      <c r="W1141" t="s">
        <v>587</v>
      </c>
      <c r="X1141" t="s">
        <v>556</v>
      </c>
      <c r="Y1141" t="s">
        <v>472</v>
      </c>
      <c r="Z1141" t="s">
        <v>485</v>
      </c>
      <c r="AA1141" t="s">
        <v>764</v>
      </c>
      <c r="AC1141">
        <v>1</v>
      </c>
      <c r="AD1141" t="s">
        <v>566</v>
      </c>
      <c r="AE1141">
        <v>1012.4071709999999</v>
      </c>
      <c r="AF1141">
        <v>2.9799999999999999E-5</v>
      </c>
      <c r="AG1141" t="s">
        <v>782</v>
      </c>
      <c r="AH1141">
        <v>1</v>
      </c>
      <c r="AI1141">
        <v>33973395</v>
      </c>
      <c r="AJ1141" t="s">
        <v>561</v>
      </c>
      <c r="AK1141" t="s">
        <v>766</v>
      </c>
      <c r="AL1141" t="s">
        <v>767</v>
      </c>
      <c r="AM1141">
        <v>2022</v>
      </c>
      <c r="AN1141">
        <v>2022</v>
      </c>
      <c r="AO1141">
        <f>IF(AND(emissions[[#This Row],[Market-based]]=0,emissions[[#This Row],[Impact Type]]="CO2E"),emissions[[#This Row],[kgCO2e]],0)/1000</f>
        <v>0</v>
      </c>
      <c r="AP1141">
        <f>IF(AND(emissions[[#This Row],[Market-based]]=1,OR(emissions[[#This Row],[Impact Type]]="CO2E",emissions[[#This Row],[Impact Type]]="CO2E MKT")),emissions[[#This Row],[kgCO2e]],0)/1000</f>
        <v>0</v>
      </c>
      <c r="AQ1141" t="str">
        <f>_xlfn.TEXTAFTER(emissions[[#This Row],[Reporting Unit]]," &gt; ",LEN(emissions[[#This Row],[Reporting Unit]])-LEN(SUBSTITUTE(emissions[[#This Row],[Reporting Unit]],"&gt;","")))</f>
        <v>Vantage_Englewood</v>
      </c>
      <c r="AR1141" t="str">
        <f>_xlfn.XLOOKUP(emissions[[#This Row],[Reporting unit name]],hierarchy!$A:$A,hierarchy!$C:$C)</f>
        <v>Office</v>
      </c>
    </row>
    <row r="1142" spans="1:44" hidden="1" x14ac:dyDescent="0.25">
      <c r="A1142">
        <v>20129</v>
      </c>
      <c r="B1142" t="s">
        <v>367</v>
      </c>
      <c r="C1142" t="s">
        <v>501</v>
      </c>
      <c r="D1142" t="s">
        <v>548</v>
      </c>
      <c r="E1142" s="3">
        <v>44562</v>
      </c>
      <c r="F1142" s="3">
        <v>44926</v>
      </c>
      <c r="G1142" t="s">
        <v>135</v>
      </c>
      <c r="H1142" s="3">
        <v>44562</v>
      </c>
      <c r="I1142" s="3">
        <v>44926</v>
      </c>
      <c r="J1142" t="s">
        <v>135</v>
      </c>
      <c r="K1142">
        <v>33973395</v>
      </c>
      <c r="L1142" t="s">
        <v>160</v>
      </c>
      <c r="M1142" t="s">
        <v>110</v>
      </c>
      <c r="O1142" t="s">
        <v>888</v>
      </c>
      <c r="P1142" t="s">
        <v>550</v>
      </c>
      <c r="Q1142">
        <v>2022</v>
      </c>
      <c r="R1142" t="s">
        <v>609</v>
      </c>
      <c r="S1142" t="s">
        <v>610</v>
      </c>
      <c r="T1142" t="s">
        <v>577</v>
      </c>
      <c r="U1142" t="b">
        <v>0</v>
      </c>
      <c r="V1142" t="s">
        <v>632</v>
      </c>
      <c r="W1142" t="s">
        <v>571</v>
      </c>
      <c r="X1142" t="s">
        <v>572</v>
      </c>
      <c r="AC1142">
        <v>0</v>
      </c>
      <c r="AD1142" t="s">
        <v>565</v>
      </c>
      <c r="AE1142">
        <v>330356.92330000002</v>
      </c>
      <c r="AF1142">
        <v>0.34339999999999998</v>
      </c>
      <c r="AG1142" t="s">
        <v>783</v>
      </c>
      <c r="AH1142">
        <v>2.83168E-2</v>
      </c>
      <c r="AI1142">
        <v>962017.83149999997</v>
      </c>
      <c r="AJ1142" t="s">
        <v>561</v>
      </c>
      <c r="AK1142" t="s">
        <v>589</v>
      </c>
      <c r="AL1142" t="s">
        <v>590</v>
      </c>
      <c r="AM1142">
        <v>2022</v>
      </c>
      <c r="AN1142">
        <v>2020</v>
      </c>
      <c r="AO1142">
        <f>IF(AND(emissions[[#This Row],[Market-based]]=0,emissions[[#This Row],[Impact Type]]="CO2E"),emissions[[#This Row],[kgCO2e]],0)/1000</f>
        <v>330.35692330000001</v>
      </c>
      <c r="AP1142">
        <f>IF(AND(emissions[[#This Row],[Market-based]]=1,OR(emissions[[#This Row],[Impact Type]]="CO2E",emissions[[#This Row],[Impact Type]]="CO2E MKT")),emissions[[#This Row],[kgCO2e]],0)/1000</f>
        <v>0</v>
      </c>
      <c r="AQ1142" t="str">
        <f>_xlfn.TEXTAFTER(emissions[[#This Row],[Reporting Unit]]," &gt; ",LEN(emissions[[#This Row],[Reporting Unit]])-LEN(SUBSTITUTE(emissions[[#This Row],[Reporting Unit]],"&gt;","")))</f>
        <v>Vantage_Englewood</v>
      </c>
      <c r="AR1142" t="str">
        <f>_xlfn.XLOOKUP(emissions[[#This Row],[Reporting unit name]],hierarchy!$A:$A,hierarchy!$C:$C)</f>
        <v>Office</v>
      </c>
    </row>
    <row r="1143" spans="1:44" hidden="1" x14ac:dyDescent="0.25">
      <c r="A1143">
        <v>20129</v>
      </c>
      <c r="B1143" t="s">
        <v>367</v>
      </c>
      <c r="C1143" t="s">
        <v>501</v>
      </c>
      <c r="D1143" t="s">
        <v>548</v>
      </c>
      <c r="E1143" s="3">
        <v>44562</v>
      </c>
      <c r="F1143" s="3">
        <v>44926</v>
      </c>
      <c r="G1143" t="s">
        <v>135</v>
      </c>
      <c r="H1143" s="3">
        <v>44562</v>
      </c>
      <c r="I1143" s="3">
        <v>44926</v>
      </c>
      <c r="J1143" t="s">
        <v>135</v>
      </c>
      <c r="K1143">
        <v>33973395</v>
      </c>
      <c r="L1143" t="s">
        <v>160</v>
      </c>
      <c r="M1143" t="s">
        <v>110</v>
      </c>
      <c r="O1143" t="s">
        <v>888</v>
      </c>
      <c r="P1143" t="s">
        <v>550</v>
      </c>
      <c r="Q1143">
        <v>2022</v>
      </c>
      <c r="R1143" t="s">
        <v>609</v>
      </c>
      <c r="S1143" t="s">
        <v>610</v>
      </c>
      <c r="T1143" t="s">
        <v>577</v>
      </c>
      <c r="U1143" t="b">
        <v>0</v>
      </c>
      <c r="V1143" t="s">
        <v>632</v>
      </c>
      <c r="W1143" t="s">
        <v>571</v>
      </c>
      <c r="X1143" t="s">
        <v>572</v>
      </c>
      <c r="AC1143">
        <v>1</v>
      </c>
      <c r="AD1143" t="s">
        <v>565</v>
      </c>
      <c r="AE1143">
        <v>330356.92330000002</v>
      </c>
      <c r="AF1143">
        <v>0.34339999999999998</v>
      </c>
      <c r="AG1143" t="s">
        <v>783</v>
      </c>
      <c r="AH1143">
        <v>2.83168E-2</v>
      </c>
      <c r="AI1143">
        <v>962017.83149999997</v>
      </c>
      <c r="AJ1143" t="s">
        <v>561</v>
      </c>
      <c r="AK1143" t="s">
        <v>589</v>
      </c>
      <c r="AL1143" t="s">
        <v>590</v>
      </c>
      <c r="AM1143">
        <v>2022</v>
      </c>
      <c r="AN1143">
        <v>2020</v>
      </c>
      <c r="AO1143">
        <f>IF(AND(emissions[[#This Row],[Market-based]]=0,emissions[[#This Row],[Impact Type]]="CO2E"),emissions[[#This Row],[kgCO2e]],0)/1000</f>
        <v>0</v>
      </c>
      <c r="AP1143">
        <f>IF(AND(emissions[[#This Row],[Market-based]]=1,OR(emissions[[#This Row],[Impact Type]]="CO2E",emissions[[#This Row],[Impact Type]]="CO2E MKT")),emissions[[#This Row],[kgCO2e]],0)/1000</f>
        <v>330.35692330000001</v>
      </c>
      <c r="AQ1143" t="str">
        <f>_xlfn.TEXTAFTER(emissions[[#This Row],[Reporting Unit]]," &gt; ",LEN(emissions[[#This Row],[Reporting Unit]])-LEN(SUBSTITUTE(emissions[[#This Row],[Reporting Unit]],"&gt;","")))</f>
        <v>Vantage_Englewood</v>
      </c>
      <c r="AR1143" t="str">
        <f>_xlfn.XLOOKUP(emissions[[#This Row],[Reporting unit name]],hierarchy!$A:$A,hierarchy!$C:$C)</f>
        <v>Office</v>
      </c>
    </row>
    <row r="1144" spans="1:44" hidden="1" x14ac:dyDescent="0.25">
      <c r="A1144">
        <v>292839</v>
      </c>
      <c r="B1144" t="s">
        <v>367</v>
      </c>
      <c r="C1144" t="s">
        <v>501</v>
      </c>
      <c r="D1144" t="s">
        <v>548</v>
      </c>
      <c r="E1144" s="3">
        <v>44562</v>
      </c>
      <c r="F1144" s="3">
        <v>44926</v>
      </c>
      <c r="G1144" t="s">
        <v>141</v>
      </c>
      <c r="H1144" s="3">
        <v>44562</v>
      </c>
      <c r="I1144" s="3">
        <v>44926</v>
      </c>
      <c r="J1144" t="s">
        <v>147</v>
      </c>
      <c r="K1144">
        <v>0</v>
      </c>
      <c r="L1144" t="s">
        <v>303</v>
      </c>
      <c r="M1144" t="s">
        <v>110</v>
      </c>
      <c r="N1144" t="s">
        <v>373</v>
      </c>
      <c r="O1144" t="s">
        <v>889</v>
      </c>
      <c r="P1144" t="s">
        <v>550</v>
      </c>
      <c r="Q1144">
        <v>2022</v>
      </c>
      <c r="R1144" t="s">
        <v>584</v>
      </c>
      <c r="S1144" t="s">
        <v>585</v>
      </c>
      <c r="T1144" t="s">
        <v>553</v>
      </c>
      <c r="U1144" t="b">
        <v>0</v>
      </c>
      <c r="V1144" t="s">
        <v>586</v>
      </c>
      <c r="W1144" t="s">
        <v>587</v>
      </c>
      <c r="X1144" t="s">
        <v>556</v>
      </c>
      <c r="AC1144">
        <v>0</v>
      </c>
      <c r="AD1144" t="s">
        <v>558</v>
      </c>
      <c r="AE1144">
        <v>0</v>
      </c>
      <c r="AF1144">
        <v>0.31</v>
      </c>
      <c r="AG1144" t="s">
        <v>756</v>
      </c>
      <c r="AH1144">
        <v>9.9999999999999995E-7</v>
      </c>
      <c r="AI1144">
        <v>0</v>
      </c>
      <c r="AJ1144" t="s">
        <v>561</v>
      </c>
      <c r="AK1144" t="s">
        <v>589</v>
      </c>
      <c r="AL1144" t="s">
        <v>590</v>
      </c>
      <c r="AM1144">
        <v>2022</v>
      </c>
      <c r="AN1144">
        <v>2020</v>
      </c>
      <c r="AO1144">
        <f>IF(AND(emissions[[#This Row],[Market-based]]=0,emissions[[#This Row],[Impact Type]]="CO2E"),emissions[[#This Row],[kgCO2e]],0)/1000</f>
        <v>0</v>
      </c>
      <c r="AP1144">
        <f>IF(AND(emissions[[#This Row],[Market-based]]=1,OR(emissions[[#This Row],[Impact Type]]="CO2E",emissions[[#This Row],[Impact Type]]="CO2E MKT")),emissions[[#This Row],[kgCO2e]],0)/1000</f>
        <v>0</v>
      </c>
      <c r="AQ1144" t="str">
        <f>_xlfn.TEXTAFTER(emissions[[#This Row],[Reporting Unit]]," &gt; ",LEN(emissions[[#This Row],[Reporting Unit]])-LEN(SUBSTITUTE(emissions[[#This Row],[Reporting Unit]],"&gt;","")))</f>
        <v>Vantage_Englewood</v>
      </c>
      <c r="AR1144" t="str">
        <f>_xlfn.XLOOKUP(emissions[[#This Row],[Reporting unit name]],hierarchy!$A:$A,hierarchy!$C:$C)</f>
        <v>Office</v>
      </c>
    </row>
    <row r="1145" spans="1:44" hidden="1" x14ac:dyDescent="0.25">
      <c r="A1145">
        <v>292839</v>
      </c>
      <c r="B1145" t="s">
        <v>367</v>
      </c>
      <c r="C1145" t="s">
        <v>501</v>
      </c>
      <c r="D1145" t="s">
        <v>548</v>
      </c>
      <c r="E1145" s="3">
        <v>44562</v>
      </c>
      <c r="F1145" s="3">
        <v>44926</v>
      </c>
      <c r="G1145" t="s">
        <v>141</v>
      </c>
      <c r="H1145" s="3">
        <v>44562</v>
      </c>
      <c r="I1145" s="3">
        <v>44926</v>
      </c>
      <c r="J1145" t="s">
        <v>147</v>
      </c>
      <c r="K1145">
        <v>0</v>
      </c>
      <c r="L1145" t="s">
        <v>303</v>
      </c>
      <c r="M1145" t="s">
        <v>110</v>
      </c>
      <c r="N1145" t="s">
        <v>373</v>
      </c>
      <c r="O1145" t="s">
        <v>889</v>
      </c>
      <c r="P1145" t="s">
        <v>550</v>
      </c>
      <c r="Q1145">
        <v>2022</v>
      </c>
      <c r="R1145" t="s">
        <v>584</v>
      </c>
      <c r="S1145" t="s">
        <v>585</v>
      </c>
      <c r="T1145" t="s">
        <v>553</v>
      </c>
      <c r="U1145" t="b">
        <v>0</v>
      </c>
      <c r="V1145" t="s">
        <v>586</v>
      </c>
      <c r="W1145" t="s">
        <v>587</v>
      </c>
      <c r="X1145" t="s">
        <v>556</v>
      </c>
      <c r="AC1145">
        <v>0</v>
      </c>
      <c r="AD1145" t="s">
        <v>564</v>
      </c>
      <c r="AE1145">
        <v>0</v>
      </c>
      <c r="AF1145">
        <v>2988.85</v>
      </c>
      <c r="AG1145" t="s">
        <v>756</v>
      </c>
      <c r="AH1145">
        <v>9.9999999999999995E-7</v>
      </c>
      <c r="AI1145">
        <v>0</v>
      </c>
      <c r="AJ1145" t="s">
        <v>561</v>
      </c>
      <c r="AK1145" t="s">
        <v>589</v>
      </c>
      <c r="AL1145" t="s">
        <v>590</v>
      </c>
      <c r="AM1145">
        <v>2022</v>
      </c>
      <c r="AN1145">
        <v>2020</v>
      </c>
      <c r="AO1145">
        <f>IF(AND(emissions[[#This Row],[Market-based]]=0,emissions[[#This Row],[Impact Type]]="CO2E"),emissions[[#This Row],[kgCO2e]],0)/1000</f>
        <v>0</v>
      </c>
      <c r="AP1145">
        <f>IF(AND(emissions[[#This Row],[Market-based]]=1,OR(emissions[[#This Row],[Impact Type]]="CO2E",emissions[[#This Row],[Impact Type]]="CO2E MKT")),emissions[[#This Row],[kgCO2e]],0)/1000</f>
        <v>0</v>
      </c>
      <c r="AQ1145" t="str">
        <f>_xlfn.TEXTAFTER(emissions[[#This Row],[Reporting Unit]]," &gt; ",LEN(emissions[[#This Row],[Reporting Unit]])-LEN(SUBSTITUTE(emissions[[#This Row],[Reporting Unit]],"&gt;","")))</f>
        <v>Vantage_Englewood</v>
      </c>
      <c r="AR1145" t="str">
        <f>_xlfn.XLOOKUP(emissions[[#This Row],[Reporting unit name]],hierarchy!$A:$A,hierarchy!$C:$C)</f>
        <v>Office</v>
      </c>
    </row>
    <row r="1146" spans="1:44" hidden="1" x14ac:dyDescent="0.25">
      <c r="A1146">
        <v>292839</v>
      </c>
      <c r="B1146" t="s">
        <v>367</v>
      </c>
      <c r="C1146" t="s">
        <v>501</v>
      </c>
      <c r="D1146" t="s">
        <v>548</v>
      </c>
      <c r="E1146" s="3">
        <v>44562</v>
      </c>
      <c r="F1146" s="3">
        <v>44926</v>
      </c>
      <c r="G1146" t="s">
        <v>141</v>
      </c>
      <c r="H1146" s="3">
        <v>44562</v>
      </c>
      <c r="I1146" s="3">
        <v>44926</v>
      </c>
      <c r="J1146" t="s">
        <v>147</v>
      </c>
      <c r="K1146">
        <v>0</v>
      </c>
      <c r="L1146" t="s">
        <v>303</v>
      </c>
      <c r="M1146" t="s">
        <v>110</v>
      </c>
      <c r="N1146" t="s">
        <v>373</v>
      </c>
      <c r="O1146" t="s">
        <v>889</v>
      </c>
      <c r="P1146" t="s">
        <v>550</v>
      </c>
      <c r="Q1146">
        <v>2022</v>
      </c>
      <c r="R1146" t="s">
        <v>584</v>
      </c>
      <c r="S1146" t="s">
        <v>585</v>
      </c>
      <c r="T1146" t="s">
        <v>553</v>
      </c>
      <c r="U1146" t="b">
        <v>0</v>
      </c>
      <c r="V1146" t="s">
        <v>586</v>
      </c>
      <c r="W1146" t="s">
        <v>587</v>
      </c>
      <c r="X1146" t="s">
        <v>556</v>
      </c>
      <c r="AC1146">
        <v>0</v>
      </c>
      <c r="AD1146" t="s">
        <v>565</v>
      </c>
      <c r="AE1146">
        <v>0</v>
      </c>
      <c r="AF1146">
        <v>3032.89</v>
      </c>
      <c r="AG1146" t="s">
        <v>756</v>
      </c>
      <c r="AH1146">
        <v>9.9999999999999995E-7</v>
      </c>
      <c r="AI1146">
        <v>0</v>
      </c>
      <c r="AJ1146" t="s">
        <v>561</v>
      </c>
      <c r="AK1146" t="s">
        <v>589</v>
      </c>
      <c r="AL1146" t="s">
        <v>590</v>
      </c>
      <c r="AM1146">
        <v>2022</v>
      </c>
      <c r="AN1146">
        <v>2020</v>
      </c>
      <c r="AO1146">
        <f>IF(AND(emissions[[#This Row],[Market-based]]=0,emissions[[#This Row],[Impact Type]]="CO2E"),emissions[[#This Row],[kgCO2e]],0)/1000</f>
        <v>0</v>
      </c>
      <c r="AP1146">
        <f>IF(AND(emissions[[#This Row],[Market-based]]=1,OR(emissions[[#This Row],[Impact Type]]="CO2E",emissions[[#This Row],[Impact Type]]="CO2E MKT")),emissions[[#This Row],[kgCO2e]],0)/1000</f>
        <v>0</v>
      </c>
      <c r="AQ1146" t="str">
        <f>_xlfn.TEXTAFTER(emissions[[#This Row],[Reporting Unit]]," &gt; ",LEN(emissions[[#This Row],[Reporting Unit]])-LEN(SUBSTITUTE(emissions[[#This Row],[Reporting Unit]],"&gt;","")))</f>
        <v>Vantage_Englewood</v>
      </c>
      <c r="AR1146" t="str">
        <f>_xlfn.XLOOKUP(emissions[[#This Row],[Reporting unit name]],hierarchy!$A:$A,hierarchy!$C:$C)</f>
        <v>Office</v>
      </c>
    </row>
    <row r="1147" spans="1:44" hidden="1" x14ac:dyDescent="0.25">
      <c r="A1147">
        <v>292839</v>
      </c>
      <c r="B1147" t="s">
        <v>367</v>
      </c>
      <c r="C1147" t="s">
        <v>501</v>
      </c>
      <c r="D1147" t="s">
        <v>548</v>
      </c>
      <c r="E1147" s="3">
        <v>44562</v>
      </c>
      <c r="F1147" s="3">
        <v>44926</v>
      </c>
      <c r="G1147" t="s">
        <v>141</v>
      </c>
      <c r="H1147" s="3">
        <v>44562</v>
      </c>
      <c r="I1147" s="3">
        <v>44926</v>
      </c>
      <c r="J1147" t="s">
        <v>147</v>
      </c>
      <c r="K1147">
        <v>0</v>
      </c>
      <c r="L1147" t="s">
        <v>303</v>
      </c>
      <c r="M1147" t="s">
        <v>110</v>
      </c>
      <c r="N1147" t="s">
        <v>373</v>
      </c>
      <c r="O1147" t="s">
        <v>889</v>
      </c>
      <c r="P1147" t="s">
        <v>550</v>
      </c>
      <c r="Q1147">
        <v>2022</v>
      </c>
      <c r="R1147" t="s">
        <v>584</v>
      </c>
      <c r="S1147" t="s">
        <v>585</v>
      </c>
      <c r="T1147" t="s">
        <v>553</v>
      </c>
      <c r="U1147" t="b">
        <v>0</v>
      </c>
      <c r="V1147" t="s">
        <v>586</v>
      </c>
      <c r="W1147" t="s">
        <v>587</v>
      </c>
      <c r="X1147" t="s">
        <v>556</v>
      </c>
      <c r="AC1147">
        <v>0</v>
      </c>
      <c r="AD1147" t="s">
        <v>566</v>
      </c>
      <c r="AE1147">
        <v>0</v>
      </c>
      <c r="AF1147">
        <v>43.73</v>
      </c>
      <c r="AG1147" t="s">
        <v>756</v>
      </c>
      <c r="AH1147">
        <v>9.9999999999999995E-7</v>
      </c>
      <c r="AI1147">
        <v>0</v>
      </c>
      <c r="AJ1147" t="s">
        <v>561</v>
      </c>
      <c r="AK1147" t="s">
        <v>589</v>
      </c>
      <c r="AL1147" t="s">
        <v>590</v>
      </c>
      <c r="AM1147">
        <v>2022</v>
      </c>
      <c r="AN1147">
        <v>2020</v>
      </c>
      <c r="AO1147">
        <f>IF(AND(emissions[[#This Row],[Market-based]]=0,emissions[[#This Row],[Impact Type]]="CO2E"),emissions[[#This Row],[kgCO2e]],0)/1000</f>
        <v>0</v>
      </c>
      <c r="AP1147">
        <f>IF(AND(emissions[[#This Row],[Market-based]]=1,OR(emissions[[#This Row],[Impact Type]]="CO2E",emissions[[#This Row],[Impact Type]]="CO2E MKT")),emissions[[#This Row],[kgCO2e]],0)/1000</f>
        <v>0</v>
      </c>
      <c r="AQ1147" t="str">
        <f>_xlfn.TEXTAFTER(emissions[[#This Row],[Reporting Unit]]," &gt; ",LEN(emissions[[#This Row],[Reporting Unit]])-LEN(SUBSTITUTE(emissions[[#This Row],[Reporting Unit]],"&gt;","")))</f>
        <v>Vantage_Englewood</v>
      </c>
      <c r="AR1147" t="str">
        <f>_xlfn.XLOOKUP(emissions[[#This Row],[Reporting unit name]],hierarchy!$A:$A,hierarchy!$C:$C)</f>
        <v>Office</v>
      </c>
    </row>
    <row r="1148" spans="1:44" hidden="1" x14ac:dyDescent="0.25">
      <c r="A1148">
        <v>292839</v>
      </c>
      <c r="B1148" t="s">
        <v>367</v>
      </c>
      <c r="C1148" t="s">
        <v>501</v>
      </c>
      <c r="D1148" t="s">
        <v>548</v>
      </c>
      <c r="E1148" s="3">
        <v>44562</v>
      </c>
      <c r="F1148" s="3">
        <v>44926</v>
      </c>
      <c r="G1148" t="s">
        <v>141</v>
      </c>
      <c r="H1148" s="3">
        <v>44562</v>
      </c>
      <c r="I1148" s="3">
        <v>44926</v>
      </c>
      <c r="J1148" t="s">
        <v>147</v>
      </c>
      <c r="K1148">
        <v>0</v>
      </c>
      <c r="L1148" t="s">
        <v>303</v>
      </c>
      <c r="M1148" t="s">
        <v>110</v>
      </c>
      <c r="N1148" t="s">
        <v>373</v>
      </c>
      <c r="O1148" t="s">
        <v>889</v>
      </c>
      <c r="P1148" t="s">
        <v>550</v>
      </c>
      <c r="Q1148">
        <v>2022</v>
      </c>
      <c r="R1148" t="s">
        <v>584</v>
      </c>
      <c r="S1148" t="s">
        <v>585</v>
      </c>
      <c r="T1148" t="s">
        <v>553</v>
      </c>
      <c r="U1148" t="b">
        <v>0</v>
      </c>
      <c r="V1148" t="s">
        <v>586</v>
      </c>
      <c r="W1148" t="s">
        <v>587</v>
      </c>
      <c r="X1148" t="s">
        <v>556</v>
      </c>
      <c r="AC1148">
        <v>1</v>
      </c>
      <c r="AD1148" t="s">
        <v>558</v>
      </c>
      <c r="AE1148">
        <v>0</v>
      </c>
      <c r="AF1148">
        <v>0.31</v>
      </c>
      <c r="AG1148" t="s">
        <v>756</v>
      </c>
      <c r="AH1148">
        <v>9.9999999999999995E-7</v>
      </c>
      <c r="AI1148">
        <v>0</v>
      </c>
      <c r="AJ1148" t="s">
        <v>561</v>
      </c>
      <c r="AK1148" t="s">
        <v>589</v>
      </c>
      <c r="AL1148" t="s">
        <v>590</v>
      </c>
      <c r="AM1148">
        <v>2022</v>
      </c>
      <c r="AN1148">
        <v>2020</v>
      </c>
      <c r="AO1148">
        <f>IF(AND(emissions[[#This Row],[Market-based]]=0,emissions[[#This Row],[Impact Type]]="CO2E"),emissions[[#This Row],[kgCO2e]],0)/1000</f>
        <v>0</v>
      </c>
      <c r="AP1148">
        <f>IF(AND(emissions[[#This Row],[Market-based]]=1,OR(emissions[[#This Row],[Impact Type]]="CO2E",emissions[[#This Row],[Impact Type]]="CO2E MKT")),emissions[[#This Row],[kgCO2e]],0)/1000</f>
        <v>0</v>
      </c>
      <c r="AQ1148" t="str">
        <f>_xlfn.TEXTAFTER(emissions[[#This Row],[Reporting Unit]]," &gt; ",LEN(emissions[[#This Row],[Reporting Unit]])-LEN(SUBSTITUTE(emissions[[#This Row],[Reporting Unit]],"&gt;","")))</f>
        <v>Vantage_Englewood</v>
      </c>
      <c r="AR1148" t="str">
        <f>_xlfn.XLOOKUP(emissions[[#This Row],[Reporting unit name]],hierarchy!$A:$A,hierarchy!$C:$C)</f>
        <v>Office</v>
      </c>
    </row>
    <row r="1149" spans="1:44" hidden="1" x14ac:dyDescent="0.25">
      <c r="A1149">
        <v>292839</v>
      </c>
      <c r="B1149" t="s">
        <v>367</v>
      </c>
      <c r="C1149" t="s">
        <v>501</v>
      </c>
      <c r="D1149" t="s">
        <v>548</v>
      </c>
      <c r="E1149" s="3">
        <v>44562</v>
      </c>
      <c r="F1149" s="3">
        <v>44926</v>
      </c>
      <c r="G1149" t="s">
        <v>141</v>
      </c>
      <c r="H1149" s="3">
        <v>44562</v>
      </c>
      <c r="I1149" s="3">
        <v>44926</v>
      </c>
      <c r="J1149" t="s">
        <v>147</v>
      </c>
      <c r="K1149">
        <v>0</v>
      </c>
      <c r="L1149" t="s">
        <v>303</v>
      </c>
      <c r="M1149" t="s">
        <v>110</v>
      </c>
      <c r="N1149" t="s">
        <v>373</v>
      </c>
      <c r="O1149" t="s">
        <v>889</v>
      </c>
      <c r="P1149" t="s">
        <v>550</v>
      </c>
      <c r="Q1149">
        <v>2022</v>
      </c>
      <c r="R1149" t="s">
        <v>584</v>
      </c>
      <c r="S1149" t="s">
        <v>585</v>
      </c>
      <c r="T1149" t="s">
        <v>553</v>
      </c>
      <c r="U1149" t="b">
        <v>0</v>
      </c>
      <c r="V1149" t="s">
        <v>586</v>
      </c>
      <c r="W1149" t="s">
        <v>587</v>
      </c>
      <c r="X1149" t="s">
        <v>556</v>
      </c>
      <c r="AC1149">
        <v>1</v>
      </c>
      <c r="AD1149" t="s">
        <v>564</v>
      </c>
      <c r="AE1149">
        <v>0</v>
      </c>
      <c r="AF1149">
        <v>2988.85</v>
      </c>
      <c r="AG1149" t="s">
        <v>756</v>
      </c>
      <c r="AH1149">
        <v>9.9999999999999995E-7</v>
      </c>
      <c r="AI1149">
        <v>0</v>
      </c>
      <c r="AJ1149" t="s">
        <v>561</v>
      </c>
      <c r="AK1149" t="s">
        <v>589</v>
      </c>
      <c r="AL1149" t="s">
        <v>590</v>
      </c>
      <c r="AM1149">
        <v>2022</v>
      </c>
      <c r="AN1149">
        <v>2020</v>
      </c>
      <c r="AO1149">
        <f>IF(AND(emissions[[#This Row],[Market-based]]=0,emissions[[#This Row],[Impact Type]]="CO2E"),emissions[[#This Row],[kgCO2e]],0)/1000</f>
        <v>0</v>
      </c>
      <c r="AP1149">
        <f>IF(AND(emissions[[#This Row],[Market-based]]=1,OR(emissions[[#This Row],[Impact Type]]="CO2E",emissions[[#This Row],[Impact Type]]="CO2E MKT")),emissions[[#This Row],[kgCO2e]],0)/1000</f>
        <v>0</v>
      </c>
      <c r="AQ1149" t="str">
        <f>_xlfn.TEXTAFTER(emissions[[#This Row],[Reporting Unit]]," &gt; ",LEN(emissions[[#This Row],[Reporting Unit]])-LEN(SUBSTITUTE(emissions[[#This Row],[Reporting Unit]],"&gt;","")))</f>
        <v>Vantage_Englewood</v>
      </c>
      <c r="AR1149" t="str">
        <f>_xlfn.XLOOKUP(emissions[[#This Row],[Reporting unit name]],hierarchy!$A:$A,hierarchy!$C:$C)</f>
        <v>Office</v>
      </c>
    </row>
    <row r="1150" spans="1:44" hidden="1" x14ac:dyDescent="0.25">
      <c r="A1150">
        <v>292839</v>
      </c>
      <c r="B1150" t="s">
        <v>367</v>
      </c>
      <c r="C1150" t="s">
        <v>501</v>
      </c>
      <c r="D1150" t="s">
        <v>548</v>
      </c>
      <c r="E1150" s="3">
        <v>44562</v>
      </c>
      <c r="F1150" s="3">
        <v>44926</v>
      </c>
      <c r="G1150" t="s">
        <v>141</v>
      </c>
      <c r="H1150" s="3">
        <v>44562</v>
      </c>
      <c r="I1150" s="3">
        <v>44926</v>
      </c>
      <c r="J1150" t="s">
        <v>147</v>
      </c>
      <c r="K1150">
        <v>0</v>
      </c>
      <c r="L1150" t="s">
        <v>303</v>
      </c>
      <c r="M1150" t="s">
        <v>110</v>
      </c>
      <c r="N1150" t="s">
        <v>373</v>
      </c>
      <c r="O1150" t="s">
        <v>889</v>
      </c>
      <c r="P1150" t="s">
        <v>550</v>
      </c>
      <c r="Q1150">
        <v>2022</v>
      </c>
      <c r="R1150" t="s">
        <v>584</v>
      </c>
      <c r="S1150" t="s">
        <v>585</v>
      </c>
      <c r="T1150" t="s">
        <v>553</v>
      </c>
      <c r="U1150" t="b">
        <v>0</v>
      </c>
      <c r="V1150" t="s">
        <v>586</v>
      </c>
      <c r="W1150" t="s">
        <v>587</v>
      </c>
      <c r="X1150" t="s">
        <v>556</v>
      </c>
      <c r="AC1150">
        <v>1</v>
      </c>
      <c r="AD1150" t="s">
        <v>565</v>
      </c>
      <c r="AE1150">
        <v>0</v>
      </c>
      <c r="AF1150">
        <v>3032.89</v>
      </c>
      <c r="AG1150" t="s">
        <v>756</v>
      </c>
      <c r="AH1150">
        <v>9.9999999999999995E-7</v>
      </c>
      <c r="AI1150">
        <v>0</v>
      </c>
      <c r="AJ1150" t="s">
        <v>561</v>
      </c>
      <c r="AK1150" t="s">
        <v>589</v>
      </c>
      <c r="AL1150" t="s">
        <v>590</v>
      </c>
      <c r="AM1150">
        <v>2022</v>
      </c>
      <c r="AN1150">
        <v>2020</v>
      </c>
      <c r="AO1150">
        <f>IF(AND(emissions[[#This Row],[Market-based]]=0,emissions[[#This Row],[Impact Type]]="CO2E"),emissions[[#This Row],[kgCO2e]],0)/1000</f>
        <v>0</v>
      </c>
      <c r="AP1150">
        <f>IF(AND(emissions[[#This Row],[Market-based]]=1,OR(emissions[[#This Row],[Impact Type]]="CO2E",emissions[[#This Row],[Impact Type]]="CO2E MKT")),emissions[[#This Row],[kgCO2e]],0)/1000</f>
        <v>0</v>
      </c>
      <c r="AQ1150" t="str">
        <f>_xlfn.TEXTAFTER(emissions[[#This Row],[Reporting Unit]]," &gt; ",LEN(emissions[[#This Row],[Reporting Unit]])-LEN(SUBSTITUTE(emissions[[#This Row],[Reporting Unit]],"&gt;","")))</f>
        <v>Vantage_Englewood</v>
      </c>
      <c r="AR1150" t="str">
        <f>_xlfn.XLOOKUP(emissions[[#This Row],[Reporting unit name]],hierarchy!$A:$A,hierarchy!$C:$C)</f>
        <v>Office</v>
      </c>
    </row>
    <row r="1151" spans="1:44" hidden="1" x14ac:dyDescent="0.25">
      <c r="A1151">
        <v>292839</v>
      </c>
      <c r="B1151" t="s">
        <v>367</v>
      </c>
      <c r="C1151" t="s">
        <v>501</v>
      </c>
      <c r="D1151" t="s">
        <v>548</v>
      </c>
      <c r="E1151" s="3">
        <v>44562</v>
      </c>
      <c r="F1151" s="3">
        <v>44926</v>
      </c>
      <c r="G1151" t="s">
        <v>141</v>
      </c>
      <c r="H1151" s="3">
        <v>44562</v>
      </c>
      <c r="I1151" s="3">
        <v>44926</v>
      </c>
      <c r="J1151" t="s">
        <v>147</v>
      </c>
      <c r="K1151">
        <v>0</v>
      </c>
      <c r="L1151" t="s">
        <v>303</v>
      </c>
      <c r="M1151" t="s">
        <v>110</v>
      </c>
      <c r="N1151" t="s">
        <v>373</v>
      </c>
      <c r="O1151" t="s">
        <v>889</v>
      </c>
      <c r="P1151" t="s">
        <v>550</v>
      </c>
      <c r="Q1151">
        <v>2022</v>
      </c>
      <c r="R1151" t="s">
        <v>584</v>
      </c>
      <c r="S1151" t="s">
        <v>585</v>
      </c>
      <c r="T1151" t="s">
        <v>553</v>
      </c>
      <c r="U1151" t="b">
        <v>0</v>
      </c>
      <c r="V1151" t="s">
        <v>586</v>
      </c>
      <c r="W1151" t="s">
        <v>587</v>
      </c>
      <c r="X1151" t="s">
        <v>556</v>
      </c>
      <c r="AC1151">
        <v>1</v>
      </c>
      <c r="AD1151" t="s">
        <v>566</v>
      </c>
      <c r="AE1151">
        <v>0</v>
      </c>
      <c r="AF1151">
        <v>43.73</v>
      </c>
      <c r="AG1151" t="s">
        <v>756</v>
      </c>
      <c r="AH1151">
        <v>9.9999999999999995E-7</v>
      </c>
      <c r="AI1151">
        <v>0</v>
      </c>
      <c r="AJ1151" t="s">
        <v>561</v>
      </c>
      <c r="AK1151" t="s">
        <v>589</v>
      </c>
      <c r="AL1151" t="s">
        <v>590</v>
      </c>
      <c r="AM1151">
        <v>2022</v>
      </c>
      <c r="AN1151">
        <v>2020</v>
      </c>
      <c r="AO1151">
        <f>IF(AND(emissions[[#This Row],[Market-based]]=0,emissions[[#This Row],[Impact Type]]="CO2E"),emissions[[#This Row],[kgCO2e]],0)/1000</f>
        <v>0</v>
      </c>
      <c r="AP1151">
        <f>IF(AND(emissions[[#This Row],[Market-based]]=1,OR(emissions[[#This Row],[Impact Type]]="CO2E",emissions[[#This Row],[Impact Type]]="CO2E MKT")),emissions[[#This Row],[kgCO2e]],0)/1000</f>
        <v>0</v>
      </c>
      <c r="AQ1151" t="str">
        <f>_xlfn.TEXTAFTER(emissions[[#This Row],[Reporting Unit]]," &gt; ",LEN(emissions[[#This Row],[Reporting Unit]])-LEN(SUBSTITUTE(emissions[[#This Row],[Reporting Unit]],"&gt;","")))</f>
        <v>Vantage_Englewood</v>
      </c>
      <c r="AR1151" t="str">
        <f>_xlfn.XLOOKUP(emissions[[#This Row],[Reporting unit name]],hierarchy!$A:$A,hierarchy!$C:$C)</f>
        <v>Office</v>
      </c>
    </row>
    <row r="1152" spans="1:44" hidden="1" x14ac:dyDescent="0.25">
      <c r="A1152">
        <v>292839</v>
      </c>
      <c r="B1152" t="s">
        <v>367</v>
      </c>
      <c r="C1152" t="s">
        <v>501</v>
      </c>
      <c r="D1152" t="s">
        <v>548</v>
      </c>
      <c r="E1152" s="3">
        <v>44562</v>
      </c>
      <c r="F1152" s="3">
        <v>44926</v>
      </c>
      <c r="G1152" t="s">
        <v>141</v>
      </c>
      <c r="H1152" s="3">
        <v>44562</v>
      </c>
      <c r="I1152" s="3">
        <v>44926</v>
      </c>
      <c r="J1152" t="s">
        <v>147</v>
      </c>
      <c r="K1152">
        <v>0</v>
      </c>
      <c r="L1152" t="s">
        <v>303</v>
      </c>
      <c r="M1152" t="s">
        <v>110</v>
      </c>
      <c r="N1152" t="s">
        <v>373</v>
      </c>
      <c r="O1152" t="s">
        <v>889</v>
      </c>
      <c r="P1152" t="s">
        <v>550</v>
      </c>
      <c r="Q1152">
        <v>2022</v>
      </c>
      <c r="R1152" t="s">
        <v>591</v>
      </c>
      <c r="S1152" t="s">
        <v>592</v>
      </c>
      <c r="T1152" t="s">
        <v>577</v>
      </c>
      <c r="U1152" t="b">
        <v>0</v>
      </c>
      <c r="V1152" t="s">
        <v>593</v>
      </c>
      <c r="W1152" t="s">
        <v>571</v>
      </c>
      <c r="X1152" t="s">
        <v>572</v>
      </c>
      <c r="AC1152">
        <v>0</v>
      </c>
      <c r="AD1152" t="s">
        <v>565</v>
      </c>
      <c r="AE1152">
        <v>0</v>
      </c>
      <c r="AF1152">
        <v>720.72856999999999</v>
      </c>
      <c r="AG1152" t="s">
        <v>756</v>
      </c>
      <c r="AH1152">
        <v>9.9999999999999995E-7</v>
      </c>
      <c r="AI1152">
        <v>0</v>
      </c>
      <c r="AJ1152" t="s">
        <v>561</v>
      </c>
      <c r="AK1152" t="s">
        <v>589</v>
      </c>
      <c r="AL1152" t="s">
        <v>590</v>
      </c>
      <c r="AM1152">
        <v>2022</v>
      </c>
      <c r="AN1152">
        <v>2020</v>
      </c>
      <c r="AO1152">
        <f>IF(AND(emissions[[#This Row],[Market-based]]=0,emissions[[#This Row],[Impact Type]]="CO2E"),emissions[[#This Row],[kgCO2e]],0)/1000</f>
        <v>0</v>
      </c>
      <c r="AP1152">
        <f>IF(AND(emissions[[#This Row],[Market-based]]=1,OR(emissions[[#This Row],[Impact Type]]="CO2E",emissions[[#This Row],[Impact Type]]="CO2E MKT")),emissions[[#This Row],[kgCO2e]],0)/1000</f>
        <v>0</v>
      </c>
      <c r="AQ1152" t="str">
        <f>_xlfn.TEXTAFTER(emissions[[#This Row],[Reporting Unit]]," &gt; ",LEN(emissions[[#This Row],[Reporting Unit]])-LEN(SUBSTITUTE(emissions[[#This Row],[Reporting Unit]],"&gt;","")))</f>
        <v>Vantage_Englewood</v>
      </c>
      <c r="AR1152" t="str">
        <f>_xlfn.XLOOKUP(emissions[[#This Row],[Reporting unit name]],hierarchy!$A:$A,hierarchy!$C:$C)</f>
        <v>Office</v>
      </c>
    </row>
    <row r="1153" spans="1:44" hidden="1" x14ac:dyDescent="0.25">
      <c r="A1153">
        <v>292839</v>
      </c>
      <c r="B1153" t="s">
        <v>367</v>
      </c>
      <c r="C1153" t="s">
        <v>501</v>
      </c>
      <c r="D1153" t="s">
        <v>548</v>
      </c>
      <c r="E1153" s="3">
        <v>44562</v>
      </c>
      <c r="F1153" s="3">
        <v>44926</v>
      </c>
      <c r="G1153" t="s">
        <v>141</v>
      </c>
      <c r="H1153" s="3">
        <v>44562</v>
      </c>
      <c r="I1153" s="3">
        <v>44926</v>
      </c>
      <c r="J1153" t="s">
        <v>147</v>
      </c>
      <c r="K1153">
        <v>0</v>
      </c>
      <c r="L1153" t="s">
        <v>303</v>
      </c>
      <c r="M1153" t="s">
        <v>110</v>
      </c>
      <c r="N1153" t="s">
        <v>373</v>
      </c>
      <c r="O1153" t="s">
        <v>889</v>
      </c>
      <c r="P1153" t="s">
        <v>550</v>
      </c>
      <c r="Q1153">
        <v>2022</v>
      </c>
      <c r="R1153" t="s">
        <v>591</v>
      </c>
      <c r="S1153" t="s">
        <v>592</v>
      </c>
      <c r="T1153" t="s">
        <v>577</v>
      </c>
      <c r="U1153" t="b">
        <v>0</v>
      </c>
      <c r="V1153" t="s">
        <v>593</v>
      </c>
      <c r="W1153" t="s">
        <v>571</v>
      </c>
      <c r="X1153" t="s">
        <v>572</v>
      </c>
      <c r="AC1153">
        <v>1</v>
      </c>
      <c r="AD1153" t="s">
        <v>565</v>
      </c>
      <c r="AE1153">
        <v>0</v>
      </c>
      <c r="AF1153">
        <v>720.72856999999999</v>
      </c>
      <c r="AG1153" t="s">
        <v>756</v>
      </c>
      <c r="AH1153">
        <v>9.9999999999999995E-7</v>
      </c>
      <c r="AI1153">
        <v>0</v>
      </c>
      <c r="AJ1153" t="s">
        <v>561</v>
      </c>
      <c r="AK1153" t="s">
        <v>589</v>
      </c>
      <c r="AL1153" t="s">
        <v>590</v>
      </c>
      <c r="AM1153">
        <v>2022</v>
      </c>
      <c r="AN1153">
        <v>2020</v>
      </c>
      <c r="AO1153">
        <f>IF(AND(emissions[[#This Row],[Market-based]]=0,emissions[[#This Row],[Impact Type]]="CO2E"),emissions[[#This Row],[kgCO2e]],0)/1000</f>
        <v>0</v>
      </c>
      <c r="AP1153">
        <f>IF(AND(emissions[[#This Row],[Market-based]]=1,OR(emissions[[#This Row],[Impact Type]]="CO2E",emissions[[#This Row],[Impact Type]]="CO2E MKT")),emissions[[#This Row],[kgCO2e]],0)/1000</f>
        <v>0</v>
      </c>
      <c r="AQ1153" t="str">
        <f>_xlfn.TEXTAFTER(emissions[[#This Row],[Reporting Unit]]," &gt; ",LEN(emissions[[#This Row],[Reporting Unit]])-LEN(SUBSTITUTE(emissions[[#This Row],[Reporting Unit]],"&gt;","")))</f>
        <v>Vantage_Englewood</v>
      </c>
      <c r="AR1153" t="str">
        <f>_xlfn.XLOOKUP(emissions[[#This Row],[Reporting unit name]],hierarchy!$A:$A,hierarchy!$C:$C)</f>
        <v>Office</v>
      </c>
    </row>
    <row r="1154" spans="1:44" hidden="1" x14ac:dyDescent="0.25">
      <c r="A1154">
        <v>290055</v>
      </c>
      <c r="B1154" t="s">
        <v>367</v>
      </c>
      <c r="C1154" t="s">
        <v>501</v>
      </c>
      <c r="D1154" t="s">
        <v>548</v>
      </c>
      <c r="E1154" s="3">
        <v>44562</v>
      </c>
      <c r="F1154" s="3">
        <v>44926</v>
      </c>
      <c r="G1154" t="s">
        <v>116</v>
      </c>
      <c r="H1154" s="3">
        <v>44562</v>
      </c>
      <c r="I1154" s="3">
        <v>44926</v>
      </c>
      <c r="J1154" t="s">
        <v>374</v>
      </c>
      <c r="K1154">
        <v>80</v>
      </c>
      <c r="L1154" t="s">
        <v>215</v>
      </c>
      <c r="M1154" t="s">
        <v>110</v>
      </c>
      <c r="N1154" t="s">
        <v>376</v>
      </c>
      <c r="O1154" t="s">
        <v>847</v>
      </c>
      <c r="P1154" t="s">
        <v>550</v>
      </c>
      <c r="Q1154">
        <v>2022</v>
      </c>
      <c r="R1154" t="s">
        <v>890</v>
      </c>
      <c r="S1154" t="s">
        <v>374</v>
      </c>
      <c r="T1154" t="s">
        <v>553</v>
      </c>
      <c r="U1154" t="b">
        <v>0</v>
      </c>
      <c r="V1154" t="s">
        <v>891</v>
      </c>
      <c r="W1154" t="s">
        <v>587</v>
      </c>
      <c r="X1154" t="s">
        <v>556</v>
      </c>
      <c r="AC1154">
        <v>0</v>
      </c>
      <c r="AD1154" t="s">
        <v>565</v>
      </c>
      <c r="AE1154">
        <v>144605.4197</v>
      </c>
      <c r="AF1154">
        <v>3985</v>
      </c>
      <c r="AG1154" t="s">
        <v>622</v>
      </c>
      <c r="AH1154">
        <v>0.45359291000000002</v>
      </c>
      <c r="AI1154">
        <v>36.287432799999998</v>
      </c>
      <c r="AJ1154" t="s">
        <v>561</v>
      </c>
      <c r="AK1154" t="s">
        <v>623</v>
      </c>
      <c r="AL1154" t="s">
        <v>624</v>
      </c>
      <c r="AM1154">
        <v>2022</v>
      </c>
      <c r="AN1154">
        <v>2007</v>
      </c>
      <c r="AO1154">
        <f>IF(AND(emissions[[#This Row],[Market-based]]=0,emissions[[#This Row],[Impact Type]]="CO2E"),emissions[[#This Row],[kgCO2e]],0)/1000</f>
        <v>144.6054197</v>
      </c>
      <c r="AP1154">
        <f>IF(AND(emissions[[#This Row],[Market-based]]=1,OR(emissions[[#This Row],[Impact Type]]="CO2E",emissions[[#This Row],[Impact Type]]="CO2E MKT")),emissions[[#This Row],[kgCO2e]],0)/1000</f>
        <v>0</v>
      </c>
      <c r="AQ1154" t="str">
        <f>_xlfn.TEXTAFTER(emissions[[#This Row],[Reporting Unit]]," &gt; ",LEN(emissions[[#This Row],[Reporting Unit]])-LEN(SUBSTITUTE(emissions[[#This Row],[Reporting Unit]],"&gt;","")))</f>
        <v>Vantage_Englewood</v>
      </c>
      <c r="AR1154" t="str">
        <f>_xlfn.XLOOKUP(emissions[[#This Row],[Reporting unit name]],hierarchy!$A:$A,hierarchy!$C:$C)</f>
        <v>Office</v>
      </c>
    </row>
    <row r="1155" spans="1:44" hidden="1" x14ac:dyDescent="0.25">
      <c r="A1155">
        <v>290055</v>
      </c>
      <c r="B1155" t="s">
        <v>367</v>
      </c>
      <c r="C1155" t="s">
        <v>501</v>
      </c>
      <c r="D1155" t="s">
        <v>548</v>
      </c>
      <c r="E1155" s="3">
        <v>44562</v>
      </c>
      <c r="F1155" s="3">
        <v>44926</v>
      </c>
      <c r="G1155" t="s">
        <v>116</v>
      </c>
      <c r="H1155" s="3">
        <v>44562</v>
      </c>
      <c r="I1155" s="3">
        <v>44926</v>
      </c>
      <c r="J1155" t="s">
        <v>374</v>
      </c>
      <c r="K1155">
        <v>80</v>
      </c>
      <c r="L1155" t="s">
        <v>215</v>
      </c>
      <c r="M1155" t="s">
        <v>110</v>
      </c>
      <c r="N1155" t="s">
        <v>376</v>
      </c>
      <c r="O1155" t="s">
        <v>847</v>
      </c>
      <c r="P1155" t="s">
        <v>550</v>
      </c>
      <c r="Q1155">
        <v>2022</v>
      </c>
      <c r="R1155" t="s">
        <v>890</v>
      </c>
      <c r="S1155" t="s">
        <v>374</v>
      </c>
      <c r="T1155" t="s">
        <v>553</v>
      </c>
      <c r="U1155" t="b">
        <v>0</v>
      </c>
      <c r="V1155" t="s">
        <v>891</v>
      </c>
      <c r="W1155" t="s">
        <v>587</v>
      </c>
      <c r="X1155" t="s">
        <v>556</v>
      </c>
      <c r="AC1155">
        <v>1</v>
      </c>
      <c r="AD1155" t="s">
        <v>565</v>
      </c>
      <c r="AE1155">
        <v>144605.4197</v>
      </c>
      <c r="AF1155">
        <v>3985</v>
      </c>
      <c r="AG1155" t="s">
        <v>622</v>
      </c>
      <c r="AH1155">
        <v>0.45359291000000002</v>
      </c>
      <c r="AI1155">
        <v>36.287432799999998</v>
      </c>
      <c r="AJ1155" t="s">
        <v>561</v>
      </c>
      <c r="AK1155" t="s">
        <v>623</v>
      </c>
      <c r="AL1155" t="s">
        <v>624</v>
      </c>
      <c r="AM1155">
        <v>2022</v>
      </c>
      <c r="AN1155">
        <v>2007</v>
      </c>
      <c r="AO1155">
        <f>IF(AND(emissions[[#This Row],[Market-based]]=0,emissions[[#This Row],[Impact Type]]="CO2E"),emissions[[#This Row],[kgCO2e]],0)/1000</f>
        <v>0</v>
      </c>
      <c r="AP1155">
        <f>IF(AND(emissions[[#This Row],[Market-based]]=1,OR(emissions[[#This Row],[Impact Type]]="CO2E",emissions[[#This Row],[Impact Type]]="CO2E MKT")),emissions[[#This Row],[kgCO2e]],0)/1000</f>
        <v>144.6054197</v>
      </c>
      <c r="AQ1155" t="str">
        <f>_xlfn.TEXTAFTER(emissions[[#This Row],[Reporting Unit]]," &gt; ",LEN(emissions[[#This Row],[Reporting Unit]])-LEN(SUBSTITUTE(emissions[[#This Row],[Reporting Unit]],"&gt;","")))</f>
        <v>Vantage_Englewood</v>
      </c>
      <c r="AR1155" t="str">
        <f>_xlfn.XLOOKUP(emissions[[#This Row],[Reporting unit name]],hierarchy!$A:$A,hierarchy!$C:$C)</f>
        <v>Office</v>
      </c>
    </row>
    <row r="1156" spans="1:44" hidden="1" x14ac:dyDescent="0.25">
      <c r="A1156">
        <v>292844</v>
      </c>
      <c r="B1156" t="s">
        <v>367</v>
      </c>
      <c r="C1156" t="s">
        <v>501</v>
      </c>
      <c r="D1156" t="s">
        <v>548</v>
      </c>
      <c r="E1156" s="3">
        <v>44562</v>
      </c>
      <c r="F1156" s="3">
        <v>44926</v>
      </c>
      <c r="G1156" t="s">
        <v>116</v>
      </c>
      <c r="H1156" s="3">
        <v>44562</v>
      </c>
      <c r="I1156" s="3">
        <v>44926</v>
      </c>
      <c r="J1156" t="s">
        <v>175</v>
      </c>
      <c r="K1156">
        <v>0</v>
      </c>
      <c r="L1156" t="s">
        <v>215</v>
      </c>
      <c r="M1156" t="s">
        <v>110</v>
      </c>
      <c r="N1156" t="s">
        <v>378</v>
      </c>
      <c r="O1156" t="s">
        <v>892</v>
      </c>
      <c r="P1156" t="s">
        <v>550</v>
      </c>
      <c r="Q1156">
        <v>2022</v>
      </c>
      <c r="R1156" t="s">
        <v>664</v>
      </c>
      <c r="S1156" t="s">
        <v>175</v>
      </c>
      <c r="T1156" t="s">
        <v>553</v>
      </c>
      <c r="U1156" t="b">
        <v>0</v>
      </c>
      <c r="V1156" t="s">
        <v>665</v>
      </c>
      <c r="W1156" t="s">
        <v>587</v>
      </c>
      <c r="X1156" t="s">
        <v>556</v>
      </c>
      <c r="AC1156">
        <v>0</v>
      </c>
      <c r="AD1156" t="s">
        <v>565</v>
      </c>
      <c r="AE1156">
        <v>0</v>
      </c>
      <c r="AF1156">
        <v>2088</v>
      </c>
      <c r="AG1156" t="s">
        <v>622</v>
      </c>
      <c r="AH1156">
        <v>0.45359291000000002</v>
      </c>
      <c r="AI1156">
        <v>0</v>
      </c>
      <c r="AJ1156" t="s">
        <v>561</v>
      </c>
      <c r="AK1156" t="s">
        <v>623</v>
      </c>
      <c r="AL1156" t="s">
        <v>624</v>
      </c>
      <c r="AM1156">
        <v>2022</v>
      </c>
      <c r="AN1156">
        <v>2007</v>
      </c>
      <c r="AO1156">
        <f>IF(AND(emissions[[#This Row],[Market-based]]=0,emissions[[#This Row],[Impact Type]]="CO2E"),emissions[[#This Row],[kgCO2e]],0)/1000</f>
        <v>0</v>
      </c>
      <c r="AP1156">
        <f>IF(AND(emissions[[#This Row],[Market-based]]=1,OR(emissions[[#This Row],[Impact Type]]="CO2E",emissions[[#This Row],[Impact Type]]="CO2E MKT")),emissions[[#This Row],[kgCO2e]],0)/1000</f>
        <v>0</v>
      </c>
      <c r="AQ1156" t="str">
        <f>_xlfn.TEXTAFTER(emissions[[#This Row],[Reporting Unit]]," &gt; ",LEN(emissions[[#This Row],[Reporting Unit]])-LEN(SUBSTITUTE(emissions[[#This Row],[Reporting Unit]],"&gt;","")))</f>
        <v>Vantage_Englewood</v>
      </c>
      <c r="AR1156" t="str">
        <f>_xlfn.XLOOKUP(emissions[[#This Row],[Reporting unit name]],hierarchy!$A:$A,hierarchy!$C:$C)</f>
        <v>Office</v>
      </c>
    </row>
    <row r="1157" spans="1:44" hidden="1" x14ac:dyDescent="0.25">
      <c r="A1157">
        <v>292844</v>
      </c>
      <c r="B1157" t="s">
        <v>367</v>
      </c>
      <c r="C1157" t="s">
        <v>501</v>
      </c>
      <c r="D1157" t="s">
        <v>548</v>
      </c>
      <c r="E1157" s="3">
        <v>44562</v>
      </c>
      <c r="F1157" s="3">
        <v>44926</v>
      </c>
      <c r="G1157" t="s">
        <v>116</v>
      </c>
      <c r="H1157" s="3">
        <v>44562</v>
      </c>
      <c r="I1157" s="3">
        <v>44926</v>
      </c>
      <c r="J1157" t="s">
        <v>175</v>
      </c>
      <c r="K1157">
        <v>0</v>
      </c>
      <c r="L1157" t="s">
        <v>215</v>
      </c>
      <c r="M1157" t="s">
        <v>110</v>
      </c>
      <c r="N1157" t="s">
        <v>378</v>
      </c>
      <c r="O1157" t="s">
        <v>892</v>
      </c>
      <c r="P1157" t="s">
        <v>550</v>
      </c>
      <c r="Q1157">
        <v>2022</v>
      </c>
      <c r="R1157" t="s">
        <v>664</v>
      </c>
      <c r="S1157" t="s">
        <v>175</v>
      </c>
      <c r="T1157" t="s">
        <v>553</v>
      </c>
      <c r="U1157" t="b">
        <v>0</v>
      </c>
      <c r="V1157" t="s">
        <v>665</v>
      </c>
      <c r="W1157" t="s">
        <v>587</v>
      </c>
      <c r="X1157" t="s">
        <v>556</v>
      </c>
      <c r="AC1157">
        <v>1</v>
      </c>
      <c r="AD1157" t="s">
        <v>565</v>
      </c>
      <c r="AE1157">
        <v>0</v>
      </c>
      <c r="AF1157">
        <v>2088</v>
      </c>
      <c r="AG1157" t="s">
        <v>622</v>
      </c>
      <c r="AH1157">
        <v>0.45359291000000002</v>
      </c>
      <c r="AI1157">
        <v>0</v>
      </c>
      <c r="AJ1157" t="s">
        <v>561</v>
      </c>
      <c r="AK1157" t="s">
        <v>623</v>
      </c>
      <c r="AL1157" t="s">
        <v>624</v>
      </c>
      <c r="AM1157">
        <v>2022</v>
      </c>
      <c r="AN1157">
        <v>2007</v>
      </c>
      <c r="AO1157">
        <f>IF(AND(emissions[[#This Row],[Market-based]]=0,emissions[[#This Row],[Impact Type]]="CO2E"),emissions[[#This Row],[kgCO2e]],0)/1000</f>
        <v>0</v>
      </c>
      <c r="AP1157">
        <f>IF(AND(emissions[[#This Row],[Market-based]]=1,OR(emissions[[#This Row],[Impact Type]]="CO2E",emissions[[#This Row],[Impact Type]]="CO2E MKT")),emissions[[#This Row],[kgCO2e]],0)/1000</f>
        <v>0</v>
      </c>
      <c r="AQ1157" t="str">
        <f>_xlfn.TEXTAFTER(emissions[[#This Row],[Reporting Unit]]," &gt; ",LEN(emissions[[#This Row],[Reporting Unit]])-LEN(SUBSTITUTE(emissions[[#This Row],[Reporting Unit]],"&gt;","")))</f>
        <v>Vantage_Englewood</v>
      </c>
      <c r="AR1157" t="str">
        <f>_xlfn.XLOOKUP(emissions[[#This Row],[Reporting unit name]],hierarchy!$A:$A,hierarchy!$C:$C)</f>
        <v>Office</v>
      </c>
    </row>
    <row r="1158" spans="1:44" hidden="1" x14ac:dyDescent="0.25">
      <c r="A1158">
        <v>292841</v>
      </c>
      <c r="B1158" t="s">
        <v>367</v>
      </c>
      <c r="C1158" t="s">
        <v>501</v>
      </c>
      <c r="D1158" t="s">
        <v>548</v>
      </c>
      <c r="E1158" s="3">
        <v>44562</v>
      </c>
      <c r="F1158" s="3">
        <v>44926</v>
      </c>
      <c r="G1158" t="s">
        <v>121</v>
      </c>
      <c r="H1158" s="3">
        <v>44562</v>
      </c>
      <c r="I1158" s="3">
        <v>44926</v>
      </c>
      <c r="J1158" t="s">
        <v>150</v>
      </c>
      <c r="K1158">
        <v>0</v>
      </c>
      <c r="L1158" t="s">
        <v>148</v>
      </c>
      <c r="M1158" t="s">
        <v>110</v>
      </c>
      <c r="N1158" t="s">
        <v>379</v>
      </c>
      <c r="O1158" t="s">
        <v>892</v>
      </c>
      <c r="P1158" t="s">
        <v>550</v>
      </c>
      <c r="Q1158">
        <v>2022</v>
      </c>
      <c r="R1158" t="s">
        <v>594</v>
      </c>
      <c r="S1158" t="s">
        <v>150</v>
      </c>
      <c r="T1158" t="s">
        <v>553</v>
      </c>
      <c r="U1158" t="b">
        <v>0</v>
      </c>
      <c r="V1158" t="s">
        <v>789</v>
      </c>
      <c r="W1158" t="s">
        <v>587</v>
      </c>
      <c r="X1158" t="s">
        <v>556</v>
      </c>
      <c r="Y1158" t="s">
        <v>472</v>
      </c>
      <c r="Z1158" t="s">
        <v>485</v>
      </c>
      <c r="AA1158" t="s">
        <v>764</v>
      </c>
      <c r="AC1158">
        <v>0</v>
      </c>
      <c r="AD1158" t="s">
        <v>558</v>
      </c>
      <c r="AE1158">
        <v>0</v>
      </c>
      <c r="AF1158">
        <v>6.7499999999999999E-3</v>
      </c>
      <c r="AG1158" t="s">
        <v>786</v>
      </c>
      <c r="AH1158">
        <v>1</v>
      </c>
      <c r="AI1158">
        <v>0</v>
      </c>
      <c r="AJ1158" t="s">
        <v>561</v>
      </c>
      <c r="AK1158" t="s">
        <v>766</v>
      </c>
      <c r="AL1158" t="s">
        <v>787</v>
      </c>
      <c r="AM1158">
        <v>2022</v>
      </c>
      <c r="AN1158">
        <v>2021</v>
      </c>
      <c r="AO1158">
        <f>IF(AND(emissions[[#This Row],[Market-based]]=0,emissions[[#This Row],[Impact Type]]="CO2E"),emissions[[#This Row],[kgCO2e]],0)/1000</f>
        <v>0</v>
      </c>
      <c r="AP1158">
        <f>IF(AND(emissions[[#This Row],[Market-based]]=1,OR(emissions[[#This Row],[Impact Type]]="CO2E",emissions[[#This Row],[Impact Type]]="CO2E MKT")),emissions[[#This Row],[kgCO2e]],0)/1000</f>
        <v>0</v>
      </c>
      <c r="AQ1158" t="str">
        <f>_xlfn.TEXTAFTER(emissions[[#This Row],[Reporting Unit]]," &gt; ",LEN(emissions[[#This Row],[Reporting Unit]])-LEN(SUBSTITUTE(emissions[[#This Row],[Reporting Unit]],"&gt;","")))</f>
        <v>Vantage_Englewood</v>
      </c>
      <c r="AR1158" t="str">
        <f>_xlfn.XLOOKUP(emissions[[#This Row],[Reporting unit name]],hierarchy!$A:$A,hierarchy!$C:$C)</f>
        <v>Office</v>
      </c>
    </row>
    <row r="1159" spans="1:44" hidden="1" x14ac:dyDescent="0.25">
      <c r="A1159">
        <v>292841</v>
      </c>
      <c r="B1159" t="s">
        <v>367</v>
      </c>
      <c r="C1159" t="s">
        <v>501</v>
      </c>
      <c r="D1159" t="s">
        <v>548</v>
      </c>
      <c r="E1159" s="3">
        <v>44562</v>
      </c>
      <c r="F1159" s="3">
        <v>44926</v>
      </c>
      <c r="G1159" t="s">
        <v>121</v>
      </c>
      <c r="H1159" s="3">
        <v>44562</v>
      </c>
      <c r="I1159" s="3">
        <v>44926</v>
      </c>
      <c r="J1159" t="s">
        <v>150</v>
      </c>
      <c r="K1159">
        <v>0</v>
      </c>
      <c r="L1159" t="s">
        <v>148</v>
      </c>
      <c r="M1159" t="s">
        <v>110</v>
      </c>
      <c r="N1159" t="s">
        <v>379</v>
      </c>
      <c r="O1159" t="s">
        <v>892</v>
      </c>
      <c r="P1159" t="s">
        <v>550</v>
      </c>
      <c r="Q1159">
        <v>2022</v>
      </c>
      <c r="R1159" t="s">
        <v>594</v>
      </c>
      <c r="S1159" t="s">
        <v>150</v>
      </c>
      <c r="T1159" t="s">
        <v>553</v>
      </c>
      <c r="U1159" t="b">
        <v>0</v>
      </c>
      <c r="V1159" t="s">
        <v>789</v>
      </c>
      <c r="W1159" t="s">
        <v>587</v>
      </c>
      <c r="X1159" t="s">
        <v>556</v>
      </c>
      <c r="Y1159" t="s">
        <v>472</v>
      </c>
      <c r="Z1159" t="s">
        <v>485</v>
      </c>
      <c r="AA1159" t="s">
        <v>764</v>
      </c>
      <c r="AC1159">
        <v>0</v>
      </c>
      <c r="AD1159" t="s">
        <v>564</v>
      </c>
      <c r="AE1159">
        <v>0</v>
      </c>
      <c r="AF1159">
        <v>5.72</v>
      </c>
      <c r="AG1159" t="s">
        <v>786</v>
      </c>
      <c r="AH1159">
        <v>1</v>
      </c>
      <c r="AI1159">
        <v>0</v>
      </c>
      <c r="AJ1159" t="s">
        <v>561</v>
      </c>
      <c r="AK1159" t="s">
        <v>766</v>
      </c>
      <c r="AL1159" t="s">
        <v>767</v>
      </c>
      <c r="AM1159">
        <v>2022</v>
      </c>
      <c r="AN1159">
        <v>2022</v>
      </c>
      <c r="AO1159">
        <f>IF(AND(emissions[[#This Row],[Market-based]]=0,emissions[[#This Row],[Impact Type]]="CO2E"),emissions[[#This Row],[kgCO2e]],0)/1000</f>
        <v>0</v>
      </c>
      <c r="AP1159">
        <f>IF(AND(emissions[[#This Row],[Market-based]]=1,OR(emissions[[#This Row],[Impact Type]]="CO2E",emissions[[#This Row],[Impact Type]]="CO2E MKT")),emissions[[#This Row],[kgCO2e]],0)/1000</f>
        <v>0</v>
      </c>
      <c r="AQ1159" t="str">
        <f>_xlfn.TEXTAFTER(emissions[[#This Row],[Reporting Unit]]," &gt; ",LEN(emissions[[#This Row],[Reporting Unit]])-LEN(SUBSTITUTE(emissions[[#This Row],[Reporting Unit]],"&gt;","")))</f>
        <v>Vantage_Englewood</v>
      </c>
      <c r="AR1159" t="str">
        <f>_xlfn.XLOOKUP(emissions[[#This Row],[Reporting unit name]],hierarchy!$A:$A,hierarchy!$C:$C)</f>
        <v>Office</v>
      </c>
    </row>
    <row r="1160" spans="1:44" hidden="1" x14ac:dyDescent="0.25">
      <c r="A1160">
        <v>292841</v>
      </c>
      <c r="B1160" t="s">
        <v>367</v>
      </c>
      <c r="C1160" t="s">
        <v>501</v>
      </c>
      <c r="D1160" t="s">
        <v>548</v>
      </c>
      <c r="E1160" s="3">
        <v>44562</v>
      </c>
      <c r="F1160" s="3">
        <v>44926</v>
      </c>
      <c r="G1160" t="s">
        <v>121</v>
      </c>
      <c r="H1160" s="3">
        <v>44562</v>
      </c>
      <c r="I1160" s="3">
        <v>44926</v>
      </c>
      <c r="J1160" t="s">
        <v>150</v>
      </c>
      <c r="K1160">
        <v>0</v>
      </c>
      <c r="L1160" t="s">
        <v>148</v>
      </c>
      <c r="M1160" t="s">
        <v>110</v>
      </c>
      <c r="N1160" t="s">
        <v>379</v>
      </c>
      <c r="O1160" t="s">
        <v>892</v>
      </c>
      <c r="P1160" t="s">
        <v>550</v>
      </c>
      <c r="Q1160">
        <v>2022</v>
      </c>
      <c r="R1160" t="s">
        <v>594</v>
      </c>
      <c r="S1160" t="s">
        <v>150</v>
      </c>
      <c r="T1160" t="s">
        <v>553</v>
      </c>
      <c r="U1160" t="b">
        <v>0</v>
      </c>
      <c r="V1160" t="s">
        <v>789</v>
      </c>
      <c r="W1160" t="s">
        <v>587</v>
      </c>
      <c r="X1160" t="s">
        <v>556</v>
      </c>
      <c r="Y1160" t="s">
        <v>472</v>
      </c>
      <c r="Z1160" t="s">
        <v>485</v>
      </c>
      <c r="AA1160" t="s">
        <v>764</v>
      </c>
      <c r="AC1160">
        <v>0</v>
      </c>
      <c r="AD1160" t="s">
        <v>565</v>
      </c>
      <c r="AE1160">
        <v>0</v>
      </c>
      <c r="AF1160">
        <v>5.7416499999999999</v>
      </c>
      <c r="AG1160" t="s">
        <v>786</v>
      </c>
      <c r="AH1160">
        <v>1</v>
      </c>
      <c r="AI1160">
        <v>0</v>
      </c>
      <c r="AJ1160" t="s">
        <v>561</v>
      </c>
      <c r="AK1160" t="s">
        <v>766</v>
      </c>
      <c r="AL1160" t="s">
        <v>767</v>
      </c>
      <c r="AM1160">
        <v>2022</v>
      </c>
      <c r="AN1160">
        <v>2022</v>
      </c>
      <c r="AO1160">
        <f>IF(AND(emissions[[#This Row],[Market-based]]=0,emissions[[#This Row],[Impact Type]]="CO2E"),emissions[[#This Row],[kgCO2e]],0)/1000</f>
        <v>0</v>
      </c>
      <c r="AP1160">
        <f>IF(AND(emissions[[#This Row],[Market-based]]=1,OR(emissions[[#This Row],[Impact Type]]="CO2E",emissions[[#This Row],[Impact Type]]="CO2E MKT")),emissions[[#This Row],[kgCO2e]],0)/1000</f>
        <v>0</v>
      </c>
      <c r="AQ1160" t="str">
        <f>_xlfn.TEXTAFTER(emissions[[#This Row],[Reporting Unit]]," &gt; ",LEN(emissions[[#This Row],[Reporting Unit]])-LEN(SUBSTITUTE(emissions[[#This Row],[Reporting Unit]],"&gt;","")))</f>
        <v>Vantage_Englewood</v>
      </c>
      <c r="AR1160" t="str">
        <f>_xlfn.XLOOKUP(emissions[[#This Row],[Reporting unit name]],hierarchy!$A:$A,hierarchy!$C:$C)</f>
        <v>Office</v>
      </c>
    </row>
    <row r="1161" spans="1:44" hidden="1" x14ac:dyDescent="0.25">
      <c r="A1161">
        <v>292841</v>
      </c>
      <c r="B1161" t="s">
        <v>367</v>
      </c>
      <c r="C1161" t="s">
        <v>501</v>
      </c>
      <c r="D1161" t="s">
        <v>548</v>
      </c>
      <c r="E1161" s="3">
        <v>44562</v>
      </c>
      <c r="F1161" s="3">
        <v>44926</v>
      </c>
      <c r="G1161" t="s">
        <v>121</v>
      </c>
      <c r="H1161" s="3">
        <v>44562</v>
      </c>
      <c r="I1161" s="3">
        <v>44926</v>
      </c>
      <c r="J1161" t="s">
        <v>150</v>
      </c>
      <c r="K1161">
        <v>0</v>
      </c>
      <c r="L1161" t="s">
        <v>148</v>
      </c>
      <c r="M1161" t="s">
        <v>110</v>
      </c>
      <c r="N1161" t="s">
        <v>379</v>
      </c>
      <c r="O1161" t="s">
        <v>892</v>
      </c>
      <c r="P1161" t="s">
        <v>550</v>
      </c>
      <c r="Q1161">
        <v>2022</v>
      </c>
      <c r="R1161" t="s">
        <v>594</v>
      </c>
      <c r="S1161" t="s">
        <v>150</v>
      </c>
      <c r="T1161" t="s">
        <v>553</v>
      </c>
      <c r="U1161" t="b">
        <v>0</v>
      </c>
      <c r="V1161" t="s">
        <v>789</v>
      </c>
      <c r="W1161" t="s">
        <v>587</v>
      </c>
      <c r="X1161" t="s">
        <v>556</v>
      </c>
      <c r="Y1161" t="s">
        <v>472</v>
      </c>
      <c r="Z1161" t="s">
        <v>485</v>
      </c>
      <c r="AA1161" t="s">
        <v>764</v>
      </c>
      <c r="AC1161">
        <v>0</v>
      </c>
      <c r="AD1161" t="s">
        <v>566</v>
      </c>
      <c r="AE1161">
        <v>0</v>
      </c>
      <c r="AF1161">
        <v>1.49E-2</v>
      </c>
      <c r="AG1161" t="s">
        <v>786</v>
      </c>
      <c r="AH1161">
        <v>1</v>
      </c>
      <c r="AI1161">
        <v>0</v>
      </c>
      <c r="AJ1161" t="s">
        <v>561</v>
      </c>
      <c r="AK1161" t="s">
        <v>766</v>
      </c>
      <c r="AL1161" t="s">
        <v>787</v>
      </c>
      <c r="AM1161">
        <v>2022</v>
      </c>
      <c r="AN1161">
        <v>2021</v>
      </c>
      <c r="AO1161">
        <f>IF(AND(emissions[[#This Row],[Market-based]]=0,emissions[[#This Row],[Impact Type]]="CO2E"),emissions[[#This Row],[kgCO2e]],0)/1000</f>
        <v>0</v>
      </c>
      <c r="AP1161">
        <f>IF(AND(emissions[[#This Row],[Market-based]]=1,OR(emissions[[#This Row],[Impact Type]]="CO2E",emissions[[#This Row],[Impact Type]]="CO2E MKT")),emissions[[#This Row],[kgCO2e]],0)/1000</f>
        <v>0</v>
      </c>
      <c r="AQ1161" t="str">
        <f>_xlfn.TEXTAFTER(emissions[[#This Row],[Reporting Unit]]," &gt; ",LEN(emissions[[#This Row],[Reporting Unit]])-LEN(SUBSTITUTE(emissions[[#This Row],[Reporting Unit]],"&gt;","")))</f>
        <v>Vantage_Englewood</v>
      </c>
      <c r="AR1161" t="str">
        <f>_xlfn.XLOOKUP(emissions[[#This Row],[Reporting unit name]],hierarchy!$A:$A,hierarchy!$C:$C)</f>
        <v>Office</v>
      </c>
    </row>
    <row r="1162" spans="1:44" hidden="1" x14ac:dyDescent="0.25">
      <c r="A1162">
        <v>292841</v>
      </c>
      <c r="B1162" t="s">
        <v>367</v>
      </c>
      <c r="C1162" t="s">
        <v>501</v>
      </c>
      <c r="D1162" t="s">
        <v>548</v>
      </c>
      <c r="E1162" s="3">
        <v>44562</v>
      </c>
      <c r="F1162" s="3">
        <v>44926</v>
      </c>
      <c r="G1162" t="s">
        <v>121</v>
      </c>
      <c r="H1162" s="3">
        <v>44562</v>
      </c>
      <c r="I1162" s="3">
        <v>44926</v>
      </c>
      <c r="J1162" t="s">
        <v>150</v>
      </c>
      <c r="K1162">
        <v>0</v>
      </c>
      <c r="L1162" t="s">
        <v>148</v>
      </c>
      <c r="M1162" t="s">
        <v>110</v>
      </c>
      <c r="N1162" t="s">
        <v>379</v>
      </c>
      <c r="O1162" t="s">
        <v>892</v>
      </c>
      <c r="P1162" t="s">
        <v>550</v>
      </c>
      <c r="Q1162">
        <v>2022</v>
      </c>
      <c r="R1162" t="s">
        <v>594</v>
      </c>
      <c r="S1162" t="s">
        <v>150</v>
      </c>
      <c r="T1162" t="s">
        <v>553</v>
      </c>
      <c r="U1162" t="b">
        <v>0</v>
      </c>
      <c r="V1162" t="s">
        <v>789</v>
      </c>
      <c r="W1162" t="s">
        <v>587</v>
      </c>
      <c r="X1162" t="s">
        <v>556</v>
      </c>
      <c r="Y1162" t="s">
        <v>472</v>
      </c>
      <c r="Z1162" t="s">
        <v>485</v>
      </c>
      <c r="AA1162" t="s">
        <v>764</v>
      </c>
      <c r="AC1162">
        <v>1</v>
      </c>
      <c r="AD1162" t="s">
        <v>558</v>
      </c>
      <c r="AE1162">
        <v>0</v>
      </c>
      <c r="AF1162">
        <v>6.7499999999999999E-3</v>
      </c>
      <c r="AG1162" t="s">
        <v>786</v>
      </c>
      <c r="AH1162">
        <v>1</v>
      </c>
      <c r="AI1162">
        <v>0</v>
      </c>
      <c r="AJ1162" t="s">
        <v>561</v>
      </c>
      <c r="AK1162" t="s">
        <v>766</v>
      </c>
      <c r="AL1162" t="s">
        <v>787</v>
      </c>
      <c r="AM1162">
        <v>2022</v>
      </c>
      <c r="AN1162">
        <v>2021</v>
      </c>
      <c r="AO1162">
        <f>IF(AND(emissions[[#This Row],[Market-based]]=0,emissions[[#This Row],[Impact Type]]="CO2E"),emissions[[#This Row],[kgCO2e]],0)/1000</f>
        <v>0</v>
      </c>
      <c r="AP1162">
        <f>IF(AND(emissions[[#This Row],[Market-based]]=1,OR(emissions[[#This Row],[Impact Type]]="CO2E",emissions[[#This Row],[Impact Type]]="CO2E MKT")),emissions[[#This Row],[kgCO2e]],0)/1000</f>
        <v>0</v>
      </c>
      <c r="AQ1162" t="str">
        <f>_xlfn.TEXTAFTER(emissions[[#This Row],[Reporting Unit]]," &gt; ",LEN(emissions[[#This Row],[Reporting Unit]])-LEN(SUBSTITUTE(emissions[[#This Row],[Reporting Unit]],"&gt;","")))</f>
        <v>Vantage_Englewood</v>
      </c>
      <c r="AR1162" t="str">
        <f>_xlfn.XLOOKUP(emissions[[#This Row],[Reporting unit name]],hierarchy!$A:$A,hierarchy!$C:$C)</f>
        <v>Office</v>
      </c>
    </row>
    <row r="1163" spans="1:44" hidden="1" x14ac:dyDescent="0.25">
      <c r="A1163">
        <v>292841</v>
      </c>
      <c r="B1163" t="s">
        <v>367</v>
      </c>
      <c r="C1163" t="s">
        <v>501</v>
      </c>
      <c r="D1163" t="s">
        <v>548</v>
      </c>
      <c r="E1163" s="3">
        <v>44562</v>
      </c>
      <c r="F1163" s="3">
        <v>44926</v>
      </c>
      <c r="G1163" t="s">
        <v>121</v>
      </c>
      <c r="H1163" s="3">
        <v>44562</v>
      </c>
      <c r="I1163" s="3">
        <v>44926</v>
      </c>
      <c r="J1163" t="s">
        <v>150</v>
      </c>
      <c r="K1163">
        <v>0</v>
      </c>
      <c r="L1163" t="s">
        <v>148</v>
      </c>
      <c r="M1163" t="s">
        <v>110</v>
      </c>
      <c r="N1163" t="s">
        <v>379</v>
      </c>
      <c r="O1163" t="s">
        <v>892</v>
      </c>
      <c r="P1163" t="s">
        <v>550</v>
      </c>
      <c r="Q1163">
        <v>2022</v>
      </c>
      <c r="R1163" t="s">
        <v>594</v>
      </c>
      <c r="S1163" t="s">
        <v>150</v>
      </c>
      <c r="T1163" t="s">
        <v>553</v>
      </c>
      <c r="U1163" t="b">
        <v>0</v>
      </c>
      <c r="V1163" t="s">
        <v>789</v>
      </c>
      <c r="W1163" t="s">
        <v>587</v>
      </c>
      <c r="X1163" t="s">
        <v>556</v>
      </c>
      <c r="Y1163" t="s">
        <v>472</v>
      </c>
      <c r="Z1163" t="s">
        <v>485</v>
      </c>
      <c r="AA1163" t="s">
        <v>764</v>
      </c>
      <c r="AC1163">
        <v>1</v>
      </c>
      <c r="AD1163" t="s">
        <v>564</v>
      </c>
      <c r="AE1163">
        <v>0</v>
      </c>
      <c r="AF1163">
        <v>5.72</v>
      </c>
      <c r="AG1163" t="s">
        <v>786</v>
      </c>
      <c r="AH1163">
        <v>1</v>
      </c>
      <c r="AI1163">
        <v>0</v>
      </c>
      <c r="AJ1163" t="s">
        <v>561</v>
      </c>
      <c r="AK1163" t="s">
        <v>766</v>
      </c>
      <c r="AL1163" t="s">
        <v>767</v>
      </c>
      <c r="AM1163">
        <v>2022</v>
      </c>
      <c r="AN1163">
        <v>2022</v>
      </c>
      <c r="AO1163">
        <f>IF(AND(emissions[[#This Row],[Market-based]]=0,emissions[[#This Row],[Impact Type]]="CO2E"),emissions[[#This Row],[kgCO2e]],0)/1000</f>
        <v>0</v>
      </c>
      <c r="AP1163">
        <f>IF(AND(emissions[[#This Row],[Market-based]]=1,OR(emissions[[#This Row],[Impact Type]]="CO2E",emissions[[#This Row],[Impact Type]]="CO2E MKT")),emissions[[#This Row],[kgCO2e]],0)/1000</f>
        <v>0</v>
      </c>
      <c r="AQ1163" t="str">
        <f>_xlfn.TEXTAFTER(emissions[[#This Row],[Reporting Unit]]," &gt; ",LEN(emissions[[#This Row],[Reporting Unit]])-LEN(SUBSTITUTE(emissions[[#This Row],[Reporting Unit]],"&gt;","")))</f>
        <v>Vantage_Englewood</v>
      </c>
      <c r="AR1163" t="str">
        <f>_xlfn.XLOOKUP(emissions[[#This Row],[Reporting unit name]],hierarchy!$A:$A,hierarchy!$C:$C)</f>
        <v>Office</v>
      </c>
    </row>
    <row r="1164" spans="1:44" hidden="1" x14ac:dyDescent="0.25">
      <c r="A1164">
        <v>292841</v>
      </c>
      <c r="B1164" t="s">
        <v>367</v>
      </c>
      <c r="C1164" t="s">
        <v>501</v>
      </c>
      <c r="D1164" t="s">
        <v>548</v>
      </c>
      <c r="E1164" s="3">
        <v>44562</v>
      </c>
      <c r="F1164" s="3">
        <v>44926</v>
      </c>
      <c r="G1164" t="s">
        <v>121</v>
      </c>
      <c r="H1164" s="3">
        <v>44562</v>
      </c>
      <c r="I1164" s="3">
        <v>44926</v>
      </c>
      <c r="J1164" t="s">
        <v>150</v>
      </c>
      <c r="K1164">
        <v>0</v>
      </c>
      <c r="L1164" t="s">
        <v>148</v>
      </c>
      <c r="M1164" t="s">
        <v>110</v>
      </c>
      <c r="N1164" t="s">
        <v>379</v>
      </c>
      <c r="O1164" t="s">
        <v>892</v>
      </c>
      <c r="P1164" t="s">
        <v>550</v>
      </c>
      <c r="Q1164">
        <v>2022</v>
      </c>
      <c r="R1164" t="s">
        <v>594</v>
      </c>
      <c r="S1164" t="s">
        <v>150</v>
      </c>
      <c r="T1164" t="s">
        <v>553</v>
      </c>
      <c r="U1164" t="b">
        <v>0</v>
      </c>
      <c r="V1164" t="s">
        <v>789</v>
      </c>
      <c r="W1164" t="s">
        <v>587</v>
      </c>
      <c r="X1164" t="s">
        <v>556</v>
      </c>
      <c r="Y1164" t="s">
        <v>472</v>
      </c>
      <c r="Z1164" t="s">
        <v>485</v>
      </c>
      <c r="AA1164" t="s">
        <v>764</v>
      </c>
      <c r="AC1164">
        <v>1</v>
      </c>
      <c r="AD1164" t="s">
        <v>565</v>
      </c>
      <c r="AE1164">
        <v>0</v>
      </c>
      <c r="AF1164">
        <v>5.7416499999999999</v>
      </c>
      <c r="AG1164" t="s">
        <v>786</v>
      </c>
      <c r="AH1164">
        <v>1</v>
      </c>
      <c r="AI1164">
        <v>0</v>
      </c>
      <c r="AJ1164" t="s">
        <v>561</v>
      </c>
      <c r="AK1164" t="s">
        <v>766</v>
      </c>
      <c r="AL1164" t="s">
        <v>767</v>
      </c>
      <c r="AM1164">
        <v>2022</v>
      </c>
      <c r="AN1164">
        <v>2022</v>
      </c>
      <c r="AO1164">
        <f>IF(AND(emissions[[#This Row],[Market-based]]=0,emissions[[#This Row],[Impact Type]]="CO2E"),emissions[[#This Row],[kgCO2e]],0)/1000</f>
        <v>0</v>
      </c>
      <c r="AP1164">
        <f>IF(AND(emissions[[#This Row],[Market-based]]=1,OR(emissions[[#This Row],[Impact Type]]="CO2E",emissions[[#This Row],[Impact Type]]="CO2E MKT")),emissions[[#This Row],[kgCO2e]],0)/1000</f>
        <v>0</v>
      </c>
      <c r="AQ1164" t="str">
        <f>_xlfn.TEXTAFTER(emissions[[#This Row],[Reporting Unit]]," &gt; ",LEN(emissions[[#This Row],[Reporting Unit]])-LEN(SUBSTITUTE(emissions[[#This Row],[Reporting Unit]],"&gt;","")))</f>
        <v>Vantage_Englewood</v>
      </c>
      <c r="AR1164" t="str">
        <f>_xlfn.XLOOKUP(emissions[[#This Row],[Reporting unit name]],hierarchy!$A:$A,hierarchy!$C:$C)</f>
        <v>Office</v>
      </c>
    </row>
    <row r="1165" spans="1:44" hidden="1" x14ac:dyDescent="0.25">
      <c r="A1165">
        <v>292841</v>
      </c>
      <c r="B1165" t="s">
        <v>367</v>
      </c>
      <c r="C1165" t="s">
        <v>501</v>
      </c>
      <c r="D1165" t="s">
        <v>548</v>
      </c>
      <c r="E1165" s="3">
        <v>44562</v>
      </c>
      <c r="F1165" s="3">
        <v>44926</v>
      </c>
      <c r="G1165" t="s">
        <v>121</v>
      </c>
      <c r="H1165" s="3">
        <v>44562</v>
      </c>
      <c r="I1165" s="3">
        <v>44926</v>
      </c>
      <c r="J1165" t="s">
        <v>150</v>
      </c>
      <c r="K1165">
        <v>0</v>
      </c>
      <c r="L1165" t="s">
        <v>148</v>
      </c>
      <c r="M1165" t="s">
        <v>110</v>
      </c>
      <c r="N1165" t="s">
        <v>379</v>
      </c>
      <c r="O1165" t="s">
        <v>892</v>
      </c>
      <c r="P1165" t="s">
        <v>550</v>
      </c>
      <c r="Q1165">
        <v>2022</v>
      </c>
      <c r="R1165" t="s">
        <v>594</v>
      </c>
      <c r="S1165" t="s">
        <v>150</v>
      </c>
      <c r="T1165" t="s">
        <v>553</v>
      </c>
      <c r="U1165" t="b">
        <v>0</v>
      </c>
      <c r="V1165" t="s">
        <v>789</v>
      </c>
      <c r="W1165" t="s">
        <v>587</v>
      </c>
      <c r="X1165" t="s">
        <v>556</v>
      </c>
      <c r="Y1165" t="s">
        <v>472</v>
      </c>
      <c r="Z1165" t="s">
        <v>485</v>
      </c>
      <c r="AA1165" t="s">
        <v>764</v>
      </c>
      <c r="AC1165">
        <v>1</v>
      </c>
      <c r="AD1165" t="s">
        <v>566</v>
      </c>
      <c r="AE1165">
        <v>0</v>
      </c>
      <c r="AF1165">
        <v>1.49E-2</v>
      </c>
      <c r="AG1165" t="s">
        <v>786</v>
      </c>
      <c r="AH1165">
        <v>1</v>
      </c>
      <c r="AI1165">
        <v>0</v>
      </c>
      <c r="AJ1165" t="s">
        <v>561</v>
      </c>
      <c r="AK1165" t="s">
        <v>766</v>
      </c>
      <c r="AL1165" t="s">
        <v>787</v>
      </c>
      <c r="AM1165">
        <v>2022</v>
      </c>
      <c r="AN1165">
        <v>2021</v>
      </c>
      <c r="AO1165">
        <f>IF(AND(emissions[[#This Row],[Market-based]]=0,emissions[[#This Row],[Impact Type]]="CO2E"),emissions[[#This Row],[kgCO2e]],0)/1000</f>
        <v>0</v>
      </c>
      <c r="AP1165">
        <f>IF(AND(emissions[[#This Row],[Market-based]]=1,OR(emissions[[#This Row],[Impact Type]]="CO2E",emissions[[#This Row],[Impact Type]]="CO2E MKT")),emissions[[#This Row],[kgCO2e]],0)/1000</f>
        <v>0</v>
      </c>
      <c r="AQ1165" t="str">
        <f>_xlfn.TEXTAFTER(emissions[[#This Row],[Reporting Unit]]," &gt; ",LEN(emissions[[#This Row],[Reporting Unit]])-LEN(SUBSTITUTE(emissions[[#This Row],[Reporting Unit]],"&gt;","")))</f>
        <v>Vantage_Englewood</v>
      </c>
      <c r="AR1165" t="str">
        <f>_xlfn.XLOOKUP(emissions[[#This Row],[Reporting unit name]],hierarchy!$A:$A,hierarchy!$C:$C)</f>
        <v>Office</v>
      </c>
    </row>
    <row r="1166" spans="1:44" hidden="1" x14ac:dyDescent="0.25">
      <c r="A1166">
        <v>292841</v>
      </c>
      <c r="B1166" t="s">
        <v>367</v>
      </c>
      <c r="C1166" t="s">
        <v>501</v>
      </c>
      <c r="D1166" t="s">
        <v>548</v>
      </c>
      <c r="E1166" s="3">
        <v>44562</v>
      </c>
      <c r="F1166" s="3">
        <v>44926</v>
      </c>
      <c r="G1166" t="s">
        <v>121</v>
      </c>
      <c r="H1166" s="3">
        <v>44562</v>
      </c>
      <c r="I1166" s="3">
        <v>44926</v>
      </c>
      <c r="J1166" t="s">
        <v>150</v>
      </c>
      <c r="K1166">
        <v>0</v>
      </c>
      <c r="L1166" t="s">
        <v>148</v>
      </c>
      <c r="M1166" t="s">
        <v>110</v>
      </c>
      <c r="N1166" t="s">
        <v>379</v>
      </c>
      <c r="O1166" t="s">
        <v>892</v>
      </c>
      <c r="P1166" t="s">
        <v>550</v>
      </c>
      <c r="Q1166">
        <v>2022</v>
      </c>
      <c r="R1166" t="s">
        <v>596</v>
      </c>
      <c r="S1166" t="s">
        <v>597</v>
      </c>
      <c r="T1166" t="s">
        <v>577</v>
      </c>
      <c r="U1166" t="b">
        <v>0</v>
      </c>
      <c r="V1166" t="s">
        <v>598</v>
      </c>
      <c r="W1166" t="s">
        <v>571</v>
      </c>
      <c r="X1166" t="s">
        <v>572</v>
      </c>
      <c r="AC1166">
        <v>0</v>
      </c>
      <c r="AD1166" t="s">
        <v>565</v>
      </c>
      <c r="AE1166">
        <v>0</v>
      </c>
      <c r="AF1166">
        <v>0.18046000000000001</v>
      </c>
      <c r="AG1166" t="s">
        <v>588</v>
      </c>
      <c r="AH1166">
        <v>3.7854100000000002</v>
      </c>
      <c r="AI1166">
        <v>0</v>
      </c>
      <c r="AJ1166" t="s">
        <v>561</v>
      </c>
      <c r="AK1166" t="s">
        <v>589</v>
      </c>
      <c r="AL1166" t="s">
        <v>590</v>
      </c>
      <c r="AM1166">
        <v>2022</v>
      </c>
      <c r="AN1166">
        <v>2020</v>
      </c>
      <c r="AO1166">
        <f>IF(AND(emissions[[#This Row],[Market-based]]=0,emissions[[#This Row],[Impact Type]]="CO2E"),emissions[[#This Row],[kgCO2e]],0)/1000</f>
        <v>0</v>
      </c>
      <c r="AP1166">
        <f>IF(AND(emissions[[#This Row],[Market-based]]=1,OR(emissions[[#This Row],[Impact Type]]="CO2E",emissions[[#This Row],[Impact Type]]="CO2E MKT")),emissions[[#This Row],[kgCO2e]],0)/1000</f>
        <v>0</v>
      </c>
      <c r="AQ1166" t="str">
        <f>_xlfn.TEXTAFTER(emissions[[#This Row],[Reporting Unit]]," &gt; ",LEN(emissions[[#This Row],[Reporting Unit]])-LEN(SUBSTITUTE(emissions[[#This Row],[Reporting Unit]],"&gt;","")))</f>
        <v>Vantage_Englewood</v>
      </c>
      <c r="AR1166" t="str">
        <f>_xlfn.XLOOKUP(emissions[[#This Row],[Reporting unit name]],hierarchy!$A:$A,hierarchy!$C:$C)</f>
        <v>Office</v>
      </c>
    </row>
    <row r="1167" spans="1:44" hidden="1" x14ac:dyDescent="0.25">
      <c r="A1167">
        <v>292841</v>
      </c>
      <c r="B1167" t="s">
        <v>367</v>
      </c>
      <c r="C1167" t="s">
        <v>501</v>
      </c>
      <c r="D1167" t="s">
        <v>548</v>
      </c>
      <c r="E1167" s="3">
        <v>44562</v>
      </c>
      <c r="F1167" s="3">
        <v>44926</v>
      </c>
      <c r="G1167" t="s">
        <v>121</v>
      </c>
      <c r="H1167" s="3">
        <v>44562</v>
      </c>
      <c r="I1167" s="3">
        <v>44926</v>
      </c>
      <c r="J1167" t="s">
        <v>150</v>
      </c>
      <c r="K1167">
        <v>0</v>
      </c>
      <c r="L1167" t="s">
        <v>148</v>
      </c>
      <c r="M1167" t="s">
        <v>110</v>
      </c>
      <c r="N1167" t="s">
        <v>379</v>
      </c>
      <c r="O1167" t="s">
        <v>892</v>
      </c>
      <c r="P1167" t="s">
        <v>550</v>
      </c>
      <c r="Q1167">
        <v>2022</v>
      </c>
      <c r="R1167" t="s">
        <v>596</v>
      </c>
      <c r="S1167" t="s">
        <v>597</v>
      </c>
      <c r="T1167" t="s">
        <v>577</v>
      </c>
      <c r="U1167" t="b">
        <v>0</v>
      </c>
      <c r="V1167" t="s">
        <v>598</v>
      </c>
      <c r="W1167" t="s">
        <v>571</v>
      </c>
      <c r="X1167" t="s">
        <v>572</v>
      </c>
      <c r="AC1167">
        <v>1</v>
      </c>
      <c r="AD1167" t="s">
        <v>565</v>
      </c>
      <c r="AE1167">
        <v>0</v>
      </c>
      <c r="AF1167">
        <v>0.18046000000000001</v>
      </c>
      <c r="AG1167" t="s">
        <v>588</v>
      </c>
      <c r="AH1167">
        <v>3.7854100000000002</v>
      </c>
      <c r="AI1167">
        <v>0</v>
      </c>
      <c r="AJ1167" t="s">
        <v>561</v>
      </c>
      <c r="AK1167" t="s">
        <v>589</v>
      </c>
      <c r="AL1167" t="s">
        <v>590</v>
      </c>
      <c r="AM1167">
        <v>2022</v>
      </c>
      <c r="AN1167">
        <v>2020</v>
      </c>
      <c r="AO1167">
        <f>IF(AND(emissions[[#This Row],[Market-based]]=0,emissions[[#This Row],[Impact Type]]="CO2E"),emissions[[#This Row],[kgCO2e]],0)/1000</f>
        <v>0</v>
      </c>
      <c r="AP1167">
        <f>IF(AND(emissions[[#This Row],[Market-based]]=1,OR(emissions[[#This Row],[Impact Type]]="CO2E",emissions[[#This Row],[Impact Type]]="CO2E MKT")),emissions[[#This Row],[kgCO2e]],0)/1000</f>
        <v>0</v>
      </c>
      <c r="AQ1167" t="str">
        <f>_xlfn.TEXTAFTER(emissions[[#This Row],[Reporting Unit]]," &gt; ",LEN(emissions[[#This Row],[Reporting Unit]])-LEN(SUBSTITUTE(emissions[[#This Row],[Reporting Unit]],"&gt;","")))</f>
        <v>Vantage_Englewood</v>
      </c>
      <c r="AR1167" t="str">
        <f>_xlfn.XLOOKUP(emissions[[#This Row],[Reporting unit name]],hierarchy!$A:$A,hierarchy!$C:$C)</f>
        <v>Office</v>
      </c>
    </row>
    <row r="1168" spans="1:44" hidden="1" x14ac:dyDescent="0.25">
      <c r="A1168">
        <v>4948</v>
      </c>
      <c r="B1168" t="s">
        <v>367</v>
      </c>
      <c r="C1168" t="s">
        <v>501</v>
      </c>
      <c r="D1168" t="s">
        <v>599</v>
      </c>
      <c r="E1168" s="3">
        <v>44197</v>
      </c>
      <c r="F1168" s="3">
        <v>44561</v>
      </c>
      <c r="G1168" t="s">
        <v>108</v>
      </c>
      <c r="H1168" s="3">
        <v>44197</v>
      </c>
      <c r="I1168" s="3">
        <v>44561</v>
      </c>
      <c r="J1168" t="s">
        <v>108</v>
      </c>
      <c r="K1168">
        <v>1827719</v>
      </c>
      <c r="L1168" t="s">
        <v>109</v>
      </c>
      <c r="M1168" t="s">
        <v>110</v>
      </c>
      <c r="O1168" t="s">
        <v>600</v>
      </c>
      <c r="P1168" t="s">
        <v>550</v>
      </c>
      <c r="Q1168">
        <v>2021</v>
      </c>
      <c r="R1168" t="s">
        <v>551</v>
      </c>
      <c r="S1168" t="s">
        <v>552</v>
      </c>
      <c r="T1168" t="s">
        <v>553</v>
      </c>
      <c r="U1168" t="b">
        <v>0</v>
      </c>
      <c r="V1168" t="s">
        <v>763</v>
      </c>
      <c r="W1168" t="s">
        <v>555</v>
      </c>
      <c r="X1168" t="s">
        <v>556</v>
      </c>
      <c r="Y1168" t="s">
        <v>472</v>
      </c>
      <c r="Z1168" t="s">
        <v>485</v>
      </c>
      <c r="AA1168" t="s">
        <v>764</v>
      </c>
      <c r="AB1168" t="s">
        <v>765</v>
      </c>
      <c r="AC1168">
        <v>0</v>
      </c>
      <c r="AD1168" t="s">
        <v>558</v>
      </c>
      <c r="AE1168">
        <v>2051.8724969999998</v>
      </c>
      <c r="AF1168">
        <v>1.122641E-3</v>
      </c>
      <c r="AG1168" t="s">
        <v>560</v>
      </c>
      <c r="AH1168">
        <v>1</v>
      </c>
      <c r="AI1168">
        <v>1827719</v>
      </c>
      <c r="AJ1168" t="s">
        <v>561</v>
      </c>
      <c r="AK1168" t="s">
        <v>766</v>
      </c>
      <c r="AL1168" t="s">
        <v>790</v>
      </c>
      <c r="AM1168">
        <v>2021</v>
      </c>
      <c r="AN1168">
        <v>2019</v>
      </c>
      <c r="AO1168">
        <f>IF(AND(emissions[[#This Row],[Market-based]]=0,emissions[[#This Row],[Impact Type]]="CO2E"),emissions[[#This Row],[kgCO2e]],0)/1000</f>
        <v>0</v>
      </c>
      <c r="AP1168">
        <f>IF(AND(emissions[[#This Row],[Market-based]]=1,OR(emissions[[#This Row],[Impact Type]]="CO2E",emissions[[#This Row],[Impact Type]]="CO2E MKT")),emissions[[#This Row],[kgCO2e]],0)/1000</f>
        <v>0</v>
      </c>
      <c r="AQ1168" t="str">
        <f>_xlfn.TEXTAFTER(emissions[[#This Row],[Reporting Unit]]," &gt; ",LEN(emissions[[#This Row],[Reporting Unit]])-LEN(SUBSTITUTE(emissions[[#This Row],[Reporting Unit]],"&gt;","")))</f>
        <v>Vantage_Englewood</v>
      </c>
      <c r="AR1168" t="str">
        <f>_xlfn.XLOOKUP(emissions[[#This Row],[Reporting unit name]],hierarchy!$A:$A,hierarchy!$C:$C)</f>
        <v>Office</v>
      </c>
    </row>
    <row r="1169" spans="1:44" hidden="1" x14ac:dyDescent="0.25">
      <c r="A1169">
        <v>4948</v>
      </c>
      <c r="B1169" t="s">
        <v>367</v>
      </c>
      <c r="C1169" t="s">
        <v>501</v>
      </c>
      <c r="D1169" t="s">
        <v>599</v>
      </c>
      <c r="E1169" s="3">
        <v>44197</v>
      </c>
      <c r="F1169" s="3">
        <v>44561</v>
      </c>
      <c r="G1169" t="s">
        <v>108</v>
      </c>
      <c r="H1169" s="3">
        <v>44197</v>
      </c>
      <c r="I1169" s="3">
        <v>44561</v>
      </c>
      <c r="J1169" t="s">
        <v>108</v>
      </c>
      <c r="K1169">
        <v>1827719</v>
      </c>
      <c r="L1169" t="s">
        <v>109</v>
      </c>
      <c r="M1169" t="s">
        <v>110</v>
      </c>
      <c r="O1169" t="s">
        <v>600</v>
      </c>
      <c r="P1169" t="s">
        <v>550</v>
      </c>
      <c r="Q1169">
        <v>2021</v>
      </c>
      <c r="R1169" t="s">
        <v>551</v>
      </c>
      <c r="S1169" t="s">
        <v>552</v>
      </c>
      <c r="T1169" t="s">
        <v>553</v>
      </c>
      <c r="U1169" t="b">
        <v>0</v>
      </c>
      <c r="V1169" t="s">
        <v>763</v>
      </c>
      <c r="W1169" t="s">
        <v>555</v>
      </c>
      <c r="X1169" t="s">
        <v>556</v>
      </c>
      <c r="Y1169" t="s">
        <v>472</v>
      </c>
      <c r="Z1169" t="s">
        <v>485</v>
      </c>
      <c r="AA1169" t="s">
        <v>764</v>
      </c>
      <c r="AB1169" t="s">
        <v>765</v>
      </c>
      <c r="AC1169">
        <v>0</v>
      </c>
      <c r="AD1169" t="s">
        <v>564</v>
      </c>
      <c r="AE1169">
        <v>885147.95</v>
      </c>
      <c r="AF1169">
        <v>0.484291048</v>
      </c>
      <c r="AG1169" t="s">
        <v>560</v>
      </c>
      <c r="AH1169">
        <v>1</v>
      </c>
      <c r="AI1169">
        <v>1827719</v>
      </c>
      <c r="AJ1169" t="s">
        <v>561</v>
      </c>
      <c r="AK1169" t="s">
        <v>766</v>
      </c>
      <c r="AL1169" t="s">
        <v>790</v>
      </c>
      <c r="AM1169">
        <v>2021</v>
      </c>
      <c r="AN1169">
        <v>2019</v>
      </c>
      <c r="AO1169">
        <f>IF(AND(emissions[[#This Row],[Market-based]]=0,emissions[[#This Row],[Impact Type]]="CO2E"),emissions[[#This Row],[kgCO2e]],0)/1000</f>
        <v>0</v>
      </c>
      <c r="AP1169">
        <f>IF(AND(emissions[[#This Row],[Market-based]]=1,OR(emissions[[#This Row],[Impact Type]]="CO2E",emissions[[#This Row],[Impact Type]]="CO2E MKT")),emissions[[#This Row],[kgCO2e]],0)/1000</f>
        <v>0</v>
      </c>
      <c r="AQ1169" t="str">
        <f>_xlfn.TEXTAFTER(emissions[[#This Row],[Reporting Unit]]," &gt; ",LEN(emissions[[#This Row],[Reporting Unit]])-LEN(SUBSTITUTE(emissions[[#This Row],[Reporting Unit]],"&gt;","")))</f>
        <v>Vantage_Englewood</v>
      </c>
      <c r="AR1169" t="str">
        <f>_xlfn.XLOOKUP(emissions[[#This Row],[Reporting unit name]],hierarchy!$A:$A,hierarchy!$C:$C)</f>
        <v>Office</v>
      </c>
    </row>
    <row r="1170" spans="1:44" hidden="1" x14ac:dyDescent="0.25">
      <c r="A1170">
        <v>4948</v>
      </c>
      <c r="B1170" t="s">
        <v>367</v>
      </c>
      <c r="C1170" t="s">
        <v>501</v>
      </c>
      <c r="D1170" t="s">
        <v>599</v>
      </c>
      <c r="E1170" s="3">
        <v>44197</v>
      </c>
      <c r="F1170" s="3">
        <v>44561</v>
      </c>
      <c r="G1170" t="s">
        <v>108</v>
      </c>
      <c r="H1170" s="3">
        <v>44197</v>
      </c>
      <c r="I1170" s="3">
        <v>44561</v>
      </c>
      <c r="J1170" t="s">
        <v>108</v>
      </c>
      <c r="K1170">
        <v>1827719</v>
      </c>
      <c r="L1170" t="s">
        <v>109</v>
      </c>
      <c r="M1170" t="s">
        <v>110</v>
      </c>
      <c r="O1170" t="s">
        <v>600</v>
      </c>
      <c r="P1170" t="s">
        <v>550</v>
      </c>
      <c r="Q1170">
        <v>2021</v>
      </c>
      <c r="R1170" t="s">
        <v>551</v>
      </c>
      <c r="S1170" t="s">
        <v>552</v>
      </c>
      <c r="T1170" t="s">
        <v>553</v>
      </c>
      <c r="U1170" t="b">
        <v>0</v>
      </c>
      <c r="V1170" t="s">
        <v>763</v>
      </c>
      <c r="W1170" t="s">
        <v>555</v>
      </c>
      <c r="X1170" t="s">
        <v>556</v>
      </c>
      <c r="Y1170" t="s">
        <v>472</v>
      </c>
      <c r="Z1170" t="s">
        <v>485</v>
      </c>
      <c r="AA1170" t="s">
        <v>764</v>
      </c>
      <c r="AB1170" t="s">
        <v>765</v>
      </c>
      <c r="AC1170">
        <v>0</v>
      </c>
      <c r="AD1170" t="s">
        <v>565</v>
      </c>
      <c r="AE1170">
        <v>890658.57479999994</v>
      </c>
      <c r="AF1170">
        <v>0.48730607599999998</v>
      </c>
      <c r="AG1170" t="s">
        <v>560</v>
      </c>
      <c r="AH1170">
        <v>1</v>
      </c>
      <c r="AI1170">
        <v>1827719</v>
      </c>
      <c r="AJ1170" t="s">
        <v>561</v>
      </c>
      <c r="AK1170" t="s">
        <v>766</v>
      </c>
      <c r="AL1170" t="s">
        <v>790</v>
      </c>
      <c r="AM1170">
        <v>2021</v>
      </c>
      <c r="AN1170">
        <v>2019</v>
      </c>
      <c r="AO1170">
        <f>IF(AND(emissions[[#This Row],[Market-based]]=0,emissions[[#This Row],[Impact Type]]="CO2E"),emissions[[#This Row],[kgCO2e]],0)/1000</f>
        <v>890.6585748</v>
      </c>
      <c r="AP1170">
        <f>IF(AND(emissions[[#This Row],[Market-based]]=1,OR(emissions[[#This Row],[Impact Type]]="CO2E",emissions[[#This Row],[Impact Type]]="CO2E MKT")),emissions[[#This Row],[kgCO2e]],0)/1000</f>
        <v>0</v>
      </c>
      <c r="AQ1170" t="str">
        <f>_xlfn.TEXTAFTER(emissions[[#This Row],[Reporting Unit]]," &gt; ",LEN(emissions[[#This Row],[Reporting Unit]])-LEN(SUBSTITUTE(emissions[[#This Row],[Reporting Unit]],"&gt;","")))</f>
        <v>Vantage_Englewood</v>
      </c>
      <c r="AR1170" t="str">
        <f>_xlfn.XLOOKUP(emissions[[#This Row],[Reporting unit name]],hierarchy!$A:$A,hierarchy!$C:$C)</f>
        <v>Office</v>
      </c>
    </row>
    <row r="1171" spans="1:44" hidden="1" x14ac:dyDescent="0.25">
      <c r="A1171">
        <v>4948</v>
      </c>
      <c r="B1171" t="s">
        <v>367</v>
      </c>
      <c r="C1171" t="s">
        <v>501</v>
      </c>
      <c r="D1171" t="s">
        <v>599</v>
      </c>
      <c r="E1171" s="3">
        <v>44197</v>
      </c>
      <c r="F1171" s="3">
        <v>44561</v>
      </c>
      <c r="G1171" t="s">
        <v>108</v>
      </c>
      <c r="H1171" s="3">
        <v>44197</v>
      </c>
      <c r="I1171" s="3">
        <v>44561</v>
      </c>
      <c r="J1171" t="s">
        <v>108</v>
      </c>
      <c r="K1171">
        <v>1827719</v>
      </c>
      <c r="L1171" t="s">
        <v>109</v>
      </c>
      <c r="M1171" t="s">
        <v>110</v>
      </c>
      <c r="O1171" t="s">
        <v>600</v>
      </c>
      <c r="P1171" t="s">
        <v>550</v>
      </c>
      <c r="Q1171">
        <v>2021</v>
      </c>
      <c r="R1171" t="s">
        <v>551</v>
      </c>
      <c r="S1171" t="s">
        <v>552</v>
      </c>
      <c r="T1171" t="s">
        <v>553</v>
      </c>
      <c r="U1171" t="b">
        <v>0</v>
      </c>
      <c r="V1171" t="s">
        <v>763</v>
      </c>
      <c r="W1171" t="s">
        <v>555</v>
      </c>
      <c r="X1171" t="s">
        <v>556</v>
      </c>
      <c r="Y1171" t="s">
        <v>472</v>
      </c>
      <c r="Z1171" t="s">
        <v>485</v>
      </c>
      <c r="AA1171" t="s">
        <v>764</v>
      </c>
      <c r="AB1171" t="s">
        <v>765</v>
      </c>
      <c r="AC1171">
        <v>0</v>
      </c>
      <c r="AD1171" t="s">
        <v>566</v>
      </c>
      <c r="AE1171">
        <v>3458.7523470000001</v>
      </c>
      <c r="AF1171">
        <v>1.8923869999999999E-3</v>
      </c>
      <c r="AG1171" t="s">
        <v>560</v>
      </c>
      <c r="AH1171">
        <v>1</v>
      </c>
      <c r="AI1171">
        <v>1827719</v>
      </c>
      <c r="AJ1171" t="s">
        <v>561</v>
      </c>
      <c r="AK1171" t="s">
        <v>766</v>
      </c>
      <c r="AL1171" t="s">
        <v>790</v>
      </c>
      <c r="AM1171">
        <v>2021</v>
      </c>
      <c r="AN1171">
        <v>2019</v>
      </c>
      <c r="AO1171">
        <f>IF(AND(emissions[[#This Row],[Market-based]]=0,emissions[[#This Row],[Impact Type]]="CO2E"),emissions[[#This Row],[kgCO2e]],0)/1000</f>
        <v>0</v>
      </c>
      <c r="AP1171">
        <f>IF(AND(emissions[[#This Row],[Market-based]]=1,OR(emissions[[#This Row],[Impact Type]]="CO2E",emissions[[#This Row],[Impact Type]]="CO2E MKT")),emissions[[#This Row],[kgCO2e]],0)/1000</f>
        <v>0</v>
      </c>
      <c r="AQ1171" t="str">
        <f>_xlfn.TEXTAFTER(emissions[[#This Row],[Reporting Unit]]," &gt; ",LEN(emissions[[#This Row],[Reporting Unit]])-LEN(SUBSTITUTE(emissions[[#This Row],[Reporting Unit]],"&gt;","")))</f>
        <v>Vantage_Englewood</v>
      </c>
      <c r="AR1171" t="str">
        <f>_xlfn.XLOOKUP(emissions[[#This Row],[Reporting unit name]],hierarchy!$A:$A,hierarchy!$C:$C)</f>
        <v>Office</v>
      </c>
    </row>
    <row r="1172" spans="1:44" hidden="1" x14ac:dyDescent="0.25">
      <c r="A1172">
        <v>4948</v>
      </c>
      <c r="B1172" t="s">
        <v>367</v>
      </c>
      <c r="C1172" t="s">
        <v>501</v>
      </c>
      <c r="D1172" t="s">
        <v>599</v>
      </c>
      <c r="E1172" s="3">
        <v>44197</v>
      </c>
      <c r="F1172" s="3">
        <v>44561</v>
      </c>
      <c r="G1172" t="s">
        <v>108</v>
      </c>
      <c r="H1172" s="3">
        <v>44197</v>
      </c>
      <c r="I1172" s="3">
        <v>44561</v>
      </c>
      <c r="J1172" t="s">
        <v>108</v>
      </c>
      <c r="K1172">
        <v>1827719</v>
      </c>
      <c r="L1172" t="s">
        <v>109</v>
      </c>
      <c r="M1172" t="s">
        <v>110</v>
      </c>
      <c r="O1172" t="s">
        <v>600</v>
      </c>
      <c r="P1172" t="s">
        <v>550</v>
      </c>
      <c r="Q1172">
        <v>2021</v>
      </c>
      <c r="R1172" t="s">
        <v>551</v>
      </c>
      <c r="S1172" t="s">
        <v>552</v>
      </c>
      <c r="T1172" t="s">
        <v>553</v>
      </c>
      <c r="U1172" t="b">
        <v>0</v>
      </c>
      <c r="V1172" t="s">
        <v>763</v>
      </c>
      <c r="W1172" t="s">
        <v>555</v>
      </c>
      <c r="X1172" t="s">
        <v>556</v>
      </c>
      <c r="Y1172" t="s">
        <v>472</v>
      </c>
      <c r="Z1172" t="s">
        <v>485</v>
      </c>
      <c r="AA1172" t="s">
        <v>764</v>
      </c>
      <c r="AB1172" t="s">
        <v>765</v>
      </c>
      <c r="AC1172">
        <v>1</v>
      </c>
      <c r="AD1172" t="s">
        <v>639</v>
      </c>
      <c r="AE1172">
        <v>885472.10439999995</v>
      </c>
      <c r="AF1172">
        <v>0.48446840299999999</v>
      </c>
      <c r="AG1172" t="s">
        <v>560</v>
      </c>
      <c r="AH1172">
        <v>1</v>
      </c>
      <c r="AI1172">
        <v>1827719</v>
      </c>
      <c r="AJ1172" t="s">
        <v>561</v>
      </c>
      <c r="AK1172" t="s">
        <v>833</v>
      </c>
      <c r="AL1172" t="s">
        <v>853</v>
      </c>
      <c r="AM1172">
        <v>2021</v>
      </c>
      <c r="AN1172">
        <v>2019</v>
      </c>
      <c r="AO1172">
        <f>IF(AND(emissions[[#This Row],[Market-based]]=0,emissions[[#This Row],[Impact Type]]="CO2E"),emissions[[#This Row],[kgCO2e]],0)/1000</f>
        <v>0</v>
      </c>
      <c r="AP1172">
        <f>IF(AND(emissions[[#This Row],[Market-based]]=1,OR(emissions[[#This Row],[Impact Type]]="CO2E",emissions[[#This Row],[Impact Type]]="CO2E MKT")),emissions[[#This Row],[kgCO2e]],0)/1000</f>
        <v>885.47210439999992</v>
      </c>
      <c r="AQ1172" t="str">
        <f>_xlfn.TEXTAFTER(emissions[[#This Row],[Reporting Unit]]," &gt; ",LEN(emissions[[#This Row],[Reporting Unit]])-LEN(SUBSTITUTE(emissions[[#This Row],[Reporting Unit]],"&gt;","")))</f>
        <v>Vantage_Englewood</v>
      </c>
      <c r="AR1172" t="str">
        <f>_xlfn.XLOOKUP(emissions[[#This Row],[Reporting unit name]],hierarchy!$A:$A,hierarchy!$C:$C)</f>
        <v>Office</v>
      </c>
    </row>
    <row r="1173" spans="1:44" hidden="1" x14ac:dyDescent="0.25">
      <c r="A1173">
        <v>4948</v>
      </c>
      <c r="B1173" t="s">
        <v>367</v>
      </c>
      <c r="C1173" t="s">
        <v>501</v>
      </c>
      <c r="D1173" t="s">
        <v>599</v>
      </c>
      <c r="E1173" s="3">
        <v>44197</v>
      </c>
      <c r="F1173" s="3">
        <v>44561</v>
      </c>
      <c r="G1173" t="s">
        <v>108</v>
      </c>
      <c r="H1173" s="3">
        <v>44197</v>
      </c>
      <c r="I1173" s="3">
        <v>44561</v>
      </c>
      <c r="J1173" t="s">
        <v>108</v>
      </c>
      <c r="K1173">
        <v>1827719</v>
      </c>
      <c r="L1173" t="s">
        <v>109</v>
      </c>
      <c r="M1173" t="s">
        <v>110</v>
      </c>
      <c r="O1173" t="s">
        <v>600</v>
      </c>
      <c r="P1173" t="s">
        <v>550</v>
      </c>
      <c r="Q1173">
        <v>2021</v>
      </c>
      <c r="R1173" t="s">
        <v>567</v>
      </c>
      <c r="S1173" t="s">
        <v>568</v>
      </c>
      <c r="T1173" t="s">
        <v>569</v>
      </c>
      <c r="U1173" t="b">
        <v>0</v>
      </c>
      <c r="V1173" t="s">
        <v>771</v>
      </c>
      <c r="W1173" t="s">
        <v>571</v>
      </c>
      <c r="X1173" t="s">
        <v>572</v>
      </c>
      <c r="Y1173" t="s">
        <v>472</v>
      </c>
      <c r="Z1173" t="s">
        <v>485</v>
      </c>
      <c r="AA1173" t="s">
        <v>764</v>
      </c>
      <c r="AB1173" t="s">
        <v>765</v>
      </c>
      <c r="AC1173">
        <v>0</v>
      </c>
      <c r="AD1173" t="s">
        <v>558</v>
      </c>
      <c r="AE1173">
        <v>27.644289780000001</v>
      </c>
      <c r="AF1173" s="13">
        <v>1.5125E-5</v>
      </c>
      <c r="AG1173" t="s">
        <v>560</v>
      </c>
      <c r="AH1173">
        <v>1</v>
      </c>
      <c r="AI1173">
        <v>1827719</v>
      </c>
      <c r="AJ1173" t="s">
        <v>561</v>
      </c>
      <c r="AK1173" t="s">
        <v>573</v>
      </c>
      <c r="AL1173" t="s">
        <v>791</v>
      </c>
      <c r="AM1173">
        <v>2021</v>
      </c>
      <c r="AN1173">
        <v>2019</v>
      </c>
      <c r="AO1173">
        <f>IF(AND(emissions[[#This Row],[Market-based]]=0,emissions[[#This Row],[Impact Type]]="CO2E"),emissions[[#This Row],[kgCO2e]],0)/1000</f>
        <v>0</v>
      </c>
      <c r="AP1173">
        <f>IF(AND(emissions[[#This Row],[Market-based]]=1,OR(emissions[[#This Row],[Impact Type]]="CO2E",emissions[[#This Row],[Impact Type]]="CO2E MKT")),emissions[[#This Row],[kgCO2e]],0)/1000</f>
        <v>0</v>
      </c>
      <c r="AQ1173" t="str">
        <f>_xlfn.TEXTAFTER(emissions[[#This Row],[Reporting Unit]]," &gt; ",LEN(emissions[[#This Row],[Reporting Unit]])-LEN(SUBSTITUTE(emissions[[#This Row],[Reporting Unit]],"&gt;","")))</f>
        <v>Vantage_Englewood</v>
      </c>
      <c r="AR1173" t="str">
        <f>_xlfn.XLOOKUP(emissions[[#This Row],[Reporting unit name]],hierarchy!$A:$A,hierarchy!$C:$C)</f>
        <v>Office</v>
      </c>
    </row>
    <row r="1174" spans="1:44" hidden="1" x14ac:dyDescent="0.25">
      <c r="A1174">
        <v>4948</v>
      </c>
      <c r="B1174" t="s">
        <v>367</v>
      </c>
      <c r="C1174" t="s">
        <v>501</v>
      </c>
      <c r="D1174" t="s">
        <v>599</v>
      </c>
      <c r="E1174" s="3">
        <v>44197</v>
      </c>
      <c r="F1174" s="3">
        <v>44561</v>
      </c>
      <c r="G1174" t="s">
        <v>108</v>
      </c>
      <c r="H1174" s="3">
        <v>44197</v>
      </c>
      <c r="I1174" s="3">
        <v>44561</v>
      </c>
      <c r="J1174" t="s">
        <v>108</v>
      </c>
      <c r="K1174">
        <v>1827719</v>
      </c>
      <c r="L1174" t="s">
        <v>109</v>
      </c>
      <c r="M1174" t="s">
        <v>110</v>
      </c>
      <c r="O1174" t="s">
        <v>600</v>
      </c>
      <c r="P1174" t="s">
        <v>550</v>
      </c>
      <c r="Q1174">
        <v>2021</v>
      </c>
      <c r="R1174" t="s">
        <v>567</v>
      </c>
      <c r="S1174" t="s">
        <v>568</v>
      </c>
      <c r="T1174" t="s">
        <v>569</v>
      </c>
      <c r="U1174" t="b">
        <v>0</v>
      </c>
      <c r="V1174" t="s">
        <v>771</v>
      </c>
      <c r="W1174" t="s">
        <v>571</v>
      </c>
      <c r="X1174" t="s">
        <v>572</v>
      </c>
      <c r="Y1174" t="s">
        <v>472</v>
      </c>
      <c r="Z1174" t="s">
        <v>485</v>
      </c>
      <c r="AA1174" t="s">
        <v>764</v>
      </c>
      <c r="AB1174" t="s">
        <v>765</v>
      </c>
      <c r="AC1174">
        <v>0</v>
      </c>
      <c r="AD1174" t="s">
        <v>564</v>
      </c>
      <c r="AE1174">
        <v>11925.344510000001</v>
      </c>
      <c r="AF1174">
        <v>6.524714E-3</v>
      </c>
      <c r="AG1174" t="s">
        <v>560</v>
      </c>
      <c r="AH1174">
        <v>1</v>
      </c>
      <c r="AI1174">
        <v>1827719</v>
      </c>
      <c r="AJ1174" t="s">
        <v>561</v>
      </c>
      <c r="AK1174" t="s">
        <v>573</v>
      </c>
      <c r="AL1174" t="s">
        <v>791</v>
      </c>
      <c r="AM1174">
        <v>2021</v>
      </c>
      <c r="AN1174">
        <v>2019</v>
      </c>
      <c r="AO1174">
        <f>IF(AND(emissions[[#This Row],[Market-based]]=0,emissions[[#This Row],[Impact Type]]="CO2E"),emissions[[#This Row],[kgCO2e]],0)/1000</f>
        <v>0</v>
      </c>
      <c r="AP1174">
        <f>IF(AND(emissions[[#This Row],[Market-based]]=1,OR(emissions[[#This Row],[Impact Type]]="CO2E",emissions[[#This Row],[Impact Type]]="CO2E MKT")),emissions[[#This Row],[kgCO2e]],0)/1000</f>
        <v>0</v>
      </c>
      <c r="AQ1174" t="str">
        <f>_xlfn.TEXTAFTER(emissions[[#This Row],[Reporting Unit]]," &gt; ",LEN(emissions[[#This Row],[Reporting Unit]])-LEN(SUBSTITUTE(emissions[[#This Row],[Reporting Unit]],"&gt;","")))</f>
        <v>Vantage_Englewood</v>
      </c>
      <c r="AR1174" t="str">
        <f>_xlfn.XLOOKUP(emissions[[#This Row],[Reporting unit name]],hierarchy!$A:$A,hierarchy!$C:$C)</f>
        <v>Office</v>
      </c>
    </row>
    <row r="1175" spans="1:44" hidden="1" x14ac:dyDescent="0.25">
      <c r="A1175">
        <v>4948</v>
      </c>
      <c r="B1175" t="s">
        <v>367</v>
      </c>
      <c r="C1175" t="s">
        <v>501</v>
      </c>
      <c r="D1175" t="s">
        <v>599</v>
      </c>
      <c r="E1175" s="3">
        <v>44197</v>
      </c>
      <c r="F1175" s="3">
        <v>44561</v>
      </c>
      <c r="G1175" t="s">
        <v>108</v>
      </c>
      <c r="H1175" s="3">
        <v>44197</v>
      </c>
      <c r="I1175" s="3">
        <v>44561</v>
      </c>
      <c r="J1175" t="s">
        <v>108</v>
      </c>
      <c r="K1175">
        <v>1827719</v>
      </c>
      <c r="L1175" t="s">
        <v>109</v>
      </c>
      <c r="M1175" t="s">
        <v>110</v>
      </c>
      <c r="O1175" t="s">
        <v>600</v>
      </c>
      <c r="P1175" t="s">
        <v>550</v>
      </c>
      <c r="Q1175">
        <v>2021</v>
      </c>
      <c r="R1175" t="s">
        <v>567</v>
      </c>
      <c r="S1175" t="s">
        <v>568</v>
      </c>
      <c r="T1175" t="s">
        <v>569</v>
      </c>
      <c r="U1175" t="b">
        <v>0</v>
      </c>
      <c r="V1175" t="s">
        <v>771</v>
      </c>
      <c r="W1175" t="s">
        <v>571</v>
      </c>
      <c r="X1175" t="s">
        <v>572</v>
      </c>
      <c r="Y1175" t="s">
        <v>472</v>
      </c>
      <c r="Z1175" t="s">
        <v>485</v>
      </c>
      <c r="AA1175" t="s">
        <v>764</v>
      </c>
      <c r="AB1175" t="s">
        <v>765</v>
      </c>
      <c r="AC1175">
        <v>0</v>
      </c>
      <c r="AD1175" t="s">
        <v>565</v>
      </c>
      <c r="AE1175">
        <v>11999.587579999999</v>
      </c>
      <c r="AF1175">
        <v>6.5653350000000003E-3</v>
      </c>
      <c r="AG1175" t="s">
        <v>560</v>
      </c>
      <c r="AH1175">
        <v>1</v>
      </c>
      <c r="AI1175">
        <v>1827719</v>
      </c>
      <c r="AJ1175" t="s">
        <v>561</v>
      </c>
      <c r="AK1175" t="s">
        <v>573</v>
      </c>
      <c r="AL1175" t="s">
        <v>791</v>
      </c>
      <c r="AM1175">
        <v>2021</v>
      </c>
      <c r="AN1175">
        <v>2019</v>
      </c>
      <c r="AO1175">
        <f>IF(AND(emissions[[#This Row],[Market-based]]=0,emissions[[#This Row],[Impact Type]]="CO2E"),emissions[[#This Row],[kgCO2e]],0)/1000</f>
        <v>11.99958758</v>
      </c>
      <c r="AP1175">
        <f>IF(AND(emissions[[#This Row],[Market-based]]=1,OR(emissions[[#This Row],[Impact Type]]="CO2E",emissions[[#This Row],[Impact Type]]="CO2E MKT")),emissions[[#This Row],[kgCO2e]],0)/1000</f>
        <v>0</v>
      </c>
      <c r="AQ1175" t="str">
        <f>_xlfn.TEXTAFTER(emissions[[#This Row],[Reporting Unit]]," &gt; ",LEN(emissions[[#This Row],[Reporting Unit]])-LEN(SUBSTITUTE(emissions[[#This Row],[Reporting Unit]],"&gt;","")))</f>
        <v>Vantage_Englewood</v>
      </c>
      <c r="AR1175" t="str">
        <f>_xlfn.XLOOKUP(emissions[[#This Row],[Reporting unit name]],hierarchy!$A:$A,hierarchy!$C:$C)</f>
        <v>Office</v>
      </c>
    </row>
    <row r="1176" spans="1:44" hidden="1" x14ac:dyDescent="0.25">
      <c r="A1176">
        <v>4948</v>
      </c>
      <c r="B1176" t="s">
        <v>367</v>
      </c>
      <c r="C1176" t="s">
        <v>501</v>
      </c>
      <c r="D1176" t="s">
        <v>599</v>
      </c>
      <c r="E1176" s="3">
        <v>44197</v>
      </c>
      <c r="F1176" s="3">
        <v>44561</v>
      </c>
      <c r="G1176" t="s">
        <v>108</v>
      </c>
      <c r="H1176" s="3">
        <v>44197</v>
      </c>
      <c r="I1176" s="3">
        <v>44561</v>
      </c>
      <c r="J1176" t="s">
        <v>108</v>
      </c>
      <c r="K1176">
        <v>1827719</v>
      </c>
      <c r="L1176" t="s">
        <v>109</v>
      </c>
      <c r="M1176" t="s">
        <v>110</v>
      </c>
      <c r="O1176" t="s">
        <v>600</v>
      </c>
      <c r="P1176" t="s">
        <v>550</v>
      </c>
      <c r="Q1176">
        <v>2021</v>
      </c>
      <c r="R1176" t="s">
        <v>567</v>
      </c>
      <c r="S1176" t="s">
        <v>568</v>
      </c>
      <c r="T1176" t="s">
        <v>569</v>
      </c>
      <c r="U1176" t="b">
        <v>0</v>
      </c>
      <c r="V1176" t="s">
        <v>771</v>
      </c>
      <c r="W1176" t="s">
        <v>571</v>
      </c>
      <c r="X1176" t="s">
        <v>572</v>
      </c>
      <c r="Y1176" t="s">
        <v>472</v>
      </c>
      <c r="Z1176" t="s">
        <v>485</v>
      </c>
      <c r="AA1176" t="s">
        <v>764</v>
      </c>
      <c r="AB1176" t="s">
        <v>765</v>
      </c>
      <c r="AC1176">
        <v>0</v>
      </c>
      <c r="AD1176" t="s">
        <v>566</v>
      </c>
      <c r="AE1176">
        <v>46.59877857</v>
      </c>
      <c r="AF1176" s="13">
        <v>2.54956E-5</v>
      </c>
      <c r="AG1176" t="s">
        <v>560</v>
      </c>
      <c r="AH1176">
        <v>1</v>
      </c>
      <c r="AI1176">
        <v>1827719</v>
      </c>
      <c r="AJ1176" t="s">
        <v>561</v>
      </c>
      <c r="AK1176" t="s">
        <v>573</v>
      </c>
      <c r="AL1176" t="s">
        <v>791</v>
      </c>
      <c r="AM1176">
        <v>2021</v>
      </c>
      <c r="AN1176">
        <v>2019</v>
      </c>
      <c r="AO1176">
        <f>IF(AND(emissions[[#This Row],[Market-based]]=0,emissions[[#This Row],[Impact Type]]="CO2E"),emissions[[#This Row],[kgCO2e]],0)/1000</f>
        <v>0</v>
      </c>
      <c r="AP1176">
        <f>IF(AND(emissions[[#This Row],[Market-based]]=1,OR(emissions[[#This Row],[Impact Type]]="CO2E",emissions[[#This Row],[Impact Type]]="CO2E MKT")),emissions[[#This Row],[kgCO2e]],0)/1000</f>
        <v>0</v>
      </c>
      <c r="AQ1176" t="str">
        <f>_xlfn.TEXTAFTER(emissions[[#This Row],[Reporting Unit]]," &gt; ",LEN(emissions[[#This Row],[Reporting Unit]])-LEN(SUBSTITUTE(emissions[[#This Row],[Reporting Unit]],"&gt;","")))</f>
        <v>Vantage_Englewood</v>
      </c>
      <c r="AR1176" t="str">
        <f>_xlfn.XLOOKUP(emissions[[#This Row],[Reporting unit name]],hierarchy!$A:$A,hierarchy!$C:$C)</f>
        <v>Office</v>
      </c>
    </row>
    <row r="1177" spans="1:44" hidden="1" x14ac:dyDescent="0.25">
      <c r="A1177">
        <v>4948</v>
      </c>
      <c r="B1177" t="s">
        <v>367</v>
      </c>
      <c r="C1177" t="s">
        <v>501</v>
      </c>
      <c r="D1177" t="s">
        <v>599</v>
      </c>
      <c r="E1177" s="3">
        <v>44197</v>
      </c>
      <c r="F1177" s="3">
        <v>44561</v>
      </c>
      <c r="G1177" t="s">
        <v>108</v>
      </c>
      <c r="H1177" s="3">
        <v>44197</v>
      </c>
      <c r="I1177" s="3">
        <v>44561</v>
      </c>
      <c r="J1177" t="s">
        <v>108</v>
      </c>
      <c r="K1177">
        <v>1827719</v>
      </c>
      <c r="L1177" t="s">
        <v>109</v>
      </c>
      <c r="M1177" t="s">
        <v>110</v>
      </c>
      <c r="O1177" t="s">
        <v>600</v>
      </c>
      <c r="P1177" t="s">
        <v>550</v>
      </c>
      <c r="Q1177">
        <v>2021</v>
      </c>
      <c r="R1177" t="s">
        <v>567</v>
      </c>
      <c r="S1177" t="s">
        <v>568</v>
      </c>
      <c r="T1177" t="s">
        <v>569</v>
      </c>
      <c r="U1177" t="b">
        <v>0</v>
      </c>
      <c r="V1177" t="s">
        <v>771</v>
      </c>
      <c r="W1177" t="s">
        <v>571</v>
      </c>
      <c r="X1177" t="s">
        <v>572</v>
      </c>
      <c r="Y1177" t="s">
        <v>472</v>
      </c>
      <c r="Z1177" t="s">
        <v>485</v>
      </c>
      <c r="AA1177" t="s">
        <v>764</v>
      </c>
      <c r="AB1177" t="s">
        <v>765</v>
      </c>
      <c r="AC1177">
        <v>1</v>
      </c>
      <c r="AD1177" t="s">
        <v>639</v>
      </c>
      <c r="AE1177">
        <v>11929.71175</v>
      </c>
      <c r="AF1177">
        <v>6.5271039999999997E-3</v>
      </c>
      <c r="AG1177" t="s">
        <v>560</v>
      </c>
      <c r="AH1177">
        <v>1</v>
      </c>
      <c r="AI1177">
        <v>1827719</v>
      </c>
      <c r="AJ1177" t="s">
        <v>561</v>
      </c>
      <c r="AK1177" t="s">
        <v>573</v>
      </c>
      <c r="AL1177" t="s">
        <v>772</v>
      </c>
      <c r="AM1177">
        <v>2021</v>
      </c>
      <c r="AN1177">
        <v>2019</v>
      </c>
      <c r="AO1177">
        <f>IF(AND(emissions[[#This Row],[Market-based]]=0,emissions[[#This Row],[Impact Type]]="CO2E"),emissions[[#This Row],[kgCO2e]],0)/1000</f>
        <v>0</v>
      </c>
      <c r="AP1177">
        <f>IF(AND(emissions[[#This Row],[Market-based]]=1,OR(emissions[[#This Row],[Impact Type]]="CO2E",emissions[[#This Row],[Impact Type]]="CO2E MKT")),emissions[[#This Row],[kgCO2e]],0)/1000</f>
        <v>11.929711750000001</v>
      </c>
      <c r="AQ1177" t="str">
        <f>_xlfn.TEXTAFTER(emissions[[#This Row],[Reporting Unit]]," &gt; ",LEN(emissions[[#This Row],[Reporting Unit]])-LEN(SUBSTITUTE(emissions[[#This Row],[Reporting Unit]],"&gt;","")))</f>
        <v>Vantage_Englewood</v>
      </c>
      <c r="AR1177" t="str">
        <f>_xlfn.XLOOKUP(emissions[[#This Row],[Reporting unit name]],hierarchy!$A:$A,hierarchy!$C:$C)</f>
        <v>Office</v>
      </c>
    </row>
    <row r="1178" spans="1:44" hidden="1" x14ac:dyDescent="0.25">
      <c r="A1178">
        <v>4948</v>
      </c>
      <c r="B1178" t="s">
        <v>367</v>
      </c>
      <c r="C1178" t="s">
        <v>501</v>
      </c>
      <c r="D1178" t="s">
        <v>599</v>
      </c>
      <c r="E1178" s="3">
        <v>44197</v>
      </c>
      <c r="F1178" s="3">
        <v>44561</v>
      </c>
      <c r="G1178" t="s">
        <v>108</v>
      </c>
      <c r="H1178" s="3">
        <v>44197</v>
      </c>
      <c r="I1178" s="3">
        <v>44561</v>
      </c>
      <c r="J1178" t="s">
        <v>108</v>
      </c>
      <c r="K1178">
        <v>1827719</v>
      </c>
      <c r="L1178" t="s">
        <v>109</v>
      </c>
      <c r="M1178" t="s">
        <v>110</v>
      </c>
      <c r="O1178" t="s">
        <v>600</v>
      </c>
      <c r="P1178" t="s">
        <v>550</v>
      </c>
      <c r="Q1178">
        <v>2021</v>
      </c>
      <c r="R1178" t="s">
        <v>575</v>
      </c>
      <c r="S1178" t="s">
        <v>576</v>
      </c>
      <c r="T1178" t="s">
        <v>577</v>
      </c>
      <c r="U1178" t="b">
        <v>0</v>
      </c>
      <c r="V1178" t="s">
        <v>774</v>
      </c>
      <c r="W1178" t="s">
        <v>571</v>
      </c>
      <c r="X1178" t="s">
        <v>572</v>
      </c>
      <c r="Y1178" t="s">
        <v>472</v>
      </c>
      <c r="Z1178" t="s">
        <v>485</v>
      </c>
      <c r="AA1178" t="s">
        <v>764</v>
      </c>
      <c r="AB1178" t="s">
        <v>765</v>
      </c>
      <c r="AC1178">
        <v>0</v>
      </c>
      <c r="AD1178" t="s">
        <v>558</v>
      </c>
      <c r="AE1178">
        <v>542.04489769999998</v>
      </c>
      <c r="AF1178">
        <v>2.96569E-4</v>
      </c>
      <c r="AG1178" t="s">
        <v>560</v>
      </c>
      <c r="AH1178">
        <v>1</v>
      </c>
      <c r="AI1178">
        <v>1827719</v>
      </c>
      <c r="AJ1178" t="s">
        <v>561</v>
      </c>
      <c r="AK1178" t="s">
        <v>573</v>
      </c>
      <c r="AL1178" t="s">
        <v>792</v>
      </c>
      <c r="AM1178">
        <v>2021</v>
      </c>
      <c r="AN1178">
        <v>2019</v>
      </c>
      <c r="AO1178">
        <f>IF(AND(emissions[[#This Row],[Market-based]]=0,emissions[[#This Row],[Impact Type]]="CO2E"),emissions[[#This Row],[kgCO2e]],0)/1000</f>
        <v>0</v>
      </c>
      <c r="AP1178">
        <f>IF(AND(emissions[[#This Row],[Market-based]]=1,OR(emissions[[#This Row],[Impact Type]]="CO2E",emissions[[#This Row],[Impact Type]]="CO2E MKT")),emissions[[#This Row],[kgCO2e]],0)/1000</f>
        <v>0</v>
      </c>
      <c r="AQ1178" t="str">
        <f>_xlfn.TEXTAFTER(emissions[[#This Row],[Reporting Unit]]," &gt; ",LEN(emissions[[#This Row],[Reporting Unit]])-LEN(SUBSTITUTE(emissions[[#This Row],[Reporting Unit]],"&gt;","")))</f>
        <v>Vantage_Englewood</v>
      </c>
      <c r="AR1178" t="str">
        <f>_xlfn.XLOOKUP(emissions[[#This Row],[Reporting unit name]],hierarchy!$A:$A,hierarchy!$C:$C)</f>
        <v>Office</v>
      </c>
    </row>
    <row r="1179" spans="1:44" hidden="1" x14ac:dyDescent="0.25">
      <c r="A1179">
        <v>4948</v>
      </c>
      <c r="B1179" t="s">
        <v>367</v>
      </c>
      <c r="C1179" t="s">
        <v>501</v>
      </c>
      <c r="D1179" t="s">
        <v>599</v>
      </c>
      <c r="E1179" s="3">
        <v>44197</v>
      </c>
      <c r="F1179" s="3">
        <v>44561</v>
      </c>
      <c r="G1179" t="s">
        <v>108</v>
      </c>
      <c r="H1179" s="3">
        <v>44197</v>
      </c>
      <c r="I1179" s="3">
        <v>44561</v>
      </c>
      <c r="J1179" t="s">
        <v>108</v>
      </c>
      <c r="K1179">
        <v>1827719</v>
      </c>
      <c r="L1179" t="s">
        <v>109</v>
      </c>
      <c r="M1179" t="s">
        <v>110</v>
      </c>
      <c r="O1179" t="s">
        <v>600</v>
      </c>
      <c r="P1179" t="s">
        <v>550</v>
      </c>
      <c r="Q1179">
        <v>2021</v>
      </c>
      <c r="R1179" t="s">
        <v>575</v>
      </c>
      <c r="S1179" t="s">
        <v>576</v>
      </c>
      <c r="T1179" t="s">
        <v>577</v>
      </c>
      <c r="U1179" t="b">
        <v>0</v>
      </c>
      <c r="V1179" t="s">
        <v>774</v>
      </c>
      <c r="W1179" t="s">
        <v>571</v>
      </c>
      <c r="X1179" t="s">
        <v>572</v>
      </c>
      <c r="Y1179" t="s">
        <v>472</v>
      </c>
      <c r="Z1179" t="s">
        <v>485</v>
      </c>
      <c r="AA1179" t="s">
        <v>764</v>
      </c>
      <c r="AB1179" t="s">
        <v>765</v>
      </c>
      <c r="AC1179">
        <v>0</v>
      </c>
      <c r="AD1179" t="s">
        <v>564</v>
      </c>
      <c r="AE1179">
        <v>233830.28460000001</v>
      </c>
      <c r="AF1179">
        <v>0.12793557699999999</v>
      </c>
      <c r="AG1179" t="s">
        <v>560</v>
      </c>
      <c r="AH1179">
        <v>1</v>
      </c>
      <c r="AI1179">
        <v>1827719</v>
      </c>
      <c r="AJ1179" t="s">
        <v>561</v>
      </c>
      <c r="AK1179" t="s">
        <v>573</v>
      </c>
      <c r="AL1179" t="s">
        <v>792</v>
      </c>
      <c r="AM1179">
        <v>2021</v>
      </c>
      <c r="AN1179">
        <v>2019</v>
      </c>
      <c r="AO1179">
        <f>IF(AND(emissions[[#This Row],[Market-based]]=0,emissions[[#This Row],[Impact Type]]="CO2E"),emissions[[#This Row],[kgCO2e]],0)/1000</f>
        <v>0</v>
      </c>
      <c r="AP1179">
        <f>IF(AND(emissions[[#This Row],[Market-based]]=1,OR(emissions[[#This Row],[Impact Type]]="CO2E",emissions[[#This Row],[Impact Type]]="CO2E MKT")),emissions[[#This Row],[kgCO2e]],0)/1000</f>
        <v>0</v>
      </c>
      <c r="AQ1179" t="str">
        <f>_xlfn.TEXTAFTER(emissions[[#This Row],[Reporting Unit]]," &gt; ",LEN(emissions[[#This Row],[Reporting Unit]])-LEN(SUBSTITUTE(emissions[[#This Row],[Reporting Unit]],"&gt;","")))</f>
        <v>Vantage_Englewood</v>
      </c>
      <c r="AR1179" t="str">
        <f>_xlfn.XLOOKUP(emissions[[#This Row],[Reporting unit name]],hierarchy!$A:$A,hierarchy!$C:$C)</f>
        <v>Office</v>
      </c>
    </row>
    <row r="1180" spans="1:44" hidden="1" x14ac:dyDescent="0.25">
      <c r="A1180">
        <v>4948</v>
      </c>
      <c r="B1180" t="s">
        <v>367</v>
      </c>
      <c r="C1180" t="s">
        <v>501</v>
      </c>
      <c r="D1180" t="s">
        <v>599</v>
      </c>
      <c r="E1180" s="3">
        <v>44197</v>
      </c>
      <c r="F1180" s="3">
        <v>44561</v>
      </c>
      <c r="G1180" t="s">
        <v>108</v>
      </c>
      <c r="H1180" s="3">
        <v>44197</v>
      </c>
      <c r="I1180" s="3">
        <v>44561</v>
      </c>
      <c r="J1180" t="s">
        <v>108</v>
      </c>
      <c r="K1180">
        <v>1827719</v>
      </c>
      <c r="L1180" t="s">
        <v>109</v>
      </c>
      <c r="M1180" t="s">
        <v>110</v>
      </c>
      <c r="O1180" t="s">
        <v>600</v>
      </c>
      <c r="P1180" t="s">
        <v>550</v>
      </c>
      <c r="Q1180">
        <v>2021</v>
      </c>
      <c r="R1180" t="s">
        <v>575</v>
      </c>
      <c r="S1180" t="s">
        <v>576</v>
      </c>
      <c r="T1180" t="s">
        <v>577</v>
      </c>
      <c r="U1180" t="b">
        <v>0</v>
      </c>
      <c r="V1180" t="s">
        <v>774</v>
      </c>
      <c r="W1180" t="s">
        <v>571</v>
      </c>
      <c r="X1180" t="s">
        <v>572</v>
      </c>
      <c r="Y1180" t="s">
        <v>472</v>
      </c>
      <c r="Z1180" t="s">
        <v>485</v>
      </c>
      <c r="AA1180" t="s">
        <v>764</v>
      </c>
      <c r="AB1180" t="s">
        <v>765</v>
      </c>
      <c r="AC1180">
        <v>0</v>
      </c>
      <c r="AD1180" t="s">
        <v>565</v>
      </c>
      <c r="AE1180">
        <v>235286.03099999999</v>
      </c>
      <c r="AF1180">
        <v>0.12873205900000001</v>
      </c>
      <c r="AG1180" t="s">
        <v>560</v>
      </c>
      <c r="AH1180">
        <v>1</v>
      </c>
      <c r="AI1180">
        <v>1827719</v>
      </c>
      <c r="AJ1180" t="s">
        <v>561</v>
      </c>
      <c r="AK1180" t="s">
        <v>573</v>
      </c>
      <c r="AL1180" t="s">
        <v>792</v>
      </c>
      <c r="AM1180">
        <v>2021</v>
      </c>
      <c r="AN1180">
        <v>2019</v>
      </c>
      <c r="AO1180">
        <f>IF(AND(emissions[[#This Row],[Market-based]]=0,emissions[[#This Row],[Impact Type]]="CO2E"),emissions[[#This Row],[kgCO2e]],0)/1000</f>
        <v>235.28603099999998</v>
      </c>
      <c r="AP1180">
        <f>IF(AND(emissions[[#This Row],[Market-based]]=1,OR(emissions[[#This Row],[Impact Type]]="CO2E",emissions[[#This Row],[Impact Type]]="CO2E MKT")),emissions[[#This Row],[kgCO2e]],0)/1000</f>
        <v>0</v>
      </c>
      <c r="AQ1180" t="str">
        <f>_xlfn.TEXTAFTER(emissions[[#This Row],[Reporting Unit]]," &gt; ",LEN(emissions[[#This Row],[Reporting Unit]])-LEN(SUBSTITUTE(emissions[[#This Row],[Reporting Unit]],"&gt;","")))</f>
        <v>Vantage_Englewood</v>
      </c>
      <c r="AR1180" t="str">
        <f>_xlfn.XLOOKUP(emissions[[#This Row],[Reporting unit name]],hierarchy!$A:$A,hierarchy!$C:$C)</f>
        <v>Office</v>
      </c>
    </row>
    <row r="1181" spans="1:44" hidden="1" x14ac:dyDescent="0.25">
      <c r="A1181">
        <v>4948</v>
      </c>
      <c r="B1181" t="s">
        <v>367</v>
      </c>
      <c r="C1181" t="s">
        <v>501</v>
      </c>
      <c r="D1181" t="s">
        <v>599</v>
      </c>
      <c r="E1181" s="3">
        <v>44197</v>
      </c>
      <c r="F1181" s="3">
        <v>44561</v>
      </c>
      <c r="G1181" t="s">
        <v>108</v>
      </c>
      <c r="H1181" s="3">
        <v>44197</v>
      </c>
      <c r="I1181" s="3">
        <v>44561</v>
      </c>
      <c r="J1181" t="s">
        <v>108</v>
      </c>
      <c r="K1181">
        <v>1827719</v>
      </c>
      <c r="L1181" t="s">
        <v>109</v>
      </c>
      <c r="M1181" t="s">
        <v>110</v>
      </c>
      <c r="O1181" t="s">
        <v>600</v>
      </c>
      <c r="P1181" t="s">
        <v>550</v>
      </c>
      <c r="Q1181">
        <v>2021</v>
      </c>
      <c r="R1181" t="s">
        <v>575</v>
      </c>
      <c r="S1181" t="s">
        <v>576</v>
      </c>
      <c r="T1181" t="s">
        <v>577</v>
      </c>
      <c r="U1181" t="b">
        <v>0</v>
      </c>
      <c r="V1181" t="s">
        <v>774</v>
      </c>
      <c r="W1181" t="s">
        <v>571</v>
      </c>
      <c r="X1181" t="s">
        <v>572</v>
      </c>
      <c r="Y1181" t="s">
        <v>472</v>
      </c>
      <c r="Z1181" t="s">
        <v>485</v>
      </c>
      <c r="AA1181" t="s">
        <v>764</v>
      </c>
      <c r="AB1181" t="s">
        <v>765</v>
      </c>
      <c r="AC1181">
        <v>0</v>
      </c>
      <c r="AD1181" t="s">
        <v>566</v>
      </c>
      <c r="AE1181">
        <v>913.70154060000004</v>
      </c>
      <c r="AF1181">
        <v>4.9991399999999996E-4</v>
      </c>
      <c r="AG1181" t="s">
        <v>560</v>
      </c>
      <c r="AH1181">
        <v>1</v>
      </c>
      <c r="AI1181">
        <v>1827719</v>
      </c>
      <c r="AJ1181" t="s">
        <v>561</v>
      </c>
      <c r="AK1181" t="s">
        <v>573</v>
      </c>
      <c r="AL1181" t="s">
        <v>792</v>
      </c>
      <c r="AM1181">
        <v>2021</v>
      </c>
      <c r="AN1181">
        <v>2019</v>
      </c>
      <c r="AO1181">
        <f>IF(AND(emissions[[#This Row],[Market-based]]=0,emissions[[#This Row],[Impact Type]]="CO2E"),emissions[[#This Row],[kgCO2e]],0)/1000</f>
        <v>0</v>
      </c>
      <c r="AP1181">
        <f>IF(AND(emissions[[#This Row],[Market-based]]=1,OR(emissions[[#This Row],[Impact Type]]="CO2E",emissions[[#This Row],[Impact Type]]="CO2E MKT")),emissions[[#This Row],[kgCO2e]],0)/1000</f>
        <v>0</v>
      </c>
      <c r="AQ1181" t="str">
        <f>_xlfn.TEXTAFTER(emissions[[#This Row],[Reporting Unit]]," &gt; ",LEN(emissions[[#This Row],[Reporting Unit]])-LEN(SUBSTITUTE(emissions[[#This Row],[Reporting Unit]],"&gt;","")))</f>
        <v>Vantage_Englewood</v>
      </c>
      <c r="AR1181" t="str">
        <f>_xlfn.XLOOKUP(emissions[[#This Row],[Reporting unit name]],hierarchy!$A:$A,hierarchy!$C:$C)</f>
        <v>Office</v>
      </c>
    </row>
    <row r="1182" spans="1:44" hidden="1" x14ac:dyDescent="0.25">
      <c r="A1182">
        <v>4948</v>
      </c>
      <c r="B1182" t="s">
        <v>367</v>
      </c>
      <c r="C1182" t="s">
        <v>501</v>
      </c>
      <c r="D1182" t="s">
        <v>599</v>
      </c>
      <c r="E1182" s="3">
        <v>44197</v>
      </c>
      <c r="F1182" s="3">
        <v>44561</v>
      </c>
      <c r="G1182" t="s">
        <v>108</v>
      </c>
      <c r="H1182" s="3">
        <v>44197</v>
      </c>
      <c r="I1182" s="3">
        <v>44561</v>
      </c>
      <c r="J1182" t="s">
        <v>108</v>
      </c>
      <c r="K1182">
        <v>1827719</v>
      </c>
      <c r="L1182" t="s">
        <v>109</v>
      </c>
      <c r="M1182" t="s">
        <v>110</v>
      </c>
      <c r="O1182" t="s">
        <v>600</v>
      </c>
      <c r="P1182" t="s">
        <v>550</v>
      </c>
      <c r="Q1182">
        <v>2021</v>
      </c>
      <c r="R1182" t="s">
        <v>575</v>
      </c>
      <c r="S1182" t="s">
        <v>576</v>
      </c>
      <c r="T1182" t="s">
        <v>577</v>
      </c>
      <c r="U1182" t="b">
        <v>0</v>
      </c>
      <c r="V1182" t="s">
        <v>774</v>
      </c>
      <c r="W1182" t="s">
        <v>571</v>
      </c>
      <c r="X1182" t="s">
        <v>572</v>
      </c>
      <c r="Y1182" t="s">
        <v>472</v>
      </c>
      <c r="Z1182" t="s">
        <v>485</v>
      </c>
      <c r="AA1182" t="s">
        <v>764</v>
      </c>
      <c r="AB1182" t="s">
        <v>765</v>
      </c>
      <c r="AC1182">
        <v>1</v>
      </c>
      <c r="AD1182" t="s">
        <v>639</v>
      </c>
      <c r="AE1182">
        <v>233915.9167</v>
      </c>
      <c r="AF1182">
        <v>0.12798242900000001</v>
      </c>
      <c r="AG1182" t="s">
        <v>560</v>
      </c>
      <c r="AH1182">
        <v>1</v>
      </c>
      <c r="AI1182">
        <v>1827719</v>
      </c>
      <c r="AJ1182" t="s">
        <v>561</v>
      </c>
      <c r="AK1182" t="s">
        <v>573</v>
      </c>
      <c r="AL1182" t="s">
        <v>775</v>
      </c>
      <c r="AM1182">
        <v>2021</v>
      </c>
      <c r="AN1182">
        <v>2019</v>
      </c>
      <c r="AO1182">
        <f>IF(AND(emissions[[#This Row],[Market-based]]=0,emissions[[#This Row],[Impact Type]]="CO2E"),emissions[[#This Row],[kgCO2e]],0)/1000</f>
        <v>0</v>
      </c>
      <c r="AP1182">
        <f>IF(AND(emissions[[#This Row],[Market-based]]=1,OR(emissions[[#This Row],[Impact Type]]="CO2E",emissions[[#This Row],[Impact Type]]="CO2E MKT")),emissions[[#This Row],[kgCO2e]],0)/1000</f>
        <v>233.9159167</v>
      </c>
      <c r="AQ1182" t="str">
        <f>_xlfn.TEXTAFTER(emissions[[#This Row],[Reporting Unit]]," &gt; ",LEN(emissions[[#This Row],[Reporting Unit]])-LEN(SUBSTITUTE(emissions[[#This Row],[Reporting Unit]],"&gt;","")))</f>
        <v>Vantage_Englewood</v>
      </c>
      <c r="AR1182" t="str">
        <f>_xlfn.XLOOKUP(emissions[[#This Row],[Reporting unit name]],hierarchy!$A:$A,hierarchy!$C:$C)</f>
        <v>Office</v>
      </c>
    </row>
    <row r="1183" spans="1:44" hidden="1" x14ac:dyDescent="0.25">
      <c r="A1183">
        <v>4948</v>
      </c>
      <c r="B1183" t="s">
        <v>367</v>
      </c>
      <c r="C1183" t="s">
        <v>501</v>
      </c>
      <c r="D1183" t="s">
        <v>599</v>
      </c>
      <c r="E1183" s="3">
        <v>44197</v>
      </c>
      <c r="F1183" s="3">
        <v>44561</v>
      </c>
      <c r="G1183" t="s">
        <v>108</v>
      </c>
      <c r="H1183" s="3">
        <v>44197</v>
      </c>
      <c r="I1183" s="3">
        <v>44561</v>
      </c>
      <c r="J1183" t="s">
        <v>108</v>
      </c>
      <c r="K1183">
        <v>1827719</v>
      </c>
      <c r="L1183" t="s">
        <v>109</v>
      </c>
      <c r="M1183" t="s">
        <v>110</v>
      </c>
      <c r="O1183" t="s">
        <v>600</v>
      </c>
      <c r="P1183" t="s">
        <v>550</v>
      </c>
      <c r="Q1183">
        <v>2021</v>
      </c>
      <c r="R1183" t="s">
        <v>579</v>
      </c>
      <c r="S1183" t="s">
        <v>580</v>
      </c>
      <c r="T1183" t="s">
        <v>581</v>
      </c>
      <c r="U1183" t="b">
        <v>0</v>
      </c>
      <c r="V1183" t="s">
        <v>776</v>
      </c>
      <c r="W1183" t="s">
        <v>571</v>
      </c>
      <c r="X1183" t="s">
        <v>572</v>
      </c>
      <c r="Y1183" t="s">
        <v>472</v>
      </c>
      <c r="Z1183" t="s">
        <v>485</v>
      </c>
      <c r="AA1183" t="s">
        <v>764</v>
      </c>
      <c r="AB1183" t="s">
        <v>765</v>
      </c>
      <c r="AC1183">
        <v>0</v>
      </c>
      <c r="AD1183" t="s">
        <v>565</v>
      </c>
      <c r="AE1183">
        <v>45423.587319999999</v>
      </c>
      <c r="AF1183">
        <v>2.4852610000000001E-2</v>
      </c>
      <c r="AG1183" t="s">
        <v>560</v>
      </c>
      <c r="AH1183">
        <v>1</v>
      </c>
      <c r="AI1183">
        <v>1827719</v>
      </c>
      <c r="AJ1183" t="s">
        <v>561</v>
      </c>
      <c r="AK1183" t="s">
        <v>766</v>
      </c>
      <c r="AL1183" t="s">
        <v>790</v>
      </c>
      <c r="AM1183">
        <v>2021</v>
      </c>
      <c r="AN1183">
        <v>2019</v>
      </c>
      <c r="AO1183">
        <f>IF(AND(emissions[[#This Row],[Market-based]]=0,emissions[[#This Row],[Impact Type]]="CO2E"),emissions[[#This Row],[kgCO2e]],0)/1000</f>
        <v>45.423587319999996</v>
      </c>
      <c r="AP1183">
        <f>IF(AND(emissions[[#This Row],[Market-based]]=1,OR(emissions[[#This Row],[Impact Type]]="CO2E",emissions[[#This Row],[Impact Type]]="CO2E MKT")),emissions[[#This Row],[kgCO2e]],0)/1000</f>
        <v>0</v>
      </c>
      <c r="AQ1183" t="str">
        <f>_xlfn.TEXTAFTER(emissions[[#This Row],[Reporting Unit]]," &gt; ",LEN(emissions[[#This Row],[Reporting Unit]])-LEN(SUBSTITUTE(emissions[[#This Row],[Reporting Unit]],"&gt;","")))</f>
        <v>Vantage_Englewood</v>
      </c>
      <c r="AR1183" t="str">
        <f>_xlfn.XLOOKUP(emissions[[#This Row],[Reporting unit name]],hierarchy!$A:$A,hierarchy!$C:$C)</f>
        <v>Office</v>
      </c>
    </row>
    <row r="1184" spans="1:44" hidden="1" x14ac:dyDescent="0.25">
      <c r="A1184">
        <v>4948</v>
      </c>
      <c r="B1184" t="s">
        <v>367</v>
      </c>
      <c r="C1184" t="s">
        <v>501</v>
      </c>
      <c r="D1184" t="s">
        <v>599</v>
      </c>
      <c r="E1184" s="3">
        <v>44197</v>
      </c>
      <c r="F1184" s="3">
        <v>44561</v>
      </c>
      <c r="G1184" t="s">
        <v>108</v>
      </c>
      <c r="H1184" s="3">
        <v>44197</v>
      </c>
      <c r="I1184" s="3">
        <v>44561</v>
      </c>
      <c r="J1184" t="s">
        <v>108</v>
      </c>
      <c r="K1184">
        <v>1827719</v>
      </c>
      <c r="L1184" t="s">
        <v>109</v>
      </c>
      <c r="M1184" t="s">
        <v>110</v>
      </c>
      <c r="O1184" t="s">
        <v>600</v>
      </c>
      <c r="P1184" t="s">
        <v>550</v>
      </c>
      <c r="Q1184">
        <v>2021</v>
      </c>
      <c r="R1184" t="s">
        <v>579</v>
      </c>
      <c r="S1184" t="s">
        <v>580</v>
      </c>
      <c r="T1184" t="s">
        <v>581</v>
      </c>
      <c r="U1184" t="b">
        <v>0</v>
      </c>
      <c r="V1184" t="s">
        <v>777</v>
      </c>
      <c r="W1184" t="s">
        <v>571</v>
      </c>
      <c r="X1184" t="s">
        <v>572</v>
      </c>
      <c r="Y1184" t="s">
        <v>472</v>
      </c>
      <c r="Z1184" t="s">
        <v>485</v>
      </c>
      <c r="AA1184" t="s">
        <v>764</v>
      </c>
      <c r="AB1184" t="s">
        <v>765</v>
      </c>
      <c r="AC1184">
        <v>1</v>
      </c>
      <c r="AD1184" t="s">
        <v>639</v>
      </c>
      <c r="AE1184">
        <v>45159.077319999997</v>
      </c>
      <c r="AF1184">
        <v>2.4707889E-2</v>
      </c>
      <c r="AG1184" t="s">
        <v>560</v>
      </c>
      <c r="AH1184">
        <v>1</v>
      </c>
      <c r="AI1184">
        <v>1827719</v>
      </c>
      <c r="AJ1184" t="s">
        <v>561</v>
      </c>
      <c r="AK1184" t="s">
        <v>573</v>
      </c>
      <c r="AL1184" t="s">
        <v>778</v>
      </c>
      <c r="AM1184">
        <v>2021</v>
      </c>
      <c r="AN1184">
        <v>2019</v>
      </c>
      <c r="AO1184">
        <f>IF(AND(emissions[[#This Row],[Market-based]]=0,emissions[[#This Row],[Impact Type]]="CO2E"),emissions[[#This Row],[kgCO2e]],0)/1000</f>
        <v>0</v>
      </c>
      <c r="AP1184">
        <f>IF(AND(emissions[[#This Row],[Market-based]]=1,OR(emissions[[#This Row],[Impact Type]]="CO2E",emissions[[#This Row],[Impact Type]]="CO2E MKT")),emissions[[#This Row],[kgCO2e]],0)/1000</f>
        <v>45.159077319999994</v>
      </c>
      <c r="AQ1184" t="str">
        <f>_xlfn.TEXTAFTER(emissions[[#This Row],[Reporting Unit]]," &gt; ",LEN(emissions[[#This Row],[Reporting Unit]])-LEN(SUBSTITUTE(emissions[[#This Row],[Reporting Unit]],"&gt;","")))</f>
        <v>Vantage_Englewood</v>
      </c>
      <c r="AR1184" t="str">
        <f>_xlfn.XLOOKUP(emissions[[#This Row],[Reporting unit name]],hierarchy!$A:$A,hierarchy!$C:$C)</f>
        <v>Office</v>
      </c>
    </row>
    <row r="1185" spans="1:44" hidden="1" x14ac:dyDescent="0.25">
      <c r="A1185">
        <v>4975</v>
      </c>
      <c r="B1185" t="s">
        <v>367</v>
      </c>
      <c r="C1185" t="s">
        <v>501</v>
      </c>
      <c r="D1185" t="s">
        <v>599</v>
      </c>
      <c r="E1185" s="3">
        <v>44197</v>
      </c>
      <c r="F1185" s="3">
        <v>44561</v>
      </c>
      <c r="G1185" t="s">
        <v>135</v>
      </c>
      <c r="H1185" s="3">
        <v>44197</v>
      </c>
      <c r="I1185" s="3">
        <v>44561</v>
      </c>
      <c r="J1185" t="s">
        <v>135</v>
      </c>
      <c r="K1185">
        <v>3078539.5</v>
      </c>
      <c r="L1185" t="s">
        <v>160</v>
      </c>
      <c r="M1185" t="s">
        <v>110</v>
      </c>
      <c r="O1185" t="s">
        <v>600</v>
      </c>
      <c r="P1185" t="s">
        <v>550</v>
      </c>
      <c r="Q1185">
        <v>2021</v>
      </c>
      <c r="R1185" t="s">
        <v>605</v>
      </c>
      <c r="S1185" t="s">
        <v>606</v>
      </c>
      <c r="T1185" t="s">
        <v>553</v>
      </c>
      <c r="U1185" t="b">
        <v>0</v>
      </c>
      <c r="V1185" t="s">
        <v>781</v>
      </c>
      <c r="W1185" t="s">
        <v>587</v>
      </c>
      <c r="X1185" t="s">
        <v>556</v>
      </c>
      <c r="Y1185" t="s">
        <v>472</v>
      </c>
      <c r="Z1185" t="s">
        <v>485</v>
      </c>
      <c r="AA1185" t="s">
        <v>764</v>
      </c>
      <c r="AC1185">
        <v>0</v>
      </c>
      <c r="AD1185" t="s">
        <v>558</v>
      </c>
      <c r="AE1185">
        <v>79.27239213</v>
      </c>
      <c r="AF1185">
        <v>2.5749999999999999E-5</v>
      </c>
      <c r="AG1185" t="s">
        <v>782</v>
      </c>
      <c r="AH1185">
        <v>1</v>
      </c>
      <c r="AI1185">
        <v>3078539.5</v>
      </c>
      <c r="AJ1185" t="s">
        <v>561</v>
      </c>
      <c r="AK1185" t="s">
        <v>766</v>
      </c>
      <c r="AL1185" t="s">
        <v>787</v>
      </c>
      <c r="AM1185">
        <v>2021</v>
      </c>
      <c r="AN1185">
        <v>2020</v>
      </c>
      <c r="AO1185">
        <f>IF(AND(emissions[[#This Row],[Market-based]]=0,emissions[[#This Row],[Impact Type]]="CO2E"),emissions[[#This Row],[kgCO2e]],0)/1000</f>
        <v>0</v>
      </c>
      <c r="AP1185">
        <f>IF(AND(emissions[[#This Row],[Market-based]]=1,OR(emissions[[#This Row],[Impact Type]]="CO2E",emissions[[#This Row],[Impact Type]]="CO2E MKT")),emissions[[#This Row],[kgCO2e]],0)/1000</f>
        <v>0</v>
      </c>
      <c r="AQ1185" t="str">
        <f>_xlfn.TEXTAFTER(emissions[[#This Row],[Reporting Unit]]," &gt; ",LEN(emissions[[#This Row],[Reporting Unit]])-LEN(SUBSTITUTE(emissions[[#This Row],[Reporting Unit]],"&gt;","")))</f>
        <v>Vantage_Englewood</v>
      </c>
      <c r="AR1185" t="str">
        <f>_xlfn.XLOOKUP(emissions[[#This Row],[Reporting unit name]],hierarchy!$A:$A,hierarchy!$C:$C)</f>
        <v>Office</v>
      </c>
    </row>
    <row r="1186" spans="1:44" hidden="1" x14ac:dyDescent="0.25">
      <c r="A1186">
        <v>4975</v>
      </c>
      <c r="B1186" t="s">
        <v>367</v>
      </c>
      <c r="C1186" t="s">
        <v>501</v>
      </c>
      <c r="D1186" t="s">
        <v>599</v>
      </c>
      <c r="E1186" s="3">
        <v>44197</v>
      </c>
      <c r="F1186" s="3">
        <v>44561</v>
      </c>
      <c r="G1186" t="s">
        <v>135</v>
      </c>
      <c r="H1186" s="3">
        <v>44197</v>
      </c>
      <c r="I1186" s="3">
        <v>44561</v>
      </c>
      <c r="J1186" t="s">
        <v>135</v>
      </c>
      <c r="K1186">
        <v>3078539.5</v>
      </c>
      <c r="L1186" t="s">
        <v>160</v>
      </c>
      <c r="M1186" t="s">
        <v>110</v>
      </c>
      <c r="O1186" t="s">
        <v>600</v>
      </c>
      <c r="P1186" t="s">
        <v>550</v>
      </c>
      <c r="Q1186">
        <v>2021</v>
      </c>
      <c r="R1186" t="s">
        <v>605</v>
      </c>
      <c r="S1186" t="s">
        <v>606</v>
      </c>
      <c r="T1186" t="s">
        <v>553</v>
      </c>
      <c r="U1186" t="b">
        <v>0</v>
      </c>
      <c r="V1186" t="s">
        <v>781</v>
      </c>
      <c r="W1186" t="s">
        <v>587</v>
      </c>
      <c r="X1186" t="s">
        <v>556</v>
      </c>
      <c r="Y1186" t="s">
        <v>472</v>
      </c>
      <c r="Z1186" t="s">
        <v>485</v>
      </c>
      <c r="AA1186" t="s">
        <v>764</v>
      </c>
      <c r="AC1186">
        <v>0</v>
      </c>
      <c r="AD1186" t="s">
        <v>564</v>
      </c>
      <c r="AE1186">
        <v>167595.69039999999</v>
      </c>
      <c r="AF1186">
        <v>5.4440000000000002E-2</v>
      </c>
      <c r="AG1186" t="s">
        <v>782</v>
      </c>
      <c r="AH1186">
        <v>1</v>
      </c>
      <c r="AI1186">
        <v>3078539.5</v>
      </c>
      <c r="AJ1186" t="s">
        <v>561</v>
      </c>
      <c r="AK1186" t="s">
        <v>766</v>
      </c>
      <c r="AL1186" t="s">
        <v>790</v>
      </c>
      <c r="AM1186">
        <v>2021</v>
      </c>
      <c r="AN1186">
        <v>2021</v>
      </c>
      <c r="AO1186">
        <f>IF(AND(emissions[[#This Row],[Market-based]]=0,emissions[[#This Row],[Impact Type]]="CO2E"),emissions[[#This Row],[kgCO2e]],0)/1000</f>
        <v>0</v>
      </c>
      <c r="AP1186">
        <f>IF(AND(emissions[[#This Row],[Market-based]]=1,OR(emissions[[#This Row],[Impact Type]]="CO2E",emissions[[#This Row],[Impact Type]]="CO2E MKT")),emissions[[#This Row],[kgCO2e]],0)/1000</f>
        <v>0</v>
      </c>
      <c r="AQ1186" t="str">
        <f>_xlfn.TEXTAFTER(emissions[[#This Row],[Reporting Unit]]," &gt; ",LEN(emissions[[#This Row],[Reporting Unit]])-LEN(SUBSTITUTE(emissions[[#This Row],[Reporting Unit]],"&gt;","")))</f>
        <v>Vantage_Englewood</v>
      </c>
      <c r="AR1186" t="str">
        <f>_xlfn.XLOOKUP(emissions[[#This Row],[Reporting unit name]],hierarchy!$A:$A,hierarchy!$C:$C)</f>
        <v>Office</v>
      </c>
    </row>
    <row r="1187" spans="1:44" hidden="1" x14ac:dyDescent="0.25">
      <c r="A1187">
        <v>4975</v>
      </c>
      <c r="B1187" t="s">
        <v>367</v>
      </c>
      <c r="C1187" t="s">
        <v>501</v>
      </c>
      <c r="D1187" t="s">
        <v>599</v>
      </c>
      <c r="E1187" s="3">
        <v>44197</v>
      </c>
      <c r="F1187" s="3">
        <v>44561</v>
      </c>
      <c r="G1187" t="s">
        <v>135</v>
      </c>
      <c r="H1187" s="3">
        <v>44197</v>
      </c>
      <c r="I1187" s="3">
        <v>44561</v>
      </c>
      <c r="J1187" t="s">
        <v>135</v>
      </c>
      <c r="K1187">
        <v>3078539.5</v>
      </c>
      <c r="L1187" t="s">
        <v>160</v>
      </c>
      <c r="M1187" t="s">
        <v>110</v>
      </c>
      <c r="O1187" t="s">
        <v>600</v>
      </c>
      <c r="P1187" t="s">
        <v>550</v>
      </c>
      <c r="Q1187">
        <v>2021</v>
      </c>
      <c r="R1187" t="s">
        <v>605</v>
      </c>
      <c r="S1187" t="s">
        <v>606</v>
      </c>
      <c r="T1187" t="s">
        <v>553</v>
      </c>
      <c r="U1187" t="b">
        <v>0</v>
      </c>
      <c r="V1187" t="s">
        <v>781</v>
      </c>
      <c r="W1187" t="s">
        <v>587</v>
      </c>
      <c r="X1187" t="s">
        <v>556</v>
      </c>
      <c r="Y1187" t="s">
        <v>472</v>
      </c>
      <c r="Z1187" t="s">
        <v>485</v>
      </c>
      <c r="AA1187" t="s">
        <v>764</v>
      </c>
      <c r="AC1187">
        <v>0</v>
      </c>
      <c r="AD1187" t="s">
        <v>565</v>
      </c>
      <c r="AE1187">
        <v>167766.70319999999</v>
      </c>
      <c r="AF1187">
        <v>5.4495549999999997E-2</v>
      </c>
      <c r="AG1187" t="s">
        <v>782</v>
      </c>
      <c r="AH1187">
        <v>1</v>
      </c>
      <c r="AI1187">
        <v>3078539.5</v>
      </c>
      <c r="AJ1187" t="s">
        <v>561</v>
      </c>
      <c r="AK1187" t="s">
        <v>766</v>
      </c>
      <c r="AL1187" t="s">
        <v>787</v>
      </c>
      <c r="AM1187">
        <v>2021</v>
      </c>
      <c r="AN1187">
        <v>2020</v>
      </c>
      <c r="AO1187">
        <f>IF(AND(emissions[[#This Row],[Market-based]]=0,emissions[[#This Row],[Impact Type]]="CO2E"),emissions[[#This Row],[kgCO2e]],0)/1000</f>
        <v>167.76670319999999</v>
      </c>
      <c r="AP1187">
        <f>IF(AND(emissions[[#This Row],[Market-based]]=1,OR(emissions[[#This Row],[Impact Type]]="CO2E",emissions[[#This Row],[Impact Type]]="CO2E MKT")),emissions[[#This Row],[kgCO2e]],0)/1000</f>
        <v>0</v>
      </c>
      <c r="AQ1187" t="str">
        <f>_xlfn.TEXTAFTER(emissions[[#This Row],[Reporting Unit]]," &gt; ",LEN(emissions[[#This Row],[Reporting Unit]])-LEN(SUBSTITUTE(emissions[[#This Row],[Reporting Unit]],"&gt;","")))</f>
        <v>Vantage_Englewood</v>
      </c>
      <c r="AR1187" t="str">
        <f>_xlfn.XLOOKUP(emissions[[#This Row],[Reporting unit name]],hierarchy!$A:$A,hierarchy!$C:$C)</f>
        <v>Office</v>
      </c>
    </row>
    <row r="1188" spans="1:44" hidden="1" x14ac:dyDescent="0.25">
      <c r="A1188">
        <v>4975</v>
      </c>
      <c r="B1188" t="s">
        <v>367</v>
      </c>
      <c r="C1188" t="s">
        <v>501</v>
      </c>
      <c r="D1188" t="s">
        <v>599</v>
      </c>
      <c r="E1188" s="3">
        <v>44197</v>
      </c>
      <c r="F1188" s="3">
        <v>44561</v>
      </c>
      <c r="G1188" t="s">
        <v>135</v>
      </c>
      <c r="H1188" s="3">
        <v>44197</v>
      </c>
      <c r="I1188" s="3">
        <v>44561</v>
      </c>
      <c r="J1188" t="s">
        <v>135</v>
      </c>
      <c r="K1188">
        <v>3078539.5</v>
      </c>
      <c r="L1188" t="s">
        <v>160</v>
      </c>
      <c r="M1188" t="s">
        <v>110</v>
      </c>
      <c r="O1188" t="s">
        <v>600</v>
      </c>
      <c r="P1188" t="s">
        <v>550</v>
      </c>
      <c r="Q1188">
        <v>2021</v>
      </c>
      <c r="R1188" t="s">
        <v>605</v>
      </c>
      <c r="S1188" t="s">
        <v>606</v>
      </c>
      <c r="T1188" t="s">
        <v>553</v>
      </c>
      <c r="U1188" t="b">
        <v>0</v>
      </c>
      <c r="V1188" t="s">
        <v>781</v>
      </c>
      <c r="W1188" t="s">
        <v>587</v>
      </c>
      <c r="X1188" t="s">
        <v>556</v>
      </c>
      <c r="Y1188" t="s">
        <v>472</v>
      </c>
      <c r="Z1188" t="s">
        <v>485</v>
      </c>
      <c r="AA1188" t="s">
        <v>764</v>
      </c>
      <c r="AC1188">
        <v>0</v>
      </c>
      <c r="AD1188" t="s">
        <v>566</v>
      </c>
      <c r="AE1188">
        <v>91.740477100000007</v>
      </c>
      <c r="AF1188">
        <v>2.9799999999999999E-5</v>
      </c>
      <c r="AG1188" t="s">
        <v>782</v>
      </c>
      <c r="AH1188">
        <v>1</v>
      </c>
      <c r="AI1188">
        <v>3078539.5</v>
      </c>
      <c r="AJ1188" t="s">
        <v>561</v>
      </c>
      <c r="AK1188" t="s">
        <v>766</v>
      </c>
      <c r="AL1188" t="s">
        <v>790</v>
      </c>
      <c r="AM1188">
        <v>2021</v>
      </c>
      <c r="AN1188">
        <v>2021</v>
      </c>
      <c r="AO1188">
        <f>IF(AND(emissions[[#This Row],[Market-based]]=0,emissions[[#This Row],[Impact Type]]="CO2E"),emissions[[#This Row],[kgCO2e]],0)/1000</f>
        <v>0</v>
      </c>
      <c r="AP1188">
        <f>IF(AND(emissions[[#This Row],[Market-based]]=1,OR(emissions[[#This Row],[Impact Type]]="CO2E",emissions[[#This Row],[Impact Type]]="CO2E MKT")),emissions[[#This Row],[kgCO2e]],0)/1000</f>
        <v>0</v>
      </c>
      <c r="AQ1188" t="str">
        <f>_xlfn.TEXTAFTER(emissions[[#This Row],[Reporting Unit]]," &gt; ",LEN(emissions[[#This Row],[Reporting Unit]])-LEN(SUBSTITUTE(emissions[[#This Row],[Reporting Unit]],"&gt;","")))</f>
        <v>Vantage_Englewood</v>
      </c>
      <c r="AR1188" t="str">
        <f>_xlfn.XLOOKUP(emissions[[#This Row],[Reporting unit name]],hierarchy!$A:$A,hierarchy!$C:$C)</f>
        <v>Office</v>
      </c>
    </row>
    <row r="1189" spans="1:44" hidden="1" x14ac:dyDescent="0.25">
      <c r="A1189">
        <v>4975</v>
      </c>
      <c r="B1189" t="s">
        <v>367</v>
      </c>
      <c r="C1189" t="s">
        <v>501</v>
      </c>
      <c r="D1189" t="s">
        <v>599</v>
      </c>
      <c r="E1189" s="3">
        <v>44197</v>
      </c>
      <c r="F1189" s="3">
        <v>44561</v>
      </c>
      <c r="G1189" t="s">
        <v>135</v>
      </c>
      <c r="H1189" s="3">
        <v>44197</v>
      </c>
      <c r="I1189" s="3">
        <v>44561</v>
      </c>
      <c r="J1189" t="s">
        <v>135</v>
      </c>
      <c r="K1189">
        <v>3078539.5</v>
      </c>
      <c r="L1189" t="s">
        <v>160</v>
      </c>
      <c r="M1189" t="s">
        <v>110</v>
      </c>
      <c r="O1189" t="s">
        <v>600</v>
      </c>
      <c r="P1189" t="s">
        <v>550</v>
      </c>
      <c r="Q1189">
        <v>2021</v>
      </c>
      <c r="R1189" t="s">
        <v>605</v>
      </c>
      <c r="S1189" t="s">
        <v>606</v>
      </c>
      <c r="T1189" t="s">
        <v>553</v>
      </c>
      <c r="U1189" t="b">
        <v>0</v>
      </c>
      <c r="V1189" t="s">
        <v>781</v>
      </c>
      <c r="W1189" t="s">
        <v>587</v>
      </c>
      <c r="X1189" t="s">
        <v>556</v>
      </c>
      <c r="Y1189" t="s">
        <v>472</v>
      </c>
      <c r="Z1189" t="s">
        <v>485</v>
      </c>
      <c r="AA1189" t="s">
        <v>764</v>
      </c>
      <c r="AC1189">
        <v>1</v>
      </c>
      <c r="AD1189" t="s">
        <v>558</v>
      </c>
      <c r="AE1189">
        <v>79.27239213</v>
      </c>
      <c r="AF1189">
        <v>2.5749999999999999E-5</v>
      </c>
      <c r="AG1189" t="s">
        <v>782</v>
      </c>
      <c r="AH1189">
        <v>1</v>
      </c>
      <c r="AI1189">
        <v>3078539.5</v>
      </c>
      <c r="AJ1189" t="s">
        <v>561</v>
      </c>
      <c r="AK1189" t="s">
        <v>766</v>
      </c>
      <c r="AL1189" t="s">
        <v>787</v>
      </c>
      <c r="AM1189">
        <v>2021</v>
      </c>
      <c r="AN1189">
        <v>2020</v>
      </c>
      <c r="AO1189">
        <f>IF(AND(emissions[[#This Row],[Market-based]]=0,emissions[[#This Row],[Impact Type]]="CO2E"),emissions[[#This Row],[kgCO2e]],0)/1000</f>
        <v>0</v>
      </c>
      <c r="AP1189">
        <f>IF(AND(emissions[[#This Row],[Market-based]]=1,OR(emissions[[#This Row],[Impact Type]]="CO2E",emissions[[#This Row],[Impact Type]]="CO2E MKT")),emissions[[#This Row],[kgCO2e]],0)/1000</f>
        <v>0</v>
      </c>
      <c r="AQ1189" t="str">
        <f>_xlfn.TEXTAFTER(emissions[[#This Row],[Reporting Unit]]," &gt; ",LEN(emissions[[#This Row],[Reporting Unit]])-LEN(SUBSTITUTE(emissions[[#This Row],[Reporting Unit]],"&gt;","")))</f>
        <v>Vantage_Englewood</v>
      </c>
      <c r="AR1189" t="str">
        <f>_xlfn.XLOOKUP(emissions[[#This Row],[Reporting unit name]],hierarchy!$A:$A,hierarchy!$C:$C)</f>
        <v>Office</v>
      </c>
    </row>
    <row r="1190" spans="1:44" hidden="1" x14ac:dyDescent="0.25">
      <c r="A1190">
        <v>4975</v>
      </c>
      <c r="B1190" t="s">
        <v>367</v>
      </c>
      <c r="C1190" t="s">
        <v>501</v>
      </c>
      <c r="D1190" t="s">
        <v>599</v>
      </c>
      <c r="E1190" s="3">
        <v>44197</v>
      </c>
      <c r="F1190" s="3">
        <v>44561</v>
      </c>
      <c r="G1190" t="s">
        <v>135</v>
      </c>
      <c r="H1190" s="3">
        <v>44197</v>
      </c>
      <c r="I1190" s="3">
        <v>44561</v>
      </c>
      <c r="J1190" t="s">
        <v>135</v>
      </c>
      <c r="K1190">
        <v>3078539.5</v>
      </c>
      <c r="L1190" t="s">
        <v>160</v>
      </c>
      <c r="M1190" t="s">
        <v>110</v>
      </c>
      <c r="O1190" t="s">
        <v>600</v>
      </c>
      <c r="P1190" t="s">
        <v>550</v>
      </c>
      <c r="Q1190">
        <v>2021</v>
      </c>
      <c r="R1190" t="s">
        <v>605</v>
      </c>
      <c r="S1190" t="s">
        <v>606</v>
      </c>
      <c r="T1190" t="s">
        <v>553</v>
      </c>
      <c r="U1190" t="b">
        <v>0</v>
      </c>
      <c r="V1190" t="s">
        <v>781</v>
      </c>
      <c r="W1190" t="s">
        <v>587</v>
      </c>
      <c r="X1190" t="s">
        <v>556</v>
      </c>
      <c r="Y1190" t="s">
        <v>472</v>
      </c>
      <c r="Z1190" t="s">
        <v>485</v>
      </c>
      <c r="AA1190" t="s">
        <v>764</v>
      </c>
      <c r="AC1190">
        <v>1</v>
      </c>
      <c r="AD1190" t="s">
        <v>564</v>
      </c>
      <c r="AE1190">
        <v>167595.69039999999</v>
      </c>
      <c r="AF1190">
        <v>5.4440000000000002E-2</v>
      </c>
      <c r="AG1190" t="s">
        <v>782</v>
      </c>
      <c r="AH1190">
        <v>1</v>
      </c>
      <c r="AI1190">
        <v>3078539.5</v>
      </c>
      <c r="AJ1190" t="s">
        <v>561</v>
      </c>
      <c r="AK1190" t="s">
        <v>766</v>
      </c>
      <c r="AL1190" t="s">
        <v>790</v>
      </c>
      <c r="AM1190">
        <v>2021</v>
      </c>
      <c r="AN1190">
        <v>2021</v>
      </c>
      <c r="AO1190">
        <f>IF(AND(emissions[[#This Row],[Market-based]]=0,emissions[[#This Row],[Impact Type]]="CO2E"),emissions[[#This Row],[kgCO2e]],0)/1000</f>
        <v>0</v>
      </c>
      <c r="AP1190">
        <f>IF(AND(emissions[[#This Row],[Market-based]]=1,OR(emissions[[#This Row],[Impact Type]]="CO2E",emissions[[#This Row],[Impact Type]]="CO2E MKT")),emissions[[#This Row],[kgCO2e]],0)/1000</f>
        <v>0</v>
      </c>
      <c r="AQ1190" t="str">
        <f>_xlfn.TEXTAFTER(emissions[[#This Row],[Reporting Unit]]," &gt; ",LEN(emissions[[#This Row],[Reporting Unit]])-LEN(SUBSTITUTE(emissions[[#This Row],[Reporting Unit]],"&gt;","")))</f>
        <v>Vantage_Englewood</v>
      </c>
      <c r="AR1190" t="str">
        <f>_xlfn.XLOOKUP(emissions[[#This Row],[Reporting unit name]],hierarchy!$A:$A,hierarchy!$C:$C)</f>
        <v>Office</v>
      </c>
    </row>
    <row r="1191" spans="1:44" hidden="1" x14ac:dyDescent="0.25">
      <c r="A1191">
        <v>4975</v>
      </c>
      <c r="B1191" t="s">
        <v>367</v>
      </c>
      <c r="C1191" t="s">
        <v>501</v>
      </c>
      <c r="D1191" t="s">
        <v>599</v>
      </c>
      <c r="E1191" s="3">
        <v>44197</v>
      </c>
      <c r="F1191" s="3">
        <v>44561</v>
      </c>
      <c r="G1191" t="s">
        <v>135</v>
      </c>
      <c r="H1191" s="3">
        <v>44197</v>
      </c>
      <c r="I1191" s="3">
        <v>44561</v>
      </c>
      <c r="J1191" t="s">
        <v>135</v>
      </c>
      <c r="K1191">
        <v>3078539.5</v>
      </c>
      <c r="L1191" t="s">
        <v>160</v>
      </c>
      <c r="M1191" t="s">
        <v>110</v>
      </c>
      <c r="O1191" t="s">
        <v>600</v>
      </c>
      <c r="P1191" t="s">
        <v>550</v>
      </c>
      <c r="Q1191">
        <v>2021</v>
      </c>
      <c r="R1191" t="s">
        <v>605</v>
      </c>
      <c r="S1191" t="s">
        <v>606</v>
      </c>
      <c r="T1191" t="s">
        <v>553</v>
      </c>
      <c r="U1191" t="b">
        <v>0</v>
      </c>
      <c r="V1191" t="s">
        <v>781</v>
      </c>
      <c r="W1191" t="s">
        <v>587</v>
      </c>
      <c r="X1191" t="s">
        <v>556</v>
      </c>
      <c r="Y1191" t="s">
        <v>472</v>
      </c>
      <c r="Z1191" t="s">
        <v>485</v>
      </c>
      <c r="AA1191" t="s">
        <v>764</v>
      </c>
      <c r="AC1191">
        <v>1</v>
      </c>
      <c r="AD1191" t="s">
        <v>565</v>
      </c>
      <c r="AE1191">
        <v>167766.70319999999</v>
      </c>
      <c r="AF1191">
        <v>5.4495549999999997E-2</v>
      </c>
      <c r="AG1191" t="s">
        <v>782</v>
      </c>
      <c r="AH1191">
        <v>1</v>
      </c>
      <c r="AI1191">
        <v>3078539.5</v>
      </c>
      <c r="AJ1191" t="s">
        <v>561</v>
      </c>
      <c r="AK1191" t="s">
        <v>766</v>
      </c>
      <c r="AL1191" t="s">
        <v>787</v>
      </c>
      <c r="AM1191">
        <v>2021</v>
      </c>
      <c r="AN1191">
        <v>2020</v>
      </c>
      <c r="AO1191">
        <f>IF(AND(emissions[[#This Row],[Market-based]]=0,emissions[[#This Row],[Impact Type]]="CO2E"),emissions[[#This Row],[kgCO2e]],0)/1000</f>
        <v>0</v>
      </c>
      <c r="AP1191">
        <f>IF(AND(emissions[[#This Row],[Market-based]]=1,OR(emissions[[#This Row],[Impact Type]]="CO2E",emissions[[#This Row],[Impact Type]]="CO2E MKT")),emissions[[#This Row],[kgCO2e]],0)/1000</f>
        <v>167.76670319999999</v>
      </c>
      <c r="AQ1191" t="str">
        <f>_xlfn.TEXTAFTER(emissions[[#This Row],[Reporting Unit]]," &gt; ",LEN(emissions[[#This Row],[Reporting Unit]])-LEN(SUBSTITUTE(emissions[[#This Row],[Reporting Unit]],"&gt;","")))</f>
        <v>Vantage_Englewood</v>
      </c>
      <c r="AR1191" t="str">
        <f>_xlfn.XLOOKUP(emissions[[#This Row],[Reporting unit name]],hierarchy!$A:$A,hierarchy!$C:$C)</f>
        <v>Office</v>
      </c>
    </row>
    <row r="1192" spans="1:44" hidden="1" x14ac:dyDescent="0.25">
      <c r="A1192">
        <v>4975</v>
      </c>
      <c r="B1192" t="s">
        <v>367</v>
      </c>
      <c r="C1192" t="s">
        <v>501</v>
      </c>
      <c r="D1192" t="s">
        <v>599</v>
      </c>
      <c r="E1192" s="3">
        <v>44197</v>
      </c>
      <c r="F1192" s="3">
        <v>44561</v>
      </c>
      <c r="G1192" t="s">
        <v>135</v>
      </c>
      <c r="H1192" s="3">
        <v>44197</v>
      </c>
      <c r="I1192" s="3">
        <v>44561</v>
      </c>
      <c r="J1192" t="s">
        <v>135</v>
      </c>
      <c r="K1192">
        <v>3078539.5</v>
      </c>
      <c r="L1192" t="s">
        <v>160</v>
      </c>
      <c r="M1192" t="s">
        <v>110</v>
      </c>
      <c r="O1192" t="s">
        <v>600</v>
      </c>
      <c r="P1192" t="s">
        <v>550</v>
      </c>
      <c r="Q1192">
        <v>2021</v>
      </c>
      <c r="R1192" t="s">
        <v>605</v>
      </c>
      <c r="S1192" t="s">
        <v>606</v>
      </c>
      <c r="T1192" t="s">
        <v>553</v>
      </c>
      <c r="U1192" t="b">
        <v>0</v>
      </c>
      <c r="V1192" t="s">
        <v>781</v>
      </c>
      <c r="W1192" t="s">
        <v>587</v>
      </c>
      <c r="X1192" t="s">
        <v>556</v>
      </c>
      <c r="Y1192" t="s">
        <v>472</v>
      </c>
      <c r="Z1192" t="s">
        <v>485</v>
      </c>
      <c r="AA1192" t="s">
        <v>764</v>
      </c>
      <c r="AC1192">
        <v>1</v>
      </c>
      <c r="AD1192" t="s">
        <v>566</v>
      </c>
      <c r="AE1192">
        <v>91.740477100000007</v>
      </c>
      <c r="AF1192">
        <v>2.9799999999999999E-5</v>
      </c>
      <c r="AG1192" t="s">
        <v>782</v>
      </c>
      <c r="AH1192">
        <v>1</v>
      </c>
      <c r="AI1192">
        <v>3078539.5</v>
      </c>
      <c r="AJ1192" t="s">
        <v>561</v>
      </c>
      <c r="AK1192" t="s">
        <v>766</v>
      </c>
      <c r="AL1192" t="s">
        <v>790</v>
      </c>
      <c r="AM1192">
        <v>2021</v>
      </c>
      <c r="AN1192">
        <v>2021</v>
      </c>
      <c r="AO1192">
        <f>IF(AND(emissions[[#This Row],[Market-based]]=0,emissions[[#This Row],[Impact Type]]="CO2E"),emissions[[#This Row],[kgCO2e]],0)/1000</f>
        <v>0</v>
      </c>
      <c r="AP1192">
        <f>IF(AND(emissions[[#This Row],[Market-based]]=1,OR(emissions[[#This Row],[Impact Type]]="CO2E",emissions[[#This Row],[Impact Type]]="CO2E MKT")),emissions[[#This Row],[kgCO2e]],0)/1000</f>
        <v>0</v>
      </c>
      <c r="AQ1192" t="str">
        <f>_xlfn.TEXTAFTER(emissions[[#This Row],[Reporting Unit]]," &gt; ",LEN(emissions[[#This Row],[Reporting Unit]])-LEN(SUBSTITUTE(emissions[[#This Row],[Reporting Unit]],"&gt;","")))</f>
        <v>Vantage_Englewood</v>
      </c>
      <c r="AR1192" t="str">
        <f>_xlfn.XLOOKUP(emissions[[#This Row],[Reporting unit name]],hierarchy!$A:$A,hierarchy!$C:$C)</f>
        <v>Office</v>
      </c>
    </row>
    <row r="1193" spans="1:44" hidden="1" x14ac:dyDescent="0.25">
      <c r="A1193">
        <v>4975</v>
      </c>
      <c r="B1193" t="s">
        <v>367</v>
      </c>
      <c r="C1193" t="s">
        <v>501</v>
      </c>
      <c r="D1193" t="s">
        <v>599</v>
      </c>
      <c r="E1193" s="3">
        <v>44197</v>
      </c>
      <c r="F1193" s="3">
        <v>44561</v>
      </c>
      <c r="G1193" t="s">
        <v>135</v>
      </c>
      <c r="H1193" s="3">
        <v>44197</v>
      </c>
      <c r="I1193" s="3">
        <v>44561</v>
      </c>
      <c r="J1193" t="s">
        <v>135</v>
      </c>
      <c r="K1193">
        <v>3078539.5</v>
      </c>
      <c r="L1193" t="s">
        <v>160</v>
      </c>
      <c r="M1193" t="s">
        <v>110</v>
      </c>
      <c r="O1193" t="s">
        <v>600</v>
      </c>
      <c r="P1193" t="s">
        <v>550</v>
      </c>
      <c r="Q1193">
        <v>2021</v>
      </c>
      <c r="R1193" t="s">
        <v>609</v>
      </c>
      <c r="S1193" t="s">
        <v>610</v>
      </c>
      <c r="T1193" t="s">
        <v>577</v>
      </c>
      <c r="U1193" t="b">
        <v>0</v>
      </c>
      <c r="V1193" t="s">
        <v>611</v>
      </c>
      <c r="W1193" t="s">
        <v>571</v>
      </c>
      <c r="X1193" t="s">
        <v>572</v>
      </c>
      <c r="AC1193">
        <v>0</v>
      </c>
      <c r="AD1193" t="s">
        <v>565</v>
      </c>
      <c r="AE1193">
        <v>30156.235799999999</v>
      </c>
      <c r="AF1193">
        <v>0.34593000000000002</v>
      </c>
      <c r="AG1193" t="s">
        <v>783</v>
      </c>
      <c r="AH1193">
        <v>2.83168E-2</v>
      </c>
      <c r="AI1193">
        <v>87174.387310000006</v>
      </c>
      <c r="AJ1193" t="s">
        <v>561</v>
      </c>
      <c r="AK1193" t="s">
        <v>589</v>
      </c>
      <c r="AL1193" t="s">
        <v>603</v>
      </c>
      <c r="AM1193">
        <v>2021</v>
      </c>
      <c r="AN1193">
        <v>2019</v>
      </c>
      <c r="AO1193">
        <f>IF(AND(emissions[[#This Row],[Market-based]]=0,emissions[[#This Row],[Impact Type]]="CO2E"),emissions[[#This Row],[kgCO2e]],0)/1000</f>
        <v>30.156235799999997</v>
      </c>
      <c r="AP1193">
        <f>IF(AND(emissions[[#This Row],[Market-based]]=1,OR(emissions[[#This Row],[Impact Type]]="CO2E",emissions[[#This Row],[Impact Type]]="CO2E MKT")),emissions[[#This Row],[kgCO2e]],0)/1000</f>
        <v>0</v>
      </c>
      <c r="AQ1193" t="str">
        <f>_xlfn.TEXTAFTER(emissions[[#This Row],[Reporting Unit]]," &gt; ",LEN(emissions[[#This Row],[Reporting Unit]])-LEN(SUBSTITUTE(emissions[[#This Row],[Reporting Unit]],"&gt;","")))</f>
        <v>Vantage_Englewood</v>
      </c>
      <c r="AR1193" t="str">
        <f>_xlfn.XLOOKUP(emissions[[#This Row],[Reporting unit name]],hierarchy!$A:$A,hierarchy!$C:$C)</f>
        <v>Office</v>
      </c>
    </row>
    <row r="1194" spans="1:44" hidden="1" x14ac:dyDescent="0.25">
      <c r="A1194">
        <v>4975</v>
      </c>
      <c r="B1194" t="s">
        <v>367</v>
      </c>
      <c r="C1194" t="s">
        <v>501</v>
      </c>
      <c r="D1194" t="s">
        <v>599</v>
      </c>
      <c r="E1194" s="3">
        <v>44197</v>
      </c>
      <c r="F1194" s="3">
        <v>44561</v>
      </c>
      <c r="G1194" t="s">
        <v>135</v>
      </c>
      <c r="H1194" s="3">
        <v>44197</v>
      </c>
      <c r="I1194" s="3">
        <v>44561</v>
      </c>
      <c r="J1194" t="s">
        <v>135</v>
      </c>
      <c r="K1194">
        <v>3078539.5</v>
      </c>
      <c r="L1194" t="s">
        <v>160</v>
      </c>
      <c r="M1194" t="s">
        <v>110</v>
      </c>
      <c r="O1194" t="s">
        <v>600</v>
      </c>
      <c r="P1194" t="s">
        <v>550</v>
      </c>
      <c r="Q1194">
        <v>2021</v>
      </c>
      <c r="R1194" t="s">
        <v>609</v>
      </c>
      <c r="S1194" t="s">
        <v>610</v>
      </c>
      <c r="T1194" t="s">
        <v>577</v>
      </c>
      <c r="U1194" t="b">
        <v>0</v>
      </c>
      <c r="V1194" t="s">
        <v>611</v>
      </c>
      <c r="W1194" t="s">
        <v>571</v>
      </c>
      <c r="X1194" t="s">
        <v>572</v>
      </c>
      <c r="AC1194">
        <v>1</v>
      </c>
      <c r="AD1194" t="s">
        <v>565</v>
      </c>
      <c r="AE1194">
        <v>30156.235799999999</v>
      </c>
      <c r="AF1194">
        <v>0.34593000000000002</v>
      </c>
      <c r="AG1194" t="s">
        <v>783</v>
      </c>
      <c r="AH1194">
        <v>2.83168E-2</v>
      </c>
      <c r="AI1194">
        <v>87174.387310000006</v>
      </c>
      <c r="AJ1194" t="s">
        <v>561</v>
      </c>
      <c r="AK1194" t="s">
        <v>589</v>
      </c>
      <c r="AL1194" t="s">
        <v>603</v>
      </c>
      <c r="AM1194">
        <v>2021</v>
      </c>
      <c r="AN1194">
        <v>2019</v>
      </c>
      <c r="AO1194">
        <f>IF(AND(emissions[[#This Row],[Market-based]]=0,emissions[[#This Row],[Impact Type]]="CO2E"),emissions[[#This Row],[kgCO2e]],0)/1000</f>
        <v>0</v>
      </c>
      <c r="AP1194">
        <f>IF(AND(emissions[[#This Row],[Market-based]]=1,OR(emissions[[#This Row],[Impact Type]]="CO2E",emissions[[#This Row],[Impact Type]]="CO2E MKT")),emissions[[#This Row],[kgCO2e]],0)/1000</f>
        <v>30.156235799999997</v>
      </c>
      <c r="AQ1194" t="str">
        <f>_xlfn.TEXTAFTER(emissions[[#This Row],[Reporting Unit]]," &gt; ",LEN(emissions[[#This Row],[Reporting Unit]])-LEN(SUBSTITUTE(emissions[[#This Row],[Reporting Unit]],"&gt;","")))</f>
        <v>Vantage_Englewood</v>
      </c>
      <c r="AR1194" t="str">
        <f>_xlfn.XLOOKUP(emissions[[#This Row],[Reporting unit name]],hierarchy!$A:$A,hierarchy!$C:$C)</f>
        <v>Office</v>
      </c>
    </row>
    <row r="1195" spans="1:44" hidden="1" x14ac:dyDescent="0.25">
      <c r="A1195">
        <v>5008</v>
      </c>
      <c r="B1195" t="s">
        <v>367</v>
      </c>
      <c r="C1195" t="s">
        <v>501</v>
      </c>
      <c r="D1195" t="s">
        <v>599</v>
      </c>
      <c r="E1195" s="3">
        <v>44197</v>
      </c>
      <c r="F1195" s="3">
        <v>44561</v>
      </c>
      <c r="G1195" t="s">
        <v>141</v>
      </c>
      <c r="H1195" s="3">
        <v>44197</v>
      </c>
      <c r="I1195" s="3">
        <v>44561</v>
      </c>
      <c r="J1195" t="s">
        <v>187</v>
      </c>
      <c r="K1195">
        <v>0</v>
      </c>
      <c r="L1195" t="s">
        <v>209</v>
      </c>
      <c r="M1195" t="s">
        <v>110</v>
      </c>
      <c r="O1195" t="s">
        <v>600</v>
      </c>
      <c r="P1195" t="s">
        <v>550</v>
      </c>
      <c r="Q1195">
        <v>2021</v>
      </c>
      <c r="R1195" t="s">
        <v>654</v>
      </c>
      <c r="S1195" t="s">
        <v>655</v>
      </c>
      <c r="T1195" t="s">
        <v>553</v>
      </c>
      <c r="U1195" t="b">
        <v>0</v>
      </c>
      <c r="V1195" t="s">
        <v>656</v>
      </c>
      <c r="W1195" t="s">
        <v>587</v>
      </c>
      <c r="X1195" t="s">
        <v>556</v>
      </c>
      <c r="AC1195">
        <v>0</v>
      </c>
      <c r="AD1195" t="s">
        <v>558</v>
      </c>
      <c r="AE1195">
        <v>0</v>
      </c>
      <c r="AF1195">
        <v>7.3200000000000001E-3</v>
      </c>
      <c r="AG1195" t="s">
        <v>588</v>
      </c>
      <c r="AH1195">
        <v>1000</v>
      </c>
      <c r="AI1195">
        <v>0</v>
      </c>
      <c r="AJ1195" t="s">
        <v>561</v>
      </c>
      <c r="AK1195" t="s">
        <v>589</v>
      </c>
      <c r="AL1195" t="s">
        <v>603</v>
      </c>
      <c r="AM1195">
        <v>2021</v>
      </c>
      <c r="AN1195">
        <v>2019</v>
      </c>
      <c r="AO1195">
        <f>IF(AND(emissions[[#This Row],[Market-based]]=0,emissions[[#This Row],[Impact Type]]="CO2E"),emissions[[#This Row],[kgCO2e]],0)/1000</f>
        <v>0</v>
      </c>
      <c r="AP1195">
        <f>IF(AND(emissions[[#This Row],[Market-based]]=1,OR(emissions[[#This Row],[Impact Type]]="CO2E",emissions[[#This Row],[Impact Type]]="CO2E MKT")),emissions[[#This Row],[kgCO2e]],0)/1000</f>
        <v>0</v>
      </c>
      <c r="AQ1195" t="str">
        <f>_xlfn.TEXTAFTER(emissions[[#This Row],[Reporting Unit]]," &gt; ",LEN(emissions[[#This Row],[Reporting Unit]])-LEN(SUBSTITUTE(emissions[[#This Row],[Reporting Unit]],"&gt;","")))</f>
        <v>Vantage_Englewood</v>
      </c>
      <c r="AR1195" t="str">
        <f>_xlfn.XLOOKUP(emissions[[#This Row],[Reporting unit name]],hierarchy!$A:$A,hierarchy!$C:$C)</f>
        <v>Office</v>
      </c>
    </row>
    <row r="1196" spans="1:44" hidden="1" x14ac:dyDescent="0.25">
      <c r="A1196">
        <v>5008</v>
      </c>
      <c r="B1196" t="s">
        <v>367</v>
      </c>
      <c r="C1196" t="s">
        <v>501</v>
      </c>
      <c r="D1196" t="s">
        <v>599</v>
      </c>
      <c r="E1196" s="3">
        <v>44197</v>
      </c>
      <c r="F1196" s="3">
        <v>44561</v>
      </c>
      <c r="G1196" t="s">
        <v>141</v>
      </c>
      <c r="H1196" s="3">
        <v>44197</v>
      </c>
      <c r="I1196" s="3">
        <v>44561</v>
      </c>
      <c r="J1196" t="s">
        <v>187</v>
      </c>
      <c r="K1196">
        <v>0</v>
      </c>
      <c r="L1196" t="s">
        <v>209</v>
      </c>
      <c r="M1196" t="s">
        <v>110</v>
      </c>
      <c r="O1196" t="s">
        <v>600</v>
      </c>
      <c r="P1196" t="s">
        <v>550</v>
      </c>
      <c r="Q1196">
        <v>2021</v>
      </c>
      <c r="R1196" t="s">
        <v>654</v>
      </c>
      <c r="S1196" t="s">
        <v>655</v>
      </c>
      <c r="T1196" t="s">
        <v>553</v>
      </c>
      <c r="U1196" t="b">
        <v>0</v>
      </c>
      <c r="V1196" t="s">
        <v>656</v>
      </c>
      <c r="W1196" t="s">
        <v>587</v>
      </c>
      <c r="X1196" t="s">
        <v>556</v>
      </c>
      <c r="AC1196">
        <v>0</v>
      </c>
      <c r="AD1196" t="s">
        <v>564</v>
      </c>
      <c r="AE1196">
        <v>0</v>
      </c>
      <c r="AF1196">
        <v>2.3256700000000001</v>
      </c>
      <c r="AG1196" t="s">
        <v>588</v>
      </c>
      <c r="AH1196">
        <v>1000</v>
      </c>
      <c r="AI1196">
        <v>0</v>
      </c>
      <c r="AJ1196" t="s">
        <v>561</v>
      </c>
      <c r="AK1196" t="s">
        <v>589</v>
      </c>
      <c r="AL1196" t="s">
        <v>603</v>
      </c>
      <c r="AM1196">
        <v>2021</v>
      </c>
      <c r="AN1196">
        <v>2019</v>
      </c>
      <c r="AO1196">
        <f>IF(AND(emissions[[#This Row],[Market-based]]=0,emissions[[#This Row],[Impact Type]]="CO2E"),emissions[[#This Row],[kgCO2e]],0)/1000</f>
        <v>0</v>
      </c>
      <c r="AP1196">
        <f>IF(AND(emissions[[#This Row],[Market-based]]=1,OR(emissions[[#This Row],[Impact Type]]="CO2E",emissions[[#This Row],[Impact Type]]="CO2E MKT")),emissions[[#This Row],[kgCO2e]],0)/1000</f>
        <v>0</v>
      </c>
      <c r="AQ1196" t="str">
        <f>_xlfn.TEXTAFTER(emissions[[#This Row],[Reporting Unit]]," &gt; ",LEN(emissions[[#This Row],[Reporting Unit]])-LEN(SUBSTITUTE(emissions[[#This Row],[Reporting Unit]],"&gt;","")))</f>
        <v>Vantage_Englewood</v>
      </c>
      <c r="AR1196" t="str">
        <f>_xlfn.XLOOKUP(emissions[[#This Row],[Reporting unit name]],hierarchy!$A:$A,hierarchy!$C:$C)</f>
        <v>Office</v>
      </c>
    </row>
    <row r="1197" spans="1:44" hidden="1" x14ac:dyDescent="0.25">
      <c r="A1197">
        <v>5008</v>
      </c>
      <c r="B1197" t="s">
        <v>367</v>
      </c>
      <c r="C1197" t="s">
        <v>501</v>
      </c>
      <c r="D1197" t="s">
        <v>599</v>
      </c>
      <c r="E1197" s="3">
        <v>44197</v>
      </c>
      <c r="F1197" s="3">
        <v>44561</v>
      </c>
      <c r="G1197" t="s">
        <v>141</v>
      </c>
      <c r="H1197" s="3">
        <v>44197</v>
      </c>
      <c r="I1197" s="3">
        <v>44561</v>
      </c>
      <c r="J1197" t="s">
        <v>187</v>
      </c>
      <c r="K1197">
        <v>0</v>
      </c>
      <c r="L1197" t="s">
        <v>209</v>
      </c>
      <c r="M1197" t="s">
        <v>110</v>
      </c>
      <c r="O1197" t="s">
        <v>600</v>
      </c>
      <c r="P1197" t="s">
        <v>550</v>
      </c>
      <c r="Q1197">
        <v>2021</v>
      </c>
      <c r="R1197" t="s">
        <v>654</v>
      </c>
      <c r="S1197" t="s">
        <v>655</v>
      </c>
      <c r="T1197" t="s">
        <v>553</v>
      </c>
      <c r="U1197" t="b">
        <v>0</v>
      </c>
      <c r="V1197" t="s">
        <v>656</v>
      </c>
      <c r="W1197" t="s">
        <v>587</v>
      </c>
      <c r="X1197" t="s">
        <v>556</v>
      </c>
      <c r="AC1197">
        <v>0</v>
      </c>
      <c r="AD1197" t="s">
        <v>565</v>
      </c>
      <c r="AE1197">
        <v>0</v>
      </c>
      <c r="AF1197">
        <v>2.3397000000000001</v>
      </c>
      <c r="AG1197" t="s">
        <v>588</v>
      </c>
      <c r="AH1197">
        <v>1000</v>
      </c>
      <c r="AI1197">
        <v>0</v>
      </c>
      <c r="AJ1197" t="s">
        <v>561</v>
      </c>
      <c r="AK1197" t="s">
        <v>589</v>
      </c>
      <c r="AL1197" t="s">
        <v>603</v>
      </c>
      <c r="AM1197">
        <v>2021</v>
      </c>
      <c r="AN1197">
        <v>2019</v>
      </c>
      <c r="AO1197">
        <f>IF(AND(emissions[[#This Row],[Market-based]]=0,emissions[[#This Row],[Impact Type]]="CO2E"),emissions[[#This Row],[kgCO2e]],0)/1000</f>
        <v>0</v>
      </c>
      <c r="AP1197">
        <f>IF(AND(emissions[[#This Row],[Market-based]]=1,OR(emissions[[#This Row],[Impact Type]]="CO2E",emissions[[#This Row],[Impact Type]]="CO2E MKT")),emissions[[#This Row],[kgCO2e]],0)/1000</f>
        <v>0</v>
      </c>
      <c r="AQ1197" t="str">
        <f>_xlfn.TEXTAFTER(emissions[[#This Row],[Reporting Unit]]," &gt; ",LEN(emissions[[#This Row],[Reporting Unit]])-LEN(SUBSTITUTE(emissions[[#This Row],[Reporting Unit]],"&gt;","")))</f>
        <v>Vantage_Englewood</v>
      </c>
      <c r="AR1197" t="str">
        <f>_xlfn.XLOOKUP(emissions[[#This Row],[Reporting unit name]],hierarchy!$A:$A,hierarchy!$C:$C)</f>
        <v>Office</v>
      </c>
    </row>
    <row r="1198" spans="1:44" hidden="1" x14ac:dyDescent="0.25">
      <c r="A1198">
        <v>5008</v>
      </c>
      <c r="B1198" t="s">
        <v>367</v>
      </c>
      <c r="C1198" t="s">
        <v>501</v>
      </c>
      <c r="D1198" t="s">
        <v>599</v>
      </c>
      <c r="E1198" s="3">
        <v>44197</v>
      </c>
      <c r="F1198" s="3">
        <v>44561</v>
      </c>
      <c r="G1198" t="s">
        <v>141</v>
      </c>
      <c r="H1198" s="3">
        <v>44197</v>
      </c>
      <c r="I1198" s="3">
        <v>44561</v>
      </c>
      <c r="J1198" t="s">
        <v>187</v>
      </c>
      <c r="K1198">
        <v>0</v>
      </c>
      <c r="L1198" t="s">
        <v>209</v>
      </c>
      <c r="M1198" t="s">
        <v>110</v>
      </c>
      <c r="O1198" t="s">
        <v>600</v>
      </c>
      <c r="P1198" t="s">
        <v>550</v>
      </c>
      <c r="Q1198">
        <v>2021</v>
      </c>
      <c r="R1198" t="s">
        <v>654</v>
      </c>
      <c r="S1198" t="s">
        <v>655</v>
      </c>
      <c r="T1198" t="s">
        <v>553</v>
      </c>
      <c r="U1198" t="b">
        <v>0</v>
      </c>
      <c r="V1198" t="s">
        <v>656</v>
      </c>
      <c r="W1198" t="s">
        <v>587</v>
      </c>
      <c r="X1198" t="s">
        <v>556</v>
      </c>
      <c r="AC1198">
        <v>0</v>
      </c>
      <c r="AD1198" t="s">
        <v>566</v>
      </c>
      <c r="AE1198">
        <v>0</v>
      </c>
      <c r="AF1198">
        <v>6.7099999999999998E-3</v>
      </c>
      <c r="AG1198" t="s">
        <v>588</v>
      </c>
      <c r="AH1198">
        <v>1000</v>
      </c>
      <c r="AI1198">
        <v>0</v>
      </c>
      <c r="AJ1198" t="s">
        <v>561</v>
      </c>
      <c r="AK1198" t="s">
        <v>589</v>
      </c>
      <c r="AL1198" t="s">
        <v>603</v>
      </c>
      <c r="AM1198">
        <v>2021</v>
      </c>
      <c r="AN1198">
        <v>2019</v>
      </c>
      <c r="AO1198">
        <f>IF(AND(emissions[[#This Row],[Market-based]]=0,emissions[[#This Row],[Impact Type]]="CO2E"),emissions[[#This Row],[kgCO2e]],0)/1000</f>
        <v>0</v>
      </c>
      <c r="AP1198">
        <f>IF(AND(emissions[[#This Row],[Market-based]]=1,OR(emissions[[#This Row],[Impact Type]]="CO2E",emissions[[#This Row],[Impact Type]]="CO2E MKT")),emissions[[#This Row],[kgCO2e]],0)/1000</f>
        <v>0</v>
      </c>
      <c r="AQ1198" t="str">
        <f>_xlfn.TEXTAFTER(emissions[[#This Row],[Reporting Unit]]," &gt; ",LEN(emissions[[#This Row],[Reporting Unit]])-LEN(SUBSTITUTE(emissions[[#This Row],[Reporting Unit]],"&gt;","")))</f>
        <v>Vantage_Englewood</v>
      </c>
      <c r="AR1198" t="str">
        <f>_xlfn.XLOOKUP(emissions[[#This Row],[Reporting unit name]],hierarchy!$A:$A,hierarchy!$C:$C)</f>
        <v>Office</v>
      </c>
    </row>
    <row r="1199" spans="1:44" hidden="1" x14ac:dyDescent="0.25">
      <c r="A1199">
        <v>5008</v>
      </c>
      <c r="B1199" t="s">
        <v>367</v>
      </c>
      <c r="C1199" t="s">
        <v>501</v>
      </c>
      <c r="D1199" t="s">
        <v>599</v>
      </c>
      <c r="E1199" s="3">
        <v>44197</v>
      </c>
      <c r="F1199" s="3">
        <v>44561</v>
      </c>
      <c r="G1199" t="s">
        <v>141</v>
      </c>
      <c r="H1199" s="3">
        <v>44197</v>
      </c>
      <c r="I1199" s="3">
        <v>44561</v>
      </c>
      <c r="J1199" t="s">
        <v>187</v>
      </c>
      <c r="K1199">
        <v>0</v>
      </c>
      <c r="L1199" t="s">
        <v>209</v>
      </c>
      <c r="M1199" t="s">
        <v>110</v>
      </c>
      <c r="O1199" t="s">
        <v>600</v>
      </c>
      <c r="P1199" t="s">
        <v>550</v>
      </c>
      <c r="Q1199">
        <v>2021</v>
      </c>
      <c r="R1199" t="s">
        <v>654</v>
      </c>
      <c r="S1199" t="s">
        <v>655</v>
      </c>
      <c r="T1199" t="s">
        <v>553</v>
      </c>
      <c r="U1199" t="b">
        <v>0</v>
      </c>
      <c r="V1199" t="s">
        <v>656</v>
      </c>
      <c r="W1199" t="s">
        <v>587</v>
      </c>
      <c r="X1199" t="s">
        <v>556</v>
      </c>
      <c r="AC1199">
        <v>1</v>
      </c>
      <c r="AD1199" t="s">
        <v>558</v>
      </c>
      <c r="AE1199">
        <v>0</v>
      </c>
      <c r="AF1199">
        <v>7.3200000000000001E-3</v>
      </c>
      <c r="AG1199" t="s">
        <v>588</v>
      </c>
      <c r="AH1199">
        <v>1000</v>
      </c>
      <c r="AI1199">
        <v>0</v>
      </c>
      <c r="AJ1199" t="s">
        <v>561</v>
      </c>
      <c r="AK1199" t="s">
        <v>589</v>
      </c>
      <c r="AL1199" t="s">
        <v>603</v>
      </c>
      <c r="AM1199">
        <v>2021</v>
      </c>
      <c r="AN1199">
        <v>2019</v>
      </c>
      <c r="AO1199">
        <f>IF(AND(emissions[[#This Row],[Market-based]]=0,emissions[[#This Row],[Impact Type]]="CO2E"),emissions[[#This Row],[kgCO2e]],0)/1000</f>
        <v>0</v>
      </c>
      <c r="AP1199">
        <f>IF(AND(emissions[[#This Row],[Market-based]]=1,OR(emissions[[#This Row],[Impact Type]]="CO2E",emissions[[#This Row],[Impact Type]]="CO2E MKT")),emissions[[#This Row],[kgCO2e]],0)/1000</f>
        <v>0</v>
      </c>
      <c r="AQ1199" t="str">
        <f>_xlfn.TEXTAFTER(emissions[[#This Row],[Reporting Unit]]," &gt; ",LEN(emissions[[#This Row],[Reporting Unit]])-LEN(SUBSTITUTE(emissions[[#This Row],[Reporting Unit]],"&gt;","")))</f>
        <v>Vantage_Englewood</v>
      </c>
      <c r="AR1199" t="str">
        <f>_xlfn.XLOOKUP(emissions[[#This Row],[Reporting unit name]],hierarchy!$A:$A,hierarchy!$C:$C)</f>
        <v>Office</v>
      </c>
    </row>
    <row r="1200" spans="1:44" hidden="1" x14ac:dyDescent="0.25">
      <c r="A1200">
        <v>5008</v>
      </c>
      <c r="B1200" t="s">
        <v>367</v>
      </c>
      <c r="C1200" t="s">
        <v>501</v>
      </c>
      <c r="D1200" t="s">
        <v>599</v>
      </c>
      <c r="E1200" s="3">
        <v>44197</v>
      </c>
      <c r="F1200" s="3">
        <v>44561</v>
      </c>
      <c r="G1200" t="s">
        <v>141</v>
      </c>
      <c r="H1200" s="3">
        <v>44197</v>
      </c>
      <c r="I1200" s="3">
        <v>44561</v>
      </c>
      <c r="J1200" t="s">
        <v>187</v>
      </c>
      <c r="K1200">
        <v>0</v>
      </c>
      <c r="L1200" t="s">
        <v>209</v>
      </c>
      <c r="M1200" t="s">
        <v>110</v>
      </c>
      <c r="O1200" t="s">
        <v>600</v>
      </c>
      <c r="P1200" t="s">
        <v>550</v>
      </c>
      <c r="Q1200">
        <v>2021</v>
      </c>
      <c r="R1200" t="s">
        <v>654</v>
      </c>
      <c r="S1200" t="s">
        <v>655</v>
      </c>
      <c r="T1200" t="s">
        <v>553</v>
      </c>
      <c r="U1200" t="b">
        <v>0</v>
      </c>
      <c r="V1200" t="s">
        <v>656</v>
      </c>
      <c r="W1200" t="s">
        <v>587</v>
      </c>
      <c r="X1200" t="s">
        <v>556</v>
      </c>
      <c r="AC1200">
        <v>1</v>
      </c>
      <c r="AD1200" t="s">
        <v>564</v>
      </c>
      <c r="AE1200">
        <v>0</v>
      </c>
      <c r="AF1200">
        <v>2.3256700000000001</v>
      </c>
      <c r="AG1200" t="s">
        <v>588</v>
      </c>
      <c r="AH1200">
        <v>1000</v>
      </c>
      <c r="AI1200">
        <v>0</v>
      </c>
      <c r="AJ1200" t="s">
        <v>561</v>
      </c>
      <c r="AK1200" t="s">
        <v>589</v>
      </c>
      <c r="AL1200" t="s">
        <v>603</v>
      </c>
      <c r="AM1200">
        <v>2021</v>
      </c>
      <c r="AN1200">
        <v>2019</v>
      </c>
      <c r="AO1200">
        <f>IF(AND(emissions[[#This Row],[Market-based]]=0,emissions[[#This Row],[Impact Type]]="CO2E"),emissions[[#This Row],[kgCO2e]],0)/1000</f>
        <v>0</v>
      </c>
      <c r="AP1200">
        <f>IF(AND(emissions[[#This Row],[Market-based]]=1,OR(emissions[[#This Row],[Impact Type]]="CO2E",emissions[[#This Row],[Impact Type]]="CO2E MKT")),emissions[[#This Row],[kgCO2e]],0)/1000</f>
        <v>0</v>
      </c>
      <c r="AQ1200" t="str">
        <f>_xlfn.TEXTAFTER(emissions[[#This Row],[Reporting Unit]]," &gt; ",LEN(emissions[[#This Row],[Reporting Unit]])-LEN(SUBSTITUTE(emissions[[#This Row],[Reporting Unit]],"&gt;","")))</f>
        <v>Vantage_Englewood</v>
      </c>
      <c r="AR1200" t="str">
        <f>_xlfn.XLOOKUP(emissions[[#This Row],[Reporting unit name]],hierarchy!$A:$A,hierarchy!$C:$C)</f>
        <v>Office</v>
      </c>
    </row>
    <row r="1201" spans="1:44" hidden="1" x14ac:dyDescent="0.25">
      <c r="A1201">
        <v>5008</v>
      </c>
      <c r="B1201" t="s">
        <v>367</v>
      </c>
      <c r="C1201" t="s">
        <v>501</v>
      </c>
      <c r="D1201" t="s">
        <v>599</v>
      </c>
      <c r="E1201" s="3">
        <v>44197</v>
      </c>
      <c r="F1201" s="3">
        <v>44561</v>
      </c>
      <c r="G1201" t="s">
        <v>141</v>
      </c>
      <c r="H1201" s="3">
        <v>44197</v>
      </c>
      <c r="I1201" s="3">
        <v>44561</v>
      </c>
      <c r="J1201" t="s">
        <v>187</v>
      </c>
      <c r="K1201">
        <v>0</v>
      </c>
      <c r="L1201" t="s">
        <v>209</v>
      </c>
      <c r="M1201" t="s">
        <v>110</v>
      </c>
      <c r="O1201" t="s">
        <v>600</v>
      </c>
      <c r="P1201" t="s">
        <v>550</v>
      </c>
      <c r="Q1201">
        <v>2021</v>
      </c>
      <c r="R1201" t="s">
        <v>654</v>
      </c>
      <c r="S1201" t="s">
        <v>655</v>
      </c>
      <c r="T1201" t="s">
        <v>553</v>
      </c>
      <c r="U1201" t="b">
        <v>0</v>
      </c>
      <c r="V1201" t="s">
        <v>656</v>
      </c>
      <c r="W1201" t="s">
        <v>587</v>
      </c>
      <c r="X1201" t="s">
        <v>556</v>
      </c>
      <c r="AC1201">
        <v>1</v>
      </c>
      <c r="AD1201" t="s">
        <v>565</v>
      </c>
      <c r="AE1201">
        <v>0</v>
      </c>
      <c r="AF1201">
        <v>2.3397000000000001</v>
      </c>
      <c r="AG1201" t="s">
        <v>588</v>
      </c>
      <c r="AH1201">
        <v>1000</v>
      </c>
      <c r="AI1201">
        <v>0</v>
      </c>
      <c r="AJ1201" t="s">
        <v>561</v>
      </c>
      <c r="AK1201" t="s">
        <v>589</v>
      </c>
      <c r="AL1201" t="s">
        <v>603</v>
      </c>
      <c r="AM1201">
        <v>2021</v>
      </c>
      <c r="AN1201">
        <v>2019</v>
      </c>
      <c r="AO1201">
        <f>IF(AND(emissions[[#This Row],[Market-based]]=0,emissions[[#This Row],[Impact Type]]="CO2E"),emissions[[#This Row],[kgCO2e]],0)/1000</f>
        <v>0</v>
      </c>
      <c r="AP1201">
        <f>IF(AND(emissions[[#This Row],[Market-based]]=1,OR(emissions[[#This Row],[Impact Type]]="CO2E",emissions[[#This Row],[Impact Type]]="CO2E MKT")),emissions[[#This Row],[kgCO2e]],0)/1000</f>
        <v>0</v>
      </c>
      <c r="AQ1201" t="str">
        <f>_xlfn.TEXTAFTER(emissions[[#This Row],[Reporting Unit]]," &gt; ",LEN(emissions[[#This Row],[Reporting Unit]])-LEN(SUBSTITUTE(emissions[[#This Row],[Reporting Unit]],"&gt;","")))</f>
        <v>Vantage_Englewood</v>
      </c>
      <c r="AR1201" t="str">
        <f>_xlfn.XLOOKUP(emissions[[#This Row],[Reporting unit name]],hierarchy!$A:$A,hierarchy!$C:$C)</f>
        <v>Office</v>
      </c>
    </row>
    <row r="1202" spans="1:44" hidden="1" x14ac:dyDescent="0.25">
      <c r="A1202">
        <v>5008</v>
      </c>
      <c r="B1202" t="s">
        <v>367</v>
      </c>
      <c r="C1202" t="s">
        <v>501</v>
      </c>
      <c r="D1202" t="s">
        <v>599</v>
      </c>
      <c r="E1202" s="3">
        <v>44197</v>
      </c>
      <c r="F1202" s="3">
        <v>44561</v>
      </c>
      <c r="G1202" t="s">
        <v>141</v>
      </c>
      <c r="H1202" s="3">
        <v>44197</v>
      </c>
      <c r="I1202" s="3">
        <v>44561</v>
      </c>
      <c r="J1202" t="s">
        <v>187</v>
      </c>
      <c r="K1202">
        <v>0</v>
      </c>
      <c r="L1202" t="s">
        <v>209</v>
      </c>
      <c r="M1202" t="s">
        <v>110</v>
      </c>
      <c r="O1202" t="s">
        <v>600</v>
      </c>
      <c r="P1202" t="s">
        <v>550</v>
      </c>
      <c r="Q1202">
        <v>2021</v>
      </c>
      <c r="R1202" t="s">
        <v>654</v>
      </c>
      <c r="S1202" t="s">
        <v>655</v>
      </c>
      <c r="T1202" t="s">
        <v>553</v>
      </c>
      <c r="U1202" t="b">
        <v>0</v>
      </c>
      <c r="V1202" t="s">
        <v>656</v>
      </c>
      <c r="W1202" t="s">
        <v>587</v>
      </c>
      <c r="X1202" t="s">
        <v>556</v>
      </c>
      <c r="AC1202">
        <v>1</v>
      </c>
      <c r="AD1202" t="s">
        <v>566</v>
      </c>
      <c r="AE1202">
        <v>0</v>
      </c>
      <c r="AF1202">
        <v>6.7099999999999998E-3</v>
      </c>
      <c r="AG1202" t="s">
        <v>588</v>
      </c>
      <c r="AH1202">
        <v>1000</v>
      </c>
      <c r="AI1202">
        <v>0</v>
      </c>
      <c r="AJ1202" t="s">
        <v>561</v>
      </c>
      <c r="AK1202" t="s">
        <v>589</v>
      </c>
      <c r="AL1202" t="s">
        <v>603</v>
      </c>
      <c r="AM1202">
        <v>2021</v>
      </c>
      <c r="AN1202">
        <v>2019</v>
      </c>
      <c r="AO1202">
        <f>IF(AND(emissions[[#This Row],[Market-based]]=0,emissions[[#This Row],[Impact Type]]="CO2E"),emissions[[#This Row],[kgCO2e]],0)/1000</f>
        <v>0</v>
      </c>
      <c r="AP1202">
        <f>IF(AND(emissions[[#This Row],[Market-based]]=1,OR(emissions[[#This Row],[Impact Type]]="CO2E",emissions[[#This Row],[Impact Type]]="CO2E MKT")),emissions[[#This Row],[kgCO2e]],0)/1000</f>
        <v>0</v>
      </c>
      <c r="AQ1202" t="str">
        <f>_xlfn.TEXTAFTER(emissions[[#This Row],[Reporting Unit]]," &gt; ",LEN(emissions[[#This Row],[Reporting Unit]])-LEN(SUBSTITUTE(emissions[[#This Row],[Reporting Unit]],"&gt;","")))</f>
        <v>Vantage_Englewood</v>
      </c>
      <c r="AR1202" t="str">
        <f>_xlfn.XLOOKUP(emissions[[#This Row],[Reporting unit name]],hierarchy!$A:$A,hierarchy!$C:$C)</f>
        <v>Office</v>
      </c>
    </row>
    <row r="1203" spans="1:44" hidden="1" x14ac:dyDescent="0.25">
      <c r="A1203">
        <v>5008</v>
      </c>
      <c r="B1203" t="s">
        <v>367</v>
      </c>
      <c r="C1203" t="s">
        <v>501</v>
      </c>
      <c r="D1203" t="s">
        <v>599</v>
      </c>
      <c r="E1203" s="3">
        <v>44197</v>
      </c>
      <c r="F1203" s="3">
        <v>44561</v>
      </c>
      <c r="G1203" t="s">
        <v>141</v>
      </c>
      <c r="H1203" s="3">
        <v>44197</v>
      </c>
      <c r="I1203" s="3">
        <v>44561</v>
      </c>
      <c r="J1203" t="s">
        <v>187</v>
      </c>
      <c r="K1203">
        <v>0</v>
      </c>
      <c r="L1203" t="s">
        <v>209</v>
      </c>
      <c r="M1203" t="s">
        <v>110</v>
      </c>
      <c r="O1203" t="s">
        <v>600</v>
      </c>
      <c r="P1203" t="s">
        <v>550</v>
      </c>
      <c r="Q1203">
        <v>2021</v>
      </c>
      <c r="R1203" t="s">
        <v>657</v>
      </c>
      <c r="S1203" t="s">
        <v>658</v>
      </c>
      <c r="T1203" t="s">
        <v>577</v>
      </c>
      <c r="U1203" t="b">
        <v>0</v>
      </c>
      <c r="V1203" t="s">
        <v>659</v>
      </c>
      <c r="W1203" t="s">
        <v>571</v>
      </c>
      <c r="X1203" t="s">
        <v>572</v>
      </c>
      <c r="AC1203">
        <v>0</v>
      </c>
      <c r="AD1203" t="s">
        <v>565</v>
      </c>
      <c r="AE1203">
        <v>0</v>
      </c>
      <c r="AF1203">
        <v>0.60282999999999998</v>
      </c>
      <c r="AG1203" t="s">
        <v>588</v>
      </c>
      <c r="AH1203">
        <v>1000</v>
      </c>
      <c r="AI1203">
        <v>0</v>
      </c>
      <c r="AJ1203" t="s">
        <v>561</v>
      </c>
      <c r="AK1203" t="s">
        <v>589</v>
      </c>
      <c r="AL1203" t="s">
        <v>603</v>
      </c>
      <c r="AM1203">
        <v>2021</v>
      </c>
      <c r="AN1203">
        <v>2019</v>
      </c>
      <c r="AO1203">
        <f>IF(AND(emissions[[#This Row],[Market-based]]=0,emissions[[#This Row],[Impact Type]]="CO2E"),emissions[[#This Row],[kgCO2e]],0)/1000</f>
        <v>0</v>
      </c>
      <c r="AP1203">
        <f>IF(AND(emissions[[#This Row],[Market-based]]=1,OR(emissions[[#This Row],[Impact Type]]="CO2E",emissions[[#This Row],[Impact Type]]="CO2E MKT")),emissions[[#This Row],[kgCO2e]],0)/1000</f>
        <v>0</v>
      </c>
      <c r="AQ1203" t="str">
        <f>_xlfn.TEXTAFTER(emissions[[#This Row],[Reporting Unit]]," &gt; ",LEN(emissions[[#This Row],[Reporting Unit]])-LEN(SUBSTITUTE(emissions[[#This Row],[Reporting Unit]],"&gt;","")))</f>
        <v>Vantage_Englewood</v>
      </c>
      <c r="AR1203" t="str">
        <f>_xlfn.XLOOKUP(emissions[[#This Row],[Reporting unit name]],hierarchy!$A:$A,hierarchy!$C:$C)</f>
        <v>Office</v>
      </c>
    </row>
    <row r="1204" spans="1:44" hidden="1" x14ac:dyDescent="0.25">
      <c r="A1204">
        <v>5008</v>
      </c>
      <c r="B1204" t="s">
        <v>367</v>
      </c>
      <c r="C1204" t="s">
        <v>501</v>
      </c>
      <c r="D1204" t="s">
        <v>599</v>
      </c>
      <c r="E1204" s="3">
        <v>44197</v>
      </c>
      <c r="F1204" s="3">
        <v>44561</v>
      </c>
      <c r="G1204" t="s">
        <v>141</v>
      </c>
      <c r="H1204" s="3">
        <v>44197</v>
      </c>
      <c r="I1204" s="3">
        <v>44561</v>
      </c>
      <c r="J1204" t="s">
        <v>187</v>
      </c>
      <c r="K1204">
        <v>0</v>
      </c>
      <c r="L1204" t="s">
        <v>209</v>
      </c>
      <c r="M1204" t="s">
        <v>110</v>
      </c>
      <c r="O1204" t="s">
        <v>600</v>
      </c>
      <c r="P1204" t="s">
        <v>550</v>
      </c>
      <c r="Q1204">
        <v>2021</v>
      </c>
      <c r="R1204" t="s">
        <v>657</v>
      </c>
      <c r="S1204" t="s">
        <v>658</v>
      </c>
      <c r="T1204" t="s">
        <v>577</v>
      </c>
      <c r="U1204" t="b">
        <v>0</v>
      </c>
      <c r="V1204" t="s">
        <v>659</v>
      </c>
      <c r="W1204" t="s">
        <v>571</v>
      </c>
      <c r="X1204" t="s">
        <v>572</v>
      </c>
      <c r="AC1204">
        <v>1</v>
      </c>
      <c r="AD1204" t="s">
        <v>565</v>
      </c>
      <c r="AE1204">
        <v>0</v>
      </c>
      <c r="AF1204">
        <v>0.60282999999999998</v>
      </c>
      <c r="AG1204" t="s">
        <v>588</v>
      </c>
      <c r="AH1204">
        <v>1000</v>
      </c>
      <c r="AI1204">
        <v>0</v>
      </c>
      <c r="AJ1204" t="s">
        <v>561</v>
      </c>
      <c r="AK1204" t="s">
        <v>589</v>
      </c>
      <c r="AL1204" t="s">
        <v>603</v>
      </c>
      <c r="AM1204">
        <v>2021</v>
      </c>
      <c r="AN1204">
        <v>2019</v>
      </c>
      <c r="AO1204">
        <f>IF(AND(emissions[[#This Row],[Market-based]]=0,emissions[[#This Row],[Impact Type]]="CO2E"),emissions[[#This Row],[kgCO2e]],0)/1000</f>
        <v>0</v>
      </c>
      <c r="AP1204">
        <f>IF(AND(emissions[[#This Row],[Market-based]]=1,OR(emissions[[#This Row],[Impact Type]]="CO2E",emissions[[#This Row],[Impact Type]]="CO2E MKT")),emissions[[#This Row],[kgCO2e]],0)/1000</f>
        <v>0</v>
      </c>
      <c r="AQ1204" t="str">
        <f>_xlfn.TEXTAFTER(emissions[[#This Row],[Reporting Unit]]," &gt; ",LEN(emissions[[#This Row],[Reporting Unit]])-LEN(SUBSTITUTE(emissions[[#This Row],[Reporting Unit]],"&gt;","")))</f>
        <v>Vantage_Englewood</v>
      </c>
      <c r="AR1204" t="str">
        <f>_xlfn.XLOOKUP(emissions[[#This Row],[Reporting unit name]],hierarchy!$A:$A,hierarchy!$C:$C)</f>
        <v>Office</v>
      </c>
    </row>
    <row r="1205" spans="1:44" hidden="1" x14ac:dyDescent="0.25">
      <c r="A1205">
        <v>5034</v>
      </c>
      <c r="B1205" t="s">
        <v>367</v>
      </c>
      <c r="C1205" t="s">
        <v>501</v>
      </c>
      <c r="D1205" t="s">
        <v>599</v>
      </c>
      <c r="E1205" s="3">
        <v>44197</v>
      </c>
      <c r="F1205" s="3">
        <v>44561</v>
      </c>
      <c r="G1205" t="s">
        <v>116</v>
      </c>
      <c r="H1205" s="3">
        <v>44197</v>
      </c>
      <c r="I1205" s="3">
        <v>44561</v>
      </c>
      <c r="J1205" t="s">
        <v>175</v>
      </c>
      <c r="K1205">
        <v>8.1258999999999997</v>
      </c>
      <c r="L1205" t="s">
        <v>118</v>
      </c>
      <c r="M1205" t="s">
        <v>82</v>
      </c>
      <c r="O1205" t="s">
        <v>618</v>
      </c>
      <c r="P1205" t="s">
        <v>550</v>
      </c>
      <c r="Q1205">
        <v>2021</v>
      </c>
      <c r="R1205" t="s">
        <v>664</v>
      </c>
      <c r="S1205" t="s">
        <v>175</v>
      </c>
      <c r="T1205" t="s">
        <v>553</v>
      </c>
      <c r="U1205" t="b">
        <v>0</v>
      </c>
      <c r="V1205" t="s">
        <v>665</v>
      </c>
      <c r="W1205" t="s">
        <v>587</v>
      </c>
      <c r="X1205" t="s">
        <v>556</v>
      </c>
      <c r="AC1205">
        <v>0</v>
      </c>
      <c r="AD1205" t="s">
        <v>565</v>
      </c>
      <c r="AE1205">
        <v>16966.879199999999</v>
      </c>
      <c r="AF1205">
        <v>2088</v>
      </c>
      <c r="AG1205" t="s">
        <v>622</v>
      </c>
      <c r="AH1205">
        <v>1</v>
      </c>
      <c r="AI1205">
        <v>8.1258999999999997</v>
      </c>
      <c r="AJ1205" t="s">
        <v>561</v>
      </c>
      <c r="AK1205" t="s">
        <v>623</v>
      </c>
      <c r="AL1205" t="s">
        <v>624</v>
      </c>
      <c r="AM1205">
        <v>2021</v>
      </c>
      <c r="AN1205">
        <v>2007</v>
      </c>
      <c r="AO1205">
        <f>IF(AND(emissions[[#This Row],[Market-based]]=0,emissions[[#This Row],[Impact Type]]="CO2E"),emissions[[#This Row],[kgCO2e]],0)/1000</f>
        <v>16.966879200000001</v>
      </c>
      <c r="AP1205">
        <f>IF(AND(emissions[[#This Row],[Market-based]]=1,OR(emissions[[#This Row],[Impact Type]]="CO2E",emissions[[#This Row],[Impact Type]]="CO2E MKT")),emissions[[#This Row],[kgCO2e]],0)/1000</f>
        <v>0</v>
      </c>
      <c r="AQ1205" t="str">
        <f>_xlfn.TEXTAFTER(emissions[[#This Row],[Reporting Unit]]," &gt; ",LEN(emissions[[#This Row],[Reporting Unit]])-LEN(SUBSTITUTE(emissions[[#This Row],[Reporting Unit]],"&gt;","")))</f>
        <v>Vantage_Englewood</v>
      </c>
      <c r="AR1205" t="str">
        <f>_xlfn.XLOOKUP(emissions[[#This Row],[Reporting unit name]],hierarchy!$A:$A,hierarchy!$C:$C)</f>
        <v>Office</v>
      </c>
    </row>
    <row r="1206" spans="1:44" hidden="1" x14ac:dyDescent="0.25">
      <c r="A1206">
        <v>5034</v>
      </c>
      <c r="B1206" t="s">
        <v>367</v>
      </c>
      <c r="C1206" t="s">
        <v>501</v>
      </c>
      <c r="D1206" t="s">
        <v>599</v>
      </c>
      <c r="E1206" s="3">
        <v>44197</v>
      </c>
      <c r="F1206" s="3">
        <v>44561</v>
      </c>
      <c r="G1206" t="s">
        <v>116</v>
      </c>
      <c r="H1206" s="3">
        <v>44197</v>
      </c>
      <c r="I1206" s="3">
        <v>44561</v>
      </c>
      <c r="J1206" t="s">
        <v>175</v>
      </c>
      <c r="K1206">
        <v>8.1258999999999997</v>
      </c>
      <c r="L1206" t="s">
        <v>118</v>
      </c>
      <c r="M1206" t="s">
        <v>82</v>
      </c>
      <c r="O1206" t="s">
        <v>618</v>
      </c>
      <c r="P1206" t="s">
        <v>550</v>
      </c>
      <c r="Q1206">
        <v>2021</v>
      </c>
      <c r="R1206" t="s">
        <v>664</v>
      </c>
      <c r="S1206" t="s">
        <v>175</v>
      </c>
      <c r="T1206" t="s">
        <v>553</v>
      </c>
      <c r="U1206" t="b">
        <v>0</v>
      </c>
      <c r="V1206" t="s">
        <v>665</v>
      </c>
      <c r="W1206" t="s">
        <v>587</v>
      </c>
      <c r="X1206" t="s">
        <v>556</v>
      </c>
      <c r="AC1206">
        <v>1</v>
      </c>
      <c r="AD1206" t="s">
        <v>565</v>
      </c>
      <c r="AE1206">
        <v>16966.879199999999</v>
      </c>
      <c r="AF1206">
        <v>2088</v>
      </c>
      <c r="AG1206" t="s">
        <v>622</v>
      </c>
      <c r="AH1206">
        <v>1</v>
      </c>
      <c r="AI1206">
        <v>8.1258999999999997</v>
      </c>
      <c r="AJ1206" t="s">
        <v>561</v>
      </c>
      <c r="AK1206" t="s">
        <v>623</v>
      </c>
      <c r="AL1206" t="s">
        <v>624</v>
      </c>
      <c r="AM1206">
        <v>2021</v>
      </c>
      <c r="AN1206">
        <v>2007</v>
      </c>
      <c r="AO1206">
        <f>IF(AND(emissions[[#This Row],[Market-based]]=0,emissions[[#This Row],[Impact Type]]="CO2E"),emissions[[#This Row],[kgCO2e]],0)/1000</f>
        <v>0</v>
      </c>
      <c r="AP1206">
        <f>IF(AND(emissions[[#This Row],[Market-based]]=1,OR(emissions[[#This Row],[Impact Type]]="CO2E",emissions[[#This Row],[Impact Type]]="CO2E MKT")),emissions[[#This Row],[kgCO2e]],0)/1000</f>
        <v>16.966879200000001</v>
      </c>
      <c r="AQ1206" t="str">
        <f>_xlfn.TEXTAFTER(emissions[[#This Row],[Reporting Unit]]," &gt; ",LEN(emissions[[#This Row],[Reporting Unit]])-LEN(SUBSTITUTE(emissions[[#This Row],[Reporting Unit]],"&gt;","")))</f>
        <v>Vantage_Englewood</v>
      </c>
      <c r="AR1206" t="str">
        <f>_xlfn.XLOOKUP(emissions[[#This Row],[Reporting unit name]],hierarchy!$A:$A,hierarchy!$C:$C)</f>
        <v>Office</v>
      </c>
    </row>
    <row r="1207" spans="1:44" hidden="1" x14ac:dyDescent="0.25">
      <c r="A1207">
        <v>291076</v>
      </c>
      <c r="B1207" t="s">
        <v>353</v>
      </c>
      <c r="C1207" t="s">
        <v>501</v>
      </c>
      <c r="D1207" t="s">
        <v>548</v>
      </c>
      <c r="E1207" s="3">
        <v>44562</v>
      </c>
      <c r="F1207" s="3">
        <v>44926</v>
      </c>
      <c r="G1207" t="s">
        <v>108</v>
      </c>
      <c r="H1207" s="3">
        <v>44562</v>
      </c>
      <c r="I1207" s="3">
        <v>44926</v>
      </c>
      <c r="J1207" t="s">
        <v>108</v>
      </c>
      <c r="K1207">
        <v>367966</v>
      </c>
      <c r="L1207" t="s">
        <v>109</v>
      </c>
      <c r="M1207" t="s">
        <v>110</v>
      </c>
      <c r="O1207" t="s">
        <v>893</v>
      </c>
      <c r="P1207" t="s">
        <v>550</v>
      </c>
      <c r="Q1207">
        <v>2022</v>
      </c>
      <c r="R1207" t="s">
        <v>551</v>
      </c>
      <c r="S1207" t="s">
        <v>552</v>
      </c>
      <c r="T1207" t="s">
        <v>553</v>
      </c>
      <c r="U1207" t="b">
        <v>0</v>
      </c>
      <c r="V1207" t="s">
        <v>894</v>
      </c>
      <c r="W1207" t="s">
        <v>555</v>
      </c>
      <c r="X1207" t="s">
        <v>556</v>
      </c>
      <c r="Y1207" t="s">
        <v>472</v>
      </c>
      <c r="Z1207" t="s">
        <v>485</v>
      </c>
      <c r="AA1207" t="s">
        <v>764</v>
      </c>
      <c r="AB1207" t="s">
        <v>895</v>
      </c>
      <c r="AC1207">
        <v>0</v>
      </c>
      <c r="AD1207" t="s">
        <v>558</v>
      </c>
      <c r="AE1207">
        <v>187.76989130000001</v>
      </c>
      <c r="AF1207">
        <v>5.1029099999999996E-4</v>
      </c>
      <c r="AG1207" t="s">
        <v>560</v>
      </c>
      <c r="AH1207">
        <v>1</v>
      </c>
      <c r="AI1207">
        <v>367966</v>
      </c>
      <c r="AJ1207" t="s">
        <v>561</v>
      </c>
      <c r="AK1207" t="s">
        <v>766</v>
      </c>
      <c r="AL1207" t="s">
        <v>767</v>
      </c>
      <c r="AM1207">
        <v>2022</v>
      </c>
      <c r="AN1207">
        <v>2020</v>
      </c>
      <c r="AO1207">
        <f>IF(AND(emissions[[#This Row],[Market-based]]=0,emissions[[#This Row],[Impact Type]]="CO2E"),emissions[[#This Row],[kgCO2e]],0)/1000</f>
        <v>0</v>
      </c>
      <c r="AP1207">
        <f>IF(AND(emissions[[#This Row],[Market-based]]=1,OR(emissions[[#This Row],[Impact Type]]="CO2E",emissions[[#This Row],[Impact Type]]="CO2E MKT")),emissions[[#This Row],[kgCO2e]],0)/1000</f>
        <v>0</v>
      </c>
      <c r="AQ1207" t="str">
        <f>_xlfn.TEXTAFTER(emissions[[#This Row],[Reporting Unit]]," &gt; ",LEN(emissions[[#This Row],[Reporting Unit]])-LEN(SUBSTITUTE(emissions[[#This Row],[Reporting Unit]],"&gt;","")))</f>
        <v>Vantage_Fairfield</v>
      </c>
      <c r="AR1207" t="str">
        <f>_xlfn.XLOOKUP(emissions[[#This Row],[Reporting unit name]],hierarchy!$A:$A,hierarchy!$C:$C)</f>
        <v>Office</v>
      </c>
    </row>
    <row r="1208" spans="1:44" hidden="1" x14ac:dyDescent="0.25">
      <c r="A1208">
        <v>291076</v>
      </c>
      <c r="B1208" t="s">
        <v>353</v>
      </c>
      <c r="C1208" t="s">
        <v>501</v>
      </c>
      <c r="D1208" t="s">
        <v>548</v>
      </c>
      <c r="E1208" s="3">
        <v>44562</v>
      </c>
      <c r="F1208" s="3">
        <v>44926</v>
      </c>
      <c r="G1208" t="s">
        <v>108</v>
      </c>
      <c r="H1208" s="3">
        <v>44562</v>
      </c>
      <c r="I1208" s="3">
        <v>44926</v>
      </c>
      <c r="J1208" t="s">
        <v>108</v>
      </c>
      <c r="K1208">
        <v>367966</v>
      </c>
      <c r="L1208" t="s">
        <v>109</v>
      </c>
      <c r="M1208" t="s">
        <v>110</v>
      </c>
      <c r="O1208" t="s">
        <v>893</v>
      </c>
      <c r="P1208" t="s">
        <v>550</v>
      </c>
      <c r="Q1208">
        <v>2022</v>
      </c>
      <c r="R1208" t="s">
        <v>551</v>
      </c>
      <c r="S1208" t="s">
        <v>552</v>
      </c>
      <c r="T1208" t="s">
        <v>553</v>
      </c>
      <c r="U1208" t="b">
        <v>0</v>
      </c>
      <c r="V1208" t="s">
        <v>894</v>
      </c>
      <c r="W1208" t="s">
        <v>555</v>
      </c>
      <c r="X1208" t="s">
        <v>556</v>
      </c>
      <c r="Y1208" t="s">
        <v>472</v>
      </c>
      <c r="Z1208" t="s">
        <v>485</v>
      </c>
      <c r="AA1208" t="s">
        <v>764</v>
      </c>
      <c r="AB1208" t="s">
        <v>895</v>
      </c>
      <c r="AC1208">
        <v>0</v>
      </c>
      <c r="AD1208" t="s">
        <v>564</v>
      </c>
      <c r="AE1208">
        <v>108899.5269</v>
      </c>
      <c r="AF1208">
        <v>0.29594997099999998</v>
      </c>
      <c r="AG1208" t="s">
        <v>560</v>
      </c>
      <c r="AH1208">
        <v>1</v>
      </c>
      <c r="AI1208">
        <v>367966</v>
      </c>
      <c r="AJ1208" t="s">
        <v>561</v>
      </c>
      <c r="AK1208" t="s">
        <v>766</v>
      </c>
      <c r="AL1208" t="s">
        <v>767</v>
      </c>
      <c r="AM1208">
        <v>2022</v>
      </c>
      <c r="AN1208">
        <v>2020</v>
      </c>
      <c r="AO1208">
        <f>IF(AND(emissions[[#This Row],[Market-based]]=0,emissions[[#This Row],[Impact Type]]="CO2E"),emissions[[#This Row],[kgCO2e]],0)/1000</f>
        <v>0</v>
      </c>
      <c r="AP1208">
        <f>IF(AND(emissions[[#This Row],[Market-based]]=1,OR(emissions[[#This Row],[Impact Type]]="CO2E",emissions[[#This Row],[Impact Type]]="CO2E MKT")),emissions[[#This Row],[kgCO2e]],0)/1000</f>
        <v>0</v>
      </c>
      <c r="AQ1208" t="str">
        <f>_xlfn.TEXTAFTER(emissions[[#This Row],[Reporting Unit]]," &gt; ",LEN(emissions[[#This Row],[Reporting Unit]])-LEN(SUBSTITUTE(emissions[[#This Row],[Reporting Unit]],"&gt;","")))</f>
        <v>Vantage_Fairfield</v>
      </c>
      <c r="AR1208" t="str">
        <f>_xlfn.XLOOKUP(emissions[[#This Row],[Reporting unit name]],hierarchy!$A:$A,hierarchy!$C:$C)</f>
        <v>Office</v>
      </c>
    </row>
    <row r="1209" spans="1:44" hidden="1" x14ac:dyDescent="0.25">
      <c r="A1209">
        <v>291076</v>
      </c>
      <c r="B1209" t="s">
        <v>353</v>
      </c>
      <c r="C1209" t="s">
        <v>501</v>
      </c>
      <c r="D1209" t="s">
        <v>548</v>
      </c>
      <c r="E1209" s="3">
        <v>44562</v>
      </c>
      <c r="F1209" s="3">
        <v>44926</v>
      </c>
      <c r="G1209" t="s">
        <v>108</v>
      </c>
      <c r="H1209" s="3">
        <v>44562</v>
      </c>
      <c r="I1209" s="3">
        <v>44926</v>
      </c>
      <c r="J1209" t="s">
        <v>108</v>
      </c>
      <c r="K1209">
        <v>367966</v>
      </c>
      <c r="L1209" t="s">
        <v>109</v>
      </c>
      <c r="M1209" t="s">
        <v>110</v>
      </c>
      <c r="O1209" t="s">
        <v>893</v>
      </c>
      <c r="P1209" t="s">
        <v>550</v>
      </c>
      <c r="Q1209">
        <v>2022</v>
      </c>
      <c r="R1209" t="s">
        <v>551</v>
      </c>
      <c r="S1209" t="s">
        <v>552</v>
      </c>
      <c r="T1209" t="s">
        <v>553</v>
      </c>
      <c r="U1209" t="b">
        <v>0</v>
      </c>
      <c r="V1209" t="s">
        <v>894</v>
      </c>
      <c r="W1209" t="s">
        <v>555</v>
      </c>
      <c r="X1209" t="s">
        <v>556</v>
      </c>
      <c r="Y1209" t="s">
        <v>472</v>
      </c>
      <c r="Z1209" t="s">
        <v>485</v>
      </c>
      <c r="AA1209" t="s">
        <v>764</v>
      </c>
      <c r="AB1209" t="s">
        <v>895</v>
      </c>
      <c r="AC1209">
        <v>0</v>
      </c>
      <c r="AD1209" t="s">
        <v>565</v>
      </c>
      <c r="AE1209">
        <v>109385.7257</v>
      </c>
      <c r="AF1209">
        <v>0.297271285</v>
      </c>
      <c r="AG1209" t="s">
        <v>560</v>
      </c>
      <c r="AH1209">
        <v>1</v>
      </c>
      <c r="AI1209">
        <v>367966</v>
      </c>
      <c r="AJ1209" t="s">
        <v>561</v>
      </c>
      <c r="AK1209" t="s">
        <v>766</v>
      </c>
      <c r="AL1209" t="s">
        <v>767</v>
      </c>
      <c r="AM1209">
        <v>2022</v>
      </c>
      <c r="AN1209">
        <v>2020</v>
      </c>
      <c r="AO1209">
        <f>IF(AND(emissions[[#This Row],[Market-based]]=0,emissions[[#This Row],[Impact Type]]="CO2E"),emissions[[#This Row],[kgCO2e]],0)/1000</f>
        <v>109.38572569999999</v>
      </c>
      <c r="AP1209">
        <f>IF(AND(emissions[[#This Row],[Market-based]]=1,OR(emissions[[#This Row],[Impact Type]]="CO2E",emissions[[#This Row],[Impact Type]]="CO2E MKT")),emissions[[#This Row],[kgCO2e]],0)/1000</f>
        <v>0</v>
      </c>
      <c r="AQ1209" t="str">
        <f>_xlfn.TEXTAFTER(emissions[[#This Row],[Reporting Unit]]," &gt; ",LEN(emissions[[#This Row],[Reporting Unit]])-LEN(SUBSTITUTE(emissions[[#This Row],[Reporting Unit]],"&gt;","")))</f>
        <v>Vantage_Fairfield</v>
      </c>
      <c r="AR1209" t="str">
        <f>_xlfn.XLOOKUP(emissions[[#This Row],[Reporting unit name]],hierarchy!$A:$A,hierarchy!$C:$C)</f>
        <v>Office</v>
      </c>
    </row>
    <row r="1210" spans="1:44" hidden="1" x14ac:dyDescent="0.25">
      <c r="A1210">
        <v>291076</v>
      </c>
      <c r="B1210" t="s">
        <v>353</v>
      </c>
      <c r="C1210" t="s">
        <v>501</v>
      </c>
      <c r="D1210" t="s">
        <v>548</v>
      </c>
      <c r="E1210" s="3">
        <v>44562</v>
      </c>
      <c r="F1210" s="3">
        <v>44926</v>
      </c>
      <c r="G1210" t="s">
        <v>108</v>
      </c>
      <c r="H1210" s="3">
        <v>44562</v>
      </c>
      <c r="I1210" s="3">
        <v>44926</v>
      </c>
      <c r="J1210" t="s">
        <v>108</v>
      </c>
      <c r="K1210">
        <v>367966</v>
      </c>
      <c r="L1210" t="s">
        <v>109</v>
      </c>
      <c r="M1210" t="s">
        <v>110</v>
      </c>
      <c r="O1210" t="s">
        <v>893</v>
      </c>
      <c r="P1210" t="s">
        <v>550</v>
      </c>
      <c r="Q1210">
        <v>2022</v>
      </c>
      <c r="R1210" t="s">
        <v>551</v>
      </c>
      <c r="S1210" t="s">
        <v>552</v>
      </c>
      <c r="T1210" t="s">
        <v>553</v>
      </c>
      <c r="U1210" t="b">
        <v>0</v>
      </c>
      <c r="V1210" t="s">
        <v>894</v>
      </c>
      <c r="W1210" t="s">
        <v>555</v>
      </c>
      <c r="X1210" t="s">
        <v>556</v>
      </c>
      <c r="Y1210" t="s">
        <v>472</v>
      </c>
      <c r="Z1210" t="s">
        <v>485</v>
      </c>
      <c r="AA1210" t="s">
        <v>764</v>
      </c>
      <c r="AB1210" t="s">
        <v>895</v>
      </c>
      <c r="AC1210">
        <v>0</v>
      </c>
      <c r="AD1210" t="s">
        <v>566</v>
      </c>
      <c r="AE1210">
        <v>298.42894719999998</v>
      </c>
      <c r="AF1210">
        <v>8.1102300000000002E-4</v>
      </c>
      <c r="AG1210" t="s">
        <v>560</v>
      </c>
      <c r="AH1210">
        <v>1</v>
      </c>
      <c r="AI1210">
        <v>367966</v>
      </c>
      <c r="AJ1210" t="s">
        <v>561</v>
      </c>
      <c r="AK1210" t="s">
        <v>766</v>
      </c>
      <c r="AL1210" t="s">
        <v>767</v>
      </c>
      <c r="AM1210">
        <v>2022</v>
      </c>
      <c r="AN1210">
        <v>2020</v>
      </c>
      <c r="AO1210">
        <f>IF(AND(emissions[[#This Row],[Market-based]]=0,emissions[[#This Row],[Impact Type]]="CO2E"),emissions[[#This Row],[kgCO2e]],0)/1000</f>
        <v>0</v>
      </c>
      <c r="AP1210">
        <f>IF(AND(emissions[[#This Row],[Market-based]]=1,OR(emissions[[#This Row],[Impact Type]]="CO2E",emissions[[#This Row],[Impact Type]]="CO2E MKT")),emissions[[#This Row],[kgCO2e]],0)/1000</f>
        <v>0</v>
      </c>
      <c r="AQ1210" t="str">
        <f>_xlfn.TEXTAFTER(emissions[[#This Row],[Reporting Unit]]," &gt; ",LEN(emissions[[#This Row],[Reporting Unit]])-LEN(SUBSTITUTE(emissions[[#This Row],[Reporting Unit]],"&gt;","")))</f>
        <v>Vantage_Fairfield</v>
      </c>
      <c r="AR1210" t="str">
        <f>_xlfn.XLOOKUP(emissions[[#This Row],[Reporting unit name]],hierarchy!$A:$A,hierarchy!$C:$C)</f>
        <v>Office</v>
      </c>
    </row>
    <row r="1211" spans="1:44" hidden="1" x14ac:dyDescent="0.25">
      <c r="A1211">
        <v>291076</v>
      </c>
      <c r="B1211" t="s">
        <v>353</v>
      </c>
      <c r="C1211" t="s">
        <v>501</v>
      </c>
      <c r="D1211" t="s">
        <v>548</v>
      </c>
      <c r="E1211" s="3">
        <v>44562</v>
      </c>
      <c r="F1211" s="3">
        <v>44926</v>
      </c>
      <c r="G1211" t="s">
        <v>108</v>
      </c>
      <c r="H1211" s="3">
        <v>44562</v>
      </c>
      <c r="I1211" s="3">
        <v>44926</v>
      </c>
      <c r="J1211" t="s">
        <v>108</v>
      </c>
      <c r="K1211">
        <v>367966</v>
      </c>
      <c r="L1211" t="s">
        <v>109</v>
      </c>
      <c r="M1211" t="s">
        <v>110</v>
      </c>
      <c r="O1211" t="s">
        <v>893</v>
      </c>
      <c r="P1211" t="s">
        <v>550</v>
      </c>
      <c r="Q1211">
        <v>2022</v>
      </c>
      <c r="R1211" t="s">
        <v>551</v>
      </c>
      <c r="S1211" t="s">
        <v>552</v>
      </c>
      <c r="T1211" t="s">
        <v>553</v>
      </c>
      <c r="U1211" t="b">
        <v>0</v>
      </c>
      <c r="V1211" t="s">
        <v>894</v>
      </c>
      <c r="W1211" t="s">
        <v>555</v>
      </c>
      <c r="X1211" t="s">
        <v>556</v>
      </c>
      <c r="Y1211" t="s">
        <v>472</v>
      </c>
      <c r="Z1211" t="s">
        <v>485</v>
      </c>
      <c r="AA1211" t="s">
        <v>764</v>
      </c>
      <c r="AB1211" t="s">
        <v>895</v>
      </c>
      <c r="AC1211">
        <v>1</v>
      </c>
      <c r="AD1211" t="s">
        <v>639</v>
      </c>
      <c r="AE1211">
        <v>108934.9005</v>
      </c>
      <c r="AF1211">
        <v>0.296046103</v>
      </c>
      <c r="AG1211" t="s">
        <v>560</v>
      </c>
      <c r="AH1211">
        <v>1</v>
      </c>
      <c r="AI1211">
        <v>367966</v>
      </c>
      <c r="AJ1211" t="s">
        <v>561</v>
      </c>
      <c r="AK1211" t="s">
        <v>833</v>
      </c>
      <c r="AL1211" t="s">
        <v>834</v>
      </c>
      <c r="AM1211">
        <v>2022</v>
      </c>
      <c r="AN1211">
        <v>2020</v>
      </c>
      <c r="AO1211">
        <f>IF(AND(emissions[[#This Row],[Market-based]]=0,emissions[[#This Row],[Impact Type]]="CO2E"),emissions[[#This Row],[kgCO2e]],0)/1000</f>
        <v>0</v>
      </c>
      <c r="AP1211">
        <f>IF(AND(emissions[[#This Row],[Market-based]]=1,OR(emissions[[#This Row],[Impact Type]]="CO2E",emissions[[#This Row],[Impact Type]]="CO2E MKT")),emissions[[#This Row],[kgCO2e]],0)/1000</f>
        <v>108.9349005</v>
      </c>
      <c r="AQ1211" t="str">
        <f>_xlfn.TEXTAFTER(emissions[[#This Row],[Reporting Unit]]," &gt; ",LEN(emissions[[#This Row],[Reporting Unit]])-LEN(SUBSTITUTE(emissions[[#This Row],[Reporting Unit]],"&gt;","")))</f>
        <v>Vantage_Fairfield</v>
      </c>
      <c r="AR1211" t="str">
        <f>_xlfn.XLOOKUP(emissions[[#This Row],[Reporting unit name]],hierarchy!$A:$A,hierarchy!$C:$C)</f>
        <v>Office</v>
      </c>
    </row>
    <row r="1212" spans="1:44" hidden="1" x14ac:dyDescent="0.25">
      <c r="A1212">
        <v>291076</v>
      </c>
      <c r="B1212" t="s">
        <v>353</v>
      </c>
      <c r="C1212" t="s">
        <v>501</v>
      </c>
      <c r="D1212" t="s">
        <v>548</v>
      </c>
      <c r="E1212" s="3">
        <v>44562</v>
      </c>
      <c r="F1212" s="3">
        <v>44926</v>
      </c>
      <c r="G1212" t="s">
        <v>108</v>
      </c>
      <c r="H1212" s="3">
        <v>44562</v>
      </c>
      <c r="I1212" s="3">
        <v>44926</v>
      </c>
      <c r="J1212" t="s">
        <v>108</v>
      </c>
      <c r="K1212">
        <v>367966</v>
      </c>
      <c r="L1212" t="s">
        <v>109</v>
      </c>
      <c r="M1212" t="s">
        <v>110</v>
      </c>
      <c r="O1212" t="s">
        <v>893</v>
      </c>
      <c r="P1212" t="s">
        <v>550</v>
      </c>
      <c r="Q1212">
        <v>2022</v>
      </c>
      <c r="R1212" t="s">
        <v>567</v>
      </c>
      <c r="S1212" t="s">
        <v>568</v>
      </c>
      <c r="T1212" t="s">
        <v>569</v>
      </c>
      <c r="U1212" t="b">
        <v>0</v>
      </c>
      <c r="V1212" t="s">
        <v>896</v>
      </c>
      <c r="W1212" t="s">
        <v>571</v>
      </c>
      <c r="X1212" t="s">
        <v>572</v>
      </c>
      <c r="Y1212" t="s">
        <v>472</v>
      </c>
      <c r="Z1212" t="s">
        <v>485</v>
      </c>
      <c r="AA1212" t="s">
        <v>764</v>
      </c>
      <c r="AB1212" t="s">
        <v>895</v>
      </c>
      <c r="AC1212">
        <v>0</v>
      </c>
      <c r="AD1212" t="s">
        <v>565</v>
      </c>
      <c r="AE1212">
        <v>1712.833014</v>
      </c>
      <c r="AF1212">
        <v>4.6548680000000004E-3</v>
      </c>
      <c r="AG1212" t="s">
        <v>560</v>
      </c>
      <c r="AH1212">
        <v>1</v>
      </c>
      <c r="AI1212">
        <v>367966</v>
      </c>
      <c r="AJ1212" t="s">
        <v>561</v>
      </c>
      <c r="AK1212" t="s">
        <v>573</v>
      </c>
      <c r="AL1212" t="s">
        <v>574</v>
      </c>
      <c r="AM1212">
        <v>2022</v>
      </c>
      <c r="AN1212">
        <v>2020</v>
      </c>
      <c r="AO1212">
        <f>IF(AND(emissions[[#This Row],[Market-based]]=0,emissions[[#This Row],[Impact Type]]="CO2E"),emissions[[#This Row],[kgCO2e]],0)/1000</f>
        <v>1.7128330140000001</v>
      </c>
      <c r="AP1212">
        <f>IF(AND(emissions[[#This Row],[Market-based]]=1,OR(emissions[[#This Row],[Impact Type]]="CO2E",emissions[[#This Row],[Impact Type]]="CO2E MKT")),emissions[[#This Row],[kgCO2e]],0)/1000</f>
        <v>0</v>
      </c>
      <c r="AQ1212" t="str">
        <f>_xlfn.TEXTAFTER(emissions[[#This Row],[Reporting Unit]]," &gt; ",LEN(emissions[[#This Row],[Reporting Unit]])-LEN(SUBSTITUTE(emissions[[#This Row],[Reporting Unit]],"&gt;","")))</f>
        <v>Vantage_Fairfield</v>
      </c>
      <c r="AR1212" t="str">
        <f>_xlfn.XLOOKUP(emissions[[#This Row],[Reporting unit name]],hierarchy!$A:$A,hierarchy!$C:$C)</f>
        <v>Office</v>
      </c>
    </row>
    <row r="1213" spans="1:44" hidden="1" x14ac:dyDescent="0.25">
      <c r="A1213">
        <v>291076</v>
      </c>
      <c r="B1213" t="s">
        <v>353</v>
      </c>
      <c r="C1213" t="s">
        <v>501</v>
      </c>
      <c r="D1213" t="s">
        <v>548</v>
      </c>
      <c r="E1213" s="3">
        <v>44562</v>
      </c>
      <c r="F1213" s="3">
        <v>44926</v>
      </c>
      <c r="G1213" t="s">
        <v>108</v>
      </c>
      <c r="H1213" s="3">
        <v>44562</v>
      </c>
      <c r="I1213" s="3">
        <v>44926</v>
      </c>
      <c r="J1213" t="s">
        <v>108</v>
      </c>
      <c r="K1213">
        <v>367966</v>
      </c>
      <c r="L1213" t="s">
        <v>109</v>
      </c>
      <c r="M1213" t="s">
        <v>110</v>
      </c>
      <c r="O1213" t="s">
        <v>893</v>
      </c>
      <c r="P1213" t="s">
        <v>550</v>
      </c>
      <c r="Q1213">
        <v>2022</v>
      </c>
      <c r="R1213" t="s">
        <v>567</v>
      </c>
      <c r="S1213" t="s">
        <v>568</v>
      </c>
      <c r="T1213" t="s">
        <v>569</v>
      </c>
      <c r="U1213" t="b">
        <v>0</v>
      </c>
      <c r="V1213" t="s">
        <v>897</v>
      </c>
      <c r="W1213" t="s">
        <v>571</v>
      </c>
      <c r="X1213" t="s">
        <v>572</v>
      </c>
      <c r="Y1213" t="s">
        <v>472</v>
      </c>
      <c r="Z1213" t="s">
        <v>485</v>
      </c>
      <c r="AA1213" t="s">
        <v>764</v>
      </c>
      <c r="AB1213" t="s">
        <v>895</v>
      </c>
      <c r="AC1213">
        <v>1</v>
      </c>
      <c r="AD1213" t="s">
        <v>639</v>
      </c>
      <c r="AE1213">
        <v>1563.375313</v>
      </c>
      <c r="AF1213">
        <v>4.2486950000000002E-3</v>
      </c>
      <c r="AG1213" t="s">
        <v>560</v>
      </c>
      <c r="AH1213">
        <v>1</v>
      </c>
      <c r="AI1213">
        <v>367966</v>
      </c>
      <c r="AJ1213" t="s">
        <v>561</v>
      </c>
      <c r="AK1213" t="s">
        <v>573</v>
      </c>
      <c r="AL1213" t="s">
        <v>772</v>
      </c>
      <c r="AM1213">
        <v>2022</v>
      </c>
      <c r="AN1213">
        <v>2019</v>
      </c>
      <c r="AO1213">
        <f>IF(AND(emissions[[#This Row],[Market-based]]=0,emissions[[#This Row],[Impact Type]]="CO2E"),emissions[[#This Row],[kgCO2e]],0)/1000</f>
        <v>0</v>
      </c>
      <c r="AP1213">
        <f>IF(AND(emissions[[#This Row],[Market-based]]=1,OR(emissions[[#This Row],[Impact Type]]="CO2E",emissions[[#This Row],[Impact Type]]="CO2E MKT")),emissions[[#This Row],[kgCO2e]],0)/1000</f>
        <v>1.5633753130000001</v>
      </c>
      <c r="AQ1213" t="str">
        <f>_xlfn.TEXTAFTER(emissions[[#This Row],[Reporting Unit]]," &gt; ",LEN(emissions[[#This Row],[Reporting Unit]])-LEN(SUBSTITUTE(emissions[[#This Row],[Reporting Unit]],"&gt;","")))</f>
        <v>Vantage_Fairfield</v>
      </c>
      <c r="AR1213" t="str">
        <f>_xlfn.XLOOKUP(emissions[[#This Row],[Reporting unit name]],hierarchy!$A:$A,hierarchy!$C:$C)</f>
        <v>Office</v>
      </c>
    </row>
    <row r="1214" spans="1:44" hidden="1" x14ac:dyDescent="0.25">
      <c r="A1214">
        <v>291076</v>
      </c>
      <c r="B1214" t="s">
        <v>353</v>
      </c>
      <c r="C1214" t="s">
        <v>501</v>
      </c>
      <c r="D1214" t="s">
        <v>548</v>
      </c>
      <c r="E1214" s="3">
        <v>44562</v>
      </c>
      <c r="F1214" s="3">
        <v>44926</v>
      </c>
      <c r="G1214" t="s">
        <v>108</v>
      </c>
      <c r="H1214" s="3">
        <v>44562</v>
      </c>
      <c r="I1214" s="3">
        <v>44926</v>
      </c>
      <c r="J1214" t="s">
        <v>108</v>
      </c>
      <c r="K1214">
        <v>367966</v>
      </c>
      <c r="L1214" t="s">
        <v>109</v>
      </c>
      <c r="M1214" t="s">
        <v>110</v>
      </c>
      <c r="O1214" t="s">
        <v>893</v>
      </c>
      <c r="P1214" t="s">
        <v>550</v>
      </c>
      <c r="Q1214">
        <v>2022</v>
      </c>
      <c r="R1214" t="s">
        <v>575</v>
      </c>
      <c r="S1214" t="s">
        <v>576</v>
      </c>
      <c r="T1214" t="s">
        <v>577</v>
      </c>
      <c r="U1214" t="b">
        <v>0</v>
      </c>
      <c r="V1214" t="s">
        <v>898</v>
      </c>
      <c r="W1214" t="s">
        <v>571</v>
      </c>
      <c r="X1214" t="s">
        <v>572</v>
      </c>
      <c r="Y1214" t="s">
        <v>472</v>
      </c>
      <c r="Z1214" t="s">
        <v>485</v>
      </c>
      <c r="AA1214" t="s">
        <v>764</v>
      </c>
      <c r="AB1214" t="s">
        <v>895</v>
      </c>
      <c r="AC1214">
        <v>0</v>
      </c>
      <c r="AD1214" t="s">
        <v>565</v>
      </c>
      <c r="AE1214">
        <v>30604.77102</v>
      </c>
      <c r="AF1214">
        <v>8.3172823000000007E-2</v>
      </c>
      <c r="AG1214" t="s">
        <v>560</v>
      </c>
      <c r="AH1214">
        <v>1</v>
      </c>
      <c r="AI1214">
        <v>367966</v>
      </c>
      <c r="AJ1214" t="s">
        <v>561</v>
      </c>
      <c r="AK1214" t="s">
        <v>573</v>
      </c>
      <c r="AL1214" t="s">
        <v>574</v>
      </c>
      <c r="AM1214">
        <v>2022</v>
      </c>
      <c r="AN1214">
        <v>2020</v>
      </c>
      <c r="AO1214">
        <f>IF(AND(emissions[[#This Row],[Market-based]]=0,emissions[[#This Row],[Impact Type]]="CO2E"),emissions[[#This Row],[kgCO2e]],0)/1000</f>
        <v>30.604771020000001</v>
      </c>
      <c r="AP1214">
        <f>IF(AND(emissions[[#This Row],[Market-based]]=1,OR(emissions[[#This Row],[Impact Type]]="CO2E",emissions[[#This Row],[Impact Type]]="CO2E MKT")),emissions[[#This Row],[kgCO2e]],0)/1000</f>
        <v>0</v>
      </c>
      <c r="AQ1214" t="str">
        <f>_xlfn.TEXTAFTER(emissions[[#This Row],[Reporting Unit]]," &gt; ",LEN(emissions[[#This Row],[Reporting Unit]])-LEN(SUBSTITUTE(emissions[[#This Row],[Reporting Unit]],"&gt;","")))</f>
        <v>Vantage_Fairfield</v>
      </c>
      <c r="AR1214" t="str">
        <f>_xlfn.XLOOKUP(emissions[[#This Row],[Reporting unit name]],hierarchy!$A:$A,hierarchy!$C:$C)</f>
        <v>Office</v>
      </c>
    </row>
    <row r="1215" spans="1:44" hidden="1" x14ac:dyDescent="0.25">
      <c r="A1215">
        <v>291076</v>
      </c>
      <c r="B1215" t="s">
        <v>353</v>
      </c>
      <c r="C1215" t="s">
        <v>501</v>
      </c>
      <c r="D1215" t="s">
        <v>548</v>
      </c>
      <c r="E1215" s="3">
        <v>44562</v>
      </c>
      <c r="F1215" s="3">
        <v>44926</v>
      </c>
      <c r="G1215" t="s">
        <v>108</v>
      </c>
      <c r="H1215" s="3">
        <v>44562</v>
      </c>
      <c r="I1215" s="3">
        <v>44926</v>
      </c>
      <c r="J1215" t="s">
        <v>108</v>
      </c>
      <c r="K1215">
        <v>367966</v>
      </c>
      <c r="L1215" t="s">
        <v>109</v>
      </c>
      <c r="M1215" t="s">
        <v>110</v>
      </c>
      <c r="O1215" t="s">
        <v>893</v>
      </c>
      <c r="P1215" t="s">
        <v>550</v>
      </c>
      <c r="Q1215">
        <v>2022</v>
      </c>
      <c r="R1215" t="s">
        <v>575</v>
      </c>
      <c r="S1215" t="s">
        <v>576</v>
      </c>
      <c r="T1215" t="s">
        <v>577</v>
      </c>
      <c r="U1215" t="b">
        <v>0</v>
      </c>
      <c r="V1215" t="s">
        <v>899</v>
      </c>
      <c r="W1215" t="s">
        <v>571</v>
      </c>
      <c r="X1215" t="s">
        <v>572</v>
      </c>
      <c r="Y1215" t="s">
        <v>472</v>
      </c>
      <c r="Z1215" t="s">
        <v>485</v>
      </c>
      <c r="AA1215" t="s">
        <v>764</v>
      </c>
      <c r="AB1215" t="s">
        <v>895</v>
      </c>
      <c r="AC1215">
        <v>1</v>
      </c>
      <c r="AD1215" t="s">
        <v>639</v>
      </c>
      <c r="AE1215">
        <v>30654.417890000001</v>
      </c>
      <c r="AF1215">
        <v>8.3307746000000002E-2</v>
      </c>
      <c r="AG1215" t="s">
        <v>560</v>
      </c>
      <c r="AH1215">
        <v>1</v>
      </c>
      <c r="AI1215">
        <v>367966</v>
      </c>
      <c r="AJ1215" t="s">
        <v>561</v>
      </c>
      <c r="AK1215" t="s">
        <v>573</v>
      </c>
      <c r="AL1215" t="s">
        <v>900</v>
      </c>
      <c r="AM1215">
        <v>2022</v>
      </c>
      <c r="AN1215">
        <v>2019</v>
      </c>
      <c r="AO1215">
        <f>IF(AND(emissions[[#This Row],[Market-based]]=0,emissions[[#This Row],[Impact Type]]="CO2E"),emissions[[#This Row],[kgCO2e]],0)/1000</f>
        <v>0</v>
      </c>
      <c r="AP1215">
        <f>IF(AND(emissions[[#This Row],[Market-based]]=1,OR(emissions[[#This Row],[Impact Type]]="CO2E",emissions[[#This Row],[Impact Type]]="CO2E MKT")),emissions[[#This Row],[kgCO2e]],0)/1000</f>
        <v>30.654417890000001</v>
      </c>
      <c r="AQ1215" t="str">
        <f>_xlfn.TEXTAFTER(emissions[[#This Row],[Reporting Unit]]," &gt; ",LEN(emissions[[#This Row],[Reporting Unit]])-LEN(SUBSTITUTE(emissions[[#This Row],[Reporting Unit]],"&gt;","")))</f>
        <v>Vantage_Fairfield</v>
      </c>
      <c r="AR1215" t="str">
        <f>_xlfn.XLOOKUP(emissions[[#This Row],[Reporting unit name]],hierarchy!$A:$A,hierarchy!$C:$C)</f>
        <v>Office</v>
      </c>
    </row>
    <row r="1216" spans="1:44" hidden="1" x14ac:dyDescent="0.25">
      <c r="A1216">
        <v>291076</v>
      </c>
      <c r="B1216" t="s">
        <v>353</v>
      </c>
      <c r="C1216" t="s">
        <v>501</v>
      </c>
      <c r="D1216" t="s">
        <v>548</v>
      </c>
      <c r="E1216" s="3">
        <v>44562</v>
      </c>
      <c r="F1216" s="3">
        <v>44926</v>
      </c>
      <c r="G1216" t="s">
        <v>108</v>
      </c>
      <c r="H1216" s="3">
        <v>44562</v>
      </c>
      <c r="I1216" s="3">
        <v>44926</v>
      </c>
      <c r="J1216" t="s">
        <v>108</v>
      </c>
      <c r="K1216">
        <v>367966</v>
      </c>
      <c r="L1216" t="s">
        <v>109</v>
      </c>
      <c r="M1216" t="s">
        <v>110</v>
      </c>
      <c r="O1216" t="s">
        <v>893</v>
      </c>
      <c r="P1216" t="s">
        <v>550</v>
      </c>
      <c r="Q1216">
        <v>2022</v>
      </c>
      <c r="R1216" t="s">
        <v>579</v>
      </c>
      <c r="S1216" t="s">
        <v>580</v>
      </c>
      <c r="T1216" t="s">
        <v>581</v>
      </c>
      <c r="U1216" t="b">
        <v>0</v>
      </c>
      <c r="V1216" t="s">
        <v>901</v>
      </c>
      <c r="W1216" t="s">
        <v>571</v>
      </c>
      <c r="X1216" t="s">
        <v>572</v>
      </c>
      <c r="Y1216" t="s">
        <v>472</v>
      </c>
      <c r="Z1216" t="s">
        <v>485</v>
      </c>
      <c r="AA1216" t="s">
        <v>764</v>
      </c>
      <c r="AB1216" t="s">
        <v>895</v>
      </c>
      <c r="AC1216">
        <v>0</v>
      </c>
      <c r="AD1216" t="s">
        <v>565</v>
      </c>
      <c r="AE1216">
        <v>5797.4434620000002</v>
      </c>
      <c r="AF1216">
        <v>1.5755378E-2</v>
      </c>
      <c r="AG1216" t="s">
        <v>560</v>
      </c>
      <c r="AH1216">
        <v>1</v>
      </c>
      <c r="AI1216">
        <v>367966</v>
      </c>
      <c r="AJ1216" t="s">
        <v>561</v>
      </c>
      <c r="AK1216" t="s">
        <v>766</v>
      </c>
      <c r="AL1216" t="s">
        <v>767</v>
      </c>
      <c r="AM1216">
        <v>2022</v>
      </c>
      <c r="AN1216">
        <v>2020</v>
      </c>
      <c r="AO1216">
        <f>IF(AND(emissions[[#This Row],[Market-based]]=0,emissions[[#This Row],[Impact Type]]="CO2E"),emissions[[#This Row],[kgCO2e]],0)/1000</f>
        <v>5.7974434620000004</v>
      </c>
      <c r="AP1216">
        <f>IF(AND(emissions[[#This Row],[Market-based]]=1,OR(emissions[[#This Row],[Impact Type]]="CO2E",emissions[[#This Row],[Impact Type]]="CO2E MKT")),emissions[[#This Row],[kgCO2e]],0)/1000</f>
        <v>0</v>
      </c>
      <c r="AQ1216" t="str">
        <f>_xlfn.TEXTAFTER(emissions[[#This Row],[Reporting Unit]]," &gt; ",LEN(emissions[[#This Row],[Reporting Unit]])-LEN(SUBSTITUTE(emissions[[#This Row],[Reporting Unit]],"&gt;","")))</f>
        <v>Vantage_Fairfield</v>
      </c>
      <c r="AR1216" t="str">
        <f>_xlfn.XLOOKUP(emissions[[#This Row],[Reporting unit name]],hierarchy!$A:$A,hierarchy!$C:$C)</f>
        <v>Office</v>
      </c>
    </row>
    <row r="1217" spans="1:44" hidden="1" x14ac:dyDescent="0.25">
      <c r="A1217">
        <v>291076</v>
      </c>
      <c r="B1217" t="s">
        <v>353</v>
      </c>
      <c r="C1217" t="s">
        <v>501</v>
      </c>
      <c r="D1217" t="s">
        <v>548</v>
      </c>
      <c r="E1217" s="3">
        <v>44562</v>
      </c>
      <c r="F1217" s="3">
        <v>44926</v>
      </c>
      <c r="G1217" t="s">
        <v>108</v>
      </c>
      <c r="H1217" s="3">
        <v>44562</v>
      </c>
      <c r="I1217" s="3">
        <v>44926</v>
      </c>
      <c r="J1217" t="s">
        <v>108</v>
      </c>
      <c r="K1217">
        <v>367966</v>
      </c>
      <c r="L1217" t="s">
        <v>109</v>
      </c>
      <c r="M1217" t="s">
        <v>110</v>
      </c>
      <c r="O1217" t="s">
        <v>893</v>
      </c>
      <c r="P1217" t="s">
        <v>550</v>
      </c>
      <c r="Q1217">
        <v>2022</v>
      </c>
      <c r="R1217" t="s">
        <v>579</v>
      </c>
      <c r="S1217" t="s">
        <v>580</v>
      </c>
      <c r="T1217" t="s">
        <v>581</v>
      </c>
      <c r="U1217" t="b">
        <v>0</v>
      </c>
      <c r="V1217" t="s">
        <v>902</v>
      </c>
      <c r="W1217" t="s">
        <v>571</v>
      </c>
      <c r="X1217" t="s">
        <v>572</v>
      </c>
      <c r="Y1217" t="s">
        <v>472</v>
      </c>
      <c r="Z1217" t="s">
        <v>485</v>
      </c>
      <c r="AA1217" t="s">
        <v>764</v>
      </c>
      <c r="AB1217" t="s">
        <v>895</v>
      </c>
      <c r="AC1217">
        <v>1</v>
      </c>
      <c r="AD1217" t="s">
        <v>639</v>
      </c>
      <c r="AE1217">
        <v>5918.0463110000001</v>
      </c>
      <c r="AF1217">
        <v>1.6083133999999999E-2</v>
      </c>
      <c r="AG1217" t="s">
        <v>560</v>
      </c>
      <c r="AH1217">
        <v>1</v>
      </c>
      <c r="AI1217">
        <v>367966</v>
      </c>
      <c r="AJ1217" t="s">
        <v>561</v>
      </c>
      <c r="AK1217" t="s">
        <v>573</v>
      </c>
      <c r="AL1217" t="s">
        <v>903</v>
      </c>
      <c r="AM1217">
        <v>2022</v>
      </c>
      <c r="AN1217">
        <v>2019</v>
      </c>
      <c r="AO1217">
        <f>IF(AND(emissions[[#This Row],[Market-based]]=0,emissions[[#This Row],[Impact Type]]="CO2E"),emissions[[#This Row],[kgCO2e]],0)/1000</f>
        <v>0</v>
      </c>
      <c r="AP1217">
        <f>IF(AND(emissions[[#This Row],[Market-based]]=1,OR(emissions[[#This Row],[Impact Type]]="CO2E",emissions[[#This Row],[Impact Type]]="CO2E MKT")),emissions[[#This Row],[kgCO2e]],0)/1000</f>
        <v>5.9180463110000003</v>
      </c>
      <c r="AQ1217" t="str">
        <f>_xlfn.TEXTAFTER(emissions[[#This Row],[Reporting Unit]]," &gt; ",LEN(emissions[[#This Row],[Reporting Unit]])-LEN(SUBSTITUTE(emissions[[#This Row],[Reporting Unit]],"&gt;","")))</f>
        <v>Vantage_Fairfield</v>
      </c>
      <c r="AR1217" t="str">
        <f>_xlfn.XLOOKUP(emissions[[#This Row],[Reporting unit name]],hierarchy!$A:$A,hierarchy!$C:$C)</f>
        <v>Office</v>
      </c>
    </row>
    <row r="1218" spans="1:44" hidden="1" x14ac:dyDescent="0.25">
      <c r="A1218">
        <v>291078</v>
      </c>
      <c r="B1218" t="s">
        <v>353</v>
      </c>
      <c r="C1218" t="s">
        <v>501</v>
      </c>
      <c r="D1218" t="s">
        <v>548</v>
      </c>
      <c r="E1218" s="3">
        <v>44562</v>
      </c>
      <c r="F1218" s="3">
        <v>44926</v>
      </c>
      <c r="G1218" t="s">
        <v>135</v>
      </c>
      <c r="H1218" s="3">
        <v>44562</v>
      </c>
      <c r="I1218" s="3">
        <v>44926</v>
      </c>
      <c r="J1218" t="s">
        <v>135</v>
      </c>
      <c r="K1218">
        <v>2145812</v>
      </c>
      <c r="L1218" t="s">
        <v>160</v>
      </c>
      <c r="M1218" t="s">
        <v>110</v>
      </c>
      <c r="O1218" t="s">
        <v>904</v>
      </c>
      <c r="P1218" t="s">
        <v>550</v>
      </c>
      <c r="Q1218">
        <v>2022</v>
      </c>
      <c r="R1218" t="s">
        <v>605</v>
      </c>
      <c r="S1218" t="s">
        <v>606</v>
      </c>
      <c r="T1218" t="s">
        <v>553</v>
      </c>
      <c r="U1218" t="b">
        <v>0</v>
      </c>
      <c r="V1218" t="s">
        <v>781</v>
      </c>
      <c r="W1218" t="s">
        <v>587</v>
      </c>
      <c r="X1218" t="s">
        <v>556</v>
      </c>
      <c r="Y1218" t="s">
        <v>472</v>
      </c>
      <c r="Z1218" t="s">
        <v>485</v>
      </c>
      <c r="AA1218" t="s">
        <v>764</v>
      </c>
      <c r="AC1218">
        <v>0</v>
      </c>
      <c r="AD1218" t="s">
        <v>558</v>
      </c>
      <c r="AE1218">
        <v>55.254658999999997</v>
      </c>
      <c r="AF1218">
        <v>2.5749999999999999E-5</v>
      </c>
      <c r="AG1218" t="s">
        <v>782</v>
      </c>
      <c r="AH1218">
        <v>1</v>
      </c>
      <c r="AI1218">
        <v>2145812</v>
      </c>
      <c r="AJ1218" t="s">
        <v>561</v>
      </c>
      <c r="AK1218" t="s">
        <v>766</v>
      </c>
      <c r="AL1218" t="s">
        <v>767</v>
      </c>
      <c r="AM1218">
        <v>2022</v>
      </c>
      <c r="AN1218">
        <v>2022</v>
      </c>
      <c r="AO1218">
        <f>IF(AND(emissions[[#This Row],[Market-based]]=0,emissions[[#This Row],[Impact Type]]="CO2E"),emissions[[#This Row],[kgCO2e]],0)/1000</f>
        <v>0</v>
      </c>
      <c r="AP1218">
        <f>IF(AND(emissions[[#This Row],[Market-based]]=1,OR(emissions[[#This Row],[Impact Type]]="CO2E",emissions[[#This Row],[Impact Type]]="CO2E MKT")),emissions[[#This Row],[kgCO2e]],0)/1000</f>
        <v>0</v>
      </c>
      <c r="AQ1218" t="str">
        <f>_xlfn.TEXTAFTER(emissions[[#This Row],[Reporting Unit]]," &gt; ",LEN(emissions[[#This Row],[Reporting Unit]])-LEN(SUBSTITUTE(emissions[[#This Row],[Reporting Unit]],"&gt;","")))</f>
        <v>Vantage_Fairfield</v>
      </c>
      <c r="AR1218" t="str">
        <f>_xlfn.XLOOKUP(emissions[[#This Row],[Reporting unit name]],hierarchy!$A:$A,hierarchy!$C:$C)</f>
        <v>Office</v>
      </c>
    </row>
    <row r="1219" spans="1:44" hidden="1" x14ac:dyDescent="0.25">
      <c r="A1219">
        <v>291078</v>
      </c>
      <c r="B1219" t="s">
        <v>353</v>
      </c>
      <c r="C1219" t="s">
        <v>501</v>
      </c>
      <c r="D1219" t="s">
        <v>548</v>
      </c>
      <c r="E1219" s="3">
        <v>44562</v>
      </c>
      <c r="F1219" s="3">
        <v>44926</v>
      </c>
      <c r="G1219" t="s">
        <v>135</v>
      </c>
      <c r="H1219" s="3">
        <v>44562</v>
      </c>
      <c r="I1219" s="3">
        <v>44926</v>
      </c>
      <c r="J1219" t="s">
        <v>135</v>
      </c>
      <c r="K1219">
        <v>2145812</v>
      </c>
      <c r="L1219" t="s">
        <v>160</v>
      </c>
      <c r="M1219" t="s">
        <v>110</v>
      </c>
      <c r="O1219" t="s">
        <v>904</v>
      </c>
      <c r="P1219" t="s">
        <v>550</v>
      </c>
      <c r="Q1219">
        <v>2022</v>
      </c>
      <c r="R1219" t="s">
        <v>605</v>
      </c>
      <c r="S1219" t="s">
        <v>606</v>
      </c>
      <c r="T1219" t="s">
        <v>553</v>
      </c>
      <c r="U1219" t="b">
        <v>0</v>
      </c>
      <c r="V1219" t="s">
        <v>781</v>
      </c>
      <c r="W1219" t="s">
        <v>587</v>
      </c>
      <c r="X1219" t="s">
        <v>556</v>
      </c>
      <c r="Y1219" t="s">
        <v>472</v>
      </c>
      <c r="Z1219" t="s">
        <v>485</v>
      </c>
      <c r="AA1219" t="s">
        <v>764</v>
      </c>
      <c r="AC1219">
        <v>0</v>
      </c>
      <c r="AD1219" t="s">
        <v>564</v>
      </c>
      <c r="AE1219">
        <v>116818.0053</v>
      </c>
      <c r="AF1219">
        <v>5.4440000000000002E-2</v>
      </c>
      <c r="AG1219" t="s">
        <v>782</v>
      </c>
      <c r="AH1219">
        <v>1</v>
      </c>
      <c r="AI1219">
        <v>2145812</v>
      </c>
      <c r="AJ1219" t="s">
        <v>561</v>
      </c>
      <c r="AK1219" t="s">
        <v>766</v>
      </c>
      <c r="AL1219" t="s">
        <v>767</v>
      </c>
      <c r="AM1219">
        <v>2022</v>
      </c>
      <c r="AN1219">
        <v>2022</v>
      </c>
      <c r="AO1219">
        <f>IF(AND(emissions[[#This Row],[Market-based]]=0,emissions[[#This Row],[Impact Type]]="CO2E"),emissions[[#This Row],[kgCO2e]],0)/1000</f>
        <v>0</v>
      </c>
      <c r="AP1219">
        <f>IF(AND(emissions[[#This Row],[Market-based]]=1,OR(emissions[[#This Row],[Impact Type]]="CO2E",emissions[[#This Row],[Impact Type]]="CO2E MKT")),emissions[[#This Row],[kgCO2e]],0)/1000</f>
        <v>0</v>
      </c>
      <c r="AQ1219" t="str">
        <f>_xlfn.TEXTAFTER(emissions[[#This Row],[Reporting Unit]]," &gt; ",LEN(emissions[[#This Row],[Reporting Unit]])-LEN(SUBSTITUTE(emissions[[#This Row],[Reporting Unit]],"&gt;","")))</f>
        <v>Vantage_Fairfield</v>
      </c>
      <c r="AR1219" t="str">
        <f>_xlfn.XLOOKUP(emissions[[#This Row],[Reporting unit name]],hierarchy!$A:$A,hierarchy!$C:$C)</f>
        <v>Office</v>
      </c>
    </row>
    <row r="1220" spans="1:44" hidden="1" x14ac:dyDescent="0.25">
      <c r="A1220">
        <v>291078</v>
      </c>
      <c r="B1220" t="s">
        <v>353</v>
      </c>
      <c r="C1220" t="s">
        <v>501</v>
      </c>
      <c r="D1220" t="s">
        <v>548</v>
      </c>
      <c r="E1220" s="3">
        <v>44562</v>
      </c>
      <c r="F1220" s="3">
        <v>44926</v>
      </c>
      <c r="G1220" t="s">
        <v>135</v>
      </c>
      <c r="H1220" s="3">
        <v>44562</v>
      </c>
      <c r="I1220" s="3">
        <v>44926</v>
      </c>
      <c r="J1220" t="s">
        <v>135</v>
      </c>
      <c r="K1220">
        <v>2145812</v>
      </c>
      <c r="L1220" t="s">
        <v>160</v>
      </c>
      <c r="M1220" t="s">
        <v>110</v>
      </c>
      <c r="O1220" t="s">
        <v>904</v>
      </c>
      <c r="P1220" t="s">
        <v>550</v>
      </c>
      <c r="Q1220">
        <v>2022</v>
      </c>
      <c r="R1220" t="s">
        <v>605</v>
      </c>
      <c r="S1220" t="s">
        <v>606</v>
      </c>
      <c r="T1220" t="s">
        <v>553</v>
      </c>
      <c r="U1220" t="b">
        <v>0</v>
      </c>
      <c r="V1220" t="s">
        <v>781</v>
      </c>
      <c r="W1220" t="s">
        <v>587</v>
      </c>
      <c r="X1220" t="s">
        <v>556</v>
      </c>
      <c r="Y1220" t="s">
        <v>472</v>
      </c>
      <c r="Z1220" t="s">
        <v>485</v>
      </c>
      <c r="AA1220" t="s">
        <v>764</v>
      </c>
      <c r="AC1220">
        <v>0</v>
      </c>
      <c r="AD1220" t="s">
        <v>565</v>
      </c>
      <c r="AE1220">
        <v>116937.20510000001</v>
      </c>
      <c r="AF1220">
        <v>5.4495549999999997E-2</v>
      </c>
      <c r="AG1220" t="s">
        <v>782</v>
      </c>
      <c r="AH1220">
        <v>1</v>
      </c>
      <c r="AI1220">
        <v>2145812</v>
      </c>
      <c r="AJ1220" t="s">
        <v>561</v>
      </c>
      <c r="AK1220" t="s">
        <v>766</v>
      </c>
      <c r="AL1220" t="s">
        <v>767</v>
      </c>
      <c r="AM1220">
        <v>2022</v>
      </c>
      <c r="AN1220">
        <v>2022</v>
      </c>
      <c r="AO1220">
        <f>IF(AND(emissions[[#This Row],[Market-based]]=0,emissions[[#This Row],[Impact Type]]="CO2E"),emissions[[#This Row],[kgCO2e]],0)/1000</f>
        <v>116.9372051</v>
      </c>
      <c r="AP1220">
        <f>IF(AND(emissions[[#This Row],[Market-based]]=1,OR(emissions[[#This Row],[Impact Type]]="CO2E",emissions[[#This Row],[Impact Type]]="CO2E MKT")),emissions[[#This Row],[kgCO2e]],0)/1000</f>
        <v>0</v>
      </c>
      <c r="AQ1220" t="str">
        <f>_xlfn.TEXTAFTER(emissions[[#This Row],[Reporting Unit]]," &gt; ",LEN(emissions[[#This Row],[Reporting Unit]])-LEN(SUBSTITUTE(emissions[[#This Row],[Reporting Unit]],"&gt;","")))</f>
        <v>Vantage_Fairfield</v>
      </c>
      <c r="AR1220" t="str">
        <f>_xlfn.XLOOKUP(emissions[[#This Row],[Reporting unit name]],hierarchy!$A:$A,hierarchy!$C:$C)</f>
        <v>Office</v>
      </c>
    </row>
    <row r="1221" spans="1:44" hidden="1" x14ac:dyDescent="0.25">
      <c r="A1221">
        <v>291078</v>
      </c>
      <c r="B1221" t="s">
        <v>353</v>
      </c>
      <c r="C1221" t="s">
        <v>501</v>
      </c>
      <c r="D1221" t="s">
        <v>548</v>
      </c>
      <c r="E1221" s="3">
        <v>44562</v>
      </c>
      <c r="F1221" s="3">
        <v>44926</v>
      </c>
      <c r="G1221" t="s">
        <v>135</v>
      </c>
      <c r="H1221" s="3">
        <v>44562</v>
      </c>
      <c r="I1221" s="3">
        <v>44926</v>
      </c>
      <c r="J1221" t="s">
        <v>135</v>
      </c>
      <c r="K1221">
        <v>2145812</v>
      </c>
      <c r="L1221" t="s">
        <v>160</v>
      </c>
      <c r="M1221" t="s">
        <v>110</v>
      </c>
      <c r="O1221" t="s">
        <v>904</v>
      </c>
      <c r="P1221" t="s">
        <v>550</v>
      </c>
      <c r="Q1221">
        <v>2022</v>
      </c>
      <c r="R1221" t="s">
        <v>605</v>
      </c>
      <c r="S1221" t="s">
        <v>606</v>
      </c>
      <c r="T1221" t="s">
        <v>553</v>
      </c>
      <c r="U1221" t="b">
        <v>0</v>
      </c>
      <c r="V1221" t="s">
        <v>781</v>
      </c>
      <c r="W1221" t="s">
        <v>587</v>
      </c>
      <c r="X1221" t="s">
        <v>556</v>
      </c>
      <c r="Y1221" t="s">
        <v>472</v>
      </c>
      <c r="Z1221" t="s">
        <v>485</v>
      </c>
      <c r="AA1221" t="s">
        <v>764</v>
      </c>
      <c r="AC1221">
        <v>0</v>
      </c>
      <c r="AD1221" t="s">
        <v>566</v>
      </c>
      <c r="AE1221">
        <v>63.9451976</v>
      </c>
      <c r="AF1221">
        <v>2.9799999999999999E-5</v>
      </c>
      <c r="AG1221" t="s">
        <v>782</v>
      </c>
      <c r="AH1221">
        <v>1</v>
      </c>
      <c r="AI1221">
        <v>2145812</v>
      </c>
      <c r="AJ1221" t="s">
        <v>561</v>
      </c>
      <c r="AK1221" t="s">
        <v>766</v>
      </c>
      <c r="AL1221" t="s">
        <v>767</v>
      </c>
      <c r="AM1221">
        <v>2022</v>
      </c>
      <c r="AN1221">
        <v>2022</v>
      </c>
      <c r="AO1221">
        <f>IF(AND(emissions[[#This Row],[Market-based]]=0,emissions[[#This Row],[Impact Type]]="CO2E"),emissions[[#This Row],[kgCO2e]],0)/1000</f>
        <v>0</v>
      </c>
      <c r="AP1221">
        <f>IF(AND(emissions[[#This Row],[Market-based]]=1,OR(emissions[[#This Row],[Impact Type]]="CO2E",emissions[[#This Row],[Impact Type]]="CO2E MKT")),emissions[[#This Row],[kgCO2e]],0)/1000</f>
        <v>0</v>
      </c>
      <c r="AQ1221" t="str">
        <f>_xlfn.TEXTAFTER(emissions[[#This Row],[Reporting Unit]]," &gt; ",LEN(emissions[[#This Row],[Reporting Unit]])-LEN(SUBSTITUTE(emissions[[#This Row],[Reporting Unit]],"&gt;","")))</f>
        <v>Vantage_Fairfield</v>
      </c>
      <c r="AR1221" t="str">
        <f>_xlfn.XLOOKUP(emissions[[#This Row],[Reporting unit name]],hierarchy!$A:$A,hierarchy!$C:$C)</f>
        <v>Office</v>
      </c>
    </row>
    <row r="1222" spans="1:44" hidden="1" x14ac:dyDescent="0.25">
      <c r="A1222">
        <v>291078</v>
      </c>
      <c r="B1222" t="s">
        <v>353</v>
      </c>
      <c r="C1222" t="s">
        <v>501</v>
      </c>
      <c r="D1222" t="s">
        <v>548</v>
      </c>
      <c r="E1222" s="3">
        <v>44562</v>
      </c>
      <c r="F1222" s="3">
        <v>44926</v>
      </c>
      <c r="G1222" t="s">
        <v>135</v>
      </c>
      <c r="H1222" s="3">
        <v>44562</v>
      </c>
      <c r="I1222" s="3">
        <v>44926</v>
      </c>
      <c r="J1222" t="s">
        <v>135</v>
      </c>
      <c r="K1222">
        <v>2145812</v>
      </c>
      <c r="L1222" t="s">
        <v>160</v>
      </c>
      <c r="M1222" t="s">
        <v>110</v>
      </c>
      <c r="O1222" t="s">
        <v>904</v>
      </c>
      <c r="P1222" t="s">
        <v>550</v>
      </c>
      <c r="Q1222">
        <v>2022</v>
      </c>
      <c r="R1222" t="s">
        <v>605</v>
      </c>
      <c r="S1222" t="s">
        <v>606</v>
      </c>
      <c r="T1222" t="s">
        <v>553</v>
      </c>
      <c r="U1222" t="b">
        <v>0</v>
      </c>
      <c r="V1222" t="s">
        <v>781</v>
      </c>
      <c r="W1222" t="s">
        <v>587</v>
      </c>
      <c r="X1222" t="s">
        <v>556</v>
      </c>
      <c r="Y1222" t="s">
        <v>472</v>
      </c>
      <c r="Z1222" t="s">
        <v>485</v>
      </c>
      <c r="AA1222" t="s">
        <v>764</v>
      </c>
      <c r="AC1222">
        <v>1</v>
      </c>
      <c r="AD1222" t="s">
        <v>558</v>
      </c>
      <c r="AE1222">
        <v>55.254658999999997</v>
      </c>
      <c r="AF1222">
        <v>2.5749999999999999E-5</v>
      </c>
      <c r="AG1222" t="s">
        <v>782</v>
      </c>
      <c r="AH1222">
        <v>1</v>
      </c>
      <c r="AI1222">
        <v>2145812</v>
      </c>
      <c r="AJ1222" t="s">
        <v>561</v>
      </c>
      <c r="AK1222" t="s">
        <v>766</v>
      </c>
      <c r="AL1222" t="s">
        <v>767</v>
      </c>
      <c r="AM1222">
        <v>2022</v>
      </c>
      <c r="AN1222">
        <v>2022</v>
      </c>
      <c r="AO1222">
        <f>IF(AND(emissions[[#This Row],[Market-based]]=0,emissions[[#This Row],[Impact Type]]="CO2E"),emissions[[#This Row],[kgCO2e]],0)/1000</f>
        <v>0</v>
      </c>
      <c r="AP1222">
        <f>IF(AND(emissions[[#This Row],[Market-based]]=1,OR(emissions[[#This Row],[Impact Type]]="CO2E",emissions[[#This Row],[Impact Type]]="CO2E MKT")),emissions[[#This Row],[kgCO2e]],0)/1000</f>
        <v>0</v>
      </c>
      <c r="AQ1222" t="str">
        <f>_xlfn.TEXTAFTER(emissions[[#This Row],[Reporting Unit]]," &gt; ",LEN(emissions[[#This Row],[Reporting Unit]])-LEN(SUBSTITUTE(emissions[[#This Row],[Reporting Unit]],"&gt;","")))</f>
        <v>Vantage_Fairfield</v>
      </c>
      <c r="AR1222" t="str">
        <f>_xlfn.XLOOKUP(emissions[[#This Row],[Reporting unit name]],hierarchy!$A:$A,hierarchy!$C:$C)</f>
        <v>Office</v>
      </c>
    </row>
    <row r="1223" spans="1:44" hidden="1" x14ac:dyDescent="0.25">
      <c r="A1223">
        <v>291078</v>
      </c>
      <c r="B1223" t="s">
        <v>353</v>
      </c>
      <c r="C1223" t="s">
        <v>501</v>
      </c>
      <c r="D1223" t="s">
        <v>548</v>
      </c>
      <c r="E1223" s="3">
        <v>44562</v>
      </c>
      <c r="F1223" s="3">
        <v>44926</v>
      </c>
      <c r="G1223" t="s">
        <v>135</v>
      </c>
      <c r="H1223" s="3">
        <v>44562</v>
      </c>
      <c r="I1223" s="3">
        <v>44926</v>
      </c>
      <c r="J1223" t="s">
        <v>135</v>
      </c>
      <c r="K1223">
        <v>2145812</v>
      </c>
      <c r="L1223" t="s">
        <v>160</v>
      </c>
      <c r="M1223" t="s">
        <v>110</v>
      </c>
      <c r="O1223" t="s">
        <v>904</v>
      </c>
      <c r="P1223" t="s">
        <v>550</v>
      </c>
      <c r="Q1223">
        <v>2022</v>
      </c>
      <c r="R1223" t="s">
        <v>605</v>
      </c>
      <c r="S1223" t="s">
        <v>606</v>
      </c>
      <c r="T1223" t="s">
        <v>553</v>
      </c>
      <c r="U1223" t="b">
        <v>0</v>
      </c>
      <c r="V1223" t="s">
        <v>781</v>
      </c>
      <c r="W1223" t="s">
        <v>587</v>
      </c>
      <c r="X1223" t="s">
        <v>556</v>
      </c>
      <c r="Y1223" t="s">
        <v>472</v>
      </c>
      <c r="Z1223" t="s">
        <v>485</v>
      </c>
      <c r="AA1223" t="s">
        <v>764</v>
      </c>
      <c r="AC1223">
        <v>1</v>
      </c>
      <c r="AD1223" t="s">
        <v>564</v>
      </c>
      <c r="AE1223">
        <v>116818.0053</v>
      </c>
      <c r="AF1223">
        <v>5.4440000000000002E-2</v>
      </c>
      <c r="AG1223" t="s">
        <v>782</v>
      </c>
      <c r="AH1223">
        <v>1</v>
      </c>
      <c r="AI1223">
        <v>2145812</v>
      </c>
      <c r="AJ1223" t="s">
        <v>561</v>
      </c>
      <c r="AK1223" t="s">
        <v>766</v>
      </c>
      <c r="AL1223" t="s">
        <v>767</v>
      </c>
      <c r="AM1223">
        <v>2022</v>
      </c>
      <c r="AN1223">
        <v>2022</v>
      </c>
      <c r="AO1223">
        <f>IF(AND(emissions[[#This Row],[Market-based]]=0,emissions[[#This Row],[Impact Type]]="CO2E"),emissions[[#This Row],[kgCO2e]],0)/1000</f>
        <v>0</v>
      </c>
      <c r="AP1223">
        <f>IF(AND(emissions[[#This Row],[Market-based]]=1,OR(emissions[[#This Row],[Impact Type]]="CO2E",emissions[[#This Row],[Impact Type]]="CO2E MKT")),emissions[[#This Row],[kgCO2e]],0)/1000</f>
        <v>0</v>
      </c>
      <c r="AQ1223" t="str">
        <f>_xlfn.TEXTAFTER(emissions[[#This Row],[Reporting Unit]]," &gt; ",LEN(emissions[[#This Row],[Reporting Unit]])-LEN(SUBSTITUTE(emissions[[#This Row],[Reporting Unit]],"&gt;","")))</f>
        <v>Vantage_Fairfield</v>
      </c>
      <c r="AR1223" t="str">
        <f>_xlfn.XLOOKUP(emissions[[#This Row],[Reporting unit name]],hierarchy!$A:$A,hierarchy!$C:$C)</f>
        <v>Office</v>
      </c>
    </row>
    <row r="1224" spans="1:44" hidden="1" x14ac:dyDescent="0.25">
      <c r="A1224">
        <v>291078</v>
      </c>
      <c r="B1224" t="s">
        <v>353</v>
      </c>
      <c r="C1224" t="s">
        <v>501</v>
      </c>
      <c r="D1224" t="s">
        <v>548</v>
      </c>
      <c r="E1224" s="3">
        <v>44562</v>
      </c>
      <c r="F1224" s="3">
        <v>44926</v>
      </c>
      <c r="G1224" t="s">
        <v>135</v>
      </c>
      <c r="H1224" s="3">
        <v>44562</v>
      </c>
      <c r="I1224" s="3">
        <v>44926</v>
      </c>
      <c r="J1224" t="s">
        <v>135</v>
      </c>
      <c r="K1224">
        <v>2145812</v>
      </c>
      <c r="L1224" t="s">
        <v>160</v>
      </c>
      <c r="M1224" t="s">
        <v>110</v>
      </c>
      <c r="O1224" t="s">
        <v>904</v>
      </c>
      <c r="P1224" t="s">
        <v>550</v>
      </c>
      <c r="Q1224">
        <v>2022</v>
      </c>
      <c r="R1224" t="s">
        <v>605</v>
      </c>
      <c r="S1224" t="s">
        <v>606</v>
      </c>
      <c r="T1224" t="s">
        <v>553</v>
      </c>
      <c r="U1224" t="b">
        <v>0</v>
      </c>
      <c r="V1224" t="s">
        <v>781</v>
      </c>
      <c r="W1224" t="s">
        <v>587</v>
      </c>
      <c r="X1224" t="s">
        <v>556</v>
      </c>
      <c r="Y1224" t="s">
        <v>472</v>
      </c>
      <c r="Z1224" t="s">
        <v>485</v>
      </c>
      <c r="AA1224" t="s">
        <v>764</v>
      </c>
      <c r="AC1224">
        <v>1</v>
      </c>
      <c r="AD1224" t="s">
        <v>565</v>
      </c>
      <c r="AE1224">
        <v>116937.20510000001</v>
      </c>
      <c r="AF1224">
        <v>5.4495549999999997E-2</v>
      </c>
      <c r="AG1224" t="s">
        <v>782</v>
      </c>
      <c r="AH1224">
        <v>1</v>
      </c>
      <c r="AI1224">
        <v>2145812</v>
      </c>
      <c r="AJ1224" t="s">
        <v>561</v>
      </c>
      <c r="AK1224" t="s">
        <v>766</v>
      </c>
      <c r="AL1224" t="s">
        <v>767</v>
      </c>
      <c r="AM1224">
        <v>2022</v>
      </c>
      <c r="AN1224">
        <v>2022</v>
      </c>
      <c r="AO1224">
        <f>IF(AND(emissions[[#This Row],[Market-based]]=0,emissions[[#This Row],[Impact Type]]="CO2E"),emissions[[#This Row],[kgCO2e]],0)/1000</f>
        <v>0</v>
      </c>
      <c r="AP1224">
        <f>IF(AND(emissions[[#This Row],[Market-based]]=1,OR(emissions[[#This Row],[Impact Type]]="CO2E",emissions[[#This Row],[Impact Type]]="CO2E MKT")),emissions[[#This Row],[kgCO2e]],0)/1000</f>
        <v>116.9372051</v>
      </c>
      <c r="AQ1224" t="str">
        <f>_xlfn.TEXTAFTER(emissions[[#This Row],[Reporting Unit]]," &gt; ",LEN(emissions[[#This Row],[Reporting Unit]])-LEN(SUBSTITUTE(emissions[[#This Row],[Reporting Unit]],"&gt;","")))</f>
        <v>Vantage_Fairfield</v>
      </c>
      <c r="AR1224" t="str">
        <f>_xlfn.XLOOKUP(emissions[[#This Row],[Reporting unit name]],hierarchy!$A:$A,hierarchy!$C:$C)</f>
        <v>Office</v>
      </c>
    </row>
    <row r="1225" spans="1:44" hidden="1" x14ac:dyDescent="0.25">
      <c r="A1225">
        <v>291078</v>
      </c>
      <c r="B1225" t="s">
        <v>353</v>
      </c>
      <c r="C1225" t="s">
        <v>501</v>
      </c>
      <c r="D1225" t="s">
        <v>548</v>
      </c>
      <c r="E1225" s="3">
        <v>44562</v>
      </c>
      <c r="F1225" s="3">
        <v>44926</v>
      </c>
      <c r="G1225" t="s">
        <v>135</v>
      </c>
      <c r="H1225" s="3">
        <v>44562</v>
      </c>
      <c r="I1225" s="3">
        <v>44926</v>
      </c>
      <c r="J1225" t="s">
        <v>135</v>
      </c>
      <c r="K1225">
        <v>2145812</v>
      </c>
      <c r="L1225" t="s">
        <v>160</v>
      </c>
      <c r="M1225" t="s">
        <v>110</v>
      </c>
      <c r="O1225" t="s">
        <v>904</v>
      </c>
      <c r="P1225" t="s">
        <v>550</v>
      </c>
      <c r="Q1225">
        <v>2022</v>
      </c>
      <c r="R1225" t="s">
        <v>605</v>
      </c>
      <c r="S1225" t="s">
        <v>606</v>
      </c>
      <c r="T1225" t="s">
        <v>553</v>
      </c>
      <c r="U1225" t="b">
        <v>0</v>
      </c>
      <c r="V1225" t="s">
        <v>781</v>
      </c>
      <c r="W1225" t="s">
        <v>587</v>
      </c>
      <c r="X1225" t="s">
        <v>556</v>
      </c>
      <c r="Y1225" t="s">
        <v>472</v>
      </c>
      <c r="Z1225" t="s">
        <v>485</v>
      </c>
      <c r="AA1225" t="s">
        <v>764</v>
      </c>
      <c r="AC1225">
        <v>1</v>
      </c>
      <c r="AD1225" t="s">
        <v>566</v>
      </c>
      <c r="AE1225">
        <v>63.9451976</v>
      </c>
      <c r="AF1225">
        <v>2.9799999999999999E-5</v>
      </c>
      <c r="AG1225" t="s">
        <v>782</v>
      </c>
      <c r="AH1225">
        <v>1</v>
      </c>
      <c r="AI1225">
        <v>2145812</v>
      </c>
      <c r="AJ1225" t="s">
        <v>561</v>
      </c>
      <c r="AK1225" t="s">
        <v>766</v>
      </c>
      <c r="AL1225" t="s">
        <v>767</v>
      </c>
      <c r="AM1225">
        <v>2022</v>
      </c>
      <c r="AN1225">
        <v>2022</v>
      </c>
      <c r="AO1225">
        <f>IF(AND(emissions[[#This Row],[Market-based]]=0,emissions[[#This Row],[Impact Type]]="CO2E"),emissions[[#This Row],[kgCO2e]],0)/1000</f>
        <v>0</v>
      </c>
      <c r="AP1225">
        <f>IF(AND(emissions[[#This Row],[Market-based]]=1,OR(emissions[[#This Row],[Impact Type]]="CO2E",emissions[[#This Row],[Impact Type]]="CO2E MKT")),emissions[[#This Row],[kgCO2e]],0)/1000</f>
        <v>0</v>
      </c>
      <c r="AQ1225" t="str">
        <f>_xlfn.TEXTAFTER(emissions[[#This Row],[Reporting Unit]]," &gt; ",LEN(emissions[[#This Row],[Reporting Unit]])-LEN(SUBSTITUTE(emissions[[#This Row],[Reporting Unit]],"&gt;","")))</f>
        <v>Vantage_Fairfield</v>
      </c>
      <c r="AR1225" t="str">
        <f>_xlfn.XLOOKUP(emissions[[#This Row],[Reporting unit name]],hierarchy!$A:$A,hierarchy!$C:$C)</f>
        <v>Office</v>
      </c>
    </row>
    <row r="1226" spans="1:44" hidden="1" x14ac:dyDescent="0.25">
      <c r="A1226">
        <v>291078</v>
      </c>
      <c r="B1226" t="s">
        <v>353</v>
      </c>
      <c r="C1226" t="s">
        <v>501</v>
      </c>
      <c r="D1226" t="s">
        <v>548</v>
      </c>
      <c r="E1226" s="3">
        <v>44562</v>
      </c>
      <c r="F1226" s="3">
        <v>44926</v>
      </c>
      <c r="G1226" t="s">
        <v>135</v>
      </c>
      <c r="H1226" s="3">
        <v>44562</v>
      </c>
      <c r="I1226" s="3">
        <v>44926</v>
      </c>
      <c r="J1226" t="s">
        <v>135</v>
      </c>
      <c r="K1226">
        <v>2145812</v>
      </c>
      <c r="L1226" t="s">
        <v>160</v>
      </c>
      <c r="M1226" t="s">
        <v>110</v>
      </c>
      <c r="O1226" t="s">
        <v>904</v>
      </c>
      <c r="P1226" t="s">
        <v>550</v>
      </c>
      <c r="Q1226">
        <v>2022</v>
      </c>
      <c r="R1226" t="s">
        <v>609</v>
      </c>
      <c r="S1226" t="s">
        <v>610</v>
      </c>
      <c r="T1226" t="s">
        <v>577</v>
      </c>
      <c r="U1226" t="b">
        <v>0</v>
      </c>
      <c r="V1226" t="s">
        <v>632</v>
      </c>
      <c r="W1226" t="s">
        <v>571</v>
      </c>
      <c r="X1226" t="s">
        <v>572</v>
      </c>
      <c r="AC1226">
        <v>0</v>
      </c>
      <c r="AD1226" t="s">
        <v>565</v>
      </c>
      <c r="AE1226">
        <v>20865.85254</v>
      </c>
      <c r="AF1226">
        <v>0.34339999999999998</v>
      </c>
      <c r="AG1226" t="s">
        <v>783</v>
      </c>
      <c r="AH1226">
        <v>2.83168E-2</v>
      </c>
      <c r="AI1226">
        <v>60762.529240000003</v>
      </c>
      <c r="AJ1226" t="s">
        <v>561</v>
      </c>
      <c r="AK1226" t="s">
        <v>589</v>
      </c>
      <c r="AL1226" t="s">
        <v>590</v>
      </c>
      <c r="AM1226">
        <v>2022</v>
      </c>
      <c r="AN1226">
        <v>2020</v>
      </c>
      <c r="AO1226">
        <f>IF(AND(emissions[[#This Row],[Market-based]]=0,emissions[[#This Row],[Impact Type]]="CO2E"),emissions[[#This Row],[kgCO2e]],0)/1000</f>
        <v>20.865852539999999</v>
      </c>
      <c r="AP1226">
        <f>IF(AND(emissions[[#This Row],[Market-based]]=1,OR(emissions[[#This Row],[Impact Type]]="CO2E",emissions[[#This Row],[Impact Type]]="CO2E MKT")),emissions[[#This Row],[kgCO2e]],0)/1000</f>
        <v>0</v>
      </c>
      <c r="AQ1226" t="str">
        <f>_xlfn.TEXTAFTER(emissions[[#This Row],[Reporting Unit]]," &gt; ",LEN(emissions[[#This Row],[Reporting Unit]])-LEN(SUBSTITUTE(emissions[[#This Row],[Reporting Unit]],"&gt;","")))</f>
        <v>Vantage_Fairfield</v>
      </c>
      <c r="AR1226" t="str">
        <f>_xlfn.XLOOKUP(emissions[[#This Row],[Reporting unit name]],hierarchy!$A:$A,hierarchy!$C:$C)</f>
        <v>Office</v>
      </c>
    </row>
    <row r="1227" spans="1:44" hidden="1" x14ac:dyDescent="0.25">
      <c r="A1227">
        <v>291078</v>
      </c>
      <c r="B1227" t="s">
        <v>353</v>
      </c>
      <c r="C1227" t="s">
        <v>501</v>
      </c>
      <c r="D1227" t="s">
        <v>548</v>
      </c>
      <c r="E1227" s="3">
        <v>44562</v>
      </c>
      <c r="F1227" s="3">
        <v>44926</v>
      </c>
      <c r="G1227" t="s">
        <v>135</v>
      </c>
      <c r="H1227" s="3">
        <v>44562</v>
      </c>
      <c r="I1227" s="3">
        <v>44926</v>
      </c>
      <c r="J1227" t="s">
        <v>135</v>
      </c>
      <c r="K1227">
        <v>2145812</v>
      </c>
      <c r="L1227" t="s">
        <v>160</v>
      </c>
      <c r="M1227" t="s">
        <v>110</v>
      </c>
      <c r="O1227" t="s">
        <v>904</v>
      </c>
      <c r="P1227" t="s">
        <v>550</v>
      </c>
      <c r="Q1227">
        <v>2022</v>
      </c>
      <c r="R1227" t="s">
        <v>609</v>
      </c>
      <c r="S1227" t="s">
        <v>610</v>
      </c>
      <c r="T1227" t="s">
        <v>577</v>
      </c>
      <c r="U1227" t="b">
        <v>0</v>
      </c>
      <c r="V1227" t="s">
        <v>632</v>
      </c>
      <c r="W1227" t="s">
        <v>571</v>
      </c>
      <c r="X1227" t="s">
        <v>572</v>
      </c>
      <c r="AC1227">
        <v>1</v>
      </c>
      <c r="AD1227" t="s">
        <v>565</v>
      </c>
      <c r="AE1227">
        <v>20865.85254</v>
      </c>
      <c r="AF1227">
        <v>0.34339999999999998</v>
      </c>
      <c r="AG1227" t="s">
        <v>783</v>
      </c>
      <c r="AH1227">
        <v>2.83168E-2</v>
      </c>
      <c r="AI1227">
        <v>60762.529240000003</v>
      </c>
      <c r="AJ1227" t="s">
        <v>561</v>
      </c>
      <c r="AK1227" t="s">
        <v>589</v>
      </c>
      <c r="AL1227" t="s">
        <v>590</v>
      </c>
      <c r="AM1227">
        <v>2022</v>
      </c>
      <c r="AN1227">
        <v>2020</v>
      </c>
      <c r="AO1227">
        <f>IF(AND(emissions[[#This Row],[Market-based]]=0,emissions[[#This Row],[Impact Type]]="CO2E"),emissions[[#This Row],[kgCO2e]],0)/1000</f>
        <v>0</v>
      </c>
      <c r="AP1227">
        <f>IF(AND(emissions[[#This Row],[Market-based]]=1,OR(emissions[[#This Row],[Impact Type]]="CO2E",emissions[[#This Row],[Impact Type]]="CO2E MKT")),emissions[[#This Row],[kgCO2e]],0)/1000</f>
        <v>20.865852539999999</v>
      </c>
      <c r="AQ1227" t="str">
        <f>_xlfn.TEXTAFTER(emissions[[#This Row],[Reporting Unit]]," &gt; ",LEN(emissions[[#This Row],[Reporting Unit]])-LEN(SUBSTITUTE(emissions[[#This Row],[Reporting Unit]],"&gt;","")))</f>
        <v>Vantage_Fairfield</v>
      </c>
      <c r="AR1227" t="str">
        <f>_xlfn.XLOOKUP(emissions[[#This Row],[Reporting unit name]],hierarchy!$A:$A,hierarchy!$C:$C)</f>
        <v>Office</v>
      </c>
    </row>
    <row r="1228" spans="1:44" hidden="1" x14ac:dyDescent="0.25">
      <c r="A1228">
        <v>255495</v>
      </c>
      <c r="B1228" t="s">
        <v>353</v>
      </c>
      <c r="C1228" t="s">
        <v>501</v>
      </c>
      <c r="D1228" t="s">
        <v>548</v>
      </c>
      <c r="E1228" s="3">
        <v>44562</v>
      </c>
      <c r="F1228" s="3">
        <v>44926</v>
      </c>
      <c r="G1228" t="s">
        <v>141</v>
      </c>
      <c r="H1228" s="3">
        <v>44562</v>
      </c>
      <c r="I1228" s="3">
        <v>44926</v>
      </c>
      <c r="J1228" t="s">
        <v>187</v>
      </c>
      <c r="K1228">
        <v>0</v>
      </c>
      <c r="L1228" t="s">
        <v>140</v>
      </c>
      <c r="M1228" t="s">
        <v>110</v>
      </c>
      <c r="O1228" t="s">
        <v>905</v>
      </c>
      <c r="P1228" t="s">
        <v>550</v>
      </c>
      <c r="Q1228">
        <v>2022</v>
      </c>
      <c r="R1228" t="s">
        <v>654</v>
      </c>
      <c r="S1228" t="s">
        <v>655</v>
      </c>
      <c r="T1228" t="s">
        <v>553</v>
      </c>
      <c r="U1228" t="b">
        <v>0</v>
      </c>
      <c r="V1228" t="s">
        <v>656</v>
      </c>
      <c r="W1228" t="s">
        <v>587</v>
      </c>
      <c r="X1228" t="s">
        <v>556</v>
      </c>
      <c r="AC1228">
        <v>0</v>
      </c>
      <c r="AD1228" t="s">
        <v>558</v>
      </c>
      <c r="AE1228">
        <v>0</v>
      </c>
      <c r="AF1228">
        <v>7.6000000000000004E-4</v>
      </c>
      <c r="AG1228" t="s">
        <v>608</v>
      </c>
      <c r="AH1228">
        <v>2.9306999999999998E-4</v>
      </c>
      <c r="AI1228">
        <v>0</v>
      </c>
      <c r="AJ1228" t="s">
        <v>561</v>
      </c>
      <c r="AK1228" t="s">
        <v>589</v>
      </c>
      <c r="AL1228" t="s">
        <v>590</v>
      </c>
      <c r="AM1228">
        <v>2022</v>
      </c>
      <c r="AN1228">
        <v>2020</v>
      </c>
      <c r="AO1228">
        <f>IF(AND(emissions[[#This Row],[Market-based]]=0,emissions[[#This Row],[Impact Type]]="CO2E"),emissions[[#This Row],[kgCO2e]],0)/1000</f>
        <v>0</v>
      </c>
      <c r="AP1228">
        <f>IF(AND(emissions[[#This Row],[Market-based]]=1,OR(emissions[[#This Row],[Impact Type]]="CO2E",emissions[[#This Row],[Impact Type]]="CO2E MKT")),emissions[[#This Row],[kgCO2e]],0)/1000</f>
        <v>0</v>
      </c>
      <c r="AQ1228" t="str">
        <f>_xlfn.TEXTAFTER(emissions[[#This Row],[Reporting Unit]]," &gt; ",LEN(emissions[[#This Row],[Reporting Unit]])-LEN(SUBSTITUTE(emissions[[#This Row],[Reporting Unit]],"&gt;","")))</f>
        <v>Vantage_Fairfield</v>
      </c>
      <c r="AR1228" t="str">
        <f>_xlfn.XLOOKUP(emissions[[#This Row],[Reporting unit name]],hierarchy!$A:$A,hierarchy!$C:$C)</f>
        <v>Office</v>
      </c>
    </row>
    <row r="1229" spans="1:44" hidden="1" x14ac:dyDescent="0.25">
      <c r="A1229">
        <v>255495</v>
      </c>
      <c r="B1229" t="s">
        <v>353</v>
      </c>
      <c r="C1229" t="s">
        <v>501</v>
      </c>
      <c r="D1229" t="s">
        <v>548</v>
      </c>
      <c r="E1229" s="3">
        <v>44562</v>
      </c>
      <c r="F1229" s="3">
        <v>44926</v>
      </c>
      <c r="G1229" t="s">
        <v>141</v>
      </c>
      <c r="H1229" s="3">
        <v>44562</v>
      </c>
      <c r="I1229" s="3">
        <v>44926</v>
      </c>
      <c r="J1229" t="s">
        <v>187</v>
      </c>
      <c r="K1229">
        <v>0</v>
      </c>
      <c r="L1229" t="s">
        <v>140</v>
      </c>
      <c r="M1229" t="s">
        <v>110</v>
      </c>
      <c r="O1229" t="s">
        <v>905</v>
      </c>
      <c r="P1229" t="s">
        <v>550</v>
      </c>
      <c r="Q1229">
        <v>2022</v>
      </c>
      <c r="R1229" t="s">
        <v>654</v>
      </c>
      <c r="S1229" t="s">
        <v>655</v>
      </c>
      <c r="T1229" t="s">
        <v>553</v>
      </c>
      <c r="U1229" t="b">
        <v>0</v>
      </c>
      <c r="V1229" t="s">
        <v>656</v>
      </c>
      <c r="W1229" t="s">
        <v>587</v>
      </c>
      <c r="X1229" t="s">
        <v>556</v>
      </c>
      <c r="AC1229">
        <v>0</v>
      </c>
      <c r="AD1229" t="s">
        <v>564</v>
      </c>
      <c r="AE1229">
        <v>0</v>
      </c>
      <c r="AF1229">
        <v>0.24010999999999999</v>
      </c>
      <c r="AG1229" t="s">
        <v>608</v>
      </c>
      <c r="AH1229">
        <v>2.9306999999999998E-4</v>
      </c>
      <c r="AI1229">
        <v>0</v>
      </c>
      <c r="AJ1229" t="s">
        <v>561</v>
      </c>
      <c r="AK1229" t="s">
        <v>589</v>
      </c>
      <c r="AL1229" t="s">
        <v>590</v>
      </c>
      <c r="AM1229">
        <v>2022</v>
      </c>
      <c r="AN1229">
        <v>2020</v>
      </c>
      <c r="AO1229">
        <f>IF(AND(emissions[[#This Row],[Market-based]]=0,emissions[[#This Row],[Impact Type]]="CO2E"),emissions[[#This Row],[kgCO2e]],0)/1000</f>
        <v>0</v>
      </c>
      <c r="AP1229">
        <f>IF(AND(emissions[[#This Row],[Market-based]]=1,OR(emissions[[#This Row],[Impact Type]]="CO2E",emissions[[#This Row],[Impact Type]]="CO2E MKT")),emissions[[#This Row],[kgCO2e]],0)/1000</f>
        <v>0</v>
      </c>
      <c r="AQ1229" t="str">
        <f>_xlfn.TEXTAFTER(emissions[[#This Row],[Reporting Unit]]," &gt; ",LEN(emissions[[#This Row],[Reporting Unit]])-LEN(SUBSTITUTE(emissions[[#This Row],[Reporting Unit]],"&gt;","")))</f>
        <v>Vantage_Fairfield</v>
      </c>
      <c r="AR1229" t="str">
        <f>_xlfn.XLOOKUP(emissions[[#This Row],[Reporting unit name]],hierarchy!$A:$A,hierarchy!$C:$C)</f>
        <v>Office</v>
      </c>
    </row>
    <row r="1230" spans="1:44" hidden="1" x14ac:dyDescent="0.25">
      <c r="A1230">
        <v>255495</v>
      </c>
      <c r="B1230" t="s">
        <v>353</v>
      </c>
      <c r="C1230" t="s">
        <v>501</v>
      </c>
      <c r="D1230" t="s">
        <v>548</v>
      </c>
      <c r="E1230" s="3">
        <v>44562</v>
      </c>
      <c r="F1230" s="3">
        <v>44926</v>
      </c>
      <c r="G1230" t="s">
        <v>141</v>
      </c>
      <c r="H1230" s="3">
        <v>44562</v>
      </c>
      <c r="I1230" s="3">
        <v>44926</v>
      </c>
      <c r="J1230" t="s">
        <v>187</v>
      </c>
      <c r="K1230">
        <v>0</v>
      </c>
      <c r="L1230" t="s">
        <v>140</v>
      </c>
      <c r="M1230" t="s">
        <v>110</v>
      </c>
      <c r="O1230" t="s">
        <v>905</v>
      </c>
      <c r="P1230" t="s">
        <v>550</v>
      </c>
      <c r="Q1230">
        <v>2022</v>
      </c>
      <c r="R1230" t="s">
        <v>654</v>
      </c>
      <c r="S1230" t="s">
        <v>655</v>
      </c>
      <c r="T1230" t="s">
        <v>553</v>
      </c>
      <c r="U1230" t="b">
        <v>0</v>
      </c>
      <c r="V1230" t="s">
        <v>656</v>
      </c>
      <c r="W1230" t="s">
        <v>587</v>
      </c>
      <c r="X1230" t="s">
        <v>556</v>
      </c>
      <c r="AC1230">
        <v>0</v>
      </c>
      <c r="AD1230" t="s">
        <v>565</v>
      </c>
      <c r="AE1230">
        <v>0</v>
      </c>
      <c r="AF1230">
        <v>0.24156</v>
      </c>
      <c r="AG1230" t="s">
        <v>608</v>
      </c>
      <c r="AH1230">
        <v>2.9306999999999998E-4</v>
      </c>
      <c r="AI1230">
        <v>0</v>
      </c>
      <c r="AJ1230" t="s">
        <v>561</v>
      </c>
      <c r="AK1230" t="s">
        <v>589</v>
      </c>
      <c r="AL1230" t="s">
        <v>590</v>
      </c>
      <c r="AM1230">
        <v>2022</v>
      </c>
      <c r="AN1230">
        <v>2020</v>
      </c>
      <c r="AO1230">
        <f>IF(AND(emissions[[#This Row],[Market-based]]=0,emissions[[#This Row],[Impact Type]]="CO2E"),emissions[[#This Row],[kgCO2e]],0)/1000</f>
        <v>0</v>
      </c>
      <c r="AP1230">
        <f>IF(AND(emissions[[#This Row],[Market-based]]=1,OR(emissions[[#This Row],[Impact Type]]="CO2E",emissions[[#This Row],[Impact Type]]="CO2E MKT")),emissions[[#This Row],[kgCO2e]],0)/1000</f>
        <v>0</v>
      </c>
      <c r="AQ1230" t="str">
        <f>_xlfn.TEXTAFTER(emissions[[#This Row],[Reporting Unit]]," &gt; ",LEN(emissions[[#This Row],[Reporting Unit]])-LEN(SUBSTITUTE(emissions[[#This Row],[Reporting Unit]],"&gt;","")))</f>
        <v>Vantage_Fairfield</v>
      </c>
      <c r="AR1230" t="str">
        <f>_xlfn.XLOOKUP(emissions[[#This Row],[Reporting unit name]],hierarchy!$A:$A,hierarchy!$C:$C)</f>
        <v>Office</v>
      </c>
    </row>
    <row r="1231" spans="1:44" hidden="1" x14ac:dyDescent="0.25">
      <c r="A1231">
        <v>255495</v>
      </c>
      <c r="B1231" t="s">
        <v>353</v>
      </c>
      <c r="C1231" t="s">
        <v>501</v>
      </c>
      <c r="D1231" t="s">
        <v>548</v>
      </c>
      <c r="E1231" s="3">
        <v>44562</v>
      </c>
      <c r="F1231" s="3">
        <v>44926</v>
      </c>
      <c r="G1231" t="s">
        <v>141</v>
      </c>
      <c r="H1231" s="3">
        <v>44562</v>
      </c>
      <c r="I1231" s="3">
        <v>44926</v>
      </c>
      <c r="J1231" t="s">
        <v>187</v>
      </c>
      <c r="K1231">
        <v>0</v>
      </c>
      <c r="L1231" t="s">
        <v>140</v>
      </c>
      <c r="M1231" t="s">
        <v>110</v>
      </c>
      <c r="O1231" t="s">
        <v>905</v>
      </c>
      <c r="P1231" t="s">
        <v>550</v>
      </c>
      <c r="Q1231">
        <v>2022</v>
      </c>
      <c r="R1231" t="s">
        <v>654</v>
      </c>
      <c r="S1231" t="s">
        <v>655</v>
      </c>
      <c r="T1231" t="s">
        <v>553</v>
      </c>
      <c r="U1231" t="b">
        <v>0</v>
      </c>
      <c r="V1231" t="s">
        <v>656</v>
      </c>
      <c r="W1231" t="s">
        <v>587</v>
      </c>
      <c r="X1231" t="s">
        <v>556</v>
      </c>
      <c r="AC1231">
        <v>0</v>
      </c>
      <c r="AD1231" t="s">
        <v>566</v>
      </c>
      <c r="AE1231">
        <v>0</v>
      </c>
      <c r="AF1231">
        <v>6.8999999999999997E-4</v>
      </c>
      <c r="AG1231" t="s">
        <v>608</v>
      </c>
      <c r="AH1231">
        <v>2.9306999999999998E-4</v>
      </c>
      <c r="AI1231">
        <v>0</v>
      </c>
      <c r="AJ1231" t="s">
        <v>561</v>
      </c>
      <c r="AK1231" t="s">
        <v>589</v>
      </c>
      <c r="AL1231" t="s">
        <v>590</v>
      </c>
      <c r="AM1231">
        <v>2022</v>
      </c>
      <c r="AN1231">
        <v>2020</v>
      </c>
      <c r="AO1231">
        <f>IF(AND(emissions[[#This Row],[Market-based]]=0,emissions[[#This Row],[Impact Type]]="CO2E"),emissions[[#This Row],[kgCO2e]],0)/1000</f>
        <v>0</v>
      </c>
      <c r="AP1231">
        <f>IF(AND(emissions[[#This Row],[Market-based]]=1,OR(emissions[[#This Row],[Impact Type]]="CO2E",emissions[[#This Row],[Impact Type]]="CO2E MKT")),emissions[[#This Row],[kgCO2e]],0)/1000</f>
        <v>0</v>
      </c>
      <c r="AQ1231" t="str">
        <f>_xlfn.TEXTAFTER(emissions[[#This Row],[Reporting Unit]]," &gt; ",LEN(emissions[[#This Row],[Reporting Unit]])-LEN(SUBSTITUTE(emissions[[#This Row],[Reporting Unit]],"&gt;","")))</f>
        <v>Vantage_Fairfield</v>
      </c>
      <c r="AR1231" t="str">
        <f>_xlfn.XLOOKUP(emissions[[#This Row],[Reporting unit name]],hierarchy!$A:$A,hierarchy!$C:$C)</f>
        <v>Office</v>
      </c>
    </row>
    <row r="1232" spans="1:44" hidden="1" x14ac:dyDescent="0.25">
      <c r="A1232">
        <v>255495</v>
      </c>
      <c r="B1232" t="s">
        <v>353</v>
      </c>
      <c r="C1232" t="s">
        <v>501</v>
      </c>
      <c r="D1232" t="s">
        <v>548</v>
      </c>
      <c r="E1232" s="3">
        <v>44562</v>
      </c>
      <c r="F1232" s="3">
        <v>44926</v>
      </c>
      <c r="G1232" t="s">
        <v>141</v>
      </c>
      <c r="H1232" s="3">
        <v>44562</v>
      </c>
      <c r="I1232" s="3">
        <v>44926</v>
      </c>
      <c r="J1232" t="s">
        <v>187</v>
      </c>
      <c r="K1232">
        <v>0</v>
      </c>
      <c r="L1232" t="s">
        <v>140</v>
      </c>
      <c r="M1232" t="s">
        <v>110</v>
      </c>
      <c r="O1232" t="s">
        <v>905</v>
      </c>
      <c r="P1232" t="s">
        <v>550</v>
      </c>
      <c r="Q1232">
        <v>2022</v>
      </c>
      <c r="R1232" t="s">
        <v>654</v>
      </c>
      <c r="S1232" t="s">
        <v>655</v>
      </c>
      <c r="T1232" t="s">
        <v>553</v>
      </c>
      <c r="U1232" t="b">
        <v>0</v>
      </c>
      <c r="V1232" t="s">
        <v>656</v>
      </c>
      <c r="W1232" t="s">
        <v>587</v>
      </c>
      <c r="X1232" t="s">
        <v>556</v>
      </c>
      <c r="AC1232">
        <v>1</v>
      </c>
      <c r="AD1232" t="s">
        <v>558</v>
      </c>
      <c r="AE1232">
        <v>0</v>
      </c>
      <c r="AF1232">
        <v>7.6000000000000004E-4</v>
      </c>
      <c r="AG1232" t="s">
        <v>608</v>
      </c>
      <c r="AH1232">
        <v>2.9306999999999998E-4</v>
      </c>
      <c r="AI1232">
        <v>0</v>
      </c>
      <c r="AJ1232" t="s">
        <v>561</v>
      </c>
      <c r="AK1232" t="s">
        <v>589</v>
      </c>
      <c r="AL1232" t="s">
        <v>590</v>
      </c>
      <c r="AM1232">
        <v>2022</v>
      </c>
      <c r="AN1232">
        <v>2020</v>
      </c>
      <c r="AO1232">
        <f>IF(AND(emissions[[#This Row],[Market-based]]=0,emissions[[#This Row],[Impact Type]]="CO2E"),emissions[[#This Row],[kgCO2e]],0)/1000</f>
        <v>0</v>
      </c>
      <c r="AP1232">
        <f>IF(AND(emissions[[#This Row],[Market-based]]=1,OR(emissions[[#This Row],[Impact Type]]="CO2E",emissions[[#This Row],[Impact Type]]="CO2E MKT")),emissions[[#This Row],[kgCO2e]],0)/1000</f>
        <v>0</v>
      </c>
      <c r="AQ1232" t="str">
        <f>_xlfn.TEXTAFTER(emissions[[#This Row],[Reporting Unit]]," &gt; ",LEN(emissions[[#This Row],[Reporting Unit]])-LEN(SUBSTITUTE(emissions[[#This Row],[Reporting Unit]],"&gt;","")))</f>
        <v>Vantage_Fairfield</v>
      </c>
      <c r="AR1232" t="str">
        <f>_xlfn.XLOOKUP(emissions[[#This Row],[Reporting unit name]],hierarchy!$A:$A,hierarchy!$C:$C)</f>
        <v>Office</v>
      </c>
    </row>
    <row r="1233" spans="1:44" hidden="1" x14ac:dyDescent="0.25">
      <c r="A1233">
        <v>255495</v>
      </c>
      <c r="B1233" t="s">
        <v>353</v>
      </c>
      <c r="C1233" t="s">
        <v>501</v>
      </c>
      <c r="D1233" t="s">
        <v>548</v>
      </c>
      <c r="E1233" s="3">
        <v>44562</v>
      </c>
      <c r="F1233" s="3">
        <v>44926</v>
      </c>
      <c r="G1233" t="s">
        <v>141</v>
      </c>
      <c r="H1233" s="3">
        <v>44562</v>
      </c>
      <c r="I1233" s="3">
        <v>44926</v>
      </c>
      <c r="J1233" t="s">
        <v>187</v>
      </c>
      <c r="K1233">
        <v>0</v>
      </c>
      <c r="L1233" t="s">
        <v>140</v>
      </c>
      <c r="M1233" t="s">
        <v>110</v>
      </c>
      <c r="O1233" t="s">
        <v>905</v>
      </c>
      <c r="P1233" t="s">
        <v>550</v>
      </c>
      <c r="Q1233">
        <v>2022</v>
      </c>
      <c r="R1233" t="s">
        <v>654</v>
      </c>
      <c r="S1233" t="s">
        <v>655</v>
      </c>
      <c r="T1233" t="s">
        <v>553</v>
      </c>
      <c r="U1233" t="b">
        <v>0</v>
      </c>
      <c r="V1233" t="s">
        <v>656</v>
      </c>
      <c r="W1233" t="s">
        <v>587</v>
      </c>
      <c r="X1233" t="s">
        <v>556</v>
      </c>
      <c r="AC1233">
        <v>1</v>
      </c>
      <c r="AD1233" t="s">
        <v>564</v>
      </c>
      <c r="AE1233">
        <v>0</v>
      </c>
      <c r="AF1233">
        <v>0.24010999999999999</v>
      </c>
      <c r="AG1233" t="s">
        <v>608</v>
      </c>
      <c r="AH1233">
        <v>2.9306999999999998E-4</v>
      </c>
      <c r="AI1233">
        <v>0</v>
      </c>
      <c r="AJ1233" t="s">
        <v>561</v>
      </c>
      <c r="AK1233" t="s">
        <v>589</v>
      </c>
      <c r="AL1233" t="s">
        <v>590</v>
      </c>
      <c r="AM1233">
        <v>2022</v>
      </c>
      <c r="AN1233">
        <v>2020</v>
      </c>
      <c r="AO1233">
        <f>IF(AND(emissions[[#This Row],[Market-based]]=0,emissions[[#This Row],[Impact Type]]="CO2E"),emissions[[#This Row],[kgCO2e]],0)/1000</f>
        <v>0</v>
      </c>
      <c r="AP1233">
        <f>IF(AND(emissions[[#This Row],[Market-based]]=1,OR(emissions[[#This Row],[Impact Type]]="CO2E",emissions[[#This Row],[Impact Type]]="CO2E MKT")),emissions[[#This Row],[kgCO2e]],0)/1000</f>
        <v>0</v>
      </c>
      <c r="AQ1233" t="str">
        <f>_xlfn.TEXTAFTER(emissions[[#This Row],[Reporting Unit]]," &gt; ",LEN(emissions[[#This Row],[Reporting Unit]])-LEN(SUBSTITUTE(emissions[[#This Row],[Reporting Unit]],"&gt;","")))</f>
        <v>Vantage_Fairfield</v>
      </c>
      <c r="AR1233" t="str">
        <f>_xlfn.XLOOKUP(emissions[[#This Row],[Reporting unit name]],hierarchy!$A:$A,hierarchy!$C:$C)</f>
        <v>Office</v>
      </c>
    </row>
    <row r="1234" spans="1:44" hidden="1" x14ac:dyDescent="0.25">
      <c r="A1234">
        <v>255495</v>
      </c>
      <c r="B1234" t="s">
        <v>353</v>
      </c>
      <c r="C1234" t="s">
        <v>501</v>
      </c>
      <c r="D1234" t="s">
        <v>548</v>
      </c>
      <c r="E1234" s="3">
        <v>44562</v>
      </c>
      <c r="F1234" s="3">
        <v>44926</v>
      </c>
      <c r="G1234" t="s">
        <v>141</v>
      </c>
      <c r="H1234" s="3">
        <v>44562</v>
      </c>
      <c r="I1234" s="3">
        <v>44926</v>
      </c>
      <c r="J1234" t="s">
        <v>187</v>
      </c>
      <c r="K1234">
        <v>0</v>
      </c>
      <c r="L1234" t="s">
        <v>140</v>
      </c>
      <c r="M1234" t="s">
        <v>110</v>
      </c>
      <c r="O1234" t="s">
        <v>905</v>
      </c>
      <c r="P1234" t="s">
        <v>550</v>
      </c>
      <c r="Q1234">
        <v>2022</v>
      </c>
      <c r="R1234" t="s">
        <v>654</v>
      </c>
      <c r="S1234" t="s">
        <v>655</v>
      </c>
      <c r="T1234" t="s">
        <v>553</v>
      </c>
      <c r="U1234" t="b">
        <v>0</v>
      </c>
      <c r="V1234" t="s">
        <v>656</v>
      </c>
      <c r="W1234" t="s">
        <v>587</v>
      </c>
      <c r="X1234" t="s">
        <v>556</v>
      </c>
      <c r="AC1234">
        <v>1</v>
      </c>
      <c r="AD1234" t="s">
        <v>565</v>
      </c>
      <c r="AE1234">
        <v>0</v>
      </c>
      <c r="AF1234">
        <v>0.24156</v>
      </c>
      <c r="AG1234" t="s">
        <v>608</v>
      </c>
      <c r="AH1234">
        <v>2.9306999999999998E-4</v>
      </c>
      <c r="AI1234">
        <v>0</v>
      </c>
      <c r="AJ1234" t="s">
        <v>561</v>
      </c>
      <c r="AK1234" t="s">
        <v>589</v>
      </c>
      <c r="AL1234" t="s">
        <v>590</v>
      </c>
      <c r="AM1234">
        <v>2022</v>
      </c>
      <c r="AN1234">
        <v>2020</v>
      </c>
      <c r="AO1234">
        <f>IF(AND(emissions[[#This Row],[Market-based]]=0,emissions[[#This Row],[Impact Type]]="CO2E"),emissions[[#This Row],[kgCO2e]],0)/1000</f>
        <v>0</v>
      </c>
      <c r="AP1234">
        <f>IF(AND(emissions[[#This Row],[Market-based]]=1,OR(emissions[[#This Row],[Impact Type]]="CO2E",emissions[[#This Row],[Impact Type]]="CO2E MKT")),emissions[[#This Row],[kgCO2e]],0)/1000</f>
        <v>0</v>
      </c>
      <c r="AQ1234" t="str">
        <f>_xlfn.TEXTAFTER(emissions[[#This Row],[Reporting Unit]]," &gt; ",LEN(emissions[[#This Row],[Reporting Unit]])-LEN(SUBSTITUTE(emissions[[#This Row],[Reporting Unit]],"&gt;","")))</f>
        <v>Vantage_Fairfield</v>
      </c>
      <c r="AR1234" t="str">
        <f>_xlfn.XLOOKUP(emissions[[#This Row],[Reporting unit name]],hierarchy!$A:$A,hierarchy!$C:$C)</f>
        <v>Office</v>
      </c>
    </row>
    <row r="1235" spans="1:44" hidden="1" x14ac:dyDescent="0.25">
      <c r="A1235">
        <v>255495</v>
      </c>
      <c r="B1235" t="s">
        <v>353</v>
      </c>
      <c r="C1235" t="s">
        <v>501</v>
      </c>
      <c r="D1235" t="s">
        <v>548</v>
      </c>
      <c r="E1235" s="3">
        <v>44562</v>
      </c>
      <c r="F1235" s="3">
        <v>44926</v>
      </c>
      <c r="G1235" t="s">
        <v>141</v>
      </c>
      <c r="H1235" s="3">
        <v>44562</v>
      </c>
      <c r="I1235" s="3">
        <v>44926</v>
      </c>
      <c r="J1235" t="s">
        <v>187</v>
      </c>
      <c r="K1235">
        <v>0</v>
      </c>
      <c r="L1235" t="s">
        <v>140</v>
      </c>
      <c r="M1235" t="s">
        <v>110</v>
      </c>
      <c r="O1235" t="s">
        <v>905</v>
      </c>
      <c r="P1235" t="s">
        <v>550</v>
      </c>
      <c r="Q1235">
        <v>2022</v>
      </c>
      <c r="R1235" t="s">
        <v>654</v>
      </c>
      <c r="S1235" t="s">
        <v>655</v>
      </c>
      <c r="T1235" t="s">
        <v>553</v>
      </c>
      <c r="U1235" t="b">
        <v>0</v>
      </c>
      <c r="V1235" t="s">
        <v>656</v>
      </c>
      <c r="W1235" t="s">
        <v>587</v>
      </c>
      <c r="X1235" t="s">
        <v>556</v>
      </c>
      <c r="AC1235">
        <v>1</v>
      </c>
      <c r="AD1235" t="s">
        <v>566</v>
      </c>
      <c r="AE1235">
        <v>0</v>
      </c>
      <c r="AF1235">
        <v>6.8999999999999997E-4</v>
      </c>
      <c r="AG1235" t="s">
        <v>608</v>
      </c>
      <c r="AH1235">
        <v>2.9306999999999998E-4</v>
      </c>
      <c r="AI1235">
        <v>0</v>
      </c>
      <c r="AJ1235" t="s">
        <v>561</v>
      </c>
      <c r="AK1235" t="s">
        <v>589</v>
      </c>
      <c r="AL1235" t="s">
        <v>590</v>
      </c>
      <c r="AM1235">
        <v>2022</v>
      </c>
      <c r="AN1235">
        <v>2020</v>
      </c>
      <c r="AO1235">
        <f>IF(AND(emissions[[#This Row],[Market-based]]=0,emissions[[#This Row],[Impact Type]]="CO2E"),emissions[[#This Row],[kgCO2e]],0)/1000</f>
        <v>0</v>
      </c>
      <c r="AP1235">
        <f>IF(AND(emissions[[#This Row],[Market-based]]=1,OR(emissions[[#This Row],[Impact Type]]="CO2E",emissions[[#This Row],[Impact Type]]="CO2E MKT")),emissions[[#This Row],[kgCO2e]],0)/1000</f>
        <v>0</v>
      </c>
      <c r="AQ1235" t="str">
        <f>_xlfn.TEXTAFTER(emissions[[#This Row],[Reporting Unit]]," &gt; ",LEN(emissions[[#This Row],[Reporting Unit]])-LEN(SUBSTITUTE(emissions[[#This Row],[Reporting Unit]],"&gt;","")))</f>
        <v>Vantage_Fairfield</v>
      </c>
      <c r="AR1235" t="str">
        <f>_xlfn.XLOOKUP(emissions[[#This Row],[Reporting unit name]],hierarchy!$A:$A,hierarchy!$C:$C)</f>
        <v>Office</v>
      </c>
    </row>
    <row r="1236" spans="1:44" hidden="1" x14ac:dyDescent="0.25">
      <c r="A1236">
        <v>255495</v>
      </c>
      <c r="B1236" t="s">
        <v>353</v>
      </c>
      <c r="C1236" t="s">
        <v>501</v>
      </c>
      <c r="D1236" t="s">
        <v>548</v>
      </c>
      <c r="E1236" s="3">
        <v>44562</v>
      </c>
      <c r="F1236" s="3">
        <v>44926</v>
      </c>
      <c r="G1236" t="s">
        <v>141</v>
      </c>
      <c r="H1236" s="3">
        <v>44562</v>
      </c>
      <c r="I1236" s="3">
        <v>44926</v>
      </c>
      <c r="J1236" t="s">
        <v>187</v>
      </c>
      <c r="K1236">
        <v>0</v>
      </c>
      <c r="L1236" t="s">
        <v>140</v>
      </c>
      <c r="M1236" t="s">
        <v>110</v>
      </c>
      <c r="O1236" t="s">
        <v>905</v>
      </c>
      <c r="P1236" t="s">
        <v>550</v>
      </c>
      <c r="Q1236">
        <v>2022</v>
      </c>
      <c r="R1236" t="s">
        <v>657</v>
      </c>
      <c r="S1236" t="s">
        <v>658</v>
      </c>
      <c r="T1236" t="s">
        <v>577</v>
      </c>
      <c r="U1236" t="b">
        <v>0</v>
      </c>
      <c r="V1236" t="s">
        <v>906</v>
      </c>
      <c r="W1236" t="s">
        <v>571</v>
      </c>
      <c r="X1236" t="s">
        <v>572</v>
      </c>
      <c r="AC1236">
        <v>0</v>
      </c>
      <c r="AD1236" t="s">
        <v>565</v>
      </c>
      <c r="AE1236">
        <v>0</v>
      </c>
      <c r="AF1236">
        <v>6.2239999999999997E-2</v>
      </c>
      <c r="AG1236" t="s">
        <v>608</v>
      </c>
      <c r="AH1236">
        <v>2.9306999999999998E-4</v>
      </c>
      <c r="AI1236">
        <v>0</v>
      </c>
      <c r="AJ1236" t="s">
        <v>561</v>
      </c>
      <c r="AK1236" t="s">
        <v>589</v>
      </c>
      <c r="AL1236" t="s">
        <v>590</v>
      </c>
      <c r="AM1236">
        <v>2022</v>
      </c>
      <c r="AN1236">
        <v>2020</v>
      </c>
      <c r="AO1236">
        <f>IF(AND(emissions[[#This Row],[Market-based]]=0,emissions[[#This Row],[Impact Type]]="CO2E"),emissions[[#This Row],[kgCO2e]],0)/1000</f>
        <v>0</v>
      </c>
      <c r="AP1236">
        <f>IF(AND(emissions[[#This Row],[Market-based]]=1,OR(emissions[[#This Row],[Impact Type]]="CO2E",emissions[[#This Row],[Impact Type]]="CO2E MKT")),emissions[[#This Row],[kgCO2e]],0)/1000</f>
        <v>0</v>
      </c>
      <c r="AQ1236" t="str">
        <f>_xlfn.TEXTAFTER(emissions[[#This Row],[Reporting Unit]]," &gt; ",LEN(emissions[[#This Row],[Reporting Unit]])-LEN(SUBSTITUTE(emissions[[#This Row],[Reporting Unit]],"&gt;","")))</f>
        <v>Vantage_Fairfield</v>
      </c>
      <c r="AR1236" t="str">
        <f>_xlfn.XLOOKUP(emissions[[#This Row],[Reporting unit name]],hierarchy!$A:$A,hierarchy!$C:$C)</f>
        <v>Office</v>
      </c>
    </row>
    <row r="1237" spans="1:44" hidden="1" x14ac:dyDescent="0.25">
      <c r="A1237">
        <v>255495</v>
      </c>
      <c r="B1237" t="s">
        <v>353</v>
      </c>
      <c r="C1237" t="s">
        <v>501</v>
      </c>
      <c r="D1237" t="s">
        <v>548</v>
      </c>
      <c r="E1237" s="3">
        <v>44562</v>
      </c>
      <c r="F1237" s="3">
        <v>44926</v>
      </c>
      <c r="G1237" t="s">
        <v>141</v>
      </c>
      <c r="H1237" s="3">
        <v>44562</v>
      </c>
      <c r="I1237" s="3">
        <v>44926</v>
      </c>
      <c r="J1237" t="s">
        <v>187</v>
      </c>
      <c r="K1237">
        <v>0</v>
      </c>
      <c r="L1237" t="s">
        <v>140</v>
      </c>
      <c r="M1237" t="s">
        <v>110</v>
      </c>
      <c r="O1237" t="s">
        <v>905</v>
      </c>
      <c r="P1237" t="s">
        <v>550</v>
      </c>
      <c r="Q1237">
        <v>2022</v>
      </c>
      <c r="R1237" t="s">
        <v>657</v>
      </c>
      <c r="S1237" t="s">
        <v>658</v>
      </c>
      <c r="T1237" t="s">
        <v>577</v>
      </c>
      <c r="U1237" t="b">
        <v>0</v>
      </c>
      <c r="V1237" t="s">
        <v>906</v>
      </c>
      <c r="W1237" t="s">
        <v>571</v>
      </c>
      <c r="X1237" t="s">
        <v>572</v>
      </c>
      <c r="AC1237">
        <v>1</v>
      </c>
      <c r="AD1237" t="s">
        <v>565</v>
      </c>
      <c r="AE1237">
        <v>0</v>
      </c>
      <c r="AF1237">
        <v>6.2239999999999997E-2</v>
      </c>
      <c r="AG1237" t="s">
        <v>608</v>
      </c>
      <c r="AH1237">
        <v>2.9306999999999998E-4</v>
      </c>
      <c r="AI1237">
        <v>0</v>
      </c>
      <c r="AJ1237" t="s">
        <v>561</v>
      </c>
      <c r="AK1237" t="s">
        <v>589</v>
      </c>
      <c r="AL1237" t="s">
        <v>590</v>
      </c>
      <c r="AM1237">
        <v>2022</v>
      </c>
      <c r="AN1237">
        <v>2020</v>
      </c>
      <c r="AO1237">
        <f>IF(AND(emissions[[#This Row],[Market-based]]=0,emissions[[#This Row],[Impact Type]]="CO2E"),emissions[[#This Row],[kgCO2e]],0)/1000</f>
        <v>0</v>
      </c>
      <c r="AP1237">
        <f>IF(AND(emissions[[#This Row],[Market-based]]=1,OR(emissions[[#This Row],[Impact Type]]="CO2E",emissions[[#This Row],[Impact Type]]="CO2E MKT")),emissions[[#This Row],[kgCO2e]],0)/1000</f>
        <v>0</v>
      </c>
      <c r="AQ1237" t="str">
        <f>_xlfn.TEXTAFTER(emissions[[#This Row],[Reporting Unit]]," &gt; ",LEN(emissions[[#This Row],[Reporting Unit]])-LEN(SUBSTITUTE(emissions[[#This Row],[Reporting Unit]],"&gt;","")))</f>
        <v>Vantage_Fairfield</v>
      </c>
      <c r="AR1237" t="str">
        <f>_xlfn.XLOOKUP(emissions[[#This Row],[Reporting unit name]],hierarchy!$A:$A,hierarchy!$C:$C)</f>
        <v>Office</v>
      </c>
    </row>
    <row r="1238" spans="1:44" hidden="1" x14ac:dyDescent="0.25">
      <c r="A1238">
        <v>255497</v>
      </c>
      <c r="B1238" t="s">
        <v>353</v>
      </c>
      <c r="C1238" t="s">
        <v>501</v>
      </c>
      <c r="D1238" t="s">
        <v>548</v>
      </c>
      <c r="E1238" s="3">
        <v>44562</v>
      </c>
      <c r="F1238" s="3">
        <v>44926</v>
      </c>
      <c r="G1238" t="s">
        <v>116</v>
      </c>
      <c r="H1238" s="3">
        <v>44562</v>
      </c>
      <c r="I1238" s="3">
        <v>44926</v>
      </c>
      <c r="J1238" t="s">
        <v>359</v>
      </c>
      <c r="K1238">
        <v>0</v>
      </c>
      <c r="L1238" t="s">
        <v>215</v>
      </c>
      <c r="M1238" t="s">
        <v>110</v>
      </c>
      <c r="N1238" t="s">
        <v>361</v>
      </c>
      <c r="O1238" t="s">
        <v>907</v>
      </c>
      <c r="P1238" t="s">
        <v>550</v>
      </c>
      <c r="Q1238">
        <v>2022</v>
      </c>
      <c r="R1238" t="s">
        <v>908</v>
      </c>
      <c r="S1238" t="s">
        <v>359</v>
      </c>
      <c r="T1238" t="s">
        <v>553</v>
      </c>
      <c r="U1238" t="b">
        <v>0</v>
      </c>
      <c r="V1238" t="s">
        <v>909</v>
      </c>
      <c r="W1238" t="s">
        <v>587</v>
      </c>
      <c r="X1238" t="s">
        <v>556</v>
      </c>
      <c r="AC1238">
        <v>0</v>
      </c>
      <c r="AD1238" t="s">
        <v>565</v>
      </c>
      <c r="AE1238">
        <v>0</v>
      </c>
      <c r="AF1238">
        <v>92</v>
      </c>
      <c r="AG1238" t="s">
        <v>622</v>
      </c>
      <c r="AH1238">
        <v>0.45359291000000002</v>
      </c>
      <c r="AI1238">
        <v>0</v>
      </c>
      <c r="AJ1238" t="s">
        <v>561</v>
      </c>
      <c r="AK1238" t="s">
        <v>623</v>
      </c>
      <c r="AL1238" t="s">
        <v>624</v>
      </c>
      <c r="AM1238">
        <v>2022</v>
      </c>
      <c r="AN1238">
        <v>2007</v>
      </c>
      <c r="AO1238">
        <f>IF(AND(emissions[[#This Row],[Market-based]]=0,emissions[[#This Row],[Impact Type]]="CO2E"),emissions[[#This Row],[kgCO2e]],0)/1000</f>
        <v>0</v>
      </c>
      <c r="AP1238">
        <f>IF(AND(emissions[[#This Row],[Market-based]]=1,OR(emissions[[#This Row],[Impact Type]]="CO2E",emissions[[#This Row],[Impact Type]]="CO2E MKT")),emissions[[#This Row],[kgCO2e]],0)/1000</f>
        <v>0</v>
      </c>
      <c r="AQ1238" t="str">
        <f>_xlfn.TEXTAFTER(emissions[[#This Row],[Reporting Unit]]," &gt; ",LEN(emissions[[#This Row],[Reporting Unit]])-LEN(SUBSTITUTE(emissions[[#This Row],[Reporting Unit]],"&gt;","")))</f>
        <v>Vantage_Fairfield</v>
      </c>
      <c r="AR1238" t="str">
        <f>_xlfn.XLOOKUP(emissions[[#This Row],[Reporting unit name]],hierarchy!$A:$A,hierarchy!$C:$C)</f>
        <v>Office</v>
      </c>
    </row>
    <row r="1239" spans="1:44" hidden="1" x14ac:dyDescent="0.25">
      <c r="A1239">
        <v>255497</v>
      </c>
      <c r="B1239" t="s">
        <v>353</v>
      </c>
      <c r="C1239" t="s">
        <v>501</v>
      </c>
      <c r="D1239" t="s">
        <v>548</v>
      </c>
      <c r="E1239" s="3">
        <v>44562</v>
      </c>
      <c r="F1239" s="3">
        <v>44926</v>
      </c>
      <c r="G1239" t="s">
        <v>116</v>
      </c>
      <c r="H1239" s="3">
        <v>44562</v>
      </c>
      <c r="I1239" s="3">
        <v>44926</v>
      </c>
      <c r="J1239" t="s">
        <v>359</v>
      </c>
      <c r="K1239">
        <v>0</v>
      </c>
      <c r="L1239" t="s">
        <v>215</v>
      </c>
      <c r="M1239" t="s">
        <v>110</v>
      </c>
      <c r="N1239" t="s">
        <v>361</v>
      </c>
      <c r="O1239" t="s">
        <v>907</v>
      </c>
      <c r="P1239" t="s">
        <v>550</v>
      </c>
      <c r="Q1239">
        <v>2022</v>
      </c>
      <c r="R1239" t="s">
        <v>908</v>
      </c>
      <c r="S1239" t="s">
        <v>359</v>
      </c>
      <c r="T1239" t="s">
        <v>553</v>
      </c>
      <c r="U1239" t="b">
        <v>0</v>
      </c>
      <c r="V1239" t="s">
        <v>909</v>
      </c>
      <c r="W1239" t="s">
        <v>587</v>
      </c>
      <c r="X1239" t="s">
        <v>556</v>
      </c>
      <c r="AC1239">
        <v>1</v>
      </c>
      <c r="AD1239" t="s">
        <v>565</v>
      </c>
      <c r="AE1239">
        <v>0</v>
      </c>
      <c r="AF1239">
        <v>92</v>
      </c>
      <c r="AG1239" t="s">
        <v>622</v>
      </c>
      <c r="AH1239">
        <v>0.45359291000000002</v>
      </c>
      <c r="AI1239">
        <v>0</v>
      </c>
      <c r="AJ1239" t="s">
        <v>561</v>
      </c>
      <c r="AK1239" t="s">
        <v>623</v>
      </c>
      <c r="AL1239" t="s">
        <v>624</v>
      </c>
      <c r="AM1239">
        <v>2022</v>
      </c>
      <c r="AN1239">
        <v>2007</v>
      </c>
      <c r="AO1239">
        <f>IF(AND(emissions[[#This Row],[Market-based]]=0,emissions[[#This Row],[Impact Type]]="CO2E"),emissions[[#This Row],[kgCO2e]],0)/1000</f>
        <v>0</v>
      </c>
      <c r="AP1239">
        <f>IF(AND(emissions[[#This Row],[Market-based]]=1,OR(emissions[[#This Row],[Impact Type]]="CO2E",emissions[[#This Row],[Impact Type]]="CO2E MKT")),emissions[[#This Row],[kgCO2e]],0)/1000</f>
        <v>0</v>
      </c>
      <c r="AQ1239" t="str">
        <f>_xlfn.TEXTAFTER(emissions[[#This Row],[Reporting Unit]]," &gt; ",LEN(emissions[[#This Row],[Reporting Unit]])-LEN(SUBSTITUTE(emissions[[#This Row],[Reporting Unit]],"&gt;","")))</f>
        <v>Vantage_Fairfield</v>
      </c>
      <c r="AR1239" t="str">
        <f>_xlfn.XLOOKUP(emissions[[#This Row],[Reporting unit name]],hierarchy!$A:$A,hierarchy!$C:$C)</f>
        <v>Office</v>
      </c>
    </row>
    <row r="1240" spans="1:44" ht="165" hidden="1" x14ac:dyDescent="0.25">
      <c r="A1240">
        <v>294645</v>
      </c>
      <c r="B1240" t="s">
        <v>353</v>
      </c>
      <c r="C1240" t="s">
        <v>501</v>
      </c>
      <c r="D1240" t="s">
        <v>548</v>
      </c>
      <c r="E1240" s="3">
        <v>44562</v>
      </c>
      <c r="F1240" s="3">
        <v>44926</v>
      </c>
      <c r="G1240" t="s">
        <v>116</v>
      </c>
      <c r="H1240" s="3">
        <v>44562</v>
      </c>
      <c r="I1240" s="3">
        <v>44926</v>
      </c>
      <c r="J1240" t="s">
        <v>175</v>
      </c>
      <c r="K1240">
        <v>11.6</v>
      </c>
      <c r="L1240" t="s">
        <v>215</v>
      </c>
      <c r="M1240" t="s">
        <v>82</v>
      </c>
      <c r="N1240" s="14" t="s">
        <v>363</v>
      </c>
      <c r="O1240" t="s">
        <v>910</v>
      </c>
      <c r="P1240" t="s">
        <v>550</v>
      </c>
      <c r="Q1240">
        <v>2022</v>
      </c>
      <c r="R1240" t="s">
        <v>664</v>
      </c>
      <c r="S1240" t="s">
        <v>175</v>
      </c>
      <c r="T1240" t="s">
        <v>553</v>
      </c>
      <c r="U1240" t="b">
        <v>0</v>
      </c>
      <c r="V1240" t="s">
        <v>665</v>
      </c>
      <c r="W1240" t="s">
        <v>587</v>
      </c>
      <c r="X1240" t="s">
        <v>556</v>
      </c>
      <c r="AC1240">
        <v>0</v>
      </c>
      <c r="AD1240" t="s">
        <v>565</v>
      </c>
      <c r="AE1240">
        <v>10986.38315</v>
      </c>
      <c r="AF1240">
        <v>2088</v>
      </c>
      <c r="AG1240" t="s">
        <v>622</v>
      </c>
      <c r="AH1240">
        <v>0.45359291000000002</v>
      </c>
      <c r="AI1240">
        <v>5.2616777600000004</v>
      </c>
      <c r="AJ1240" t="s">
        <v>561</v>
      </c>
      <c r="AK1240" t="s">
        <v>623</v>
      </c>
      <c r="AL1240" t="s">
        <v>624</v>
      </c>
      <c r="AM1240">
        <v>2022</v>
      </c>
      <c r="AN1240">
        <v>2007</v>
      </c>
      <c r="AO1240">
        <f>IF(AND(emissions[[#This Row],[Market-based]]=0,emissions[[#This Row],[Impact Type]]="CO2E"),emissions[[#This Row],[kgCO2e]],0)/1000</f>
        <v>10.98638315</v>
      </c>
      <c r="AP1240">
        <f>IF(AND(emissions[[#This Row],[Market-based]]=1,OR(emissions[[#This Row],[Impact Type]]="CO2E",emissions[[#This Row],[Impact Type]]="CO2E MKT")),emissions[[#This Row],[kgCO2e]],0)/1000</f>
        <v>0</v>
      </c>
      <c r="AQ1240" t="str">
        <f>_xlfn.TEXTAFTER(emissions[[#This Row],[Reporting Unit]]," &gt; ",LEN(emissions[[#This Row],[Reporting Unit]])-LEN(SUBSTITUTE(emissions[[#This Row],[Reporting Unit]],"&gt;","")))</f>
        <v>Vantage_Fairfield</v>
      </c>
      <c r="AR1240" t="str">
        <f>_xlfn.XLOOKUP(emissions[[#This Row],[Reporting unit name]],hierarchy!$A:$A,hierarchy!$C:$C)</f>
        <v>Office</v>
      </c>
    </row>
    <row r="1241" spans="1:44" ht="165" hidden="1" x14ac:dyDescent="0.25">
      <c r="A1241">
        <v>294645</v>
      </c>
      <c r="B1241" t="s">
        <v>353</v>
      </c>
      <c r="C1241" t="s">
        <v>501</v>
      </c>
      <c r="D1241" t="s">
        <v>548</v>
      </c>
      <c r="E1241" s="3">
        <v>44562</v>
      </c>
      <c r="F1241" s="3">
        <v>44926</v>
      </c>
      <c r="G1241" t="s">
        <v>116</v>
      </c>
      <c r="H1241" s="3">
        <v>44562</v>
      </c>
      <c r="I1241" s="3">
        <v>44926</v>
      </c>
      <c r="J1241" t="s">
        <v>175</v>
      </c>
      <c r="K1241">
        <v>11.6</v>
      </c>
      <c r="L1241" t="s">
        <v>215</v>
      </c>
      <c r="M1241" t="s">
        <v>82</v>
      </c>
      <c r="N1241" s="14" t="s">
        <v>363</v>
      </c>
      <c r="O1241" t="s">
        <v>910</v>
      </c>
      <c r="P1241" t="s">
        <v>550</v>
      </c>
      <c r="Q1241">
        <v>2022</v>
      </c>
      <c r="R1241" t="s">
        <v>664</v>
      </c>
      <c r="S1241" t="s">
        <v>175</v>
      </c>
      <c r="T1241" t="s">
        <v>553</v>
      </c>
      <c r="U1241" t="b">
        <v>0</v>
      </c>
      <c r="V1241" t="s">
        <v>665</v>
      </c>
      <c r="W1241" t="s">
        <v>587</v>
      </c>
      <c r="X1241" t="s">
        <v>556</v>
      </c>
      <c r="AC1241">
        <v>1</v>
      </c>
      <c r="AD1241" t="s">
        <v>565</v>
      </c>
      <c r="AE1241">
        <v>10986.38315</v>
      </c>
      <c r="AF1241">
        <v>2088</v>
      </c>
      <c r="AG1241" t="s">
        <v>622</v>
      </c>
      <c r="AH1241">
        <v>0.45359291000000002</v>
      </c>
      <c r="AI1241">
        <v>5.2616777600000004</v>
      </c>
      <c r="AJ1241" t="s">
        <v>561</v>
      </c>
      <c r="AK1241" t="s">
        <v>623</v>
      </c>
      <c r="AL1241" t="s">
        <v>624</v>
      </c>
      <c r="AM1241">
        <v>2022</v>
      </c>
      <c r="AN1241">
        <v>2007</v>
      </c>
      <c r="AO1241">
        <f>IF(AND(emissions[[#This Row],[Market-based]]=0,emissions[[#This Row],[Impact Type]]="CO2E"),emissions[[#This Row],[kgCO2e]],0)/1000</f>
        <v>0</v>
      </c>
      <c r="AP1241">
        <f>IF(AND(emissions[[#This Row],[Market-based]]=1,OR(emissions[[#This Row],[Impact Type]]="CO2E",emissions[[#This Row],[Impact Type]]="CO2E MKT")),emissions[[#This Row],[kgCO2e]],0)/1000</f>
        <v>10.98638315</v>
      </c>
      <c r="AQ1241" t="str">
        <f>_xlfn.TEXTAFTER(emissions[[#This Row],[Reporting Unit]]," &gt; ",LEN(emissions[[#This Row],[Reporting Unit]])-LEN(SUBSTITUTE(emissions[[#This Row],[Reporting Unit]],"&gt;","")))</f>
        <v>Vantage_Fairfield</v>
      </c>
      <c r="AR1241" t="str">
        <f>_xlfn.XLOOKUP(emissions[[#This Row],[Reporting unit name]],hierarchy!$A:$A,hierarchy!$C:$C)</f>
        <v>Office</v>
      </c>
    </row>
    <row r="1242" spans="1:44" hidden="1" x14ac:dyDescent="0.25">
      <c r="A1242">
        <v>284000</v>
      </c>
      <c r="B1242" t="s">
        <v>353</v>
      </c>
      <c r="C1242" t="s">
        <v>501</v>
      </c>
      <c r="D1242" t="s">
        <v>548</v>
      </c>
      <c r="E1242" s="3">
        <v>44562</v>
      </c>
      <c r="F1242" s="3">
        <v>44926</v>
      </c>
      <c r="G1242" t="s">
        <v>121</v>
      </c>
      <c r="H1242" s="3">
        <v>44562</v>
      </c>
      <c r="I1242" s="3">
        <v>44926</v>
      </c>
      <c r="J1242" t="s">
        <v>150</v>
      </c>
      <c r="K1242">
        <v>0</v>
      </c>
      <c r="L1242" t="s">
        <v>207</v>
      </c>
      <c r="M1242" t="s">
        <v>110</v>
      </c>
      <c r="O1242" t="s">
        <v>911</v>
      </c>
      <c r="P1242" t="s">
        <v>550</v>
      </c>
      <c r="Q1242">
        <v>2022</v>
      </c>
      <c r="R1242" t="s">
        <v>594</v>
      </c>
      <c r="S1242" t="s">
        <v>150</v>
      </c>
      <c r="T1242" t="s">
        <v>553</v>
      </c>
      <c r="U1242" t="b">
        <v>0</v>
      </c>
      <c r="V1242" t="s">
        <v>789</v>
      </c>
      <c r="W1242" t="s">
        <v>587</v>
      </c>
      <c r="X1242" t="s">
        <v>556</v>
      </c>
      <c r="Y1242" t="s">
        <v>472</v>
      </c>
      <c r="Z1242" t="s">
        <v>485</v>
      </c>
      <c r="AA1242" t="s">
        <v>764</v>
      </c>
      <c r="AC1242">
        <v>0</v>
      </c>
      <c r="AD1242" t="s">
        <v>558</v>
      </c>
      <c r="AE1242">
        <v>0</v>
      </c>
      <c r="AF1242">
        <v>7.4999999999999997E-2</v>
      </c>
      <c r="AG1242" t="s">
        <v>798</v>
      </c>
      <c r="AH1242">
        <v>0.94781711999999996</v>
      </c>
      <c r="AI1242">
        <v>0</v>
      </c>
      <c r="AJ1242" t="s">
        <v>561</v>
      </c>
      <c r="AK1242" t="s">
        <v>766</v>
      </c>
      <c r="AL1242" t="s">
        <v>767</v>
      </c>
      <c r="AM1242">
        <v>2022</v>
      </c>
      <c r="AN1242">
        <v>2022</v>
      </c>
      <c r="AO1242">
        <f>IF(AND(emissions[[#This Row],[Market-based]]=0,emissions[[#This Row],[Impact Type]]="CO2E"),emissions[[#This Row],[kgCO2e]],0)/1000</f>
        <v>0</v>
      </c>
      <c r="AP1242">
        <f>IF(AND(emissions[[#This Row],[Market-based]]=1,OR(emissions[[#This Row],[Impact Type]]="CO2E",emissions[[#This Row],[Impact Type]]="CO2E MKT")),emissions[[#This Row],[kgCO2e]],0)/1000</f>
        <v>0</v>
      </c>
      <c r="AQ1242" t="str">
        <f>_xlfn.TEXTAFTER(emissions[[#This Row],[Reporting Unit]]," &gt; ",LEN(emissions[[#This Row],[Reporting Unit]])-LEN(SUBSTITUTE(emissions[[#This Row],[Reporting Unit]],"&gt;","")))</f>
        <v>Vantage_Fairfield</v>
      </c>
      <c r="AR1242" t="str">
        <f>_xlfn.XLOOKUP(emissions[[#This Row],[Reporting unit name]],hierarchy!$A:$A,hierarchy!$C:$C)</f>
        <v>Office</v>
      </c>
    </row>
    <row r="1243" spans="1:44" hidden="1" x14ac:dyDescent="0.25">
      <c r="A1243">
        <v>284000</v>
      </c>
      <c r="B1243" t="s">
        <v>353</v>
      </c>
      <c r="C1243" t="s">
        <v>501</v>
      </c>
      <c r="D1243" t="s">
        <v>548</v>
      </c>
      <c r="E1243" s="3">
        <v>44562</v>
      </c>
      <c r="F1243" s="3">
        <v>44926</v>
      </c>
      <c r="G1243" t="s">
        <v>121</v>
      </c>
      <c r="H1243" s="3">
        <v>44562</v>
      </c>
      <c r="I1243" s="3">
        <v>44926</v>
      </c>
      <c r="J1243" t="s">
        <v>150</v>
      </c>
      <c r="K1243">
        <v>0</v>
      </c>
      <c r="L1243" t="s">
        <v>207</v>
      </c>
      <c r="M1243" t="s">
        <v>110</v>
      </c>
      <c r="O1243" t="s">
        <v>911</v>
      </c>
      <c r="P1243" t="s">
        <v>550</v>
      </c>
      <c r="Q1243">
        <v>2022</v>
      </c>
      <c r="R1243" t="s">
        <v>594</v>
      </c>
      <c r="S1243" t="s">
        <v>150</v>
      </c>
      <c r="T1243" t="s">
        <v>553</v>
      </c>
      <c r="U1243" t="b">
        <v>0</v>
      </c>
      <c r="V1243" t="s">
        <v>789</v>
      </c>
      <c r="W1243" t="s">
        <v>587</v>
      </c>
      <c r="X1243" t="s">
        <v>556</v>
      </c>
      <c r="Y1243" t="s">
        <v>472</v>
      </c>
      <c r="Z1243" t="s">
        <v>485</v>
      </c>
      <c r="AA1243" t="s">
        <v>764</v>
      </c>
      <c r="AC1243">
        <v>0</v>
      </c>
      <c r="AD1243" t="s">
        <v>564</v>
      </c>
      <c r="AE1243">
        <v>0</v>
      </c>
      <c r="AF1243">
        <v>62.87</v>
      </c>
      <c r="AG1243" t="s">
        <v>798</v>
      </c>
      <c r="AH1243">
        <v>0.94781711999999996</v>
      </c>
      <c r="AI1243">
        <v>0</v>
      </c>
      <c r="AJ1243" t="s">
        <v>561</v>
      </c>
      <c r="AK1243" t="s">
        <v>766</v>
      </c>
      <c r="AL1243" t="s">
        <v>767</v>
      </c>
      <c r="AM1243">
        <v>2022</v>
      </c>
      <c r="AN1243">
        <v>2022</v>
      </c>
      <c r="AO1243">
        <f>IF(AND(emissions[[#This Row],[Market-based]]=0,emissions[[#This Row],[Impact Type]]="CO2E"),emissions[[#This Row],[kgCO2e]],0)/1000</f>
        <v>0</v>
      </c>
      <c r="AP1243">
        <f>IF(AND(emissions[[#This Row],[Market-based]]=1,OR(emissions[[#This Row],[Impact Type]]="CO2E",emissions[[#This Row],[Impact Type]]="CO2E MKT")),emissions[[#This Row],[kgCO2e]],0)/1000</f>
        <v>0</v>
      </c>
      <c r="AQ1243" t="str">
        <f>_xlfn.TEXTAFTER(emissions[[#This Row],[Reporting Unit]]," &gt; ",LEN(emissions[[#This Row],[Reporting Unit]])-LEN(SUBSTITUTE(emissions[[#This Row],[Reporting Unit]],"&gt;","")))</f>
        <v>Vantage_Fairfield</v>
      </c>
      <c r="AR1243" t="str">
        <f>_xlfn.XLOOKUP(emissions[[#This Row],[Reporting unit name]],hierarchy!$A:$A,hierarchy!$C:$C)</f>
        <v>Office</v>
      </c>
    </row>
    <row r="1244" spans="1:44" hidden="1" x14ac:dyDescent="0.25">
      <c r="A1244">
        <v>284000</v>
      </c>
      <c r="B1244" t="s">
        <v>353</v>
      </c>
      <c r="C1244" t="s">
        <v>501</v>
      </c>
      <c r="D1244" t="s">
        <v>548</v>
      </c>
      <c r="E1244" s="3">
        <v>44562</v>
      </c>
      <c r="F1244" s="3">
        <v>44926</v>
      </c>
      <c r="G1244" t="s">
        <v>121</v>
      </c>
      <c r="H1244" s="3">
        <v>44562</v>
      </c>
      <c r="I1244" s="3">
        <v>44926</v>
      </c>
      <c r="J1244" t="s">
        <v>150</v>
      </c>
      <c r="K1244">
        <v>0</v>
      </c>
      <c r="L1244" t="s">
        <v>207</v>
      </c>
      <c r="M1244" t="s">
        <v>110</v>
      </c>
      <c r="O1244" t="s">
        <v>911</v>
      </c>
      <c r="P1244" t="s">
        <v>550</v>
      </c>
      <c r="Q1244">
        <v>2022</v>
      </c>
      <c r="R1244" t="s">
        <v>594</v>
      </c>
      <c r="S1244" t="s">
        <v>150</v>
      </c>
      <c r="T1244" t="s">
        <v>553</v>
      </c>
      <c r="U1244" t="b">
        <v>0</v>
      </c>
      <c r="V1244" t="s">
        <v>789</v>
      </c>
      <c r="W1244" t="s">
        <v>587</v>
      </c>
      <c r="X1244" t="s">
        <v>556</v>
      </c>
      <c r="Y1244" t="s">
        <v>472</v>
      </c>
      <c r="Z1244" t="s">
        <v>485</v>
      </c>
      <c r="AA1244" t="s">
        <v>764</v>
      </c>
      <c r="AC1244">
        <v>0</v>
      </c>
      <c r="AD1244" t="s">
        <v>565</v>
      </c>
      <c r="AE1244">
        <v>0</v>
      </c>
      <c r="AF1244">
        <v>63.123800000000003</v>
      </c>
      <c r="AG1244" t="s">
        <v>798</v>
      </c>
      <c r="AH1244">
        <v>0.94781711999999996</v>
      </c>
      <c r="AI1244">
        <v>0</v>
      </c>
      <c r="AJ1244" t="s">
        <v>561</v>
      </c>
      <c r="AK1244" t="s">
        <v>766</v>
      </c>
      <c r="AL1244" t="s">
        <v>767</v>
      </c>
      <c r="AM1244">
        <v>2022</v>
      </c>
      <c r="AN1244">
        <v>2022</v>
      </c>
      <c r="AO1244">
        <f>IF(AND(emissions[[#This Row],[Market-based]]=0,emissions[[#This Row],[Impact Type]]="CO2E"),emissions[[#This Row],[kgCO2e]],0)/1000</f>
        <v>0</v>
      </c>
      <c r="AP1244">
        <f>IF(AND(emissions[[#This Row],[Market-based]]=1,OR(emissions[[#This Row],[Impact Type]]="CO2E",emissions[[#This Row],[Impact Type]]="CO2E MKT")),emissions[[#This Row],[kgCO2e]],0)/1000</f>
        <v>0</v>
      </c>
      <c r="AQ1244" t="str">
        <f>_xlfn.TEXTAFTER(emissions[[#This Row],[Reporting Unit]]," &gt; ",LEN(emissions[[#This Row],[Reporting Unit]])-LEN(SUBSTITUTE(emissions[[#This Row],[Reporting Unit]],"&gt;","")))</f>
        <v>Vantage_Fairfield</v>
      </c>
      <c r="AR1244" t="str">
        <f>_xlfn.XLOOKUP(emissions[[#This Row],[Reporting unit name]],hierarchy!$A:$A,hierarchy!$C:$C)</f>
        <v>Office</v>
      </c>
    </row>
    <row r="1245" spans="1:44" hidden="1" x14ac:dyDescent="0.25">
      <c r="A1245">
        <v>284000</v>
      </c>
      <c r="B1245" t="s">
        <v>353</v>
      </c>
      <c r="C1245" t="s">
        <v>501</v>
      </c>
      <c r="D1245" t="s">
        <v>548</v>
      </c>
      <c r="E1245" s="3">
        <v>44562</v>
      </c>
      <c r="F1245" s="3">
        <v>44926</v>
      </c>
      <c r="G1245" t="s">
        <v>121</v>
      </c>
      <c r="H1245" s="3">
        <v>44562</v>
      </c>
      <c r="I1245" s="3">
        <v>44926</v>
      </c>
      <c r="J1245" t="s">
        <v>150</v>
      </c>
      <c r="K1245">
        <v>0</v>
      </c>
      <c r="L1245" t="s">
        <v>207</v>
      </c>
      <c r="M1245" t="s">
        <v>110</v>
      </c>
      <c r="O1245" t="s">
        <v>911</v>
      </c>
      <c r="P1245" t="s">
        <v>550</v>
      </c>
      <c r="Q1245">
        <v>2022</v>
      </c>
      <c r="R1245" t="s">
        <v>594</v>
      </c>
      <c r="S1245" t="s">
        <v>150</v>
      </c>
      <c r="T1245" t="s">
        <v>553</v>
      </c>
      <c r="U1245" t="b">
        <v>0</v>
      </c>
      <c r="V1245" t="s">
        <v>789</v>
      </c>
      <c r="W1245" t="s">
        <v>587</v>
      </c>
      <c r="X1245" t="s">
        <v>556</v>
      </c>
      <c r="Y1245" t="s">
        <v>472</v>
      </c>
      <c r="Z1245" t="s">
        <v>485</v>
      </c>
      <c r="AA1245" t="s">
        <v>764</v>
      </c>
      <c r="AC1245">
        <v>0</v>
      </c>
      <c r="AD1245" t="s">
        <v>566</v>
      </c>
      <c r="AE1245">
        <v>0</v>
      </c>
      <c r="AF1245">
        <v>0.17879999999999999</v>
      </c>
      <c r="AG1245" t="s">
        <v>798</v>
      </c>
      <c r="AH1245">
        <v>0.94781711999999996</v>
      </c>
      <c r="AI1245">
        <v>0</v>
      </c>
      <c r="AJ1245" t="s">
        <v>561</v>
      </c>
      <c r="AK1245" t="s">
        <v>766</v>
      </c>
      <c r="AL1245" t="s">
        <v>787</v>
      </c>
      <c r="AM1245">
        <v>2022</v>
      </c>
      <c r="AN1245">
        <v>2021</v>
      </c>
      <c r="AO1245">
        <f>IF(AND(emissions[[#This Row],[Market-based]]=0,emissions[[#This Row],[Impact Type]]="CO2E"),emissions[[#This Row],[kgCO2e]],0)/1000</f>
        <v>0</v>
      </c>
      <c r="AP1245">
        <f>IF(AND(emissions[[#This Row],[Market-based]]=1,OR(emissions[[#This Row],[Impact Type]]="CO2E",emissions[[#This Row],[Impact Type]]="CO2E MKT")),emissions[[#This Row],[kgCO2e]],0)/1000</f>
        <v>0</v>
      </c>
      <c r="AQ1245" t="str">
        <f>_xlfn.TEXTAFTER(emissions[[#This Row],[Reporting Unit]]," &gt; ",LEN(emissions[[#This Row],[Reporting Unit]])-LEN(SUBSTITUTE(emissions[[#This Row],[Reporting Unit]],"&gt;","")))</f>
        <v>Vantage_Fairfield</v>
      </c>
      <c r="AR1245" t="str">
        <f>_xlfn.XLOOKUP(emissions[[#This Row],[Reporting unit name]],hierarchy!$A:$A,hierarchy!$C:$C)</f>
        <v>Office</v>
      </c>
    </row>
    <row r="1246" spans="1:44" hidden="1" x14ac:dyDescent="0.25">
      <c r="A1246">
        <v>284000</v>
      </c>
      <c r="B1246" t="s">
        <v>353</v>
      </c>
      <c r="C1246" t="s">
        <v>501</v>
      </c>
      <c r="D1246" t="s">
        <v>548</v>
      </c>
      <c r="E1246" s="3">
        <v>44562</v>
      </c>
      <c r="F1246" s="3">
        <v>44926</v>
      </c>
      <c r="G1246" t="s">
        <v>121</v>
      </c>
      <c r="H1246" s="3">
        <v>44562</v>
      </c>
      <c r="I1246" s="3">
        <v>44926</v>
      </c>
      <c r="J1246" t="s">
        <v>150</v>
      </c>
      <c r="K1246">
        <v>0</v>
      </c>
      <c r="L1246" t="s">
        <v>207</v>
      </c>
      <c r="M1246" t="s">
        <v>110</v>
      </c>
      <c r="O1246" t="s">
        <v>911</v>
      </c>
      <c r="P1246" t="s">
        <v>550</v>
      </c>
      <c r="Q1246">
        <v>2022</v>
      </c>
      <c r="R1246" t="s">
        <v>594</v>
      </c>
      <c r="S1246" t="s">
        <v>150</v>
      </c>
      <c r="T1246" t="s">
        <v>553</v>
      </c>
      <c r="U1246" t="b">
        <v>0</v>
      </c>
      <c r="V1246" t="s">
        <v>789</v>
      </c>
      <c r="W1246" t="s">
        <v>587</v>
      </c>
      <c r="X1246" t="s">
        <v>556</v>
      </c>
      <c r="Y1246" t="s">
        <v>472</v>
      </c>
      <c r="Z1246" t="s">
        <v>485</v>
      </c>
      <c r="AA1246" t="s">
        <v>764</v>
      </c>
      <c r="AC1246">
        <v>1</v>
      </c>
      <c r="AD1246" t="s">
        <v>558</v>
      </c>
      <c r="AE1246">
        <v>0</v>
      </c>
      <c r="AF1246">
        <v>7.4999999999999997E-2</v>
      </c>
      <c r="AG1246" t="s">
        <v>798</v>
      </c>
      <c r="AH1246">
        <v>0.94781711999999996</v>
      </c>
      <c r="AI1246">
        <v>0</v>
      </c>
      <c r="AJ1246" t="s">
        <v>561</v>
      </c>
      <c r="AK1246" t="s">
        <v>766</v>
      </c>
      <c r="AL1246" t="s">
        <v>767</v>
      </c>
      <c r="AM1246">
        <v>2022</v>
      </c>
      <c r="AN1246">
        <v>2022</v>
      </c>
      <c r="AO1246">
        <f>IF(AND(emissions[[#This Row],[Market-based]]=0,emissions[[#This Row],[Impact Type]]="CO2E"),emissions[[#This Row],[kgCO2e]],0)/1000</f>
        <v>0</v>
      </c>
      <c r="AP1246">
        <f>IF(AND(emissions[[#This Row],[Market-based]]=1,OR(emissions[[#This Row],[Impact Type]]="CO2E",emissions[[#This Row],[Impact Type]]="CO2E MKT")),emissions[[#This Row],[kgCO2e]],0)/1000</f>
        <v>0</v>
      </c>
      <c r="AQ1246" t="str">
        <f>_xlfn.TEXTAFTER(emissions[[#This Row],[Reporting Unit]]," &gt; ",LEN(emissions[[#This Row],[Reporting Unit]])-LEN(SUBSTITUTE(emissions[[#This Row],[Reporting Unit]],"&gt;","")))</f>
        <v>Vantage_Fairfield</v>
      </c>
      <c r="AR1246" t="str">
        <f>_xlfn.XLOOKUP(emissions[[#This Row],[Reporting unit name]],hierarchy!$A:$A,hierarchy!$C:$C)</f>
        <v>Office</v>
      </c>
    </row>
    <row r="1247" spans="1:44" hidden="1" x14ac:dyDescent="0.25">
      <c r="A1247">
        <v>284000</v>
      </c>
      <c r="B1247" t="s">
        <v>353</v>
      </c>
      <c r="C1247" t="s">
        <v>501</v>
      </c>
      <c r="D1247" t="s">
        <v>548</v>
      </c>
      <c r="E1247" s="3">
        <v>44562</v>
      </c>
      <c r="F1247" s="3">
        <v>44926</v>
      </c>
      <c r="G1247" t="s">
        <v>121</v>
      </c>
      <c r="H1247" s="3">
        <v>44562</v>
      </c>
      <c r="I1247" s="3">
        <v>44926</v>
      </c>
      <c r="J1247" t="s">
        <v>150</v>
      </c>
      <c r="K1247">
        <v>0</v>
      </c>
      <c r="L1247" t="s">
        <v>207</v>
      </c>
      <c r="M1247" t="s">
        <v>110</v>
      </c>
      <c r="O1247" t="s">
        <v>911</v>
      </c>
      <c r="P1247" t="s">
        <v>550</v>
      </c>
      <c r="Q1247">
        <v>2022</v>
      </c>
      <c r="R1247" t="s">
        <v>594</v>
      </c>
      <c r="S1247" t="s">
        <v>150</v>
      </c>
      <c r="T1247" t="s">
        <v>553</v>
      </c>
      <c r="U1247" t="b">
        <v>0</v>
      </c>
      <c r="V1247" t="s">
        <v>789</v>
      </c>
      <c r="W1247" t="s">
        <v>587</v>
      </c>
      <c r="X1247" t="s">
        <v>556</v>
      </c>
      <c r="Y1247" t="s">
        <v>472</v>
      </c>
      <c r="Z1247" t="s">
        <v>485</v>
      </c>
      <c r="AA1247" t="s">
        <v>764</v>
      </c>
      <c r="AC1247">
        <v>1</v>
      </c>
      <c r="AD1247" t="s">
        <v>564</v>
      </c>
      <c r="AE1247">
        <v>0</v>
      </c>
      <c r="AF1247">
        <v>62.87</v>
      </c>
      <c r="AG1247" t="s">
        <v>798</v>
      </c>
      <c r="AH1247">
        <v>0.94781711999999996</v>
      </c>
      <c r="AI1247">
        <v>0</v>
      </c>
      <c r="AJ1247" t="s">
        <v>561</v>
      </c>
      <c r="AK1247" t="s">
        <v>766</v>
      </c>
      <c r="AL1247" t="s">
        <v>767</v>
      </c>
      <c r="AM1247">
        <v>2022</v>
      </c>
      <c r="AN1247">
        <v>2022</v>
      </c>
      <c r="AO1247">
        <f>IF(AND(emissions[[#This Row],[Market-based]]=0,emissions[[#This Row],[Impact Type]]="CO2E"),emissions[[#This Row],[kgCO2e]],0)/1000</f>
        <v>0</v>
      </c>
      <c r="AP1247">
        <f>IF(AND(emissions[[#This Row],[Market-based]]=1,OR(emissions[[#This Row],[Impact Type]]="CO2E",emissions[[#This Row],[Impact Type]]="CO2E MKT")),emissions[[#This Row],[kgCO2e]],0)/1000</f>
        <v>0</v>
      </c>
      <c r="AQ1247" t="str">
        <f>_xlfn.TEXTAFTER(emissions[[#This Row],[Reporting Unit]]," &gt; ",LEN(emissions[[#This Row],[Reporting Unit]])-LEN(SUBSTITUTE(emissions[[#This Row],[Reporting Unit]],"&gt;","")))</f>
        <v>Vantage_Fairfield</v>
      </c>
      <c r="AR1247" t="str">
        <f>_xlfn.XLOOKUP(emissions[[#This Row],[Reporting unit name]],hierarchy!$A:$A,hierarchy!$C:$C)</f>
        <v>Office</v>
      </c>
    </row>
    <row r="1248" spans="1:44" hidden="1" x14ac:dyDescent="0.25">
      <c r="A1248">
        <v>284000</v>
      </c>
      <c r="B1248" t="s">
        <v>353</v>
      </c>
      <c r="C1248" t="s">
        <v>501</v>
      </c>
      <c r="D1248" t="s">
        <v>548</v>
      </c>
      <c r="E1248" s="3">
        <v>44562</v>
      </c>
      <c r="F1248" s="3">
        <v>44926</v>
      </c>
      <c r="G1248" t="s">
        <v>121</v>
      </c>
      <c r="H1248" s="3">
        <v>44562</v>
      </c>
      <c r="I1248" s="3">
        <v>44926</v>
      </c>
      <c r="J1248" t="s">
        <v>150</v>
      </c>
      <c r="K1248">
        <v>0</v>
      </c>
      <c r="L1248" t="s">
        <v>207</v>
      </c>
      <c r="M1248" t="s">
        <v>110</v>
      </c>
      <c r="O1248" t="s">
        <v>911</v>
      </c>
      <c r="P1248" t="s">
        <v>550</v>
      </c>
      <c r="Q1248">
        <v>2022</v>
      </c>
      <c r="R1248" t="s">
        <v>594</v>
      </c>
      <c r="S1248" t="s">
        <v>150</v>
      </c>
      <c r="T1248" t="s">
        <v>553</v>
      </c>
      <c r="U1248" t="b">
        <v>0</v>
      </c>
      <c r="V1248" t="s">
        <v>789</v>
      </c>
      <c r="W1248" t="s">
        <v>587</v>
      </c>
      <c r="X1248" t="s">
        <v>556</v>
      </c>
      <c r="Y1248" t="s">
        <v>472</v>
      </c>
      <c r="Z1248" t="s">
        <v>485</v>
      </c>
      <c r="AA1248" t="s">
        <v>764</v>
      </c>
      <c r="AC1248">
        <v>1</v>
      </c>
      <c r="AD1248" t="s">
        <v>565</v>
      </c>
      <c r="AE1248">
        <v>0</v>
      </c>
      <c r="AF1248">
        <v>63.123800000000003</v>
      </c>
      <c r="AG1248" t="s">
        <v>798</v>
      </c>
      <c r="AH1248">
        <v>0.94781711999999996</v>
      </c>
      <c r="AI1248">
        <v>0</v>
      </c>
      <c r="AJ1248" t="s">
        <v>561</v>
      </c>
      <c r="AK1248" t="s">
        <v>766</v>
      </c>
      <c r="AL1248" t="s">
        <v>767</v>
      </c>
      <c r="AM1248">
        <v>2022</v>
      </c>
      <c r="AN1248">
        <v>2022</v>
      </c>
      <c r="AO1248">
        <f>IF(AND(emissions[[#This Row],[Market-based]]=0,emissions[[#This Row],[Impact Type]]="CO2E"),emissions[[#This Row],[kgCO2e]],0)/1000</f>
        <v>0</v>
      </c>
      <c r="AP1248">
        <f>IF(AND(emissions[[#This Row],[Market-based]]=1,OR(emissions[[#This Row],[Impact Type]]="CO2E",emissions[[#This Row],[Impact Type]]="CO2E MKT")),emissions[[#This Row],[kgCO2e]],0)/1000</f>
        <v>0</v>
      </c>
      <c r="AQ1248" t="str">
        <f>_xlfn.TEXTAFTER(emissions[[#This Row],[Reporting Unit]]," &gt; ",LEN(emissions[[#This Row],[Reporting Unit]])-LEN(SUBSTITUTE(emissions[[#This Row],[Reporting Unit]],"&gt;","")))</f>
        <v>Vantage_Fairfield</v>
      </c>
      <c r="AR1248" t="str">
        <f>_xlfn.XLOOKUP(emissions[[#This Row],[Reporting unit name]],hierarchy!$A:$A,hierarchy!$C:$C)</f>
        <v>Office</v>
      </c>
    </row>
    <row r="1249" spans="1:44" hidden="1" x14ac:dyDescent="0.25">
      <c r="A1249">
        <v>284000</v>
      </c>
      <c r="B1249" t="s">
        <v>353</v>
      </c>
      <c r="C1249" t="s">
        <v>501</v>
      </c>
      <c r="D1249" t="s">
        <v>548</v>
      </c>
      <c r="E1249" s="3">
        <v>44562</v>
      </c>
      <c r="F1249" s="3">
        <v>44926</v>
      </c>
      <c r="G1249" t="s">
        <v>121</v>
      </c>
      <c r="H1249" s="3">
        <v>44562</v>
      </c>
      <c r="I1249" s="3">
        <v>44926</v>
      </c>
      <c r="J1249" t="s">
        <v>150</v>
      </c>
      <c r="K1249">
        <v>0</v>
      </c>
      <c r="L1249" t="s">
        <v>207</v>
      </c>
      <c r="M1249" t="s">
        <v>110</v>
      </c>
      <c r="O1249" t="s">
        <v>911</v>
      </c>
      <c r="P1249" t="s">
        <v>550</v>
      </c>
      <c r="Q1249">
        <v>2022</v>
      </c>
      <c r="R1249" t="s">
        <v>594</v>
      </c>
      <c r="S1249" t="s">
        <v>150</v>
      </c>
      <c r="T1249" t="s">
        <v>553</v>
      </c>
      <c r="U1249" t="b">
        <v>0</v>
      </c>
      <c r="V1249" t="s">
        <v>789</v>
      </c>
      <c r="W1249" t="s">
        <v>587</v>
      </c>
      <c r="X1249" t="s">
        <v>556</v>
      </c>
      <c r="Y1249" t="s">
        <v>472</v>
      </c>
      <c r="Z1249" t="s">
        <v>485</v>
      </c>
      <c r="AA1249" t="s">
        <v>764</v>
      </c>
      <c r="AC1249">
        <v>1</v>
      </c>
      <c r="AD1249" t="s">
        <v>566</v>
      </c>
      <c r="AE1249">
        <v>0</v>
      </c>
      <c r="AF1249">
        <v>0.17879999999999999</v>
      </c>
      <c r="AG1249" t="s">
        <v>798</v>
      </c>
      <c r="AH1249">
        <v>0.94781711999999996</v>
      </c>
      <c r="AI1249">
        <v>0</v>
      </c>
      <c r="AJ1249" t="s">
        <v>561</v>
      </c>
      <c r="AK1249" t="s">
        <v>766</v>
      </c>
      <c r="AL1249" t="s">
        <v>787</v>
      </c>
      <c r="AM1249">
        <v>2022</v>
      </c>
      <c r="AN1249">
        <v>2021</v>
      </c>
      <c r="AO1249">
        <f>IF(AND(emissions[[#This Row],[Market-based]]=0,emissions[[#This Row],[Impact Type]]="CO2E"),emissions[[#This Row],[kgCO2e]],0)/1000</f>
        <v>0</v>
      </c>
      <c r="AP1249">
        <f>IF(AND(emissions[[#This Row],[Market-based]]=1,OR(emissions[[#This Row],[Impact Type]]="CO2E",emissions[[#This Row],[Impact Type]]="CO2E MKT")),emissions[[#This Row],[kgCO2e]],0)/1000</f>
        <v>0</v>
      </c>
      <c r="AQ1249" t="str">
        <f>_xlfn.TEXTAFTER(emissions[[#This Row],[Reporting Unit]]," &gt; ",LEN(emissions[[#This Row],[Reporting Unit]])-LEN(SUBSTITUTE(emissions[[#This Row],[Reporting Unit]],"&gt;","")))</f>
        <v>Vantage_Fairfield</v>
      </c>
      <c r="AR1249" t="str">
        <f>_xlfn.XLOOKUP(emissions[[#This Row],[Reporting unit name]],hierarchy!$A:$A,hierarchy!$C:$C)</f>
        <v>Office</v>
      </c>
    </row>
    <row r="1250" spans="1:44" hidden="1" x14ac:dyDescent="0.25">
      <c r="A1250">
        <v>284000</v>
      </c>
      <c r="B1250" t="s">
        <v>353</v>
      </c>
      <c r="C1250" t="s">
        <v>501</v>
      </c>
      <c r="D1250" t="s">
        <v>548</v>
      </c>
      <c r="E1250" s="3">
        <v>44562</v>
      </c>
      <c r="F1250" s="3">
        <v>44926</v>
      </c>
      <c r="G1250" t="s">
        <v>121</v>
      </c>
      <c r="H1250" s="3">
        <v>44562</v>
      </c>
      <c r="I1250" s="3">
        <v>44926</v>
      </c>
      <c r="J1250" t="s">
        <v>150</v>
      </c>
      <c r="K1250">
        <v>0</v>
      </c>
      <c r="L1250" t="s">
        <v>207</v>
      </c>
      <c r="M1250" t="s">
        <v>110</v>
      </c>
      <c r="O1250" t="s">
        <v>911</v>
      </c>
      <c r="P1250" t="s">
        <v>550</v>
      </c>
      <c r="Q1250">
        <v>2022</v>
      </c>
      <c r="R1250" t="s">
        <v>596</v>
      </c>
      <c r="S1250" t="s">
        <v>597</v>
      </c>
      <c r="T1250" t="s">
        <v>577</v>
      </c>
      <c r="U1250" t="b">
        <v>0</v>
      </c>
      <c r="V1250" t="s">
        <v>598</v>
      </c>
      <c r="W1250" t="s">
        <v>571</v>
      </c>
      <c r="X1250" t="s">
        <v>572</v>
      </c>
      <c r="AC1250">
        <v>0</v>
      </c>
      <c r="AD1250" t="s">
        <v>565</v>
      </c>
      <c r="AE1250">
        <v>0</v>
      </c>
      <c r="AF1250">
        <v>2.503E-2</v>
      </c>
      <c r="AG1250" t="s">
        <v>608</v>
      </c>
      <c r="AH1250">
        <v>277.77777780000002</v>
      </c>
      <c r="AI1250">
        <v>0</v>
      </c>
      <c r="AJ1250" t="s">
        <v>561</v>
      </c>
      <c r="AK1250" t="s">
        <v>589</v>
      </c>
      <c r="AL1250" t="s">
        <v>590</v>
      </c>
      <c r="AM1250">
        <v>2022</v>
      </c>
      <c r="AN1250">
        <v>2020</v>
      </c>
      <c r="AO1250">
        <f>IF(AND(emissions[[#This Row],[Market-based]]=0,emissions[[#This Row],[Impact Type]]="CO2E"),emissions[[#This Row],[kgCO2e]],0)/1000</f>
        <v>0</v>
      </c>
      <c r="AP1250">
        <f>IF(AND(emissions[[#This Row],[Market-based]]=1,OR(emissions[[#This Row],[Impact Type]]="CO2E",emissions[[#This Row],[Impact Type]]="CO2E MKT")),emissions[[#This Row],[kgCO2e]],0)/1000</f>
        <v>0</v>
      </c>
      <c r="AQ1250" t="str">
        <f>_xlfn.TEXTAFTER(emissions[[#This Row],[Reporting Unit]]," &gt; ",LEN(emissions[[#This Row],[Reporting Unit]])-LEN(SUBSTITUTE(emissions[[#This Row],[Reporting Unit]],"&gt;","")))</f>
        <v>Vantage_Fairfield</v>
      </c>
      <c r="AR1250" t="str">
        <f>_xlfn.XLOOKUP(emissions[[#This Row],[Reporting unit name]],hierarchy!$A:$A,hierarchy!$C:$C)</f>
        <v>Office</v>
      </c>
    </row>
    <row r="1251" spans="1:44" hidden="1" x14ac:dyDescent="0.25">
      <c r="A1251">
        <v>284000</v>
      </c>
      <c r="B1251" t="s">
        <v>353</v>
      </c>
      <c r="C1251" t="s">
        <v>501</v>
      </c>
      <c r="D1251" t="s">
        <v>548</v>
      </c>
      <c r="E1251" s="3">
        <v>44562</v>
      </c>
      <c r="F1251" s="3">
        <v>44926</v>
      </c>
      <c r="G1251" t="s">
        <v>121</v>
      </c>
      <c r="H1251" s="3">
        <v>44562</v>
      </c>
      <c r="I1251" s="3">
        <v>44926</v>
      </c>
      <c r="J1251" t="s">
        <v>150</v>
      </c>
      <c r="K1251">
        <v>0</v>
      </c>
      <c r="L1251" t="s">
        <v>207</v>
      </c>
      <c r="M1251" t="s">
        <v>110</v>
      </c>
      <c r="O1251" t="s">
        <v>911</v>
      </c>
      <c r="P1251" t="s">
        <v>550</v>
      </c>
      <c r="Q1251">
        <v>2022</v>
      </c>
      <c r="R1251" t="s">
        <v>596</v>
      </c>
      <c r="S1251" t="s">
        <v>597</v>
      </c>
      <c r="T1251" t="s">
        <v>577</v>
      </c>
      <c r="U1251" t="b">
        <v>0</v>
      </c>
      <c r="V1251" t="s">
        <v>598</v>
      </c>
      <c r="W1251" t="s">
        <v>571</v>
      </c>
      <c r="X1251" t="s">
        <v>572</v>
      </c>
      <c r="AC1251">
        <v>1</v>
      </c>
      <c r="AD1251" t="s">
        <v>565</v>
      </c>
      <c r="AE1251">
        <v>0</v>
      </c>
      <c r="AF1251">
        <v>2.503E-2</v>
      </c>
      <c r="AG1251" t="s">
        <v>608</v>
      </c>
      <c r="AH1251">
        <v>277.77777780000002</v>
      </c>
      <c r="AI1251">
        <v>0</v>
      </c>
      <c r="AJ1251" t="s">
        <v>561</v>
      </c>
      <c r="AK1251" t="s">
        <v>589</v>
      </c>
      <c r="AL1251" t="s">
        <v>590</v>
      </c>
      <c r="AM1251">
        <v>2022</v>
      </c>
      <c r="AN1251">
        <v>2020</v>
      </c>
      <c r="AO1251">
        <f>IF(AND(emissions[[#This Row],[Market-based]]=0,emissions[[#This Row],[Impact Type]]="CO2E"),emissions[[#This Row],[kgCO2e]],0)/1000</f>
        <v>0</v>
      </c>
      <c r="AP1251">
        <f>IF(AND(emissions[[#This Row],[Market-based]]=1,OR(emissions[[#This Row],[Impact Type]]="CO2E",emissions[[#This Row],[Impact Type]]="CO2E MKT")),emissions[[#This Row],[kgCO2e]],0)/1000</f>
        <v>0</v>
      </c>
      <c r="AQ1251" t="str">
        <f>_xlfn.TEXTAFTER(emissions[[#This Row],[Reporting Unit]]," &gt; ",LEN(emissions[[#This Row],[Reporting Unit]])-LEN(SUBSTITUTE(emissions[[#This Row],[Reporting Unit]],"&gt;","")))</f>
        <v>Vantage_Fairfield</v>
      </c>
      <c r="AR1251" t="str">
        <f>_xlfn.XLOOKUP(emissions[[#This Row],[Reporting unit name]],hierarchy!$A:$A,hierarchy!$C:$C)</f>
        <v>Office</v>
      </c>
    </row>
    <row r="1252" spans="1:44" hidden="1" x14ac:dyDescent="0.25">
      <c r="A1252">
        <v>4949</v>
      </c>
      <c r="B1252" t="s">
        <v>353</v>
      </c>
      <c r="C1252" t="s">
        <v>501</v>
      </c>
      <c r="D1252" t="s">
        <v>599</v>
      </c>
      <c r="E1252" s="3">
        <v>44197</v>
      </c>
      <c r="F1252" s="3">
        <v>44561</v>
      </c>
      <c r="G1252" t="s">
        <v>108</v>
      </c>
      <c r="H1252" s="3">
        <v>44197</v>
      </c>
      <c r="I1252" s="3">
        <v>44561</v>
      </c>
      <c r="J1252" t="s">
        <v>108</v>
      </c>
      <c r="K1252">
        <v>404720</v>
      </c>
      <c r="L1252" t="s">
        <v>109</v>
      </c>
      <c r="M1252" t="s">
        <v>110</v>
      </c>
      <c r="O1252" t="s">
        <v>600</v>
      </c>
      <c r="P1252" t="s">
        <v>550</v>
      </c>
      <c r="Q1252">
        <v>2021</v>
      </c>
      <c r="R1252" t="s">
        <v>551</v>
      </c>
      <c r="S1252" t="s">
        <v>552</v>
      </c>
      <c r="T1252" t="s">
        <v>553</v>
      </c>
      <c r="U1252" t="b">
        <v>0</v>
      </c>
      <c r="V1252" t="s">
        <v>894</v>
      </c>
      <c r="W1252" t="s">
        <v>555</v>
      </c>
      <c r="X1252" t="s">
        <v>556</v>
      </c>
      <c r="Y1252" t="s">
        <v>472</v>
      </c>
      <c r="Z1252" t="s">
        <v>485</v>
      </c>
      <c r="AA1252" t="s">
        <v>764</v>
      </c>
      <c r="AB1252" t="s">
        <v>895</v>
      </c>
      <c r="AC1252">
        <v>0</v>
      </c>
      <c r="AD1252" t="s">
        <v>558</v>
      </c>
      <c r="AE1252">
        <v>243.24072279999999</v>
      </c>
      <c r="AF1252">
        <v>6.0101000000000002E-4</v>
      </c>
      <c r="AG1252" t="s">
        <v>560</v>
      </c>
      <c r="AH1252">
        <v>1</v>
      </c>
      <c r="AI1252">
        <v>404720</v>
      </c>
      <c r="AJ1252" t="s">
        <v>561</v>
      </c>
      <c r="AK1252" t="s">
        <v>766</v>
      </c>
      <c r="AL1252" t="s">
        <v>790</v>
      </c>
      <c r="AM1252">
        <v>2021</v>
      </c>
      <c r="AN1252">
        <v>2019</v>
      </c>
      <c r="AO1252">
        <f>IF(AND(emissions[[#This Row],[Market-based]]=0,emissions[[#This Row],[Impact Type]]="CO2E"),emissions[[#This Row],[kgCO2e]],0)/1000</f>
        <v>0</v>
      </c>
      <c r="AP1252">
        <f>IF(AND(emissions[[#This Row],[Market-based]]=1,OR(emissions[[#This Row],[Impact Type]]="CO2E",emissions[[#This Row],[Impact Type]]="CO2E MKT")),emissions[[#This Row],[kgCO2e]],0)/1000</f>
        <v>0</v>
      </c>
      <c r="AQ1252" t="str">
        <f>_xlfn.TEXTAFTER(emissions[[#This Row],[Reporting Unit]]," &gt; ",LEN(emissions[[#This Row],[Reporting Unit]])-LEN(SUBSTITUTE(emissions[[#This Row],[Reporting Unit]],"&gt;","")))</f>
        <v>Vantage_Fairfield</v>
      </c>
      <c r="AR1252" t="str">
        <f>_xlfn.XLOOKUP(emissions[[#This Row],[Reporting unit name]],hierarchy!$A:$A,hierarchy!$C:$C)</f>
        <v>Office</v>
      </c>
    </row>
    <row r="1253" spans="1:44" hidden="1" x14ac:dyDescent="0.25">
      <c r="A1253">
        <v>4949</v>
      </c>
      <c r="B1253" t="s">
        <v>353</v>
      </c>
      <c r="C1253" t="s">
        <v>501</v>
      </c>
      <c r="D1253" t="s">
        <v>599</v>
      </c>
      <c r="E1253" s="3">
        <v>44197</v>
      </c>
      <c r="F1253" s="3">
        <v>44561</v>
      </c>
      <c r="G1253" t="s">
        <v>108</v>
      </c>
      <c r="H1253" s="3">
        <v>44197</v>
      </c>
      <c r="I1253" s="3">
        <v>44561</v>
      </c>
      <c r="J1253" t="s">
        <v>108</v>
      </c>
      <c r="K1253">
        <v>404720</v>
      </c>
      <c r="L1253" t="s">
        <v>109</v>
      </c>
      <c r="M1253" t="s">
        <v>110</v>
      </c>
      <c r="O1253" t="s">
        <v>600</v>
      </c>
      <c r="P1253" t="s">
        <v>550</v>
      </c>
      <c r="Q1253">
        <v>2021</v>
      </c>
      <c r="R1253" t="s">
        <v>551</v>
      </c>
      <c r="S1253" t="s">
        <v>552</v>
      </c>
      <c r="T1253" t="s">
        <v>553</v>
      </c>
      <c r="U1253" t="b">
        <v>0</v>
      </c>
      <c r="V1253" t="s">
        <v>894</v>
      </c>
      <c r="W1253" t="s">
        <v>555</v>
      </c>
      <c r="X1253" t="s">
        <v>556</v>
      </c>
      <c r="Y1253" t="s">
        <v>472</v>
      </c>
      <c r="Z1253" t="s">
        <v>485</v>
      </c>
      <c r="AA1253" t="s">
        <v>764</v>
      </c>
      <c r="AB1253" t="s">
        <v>895</v>
      </c>
      <c r="AC1253">
        <v>0</v>
      </c>
      <c r="AD1253" t="s">
        <v>564</v>
      </c>
      <c r="AE1253">
        <v>127592.8849</v>
      </c>
      <c r="AF1253">
        <v>0.31526211900000001</v>
      </c>
      <c r="AG1253" t="s">
        <v>560</v>
      </c>
      <c r="AH1253">
        <v>1</v>
      </c>
      <c r="AI1253">
        <v>404720</v>
      </c>
      <c r="AJ1253" t="s">
        <v>561</v>
      </c>
      <c r="AK1253" t="s">
        <v>766</v>
      </c>
      <c r="AL1253" t="s">
        <v>790</v>
      </c>
      <c r="AM1253">
        <v>2021</v>
      </c>
      <c r="AN1253">
        <v>2019</v>
      </c>
      <c r="AO1253">
        <f>IF(AND(emissions[[#This Row],[Market-based]]=0,emissions[[#This Row],[Impact Type]]="CO2E"),emissions[[#This Row],[kgCO2e]],0)/1000</f>
        <v>0</v>
      </c>
      <c r="AP1253">
        <f>IF(AND(emissions[[#This Row],[Market-based]]=1,OR(emissions[[#This Row],[Impact Type]]="CO2E",emissions[[#This Row],[Impact Type]]="CO2E MKT")),emissions[[#This Row],[kgCO2e]],0)/1000</f>
        <v>0</v>
      </c>
      <c r="AQ1253" t="str">
        <f>_xlfn.TEXTAFTER(emissions[[#This Row],[Reporting Unit]]," &gt; ",LEN(emissions[[#This Row],[Reporting Unit]])-LEN(SUBSTITUTE(emissions[[#This Row],[Reporting Unit]],"&gt;","")))</f>
        <v>Vantage_Fairfield</v>
      </c>
      <c r="AR1253" t="str">
        <f>_xlfn.XLOOKUP(emissions[[#This Row],[Reporting unit name]],hierarchy!$A:$A,hierarchy!$C:$C)</f>
        <v>Office</v>
      </c>
    </row>
    <row r="1254" spans="1:44" hidden="1" x14ac:dyDescent="0.25">
      <c r="A1254">
        <v>4949</v>
      </c>
      <c r="B1254" t="s">
        <v>353</v>
      </c>
      <c r="C1254" t="s">
        <v>501</v>
      </c>
      <c r="D1254" t="s">
        <v>599</v>
      </c>
      <c r="E1254" s="3">
        <v>44197</v>
      </c>
      <c r="F1254" s="3">
        <v>44561</v>
      </c>
      <c r="G1254" t="s">
        <v>108</v>
      </c>
      <c r="H1254" s="3">
        <v>44197</v>
      </c>
      <c r="I1254" s="3">
        <v>44561</v>
      </c>
      <c r="J1254" t="s">
        <v>108</v>
      </c>
      <c r="K1254">
        <v>404720</v>
      </c>
      <c r="L1254" t="s">
        <v>109</v>
      </c>
      <c r="M1254" t="s">
        <v>110</v>
      </c>
      <c r="O1254" t="s">
        <v>600</v>
      </c>
      <c r="P1254" t="s">
        <v>550</v>
      </c>
      <c r="Q1254">
        <v>2021</v>
      </c>
      <c r="R1254" t="s">
        <v>551</v>
      </c>
      <c r="S1254" t="s">
        <v>552</v>
      </c>
      <c r="T1254" t="s">
        <v>553</v>
      </c>
      <c r="U1254" t="b">
        <v>0</v>
      </c>
      <c r="V1254" t="s">
        <v>894</v>
      </c>
      <c r="W1254" t="s">
        <v>555</v>
      </c>
      <c r="X1254" t="s">
        <v>556</v>
      </c>
      <c r="Y1254" t="s">
        <v>472</v>
      </c>
      <c r="Z1254" t="s">
        <v>485</v>
      </c>
      <c r="AA1254" t="s">
        <v>764</v>
      </c>
      <c r="AB1254" t="s">
        <v>895</v>
      </c>
      <c r="AC1254">
        <v>0</v>
      </c>
      <c r="AD1254" t="s">
        <v>565</v>
      </c>
      <c r="AE1254">
        <v>128219.06909999999</v>
      </c>
      <c r="AF1254">
        <v>0.31680932299999998</v>
      </c>
      <c r="AG1254" t="s">
        <v>560</v>
      </c>
      <c r="AH1254">
        <v>1</v>
      </c>
      <c r="AI1254">
        <v>404720</v>
      </c>
      <c r="AJ1254" t="s">
        <v>561</v>
      </c>
      <c r="AK1254" t="s">
        <v>766</v>
      </c>
      <c r="AL1254" t="s">
        <v>790</v>
      </c>
      <c r="AM1254">
        <v>2021</v>
      </c>
      <c r="AN1254">
        <v>2019</v>
      </c>
      <c r="AO1254">
        <f>IF(AND(emissions[[#This Row],[Market-based]]=0,emissions[[#This Row],[Impact Type]]="CO2E"),emissions[[#This Row],[kgCO2e]],0)/1000</f>
        <v>128.21906909999998</v>
      </c>
      <c r="AP1254">
        <f>IF(AND(emissions[[#This Row],[Market-based]]=1,OR(emissions[[#This Row],[Impact Type]]="CO2E",emissions[[#This Row],[Impact Type]]="CO2E MKT")),emissions[[#This Row],[kgCO2e]],0)/1000</f>
        <v>0</v>
      </c>
      <c r="AQ1254" t="str">
        <f>_xlfn.TEXTAFTER(emissions[[#This Row],[Reporting Unit]]," &gt; ",LEN(emissions[[#This Row],[Reporting Unit]])-LEN(SUBSTITUTE(emissions[[#This Row],[Reporting Unit]],"&gt;","")))</f>
        <v>Vantage_Fairfield</v>
      </c>
      <c r="AR1254" t="str">
        <f>_xlfn.XLOOKUP(emissions[[#This Row],[Reporting unit name]],hierarchy!$A:$A,hierarchy!$C:$C)</f>
        <v>Office</v>
      </c>
    </row>
    <row r="1255" spans="1:44" hidden="1" x14ac:dyDescent="0.25">
      <c r="A1255">
        <v>4949</v>
      </c>
      <c r="B1255" t="s">
        <v>353</v>
      </c>
      <c r="C1255" t="s">
        <v>501</v>
      </c>
      <c r="D1255" t="s">
        <v>599</v>
      </c>
      <c r="E1255" s="3">
        <v>44197</v>
      </c>
      <c r="F1255" s="3">
        <v>44561</v>
      </c>
      <c r="G1255" t="s">
        <v>108</v>
      </c>
      <c r="H1255" s="3">
        <v>44197</v>
      </c>
      <c r="I1255" s="3">
        <v>44561</v>
      </c>
      <c r="J1255" t="s">
        <v>108</v>
      </c>
      <c r="K1255">
        <v>404720</v>
      </c>
      <c r="L1255" t="s">
        <v>109</v>
      </c>
      <c r="M1255" t="s">
        <v>110</v>
      </c>
      <c r="O1255" t="s">
        <v>600</v>
      </c>
      <c r="P1255" t="s">
        <v>550</v>
      </c>
      <c r="Q1255">
        <v>2021</v>
      </c>
      <c r="R1255" t="s">
        <v>551</v>
      </c>
      <c r="S1255" t="s">
        <v>552</v>
      </c>
      <c r="T1255" t="s">
        <v>553</v>
      </c>
      <c r="U1255" t="b">
        <v>0</v>
      </c>
      <c r="V1255" t="s">
        <v>894</v>
      </c>
      <c r="W1255" t="s">
        <v>555</v>
      </c>
      <c r="X1255" t="s">
        <v>556</v>
      </c>
      <c r="Y1255" t="s">
        <v>472</v>
      </c>
      <c r="Z1255" t="s">
        <v>485</v>
      </c>
      <c r="AA1255" t="s">
        <v>764</v>
      </c>
      <c r="AB1255" t="s">
        <v>895</v>
      </c>
      <c r="AC1255">
        <v>0</v>
      </c>
      <c r="AD1255" t="s">
        <v>566</v>
      </c>
      <c r="AE1255">
        <v>382.9435077</v>
      </c>
      <c r="AF1255">
        <v>9.4619400000000003E-4</v>
      </c>
      <c r="AG1255" t="s">
        <v>560</v>
      </c>
      <c r="AH1255">
        <v>1</v>
      </c>
      <c r="AI1255">
        <v>404720</v>
      </c>
      <c r="AJ1255" t="s">
        <v>561</v>
      </c>
      <c r="AK1255" t="s">
        <v>766</v>
      </c>
      <c r="AL1255" t="s">
        <v>790</v>
      </c>
      <c r="AM1255">
        <v>2021</v>
      </c>
      <c r="AN1255">
        <v>2019</v>
      </c>
      <c r="AO1255">
        <f>IF(AND(emissions[[#This Row],[Market-based]]=0,emissions[[#This Row],[Impact Type]]="CO2E"),emissions[[#This Row],[kgCO2e]],0)/1000</f>
        <v>0</v>
      </c>
      <c r="AP1255">
        <f>IF(AND(emissions[[#This Row],[Market-based]]=1,OR(emissions[[#This Row],[Impact Type]]="CO2E",emissions[[#This Row],[Impact Type]]="CO2E MKT")),emissions[[#This Row],[kgCO2e]],0)/1000</f>
        <v>0</v>
      </c>
      <c r="AQ1255" t="str">
        <f>_xlfn.TEXTAFTER(emissions[[#This Row],[Reporting Unit]]," &gt; ",LEN(emissions[[#This Row],[Reporting Unit]])-LEN(SUBSTITUTE(emissions[[#This Row],[Reporting Unit]],"&gt;","")))</f>
        <v>Vantage_Fairfield</v>
      </c>
      <c r="AR1255" t="str">
        <f>_xlfn.XLOOKUP(emissions[[#This Row],[Reporting unit name]],hierarchy!$A:$A,hierarchy!$C:$C)</f>
        <v>Office</v>
      </c>
    </row>
    <row r="1256" spans="1:44" hidden="1" x14ac:dyDescent="0.25">
      <c r="A1256">
        <v>4949</v>
      </c>
      <c r="B1256" t="s">
        <v>353</v>
      </c>
      <c r="C1256" t="s">
        <v>501</v>
      </c>
      <c r="D1256" t="s">
        <v>599</v>
      </c>
      <c r="E1256" s="3">
        <v>44197</v>
      </c>
      <c r="F1256" s="3">
        <v>44561</v>
      </c>
      <c r="G1256" t="s">
        <v>108</v>
      </c>
      <c r="H1256" s="3">
        <v>44197</v>
      </c>
      <c r="I1256" s="3">
        <v>44561</v>
      </c>
      <c r="J1256" t="s">
        <v>108</v>
      </c>
      <c r="K1256">
        <v>404720</v>
      </c>
      <c r="L1256" t="s">
        <v>109</v>
      </c>
      <c r="M1256" t="s">
        <v>110</v>
      </c>
      <c r="O1256" t="s">
        <v>600</v>
      </c>
      <c r="P1256" t="s">
        <v>550</v>
      </c>
      <c r="Q1256">
        <v>2021</v>
      </c>
      <c r="R1256" t="s">
        <v>551</v>
      </c>
      <c r="S1256" t="s">
        <v>552</v>
      </c>
      <c r="T1256" t="s">
        <v>553</v>
      </c>
      <c r="U1256" t="b">
        <v>0</v>
      </c>
      <c r="V1256" t="s">
        <v>894</v>
      </c>
      <c r="W1256" t="s">
        <v>555</v>
      </c>
      <c r="X1256" t="s">
        <v>556</v>
      </c>
      <c r="Y1256" t="s">
        <v>472</v>
      </c>
      <c r="Z1256" t="s">
        <v>485</v>
      </c>
      <c r="AA1256" t="s">
        <v>764</v>
      </c>
      <c r="AB1256" t="s">
        <v>895</v>
      </c>
      <c r="AC1256">
        <v>1</v>
      </c>
      <c r="AD1256" t="s">
        <v>639</v>
      </c>
      <c r="AE1256">
        <v>127630.702</v>
      </c>
      <c r="AF1256">
        <v>0.31535555900000001</v>
      </c>
      <c r="AG1256" t="s">
        <v>560</v>
      </c>
      <c r="AH1256">
        <v>1</v>
      </c>
      <c r="AI1256">
        <v>404720</v>
      </c>
      <c r="AJ1256" t="s">
        <v>561</v>
      </c>
      <c r="AK1256" t="s">
        <v>833</v>
      </c>
      <c r="AL1256" t="s">
        <v>853</v>
      </c>
      <c r="AM1256">
        <v>2021</v>
      </c>
      <c r="AN1256">
        <v>2019</v>
      </c>
      <c r="AO1256">
        <f>IF(AND(emissions[[#This Row],[Market-based]]=0,emissions[[#This Row],[Impact Type]]="CO2E"),emissions[[#This Row],[kgCO2e]],0)/1000</f>
        <v>0</v>
      </c>
      <c r="AP1256">
        <f>IF(AND(emissions[[#This Row],[Market-based]]=1,OR(emissions[[#This Row],[Impact Type]]="CO2E",emissions[[#This Row],[Impact Type]]="CO2E MKT")),emissions[[#This Row],[kgCO2e]],0)/1000</f>
        <v>127.630702</v>
      </c>
      <c r="AQ1256" t="str">
        <f>_xlfn.TEXTAFTER(emissions[[#This Row],[Reporting Unit]]," &gt; ",LEN(emissions[[#This Row],[Reporting Unit]])-LEN(SUBSTITUTE(emissions[[#This Row],[Reporting Unit]],"&gt;","")))</f>
        <v>Vantage_Fairfield</v>
      </c>
      <c r="AR1256" t="str">
        <f>_xlfn.XLOOKUP(emissions[[#This Row],[Reporting unit name]],hierarchy!$A:$A,hierarchy!$C:$C)</f>
        <v>Office</v>
      </c>
    </row>
    <row r="1257" spans="1:44" hidden="1" x14ac:dyDescent="0.25">
      <c r="A1257">
        <v>4949</v>
      </c>
      <c r="B1257" t="s">
        <v>353</v>
      </c>
      <c r="C1257" t="s">
        <v>501</v>
      </c>
      <c r="D1257" t="s">
        <v>599</v>
      </c>
      <c r="E1257" s="3">
        <v>44197</v>
      </c>
      <c r="F1257" s="3">
        <v>44561</v>
      </c>
      <c r="G1257" t="s">
        <v>108</v>
      </c>
      <c r="H1257" s="3">
        <v>44197</v>
      </c>
      <c r="I1257" s="3">
        <v>44561</v>
      </c>
      <c r="J1257" t="s">
        <v>108</v>
      </c>
      <c r="K1257">
        <v>404720</v>
      </c>
      <c r="L1257" t="s">
        <v>109</v>
      </c>
      <c r="M1257" t="s">
        <v>110</v>
      </c>
      <c r="O1257" t="s">
        <v>600</v>
      </c>
      <c r="P1257" t="s">
        <v>550</v>
      </c>
      <c r="Q1257">
        <v>2021</v>
      </c>
      <c r="R1257" t="s">
        <v>567</v>
      </c>
      <c r="S1257" t="s">
        <v>568</v>
      </c>
      <c r="T1257" t="s">
        <v>569</v>
      </c>
      <c r="U1257" t="b">
        <v>0</v>
      </c>
      <c r="V1257" t="s">
        <v>897</v>
      </c>
      <c r="W1257" t="s">
        <v>571</v>
      </c>
      <c r="X1257" t="s">
        <v>572</v>
      </c>
      <c r="Y1257" t="s">
        <v>472</v>
      </c>
      <c r="Z1257" t="s">
        <v>485</v>
      </c>
      <c r="AA1257" t="s">
        <v>764</v>
      </c>
      <c r="AB1257" t="s">
        <v>895</v>
      </c>
      <c r="AC1257">
        <v>0</v>
      </c>
      <c r="AD1257" t="s">
        <v>558</v>
      </c>
      <c r="AE1257">
        <v>3.2771125090000002</v>
      </c>
      <c r="AF1257" s="13">
        <v>8.0972299999999997E-6</v>
      </c>
      <c r="AG1257" t="s">
        <v>560</v>
      </c>
      <c r="AH1257">
        <v>1</v>
      </c>
      <c r="AI1257">
        <v>404720</v>
      </c>
      <c r="AJ1257" t="s">
        <v>561</v>
      </c>
      <c r="AK1257" t="s">
        <v>573</v>
      </c>
      <c r="AL1257" t="s">
        <v>912</v>
      </c>
      <c r="AM1257">
        <v>2021</v>
      </c>
      <c r="AN1257">
        <v>2019</v>
      </c>
      <c r="AO1257">
        <f>IF(AND(emissions[[#This Row],[Market-based]]=0,emissions[[#This Row],[Impact Type]]="CO2E"),emissions[[#This Row],[kgCO2e]],0)/1000</f>
        <v>0</v>
      </c>
      <c r="AP1257">
        <f>IF(AND(emissions[[#This Row],[Market-based]]=1,OR(emissions[[#This Row],[Impact Type]]="CO2E",emissions[[#This Row],[Impact Type]]="CO2E MKT")),emissions[[#This Row],[kgCO2e]],0)/1000</f>
        <v>0</v>
      </c>
      <c r="AQ1257" t="str">
        <f>_xlfn.TEXTAFTER(emissions[[#This Row],[Reporting Unit]]," &gt; ",LEN(emissions[[#This Row],[Reporting Unit]])-LEN(SUBSTITUTE(emissions[[#This Row],[Reporting Unit]],"&gt;","")))</f>
        <v>Vantage_Fairfield</v>
      </c>
      <c r="AR1257" t="str">
        <f>_xlfn.XLOOKUP(emissions[[#This Row],[Reporting unit name]],hierarchy!$A:$A,hierarchy!$C:$C)</f>
        <v>Office</v>
      </c>
    </row>
    <row r="1258" spans="1:44" hidden="1" x14ac:dyDescent="0.25">
      <c r="A1258">
        <v>4949</v>
      </c>
      <c r="B1258" t="s">
        <v>353</v>
      </c>
      <c r="C1258" t="s">
        <v>501</v>
      </c>
      <c r="D1258" t="s">
        <v>599</v>
      </c>
      <c r="E1258" s="3">
        <v>44197</v>
      </c>
      <c r="F1258" s="3">
        <v>44561</v>
      </c>
      <c r="G1258" t="s">
        <v>108</v>
      </c>
      <c r="H1258" s="3">
        <v>44197</v>
      </c>
      <c r="I1258" s="3">
        <v>44561</v>
      </c>
      <c r="J1258" t="s">
        <v>108</v>
      </c>
      <c r="K1258">
        <v>404720</v>
      </c>
      <c r="L1258" t="s">
        <v>109</v>
      </c>
      <c r="M1258" t="s">
        <v>110</v>
      </c>
      <c r="O1258" t="s">
        <v>600</v>
      </c>
      <c r="P1258" t="s">
        <v>550</v>
      </c>
      <c r="Q1258">
        <v>2021</v>
      </c>
      <c r="R1258" t="s">
        <v>567</v>
      </c>
      <c r="S1258" t="s">
        <v>568</v>
      </c>
      <c r="T1258" t="s">
        <v>569</v>
      </c>
      <c r="U1258" t="b">
        <v>0</v>
      </c>
      <c r="V1258" t="s">
        <v>897</v>
      </c>
      <c r="W1258" t="s">
        <v>571</v>
      </c>
      <c r="X1258" t="s">
        <v>572</v>
      </c>
      <c r="Y1258" t="s">
        <v>472</v>
      </c>
      <c r="Z1258" t="s">
        <v>485</v>
      </c>
      <c r="AA1258" t="s">
        <v>764</v>
      </c>
      <c r="AB1258" t="s">
        <v>895</v>
      </c>
      <c r="AC1258">
        <v>0</v>
      </c>
      <c r="AD1258" t="s">
        <v>564</v>
      </c>
      <c r="AE1258">
        <v>1719.0223510000001</v>
      </c>
      <c r="AF1258">
        <v>4.2474360000000003E-3</v>
      </c>
      <c r="AG1258" t="s">
        <v>560</v>
      </c>
      <c r="AH1258">
        <v>1</v>
      </c>
      <c r="AI1258">
        <v>404720</v>
      </c>
      <c r="AJ1258" t="s">
        <v>561</v>
      </c>
      <c r="AK1258" t="s">
        <v>573</v>
      </c>
      <c r="AL1258" t="s">
        <v>912</v>
      </c>
      <c r="AM1258">
        <v>2021</v>
      </c>
      <c r="AN1258">
        <v>2019</v>
      </c>
      <c r="AO1258">
        <f>IF(AND(emissions[[#This Row],[Market-based]]=0,emissions[[#This Row],[Impact Type]]="CO2E"),emissions[[#This Row],[kgCO2e]],0)/1000</f>
        <v>0</v>
      </c>
      <c r="AP1258">
        <f>IF(AND(emissions[[#This Row],[Market-based]]=1,OR(emissions[[#This Row],[Impact Type]]="CO2E",emissions[[#This Row],[Impact Type]]="CO2E MKT")),emissions[[#This Row],[kgCO2e]],0)/1000</f>
        <v>0</v>
      </c>
      <c r="AQ1258" t="str">
        <f>_xlfn.TEXTAFTER(emissions[[#This Row],[Reporting Unit]]," &gt; ",LEN(emissions[[#This Row],[Reporting Unit]])-LEN(SUBSTITUTE(emissions[[#This Row],[Reporting Unit]],"&gt;","")))</f>
        <v>Vantage_Fairfield</v>
      </c>
      <c r="AR1258" t="str">
        <f>_xlfn.XLOOKUP(emissions[[#This Row],[Reporting unit name]],hierarchy!$A:$A,hierarchy!$C:$C)</f>
        <v>Office</v>
      </c>
    </row>
    <row r="1259" spans="1:44" hidden="1" x14ac:dyDescent="0.25">
      <c r="A1259">
        <v>4949</v>
      </c>
      <c r="B1259" t="s">
        <v>353</v>
      </c>
      <c r="C1259" t="s">
        <v>501</v>
      </c>
      <c r="D1259" t="s">
        <v>599</v>
      </c>
      <c r="E1259" s="3">
        <v>44197</v>
      </c>
      <c r="F1259" s="3">
        <v>44561</v>
      </c>
      <c r="G1259" t="s">
        <v>108</v>
      </c>
      <c r="H1259" s="3">
        <v>44197</v>
      </c>
      <c r="I1259" s="3">
        <v>44561</v>
      </c>
      <c r="J1259" t="s">
        <v>108</v>
      </c>
      <c r="K1259">
        <v>404720</v>
      </c>
      <c r="L1259" t="s">
        <v>109</v>
      </c>
      <c r="M1259" t="s">
        <v>110</v>
      </c>
      <c r="O1259" t="s">
        <v>600</v>
      </c>
      <c r="P1259" t="s">
        <v>550</v>
      </c>
      <c r="Q1259">
        <v>2021</v>
      </c>
      <c r="R1259" t="s">
        <v>567</v>
      </c>
      <c r="S1259" t="s">
        <v>568</v>
      </c>
      <c r="T1259" t="s">
        <v>569</v>
      </c>
      <c r="U1259" t="b">
        <v>0</v>
      </c>
      <c r="V1259" t="s">
        <v>897</v>
      </c>
      <c r="W1259" t="s">
        <v>571</v>
      </c>
      <c r="X1259" t="s">
        <v>572</v>
      </c>
      <c r="Y1259" t="s">
        <v>472</v>
      </c>
      <c r="Z1259" t="s">
        <v>485</v>
      </c>
      <c r="AA1259" t="s">
        <v>764</v>
      </c>
      <c r="AB1259" t="s">
        <v>895</v>
      </c>
      <c r="AC1259">
        <v>0</v>
      </c>
      <c r="AD1259" t="s">
        <v>565</v>
      </c>
      <c r="AE1259">
        <v>1727.458752</v>
      </c>
      <c r="AF1259">
        <v>4.2682809999999996E-3</v>
      </c>
      <c r="AG1259" t="s">
        <v>560</v>
      </c>
      <c r="AH1259">
        <v>1</v>
      </c>
      <c r="AI1259">
        <v>404720</v>
      </c>
      <c r="AJ1259" t="s">
        <v>561</v>
      </c>
      <c r="AK1259" t="s">
        <v>573</v>
      </c>
      <c r="AL1259" t="s">
        <v>912</v>
      </c>
      <c r="AM1259">
        <v>2021</v>
      </c>
      <c r="AN1259">
        <v>2019</v>
      </c>
      <c r="AO1259">
        <f>IF(AND(emissions[[#This Row],[Market-based]]=0,emissions[[#This Row],[Impact Type]]="CO2E"),emissions[[#This Row],[kgCO2e]],0)/1000</f>
        <v>1.727458752</v>
      </c>
      <c r="AP1259">
        <f>IF(AND(emissions[[#This Row],[Market-based]]=1,OR(emissions[[#This Row],[Impact Type]]="CO2E",emissions[[#This Row],[Impact Type]]="CO2E MKT")),emissions[[#This Row],[kgCO2e]],0)/1000</f>
        <v>0</v>
      </c>
      <c r="AQ1259" t="str">
        <f>_xlfn.TEXTAFTER(emissions[[#This Row],[Reporting Unit]]," &gt; ",LEN(emissions[[#This Row],[Reporting Unit]])-LEN(SUBSTITUTE(emissions[[#This Row],[Reporting Unit]],"&gt;","")))</f>
        <v>Vantage_Fairfield</v>
      </c>
      <c r="AR1259" t="str">
        <f>_xlfn.XLOOKUP(emissions[[#This Row],[Reporting unit name]],hierarchy!$A:$A,hierarchy!$C:$C)</f>
        <v>Office</v>
      </c>
    </row>
    <row r="1260" spans="1:44" hidden="1" x14ac:dyDescent="0.25">
      <c r="A1260">
        <v>4949</v>
      </c>
      <c r="B1260" t="s">
        <v>353</v>
      </c>
      <c r="C1260" t="s">
        <v>501</v>
      </c>
      <c r="D1260" t="s">
        <v>599</v>
      </c>
      <c r="E1260" s="3">
        <v>44197</v>
      </c>
      <c r="F1260" s="3">
        <v>44561</v>
      </c>
      <c r="G1260" t="s">
        <v>108</v>
      </c>
      <c r="H1260" s="3">
        <v>44197</v>
      </c>
      <c r="I1260" s="3">
        <v>44561</v>
      </c>
      <c r="J1260" t="s">
        <v>108</v>
      </c>
      <c r="K1260">
        <v>404720</v>
      </c>
      <c r="L1260" t="s">
        <v>109</v>
      </c>
      <c r="M1260" t="s">
        <v>110</v>
      </c>
      <c r="O1260" t="s">
        <v>600</v>
      </c>
      <c r="P1260" t="s">
        <v>550</v>
      </c>
      <c r="Q1260">
        <v>2021</v>
      </c>
      <c r="R1260" t="s">
        <v>567</v>
      </c>
      <c r="S1260" t="s">
        <v>568</v>
      </c>
      <c r="T1260" t="s">
        <v>569</v>
      </c>
      <c r="U1260" t="b">
        <v>0</v>
      </c>
      <c r="V1260" t="s">
        <v>897</v>
      </c>
      <c r="W1260" t="s">
        <v>571</v>
      </c>
      <c r="X1260" t="s">
        <v>572</v>
      </c>
      <c r="Y1260" t="s">
        <v>472</v>
      </c>
      <c r="Z1260" t="s">
        <v>485</v>
      </c>
      <c r="AA1260" t="s">
        <v>764</v>
      </c>
      <c r="AB1260" t="s">
        <v>895</v>
      </c>
      <c r="AC1260">
        <v>0</v>
      </c>
      <c r="AD1260" t="s">
        <v>566</v>
      </c>
      <c r="AE1260">
        <v>5.1592880699999997</v>
      </c>
      <c r="AF1260" s="13">
        <v>1.27478E-5</v>
      </c>
      <c r="AG1260" t="s">
        <v>560</v>
      </c>
      <c r="AH1260">
        <v>1</v>
      </c>
      <c r="AI1260">
        <v>404720</v>
      </c>
      <c r="AJ1260" t="s">
        <v>561</v>
      </c>
      <c r="AK1260" t="s">
        <v>573</v>
      </c>
      <c r="AL1260" t="s">
        <v>912</v>
      </c>
      <c r="AM1260">
        <v>2021</v>
      </c>
      <c r="AN1260">
        <v>2019</v>
      </c>
      <c r="AO1260">
        <f>IF(AND(emissions[[#This Row],[Market-based]]=0,emissions[[#This Row],[Impact Type]]="CO2E"),emissions[[#This Row],[kgCO2e]],0)/1000</f>
        <v>0</v>
      </c>
      <c r="AP1260">
        <f>IF(AND(emissions[[#This Row],[Market-based]]=1,OR(emissions[[#This Row],[Impact Type]]="CO2E",emissions[[#This Row],[Impact Type]]="CO2E MKT")),emissions[[#This Row],[kgCO2e]],0)/1000</f>
        <v>0</v>
      </c>
      <c r="AQ1260" t="str">
        <f>_xlfn.TEXTAFTER(emissions[[#This Row],[Reporting Unit]]," &gt; ",LEN(emissions[[#This Row],[Reporting Unit]])-LEN(SUBSTITUTE(emissions[[#This Row],[Reporting Unit]],"&gt;","")))</f>
        <v>Vantage_Fairfield</v>
      </c>
      <c r="AR1260" t="str">
        <f>_xlfn.XLOOKUP(emissions[[#This Row],[Reporting unit name]],hierarchy!$A:$A,hierarchy!$C:$C)</f>
        <v>Office</v>
      </c>
    </row>
    <row r="1261" spans="1:44" hidden="1" x14ac:dyDescent="0.25">
      <c r="A1261">
        <v>4949</v>
      </c>
      <c r="B1261" t="s">
        <v>353</v>
      </c>
      <c r="C1261" t="s">
        <v>501</v>
      </c>
      <c r="D1261" t="s">
        <v>599</v>
      </c>
      <c r="E1261" s="3">
        <v>44197</v>
      </c>
      <c r="F1261" s="3">
        <v>44561</v>
      </c>
      <c r="G1261" t="s">
        <v>108</v>
      </c>
      <c r="H1261" s="3">
        <v>44197</v>
      </c>
      <c r="I1261" s="3">
        <v>44561</v>
      </c>
      <c r="J1261" t="s">
        <v>108</v>
      </c>
      <c r="K1261">
        <v>404720</v>
      </c>
      <c r="L1261" t="s">
        <v>109</v>
      </c>
      <c r="M1261" t="s">
        <v>110</v>
      </c>
      <c r="O1261" t="s">
        <v>600</v>
      </c>
      <c r="P1261" t="s">
        <v>550</v>
      </c>
      <c r="Q1261">
        <v>2021</v>
      </c>
      <c r="R1261" t="s">
        <v>567</v>
      </c>
      <c r="S1261" t="s">
        <v>568</v>
      </c>
      <c r="T1261" t="s">
        <v>569</v>
      </c>
      <c r="U1261" t="b">
        <v>0</v>
      </c>
      <c r="V1261" t="s">
        <v>897</v>
      </c>
      <c r="W1261" t="s">
        <v>571</v>
      </c>
      <c r="X1261" t="s">
        <v>572</v>
      </c>
      <c r="Y1261" t="s">
        <v>472</v>
      </c>
      <c r="Z1261" t="s">
        <v>485</v>
      </c>
      <c r="AA1261" t="s">
        <v>764</v>
      </c>
      <c r="AB1261" t="s">
        <v>895</v>
      </c>
      <c r="AC1261">
        <v>1</v>
      </c>
      <c r="AD1261" t="s">
        <v>639</v>
      </c>
      <c r="AE1261">
        <v>1719.531849</v>
      </c>
      <c r="AF1261">
        <v>4.2486950000000002E-3</v>
      </c>
      <c r="AG1261" t="s">
        <v>560</v>
      </c>
      <c r="AH1261">
        <v>1</v>
      </c>
      <c r="AI1261">
        <v>404720</v>
      </c>
      <c r="AJ1261" t="s">
        <v>561</v>
      </c>
      <c r="AK1261" t="s">
        <v>573</v>
      </c>
      <c r="AL1261" t="s">
        <v>772</v>
      </c>
      <c r="AM1261">
        <v>2021</v>
      </c>
      <c r="AN1261">
        <v>2019</v>
      </c>
      <c r="AO1261">
        <f>IF(AND(emissions[[#This Row],[Market-based]]=0,emissions[[#This Row],[Impact Type]]="CO2E"),emissions[[#This Row],[kgCO2e]],0)/1000</f>
        <v>0</v>
      </c>
      <c r="AP1261">
        <f>IF(AND(emissions[[#This Row],[Market-based]]=1,OR(emissions[[#This Row],[Impact Type]]="CO2E",emissions[[#This Row],[Impact Type]]="CO2E MKT")),emissions[[#This Row],[kgCO2e]],0)/1000</f>
        <v>1.719531849</v>
      </c>
      <c r="AQ1261" t="str">
        <f>_xlfn.TEXTAFTER(emissions[[#This Row],[Reporting Unit]]," &gt; ",LEN(emissions[[#This Row],[Reporting Unit]])-LEN(SUBSTITUTE(emissions[[#This Row],[Reporting Unit]],"&gt;","")))</f>
        <v>Vantage_Fairfield</v>
      </c>
      <c r="AR1261" t="str">
        <f>_xlfn.XLOOKUP(emissions[[#This Row],[Reporting unit name]],hierarchy!$A:$A,hierarchy!$C:$C)</f>
        <v>Office</v>
      </c>
    </row>
    <row r="1262" spans="1:44" hidden="1" x14ac:dyDescent="0.25">
      <c r="A1262">
        <v>4949</v>
      </c>
      <c r="B1262" t="s">
        <v>353</v>
      </c>
      <c r="C1262" t="s">
        <v>501</v>
      </c>
      <c r="D1262" t="s">
        <v>599</v>
      </c>
      <c r="E1262" s="3">
        <v>44197</v>
      </c>
      <c r="F1262" s="3">
        <v>44561</v>
      </c>
      <c r="G1262" t="s">
        <v>108</v>
      </c>
      <c r="H1262" s="3">
        <v>44197</v>
      </c>
      <c r="I1262" s="3">
        <v>44561</v>
      </c>
      <c r="J1262" t="s">
        <v>108</v>
      </c>
      <c r="K1262">
        <v>404720</v>
      </c>
      <c r="L1262" t="s">
        <v>109</v>
      </c>
      <c r="M1262" t="s">
        <v>110</v>
      </c>
      <c r="O1262" t="s">
        <v>600</v>
      </c>
      <c r="P1262" t="s">
        <v>550</v>
      </c>
      <c r="Q1262">
        <v>2021</v>
      </c>
      <c r="R1262" t="s">
        <v>575</v>
      </c>
      <c r="S1262" t="s">
        <v>576</v>
      </c>
      <c r="T1262" t="s">
        <v>577</v>
      </c>
      <c r="U1262" t="b">
        <v>0</v>
      </c>
      <c r="V1262" t="s">
        <v>899</v>
      </c>
      <c r="W1262" t="s">
        <v>571</v>
      </c>
      <c r="X1262" t="s">
        <v>572</v>
      </c>
      <c r="Y1262" t="s">
        <v>472</v>
      </c>
      <c r="Z1262" t="s">
        <v>485</v>
      </c>
      <c r="AA1262" t="s">
        <v>764</v>
      </c>
      <c r="AB1262" t="s">
        <v>895</v>
      </c>
      <c r="AC1262">
        <v>0</v>
      </c>
      <c r="AD1262" t="s">
        <v>558</v>
      </c>
      <c r="AE1262">
        <v>64.257108009999996</v>
      </c>
      <c r="AF1262">
        <v>1.5876900000000001E-4</v>
      </c>
      <c r="AG1262" t="s">
        <v>560</v>
      </c>
      <c r="AH1262">
        <v>1</v>
      </c>
      <c r="AI1262">
        <v>404720</v>
      </c>
      <c r="AJ1262" t="s">
        <v>561</v>
      </c>
      <c r="AK1262" t="s">
        <v>573</v>
      </c>
      <c r="AL1262" t="s">
        <v>913</v>
      </c>
      <c r="AM1262">
        <v>2021</v>
      </c>
      <c r="AN1262">
        <v>2019</v>
      </c>
      <c r="AO1262">
        <f>IF(AND(emissions[[#This Row],[Market-based]]=0,emissions[[#This Row],[Impact Type]]="CO2E"),emissions[[#This Row],[kgCO2e]],0)/1000</f>
        <v>0</v>
      </c>
      <c r="AP1262">
        <f>IF(AND(emissions[[#This Row],[Market-based]]=1,OR(emissions[[#This Row],[Impact Type]]="CO2E",emissions[[#This Row],[Impact Type]]="CO2E MKT")),emissions[[#This Row],[kgCO2e]],0)/1000</f>
        <v>0</v>
      </c>
      <c r="AQ1262" t="str">
        <f>_xlfn.TEXTAFTER(emissions[[#This Row],[Reporting Unit]]," &gt; ",LEN(emissions[[#This Row],[Reporting Unit]])-LEN(SUBSTITUTE(emissions[[#This Row],[Reporting Unit]],"&gt;","")))</f>
        <v>Vantage_Fairfield</v>
      </c>
      <c r="AR1262" t="str">
        <f>_xlfn.XLOOKUP(emissions[[#This Row],[Reporting unit name]],hierarchy!$A:$A,hierarchy!$C:$C)</f>
        <v>Office</v>
      </c>
    </row>
    <row r="1263" spans="1:44" hidden="1" x14ac:dyDescent="0.25">
      <c r="A1263">
        <v>4949</v>
      </c>
      <c r="B1263" t="s">
        <v>353</v>
      </c>
      <c r="C1263" t="s">
        <v>501</v>
      </c>
      <c r="D1263" t="s">
        <v>599</v>
      </c>
      <c r="E1263" s="3">
        <v>44197</v>
      </c>
      <c r="F1263" s="3">
        <v>44561</v>
      </c>
      <c r="G1263" t="s">
        <v>108</v>
      </c>
      <c r="H1263" s="3">
        <v>44197</v>
      </c>
      <c r="I1263" s="3">
        <v>44561</v>
      </c>
      <c r="J1263" t="s">
        <v>108</v>
      </c>
      <c r="K1263">
        <v>404720</v>
      </c>
      <c r="L1263" t="s">
        <v>109</v>
      </c>
      <c r="M1263" t="s">
        <v>110</v>
      </c>
      <c r="O1263" t="s">
        <v>600</v>
      </c>
      <c r="P1263" t="s">
        <v>550</v>
      </c>
      <c r="Q1263">
        <v>2021</v>
      </c>
      <c r="R1263" t="s">
        <v>575</v>
      </c>
      <c r="S1263" t="s">
        <v>576</v>
      </c>
      <c r="T1263" t="s">
        <v>577</v>
      </c>
      <c r="U1263" t="b">
        <v>0</v>
      </c>
      <c r="V1263" t="s">
        <v>899</v>
      </c>
      <c r="W1263" t="s">
        <v>571</v>
      </c>
      <c r="X1263" t="s">
        <v>572</v>
      </c>
      <c r="Y1263" t="s">
        <v>472</v>
      </c>
      <c r="Z1263" t="s">
        <v>485</v>
      </c>
      <c r="AA1263" t="s">
        <v>764</v>
      </c>
      <c r="AB1263" t="s">
        <v>895</v>
      </c>
      <c r="AC1263">
        <v>0</v>
      </c>
      <c r="AD1263" t="s">
        <v>564</v>
      </c>
      <c r="AE1263">
        <v>33706.320610000002</v>
      </c>
      <c r="AF1263">
        <v>8.3283061000000005E-2</v>
      </c>
      <c r="AG1263" t="s">
        <v>560</v>
      </c>
      <c r="AH1263">
        <v>1</v>
      </c>
      <c r="AI1263">
        <v>404720</v>
      </c>
      <c r="AJ1263" t="s">
        <v>561</v>
      </c>
      <c r="AK1263" t="s">
        <v>573</v>
      </c>
      <c r="AL1263" t="s">
        <v>913</v>
      </c>
      <c r="AM1263">
        <v>2021</v>
      </c>
      <c r="AN1263">
        <v>2019</v>
      </c>
      <c r="AO1263">
        <f>IF(AND(emissions[[#This Row],[Market-based]]=0,emissions[[#This Row],[Impact Type]]="CO2E"),emissions[[#This Row],[kgCO2e]],0)/1000</f>
        <v>0</v>
      </c>
      <c r="AP1263">
        <f>IF(AND(emissions[[#This Row],[Market-based]]=1,OR(emissions[[#This Row],[Impact Type]]="CO2E",emissions[[#This Row],[Impact Type]]="CO2E MKT")),emissions[[#This Row],[kgCO2e]],0)/1000</f>
        <v>0</v>
      </c>
      <c r="AQ1263" t="str">
        <f>_xlfn.TEXTAFTER(emissions[[#This Row],[Reporting Unit]]," &gt; ",LEN(emissions[[#This Row],[Reporting Unit]])-LEN(SUBSTITUTE(emissions[[#This Row],[Reporting Unit]],"&gt;","")))</f>
        <v>Vantage_Fairfield</v>
      </c>
      <c r="AR1263" t="str">
        <f>_xlfn.XLOOKUP(emissions[[#This Row],[Reporting unit name]],hierarchy!$A:$A,hierarchy!$C:$C)</f>
        <v>Office</v>
      </c>
    </row>
    <row r="1264" spans="1:44" hidden="1" x14ac:dyDescent="0.25">
      <c r="A1264">
        <v>4949</v>
      </c>
      <c r="B1264" t="s">
        <v>353</v>
      </c>
      <c r="C1264" t="s">
        <v>501</v>
      </c>
      <c r="D1264" t="s">
        <v>599</v>
      </c>
      <c r="E1264" s="3">
        <v>44197</v>
      </c>
      <c r="F1264" s="3">
        <v>44561</v>
      </c>
      <c r="G1264" t="s">
        <v>108</v>
      </c>
      <c r="H1264" s="3">
        <v>44197</v>
      </c>
      <c r="I1264" s="3">
        <v>44561</v>
      </c>
      <c r="J1264" t="s">
        <v>108</v>
      </c>
      <c r="K1264">
        <v>404720</v>
      </c>
      <c r="L1264" t="s">
        <v>109</v>
      </c>
      <c r="M1264" t="s">
        <v>110</v>
      </c>
      <c r="O1264" t="s">
        <v>600</v>
      </c>
      <c r="P1264" t="s">
        <v>550</v>
      </c>
      <c r="Q1264">
        <v>2021</v>
      </c>
      <c r="R1264" t="s">
        <v>575</v>
      </c>
      <c r="S1264" t="s">
        <v>576</v>
      </c>
      <c r="T1264" t="s">
        <v>577</v>
      </c>
      <c r="U1264" t="b">
        <v>0</v>
      </c>
      <c r="V1264" t="s">
        <v>899</v>
      </c>
      <c r="W1264" t="s">
        <v>571</v>
      </c>
      <c r="X1264" t="s">
        <v>572</v>
      </c>
      <c r="Y1264" t="s">
        <v>472</v>
      </c>
      <c r="Z1264" t="s">
        <v>485</v>
      </c>
      <c r="AA1264" t="s">
        <v>764</v>
      </c>
      <c r="AB1264" t="s">
        <v>895</v>
      </c>
      <c r="AC1264">
        <v>0</v>
      </c>
      <c r="AD1264" t="s">
        <v>565</v>
      </c>
      <c r="AE1264">
        <v>33871.740230000003</v>
      </c>
      <c r="AF1264">
        <v>8.3691787000000004E-2</v>
      </c>
      <c r="AG1264" t="s">
        <v>560</v>
      </c>
      <c r="AH1264">
        <v>1</v>
      </c>
      <c r="AI1264">
        <v>404720</v>
      </c>
      <c r="AJ1264" t="s">
        <v>561</v>
      </c>
      <c r="AK1264" t="s">
        <v>573</v>
      </c>
      <c r="AL1264" t="s">
        <v>913</v>
      </c>
      <c r="AM1264">
        <v>2021</v>
      </c>
      <c r="AN1264">
        <v>2019</v>
      </c>
      <c r="AO1264">
        <f>IF(AND(emissions[[#This Row],[Market-based]]=0,emissions[[#This Row],[Impact Type]]="CO2E"),emissions[[#This Row],[kgCO2e]],0)/1000</f>
        <v>33.87174023</v>
      </c>
      <c r="AP1264">
        <f>IF(AND(emissions[[#This Row],[Market-based]]=1,OR(emissions[[#This Row],[Impact Type]]="CO2E",emissions[[#This Row],[Impact Type]]="CO2E MKT")),emissions[[#This Row],[kgCO2e]],0)/1000</f>
        <v>0</v>
      </c>
      <c r="AQ1264" t="str">
        <f>_xlfn.TEXTAFTER(emissions[[#This Row],[Reporting Unit]]," &gt; ",LEN(emissions[[#This Row],[Reporting Unit]])-LEN(SUBSTITUTE(emissions[[#This Row],[Reporting Unit]],"&gt;","")))</f>
        <v>Vantage_Fairfield</v>
      </c>
      <c r="AR1264" t="str">
        <f>_xlfn.XLOOKUP(emissions[[#This Row],[Reporting unit name]],hierarchy!$A:$A,hierarchy!$C:$C)</f>
        <v>Office</v>
      </c>
    </row>
    <row r="1265" spans="1:44" hidden="1" x14ac:dyDescent="0.25">
      <c r="A1265">
        <v>4949</v>
      </c>
      <c r="B1265" t="s">
        <v>353</v>
      </c>
      <c r="C1265" t="s">
        <v>501</v>
      </c>
      <c r="D1265" t="s">
        <v>599</v>
      </c>
      <c r="E1265" s="3">
        <v>44197</v>
      </c>
      <c r="F1265" s="3">
        <v>44561</v>
      </c>
      <c r="G1265" t="s">
        <v>108</v>
      </c>
      <c r="H1265" s="3">
        <v>44197</v>
      </c>
      <c r="I1265" s="3">
        <v>44561</v>
      </c>
      <c r="J1265" t="s">
        <v>108</v>
      </c>
      <c r="K1265">
        <v>404720</v>
      </c>
      <c r="L1265" t="s">
        <v>109</v>
      </c>
      <c r="M1265" t="s">
        <v>110</v>
      </c>
      <c r="O1265" t="s">
        <v>600</v>
      </c>
      <c r="P1265" t="s">
        <v>550</v>
      </c>
      <c r="Q1265">
        <v>2021</v>
      </c>
      <c r="R1265" t="s">
        <v>575</v>
      </c>
      <c r="S1265" t="s">
        <v>576</v>
      </c>
      <c r="T1265" t="s">
        <v>577</v>
      </c>
      <c r="U1265" t="b">
        <v>0</v>
      </c>
      <c r="V1265" t="s">
        <v>899</v>
      </c>
      <c r="W1265" t="s">
        <v>571</v>
      </c>
      <c r="X1265" t="s">
        <v>572</v>
      </c>
      <c r="Y1265" t="s">
        <v>472</v>
      </c>
      <c r="Z1265" t="s">
        <v>485</v>
      </c>
      <c r="AA1265" t="s">
        <v>764</v>
      </c>
      <c r="AB1265" t="s">
        <v>895</v>
      </c>
      <c r="AC1265">
        <v>0</v>
      </c>
      <c r="AD1265" t="s">
        <v>566</v>
      </c>
      <c r="AE1265">
        <v>101.1625112</v>
      </c>
      <c r="AF1265">
        <v>2.4995699999999998E-4</v>
      </c>
      <c r="AG1265" t="s">
        <v>560</v>
      </c>
      <c r="AH1265">
        <v>1</v>
      </c>
      <c r="AI1265">
        <v>404720</v>
      </c>
      <c r="AJ1265" t="s">
        <v>561</v>
      </c>
      <c r="AK1265" t="s">
        <v>573</v>
      </c>
      <c r="AL1265" t="s">
        <v>913</v>
      </c>
      <c r="AM1265">
        <v>2021</v>
      </c>
      <c r="AN1265">
        <v>2019</v>
      </c>
      <c r="AO1265">
        <f>IF(AND(emissions[[#This Row],[Market-based]]=0,emissions[[#This Row],[Impact Type]]="CO2E"),emissions[[#This Row],[kgCO2e]],0)/1000</f>
        <v>0</v>
      </c>
      <c r="AP1265">
        <f>IF(AND(emissions[[#This Row],[Market-based]]=1,OR(emissions[[#This Row],[Impact Type]]="CO2E",emissions[[#This Row],[Impact Type]]="CO2E MKT")),emissions[[#This Row],[kgCO2e]],0)/1000</f>
        <v>0</v>
      </c>
      <c r="AQ1265" t="str">
        <f>_xlfn.TEXTAFTER(emissions[[#This Row],[Reporting Unit]]," &gt; ",LEN(emissions[[#This Row],[Reporting Unit]])-LEN(SUBSTITUTE(emissions[[#This Row],[Reporting Unit]],"&gt;","")))</f>
        <v>Vantage_Fairfield</v>
      </c>
      <c r="AR1265" t="str">
        <f>_xlfn.XLOOKUP(emissions[[#This Row],[Reporting unit name]],hierarchy!$A:$A,hierarchy!$C:$C)</f>
        <v>Office</v>
      </c>
    </row>
    <row r="1266" spans="1:44" hidden="1" x14ac:dyDescent="0.25">
      <c r="A1266">
        <v>4949</v>
      </c>
      <c r="B1266" t="s">
        <v>353</v>
      </c>
      <c r="C1266" t="s">
        <v>501</v>
      </c>
      <c r="D1266" t="s">
        <v>599</v>
      </c>
      <c r="E1266" s="3">
        <v>44197</v>
      </c>
      <c r="F1266" s="3">
        <v>44561</v>
      </c>
      <c r="G1266" t="s">
        <v>108</v>
      </c>
      <c r="H1266" s="3">
        <v>44197</v>
      </c>
      <c r="I1266" s="3">
        <v>44561</v>
      </c>
      <c r="J1266" t="s">
        <v>108</v>
      </c>
      <c r="K1266">
        <v>404720</v>
      </c>
      <c r="L1266" t="s">
        <v>109</v>
      </c>
      <c r="M1266" t="s">
        <v>110</v>
      </c>
      <c r="O1266" t="s">
        <v>600</v>
      </c>
      <c r="P1266" t="s">
        <v>550</v>
      </c>
      <c r="Q1266">
        <v>2021</v>
      </c>
      <c r="R1266" t="s">
        <v>575</v>
      </c>
      <c r="S1266" t="s">
        <v>576</v>
      </c>
      <c r="T1266" t="s">
        <v>577</v>
      </c>
      <c r="U1266" t="b">
        <v>0</v>
      </c>
      <c r="V1266" t="s">
        <v>899</v>
      </c>
      <c r="W1266" t="s">
        <v>571</v>
      </c>
      <c r="X1266" t="s">
        <v>572</v>
      </c>
      <c r="Y1266" t="s">
        <v>472</v>
      </c>
      <c r="Z1266" t="s">
        <v>485</v>
      </c>
      <c r="AA1266" t="s">
        <v>764</v>
      </c>
      <c r="AB1266" t="s">
        <v>895</v>
      </c>
      <c r="AC1266">
        <v>1</v>
      </c>
      <c r="AD1266" t="s">
        <v>639</v>
      </c>
      <c r="AE1266">
        <v>33716.310769999996</v>
      </c>
      <c r="AF1266">
        <v>8.3307746000000002E-2</v>
      </c>
      <c r="AG1266" t="s">
        <v>560</v>
      </c>
      <c r="AH1266">
        <v>1</v>
      </c>
      <c r="AI1266">
        <v>404720</v>
      </c>
      <c r="AJ1266" t="s">
        <v>561</v>
      </c>
      <c r="AK1266" t="s">
        <v>573</v>
      </c>
      <c r="AL1266" t="s">
        <v>900</v>
      </c>
      <c r="AM1266">
        <v>2021</v>
      </c>
      <c r="AN1266">
        <v>2019</v>
      </c>
      <c r="AO1266">
        <f>IF(AND(emissions[[#This Row],[Market-based]]=0,emissions[[#This Row],[Impact Type]]="CO2E"),emissions[[#This Row],[kgCO2e]],0)/1000</f>
        <v>0</v>
      </c>
      <c r="AP1266">
        <f>IF(AND(emissions[[#This Row],[Market-based]]=1,OR(emissions[[#This Row],[Impact Type]]="CO2E",emissions[[#This Row],[Impact Type]]="CO2E MKT")),emissions[[#This Row],[kgCO2e]],0)/1000</f>
        <v>33.71631077</v>
      </c>
      <c r="AQ1266" t="str">
        <f>_xlfn.TEXTAFTER(emissions[[#This Row],[Reporting Unit]]," &gt; ",LEN(emissions[[#This Row],[Reporting Unit]])-LEN(SUBSTITUTE(emissions[[#This Row],[Reporting Unit]],"&gt;","")))</f>
        <v>Vantage_Fairfield</v>
      </c>
      <c r="AR1266" t="str">
        <f>_xlfn.XLOOKUP(emissions[[#This Row],[Reporting unit name]],hierarchy!$A:$A,hierarchy!$C:$C)</f>
        <v>Office</v>
      </c>
    </row>
    <row r="1267" spans="1:44" hidden="1" x14ac:dyDescent="0.25">
      <c r="A1267">
        <v>4949</v>
      </c>
      <c r="B1267" t="s">
        <v>353</v>
      </c>
      <c r="C1267" t="s">
        <v>501</v>
      </c>
      <c r="D1267" t="s">
        <v>599</v>
      </c>
      <c r="E1267" s="3">
        <v>44197</v>
      </c>
      <c r="F1267" s="3">
        <v>44561</v>
      </c>
      <c r="G1267" t="s">
        <v>108</v>
      </c>
      <c r="H1267" s="3">
        <v>44197</v>
      </c>
      <c r="I1267" s="3">
        <v>44561</v>
      </c>
      <c r="J1267" t="s">
        <v>108</v>
      </c>
      <c r="K1267">
        <v>404720</v>
      </c>
      <c r="L1267" t="s">
        <v>109</v>
      </c>
      <c r="M1267" t="s">
        <v>110</v>
      </c>
      <c r="O1267" t="s">
        <v>600</v>
      </c>
      <c r="P1267" t="s">
        <v>550</v>
      </c>
      <c r="Q1267">
        <v>2021</v>
      </c>
      <c r="R1267" t="s">
        <v>579</v>
      </c>
      <c r="S1267" t="s">
        <v>580</v>
      </c>
      <c r="T1267" t="s">
        <v>581</v>
      </c>
      <c r="U1267" t="b">
        <v>0</v>
      </c>
      <c r="V1267" t="s">
        <v>901</v>
      </c>
      <c r="W1267" t="s">
        <v>571</v>
      </c>
      <c r="X1267" t="s">
        <v>572</v>
      </c>
      <c r="Y1267" t="s">
        <v>472</v>
      </c>
      <c r="Z1267" t="s">
        <v>485</v>
      </c>
      <c r="AA1267" t="s">
        <v>764</v>
      </c>
      <c r="AB1267" t="s">
        <v>895</v>
      </c>
      <c r="AC1267">
        <v>0</v>
      </c>
      <c r="AD1267" t="s">
        <v>565</v>
      </c>
      <c r="AE1267">
        <v>6539.1725269999997</v>
      </c>
      <c r="AF1267">
        <v>1.6157274999999999E-2</v>
      </c>
      <c r="AG1267" t="s">
        <v>560</v>
      </c>
      <c r="AH1267">
        <v>1</v>
      </c>
      <c r="AI1267">
        <v>404720</v>
      </c>
      <c r="AJ1267" t="s">
        <v>561</v>
      </c>
      <c r="AK1267" t="s">
        <v>766</v>
      </c>
      <c r="AL1267" t="s">
        <v>790</v>
      </c>
      <c r="AM1267">
        <v>2021</v>
      </c>
      <c r="AN1267">
        <v>2019</v>
      </c>
      <c r="AO1267">
        <f>IF(AND(emissions[[#This Row],[Market-based]]=0,emissions[[#This Row],[Impact Type]]="CO2E"),emissions[[#This Row],[kgCO2e]],0)/1000</f>
        <v>6.5391725269999998</v>
      </c>
      <c r="AP1267">
        <f>IF(AND(emissions[[#This Row],[Market-based]]=1,OR(emissions[[#This Row],[Impact Type]]="CO2E",emissions[[#This Row],[Impact Type]]="CO2E MKT")),emissions[[#This Row],[kgCO2e]],0)/1000</f>
        <v>0</v>
      </c>
      <c r="AQ1267" t="str">
        <f>_xlfn.TEXTAFTER(emissions[[#This Row],[Reporting Unit]]," &gt; ",LEN(emissions[[#This Row],[Reporting Unit]])-LEN(SUBSTITUTE(emissions[[#This Row],[Reporting Unit]],"&gt;","")))</f>
        <v>Vantage_Fairfield</v>
      </c>
      <c r="AR1267" t="str">
        <f>_xlfn.XLOOKUP(emissions[[#This Row],[Reporting unit name]],hierarchy!$A:$A,hierarchy!$C:$C)</f>
        <v>Office</v>
      </c>
    </row>
    <row r="1268" spans="1:44" hidden="1" x14ac:dyDescent="0.25">
      <c r="A1268">
        <v>4949</v>
      </c>
      <c r="B1268" t="s">
        <v>353</v>
      </c>
      <c r="C1268" t="s">
        <v>501</v>
      </c>
      <c r="D1268" t="s">
        <v>599</v>
      </c>
      <c r="E1268" s="3">
        <v>44197</v>
      </c>
      <c r="F1268" s="3">
        <v>44561</v>
      </c>
      <c r="G1268" t="s">
        <v>108</v>
      </c>
      <c r="H1268" s="3">
        <v>44197</v>
      </c>
      <c r="I1268" s="3">
        <v>44561</v>
      </c>
      <c r="J1268" t="s">
        <v>108</v>
      </c>
      <c r="K1268">
        <v>404720</v>
      </c>
      <c r="L1268" t="s">
        <v>109</v>
      </c>
      <c r="M1268" t="s">
        <v>110</v>
      </c>
      <c r="O1268" t="s">
        <v>600</v>
      </c>
      <c r="P1268" t="s">
        <v>550</v>
      </c>
      <c r="Q1268">
        <v>2021</v>
      </c>
      <c r="R1268" t="s">
        <v>579</v>
      </c>
      <c r="S1268" t="s">
        <v>580</v>
      </c>
      <c r="T1268" t="s">
        <v>581</v>
      </c>
      <c r="U1268" t="b">
        <v>0</v>
      </c>
      <c r="V1268" t="s">
        <v>902</v>
      </c>
      <c r="W1268" t="s">
        <v>571</v>
      </c>
      <c r="X1268" t="s">
        <v>572</v>
      </c>
      <c r="Y1268" t="s">
        <v>472</v>
      </c>
      <c r="Z1268" t="s">
        <v>485</v>
      </c>
      <c r="AA1268" t="s">
        <v>764</v>
      </c>
      <c r="AB1268" t="s">
        <v>895</v>
      </c>
      <c r="AC1268">
        <v>1</v>
      </c>
      <c r="AD1268" t="s">
        <v>639</v>
      </c>
      <c r="AE1268">
        <v>6509.1657999999998</v>
      </c>
      <c r="AF1268">
        <v>1.6083133999999999E-2</v>
      </c>
      <c r="AG1268" t="s">
        <v>560</v>
      </c>
      <c r="AH1268">
        <v>1</v>
      </c>
      <c r="AI1268">
        <v>404720</v>
      </c>
      <c r="AJ1268" t="s">
        <v>561</v>
      </c>
      <c r="AK1268" t="s">
        <v>573</v>
      </c>
      <c r="AL1268" t="s">
        <v>903</v>
      </c>
      <c r="AM1268">
        <v>2021</v>
      </c>
      <c r="AN1268">
        <v>2019</v>
      </c>
      <c r="AO1268">
        <f>IF(AND(emissions[[#This Row],[Market-based]]=0,emissions[[#This Row],[Impact Type]]="CO2E"),emissions[[#This Row],[kgCO2e]],0)/1000</f>
        <v>0</v>
      </c>
      <c r="AP1268">
        <f>IF(AND(emissions[[#This Row],[Market-based]]=1,OR(emissions[[#This Row],[Impact Type]]="CO2E",emissions[[#This Row],[Impact Type]]="CO2E MKT")),emissions[[#This Row],[kgCO2e]],0)/1000</f>
        <v>6.5091657999999999</v>
      </c>
      <c r="AQ1268" t="str">
        <f>_xlfn.TEXTAFTER(emissions[[#This Row],[Reporting Unit]]," &gt; ",LEN(emissions[[#This Row],[Reporting Unit]])-LEN(SUBSTITUTE(emissions[[#This Row],[Reporting Unit]],"&gt;","")))</f>
        <v>Vantage_Fairfield</v>
      </c>
      <c r="AR1268" t="str">
        <f>_xlfn.XLOOKUP(emissions[[#This Row],[Reporting unit name]],hierarchy!$A:$A,hierarchy!$C:$C)</f>
        <v>Office</v>
      </c>
    </row>
    <row r="1269" spans="1:44" hidden="1" x14ac:dyDescent="0.25">
      <c r="A1269">
        <v>4976</v>
      </c>
      <c r="B1269" t="s">
        <v>353</v>
      </c>
      <c r="C1269" t="s">
        <v>501</v>
      </c>
      <c r="D1269" t="s">
        <v>599</v>
      </c>
      <c r="E1269" s="3">
        <v>44197</v>
      </c>
      <c r="F1269" s="3">
        <v>44561</v>
      </c>
      <c r="G1269" t="s">
        <v>135</v>
      </c>
      <c r="H1269" s="3">
        <v>44197</v>
      </c>
      <c r="I1269" s="3">
        <v>44561</v>
      </c>
      <c r="J1269" t="s">
        <v>135</v>
      </c>
      <c r="K1269">
        <v>16621.580000000002</v>
      </c>
      <c r="L1269" t="s">
        <v>136</v>
      </c>
      <c r="M1269" t="s">
        <v>110</v>
      </c>
      <c r="O1269" t="s">
        <v>600</v>
      </c>
      <c r="P1269" t="s">
        <v>550</v>
      </c>
      <c r="Q1269">
        <v>2021</v>
      </c>
      <c r="R1269" t="s">
        <v>605</v>
      </c>
      <c r="S1269" t="s">
        <v>606</v>
      </c>
      <c r="T1269" t="s">
        <v>553</v>
      </c>
      <c r="U1269" t="b">
        <v>0</v>
      </c>
      <c r="V1269" t="s">
        <v>781</v>
      </c>
      <c r="W1269" t="s">
        <v>587</v>
      </c>
      <c r="X1269" t="s">
        <v>556</v>
      </c>
      <c r="Y1269" t="s">
        <v>472</v>
      </c>
      <c r="Z1269" t="s">
        <v>485</v>
      </c>
      <c r="AA1269" t="s">
        <v>764</v>
      </c>
      <c r="AC1269">
        <v>0</v>
      </c>
      <c r="AD1269" t="s">
        <v>558</v>
      </c>
      <c r="AE1269">
        <v>41.55395</v>
      </c>
      <c r="AF1269">
        <v>2.5000000000000001E-2</v>
      </c>
      <c r="AG1269" t="s">
        <v>798</v>
      </c>
      <c r="AH1269">
        <v>0.1</v>
      </c>
      <c r="AI1269">
        <v>1662.1579999999999</v>
      </c>
      <c r="AJ1269" t="s">
        <v>561</v>
      </c>
      <c r="AK1269" t="s">
        <v>766</v>
      </c>
      <c r="AL1269" t="s">
        <v>790</v>
      </c>
      <c r="AM1269">
        <v>2021</v>
      </c>
      <c r="AN1269">
        <v>2021</v>
      </c>
      <c r="AO1269">
        <f>IF(AND(emissions[[#This Row],[Market-based]]=0,emissions[[#This Row],[Impact Type]]="CO2E"),emissions[[#This Row],[kgCO2e]],0)/1000</f>
        <v>0</v>
      </c>
      <c r="AP1269">
        <f>IF(AND(emissions[[#This Row],[Market-based]]=1,OR(emissions[[#This Row],[Impact Type]]="CO2E",emissions[[#This Row],[Impact Type]]="CO2E MKT")),emissions[[#This Row],[kgCO2e]],0)/1000</f>
        <v>0</v>
      </c>
      <c r="AQ1269" t="str">
        <f>_xlfn.TEXTAFTER(emissions[[#This Row],[Reporting Unit]]," &gt; ",LEN(emissions[[#This Row],[Reporting Unit]])-LEN(SUBSTITUTE(emissions[[#This Row],[Reporting Unit]],"&gt;","")))</f>
        <v>Vantage_Fairfield</v>
      </c>
      <c r="AR1269" t="str">
        <f>_xlfn.XLOOKUP(emissions[[#This Row],[Reporting unit name]],hierarchy!$A:$A,hierarchy!$C:$C)</f>
        <v>Office</v>
      </c>
    </row>
    <row r="1270" spans="1:44" hidden="1" x14ac:dyDescent="0.25">
      <c r="A1270">
        <v>4976</v>
      </c>
      <c r="B1270" t="s">
        <v>353</v>
      </c>
      <c r="C1270" t="s">
        <v>501</v>
      </c>
      <c r="D1270" t="s">
        <v>599</v>
      </c>
      <c r="E1270" s="3">
        <v>44197</v>
      </c>
      <c r="F1270" s="3">
        <v>44561</v>
      </c>
      <c r="G1270" t="s">
        <v>135</v>
      </c>
      <c r="H1270" s="3">
        <v>44197</v>
      </c>
      <c r="I1270" s="3">
        <v>44561</v>
      </c>
      <c r="J1270" t="s">
        <v>135</v>
      </c>
      <c r="K1270">
        <v>16621.580000000002</v>
      </c>
      <c r="L1270" t="s">
        <v>136</v>
      </c>
      <c r="M1270" t="s">
        <v>110</v>
      </c>
      <c r="O1270" t="s">
        <v>600</v>
      </c>
      <c r="P1270" t="s">
        <v>550</v>
      </c>
      <c r="Q1270">
        <v>2021</v>
      </c>
      <c r="R1270" t="s">
        <v>605</v>
      </c>
      <c r="S1270" t="s">
        <v>606</v>
      </c>
      <c r="T1270" t="s">
        <v>553</v>
      </c>
      <c r="U1270" t="b">
        <v>0</v>
      </c>
      <c r="V1270" t="s">
        <v>781</v>
      </c>
      <c r="W1270" t="s">
        <v>587</v>
      </c>
      <c r="X1270" t="s">
        <v>556</v>
      </c>
      <c r="Y1270" t="s">
        <v>472</v>
      </c>
      <c r="Z1270" t="s">
        <v>485</v>
      </c>
      <c r="AA1270" t="s">
        <v>764</v>
      </c>
      <c r="AC1270">
        <v>0</v>
      </c>
      <c r="AD1270" t="s">
        <v>564</v>
      </c>
      <c r="AE1270">
        <v>88194.103480000005</v>
      </c>
      <c r="AF1270">
        <v>53.06</v>
      </c>
      <c r="AG1270" t="s">
        <v>798</v>
      </c>
      <c r="AH1270">
        <v>0.1</v>
      </c>
      <c r="AI1270">
        <v>1662.1579999999999</v>
      </c>
      <c r="AJ1270" t="s">
        <v>561</v>
      </c>
      <c r="AK1270" t="s">
        <v>766</v>
      </c>
      <c r="AL1270" t="s">
        <v>787</v>
      </c>
      <c r="AM1270">
        <v>2021</v>
      </c>
      <c r="AN1270">
        <v>2020</v>
      </c>
      <c r="AO1270">
        <f>IF(AND(emissions[[#This Row],[Market-based]]=0,emissions[[#This Row],[Impact Type]]="CO2E"),emissions[[#This Row],[kgCO2e]],0)/1000</f>
        <v>0</v>
      </c>
      <c r="AP1270">
        <f>IF(AND(emissions[[#This Row],[Market-based]]=1,OR(emissions[[#This Row],[Impact Type]]="CO2E",emissions[[#This Row],[Impact Type]]="CO2E MKT")),emissions[[#This Row],[kgCO2e]],0)/1000</f>
        <v>0</v>
      </c>
      <c r="AQ1270" t="str">
        <f>_xlfn.TEXTAFTER(emissions[[#This Row],[Reporting Unit]]," &gt; ",LEN(emissions[[#This Row],[Reporting Unit]])-LEN(SUBSTITUTE(emissions[[#This Row],[Reporting Unit]],"&gt;","")))</f>
        <v>Vantage_Fairfield</v>
      </c>
      <c r="AR1270" t="str">
        <f>_xlfn.XLOOKUP(emissions[[#This Row],[Reporting unit name]],hierarchy!$A:$A,hierarchy!$C:$C)</f>
        <v>Office</v>
      </c>
    </row>
    <row r="1271" spans="1:44" hidden="1" x14ac:dyDescent="0.25">
      <c r="A1271">
        <v>4976</v>
      </c>
      <c r="B1271" t="s">
        <v>353</v>
      </c>
      <c r="C1271" t="s">
        <v>501</v>
      </c>
      <c r="D1271" t="s">
        <v>599</v>
      </c>
      <c r="E1271" s="3">
        <v>44197</v>
      </c>
      <c r="F1271" s="3">
        <v>44561</v>
      </c>
      <c r="G1271" t="s">
        <v>135</v>
      </c>
      <c r="H1271" s="3">
        <v>44197</v>
      </c>
      <c r="I1271" s="3">
        <v>44561</v>
      </c>
      <c r="J1271" t="s">
        <v>135</v>
      </c>
      <c r="K1271">
        <v>16621.580000000002</v>
      </c>
      <c r="L1271" t="s">
        <v>136</v>
      </c>
      <c r="M1271" t="s">
        <v>110</v>
      </c>
      <c r="O1271" t="s">
        <v>600</v>
      </c>
      <c r="P1271" t="s">
        <v>550</v>
      </c>
      <c r="Q1271">
        <v>2021</v>
      </c>
      <c r="R1271" t="s">
        <v>605</v>
      </c>
      <c r="S1271" t="s">
        <v>606</v>
      </c>
      <c r="T1271" t="s">
        <v>553</v>
      </c>
      <c r="U1271" t="b">
        <v>0</v>
      </c>
      <c r="V1271" t="s">
        <v>781</v>
      </c>
      <c r="W1271" t="s">
        <v>587</v>
      </c>
      <c r="X1271" t="s">
        <v>556</v>
      </c>
      <c r="Y1271" t="s">
        <v>472</v>
      </c>
      <c r="Z1271" t="s">
        <v>485</v>
      </c>
      <c r="AA1271" t="s">
        <v>764</v>
      </c>
      <c r="AC1271">
        <v>0</v>
      </c>
      <c r="AD1271" t="s">
        <v>565</v>
      </c>
      <c r="AE1271">
        <v>88285.189740000002</v>
      </c>
      <c r="AF1271">
        <v>53.114800000000002</v>
      </c>
      <c r="AG1271" t="s">
        <v>798</v>
      </c>
      <c r="AH1271">
        <v>0.1</v>
      </c>
      <c r="AI1271">
        <v>1662.1579999999999</v>
      </c>
      <c r="AJ1271" t="s">
        <v>561</v>
      </c>
      <c r="AK1271" t="s">
        <v>766</v>
      </c>
      <c r="AL1271" t="s">
        <v>790</v>
      </c>
      <c r="AM1271">
        <v>2021</v>
      </c>
      <c r="AN1271">
        <v>2021</v>
      </c>
      <c r="AO1271">
        <f>IF(AND(emissions[[#This Row],[Market-based]]=0,emissions[[#This Row],[Impact Type]]="CO2E"),emissions[[#This Row],[kgCO2e]],0)/1000</f>
        <v>88.285189740000007</v>
      </c>
      <c r="AP1271">
        <f>IF(AND(emissions[[#This Row],[Market-based]]=1,OR(emissions[[#This Row],[Impact Type]]="CO2E",emissions[[#This Row],[Impact Type]]="CO2E MKT")),emissions[[#This Row],[kgCO2e]],0)/1000</f>
        <v>0</v>
      </c>
      <c r="AQ1271" t="str">
        <f>_xlfn.TEXTAFTER(emissions[[#This Row],[Reporting Unit]]," &gt; ",LEN(emissions[[#This Row],[Reporting Unit]])-LEN(SUBSTITUTE(emissions[[#This Row],[Reporting Unit]],"&gt;","")))</f>
        <v>Vantage_Fairfield</v>
      </c>
      <c r="AR1271" t="str">
        <f>_xlfn.XLOOKUP(emissions[[#This Row],[Reporting unit name]],hierarchy!$A:$A,hierarchy!$C:$C)</f>
        <v>Office</v>
      </c>
    </row>
    <row r="1272" spans="1:44" hidden="1" x14ac:dyDescent="0.25">
      <c r="A1272">
        <v>4976</v>
      </c>
      <c r="B1272" t="s">
        <v>353</v>
      </c>
      <c r="C1272" t="s">
        <v>501</v>
      </c>
      <c r="D1272" t="s">
        <v>599</v>
      </c>
      <c r="E1272" s="3">
        <v>44197</v>
      </c>
      <c r="F1272" s="3">
        <v>44561</v>
      </c>
      <c r="G1272" t="s">
        <v>135</v>
      </c>
      <c r="H1272" s="3">
        <v>44197</v>
      </c>
      <c r="I1272" s="3">
        <v>44561</v>
      </c>
      <c r="J1272" t="s">
        <v>135</v>
      </c>
      <c r="K1272">
        <v>16621.580000000002</v>
      </c>
      <c r="L1272" t="s">
        <v>136</v>
      </c>
      <c r="M1272" t="s">
        <v>110</v>
      </c>
      <c r="O1272" t="s">
        <v>600</v>
      </c>
      <c r="P1272" t="s">
        <v>550</v>
      </c>
      <c r="Q1272">
        <v>2021</v>
      </c>
      <c r="R1272" t="s">
        <v>605</v>
      </c>
      <c r="S1272" t="s">
        <v>606</v>
      </c>
      <c r="T1272" t="s">
        <v>553</v>
      </c>
      <c r="U1272" t="b">
        <v>0</v>
      </c>
      <c r="V1272" t="s">
        <v>781</v>
      </c>
      <c r="W1272" t="s">
        <v>587</v>
      </c>
      <c r="X1272" t="s">
        <v>556</v>
      </c>
      <c r="Y1272" t="s">
        <v>472</v>
      </c>
      <c r="Z1272" t="s">
        <v>485</v>
      </c>
      <c r="AA1272" t="s">
        <v>764</v>
      </c>
      <c r="AC1272">
        <v>0</v>
      </c>
      <c r="AD1272" t="s">
        <v>566</v>
      </c>
      <c r="AE1272">
        <v>49.532308399999998</v>
      </c>
      <c r="AF1272">
        <v>2.98E-2</v>
      </c>
      <c r="AG1272" t="s">
        <v>798</v>
      </c>
      <c r="AH1272">
        <v>0.1</v>
      </c>
      <c r="AI1272">
        <v>1662.1579999999999</v>
      </c>
      <c r="AJ1272" t="s">
        <v>561</v>
      </c>
      <c r="AK1272" t="s">
        <v>766</v>
      </c>
      <c r="AL1272" t="s">
        <v>790</v>
      </c>
      <c r="AM1272">
        <v>2021</v>
      </c>
      <c r="AN1272">
        <v>2021</v>
      </c>
      <c r="AO1272">
        <f>IF(AND(emissions[[#This Row],[Market-based]]=0,emissions[[#This Row],[Impact Type]]="CO2E"),emissions[[#This Row],[kgCO2e]],0)/1000</f>
        <v>0</v>
      </c>
      <c r="AP1272">
        <f>IF(AND(emissions[[#This Row],[Market-based]]=1,OR(emissions[[#This Row],[Impact Type]]="CO2E",emissions[[#This Row],[Impact Type]]="CO2E MKT")),emissions[[#This Row],[kgCO2e]],0)/1000</f>
        <v>0</v>
      </c>
      <c r="AQ1272" t="str">
        <f>_xlfn.TEXTAFTER(emissions[[#This Row],[Reporting Unit]]," &gt; ",LEN(emissions[[#This Row],[Reporting Unit]])-LEN(SUBSTITUTE(emissions[[#This Row],[Reporting Unit]],"&gt;","")))</f>
        <v>Vantage_Fairfield</v>
      </c>
      <c r="AR1272" t="str">
        <f>_xlfn.XLOOKUP(emissions[[#This Row],[Reporting unit name]],hierarchy!$A:$A,hierarchy!$C:$C)</f>
        <v>Office</v>
      </c>
    </row>
    <row r="1273" spans="1:44" hidden="1" x14ac:dyDescent="0.25">
      <c r="A1273">
        <v>4976</v>
      </c>
      <c r="B1273" t="s">
        <v>353</v>
      </c>
      <c r="C1273" t="s">
        <v>501</v>
      </c>
      <c r="D1273" t="s">
        <v>599</v>
      </c>
      <c r="E1273" s="3">
        <v>44197</v>
      </c>
      <c r="F1273" s="3">
        <v>44561</v>
      </c>
      <c r="G1273" t="s">
        <v>135</v>
      </c>
      <c r="H1273" s="3">
        <v>44197</v>
      </c>
      <c r="I1273" s="3">
        <v>44561</v>
      </c>
      <c r="J1273" t="s">
        <v>135</v>
      </c>
      <c r="K1273">
        <v>16621.580000000002</v>
      </c>
      <c r="L1273" t="s">
        <v>136</v>
      </c>
      <c r="M1273" t="s">
        <v>110</v>
      </c>
      <c r="O1273" t="s">
        <v>600</v>
      </c>
      <c r="P1273" t="s">
        <v>550</v>
      </c>
      <c r="Q1273">
        <v>2021</v>
      </c>
      <c r="R1273" t="s">
        <v>605</v>
      </c>
      <c r="S1273" t="s">
        <v>606</v>
      </c>
      <c r="T1273" t="s">
        <v>553</v>
      </c>
      <c r="U1273" t="b">
        <v>0</v>
      </c>
      <c r="V1273" t="s">
        <v>781</v>
      </c>
      <c r="W1273" t="s">
        <v>587</v>
      </c>
      <c r="X1273" t="s">
        <v>556</v>
      </c>
      <c r="Y1273" t="s">
        <v>472</v>
      </c>
      <c r="Z1273" t="s">
        <v>485</v>
      </c>
      <c r="AA1273" t="s">
        <v>764</v>
      </c>
      <c r="AC1273">
        <v>1</v>
      </c>
      <c r="AD1273" t="s">
        <v>558</v>
      </c>
      <c r="AE1273">
        <v>41.55395</v>
      </c>
      <c r="AF1273">
        <v>2.5000000000000001E-2</v>
      </c>
      <c r="AG1273" t="s">
        <v>798</v>
      </c>
      <c r="AH1273">
        <v>0.1</v>
      </c>
      <c r="AI1273">
        <v>1662.1579999999999</v>
      </c>
      <c r="AJ1273" t="s">
        <v>561</v>
      </c>
      <c r="AK1273" t="s">
        <v>766</v>
      </c>
      <c r="AL1273" t="s">
        <v>790</v>
      </c>
      <c r="AM1273">
        <v>2021</v>
      </c>
      <c r="AN1273">
        <v>2021</v>
      </c>
      <c r="AO1273">
        <f>IF(AND(emissions[[#This Row],[Market-based]]=0,emissions[[#This Row],[Impact Type]]="CO2E"),emissions[[#This Row],[kgCO2e]],0)/1000</f>
        <v>0</v>
      </c>
      <c r="AP1273">
        <f>IF(AND(emissions[[#This Row],[Market-based]]=1,OR(emissions[[#This Row],[Impact Type]]="CO2E",emissions[[#This Row],[Impact Type]]="CO2E MKT")),emissions[[#This Row],[kgCO2e]],0)/1000</f>
        <v>0</v>
      </c>
      <c r="AQ1273" t="str">
        <f>_xlfn.TEXTAFTER(emissions[[#This Row],[Reporting Unit]]," &gt; ",LEN(emissions[[#This Row],[Reporting Unit]])-LEN(SUBSTITUTE(emissions[[#This Row],[Reporting Unit]],"&gt;","")))</f>
        <v>Vantage_Fairfield</v>
      </c>
      <c r="AR1273" t="str">
        <f>_xlfn.XLOOKUP(emissions[[#This Row],[Reporting unit name]],hierarchy!$A:$A,hierarchy!$C:$C)</f>
        <v>Office</v>
      </c>
    </row>
    <row r="1274" spans="1:44" hidden="1" x14ac:dyDescent="0.25">
      <c r="A1274">
        <v>4976</v>
      </c>
      <c r="B1274" t="s">
        <v>353</v>
      </c>
      <c r="C1274" t="s">
        <v>501</v>
      </c>
      <c r="D1274" t="s">
        <v>599</v>
      </c>
      <c r="E1274" s="3">
        <v>44197</v>
      </c>
      <c r="F1274" s="3">
        <v>44561</v>
      </c>
      <c r="G1274" t="s">
        <v>135</v>
      </c>
      <c r="H1274" s="3">
        <v>44197</v>
      </c>
      <c r="I1274" s="3">
        <v>44561</v>
      </c>
      <c r="J1274" t="s">
        <v>135</v>
      </c>
      <c r="K1274">
        <v>16621.580000000002</v>
      </c>
      <c r="L1274" t="s">
        <v>136</v>
      </c>
      <c r="M1274" t="s">
        <v>110</v>
      </c>
      <c r="O1274" t="s">
        <v>600</v>
      </c>
      <c r="P1274" t="s">
        <v>550</v>
      </c>
      <c r="Q1274">
        <v>2021</v>
      </c>
      <c r="R1274" t="s">
        <v>605</v>
      </c>
      <c r="S1274" t="s">
        <v>606</v>
      </c>
      <c r="T1274" t="s">
        <v>553</v>
      </c>
      <c r="U1274" t="b">
        <v>0</v>
      </c>
      <c r="V1274" t="s">
        <v>781</v>
      </c>
      <c r="W1274" t="s">
        <v>587</v>
      </c>
      <c r="X1274" t="s">
        <v>556</v>
      </c>
      <c r="Y1274" t="s">
        <v>472</v>
      </c>
      <c r="Z1274" t="s">
        <v>485</v>
      </c>
      <c r="AA1274" t="s">
        <v>764</v>
      </c>
      <c r="AC1274">
        <v>1</v>
      </c>
      <c r="AD1274" t="s">
        <v>564</v>
      </c>
      <c r="AE1274">
        <v>88194.103480000005</v>
      </c>
      <c r="AF1274">
        <v>53.06</v>
      </c>
      <c r="AG1274" t="s">
        <v>798</v>
      </c>
      <c r="AH1274">
        <v>0.1</v>
      </c>
      <c r="AI1274">
        <v>1662.1579999999999</v>
      </c>
      <c r="AJ1274" t="s">
        <v>561</v>
      </c>
      <c r="AK1274" t="s">
        <v>766</v>
      </c>
      <c r="AL1274" t="s">
        <v>787</v>
      </c>
      <c r="AM1274">
        <v>2021</v>
      </c>
      <c r="AN1274">
        <v>2020</v>
      </c>
      <c r="AO1274">
        <f>IF(AND(emissions[[#This Row],[Market-based]]=0,emissions[[#This Row],[Impact Type]]="CO2E"),emissions[[#This Row],[kgCO2e]],0)/1000</f>
        <v>0</v>
      </c>
      <c r="AP1274">
        <f>IF(AND(emissions[[#This Row],[Market-based]]=1,OR(emissions[[#This Row],[Impact Type]]="CO2E",emissions[[#This Row],[Impact Type]]="CO2E MKT")),emissions[[#This Row],[kgCO2e]],0)/1000</f>
        <v>0</v>
      </c>
      <c r="AQ1274" t="str">
        <f>_xlfn.TEXTAFTER(emissions[[#This Row],[Reporting Unit]]," &gt; ",LEN(emissions[[#This Row],[Reporting Unit]])-LEN(SUBSTITUTE(emissions[[#This Row],[Reporting Unit]],"&gt;","")))</f>
        <v>Vantage_Fairfield</v>
      </c>
      <c r="AR1274" t="str">
        <f>_xlfn.XLOOKUP(emissions[[#This Row],[Reporting unit name]],hierarchy!$A:$A,hierarchy!$C:$C)</f>
        <v>Office</v>
      </c>
    </row>
    <row r="1275" spans="1:44" hidden="1" x14ac:dyDescent="0.25">
      <c r="A1275">
        <v>4976</v>
      </c>
      <c r="B1275" t="s">
        <v>353</v>
      </c>
      <c r="C1275" t="s">
        <v>501</v>
      </c>
      <c r="D1275" t="s">
        <v>599</v>
      </c>
      <c r="E1275" s="3">
        <v>44197</v>
      </c>
      <c r="F1275" s="3">
        <v>44561</v>
      </c>
      <c r="G1275" t="s">
        <v>135</v>
      </c>
      <c r="H1275" s="3">
        <v>44197</v>
      </c>
      <c r="I1275" s="3">
        <v>44561</v>
      </c>
      <c r="J1275" t="s">
        <v>135</v>
      </c>
      <c r="K1275">
        <v>16621.580000000002</v>
      </c>
      <c r="L1275" t="s">
        <v>136</v>
      </c>
      <c r="M1275" t="s">
        <v>110</v>
      </c>
      <c r="O1275" t="s">
        <v>600</v>
      </c>
      <c r="P1275" t="s">
        <v>550</v>
      </c>
      <c r="Q1275">
        <v>2021</v>
      </c>
      <c r="R1275" t="s">
        <v>605</v>
      </c>
      <c r="S1275" t="s">
        <v>606</v>
      </c>
      <c r="T1275" t="s">
        <v>553</v>
      </c>
      <c r="U1275" t="b">
        <v>0</v>
      </c>
      <c r="V1275" t="s">
        <v>781</v>
      </c>
      <c r="W1275" t="s">
        <v>587</v>
      </c>
      <c r="X1275" t="s">
        <v>556</v>
      </c>
      <c r="Y1275" t="s">
        <v>472</v>
      </c>
      <c r="Z1275" t="s">
        <v>485</v>
      </c>
      <c r="AA1275" t="s">
        <v>764</v>
      </c>
      <c r="AC1275">
        <v>1</v>
      </c>
      <c r="AD1275" t="s">
        <v>565</v>
      </c>
      <c r="AE1275">
        <v>88285.189740000002</v>
      </c>
      <c r="AF1275">
        <v>53.114800000000002</v>
      </c>
      <c r="AG1275" t="s">
        <v>798</v>
      </c>
      <c r="AH1275">
        <v>0.1</v>
      </c>
      <c r="AI1275">
        <v>1662.1579999999999</v>
      </c>
      <c r="AJ1275" t="s">
        <v>561</v>
      </c>
      <c r="AK1275" t="s">
        <v>766</v>
      </c>
      <c r="AL1275" t="s">
        <v>790</v>
      </c>
      <c r="AM1275">
        <v>2021</v>
      </c>
      <c r="AN1275">
        <v>2021</v>
      </c>
      <c r="AO1275">
        <f>IF(AND(emissions[[#This Row],[Market-based]]=0,emissions[[#This Row],[Impact Type]]="CO2E"),emissions[[#This Row],[kgCO2e]],0)/1000</f>
        <v>0</v>
      </c>
      <c r="AP1275">
        <f>IF(AND(emissions[[#This Row],[Market-based]]=1,OR(emissions[[#This Row],[Impact Type]]="CO2E",emissions[[#This Row],[Impact Type]]="CO2E MKT")),emissions[[#This Row],[kgCO2e]],0)/1000</f>
        <v>88.285189740000007</v>
      </c>
      <c r="AQ1275" t="str">
        <f>_xlfn.TEXTAFTER(emissions[[#This Row],[Reporting Unit]]," &gt; ",LEN(emissions[[#This Row],[Reporting Unit]])-LEN(SUBSTITUTE(emissions[[#This Row],[Reporting Unit]],"&gt;","")))</f>
        <v>Vantage_Fairfield</v>
      </c>
      <c r="AR1275" t="str">
        <f>_xlfn.XLOOKUP(emissions[[#This Row],[Reporting unit name]],hierarchy!$A:$A,hierarchy!$C:$C)</f>
        <v>Office</v>
      </c>
    </row>
    <row r="1276" spans="1:44" hidden="1" x14ac:dyDescent="0.25">
      <c r="A1276">
        <v>4976</v>
      </c>
      <c r="B1276" t="s">
        <v>353</v>
      </c>
      <c r="C1276" t="s">
        <v>501</v>
      </c>
      <c r="D1276" t="s">
        <v>599</v>
      </c>
      <c r="E1276" s="3">
        <v>44197</v>
      </c>
      <c r="F1276" s="3">
        <v>44561</v>
      </c>
      <c r="G1276" t="s">
        <v>135</v>
      </c>
      <c r="H1276" s="3">
        <v>44197</v>
      </c>
      <c r="I1276" s="3">
        <v>44561</v>
      </c>
      <c r="J1276" t="s">
        <v>135</v>
      </c>
      <c r="K1276">
        <v>16621.580000000002</v>
      </c>
      <c r="L1276" t="s">
        <v>136</v>
      </c>
      <c r="M1276" t="s">
        <v>110</v>
      </c>
      <c r="O1276" t="s">
        <v>600</v>
      </c>
      <c r="P1276" t="s">
        <v>550</v>
      </c>
      <c r="Q1276">
        <v>2021</v>
      </c>
      <c r="R1276" t="s">
        <v>605</v>
      </c>
      <c r="S1276" t="s">
        <v>606</v>
      </c>
      <c r="T1276" t="s">
        <v>553</v>
      </c>
      <c r="U1276" t="b">
        <v>0</v>
      </c>
      <c r="V1276" t="s">
        <v>781</v>
      </c>
      <c r="W1276" t="s">
        <v>587</v>
      </c>
      <c r="X1276" t="s">
        <v>556</v>
      </c>
      <c r="Y1276" t="s">
        <v>472</v>
      </c>
      <c r="Z1276" t="s">
        <v>485</v>
      </c>
      <c r="AA1276" t="s">
        <v>764</v>
      </c>
      <c r="AC1276">
        <v>1</v>
      </c>
      <c r="AD1276" t="s">
        <v>566</v>
      </c>
      <c r="AE1276">
        <v>49.532308399999998</v>
      </c>
      <c r="AF1276">
        <v>2.98E-2</v>
      </c>
      <c r="AG1276" t="s">
        <v>798</v>
      </c>
      <c r="AH1276">
        <v>0.1</v>
      </c>
      <c r="AI1276">
        <v>1662.1579999999999</v>
      </c>
      <c r="AJ1276" t="s">
        <v>561</v>
      </c>
      <c r="AK1276" t="s">
        <v>766</v>
      </c>
      <c r="AL1276" t="s">
        <v>790</v>
      </c>
      <c r="AM1276">
        <v>2021</v>
      </c>
      <c r="AN1276">
        <v>2021</v>
      </c>
      <c r="AO1276">
        <f>IF(AND(emissions[[#This Row],[Market-based]]=0,emissions[[#This Row],[Impact Type]]="CO2E"),emissions[[#This Row],[kgCO2e]],0)/1000</f>
        <v>0</v>
      </c>
      <c r="AP1276">
        <f>IF(AND(emissions[[#This Row],[Market-based]]=1,OR(emissions[[#This Row],[Impact Type]]="CO2E",emissions[[#This Row],[Impact Type]]="CO2E MKT")),emissions[[#This Row],[kgCO2e]],0)/1000</f>
        <v>0</v>
      </c>
      <c r="AQ1276" t="str">
        <f>_xlfn.TEXTAFTER(emissions[[#This Row],[Reporting Unit]]," &gt; ",LEN(emissions[[#This Row],[Reporting Unit]])-LEN(SUBSTITUTE(emissions[[#This Row],[Reporting Unit]],"&gt;","")))</f>
        <v>Vantage_Fairfield</v>
      </c>
      <c r="AR1276" t="str">
        <f>_xlfn.XLOOKUP(emissions[[#This Row],[Reporting unit name]],hierarchy!$A:$A,hierarchy!$C:$C)</f>
        <v>Office</v>
      </c>
    </row>
    <row r="1277" spans="1:44" hidden="1" x14ac:dyDescent="0.25">
      <c r="A1277">
        <v>4976</v>
      </c>
      <c r="B1277" t="s">
        <v>353</v>
      </c>
      <c r="C1277" t="s">
        <v>501</v>
      </c>
      <c r="D1277" t="s">
        <v>599</v>
      </c>
      <c r="E1277" s="3">
        <v>44197</v>
      </c>
      <c r="F1277" s="3">
        <v>44561</v>
      </c>
      <c r="G1277" t="s">
        <v>135</v>
      </c>
      <c r="H1277" s="3">
        <v>44197</v>
      </c>
      <c r="I1277" s="3">
        <v>44561</v>
      </c>
      <c r="J1277" t="s">
        <v>135</v>
      </c>
      <c r="K1277">
        <v>16621.580000000002</v>
      </c>
      <c r="L1277" t="s">
        <v>136</v>
      </c>
      <c r="M1277" t="s">
        <v>110</v>
      </c>
      <c r="O1277" t="s">
        <v>600</v>
      </c>
      <c r="P1277" t="s">
        <v>550</v>
      </c>
      <c r="Q1277">
        <v>2021</v>
      </c>
      <c r="R1277" t="s">
        <v>609</v>
      </c>
      <c r="S1277" t="s">
        <v>610</v>
      </c>
      <c r="T1277" t="s">
        <v>577</v>
      </c>
      <c r="U1277" t="b">
        <v>0</v>
      </c>
      <c r="V1277" t="s">
        <v>611</v>
      </c>
      <c r="W1277" t="s">
        <v>571</v>
      </c>
      <c r="X1277" t="s">
        <v>572</v>
      </c>
      <c r="AC1277">
        <v>0</v>
      </c>
      <c r="AD1277" t="s">
        <v>565</v>
      </c>
      <c r="AE1277">
        <v>15267.88753</v>
      </c>
      <c r="AF1277">
        <v>3.1350000000000003E-2</v>
      </c>
      <c r="AG1277" t="s">
        <v>608</v>
      </c>
      <c r="AH1277">
        <v>29.3001</v>
      </c>
      <c r="AI1277">
        <v>487013.95620000002</v>
      </c>
      <c r="AJ1277" t="s">
        <v>561</v>
      </c>
      <c r="AK1277" t="s">
        <v>589</v>
      </c>
      <c r="AL1277" t="s">
        <v>603</v>
      </c>
      <c r="AM1277">
        <v>2021</v>
      </c>
      <c r="AN1277">
        <v>2019</v>
      </c>
      <c r="AO1277">
        <f>IF(AND(emissions[[#This Row],[Market-based]]=0,emissions[[#This Row],[Impact Type]]="CO2E"),emissions[[#This Row],[kgCO2e]],0)/1000</f>
        <v>15.267887529999999</v>
      </c>
      <c r="AP1277">
        <f>IF(AND(emissions[[#This Row],[Market-based]]=1,OR(emissions[[#This Row],[Impact Type]]="CO2E",emissions[[#This Row],[Impact Type]]="CO2E MKT")),emissions[[#This Row],[kgCO2e]],0)/1000</f>
        <v>0</v>
      </c>
      <c r="AQ1277" t="str">
        <f>_xlfn.TEXTAFTER(emissions[[#This Row],[Reporting Unit]]," &gt; ",LEN(emissions[[#This Row],[Reporting Unit]])-LEN(SUBSTITUTE(emissions[[#This Row],[Reporting Unit]],"&gt;","")))</f>
        <v>Vantage_Fairfield</v>
      </c>
      <c r="AR1277" t="str">
        <f>_xlfn.XLOOKUP(emissions[[#This Row],[Reporting unit name]],hierarchy!$A:$A,hierarchy!$C:$C)</f>
        <v>Office</v>
      </c>
    </row>
    <row r="1278" spans="1:44" hidden="1" x14ac:dyDescent="0.25">
      <c r="A1278">
        <v>4976</v>
      </c>
      <c r="B1278" t="s">
        <v>353</v>
      </c>
      <c r="C1278" t="s">
        <v>501</v>
      </c>
      <c r="D1278" t="s">
        <v>599</v>
      </c>
      <c r="E1278" s="3">
        <v>44197</v>
      </c>
      <c r="F1278" s="3">
        <v>44561</v>
      </c>
      <c r="G1278" t="s">
        <v>135</v>
      </c>
      <c r="H1278" s="3">
        <v>44197</v>
      </c>
      <c r="I1278" s="3">
        <v>44561</v>
      </c>
      <c r="J1278" t="s">
        <v>135</v>
      </c>
      <c r="K1278">
        <v>16621.580000000002</v>
      </c>
      <c r="L1278" t="s">
        <v>136</v>
      </c>
      <c r="M1278" t="s">
        <v>110</v>
      </c>
      <c r="O1278" t="s">
        <v>600</v>
      </c>
      <c r="P1278" t="s">
        <v>550</v>
      </c>
      <c r="Q1278">
        <v>2021</v>
      </c>
      <c r="R1278" t="s">
        <v>609</v>
      </c>
      <c r="S1278" t="s">
        <v>610</v>
      </c>
      <c r="T1278" t="s">
        <v>577</v>
      </c>
      <c r="U1278" t="b">
        <v>0</v>
      </c>
      <c r="V1278" t="s">
        <v>611</v>
      </c>
      <c r="W1278" t="s">
        <v>571</v>
      </c>
      <c r="X1278" t="s">
        <v>572</v>
      </c>
      <c r="AC1278">
        <v>1</v>
      </c>
      <c r="AD1278" t="s">
        <v>565</v>
      </c>
      <c r="AE1278">
        <v>15267.88753</v>
      </c>
      <c r="AF1278">
        <v>3.1350000000000003E-2</v>
      </c>
      <c r="AG1278" t="s">
        <v>608</v>
      </c>
      <c r="AH1278">
        <v>29.3001</v>
      </c>
      <c r="AI1278">
        <v>487013.95620000002</v>
      </c>
      <c r="AJ1278" t="s">
        <v>561</v>
      </c>
      <c r="AK1278" t="s">
        <v>589</v>
      </c>
      <c r="AL1278" t="s">
        <v>603</v>
      </c>
      <c r="AM1278">
        <v>2021</v>
      </c>
      <c r="AN1278">
        <v>2019</v>
      </c>
      <c r="AO1278">
        <f>IF(AND(emissions[[#This Row],[Market-based]]=0,emissions[[#This Row],[Impact Type]]="CO2E"),emissions[[#This Row],[kgCO2e]],0)/1000</f>
        <v>0</v>
      </c>
      <c r="AP1278">
        <f>IF(AND(emissions[[#This Row],[Market-based]]=1,OR(emissions[[#This Row],[Impact Type]]="CO2E",emissions[[#This Row],[Impact Type]]="CO2E MKT")),emissions[[#This Row],[kgCO2e]],0)/1000</f>
        <v>15.267887529999999</v>
      </c>
      <c r="AQ1278" t="str">
        <f>_xlfn.TEXTAFTER(emissions[[#This Row],[Reporting Unit]]," &gt; ",LEN(emissions[[#This Row],[Reporting Unit]])-LEN(SUBSTITUTE(emissions[[#This Row],[Reporting Unit]],"&gt;","")))</f>
        <v>Vantage_Fairfield</v>
      </c>
      <c r="AR1278" t="str">
        <f>_xlfn.XLOOKUP(emissions[[#This Row],[Reporting unit name]],hierarchy!$A:$A,hierarchy!$C:$C)</f>
        <v>Office</v>
      </c>
    </row>
    <row r="1279" spans="1:44" hidden="1" x14ac:dyDescent="0.25">
      <c r="A1279">
        <v>5009</v>
      </c>
      <c r="B1279" t="s">
        <v>353</v>
      </c>
      <c r="C1279" t="s">
        <v>501</v>
      </c>
      <c r="D1279" t="s">
        <v>599</v>
      </c>
      <c r="E1279" s="3">
        <v>44197</v>
      </c>
      <c r="F1279" s="3">
        <v>44561</v>
      </c>
      <c r="G1279" t="s">
        <v>141</v>
      </c>
      <c r="H1279" s="3">
        <v>44197</v>
      </c>
      <c r="I1279" s="3">
        <v>44561</v>
      </c>
      <c r="J1279" t="s">
        <v>187</v>
      </c>
      <c r="K1279">
        <v>0</v>
      </c>
      <c r="L1279" t="s">
        <v>209</v>
      </c>
      <c r="M1279" t="s">
        <v>110</v>
      </c>
      <c r="O1279" t="s">
        <v>600</v>
      </c>
      <c r="P1279" t="s">
        <v>550</v>
      </c>
      <c r="Q1279">
        <v>2021</v>
      </c>
      <c r="R1279" t="s">
        <v>654</v>
      </c>
      <c r="S1279" t="s">
        <v>655</v>
      </c>
      <c r="T1279" t="s">
        <v>553</v>
      </c>
      <c r="U1279" t="b">
        <v>0</v>
      </c>
      <c r="V1279" t="s">
        <v>656</v>
      </c>
      <c r="W1279" t="s">
        <v>587</v>
      </c>
      <c r="X1279" t="s">
        <v>556</v>
      </c>
      <c r="AC1279">
        <v>0</v>
      </c>
      <c r="AD1279" t="s">
        <v>558</v>
      </c>
      <c r="AE1279">
        <v>0</v>
      </c>
      <c r="AF1279">
        <v>7.3200000000000001E-3</v>
      </c>
      <c r="AG1279" t="s">
        <v>588</v>
      </c>
      <c r="AH1279">
        <v>1000</v>
      </c>
      <c r="AI1279">
        <v>0</v>
      </c>
      <c r="AJ1279" t="s">
        <v>561</v>
      </c>
      <c r="AK1279" t="s">
        <v>589</v>
      </c>
      <c r="AL1279" t="s">
        <v>603</v>
      </c>
      <c r="AM1279">
        <v>2021</v>
      </c>
      <c r="AN1279">
        <v>2019</v>
      </c>
      <c r="AO1279">
        <f>IF(AND(emissions[[#This Row],[Market-based]]=0,emissions[[#This Row],[Impact Type]]="CO2E"),emissions[[#This Row],[kgCO2e]],0)/1000</f>
        <v>0</v>
      </c>
      <c r="AP1279">
        <f>IF(AND(emissions[[#This Row],[Market-based]]=1,OR(emissions[[#This Row],[Impact Type]]="CO2E",emissions[[#This Row],[Impact Type]]="CO2E MKT")),emissions[[#This Row],[kgCO2e]],0)/1000</f>
        <v>0</v>
      </c>
      <c r="AQ1279" t="str">
        <f>_xlfn.TEXTAFTER(emissions[[#This Row],[Reporting Unit]]," &gt; ",LEN(emissions[[#This Row],[Reporting Unit]])-LEN(SUBSTITUTE(emissions[[#This Row],[Reporting Unit]],"&gt;","")))</f>
        <v>Vantage_Fairfield</v>
      </c>
      <c r="AR1279" t="str">
        <f>_xlfn.XLOOKUP(emissions[[#This Row],[Reporting unit name]],hierarchy!$A:$A,hierarchy!$C:$C)</f>
        <v>Office</v>
      </c>
    </row>
    <row r="1280" spans="1:44" hidden="1" x14ac:dyDescent="0.25">
      <c r="A1280">
        <v>5009</v>
      </c>
      <c r="B1280" t="s">
        <v>353</v>
      </c>
      <c r="C1280" t="s">
        <v>501</v>
      </c>
      <c r="D1280" t="s">
        <v>599</v>
      </c>
      <c r="E1280" s="3">
        <v>44197</v>
      </c>
      <c r="F1280" s="3">
        <v>44561</v>
      </c>
      <c r="G1280" t="s">
        <v>141</v>
      </c>
      <c r="H1280" s="3">
        <v>44197</v>
      </c>
      <c r="I1280" s="3">
        <v>44561</v>
      </c>
      <c r="J1280" t="s">
        <v>187</v>
      </c>
      <c r="K1280">
        <v>0</v>
      </c>
      <c r="L1280" t="s">
        <v>209</v>
      </c>
      <c r="M1280" t="s">
        <v>110</v>
      </c>
      <c r="O1280" t="s">
        <v>600</v>
      </c>
      <c r="P1280" t="s">
        <v>550</v>
      </c>
      <c r="Q1280">
        <v>2021</v>
      </c>
      <c r="R1280" t="s">
        <v>654</v>
      </c>
      <c r="S1280" t="s">
        <v>655</v>
      </c>
      <c r="T1280" t="s">
        <v>553</v>
      </c>
      <c r="U1280" t="b">
        <v>0</v>
      </c>
      <c r="V1280" t="s">
        <v>656</v>
      </c>
      <c r="W1280" t="s">
        <v>587</v>
      </c>
      <c r="X1280" t="s">
        <v>556</v>
      </c>
      <c r="AC1280">
        <v>0</v>
      </c>
      <c r="AD1280" t="s">
        <v>564</v>
      </c>
      <c r="AE1280">
        <v>0</v>
      </c>
      <c r="AF1280">
        <v>2.3256700000000001</v>
      </c>
      <c r="AG1280" t="s">
        <v>588</v>
      </c>
      <c r="AH1280">
        <v>1000</v>
      </c>
      <c r="AI1280">
        <v>0</v>
      </c>
      <c r="AJ1280" t="s">
        <v>561</v>
      </c>
      <c r="AK1280" t="s">
        <v>589</v>
      </c>
      <c r="AL1280" t="s">
        <v>603</v>
      </c>
      <c r="AM1280">
        <v>2021</v>
      </c>
      <c r="AN1280">
        <v>2019</v>
      </c>
      <c r="AO1280">
        <f>IF(AND(emissions[[#This Row],[Market-based]]=0,emissions[[#This Row],[Impact Type]]="CO2E"),emissions[[#This Row],[kgCO2e]],0)/1000</f>
        <v>0</v>
      </c>
      <c r="AP1280">
        <f>IF(AND(emissions[[#This Row],[Market-based]]=1,OR(emissions[[#This Row],[Impact Type]]="CO2E",emissions[[#This Row],[Impact Type]]="CO2E MKT")),emissions[[#This Row],[kgCO2e]],0)/1000</f>
        <v>0</v>
      </c>
      <c r="AQ1280" t="str">
        <f>_xlfn.TEXTAFTER(emissions[[#This Row],[Reporting Unit]]," &gt; ",LEN(emissions[[#This Row],[Reporting Unit]])-LEN(SUBSTITUTE(emissions[[#This Row],[Reporting Unit]],"&gt;","")))</f>
        <v>Vantage_Fairfield</v>
      </c>
      <c r="AR1280" t="str">
        <f>_xlfn.XLOOKUP(emissions[[#This Row],[Reporting unit name]],hierarchy!$A:$A,hierarchy!$C:$C)</f>
        <v>Office</v>
      </c>
    </row>
    <row r="1281" spans="1:44" hidden="1" x14ac:dyDescent="0.25">
      <c r="A1281">
        <v>5009</v>
      </c>
      <c r="B1281" t="s">
        <v>353</v>
      </c>
      <c r="C1281" t="s">
        <v>501</v>
      </c>
      <c r="D1281" t="s">
        <v>599</v>
      </c>
      <c r="E1281" s="3">
        <v>44197</v>
      </c>
      <c r="F1281" s="3">
        <v>44561</v>
      </c>
      <c r="G1281" t="s">
        <v>141</v>
      </c>
      <c r="H1281" s="3">
        <v>44197</v>
      </c>
      <c r="I1281" s="3">
        <v>44561</v>
      </c>
      <c r="J1281" t="s">
        <v>187</v>
      </c>
      <c r="K1281">
        <v>0</v>
      </c>
      <c r="L1281" t="s">
        <v>209</v>
      </c>
      <c r="M1281" t="s">
        <v>110</v>
      </c>
      <c r="O1281" t="s">
        <v>600</v>
      </c>
      <c r="P1281" t="s">
        <v>550</v>
      </c>
      <c r="Q1281">
        <v>2021</v>
      </c>
      <c r="R1281" t="s">
        <v>654</v>
      </c>
      <c r="S1281" t="s">
        <v>655</v>
      </c>
      <c r="T1281" t="s">
        <v>553</v>
      </c>
      <c r="U1281" t="b">
        <v>0</v>
      </c>
      <c r="V1281" t="s">
        <v>656</v>
      </c>
      <c r="W1281" t="s">
        <v>587</v>
      </c>
      <c r="X1281" t="s">
        <v>556</v>
      </c>
      <c r="AC1281">
        <v>0</v>
      </c>
      <c r="AD1281" t="s">
        <v>565</v>
      </c>
      <c r="AE1281">
        <v>0</v>
      </c>
      <c r="AF1281">
        <v>2.3397000000000001</v>
      </c>
      <c r="AG1281" t="s">
        <v>588</v>
      </c>
      <c r="AH1281">
        <v>1000</v>
      </c>
      <c r="AI1281">
        <v>0</v>
      </c>
      <c r="AJ1281" t="s">
        <v>561</v>
      </c>
      <c r="AK1281" t="s">
        <v>589</v>
      </c>
      <c r="AL1281" t="s">
        <v>603</v>
      </c>
      <c r="AM1281">
        <v>2021</v>
      </c>
      <c r="AN1281">
        <v>2019</v>
      </c>
      <c r="AO1281">
        <f>IF(AND(emissions[[#This Row],[Market-based]]=0,emissions[[#This Row],[Impact Type]]="CO2E"),emissions[[#This Row],[kgCO2e]],0)/1000</f>
        <v>0</v>
      </c>
      <c r="AP1281">
        <f>IF(AND(emissions[[#This Row],[Market-based]]=1,OR(emissions[[#This Row],[Impact Type]]="CO2E",emissions[[#This Row],[Impact Type]]="CO2E MKT")),emissions[[#This Row],[kgCO2e]],0)/1000</f>
        <v>0</v>
      </c>
      <c r="AQ1281" t="str">
        <f>_xlfn.TEXTAFTER(emissions[[#This Row],[Reporting Unit]]," &gt; ",LEN(emissions[[#This Row],[Reporting Unit]])-LEN(SUBSTITUTE(emissions[[#This Row],[Reporting Unit]],"&gt;","")))</f>
        <v>Vantage_Fairfield</v>
      </c>
      <c r="AR1281" t="str">
        <f>_xlfn.XLOOKUP(emissions[[#This Row],[Reporting unit name]],hierarchy!$A:$A,hierarchy!$C:$C)</f>
        <v>Office</v>
      </c>
    </row>
    <row r="1282" spans="1:44" hidden="1" x14ac:dyDescent="0.25">
      <c r="A1282">
        <v>5009</v>
      </c>
      <c r="B1282" t="s">
        <v>353</v>
      </c>
      <c r="C1282" t="s">
        <v>501</v>
      </c>
      <c r="D1282" t="s">
        <v>599</v>
      </c>
      <c r="E1282" s="3">
        <v>44197</v>
      </c>
      <c r="F1282" s="3">
        <v>44561</v>
      </c>
      <c r="G1282" t="s">
        <v>141</v>
      </c>
      <c r="H1282" s="3">
        <v>44197</v>
      </c>
      <c r="I1282" s="3">
        <v>44561</v>
      </c>
      <c r="J1282" t="s">
        <v>187</v>
      </c>
      <c r="K1282">
        <v>0</v>
      </c>
      <c r="L1282" t="s">
        <v>209</v>
      </c>
      <c r="M1282" t="s">
        <v>110</v>
      </c>
      <c r="O1282" t="s">
        <v>600</v>
      </c>
      <c r="P1282" t="s">
        <v>550</v>
      </c>
      <c r="Q1282">
        <v>2021</v>
      </c>
      <c r="R1282" t="s">
        <v>654</v>
      </c>
      <c r="S1282" t="s">
        <v>655</v>
      </c>
      <c r="T1282" t="s">
        <v>553</v>
      </c>
      <c r="U1282" t="b">
        <v>0</v>
      </c>
      <c r="V1282" t="s">
        <v>656</v>
      </c>
      <c r="W1282" t="s">
        <v>587</v>
      </c>
      <c r="X1282" t="s">
        <v>556</v>
      </c>
      <c r="AC1282">
        <v>0</v>
      </c>
      <c r="AD1282" t="s">
        <v>566</v>
      </c>
      <c r="AE1282">
        <v>0</v>
      </c>
      <c r="AF1282">
        <v>6.7099999999999998E-3</v>
      </c>
      <c r="AG1282" t="s">
        <v>588</v>
      </c>
      <c r="AH1282">
        <v>1000</v>
      </c>
      <c r="AI1282">
        <v>0</v>
      </c>
      <c r="AJ1282" t="s">
        <v>561</v>
      </c>
      <c r="AK1282" t="s">
        <v>589</v>
      </c>
      <c r="AL1282" t="s">
        <v>603</v>
      </c>
      <c r="AM1282">
        <v>2021</v>
      </c>
      <c r="AN1282">
        <v>2019</v>
      </c>
      <c r="AO1282">
        <f>IF(AND(emissions[[#This Row],[Market-based]]=0,emissions[[#This Row],[Impact Type]]="CO2E"),emissions[[#This Row],[kgCO2e]],0)/1000</f>
        <v>0</v>
      </c>
      <c r="AP1282">
        <f>IF(AND(emissions[[#This Row],[Market-based]]=1,OR(emissions[[#This Row],[Impact Type]]="CO2E",emissions[[#This Row],[Impact Type]]="CO2E MKT")),emissions[[#This Row],[kgCO2e]],0)/1000</f>
        <v>0</v>
      </c>
      <c r="AQ1282" t="str">
        <f>_xlfn.TEXTAFTER(emissions[[#This Row],[Reporting Unit]]," &gt; ",LEN(emissions[[#This Row],[Reporting Unit]])-LEN(SUBSTITUTE(emissions[[#This Row],[Reporting Unit]],"&gt;","")))</f>
        <v>Vantage_Fairfield</v>
      </c>
      <c r="AR1282" t="str">
        <f>_xlfn.XLOOKUP(emissions[[#This Row],[Reporting unit name]],hierarchy!$A:$A,hierarchy!$C:$C)</f>
        <v>Office</v>
      </c>
    </row>
    <row r="1283" spans="1:44" hidden="1" x14ac:dyDescent="0.25">
      <c r="A1283">
        <v>5009</v>
      </c>
      <c r="B1283" t="s">
        <v>353</v>
      </c>
      <c r="C1283" t="s">
        <v>501</v>
      </c>
      <c r="D1283" t="s">
        <v>599</v>
      </c>
      <c r="E1283" s="3">
        <v>44197</v>
      </c>
      <c r="F1283" s="3">
        <v>44561</v>
      </c>
      <c r="G1283" t="s">
        <v>141</v>
      </c>
      <c r="H1283" s="3">
        <v>44197</v>
      </c>
      <c r="I1283" s="3">
        <v>44561</v>
      </c>
      <c r="J1283" t="s">
        <v>187</v>
      </c>
      <c r="K1283">
        <v>0</v>
      </c>
      <c r="L1283" t="s">
        <v>209</v>
      </c>
      <c r="M1283" t="s">
        <v>110</v>
      </c>
      <c r="O1283" t="s">
        <v>600</v>
      </c>
      <c r="P1283" t="s">
        <v>550</v>
      </c>
      <c r="Q1283">
        <v>2021</v>
      </c>
      <c r="R1283" t="s">
        <v>654</v>
      </c>
      <c r="S1283" t="s">
        <v>655</v>
      </c>
      <c r="T1283" t="s">
        <v>553</v>
      </c>
      <c r="U1283" t="b">
        <v>0</v>
      </c>
      <c r="V1283" t="s">
        <v>656</v>
      </c>
      <c r="W1283" t="s">
        <v>587</v>
      </c>
      <c r="X1283" t="s">
        <v>556</v>
      </c>
      <c r="AC1283">
        <v>1</v>
      </c>
      <c r="AD1283" t="s">
        <v>558</v>
      </c>
      <c r="AE1283">
        <v>0</v>
      </c>
      <c r="AF1283">
        <v>7.3200000000000001E-3</v>
      </c>
      <c r="AG1283" t="s">
        <v>588</v>
      </c>
      <c r="AH1283">
        <v>1000</v>
      </c>
      <c r="AI1283">
        <v>0</v>
      </c>
      <c r="AJ1283" t="s">
        <v>561</v>
      </c>
      <c r="AK1283" t="s">
        <v>589</v>
      </c>
      <c r="AL1283" t="s">
        <v>603</v>
      </c>
      <c r="AM1283">
        <v>2021</v>
      </c>
      <c r="AN1283">
        <v>2019</v>
      </c>
      <c r="AO1283">
        <f>IF(AND(emissions[[#This Row],[Market-based]]=0,emissions[[#This Row],[Impact Type]]="CO2E"),emissions[[#This Row],[kgCO2e]],0)/1000</f>
        <v>0</v>
      </c>
      <c r="AP1283">
        <f>IF(AND(emissions[[#This Row],[Market-based]]=1,OR(emissions[[#This Row],[Impact Type]]="CO2E",emissions[[#This Row],[Impact Type]]="CO2E MKT")),emissions[[#This Row],[kgCO2e]],0)/1000</f>
        <v>0</v>
      </c>
      <c r="AQ1283" t="str">
        <f>_xlfn.TEXTAFTER(emissions[[#This Row],[Reporting Unit]]," &gt; ",LEN(emissions[[#This Row],[Reporting Unit]])-LEN(SUBSTITUTE(emissions[[#This Row],[Reporting Unit]],"&gt;","")))</f>
        <v>Vantage_Fairfield</v>
      </c>
      <c r="AR1283" t="str">
        <f>_xlfn.XLOOKUP(emissions[[#This Row],[Reporting unit name]],hierarchy!$A:$A,hierarchy!$C:$C)</f>
        <v>Office</v>
      </c>
    </row>
    <row r="1284" spans="1:44" hidden="1" x14ac:dyDescent="0.25">
      <c r="A1284">
        <v>5009</v>
      </c>
      <c r="B1284" t="s">
        <v>353</v>
      </c>
      <c r="C1284" t="s">
        <v>501</v>
      </c>
      <c r="D1284" t="s">
        <v>599</v>
      </c>
      <c r="E1284" s="3">
        <v>44197</v>
      </c>
      <c r="F1284" s="3">
        <v>44561</v>
      </c>
      <c r="G1284" t="s">
        <v>141</v>
      </c>
      <c r="H1284" s="3">
        <v>44197</v>
      </c>
      <c r="I1284" s="3">
        <v>44561</v>
      </c>
      <c r="J1284" t="s">
        <v>187</v>
      </c>
      <c r="K1284">
        <v>0</v>
      </c>
      <c r="L1284" t="s">
        <v>209</v>
      </c>
      <c r="M1284" t="s">
        <v>110</v>
      </c>
      <c r="O1284" t="s">
        <v>600</v>
      </c>
      <c r="P1284" t="s">
        <v>550</v>
      </c>
      <c r="Q1284">
        <v>2021</v>
      </c>
      <c r="R1284" t="s">
        <v>654</v>
      </c>
      <c r="S1284" t="s">
        <v>655</v>
      </c>
      <c r="T1284" t="s">
        <v>553</v>
      </c>
      <c r="U1284" t="b">
        <v>0</v>
      </c>
      <c r="V1284" t="s">
        <v>656</v>
      </c>
      <c r="W1284" t="s">
        <v>587</v>
      </c>
      <c r="X1284" t="s">
        <v>556</v>
      </c>
      <c r="AC1284">
        <v>1</v>
      </c>
      <c r="AD1284" t="s">
        <v>564</v>
      </c>
      <c r="AE1284">
        <v>0</v>
      </c>
      <c r="AF1284">
        <v>2.3256700000000001</v>
      </c>
      <c r="AG1284" t="s">
        <v>588</v>
      </c>
      <c r="AH1284">
        <v>1000</v>
      </c>
      <c r="AI1284">
        <v>0</v>
      </c>
      <c r="AJ1284" t="s">
        <v>561</v>
      </c>
      <c r="AK1284" t="s">
        <v>589</v>
      </c>
      <c r="AL1284" t="s">
        <v>603</v>
      </c>
      <c r="AM1284">
        <v>2021</v>
      </c>
      <c r="AN1284">
        <v>2019</v>
      </c>
      <c r="AO1284">
        <f>IF(AND(emissions[[#This Row],[Market-based]]=0,emissions[[#This Row],[Impact Type]]="CO2E"),emissions[[#This Row],[kgCO2e]],0)/1000</f>
        <v>0</v>
      </c>
      <c r="AP1284">
        <f>IF(AND(emissions[[#This Row],[Market-based]]=1,OR(emissions[[#This Row],[Impact Type]]="CO2E",emissions[[#This Row],[Impact Type]]="CO2E MKT")),emissions[[#This Row],[kgCO2e]],0)/1000</f>
        <v>0</v>
      </c>
      <c r="AQ1284" t="str">
        <f>_xlfn.TEXTAFTER(emissions[[#This Row],[Reporting Unit]]," &gt; ",LEN(emissions[[#This Row],[Reporting Unit]])-LEN(SUBSTITUTE(emissions[[#This Row],[Reporting Unit]],"&gt;","")))</f>
        <v>Vantage_Fairfield</v>
      </c>
      <c r="AR1284" t="str">
        <f>_xlfn.XLOOKUP(emissions[[#This Row],[Reporting unit name]],hierarchy!$A:$A,hierarchy!$C:$C)</f>
        <v>Office</v>
      </c>
    </row>
    <row r="1285" spans="1:44" hidden="1" x14ac:dyDescent="0.25">
      <c r="A1285">
        <v>5009</v>
      </c>
      <c r="B1285" t="s">
        <v>353</v>
      </c>
      <c r="C1285" t="s">
        <v>501</v>
      </c>
      <c r="D1285" t="s">
        <v>599</v>
      </c>
      <c r="E1285" s="3">
        <v>44197</v>
      </c>
      <c r="F1285" s="3">
        <v>44561</v>
      </c>
      <c r="G1285" t="s">
        <v>141</v>
      </c>
      <c r="H1285" s="3">
        <v>44197</v>
      </c>
      <c r="I1285" s="3">
        <v>44561</v>
      </c>
      <c r="J1285" t="s">
        <v>187</v>
      </c>
      <c r="K1285">
        <v>0</v>
      </c>
      <c r="L1285" t="s">
        <v>209</v>
      </c>
      <c r="M1285" t="s">
        <v>110</v>
      </c>
      <c r="O1285" t="s">
        <v>600</v>
      </c>
      <c r="P1285" t="s">
        <v>550</v>
      </c>
      <c r="Q1285">
        <v>2021</v>
      </c>
      <c r="R1285" t="s">
        <v>654</v>
      </c>
      <c r="S1285" t="s">
        <v>655</v>
      </c>
      <c r="T1285" t="s">
        <v>553</v>
      </c>
      <c r="U1285" t="b">
        <v>0</v>
      </c>
      <c r="V1285" t="s">
        <v>656</v>
      </c>
      <c r="W1285" t="s">
        <v>587</v>
      </c>
      <c r="X1285" t="s">
        <v>556</v>
      </c>
      <c r="AC1285">
        <v>1</v>
      </c>
      <c r="AD1285" t="s">
        <v>565</v>
      </c>
      <c r="AE1285">
        <v>0</v>
      </c>
      <c r="AF1285">
        <v>2.3397000000000001</v>
      </c>
      <c r="AG1285" t="s">
        <v>588</v>
      </c>
      <c r="AH1285">
        <v>1000</v>
      </c>
      <c r="AI1285">
        <v>0</v>
      </c>
      <c r="AJ1285" t="s">
        <v>561</v>
      </c>
      <c r="AK1285" t="s">
        <v>589</v>
      </c>
      <c r="AL1285" t="s">
        <v>603</v>
      </c>
      <c r="AM1285">
        <v>2021</v>
      </c>
      <c r="AN1285">
        <v>2019</v>
      </c>
      <c r="AO1285">
        <f>IF(AND(emissions[[#This Row],[Market-based]]=0,emissions[[#This Row],[Impact Type]]="CO2E"),emissions[[#This Row],[kgCO2e]],0)/1000</f>
        <v>0</v>
      </c>
      <c r="AP1285">
        <f>IF(AND(emissions[[#This Row],[Market-based]]=1,OR(emissions[[#This Row],[Impact Type]]="CO2E",emissions[[#This Row],[Impact Type]]="CO2E MKT")),emissions[[#This Row],[kgCO2e]],0)/1000</f>
        <v>0</v>
      </c>
      <c r="AQ1285" t="str">
        <f>_xlfn.TEXTAFTER(emissions[[#This Row],[Reporting Unit]]," &gt; ",LEN(emissions[[#This Row],[Reporting Unit]])-LEN(SUBSTITUTE(emissions[[#This Row],[Reporting Unit]],"&gt;","")))</f>
        <v>Vantage_Fairfield</v>
      </c>
      <c r="AR1285" t="str">
        <f>_xlfn.XLOOKUP(emissions[[#This Row],[Reporting unit name]],hierarchy!$A:$A,hierarchy!$C:$C)</f>
        <v>Office</v>
      </c>
    </row>
    <row r="1286" spans="1:44" hidden="1" x14ac:dyDescent="0.25">
      <c r="A1286">
        <v>5009</v>
      </c>
      <c r="B1286" t="s">
        <v>353</v>
      </c>
      <c r="C1286" t="s">
        <v>501</v>
      </c>
      <c r="D1286" t="s">
        <v>599</v>
      </c>
      <c r="E1286" s="3">
        <v>44197</v>
      </c>
      <c r="F1286" s="3">
        <v>44561</v>
      </c>
      <c r="G1286" t="s">
        <v>141</v>
      </c>
      <c r="H1286" s="3">
        <v>44197</v>
      </c>
      <c r="I1286" s="3">
        <v>44561</v>
      </c>
      <c r="J1286" t="s">
        <v>187</v>
      </c>
      <c r="K1286">
        <v>0</v>
      </c>
      <c r="L1286" t="s">
        <v>209</v>
      </c>
      <c r="M1286" t="s">
        <v>110</v>
      </c>
      <c r="O1286" t="s">
        <v>600</v>
      </c>
      <c r="P1286" t="s">
        <v>550</v>
      </c>
      <c r="Q1286">
        <v>2021</v>
      </c>
      <c r="R1286" t="s">
        <v>654</v>
      </c>
      <c r="S1286" t="s">
        <v>655</v>
      </c>
      <c r="T1286" t="s">
        <v>553</v>
      </c>
      <c r="U1286" t="b">
        <v>0</v>
      </c>
      <c r="V1286" t="s">
        <v>656</v>
      </c>
      <c r="W1286" t="s">
        <v>587</v>
      </c>
      <c r="X1286" t="s">
        <v>556</v>
      </c>
      <c r="AC1286">
        <v>1</v>
      </c>
      <c r="AD1286" t="s">
        <v>566</v>
      </c>
      <c r="AE1286">
        <v>0</v>
      </c>
      <c r="AF1286">
        <v>6.7099999999999998E-3</v>
      </c>
      <c r="AG1286" t="s">
        <v>588</v>
      </c>
      <c r="AH1286">
        <v>1000</v>
      </c>
      <c r="AI1286">
        <v>0</v>
      </c>
      <c r="AJ1286" t="s">
        <v>561</v>
      </c>
      <c r="AK1286" t="s">
        <v>589</v>
      </c>
      <c r="AL1286" t="s">
        <v>603</v>
      </c>
      <c r="AM1286">
        <v>2021</v>
      </c>
      <c r="AN1286">
        <v>2019</v>
      </c>
      <c r="AO1286">
        <f>IF(AND(emissions[[#This Row],[Market-based]]=0,emissions[[#This Row],[Impact Type]]="CO2E"),emissions[[#This Row],[kgCO2e]],0)/1000</f>
        <v>0</v>
      </c>
      <c r="AP1286">
        <f>IF(AND(emissions[[#This Row],[Market-based]]=1,OR(emissions[[#This Row],[Impact Type]]="CO2E",emissions[[#This Row],[Impact Type]]="CO2E MKT")),emissions[[#This Row],[kgCO2e]],0)/1000</f>
        <v>0</v>
      </c>
      <c r="AQ1286" t="str">
        <f>_xlfn.TEXTAFTER(emissions[[#This Row],[Reporting Unit]]," &gt; ",LEN(emissions[[#This Row],[Reporting Unit]])-LEN(SUBSTITUTE(emissions[[#This Row],[Reporting Unit]],"&gt;","")))</f>
        <v>Vantage_Fairfield</v>
      </c>
      <c r="AR1286" t="str">
        <f>_xlfn.XLOOKUP(emissions[[#This Row],[Reporting unit name]],hierarchy!$A:$A,hierarchy!$C:$C)</f>
        <v>Office</v>
      </c>
    </row>
    <row r="1287" spans="1:44" hidden="1" x14ac:dyDescent="0.25">
      <c r="A1287">
        <v>5009</v>
      </c>
      <c r="B1287" t="s">
        <v>353</v>
      </c>
      <c r="C1287" t="s">
        <v>501</v>
      </c>
      <c r="D1287" t="s">
        <v>599</v>
      </c>
      <c r="E1287" s="3">
        <v>44197</v>
      </c>
      <c r="F1287" s="3">
        <v>44561</v>
      </c>
      <c r="G1287" t="s">
        <v>141</v>
      </c>
      <c r="H1287" s="3">
        <v>44197</v>
      </c>
      <c r="I1287" s="3">
        <v>44561</v>
      </c>
      <c r="J1287" t="s">
        <v>187</v>
      </c>
      <c r="K1287">
        <v>0</v>
      </c>
      <c r="L1287" t="s">
        <v>209</v>
      </c>
      <c r="M1287" t="s">
        <v>110</v>
      </c>
      <c r="O1287" t="s">
        <v>600</v>
      </c>
      <c r="P1287" t="s">
        <v>550</v>
      </c>
      <c r="Q1287">
        <v>2021</v>
      </c>
      <c r="R1287" t="s">
        <v>657</v>
      </c>
      <c r="S1287" t="s">
        <v>658</v>
      </c>
      <c r="T1287" t="s">
        <v>577</v>
      </c>
      <c r="U1287" t="b">
        <v>0</v>
      </c>
      <c r="V1287" t="s">
        <v>659</v>
      </c>
      <c r="W1287" t="s">
        <v>571</v>
      </c>
      <c r="X1287" t="s">
        <v>572</v>
      </c>
      <c r="AC1287">
        <v>0</v>
      </c>
      <c r="AD1287" t="s">
        <v>565</v>
      </c>
      <c r="AE1287">
        <v>0</v>
      </c>
      <c r="AF1287">
        <v>0.60282999999999998</v>
      </c>
      <c r="AG1287" t="s">
        <v>588</v>
      </c>
      <c r="AH1287">
        <v>1000</v>
      </c>
      <c r="AI1287">
        <v>0</v>
      </c>
      <c r="AJ1287" t="s">
        <v>561</v>
      </c>
      <c r="AK1287" t="s">
        <v>589</v>
      </c>
      <c r="AL1287" t="s">
        <v>603</v>
      </c>
      <c r="AM1287">
        <v>2021</v>
      </c>
      <c r="AN1287">
        <v>2019</v>
      </c>
      <c r="AO1287">
        <f>IF(AND(emissions[[#This Row],[Market-based]]=0,emissions[[#This Row],[Impact Type]]="CO2E"),emissions[[#This Row],[kgCO2e]],0)/1000</f>
        <v>0</v>
      </c>
      <c r="AP1287">
        <f>IF(AND(emissions[[#This Row],[Market-based]]=1,OR(emissions[[#This Row],[Impact Type]]="CO2E",emissions[[#This Row],[Impact Type]]="CO2E MKT")),emissions[[#This Row],[kgCO2e]],0)/1000</f>
        <v>0</v>
      </c>
      <c r="AQ1287" t="str">
        <f>_xlfn.TEXTAFTER(emissions[[#This Row],[Reporting Unit]]," &gt; ",LEN(emissions[[#This Row],[Reporting Unit]])-LEN(SUBSTITUTE(emissions[[#This Row],[Reporting Unit]],"&gt;","")))</f>
        <v>Vantage_Fairfield</v>
      </c>
      <c r="AR1287" t="str">
        <f>_xlfn.XLOOKUP(emissions[[#This Row],[Reporting unit name]],hierarchy!$A:$A,hierarchy!$C:$C)</f>
        <v>Office</v>
      </c>
    </row>
    <row r="1288" spans="1:44" hidden="1" x14ac:dyDescent="0.25">
      <c r="A1288">
        <v>5009</v>
      </c>
      <c r="B1288" t="s">
        <v>353</v>
      </c>
      <c r="C1288" t="s">
        <v>501</v>
      </c>
      <c r="D1288" t="s">
        <v>599</v>
      </c>
      <c r="E1288" s="3">
        <v>44197</v>
      </c>
      <c r="F1288" s="3">
        <v>44561</v>
      </c>
      <c r="G1288" t="s">
        <v>141</v>
      </c>
      <c r="H1288" s="3">
        <v>44197</v>
      </c>
      <c r="I1288" s="3">
        <v>44561</v>
      </c>
      <c r="J1288" t="s">
        <v>187</v>
      </c>
      <c r="K1288">
        <v>0</v>
      </c>
      <c r="L1288" t="s">
        <v>209</v>
      </c>
      <c r="M1288" t="s">
        <v>110</v>
      </c>
      <c r="O1288" t="s">
        <v>600</v>
      </c>
      <c r="P1288" t="s">
        <v>550</v>
      </c>
      <c r="Q1288">
        <v>2021</v>
      </c>
      <c r="R1288" t="s">
        <v>657</v>
      </c>
      <c r="S1288" t="s">
        <v>658</v>
      </c>
      <c r="T1288" t="s">
        <v>577</v>
      </c>
      <c r="U1288" t="b">
        <v>0</v>
      </c>
      <c r="V1288" t="s">
        <v>659</v>
      </c>
      <c r="W1288" t="s">
        <v>571</v>
      </c>
      <c r="X1288" t="s">
        <v>572</v>
      </c>
      <c r="AC1288">
        <v>1</v>
      </c>
      <c r="AD1288" t="s">
        <v>565</v>
      </c>
      <c r="AE1288">
        <v>0</v>
      </c>
      <c r="AF1288">
        <v>0.60282999999999998</v>
      </c>
      <c r="AG1288" t="s">
        <v>588</v>
      </c>
      <c r="AH1288">
        <v>1000</v>
      </c>
      <c r="AI1288">
        <v>0</v>
      </c>
      <c r="AJ1288" t="s">
        <v>561</v>
      </c>
      <c r="AK1288" t="s">
        <v>589</v>
      </c>
      <c r="AL1288" t="s">
        <v>603</v>
      </c>
      <c r="AM1288">
        <v>2021</v>
      </c>
      <c r="AN1288">
        <v>2019</v>
      </c>
      <c r="AO1288">
        <f>IF(AND(emissions[[#This Row],[Market-based]]=0,emissions[[#This Row],[Impact Type]]="CO2E"),emissions[[#This Row],[kgCO2e]],0)/1000</f>
        <v>0</v>
      </c>
      <c r="AP1288">
        <f>IF(AND(emissions[[#This Row],[Market-based]]=1,OR(emissions[[#This Row],[Impact Type]]="CO2E",emissions[[#This Row],[Impact Type]]="CO2E MKT")),emissions[[#This Row],[kgCO2e]],0)/1000</f>
        <v>0</v>
      </c>
      <c r="AQ1288" t="str">
        <f>_xlfn.TEXTAFTER(emissions[[#This Row],[Reporting Unit]]," &gt; ",LEN(emissions[[#This Row],[Reporting Unit]])-LEN(SUBSTITUTE(emissions[[#This Row],[Reporting Unit]],"&gt;","")))</f>
        <v>Vantage_Fairfield</v>
      </c>
      <c r="AR1288" t="str">
        <f>_xlfn.XLOOKUP(emissions[[#This Row],[Reporting unit name]],hierarchy!$A:$A,hierarchy!$C:$C)</f>
        <v>Office</v>
      </c>
    </row>
    <row r="1289" spans="1:44" hidden="1" x14ac:dyDescent="0.25">
      <c r="A1289">
        <v>5035</v>
      </c>
      <c r="B1289" t="s">
        <v>353</v>
      </c>
      <c r="C1289" t="s">
        <v>501</v>
      </c>
      <c r="D1289" t="s">
        <v>599</v>
      </c>
      <c r="E1289" s="3">
        <v>44197</v>
      </c>
      <c r="F1289" s="3">
        <v>44561</v>
      </c>
      <c r="G1289" t="s">
        <v>116</v>
      </c>
      <c r="H1289" s="3">
        <v>44197</v>
      </c>
      <c r="I1289" s="3">
        <v>44561</v>
      </c>
      <c r="J1289" t="s">
        <v>175</v>
      </c>
      <c r="K1289">
        <v>7.1048</v>
      </c>
      <c r="L1289" t="s">
        <v>118</v>
      </c>
      <c r="M1289" t="s">
        <v>82</v>
      </c>
      <c r="O1289" t="s">
        <v>618</v>
      </c>
      <c r="P1289" t="s">
        <v>550</v>
      </c>
      <c r="Q1289">
        <v>2021</v>
      </c>
      <c r="R1289" t="s">
        <v>664</v>
      </c>
      <c r="S1289" t="s">
        <v>175</v>
      </c>
      <c r="T1289" t="s">
        <v>553</v>
      </c>
      <c r="U1289" t="b">
        <v>0</v>
      </c>
      <c r="V1289" t="s">
        <v>665</v>
      </c>
      <c r="W1289" t="s">
        <v>587</v>
      </c>
      <c r="X1289" t="s">
        <v>556</v>
      </c>
      <c r="AC1289">
        <v>0</v>
      </c>
      <c r="AD1289" t="s">
        <v>565</v>
      </c>
      <c r="AE1289">
        <v>14834.822399999999</v>
      </c>
      <c r="AF1289">
        <v>2088</v>
      </c>
      <c r="AG1289" t="s">
        <v>622</v>
      </c>
      <c r="AH1289">
        <v>1</v>
      </c>
      <c r="AI1289">
        <v>7.1048</v>
      </c>
      <c r="AJ1289" t="s">
        <v>561</v>
      </c>
      <c r="AK1289" t="s">
        <v>623</v>
      </c>
      <c r="AL1289" t="s">
        <v>624</v>
      </c>
      <c r="AM1289">
        <v>2021</v>
      </c>
      <c r="AN1289">
        <v>2007</v>
      </c>
      <c r="AO1289">
        <f>IF(AND(emissions[[#This Row],[Market-based]]=0,emissions[[#This Row],[Impact Type]]="CO2E"),emissions[[#This Row],[kgCO2e]],0)/1000</f>
        <v>14.834822399999998</v>
      </c>
      <c r="AP1289">
        <f>IF(AND(emissions[[#This Row],[Market-based]]=1,OR(emissions[[#This Row],[Impact Type]]="CO2E",emissions[[#This Row],[Impact Type]]="CO2E MKT")),emissions[[#This Row],[kgCO2e]],0)/1000</f>
        <v>0</v>
      </c>
      <c r="AQ1289" t="str">
        <f>_xlfn.TEXTAFTER(emissions[[#This Row],[Reporting Unit]]," &gt; ",LEN(emissions[[#This Row],[Reporting Unit]])-LEN(SUBSTITUTE(emissions[[#This Row],[Reporting Unit]],"&gt;","")))</f>
        <v>Vantage_Fairfield</v>
      </c>
      <c r="AR1289" t="str">
        <f>_xlfn.XLOOKUP(emissions[[#This Row],[Reporting unit name]],hierarchy!$A:$A,hierarchy!$C:$C)</f>
        <v>Office</v>
      </c>
    </row>
    <row r="1290" spans="1:44" hidden="1" x14ac:dyDescent="0.25">
      <c r="A1290">
        <v>5035</v>
      </c>
      <c r="B1290" t="s">
        <v>353</v>
      </c>
      <c r="C1290" t="s">
        <v>501</v>
      </c>
      <c r="D1290" t="s">
        <v>599</v>
      </c>
      <c r="E1290" s="3">
        <v>44197</v>
      </c>
      <c r="F1290" s="3">
        <v>44561</v>
      </c>
      <c r="G1290" t="s">
        <v>116</v>
      </c>
      <c r="H1290" s="3">
        <v>44197</v>
      </c>
      <c r="I1290" s="3">
        <v>44561</v>
      </c>
      <c r="J1290" t="s">
        <v>175</v>
      </c>
      <c r="K1290">
        <v>7.1048</v>
      </c>
      <c r="L1290" t="s">
        <v>118</v>
      </c>
      <c r="M1290" t="s">
        <v>82</v>
      </c>
      <c r="O1290" t="s">
        <v>618</v>
      </c>
      <c r="P1290" t="s">
        <v>550</v>
      </c>
      <c r="Q1290">
        <v>2021</v>
      </c>
      <c r="R1290" t="s">
        <v>664</v>
      </c>
      <c r="S1290" t="s">
        <v>175</v>
      </c>
      <c r="T1290" t="s">
        <v>553</v>
      </c>
      <c r="U1290" t="b">
        <v>0</v>
      </c>
      <c r="V1290" t="s">
        <v>665</v>
      </c>
      <c r="W1290" t="s">
        <v>587</v>
      </c>
      <c r="X1290" t="s">
        <v>556</v>
      </c>
      <c r="AC1290">
        <v>1</v>
      </c>
      <c r="AD1290" t="s">
        <v>565</v>
      </c>
      <c r="AE1290">
        <v>14834.822399999999</v>
      </c>
      <c r="AF1290">
        <v>2088</v>
      </c>
      <c r="AG1290" t="s">
        <v>622</v>
      </c>
      <c r="AH1290">
        <v>1</v>
      </c>
      <c r="AI1290">
        <v>7.1048</v>
      </c>
      <c r="AJ1290" t="s">
        <v>561</v>
      </c>
      <c r="AK1290" t="s">
        <v>623</v>
      </c>
      <c r="AL1290" t="s">
        <v>624</v>
      </c>
      <c r="AM1290">
        <v>2021</v>
      </c>
      <c r="AN1290">
        <v>2007</v>
      </c>
      <c r="AO1290">
        <f>IF(AND(emissions[[#This Row],[Market-based]]=0,emissions[[#This Row],[Impact Type]]="CO2E"),emissions[[#This Row],[kgCO2e]],0)/1000</f>
        <v>0</v>
      </c>
      <c r="AP1290">
        <f>IF(AND(emissions[[#This Row],[Market-based]]=1,OR(emissions[[#This Row],[Impact Type]]="CO2E",emissions[[#This Row],[Impact Type]]="CO2E MKT")),emissions[[#This Row],[kgCO2e]],0)/1000</f>
        <v>14.834822399999998</v>
      </c>
      <c r="AQ1290" t="str">
        <f>_xlfn.TEXTAFTER(emissions[[#This Row],[Reporting Unit]]," &gt; ",LEN(emissions[[#This Row],[Reporting Unit]])-LEN(SUBSTITUTE(emissions[[#This Row],[Reporting Unit]],"&gt;","")))</f>
        <v>Vantage_Fairfield</v>
      </c>
      <c r="AR1290" t="str">
        <f>_xlfn.XLOOKUP(emissions[[#This Row],[Reporting unit name]],hierarchy!$A:$A,hierarchy!$C:$C)</f>
        <v>Office</v>
      </c>
    </row>
    <row r="1291" spans="1:44" hidden="1" x14ac:dyDescent="0.25">
      <c r="A1291">
        <v>1257589</v>
      </c>
      <c r="B1291" t="s">
        <v>353</v>
      </c>
      <c r="C1291" t="s">
        <v>501</v>
      </c>
      <c r="D1291" t="s">
        <v>599</v>
      </c>
      <c r="E1291" s="3">
        <v>44197</v>
      </c>
      <c r="F1291" s="3">
        <v>44561</v>
      </c>
      <c r="G1291" t="s">
        <v>116</v>
      </c>
      <c r="H1291" s="3">
        <v>44197</v>
      </c>
      <c r="I1291" s="3">
        <v>44561</v>
      </c>
      <c r="J1291" t="s">
        <v>359</v>
      </c>
      <c r="K1291">
        <v>7.1048</v>
      </c>
      <c r="L1291" t="s">
        <v>118</v>
      </c>
      <c r="M1291" t="s">
        <v>110</v>
      </c>
      <c r="O1291" t="s">
        <v>914</v>
      </c>
      <c r="P1291" t="s">
        <v>550</v>
      </c>
      <c r="Q1291">
        <v>2021</v>
      </c>
      <c r="R1291" t="s">
        <v>908</v>
      </c>
      <c r="S1291" t="s">
        <v>359</v>
      </c>
      <c r="T1291" t="s">
        <v>553</v>
      </c>
      <c r="U1291" t="b">
        <v>0</v>
      </c>
      <c r="V1291" t="s">
        <v>909</v>
      </c>
      <c r="W1291" t="s">
        <v>587</v>
      </c>
      <c r="X1291" t="s">
        <v>556</v>
      </c>
      <c r="AC1291">
        <v>0</v>
      </c>
      <c r="AD1291" t="s">
        <v>565</v>
      </c>
      <c r="AE1291">
        <v>653.64160000000004</v>
      </c>
      <c r="AF1291">
        <v>92</v>
      </c>
      <c r="AG1291" t="s">
        <v>622</v>
      </c>
      <c r="AH1291">
        <v>1</v>
      </c>
      <c r="AI1291">
        <v>7.1048</v>
      </c>
      <c r="AJ1291" t="s">
        <v>561</v>
      </c>
      <c r="AK1291" t="s">
        <v>623</v>
      </c>
      <c r="AL1291" t="s">
        <v>624</v>
      </c>
      <c r="AM1291">
        <v>2021</v>
      </c>
      <c r="AN1291">
        <v>2007</v>
      </c>
      <c r="AO1291">
        <f>IF(AND(emissions[[#This Row],[Market-based]]=0,emissions[[#This Row],[Impact Type]]="CO2E"),emissions[[#This Row],[kgCO2e]],0)/1000</f>
        <v>0.65364160000000004</v>
      </c>
      <c r="AP1291">
        <f>IF(AND(emissions[[#This Row],[Market-based]]=1,OR(emissions[[#This Row],[Impact Type]]="CO2E",emissions[[#This Row],[Impact Type]]="CO2E MKT")),emissions[[#This Row],[kgCO2e]],0)/1000</f>
        <v>0</v>
      </c>
      <c r="AQ1291" t="str">
        <f>_xlfn.TEXTAFTER(emissions[[#This Row],[Reporting Unit]]," &gt; ",LEN(emissions[[#This Row],[Reporting Unit]])-LEN(SUBSTITUTE(emissions[[#This Row],[Reporting Unit]],"&gt;","")))</f>
        <v>Vantage_Fairfield</v>
      </c>
      <c r="AR1291" t="str">
        <f>_xlfn.XLOOKUP(emissions[[#This Row],[Reporting unit name]],hierarchy!$A:$A,hierarchy!$C:$C)</f>
        <v>Office</v>
      </c>
    </row>
    <row r="1292" spans="1:44" hidden="1" x14ac:dyDescent="0.25">
      <c r="A1292">
        <v>1257589</v>
      </c>
      <c r="B1292" t="s">
        <v>353</v>
      </c>
      <c r="C1292" t="s">
        <v>501</v>
      </c>
      <c r="D1292" t="s">
        <v>599</v>
      </c>
      <c r="E1292" s="3">
        <v>44197</v>
      </c>
      <c r="F1292" s="3">
        <v>44561</v>
      </c>
      <c r="G1292" t="s">
        <v>116</v>
      </c>
      <c r="H1292" s="3">
        <v>44197</v>
      </c>
      <c r="I1292" s="3">
        <v>44561</v>
      </c>
      <c r="J1292" t="s">
        <v>359</v>
      </c>
      <c r="K1292">
        <v>7.1048</v>
      </c>
      <c r="L1292" t="s">
        <v>118</v>
      </c>
      <c r="M1292" t="s">
        <v>110</v>
      </c>
      <c r="O1292" t="s">
        <v>914</v>
      </c>
      <c r="P1292" t="s">
        <v>550</v>
      </c>
      <c r="Q1292">
        <v>2021</v>
      </c>
      <c r="R1292" t="s">
        <v>908</v>
      </c>
      <c r="S1292" t="s">
        <v>359</v>
      </c>
      <c r="T1292" t="s">
        <v>553</v>
      </c>
      <c r="U1292" t="b">
        <v>0</v>
      </c>
      <c r="V1292" t="s">
        <v>909</v>
      </c>
      <c r="W1292" t="s">
        <v>587</v>
      </c>
      <c r="X1292" t="s">
        <v>556</v>
      </c>
      <c r="AC1292">
        <v>1</v>
      </c>
      <c r="AD1292" t="s">
        <v>565</v>
      </c>
      <c r="AE1292">
        <v>653.64160000000004</v>
      </c>
      <c r="AF1292">
        <v>92</v>
      </c>
      <c r="AG1292" t="s">
        <v>622</v>
      </c>
      <c r="AH1292">
        <v>1</v>
      </c>
      <c r="AI1292">
        <v>7.1048</v>
      </c>
      <c r="AJ1292" t="s">
        <v>561</v>
      </c>
      <c r="AK1292" t="s">
        <v>623</v>
      </c>
      <c r="AL1292" t="s">
        <v>624</v>
      </c>
      <c r="AM1292">
        <v>2021</v>
      </c>
      <c r="AN1292">
        <v>2007</v>
      </c>
      <c r="AO1292">
        <f>IF(AND(emissions[[#This Row],[Market-based]]=0,emissions[[#This Row],[Impact Type]]="CO2E"),emissions[[#This Row],[kgCO2e]],0)/1000</f>
        <v>0</v>
      </c>
      <c r="AP1292">
        <f>IF(AND(emissions[[#This Row],[Market-based]]=1,OR(emissions[[#This Row],[Impact Type]]="CO2E",emissions[[#This Row],[Impact Type]]="CO2E MKT")),emissions[[#This Row],[kgCO2e]],0)/1000</f>
        <v>0.65364160000000004</v>
      </c>
      <c r="AQ1292" t="str">
        <f>_xlfn.TEXTAFTER(emissions[[#This Row],[Reporting Unit]]," &gt; ",LEN(emissions[[#This Row],[Reporting Unit]])-LEN(SUBSTITUTE(emissions[[#This Row],[Reporting Unit]],"&gt;","")))</f>
        <v>Vantage_Fairfield</v>
      </c>
      <c r="AR1292" t="str">
        <f>_xlfn.XLOOKUP(emissions[[#This Row],[Reporting unit name]],hierarchy!$A:$A,hierarchy!$C:$C)</f>
        <v>Office</v>
      </c>
    </row>
    <row r="1293" spans="1:44" hidden="1" x14ac:dyDescent="0.25">
      <c r="A1293">
        <v>20577</v>
      </c>
      <c r="B1293" t="s">
        <v>328</v>
      </c>
      <c r="C1293" t="s">
        <v>501</v>
      </c>
      <c r="D1293" t="s">
        <v>548</v>
      </c>
      <c r="E1293" s="3">
        <v>44562</v>
      </c>
      <c r="F1293" s="3">
        <v>44926</v>
      </c>
      <c r="G1293" t="s">
        <v>108</v>
      </c>
      <c r="H1293" s="3">
        <v>44562</v>
      </c>
      <c r="I1293" s="3">
        <v>44926</v>
      </c>
      <c r="J1293" t="s">
        <v>108</v>
      </c>
      <c r="K1293">
        <v>15129836</v>
      </c>
      <c r="L1293" t="s">
        <v>109</v>
      </c>
      <c r="M1293" t="s">
        <v>110</v>
      </c>
      <c r="O1293" t="s">
        <v>915</v>
      </c>
      <c r="P1293" t="s">
        <v>550</v>
      </c>
      <c r="Q1293">
        <v>2022</v>
      </c>
      <c r="R1293" t="s">
        <v>551</v>
      </c>
      <c r="S1293" t="s">
        <v>552</v>
      </c>
      <c r="T1293" t="s">
        <v>553</v>
      </c>
      <c r="U1293" t="b">
        <v>0</v>
      </c>
      <c r="V1293" t="s">
        <v>916</v>
      </c>
      <c r="W1293" t="s">
        <v>555</v>
      </c>
      <c r="X1293" t="s">
        <v>556</v>
      </c>
      <c r="Y1293" t="s">
        <v>472</v>
      </c>
      <c r="Z1293" t="s">
        <v>485</v>
      </c>
      <c r="AA1293" t="s">
        <v>764</v>
      </c>
      <c r="AB1293" t="s">
        <v>917</v>
      </c>
      <c r="AC1293">
        <v>0</v>
      </c>
      <c r="AD1293" t="s">
        <v>558</v>
      </c>
      <c r="AE1293">
        <v>26764.834859999999</v>
      </c>
      <c r="AF1293">
        <v>1.7690099999999999E-3</v>
      </c>
      <c r="AG1293" t="s">
        <v>560</v>
      </c>
      <c r="AH1293">
        <v>1</v>
      </c>
      <c r="AI1293">
        <v>15129836</v>
      </c>
      <c r="AJ1293" t="s">
        <v>561</v>
      </c>
      <c r="AK1293" t="s">
        <v>766</v>
      </c>
      <c r="AL1293" t="s">
        <v>767</v>
      </c>
      <c r="AM1293">
        <v>2022</v>
      </c>
      <c r="AN1293">
        <v>2020</v>
      </c>
      <c r="AO1293">
        <f>IF(AND(emissions[[#This Row],[Market-based]]=0,emissions[[#This Row],[Impact Type]]="CO2E"),emissions[[#This Row],[kgCO2e]],0)/1000</f>
        <v>0</v>
      </c>
      <c r="AP1293">
        <f>IF(AND(emissions[[#This Row],[Market-based]]=1,OR(emissions[[#This Row],[Impact Type]]="CO2E",emissions[[#This Row],[Impact Type]]="CO2E MKT")),emissions[[#This Row],[kgCO2e]],0)/1000</f>
        <v>0</v>
      </c>
      <c r="AQ1293" t="str">
        <f>_xlfn.TEXTAFTER(emissions[[#This Row],[Reporting Unit]]," &gt; ",LEN(emissions[[#This Row],[Reporting Unit]])-LEN(SUBSTITUTE(emissions[[#This Row],[Reporting Unit]],"&gt;","")))</f>
        <v>Vantage_Gurnee</v>
      </c>
      <c r="AR1293" t="str">
        <f>_xlfn.XLOOKUP(emissions[[#This Row],[Reporting unit name]],hierarchy!$A:$A,hierarchy!$C:$C)</f>
        <v>Office</v>
      </c>
    </row>
    <row r="1294" spans="1:44" hidden="1" x14ac:dyDescent="0.25">
      <c r="A1294">
        <v>20577</v>
      </c>
      <c r="B1294" t="s">
        <v>328</v>
      </c>
      <c r="C1294" t="s">
        <v>501</v>
      </c>
      <c r="D1294" t="s">
        <v>548</v>
      </c>
      <c r="E1294" s="3">
        <v>44562</v>
      </c>
      <c r="F1294" s="3">
        <v>44926</v>
      </c>
      <c r="G1294" t="s">
        <v>108</v>
      </c>
      <c r="H1294" s="3">
        <v>44562</v>
      </c>
      <c r="I1294" s="3">
        <v>44926</v>
      </c>
      <c r="J1294" t="s">
        <v>108</v>
      </c>
      <c r="K1294">
        <v>15129836</v>
      </c>
      <c r="L1294" t="s">
        <v>109</v>
      </c>
      <c r="M1294" t="s">
        <v>110</v>
      </c>
      <c r="O1294" t="s">
        <v>915</v>
      </c>
      <c r="P1294" t="s">
        <v>550</v>
      </c>
      <c r="Q1294">
        <v>2022</v>
      </c>
      <c r="R1294" t="s">
        <v>551</v>
      </c>
      <c r="S1294" t="s">
        <v>552</v>
      </c>
      <c r="T1294" t="s">
        <v>553</v>
      </c>
      <c r="U1294" t="b">
        <v>0</v>
      </c>
      <c r="V1294" t="s">
        <v>916</v>
      </c>
      <c r="W1294" t="s">
        <v>555</v>
      </c>
      <c r="X1294" t="s">
        <v>556</v>
      </c>
      <c r="Y1294" t="s">
        <v>472</v>
      </c>
      <c r="Z1294" t="s">
        <v>485</v>
      </c>
      <c r="AA1294" t="s">
        <v>764</v>
      </c>
      <c r="AB1294" t="s">
        <v>917</v>
      </c>
      <c r="AC1294">
        <v>0</v>
      </c>
      <c r="AD1294" t="s">
        <v>564</v>
      </c>
      <c r="AE1294">
        <v>10161708.77</v>
      </c>
      <c r="AF1294">
        <v>0.67163376900000005</v>
      </c>
      <c r="AG1294" t="s">
        <v>560</v>
      </c>
      <c r="AH1294">
        <v>1</v>
      </c>
      <c r="AI1294">
        <v>15129836</v>
      </c>
      <c r="AJ1294" t="s">
        <v>561</v>
      </c>
      <c r="AK1294" t="s">
        <v>766</v>
      </c>
      <c r="AL1294" t="s">
        <v>767</v>
      </c>
      <c r="AM1294">
        <v>2022</v>
      </c>
      <c r="AN1294">
        <v>2020</v>
      </c>
      <c r="AO1294">
        <f>IF(AND(emissions[[#This Row],[Market-based]]=0,emissions[[#This Row],[Impact Type]]="CO2E"),emissions[[#This Row],[kgCO2e]],0)/1000</f>
        <v>0</v>
      </c>
      <c r="AP1294">
        <f>IF(AND(emissions[[#This Row],[Market-based]]=1,OR(emissions[[#This Row],[Impact Type]]="CO2E",emissions[[#This Row],[Impact Type]]="CO2E MKT")),emissions[[#This Row],[kgCO2e]],0)/1000</f>
        <v>0</v>
      </c>
      <c r="AQ1294" t="str">
        <f>_xlfn.TEXTAFTER(emissions[[#This Row],[Reporting Unit]]," &gt; ",LEN(emissions[[#This Row],[Reporting Unit]])-LEN(SUBSTITUTE(emissions[[#This Row],[Reporting Unit]],"&gt;","")))</f>
        <v>Vantage_Gurnee</v>
      </c>
      <c r="AR1294" t="str">
        <f>_xlfn.XLOOKUP(emissions[[#This Row],[Reporting unit name]],hierarchy!$A:$A,hierarchy!$C:$C)</f>
        <v>Office</v>
      </c>
    </row>
    <row r="1295" spans="1:44" hidden="1" x14ac:dyDescent="0.25">
      <c r="A1295">
        <v>20577</v>
      </c>
      <c r="B1295" t="s">
        <v>328</v>
      </c>
      <c r="C1295" t="s">
        <v>501</v>
      </c>
      <c r="D1295" t="s">
        <v>548</v>
      </c>
      <c r="E1295" s="3">
        <v>44562</v>
      </c>
      <c r="F1295" s="3">
        <v>44926</v>
      </c>
      <c r="G1295" t="s">
        <v>108</v>
      </c>
      <c r="H1295" s="3">
        <v>44562</v>
      </c>
      <c r="I1295" s="3">
        <v>44926</v>
      </c>
      <c r="J1295" t="s">
        <v>108</v>
      </c>
      <c r="K1295">
        <v>15129836</v>
      </c>
      <c r="L1295" t="s">
        <v>109</v>
      </c>
      <c r="M1295" t="s">
        <v>110</v>
      </c>
      <c r="O1295" t="s">
        <v>915</v>
      </c>
      <c r="P1295" t="s">
        <v>550</v>
      </c>
      <c r="Q1295">
        <v>2022</v>
      </c>
      <c r="R1295" t="s">
        <v>551</v>
      </c>
      <c r="S1295" t="s">
        <v>552</v>
      </c>
      <c r="T1295" t="s">
        <v>553</v>
      </c>
      <c r="U1295" t="b">
        <v>0</v>
      </c>
      <c r="V1295" t="s">
        <v>916</v>
      </c>
      <c r="W1295" t="s">
        <v>555</v>
      </c>
      <c r="X1295" t="s">
        <v>556</v>
      </c>
      <c r="Y1295" t="s">
        <v>472</v>
      </c>
      <c r="Z1295" t="s">
        <v>485</v>
      </c>
      <c r="AA1295" t="s">
        <v>764</v>
      </c>
      <c r="AB1295" t="s">
        <v>917</v>
      </c>
      <c r="AC1295">
        <v>0</v>
      </c>
      <c r="AD1295" t="s">
        <v>565</v>
      </c>
      <c r="AE1295">
        <v>10235511.09</v>
      </c>
      <c r="AF1295">
        <v>0.67651170100000002</v>
      </c>
      <c r="AG1295" t="s">
        <v>560</v>
      </c>
      <c r="AH1295">
        <v>1</v>
      </c>
      <c r="AI1295">
        <v>15129836</v>
      </c>
      <c r="AJ1295" t="s">
        <v>561</v>
      </c>
      <c r="AK1295" t="s">
        <v>766</v>
      </c>
      <c r="AL1295" t="s">
        <v>767</v>
      </c>
      <c r="AM1295">
        <v>2022</v>
      </c>
      <c r="AN1295">
        <v>2020</v>
      </c>
      <c r="AO1295">
        <f>IF(AND(emissions[[#This Row],[Market-based]]=0,emissions[[#This Row],[Impact Type]]="CO2E"),emissions[[#This Row],[kgCO2e]],0)/1000</f>
        <v>10235.51109</v>
      </c>
      <c r="AP1295">
        <f>IF(AND(emissions[[#This Row],[Market-based]]=1,OR(emissions[[#This Row],[Impact Type]]="CO2E",emissions[[#This Row],[Impact Type]]="CO2E MKT")),emissions[[#This Row],[kgCO2e]],0)/1000</f>
        <v>0</v>
      </c>
      <c r="AQ1295" t="str">
        <f>_xlfn.TEXTAFTER(emissions[[#This Row],[Reporting Unit]]," &gt; ",LEN(emissions[[#This Row],[Reporting Unit]])-LEN(SUBSTITUTE(emissions[[#This Row],[Reporting Unit]],"&gt;","")))</f>
        <v>Vantage_Gurnee</v>
      </c>
      <c r="AR1295" t="str">
        <f>_xlfn.XLOOKUP(emissions[[#This Row],[Reporting unit name]],hierarchy!$A:$A,hierarchy!$C:$C)</f>
        <v>Office</v>
      </c>
    </row>
    <row r="1296" spans="1:44" hidden="1" x14ac:dyDescent="0.25">
      <c r="A1296">
        <v>20577</v>
      </c>
      <c r="B1296" t="s">
        <v>328</v>
      </c>
      <c r="C1296" t="s">
        <v>501</v>
      </c>
      <c r="D1296" t="s">
        <v>548</v>
      </c>
      <c r="E1296" s="3">
        <v>44562</v>
      </c>
      <c r="F1296" s="3">
        <v>44926</v>
      </c>
      <c r="G1296" t="s">
        <v>108</v>
      </c>
      <c r="H1296" s="3">
        <v>44562</v>
      </c>
      <c r="I1296" s="3">
        <v>44926</v>
      </c>
      <c r="J1296" t="s">
        <v>108</v>
      </c>
      <c r="K1296">
        <v>15129836</v>
      </c>
      <c r="L1296" t="s">
        <v>109</v>
      </c>
      <c r="M1296" t="s">
        <v>110</v>
      </c>
      <c r="O1296" t="s">
        <v>915</v>
      </c>
      <c r="P1296" t="s">
        <v>550</v>
      </c>
      <c r="Q1296">
        <v>2022</v>
      </c>
      <c r="R1296" t="s">
        <v>551</v>
      </c>
      <c r="S1296" t="s">
        <v>552</v>
      </c>
      <c r="T1296" t="s">
        <v>553</v>
      </c>
      <c r="U1296" t="b">
        <v>0</v>
      </c>
      <c r="V1296" t="s">
        <v>916</v>
      </c>
      <c r="W1296" t="s">
        <v>555</v>
      </c>
      <c r="X1296" t="s">
        <v>556</v>
      </c>
      <c r="Y1296" t="s">
        <v>472</v>
      </c>
      <c r="Z1296" t="s">
        <v>485</v>
      </c>
      <c r="AA1296" t="s">
        <v>764</v>
      </c>
      <c r="AB1296" t="s">
        <v>917</v>
      </c>
      <c r="AC1296">
        <v>0</v>
      </c>
      <c r="AD1296" t="s">
        <v>566</v>
      </c>
      <c r="AE1296">
        <v>47037.481570000004</v>
      </c>
      <c r="AF1296">
        <v>3.1089220000000001E-3</v>
      </c>
      <c r="AG1296" t="s">
        <v>560</v>
      </c>
      <c r="AH1296">
        <v>1</v>
      </c>
      <c r="AI1296">
        <v>15129836</v>
      </c>
      <c r="AJ1296" t="s">
        <v>561</v>
      </c>
      <c r="AK1296" t="s">
        <v>766</v>
      </c>
      <c r="AL1296" t="s">
        <v>767</v>
      </c>
      <c r="AM1296">
        <v>2022</v>
      </c>
      <c r="AN1296">
        <v>2020</v>
      </c>
      <c r="AO1296">
        <f>IF(AND(emissions[[#This Row],[Market-based]]=0,emissions[[#This Row],[Impact Type]]="CO2E"),emissions[[#This Row],[kgCO2e]],0)/1000</f>
        <v>0</v>
      </c>
      <c r="AP1296">
        <f>IF(AND(emissions[[#This Row],[Market-based]]=1,OR(emissions[[#This Row],[Impact Type]]="CO2E",emissions[[#This Row],[Impact Type]]="CO2E MKT")),emissions[[#This Row],[kgCO2e]],0)/1000</f>
        <v>0</v>
      </c>
      <c r="AQ1296" t="str">
        <f>_xlfn.TEXTAFTER(emissions[[#This Row],[Reporting Unit]]," &gt; ",LEN(emissions[[#This Row],[Reporting Unit]])-LEN(SUBSTITUTE(emissions[[#This Row],[Reporting Unit]],"&gt;","")))</f>
        <v>Vantage_Gurnee</v>
      </c>
      <c r="AR1296" t="str">
        <f>_xlfn.XLOOKUP(emissions[[#This Row],[Reporting unit name]],hierarchy!$A:$A,hierarchy!$C:$C)</f>
        <v>Office</v>
      </c>
    </row>
    <row r="1297" spans="1:44" hidden="1" x14ac:dyDescent="0.25">
      <c r="A1297">
        <v>20577</v>
      </c>
      <c r="B1297" t="s">
        <v>328</v>
      </c>
      <c r="C1297" t="s">
        <v>501</v>
      </c>
      <c r="D1297" t="s">
        <v>548</v>
      </c>
      <c r="E1297" s="3">
        <v>44562</v>
      </c>
      <c r="F1297" s="3">
        <v>44926</v>
      </c>
      <c r="G1297" t="s">
        <v>108</v>
      </c>
      <c r="H1297" s="3">
        <v>44562</v>
      </c>
      <c r="I1297" s="3">
        <v>44926</v>
      </c>
      <c r="J1297" t="s">
        <v>108</v>
      </c>
      <c r="K1297">
        <v>15129836</v>
      </c>
      <c r="L1297" t="s">
        <v>109</v>
      </c>
      <c r="M1297" t="s">
        <v>110</v>
      </c>
      <c r="O1297" t="s">
        <v>915</v>
      </c>
      <c r="P1297" t="s">
        <v>550</v>
      </c>
      <c r="Q1297">
        <v>2022</v>
      </c>
      <c r="R1297" t="s">
        <v>551</v>
      </c>
      <c r="S1297" t="s">
        <v>552</v>
      </c>
      <c r="T1297" t="s">
        <v>553</v>
      </c>
      <c r="U1297" t="b">
        <v>1</v>
      </c>
      <c r="V1297" t="s">
        <v>916</v>
      </c>
      <c r="W1297" t="s">
        <v>555</v>
      </c>
      <c r="X1297" t="s">
        <v>556</v>
      </c>
      <c r="AC1297">
        <v>1</v>
      </c>
      <c r="AD1297" t="s">
        <v>639</v>
      </c>
      <c r="AE1297">
        <v>5787419.2609999999</v>
      </c>
      <c r="AF1297">
        <v>0.382516986</v>
      </c>
      <c r="AG1297" t="s">
        <v>768</v>
      </c>
      <c r="AH1297">
        <v>1</v>
      </c>
      <c r="AI1297">
        <v>15129836</v>
      </c>
      <c r="AL1297" t="s">
        <v>769</v>
      </c>
      <c r="AM1297">
        <v>2022</v>
      </c>
      <c r="AO1297">
        <f>IF(AND(emissions[[#This Row],[Market-based]]=0,emissions[[#This Row],[Impact Type]]="CO2E"),emissions[[#This Row],[kgCO2e]],0)/1000</f>
        <v>0</v>
      </c>
      <c r="AP1297">
        <f>IF(AND(emissions[[#This Row],[Market-based]]=1,OR(emissions[[#This Row],[Impact Type]]="CO2E",emissions[[#This Row],[Impact Type]]="CO2E MKT")),emissions[[#This Row],[kgCO2e]],0)/1000</f>
        <v>5787.419261</v>
      </c>
      <c r="AQ1297" t="str">
        <f>_xlfn.TEXTAFTER(emissions[[#This Row],[Reporting Unit]]," &gt; ",LEN(emissions[[#This Row],[Reporting Unit]])-LEN(SUBSTITUTE(emissions[[#This Row],[Reporting Unit]],"&gt;","")))</f>
        <v>Vantage_Gurnee</v>
      </c>
      <c r="AR1297" t="str">
        <f>_xlfn.XLOOKUP(emissions[[#This Row],[Reporting unit name]],hierarchy!$A:$A,hierarchy!$C:$C)</f>
        <v>Office</v>
      </c>
    </row>
    <row r="1298" spans="1:44" hidden="1" x14ac:dyDescent="0.25">
      <c r="A1298">
        <v>20577</v>
      </c>
      <c r="B1298" t="s">
        <v>328</v>
      </c>
      <c r="C1298" t="s">
        <v>501</v>
      </c>
      <c r="D1298" t="s">
        <v>548</v>
      </c>
      <c r="E1298" s="3">
        <v>44562</v>
      </c>
      <c r="F1298" s="3">
        <v>44926</v>
      </c>
      <c r="G1298" t="s">
        <v>108</v>
      </c>
      <c r="H1298" s="3">
        <v>44562</v>
      </c>
      <c r="I1298" s="3">
        <v>44926</v>
      </c>
      <c r="J1298" t="s">
        <v>108</v>
      </c>
      <c r="K1298">
        <v>15129836</v>
      </c>
      <c r="L1298" t="s">
        <v>109</v>
      </c>
      <c r="M1298" t="s">
        <v>110</v>
      </c>
      <c r="O1298" t="s">
        <v>915</v>
      </c>
      <c r="P1298" t="s">
        <v>550</v>
      </c>
      <c r="Q1298">
        <v>2022</v>
      </c>
      <c r="R1298" t="s">
        <v>567</v>
      </c>
      <c r="S1298" t="s">
        <v>568</v>
      </c>
      <c r="T1298" t="s">
        <v>569</v>
      </c>
      <c r="U1298" t="b">
        <v>0</v>
      </c>
      <c r="V1298" t="s">
        <v>918</v>
      </c>
      <c r="W1298" t="s">
        <v>571</v>
      </c>
      <c r="X1298" t="s">
        <v>572</v>
      </c>
      <c r="Y1298" t="s">
        <v>472</v>
      </c>
      <c r="Z1298" t="s">
        <v>485</v>
      </c>
      <c r="AA1298" t="s">
        <v>764</v>
      </c>
      <c r="AB1298" t="s">
        <v>917</v>
      </c>
      <c r="AC1298">
        <v>0</v>
      </c>
      <c r="AD1298" t="s">
        <v>565</v>
      </c>
      <c r="AE1298">
        <v>160274.3063</v>
      </c>
      <c r="AF1298">
        <v>1.0593261E-2</v>
      </c>
      <c r="AG1298" t="s">
        <v>560</v>
      </c>
      <c r="AH1298">
        <v>1</v>
      </c>
      <c r="AI1298">
        <v>15129836</v>
      </c>
      <c r="AJ1298" t="s">
        <v>561</v>
      </c>
      <c r="AK1298" t="s">
        <v>573</v>
      </c>
      <c r="AL1298" t="s">
        <v>574</v>
      </c>
      <c r="AM1298">
        <v>2022</v>
      </c>
      <c r="AN1298">
        <v>2020</v>
      </c>
      <c r="AO1298">
        <f>IF(AND(emissions[[#This Row],[Market-based]]=0,emissions[[#This Row],[Impact Type]]="CO2E"),emissions[[#This Row],[kgCO2e]],0)/1000</f>
        <v>160.27430630000001</v>
      </c>
      <c r="AP1298">
        <f>IF(AND(emissions[[#This Row],[Market-based]]=1,OR(emissions[[#This Row],[Impact Type]]="CO2E",emissions[[#This Row],[Impact Type]]="CO2E MKT")),emissions[[#This Row],[kgCO2e]],0)/1000</f>
        <v>0</v>
      </c>
      <c r="AQ1298" t="str">
        <f>_xlfn.TEXTAFTER(emissions[[#This Row],[Reporting Unit]]," &gt; ",LEN(emissions[[#This Row],[Reporting Unit]])-LEN(SUBSTITUTE(emissions[[#This Row],[Reporting Unit]],"&gt;","")))</f>
        <v>Vantage_Gurnee</v>
      </c>
      <c r="AR1298" t="str">
        <f>_xlfn.XLOOKUP(emissions[[#This Row],[Reporting unit name]],hierarchy!$A:$A,hierarchy!$C:$C)</f>
        <v>Office</v>
      </c>
    </row>
    <row r="1299" spans="1:44" hidden="1" x14ac:dyDescent="0.25">
      <c r="A1299">
        <v>20577</v>
      </c>
      <c r="B1299" t="s">
        <v>328</v>
      </c>
      <c r="C1299" t="s">
        <v>501</v>
      </c>
      <c r="D1299" t="s">
        <v>548</v>
      </c>
      <c r="E1299" s="3">
        <v>44562</v>
      </c>
      <c r="F1299" s="3">
        <v>44926</v>
      </c>
      <c r="G1299" t="s">
        <v>108</v>
      </c>
      <c r="H1299" s="3">
        <v>44562</v>
      </c>
      <c r="I1299" s="3">
        <v>44926</v>
      </c>
      <c r="J1299" t="s">
        <v>108</v>
      </c>
      <c r="K1299">
        <v>15129836</v>
      </c>
      <c r="L1299" t="s">
        <v>109</v>
      </c>
      <c r="M1299" t="s">
        <v>110</v>
      </c>
      <c r="O1299" t="s">
        <v>915</v>
      </c>
      <c r="P1299" t="s">
        <v>550</v>
      </c>
      <c r="Q1299">
        <v>2022</v>
      </c>
      <c r="R1299" t="s">
        <v>567</v>
      </c>
      <c r="S1299" t="s">
        <v>568</v>
      </c>
      <c r="T1299" t="s">
        <v>569</v>
      </c>
      <c r="U1299" t="b">
        <v>0</v>
      </c>
      <c r="V1299" t="s">
        <v>919</v>
      </c>
      <c r="W1299" t="s">
        <v>571</v>
      </c>
      <c r="X1299" t="s">
        <v>572</v>
      </c>
      <c r="Y1299" t="s">
        <v>472</v>
      </c>
      <c r="Z1299" t="s">
        <v>485</v>
      </c>
      <c r="AA1299" t="s">
        <v>764</v>
      </c>
      <c r="AB1299" t="s">
        <v>917</v>
      </c>
      <c r="AC1299">
        <v>1</v>
      </c>
      <c r="AD1299" t="s">
        <v>639</v>
      </c>
      <c r="AE1299">
        <v>147221.67009999999</v>
      </c>
      <c r="AF1299">
        <v>9.7305529999999994E-3</v>
      </c>
      <c r="AG1299" t="s">
        <v>560</v>
      </c>
      <c r="AH1299">
        <v>1</v>
      </c>
      <c r="AI1299">
        <v>15129836</v>
      </c>
      <c r="AJ1299" t="s">
        <v>561</v>
      </c>
      <c r="AK1299" t="s">
        <v>573</v>
      </c>
      <c r="AL1299" t="s">
        <v>772</v>
      </c>
      <c r="AM1299">
        <v>2022</v>
      </c>
      <c r="AN1299">
        <v>2019</v>
      </c>
      <c r="AO1299">
        <f>IF(AND(emissions[[#This Row],[Market-based]]=0,emissions[[#This Row],[Impact Type]]="CO2E"),emissions[[#This Row],[kgCO2e]],0)/1000</f>
        <v>0</v>
      </c>
      <c r="AP1299">
        <f>IF(AND(emissions[[#This Row],[Market-based]]=1,OR(emissions[[#This Row],[Impact Type]]="CO2E",emissions[[#This Row],[Impact Type]]="CO2E MKT")),emissions[[#This Row],[kgCO2e]],0)/1000</f>
        <v>147.22167009999998</v>
      </c>
      <c r="AQ1299" t="str">
        <f>_xlfn.TEXTAFTER(emissions[[#This Row],[Reporting Unit]]," &gt; ",LEN(emissions[[#This Row],[Reporting Unit]])-LEN(SUBSTITUTE(emissions[[#This Row],[Reporting Unit]],"&gt;","")))</f>
        <v>Vantage_Gurnee</v>
      </c>
      <c r="AR1299" t="str">
        <f>_xlfn.XLOOKUP(emissions[[#This Row],[Reporting unit name]],hierarchy!$A:$A,hierarchy!$C:$C)</f>
        <v>Office</v>
      </c>
    </row>
    <row r="1300" spans="1:44" hidden="1" x14ac:dyDescent="0.25">
      <c r="A1300">
        <v>20577</v>
      </c>
      <c r="B1300" t="s">
        <v>328</v>
      </c>
      <c r="C1300" t="s">
        <v>501</v>
      </c>
      <c r="D1300" t="s">
        <v>548</v>
      </c>
      <c r="E1300" s="3">
        <v>44562</v>
      </c>
      <c r="F1300" s="3">
        <v>44926</v>
      </c>
      <c r="G1300" t="s">
        <v>108</v>
      </c>
      <c r="H1300" s="3">
        <v>44562</v>
      </c>
      <c r="I1300" s="3">
        <v>44926</v>
      </c>
      <c r="J1300" t="s">
        <v>108</v>
      </c>
      <c r="K1300">
        <v>15129836</v>
      </c>
      <c r="L1300" t="s">
        <v>109</v>
      </c>
      <c r="M1300" t="s">
        <v>110</v>
      </c>
      <c r="O1300" t="s">
        <v>915</v>
      </c>
      <c r="P1300" t="s">
        <v>550</v>
      </c>
      <c r="Q1300">
        <v>2022</v>
      </c>
      <c r="R1300" t="s">
        <v>575</v>
      </c>
      <c r="S1300" t="s">
        <v>576</v>
      </c>
      <c r="T1300" t="s">
        <v>577</v>
      </c>
      <c r="U1300" t="b">
        <v>0</v>
      </c>
      <c r="V1300" t="s">
        <v>920</v>
      </c>
      <c r="W1300" t="s">
        <v>571</v>
      </c>
      <c r="X1300" t="s">
        <v>572</v>
      </c>
      <c r="Y1300" t="s">
        <v>472</v>
      </c>
      <c r="Z1300" t="s">
        <v>485</v>
      </c>
      <c r="AA1300" t="s">
        <v>764</v>
      </c>
      <c r="AB1300" t="s">
        <v>917</v>
      </c>
      <c r="AC1300">
        <v>0</v>
      </c>
      <c r="AD1300" t="s">
        <v>565</v>
      </c>
      <c r="AE1300">
        <v>2863769.2089999998</v>
      </c>
      <c r="AF1300">
        <v>0.189279594</v>
      </c>
      <c r="AG1300" t="s">
        <v>560</v>
      </c>
      <c r="AH1300">
        <v>1</v>
      </c>
      <c r="AI1300">
        <v>15129836</v>
      </c>
      <c r="AJ1300" t="s">
        <v>561</v>
      </c>
      <c r="AK1300" t="s">
        <v>573</v>
      </c>
      <c r="AL1300" t="s">
        <v>574</v>
      </c>
      <c r="AM1300">
        <v>2022</v>
      </c>
      <c r="AN1300">
        <v>2020</v>
      </c>
      <c r="AO1300">
        <f>IF(AND(emissions[[#This Row],[Market-based]]=0,emissions[[#This Row],[Impact Type]]="CO2E"),emissions[[#This Row],[kgCO2e]],0)/1000</f>
        <v>2863.7692089999996</v>
      </c>
      <c r="AP1300">
        <f>IF(AND(emissions[[#This Row],[Market-based]]=1,OR(emissions[[#This Row],[Impact Type]]="CO2E",emissions[[#This Row],[Impact Type]]="CO2E MKT")),emissions[[#This Row],[kgCO2e]],0)/1000</f>
        <v>0</v>
      </c>
      <c r="AQ1300" t="str">
        <f>_xlfn.TEXTAFTER(emissions[[#This Row],[Reporting Unit]]," &gt; ",LEN(emissions[[#This Row],[Reporting Unit]])-LEN(SUBSTITUTE(emissions[[#This Row],[Reporting Unit]],"&gt;","")))</f>
        <v>Vantage_Gurnee</v>
      </c>
      <c r="AR1300" t="str">
        <f>_xlfn.XLOOKUP(emissions[[#This Row],[Reporting unit name]],hierarchy!$A:$A,hierarchy!$C:$C)</f>
        <v>Office</v>
      </c>
    </row>
    <row r="1301" spans="1:44" hidden="1" x14ac:dyDescent="0.25">
      <c r="A1301">
        <v>20577</v>
      </c>
      <c r="B1301" t="s">
        <v>328</v>
      </c>
      <c r="C1301" t="s">
        <v>501</v>
      </c>
      <c r="D1301" t="s">
        <v>548</v>
      </c>
      <c r="E1301" s="3">
        <v>44562</v>
      </c>
      <c r="F1301" s="3">
        <v>44926</v>
      </c>
      <c r="G1301" t="s">
        <v>108</v>
      </c>
      <c r="H1301" s="3">
        <v>44562</v>
      </c>
      <c r="I1301" s="3">
        <v>44926</v>
      </c>
      <c r="J1301" t="s">
        <v>108</v>
      </c>
      <c r="K1301">
        <v>15129836</v>
      </c>
      <c r="L1301" t="s">
        <v>109</v>
      </c>
      <c r="M1301" t="s">
        <v>110</v>
      </c>
      <c r="O1301" t="s">
        <v>915</v>
      </c>
      <c r="P1301" t="s">
        <v>550</v>
      </c>
      <c r="Q1301">
        <v>2022</v>
      </c>
      <c r="R1301" t="s">
        <v>575</v>
      </c>
      <c r="S1301" t="s">
        <v>576</v>
      </c>
      <c r="T1301" t="s">
        <v>577</v>
      </c>
      <c r="U1301" t="b">
        <v>0</v>
      </c>
      <c r="V1301" t="s">
        <v>921</v>
      </c>
      <c r="W1301" t="s">
        <v>571</v>
      </c>
      <c r="X1301" t="s">
        <v>572</v>
      </c>
      <c r="Y1301" t="s">
        <v>472</v>
      </c>
      <c r="Z1301" t="s">
        <v>485</v>
      </c>
      <c r="AA1301" t="s">
        <v>764</v>
      </c>
      <c r="AB1301" t="s">
        <v>917</v>
      </c>
      <c r="AC1301">
        <v>1</v>
      </c>
      <c r="AD1301" t="s">
        <v>639</v>
      </c>
      <c r="AE1301">
        <v>2886699.4139999999</v>
      </c>
      <c r="AF1301">
        <v>0.19079515599999999</v>
      </c>
      <c r="AG1301" t="s">
        <v>560</v>
      </c>
      <c r="AH1301">
        <v>1</v>
      </c>
      <c r="AI1301">
        <v>15129836</v>
      </c>
      <c r="AJ1301" t="s">
        <v>561</v>
      </c>
      <c r="AK1301" t="s">
        <v>573</v>
      </c>
      <c r="AL1301" t="s">
        <v>922</v>
      </c>
      <c r="AM1301">
        <v>2022</v>
      </c>
      <c r="AN1301">
        <v>2019</v>
      </c>
      <c r="AO1301">
        <f>IF(AND(emissions[[#This Row],[Market-based]]=0,emissions[[#This Row],[Impact Type]]="CO2E"),emissions[[#This Row],[kgCO2e]],0)/1000</f>
        <v>0</v>
      </c>
      <c r="AP1301">
        <f>IF(AND(emissions[[#This Row],[Market-based]]=1,OR(emissions[[#This Row],[Impact Type]]="CO2E",emissions[[#This Row],[Impact Type]]="CO2E MKT")),emissions[[#This Row],[kgCO2e]],0)/1000</f>
        <v>2886.6994139999997</v>
      </c>
      <c r="AQ1301" t="str">
        <f>_xlfn.TEXTAFTER(emissions[[#This Row],[Reporting Unit]]," &gt; ",LEN(emissions[[#This Row],[Reporting Unit]])-LEN(SUBSTITUTE(emissions[[#This Row],[Reporting Unit]],"&gt;","")))</f>
        <v>Vantage_Gurnee</v>
      </c>
      <c r="AR1301" t="str">
        <f>_xlfn.XLOOKUP(emissions[[#This Row],[Reporting unit name]],hierarchy!$A:$A,hierarchy!$C:$C)</f>
        <v>Office</v>
      </c>
    </row>
    <row r="1302" spans="1:44" hidden="1" x14ac:dyDescent="0.25">
      <c r="A1302">
        <v>20577</v>
      </c>
      <c r="B1302" t="s">
        <v>328</v>
      </c>
      <c r="C1302" t="s">
        <v>501</v>
      </c>
      <c r="D1302" t="s">
        <v>548</v>
      </c>
      <c r="E1302" s="3">
        <v>44562</v>
      </c>
      <c r="F1302" s="3">
        <v>44926</v>
      </c>
      <c r="G1302" t="s">
        <v>108</v>
      </c>
      <c r="H1302" s="3">
        <v>44562</v>
      </c>
      <c r="I1302" s="3">
        <v>44926</v>
      </c>
      <c r="J1302" t="s">
        <v>108</v>
      </c>
      <c r="K1302">
        <v>15129836</v>
      </c>
      <c r="L1302" t="s">
        <v>109</v>
      </c>
      <c r="M1302" t="s">
        <v>110</v>
      </c>
      <c r="O1302" t="s">
        <v>915</v>
      </c>
      <c r="P1302" t="s">
        <v>550</v>
      </c>
      <c r="Q1302">
        <v>2022</v>
      </c>
      <c r="R1302" t="s">
        <v>579</v>
      </c>
      <c r="S1302" t="s">
        <v>580</v>
      </c>
      <c r="T1302" t="s">
        <v>581</v>
      </c>
      <c r="U1302" t="b">
        <v>0</v>
      </c>
      <c r="V1302" t="s">
        <v>923</v>
      </c>
      <c r="W1302" t="s">
        <v>571</v>
      </c>
      <c r="X1302" t="s">
        <v>572</v>
      </c>
      <c r="Y1302" t="s">
        <v>472</v>
      </c>
      <c r="Z1302" t="s">
        <v>485</v>
      </c>
      <c r="AA1302" t="s">
        <v>764</v>
      </c>
      <c r="AB1302" t="s">
        <v>917</v>
      </c>
      <c r="AC1302">
        <v>0</v>
      </c>
      <c r="AD1302" t="s">
        <v>565</v>
      </c>
      <c r="AE1302">
        <v>542482.08770000003</v>
      </c>
      <c r="AF1302">
        <v>3.5855119999999997E-2</v>
      </c>
      <c r="AG1302" t="s">
        <v>560</v>
      </c>
      <c r="AH1302">
        <v>1</v>
      </c>
      <c r="AI1302">
        <v>15129836</v>
      </c>
      <c r="AJ1302" t="s">
        <v>561</v>
      </c>
      <c r="AK1302" t="s">
        <v>766</v>
      </c>
      <c r="AL1302" t="s">
        <v>767</v>
      </c>
      <c r="AM1302">
        <v>2022</v>
      </c>
      <c r="AN1302">
        <v>2020</v>
      </c>
      <c r="AO1302">
        <f>IF(AND(emissions[[#This Row],[Market-based]]=0,emissions[[#This Row],[Impact Type]]="CO2E"),emissions[[#This Row],[kgCO2e]],0)/1000</f>
        <v>542.48208770000008</v>
      </c>
      <c r="AP1302">
        <f>IF(AND(emissions[[#This Row],[Market-based]]=1,OR(emissions[[#This Row],[Impact Type]]="CO2E",emissions[[#This Row],[Impact Type]]="CO2E MKT")),emissions[[#This Row],[kgCO2e]],0)/1000</f>
        <v>0</v>
      </c>
      <c r="AQ1302" t="str">
        <f>_xlfn.TEXTAFTER(emissions[[#This Row],[Reporting Unit]]," &gt; ",LEN(emissions[[#This Row],[Reporting Unit]])-LEN(SUBSTITUTE(emissions[[#This Row],[Reporting Unit]],"&gt;","")))</f>
        <v>Vantage_Gurnee</v>
      </c>
      <c r="AR1302" t="str">
        <f>_xlfn.XLOOKUP(emissions[[#This Row],[Reporting unit name]],hierarchy!$A:$A,hierarchy!$C:$C)</f>
        <v>Office</v>
      </c>
    </row>
    <row r="1303" spans="1:44" hidden="1" x14ac:dyDescent="0.25">
      <c r="A1303">
        <v>20577</v>
      </c>
      <c r="B1303" t="s">
        <v>328</v>
      </c>
      <c r="C1303" t="s">
        <v>501</v>
      </c>
      <c r="D1303" t="s">
        <v>548</v>
      </c>
      <c r="E1303" s="3">
        <v>44562</v>
      </c>
      <c r="F1303" s="3">
        <v>44926</v>
      </c>
      <c r="G1303" t="s">
        <v>108</v>
      </c>
      <c r="H1303" s="3">
        <v>44562</v>
      </c>
      <c r="I1303" s="3">
        <v>44926</v>
      </c>
      <c r="J1303" t="s">
        <v>108</v>
      </c>
      <c r="K1303">
        <v>15129836</v>
      </c>
      <c r="L1303" t="s">
        <v>109</v>
      </c>
      <c r="M1303" t="s">
        <v>110</v>
      </c>
      <c r="O1303" t="s">
        <v>915</v>
      </c>
      <c r="P1303" t="s">
        <v>550</v>
      </c>
      <c r="Q1303">
        <v>2022</v>
      </c>
      <c r="R1303" t="s">
        <v>579</v>
      </c>
      <c r="S1303" t="s">
        <v>580</v>
      </c>
      <c r="T1303" t="s">
        <v>581</v>
      </c>
      <c r="U1303" t="b">
        <v>0</v>
      </c>
      <c r="V1303" t="s">
        <v>924</v>
      </c>
      <c r="W1303" t="s">
        <v>571</v>
      </c>
      <c r="X1303" t="s">
        <v>572</v>
      </c>
      <c r="Y1303" t="s">
        <v>472</v>
      </c>
      <c r="Z1303" t="s">
        <v>485</v>
      </c>
      <c r="AA1303" t="s">
        <v>764</v>
      </c>
      <c r="AB1303" t="s">
        <v>917</v>
      </c>
      <c r="AC1303">
        <v>1</v>
      </c>
      <c r="AD1303" t="s">
        <v>639</v>
      </c>
      <c r="AE1303">
        <v>557297.18550000002</v>
      </c>
      <c r="AF1303">
        <v>3.6834317999999998E-2</v>
      </c>
      <c r="AG1303" t="s">
        <v>560</v>
      </c>
      <c r="AH1303">
        <v>1</v>
      </c>
      <c r="AI1303">
        <v>15129836</v>
      </c>
      <c r="AJ1303" t="s">
        <v>561</v>
      </c>
      <c r="AK1303" t="s">
        <v>573</v>
      </c>
      <c r="AL1303" t="s">
        <v>925</v>
      </c>
      <c r="AM1303">
        <v>2022</v>
      </c>
      <c r="AN1303">
        <v>2019</v>
      </c>
      <c r="AO1303">
        <f>IF(AND(emissions[[#This Row],[Market-based]]=0,emissions[[#This Row],[Impact Type]]="CO2E"),emissions[[#This Row],[kgCO2e]],0)/1000</f>
        <v>0</v>
      </c>
      <c r="AP1303">
        <f>IF(AND(emissions[[#This Row],[Market-based]]=1,OR(emissions[[#This Row],[Impact Type]]="CO2E",emissions[[#This Row],[Impact Type]]="CO2E MKT")),emissions[[#This Row],[kgCO2e]],0)/1000</f>
        <v>557.29718550000007</v>
      </c>
      <c r="AQ1303" t="str">
        <f>_xlfn.TEXTAFTER(emissions[[#This Row],[Reporting Unit]]," &gt; ",LEN(emissions[[#This Row],[Reporting Unit]])-LEN(SUBSTITUTE(emissions[[#This Row],[Reporting Unit]],"&gt;","")))</f>
        <v>Vantage_Gurnee</v>
      </c>
      <c r="AR1303" t="str">
        <f>_xlfn.XLOOKUP(emissions[[#This Row],[Reporting unit name]],hierarchy!$A:$A,hierarchy!$C:$C)</f>
        <v>Office</v>
      </c>
    </row>
    <row r="1304" spans="1:44" hidden="1" x14ac:dyDescent="0.25">
      <c r="A1304">
        <v>20575</v>
      </c>
      <c r="B1304" t="s">
        <v>328</v>
      </c>
      <c r="C1304" t="s">
        <v>501</v>
      </c>
      <c r="D1304" t="s">
        <v>548</v>
      </c>
      <c r="E1304" s="3">
        <v>44562</v>
      </c>
      <c r="F1304" s="3">
        <v>44926</v>
      </c>
      <c r="G1304" t="s">
        <v>135</v>
      </c>
      <c r="H1304" s="3">
        <v>44562</v>
      </c>
      <c r="I1304" s="3">
        <v>44926</v>
      </c>
      <c r="J1304" t="s">
        <v>135</v>
      </c>
      <c r="K1304">
        <v>2349743.2999999998</v>
      </c>
      <c r="L1304" t="s">
        <v>136</v>
      </c>
      <c r="M1304" t="s">
        <v>110</v>
      </c>
      <c r="O1304" t="s">
        <v>926</v>
      </c>
      <c r="P1304" t="s">
        <v>550</v>
      </c>
      <c r="Q1304">
        <v>2022</v>
      </c>
      <c r="R1304" t="s">
        <v>605</v>
      </c>
      <c r="S1304" t="s">
        <v>606</v>
      </c>
      <c r="T1304" t="s">
        <v>553</v>
      </c>
      <c r="U1304" t="b">
        <v>0</v>
      </c>
      <c r="V1304" t="s">
        <v>781</v>
      </c>
      <c r="W1304" t="s">
        <v>587</v>
      </c>
      <c r="X1304" t="s">
        <v>556</v>
      </c>
      <c r="Y1304" t="s">
        <v>472</v>
      </c>
      <c r="Z1304" t="s">
        <v>485</v>
      </c>
      <c r="AA1304" t="s">
        <v>764</v>
      </c>
      <c r="AC1304">
        <v>0</v>
      </c>
      <c r="AD1304" t="s">
        <v>558</v>
      </c>
      <c r="AE1304">
        <v>5874.3582500000002</v>
      </c>
      <c r="AF1304">
        <v>2.5000000000000001E-2</v>
      </c>
      <c r="AG1304" t="s">
        <v>798</v>
      </c>
      <c r="AH1304">
        <v>0.1</v>
      </c>
      <c r="AI1304">
        <v>234974.33</v>
      </c>
      <c r="AJ1304" t="s">
        <v>561</v>
      </c>
      <c r="AK1304" t="s">
        <v>766</v>
      </c>
      <c r="AL1304" t="s">
        <v>787</v>
      </c>
      <c r="AM1304">
        <v>2022</v>
      </c>
      <c r="AN1304">
        <v>2021</v>
      </c>
      <c r="AO1304">
        <f>IF(AND(emissions[[#This Row],[Market-based]]=0,emissions[[#This Row],[Impact Type]]="CO2E"),emissions[[#This Row],[kgCO2e]],0)/1000</f>
        <v>0</v>
      </c>
      <c r="AP1304">
        <f>IF(AND(emissions[[#This Row],[Market-based]]=1,OR(emissions[[#This Row],[Impact Type]]="CO2E",emissions[[#This Row],[Impact Type]]="CO2E MKT")),emissions[[#This Row],[kgCO2e]],0)/1000</f>
        <v>0</v>
      </c>
      <c r="AQ1304" t="str">
        <f>_xlfn.TEXTAFTER(emissions[[#This Row],[Reporting Unit]]," &gt; ",LEN(emissions[[#This Row],[Reporting Unit]])-LEN(SUBSTITUTE(emissions[[#This Row],[Reporting Unit]],"&gt;","")))</f>
        <v>Vantage_Gurnee</v>
      </c>
      <c r="AR1304" t="str">
        <f>_xlfn.XLOOKUP(emissions[[#This Row],[Reporting unit name]],hierarchy!$A:$A,hierarchy!$C:$C)</f>
        <v>Office</v>
      </c>
    </row>
    <row r="1305" spans="1:44" hidden="1" x14ac:dyDescent="0.25">
      <c r="A1305">
        <v>20575</v>
      </c>
      <c r="B1305" t="s">
        <v>328</v>
      </c>
      <c r="C1305" t="s">
        <v>501</v>
      </c>
      <c r="D1305" t="s">
        <v>548</v>
      </c>
      <c r="E1305" s="3">
        <v>44562</v>
      </c>
      <c r="F1305" s="3">
        <v>44926</v>
      </c>
      <c r="G1305" t="s">
        <v>135</v>
      </c>
      <c r="H1305" s="3">
        <v>44562</v>
      </c>
      <c r="I1305" s="3">
        <v>44926</v>
      </c>
      <c r="J1305" t="s">
        <v>135</v>
      </c>
      <c r="K1305">
        <v>2349743.2999999998</v>
      </c>
      <c r="L1305" t="s">
        <v>136</v>
      </c>
      <c r="M1305" t="s">
        <v>110</v>
      </c>
      <c r="O1305" t="s">
        <v>926</v>
      </c>
      <c r="P1305" t="s">
        <v>550</v>
      </c>
      <c r="Q1305">
        <v>2022</v>
      </c>
      <c r="R1305" t="s">
        <v>605</v>
      </c>
      <c r="S1305" t="s">
        <v>606</v>
      </c>
      <c r="T1305" t="s">
        <v>553</v>
      </c>
      <c r="U1305" t="b">
        <v>0</v>
      </c>
      <c r="V1305" t="s">
        <v>781</v>
      </c>
      <c r="W1305" t="s">
        <v>587</v>
      </c>
      <c r="X1305" t="s">
        <v>556</v>
      </c>
      <c r="Y1305" t="s">
        <v>472</v>
      </c>
      <c r="Z1305" t="s">
        <v>485</v>
      </c>
      <c r="AA1305" t="s">
        <v>764</v>
      </c>
      <c r="AC1305">
        <v>0</v>
      </c>
      <c r="AD1305" t="s">
        <v>564</v>
      </c>
      <c r="AE1305">
        <v>12467737.949999999</v>
      </c>
      <c r="AF1305">
        <v>53.06</v>
      </c>
      <c r="AG1305" t="s">
        <v>798</v>
      </c>
      <c r="AH1305">
        <v>0.1</v>
      </c>
      <c r="AI1305">
        <v>234974.33</v>
      </c>
      <c r="AJ1305" t="s">
        <v>561</v>
      </c>
      <c r="AK1305" t="s">
        <v>766</v>
      </c>
      <c r="AL1305" t="s">
        <v>767</v>
      </c>
      <c r="AM1305">
        <v>2022</v>
      </c>
      <c r="AN1305">
        <v>2022</v>
      </c>
      <c r="AO1305">
        <f>IF(AND(emissions[[#This Row],[Market-based]]=0,emissions[[#This Row],[Impact Type]]="CO2E"),emissions[[#This Row],[kgCO2e]],0)/1000</f>
        <v>0</v>
      </c>
      <c r="AP1305">
        <f>IF(AND(emissions[[#This Row],[Market-based]]=1,OR(emissions[[#This Row],[Impact Type]]="CO2E",emissions[[#This Row],[Impact Type]]="CO2E MKT")),emissions[[#This Row],[kgCO2e]],0)/1000</f>
        <v>0</v>
      </c>
      <c r="AQ1305" t="str">
        <f>_xlfn.TEXTAFTER(emissions[[#This Row],[Reporting Unit]]," &gt; ",LEN(emissions[[#This Row],[Reporting Unit]])-LEN(SUBSTITUTE(emissions[[#This Row],[Reporting Unit]],"&gt;","")))</f>
        <v>Vantage_Gurnee</v>
      </c>
      <c r="AR1305" t="str">
        <f>_xlfn.XLOOKUP(emissions[[#This Row],[Reporting unit name]],hierarchy!$A:$A,hierarchy!$C:$C)</f>
        <v>Office</v>
      </c>
    </row>
    <row r="1306" spans="1:44" hidden="1" x14ac:dyDescent="0.25">
      <c r="A1306">
        <v>20575</v>
      </c>
      <c r="B1306" t="s">
        <v>328</v>
      </c>
      <c r="C1306" t="s">
        <v>501</v>
      </c>
      <c r="D1306" t="s">
        <v>548</v>
      </c>
      <c r="E1306" s="3">
        <v>44562</v>
      </c>
      <c r="F1306" s="3">
        <v>44926</v>
      </c>
      <c r="G1306" t="s">
        <v>135</v>
      </c>
      <c r="H1306" s="3">
        <v>44562</v>
      </c>
      <c r="I1306" s="3">
        <v>44926</v>
      </c>
      <c r="J1306" t="s">
        <v>135</v>
      </c>
      <c r="K1306">
        <v>2349743.2999999998</v>
      </c>
      <c r="L1306" t="s">
        <v>136</v>
      </c>
      <c r="M1306" t="s">
        <v>110</v>
      </c>
      <c r="O1306" t="s">
        <v>926</v>
      </c>
      <c r="P1306" t="s">
        <v>550</v>
      </c>
      <c r="Q1306">
        <v>2022</v>
      </c>
      <c r="R1306" t="s">
        <v>605</v>
      </c>
      <c r="S1306" t="s">
        <v>606</v>
      </c>
      <c r="T1306" t="s">
        <v>553</v>
      </c>
      <c r="U1306" t="b">
        <v>0</v>
      </c>
      <c r="V1306" t="s">
        <v>781</v>
      </c>
      <c r="W1306" t="s">
        <v>587</v>
      </c>
      <c r="X1306" t="s">
        <v>556</v>
      </c>
      <c r="Y1306" t="s">
        <v>472</v>
      </c>
      <c r="Z1306" t="s">
        <v>485</v>
      </c>
      <c r="AA1306" t="s">
        <v>764</v>
      </c>
      <c r="AC1306">
        <v>0</v>
      </c>
      <c r="AD1306" t="s">
        <v>565</v>
      </c>
      <c r="AE1306">
        <v>12480614.539999999</v>
      </c>
      <c r="AF1306">
        <v>53.114800000000002</v>
      </c>
      <c r="AG1306" t="s">
        <v>798</v>
      </c>
      <c r="AH1306">
        <v>0.1</v>
      </c>
      <c r="AI1306">
        <v>234974.33</v>
      </c>
      <c r="AJ1306" t="s">
        <v>561</v>
      </c>
      <c r="AK1306" t="s">
        <v>766</v>
      </c>
      <c r="AL1306" t="s">
        <v>787</v>
      </c>
      <c r="AM1306">
        <v>2022</v>
      </c>
      <c r="AN1306">
        <v>2021</v>
      </c>
      <c r="AO1306">
        <f>IF(AND(emissions[[#This Row],[Market-based]]=0,emissions[[#This Row],[Impact Type]]="CO2E"),emissions[[#This Row],[kgCO2e]],0)/1000</f>
        <v>12480.614539999999</v>
      </c>
      <c r="AP1306">
        <f>IF(AND(emissions[[#This Row],[Market-based]]=1,OR(emissions[[#This Row],[Impact Type]]="CO2E",emissions[[#This Row],[Impact Type]]="CO2E MKT")),emissions[[#This Row],[kgCO2e]],0)/1000</f>
        <v>0</v>
      </c>
      <c r="AQ1306" t="str">
        <f>_xlfn.TEXTAFTER(emissions[[#This Row],[Reporting Unit]]," &gt; ",LEN(emissions[[#This Row],[Reporting Unit]])-LEN(SUBSTITUTE(emissions[[#This Row],[Reporting Unit]],"&gt;","")))</f>
        <v>Vantage_Gurnee</v>
      </c>
      <c r="AR1306" t="str">
        <f>_xlfn.XLOOKUP(emissions[[#This Row],[Reporting unit name]],hierarchy!$A:$A,hierarchy!$C:$C)</f>
        <v>Office</v>
      </c>
    </row>
    <row r="1307" spans="1:44" hidden="1" x14ac:dyDescent="0.25">
      <c r="A1307">
        <v>20575</v>
      </c>
      <c r="B1307" t="s">
        <v>328</v>
      </c>
      <c r="C1307" t="s">
        <v>501</v>
      </c>
      <c r="D1307" t="s">
        <v>548</v>
      </c>
      <c r="E1307" s="3">
        <v>44562</v>
      </c>
      <c r="F1307" s="3">
        <v>44926</v>
      </c>
      <c r="G1307" t="s">
        <v>135</v>
      </c>
      <c r="H1307" s="3">
        <v>44562</v>
      </c>
      <c r="I1307" s="3">
        <v>44926</v>
      </c>
      <c r="J1307" t="s">
        <v>135</v>
      </c>
      <c r="K1307">
        <v>2349743.2999999998</v>
      </c>
      <c r="L1307" t="s">
        <v>136</v>
      </c>
      <c r="M1307" t="s">
        <v>110</v>
      </c>
      <c r="O1307" t="s">
        <v>926</v>
      </c>
      <c r="P1307" t="s">
        <v>550</v>
      </c>
      <c r="Q1307">
        <v>2022</v>
      </c>
      <c r="R1307" t="s">
        <v>605</v>
      </c>
      <c r="S1307" t="s">
        <v>606</v>
      </c>
      <c r="T1307" t="s">
        <v>553</v>
      </c>
      <c r="U1307" t="b">
        <v>0</v>
      </c>
      <c r="V1307" t="s">
        <v>781</v>
      </c>
      <c r="W1307" t="s">
        <v>587</v>
      </c>
      <c r="X1307" t="s">
        <v>556</v>
      </c>
      <c r="Y1307" t="s">
        <v>472</v>
      </c>
      <c r="Z1307" t="s">
        <v>485</v>
      </c>
      <c r="AA1307" t="s">
        <v>764</v>
      </c>
      <c r="AC1307">
        <v>0</v>
      </c>
      <c r="AD1307" t="s">
        <v>566</v>
      </c>
      <c r="AE1307">
        <v>7002.2350340000003</v>
      </c>
      <c r="AF1307">
        <v>2.98E-2</v>
      </c>
      <c r="AG1307" t="s">
        <v>798</v>
      </c>
      <c r="AH1307">
        <v>0.1</v>
      </c>
      <c r="AI1307">
        <v>234974.33</v>
      </c>
      <c r="AJ1307" t="s">
        <v>561</v>
      </c>
      <c r="AK1307" t="s">
        <v>766</v>
      </c>
      <c r="AL1307" t="s">
        <v>767</v>
      </c>
      <c r="AM1307">
        <v>2022</v>
      </c>
      <c r="AN1307">
        <v>2022</v>
      </c>
      <c r="AO1307">
        <f>IF(AND(emissions[[#This Row],[Market-based]]=0,emissions[[#This Row],[Impact Type]]="CO2E"),emissions[[#This Row],[kgCO2e]],0)/1000</f>
        <v>0</v>
      </c>
      <c r="AP1307">
        <f>IF(AND(emissions[[#This Row],[Market-based]]=1,OR(emissions[[#This Row],[Impact Type]]="CO2E",emissions[[#This Row],[Impact Type]]="CO2E MKT")),emissions[[#This Row],[kgCO2e]],0)/1000</f>
        <v>0</v>
      </c>
      <c r="AQ1307" t="str">
        <f>_xlfn.TEXTAFTER(emissions[[#This Row],[Reporting Unit]]," &gt; ",LEN(emissions[[#This Row],[Reporting Unit]])-LEN(SUBSTITUTE(emissions[[#This Row],[Reporting Unit]],"&gt;","")))</f>
        <v>Vantage_Gurnee</v>
      </c>
      <c r="AR1307" t="str">
        <f>_xlfn.XLOOKUP(emissions[[#This Row],[Reporting unit name]],hierarchy!$A:$A,hierarchy!$C:$C)</f>
        <v>Office</v>
      </c>
    </row>
    <row r="1308" spans="1:44" hidden="1" x14ac:dyDescent="0.25">
      <c r="A1308">
        <v>20575</v>
      </c>
      <c r="B1308" t="s">
        <v>328</v>
      </c>
      <c r="C1308" t="s">
        <v>501</v>
      </c>
      <c r="D1308" t="s">
        <v>548</v>
      </c>
      <c r="E1308" s="3">
        <v>44562</v>
      </c>
      <c r="F1308" s="3">
        <v>44926</v>
      </c>
      <c r="G1308" t="s">
        <v>135</v>
      </c>
      <c r="H1308" s="3">
        <v>44562</v>
      </c>
      <c r="I1308" s="3">
        <v>44926</v>
      </c>
      <c r="J1308" t="s">
        <v>135</v>
      </c>
      <c r="K1308">
        <v>2349743.2999999998</v>
      </c>
      <c r="L1308" t="s">
        <v>136</v>
      </c>
      <c r="M1308" t="s">
        <v>110</v>
      </c>
      <c r="O1308" t="s">
        <v>926</v>
      </c>
      <c r="P1308" t="s">
        <v>550</v>
      </c>
      <c r="Q1308">
        <v>2022</v>
      </c>
      <c r="R1308" t="s">
        <v>605</v>
      </c>
      <c r="S1308" t="s">
        <v>606</v>
      </c>
      <c r="T1308" t="s">
        <v>553</v>
      </c>
      <c r="U1308" t="b">
        <v>0</v>
      </c>
      <c r="V1308" t="s">
        <v>781</v>
      </c>
      <c r="W1308" t="s">
        <v>587</v>
      </c>
      <c r="X1308" t="s">
        <v>556</v>
      </c>
      <c r="Y1308" t="s">
        <v>472</v>
      </c>
      <c r="Z1308" t="s">
        <v>485</v>
      </c>
      <c r="AA1308" t="s">
        <v>764</v>
      </c>
      <c r="AC1308">
        <v>1</v>
      </c>
      <c r="AD1308" t="s">
        <v>558</v>
      </c>
      <c r="AE1308">
        <v>5874.3582500000002</v>
      </c>
      <c r="AF1308">
        <v>2.5000000000000001E-2</v>
      </c>
      <c r="AG1308" t="s">
        <v>798</v>
      </c>
      <c r="AH1308">
        <v>0.1</v>
      </c>
      <c r="AI1308">
        <v>234974.33</v>
      </c>
      <c r="AJ1308" t="s">
        <v>561</v>
      </c>
      <c r="AK1308" t="s">
        <v>766</v>
      </c>
      <c r="AL1308" t="s">
        <v>787</v>
      </c>
      <c r="AM1308">
        <v>2022</v>
      </c>
      <c r="AN1308">
        <v>2021</v>
      </c>
      <c r="AO1308">
        <f>IF(AND(emissions[[#This Row],[Market-based]]=0,emissions[[#This Row],[Impact Type]]="CO2E"),emissions[[#This Row],[kgCO2e]],0)/1000</f>
        <v>0</v>
      </c>
      <c r="AP1308">
        <f>IF(AND(emissions[[#This Row],[Market-based]]=1,OR(emissions[[#This Row],[Impact Type]]="CO2E",emissions[[#This Row],[Impact Type]]="CO2E MKT")),emissions[[#This Row],[kgCO2e]],0)/1000</f>
        <v>0</v>
      </c>
      <c r="AQ1308" t="str">
        <f>_xlfn.TEXTAFTER(emissions[[#This Row],[Reporting Unit]]," &gt; ",LEN(emissions[[#This Row],[Reporting Unit]])-LEN(SUBSTITUTE(emissions[[#This Row],[Reporting Unit]],"&gt;","")))</f>
        <v>Vantage_Gurnee</v>
      </c>
      <c r="AR1308" t="str">
        <f>_xlfn.XLOOKUP(emissions[[#This Row],[Reporting unit name]],hierarchy!$A:$A,hierarchy!$C:$C)</f>
        <v>Office</v>
      </c>
    </row>
    <row r="1309" spans="1:44" hidden="1" x14ac:dyDescent="0.25">
      <c r="A1309">
        <v>20575</v>
      </c>
      <c r="B1309" t="s">
        <v>328</v>
      </c>
      <c r="C1309" t="s">
        <v>501</v>
      </c>
      <c r="D1309" t="s">
        <v>548</v>
      </c>
      <c r="E1309" s="3">
        <v>44562</v>
      </c>
      <c r="F1309" s="3">
        <v>44926</v>
      </c>
      <c r="G1309" t="s">
        <v>135</v>
      </c>
      <c r="H1309" s="3">
        <v>44562</v>
      </c>
      <c r="I1309" s="3">
        <v>44926</v>
      </c>
      <c r="J1309" t="s">
        <v>135</v>
      </c>
      <c r="K1309">
        <v>2349743.2999999998</v>
      </c>
      <c r="L1309" t="s">
        <v>136</v>
      </c>
      <c r="M1309" t="s">
        <v>110</v>
      </c>
      <c r="O1309" t="s">
        <v>926</v>
      </c>
      <c r="P1309" t="s">
        <v>550</v>
      </c>
      <c r="Q1309">
        <v>2022</v>
      </c>
      <c r="R1309" t="s">
        <v>605</v>
      </c>
      <c r="S1309" t="s">
        <v>606</v>
      </c>
      <c r="T1309" t="s">
        <v>553</v>
      </c>
      <c r="U1309" t="b">
        <v>0</v>
      </c>
      <c r="V1309" t="s">
        <v>781</v>
      </c>
      <c r="W1309" t="s">
        <v>587</v>
      </c>
      <c r="X1309" t="s">
        <v>556</v>
      </c>
      <c r="Y1309" t="s">
        <v>472</v>
      </c>
      <c r="Z1309" t="s">
        <v>485</v>
      </c>
      <c r="AA1309" t="s">
        <v>764</v>
      </c>
      <c r="AC1309">
        <v>1</v>
      </c>
      <c r="AD1309" t="s">
        <v>564</v>
      </c>
      <c r="AE1309">
        <v>12467737.949999999</v>
      </c>
      <c r="AF1309">
        <v>53.06</v>
      </c>
      <c r="AG1309" t="s">
        <v>798</v>
      </c>
      <c r="AH1309">
        <v>0.1</v>
      </c>
      <c r="AI1309">
        <v>234974.33</v>
      </c>
      <c r="AJ1309" t="s">
        <v>561</v>
      </c>
      <c r="AK1309" t="s">
        <v>766</v>
      </c>
      <c r="AL1309" t="s">
        <v>767</v>
      </c>
      <c r="AM1309">
        <v>2022</v>
      </c>
      <c r="AN1309">
        <v>2022</v>
      </c>
      <c r="AO1309">
        <f>IF(AND(emissions[[#This Row],[Market-based]]=0,emissions[[#This Row],[Impact Type]]="CO2E"),emissions[[#This Row],[kgCO2e]],0)/1000</f>
        <v>0</v>
      </c>
      <c r="AP1309">
        <f>IF(AND(emissions[[#This Row],[Market-based]]=1,OR(emissions[[#This Row],[Impact Type]]="CO2E",emissions[[#This Row],[Impact Type]]="CO2E MKT")),emissions[[#This Row],[kgCO2e]],0)/1000</f>
        <v>0</v>
      </c>
      <c r="AQ1309" t="str">
        <f>_xlfn.TEXTAFTER(emissions[[#This Row],[Reporting Unit]]," &gt; ",LEN(emissions[[#This Row],[Reporting Unit]])-LEN(SUBSTITUTE(emissions[[#This Row],[Reporting Unit]],"&gt;","")))</f>
        <v>Vantage_Gurnee</v>
      </c>
      <c r="AR1309" t="str">
        <f>_xlfn.XLOOKUP(emissions[[#This Row],[Reporting unit name]],hierarchy!$A:$A,hierarchy!$C:$C)</f>
        <v>Office</v>
      </c>
    </row>
    <row r="1310" spans="1:44" hidden="1" x14ac:dyDescent="0.25">
      <c r="A1310">
        <v>20575</v>
      </c>
      <c r="B1310" t="s">
        <v>328</v>
      </c>
      <c r="C1310" t="s">
        <v>501</v>
      </c>
      <c r="D1310" t="s">
        <v>548</v>
      </c>
      <c r="E1310" s="3">
        <v>44562</v>
      </c>
      <c r="F1310" s="3">
        <v>44926</v>
      </c>
      <c r="G1310" t="s">
        <v>135</v>
      </c>
      <c r="H1310" s="3">
        <v>44562</v>
      </c>
      <c r="I1310" s="3">
        <v>44926</v>
      </c>
      <c r="J1310" t="s">
        <v>135</v>
      </c>
      <c r="K1310">
        <v>2349743.2999999998</v>
      </c>
      <c r="L1310" t="s">
        <v>136</v>
      </c>
      <c r="M1310" t="s">
        <v>110</v>
      </c>
      <c r="O1310" t="s">
        <v>926</v>
      </c>
      <c r="P1310" t="s">
        <v>550</v>
      </c>
      <c r="Q1310">
        <v>2022</v>
      </c>
      <c r="R1310" t="s">
        <v>605</v>
      </c>
      <c r="S1310" t="s">
        <v>606</v>
      </c>
      <c r="T1310" t="s">
        <v>553</v>
      </c>
      <c r="U1310" t="b">
        <v>0</v>
      </c>
      <c r="V1310" t="s">
        <v>781</v>
      </c>
      <c r="W1310" t="s">
        <v>587</v>
      </c>
      <c r="X1310" t="s">
        <v>556</v>
      </c>
      <c r="Y1310" t="s">
        <v>472</v>
      </c>
      <c r="Z1310" t="s">
        <v>485</v>
      </c>
      <c r="AA1310" t="s">
        <v>764</v>
      </c>
      <c r="AC1310">
        <v>1</v>
      </c>
      <c r="AD1310" t="s">
        <v>565</v>
      </c>
      <c r="AE1310">
        <v>12480614.539999999</v>
      </c>
      <c r="AF1310">
        <v>53.114800000000002</v>
      </c>
      <c r="AG1310" t="s">
        <v>798</v>
      </c>
      <c r="AH1310">
        <v>0.1</v>
      </c>
      <c r="AI1310">
        <v>234974.33</v>
      </c>
      <c r="AJ1310" t="s">
        <v>561</v>
      </c>
      <c r="AK1310" t="s">
        <v>766</v>
      </c>
      <c r="AL1310" t="s">
        <v>787</v>
      </c>
      <c r="AM1310">
        <v>2022</v>
      </c>
      <c r="AN1310">
        <v>2021</v>
      </c>
      <c r="AO1310">
        <f>IF(AND(emissions[[#This Row],[Market-based]]=0,emissions[[#This Row],[Impact Type]]="CO2E"),emissions[[#This Row],[kgCO2e]],0)/1000</f>
        <v>0</v>
      </c>
      <c r="AP1310">
        <f>IF(AND(emissions[[#This Row],[Market-based]]=1,OR(emissions[[#This Row],[Impact Type]]="CO2E",emissions[[#This Row],[Impact Type]]="CO2E MKT")),emissions[[#This Row],[kgCO2e]],0)/1000</f>
        <v>12480.614539999999</v>
      </c>
      <c r="AQ1310" t="str">
        <f>_xlfn.TEXTAFTER(emissions[[#This Row],[Reporting Unit]]," &gt; ",LEN(emissions[[#This Row],[Reporting Unit]])-LEN(SUBSTITUTE(emissions[[#This Row],[Reporting Unit]],"&gt;","")))</f>
        <v>Vantage_Gurnee</v>
      </c>
      <c r="AR1310" t="str">
        <f>_xlfn.XLOOKUP(emissions[[#This Row],[Reporting unit name]],hierarchy!$A:$A,hierarchy!$C:$C)</f>
        <v>Office</v>
      </c>
    </row>
    <row r="1311" spans="1:44" hidden="1" x14ac:dyDescent="0.25">
      <c r="A1311">
        <v>20575</v>
      </c>
      <c r="B1311" t="s">
        <v>328</v>
      </c>
      <c r="C1311" t="s">
        <v>501</v>
      </c>
      <c r="D1311" t="s">
        <v>548</v>
      </c>
      <c r="E1311" s="3">
        <v>44562</v>
      </c>
      <c r="F1311" s="3">
        <v>44926</v>
      </c>
      <c r="G1311" t="s">
        <v>135</v>
      </c>
      <c r="H1311" s="3">
        <v>44562</v>
      </c>
      <c r="I1311" s="3">
        <v>44926</v>
      </c>
      <c r="J1311" t="s">
        <v>135</v>
      </c>
      <c r="K1311">
        <v>2349743.2999999998</v>
      </c>
      <c r="L1311" t="s">
        <v>136</v>
      </c>
      <c r="M1311" t="s">
        <v>110</v>
      </c>
      <c r="O1311" t="s">
        <v>926</v>
      </c>
      <c r="P1311" t="s">
        <v>550</v>
      </c>
      <c r="Q1311">
        <v>2022</v>
      </c>
      <c r="R1311" t="s">
        <v>605</v>
      </c>
      <c r="S1311" t="s">
        <v>606</v>
      </c>
      <c r="T1311" t="s">
        <v>553</v>
      </c>
      <c r="U1311" t="b">
        <v>0</v>
      </c>
      <c r="V1311" t="s">
        <v>781</v>
      </c>
      <c r="W1311" t="s">
        <v>587</v>
      </c>
      <c r="X1311" t="s">
        <v>556</v>
      </c>
      <c r="Y1311" t="s">
        <v>472</v>
      </c>
      <c r="Z1311" t="s">
        <v>485</v>
      </c>
      <c r="AA1311" t="s">
        <v>764</v>
      </c>
      <c r="AC1311">
        <v>1</v>
      </c>
      <c r="AD1311" t="s">
        <v>566</v>
      </c>
      <c r="AE1311">
        <v>7002.2350340000003</v>
      </c>
      <c r="AF1311">
        <v>2.98E-2</v>
      </c>
      <c r="AG1311" t="s">
        <v>798</v>
      </c>
      <c r="AH1311">
        <v>0.1</v>
      </c>
      <c r="AI1311">
        <v>234974.33</v>
      </c>
      <c r="AJ1311" t="s">
        <v>561</v>
      </c>
      <c r="AK1311" t="s">
        <v>766</v>
      </c>
      <c r="AL1311" t="s">
        <v>767</v>
      </c>
      <c r="AM1311">
        <v>2022</v>
      </c>
      <c r="AN1311">
        <v>2022</v>
      </c>
      <c r="AO1311">
        <f>IF(AND(emissions[[#This Row],[Market-based]]=0,emissions[[#This Row],[Impact Type]]="CO2E"),emissions[[#This Row],[kgCO2e]],0)/1000</f>
        <v>0</v>
      </c>
      <c r="AP1311">
        <f>IF(AND(emissions[[#This Row],[Market-based]]=1,OR(emissions[[#This Row],[Impact Type]]="CO2E",emissions[[#This Row],[Impact Type]]="CO2E MKT")),emissions[[#This Row],[kgCO2e]],0)/1000</f>
        <v>0</v>
      </c>
      <c r="AQ1311" t="str">
        <f>_xlfn.TEXTAFTER(emissions[[#This Row],[Reporting Unit]]," &gt; ",LEN(emissions[[#This Row],[Reporting Unit]])-LEN(SUBSTITUTE(emissions[[#This Row],[Reporting Unit]],"&gt;","")))</f>
        <v>Vantage_Gurnee</v>
      </c>
      <c r="AR1311" t="str">
        <f>_xlfn.XLOOKUP(emissions[[#This Row],[Reporting unit name]],hierarchy!$A:$A,hierarchy!$C:$C)</f>
        <v>Office</v>
      </c>
    </row>
    <row r="1312" spans="1:44" hidden="1" x14ac:dyDescent="0.25">
      <c r="A1312">
        <v>20575</v>
      </c>
      <c r="B1312" t="s">
        <v>328</v>
      </c>
      <c r="C1312" t="s">
        <v>501</v>
      </c>
      <c r="D1312" t="s">
        <v>548</v>
      </c>
      <c r="E1312" s="3">
        <v>44562</v>
      </c>
      <c r="F1312" s="3">
        <v>44926</v>
      </c>
      <c r="G1312" t="s">
        <v>135</v>
      </c>
      <c r="H1312" s="3">
        <v>44562</v>
      </c>
      <c r="I1312" s="3">
        <v>44926</v>
      </c>
      <c r="J1312" t="s">
        <v>135</v>
      </c>
      <c r="K1312">
        <v>2349743.2999999998</v>
      </c>
      <c r="L1312" t="s">
        <v>136</v>
      </c>
      <c r="M1312" t="s">
        <v>110</v>
      </c>
      <c r="O1312" t="s">
        <v>926</v>
      </c>
      <c r="P1312" t="s">
        <v>550</v>
      </c>
      <c r="Q1312">
        <v>2022</v>
      </c>
      <c r="R1312" t="s">
        <v>609</v>
      </c>
      <c r="S1312" t="s">
        <v>610</v>
      </c>
      <c r="T1312" t="s">
        <v>577</v>
      </c>
      <c r="U1312" t="b">
        <v>0</v>
      </c>
      <c r="V1312" t="s">
        <v>632</v>
      </c>
      <c r="W1312" t="s">
        <v>571</v>
      </c>
      <c r="X1312" t="s">
        <v>572</v>
      </c>
      <c r="AC1312">
        <v>0</v>
      </c>
      <c r="AD1312" t="s">
        <v>565</v>
      </c>
      <c r="AE1312">
        <v>2141163.895</v>
      </c>
      <c r="AF1312">
        <v>3.1099999999999999E-2</v>
      </c>
      <c r="AG1312" t="s">
        <v>608</v>
      </c>
      <c r="AH1312">
        <v>29.3001</v>
      </c>
      <c r="AI1312">
        <v>68847713.659999996</v>
      </c>
      <c r="AJ1312" t="s">
        <v>561</v>
      </c>
      <c r="AK1312" t="s">
        <v>589</v>
      </c>
      <c r="AL1312" t="s">
        <v>590</v>
      </c>
      <c r="AM1312">
        <v>2022</v>
      </c>
      <c r="AN1312">
        <v>2020</v>
      </c>
      <c r="AO1312">
        <f>IF(AND(emissions[[#This Row],[Market-based]]=0,emissions[[#This Row],[Impact Type]]="CO2E"),emissions[[#This Row],[kgCO2e]],0)/1000</f>
        <v>2141.1638950000001</v>
      </c>
      <c r="AP1312">
        <f>IF(AND(emissions[[#This Row],[Market-based]]=1,OR(emissions[[#This Row],[Impact Type]]="CO2E",emissions[[#This Row],[Impact Type]]="CO2E MKT")),emissions[[#This Row],[kgCO2e]],0)/1000</f>
        <v>0</v>
      </c>
      <c r="AQ1312" t="str">
        <f>_xlfn.TEXTAFTER(emissions[[#This Row],[Reporting Unit]]," &gt; ",LEN(emissions[[#This Row],[Reporting Unit]])-LEN(SUBSTITUTE(emissions[[#This Row],[Reporting Unit]],"&gt;","")))</f>
        <v>Vantage_Gurnee</v>
      </c>
      <c r="AR1312" t="str">
        <f>_xlfn.XLOOKUP(emissions[[#This Row],[Reporting unit name]],hierarchy!$A:$A,hierarchy!$C:$C)</f>
        <v>Office</v>
      </c>
    </row>
    <row r="1313" spans="1:44" hidden="1" x14ac:dyDescent="0.25">
      <c r="A1313">
        <v>20575</v>
      </c>
      <c r="B1313" t="s">
        <v>328</v>
      </c>
      <c r="C1313" t="s">
        <v>501</v>
      </c>
      <c r="D1313" t="s">
        <v>548</v>
      </c>
      <c r="E1313" s="3">
        <v>44562</v>
      </c>
      <c r="F1313" s="3">
        <v>44926</v>
      </c>
      <c r="G1313" t="s">
        <v>135</v>
      </c>
      <c r="H1313" s="3">
        <v>44562</v>
      </c>
      <c r="I1313" s="3">
        <v>44926</v>
      </c>
      <c r="J1313" t="s">
        <v>135</v>
      </c>
      <c r="K1313">
        <v>2349743.2999999998</v>
      </c>
      <c r="L1313" t="s">
        <v>136</v>
      </c>
      <c r="M1313" t="s">
        <v>110</v>
      </c>
      <c r="O1313" t="s">
        <v>926</v>
      </c>
      <c r="P1313" t="s">
        <v>550</v>
      </c>
      <c r="Q1313">
        <v>2022</v>
      </c>
      <c r="R1313" t="s">
        <v>609</v>
      </c>
      <c r="S1313" t="s">
        <v>610</v>
      </c>
      <c r="T1313" t="s">
        <v>577</v>
      </c>
      <c r="U1313" t="b">
        <v>0</v>
      </c>
      <c r="V1313" t="s">
        <v>632</v>
      </c>
      <c r="W1313" t="s">
        <v>571</v>
      </c>
      <c r="X1313" t="s">
        <v>572</v>
      </c>
      <c r="AC1313">
        <v>1</v>
      </c>
      <c r="AD1313" t="s">
        <v>565</v>
      </c>
      <c r="AE1313">
        <v>2141163.895</v>
      </c>
      <c r="AF1313">
        <v>3.1099999999999999E-2</v>
      </c>
      <c r="AG1313" t="s">
        <v>608</v>
      </c>
      <c r="AH1313">
        <v>29.3001</v>
      </c>
      <c r="AI1313">
        <v>68847713.659999996</v>
      </c>
      <c r="AJ1313" t="s">
        <v>561</v>
      </c>
      <c r="AK1313" t="s">
        <v>589</v>
      </c>
      <c r="AL1313" t="s">
        <v>590</v>
      </c>
      <c r="AM1313">
        <v>2022</v>
      </c>
      <c r="AN1313">
        <v>2020</v>
      </c>
      <c r="AO1313">
        <f>IF(AND(emissions[[#This Row],[Market-based]]=0,emissions[[#This Row],[Impact Type]]="CO2E"),emissions[[#This Row],[kgCO2e]],0)/1000</f>
        <v>0</v>
      </c>
      <c r="AP1313">
        <f>IF(AND(emissions[[#This Row],[Market-based]]=1,OR(emissions[[#This Row],[Impact Type]]="CO2E",emissions[[#This Row],[Impact Type]]="CO2E MKT")),emissions[[#This Row],[kgCO2e]],0)/1000</f>
        <v>2141.1638950000001</v>
      </c>
      <c r="AQ1313" t="str">
        <f>_xlfn.TEXTAFTER(emissions[[#This Row],[Reporting Unit]]," &gt; ",LEN(emissions[[#This Row],[Reporting Unit]])-LEN(SUBSTITUTE(emissions[[#This Row],[Reporting Unit]],"&gt;","")))</f>
        <v>Vantage_Gurnee</v>
      </c>
      <c r="AR1313" t="str">
        <f>_xlfn.XLOOKUP(emissions[[#This Row],[Reporting unit name]],hierarchy!$A:$A,hierarchy!$C:$C)</f>
        <v>Office</v>
      </c>
    </row>
    <row r="1314" spans="1:44" hidden="1" x14ac:dyDescent="0.25">
      <c r="A1314">
        <v>292829</v>
      </c>
      <c r="B1314" t="s">
        <v>328</v>
      </c>
      <c r="C1314" t="s">
        <v>501</v>
      </c>
      <c r="D1314" t="s">
        <v>548</v>
      </c>
      <c r="E1314" s="3">
        <v>44562</v>
      </c>
      <c r="F1314" s="3">
        <v>44926</v>
      </c>
      <c r="G1314" t="s">
        <v>141</v>
      </c>
      <c r="H1314" s="3">
        <v>44562</v>
      </c>
      <c r="I1314" s="3">
        <v>44926</v>
      </c>
      <c r="J1314" t="s">
        <v>147</v>
      </c>
      <c r="K1314">
        <v>180.9</v>
      </c>
      <c r="L1314" t="s">
        <v>148</v>
      </c>
      <c r="M1314" t="s">
        <v>110</v>
      </c>
      <c r="O1314" t="s">
        <v>927</v>
      </c>
      <c r="P1314" t="s">
        <v>550</v>
      </c>
      <c r="Q1314">
        <v>2022</v>
      </c>
      <c r="R1314" t="s">
        <v>584</v>
      </c>
      <c r="S1314" t="s">
        <v>585</v>
      </c>
      <c r="T1314" t="s">
        <v>553</v>
      </c>
      <c r="U1314" t="b">
        <v>0</v>
      </c>
      <c r="V1314" t="s">
        <v>785</v>
      </c>
      <c r="W1314" t="s">
        <v>587</v>
      </c>
      <c r="X1314" t="s">
        <v>556</v>
      </c>
      <c r="Y1314" t="s">
        <v>472</v>
      </c>
      <c r="Z1314" t="s">
        <v>485</v>
      </c>
      <c r="AA1314" t="s">
        <v>764</v>
      </c>
      <c r="AC1314">
        <v>0</v>
      </c>
      <c r="AD1314" t="s">
        <v>558</v>
      </c>
      <c r="AE1314">
        <v>1.854225</v>
      </c>
      <c r="AF1314">
        <v>1.025E-2</v>
      </c>
      <c r="AG1314" t="s">
        <v>786</v>
      </c>
      <c r="AH1314">
        <v>1</v>
      </c>
      <c r="AI1314">
        <v>180.9</v>
      </c>
      <c r="AJ1314" t="s">
        <v>561</v>
      </c>
      <c r="AK1314" t="s">
        <v>766</v>
      </c>
      <c r="AL1314" t="s">
        <v>767</v>
      </c>
      <c r="AM1314">
        <v>2022</v>
      </c>
      <c r="AN1314">
        <v>2022</v>
      </c>
      <c r="AO1314">
        <f>IF(AND(emissions[[#This Row],[Market-based]]=0,emissions[[#This Row],[Impact Type]]="CO2E"),emissions[[#This Row],[kgCO2e]],0)/1000</f>
        <v>0</v>
      </c>
      <c r="AP1314">
        <f>IF(AND(emissions[[#This Row],[Market-based]]=1,OR(emissions[[#This Row],[Impact Type]]="CO2E",emissions[[#This Row],[Impact Type]]="CO2E MKT")),emissions[[#This Row],[kgCO2e]],0)/1000</f>
        <v>0</v>
      </c>
      <c r="AQ1314" t="str">
        <f>_xlfn.TEXTAFTER(emissions[[#This Row],[Reporting Unit]]," &gt; ",LEN(emissions[[#This Row],[Reporting Unit]])-LEN(SUBSTITUTE(emissions[[#This Row],[Reporting Unit]],"&gt;","")))</f>
        <v>Vantage_Gurnee</v>
      </c>
      <c r="AR1314" t="str">
        <f>_xlfn.XLOOKUP(emissions[[#This Row],[Reporting unit name]],hierarchy!$A:$A,hierarchy!$C:$C)</f>
        <v>Office</v>
      </c>
    </row>
    <row r="1315" spans="1:44" hidden="1" x14ac:dyDescent="0.25">
      <c r="A1315">
        <v>292829</v>
      </c>
      <c r="B1315" t="s">
        <v>328</v>
      </c>
      <c r="C1315" t="s">
        <v>501</v>
      </c>
      <c r="D1315" t="s">
        <v>548</v>
      </c>
      <c r="E1315" s="3">
        <v>44562</v>
      </c>
      <c r="F1315" s="3">
        <v>44926</v>
      </c>
      <c r="G1315" t="s">
        <v>141</v>
      </c>
      <c r="H1315" s="3">
        <v>44562</v>
      </c>
      <c r="I1315" s="3">
        <v>44926</v>
      </c>
      <c r="J1315" t="s">
        <v>147</v>
      </c>
      <c r="K1315">
        <v>180.9</v>
      </c>
      <c r="L1315" t="s">
        <v>148</v>
      </c>
      <c r="M1315" t="s">
        <v>110</v>
      </c>
      <c r="O1315" t="s">
        <v>927</v>
      </c>
      <c r="P1315" t="s">
        <v>550</v>
      </c>
      <c r="Q1315">
        <v>2022</v>
      </c>
      <c r="R1315" t="s">
        <v>584</v>
      </c>
      <c r="S1315" t="s">
        <v>585</v>
      </c>
      <c r="T1315" t="s">
        <v>553</v>
      </c>
      <c r="U1315" t="b">
        <v>0</v>
      </c>
      <c r="V1315" t="s">
        <v>785</v>
      </c>
      <c r="W1315" t="s">
        <v>587</v>
      </c>
      <c r="X1315" t="s">
        <v>556</v>
      </c>
      <c r="Y1315" t="s">
        <v>472</v>
      </c>
      <c r="Z1315" t="s">
        <v>485</v>
      </c>
      <c r="AA1315" t="s">
        <v>764</v>
      </c>
      <c r="AC1315">
        <v>0</v>
      </c>
      <c r="AD1315" t="s">
        <v>564</v>
      </c>
      <c r="AE1315">
        <v>1846.989</v>
      </c>
      <c r="AF1315">
        <v>10.210000000000001</v>
      </c>
      <c r="AG1315" t="s">
        <v>786</v>
      </c>
      <c r="AH1315">
        <v>1</v>
      </c>
      <c r="AI1315">
        <v>180.9</v>
      </c>
      <c r="AJ1315" t="s">
        <v>561</v>
      </c>
      <c r="AK1315" t="s">
        <v>766</v>
      </c>
      <c r="AL1315" t="s">
        <v>767</v>
      </c>
      <c r="AM1315">
        <v>2022</v>
      </c>
      <c r="AN1315">
        <v>2022</v>
      </c>
      <c r="AO1315">
        <f>IF(AND(emissions[[#This Row],[Market-based]]=0,emissions[[#This Row],[Impact Type]]="CO2E"),emissions[[#This Row],[kgCO2e]],0)/1000</f>
        <v>0</v>
      </c>
      <c r="AP1315">
        <f>IF(AND(emissions[[#This Row],[Market-based]]=1,OR(emissions[[#This Row],[Impact Type]]="CO2E",emissions[[#This Row],[Impact Type]]="CO2E MKT")),emissions[[#This Row],[kgCO2e]],0)/1000</f>
        <v>0</v>
      </c>
      <c r="AQ1315" t="str">
        <f>_xlfn.TEXTAFTER(emissions[[#This Row],[Reporting Unit]]," &gt; ",LEN(emissions[[#This Row],[Reporting Unit]])-LEN(SUBSTITUTE(emissions[[#This Row],[Reporting Unit]],"&gt;","")))</f>
        <v>Vantage_Gurnee</v>
      </c>
      <c r="AR1315" t="str">
        <f>_xlfn.XLOOKUP(emissions[[#This Row],[Reporting unit name]],hierarchy!$A:$A,hierarchy!$C:$C)</f>
        <v>Office</v>
      </c>
    </row>
    <row r="1316" spans="1:44" hidden="1" x14ac:dyDescent="0.25">
      <c r="A1316">
        <v>292829</v>
      </c>
      <c r="B1316" t="s">
        <v>328</v>
      </c>
      <c r="C1316" t="s">
        <v>501</v>
      </c>
      <c r="D1316" t="s">
        <v>548</v>
      </c>
      <c r="E1316" s="3">
        <v>44562</v>
      </c>
      <c r="F1316" s="3">
        <v>44926</v>
      </c>
      <c r="G1316" t="s">
        <v>141</v>
      </c>
      <c r="H1316" s="3">
        <v>44562</v>
      </c>
      <c r="I1316" s="3">
        <v>44926</v>
      </c>
      <c r="J1316" t="s">
        <v>147</v>
      </c>
      <c r="K1316">
        <v>180.9</v>
      </c>
      <c r="L1316" t="s">
        <v>148</v>
      </c>
      <c r="M1316" t="s">
        <v>110</v>
      </c>
      <c r="O1316" t="s">
        <v>927</v>
      </c>
      <c r="P1316" t="s">
        <v>550</v>
      </c>
      <c r="Q1316">
        <v>2022</v>
      </c>
      <c r="R1316" t="s">
        <v>584</v>
      </c>
      <c r="S1316" t="s">
        <v>585</v>
      </c>
      <c r="T1316" t="s">
        <v>553</v>
      </c>
      <c r="U1316" t="b">
        <v>0</v>
      </c>
      <c r="V1316" t="s">
        <v>785</v>
      </c>
      <c r="W1316" t="s">
        <v>587</v>
      </c>
      <c r="X1316" t="s">
        <v>556</v>
      </c>
      <c r="Y1316" t="s">
        <v>472</v>
      </c>
      <c r="Z1316" t="s">
        <v>485</v>
      </c>
      <c r="AA1316" t="s">
        <v>764</v>
      </c>
      <c r="AC1316">
        <v>0</v>
      </c>
      <c r="AD1316" t="s">
        <v>565</v>
      </c>
      <c r="AE1316">
        <v>1853.1558809999999</v>
      </c>
      <c r="AF1316">
        <v>10.24409</v>
      </c>
      <c r="AG1316" t="s">
        <v>786</v>
      </c>
      <c r="AH1316">
        <v>1</v>
      </c>
      <c r="AI1316">
        <v>180.9</v>
      </c>
      <c r="AJ1316" t="s">
        <v>561</v>
      </c>
      <c r="AK1316" t="s">
        <v>766</v>
      </c>
      <c r="AL1316" t="s">
        <v>787</v>
      </c>
      <c r="AM1316">
        <v>2022</v>
      </c>
      <c r="AN1316">
        <v>2021</v>
      </c>
      <c r="AO1316">
        <f>IF(AND(emissions[[#This Row],[Market-based]]=0,emissions[[#This Row],[Impact Type]]="CO2E"),emissions[[#This Row],[kgCO2e]],0)/1000</f>
        <v>1.8531558809999999</v>
      </c>
      <c r="AP1316">
        <f>IF(AND(emissions[[#This Row],[Market-based]]=1,OR(emissions[[#This Row],[Impact Type]]="CO2E",emissions[[#This Row],[Impact Type]]="CO2E MKT")),emissions[[#This Row],[kgCO2e]],0)/1000</f>
        <v>0</v>
      </c>
      <c r="AQ1316" t="str">
        <f>_xlfn.TEXTAFTER(emissions[[#This Row],[Reporting Unit]]," &gt; ",LEN(emissions[[#This Row],[Reporting Unit]])-LEN(SUBSTITUTE(emissions[[#This Row],[Reporting Unit]],"&gt;","")))</f>
        <v>Vantage_Gurnee</v>
      </c>
      <c r="AR1316" t="str">
        <f>_xlfn.XLOOKUP(emissions[[#This Row],[Reporting unit name]],hierarchy!$A:$A,hierarchy!$C:$C)</f>
        <v>Office</v>
      </c>
    </row>
    <row r="1317" spans="1:44" hidden="1" x14ac:dyDescent="0.25">
      <c r="A1317">
        <v>292829</v>
      </c>
      <c r="B1317" t="s">
        <v>328</v>
      </c>
      <c r="C1317" t="s">
        <v>501</v>
      </c>
      <c r="D1317" t="s">
        <v>548</v>
      </c>
      <c r="E1317" s="3">
        <v>44562</v>
      </c>
      <c r="F1317" s="3">
        <v>44926</v>
      </c>
      <c r="G1317" t="s">
        <v>141</v>
      </c>
      <c r="H1317" s="3">
        <v>44562</v>
      </c>
      <c r="I1317" s="3">
        <v>44926</v>
      </c>
      <c r="J1317" t="s">
        <v>147</v>
      </c>
      <c r="K1317">
        <v>180.9</v>
      </c>
      <c r="L1317" t="s">
        <v>148</v>
      </c>
      <c r="M1317" t="s">
        <v>110</v>
      </c>
      <c r="O1317" t="s">
        <v>927</v>
      </c>
      <c r="P1317" t="s">
        <v>550</v>
      </c>
      <c r="Q1317">
        <v>2022</v>
      </c>
      <c r="R1317" t="s">
        <v>584</v>
      </c>
      <c r="S1317" t="s">
        <v>585</v>
      </c>
      <c r="T1317" t="s">
        <v>553</v>
      </c>
      <c r="U1317" t="b">
        <v>0</v>
      </c>
      <c r="V1317" t="s">
        <v>785</v>
      </c>
      <c r="W1317" t="s">
        <v>587</v>
      </c>
      <c r="X1317" t="s">
        <v>556</v>
      </c>
      <c r="Y1317" t="s">
        <v>472</v>
      </c>
      <c r="Z1317" t="s">
        <v>485</v>
      </c>
      <c r="AA1317" t="s">
        <v>764</v>
      </c>
      <c r="AC1317">
        <v>0</v>
      </c>
      <c r="AD1317" t="s">
        <v>566</v>
      </c>
      <c r="AE1317">
        <v>4.3126559999999996</v>
      </c>
      <c r="AF1317">
        <v>2.384E-2</v>
      </c>
      <c r="AG1317" t="s">
        <v>786</v>
      </c>
      <c r="AH1317">
        <v>1</v>
      </c>
      <c r="AI1317">
        <v>180.9</v>
      </c>
      <c r="AJ1317" t="s">
        <v>561</v>
      </c>
      <c r="AK1317" t="s">
        <v>766</v>
      </c>
      <c r="AL1317" t="s">
        <v>767</v>
      </c>
      <c r="AM1317">
        <v>2022</v>
      </c>
      <c r="AN1317">
        <v>2022</v>
      </c>
      <c r="AO1317">
        <f>IF(AND(emissions[[#This Row],[Market-based]]=0,emissions[[#This Row],[Impact Type]]="CO2E"),emissions[[#This Row],[kgCO2e]],0)/1000</f>
        <v>0</v>
      </c>
      <c r="AP1317">
        <f>IF(AND(emissions[[#This Row],[Market-based]]=1,OR(emissions[[#This Row],[Impact Type]]="CO2E",emissions[[#This Row],[Impact Type]]="CO2E MKT")),emissions[[#This Row],[kgCO2e]],0)/1000</f>
        <v>0</v>
      </c>
      <c r="AQ1317" t="str">
        <f>_xlfn.TEXTAFTER(emissions[[#This Row],[Reporting Unit]]," &gt; ",LEN(emissions[[#This Row],[Reporting Unit]])-LEN(SUBSTITUTE(emissions[[#This Row],[Reporting Unit]],"&gt;","")))</f>
        <v>Vantage_Gurnee</v>
      </c>
      <c r="AR1317" t="str">
        <f>_xlfn.XLOOKUP(emissions[[#This Row],[Reporting unit name]],hierarchy!$A:$A,hierarchy!$C:$C)</f>
        <v>Office</v>
      </c>
    </row>
    <row r="1318" spans="1:44" hidden="1" x14ac:dyDescent="0.25">
      <c r="A1318">
        <v>292829</v>
      </c>
      <c r="B1318" t="s">
        <v>328</v>
      </c>
      <c r="C1318" t="s">
        <v>501</v>
      </c>
      <c r="D1318" t="s">
        <v>548</v>
      </c>
      <c r="E1318" s="3">
        <v>44562</v>
      </c>
      <c r="F1318" s="3">
        <v>44926</v>
      </c>
      <c r="G1318" t="s">
        <v>141</v>
      </c>
      <c r="H1318" s="3">
        <v>44562</v>
      </c>
      <c r="I1318" s="3">
        <v>44926</v>
      </c>
      <c r="J1318" t="s">
        <v>147</v>
      </c>
      <c r="K1318">
        <v>180.9</v>
      </c>
      <c r="L1318" t="s">
        <v>148</v>
      </c>
      <c r="M1318" t="s">
        <v>110</v>
      </c>
      <c r="O1318" t="s">
        <v>927</v>
      </c>
      <c r="P1318" t="s">
        <v>550</v>
      </c>
      <c r="Q1318">
        <v>2022</v>
      </c>
      <c r="R1318" t="s">
        <v>584</v>
      </c>
      <c r="S1318" t="s">
        <v>585</v>
      </c>
      <c r="T1318" t="s">
        <v>553</v>
      </c>
      <c r="U1318" t="b">
        <v>0</v>
      </c>
      <c r="V1318" t="s">
        <v>785</v>
      </c>
      <c r="W1318" t="s">
        <v>587</v>
      </c>
      <c r="X1318" t="s">
        <v>556</v>
      </c>
      <c r="Y1318" t="s">
        <v>472</v>
      </c>
      <c r="Z1318" t="s">
        <v>485</v>
      </c>
      <c r="AA1318" t="s">
        <v>764</v>
      </c>
      <c r="AC1318">
        <v>1</v>
      </c>
      <c r="AD1318" t="s">
        <v>558</v>
      </c>
      <c r="AE1318">
        <v>1.854225</v>
      </c>
      <c r="AF1318">
        <v>1.025E-2</v>
      </c>
      <c r="AG1318" t="s">
        <v>786</v>
      </c>
      <c r="AH1318">
        <v>1</v>
      </c>
      <c r="AI1318">
        <v>180.9</v>
      </c>
      <c r="AJ1318" t="s">
        <v>561</v>
      </c>
      <c r="AK1318" t="s">
        <v>766</v>
      </c>
      <c r="AL1318" t="s">
        <v>767</v>
      </c>
      <c r="AM1318">
        <v>2022</v>
      </c>
      <c r="AN1318">
        <v>2022</v>
      </c>
      <c r="AO1318">
        <f>IF(AND(emissions[[#This Row],[Market-based]]=0,emissions[[#This Row],[Impact Type]]="CO2E"),emissions[[#This Row],[kgCO2e]],0)/1000</f>
        <v>0</v>
      </c>
      <c r="AP1318">
        <f>IF(AND(emissions[[#This Row],[Market-based]]=1,OR(emissions[[#This Row],[Impact Type]]="CO2E",emissions[[#This Row],[Impact Type]]="CO2E MKT")),emissions[[#This Row],[kgCO2e]],0)/1000</f>
        <v>0</v>
      </c>
      <c r="AQ1318" t="str">
        <f>_xlfn.TEXTAFTER(emissions[[#This Row],[Reporting Unit]]," &gt; ",LEN(emissions[[#This Row],[Reporting Unit]])-LEN(SUBSTITUTE(emissions[[#This Row],[Reporting Unit]],"&gt;","")))</f>
        <v>Vantage_Gurnee</v>
      </c>
      <c r="AR1318" t="str">
        <f>_xlfn.XLOOKUP(emissions[[#This Row],[Reporting unit name]],hierarchy!$A:$A,hierarchy!$C:$C)</f>
        <v>Office</v>
      </c>
    </row>
    <row r="1319" spans="1:44" hidden="1" x14ac:dyDescent="0.25">
      <c r="A1319">
        <v>292829</v>
      </c>
      <c r="B1319" t="s">
        <v>328</v>
      </c>
      <c r="C1319" t="s">
        <v>501</v>
      </c>
      <c r="D1319" t="s">
        <v>548</v>
      </c>
      <c r="E1319" s="3">
        <v>44562</v>
      </c>
      <c r="F1319" s="3">
        <v>44926</v>
      </c>
      <c r="G1319" t="s">
        <v>141</v>
      </c>
      <c r="H1319" s="3">
        <v>44562</v>
      </c>
      <c r="I1319" s="3">
        <v>44926</v>
      </c>
      <c r="J1319" t="s">
        <v>147</v>
      </c>
      <c r="K1319">
        <v>180.9</v>
      </c>
      <c r="L1319" t="s">
        <v>148</v>
      </c>
      <c r="M1319" t="s">
        <v>110</v>
      </c>
      <c r="O1319" t="s">
        <v>927</v>
      </c>
      <c r="P1319" t="s">
        <v>550</v>
      </c>
      <c r="Q1319">
        <v>2022</v>
      </c>
      <c r="R1319" t="s">
        <v>584</v>
      </c>
      <c r="S1319" t="s">
        <v>585</v>
      </c>
      <c r="T1319" t="s">
        <v>553</v>
      </c>
      <c r="U1319" t="b">
        <v>0</v>
      </c>
      <c r="V1319" t="s">
        <v>785</v>
      </c>
      <c r="W1319" t="s">
        <v>587</v>
      </c>
      <c r="X1319" t="s">
        <v>556</v>
      </c>
      <c r="Y1319" t="s">
        <v>472</v>
      </c>
      <c r="Z1319" t="s">
        <v>485</v>
      </c>
      <c r="AA1319" t="s">
        <v>764</v>
      </c>
      <c r="AC1319">
        <v>1</v>
      </c>
      <c r="AD1319" t="s">
        <v>564</v>
      </c>
      <c r="AE1319">
        <v>1846.989</v>
      </c>
      <c r="AF1319">
        <v>10.210000000000001</v>
      </c>
      <c r="AG1319" t="s">
        <v>786</v>
      </c>
      <c r="AH1319">
        <v>1</v>
      </c>
      <c r="AI1319">
        <v>180.9</v>
      </c>
      <c r="AJ1319" t="s">
        <v>561</v>
      </c>
      <c r="AK1319" t="s">
        <v>766</v>
      </c>
      <c r="AL1319" t="s">
        <v>767</v>
      </c>
      <c r="AM1319">
        <v>2022</v>
      </c>
      <c r="AN1319">
        <v>2022</v>
      </c>
      <c r="AO1319">
        <f>IF(AND(emissions[[#This Row],[Market-based]]=0,emissions[[#This Row],[Impact Type]]="CO2E"),emissions[[#This Row],[kgCO2e]],0)/1000</f>
        <v>0</v>
      </c>
      <c r="AP1319">
        <f>IF(AND(emissions[[#This Row],[Market-based]]=1,OR(emissions[[#This Row],[Impact Type]]="CO2E",emissions[[#This Row],[Impact Type]]="CO2E MKT")),emissions[[#This Row],[kgCO2e]],0)/1000</f>
        <v>0</v>
      </c>
      <c r="AQ1319" t="str">
        <f>_xlfn.TEXTAFTER(emissions[[#This Row],[Reporting Unit]]," &gt; ",LEN(emissions[[#This Row],[Reporting Unit]])-LEN(SUBSTITUTE(emissions[[#This Row],[Reporting Unit]],"&gt;","")))</f>
        <v>Vantage_Gurnee</v>
      </c>
      <c r="AR1319" t="str">
        <f>_xlfn.XLOOKUP(emissions[[#This Row],[Reporting unit name]],hierarchy!$A:$A,hierarchy!$C:$C)</f>
        <v>Office</v>
      </c>
    </row>
    <row r="1320" spans="1:44" hidden="1" x14ac:dyDescent="0.25">
      <c r="A1320">
        <v>292829</v>
      </c>
      <c r="B1320" t="s">
        <v>328</v>
      </c>
      <c r="C1320" t="s">
        <v>501</v>
      </c>
      <c r="D1320" t="s">
        <v>548</v>
      </c>
      <c r="E1320" s="3">
        <v>44562</v>
      </c>
      <c r="F1320" s="3">
        <v>44926</v>
      </c>
      <c r="G1320" t="s">
        <v>141</v>
      </c>
      <c r="H1320" s="3">
        <v>44562</v>
      </c>
      <c r="I1320" s="3">
        <v>44926</v>
      </c>
      <c r="J1320" t="s">
        <v>147</v>
      </c>
      <c r="K1320">
        <v>180.9</v>
      </c>
      <c r="L1320" t="s">
        <v>148</v>
      </c>
      <c r="M1320" t="s">
        <v>110</v>
      </c>
      <c r="O1320" t="s">
        <v>927</v>
      </c>
      <c r="P1320" t="s">
        <v>550</v>
      </c>
      <c r="Q1320">
        <v>2022</v>
      </c>
      <c r="R1320" t="s">
        <v>584</v>
      </c>
      <c r="S1320" t="s">
        <v>585</v>
      </c>
      <c r="T1320" t="s">
        <v>553</v>
      </c>
      <c r="U1320" t="b">
        <v>0</v>
      </c>
      <c r="V1320" t="s">
        <v>785</v>
      </c>
      <c r="W1320" t="s">
        <v>587</v>
      </c>
      <c r="X1320" t="s">
        <v>556</v>
      </c>
      <c r="Y1320" t="s">
        <v>472</v>
      </c>
      <c r="Z1320" t="s">
        <v>485</v>
      </c>
      <c r="AA1320" t="s">
        <v>764</v>
      </c>
      <c r="AC1320">
        <v>1</v>
      </c>
      <c r="AD1320" t="s">
        <v>565</v>
      </c>
      <c r="AE1320">
        <v>1853.1558809999999</v>
      </c>
      <c r="AF1320">
        <v>10.24409</v>
      </c>
      <c r="AG1320" t="s">
        <v>786</v>
      </c>
      <c r="AH1320">
        <v>1</v>
      </c>
      <c r="AI1320">
        <v>180.9</v>
      </c>
      <c r="AJ1320" t="s">
        <v>561</v>
      </c>
      <c r="AK1320" t="s">
        <v>766</v>
      </c>
      <c r="AL1320" t="s">
        <v>787</v>
      </c>
      <c r="AM1320">
        <v>2022</v>
      </c>
      <c r="AN1320">
        <v>2021</v>
      </c>
      <c r="AO1320">
        <f>IF(AND(emissions[[#This Row],[Market-based]]=0,emissions[[#This Row],[Impact Type]]="CO2E"),emissions[[#This Row],[kgCO2e]],0)/1000</f>
        <v>0</v>
      </c>
      <c r="AP1320">
        <f>IF(AND(emissions[[#This Row],[Market-based]]=1,OR(emissions[[#This Row],[Impact Type]]="CO2E",emissions[[#This Row],[Impact Type]]="CO2E MKT")),emissions[[#This Row],[kgCO2e]],0)/1000</f>
        <v>1.8531558809999999</v>
      </c>
      <c r="AQ1320" t="str">
        <f>_xlfn.TEXTAFTER(emissions[[#This Row],[Reporting Unit]]," &gt; ",LEN(emissions[[#This Row],[Reporting Unit]])-LEN(SUBSTITUTE(emissions[[#This Row],[Reporting Unit]],"&gt;","")))</f>
        <v>Vantage_Gurnee</v>
      </c>
      <c r="AR1320" t="str">
        <f>_xlfn.XLOOKUP(emissions[[#This Row],[Reporting unit name]],hierarchy!$A:$A,hierarchy!$C:$C)</f>
        <v>Office</v>
      </c>
    </row>
    <row r="1321" spans="1:44" hidden="1" x14ac:dyDescent="0.25">
      <c r="A1321">
        <v>292829</v>
      </c>
      <c r="B1321" t="s">
        <v>328</v>
      </c>
      <c r="C1321" t="s">
        <v>501</v>
      </c>
      <c r="D1321" t="s">
        <v>548</v>
      </c>
      <c r="E1321" s="3">
        <v>44562</v>
      </c>
      <c r="F1321" s="3">
        <v>44926</v>
      </c>
      <c r="G1321" t="s">
        <v>141</v>
      </c>
      <c r="H1321" s="3">
        <v>44562</v>
      </c>
      <c r="I1321" s="3">
        <v>44926</v>
      </c>
      <c r="J1321" t="s">
        <v>147</v>
      </c>
      <c r="K1321">
        <v>180.9</v>
      </c>
      <c r="L1321" t="s">
        <v>148</v>
      </c>
      <c r="M1321" t="s">
        <v>110</v>
      </c>
      <c r="O1321" t="s">
        <v>927</v>
      </c>
      <c r="P1321" t="s">
        <v>550</v>
      </c>
      <c r="Q1321">
        <v>2022</v>
      </c>
      <c r="R1321" t="s">
        <v>584</v>
      </c>
      <c r="S1321" t="s">
        <v>585</v>
      </c>
      <c r="T1321" t="s">
        <v>553</v>
      </c>
      <c r="U1321" t="b">
        <v>0</v>
      </c>
      <c r="V1321" t="s">
        <v>785</v>
      </c>
      <c r="W1321" t="s">
        <v>587</v>
      </c>
      <c r="X1321" t="s">
        <v>556</v>
      </c>
      <c r="Y1321" t="s">
        <v>472</v>
      </c>
      <c r="Z1321" t="s">
        <v>485</v>
      </c>
      <c r="AA1321" t="s">
        <v>764</v>
      </c>
      <c r="AC1321">
        <v>1</v>
      </c>
      <c r="AD1321" t="s">
        <v>566</v>
      </c>
      <c r="AE1321">
        <v>4.3126559999999996</v>
      </c>
      <c r="AF1321">
        <v>2.384E-2</v>
      </c>
      <c r="AG1321" t="s">
        <v>786</v>
      </c>
      <c r="AH1321">
        <v>1</v>
      </c>
      <c r="AI1321">
        <v>180.9</v>
      </c>
      <c r="AJ1321" t="s">
        <v>561</v>
      </c>
      <c r="AK1321" t="s">
        <v>766</v>
      </c>
      <c r="AL1321" t="s">
        <v>767</v>
      </c>
      <c r="AM1321">
        <v>2022</v>
      </c>
      <c r="AN1321">
        <v>2022</v>
      </c>
      <c r="AO1321">
        <f>IF(AND(emissions[[#This Row],[Market-based]]=0,emissions[[#This Row],[Impact Type]]="CO2E"),emissions[[#This Row],[kgCO2e]],0)/1000</f>
        <v>0</v>
      </c>
      <c r="AP1321">
        <f>IF(AND(emissions[[#This Row],[Market-based]]=1,OR(emissions[[#This Row],[Impact Type]]="CO2E",emissions[[#This Row],[Impact Type]]="CO2E MKT")),emissions[[#This Row],[kgCO2e]],0)/1000</f>
        <v>0</v>
      </c>
      <c r="AQ1321" t="str">
        <f>_xlfn.TEXTAFTER(emissions[[#This Row],[Reporting Unit]]," &gt; ",LEN(emissions[[#This Row],[Reporting Unit]])-LEN(SUBSTITUTE(emissions[[#This Row],[Reporting Unit]],"&gt;","")))</f>
        <v>Vantage_Gurnee</v>
      </c>
      <c r="AR1321" t="str">
        <f>_xlfn.XLOOKUP(emissions[[#This Row],[Reporting unit name]],hierarchy!$A:$A,hierarchy!$C:$C)</f>
        <v>Office</v>
      </c>
    </row>
    <row r="1322" spans="1:44" hidden="1" x14ac:dyDescent="0.25">
      <c r="A1322">
        <v>292829</v>
      </c>
      <c r="B1322" t="s">
        <v>328</v>
      </c>
      <c r="C1322" t="s">
        <v>501</v>
      </c>
      <c r="D1322" t="s">
        <v>548</v>
      </c>
      <c r="E1322" s="3">
        <v>44562</v>
      </c>
      <c r="F1322" s="3">
        <v>44926</v>
      </c>
      <c r="G1322" t="s">
        <v>141</v>
      </c>
      <c r="H1322" s="3">
        <v>44562</v>
      </c>
      <c r="I1322" s="3">
        <v>44926</v>
      </c>
      <c r="J1322" t="s">
        <v>147</v>
      </c>
      <c r="K1322">
        <v>180.9</v>
      </c>
      <c r="L1322" t="s">
        <v>148</v>
      </c>
      <c r="M1322" t="s">
        <v>110</v>
      </c>
      <c r="O1322" t="s">
        <v>927</v>
      </c>
      <c r="P1322" t="s">
        <v>550</v>
      </c>
      <c r="Q1322">
        <v>2022</v>
      </c>
      <c r="R1322" t="s">
        <v>591</v>
      </c>
      <c r="S1322" t="s">
        <v>592</v>
      </c>
      <c r="T1322" t="s">
        <v>577</v>
      </c>
      <c r="U1322" t="b">
        <v>0</v>
      </c>
      <c r="V1322" t="s">
        <v>593</v>
      </c>
      <c r="W1322" t="s">
        <v>571</v>
      </c>
      <c r="X1322" t="s">
        <v>572</v>
      </c>
      <c r="AC1322">
        <v>0</v>
      </c>
      <c r="AD1322" t="s">
        <v>565</v>
      </c>
      <c r="AE1322">
        <v>417.62033880000001</v>
      </c>
      <c r="AF1322">
        <v>0.60985999999999996</v>
      </c>
      <c r="AG1322" t="s">
        <v>588</v>
      </c>
      <c r="AH1322">
        <v>3.7854100000000002</v>
      </c>
      <c r="AI1322">
        <v>684.78066899999999</v>
      </c>
      <c r="AJ1322" t="s">
        <v>561</v>
      </c>
      <c r="AK1322" t="s">
        <v>589</v>
      </c>
      <c r="AL1322" t="s">
        <v>590</v>
      </c>
      <c r="AM1322">
        <v>2022</v>
      </c>
      <c r="AN1322">
        <v>2020</v>
      </c>
      <c r="AO1322">
        <f>IF(AND(emissions[[#This Row],[Market-based]]=0,emissions[[#This Row],[Impact Type]]="CO2E"),emissions[[#This Row],[kgCO2e]],0)/1000</f>
        <v>0.41762033879999999</v>
      </c>
      <c r="AP1322">
        <f>IF(AND(emissions[[#This Row],[Market-based]]=1,OR(emissions[[#This Row],[Impact Type]]="CO2E",emissions[[#This Row],[Impact Type]]="CO2E MKT")),emissions[[#This Row],[kgCO2e]],0)/1000</f>
        <v>0</v>
      </c>
      <c r="AQ1322" t="str">
        <f>_xlfn.TEXTAFTER(emissions[[#This Row],[Reporting Unit]]," &gt; ",LEN(emissions[[#This Row],[Reporting Unit]])-LEN(SUBSTITUTE(emissions[[#This Row],[Reporting Unit]],"&gt;","")))</f>
        <v>Vantage_Gurnee</v>
      </c>
      <c r="AR1322" t="str">
        <f>_xlfn.XLOOKUP(emissions[[#This Row],[Reporting unit name]],hierarchy!$A:$A,hierarchy!$C:$C)</f>
        <v>Office</v>
      </c>
    </row>
    <row r="1323" spans="1:44" hidden="1" x14ac:dyDescent="0.25">
      <c r="A1323">
        <v>292829</v>
      </c>
      <c r="B1323" t="s">
        <v>328</v>
      </c>
      <c r="C1323" t="s">
        <v>501</v>
      </c>
      <c r="D1323" t="s">
        <v>548</v>
      </c>
      <c r="E1323" s="3">
        <v>44562</v>
      </c>
      <c r="F1323" s="3">
        <v>44926</v>
      </c>
      <c r="G1323" t="s">
        <v>141</v>
      </c>
      <c r="H1323" s="3">
        <v>44562</v>
      </c>
      <c r="I1323" s="3">
        <v>44926</v>
      </c>
      <c r="J1323" t="s">
        <v>147</v>
      </c>
      <c r="K1323">
        <v>180.9</v>
      </c>
      <c r="L1323" t="s">
        <v>148</v>
      </c>
      <c r="M1323" t="s">
        <v>110</v>
      </c>
      <c r="O1323" t="s">
        <v>927</v>
      </c>
      <c r="P1323" t="s">
        <v>550</v>
      </c>
      <c r="Q1323">
        <v>2022</v>
      </c>
      <c r="R1323" t="s">
        <v>591</v>
      </c>
      <c r="S1323" t="s">
        <v>592</v>
      </c>
      <c r="T1323" t="s">
        <v>577</v>
      </c>
      <c r="U1323" t="b">
        <v>0</v>
      </c>
      <c r="V1323" t="s">
        <v>593</v>
      </c>
      <c r="W1323" t="s">
        <v>571</v>
      </c>
      <c r="X1323" t="s">
        <v>572</v>
      </c>
      <c r="AC1323">
        <v>1</v>
      </c>
      <c r="AD1323" t="s">
        <v>565</v>
      </c>
      <c r="AE1323">
        <v>417.62033880000001</v>
      </c>
      <c r="AF1323">
        <v>0.60985999999999996</v>
      </c>
      <c r="AG1323" t="s">
        <v>588</v>
      </c>
      <c r="AH1323">
        <v>3.7854100000000002</v>
      </c>
      <c r="AI1323">
        <v>684.78066899999999</v>
      </c>
      <c r="AJ1323" t="s">
        <v>561</v>
      </c>
      <c r="AK1323" t="s">
        <v>589</v>
      </c>
      <c r="AL1323" t="s">
        <v>590</v>
      </c>
      <c r="AM1323">
        <v>2022</v>
      </c>
      <c r="AN1323">
        <v>2020</v>
      </c>
      <c r="AO1323">
        <f>IF(AND(emissions[[#This Row],[Market-based]]=0,emissions[[#This Row],[Impact Type]]="CO2E"),emissions[[#This Row],[kgCO2e]],0)/1000</f>
        <v>0</v>
      </c>
      <c r="AP1323">
        <f>IF(AND(emissions[[#This Row],[Market-based]]=1,OR(emissions[[#This Row],[Impact Type]]="CO2E",emissions[[#This Row],[Impact Type]]="CO2E MKT")),emissions[[#This Row],[kgCO2e]],0)/1000</f>
        <v>0.41762033879999999</v>
      </c>
      <c r="AQ1323" t="str">
        <f>_xlfn.TEXTAFTER(emissions[[#This Row],[Reporting Unit]]," &gt; ",LEN(emissions[[#This Row],[Reporting Unit]])-LEN(SUBSTITUTE(emissions[[#This Row],[Reporting Unit]],"&gt;","")))</f>
        <v>Vantage_Gurnee</v>
      </c>
      <c r="AR1323" t="str">
        <f>_xlfn.XLOOKUP(emissions[[#This Row],[Reporting unit name]],hierarchy!$A:$A,hierarchy!$C:$C)</f>
        <v>Office</v>
      </c>
    </row>
    <row r="1324" spans="1:44" hidden="1" x14ac:dyDescent="0.25">
      <c r="A1324">
        <v>283977</v>
      </c>
      <c r="B1324" t="s">
        <v>328</v>
      </c>
      <c r="C1324" t="s">
        <v>501</v>
      </c>
      <c r="D1324" t="s">
        <v>548</v>
      </c>
      <c r="E1324" s="3">
        <v>44562</v>
      </c>
      <c r="F1324" s="3">
        <v>44926</v>
      </c>
      <c r="G1324" t="s">
        <v>116</v>
      </c>
      <c r="H1324" s="3">
        <v>44562</v>
      </c>
      <c r="I1324" s="3">
        <v>44926</v>
      </c>
      <c r="J1324" t="s">
        <v>272</v>
      </c>
      <c r="K1324">
        <v>28</v>
      </c>
      <c r="L1324" t="s">
        <v>215</v>
      </c>
      <c r="M1324" t="s">
        <v>110</v>
      </c>
      <c r="O1324" t="s">
        <v>928</v>
      </c>
      <c r="P1324" t="s">
        <v>550</v>
      </c>
      <c r="Q1324">
        <v>2022</v>
      </c>
      <c r="R1324" t="s">
        <v>803</v>
      </c>
      <c r="S1324" t="s">
        <v>272</v>
      </c>
      <c r="T1324" t="s">
        <v>553</v>
      </c>
      <c r="U1324" t="b">
        <v>0</v>
      </c>
      <c r="V1324" t="s">
        <v>804</v>
      </c>
      <c r="W1324" t="s">
        <v>587</v>
      </c>
      <c r="X1324" t="s">
        <v>556</v>
      </c>
      <c r="AC1324">
        <v>0</v>
      </c>
      <c r="AD1324" t="s">
        <v>565</v>
      </c>
      <c r="AE1324">
        <v>22988.088680000001</v>
      </c>
      <c r="AF1324">
        <v>1810</v>
      </c>
      <c r="AG1324" t="s">
        <v>622</v>
      </c>
      <c r="AH1324">
        <v>0.45359291000000002</v>
      </c>
      <c r="AI1324">
        <v>12.70060148</v>
      </c>
      <c r="AJ1324" t="s">
        <v>561</v>
      </c>
      <c r="AK1324" t="s">
        <v>623</v>
      </c>
      <c r="AL1324" t="s">
        <v>624</v>
      </c>
      <c r="AM1324">
        <v>2022</v>
      </c>
      <c r="AN1324">
        <v>2007</v>
      </c>
      <c r="AO1324">
        <f>IF(AND(emissions[[#This Row],[Market-based]]=0,emissions[[#This Row],[Impact Type]]="CO2E"),emissions[[#This Row],[kgCO2e]],0)/1000</f>
        <v>22.988088680000001</v>
      </c>
      <c r="AP1324">
        <f>IF(AND(emissions[[#This Row],[Market-based]]=1,OR(emissions[[#This Row],[Impact Type]]="CO2E",emissions[[#This Row],[Impact Type]]="CO2E MKT")),emissions[[#This Row],[kgCO2e]],0)/1000</f>
        <v>0</v>
      </c>
      <c r="AQ1324" t="str">
        <f>_xlfn.TEXTAFTER(emissions[[#This Row],[Reporting Unit]]," &gt; ",LEN(emissions[[#This Row],[Reporting Unit]])-LEN(SUBSTITUTE(emissions[[#This Row],[Reporting Unit]],"&gt;","")))</f>
        <v>Vantage_Gurnee</v>
      </c>
      <c r="AR1324" t="str">
        <f>_xlfn.XLOOKUP(emissions[[#This Row],[Reporting unit name]],hierarchy!$A:$A,hierarchy!$C:$C)</f>
        <v>Office</v>
      </c>
    </row>
    <row r="1325" spans="1:44" hidden="1" x14ac:dyDescent="0.25">
      <c r="A1325">
        <v>283977</v>
      </c>
      <c r="B1325" t="s">
        <v>328</v>
      </c>
      <c r="C1325" t="s">
        <v>501</v>
      </c>
      <c r="D1325" t="s">
        <v>548</v>
      </c>
      <c r="E1325" s="3">
        <v>44562</v>
      </c>
      <c r="F1325" s="3">
        <v>44926</v>
      </c>
      <c r="G1325" t="s">
        <v>116</v>
      </c>
      <c r="H1325" s="3">
        <v>44562</v>
      </c>
      <c r="I1325" s="3">
        <v>44926</v>
      </c>
      <c r="J1325" t="s">
        <v>272</v>
      </c>
      <c r="K1325">
        <v>28</v>
      </c>
      <c r="L1325" t="s">
        <v>215</v>
      </c>
      <c r="M1325" t="s">
        <v>110</v>
      </c>
      <c r="O1325" t="s">
        <v>928</v>
      </c>
      <c r="P1325" t="s">
        <v>550</v>
      </c>
      <c r="Q1325">
        <v>2022</v>
      </c>
      <c r="R1325" t="s">
        <v>803</v>
      </c>
      <c r="S1325" t="s">
        <v>272</v>
      </c>
      <c r="T1325" t="s">
        <v>553</v>
      </c>
      <c r="U1325" t="b">
        <v>0</v>
      </c>
      <c r="V1325" t="s">
        <v>804</v>
      </c>
      <c r="W1325" t="s">
        <v>587</v>
      </c>
      <c r="X1325" t="s">
        <v>556</v>
      </c>
      <c r="AC1325">
        <v>1</v>
      </c>
      <c r="AD1325" t="s">
        <v>565</v>
      </c>
      <c r="AE1325">
        <v>22988.088680000001</v>
      </c>
      <c r="AF1325">
        <v>1810</v>
      </c>
      <c r="AG1325" t="s">
        <v>622</v>
      </c>
      <c r="AH1325">
        <v>0.45359291000000002</v>
      </c>
      <c r="AI1325">
        <v>12.70060148</v>
      </c>
      <c r="AJ1325" t="s">
        <v>561</v>
      </c>
      <c r="AK1325" t="s">
        <v>623</v>
      </c>
      <c r="AL1325" t="s">
        <v>624</v>
      </c>
      <c r="AM1325">
        <v>2022</v>
      </c>
      <c r="AN1325">
        <v>2007</v>
      </c>
      <c r="AO1325">
        <f>IF(AND(emissions[[#This Row],[Market-based]]=0,emissions[[#This Row],[Impact Type]]="CO2E"),emissions[[#This Row],[kgCO2e]],0)/1000</f>
        <v>0</v>
      </c>
      <c r="AP1325">
        <f>IF(AND(emissions[[#This Row],[Market-based]]=1,OR(emissions[[#This Row],[Impact Type]]="CO2E",emissions[[#This Row],[Impact Type]]="CO2E MKT")),emissions[[#This Row],[kgCO2e]],0)/1000</f>
        <v>22.988088680000001</v>
      </c>
      <c r="AQ1325" t="str">
        <f>_xlfn.TEXTAFTER(emissions[[#This Row],[Reporting Unit]]," &gt; ",LEN(emissions[[#This Row],[Reporting Unit]])-LEN(SUBSTITUTE(emissions[[#This Row],[Reporting Unit]],"&gt;","")))</f>
        <v>Vantage_Gurnee</v>
      </c>
      <c r="AR1325" t="str">
        <f>_xlfn.XLOOKUP(emissions[[#This Row],[Reporting unit name]],hierarchy!$A:$A,hierarchy!$C:$C)</f>
        <v>Office</v>
      </c>
    </row>
    <row r="1326" spans="1:44" hidden="1" x14ac:dyDescent="0.25">
      <c r="A1326">
        <v>283979</v>
      </c>
      <c r="B1326" t="s">
        <v>328</v>
      </c>
      <c r="C1326" t="s">
        <v>501</v>
      </c>
      <c r="D1326" t="s">
        <v>548</v>
      </c>
      <c r="E1326" s="3">
        <v>44562</v>
      </c>
      <c r="F1326" s="3">
        <v>44926</v>
      </c>
      <c r="G1326" t="s">
        <v>116</v>
      </c>
      <c r="H1326" s="3">
        <v>44562</v>
      </c>
      <c r="I1326" s="3">
        <v>44926</v>
      </c>
      <c r="J1326" t="s">
        <v>128</v>
      </c>
      <c r="K1326">
        <v>6</v>
      </c>
      <c r="L1326" t="s">
        <v>215</v>
      </c>
      <c r="M1326" t="s">
        <v>110</v>
      </c>
      <c r="O1326" t="s">
        <v>929</v>
      </c>
      <c r="P1326" t="s">
        <v>550</v>
      </c>
      <c r="Q1326">
        <v>2022</v>
      </c>
      <c r="R1326" t="s">
        <v>619</v>
      </c>
      <c r="S1326" t="s">
        <v>620</v>
      </c>
      <c r="T1326" t="s">
        <v>553</v>
      </c>
      <c r="U1326" t="b">
        <v>0</v>
      </c>
      <c r="V1326" t="s">
        <v>621</v>
      </c>
      <c r="W1326" t="s">
        <v>587</v>
      </c>
      <c r="X1326" t="s">
        <v>556</v>
      </c>
      <c r="AC1326">
        <v>0</v>
      </c>
      <c r="AD1326" t="s">
        <v>565</v>
      </c>
      <c r="AE1326">
        <v>3891.8271679999998</v>
      </c>
      <c r="AF1326">
        <v>1430</v>
      </c>
      <c r="AG1326" t="s">
        <v>622</v>
      </c>
      <c r="AH1326">
        <v>0.45359291000000002</v>
      </c>
      <c r="AI1326">
        <v>2.7215574600000001</v>
      </c>
      <c r="AJ1326" t="s">
        <v>561</v>
      </c>
      <c r="AK1326" t="s">
        <v>623</v>
      </c>
      <c r="AL1326" t="s">
        <v>624</v>
      </c>
      <c r="AM1326">
        <v>2022</v>
      </c>
      <c r="AN1326">
        <v>2007</v>
      </c>
      <c r="AO1326">
        <f>IF(AND(emissions[[#This Row],[Market-based]]=0,emissions[[#This Row],[Impact Type]]="CO2E"),emissions[[#This Row],[kgCO2e]],0)/1000</f>
        <v>3.8918271679999998</v>
      </c>
      <c r="AP1326">
        <f>IF(AND(emissions[[#This Row],[Market-based]]=1,OR(emissions[[#This Row],[Impact Type]]="CO2E",emissions[[#This Row],[Impact Type]]="CO2E MKT")),emissions[[#This Row],[kgCO2e]],0)/1000</f>
        <v>0</v>
      </c>
      <c r="AQ1326" t="str">
        <f>_xlfn.TEXTAFTER(emissions[[#This Row],[Reporting Unit]]," &gt; ",LEN(emissions[[#This Row],[Reporting Unit]])-LEN(SUBSTITUTE(emissions[[#This Row],[Reporting Unit]],"&gt;","")))</f>
        <v>Vantage_Gurnee</v>
      </c>
      <c r="AR1326" t="str">
        <f>_xlfn.XLOOKUP(emissions[[#This Row],[Reporting unit name]],hierarchy!$A:$A,hierarchy!$C:$C)</f>
        <v>Office</v>
      </c>
    </row>
    <row r="1327" spans="1:44" hidden="1" x14ac:dyDescent="0.25">
      <c r="A1327">
        <v>283979</v>
      </c>
      <c r="B1327" t="s">
        <v>328</v>
      </c>
      <c r="C1327" t="s">
        <v>501</v>
      </c>
      <c r="D1327" t="s">
        <v>548</v>
      </c>
      <c r="E1327" s="3">
        <v>44562</v>
      </c>
      <c r="F1327" s="3">
        <v>44926</v>
      </c>
      <c r="G1327" t="s">
        <v>116</v>
      </c>
      <c r="H1327" s="3">
        <v>44562</v>
      </c>
      <c r="I1327" s="3">
        <v>44926</v>
      </c>
      <c r="J1327" t="s">
        <v>128</v>
      </c>
      <c r="K1327">
        <v>6</v>
      </c>
      <c r="L1327" t="s">
        <v>215</v>
      </c>
      <c r="M1327" t="s">
        <v>110</v>
      </c>
      <c r="O1327" t="s">
        <v>929</v>
      </c>
      <c r="P1327" t="s">
        <v>550</v>
      </c>
      <c r="Q1327">
        <v>2022</v>
      </c>
      <c r="R1327" t="s">
        <v>619</v>
      </c>
      <c r="S1327" t="s">
        <v>620</v>
      </c>
      <c r="T1327" t="s">
        <v>553</v>
      </c>
      <c r="U1327" t="b">
        <v>0</v>
      </c>
      <c r="V1327" t="s">
        <v>621</v>
      </c>
      <c r="W1327" t="s">
        <v>587</v>
      </c>
      <c r="X1327" t="s">
        <v>556</v>
      </c>
      <c r="AC1327">
        <v>1</v>
      </c>
      <c r="AD1327" t="s">
        <v>565</v>
      </c>
      <c r="AE1327">
        <v>3891.8271679999998</v>
      </c>
      <c r="AF1327">
        <v>1430</v>
      </c>
      <c r="AG1327" t="s">
        <v>622</v>
      </c>
      <c r="AH1327">
        <v>0.45359291000000002</v>
      </c>
      <c r="AI1327">
        <v>2.7215574600000001</v>
      </c>
      <c r="AJ1327" t="s">
        <v>561</v>
      </c>
      <c r="AK1327" t="s">
        <v>623</v>
      </c>
      <c r="AL1327" t="s">
        <v>624</v>
      </c>
      <c r="AM1327">
        <v>2022</v>
      </c>
      <c r="AN1327">
        <v>2007</v>
      </c>
      <c r="AO1327">
        <f>IF(AND(emissions[[#This Row],[Market-based]]=0,emissions[[#This Row],[Impact Type]]="CO2E"),emissions[[#This Row],[kgCO2e]],0)/1000</f>
        <v>0</v>
      </c>
      <c r="AP1327">
        <f>IF(AND(emissions[[#This Row],[Market-based]]=1,OR(emissions[[#This Row],[Impact Type]]="CO2E",emissions[[#This Row],[Impact Type]]="CO2E MKT")),emissions[[#This Row],[kgCO2e]],0)/1000</f>
        <v>3.8918271679999998</v>
      </c>
      <c r="AQ1327" t="str">
        <f>_xlfn.TEXTAFTER(emissions[[#This Row],[Reporting Unit]]," &gt; ",LEN(emissions[[#This Row],[Reporting Unit]])-LEN(SUBSTITUTE(emissions[[#This Row],[Reporting Unit]],"&gt;","")))</f>
        <v>Vantage_Gurnee</v>
      </c>
      <c r="AR1327" t="str">
        <f>_xlfn.XLOOKUP(emissions[[#This Row],[Reporting unit name]],hierarchy!$A:$A,hierarchy!$C:$C)</f>
        <v>Office</v>
      </c>
    </row>
    <row r="1328" spans="1:44" hidden="1" x14ac:dyDescent="0.25">
      <c r="A1328">
        <v>283981</v>
      </c>
      <c r="B1328" t="s">
        <v>328</v>
      </c>
      <c r="C1328" t="s">
        <v>501</v>
      </c>
      <c r="D1328" t="s">
        <v>548</v>
      </c>
      <c r="E1328" s="3">
        <v>44562</v>
      </c>
      <c r="F1328" s="3">
        <v>44926</v>
      </c>
      <c r="G1328" t="s">
        <v>116</v>
      </c>
      <c r="H1328" s="3">
        <v>44562</v>
      </c>
      <c r="I1328" s="3">
        <v>44926</v>
      </c>
      <c r="J1328" t="s">
        <v>178</v>
      </c>
      <c r="K1328">
        <v>22</v>
      </c>
      <c r="L1328" t="s">
        <v>215</v>
      </c>
      <c r="M1328" t="s">
        <v>110</v>
      </c>
      <c r="O1328" t="s">
        <v>930</v>
      </c>
      <c r="P1328" t="s">
        <v>550</v>
      </c>
      <c r="Q1328">
        <v>2022</v>
      </c>
      <c r="R1328" t="s">
        <v>698</v>
      </c>
      <c r="S1328" t="s">
        <v>178</v>
      </c>
      <c r="T1328" t="s">
        <v>553</v>
      </c>
      <c r="U1328" t="b">
        <v>0</v>
      </c>
      <c r="V1328" t="s">
        <v>699</v>
      </c>
      <c r="W1328" t="s">
        <v>587</v>
      </c>
      <c r="X1328" t="s">
        <v>556</v>
      </c>
      <c r="AC1328">
        <v>0</v>
      </c>
      <c r="AD1328" t="s">
        <v>565</v>
      </c>
      <c r="AE1328">
        <v>17702.824089999998</v>
      </c>
      <c r="AF1328">
        <v>1774</v>
      </c>
      <c r="AG1328" t="s">
        <v>622</v>
      </c>
      <c r="AH1328">
        <v>0.45359291000000002</v>
      </c>
      <c r="AI1328">
        <v>9.9790440199999999</v>
      </c>
      <c r="AJ1328" t="s">
        <v>561</v>
      </c>
      <c r="AK1328" t="s">
        <v>623</v>
      </c>
      <c r="AL1328" t="s">
        <v>624</v>
      </c>
      <c r="AM1328">
        <v>2022</v>
      </c>
      <c r="AN1328">
        <v>2007</v>
      </c>
      <c r="AO1328">
        <f>IF(AND(emissions[[#This Row],[Market-based]]=0,emissions[[#This Row],[Impact Type]]="CO2E"),emissions[[#This Row],[kgCO2e]],0)/1000</f>
        <v>17.70282409</v>
      </c>
      <c r="AP1328">
        <f>IF(AND(emissions[[#This Row],[Market-based]]=1,OR(emissions[[#This Row],[Impact Type]]="CO2E",emissions[[#This Row],[Impact Type]]="CO2E MKT")),emissions[[#This Row],[kgCO2e]],0)/1000</f>
        <v>0</v>
      </c>
      <c r="AQ1328" t="str">
        <f>_xlfn.TEXTAFTER(emissions[[#This Row],[Reporting Unit]]," &gt; ",LEN(emissions[[#This Row],[Reporting Unit]])-LEN(SUBSTITUTE(emissions[[#This Row],[Reporting Unit]],"&gt;","")))</f>
        <v>Vantage_Gurnee</v>
      </c>
      <c r="AR1328" t="str">
        <f>_xlfn.XLOOKUP(emissions[[#This Row],[Reporting unit name]],hierarchy!$A:$A,hierarchy!$C:$C)</f>
        <v>Office</v>
      </c>
    </row>
    <row r="1329" spans="1:44" hidden="1" x14ac:dyDescent="0.25">
      <c r="A1329">
        <v>283981</v>
      </c>
      <c r="B1329" t="s">
        <v>328</v>
      </c>
      <c r="C1329" t="s">
        <v>501</v>
      </c>
      <c r="D1329" t="s">
        <v>548</v>
      </c>
      <c r="E1329" s="3">
        <v>44562</v>
      </c>
      <c r="F1329" s="3">
        <v>44926</v>
      </c>
      <c r="G1329" t="s">
        <v>116</v>
      </c>
      <c r="H1329" s="3">
        <v>44562</v>
      </c>
      <c r="I1329" s="3">
        <v>44926</v>
      </c>
      <c r="J1329" t="s">
        <v>178</v>
      </c>
      <c r="K1329">
        <v>22</v>
      </c>
      <c r="L1329" t="s">
        <v>215</v>
      </c>
      <c r="M1329" t="s">
        <v>110</v>
      </c>
      <c r="O1329" t="s">
        <v>930</v>
      </c>
      <c r="P1329" t="s">
        <v>550</v>
      </c>
      <c r="Q1329">
        <v>2022</v>
      </c>
      <c r="R1329" t="s">
        <v>698</v>
      </c>
      <c r="S1329" t="s">
        <v>178</v>
      </c>
      <c r="T1329" t="s">
        <v>553</v>
      </c>
      <c r="U1329" t="b">
        <v>0</v>
      </c>
      <c r="V1329" t="s">
        <v>699</v>
      </c>
      <c r="W1329" t="s">
        <v>587</v>
      </c>
      <c r="X1329" t="s">
        <v>556</v>
      </c>
      <c r="AC1329">
        <v>1</v>
      </c>
      <c r="AD1329" t="s">
        <v>565</v>
      </c>
      <c r="AE1329">
        <v>17702.824089999998</v>
      </c>
      <c r="AF1329">
        <v>1774</v>
      </c>
      <c r="AG1329" t="s">
        <v>622</v>
      </c>
      <c r="AH1329">
        <v>0.45359291000000002</v>
      </c>
      <c r="AI1329">
        <v>9.9790440199999999</v>
      </c>
      <c r="AJ1329" t="s">
        <v>561</v>
      </c>
      <c r="AK1329" t="s">
        <v>623</v>
      </c>
      <c r="AL1329" t="s">
        <v>624</v>
      </c>
      <c r="AM1329">
        <v>2022</v>
      </c>
      <c r="AN1329">
        <v>2007</v>
      </c>
      <c r="AO1329">
        <f>IF(AND(emissions[[#This Row],[Market-based]]=0,emissions[[#This Row],[Impact Type]]="CO2E"),emissions[[#This Row],[kgCO2e]],0)/1000</f>
        <v>0</v>
      </c>
      <c r="AP1329">
        <f>IF(AND(emissions[[#This Row],[Market-based]]=1,OR(emissions[[#This Row],[Impact Type]]="CO2E",emissions[[#This Row],[Impact Type]]="CO2E MKT")),emissions[[#This Row],[kgCO2e]],0)/1000</f>
        <v>17.70282409</v>
      </c>
      <c r="AQ1329" t="str">
        <f>_xlfn.TEXTAFTER(emissions[[#This Row],[Reporting Unit]]," &gt; ",LEN(emissions[[#This Row],[Reporting Unit]])-LEN(SUBSTITUTE(emissions[[#This Row],[Reporting Unit]],"&gt;","")))</f>
        <v>Vantage_Gurnee</v>
      </c>
      <c r="AR1329" t="str">
        <f>_xlfn.XLOOKUP(emissions[[#This Row],[Reporting unit name]],hierarchy!$A:$A,hierarchy!$C:$C)</f>
        <v>Office</v>
      </c>
    </row>
    <row r="1330" spans="1:44" hidden="1" x14ac:dyDescent="0.25">
      <c r="A1330">
        <v>283983</v>
      </c>
      <c r="B1330" t="s">
        <v>328</v>
      </c>
      <c r="C1330" t="s">
        <v>501</v>
      </c>
      <c r="D1330" t="s">
        <v>548</v>
      </c>
      <c r="E1330" s="3">
        <v>44562</v>
      </c>
      <c r="F1330" s="3">
        <v>44926</v>
      </c>
      <c r="G1330" t="s">
        <v>116</v>
      </c>
      <c r="H1330" s="3">
        <v>44562</v>
      </c>
      <c r="I1330" s="3">
        <v>44926</v>
      </c>
      <c r="J1330" t="s">
        <v>175</v>
      </c>
      <c r="K1330">
        <v>3</v>
      </c>
      <c r="L1330" t="s">
        <v>215</v>
      </c>
      <c r="M1330" t="s">
        <v>110</v>
      </c>
      <c r="O1330" t="s">
        <v>930</v>
      </c>
      <c r="P1330" t="s">
        <v>550</v>
      </c>
      <c r="Q1330">
        <v>2022</v>
      </c>
      <c r="R1330" t="s">
        <v>664</v>
      </c>
      <c r="S1330" t="s">
        <v>175</v>
      </c>
      <c r="T1330" t="s">
        <v>553</v>
      </c>
      <c r="U1330" t="b">
        <v>0</v>
      </c>
      <c r="V1330" t="s">
        <v>665</v>
      </c>
      <c r="W1330" t="s">
        <v>587</v>
      </c>
      <c r="X1330" t="s">
        <v>556</v>
      </c>
      <c r="AC1330">
        <v>0</v>
      </c>
      <c r="AD1330" t="s">
        <v>565</v>
      </c>
      <c r="AE1330">
        <v>2841.3059880000001</v>
      </c>
      <c r="AF1330">
        <v>2088</v>
      </c>
      <c r="AG1330" t="s">
        <v>622</v>
      </c>
      <c r="AH1330">
        <v>0.45359291000000002</v>
      </c>
      <c r="AI1330">
        <v>1.36077873</v>
      </c>
      <c r="AJ1330" t="s">
        <v>561</v>
      </c>
      <c r="AK1330" t="s">
        <v>623</v>
      </c>
      <c r="AL1330" t="s">
        <v>624</v>
      </c>
      <c r="AM1330">
        <v>2022</v>
      </c>
      <c r="AN1330">
        <v>2007</v>
      </c>
      <c r="AO1330">
        <f>IF(AND(emissions[[#This Row],[Market-based]]=0,emissions[[#This Row],[Impact Type]]="CO2E"),emissions[[#This Row],[kgCO2e]],0)/1000</f>
        <v>2.8413059880000002</v>
      </c>
      <c r="AP1330">
        <f>IF(AND(emissions[[#This Row],[Market-based]]=1,OR(emissions[[#This Row],[Impact Type]]="CO2E",emissions[[#This Row],[Impact Type]]="CO2E MKT")),emissions[[#This Row],[kgCO2e]],0)/1000</f>
        <v>0</v>
      </c>
      <c r="AQ1330" t="str">
        <f>_xlfn.TEXTAFTER(emissions[[#This Row],[Reporting Unit]]," &gt; ",LEN(emissions[[#This Row],[Reporting Unit]])-LEN(SUBSTITUTE(emissions[[#This Row],[Reporting Unit]],"&gt;","")))</f>
        <v>Vantage_Gurnee</v>
      </c>
      <c r="AR1330" t="str">
        <f>_xlfn.XLOOKUP(emissions[[#This Row],[Reporting unit name]],hierarchy!$A:$A,hierarchy!$C:$C)</f>
        <v>Office</v>
      </c>
    </row>
    <row r="1331" spans="1:44" hidden="1" x14ac:dyDescent="0.25">
      <c r="A1331">
        <v>283983</v>
      </c>
      <c r="B1331" t="s">
        <v>328</v>
      </c>
      <c r="C1331" t="s">
        <v>501</v>
      </c>
      <c r="D1331" t="s">
        <v>548</v>
      </c>
      <c r="E1331" s="3">
        <v>44562</v>
      </c>
      <c r="F1331" s="3">
        <v>44926</v>
      </c>
      <c r="G1331" t="s">
        <v>116</v>
      </c>
      <c r="H1331" s="3">
        <v>44562</v>
      </c>
      <c r="I1331" s="3">
        <v>44926</v>
      </c>
      <c r="J1331" t="s">
        <v>175</v>
      </c>
      <c r="K1331">
        <v>3</v>
      </c>
      <c r="L1331" t="s">
        <v>215</v>
      </c>
      <c r="M1331" t="s">
        <v>110</v>
      </c>
      <c r="O1331" t="s">
        <v>930</v>
      </c>
      <c r="P1331" t="s">
        <v>550</v>
      </c>
      <c r="Q1331">
        <v>2022</v>
      </c>
      <c r="R1331" t="s">
        <v>664</v>
      </c>
      <c r="S1331" t="s">
        <v>175</v>
      </c>
      <c r="T1331" t="s">
        <v>553</v>
      </c>
      <c r="U1331" t="b">
        <v>0</v>
      </c>
      <c r="V1331" t="s">
        <v>665</v>
      </c>
      <c r="W1331" t="s">
        <v>587</v>
      </c>
      <c r="X1331" t="s">
        <v>556</v>
      </c>
      <c r="AC1331">
        <v>1</v>
      </c>
      <c r="AD1331" t="s">
        <v>565</v>
      </c>
      <c r="AE1331">
        <v>2841.3059880000001</v>
      </c>
      <c r="AF1331">
        <v>2088</v>
      </c>
      <c r="AG1331" t="s">
        <v>622</v>
      </c>
      <c r="AH1331">
        <v>0.45359291000000002</v>
      </c>
      <c r="AI1331">
        <v>1.36077873</v>
      </c>
      <c r="AJ1331" t="s">
        <v>561</v>
      </c>
      <c r="AK1331" t="s">
        <v>623</v>
      </c>
      <c r="AL1331" t="s">
        <v>624</v>
      </c>
      <c r="AM1331">
        <v>2022</v>
      </c>
      <c r="AN1331">
        <v>2007</v>
      </c>
      <c r="AO1331">
        <f>IF(AND(emissions[[#This Row],[Market-based]]=0,emissions[[#This Row],[Impact Type]]="CO2E"),emissions[[#This Row],[kgCO2e]],0)/1000</f>
        <v>0</v>
      </c>
      <c r="AP1331">
        <f>IF(AND(emissions[[#This Row],[Market-based]]=1,OR(emissions[[#This Row],[Impact Type]]="CO2E",emissions[[#This Row],[Impact Type]]="CO2E MKT")),emissions[[#This Row],[kgCO2e]],0)/1000</f>
        <v>2.8413059880000002</v>
      </c>
      <c r="AQ1331" t="str">
        <f>_xlfn.TEXTAFTER(emissions[[#This Row],[Reporting Unit]]," &gt; ",LEN(emissions[[#This Row],[Reporting Unit]])-LEN(SUBSTITUTE(emissions[[#This Row],[Reporting Unit]],"&gt;","")))</f>
        <v>Vantage_Gurnee</v>
      </c>
      <c r="AR1331" t="str">
        <f>_xlfn.XLOOKUP(emissions[[#This Row],[Reporting unit name]],hierarchy!$A:$A,hierarchy!$C:$C)</f>
        <v>Office</v>
      </c>
    </row>
    <row r="1332" spans="1:44" hidden="1" x14ac:dyDescent="0.25">
      <c r="A1332">
        <v>291080</v>
      </c>
      <c r="B1332" t="s">
        <v>328</v>
      </c>
      <c r="C1332" t="s">
        <v>501</v>
      </c>
      <c r="D1332" t="s">
        <v>548</v>
      </c>
      <c r="E1332" s="3">
        <v>44562</v>
      </c>
      <c r="F1332" s="3">
        <v>44926</v>
      </c>
      <c r="G1332" t="s">
        <v>121</v>
      </c>
      <c r="H1332" s="3">
        <v>44562</v>
      </c>
      <c r="I1332" s="3">
        <v>44926</v>
      </c>
      <c r="J1332" t="s">
        <v>150</v>
      </c>
      <c r="K1332">
        <v>31840</v>
      </c>
      <c r="L1332" t="s">
        <v>215</v>
      </c>
      <c r="M1332" t="s">
        <v>110</v>
      </c>
      <c r="O1332" t="s">
        <v>931</v>
      </c>
      <c r="P1332" t="s">
        <v>550</v>
      </c>
      <c r="Q1332">
        <v>2022</v>
      </c>
      <c r="R1332" t="s">
        <v>594</v>
      </c>
      <c r="S1332" t="s">
        <v>150</v>
      </c>
      <c r="T1332" t="s">
        <v>553</v>
      </c>
      <c r="U1332" t="b">
        <v>0</v>
      </c>
      <c r="V1332" t="s">
        <v>595</v>
      </c>
      <c r="W1332" t="s">
        <v>587</v>
      </c>
      <c r="X1332" t="s">
        <v>556</v>
      </c>
      <c r="AC1332">
        <v>0</v>
      </c>
      <c r="AD1332" t="s">
        <v>558</v>
      </c>
      <c r="AE1332">
        <v>33.361725939999999</v>
      </c>
      <c r="AF1332">
        <v>2.31</v>
      </c>
      <c r="AG1332" t="s">
        <v>756</v>
      </c>
      <c r="AH1332">
        <v>4.5359000000000003E-4</v>
      </c>
      <c r="AI1332">
        <v>14.442305599999999</v>
      </c>
      <c r="AJ1332" t="s">
        <v>561</v>
      </c>
      <c r="AK1332" t="s">
        <v>589</v>
      </c>
      <c r="AL1332" t="s">
        <v>590</v>
      </c>
      <c r="AM1332">
        <v>2022</v>
      </c>
      <c r="AN1332">
        <v>2020</v>
      </c>
      <c r="AO1332">
        <f>IF(AND(emissions[[#This Row],[Market-based]]=0,emissions[[#This Row],[Impact Type]]="CO2E"),emissions[[#This Row],[kgCO2e]],0)/1000</f>
        <v>0</v>
      </c>
      <c r="AP1332">
        <f>IF(AND(emissions[[#This Row],[Market-based]]=1,OR(emissions[[#This Row],[Impact Type]]="CO2E",emissions[[#This Row],[Impact Type]]="CO2E MKT")),emissions[[#This Row],[kgCO2e]],0)/1000</f>
        <v>0</v>
      </c>
      <c r="AQ1332" t="str">
        <f>_xlfn.TEXTAFTER(emissions[[#This Row],[Reporting Unit]]," &gt; ",LEN(emissions[[#This Row],[Reporting Unit]])-LEN(SUBSTITUTE(emissions[[#This Row],[Reporting Unit]],"&gt;","")))</f>
        <v>Vantage_Gurnee</v>
      </c>
      <c r="AR1332" t="str">
        <f>_xlfn.XLOOKUP(emissions[[#This Row],[Reporting unit name]],hierarchy!$A:$A,hierarchy!$C:$C)</f>
        <v>Office</v>
      </c>
    </row>
    <row r="1333" spans="1:44" hidden="1" x14ac:dyDescent="0.25">
      <c r="A1333">
        <v>291080</v>
      </c>
      <c r="B1333" t="s">
        <v>328</v>
      </c>
      <c r="C1333" t="s">
        <v>501</v>
      </c>
      <c r="D1333" t="s">
        <v>548</v>
      </c>
      <c r="E1333" s="3">
        <v>44562</v>
      </c>
      <c r="F1333" s="3">
        <v>44926</v>
      </c>
      <c r="G1333" t="s">
        <v>121</v>
      </c>
      <c r="H1333" s="3">
        <v>44562</v>
      </c>
      <c r="I1333" s="3">
        <v>44926</v>
      </c>
      <c r="J1333" t="s">
        <v>150</v>
      </c>
      <c r="K1333">
        <v>31840</v>
      </c>
      <c r="L1333" t="s">
        <v>215</v>
      </c>
      <c r="M1333" t="s">
        <v>110</v>
      </c>
      <c r="O1333" t="s">
        <v>931</v>
      </c>
      <c r="P1333" t="s">
        <v>550</v>
      </c>
      <c r="Q1333">
        <v>2022</v>
      </c>
      <c r="R1333" t="s">
        <v>594</v>
      </c>
      <c r="S1333" t="s">
        <v>150</v>
      </c>
      <c r="T1333" t="s">
        <v>553</v>
      </c>
      <c r="U1333" t="b">
        <v>0</v>
      </c>
      <c r="V1333" t="s">
        <v>595</v>
      </c>
      <c r="W1333" t="s">
        <v>587</v>
      </c>
      <c r="X1333" t="s">
        <v>556</v>
      </c>
      <c r="AC1333">
        <v>0</v>
      </c>
      <c r="AD1333" t="s">
        <v>564</v>
      </c>
      <c r="AE1333">
        <v>43231.597580000001</v>
      </c>
      <c r="AF1333">
        <v>2993.4</v>
      </c>
      <c r="AG1333" t="s">
        <v>756</v>
      </c>
      <c r="AH1333">
        <v>4.5359000000000003E-4</v>
      </c>
      <c r="AI1333">
        <v>14.442305599999999</v>
      </c>
      <c r="AJ1333" t="s">
        <v>561</v>
      </c>
      <c r="AK1333" t="s">
        <v>589</v>
      </c>
      <c r="AL1333" t="s">
        <v>590</v>
      </c>
      <c r="AM1333">
        <v>2022</v>
      </c>
      <c r="AN1333">
        <v>2020</v>
      </c>
      <c r="AO1333">
        <f>IF(AND(emissions[[#This Row],[Market-based]]=0,emissions[[#This Row],[Impact Type]]="CO2E"),emissions[[#This Row],[kgCO2e]],0)/1000</f>
        <v>0</v>
      </c>
      <c r="AP1333">
        <f>IF(AND(emissions[[#This Row],[Market-based]]=1,OR(emissions[[#This Row],[Impact Type]]="CO2E",emissions[[#This Row],[Impact Type]]="CO2E MKT")),emissions[[#This Row],[kgCO2e]],0)/1000</f>
        <v>0</v>
      </c>
      <c r="AQ1333" t="str">
        <f>_xlfn.TEXTAFTER(emissions[[#This Row],[Reporting Unit]]," &gt; ",LEN(emissions[[#This Row],[Reporting Unit]])-LEN(SUBSTITUTE(emissions[[#This Row],[Reporting Unit]],"&gt;","")))</f>
        <v>Vantage_Gurnee</v>
      </c>
      <c r="AR1333" t="str">
        <f>_xlfn.XLOOKUP(emissions[[#This Row],[Reporting unit name]],hierarchy!$A:$A,hierarchy!$C:$C)</f>
        <v>Office</v>
      </c>
    </row>
    <row r="1334" spans="1:44" hidden="1" x14ac:dyDescent="0.25">
      <c r="A1334">
        <v>291080</v>
      </c>
      <c r="B1334" t="s">
        <v>328</v>
      </c>
      <c r="C1334" t="s">
        <v>501</v>
      </c>
      <c r="D1334" t="s">
        <v>548</v>
      </c>
      <c r="E1334" s="3">
        <v>44562</v>
      </c>
      <c r="F1334" s="3">
        <v>44926</v>
      </c>
      <c r="G1334" t="s">
        <v>121</v>
      </c>
      <c r="H1334" s="3">
        <v>44562</v>
      </c>
      <c r="I1334" s="3">
        <v>44926</v>
      </c>
      <c r="J1334" t="s">
        <v>150</v>
      </c>
      <c r="K1334">
        <v>31840</v>
      </c>
      <c r="L1334" t="s">
        <v>215</v>
      </c>
      <c r="M1334" t="s">
        <v>110</v>
      </c>
      <c r="O1334" t="s">
        <v>931</v>
      </c>
      <c r="P1334" t="s">
        <v>550</v>
      </c>
      <c r="Q1334">
        <v>2022</v>
      </c>
      <c r="R1334" t="s">
        <v>594</v>
      </c>
      <c r="S1334" t="s">
        <v>150</v>
      </c>
      <c r="T1334" t="s">
        <v>553</v>
      </c>
      <c r="U1334" t="b">
        <v>0</v>
      </c>
      <c r="V1334" t="s">
        <v>595</v>
      </c>
      <c r="W1334" t="s">
        <v>587</v>
      </c>
      <c r="X1334" t="s">
        <v>556</v>
      </c>
      <c r="AC1334">
        <v>0</v>
      </c>
      <c r="AD1334" t="s">
        <v>565</v>
      </c>
      <c r="AE1334">
        <v>43291.67757</v>
      </c>
      <c r="AF1334">
        <v>2997.56</v>
      </c>
      <c r="AG1334" t="s">
        <v>756</v>
      </c>
      <c r="AH1334">
        <v>4.5359000000000003E-4</v>
      </c>
      <c r="AI1334">
        <v>14.442305599999999</v>
      </c>
      <c r="AJ1334" t="s">
        <v>561</v>
      </c>
      <c r="AK1334" t="s">
        <v>589</v>
      </c>
      <c r="AL1334" t="s">
        <v>590</v>
      </c>
      <c r="AM1334">
        <v>2022</v>
      </c>
      <c r="AN1334">
        <v>2020</v>
      </c>
      <c r="AO1334">
        <f>IF(AND(emissions[[#This Row],[Market-based]]=0,emissions[[#This Row],[Impact Type]]="CO2E"),emissions[[#This Row],[kgCO2e]],0)/1000</f>
        <v>43.291677569999997</v>
      </c>
      <c r="AP1334">
        <f>IF(AND(emissions[[#This Row],[Market-based]]=1,OR(emissions[[#This Row],[Impact Type]]="CO2E",emissions[[#This Row],[Impact Type]]="CO2E MKT")),emissions[[#This Row],[kgCO2e]],0)/1000</f>
        <v>0</v>
      </c>
      <c r="AQ1334" t="str">
        <f>_xlfn.TEXTAFTER(emissions[[#This Row],[Reporting Unit]]," &gt; ",LEN(emissions[[#This Row],[Reporting Unit]])-LEN(SUBSTITUTE(emissions[[#This Row],[Reporting Unit]],"&gt;","")))</f>
        <v>Vantage_Gurnee</v>
      </c>
      <c r="AR1334" t="str">
        <f>_xlfn.XLOOKUP(emissions[[#This Row],[Reporting unit name]],hierarchy!$A:$A,hierarchy!$C:$C)</f>
        <v>Office</v>
      </c>
    </row>
    <row r="1335" spans="1:44" hidden="1" x14ac:dyDescent="0.25">
      <c r="A1335">
        <v>291080</v>
      </c>
      <c r="B1335" t="s">
        <v>328</v>
      </c>
      <c r="C1335" t="s">
        <v>501</v>
      </c>
      <c r="D1335" t="s">
        <v>548</v>
      </c>
      <c r="E1335" s="3">
        <v>44562</v>
      </c>
      <c r="F1335" s="3">
        <v>44926</v>
      </c>
      <c r="G1335" t="s">
        <v>121</v>
      </c>
      <c r="H1335" s="3">
        <v>44562</v>
      </c>
      <c r="I1335" s="3">
        <v>44926</v>
      </c>
      <c r="J1335" t="s">
        <v>150</v>
      </c>
      <c r="K1335">
        <v>31840</v>
      </c>
      <c r="L1335" t="s">
        <v>215</v>
      </c>
      <c r="M1335" t="s">
        <v>110</v>
      </c>
      <c r="O1335" t="s">
        <v>931</v>
      </c>
      <c r="P1335" t="s">
        <v>550</v>
      </c>
      <c r="Q1335">
        <v>2022</v>
      </c>
      <c r="R1335" t="s">
        <v>594</v>
      </c>
      <c r="S1335" t="s">
        <v>150</v>
      </c>
      <c r="T1335" t="s">
        <v>553</v>
      </c>
      <c r="U1335" t="b">
        <v>0</v>
      </c>
      <c r="V1335" t="s">
        <v>595</v>
      </c>
      <c r="W1335" t="s">
        <v>587</v>
      </c>
      <c r="X1335" t="s">
        <v>556</v>
      </c>
      <c r="AC1335">
        <v>0</v>
      </c>
      <c r="AD1335" t="s">
        <v>566</v>
      </c>
      <c r="AE1335">
        <v>26.71826536</v>
      </c>
      <c r="AF1335">
        <v>1.85</v>
      </c>
      <c r="AG1335" t="s">
        <v>756</v>
      </c>
      <c r="AH1335">
        <v>4.5359000000000003E-4</v>
      </c>
      <c r="AI1335">
        <v>14.442305599999999</v>
      </c>
      <c r="AJ1335" t="s">
        <v>561</v>
      </c>
      <c r="AK1335" t="s">
        <v>589</v>
      </c>
      <c r="AL1335" t="s">
        <v>590</v>
      </c>
      <c r="AM1335">
        <v>2022</v>
      </c>
      <c r="AN1335">
        <v>2020</v>
      </c>
      <c r="AO1335">
        <f>IF(AND(emissions[[#This Row],[Market-based]]=0,emissions[[#This Row],[Impact Type]]="CO2E"),emissions[[#This Row],[kgCO2e]],0)/1000</f>
        <v>0</v>
      </c>
      <c r="AP1335">
        <f>IF(AND(emissions[[#This Row],[Market-based]]=1,OR(emissions[[#This Row],[Impact Type]]="CO2E",emissions[[#This Row],[Impact Type]]="CO2E MKT")),emissions[[#This Row],[kgCO2e]],0)/1000</f>
        <v>0</v>
      </c>
      <c r="AQ1335" t="str">
        <f>_xlfn.TEXTAFTER(emissions[[#This Row],[Reporting Unit]]," &gt; ",LEN(emissions[[#This Row],[Reporting Unit]])-LEN(SUBSTITUTE(emissions[[#This Row],[Reporting Unit]],"&gt;","")))</f>
        <v>Vantage_Gurnee</v>
      </c>
      <c r="AR1335" t="str">
        <f>_xlfn.XLOOKUP(emissions[[#This Row],[Reporting unit name]],hierarchy!$A:$A,hierarchy!$C:$C)</f>
        <v>Office</v>
      </c>
    </row>
    <row r="1336" spans="1:44" hidden="1" x14ac:dyDescent="0.25">
      <c r="A1336">
        <v>291080</v>
      </c>
      <c r="B1336" t="s">
        <v>328</v>
      </c>
      <c r="C1336" t="s">
        <v>501</v>
      </c>
      <c r="D1336" t="s">
        <v>548</v>
      </c>
      <c r="E1336" s="3">
        <v>44562</v>
      </c>
      <c r="F1336" s="3">
        <v>44926</v>
      </c>
      <c r="G1336" t="s">
        <v>121</v>
      </c>
      <c r="H1336" s="3">
        <v>44562</v>
      </c>
      <c r="I1336" s="3">
        <v>44926</v>
      </c>
      <c r="J1336" t="s">
        <v>150</v>
      </c>
      <c r="K1336">
        <v>31840</v>
      </c>
      <c r="L1336" t="s">
        <v>215</v>
      </c>
      <c r="M1336" t="s">
        <v>110</v>
      </c>
      <c r="O1336" t="s">
        <v>931</v>
      </c>
      <c r="P1336" t="s">
        <v>550</v>
      </c>
      <c r="Q1336">
        <v>2022</v>
      </c>
      <c r="R1336" t="s">
        <v>594</v>
      </c>
      <c r="S1336" t="s">
        <v>150</v>
      </c>
      <c r="T1336" t="s">
        <v>553</v>
      </c>
      <c r="U1336" t="b">
        <v>0</v>
      </c>
      <c r="V1336" t="s">
        <v>595</v>
      </c>
      <c r="W1336" t="s">
        <v>587</v>
      </c>
      <c r="X1336" t="s">
        <v>556</v>
      </c>
      <c r="AC1336">
        <v>1</v>
      </c>
      <c r="AD1336" t="s">
        <v>558</v>
      </c>
      <c r="AE1336">
        <v>33.361725939999999</v>
      </c>
      <c r="AF1336">
        <v>2.31</v>
      </c>
      <c r="AG1336" t="s">
        <v>756</v>
      </c>
      <c r="AH1336">
        <v>4.5359000000000003E-4</v>
      </c>
      <c r="AI1336">
        <v>14.442305599999999</v>
      </c>
      <c r="AJ1336" t="s">
        <v>561</v>
      </c>
      <c r="AK1336" t="s">
        <v>589</v>
      </c>
      <c r="AL1336" t="s">
        <v>590</v>
      </c>
      <c r="AM1336">
        <v>2022</v>
      </c>
      <c r="AN1336">
        <v>2020</v>
      </c>
      <c r="AO1336">
        <f>IF(AND(emissions[[#This Row],[Market-based]]=0,emissions[[#This Row],[Impact Type]]="CO2E"),emissions[[#This Row],[kgCO2e]],0)/1000</f>
        <v>0</v>
      </c>
      <c r="AP1336">
        <f>IF(AND(emissions[[#This Row],[Market-based]]=1,OR(emissions[[#This Row],[Impact Type]]="CO2E",emissions[[#This Row],[Impact Type]]="CO2E MKT")),emissions[[#This Row],[kgCO2e]],0)/1000</f>
        <v>0</v>
      </c>
      <c r="AQ1336" t="str">
        <f>_xlfn.TEXTAFTER(emissions[[#This Row],[Reporting Unit]]," &gt; ",LEN(emissions[[#This Row],[Reporting Unit]])-LEN(SUBSTITUTE(emissions[[#This Row],[Reporting Unit]],"&gt;","")))</f>
        <v>Vantage_Gurnee</v>
      </c>
      <c r="AR1336" t="str">
        <f>_xlfn.XLOOKUP(emissions[[#This Row],[Reporting unit name]],hierarchy!$A:$A,hierarchy!$C:$C)</f>
        <v>Office</v>
      </c>
    </row>
    <row r="1337" spans="1:44" hidden="1" x14ac:dyDescent="0.25">
      <c r="A1337">
        <v>291080</v>
      </c>
      <c r="B1337" t="s">
        <v>328</v>
      </c>
      <c r="C1337" t="s">
        <v>501</v>
      </c>
      <c r="D1337" t="s">
        <v>548</v>
      </c>
      <c r="E1337" s="3">
        <v>44562</v>
      </c>
      <c r="F1337" s="3">
        <v>44926</v>
      </c>
      <c r="G1337" t="s">
        <v>121</v>
      </c>
      <c r="H1337" s="3">
        <v>44562</v>
      </c>
      <c r="I1337" s="3">
        <v>44926</v>
      </c>
      <c r="J1337" t="s">
        <v>150</v>
      </c>
      <c r="K1337">
        <v>31840</v>
      </c>
      <c r="L1337" t="s">
        <v>215</v>
      </c>
      <c r="M1337" t="s">
        <v>110</v>
      </c>
      <c r="O1337" t="s">
        <v>931</v>
      </c>
      <c r="P1337" t="s">
        <v>550</v>
      </c>
      <c r="Q1337">
        <v>2022</v>
      </c>
      <c r="R1337" t="s">
        <v>594</v>
      </c>
      <c r="S1337" t="s">
        <v>150</v>
      </c>
      <c r="T1337" t="s">
        <v>553</v>
      </c>
      <c r="U1337" t="b">
        <v>0</v>
      </c>
      <c r="V1337" t="s">
        <v>595</v>
      </c>
      <c r="W1337" t="s">
        <v>587</v>
      </c>
      <c r="X1337" t="s">
        <v>556</v>
      </c>
      <c r="AC1337">
        <v>1</v>
      </c>
      <c r="AD1337" t="s">
        <v>564</v>
      </c>
      <c r="AE1337">
        <v>43231.597580000001</v>
      </c>
      <c r="AF1337">
        <v>2993.4</v>
      </c>
      <c r="AG1337" t="s">
        <v>756</v>
      </c>
      <c r="AH1337">
        <v>4.5359000000000003E-4</v>
      </c>
      <c r="AI1337">
        <v>14.442305599999999</v>
      </c>
      <c r="AJ1337" t="s">
        <v>561</v>
      </c>
      <c r="AK1337" t="s">
        <v>589</v>
      </c>
      <c r="AL1337" t="s">
        <v>590</v>
      </c>
      <c r="AM1337">
        <v>2022</v>
      </c>
      <c r="AN1337">
        <v>2020</v>
      </c>
      <c r="AO1337">
        <f>IF(AND(emissions[[#This Row],[Market-based]]=0,emissions[[#This Row],[Impact Type]]="CO2E"),emissions[[#This Row],[kgCO2e]],0)/1000</f>
        <v>0</v>
      </c>
      <c r="AP1337">
        <f>IF(AND(emissions[[#This Row],[Market-based]]=1,OR(emissions[[#This Row],[Impact Type]]="CO2E",emissions[[#This Row],[Impact Type]]="CO2E MKT")),emissions[[#This Row],[kgCO2e]],0)/1000</f>
        <v>0</v>
      </c>
      <c r="AQ1337" t="str">
        <f>_xlfn.TEXTAFTER(emissions[[#This Row],[Reporting Unit]]," &gt; ",LEN(emissions[[#This Row],[Reporting Unit]])-LEN(SUBSTITUTE(emissions[[#This Row],[Reporting Unit]],"&gt;","")))</f>
        <v>Vantage_Gurnee</v>
      </c>
      <c r="AR1337" t="str">
        <f>_xlfn.XLOOKUP(emissions[[#This Row],[Reporting unit name]],hierarchy!$A:$A,hierarchy!$C:$C)</f>
        <v>Office</v>
      </c>
    </row>
    <row r="1338" spans="1:44" hidden="1" x14ac:dyDescent="0.25">
      <c r="A1338">
        <v>291080</v>
      </c>
      <c r="B1338" t="s">
        <v>328</v>
      </c>
      <c r="C1338" t="s">
        <v>501</v>
      </c>
      <c r="D1338" t="s">
        <v>548</v>
      </c>
      <c r="E1338" s="3">
        <v>44562</v>
      </c>
      <c r="F1338" s="3">
        <v>44926</v>
      </c>
      <c r="G1338" t="s">
        <v>121</v>
      </c>
      <c r="H1338" s="3">
        <v>44562</v>
      </c>
      <c r="I1338" s="3">
        <v>44926</v>
      </c>
      <c r="J1338" t="s">
        <v>150</v>
      </c>
      <c r="K1338">
        <v>31840</v>
      </c>
      <c r="L1338" t="s">
        <v>215</v>
      </c>
      <c r="M1338" t="s">
        <v>110</v>
      </c>
      <c r="O1338" t="s">
        <v>931</v>
      </c>
      <c r="P1338" t="s">
        <v>550</v>
      </c>
      <c r="Q1338">
        <v>2022</v>
      </c>
      <c r="R1338" t="s">
        <v>594</v>
      </c>
      <c r="S1338" t="s">
        <v>150</v>
      </c>
      <c r="T1338" t="s">
        <v>553</v>
      </c>
      <c r="U1338" t="b">
        <v>0</v>
      </c>
      <c r="V1338" t="s">
        <v>595</v>
      </c>
      <c r="W1338" t="s">
        <v>587</v>
      </c>
      <c r="X1338" t="s">
        <v>556</v>
      </c>
      <c r="AC1338">
        <v>1</v>
      </c>
      <c r="AD1338" t="s">
        <v>565</v>
      </c>
      <c r="AE1338">
        <v>43291.67757</v>
      </c>
      <c r="AF1338">
        <v>2997.56</v>
      </c>
      <c r="AG1338" t="s">
        <v>756</v>
      </c>
      <c r="AH1338">
        <v>4.5359000000000003E-4</v>
      </c>
      <c r="AI1338">
        <v>14.442305599999999</v>
      </c>
      <c r="AJ1338" t="s">
        <v>561</v>
      </c>
      <c r="AK1338" t="s">
        <v>589</v>
      </c>
      <c r="AL1338" t="s">
        <v>590</v>
      </c>
      <c r="AM1338">
        <v>2022</v>
      </c>
      <c r="AN1338">
        <v>2020</v>
      </c>
      <c r="AO1338">
        <f>IF(AND(emissions[[#This Row],[Market-based]]=0,emissions[[#This Row],[Impact Type]]="CO2E"),emissions[[#This Row],[kgCO2e]],0)/1000</f>
        <v>0</v>
      </c>
      <c r="AP1338">
        <f>IF(AND(emissions[[#This Row],[Market-based]]=1,OR(emissions[[#This Row],[Impact Type]]="CO2E",emissions[[#This Row],[Impact Type]]="CO2E MKT")),emissions[[#This Row],[kgCO2e]],0)/1000</f>
        <v>43.291677569999997</v>
      </c>
      <c r="AQ1338" t="str">
        <f>_xlfn.TEXTAFTER(emissions[[#This Row],[Reporting Unit]]," &gt; ",LEN(emissions[[#This Row],[Reporting Unit]])-LEN(SUBSTITUTE(emissions[[#This Row],[Reporting Unit]],"&gt;","")))</f>
        <v>Vantage_Gurnee</v>
      </c>
      <c r="AR1338" t="str">
        <f>_xlfn.XLOOKUP(emissions[[#This Row],[Reporting unit name]],hierarchy!$A:$A,hierarchy!$C:$C)</f>
        <v>Office</v>
      </c>
    </row>
    <row r="1339" spans="1:44" hidden="1" x14ac:dyDescent="0.25">
      <c r="A1339">
        <v>291080</v>
      </c>
      <c r="B1339" t="s">
        <v>328</v>
      </c>
      <c r="C1339" t="s">
        <v>501</v>
      </c>
      <c r="D1339" t="s">
        <v>548</v>
      </c>
      <c r="E1339" s="3">
        <v>44562</v>
      </c>
      <c r="F1339" s="3">
        <v>44926</v>
      </c>
      <c r="G1339" t="s">
        <v>121</v>
      </c>
      <c r="H1339" s="3">
        <v>44562</v>
      </c>
      <c r="I1339" s="3">
        <v>44926</v>
      </c>
      <c r="J1339" t="s">
        <v>150</v>
      </c>
      <c r="K1339">
        <v>31840</v>
      </c>
      <c r="L1339" t="s">
        <v>215</v>
      </c>
      <c r="M1339" t="s">
        <v>110</v>
      </c>
      <c r="O1339" t="s">
        <v>931</v>
      </c>
      <c r="P1339" t="s">
        <v>550</v>
      </c>
      <c r="Q1339">
        <v>2022</v>
      </c>
      <c r="R1339" t="s">
        <v>594</v>
      </c>
      <c r="S1339" t="s">
        <v>150</v>
      </c>
      <c r="T1339" t="s">
        <v>553</v>
      </c>
      <c r="U1339" t="b">
        <v>0</v>
      </c>
      <c r="V1339" t="s">
        <v>595</v>
      </c>
      <c r="W1339" t="s">
        <v>587</v>
      </c>
      <c r="X1339" t="s">
        <v>556</v>
      </c>
      <c r="AC1339">
        <v>1</v>
      </c>
      <c r="AD1339" t="s">
        <v>566</v>
      </c>
      <c r="AE1339">
        <v>26.71826536</v>
      </c>
      <c r="AF1339">
        <v>1.85</v>
      </c>
      <c r="AG1339" t="s">
        <v>756</v>
      </c>
      <c r="AH1339">
        <v>4.5359000000000003E-4</v>
      </c>
      <c r="AI1339">
        <v>14.442305599999999</v>
      </c>
      <c r="AJ1339" t="s">
        <v>561</v>
      </c>
      <c r="AK1339" t="s">
        <v>589</v>
      </c>
      <c r="AL1339" t="s">
        <v>590</v>
      </c>
      <c r="AM1339">
        <v>2022</v>
      </c>
      <c r="AN1339">
        <v>2020</v>
      </c>
      <c r="AO1339">
        <f>IF(AND(emissions[[#This Row],[Market-based]]=0,emissions[[#This Row],[Impact Type]]="CO2E"),emissions[[#This Row],[kgCO2e]],0)/1000</f>
        <v>0</v>
      </c>
      <c r="AP1339">
        <f>IF(AND(emissions[[#This Row],[Market-based]]=1,OR(emissions[[#This Row],[Impact Type]]="CO2E",emissions[[#This Row],[Impact Type]]="CO2E MKT")),emissions[[#This Row],[kgCO2e]],0)/1000</f>
        <v>0</v>
      </c>
      <c r="AQ1339" t="str">
        <f>_xlfn.TEXTAFTER(emissions[[#This Row],[Reporting Unit]]," &gt; ",LEN(emissions[[#This Row],[Reporting Unit]])-LEN(SUBSTITUTE(emissions[[#This Row],[Reporting Unit]],"&gt;","")))</f>
        <v>Vantage_Gurnee</v>
      </c>
      <c r="AR1339" t="str">
        <f>_xlfn.XLOOKUP(emissions[[#This Row],[Reporting unit name]],hierarchy!$A:$A,hierarchy!$C:$C)</f>
        <v>Office</v>
      </c>
    </row>
    <row r="1340" spans="1:44" hidden="1" x14ac:dyDescent="0.25">
      <c r="A1340">
        <v>291080</v>
      </c>
      <c r="B1340" t="s">
        <v>328</v>
      </c>
      <c r="C1340" t="s">
        <v>501</v>
      </c>
      <c r="D1340" t="s">
        <v>548</v>
      </c>
      <c r="E1340" s="3">
        <v>44562</v>
      </c>
      <c r="F1340" s="3">
        <v>44926</v>
      </c>
      <c r="G1340" t="s">
        <v>121</v>
      </c>
      <c r="H1340" s="3">
        <v>44562</v>
      </c>
      <c r="I1340" s="3">
        <v>44926</v>
      </c>
      <c r="J1340" t="s">
        <v>150</v>
      </c>
      <c r="K1340">
        <v>31840</v>
      </c>
      <c r="L1340" t="s">
        <v>215</v>
      </c>
      <c r="M1340" t="s">
        <v>110</v>
      </c>
      <c r="O1340" t="s">
        <v>931</v>
      </c>
      <c r="P1340" t="s">
        <v>550</v>
      </c>
      <c r="Q1340">
        <v>2022</v>
      </c>
      <c r="R1340" t="s">
        <v>596</v>
      </c>
      <c r="S1340" t="s">
        <v>597</v>
      </c>
      <c r="T1340" t="s">
        <v>577</v>
      </c>
      <c r="U1340" t="b">
        <v>0</v>
      </c>
      <c r="V1340" t="s">
        <v>598</v>
      </c>
      <c r="W1340" t="s">
        <v>571</v>
      </c>
      <c r="X1340" t="s">
        <v>572</v>
      </c>
      <c r="AC1340">
        <v>0</v>
      </c>
      <c r="AD1340" t="s">
        <v>565</v>
      </c>
      <c r="AE1340">
        <v>5061.3865859999996</v>
      </c>
      <c r="AF1340">
        <v>350.45558</v>
      </c>
      <c r="AG1340" t="s">
        <v>756</v>
      </c>
      <c r="AH1340">
        <v>4.5359000000000003E-4</v>
      </c>
      <c r="AI1340">
        <v>14.442305599999999</v>
      </c>
      <c r="AJ1340" t="s">
        <v>561</v>
      </c>
      <c r="AK1340" t="s">
        <v>589</v>
      </c>
      <c r="AL1340" t="s">
        <v>590</v>
      </c>
      <c r="AM1340">
        <v>2022</v>
      </c>
      <c r="AN1340">
        <v>2020</v>
      </c>
      <c r="AO1340">
        <f>IF(AND(emissions[[#This Row],[Market-based]]=0,emissions[[#This Row],[Impact Type]]="CO2E"),emissions[[#This Row],[kgCO2e]],0)/1000</f>
        <v>5.0613865859999994</v>
      </c>
      <c r="AP1340">
        <f>IF(AND(emissions[[#This Row],[Market-based]]=1,OR(emissions[[#This Row],[Impact Type]]="CO2E",emissions[[#This Row],[Impact Type]]="CO2E MKT")),emissions[[#This Row],[kgCO2e]],0)/1000</f>
        <v>0</v>
      </c>
      <c r="AQ1340" t="str">
        <f>_xlfn.TEXTAFTER(emissions[[#This Row],[Reporting Unit]]," &gt; ",LEN(emissions[[#This Row],[Reporting Unit]])-LEN(SUBSTITUTE(emissions[[#This Row],[Reporting Unit]],"&gt;","")))</f>
        <v>Vantage_Gurnee</v>
      </c>
      <c r="AR1340" t="str">
        <f>_xlfn.XLOOKUP(emissions[[#This Row],[Reporting unit name]],hierarchy!$A:$A,hierarchy!$C:$C)</f>
        <v>Office</v>
      </c>
    </row>
    <row r="1341" spans="1:44" hidden="1" x14ac:dyDescent="0.25">
      <c r="A1341">
        <v>291080</v>
      </c>
      <c r="B1341" t="s">
        <v>328</v>
      </c>
      <c r="C1341" t="s">
        <v>501</v>
      </c>
      <c r="D1341" t="s">
        <v>548</v>
      </c>
      <c r="E1341" s="3">
        <v>44562</v>
      </c>
      <c r="F1341" s="3">
        <v>44926</v>
      </c>
      <c r="G1341" t="s">
        <v>121</v>
      </c>
      <c r="H1341" s="3">
        <v>44562</v>
      </c>
      <c r="I1341" s="3">
        <v>44926</v>
      </c>
      <c r="J1341" t="s">
        <v>150</v>
      </c>
      <c r="K1341">
        <v>31840</v>
      </c>
      <c r="L1341" t="s">
        <v>215</v>
      </c>
      <c r="M1341" t="s">
        <v>110</v>
      </c>
      <c r="O1341" t="s">
        <v>931</v>
      </c>
      <c r="P1341" t="s">
        <v>550</v>
      </c>
      <c r="Q1341">
        <v>2022</v>
      </c>
      <c r="R1341" t="s">
        <v>596</v>
      </c>
      <c r="S1341" t="s">
        <v>597</v>
      </c>
      <c r="T1341" t="s">
        <v>577</v>
      </c>
      <c r="U1341" t="b">
        <v>0</v>
      </c>
      <c r="V1341" t="s">
        <v>598</v>
      </c>
      <c r="W1341" t="s">
        <v>571</v>
      </c>
      <c r="X1341" t="s">
        <v>572</v>
      </c>
      <c r="AC1341">
        <v>1</v>
      </c>
      <c r="AD1341" t="s">
        <v>565</v>
      </c>
      <c r="AE1341">
        <v>5061.3865859999996</v>
      </c>
      <c r="AF1341">
        <v>350.45558</v>
      </c>
      <c r="AG1341" t="s">
        <v>756</v>
      </c>
      <c r="AH1341">
        <v>4.5359000000000003E-4</v>
      </c>
      <c r="AI1341">
        <v>14.442305599999999</v>
      </c>
      <c r="AJ1341" t="s">
        <v>561</v>
      </c>
      <c r="AK1341" t="s">
        <v>589</v>
      </c>
      <c r="AL1341" t="s">
        <v>590</v>
      </c>
      <c r="AM1341">
        <v>2022</v>
      </c>
      <c r="AN1341">
        <v>2020</v>
      </c>
      <c r="AO1341">
        <f>IF(AND(emissions[[#This Row],[Market-based]]=0,emissions[[#This Row],[Impact Type]]="CO2E"),emissions[[#This Row],[kgCO2e]],0)/1000</f>
        <v>0</v>
      </c>
      <c r="AP1341">
        <f>IF(AND(emissions[[#This Row],[Market-based]]=1,OR(emissions[[#This Row],[Impact Type]]="CO2E",emissions[[#This Row],[Impact Type]]="CO2E MKT")),emissions[[#This Row],[kgCO2e]],0)/1000</f>
        <v>5.0613865859999994</v>
      </c>
      <c r="AQ1341" t="str">
        <f>_xlfn.TEXTAFTER(emissions[[#This Row],[Reporting Unit]]," &gt; ",LEN(emissions[[#This Row],[Reporting Unit]])-LEN(SUBSTITUTE(emissions[[#This Row],[Reporting Unit]],"&gt;","")))</f>
        <v>Vantage_Gurnee</v>
      </c>
      <c r="AR1341" t="str">
        <f>_xlfn.XLOOKUP(emissions[[#This Row],[Reporting unit name]],hierarchy!$A:$A,hierarchy!$C:$C)</f>
        <v>Office</v>
      </c>
    </row>
    <row r="1342" spans="1:44" hidden="1" x14ac:dyDescent="0.25">
      <c r="A1342">
        <v>4952</v>
      </c>
      <c r="B1342" t="s">
        <v>328</v>
      </c>
      <c r="C1342" t="s">
        <v>501</v>
      </c>
      <c r="D1342" t="s">
        <v>599</v>
      </c>
      <c r="E1342" s="3">
        <v>44197</v>
      </c>
      <c r="F1342" s="3">
        <v>44561</v>
      </c>
      <c r="G1342" t="s">
        <v>108</v>
      </c>
      <c r="H1342" s="3">
        <v>44197</v>
      </c>
      <c r="I1342" s="3">
        <v>44561</v>
      </c>
      <c r="J1342" t="s">
        <v>108</v>
      </c>
      <c r="K1342">
        <v>15039084</v>
      </c>
      <c r="L1342" t="s">
        <v>109</v>
      </c>
      <c r="M1342" t="s">
        <v>110</v>
      </c>
      <c r="O1342" t="s">
        <v>600</v>
      </c>
      <c r="P1342" t="s">
        <v>550</v>
      </c>
      <c r="Q1342">
        <v>2021</v>
      </c>
      <c r="R1342" t="s">
        <v>551</v>
      </c>
      <c r="S1342" t="s">
        <v>552</v>
      </c>
      <c r="T1342" t="s">
        <v>553</v>
      </c>
      <c r="U1342" t="b">
        <v>0</v>
      </c>
      <c r="V1342" t="s">
        <v>916</v>
      </c>
      <c r="W1342" t="s">
        <v>555</v>
      </c>
      <c r="X1342" t="s">
        <v>556</v>
      </c>
      <c r="Y1342" t="s">
        <v>472</v>
      </c>
      <c r="Z1342" t="s">
        <v>485</v>
      </c>
      <c r="AA1342" t="s">
        <v>764</v>
      </c>
      <c r="AB1342" t="s">
        <v>917</v>
      </c>
      <c r="AC1342">
        <v>0</v>
      </c>
      <c r="AD1342" t="s">
        <v>558</v>
      </c>
      <c r="AE1342">
        <v>28821.31811</v>
      </c>
      <c r="AF1342">
        <v>1.916428E-3</v>
      </c>
      <c r="AG1342" t="s">
        <v>560</v>
      </c>
      <c r="AH1342">
        <v>1</v>
      </c>
      <c r="AI1342">
        <v>15039084</v>
      </c>
      <c r="AJ1342" t="s">
        <v>561</v>
      </c>
      <c r="AK1342" t="s">
        <v>766</v>
      </c>
      <c r="AL1342" t="s">
        <v>790</v>
      </c>
      <c r="AM1342">
        <v>2021</v>
      </c>
      <c r="AN1342">
        <v>2019</v>
      </c>
      <c r="AO1342">
        <f>IF(AND(emissions[[#This Row],[Market-based]]=0,emissions[[#This Row],[Impact Type]]="CO2E"),emissions[[#This Row],[kgCO2e]],0)/1000</f>
        <v>0</v>
      </c>
      <c r="AP1342">
        <f>IF(AND(emissions[[#This Row],[Market-based]]=1,OR(emissions[[#This Row],[Impact Type]]="CO2E",emissions[[#This Row],[Impact Type]]="CO2E MKT")),emissions[[#This Row],[kgCO2e]],0)/1000</f>
        <v>0</v>
      </c>
      <c r="AQ1342" t="str">
        <f>_xlfn.TEXTAFTER(emissions[[#This Row],[Reporting Unit]]," &gt; ",LEN(emissions[[#This Row],[Reporting Unit]])-LEN(SUBSTITUTE(emissions[[#This Row],[Reporting Unit]],"&gt;","")))</f>
        <v>Vantage_Gurnee</v>
      </c>
      <c r="AR1342" t="str">
        <f>_xlfn.XLOOKUP(emissions[[#This Row],[Reporting unit name]],hierarchy!$A:$A,hierarchy!$C:$C)</f>
        <v>Office</v>
      </c>
    </row>
    <row r="1343" spans="1:44" hidden="1" x14ac:dyDescent="0.25">
      <c r="A1343">
        <v>4952</v>
      </c>
      <c r="B1343" t="s">
        <v>328</v>
      </c>
      <c r="C1343" t="s">
        <v>501</v>
      </c>
      <c r="D1343" t="s">
        <v>599</v>
      </c>
      <c r="E1343" s="3">
        <v>44197</v>
      </c>
      <c r="F1343" s="3">
        <v>44561</v>
      </c>
      <c r="G1343" t="s">
        <v>108</v>
      </c>
      <c r="H1343" s="3">
        <v>44197</v>
      </c>
      <c r="I1343" s="3">
        <v>44561</v>
      </c>
      <c r="J1343" t="s">
        <v>108</v>
      </c>
      <c r="K1343">
        <v>15039084</v>
      </c>
      <c r="L1343" t="s">
        <v>109</v>
      </c>
      <c r="M1343" t="s">
        <v>110</v>
      </c>
      <c r="O1343" t="s">
        <v>600</v>
      </c>
      <c r="P1343" t="s">
        <v>550</v>
      </c>
      <c r="Q1343">
        <v>2021</v>
      </c>
      <c r="R1343" t="s">
        <v>551</v>
      </c>
      <c r="S1343" t="s">
        <v>552</v>
      </c>
      <c r="T1343" t="s">
        <v>553</v>
      </c>
      <c r="U1343" t="b">
        <v>0</v>
      </c>
      <c r="V1343" t="s">
        <v>916</v>
      </c>
      <c r="W1343" t="s">
        <v>555</v>
      </c>
      <c r="X1343" t="s">
        <v>556</v>
      </c>
      <c r="Y1343" t="s">
        <v>472</v>
      </c>
      <c r="Z1343" t="s">
        <v>485</v>
      </c>
      <c r="AA1343" t="s">
        <v>764</v>
      </c>
      <c r="AB1343" t="s">
        <v>917</v>
      </c>
      <c r="AC1343">
        <v>0</v>
      </c>
      <c r="AD1343" t="s">
        <v>564</v>
      </c>
      <c r="AE1343">
        <v>10808103.439999999</v>
      </c>
      <c r="AF1343">
        <v>0.71866766900000001</v>
      </c>
      <c r="AG1343" t="s">
        <v>560</v>
      </c>
      <c r="AH1343">
        <v>1</v>
      </c>
      <c r="AI1343">
        <v>15039084</v>
      </c>
      <c r="AJ1343" t="s">
        <v>561</v>
      </c>
      <c r="AK1343" t="s">
        <v>766</v>
      </c>
      <c r="AL1343" t="s">
        <v>790</v>
      </c>
      <c r="AM1343">
        <v>2021</v>
      </c>
      <c r="AN1343">
        <v>2019</v>
      </c>
      <c r="AO1343">
        <f>IF(AND(emissions[[#This Row],[Market-based]]=0,emissions[[#This Row],[Impact Type]]="CO2E"),emissions[[#This Row],[kgCO2e]],0)/1000</f>
        <v>0</v>
      </c>
      <c r="AP1343">
        <f>IF(AND(emissions[[#This Row],[Market-based]]=1,OR(emissions[[#This Row],[Impact Type]]="CO2E",emissions[[#This Row],[Impact Type]]="CO2E MKT")),emissions[[#This Row],[kgCO2e]],0)/1000</f>
        <v>0</v>
      </c>
      <c r="AQ1343" t="str">
        <f>_xlfn.TEXTAFTER(emissions[[#This Row],[Reporting Unit]]," &gt; ",LEN(emissions[[#This Row],[Reporting Unit]])-LEN(SUBSTITUTE(emissions[[#This Row],[Reporting Unit]],"&gt;","")))</f>
        <v>Vantage_Gurnee</v>
      </c>
      <c r="AR1343" t="str">
        <f>_xlfn.XLOOKUP(emissions[[#This Row],[Reporting unit name]],hierarchy!$A:$A,hierarchy!$C:$C)</f>
        <v>Office</v>
      </c>
    </row>
    <row r="1344" spans="1:44" hidden="1" x14ac:dyDescent="0.25">
      <c r="A1344">
        <v>4952</v>
      </c>
      <c r="B1344" t="s">
        <v>328</v>
      </c>
      <c r="C1344" t="s">
        <v>501</v>
      </c>
      <c r="D1344" t="s">
        <v>599</v>
      </c>
      <c r="E1344" s="3">
        <v>44197</v>
      </c>
      <c r="F1344" s="3">
        <v>44561</v>
      </c>
      <c r="G1344" t="s">
        <v>108</v>
      </c>
      <c r="H1344" s="3">
        <v>44197</v>
      </c>
      <c r="I1344" s="3">
        <v>44561</v>
      </c>
      <c r="J1344" t="s">
        <v>108</v>
      </c>
      <c r="K1344">
        <v>15039084</v>
      </c>
      <c r="L1344" t="s">
        <v>109</v>
      </c>
      <c r="M1344" t="s">
        <v>110</v>
      </c>
      <c r="O1344" t="s">
        <v>600</v>
      </c>
      <c r="P1344" t="s">
        <v>550</v>
      </c>
      <c r="Q1344">
        <v>2021</v>
      </c>
      <c r="R1344" t="s">
        <v>551</v>
      </c>
      <c r="S1344" t="s">
        <v>552</v>
      </c>
      <c r="T1344" t="s">
        <v>553</v>
      </c>
      <c r="U1344" t="b">
        <v>0</v>
      </c>
      <c r="V1344" t="s">
        <v>916</v>
      </c>
      <c r="W1344" t="s">
        <v>555</v>
      </c>
      <c r="X1344" t="s">
        <v>556</v>
      </c>
      <c r="Y1344" t="s">
        <v>472</v>
      </c>
      <c r="Z1344" t="s">
        <v>485</v>
      </c>
      <c r="AA1344" t="s">
        <v>764</v>
      </c>
      <c r="AB1344" t="s">
        <v>917</v>
      </c>
      <c r="AC1344">
        <v>0</v>
      </c>
      <c r="AD1344" t="s">
        <v>565</v>
      </c>
      <c r="AE1344">
        <v>10887745.779999999</v>
      </c>
      <c r="AF1344">
        <v>0.72396335999999994</v>
      </c>
      <c r="AG1344" t="s">
        <v>560</v>
      </c>
      <c r="AH1344">
        <v>1</v>
      </c>
      <c r="AI1344">
        <v>15039084</v>
      </c>
      <c r="AJ1344" t="s">
        <v>561</v>
      </c>
      <c r="AK1344" t="s">
        <v>766</v>
      </c>
      <c r="AL1344" t="s">
        <v>790</v>
      </c>
      <c r="AM1344">
        <v>2021</v>
      </c>
      <c r="AN1344">
        <v>2019</v>
      </c>
      <c r="AO1344">
        <f>IF(AND(emissions[[#This Row],[Market-based]]=0,emissions[[#This Row],[Impact Type]]="CO2E"),emissions[[#This Row],[kgCO2e]],0)/1000</f>
        <v>10887.745779999999</v>
      </c>
      <c r="AP1344">
        <f>IF(AND(emissions[[#This Row],[Market-based]]=1,OR(emissions[[#This Row],[Impact Type]]="CO2E",emissions[[#This Row],[Impact Type]]="CO2E MKT")),emissions[[#This Row],[kgCO2e]],0)/1000</f>
        <v>0</v>
      </c>
      <c r="AQ1344" t="str">
        <f>_xlfn.TEXTAFTER(emissions[[#This Row],[Reporting Unit]]," &gt; ",LEN(emissions[[#This Row],[Reporting Unit]])-LEN(SUBSTITUTE(emissions[[#This Row],[Reporting Unit]],"&gt;","")))</f>
        <v>Vantage_Gurnee</v>
      </c>
      <c r="AR1344" t="str">
        <f>_xlfn.XLOOKUP(emissions[[#This Row],[Reporting unit name]],hierarchy!$A:$A,hierarchy!$C:$C)</f>
        <v>Office</v>
      </c>
    </row>
    <row r="1345" spans="1:44" hidden="1" x14ac:dyDescent="0.25">
      <c r="A1345">
        <v>4952</v>
      </c>
      <c r="B1345" t="s">
        <v>328</v>
      </c>
      <c r="C1345" t="s">
        <v>501</v>
      </c>
      <c r="D1345" t="s">
        <v>599</v>
      </c>
      <c r="E1345" s="3">
        <v>44197</v>
      </c>
      <c r="F1345" s="3">
        <v>44561</v>
      </c>
      <c r="G1345" t="s">
        <v>108</v>
      </c>
      <c r="H1345" s="3">
        <v>44197</v>
      </c>
      <c r="I1345" s="3">
        <v>44561</v>
      </c>
      <c r="J1345" t="s">
        <v>108</v>
      </c>
      <c r="K1345">
        <v>15039084</v>
      </c>
      <c r="L1345" t="s">
        <v>109</v>
      </c>
      <c r="M1345" t="s">
        <v>110</v>
      </c>
      <c r="O1345" t="s">
        <v>600</v>
      </c>
      <c r="P1345" t="s">
        <v>550</v>
      </c>
      <c r="Q1345">
        <v>2021</v>
      </c>
      <c r="R1345" t="s">
        <v>551</v>
      </c>
      <c r="S1345" t="s">
        <v>552</v>
      </c>
      <c r="T1345" t="s">
        <v>553</v>
      </c>
      <c r="U1345" t="b">
        <v>0</v>
      </c>
      <c r="V1345" t="s">
        <v>916</v>
      </c>
      <c r="W1345" t="s">
        <v>555</v>
      </c>
      <c r="X1345" t="s">
        <v>556</v>
      </c>
      <c r="Y1345" t="s">
        <v>472</v>
      </c>
      <c r="Z1345" t="s">
        <v>485</v>
      </c>
      <c r="AA1345" t="s">
        <v>764</v>
      </c>
      <c r="AB1345" t="s">
        <v>917</v>
      </c>
      <c r="AC1345">
        <v>0</v>
      </c>
      <c r="AD1345" t="s">
        <v>566</v>
      </c>
      <c r="AE1345">
        <v>50821.022470000004</v>
      </c>
      <c r="AF1345">
        <v>3.379263E-3</v>
      </c>
      <c r="AG1345" t="s">
        <v>560</v>
      </c>
      <c r="AH1345">
        <v>1</v>
      </c>
      <c r="AI1345">
        <v>15039084</v>
      </c>
      <c r="AJ1345" t="s">
        <v>561</v>
      </c>
      <c r="AK1345" t="s">
        <v>766</v>
      </c>
      <c r="AL1345" t="s">
        <v>790</v>
      </c>
      <c r="AM1345">
        <v>2021</v>
      </c>
      <c r="AN1345">
        <v>2019</v>
      </c>
      <c r="AO1345">
        <f>IF(AND(emissions[[#This Row],[Market-based]]=0,emissions[[#This Row],[Impact Type]]="CO2E"),emissions[[#This Row],[kgCO2e]],0)/1000</f>
        <v>0</v>
      </c>
      <c r="AP1345">
        <f>IF(AND(emissions[[#This Row],[Market-based]]=1,OR(emissions[[#This Row],[Impact Type]]="CO2E",emissions[[#This Row],[Impact Type]]="CO2E MKT")),emissions[[#This Row],[kgCO2e]],0)/1000</f>
        <v>0</v>
      </c>
      <c r="AQ1345" t="str">
        <f>_xlfn.TEXTAFTER(emissions[[#This Row],[Reporting Unit]]," &gt; ",LEN(emissions[[#This Row],[Reporting Unit]])-LEN(SUBSTITUTE(emissions[[#This Row],[Reporting Unit]],"&gt;","")))</f>
        <v>Vantage_Gurnee</v>
      </c>
      <c r="AR1345" t="str">
        <f>_xlfn.XLOOKUP(emissions[[#This Row],[Reporting unit name]],hierarchy!$A:$A,hierarchy!$C:$C)</f>
        <v>Office</v>
      </c>
    </row>
    <row r="1346" spans="1:44" hidden="1" x14ac:dyDescent="0.25">
      <c r="A1346">
        <v>4952</v>
      </c>
      <c r="B1346" t="s">
        <v>328</v>
      </c>
      <c r="C1346" t="s">
        <v>501</v>
      </c>
      <c r="D1346" t="s">
        <v>599</v>
      </c>
      <c r="E1346" s="3">
        <v>44197</v>
      </c>
      <c r="F1346" s="3">
        <v>44561</v>
      </c>
      <c r="G1346" t="s">
        <v>108</v>
      </c>
      <c r="H1346" s="3">
        <v>44197</v>
      </c>
      <c r="I1346" s="3">
        <v>44561</v>
      </c>
      <c r="J1346" t="s">
        <v>108</v>
      </c>
      <c r="K1346">
        <v>15039084</v>
      </c>
      <c r="L1346" t="s">
        <v>109</v>
      </c>
      <c r="M1346" t="s">
        <v>110</v>
      </c>
      <c r="O1346" t="s">
        <v>600</v>
      </c>
      <c r="P1346" t="s">
        <v>550</v>
      </c>
      <c r="Q1346">
        <v>2021</v>
      </c>
      <c r="R1346" t="s">
        <v>551</v>
      </c>
      <c r="S1346" t="s">
        <v>552</v>
      </c>
      <c r="T1346" t="s">
        <v>553</v>
      </c>
      <c r="U1346" t="b">
        <v>1</v>
      </c>
      <c r="V1346" t="s">
        <v>916</v>
      </c>
      <c r="W1346" t="s">
        <v>555</v>
      </c>
      <c r="X1346" t="s">
        <v>556</v>
      </c>
      <c r="AC1346">
        <v>1</v>
      </c>
      <c r="AD1346" t="s">
        <v>639</v>
      </c>
      <c r="AE1346">
        <v>5752705.0800000001</v>
      </c>
      <c r="AF1346">
        <v>0.382516986</v>
      </c>
      <c r="AG1346" t="s">
        <v>768</v>
      </c>
      <c r="AH1346">
        <v>1</v>
      </c>
      <c r="AI1346">
        <v>15039084</v>
      </c>
      <c r="AL1346" t="s">
        <v>769</v>
      </c>
      <c r="AM1346">
        <v>2021</v>
      </c>
      <c r="AO1346">
        <f>IF(AND(emissions[[#This Row],[Market-based]]=0,emissions[[#This Row],[Impact Type]]="CO2E"),emissions[[#This Row],[kgCO2e]],0)/1000</f>
        <v>0</v>
      </c>
      <c r="AP1346">
        <f>IF(AND(emissions[[#This Row],[Market-based]]=1,OR(emissions[[#This Row],[Impact Type]]="CO2E",emissions[[#This Row],[Impact Type]]="CO2E MKT")),emissions[[#This Row],[kgCO2e]],0)/1000</f>
        <v>5752.7050799999997</v>
      </c>
      <c r="AQ1346" t="str">
        <f>_xlfn.TEXTAFTER(emissions[[#This Row],[Reporting Unit]]," &gt; ",LEN(emissions[[#This Row],[Reporting Unit]])-LEN(SUBSTITUTE(emissions[[#This Row],[Reporting Unit]],"&gt;","")))</f>
        <v>Vantage_Gurnee</v>
      </c>
      <c r="AR1346" t="str">
        <f>_xlfn.XLOOKUP(emissions[[#This Row],[Reporting unit name]],hierarchy!$A:$A,hierarchy!$C:$C)</f>
        <v>Office</v>
      </c>
    </row>
    <row r="1347" spans="1:44" hidden="1" x14ac:dyDescent="0.25">
      <c r="A1347">
        <v>4952</v>
      </c>
      <c r="B1347" t="s">
        <v>328</v>
      </c>
      <c r="C1347" t="s">
        <v>501</v>
      </c>
      <c r="D1347" t="s">
        <v>599</v>
      </c>
      <c r="E1347" s="3">
        <v>44197</v>
      </c>
      <c r="F1347" s="3">
        <v>44561</v>
      </c>
      <c r="G1347" t="s">
        <v>108</v>
      </c>
      <c r="H1347" s="3">
        <v>44197</v>
      </c>
      <c r="I1347" s="3">
        <v>44561</v>
      </c>
      <c r="J1347" t="s">
        <v>108</v>
      </c>
      <c r="K1347">
        <v>15039084</v>
      </c>
      <c r="L1347" t="s">
        <v>109</v>
      </c>
      <c r="M1347" t="s">
        <v>110</v>
      </c>
      <c r="O1347" t="s">
        <v>600</v>
      </c>
      <c r="P1347" t="s">
        <v>550</v>
      </c>
      <c r="Q1347">
        <v>2021</v>
      </c>
      <c r="R1347" t="s">
        <v>567</v>
      </c>
      <c r="S1347" t="s">
        <v>568</v>
      </c>
      <c r="T1347" t="s">
        <v>569</v>
      </c>
      <c r="U1347" t="b">
        <v>0</v>
      </c>
      <c r="V1347" t="s">
        <v>919</v>
      </c>
      <c r="W1347" t="s">
        <v>571</v>
      </c>
      <c r="X1347" t="s">
        <v>572</v>
      </c>
      <c r="Y1347" t="s">
        <v>472</v>
      </c>
      <c r="Z1347" t="s">
        <v>485</v>
      </c>
      <c r="AA1347" t="s">
        <v>764</v>
      </c>
      <c r="AB1347" t="s">
        <v>917</v>
      </c>
      <c r="AC1347">
        <v>0</v>
      </c>
      <c r="AD1347" t="s">
        <v>558</v>
      </c>
      <c r="AE1347">
        <v>388.30135439999998</v>
      </c>
      <c r="AF1347" s="13">
        <v>2.5819499999999999E-5</v>
      </c>
      <c r="AG1347" t="s">
        <v>560</v>
      </c>
      <c r="AH1347">
        <v>1</v>
      </c>
      <c r="AI1347">
        <v>15039084</v>
      </c>
      <c r="AJ1347" t="s">
        <v>561</v>
      </c>
      <c r="AK1347" t="s">
        <v>573</v>
      </c>
      <c r="AL1347" t="s">
        <v>932</v>
      </c>
      <c r="AM1347">
        <v>2021</v>
      </c>
      <c r="AN1347">
        <v>2019</v>
      </c>
      <c r="AO1347">
        <f>IF(AND(emissions[[#This Row],[Market-based]]=0,emissions[[#This Row],[Impact Type]]="CO2E"),emissions[[#This Row],[kgCO2e]],0)/1000</f>
        <v>0</v>
      </c>
      <c r="AP1347">
        <f>IF(AND(emissions[[#This Row],[Market-based]]=1,OR(emissions[[#This Row],[Impact Type]]="CO2E",emissions[[#This Row],[Impact Type]]="CO2E MKT")),emissions[[#This Row],[kgCO2e]],0)/1000</f>
        <v>0</v>
      </c>
      <c r="AQ1347" t="str">
        <f>_xlfn.TEXTAFTER(emissions[[#This Row],[Reporting Unit]]," &gt; ",LEN(emissions[[#This Row],[Reporting Unit]])-LEN(SUBSTITUTE(emissions[[#This Row],[Reporting Unit]],"&gt;","")))</f>
        <v>Vantage_Gurnee</v>
      </c>
      <c r="AR1347" t="str">
        <f>_xlfn.XLOOKUP(emissions[[#This Row],[Reporting unit name]],hierarchy!$A:$A,hierarchy!$C:$C)</f>
        <v>Office</v>
      </c>
    </row>
    <row r="1348" spans="1:44" hidden="1" x14ac:dyDescent="0.25">
      <c r="A1348">
        <v>4952</v>
      </c>
      <c r="B1348" t="s">
        <v>328</v>
      </c>
      <c r="C1348" t="s">
        <v>501</v>
      </c>
      <c r="D1348" t="s">
        <v>599</v>
      </c>
      <c r="E1348" s="3">
        <v>44197</v>
      </c>
      <c r="F1348" s="3">
        <v>44561</v>
      </c>
      <c r="G1348" t="s">
        <v>108</v>
      </c>
      <c r="H1348" s="3">
        <v>44197</v>
      </c>
      <c r="I1348" s="3">
        <v>44561</v>
      </c>
      <c r="J1348" t="s">
        <v>108</v>
      </c>
      <c r="K1348">
        <v>15039084</v>
      </c>
      <c r="L1348" t="s">
        <v>109</v>
      </c>
      <c r="M1348" t="s">
        <v>110</v>
      </c>
      <c r="O1348" t="s">
        <v>600</v>
      </c>
      <c r="P1348" t="s">
        <v>550</v>
      </c>
      <c r="Q1348">
        <v>2021</v>
      </c>
      <c r="R1348" t="s">
        <v>567</v>
      </c>
      <c r="S1348" t="s">
        <v>568</v>
      </c>
      <c r="T1348" t="s">
        <v>569</v>
      </c>
      <c r="U1348" t="b">
        <v>0</v>
      </c>
      <c r="V1348" t="s">
        <v>919</v>
      </c>
      <c r="W1348" t="s">
        <v>571</v>
      </c>
      <c r="X1348" t="s">
        <v>572</v>
      </c>
      <c r="Y1348" t="s">
        <v>472</v>
      </c>
      <c r="Z1348" t="s">
        <v>485</v>
      </c>
      <c r="AA1348" t="s">
        <v>764</v>
      </c>
      <c r="AB1348" t="s">
        <v>917</v>
      </c>
      <c r="AC1348">
        <v>0</v>
      </c>
      <c r="AD1348" t="s">
        <v>564</v>
      </c>
      <c r="AE1348">
        <v>145614.47839999999</v>
      </c>
      <c r="AF1348">
        <v>9.6824029999999991E-3</v>
      </c>
      <c r="AG1348" t="s">
        <v>560</v>
      </c>
      <c r="AH1348">
        <v>1</v>
      </c>
      <c r="AI1348">
        <v>15039084</v>
      </c>
      <c r="AJ1348" t="s">
        <v>561</v>
      </c>
      <c r="AK1348" t="s">
        <v>573</v>
      </c>
      <c r="AL1348" t="s">
        <v>932</v>
      </c>
      <c r="AM1348">
        <v>2021</v>
      </c>
      <c r="AN1348">
        <v>2019</v>
      </c>
      <c r="AO1348">
        <f>IF(AND(emissions[[#This Row],[Market-based]]=0,emissions[[#This Row],[Impact Type]]="CO2E"),emissions[[#This Row],[kgCO2e]],0)/1000</f>
        <v>0</v>
      </c>
      <c r="AP1348">
        <f>IF(AND(emissions[[#This Row],[Market-based]]=1,OR(emissions[[#This Row],[Impact Type]]="CO2E",emissions[[#This Row],[Impact Type]]="CO2E MKT")),emissions[[#This Row],[kgCO2e]],0)/1000</f>
        <v>0</v>
      </c>
      <c r="AQ1348" t="str">
        <f>_xlfn.TEXTAFTER(emissions[[#This Row],[Reporting Unit]]," &gt; ",LEN(emissions[[#This Row],[Reporting Unit]])-LEN(SUBSTITUTE(emissions[[#This Row],[Reporting Unit]],"&gt;","")))</f>
        <v>Vantage_Gurnee</v>
      </c>
      <c r="AR1348" t="str">
        <f>_xlfn.XLOOKUP(emissions[[#This Row],[Reporting unit name]],hierarchy!$A:$A,hierarchy!$C:$C)</f>
        <v>Office</v>
      </c>
    </row>
    <row r="1349" spans="1:44" hidden="1" x14ac:dyDescent="0.25">
      <c r="A1349">
        <v>4952</v>
      </c>
      <c r="B1349" t="s">
        <v>328</v>
      </c>
      <c r="C1349" t="s">
        <v>501</v>
      </c>
      <c r="D1349" t="s">
        <v>599</v>
      </c>
      <c r="E1349" s="3">
        <v>44197</v>
      </c>
      <c r="F1349" s="3">
        <v>44561</v>
      </c>
      <c r="G1349" t="s">
        <v>108</v>
      </c>
      <c r="H1349" s="3">
        <v>44197</v>
      </c>
      <c r="I1349" s="3">
        <v>44561</v>
      </c>
      <c r="J1349" t="s">
        <v>108</v>
      </c>
      <c r="K1349">
        <v>15039084</v>
      </c>
      <c r="L1349" t="s">
        <v>109</v>
      </c>
      <c r="M1349" t="s">
        <v>110</v>
      </c>
      <c r="O1349" t="s">
        <v>600</v>
      </c>
      <c r="P1349" t="s">
        <v>550</v>
      </c>
      <c r="Q1349">
        <v>2021</v>
      </c>
      <c r="R1349" t="s">
        <v>567</v>
      </c>
      <c r="S1349" t="s">
        <v>568</v>
      </c>
      <c r="T1349" t="s">
        <v>569</v>
      </c>
      <c r="U1349" t="b">
        <v>0</v>
      </c>
      <c r="V1349" t="s">
        <v>919</v>
      </c>
      <c r="W1349" t="s">
        <v>571</v>
      </c>
      <c r="X1349" t="s">
        <v>572</v>
      </c>
      <c r="Y1349" t="s">
        <v>472</v>
      </c>
      <c r="Z1349" t="s">
        <v>485</v>
      </c>
      <c r="AA1349" t="s">
        <v>764</v>
      </c>
      <c r="AB1349" t="s">
        <v>917</v>
      </c>
      <c r="AC1349">
        <v>0</v>
      </c>
      <c r="AD1349" t="s">
        <v>565</v>
      </c>
      <c r="AE1349">
        <v>146687.4768</v>
      </c>
      <c r="AF1349">
        <v>9.7537509999999997E-3</v>
      </c>
      <c r="AG1349" t="s">
        <v>560</v>
      </c>
      <c r="AH1349">
        <v>1</v>
      </c>
      <c r="AI1349">
        <v>15039084</v>
      </c>
      <c r="AJ1349" t="s">
        <v>561</v>
      </c>
      <c r="AK1349" t="s">
        <v>573</v>
      </c>
      <c r="AL1349" t="s">
        <v>932</v>
      </c>
      <c r="AM1349">
        <v>2021</v>
      </c>
      <c r="AN1349">
        <v>2019</v>
      </c>
      <c r="AO1349">
        <f>IF(AND(emissions[[#This Row],[Market-based]]=0,emissions[[#This Row],[Impact Type]]="CO2E"),emissions[[#This Row],[kgCO2e]],0)/1000</f>
        <v>146.68747680000001</v>
      </c>
      <c r="AP1349">
        <f>IF(AND(emissions[[#This Row],[Market-based]]=1,OR(emissions[[#This Row],[Impact Type]]="CO2E",emissions[[#This Row],[Impact Type]]="CO2E MKT")),emissions[[#This Row],[kgCO2e]],0)/1000</f>
        <v>0</v>
      </c>
      <c r="AQ1349" t="str">
        <f>_xlfn.TEXTAFTER(emissions[[#This Row],[Reporting Unit]]," &gt; ",LEN(emissions[[#This Row],[Reporting Unit]])-LEN(SUBSTITUTE(emissions[[#This Row],[Reporting Unit]],"&gt;","")))</f>
        <v>Vantage_Gurnee</v>
      </c>
      <c r="AR1349" t="str">
        <f>_xlfn.XLOOKUP(emissions[[#This Row],[Reporting unit name]],hierarchy!$A:$A,hierarchy!$C:$C)</f>
        <v>Office</v>
      </c>
    </row>
    <row r="1350" spans="1:44" hidden="1" x14ac:dyDescent="0.25">
      <c r="A1350">
        <v>4952</v>
      </c>
      <c r="B1350" t="s">
        <v>328</v>
      </c>
      <c r="C1350" t="s">
        <v>501</v>
      </c>
      <c r="D1350" t="s">
        <v>599</v>
      </c>
      <c r="E1350" s="3">
        <v>44197</v>
      </c>
      <c r="F1350" s="3">
        <v>44561</v>
      </c>
      <c r="G1350" t="s">
        <v>108</v>
      </c>
      <c r="H1350" s="3">
        <v>44197</v>
      </c>
      <c r="I1350" s="3">
        <v>44561</v>
      </c>
      <c r="J1350" t="s">
        <v>108</v>
      </c>
      <c r="K1350">
        <v>15039084</v>
      </c>
      <c r="L1350" t="s">
        <v>109</v>
      </c>
      <c r="M1350" t="s">
        <v>110</v>
      </c>
      <c r="O1350" t="s">
        <v>600</v>
      </c>
      <c r="P1350" t="s">
        <v>550</v>
      </c>
      <c r="Q1350">
        <v>2021</v>
      </c>
      <c r="R1350" t="s">
        <v>567</v>
      </c>
      <c r="S1350" t="s">
        <v>568</v>
      </c>
      <c r="T1350" t="s">
        <v>569</v>
      </c>
      <c r="U1350" t="b">
        <v>0</v>
      </c>
      <c r="V1350" t="s">
        <v>919</v>
      </c>
      <c r="W1350" t="s">
        <v>571</v>
      </c>
      <c r="X1350" t="s">
        <v>572</v>
      </c>
      <c r="Y1350" t="s">
        <v>472</v>
      </c>
      <c r="Z1350" t="s">
        <v>485</v>
      </c>
      <c r="AA1350" t="s">
        <v>764</v>
      </c>
      <c r="AB1350" t="s">
        <v>917</v>
      </c>
      <c r="AC1350">
        <v>0</v>
      </c>
      <c r="AD1350" t="s">
        <v>566</v>
      </c>
      <c r="AE1350">
        <v>684.69706269999995</v>
      </c>
      <c r="AF1350" s="13">
        <v>4.5527800000000001E-5</v>
      </c>
      <c r="AG1350" t="s">
        <v>560</v>
      </c>
      <c r="AH1350">
        <v>1</v>
      </c>
      <c r="AI1350">
        <v>15039084</v>
      </c>
      <c r="AJ1350" t="s">
        <v>561</v>
      </c>
      <c r="AK1350" t="s">
        <v>573</v>
      </c>
      <c r="AL1350" t="s">
        <v>932</v>
      </c>
      <c r="AM1350">
        <v>2021</v>
      </c>
      <c r="AN1350">
        <v>2019</v>
      </c>
      <c r="AO1350">
        <f>IF(AND(emissions[[#This Row],[Market-based]]=0,emissions[[#This Row],[Impact Type]]="CO2E"),emissions[[#This Row],[kgCO2e]],0)/1000</f>
        <v>0</v>
      </c>
      <c r="AP1350">
        <f>IF(AND(emissions[[#This Row],[Market-based]]=1,OR(emissions[[#This Row],[Impact Type]]="CO2E",emissions[[#This Row],[Impact Type]]="CO2E MKT")),emissions[[#This Row],[kgCO2e]],0)/1000</f>
        <v>0</v>
      </c>
      <c r="AQ1350" t="str">
        <f>_xlfn.TEXTAFTER(emissions[[#This Row],[Reporting Unit]]," &gt; ",LEN(emissions[[#This Row],[Reporting Unit]])-LEN(SUBSTITUTE(emissions[[#This Row],[Reporting Unit]],"&gt;","")))</f>
        <v>Vantage_Gurnee</v>
      </c>
      <c r="AR1350" t="str">
        <f>_xlfn.XLOOKUP(emissions[[#This Row],[Reporting unit name]],hierarchy!$A:$A,hierarchy!$C:$C)</f>
        <v>Office</v>
      </c>
    </row>
    <row r="1351" spans="1:44" hidden="1" x14ac:dyDescent="0.25">
      <c r="A1351">
        <v>4952</v>
      </c>
      <c r="B1351" t="s">
        <v>328</v>
      </c>
      <c r="C1351" t="s">
        <v>501</v>
      </c>
      <c r="D1351" t="s">
        <v>599</v>
      </c>
      <c r="E1351" s="3">
        <v>44197</v>
      </c>
      <c r="F1351" s="3">
        <v>44561</v>
      </c>
      <c r="G1351" t="s">
        <v>108</v>
      </c>
      <c r="H1351" s="3">
        <v>44197</v>
      </c>
      <c r="I1351" s="3">
        <v>44561</v>
      </c>
      <c r="J1351" t="s">
        <v>108</v>
      </c>
      <c r="K1351">
        <v>15039084</v>
      </c>
      <c r="L1351" t="s">
        <v>109</v>
      </c>
      <c r="M1351" t="s">
        <v>110</v>
      </c>
      <c r="O1351" t="s">
        <v>600</v>
      </c>
      <c r="P1351" t="s">
        <v>550</v>
      </c>
      <c r="Q1351">
        <v>2021</v>
      </c>
      <c r="R1351" t="s">
        <v>567</v>
      </c>
      <c r="S1351" t="s">
        <v>568</v>
      </c>
      <c r="T1351" t="s">
        <v>569</v>
      </c>
      <c r="U1351" t="b">
        <v>0</v>
      </c>
      <c r="V1351" t="s">
        <v>919</v>
      </c>
      <c r="W1351" t="s">
        <v>571</v>
      </c>
      <c r="X1351" t="s">
        <v>572</v>
      </c>
      <c r="Y1351" t="s">
        <v>472</v>
      </c>
      <c r="Z1351" t="s">
        <v>485</v>
      </c>
      <c r="AA1351" t="s">
        <v>764</v>
      </c>
      <c r="AB1351" t="s">
        <v>917</v>
      </c>
      <c r="AC1351">
        <v>1</v>
      </c>
      <c r="AD1351" t="s">
        <v>639</v>
      </c>
      <c r="AE1351">
        <v>146338.603</v>
      </c>
      <c r="AF1351">
        <v>9.7305529999999994E-3</v>
      </c>
      <c r="AG1351" t="s">
        <v>560</v>
      </c>
      <c r="AH1351">
        <v>1</v>
      </c>
      <c r="AI1351">
        <v>15039084</v>
      </c>
      <c r="AJ1351" t="s">
        <v>561</v>
      </c>
      <c r="AK1351" t="s">
        <v>573</v>
      </c>
      <c r="AL1351" t="s">
        <v>772</v>
      </c>
      <c r="AM1351">
        <v>2021</v>
      </c>
      <c r="AN1351">
        <v>2019</v>
      </c>
      <c r="AO1351">
        <f>IF(AND(emissions[[#This Row],[Market-based]]=0,emissions[[#This Row],[Impact Type]]="CO2E"),emissions[[#This Row],[kgCO2e]],0)/1000</f>
        <v>0</v>
      </c>
      <c r="AP1351">
        <f>IF(AND(emissions[[#This Row],[Market-based]]=1,OR(emissions[[#This Row],[Impact Type]]="CO2E",emissions[[#This Row],[Impact Type]]="CO2E MKT")),emissions[[#This Row],[kgCO2e]],0)/1000</f>
        <v>146.33860300000001</v>
      </c>
      <c r="AQ1351" t="str">
        <f>_xlfn.TEXTAFTER(emissions[[#This Row],[Reporting Unit]]," &gt; ",LEN(emissions[[#This Row],[Reporting Unit]])-LEN(SUBSTITUTE(emissions[[#This Row],[Reporting Unit]],"&gt;","")))</f>
        <v>Vantage_Gurnee</v>
      </c>
      <c r="AR1351" t="str">
        <f>_xlfn.XLOOKUP(emissions[[#This Row],[Reporting unit name]],hierarchy!$A:$A,hierarchy!$C:$C)</f>
        <v>Office</v>
      </c>
    </row>
    <row r="1352" spans="1:44" hidden="1" x14ac:dyDescent="0.25">
      <c r="A1352">
        <v>4952</v>
      </c>
      <c r="B1352" t="s">
        <v>328</v>
      </c>
      <c r="C1352" t="s">
        <v>501</v>
      </c>
      <c r="D1352" t="s">
        <v>599</v>
      </c>
      <c r="E1352" s="3">
        <v>44197</v>
      </c>
      <c r="F1352" s="3">
        <v>44561</v>
      </c>
      <c r="G1352" t="s">
        <v>108</v>
      </c>
      <c r="H1352" s="3">
        <v>44197</v>
      </c>
      <c r="I1352" s="3">
        <v>44561</v>
      </c>
      <c r="J1352" t="s">
        <v>108</v>
      </c>
      <c r="K1352">
        <v>15039084</v>
      </c>
      <c r="L1352" t="s">
        <v>109</v>
      </c>
      <c r="M1352" t="s">
        <v>110</v>
      </c>
      <c r="O1352" t="s">
        <v>600</v>
      </c>
      <c r="P1352" t="s">
        <v>550</v>
      </c>
      <c r="Q1352">
        <v>2021</v>
      </c>
      <c r="R1352" t="s">
        <v>575</v>
      </c>
      <c r="S1352" t="s">
        <v>576</v>
      </c>
      <c r="T1352" t="s">
        <v>577</v>
      </c>
      <c r="U1352" t="b">
        <v>0</v>
      </c>
      <c r="V1352" t="s">
        <v>921</v>
      </c>
      <c r="W1352" t="s">
        <v>571</v>
      </c>
      <c r="X1352" t="s">
        <v>572</v>
      </c>
      <c r="Y1352" t="s">
        <v>472</v>
      </c>
      <c r="Z1352" t="s">
        <v>485</v>
      </c>
      <c r="AA1352" t="s">
        <v>764</v>
      </c>
      <c r="AB1352" t="s">
        <v>917</v>
      </c>
      <c r="AC1352">
        <v>0</v>
      </c>
      <c r="AD1352" t="s">
        <v>558</v>
      </c>
      <c r="AE1352">
        <v>7613.7520469999999</v>
      </c>
      <c r="AF1352">
        <v>5.0626399999999998E-4</v>
      </c>
      <c r="AG1352" t="s">
        <v>560</v>
      </c>
      <c r="AH1352">
        <v>1</v>
      </c>
      <c r="AI1352">
        <v>15039084</v>
      </c>
      <c r="AJ1352" t="s">
        <v>561</v>
      </c>
      <c r="AK1352" t="s">
        <v>573</v>
      </c>
      <c r="AL1352" t="s">
        <v>933</v>
      </c>
      <c r="AM1352">
        <v>2021</v>
      </c>
      <c r="AN1352">
        <v>2019</v>
      </c>
      <c r="AO1352">
        <f>IF(AND(emissions[[#This Row],[Market-based]]=0,emissions[[#This Row],[Impact Type]]="CO2E"),emissions[[#This Row],[kgCO2e]],0)/1000</f>
        <v>0</v>
      </c>
      <c r="AP1352">
        <f>IF(AND(emissions[[#This Row],[Market-based]]=1,OR(emissions[[#This Row],[Impact Type]]="CO2E",emissions[[#This Row],[Impact Type]]="CO2E MKT")),emissions[[#This Row],[kgCO2e]],0)/1000</f>
        <v>0</v>
      </c>
      <c r="AQ1352" t="str">
        <f>_xlfn.TEXTAFTER(emissions[[#This Row],[Reporting Unit]]," &gt; ",LEN(emissions[[#This Row],[Reporting Unit]])-LEN(SUBSTITUTE(emissions[[#This Row],[Reporting Unit]],"&gt;","")))</f>
        <v>Vantage_Gurnee</v>
      </c>
      <c r="AR1352" t="str">
        <f>_xlfn.XLOOKUP(emissions[[#This Row],[Reporting unit name]],hierarchy!$A:$A,hierarchy!$C:$C)</f>
        <v>Office</v>
      </c>
    </row>
    <row r="1353" spans="1:44" hidden="1" x14ac:dyDescent="0.25">
      <c r="A1353">
        <v>4952</v>
      </c>
      <c r="B1353" t="s">
        <v>328</v>
      </c>
      <c r="C1353" t="s">
        <v>501</v>
      </c>
      <c r="D1353" t="s">
        <v>599</v>
      </c>
      <c r="E1353" s="3">
        <v>44197</v>
      </c>
      <c r="F1353" s="3">
        <v>44561</v>
      </c>
      <c r="G1353" t="s">
        <v>108</v>
      </c>
      <c r="H1353" s="3">
        <v>44197</v>
      </c>
      <c r="I1353" s="3">
        <v>44561</v>
      </c>
      <c r="J1353" t="s">
        <v>108</v>
      </c>
      <c r="K1353">
        <v>15039084</v>
      </c>
      <c r="L1353" t="s">
        <v>109</v>
      </c>
      <c r="M1353" t="s">
        <v>110</v>
      </c>
      <c r="O1353" t="s">
        <v>600</v>
      </c>
      <c r="P1353" t="s">
        <v>550</v>
      </c>
      <c r="Q1353">
        <v>2021</v>
      </c>
      <c r="R1353" t="s">
        <v>575</v>
      </c>
      <c r="S1353" t="s">
        <v>576</v>
      </c>
      <c r="T1353" t="s">
        <v>577</v>
      </c>
      <c r="U1353" t="b">
        <v>0</v>
      </c>
      <c r="V1353" t="s">
        <v>921</v>
      </c>
      <c r="W1353" t="s">
        <v>571</v>
      </c>
      <c r="X1353" t="s">
        <v>572</v>
      </c>
      <c r="Y1353" t="s">
        <v>472</v>
      </c>
      <c r="Z1353" t="s">
        <v>485</v>
      </c>
      <c r="AA1353" t="s">
        <v>764</v>
      </c>
      <c r="AB1353" t="s">
        <v>917</v>
      </c>
      <c r="AC1353">
        <v>0</v>
      </c>
      <c r="AD1353" t="s">
        <v>564</v>
      </c>
      <c r="AE1353">
        <v>2855185.8509999998</v>
      </c>
      <c r="AF1353">
        <v>0.189851047</v>
      </c>
      <c r="AG1353" t="s">
        <v>560</v>
      </c>
      <c r="AH1353">
        <v>1</v>
      </c>
      <c r="AI1353">
        <v>15039084</v>
      </c>
      <c r="AJ1353" t="s">
        <v>561</v>
      </c>
      <c r="AK1353" t="s">
        <v>573</v>
      </c>
      <c r="AL1353" t="s">
        <v>933</v>
      </c>
      <c r="AM1353">
        <v>2021</v>
      </c>
      <c r="AN1353">
        <v>2019</v>
      </c>
      <c r="AO1353">
        <f>IF(AND(emissions[[#This Row],[Market-based]]=0,emissions[[#This Row],[Impact Type]]="CO2E"),emissions[[#This Row],[kgCO2e]],0)/1000</f>
        <v>0</v>
      </c>
      <c r="AP1353">
        <f>IF(AND(emissions[[#This Row],[Market-based]]=1,OR(emissions[[#This Row],[Impact Type]]="CO2E",emissions[[#This Row],[Impact Type]]="CO2E MKT")),emissions[[#This Row],[kgCO2e]],0)/1000</f>
        <v>0</v>
      </c>
      <c r="AQ1353" t="str">
        <f>_xlfn.TEXTAFTER(emissions[[#This Row],[Reporting Unit]]," &gt; ",LEN(emissions[[#This Row],[Reporting Unit]])-LEN(SUBSTITUTE(emissions[[#This Row],[Reporting Unit]],"&gt;","")))</f>
        <v>Vantage_Gurnee</v>
      </c>
      <c r="AR1353" t="str">
        <f>_xlfn.XLOOKUP(emissions[[#This Row],[Reporting unit name]],hierarchy!$A:$A,hierarchy!$C:$C)</f>
        <v>Office</v>
      </c>
    </row>
    <row r="1354" spans="1:44" hidden="1" x14ac:dyDescent="0.25">
      <c r="A1354">
        <v>4952</v>
      </c>
      <c r="B1354" t="s">
        <v>328</v>
      </c>
      <c r="C1354" t="s">
        <v>501</v>
      </c>
      <c r="D1354" t="s">
        <v>599</v>
      </c>
      <c r="E1354" s="3">
        <v>44197</v>
      </c>
      <c r="F1354" s="3">
        <v>44561</v>
      </c>
      <c r="G1354" t="s">
        <v>108</v>
      </c>
      <c r="H1354" s="3">
        <v>44197</v>
      </c>
      <c r="I1354" s="3">
        <v>44561</v>
      </c>
      <c r="J1354" t="s">
        <v>108</v>
      </c>
      <c r="K1354">
        <v>15039084</v>
      </c>
      <c r="L1354" t="s">
        <v>109</v>
      </c>
      <c r="M1354" t="s">
        <v>110</v>
      </c>
      <c r="O1354" t="s">
        <v>600</v>
      </c>
      <c r="P1354" t="s">
        <v>550</v>
      </c>
      <c r="Q1354">
        <v>2021</v>
      </c>
      <c r="R1354" t="s">
        <v>575</v>
      </c>
      <c r="S1354" t="s">
        <v>576</v>
      </c>
      <c r="T1354" t="s">
        <v>577</v>
      </c>
      <c r="U1354" t="b">
        <v>0</v>
      </c>
      <c r="V1354" t="s">
        <v>921</v>
      </c>
      <c r="W1354" t="s">
        <v>571</v>
      </c>
      <c r="X1354" t="s">
        <v>572</v>
      </c>
      <c r="Y1354" t="s">
        <v>472</v>
      </c>
      <c r="Z1354" t="s">
        <v>485</v>
      </c>
      <c r="AA1354" t="s">
        <v>764</v>
      </c>
      <c r="AB1354" t="s">
        <v>917</v>
      </c>
      <c r="AC1354">
        <v>0</v>
      </c>
      <c r="AD1354" t="s">
        <v>565</v>
      </c>
      <c r="AE1354">
        <v>2876225.0350000001</v>
      </c>
      <c r="AF1354">
        <v>0.191250015</v>
      </c>
      <c r="AG1354" t="s">
        <v>560</v>
      </c>
      <c r="AH1354">
        <v>1</v>
      </c>
      <c r="AI1354">
        <v>15039084</v>
      </c>
      <c r="AJ1354" t="s">
        <v>561</v>
      </c>
      <c r="AK1354" t="s">
        <v>573</v>
      </c>
      <c r="AL1354" t="s">
        <v>933</v>
      </c>
      <c r="AM1354">
        <v>2021</v>
      </c>
      <c r="AN1354">
        <v>2019</v>
      </c>
      <c r="AO1354">
        <f>IF(AND(emissions[[#This Row],[Market-based]]=0,emissions[[#This Row],[Impact Type]]="CO2E"),emissions[[#This Row],[kgCO2e]],0)/1000</f>
        <v>2876.2250349999999</v>
      </c>
      <c r="AP1354">
        <f>IF(AND(emissions[[#This Row],[Market-based]]=1,OR(emissions[[#This Row],[Impact Type]]="CO2E",emissions[[#This Row],[Impact Type]]="CO2E MKT")),emissions[[#This Row],[kgCO2e]],0)/1000</f>
        <v>0</v>
      </c>
      <c r="AQ1354" t="str">
        <f>_xlfn.TEXTAFTER(emissions[[#This Row],[Reporting Unit]]," &gt; ",LEN(emissions[[#This Row],[Reporting Unit]])-LEN(SUBSTITUTE(emissions[[#This Row],[Reporting Unit]],"&gt;","")))</f>
        <v>Vantage_Gurnee</v>
      </c>
      <c r="AR1354" t="str">
        <f>_xlfn.XLOOKUP(emissions[[#This Row],[Reporting unit name]],hierarchy!$A:$A,hierarchy!$C:$C)</f>
        <v>Office</v>
      </c>
    </row>
    <row r="1355" spans="1:44" hidden="1" x14ac:dyDescent="0.25">
      <c r="A1355">
        <v>4952</v>
      </c>
      <c r="B1355" t="s">
        <v>328</v>
      </c>
      <c r="C1355" t="s">
        <v>501</v>
      </c>
      <c r="D1355" t="s">
        <v>599</v>
      </c>
      <c r="E1355" s="3">
        <v>44197</v>
      </c>
      <c r="F1355" s="3">
        <v>44561</v>
      </c>
      <c r="G1355" t="s">
        <v>108</v>
      </c>
      <c r="H1355" s="3">
        <v>44197</v>
      </c>
      <c r="I1355" s="3">
        <v>44561</v>
      </c>
      <c r="J1355" t="s">
        <v>108</v>
      </c>
      <c r="K1355">
        <v>15039084</v>
      </c>
      <c r="L1355" t="s">
        <v>109</v>
      </c>
      <c r="M1355" t="s">
        <v>110</v>
      </c>
      <c r="O1355" t="s">
        <v>600</v>
      </c>
      <c r="P1355" t="s">
        <v>550</v>
      </c>
      <c r="Q1355">
        <v>2021</v>
      </c>
      <c r="R1355" t="s">
        <v>575</v>
      </c>
      <c r="S1355" t="s">
        <v>576</v>
      </c>
      <c r="T1355" t="s">
        <v>577</v>
      </c>
      <c r="U1355" t="b">
        <v>0</v>
      </c>
      <c r="V1355" t="s">
        <v>921</v>
      </c>
      <c r="W1355" t="s">
        <v>571</v>
      </c>
      <c r="X1355" t="s">
        <v>572</v>
      </c>
      <c r="Y1355" t="s">
        <v>472</v>
      </c>
      <c r="Z1355" t="s">
        <v>485</v>
      </c>
      <c r="AA1355" t="s">
        <v>764</v>
      </c>
      <c r="AB1355" t="s">
        <v>917</v>
      </c>
      <c r="AC1355">
        <v>0</v>
      </c>
      <c r="AD1355" t="s">
        <v>566</v>
      </c>
      <c r="AE1355">
        <v>13425.4326</v>
      </c>
      <c r="AF1355">
        <v>8.9270300000000001E-4</v>
      </c>
      <c r="AG1355" t="s">
        <v>560</v>
      </c>
      <c r="AH1355">
        <v>1</v>
      </c>
      <c r="AI1355">
        <v>15039084</v>
      </c>
      <c r="AJ1355" t="s">
        <v>561</v>
      </c>
      <c r="AK1355" t="s">
        <v>573</v>
      </c>
      <c r="AL1355" t="s">
        <v>933</v>
      </c>
      <c r="AM1355">
        <v>2021</v>
      </c>
      <c r="AN1355">
        <v>2019</v>
      </c>
      <c r="AO1355">
        <f>IF(AND(emissions[[#This Row],[Market-based]]=0,emissions[[#This Row],[Impact Type]]="CO2E"),emissions[[#This Row],[kgCO2e]],0)/1000</f>
        <v>0</v>
      </c>
      <c r="AP1355">
        <f>IF(AND(emissions[[#This Row],[Market-based]]=1,OR(emissions[[#This Row],[Impact Type]]="CO2E",emissions[[#This Row],[Impact Type]]="CO2E MKT")),emissions[[#This Row],[kgCO2e]],0)/1000</f>
        <v>0</v>
      </c>
      <c r="AQ1355" t="str">
        <f>_xlfn.TEXTAFTER(emissions[[#This Row],[Reporting Unit]]," &gt; ",LEN(emissions[[#This Row],[Reporting Unit]])-LEN(SUBSTITUTE(emissions[[#This Row],[Reporting Unit]],"&gt;","")))</f>
        <v>Vantage_Gurnee</v>
      </c>
      <c r="AR1355" t="str">
        <f>_xlfn.XLOOKUP(emissions[[#This Row],[Reporting unit name]],hierarchy!$A:$A,hierarchy!$C:$C)</f>
        <v>Office</v>
      </c>
    </row>
    <row r="1356" spans="1:44" hidden="1" x14ac:dyDescent="0.25">
      <c r="A1356">
        <v>4952</v>
      </c>
      <c r="B1356" t="s">
        <v>328</v>
      </c>
      <c r="C1356" t="s">
        <v>501</v>
      </c>
      <c r="D1356" t="s">
        <v>599</v>
      </c>
      <c r="E1356" s="3">
        <v>44197</v>
      </c>
      <c r="F1356" s="3">
        <v>44561</v>
      </c>
      <c r="G1356" t="s">
        <v>108</v>
      </c>
      <c r="H1356" s="3">
        <v>44197</v>
      </c>
      <c r="I1356" s="3">
        <v>44561</v>
      </c>
      <c r="J1356" t="s">
        <v>108</v>
      </c>
      <c r="K1356">
        <v>15039084</v>
      </c>
      <c r="L1356" t="s">
        <v>109</v>
      </c>
      <c r="M1356" t="s">
        <v>110</v>
      </c>
      <c r="O1356" t="s">
        <v>600</v>
      </c>
      <c r="P1356" t="s">
        <v>550</v>
      </c>
      <c r="Q1356">
        <v>2021</v>
      </c>
      <c r="R1356" t="s">
        <v>575</v>
      </c>
      <c r="S1356" t="s">
        <v>576</v>
      </c>
      <c r="T1356" t="s">
        <v>577</v>
      </c>
      <c r="U1356" t="b">
        <v>0</v>
      </c>
      <c r="V1356" t="s">
        <v>921</v>
      </c>
      <c r="W1356" t="s">
        <v>571</v>
      </c>
      <c r="X1356" t="s">
        <v>572</v>
      </c>
      <c r="Y1356" t="s">
        <v>472</v>
      </c>
      <c r="Z1356" t="s">
        <v>485</v>
      </c>
      <c r="AA1356" t="s">
        <v>764</v>
      </c>
      <c r="AB1356" t="s">
        <v>917</v>
      </c>
      <c r="AC1356">
        <v>1</v>
      </c>
      <c r="AD1356" t="s">
        <v>639</v>
      </c>
      <c r="AE1356">
        <v>2869384.372</v>
      </c>
      <c r="AF1356">
        <v>0.19079515599999999</v>
      </c>
      <c r="AG1356" t="s">
        <v>560</v>
      </c>
      <c r="AH1356">
        <v>1</v>
      </c>
      <c r="AI1356">
        <v>15039084</v>
      </c>
      <c r="AJ1356" t="s">
        <v>561</v>
      </c>
      <c r="AK1356" t="s">
        <v>573</v>
      </c>
      <c r="AL1356" t="s">
        <v>922</v>
      </c>
      <c r="AM1356">
        <v>2021</v>
      </c>
      <c r="AN1356">
        <v>2019</v>
      </c>
      <c r="AO1356">
        <f>IF(AND(emissions[[#This Row],[Market-based]]=0,emissions[[#This Row],[Impact Type]]="CO2E"),emissions[[#This Row],[kgCO2e]],0)/1000</f>
        <v>0</v>
      </c>
      <c r="AP1356">
        <f>IF(AND(emissions[[#This Row],[Market-based]]=1,OR(emissions[[#This Row],[Impact Type]]="CO2E",emissions[[#This Row],[Impact Type]]="CO2E MKT")),emissions[[#This Row],[kgCO2e]],0)/1000</f>
        <v>2869.384372</v>
      </c>
      <c r="AQ1356" t="str">
        <f>_xlfn.TEXTAFTER(emissions[[#This Row],[Reporting Unit]]," &gt; ",LEN(emissions[[#This Row],[Reporting Unit]])-LEN(SUBSTITUTE(emissions[[#This Row],[Reporting Unit]],"&gt;","")))</f>
        <v>Vantage_Gurnee</v>
      </c>
      <c r="AR1356" t="str">
        <f>_xlfn.XLOOKUP(emissions[[#This Row],[Reporting unit name]],hierarchy!$A:$A,hierarchy!$C:$C)</f>
        <v>Office</v>
      </c>
    </row>
    <row r="1357" spans="1:44" hidden="1" x14ac:dyDescent="0.25">
      <c r="A1357">
        <v>4952</v>
      </c>
      <c r="B1357" t="s">
        <v>328</v>
      </c>
      <c r="C1357" t="s">
        <v>501</v>
      </c>
      <c r="D1357" t="s">
        <v>599</v>
      </c>
      <c r="E1357" s="3">
        <v>44197</v>
      </c>
      <c r="F1357" s="3">
        <v>44561</v>
      </c>
      <c r="G1357" t="s">
        <v>108</v>
      </c>
      <c r="H1357" s="3">
        <v>44197</v>
      </c>
      <c r="I1357" s="3">
        <v>44561</v>
      </c>
      <c r="J1357" t="s">
        <v>108</v>
      </c>
      <c r="K1357">
        <v>15039084</v>
      </c>
      <c r="L1357" t="s">
        <v>109</v>
      </c>
      <c r="M1357" t="s">
        <v>110</v>
      </c>
      <c r="O1357" t="s">
        <v>600</v>
      </c>
      <c r="P1357" t="s">
        <v>550</v>
      </c>
      <c r="Q1357">
        <v>2021</v>
      </c>
      <c r="R1357" t="s">
        <v>579</v>
      </c>
      <c r="S1357" t="s">
        <v>580</v>
      </c>
      <c r="T1357" t="s">
        <v>581</v>
      </c>
      <c r="U1357" t="b">
        <v>0</v>
      </c>
      <c r="V1357" t="s">
        <v>923</v>
      </c>
      <c r="W1357" t="s">
        <v>571</v>
      </c>
      <c r="X1357" t="s">
        <v>572</v>
      </c>
      <c r="Y1357" t="s">
        <v>472</v>
      </c>
      <c r="Z1357" t="s">
        <v>485</v>
      </c>
      <c r="AA1357" t="s">
        <v>764</v>
      </c>
      <c r="AB1357" t="s">
        <v>917</v>
      </c>
      <c r="AC1357">
        <v>0</v>
      </c>
      <c r="AD1357" t="s">
        <v>565</v>
      </c>
      <c r="AE1357">
        <v>555275.03469999996</v>
      </c>
      <c r="AF1357">
        <v>3.6922130999999997E-2</v>
      </c>
      <c r="AG1357" t="s">
        <v>560</v>
      </c>
      <c r="AH1357">
        <v>1</v>
      </c>
      <c r="AI1357">
        <v>15039084</v>
      </c>
      <c r="AJ1357" t="s">
        <v>561</v>
      </c>
      <c r="AK1357" t="s">
        <v>766</v>
      </c>
      <c r="AL1357" t="s">
        <v>790</v>
      </c>
      <c r="AM1357">
        <v>2021</v>
      </c>
      <c r="AN1357">
        <v>2019</v>
      </c>
      <c r="AO1357">
        <f>IF(AND(emissions[[#This Row],[Market-based]]=0,emissions[[#This Row],[Impact Type]]="CO2E"),emissions[[#This Row],[kgCO2e]],0)/1000</f>
        <v>555.27503469999999</v>
      </c>
      <c r="AP1357">
        <f>IF(AND(emissions[[#This Row],[Market-based]]=1,OR(emissions[[#This Row],[Impact Type]]="CO2E",emissions[[#This Row],[Impact Type]]="CO2E MKT")),emissions[[#This Row],[kgCO2e]],0)/1000</f>
        <v>0</v>
      </c>
      <c r="AQ1357" t="str">
        <f>_xlfn.TEXTAFTER(emissions[[#This Row],[Reporting Unit]]," &gt; ",LEN(emissions[[#This Row],[Reporting Unit]])-LEN(SUBSTITUTE(emissions[[#This Row],[Reporting Unit]],"&gt;","")))</f>
        <v>Vantage_Gurnee</v>
      </c>
      <c r="AR1357" t="str">
        <f>_xlfn.XLOOKUP(emissions[[#This Row],[Reporting unit name]],hierarchy!$A:$A,hierarchy!$C:$C)</f>
        <v>Office</v>
      </c>
    </row>
    <row r="1358" spans="1:44" hidden="1" x14ac:dyDescent="0.25">
      <c r="A1358">
        <v>4952</v>
      </c>
      <c r="B1358" t="s">
        <v>328</v>
      </c>
      <c r="C1358" t="s">
        <v>501</v>
      </c>
      <c r="D1358" t="s">
        <v>599</v>
      </c>
      <c r="E1358" s="3">
        <v>44197</v>
      </c>
      <c r="F1358" s="3">
        <v>44561</v>
      </c>
      <c r="G1358" t="s">
        <v>108</v>
      </c>
      <c r="H1358" s="3">
        <v>44197</v>
      </c>
      <c r="I1358" s="3">
        <v>44561</v>
      </c>
      <c r="J1358" t="s">
        <v>108</v>
      </c>
      <c r="K1358">
        <v>15039084</v>
      </c>
      <c r="L1358" t="s">
        <v>109</v>
      </c>
      <c r="M1358" t="s">
        <v>110</v>
      </c>
      <c r="O1358" t="s">
        <v>600</v>
      </c>
      <c r="P1358" t="s">
        <v>550</v>
      </c>
      <c r="Q1358">
        <v>2021</v>
      </c>
      <c r="R1358" t="s">
        <v>579</v>
      </c>
      <c r="S1358" t="s">
        <v>580</v>
      </c>
      <c r="T1358" t="s">
        <v>581</v>
      </c>
      <c r="U1358" t="b">
        <v>0</v>
      </c>
      <c r="V1358" t="s">
        <v>924</v>
      </c>
      <c r="W1358" t="s">
        <v>571</v>
      </c>
      <c r="X1358" t="s">
        <v>572</v>
      </c>
      <c r="Y1358" t="s">
        <v>472</v>
      </c>
      <c r="Z1358" t="s">
        <v>485</v>
      </c>
      <c r="AA1358" t="s">
        <v>764</v>
      </c>
      <c r="AB1358" t="s">
        <v>917</v>
      </c>
      <c r="AC1358">
        <v>1</v>
      </c>
      <c r="AD1358" t="s">
        <v>639</v>
      </c>
      <c r="AE1358">
        <v>553954.39760000003</v>
      </c>
      <c r="AF1358">
        <v>3.6834317999999998E-2</v>
      </c>
      <c r="AG1358" t="s">
        <v>560</v>
      </c>
      <c r="AH1358">
        <v>1</v>
      </c>
      <c r="AI1358">
        <v>15039084</v>
      </c>
      <c r="AJ1358" t="s">
        <v>561</v>
      </c>
      <c r="AK1358" t="s">
        <v>573</v>
      </c>
      <c r="AL1358" t="s">
        <v>925</v>
      </c>
      <c r="AM1358">
        <v>2021</v>
      </c>
      <c r="AN1358">
        <v>2019</v>
      </c>
      <c r="AO1358">
        <f>IF(AND(emissions[[#This Row],[Market-based]]=0,emissions[[#This Row],[Impact Type]]="CO2E"),emissions[[#This Row],[kgCO2e]],0)/1000</f>
        <v>0</v>
      </c>
      <c r="AP1358">
        <f>IF(AND(emissions[[#This Row],[Market-based]]=1,OR(emissions[[#This Row],[Impact Type]]="CO2E",emissions[[#This Row],[Impact Type]]="CO2E MKT")),emissions[[#This Row],[kgCO2e]],0)/1000</f>
        <v>553.95439759999999</v>
      </c>
      <c r="AQ1358" t="str">
        <f>_xlfn.TEXTAFTER(emissions[[#This Row],[Reporting Unit]]," &gt; ",LEN(emissions[[#This Row],[Reporting Unit]])-LEN(SUBSTITUTE(emissions[[#This Row],[Reporting Unit]],"&gt;","")))</f>
        <v>Vantage_Gurnee</v>
      </c>
      <c r="AR1358" t="str">
        <f>_xlfn.XLOOKUP(emissions[[#This Row],[Reporting unit name]],hierarchy!$A:$A,hierarchy!$C:$C)</f>
        <v>Office</v>
      </c>
    </row>
    <row r="1359" spans="1:44" hidden="1" x14ac:dyDescent="0.25">
      <c r="A1359">
        <v>4979</v>
      </c>
      <c r="B1359" t="s">
        <v>328</v>
      </c>
      <c r="C1359" t="s">
        <v>501</v>
      </c>
      <c r="D1359" t="s">
        <v>599</v>
      </c>
      <c r="E1359" s="3">
        <v>44197</v>
      </c>
      <c r="F1359" s="3">
        <v>44561</v>
      </c>
      <c r="G1359" t="s">
        <v>135</v>
      </c>
      <c r="H1359" s="3">
        <v>44197</v>
      </c>
      <c r="I1359" s="3">
        <v>44561</v>
      </c>
      <c r="J1359" t="s">
        <v>135</v>
      </c>
      <c r="K1359">
        <v>2279211</v>
      </c>
      <c r="L1359" t="s">
        <v>136</v>
      </c>
      <c r="M1359" t="s">
        <v>110</v>
      </c>
      <c r="O1359" t="s">
        <v>600</v>
      </c>
      <c r="P1359" t="s">
        <v>550</v>
      </c>
      <c r="Q1359">
        <v>2021</v>
      </c>
      <c r="R1359" t="s">
        <v>605</v>
      </c>
      <c r="S1359" t="s">
        <v>606</v>
      </c>
      <c r="T1359" t="s">
        <v>553</v>
      </c>
      <c r="U1359" t="b">
        <v>0</v>
      </c>
      <c r="V1359" t="s">
        <v>781</v>
      </c>
      <c r="W1359" t="s">
        <v>587</v>
      </c>
      <c r="X1359" t="s">
        <v>556</v>
      </c>
      <c r="Y1359" t="s">
        <v>472</v>
      </c>
      <c r="Z1359" t="s">
        <v>485</v>
      </c>
      <c r="AA1359" t="s">
        <v>764</v>
      </c>
      <c r="AC1359">
        <v>0</v>
      </c>
      <c r="AD1359" t="s">
        <v>558</v>
      </c>
      <c r="AE1359">
        <v>5698.0275000000001</v>
      </c>
      <c r="AF1359">
        <v>2.5000000000000001E-2</v>
      </c>
      <c r="AG1359" t="s">
        <v>798</v>
      </c>
      <c r="AH1359">
        <v>0.1</v>
      </c>
      <c r="AI1359">
        <v>227921.1</v>
      </c>
      <c r="AJ1359" t="s">
        <v>561</v>
      </c>
      <c r="AK1359" t="s">
        <v>766</v>
      </c>
      <c r="AL1359" t="s">
        <v>790</v>
      </c>
      <c r="AM1359">
        <v>2021</v>
      </c>
      <c r="AN1359">
        <v>2021</v>
      </c>
      <c r="AO1359">
        <f>IF(AND(emissions[[#This Row],[Market-based]]=0,emissions[[#This Row],[Impact Type]]="CO2E"),emissions[[#This Row],[kgCO2e]],0)/1000</f>
        <v>0</v>
      </c>
      <c r="AP1359">
        <f>IF(AND(emissions[[#This Row],[Market-based]]=1,OR(emissions[[#This Row],[Impact Type]]="CO2E",emissions[[#This Row],[Impact Type]]="CO2E MKT")),emissions[[#This Row],[kgCO2e]],0)/1000</f>
        <v>0</v>
      </c>
      <c r="AQ1359" t="str">
        <f>_xlfn.TEXTAFTER(emissions[[#This Row],[Reporting Unit]]," &gt; ",LEN(emissions[[#This Row],[Reporting Unit]])-LEN(SUBSTITUTE(emissions[[#This Row],[Reporting Unit]],"&gt;","")))</f>
        <v>Vantage_Gurnee</v>
      </c>
      <c r="AR1359" t="str">
        <f>_xlfn.XLOOKUP(emissions[[#This Row],[Reporting unit name]],hierarchy!$A:$A,hierarchy!$C:$C)</f>
        <v>Office</v>
      </c>
    </row>
    <row r="1360" spans="1:44" hidden="1" x14ac:dyDescent="0.25">
      <c r="A1360">
        <v>4979</v>
      </c>
      <c r="B1360" t="s">
        <v>328</v>
      </c>
      <c r="C1360" t="s">
        <v>501</v>
      </c>
      <c r="D1360" t="s">
        <v>599</v>
      </c>
      <c r="E1360" s="3">
        <v>44197</v>
      </c>
      <c r="F1360" s="3">
        <v>44561</v>
      </c>
      <c r="G1360" t="s">
        <v>135</v>
      </c>
      <c r="H1360" s="3">
        <v>44197</v>
      </c>
      <c r="I1360" s="3">
        <v>44561</v>
      </c>
      <c r="J1360" t="s">
        <v>135</v>
      </c>
      <c r="K1360">
        <v>2279211</v>
      </c>
      <c r="L1360" t="s">
        <v>136</v>
      </c>
      <c r="M1360" t="s">
        <v>110</v>
      </c>
      <c r="O1360" t="s">
        <v>600</v>
      </c>
      <c r="P1360" t="s">
        <v>550</v>
      </c>
      <c r="Q1360">
        <v>2021</v>
      </c>
      <c r="R1360" t="s">
        <v>605</v>
      </c>
      <c r="S1360" t="s">
        <v>606</v>
      </c>
      <c r="T1360" t="s">
        <v>553</v>
      </c>
      <c r="U1360" t="b">
        <v>0</v>
      </c>
      <c r="V1360" t="s">
        <v>781</v>
      </c>
      <c r="W1360" t="s">
        <v>587</v>
      </c>
      <c r="X1360" t="s">
        <v>556</v>
      </c>
      <c r="Y1360" t="s">
        <v>472</v>
      </c>
      <c r="Z1360" t="s">
        <v>485</v>
      </c>
      <c r="AA1360" t="s">
        <v>764</v>
      </c>
      <c r="AC1360">
        <v>0</v>
      </c>
      <c r="AD1360" t="s">
        <v>564</v>
      </c>
      <c r="AE1360">
        <v>12093493.57</v>
      </c>
      <c r="AF1360">
        <v>53.06</v>
      </c>
      <c r="AG1360" t="s">
        <v>798</v>
      </c>
      <c r="AH1360">
        <v>0.1</v>
      </c>
      <c r="AI1360">
        <v>227921.1</v>
      </c>
      <c r="AJ1360" t="s">
        <v>561</v>
      </c>
      <c r="AK1360" t="s">
        <v>766</v>
      </c>
      <c r="AL1360" t="s">
        <v>787</v>
      </c>
      <c r="AM1360">
        <v>2021</v>
      </c>
      <c r="AN1360">
        <v>2020</v>
      </c>
      <c r="AO1360">
        <f>IF(AND(emissions[[#This Row],[Market-based]]=0,emissions[[#This Row],[Impact Type]]="CO2E"),emissions[[#This Row],[kgCO2e]],0)/1000</f>
        <v>0</v>
      </c>
      <c r="AP1360">
        <f>IF(AND(emissions[[#This Row],[Market-based]]=1,OR(emissions[[#This Row],[Impact Type]]="CO2E",emissions[[#This Row],[Impact Type]]="CO2E MKT")),emissions[[#This Row],[kgCO2e]],0)/1000</f>
        <v>0</v>
      </c>
      <c r="AQ1360" t="str">
        <f>_xlfn.TEXTAFTER(emissions[[#This Row],[Reporting Unit]]," &gt; ",LEN(emissions[[#This Row],[Reporting Unit]])-LEN(SUBSTITUTE(emissions[[#This Row],[Reporting Unit]],"&gt;","")))</f>
        <v>Vantage_Gurnee</v>
      </c>
      <c r="AR1360" t="str">
        <f>_xlfn.XLOOKUP(emissions[[#This Row],[Reporting unit name]],hierarchy!$A:$A,hierarchy!$C:$C)</f>
        <v>Office</v>
      </c>
    </row>
    <row r="1361" spans="1:44" hidden="1" x14ac:dyDescent="0.25">
      <c r="A1361">
        <v>4979</v>
      </c>
      <c r="B1361" t="s">
        <v>328</v>
      </c>
      <c r="C1361" t="s">
        <v>501</v>
      </c>
      <c r="D1361" t="s">
        <v>599</v>
      </c>
      <c r="E1361" s="3">
        <v>44197</v>
      </c>
      <c r="F1361" s="3">
        <v>44561</v>
      </c>
      <c r="G1361" t="s">
        <v>135</v>
      </c>
      <c r="H1361" s="3">
        <v>44197</v>
      </c>
      <c r="I1361" s="3">
        <v>44561</v>
      </c>
      <c r="J1361" t="s">
        <v>135</v>
      </c>
      <c r="K1361">
        <v>2279211</v>
      </c>
      <c r="L1361" t="s">
        <v>136</v>
      </c>
      <c r="M1361" t="s">
        <v>110</v>
      </c>
      <c r="O1361" t="s">
        <v>600</v>
      </c>
      <c r="P1361" t="s">
        <v>550</v>
      </c>
      <c r="Q1361">
        <v>2021</v>
      </c>
      <c r="R1361" t="s">
        <v>605</v>
      </c>
      <c r="S1361" t="s">
        <v>606</v>
      </c>
      <c r="T1361" t="s">
        <v>553</v>
      </c>
      <c r="U1361" t="b">
        <v>0</v>
      </c>
      <c r="V1361" t="s">
        <v>781</v>
      </c>
      <c r="W1361" t="s">
        <v>587</v>
      </c>
      <c r="X1361" t="s">
        <v>556</v>
      </c>
      <c r="Y1361" t="s">
        <v>472</v>
      </c>
      <c r="Z1361" t="s">
        <v>485</v>
      </c>
      <c r="AA1361" t="s">
        <v>764</v>
      </c>
      <c r="AC1361">
        <v>0</v>
      </c>
      <c r="AD1361" t="s">
        <v>565</v>
      </c>
      <c r="AE1361">
        <v>12105983.640000001</v>
      </c>
      <c r="AF1361">
        <v>53.114800000000002</v>
      </c>
      <c r="AG1361" t="s">
        <v>798</v>
      </c>
      <c r="AH1361">
        <v>0.1</v>
      </c>
      <c r="AI1361">
        <v>227921.1</v>
      </c>
      <c r="AJ1361" t="s">
        <v>561</v>
      </c>
      <c r="AK1361" t="s">
        <v>766</v>
      </c>
      <c r="AL1361" t="s">
        <v>790</v>
      </c>
      <c r="AM1361">
        <v>2021</v>
      </c>
      <c r="AN1361">
        <v>2021</v>
      </c>
      <c r="AO1361">
        <f>IF(AND(emissions[[#This Row],[Market-based]]=0,emissions[[#This Row],[Impact Type]]="CO2E"),emissions[[#This Row],[kgCO2e]],0)/1000</f>
        <v>12105.98364</v>
      </c>
      <c r="AP1361">
        <f>IF(AND(emissions[[#This Row],[Market-based]]=1,OR(emissions[[#This Row],[Impact Type]]="CO2E",emissions[[#This Row],[Impact Type]]="CO2E MKT")),emissions[[#This Row],[kgCO2e]],0)/1000</f>
        <v>0</v>
      </c>
      <c r="AQ1361" t="str">
        <f>_xlfn.TEXTAFTER(emissions[[#This Row],[Reporting Unit]]," &gt; ",LEN(emissions[[#This Row],[Reporting Unit]])-LEN(SUBSTITUTE(emissions[[#This Row],[Reporting Unit]],"&gt;","")))</f>
        <v>Vantage_Gurnee</v>
      </c>
      <c r="AR1361" t="str">
        <f>_xlfn.XLOOKUP(emissions[[#This Row],[Reporting unit name]],hierarchy!$A:$A,hierarchy!$C:$C)</f>
        <v>Office</v>
      </c>
    </row>
    <row r="1362" spans="1:44" hidden="1" x14ac:dyDescent="0.25">
      <c r="A1362">
        <v>4979</v>
      </c>
      <c r="B1362" t="s">
        <v>328</v>
      </c>
      <c r="C1362" t="s">
        <v>501</v>
      </c>
      <c r="D1362" t="s">
        <v>599</v>
      </c>
      <c r="E1362" s="3">
        <v>44197</v>
      </c>
      <c r="F1362" s="3">
        <v>44561</v>
      </c>
      <c r="G1362" t="s">
        <v>135</v>
      </c>
      <c r="H1362" s="3">
        <v>44197</v>
      </c>
      <c r="I1362" s="3">
        <v>44561</v>
      </c>
      <c r="J1362" t="s">
        <v>135</v>
      </c>
      <c r="K1362">
        <v>2279211</v>
      </c>
      <c r="L1362" t="s">
        <v>136</v>
      </c>
      <c r="M1362" t="s">
        <v>110</v>
      </c>
      <c r="O1362" t="s">
        <v>600</v>
      </c>
      <c r="P1362" t="s">
        <v>550</v>
      </c>
      <c r="Q1362">
        <v>2021</v>
      </c>
      <c r="R1362" t="s">
        <v>605</v>
      </c>
      <c r="S1362" t="s">
        <v>606</v>
      </c>
      <c r="T1362" t="s">
        <v>553</v>
      </c>
      <c r="U1362" t="b">
        <v>0</v>
      </c>
      <c r="V1362" t="s">
        <v>781</v>
      </c>
      <c r="W1362" t="s">
        <v>587</v>
      </c>
      <c r="X1362" t="s">
        <v>556</v>
      </c>
      <c r="Y1362" t="s">
        <v>472</v>
      </c>
      <c r="Z1362" t="s">
        <v>485</v>
      </c>
      <c r="AA1362" t="s">
        <v>764</v>
      </c>
      <c r="AC1362">
        <v>0</v>
      </c>
      <c r="AD1362" t="s">
        <v>566</v>
      </c>
      <c r="AE1362">
        <v>6792.0487800000001</v>
      </c>
      <c r="AF1362">
        <v>2.98E-2</v>
      </c>
      <c r="AG1362" t="s">
        <v>798</v>
      </c>
      <c r="AH1362">
        <v>0.1</v>
      </c>
      <c r="AI1362">
        <v>227921.1</v>
      </c>
      <c r="AJ1362" t="s">
        <v>561</v>
      </c>
      <c r="AK1362" t="s">
        <v>766</v>
      </c>
      <c r="AL1362" t="s">
        <v>790</v>
      </c>
      <c r="AM1362">
        <v>2021</v>
      </c>
      <c r="AN1362">
        <v>2021</v>
      </c>
      <c r="AO1362">
        <f>IF(AND(emissions[[#This Row],[Market-based]]=0,emissions[[#This Row],[Impact Type]]="CO2E"),emissions[[#This Row],[kgCO2e]],0)/1000</f>
        <v>0</v>
      </c>
      <c r="AP1362">
        <f>IF(AND(emissions[[#This Row],[Market-based]]=1,OR(emissions[[#This Row],[Impact Type]]="CO2E",emissions[[#This Row],[Impact Type]]="CO2E MKT")),emissions[[#This Row],[kgCO2e]],0)/1000</f>
        <v>0</v>
      </c>
      <c r="AQ1362" t="str">
        <f>_xlfn.TEXTAFTER(emissions[[#This Row],[Reporting Unit]]," &gt; ",LEN(emissions[[#This Row],[Reporting Unit]])-LEN(SUBSTITUTE(emissions[[#This Row],[Reporting Unit]],"&gt;","")))</f>
        <v>Vantage_Gurnee</v>
      </c>
      <c r="AR1362" t="str">
        <f>_xlfn.XLOOKUP(emissions[[#This Row],[Reporting unit name]],hierarchy!$A:$A,hierarchy!$C:$C)</f>
        <v>Office</v>
      </c>
    </row>
    <row r="1363" spans="1:44" hidden="1" x14ac:dyDescent="0.25">
      <c r="A1363">
        <v>4979</v>
      </c>
      <c r="B1363" t="s">
        <v>328</v>
      </c>
      <c r="C1363" t="s">
        <v>501</v>
      </c>
      <c r="D1363" t="s">
        <v>599</v>
      </c>
      <c r="E1363" s="3">
        <v>44197</v>
      </c>
      <c r="F1363" s="3">
        <v>44561</v>
      </c>
      <c r="G1363" t="s">
        <v>135</v>
      </c>
      <c r="H1363" s="3">
        <v>44197</v>
      </c>
      <c r="I1363" s="3">
        <v>44561</v>
      </c>
      <c r="J1363" t="s">
        <v>135</v>
      </c>
      <c r="K1363">
        <v>2279211</v>
      </c>
      <c r="L1363" t="s">
        <v>136</v>
      </c>
      <c r="M1363" t="s">
        <v>110</v>
      </c>
      <c r="O1363" t="s">
        <v>600</v>
      </c>
      <c r="P1363" t="s">
        <v>550</v>
      </c>
      <c r="Q1363">
        <v>2021</v>
      </c>
      <c r="R1363" t="s">
        <v>605</v>
      </c>
      <c r="S1363" t="s">
        <v>606</v>
      </c>
      <c r="T1363" t="s">
        <v>553</v>
      </c>
      <c r="U1363" t="b">
        <v>0</v>
      </c>
      <c r="V1363" t="s">
        <v>781</v>
      </c>
      <c r="W1363" t="s">
        <v>587</v>
      </c>
      <c r="X1363" t="s">
        <v>556</v>
      </c>
      <c r="Y1363" t="s">
        <v>472</v>
      </c>
      <c r="Z1363" t="s">
        <v>485</v>
      </c>
      <c r="AA1363" t="s">
        <v>764</v>
      </c>
      <c r="AC1363">
        <v>1</v>
      </c>
      <c r="AD1363" t="s">
        <v>558</v>
      </c>
      <c r="AE1363">
        <v>5698.0275000000001</v>
      </c>
      <c r="AF1363">
        <v>2.5000000000000001E-2</v>
      </c>
      <c r="AG1363" t="s">
        <v>798</v>
      </c>
      <c r="AH1363">
        <v>0.1</v>
      </c>
      <c r="AI1363">
        <v>227921.1</v>
      </c>
      <c r="AJ1363" t="s">
        <v>561</v>
      </c>
      <c r="AK1363" t="s">
        <v>766</v>
      </c>
      <c r="AL1363" t="s">
        <v>790</v>
      </c>
      <c r="AM1363">
        <v>2021</v>
      </c>
      <c r="AN1363">
        <v>2021</v>
      </c>
      <c r="AO1363">
        <f>IF(AND(emissions[[#This Row],[Market-based]]=0,emissions[[#This Row],[Impact Type]]="CO2E"),emissions[[#This Row],[kgCO2e]],0)/1000</f>
        <v>0</v>
      </c>
      <c r="AP1363">
        <f>IF(AND(emissions[[#This Row],[Market-based]]=1,OR(emissions[[#This Row],[Impact Type]]="CO2E",emissions[[#This Row],[Impact Type]]="CO2E MKT")),emissions[[#This Row],[kgCO2e]],0)/1000</f>
        <v>0</v>
      </c>
      <c r="AQ1363" t="str">
        <f>_xlfn.TEXTAFTER(emissions[[#This Row],[Reporting Unit]]," &gt; ",LEN(emissions[[#This Row],[Reporting Unit]])-LEN(SUBSTITUTE(emissions[[#This Row],[Reporting Unit]],"&gt;","")))</f>
        <v>Vantage_Gurnee</v>
      </c>
      <c r="AR1363" t="str">
        <f>_xlfn.XLOOKUP(emissions[[#This Row],[Reporting unit name]],hierarchy!$A:$A,hierarchy!$C:$C)</f>
        <v>Office</v>
      </c>
    </row>
    <row r="1364" spans="1:44" hidden="1" x14ac:dyDescent="0.25">
      <c r="A1364">
        <v>4979</v>
      </c>
      <c r="B1364" t="s">
        <v>328</v>
      </c>
      <c r="C1364" t="s">
        <v>501</v>
      </c>
      <c r="D1364" t="s">
        <v>599</v>
      </c>
      <c r="E1364" s="3">
        <v>44197</v>
      </c>
      <c r="F1364" s="3">
        <v>44561</v>
      </c>
      <c r="G1364" t="s">
        <v>135</v>
      </c>
      <c r="H1364" s="3">
        <v>44197</v>
      </c>
      <c r="I1364" s="3">
        <v>44561</v>
      </c>
      <c r="J1364" t="s">
        <v>135</v>
      </c>
      <c r="K1364">
        <v>2279211</v>
      </c>
      <c r="L1364" t="s">
        <v>136</v>
      </c>
      <c r="M1364" t="s">
        <v>110</v>
      </c>
      <c r="O1364" t="s">
        <v>600</v>
      </c>
      <c r="P1364" t="s">
        <v>550</v>
      </c>
      <c r="Q1364">
        <v>2021</v>
      </c>
      <c r="R1364" t="s">
        <v>605</v>
      </c>
      <c r="S1364" t="s">
        <v>606</v>
      </c>
      <c r="T1364" t="s">
        <v>553</v>
      </c>
      <c r="U1364" t="b">
        <v>0</v>
      </c>
      <c r="V1364" t="s">
        <v>781</v>
      </c>
      <c r="W1364" t="s">
        <v>587</v>
      </c>
      <c r="X1364" t="s">
        <v>556</v>
      </c>
      <c r="Y1364" t="s">
        <v>472</v>
      </c>
      <c r="Z1364" t="s">
        <v>485</v>
      </c>
      <c r="AA1364" t="s">
        <v>764</v>
      </c>
      <c r="AC1364">
        <v>1</v>
      </c>
      <c r="AD1364" t="s">
        <v>564</v>
      </c>
      <c r="AE1364">
        <v>12093493.57</v>
      </c>
      <c r="AF1364">
        <v>53.06</v>
      </c>
      <c r="AG1364" t="s">
        <v>798</v>
      </c>
      <c r="AH1364">
        <v>0.1</v>
      </c>
      <c r="AI1364">
        <v>227921.1</v>
      </c>
      <c r="AJ1364" t="s">
        <v>561</v>
      </c>
      <c r="AK1364" t="s">
        <v>766</v>
      </c>
      <c r="AL1364" t="s">
        <v>787</v>
      </c>
      <c r="AM1364">
        <v>2021</v>
      </c>
      <c r="AN1364">
        <v>2020</v>
      </c>
      <c r="AO1364">
        <f>IF(AND(emissions[[#This Row],[Market-based]]=0,emissions[[#This Row],[Impact Type]]="CO2E"),emissions[[#This Row],[kgCO2e]],0)/1000</f>
        <v>0</v>
      </c>
      <c r="AP1364">
        <f>IF(AND(emissions[[#This Row],[Market-based]]=1,OR(emissions[[#This Row],[Impact Type]]="CO2E",emissions[[#This Row],[Impact Type]]="CO2E MKT")),emissions[[#This Row],[kgCO2e]],0)/1000</f>
        <v>0</v>
      </c>
      <c r="AQ1364" t="str">
        <f>_xlfn.TEXTAFTER(emissions[[#This Row],[Reporting Unit]]," &gt; ",LEN(emissions[[#This Row],[Reporting Unit]])-LEN(SUBSTITUTE(emissions[[#This Row],[Reporting Unit]],"&gt;","")))</f>
        <v>Vantage_Gurnee</v>
      </c>
      <c r="AR1364" t="str">
        <f>_xlfn.XLOOKUP(emissions[[#This Row],[Reporting unit name]],hierarchy!$A:$A,hierarchy!$C:$C)</f>
        <v>Office</v>
      </c>
    </row>
    <row r="1365" spans="1:44" hidden="1" x14ac:dyDescent="0.25">
      <c r="A1365">
        <v>4979</v>
      </c>
      <c r="B1365" t="s">
        <v>328</v>
      </c>
      <c r="C1365" t="s">
        <v>501</v>
      </c>
      <c r="D1365" t="s">
        <v>599</v>
      </c>
      <c r="E1365" s="3">
        <v>44197</v>
      </c>
      <c r="F1365" s="3">
        <v>44561</v>
      </c>
      <c r="G1365" t="s">
        <v>135</v>
      </c>
      <c r="H1365" s="3">
        <v>44197</v>
      </c>
      <c r="I1365" s="3">
        <v>44561</v>
      </c>
      <c r="J1365" t="s">
        <v>135</v>
      </c>
      <c r="K1365">
        <v>2279211</v>
      </c>
      <c r="L1365" t="s">
        <v>136</v>
      </c>
      <c r="M1365" t="s">
        <v>110</v>
      </c>
      <c r="O1365" t="s">
        <v>600</v>
      </c>
      <c r="P1365" t="s">
        <v>550</v>
      </c>
      <c r="Q1365">
        <v>2021</v>
      </c>
      <c r="R1365" t="s">
        <v>605</v>
      </c>
      <c r="S1365" t="s">
        <v>606</v>
      </c>
      <c r="T1365" t="s">
        <v>553</v>
      </c>
      <c r="U1365" t="b">
        <v>0</v>
      </c>
      <c r="V1365" t="s">
        <v>781</v>
      </c>
      <c r="W1365" t="s">
        <v>587</v>
      </c>
      <c r="X1365" t="s">
        <v>556</v>
      </c>
      <c r="Y1365" t="s">
        <v>472</v>
      </c>
      <c r="Z1365" t="s">
        <v>485</v>
      </c>
      <c r="AA1365" t="s">
        <v>764</v>
      </c>
      <c r="AC1365">
        <v>1</v>
      </c>
      <c r="AD1365" t="s">
        <v>565</v>
      </c>
      <c r="AE1365">
        <v>12105983.640000001</v>
      </c>
      <c r="AF1365">
        <v>53.114800000000002</v>
      </c>
      <c r="AG1365" t="s">
        <v>798</v>
      </c>
      <c r="AH1365">
        <v>0.1</v>
      </c>
      <c r="AI1365">
        <v>227921.1</v>
      </c>
      <c r="AJ1365" t="s">
        <v>561</v>
      </c>
      <c r="AK1365" t="s">
        <v>766</v>
      </c>
      <c r="AL1365" t="s">
        <v>790</v>
      </c>
      <c r="AM1365">
        <v>2021</v>
      </c>
      <c r="AN1365">
        <v>2021</v>
      </c>
      <c r="AO1365">
        <f>IF(AND(emissions[[#This Row],[Market-based]]=0,emissions[[#This Row],[Impact Type]]="CO2E"),emissions[[#This Row],[kgCO2e]],0)/1000</f>
        <v>0</v>
      </c>
      <c r="AP1365">
        <f>IF(AND(emissions[[#This Row],[Market-based]]=1,OR(emissions[[#This Row],[Impact Type]]="CO2E",emissions[[#This Row],[Impact Type]]="CO2E MKT")),emissions[[#This Row],[kgCO2e]],0)/1000</f>
        <v>12105.98364</v>
      </c>
      <c r="AQ1365" t="str">
        <f>_xlfn.TEXTAFTER(emissions[[#This Row],[Reporting Unit]]," &gt; ",LEN(emissions[[#This Row],[Reporting Unit]])-LEN(SUBSTITUTE(emissions[[#This Row],[Reporting Unit]],"&gt;","")))</f>
        <v>Vantage_Gurnee</v>
      </c>
      <c r="AR1365" t="str">
        <f>_xlfn.XLOOKUP(emissions[[#This Row],[Reporting unit name]],hierarchy!$A:$A,hierarchy!$C:$C)</f>
        <v>Office</v>
      </c>
    </row>
    <row r="1366" spans="1:44" hidden="1" x14ac:dyDescent="0.25">
      <c r="A1366">
        <v>4979</v>
      </c>
      <c r="B1366" t="s">
        <v>328</v>
      </c>
      <c r="C1366" t="s">
        <v>501</v>
      </c>
      <c r="D1366" t="s">
        <v>599</v>
      </c>
      <c r="E1366" s="3">
        <v>44197</v>
      </c>
      <c r="F1366" s="3">
        <v>44561</v>
      </c>
      <c r="G1366" t="s">
        <v>135</v>
      </c>
      <c r="H1366" s="3">
        <v>44197</v>
      </c>
      <c r="I1366" s="3">
        <v>44561</v>
      </c>
      <c r="J1366" t="s">
        <v>135</v>
      </c>
      <c r="K1366">
        <v>2279211</v>
      </c>
      <c r="L1366" t="s">
        <v>136</v>
      </c>
      <c r="M1366" t="s">
        <v>110</v>
      </c>
      <c r="O1366" t="s">
        <v>600</v>
      </c>
      <c r="P1366" t="s">
        <v>550</v>
      </c>
      <c r="Q1366">
        <v>2021</v>
      </c>
      <c r="R1366" t="s">
        <v>605</v>
      </c>
      <c r="S1366" t="s">
        <v>606</v>
      </c>
      <c r="T1366" t="s">
        <v>553</v>
      </c>
      <c r="U1366" t="b">
        <v>0</v>
      </c>
      <c r="V1366" t="s">
        <v>781</v>
      </c>
      <c r="W1366" t="s">
        <v>587</v>
      </c>
      <c r="X1366" t="s">
        <v>556</v>
      </c>
      <c r="Y1366" t="s">
        <v>472</v>
      </c>
      <c r="Z1366" t="s">
        <v>485</v>
      </c>
      <c r="AA1366" t="s">
        <v>764</v>
      </c>
      <c r="AC1366">
        <v>1</v>
      </c>
      <c r="AD1366" t="s">
        <v>566</v>
      </c>
      <c r="AE1366">
        <v>6792.0487800000001</v>
      </c>
      <c r="AF1366">
        <v>2.98E-2</v>
      </c>
      <c r="AG1366" t="s">
        <v>798</v>
      </c>
      <c r="AH1366">
        <v>0.1</v>
      </c>
      <c r="AI1366">
        <v>227921.1</v>
      </c>
      <c r="AJ1366" t="s">
        <v>561</v>
      </c>
      <c r="AK1366" t="s">
        <v>766</v>
      </c>
      <c r="AL1366" t="s">
        <v>790</v>
      </c>
      <c r="AM1366">
        <v>2021</v>
      </c>
      <c r="AN1366">
        <v>2021</v>
      </c>
      <c r="AO1366">
        <f>IF(AND(emissions[[#This Row],[Market-based]]=0,emissions[[#This Row],[Impact Type]]="CO2E"),emissions[[#This Row],[kgCO2e]],0)/1000</f>
        <v>0</v>
      </c>
      <c r="AP1366">
        <f>IF(AND(emissions[[#This Row],[Market-based]]=1,OR(emissions[[#This Row],[Impact Type]]="CO2E",emissions[[#This Row],[Impact Type]]="CO2E MKT")),emissions[[#This Row],[kgCO2e]],0)/1000</f>
        <v>0</v>
      </c>
      <c r="AQ1366" t="str">
        <f>_xlfn.TEXTAFTER(emissions[[#This Row],[Reporting Unit]]," &gt; ",LEN(emissions[[#This Row],[Reporting Unit]])-LEN(SUBSTITUTE(emissions[[#This Row],[Reporting Unit]],"&gt;","")))</f>
        <v>Vantage_Gurnee</v>
      </c>
      <c r="AR1366" t="str">
        <f>_xlfn.XLOOKUP(emissions[[#This Row],[Reporting unit name]],hierarchy!$A:$A,hierarchy!$C:$C)</f>
        <v>Office</v>
      </c>
    </row>
    <row r="1367" spans="1:44" hidden="1" x14ac:dyDescent="0.25">
      <c r="A1367">
        <v>4979</v>
      </c>
      <c r="B1367" t="s">
        <v>328</v>
      </c>
      <c r="C1367" t="s">
        <v>501</v>
      </c>
      <c r="D1367" t="s">
        <v>599</v>
      </c>
      <c r="E1367" s="3">
        <v>44197</v>
      </c>
      <c r="F1367" s="3">
        <v>44561</v>
      </c>
      <c r="G1367" t="s">
        <v>135</v>
      </c>
      <c r="H1367" s="3">
        <v>44197</v>
      </c>
      <c r="I1367" s="3">
        <v>44561</v>
      </c>
      <c r="J1367" t="s">
        <v>135</v>
      </c>
      <c r="K1367">
        <v>2279211</v>
      </c>
      <c r="L1367" t="s">
        <v>136</v>
      </c>
      <c r="M1367" t="s">
        <v>110</v>
      </c>
      <c r="O1367" t="s">
        <v>600</v>
      </c>
      <c r="P1367" t="s">
        <v>550</v>
      </c>
      <c r="Q1367">
        <v>2021</v>
      </c>
      <c r="R1367" t="s">
        <v>609</v>
      </c>
      <c r="S1367" t="s">
        <v>610</v>
      </c>
      <c r="T1367" t="s">
        <v>577</v>
      </c>
      <c r="U1367" t="b">
        <v>0</v>
      </c>
      <c r="V1367" t="s">
        <v>611</v>
      </c>
      <c r="W1367" t="s">
        <v>571</v>
      </c>
      <c r="X1367" t="s">
        <v>572</v>
      </c>
      <c r="AC1367">
        <v>0</v>
      </c>
      <c r="AD1367" t="s">
        <v>565</v>
      </c>
      <c r="AE1367">
        <v>2093587.8049999999</v>
      </c>
      <c r="AF1367">
        <v>3.1350000000000003E-2</v>
      </c>
      <c r="AG1367" t="s">
        <v>608</v>
      </c>
      <c r="AH1367">
        <v>29.3001</v>
      </c>
      <c r="AI1367">
        <v>66781110.219999999</v>
      </c>
      <c r="AJ1367" t="s">
        <v>561</v>
      </c>
      <c r="AK1367" t="s">
        <v>589</v>
      </c>
      <c r="AL1367" t="s">
        <v>603</v>
      </c>
      <c r="AM1367">
        <v>2021</v>
      </c>
      <c r="AN1367">
        <v>2019</v>
      </c>
      <c r="AO1367">
        <f>IF(AND(emissions[[#This Row],[Market-based]]=0,emissions[[#This Row],[Impact Type]]="CO2E"),emissions[[#This Row],[kgCO2e]],0)/1000</f>
        <v>2093.5878050000001</v>
      </c>
      <c r="AP1367">
        <f>IF(AND(emissions[[#This Row],[Market-based]]=1,OR(emissions[[#This Row],[Impact Type]]="CO2E",emissions[[#This Row],[Impact Type]]="CO2E MKT")),emissions[[#This Row],[kgCO2e]],0)/1000</f>
        <v>0</v>
      </c>
      <c r="AQ1367" t="str">
        <f>_xlfn.TEXTAFTER(emissions[[#This Row],[Reporting Unit]]," &gt; ",LEN(emissions[[#This Row],[Reporting Unit]])-LEN(SUBSTITUTE(emissions[[#This Row],[Reporting Unit]],"&gt;","")))</f>
        <v>Vantage_Gurnee</v>
      </c>
      <c r="AR1367" t="str">
        <f>_xlfn.XLOOKUP(emissions[[#This Row],[Reporting unit name]],hierarchy!$A:$A,hierarchy!$C:$C)</f>
        <v>Office</v>
      </c>
    </row>
    <row r="1368" spans="1:44" hidden="1" x14ac:dyDescent="0.25">
      <c r="A1368">
        <v>4979</v>
      </c>
      <c r="B1368" t="s">
        <v>328</v>
      </c>
      <c r="C1368" t="s">
        <v>501</v>
      </c>
      <c r="D1368" t="s">
        <v>599</v>
      </c>
      <c r="E1368" s="3">
        <v>44197</v>
      </c>
      <c r="F1368" s="3">
        <v>44561</v>
      </c>
      <c r="G1368" t="s">
        <v>135</v>
      </c>
      <c r="H1368" s="3">
        <v>44197</v>
      </c>
      <c r="I1368" s="3">
        <v>44561</v>
      </c>
      <c r="J1368" t="s">
        <v>135</v>
      </c>
      <c r="K1368">
        <v>2279211</v>
      </c>
      <c r="L1368" t="s">
        <v>136</v>
      </c>
      <c r="M1368" t="s">
        <v>110</v>
      </c>
      <c r="O1368" t="s">
        <v>600</v>
      </c>
      <c r="P1368" t="s">
        <v>550</v>
      </c>
      <c r="Q1368">
        <v>2021</v>
      </c>
      <c r="R1368" t="s">
        <v>609</v>
      </c>
      <c r="S1368" t="s">
        <v>610</v>
      </c>
      <c r="T1368" t="s">
        <v>577</v>
      </c>
      <c r="U1368" t="b">
        <v>0</v>
      </c>
      <c r="V1368" t="s">
        <v>611</v>
      </c>
      <c r="W1368" t="s">
        <v>571</v>
      </c>
      <c r="X1368" t="s">
        <v>572</v>
      </c>
      <c r="AC1368">
        <v>1</v>
      </c>
      <c r="AD1368" t="s">
        <v>565</v>
      </c>
      <c r="AE1368">
        <v>2093587.8049999999</v>
      </c>
      <c r="AF1368">
        <v>3.1350000000000003E-2</v>
      </c>
      <c r="AG1368" t="s">
        <v>608</v>
      </c>
      <c r="AH1368">
        <v>29.3001</v>
      </c>
      <c r="AI1368">
        <v>66781110.219999999</v>
      </c>
      <c r="AJ1368" t="s">
        <v>561</v>
      </c>
      <c r="AK1368" t="s">
        <v>589</v>
      </c>
      <c r="AL1368" t="s">
        <v>603</v>
      </c>
      <c r="AM1368">
        <v>2021</v>
      </c>
      <c r="AN1368">
        <v>2019</v>
      </c>
      <c r="AO1368">
        <f>IF(AND(emissions[[#This Row],[Market-based]]=0,emissions[[#This Row],[Impact Type]]="CO2E"),emissions[[#This Row],[kgCO2e]],0)/1000</f>
        <v>0</v>
      </c>
      <c r="AP1368">
        <f>IF(AND(emissions[[#This Row],[Market-based]]=1,OR(emissions[[#This Row],[Impact Type]]="CO2E",emissions[[#This Row],[Impact Type]]="CO2E MKT")),emissions[[#This Row],[kgCO2e]],0)/1000</f>
        <v>2093.5878050000001</v>
      </c>
      <c r="AQ1368" t="str">
        <f>_xlfn.TEXTAFTER(emissions[[#This Row],[Reporting Unit]]," &gt; ",LEN(emissions[[#This Row],[Reporting Unit]])-LEN(SUBSTITUTE(emissions[[#This Row],[Reporting Unit]],"&gt;","")))</f>
        <v>Vantage_Gurnee</v>
      </c>
      <c r="AR1368" t="str">
        <f>_xlfn.XLOOKUP(emissions[[#This Row],[Reporting unit name]],hierarchy!$A:$A,hierarchy!$C:$C)</f>
        <v>Office</v>
      </c>
    </row>
    <row r="1369" spans="1:44" hidden="1" x14ac:dyDescent="0.25">
      <c r="A1369">
        <v>1208906</v>
      </c>
      <c r="B1369" t="s">
        <v>328</v>
      </c>
      <c r="C1369" t="s">
        <v>501</v>
      </c>
      <c r="D1369" t="s">
        <v>599</v>
      </c>
      <c r="E1369" s="3">
        <v>44197</v>
      </c>
      <c r="F1369" s="3">
        <v>44561</v>
      </c>
      <c r="G1369" t="s">
        <v>141</v>
      </c>
      <c r="H1369" s="3">
        <v>44197</v>
      </c>
      <c r="I1369" s="3">
        <v>44561</v>
      </c>
      <c r="J1369" t="s">
        <v>147</v>
      </c>
      <c r="K1369">
        <v>33.200000000000003</v>
      </c>
      <c r="L1369" t="s">
        <v>148</v>
      </c>
      <c r="M1369" t="s">
        <v>110</v>
      </c>
      <c r="O1369" t="s">
        <v>934</v>
      </c>
      <c r="P1369" t="s">
        <v>550</v>
      </c>
      <c r="Q1369">
        <v>2021</v>
      </c>
      <c r="R1369" t="s">
        <v>584</v>
      </c>
      <c r="S1369" t="s">
        <v>585</v>
      </c>
      <c r="T1369" t="s">
        <v>553</v>
      </c>
      <c r="U1369" t="b">
        <v>0</v>
      </c>
      <c r="V1369" t="s">
        <v>785</v>
      </c>
      <c r="W1369" t="s">
        <v>587</v>
      </c>
      <c r="X1369" t="s">
        <v>556</v>
      </c>
      <c r="Y1369" t="s">
        <v>472</v>
      </c>
      <c r="Z1369" t="s">
        <v>485</v>
      </c>
      <c r="AA1369" t="s">
        <v>764</v>
      </c>
      <c r="AC1369">
        <v>0</v>
      </c>
      <c r="AD1369" t="s">
        <v>558</v>
      </c>
      <c r="AE1369">
        <v>0.34029999999999999</v>
      </c>
      <c r="AF1369">
        <v>1.025E-2</v>
      </c>
      <c r="AG1369" t="s">
        <v>786</v>
      </c>
      <c r="AH1369">
        <v>1</v>
      </c>
      <c r="AI1369">
        <v>33.200000000000003</v>
      </c>
      <c r="AJ1369" t="s">
        <v>561</v>
      </c>
      <c r="AK1369" t="s">
        <v>766</v>
      </c>
      <c r="AL1369" t="s">
        <v>790</v>
      </c>
      <c r="AM1369">
        <v>2021</v>
      </c>
      <c r="AN1369">
        <v>2021</v>
      </c>
      <c r="AO1369">
        <f>IF(AND(emissions[[#This Row],[Market-based]]=0,emissions[[#This Row],[Impact Type]]="CO2E"),emissions[[#This Row],[kgCO2e]],0)/1000</f>
        <v>0</v>
      </c>
      <c r="AP1369">
        <f>IF(AND(emissions[[#This Row],[Market-based]]=1,OR(emissions[[#This Row],[Impact Type]]="CO2E",emissions[[#This Row],[Impact Type]]="CO2E MKT")),emissions[[#This Row],[kgCO2e]],0)/1000</f>
        <v>0</v>
      </c>
      <c r="AQ1369" t="str">
        <f>_xlfn.TEXTAFTER(emissions[[#This Row],[Reporting Unit]]," &gt; ",LEN(emissions[[#This Row],[Reporting Unit]])-LEN(SUBSTITUTE(emissions[[#This Row],[Reporting Unit]],"&gt;","")))</f>
        <v>Vantage_Gurnee</v>
      </c>
      <c r="AR1369" t="str">
        <f>_xlfn.XLOOKUP(emissions[[#This Row],[Reporting unit name]],hierarchy!$A:$A,hierarchy!$C:$C)</f>
        <v>Office</v>
      </c>
    </row>
    <row r="1370" spans="1:44" hidden="1" x14ac:dyDescent="0.25">
      <c r="A1370">
        <v>1208906</v>
      </c>
      <c r="B1370" t="s">
        <v>328</v>
      </c>
      <c r="C1370" t="s">
        <v>501</v>
      </c>
      <c r="D1370" t="s">
        <v>599</v>
      </c>
      <c r="E1370" s="3">
        <v>44197</v>
      </c>
      <c r="F1370" s="3">
        <v>44561</v>
      </c>
      <c r="G1370" t="s">
        <v>141</v>
      </c>
      <c r="H1370" s="3">
        <v>44197</v>
      </c>
      <c r="I1370" s="3">
        <v>44561</v>
      </c>
      <c r="J1370" t="s">
        <v>147</v>
      </c>
      <c r="K1370">
        <v>33.200000000000003</v>
      </c>
      <c r="L1370" t="s">
        <v>148</v>
      </c>
      <c r="M1370" t="s">
        <v>110</v>
      </c>
      <c r="O1370" t="s">
        <v>934</v>
      </c>
      <c r="P1370" t="s">
        <v>550</v>
      </c>
      <c r="Q1370">
        <v>2021</v>
      </c>
      <c r="R1370" t="s">
        <v>584</v>
      </c>
      <c r="S1370" t="s">
        <v>585</v>
      </c>
      <c r="T1370" t="s">
        <v>553</v>
      </c>
      <c r="U1370" t="b">
        <v>0</v>
      </c>
      <c r="V1370" t="s">
        <v>785</v>
      </c>
      <c r="W1370" t="s">
        <v>587</v>
      </c>
      <c r="X1370" t="s">
        <v>556</v>
      </c>
      <c r="Y1370" t="s">
        <v>472</v>
      </c>
      <c r="Z1370" t="s">
        <v>485</v>
      </c>
      <c r="AA1370" t="s">
        <v>764</v>
      </c>
      <c r="AC1370">
        <v>0</v>
      </c>
      <c r="AD1370" t="s">
        <v>564</v>
      </c>
      <c r="AE1370">
        <v>338.97199999999998</v>
      </c>
      <c r="AF1370">
        <v>10.210000000000001</v>
      </c>
      <c r="AG1370" t="s">
        <v>786</v>
      </c>
      <c r="AH1370">
        <v>1</v>
      </c>
      <c r="AI1370">
        <v>33.200000000000003</v>
      </c>
      <c r="AJ1370" t="s">
        <v>561</v>
      </c>
      <c r="AK1370" t="s">
        <v>766</v>
      </c>
      <c r="AL1370" t="s">
        <v>790</v>
      </c>
      <c r="AM1370">
        <v>2021</v>
      </c>
      <c r="AN1370">
        <v>2021</v>
      </c>
      <c r="AO1370">
        <f>IF(AND(emissions[[#This Row],[Market-based]]=0,emissions[[#This Row],[Impact Type]]="CO2E"),emissions[[#This Row],[kgCO2e]],0)/1000</f>
        <v>0</v>
      </c>
      <c r="AP1370">
        <f>IF(AND(emissions[[#This Row],[Market-based]]=1,OR(emissions[[#This Row],[Impact Type]]="CO2E",emissions[[#This Row],[Impact Type]]="CO2E MKT")),emissions[[#This Row],[kgCO2e]],0)/1000</f>
        <v>0</v>
      </c>
      <c r="AQ1370" t="str">
        <f>_xlfn.TEXTAFTER(emissions[[#This Row],[Reporting Unit]]," &gt; ",LEN(emissions[[#This Row],[Reporting Unit]])-LEN(SUBSTITUTE(emissions[[#This Row],[Reporting Unit]],"&gt;","")))</f>
        <v>Vantage_Gurnee</v>
      </c>
      <c r="AR1370" t="str">
        <f>_xlfn.XLOOKUP(emissions[[#This Row],[Reporting unit name]],hierarchy!$A:$A,hierarchy!$C:$C)</f>
        <v>Office</v>
      </c>
    </row>
    <row r="1371" spans="1:44" hidden="1" x14ac:dyDescent="0.25">
      <c r="A1371">
        <v>1208906</v>
      </c>
      <c r="B1371" t="s">
        <v>328</v>
      </c>
      <c r="C1371" t="s">
        <v>501</v>
      </c>
      <c r="D1371" t="s">
        <v>599</v>
      </c>
      <c r="E1371" s="3">
        <v>44197</v>
      </c>
      <c r="F1371" s="3">
        <v>44561</v>
      </c>
      <c r="G1371" t="s">
        <v>141</v>
      </c>
      <c r="H1371" s="3">
        <v>44197</v>
      </c>
      <c r="I1371" s="3">
        <v>44561</v>
      </c>
      <c r="J1371" t="s">
        <v>147</v>
      </c>
      <c r="K1371">
        <v>33.200000000000003</v>
      </c>
      <c r="L1371" t="s">
        <v>148</v>
      </c>
      <c r="M1371" t="s">
        <v>110</v>
      </c>
      <c r="O1371" t="s">
        <v>934</v>
      </c>
      <c r="P1371" t="s">
        <v>550</v>
      </c>
      <c r="Q1371">
        <v>2021</v>
      </c>
      <c r="R1371" t="s">
        <v>584</v>
      </c>
      <c r="S1371" t="s">
        <v>585</v>
      </c>
      <c r="T1371" t="s">
        <v>553</v>
      </c>
      <c r="U1371" t="b">
        <v>0</v>
      </c>
      <c r="V1371" t="s">
        <v>785</v>
      </c>
      <c r="W1371" t="s">
        <v>587</v>
      </c>
      <c r="X1371" t="s">
        <v>556</v>
      </c>
      <c r="Y1371" t="s">
        <v>472</v>
      </c>
      <c r="Z1371" t="s">
        <v>485</v>
      </c>
      <c r="AA1371" t="s">
        <v>764</v>
      </c>
      <c r="AC1371">
        <v>0</v>
      </c>
      <c r="AD1371" t="s">
        <v>565</v>
      </c>
      <c r="AE1371">
        <v>340.10378800000001</v>
      </c>
      <c r="AF1371">
        <v>10.24409</v>
      </c>
      <c r="AG1371" t="s">
        <v>786</v>
      </c>
      <c r="AH1371">
        <v>1</v>
      </c>
      <c r="AI1371">
        <v>33.200000000000003</v>
      </c>
      <c r="AJ1371" t="s">
        <v>561</v>
      </c>
      <c r="AK1371" t="s">
        <v>766</v>
      </c>
      <c r="AL1371" t="s">
        <v>787</v>
      </c>
      <c r="AM1371">
        <v>2021</v>
      </c>
      <c r="AN1371">
        <v>2020</v>
      </c>
      <c r="AO1371">
        <f>IF(AND(emissions[[#This Row],[Market-based]]=0,emissions[[#This Row],[Impact Type]]="CO2E"),emissions[[#This Row],[kgCO2e]],0)/1000</f>
        <v>0.34010378800000002</v>
      </c>
      <c r="AP1371">
        <f>IF(AND(emissions[[#This Row],[Market-based]]=1,OR(emissions[[#This Row],[Impact Type]]="CO2E",emissions[[#This Row],[Impact Type]]="CO2E MKT")),emissions[[#This Row],[kgCO2e]],0)/1000</f>
        <v>0</v>
      </c>
      <c r="AQ1371" t="str">
        <f>_xlfn.TEXTAFTER(emissions[[#This Row],[Reporting Unit]]," &gt; ",LEN(emissions[[#This Row],[Reporting Unit]])-LEN(SUBSTITUTE(emissions[[#This Row],[Reporting Unit]],"&gt;","")))</f>
        <v>Vantage_Gurnee</v>
      </c>
      <c r="AR1371" t="str">
        <f>_xlfn.XLOOKUP(emissions[[#This Row],[Reporting unit name]],hierarchy!$A:$A,hierarchy!$C:$C)</f>
        <v>Office</v>
      </c>
    </row>
    <row r="1372" spans="1:44" hidden="1" x14ac:dyDescent="0.25">
      <c r="A1372">
        <v>1208906</v>
      </c>
      <c r="B1372" t="s">
        <v>328</v>
      </c>
      <c r="C1372" t="s">
        <v>501</v>
      </c>
      <c r="D1372" t="s">
        <v>599</v>
      </c>
      <c r="E1372" s="3">
        <v>44197</v>
      </c>
      <c r="F1372" s="3">
        <v>44561</v>
      </c>
      <c r="G1372" t="s">
        <v>141</v>
      </c>
      <c r="H1372" s="3">
        <v>44197</v>
      </c>
      <c r="I1372" s="3">
        <v>44561</v>
      </c>
      <c r="J1372" t="s">
        <v>147</v>
      </c>
      <c r="K1372">
        <v>33.200000000000003</v>
      </c>
      <c r="L1372" t="s">
        <v>148</v>
      </c>
      <c r="M1372" t="s">
        <v>110</v>
      </c>
      <c r="O1372" t="s">
        <v>934</v>
      </c>
      <c r="P1372" t="s">
        <v>550</v>
      </c>
      <c r="Q1372">
        <v>2021</v>
      </c>
      <c r="R1372" t="s">
        <v>584</v>
      </c>
      <c r="S1372" t="s">
        <v>585</v>
      </c>
      <c r="T1372" t="s">
        <v>553</v>
      </c>
      <c r="U1372" t="b">
        <v>0</v>
      </c>
      <c r="V1372" t="s">
        <v>785</v>
      </c>
      <c r="W1372" t="s">
        <v>587</v>
      </c>
      <c r="X1372" t="s">
        <v>556</v>
      </c>
      <c r="Y1372" t="s">
        <v>472</v>
      </c>
      <c r="Z1372" t="s">
        <v>485</v>
      </c>
      <c r="AA1372" t="s">
        <v>764</v>
      </c>
      <c r="AC1372">
        <v>0</v>
      </c>
      <c r="AD1372" t="s">
        <v>566</v>
      </c>
      <c r="AE1372">
        <v>0.79148799999999997</v>
      </c>
      <c r="AF1372">
        <v>2.384E-2</v>
      </c>
      <c r="AG1372" t="s">
        <v>786</v>
      </c>
      <c r="AH1372">
        <v>1</v>
      </c>
      <c r="AI1372">
        <v>33.200000000000003</v>
      </c>
      <c r="AJ1372" t="s">
        <v>561</v>
      </c>
      <c r="AK1372" t="s">
        <v>766</v>
      </c>
      <c r="AL1372" t="s">
        <v>790</v>
      </c>
      <c r="AM1372">
        <v>2021</v>
      </c>
      <c r="AN1372">
        <v>2021</v>
      </c>
      <c r="AO1372">
        <f>IF(AND(emissions[[#This Row],[Market-based]]=0,emissions[[#This Row],[Impact Type]]="CO2E"),emissions[[#This Row],[kgCO2e]],0)/1000</f>
        <v>0</v>
      </c>
      <c r="AP1372">
        <f>IF(AND(emissions[[#This Row],[Market-based]]=1,OR(emissions[[#This Row],[Impact Type]]="CO2E",emissions[[#This Row],[Impact Type]]="CO2E MKT")),emissions[[#This Row],[kgCO2e]],0)/1000</f>
        <v>0</v>
      </c>
      <c r="AQ1372" t="str">
        <f>_xlfn.TEXTAFTER(emissions[[#This Row],[Reporting Unit]]," &gt; ",LEN(emissions[[#This Row],[Reporting Unit]])-LEN(SUBSTITUTE(emissions[[#This Row],[Reporting Unit]],"&gt;","")))</f>
        <v>Vantage_Gurnee</v>
      </c>
      <c r="AR1372" t="str">
        <f>_xlfn.XLOOKUP(emissions[[#This Row],[Reporting unit name]],hierarchy!$A:$A,hierarchy!$C:$C)</f>
        <v>Office</v>
      </c>
    </row>
    <row r="1373" spans="1:44" hidden="1" x14ac:dyDescent="0.25">
      <c r="A1373">
        <v>1208906</v>
      </c>
      <c r="B1373" t="s">
        <v>328</v>
      </c>
      <c r="C1373" t="s">
        <v>501</v>
      </c>
      <c r="D1373" t="s">
        <v>599</v>
      </c>
      <c r="E1373" s="3">
        <v>44197</v>
      </c>
      <c r="F1373" s="3">
        <v>44561</v>
      </c>
      <c r="G1373" t="s">
        <v>141</v>
      </c>
      <c r="H1373" s="3">
        <v>44197</v>
      </c>
      <c r="I1373" s="3">
        <v>44561</v>
      </c>
      <c r="J1373" t="s">
        <v>147</v>
      </c>
      <c r="K1373">
        <v>33.200000000000003</v>
      </c>
      <c r="L1373" t="s">
        <v>148</v>
      </c>
      <c r="M1373" t="s">
        <v>110</v>
      </c>
      <c r="O1373" t="s">
        <v>934</v>
      </c>
      <c r="P1373" t="s">
        <v>550</v>
      </c>
      <c r="Q1373">
        <v>2021</v>
      </c>
      <c r="R1373" t="s">
        <v>584</v>
      </c>
      <c r="S1373" t="s">
        <v>585</v>
      </c>
      <c r="T1373" t="s">
        <v>553</v>
      </c>
      <c r="U1373" t="b">
        <v>0</v>
      </c>
      <c r="V1373" t="s">
        <v>785</v>
      </c>
      <c r="W1373" t="s">
        <v>587</v>
      </c>
      <c r="X1373" t="s">
        <v>556</v>
      </c>
      <c r="Y1373" t="s">
        <v>472</v>
      </c>
      <c r="Z1373" t="s">
        <v>485</v>
      </c>
      <c r="AA1373" t="s">
        <v>764</v>
      </c>
      <c r="AC1373">
        <v>1</v>
      </c>
      <c r="AD1373" t="s">
        <v>558</v>
      </c>
      <c r="AE1373">
        <v>0.34029999999999999</v>
      </c>
      <c r="AF1373">
        <v>1.025E-2</v>
      </c>
      <c r="AG1373" t="s">
        <v>786</v>
      </c>
      <c r="AH1373">
        <v>1</v>
      </c>
      <c r="AI1373">
        <v>33.200000000000003</v>
      </c>
      <c r="AJ1373" t="s">
        <v>561</v>
      </c>
      <c r="AK1373" t="s">
        <v>766</v>
      </c>
      <c r="AL1373" t="s">
        <v>790</v>
      </c>
      <c r="AM1373">
        <v>2021</v>
      </c>
      <c r="AN1373">
        <v>2021</v>
      </c>
      <c r="AO1373">
        <f>IF(AND(emissions[[#This Row],[Market-based]]=0,emissions[[#This Row],[Impact Type]]="CO2E"),emissions[[#This Row],[kgCO2e]],0)/1000</f>
        <v>0</v>
      </c>
      <c r="AP1373">
        <f>IF(AND(emissions[[#This Row],[Market-based]]=1,OR(emissions[[#This Row],[Impact Type]]="CO2E",emissions[[#This Row],[Impact Type]]="CO2E MKT")),emissions[[#This Row],[kgCO2e]],0)/1000</f>
        <v>0</v>
      </c>
      <c r="AQ1373" t="str">
        <f>_xlfn.TEXTAFTER(emissions[[#This Row],[Reporting Unit]]," &gt; ",LEN(emissions[[#This Row],[Reporting Unit]])-LEN(SUBSTITUTE(emissions[[#This Row],[Reporting Unit]],"&gt;","")))</f>
        <v>Vantage_Gurnee</v>
      </c>
      <c r="AR1373" t="str">
        <f>_xlfn.XLOOKUP(emissions[[#This Row],[Reporting unit name]],hierarchy!$A:$A,hierarchy!$C:$C)</f>
        <v>Office</v>
      </c>
    </row>
    <row r="1374" spans="1:44" hidden="1" x14ac:dyDescent="0.25">
      <c r="A1374">
        <v>1208906</v>
      </c>
      <c r="B1374" t="s">
        <v>328</v>
      </c>
      <c r="C1374" t="s">
        <v>501</v>
      </c>
      <c r="D1374" t="s">
        <v>599</v>
      </c>
      <c r="E1374" s="3">
        <v>44197</v>
      </c>
      <c r="F1374" s="3">
        <v>44561</v>
      </c>
      <c r="G1374" t="s">
        <v>141</v>
      </c>
      <c r="H1374" s="3">
        <v>44197</v>
      </c>
      <c r="I1374" s="3">
        <v>44561</v>
      </c>
      <c r="J1374" t="s">
        <v>147</v>
      </c>
      <c r="K1374">
        <v>33.200000000000003</v>
      </c>
      <c r="L1374" t="s">
        <v>148</v>
      </c>
      <c r="M1374" t="s">
        <v>110</v>
      </c>
      <c r="O1374" t="s">
        <v>934</v>
      </c>
      <c r="P1374" t="s">
        <v>550</v>
      </c>
      <c r="Q1374">
        <v>2021</v>
      </c>
      <c r="R1374" t="s">
        <v>584</v>
      </c>
      <c r="S1374" t="s">
        <v>585</v>
      </c>
      <c r="T1374" t="s">
        <v>553</v>
      </c>
      <c r="U1374" t="b">
        <v>0</v>
      </c>
      <c r="V1374" t="s">
        <v>785</v>
      </c>
      <c r="W1374" t="s">
        <v>587</v>
      </c>
      <c r="X1374" t="s">
        <v>556</v>
      </c>
      <c r="Y1374" t="s">
        <v>472</v>
      </c>
      <c r="Z1374" t="s">
        <v>485</v>
      </c>
      <c r="AA1374" t="s">
        <v>764</v>
      </c>
      <c r="AC1374">
        <v>1</v>
      </c>
      <c r="AD1374" t="s">
        <v>564</v>
      </c>
      <c r="AE1374">
        <v>338.97199999999998</v>
      </c>
      <c r="AF1374">
        <v>10.210000000000001</v>
      </c>
      <c r="AG1374" t="s">
        <v>786</v>
      </c>
      <c r="AH1374">
        <v>1</v>
      </c>
      <c r="AI1374">
        <v>33.200000000000003</v>
      </c>
      <c r="AJ1374" t="s">
        <v>561</v>
      </c>
      <c r="AK1374" t="s">
        <v>766</v>
      </c>
      <c r="AL1374" t="s">
        <v>790</v>
      </c>
      <c r="AM1374">
        <v>2021</v>
      </c>
      <c r="AN1374">
        <v>2021</v>
      </c>
      <c r="AO1374">
        <f>IF(AND(emissions[[#This Row],[Market-based]]=0,emissions[[#This Row],[Impact Type]]="CO2E"),emissions[[#This Row],[kgCO2e]],0)/1000</f>
        <v>0</v>
      </c>
      <c r="AP1374">
        <f>IF(AND(emissions[[#This Row],[Market-based]]=1,OR(emissions[[#This Row],[Impact Type]]="CO2E",emissions[[#This Row],[Impact Type]]="CO2E MKT")),emissions[[#This Row],[kgCO2e]],0)/1000</f>
        <v>0</v>
      </c>
      <c r="AQ1374" t="str">
        <f>_xlfn.TEXTAFTER(emissions[[#This Row],[Reporting Unit]]," &gt; ",LEN(emissions[[#This Row],[Reporting Unit]])-LEN(SUBSTITUTE(emissions[[#This Row],[Reporting Unit]],"&gt;","")))</f>
        <v>Vantage_Gurnee</v>
      </c>
      <c r="AR1374" t="str">
        <f>_xlfn.XLOOKUP(emissions[[#This Row],[Reporting unit name]],hierarchy!$A:$A,hierarchy!$C:$C)</f>
        <v>Office</v>
      </c>
    </row>
    <row r="1375" spans="1:44" hidden="1" x14ac:dyDescent="0.25">
      <c r="A1375">
        <v>1208906</v>
      </c>
      <c r="B1375" t="s">
        <v>328</v>
      </c>
      <c r="C1375" t="s">
        <v>501</v>
      </c>
      <c r="D1375" t="s">
        <v>599</v>
      </c>
      <c r="E1375" s="3">
        <v>44197</v>
      </c>
      <c r="F1375" s="3">
        <v>44561</v>
      </c>
      <c r="G1375" t="s">
        <v>141</v>
      </c>
      <c r="H1375" s="3">
        <v>44197</v>
      </c>
      <c r="I1375" s="3">
        <v>44561</v>
      </c>
      <c r="J1375" t="s">
        <v>147</v>
      </c>
      <c r="K1375">
        <v>33.200000000000003</v>
      </c>
      <c r="L1375" t="s">
        <v>148</v>
      </c>
      <c r="M1375" t="s">
        <v>110</v>
      </c>
      <c r="O1375" t="s">
        <v>934</v>
      </c>
      <c r="P1375" t="s">
        <v>550</v>
      </c>
      <c r="Q1375">
        <v>2021</v>
      </c>
      <c r="R1375" t="s">
        <v>584</v>
      </c>
      <c r="S1375" t="s">
        <v>585</v>
      </c>
      <c r="T1375" t="s">
        <v>553</v>
      </c>
      <c r="U1375" t="b">
        <v>0</v>
      </c>
      <c r="V1375" t="s">
        <v>785</v>
      </c>
      <c r="W1375" t="s">
        <v>587</v>
      </c>
      <c r="X1375" t="s">
        <v>556</v>
      </c>
      <c r="Y1375" t="s">
        <v>472</v>
      </c>
      <c r="Z1375" t="s">
        <v>485</v>
      </c>
      <c r="AA1375" t="s">
        <v>764</v>
      </c>
      <c r="AC1375">
        <v>1</v>
      </c>
      <c r="AD1375" t="s">
        <v>565</v>
      </c>
      <c r="AE1375">
        <v>340.10378800000001</v>
      </c>
      <c r="AF1375">
        <v>10.24409</v>
      </c>
      <c r="AG1375" t="s">
        <v>786</v>
      </c>
      <c r="AH1375">
        <v>1</v>
      </c>
      <c r="AI1375">
        <v>33.200000000000003</v>
      </c>
      <c r="AJ1375" t="s">
        <v>561</v>
      </c>
      <c r="AK1375" t="s">
        <v>766</v>
      </c>
      <c r="AL1375" t="s">
        <v>787</v>
      </c>
      <c r="AM1375">
        <v>2021</v>
      </c>
      <c r="AN1375">
        <v>2020</v>
      </c>
      <c r="AO1375">
        <f>IF(AND(emissions[[#This Row],[Market-based]]=0,emissions[[#This Row],[Impact Type]]="CO2E"),emissions[[#This Row],[kgCO2e]],0)/1000</f>
        <v>0</v>
      </c>
      <c r="AP1375">
        <f>IF(AND(emissions[[#This Row],[Market-based]]=1,OR(emissions[[#This Row],[Impact Type]]="CO2E",emissions[[#This Row],[Impact Type]]="CO2E MKT")),emissions[[#This Row],[kgCO2e]],0)/1000</f>
        <v>0.34010378800000002</v>
      </c>
      <c r="AQ1375" t="str">
        <f>_xlfn.TEXTAFTER(emissions[[#This Row],[Reporting Unit]]," &gt; ",LEN(emissions[[#This Row],[Reporting Unit]])-LEN(SUBSTITUTE(emissions[[#This Row],[Reporting Unit]],"&gt;","")))</f>
        <v>Vantage_Gurnee</v>
      </c>
      <c r="AR1375" t="str">
        <f>_xlfn.XLOOKUP(emissions[[#This Row],[Reporting unit name]],hierarchy!$A:$A,hierarchy!$C:$C)</f>
        <v>Office</v>
      </c>
    </row>
    <row r="1376" spans="1:44" hidden="1" x14ac:dyDescent="0.25">
      <c r="A1376">
        <v>1208906</v>
      </c>
      <c r="B1376" t="s">
        <v>328</v>
      </c>
      <c r="C1376" t="s">
        <v>501</v>
      </c>
      <c r="D1376" t="s">
        <v>599</v>
      </c>
      <c r="E1376" s="3">
        <v>44197</v>
      </c>
      <c r="F1376" s="3">
        <v>44561</v>
      </c>
      <c r="G1376" t="s">
        <v>141</v>
      </c>
      <c r="H1376" s="3">
        <v>44197</v>
      </c>
      <c r="I1376" s="3">
        <v>44561</v>
      </c>
      <c r="J1376" t="s">
        <v>147</v>
      </c>
      <c r="K1376">
        <v>33.200000000000003</v>
      </c>
      <c r="L1376" t="s">
        <v>148</v>
      </c>
      <c r="M1376" t="s">
        <v>110</v>
      </c>
      <c r="O1376" t="s">
        <v>934</v>
      </c>
      <c r="P1376" t="s">
        <v>550</v>
      </c>
      <c r="Q1376">
        <v>2021</v>
      </c>
      <c r="R1376" t="s">
        <v>584</v>
      </c>
      <c r="S1376" t="s">
        <v>585</v>
      </c>
      <c r="T1376" t="s">
        <v>553</v>
      </c>
      <c r="U1376" t="b">
        <v>0</v>
      </c>
      <c r="V1376" t="s">
        <v>785</v>
      </c>
      <c r="W1376" t="s">
        <v>587</v>
      </c>
      <c r="X1376" t="s">
        <v>556</v>
      </c>
      <c r="Y1376" t="s">
        <v>472</v>
      </c>
      <c r="Z1376" t="s">
        <v>485</v>
      </c>
      <c r="AA1376" t="s">
        <v>764</v>
      </c>
      <c r="AC1376">
        <v>1</v>
      </c>
      <c r="AD1376" t="s">
        <v>566</v>
      </c>
      <c r="AE1376">
        <v>0.79148799999999997</v>
      </c>
      <c r="AF1376">
        <v>2.384E-2</v>
      </c>
      <c r="AG1376" t="s">
        <v>786</v>
      </c>
      <c r="AH1376">
        <v>1</v>
      </c>
      <c r="AI1376">
        <v>33.200000000000003</v>
      </c>
      <c r="AJ1376" t="s">
        <v>561</v>
      </c>
      <c r="AK1376" t="s">
        <v>766</v>
      </c>
      <c r="AL1376" t="s">
        <v>790</v>
      </c>
      <c r="AM1376">
        <v>2021</v>
      </c>
      <c r="AN1376">
        <v>2021</v>
      </c>
      <c r="AO1376">
        <f>IF(AND(emissions[[#This Row],[Market-based]]=0,emissions[[#This Row],[Impact Type]]="CO2E"),emissions[[#This Row],[kgCO2e]],0)/1000</f>
        <v>0</v>
      </c>
      <c r="AP1376">
        <f>IF(AND(emissions[[#This Row],[Market-based]]=1,OR(emissions[[#This Row],[Impact Type]]="CO2E",emissions[[#This Row],[Impact Type]]="CO2E MKT")),emissions[[#This Row],[kgCO2e]],0)/1000</f>
        <v>0</v>
      </c>
      <c r="AQ1376" t="str">
        <f>_xlfn.TEXTAFTER(emissions[[#This Row],[Reporting Unit]]," &gt; ",LEN(emissions[[#This Row],[Reporting Unit]])-LEN(SUBSTITUTE(emissions[[#This Row],[Reporting Unit]],"&gt;","")))</f>
        <v>Vantage_Gurnee</v>
      </c>
      <c r="AR1376" t="str">
        <f>_xlfn.XLOOKUP(emissions[[#This Row],[Reporting unit name]],hierarchy!$A:$A,hierarchy!$C:$C)</f>
        <v>Office</v>
      </c>
    </row>
    <row r="1377" spans="1:44" hidden="1" x14ac:dyDescent="0.25">
      <c r="A1377">
        <v>1208906</v>
      </c>
      <c r="B1377" t="s">
        <v>328</v>
      </c>
      <c r="C1377" t="s">
        <v>501</v>
      </c>
      <c r="D1377" t="s">
        <v>599</v>
      </c>
      <c r="E1377" s="3">
        <v>44197</v>
      </c>
      <c r="F1377" s="3">
        <v>44561</v>
      </c>
      <c r="G1377" t="s">
        <v>141</v>
      </c>
      <c r="H1377" s="3">
        <v>44197</v>
      </c>
      <c r="I1377" s="3">
        <v>44561</v>
      </c>
      <c r="J1377" t="s">
        <v>147</v>
      </c>
      <c r="K1377">
        <v>33.200000000000003</v>
      </c>
      <c r="L1377" t="s">
        <v>148</v>
      </c>
      <c r="M1377" t="s">
        <v>110</v>
      </c>
      <c r="O1377" t="s">
        <v>934</v>
      </c>
      <c r="P1377" t="s">
        <v>550</v>
      </c>
      <c r="Q1377">
        <v>2021</v>
      </c>
      <c r="R1377" t="s">
        <v>591</v>
      </c>
      <c r="S1377" t="s">
        <v>592</v>
      </c>
      <c r="T1377" t="s">
        <v>577</v>
      </c>
      <c r="U1377" t="b">
        <v>0</v>
      </c>
      <c r="V1377" t="s">
        <v>861</v>
      </c>
      <c r="W1377" t="s">
        <v>571</v>
      </c>
      <c r="X1377" t="s">
        <v>572</v>
      </c>
      <c r="AC1377">
        <v>0</v>
      </c>
      <c r="AD1377" t="s">
        <v>565</v>
      </c>
      <c r="AE1377">
        <v>76.644528730000005</v>
      </c>
      <c r="AF1377">
        <v>0.60985999999999996</v>
      </c>
      <c r="AG1377" t="s">
        <v>588</v>
      </c>
      <c r="AH1377">
        <v>3.7854100000000002</v>
      </c>
      <c r="AI1377">
        <v>125.675612</v>
      </c>
      <c r="AJ1377" t="s">
        <v>561</v>
      </c>
      <c r="AK1377" t="s">
        <v>589</v>
      </c>
      <c r="AL1377" t="s">
        <v>603</v>
      </c>
      <c r="AM1377">
        <v>2021</v>
      </c>
      <c r="AN1377">
        <v>2019</v>
      </c>
      <c r="AO1377">
        <f>IF(AND(emissions[[#This Row],[Market-based]]=0,emissions[[#This Row],[Impact Type]]="CO2E"),emissions[[#This Row],[kgCO2e]],0)/1000</f>
        <v>7.6644528730000008E-2</v>
      </c>
      <c r="AP1377">
        <f>IF(AND(emissions[[#This Row],[Market-based]]=1,OR(emissions[[#This Row],[Impact Type]]="CO2E",emissions[[#This Row],[Impact Type]]="CO2E MKT")),emissions[[#This Row],[kgCO2e]],0)/1000</f>
        <v>0</v>
      </c>
      <c r="AQ1377" t="str">
        <f>_xlfn.TEXTAFTER(emissions[[#This Row],[Reporting Unit]]," &gt; ",LEN(emissions[[#This Row],[Reporting Unit]])-LEN(SUBSTITUTE(emissions[[#This Row],[Reporting Unit]],"&gt;","")))</f>
        <v>Vantage_Gurnee</v>
      </c>
      <c r="AR1377" t="str">
        <f>_xlfn.XLOOKUP(emissions[[#This Row],[Reporting unit name]],hierarchy!$A:$A,hierarchy!$C:$C)</f>
        <v>Office</v>
      </c>
    </row>
    <row r="1378" spans="1:44" hidden="1" x14ac:dyDescent="0.25">
      <c r="A1378">
        <v>1208906</v>
      </c>
      <c r="B1378" t="s">
        <v>328</v>
      </c>
      <c r="C1378" t="s">
        <v>501</v>
      </c>
      <c r="D1378" t="s">
        <v>599</v>
      </c>
      <c r="E1378" s="3">
        <v>44197</v>
      </c>
      <c r="F1378" s="3">
        <v>44561</v>
      </c>
      <c r="G1378" t="s">
        <v>141</v>
      </c>
      <c r="H1378" s="3">
        <v>44197</v>
      </c>
      <c r="I1378" s="3">
        <v>44561</v>
      </c>
      <c r="J1378" t="s">
        <v>147</v>
      </c>
      <c r="K1378">
        <v>33.200000000000003</v>
      </c>
      <c r="L1378" t="s">
        <v>148</v>
      </c>
      <c r="M1378" t="s">
        <v>110</v>
      </c>
      <c r="O1378" t="s">
        <v>934</v>
      </c>
      <c r="P1378" t="s">
        <v>550</v>
      </c>
      <c r="Q1378">
        <v>2021</v>
      </c>
      <c r="R1378" t="s">
        <v>591</v>
      </c>
      <c r="S1378" t="s">
        <v>592</v>
      </c>
      <c r="T1378" t="s">
        <v>577</v>
      </c>
      <c r="U1378" t="b">
        <v>0</v>
      </c>
      <c r="V1378" t="s">
        <v>861</v>
      </c>
      <c r="W1378" t="s">
        <v>571</v>
      </c>
      <c r="X1378" t="s">
        <v>572</v>
      </c>
      <c r="AC1378">
        <v>1</v>
      </c>
      <c r="AD1378" t="s">
        <v>565</v>
      </c>
      <c r="AE1378">
        <v>76.644528730000005</v>
      </c>
      <c r="AF1378">
        <v>0.60985999999999996</v>
      </c>
      <c r="AG1378" t="s">
        <v>588</v>
      </c>
      <c r="AH1378">
        <v>3.7854100000000002</v>
      </c>
      <c r="AI1378">
        <v>125.675612</v>
      </c>
      <c r="AJ1378" t="s">
        <v>561</v>
      </c>
      <c r="AK1378" t="s">
        <v>589</v>
      </c>
      <c r="AL1378" t="s">
        <v>603</v>
      </c>
      <c r="AM1378">
        <v>2021</v>
      </c>
      <c r="AN1378">
        <v>2019</v>
      </c>
      <c r="AO1378">
        <f>IF(AND(emissions[[#This Row],[Market-based]]=0,emissions[[#This Row],[Impact Type]]="CO2E"),emissions[[#This Row],[kgCO2e]],0)/1000</f>
        <v>0</v>
      </c>
      <c r="AP1378">
        <f>IF(AND(emissions[[#This Row],[Market-based]]=1,OR(emissions[[#This Row],[Impact Type]]="CO2E",emissions[[#This Row],[Impact Type]]="CO2E MKT")),emissions[[#This Row],[kgCO2e]],0)/1000</f>
        <v>7.6644528730000008E-2</v>
      </c>
      <c r="AQ1378" t="str">
        <f>_xlfn.TEXTAFTER(emissions[[#This Row],[Reporting Unit]]," &gt; ",LEN(emissions[[#This Row],[Reporting Unit]])-LEN(SUBSTITUTE(emissions[[#This Row],[Reporting Unit]],"&gt;","")))</f>
        <v>Vantage_Gurnee</v>
      </c>
      <c r="AR1378" t="str">
        <f>_xlfn.XLOOKUP(emissions[[#This Row],[Reporting unit name]],hierarchy!$A:$A,hierarchy!$C:$C)</f>
        <v>Office</v>
      </c>
    </row>
    <row r="1379" spans="1:44" hidden="1" x14ac:dyDescent="0.25">
      <c r="A1379">
        <v>5038</v>
      </c>
      <c r="B1379" t="s">
        <v>328</v>
      </c>
      <c r="C1379" t="s">
        <v>501</v>
      </c>
      <c r="D1379" t="s">
        <v>599</v>
      </c>
      <c r="E1379" s="3">
        <v>44197</v>
      </c>
      <c r="F1379" s="3">
        <v>44561</v>
      </c>
      <c r="G1379" t="s">
        <v>116</v>
      </c>
      <c r="H1379" s="3">
        <v>44197</v>
      </c>
      <c r="I1379" s="3">
        <v>44561</v>
      </c>
      <c r="J1379" t="s">
        <v>128</v>
      </c>
      <c r="K1379">
        <v>30.153199999999998</v>
      </c>
      <c r="L1379" t="s">
        <v>118</v>
      </c>
      <c r="M1379" t="s">
        <v>82</v>
      </c>
      <c r="O1379" t="s">
        <v>618</v>
      </c>
      <c r="P1379" t="s">
        <v>550</v>
      </c>
      <c r="Q1379">
        <v>2021</v>
      </c>
      <c r="R1379" t="s">
        <v>619</v>
      </c>
      <c r="S1379" t="s">
        <v>620</v>
      </c>
      <c r="T1379" t="s">
        <v>553</v>
      </c>
      <c r="U1379" t="b">
        <v>0</v>
      </c>
      <c r="V1379" t="s">
        <v>621</v>
      </c>
      <c r="W1379" t="s">
        <v>587</v>
      </c>
      <c r="X1379" t="s">
        <v>556</v>
      </c>
      <c r="AC1379">
        <v>0</v>
      </c>
      <c r="AD1379" t="s">
        <v>565</v>
      </c>
      <c r="AE1379">
        <v>43119.076000000001</v>
      </c>
      <c r="AF1379">
        <v>1430</v>
      </c>
      <c r="AG1379" t="s">
        <v>622</v>
      </c>
      <c r="AH1379">
        <v>1</v>
      </c>
      <c r="AI1379">
        <v>30.153199999999998</v>
      </c>
      <c r="AJ1379" t="s">
        <v>561</v>
      </c>
      <c r="AK1379" t="s">
        <v>623</v>
      </c>
      <c r="AL1379" t="s">
        <v>624</v>
      </c>
      <c r="AM1379">
        <v>2021</v>
      </c>
      <c r="AN1379">
        <v>2007</v>
      </c>
      <c r="AO1379">
        <f>IF(AND(emissions[[#This Row],[Market-based]]=0,emissions[[#This Row],[Impact Type]]="CO2E"),emissions[[#This Row],[kgCO2e]],0)/1000</f>
        <v>43.119076</v>
      </c>
      <c r="AP1379">
        <f>IF(AND(emissions[[#This Row],[Market-based]]=1,OR(emissions[[#This Row],[Impact Type]]="CO2E",emissions[[#This Row],[Impact Type]]="CO2E MKT")),emissions[[#This Row],[kgCO2e]],0)/1000</f>
        <v>0</v>
      </c>
      <c r="AQ1379" t="str">
        <f>_xlfn.TEXTAFTER(emissions[[#This Row],[Reporting Unit]]," &gt; ",LEN(emissions[[#This Row],[Reporting Unit]])-LEN(SUBSTITUTE(emissions[[#This Row],[Reporting Unit]],"&gt;","")))</f>
        <v>Vantage_Gurnee</v>
      </c>
      <c r="AR1379" t="str">
        <f>_xlfn.XLOOKUP(emissions[[#This Row],[Reporting unit name]],hierarchy!$A:$A,hierarchy!$C:$C)</f>
        <v>Office</v>
      </c>
    </row>
    <row r="1380" spans="1:44" hidden="1" x14ac:dyDescent="0.25">
      <c r="A1380">
        <v>5038</v>
      </c>
      <c r="B1380" t="s">
        <v>328</v>
      </c>
      <c r="C1380" t="s">
        <v>501</v>
      </c>
      <c r="D1380" t="s">
        <v>599</v>
      </c>
      <c r="E1380" s="3">
        <v>44197</v>
      </c>
      <c r="F1380" s="3">
        <v>44561</v>
      </c>
      <c r="G1380" t="s">
        <v>116</v>
      </c>
      <c r="H1380" s="3">
        <v>44197</v>
      </c>
      <c r="I1380" s="3">
        <v>44561</v>
      </c>
      <c r="J1380" t="s">
        <v>128</v>
      </c>
      <c r="K1380">
        <v>30.153199999999998</v>
      </c>
      <c r="L1380" t="s">
        <v>118</v>
      </c>
      <c r="M1380" t="s">
        <v>82</v>
      </c>
      <c r="O1380" t="s">
        <v>618</v>
      </c>
      <c r="P1380" t="s">
        <v>550</v>
      </c>
      <c r="Q1380">
        <v>2021</v>
      </c>
      <c r="R1380" t="s">
        <v>619</v>
      </c>
      <c r="S1380" t="s">
        <v>620</v>
      </c>
      <c r="T1380" t="s">
        <v>553</v>
      </c>
      <c r="U1380" t="b">
        <v>0</v>
      </c>
      <c r="V1380" t="s">
        <v>621</v>
      </c>
      <c r="W1380" t="s">
        <v>587</v>
      </c>
      <c r="X1380" t="s">
        <v>556</v>
      </c>
      <c r="AC1380">
        <v>1</v>
      </c>
      <c r="AD1380" t="s">
        <v>565</v>
      </c>
      <c r="AE1380">
        <v>43119.076000000001</v>
      </c>
      <c r="AF1380">
        <v>1430</v>
      </c>
      <c r="AG1380" t="s">
        <v>622</v>
      </c>
      <c r="AH1380">
        <v>1</v>
      </c>
      <c r="AI1380">
        <v>30.153199999999998</v>
      </c>
      <c r="AJ1380" t="s">
        <v>561</v>
      </c>
      <c r="AK1380" t="s">
        <v>623</v>
      </c>
      <c r="AL1380" t="s">
        <v>624</v>
      </c>
      <c r="AM1380">
        <v>2021</v>
      </c>
      <c r="AN1380">
        <v>2007</v>
      </c>
      <c r="AO1380">
        <f>IF(AND(emissions[[#This Row],[Market-based]]=0,emissions[[#This Row],[Impact Type]]="CO2E"),emissions[[#This Row],[kgCO2e]],0)/1000</f>
        <v>0</v>
      </c>
      <c r="AP1380">
        <f>IF(AND(emissions[[#This Row],[Market-based]]=1,OR(emissions[[#This Row],[Impact Type]]="CO2E",emissions[[#This Row],[Impact Type]]="CO2E MKT")),emissions[[#This Row],[kgCO2e]],0)/1000</f>
        <v>43.119076</v>
      </c>
      <c r="AQ1380" t="str">
        <f>_xlfn.TEXTAFTER(emissions[[#This Row],[Reporting Unit]]," &gt; ",LEN(emissions[[#This Row],[Reporting Unit]])-LEN(SUBSTITUTE(emissions[[#This Row],[Reporting Unit]],"&gt;","")))</f>
        <v>Vantage_Gurnee</v>
      </c>
      <c r="AR1380" t="str">
        <f>_xlfn.XLOOKUP(emissions[[#This Row],[Reporting unit name]],hierarchy!$A:$A,hierarchy!$C:$C)</f>
        <v>Office</v>
      </c>
    </row>
    <row r="1381" spans="1:44" hidden="1" x14ac:dyDescent="0.25">
      <c r="A1381">
        <v>1257594</v>
      </c>
      <c r="B1381" t="s">
        <v>328</v>
      </c>
      <c r="C1381" t="s">
        <v>501</v>
      </c>
      <c r="D1381" t="s">
        <v>599</v>
      </c>
      <c r="E1381" s="3">
        <v>44197</v>
      </c>
      <c r="F1381" s="3">
        <v>44561</v>
      </c>
      <c r="G1381" t="s">
        <v>116</v>
      </c>
      <c r="H1381" s="3">
        <v>44197</v>
      </c>
      <c r="I1381" s="3">
        <v>44561</v>
      </c>
      <c r="J1381" t="s">
        <v>218</v>
      </c>
      <c r="K1381">
        <v>26</v>
      </c>
      <c r="L1381" t="s">
        <v>215</v>
      </c>
      <c r="M1381" t="s">
        <v>110</v>
      </c>
      <c r="O1381" t="s">
        <v>935</v>
      </c>
      <c r="P1381" t="s">
        <v>936</v>
      </c>
      <c r="Q1381">
        <v>2021</v>
      </c>
      <c r="R1381" t="s">
        <v>664</v>
      </c>
      <c r="S1381" t="s">
        <v>175</v>
      </c>
      <c r="T1381" t="s">
        <v>553</v>
      </c>
      <c r="U1381" t="b">
        <v>0</v>
      </c>
      <c r="V1381" t="s">
        <v>665</v>
      </c>
      <c r="W1381" t="s">
        <v>587</v>
      </c>
      <c r="X1381" t="s">
        <v>556</v>
      </c>
      <c r="AC1381">
        <v>0</v>
      </c>
      <c r="AD1381" t="s">
        <v>565</v>
      </c>
      <c r="AE1381">
        <v>24624.651900000001</v>
      </c>
      <c r="AF1381">
        <v>2088</v>
      </c>
      <c r="AG1381" t="s">
        <v>622</v>
      </c>
      <c r="AH1381">
        <v>0.45359291000000002</v>
      </c>
      <c r="AI1381">
        <v>11.793415660000001</v>
      </c>
      <c r="AJ1381" t="s">
        <v>561</v>
      </c>
      <c r="AK1381" t="s">
        <v>623</v>
      </c>
      <c r="AL1381" t="s">
        <v>624</v>
      </c>
      <c r="AM1381">
        <v>2021</v>
      </c>
      <c r="AN1381">
        <v>2007</v>
      </c>
      <c r="AO1381">
        <f>IF(AND(emissions[[#This Row],[Market-based]]=0,emissions[[#This Row],[Impact Type]]="CO2E"),emissions[[#This Row],[kgCO2e]],0)/1000</f>
        <v>24.6246519</v>
      </c>
      <c r="AP1381">
        <f>IF(AND(emissions[[#This Row],[Market-based]]=1,OR(emissions[[#This Row],[Impact Type]]="CO2E",emissions[[#This Row],[Impact Type]]="CO2E MKT")),emissions[[#This Row],[kgCO2e]],0)/1000</f>
        <v>0</v>
      </c>
      <c r="AQ1381" t="str">
        <f>_xlfn.TEXTAFTER(emissions[[#This Row],[Reporting Unit]]," &gt; ",LEN(emissions[[#This Row],[Reporting Unit]])-LEN(SUBSTITUTE(emissions[[#This Row],[Reporting Unit]],"&gt;","")))</f>
        <v>Vantage_Gurnee</v>
      </c>
      <c r="AR1381" t="str">
        <f>_xlfn.XLOOKUP(emissions[[#This Row],[Reporting unit name]],hierarchy!$A:$A,hierarchy!$C:$C)</f>
        <v>Office</v>
      </c>
    </row>
    <row r="1382" spans="1:44" hidden="1" x14ac:dyDescent="0.25">
      <c r="A1382">
        <v>1257594</v>
      </c>
      <c r="B1382" t="s">
        <v>328</v>
      </c>
      <c r="C1382" t="s">
        <v>501</v>
      </c>
      <c r="D1382" t="s">
        <v>599</v>
      </c>
      <c r="E1382" s="3">
        <v>44197</v>
      </c>
      <c r="F1382" s="3">
        <v>44561</v>
      </c>
      <c r="G1382" t="s">
        <v>116</v>
      </c>
      <c r="H1382" s="3">
        <v>44197</v>
      </c>
      <c r="I1382" s="3">
        <v>44561</v>
      </c>
      <c r="J1382" t="s">
        <v>218</v>
      </c>
      <c r="K1382">
        <v>26</v>
      </c>
      <c r="L1382" t="s">
        <v>215</v>
      </c>
      <c r="M1382" t="s">
        <v>110</v>
      </c>
      <c r="O1382" t="s">
        <v>935</v>
      </c>
      <c r="P1382" t="s">
        <v>936</v>
      </c>
      <c r="Q1382">
        <v>2021</v>
      </c>
      <c r="R1382" t="s">
        <v>664</v>
      </c>
      <c r="S1382" t="s">
        <v>175</v>
      </c>
      <c r="T1382" t="s">
        <v>553</v>
      </c>
      <c r="U1382" t="b">
        <v>0</v>
      </c>
      <c r="V1382" t="s">
        <v>665</v>
      </c>
      <c r="W1382" t="s">
        <v>587</v>
      </c>
      <c r="X1382" t="s">
        <v>556</v>
      </c>
      <c r="AC1382">
        <v>1</v>
      </c>
      <c r="AD1382" t="s">
        <v>565</v>
      </c>
      <c r="AE1382">
        <v>24624.651900000001</v>
      </c>
      <c r="AF1382">
        <v>2088</v>
      </c>
      <c r="AG1382" t="s">
        <v>622</v>
      </c>
      <c r="AH1382">
        <v>0.45359291000000002</v>
      </c>
      <c r="AI1382">
        <v>11.793415660000001</v>
      </c>
      <c r="AJ1382" t="s">
        <v>561</v>
      </c>
      <c r="AK1382" t="s">
        <v>623</v>
      </c>
      <c r="AL1382" t="s">
        <v>624</v>
      </c>
      <c r="AM1382">
        <v>2021</v>
      </c>
      <c r="AN1382">
        <v>2007</v>
      </c>
      <c r="AO1382">
        <f>IF(AND(emissions[[#This Row],[Market-based]]=0,emissions[[#This Row],[Impact Type]]="CO2E"),emissions[[#This Row],[kgCO2e]],0)/1000</f>
        <v>0</v>
      </c>
      <c r="AP1382">
        <f>IF(AND(emissions[[#This Row],[Market-based]]=1,OR(emissions[[#This Row],[Impact Type]]="CO2E",emissions[[#This Row],[Impact Type]]="CO2E MKT")),emissions[[#This Row],[kgCO2e]],0)/1000</f>
        <v>24.6246519</v>
      </c>
      <c r="AQ1382" t="str">
        <f>_xlfn.TEXTAFTER(emissions[[#This Row],[Reporting Unit]]," &gt; ",LEN(emissions[[#This Row],[Reporting Unit]])-LEN(SUBSTITUTE(emissions[[#This Row],[Reporting Unit]],"&gt;","")))</f>
        <v>Vantage_Gurnee</v>
      </c>
      <c r="AR1382" t="str">
        <f>_xlfn.XLOOKUP(emissions[[#This Row],[Reporting unit name]],hierarchy!$A:$A,hierarchy!$C:$C)</f>
        <v>Office</v>
      </c>
    </row>
    <row r="1383" spans="1:44" hidden="1" x14ac:dyDescent="0.25">
      <c r="A1383">
        <v>1257599</v>
      </c>
      <c r="B1383" t="s">
        <v>328</v>
      </c>
      <c r="C1383" t="s">
        <v>501</v>
      </c>
      <c r="D1383" t="s">
        <v>599</v>
      </c>
      <c r="E1383" s="3">
        <v>44197</v>
      </c>
      <c r="F1383" s="3">
        <v>44561</v>
      </c>
      <c r="G1383" t="s">
        <v>116</v>
      </c>
      <c r="H1383" s="3">
        <v>44197</v>
      </c>
      <c r="I1383" s="3">
        <v>44561</v>
      </c>
      <c r="J1383" t="s">
        <v>347</v>
      </c>
      <c r="K1383">
        <v>25</v>
      </c>
      <c r="L1383" t="s">
        <v>118</v>
      </c>
      <c r="M1383" t="s">
        <v>110</v>
      </c>
      <c r="O1383" t="s">
        <v>937</v>
      </c>
      <c r="P1383" t="s">
        <v>936</v>
      </c>
      <c r="Q1383">
        <v>2021</v>
      </c>
      <c r="R1383" t="s">
        <v>698</v>
      </c>
      <c r="S1383" t="s">
        <v>178</v>
      </c>
      <c r="T1383" t="s">
        <v>553</v>
      </c>
      <c r="U1383" t="b">
        <v>0</v>
      </c>
      <c r="V1383" t="s">
        <v>699</v>
      </c>
      <c r="W1383" t="s">
        <v>587</v>
      </c>
      <c r="X1383" t="s">
        <v>556</v>
      </c>
      <c r="AC1383">
        <v>0</v>
      </c>
      <c r="AD1383" t="s">
        <v>565</v>
      </c>
      <c r="AE1383">
        <v>44350</v>
      </c>
      <c r="AF1383">
        <v>1774</v>
      </c>
      <c r="AG1383" t="s">
        <v>622</v>
      </c>
      <c r="AH1383">
        <v>1</v>
      </c>
      <c r="AI1383">
        <v>25</v>
      </c>
      <c r="AJ1383" t="s">
        <v>561</v>
      </c>
      <c r="AK1383" t="s">
        <v>623</v>
      </c>
      <c r="AL1383" t="s">
        <v>624</v>
      </c>
      <c r="AM1383">
        <v>2021</v>
      </c>
      <c r="AN1383">
        <v>2007</v>
      </c>
      <c r="AO1383">
        <f>IF(AND(emissions[[#This Row],[Market-based]]=0,emissions[[#This Row],[Impact Type]]="CO2E"),emissions[[#This Row],[kgCO2e]],0)/1000</f>
        <v>44.35</v>
      </c>
      <c r="AP1383">
        <f>IF(AND(emissions[[#This Row],[Market-based]]=1,OR(emissions[[#This Row],[Impact Type]]="CO2E",emissions[[#This Row],[Impact Type]]="CO2E MKT")),emissions[[#This Row],[kgCO2e]],0)/1000</f>
        <v>0</v>
      </c>
      <c r="AQ1383" t="str">
        <f>_xlfn.TEXTAFTER(emissions[[#This Row],[Reporting Unit]]," &gt; ",LEN(emissions[[#This Row],[Reporting Unit]])-LEN(SUBSTITUTE(emissions[[#This Row],[Reporting Unit]],"&gt;","")))</f>
        <v>Vantage_Gurnee</v>
      </c>
      <c r="AR1383" t="str">
        <f>_xlfn.XLOOKUP(emissions[[#This Row],[Reporting unit name]],hierarchy!$A:$A,hierarchy!$C:$C)</f>
        <v>Office</v>
      </c>
    </row>
    <row r="1384" spans="1:44" hidden="1" x14ac:dyDescent="0.25">
      <c r="A1384">
        <v>1257599</v>
      </c>
      <c r="B1384" t="s">
        <v>328</v>
      </c>
      <c r="C1384" t="s">
        <v>501</v>
      </c>
      <c r="D1384" t="s">
        <v>599</v>
      </c>
      <c r="E1384" s="3">
        <v>44197</v>
      </c>
      <c r="F1384" s="3">
        <v>44561</v>
      </c>
      <c r="G1384" t="s">
        <v>116</v>
      </c>
      <c r="H1384" s="3">
        <v>44197</v>
      </c>
      <c r="I1384" s="3">
        <v>44561</v>
      </c>
      <c r="J1384" t="s">
        <v>347</v>
      </c>
      <c r="K1384">
        <v>25</v>
      </c>
      <c r="L1384" t="s">
        <v>118</v>
      </c>
      <c r="M1384" t="s">
        <v>110</v>
      </c>
      <c r="O1384" t="s">
        <v>937</v>
      </c>
      <c r="P1384" t="s">
        <v>936</v>
      </c>
      <c r="Q1384">
        <v>2021</v>
      </c>
      <c r="R1384" t="s">
        <v>698</v>
      </c>
      <c r="S1384" t="s">
        <v>178</v>
      </c>
      <c r="T1384" t="s">
        <v>553</v>
      </c>
      <c r="U1384" t="b">
        <v>0</v>
      </c>
      <c r="V1384" t="s">
        <v>699</v>
      </c>
      <c r="W1384" t="s">
        <v>587</v>
      </c>
      <c r="X1384" t="s">
        <v>556</v>
      </c>
      <c r="AC1384">
        <v>1</v>
      </c>
      <c r="AD1384" t="s">
        <v>565</v>
      </c>
      <c r="AE1384">
        <v>44350</v>
      </c>
      <c r="AF1384">
        <v>1774</v>
      </c>
      <c r="AG1384" t="s">
        <v>622</v>
      </c>
      <c r="AH1384">
        <v>1</v>
      </c>
      <c r="AI1384">
        <v>25</v>
      </c>
      <c r="AJ1384" t="s">
        <v>561</v>
      </c>
      <c r="AK1384" t="s">
        <v>623</v>
      </c>
      <c r="AL1384" t="s">
        <v>624</v>
      </c>
      <c r="AM1384">
        <v>2021</v>
      </c>
      <c r="AN1384">
        <v>2007</v>
      </c>
      <c r="AO1384">
        <f>IF(AND(emissions[[#This Row],[Market-based]]=0,emissions[[#This Row],[Impact Type]]="CO2E"),emissions[[#This Row],[kgCO2e]],0)/1000</f>
        <v>0</v>
      </c>
      <c r="AP1384">
        <f>IF(AND(emissions[[#This Row],[Market-based]]=1,OR(emissions[[#This Row],[Impact Type]]="CO2E",emissions[[#This Row],[Impact Type]]="CO2E MKT")),emissions[[#This Row],[kgCO2e]],0)/1000</f>
        <v>44.35</v>
      </c>
      <c r="AQ1384" t="str">
        <f>_xlfn.TEXTAFTER(emissions[[#This Row],[Reporting Unit]]," &gt; ",LEN(emissions[[#This Row],[Reporting Unit]])-LEN(SUBSTITUTE(emissions[[#This Row],[Reporting Unit]],"&gt;","")))</f>
        <v>Vantage_Gurnee</v>
      </c>
      <c r="AR1384" t="str">
        <f>_xlfn.XLOOKUP(emissions[[#This Row],[Reporting unit name]],hierarchy!$A:$A,hierarchy!$C:$C)</f>
        <v>Office</v>
      </c>
    </row>
    <row r="1385" spans="1:44" hidden="1" x14ac:dyDescent="0.25">
      <c r="A1385">
        <v>1257604</v>
      </c>
      <c r="B1385" t="s">
        <v>328</v>
      </c>
      <c r="C1385" t="s">
        <v>501</v>
      </c>
      <c r="D1385" t="s">
        <v>599</v>
      </c>
      <c r="E1385" s="3">
        <v>44197</v>
      </c>
      <c r="F1385" s="3">
        <v>44561</v>
      </c>
      <c r="G1385" t="s">
        <v>116</v>
      </c>
      <c r="H1385" s="3">
        <v>44197</v>
      </c>
      <c r="I1385" s="3">
        <v>44561</v>
      </c>
      <c r="J1385" t="s">
        <v>272</v>
      </c>
      <c r="K1385">
        <v>15</v>
      </c>
      <c r="L1385" t="s">
        <v>215</v>
      </c>
      <c r="M1385" t="s">
        <v>110</v>
      </c>
      <c r="O1385" t="s">
        <v>937</v>
      </c>
      <c r="P1385" t="s">
        <v>938</v>
      </c>
      <c r="Q1385">
        <v>2021</v>
      </c>
      <c r="R1385" t="s">
        <v>803</v>
      </c>
      <c r="S1385" t="s">
        <v>272</v>
      </c>
      <c r="T1385" t="s">
        <v>553</v>
      </c>
      <c r="U1385" t="b">
        <v>0</v>
      </c>
      <c r="V1385" t="s">
        <v>804</v>
      </c>
      <c r="W1385" t="s">
        <v>587</v>
      </c>
      <c r="X1385" t="s">
        <v>556</v>
      </c>
      <c r="AC1385">
        <v>0</v>
      </c>
      <c r="AD1385" t="s">
        <v>565</v>
      </c>
      <c r="AE1385">
        <v>12315.04751</v>
      </c>
      <c r="AF1385">
        <v>1810</v>
      </c>
      <c r="AG1385" t="s">
        <v>622</v>
      </c>
      <c r="AH1385">
        <v>0.45359291000000002</v>
      </c>
      <c r="AI1385">
        <v>6.80389365</v>
      </c>
      <c r="AJ1385" t="s">
        <v>561</v>
      </c>
      <c r="AK1385" t="s">
        <v>623</v>
      </c>
      <c r="AL1385" t="s">
        <v>624</v>
      </c>
      <c r="AM1385">
        <v>2021</v>
      </c>
      <c r="AN1385">
        <v>2007</v>
      </c>
      <c r="AO1385">
        <f>IF(AND(emissions[[#This Row],[Market-based]]=0,emissions[[#This Row],[Impact Type]]="CO2E"),emissions[[#This Row],[kgCO2e]],0)/1000</f>
        <v>12.315047510000001</v>
      </c>
      <c r="AP1385">
        <f>IF(AND(emissions[[#This Row],[Market-based]]=1,OR(emissions[[#This Row],[Impact Type]]="CO2E",emissions[[#This Row],[Impact Type]]="CO2E MKT")),emissions[[#This Row],[kgCO2e]],0)/1000</f>
        <v>0</v>
      </c>
      <c r="AQ1385" t="str">
        <f>_xlfn.TEXTAFTER(emissions[[#This Row],[Reporting Unit]]," &gt; ",LEN(emissions[[#This Row],[Reporting Unit]])-LEN(SUBSTITUTE(emissions[[#This Row],[Reporting Unit]],"&gt;","")))</f>
        <v>Vantage_Gurnee</v>
      </c>
      <c r="AR1385" t="str">
        <f>_xlfn.XLOOKUP(emissions[[#This Row],[Reporting unit name]],hierarchy!$A:$A,hierarchy!$C:$C)</f>
        <v>Office</v>
      </c>
    </row>
    <row r="1386" spans="1:44" hidden="1" x14ac:dyDescent="0.25">
      <c r="A1386">
        <v>1257604</v>
      </c>
      <c r="B1386" t="s">
        <v>328</v>
      </c>
      <c r="C1386" t="s">
        <v>501</v>
      </c>
      <c r="D1386" t="s">
        <v>599</v>
      </c>
      <c r="E1386" s="3">
        <v>44197</v>
      </c>
      <c r="F1386" s="3">
        <v>44561</v>
      </c>
      <c r="G1386" t="s">
        <v>116</v>
      </c>
      <c r="H1386" s="3">
        <v>44197</v>
      </c>
      <c r="I1386" s="3">
        <v>44561</v>
      </c>
      <c r="J1386" t="s">
        <v>272</v>
      </c>
      <c r="K1386">
        <v>15</v>
      </c>
      <c r="L1386" t="s">
        <v>215</v>
      </c>
      <c r="M1386" t="s">
        <v>110</v>
      </c>
      <c r="O1386" t="s">
        <v>937</v>
      </c>
      <c r="P1386" t="s">
        <v>938</v>
      </c>
      <c r="Q1386">
        <v>2021</v>
      </c>
      <c r="R1386" t="s">
        <v>803</v>
      </c>
      <c r="S1386" t="s">
        <v>272</v>
      </c>
      <c r="T1386" t="s">
        <v>553</v>
      </c>
      <c r="U1386" t="b">
        <v>0</v>
      </c>
      <c r="V1386" t="s">
        <v>804</v>
      </c>
      <c r="W1386" t="s">
        <v>587</v>
      </c>
      <c r="X1386" t="s">
        <v>556</v>
      </c>
      <c r="AC1386">
        <v>1</v>
      </c>
      <c r="AD1386" t="s">
        <v>565</v>
      </c>
      <c r="AE1386">
        <v>12315.04751</v>
      </c>
      <c r="AF1386">
        <v>1810</v>
      </c>
      <c r="AG1386" t="s">
        <v>622</v>
      </c>
      <c r="AH1386">
        <v>0.45359291000000002</v>
      </c>
      <c r="AI1386">
        <v>6.80389365</v>
      </c>
      <c r="AJ1386" t="s">
        <v>561</v>
      </c>
      <c r="AK1386" t="s">
        <v>623</v>
      </c>
      <c r="AL1386" t="s">
        <v>624</v>
      </c>
      <c r="AM1386">
        <v>2021</v>
      </c>
      <c r="AN1386">
        <v>2007</v>
      </c>
      <c r="AO1386">
        <f>IF(AND(emissions[[#This Row],[Market-based]]=0,emissions[[#This Row],[Impact Type]]="CO2E"),emissions[[#This Row],[kgCO2e]],0)/1000</f>
        <v>0</v>
      </c>
      <c r="AP1386">
        <f>IF(AND(emissions[[#This Row],[Market-based]]=1,OR(emissions[[#This Row],[Impact Type]]="CO2E",emissions[[#This Row],[Impact Type]]="CO2E MKT")),emissions[[#This Row],[kgCO2e]],0)/1000</f>
        <v>12.315047510000001</v>
      </c>
      <c r="AQ1386" t="str">
        <f>_xlfn.TEXTAFTER(emissions[[#This Row],[Reporting Unit]]," &gt; ",LEN(emissions[[#This Row],[Reporting Unit]])-LEN(SUBSTITUTE(emissions[[#This Row],[Reporting Unit]],"&gt;","")))</f>
        <v>Vantage_Gurnee</v>
      </c>
      <c r="AR1386" t="str">
        <f>_xlfn.XLOOKUP(emissions[[#This Row],[Reporting unit name]],hierarchy!$A:$A,hierarchy!$C:$C)</f>
        <v>Office</v>
      </c>
    </row>
    <row r="1387" spans="1:44" hidden="1" x14ac:dyDescent="0.25">
      <c r="A1387">
        <v>1236880</v>
      </c>
      <c r="B1387" t="s">
        <v>328</v>
      </c>
      <c r="C1387" t="s">
        <v>501</v>
      </c>
      <c r="D1387" t="s">
        <v>599</v>
      </c>
      <c r="E1387" s="3">
        <v>44197</v>
      </c>
      <c r="F1387" s="3">
        <v>44561</v>
      </c>
      <c r="G1387" t="s">
        <v>121</v>
      </c>
      <c r="H1387" s="3">
        <v>44197</v>
      </c>
      <c r="I1387" s="3">
        <v>44561</v>
      </c>
      <c r="J1387" t="s">
        <v>150</v>
      </c>
      <c r="K1387">
        <v>29376</v>
      </c>
      <c r="L1387" t="s">
        <v>215</v>
      </c>
      <c r="M1387" t="s">
        <v>110</v>
      </c>
      <c r="O1387" t="s">
        <v>939</v>
      </c>
      <c r="P1387" t="s">
        <v>940</v>
      </c>
      <c r="Q1387">
        <v>2021</v>
      </c>
      <c r="R1387" t="s">
        <v>594</v>
      </c>
      <c r="S1387" t="s">
        <v>150</v>
      </c>
      <c r="T1387" t="s">
        <v>553</v>
      </c>
      <c r="U1387" t="b">
        <v>0</v>
      </c>
      <c r="V1387" t="s">
        <v>595</v>
      </c>
      <c r="W1387" t="s">
        <v>587</v>
      </c>
      <c r="X1387" t="s">
        <v>556</v>
      </c>
      <c r="AC1387">
        <v>0</v>
      </c>
      <c r="AD1387" t="s">
        <v>558</v>
      </c>
      <c r="AE1387">
        <v>30.779964230000001</v>
      </c>
      <c r="AF1387">
        <v>2.31</v>
      </c>
      <c r="AG1387" t="s">
        <v>756</v>
      </c>
      <c r="AH1387">
        <v>4.5359000000000003E-4</v>
      </c>
      <c r="AI1387">
        <v>13.324659840000001</v>
      </c>
      <c r="AJ1387" t="s">
        <v>561</v>
      </c>
      <c r="AK1387" t="s">
        <v>589</v>
      </c>
      <c r="AL1387" t="s">
        <v>603</v>
      </c>
      <c r="AM1387">
        <v>2021</v>
      </c>
      <c r="AN1387">
        <v>2019</v>
      </c>
      <c r="AO1387">
        <f>IF(AND(emissions[[#This Row],[Market-based]]=0,emissions[[#This Row],[Impact Type]]="CO2E"),emissions[[#This Row],[kgCO2e]],0)/1000</f>
        <v>0</v>
      </c>
      <c r="AP1387">
        <f>IF(AND(emissions[[#This Row],[Market-based]]=1,OR(emissions[[#This Row],[Impact Type]]="CO2E",emissions[[#This Row],[Impact Type]]="CO2E MKT")),emissions[[#This Row],[kgCO2e]],0)/1000</f>
        <v>0</v>
      </c>
      <c r="AQ1387" t="str">
        <f>_xlfn.TEXTAFTER(emissions[[#This Row],[Reporting Unit]]," &gt; ",LEN(emissions[[#This Row],[Reporting Unit]])-LEN(SUBSTITUTE(emissions[[#This Row],[Reporting Unit]],"&gt;","")))</f>
        <v>Vantage_Gurnee</v>
      </c>
      <c r="AR1387" t="str">
        <f>_xlfn.XLOOKUP(emissions[[#This Row],[Reporting unit name]],hierarchy!$A:$A,hierarchy!$C:$C)</f>
        <v>Office</v>
      </c>
    </row>
    <row r="1388" spans="1:44" hidden="1" x14ac:dyDescent="0.25">
      <c r="A1388">
        <v>1236880</v>
      </c>
      <c r="B1388" t="s">
        <v>328</v>
      </c>
      <c r="C1388" t="s">
        <v>501</v>
      </c>
      <c r="D1388" t="s">
        <v>599</v>
      </c>
      <c r="E1388" s="3">
        <v>44197</v>
      </c>
      <c r="F1388" s="3">
        <v>44561</v>
      </c>
      <c r="G1388" t="s">
        <v>121</v>
      </c>
      <c r="H1388" s="3">
        <v>44197</v>
      </c>
      <c r="I1388" s="3">
        <v>44561</v>
      </c>
      <c r="J1388" t="s">
        <v>150</v>
      </c>
      <c r="K1388">
        <v>29376</v>
      </c>
      <c r="L1388" t="s">
        <v>215</v>
      </c>
      <c r="M1388" t="s">
        <v>110</v>
      </c>
      <c r="O1388" t="s">
        <v>939</v>
      </c>
      <c r="P1388" t="s">
        <v>940</v>
      </c>
      <c r="Q1388">
        <v>2021</v>
      </c>
      <c r="R1388" t="s">
        <v>594</v>
      </c>
      <c r="S1388" t="s">
        <v>150</v>
      </c>
      <c r="T1388" t="s">
        <v>553</v>
      </c>
      <c r="U1388" t="b">
        <v>0</v>
      </c>
      <c r="V1388" t="s">
        <v>595</v>
      </c>
      <c r="W1388" t="s">
        <v>587</v>
      </c>
      <c r="X1388" t="s">
        <v>556</v>
      </c>
      <c r="AC1388">
        <v>0</v>
      </c>
      <c r="AD1388" t="s">
        <v>564</v>
      </c>
      <c r="AE1388">
        <v>39886.036769999999</v>
      </c>
      <c r="AF1388">
        <v>2993.4</v>
      </c>
      <c r="AG1388" t="s">
        <v>756</v>
      </c>
      <c r="AH1388">
        <v>4.5359000000000003E-4</v>
      </c>
      <c r="AI1388">
        <v>13.324659840000001</v>
      </c>
      <c r="AJ1388" t="s">
        <v>561</v>
      </c>
      <c r="AK1388" t="s">
        <v>589</v>
      </c>
      <c r="AL1388" t="s">
        <v>603</v>
      </c>
      <c r="AM1388">
        <v>2021</v>
      </c>
      <c r="AN1388">
        <v>2019</v>
      </c>
      <c r="AO1388">
        <f>IF(AND(emissions[[#This Row],[Market-based]]=0,emissions[[#This Row],[Impact Type]]="CO2E"),emissions[[#This Row],[kgCO2e]],0)/1000</f>
        <v>0</v>
      </c>
      <c r="AP1388">
        <f>IF(AND(emissions[[#This Row],[Market-based]]=1,OR(emissions[[#This Row],[Impact Type]]="CO2E",emissions[[#This Row],[Impact Type]]="CO2E MKT")),emissions[[#This Row],[kgCO2e]],0)/1000</f>
        <v>0</v>
      </c>
      <c r="AQ1388" t="str">
        <f>_xlfn.TEXTAFTER(emissions[[#This Row],[Reporting Unit]]," &gt; ",LEN(emissions[[#This Row],[Reporting Unit]])-LEN(SUBSTITUTE(emissions[[#This Row],[Reporting Unit]],"&gt;","")))</f>
        <v>Vantage_Gurnee</v>
      </c>
      <c r="AR1388" t="str">
        <f>_xlfn.XLOOKUP(emissions[[#This Row],[Reporting unit name]],hierarchy!$A:$A,hierarchy!$C:$C)</f>
        <v>Office</v>
      </c>
    </row>
    <row r="1389" spans="1:44" hidden="1" x14ac:dyDescent="0.25">
      <c r="A1389">
        <v>1236880</v>
      </c>
      <c r="B1389" t="s">
        <v>328</v>
      </c>
      <c r="C1389" t="s">
        <v>501</v>
      </c>
      <c r="D1389" t="s">
        <v>599</v>
      </c>
      <c r="E1389" s="3">
        <v>44197</v>
      </c>
      <c r="F1389" s="3">
        <v>44561</v>
      </c>
      <c r="G1389" t="s">
        <v>121</v>
      </c>
      <c r="H1389" s="3">
        <v>44197</v>
      </c>
      <c r="I1389" s="3">
        <v>44561</v>
      </c>
      <c r="J1389" t="s">
        <v>150</v>
      </c>
      <c r="K1389">
        <v>29376</v>
      </c>
      <c r="L1389" t="s">
        <v>215</v>
      </c>
      <c r="M1389" t="s">
        <v>110</v>
      </c>
      <c r="O1389" t="s">
        <v>939</v>
      </c>
      <c r="P1389" t="s">
        <v>940</v>
      </c>
      <c r="Q1389">
        <v>2021</v>
      </c>
      <c r="R1389" t="s">
        <v>594</v>
      </c>
      <c r="S1389" t="s">
        <v>150</v>
      </c>
      <c r="T1389" t="s">
        <v>553</v>
      </c>
      <c r="U1389" t="b">
        <v>0</v>
      </c>
      <c r="V1389" t="s">
        <v>595</v>
      </c>
      <c r="W1389" t="s">
        <v>587</v>
      </c>
      <c r="X1389" t="s">
        <v>556</v>
      </c>
      <c r="AC1389">
        <v>0</v>
      </c>
      <c r="AD1389" t="s">
        <v>565</v>
      </c>
      <c r="AE1389">
        <v>39941.467349999999</v>
      </c>
      <c r="AF1389">
        <v>2997.56</v>
      </c>
      <c r="AG1389" t="s">
        <v>756</v>
      </c>
      <c r="AH1389">
        <v>4.5359000000000003E-4</v>
      </c>
      <c r="AI1389">
        <v>13.324659840000001</v>
      </c>
      <c r="AJ1389" t="s">
        <v>561</v>
      </c>
      <c r="AK1389" t="s">
        <v>589</v>
      </c>
      <c r="AL1389" t="s">
        <v>603</v>
      </c>
      <c r="AM1389">
        <v>2021</v>
      </c>
      <c r="AN1389">
        <v>2019</v>
      </c>
      <c r="AO1389">
        <f>IF(AND(emissions[[#This Row],[Market-based]]=0,emissions[[#This Row],[Impact Type]]="CO2E"),emissions[[#This Row],[kgCO2e]],0)/1000</f>
        <v>39.941467349999996</v>
      </c>
      <c r="AP1389">
        <f>IF(AND(emissions[[#This Row],[Market-based]]=1,OR(emissions[[#This Row],[Impact Type]]="CO2E",emissions[[#This Row],[Impact Type]]="CO2E MKT")),emissions[[#This Row],[kgCO2e]],0)/1000</f>
        <v>0</v>
      </c>
      <c r="AQ1389" t="str">
        <f>_xlfn.TEXTAFTER(emissions[[#This Row],[Reporting Unit]]," &gt; ",LEN(emissions[[#This Row],[Reporting Unit]])-LEN(SUBSTITUTE(emissions[[#This Row],[Reporting Unit]],"&gt;","")))</f>
        <v>Vantage_Gurnee</v>
      </c>
      <c r="AR1389" t="str">
        <f>_xlfn.XLOOKUP(emissions[[#This Row],[Reporting unit name]],hierarchy!$A:$A,hierarchy!$C:$C)</f>
        <v>Office</v>
      </c>
    </row>
    <row r="1390" spans="1:44" hidden="1" x14ac:dyDescent="0.25">
      <c r="A1390">
        <v>1236880</v>
      </c>
      <c r="B1390" t="s">
        <v>328</v>
      </c>
      <c r="C1390" t="s">
        <v>501</v>
      </c>
      <c r="D1390" t="s">
        <v>599</v>
      </c>
      <c r="E1390" s="3">
        <v>44197</v>
      </c>
      <c r="F1390" s="3">
        <v>44561</v>
      </c>
      <c r="G1390" t="s">
        <v>121</v>
      </c>
      <c r="H1390" s="3">
        <v>44197</v>
      </c>
      <c r="I1390" s="3">
        <v>44561</v>
      </c>
      <c r="J1390" t="s">
        <v>150</v>
      </c>
      <c r="K1390">
        <v>29376</v>
      </c>
      <c r="L1390" t="s">
        <v>215</v>
      </c>
      <c r="M1390" t="s">
        <v>110</v>
      </c>
      <c r="O1390" t="s">
        <v>939</v>
      </c>
      <c r="P1390" t="s">
        <v>940</v>
      </c>
      <c r="Q1390">
        <v>2021</v>
      </c>
      <c r="R1390" t="s">
        <v>594</v>
      </c>
      <c r="S1390" t="s">
        <v>150</v>
      </c>
      <c r="T1390" t="s">
        <v>553</v>
      </c>
      <c r="U1390" t="b">
        <v>0</v>
      </c>
      <c r="V1390" t="s">
        <v>595</v>
      </c>
      <c r="W1390" t="s">
        <v>587</v>
      </c>
      <c r="X1390" t="s">
        <v>556</v>
      </c>
      <c r="AC1390">
        <v>0</v>
      </c>
      <c r="AD1390" t="s">
        <v>566</v>
      </c>
      <c r="AE1390">
        <v>24.650620700000001</v>
      </c>
      <c r="AF1390">
        <v>1.85</v>
      </c>
      <c r="AG1390" t="s">
        <v>756</v>
      </c>
      <c r="AH1390">
        <v>4.5359000000000003E-4</v>
      </c>
      <c r="AI1390">
        <v>13.324659840000001</v>
      </c>
      <c r="AJ1390" t="s">
        <v>561</v>
      </c>
      <c r="AK1390" t="s">
        <v>589</v>
      </c>
      <c r="AL1390" t="s">
        <v>603</v>
      </c>
      <c r="AM1390">
        <v>2021</v>
      </c>
      <c r="AN1390">
        <v>2019</v>
      </c>
      <c r="AO1390">
        <f>IF(AND(emissions[[#This Row],[Market-based]]=0,emissions[[#This Row],[Impact Type]]="CO2E"),emissions[[#This Row],[kgCO2e]],0)/1000</f>
        <v>0</v>
      </c>
      <c r="AP1390">
        <f>IF(AND(emissions[[#This Row],[Market-based]]=1,OR(emissions[[#This Row],[Impact Type]]="CO2E",emissions[[#This Row],[Impact Type]]="CO2E MKT")),emissions[[#This Row],[kgCO2e]],0)/1000</f>
        <v>0</v>
      </c>
      <c r="AQ1390" t="str">
        <f>_xlfn.TEXTAFTER(emissions[[#This Row],[Reporting Unit]]," &gt; ",LEN(emissions[[#This Row],[Reporting Unit]])-LEN(SUBSTITUTE(emissions[[#This Row],[Reporting Unit]],"&gt;","")))</f>
        <v>Vantage_Gurnee</v>
      </c>
      <c r="AR1390" t="str">
        <f>_xlfn.XLOOKUP(emissions[[#This Row],[Reporting unit name]],hierarchy!$A:$A,hierarchy!$C:$C)</f>
        <v>Office</v>
      </c>
    </row>
    <row r="1391" spans="1:44" hidden="1" x14ac:dyDescent="0.25">
      <c r="A1391">
        <v>1236880</v>
      </c>
      <c r="B1391" t="s">
        <v>328</v>
      </c>
      <c r="C1391" t="s">
        <v>501</v>
      </c>
      <c r="D1391" t="s">
        <v>599</v>
      </c>
      <c r="E1391" s="3">
        <v>44197</v>
      </c>
      <c r="F1391" s="3">
        <v>44561</v>
      </c>
      <c r="G1391" t="s">
        <v>121</v>
      </c>
      <c r="H1391" s="3">
        <v>44197</v>
      </c>
      <c r="I1391" s="3">
        <v>44561</v>
      </c>
      <c r="J1391" t="s">
        <v>150</v>
      </c>
      <c r="K1391">
        <v>29376</v>
      </c>
      <c r="L1391" t="s">
        <v>215</v>
      </c>
      <c r="M1391" t="s">
        <v>110</v>
      </c>
      <c r="O1391" t="s">
        <v>939</v>
      </c>
      <c r="P1391" t="s">
        <v>940</v>
      </c>
      <c r="Q1391">
        <v>2021</v>
      </c>
      <c r="R1391" t="s">
        <v>594</v>
      </c>
      <c r="S1391" t="s">
        <v>150</v>
      </c>
      <c r="T1391" t="s">
        <v>553</v>
      </c>
      <c r="U1391" t="b">
        <v>0</v>
      </c>
      <c r="V1391" t="s">
        <v>595</v>
      </c>
      <c r="W1391" t="s">
        <v>587</v>
      </c>
      <c r="X1391" t="s">
        <v>556</v>
      </c>
      <c r="AC1391">
        <v>1</v>
      </c>
      <c r="AD1391" t="s">
        <v>558</v>
      </c>
      <c r="AE1391">
        <v>30.779964230000001</v>
      </c>
      <c r="AF1391">
        <v>2.31</v>
      </c>
      <c r="AG1391" t="s">
        <v>756</v>
      </c>
      <c r="AH1391">
        <v>4.5359000000000003E-4</v>
      </c>
      <c r="AI1391">
        <v>13.324659840000001</v>
      </c>
      <c r="AJ1391" t="s">
        <v>561</v>
      </c>
      <c r="AK1391" t="s">
        <v>589</v>
      </c>
      <c r="AL1391" t="s">
        <v>603</v>
      </c>
      <c r="AM1391">
        <v>2021</v>
      </c>
      <c r="AN1391">
        <v>2019</v>
      </c>
      <c r="AO1391">
        <f>IF(AND(emissions[[#This Row],[Market-based]]=0,emissions[[#This Row],[Impact Type]]="CO2E"),emissions[[#This Row],[kgCO2e]],0)/1000</f>
        <v>0</v>
      </c>
      <c r="AP1391">
        <f>IF(AND(emissions[[#This Row],[Market-based]]=1,OR(emissions[[#This Row],[Impact Type]]="CO2E",emissions[[#This Row],[Impact Type]]="CO2E MKT")),emissions[[#This Row],[kgCO2e]],0)/1000</f>
        <v>0</v>
      </c>
      <c r="AQ1391" t="str">
        <f>_xlfn.TEXTAFTER(emissions[[#This Row],[Reporting Unit]]," &gt; ",LEN(emissions[[#This Row],[Reporting Unit]])-LEN(SUBSTITUTE(emissions[[#This Row],[Reporting Unit]],"&gt;","")))</f>
        <v>Vantage_Gurnee</v>
      </c>
      <c r="AR1391" t="str">
        <f>_xlfn.XLOOKUP(emissions[[#This Row],[Reporting unit name]],hierarchy!$A:$A,hierarchy!$C:$C)</f>
        <v>Office</v>
      </c>
    </row>
    <row r="1392" spans="1:44" hidden="1" x14ac:dyDescent="0.25">
      <c r="A1392">
        <v>1236880</v>
      </c>
      <c r="B1392" t="s">
        <v>328</v>
      </c>
      <c r="C1392" t="s">
        <v>501</v>
      </c>
      <c r="D1392" t="s">
        <v>599</v>
      </c>
      <c r="E1392" s="3">
        <v>44197</v>
      </c>
      <c r="F1392" s="3">
        <v>44561</v>
      </c>
      <c r="G1392" t="s">
        <v>121</v>
      </c>
      <c r="H1392" s="3">
        <v>44197</v>
      </c>
      <c r="I1392" s="3">
        <v>44561</v>
      </c>
      <c r="J1392" t="s">
        <v>150</v>
      </c>
      <c r="K1392">
        <v>29376</v>
      </c>
      <c r="L1392" t="s">
        <v>215</v>
      </c>
      <c r="M1392" t="s">
        <v>110</v>
      </c>
      <c r="O1392" t="s">
        <v>939</v>
      </c>
      <c r="P1392" t="s">
        <v>940</v>
      </c>
      <c r="Q1392">
        <v>2021</v>
      </c>
      <c r="R1392" t="s">
        <v>594</v>
      </c>
      <c r="S1392" t="s">
        <v>150</v>
      </c>
      <c r="T1392" t="s">
        <v>553</v>
      </c>
      <c r="U1392" t="b">
        <v>0</v>
      </c>
      <c r="V1392" t="s">
        <v>595</v>
      </c>
      <c r="W1392" t="s">
        <v>587</v>
      </c>
      <c r="X1392" t="s">
        <v>556</v>
      </c>
      <c r="AC1392">
        <v>1</v>
      </c>
      <c r="AD1392" t="s">
        <v>564</v>
      </c>
      <c r="AE1392">
        <v>39886.036769999999</v>
      </c>
      <c r="AF1392">
        <v>2993.4</v>
      </c>
      <c r="AG1392" t="s">
        <v>756</v>
      </c>
      <c r="AH1392">
        <v>4.5359000000000003E-4</v>
      </c>
      <c r="AI1392">
        <v>13.324659840000001</v>
      </c>
      <c r="AJ1392" t="s">
        <v>561</v>
      </c>
      <c r="AK1392" t="s">
        <v>589</v>
      </c>
      <c r="AL1392" t="s">
        <v>603</v>
      </c>
      <c r="AM1392">
        <v>2021</v>
      </c>
      <c r="AN1392">
        <v>2019</v>
      </c>
      <c r="AO1392">
        <f>IF(AND(emissions[[#This Row],[Market-based]]=0,emissions[[#This Row],[Impact Type]]="CO2E"),emissions[[#This Row],[kgCO2e]],0)/1000</f>
        <v>0</v>
      </c>
      <c r="AP1392">
        <f>IF(AND(emissions[[#This Row],[Market-based]]=1,OR(emissions[[#This Row],[Impact Type]]="CO2E",emissions[[#This Row],[Impact Type]]="CO2E MKT")),emissions[[#This Row],[kgCO2e]],0)/1000</f>
        <v>0</v>
      </c>
      <c r="AQ1392" t="str">
        <f>_xlfn.TEXTAFTER(emissions[[#This Row],[Reporting Unit]]," &gt; ",LEN(emissions[[#This Row],[Reporting Unit]])-LEN(SUBSTITUTE(emissions[[#This Row],[Reporting Unit]],"&gt;","")))</f>
        <v>Vantage_Gurnee</v>
      </c>
      <c r="AR1392" t="str">
        <f>_xlfn.XLOOKUP(emissions[[#This Row],[Reporting unit name]],hierarchy!$A:$A,hierarchy!$C:$C)</f>
        <v>Office</v>
      </c>
    </row>
    <row r="1393" spans="1:44" hidden="1" x14ac:dyDescent="0.25">
      <c r="A1393">
        <v>1236880</v>
      </c>
      <c r="B1393" t="s">
        <v>328</v>
      </c>
      <c r="C1393" t="s">
        <v>501</v>
      </c>
      <c r="D1393" t="s">
        <v>599</v>
      </c>
      <c r="E1393" s="3">
        <v>44197</v>
      </c>
      <c r="F1393" s="3">
        <v>44561</v>
      </c>
      <c r="G1393" t="s">
        <v>121</v>
      </c>
      <c r="H1393" s="3">
        <v>44197</v>
      </c>
      <c r="I1393" s="3">
        <v>44561</v>
      </c>
      <c r="J1393" t="s">
        <v>150</v>
      </c>
      <c r="K1393">
        <v>29376</v>
      </c>
      <c r="L1393" t="s">
        <v>215</v>
      </c>
      <c r="M1393" t="s">
        <v>110</v>
      </c>
      <c r="O1393" t="s">
        <v>939</v>
      </c>
      <c r="P1393" t="s">
        <v>940</v>
      </c>
      <c r="Q1393">
        <v>2021</v>
      </c>
      <c r="R1393" t="s">
        <v>594</v>
      </c>
      <c r="S1393" t="s">
        <v>150</v>
      </c>
      <c r="T1393" t="s">
        <v>553</v>
      </c>
      <c r="U1393" t="b">
        <v>0</v>
      </c>
      <c r="V1393" t="s">
        <v>595</v>
      </c>
      <c r="W1393" t="s">
        <v>587</v>
      </c>
      <c r="X1393" t="s">
        <v>556</v>
      </c>
      <c r="AC1393">
        <v>1</v>
      </c>
      <c r="AD1393" t="s">
        <v>565</v>
      </c>
      <c r="AE1393">
        <v>39941.467349999999</v>
      </c>
      <c r="AF1393">
        <v>2997.56</v>
      </c>
      <c r="AG1393" t="s">
        <v>756</v>
      </c>
      <c r="AH1393">
        <v>4.5359000000000003E-4</v>
      </c>
      <c r="AI1393">
        <v>13.324659840000001</v>
      </c>
      <c r="AJ1393" t="s">
        <v>561</v>
      </c>
      <c r="AK1393" t="s">
        <v>589</v>
      </c>
      <c r="AL1393" t="s">
        <v>603</v>
      </c>
      <c r="AM1393">
        <v>2021</v>
      </c>
      <c r="AN1393">
        <v>2019</v>
      </c>
      <c r="AO1393">
        <f>IF(AND(emissions[[#This Row],[Market-based]]=0,emissions[[#This Row],[Impact Type]]="CO2E"),emissions[[#This Row],[kgCO2e]],0)/1000</f>
        <v>0</v>
      </c>
      <c r="AP1393">
        <f>IF(AND(emissions[[#This Row],[Market-based]]=1,OR(emissions[[#This Row],[Impact Type]]="CO2E",emissions[[#This Row],[Impact Type]]="CO2E MKT")),emissions[[#This Row],[kgCO2e]],0)/1000</f>
        <v>39.941467349999996</v>
      </c>
      <c r="AQ1393" t="str">
        <f>_xlfn.TEXTAFTER(emissions[[#This Row],[Reporting Unit]]," &gt; ",LEN(emissions[[#This Row],[Reporting Unit]])-LEN(SUBSTITUTE(emissions[[#This Row],[Reporting Unit]],"&gt;","")))</f>
        <v>Vantage_Gurnee</v>
      </c>
      <c r="AR1393" t="str">
        <f>_xlfn.XLOOKUP(emissions[[#This Row],[Reporting unit name]],hierarchy!$A:$A,hierarchy!$C:$C)</f>
        <v>Office</v>
      </c>
    </row>
    <row r="1394" spans="1:44" hidden="1" x14ac:dyDescent="0.25">
      <c r="A1394">
        <v>1236880</v>
      </c>
      <c r="B1394" t="s">
        <v>328</v>
      </c>
      <c r="C1394" t="s">
        <v>501</v>
      </c>
      <c r="D1394" t="s">
        <v>599</v>
      </c>
      <c r="E1394" s="3">
        <v>44197</v>
      </c>
      <c r="F1394" s="3">
        <v>44561</v>
      </c>
      <c r="G1394" t="s">
        <v>121</v>
      </c>
      <c r="H1394" s="3">
        <v>44197</v>
      </c>
      <c r="I1394" s="3">
        <v>44561</v>
      </c>
      <c r="J1394" t="s">
        <v>150</v>
      </c>
      <c r="K1394">
        <v>29376</v>
      </c>
      <c r="L1394" t="s">
        <v>215</v>
      </c>
      <c r="M1394" t="s">
        <v>110</v>
      </c>
      <c r="O1394" t="s">
        <v>939</v>
      </c>
      <c r="P1394" t="s">
        <v>940</v>
      </c>
      <c r="Q1394">
        <v>2021</v>
      </c>
      <c r="R1394" t="s">
        <v>594</v>
      </c>
      <c r="S1394" t="s">
        <v>150</v>
      </c>
      <c r="T1394" t="s">
        <v>553</v>
      </c>
      <c r="U1394" t="b">
        <v>0</v>
      </c>
      <c r="V1394" t="s">
        <v>595</v>
      </c>
      <c r="W1394" t="s">
        <v>587</v>
      </c>
      <c r="X1394" t="s">
        <v>556</v>
      </c>
      <c r="AC1394">
        <v>1</v>
      </c>
      <c r="AD1394" t="s">
        <v>566</v>
      </c>
      <c r="AE1394">
        <v>24.650620700000001</v>
      </c>
      <c r="AF1394">
        <v>1.85</v>
      </c>
      <c r="AG1394" t="s">
        <v>756</v>
      </c>
      <c r="AH1394">
        <v>4.5359000000000003E-4</v>
      </c>
      <c r="AI1394">
        <v>13.324659840000001</v>
      </c>
      <c r="AJ1394" t="s">
        <v>561</v>
      </c>
      <c r="AK1394" t="s">
        <v>589</v>
      </c>
      <c r="AL1394" t="s">
        <v>603</v>
      </c>
      <c r="AM1394">
        <v>2021</v>
      </c>
      <c r="AN1394">
        <v>2019</v>
      </c>
      <c r="AO1394">
        <f>IF(AND(emissions[[#This Row],[Market-based]]=0,emissions[[#This Row],[Impact Type]]="CO2E"),emissions[[#This Row],[kgCO2e]],0)/1000</f>
        <v>0</v>
      </c>
      <c r="AP1394">
        <f>IF(AND(emissions[[#This Row],[Market-based]]=1,OR(emissions[[#This Row],[Impact Type]]="CO2E",emissions[[#This Row],[Impact Type]]="CO2E MKT")),emissions[[#This Row],[kgCO2e]],0)/1000</f>
        <v>0</v>
      </c>
      <c r="AQ1394" t="str">
        <f>_xlfn.TEXTAFTER(emissions[[#This Row],[Reporting Unit]]," &gt; ",LEN(emissions[[#This Row],[Reporting Unit]])-LEN(SUBSTITUTE(emissions[[#This Row],[Reporting Unit]],"&gt;","")))</f>
        <v>Vantage_Gurnee</v>
      </c>
      <c r="AR1394" t="str">
        <f>_xlfn.XLOOKUP(emissions[[#This Row],[Reporting unit name]],hierarchy!$A:$A,hierarchy!$C:$C)</f>
        <v>Office</v>
      </c>
    </row>
    <row r="1395" spans="1:44" hidden="1" x14ac:dyDescent="0.25">
      <c r="A1395">
        <v>1236880</v>
      </c>
      <c r="B1395" t="s">
        <v>328</v>
      </c>
      <c r="C1395" t="s">
        <v>501</v>
      </c>
      <c r="D1395" t="s">
        <v>599</v>
      </c>
      <c r="E1395" s="3">
        <v>44197</v>
      </c>
      <c r="F1395" s="3">
        <v>44561</v>
      </c>
      <c r="G1395" t="s">
        <v>121</v>
      </c>
      <c r="H1395" s="3">
        <v>44197</v>
      </c>
      <c r="I1395" s="3">
        <v>44561</v>
      </c>
      <c r="J1395" t="s">
        <v>150</v>
      </c>
      <c r="K1395">
        <v>29376</v>
      </c>
      <c r="L1395" t="s">
        <v>215</v>
      </c>
      <c r="M1395" t="s">
        <v>110</v>
      </c>
      <c r="O1395" t="s">
        <v>939</v>
      </c>
      <c r="P1395" t="s">
        <v>940</v>
      </c>
      <c r="Q1395">
        <v>2021</v>
      </c>
      <c r="R1395" t="s">
        <v>596</v>
      </c>
      <c r="S1395" t="s">
        <v>597</v>
      </c>
      <c r="T1395" t="s">
        <v>577</v>
      </c>
      <c r="U1395" t="b">
        <v>0</v>
      </c>
      <c r="V1395" t="s">
        <v>795</v>
      </c>
      <c r="W1395" t="s">
        <v>571</v>
      </c>
      <c r="X1395" t="s">
        <v>572</v>
      </c>
      <c r="AC1395">
        <v>0</v>
      </c>
      <c r="AD1395" t="s">
        <v>565</v>
      </c>
      <c r="AE1395">
        <v>4669.7013930000003</v>
      </c>
      <c r="AF1395">
        <v>350.45558</v>
      </c>
      <c r="AG1395" t="s">
        <v>756</v>
      </c>
      <c r="AH1395">
        <v>4.5359000000000003E-4</v>
      </c>
      <c r="AI1395">
        <v>13.324659840000001</v>
      </c>
      <c r="AJ1395" t="s">
        <v>561</v>
      </c>
      <c r="AK1395" t="s">
        <v>589</v>
      </c>
      <c r="AL1395" t="s">
        <v>603</v>
      </c>
      <c r="AM1395">
        <v>2021</v>
      </c>
      <c r="AN1395">
        <v>2019</v>
      </c>
      <c r="AO1395">
        <f>IF(AND(emissions[[#This Row],[Market-based]]=0,emissions[[#This Row],[Impact Type]]="CO2E"),emissions[[#This Row],[kgCO2e]],0)/1000</f>
        <v>4.6697013930000004</v>
      </c>
      <c r="AP1395">
        <f>IF(AND(emissions[[#This Row],[Market-based]]=1,OR(emissions[[#This Row],[Impact Type]]="CO2E",emissions[[#This Row],[Impact Type]]="CO2E MKT")),emissions[[#This Row],[kgCO2e]],0)/1000</f>
        <v>0</v>
      </c>
      <c r="AQ1395" t="str">
        <f>_xlfn.TEXTAFTER(emissions[[#This Row],[Reporting Unit]]," &gt; ",LEN(emissions[[#This Row],[Reporting Unit]])-LEN(SUBSTITUTE(emissions[[#This Row],[Reporting Unit]],"&gt;","")))</f>
        <v>Vantage_Gurnee</v>
      </c>
      <c r="AR1395" t="str">
        <f>_xlfn.XLOOKUP(emissions[[#This Row],[Reporting unit name]],hierarchy!$A:$A,hierarchy!$C:$C)</f>
        <v>Office</v>
      </c>
    </row>
    <row r="1396" spans="1:44" hidden="1" x14ac:dyDescent="0.25">
      <c r="A1396">
        <v>1236880</v>
      </c>
      <c r="B1396" t="s">
        <v>328</v>
      </c>
      <c r="C1396" t="s">
        <v>501</v>
      </c>
      <c r="D1396" t="s">
        <v>599</v>
      </c>
      <c r="E1396" s="3">
        <v>44197</v>
      </c>
      <c r="F1396" s="3">
        <v>44561</v>
      </c>
      <c r="G1396" t="s">
        <v>121</v>
      </c>
      <c r="H1396" s="3">
        <v>44197</v>
      </c>
      <c r="I1396" s="3">
        <v>44561</v>
      </c>
      <c r="J1396" t="s">
        <v>150</v>
      </c>
      <c r="K1396">
        <v>29376</v>
      </c>
      <c r="L1396" t="s">
        <v>215</v>
      </c>
      <c r="M1396" t="s">
        <v>110</v>
      </c>
      <c r="O1396" t="s">
        <v>939</v>
      </c>
      <c r="P1396" t="s">
        <v>940</v>
      </c>
      <c r="Q1396">
        <v>2021</v>
      </c>
      <c r="R1396" t="s">
        <v>596</v>
      </c>
      <c r="S1396" t="s">
        <v>597</v>
      </c>
      <c r="T1396" t="s">
        <v>577</v>
      </c>
      <c r="U1396" t="b">
        <v>0</v>
      </c>
      <c r="V1396" t="s">
        <v>795</v>
      </c>
      <c r="W1396" t="s">
        <v>571</v>
      </c>
      <c r="X1396" t="s">
        <v>572</v>
      </c>
      <c r="AC1396">
        <v>1</v>
      </c>
      <c r="AD1396" t="s">
        <v>565</v>
      </c>
      <c r="AE1396">
        <v>4669.7013930000003</v>
      </c>
      <c r="AF1396">
        <v>350.45558</v>
      </c>
      <c r="AG1396" t="s">
        <v>756</v>
      </c>
      <c r="AH1396">
        <v>4.5359000000000003E-4</v>
      </c>
      <c r="AI1396">
        <v>13.324659840000001</v>
      </c>
      <c r="AJ1396" t="s">
        <v>561</v>
      </c>
      <c r="AK1396" t="s">
        <v>589</v>
      </c>
      <c r="AL1396" t="s">
        <v>603</v>
      </c>
      <c r="AM1396">
        <v>2021</v>
      </c>
      <c r="AN1396">
        <v>2019</v>
      </c>
      <c r="AO1396">
        <f>IF(AND(emissions[[#This Row],[Market-based]]=0,emissions[[#This Row],[Impact Type]]="CO2E"),emissions[[#This Row],[kgCO2e]],0)/1000</f>
        <v>0</v>
      </c>
      <c r="AP1396">
        <f>IF(AND(emissions[[#This Row],[Market-based]]=1,OR(emissions[[#This Row],[Impact Type]]="CO2E",emissions[[#This Row],[Impact Type]]="CO2E MKT")),emissions[[#This Row],[kgCO2e]],0)/1000</f>
        <v>4.6697013930000004</v>
      </c>
      <c r="AQ1396" t="str">
        <f>_xlfn.TEXTAFTER(emissions[[#This Row],[Reporting Unit]]," &gt; ",LEN(emissions[[#This Row],[Reporting Unit]])-LEN(SUBSTITUTE(emissions[[#This Row],[Reporting Unit]],"&gt;","")))</f>
        <v>Vantage_Gurnee</v>
      </c>
      <c r="AR1396" t="str">
        <f>_xlfn.XLOOKUP(emissions[[#This Row],[Reporting unit name]],hierarchy!$A:$A,hierarchy!$C:$C)</f>
        <v>Office</v>
      </c>
    </row>
    <row r="1397" spans="1:44" hidden="1" x14ac:dyDescent="0.25">
      <c r="A1397">
        <v>237860</v>
      </c>
      <c r="B1397" t="s">
        <v>315</v>
      </c>
      <c r="C1397" t="s">
        <v>493</v>
      </c>
      <c r="D1397" t="s">
        <v>548</v>
      </c>
      <c r="E1397" s="3">
        <v>44562</v>
      </c>
      <c r="F1397" s="3">
        <v>44926</v>
      </c>
      <c r="G1397" t="s">
        <v>108</v>
      </c>
      <c r="H1397" s="3">
        <v>44562</v>
      </c>
      <c r="I1397" s="3">
        <v>44926</v>
      </c>
      <c r="J1397" t="s">
        <v>108</v>
      </c>
      <c r="K1397">
        <v>1107522</v>
      </c>
      <c r="L1397" t="s">
        <v>109</v>
      </c>
      <c r="M1397" t="s">
        <v>110</v>
      </c>
      <c r="O1397" t="s">
        <v>941</v>
      </c>
      <c r="P1397" t="s">
        <v>550</v>
      </c>
      <c r="Q1397">
        <v>2022</v>
      </c>
      <c r="R1397" t="s">
        <v>551</v>
      </c>
      <c r="S1397" t="s">
        <v>552</v>
      </c>
      <c r="T1397" t="s">
        <v>553</v>
      </c>
      <c r="U1397" t="b">
        <v>0</v>
      </c>
      <c r="V1397" t="s">
        <v>894</v>
      </c>
      <c r="W1397" t="s">
        <v>555</v>
      </c>
      <c r="X1397" t="s">
        <v>556</v>
      </c>
      <c r="Y1397" t="s">
        <v>472</v>
      </c>
      <c r="Z1397" t="s">
        <v>485</v>
      </c>
      <c r="AA1397" t="s">
        <v>764</v>
      </c>
      <c r="AB1397" t="s">
        <v>895</v>
      </c>
      <c r="AC1397">
        <v>0</v>
      </c>
      <c r="AD1397" t="s">
        <v>558</v>
      </c>
      <c r="AE1397">
        <v>565.15896989999999</v>
      </c>
      <c r="AF1397">
        <v>5.1029099999999996E-4</v>
      </c>
      <c r="AG1397" t="s">
        <v>560</v>
      </c>
      <c r="AH1397">
        <v>1</v>
      </c>
      <c r="AI1397">
        <v>1107522</v>
      </c>
      <c r="AJ1397" t="s">
        <v>561</v>
      </c>
      <c r="AK1397" t="s">
        <v>766</v>
      </c>
      <c r="AL1397" t="s">
        <v>767</v>
      </c>
      <c r="AM1397">
        <v>2022</v>
      </c>
      <c r="AN1397">
        <v>2020</v>
      </c>
      <c r="AO1397">
        <f>IF(AND(emissions[[#This Row],[Market-based]]=0,emissions[[#This Row],[Impact Type]]="CO2E"),emissions[[#This Row],[kgCO2e]],0)/1000</f>
        <v>0</v>
      </c>
      <c r="AP1397">
        <f>IF(AND(emissions[[#This Row],[Market-based]]=1,OR(emissions[[#This Row],[Impact Type]]="CO2E",emissions[[#This Row],[Impact Type]]="CO2E MKT")),emissions[[#This Row],[kgCO2e]],0)/1000</f>
        <v>0</v>
      </c>
      <c r="AQ1397" t="str">
        <f>_xlfn.TEXTAFTER(emissions[[#This Row],[Reporting Unit]]," &gt; ",LEN(emissions[[#This Row],[Reporting Unit]])-LEN(SUBSTITUTE(emissions[[#This Row],[Reporting Unit]],"&gt;","")))</f>
        <v>Vantage_Linden</v>
      </c>
      <c r="AR1397" t="str">
        <f>_xlfn.XLOOKUP(emissions[[#This Row],[Reporting unit name]],hierarchy!$A:$A,hierarchy!$C:$C)</f>
        <v>Warehouse</v>
      </c>
    </row>
    <row r="1398" spans="1:44" hidden="1" x14ac:dyDescent="0.25">
      <c r="A1398">
        <v>237860</v>
      </c>
      <c r="B1398" t="s">
        <v>315</v>
      </c>
      <c r="C1398" t="s">
        <v>493</v>
      </c>
      <c r="D1398" t="s">
        <v>548</v>
      </c>
      <c r="E1398" s="3">
        <v>44562</v>
      </c>
      <c r="F1398" s="3">
        <v>44926</v>
      </c>
      <c r="G1398" t="s">
        <v>108</v>
      </c>
      <c r="H1398" s="3">
        <v>44562</v>
      </c>
      <c r="I1398" s="3">
        <v>44926</v>
      </c>
      <c r="J1398" t="s">
        <v>108</v>
      </c>
      <c r="K1398">
        <v>1107522</v>
      </c>
      <c r="L1398" t="s">
        <v>109</v>
      </c>
      <c r="M1398" t="s">
        <v>110</v>
      </c>
      <c r="O1398" t="s">
        <v>941</v>
      </c>
      <c r="P1398" t="s">
        <v>550</v>
      </c>
      <c r="Q1398">
        <v>2022</v>
      </c>
      <c r="R1398" t="s">
        <v>551</v>
      </c>
      <c r="S1398" t="s">
        <v>552</v>
      </c>
      <c r="T1398" t="s">
        <v>553</v>
      </c>
      <c r="U1398" t="b">
        <v>0</v>
      </c>
      <c r="V1398" t="s">
        <v>894</v>
      </c>
      <c r="W1398" t="s">
        <v>555</v>
      </c>
      <c r="X1398" t="s">
        <v>556</v>
      </c>
      <c r="Y1398" t="s">
        <v>472</v>
      </c>
      <c r="Z1398" t="s">
        <v>485</v>
      </c>
      <c r="AA1398" t="s">
        <v>764</v>
      </c>
      <c r="AB1398" t="s">
        <v>895</v>
      </c>
      <c r="AC1398">
        <v>0</v>
      </c>
      <c r="AD1398" t="s">
        <v>564</v>
      </c>
      <c r="AE1398">
        <v>327771.10330000002</v>
      </c>
      <c r="AF1398">
        <v>0.29594997099999998</v>
      </c>
      <c r="AG1398" t="s">
        <v>560</v>
      </c>
      <c r="AH1398">
        <v>1</v>
      </c>
      <c r="AI1398">
        <v>1107522</v>
      </c>
      <c r="AJ1398" t="s">
        <v>561</v>
      </c>
      <c r="AK1398" t="s">
        <v>766</v>
      </c>
      <c r="AL1398" t="s">
        <v>767</v>
      </c>
      <c r="AM1398">
        <v>2022</v>
      </c>
      <c r="AN1398">
        <v>2020</v>
      </c>
      <c r="AO1398">
        <f>IF(AND(emissions[[#This Row],[Market-based]]=0,emissions[[#This Row],[Impact Type]]="CO2E"),emissions[[#This Row],[kgCO2e]],0)/1000</f>
        <v>0</v>
      </c>
      <c r="AP1398">
        <f>IF(AND(emissions[[#This Row],[Market-based]]=1,OR(emissions[[#This Row],[Impact Type]]="CO2E",emissions[[#This Row],[Impact Type]]="CO2E MKT")),emissions[[#This Row],[kgCO2e]],0)/1000</f>
        <v>0</v>
      </c>
      <c r="AQ1398" t="str">
        <f>_xlfn.TEXTAFTER(emissions[[#This Row],[Reporting Unit]]," &gt; ",LEN(emissions[[#This Row],[Reporting Unit]])-LEN(SUBSTITUTE(emissions[[#This Row],[Reporting Unit]],"&gt;","")))</f>
        <v>Vantage_Linden</v>
      </c>
      <c r="AR1398" t="str">
        <f>_xlfn.XLOOKUP(emissions[[#This Row],[Reporting unit name]],hierarchy!$A:$A,hierarchy!$C:$C)</f>
        <v>Warehouse</v>
      </c>
    </row>
    <row r="1399" spans="1:44" hidden="1" x14ac:dyDescent="0.25">
      <c r="A1399">
        <v>237860</v>
      </c>
      <c r="B1399" t="s">
        <v>315</v>
      </c>
      <c r="C1399" t="s">
        <v>493</v>
      </c>
      <c r="D1399" t="s">
        <v>548</v>
      </c>
      <c r="E1399" s="3">
        <v>44562</v>
      </c>
      <c r="F1399" s="3">
        <v>44926</v>
      </c>
      <c r="G1399" t="s">
        <v>108</v>
      </c>
      <c r="H1399" s="3">
        <v>44562</v>
      </c>
      <c r="I1399" s="3">
        <v>44926</v>
      </c>
      <c r="J1399" t="s">
        <v>108</v>
      </c>
      <c r="K1399">
        <v>1107522</v>
      </c>
      <c r="L1399" t="s">
        <v>109</v>
      </c>
      <c r="M1399" t="s">
        <v>110</v>
      </c>
      <c r="O1399" t="s">
        <v>941</v>
      </c>
      <c r="P1399" t="s">
        <v>550</v>
      </c>
      <c r="Q1399">
        <v>2022</v>
      </c>
      <c r="R1399" t="s">
        <v>551</v>
      </c>
      <c r="S1399" t="s">
        <v>552</v>
      </c>
      <c r="T1399" t="s">
        <v>553</v>
      </c>
      <c r="U1399" t="b">
        <v>0</v>
      </c>
      <c r="V1399" t="s">
        <v>894</v>
      </c>
      <c r="W1399" t="s">
        <v>555</v>
      </c>
      <c r="X1399" t="s">
        <v>556</v>
      </c>
      <c r="Y1399" t="s">
        <v>472</v>
      </c>
      <c r="Z1399" t="s">
        <v>485</v>
      </c>
      <c r="AA1399" t="s">
        <v>764</v>
      </c>
      <c r="AB1399" t="s">
        <v>895</v>
      </c>
      <c r="AC1399">
        <v>0</v>
      </c>
      <c r="AD1399" t="s">
        <v>565</v>
      </c>
      <c r="AE1399">
        <v>329234.48820000002</v>
      </c>
      <c r="AF1399">
        <v>0.297271285</v>
      </c>
      <c r="AG1399" t="s">
        <v>560</v>
      </c>
      <c r="AH1399">
        <v>1</v>
      </c>
      <c r="AI1399">
        <v>1107522</v>
      </c>
      <c r="AJ1399" t="s">
        <v>561</v>
      </c>
      <c r="AK1399" t="s">
        <v>766</v>
      </c>
      <c r="AL1399" t="s">
        <v>767</v>
      </c>
      <c r="AM1399">
        <v>2022</v>
      </c>
      <c r="AN1399">
        <v>2020</v>
      </c>
      <c r="AO1399">
        <f>IF(AND(emissions[[#This Row],[Market-based]]=0,emissions[[#This Row],[Impact Type]]="CO2E"),emissions[[#This Row],[kgCO2e]],0)/1000</f>
        <v>329.23448820000004</v>
      </c>
      <c r="AP1399">
        <f>IF(AND(emissions[[#This Row],[Market-based]]=1,OR(emissions[[#This Row],[Impact Type]]="CO2E",emissions[[#This Row],[Impact Type]]="CO2E MKT")),emissions[[#This Row],[kgCO2e]],0)/1000</f>
        <v>0</v>
      </c>
      <c r="AQ1399" t="str">
        <f>_xlfn.TEXTAFTER(emissions[[#This Row],[Reporting Unit]]," &gt; ",LEN(emissions[[#This Row],[Reporting Unit]])-LEN(SUBSTITUTE(emissions[[#This Row],[Reporting Unit]],"&gt;","")))</f>
        <v>Vantage_Linden</v>
      </c>
      <c r="AR1399" t="str">
        <f>_xlfn.XLOOKUP(emissions[[#This Row],[Reporting unit name]],hierarchy!$A:$A,hierarchy!$C:$C)</f>
        <v>Warehouse</v>
      </c>
    </row>
    <row r="1400" spans="1:44" hidden="1" x14ac:dyDescent="0.25">
      <c r="A1400">
        <v>237860</v>
      </c>
      <c r="B1400" t="s">
        <v>315</v>
      </c>
      <c r="C1400" t="s">
        <v>493</v>
      </c>
      <c r="D1400" t="s">
        <v>548</v>
      </c>
      <c r="E1400" s="3">
        <v>44562</v>
      </c>
      <c r="F1400" s="3">
        <v>44926</v>
      </c>
      <c r="G1400" t="s">
        <v>108</v>
      </c>
      <c r="H1400" s="3">
        <v>44562</v>
      </c>
      <c r="I1400" s="3">
        <v>44926</v>
      </c>
      <c r="J1400" t="s">
        <v>108</v>
      </c>
      <c r="K1400">
        <v>1107522</v>
      </c>
      <c r="L1400" t="s">
        <v>109</v>
      </c>
      <c r="M1400" t="s">
        <v>110</v>
      </c>
      <c r="O1400" t="s">
        <v>941</v>
      </c>
      <c r="P1400" t="s">
        <v>550</v>
      </c>
      <c r="Q1400">
        <v>2022</v>
      </c>
      <c r="R1400" t="s">
        <v>551</v>
      </c>
      <c r="S1400" t="s">
        <v>552</v>
      </c>
      <c r="T1400" t="s">
        <v>553</v>
      </c>
      <c r="U1400" t="b">
        <v>0</v>
      </c>
      <c r="V1400" t="s">
        <v>894</v>
      </c>
      <c r="W1400" t="s">
        <v>555</v>
      </c>
      <c r="X1400" t="s">
        <v>556</v>
      </c>
      <c r="Y1400" t="s">
        <v>472</v>
      </c>
      <c r="Z1400" t="s">
        <v>485</v>
      </c>
      <c r="AA1400" t="s">
        <v>764</v>
      </c>
      <c r="AB1400" t="s">
        <v>895</v>
      </c>
      <c r="AC1400">
        <v>0</v>
      </c>
      <c r="AD1400" t="s">
        <v>566</v>
      </c>
      <c r="AE1400">
        <v>898.22598949999997</v>
      </c>
      <c r="AF1400">
        <v>8.1102300000000002E-4</v>
      </c>
      <c r="AG1400" t="s">
        <v>560</v>
      </c>
      <c r="AH1400">
        <v>1</v>
      </c>
      <c r="AI1400">
        <v>1107522</v>
      </c>
      <c r="AJ1400" t="s">
        <v>561</v>
      </c>
      <c r="AK1400" t="s">
        <v>766</v>
      </c>
      <c r="AL1400" t="s">
        <v>767</v>
      </c>
      <c r="AM1400">
        <v>2022</v>
      </c>
      <c r="AN1400">
        <v>2020</v>
      </c>
      <c r="AO1400">
        <f>IF(AND(emissions[[#This Row],[Market-based]]=0,emissions[[#This Row],[Impact Type]]="CO2E"),emissions[[#This Row],[kgCO2e]],0)/1000</f>
        <v>0</v>
      </c>
      <c r="AP1400">
        <f>IF(AND(emissions[[#This Row],[Market-based]]=1,OR(emissions[[#This Row],[Impact Type]]="CO2E",emissions[[#This Row],[Impact Type]]="CO2E MKT")),emissions[[#This Row],[kgCO2e]],0)/1000</f>
        <v>0</v>
      </c>
      <c r="AQ1400" t="str">
        <f>_xlfn.TEXTAFTER(emissions[[#This Row],[Reporting Unit]]," &gt; ",LEN(emissions[[#This Row],[Reporting Unit]])-LEN(SUBSTITUTE(emissions[[#This Row],[Reporting Unit]],"&gt;","")))</f>
        <v>Vantage_Linden</v>
      </c>
      <c r="AR1400" t="str">
        <f>_xlfn.XLOOKUP(emissions[[#This Row],[Reporting unit name]],hierarchy!$A:$A,hierarchy!$C:$C)</f>
        <v>Warehouse</v>
      </c>
    </row>
    <row r="1401" spans="1:44" hidden="1" x14ac:dyDescent="0.25">
      <c r="A1401">
        <v>237860</v>
      </c>
      <c r="B1401" t="s">
        <v>315</v>
      </c>
      <c r="C1401" t="s">
        <v>493</v>
      </c>
      <c r="D1401" t="s">
        <v>548</v>
      </c>
      <c r="E1401" s="3">
        <v>44562</v>
      </c>
      <c r="F1401" s="3">
        <v>44926</v>
      </c>
      <c r="G1401" t="s">
        <v>108</v>
      </c>
      <c r="H1401" s="3">
        <v>44562</v>
      </c>
      <c r="I1401" s="3">
        <v>44926</v>
      </c>
      <c r="J1401" t="s">
        <v>108</v>
      </c>
      <c r="K1401">
        <v>1107522</v>
      </c>
      <c r="L1401" t="s">
        <v>109</v>
      </c>
      <c r="M1401" t="s">
        <v>110</v>
      </c>
      <c r="O1401" t="s">
        <v>941</v>
      </c>
      <c r="P1401" t="s">
        <v>550</v>
      </c>
      <c r="Q1401">
        <v>2022</v>
      </c>
      <c r="R1401" t="s">
        <v>551</v>
      </c>
      <c r="S1401" t="s">
        <v>552</v>
      </c>
      <c r="T1401" t="s">
        <v>553</v>
      </c>
      <c r="U1401" t="b">
        <v>0</v>
      </c>
      <c r="V1401" t="s">
        <v>894</v>
      </c>
      <c r="W1401" t="s">
        <v>555</v>
      </c>
      <c r="X1401" t="s">
        <v>556</v>
      </c>
      <c r="Y1401" t="s">
        <v>472</v>
      </c>
      <c r="Z1401" t="s">
        <v>485</v>
      </c>
      <c r="AA1401" t="s">
        <v>764</v>
      </c>
      <c r="AB1401" t="s">
        <v>895</v>
      </c>
      <c r="AC1401">
        <v>1</v>
      </c>
      <c r="AD1401" t="s">
        <v>639</v>
      </c>
      <c r="AE1401">
        <v>327877.57250000001</v>
      </c>
      <c r="AF1401">
        <v>0.296046103</v>
      </c>
      <c r="AG1401" t="s">
        <v>560</v>
      </c>
      <c r="AH1401">
        <v>1</v>
      </c>
      <c r="AI1401">
        <v>1107522</v>
      </c>
      <c r="AJ1401" t="s">
        <v>561</v>
      </c>
      <c r="AK1401" t="s">
        <v>833</v>
      </c>
      <c r="AL1401" t="s">
        <v>834</v>
      </c>
      <c r="AM1401">
        <v>2022</v>
      </c>
      <c r="AN1401">
        <v>2020</v>
      </c>
      <c r="AO1401">
        <f>IF(AND(emissions[[#This Row],[Market-based]]=0,emissions[[#This Row],[Impact Type]]="CO2E"),emissions[[#This Row],[kgCO2e]],0)/1000</f>
        <v>0</v>
      </c>
      <c r="AP1401">
        <f>IF(AND(emissions[[#This Row],[Market-based]]=1,OR(emissions[[#This Row],[Impact Type]]="CO2E",emissions[[#This Row],[Impact Type]]="CO2E MKT")),emissions[[#This Row],[kgCO2e]],0)/1000</f>
        <v>327.87757249999999</v>
      </c>
      <c r="AQ1401" t="str">
        <f>_xlfn.TEXTAFTER(emissions[[#This Row],[Reporting Unit]]," &gt; ",LEN(emissions[[#This Row],[Reporting Unit]])-LEN(SUBSTITUTE(emissions[[#This Row],[Reporting Unit]],"&gt;","")))</f>
        <v>Vantage_Linden</v>
      </c>
      <c r="AR1401" t="str">
        <f>_xlfn.XLOOKUP(emissions[[#This Row],[Reporting unit name]],hierarchy!$A:$A,hierarchy!$C:$C)</f>
        <v>Warehouse</v>
      </c>
    </row>
    <row r="1402" spans="1:44" hidden="1" x14ac:dyDescent="0.25">
      <c r="A1402">
        <v>237860</v>
      </c>
      <c r="B1402" t="s">
        <v>315</v>
      </c>
      <c r="C1402" t="s">
        <v>493</v>
      </c>
      <c r="D1402" t="s">
        <v>548</v>
      </c>
      <c r="E1402" s="3">
        <v>44562</v>
      </c>
      <c r="F1402" s="3">
        <v>44926</v>
      </c>
      <c r="G1402" t="s">
        <v>108</v>
      </c>
      <c r="H1402" s="3">
        <v>44562</v>
      </c>
      <c r="I1402" s="3">
        <v>44926</v>
      </c>
      <c r="J1402" t="s">
        <v>108</v>
      </c>
      <c r="K1402">
        <v>1107522</v>
      </c>
      <c r="L1402" t="s">
        <v>109</v>
      </c>
      <c r="M1402" t="s">
        <v>110</v>
      </c>
      <c r="O1402" t="s">
        <v>941</v>
      </c>
      <c r="P1402" t="s">
        <v>550</v>
      </c>
      <c r="Q1402">
        <v>2022</v>
      </c>
      <c r="R1402" t="s">
        <v>567</v>
      </c>
      <c r="S1402" t="s">
        <v>568</v>
      </c>
      <c r="T1402" t="s">
        <v>569</v>
      </c>
      <c r="U1402" t="b">
        <v>0</v>
      </c>
      <c r="V1402" t="s">
        <v>896</v>
      </c>
      <c r="W1402" t="s">
        <v>571</v>
      </c>
      <c r="X1402" t="s">
        <v>572</v>
      </c>
      <c r="Y1402" t="s">
        <v>472</v>
      </c>
      <c r="Z1402" t="s">
        <v>485</v>
      </c>
      <c r="AA1402" t="s">
        <v>764</v>
      </c>
      <c r="AB1402" t="s">
        <v>895</v>
      </c>
      <c r="AC1402">
        <v>0</v>
      </c>
      <c r="AD1402" t="s">
        <v>565</v>
      </c>
      <c r="AE1402">
        <v>5155.3682820000004</v>
      </c>
      <c r="AF1402">
        <v>4.6548680000000004E-3</v>
      </c>
      <c r="AG1402" t="s">
        <v>560</v>
      </c>
      <c r="AH1402">
        <v>1</v>
      </c>
      <c r="AI1402">
        <v>1107522</v>
      </c>
      <c r="AJ1402" t="s">
        <v>561</v>
      </c>
      <c r="AK1402" t="s">
        <v>573</v>
      </c>
      <c r="AL1402" t="s">
        <v>574</v>
      </c>
      <c r="AM1402">
        <v>2022</v>
      </c>
      <c r="AN1402">
        <v>2020</v>
      </c>
      <c r="AO1402">
        <f>IF(AND(emissions[[#This Row],[Market-based]]=0,emissions[[#This Row],[Impact Type]]="CO2E"),emissions[[#This Row],[kgCO2e]],0)/1000</f>
        <v>5.1553682820000004</v>
      </c>
      <c r="AP1402">
        <f>IF(AND(emissions[[#This Row],[Market-based]]=1,OR(emissions[[#This Row],[Impact Type]]="CO2E",emissions[[#This Row],[Impact Type]]="CO2E MKT")),emissions[[#This Row],[kgCO2e]],0)/1000</f>
        <v>0</v>
      </c>
      <c r="AQ1402" t="str">
        <f>_xlfn.TEXTAFTER(emissions[[#This Row],[Reporting Unit]]," &gt; ",LEN(emissions[[#This Row],[Reporting Unit]])-LEN(SUBSTITUTE(emissions[[#This Row],[Reporting Unit]],"&gt;","")))</f>
        <v>Vantage_Linden</v>
      </c>
      <c r="AR1402" t="str">
        <f>_xlfn.XLOOKUP(emissions[[#This Row],[Reporting unit name]],hierarchy!$A:$A,hierarchy!$C:$C)</f>
        <v>Warehouse</v>
      </c>
    </row>
    <row r="1403" spans="1:44" hidden="1" x14ac:dyDescent="0.25">
      <c r="A1403">
        <v>237860</v>
      </c>
      <c r="B1403" t="s">
        <v>315</v>
      </c>
      <c r="C1403" t="s">
        <v>493</v>
      </c>
      <c r="D1403" t="s">
        <v>548</v>
      </c>
      <c r="E1403" s="3">
        <v>44562</v>
      </c>
      <c r="F1403" s="3">
        <v>44926</v>
      </c>
      <c r="G1403" t="s">
        <v>108</v>
      </c>
      <c r="H1403" s="3">
        <v>44562</v>
      </c>
      <c r="I1403" s="3">
        <v>44926</v>
      </c>
      <c r="J1403" t="s">
        <v>108</v>
      </c>
      <c r="K1403">
        <v>1107522</v>
      </c>
      <c r="L1403" t="s">
        <v>109</v>
      </c>
      <c r="M1403" t="s">
        <v>110</v>
      </c>
      <c r="O1403" t="s">
        <v>941</v>
      </c>
      <c r="P1403" t="s">
        <v>550</v>
      </c>
      <c r="Q1403">
        <v>2022</v>
      </c>
      <c r="R1403" t="s">
        <v>567</v>
      </c>
      <c r="S1403" t="s">
        <v>568</v>
      </c>
      <c r="T1403" t="s">
        <v>569</v>
      </c>
      <c r="U1403" t="b">
        <v>0</v>
      </c>
      <c r="V1403" t="s">
        <v>897</v>
      </c>
      <c r="W1403" t="s">
        <v>571</v>
      </c>
      <c r="X1403" t="s">
        <v>572</v>
      </c>
      <c r="Y1403" t="s">
        <v>472</v>
      </c>
      <c r="Z1403" t="s">
        <v>485</v>
      </c>
      <c r="AA1403" t="s">
        <v>764</v>
      </c>
      <c r="AB1403" t="s">
        <v>895</v>
      </c>
      <c r="AC1403">
        <v>1</v>
      </c>
      <c r="AD1403" t="s">
        <v>639</v>
      </c>
      <c r="AE1403">
        <v>4705.5232079999996</v>
      </c>
      <c r="AF1403">
        <v>4.2486950000000002E-3</v>
      </c>
      <c r="AG1403" t="s">
        <v>560</v>
      </c>
      <c r="AH1403">
        <v>1</v>
      </c>
      <c r="AI1403">
        <v>1107522</v>
      </c>
      <c r="AJ1403" t="s">
        <v>561</v>
      </c>
      <c r="AK1403" t="s">
        <v>573</v>
      </c>
      <c r="AL1403" t="s">
        <v>772</v>
      </c>
      <c r="AM1403">
        <v>2022</v>
      </c>
      <c r="AN1403">
        <v>2019</v>
      </c>
      <c r="AO1403">
        <f>IF(AND(emissions[[#This Row],[Market-based]]=0,emissions[[#This Row],[Impact Type]]="CO2E"),emissions[[#This Row],[kgCO2e]],0)/1000</f>
        <v>0</v>
      </c>
      <c r="AP1403">
        <f>IF(AND(emissions[[#This Row],[Market-based]]=1,OR(emissions[[#This Row],[Impact Type]]="CO2E",emissions[[#This Row],[Impact Type]]="CO2E MKT")),emissions[[#This Row],[kgCO2e]],0)/1000</f>
        <v>4.7055232079999998</v>
      </c>
      <c r="AQ1403" t="str">
        <f>_xlfn.TEXTAFTER(emissions[[#This Row],[Reporting Unit]]," &gt; ",LEN(emissions[[#This Row],[Reporting Unit]])-LEN(SUBSTITUTE(emissions[[#This Row],[Reporting Unit]],"&gt;","")))</f>
        <v>Vantage_Linden</v>
      </c>
      <c r="AR1403" t="str">
        <f>_xlfn.XLOOKUP(emissions[[#This Row],[Reporting unit name]],hierarchy!$A:$A,hierarchy!$C:$C)</f>
        <v>Warehouse</v>
      </c>
    </row>
    <row r="1404" spans="1:44" hidden="1" x14ac:dyDescent="0.25">
      <c r="A1404">
        <v>237860</v>
      </c>
      <c r="B1404" t="s">
        <v>315</v>
      </c>
      <c r="C1404" t="s">
        <v>493</v>
      </c>
      <c r="D1404" t="s">
        <v>548</v>
      </c>
      <c r="E1404" s="3">
        <v>44562</v>
      </c>
      <c r="F1404" s="3">
        <v>44926</v>
      </c>
      <c r="G1404" t="s">
        <v>108</v>
      </c>
      <c r="H1404" s="3">
        <v>44562</v>
      </c>
      <c r="I1404" s="3">
        <v>44926</v>
      </c>
      <c r="J1404" t="s">
        <v>108</v>
      </c>
      <c r="K1404">
        <v>1107522</v>
      </c>
      <c r="L1404" t="s">
        <v>109</v>
      </c>
      <c r="M1404" t="s">
        <v>110</v>
      </c>
      <c r="O1404" t="s">
        <v>941</v>
      </c>
      <c r="P1404" t="s">
        <v>550</v>
      </c>
      <c r="Q1404">
        <v>2022</v>
      </c>
      <c r="R1404" t="s">
        <v>575</v>
      </c>
      <c r="S1404" t="s">
        <v>576</v>
      </c>
      <c r="T1404" t="s">
        <v>577</v>
      </c>
      <c r="U1404" t="b">
        <v>0</v>
      </c>
      <c r="V1404" t="s">
        <v>898</v>
      </c>
      <c r="W1404" t="s">
        <v>571</v>
      </c>
      <c r="X1404" t="s">
        <v>572</v>
      </c>
      <c r="Y1404" t="s">
        <v>472</v>
      </c>
      <c r="Z1404" t="s">
        <v>485</v>
      </c>
      <c r="AA1404" t="s">
        <v>764</v>
      </c>
      <c r="AB1404" t="s">
        <v>895</v>
      </c>
      <c r="AC1404">
        <v>0</v>
      </c>
      <c r="AD1404" t="s">
        <v>565</v>
      </c>
      <c r="AE1404">
        <v>92115.731379999997</v>
      </c>
      <c r="AF1404">
        <v>8.3172823000000007E-2</v>
      </c>
      <c r="AG1404" t="s">
        <v>560</v>
      </c>
      <c r="AH1404">
        <v>1</v>
      </c>
      <c r="AI1404">
        <v>1107522</v>
      </c>
      <c r="AJ1404" t="s">
        <v>561</v>
      </c>
      <c r="AK1404" t="s">
        <v>573</v>
      </c>
      <c r="AL1404" t="s">
        <v>574</v>
      </c>
      <c r="AM1404">
        <v>2022</v>
      </c>
      <c r="AN1404">
        <v>2020</v>
      </c>
      <c r="AO1404">
        <f>IF(AND(emissions[[#This Row],[Market-based]]=0,emissions[[#This Row],[Impact Type]]="CO2E"),emissions[[#This Row],[kgCO2e]],0)/1000</f>
        <v>92.11573138</v>
      </c>
      <c r="AP1404">
        <f>IF(AND(emissions[[#This Row],[Market-based]]=1,OR(emissions[[#This Row],[Impact Type]]="CO2E",emissions[[#This Row],[Impact Type]]="CO2E MKT")),emissions[[#This Row],[kgCO2e]],0)/1000</f>
        <v>0</v>
      </c>
      <c r="AQ1404" t="str">
        <f>_xlfn.TEXTAFTER(emissions[[#This Row],[Reporting Unit]]," &gt; ",LEN(emissions[[#This Row],[Reporting Unit]])-LEN(SUBSTITUTE(emissions[[#This Row],[Reporting Unit]],"&gt;","")))</f>
        <v>Vantage_Linden</v>
      </c>
      <c r="AR1404" t="str">
        <f>_xlfn.XLOOKUP(emissions[[#This Row],[Reporting unit name]],hierarchy!$A:$A,hierarchy!$C:$C)</f>
        <v>Warehouse</v>
      </c>
    </row>
    <row r="1405" spans="1:44" hidden="1" x14ac:dyDescent="0.25">
      <c r="A1405">
        <v>237860</v>
      </c>
      <c r="B1405" t="s">
        <v>315</v>
      </c>
      <c r="C1405" t="s">
        <v>493</v>
      </c>
      <c r="D1405" t="s">
        <v>548</v>
      </c>
      <c r="E1405" s="3">
        <v>44562</v>
      </c>
      <c r="F1405" s="3">
        <v>44926</v>
      </c>
      <c r="G1405" t="s">
        <v>108</v>
      </c>
      <c r="H1405" s="3">
        <v>44562</v>
      </c>
      <c r="I1405" s="3">
        <v>44926</v>
      </c>
      <c r="J1405" t="s">
        <v>108</v>
      </c>
      <c r="K1405">
        <v>1107522</v>
      </c>
      <c r="L1405" t="s">
        <v>109</v>
      </c>
      <c r="M1405" t="s">
        <v>110</v>
      </c>
      <c r="O1405" t="s">
        <v>941</v>
      </c>
      <c r="P1405" t="s">
        <v>550</v>
      </c>
      <c r="Q1405">
        <v>2022</v>
      </c>
      <c r="R1405" t="s">
        <v>575</v>
      </c>
      <c r="S1405" t="s">
        <v>576</v>
      </c>
      <c r="T1405" t="s">
        <v>577</v>
      </c>
      <c r="U1405" t="b">
        <v>0</v>
      </c>
      <c r="V1405" t="s">
        <v>899</v>
      </c>
      <c r="W1405" t="s">
        <v>571</v>
      </c>
      <c r="X1405" t="s">
        <v>572</v>
      </c>
      <c r="Y1405" t="s">
        <v>472</v>
      </c>
      <c r="Z1405" t="s">
        <v>485</v>
      </c>
      <c r="AA1405" t="s">
        <v>764</v>
      </c>
      <c r="AB1405" t="s">
        <v>895</v>
      </c>
      <c r="AC1405">
        <v>1</v>
      </c>
      <c r="AD1405" t="s">
        <v>639</v>
      </c>
      <c r="AE1405">
        <v>92265.160950000005</v>
      </c>
      <c r="AF1405">
        <v>8.3307746000000002E-2</v>
      </c>
      <c r="AG1405" t="s">
        <v>560</v>
      </c>
      <c r="AH1405">
        <v>1</v>
      </c>
      <c r="AI1405">
        <v>1107522</v>
      </c>
      <c r="AJ1405" t="s">
        <v>561</v>
      </c>
      <c r="AK1405" t="s">
        <v>573</v>
      </c>
      <c r="AL1405" t="s">
        <v>900</v>
      </c>
      <c r="AM1405">
        <v>2022</v>
      </c>
      <c r="AN1405">
        <v>2019</v>
      </c>
      <c r="AO1405">
        <f>IF(AND(emissions[[#This Row],[Market-based]]=0,emissions[[#This Row],[Impact Type]]="CO2E"),emissions[[#This Row],[kgCO2e]],0)/1000</f>
        <v>0</v>
      </c>
      <c r="AP1405">
        <f>IF(AND(emissions[[#This Row],[Market-based]]=1,OR(emissions[[#This Row],[Impact Type]]="CO2E",emissions[[#This Row],[Impact Type]]="CO2E MKT")),emissions[[#This Row],[kgCO2e]],0)/1000</f>
        <v>92.265160950000009</v>
      </c>
      <c r="AQ1405" t="str">
        <f>_xlfn.TEXTAFTER(emissions[[#This Row],[Reporting Unit]]," &gt; ",LEN(emissions[[#This Row],[Reporting Unit]])-LEN(SUBSTITUTE(emissions[[#This Row],[Reporting Unit]],"&gt;","")))</f>
        <v>Vantage_Linden</v>
      </c>
      <c r="AR1405" t="str">
        <f>_xlfn.XLOOKUP(emissions[[#This Row],[Reporting unit name]],hierarchy!$A:$A,hierarchy!$C:$C)</f>
        <v>Warehouse</v>
      </c>
    </row>
    <row r="1406" spans="1:44" hidden="1" x14ac:dyDescent="0.25">
      <c r="A1406">
        <v>237860</v>
      </c>
      <c r="B1406" t="s">
        <v>315</v>
      </c>
      <c r="C1406" t="s">
        <v>493</v>
      </c>
      <c r="D1406" t="s">
        <v>548</v>
      </c>
      <c r="E1406" s="3">
        <v>44562</v>
      </c>
      <c r="F1406" s="3">
        <v>44926</v>
      </c>
      <c r="G1406" t="s">
        <v>108</v>
      </c>
      <c r="H1406" s="3">
        <v>44562</v>
      </c>
      <c r="I1406" s="3">
        <v>44926</v>
      </c>
      <c r="J1406" t="s">
        <v>108</v>
      </c>
      <c r="K1406">
        <v>1107522</v>
      </c>
      <c r="L1406" t="s">
        <v>109</v>
      </c>
      <c r="M1406" t="s">
        <v>110</v>
      </c>
      <c r="O1406" t="s">
        <v>941</v>
      </c>
      <c r="P1406" t="s">
        <v>550</v>
      </c>
      <c r="Q1406">
        <v>2022</v>
      </c>
      <c r="R1406" t="s">
        <v>579</v>
      </c>
      <c r="S1406" t="s">
        <v>580</v>
      </c>
      <c r="T1406" t="s">
        <v>581</v>
      </c>
      <c r="U1406" t="b">
        <v>0</v>
      </c>
      <c r="V1406" t="s">
        <v>901</v>
      </c>
      <c r="W1406" t="s">
        <v>571</v>
      </c>
      <c r="X1406" t="s">
        <v>572</v>
      </c>
      <c r="Y1406" t="s">
        <v>472</v>
      </c>
      <c r="Z1406" t="s">
        <v>485</v>
      </c>
      <c r="AA1406" t="s">
        <v>764</v>
      </c>
      <c r="AB1406" t="s">
        <v>895</v>
      </c>
      <c r="AC1406">
        <v>0</v>
      </c>
      <c r="AD1406" t="s">
        <v>565</v>
      </c>
      <c r="AE1406">
        <v>17449.427879999999</v>
      </c>
      <c r="AF1406">
        <v>1.5755378E-2</v>
      </c>
      <c r="AG1406" t="s">
        <v>560</v>
      </c>
      <c r="AH1406">
        <v>1</v>
      </c>
      <c r="AI1406">
        <v>1107522</v>
      </c>
      <c r="AJ1406" t="s">
        <v>561</v>
      </c>
      <c r="AK1406" t="s">
        <v>766</v>
      </c>
      <c r="AL1406" t="s">
        <v>767</v>
      </c>
      <c r="AM1406">
        <v>2022</v>
      </c>
      <c r="AN1406">
        <v>2020</v>
      </c>
      <c r="AO1406">
        <f>IF(AND(emissions[[#This Row],[Market-based]]=0,emissions[[#This Row],[Impact Type]]="CO2E"),emissions[[#This Row],[kgCO2e]],0)/1000</f>
        <v>17.449427879999998</v>
      </c>
      <c r="AP1406">
        <f>IF(AND(emissions[[#This Row],[Market-based]]=1,OR(emissions[[#This Row],[Impact Type]]="CO2E",emissions[[#This Row],[Impact Type]]="CO2E MKT")),emissions[[#This Row],[kgCO2e]],0)/1000</f>
        <v>0</v>
      </c>
      <c r="AQ1406" t="str">
        <f>_xlfn.TEXTAFTER(emissions[[#This Row],[Reporting Unit]]," &gt; ",LEN(emissions[[#This Row],[Reporting Unit]])-LEN(SUBSTITUTE(emissions[[#This Row],[Reporting Unit]],"&gt;","")))</f>
        <v>Vantage_Linden</v>
      </c>
      <c r="AR1406" t="str">
        <f>_xlfn.XLOOKUP(emissions[[#This Row],[Reporting unit name]],hierarchy!$A:$A,hierarchy!$C:$C)</f>
        <v>Warehouse</v>
      </c>
    </row>
    <row r="1407" spans="1:44" hidden="1" x14ac:dyDescent="0.25">
      <c r="A1407">
        <v>237860</v>
      </c>
      <c r="B1407" t="s">
        <v>315</v>
      </c>
      <c r="C1407" t="s">
        <v>493</v>
      </c>
      <c r="D1407" t="s">
        <v>548</v>
      </c>
      <c r="E1407" s="3">
        <v>44562</v>
      </c>
      <c r="F1407" s="3">
        <v>44926</v>
      </c>
      <c r="G1407" t="s">
        <v>108</v>
      </c>
      <c r="H1407" s="3">
        <v>44562</v>
      </c>
      <c r="I1407" s="3">
        <v>44926</v>
      </c>
      <c r="J1407" t="s">
        <v>108</v>
      </c>
      <c r="K1407">
        <v>1107522</v>
      </c>
      <c r="L1407" t="s">
        <v>109</v>
      </c>
      <c r="M1407" t="s">
        <v>110</v>
      </c>
      <c r="O1407" t="s">
        <v>941</v>
      </c>
      <c r="P1407" t="s">
        <v>550</v>
      </c>
      <c r="Q1407">
        <v>2022</v>
      </c>
      <c r="R1407" t="s">
        <v>579</v>
      </c>
      <c r="S1407" t="s">
        <v>580</v>
      </c>
      <c r="T1407" t="s">
        <v>581</v>
      </c>
      <c r="U1407" t="b">
        <v>0</v>
      </c>
      <c r="V1407" t="s">
        <v>902</v>
      </c>
      <c r="W1407" t="s">
        <v>571</v>
      </c>
      <c r="X1407" t="s">
        <v>572</v>
      </c>
      <c r="Y1407" t="s">
        <v>472</v>
      </c>
      <c r="Z1407" t="s">
        <v>485</v>
      </c>
      <c r="AA1407" t="s">
        <v>764</v>
      </c>
      <c r="AB1407" t="s">
        <v>895</v>
      </c>
      <c r="AC1407">
        <v>1</v>
      </c>
      <c r="AD1407" t="s">
        <v>639</v>
      </c>
      <c r="AE1407">
        <v>17812.424210000001</v>
      </c>
      <c r="AF1407">
        <v>1.6083133999999999E-2</v>
      </c>
      <c r="AG1407" t="s">
        <v>560</v>
      </c>
      <c r="AH1407">
        <v>1</v>
      </c>
      <c r="AI1407">
        <v>1107522</v>
      </c>
      <c r="AJ1407" t="s">
        <v>561</v>
      </c>
      <c r="AK1407" t="s">
        <v>573</v>
      </c>
      <c r="AL1407" t="s">
        <v>903</v>
      </c>
      <c r="AM1407">
        <v>2022</v>
      </c>
      <c r="AN1407">
        <v>2019</v>
      </c>
      <c r="AO1407">
        <f>IF(AND(emissions[[#This Row],[Market-based]]=0,emissions[[#This Row],[Impact Type]]="CO2E"),emissions[[#This Row],[kgCO2e]],0)/1000</f>
        <v>0</v>
      </c>
      <c r="AP1407">
        <f>IF(AND(emissions[[#This Row],[Market-based]]=1,OR(emissions[[#This Row],[Impact Type]]="CO2E",emissions[[#This Row],[Impact Type]]="CO2E MKT")),emissions[[#This Row],[kgCO2e]],0)/1000</f>
        <v>17.81242421</v>
      </c>
      <c r="AQ1407" t="str">
        <f>_xlfn.TEXTAFTER(emissions[[#This Row],[Reporting Unit]]," &gt; ",LEN(emissions[[#This Row],[Reporting Unit]])-LEN(SUBSTITUTE(emissions[[#This Row],[Reporting Unit]],"&gt;","")))</f>
        <v>Vantage_Linden</v>
      </c>
      <c r="AR1407" t="str">
        <f>_xlfn.XLOOKUP(emissions[[#This Row],[Reporting unit name]],hierarchy!$A:$A,hierarchy!$C:$C)</f>
        <v>Warehouse</v>
      </c>
    </row>
    <row r="1408" spans="1:44" hidden="1" x14ac:dyDescent="0.25">
      <c r="A1408">
        <v>291071</v>
      </c>
      <c r="B1408" t="s">
        <v>315</v>
      </c>
      <c r="C1408" t="s">
        <v>493</v>
      </c>
      <c r="D1408" t="s">
        <v>548</v>
      </c>
      <c r="E1408" s="3">
        <v>44562</v>
      </c>
      <c r="F1408" s="3">
        <v>44926</v>
      </c>
      <c r="G1408" t="s">
        <v>135</v>
      </c>
      <c r="H1408" s="3">
        <v>44562</v>
      </c>
      <c r="I1408" s="3">
        <v>44926</v>
      </c>
      <c r="J1408" t="s">
        <v>135</v>
      </c>
      <c r="K1408">
        <v>561300</v>
      </c>
      <c r="L1408" t="s">
        <v>160</v>
      </c>
      <c r="M1408" t="s">
        <v>110</v>
      </c>
      <c r="O1408" t="s">
        <v>942</v>
      </c>
      <c r="P1408" t="s">
        <v>550</v>
      </c>
      <c r="Q1408">
        <v>2022</v>
      </c>
      <c r="R1408" t="s">
        <v>605</v>
      </c>
      <c r="S1408" t="s">
        <v>606</v>
      </c>
      <c r="T1408" t="s">
        <v>553</v>
      </c>
      <c r="U1408" t="b">
        <v>0</v>
      </c>
      <c r="V1408" t="s">
        <v>781</v>
      </c>
      <c r="W1408" t="s">
        <v>587</v>
      </c>
      <c r="X1408" t="s">
        <v>556</v>
      </c>
      <c r="Y1408" t="s">
        <v>472</v>
      </c>
      <c r="Z1408" t="s">
        <v>485</v>
      </c>
      <c r="AA1408" t="s">
        <v>764</v>
      </c>
      <c r="AC1408">
        <v>0</v>
      </c>
      <c r="AD1408" t="s">
        <v>558</v>
      </c>
      <c r="AE1408">
        <v>14.453474999999999</v>
      </c>
      <c r="AF1408">
        <v>2.5749999999999999E-5</v>
      </c>
      <c r="AG1408" t="s">
        <v>782</v>
      </c>
      <c r="AH1408">
        <v>1</v>
      </c>
      <c r="AI1408">
        <v>561300</v>
      </c>
      <c r="AJ1408" t="s">
        <v>561</v>
      </c>
      <c r="AK1408" t="s">
        <v>766</v>
      </c>
      <c r="AL1408" t="s">
        <v>767</v>
      </c>
      <c r="AM1408">
        <v>2022</v>
      </c>
      <c r="AN1408">
        <v>2022</v>
      </c>
      <c r="AO1408">
        <f>IF(AND(emissions[[#This Row],[Market-based]]=0,emissions[[#This Row],[Impact Type]]="CO2E"),emissions[[#This Row],[kgCO2e]],0)/1000</f>
        <v>0</v>
      </c>
      <c r="AP1408">
        <f>IF(AND(emissions[[#This Row],[Market-based]]=1,OR(emissions[[#This Row],[Impact Type]]="CO2E",emissions[[#This Row],[Impact Type]]="CO2E MKT")),emissions[[#This Row],[kgCO2e]],0)/1000</f>
        <v>0</v>
      </c>
      <c r="AQ1408" t="str">
        <f>_xlfn.TEXTAFTER(emissions[[#This Row],[Reporting Unit]]," &gt; ",LEN(emissions[[#This Row],[Reporting Unit]])-LEN(SUBSTITUTE(emissions[[#This Row],[Reporting Unit]],"&gt;","")))</f>
        <v>Vantage_Linden</v>
      </c>
      <c r="AR1408" t="str">
        <f>_xlfn.XLOOKUP(emissions[[#This Row],[Reporting unit name]],hierarchy!$A:$A,hierarchy!$C:$C)</f>
        <v>Warehouse</v>
      </c>
    </row>
    <row r="1409" spans="1:44" hidden="1" x14ac:dyDescent="0.25">
      <c r="A1409">
        <v>291071</v>
      </c>
      <c r="B1409" t="s">
        <v>315</v>
      </c>
      <c r="C1409" t="s">
        <v>493</v>
      </c>
      <c r="D1409" t="s">
        <v>548</v>
      </c>
      <c r="E1409" s="3">
        <v>44562</v>
      </c>
      <c r="F1409" s="3">
        <v>44926</v>
      </c>
      <c r="G1409" t="s">
        <v>135</v>
      </c>
      <c r="H1409" s="3">
        <v>44562</v>
      </c>
      <c r="I1409" s="3">
        <v>44926</v>
      </c>
      <c r="J1409" t="s">
        <v>135</v>
      </c>
      <c r="K1409">
        <v>561300</v>
      </c>
      <c r="L1409" t="s">
        <v>160</v>
      </c>
      <c r="M1409" t="s">
        <v>110</v>
      </c>
      <c r="O1409" t="s">
        <v>942</v>
      </c>
      <c r="P1409" t="s">
        <v>550</v>
      </c>
      <c r="Q1409">
        <v>2022</v>
      </c>
      <c r="R1409" t="s">
        <v>605</v>
      </c>
      <c r="S1409" t="s">
        <v>606</v>
      </c>
      <c r="T1409" t="s">
        <v>553</v>
      </c>
      <c r="U1409" t="b">
        <v>0</v>
      </c>
      <c r="V1409" t="s">
        <v>781</v>
      </c>
      <c r="W1409" t="s">
        <v>587</v>
      </c>
      <c r="X1409" t="s">
        <v>556</v>
      </c>
      <c r="Y1409" t="s">
        <v>472</v>
      </c>
      <c r="Z1409" t="s">
        <v>485</v>
      </c>
      <c r="AA1409" t="s">
        <v>764</v>
      </c>
      <c r="AC1409">
        <v>0</v>
      </c>
      <c r="AD1409" t="s">
        <v>564</v>
      </c>
      <c r="AE1409">
        <v>30557.171999999999</v>
      </c>
      <c r="AF1409">
        <v>5.4440000000000002E-2</v>
      </c>
      <c r="AG1409" t="s">
        <v>782</v>
      </c>
      <c r="AH1409">
        <v>1</v>
      </c>
      <c r="AI1409">
        <v>561300</v>
      </c>
      <c r="AJ1409" t="s">
        <v>561</v>
      </c>
      <c r="AK1409" t="s">
        <v>766</v>
      </c>
      <c r="AL1409" t="s">
        <v>767</v>
      </c>
      <c r="AM1409">
        <v>2022</v>
      </c>
      <c r="AN1409">
        <v>2022</v>
      </c>
      <c r="AO1409">
        <f>IF(AND(emissions[[#This Row],[Market-based]]=0,emissions[[#This Row],[Impact Type]]="CO2E"),emissions[[#This Row],[kgCO2e]],0)/1000</f>
        <v>0</v>
      </c>
      <c r="AP1409">
        <f>IF(AND(emissions[[#This Row],[Market-based]]=1,OR(emissions[[#This Row],[Impact Type]]="CO2E",emissions[[#This Row],[Impact Type]]="CO2E MKT")),emissions[[#This Row],[kgCO2e]],0)/1000</f>
        <v>0</v>
      </c>
      <c r="AQ1409" t="str">
        <f>_xlfn.TEXTAFTER(emissions[[#This Row],[Reporting Unit]]," &gt; ",LEN(emissions[[#This Row],[Reporting Unit]])-LEN(SUBSTITUTE(emissions[[#This Row],[Reporting Unit]],"&gt;","")))</f>
        <v>Vantage_Linden</v>
      </c>
      <c r="AR1409" t="str">
        <f>_xlfn.XLOOKUP(emissions[[#This Row],[Reporting unit name]],hierarchy!$A:$A,hierarchy!$C:$C)</f>
        <v>Warehouse</v>
      </c>
    </row>
    <row r="1410" spans="1:44" hidden="1" x14ac:dyDescent="0.25">
      <c r="A1410">
        <v>291071</v>
      </c>
      <c r="B1410" t="s">
        <v>315</v>
      </c>
      <c r="C1410" t="s">
        <v>493</v>
      </c>
      <c r="D1410" t="s">
        <v>548</v>
      </c>
      <c r="E1410" s="3">
        <v>44562</v>
      </c>
      <c r="F1410" s="3">
        <v>44926</v>
      </c>
      <c r="G1410" t="s">
        <v>135</v>
      </c>
      <c r="H1410" s="3">
        <v>44562</v>
      </c>
      <c r="I1410" s="3">
        <v>44926</v>
      </c>
      <c r="J1410" t="s">
        <v>135</v>
      </c>
      <c r="K1410">
        <v>561300</v>
      </c>
      <c r="L1410" t="s">
        <v>160</v>
      </c>
      <c r="M1410" t="s">
        <v>110</v>
      </c>
      <c r="O1410" t="s">
        <v>942</v>
      </c>
      <c r="P1410" t="s">
        <v>550</v>
      </c>
      <c r="Q1410">
        <v>2022</v>
      </c>
      <c r="R1410" t="s">
        <v>605</v>
      </c>
      <c r="S1410" t="s">
        <v>606</v>
      </c>
      <c r="T1410" t="s">
        <v>553</v>
      </c>
      <c r="U1410" t="b">
        <v>0</v>
      </c>
      <c r="V1410" t="s">
        <v>781</v>
      </c>
      <c r="W1410" t="s">
        <v>587</v>
      </c>
      <c r="X1410" t="s">
        <v>556</v>
      </c>
      <c r="Y1410" t="s">
        <v>472</v>
      </c>
      <c r="Z1410" t="s">
        <v>485</v>
      </c>
      <c r="AA1410" t="s">
        <v>764</v>
      </c>
      <c r="AC1410">
        <v>0</v>
      </c>
      <c r="AD1410" t="s">
        <v>565</v>
      </c>
      <c r="AE1410">
        <v>30588.352220000001</v>
      </c>
      <c r="AF1410">
        <v>5.4495549999999997E-2</v>
      </c>
      <c r="AG1410" t="s">
        <v>782</v>
      </c>
      <c r="AH1410">
        <v>1</v>
      </c>
      <c r="AI1410">
        <v>561300</v>
      </c>
      <c r="AJ1410" t="s">
        <v>561</v>
      </c>
      <c r="AK1410" t="s">
        <v>766</v>
      </c>
      <c r="AL1410" t="s">
        <v>767</v>
      </c>
      <c r="AM1410">
        <v>2022</v>
      </c>
      <c r="AN1410">
        <v>2022</v>
      </c>
      <c r="AO1410">
        <f>IF(AND(emissions[[#This Row],[Market-based]]=0,emissions[[#This Row],[Impact Type]]="CO2E"),emissions[[#This Row],[kgCO2e]],0)/1000</f>
        <v>30.588352220000001</v>
      </c>
      <c r="AP1410">
        <f>IF(AND(emissions[[#This Row],[Market-based]]=1,OR(emissions[[#This Row],[Impact Type]]="CO2E",emissions[[#This Row],[Impact Type]]="CO2E MKT")),emissions[[#This Row],[kgCO2e]],0)/1000</f>
        <v>0</v>
      </c>
      <c r="AQ1410" t="str">
        <f>_xlfn.TEXTAFTER(emissions[[#This Row],[Reporting Unit]]," &gt; ",LEN(emissions[[#This Row],[Reporting Unit]])-LEN(SUBSTITUTE(emissions[[#This Row],[Reporting Unit]],"&gt;","")))</f>
        <v>Vantage_Linden</v>
      </c>
      <c r="AR1410" t="str">
        <f>_xlfn.XLOOKUP(emissions[[#This Row],[Reporting unit name]],hierarchy!$A:$A,hierarchy!$C:$C)</f>
        <v>Warehouse</v>
      </c>
    </row>
    <row r="1411" spans="1:44" hidden="1" x14ac:dyDescent="0.25">
      <c r="A1411">
        <v>291071</v>
      </c>
      <c r="B1411" t="s">
        <v>315</v>
      </c>
      <c r="C1411" t="s">
        <v>493</v>
      </c>
      <c r="D1411" t="s">
        <v>548</v>
      </c>
      <c r="E1411" s="3">
        <v>44562</v>
      </c>
      <c r="F1411" s="3">
        <v>44926</v>
      </c>
      <c r="G1411" t="s">
        <v>135</v>
      </c>
      <c r="H1411" s="3">
        <v>44562</v>
      </c>
      <c r="I1411" s="3">
        <v>44926</v>
      </c>
      <c r="J1411" t="s">
        <v>135</v>
      </c>
      <c r="K1411">
        <v>561300</v>
      </c>
      <c r="L1411" t="s">
        <v>160</v>
      </c>
      <c r="M1411" t="s">
        <v>110</v>
      </c>
      <c r="O1411" t="s">
        <v>942</v>
      </c>
      <c r="P1411" t="s">
        <v>550</v>
      </c>
      <c r="Q1411">
        <v>2022</v>
      </c>
      <c r="R1411" t="s">
        <v>605</v>
      </c>
      <c r="S1411" t="s">
        <v>606</v>
      </c>
      <c r="T1411" t="s">
        <v>553</v>
      </c>
      <c r="U1411" t="b">
        <v>0</v>
      </c>
      <c r="V1411" t="s">
        <v>781</v>
      </c>
      <c r="W1411" t="s">
        <v>587</v>
      </c>
      <c r="X1411" t="s">
        <v>556</v>
      </c>
      <c r="Y1411" t="s">
        <v>472</v>
      </c>
      <c r="Z1411" t="s">
        <v>485</v>
      </c>
      <c r="AA1411" t="s">
        <v>764</v>
      </c>
      <c r="AC1411">
        <v>0</v>
      </c>
      <c r="AD1411" t="s">
        <v>566</v>
      </c>
      <c r="AE1411">
        <v>16.726739999999999</v>
      </c>
      <c r="AF1411">
        <v>2.9799999999999999E-5</v>
      </c>
      <c r="AG1411" t="s">
        <v>782</v>
      </c>
      <c r="AH1411">
        <v>1</v>
      </c>
      <c r="AI1411">
        <v>561300</v>
      </c>
      <c r="AJ1411" t="s">
        <v>561</v>
      </c>
      <c r="AK1411" t="s">
        <v>766</v>
      </c>
      <c r="AL1411" t="s">
        <v>767</v>
      </c>
      <c r="AM1411">
        <v>2022</v>
      </c>
      <c r="AN1411">
        <v>2022</v>
      </c>
      <c r="AO1411">
        <f>IF(AND(emissions[[#This Row],[Market-based]]=0,emissions[[#This Row],[Impact Type]]="CO2E"),emissions[[#This Row],[kgCO2e]],0)/1000</f>
        <v>0</v>
      </c>
      <c r="AP1411">
        <f>IF(AND(emissions[[#This Row],[Market-based]]=1,OR(emissions[[#This Row],[Impact Type]]="CO2E",emissions[[#This Row],[Impact Type]]="CO2E MKT")),emissions[[#This Row],[kgCO2e]],0)/1000</f>
        <v>0</v>
      </c>
      <c r="AQ1411" t="str">
        <f>_xlfn.TEXTAFTER(emissions[[#This Row],[Reporting Unit]]," &gt; ",LEN(emissions[[#This Row],[Reporting Unit]])-LEN(SUBSTITUTE(emissions[[#This Row],[Reporting Unit]],"&gt;","")))</f>
        <v>Vantage_Linden</v>
      </c>
      <c r="AR1411" t="str">
        <f>_xlfn.XLOOKUP(emissions[[#This Row],[Reporting unit name]],hierarchy!$A:$A,hierarchy!$C:$C)</f>
        <v>Warehouse</v>
      </c>
    </row>
    <row r="1412" spans="1:44" hidden="1" x14ac:dyDescent="0.25">
      <c r="A1412">
        <v>291071</v>
      </c>
      <c r="B1412" t="s">
        <v>315</v>
      </c>
      <c r="C1412" t="s">
        <v>493</v>
      </c>
      <c r="D1412" t="s">
        <v>548</v>
      </c>
      <c r="E1412" s="3">
        <v>44562</v>
      </c>
      <c r="F1412" s="3">
        <v>44926</v>
      </c>
      <c r="G1412" t="s">
        <v>135</v>
      </c>
      <c r="H1412" s="3">
        <v>44562</v>
      </c>
      <c r="I1412" s="3">
        <v>44926</v>
      </c>
      <c r="J1412" t="s">
        <v>135</v>
      </c>
      <c r="K1412">
        <v>561300</v>
      </c>
      <c r="L1412" t="s">
        <v>160</v>
      </c>
      <c r="M1412" t="s">
        <v>110</v>
      </c>
      <c r="O1412" t="s">
        <v>942</v>
      </c>
      <c r="P1412" t="s">
        <v>550</v>
      </c>
      <c r="Q1412">
        <v>2022</v>
      </c>
      <c r="R1412" t="s">
        <v>605</v>
      </c>
      <c r="S1412" t="s">
        <v>606</v>
      </c>
      <c r="T1412" t="s">
        <v>553</v>
      </c>
      <c r="U1412" t="b">
        <v>0</v>
      </c>
      <c r="V1412" t="s">
        <v>781</v>
      </c>
      <c r="W1412" t="s">
        <v>587</v>
      </c>
      <c r="X1412" t="s">
        <v>556</v>
      </c>
      <c r="Y1412" t="s">
        <v>472</v>
      </c>
      <c r="Z1412" t="s">
        <v>485</v>
      </c>
      <c r="AA1412" t="s">
        <v>764</v>
      </c>
      <c r="AC1412">
        <v>1</v>
      </c>
      <c r="AD1412" t="s">
        <v>558</v>
      </c>
      <c r="AE1412">
        <v>14.453474999999999</v>
      </c>
      <c r="AF1412">
        <v>2.5749999999999999E-5</v>
      </c>
      <c r="AG1412" t="s">
        <v>782</v>
      </c>
      <c r="AH1412">
        <v>1</v>
      </c>
      <c r="AI1412">
        <v>561300</v>
      </c>
      <c r="AJ1412" t="s">
        <v>561</v>
      </c>
      <c r="AK1412" t="s">
        <v>766</v>
      </c>
      <c r="AL1412" t="s">
        <v>767</v>
      </c>
      <c r="AM1412">
        <v>2022</v>
      </c>
      <c r="AN1412">
        <v>2022</v>
      </c>
      <c r="AO1412">
        <f>IF(AND(emissions[[#This Row],[Market-based]]=0,emissions[[#This Row],[Impact Type]]="CO2E"),emissions[[#This Row],[kgCO2e]],0)/1000</f>
        <v>0</v>
      </c>
      <c r="AP1412">
        <f>IF(AND(emissions[[#This Row],[Market-based]]=1,OR(emissions[[#This Row],[Impact Type]]="CO2E",emissions[[#This Row],[Impact Type]]="CO2E MKT")),emissions[[#This Row],[kgCO2e]],0)/1000</f>
        <v>0</v>
      </c>
      <c r="AQ1412" t="str">
        <f>_xlfn.TEXTAFTER(emissions[[#This Row],[Reporting Unit]]," &gt; ",LEN(emissions[[#This Row],[Reporting Unit]])-LEN(SUBSTITUTE(emissions[[#This Row],[Reporting Unit]],"&gt;","")))</f>
        <v>Vantage_Linden</v>
      </c>
      <c r="AR1412" t="str">
        <f>_xlfn.XLOOKUP(emissions[[#This Row],[Reporting unit name]],hierarchy!$A:$A,hierarchy!$C:$C)</f>
        <v>Warehouse</v>
      </c>
    </row>
    <row r="1413" spans="1:44" hidden="1" x14ac:dyDescent="0.25">
      <c r="A1413">
        <v>291071</v>
      </c>
      <c r="B1413" t="s">
        <v>315</v>
      </c>
      <c r="C1413" t="s">
        <v>493</v>
      </c>
      <c r="D1413" t="s">
        <v>548</v>
      </c>
      <c r="E1413" s="3">
        <v>44562</v>
      </c>
      <c r="F1413" s="3">
        <v>44926</v>
      </c>
      <c r="G1413" t="s">
        <v>135</v>
      </c>
      <c r="H1413" s="3">
        <v>44562</v>
      </c>
      <c r="I1413" s="3">
        <v>44926</v>
      </c>
      <c r="J1413" t="s">
        <v>135</v>
      </c>
      <c r="K1413">
        <v>561300</v>
      </c>
      <c r="L1413" t="s">
        <v>160</v>
      </c>
      <c r="M1413" t="s">
        <v>110</v>
      </c>
      <c r="O1413" t="s">
        <v>942</v>
      </c>
      <c r="P1413" t="s">
        <v>550</v>
      </c>
      <c r="Q1413">
        <v>2022</v>
      </c>
      <c r="R1413" t="s">
        <v>605</v>
      </c>
      <c r="S1413" t="s">
        <v>606</v>
      </c>
      <c r="T1413" t="s">
        <v>553</v>
      </c>
      <c r="U1413" t="b">
        <v>0</v>
      </c>
      <c r="V1413" t="s">
        <v>781</v>
      </c>
      <c r="W1413" t="s">
        <v>587</v>
      </c>
      <c r="X1413" t="s">
        <v>556</v>
      </c>
      <c r="Y1413" t="s">
        <v>472</v>
      </c>
      <c r="Z1413" t="s">
        <v>485</v>
      </c>
      <c r="AA1413" t="s">
        <v>764</v>
      </c>
      <c r="AC1413">
        <v>1</v>
      </c>
      <c r="AD1413" t="s">
        <v>564</v>
      </c>
      <c r="AE1413">
        <v>30557.171999999999</v>
      </c>
      <c r="AF1413">
        <v>5.4440000000000002E-2</v>
      </c>
      <c r="AG1413" t="s">
        <v>782</v>
      </c>
      <c r="AH1413">
        <v>1</v>
      </c>
      <c r="AI1413">
        <v>561300</v>
      </c>
      <c r="AJ1413" t="s">
        <v>561</v>
      </c>
      <c r="AK1413" t="s">
        <v>766</v>
      </c>
      <c r="AL1413" t="s">
        <v>767</v>
      </c>
      <c r="AM1413">
        <v>2022</v>
      </c>
      <c r="AN1413">
        <v>2022</v>
      </c>
      <c r="AO1413">
        <f>IF(AND(emissions[[#This Row],[Market-based]]=0,emissions[[#This Row],[Impact Type]]="CO2E"),emissions[[#This Row],[kgCO2e]],0)/1000</f>
        <v>0</v>
      </c>
      <c r="AP1413">
        <f>IF(AND(emissions[[#This Row],[Market-based]]=1,OR(emissions[[#This Row],[Impact Type]]="CO2E",emissions[[#This Row],[Impact Type]]="CO2E MKT")),emissions[[#This Row],[kgCO2e]],0)/1000</f>
        <v>0</v>
      </c>
      <c r="AQ1413" t="str">
        <f>_xlfn.TEXTAFTER(emissions[[#This Row],[Reporting Unit]]," &gt; ",LEN(emissions[[#This Row],[Reporting Unit]])-LEN(SUBSTITUTE(emissions[[#This Row],[Reporting Unit]],"&gt;","")))</f>
        <v>Vantage_Linden</v>
      </c>
      <c r="AR1413" t="str">
        <f>_xlfn.XLOOKUP(emissions[[#This Row],[Reporting unit name]],hierarchy!$A:$A,hierarchy!$C:$C)</f>
        <v>Warehouse</v>
      </c>
    </row>
    <row r="1414" spans="1:44" hidden="1" x14ac:dyDescent="0.25">
      <c r="A1414">
        <v>291071</v>
      </c>
      <c r="B1414" t="s">
        <v>315</v>
      </c>
      <c r="C1414" t="s">
        <v>493</v>
      </c>
      <c r="D1414" t="s">
        <v>548</v>
      </c>
      <c r="E1414" s="3">
        <v>44562</v>
      </c>
      <c r="F1414" s="3">
        <v>44926</v>
      </c>
      <c r="G1414" t="s">
        <v>135</v>
      </c>
      <c r="H1414" s="3">
        <v>44562</v>
      </c>
      <c r="I1414" s="3">
        <v>44926</v>
      </c>
      <c r="J1414" t="s">
        <v>135</v>
      </c>
      <c r="K1414">
        <v>561300</v>
      </c>
      <c r="L1414" t="s">
        <v>160</v>
      </c>
      <c r="M1414" t="s">
        <v>110</v>
      </c>
      <c r="O1414" t="s">
        <v>942</v>
      </c>
      <c r="P1414" t="s">
        <v>550</v>
      </c>
      <c r="Q1414">
        <v>2022</v>
      </c>
      <c r="R1414" t="s">
        <v>605</v>
      </c>
      <c r="S1414" t="s">
        <v>606</v>
      </c>
      <c r="T1414" t="s">
        <v>553</v>
      </c>
      <c r="U1414" t="b">
        <v>0</v>
      </c>
      <c r="V1414" t="s">
        <v>781</v>
      </c>
      <c r="W1414" t="s">
        <v>587</v>
      </c>
      <c r="X1414" t="s">
        <v>556</v>
      </c>
      <c r="Y1414" t="s">
        <v>472</v>
      </c>
      <c r="Z1414" t="s">
        <v>485</v>
      </c>
      <c r="AA1414" t="s">
        <v>764</v>
      </c>
      <c r="AC1414">
        <v>1</v>
      </c>
      <c r="AD1414" t="s">
        <v>565</v>
      </c>
      <c r="AE1414">
        <v>30588.352220000001</v>
      </c>
      <c r="AF1414">
        <v>5.4495549999999997E-2</v>
      </c>
      <c r="AG1414" t="s">
        <v>782</v>
      </c>
      <c r="AH1414">
        <v>1</v>
      </c>
      <c r="AI1414">
        <v>561300</v>
      </c>
      <c r="AJ1414" t="s">
        <v>561</v>
      </c>
      <c r="AK1414" t="s">
        <v>766</v>
      </c>
      <c r="AL1414" t="s">
        <v>767</v>
      </c>
      <c r="AM1414">
        <v>2022</v>
      </c>
      <c r="AN1414">
        <v>2022</v>
      </c>
      <c r="AO1414">
        <f>IF(AND(emissions[[#This Row],[Market-based]]=0,emissions[[#This Row],[Impact Type]]="CO2E"),emissions[[#This Row],[kgCO2e]],0)/1000</f>
        <v>0</v>
      </c>
      <c r="AP1414">
        <f>IF(AND(emissions[[#This Row],[Market-based]]=1,OR(emissions[[#This Row],[Impact Type]]="CO2E",emissions[[#This Row],[Impact Type]]="CO2E MKT")),emissions[[#This Row],[kgCO2e]],0)/1000</f>
        <v>30.588352220000001</v>
      </c>
      <c r="AQ1414" t="str">
        <f>_xlfn.TEXTAFTER(emissions[[#This Row],[Reporting Unit]]," &gt; ",LEN(emissions[[#This Row],[Reporting Unit]])-LEN(SUBSTITUTE(emissions[[#This Row],[Reporting Unit]],"&gt;","")))</f>
        <v>Vantage_Linden</v>
      </c>
      <c r="AR1414" t="str">
        <f>_xlfn.XLOOKUP(emissions[[#This Row],[Reporting unit name]],hierarchy!$A:$A,hierarchy!$C:$C)</f>
        <v>Warehouse</v>
      </c>
    </row>
    <row r="1415" spans="1:44" hidden="1" x14ac:dyDescent="0.25">
      <c r="A1415">
        <v>291071</v>
      </c>
      <c r="B1415" t="s">
        <v>315</v>
      </c>
      <c r="C1415" t="s">
        <v>493</v>
      </c>
      <c r="D1415" t="s">
        <v>548</v>
      </c>
      <c r="E1415" s="3">
        <v>44562</v>
      </c>
      <c r="F1415" s="3">
        <v>44926</v>
      </c>
      <c r="G1415" t="s">
        <v>135</v>
      </c>
      <c r="H1415" s="3">
        <v>44562</v>
      </c>
      <c r="I1415" s="3">
        <v>44926</v>
      </c>
      <c r="J1415" t="s">
        <v>135</v>
      </c>
      <c r="K1415">
        <v>561300</v>
      </c>
      <c r="L1415" t="s">
        <v>160</v>
      </c>
      <c r="M1415" t="s">
        <v>110</v>
      </c>
      <c r="O1415" t="s">
        <v>942</v>
      </c>
      <c r="P1415" t="s">
        <v>550</v>
      </c>
      <c r="Q1415">
        <v>2022</v>
      </c>
      <c r="R1415" t="s">
        <v>605</v>
      </c>
      <c r="S1415" t="s">
        <v>606</v>
      </c>
      <c r="T1415" t="s">
        <v>553</v>
      </c>
      <c r="U1415" t="b">
        <v>0</v>
      </c>
      <c r="V1415" t="s">
        <v>781</v>
      </c>
      <c r="W1415" t="s">
        <v>587</v>
      </c>
      <c r="X1415" t="s">
        <v>556</v>
      </c>
      <c r="Y1415" t="s">
        <v>472</v>
      </c>
      <c r="Z1415" t="s">
        <v>485</v>
      </c>
      <c r="AA1415" t="s">
        <v>764</v>
      </c>
      <c r="AC1415">
        <v>1</v>
      </c>
      <c r="AD1415" t="s">
        <v>566</v>
      </c>
      <c r="AE1415">
        <v>16.726739999999999</v>
      </c>
      <c r="AF1415">
        <v>2.9799999999999999E-5</v>
      </c>
      <c r="AG1415" t="s">
        <v>782</v>
      </c>
      <c r="AH1415">
        <v>1</v>
      </c>
      <c r="AI1415">
        <v>561300</v>
      </c>
      <c r="AJ1415" t="s">
        <v>561</v>
      </c>
      <c r="AK1415" t="s">
        <v>766</v>
      </c>
      <c r="AL1415" t="s">
        <v>767</v>
      </c>
      <c r="AM1415">
        <v>2022</v>
      </c>
      <c r="AN1415">
        <v>2022</v>
      </c>
      <c r="AO1415">
        <f>IF(AND(emissions[[#This Row],[Market-based]]=0,emissions[[#This Row],[Impact Type]]="CO2E"),emissions[[#This Row],[kgCO2e]],0)/1000</f>
        <v>0</v>
      </c>
      <c r="AP1415">
        <f>IF(AND(emissions[[#This Row],[Market-based]]=1,OR(emissions[[#This Row],[Impact Type]]="CO2E",emissions[[#This Row],[Impact Type]]="CO2E MKT")),emissions[[#This Row],[kgCO2e]],0)/1000</f>
        <v>0</v>
      </c>
      <c r="AQ1415" t="str">
        <f>_xlfn.TEXTAFTER(emissions[[#This Row],[Reporting Unit]]," &gt; ",LEN(emissions[[#This Row],[Reporting Unit]])-LEN(SUBSTITUTE(emissions[[#This Row],[Reporting Unit]],"&gt;","")))</f>
        <v>Vantage_Linden</v>
      </c>
      <c r="AR1415" t="str">
        <f>_xlfn.XLOOKUP(emissions[[#This Row],[Reporting unit name]],hierarchy!$A:$A,hierarchy!$C:$C)</f>
        <v>Warehouse</v>
      </c>
    </row>
    <row r="1416" spans="1:44" hidden="1" x14ac:dyDescent="0.25">
      <c r="A1416">
        <v>291071</v>
      </c>
      <c r="B1416" t="s">
        <v>315</v>
      </c>
      <c r="C1416" t="s">
        <v>493</v>
      </c>
      <c r="D1416" t="s">
        <v>548</v>
      </c>
      <c r="E1416" s="3">
        <v>44562</v>
      </c>
      <c r="F1416" s="3">
        <v>44926</v>
      </c>
      <c r="G1416" t="s">
        <v>135</v>
      </c>
      <c r="H1416" s="3">
        <v>44562</v>
      </c>
      <c r="I1416" s="3">
        <v>44926</v>
      </c>
      <c r="J1416" t="s">
        <v>135</v>
      </c>
      <c r="K1416">
        <v>561300</v>
      </c>
      <c r="L1416" t="s">
        <v>160</v>
      </c>
      <c r="M1416" t="s">
        <v>110</v>
      </c>
      <c r="O1416" t="s">
        <v>942</v>
      </c>
      <c r="P1416" t="s">
        <v>550</v>
      </c>
      <c r="Q1416">
        <v>2022</v>
      </c>
      <c r="R1416" t="s">
        <v>609</v>
      </c>
      <c r="S1416" t="s">
        <v>610</v>
      </c>
      <c r="T1416" t="s">
        <v>577</v>
      </c>
      <c r="U1416" t="b">
        <v>0</v>
      </c>
      <c r="V1416" t="s">
        <v>632</v>
      </c>
      <c r="W1416" t="s">
        <v>571</v>
      </c>
      <c r="X1416" t="s">
        <v>572</v>
      </c>
      <c r="AC1416">
        <v>0</v>
      </c>
      <c r="AD1416" t="s">
        <v>565</v>
      </c>
      <c r="AE1416">
        <v>5458.0750930000004</v>
      </c>
      <c r="AF1416">
        <v>0.34339999999999998</v>
      </c>
      <c r="AG1416" t="s">
        <v>783</v>
      </c>
      <c r="AH1416">
        <v>2.83168E-2</v>
      </c>
      <c r="AI1416">
        <v>15894.21984</v>
      </c>
      <c r="AJ1416" t="s">
        <v>561</v>
      </c>
      <c r="AK1416" t="s">
        <v>589</v>
      </c>
      <c r="AL1416" t="s">
        <v>590</v>
      </c>
      <c r="AM1416">
        <v>2022</v>
      </c>
      <c r="AN1416">
        <v>2020</v>
      </c>
      <c r="AO1416">
        <f>IF(AND(emissions[[#This Row],[Market-based]]=0,emissions[[#This Row],[Impact Type]]="CO2E"),emissions[[#This Row],[kgCO2e]],0)/1000</f>
        <v>5.4580750930000006</v>
      </c>
      <c r="AP1416">
        <f>IF(AND(emissions[[#This Row],[Market-based]]=1,OR(emissions[[#This Row],[Impact Type]]="CO2E",emissions[[#This Row],[Impact Type]]="CO2E MKT")),emissions[[#This Row],[kgCO2e]],0)/1000</f>
        <v>0</v>
      </c>
      <c r="AQ1416" t="str">
        <f>_xlfn.TEXTAFTER(emissions[[#This Row],[Reporting Unit]]," &gt; ",LEN(emissions[[#This Row],[Reporting Unit]])-LEN(SUBSTITUTE(emissions[[#This Row],[Reporting Unit]],"&gt;","")))</f>
        <v>Vantage_Linden</v>
      </c>
      <c r="AR1416" t="str">
        <f>_xlfn.XLOOKUP(emissions[[#This Row],[Reporting unit name]],hierarchy!$A:$A,hierarchy!$C:$C)</f>
        <v>Warehouse</v>
      </c>
    </row>
    <row r="1417" spans="1:44" hidden="1" x14ac:dyDescent="0.25">
      <c r="A1417">
        <v>291071</v>
      </c>
      <c r="B1417" t="s">
        <v>315</v>
      </c>
      <c r="C1417" t="s">
        <v>493</v>
      </c>
      <c r="D1417" t="s">
        <v>548</v>
      </c>
      <c r="E1417" s="3">
        <v>44562</v>
      </c>
      <c r="F1417" s="3">
        <v>44926</v>
      </c>
      <c r="G1417" t="s">
        <v>135</v>
      </c>
      <c r="H1417" s="3">
        <v>44562</v>
      </c>
      <c r="I1417" s="3">
        <v>44926</v>
      </c>
      <c r="J1417" t="s">
        <v>135</v>
      </c>
      <c r="K1417">
        <v>561300</v>
      </c>
      <c r="L1417" t="s">
        <v>160</v>
      </c>
      <c r="M1417" t="s">
        <v>110</v>
      </c>
      <c r="O1417" t="s">
        <v>942</v>
      </c>
      <c r="P1417" t="s">
        <v>550</v>
      </c>
      <c r="Q1417">
        <v>2022</v>
      </c>
      <c r="R1417" t="s">
        <v>609</v>
      </c>
      <c r="S1417" t="s">
        <v>610</v>
      </c>
      <c r="T1417" t="s">
        <v>577</v>
      </c>
      <c r="U1417" t="b">
        <v>0</v>
      </c>
      <c r="V1417" t="s">
        <v>632</v>
      </c>
      <c r="W1417" t="s">
        <v>571</v>
      </c>
      <c r="X1417" t="s">
        <v>572</v>
      </c>
      <c r="AC1417">
        <v>1</v>
      </c>
      <c r="AD1417" t="s">
        <v>565</v>
      </c>
      <c r="AE1417">
        <v>5458.0750930000004</v>
      </c>
      <c r="AF1417">
        <v>0.34339999999999998</v>
      </c>
      <c r="AG1417" t="s">
        <v>783</v>
      </c>
      <c r="AH1417">
        <v>2.83168E-2</v>
      </c>
      <c r="AI1417">
        <v>15894.21984</v>
      </c>
      <c r="AJ1417" t="s">
        <v>561</v>
      </c>
      <c r="AK1417" t="s">
        <v>589</v>
      </c>
      <c r="AL1417" t="s">
        <v>590</v>
      </c>
      <c r="AM1417">
        <v>2022</v>
      </c>
      <c r="AN1417">
        <v>2020</v>
      </c>
      <c r="AO1417">
        <f>IF(AND(emissions[[#This Row],[Market-based]]=0,emissions[[#This Row],[Impact Type]]="CO2E"),emissions[[#This Row],[kgCO2e]],0)/1000</f>
        <v>0</v>
      </c>
      <c r="AP1417">
        <f>IF(AND(emissions[[#This Row],[Market-based]]=1,OR(emissions[[#This Row],[Impact Type]]="CO2E",emissions[[#This Row],[Impact Type]]="CO2E MKT")),emissions[[#This Row],[kgCO2e]],0)/1000</f>
        <v>5.4580750930000006</v>
      </c>
      <c r="AQ1417" t="str">
        <f>_xlfn.TEXTAFTER(emissions[[#This Row],[Reporting Unit]]," &gt; ",LEN(emissions[[#This Row],[Reporting Unit]])-LEN(SUBSTITUTE(emissions[[#This Row],[Reporting Unit]],"&gt;","")))</f>
        <v>Vantage_Linden</v>
      </c>
      <c r="AR1417" t="str">
        <f>_xlfn.XLOOKUP(emissions[[#This Row],[Reporting unit name]],hierarchy!$A:$A,hierarchy!$C:$C)</f>
        <v>Warehouse</v>
      </c>
    </row>
    <row r="1418" spans="1:44" hidden="1" x14ac:dyDescent="0.25">
      <c r="A1418">
        <v>1590454</v>
      </c>
      <c r="B1418" t="s">
        <v>315</v>
      </c>
      <c r="C1418" t="s">
        <v>493</v>
      </c>
      <c r="D1418" t="s">
        <v>548</v>
      </c>
      <c r="E1418" s="3">
        <v>44562</v>
      </c>
      <c r="F1418" s="3">
        <v>44926</v>
      </c>
      <c r="G1418" t="s">
        <v>116</v>
      </c>
      <c r="H1418" s="3">
        <v>44562</v>
      </c>
      <c r="I1418" s="3">
        <v>44926</v>
      </c>
      <c r="J1418" t="s">
        <v>117</v>
      </c>
      <c r="K1418">
        <v>14.287000000000001</v>
      </c>
      <c r="L1418" t="s">
        <v>118</v>
      </c>
      <c r="M1418" t="s">
        <v>82</v>
      </c>
      <c r="N1418" t="s">
        <v>120</v>
      </c>
      <c r="O1418" t="s">
        <v>631</v>
      </c>
      <c r="P1418" t="s">
        <v>631</v>
      </c>
      <c r="Q1418">
        <v>2022</v>
      </c>
      <c r="R1418" t="s">
        <v>619</v>
      </c>
      <c r="S1418" t="s">
        <v>620</v>
      </c>
      <c r="T1418" t="s">
        <v>553</v>
      </c>
      <c r="U1418" t="b">
        <v>0</v>
      </c>
      <c r="V1418" t="s">
        <v>621</v>
      </c>
      <c r="W1418" t="s">
        <v>587</v>
      </c>
      <c r="X1418" t="s">
        <v>556</v>
      </c>
      <c r="AC1418">
        <v>0</v>
      </c>
      <c r="AD1418" t="s">
        <v>565</v>
      </c>
      <c r="AE1418">
        <v>20430.41</v>
      </c>
      <c r="AF1418">
        <v>1430</v>
      </c>
      <c r="AG1418" t="s">
        <v>622</v>
      </c>
      <c r="AH1418">
        <v>1</v>
      </c>
      <c r="AI1418">
        <v>14.287000000000001</v>
      </c>
      <c r="AJ1418" t="s">
        <v>561</v>
      </c>
      <c r="AK1418" t="s">
        <v>623</v>
      </c>
      <c r="AL1418" t="s">
        <v>624</v>
      </c>
      <c r="AM1418">
        <v>2022</v>
      </c>
      <c r="AN1418">
        <v>2007</v>
      </c>
      <c r="AO1418">
        <f>IF(AND(emissions[[#This Row],[Market-based]]=0,emissions[[#This Row],[Impact Type]]="CO2E"),emissions[[#This Row],[kgCO2e]],0)/1000</f>
        <v>20.430409999999998</v>
      </c>
      <c r="AP1418">
        <f>IF(AND(emissions[[#This Row],[Market-based]]=1,OR(emissions[[#This Row],[Impact Type]]="CO2E",emissions[[#This Row],[Impact Type]]="CO2E MKT")),emissions[[#This Row],[kgCO2e]],0)/1000</f>
        <v>0</v>
      </c>
      <c r="AQ1418" t="str">
        <f>_xlfn.TEXTAFTER(emissions[[#This Row],[Reporting Unit]]," &gt; ",LEN(emissions[[#This Row],[Reporting Unit]])-LEN(SUBSTITUTE(emissions[[#This Row],[Reporting Unit]],"&gt;","")))</f>
        <v>Vantage_Linden</v>
      </c>
      <c r="AR1418" t="str">
        <f>_xlfn.XLOOKUP(emissions[[#This Row],[Reporting unit name]],hierarchy!$A:$A,hierarchy!$C:$C)</f>
        <v>Warehouse</v>
      </c>
    </row>
    <row r="1419" spans="1:44" hidden="1" x14ac:dyDescent="0.25">
      <c r="A1419">
        <v>1590454</v>
      </c>
      <c r="B1419" t="s">
        <v>315</v>
      </c>
      <c r="C1419" t="s">
        <v>493</v>
      </c>
      <c r="D1419" t="s">
        <v>548</v>
      </c>
      <c r="E1419" s="3">
        <v>44562</v>
      </c>
      <c r="F1419" s="3">
        <v>44926</v>
      </c>
      <c r="G1419" t="s">
        <v>116</v>
      </c>
      <c r="H1419" s="3">
        <v>44562</v>
      </c>
      <c r="I1419" s="3">
        <v>44926</v>
      </c>
      <c r="J1419" t="s">
        <v>117</v>
      </c>
      <c r="K1419">
        <v>14.287000000000001</v>
      </c>
      <c r="L1419" t="s">
        <v>118</v>
      </c>
      <c r="M1419" t="s">
        <v>82</v>
      </c>
      <c r="N1419" t="s">
        <v>120</v>
      </c>
      <c r="O1419" t="s">
        <v>631</v>
      </c>
      <c r="P1419" t="s">
        <v>631</v>
      </c>
      <c r="Q1419">
        <v>2022</v>
      </c>
      <c r="R1419" t="s">
        <v>619</v>
      </c>
      <c r="S1419" t="s">
        <v>620</v>
      </c>
      <c r="T1419" t="s">
        <v>553</v>
      </c>
      <c r="U1419" t="b">
        <v>0</v>
      </c>
      <c r="V1419" t="s">
        <v>621</v>
      </c>
      <c r="W1419" t="s">
        <v>587</v>
      </c>
      <c r="X1419" t="s">
        <v>556</v>
      </c>
      <c r="AC1419">
        <v>1</v>
      </c>
      <c r="AD1419" t="s">
        <v>565</v>
      </c>
      <c r="AE1419">
        <v>20430.41</v>
      </c>
      <c r="AF1419">
        <v>1430</v>
      </c>
      <c r="AG1419" t="s">
        <v>622</v>
      </c>
      <c r="AH1419">
        <v>1</v>
      </c>
      <c r="AI1419">
        <v>14.287000000000001</v>
      </c>
      <c r="AJ1419" t="s">
        <v>561</v>
      </c>
      <c r="AK1419" t="s">
        <v>623</v>
      </c>
      <c r="AL1419" t="s">
        <v>624</v>
      </c>
      <c r="AM1419">
        <v>2022</v>
      </c>
      <c r="AN1419">
        <v>2007</v>
      </c>
      <c r="AO1419">
        <f>IF(AND(emissions[[#This Row],[Market-based]]=0,emissions[[#This Row],[Impact Type]]="CO2E"),emissions[[#This Row],[kgCO2e]],0)/1000</f>
        <v>0</v>
      </c>
      <c r="AP1419">
        <f>IF(AND(emissions[[#This Row],[Market-based]]=1,OR(emissions[[#This Row],[Impact Type]]="CO2E",emissions[[#This Row],[Impact Type]]="CO2E MKT")),emissions[[#This Row],[kgCO2e]],0)/1000</f>
        <v>20.430409999999998</v>
      </c>
      <c r="AQ1419" t="str">
        <f>_xlfn.TEXTAFTER(emissions[[#This Row],[Reporting Unit]]," &gt; ",LEN(emissions[[#This Row],[Reporting Unit]])-LEN(SUBSTITUTE(emissions[[#This Row],[Reporting Unit]],"&gt;","")))</f>
        <v>Vantage_Linden</v>
      </c>
      <c r="AR1419" t="str">
        <f>_xlfn.XLOOKUP(emissions[[#This Row],[Reporting unit name]],hierarchy!$A:$A,hierarchy!$C:$C)</f>
        <v>Warehouse</v>
      </c>
    </row>
    <row r="1420" spans="1:44" hidden="1" x14ac:dyDescent="0.25">
      <c r="A1420">
        <v>291088</v>
      </c>
      <c r="B1420" t="s">
        <v>315</v>
      </c>
      <c r="C1420" t="s">
        <v>493</v>
      </c>
      <c r="D1420" t="s">
        <v>548</v>
      </c>
      <c r="E1420" s="3">
        <v>44562</v>
      </c>
      <c r="F1420" s="3">
        <v>44926</v>
      </c>
      <c r="G1420" t="s">
        <v>121</v>
      </c>
      <c r="H1420" s="3">
        <v>44562</v>
      </c>
      <c r="I1420" s="3">
        <v>44926</v>
      </c>
      <c r="J1420" t="s">
        <v>150</v>
      </c>
      <c r="K1420">
        <v>2706</v>
      </c>
      <c r="L1420" t="s">
        <v>215</v>
      </c>
      <c r="M1420" t="s">
        <v>110</v>
      </c>
      <c r="O1420" t="s">
        <v>943</v>
      </c>
      <c r="P1420" t="s">
        <v>550</v>
      </c>
      <c r="Q1420">
        <v>2022</v>
      </c>
      <c r="R1420" t="s">
        <v>594</v>
      </c>
      <c r="S1420" t="s">
        <v>150</v>
      </c>
      <c r="T1420" t="s">
        <v>553</v>
      </c>
      <c r="U1420" t="b">
        <v>0</v>
      </c>
      <c r="V1420" t="s">
        <v>595</v>
      </c>
      <c r="W1420" t="s">
        <v>587</v>
      </c>
      <c r="X1420" t="s">
        <v>556</v>
      </c>
      <c r="AC1420">
        <v>0</v>
      </c>
      <c r="AD1420" t="s">
        <v>558</v>
      </c>
      <c r="AE1420">
        <v>2.8353275870000001</v>
      </c>
      <c r="AF1420">
        <v>2.31</v>
      </c>
      <c r="AG1420" t="s">
        <v>756</v>
      </c>
      <c r="AH1420">
        <v>4.5359000000000003E-4</v>
      </c>
      <c r="AI1420">
        <v>1.2274145400000001</v>
      </c>
      <c r="AJ1420" t="s">
        <v>561</v>
      </c>
      <c r="AK1420" t="s">
        <v>589</v>
      </c>
      <c r="AL1420" t="s">
        <v>590</v>
      </c>
      <c r="AM1420">
        <v>2022</v>
      </c>
      <c r="AN1420">
        <v>2020</v>
      </c>
      <c r="AO1420">
        <f>IF(AND(emissions[[#This Row],[Market-based]]=0,emissions[[#This Row],[Impact Type]]="CO2E"),emissions[[#This Row],[kgCO2e]],0)/1000</f>
        <v>0</v>
      </c>
      <c r="AP1420">
        <f>IF(AND(emissions[[#This Row],[Market-based]]=1,OR(emissions[[#This Row],[Impact Type]]="CO2E",emissions[[#This Row],[Impact Type]]="CO2E MKT")),emissions[[#This Row],[kgCO2e]],0)/1000</f>
        <v>0</v>
      </c>
      <c r="AQ1420" t="str">
        <f>_xlfn.TEXTAFTER(emissions[[#This Row],[Reporting Unit]]," &gt; ",LEN(emissions[[#This Row],[Reporting Unit]])-LEN(SUBSTITUTE(emissions[[#This Row],[Reporting Unit]],"&gt;","")))</f>
        <v>Vantage_Linden</v>
      </c>
      <c r="AR1420" t="str">
        <f>_xlfn.XLOOKUP(emissions[[#This Row],[Reporting unit name]],hierarchy!$A:$A,hierarchy!$C:$C)</f>
        <v>Warehouse</v>
      </c>
    </row>
    <row r="1421" spans="1:44" hidden="1" x14ac:dyDescent="0.25">
      <c r="A1421">
        <v>291088</v>
      </c>
      <c r="B1421" t="s">
        <v>315</v>
      </c>
      <c r="C1421" t="s">
        <v>493</v>
      </c>
      <c r="D1421" t="s">
        <v>548</v>
      </c>
      <c r="E1421" s="3">
        <v>44562</v>
      </c>
      <c r="F1421" s="3">
        <v>44926</v>
      </c>
      <c r="G1421" t="s">
        <v>121</v>
      </c>
      <c r="H1421" s="3">
        <v>44562</v>
      </c>
      <c r="I1421" s="3">
        <v>44926</v>
      </c>
      <c r="J1421" t="s">
        <v>150</v>
      </c>
      <c r="K1421">
        <v>2706</v>
      </c>
      <c r="L1421" t="s">
        <v>215</v>
      </c>
      <c r="M1421" t="s">
        <v>110</v>
      </c>
      <c r="O1421" t="s">
        <v>943</v>
      </c>
      <c r="P1421" t="s">
        <v>550</v>
      </c>
      <c r="Q1421">
        <v>2022</v>
      </c>
      <c r="R1421" t="s">
        <v>594</v>
      </c>
      <c r="S1421" t="s">
        <v>150</v>
      </c>
      <c r="T1421" t="s">
        <v>553</v>
      </c>
      <c r="U1421" t="b">
        <v>0</v>
      </c>
      <c r="V1421" t="s">
        <v>595</v>
      </c>
      <c r="W1421" t="s">
        <v>587</v>
      </c>
      <c r="X1421" t="s">
        <v>556</v>
      </c>
      <c r="AC1421">
        <v>0</v>
      </c>
      <c r="AD1421" t="s">
        <v>564</v>
      </c>
      <c r="AE1421">
        <v>3674.1426839999999</v>
      </c>
      <c r="AF1421">
        <v>2993.4</v>
      </c>
      <c r="AG1421" t="s">
        <v>756</v>
      </c>
      <c r="AH1421">
        <v>4.5359000000000003E-4</v>
      </c>
      <c r="AI1421">
        <v>1.2274145400000001</v>
      </c>
      <c r="AJ1421" t="s">
        <v>561</v>
      </c>
      <c r="AK1421" t="s">
        <v>589</v>
      </c>
      <c r="AL1421" t="s">
        <v>590</v>
      </c>
      <c r="AM1421">
        <v>2022</v>
      </c>
      <c r="AN1421">
        <v>2020</v>
      </c>
      <c r="AO1421">
        <f>IF(AND(emissions[[#This Row],[Market-based]]=0,emissions[[#This Row],[Impact Type]]="CO2E"),emissions[[#This Row],[kgCO2e]],0)/1000</f>
        <v>0</v>
      </c>
      <c r="AP1421">
        <f>IF(AND(emissions[[#This Row],[Market-based]]=1,OR(emissions[[#This Row],[Impact Type]]="CO2E",emissions[[#This Row],[Impact Type]]="CO2E MKT")),emissions[[#This Row],[kgCO2e]],0)/1000</f>
        <v>0</v>
      </c>
      <c r="AQ1421" t="str">
        <f>_xlfn.TEXTAFTER(emissions[[#This Row],[Reporting Unit]]," &gt; ",LEN(emissions[[#This Row],[Reporting Unit]])-LEN(SUBSTITUTE(emissions[[#This Row],[Reporting Unit]],"&gt;","")))</f>
        <v>Vantage_Linden</v>
      </c>
      <c r="AR1421" t="str">
        <f>_xlfn.XLOOKUP(emissions[[#This Row],[Reporting unit name]],hierarchy!$A:$A,hierarchy!$C:$C)</f>
        <v>Warehouse</v>
      </c>
    </row>
    <row r="1422" spans="1:44" hidden="1" x14ac:dyDescent="0.25">
      <c r="A1422">
        <v>291088</v>
      </c>
      <c r="B1422" t="s">
        <v>315</v>
      </c>
      <c r="C1422" t="s">
        <v>493</v>
      </c>
      <c r="D1422" t="s">
        <v>548</v>
      </c>
      <c r="E1422" s="3">
        <v>44562</v>
      </c>
      <c r="F1422" s="3">
        <v>44926</v>
      </c>
      <c r="G1422" t="s">
        <v>121</v>
      </c>
      <c r="H1422" s="3">
        <v>44562</v>
      </c>
      <c r="I1422" s="3">
        <v>44926</v>
      </c>
      <c r="J1422" t="s">
        <v>150</v>
      </c>
      <c r="K1422">
        <v>2706</v>
      </c>
      <c r="L1422" t="s">
        <v>215</v>
      </c>
      <c r="M1422" t="s">
        <v>110</v>
      </c>
      <c r="O1422" t="s">
        <v>943</v>
      </c>
      <c r="P1422" t="s">
        <v>550</v>
      </c>
      <c r="Q1422">
        <v>2022</v>
      </c>
      <c r="R1422" t="s">
        <v>594</v>
      </c>
      <c r="S1422" t="s">
        <v>150</v>
      </c>
      <c r="T1422" t="s">
        <v>553</v>
      </c>
      <c r="U1422" t="b">
        <v>0</v>
      </c>
      <c r="V1422" t="s">
        <v>595</v>
      </c>
      <c r="W1422" t="s">
        <v>587</v>
      </c>
      <c r="X1422" t="s">
        <v>556</v>
      </c>
      <c r="AC1422">
        <v>0</v>
      </c>
      <c r="AD1422" t="s">
        <v>565</v>
      </c>
      <c r="AE1422">
        <v>3679.2487289999999</v>
      </c>
      <c r="AF1422">
        <v>2997.56</v>
      </c>
      <c r="AG1422" t="s">
        <v>756</v>
      </c>
      <c r="AH1422">
        <v>4.5359000000000003E-4</v>
      </c>
      <c r="AI1422">
        <v>1.2274145400000001</v>
      </c>
      <c r="AJ1422" t="s">
        <v>561</v>
      </c>
      <c r="AK1422" t="s">
        <v>589</v>
      </c>
      <c r="AL1422" t="s">
        <v>590</v>
      </c>
      <c r="AM1422">
        <v>2022</v>
      </c>
      <c r="AN1422">
        <v>2020</v>
      </c>
      <c r="AO1422">
        <f>IF(AND(emissions[[#This Row],[Market-based]]=0,emissions[[#This Row],[Impact Type]]="CO2E"),emissions[[#This Row],[kgCO2e]],0)/1000</f>
        <v>3.6792487289999998</v>
      </c>
      <c r="AP1422">
        <f>IF(AND(emissions[[#This Row],[Market-based]]=1,OR(emissions[[#This Row],[Impact Type]]="CO2E",emissions[[#This Row],[Impact Type]]="CO2E MKT")),emissions[[#This Row],[kgCO2e]],0)/1000</f>
        <v>0</v>
      </c>
      <c r="AQ1422" t="str">
        <f>_xlfn.TEXTAFTER(emissions[[#This Row],[Reporting Unit]]," &gt; ",LEN(emissions[[#This Row],[Reporting Unit]])-LEN(SUBSTITUTE(emissions[[#This Row],[Reporting Unit]],"&gt;","")))</f>
        <v>Vantage_Linden</v>
      </c>
      <c r="AR1422" t="str">
        <f>_xlfn.XLOOKUP(emissions[[#This Row],[Reporting unit name]],hierarchy!$A:$A,hierarchy!$C:$C)</f>
        <v>Warehouse</v>
      </c>
    </row>
    <row r="1423" spans="1:44" hidden="1" x14ac:dyDescent="0.25">
      <c r="A1423">
        <v>291088</v>
      </c>
      <c r="B1423" t="s">
        <v>315</v>
      </c>
      <c r="C1423" t="s">
        <v>493</v>
      </c>
      <c r="D1423" t="s">
        <v>548</v>
      </c>
      <c r="E1423" s="3">
        <v>44562</v>
      </c>
      <c r="F1423" s="3">
        <v>44926</v>
      </c>
      <c r="G1423" t="s">
        <v>121</v>
      </c>
      <c r="H1423" s="3">
        <v>44562</v>
      </c>
      <c r="I1423" s="3">
        <v>44926</v>
      </c>
      <c r="J1423" t="s">
        <v>150</v>
      </c>
      <c r="K1423">
        <v>2706</v>
      </c>
      <c r="L1423" t="s">
        <v>215</v>
      </c>
      <c r="M1423" t="s">
        <v>110</v>
      </c>
      <c r="O1423" t="s">
        <v>943</v>
      </c>
      <c r="P1423" t="s">
        <v>550</v>
      </c>
      <c r="Q1423">
        <v>2022</v>
      </c>
      <c r="R1423" t="s">
        <v>594</v>
      </c>
      <c r="S1423" t="s">
        <v>150</v>
      </c>
      <c r="T1423" t="s">
        <v>553</v>
      </c>
      <c r="U1423" t="b">
        <v>0</v>
      </c>
      <c r="V1423" t="s">
        <v>595</v>
      </c>
      <c r="W1423" t="s">
        <v>587</v>
      </c>
      <c r="X1423" t="s">
        <v>556</v>
      </c>
      <c r="AC1423">
        <v>0</v>
      </c>
      <c r="AD1423" t="s">
        <v>566</v>
      </c>
      <c r="AE1423">
        <v>2.270716899</v>
      </c>
      <c r="AF1423">
        <v>1.85</v>
      </c>
      <c r="AG1423" t="s">
        <v>756</v>
      </c>
      <c r="AH1423">
        <v>4.5359000000000003E-4</v>
      </c>
      <c r="AI1423">
        <v>1.2274145400000001</v>
      </c>
      <c r="AJ1423" t="s">
        <v>561</v>
      </c>
      <c r="AK1423" t="s">
        <v>589</v>
      </c>
      <c r="AL1423" t="s">
        <v>590</v>
      </c>
      <c r="AM1423">
        <v>2022</v>
      </c>
      <c r="AN1423">
        <v>2020</v>
      </c>
      <c r="AO1423">
        <f>IF(AND(emissions[[#This Row],[Market-based]]=0,emissions[[#This Row],[Impact Type]]="CO2E"),emissions[[#This Row],[kgCO2e]],0)/1000</f>
        <v>0</v>
      </c>
      <c r="AP1423">
        <f>IF(AND(emissions[[#This Row],[Market-based]]=1,OR(emissions[[#This Row],[Impact Type]]="CO2E",emissions[[#This Row],[Impact Type]]="CO2E MKT")),emissions[[#This Row],[kgCO2e]],0)/1000</f>
        <v>0</v>
      </c>
      <c r="AQ1423" t="str">
        <f>_xlfn.TEXTAFTER(emissions[[#This Row],[Reporting Unit]]," &gt; ",LEN(emissions[[#This Row],[Reporting Unit]])-LEN(SUBSTITUTE(emissions[[#This Row],[Reporting Unit]],"&gt;","")))</f>
        <v>Vantage_Linden</v>
      </c>
      <c r="AR1423" t="str">
        <f>_xlfn.XLOOKUP(emissions[[#This Row],[Reporting unit name]],hierarchy!$A:$A,hierarchy!$C:$C)</f>
        <v>Warehouse</v>
      </c>
    </row>
    <row r="1424" spans="1:44" hidden="1" x14ac:dyDescent="0.25">
      <c r="A1424">
        <v>291088</v>
      </c>
      <c r="B1424" t="s">
        <v>315</v>
      </c>
      <c r="C1424" t="s">
        <v>493</v>
      </c>
      <c r="D1424" t="s">
        <v>548</v>
      </c>
      <c r="E1424" s="3">
        <v>44562</v>
      </c>
      <c r="F1424" s="3">
        <v>44926</v>
      </c>
      <c r="G1424" t="s">
        <v>121</v>
      </c>
      <c r="H1424" s="3">
        <v>44562</v>
      </c>
      <c r="I1424" s="3">
        <v>44926</v>
      </c>
      <c r="J1424" t="s">
        <v>150</v>
      </c>
      <c r="K1424">
        <v>2706</v>
      </c>
      <c r="L1424" t="s">
        <v>215</v>
      </c>
      <c r="M1424" t="s">
        <v>110</v>
      </c>
      <c r="O1424" t="s">
        <v>943</v>
      </c>
      <c r="P1424" t="s">
        <v>550</v>
      </c>
      <c r="Q1424">
        <v>2022</v>
      </c>
      <c r="R1424" t="s">
        <v>594</v>
      </c>
      <c r="S1424" t="s">
        <v>150</v>
      </c>
      <c r="T1424" t="s">
        <v>553</v>
      </c>
      <c r="U1424" t="b">
        <v>0</v>
      </c>
      <c r="V1424" t="s">
        <v>595</v>
      </c>
      <c r="W1424" t="s">
        <v>587</v>
      </c>
      <c r="X1424" t="s">
        <v>556</v>
      </c>
      <c r="AC1424">
        <v>1</v>
      </c>
      <c r="AD1424" t="s">
        <v>558</v>
      </c>
      <c r="AE1424">
        <v>2.8353275870000001</v>
      </c>
      <c r="AF1424">
        <v>2.31</v>
      </c>
      <c r="AG1424" t="s">
        <v>756</v>
      </c>
      <c r="AH1424">
        <v>4.5359000000000003E-4</v>
      </c>
      <c r="AI1424">
        <v>1.2274145400000001</v>
      </c>
      <c r="AJ1424" t="s">
        <v>561</v>
      </c>
      <c r="AK1424" t="s">
        <v>589</v>
      </c>
      <c r="AL1424" t="s">
        <v>590</v>
      </c>
      <c r="AM1424">
        <v>2022</v>
      </c>
      <c r="AN1424">
        <v>2020</v>
      </c>
      <c r="AO1424">
        <f>IF(AND(emissions[[#This Row],[Market-based]]=0,emissions[[#This Row],[Impact Type]]="CO2E"),emissions[[#This Row],[kgCO2e]],0)/1000</f>
        <v>0</v>
      </c>
      <c r="AP1424">
        <f>IF(AND(emissions[[#This Row],[Market-based]]=1,OR(emissions[[#This Row],[Impact Type]]="CO2E",emissions[[#This Row],[Impact Type]]="CO2E MKT")),emissions[[#This Row],[kgCO2e]],0)/1000</f>
        <v>0</v>
      </c>
      <c r="AQ1424" t="str">
        <f>_xlfn.TEXTAFTER(emissions[[#This Row],[Reporting Unit]]," &gt; ",LEN(emissions[[#This Row],[Reporting Unit]])-LEN(SUBSTITUTE(emissions[[#This Row],[Reporting Unit]],"&gt;","")))</f>
        <v>Vantage_Linden</v>
      </c>
      <c r="AR1424" t="str">
        <f>_xlfn.XLOOKUP(emissions[[#This Row],[Reporting unit name]],hierarchy!$A:$A,hierarchy!$C:$C)</f>
        <v>Warehouse</v>
      </c>
    </row>
    <row r="1425" spans="1:44" hidden="1" x14ac:dyDescent="0.25">
      <c r="A1425">
        <v>291088</v>
      </c>
      <c r="B1425" t="s">
        <v>315</v>
      </c>
      <c r="C1425" t="s">
        <v>493</v>
      </c>
      <c r="D1425" t="s">
        <v>548</v>
      </c>
      <c r="E1425" s="3">
        <v>44562</v>
      </c>
      <c r="F1425" s="3">
        <v>44926</v>
      </c>
      <c r="G1425" t="s">
        <v>121</v>
      </c>
      <c r="H1425" s="3">
        <v>44562</v>
      </c>
      <c r="I1425" s="3">
        <v>44926</v>
      </c>
      <c r="J1425" t="s">
        <v>150</v>
      </c>
      <c r="K1425">
        <v>2706</v>
      </c>
      <c r="L1425" t="s">
        <v>215</v>
      </c>
      <c r="M1425" t="s">
        <v>110</v>
      </c>
      <c r="O1425" t="s">
        <v>943</v>
      </c>
      <c r="P1425" t="s">
        <v>550</v>
      </c>
      <c r="Q1425">
        <v>2022</v>
      </c>
      <c r="R1425" t="s">
        <v>594</v>
      </c>
      <c r="S1425" t="s">
        <v>150</v>
      </c>
      <c r="T1425" t="s">
        <v>553</v>
      </c>
      <c r="U1425" t="b">
        <v>0</v>
      </c>
      <c r="V1425" t="s">
        <v>595</v>
      </c>
      <c r="W1425" t="s">
        <v>587</v>
      </c>
      <c r="X1425" t="s">
        <v>556</v>
      </c>
      <c r="AC1425">
        <v>1</v>
      </c>
      <c r="AD1425" t="s">
        <v>564</v>
      </c>
      <c r="AE1425">
        <v>3674.1426839999999</v>
      </c>
      <c r="AF1425">
        <v>2993.4</v>
      </c>
      <c r="AG1425" t="s">
        <v>756</v>
      </c>
      <c r="AH1425">
        <v>4.5359000000000003E-4</v>
      </c>
      <c r="AI1425">
        <v>1.2274145400000001</v>
      </c>
      <c r="AJ1425" t="s">
        <v>561</v>
      </c>
      <c r="AK1425" t="s">
        <v>589</v>
      </c>
      <c r="AL1425" t="s">
        <v>590</v>
      </c>
      <c r="AM1425">
        <v>2022</v>
      </c>
      <c r="AN1425">
        <v>2020</v>
      </c>
      <c r="AO1425">
        <f>IF(AND(emissions[[#This Row],[Market-based]]=0,emissions[[#This Row],[Impact Type]]="CO2E"),emissions[[#This Row],[kgCO2e]],0)/1000</f>
        <v>0</v>
      </c>
      <c r="AP1425">
        <f>IF(AND(emissions[[#This Row],[Market-based]]=1,OR(emissions[[#This Row],[Impact Type]]="CO2E",emissions[[#This Row],[Impact Type]]="CO2E MKT")),emissions[[#This Row],[kgCO2e]],0)/1000</f>
        <v>0</v>
      </c>
      <c r="AQ1425" t="str">
        <f>_xlfn.TEXTAFTER(emissions[[#This Row],[Reporting Unit]]," &gt; ",LEN(emissions[[#This Row],[Reporting Unit]])-LEN(SUBSTITUTE(emissions[[#This Row],[Reporting Unit]],"&gt;","")))</f>
        <v>Vantage_Linden</v>
      </c>
      <c r="AR1425" t="str">
        <f>_xlfn.XLOOKUP(emissions[[#This Row],[Reporting unit name]],hierarchy!$A:$A,hierarchy!$C:$C)</f>
        <v>Warehouse</v>
      </c>
    </row>
    <row r="1426" spans="1:44" hidden="1" x14ac:dyDescent="0.25">
      <c r="A1426">
        <v>291088</v>
      </c>
      <c r="B1426" t="s">
        <v>315</v>
      </c>
      <c r="C1426" t="s">
        <v>493</v>
      </c>
      <c r="D1426" t="s">
        <v>548</v>
      </c>
      <c r="E1426" s="3">
        <v>44562</v>
      </c>
      <c r="F1426" s="3">
        <v>44926</v>
      </c>
      <c r="G1426" t="s">
        <v>121</v>
      </c>
      <c r="H1426" s="3">
        <v>44562</v>
      </c>
      <c r="I1426" s="3">
        <v>44926</v>
      </c>
      <c r="J1426" t="s">
        <v>150</v>
      </c>
      <c r="K1426">
        <v>2706</v>
      </c>
      <c r="L1426" t="s">
        <v>215</v>
      </c>
      <c r="M1426" t="s">
        <v>110</v>
      </c>
      <c r="O1426" t="s">
        <v>943</v>
      </c>
      <c r="P1426" t="s">
        <v>550</v>
      </c>
      <c r="Q1426">
        <v>2022</v>
      </c>
      <c r="R1426" t="s">
        <v>594</v>
      </c>
      <c r="S1426" t="s">
        <v>150</v>
      </c>
      <c r="T1426" t="s">
        <v>553</v>
      </c>
      <c r="U1426" t="b">
        <v>0</v>
      </c>
      <c r="V1426" t="s">
        <v>595</v>
      </c>
      <c r="W1426" t="s">
        <v>587</v>
      </c>
      <c r="X1426" t="s">
        <v>556</v>
      </c>
      <c r="AC1426">
        <v>1</v>
      </c>
      <c r="AD1426" t="s">
        <v>565</v>
      </c>
      <c r="AE1426">
        <v>3679.2487289999999</v>
      </c>
      <c r="AF1426">
        <v>2997.56</v>
      </c>
      <c r="AG1426" t="s">
        <v>756</v>
      </c>
      <c r="AH1426">
        <v>4.5359000000000003E-4</v>
      </c>
      <c r="AI1426">
        <v>1.2274145400000001</v>
      </c>
      <c r="AJ1426" t="s">
        <v>561</v>
      </c>
      <c r="AK1426" t="s">
        <v>589</v>
      </c>
      <c r="AL1426" t="s">
        <v>590</v>
      </c>
      <c r="AM1426">
        <v>2022</v>
      </c>
      <c r="AN1426">
        <v>2020</v>
      </c>
      <c r="AO1426">
        <f>IF(AND(emissions[[#This Row],[Market-based]]=0,emissions[[#This Row],[Impact Type]]="CO2E"),emissions[[#This Row],[kgCO2e]],0)/1000</f>
        <v>0</v>
      </c>
      <c r="AP1426">
        <f>IF(AND(emissions[[#This Row],[Market-based]]=1,OR(emissions[[#This Row],[Impact Type]]="CO2E",emissions[[#This Row],[Impact Type]]="CO2E MKT")),emissions[[#This Row],[kgCO2e]],0)/1000</f>
        <v>3.6792487289999998</v>
      </c>
      <c r="AQ1426" t="str">
        <f>_xlfn.TEXTAFTER(emissions[[#This Row],[Reporting Unit]]," &gt; ",LEN(emissions[[#This Row],[Reporting Unit]])-LEN(SUBSTITUTE(emissions[[#This Row],[Reporting Unit]],"&gt;","")))</f>
        <v>Vantage_Linden</v>
      </c>
      <c r="AR1426" t="str">
        <f>_xlfn.XLOOKUP(emissions[[#This Row],[Reporting unit name]],hierarchy!$A:$A,hierarchy!$C:$C)</f>
        <v>Warehouse</v>
      </c>
    </row>
    <row r="1427" spans="1:44" hidden="1" x14ac:dyDescent="0.25">
      <c r="A1427">
        <v>291088</v>
      </c>
      <c r="B1427" t="s">
        <v>315</v>
      </c>
      <c r="C1427" t="s">
        <v>493</v>
      </c>
      <c r="D1427" t="s">
        <v>548</v>
      </c>
      <c r="E1427" s="3">
        <v>44562</v>
      </c>
      <c r="F1427" s="3">
        <v>44926</v>
      </c>
      <c r="G1427" t="s">
        <v>121</v>
      </c>
      <c r="H1427" s="3">
        <v>44562</v>
      </c>
      <c r="I1427" s="3">
        <v>44926</v>
      </c>
      <c r="J1427" t="s">
        <v>150</v>
      </c>
      <c r="K1427">
        <v>2706</v>
      </c>
      <c r="L1427" t="s">
        <v>215</v>
      </c>
      <c r="M1427" t="s">
        <v>110</v>
      </c>
      <c r="O1427" t="s">
        <v>943</v>
      </c>
      <c r="P1427" t="s">
        <v>550</v>
      </c>
      <c r="Q1427">
        <v>2022</v>
      </c>
      <c r="R1427" t="s">
        <v>594</v>
      </c>
      <c r="S1427" t="s">
        <v>150</v>
      </c>
      <c r="T1427" t="s">
        <v>553</v>
      </c>
      <c r="U1427" t="b">
        <v>0</v>
      </c>
      <c r="V1427" t="s">
        <v>595</v>
      </c>
      <c r="W1427" t="s">
        <v>587</v>
      </c>
      <c r="X1427" t="s">
        <v>556</v>
      </c>
      <c r="AC1427">
        <v>1</v>
      </c>
      <c r="AD1427" t="s">
        <v>566</v>
      </c>
      <c r="AE1427">
        <v>2.270716899</v>
      </c>
      <c r="AF1427">
        <v>1.85</v>
      </c>
      <c r="AG1427" t="s">
        <v>756</v>
      </c>
      <c r="AH1427">
        <v>4.5359000000000003E-4</v>
      </c>
      <c r="AI1427">
        <v>1.2274145400000001</v>
      </c>
      <c r="AJ1427" t="s">
        <v>561</v>
      </c>
      <c r="AK1427" t="s">
        <v>589</v>
      </c>
      <c r="AL1427" t="s">
        <v>590</v>
      </c>
      <c r="AM1427">
        <v>2022</v>
      </c>
      <c r="AN1427">
        <v>2020</v>
      </c>
      <c r="AO1427">
        <f>IF(AND(emissions[[#This Row],[Market-based]]=0,emissions[[#This Row],[Impact Type]]="CO2E"),emissions[[#This Row],[kgCO2e]],0)/1000</f>
        <v>0</v>
      </c>
      <c r="AP1427">
        <f>IF(AND(emissions[[#This Row],[Market-based]]=1,OR(emissions[[#This Row],[Impact Type]]="CO2E",emissions[[#This Row],[Impact Type]]="CO2E MKT")),emissions[[#This Row],[kgCO2e]],0)/1000</f>
        <v>0</v>
      </c>
      <c r="AQ1427" t="str">
        <f>_xlfn.TEXTAFTER(emissions[[#This Row],[Reporting Unit]]," &gt; ",LEN(emissions[[#This Row],[Reporting Unit]])-LEN(SUBSTITUTE(emissions[[#This Row],[Reporting Unit]],"&gt;","")))</f>
        <v>Vantage_Linden</v>
      </c>
      <c r="AR1427" t="str">
        <f>_xlfn.XLOOKUP(emissions[[#This Row],[Reporting unit name]],hierarchy!$A:$A,hierarchy!$C:$C)</f>
        <v>Warehouse</v>
      </c>
    </row>
    <row r="1428" spans="1:44" hidden="1" x14ac:dyDescent="0.25">
      <c r="A1428">
        <v>291088</v>
      </c>
      <c r="B1428" t="s">
        <v>315</v>
      </c>
      <c r="C1428" t="s">
        <v>493</v>
      </c>
      <c r="D1428" t="s">
        <v>548</v>
      </c>
      <c r="E1428" s="3">
        <v>44562</v>
      </c>
      <c r="F1428" s="3">
        <v>44926</v>
      </c>
      <c r="G1428" t="s">
        <v>121</v>
      </c>
      <c r="H1428" s="3">
        <v>44562</v>
      </c>
      <c r="I1428" s="3">
        <v>44926</v>
      </c>
      <c r="J1428" t="s">
        <v>150</v>
      </c>
      <c r="K1428">
        <v>2706</v>
      </c>
      <c r="L1428" t="s">
        <v>215</v>
      </c>
      <c r="M1428" t="s">
        <v>110</v>
      </c>
      <c r="O1428" t="s">
        <v>943</v>
      </c>
      <c r="P1428" t="s">
        <v>550</v>
      </c>
      <c r="Q1428">
        <v>2022</v>
      </c>
      <c r="R1428" t="s">
        <v>596</v>
      </c>
      <c r="S1428" t="s">
        <v>597</v>
      </c>
      <c r="T1428" t="s">
        <v>577</v>
      </c>
      <c r="U1428" t="b">
        <v>0</v>
      </c>
      <c r="V1428" t="s">
        <v>598</v>
      </c>
      <c r="W1428" t="s">
        <v>571</v>
      </c>
      <c r="X1428" t="s">
        <v>572</v>
      </c>
      <c r="AC1428">
        <v>0</v>
      </c>
      <c r="AD1428" t="s">
        <v>565</v>
      </c>
      <c r="AE1428">
        <v>430.15427449999999</v>
      </c>
      <c r="AF1428">
        <v>350.45558</v>
      </c>
      <c r="AG1428" t="s">
        <v>756</v>
      </c>
      <c r="AH1428">
        <v>4.5359000000000003E-4</v>
      </c>
      <c r="AI1428">
        <v>1.2274145400000001</v>
      </c>
      <c r="AJ1428" t="s">
        <v>561</v>
      </c>
      <c r="AK1428" t="s">
        <v>589</v>
      </c>
      <c r="AL1428" t="s">
        <v>590</v>
      </c>
      <c r="AM1428">
        <v>2022</v>
      </c>
      <c r="AN1428">
        <v>2020</v>
      </c>
      <c r="AO1428">
        <f>IF(AND(emissions[[#This Row],[Market-based]]=0,emissions[[#This Row],[Impact Type]]="CO2E"),emissions[[#This Row],[kgCO2e]],0)/1000</f>
        <v>0.43015427449999999</v>
      </c>
      <c r="AP1428">
        <f>IF(AND(emissions[[#This Row],[Market-based]]=1,OR(emissions[[#This Row],[Impact Type]]="CO2E",emissions[[#This Row],[Impact Type]]="CO2E MKT")),emissions[[#This Row],[kgCO2e]],0)/1000</f>
        <v>0</v>
      </c>
      <c r="AQ1428" t="str">
        <f>_xlfn.TEXTAFTER(emissions[[#This Row],[Reporting Unit]]," &gt; ",LEN(emissions[[#This Row],[Reporting Unit]])-LEN(SUBSTITUTE(emissions[[#This Row],[Reporting Unit]],"&gt;","")))</f>
        <v>Vantage_Linden</v>
      </c>
      <c r="AR1428" t="str">
        <f>_xlfn.XLOOKUP(emissions[[#This Row],[Reporting unit name]],hierarchy!$A:$A,hierarchy!$C:$C)</f>
        <v>Warehouse</v>
      </c>
    </row>
    <row r="1429" spans="1:44" hidden="1" x14ac:dyDescent="0.25">
      <c r="A1429">
        <v>291088</v>
      </c>
      <c r="B1429" t="s">
        <v>315</v>
      </c>
      <c r="C1429" t="s">
        <v>493</v>
      </c>
      <c r="D1429" t="s">
        <v>548</v>
      </c>
      <c r="E1429" s="3">
        <v>44562</v>
      </c>
      <c r="F1429" s="3">
        <v>44926</v>
      </c>
      <c r="G1429" t="s">
        <v>121</v>
      </c>
      <c r="H1429" s="3">
        <v>44562</v>
      </c>
      <c r="I1429" s="3">
        <v>44926</v>
      </c>
      <c r="J1429" t="s">
        <v>150</v>
      </c>
      <c r="K1429">
        <v>2706</v>
      </c>
      <c r="L1429" t="s">
        <v>215</v>
      </c>
      <c r="M1429" t="s">
        <v>110</v>
      </c>
      <c r="O1429" t="s">
        <v>943</v>
      </c>
      <c r="P1429" t="s">
        <v>550</v>
      </c>
      <c r="Q1429">
        <v>2022</v>
      </c>
      <c r="R1429" t="s">
        <v>596</v>
      </c>
      <c r="S1429" t="s">
        <v>597</v>
      </c>
      <c r="T1429" t="s">
        <v>577</v>
      </c>
      <c r="U1429" t="b">
        <v>0</v>
      </c>
      <c r="V1429" t="s">
        <v>598</v>
      </c>
      <c r="W1429" t="s">
        <v>571</v>
      </c>
      <c r="X1429" t="s">
        <v>572</v>
      </c>
      <c r="AC1429">
        <v>1</v>
      </c>
      <c r="AD1429" t="s">
        <v>565</v>
      </c>
      <c r="AE1429">
        <v>430.15427449999999</v>
      </c>
      <c r="AF1429">
        <v>350.45558</v>
      </c>
      <c r="AG1429" t="s">
        <v>756</v>
      </c>
      <c r="AH1429">
        <v>4.5359000000000003E-4</v>
      </c>
      <c r="AI1429">
        <v>1.2274145400000001</v>
      </c>
      <c r="AJ1429" t="s">
        <v>561</v>
      </c>
      <c r="AK1429" t="s">
        <v>589</v>
      </c>
      <c r="AL1429" t="s">
        <v>590</v>
      </c>
      <c r="AM1429">
        <v>2022</v>
      </c>
      <c r="AN1429">
        <v>2020</v>
      </c>
      <c r="AO1429">
        <f>IF(AND(emissions[[#This Row],[Market-based]]=0,emissions[[#This Row],[Impact Type]]="CO2E"),emissions[[#This Row],[kgCO2e]],0)/1000</f>
        <v>0</v>
      </c>
      <c r="AP1429">
        <f>IF(AND(emissions[[#This Row],[Market-based]]=1,OR(emissions[[#This Row],[Impact Type]]="CO2E",emissions[[#This Row],[Impact Type]]="CO2E MKT")),emissions[[#This Row],[kgCO2e]],0)/1000</f>
        <v>0.43015427449999999</v>
      </c>
      <c r="AQ1429" t="str">
        <f>_xlfn.TEXTAFTER(emissions[[#This Row],[Reporting Unit]]," &gt; ",LEN(emissions[[#This Row],[Reporting Unit]])-LEN(SUBSTITUTE(emissions[[#This Row],[Reporting Unit]],"&gt;","")))</f>
        <v>Vantage_Linden</v>
      </c>
      <c r="AR1429" t="str">
        <f>_xlfn.XLOOKUP(emissions[[#This Row],[Reporting unit name]],hierarchy!$A:$A,hierarchy!$C:$C)</f>
        <v>Warehouse</v>
      </c>
    </row>
    <row r="1430" spans="1:44" hidden="1" x14ac:dyDescent="0.25">
      <c r="A1430">
        <v>291426</v>
      </c>
      <c r="B1430" t="s">
        <v>315</v>
      </c>
      <c r="C1430" t="s">
        <v>493</v>
      </c>
      <c r="D1430" t="s">
        <v>548</v>
      </c>
      <c r="E1430" s="3">
        <v>44562</v>
      </c>
      <c r="F1430" s="3">
        <v>44926</v>
      </c>
      <c r="G1430" t="s">
        <v>121</v>
      </c>
      <c r="H1430" s="3">
        <v>44562</v>
      </c>
      <c r="I1430" s="3">
        <v>44926</v>
      </c>
      <c r="J1430" t="s">
        <v>150</v>
      </c>
      <c r="K1430">
        <v>1774.31</v>
      </c>
      <c r="L1430" t="s">
        <v>148</v>
      </c>
      <c r="M1430" t="s">
        <v>110</v>
      </c>
      <c r="N1430" t="s">
        <v>323</v>
      </c>
      <c r="O1430" t="s">
        <v>944</v>
      </c>
      <c r="P1430" t="s">
        <v>550</v>
      </c>
      <c r="Q1430">
        <v>2022</v>
      </c>
      <c r="R1430" t="s">
        <v>594</v>
      </c>
      <c r="S1430" t="s">
        <v>150</v>
      </c>
      <c r="T1430" t="s">
        <v>553</v>
      </c>
      <c r="U1430" t="b">
        <v>0</v>
      </c>
      <c r="V1430" t="s">
        <v>789</v>
      </c>
      <c r="W1430" t="s">
        <v>587</v>
      </c>
      <c r="X1430" t="s">
        <v>556</v>
      </c>
      <c r="Y1430" t="s">
        <v>472</v>
      </c>
      <c r="Z1430" t="s">
        <v>485</v>
      </c>
      <c r="AA1430" t="s">
        <v>764</v>
      </c>
      <c r="AC1430">
        <v>0</v>
      </c>
      <c r="AD1430" t="s">
        <v>558</v>
      </c>
      <c r="AE1430">
        <v>11.976592500000001</v>
      </c>
      <c r="AF1430">
        <v>6.7499999999999999E-3</v>
      </c>
      <c r="AG1430" t="s">
        <v>786</v>
      </c>
      <c r="AH1430">
        <v>1</v>
      </c>
      <c r="AI1430">
        <v>1774.31</v>
      </c>
      <c r="AJ1430" t="s">
        <v>561</v>
      </c>
      <c r="AK1430" t="s">
        <v>766</v>
      </c>
      <c r="AL1430" t="s">
        <v>787</v>
      </c>
      <c r="AM1430">
        <v>2022</v>
      </c>
      <c r="AN1430">
        <v>2021</v>
      </c>
      <c r="AO1430">
        <f>IF(AND(emissions[[#This Row],[Market-based]]=0,emissions[[#This Row],[Impact Type]]="CO2E"),emissions[[#This Row],[kgCO2e]],0)/1000</f>
        <v>0</v>
      </c>
      <c r="AP1430">
        <f>IF(AND(emissions[[#This Row],[Market-based]]=1,OR(emissions[[#This Row],[Impact Type]]="CO2E",emissions[[#This Row],[Impact Type]]="CO2E MKT")),emissions[[#This Row],[kgCO2e]],0)/1000</f>
        <v>0</v>
      </c>
      <c r="AQ1430" t="str">
        <f>_xlfn.TEXTAFTER(emissions[[#This Row],[Reporting Unit]]," &gt; ",LEN(emissions[[#This Row],[Reporting Unit]])-LEN(SUBSTITUTE(emissions[[#This Row],[Reporting Unit]],"&gt;","")))</f>
        <v>Vantage_Linden</v>
      </c>
      <c r="AR1430" t="str">
        <f>_xlfn.XLOOKUP(emissions[[#This Row],[Reporting unit name]],hierarchy!$A:$A,hierarchy!$C:$C)</f>
        <v>Warehouse</v>
      </c>
    </row>
    <row r="1431" spans="1:44" hidden="1" x14ac:dyDescent="0.25">
      <c r="A1431">
        <v>291426</v>
      </c>
      <c r="B1431" t="s">
        <v>315</v>
      </c>
      <c r="C1431" t="s">
        <v>493</v>
      </c>
      <c r="D1431" t="s">
        <v>548</v>
      </c>
      <c r="E1431" s="3">
        <v>44562</v>
      </c>
      <c r="F1431" s="3">
        <v>44926</v>
      </c>
      <c r="G1431" t="s">
        <v>121</v>
      </c>
      <c r="H1431" s="3">
        <v>44562</v>
      </c>
      <c r="I1431" s="3">
        <v>44926</v>
      </c>
      <c r="J1431" t="s">
        <v>150</v>
      </c>
      <c r="K1431">
        <v>1774.31</v>
      </c>
      <c r="L1431" t="s">
        <v>148</v>
      </c>
      <c r="M1431" t="s">
        <v>110</v>
      </c>
      <c r="N1431" t="s">
        <v>323</v>
      </c>
      <c r="O1431" t="s">
        <v>944</v>
      </c>
      <c r="P1431" t="s">
        <v>550</v>
      </c>
      <c r="Q1431">
        <v>2022</v>
      </c>
      <c r="R1431" t="s">
        <v>594</v>
      </c>
      <c r="S1431" t="s">
        <v>150</v>
      </c>
      <c r="T1431" t="s">
        <v>553</v>
      </c>
      <c r="U1431" t="b">
        <v>0</v>
      </c>
      <c r="V1431" t="s">
        <v>789</v>
      </c>
      <c r="W1431" t="s">
        <v>587</v>
      </c>
      <c r="X1431" t="s">
        <v>556</v>
      </c>
      <c r="Y1431" t="s">
        <v>472</v>
      </c>
      <c r="Z1431" t="s">
        <v>485</v>
      </c>
      <c r="AA1431" t="s">
        <v>764</v>
      </c>
      <c r="AC1431">
        <v>0</v>
      </c>
      <c r="AD1431" t="s">
        <v>564</v>
      </c>
      <c r="AE1431">
        <v>10149.0532</v>
      </c>
      <c r="AF1431">
        <v>5.72</v>
      </c>
      <c r="AG1431" t="s">
        <v>786</v>
      </c>
      <c r="AH1431">
        <v>1</v>
      </c>
      <c r="AI1431">
        <v>1774.31</v>
      </c>
      <c r="AJ1431" t="s">
        <v>561</v>
      </c>
      <c r="AK1431" t="s">
        <v>766</v>
      </c>
      <c r="AL1431" t="s">
        <v>767</v>
      </c>
      <c r="AM1431">
        <v>2022</v>
      </c>
      <c r="AN1431">
        <v>2022</v>
      </c>
      <c r="AO1431">
        <f>IF(AND(emissions[[#This Row],[Market-based]]=0,emissions[[#This Row],[Impact Type]]="CO2E"),emissions[[#This Row],[kgCO2e]],0)/1000</f>
        <v>0</v>
      </c>
      <c r="AP1431">
        <f>IF(AND(emissions[[#This Row],[Market-based]]=1,OR(emissions[[#This Row],[Impact Type]]="CO2E",emissions[[#This Row],[Impact Type]]="CO2E MKT")),emissions[[#This Row],[kgCO2e]],0)/1000</f>
        <v>0</v>
      </c>
      <c r="AQ1431" t="str">
        <f>_xlfn.TEXTAFTER(emissions[[#This Row],[Reporting Unit]]," &gt; ",LEN(emissions[[#This Row],[Reporting Unit]])-LEN(SUBSTITUTE(emissions[[#This Row],[Reporting Unit]],"&gt;","")))</f>
        <v>Vantage_Linden</v>
      </c>
      <c r="AR1431" t="str">
        <f>_xlfn.XLOOKUP(emissions[[#This Row],[Reporting unit name]],hierarchy!$A:$A,hierarchy!$C:$C)</f>
        <v>Warehouse</v>
      </c>
    </row>
    <row r="1432" spans="1:44" hidden="1" x14ac:dyDescent="0.25">
      <c r="A1432">
        <v>291426</v>
      </c>
      <c r="B1432" t="s">
        <v>315</v>
      </c>
      <c r="C1432" t="s">
        <v>493</v>
      </c>
      <c r="D1432" t="s">
        <v>548</v>
      </c>
      <c r="E1432" s="3">
        <v>44562</v>
      </c>
      <c r="F1432" s="3">
        <v>44926</v>
      </c>
      <c r="G1432" t="s">
        <v>121</v>
      </c>
      <c r="H1432" s="3">
        <v>44562</v>
      </c>
      <c r="I1432" s="3">
        <v>44926</v>
      </c>
      <c r="J1432" t="s">
        <v>150</v>
      </c>
      <c r="K1432">
        <v>1774.31</v>
      </c>
      <c r="L1432" t="s">
        <v>148</v>
      </c>
      <c r="M1432" t="s">
        <v>110</v>
      </c>
      <c r="N1432" t="s">
        <v>323</v>
      </c>
      <c r="O1432" t="s">
        <v>944</v>
      </c>
      <c r="P1432" t="s">
        <v>550</v>
      </c>
      <c r="Q1432">
        <v>2022</v>
      </c>
      <c r="R1432" t="s">
        <v>594</v>
      </c>
      <c r="S1432" t="s">
        <v>150</v>
      </c>
      <c r="T1432" t="s">
        <v>553</v>
      </c>
      <c r="U1432" t="b">
        <v>0</v>
      </c>
      <c r="V1432" t="s">
        <v>789</v>
      </c>
      <c r="W1432" t="s">
        <v>587</v>
      </c>
      <c r="X1432" t="s">
        <v>556</v>
      </c>
      <c r="Y1432" t="s">
        <v>472</v>
      </c>
      <c r="Z1432" t="s">
        <v>485</v>
      </c>
      <c r="AA1432" t="s">
        <v>764</v>
      </c>
      <c r="AC1432">
        <v>0</v>
      </c>
      <c r="AD1432" t="s">
        <v>565</v>
      </c>
      <c r="AE1432">
        <v>10187.46701</v>
      </c>
      <c r="AF1432">
        <v>5.7416499999999999</v>
      </c>
      <c r="AG1432" t="s">
        <v>786</v>
      </c>
      <c r="AH1432">
        <v>1</v>
      </c>
      <c r="AI1432">
        <v>1774.31</v>
      </c>
      <c r="AJ1432" t="s">
        <v>561</v>
      </c>
      <c r="AK1432" t="s">
        <v>766</v>
      </c>
      <c r="AL1432" t="s">
        <v>767</v>
      </c>
      <c r="AM1432">
        <v>2022</v>
      </c>
      <c r="AN1432">
        <v>2022</v>
      </c>
      <c r="AO1432">
        <f>IF(AND(emissions[[#This Row],[Market-based]]=0,emissions[[#This Row],[Impact Type]]="CO2E"),emissions[[#This Row],[kgCO2e]],0)/1000</f>
        <v>10.187467010000001</v>
      </c>
      <c r="AP1432">
        <f>IF(AND(emissions[[#This Row],[Market-based]]=1,OR(emissions[[#This Row],[Impact Type]]="CO2E",emissions[[#This Row],[Impact Type]]="CO2E MKT")),emissions[[#This Row],[kgCO2e]],0)/1000</f>
        <v>0</v>
      </c>
      <c r="AQ1432" t="str">
        <f>_xlfn.TEXTAFTER(emissions[[#This Row],[Reporting Unit]]," &gt; ",LEN(emissions[[#This Row],[Reporting Unit]])-LEN(SUBSTITUTE(emissions[[#This Row],[Reporting Unit]],"&gt;","")))</f>
        <v>Vantage_Linden</v>
      </c>
      <c r="AR1432" t="str">
        <f>_xlfn.XLOOKUP(emissions[[#This Row],[Reporting unit name]],hierarchy!$A:$A,hierarchy!$C:$C)</f>
        <v>Warehouse</v>
      </c>
    </row>
    <row r="1433" spans="1:44" hidden="1" x14ac:dyDescent="0.25">
      <c r="A1433">
        <v>291426</v>
      </c>
      <c r="B1433" t="s">
        <v>315</v>
      </c>
      <c r="C1433" t="s">
        <v>493</v>
      </c>
      <c r="D1433" t="s">
        <v>548</v>
      </c>
      <c r="E1433" s="3">
        <v>44562</v>
      </c>
      <c r="F1433" s="3">
        <v>44926</v>
      </c>
      <c r="G1433" t="s">
        <v>121</v>
      </c>
      <c r="H1433" s="3">
        <v>44562</v>
      </c>
      <c r="I1433" s="3">
        <v>44926</v>
      </c>
      <c r="J1433" t="s">
        <v>150</v>
      </c>
      <c r="K1433">
        <v>1774.31</v>
      </c>
      <c r="L1433" t="s">
        <v>148</v>
      </c>
      <c r="M1433" t="s">
        <v>110</v>
      </c>
      <c r="N1433" t="s">
        <v>323</v>
      </c>
      <c r="O1433" t="s">
        <v>944</v>
      </c>
      <c r="P1433" t="s">
        <v>550</v>
      </c>
      <c r="Q1433">
        <v>2022</v>
      </c>
      <c r="R1433" t="s">
        <v>594</v>
      </c>
      <c r="S1433" t="s">
        <v>150</v>
      </c>
      <c r="T1433" t="s">
        <v>553</v>
      </c>
      <c r="U1433" t="b">
        <v>0</v>
      </c>
      <c r="V1433" t="s">
        <v>789</v>
      </c>
      <c r="W1433" t="s">
        <v>587</v>
      </c>
      <c r="X1433" t="s">
        <v>556</v>
      </c>
      <c r="Y1433" t="s">
        <v>472</v>
      </c>
      <c r="Z1433" t="s">
        <v>485</v>
      </c>
      <c r="AA1433" t="s">
        <v>764</v>
      </c>
      <c r="AC1433">
        <v>0</v>
      </c>
      <c r="AD1433" t="s">
        <v>566</v>
      </c>
      <c r="AE1433">
        <v>26.437218999999999</v>
      </c>
      <c r="AF1433">
        <v>1.49E-2</v>
      </c>
      <c r="AG1433" t="s">
        <v>786</v>
      </c>
      <c r="AH1433">
        <v>1</v>
      </c>
      <c r="AI1433">
        <v>1774.31</v>
      </c>
      <c r="AJ1433" t="s">
        <v>561</v>
      </c>
      <c r="AK1433" t="s">
        <v>766</v>
      </c>
      <c r="AL1433" t="s">
        <v>787</v>
      </c>
      <c r="AM1433">
        <v>2022</v>
      </c>
      <c r="AN1433">
        <v>2021</v>
      </c>
      <c r="AO1433">
        <f>IF(AND(emissions[[#This Row],[Market-based]]=0,emissions[[#This Row],[Impact Type]]="CO2E"),emissions[[#This Row],[kgCO2e]],0)/1000</f>
        <v>0</v>
      </c>
      <c r="AP1433">
        <f>IF(AND(emissions[[#This Row],[Market-based]]=1,OR(emissions[[#This Row],[Impact Type]]="CO2E",emissions[[#This Row],[Impact Type]]="CO2E MKT")),emissions[[#This Row],[kgCO2e]],0)/1000</f>
        <v>0</v>
      </c>
      <c r="AQ1433" t="str">
        <f>_xlfn.TEXTAFTER(emissions[[#This Row],[Reporting Unit]]," &gt; ",LEN(emissions[[#This Row],[Reporting Unit]])-LEN(SUBSTITUTE(emissions[[#This Row],[Reporting Unit]],"&gt;","")))</f>
        <v>Vantage_Linden</v>
      </c>
      <c r="AR1433" t="str">
        <f>_xlfn.XLOOKUP(emissions[[#This Row],[Reporting unit name]],hierarchy!$A:$A,hierarchy!$C:$C)</f>
        <v>Warehouse</v>
      </c>
    </row>
    <row r="1434" spans="1:44" hidden="1" x14ac:dyDescent="0.25">
      <c r="A1434">
        <v>291426</v>
      </c>
      <c r="B1434" t="s">
        <v>315</v>
      </c>
      <c r="C1434" t="s">
        <v>493</v>
      </c>
      <c r="D1434" t="s">
        <v>548</v>
      </c>
      <c r="E1434" s="3">
        <v>44562</v>
      </c>
      <c r="F1434" s="3">
        <v>44926</v>
      </c>
      <c r="G1434" t="s">
        <v>121</v>
      </c>
      <c r="H1434" s="3">
        <v>44562</v>
      </c>
      <c r="I1434" s="3">
        <v>44926</v>
      </c>
      <c r="J1434" t="s">
        <v>150</v>
      </c>
      <c r="K1434">
        <v>1774.31</v>
      </c>
      <c r="L1434" t="s">
        <v>148</v>
      </c>
      <c r="M1434" t="s">
        <v>110</v>
      </c>
      <c r="N1434" t="s">
        <v>323</v>
      </c>
      <c r="O1434" t="s">
        <v>944</v>
      </c>
      <c r="P1434" t="s">
        <v>550</v>
      </c>
      <c r="Q1434">
        <v>2022</v>
      </c>
      <c r="R1434" t="s">
        <v>594</v>
      </c>
      <c r="S1434" t="s">
        <v>150</v>
      </c>
      <c r="T1434" t="s">
        <v>553</v>
      </c>
      <c r="U1434" t="b">
        <v>0</v>
      </c>
      <c r="V1434" t="s">
        <v>789</v>
      </c>
      <c r="W1434" t="s">
        <v>587</v>
      </c>
      <c r="X1434" t="s">
        <v>556</v>
      </c>
      <c r="Y1434" t="s">
        <v>472</v>
      </c>
      <c r="Z1434" t="s">
        <v>485</v>
      </c>
      <c r="AA1434" t="s">
        <v>764</v>
      </c>
      <c r="AC1434">
        <v>1</v>
      </c>
      <c r="AD1434" t="s">
        <v>558</v>
      </c>
      <c r="AE1434">
        <v>11.976592500000001</v>
      </c>
      <c r="AF1434">
        <v>6.7499999999999999E-3</v>
      </c>
      <c r="AG1434" t="s">
        <v>786</v>
      </c>
      <c r="AH1434">
        <v>1</v>
      </c>
      <c r="AI1434">
        <v>1774.31</v>
      </c>
      <c r="AJ1434" t="s">
        <v>561</v>
      </c>
      <c r="AK1434" t="s">
        <v>766</v>
      </c>
      <c r="AL1434" t="s">
        <v>787</v>
      </c>
      <c r="AM1434">
        <v>2022</v>
      </c>
      <c r="AN1434">
        <v>2021</v>
      </c>
      <c r="AO1434">
        <f>IF(AND(emissions[[#This Row],[Market-based]]=0,emissions[[#This Row],[Impact Type]]="CO2E"),emissions[[#This Row],[kgCO2e]],0)/1000</f>
        <v>0</v>
      </c>
      <c r="AP1434">
        <f>IF(AND(emissions[[#This Row],[Market-based]]=1,OR(emissions[[#This Row],[Impact Type]]="CO2E",emissions[[#This Row],[Impact Type]]="CO2E MKT")),emissions[[#This Row],[kgCO2e]],0)/1000</f>
        <v>0</v>
      </c>
      <c r="AQ1434" t="str">
        <f>_xlfn.TEXTAFTER(emissions[[#This Row],[Reporting Unit]]," &gt; ",LEN(emissions[[#This Row],[Reporting Unit]])-LEN(SUBSTITUTE(emissions[[#This Row],[Reporting Unit]],"&gt;","")))</f>
        <v>Vantage_Linden</v>
      </c>
      <c r="AR1434" t="str">
        <f>_xlfn.XLOOKUP(emissions[[#This Row],[Reporting unit name]],hierarchy!$A:$A,hierarchy!$C:$C)</f>
        <v>Warehouse</v>
      </c>
    </row>
    <row r="1435" spans="1:44" hidden="1" x14ac:dyDescent="0.25">
      <c r="A1435">
        <v>291426</v>
      </c>
      <c r="B1435" t="s">
        <v>315</v>
      </c>
      <c r="C1435" t="s">
        <v>493</v>
      </c>
      <c r="D1435" t="s">
        <v>548</v>
      </c>
      <c r="E1435" s="3">
        <v>44562</v>
      </c>
      <c r="F1435" s="3">
        <v>44926</v>
      </c>
      <c r="G1435" t="s">
        <v>121</v>
      </c>
      <c r="H1435" s="3">
        <v>44562</v>
      </c>
      <c r="I1435" s="3">
        <v>44926</v>
      </c>
      <c r="J1435" t="s">
        <v>150</v>
      </c>
      <c r="K1435">
        <v>1774.31</v>
      </c>
      <c r="L1435" t="s">
        <v>148</v>
      </c>
      <c r="M1435" t="s">
        <v>110</v>
      </c>
      <c r="N1435" t="s">
        <v>323</v>
      </c>
      <c r="O1435" t="s">
        <v>944</v>
      </c>
      <c r="P1435" t="s">
        <v>550</v>
      </c>
      <c r="Q1435">
        <v>2022</v>
      </c>
      <c r="R1435" t="s">
        <v>594</v>
      </c>
      <c r="S1435" t="s">
        <v>150</v>
      </c>
      <c r="T1435" t="s">
        <v>553</v>
      </c>
      <c r="U1435" t="b">
        <v>0</v>
      </c>
      <c r="V1435" t="s">
        <v>789</v>
      </c>
      <c r="W1435" t="s">
        <v>587</v>
      </c>
      <c r="X1435" t="s">
        <v>556</v>
      </c>
      <c r="Y1435" t="s">
        <v>472</v>
      </c>
      <c r="Z1435" t="s">
        <v>485</v>
      </c>
      <c r="AA1435" t="s">
        <v>764</v>
      </c>
      <c r="AC1435">
        <v>1</v>
      </c>
      <c r="AD1435" t="s">
        <v>564</v>
      </c>
      <c r="AE1435">
        <v>10149.0532</v>
      </c>
      <c r="AF1435">
        <v>5.72</v>
      </c>
      <c r="AG1435" t="s">
        <v>786</v>
      </c>
      <c r="AH1435">
        <v>1</v>
      </c>
      <c r="AI1435">
        <v>1774.31</v>
      </c>
      <c r="AJ1435" t="s">
        <v>561</v>
      </c>
      <c r="AK1435" t="s">
        <v>766</v>
      </c>
      <c r="AL1435" t="s">
        <v>767</v>
      </c>
      <c r="AM1435">
        <v>2022</v>
      </c>
      <c r="AN1435">
        <v>2022</v>
      </c>
      <c r="AO1435">
        <f>IF(AND(emissions[[#This Row],[Market-based]]=0,emissions[[#This Row],[Impact Type]]="CO2E"),emissions[[#This Row],[kgCO2e]],0)/1000</f>
        <v>0</v>
      </c>
      <c r="AP1435">
        <f>IF(AND(emissions[[#This Row],[Market-based]]=1,OR(emissions[[#This Row],[Impact Type]]="CO2E",emissions[[#This Row],[Impact Type]]="CO2E MKT")),emissions[[#This Row],[kgCO2e]],0)/1000</f>
        <v>0</v>
      </c>
      <c r="AQ1435" t="str">
        <f>_xlfn.TEXTAFTER(emissions[[#This Row],[Reporting Unit]]," &gt; ",LEN(emissions[[#This Row],[Reporting Unit]])-LEN(SUBSTITUTE(emissions[[#This Row],[Reporting Unit]],"&gt;","")))</f>
        <v>Vantage_Linden</v>
      </c>
      <c r="AR1435" t="str">
        <f>_xlfn.XLOOKUP(emissions[[#This Row],[Reporting unit name]],hierarchy!$A:$A,hierarchy!$C:$C)</f>
        <v>Warehouse</v>
      </c>
    </row>
    <row r="1436" spans="1:44" hidden="1" x14ac:dyDescent="0.25">
      <c r="A1436">
        <v>291426</v>
      </c>
      <c r="B1436" t="s">
        <v>315</v>
      </c>
      <c r="C1436" t="s">
        <v>493</v>
      </c>
      <c r="D1436" t="s">
        <v>548</v>
      </c>
      <c r="E1436" s="3">
        <v>44562</v>
      </c>
      <c r="F1436" s="3">
        <v>44926</v>
      </c>
      <c r="G1436" t="s">
        <v>121</v>
      </c>
      <c r="H1436" s="3">
        <v>44562</v>
      </c>
      <c r="I1436" s="3">
        <v>44926</v>
      </c>
      <c r="J1436" t="s">
        <v>150</v>
      </c>
      <c r="K1436">
        <v>1774.31</v>
      </c>
      <c r="L1436" t="s">
        <v>148</v>
      </c>
      <c r="M1436" t="s">
        <v>110</v>
      </c>
      <c r="N1436" t="s">
        <v>323</v>
      </c>
      <c r="O1436" t="s">
        <v>944</v>
      </c>
      <c r="P1436" t="s">
        <v>550</v>
      </c>
      <c r="Q1436">
        <v>2022</v>
      </c>
      <c r="R1436" t="s">
        <v>594</v>
      </c>
      <c r="S1436" t="s">
        <v>150</v>
      </c>
      <c r="T1436" t="s">
        <v>553</v>
      </c>
      <c r="U1436" t="b">
        <v>0</v>
      </c>
      <c r="V1436" t="s">
        <v>789</v>
      </c>
      <c r="W1436" t="s">
        <v>587</v>
      </c>
      <c r="X1436" t="s">
        <v>556</v>
      </c>
      <c r="Y1436" t="s">
        <v>472</v>
      </c>
      <c r="Z1436" t="s">
        <v>485</v>
      </c>
      <c r="AA1436" t="s">
        <v>764</v>
      </c>
      <c r="AC1436">
        <v>1</v>
      </c>
      <c r="AD1436" t="s">
        <v>565</v>
      </c>
      <c r="AE1436">
        <v>10187.46701</v>
      </c>
      <c r="AF1436">
        <v>5.7416499999999999</v>
      </c>
      <c r="AG1436" t="s">
        <v>786</v>
      </c>
      <c r="AH1436">
        <v>1</v>
      </c>
      <c r="AI1436">
        <v>1774.31</v>
      </c>
      <c r="AJ1436" t="s">
        <v>561</v>
      </c>
      <c r="AK1436" t="s">
        <v>766</v>
      </c>
      <c r="AL1436" t="s">
        <v>767</v>
      </c>
      <c r="AM1436">
        <v>2022</v>
      </c>
      <c r="AN1436">
        <v>2022</v>
      </c>
      <c r="AO1436">
        <f>IF(AND(emissions[[#This Row],[Market-based]]=0,emissions[[#This Row],[Impact Type]]="CO2E"),emissions[[#This Row],[kgCO2e]],0)/1000</f>
        <v>0</v>
      </c>
      <c r="AP1436">
        <f>IF(AND(emissions[[#This Row],[Market-based]]=1,OR(emissions[[#This Row],[Impact Type]]="CO2E",emissions[[#This Row],[Impact Type]]="CO2E MKT")),emissions[[#This Row],[kgCO2e]],0)/1000</f>
        <v>10.187467010000001</v>
      </c>
      <c r="AQ1436" t="str">
        <f>_xlfn.TEXTAFTER(emissions[[#This Row],[Reporting Unit]]," &gt; ",LEN(emissions[[#This Row],[Reporting Unit]])-LEN(SUBSTITUTE(emissions[[#This Row],[Reporting Unit]],"&gt;","")))</f>
        <v>Vantage_Linden</v>
      </c>
      <c r="AR1436" t="str">
        <f>_xlfn.XLOOKUP(emissions[[#This Row],[Reporting unit name]],hierarchy!$A:$A,hierarchy!$C:$C)</f>
        <v>Warehouse</v>
      </c>
    </row>
    <row r="1437" spans="1:44" hidden="1" x14ac:dyDescent="0.25">
      <c r="A1437">
        <v>291426</v>
      </c>
      <c r="B1437" t="s">
        <v>315</v>
      </c>
      <c r="C1437" t="s">
        <v>493</v>
      </c>
      <c r="D1437" t="s">
        <v>548</v>
      </c>
      <c r="E1437" s="3">
        <v>44562</v>
      </c>
      <c r="F1437" s="3">
        <v>44926</v>
      </c>
      <c r="G1437" t="s">
        <v>121</v>
      </c>
      <c r="H1437" s="3">
        <v>44562</v>
      </c>
      <c r="I1437" s="3">
        <v>44926</v>
      </c>
      <c r="J1437" t="s">
        <v>150</v>
      </c>
      <c r="K1437">
        <v>1774.31</v>
      </c>
      <c r="L1437" t="s">
        <v>148</v>
      </c>
      <c r="M1437" t="s">
        <v>110</v>
      </c>
      <c r="N1437" t="s">
        <v>323</v>
      </c>
      <c r="O1437" t="s">
        <v>944</v>
      </c>
      <c r="P1437" t="s">
        <v>550</v>
      </c>
      <c r="Q1437">
        <v>2022</v>
      </c>
      <c r="R1437" t="s">
        <v>594</v>
      </c>
      <c r="S1437" t="s">
        <v>150</v>
      </c>
      <c r="T1437" t="s">
        <v>553</v>
      </c>
      <c r="U1437" t="b">
        <v>0</v>
      </c>
      <c r="V1437" t="s">
        <v>789</v>
      </c>
      <c r="W1437" t="s">
        <v>587</v>
      </c>
      <c r="X1437" t="s">
        <v>556</v>
      </c>
      <c r="Y1437" t="s">
        <v>472</v>
      </c>
      <c r="Z1437" t="s">
        <v>485</v>
      </c>
      <c r="AA1437" t="s">
        <v>764</v>
      </c>
      <c r="AC1437">
        <v>1</v>
      </c>
      <c r="AD1437" t="s">
        <v>566</v>
      </c>
      <c r="AE1437">
        <v>26.437218999999999</v>
      </c>
      <c r="AF1437">
        <v>1.49E-2</v>
      </c>
      <c r="AG1437" t="s">
        <v>786</v>
      </c>
      <c r="AH1437">
        <v>1</v>
      </c>
      <c r="AI1437">
        <v>1774.31</v>
      </c>
      <c r="AJ1437" t="s">
        <v>561</v>
      </c>
      <c r="AK1437" t="s">
        <v>766</v>
      </c>
      <c r="AL1437" t="s">
        <v>787</v>
      </c>
      <c r="AM1437">
        <v>2022</v>
      </c>
      <c r="AN1437">
        <v>2021</v>
      </c>
      <c r="AO1437">
        <f>IF(AND(emissions[[#This Row],[Market-based]]=0,emissions[[#This Row],[Impact Type]]="CO2E"),emissions[[#This Row],[kgCO2e]],0)/1000</f>
        <v>0</v>
      </c>
      <c r="AP1437">
        <f>IF(AND(emissions[[#This Row],[Market-based]]=1,OR(emissions[[#This Row],[Impact Type]]="CO2E",emissions[[#This Row],[Impact Type]]="CO2E MKT")),emissions[[#This Row],[kgCO2e]],0)/1000</f>
        <v>0</v>
      </c>
      <c r="AQ1437" t="str">
        <f>_xlfn.TEXTAFTER(emissions[[#This Row],[Reporting Unit]]," &gt; ",LEN(emissions[[#This Row],[Reporting Unit]])-LEN(SUBSTITUTE(emissions[[#This Row],[Reporting Unit]],"&gt;","")))</f>
        <v>Vantage_Linden</v>
      </c>
      <c r="AR1437" t="str">
        <f>_xlfn.XLOOKUP(emissions[[#This Row],[Reporting unit name]],hierarchy!$A:$A,hierarchy!$C:$C)</f>
        <v>Warehouse</v>
      </c>
    </row>
    <row r="1438" spans="1:44" hidden="1" x14ac:dyDescent="0.25">
      <c r="A1438">
        <v>291426</v>
      </c>
      <c r="B1438" t="s">
        <v>315</v>
      </c>
      <c r="C1438" t="s">
        <v>493</v>
      </c>
      <c r="D1438" t="s">
        <v>548</v>
      </c>
      <c r="E1438" s="3">
        <v>44562</v>
      </c>
      <c r="F1438" s="3">
        <v>44926</v>
      </c>
      <c r="G1438" t="s">
        <v>121</v>
      </c>
      <c r="H1438" s="3">
        <v>44562</v>
      </c>
      <c r="I1438" s="3">
        <v>44926</v>
      </c>
      <c r="J1438" t="s">
        <v>150</v>
      </c>
      <c r="K1438">
        <v>1774.31</v>
      </c>
      <c r="L1438" t="s">
        <v>148</v>
      </c>
      <c r="M1438" t="s">
        <v>110</v>
      </c>
      <c r="N1438" t="s">
        <v>323</v>
      </c>
      <c r="O1438" t="s">
        <v>944</v>
      </c>
      <c r="P1438" t="s">
        <v>550</v>
      </c>
      <c r="Q1438">
        <v>2022</v>
      </c>
      <c r="R1438" t="s">
        <v>596</v>
      </c>
      <c r="S1438" t="s">
        <v>597</v>
      </c>
      <c r="T1438" t="s">
        <v>577</v>
      </c>
      <c r="U1438" t="b">
        <v>0</v>
      </c>
      <c r="V1438" t="s">
        <v>598</v>
      </c>
      <c r="W1438" t="s">
        <v>571</v>
      </c>
      <c r="X1438" t="s">
        <v>572</v>
      </c>
      <c r="AC1438">
        <v>0</v>
      </c>
      <c r="AD1438" t="s">
        <v>565</v>
      </c>
      <c r="AE1438">
        <v>1212.057933</v>
      </c>
      <c r="AF1438">
        <v>0.18046000000000001</v>
      </c>
      <c r="AG1438" t="s">
        <v>588</v>
      </c>
      <c r="AH1438">
        <v>3.7854100000000002</v>
      </c>
      <c r="AI1438">
        <v>6716.4908169999999</v>
      </c>
      <c r="AJ1438" t="s">
        <v>561</v>
      </c>
      <c r="AK1438" t="s">
        <v>589</v>
      </c>
      <c r="AL1438" t="s">
        <v>590</v>
      </c>
      <c r="AM1438">
        <v>2022</v>
      </c>
      <c r="AN1438">
        <v>2020</v>
      </c>
      <c r="AO1438">
        <f>IF(AND(emissions[[#This Row],[Market-based]]=0,emissions[[#This Row],[Impact Type]]="CO2E"),emissions[[#This Row],[kgCO2e]],0)/1000</f>
        <v>1.2120579330000001</v>
      </c>
      <c r="AP1438">
        <f>IF(AND(emissions[[#This Row],[Market-based]]=1,OR(emissions[[#This Row],[Impact Type]]="CO2E",emissions[[#This Row],[Impact Type]]="CO2E MKT")),emissions[[#This Row],[kgCO2e]],0)/1000</f>
        <v>0</v>
      </c>
      <c r="AQ1438" t="str">
        <f>_xlfn.TEXTAFTER(emissions[[#This Row],[Reporting Unit]]," &gt; ",LEN(emissions[[#This Row],[Reporting Unit]])-LEN(SUBSTITUTE(emissions[[#This Row],[Reporting Unit]],"&gt;","")))</f>
        <v>Vantage_Linden</v>
      </c>
      <c r="AR1438" t="str">
        <f>_xlfn.XLOOKUP(emissions[[#This Row],[Reporting unit name]],hierarchy!$A:$A,hierarchy!$C:$C)</f>
        <v>Warehouse</v>
      </c>
    </row>
    <row r="1439" spans="1:44" hidden="1" x14ac:dyDescent="0.25">
      <c r="A1439">
        <v>291426</v>
      </c>
      <c r="B1439" t="s">
        <v>315</v>
      </c>
      <c r="C1439" t="s">
        <v>493</v>
      </c>
      <c r="D1439" t="s">
        <v>548</v>
      </c>
      <c r="E1439" s="3">
        <v>44562</v>
      </c>
      <c r="F1439" s="3">
        <v>44926</v>
      </c>
      <c r="G1439" t="s">
        <v>121</v>
      </c>
      <c r="H1439" s="3">
        <v>44562</v>
      </c>
      <c r="I1439" s="3">
        <v>44926</v>
      </c>
      <c r="J1439" t="s">
        <v>150</v>
      </c>
      <c r="K1439">
        <v>1774.31</v>
      </c>
      <c r="L1439" t="s">
        <v>148</v>
      </c>
      <c r="M1439" t="s">
        <v>110</v>
      </c>
      <c r="N1439" t="s">
        <v>323</v>
      </c>
      <c r="O1439" t="s">
        <v>944</v>
      </c>
      <c r="P1439" t="s">
        <v>550</v>
      </c>
      <c r="Q1439">
        <v>2022</v>
      </c>
      <c r="R1439" t="s">
        <v>596</v>
      </c>
      <c r="S1439" t="s">
        <v>597</v>
      </c>
      <c r="T1439" t="s">
        <v>577</v>
      </c>
      <c r="U1439" t="b">
        <v>0</v>
      </c>
      <c r="V1439" t="s">
        <v>598</v>
      </c>
      <c r="W1439" t="s">
        <v>571</v>
      </c>
      <c r="X1439" t="s">
        <v>572</v>
      </c>
      <c r="AC1439">
        <v>1</v>
      </c>
      <c r="AD1439" t="s">
        <v>565</v>
      </c>
      <c r="AE1439">
        <v>1212.057933</v>
      </c>
      <c r="AF1439">
        <v>0.18046000000000001</v>
      </c>
      <c r="AG1439" t="s">
        <v>588</v>
      </c>
      <c r="AH1439">
        <v>3.7854100000000002</v>
      </c>
      <c r="AI1439">
        <v>6716.4908169999999</v>
      </c>
      <c r="AJ1439" t="s">
        <v>561</v>
      </c>
      <c r="AK1439" t="s">
        <v>589</v>
      </c>
      <c r="AL1439" t="s">
        <v>590</v>
      </c>
      <c r="AM1439">
        <v>2022</v>
      </c>
      <c r="AN1439">
        <v>2020</v>
      </c>
      <c r="AO1439">
        <f>IF(AND(emissions[[#This Row],[Market-based]]=0,emissions[[#This Row],[Impact Type]]="CO2E"),emissions[[#This Row],[kgCO2e]],0)/1000</f>
        <v>0</v>
      </c>
      <c r="AP1439">
        <f>IF(AND(emissions[[#This Row],[Market-based]]=1,OR(emissions[[#This Row],[Impact Type]]="CO2E",emissions[[#This Row],[Impact Type]]="CO2E MKT")),emissions[[#This Row],[kgCO2e]],0)/1000</f>
        <v>1.2120579330000001</v>
      </c>
      <c r="AQ1439" t="str">
        <f>_xlfn.TEXTAFTER(emissions[[#This Row],[Reporting Unit]]," &gt; ",LEN(emissions[[#This Row],[Reporting Unit]])-LEN(SUBSTITUTE(emissions[[#This Row],[Reporting Unit]],"&gt;","")))</f>
        <v>Vantage_Linden</v>
      </c>
      <c r="AR1439" t="str">
        <f>_xlfn.XLOOKUP(emissions[[#This Row],[Reporting unit name]],hierarchy!$A:$A,hierarchy!$C:$C)</f>
        <v>Warehouse</v>
      </c>
    </row>
    <row r="1440" spans="1:44" hidden="1" x14ac:dyDescent="0.25">
      <c r="A1440">
        <v>4956</v>
      </c>
      <c r="B1440" t="s">
        <v>315</v>
      </c>
      <c r="C1440" t="s">
        <v>493</v>
      </c>
      <c r="D1440" t="s">
        <v>599</v>
      </c>
      <c r="E1440" s="3">
        <v>44197</v>
      </c>
      <c r="F1440" s="3">
        <v>44561</v>
      </c>
      <c r="G1440" t="s">
        <v>108</v>
      </c>
      <c r="H1440" s="3">
        <v>44197</v>
      </c>
      <c r="I1440" s="3">
        <v>44561</v>
      </c>
      <c r="J1440" t="s">
        <v>108</v>
      </c>
      <c r="K1440">
        <v>1487790</v>
      </c>
      <c r="L1440" t="s">
        <v>109</v>
      </c>
      <c r="M1440" t="s">
        <v>82</v>
      </c>
      <c r="O1440" t="s">
        <v>600</v>
      </c>
      <c r="P1440" t="s">
        <v>550</v>
      </c>
      <c r="Q1440">
        <v>2021</v>
      </c>
      <c r="R1440" t="s">
        <v>551</v>
      </c>
      <c r="S1440" t="s">
        <v>552</v>
      </c>
      <c r="T1440" t="s">
        <v>553</v>
      </c>
      <c r="U1440" t="b">
        <v>0</v>
      </c>
      <c r="V1440" t="s">
        <v>894</v>
      </c>
      <c r="W1440" t="s">
        <v>555</v>
      </c>
      <c r="X1440" t="s">
        <v>556</v>
      </c>
      <c r="Y1440" t="s">
        <v>472</v>
      </c>
      <c r="Z1440" t="s">
        <v>485</v>
      </c>
      <c r="AA1440" t="s">
        <v>764</v>
      </c>
      <c r="AB1440" t="s">
        <v>895</v>
      </c>
      <c r="AC1440">
        <v>0</v>
      </c>
      <c r="AD1440" t="s">
        <v>558</v>
      </c>
      <c r="AE1440">
        <v>894.17650460000004</v>
      </c>
      <c r="AF1440">
        <v>6.0101000000000002E-4</v>
      </c>
      <c r="AG1440" t="s">
        <v>560</v>
      </c>
      <c r="AH1440">
        <v>1</v>
      </c>
      <c r="AI1440">
        <v>1487790</v>
      </c>
      <c r="AJ1440" t="s">
        <v>561</v>
      </c>
      <c r="AK1440" t="s">
        <v>766</v>
      </c>
      <c r="AL1440" t="s">
        <v>790</v>
      </c>
      <c r="AM1440">
        <v>2021</v>
      </c>
      <c r="AN1440">
        <v>2019</v>
      </c>
      <c r="AO1440">
        <f>IF(AND(emissions[[#This Row],[Market-based]]=0,emissions[[#This Row],[Impact Type]]="CO2E"),emissions[[#This Row],[kgCO2e]],0)/1000</f>
        <v>0</v>
      </c>
      <c r="AP1440">
        <f>IF(AND(emissions[[#This Row],[Market-based]]=1,OR(emissions[[#This Row],[Impact Type]]="CO2E",emissions[[#This Row],[Impact Type]]="CO2E MKT")),emissions[[#This Row],[kgCO2e]],0)/1000</f>
        <v>0</v>
      </c>
      <c r="AQ1440" t="str">
        <f>_xlfn.TEXTAFTER(emissions[[#This Row],[Reporting Unit]]," &gt; ",LEN(emissions[[#This Row],[Reporting Unit]])-LEN(SUBSTITUTE(emissions[[#This Row],[Reporting Unit]],"&gt;","")))</f>
        <v>Vantage_Linden</v>
      </c>
      <c r="AR1440" t="str">
        <f>_xlfn.XLOOKUP(emissions[[#This Row],[Reporting unit name]],hierarchy!$A:$A,hierarchy!$C:$C)</f>
        <v>Warehouse</v>
      </c>
    </row>
    <row r="1441" spans="1:44" hidden="1" x14ac:dyDescent="0.25">
      <c r="A1441">
        <v>4956</v>
      </c>
      <c r="B1441" t="s">
        <v>315</v>
      </c>
      <c r="C1441" t="s">
        <v>493</v>
      </c>
      <c r="D1441" t="s">
        <v>599</v>
      </c>
      <c r="E1441" s="3">
        <v>44197</v>
      </c>
      <c r="F1441" s="3">
        <v>44561</v>
      </c>
      <c r="G1441" t="s">
        <v>108</v>
      </c>
      <c r="H1441" s="3">
        <v>44197</v>
      </c>
      <c r="I1441" s="3">
        <v>44561</v>
      </c>
      <c r="J1441" t="s">
        <v>108</v>
      </c>
      <c r="K1441">
        <v>1487790</v>
      </c>
      <c r="L1441" t="s">
        <v>109</v>
      </c>
      <c r="M1441" t="s">
        <v>82</v>
      </c>
      <c r="O1441" t="s">
        <v>600</v>
      </c>
      <c r="P1441" t="s">
        <v>550</v>
      </c>
      <c r="Q1441">
        <v>2021</v>
      </c>
      <c r="R1441" t="s">
        <v>551</v>
      </c>
      <c r="S1441" t="s">
        <v>552</v>
      </c>
      <c r="T1441" t="s">
        <v>553</v>
      </c>
      <c r="U1441" t="b">
        <v>0</v>
      </c>
      <c r="V1441" t="s">
        <v>894</v>
      </c>
      <c r="W1441" t="s">
        <v>555</v>
      </c>
      <c r="X1441" t="s">
        <v>556</v>
      </c>
      <c r="Y1441" t="s">
        <v>472</v>
      </c>
      <c r="Z1441" t="s">
        <v>485</v>
      </c>
      <c r="AA1441" t="s">
        <v>764</v>
      </c>
      <c r="AB1441" t="s">
        <v>895</v>
      </c>
      <c r="AC1441">
        <v>0</v>
      </c>
      <c r="AD1441" t="s">
        <v>564</v>
      </c>
      <c r="AE1441">
        <v>469043.8285</v>
      </c>
      <c r="AF1441">
        <v>0.31526211900000001</v>
      </c>
      <c r="AG1441" t="s">
        <v>560</v>
      </c>
      <c r="AH1441">
        <v>1</v>
      </c>
      <c r="AI1441">
        <v>1487790</v>
      </c>
      <c r="AJ1441" t="s">
        <v>561</v>
      </c>
      <c r="AK1441" t="s">
        <v>766</v>
      </c>
      <c r="AL1441" t="s">
        <v>790</v>
      </c>
      <c r="AM1441">
        <v>2021</v>
      </c>
      <c r="AN1441">
        <v>2019</v>
      </c>
      <c r="AO1441">
        <f>IF(AND(emissions[[#This Row],[Market-based]]=0,emissions[[#This Row],[Impact Type]]="CO2E"),emissions[[#This Row],[kgCO2e]],0)/1000</f>
        <v>0</v>
      </c>
      <c r="AP1441">
        <f>IF(AND(emissions[[#This Row],[Market-based]]=1,OR(emissions[[#This Row],[Impact Type]]="CO2E",emissions[[#This Row],[Impact Type]]="CO2E MKT")),emissions[[#This Row],[kgCO2e]],0)/1000</f>
        <v>0</v>
      </c>
      <c r="AQ1441" t="str">
        <f>_xlfn.TEXTAFTER(emissions[[#This Row],[Reporting Unit]]," &gt; ",LEN(emissions[[#This Row],[Reporting Unit]])-LEN(SUBSTITUTE(emissions[[#This Row],[Reporting Unit]],"&gt;","")))</f>
        <v>Vantage_Linden</v>
      </c>
      <c r="AR1441" t="str">
        <f>_xlfn.XLOOKUP(emissions[[#This Row],[Reporting unit name]],hierarchy!$A:$A,hierarchy!$C:$C)</f>
        <v>Warehouse</v>
      </c>
    </row>
    <row r="1442" spans="1:44" hidden="1" x14ac:dyDescent="0.25">
      <c r="A1442">
        <v>4956</v>
      </c>
      <c r="B1442" t="s">
        <v>315</v>
      </c>
      <c r="C1442" t="s">
        <v>493</v>
      </c>
      <c r="D1442" t="s">
        <v>599</v>
      </c>
      <c r="E1442" s="3">
        <v>44197</v>
      </c>
      <c r="F1442" s="3">
        <v>44561</v>
      </c>
      <c r="G1442" t="s">
        <v>108</v>
      </c>
      <c r="H1442" s="3">
        <v>44197</v>
      </c>
      <c r="I1442" s="3">
        <v>44561</v>
      </c>
      <c r="J1442" t="s">
        <v>108</v>
      </c>
      <c r="K1442">
        <v>1487790</v>
      </c>
      <c r="L1442" t="s">
        <v>109</v>
      </c>
      <c r="M1442" t="s">
        <v>82</v>
      </c>
      <c r="O1442" t="s">
        <v>600</v>
      </c>
      <c r="P1442" t="s">
        <v>550</v>
      </c>
      <c r="Q1442">
        <v>2021</v>
      </c>
      <c r="R1442" t="s">
        <v>551</v>
      </c>
      <c r="S1442" t="s">
        <v>552</v>
      </c>
      <c r="T1442" t="s">
        <v>553</v>
      </c>
      <c r="U1442" t="b">
        <v>0</v>
      </c>
      <c r="V1442" t="s">
        <v>894</v>
      </c>
      <c r="W1442" t="s">
        <v>555</v>
      </c>
      <c r="X1442" t="s">
        <v>556</v>
      </c>
      <c r="Y1442" t="s">
        <v>472</v>
      </c>
      <c r="Z1442" t="s">
        <v>485</v>
      </c>
      <c r="AA1442" t="s">
        <v>764</v>
      </c>
      <c r="AB1442" t="s">
        <v>895</v>
      </c>
      <c r="AC1442">
        <v>0</v>
      </c>
      <c r="AD1442" t="s">
        <v>565</v>
      </c>
      <c r="AE1442">
        <v>471345.74249999999</v>
      </c>
      <c r="AF1442">
        <v>0.31680932299999998</v>
      </c>
      <c r="AG1442" t="s">
        <v>560</v>
      </c>
      <c r="AH1442">
        <v>1</v>
      </c>
      <c r="AI1442">
        <v>1487790</v>
      </c>
      <c r="AJ1442" t="s">
        <v>561</v>
      </c>
      <c r="AK1442" t="s">
        <v>766</v>
      </c>
      <c r="AL1442" t="s">
        <v>790</v>
      </c>
      <c r="AM1442">
        <v>2021</v>
      </c>
      <c r="AN1442">
        <v>2019</v>
      </c>
      <c r="AO1442">
        <f>IF(AND(emissions[[#This Row],[Market-based]]=0,emissions[[#This Row],[Impact Type]]="CO2E"),emissions[[#This Row],[kgCO2e]],0)/1000</f>
        <v>471.34574249999997</v>
      </c>
      <c r="AP1442">
        <f>IF(AND(emissions[[#This Row],[Market-based]]=1,OR(emissions[[#This Row],[Impact Type]]="CO2E",emissions[[#This Row],[Impact Type]]="CO2E MKT")),emissions[[#This Row],[kgCO2e]],0)/1000</f>
        <v>0</v>
      </c>
      <c r="AQ1442" t="str">
        <f>_xlfn.TEXTAFTER(emissions[[#This Row],[Reporting Unit]]," &gt; ",LEN(emissions[[#This Row],[Reporting Unit]])-LEN(SUBSTITUTE(emissions[[#This Row],[Reporting Unit]],"&gt;","")))</f>
        <v>Vantage_Linden</v>
      </c>
      <c r="AR1442" t="str">
        <f>_xlfn.XLOOKUP(emissions[[#This Row],[Reporting unit name]],hierarchy!$A:$A,hierarchy!$C:$C)</f>
        <v>Warehouse</v>
      </c>
    </row>
    <row r="1443" spans="1:44" hidden="1" x14ac:dyDescent="0.25">
      <c r="A1443">
        <v>4956</v>
      </c>
      <c r="B1443" t="s">
        <v>315</v>
      </c>
      <c r="C1443" t="s">
        <v>493</v>
      </c>
      <c r="D1443" t="s">
        <v>599</v>
      </c>
      <c r="E1443" s="3">
        <v>44197</v>
      </c>
      <c r="F1443" s="3">
        <v>44561</v>
      </c>
      <c r="G1443" t="s">
        <v>108</v>
      </c>
      <c r="H1443" s="3">
        <v>44197</v>
      </c>
      <c r="I1443" s="3">
        <v>44561</v>
      </c>
      <c r="J1443" t="s">
        <v>108</v>
      </c>
      <c r="K1443">
        <v>1487790</v>
      </c>
      <c r="L1443" t="s">
        <v>109</v>
      </c>
      <c r="M1443" t="s">
        <v>82</v>
      </c>
      <c r="O1443" t="s">
        <v>600</v>
      </c>
      <c r="P1443" t="s">
        <v>550</v>
      </c>
      <c r="Q1443">
        <v>2021</v>
      </c>
      <c r="R1443" t="s">
        <v>551</v>
      </c>
      <c r="S1443" t="s">
        <v>552</v>
      </c>
      <c r="T1443" t="s">
        <v>553</v>
      </c>
      <c r="U1443" t="b">
        <v>0</v>
      </c>
      <c r="V1443" t="s">
        <v>894</v>
      </c>
      <c r="W1443" t="s">
        <v>555</v>
      </c>
      <c r="X1443" t="s">
        <v>556</v>
      </c>
      <c r="Y1443" t="s">
        <v>472</v>
      </c>
      <c r="Z1443" t="s">
        <v>485</v>
      </c>
      <c r="AA1443" t="s">
        <v>764</v>
      </c>
      <c r="AB1443" t="s">
        <v>895</v>
      </c>
      <c r="AC1443">
        <v>0</v>
      </c>
      <c r="AD1443" t="s">
        <v>566</v>
      </c>
      <c r="AE1443">
        <v>1407.7375010000001</v>
      </c>
      <c r="AF1443">
        <v>9.4619400000000003E-4</v>
      </c>
      <c r="AG1443" t="s">
        <v>560</v>
      </c>
      <c r="AH1443">
        <v>1</v>
      </c>
      <c r="AI1443">
        <v>1487790</v>
      </c>
      <c r="AJ1443" t="s">
        <v>561</v>
      </c>
      <c r="AK1443" t="s">
        <v>766</v>
      </c>
      <c r="AL1443" t="s">
        <v>790</v>
      </c>
      <c r="AM1443">
        <v>2021</v>
      </c>
      <c r="AN1443">
        <v>2019</v>
      </c>
      <c r="AO1443">
        <f>IF(AND(emissions[[#This Row],[Market-based]]=0,emissions[[#This Row],[Impact Type]]="CO2E"),emissions[[#This Row],[kgCO2e]],0)/1000</f>
        <v>0</v>
      </c>
      <c r="AP1443">
        <f>IF(AND(emissions[[#This Row],[Market-based]]=1,OR(emissions[[#This Row],[Impact Type]]="CO2E",emissions[[#This Row],[Impact Type]]="CO2E MKT")),emissions[[#This Row],[kgCO2e]],0)/1000</f>
        <v>0</v>
      </c>
      <c r="AQ1443" t="str">
        <f>_xlfn.TEXTAFTER(emissions[[#This Row],[Reporting Unit]]," &gt; ",LEN(emissions[[#This Row],[Reporting Unit]])-LEN(SUBSTITUTE(emissions[[#This Row],[Reporting Unit]],"&gt;","")))</f>
        <v>Vantage_Linden</v>
      </c>
      <c r="AR1443" t="str">
        <f>_xlfn.XLOOKUP(emissions[[#This Row],[Reporting unit name]],hierarchy!$A:$A,hierarchy!$C:$C)</f>
        <v>Warehouse</v>
      </c>
    </row>
    <row r="1444" spans="1:44" hidden="1" x14ac:dyDescent="0.25">
      <c r="A1444">
        <v>4956</v>
      </c>
      <c r="B1444" t="s">
        <v>315</v>
      </c>
      <c r="C1444" t="s">
        <v>493</v>
      </c>
      <c r="D1444" t="s">
        <v>599</v>
      </c>
      <c r="E1444" s="3">
        <v>44197</v>
      </c>
      <c r="F1444" s="3">
        <v>44561</v>
      </c>
      <c r="G1444" t="s">
        <v>108</v>
      </c>
      <c r="H1444" s="3">
        <v>44197</v>
      </c>
      <c r="I1444" s="3">
        <v>44561</v>
      </c>
      <c r="J1444" t="s">
        <v>108</v>
      </c>
      <c r="K1444">
        <v>1487790</v>
      </c>
      <c r="L1444" t="s">
        <v>109</v>
      </c>
      <c r="M1444" t="s">
        <v>82</v>
      </c>
      <c r="O1444" t="s">
        <v>600</v>
      </c>
      <c r="P1444" t="s">
        <v>550</v>
      </c>
      <c r="Q1444">
        <v>2021</v>
      </c>
      <c r="R1444" t="s">
        <v>551</v>
      </c>
      <c r="S1444" t="s">
        <v>552</v>
      </c>
      <c r="T1444" t="s">
        <v>553</v>
      </c>
      <c r="U1444" t="b">
        <v>0</v>
      </c>
      <c r="V1444" t="s">
        <v>894</v>
      </c>
      <c r="W1444" t="s">
        <v>555</v>
      </c>
      <c r="X1444" t="s">
        <v>556</v>
      </c>
      <c r="Y1444" t="s">
        <v>472</v>
      </c>
      <c r="Z1444" t="s">
        <v>485</v>
      </c>
      <c r="AA1444" t="s">
        <v>764</v>
      </c>
      <c r="AB1444" t="s">
        <v>895</v>
      </c>
      <c r="AC1444">
        <v>1</v>
      </c>
      <c r="AD1444" t="s">
        <v>639</v>
      </c>
      <c r="AE1444">
        <v>469182.84759999998</v>
      </c>
      <c r="AF1444">
        <v>0.31535555900000001</v>
      </c>
      <c r="AG1444" t="s">
        <v>560</v>
      </c>
      <c r="AH1444">
        <v>1</v>
      </c>
      <c r="AI1444">
        <v>1487790</v>
      </c>
      <c r="AJ1444" t="s">
        <v>561</v>
      </c>
      <c r="AK1444" t="s">
        <v>833</v>
      </c>
      <c r="AL1444" t="s">
        <v>853</v>
      </c>
      <c r="AM1444">
        <v>2021</v>
      </c>
      <c r="AN1444">
        <v>2019</v>
      </c>
      <c r="AO1444">
        <f>IF(AND(emissions[[#This Row],[Market-based]]=0,emissions[[#This Row],[Impact Type]]="CO2E"),emissions[[#This Row],[kgCO2e]],0)/1000</f>
        <v>0</v>
      </c>
      <c r="AP1444">
        <f>IF(AND(emissions[[#This Row],[Market-based]]=1,OR(emissions[[#This Row],[Impact Type]]="CO2E",emissions[[#This Row],[Impact Type]]="CO2E MKT")),emissions[[#This Row],[kgCO2e]],0)/1000</f>
        <v>469.1828476</v>
      </c>
      <c r="AQ1444" t="str">
        <f>_xlfn.TEXTAFTER(emissions[[#This Row],[Reporting Unit]]," &gt; ",LEN(emissions[[#This Row],[Reporting Unit]])-LEN(SUBSTITUTE(emissions[[#This Row],[Reporting Unit]],"&gt;","")))</f>
        <v>Vantage_Linden</v>
      </c>
      <c r="AR1444" t="str">
        <f>_xlfn.XLOOKUP(emissions[[#This Row],[Reporting unit name]],hierarchy!$A:$A,hierarchy!$C:$C)</f>
        <v>Warehouse</v>
      </c>
    </row>
    <row r="1445" spans="1:44" hidden="1" x14ac:dyDescent="0.25">
      <c r="A1445">
        <v>4956</v>
      </c>
      <c r="B1445" t="s">
        <v>315</v>
      </c>
      <c r="C1445" t="s">
        <v>493</v>
      </c>
      <c r="D1445" t="s">
        <v>599</v>
      </c>
      <c r="E1445" s="3">
        <v>44197</v>
      </c>
      <c r="F1445" s="3">
        <v>44561</v>
      </c>
      <c r="G1445" t="s">
        <v>108</v>
      </c>
      <c r="H1445" s="3">
        <v>44197</v>
      </c>
      <c r="I1445" s="3">
        <v>44561</v>
      </c>
      <c r="J1445" t="s">
        <v>108</v>
      </c>
      <c r="K1445">
        <v>1487790</v>
      </c>
      <c r="L1445" t="s">
        <v>109</v>
      </c>
      <c r="M1445" t="s">
        <v>82</v>
      </c>
      <c r="O1445" t="s">
        <v>600</v>
      </c>
      <c r="P1445" t="s">
        <v>550</v>
      </c>
      <c r="Q1445">
        <v>2021</v>
      </c>
      <c r="R1445" t="s">
        <v>567</v>
      </c>
      <c r="S1445" t="s">
        <v>568</v>
      </c>
      <c r="T1445" t="s">
        <v>569</v>
      </c>
      <c r="U1445" t="b">
        <v>0</v>
      </c>
      <c r="V1445" t="s">
        <v>897</v>
      </c>
      <c r="W1445" t="s">
        <v>571</v>
      </c>
      <c r="X1445" t="s">
        <v>572</v>
      </c>
      <c r="Y1445" t="s">
        <v>472</v>
      </c>
      <c r="Z1445" t="s">
        <v>485</v>
      </c>
      <c r="AA1445" t="s">
        <v>764</v>
      </c>
      <c r="AB1445" t="s">
        <v>895</v>
      </c>
      <c r="AC1445">
        <v>0</v>
      </c>
      <c r="AD1445" t="s">
        <v>558</v>
      </c>
      <c r="AE1445">
        <v>12.046983640000001</v>
      </c>
      <c r="AF1445" s="13">
        <v>8.0972299999999997E-6</v>
      </c>
      <c r="AG1445" t="s">
        <v>560</v>
      </c>
      <c r="AH1445">
        <v>1</v>
      </c>
      <c r="AI1445">
        <v>1487790</v>
      </c>
      <c r="AJ1445" t="s">
        <v>561</v>
      </c>
      <c r="AK1445" t="s">
        <v>573</v>
      </c>
      <c r="AL1445" t="s">
        <v>912</v>
      </c>
      <c r="AM1445">
        <v>2021</v>
      </c>
      <c r="AN1445">
        <v>2019</v>
      </c>
      <c r="AO1445">
        <f>IF(AND(emissions[[#This Row],[Market-based]]=0,emissions[[#This Row],[Impact Type]]="CO2E"),emissions[[#This Row],[kgCO2e]],0)/1000</f>
        <v>0</v>
      </c>
      <c r="AP1445">
        <f>IF(AND(emissions[[#This Row],[Market-based]]=1,OR(emissions[[#This Row],[Impact Type]]="CO2E",emissions[[#This Row],[Impact Type]]="CO2E MKT")),emissions[[#This Row],[kgCO2e]],0)/1000</f>
        <v>0</v>
      </c>
      <c r="AQ1445" t="str">
        <f>_xlfn.TEXTAFTER(emissions[[#This Row],[Reporting Unit]]," &gt; ",LEN(emissions[[#This Row],[Reporting Unit]])-LEN(SUBSTITUTE(emissions[[#This Row],[Reporting Unit]],"&gt;","")))</f>
        <v>Vantage_Linden</v>
      </c>
      <c r="AR1445" t="str">
        <f>_xlfn.XLOOKUP(emissions[[#This Row],[Reporting unit name]],hierarchy!$A:$A,hierarchy!$C:$C)</f>
        <v>Warehouse</v>
      </c>
    </row>
    <row r="1446" spans="1:44" hidden="1" x14ac:dyDescent="0.25">
      <c r="A1446">
        <v>4956</v>
      </c>
      <c r="B1446" t="s">
        <v>315</v>
      </c>
      <c r="C1446" t="s">
        <v>493</v>
      </c>
      <c r="D1446" t="s">
        <v>599</v>
      </c>
      <c r="E1446" s="3">
        <v>44197</v>
      </c>
      <c r="F1446" s="3">
        <v>44561</v>
      </c>
      <c r="G1446" t="s">
        <v>108</v>
      </c>
      <c r="H1446" s="3">
        <v>44197</v>
      </c>
      <c r="I1446" s="3">
        <v>44561</v>
      </c>
      <c r="J1446" t="s">
        <v>108</v>
      </c>
      <c r="K1446">
        <v>1487790</v>
      </c>
      <c r="L1446" t="s">
        <v>109</v>
      </c>
      <c r="M1446" t="s">
        <v>82</v>
      </c>
      <c r="O1446" t="s">
        <v>600</v>
      </c>
      <c r="P1446" t="s">
        <v>550</v>
      </c>
      <c r="Q1446">
        <v>2021</v>
      </c>
      <c r="R1446" t="s">
        <v>567</v>
      </c>
      <c r="S1446" t="s">
        <v>568</v>
      </c>
      <c r="T1446" t="s">
        <v>569</v>
      </c>
      <c r="U1446" t="b">
        <v>0</v>
      </c>
      <c r="V1446" t="s">
        <v>897</v>
      </c>
      <c r="W1446" t="s">
        <v>571</v>
      </c>
      <c r="X1446" t="s">
        <v>572</v>
      </c>
      <c r="Y1446" t="s">
        <v>472</v>
      </c>
      <c r="Z1446" t="s">
        <v>485</v>
      </c>
      <c r="AA1446" t="s">
        <v>764</v>
      </c>
      <c r="AB1446" t="s">
        <v>895</v>
      </c>
      <c r="AC1446">
        <v>0</v>
      </c>
      <c r="AD1446" t="s">
        <v>564</v>
      </c>
      <c r="AE1446">
        <v>6319.2930020000003</v>
      </c>
      <c r="AF1446">
        <v>4.2474360000000003E-3</v>
      </c>
      <c r="AG1446" t="s">
        <v>560</v>
      </c>
      <c r="AH1446">
        <v>1</v>
      </c>
      <c r="AI1446">
        <v>1487790</v>
      </c>
      <c r="AJ1446" t="s">
        <v>561</v>
      </c>
      <c r="AK1446" t="s">
        <v>573</v>
      </c>
      <c r="AL1446" t="s">
        <v>912</v>
      </c>
      <c r="AM1446">
        <v>2021</v>
      </c>
      <c r="AN1446">
        <v>2019</v>
      </c>
      <c r="AO1446">
        <f>IF(AND(emissions[[#This Row],[Market-based]]=0,emissions[[#This Row],[Impact Type]]="CO2E"),emissions[[#This Row],[kgCO2e]],0)/1000</f>
        <v>0</v>
      </c>
      <c r="AP1446">
        <f>IF(AND(emissions[[#This Row],[Market-based]]=1,OR(emissions[[#This Row],[Impact Type]]="CO2E",emissions[[#This Row],[Impact Type]]="CO2E MKT")),emissions[[#This Row],[kgCO2e]],0)/1000</f>
        <v>0</v>
      </c>
      <c r="AQ1446" t="str">
        <f>_xlfn.TEXTAFTER(emissions[[#This Row],[Reporting Unit]]," &gt; ",LEN(emissions[[#This Row],[Reporting Unit]])-LEN(SUBSTITUTE(emissions[[#This Row],[Reporting Unit]],"&gt;","")))</f>
        <v>Vantage_Linden</v>
      </c>
      <c r="AR1446" t="str">
        <f>_xlfn.XLOOKUP(emissions[[#This Row],[Reporting unit name]],hierarchy!$A:$A,hierarchy!$C:$C)</f>
        <v>Warehouse</v>
      </c>
    </row>
    <row r="1447" spans="1:44" hidden="1" x14ac:dyDescent="0.25">
      <c r="A1447">
        <v>4956</v>
      </c>
      <c r="B1447" t="s">
        <v>315</v>
      </c>
      <c r="C1447" t="s">
        <v>493</v>
      </c>
      <c r="D1447" t="s">
        <v>599</v>
      </c>
      <c r="E1447" s="3">
        <v>44197</v>
      </c>
      <c r="F1447" s="3">
        <v>44561</v>
      </c>
      <c r="G1447" t="s">
        <v>108</v>
      </c>
      <c r="H1447" s="3">
        <v>44197</v>
      </c>
      <c r="I1447" s="3">
        <v>44561</v>
      </c>
      <c r="J1447" t="s">
        <v>108</v>
      </c>
      <c r="K1447">
        <v>1487790</v>
      </c>
      <c r="L1447" t="s">
        <v>109</v>
      </c>
      <c r="M1447" t="s">
        <v>82</v>
      </c>
      <c r="O1447" t="s">
        <v>600</v>
      </c>
      <c r="P1447" t="s">
        <v>550</v>
      </c>
      <c r="Q1447">
        <v>2021</v>
      </c>
      <c r="R1447" t="s">
        <v>567</v>
      </c>
      <c r="S1447" t="s">
        <v>568</v>
      </c>
      <c r="T1447" t="s">
        <v>569</v>
      </c>
      <c r="U1447" t="b">
        <v>0</v>
      </c>
      <c r="V1447" t="s">
        <v>897</v>
      </c>
      <c r="W1447" t="s">
        <v>571</v>
      </c>
      <c r="X1447" t="s">
        <v>572</v>
      </c>
      <c r="Y1447" t="s">
        <v>472</v>
      </c>
      <c r="Z1447" t="s">
        <v>485</v>
      </c>
      <c r="AA1447" t="s">
        <v>764</v>
      </c>
      <c r="AB1447" t="s">
        <v>895</v>
      </c>
      <c r="AC1447">
        <v>0</v>
      </c>
      <c r="AD1447" t="s">
        <v>565</v>
      </c>
      <c r="AE1447">
        <v>6350.3060290000003</v>
      </c>
      <c r="AF1447">
        <v>4.2682809999999996E-3</v>
      </c>
      <c r="AG1447" t="s">
        <v>560</v>
      </c>
      <c r="AH1447">
        <v>1</v>
      </c>
      <c r="AI1447">
        <v>1487790</v>
      </c>
      <c r="AJ1447" t="s">
        <v>561</v>
      </c>
      <c r="AK1447" t="s">
        <v>573</v>
      </c>
      <c r="AL1447" t="s">
        <v>912</v>
      </c>
      <c r="AM1447">
        <v>2021</v>
      </c>
      <c r="AN1447">
        <v>2019</v>
      </c>
      <c r="AO1447">
        <f>IF(AND(emissions[[#This Row],[Market-based]]=0,emissions[[#This Row],[Impact Type]]="CO2E"),emissions[[#This Row],[kgCO2e]],0)/1000</f>
        <v>6.3503060290000004</v>
      </c>
      <c r="AP1447">
        <f>IF(AND(emissions[[#This Row],[Market-based]]=1,OR(emissions[[#This Row],[Impact Type]]="CO2E",emissions[[#This Row],[Impact Type]]="CO2E MKT")),emissions[[#This Row],[kgCO2e]],0)/1000</f>
        <v>0</v>
      </c>
      <c r="AQ1447" t="str">
        <f>_xlfn.TEXTAFTER(emissions[[#This Row],[Reporting Unit]]," &gt; ",LEN(emissions[[#This Row],[Reporting Unit]])-LEN(SUBSTITUTE(emissions[[#This Row],[Reporting Unit]],"&gt;","")))</f>
        <v>Vantage_Linden</v>
      </c>
      <c r="AR1447" t="str">
        <f>_xlfn.XLOOKUP(emissions[[#This Row],[Reporting unit name]],hierarchy!$A:$A,hierarchy!$C:$C)</f>
        <v>Warehouse</v>
      </c>
    </row>
    <row r="1448" spans="1:44" hidden="1" x14ac:dyDescent="0.25">
      <c r="A1448">
        <v>4956</v>
      </c>
      <c r="B1448" t="s">
        <v>315</v>
      </c>
      <c r="C1448" t="s">
        <v>493</v>
      </c>
      <c r="D1448" t="s">
        <v>599</v>
      </c>
      <c r="E1448" s="3">
        <v>44197</v>
      </c>
      <c r="F1448" s="3">
        <v>44561</v>
      </c>
      <c r="G1448" t="s">
        <v>108</v>
      </c>
      <c r="H1448" s="3">
        <v>44197</v>
      </c>
      <c r="I1448" s="3">
        <v>44561</v>
      </c>
      <c r="J1448" t="s">
        <v>108</v>
      </c>
      <c r="K1448">
        <v>1487790</v>
      </c>
      <c r="L1448" t="s">
        <v>109</v>
      </c>
      <c r="M1448" t="s">
        <v>82</v>
      </c>
      <c r="O1448" t="s">
        <v>600</v>
      </c>
      <c r="P1448" t="s">
        <v>550</v>
      </c>
      <c r="Q1448">
        <v>2021</v>
      </c>
      <c r="R1448" t="s">
        <v>567</v>
      </c>
      <c r="S1448" t="s">
        <v>568</v>
      </c>
      <c r="T1448" t="s">
        <v>569</v>
      </c>
      <c r="U1448" t="b">
        <v>0</v>
      </c>
      <c r="V1448" t="s">
        <v>897</v>
      </c>
      <c r="W1448" t="s">
        <v>571</v>
      </c>
      <c r="X1448" t="s">
        <v>572</v>
      </c>
      <c r="Y1448" t="s">
        <v>472</v>
      </c>
      <c r="Z1448" t="s">
        <v>485</v>
      </c>
      <c r="AA1448" t="s">
        <v>764</v>
      </c>
      <c r="AB1448" t="s">
        <v>895</v>
      </c>
      <c r="AC1448">
        <v>0</v>
      </c>
      <c r="AD1448" t="s">
        <v>566</v>
      </c>
      <c r="AE1448">
        <v>18.966043679999999</v>
      </c>
      <c r="AF1448" s="13">
        <v>1.27478E-5</v>
      </c>
      <c r="AG1448" t="s">
        <v>560</v>
      </c>
      <c r="AH1448">
        <v>1</v>
      </c>
      <c r="AI1448">
        <v>1487790</v>
      </c>
      <c r="AJ1448" t="s">
        <v>561</v>
      </c>
      <c r="AK1448" t="s">
        <v>573</v>
      </c>
      <c r="AL1448" t="s">
        <v>912</v>
      </c>
      <c r="AM1448">
        <v>2021</v>
      </c>
      <c r="AN1448">
        <v>2019</v>
      </c>
      <c r="AO1448">
        <f>IF(AND(emissions[[#This Row],[Market-based]]=0,emissions[[#This Row],[Impact Type]]="CO2E"),emissions[[#This Row],[kgCO2e]],0)/1000</f>
        <v>0</v>
      </c>
      <c r="AP1448">
        <f>IF(AND(emissions[[#This Row],[Market-based]]=1,OR(emissions[[#This Row],[Impact Type]]="CO2E",emissions[[#This Row],[Impact Type]]="CO2E MKT")),emissions[[#This Row],[kgCO2e]],0)/1000</f>
        <v>0</v>
      </c>
      <c r="AQ1448" t="str">
        <f>_xlfn.TEXTAFTER(emissions[[#This Row],[Reporting Unit]]," &gt; ",LEN(emissions[[#This Row],[Reporting Unit]])-LEN(SUBSTITUTE(emissions[[#This Row],[Reporting Unit]],"&gt;","")))</f>
        <v>Vantage_Linden</v>
      </c>
      <c r="AR1448" t="str">
        <f>_xlfn.XLOOKUP(emissions[[#This Row],[Reporting unit name]],hierarchy!$A:$A,hierarchy!$C:$C)</f>
        <v>Warehouse</v>
      </c>
    </row>
    <row r="1449" spans="1:44" hidden="1" x14ac:dyDescent="0.25">
      <c r="A1449">
        <v>4956</v>
      </c>
      <c r="B1449" t="s">
        <v>315</v>
      </c>
      <c r="C1449" t="s">
        <v>493</v>
      </c>
      <c r="D1449" t="s">
        <v>599</v>
      </c>
      <c r="E1449" s="3">
        <v>44197</v>
      </c>
      <c r="F1449" s="3">
        <v>44561</v>
      </c>
      <c r="G1449" t="s">
        <v>108</v>
      </c>
      <c r="H1449" s="3">
        <v>44197</v>
      </c>
      <c r="I1449" s="3">
        <v>44561</v>
      </c>
      <c r="J1449" t="s">
        <v>108</v>
      </c>
      <c r="K1449">
        <v>1487790</v>
      </c>
      <c r="L1449" t="s">
        <v>109</v>
      </c>
      <c r="M1449" t="s">
        <v>82</v>
      </c>
      <c r="O1449" t="s">
        <v>600</v>
      </c>
      <c r="P1449" t="s">
        <v>550</v>
      </c>
      <c r="Q1449">
        <v>2021</v>
      </c>
      <c r="R1449" t="s">
        <v>567</v>
      </c>
      <c r="S1449" t="s">
        <v>568</v>
      </c>
      <c r="T1449" t="s">
        <v>569</v>
      </c>
      <c r="U1449" t="b">
        <v>0</v>
      </c>
      <c r="V1449" t="s">
        <v>897</v>
      </c>
      <c r="W1449" t="s">
        <v>571</v>
      </c>
      <c r="X1449" t="s">
        <v>572</v>
      </c>
      <c r="Y1449" t="s">
        <v>472</v>
      </c>
      <c r="Z1449" t="s">
        <v>485</v>
      </c>
      <c r="AA1449" t="s">
        <v>764</v>
      </c>
      <c r="AB1449" t="s">
        <v>895</v>
      </c>
      <c r="AC1449">
        <v>1</v>
      </c>
      <c r="AD1449" t="s">
        <v>639</v>
      </c>
      <c r="AE1449">
        <v>6321.1659669999999</v>
      </c>
      <c r="AF1449">
        <v>4.2486950000000002E-3</v>
      </c>
      <c r="AG1449" t="s">
        <v>560</v>
      </c>
      <c r="AH1449">
        <v>1</v>
      </c>
      <c r="AI1449">
        <v>1487790</v>
      </c>
      <c r="AJ1449" t="s">
        <v>561</v>
      </c>
      <c r="AK1449" t="s">
        <v>573</v>
      </c>
      <c r="AL1449" t="s">
        <v>772</v>
      </c>
      <c r="AM1449">
        <v>2021</v>
      </c>
      <c r="AN1449">
        <v>2019</v>
      </c>
      <c r="AO1449">
        <f>IF(AND(emissions[[#This Row],[Market-based]]=0,emissions[[#This Row],[Impact Type]]="CO2E"),emissions[[#This Row],[kgCO2e]],0)/1000</f>
        <v>0</v>
      </c>
      <c r="AP1449">
        <f>IF(AND(emissions[[#This Row],[Market-based]]=1,OR(emissions[[#This Row],[Impact Type]]="CO2E",emissions[[#This Row],[Impact Type]]="CO2E MKT")),emissions[[#This Row],[kgCO2e]],0)/1000</f>
        <v>6.3211659669999998</v>
      </c>
      <c r="AQ1449" t="str">
        <f>_xlfn.TEXTAFTER(emissions[[#This Row],[Reporting Unit]]," &gt; ",LEN(emissions[[#This Row],[Reporting Unit]])-LEN(SUBSTITUTE(emissions[[#This Row],[Reporting Unit]],"&gt;","")))</f>
        <v>Vantage_Linden</v>
      </c>
      <c r="AR1449" t="str">
        <f>_xlfn.XLOOKUP(emissions[[#This Row],[Reporting unit name]],hierarchy!$A:$A,hierarchy!$C:$C)</f>
        <v>Warehouse</v>
      </c>
    </row>
    <row r="1450" spans="1:44" hidden="1" x14ac:dyDescent="0.25">
      <c r="A1450">
        <v>4956</v>
      </c>
      <c r="B1450" t="s">
        <v>315</v>
      </c>
      <c r="C1450" t="s">
        <v>493</v>
      </c>
      <c r="D1450" t="s">
        <v>599</v>
      </c>
      <c r="E1450" s="3">
        <v>44197</v>
      </c>
      <c r="F1450" s="3">
        <v>44561</v>
      </c>
      <c r="G1450" t="s">
        <v>108</v>
      </c>
      <c r="H1450" s="3">
        <v>44197</v>
      </c>
      <c r="I1450" s="3">
        <v>44561</v>
      </c>
      <c r="J1450" t="s">
        <v>108</v>
      </c>
      <c r="K1450">
        <v>1487790</v>
      </c>
      <c r="L1450" t="s">
        <v>109</v>
      </c>
      <c r="M1450" t="s">
        <v>82</v>
      </c>
      <c r="O1450" t="s">
        <v>600</v>
      </c>
      <c r="P1450" t="s">
        <v>550</v>
      </c>
      <c r="Q1450">
        <v>2021</v>
      </c>
      <c r="R1450" t="s">
        <v>575</v>
      </c>
      <c r="S1450" t="s">
        <v>576</v>
      </c>
      <c r="T1450" t="s">
        <v>577</v>
      </c>
      <c r="U1450" t="b">
        <v>0</v>
      </c>
      <c r="V1450" t="s">
        <v>899</v>
      </c>
      <c r="W1450" t="s">
        <v>571</v>
      </c>
      <c r="X1450" t="s">
        <v>572</v>
      </c>
      <c r="Y1450" t="s">
        <v>472</v>
      </c>
      <c r="Z1450" t="s">
        <v>485</v>
      </c>
      <c r="AA1450" t="s">
        <v>764</v>
      </c>
      <c r="AB1450" t="s">
        <v>895</v>
      </c>
      <c r="AC1450">
        <v>0</v>
      </c>
      <c r="AD1450" t="s">
        <v>558</v>
      </c>
      <c r="AE1450">
        <v>236.21536549999999</v>
      </c>
      <c r="AF1450">
        <v>1.5876900000000001E-4</v>
      </c>
      <c r="AG1450" t="s">
        <v>560</v>
      </c>
      <c r="AH1450">
        <v>1</v>
      </c>
      <c r="AI1450">
        <v>1487790</v>
      </c>
      <c r="AJ1450" t="s">
        <v>561</v>
      </c>
      <c r="AK1450" t="s">
        <v>573</v>
      </c>
      <c r="AL1450" t="s">
        <v>913</v>
      </c>
      <c r="AM1450">
        <v>2021</v>
      </c>
      <c r="AN1450">
        <v>2019</v>
      </c>
      <c r="AO1450">
        <f>IF(AND(emissions[[#This Row],[Market-based]]=0,emissions[[#This Row],[Impact Type]]="CO2E"),emissions[[#This Row],[kgCO2e]],0)/1000</f>
        <v>0</v>
      </c>
      <c r="AP1450">
        <f>IF(AND(emissions[[#This Row],[Market-based]]=1,OR(emissions[[#This Row],[Impact Type]]="CO2E",emissions[[#This Row],[Impact Type]]="CO2E MKT")),emissions[[#This Row],[kgCO2e]],0)/1000</f>
        <v>0</v>
      </c>
      <c r="AQ1450" t="str">
        <f>_xlfn.TEXTAFTER(emissions[[#This Row],[Reporting Unit]]," &gt; ",LEN(emissions[[#This Row],[Reporting Unit]])-LEN(SUBSTITUTE(emissions[[#This Row],[Reporting Unit]],"&gt;","")))</f>
        <v>Vantage_Linden</v>
      </c>
      <c r="AR1450" t="str">
        <f>_xlfn.XLOOKUP(emissions[[#This Row],[Reporting unit name]],hierarchy!$A:$A,hierarchy!$C:$C)</f>
        <v>Warehouse</v>
      </c>
    </row>
    <row r="1451" spans="1:44" hidden="1" x14ac:dyDescent="0.25">
      <c r="A1451">
        <v>4956</v>
      </c>
      <c r="B1451" t="s">
        <v>315</v>
      </c>
      <c r="C1451" t="s">
        <v>493</v>
      </c>
      <c r="D1451" t="s">
        <v>599</v>
      </c>
      <c r="E1451" s="3">
        <v>44197</v>
      </c>
      <c r="F1451" s="3">
        <v>44561</v>
      </c>
      <c r="G1451" t="s">
        <v>108</v>
      </c>
      <c r="H1451" s="3">
        <v>44197</v>
      </c>
      <c r="I1451" s="3">
        <v>44561</v>
      </c>
      <c r="J1451" t="s">
        <v>108</v>
      </c>
      <c r="K1451">
        <v>1487790</v>
      </c>
      <c r="L1451" t="s">
        <v>109</v>
      </c>
      <c r="M1451" t="s">
        <v>82</v>
      </c>
      <c r="O1451" t="s">
        <v>600</v>
      </c>
      <c r="P1451" t="s">
        <v>550</v>
      </c>
      <c r="Q1451">
        <v>2021</v>
      </c>
      <c r="R1451" t="s">
        <v>575</v>
      </c>
      <c r="S1451" t="s">
        <v>576</v>
      </c>
      <c r="T1451" t="s">
        <v>577</v>
      </c>
      <c r="U1451" t="b">
        <v>0</v>
      </c>
      <c r="V1451" t="s">
        <v>899</v>
      </c>
      <c r="W1451" t="s">
        <v>571</v>
      </c>
      <c r="X1451" t="s">
        <v>572</v>
      </c>
      <c r="Y1451" t="s">
        <v>472</v>
      </c>
      <c r="Z1451" t="s">
        <v>485</v>
      </c>
      <c r="AA1451" t="s">
        <v>764</v>
      </c>
      <c r="AB1451" t="s">
        <v>895</v>
      </c>
      <c r="AC1451">
        <v>0</v>
      </c>
      <c r="AD1451" t="s">
        <v>564</v>
      </c>
      <c r="AE1451">
        <v>123907.7059</v>
      </c>
      <c r="AF1451">
        <v>8.3283061000000005E-2</v>
      </c>
      <c r="AG1451" t="s">
        <v>560</v>
      </c>
      <c r="AH1451">
        <v>1</v>
      </c>
      <c r="AI1451">
        <v>1487790</v>
      </c>
      <c r="AJ1451" t="s">
        <v>561</v>
      </c>
      <c r="AK1451" t="s">
        <v>573</v>
      </c>
      <c r="AL1451" t="s">
        <v>913</v>
      </c>
      <c r="AM1451">
        <v>2021</v>
      </c>
      <c r="AN1451">
        <v>2019</v>
      </c>
      <c r="AO1451">
        <f>IF(AND(emissions[[#This Row],[Market-based]]=0,emissions[[#This Row],[Impact Type]]="CO2E"),emissions[[#This Row],[kgCO2e]],0)/1000</f>
        <v>0</v>
      </c>
      <c r="AP1451">
        <f>IF(AND(emissions[[#This Row],[Market-based]]=1,OR(emissions[[#This Row],[Impact Type]]="CO2E",emissions[[#This Row],[Impact Type]]="CO2E MKT")),emissions[[#This Row],[kgCO2e]],0)/1000</f>
        <v>0</v>
      </c>
      <c r="AQ1451" t="str">
        <f>_xlfn.TEXTAFTER(emissions[[#This Row],[Reporting Unit]]," &gt; ",LEN(emissions[[#This Row],[Reporting Unit]])-LEN(SUBSTITUTE(emissions[[#This Row],[Reporting Unit]],"&gt;","")))</f>
        <v>Vantage_Linden</v>
      </c>
      <c r="AR1451" t="str">
        <f>_xlfn.XLOOKUP(emissions[[#This Row],[Reporting unit name]],hierarchy!$A:$A,hierarchy!$C:$C)</f>
        <v>Warehouse</v>
      </c>
    </row>
    <row r="1452" spans="1:44" hidden="1" x14ac:dyDescent="0.25">
      <c r="A1452">
        <v>4956</v>
      </c>
      <c r="B1452" t="s">
        <v>315</v>
      </c>
      <c r="C1452" t="s">
        <v>493</v>
      </c>
      <c r="D1452" t="s">
        <v>599</v>
      </c>
      <c r="E1452" s="3">
        <v>44197</v>
      </c>
      <c r="F1452" s="3">
        <v>44561</v>
      </c>
      <c r="G1452" t="s">
        <v>108</v>
      </c>
      <c r="H1452" s="3">
        <v>44197</v>
      </c>
      <c r="I1452" s="3">
        <v>44561</v>
      </c>
      <c r="J1452" t="s">
        <v>108</v>
      </c>
      <c r="K1452">
        <v>1487790</v>
      </c>
      <c r="L1452" t="s">
        <v>109</v>
      </c>
      <c r="M1452" t="s">
        <v>82</v>
      </c>
      <c r="O1452" t="s">
        <v>600</v>
      </c>
      <c r="P1452" t="s">
        <v>550</v>
      </c>
      <c r="Q1452">
        <v>2021</v>
      </c>
      <c r="R1452" t="s">
        <v>575</v>
      </c>
      <c r="S1452" t="s">
        <v>576</v>
      </c>
      <c r="T1452" t="s">
        <v>577</v>
      </c>
      <c r="U1452" t="b">
        <v>0</v>
      </c>
      <c r="V1452" t="s">
        <v>899</v>
      </c>
      <c r="W1452" t="s">
        <v>571</v>
      </c>
      <c r="X1452" t="s">
        <v>572</v>
      </c>
      <c r="Y1452" t="s">
        <v>472</v>
      </c>
      <c r="Z1452" t="s">
        <v>485</v>
      </c>
      <c r="AA1452" t="s">
        <v>764</v>
      </c>
      <c r="AB1452" t="s">
        <v>895</v>
      </c>
      <c r="AC1452">
        <v>0</v>
      </c>
      <c r="AD1452" t="s">
        <v>565</v>
      </c>
      <c r="AE1452">
        <v>124515.8045</v>
      </c>
      <c r="AF1452">
        <v>8.3691787000000004E-2</v>
      </c>
      <c r="AG1452" t="s">
        <v>560</v>
      </c>
      <c r="AH1452">
        <v>1</v>
      </c>
      <c r="AI1452">
        <v>1487790</v>
      </c>
      <c r="AJ1452" t="s">
        <v>561</v>
      </c>
      <c r="AK1452" t="s">
        <v>573</v>
      </c>
      <c r="AL1452" t="s">
        <v>913</v>
      </c>
      <c r="AM1452">
        <v>2021</v>
      </c>
      <c r="AN1452">
        <v>2019</v>
      </c>
      <c r="AO1452">
        <f>IF(AND(emissions[[#This Row],[Market-based]]=0,emissions[[#This Row],[Impact Type]]="CO2E"),emissions[[#This Row],[kgCO2e]],0)/1000</f>
        <v>124.5158045</v>
      </c>
      <c r="AP1452">
        <f>IF(AND(emissions[[#This Row],[Market-based]]=1,OR(emissions[[#This Row],[Impact Type]]="CO2E",emissions[[#This Row],[Impact Type]]="CO2E MKT")),emissions[[#This Row],[kgCO2e]],0)/1000</f>
        <v>0</v>
      </c>
      <c r="AQ1452" t="str">
        <f>_xlfn.TEXTAFTER(emissions[[#This Row],[Reporting Unit]]," &gt; ",LEN(emissions[[#This Row],[Reporting Unit]])-LEN(SUBSTITUTE(emissions[[#This Row],[Reporting Unit]],"&gt;","")))</f>
        <v>Vantage_Linden</v>
      </c>
      <c r="AR1452" t="str">
        <f>_xlfn.XLOOKUP(emissions[[#This Row],[Reporting unit name]],hierarchy!$A:$A,hierarchy!$C:$C)</f>
        <v>Warehouse</v>
      </c>
    </row>
    <row r="1453" spans="1:44" hidden="1" x14ac:dyDescent="0.25">
      <c r="A1453">
        <v>4956</v>
      </c>
      <c r="B1453" t="s">
        <v>315</v>
      </c>
      <c r="C1453" t="s">
        <v>493</v>
      </c>
      <c r="D1453" t="s">
        <v>599</v>
      </c>
      <c r="E1453" s="3">
        <v>44197</v>
      </c>
      <c r="F1453" s="3">
        <v>44561</v>
      </c>
      <c r="G1453" t="s">
        <v>108</v>
      </c>
      <c r="H1453" s="3">
        <v>44197</v>
      </c>
      <c r="I1453" s="3">
        <v>44561</v>
      </c>
      <c r="J1453" t="s">
        <v>108</v>
      </c>
      <c r="K1453">
        <v>1487790</v>
      </c>
      <c r="L1453" t="s">
        <v>109</v>
      </c>
      <c r="M1453" t="s">
        <v>82</v>
      </c>
      <c r="O1453" t="s">
        <v>600</v>
      </c>
      <c r="P1453" t="s">
        <v>550</v>
      </c>
      <c r="Q1453">
        <v>2021</v>
      </c>
      <c r="R1453" t="s">
        <v>575</v>
      </c>
      <c r="S1453" t="s">
        <v>576</v>
      </c>
      <c r="T1453" t="s">
        <v>577</v>
      </c>
      <c r="U1453" t="b">
        <v>0</v>
      </c>
      <c r="V1453" t="s">
        <v>899</v>
      </c>
      <c r="W1453" t="s">
        <v>571</v>
      </c>
      <c r="X1453" t="s">
        <v>572</v>
      </c>
      <c r="Y1453" t="s">
        <v>472</v>
      </c>
      <c r="Z1453" t="s">
        <v>485</v>
      </c>
      <c r="AA1453" t="s">
        <v>764</v>
      </c>
      <c r="AB1453" t="s">
        <v>895</v>
      </c>
      <c r="AC1453">
        <v>0</v>
      </c>
      <c r="AD1453" t="s">
        <v>566</v>
      </c>
      <c r="AE1453">
        <v>371.8832094</v>
      </c>
      <c r="AF1453">
        <v>2.4995699999999998E-4</v>
      </c>
      <c r="AG1453" t="s">
        <v>560</v>
      </c>
      <c r="AH1453">
        <v>1</v>
      </c>
      <c r="AI1453">
        <v>1487790</v>
      </c>
      <c r="AJ1453" t="s">
        <v>561</v>
      </c>
      <c r="AK1453" t="s">
        <v>573</v>
      </c>
      <c r="AL1453" t="s">
        <v>913</v>
      </c>
      <c r="AM1453">
        <v>2021</v>
      </c>
      <c r="AN1453">
        <v>2019</v>
      </c>
      <c r="AO1453">
        <f>IF(AND(emissions[[#This Row],[Market-based]]=0,emissions[[#This Row],[Impact Type]]="CO2E"),emissions[[#This Row],[kgCO2e]],0)/1000</f>
        <v>0</v>
      </c>
      <c r="AP1453">
        <f>IF(AND(emissions[[#This Row],[Market-based]]=1,OR(emissions[[#This Row],[Impact Type]]="CO2E",emissions[[#This Row],[Impact Type]]="CO2E MKT")),emissions[[#This Row],[kgCO2e]],0)/1000</f>
        <v>0</v>
      </c>
      <c r="AQ1453" t="str">
        <f>_xlfn.TEXTAFTER(emissions[[#This Row],[Reporting Unit]]," &gt; ",LEN(emissions[[#This Row],[Reporting Unit]])-LEN(SUBSTITUTE(emissions[[#This Row],[Reporting Unit]],"&gt;","")))</f>
        <v>Vantage_Linden</v>
      </c>
      <c r="AR1453" t="str">
        <f>_xlfn.XLOOKUP(emissions[[#This Row],[Reporting unit name]],hierarchy!$A:$A,hierarchy!$C:$C)</f>
        <v>Warehouse</v>
      </c>
    </row>
    <row r="1454" spans="1:44" hidden="1" x14ac:dyDescent="0.25">
      <c r="A1454">
        <v>4956</v>
      </c>
      <c r="B1454" t="s">
        <v>315</v>
      </c>
      <c r="C1454" t="s">
        <v>493</v>
      </c>
      <c r="D1454" t="s">
        <v>599</v>
      </c>
      <c r="E1454" s="3">
        <v>44197</v>
      </c>
      <c r="F1454" s="3">
        <v>44561</v>
      </c>
      <c r="G1454" t="s">
        <v>108</v>
      </c>
      <c r="H1454" s="3">
        <v>44197</v>
      </c>
      <c r="I1454" s="3">
        <v>44561</v>
      </c>
      <c r="J1454" t="s">
        <v>108</v>
      </c>
      <c r="K1454">
        <v>1487790</v>
      </c>
      <c r="L1454" t="s">
        <v>109</v>
      </c>
      <c r="M1454" t="s">
        <v>82</v>
      </c>
      <c r="O1454" t="s">
        <v>600</v>
      </c>
      <c r="P1454" t="s">
        <v>550</v>
      </c>
      <c r="Q1454">
        <v>2021</v>
      </c>
      <c r="R1454" t="s">
        <v>575</v>
      </c>
      <c r="S1454" t="s">
        <v>576</v>
      </c>
      <c r="T1454" t="s">
        <v>577</v>
      </c>
      <c r="U1454" t="b">
        <v>0</v>
      </c>
      <c r="V1454" t="s">
        <v>899</v>
      </c>
      <c r="W1454" t="s">
        <v>571</v>
      </c>
      <c r="X1454" t="s">
        <v>572</v>
      </c>
      <c r="Y1454" t="s">
        <v>472</v>
      </c>
      <c r="Z1454" t="s">
        <v>485</v>
      </c>
      <c r="AA1454" t="s">
        <v>764</v>
      </c>
      <c r="AB1454" t="s">
        <v>895</v>
      </c>
      <c r="AC1454">
        <v>1</v>
      </c>
      <c r="AD1454" t="s">
        <v>639</v>
      </c>
      <c r="AE1454">
        <v>123944.4307</v>
      </c>
      <c r="AF1454">
        <v>8.3307746000000002E-2</v>
      </c>
      <c r="AG1454" t="s">
        <v>560</v>
      </c>
      <c r="AH1454">
        <v>1</v>
      </c>
      <c r="AI1454">
        <v>1487790</v>
      </c>
      <c r="AJ1454" t="s">
        <v>561</v>
      </c>
      <c r="AK1454" t="s">
        <v>573</v>
      </c>
      <c r="AL1454" t="s">
        <v>900</v>
      </c>
      <c r="AM1454">
        <v>2021</v>
      </c>
      <c r="AN1454">
        <v>2019</v>
      </c>
      <c r="AO1454">
        <f>IF(AND(emissions[[#This Row],[Market-based]]=0,emissions[[#This Row],[Impact Type]]="CO2E"),emissions[[#This Row],[kgCO2e]],0)/1000</f>
        <v>0</v>
      </c>
      <c r="AP1454">
        <f>IF(AND(emissions[[#This Row],[Market-based]]=1,OR(emissions[[#This Row],[Impact Type]]="CO2E",emissions[[#This Row],[Impact Type]]="CO2E MKT")),emissions[[#This Row],[kgCO2e]],0)/1000</f>
        <v>123.9444307</v>
      </c>
      <c r="AQ1454" t="str">
        <f>_xlfn.TEXTAFTER(emissions[[#This Row],[Reporting Unit]]," &gt; ",LEN(emissions[[#This Row],[Reporting Unit]])-LEN(SUBSTITUTE(emissions[[#This Row],[Reporting Unit]],"&gt;","")))</f>
        <v>Vantage_Linden</v>
      </c>
      <c r="AR1454" t="str">
        <f>_xlfn.XLOOKUP(emissions[[#This Row],[Reporting unit name]],hierarchy!$A:$A,hierarchy!$C:$C)</f>
        <v>Warehouse</v>
      </c>
    </row>
    <row r="1455" spans="1:44" hidden="1" x14ac:dyDescent="0.25">
      <c r="A1455">
        <v>4956</v>
      </c>
      <c r="B1455" t="s">
        <v>315</v>
      </c>
      <c r="C1455" t="s">
        <v>493</v>
      </c>
      <c r="D1455" t="s">
        <v>599</v>
      </c>
      <c r="E1455" s="3">
        <v>44197</v>
      </c>
      <c r="F1455" s="3">
        <v>44561</v>
      </c>
      <c r="G1455" t="s">
        <v>108</v>
      </c>
      <c r="H1455" s="3">
        <v>44197</v>
      </c>
      <c r="I1455" s="3">
        <v>44561</v>
      </c>
      <c r="J1455" t="s">
        <v>108</v>
      </c>
      <c r="K1455">
        <v>1487790</v>
      </c>
      <c r="L1455" t="s">
        <v>109</v>
      </c>
      <c r="M1455" t="s">
        <v>82</v>
      </c>
      <c r="O1455" t="s">
        <v>600</v>
      </c>
      <c r="P1455" t="s">
        <v>550</v>
      </c>
      <c r="Q1455">
        <v>2021</v>
      </c>
      <c r="R1455" t="s">
        <v>579</v>
      </c>
      <c r="S1455" t="s">
        <v>580</v>
      </c>
      <c r="T1455" t="s">
        <v>581</v>
      </c>
      <c r="U1455" t="b">
        <v>0</v>
      </c>
      <c r="V1455" t="s">
        <v>901</v>
      </c>
      <c r="W1455" t="s">
        <v>571</v>
      </c>
      <c r="X1455" t="s">
        <v>572</v>
      </c>
      <c r="Y1455" t="s">
        <v>472</v>
      </c>
      <c r="Z1455" t="s">
        <v>485</v>
      </c>
      <c r="AA1455" t="s">
        <v>764</v>
      </c>
      <c r="AB1455" t="s">
        <v>895</v>
      </c>
      <c r="AC1455">
        <v>0</v>
      </c>
      <c r="AD1455" t="s">
        <v>565</v>
      </c>
      <c r="AE1455">
        <v>24038.632870000001</v>
      </c>
      <c r="AF1455">
        <v>1.6157274999999999E-2</v>
      </c>
      <c r="AG1455" t="s">
        <v>560</v>
      </c>
      <c r="AH1455">
        <v>1</v>
      </c>
      <c r="AI1455">
        <v>1487790</v>
      </c>
      <c r="AJ1455" t="s">
        <v>561</v>
      </c>
      <c r="AK1455" t="s">
        <v>766</v>
      </c>
      <c r="AL1455" t="s">
        <v>790</v>
      </c>
      <c r="AM1455">
        <v>2021</v>
      </c>
      <c r="AN1455">
        <v>2019</v>
      </c>
      <c r="AO1455">
        <f>IF(AND(emissions[[#This Row],[Market-based]]=0,emissions[[#This Row],[Impact Type]]="CO2E"),emissions[[#This Row],[kgCO2e]],0)/1000</f>
        <v>24.038632870000001</v>
      </c>
      <c r="AP1455">
        <f>IF(AND(emissions[[#This Row],[Market-based]]=1,OR(emissions[[#This Row],[Impact Type]]="CO2E",emissions[[#This Row],[Impact Type]]="CO2E MKT")),emissions[[#This Row],[kgCO2e]],0)/1000</f>
        <v>0</v>
      </c>
      <c r="AQ1455" t="str">
        <f>_xlfn.TEXTAFTER(emissions[[#This Row],[Reporting Unit]]," &gt; ",LEN(emissions[[#This Row],[Reporting Unit]])-LEN(SUBSTITUTE(emissions[[#This Row],[Reporting Unit]],"&gt;","")))</f>
        <v>Vantage_Linden</v>
      </c>
      <c r="AR1455" t="str">
        <f>_xlfn.XLOOKUP(emissions[[#This Row],[Reporting unit name]],hierarchy!$A:$A,hierarchy!$C:$C)</f>
        <v>Warehouse</v>
      </c>
    </row>
    <row r="1456" spans="1:44" hidden="1" x14ac:dyDescent="0.25">
      <c r="A1456">
        <v>4956</v>
      </c>
      <c r="B1456" t="s">
        <v>315</v>
      </c>
      <c r="C1456" t="s">
        <v>493</v>
      </c>
      <c r="D1456" t="s">
        <v>599</v>
      </c>
      <c r="E1456" s="3">
        <v>44197</v>
      </c>
      <c r="F1456" s="3">
        <v>44561</v>
      </c>
      <c r="G1456" t="s">
        <v>108</v>
      </c>
      <c r="H1456" s="3">
        <v>44197</v>
      </c>
      <c r="I1456" s="3">
        <v>44561</v>
      </c>
      <c r="J1456" t="s">
        <v>108</v>
      </c>
      <c r="K1456">
        <v>1487790</v>
      </c>
      <c r="L1456" t="s">
        <v>109</v>
      </c>
      <c r="M1456" t="s">
        <v>82</v>
      </c>
      <c r="O1456" t="s">
        <v>600</v>
      </c>
      <c r="P1456" t="s">
        <v>550</v>
      </c>
      <c r="Q1456">
        <v>2021</v>
      </c>
      <c r="R1456" t="s">
        <v>579</v>
      </c>
      <c r="S1456" t="s">
        <v>580</v>
      </c>
      <c r="T1456" t="s">
        <v>581</v>
      </c>
      <c r="U1456" t="b">
        <v>0</v>
      </c>
      <c r="V1456" t="s">
        <v>902</v>
      </c>
      <c r="W1456" t="s">
        <v>571</v>
      </c>
      <c r="X1456" t="s">
        <v>572</v>
      </c>
      <c r="Y1456" t="s">
        <v>472</v>
      </c>
      <c r="Z1456" t="s">
        <v>485</v>
      </c>
      <c r="AA1456" t="s">
        <v>764</v>
      </c>
      <c r="AB1456" t="s">
        <v>895</v>
      </c>
      <c r="AC1456">
        <v>1</v>
      </c>
      <c r="AD1456" t="s">
        <v>639</v>
      </c>
      <c r="AE1456">
        <v>23928.325229999999</v>
      </c>
      <c r="AF1456">
        <v>1.6083133999999999E-2</v>
      </c>
      <c r="AG1456" t="s">
        <v>560</v>
      </c>
      <c r="AH1456">
        <v>1</v>
      </c>
      <c r="AI1456">
        <v>1487790</v>
      </c>
      <c r="AJ1456" t="s">
        <v>561</v>
      </c>
      <c r="AK1456" t="s">
        <v>573</v>
      </c>
      <c r="AL1456" t="s">
        <v>903</v>
      </c>
      <c r="AM1456">
        <v>2021</v>
      </c>
      <c r="AN1456">
        <v>2019</v>
      </c>
      <c r="AO1456">
        <f>IF(AND(emissions[[#This Row],[Market-based]]=0,emissions[[#This Row],[Impact Type]]="CO2E"),emissions[[#This Row],[kgCO2e]],0)/1000</f>
        <v>0</v>
      </c>
      <c r="AP1456">
        <f>IF(AND(emissions[[#This Row],[Market-based]]=1,OR(emissions[[#This Row],[Impact Type]]="CO2E",emissions[[#This Row],[Impact Type]]="CO2E MKT")),emissions[[#This Row],[kgCO2e]],0)/1000</f>
        <v>23.928325229999999</v>
      </c>
      <c r="AQ1456" t="str">
        <f>_xlfn.TEXTAFTER(emissions[[#This Row],[Reporting Unit]]," &gt; ",LEN(emissions[[#This Row],[Reporting Unit]])-LEN(SUBSTITUTE(emissions[[#This Row],[Reporting Unit]],"&gt;","")))</f>
        <v>Vantage_Linden</v>
      </c>
      <c r="AR1456" t="str">
        <f>_xlfn.XLOOKUP(emissions[[#This Row],[Reporting unit name]],hierarchy!$A:$A,hierarchy!$C:$C)</f>
        <v>Warehouse</v>
      </c>
    </row>
    <row r="1457" spans="1:44" hidden="1" x14ac:dyDescent="0.25">
      <c r="A1457">
        <v>4983</v>
      </c>
      <c r="B1457" t="s">
        <v>315</v>
      </c>
      <c r="C1457" t="s">
        <v>493</v>
      </c>
      <c r="D1457" t="s">
        <v>599</v>
      </c>
      <c r="E1457" s="3">
        <v>44197</v>
      </c>
      <c r="F1457" s="3">
        <v>44561</v>
      </c>
      <c r="G1457" t="s">
        <v>135</v>
      </c>
      <c r="H1457" s="3">
        <v>44197</v>
      </c>
      <c r="I1457" s="3">
        <v>44561</v>
      </c>
      <c r="J1457" t="s">
        <v>135</v>
      </c>
      <c r="K1457">
        <v>9261500</v>
      </c>
      <c r="L1457" t="s">
        <v>160</v>
      </c>
      <c r="M1457" t="s">
        <v>110</v>
      </c>
      <c r="O1457" t="s">
        <v>600</v>
      </c>
      <c r="P1457" t="s">
        <v>550</v>
      </c>
      <c r="Q1457">
        <v>2021</v>
      </c>
      <c r="R1457" t="s">
        <v>605</v>
      </c>
      <c r="S1457" t="s">
        <v>606</v>
      </c>
      <c r="T1457" t="s">
        <v>553</v>
      </c>
      <c r="U1457" t="b">
        <v>0</v>
      </c>
      <c r="V1457" t="s">
        <v>781</v>
      </c>
      <c r="W1457" t="s">
        <v>587</v>
      </c>
      <c r="X1457" t="s">
        <v>556</v>
      </c>
      <c r="Y1457" t="s">
        <v>472</v>
      </c>
      <c r="Z1457" t="s">
        <v>485</v>
      </c>
      <c r="AA1457" t="s">
        <v>764</v>
      </c>
      <c r="AC1457">
        <v>0</v>
      </c>
      <c r="AD1457" t="s">
        <v>558</v>
      </c>
      <c r="AE1457">
        <v>238.48362499999999</v>
      </c>
      <c r="AF1457">
        <v>2.5749999999999999E-5</v>
      </c>
      <c r="AG1457" t="s">
        <v>782</v>
      </c>
      <c r="AH1457">
        <v>1</v>
      </c>
      <c r="AI1457">
        <v>9261500</v>
      </c>
      <c r="AJ1457" t="s">
        <v>561</v>
      </c>
      <c r="AK1457" t="s">
        <v>766</v>
      </c>
      <c r="AL1457" t="s">
        <v>787</v>
      </c>
      <c r="AM1457">
        <v>2021</v>
      </c>
      <c r="AN1457">
        <v>2020</v>
      </c>
      <c r="AO1457">
        <f>IF(AND(emissions[[#This Row],[Market-based]]=0,emissions[[#This Row],[Impact Type]]="CO2E"),emissions[[#This Row],[kgCO2e]],0)/1000</f>
        <v>0</v>
      </c>
      <c r="AP1457">
        <f>IF(AND(emissions[[#This Row],[Market-based]]=1,OR(emissions[[#This Row],[Impact Type]]="CO2E",emissions[[#This Row],[Impact Type]]="CO2E MKT")),emissions[[#This Row],[kgCO2e]],0)/1000</f>
        <v>0</v>
      </c>
      <c r="AQ1457" t="str">
        <f>_xlfn.TEXTAFTER(emissions[[#This Row],[Reporting Unit]]," &gt; ",LEN(emissions[[#This Row],[Reporting Unit]])-LEN(SUBSTITUTE(emissions[[#This Row],[Reporting Unit]],"&gt;","")))</f>
        <v>Vantage_Linden</v>
      </c>
      <c r="AR1457" t="str">
        <f>_xlfn.XLOOKUP(emissions[[#This Row],[Reporting unit name]],hierarchy!$A:$A,hierarchy!$C:$C)</f>
        <v>Warehouse</v>
      </c>
    </row>
    <row r="1458" spans="1:44" hidden="1" x14ac:dyDescent="0.25">
      <c r="A1458">
        <v>4983</v>
      </c>
      <c r="B1458" t="s">
        <v>315</v>
      </c>
      <c r="C1458" t="s">
        <v>493</v>
      </c>
      <c r="D1458" t="s">
        <v>599</v>
      </c>
      <c r="E1458" s="3">
        <v>44197</v>
      </c>
      <c r="F1458" s="3">
        <v>44561</v>
      </c>
      <c r="G1458" t="s">
        <v>135</v>
      </c>
      <c r="H1458" s="3">
        <v>44197</v>
      </c>
      <c r="I1458" s="3">
        <v>44561</v>
      </c>
      <c r="J1458" t="s">
        <v>135</v>
      </c>
      <c r="K1458">
        <v>9261500</v>
      </c>
      <c r="L1458" t="s">
        <v>160</v>
      </c>
      <c r="M1458" t="s">
        <v>110</v>
      </c>
      <c r="O1458" t="s">
        <v>600</v>
      </c>
      <c r="P1458" t="s">
        <v>550</v>
      </c>
      <c r="Q1458">
        <v>2021</v>
      </c>
      <c r="R1458" t="s">
        <v>605</v>
      </c>
      <c r="S1458" t="s">
        <v>606</v>
      </c>
      <c r="T1458" t="s">
        <v>553</v>
      </c>
      <c r="U1458" t="b">
        <v>0</v>
      </c>
      <c r="V1458" t="s">
        <v>781</v>
      </c>
      <c r="W1458" t="s">
        <v>587</v>
      </c>
      <c r="X1458" t="s">
        <v>556</v>
      </c>
      <c r="Y1458" t="s">
        <v>472</v>
      </c>
      <c r="Z1458" t="s">
        <v>485</v>
      </c>
      <c r="AA1458" t="s">
        <v>764</v>
      </c>
      <c r="AC1458">
        <v>0</v>
      </c>
      <c r="AD1458" t="s">
        <v>564</v>
      </c>
      <c r="AE1458">
        <v>504196.06</v>
      </c>
      <c r="AF1458">
        <v>5.4440000000000002E-2</v>
      </c>
      <c r="AG1458" t="s">
        <v>782</v>
      </c>
      <c r="AH1458">
        <v>1</v>
      </c>
      <c r="AI1458">
        <v>9261500</v>
      </c>
      <c r="AJ1458" t="s">
        <v>561</v>
      </c>
      <c r="AK1458" t="s">
        <v>766</v>
      </c>
      <c r="AL1458" t="s">
        <v>790</v>
      </c>
      <c r="AM1458">
        <v>2021</v>
      </c>
      <c r="AN1458">
        <v>2021</v>
      </c>
      <c r="AO1458">
        <f>IF(AND(emissions[[#This Row],[Market-based]]=0,emissions[[#This Row],[Impact Type]]="CO2E"),emissions[[#This Row],[kgCO2e]],0)/1000</f>
        <v>0</v>
      </c>
      <c r="AP1458">
        <f>IF(AND(emissions[[#This Row],[Market-based]]=1,OR(emissions[[#This Row],[Impact Type]]="CO2E",emissions[[#This Row],[Impact Type]]="CO2E MKT")),emissions[[#This Row],[kgCO2e]],0)/1000</f>
        <v>0</v>
      </c>
      <c r="AQ1458" t="str">
        <f>_xlfn.TEXTAFTER(emissions[[#This Row],[Reporting Unit]]," &gt; ",LEN(emissions[[#This Row],[Reporting Unit]])-LEN(SUBSTITUTE(emissions[[#This Row],[Reporting Unit]],"&gt;","")))</f>
        <v>Vantage_Linden</v>
      </c>
      <c r="AR1458" t="str">
        <f>_xlfn.XLOOKUP(emissions[[#This Row],[Reporting unit name]],hierarchy!$A:$A,hierarchy!$C:$C)</f>
        <v>Warehouse</v>
      </c>
    </row>
    <row r="1459" spans="1:44" hidden="1" x14ac:dyDescent="0.25">
      <c r="A1459">
        <v>4983</v>
      </c>
      <c r="B1459" t="s">
        <v>315</v>
      </c>
      <c r="C1459" t="s">
        <v>493</v>
      </c>
      <c r="D1459" t="s">
        <v>599</v>
      </c>
      <c r="E1459" s="3">
        <v>44197</v>
      </c>
      <c r="F1459" s="3">
        <v>44561</v>
      </c>
      <c r="G1459" t="s">
        <v>135</v>
      </c>
      <c r="H1459" s="3">
        <v>44197</v>
      </c>
      <c r="I1459" s="3">
        <v>44561</v>
      </c>
      <c r="J1459" t="s">
        <v>135</v>
      </c>
      <c r="K1459">
        <v>9261500</v>
      </c>
      <c r="L1459" t="s">
        <v>160</v>
      </c>
      <c r="M1459" t="s">
        <v>110</v>
      </c>
      <c r="O1459" t="s">
        <v>600</v>
      </c>
      <c r="P1459" t="s">
        <v>550</v>
      </c>
      <c r="Q1459">
        <v>2021</v>
      </c>
      <c r="R1459" t="s">
        <v>605</v>
      </c>
      <c r="S1459" t="s">
        <v>606</v>
      </c>
      <c r="T1459" t="s">
        <v>553</v>
      </c>
      <c r="U1459" t="b">
        <v>0</v>
      </c>
      <c r="V1459" t="s">
        <v>781</v>
      </c>
      <c r="W1459" t="s">
        <v>587</v>
      </c>
      <c r="X1459" t="s">
        <v>556</v>
      </c>
      <c r="Y1459" t="s">
        <v>472</v>
      </c>
      <c r="Z1459" t="s">
        <v>485</v>
      </c>
      <c r="AA1459" t="s">
        <v>764</v>
      </c>
      <c r="AC1459">
        <v>0</v>
      </c>
      <c r="AD1459" t="s">
        <v>565</v>
      </c>
      <c r="AE1459">
        <v>504710.53629999998</v>
      </c>
      <c r="AF1459">
        <v>5.4495549999999997E-2</v>
      </c>
      <c r="AG1459" t="s">
        <v>782</v>
      </c>
      <c r="AH1459">
        <v>1</v>
      </c>
      <c r="AI1459">
        <v>9261500</v>
      </c>
      <c r="AJ1459" t="s">
        <v>561</v>
      </c>
      <c r="AK1459" t="s">
        <v>766</v>
      </c>
      <c r="AL1459" t="s">
        <v>787</v>
      </c>
      <c r="AM1459">
        <v>2021</v>
      </c>
      <c r="AN1459">
        <v>2020</v>
      </c>
      <c r="AO1459">
        <f>IF(AND(emissions[[#This Row],[Market-based]]=0,emissions[[#This Row],[Impact Type]]="CO2E"),emissions[[#This Row],[kgCO2e]],0)/1000</f>
        <v>504.7105363</v>
      </c>
      <c r="AP1459">
        <f>IF(AND(emissions[[#This Row],[Market-based]]=1,OR(emissions[[#This Row],[Impact Type]]="CO2E",emissions[[#This Row],[Impact Type]]="CO2E MKT")),emissions[[#This Row],[kgCO2e]],0)/1000</f>
        <v>0</v>
      </c>
      <c r="AQ1459" t="str">
        <f>_xlfn.TEXTAFTER(emissions[[#This Row],[Reporting Unit]]," &gt; ",LEN(emissions[[#This Row],[Reporting Unit]])-LEN(SUBSTITUTE(emissions[[#This Row],[Reporting Unit]],"&gt;","")))</f>
        <v>Vantage_Linden</v>
      </c>
      <c r="AR1459" t="str">
        <f>_xlfn.XLOOKUP(emissions[[#This Row],[Reporting unit name]],hierarchy!$A:$A,hierarchy!$C:$C)</f>
        <v>Warehouse</v>
      </c>
    </row>
    <row r="1460" spans="1:44" hidden="1" x14ac:dyDescent="0.25">
      <c r="A1460">
        <v>4983</v>
      </c>
      <c r="B1460" t="s">
        <v>315</v>
      </c>
      <c r="C1460" t="s">
        <v>493</v>
      </c>
      <c r="D1460" t="s">
        <v>599</v>
      </c>
      <c r="E1460" s="3">
        <v>44197</v>
      </c>
      <c r="F1460" s="3">
        <v>44561</v>
      </c>
      <c r="G1460" t="s">
        <v>135</v>
      </c>
      <c r="H1460" s="3">
        <v>44197</v>
      </c>
      <c r="I1460" s="3">
        <v>44561</v>
      </c>
      <c r="J1460" t="s">
        <v>135</v>
      </c>
      <c r="K1460">
        <v>9261500</v>
      </c>
      <c r="L1460" t="s">
        <v>160</v>
      </c>
      <c r="M1460" t="s">
        <v>110</v>
      </c>
      <c r="O1460" t="s">
        <v>600</v>
      </c>
      <c r="P1460" t="s">
        <v>550</v>
      </c>
      <c r="Q1460">
        <v>2021</v>
      </c>
      <c r="R1460" t="s">
        <v>605</v>
      </c>
      <c r="S1460" t="s">
        <v>606</v>
      </c>
      <c r="T1460" t="s">
        <v>553</v>
      </c>
      <c r="U1460" t="b">
        <v>0</v>
      </c>
      <c r="V1460" t="s">
        <v>781</v>
      </c>
      <c r="W1460" t="s">
        <v>587</v>
      </c>
      <c r="X1460" t="s">
        <v>556</v>
      </c>
      <c r="Y1460" t="s">
        <v>472</v>
      </c>
      <c r="Z1460" t="s">
        <v>485</v>
      </c>
      <c r="AA1460" t="s">
        <v>764</v>
      </c>
      <c r="AC1460">
        <v>0</v>
      </c>
      <c r="AD1460" t="s">
        <v>566</v>
      </c>
      <c r="AE1460">
        <v>275.99270000000001</v>
      </c>
      <c r="AF1460">
        <v>2.9799999999999999E-5</v>
      </c>
      <c r="AG1460" t="s">
        <v>782</v>
      </c>
      <c r="AH1460">
        <v>1</v>
      </c>
      <c r="AI1460">
        <v>9261500</v>
      </c>
      <c r="AJ1460" t="s">
        <v>561</v>
      </c>
      <c r="AK1460" t="s">
        <v>766</v>
      </c>
      <c r="AL1460" t="s">
        <v>790</v>
      </c>
      <c r="AM1460">
        <v>2021</v>
      </c>
      <c r="AN1460">
        <v>2021</v>
      </c>
      <c r="AO1460">
        <f>IF(AND(emissions[[#This Row],[Market-based]]=0,emissions[[#This Row],[Impact Type]]="CO2E"),emissions[[#This Row],[kgCO2e]],0)/1000</f>
        <v>0</v>
      </c>
      <c r="AP1460">
        <f>IF(AND(emissions[[#This Row],[Market-based]]=1,OR(emissions[[#This Row],[Impact Type]]="CO2E",emissions[[#This Row],[Impact Type]]="CO2E MKT")),emissions[[#This Row],[kgCO2e]],0)/1000</f>
        <v>0</v>
      </c>
      <c r="AQ1460" t="str">
        <f>_xlfn.TEXTAFTER(emissions[[#This Row],[Reporting Unit]]," &gt; ",LEN(emissions[[#This Row],[Reporting Unit]])-LEN(SUBSTITUTE(emissions[[#This Row],[Reporting Unit]],"&gt;","")))</f>
        <v>Vantage_Linden</v>
      </c>
      <c r="AR1460" t="str">
        <f>_xlfn.XLOOKUP(emissions[[#This Row],[Reporting unit name]],hierarchy!$A:$A,hierarchy!$C:$C)</f>
        <v>Warehouse</v>
      </c>
    </row>
    <row r="1461" spans="1:44" hidden="1" x14ac:dyDescent="0.25">
      <c r="A1461">
        <v>4983</v>
      </c>
      <c r="B1461" t="s">
        <v>315</v>
      </c>
      <c r="C1461" t="s">
        <v>493</v>
      </c>
      <c r="D1461" t="s">
        <v>599</v>
      </c>
      <c r="E1461" s="3">
        <v>44197</v>
      </c>
      <c r="F1461" s="3">
        <v>44561</v>
      </c>
      <c r="G1461" t="s">
        <v>135</v>
      </c>
      <c r="H1461" s="3">
        <v>44197</v>
      </c>
      <c r="I1461" s="3">
        <v>44561</v>
      </c>
      <c r="J1461" t="s">
        <v>135</v>
      </c>
      <c r="K1461">
        <v>9261500</v>
      </c>
      <c r="L1461" t="s">
        <v>160</v>
      </c>
      <c r="M1461" t="s">
        <v>110</v>
      </c>
      <c r="O1461" t="s">
        <v>600</v>
      </c>
      <c r="P1461" t="s">
        <v>550</v>
      </c>
      <c r="Q1461">
        <v>2021</v>
      </c>
      <c r="R1461" t="s">
        <v>605</v>
      </c>
      <c r="S1461" t="s">
        <v>606</v>
      </c>
      <c r="T1461" t="s">
        <v>553</v>
      </c>
      <c r="U1461" t="b">
        <v>0</v>
      </c>
      <c r="V1461" t="s">
        <v>781</v>
      </c>
      <c r="W1461" t="s">
        <v>587</v>
      </c>
      <c r="X1461" t="s">
        <v>556</v>
      </c>
      <c r="Y1461" t="s">
        <v>472</v>
      </c>
      <c r="Z1461" t="s">
        <v>485</v>
      </c>
      <c r="AA1461" t="s">
        <v>764</v>
      </c>
      <c r="AC1461">
        <v>1</v>
      </c>
      <c r="AD1461" t="s">
        <v>558</v>
      </c>
      <c r="AE1461">
        <v>238.48362499999999</v>
      </c>
      <c r="AF1461">
        <v>2.5749999999999999E-5</v>
      </c>
      <c r="AG1461" t="s">
        <v>782</v>
      </c>
      <c r="AH1461">
        <v>1</v>
      </c>
      <c r="AI1461">
        <v>9261500</v>
      </c>
      <c r="AJ1461" t="s">
        <v>561</v>
      </c>
      <c r="AK1461" t="s">
        <v>766</v>
      </c>
      <c r="AL1461" t="s">
        <v>787</v>
      </c>
      <c r="AM1461">
        <v>2021</v>
      </c>
      <c r="AN1461">
        <v>2020</v>
      </c>
      <c r="AO1461">
        <f>IF(AND(emissions[[#This Row],[Market-based]]=0,emissions[[#This Row],[Impact Type]]="CO2E"),emissions[[#This Row],[kgCO2e]],0)/1000</f>
        <v>0</v>
      </c>
      <c r="AP1461">
        <f>IF(AND(emissions[[#This Row],[Market-based]]=1,OR(emissions[[#This Row],[Impact Type]]="CO2E",emissions[[#This Row],[Impact Type]]="CO2E MKT")),emissions[[#This Row],[kgCO2e]],0)/1000</f>
        <v>0</v>
      </c>
      <c r="AQ1461" t="str">
        <f>_xlfn.TEXTAFTER(emissions[[#This Row],[Reporting Unit]]," &gt; ",LEN(emissions[[#This Row],[Reporting Unit]])-LEN(SUBSTITUTE(emissions[[#This Row],[Reporting Unit]],"&gt;","")))</f>
        <v>Vantage_Linden</v>
      </c>
      <c r="AR1461" t="str">
        <f>_xlfn.XLOOKUP(emissions[[#This Row],[Reporting unit name]],hierarchy!$A:$A,hierarchy!$C:$C)</f>
        <v>Warehouse</v>
      </c>
    </row>
    <row r="1462" spans="1:44" hidden="1" x14ac:dyDescent="0.25">
      <c r="A1462">
        <v>4983</v>
      </c>
      <c r="B1462" t="s">
        <v>315</v>
      </c>
      <c r="C1462" t="s">
        <v>493</v>
      </c>
      <c r="D1462" t="s">
        <v>599</v>
      </c>
      <c r="E1462" s="3">
        <v>44197</v>
      </c>
      <c r="F1462" s="3">
        <v>44561</v>
      </c>
      <c r="G1462" t="s">
        <v>135</v>
      </c>
      <c r="H1462" s="3">
        <v>44197</v>
      </c>
      <c r="I1462" s="3">
        <v>44561</v>
      </c>
      <c r="J1462" t="s">
        <v>135</v>
      </c>
      <c r="K1462">
        <v>9261500</v>
      </c>
      <c r="L1462" t="s">
        <v>160</v>
      </c>
      <c r="M1462" t="s">
        <v>110</v>
      </c>
      <c r="O1462" t="s">
        <v>600</v>
      </c>
      <c r="P1462" t="s">
        <v>550</v>
      </c>
      <c r="Q1462">
        <v>2021</v>
      </c>
      <c r="R1462" t="s">
        <v>605</v>
      </c>
      <c r="S1462" t="s">
        <v>606</v>
      </c>
      <c r="T1462" t="s">
        <v>553</v>
      </c>
      <c r="U1462" t="b">
        <v>0</v>
      </c>
      <c r="V1462" t="s">
        <v>781</v>
      </c>
      <c r="W1462" t="s">
        <v>587</v>
      </c>
      <c r="X1462" t="s">
        <v>556</v>
      </c>
      <c r="Y1462" t="s">
        <v>472</v>
      </c>
      <c r="Z1462" t="s">
        <v>485</v>
      </c>
      <c r="AA1462" t="s">
        <v>764</v>
      </c>
      <c r="AC1462">
        <v>1</v>
      </c>
      <c r="AD1462" t="s">
        <v>564</v>
      </c>
      <c r="AE1462">
        <v>504196.06</v>
      </c>
      <c r="AF1462">
        <v>5.4440000000000002E-2</v>
      </c>
      <c r="AG1462" t="s">
        <v>782</v>
      </c>
      <c r="AH1462">
        <v>1</v>
      </c>
      <c r="AI1462">
        <v>9261500</v>
      </c>
      <c r="AJ1462" t="s">
        <v>561</v>
      </c>
      <c r="AK1462" t="s">
        <v>766</v>
      </c>
      <c r="AL1462" t="s">
        <v>790</v>
      </c>
      <c r="AM1462">
        <v>2021</v>
      </c>
      <c r="AN1462">
        <v>2021</v>
      </c>
      <c r="AO1462">
        <f>IF(AND(emissions[[#This Row],[Market-based]]=0,emissions[[#This Row],[Impact Type]]="CO2E"),emissions[[#This Row],[kgCO2e]],0)/1000</f>
        <v>0</v>
      </c>
      <c r="AP1462">
        <f>IF(AND(emissions[[#This Row],[Market-based]]=1,OR(emissions[[#This Row],[Impact Type]]="CO2E",emissions[[#This Row],[Impact Type]]="CO2E MKT")),emissions[[#This Row],[kgCO2e]],0)/1000</f>
        <v>0</v>
      </c>
      <c r="AQ1462" t="str">
        <f>_xlfn.TEXTAFTER(emissions[[#This Row],[Reporting Unit]]," &gt; ",LEN(emissions[[#This Row],[Reporting Unit]])-LEN(SUBSTITUTE(emissions[[#This Row],[Reporting Unit]],"&gt;","")))</f>
        <v>Vantage_Linden</v>
      </c>
      <c r="AR1462" t="str">
        <f>_xlfn.XLOOKUP(emissions[[#This Row],[Reporting unit name]],hierarchy!$A:$A,hierarchy!$C:$C)</f>
        <v>Warehouse</v>
      </c>
    </row>
    <row r="1463" spans="1:44" hidden="1" x14ac:dyDescent="0.25">
      <c r="A1463">
        <v>4983</v>
      </c>
      <c r="B1463" t="s">
        <v>315</v>
      </c>
      <c r="C1463" t="s">
        <v>493</v>
      </c>
      <c r="D1463" t="s">
        <v>599</v>
      </c>
      <c r="E1463" s="3">
        <v>44197</v>
      </c>
      <c r="F1463" s="3">
        <v>44561</v>
      </c>
      <c r="G1463" t="s">
        <v>135</v>
      </c>
      <c r="H1463" s="3">
        <v>44197</v>
      </c>
      <c r="I1463" s="3">
        <v>44561</v>
      </c>
      <c r="J1463" t="s">
        <v>135</v>
      </c>
      <c r="K1463">
        <v>9261500</v>
      </c>
      <c r="L1463" t="s">
        <v>160</v>
      </c>
      <c r="M1463" t="s">
        <v>110</v>
      </c>
      <c r="O1463" t="s">
        <v>600</v>
      </c>
      <c r="P1463" t="s">
        <v>550</v>
      </c>
      <c r="Q1463">
        <v>2021</v>
      </c>
      <c r="R1463" t="s">
        <v>605</v>
      </c>
      <c r="S1463" t="s">
        <v>606</v>
      </c>
      <c r="T1463" t="s">
        <v>553</v>
      </c>
      <c r="U1463" t="b">
        <v>0</v>
      </c>
      <c r="V1463" t="s">
        <v>781</v>
      </c>
      <c r="W1463" t="s">
        <v>587</v>
      </c>
      <c r="X1463" t="s">
        <v>556</v>
      </c>
      <c r="Y1463" t="s">
        <v>472</v>
      </c>
      <c r="Z1463" t="s">
        <v>485</v>
      </c>
      <c r="AA1463" t="s">
        <v>764</v>
      </c>
      <c r="AC1463">
        <v>1</v>
      </c>
      <c r="AD1463" t="s">
        <v>565</v>
      </c>
      <c r="AE1463">
        <v>504710.53629999998</v>
      </c>
      <c r="AF1463">
        <v>5.4495549999999997E-2</v>
      </c>
      <c r="AG1463" t="s">
        <v>782</v>
      </c>
      <c r="AH1463">
        <v>1</v>
      </c>
      <c r="AI1463">
        <v>9261500</v>
      </c>
      <c r="AJ1463" t="s">
        <v>561</v>
      </c>
      <c r="AK1463" t="s">
        <v>766</v>
      </c>
      <c r="AL1463" t="s">
        <v>787</v>
      </c>
      <c r="AM1463">
        <v>2021</v>
      </c>
      <c r="AN1463">
        <v>2020</v>
      </c>
      <c r="AO1463">
        <f>IF(AND(emissions[[#This Row],[Market-based]]=0,emissions[[#This Row],[Impact Type]]="CO2E"),emissions[[#This Row],[kgCO2e]],0)/1000</f>
        <v>0</v>
      </c>
      <c r="AP1463">
        <f>IF(AND(emissions[[#This Row],[Market-based]]=1,OR(emissions[[#This Row],[Impact Type]]="CO2E",emissions[[#This Row],[Impact Type]]="CO2E MKT")),emissions[[#This Row],[kgCO2e]],0)/1000</f>
        <v>504.7105363</v>
      </c>
      <c r="AQ1463" t="str">
        <f>_xlfn.TEXTAFTER(emissions[[#This Row],[Reporting Unit]]," &gt; ",LEN(emissions[[#This Row],[Reporting Unit]])-LEN(SUBSTITUTE(emissions[[#This Row],[Reporting Unit]],"&gt;","")))</f>
        <v>Vantage_Linden</v>
      </c>
      <c r="AR1463" t="str">
        <f>_xlfn.XLOOKUP(emissions[[#This Row],[Reporting unit name]],hierarchy!$A:$A,hierarchy!$C:$C)</f>
        <v>Warehouse</v>
      </c>
    </row>
    <row r="1464" spans="1:44" hidden="1" x14ac:dyDescent="0.25">
      <c r="A1464">
        <v>4983</v>
      </c>
      <c r="B1464" t="s">
        <v>315</v>
      </c>
      <c r="C1464" t="s">
        <v>493</v>
      </c>
      <c r="D1464" t="s">
        <v>599</v>
      </c>
      <c r="E1464" s="3">
        <v>44197</v>
      </c>
      <c r="F1464" s="3">
        <v>44561</v>
      </c>
      <c r="G1464" t="s">
        <v>135</v>
      </c>
      <c r="H1464" s="3">
        <v>44197</v>
      </c>
      <c r="I1464" s="3">
        <v>44561</v>
      </c>
      <c r="J1464" t="s">
        <v>135</v>
      </c>
      <c r="K1464">
        <v>9261500</v>
      </c>
      <c r="L1464" t="s">
        <v>160</v>
      </c>
      <c r="M1464" t="s">
        <v>110</v>
      </c>
      <c r="O1464" t="s">
        <v>600</v>
      </c>
      <c r="P1464" t="s">
        <v>550</v>
      </c>
      <c r="Q1464">
        <v>2021</v>
      </c>
      <c r="R1464" t="s">
        <v>605</v>
      </c>
      <c r="S1464" t="s">
        <v>606</v>
      </c>
      <c r="T1464" t="s">
        <v>553</v>
      </c>
      <c r="U1464" t="b">
        <v>0</v>
      </c>
      <c r="V1464" t="s">
        <v>781</v>
      </c>
      <c r="W1464" t="s">
        <v>587</v>
      </c>
      <c r="X1464" t="s">
        <v>556</v>
      </c>
      <c r="Y1464" t="s">
        <v>472</v>
      </c>
      <c r="Z1464" t="s">
        <v>485</v>
      </c>
      <c r="AA1464" t="s">
        <v>764</v>
      </c>
      <c r="AC1464">
        <v>1</v>
      </c>
      <c r="AD1464" t="s">
        <v>566</v>
      </c>
      <c r="AE1464">
        <v>275.99270000000001</v>
      </c>
      <c r="AF1464">
        <v>2.9799999999999999E-5</v>
      </c>
      <c r="AG1464" t="s">
        <v>782</v>
      </c>
      <c r="AH1464">
        <v>1</v>
      </c>
      <c r="AI1464">
        <v>9261500</v>
      </c>
      <c r="AJ1464" t="s">
        <v>561</v>
      </c>
      <c r="AK1464" t="s">
        <v>766</v>
      </c>
      <c r="AL1464" t="s">
        <v>790</v>
      </c>
      <c r="AM1464">
        <v>2021</v>
      </c>
      <c r="AN1464">
        <v>2021</v>
      </c>
      <c r="AO1464">
        <f>IF(AND(emissions[[#This Row],[Market-based]]=0,emissions[[#This Row],[Impact Type]]="CO2E"),emissions[[#This Row],[kgCO2e]],0)/1000</f>
        <v>0</v>
      </c>
      <c r="AP1464">
        <f>IF(AND(emissions[[#This Row],[Market-based]]=1,OR(emissions[[#This Row],[Impact Type]]="CO2E",emissions[[#This Row],[Impact Type]]="CO2E MKT")),emissions[[#This Row],[kgCO2e]],0)/1000</f>
        <v>0</v>
      </c>
      <c r="AQ1464" t="str">
        <f>_xlfn.TEXTAFTER(emissions[[#This Row],[Reporting Unit]]," &gt; ",LEN(emissions[[#This Row],[Reporting Unit]])-LEN(SUBSTITUTE(emissions[[#This Row],[Reporting Unit]],"&gt;","")))</f>
        <v>Vantage_Linden</v>
      </c>
      <c r="AR1464" t="str">
        <f>_xlfn.XLOOKUP(emissions[[#This Row],[Reporting unit name]],hierarchy!$A:$A,hierarchy!$C:$C)</f>
        <v>Warehouse</v>
      </c>
    </row>
    <row r="1465" spans="1:44" hidden="1" x14ac:dyDescent="0.25">
      <c r="A1465">
        <v>4983</v>
      </c>
      <c r="B1465" t="s">
        <v>315</v>
      </c>
      <c r="C1465" t="s">
        <v>493</v>
      </c>
      <c r="D1465" t="s">
        <v>599</v>
      </c>
      <c r="E1465" s="3">
        <v>44197</v>
      </c>
      <c r="F1465" s="3">
        <v>44561</v>
      </c>
      <c r="G1465" t="s">
        <v>135</v>
      </c>
      <c r="H1465" s="3">
        <v>44197</v>
      </c>
      <c r="I1465" s="3">
        <v>44561</v>
      </c>
      <c r="J1465" t="s">
        <v>135</v>
      </c>
      <c r="K1465">
        <v>9261500</v>
      </c>
      <c r="L1465" t="s">
        <v>160</v>
      </c>
      <c r="M1465" t="s">
        <v>110</v>
      </c>
      <c r="O1465" t="s">
        <v>600</v>
      </c>
      <c r="P1465" t="s">
        <v>550</v>
      </c>
      <c r="Q1465">
        <v>2021</v>
      </c>
      <c r="R1465" t="s">
        <v>609</v>
      </c>
      <c r="S1465" t="s">
        <v>610</v>
      </c>
      <c r="T1465" t="s">
        <v>577</v>
      </c>
      <c r="U1465" t="b">
        <v>0</v>
      </c>
      <c r="V1465" t="s">
        <v>611</v>
      </c>
      <c r="W1465" t="s">
        <v>571</v>
      </c>
      <c r="X1465" t="s">
        <v>572</v>
      </c>
      <c r="AC1465">
        <v>0</v>
      </c>
      <c r="AD1465" t="s">
        <v>565</v>
      </c>
      <c r="AE1465">
        <v>90722.23302</v>
      </c>
      <c r="AF1465">
        <v>0.34593000000000002</v>
      </c>
      <c r="AG1465" t="s">
        <v>783</v>
      </c>
      <c r="AH1465">
        <v>2.83168E-2</v>
      </c>
      <c r="AI1465">
        <v>262256.04320000001</v>
      </c>
      <c r="AJ1465" t="s">
        <v>561</v>
      </c>
      <c r="AK1465" t="s">
        <v>589</v>
      </c>
      <c r="AL1465" t="s">
        <v>603</v>
      </c>
      <c r="AM1465">
        <v>2021</v>
      </c>
      <c r="AN1465">
        <v>2019</v>
      </c>
      <c r="AO1465">
        <f>IF(AND(emissions[[#This Row],[Market-based]]=0,emissions[[#This Row],[Impact Type]]="CO2E"),emissions[[#This Row],[kgCO2e]],0)/1000</f>
        <v>90.722233020000004</v>
      </c>
      <c r="AP1465">
        <f>IF(AND(emissions[[#This Row],[Market-based]]=1,OR(emissions[[#This Row],[Impact Type]]="CO2E",emissions[[#This Row],[Impact Type]]="CO2E MKT")),emissions[[#This Row],[kgCO2e]],0)/1000</f>
        <v>0</v>
      </c>
      <c r="AQ1465" t="str">
        <f>_xlfn.TEXTAFTER(emissions[[#This Row],[Reporting Unit]]," &gt; ",LEN(emissions[[#This Row],[Reporting Unit]])-LEN(SUBSTITUTE(emissions[[#This Row],[Reporting Unit]],"&gt;","")))</f>
        <v>Vantage_Linden</v>
      </c>
      <c r="AR1465" t="str">
        <f>_xlfn.XLOOKUP(emissions[[#This Row],[Reporting unit name]],hierarchy!$A:$A,hierarchy!$C:$C)</f>
        <v>Warehouse</v>
      </c>
    </row>
    <row r="1466" spans="1:44" hidden="1" x14ac:dyDescent="0.25">
      <c r="A1466">
        <v>4983</v>
      </c>
      <c r="B1466" t="s">
        <v>315</v>
      </c>
      <c r="C1466" t="s">
        <v>493</v>
      </c>
      <c r="D1466" t="s">
        <v>599</v>
      </c>
      <c r="E1466" s="3">
        <v>44197</v>
      </c>
      <c r="F1466" s="3">
        <v>44561</v>
      </c>
      <c r="G1466" t="s">
        <v>135</v>
      </c>
      <c r="H1466" s="3">
        <v>44197</v>
      </c>
      <c r="I1466" s="3">
        <v>44561</v>
      </c>
      <c r="J1466" t="s">
        <v>135</v>
      </c>
      <c r="K1466">
        <v>9261500</v>
      </c>
      <c r="L1466" t="s">
        <v>160</v>
      </c>
      <c r="M1466" t="s">
        <v>110</v>
      </c>
      <c r="O1466" t="s">
        <v>600</v>
      </c>
      <c r="P1466" t="s">
        <v>550</v>
      </c>
      <c r="Q1466">
        <v>2021</v>
      </c>
      <c r="R1466" t="s">
        <v>609</v>
      </c>
      <c r="S1466" t="s">
        <v>610</v>
      </c>
      <c r="T1466" t="s">
        <v>577</v>
      </c>
      <c r="U1466" t="b">
        <v>0</v>
      </c>
      <c r="V1466" t="s">
        <v>611</v>
      </c>
      <c r="W1466" t="s">
        <v>571</v>
      </c>
      <c r="X1466" t="s">
        <v>572</v>
      </c>
      <c r="AC1466">
        <v>1</v>
      </c>
      <c r="AD1466" t="s">
        <v>565</v>
      </c>
      <c r="AE1466">
        <v>90722.23302</v>
      </c>
      <c r="AF1466">
        <v>0.34593000000000002</v>
      </c>
      <c r="AG1466" t="s">
        <v>783</v>
      </c>
      <c r="AH1466">
        <v>2.83168E-2</v>
      </c>
      <c r="AI1466">
        <v>262256.04320000001</v>
      </c>
      <c r="AJ1466" t="s">
        <v>561</v>
      </c>
      <c r="AK1466" t="s">
        <v>589</v>
      </c>
      <c r="AL1466" t="s">
        <v>603</v>
      </c>
      <c r="AM1466">
        <v>2021</v>
      </c>
      <c r="AN1466">
        <v>2019</v>
      </c>
      <c r="AO1466">
        <f>IF(AND(emissions[[#This Row],[Market-based]]=0,emissions[[#This Row],[Impact Type]]="CO2E"),emissions[[#This Row],[kgCO2e]],0)/1000</f>
        <v>0</v>
      </c>
      <c r="AP1466">
        <f>IF(AND(emissions[[#This Row],[Market-based]]=1,OR(emissions[[#This Row],[Impact Type]]="CO2E",emissions[[#This Row],[Impact Type]]="CO2E MKT")),emissions[[#This Row],[kgCO2e]],0)/1000</f>
        <v>90.722233020000004</v>
      </c>
      <c r="AQ1466" t="str">
        <f>_xlfn.TEXTAFTER(emissions[[#This Row],[Reporting Unit]]," &gt; ",LEN(emissions[[#This Row],[Reporting Unit]])-LEN(SUBSTITUTE(emissions[[#This Row],[Reporting Unit]],"&gt;","")))</f>
        <v>Vantage_Linden</v>
      </c>
      <c r="AR1466" t="str">
        <f>_xlfn.XLOOKUP(emissions[[#This Row],[Reporting unit name]],hierarchy!$A:$A,hierarchy!$C:$C)</f>
        <v>Warehouse</v>
      </c>
    </row>
    <row r="1467" spans="1:44" hidden="1" x14ac:dyDescent="0.25">
      <c r="A1467">
        <v>5042</v>
      </c>
      <c r="B1467" t="s">
        <v>315</v>
      </c>
      <c r="C1467" t="s">
        <v>493</v>
      </c>
      <c r="D1467" t="s">
        <v>599</v>
      </c>
      <c r="E1467" s="3">
        <v>44197</v>
      </c>
      <c r="F1467" s="3">
        <v>44561</v>
      </c>
      <c r="G1467" t="s">
        <v>116</v>
      </c>
      <c r="H1467" s="3">
        <v>44197</v>
      </c>
      <c r="I1467" s="3">
        <v>44561</v>
      </c>
      <c r="J1467" t="s">
        <v>128</v>
      </c>
      <c r="K1467">
        <v>14.287000000000001</v>
      </c>
      <c r="L1467" t="s">
        <v>118</v>
      </c>
      <c r="M1467" t="s">
        <v>82</v>
      </c>
      <c r="O1467" t="s">
        <v>618</v>
      </c>
      <c r="P1467" t="s">
        <v>550</v>
      </c>
      <c r="Q1467">
        <v>2021</v>
      </c>
      <c r="R1467" t="s">
        <v>619</v>
      </c>
      <c r="S1467" t="s">
        <v>620</v>
      </c>
      <c r="T1467" t="s">
        <v>553</v>
      </c>
      <c r="U1467" t="b">
        <v>0</v>
      </c>
      <c r="V1467" t="s">
        <v>621</v>
      </c>
      <c r="W1467" t="s">
        <v>587</v>
      </c>
      <c r="X1467" t="s">
        <v>556</v>
      </c>
      <c r="AC1467">
        <v>0</v>
      </c>
      <c r="AD1467" t="s">
        <v>565</v>
      </c>
      <c r="AE1467">
        <v>20430.41</v>
      </c>
      <c r="AF1467">
        <v>1430</v>
      </c>
      <c r="AG1467" t="s">
        <v>622</v>
      </c>
      <c r="AH1467">
        <v>1</v>
      </c>
      <c r="AI1467">
        <v>14.287000000000001</v>
      </c>
      <c r="AJ1467" t="s">
        <v>561</v>
      </c>
      <c r="AK1467" t="s">
        <v>623</v>
      </c>
      <c r="AL1467" t="s">
        <v>624</v>
      </c>
      <c r="AM1467">
        <v>2021</v>
      </c>
      <c r="AN1467">
        <v>2007</v>
      </c>
      <c r="AO1467">
        <f>IF(AND(emissions[[#This Row],[Market-based]]=0,emissions[[#This Row],[Impact Type]]="CO2E"),emissions[[#This Row],[kgCO2e]],0)/1000</f>
        <v>20.430409999999998</v>
      </c>
      <c r="AP1467">
        <f>IF(AND(emissions[[#This Row],[Market-based]]=1,OR(emissions[[#This Row],[Impact Type]]="CO2E",emissions[[#This Row],[Impact Type]]="CO2E MKT")),emissions[[#This Row],[kgCO2e]],0)/1000</f>
        <v>0</v>
      </c>
      <c r="AQ1467" t="str">
        <f>_xlfn.TEXTAFTER(emissions[[#This Row],[Reporting Unit]]," &gt; ",LEN(emissions[[#This Row],[Reporting Unit]])-LEN(SUBSTITUTE(emissions[[#This Row],[Reporting Unit]],"&gt;","")))</f>
        <v>Vantage_Linden</v>
      </c>
      <c r="AR1467" t="str">
        <f>_xlfn.XLOOKUP(emissions[[#This Row],[Reporting unit name]],hierarchy!$A:$A,hierarchy!$C:$C)</f>
        <v>Warehouse</v>
      </c>
    </row>
    <row r="1468" spans="1:44" hidden="1" x14ac:dyDescent="0.25">
      <c r="A1468">
        <v>5042</v>
      </c>
      <c r="B1468" t="s">
        <v>315</v>
      </c>
      <c r="C1468" t="s">
        <v>493</v>
      </c>
      <c r="D1468" t="s">
        <v>599</v>
      </c>
      <c r="E1468" s="3">
        <v>44197</v>
      </c>
      <c r="F1468" s="3">
        <v>44561</v>
      </c>
      <c r="G1468" t="s">
        <v>116</v>
      </c>
      <c r="H1468" s="3">
        <v>44197</v>
      </c>
      <c r="I1468" s="3">
        <v>44561</v>
      </c>
      <c r="J1468" t="s">
        <v>128</v>
      </c>
      <c r="K1468">
        <v>14.287000000000001</v>
      </c>
      <c r="L1468" t="s">
        <v>118</v>
      </c>
      <c r="M1468" t="s">
        <v>82</v>
      </c>
      <c r="O1468" t="s">
        <v>618</v>
      </c>
      <c r="P1468" t="s">
        <v>550</v>
      </c>
      <c r="Q1468">
        <v>2021</v>
      </c>
      <c r="R1468" t="s">
        <v>619</v>
      </c>
      <c r="S1468" t="s">
        <v>620</v>
      </c>
      <c r="T1468" t="s">
        <v>553</v>
      </c>
      <c r="U1468" t="b">
        <v>0</v>
      </c>
      <c r="V1468" t="s">
        <v>621</v>
      </c>
      <c r="W1468" t="s">
        <v>587</v>
      </c>
      <c r="X1468" t="s">
        <v>556</v>
      </c>
      <c r="AC1468">
        <v>1</v>
      </c>
      <c r="AD1468" t="s">
        <v>565</v>
      </c>
      <c r="AE1468">
        <v>20430.41</v>
      </c>
      <c r="AF1468">
        <v>1430</v>
      </c>
      <c r="AG1468" t="s">
        <v>622</v>
      </c>
      <c r="AH1468">
        <v>1</v>
      </c>
      <c r="AI1468">
        <v>14.287000000000001</v>
      </c>
      <c r="AJ1468" t="s">
        <v>561</v>
      </c>
      <c r="AK1468" t="s">
        <v>623</v>
      </c>
      <c r="AL1468" t="s">
        <v>624</v>
      </c>
      <c r="AM1468">
        <v>2021</v>
      </c>
      <c r="AN1468">
        <v>2007</v>
      </c>
      <c r="AO1468">
        <f>IF(AND(emissions[[#This Row],[Market-based]]=0,emissions[[#This Row],[Impact Type]]="CO2E"),emissions[[#This Row],[kgCO2e]],0)/1000</f>
        <v>0</v>
      </c>
      <c r="AP1468">
        <f>IF(AND(emissions[[#This Row],[Market-based]]=1,OR(emissions[[#This Row],[Impact Type]]="CO2E",emissions[[#This Row],[Impact Type]]="CO2E MKT")),emissions[[#This Row],[kgCO2e]],0)/1000</f>
        <v>20.430409999999998</v>
      </c>
      <c r="AQ1468" t="str">
        <f>_xlfn.TEXTAFTER(emissions[[#This Row],[Reporting Unit]]," &gt; ",LEN(emissions[[#This Row],[Reporting Unit]])-LEN(SUBSTITUTE(emissions[[#This Row],[Reporting Unit]],"&gt;","")))</f>
        <v>Vantage_Linden</v>
      </c>
      <c r="AR1468" t="str">
        <f>_xlfn.XLOOKUP(emissions[[#This Row],[Reporting unit name]],hierarchy!$A:$A,hierarchy!$C:$C)</f>
        <v>Warehouse</v>
      </c>
    </row>
    <row r="1469" spans="1:44" hidden="1" x14ac:dyDescent="0.25">
      <c r="A1469">
        <v>1236884</v>
      </c>
      <c r="B1469" t="s">
        <v>315</v>
      </c>
      <c r="C1469" t="s">
        <v>493</v>
      </c>
      <c r="D1469" t="s">
        <v>599</v>
      </c>
      <c r="E1469" s="3">
        <v>44197</v>
      </c>
      <c r="F1469" s="3">
        <v>44561</v>
      </c>
      <c r="G1469" t="s">
        <v>121</v>
      </c>
      <c r="H1469" s="3">
        <v>44197</v>
      </c>
      <c r="I1469" s="3">
        <v>44561</v>
      </c>
      <c r="J1469" t="s">
        <v>150</v>
      </c>
      <c r="K1469">
        <v>5001</v>
      </c>
      <c r="L1469" t="s">
        <v>215</v>
      </c>
      <c r="M1469" t="s">
        <v>110</v>
      </c>
      <c r="O1469" t="s">
        <v>945</v>
      </c>
      <c r="P1469" t="s">
        <v>550</v>
      </c>
      <c r="Q1469">
        <v>2021</v>
      </c>
      <c r="R1469" t="s">
        <v>594</v>
      </c>
      <c r="S1469" t="s">
        <v>150</v>
      </c>
      <c r="T1469" t="s">
        <v>553</v>
      </c>
      <c r="U1469" t="b">
        <v>0</v>
      </c>
      <c r="V1469" t="s">
        <v>595</v>
      </c>
      <c r="W1469" t="s">
        <v>587</v>
      </c>
      <c r="X1469" t="s">
        <v>556</v>
      </c>
      <c r="AC1469">
        <v>0</v>
      </c>
      <c r="AD1469" t="s">
        <v>558</v>
      </c>
      <c r="AE1469">
        <v>5.2400122930000004</v>
      </c>
      <c r="AF1469">
        <v>2.31</v>
      </c>
      <c r="AG1469" t="s">
        <v>756</v>
      </c>
      <c r="AH1469">
        <v>4.5359000000000003E-4</v>
      </c>
      <c r="AI1469">
        <v>2.2684035900000001</v>
      </c>
      <c r="AJ1469" t="s">
        <v>561</v>
      </c>
      <c r="AK1469" t="s">
        <v>589</v>
      </c>
      <c r="AL1469" t="s">
        <v>603</v>
      </c>
      <c r="AM1469">
        <v>2021</v>
      </c>
      <c r="AN1469">
        <v>2019</v>
      </c>
      <c r="AO1469">
        <f>IF(AND(emissions[[#This Row],[Market-based]]=0,emissions[[#This Row],[Impact Type]]="CO2E"),emissions[[#This Row],[kgCO2e]],0)/1000</f>
        <v>0</v>
      </c>
      <c r="AP1469">
        <f>IF(AND(emissions[[#This Row],[Market-based]]=1,OR(emissions[[#This Row],[Impact Type]]="CO2E",emissions[[#This Row],[Impact Type]]="CO2E MKT")),emissions[[#This Row],[kgCO2e]],0)/1000</f>
        <v>0</v>
      </c>
      <c r="AQ1469" t="str">
        <f>_xlfn.TEXTAFTER(emissions[[#This Row],[Reporting Unit]]," &gt; ",LEN(emissions[[#This Row],[Reporting Unit]])-LEN(SUBSTITUTE(emissions[[#This Row],[Reporting Unit]],"&gt;","")))</f>
        <v>Vantage_Linden</v>
      </c>
      <c r="AR1469" t="str">
        <f>_xlfn.XLOOKUP(emissions[[#This Row],[Reporting unit name]],hierarchy!$A:$A,hierarchy!$C:$C)</f>
        <v>Warehouse</v>
      </c>
    </row>
    <row r="1470" spans="1:44" hidden="1" x14ac:dyDescent="0.25">
      <c r="A1470">
        <v>1236884</v>
      </c>
      <c r="B1470" t="s">
        <v>315</v>
      </c>
      <c r="C1470" t="s">
        <v>493</v>
      </c>
      <c r="D1470" t="s">
        <v>599</v>
      </c>
      <c r="E1470" s="3">
        <v>44197</v>
      </c>
      <c r="F1470" s="3">
        <v>44561</v>
      </c>
      <c r="G1470" t="s">
        <v>121</v>
      </c>
      <c r="H1470" s="3">
        <v>44197</v>
      </c>
      <c r="I1470" s="3">
        <v>44561</v>
      </c>
      <c r="J1470" t="s">
        <v>150</v>
      </c>
      <c r="K1470">
        <v>5001</v>
      </c>
      <c r="L1470" t="s">
        <v>215</v>
      </c>
      <c r="M1470" t="s">
        <v>110</v>
      </c>
      <c r="O1470" t="s">
        <v>945</v>
      </c>
      <c r="P1470" t="s">
        <v>550</v>
      </c>
      <c r="Q1470">
        <v>2021</v>
      </c>
      <c r="R1470" t="s">
        <v>594</v>
      </c>
      <c r="S1470" t="s">
        <v>150</v>
      </c>
      <c r="T1470" t="s">
        <v>553</v>
      </c>
      <c r="U1470" t="b">
        <v>0</v>
      </c>
      <c r="V1470" t="s">
        <v>595</v>
      </c>
      <c r="W1470" t="s">
        <v>587</v>
      </c>
      <c r="X1470" t="s">
        <v>556</v>
      </c>
      <c r="AC1470">
        <v>0</v>
      </c>
      <c r="AD1470" t="s">
        <v>564</v>
      </c>
      <c r="AE1470">
        <v>6790.2393060000004</v>
      </c>
      <c r="AF1470">
        <v>2993.4</v>
      </c>
      <c r="AG1470" t="s">
        <v>756</v>
      </c>
      <c r="AH1470">
        <v>4.5359000000000003E-4</v>
      </c>
      <c r="AI1470">
        <v>2.2684035900000001</v>
      </c>
      <c r="AJ1470" t="s">
        <v>561</v>
      </c>
      <c r="AK1470" t="s">
        <v>589</v>
      </c>
      <c r="AL1470" t="s">
        <v>603</v>
      </c>
      <c r="AM1470">
        <v>2021</v>
      </c>
      <c r="AN1470">
        <v>2019</v>
      </c>
      <c r="AO1470">
        <f>IF(AND(emissions[[#This Row],[Market-based]]=0,emissions[[#This Row],[Impact Type]]="CO2E"),emissions[[#This Row],[kgCO2e]],0)/1000</f>
        <v>0</v>
      </c>
      <c r="AP1470">
        <f>IF(AND(emissions[[#This Row],[Market-based]]=1,OR(emissions[[#This Row],[Impact Type]]="CO2E",emissions[[#This Row],[Impact Type]]="CO2E MKT")),emissions[[#This Row],[kgCO2e]],0)/1000</f>
        <v>0</v>
      </c>
      <c r="AQ1470" t="str">
        <f>_xlfn.TEXTAFTER(emissions[[#This Row],[Reporting Unit]]," &gt; ",LEN(emissions[[#This Row],[Reporting Unit]])-LEN(SUBSTITUTE(emissions[[#This Row],[Reporting Unit]],"&gt;","")))</f>
        <v>Vantage_Linden</v>
      </c>
      <c r="AR1470" t="str">
        <f>_xlfn.XLOOKUP(emissions[[#This Row],[Reporting unit name]],hierarchy!$A:$A,hierarchy!$C:$C)</f>
        <v>Warehouse</v>
      </c>
    </row>
    <row r="1471" spans="1:44" hidden="1" x14ac:dyDescent="0.25">
      <c r="A1471">
        <v>1236884</v>
      </c>
      <c r="B1471" t="s">
        <v>315</v>
      </c>
      <c r="C1471" t="s">
        <v>493</v>
      </c>
      <c r="D1471" t="s">
        <v>599</v>
      </c>
      <c r="E1471" s="3">
        <v>44197</v>
      </c>
      <c r="F1471" s="3">
        <v>44561</v>
      </c>
      <c r="G1471" t="s">
        <v>121</v>
      </c>
      <c r="H1471" s="3">
        <v>44197</v>
      </c>
      <c r="I1471" s="3">
        <v>44561</v>
      </c>
      <c r="J1471" t="s">
        <v>150</v>
      </c>
      <c r="K1471">
        <v>5001</v>
      </c>
      <c r="L1471" t="s">
        <v>215</v>
      </c>
      <c r="M1471" t="s">
        <v>110</v>
      </c>
      <c r="O1471" t="s">
        <v>945</v>
      </c>
      <c r="P1471" t="s">
        <v>550</v>
      </c>
      <c r="Q1471">
        <v>2021</v>
      </c>
      <c r="R1471" t="s">
        <v>594</v>
      </c>
      <c r="S1471" t="s">
        <v>150</v>
      </c>
      <c r="T1471" t="s">
        <v>553</v>
      </c>
      <c r="U1471" t="b">
        <v>0</v>
      </c>
      <c r="V1471" t="s">
        <v>595</v>
      </c>
      <c r="W1471" t="s">
        <v>587</v>
      </c>
      <c r="X1471" t="s">
        <v>556</v>
      </c>
      <c r="AC1471">
        <v>0</v>
      </c>
      <c r="AD1471" t="s">
        <v>565</v>
      </c>
      <c r="AE1471">
        <v>6799.6758650000002</v>
      </c>
      <c r="AF1471">
        <v>2997.56</v>
      </c>
      <c r="AG1471" t="s">
        <v>756</v>
      </c>
      <c r="AH1471">
        <v>4.5359000000000003E-4</v>
      </c>
      <c r="AI1471">
        <v>2.2684035900000001</v>
      </c>
      <c r="AJ1471" t="s">
        <v>561</v>
      </c>
      <c r="AK1471" t="s">
        <v>589</v>
      </c>
      <c r="AL1471" t="s">
        <v>603</v>
      </c>
      <c r="AM1471">
        <v>2021</v>
      </c>
      <c r="AN1471">
        <v>2019</v>
      </c>
      <c r="AO1471">
        <f>IF(AND(emissions[[#This Row],[Market-based]]=0,emissions[[#This Row],[Impact Type]]="CO2E"),emissions[[#This Row],[kgCO2e]],0)/1000</f>
        <v>6.7996758650000002</v>
      </c>
      <c r="AP1471">
        <f>IF(AND(emissions[[#This Row],[Market-based]]=1,OR(emissions[[#This Row],[Impact Type]]="CO2E",emissions[[#This Row],[Impact Type]]="CO2E MKT")),emissions[[#This Row],[kgCO2e]],0)/1000</f>
        <v>0</v>
      </c>
      <c r="AQ1471" t="str">
        <f>_xlfn.TEXTAFTER(emissions[[#This Row],[Reporting Unit]]," &gt; ",LEN(emissions[[#This Row],[Reporting Unit]])-LEN(SUBSTITUTE(emissions[[#This Row],[Reporting Unit]],"&gt;","")))</f>
        <v>Vantage_Linden</v>
      </c>
      <c r="AR1471" t="str">
        <f>_xlfn.XLOOKUP(emissions[[#This Row],[Reporting unit name]],hierarchy!$A:$A,hierarchy!$C:$C)</f>
        <v>Warehouse</v>
      </c>
    </row>
    <row r="1472" spans="1:44" hidden="1" x14ac:dyDescent="0.25">
      <c r="A1472">
        <v>1236884</v>
      </c>
      <c r="B1472" t="s">
        <v>315</v>
      </c>
      <c r="C1472" t="s">
        <v>493</v>
      </c>
      <c r="D1472" t="s">
        <v>599</v>
      </c>
      <c r="E1472" s="3">
        <v>44197</v>
      </c>
      <c r="F1472" s="3">
        <v>44561</v>
      </c>
      <c r="G1472" t="s">
        <v>121</v>
      </c>
      <c r="H1472" s="3">
        <v>44197</v>
      </c>
      <c r="I1472" s="3">
        <v>44561</v>
      </c>
      <c r="J1472" t="s">
        <v>150</v>
      </c>
      <c r="K1472">
        <v>5001</v>
      </c>
      <c r="L1472" t="s">
        <v>215</v>
      </c>
      <c r="M1472" t="s">
        <v>110</v>
      </c>
      <c r="O1472" t="s">
        <v>945</v>
      </c>
      <c r="P1472" t="s">
        <v>550</v>
      </c>
      <c r="Q1472">
        <v>2021</v>
      </c>
      <c r="R1472" t="s">
        <v>594</v>
      </c>
      <c r="S1472" t="s">
        <v>150</v>
      </c>
      <c r="T1472" t="s">
        <v>553</v>
      </c>
      <c r="U1472" t="b">
        <v>0</v>
      </c>
      <c r="V1472" t="s">
        <v>595</v>
      </c>
      <c r="W1472" t="s">
        <v>587</v>
      </c>
      <c r="X1472" t="s">
        <v>556</v>
      </c>
      <c r="AC1472">
        <v>0</v>
      </c>
      <c r="AD1472" t="s">
        <v>566</v>
      </c>
      <c r="AE1472">
        <v>4.1965466420000004</v>
      </c>
      <c r="AF1472">
        <v>1.85</v>
      </c>
      <c r="AG1472" t="s">
        <v>756</v>
      </c>
      <c r="AH1472">
        <v>4.5359000000000003E-4</v>
      </c>
      <c r="AI1472">
        <v>2.2684035900000001</v>
      </c>
      <c r="AJ1472" t="s">
        <v>561</v>
      </c>
      <c r="AK1472" t="s">
        <v>589</v>
      </c>
      <c r="AL1472" t="s">
        <v>603</v>
      </c>
      <c r="AM1472">
        <v>2021</v>
      </c>
      <c r="AN1472">
        <v>2019</v>
      </c>
      <c r="AO1472">
        <f>IF(AND(emissions[[#This Row],[Market-based]]=0,emissions[[#This Row],[Impact Type]]="CO2E"),emissions[[#This Row],[kgCO2e]],0)/1000</f>
        <v>0</v>
      </c>
      <c r="AP1472">
        <f>IF(AND(emissions[[#This Row],[Market-based]]=1,OR(emissions[[#This Row],[Impact Type]]="CO2E",emissions[[#This Row],[Impact Type]]="CO2E MKT")),emissions[[#This Row],[kgCO2e]],0)/1000</f>
        <v>0</v>
      </c>
      <c r="AQ1472" t="str">
        <f>_xlfn.TEXTAFTER(emissions[[#This Row],[Reporting Unit]]," &gt; ",LEN(emissions[[#This Row],[Reporting Unit]])-LEN(SUBSTITUTE(emissions[[#This Row],[Reporting Unit]],"&gt;","")))</f>
        <v>Vantage_Linden</v>
      </c>
      <c r="AR1472" t="str">
        <f>_xlfn.XLOOKUP(emissions[[#This Row],[Reporting unit name]],hierarchy!$A:$A,hierarchy!$C:$C)</f>
        <v>Warehouse</v>
      </c>
    </row>
    <row r="1473" spans="1:44" hidden="1" x14ac:dyDescent="0.25">
      <c r="A1473">
        <v>1236884</v>
      </c>
      <c r="B1473" t="s">
        <v>315</v>
      </c>
      <c r="C1473" t="s">
        <v>493</v>
      </c>
      <c r="D1473" t="s">
        <v>599</v>
      </c>
      <c r="E1473" s="3">
        <v>44197</v>
      </c>
      <c r="F1473" s="3">
        <v>44561</v>
      </c>
      <c r="G1473" t="s">
        <v>121</v>
      </c>
      <c r="H1473" s="3">
        <v>44197</v>
      </c>
      <c r="I1473" s="3">
        <v>44561</v>
      </c>
      <c r="J1473" t="s">
        <v>150</v>
      </c>
      <c r="K1473">
        <v>5001</v>
      </c>
      <c r="L1473" t="s">
        <v>215</v>
      </c>
      <c r="M1473" t="s">
        <v>110</v>
      </c>
      <c r="O1473" t="s">
        <v>945</v>
      </c>
      <c r="P1473" t="s">
        <v>550</v>
      </c>
      <c r="Q1473">
        <v>2021</v>
      </c>
      <c r="R1473" t="s">
        <v>594</v>
      </c>
      <c r="S1473" t="s">
        <v>150</v>
      </c>
      <c r="T1473" t="s">
        <v>553</v>
      </c>
      <c r="U1473" t="b">
        <v>0</v>
      </c>
      <c r="V1473" t="s">
        <v>595</v>
      </c>
      <c r="W1473" t="s">
        <v>587</v>
      </c>
      <c r="X1473" t="s">
        <v>556</v>
      </c>
      <c r="AC1473">
        <v>1</v>
      </c>
      <c r="AD1473" t="s">
        <v>558</v>
      </c>
      <c r="AE1473">
        <v>5.2400122930000004</v>
      </c>
      <c r="AF1473">
        <v>2.31</v>
      </c>
      <c r="AG1473" t="s">
        <v>756</v>
      </c>
      <c r="AH1473">
        <v>4.5359000000000003E-4</v>
      </c>
      <c r="AI1473">
        <v>2.2684035900000001</v>
      </c>
      <c r="AJ1473" t="s">
        <v>561</v>
      </c>
      <c r="AK1473" t="s">
        <v>589</v>
      </c>
      <c r="AL1473" t="s">
        <v>603</v>
      </c>
      <c r="AM1473">
        <v>2021</v>
      </c>
      <c r="AN1473">
        <v>2019</v>
      </c>
      <c r="AO1473">
        <f>IF(AND(emissions[[#This Row],[Market-based]]=0,emissions[[#This Row],[Impact Type]]="CO2E"),emissions[[#This Row],[kgCO2e]],0)/1000</f>
        <v>0</v>
      </c>
      <c r="AP1473">
        <f>IF(AND(emissions[[#This Row],[Market-based]]=1,OR(emissions[[#This Row],[Impact Type]]="CO2E",emissions[[#This Row],[Impact Type]]="CO2E MKT")),emissions[[#This Row],[kgCO2e]],0)/1000</f>
        <v>0</v>
      </c>
      <c r="AQ1473" t="str">
        <f>_xlfn.TEXTAFTER(emissions[[#This Row],[Reporting Unit]]," &gt; ",LEN(emissions[[#This Row],[Reporting Unit]])-LEN(SUBSTITUTE(emissions[[#This Row],[Reporting Unit]],"&gt;","")))</f>
        <v>Vantage_Linden</v>
      </c>
      <c r="AR1473" t="str">
        <f>_xlfn.XLOOKUP(emissions[[#This Row],[Reporting unit name]],hierarchy!$A:$A,hierarchy!$C:$C)</f>
        <v>Warehouse</v>
      </c>
    </row>
    <row r="1474" spans="1:44" hidden="1" x14ac:dyDescent="0.25">
      <c r="A1474">
        <v>1236884</v>
      </c>
      <c r="B1474" t="s">
        <v>315</v>
      </c>
      <c r="C1474" t="s">
        <v>493</v>
      </c>
      <c r="D1474" t="s">
        <v>599</v>
      </c>
      <c r="E1474" s="3">
        <v>44197</v>
      </c>
      <c r="F1474" s="3">
        <v>44561</v>
      </c>
      <c r="G1474" t="s">
        <v>121</v>
      </c>
      <c r="H1474" s="3">
        <v>44197</v>
      </c>
      <c r="I1474" s="3">
        <v>44561</v>
      </c>
      <c r="J1474" t="s">
        <v>150</v>
      </c>
      <c r="K1474">
        <v>5001</v>
      </c>
      <c r="L1474" t="s">
        <v>215</v>
      </c>
      <c r="M1474" t="s">
        <v>110</v>
      </c>
      <c r="O1474" t="s">
        <v>945</v>
      </c>
      <c r="P1474" t="s">
        <v>550</v>
      </c>
      <c r="Q1474">
        <v>2021</v>
      </c>
      <c r="R1474" t="s">
        <v>594</v>
      </c>
      <c r="S1474" t="s">
        <v>150</v>
      </c>
      <c r="T1474" t="s">
        <v>553</v>
      </c>
      <c r="U1474" t="b">
        <v>0</v>
      </c>
      <c r="V1474" t="s">
        <v>595</v>
      </c>
      <c r="W1474" t="s">
        <v>587</v>
      </c>
      <c r="X1474" t="s">
        <v>556</v>
      </c>
      <c r="AC1474">
        <v>1</v>
      </c>
      <c r="AD1474" t="s">
        <v>564</v>
      </c>
      <c r="AE1474">
        <v>6790.2393060000004</v>
      </c>
      <c r="AF1474">
        <v>2993.4</v>
      </c>
      <c r="AG1474" t="s">
        <v>756</v>
      </c>
      <c r="AH1474">
        <v>4.5359000000000003E-4</v>
      </c>
      <c r="AI1474">
        <v>2.2684035900000001</v>
      </c>
      <c r="AJ1474" t="s">
        <v>561</v>
      </c>
      <c r="AK1474" t="s">
        <v>589</v>
      </c>
      <c r="AL1474" t="s">
        <v>603</v>
      </c>
      <c r="AM1474">
        <v>2021</v>
      </c>
      <c r="AN1474">
        <v>2019</v>
      </c>
      <c r="AO1474">
        <f>IF(AND(emissions[[#This Row],[Market-based]]=0,emissions[[#This Row],[Impact Type]]="CO2E"),emissions[[#This Row],[kgCO2e]],0)/1000</f>
        <v>0</v>
      </c>
      <c r="AP1474">
        <f>IF(AND(emissions[[#This Row],[Market-based]]=1,OR(emissions[[#This Row],[Impact Type]]="CO2E",emissions[[#This Row],[Impact Type]]="CO2E MKT")),emissions[[#This Row],[kgCO2e]],0)/1000</f>
        <v>0</v>
      </c>
      <c r="AQ1474" t="str">
        <f>_xlfn.TEXTAFTER(emissions[[#This Row],[Reporting Unit]]," &gt; ",LEN(emissions[[#This Row],[Reporting Unit]])-LEN(SUBSTITUTE(emissions[[#This Row],[Reporting Unit]],"&gt;","")))</f>
        <v>Vantage_Linden</v>
      </c>
      <c r="AR1474" t="str">
        <f>_xlfn.XLOOKUP(emissions[[#This Row],[Reporting unit name]],hierarchy!$A:$A,hierarchy!$C:$C)</f>
        <v>Warehouse</v>
      </c>
    </row>
    <row r="1475" spans="1:44" hidden="1" x14ac:dyDescent="0.25">
      <c r="A1475">
        <v>1236884</v>
      </c>
      <c r="B1475" t="s">
        <v>315</v>
      </c>
      <c r="C1475" t="s">
        <v>493</v>
      </c>
      <c r="D1475" t="s">
        <v>599</v>
      </c>
      <c r="E1475" s="3">
        <v>44197</v>
      </c>
      <c r="F1475" s="3">
        <v>44561</v>
      </c>
      <c r="G1475" t="s">
        <v>121</v>
      </c>
      <c r="H1475" s="3">
        <v>44197</v>
      </c>
      <c r="I1475" s="3">
        <v>44561</v>
      </c>
      <c r="J1475" t="s">
        <v>150</v>
      </c>
      <c r="K1475">
        <v>5001</v>
      </c>
      <c r="L1475" t="s">
        <v>215</v>
      </c>
      <c r="M1475" t="s">
        <v>110</v>
      </c>
      <c r="O1475" t="s">
        <v>945</v>
      </c>
      <c r="P1475" t="s">
        <v>550</v>
      </c>
      <c r="Q1475">
        <v>2021</v>
      </c>
      <c r="R1475" t="s">
        <v>594</v>
      </c>
      <c r="S1475" t="s">
        <v>150</v>
      </c>
      <c r="T1475" t="s">
        <v>553</v>
      </c>
      <c r="U1475" t="b">
        <v>0</v>
      </c>
      <c r="V1475" t="s">
        <v>595</v>
      </c>
      <c r="W1475" t="s">
        <v>587</v>
      </c>
      <c r="X1475" t="s">
        <v>556</v>
      </c>
      <c r="AC1475">
        <v>1</v>
      </c>
      <c r="AD1475" t="s">
        <v>565</v>
      </c>
      <c r="AE1475">
        <v>6799.6758650000002</v>
      </c>
      <c r="AF1475">
        <v>2997.56</v>
      </c>
      <c r="AG1475" t="s">
        <v>756</v>
      </c>
      <c r="AH1475">
        <v>4.5359000000000003E-4</v>
      </c>
      <c r="AI1475">
        <v>2.2684035900000001</v>
      </c>
      <c r="AJ1475" t="s">
        <v>561</v>
      </c>
      <c r="AK1475" t="s">
        <v>589</v>
      </c>
      <c r="AL1475" t="s">
        <v>603</v>
      </c>
      <c r="AM1475">
        <v>2021</v>
      </c>
      <c r="AN1475">
        <v>2019</v>
      </c>
      <c r="AO1475">
        <f>IF(AND(emissions[[#This Row],[Market-based]]=0,emissions[[#This Row],[Impact Type]]="CO2E"),emissions[[#This Row],[kgCO2e]],0)/1000</f>
        <v>0</v>
      </c>
      <c r="AP1475">
        <f>IF(AND(emissions[[#This Row],[Market-based]]=1,OR(emissions[[#This Row],[Impact Type]]="CO2E",emissions[[#This Row],[Impact Type]]="CO2E MKT")),emissions[[#This Row],[kgCO2e]],0)/1000</f>
        <v>6.7996758650000002</v>
      </c>
      <c r="AQ1475" t="str">
        <f>_xlfn.TEXTAFTER(emissions[[#This Row],[Reporting Unit]]," &gt; ",LEN(emissions[[#This Row],[Reporting Unit]])-LEN(SUBSTITUTE(emissions[[#This Row],[Reporting Unit]],"&gt;","")))</f>
        <v>Vantage_Linden</v>
      </c>
      <c r="AR1475" t="str">
        <f>_xlfn.XLOOKUP(emissions[[#This Row],[Reporting unit name]],hierarchy!$A:$A,hierarchy!$C:$C)</f>
        <v>Warehouse</v>
      </c>
    </row>
    <row r="1476" spans="1:44" hidden="1" x14ac:dyDescent="0.25">
      <c r="A1476">
        <v>1236884</v>
      </c>
      <c r="B1476" t="s">
        <v>315</v>
      </c>
      <c r="C1476" t="s">
        <v>493</v>
      </c>
      <c r="D1476" t="s">
        <v>599</v>
      </c>
      <c r="E1476" s="3">
        <v>44197</v>
      </c>
      <c r="F1476" s="3">
        <v>44561</v>
      </c>
      <c r="G1476" t="s">
        <v>121</v>
      </c>
      <c r="H1476" s="3">
        <v>44197</v>
      </c>
      <c r="I1476" s="3">
        <v>44561</v>
      </c>
      <c r="J1476" t="s">
        <v>150</v>
      </c>
      <c r="K1476">
        <v>5001</v>
      </c>
      <c r="L1476" t="s">
        <v>215</v>
      </c>
      <c r="M1476" t="s">
        <v>110</v>
      </c>
      <c r="O1476" t="s">
        <v>945</v>
      </c>
      <c r="P1476" t="s">
        <v>550</v>
      </c>
      <c r="Q1476">
        <v>2021</v>
      </c>
      <c r="R1476" t="s">
        <v>594</v>
      </c>
      <c r="S1476" t="s">
        <v>150</v>
      </c>
      <c r="T1476" t="s">
        <v>553</v>
      </c>
      <c r="U1476" t="b">
        <v>0</v>
      </c>
      <c r="V1476" t="s">
        <v>595</v>
      </c>
      <c r="W1476" t="s">
        <v>587</v>
      </c>
      <c r="X1476" t="s">
        <v>556</v>
      </c>
      <c r="AC1476">
        <v>1</v>
      </c>
      <c r="AD1476" t="s">
        <v>566</v>
      </c>
      <c r="AE1476">
        <v>4.1965466420000004</v>
      </c>
      <c r="AF1476">
        <v>1.85</v>
      </c>
      <c r="AG1476" t="s">
        <v>756</v>
      </c>
      <c r="AH1476">
        <v>4.5359000000000003E-4</v>
      </c>
      <c r="AI1476">
        <v>2.2684035900000001</v>
      </c>
      <c r="AJ1476" t="s">
        <v>561</v>
      </c>
      <c r="AK1476" t="s">
        <v>589</v>
      </c>
      <c r="AL1476" t="s">
        <v>603</v>
      </c>
      <c r="AM1476">
        <v>2021</v>
      </c>
      <c r="AN1476">
        <v>2019</v>
      </c>
      <c r="AO1476">
        <f>IF(AND(emissions[[#This Row],[Market-based]]=0,emissions[[#This Row],[Impact Type]]="CO2E"),emissions[[#This Row],[kgCO2e]],0)/1000</f>
        <v>0</v>
      </c>
      <c r="AP1476">
        <f>IF(AND(emissions[[#This Row],[Market-based]]=1,OR(emissions[[#This Row],[Impact Type]]="CO2E",emissions[[#This Row],[Impact Type]]="CO2E MKT")),emissions[[#This Row],[kgCO2e]],0)/1000</f>
        <v>0</v>
      </c>
      <c r="AQ1476" t="str">
        <f>_xlfn.TEXTAFTER(emissions[[#This Row],[Reporting Unit]]," &gt; ",LEN(emissions[[#This Row],[Reporting Unit]])-LEN(SUBSTITUTE(emissions[[#This Row],[Reporting Unit]],"&gt;","")))</f>
        <v>Vantage_Linden</v>
      </c>
      <c r="AR1476" t="str">
        <f>_xlfn.XLOOKUP(emissions[[#This Row],[Reporting unit name]],hierarchy!$A:$A,hierarchy!$C:$C)</f>
        <v>Warehouse</v>
      </c>
    </row>
    <row r="1477" spans="1:44" hidden="1" x14ac:dyDescent="0.25">
      <c r="A1477">
        <v>1236884</v>
      </c>
      <c r="B1477" t="s">
        <v>315</v>
      </c>
      <c r="C1477" t="s">
        <v>493</v>
      </c>
      <c r="D1477" t="s">
        <v>599</v>
      </c>
      <c r="E1477" s="3">
        <v>44197</v>
      </c>
      <c r="F1477" s="3">
        <v>44561</v>
      </c>
      <c r="G1477" t="s">
        <v>121</v>
      </c>
      <c r="H1477" s="3">
        <v>44197</v>
      </c>
      <c r="I1477" s="3">
        <v>44561</v>
      </c>
      <c r="J1477" t="s">
        <v>150</v>
      </c>
      <c r="K1477">
        <v>5001</v>
      </c>
      <c r="L1477" t="s">
        <v>215</v>
      </c>
      <c r="M1477" t="s">
        <v>110</v>
      </c>
      <c r="O1477" t="s">
        <v>945</v>
      </c>
      <c r="P1477" t="s">
        <v>550</v>
      </c>
      <c r="Q1477">
        <v>2021</v>
      </c>
      <c r="R1477" t="s">
        <v>596</v>
      </c>
      <c r="S1477" t="s">
        <v>597</v>
      </c>
      <c r="T1477" t="s">
        <v>577</v>
      </c>
      <c r="U1477" t="b">
        <v>0</v>
      </c>
      <c r="V1477" t="s">
        <v>795</v>
      </c>
      <c r="W1477" t="s">
        <v>571</v>
      </c>
      <c r="X1477" t="s">
        <v>572</v>
      </c>
      <c r="AC1477">
        <v>0</v>
      </c>
      <c r="AD1477" t="s">
        <v>565</v>
      </c>
      <c r="AE1477">
        <v>794.97469579999995</v>
      </c>
      <c r="AF1477">
        <v>350.45558</v>
      </c>
      <c r="AG1477" t="s">
        <v>756</v>
      </c>
      <c r="AH1477">
        <v>4.5359000000000003E-4</v>
      </c>
      <c r="AI1477">
        <v>2.2684035900000001</v>
      </c>
      <c r="AJ1477" t="s">
        <v>561</v>
      </c>
      <c r="AK1477" t="s">
        <v>589</v>
      </c>
      <c r="AL1477" t="s">
        <v>603</v>
      </c>
      <c r="AM1477">
        <v>2021</v>
      </c>
      <c r="AN1477">
        <v>2019</v>
      </c>
      <c r="AO1477">
        <f>IF(AND(emissions[[#This Row],[Market-based]]=0,emissions[[#This Row],[Impact Type]]="CO2E"),emissions[[#This Row],[kgCO2e]],0)/1000</f>
        <v>0.79497469579999991</v>
      </c>
      <c r="AP1477">
        <f>IF(AND(emissions[[#This Row],[Market-based]]=1,OR(emissions[[#This Row],[Impact Type]]="CO2E",emissions[[#This Row],[Impact Type]]="CO2E MKT")),emissions[[#This Row],[kgCO2e]],0)/1000</f>
        <v>0</v>
      </c>
      <c r="AQ1477" t="str">
        <f>_xlfn.TEXTAFTER(emissions[[#This Row],[Reporting Unit]]," &gt; ",LEN(emissions[[#This Row],[Reporting Unit]])-LEN(SUBSTITUTE(emissions[[#This Row],[Reporting Unit]],"&gt;","")))</f>
        <v>Vantage_Linden</v>
      </c>
      <c r="AR1477" t="str">
        <f>_xlfn.XLOOKUP(emissions[[#This Row],[Reporting unit name]],hierarchy!$A:$A,hierarchy!$C:$C)</f>
        <v>Warehouse</v>
      </c>
    </row>
    <row r="1478" spans="1:44" hidden="1" x14ac:dyDescent="0.25">
      <c r="A1478">
        <v>1236884</v>
      </c>
      <c r="B1478" t="s">
        <v>315</v>
      </c>
      <c r="C1478" t="s">
        <v>493</v>
      </c>
      <c r="D1478" t="s">
        <v>599</v>
      </c>
      <c r="E1478" s="3">
        <v>44197</v>
      </c>
      <c r="F1478" s="3">
        <v>44561</v>
      </c>
      <c r="G1478" t="s">
        <v>121</v>
      </c>
      <c r="H1478" s="3">
        <v>44197</v>
      </c>
      <c r="I1478" s="3">
        <v>44561</v>
      </c>
      <c r="J1478" t="s">
        <v>150</v>
      </c>
      <c r="K1478">
        <v>5001</v>
      </c>
      <c r="L1478" t="s">
        <v>215</v>
      </c>
      <c r="M1478" t="s">
        <v>110</v>
      </c>
      <c r="O1478" t="s">
        <v>945</v>
      </c>
      <c r="P1478" t="s">
        <v>550</v>
      </c>
      <c r="Q1478">
        <v>2021</v>
      </c>
      <c r="R1478" t="s">
        <v>596</v>
      </c>
      <c r="S1478" t="s">
        <v>597</v>
      </c>
      <c r="T1478" t="s">
        <v>577</v>
      </c>
      <c r="U1478" t="b">
        <v>0</v>
      </c>
      <c r="V1478" t="s">
        <v>795</v>
      </c>
      <c r="W1478" t="s">
        <v>571</v>
      </c>
      <c r="X1478" t="s">
        <v>572</v>
      </c>
      <c r="AC1478">
        <v>1</v>
      </c>
      <c r="AD1478" t="s">
        <v>565</v>
      </c>
      <c r="AE1478">
        <v>794.97469579999995</v>
      </c>
      <c r="AF1478">
        <v>350.45558</v>
      </c>
      <c r="AG1478" t="s">
        <v>756</v>
      </c>
      <c r="AH1478">
        <v>4.5359000000000003E-4</v>
      </c>
      <c r="AI1478">
        <v>2.2684035900000001</v>
      </c>
      <c r="AJ1478" t="s">
        <v>561</v>
      </c>
      <c r="AK1478" t="s">
        <v>589</v>
      </c>
      <c r="AL1478" t="s">
        <v>603</v>
      </c>
      <c r="AM1478">
        <v>2021</v>
      </c>
      <c r="AN1478">
        <v>2019</v>
      </c>
      <c r="AO1478">
        <f>IF(AND(emissions[[#This Row],[Market-based]]=0,emissions[[#This Row],[Impact Type]]="CO2E"),emissions[[#This Row],[kgCO2e]],0)/1000</f>
        <v>0</v>
      </c>
      <c r="AP1478">
        <f>IF(AND(emissions[[#This Row],[Market-based]]=1,OR(emissions[[#This Row],[Impact Type]]="CO2E",emissions[[#This Row],[Impact Type]]="CO2E MKT")),emissions[[#This Row],[kgCO2e]],0)/1000</f>
        <v>0.79497469579999991</v>
      </c>
      <c r="AQ1478" t="str">
        <f>_xlfn.TEXTAFTER(emissions[[#This Row],[Reporting Unit]]," &gt; ",LEN(emissions[[#This Row],[Reporting Unit]])-LEN(SUBSTITUTE(emissions[[#This Row],[Reporting Unit]],"&gt;","")))</f>
        <v>Vantage_Linden</v>
      </c>
      <c r="AR1478" t="str">
        <f>_xlfn.XLOOKUP(emissions[[#This Row],[Reporting unit name]],hierarchy!$A:$A,hierarchy!$C:$C)</f>
        <v>Warehouse</v>
      </c>
    </row>
    <row r="1479" spans="1:44" hidden="1" x14ac:dyDescent="0.25">
      <c r="A1479">
        <v>20122</v>
      </c>
      <c r="B1479" t="s">
        <v>308</v>
      </c>
      <c r="C1479" t="s">
        <v>501</v>
      </c>
      <c r="D1479" t="s">
        <v>548</v>
      </c>
      <c r="E1479" s="3">
        <v>44562</v>
      </c>
      <c r="F1479" s="3">
        <v>44926</v>
      </c>
      <c r="G1479" t="s">
        <v>108</v>
      </c>
      <c r="H1479" s="3">
        <v>44562</v>
      </c>
      <c r="I1479" s="3">
        <v>44926</v>
      </c>
      <c r="J1479" t="s">
        <v>108</v>
      </c>
      <c r="K1479">
        <v>125011</v>
      </c>
      <c r="L1479" t="s">
        <v>109</v>
      </c>
      <c r="M1479" t="s">
        <v>110</v>
      </c>
      <c r="O1479" t="s">
        <v>946</v>
      </c>
      <c r="P1479" t="s">
        <v>550</v>
      </c>
      <c r="Q1479">
        <v>2022</v>
      </c>
      <c r="R1479" t="s">
        <v>551</v>
      </c>
      <c r="S1479" t="s">
        <v>552</v>
      </c>
      <c r="T1479" t="s">
        <v>553</v>
      </c>
      <c r="U1479" t="b">
        <v>0</v>
      </c>
      <c r="V1479" t="s">
        <v>763</v>
      </c>
      <c r="W1479" t="s">
        <v>555</v>
      </c>
      <c r="X1479" t="s">
        <v>556</v>
      </c>
      <c r="Y1479" t="s">
        <v>472</v>
      </c>
      <c r="Z1479" t="s">
        <v>485</v>
      </c>
      <c r="AA1479" t="s">
        <v>764</v>
      </c>
      <c r="AB1479" t="s">
        <v>765</v>
      </c>
      <c r="AC1479">
        <v>0</v>
      </c>
      <c r="AD1479" t="s">
        <v>558</v>
      </c>
      <c r="AE1479">
        <v>121.9136769</v>
      </c>
      <c r="AF1479">
        <v>9.7522400000000001E-4</v>
      </c>
      <c r="AG1479" t="s">
        <v>560</v>
      </c>
      <c r="AH1479">
        <v>1</v>
      </c>
      <c r="AI1479">
        <v>125011</v>
      </c>
      <c r="AJ1479" t="s">
        <v>561</v>
      </c>
      <c r="AK1479" t="s">
        <v>766</v>
      </c>
      <c r="AL1479" t="s">
        <v>767</v>
      </c>
      <c r="AM1479">
        <v>2022</v>
      </c>
      <c r="AN1479">
        <v>2020</v>
      </c>
      <c r="AO1479">
        <f>IF(AND(emissions[[#This Row],[Market-based]]=0,emissions[[#This Row],[Impact Type]]="CO2E"),emissions[[#This Row],[kgCO2e]],0)/1000</f>
        <v>0</v>
      </c>
      <c r="AP1479">
        <f>IF(AND(emissions[[#This Row],[Market-based]]=1,OR(emissions[[#This Row],[Impact Type]]="CO2E",emissions[[#This Row],[Impact Type]]="CO2E MKT")),emissions[[#This Row],[kgCO2e]],0)/1000</f>
        <v>0</v>
      </c>
      <c r="AQ1479" t="str">
        <f>_xlfn.TEXTAFTER(emissions[[#This Row],[Reporting Unit]]," &gt; ",LEN(emissions[[#This Row],[Reporting Unit]])-LEN(SUBSTITUTE(emissions[[#This Row],[Reporting Unit]],"&gt;","")))</f>
        <v>Vantage_Pittsburgh</v>
      </c>
      <c r="AR1479" t="str">
        <f>_xlfn.XLOOKUP(emissions[[#This Row],[Reporting unit name]],hierarchy!$A:$A,hierarchy!$C:$C)</f>
        <v>Office</v>
      </c>
    </row>
    <row r="1480" spans="1:44" hidden="1" x14ac:dyDescent="0.25">
      <c r="A1480">
        <v>20122</v>
      </c>
      <c r="B1480" t="s">
        <v>308</v>
      </c>
      <c r="C1480" t="s">
        <v>501</v>
      </c>
      <c r="D1480" t="s">
        <v>548</v>
      </c>
      <c r="E1480" s="3">
        <v>44562</v>
      </c>
      <c r="F1480" s="3">
        <v>44926</v>
      </c>
      <c r="G1480" t="s">
        <v>108</v>
      </c>
      <c r="H1480" s="3">
        <v>44562</v>
      </c>
      <c r="I1480" s="3">
        <v>44926</v>
      </c>
      <c r="J1480" t="s">
        <v>108</v>
      </c>
      <c r="K1480">
        <v>125011</v>
      </c>
      <c r="L1480" t="s">
        <v>109</v>
      </c>
      <c r="M1480" t="s">
        <v>110</v>
      </c>
      <c r="O1480" t="s">
        <v>946</v>
      </c>
      <c r="P1480" t="s">
        <v>550</v>
      </c>
      <c r="Q1480">
        <v>2022</v>
      </c>
      <c r="R1480" t="s">
        <v>551</v>
      </c>
      <c r="S1480" t="s">
        <v>552</v>
      </c>
      <c r="T1480" t="s">
        <v>553</v>
      </c>
      <c r="U1480" t="b">
        <v>0</v>
      </c>
      <c r="V1480" t="s">
        <v>763</v>
      </c>
      <c r="W1480" t="s">
        <v>555</v>
      </c>
      <c r="X1480" t="s">
        <v>556</v>
      </c>
      <c r="Y1480" t="s">
        <v>472</v>
      </c>
      <c r="Z1480" t="s">
        <v>485</v>
      </c>
      <c r="AA1480" t="s">
        <v>764</v>
      </c>
      <c r="AB1480" t="s">
        <v>765</v>
      </c>
      <c r="AC1480">
        <v>0</v>
      </c>
      <c r="AD1480" t="s">
        <v>564</v>
      </c>
      <c r="AE1480">
        <v>55852.171040000001</v>
      </c>
      <c r="AF1480">
        <v>0.44677805199999998</v>
      </c>
      <c r="AG1480" t="s">
        <v>560</v>
      </c>
      <c r="AH1480">
        <v>1</v>
      </c>
      <c r="AI1480">
        <v>125011</v>
      </c>
      <c r="AJ1480" t="s">
        <v>561</v>
      </c>
      <c r="AK1480" t="s">
        <v>766</v>
      </c>
      <c r="AL1480" t="s">
        <v>767</v>
      </c>
      <c r="AM1480">
        <v>2022</v>
      </c>
      <c r="AN1480">
        <v>2020</v>
      </c>
      <c r="AO1480">
        <f>IF(AND(emissions[[#This Row],[Market-based]]=0,emissions[[#This Row],[Impact Type]]="CO2E"),emissions[[#This Row],[kgCO2e]],0)/1000</f>
        <v>0</v>
      </c>
      <c r="AP1480">
        <f>IF(AND(emissions[[#This Row],[Market-based]]=1,OR(emissions[[#This Row],[Impact Type]]="CO2E",emissions[[#This Row],[Impact Type]]="CO2E MKT")),emissions[[#This Row],[kgCO2e]],0)/1000</f>
        <v>0</v>
      </c>
      <c r="AQ1480" t="str">
        <f>_xlfn.TEXTAFTER(emissions[[#This Row],[Reporting Unit]]," &gt; ",LEN(emissions[[#This Row],[Reporting Unit]])-LEN(SUBSTITUTE(emissions[[#This Row],[Reporting Unit]],"&gt;","")))</f>
        <v>Vantage_Pittsburgh</v>
      </c>
      <c r="AR1480" t="str">
        <f>_xlfn.XLOOKUP(emissions[[#This Row],[Reporting unit name]],hierarchy!$A:$A,hierarchy!$C:$C)</f>
        <v>Office</v>
      </c>
    </row>
    <row r="1481" spans="1:44" hidden="1" x14ac:dyDescent="0.25">
      <c r="A1481">
        <v>20122</v>
      </c>
      <c r="B1481" t="s">
        <v>308</v>
      </c>
      <c r="C1481" t="s">
        <v>501</v>
      </c>
      <c r="D1481" t="s">
        <v>548</v>
      </c>
      <c r="E1481" s="3">
        <v>44562</v>
      </c>
      <c r="F1481" s="3">
        <v>44926</v>
      </c>
      <c r="G1481" t="s">
        <v>108</v>
      </c>
      <c r="H1481" s="3">
        <v>44562</v>
      </c>
      <c r="I1481" s="3">
        <v>44926</v>
      </c>
      <c r="J1481" t="s">
        <v>108</v>
      </c>
      <c r="K1481">
        <v>125011</v>
      </c>
      <c r="L1481" t="s">
        <v>109</v>
      </c>
      <c r="M1481" t="s">
        <v>110</v>
      </c>
      <c r="O1481" t="s">
        <v>946</v>
      </c>
      <c r="P1481" t="s">
        <v>550</v>
      </c>
      <c r="Q1481">
        <v>2022</v>
      </c>
      <c r="R1481" t="s">
        <v>551</v>
      </c>
      <c r="S1481" t="s">
        <v>552</v>
      </c>
      <c r="T1481" t="s">
        <v>553</v>
      </c>
      <c r="U1481" t="b">
        <v>0</v>
      </c>
      <c r="V1481" t="s">
        <v>763</v>
      </c>
      <c r="W1481" t="s">
        <v>555</v>
      </c>
      <c r="X1481" t="s">
        <v>556</v>
      </c>
      <c r="Y1481" t="s">
        <v>472</v>
      </c>
      <c r="Z1481" t="s">
        <v>485</v>
      </c>
      <c r="AA1481" t="s">
        <v>764</v>
      </c>
      <c r="AB1481" t="s">
        <v>765</v>
      </c>
      <c r="AC1481">
        <v>0</v>
      </c>
      <c r="AD1481" t="s">
        <v>565</v>
      </c>
      <c r="AE1481">
        <v>56176.858350000002</v>
      </c>
      <c r="AF1481">
        <v>0.44937532200000002</v>
      </c>
      <c r="AG1481" t="s">
        <v>560</v>
      </c>
      <c r="AH1481">
        <v>1</v>
      </c>
      <c r="AI1481">
        <v>125011</v>
      </c>
      <c r="AJ1481" t="s">
        <v>561</v>
      </c>
      <c r="AK1481" t="s">
        <v>766</v>
      </c>
      <c r="AL1481" t="s">
        <v>767</v>
      </c>
      <c r="AM1481">
        <v>2022</v>
      </c>
      <c r="AN1481">
        <v>2020</v>
      </c>
      <c r="AO1481">
        <f>IF(AND(emissions[[#This Row],[Market-based]]=0,emissions[[#This Row],[Impact Type]]="CO2E"),emissions[[#This Row],[kgCO2e]],0)/1000</f>
        <v>56.176858350000003</v>
      </c>
      <c r="AP1481">
        <f>IF(AND(emissions[[#This Row],[Market-based]]=1,OR(emissions[[#This Row],[Impact Type]]="CO2E",emissions[[#This Row],[Impact Type]]="CO2E MKT")),emissions[[#This Row],[kgCO2e]],0)/1000</f>
        <v>0</v>
      </c>
      <c r="AQ1481" t="str">
        <f>_xlfn.TEXTAFTER(emissions[[#This Row],[Reporting Unit]]," &gt; ",LEN(emissions[[#This Row],[Reporting Unit]])-LEN(SUBSTITUTE(emissions[[#This Row],[Reporting Unit]],"&gt;","")))</f>
        <v>Vantage_Pittsburgh</v>
      </c>
      <c r="AR1481" t="str">
        <f>_xlfn.XLOOKUP(emissions[[#This Row],[Reporting unit name]],hierarchy!$A:$A,hierarchy!$C:$C)</f>
        <v>Office</v>
      </c>
    </row>
    <row r="1482" spans="1:44" hidden="1" x14ac:dyDescent="0.25">
      <c r="A1482">
        <v>20122</v>
      </c>
      <c r="B1482" t="s">
        <v>308</v>
      </c>
      <c r="C1482" t="s">
        <v>501</v>
      </c>
      <c r="D1482" t="s">
        <v>548</v>
      </c>
      <c r="E1482" s="3">
        <v>44562</v>
      </c>
      <c r="F1482" s="3">
        <v>44926</v>
      </c>
      <c r="G1482" t="s">
        <v>108</v>
      </c>
      <c r="H1482" s="3">
        <v>44562</v>
      </c>
      <c r="I1482" s="3">
        <v>44926</v>
      </c>
      <c r="J1482" t="s">
        <v>108</v>
      </c>
      <c r="K1482">
        <v>125011</v>
      </c>
      <c r="L1482" t="s">
        <v>109</v>
      </c>
      <c r="M1482" t="s">
        <v>110</v>
      </c>
      <c r="O1482" t="s">
        <v>946</v>
      </c>
      <c r="P1482" t="s">
        <v>550</v>
      </c>
      <c r="Q1482">
        <v>2022</v>
      </c>
      <c r="R1482" t="s">
        <v>551</v>
      </c>
      <c r="S1482" t="s">
        <v>552</v>
      </c>
      <c r="T1482" t="s">
        <v>553</v>
      </c>
      <c r="U1482" t="b">
        <v>0</v>
      </c>
      <c r="V1482" t="s">
        <v>763</v>
      </c>
      <c r="W1482" t="s">
        <v>555</v>
      </c>
      <c r="X1482" t="s">
        <v>556</v>
      </c>
      <c r="Y1482" t="s">
        <v>472</v>
      </c>
      <c r="Z1482" t="s">
        <v>485</v>
      </c>
      <c r="AA1482" t="s">
        <v>764</v>
      </c>
      <c r="AB1482" t="s">
        <v>765</v>
      </c>
      <c r="AC1482">
        <v>0</v>
      </c>
      <c r="AD1482" t="s">
        <v>566</v>
      </c>
      <c r="AE1482">
        <v>202.7736319</v>
      </c>
      <c r="AF1482">
        <v>1.622046E-3</v>
      </c>
      <c r="AG1482" t="s">
        <v>560</v>
      </c>
      <c r="AH1482">
        <v>1</v>
      </c>
      <c r="AI1482">
        <v>125011</v>
      </c>
      <c r="AJ1482" t="s">
        <v>561</v>
      </c>
      <c r="AK1482" t="s">
        <v>766</v>
      </c>
      <c r="AL1482" t="s">
        <v>767</v>
      </c>
      <c r="AM1482">
        <v>2022</v>
      </c>
      <c r="AN1482">
        <v>2020</v>
      </c>
      <c r="AO1482">
        <f>IF(AND(emissions[[#This Row],[Market-based]]=0,emissions[[#This Row],[Impact Type]]="CO2E"),emissions[[#This Row],[kgCO2e]],0)/1000</f>
        <v>0</v>
      </c>
      <c r="AP1482">
        <f>IF(AND(emissions[[#This Row],[Market-based]]=1,OR(emissions[[#This Row],[Impact Type]]="CO2E",emissions[[#This Row],[Impact Type]]="CO2E MKT")),emissions[[#This Row],[kgCO2e]],0)/1000</f>
        <v>0</v>
      </c>
      <c r="AQ1482" t="str">
        <f>_xlfn.TEXTAFTER(emissions[[#This Row],[Reporting Unit]]," &gt; ",LEN(emissions[[#This Row],[Reporting Unit]])-LEN(SUBSTITUTE(emissions[[#This Row],[Reporting Unit]],"&gt;","")))</f>
        <v>Vantage_Pittsburgh</v>
      </c>
      <c r="AR1482" t="str">
        <f>_xlfn.XLOOKUP(emissions[[#This Row],[Reporting unit name]],hierarchy!$A:$A,hierarchy!$C:$C)</f>
        <v>Office</v>
      </c>
    </row>
    <row r="1483" spans="1:44" hidden="1" x14ac:dyDescent="0.25">
      <c r="A1483">
        <v>20122</v>
      </c>
      <c r="B1483" t="s">
        <v>308</v>
      </c>
      <c r="C1483" t="s">
        <v>501</v>
      </c>
      <c r="D1483" t="s">
        <v>548</v>
      </c>
      <c r="E1483" s="3">
        <v>44562</v>
      </c>
      <c r="F1483" s="3">
        <v>44926</v>
      </c>
      <c r="G1483" t="s">
        <v>108</v>
      </c>
      <c r="H1483" s="3">
        <v>44562</v>
      </c>
      <c r="I1483" s="3">
        <v>44926</v>
      </c>
      <c r="J1483" t="s">
        <v>108</v>
      </c>
      <c r="K1483">
        <v>125011</v>
      </c>
      <c r="L1483" t="s">
        <v>109</v>
      </c>
      <c r="M1483" t="s">
        <v>110</v>
      </c>
      <c r="O1483" t="s">
        <v>946</v>
      </c>
      <c r="P1483" t="s">
        <v>550</v>
      </c>
      <c r="Q1483">
        <v>2022</v>
      </c>
      <c r="R1483" t="s">
        <v>551</v>
      </c>
      <c r="S1483" t="s">
        <v>552</v>
      </c>
      <c r="T1483" t="s">
        <v>553</v>
      </c>
      <c r="U1483" t="b">
        <v>0</v>
      </c>
      <c r="V1483" t="s">
        <v>763</v>
      </c>
      <c r="W1483" t="s">
        <v>555</v>
      </c>
      <c r="X1483" t="s">
        <v>556</v>
      </c>
      <c r="Y1483" t="s">
        <v>472</v>
      </c>
      <c r="Z1483" t="s">
        <v>485</v>
      </c>
      <c r="AA1483" t="s">
        <v>764</v>
      </c>
      <c r="AB1483" t="s">
        <v>765</v>
      </c>
      <c r="AC1483">
        <v>1</v>
      </c>
      <c r="AD1483" t="s">
        <v>639</v>
      </c>
      <c r="AE1483">
        <v>55959.40436</v>
      </c>
      <c r="AF1483">
        <v>0.44763584299999998</v>
      </c>
      <c r="AG1483" t="s">
        <v>560</v>
      </c>
      <c r="AH1483">
        <v>1</v>
      </c>
      <c r="AI1483">
        <v>125011</v>
      </c>
      <c r="AJ1483" t="s">
        <v>561</v>
      </c>
      <c r="AK1483" t="s">
        <v>833</v>
      </c>
      <c r="AL1483" t="s">
        <v>834</v>
      </c>
      <c r="AM1483">
        <v>2022</v>
      </c>
      <c r="AN1483">
        <v>2020</v>
      </c>
      <c r="AO1483">
        <f>IF(AND(emissions[[#This Row],[Market-based]]=0,emissions[[#This Row],[Impact Type]]="CO2E"),emissions[[#This Row],[kgCO2e]],0)/1000</f>
        <v>0</v>
      </c>
      <c r="AP1483">
        <f>IF(AND(emissions[[#This Row],[Market-based]]=1,OR(emissions[[#This Row],[Impact Type]]="CO2E",emissions[[#This Row],[Impact Type]]="CO2E MKT")),emissions[[#This Row],[kgCO2e]],0)/1000</f>
        <v>55.959404360000001</v>
      </c>
      <c r="AQ1483" t="str">
        <f>_xlfn.TEXTAFTER(emissions[[#This Row],[Reporting Unit]]," &gt; ",LEN(emissions[[#This Row],[Reporting Unit]])-LEN(SUBSTITUTE(emissions[[#This Row],[Reporting Unit]],"&gt;","")))</f>
        <v>Vantage_Pittsburgh</v>
      </c>
      <c r="AR1483" t="str">
        <f>_xlfn.XLOOKUP(emissions[[#This Row],[Reporting unit name]],hierarchy!$A:$A,hierarchy!$C:$C)</f>
        <v>Office</v>
      </c>
    </row>
    <row r="1484" spans="1:44" hidden="1" x14ac:dyDescent="0.25">
      <c r="A1484">
        <v>20122</v>
      </c>
      <c r="B1484" t="s">
        <v>308</v>
      </c>
      <c r="C1484" t="s">
        <v>501</v>
      </c>
      <c r="D1484" t="s">
        <v>548</v>
      </c>
      <c r="E1484" s="3">
        <v>44562</v>
      </c>
      <c r="F1484" s="3">
        <v>44926</v>
      </c>
      <c r="G1484" t="s">
        <v>108</v>
      </c>
      <c r="H1484" s="3">
        <v>44562</v>
      </c>
      <c r="I1484" s="3">
        <v>44926</v>
      </c>
      <c r="J1484" t="s">
        <v>108</v>
      </c>
      <c r="K1484">
        <v>125011</v>
      </c>
      <c r="L1484" t="s">
        <v>109</v>
      </c>
      <c r="M1484" t="s">
        <v>110</v>
      </c>
      <c r="O1484" t="s">
        <v>946</v>
      </c>
      <c r="P1484" t="s">
        <v>550</v>
      </c>
      <c r="Q1484">
        <v>2022</v>
      </c>
      <c r="R1484" t="s">
        <v>567</v>
      </c>
      <c r="S1484" t="s">
        <v>568</v>
      </c>
      <c r="T1484" t="s">
        <v>569</v>
      </c>
      <c r="U1484" t="b">
        <v>0</v>
      </c>
      <c r="V1484" t="s">
        <v>770</v>
      </c>
      <c r="W1484" t="s">
        <v>571</v>
      </c>
      <c r="X1484" t="s">
        <v>572</v>
      </c>
      <c r="Y1484" t="s">
        <v>472</v>
      </c>
      <c r="Z1484" t="s">
        <v>485</v>
      </c>
      <c r="AA1484" t="s">
        <v>764</v>
      </c>
      <c r="AB1484" t="s">
        <v>765</v>
      </c>
      <c r="AC1484">
        <v>0</v>
      </c>
      <c r="AD1484" t="s">
        <v>565</v>
      </c>
      <c r="AE1484">
        <v>879.65387599999997</v>
      </c>
      <c r="AF1484">
        <v>7.0366120000000002E-3</v>
      </c>
      <c r="AG1484" t="s">
        <v>560</v>
      </c>
      <c r="AH1484">
        <v>1</v>
      </c>
      <c r="AI1484">
        <v>125011</v>
      </c>
      <c r="AJ1484" t="s">
        <v>561</v>
      </c>
      <c r="AK1484" t="s">
        <v>573</v>
      </c>
      <c r="AL1484" t="s">
        <v>574</v>
      </c>
      <c r="AM1484">
        <v>2022</v>
      </c>
      <c r="AN1484">
        <v>2020</v>
      </c>
      <c r="AO1484">
        <f>IF(AND(emissions[[#This Row],[Market-based]]=0,emissions[[#This Row],[Impact Type]]="CO2E"),emissions[[#This Row],[kgCO2e]],0)/1000</f>
        <v>0.879653876</v>
      </c>
      <c r="AP1484">
        <f>IF(AND(emissions[[#This Row],[Market-based]]=1,OR(emissions[[#This Row],[Impact Type]]="CO2E",emissions[[#This Row],[Impact Type]]="CO2E MKT")),emissions[[#This Row],[kgCO2e]],0)/1000</f>
        <v>0</v>
      </c>
      <c r="AQ1484" t="str">
        <f>_xlfn.TEXTAFTER(emissions[[#This Row],[Reporting Unit]]," &gt; ",LEN(emissions[[#This Row],[Reporting Unit]])-LEN(SUBSTITUTE(emissions[[#This Row],[Reporting Unit]],"&gt;","")))</f>
        <v>Vantage_Pittsburgh</v>
      </c>
      <c r="AR1484" t="str">
        <f>_xlfn.XLOOKUP(emissions[[#This Row],[Reporting unit name]],hierarchy!$A:$A,hierarchy!$C:$C)</f>
        <v>Office</v>
      </c>
    </row>
    <row r="1485" spans="1:44" hidden="1" x14ac:dyDescent="0.25">
      <c r="A1485">
        <v>20122</v>
      </c>
      <c r="B1485" t="s">
        <v>308</v>
      </c>
      <c r="C1485" t="s">
        <v>501</v>
      </c>
      <c r="D1485" t="s">
        <v>548</v>
      </c>
      <c r="E1485" s="3">
        <v>44562</v>
      </c>
      <c r="F1485" s="3">
        <v>44926</v>
      </c>
      <c r="G1485" t="s">
        <v>108</v>
      </c>
      <c r="H1485" s="3">
        <v>44562</v>
      </c>
      <c r="I1485" s="3">
        <v>44926</v>
      </c>
      <c r="J1485" t="s">
        <v>108</v>
      </c>
      <c r="K1485">
        <v>125011</v>
      </c>
      <c r="L1485" t="s">
        <v>109</v>
      </c>
      <c r="M1485" t="s">
        <v>110</v>
      </c>
      <c r="O1485" t="s">
        <v>946</v>
      </c>
      <c r="P1485" t="s">
        <v>550</v>
      </c>
      <c r="Q1485">
        <v>2022</v>
      </c>
      <c r="R1485" t="s">
        <v>567</v>
      </c>
      <c r="S1485" t="s">
        <v>568</v>
      </c>
      <c r="T1485" t="s">
        <v>569</v>
      </c>
      <c r="U1485" t="b">
        <v>0</v>
      </c>
      <c r="V1485" t="s">
        <v>771</v>
      </c>
      <c r="W1485" t="s">
        <v>571</v>
      </c>
      <c r="X1485" t="s">
        <v>572</v>
      </c>
      <c r="Y1485" t="s">
        <v>472</v>
      </c>
      <c r="Z1485" t="s">
        <v>485</v>
      </c>
      <c r="AA1485" t="s">
        <v>764</v>
      </c>
      <c r="AB1485" t="s">
        <v>765</v>
      </c>
      <c r="AC1485">
        <v>1</v>
      </c>
      <c r="AD1485" t="s">
        <v>639</v>
      </c>
      <c r="AE1485">
        <v>815.95978149999996</v>
      </c>
      <c r="AF1485">
        <v>6.5271039999999997E-3</v>
      </c>
      <c r="AG1485" t="s">
        <v>560</v>
      </c>
      <c r="AH1485">
        <v>1</v>
      </c>
      <c r="AI1485">
        <v>125011</v>
      </c>
      <c r="AJ1485" t="s">
        <v>561</v>
      </c>
      <c r="AK1485" t="s">
        <v>573</v>
      </c>
      <c r="AL1485" t="s">
        <v>772</v>
      </c>
      <c r="AM1485">
        <v>2022</v>
      </c>
      <c r="AN1485">
        <v>2019</v>
      </c>
      <c r="AO1485">
        <f>IF(AND(emissions[[#This Row],[Market-based]]=0,emissions[[#This Row],[Impact Type]]="CO2E"),emissions[[#This Row],[kgCO2e]],0)/1000</f>
        <v>0</v>
      </c>
      <c r="AP1485">
        <f>IF(AND(emissions[[#This Row],[Market-based]]=1,OR(emissions[[#This Row],[Impact Type]]="CO2E",emissions[[#This Row],[Impact Type]]="CO2E MKT")),emissions[[#This Row],[kgCO2e]],0)/1000</f>
        <v>0.81595978149999993</v>
      </c>
      <c r="AQ1485" t="str">
        <f>_xlfn.TEXTAFTER(emissions[[#This Row],[Reporting Unit]]," &gt; ",LEN(emissions[[#This Row],[Reporting Unit]])-LEN(SUBSTITUTE(emissions[[#This Row],[Reporting Unit]],"&gt;","")))</f>
        <v>Vantage_Pittsburgh</v>
      </c>
      <c r="AR1485" t="str">
        <f>_xlfn.XLOOKUP(emissions[[#This Row],[Reporting unit name]],hierarchy!$A:$A,hierarchy!$C:$C)</f>
        <v>Office</v>
      </c>
    </row>
    <row r="1486" spans="1:44" hidden="1" x14ac:dyDescent="0.25">
      <c r="A1486">
        <v>20122</v>
      </c>
      <c r="B1486" t="s">
        <v>308</v>
      </c>
      <c r="C1486" t="s">
        <v>501</v>
      </c>
      <c r="D1486" t="s">
        <v>548</v>
      </c>
      <c r="E1486" s="3">
        <v>44562</v>
      </c>
      <c r="F1486" s="3">
        <v>44926</v>
      </c>
      <c r="G1486" t="s">
        <v>108</v>
      </c>
      <c r="H1486" s="3">
        <v>44562</v>
      </c>
      <c r="I1486" s="3">
        <v>44926</v>
      </c>
      <c r="J1486" t="s">
        <v>108</v>
      </c>
      <c r="K1486">
        <v>125011</v>
      </c>
      <c r="L1486" t="s">
        <v>109</v>
      </c>
      <c r="M1486" t="s">
        <v>110</v>
      </c>
      <c r="O1486" t="s">
        <v>946</v>
      </c>
      <c r="P1486" t="s">
        <v>550</v>
      </c>
      <c r="Q1486">
        <v>2022</v>
      </c>
      <c r="R1486" t="s">
        <v>575</v>
      </c>
      <c r="S1486" t="s">
        <v>576</v>
      </c>
      <c r="T1486" t="s">
        <v>577</v>
      </c>
      <c r="U1486" t="b">
        <v>0</v>
      </c>
      <c r="V1486" t="s">
        <v>773</v>
      </c>
      <c r="W1486" t="s">
        <v>571</v>
      </c>
      <c r="X1486" t="s">
        <v>572</v>
      </c>
      <c r="Y1486" t="s">
        <v>472</v>
      </c>
      <c r="Z1486" t="s">
        <v>485</v>
      </c>
      <c r="AA1486" t="s">
        <v>764</v>
      </c>
      <c r="AB1486" t="s">
        <v>765</v>
      </c>
      <c r="AC1486">
        <v>0</v>
      </c>
      <c r="AD1486" t="s">
        <v>565</v>
      </c>
      <c r="AE1486">
        <v>15717.58907</v>
      </c>
      <c r="AF1486">
        <v>0.125729648</v>
      </c>
      <c r="AG1486" t="s">
        <v>560</v>
      </c>
      <c r="AH1486">
        <v>1</v>
      </c>
      <c r="AI1486">
        <v>125011</v>
      </c>
      <c r="AJ1486" t="s">
        <v>561</v>
      </c>
      <c r="AK1486" t="s">
        <v>573</v>
      </c>
      <c r="AL1486" t="s">
        <v>574</v>
      </c>
      <c r="AM1486">
        <v>2022</v>
      </c>
      <c r="AN1486">
        <v>2020</v>
      </c>
      <c r="AO1486">
        <f>IF(AND(emissions[[#This Row],[Market-based]]=0,emissions[[#This Row],[Impact Type]]="CO2E"),emissions[[#This Row],[kgCO2e]],0)/1000</f>
        <v>15.717589070000001</v>
      </c>
      <c r="AP1486">
        <f>IF(AND(emissions[[#This Row],[Market-based]]=1,OR(emissions[[#This Row],[Impact Type]]="CO2E",emissions[[#This Row],[Impact Type]]="CO2E MKT")),emissions[[#This Row],[kgCO2e]],0)/1000</f>
        <v>0</v>
      </c>
      <c r="AQ1486" t="str">
        <f>_xlfn.TEXTAFTER(emissions[[#This Row],[Reporting Unit]]," &gt; ",LEN(emissions[[#This Row],[Reporting Unit]])-LEN(SUBSTITUTE(emissions[[#This Row],[Reporting Unit]],"&gt;","")))</f>
        <v>Vantage_Pittsburgh</v>
      </c>
      <c r="AR1486" t="str">
        <f>_xlfn.XLOOKUP(emissions[[#This Row],[Reporting unit name]],hierarchy!$A:$A,hierarchy!$C:$C)</f>
        <v>Office</v>
      </c>
    </row>
    <row r="1487" spans="1:44" hidden="1" x14ac:dyDescent="0.25">
      <c r="A1487">
        <v>20122</v>
      </c>
      <c r="B1487" t="s">
        <v>308</v>
      </c>
      <c r="C1487" t="s">
        <v>501</v>
      </c>
      <c r="D1487" t="s">
        <v>548</v>
      </c>
      <c r="E1487" s="3">
        <v>44562</v>
      </c>
      <c r="F1487" s="3">
        <v>44926</v>
      </c>
      <c r="G1487" t="s">
        <v>108</v>
      </c>
      <c r="H1487" s="3">
        <v>44562</v>
      </c>
      <c r="I1487" s="3">
        <v>44926</v>
      </c>
      <c r="J1487" t="s">
        <v>108</v>
      </c>
      <c r="K1487">
        <v>125011</v>
      </c>
      <c r="L1487" t="s">
        <v>109</v>
      </c>
      <c r="M1487" t="s">
        <v>110</v>
      </c>
      <c r="O1487" t="s">
        <v>946</v>
      </c>
      <c r="P1487" t="s">
        <v>550</v>
      </c>
      <c r="Q1487">
        <v>2022</v>
      </c>
      <c r="R1487" t="s">
        <v>575</v>
      </c>
      <c r="S1487" t="s">
        <v>576</v>
      </c>
      <c r="T1487" t="s">
        <v>577</v>
      </c>
      <c r="U1487" t="b">
        <v>0</v>
      </c>
      <c r="V1487" t="s">
        <v>774</v>
      </c>
      <c r="W1487" t="s">
        <v>571</v>
      </c>
      <c r="X1487" t="s">
        <v>572</v>
      </c>
      <c r="Y1487" t="s">
        <v>472</v>
      </c>
      <c r="Z1487" t="s">
        <v>485</v>
      </c>
      <c r="AA1487" t="s">
        <v>764</v>
      </c>
      <c r="AB1487" t="s">
        <v>765</v>
      </c>
      <c r="AC1487">
        <v>1</v>
      </c>
      <c r="AD1487" t="s">
        <v>639</v>
      </c>
      <c r="AE1487">
        <v>15999.2114</v>
      </c>
      <c r="AF1487">
        <v>0.12798242900000001</v>
      </c>
      <c r="AG1487" t="s">
        <v>560</v>
      </c>
      <c r="AH1487">
        <v>1</v>
      </c>
      <c r="AI1487">
        <v>125011</v>
      </c>
      <c r="AJ1487" t="s">
        <v>561</v>
      </c>
      <c r="AK1487" t="s">
        <v>573</v>
      </c>
      <c r="AL1487" t="s">
        <v>775</v>
      </c>
      <c r="AM1487">
        <v>2022</v>
      </c>
      <c r="AN1487">
        <v>2019</v>
      </c>
      <c r="AO1487">
        <f>IF(AND(emissions[[#This Row],[Market-based]]=0,emissions[[#This Row],[Impact Type]]="CO2E"),emissions[[#This Row],[kgCO2e]],0)/1000</f>
        <v>0</v>
      </c>
      <c r="AP1487">
        <f>IF(AND(emissions[[#This Row],[Market-based]]=1,OR(emissions[[#This Row],[Impact Type]]="CO2E",emissions[[#This Row],[Impact Type]]="CO2E MKT")),emissions[[#This Row],[kgCO2e]],0)/1000</f>
        <v>15.9992114</v>
      </c>
      <c r="AQ1487" t="str">
        <f>_xlfn.TEXTAFTER(emissions[[#This Row],[Reporting Unit]]," &gt; ",LEN(emissions[[#This Row],[Reporting Unit]])-LEN(SUBSTITUTE(emissions[[#This Row],[Reporting Unit]],"&gt;","")))</f>
        <v>Vantage_Pittsburgh</v>
      </c>
      <c r="AR1487" t="str">
        <f>_xlfn.XLOOKUP(emissions[[#This Row],[Reporting unit name]],hierarchy!$A:$A,hierarchy!$C:$C)</f>
        <v>Office</v>
      </c>
    </row>
    <row r="1488" spans="1:44" hidden="1" x14ac:dyDescent="0.25">
      <c r="A1488">
        <v>20122</v>
      </c>
      <c r="B1488" t="s">
        <v>308</v>
      </c>
      <c r="C1488" t="s">
        <v>501</v>
      </c>
      <c r="D1488" t="s">
        <v>548</v>
      </c>
      <c r="E1488" s="3">
        <v>44562</v>
      </c>
      <c r="F1488" s="3">
        <v>44926</v>
      </c>
      <c r="G1488" t="s">
        <v>108</v>
      </c>
      <c r="H1488" s="3">
        <v>44562</v>
      </c>
      <c r="I1488" s="3">
        <v>44926</v>
      </c>
      <c r="J1488" t="s">
        <v>108</v>
      </c>
      <c r="K1488">
        <v>125011</v>
      </c>
      <c r="L1488" t="s">
        <v>109</v>
      </c>
      <c r="M1488" t="s">
        <v>110</v>
      </c>
      <c r="O1488" t="s">
        <v>946</v>
      </c>
      <c r="P1488" t="s">
        <v>550</v>
      </c>
      <c r="Q1488">
        <v>2022</v>
      </c>
      <c r="R1488" t="s">
        <v>579</v>
      </c>
      <c r="S1488" t="s">
        <v>580</v>
      </c>
      <c r="T1488" t="s">
        <v>581</v>
      </c>
      <c r="U1488" t="b">
        <v>0</v>
      </c>
      <c r="V1488" t="s">
        <v>776</v>
      </c>
      <c r="W1488" t="s">
        <v>571</v>
      </c>
      <c r="X1488" t="s">
        <v>572</v>
      </c>
      <c r="Y1488" t="s">
        <v>472</v>
      </c>
      <c r="Z1488" t="s">
        <v>485</v>
      </c>
      <c r="AA1488" t="s">
        <v>764</v>
      </c>
      <c r="AB1488" t="s">
        <v>765</v>
      </c>
      <c r="AC1488">
        <v>0</v>
      </c>
      <c r="AD1488" t="s">
        <v>565</v>
      </c>
      <c r="AE1488">
        <v>2977.3734920000002</v>
      </c>
      <c r="AF1488">
        <v>2.3816891999999999E-2</v>
      </c>
      <c r="AG1488" t="s">
        <v>560</v>
      </c>
      <c r="AH1488">
        <v>1</v>
      </c>
      <c r="AI1488">
        <v>125011</v>
      </c>
      <c r="AJ1488" t="s">
        <v>561</v>
      </c>
      <c r="AK1488" t="s">
        <v>766</v>
      </c>
      <c r="AL1488" t="s">
        <v>767</v>
      </c>
      <c r="AM1488">
        <v>2022</v>
      </c>
      <c r="AN1488">
        <v>2020</v>
      </c>
      <c r="AO1488">
        <f>IF(AND(emissions[[#This Row],[Market-based]]=0,emissions[[#This Row],[Impact Type]]="CO2E"),emissions[[#This Row],[kgCO2e]],0)/1000</f>
        <v>2.9773734920000003</v>
      </c>
      <c r="AP1488">
        <f>IF(AND(emissions[[#This Row],[Market-based]]=1,OR(emissions[[#This Row],[Impact Type]]="CO2E",emissions[[#This Row],[Impact Type]]="CO2E MKT")),emissions[[#This Row],[kgCO2e]],0)/1000</f>
        <v>0</v>
      </c>
      <c r="AQ1488" t="str">
        <f>_xlfn.TEXTAFTER(emissions[[#This Row],[Reporting Unit]]," &gt; ",LEN(emissions[[#This Row],[Reporting Unit]])-LEN(SUBSTITUTE(emissions[[#This Row],[Reporting Unit]],"&gt;","")))</f>
        <v>Vantage_Pittsburgh</v>
      </c>
      <c r="AR1488" t="str">
        <f>_xlfn.XLOOKUP(emissions[[#This Row],[Reporting unit name]],hierarchy!$A:$A,hierarchy!$C:$C)</f>
        <v>Office</v>
      </c>
    </row>
    <row r="1489" spans="1:44" hidden="1" x14ac:dyDescent="0.25">
      <c r="A1489">
        <v>20122</v>
      </c>
      <c r="B1489" t="s">
        <v>308</v>
      </c>
      <c r="C1489" t="s">
        <v>501</v>
      </c>
      <c r="D1489" t="s">
        <v>548</v>
      </c>
      <c r="E1489" s="3">
        <v>44562</v>
      </c>
      <c r="F1489" s="3">
        <v>44926</v>
      </c>
      <c r="G1489" t="s">
        <v>108</v>
      </c>
      <c r="H1489" s="3">
        <v>44562</v>
      </c>
      <c r="I1489" s="3">
        <v>44926</v>
      </c>
      <c r="J1489" t="s">
        <v>108</v>
      </c>
      <c r="K1489">
        <v>125011</v>
      </c>
      <c r="L1489" t="s">
        <v>109</v>
      </c>
      <c r="M1489" t="s">
        <v>110</v>
      </c>
      <c r="O1489" t="s">
        <v>946</v>
      </c>
      <c r="P1489" t="s">
        <v>550</v>
      </c>
      <c r="Q1489">
        <v>2022</v>
      </c>
      <c r="R1489" t="s">
        <v>579</v>
      </c>
      <c r="S1489" t="s">
        <v>580</v>
      </c>
      <c r="T1489" t="s">
        <v>581</v>
      </c>
      <c r="U1489" t="b">
        <v>0</v>
      </c>
      <c r="V1489" t="s">
        <v>777</v>
      </c>
      <c r="W1489" t="s">
        <v>571</v>
      </c>
      <c r="X1489" t="s">
        <v>572</v>
      </c>
      <c r="Y1489" t="s">
        <v>472</v>
      </c>
      <c r="Z1489" t="s">
        <v>485</v>
      </c>
      <c r="AA1489" t="s">
        <v>764</v>
      </c>
      <c r="AB1489" t="s">
        <v>765</v>
      </c>
      <c r="AC1489">
        <v>1</v>
      </c>
      <c r="AD1489" t="s">
        <v>639</v>
      </c>
      <c r="AE1489">
        <v>3088.757854</v>
      </c>
      <c r="AF1489">
        <v>2.4707889E-2</v>
      </c>
      <c r="AG1489" t="s">
        <v>560</v>
      </c>
      <c r="AH1489">
        <v>1</v>
      </c>
      <c r="AI1489">
        <v>125011</v>
      </c>
      <c r="AJ1489" t="s">
        <v>561</v>
      </c>
      <c r="AK1489" t="s">
        <v>573</v>
      </c>
      <c r="AL1489" t="s">
        <v>778</v>
      </c>
      <c r="AM1489">
        <v>2022</v>
      </c>
      <c r="AN1489">
        <v>2019</v>
      </c>
      <c r="AO1489">
        <f>IF(AND(emissions[[#This Row],[Market-based]]=0,emissions[[#This Row],[Impact Type]]="CO2E"),emissions[[#This Row],[kgCO2e]],0)/1000</f>
        <v>0</v>
      </c>
      <c r="AP1489">
        <f>IF(AND(emissions[[#This Row],[Market-based]]=1,OR(emissions[[#This Row],[Impact Type]]="CO2E",emissions[[#This Row],[Impact Type]]="CO2E MKT")),emissions[[#This Row],[kgCO2e]],0)/1000</f>
        <v>3.0887578539999998</v>
      </c>
      <c r="AQ1489" t="str">
        <f>_xlfn.TEXTAFTER(emissions[[#This Row],[Reporting Unit]]," &gt; ",LEN(emissions[[#This Row],[Reporting Unit]])-LEN(SUBSTITUTE(emissions[[#This Row],[Reporting Unit]],"&gt;","")))</f>
        <v>Vantage_Pittsburgh</v>
      </c>
      <c r="AR1489" t="str">
        <f>_xlfn.XLOOKUP(emissions[[#This Row],[Reporting unit name]],hierarchy!$A:$A,hierarchy!$C:$C)</f>
        <v>Office</v>
      </c>
    </row>
    <row r="1490" spans="1:44" hidden="1" x14ac:dyDescent="0.25">
      <c r="A1490">
        <v>20060</v>
      </c>
      <c r="B1490" t="s">
        <v>308</v>
      </c>
      <c r="C1490" t="s">
        <v>501</v>
      </c>
      <c r="D1490" t="s">
        <v>548</v>
      </c>
      <c r="E1490" s="3">
        <v>44562</v>
      </c>
      <c r="F1490" s="3">
        <v>44926</v>
      </c>
      <c r="G1490" t="s">
        <v>135</v>
      </c>
      <c r="H1490" s="3">
        <v>44562</v>
      </c>
      <c r="I1490" s="3">
        <v>44926</v>
      </c>
      <c r="J1490" t="s">
        <v>135</v>
      </c>
      <c r="K1490">
        <v>958300</v>
      </c>
      <c r="L1490" t="s">
        <v>160</v>
      </c>
      <c r="M1490" t="s">
        <v>110</v>
      </c>
      <c r="O1490" t="s">
        <v>947</v>
      </c>
      <c r="P1490" t="s">
        <v>550</v>
      </c>
      <c r="Q1490">
        <v>2022</v>
      </c>
      <c r="R1490" t="s">
        <v>605</v>
      </c>
      <c r="S1490" t="s">
        <v>606</v>
      </c>
      <c r="T1490" t="s">
        <v>553</v>
      </c>
      <c r="U1490" t="b">
        <v>0</v>
      </c>
      <c r="V1490" t="s">
        <v>781</v>
      </c>
      <c r="W1490" t="s">
        <v>587</v>
      </c>
      <c r="X1490" t="s">
        <v>556</v>
      </c>
      <c r="Y1490" t="s">
        <v>472</v>
      </c>
      <c r="Z1490" t="s">
        <v>485</v>
      </c>
      <c r="AA1490" t="s">
        <v>764</v>
      </c>
      <c r="AC1490">
        <v>0</v>
      </c>
      <c r="AD1490" t="s">
        <v>558</v>
      </c>
      <c r="AE1490">
        <v>24.676224999999999</v>
      </c>
      <c r="AF1490">
        <v>2.5749999999999999E-5</v>
      </c>
      <c r="AG1490" t="s">
        <v>782</v>
      </c>
      <c r="AH1490">
        <v>1</v>
      </c>
      <c r="AI1490">
        <v>958300</v>
      </c>
      <c r="AJ1490" t="s">
        <v>561</v>
      </c>
      <c r="AK1490" t="s">
        <v>766</v>
      </c>
      <c r="AL1490" t="s">
        <v>767</v>
      </c>
      <c r="AM1490">
        <v>2022</v>
      </c>
      <c r="AN1490">
        <v>2022</v>
      </c>
      <c r="AO1490">
        <f>IF(AND(emissions[[#This Row],[Market-based]]=0,emissions[[#This Row],[Impact Type]]="CO2E"),emissions[[#This Row],[kgCO2e]],0)/1000</f>
        <v>0</v>
      </c>
      <c r="AP1490">
        <f>IF(AND(emissions[[#This Row],[Market-based]]=1,OR(emissions[[#This Row],[Impact Type]]="CO2E",emissions[[#This Row],[Impact Type]]="CO2E MKT")),emissions[[#This Row],[kgCO2e]],0)/1000</f>
        <v>0</v>
      </c>
      <c r="AQ1490" t="str">
        <f>_xlfn.TEXTAFTER(emissions[[#This Row],[Reporting Unit]]," &gt; ",LEN(emissions[[#This Row],[Reporting Unit]])-LEN(SUBSTITUTE(emissions[[#This Row],[Reporting Unit]],"&gt;","")))</f>
        <v>Vantage_Pittsburgh</v>
      </c>
      <c r="AR1490" t="str">
        <f>_xlfn.XLOOKUP(emissions[[#This Row],[Reporting unit name]],hierarchy!$A:$A,hierarchy!$C:$C)</f>
        <v>Office</v>
      </c>
    </row>
    <row r="1491" spans="1:44" hidden="1" x14ac:dyDescent="0.25">
      <c r="A1491">
        <v>20060</v>
      </c>
      <c r="B1491" t="s">
        <v>308</v>
      </c>
      <c r="C1491" t="s">
        <v>501</v>
      </c>
      <c r="D1491" t="s">
        <v>548</v>
      </c>
      <c r="E1491" s="3">
        <v>44562</v>
      </c>
      <c r="F1491" s="3">
        <v>44926</v>
      </c>
      <c r="G1491" t="s">
        <v>135</v>
      </c>
      <c r="H1491" s="3">
        <v>44562</v>
      </c>
      <c r="I1491" s="3">
        <v>44926</v>
      </c>
      <c r="J1491" t="s">
        <v>135</v>
      </c>
      <c r="K1491">
        <v>958300</v>
      </c>
      <c r="L1491" t="s">
        <v>160</v>
      </c>
      <c r="M1491" t="s">
        <v>110</v>
      </c>
      <c r="O1491" t="s">
        <v>947</v>
      </c>
      <c r="P1491" t="s">
        <v>550</v>
      </c>
      <c r="Q1491">
        <v>2022</v>
      </c>
      <c r="R1491" t="s">
        <v>605</v>
      </c>
      <c r="S1491" t="s">
        <v>606</v>
      </c>
      <c r="T1491" t="s">
        <v>553</v>
      </c>
      <c r="U1491" t="b">
        <v>0</v>
      </c>
      <c r="V1491" t="s">
        <v>781</v>
      </c>
      <c r="W1491" t="s">
        <v>587</v>
      </c>
      <c r="X1491" t="s">
        <v>556</v>
      </c>
      <c r="Y1491" t="s">
        <v>472</v>
      </c>
      <c r="Z1491" t="s">
        <v>485</v>
      </c>
      <c r="AA1491" t="s">
        <v>764</v>
      </c>
      <c r="AC1491">
        <v>0</v>
      </c>
      <c r="AD1491" t="s">
        <v>564</v>
      </c>
      <c r="AE1491">
        <v>52169.851999999999</v>
      </c>
      <c r="AF1491">
        <v>5.4440000000000002E-2</v>
      </c>
      <c r="AG1491" t="s">
        <v>782</v>
      </c>
      <c r="AH1491">
        <v>1</v>
      </c>
      <c r="AI1491">
        <v>958300</v>
      </c>
      <c r="AJ1491" t="s">
        <v>561</v>
      </c>
      <c r="AK1491" t="s">
        <v>766</v>
      </c>
      <c r="AL1491" t="s">
        <v>767</v>
      </c>
      <c r="AM1491">
        <v>2022</v>
      </c>
      <c r="AN1491">
        <v>2022</v>
      </c>
      <c r="AO1491">
        <f>IF(AND(emissions[[#This Row],[Market-based]]=0,emissions[[#This Row],[Impact Type]]="CO2E"),emissions[[#This Row],[kgCO2e]],0)/1000</f>
        <v>0</v>
      </c>
      <c r="AP1491">
        <f>IF(AND(emissions[[#This Row],[Market-based]]=1,OR(emissions[[#This Row],[Impact Type]]="CO2E",emissions[[#This Row],[Impact Type]]="CO2E MKT")),emissions[[#This Row],[kgCO2e]],0)/1000</f>
        <v>0</v>
      </c>
      <c r="AQ1491" t="str">
        <f>_xlfn.TEXTAFTER(emissions[[#This Row],[Reporting Unit]]," &gt; ",LEN(emissions[[#This Row],[Reporting Unit]])-LEN(SUBSTITUTE(emissions[[#This Row],[Reporting Unit]],"&gt;","")))</f>
        <v>Vantage_Pittsburgh</v>
      </c>
      <c r="AR1491" t="str">
        <f>_xlfn.XLOOKUP(emissions[[#This Row],[Reporting unit name]],hierarchy!$A:$A,hierarchy!$C:$C)</f>
        <v>Office</v>
      </c>
    </row>
    <row r="1492" spans="1:44" hidden="1" x14ac:dyDescent="0.25">
      <c r="A1492">
        <v>20060</v>
      </c>
      <c r="B1492" t="s">
        <v>308</v>
      </c>
      <c r="C1492" t="s">
        <v>501</v>
      </c>
      <c r="D1492" t="s">
        <v>548</v>
      </c>
      <c r="E1492" s="3">
        <v>44562</v>
      </c>
      <c r="F1492" s="3">
        <v>44926</v>
      </c>
      <c r="G1492" t="s">
        <v>135</v>
      </c>
      <c r="H1492" s="3">
        <v>44562</v>
      </c>
      <c r="I1492" s="3">
        <v>44926</v>
      </c>
      <c r="J1492" t="s">
        <v>135</v>
      </c>
      <c r="K1492">
        <v>958300</v>
      </c>
      <c r="L1492" t="s">
        <v>160</v>
      </c>
      <c r="M1492" t="s">
        <v>110</v>
      </c>
      <c r="O1492" t="s">
        <v>947</v>
      </c>
      <c r="P1492" t="s">
        <v>550</v>
      </c>
      <c r="Q1492">
        <v>2022</v>
      </c>
      <c r="R1492" t="s">
        <v>605</v>
      </c>
      <c r="S1492" t="s">
        <v>606</v>
      </c>
      <c r="T1492" t="s">
        <v>553</v>
      </c>
      <c r="U1492" t="b">
        <v>0</v>
      </c>
      <c r="V1492" t="s">
        <v>781</v>
      </c>
      <c r="W1492" t="s">
        <v>587</v>
      </c>
      <c r="X1492" t="s">
        <v>556</v>
      </c>
      <c r="Y1492" t="s">
        <v>472</v>
      </c>
      <c r="Z1492" t="s">
        <v>485</v>
      </c>
      <c r="AA1492" t="s">
        <v>764</v>
      </c>
      <c r="AC1492">
        <v>0</v>
      </c>
      <c r="AD1492" t="s">
        <v>565</v>
      </c>
      <c r="AE1492">
        <v>52223.085570000003</v>
      </c>
      <c r="AF1492">
        <v>5.4495549999999997E-2</v>
      </c>
      <c r="AG1492" t="s">
        <v>782</v>
      </c>
      <c r="AH1492">
        <v>1</v>
      </c>
      <c r="AI1492">
        <v>958300</v>
      </c>
      <c r="AJ1492" t="s">
        <v>561</v>
      </c>
      <c r="AK1492" t="s">
        <v>766</v>
      </c>
      <c r="AL1492" t="s">
        <v>767</v>
      </c>
      <c r="AM1492">
        <v>2022</v>
      </c>
      <c r="AN1492">
        <v>2022</v>
      </c>
      <c r="AO1492">
        <f>IF(AND(emissions[[#This Row],[Market-based]]=0,emissions[[#This Row],[Impact Type]]="CO2E"),emissions[[#This Row],[kgCO2e]],0)/1000</f>
        <v>52.223085570000002</v>
      </c>
      <c r="AP1492">
        <f>IF(AND(emissions[[#This Row],[Market-based]]=1,OR(emissions[[#This Row],[Impact Type]]="CO2E",emissions[[#This Row],[Impact Type]]="CO2E MKT")),emissions[[#This Row],[kgCO2e]],0)/1000</f>
        <v>0</v>
      </c>
      <c r="AQ1492" t="str">
        <f>_xlfn.TEXTAFTER(emissions[[#This Row],[Reporting Unit]]," &gt; ",LEN(emissions[[#This Row],[Reporting Unit]])-LEN(SUBSTITUTE(emissions[[#This Row],[Reporting Unit]],"&gt;","")))</f>
        <v>Vantage_Pittsburgh</v>
      </c>
      <c r="AR1492" t="str">
        <f>_xlfn.XLOOKUP(emissions[[#This Row],[Reporting unit name]],hierarchy!$A:$A,hierarchy!$C:$C)</f>
        <v>Office</v>
      </c>
    </row>
    <row r="1493" spans="1:44" hidden="1" x14ac:dyDescent="0.25">
      <c r="A1493">
        <v>20060</v>
      </c>
      <c r="B1493" t="s">
        <v>308</v>
      </c>
      <c r="C1493" t="s">
        <v>501</v>
      </c>
      <c r="D1493" t="s">
        <v>548</v>
      </c>
      <c r="E1493" s="3">
        <v>44562</v>
      </c>
      <c r="F1493" s="3">
        <v>44926</v>
      </c>
      <c r="G1493" t="s">
        <v>135</v>
      </c>
      <c r="H1493" s="3">
        <v>44562</v>
      </c>
      <c r="I1493" s="3">
        <v>44926</v>
      </c>
      <c r="J1493" t="s">
        <v>135</v>
      </c>
      <c r="K1493">
        <v>958300</v>
      </c>
      <c r="L1493" t="s">
        <v>160</v>
      </c>
      <c r="M1493" t="s">
        <v>110</v>
      </c>
      <c r="O1493" t="s">
        <v>947</v>
      </c>
      <c r="P1493" t="s">
        <v>550</v>
      </c>
      <c r="Q1493">
        <v>2022</v>
      </c>
      <c r="R1493" t="s">
        <v>605</v>
      </c>
      <c r="S1493" t="s">
        <v>606</v>
      </c>
      <c r="T1493" t="s">
        <v>553</v>
      </c>
      <c r="U1493" t="b">
        <v>0</v>
      </c>
      <c r="V1493" t="s">
        <v>781</v>
      </c>
      <c r="W1493" t="s">
        <v>587</v>
      </c>
      <c r="X1493" t="s">
        <v>556</v>
      </c>
      <c r="Y1493" t="s">
        <v>472</v>
      </c>
      <c r="Z1493" t="s">
        <v>485</v>
      </c>
      <c r="AA1493" t="s">
        <v>764</v>
      </c>
      <c r="AC1493">
        <v>0</v>
      </c>
      <c r="AD1493" t="s">
        <v>566</v>
      </c>
      <c r="AE1493">
        <v>28.55734</v>
      </c>
      <c r="AF1493">
        <v>2.9799999999999999E-5</v>
      </c>
      <c r="AG1493" t="s">
        <v>782</v>
      </c>
      <c r="AH1493">
        <v>1</v>
      </c>
      <c r="AI1493">
        <v>958300</v>
      </c>
      <c r="AJ1493" t="s">
        <v>561</v>
      </c>
      <c r="AK1493" t="s">
        <v>766</v>
      </c>
      <c r="AL1493" t="s">
        <v>767</v>
      </c>
      <c r="AM1493">
        <v>2022</v>
      </c>
      <c r="AN1493">
        <v>2022</v>
      </c>
      <c r="AO1493">
        <f>IF(AND(emissions[[#This Row],[Market-based]]=0,emissions[[#This Row],[Impact Type]]="CO2E"),emissions[[#This Row],[kgCO2e]],0)/1000</f>
        <v>0</v>
      </c>
      <c r="AP1493">
        <f>IF(AND(emissions[[#This Row],[Market-based]]=1,OR(emissions[[#This Row],[Impact Type]]="CO2E",emissions[[#This Row],[Impact Type]]="CO2E MKT")),emissions[[#This Row],[kgCO2e]],0)/1000</f>
        <v>0</v>
      </c>
      <c r="AQ1493" t="str">
        <f>_xlfn.TEXTAFTER(emissions[[#This Row],[Reporting Unit]]," &gt; ",LEN(emissions[[#This Row],[Reporting Unit]])-LEN(SUBSTITUTE(emissions[[#This Row],[Reporting Unit]],"&gt;","")))</f>
        <v>Vantage_Pittsburgh</v>
      </c>
      <c r="AR1493" t="str">
        <f>_xlfn.XLOOKUP(emissions[[#This Row],[Reporting unit name]],hierarchy!$A:$A,hierarchy!$C:$C)</f>
        <v>Office</v>
      </c>
    </row>
    <row r="1494" spans="1:44" hidden="1" x14ac:dyDescent="0.25">
      <c r="A1494">
        <v>20060</v>
      </c>
      <c r="B1494" t="s">
        <v>308</v>
      </c>
      <c r="C1494" t="s">
        <v>501</v>
      </c>
      <c r="D1494" t="s">
        <v>548</v>
      </c>
      <c r="E1494" s="3">
        <v>44562</v>
      </c>
      <c r="F1494" s="3">
        <v>44926</v>
      </c>
      <c r="G1494" t="s">
        <v>135</v>
      </c>
      <c r="H1494" s="3">
        <v>44562</v>
      </c>
      <c r="I1494" s="3">
        <v>44926</v>
      </c>
      <c r="J1494" t="s">
        <v>135</v>
      </c>
      <c r="K1494">
        <v>958300</v>
      </c>
      <c r="L1494" t="s">
        <v>160</v>
      </c>
      <c r="M1494" t="s">
        <v>110</v>
      </c>
      <c r="O1494" t="s">
        <v>947</v>
      </c>
      <c r="P1494" t="s">
        <v>550</v>
      </c>
      <c r="Q1494">
        <v>2022</v>
      </c>
      <c r="R1494" t="s">
        <v>605</v>
      </c>
      <c r="S1494" t="s">
        <v>606</v>
      </c>
      <c r="T1494" t="s">
        <v>553</v>
      </c>
      <c r="U1494" t="b">
        <v>0</v>
      </c>
      <c r="V1494" t="s">
        <v>781</v>
      </c>
      <c r="W1494" t="s">
        <v>587</v>
      </c>
      <c r="X1494" t="s">
        <v>556</v>
      </c>
      <c r="Y1494" t="s">
        <v>472</v>
      </c>
      <c r="Z1494" t="s">
        <v>485</v>
      </c>
      <c r="AA1494" t="s">
        <v>764</v>
      </c>
      <c r="AC1494">
        <v>1</v>
      </c>
      <c r="AD1494" t="s">
        <v>558</v>
      </c>
      <c r="AE1494">
        <v>24.676224999999999</v>
      </c>
      <c r="AF1494">
        <v>2.5749999999999999E-5</v>
      </c>
      <c r="AG1494" t="s">
        <v>782</v>
      </c>
      <c r="AH1494">
        <v>1</v>
      </c>
      <c r="AI1494">
        <v>958300</v>
      </c>
      <c r="AJ1494" t="s">
        <v>561</v>
      </c>
      <c r="AK1494" t="s">
        <v>766</v>
      </c>
      <c r="AL1494" t="s">
        <v>767</v>
      </c>
      <c r="AM1494">
        <v>2022</v>
      </c>
      <c r="AN1494">
        <v>2022</v>
      </c>
      <c r="AO1494">
        <f>IF(AND(emissions[[#This Row],[Market-based]]=0,emissions[[#This Row],[Impact Type]]="CO2E"),emissions[[#This Row],[kgCO2e]],0)/1000</f>
        <v>0</v>
      </c>
      <c r="AP1494">
        <f>IF(AND(emissions[[#This Row],[Market-based]]=1,OR(emissions[[#This Row],[Impact Type]]="CO2E",emissions[[#This Row],[Impact Type]]="CO2E MKT")),emissions[[#This Row],[kgCO2e]],0)/1000</f>
        <v>0</v>
      </c>
      <c r="AQ1494" t="str">
        <f>_xlfn.TEXTAFTER(emissions[[#This Row],[Reporting Unit]]," &gt; ",LEN(emissions[[#This Row],[Reporting Unit]])-LEN(SUBSTITUTE(emissions[[#This Row],[Reporting Unit]],"&gt;","")))</f>
        <v>Vantage_Pittsburgh</v>
      </c>
      <c r="AR1494" t="str">
        <f>_xlfn.XLOOKUP(emissions[[#This Row],[Reporting unit name]],hierarchy!$A:$A,hierarchy!$C:$C)</f>
        <v>Office</v>
      </c>
    </row>
    <row r="1495" spans="1:44" hidden="1" x14ac:dyDescent="0.25">
      <c r="A1495">
        <v>20060</v>
      </c>
      <c r="B1495" t="s">
        <v>308</v>
      </c>
      <c r="C1495" t="s">
        <v>501</v>
      </c>
      <c r="D1495" t="s">
        <v>548</v>
      </c>
      <c r="E1495" s="3">
        <v>44562</v>
      </c>
      <c r="F1495" s="3">
        <v>44926</v>
      </c>
      <c r="G1495" t="s">
        <v>135</v>
      </c>
      <c r="H1495" s="3">
        <v>44562</v>
      </c>
      <c r="I1495" s="3">
        <v>44926</v>
      </c>
      <c r="J1495" t="s">
        <v>135</v>
      </c>
      <c r="K1495">
        <v>958300</v>
      </c>
      <c r="L1495" t="s">
        <v>160</v>
      </c>
      <c r="M1495" t="s">
        <v>110</v>
      </c>
      <c r="O1495" t="s">
        <v>947</v>
      </c>
      <c r="P1495" t="s">
        <v>550</v>
      </c>
      <c r="Q1495">
        <v>2022</v>
      </c>
      <c r="R1495" t="s">
        <v>605</v>
      </c>
      <c r="S1495" t="s">
        <v>606</v>
      </c>
      <c r="T1495" t="s">
        <v>553</v>
      </c>
      <c r="U1495" t="b">
        <v>0</v>
      </c>
      <c r="V1495" t="s">
        <v>781</v>
      </c>
      <c r="W1495" t="s">
        <v>587</v>
      </c>
      <c r="X1495" t="s">
        <v>556</v>
      </c>
      <c r="Y1495" t="s">
        <v>472</v>
      </c>
      <c r="Z1495" t="s">
        <v>485</v>
      </c>
      <c r="AA1495" t="s">
        <v>764</v>
      </c>
      <c r="AC1495">
        <v>1</v>
      </c>
      <c r="AD1495" t="s">
        <v>564</v>
      </c>
      <c r="AE1495">
        <v>52169.851999999999</v>
      </c>
      <c r="AF1495">
        <v>5.4440000000000002E-2</v>
      </c>
      <c r="AG1495" t="s">
        <v>782</v>
      </c>
      <c r="AH1495">
        <v>1</v>
      </c>
      <c r="AI1495">
        <v>958300</v>
      </c>
      <c r="AJ1495" t="s">
        <v>561</v>
      </c>
      <c r="AK1495" t="s">
        <v>766</v>
      </c>
      <c r="AL1495" t="s">
        <v>767</v>
      </c>
      <c r="AM1495">
        <v>2022</v>
      </c>
      <c r="AN1495">
        <v>2022</v>
      </c>
      <c r="AO1495">
        <f>IF(AND(emissions[[#This Row],[Market-based]]=0,emissions[[#This Row],[Impact Type]]="CO2E"),emissions[[#This Row],[kgCO2e]],0)/1000</f>
        <v>0</v>
      </c>
      <c r="AP1495">
        <f>IF(AND(emissions[[#This Row],[Market-based]]=1,OR(emissions[[#This Row],[Impact Type]]="CO2E",emissions[[#This Row],[Impact Type]]="CO2E MKT")),emissions[[#This Row],[kgCO2e]],0)/1000</f>
        <v>0</v>
      </c>
      <c r="AQ1495" t="str">
        <f>_xlfn.TEXTAFTER(emissions[[#This Row],[Reporting Unit]]," &gt; ",LEN(emissions[[#This Row],[Reporting Unit]])-LEN(SUBSTITUTE(emissions[[#This Row],[Reporting Unit]],"&gt;","")))</f>
        <v>Vantage_Pittsburgh</v>
      </c>
      <c r="AR1495" t="str">
        <f>_xlfn.XLOOKUP(emissions[[#This Row],[Reporting unit name]],hierarchy!$A:$A,hierarchy!$C:$C)</f>
        <v>Office</v>
      </c>
    </row>
    <row r="1496" spans="1:44" hidden="1" x14ac:dyDescent="0.25">
      <c r="A1496">
        <v>20060</v>
      </c>
      <c r="B1496" t="s">
        <v>308</v>
      </c>
      <c r="C1496" t="s">
        <v>501</v>
      </c>
      <c r="D1496" t="s">
        <v>548</v>
      </c>
      <c r="E1496" s="3">
        <v>44562</v>
      </c>
      <c r="F1496" s="3">
        <v>44926</v>
      </c>
      <c r="G1496" t="s">
        <v>135</v>
      </c>
      <c r="H1496" s="3">
        <v>44562</v>
      </c>
      <c r="I1496" s="3">
        <v>44926</v>
      </c>
      <c r="J1496" t="s">
        <v>135</v>
      </c>
      <c r="K1496">
        <v>958300</v>
      </c>
      <c r="L1496" t="s">
        <v>160</v>
      </c>
      <c r="M1496" t="s">
        <v>110</v>
      </c>
      <c r="O1496" t="s">
        <v>947</v>
      </c>
      <c r="P1496" t="s">
        <v>550</v>
      </c>
      <c r="Q1496">
        <v>2022</v>
      </c>
      <c r="R1496" t="s">
        <v>605</v>
      </c>
      <c r="S1496" t="s">
        <v>606</v>
      </c>
      <c r="T1496" t="s">
        <v>553</v>
      </c>
      <c r="U1496" t="b">
        <v>0</v>
      </c>
      <c r="V1496" t="s">
        <v>781</v>
      </c>
      <c r="W1496" t="s">
        <v>587</v>
      </c>
      <c r="X1496" t="s">
        <v>556</v>
      </c>
      <c r="Y1496" t="s">
        <v>472</v>
      </c>
      <c r="Z1496" t="s">
        <v>485</v>
      </c>
      <c r="AA1496" t="s">
        <v>764</v>
      </c>
      <c r="AC1496">
        <v>1</v>
      </c>
      <c r="AD1496" t="s">
        <v>565</v>
      </c>
      <c r="AE1496">
        <v>52223.085570000003</v>
      </c>
      <c r="AF1496">
        <v>5.4495549999999997E-2</v>
      </c>
      <c r="AG1496" t="s">
        <v>782</v>
      </c>
      <c r="AH1496">
        <v>1</v>
      </c>
      <c r="AI1496">
        <v>958300</v>
      </c>
      <c r="AJ1496" t="s">
        <v>561</v>
      </c>
      <c r="AK1496" t="s">
        <v>766</v>
      </c>
      <c r="AL1496" t="s">
        <v>767</v>
      </c>
      <c r="AM1496">
        <v>2022</v>
      </c>
      <c r="AN1496">
        <v>2022</v>
      </c>
      <c r="AO1496">
        <f>IF(AND(emissions[[#This Row],[Market-based]]=0,emissions[[#This Row],[Impact Type]]="CO2E"),emissions[[#This Row],[kgCO2e]],0)/1000</f>
        <v>0</v>
      </c>
      <c r="AP1496">
        <f>IF(AND(emissions[[#This Row],[Market-based]]=1,OR(emissions[[#This Row],[Impact Type]]="CO2E",emissions[[#This Row],[Impact Type]]="CO2E MKT")),emissions[[#This Row],[kgCO2e]],0)/1000</f>
        <v>52.223085570000002</v>
      </c>
      <c r="AQ1496" t="str">
        <f>_xlfn.TEXTAFTER(emissions[[#This Row],[Reporting Unit]]," &gt; ",LEN(emissions[[#This Row],[Reporting Unit]])-LEN(SUBSTITUTE(emissions[[#This Row],[Reporting Unit]],"&gt;","")))</f>
        <v>Vantage_Pittsburgh</v>
      </c>
      <c r="AR1496" t="str">
        <f>_xlfn.XLOOKUP(emissions[[#This Row],[Reporting unit name]],hierarchy!$A:$A,hierarchy!$C:$C)</f>
        <v>Office</v>
      </c>
    </row>
    <row r="1497" spans="1:44" hidden="1" x14ac:dyDescent="0.25">
      <c r="A1497">
        <v>20060</v>
      </c>
      <c r="B1497" t="s">
        <v>308</v>
      </c>
      <c r="C1497" t="s">
        <v>501</v>
      </c>
      <c r="D1497" t="s">
        <v>548</v>
      </c>
      <c r="E1497" s="3">
        <v>44562</v>
      </c>
      <c r="F1497" s="3">
        <v>44926</v>
      </c>
      <c r="G1497" t="s">
        <v>135</v>
      </c>
      <c r="H1497" s="3">
        <v>44562</v>
      </c>
      <c r="I1497" s="3">
        <v>44926</v>
      </c>
      <c r="J1497" t="s">
        <v>135</v>
      </c>
      <c r="K1497">
        <v>958300</v>
      </c>
      <c r="L1497" t="s">
        <v>160</v>
      </c>
      <c r="M1497" t="s">
        <v>110</v>
      </c>
      <c r="O1497" t="s">
        <v>947</v>
      </c>
      <c r="P1497" t="s">
        <v>550</v>
      </c>
      <c r="Q1497">
        <v>2022</v>
      </c>
      <c r="R1497" t="s">
        <v>605</v>
      </c>
      <c r="S1497" t="s">
        <v>606</v>
      </c>
      <c r="T1497" t="s">
        <v>553</v>
      </c>
      <c r="U1497" t="b">
        <v>0</v>
      </c>
      <c r="V1497" t="s">
        <v>781</v>
      </c>
      <c r="W1497" t="s">
        <v>587</v>
      </c>
      <c r="X1497" t="s">
        <v>556</v>
      </c>
      <c r="Y1497" t="s">
        <v>472</v>
      </c>
      <c r="Z1497" t="s">
        <v>485</v>
      </c>
      <c r="AA1497" t="s">
        <v>764</v>
      </c>
      <c r="AC1497">
        <v>1</v>
      </c>
      <c r="AD1497" t="s">
        <v>566</v>
      </c>
      <c r="AE1497">
        <v>28.55734</v>
      </c>
      <c r="AF1497">
        <v>2.9799999999999999E-5</v>
      </c>
      <c r="AG1497" t="s">
        <v>782</v>
      </c>
      <c r="AH1497">
        <v>1</v>
      </c>
      <c r="AI1497">
        <v>958300</v>
      </c>
      <c r="AJ1497" t="s">
        <v>561</v>
      </c>
      <c r="AK1497" t="s">
        <v>766</v>
      </c>
      <c r="AL1497" t="s">
        <v>767</v>
      </c>
      <c r="AM1497">
        <v>2022</v>
      </c>
      <c r="AN1497">
        <v>2022</v>
      </c>
      <c r="AO1497">
        <f>IF(AND(emissions[[#This Row],[Market-based]]=0,emissions[[#This Row],[Impact Type]]="CO2E"),emissions[[#This Row],[kgCO2e]],0)/1000</f>
        <v>0</v>
      </c>
      <c r="AP1497">
        <f>IF(AND(emissions[[#This Row],[Market-based]]=1,OR(emissions[[#This Row],[Impact Type]]="CO2E",emissions[[#This Row],[Impact Type]]="CO2E MKT")),emissions[[#This Row],[kgCO2e]],0)/1000</f>
        <v>0</v>
      </c>
      <c r="AQ1497" t="str">
        <f>_xlfn.TEXTAFTER(emissions[[#This Row],[Reporting Unit]]," &gt; ",LEN(emissions[[#This Row],[Reporting Unit]])-LEN(SUBSTITUTE(emissions[[#This Row],[Reporting Unit]],"&gt;","")))</f>
        <v>Vantage_Pittsburgh</v>
      </c>
      <c r="AR1497" t="str">
        <f>_xlfn.XLOOKUP(emissions[[#This Row],[Reporting unit name]],hierarchy!$A:$A,hierarchy!$C:$C)</f>
        <v>Office</v>
      </c>
    </row>
    <row r="1498" spans="1:44" hidden="1" x14ac:dyDescent="0.25">
      <c r="A1498">
        <v>20060</v>
      </c>
      <c r="B1498" t="s">
        <v>308</v>
      </c>
      <c r="C1498" t="s">
        <v>501</v>
      </c>
      <c r="D1498" t="s">
        <v>548</v>
      </c>
      <c r="E1498" s="3">
        <v>44562</v>
      </c>
      <c r="F1498" s="3">
        <v>44926</v>
      </c>
      <c r="G1498" t="s">
        <v>135</v>
      </c>
      <c r="H1498" s="3">
        <v>44562</v>
      </c>
      <c r="I1498" s="3">
        <v>44926</v>
      </c>
      <c r="J1498" t="s">
        <v>135</v>
      </c>
      <c r="K1498">
        <v>958300</v>
      </c>
      <c r="L1498" t="s">
        <v>160</v>
      </c>
      <c r="M1498" t="s">
        <v>110</v>
      </c>
      <c r="O1498" t="s">
        <v>947</v>
      </c>
      <c r="P1498" t="s">
        <v>550</v>
      </c>
      <c r="Q1498">
        <v>2022</v>
      </c>
      <c r="R1498" t="s">
        <v>609</v>
      </c>
      <c r="S1498" t="s">
        <v>610</v>
      </c>
      <c r="T1498" t="s">
        <v>577</v>
      </c>
      <c r="U1498" t="b">
        <v>0</v>
      </c>
      <c r="V1498" t="s">
        <v>632</v>
      </c>
      <c r="W1498" t="s">
        <v>571</v>
      </c>
      <c r="X1498" t="s">
        <v>572</v>
      </c>
      <c r="AC1498">
        <v>0</v>
      </c>
      <c r="AD1498" t="s">
        <v>565</v>
      </c>
      <c r="AE1498">
        <v>9318.4987739999997</v>
      </c>
      <c r="AF1498">
        <v>0.34339999999999998</v>
      </c>
      <c r="AG1498" t="s">
        <v>783</v>
      </c>
      <c r="AH1498">
        <v>2.83168E-2</v>
      </c>
      <c r="AI1498">
        <v>27135.989440000001</v>
      </c>
      <c r="AJ1498" t="s">
        <v>561</v>
      </c>
      <c r="AK1498" t="s">
        <v>589</v>
      </c>
      <c r="AL1498" t="s">
        <v>590</v>
      </c>
      <c r="AM1498">
        <v>2022</v>
      </c>
      <c r="AN1498">
        <v>2020</v>
      </c>
      <c r="AO1498">
        <f>IF(AND(emissions[[#This Row],[Market-based]]=0,emissions[[#This Row],[Impact Type]]="CO2E"),emissions[[#This Row],[kgCO2e]],0)/1000</f>
        <v>9.318498774</v>
      </c>
      <c r="AP1498">
        <f>IF(AND(emissions[[#This Row],[Market-based]]=1,OR(emissions[[#This Row],[Impact Type]]="CO2E",emissions[[#This Row],[Impact Type]]="CO2E MKT")),emissions[[#This Row],[kgCO2e]],0)/1000</f>
        <v>0</v>
      </c>
      <c r="AQ1498" t="str">
        <f>_xlfn.TEXTAFTER(emissions[[#This Row],[Reporting Unit]]," &gt; ",LEN(emissions[[#This Row],[Reporting Unit]])-LEN(SUBSTITUTE(emissions[[#This Row],[Reporting Unit]],"&gt;","")))</f>
        <v>Vantage_Pittsburgh</v>
      </c>
      <c r="AR1498" t="str">
        <f>_xlfn.XLOOKUP(emissions[[#This Row],[Reporting unit name]],hierarchy!$A:$A,hierarchy!$C:$C)</f>
        <v>Office</v>
      </c>
    </row>
    <row r="1499" spans="1:44" hidden="1" x14ac:dyDescent="0.25">
      <c r="A1499">
        <v>20060</v>
      </c>
      <c r="B1499" t="s">
        <v>308</v>
      </c>
      <c r="C1499" t="s">
        <v>501</v>
      </c>
      <c r="D1499" t="s">
        <v>548</v>
      </c>
      <c r="E1499" s="3">
        <v>44562</v>
      </c>
      <c r="F1499" s="3">
        <v>44926</v>
      </c>
      <c r="G1499" t="s">
        <v>135</v>
      </c>
      <c r="H1499" s="3">
        <v>44562</v>
      </c>
      <c r="I1499" s="3">
        <v>44926</v>
      </c>
      <c r="J1499" t="s">
        <v>135</v>
      </c>
      <c r="K1499">
        <v>958300</v>
      </c>
      <c r="L1499" t="s">
        <v>160</v>
      </c>
      <c r="M1499" t="s">
        <v>110</v>
      </c>
      <c r="O1499" t="s">
        <v>947</v>
      </c>
      <c r="P1499" t="s">
        <v>550</v>
      </c>
      <c r="Q1499">
        <v>2022</v>
      </c>
      <c r="R1499" t="s">
        <v>609</v>
      </c>
      <c r="S1499" t="s">
        <v>610</v>
      </c>
      <c r="T1499" t="s">
        <v>577</v>
      </c>
      <c r="U1499" t="b">
        <v>0</v>
      </c>
      <c r="V1499" t="s">
        <v>632</v>
      </c>
      <c r="W1499" t="s">
        <v>571</v>
      </c>
      <c r="X1499" t="s">
        <v>572</v>
      </c>
      <c r="AC1499">
        <v>1</v>
      </c>
      <c r="AD1499" t="s">
        <v>565</v>
      </c>
      <c r="AE1499">
        <v>9318.4987739999997</v>
      </c>
      <c r="AF1499">
        <v>0.34339999999999998</v>
      </c>
      <c r="AG1499" t="s">
        <v>783</v>
      </c>
      <c r="AH1499">
        <v>2.83168E-2</v>
      </c>
      <c r="AI1499">
        <v>27135.989440000001</v>
      </c>
      <c r="AJ1499" t="s">
        <v>561</v>
      </c>
      <c r="AK1499" t="s">
        <v>589</v>
      </c>
      <c r="AL1499" t="s">
        <v>590</v>
      </c>
      <c r="AM1499">
        <v>2022</v>
      </c>
      <c r="AN1499">
        <v>2020</v>
      </c>
      <c r="AO1499">
        <f>IF(AND(emissions[[#This Row],[Market-based]]=0,emissions[[#This Row],[Impact Type]]="CO2E"),emissions[[#This Row],[kgCO2e]],0)/1000</f>
        <v>0</v>
      </c>
      <c r="AP1499">
        <f>IF(AND(emissions[[#This Row],[Market-based]]=1,OR(emissions[[#This Row],[Impact Type]]="CO2E",emissions[[#This Row],[Impact Type]]="CO2E MKT")),emissions[[#This Row],[kgCO2e]],0)/1000</f>
        <v>9.318498774</v>
      </c>
      <c r="AQ1499" t="str">
        <f>_xlfn.TEXTAFTER(emissions[[#This Row],[Reporting Unit]]," &gt; ",LEN(emissions[[#This Row],[Reporting Unit]])-LEN(SUBSTITUTE(emissions[[#This Row],[Reporting Unit]],"&gt;","")))</f>
        <v>Vantage_Pittsburgh</v>
      </c>
      <c r="AR1499" t="str">
        <f>_xlfn.XLOOKUP(emissions[[#This Row],[Reporting unit name]],hierarchy!$A:$A,hierarchy!$C:$C)</f>
        <v>Office</v>
      </c>
    </row>
    <row r="1500" spans="1:44" hidden="1" x14ac:dyDescent="0.25">
      <c r="A1500">
        <v>284002</v>
      </c>
      <c r="B1500" t="s">
        <v>308</v>
      </c>
      <c r="C1500" t="s">
        <v>501</v>
      </c>
      <c r="D1500" t="s">
        <v>548</v>
      </c>
      <c r="E1500" s="3">
        <v>44562</v>
      </c>
      <c r="F1500" s="3">
        <v>44926</v>
      </c>
      <c r="G1500" t="s">
        <v>141</v>
      </c>
      <c r="H1500" s="3">
        <v>44562</v>
      </c>
      <c r="I1500" s="3">
        <v>44926</v>
      </c>
      <c r="J1500" t="s">
        <v>187</v>
      </c>
      <c r="K1500">
        <v>0</v>
      </c>
      <c r="L1500" t="s">
        <v>140</v>
      </c>
      <c r="M1500" t="s">
        <v>110</v>
      </c>
      <c r="O1500" t="s">
        <v>948</v>
      </c>
      <c r="P1500" t="s">
        <v>550</v>
      </c>
      <c r="Q1500">
        <v>2022</v>
      </c>
      <c r="R1500" t="s">
        <v>654</v>
      </c>
      <c r="S1500" t="s">
        <v>655</v>
      </c>
      <c r="T1500" t="s">
        <v>553</v>
      </c>
      <c r="U1500" t="b">
        <v>0</v>
      </c>
      <c r="V1500" t="s">
        <v>656</v>
      </c>
      <c r="W1500" t="s">
        <v>587</v>
      </c>
      <c r="X1500" t="s">
        <v>556</v>
      </c>
      <c r="AC1500">
        <v>0</v>
      </c>
      <c r="AD1500" t="s">
        <v>558</v>
      </c>
      <c r="AE1500">
        <v>0</v>
      </c>
      <c r="AF1500">
        <v>7.6000000000000004E-4</v>
      </c>
      <c r="AG1500" t="s">
        <v>608</v>
      </c>
      <c r="AH1500">
        <v>2.9306999999999998E-4</v>
      </c>
      <c r="AI1500">
        <v>0</v>
      </c>
      <c r="AJ1500" t="s">
        <v>561</v>
      </c>
      <c r="AK1500" t="s">
        <v>589</v>
      </c>
      <c r="AL1500" t="s">
        <v>590</v>
      </c>
      <c r="AM1500">
        <v>2022</v>
      </c>
      <c r="AN1500">
        <v>2020</v>
      </c>
      <c r="AO1500">
        <f>IF(AND(emissions[[#This Row],[Market-based]]=0,emissions[[#This Row],[Impact Type]]="CO2E"),emissions[[#This Row],[kgCO2e]],0)/1000</f>
        <v>0</v>
      </c>
      <c r="AP1500">
        <f>IF(AND(emissions[[#This Row],[Market-based]]=1,OR(emissions[[#This Row],[Impact Type]]="CO2E",emissions[[#This Row],[Impact Type]]="CO2E MKT")),emissions[[#This Row],[kgCO2e]],0)/1000</f>
        <v>0</v>
      </c>
      <c r="AQ1500" t="str">
        <f>_xlfn.TEXTAFTER(emissions[[#This Row],[Reporting Unit]]," &gt; ",LEN(emissions[[#This Row],[Reporting Unit]])-LEN(SUBSTITUTE(emissions[[#This Row],[Reporting Unit]],"&gt;","")))</f>
        <v>Vantage_Pittsburgh</v>
      </c>
      <c r="AR1500" t="str">
        <f>_xlfn.XLOOKUP(emissions[[#This Row],[Reporting unit name]],hierarchy!$A:$A,hierarchy!$C:$C)</f>
        <v>Office</v>
      </c>
    </row>
    <row r="1501" spans="1:44" hidden="1" x14ac:dyDescent="0.25">
      <c r="A1501">
        <v>284002</v>
      </c>
      <c r="B1501" t="s">
        <v>308</v>
      </c>
      <c r="C1501" t="s">
        <v>501</v>
      </c>
      <c r="D1501" t="s">
        <v>548</v>
      </c>
      <c r="E1501" s="3">
        <v>44562</v>
      </c>
      <c r="F1501" s="3">
        <v>44926</v>
      </c>
      <c r="G1501" t="s">
        <v>141</v>
      </c>
      <c r="H1501" s="3">
        <v>44562</v>
      </c>
      <c r="I1501" s="3">
        <v>44926</v>
      </c>
      <c r="J1501" t="s">
        <v>187</v>
      </c>
      <c r="K1501">
        <v>0</v>
      </c>
      <c r="L1501" t="s">
        <v>140</v>
      </c>
      <c r="M1501" t="s">
        <v>110</v>
      </c>
      <c r="O1501" t="s">
        <v>948</v>
      </c>
      <c r="P1501" t="s">
        <v>550</v>
      </c>
      <c r="Q1501">
        <v>2022</v>
      </c>
      <c r="R1501" t="s">
        <v>654</v>
      </c>
      <c r="S1501" t="s">
        <v>655</v>
      </c>
      <c r="T1501" t="s">
        <v>553</v>
      </c>
      <c r="U1501" t="b">
        <v>0</v>
      </c>
      <c r="V1501" t="s">
        <v>656</v>
      </c>
      <c r="W1501" t="s">
        <v>587</v>
      </c>
      <c r="X1501" t="s">
        <v>556</v>
      </c>
      <c r="AC1501">
        <v>0</v>
      </c>
      <c r="AD1501" t="s">
        <v>564</v>
      </c>
      <c r="AE1501">
        <v>0</v>
      </c>
      <c r="AF1501">
        <v>0.24010999999999999</v>
      </c>
      <c r="AG1501" t="s">
        <v>608</v>
      </c>
      <c r="AH1501">
        <v>2.9306999999999998E-4</v>
      </c>
      <c r="AI1501">
        <v>0</v>
      </c>
      <c r="AJ1501" t="s">
        <v>561</v>
      </c>
      <c r="AK1501" t="s">
        <v>589</v>
      </c>
      <c r="AL1501" t="s">
        <v>590</v>
      </c>
      <c r="AM1501">
        <v>2022</v>
      </c>
      <c r="AN1501">
        <v>2020</v>
      </c>
      <c r="AO1501">
        <f>IF(AND(emissions[[#This Row],[Market-based]]=0,emissions[[#This Row],[Impact Type]]="CO2E"),emissions[[#This Row],[kgCO2e]],0)/1000</f>
        <v>0</v>
      </c>
      <c r="AP1501">
        <f>IF(AND(emissions[[#This Row],[Market-based]]=1,OR(emissions[[#This Row],[Impact Type]]="CO2E",emissions[[#This Row],[Impact Type]]="CO2E MKT")),emissions[[#This Row],[kgCO2e]],0)/1000</f>
        <v>0</v>
      </c>
      <c r="AQ1501" t="str">
        <f>_xlfn.TEXTAFTER(emissions[[#This Row],[Reporting Unit]]," &gt; ",LEN(emissions[[#This Row],[Reporting Unit]])-LEN(SUBSTITUTE(emissions[[#This Row],[Reporting Unit]],"&gt;","")))</f>
        <v>Vantage_Pittsburgh</v>
      </c>
      <c r="AR1501" t="str">
        <f>_xlfn.XLOOKUP(emissions[[#This Row],[Reporting unit name]],hierarchy!$A:$A,hierarchy!$C:$C)</f>
        <v>Office</v>
      </c>
    </row>
    <row r="1502" spans="1:44" hidden="1" x14ac:dyDescent="0.25">
      <c r="A1502">
        <v>284002</v>
      </c>
      <c r="B1502" t="s">
        <v>308</v>
      </c>
      <c r="C1502" t="s">
        <v>501</v>
      </c>
      <c r="D1502" t="s">
        <v>548</v>
      </c>
      <c r="E1502" s="3">
        <v>44562</v>
      </c>
      <c r="F1502" s="3">
        <v>44926</v>
      </c>
      <c r="G1502" t="s">
        <v>141</v>
      </c>
      <c r="H1502" s="3">
        <v>44562</v>
      </c>
      <c r="I1502" s="3">
        <v>44926</v>
      </c>
      <c r="J1502" t="s">
        <v>187</v>
      </c>
      <c r="K1502">
        <v>0</v>
      </c>
      <c r="L1502" t="s">
        <v>140</v>
      </c>
      <c r="M1502" t="s">
        <v>110</v>
      </c>
      <c r="O1502" t="s">
        <v>948</v>
      </c>
      <c r="P1502" t="s">
        <v>550</v>
      </c>
      <c r="Q1502">
        <v>2022</v>
      </c>
      <c r="R1502" t="s">
        <v>654</v>
      </c>
      <c r="S1502" t="s">
        <v>655</v>
      </c>
      <c r="T1502" t="s">
        <v>553</v>
      </c>
      <c r="U1502" t="b">
        <v>0</v>
      </c>
      <c r="V1502" t="s">
        <v>656</v>
      </c>
      <c r="W1502" t="s">
        <v>587</v>
      </c>
      <c r="X1502" t="s">
        <v>556</v>
      </c>
      <c r="AC1502">
        <v>0</v>
      </c>
      <c r="AD1502" t="s">
        <v>565</v>
      </c>
      <c r="AE1502">
        <v>0</v>
      </c>
      <c r="AF1502">
        <v>0.24156</v>
      </c>
      <c r="AG1502" t="s">
        <v>608</v>
      </c>
      <c r="AH1502">
        <v>2.9306999999999998E-4</v>
      </c>
      <c r="AI1502">
        <v>0</v>
      </c>
      <c r="AJ1502" t="s">
        <v>561</v>
      </c>
      <c r="AK1502" t="s">
        <v>589</v>
      </c>
      <c r="AL1502" t="s">
        <v>590</v>
      </c>
      <c r="AM1502">
        <v>2022</v>
      </c>
      <c r="AN1502">
        <v>2020</v>
      </c>
      <c r="AO1502">
        <f>IF(AND(emissions[[#This Row],[Market-based]]=0,emissions[[#This Row],[Impact Type]]="CO2E"),emissions[[#This Row],[kgCO2e]],0)/1000</f>
        <v>0</v>
      </c>
      <c r="AP1502">
        <f>IF(AND(emissions[[#This Row],[Market-based]]=1,OR(emissions[[#This Row],[Impact Type]]="CO2E",emissions[[#This Row],[Impact Type]]="CO2E MKT")),emissions[[#This Row],[kgCO2e]],0)/1000</f>
        <v>0</v>
      </c>
      <c r="AQ1502" t="str">
        <f>_xlfn.TEXTAFTER(emissions[[#This Row],[Reporting Unit]]," &gt; ",LEN(emissions[[#This Row],[Reporting Unit]])-LEN(SUBSTITUTE(emissions[[#This Row],[Reporting Unit]],"&gt;","")))</f>
        <v>Vantage_Pittsburgh</v>
      </c>
      <c r="AR1502" t="str">
        <f>_xlfn.XLOOKUP(emissions[[#This Row],[Reporting unit name]],hierarchy!$A:$A,hierarchy!$C:$C)</f>
        <v>Office</v>
      </c>
    </row>
    <row r="1503" spans="1:44" hidden="1" x14ac:dyDescent="0.25">
      <c r="A1503">
        <v>284002</v>
      </c>
      <c r="B1503" t="s">
        <v>308</v>
      </c>
      <c r="C1503" t="s">
        <v>501</v>
      </c>
      <c r="D1503" t="s">
        <v>548</v>
      </c>
      <c r="E1503" s="3">
        <v>44562</v>
      </c>
      <c r="F1503" s="3">
        <v>44926</v>
      </c>
      <c r="G1503" t="s">
        <v>141</v>
      </c>
      <c r="H1503" s="3">
        <v>44562</v>
      </c>
      <c r="I1503" s="3">
        <v>44926</v>
      </c>
      <c r="J1503" t="s">
        <v>187</v>
      </c>
      <c r="K1503">
        <v>0</v>
      </c>
      <c r="L1503" t="s">
        <v>140</v>
      </c>
      <c r="M1503" t="s">
        <v>110</v>
      </c>
      <c r="O1503" t="s">
        <v>948</v>
      </c>
      <c r="P1503" t="s">
        <v>550</v>
      </c>
      <c r="Q1503">
        <v>2022</v>
      </c>
      <c r="R1503" t="s">
        <v>654</v>
      </c>
      <c r="S1503" t="s">
        <v>655</v>
      </c>
      <c r="T1503" t="s">
        <v>553</v>
      </c>
      <c r="U1503" t="b">
        <v>0</v>
      </c>
      <c r="V1503" t="s">
        <v>656</v>
      </c>
      <c r="W1503" t="s">
        <v>587</v>
      </c>
      <c r="X1503" t="s">
        <v>556</v>
      </c>
      <c r="AC1503">
        <v>0</v>
      </c>
      <c r="AD1503" t="s">
        <v>566</v>
      </c>
      <c r="AE1503">
        <v>0</v>
      </c>
      <c r="AF1503">
        <v>6.8999999999999997E-4</v>
      </c>
      <c r="AG1503" t="s">
        <v>608</v>
      </c>
      <c r="AH1503">
        <v>2.9306999999999998E-4</v>
      </c>
      <c r="AI1503">
        <v>0</v>
      </c>
      <c r="AJ1503" t="s">
        <v>561</v>
      </c>
      <c r="AK1503" t="s">
        <v>589</v>
      </c>
      <c r="AL1503" t="s">
        <v>590</v>
      </c>
      <c r="AM1503">
        <v>2022</v>
      </c>
      <c r="AN1503">
        <v>2020</v>
      </c>
      <c r="AO1503">
        <f>IF(AND(emissions[[#This Row],[Market-based]]=0,emissions[[#This Row],[Impact Type]]="CO2E"),emissions[[#This Row],[kgCO2e]],0)/1000</f>
        <v>0</v>
      </c>
      <c r="AP1503">
        <f>IF(AND(emissions[[#This Row],[Market-based]]=1,OR(emissions[[#This Row],[Impact Type]]="CO2E",emissions[[#This Row],[Impact Type]]="CO2E MKT")),emissions[[#This Row],[kgCO2e]],0)/1000</f>
        <v>0</v>
      </c>
      <c r="AQ1503" t="str">
        <f>_xlfn.TEXTAFTER(emissions[[#This Row],[Reporting Unit]]," &gt; ",LEN(emissions[[#This Row],[Reporting Unit]])-LEN(SUBSTITUTE(emissions[[#This Row],[Reporting Unit]],"&gt;","")))</f>
        <v>Vantage_Pittsburgh</v>
      </c>
      <c r="AR1503" t="str">
        <f>_xlfn.XLOOKUP(emissions[[#This Row],[Reporting unit name]],hierarchy!$A:$A,hierarchy!$C:$C)</f>
        <v>Office</v>
      </c>
    </row>
    <row r="1504" spans="1:44" hidden="1" x14ac:dyDescent="0.25">
      <c r="A1504">
        <v>284002</v>
      </c>
      <c r="B1504" t="s">
        <v>308</v>
      </c>
      <c r="C1504" t="s">
        <v>501</v>
      </c>
      <c r="D1504" t="s">
        <v>548</v>
      </c>
      <c r="E1504" s="3">
        <v>44562</v>
      </c>
      <c r="F1504" s="3">
        <v>44926</v>
      </c>
      <c r="G1504" t="s">
        <v>141</v>
      </c>
      <c r="H1504" s="3">
        <v>44562</v>
      </c>
      <c r="I1504" s="3">
        <v>44926</v>
      </c>
      <c r="J1504" t="s">
        <v>187</v>
      </c>
      <c r="K1504">
        <v>0</v>
      </c>
      <c r="L1504" t="s">
        <v>140</v>
      </c>
      <c r="M1504" t="s">
        <v>110</v>
      </c>
      <c r="O1504" t="s">
        <v>948</v>
      </c>
      <c r="P1504" t="s">
        <v>550</v>
      </c>
      <c r="Q1504">
        <v>2022</v>
      </c>
      <c r="R1504" t="s">
        <v>654</v>
      </c>
      <c r="S1504" t="s">
        <v>655</v>
      </c>
      <c r="T1504" t="s">
        <v>553</v>
      </c>
      <c r="U1504" t="b">
        <v>0</v>
      </c>
      <c r="V1504" t="s">
        <v>656</v>
      </c>
      <c r="W1504" t="s">
        <v>587</v>
      </c>
      <c r="X1504" t="s">
        <v>556</v>
      </c>
      <c r="AC1504">
        <v>1</v>
      </c>
      <c r="AD1504" t="s">
        <v>558</v>
      </c>
      <c r="AE1504">
        <v>0</v>
      </c>
      <c r="AF1504">
        <v>7.6000000000000004E-4</v>
      </c>
      <c r="AG1504" t="s">
        <v>608</v>
      </c>
      <c r="AH1504">
        <v>2.9306999999999998E-4</v>
      </c>
      <c r="AI1504">
        <v>0</v>
      </c>
      <c r="AJ1504" t="s">
        <v>561</v>
      </c>
      <c r="AK1504" t="s">
        <v>589</v>
      </c>
      <c r="AL1504" t="s">
        <v>590</v>
      </c>
      <c r="AM1504">
        <v>2022</v>
      </c>
      <c r="AN1504">
        <v>2020</v>
      </c>
      <c r="AO1504">
        <f>IF(AND(emissions[[#This Row],[Market-based]]=0,emissions[[#This Row],[Impact Type]]="CO2E"),emissions[[#This Row],[kgCO2e]],0)/1000</f>
        <v>0</v>
      </c>
      <c r="AP1504">
        <f>IF(AND(emissions[[#This Row],[Market-based]]=1,OR(emissions[[#This Row],[Impact Type]]="CO2E",emissions[[#This Row],[Impact Type]]="CO2E MKT")),emissions[[#This Row],[kgCO2e]],0)/1000</f>
        <v>0</v>
      </c>
      <c r="AQ1504" t="str">
        <f>_xlfn.TEXTAFTER(emissions[[#This Row],[Reporting Unit]]," &gt; ",LEN(emissions[[#This Row],[Reporting Unit]])-LEN(SUBSTITUTE(emissions[[#This Row],[Reporting Unit]],"&gt;","")))</f>
        <v>Vantage_Pittsburgh</v>
      </c>
      <c r="AR1504" t="str">
        <f>_xlfn.XLOOKUP(emissions[[#This Row],[Reporting unit name]],hierarchy!$A:$A,hierarchy!$C:$C)</f>
        <v>Office</v>
      </c>
    </row>
    <row r="1505" spans="1:44" hidden="1" x14ac:dyDescent="0.25">
      <c r="A1505">
        <v>284002</v>
      </c>
      <c r="B1505" t="s">
        <v>308</v>
      </c>
      <c r="C1505" t="s">
        <v>501</v>
      </c>
      <c r="D1505" t="s">
        <v>548</v>
      </c>
      <c r="E1505" s="3">
        <v>44562</v>
      </c>
      <c r="F1505" s="3">
        <v>44926</v>
      </c>
      <c r="G1505" t="s">
        <v>141</v>
      </c>
      <c r="H1505" s="3">
        <v>44562</v>
      </c>
      <c r="I1505" s="3">
        <v>44926</v>
      </c>
      <c r="J1505" t="s">
        <v>187</v>
      </c>
      <c r="K1505">
        <v>0</v>
      </c>
      <c r="L1505" t="s">
        <v>140</v>
      </c>
      <c r="M1505" t="s">
        <v>110</v>
      </c>
      <c r="O1505" t="s">
        <v>948</v>
      </c>
      <c r="P1505" t="s">
        <v>550</v>
      </c>
      <c r="Q1505">
        <v>2022</v>
      </c>
      <c r="R1505" t="s">
        <v>654</v>
      </c>
      <c r="S1505" t="s">
        <v>655</v>
      </c>
      <c r="T1505" t="s">
        <v>553</v>
      </c>
      <c r="U1505" t="b">
        <v>0</v>
      </c>
      <c r="V1505" t="s">
        <v>656</v>
      </c>
      <c r="W1505" t="s">
        <v>587</v>
      </c>
      <c r="X1505" t="s">
        <v>556</v>
      </c>
      <c r="AC1505">
        <v>1</v>
      </c>
      <c r="AD1505" t="s">
        <v>564</v>
      </c>
      <c r="AE1505">
        <v>0</v>
      </c>
      <c r="AF1505">
        <v>0.24010999999999999</v>
      </c>
      <c r="AG1505" t="s">
        <v>608</v>
      </c>
      <c r="AH1505">
        <v>2.9306999999999998E-4</v>
      </c>
      <c r="AI1505">
        <v>0</v>
      </c>
      <c r="AJ1505" t="s">
        <v>561</v>
      </c>
      <c r="AK1505" t="s">
        <v>589</v>
      </c>
      <c r="AL1505" t="s">
        <v>590</v>
      </c>
      <c r="AM1505">
        <v>2022</v>
      </c>
      <c r="AN1505">
        <v>2020</v>
      </c>
      <c r="AO1505">
        <f>IF(AND(emissions[[#This Row],[Market-based]]=0,emissions[[#This Row],[Impact Type]]="CO2E"),emissions[[#This Row],[kgCO2e]],0)/1000</f>
        <v>0</v>
      </c>
      <c r="AP1505">
        <f>IF(AND(emissions[[#This Row],[Market-based]]=1,OR(emissions[[#This Row],[Impact Type]]="CO2E",emissions[[#This Row],[Impact Type]]="CO2E MKT")),emissions[[#This Row],[kgCO2e]],0)/1000</f>
        <v>0</v>
      </c>
      <c r="AQ1505" t="str">
        <f>_xlfn.TEXTAFTER(emissions[[#This Row],[Reporting Unit]]," &gt; ",LEN(emissions[[#This Row],[Reporting Unit]])-LEN(SUBSTITUTE(emissions[[#This Row],[Reporting Unit]],"&gt;","")))</f>
        <v>Vantage_Pittsburgh</v>
      </c>
      <c r="AR1505" t="str">
        <f>_xlfn.XLOOKUP(emissions[[#This Row],[Reporting unit name]],hierarchy!$A:$A,hierarchy!$C:$C)</f>
        <v>Office</v>
      </c>
    </row>
    <row r="1506" spans="1:44" hidden="1" x14ac:dyDescent="0.25">
      <c r="A1506">
        <v>284002</v>
      </c>
      <c r="B1506" t="s">
        <v>308</v>
      </c>
      <c r="C1506" t="s">
        <v>501</v>
      </c>
      <c r="D1506" t="s">
        <v>548</v>
      </c>
      <c r="E1506" s="3">
        <v>44562</v>
      </c>
      <c r="F1506" s="3">
        <v>44926</v>
      </c>
      <c r="G1506" t="s">
        <v>141</v>
      </c>
      <c r="H1506" s="3">
        <v>44562</v>
      </c>
      <c r="I1506" s="3">
        <v>44926</v>
      </c>
      <c r="J1506" t="s">
        <v>187</v>
      </c>
      <c r="K1506">
        <v>0</v>
      </c>
      <c r="L1506" t="s">
        <v>140</v>
      </c>
      <c r="M1506" t="s">
        <v>110</v>
      </c>
      <c r="O1506" t="s">
        <v>948</v>
      </c>
      <c r="P1506" t="s">
        <v>550</v>
      </c>
      <c r="Q1506">
        <v>2022</v>
      </c>
      <c r="R1506" t="s">
        <v>654</v>
      </c>
      <c r="S1506" t="s">
        <v>655</v>
      </c>
      <c r="T1506" t="s">
        <v>553</v>
      </c>
      <c r="U1506" t="b">
        <v>0</v>
      </c>
      <c r="V1506" t="s">
        <v>656</v>
      </c>
      <c r="W1506" t="s">
        <v>587</v>
      </c>
      <c r="X1506" t="s">
        <v>556</v>
      </c>
      <c r="AC1506">
        <v>1</v>
      </c>
      <c r="AD1506" t="s">
        <v>565</v>
      </c>
      <c r="AE1506">
        <v>0</v>
      </c>
      <c r="AF1506">
        <v>0.24156</v>
      </c>
      <c r="AG1506" t="s">
        <v>608</v>
      </c>
      <c r="AH1506">
        <v>2.9306999999999998E-4</v>
      </c>
      <c r="AI1506">
        <v>0</v>
      </c>
      <c r="AJ1506" t="s">
        <v>561</v>
      </c>
      <c r="AK1506" t="s">
        <v>589</v>
      </c>
      <c r="AL1506" t="s">
        <v>590</v>
      </c>
      <c r="AM1506">
        <v>2022</v>
      </c>
      <c r="AN1506">
        <v>2020</v>
      </c>
      <c r="AO1506">
        <f>IF(AND(emissions[[#This Row],[Market-based]]=0,emissions[[#This Row],[Impact Type]]="CO2E"),emissions[[#This Row],[kgCO2e]],0)/1000</f>
        <v>0</v>
      </c>
      <c r="AP1506">
        <f>IF(AND(emissions[[#This Row],[Market-based]]=1,OR(emissions[[#This Row],[Impact Type]]="CO2E",emissions[[#This Row],[Impact Type]]="CO2E MKT")),emissions[[#This Row],[kgCO2e]],0)/1000</f>
        <v>0</v>
      </c>
      <c r="AQ1506" t="str">
        <f>_xlfn.TEXTAFTER(emissions[[#This Row],[Reporting Unit]]," &gt; ",LEN(emissions[[#This Row],[Reporting Unit]])-LEN(SUBSTITUTE(emissions[[#This Row],[Reporting Unit]],"&gt;","")))</f>
        <v>Vantage_Pittsburgh</v>
      </c>
      <c r="AR1506" t="str">
        <f>_xlfn.XLOOKUP(emissions[[#This Row],[Reporting unit name]],hierarchy!$A:$A,hierarchy!$C:$C)</f>
        <v>Office</v>
      </c>
    </row>
    <row r="1507" spans="1:44" hidden="1" x14ac:dyDescent="0.25">
      <c r="A1507">
        <v>284002</v>
      </c>
      <c r="B1507" t="s">
        <v>308</v>
      </c>
      <c r="C1507" t="s">
        <v>501</v>
      </c>
      <c r="D1507" t="s">
        <v>548</v>
      </c>
      <c r="E1507" s="3">
        <v>44562</v>
      </c>
      <c r="F1507" s="3">
        <v>44926</v>
      </c>
      <c r="G1507" t="s">
        <v>141</v>
      </c>
      <c r="H1507" s="3">
        <v>44562</v>
      </c>
      <c r="I1507" s="3">
        <v>44926</v>
      </c>
      <c r="J1507" t="s">
        <v>187</v>
      </c>
      <c r="K1507">
        <v>0</v>
      </c>
      <c r="L1507" t="s">
        <v>140</v>
      </c>
      <c r="M1507" t="s">
        <v>110</v>
      </c>
      <c r="O1507" t="s">
        <v>948</v>
      </c>
      <c r="P1507" t="s">
        <v>550</v>
      </c>
      <c r="Q1507">
        <v>2022</v>
      </c>
      <c r="R1507" t="s">
        <v>654</v>
      </c>
      <c r="S1507" t="s">
        <v>655</v>
      </c>
      <c r="T1507" t="s">
        <v>553</v>
      </c>
      <c r="U1507" t="b">
        <v>0</v>
      </c>
      <c r="V1507" t="s">
        <v>656</v>
      </c>
      <c r="W1507" t="s">
        <v>587</v>
      </c>
      <c r="X1507" t="s">
        <v>556</v>
      </c>
      <c r="AC1507">
        <v>1</v>
      </c>
      <c r="AD1507" t="s">
        <v>566</v>
      </c>
      <c r="AE1507">
        <v>0</v>
      </c>
      <c r="AF1507">
        <v>6.8999999999999997E-4</v>
      </c>
      <c r="AG1507" t="s">
        <v>608</v>
      </c>
      <c r="AH1507">
        <v>2.9306999999999998E-4</v>
      </c>
      <c r="AI1507">
        <v>0</v>
      </c>
      <c r="AJ1507" t="s">
        <v>561</v>
      </c>
      <c r="AK1507" t="s">
        <v>589</v>
      </c>
      <c r="AL1507" t="s">
        <v>590</v>
      </c>
      <c r="AM1507">
        <v>2022</v>
      </c>
      <c r="AN1507">
        <v>2020</v>
      </c>
      <c r="AO1507">
        <f>IF(AND(emissions[[#This Row],[Market-based]]=0,emissions[[#This Row],[Impact Type]]="CO2E"),emissions[[#This Row],[kgCO2e]],0)/1000</f>
        <v>0</v>
      </c>
      <c r="AP1507">
        <f>IF(AND(emissions[[#This Row],[Market-based]]=1,OR(emissions[[#This Row],[Impact Type]]="CO2E",emissions[[#This Row],[Impact Type]]="CO2E MKT")),emissions[[#This Row],[kgCO2e]],0)/1000</f>
        <v>0</v>
      </c>
      <c r="AQ1507" t="str">
        <f>_xlfn.TEXTAFTER(emissions[[#This Row],[Reporting Unit]]," &gt; ",LEN(emissions[[#This Row],[Reporting Unit]])-LEN(SUBSTITUTE(emissions[[#This Row],[Reporting Unit]],"&gt;","")))</f>
        <v>Vantage_Pittsburgh</v>
      </c>
      <c r="AR1507" t="str">
        <f>_xlfn.XLOOKUP(emissions[[#This Row],[Reporting unit name]],hierarchy!$A:$A,hierarchy!$C:$C)</f>
        <v>Office</v>
      </c>
    </row>
    <row r="1508" spans="1:44" hidden="1" x14ac:dyDescent="0.25">
      <c r="A1508">
        <v>284002</v>
      </c>
      <c r="B1508" t="s">
        <v>308</v>
      </c>
      <c r="C1508" t="s">
        <v>501</v>
      </c>
      <c r="D1508" t="s">
        <v>548</v>
      </c>
      <c r="E1508" s="3">
        <v>44562</v>
      </c>
      <c r="F1508" s="3">
        <v>44926</v>
      </c>
      <c r="G1508" t="s">
        <v>141</v>
      </c>
      <c r="H1508" s="3">
        <v>44562</v>
      </c>
      <c r="I1508" s="3">
        <v>44926</v>
      </c>
      <c r="J1508" t="s">
        <v>187</v>
      </c>
      <c r="K1508">
        <v>0</v>
      </c>
      <c r="L1508" t="s">
        <v>140</v>
      </c>
      <c r="M1508" t="s">
        <v>110</v>
      </c>
      <c r="O1508" t="s">
        <v>948</v>
      </c>
      <c r="P1508" t="s">
        <v>550</v>
      </c>
      <c r="Q1508">
        <v>2022</v>
      </c>
      <c r="R1508" t="s">
        <v>657</v>
      </c>
      <c r="S1508" t="s">
        <v>658</v>
      </c>
      <c r="T1508" t="s">
        <v>577</v>
      </c>
      <c r="U1508" t="b">
        <v>0</v>
      </c>
      <c r="V1508" t="s">
        <v>906</v>
      </c>
      <c r="W1508" t="s">
        <v>571</v>
      </c>
      <c r="X1508" t="s">
        <v>572</v>
      </c>
      <c r="AC1508">
        <v>0</v>
      </c>
      <c r="AD1508" t="s">
        <v>565</v>
      </c>
      <c r="AE1508">
        <v>0</v>
      </c>
      <c r="AF1508">
        <v>6.2239999999999997E-2</v>
      </c>
      <c r="AG1508" t="s">
        <v>608</v>
      </c>
      <c r="AH1508">
        <v>2.9306999999999998E-4</v>
      </c>
      <c r="AI1508">
        <v>0</v>
      </c>
      <c r="AJ1508" t="s">
        <v>561</v>
      </c>
      <c r="AK1508" t="s">
        <v>589</v>
      </c>
      <c r="AL1508" t="s">
        <v>590</v>
      </c>
      <c r="AM1508">
        <v>2022</v>
      </c>
      <c r="AN1508">
        <v>2020</v>
      </c>
      <c r="AO1508">
        <f>IF(AND(emissions[[#This Row],[Market-based]]=0,emissions[[#This Row],[Impact Type]]="CO2E"),emissions[[#This Row],[kgCO2e]],0)/1000</f>
        <v>0</v>
      </c>
      <c r="AP1508">
        <f>IF(AND(emissions[[#This Row],[Market-based]]=1,OR(emissions[[#This Row],[Impact Type]]="CO2E",emissions[[#This Row],[Impact Type]]="CO2E MKT")),emissions[[#This Row],[kgCO2e]],0)/1000</f>
        <v>0</v>
      </c>
      <c r="AQ1508" t="str">
        <f>_xlfn.TEXTAFTER(emissions[[#This Row],[Reporting Unit]]," &gt; ",LEN(emissions[[#This Row],[Reporting Unit]])-LEN(SUBSTITUTE(emissions[[#This Row],[Reporting Unit]],"&gt;","")))</f>
        <v>Vantage_Pittsburgh</v>
      </c>
      <c r="AR1508" t="str">
        <f>_xlfn.XLOOKUP(emissions[[#This Row],[Reporting unit name]],hierarchy!$A:$A,hierarchy!$C:$C)</f>
        <v>Office</v>
      </c>
    </row>
    <row r="1509" spans="1:44" hidden="1" x14ac:dyDescent="0.25">
      <c r="A1509">
        <v>284002</v>
      </c>
      <c r="B1509" t="s">
        <v>308</v>
      </c>
      <c r="C1509" t="s">
        <v>501</v>
      </c>
      <c r="D1509" t="s">
        <v>548</v>
      </c>
      <c r="E1509" s="3">
        <v>44562</v>
      </c>
      <c r="F1509" s="3">
        <v>44926</v>
      </c>
      <c r="G1509" t="s">
        <v>141</v>
      </c>
      <c r="H1509" s="3">
        <v>44562</v>
      </c>
      <c r="I1509" s="3">
        <v>44926</v>
      </c>
      <c r="J1509" t="s">
        <v>187</v>
      </c>
      <c r="K1509">
        <v>0</v>
      </c>
      <c r="L1509" t="s">
        <v>140</v>
      </c>
      <c r="M1509" t="s">
        <v>110</v>
      </c>
      <c r="O1509" t="s">
        <v>948</v>
      </c>
      <c r="P1509" t="s">
        <v>550</v>
      </c>
      <c r="Q1509">
        <v>2022</v>
      </c>
      <c r="R1509" t="s">
        <v>657</v>
      </c>
      <c r="S1509" t="s">
        <v>658</v>
      </c>
      <c r="T1509" t="s">
        <v>577</v>
      </c>
      <c r="U1509" t="b">
        <v>0</v>
      </c>
      <c r="V1509" t="s">
        <v>906</v>
      </c>
      <c r="W1509" t="s">
        <v>571</v>
      </c>
      <c r="X1509" t="s">
        <v>572</v>
      </c>
      <c r="AC1509">
        <v>1</v>
      </c>
      <c r="AD1509" t="s">
        <v>565</v>
      </c>
      <c r="AE1509">
        <v>0</v>
      </c>
      <c r="AF1509">
        <v>6.2239999999999997E-2</v>
      </c>
      <c r="AG1509" t="s">
        <v>608</v>
      </c>
      <c r="AH1509">
        <v>2.9306999999999998E-4</v>
      </c>
      <c r="AI1509">
        <v>0</v>
      </c>
      <c r="AJ1509" t="s">
        <v>561</v>
      </c>
      <c r="AK1509" t="s">
        <v>589</v>
      </c>
      <c r="AL1509" t="s">
        <v>590</v>
      </c>
      <c r="AM1509">
        <v>2022</v>
      </c>
      <c r="AN1509">
        <v>2020</v>
      </c>
      <c r="AO1509">
        <f>IF(AND(emissions[[#This Row],[Market-based]]=0,emissions[[#This Row],[Impact Type]]="CO2E"),emissions[[#This Row],[kgCO2e]],0)/1000</f>
        <v>0</v>
      </c>
      <c r="AP1509">
        <f>IF(AND(emissions[[#This Row],[Market-based]]=1,OR(emissions[[#This Row],[Impact Type]]="CO2E",emissions[[#This Row],[Impact Type]]="CO2E MKT")),emissions[[#This Row],[kgCO2e]],0)/1000</f>
        <v>0</v>
      </c>
      <c r="AQ1509" t="str">
        <f>_xlfn.TEXTAFTER(emissions[[#This Row],[Reporting Unit]]," &gt; ",LEN(emissions[[#This Row],[Reporting Unit]])-LEN(SUBSTITUTE(emissions[[#This Row],[Reporting Unit]],"&gt;","")))</f>
        <v>Vantage_Pittsburgh</v>
      </c>
      <c r="AR1509" t="str">
        <f>_xlfn.XLOOKUP(emissions[[#This Row],[Reporting unit name]],hierarchy!$A:$A,hierarchy!$C:$C)</f>
        <v>Office</v>
      </c>
    </row>
    <row r="1510" spans="1:44" hidden="1" x14ac:dyDescent="0.25">
      <c r="A1510">
        <v>1590455</v>
      </c>
      <c r="B1510" t="s">
        <v>308</v>
      </c>
      <c r="C1510" t="s">
        <v>501</v>
      </c>
      <c r="D1510" t="s">
        <v>548</v>
      </c>
      <c r="E1510" s="3">
        <v>44562</v>
      </c>
      <c r="F1510" s="3">
        <v>44926</v>
      </c>
      <c r="G1510" t="s">
        <v>116</v>
      </c>
      <c r="H1510" s="3">
        <v>44562</v>
      </c>
      <c r="I1510" s="3">
        <v>44926</v>
      </c>
      <c r="J1510" t="s">
        <v>117</v>
      </c>
      <c r="K1510">
        <v>5</v>
      </c>
      <c r="L1510" t="s">
        <v>118</v>
      </c>
      <c r="M1510" t="s">
        <v>82</v>
      </c>
      <c r="N1510" t="s">
        <v>120</v>
      </c>
      <c r="O1510" t="s">
        <v>631</v>
      </c>
      <c r="P1510" t="s">
        <v>631</v>
      </c>
      <c r="Q1510">
        <v>2022</v>
      </c>
      <c r="R1510" t="s">
        <v>619</v>
      </c>
      <c r="S1510" t="s">
        <v>620</v>
      </c>
      <c r="T1510" t="s">
        <v>553</v>
      </c>
      <c r="U1510" t="b">
        <v>0</v>
      </c>
      <c r="V1510" t="s">
        <v>621</v>
      </c>
      <c r="W1510" t="s">
        <v>587</v>
      </c>
      <c r="X1510" t="s">
        <v>556</v>
      </c>
      <c r="AC1510">
        <v>0</v>
      </c>
      <c r="AD1510" t="s">
        <v>565</v>
      </c>
      <c r="AE1510">
        <v>7150</v>
      </c>
      <c r="AF1510">
        <v>1430</v>
      </c>
      <c r="AG1510" t="s">
        <v>622</v>
      </c>
      <c r="AH1510">
        <v>1</v>
      </c>
      <c r="AI1510">
        <v>5</v>
      </c>
      <c r="AJ1510" t="s">
        <v>561</v>
      </c>
      <c r="AK1510" t="s">
        <v>623</v>
      </c>
      <c r="AL1510" t="s">
        <v>624</v>
      </c>
      <c r="AM1510">
        <v>2022</v>
      </c>
      <c r="AN1510">
        <v>2007</v>
      </c>
      <c r="AO1510">
        <f>IF(AND(emissions[[#This Row],[Market-based]]=0,emissions[[#This Row],[Impact Type]]="CO2E"),emissions[[#This Row],[kgCO2e]],0)/1000</f>
        <v>7.15</v>
      </c>
      <c r="AP1510">
        <f>IF(AND(emissions[[#This Row],[Market-based]]=1,OR(emissions[[#This Row],[Impact Type]]="CO2E",emissions[[#This Row],[Impact Type]]="CO2E MKT")),emissions[[#This Row],[kgCO2e]],0)/1000</f>
        <v>0</v>
      </c>
      <c r="AQ1510" t="str">
        <f>_xlfn.TEXTAFTER(emissions[[#This Row],[Reporting Unit]]," &gt; ",LEN(emissions[[#This Row],[Reporting Unit]])-LEN(SUBSTITUTE(emissions[[#This Row],[Reporting Unit]],"&gt;","")))</f>
        <v>Vantage_Pittsburgh</v>
      </c>
      <c r="AR1510" t="str">
        <f>_xlfn.XLOOKUP(emissions[[#This Row],[Reporting unit name]],hierarchy!$A:$A,hierarchy!$C:$C)</f>
        <v>Office</v>
      </c>
    </row>
    <row r="1511" spans="1:44" hidden="1" x14ac:dyDescent="0.25">
      <c r="A1511">
        <v>1590455</v>
      </c>
      <c r="B1511" t="s">
        <v>308</v>
      </c>
      <c r="C1511" t="s">
        <v>501</v>
      </c>
      <c r="D1511" t="s">
        <v>548</v>
      </c>
      <c r="E1511" s="3">
        <v>44562</v>
      </c>
      <c r="F1511" s="3">
        <v>44926</v>
      </c>
      <c r="G1511" t="s">
        <v>116</v>
      </c>
      <c r="H1511" s="3">
        <v>44562</v>
      </c>
      <c r="I1511" s="3">
        <v>44926</v>
      </c>
      <c r="J1511" t="s">
        <v>117</v>
      </c>
      <c r="K1511">
        <v>5</v>
      </c>
      <c r="L1511" t="s">
        <v>118</v>
      </c>
      <c r="M1511" t="s">
        <v>82</v>
      </c>
      <c r="N1511" t="s">
        <v>120</v>
      </c>
      <c r="O1511" t="s">
        <v>631</v>
      </c>
      <c r="P1511" t="s">
        <v>631</v>
      </c>
      <c r="Q1511">
        <v>2022</v>
      </c>
      <c r="R1511" t="s">
        <v>619</v>
      </c>
      <c r="S1511" t="s">
        <v>620</v>
      </c>
      <c r="T1511" t="s">
        <v>553</v>
      </c>
      <c r="U1511" t="b">
        <v>0</v>
      </c>
      <c r="V1511" t="s">
        <v>621</v>
      </c>
      <c r="W1511" t="s">
        <v>587</v>
      </c>
      <c r="X1511" t="s">
        <v>556</v>
      </c>
      <c r="AC1511">
        <v>1</v>
      </c>
      <c r="AD1511" t="s">
        <v>565</v>
      </c>
      <c r="AE1511">
        <v>7150</v>
      </c>
      <c r="AF1511">
        <v>1430</v>
      </c>
      <c r="AG1511" t="s">
        <v>622</v>
      </c>
      <c r="AH1511">
        <v>1</v>
      </c>
      <c r="AI1511">
        <v>5</v>
      </c>
      <c r="AJ1511" t="s">
        <v>561</v>
      </c>
      <c r="AK1511" t="s">
        <v>623</v>
      </c>
      <c r="AL1511" t="s">
        <v>624</v>
      </c>
      <c r="AM1511">
        <v>2022</v>
      </c>
      <c r="AN1511">
        <v>2007</v>
      </c>
      <c r="AO1511">
        <f>IF(AND(emissions[[#This Row],[Market-based]]=0,emissions[[#This Row],[Impact Type]]="CO2E"),emissions[[#This Row],[kgCO2e]],0)/1000</f>
        <v>0</v>
      </c>
      <c r="AP1511">
        <f>IF(AND(emissions[[#This Row],[Market-based]]=1,OR(emissions[[#This Row],[Impact Type]]="CO2E",emissions[[#This Row],[Impact Type]]="CO2E MKT")),emissions[[#This Row],[kgCO2e]],0)/1000</f>
        <v>7.15</v>
      </c>
      <c r="AQ1511" t="str">
        <f>_xlfn.TEXTAFTER(emissions[[#This Row],[Reporting Unit]]," &gt; ",LEN(emissions[[#This Row],[Reporting Unit]])-LEN(SUBSTITUTE(emissions[[#This Row],[Reporting Unit]],"&gt;","")))</f>
        <v>Vantage_Pittsburgh</v>
      </c>
      <c r="AR1511" t="str">
        <f>_xlfn.XLOOKUP(emissions[[#This Row],[Reporting unit name]],hierarchy!$A:$A,hierarchy!$C:$C)</f>
        <v>Office</v>
      </c>
    </row>
    <row r="1512" spans="1:44" hidden="1" x14ac:dyDescent="0.25">
      <c r="A1512">
        <v>284004</v>
      </c>
      <c r="B1512" t="s">
        <v>308</v>
      </c>
      <c r="C1512" t="s">
        <v>501</v>
      </c>
      <c r="D1512" t="s">
        <v>548</v>
      </c>
      <c r="E1512" s="3">
        <v>44562</v>
      </c>
      <c r="F1512" s="3">
        <v>44926</v>
      </c>
      <c r="G1512" t="s">
        <v>121</v>
      </c>
      <c r="H1512" s="3">
        <v>44562</v>
      </c>
      <c r="I1512" s="3">
        <v>44926</v>
      </c>
      <c r="J1512" t="s">
        <v>150</v>
      </c>
      <c r="K1512">
        <v>0</v>
      </c>
      <c r="L1512" t="s">
        <v>207</v>
      </c>
      <c r="M1512" t="s">
        <v>110</v>
      </c>
      <c r="O1512" t="s">
        <v>948</v>
      </c>
      <c r="P1512" t="s">
        <v>550</v>
      </c>
      <c r="Q1512">
        <v>2022</v>
      </c>
      <c r="R1512" t="s">
        <v>594</v>
      </c>
      <c r="S1512" t="s">
        <v>150</v>
      </c>
      <c r="T1512" t="s">
        <v>553</v>
      </c>
      <c r="U1512" t="b">
        <v>0</v>
      </c>
      <c r="V1512" t="s">
        <v>789</v>
      </c>
      <c r="W1512" t="s">
        <v>587</v>
      </c>
      <c r="X1512" t="s">
        <v>556</v>
      </c>
      <c r="Y1512" t="s">
        <v>472</v>
      </c>
      <c r="Z1512" t="s">
        <v>485</v>
      </c>
      <c r="AA1512" t="s">
        <v>764</v>
      </c>
      <c r="AC1512">
        <v>0</v>
      </c>
      <c r="AD1512" t="s">
        <v>558</v>
      </c>
      <c r="AE1512">
        <v>0</v>
      </c>
      <c r="AF1512">
        <v>7.4999999999999997E-2</v>
      </c>
      <c r="AG1512" t="s">
        <v>798</v>
      </c>
      <c r="AH1512">
        <v>0.94781711999999996</v>
      </c>
      <c r="AI1512">
        <v>0</v>
      </c>
      <c r="AJ1512" t="s">
        <v>561</v>
      </c>
      <c r="AK1512" t="s">
        <v>766</v>
      </c>
      <c r="AL1512" t="s">
        <v>767</v>
      </c>
      <c r="AM1512">
        <v>2022</v>
      </c>
      <c r="AN1512">
        <v>2022</v>
      </c>
      <c r="AO1512">
        <f>IF(AND(emissions[[#This Row],[Market-based]]=0,emissions[[#This Row],[Impact Type]]="CO2E"),emissions[[#This Row],[kgCO2e]],0)/1000</f>
        <v>0</v>
      </c>
      <c r="AP1512">
        <f>IF(AND(emissions[[#This Row],[Market-based]]=1,OR(emissions[[#This Row],[Impact Type]]="CO2E",emissions[[#This Row],[Impact Type]]="CO2E MKT")),emissions[[#This Row],[kgCO2e]],0)/1000</f>
        <v>0</v>
      </c>
      <c r="AQ1512" t="str">
        <f>_xlfn.TEXTAFTER(emissions[[#This Row],[Reporting Unit]]," &gt; ",LEN(emissions[[#This Row],[Reporting Unit]])-LEN(SUBSTITUTE(emissions[[#This Row],[Reporting Unit]],"&gt;","")))</f>
        <v>Vantage_Pittsburgh</v>
      </c>
      <c r="AR1512" t="str">
        <f>_xlfn.XLOOKUP(emissions[[#This Row],[Reporting unit name]],hierarchy!$A:$A,hierarchy!$C:$C)</f>
        <v>Office</v>
      </c>
    </row>
    <row r="1513" spans="1:44" hidden="1" x14ac:dyDescent="0.25">
      <c r="A1513">
        <v>284004</v>
      </c>
      <c r="B1513" t="s">
        <v>308</v>
      </c>
      <c r="C1513" t="s">
        <v>501</v>
      </c>
      <c r="D1513" t="s">
        <v>548</v>
      </c>
      <c r="E1513" s="3">
        <v>44562</v>
      </c>
      <c r="F1513" s="3">
        <v>44926</v>
      </c>
      <c r="G1513" t="s">
        <v>121</v>
      </c>
      <c r="H1513" s="3">
        <v>44562</v>
      </c>
      <c r="I1513" s="3">
        <v>44926</v>
      </c>
      <c r="J1513" t="s">
        <v>150</v>
      </c>
      <c r="K1513">
        <v>0</v>
      </c>
      <c r="L1513" t="s">
        <v>207</v>
      </c>
      <c r="M1513" t="s">
        <v>110</v>
      </c>
      <c r="O1513" t="s">
        <v>948</v>
      </c>
      <c r="P1513" t="s">
        <v>550</v>
      </c>
      <c r="Q1513">
        <v>2022</v>
      </c>
      <c r="R1513" t="s">
        <v>594</v>
      </c>
      <c r="S1513" t="s">
        <v>150</v>
      </c>
      <c r="T1513" t="s">
        <v>553</v>
      </c>
      <c r="U1513" t="b">
        <v>0</v>
      </c>
      <c r="V1513" t="s">
        <v>789</v>
      </c>
      <c r="W1513" t="s">
        <v>587</v>
      </c>
      <c r="X1513" t="s">
        <v>556</v>
      </c>
      <c r="Y1513" t="s">
        <v>472</v>
      </c>
      <c r="Z1513" t="s">
        <v>485</v>
      </c>
      <c r="AA1513" t="s">
        <v>764</v>
      </c>
      <c r="AC1513">
        <v>0</v>
      </c>
      <c r="AD1513" t="s">
        <v>564</v>
      </c>
      <c r="AE1513">
        <v>0</v>
      </c>
      <c r="AF1513">
        <v>62.87</v>
      </c>
      <c r="AG1513" t="s">
        <v>798</v>
      </c>
      <c r="AH1513">
        <v>0.94781711999999996</v>
      </c>
      <c r="AI1513">
        <v>0</v>
      </c>
      <c r="AJ1513" t="s">
        <v>561</v>
      </c>
      <c r="AK1513" t="s">
        <v>766</v>
      </c>
      <c r="AL1513" t="s">
        <v>767</v>
      </c>
      <c r="AM1513">
        <v>2022</v>
      </c>
      <c r="AN1513">
        <v>2022</v>
      </c>
      <c r="AO1513">
        <f>IF(AND(emissions[[#This Row],[Market-based]]=0,emissions[[#This Row],[Impact Type]]="CO2E"),emissions[[#This Row],[kgCO2e]],0)/1000</f>
        <v>0</v>
      </c>
      <c r="AP1513">
        <f>IF(AND(emissions[[#This Row],[Market-based]]=1,OR(emissions[[#This Row],[Impact Type]]="CO2E",emissions[[#This Row],[Impact Type]]="CO2E MKT")),emissions[[#This Row],[kgCO2e]],0)/1000</f>
        <v>0</v>
      </c>
      <c r="AQ1513" t="str">
        <f>_xlfn.TEXTAFTER(emissions[[#This Row],[Reporting Unit]]," &gt; ",LEN(emissions[[#This Row],[Reporting Unit]])-LEN(SUBSTITUTE(emissions[[#This Row],[Reporting Unit]],"&gt;","")))</f>
        <v>Vantage_Pittsburgh</v>
      </c>
      <c r="AR1513" t="str">
        <f>_xlfn.XLOOKUP(emissions[[#This Row],[Reporting unit name]],hierarchy!$A:$A,hierarchy!$C:$C)</f>
        <v>Office</v>
      </c>
    </row>
    <row r="1514" spans="1:44" hidden="1" x14ac:dyDescent="0.25">
      <c r="A1514">
        <v>284004</v>
      </c>
      <c r="B1514" t="s">
        <v>308</v>
      </c>
      <c r="C1514" t="s">
        <v>501</v>
      </c>
      <c r="D1514" t="s">
        <v>548</v>
      </c>
      <c r="E1514" s="3">
        <v>44562</v>
      </c>
      <c r="F1514" s="3">
        <v>44926</v>
      </c>
      <c r="G1514" t="s">
        <v>121</v>
      </c>
      <c r="H1514" s="3">
        <v>44562</v>
      </c>
      <c r="I1514" s="3">
        <v>44926</v>
      </c>
      <c r="J1514" t="s">
        <v>150</v>
      </c>
      <c r="K1514">
        <v>0</v>
      </c>
      <c r="L1514" t="s">
        <v>207</v>
      </c>
      <c r="M1514" t="s">
        <v>110</v>
      </c>
      <c r="O1514" t="s">
        <v>948</v>
      </c>
      <c r="P1514" t="s">
        <v>550</v>
      </c>
      <c r="Q1514">
        <v>2022</v>
      </c>
      <c r="R1514" t="s">
        <v>594</v>
      </c>
      <c r="S1514" t="s">
        <v>150</v>
      </c>
      <c r="T1514" t="s">
        <v>553</v>
      </c>
      <c r="U1514" t="b">
        <v>0</v>
      </c>
      <c r="V1514" t="s">
        <v>789</v>
      </c>
      <c r="W1514" t="s">
        <v>587</v>
      </c>
      <c r="X1514" t="s">
        <v>556</v>
      </c>
      <c r="Y1514" t="s">
        <v>472</v>
      </c>
      <c r="Z1514" t="s">
        <v>485</v>
      </c>
      <c r="AA1514" t="s">
        <v>764</v>
      </c>
      <c r="AC1514">
        <v>0</v>
      </c>
      <c r="AD1514" t="s">
        <v>565</v>
      </c>
      <c r="AE1514">
        <v>0</v>
      </c>
      <c r="AF1514">
        <v>63.123800000000003</v>
      </c>
      <c r="AG1514" t="s">
        <v>798</v>
      </c>
      <c r="AH1514">
        <v>0.94781711999999996</v>
      </c>
      <c r="AI1514">
        <v>0</v>
      </c>
      <c r="AJ1514" t="s">
        <v>561</v>
      </c>
      <c r="AK1514" t="s">
        <v>766</v>
      </c>
      <c r="AL1514" t="s">
        <v>767</v>
      </c>
      <c r="AM1514">
        <v>2022</v>
      </c>
      <c r="AN1514">
        <v>2022</v>
      </c>
      <c r="AO1514">
        <f>IF(AND(emissions[[#This Row],[Market-based]]=0,emissions[[#This Row],[Impact Type]]="CO2E"),emissions[[#This Row],[kgCO2e]],0)/1000</f>
        <v>0</v>
      </c>
      <c r="AP1514">
        <f>IF(AND(emissions[[#This Row],[Market-based]]=1,OR(emissions[[#This Row],[Impact Type]]="CO2E",emissions[[#This Row],[Impact Type]]="CO2E MKT")),emissions[[#This Row],[kgCO2e]],0)/1000</f>
        <v>0</v>
      </c>
      <c r="AQ1514" t="str">
        <f>_xlfn.TEXTAFTER(emissions[[#This Row],[Reporting Unit]]," &gt; ",LEN(emissions[[#This Row],[Reporting Unit]])-LEN(SUBSTITUTE(emissions[[#This Row],[Reporting Unit]],"&gt;","")))</f>
        <v>Vantage_Pittsburgh</v>
      </c>
      <c r="AR1514" t="str">
        <f>_xlfn.XLOOKUP(emissions[[#This Row],[Reporting unit name]],hierarchy!$A:$A,hierarchy!$C:$C)</f>
        <v>Office</v>
      </c>
    </row>
    <row r="1515" spans="1:44" hidden="1" x14ac:dyDescent="0.25">
      <c r="A1515">
        <v>284004</v>
      </c>
      <c r="B1515" t="s">
        <v>308</v>
      </c>
      <c r="C1515" t="s">
        <v>501</v>
      </c>
      <c r="D1515" t="s">
        <v>548</v>
      </c>
      <c r="E1515" s="3">
        <v>44562</v>
      </c>
      <c r="F1515" s="3">
        <v>44926</v>
      </c>
      <c r="G1515" t="s">
        <v>121</v>
      </c>
      <c r="H1515" s="3">
        <v>44562</v>
      </c>
      <c r="I1515" s="3">
        <v>44926</v>
      </c>
      <c r="J1515" t="s">
        <v>150</v>
      </c>
      <c r="K1515">
        <v>0</v>
      </c>
      <c r="L1515" t="s">
        <v>207</v>
      </c>
      <c r="M1515" t="s">
        <v>110</v>
      </c>
      <c r="O1515" t="s">
        <v>948</v>
      </c>
      <c r="P1515" t="s">
        <v>550</v>
      </c>
      <c r="Q1515">
        <v>2022</v>
      </c>
      <c r="R1515" t="s">
        <v>594</v>
      </c>
      <c r="S1515" t="s">
        <v>150</v>
      </c>
      <c r="T1515" t="s">
        <v>553</v>
      </c>
      <c r="U1515" t="b">
        <v>0</v>
      </c>
      <c r="V1515" t="s">
        <v>789</v>
      </c>
      <c r="W1515" t="s">
        <v>587</v>
      </c>
      <c r="X1515" t="s">
        <v>556</v>
      </c>
      <c r="Y1515" t="s">
        <v>472</v>
      </c>
      <c r="Z1515" t="s">
        <v>485</v>
      </c>
      <c r="AA1515" t="s">
        <v>764</v>
      </c>
      <c r="AC1515">
        <v>0</v>
      </c>
      <c r="AD1515" t="s">
        <v>566</v>
      </c>
      <c r="AE1515">
        <v>0</v>
      </c>
      <c r="AF1515">
        <v>0.17879999999999999</v>
      </c>
      <c r="AG1515" t="s">
        <v>798</v>
      </c>
      <c r="AH1515">
        <v>0.94781711999999996</v>
      </c>
      <c r="AI1515">
        <v>0</v>
      </c>
      <c r="AJ1515" t="s">
        <v>561</v>
      </c>
      <c r="AK1515" t="s">
        <v>766</v>
      </c>
      <c r="AL1515" t="s">
        <v>787</v>
      </c>
      <c r="AM1515">
        <v>2022</v>
      </c>
      <c r="AN1515">
        <v>2021</v>
      </c>
      <c r="AO1515">
        <f>IF(AND(emissions[[#This Row],[Market-based]]=0,emissions[[#This Row],[Impact Type]]="CO2E"),emissions[[#This Row],[kgCO2e]],0)/1000</f>
        <v>0</v>
      </c>
      <c r="AP1515">
        <f>IF(AND(emissions[[#This Row],[Market-based]]=1,OR(emissions[[#This Row],[Impact Type]]="CO2E",emissions[[#This Row],[Impact Type]]="CO2E MKT")),emissions[[#This Row],[kgCO2e]],0)/1000</f>
        <v>0</v>
      </c>
      <c r="AQ1515" t="str">
        <f>_xlfn.TEXTAFTER(emissions[[#This Row],[Reporting Unit]]," &gt; ",LEN(emissions[[#This Row],[Reporting Unit]])-LEN(SUBSTITUTE(emissions[[#This Row],[Reporting Unit]],"&gt;","")))</f>
        <v>Vantage_Pittsburgh</v>
      </c>
      <c r="AR1515" t="str">
        <f>_xlfn.XLOOKUP(emissions[[#This Row],[Reporting unit name]],hierarchy!$A:$A,hierarchy!$C:$C)</f>
        <v>Office</v>
      </c>
    </row>
    <row r="1516" spans="1:44" hidden="1" x14ac:dyDescent="0.25">
      <c r="A1516">
        <v>284004</v>
      </c>
      <c r="B1516" t="s">
        <v>308</v>
      </c>
      <c r="C1516" t="s">
        <v>501</v>
      </c>
      <c r="D1516" t="s">
        <v>548</v>
      </c>
      <c r="E1516" s="3">
        <v>44562</v>
      </c>
      <c r="F1516" s="3">
        <v>44926</v>
      </c>
      <c r="G1516" t="s">
        <v>121</v>
      </c>
      <c r="H1516" s="3">
        <v>44562</v>
      </c>
      <c r="I1516" s="3">
        <v>44926</v>
      </c>
      <c r="J1516" t="s">
        <v>150</v>
      </c>
      <c r="K1516">
        <v>0</v>
      </c>
      <c r="L1516" t="s">
        <v>207</v>
      </c>
      <c r="M1516" t="s">
        <v>110</v>
      </c>
      <c r="O1516" t="s">
        <v>948</v>
      </c>
      <c r="P1516" t="s">
        <v>550</v>
      </c>
      <c r="Q1516">
        <v>2022</v>
      </c>
      <c r="R1516" t="s">
        <v>594</v>
      </c>
      <c r="S1516" t="s">
        <v>150</v>
      </c>
      <c r="T1516" t="s">
        <v>553</v>
      </c>
      <c r="U1516" t="b">
        <v>0</v>
      </c>
      <c r="V1516" t="s">
        <v>789</v>
      </c>
      <c r="W1516" t="s">
        <v>587</v>
      </c>
      <c r="X1516" t="s">
        <v>556</v>
      </c>
      <c r="Y1516" t="s">
        <v>472</v>
      </c>
      <c r="Z1516" t="s">
        <v>485</v>
      </c>
      <c r="AA1516" t="s">
        <v>764</v>
      </c>
      <c r="AC1516">
        <v>1</v>
      </c>
      <c r="AD1516" t="s">
        <v>558</v>
      </c>
      <c r="AE1516">
        <v>0</v>
      </c>
      <c r="AF1516">
        <v>7.4999999999999997E-2</v>
      </c>
      <c r="AG1516" t="s">
        <v>798</v>
      </c>
      <c r="AH1516">
        <v>0.94781711999999996</v>
      </c>
      <c r="AI1516">
        <v>0</v>
      </c>
      <c r="AJ1516" t="s">
        <v>561</v>
      </c>
      <c r="AK1516" t="s">
        <v>766</v>
      </c>
      <c r="AL1516" t="s">
        <v>767</v>
      </c>
      <c r="AM1516">
        <v>2022</v>
      </c>
      <c r="AN1516">
        <v>2022</v>
      </c>
      <c r="AO1516">
        <f>IF(AND(emissions[[#This Row],[Market-based]]=0,emissions[[#This Row],[Impact Type]]="CO2E"),emissions[[#This Row],[kgCO2e]],0)/1000</f>
        <v>0</v>
      </c>
      <c r="AP1516">
        <f>IF(AND(emissions[[#This Row],[Market-based]]=1,OR(emissions[[#This Row],[Impact Type]]="CO2E",emissions[[#This Row],[Impact Type]]="CO2E MKT")),emissions[[#This Row],[kgCO2e]],0)/1000</f>
        <v>0</v>
      </c>
      <c r="AQ1516" t="str">
        <f>_xlfn.TEXTAFTER(emissions[[#This Row],[Reporting Unit]]," &gt; ",LEN(emissions[[#This Row],[Reporting Unit]])-LEN(SUBSTITUTE(emissions[[#This Row],[Reporting Unit]],"&gt;","")))</f>
        <v>Vantage_Pittsburgh</v>
      </c>
      <c r="AR1516" t="str">
        <f>_xlfn.XLOOKUP(emissions[[#This Row],[Reporting unit name]],hierarchy!$A:$A,hierarchy!$C:$C)</f>
        <v>Office</v>
      </c>
    </row>
    <row r="1517" spans="1:44" hidden="1" x14ac:dyDescent="0.25">
      <c r="A1517">
        <v>284004</v>
      </c>
      <c r="B1517" t="s">
        <v>308</v>
      </c>
      <c r="C1517" t="s">
        <v>501</v>
      </c>
      <c r="D1517" t="s">
        <v>548</v>
      </c>
      <c r="E1517" s="3">
        <v>44562</v>
      </c>
      <c r="F1517" s="3">
        <v>44926</v>
      </c>
      <c r="G1517" t="s">
        <v>121</v>
      </c>
      <c r="H1517" s="3">
        <v>44562</v>
      </c>
      <c r="I1517" s="3">
        <v>44926</v>
      </c>
      <c r="J1517" t="s">
        <v>150</v>
      </c>
      <c r="K1517">
        <v>0</v>
      </c>
      <c r="L1517" t="s">
        <v>207</v>
      </c>
      <c r="M1517" t="s">
        <v>110</v>
      </c>
      <c r="O1517" t="s">
        <v>948</v>
      </c>
      <c r="P1517" t="s">
        <v>550</v>
      </c>
      <c r="Q1517">
        <v>2022</v>
      </c>
      <c r="R1517" t="s">
        <v>594</v>
      </c>
      <c r="S1517" t="s">
        <v>150</v>
      </c>
      <c r="T1517" t="s">
        <v>553</v>
      </c>
      <c r="U1517" t="b">
        <v>0</v>
      </c>
      <c r="V1517" t="s">
        <v>789</v>
      </c>
      <c r="W1517" t="s">
        <v>587</v>
      </c>
      <c r="X1517" t="s">
        <v>556</v>
      </c>
      <c r="Y1517" t="s">
        <v>472</v>
      </c>
      <c r="Z1517" t="s">
        <v>485</v>
      </c>
      <c r="AA1517" t="s">
        <v>764</v>
      </c>
      <c r="AC1517">
        <v>1</v>
      </c>
      <c r="AD1517" t="s">
        <v>564</v>
      </c>
      <c r="AE1517">
        <v>0</v>
      </c>
      <c r="AF1517">
        <v>62.87</v>
      </c>
      <c r="AG1517" t="s">
        <v>798</v>
      </c>
      <c r="AH1517">
        <v>0.94781711999999996</v>
      </c>
      <c r="AI1517">
        <v>0</v>
      </c>
      <c r="AJ1517" t="s">
        <v>561</v>
      </c>
      <c r="AK1517" t="s">
        <v>766</v>
      </c>
      <c r="AL1517" t="s">
        <v>767</v>
      </c>
      <c r="AM1517">
        <v>2022</v>
      </c>
      <c r="AN1517">
        <v>2022</v>
      </c>
      <c r="AO1517">
        <f>IF(AND(emissions[[#This Row],[Market-based]]=0,emissions[[#This Row],[Impact Type]]="CO2E"),emissions[[#This Row],[kgCO2e]],0)/1000</f>
        <v>0</v>
      </c>
      <c r="AP1517">
        <f>IF(AND(emissions[[#This Row],[Market-based]]=1,OR(emissions[[#This Row],[Impact Type]]="CO2E",emissions[[#This Row],[Impact Type]]="CO2E MKT")),emissions[[#This Row],[kgCO2e]],0)/1000</f>
        <v>0</v>
      </c>
      <c r="AQ1517" t="str">
        <f>_xlfn.TEXTAFTER(emissions[[#This Row],[Reporting Unit]]," &gt; ",LEN(emissions[[#This Row],[Reporting Unit]])-LEN(SUBSTITUTE(emissions[[#This Row],[Reporting Unit]],"&gt;","")))</f>
        <v>Vantage_Pittsburgh</v>
      </c>
      <c r="AR1517" t="str">
        <f>_xlfn.XLOOKUP(emissions[[#This Row],[Reporting unit name]],hierarchy!$A:$A,hierarchy!$C:$C)</f>
        <v>Office</v>
      </c>
    </row>
    <row r="1518" spans="1:44" hidden="1" x14ac:dyDescent="0.25">
      <c r="A1518">
        <v>284004</v>
      </c>
      <c r="B1518" t="s">
        <v>308</v>
      </c>
      <c r="C1518" t="s">
        <v>501</v>
      </c>
      <c r="D1518" t="s">
        <v>548</v>
      </c>
      <c r="E1518" s="3">
        <v>44562</v>
      </c>
      <c r="F1518" s="3">
        <v>44926</v>
      </c>
      <c r="G1518" t="s">
        <v>121</v>
      </c>
      <c r="H1518" s="3">
        <v>44562</v>
      </c>
      <c r="I1518" s="3">
        <v>44926</v>
      </c>
      <c r="J1518" t="s">
        <v>150</v>
      </c>
      <c r="K1518">
        <v>0</v>
      </c>
      <c r="L1518" t="s">
        <v>207</v>
      </c>
      <c r="M1518" t="s">
        <v>110</v>
      </c>
      <c r="O1518" t="s">
        <v>948</v>
      </c>
      <c r="P1518" t="s">
        <v>550</v>
      </c>
      <c r="Q1518">
        <v>2022</v>
      </c>
      <c r="R1518" t="s">
        <v>594</v>
      </c>
      <c r="S1518" t="s">
        <v>150</v>
      </c>
      <c r="T1518" t="s">
        <v>553</v>
      </c>
      <c r="U1518" t="b">
        <v>0</v>
      </c>
      <c r="V1518" t="s">
        <v>789</v>
      </c>
      <c r="W1518" t="s">
        <v>587</v>
      </c>
      <c r="X1518" t="s">
        <v>556</v>
      </c>
      <c r="Y1518" t="s">
        <v>472</v>
      </c>
      <c r="Z1518" t="s">
        <v>485</v>
      </c>
      <c r="AA1518" t="s">
        <v>764</v>
      </c>
      <c r="AC1518">
        <v>1</v>
      </c>
      <c r="AD1518" t="s">
        <v>565</v>
      </c>
      <c r="AE1518">
        <v>0</v>
      </c>
      <c r="AF1518">
        <v>63.123800000000003</v>
      </c>
      <c r="AG1518" t="s">
        <v>798</v>
      </c>
      <c r="AH1518">
        <v>0.94781711999999996</v>
      </c>
      <c r="AI1518">
        <v>0</v>
      </c>
      <c r="AJ1518" t="s">
        <v>561</v>
      </c>
      <c r="AK1518" t="s">
        <v>766</v>
      </c>
      <c r="AL1518" t="s">
        <v>767</v>
      </c>
      <c r="AM1518">
        <v>2022</v>
      </c>
      <c r="AN1518">
        <v>2022</v>
      </c>
      <c r="AO1518">
        <f>IF(AND(emissions[[#This Row],[Market-based]]=0,emissions[[#This Row],[Impact Type]]="CO2E"),emissions[[#This Row],[kgCO2e]],0)/1000</f>
        <v>0</v>
      </c>
      <c r="AP1518">
        <f>IF(AND(emissions[[#This Row],[Market-based]]=1,OR(emissions[[#This Row],[Impact Type]]="CO2E",emissions[[#This Row],[Impact Type]]="CO2E MKT")),emissions[[#This Row],[kgCO2e]],0)/1000</f>
        <v>0</v>
      </c>
      <c r="AQ1518" t="str">
        <f>_xlfn.TEXTAFTER(emissions[[#This Row],[Reporting Unit]]," &gt; ",LEN(emissions[[#This Row],[Reporting Unit]])-LEN(SUBSTITUTE(emissions[[#This Row],[Reporting Unit]],"&gt;","")))</f>
        <v>Vantage_Pittsburgh</v>
      </c>
      <c r="AR1518" t="str">
        <f>_xlfn.XLOOKUP(emissions[[#This Row],[Reporting unit name]],hierarchy!$A:$A,hierarchy!$C:$C)</f>
        <v>Office</v>
      </c>
    </row>
    <row r="1519" spans="1:44" hidden="1" x14ac:dyDescent="0.25">
      <c r="A1519">
        <v>284004</v>
      </c>
      <c r="B1519" t="s">
        <v>308</v>
      </c>
      <c r="C1519" t="s">
        <v>501</v>
      </c>
      <c r="D1519" t="s">
        <v>548</v>
      </c>
      <c r="E1519" s="3">
        <v>44562</v>
      </c>
      <c r="F1519" s="3">
        <v>44926</v>
      </c>
      <c r="G1519" t="s">
        <v>121</v>
      </c>
      <c r="H1519" s="3">
        <v>44562</v>
      </c>
      <c r="I1519" s="3">
        <v>44926</v>
      </c>
      <c r="J1519" t="s">
        <v>150</v>
      </c>
      <c r="K1519">
        <v>0</v>
      </c>
      <c r="L1519" t="s">
        <v>207</v>
      </c>
      <c r="M1519" t="s">
        <v>110</v>
      </c>
      <c r="O1519" t="s">
        <v>948</v>
      </c>
      <c r="P1519" t="s">
        <v>550</v>
      </c>
      <c r="Q1519">
        <v>2022</v>
      </c>
      <c r="R1519" t="s">
        <v>594</v>
      </c>
      <c r="S1519" t="s">
        <v>150</v>
      </c>
      <c r="T1519" t="s">
        <v>553</v>
      </c>
      <c r="U1519" t="b">
        <v>0</v>
      </c>
      <c r="V1519" t="s">
        <v>789</v>
      </c>
      <c r="W1519" t="s">
        <v>587</v>
      </c>
      <c r="X1519" t="s">
        <v>556</v>
      </c>
      <c r="Y1519" t="s">
        <v>472</v>
      </c>
      <c r="Z1519" t="s">
        <v>485</v>
      </c>
      <c r="AA1519" t="s">
        <v>764</v>
      </c>
      <c r="AC1519">
        <v>1</v>
      </c>
      <c r="AD1519" t="s">
        <v>566</v>
      </c>
      <c r="AE1519">
        <v>0</v>
      </c>
      <c r="AF1519">
        <v>0.17879999999999999</v>
      </c>
      <c r="AG1519" t="s">
        <v>798</v>
      </c>
      <c r="AH1519">
        <v>0.94781711999999996</v>
      </c>
      <c r="AI1519">
        <v>0</v>
      </c>
      <c r="AJ1519" t="s">
        <v>561</v>
      </c>
      <c r="AK1519" t="s">
        <v>766</v>
      </c>
      <c r="AL1519" t="s">
        <v>787</v>
      </c>
      <c r="AM1519">
        <v>2022</v>
      </c>
      <c r="AN1519">
        <v>2021</v>
      </c>
      <c r="AO1519">
        <f>IF(AND(emissions[[#This Row],[Market-based]]=0,emissions[[#This Row],[Impact Type]]="CO2E"),emissions[[#This Row],[kgCO2e]],0)/1000</f>
        <v>0</v>
      </c>
      <c r="AP1519">
        <f>IF(AND(emissions[[#This Row],[Market-based]]=1,OR(emissions[[#This Row],[Impact Type]]="CO2E",emissions[[#This Row],[Impact Type]]="CO2E MKT")),emissions[[#This Row],[kgCO2e]],0)/1000</f>
        <v>0</v>
      </c>
      <c r="AQ1519" t="str">
        <f>_xlfn.TEXTAFTER(emissions[[#This Row],[Reporting Unit]]," &gt; ",LEN(emissions[[#This Row],[Reporting Unit]])-LEN(SUBSTITUTE(emissions[[#This Row],[Reporting Unit]],"&gt;","")))</f>
        <v>Vantage_Pittsburgh</v>
      </c>
      <c r="AR1519" t="str">
        <f>_xlfn.XLOOKUP(emissions[[#This Row],[Reporting unit name]],hierarchy!$A:$A,hierarchy!$C:$C)</f>
        <v>Office</v>
      </c>
    </row>
    <row r="1520" spans="1:44" hidden="1" x14ac:dyDescent="0.25">
      <c r="A1520">
        <v>284004</v>
      </c>
      <c r="B1520" t="s">
        <v>308</v>
      </c>
      <c r="C1520" t="s">
        <v>501</v>
      </c>
      <c r="D1520" t="s">
        <v>548</v>
      </c>
      <c r="E1520" s="3">
        <v>44562</v>
      </c>
      <c r="F1520" s="3">
        <v>44926</v>
      </c>
      <c r="G1520" t="s">
        <v>121</v>
      </c>
      <c r="H1520" s="3">
        <v>44562</v>
      </c>
      <c r="I1520" s="3">
        <v>44926</v>
      </c>
      <c r="J1520" t="s">
        <v>150</v>
      </c>
      <c r="K1520">
        <v>0</v>
      </c>
      <c r="L1520" t="s">
        <v>207</v>
      </c>
      <c r="M1520" t="s">
        <v>110</v>
      </c>
      <c r="O1520" t="s">
        <v>948</v>
      </c>
      <c r="P1520" t="s">
        <v>550</v>
      </c>
      <c r="Q1520">
        <v>2022</v>
      </c>
      <c r="R1520" t="s">
        <v>596</v>
      </c>
      <c r="S1520" t="s">
        <v>597</v>
      </c>
      <c r="T1520" t="s">
        <v>577</v>
      </c>
      <c r="U1520" t="b">
        <v>0</v>
      </c>
      <c r="V1520" t="s">
        <v>598</v>
      </c>
      <c r="W1520" t="s">
        <v>571</v>
      </c>
      <c r="X1520" t="s">
        <v>572</v>
      </c>
      <c r="AC1520">
        <v>0</v>
      </c>
      <c r="AD1520" t="s">
        <v>565</v>
      </c>
      <c r="AE1520">
        <v>0</v>
      </c>
      <c r="AF1520">
        <v>2.503E-2</v>
      </c>
      <c r="AG1520" t="s">
        <v>608</v>
      </c>
      <c r="AH1520">
        <v>277.77777780000002</v>
      </c>
      <c r="AI1520">
        <v>0</v>
      </c>
      <c r="AJ1520" t="s">
        <v>561</v>
      </c>
      <c r="AK1520" t="s">
        <v>589</v>
      </c>
      <c r="AL1520" t="s">
        <v>590</v>
      </c>
      <c r="AM1520">
        <v>2022</v>
      </c>
      <c r="AN1520">
        <v>2020</v>
      </c>
      <c r="AO1520">
        <f>IF(AND(emissions[[#This Row],[Market-based]]=0,emissions[[#This Row],[Impact Type]]="CO2E"),emissions[[#This Row],[kgCO2e]],0)/1000</f>
        <v>0</v>
      </c>
      <c r="AP1520">
        <f>IF(AND(emissions[[#This Row],[Market-based]]=1,OR(emissions[[#This Row],[Impact Type]]="CO2E",emissions[[#This Row],[Impact Type]]="CO2E MKT")),emissions[[#This Row],[kgCO2e]],0)/1000</f>
        <v>0</v>
      </c>
      <c r="AQ1520" t="str">
        <f>_xlfn.TEXTAFTER(emissions[[#This Row],[Reporting Unit]]," &gt; ",LEN(emissions[[#This Row],[Reporting Unit]])-LEN(SUBSTITUTE(emissions[[#This Row],[Reporting Unit]],"&gt;","")))</f>
        <v>Vantage_Pittsburgh</v>
      </c>
      <c r="AR1520" t="str">
        <f>_xlfn.XLOOKUP(emissions[[#This Row],[Reporting unit name]],hierarchy!$A:$A,hierarchy!$C:$C)</f>
        <v>Office</v>
      </c>
    </row>
    <row r="1521" spans="1:44" hidden="1" x14ac:dyDescent="0.25">
      <c r="A1521">
        <v>284004</v>
      </c>
      <c r="B1521" t="s">
        <v>308</v>
      </c>
      <c r="C1521" t="s">
        <v>501</v>
      </c>
      <c r="D1521" t="s">
        <v>548</v>
      </c>
      <c r="E1521" s="3">
        <v>44562</v>
      </c>
      <c r="F1521" s="3">
        <v>44926</v>
      </c>
      <c r="G1521" t="s">
        <v>121</v>
      </c>
      <c r="H1521" s="3">
        <v>44562</v>
      </c>
      <c r="I1521" s="3">
        <v>44926</v>
      </c>
      <c r="J1521" t="s">
        <v>150</v>
      </c>
      <c r="K1521">
        <v>0</v>
      </c>
      <c r="L1521" t="s">
        <v>207</v>
      </c>
      <c r="M1521" t="s">
        <v>110</v>
      </c>
      <c r="O1521" t="s">
        <v>948</v>
      </c>
      <c r="P1521" t="s">
        <v>550</v>
      </c>
      <c r="Q1521">
        <v>2022</v>
      </c>
      <c r="R1521" t="s">
        <v>596</v>
      </c>
      <c r="S1521" t="s">
        <v>597</v>
      </c>
      <c r="T1521" t="s">
        <v>577</v>
      </c>
      <c r="U1521" t="b">
        <v>0</v>
      </c>
      <c r="V1521" t="s">
        <v>598</v>
      </c>
      <c r="W1521" t="s">
        <v>571</v>
      </c>
      <c r="X1521" t="s">
        <v>572</v>
      </c>
      <c r="AC1521">
        <v>1</v>
      </c>
      <c r="AD1521" t="s">
        <v>565</v>
      </c>
      <c r="AE1521">
        <v>0</v>
      </c>
      <c r="AF1521">
        <v>2.503E-2</v>
      </c>
      <c r="AG1521" t="s">
        <v>608</v>
      </c>
      <c r="AH1521">
        <v>277.77777780000002</v>
      </c>
      <c r="AI1521">
        <v>0</v>
      </c>
      <c r="AJ1521" t="s">
        <v>561</v>
      </c>
      <c r="AK1521" t="s">
        <v>589</v>
      </c>
      <c r="AL1521" t="s">
        <v>590</v>
      </c>
      <c r="AM1521">
        <v>2022</v>
      </c>
      <c r="AN1521">
        <v>2020</v>
      </c>
      <c r="AO1521">
        <f>IF(AND(emissions[[#This Row],[Market-based]]=0,emissions[[#This Row],[Impact Type]]="CO2E"),emissions[[#This Row],[kgCO2e]],0)/1000</f>
        <v>0</v>
      </c>
      <c r="AP1521">
        <f>IF(AND(emissions[[#This Row],[Market-based]]=1,OR(emissions[[#This Row],[Impact Type]]="CO2E",emissions[[#This Row],[Impact Type]]="CO2E MKT")),emissions[[#This Row],[kgCO2e]],0)/1000</f>
        <v>0</v>
      </c>
      <c r="AQ1521" t="str">
        <f>_xlfn.TEXTAFTER(emissions[[#This Row],[Reporting Unit]]," &gt; ",LEN(emissions[[#This Row],[Reporting Unit]])-LEN(SUBSTITUTE(emissions[[#This Row],[Reporting Unit]],"&gt;","")))</f>
        <v>Vantage_Pittsburgh</v>
      </c>
      <c r="AR1521" t="str">
        <f>_xlfn.XLOOKUP(emissions[[#This Row],[Reporting unit name]],hierarchy!$A:$A,hierarchy!$C:$C)</f>
        <v>Office</v>
      </c>
    </row>
    <row r="1522" spans="1:44" hidden="1" x14ac:dyDescent="0.25">
      <c r="A1522">
        <v>4959</v>
      </c>
      <c r="B1522" t="s">
        <v>308</v>
      </c>
      <c r="C1522" t="s">
        <v>501</v>
      </c>
      <c r="D1522" t="s">
        <v>599</v>
      </c>
      <c r="E1522" s="3">
        <v>44197</v>
      </c>
      <c r="F1522" s="3">
        <v>44561</v>
      </c>
      <c r="G1522" t="s">
        <v>108</v>
      </c>
      <c r="H1522" s="3">
        <v>44197</v>
      </c>
      <c r="I1522" s="3">
        <v>44561</v>
      </c>
      <c r="J1522" t="s">
        <v>108</v>
      </c>
      <c r="K1522">
        <v>94206</v>
      </c>
      <c r="L1522" t="s">
        <v>109</v>
      </c>
      <c r="M1522" t="s">
        <v>110</v>
      </c>
      <c r="O1522" t="s">
        <v>600</v>
      </c>
      <c r="P1522" t="s">
        <v>550</v>
      </c>
      <c r="Q1522">
        <v>2021</v>
      </c>
      <c r="R1522" t="s">
        <v>551</v>
      </c>
      <c r="S1522" t="s">
        <v>552</v>
      </c>
      <c r="T1522" t="s">
        <v>553</v>
      </c>
      <c r="U1522" t="b">
        <v>0</v>
      </c>
      <c r="V1522" t="s">
        <v>763</v>
      </c>
      <c r="W1522" t="s">
        <v>555</v>
      </c>
      <c r="X1522" t="s">
        <v>556</v>
      </c>
      <c r="Y1522" t="s">
        <v>472</v>
      </c>
      <c r="Z1522" t="s">
        <v>485</v>
      </c>
      <c r="AA1522" t="s">
        <v>764</v>
      </c>
      <c r="AB1522" t="s">
        <v>765</v>
      </c>
      <c r="AC1522">
        <v>0</v>
      </c>
      <c r="AD1522" t="s">
        <v>558</v>
      </c>
      <c r="AE1522">
        <v>105.759529</v>
      </c>
      <c r="AF1522">
        <v>1.122641E-3</v>
      </c>
      <c r="AG1522" t="s">
        <v>560</v>
      </c>
      <c r="AH1522">
        <v>1</v>
      </c>
      <c r="AI1522">
        <v>94206</v>
      </c>
      <c r="AJ1522" t="s">
        <v>561</v>
      </c>
      <c r="AK1522" t="s">
        <v>766</v>
      </c>
      <c r="AL1522" t="s">
        <v>790</v>
      </c>
      <c r="AM1522">
        <v>2021</v>
      </c>
      <c r="AN1522">
        <v>2019</v>
      </c>
      <c r="AO1522">
        <f>IF(AND(emissions[[#This Row],[Market-based]]=0,emissions[[#This Row],[Impact Type]]="CO2E"),emissions[[#This Row],[kgCO2e]],0)/1000</f>
        <v>0</v>
      </c>
      <c r="AP1522">
        <f>IF(AND(emissions[[#This Row],[Market-based]]=1,OR(emissions[[#This Row],[Impact Type]]="CO2E",emissions[[#This Row],[Impact Type]]="CO2E MKT")),emissions[[#This Row],[kgCO2e]],0)/1000</f>
        <v>0</v>
      </c>
      <c r="AQ1522" t="str">
        <f>_xlfn.TEXTAFTER(emissions[[#This Row],[Reporting Unit]]," &gt; ",LEN(emissions[[#This Row],[Reporting Unit]])-LEN(SUBSTITUTE(emissions[[#This Row],[Reporting Unit]],"&gt;","")))</f>
        <v>Vantage_Pittsburgh</v>
      </c>
      <c r="AR1522" t="str">
        <f>_xlfn.XLOOKUP(emissions[[#This Row],[Reporting unit name]],hierarchy!$A:$A,hierarchy!$C:$C)</f>
        <v>Office</v>
      </c>
    </row>
    <row r="1523" spans="1:44" hidden="1" x14ac:dyDescent="0.25">
      <c r="A1523">
        <v>4959</v>
      </c>
      <c r="B1523" t="s">
        <v>308</v>
      </c>
      <c r="C1523" t="s">
        <v>501</v>
      </c>
      <c r="D1523" t="s">
        <v>599</v>
      </c>
      <c r="E1523" s="3">
        <v>44197</v>
      </c>
      <c r="F1523" s="3">
        <v>44561</v>
      </c>
      <c r="G1523" t="s">
        <v>108</v>
      </c>
      <c r="H1523" s="3">
        <v>44197</v>
      </c>
      <c r="I1523" s="3">
        <v>44561</v>
      </c>
      <c r="J1523" t="s">
        <v>108</v>
      </c>
      <c r="K1523">
        <v>94206</v>
      </c>
      <c r="L1523" t="s">
        <v>109</v>
      </c>
      <c r="M1523" t="s">
        <v>110</v>
      </c>
      <c r="O1523" t="s">
        <v>600</v>
      </c>
      <c r="P1523" t="s">
        <v>550</v>
      </c>
      <c r="Q1523">
        <v>2021</v>
      </c>
      <c r="R1523" t="s">
        <v>551</v>
      </c>
      <c r="S1523" t="s">
        <v>552</v>
      </c>
      <c r="T1523" t="s">
        <v>553</v>
      </c>
      <c r="U1523" t="b">
        <v>0</v>
      </c>
      <c r="V1523" t="s">
        <v>763</v>
      </c>
      <c r="W1523" t="s">
        <v>555</v>
      </c>
      <c r="X1523" t="s">
        <v>556</v>
      </c>
      <c r="Y1523" t="s">
        <v>472</v>
      </c>
      <c r="Z1523" t="s">
        <v>485</v>
      </c>
      <c r="AA1523" t="s">
        <v>764</v>
      </c>
      <c r="AB1523" t="s">
        <v>765</v>
      </c>
      <c r="AC1523">
        <v>0</v>
      </c>
      <c r="AD1523" t="s">
        <v>564</v>
      </c>
      <c r="AE1523">
        <v>45623.122470000002</v>
      </c>
      <c r="AF1523">
        <v>0.484291048</v>
      </c>
      <c r="AG1523" t="s">
        <v>560</v>
      </c>
      <c r="AH1523">
        <v>1</v>
      </c>
      <c r="AI1523">
        <v>94206</v>
      </c>
      <c r="AJ1523" t="s">
        <v>561</v>
      </c>
      <c r="AK1523" t="s">
        <v>766</v>
      </c>
      <c r="AL1523" t="s">
        <v>790</v>
      </c>
      <c r="AM1523">
        <v>2021</v>
      </c>
      <c r="AN1523">
        <v>2019</v>
      </c>
      <c r="AO1523">
        <f>IF(AND(emissions[[#This Row],[Market-based]]=0,emissions[[#This Row],[Impact Type]]="CO2E"),emissions[[#This Row],[kgCO2e]],0)/1000</f>
        <v>0</v>
      </c>
      <c r="AP1523">
        <f>IF(AND(emissions[[#This Row],[Market-based]]=1,OR(emissions[[#This Row],[Impact Type]]="CO2E",emissions[[#This Row],[Impact Type]]="CO2E MKT")),emissions[[#This Row],[kgCO2e]],0)/1000</f>
        <v>0</v>
      </c>
      <c r="AQ1523" t="str">
        <f>_xlfn.TEXTAFTER(emissions[[#This Row],[Reporting Unit]]," &gt; ",LEN(emissions[[#This Row],[Reporting Unit]])-LEN(SUBSTITUTE(emissions[[#This Row],[Reporting Unit]],"&gt;","")))</f>
        <v>Vantage_Pittsburgh</v>
      </c>
      <c r="AR1523" t="str">
        <f>_xlfn.XLOOKUP(emissions[[#This Row],[Reporting unit name]],hierarchy!$A:$A,hierarchy!$C:$C)</f>
        <v>Office</v>
      </c>
    </row>
    <row r="1524" spans="1:44" hidden="1" x14ac:dyDescent="0.25">
      <c r="A1524">
        <v>4959</v>
      </c>
      <c r="B1524" t="s">
        <v>308</v>
      </c>
      <c r="C1524" t="s">
        <v>501</v>
      </c>
      <c r="D1524" t="s">
        <v>599</v>
      </c>
      <c r="E1524" s="3">
        <v>44197</v>
      </c>
      <c r="F1524" s="3">
        <v>44561</v>
      </c>
      <c r="G1524" t="s">
        <v>108</v>
      </c>
      <c r="H1524" s="3">
        <v>44197</v>
      </c>
      <c r="I1524" s="3">
        <v>44561</v>
      </c>
      <c r="J1524" t="s">
        <v>108</v>
      </c>
      <c r="K1524">
        <v>94206</v>
      </c>
      <c r="L1524" t="s">
        <v>109</v>
      </c>
      <c r="M1524" t="s">
        <v>110</v>
      </c>
      <c r="O1524" t="s">
        <v>600</v>
      </c>
      <c r="P1524" t="s">
        <v>550</v>
      </c>
      <c r="Q1524">
        <v>2021</v>
      </c>
      <c r="R1524" t="s">
        <v>551</v>
      </c>
      <c r="S1524" t="s">
        <v>552</v>
      </c>
      <c r="T1524" t="s">
        <v>553</v>
      </c>
      <c r="U1524" t="b">
        <v>0</v>
      </c>
      <c r="V1524" t="s">
        <v>763</v>
      </c>
      <c r="W1524" t="s">
        <v>555</v>
      </c>
      <c r="X1524" t="s">
        <v>556</v>
      </c>
      <c r="Y1524" t="s">
        <v>472</v>
      </c>
      <c r="Z1524" t="s">
        <v>485</v>
      </c>
      <c r="AA1524" t="s">
        <v>764</v>
      </c>
      <c r="AB1524" t="s">
        <v>765</v>
      </c>
      <c r="AC1524">
        <v>0</v>
      </c>
      <c r="AD1524" t="s">
        <v>565</v>
      </c>
      <c r="AE1524">
        <v>45907.156239999997</v>
      </c>
      <c r="AF1524">
        <v>0.48730607599999998</v>
      </c>
      <c r="AG1524" t="s">
        <v>560</v>
      </c>
      <c r="AH1524">
        <v>1</v>
      </c>
      <c r="AI1524">
        <v>94206</v>
      </c>
      <c r="AJ1524" t="s">
        <v>561</v>
      </c>
      <c r="AK1524" t="s">
        <v>766</v>
      </c>
      <c r="AL1524" t="s">
        <v>790</v>
      </c>
      <c r="AM1524">
        <v>2021</v>
      </c>
      <c r="AN1524">
        <v>2019</v>
      </c>
      <c r="AO1524">
        <f>IF(AND(emissions[[#This Row],[Market-based]]=0,emissions[[#This Row],[Impact Type]]="CO2E"),emissions[[#This Row],[kgCO2e]],0)/1000</f>
        <v>45.907156239999999</v>
      </c>
      <c r="AP1524">
        <f>IF(AND(emissions[[#This Row],[Market-based]]=1,OR(emissions[[#This Row],[Impact Type]]="CO2E",emissions[[#This Row],[Impact Type]]="CO2E MKT")),emissions[[#This Row],[kgCO2e]],0)/1000</f>
        <v>0</v>
      </c>
      <c r="AQ1524" t="str">
        <f>_xlfn.TEXTAFTER(emissions[[#This Row],[Reporting Unit]]," &gt; ",LEN(emissions[[#This Row],[Reporting Unit]])-LEN(SUBSTITUTE(emissions[[#This Row],[Reporting Unit]],"&gt;","")))</f>
        <v>Vantage_Pittsburgh</v>
      </c>
      <c r="AR1524" t="str">
        <f>_xlfn.XLOOKUP(emissions[[#This Row],[Reporting unit name]],hierarchy!$A:$A,hierarchy!$C:$C)</f>
        <v>Office</v>
      </c>
    </row>
    <row r="1525" spans="1:44" hidden="1" x14ac:dyDescent="0.25">
      <c r="A1525">
        <v>4959</v>
      </c>
      <c r="B1525" t="s">
        <v>308</v>
      </c>
      <c r="C1525" t="s">
        <v>501</v>
      </c>
      <c r="D1525" t="s">
        <v>599</v>
      </c>
      <c r="E1525" s="3">
        <v>44197</v>
      </c>
      <c r="F1525" s="3">
        <v>44561</v>
      </c>
      <c r="G1525" t="s">
        <v>108</v>
      </c>
      <c r="H1525" s="3">
        <v>44197</v>
      </c>
      <c r="I1525" s="3">
        <v>44561</v>
      </c>
      <c r="J1525" t="s">
        <v>108</v>
      </c>
      <c r="K1525">
        <v>94206</v>
      </c>
      <c r="L1525" t="s">
        <v>109</v>
      </c>
      <c r="M1525" t="s">
        <v>110</v>
      </c>
      <c r="O1525" t="s">
        <v>600</v>
      </c>
      <c r="P1525" t="s">
        <v>550</v>
      </c>
      <c r="Q1525">
        <v>2021</v>
      </c>
      <c r="R1525" t="s">
        <v>551</v>
      </c>
      <c r="S1525" t="s">
        <v>552</v>
      </c>
      <c r="T1525" t="s">
        <v>553</v>
      </c>
      <c r="U1525" t="b">
        <v>0</v>
      </c>
      <c r="V1525" t="s">
        <v>763</v>
      </c>
      <c r="W1525" t="s">
        <v>555</v>
      </c>
      <c r="X1525" t="s">
        <v>556</v>
      </c>
      <c r="Y1525" t="s">
        <v>472</v>
      </c>
      <c r="Z1525" t="s">
        <v>485</v>
      </c>
      <c r="AA1525" t="s">
        <v>764</v>
      </c>
      <c r="AB1525" t="s">
        <v>765</v>
      </c>
      <c r="AC1525">
        <v>0</v>
      </c>
      <c r="AD1525" t="s">
        <v>566</v>
      </c>
      <c r="AE1525">
        <v>178.27424439999999</v>
      </c>
      <c r="AF1525">
        <v>1.8923869999999999E-3</v>
      </c>
      <c r="AG1525" t="s">
        <v>560</v>
      </c>
      <c r="AH1525">
        <v>1</v>
      </c>
      <c r="AI1525">
        <v>94206</v>
      </c>
      <c r="AJ1525" t="s">
        <v>561</v>
      </c>
      <c r="AK1525" t="s">
        <v>766</v>
      </c>
      <c r="AL1525" t="s">
        <v>790</v>
      </c>
      <c r="AM1525">
        <v>2021</v>
      </c>
      <c r="AN1525">
        <v>2019</v>
      </c>
      <c r="AO1525">
        <f>IF(AND(emissions[[#This Row],[Market-based]]=0,emissions[[#This Row],[Impact Type]]="CO2E"),emissions[[#This Row],[kgCO2e]],0)/1000</f>
        <v>0</v>
      </c>
      <c r="AP1525">
        <f>IF(AND(emissions[[#This Row],[Market-based]]=1,OR(emissions[[#This Row],[Impact Type]]="CO2E",emissions[[#This Row],[Impact Type]]="CO2E MKT")),emissions[[#This Row],[kgCO2e]],0)/1000</f>
        <v>0</v>
      </c>
      <c r="AQ1525" t="str">
        <f>_xlfn.TEXTAFTER(emissions[[#This Row],[Reporting Unit]]," &gt; ",LEN(emissions[[#This Row],[Reporting Unit]])-LEN(SUBSTITUTE(emissions[[#This Row],[Reporting Unit]],"&gt;","")))</f>
        <v>Vantage_Pittsburgh</v>
      </c>
      <c r="AR1525" t="str">
        <f>_xlfn.XLOOKUP(emissions[[#This Row],[Reporting unit name]],hierarchy!$A:$A,hierarchy!$C:$C)</f>
        <v>Office</v>
      </c>
    </row>
    <row r="1526" spans="1:44" hidden="1" x14ac:dyDescent="0.25">
      <c r="A1526">
        <v>4959</v>
      </c>
      <c r="B1526" t="s">
        <v>308</v>
      </c>
      <c r="C1526" t="s">
        <v>501</v>
      </c>
      <c r="D1526" t="s">
        <v>599</v>
      </c>
      <c r="E1526" s="3">
        <v>44197</v>
      </c>
      <c r="F1526" s="3">
        <v>44561</v>
      </c>
      <c r="G1526" t="s">
        <v>108</v>
      </c>
      <c r="H1526" s="3">
        <v>44197</v>
      </c>
      <c r="I1526" s="3">
        <v>44561</v>
      </c>
      <c r="J1526" t="s">
        <v>108</v>
      </c>
      <c r="K1526">
        <v>94206</v>
      </c>
      <c r="L1526" t="s">
        <v>109</v>
      </c>
      <c r="M1526" t="s">
        <v>110</v>
      </c>
      <c r="O1526" t="s">
        <v>600</v>
      </c>
      <c r="P1526" t="s">
        <v>550</v>
      </c>
      <c r="Q1526">
        <v>2021</v>
      </c>
      <c r="R1526" t="s">
        <v>551</v>
      </c>
      <c r="S1526" t="s">
        <v>552</v>
      </c>
      <c r="T1526" t="s">
        <v>553</v>
      </c>
      <c r="U1526" t="b">
        <v>0</v>
      </c>
      <c r="V1526" t="s">
        <v>763</v>
      </c>
      <c r="W1526" t="s">
        <v>555</v>
      </c>
      <c r="X1526" t="s">
        <v>556</v>
      </c>
      <c r="Y1526" t="s">
        <v>472</v>
      </c>
      <c r="Z1526" t="s">
        <v>485</v>
      </c>
      <c r="AA1526" t="s">
        <v>764</v>
      </c>
      <c r="AB1526" t="s">
        <v>765</v>
      </c>
      <c r="AC1526">
        <v>1</v>
      </c>
      <c r="AD1526" t="s">
        <v>639</v>
      </c>
      <c r="AE1526">
        <v>45639.83034</v>
      </c>
      <c r="AF1526">
        <v>0.48446840299999999</v>
      </c>
      <c r="AG1526" t="s">
        <v>560</v>
      </c>
      <c r="AH1526">
        <v>1</v>
      </c>
      <c r="AI1526">
        <v>94206</v>
      </c>
      <c r="AJ1526" t="s">
        <v>561</v>
      </c>
      <c r="AK1526" t="s">
        <v>833</v>
      </c>
      <c r="AL1526" t="s">
        <v>853</v>
      </c>
      <c r="AM1526">
        <v>2021</v>
      </c>
      <c r="AN1526">
        <v>2019</v>
      </c>
      <c r="AO1526">
        <f>IF(AND(emissions[[#This Row],[Market-based]]=0,emissions[[#This Row],[Impact Type]]="CO2E"),emissions[[#This Row],[kgCO2e]],0)/1000</f>
        <v>0</v>
      </c>
      <c r="AP1526">
        <f>IF(AND(emissions[[#This Row],[Market-based]]=1,OR(emissions[[#This Row],[Impact Type]]="CO2E",emissions[[#This Row],[Impact Type]]="CO2E MKT")),emissions[[#This Row],[kgCO2e]],0)/1000</f>
        <v>45.639830340000003</v>
      </c>
      <c r="AQ1526" t="str">
        <f>_xlfn.TEXTAFTER(emissions[[#This Row],[Reporting Unit]]," &gt; ",LEN(emissions[[#This Row],[Reporting Unit]])-LEN(SUBSTITUTE(emissions[[#This Row],[Reporting Unit]],"&gt;","")))</f>
        <v>Vantage_Pittsburgh</v>
      </c>
      <c r="AR1526" t="str">
        <f>_xlfn.XLOOKUP(emissions[[#This Row],[Reporting unit name]],hierarchy!$A:$A,hierarchy!$C:$C)</f>
        <v>Office</v>
      </c>
    </row>
    <row r="1527" spans="1:44" hidden="1" x14ac:dyDescent="0.25">
      <c r="A1527">
        <v>4959</v>
      </c>
      <c r="B1527" t="s">
        <v>308</v>
      </c>
      <c r="C1527" t="s">
        <v>501</v>
      </c>
      <c r="D1527" t="s">
        <v>599</v>
      </c>
      <c r="E1527" s="3">
        <v>44197</v>
      </c>
      <c r="F1527" s="3">
        <v>44561</v>
      </c>
      <c r="G1527" t="s">
        <v>108</v>
      </c>
      <c r="H1527" s="3">
        <v>44197</v>
      </c>
      <c r="I1527" s="3">
        <v>44561</v>
      </c>
      <c r="J1527" t="s">
        <v>108</v>
      </c>
      <c r="K1527">
        <v>94206</v>
      </c>
      <c r="L1527" t="s">
        <v>109</v>
      </c>
      <c r="M1527" t="s">
        <v>110</v>
      </c>
      <c r="O1527" t="s">
        <v>600</v>
      </c>
      <c r="P1527" t="s">
        <v>550</v>
      </c>
      <c r="Q1527">
        <v>2021</v>
      </c>
      <c r="R1527" t="s">
        <v>567</v>
      </c>
      <c r="S1527" t="s">
        <v>568</v>
      </c>
      <c r="T1527" t="s">
        <v>569</v>
      </c>
      <c r="U1527" t="b">
        <v>0</v>
      </c>
      <c r="V1527" t="s">
        <v>771</v>
      </c>
      <c r="W1527" t="s">
        <v>571</v>
      </c>
      <c r="X1527" t="s">
        <v>572</v>
      </c>
      <c r="Y1527" t="s">
        <v>472</v>
      </c>
      <c r="Z1527" t="s">
        <v>485</v>
      </c>
      <c r="AA1527" t="s">
        <v>764</v>
      </c>
      <c r="AB1527" t="s">
        <v>765</v>
      </c>
      <c r="AC1527">
        <v>0</v>
      </c>
      <c r="AD1527" t="s">
        <v>558</v>
      </c>
      <c r="AE1527">
        <v>1.424867807</v>
      </c>
      <c r="AF1527" s="13">
        <v>1.5125E-5</v>
      </c>
      <c r="AG1527" t="s">
        <v>560</v>
      </c>
      <c r="AH1527">
        <v>1</v>
      </c>
      <c r="AI1527">
        <v>94206</v>
      </c>
      <c r="AJ1527" t="s">
        <v>561</v>
      </c>
      <c r="AK1527" t="s">
        <v>573</v>
      </c>
      <c r="AL1527" t="s">
        <v>791</v>
      </c>
      <c r="AM1527">
        <v>2021</v>
      </c>
      <c r="AN1527">
        <v>2019</v>
      </c>
      <c r="AO1527">
        <f>IF(AND(emissions[[#This Row],[Market-based]]=0,emissions[[#This Row],[Impact Type]]="CO2E"),emissions[[#This Row],[kgCO2e]],0)/1000</f>
        <v>0</v>
      </c>
      <c r="AP1527">
        <f>IF(AND(emissions[[#This Row],[Market-based]]=1,OR(emissions[[#This Row],[Impact Type]]="CO2E",emissions[[#This Row],[Impact Type]]="CO2E MKT")),emissions[[#This Row],[kgCO2e]],0)/1000</f>
        <v>0</v>
      </c>
      <c r="AQ1527" t="str">
        <f>_xlfn.TEXTAFTER(emissions[[#This Row],[Reporting Unit]]," &gt; ",LEN(emissions[[#This Row],[Reporting Unit]])-LEN(SUBSTITUTE(emissions[[#This Row],[Reporting Unit]],"&gt;","")))</f>
        <v>Vantage_Pittsburgh</v>
      </c>
      <c r="AR1527" t="str">
        <f>_xlfn.XLOOKUP(emissions[[#This Row],[Reporting unit name]],hierarchy!$A:$A,hierarchy!$C:$C)</f>
        <v>Office</v>
      </c>
    </row>
    <row r="1528" spans="1:44" hidden="1" x14ac:dyDescent="0.25">
      <c r="A1528">
        <v>4959</v>
      </c>
      <c r="B1528" t="s">
        <v>308</v>
      </c>
      <c r="C1528" t="s">
        <v>501</v>
      </c>
      <c r="D1528" t="s">
        <v>599</v>
      </c>
      <c r="E1528" s="3">
        <v>44197</v>
      </c>
      <c r="F1528" s="3">
        <v>44561</v>
      </c>
      <c r="G1528" t="s">
        <v>108</v>
      </c>
      <c r="H1528" s="3">
        <v>44197</v>
      </c>
      <c r="I1528" s="3">
        <v>44561</v>
      </c>
      <c r="J1528" t="s">
        <v>108</v>
      </c>
      <c r="K1528">
        <v>94206</v>
      </c>
      <c r="L1528" t="s">
        <v>109</v>
      </c>
      <c r="M1528" t="s">
        <v>110</v>
      </c>
      <c r="O1528" t="s">
        <v>600</v>
      </c>
      <c r="P1528" t="s">
        <v>550</v>
      </c>
      <c r="Q1528">
        <v>2021</v>
      </c>
      <c r="R1528" t="s">
        <v>567</v>
      </c>
      <c r="S1528" t="s">
        <v>568</v>
      </c>
      <c r="T1528" t="s">
        <v>569</v>
      </c>
      <c r="U1528" t="b">
        <v>0</v>
      </c>
      <c r="V1528" t="s">
        <v>771</v>
      </c>
      <c r="W1528" t="s">
        <v>571</v>
      </c>
      <c r="X1528" t="s">
        <v>572</v>
      </c>
      <c r="Y1528" t="s">
        <v>472</v>
      </c>
      <c r="Z1528" t="s">
        <v>485</v>
      </c>
      <c r="AA1528" t="s">
        <v>764</v>
      </c>
      <c r="AB1528" t="s">
        <v>765</v>
      </c>
      <c r="AC1528">
        <v>0</v>
      </c>
      <c r="AD1528" t="s">
        <v>564</v>
      </c>
      <c r="AE1528">
        <v>614.66724650000003</v>
      </c>
      <c r="AF1528">
        <v>6.524714E-3</v>
      </c>
      <c r="AG1528" t="s">
        <v>560</v>
      </c>
      <c r="AH1528">
        <v>1</v>
      </c>
      <c r="AI1528">
        <v>94206</v>
      </c>
      <c r="AJ1528" t="s">
        <v>561</v>
      </c>
      <c r="AK1528" t="s">
        <v>573</v>
      </c>
      <c r="AL1528" t="s">
        <v>791</v>
      </c>
      <c r="AM1528">
        <v>2021</v>
      </c>
      <c r="AN1528">
        <v>2019</v>
      </c>
      <c r="AO1528">
        <f>IF(AND(emissions[[#This Row],[Market-based]]=0,emissions[[#This Row],[Impact Type]]="CO2E"),emissions[[#This Row],[kgCO2e]],0)/1000</f>
        <v>0</v>
      </c>
      <c r="AP1528">
        <f>IF(AND(emissions[[#This Row],[Market-based]]=1,OR(emissions[[#This Row],[Impact Type]]="CO2E",emissions[[#This Row],[Impact Type]]="CO2E MKT")),emissions[[#This Row],[kgCO2e]],0)/1000</f>
        <v>0</v>
      </c>
      <c r="AQ1528" t="str">
        <f>_xlfn.TEXTAFTER(emissions[[#This Row],[Reporting Unit]]," &gt; ",LEN(emissions[[#This Row],[Reporting Unit]])-LEN(SUBSTITUTE(emissions[[#This Row],[Reporting Unit]],"&gt;","")))</f>
        <v>Vantage_Pittsburgh</v>
      </c>
      <c r="AR1528" t="str">
        <f>_xlfn.XLOOKUP(emissions[[#This Row],[Reporting unit name]],hierarchy!$A:$A,hierarchy!$C:$C)</f>
        <v>Office</v>
      </c>
    </row>
    <row r="1529" spans="1:44" hidden="1" x14ac:dyDescent="0.25">
      <c r="A1529">
        <v>4959</v>
      </c>
      <c r="B1529" t="s">
        <v>308</v>
      </c>
      <c r="C1529" t="s">
        <v>501</v>
      </c>
      <c r="D1529" t="s">
        <v>599</v>
      </c>
      <c r="E1529" s="3">
        <v>44197</v>
      </c>
      <c r="F1529" s="3">
        <v>44561</v>
      </c>
      <c r="G1529" t="s">
        <v>108</v>
      </c>
      <c r="H1529" s="3">
        <v>44197</v>
      </c>
      <c r="I1529" s="3">
        <v>44561</v>
      </c>
      <c r="J1529" t="s">
        <v>108</v>
      </c>
      <c r="K1529">
        <v>94206</v>
      </c>
      <c r="L1529" t="s">
        <v>109</v>
      </c>
      <c r="M1529" t="s">
        <v>110</v>
      </c>
      <c r="O1529" t="s">
        <v>600</v>
      </c>
      <c r="P1529" t="s">
        <v>550</v>
      </c>
      <c r="Q1529">
        <v>2021</v>
      </c>
      <c r="R1529" t="s">
        <v>567</v>
      </c>
      <c r="S1529" t="s">
        <v>568</v>
      </c>
      <c r="T1529" t="s">
        <v>569</v>
      </c>
      <c r="U1529" t="b">
        <v>0</v>
      </c>
      <c r="V1529" t="s">
        <v>771</v>
      </c>
      <c r="W1529" t="s">
        <v>571</v>
      </c>
      <c r="X1529" t="s">
        <v>572</v>
      </c>
      <c r="Y1529" t="s">
        <v>472</v>
      </c>
      <c r="Z1529" t="s">
        <v>485</v>
      </c>
      <c r="AA1529" t="s">
        <v>764</v>
      </c>
      <c r="AB1529" t="s">
        <v>765</v>
      </c>
      <c r="AC1529">
        <v>0</v>
      </c>
      <c r="AD1529" t="s">
        <v>565</v>
      </c>
      <c r="AE1529">
        <v>618.4939521</v>
      </c>
      <c r="AF1529">
        <v>6.5653350000000003E-3</v>
      </c>
      <c r="AG1529" t="s">
        <v>560</v>
      </c>
      <c r="AH1529">
        <v>1</v>
      </c>
      <c r="AI1529">
        <v>94206</v>
      </c>
      <c r="AJ1529" t="s">
        <v>561</v>
      </c>
      <c r="AK1529" t="s">
        <v>573</v>
      </c>
      <c r="AL1529" t="s">
        <v>791</v>
      </c>
      <c r="AM1529">
        <v>2021</v>
      </c>
      <c r="AN1529">
        <v>2019</v>
      </c>
      <c r="AO1529">
        <f>IF(AND(emissions[[#This Row],[Market-based]]=0,emissions[[#This Row],[Impact Type]]="CO2E"),emissions[[#This Row],[kgCO2e]],0)/1000</f>
        <v>0.61849395210000002</v>
      </c>
      <c r="AP1529">
        <f>IF(AND(emissions[[#This Row],[Market-based]]=1,OR(emissions[[#This Row],[Impact Type]]="CO2E",emissions[[#This Row],[Impact Type]]="CO2E MKT")),emissions[[#This Row],[kgCO2e]],0)/1000</f>
        <v>0</v>
      </c>
      <c r="AQ1529" t="str">
        <f>_xlfn.TEXTAFTER(emissions[[#This Row],[Reporting Unit]]," &gt; ",LEN(emissions[[#This Row],[Reporting Unit]])-LEN(SUBSTITUTE(emissions[[#This Row],[Reporting Unit]],"&gt;","")))</f>
        <v>Vantage_Pittsburgh</v>
      </c>
      <c r="AR1529" t="str">
        <f>_xlfn.XLOOKUP(emissions[[#This Row],[Reporting unit name]],hierarchy!$A:$A,hierarchy!$C:$C)</f>
        <v>Office</v>
      </c>
    </row>
    <row r="1530" spans="1:44" hidden="1" x14ac:dyDescent="0.25">
      <c r="A1530">
        <v>4959</v>
      </c>
      <c r="B1530" t="s">
        <v>308</v>
      </c>
      <c r="C1530" t="s">
        <v>501</v>
      </c>
      <c r="D1530" t="s">
        <v>599</v>
      </c>
      <c r="E1530" s="3">
        <v>44197</v>
      </c>
      <c r="F1530" s="3">
        <v>44561</v>
      </c>
      <c r="G1530" t="s">
        <v>108</v>
      </c>
      <c r="H1530" s="3">
        <v>44197</v>
      </c>
      <c r="I1530" s="3">
        <v>44561</v>
      </c>
      <c r="J1530" t="s">
        <v>108</v>
      </c>
      <c r="K1530">
        <v>94206</v>
      </c>
      <c r="L1530" t="s">
        <v>109</v>
      </c>
      <c r="M1530" t="s">
        <v>110</v>
      </c>
      <c r="O1530" t="s">
        <v>600</v>
      </c>
      <c r="P1530" t="s">
        <v>550</v>
      </c>
      <c r="Q1530">
        <v>2021</v>
      </c>
      <c r="R1530" t="s">
        <v>567</v>
      </c>
      <c r="S1530" t="s">
        <v>568</v>
      </c>
      <c r="T1530" t="s">
        <v>569</v>
      </c>
      <c r="U1530" t="b">
        <v>0</v>
      </c>
      <c r="V1530" t="s">
        <v>771</v>
      </c>
      <c r="W1530" t="s">
        <v>571</v>
      </c>
      <c r="X1530" t="s">
        <v>572</v>
      </c>
      <c r="Y1530" t="s">
        <v>472</v>
      </c>
      <c r="Z1530" t="s">
        <v>485</v>
      </c>
      <c r="AA1530" t="s">
        <v>764</v>
      </c>
      <c r="AB1530" t="s">
        <v>765</v>
      </c>
      <c r="AC1530">
        <v>0</v>
      </c>
      <c r="AD1530" t="s">
        <v>566</v>
      </c>
      <c r="AE1530">
        <v>2.4018377740000001</v>
      </c>
      <c r="AF1530" s="13">
        <v>2.54956E-5</v>
      </c>
      <c r="AG1530" t="s">
        <v>560</v>
      </c>
      <c r="AH1530">
        <v>1</v>
      </c>
      <c r="AI1530">
        <v>94206</v>
      </c>
      <c r="AJ1530" t="s">
        <v>561</v>
      </c>
      <c r="AK1530" t="s">
        <v>573</v>
      </c>
      <c r="AL1530" t="s">
        <v>791</v>
      </c>
      <c r="AM1530">
        <v>2021</v>
      </c>
      <c r="AN1530">
        <v>2019</v>
      </c>
      <c r="AO1530">
        <f>IF(AND(emissions[[#This Row],[Market-based]]=0,emissions[[#This Row],[Impact Type]]="CO2E"),emissions[[#This Row],[kgCO2e]],0)/1000</f>
        <v>0</v>
      </c>
      <c r="AP1530">
        <f>IF(AND(emissions[[#This Row],[Market-based]]=1,OR(emissions[[#This Row],[Impact Type]]="CO2E",emissions[[#This Row],[Impact Type]]="CO2E MKT")),emissions[[#This Row],[kgCO2e]],0)/1000</f>
        <v>0</v>
      </c>
      <c r="AQ1530" t="str">
        <f>_xlfn.TEXTAFTER(emissions[[#This Row],[Reporting Unit]]," &gt; ",LEN(emissions[[#This Row],[Reporting Unit]])-LEN(SUBSTITUTE(emissions[[#This Row],[Reporting Unit]],"&gt;","")))</f>
        <v>Vantage_Pittsburgh</v>
      </c>
      <c r="AR1530" t="str">
        <f>_xlfn.XLOOKUP(emissions[[#This Row],[Reporting unit name]],hierarchy!$A:$A,hierarchy!$C:$C)</f>
        <v>Office</v>
      </c>
    </row>
    <row r="1531" spans="1:44" hidden="1" x14ac:dyDescent="0.25">
      <c r="A1531">
        <v>4959</v>
      </c>
      <c r="B1531" t="s">
        <v>308</v>
      </c>
      <c r="C1531" t="s">
        <v>501</v>
      </c>
      <c r="D1531" t="s">
        <v>599</v>
      </c>
      <c r="E1531" s="3">
        <v>44197</v>
      </c>
      <c r="F1531" s="3">
        <v>44561</v>
      </c>
      <c r="G1531" t="s">
        <v>108</v>
      </c>
      <c r="H1531" s="3">
        <v>44197</v>
      </c>
      <c r="I1531" s="3">
        <v>44561</v>
      </c>
      <c r="J1531" t="s">
        <v>108</v>
      </c>
      <c r="K1531">
        <v>94206</v>
      </c>
      <c r="L1531" t="s">
        <v>109</v>
      </c>
      <c r="M1531" t="s">
        <v>110</v>
      </c>
      <c r="O1531" t="s">
        <v>600</v>
      </c>
      <c r="P1531" t="s">
        <v>550</v>
      </c>
      <c r="Q1531">
        <v>2021</v>
      </c>
      <c r="R1531" t="s">
        <v>567</v>
      </c>
      <c r="S1531" t="s">
        <v>568</v>
      </c>
      <c r="T1531" t="s">
        <v>569</v>
      </c>
      <c r="U1531" t="b">
        <v>0</v>
      </c>
      <c r="V1531" t="s">
        <v>771</v>
      </c>
      <c r="W1531" t="s">
        <v>571</v>
      </c>
      <c r="X1531" t="s">
        <v>572</v>
      </c>
      <c r="Y1531" t="s">
        <v>472</v>
      </c>
      <c r="Z1531" t="s">
        <v>485</v>
      </c>
      <c r="AA1531" t="s">
        <v>764</v>
      </c>
      <c r="AB1531" t="s">
        <v>765</v>
      </c>
      <c r="AC1531">
        <v>1</v>
      </c>
      <c r="AD1531" t="s">
        <v>639</v>
      </c>
      <c r="AE1531">
        <v>614.89234690000001</v>
      </c>
      <c r="AF1531">
        <v>6.5271039999999997E-3</v>
      </c>
      <c r="AG1531" t="s">
        <v>560</v>
      </c>
      <c r="AH1531">
        <v>1</v>
      </c>
      <c r="AI1531">
        <v>94206</v>
      </c>
      <c r="AJ1531" t="s">
        <v>561</v>
      </c>
      <c r="AK1531" t="s">
        <v>573</v>
      </c>
      <c r="AL1531" t="s">
        <v>772</v>
      </c>
      <c r="AM1531">
        <v>2021</v>
      </c>
      <c r="AN1531">
        <v>2019</v>
      </c>
      <c r="AO1531">
        <f>IF(AND(emissions[[#This Row],[Market-based]]=0,emissions[[#This Row],[Impact Type]]="CO2E"),emissions[[#This Row],[kgCO2e]],0)/1000</f>
        <v>0</v>
      </c>
      <c r="AP1531">
        <f>IF(AND(emissions[[#This Row],[Market-based]]=1,OR(emissions[[#This Row],[Impact Type]]="CO2E",emissions[[#This Row],[Impact Type]]="CO2E MKT")),emissions[[#This Row],[kgCO2e]],0)/1000</f>
        <v>0.61489234690000005</v>
      </c>
      <c r="AQ1531" t="str">
        <f>_xlfn.TEXTAFTER(emissions[[#This Row],[Reporting Unit]]," &gt; ",LEN(emissions[[#This Row],[Reporting Unit]])-LEN(SUBSTITUTE(emissions[[#This Row],[Reporting Unit]],"&gt;","")))</f>
        <v>Vantage_Pittsburgh</v>
      </c>
      <c r="AR1531" t="str">
        <f>_xlfn.XLOOKUP(emissions[[#This Row],[Reporting unit name]],hierarchy!$A:$A,hierarchy!$C:$C)</f>
        <v>Office</v>
      </c>
    </row>
    <row r="1532" spans="1:44" hidden="1" x14ac:dyDescent="0.25">
      <c r="A1532">
        <v>4959</v>
      </c>
      <c r="B1532" t="s">
        <v>308</v>
      </c>
      <c r="C1532" t="s">
        <v>501</v>
      </c>
      <c r="D1532" t="s">
        <v>599</v>
      </c>
      <c r="E1532" s="3">
        <v>44197</v>
      </c>
      <c r="F1532" s="3">
        <v>44561</v>
      </c>
      <c r="G1532" t="s">
        <v>108</v>
      </c>
      <c r="H1532" s="3">
        <v>44197</v>
      </c>
      <c r="I1532" s="3">
        <v>44561</v>
      </c>
      <c r="J1532" t="s">
        <v>108</v>
      </c>
      <c r="K1532">
        <v>94206</v>
      </c>
      <c r="L1532" t="s">
        <v>109</v>
      </c>
      <c r="M1532" t="s">
        <v>110</v>
      </c>
      <c r="O1532" t="s">
        <v>600</v>
      </c>
      <c r="P1532" t="s">
        <v>550</v>
      </c>
      <c r="Q1532">
        <v>2021</v>
      </c>
      <c r="R1532" t="s">
        <v>575</v>
      </c>
      <c r="S1532" t="s">
        <v>576</v>
      </c>
      <c r="T1532" t="s">
        <v>577</v>
      </c>
      <c r="U1532" t="b">
        <v>0</v>
      </c>
      <c r="V1532" t="s">
        <v>774</v>
      </c>
      <c r="W1532" t="s">
        <v>571</v>
      </c>
      <c r="X1532" t="s">
        <v>572</v>
      </c>
      <c r="Y1532" t="s">
        <v>472</v>
      </c>
      <c r="Z1532" t="s">
        <v>485</v>
      </c>
      <c r="AA1532" t="s">
        <v>764</v>
      </c>
      <c r="AB1532" t="s">
        <v>765</v>
      </c>
      <c r="AC1532">
        <v>0</v>
      </c>
      <c r="AD1532" t="s">
        <v>558</v>
      </c>
      <c r="AE1532">
        <v>27.93858445</v>
      </c>
      <c r="AF1532">
        <v>2.96569E-4</v>
      </c>
      <c r="AG1532" t="s">
        <v>560</v>
      </c>
      <c r="AH1532">
        <v>1</v>
      </c>
      <c r="AI1532">
        <v>94206</v>
      </c>
      <c r="AJ1532" t="s">
        <v>561</v>
      </c>
      <c r="AK1532" t="s">
        <v>573</v>
      </c>
      <c r="AL1532" t="s">
        <v>792</v>
      </c>
      <c r="AM1532">
        <v>2021</v>
      </c>
      <c r="AN1532">
        <v>2019</v>
      </c>
      <c r="AO1532">
        <f>IF(AND(emissions[[#This Row],[Market-based]]=0,emissions[[#This Row],[Impact Type]]="CO2E"),emissions[[#This Row],[kgCO2e]],0)/1000</f>
        <v>0</v>
      </c>
      <c r="AP1532">
        <f>IF(AND(emissions[[#This Row],[Market-based]]=1,OR(emissions[[#This Row],[Impact Type]]="CO2E",emissions[[#This Row],[Impact Type]]="CO2E MKT")),emissions[[#This Row],[kgCO2e]],0)/1000</f>
        <v>0</v>
      </c>
      <c r="AQ1532" t="str">
        <f>_xlfn.TEXTAFTER(emissions[[#This Row],[Reporting Unit]]," &gt; ",LEN(emissions[[#This Row],[Reporting Unit]])-LEN(SUBSTITUTE(emissions[[#This Row],[Reporting Unit]],"&gt;","")))</f>
        <v>Vantage_Pittsburgh</v>
      </c>
      <c r="AR1532" t="str">
        <f>_xlfn.XLOOKUP(emissions[[#This Row],[Reporting unit name]],hierarchy!$A:$A,hierarchy!$C:$C)</f>
        <v>Office</v>
      </c>
    </row>
    <row r="1533" spans="1:44" hidden="1" x14ac:dyDescent="0.25">
      <c r="A1533">
        <v>4959</v>
      </c>
      <c r="B1533" t="s">
        <v>308</v>
      </c>
      <c r="C1533" t="s">
        <v>501</v>
      </c>
      <c r="D1533" t="s">
        <v>599</v>
      </c>
      <c r="E1533" s="3">
        <v>44197</v>
      </c>
      <c r="F1533" s="3">
        <v>44561</v>
      </c>
      <c r="G1533" t="s">
        <v>108</v>
      </c>
      <c r="H1533" s="3">
        <v>44197</v>
      </c>
      <c r="I1533" s="3">
        <v>44561</v>
      </c>
      <c r="J1533" t="s">
        <v>108</v>
      </c>
      <c r="K1533">
        <v>94206</v>
      </c>
      <c r="L1533" t="s">
        <v>109</v>
      </c>
      <c r="M1533" t="s">
        <v>110</v>
      </c>
      <c r="O1533" t="s">
        <v>600</v>
      </c>
      <c r="P1533" t="s">
        <v>550</v>
      </c>
      <c r="Q1533">
        <v>2021</v>
      </c>
      <c r="R1533" t="s">
        <v>575</v>
      </c>
      <c r="S1533" t="s">
        <v>576</v>
      </c>
      <c r="T1533" t="s">
        <v>577</v>
      </c>
      <c r="U1533" t="b">
        <v>0</v>
      </c>
      <c r="V1533" t="s">
        <v>774</v>
      </c>
      <c r="W1533" t="s">
        <v>571</v>
      </c>
      <c r="X1533" t="s">
        <v>572</v>
      </c>
      <c r="Y1533" t="s">
        <v>472</v>
      </c>
      <c r="Z1533" t="s">
        <v>485</v>
      </c>
      <c r="AA1533" t="s">
        <v>764</v>
      </c>
      <c r="AB1533" t="s">
        <v>765</v>
      </c>
      <c r="AC1533">
        <v>0</v>
      </c>
      <c r="AD1533" t="s">
        <v>564</v>
      </c>
      <c r="AE1533">
        <v>12052.29895</v>
      </c>
      <c r="AF1533">
        <v>0.12793557699999999</v>
      </c>
      <c r="AG1533" t="s">
        <v>560</v>
      </c>
      <c r="AH1533">
        <v>1</v>
      </c>
      <c r="AI1533">
        <v>94206</v>
      </c>
      <c r="AJ1533" t="s">
        <v>561</v>
      </c>
      <c r="AK1533" t="s">
        <v>573</v>
      </c>
      <c r="AL1533" t="s">
        <v>792</v>
      </c>
      <c r="AM1533">
        <v>2021</v>
      </c>
      <c r="AN1533">
        <v>2019</v>
      </c>
      <c r="AO1533">
        <f>IF(AND(emissions[[#This Row],[Market-based]]=0,emissions[[#This Row],[Impact Type]]="CO2E"),emissions[[#This Row],[kgCO2e]],0)/1000</f>
        <v>0</v>
      </c>
      <c r="AP1533">
        <f>IF(AND(emissions[[#This Row],[Market-based]]=1,OR(emissions[[#This Row],[Impact Type]]="CO2E",emissions[[#This Row],[Impact Type]]="CO2E MKT")),emissions[[#This Row],[kgCO2e]],0)/1000</f>
        <v>0</v>
      </c>
      <c r="AQ1533" t="str">
        <f>_xlfn.TEXTAFTER(emissions[[#This Row],[Reporting Unit]]," &gt; ",LEN(emissions[[#This Row],[Reporting Unit]])-LEN(SUBSTITUTE(emissions[[#This Row],[Reporting Unit]],"&gt;","")))</f>
        <v>Vantage_Pittsburgh</v>
      </c>
      <c r="AR1533" t="str">
        <f>_xlfn.XLOOKUP(emissions[[#This Row],[Reporting unit name]],hierarchy!$A:$A,hierarchy!$C:$C)</f>
        <v>Office</v>
      </c>
    </row>
    <row r="1534" spans="1:44" hidden="1" x14ac:dyDescent="0.25">
      <c r="A1534">
        <v>4959</v>
      </c>
      <c r="B1534" t="s">
        <v>308</v>
      </c>
      <c r="C1534" t="s">
        <v>501</v>
      </c>
      <c r="D1534" t="s">
        <v>599</v>
      </c>
      <c r="E1534" s="3">
        <v>44197</v>
      </c>
      <c r="F1534" s="3">
        <v>44561</v>
      </c>
      <c r="G1534" t="s">
        <v>108</v>
      </c>
      <c r="H1534" s="3">
        <v>44197</v>
      </c>
      <c r="I1534" s="3">
        <v>44561</v>
      </c>
      <c r="J1534" t="s">
        <v>108</v>
      </c>
      <c r="K1534">
        <v>94206</v>
      </c>
      <c r="L1534" t="s">
        <v>109</v>
      </c>
      <c r="M1534" t="s">
        <v>110</v>
      </c>
      <c r="O1534" t="s">
        <v>600</v>
      </c>
      <c r="P1534" t="s">
        <v>550</v>
      </c>
      <c r="Q1534">
        <v>2021</v>
      </c>
      <c r="R1534" t="s">
        <v>575</v>
      </c>
      <c r="S1534" t="s">
        <v>576</v>
      </c>
      <c r="T1534" t="s">
        <v>577</v>
      </c>
      <c r="U1534" t="b">
        <v>0</v>
      </c>
      <c r="V1534" t="s">
        <v>774</v>
      </c>
      <c r="W1534" t="s">
        <v>571</v>
      </c>
      <c r="X1534" t="s">
        <v>572</v>
      </c>
      <c r="Y1534" t="s">
        <v>472</v>
      </c>
      <c r="Z1534" t="s">
        <v>485</v>
      </c>
      <c r="AA1534" t="s">
        <v>764</v>
      </c>
      <c r="AB1534" t="s">
        <v>765</v>
      </c>
      <c r="AC1534">
        <v>0</v>
      </c>
      <c r="AD1534" t="s">
        <v>565</v>
      </c>
      <c r="AE1534">
        <v>12127.33239</v>
      </c>
      <c r="AF1534">
        <v>0.12873205900000001</v>
      </c>
      <c r="AG1534" t="s">
        <v>560</v>
      </c>
      <c r="AH1534">
        <v>1</v>
      </c>
      <c r="AI1534">
        <v>94206</v>
      </c>
      <c r="AJ1534" t="s">
        <v>561</v>
      </c>
      <c r="AK1534" t="s">
        <v>573</v>
      </c>
      <c r="AL1534" t="s">
        <v>792</v>
      </c>
      <c r="AM1534">
        <v>2021</v>
      </c>
      <c r="AN1534">
        <v>2019</v>
      </c>
      <c r="AO1534">
        <f>IF(AND(emissions[[#This Row],[Market-based]]=0,emissions[[#This Row],[Impact Type]]="CO2E"),emissions[[#This Row],[kgCO2e]],0)/1000</f>
        <v>12.127332389999999</v>
      </c>
      <c r="AP1534">
        <f>IF(AND(emissions[[#This Row],[Market-based]]=1,OR(emissions[[#This Row],[Impact Type]]="CO2E",emissions[[#This Row],[Impact Type]]="CO2E MKT")),emissions[[#This Row],[kgCO2e]],0)/1000</f>
        <v>0</v>
      </c>
      <c r="AQ1534" t="str">
        <f>_xlfn.TEXTAFTER(emissions[[#This Row],[Reporting Unit]]," &gt; ",LEN(emissions[[#This Row],[Reporting Unit]])-LEN(SUBSTITUTE(emissions[[#This Row],[Reporting Unit]],"&gt;","")))</f>
        <v>Vantage_Pittsburgh</v>
      </c>
      <c r="AR1534" t="str">
        <f>_xlfn.XLOOKUP(emissions[[#This Row],[Reporting unit name]],hierarchy!$A:$A,hierarchy!$C:$C)</f>
        <v>Office</v>
      </c>
    </row>
    <row r="1535" spans="1:44" hidden="1" x14ac:dyDescent="0.25">
      <c r="A1535">
        <v>4959</v>
      </c>
      <c r="B1535" t="s">
        <v>308</v>
      </c>
      <c r="C1535" t="s">
        <v>501</v>
      </c>
      <c r="D1535" t="s">
        <v>599</v>
      </c>
      <c r="E1535" s="3">
        <v>44197</v>
      </c>
      <c r="F1535" s="3">
        <v>44561</v>
      </c>
      <c r="G1535" t="s">
        <v>108</v>
      </c>
      <c r="H1535" s="3">
        <v>44197</v>
      </c>
      <c r="I1535" s="3">
        <v>44561</v>
      </c>
      <c r="J1535" t="s">
        <v>108</v>
      </c>
      <c r="K1535">
        <v>94206</v>
      </c>
      <c r="L1535" t="s">
        <v>109</v>
      </c>
      <c r="M1535" t="s">
        <v>110</v>
      </c>
      <c r="O1535" t="s">
        <v>600</v>
      </c>
      <c r="P1535" t="s">
        <v>550</v>
      </c>
      <c r="Q1535">
        <v>2021</v>
      </c>
      <c r="R1535" t="s">
        <v>575</v>
      </c>
      <c r="S1535" t="s">
        <v>576</v>
      </c>
      <c r="T1535" t="s">
        <v>577</v>
      </c>
      <c r="U1535" t="b">
        <v>0</v>
      </c>
      <c r="V1535" t="s">
        <v>774</v>
      </c>
      <c r="W1535" t="s">
        <v>571</v>
      </c>
      <c r="X1535" t="s">
        <v>572</v>
      </c>
      <c r="Y1535" t="s">
        <v>472</v>
      </c>
      <c r="Z1535" t="s">
        <v>485</v>
      </c>
      <c r="AA1535" t="s">
        <v>764</v>
      </c>
      <c r="AB1535" t="s">
        <v>765</v>
      </c>
      <c r="AC1535">
        <v>0</v>
      </c>
      <c r="AD1535" t="s">
        <v>566</v>
      </c>
      <c r="AE1535">
        <v>47.094858309999999</v>
      </c>
      <c r="AF1535">
        <v>4.9991399999999996E-4</v>
      </c>
      <c r="AG1535" t="s">
        <v>560</v>
      </c>
      <c r="AH1535">
        <v>1</v>
      </c>
      <c r="AI1535">
        <v>94206</v>
      </c>
      <c r="AJ1535" t="s">
        <v>561</v>
      </c>
      <c r="AK1535" t="s">
        <v>573</v>
      </c>
      <c r="AL1535" t="s">
        <v>792</v>
      </c>
      <c r="AM1535">
        <v>2021</v>
      </c>
      <c r="AN1535">
        <v>2019</v>
      </c>
      <c r="AO1535">
        <f>IF(AND(emissions[[#This Row],[Market-based]]=0,emissions[[#This Row],[Impact Type]]="CO2E"),emissions[[#This Row],[kgCO2e]],0)/1000</f>
        <v>0</v>
      </c>
      <c r="AP1535">
        <f>IF(AND(emissions[[#This Row],[Market-based]]=1,OR(emissions[[#This Row],[Impact Type]]="CO2E",emissions[[#This Row],[Impact Type]]="CO2E MKT")),emissions[[#This Row],[kgCO2e]],0)/1000</f>
        <v>0</v>
      </c>
      <c r="AQ1535" t="str">
        <f>_xlfn.TEXTAFTER(emissions[[#This Row],[Reporting Unit]]," &gt; ",LEN(emissions[[#This Row],[Reporting Unit]])-LEN(SUBSTITUTE(emissions[[#This Row],[Reporting Unit]],"&gt;","")))</f>
        <v>Vantage_Pittsburgh</v>
      </c>
      <c r="AR1535" t="str">
        <f>_xlfn.XLOOKUP(emissions[[#This Row],[Reporting unit name]],hierarchy!$A:$A,hierarchy!$C:$C)</f>
        <v>Office</v>
      </c>
    </row>
    <row r="1536" spans="1:44" hidden="1" x14ac:dyDescent="0.25">
      <c r="A1536">
        <v>4959</v>
      </c>
      <c r="B1536" t="s">
        <v>308</v>
      </c>
      <c r="C1536" t="s">
        <v>501</v>
      </c>
      <c r="D1536" t="s">
        <v>599</v>
      </c>
      <c r="E1536" s="3">
        <v>44197</v>
      </c>
      <c r="F1536" s="3">
        <v>44561</v>
      </c>
      <c r="G1536" t="s">
        <v>108</v>
      </c>
      <c r="H1536" s="3">
        <v>44197</v>
      </c>
      <c r="I1536" s="3">
        <v>44561</v>
      </c>
      <c r="J1536" t="s">
        <v>108</v>
      </c>
      <c r="K1536">
        <v>94206</v>
      </c>
      <c r="L1536" t="s">
        <v>109</v>
      </c>
      <c r="M1536" t="s">
        <v>110</v>
      </c>
      <c r="O1536" t="s">
        <v>600</v>
      </c>
      <c r="P1536" t="s">
        <v>550</v>
      </c>
      <c r="Q1536">
        <v>2021</v>
      </c>
      <c r="R1536" t="s">
        <v>575</v>
      </c>
      <c r="S1536" t="s">
        <v>576</v>
      </c>
      <c r="T1536" t="s">
        <v>577</v>
      </c>
      <c r="U1536" t="b">
        <v>0</v>
      </c>
      <c r="V1536" t="s">
        <v>774</v>
      </c>
      <c r="W1536" t="s">
        <v>571</v>
      </c>
      <c r="X1536" t="s">
        <v>572</v>
      </c>
      <c r="Y1536" t="s">
        <v>472</v>
      </c>
      <c r="Z1536" t="s">
        <v>485</v>
      </c>
      <c r="AA1536" t="s">
        <v>764</v>
      </c>
      <c r="AB1536" t="s">
        <v>765</v>
      </c>
      <c r="AC1536">
        <v>1</v>
      </c>
      <c r="AD1536" t="s">
        <v>639</v>
      </c>
      <c r="AE1536">
        <v>12056.712680000001</v>
      </c>
      <c r="AF1536">
        <v>0.12798242900000001</v>
      </c>
      <c r="AG1536" t="s">
        <v>560</v>
      </c>
      <c r="AH1536">
        <v>1</v>
      </c>
      <c r="AI1536">
        <v>94206</v>
      </c>
      <c r="AJ1536" t="s">
        <v>561</v>
      </c>
      <c r="AK1536" t="s">
        <v>573</v>
      </c>
      <c r="AL1536" t="s">
        <v>775</v>
      </c>
      <c r="AM1536">
        <v>2021</v>
      </c>
      <c r="AN1536">
        <v>2019</v>
      </c>
      <c r="AO1536">
        <f>IF(AND(emissions[[#This Row],[Market-based]]=0,emissions[[#This Row],[Impact Type]]="CO2E"),emissions[[#This Row],[kgCO2e]],0)/1000</f>
        <v>0</v>
      </c>
      <c r="AP1536">
        <f>IF(AND(emissions[[#This Row],[Market-based]]=1,OR(emissions[[#This Row],[Impact Type]]="CO2E",emissions[[#This Row],[Impact Type]]="CO2E MKT")),emissions[[#This Row],[kgCO2e]],0)/1000</f>
        <v>12.05671268</v>
      </c>
      <c r="AQ1536" t="str">
        <f>_xlfn.TEXTAFTER(emissions[[#This Row],[Reporting Unit]]," &gt; ",LEN(emissions[[#This Row],[Reporting Unit]])-LEN(SUBSTITUTE(emissions[[#This Row],[Reporting Unit]],"&gt;","")))</f>
        <v>Vantage_Pittsburgh</v>
      </c>
      <c r="AR1536" t="str">
        <f>_xlfn.XLOOKUP(emissions[[#This Row],[Reporting unit name]],hierarchy!$A:$A,hierarchy!$C:$C)</f>
        <v>Office</v>
      </c>
    </row>
    <row r="1537" spans="1:44" hidden="1" x14ac:dyDescent="0.25">
      <c r="A1537">
        <v>4959</v>
      </c>
      <c r="B1537" t="s">
        <v>308</v>
      </c>
      <c r="C1537" t="s">
        <v>501</v>
      </c>
      <c r="D1537" t="s">
        <v>599</v>
      </c>
      <c r="E1537" s="3">
        <v>44197</v>
      </c>
      <c r="F1537" s="3">
        <v>44561</v>
      </c>
      <c r="G1537" t="s">
        <v>108</v>
      </c>
      <c r="H1537" s="3">
        <v>44197</v>
      </c>
      <c r="I1537" s="3">
        <v>44561</v>
      </c>
      <c r="J1537" t="s">
        <v>108</v>
      </c>
      <c r="K1537">
        <v>94206</v>
      </c>
      <c r="L1537" t="s">
        <v>109</v>
      </c>
      <c r="M1537" t="s">
        <v>110</v>
      </c>
      <c r="O1537" t="s">
        <v>600</v>
      </c>
      <c r="P1537" t="s">
        <v>550</v>
      </c>
      <c r="Q1537">
        <v>2021</v>
      </c>
      <c r="R1537" t="s">
        <v>579</v>
      </c>
      <c r="S1537" t="s">
        <v>580</v>
      </c>
      <c r="T1537" t="s">
        <v>581</v>
      </c>
      <c r="U1537" t="b">
        <v>0</v>
      </c>
      <c r="V1537" t="s">
        <v>776</v>
      </c>
      <c r="W1537" t="s">
        <v>571</v>
      </c>
      <c r="X1537" t="s">
        <v>572</v>
      </c>
      <c r="Y1537" t="s">
        <v>472</v>
      </c>
      <c r="Z1537" t="s">
        <v>485</v>
      </c>
      <c r="AA1537" t="s">
        <v>764</v>
      </c>
      <c r="AB1537" t="s">
        <v>765</v>
      </c>
      <c r="AC1537">
        <v>0</v>
      </c>
      <c r="AD1537" t="s">
        <v>565</v>
      </c>
      <c r="AE1537">
        <v>2341.264968</v>
      </c>
      <c r="AF1537">
        <v>2.4852610000000001E-2</v>
      </c>
      <c r="AG1537" t="s">
        <v>560</v>
      </c>
      <c r="AH1537">
        <v>1</v>
      </c>
      <c r="AI1537">
        <v>94206</v>
      </c>
      <c r="AJ1537" t="s">
        <v>561</v>
      </c>
      <c r="AK1537" t="s">
        <v>766</v>
      </c>
      <c r="AL1537" t="s">
        <v>790</v>
      </c>
      <c r="AM1537">
        <v>2021</v>
      </c>
      <c r="AN1537">
        <v>2019</v>
      </c>
      <c r="AO1537">
        <f>IF(AND(emissions[[#This Row],[Market-based]]=0,emissions[[#This Row],[Impact Type]]="CO2E"),emissions[[#This Row],[kgCO2e]],0)/1000</f>
        <v>2.3412649679999999</v>
      </c>
      <c r="AP1537">
        <f>IF(AND(emissions[[#This Row],[Market-based]]=1,OR(emissions[[#This Row],[Impact Type]]="CO2E",emissions[[#This Row],[Impact Type]]="CO2E MKT")),emissions[[#This Row],[kgCO2e]],0)/1000</f>
        <v>0</v>
      </c>
      <c r="AQ1537" t="str">
        <f>_xlfn.TEXTAFTER(emissions[[#This Row],[Reporting Unit]]," &gt; ",LEN(emissions[[#This Row],[Reporting Unit]])-LEN(SUBSTITUTE(emissions[[#This Row],[Reporting Unit]],"&gt;","")))</f>
        <v>Vantage_Pittsburgh</v>
      </c>
      <c r="AR1537" t="str">
        <f>_xlfn.XLOOKUP(emissions[[#This Row],[Reporting unit name]],hierarchy!$A:$A,hierarchy!$C:$C)</f>
        <v>Office</v>
      </c>
    </row>
    <row r="1538" spans="1:44" hidden="1" x14ac:dyDescent="0.25">
      <c r="A1538">
        <v>4959</v>
      </c>
      <c r="B1538" t="s">
        <v>308</v>
      </c>
      <c r="C1538" t="s">
        <v>501</v>
      </c>
      <c r="D1538" t="s">
        <v>599</v>
      </c>
      <c r="E1538" s="3">
        <v>44197</v>
      </c>
      <c r="F1538" s="3">
        <v>44561</v>
      </c>
      <c r="G1538" t="s">
        <v>108</v>
      </c>
      <c r="H1538" s="3">
        <v>44197</v>
      </c>
      <c r="I1538" s="3">
        <v>44561</v>
      </c>
      <c r="J1538" t="s">
        <v>108</v>
      </c>
      <c r="K1538">
        <v>94206</v>
      </c>
      <c r="L1538" t="s">
        <v>109</v>
      </c>
      <c r="M1538" t="s">
        <v>110</v>
      </c>
      <c r="O1538" t="s">
        <v>600</v>
      </c>
      <c r="P1538" t="s">
        <v>550</v>
      </c>
      <c r="Q1538">
        <v>2021</v>
      </c>
      <c r="R1538" t="s">
        <v>579</v>
      </c>
      <c r="S1538" t="s">
        <v>580</v>
      </c>
      <c r="T1538" t="s">
        <v>581</v>
      </c>
      <c r="U1538" t="b">
        <v>0</v>
      </c>
      <c r="V1538" t="s">
        <v>777</v>
      </c>
      <c r="W1538" t="s">
        <v>571</v>
      </c>
      <c r="X1538" t="s">
        <v>572</v>
      </c>
      <c r="Y1538" t="s">
        <v>472</v>
      </c>
      <c r="Z1538" t="s">
        <v>485</v>
      </c>
      <c r="AA1538" t="s">
        <v>764</v>
      </c>
      <c r="AB1538" t="s">
        <v>765</v>
      </c>
      <c r="AC1538">
        <v>1</v>
      </c>
      <c r="AD1538" t="s">
        <v>639</v>
      </c>
      <c r="AE1538">
        <v>2327.631347</v>
      </c>
      <c r="AF1538">
        <v>2.4707889E-2</v>
      </c>
      <c r="AG1538" t="s">
        <v>560</v>
      </c>
      <c r="AH1538">
        <v>1</v>
      </c>
      <c r="AI1538">
        <v>94206</v>
      </c>
      <c r="AJ1538" t="s">
        <v>561</v>
      </c>
      <c r="AK1538" t="s">
        <v>573</v>
      </c>
      <c r="AL1538" t="s">
        <v>778</v>
      </c>
      <c r="AM1538">
        <v>2021</v>
      </c>
      <c r="AN1538">
        <v>2019</v>
      </c>
      <c r="AO1538">
        <f>IF(AND(emissions[[#This Row],[Market-based]]=0,emissions[[#This Row],[Impact Type]]="CO2E"),emissions[[#This Row],[kgCO2e]],0)/1000</f>
        <v>0</v>
      </c>
      <c r="AP1538">
        <f>IF(AND(emissions[[#This Row],[Market-based]]=1,OR(emissions[[#This Row],[Impact Type]]="CO2E",emissions[[#This Row],[Impact Type]]="CO2E MKT")),emissions[[#This Row],[kgCO2e]],0)/1000</f>
        <v>2.3276313470000001</v>
      </c>
      <c r="AQ1538" t="str">
        <f>_xlfn.TEXTAFTER(emissions[[#This Row],[Reporting Unit]]," &gt; ",LEN(emissions[[#This Row],[Reporting Unit]])-LEN(SUBSTITUTE(emissions[[#This Row],[Reporting Unit]],"&gt;","")))</f>
        <v>Vantage_Pittsburgh</v>
      </c>
      <c r="AR1538" t="str">
        <f>_xlfn.XLOOKUP(emissions[[#This Row],[Reporting unit name]],hierarchy!$A:$A,hierarchy!$C:$C)</f>
        <v>Office</v>
      </c>
    </row>
    <row r="1539" spans="1:44" hidden="1" x14ac:dyDescent="0.25">
      <c r="A1539">
        <v>4985</v>
      </c>
      <c r="B1539" t="s">
        <v>308</v>
      </c>
      <c r="C1539" t="s">
        <v>501</v>
      </c>
      <c r="D1539" t="s">
        <v>599</v>
      </c>
      <c r="E1539" s="3">
        <v>44197</v>
      </c>
      <c r="F1539" s="3">
        <v>44561</v>
      </c>
      <c r="G1539" t="s">
        <v>135</v>
      </c>
      <c r="H1539" s="3">
        <v>44197</v>
      </c>
      <c r="I1539" s="3">
        <v>44561</v>
      </c>
      <c r="J1539" t="s">
        <v>135</v>
      </c>
      <c r="K1539">
        <v>9204.4120000000003</v>
      </c>
      <c r="L1539" t="s">
        <v>136</v>
      </c>
      <c r="M1539" t="s">
        <v>110</v>
      </c>
      <c r="O1539" t="s">
        <v>600</v>
      </c>
      <c r="P1539" t="s">
        <v>550</v>
      </c>
      <c r="Q1539">
        <v>2021</v>
      </c>
      <c r="R1539" t="s">
        <v>605</v>
      </c>
      <c r="S1539" t="s">
        <v>606</v>
      </c>
      <c r="T1539" t="s">
        <v>553</v>
      </c>
      <c r="U1539" t="b">
        <v>0</v>
      </c>
      <c r="V1539" t="s">
        <v>781</v>
      </c>
      <c r="W1539" t="s">
        <v>587</v>
      </c>
      <c r="X1539" t="s">
        <v>556</v>
      </c>
      <c r="Y1539" t="s">
        <v>472</v>
      </c>
      <c r="Z1539" t="s">
        <v>485</v>
      </c>
      <c r="AA1539" t="s">
        <v>764</v>
      </c>
      <c r="AC1539">
        <v>0</v>
      </c>
      <c r="AD1539" t="s">
        <v>558</v>
      </c>
      <c r="AE1539">
        <v>23.011030000000002</v>
      </c>
      <c r="AF1539">
        <v>2.5000000000000001E-2</v>
      </c>
      <c r="AG1539" t="s">
        <v>798</v>
      </c>
      <c r="AH1539">
        <v>0.1</v>
      </c>
      <c r="AI1539">
        <v>920.44119999999998</v>
      </c>
      <c r="AJ1539" t="s">
        <v>561</v>
      </c>
      <c r="AK1539" t="s">
        <v>766</v>
      </c>
      <c r="AL1539" t="s">
        <v>790</v>
      </c>
      <c r="AM1539">
        <v>2021</v>
      </c>
      <c r="AN1539">
        <v>2021</v>
      </c>
      <c r="AO1539">
        <f>IF(AND(emissions[[#This Row],[Market-based]]=0,emissions[[#This Row],[Impact Type]]="CO2E"),emissions[[#This Row],[kgCO2e]],0)/1000</f>
        <v>0</v>
      </c>
      <c r="AP1539">
        <f>IF(AND(emissions[[#This Row],[Market-based]]=1,OR(emissions[[#This Row],[Impact Type]]="CO2E",emissions[[#This Row],[Impact Type]]="CO2E MKT")),emissions[[#This Row],[kgCO2e]],0)/1000</f>
        <v>0</v>
      </c>
      <c r="AQ1539" t="str">
        <f>_xlfn.TEXTAFTER(emissions[[#This Row],[Reporting Unit]]," &gt; ",LEN(emissions[[#This Row],[Reporting Unit]])-LEN(SUBSTITUTE(emissions[[#This Row],[Reporting Unit]],"&gt;","")))</f>
        <v>Vantage_Pittsburgh</v>
      </c>
      <c r="AR1539" t="str">
        <f>_xlfn.XLOOKUP(emissions[[#This Row],[Reporting unit name]],hierarchy!$A:$A,hierarchy!$C:$C)</f>
        <v>Office</v>
      </c>
    </row>
    <row r="1540" spans="1:44" hidden="1" x14ac:dyDescent="0.25">
      <c r="A1540">
        <v>4985</v>
      </c>
      <c r="B1540" t="s">
        <v>308</v>
      </c>
      <c r="C1540" t="s">
        <v>501</v>
      </c>
      <c r="D1540" t="s">
        <v>599</v>
      </c>
      <c r="E1540" s="3">
        <v>44197</v>
      </c>
      <c r="F1540" s="3">
        <v>44561</v>
      </c>
      <c r="G1540" t="s">
        <v>135</v>
      </c>
      <c r="H1540" s="3">
        <v>44197</v>
      </c>
      <c r="I1540" s="3">
        <v>44561</v>
      </c>
      <c r="J1540" t="s">
        <v>135</v>
      </c>
      <c r="K1540">
        <v>9204.4120000000003</v>
      </c>
      <c r="L1540" t="s">
        <v>136</v>
      </c>
      <c r="M1540" t="s">
        <v>110</v>
      </c>
      <c r="O1540" t="s">
        <v>600</v>
      </c>
      <c r="P1540" t="s">
        <v>550</v>
      </c>
      <c r="Q1540">
        <v>2021</v>
      </c>
      <c r="R1540" t="s">
        <v>605</v>
      </c>
      <c r="S1540" t="s">
        <v>606</v>
      </c>
      <c r="T1540" t="s">
        <v>553</v>
      </c>
      <c r="U1540" t="b">
        <v>0</v>
      </c>
      <c r="V1540" t="s">
        <v>781</v>
      </c>
      <c r="W1540" t="s">
        <v>587</v>
      </c>
      <c r="X1540" t="s">
        <v>556</v>
      </c>
      <c r="Y1540" t="s">
        <v>472</v>
      </c>
      <c r="Z1540" t="s">
        <v>485</v>
      </c>
      <c r="AA1540" t="s">
        <v>764</v>
      </c>
      <c r="AC1540">
        <v>0</v>
      </c>
      <c r="AD1540" t="s">
        <v>564</v>
      </c>
      <c r="AE1540">
        <v>48838.610070000002</v>
      </c>
      <c r="AF1540">
        <v>53.06</v>
      </c>
      <c r="AG1540" t="s">
        <v>798</v>
      </c>
      <c r="AH1540">
        <v>0.1</v>
      </c>
      <c r="AI1540">
        <v>920.44119999999998</v>
      </c>
      <c r="AJ1540" t="s">
        <v>561</v>
      </c>
      <c r="AK1540" t="s">
        <v>766</v>
      </c>
      <c r="AL1540" t="s">
        <v>787</v>
      </c>
      <c r="AM1540">
        <v>2021</v>
      </c>
      <c r="AN1540">
        <v>2020</v>
      </c>
      <c r="AO1540">
        <f>IF(AND(emissions[[#This Row],[Market-based]]=0,emissions[[#This Row],[Impact Type]]="CO2E"),emissions[[#This Row],[kgCO2e]],0)/1000</f>
        <v>0</v>
      </c>
      <c r="AP1540">
        <f>IF(AND(emissions[[#This Row],[Market-based]]=1,OR(emissions[[#This Row],[Impact Type]]="CO2E",emissions[[#This Row],[Impact Type]]="CO2E MKT")),emissions[[#This Row],[kgCO2e]],0)/1000</f>
        <v>0</v>
      </c>
      <c r="AQ1540" t="str">
        <f>_xlfn.TEXTAFTER(emissions[[#This Row],[Reporting Unit]]," &gt; ",LEN(emissions[[#This Row],[Reporting Unit]])-LEN(SUBSTITUTE(emissions[[#This Row],[Reporting Unit]],"&gt;","")))</f>
        <v>Vantage_Pittsburgh</v>
      </c>
      <c r="AR1540" t="str">
        <f>_xlfn.XLOOKUP(emissions[[#This Row],[Reporting unit name]],hierarchy!$A:$A,hierarchy!$C:$C)</f>
        <v>Office</v>
      </c>
    </row>
    <row r="1541" spans="1:44" hidden="1" x14ac:dyDescent="0.25">
      <c r="A1541">
        <v>4985</v>
      </c>
      <c r="B1541" t="s">
        <v>308</v>
      </c>
      <c r="C1541" t="s">
        <v>501</v>
      </c>
      <c r="D1541" t="s">
        <v>599</v>
      </c>
      <c r="E1541" s="3">
        <v>44197</v>
      </c>
      <c r="F1541" s="3">
        <v>44561</v>
      </c>
      <c r="G1541" t="s">
        <v>135</v>
      </c>
      <c r="H1541" s="3">
        <v>44197</v>
      </c>
      <c r="I1541" s="3">
        <v>44561</v>
      </c>
      <c r="J1541" t="s">
        <v>135</v>
      </c>
      <c r="K1541">
        <v>9204.4120000000003</v>
      </c>
      <c r="L1541" t="s">
        <v>136</v>
      </c>
      <c r="M1541" t="s">
        <v>110</v>
      </c>
      <c r="O1541" t="s">
        <v>600</v>
      </c>
      <c r="P1541" t="s">
        <v>550</v>
      </c>
      <c r="Q1541">
        <v>2021</v>
      </c>
      <c r="R1541" t="s">
        <v>605</v>
      </c>
      <c r="S1541" t="s">
        <v>606</v>
      </c>
      <c r="T1541" t="s">
        <v>553</v>
      </c>
      <c r="U1541" t="b">
        <v>0</v>
      </c>
      <c r="V1541" t="s">
        <v>781</v>
      </c>
      <c r="W1541" t="s">
        <v>587</v>
      </c>
      <c r="X1541" t="s">
        <v>556</v>
      </c>
      <c r="Y1541" t="s">
        <v>472</v>
      </c>
      <c r="Z1541" t="s">
        <v>485</v>
      </c>
      <c r="AA1541" t="s">
        <v>764</v>
      </c>
      <c r="AC1541">
        <v>0</v>
      </c>
      <c r="AD1541" t="s">
        <v>565</v>
      </c>
      <c r="AE1541">
        <v>48889.05025</v>
      </c>
      <c r="AF1541">
        <v>53.114800000000002</v>
      </c>
      <c r="AG1541" t="s">
        <v>798</v>
      </c>
      <c r="AH1541">
        <v>0.1</v>
      </c>
      <c r="AI1541">
        <v>920.44119999999998</v>
      </c>
      <c r="AJ1541" t="s">
        <v>561</v>
      </c>
      <c r="AK1541" t="s">
        <v>766</v>
      </c>
      <c r="AL1541" t="s">
        <v>790</v>
      </c>
      <c r="AM1541">
        <v>2021</v>
      </c>
      <c r="AN1541">
        <v>2021</v>
      </c>
      <c r="AO1541">
        <f>IF(AND(emissions[[#This Row],[Market-based]]=0,emissions[[#This Row],[Impact Type]]="CO2E"),emissions[[#This Row],[kgCO2e]],0)/1000</f>
        <v>48.889050249999997</v>
      </c>
      <c r="AP1541">
        <f>IF(AND(emissions[[#This Row],[Market-based]]=1,OR(emissions[[#This Row],[Impact Type]]="CO2E",emissions[[#This Row],[Impact Type]]="CO2E MKT")),emissions[[#This Row],[kgCO2e]],0)/1000</f>
        <v>0</v>
      </c>
      <c r="AQ1541" t="str">
        <f>_xlfn.TEXTAFTER(emissions[[#This Row],[Reporting Unit]]," &gt; ",LEN(emissions[[#This Row],[Reporting Unit]])-LEN(SUBSTITUTE(emissions[[#This Row],[Reporting Unit]],"&gt;","")))</f>
        <v>Vantage_Pittsburgh</v>
      </c>
      <c r="AR1541" t="str">
        <f>_xlfn.XLOOKUP(emissions[[#This Row],[Reporting unit name]],hierarchy!$A:$A,hierarchy!$C:$C)</f>
        <v>Office</v>
      </c>
    </row>
    <row r="1542" spans="1:44" hidden="1" x14ac:dyDescent="0.25">
      <c r="A1542">
        <v>4985</v>
      </c>
      <c r="B1542" t="s">
        <v>308</v>
      </c>
      <c r="C1542" t="s">
        <v>501</v>
      </c>
      <c r="D1542" t="s">
        <v>599</v>
      </c>
      <c r="E1542" s="3">
        <v>44197</v>
      </c>
      <c r="F1542" s="3">
        <v>44561</v>
      </c>
      <c r="G1542" t="s">
        <v>135</v>
      </c>
      <c r="H1542" s="3">
        <v>44197</v>
      </c>
      <c r="I1542" s="3">
        <v>44561</v>
      </c>
      <c r="J1542" t="s">
        <v>135</v>
      </c>
      <c r="K1542">
        <v>9204.4120000000003</v>
      </c>
      <c r="L1542" t="s">
        <v>136</v>
      </c>
      <c r="M1542" t="s">
        <v>110</v>
      </c>
      <c r="O1542" t="s">
        <v>600</v>
      </c>
      <c r="P1542" t="s">
        <v>550</v>
      </c>
      <c r="Q1542">
        <v>2021</v>
      </c>
      <c r="R1542" t="s">
        <v>605</v>
      </c>
      <c r="S1542" t="s">
        <v>606</v>
      </c>
      <c r="T1542" t="s">
        <v>553</v>
      </c>
      <c r="U1542" t="b">
        <v>0</v>
      </c>
      <c r="V1542" t="s">
        <v>781</v>
      </c>
      <c r="W1542" t="s">
        <v>587</v>
      </c>
      <c r="X1542" t="s">
        <v>556</v>
      </c>
      <c r="Y1542" t="s">
        <v>472</v>
      </c>
      <c r="Z1542" t="s">
        <v>485</v>
      </c>
      <c r="AA1542" t="s">
        <v>764</v>
      </c>
      <c r="AC1542">
        <v>0</v>
      </c>
      <c r="AD1542" t="s">
        <v>566</v>
      </c>
      <c r="AE1542">
        <v>27.429147759999999</v>
      </c>
      <c r="AF1542">
        <v>2.98E-2</v>
      </c>
      <c r="AG1542" t="s">
        <v>798</v>
      </c>
      <c r="AH1542">
        <v>0.1</v>
      </c>
      <c r="AI1542">
        <v>920.44119999999998</v>
      </c>
      <c r="AJ1542" t="s">
        <v>561</v>
      </c>
      <c r="AK1542" t="s">
        <v>766</v>
      </c>
      <c r="AL1542" t="s">
        <v>790</v>
      </c>
      <c r="AM1542">
        <v>2021</v>
      </c>
      <c r="AN1542">
        <v>2021</v>
      </c>
      <c r="AO1542">
        <f>IF(AND(emissions[[#This Row],[Market-based]]=0,emissions[[#This Row],[Impact Type]]="CO2E"),emissions[[#This Row],[kgCO2e]],0)/1000</f>
        <v>0</v>
      </c>
      <c r="AP1542">
        <f>IF(AND(emissions[[#This Row],[Market-based]]=1,OR(emissions[[#This Row],[Impact Type]]="CO2E",emissions[[#This Row],[Impact Type]]="CO2E MKT")),emissions[[#This Row],[kgCO2e]],0)/1000</f>
        <v>0</v>
      </c>
      <c r="AQ1542" t="str">
        <f>_xlfn.TEXTAFTER(emissions[[#This Row],[Reporting Unit]]," &gt; ",LEN(emissions[[#This Row],[Reporting Unit]])-LEN(SUBSTITUTE(emissions[[#This Row],[Reporting Unit]],"&gt;","")))</f>
        <v>Vantage_Pittsburgh</v>
      </c>
      <c r="AR1542" t="str">
        <f>_xlfn.XLOOKUP(emissions[[#This Row],[Reporting unit name]],hierarchy!$A:$A,hierarchy!$C:$C)</f>
        <v>Office</v>
      </c>
    </row>
    <row r="1543" spans="1:44" hidden="1" x14ac:dyDescent="0.25">
      <c r="A1543">
        <v>4985</v>
      </c>
      <c r="B1543" t="s">
        <v>308</v>
      </c>
      <c r="C1543" t="s">
        <v>501</v>
      </c>
      <c r="D1543" t="s">
        <v>599</v>
      </c>
      <c r="E1543" s="3">
        <v>44197</v>
      </c>
      <c r="F1543" s="3">
        <v>44561</v>
      </c>
      <c r="G1543" t="s">
        <v>135</v>
      </c>
      <c r="H1543" s="3">
        <v>44197</v>
      </c>
      <c r="I1543" s="3">
        <v>44561</v>
      </c>
      <c r="J1543" t="s">
        <v>135</v>
      </c>
      <c r="K1543">
        <v>9204.4120000000003</v>
      </c>
      <c r="L1543" t="s">
        <v>136</v>
      </c>
      <c r="M1543" t="s">
        <v>110</v>
      </c>
      <c r="O1543" t="s">
        <v>600</v>
      </c>
      <c r="P1543" t="s">
        <v>550</v>
      </c>
      <c r="Q1543">
        <v>2021</v>
      </c>
      <c r="R1543" t="s">
        <v>605</v>
      </c>
      <c r="S1543" t="s">
        <v>606</v>
      </c>
      <c r="T1543" t="s">
        <v>553</v>
      </c>
      <c r="U1543" t="b">
        <v>0</v>
      </c>
      <c r="V1543" t="s">
        <v>781</v>
      </c>
      <c r="W1543" t="s">
        <v>587</v>
      </c>
      <c r="X1543" t="s">
        <v>556</v>
      </c>
      <c r="Y1543" t="s">
        <v>472</v>
      </c>
      <c r="Z1543" t="s">
        <v>485</v>
      </c>
      <c r="AA1543" t="s">
        <v>764</v>
      </c>
      <c r="AC1543">
        <v>1</v>
      </c>
      <c r="AD1543" t="s">
        <v>558</v>
      </c>
      <c r="AE1543">
        <v>23.011030000000002</v>
      </c>
      <c r="AF1543">
        <v>2.5000000000000001E-2</v>
      </c>
      <c r="AG1543" t="s">
        <v>798</v>
      </c>
      <c r="AH1543">
        <v>0.1</v>
      </c>
      <c r="AI1543">
        <v>920.44119999999998</v>
      </c>
      <c r="AJ1543" t="s">
        <v>561</v>
      </c>
      <c r="AK1543" t="s">
        <v>766</v>
      </c>
      <c r="AL1543" t="s">
        <v>790</v>
      </c>
      <c r="AM1543">
        <v>2021</v>
      </c>
      <c r="AN1543">
        <v>2021</v>
      </c>
      <c r="AO1543">
        <f>IF(AND(emissions[[#This Row],[Market-based]]=0,emissions[[#This Row],[Impact Type]]="CO2E"),emissions[[#This Row],[kgCO2e]],0)/1000</f>
        <v>0</v>
      </c>
      <c r="AP1543">
        <f>IF(AND(emissions[[#This Row],[Market-based]]=1,OR(emissions[[#This Row],[Impact Type]]="CO2E",emissions[[#This Row],[Impact Type]]="CO2E MKT")),emissions[[#This Row],[kgCO2e]],0)/1000</f>
        <v>0</v>
      </c>
      <c r="AQ1543" t="str">
        <f>_xlfn.TEXTAFTER(emissions[[#This Row],[Reporting Unit]]," &gt; ",LEN(emissions[[#This Row],[Reporting Unit]])-LEN(SUBSTITUTE(emissions[[#This Row],[Reporting Unit]],"&gt;","")))</f>
        <v>Vantage_Pittsburgh</v>
      </c>
      <c r="AR1543" t="str">
        <f>_xlfn.XLOOKUP(emissions[[#This Row],[Reporting unit name]],hierarchy!$A:$A,hierarchy!$C:$C)</f>
        <v>Office</v>
      </c>
    </row>
    <row r="1544" spans="1:44" hidden="1" x14ac:dyDescent="0.25">
      <c r="A1544">
        <v>4985</v>
      </c>
      <c r="B1544" t="s">
        <v>308</v>
      </c>
      <c r="C1544" t="s">
        <v>501</v>
      </c>
      <c r="D1544" t="s">
        <v>599</v>
      </c>
      <c r="E1544" s="3">
        <v>44197</v>
      </c>
      <c r="F1544" s="3">
        <v>44561</v>
      </c>
      <c r="G1544" t="s">
        <v>135</v>
      </c>
      <c r="H1544" s="3">
        <v>44197</v>
      </c>
      <c r="I1544" s="3">
        <v>44561</v>
      </c>
      <c r="J1544" t="s">
        <v>135</v>
      </c>
      <c r="K1544">
        <v>9204.4120000000003</v>
      </c>
      <c r="L1544" t="s">
        <v>136</v>
      </c>
      <c r="M1544" t="s">
        <v>110</v>
      </c>
      <c r="O1544" t="s">
        <v>600</v>
      </c>
      <c r="P1544" t="s">
        <v>550</v>
      </c>
      <c r="Q1544">
        <v>2021</v>
      </c>
      <c r="R1544" t="s">
        <v>605</v>
      </c>
      <c r="S1544" t="s">
        <v>606</v>
      </c>
      <c r="T1544" t="s">
        <v>553</v>
      </c>
      <c r="U1544" t="b">
        <v>0</v>
      </c>
      <c r="V1544" t="s">
        <v>781</v>
      </c>
      <c r="W1544" t="s">
        <v>587</v>
      </c>
      <c r="X1544" t="s">
        <v>556</v>
      </c>
      <c r="Y1544" t="s">
        <v>472</v>
      </c>
      <c r="Z1544" t="s">
        <v>485</v>
      </c>
      <c r="AA1544" t="s">
        <v>764</v>
      </c>
      <c r="AC1544">
        <v>1</v>
      </c>
      <c r="AD1544" t="s">
        <v>564</v>
      </c>
      <c r="AE1544">
        <v>48838.610070000002</v>
      </c>
      <c r="AF1544">
        <v>53.06</v>
      </c>
      <c r="AG1544" t="s">
        <v>798</v>
      </c>
      <c r="AH1544">
        <v>0.1</v>
      </c>
      <c r="AI1544">
        <v>920.44119999999998</v>
      </c>
      <c r="AJ1544" t="s">
        <v>561</v>
      </c>
      <c r="AK1544" t="s">
        <v>766</v>
      </c>
      <c r="AL1544" t="s">
        <v>787</v>
      </c>
      <c r="AM1544">
        <v>2021</v>
      </c>
      <c r="AN1544">
        <v>2020</v>
      </c>
      <c r="AO1544">
        <f>IF(AND(emissions[[#This Row],[Market-based]]=0,emissions[[#This Row],[Impact Type]]="CO2E"),emissions[[#This Row],[kgCO2e]],0)/1000</f>
        <v>0</v>
      </c>
      <c r="AP1544">
        <f>IF(AND(emissions[[#This Row],[Market-based]]=1,OR(emissions[[#This Row],[Impact Type]]="CO2E",emissions[[#This Row],[Impact Type]]="CO2E MKT")),emissions[[#This Row],[kgCO2e]],0)/1000</f>
        <v>0</v>
      </c>
      <c r="AQ1544" t="str">
        <f>_xlfn.TEXTAFTER(emissions[[#This Row],[Reporting Unit]]," &gt; ",LEN(emissions[[#This Row],[Reporting Unit]])-LEN(SUBSTITUTE(emissions[[#This Row],[Reporting Unit]],"&gt;","")))</f>
        <v>Vantage_Pittsburgh</v>
      </c>
      <c r="AR1544" t="str">
        <f>_xlfn.XLOOKUP(emissions[[#This Row],[Reporting unit name]],hierarchy!$A:$A,hierarchy!$C:$C)</f>
        <v>Office</v>
      </c>
    </row>
    <row r="1545" spans="1:44" hidden="1" x14ac:dyDescent="0.25">
      <c r="A1545">
        <v>4985</v>
      </c>
      <c r="B1545" t="s">
        <v>308</v>
      </c>
      <c r="C1545" t="s">
        <v>501</v>
      </c>
      <c r="D1545" t="s">
        <v>599</v>
      </c>
      <c r="E1545" s="3">
        <v>44197</v>
      </c>
      <c r="F1545" s="3">
        <v>44561</v>
      </c>
      <c r="G1545" t="s">
        <v>135</v>
      </c>
      <c r="H1545" s="3">
        <v>44197</v>
      </c>
      <c r="I1545" s="3">
        <v>44561</v>
      </c>
      <c r="J1545" t="s">
        <v>135</v>
      </c>
      <c r="K1545">
        <v>9204.4120000000003</v>
      </c>
      <c r="L1545" t="s">
        <v>136</v>
      </c>
      <c r="M1545" t="s">
        <v>110</v>
      </c>
      <c r="O1545" t="s">
        <v>600</v>
      </c>
      <c r="P1545" t="s">
        <v>550</v>
      </c>
      <c r="Q1545">
        <v>2021</v>
      </c>
      <c r="R1545" t="s">
        <v>605</v>
      </c>
      <c r="S1545" t="s">
        <v>606</v>
      </c>
      <c r="T1545" t="s">
        <v>553</v>
      </c>
      <c r="U1545" t="b">
        <v>0</v>
      </c>
      <c r="V1545" t="s">
        <v>781</v>
      </c>
      <c r="W1545" t="s">
        <v>587</v>
      </c>
      <c r="X1545" t="s">
        <v>556</v>
      </c>
      <c r="Y1545" t="s">
        <v>472</v>
      </c>
      <c r="Z1545" t="s">
        <v>485</v>
      </c>
      <c r="AA1545" t="s">
        <v>764</v>
      </c>
      <c r="AC1545">
        <v>1</v>
      </c>
      <c r="AD1545" t="s">
        <v>565</v>
      </c>
      <c r="AE1545">
        <v>48889.05025</v>
      </c>
      <c r="AF1545">
        <v>53.114800000000002</v>
      </c>
      <c r="AG1545" t="s">
        <v>798</v>
      </c>
      <c r="AH1545">
        <v>0.1</v>
      </c>
      <c r="AI1545">
        <v>920.44119999999998</v>
      </c>
      <c r="AJ1545" t="s">
        <v>561</v>
      </c>
      <c r="AK1545" t="s">
        <v>766</v>
      </c>
      <c r="AL1545" t="s">
        <v>790</v>
      </c>
      <c r="AM1545">
        <v>2021</v>
      </c>
      <c r="AN1545">
        <v>2021</v>
      </c>
      <c r="AO1545">
        <f>IF(AND(emissions[[#This Row],[Market-based]]=0,emissions[[#This Row],[Impact Type]]="CO2E"),emissions[[#This Row],[kgCO2e]],0)/1000</f>
        <v>0</v>
      </c>
      <c r="AP1545">
        <f>IF(AND(emissions[[#This Row],[Market-based]]=1,OR(emissions[[#This Row],[Impact Type]]="CO2E",emissions[[#This Row],[Impact Type]]="CO2E MKT")),emissions[[#This Row],[kgCO2e]],0)/1000</f>
        <v>48.889050249999997</v>
      </c>
      <c r="AQ1545" t="str">
        <f>_xlfn.TEXTAFTER(emissions[[#This Row],[Reporting Unit]]," &gt; ",LEN(emissions[[#This Row],[Reporting Unit]])-LEN(SUBSTITUTE(emissions[[#This Row],[Reporting Unit]],"&gt;","")))</f>
        <v>Vantage_Pittsburgh</v>
      </c>
      <c r="AR1545" t="str">
        <f>_xlfn.XLOOKUP(emissions[[#This Row],[Reporting unit name]],hierarchy!$A:$A,hierarchy!$C:$C)</f>
        <v>Office</v>
      </c>
    </row>
    <row r="1546" spans="1:44" hidden="1" x14ac:dyDescent="0.25">
      <c r="A1546">
        <v>4985</v>
      </c>
      <c r="B1546" t="s">
        <v>308</v>
      </c>
      <c r="C1546" t="s">
        <v>501</v>
      </c>
      <c r="D1546" t="s">
        <v>599</v>
      </c>
      <c r="E1546" s="3">
        <v>44197</v>
      </c>
      <c r="F1546" s="3">
        <v>44561</v>
      </c>
      <c r="G1546" t="s">
        <v>135</v>
      </c>
      <c r="H1546" s="3">
        <v>44197</v>
      </c>
      <c r="I1546" s="3">
        <v>44561</v>
      </c>
      <c r="J1546" t="s">
        <v>135</v>
      </c>
      <c r="K1546">
        <v>9204.4120000000003</v>
      </c>
      <c r="L1546" t="s">
        <v>136</v>
      </c>
      <c r="M1546" t="s">
        <v>110</v>
      </c>
      <c r="O1546" t="s">
        <v>600</v>
      </c>
      <c r="P1546" t="s">
        <v>550</v>
      </c>
      <c r="Q1546">
        <v>2021</v>
      </c>
      <c r="R1546" t="s">
        <v>605</v>
      </c>
      <c r="S1546" t="s">
        <v>606</v>
      </c>
      <c r="T1546" t="s">
        <v>553</v>
      </c>
      <c r="U1546" t="b">
        <v>0</v>
      </c>
      <c r="V1546" t="s">
        <v>781</v>
      </c>
      <c r="W1546" t="s">
        <v>587</v>
      </c>
      <c r="X1546" t="s">
        <v>556</v>
      </c>
      <c r="Y1546" t="s">
        <v>472</v>
      </c>
      <c r="Z1546" t="s">
        <v>485</v>
      </c>
      <c r="AA1546" t="s">
        <v>764</v>
      </c>
      <c r="AC1546">
        <v>1</v>
      </c>
      <c r="AD1546" t="s">
        <v>566</v>
      </c>
      <c r="AE1546">
        <v>27.429147759999999</v>
      </c>
      <c r="AF1546">
        <v>2.98E-2</v>
      </c>
      <c r="AG1546" t="s">
        <v>798</v>
      </c>
      <c r="AH1546">
        <v>0.1</v>
      </c>
      <c r="AI1546">
        <v>920.44119999999998</v>
      </c>
      <c r="AJ1546" t="s">
        <v>561</v>
      </c>
      <c r="AK1546" t="s">
        <v>766</v>
      </c>
      <c r="AL1546" t="s">
        <v>790</v>
      </c>
      <c r="AM1546">
        <v>2021</v>
      </c>
      <c r="AN1546">
        <v>2021</v>
      </c>
      <c r="AO1546">
        <f>IF(AND(emissions[[#This Row],[Market-based]]=0,emissions[[#This Row],[Impact Type]]="CO2E"),emissions[[#This Row],[kgCO2e]],0)/1000</f>
        <v>0</v>
      </c>
      <c r="AP1546">
        <f>IF(AND(emissions[[#This Row],[Market-based]]=1,OR(emissions[[#This Row],[Impact Type]]="CO2E",emissions[[#This Row],[Impact Type]]="CO2E MKT")),emissions[[#This Row],[kgCO2e]],0)/1000</f>
        <v>0</v>
      </c>
      <c r="AQ1546" t="str">
        <f>_xlfn.TEXTAFTER(emissions[[#This Row],[Reporting Unit]]," &gt; ",LEN(emissions[[#This Row],[Reporting Unit]])-LEN(SUBSTITUTE(emissions[[#This Row],[Reporting Unit]],"&gt;","")))</f>
        <v>Vantage_Pittsburgh</v>
      </c>
      <c r="AR1546" t="str">
        <f>_xlfn.XLOOKUP(emissions[[#This Row],[Reporting unit name]],hierarchy!$A:$A,hierarchy!$C:$C)</f>
        <v>Office</v>
      </c>
    </row>
    <row r="1547" spans="1:44" hidden="1" x14ac:dyDescent="0.25">
      <c r="A1547">
        <v>4985</v>
      </c>
      <c r="B1547" t="s">
        <v>308</v>
      </c>
      <c r="C1547" t="s">
        <v>501</v>
      </c>
      <c r="D1547" t="s">
        <v>599</v>
      </c>
      <c r="E1547" s="3">
        <v>44197</v>
      </c>
      <c r="F1547" s="3">
        <v>44561</v>
      </c>
      <c r="G1547" t="s">
        <v>135</v>
      </c>
      <c r="H1547" s="3">
        <v>44197</v>
      </c>
      <c r="I1547" s="3">
        <v>44561</v>
      </c>
      <c r="J1547" t="s">
        <v>135</v>
      </c>
      <c r="K1547">
        <v>9204.4120000000003</v>
      </c>
      <c r="L1547" t="s">
        <v>136</v>
      </c>
      <c r="M1547" t="s">
        <v>110</v>
      </c>
      <c r="O1547" t="s">
        <v>600</v>
      </c>
      <c r="P1547" t="s">
        <v>550</v>
      </c>
      <c r="Q1547">
        <v>2021</v>
      </c>
      <c r="R1547" t="s">
        <v>609</v>
      </c>
      <c r="S1547" t="s">
        <v>610</v>
      </c>
      <c r="T1547" t="s">
        <v>577</v>
      </c>
      <c r="U1547" t="b">
        <v>0</v>
      </c>
      <c r="V1547" t="s">
        <v>611</v>
      </c>
      <c r="W1547" t="s">
        <v>571</v>
      </c>
      <c r="X1547" t="s">
        <v>572</v>
      </c>
      <c r="AC1547">
        <v>0</v>
      </c>
      <c r="AD1547" t="s">
        <v>565</v>
      </c>
      <c r="AE1547">
        <v>8454.7875199999999</v>
      </c>
      <c r="AF1547">
        <v>3.1350000000000003E-2</v>
      </c>
      <c r="AG1547" t="s">
        <v>608</v>
      </c>
      <c r="AH1547">
        <v>29.3001</v>
      </c>
      <c r="AI1547">
        <v>269690.19199999998</v>
      </c>
      <c r="AJ1547" t="s">
        <v>561</v>
      </c>
      <c r="AK1547" t="s">
        <v>589</v>
      </c>
      <c r="AL1547" t="s">
        <v>603</v>
      </c>
      <c r="AM1547">
        <v>2021</v>
      </c>
      <c r="AN1547">
        <v>2019</v>
      </c>
      <c r="AO1547">
        <f>IF(AND(emissions[[#This Row],[Market-based]]=0,emissions[[#This Row],[Impact Type]]="CO2E"),emissions[[#This Row],[kgCO2e]],0)/1000</f>
        <v>8.45478752</v>
      </c>
      <c r="AP1547">
        <f>IF(AND(emissions[[#This Row],[Market-based]]=1,OR(emissions[[#This Row],[Impact Type]]="CO2E",emissions[[#This Row],[Impact Type]]="CO2E MKT")),emissions[[#This Row],[kgCO2e]],0)/1000</f>
        <v>0</v>
      </c>
      <c r="AQ1547" t="str">
        <f>_xlfn.TEXTAFTER(emissions[[#This Row],[Reporting Unit]]," &gt; ",LEN(emissions[[#This Row],[Reporting Unit]])-LEN(SUBSTITUTE(emissions[[#This Row],[Reporting Unit]],"&gt;","")))</f>
        <v>Vantage_Pittsburgh</v>
      </c>
      <c r="AR1547" t="str">
        <f>_xlfn.XLOOKUP(emissions[[#This Row],[Reporting unit name]],hierarchy!$A:$A,hierarchy!$C:$C)</f>
        <v>Office</v>
      </c>
    </row>
    <row r="1548" spans="1:44" hidden="1" x14ac:dyDescent="0.25">
      <c r="A1548">
        <v>4985</v>
      </c>
      <c r="B1548" t="s">
        <v>308</v>
      </c>
      <c r="C1548" t="s">
        <v>501</v>
      </c>
      <c r="D1548" t="s">
        <v>599</v>
      </c>
      <c r="E1548" s="3">
        <v>44197</v>
      </c>
      <c r="F1548" s="3">
        <v>44561</v>
      </c>
      <c r="G1548" t="s">
        <v>135</v>
      </c>
      <c r="H1548" s="3">
        <v>44197</v>
      </c>
      <c r="I1548" s="3">
        <v>44561</v>
      </c>
      <c r="J1548" t="s">
        <v>135</v>
      </c>
      <c r="K1548">
        <v>9204.4120000000003</v>
      </c>
      <c r="L1548" t="s">
        <v>136</v>
      </c>
      <c r="M1548" t="s">
        <v>110</v>
      </c>
      <c r="O1548" t="s">
        <v>600</v>
      </c>
      <c r="P1548" t="s">
        <v>550</v>
      </c>
      <c r="Q1548">
        <v>2021</v>
      </c>
      <c r="R1548" t="s">
        <v>609</v>
      </c>
      <c r="S1548" t="s">
        <v>610</v>
      </c>
      <c r="T1548" t="s">
        <v>577</v>
      </c>
      <c r="U1548" t="b">
        <v>0</v>
      </c>
      <c r="V1548" t="s">
        <v>611</v>
      </c>
      <c r="W1548" t="s">
        <v>571</v>
      </c>
      <c r="X1548" t="s">
        <v>572</v>
      </c>
      <c r="AC1548">
        <v>1</v>
      </c>
      <c r="AD1548" t="s">
        <v>565</v>
      </c>
      <c r="AE1548">
        <v>8454.7875199999999</v>
      </c>
      <c r="AF1548">
        <v>3.1350000000000003E-2</v>
      </c>
      <c r="AG1548" t="s">
        <v>608</v>
      </c>
      <c r="AH1548">
        <v>29.3001</v>
      </c>
      <c r="AI1548">
        <v>269690.19199999998</v>
      </c>
      <c r="AJ1548" t="s">
        <v>561</v>
      </c>
      <c r="AK1548" t="s">
        <v>589</v>
      </c>
      <c r="AL1548" t="s">
        <v>603</v>
      </c>
      <c r="AM1548">
        <v>2021</v>
      </c>
      <c r="AN1548">
        <v>2019</v>
      </c>
      <c r="AO1548">
        <f>IF(AND(emissions[[#This Row],[Market-based]]=0,emissions[[#This Row],[Impact Type]]="CO2E"),emissions[[#This Row],[kgCO2e]],0)/1000</f>
        <v>0</v>
      </c>
      <c r="AP1548">
        <f>IF(AND(emissions[[#This Row],[Market-based]]=1,OR(emissions[[#This Row],[Impact Type]]="CO2E",emissions[[#This Row],[Impact Type]]="CO2E MKT")),emissions[[#This Row],[kgCO2e]],0)/1000</f>
        <v>8.45478752</v>
      </c>
      <c r="AQ1548" t="str">
        <f>_xlfn.TEXTAFTER(emissions[[#This Row],[Reporting Unit]]," &gt; ",LEN(emissions[[#This Row],[Reporting Unit]])-LEN(SUBSTITUTE(emissions[[#This Row],[Reporting Unit]],"&gt;","")))</f>
        <v>Vantage_Pittsburgh</v>
      </c>
      <c r="AR1548" t="str">
        <f>_xlfn.XLOOKUP(emissions[[#This Row],[Reporting unit name]],hierarchy!$A:$A,hierarchy!$C:$C)</f>
        <v>Office</v>
      </c>
    </row>
    <row r="1549" spans="1:44" hidden="1" x14ac:dyDescent="0.25">
      <c r="A1549">
        <v>5019</v>
      </c>
      <c r="B1549" t="s">
        <v>308</v>
      </c>
      <c r="C1549" t="s">
        <v>501</v>
      </c>
      <c r="D1549" t="s">
        <v>599</v>
      </c>
      <c r="E1549" s="3">
        <v>44197</v>
      </c>
      <c r="F1549" s="3">
        <v>44561</v>
      </c>
      <c r="G1549" t="s">
        <v>141</v>
      </c>
      <c r="H1549" s="3">
        <v>44197</v>
      </c>
      <c r="I1549" s="3">
        <v>44561</v>
      </c>
      <c r="J1549" t="s">
        <v>142</v>
      </c>
      <c r="K1549">
        <v>0</v>
      </c>
      <c r="L1549" t="s">
        <v>143</v>
      </c>
      <c r="M1549" t="s">
        <v>82</v>
      </c>
      <c r="O1549" t="s">
        <v>600</v>
      </c>
      <c r="P1549" t="s">
        <v>550</v>
      </c>
      <c r="Q1549">
        <v>2021</v>
      </c>
      <c r="R1549" t="s">
        <v>612</v>
      </c>
      <c r="S1549" t="s">
        <v>613</v>
      </c>
      <c r="T1549" t="s">
        <v>553</v>
      </c>
      <c r="U1549" t="b">
        <v>0</v>
      </c>
      <c r="V1549" t="s">
        <v>614</v>
      </c>
      <c r="W1549" t="s">
        <v>587</v>
      </c>
      <c r="X1549" t="s">
        <v>556</v>
      </c>
      <c r="AC1549">
        <v>0</v>
      </c>
      <c r="AD1549" t="s">
        <v>558</v>
      </c>
      <c r="AE1549">
        <v>0</v>
      </c>
      <c r="AF1549">
        <v>2.5999999999999998E-4</v>
      </c>
      <c r="AG1549" t="s">
        <v>588</v>
      </c>
      <c r="AH1549">
        <v>1</v>
      </c>
      <c r="AI1549">
        <v>0</v>
      </c>
      <c r="AJ1549" t="s">
        <v>561</v>
      </c>
      <c r="AK1549" t="s">
        <v>589</v>
      </c>
      <c r="AL1549" t="s">
        <v>603</v>
      </c>
      <c r="AM1549">
        <v>2021</v>
      </c>
      <c r="AN1549">
        <v>2019</v>
      </c>
      <c r="AO1549">
        <f>IF(AND(emissions[[#This Row],[Market-based]]=0,emissions[[#This Row],[Impact Type]]="CO2E"),emissions[[#This Row],[kgCO2e]],0)/1000</f>
        <v>0</v>
      </c>
      <c r="AP1549">
        <f>IF(AND(emissions[[#This Row],[Market-based]]=1,OR(emissions[[#This Row],[Impact Type]]="CO2E",emissions[[#This Row],[Impact Type]]="CO2E MKT")),emissions[[#This Row],[kgCO2e]],0)/1000</f>
        <v>0</v>
      </c>
      <c r="AQ1549" t="str">
        <f>_xlfn.TEXTAFTER(emissions[[#This Row],[Reporting Unit]]," &gt; ",LEN(emissions[[#This Row],[Reporting Unit]])-LEN(SUBSTITUTE(emissions[[#This Row],[Reporting Unit]],"&gt;","")))</f>
        <v>Vantage_Pittsburgh</v>
      </c>
      <c r="AR1549" t="str">
        <f>_xlfn.XLOOKUP(emissions[[#This Row],[Reporting unit name]],hierarchy!$A:$A,hierarchy!$C:$C)</f>
        <v>Office</v>
      </c>
    </row>
    <row r="1550" spans="1:44" hidden="1" x14ac:dyDescent="0.25">
      <c r="A1550">
        <v>5019</v>
      </c>
      <c r="B1550" t="s">
        <v>308</v>
      </c>
      <c r="C1550" t="s">
        <v>501</v>
      </c>
      <c r="D1550" t="s">
        <v>599</v>
      </c>
      <c r="E1550" s="3">
        <v>44197</v>
      </c>
      <c r="F1550" s="3">
        <v>44561</v>
      </c>
      <c r="G1550" t="s">
        <v>141</v>
      </c>
      <c r="H1550" s="3">
        <v>44197</v>
      </c>
      <c r="I1550" s="3">
        <v>44561</v>
      </c>
      <c r="J1550" t="s">
        <v>142</v>
      </c>
      <c r="K1550">
        <v>0</v>
      </c>
      <c r="L1550" t="s">
        <v>143</v>
      </c>
      <c r="M1550" t="s">
        <v>82</v>
      </c>
      <c r="O1550" t="s">
        <v>600</v>
      </c>
      <c r="P1550" t="s">
        <v>550</v>
      </c>
      <c r="Q1550">
        <v>2021</v>
      </c>
      <c r="R1550" t="s">
        <v>612</v>
      </c>
      <c r="S1550" t="s">
        <v>613</v>
      </c>
      <c r="T1550" t="s">
        <v>553</v>
      </c>
      <c r="U1550" t="b">
        <v>0</v>
      </c>
      <c r="V1550" t="s">
        <v>614</v>
      </c>
      <c r="W1550" t="s">
        <v>587</v>
      </c>
      <c r="X1550" t="s">
        <v>556</v>
      </c>
      <c r="AC1550">
        <v>0</v>
      </c>
      <c r="AD1550" t="s">
        <v>564</v>
      </c>
      <c r="AE1550">
        <v>0</v>
      </c>
      <c r="AF1550">
        <v>2.6680700000000002</v>
      </c>
      <c r="AG1550" t="s">
        <v>588</v>
      </c>
      <c r="AH1550">
        <v>1</v>
      </c>
      <c r="AI1550">
        <v>0</v>
      </c>
      <c r="AJ1550" t="s">
        <v>561</v>
      </c>
      <c r="AK1550" t="s">
        <v>589</v>
      </c>
      <c r="AL1550" t="s">
        <v>603</v>
      </c>
      <c r="AM1550">
        <v>2021</v>
      </c>
      <c r="AN1550">
        <v>2019</v>
      </c>
      <c r="AO1550">
        <f>IF(AND(emissions[[#This Row],[Market-based]]=0,emissions[[#This Row],[Impact Type]]="CO2E"),emissions[[#This Row],[kgCO2e]],0)/1000</f>
        <v>0</v>
      </c>
      <c r="AP1550">
        <f>IF(AND(emissions[[#This Row],[Market-based]]=1,OR(emissions[[#This Row],[Impact Type]]="CO2E",emissions[[#This Row],[Impact Type]]="CO2E MKT")),emissions[[#This Row],[kgCO2e]],0)/1000</f>
        <v>0</v>
      </c>
      <c r="AQ1550" t="str">
        <f>_xlfn.TEXTAFTER(emissions[[#This Row],[Reporting Unit]]," &gt; ",LEN(emissions[[#This Row],[Reporting Unit]])-LEN(SUBSTITUTE(emissions[[#This Row],[Reporting Unit]],"&gt;","")))</f>
        <v>Vantage_Pittsburgh</v>
      </c>
      <c r="AR1550" t="str">
        <f>_xlfn.XLOOKUP(emissions[[#This Row],[Reporting unit name]],hierarchy!$A:$A,hierarchy!$C:$C)</f>
        <v>Office</v>
      </c>
    </row>
    <row r="1551" spans="1:44" hidden="1" x14ac:dyDescent="0.25">
      <c r="A1551">
        <v>5019</v>
      </c>
      <c r="B1551" t="s">
        <v>308</v>
      </c>
      <c r="C1551" t="s">
        <v>501</v>
      </c>
      <c r="D1551" t="s">
        <v>599</v>
      </c>
      <c r="E1551" s="3">
        <v>44197</v>
      </c>
      <c r="F1551" s="3">
        <v>44561</v>
      </c>
      <c r="G1551" t="s">
        <v>141</v>
      </c>
      <c r="H1551" s="3">
        <v>44197</v>
      </c>
      <c r="I1551" s="3">
        <v>44561</v>
      </c>
      <c r="J1551" t="s">
        <v>142</v>
      </c>
      <c r="K1551">
        <v>0</v>
      </c>
      <c r="L1551" t="s">
        <v>143</v>
      </c>
      <c r="M1551" t="s">
        <v>82</v>
      </c>
      <c r="O1551" t="s">
        <v>600</v>
      </c>
      <c r="P1551" t="s">
        <v>550</v>
      </c>
      <c r="Q1551">
        <v>2021</v>
      </c>
      <c r="R1551" t="s">
        <v>612</v>
      </c>
      <c r="S1551" t="s">
        <v>613</v>
      </c>
      <c r="T1551" t="s">
        <v>553</v>
      </c>
      <c r="U1551" t="b">
        <v>0</v>
      </c>
      <c r="V1551" t="s">
        <v>614</v>
      </c>
      <c r="W1551" t="s">
        <v>587</v>
      </c>
      <c r="X1551" t="s">
        <v>556</v>
      </c>
      <c r="AC1551">
        <v>0</v>
      </c>
      <c r="AD1551" t="s">
        <v>565</v>
      </c>
      <c r="AE1551">
        <v>0</v>
      </c>
      <c r="AF1551">
        <v>2.70553</v>
      </c>
      <c r="AG1551" t="s">
        <v>588</v>
      </c>
      <c r="AH1551">
        <v>1</v>
      </c>
      <c r="AI1551">
        <v>0</v>
      </c>
      <c r="AJ1551" t="s">
        <v>561</v>
      </c>
      <c r="AK1551" t="s">
        <v>589</v>
      </c>
      <c r="AL1551" t="s">
        <v>603</v>
      </c>
      <c r="AM1551">
        <v>2021</v>
      </c>
      <c r="AN1551">
        <v>2019</v>
      </c>
      <c r="AO1551">
        <f>IF(AND(emissions[[#This Row],[Market-based]]=0,emissions[[#This Row],[Impact Type]]="CO2E"),emissions[[#This Row],[kgCO2e]],0)/1000</f>
        <v>0</v>
      </c>
      <c r="AP1551">
        <f>IF(AND(emissions[[#This Row],[Market-based]]=1,OR(emissions[[#This Row],[Impact Type]]="CO2E",emissions[[#This Row],[Impact Type]]="CO2E MKT")),emissions[[#This Row],[kgCO2e]],0)/1000</f>
        <v>0</v>
      </c>
      <c r="AQ1551" t="str">
        <f>_xlfn.TEXTAFTER(emissions[[#This Row],[Reporting Unit]]," &gt; ",LEN(emissions[[#This Row],[Reporting Unit]])-LEN(SUBSTITUTE(emissions[[#This Row],[Reporting Unit]],"&gt;","")))</f>
        <v>Vantage_Pittsburgh</v>
      </c>
      <c r="AR1551" t="str">
        <f>_xlfn.XLOOKUP(emissions[[#This Row],[Reporting unit name]],hierarchy!$A:$A,hierarchy!$C:$C)</f>
        <v>Office</v>
      </c>
    </row>
    <row r="1552" spans="1:44" hidden="1" x14ac:dyDescent="0.25">
      <c r="A1552">
        <v>5019</v>
      </c>
      <c r="B1552" t="s">
        <v>308</v>
      </c>
      <c r="C1552" t="s">
        <v>501</v>
      </c>
      <c r="D1552" t="s">
        <v>599</v>
      </c>
      <c r="E1552" s="3">
        <v>44197</v>
      </c>
      <c r="F1552" s="3">
        <v>44561</v>
      </c>
      <c r="G1552" t="s">
        <v>141</v>
      </c>
      <c r="H1552" s="3">
        <v>44197</v>
      </c>
      <c r="I1552" s="3">
        <v>44561</v>
      </c>
      <c r="J1552" t="s">
        <v>142</v>
      </c>
      <c r="K1552">
        <v>0</v>
      </c>
      <c r="L1552" t="s">
        <v>143</v>
      </c>
      <c r="M1552" t="s">
        <v>82</v>
      </c>
      <c r="O1552" t="s">
        <v>600</v>
      </c>
      <c r="P1552" t="s">
        <v>550</v>
      </c>
      <c r="Q1552">
        <v>2021</v>
      </c>
      <c r="R1552" t="s">
        <v>612</v>
      </c>
      <c r="S1552" t="s">
        <v>613</v>
      </c>
      <c r="T1552" t="s">
        <v>553</v>
      </c>
      <c r="U1552" t="b">
        <v>0</v>
      </c>
      <c r="V1552" t="s">
        <v>614</v>
      </c>
      <c r="W1552" t="s">
        <v>587</v>
      </c>
      <c r="X1552" t="s">
        <v>556</v>
      </c>
      <c r="AC1552">
        <v>0</v>
      </c>
      <c r="AD1552" t="s">
        <v>566</v>
      </c>
      <c r="AE1552">
        <v>0</v>
      </c>
      <c r="AF1552">
        <v>3.7199999999999997E-2</v>
      </c>
      <c r="AG1552" t="s">
        <v>588</v>
      </c>
      <c r="AH1552">
        <v>1</v>
      </c>
      <c r="AI1552">
        <v>0</v>
      </c>
      <c r="AJ1552" t="s">
        <v>561</v>
      </c>
      <c r="AK1552" t="s">
        <v>589</v>
      </c>
      <c r="AL1552" t="s">
        <v>603</v>
      </c>
      <c r="AM1552">
        <v>2021</v>
      </c>
      <c r="AN1552">
        <v>2019</v>
      </c>
      <c r="AO1552">
        <f>IF(AND(emissions[[#This Row],[Market-based]]=0,emissions[[#This Row],[Impact Type]]="CO2E"),emissions[[#This Row],[kgCO2e]],0)/1000</f>
        <v>0</v>
      </c>
      <c r="AP1552">
        <f>IF(AND(emissions[[#This Row],[Market-based]]=1,OR(emissions[[#This Row],[Impact Type]]="CO2E",emissions[[#This Row],[Impact Type]]="CO2E MKT")),emissions[[#This Row],[kgCO2e]],0)/1000</f>
        <v>0</v>
      </c>
      <c r="AQ1552" t="str">
        <f>_xlfn.TEXTAFTER(emissions[[#This Row],[Reporting Unit]]," &gt; ",LEN(emissions[[#This Row],[Reporting Unit]])-LEN(SUBSTITUTE(emissions[[#This Row],[Reporting Unit]],"&gt;","")))</f>
        <v>Vantage_Pittsburgh</v>
      </c>
      <c r="AR1552" t="str">
        <f>_xlfn.XLOOKUP(emissions[[#This Row],[Reporting unit name]],hierarchy!$A:$A,hierarchy!$C:$C)</f>
        <v>Office</v>
      </c>
    </row>
    <row r="1553" spans="1:44" hidden="1" x14ac:dyDescent="0.25">
      <c r="A1553">
        <v>5019</v>
      </c>
      <c r="B1553" t="s">
        <v>308</v>
      </c>
      <c r="C1553" t="s">
        <v>501</v>
      </c>
      <c r="D1553" t="s">
        <v>599</v>
      </c>
      <c r="E1553" s="3">
        <v>44197</v>
      </c>
      <c r="F1553" s="3">
        <v>44561</v>
      </c>
      <c r="G1553" t="s">
        <v>141</v>
      </c>
      <c r="H1553" s="3">
        <v>44197</v>
      </c>
      <c r="I1553" s="3">
        <v>44561</v>
      </c>
      <c r="J1553" t="s">
        <v>142</v>
      </c>
      <c r="K1553">
        <v>0</v>
      </c>
      <c r="L1553" t="s">
        <v>143</v>
      </c>
      <c r="M1553" t="s">
        <v>82</v>
      </c>
      <c r="O1553" t="s">
        <v>600</v>
      </c>
      <c r="P1553" t="s">
        <v>550</v>
      </c>
      <c r="Q1553">
        <v>2021</v>
      </c>
      <c r="R1553" t="s">
        <v>612</v>
      </c>
      <c r="S1553" t="s">
        <v>613</v>
      </c>
      <c r="T1553" t="s">
        <v>553</v>
      </c>
      <c r="U1553" t="b">
        <v>0</v>
      </c>
      <c r="V1553" t="s">
        <v>614</v>
      </c>
      <c r="W1553" t="s">
        <v>587</v>
      </c>
      <c r="X1553" t="s">
        <v>556</v>
      </c>
      <c r="AC1553">
        <v>1</v>
      </c>
      <c r="AD1553" t="s">
        <v>558</v>
      </c>
      <c r="AE1553">
        <v>0</v>
      </c>
      <c r="AF1553">
        <v>2.5999999999999998E-4</v>
      </c>
      <c r="AG1553" t="s">
        <v>588</v>
      </c>
      <c r="AH1553">
        <v>1</v>
      </c>
      <c r="AI1553">
        <v>0</v>
      </c>
      <c r="AJ1553" t="s">
        <v>561</v>
      </c>
      <c r="AK1553" t="s">
        <v>589</v>
      </c>
      <c r="AL1553" t="s">
        <v>603</v>
      </c>
      <c r="AM1553">
        <v>2021</v>
      </c>
      <c r="AN1553">
        <v>2019</v>
      </c>
      <c r="AO1553">
        <f>IF(AND(emissions[[#This Row],[Market-based]]=0,emissions[[#This Row],[Impact Type]]="CO2E"),emissions[[#This Row],[kgCO2e]],0)/1000</f>
        <v>0</v>
      </c>
      <c r="AP1553">
        <f>IF(AND(emissions[[#This Row],[Market-based]]=1,OR(emissions[[#This Row],[Impact Type]]="CO2E",emissions[[#This Row],[Impact Type]]="CO2E MKT")),emissions[[#This Row],[kgCO2e]],0)/1000</f>
        <v>0</v>
      </c>
      <c r="AQ1553" t="str">
        <f>_xlfn.TEXTAFTER(emissions[[#This Row],[Reporting Unit]]," &gt; ",LEN(emissions[[#This Row],[Reporting Unit]])-LEN(SUBSTITUTE(emissions[[#This Row],[Reporting Unit]],"&gt;","")))</f>
        <v>Vantage_Pittsburgh</v>
      </c>
      <c r="AR1553" t="str">
        <f>_xlfn.XLOOKUP(emissions[[#This Row],[Reporting unit name]],hierarchy!$A:$A,hierarchy!$C:$C)</f>
        <v>Office</v>
      </c>
    </row>
    <row r="1554" spans="1:44" hidden="1" x14ac:dyDescent="0.25">
      <c r="A1554">
        <v>5019</v>
      </c>
      <c r="B1554" t="s">
        <v>308</v>
      </c>
      <c r="C1554" t="s">
        <v>501</v>
      </c>
      <c r="D1554" t="s">
        <v>599</v>
      </c>
      <c r="E1554" s="3">
        <v>44197</v>
      </c>
      <c r="F1554" s="3">
        <v>44561</v>
      </c>
      <c r="G1554" t="s">
        <v>141</v>
      </c>
      <c r="H1554" s="3">
        <v>44197</v>
      </c>
      <c r="I1554" s="3">
        <v>44561</v>
      </c>
      <c r="J1554" t="s">
        <v>142</v>
      </c>
      <c r="K1554">
        <v>0</v>
      </c>
      <c r="L1554" t="s">
        <v>143</v>
      </c>
      <c r="M1554" t="s">
        <v>82</v>
      </c>
      <c r="O1554" t="s">
        <v>600</v>
      </c>
      <c r="P1554" t="s">
        <v>550</v>
      </c>
      <c r="Q1554">
        <v>2021</v>
      </c>
      <c r="R1554" t="s">
        <v>612</v>
      </c>
      <c r="S1554" t="s">
        <v>613</v>
      </c>
      <c r="T1554" t="s">
        <v>553</v>
      </c>
      <c r="U1554" t="b">
        <v>0</v>
      </c>
      <c r="V1554" t="s">
        <v>614</v>
      </c>
      <c r="W1554" t="s">
        <v>587</v>
      </c>
      <c r="X1554" t="s">
        <v>556</v>
      </c>
      <c r="AC1554">
        <v>1</v>
      </c>
      <c r="AD1554" t="s">
        <v>564</v>
      </c>
      <c r="AE1554">
        <v>0</v>
      </c>
      <c r="AF1554">
        <v>2.6680700000000002</v>
      </c>
      <c r="AG1554" t="s">
        <v>588</v>
      </c>
      <c r="AH1554">
        <v>1</v>
      </c>
      <c r="AI1554">
        <v>0</v>
      </c>
      <c r="AJ1554" t="s">
        <v>561</v>
      </c>
      <c r="AK1554" t="s">
        <v>589</v>
      </c>
      <c r="AL1554" t="s">
        <v>603</v>
      </c>
      <c r="AM1554">
        <v>2021</v>
      </c>
      <c r="AN1554">
        <v>2019</v>
      </c>
      <c r="AO1554">
        <f>IF(AND(emissions[[#This Row],[Market-based]]=0,emissions[[#This Row],[Impact Type]]="CO2E"),emissions[[#This Row],[kgCO2e]],0)/1000</f>
        <v>0</v>
      </c>
      <c r="AP1554">
        <f>IF(AND(emissions[[#This Row],[Market-based]]=1,OR(emissions[[#This Row],[Impact Type]]="CO2E",emissions[[#This Row],[Impact Type]]="CO2E MKT")),emissions[[#This Row],[kgCO2e]],0)/1000</f>
        <v>0</v>
      </c>
      <c r="AQ1554" t="str">
        <f>_xlfn.TEXTAFTER(emissions[[#This Row],[Reporting Unit]]," &gt; ",LEN(emissions[[#This Row],[Reporting Unit]])-LEN(SUBSTITUTE(emissions[[#This Row],[Reporting Unit]],"&gt;","")))</f>
        <v>Vantage_Pittsburgh</v>
      </c>
      <c r="AR1554" t="str">
        <f>_xlfn.XLOOKUP(emissions[[#This Row],[Reporting unit name]],hierarchy!$A:$A,hierarchy!$C:$C)</f>
        <v>Office</v>
      </c>
    </row>
    <row r="1555" spans="1:44" hidden="1" x14ac:dyDescent="0.25">
      <c r="A1555">
        <v>5019</v>
      </c>
      <c r="B1555" t="s">
        <v>308</v>
      </c>
      <c r="C1555" t="s">
        <v>501</v>
      </c>
      <c r="D1555" t="s">
        <v>599</v>
      </c>
      <c r="E1555" s="3">
        <v>44197</v>
      </c>
      <c r="F1555" s="3">
        <v>44561</v>
      </c>
      <c r="G1555" t="s">
        <v>141</v>
      </c>
      <c r="H1555" s="3">
        <v>44197</v>
      </c>
      <c r="I1555" s="3">
        <v>44561</v>
      </c>
      <c r="J1555" t="s">
        <v>142</v>
      </c>
      <c r="K1555">
        <v>0</v>
      </c>
      <c r="L1555" t="s">
        <v>143</v>
      </c>
      <c r="M1555" t="s">
        <v>82</v>
      </c>
      <c r="O1555" t="s">
        <v>600</v>
      </c>
      <c r="P1555" t="s">
        <v>550</v>
      </c>
      <c r="Q1555">
        <v>2021</v>
      </c>
      <c r="R1555" t="s">
        <v>612</v>
      </c>
      <c r="S1555" t="s">
        <v>613</v>
      </c>
      <c r="T1555" t="s">
        <v>553</v>
      </c>
      <c r="U1555" t="b">
        <v>0</v>
      </c>
      <c r="V1555" t="s">
        <v>614</v>
      </c>
      <c r="W1555" t="s">
        <v>587</v>
      </c>
      <c r="X1555" t="s">
        <v>556</v>
      </c>
      <c r="AC1555">
        <v>1</v>
      </c>
      <c r="AD1555" t="s">
        <v>565</v>
      </c>
      <c r="AE1555">
        <v>0</v>
      </c>
      <c r="AF1555">
        <v>2.70553</v>
      </c>
      <c r="AG1555" t="s">
        <v>588</v>
      </c>
      <c r="AH1555">
        <v>1</v>
      </c>
      <c r="AI1555">
        <v>0</v>
      </c>
      <c r="AJ1555" t="s">
        <v>561</v>
      </c>
      <c r="AK1555" t="s">
        <v>589</v>
      </c>
      <c r="AL1555" t="s">
        <v>603</v>
      </c>
      <c r="AM1555">
        <v>2021</v>
      </c>
      <c r="AN1555">
        <v>2019</v>
      </c>
      <c r="AO1555">
        <f>IF(AND(emissions[[#This Row],[Market-based]]=0,emissions[[#This Row],[Impact Type]]="CO2E"),emissions[[#This Row],[kgCO2e]],0)/1000</f>
        <v>0</v>
      </c>
      <c r="AP1555">
        <f>IF(AND(emissions[[#This Row],[Market-based]]=1,OR(emissions[[#This Row],[Impact Type]]="CO2E",emissions[[#This Row],[Impact Type]]="CO2E MKT")),emissions[[#This Row],[kgCO2e]],0)/1000</f>
        <v>0</v>
      </c>
      <c r="AQ1555" t="str">
        <f>_xlfn.TEXTAFTER(emissions[[#This Row],[Reporting Unit]]," &gt; ",LEN(emissions[[#This Row],[Reporting Unit]])-LEN(SUBSTITUTE(emissions[[#This Row],[Reporting Unit]],"&gt;","")))</f>
        <v>Vantage_Pittsburgh</v>
      </c>
      <c r="AR1555" t="str">
        <f>_xlfn.XLOOKUP(emissions[[#This Row],[Reporting unit name]],hierarchy!$A:$A,hierarchy!$C:$C)</f>
        <v>Office</v>
      </c>
    </row>
    <row r="1556" spans="1:44" hidden="1" x14ac:dyDescent="0.25">
      <c r="A1556">
        <v>5019</v>
      </c>
      <c r="B1556" t="s">
        <v>308</v>
      </c>
      <c r="C1556" t="s">
        <v>501</v>
      </c>
      <c r="D1556" t="s">
        <v>599</v>
      </c>
      <c r="E1556" s="3">
        <v>44197</v>
      </c>
      <c r="F1556" s="3">
        <v>44561</v>
      </c>
      <c r="G1556" t="s">
        <v>141</v>
      </c>
      <c r="H1556" s="3">
        <v>44197</v>
      </c>
      <c r="I1556" s="3">
        <v>44561</v>
      </c>
      <c r="J1556" t="s">
        <v>142</v>
      </c>
      <c r="K1556">
        <v>0</v>
      </c>
      <c r="L1556" t="s">
        <v>143</v>
      </c>
      <c r="M1556" t="s">
        <v>82</v>
      </c>
      <c r="O1556" t="s">
        <v>600</v>
      </c>
      <c r="P1556" t="s">
        <v>550</v>
      </c>
      <c r="Q1556">
        <v>2021</v>
      </c>
      <c r="R1556" t="s">
        <v>612</v>
      </c>
      <c r="S1556" t="s">
        <v>613</v>
      </c>
      <c r="T1556" t="s">
        <v>553</v>
      </c>
      <c r="U1556" t="b">
        <v>0</v>
      </c>
      <c r="V1556" t="s">
        <v>614</v>
      </c>
      <c r="W1556" t="s">
        <v>587</v>
      </c>
      <c r="X1556" t="s">
        <v>556</v>
      </c>
      <c r="AC1556">
        <v>1</v>
      </c>
      <c r="AD1556" t="s">
        <v>566</v>
      </c>
      <c r="AE1556">
        <v>0</v>
      </c>
      <c r="AF1556">
        <v>3.7199999999999997E-2</v>
      </c>
      <c r="AG1556" t="s">
        <v>588</v>
      </c>
      <c r="AH1556">
        <v>1</v>
      </c>
      <c r="AI1556">
        <v>0</v>
      </c>
      <c r="AJ1556" t="s">
        <v>561</v>
      </c>
      <c r="AK1556" t="s">
        <v>589</v>
      </c>
      <c r="AL1556" t="s">
        <v>603</v>
      </c>
      <c r="AM1556">
        <v>2021</v>
      </c>
      <c r="AN1556">
        <v>2019</v>
      </c>
      <c r="AO1556">
        <f>IF(AND(emissions[[#This Row],[Market-based]]=0,emissions[[#This Row],[Impact Type]]="CO2E"),emissions[[#This Row],[kgCO2e]],0)/1000</f>
        <v>0</v>
      </c>
      <c r="AP1556">
        <f>IF(AND(emissions[[#This Row],[Market-based]]=1,OR(emissions[[#This Row],[Impact Type]]="CO2E",emissions[[#This Row],[Impact Type]]="CO2E MKT")),emissions[[#This Row],[kgCO2e]],0)/1000</f>
        <v>0</v>
      </c>
      <c r="AQ1556" t="str">
        <f>_xlfn.TEXTAFTER(emissions[[#This Row],[Reporting Unit]]," &gt; ",LEN(emissions[[#This Row],[Reporting Unit]])-LEN(SUBSTITUTE(emissions[[#This Row],[Reporting Unit]],"&gt;","")))</f>
        <v>Vantage_Pittsburgh</v>
      </c>
      <c r="AR1556" t="str">
        <f>_xlfn.XLOOKUP(emissions[[#This Row],[Reporting unit name]],hierarchy!$A:$A,hierarchy!$C:$C)</f>
        <v>Office</v>
      </c>
    </row>
    <row r="1557" spans="1:44" hidden="1" x14ac:dyDescent="0.25">
      <c r="A1557">
        <v>5019</v>
      </c>
      <c r="B1557" t="s">
        <v>308</v>
      </c>
      <c r="C1557" t="s">
        <v>501</v>
      </c>
      <c r="D1557" t="s">
        <v>599</v>
      </c>
      <c r="E1557" s="3">
        <v>44197</v>
      </c>
      <c r="F1557" s="3">
        <v>44561</v>
      </c>
      <c r="G1557" t="s">
        <v>141</v>
      </c>
      <c r="H1557" s="3">
        <v>44197</v>
      </c>
      <c r="I1557" s="3">
        <v>44561</v>
      </c>
      <c r="J1557" t="s">
        <v>142</v>
      </c>
      <c r="K1557">
        <v>0</v>
      </c>
      <c r="L1557" t="s">
        <v>143</v>
      </c>
      <c r="M1557" t="s">
        <v>82</v>
      </c>
      <c r="O1557" t="s">
        <v>600</v>
      </c>
      <c r="P1557" t="s">
        <v>550</v>
      </c>
      <c r="Q1557">
        <v>2021</v>
      </c>
      <c r="R1557" t="s">
        <v>615</v>
      </c>
      <c r="S1557" t="s">
        <v>616</v>
      </c>
      <c r="T1557" t="s">
        <v>577</v>
      </c>
      <c r="U1557" t="b">
        <v>0</v>
      </c>
      <c r="V1557" t="s">
        <v>617</v>
      </c>
      <c r="W1557" t="s">
        <v>571</v>
      </c>
      <c r="X1557" t="s">
        <v>572</v>
      </c>
      <c r="AC1557">
        <v>0</v>
      </c>
      <c r="AD1557" t="s">
        <v>565</v>
      </c>
      <c r="AE1557">
        <v>0</v>
      </c>
      <c r="AF1557">
        <v>0.62873999999999997</v>
      </c>
      <c r="AG1557" t="s">
        <v>588</v>
      </c>
      <c r="AH1557">
        <v>1</v>
      </c>
      <c r="AI1557">
        <v>0</v>
      </c>
      <c r="AJ1557" t="s">
        <v>561</v>
      </c>
      <c r="AK1557" t="s">
        <v>589</v>
      </c>
      <c r="AL1557" t="s">
        <v>603</v>
      </c>
      <c r="AM1557">
        <v>2021</v>
      </c>
      <c r="AN1557">
        <v>2019</v>
      </c>
      <c r="AO1557">
        <f>IF(AND(emissions[[#This Row],[Market-based]]=0,emissions[[#This Row],[Impact Type]]="CO2E"),emissions[[#This Row],[kgCO2e]],0)/1000</f>
        <v>0</v>
      </c>
      <c r="AP1557">
        <f>IF(AND(emissions[[#This Row],[Market-based]]=1,OR(emissions[[#This Row],[Impact Type]]="CO2E",emissions[[#This Row],[Impact Type]]="CO2E MKT")),emissions[[#This Row],[kgCO2e]],0)/1000</f>
        <v>0</v>
      </c>
      <c r="AQ1557" t="str">
        <f>_xlfn.TEXTAFTER(emissions[[#This Row],[Reporting Unit]]," &gt; ",LEN(emissions[[#This Row],[Reporting Unit]])-LEN(SUBSTITUTE(emissions[[#This Row],[Reporting Unit]],"&gt;","")))</f>
        <v>Vantage_Pittsburgh</v>
      </c>
      <c r="AR1557" t="str">
        <f>_xlfn.XLOOKUP(emissions[[#This Row],[Reporting unit name]],hierarchy!$A:$A,hierarchy!$C:$C)</f>
        <v>Office</v>
      </c>
    </row>
    <row r="1558" spans="1:44" hidden="1" x14ac:dyDescent="0.25">
      <c r="A1558">
        <v>5019</v>
      </c>
      <c r="B1558" t="s">
        <v>308</v>
      </c>
      <c r="C1558" t="s">
        <v>501</v>
      </c>
      <c r="D1558" t="s">
        <v>599</v>
      </c>
      <c r="E1558" s="3">
        <v>44197</v>
      </c>
      <c r="F1558" s="3">
        <v>44561</v>
      </c>
      <c r="G1558" t="s">
        <v>141</v>
      </c>
      <c r="H1558" s="3">
        <v>44197</v>
      </c>
      <c r="I1558" s="3">
        <v>44561</v>
      </c>
      <c r="J1558" t="s">
        <v>142</v>
      </c>
      <c r="K1558">
        <v>0</v>
      </c>
      <c r="L1558" t="s">
        <v>143</v>
      </c>
      <c r="M1558" t="s">
        <v>82</v>
      </c>
      <c r="O1558" t="s">
        <v>600</v>
      </c>
      <c r="P1558" t="s">
        <v>550</v>
      </c>
      <c r="Q1558">
        <v>2021</v>
      </c>
      <c r="R1558" t="s">
        <v>615</v>
      </c>
      <c r="S1558" t="s">
        <v>616</v>
      </c>
      <c r="T1558" t="s">
        <v>577</v>
      </c>
      <c r="U1558" t="b">
        <v>0</v>
      </c>
      <c r="V1558" t="s">
        <v>617</v>
      </c>
      <c r="W1558" t="s">
        <v>571</v>
      </c>
      <c r="X1558" t="s">
        <v>572</v>
      </c>
      <c r="AC1558">
        <v>1</v>
      </c>
      <c r="AD1558" t="s">
        <v>565</v>
      </c>
      <c r="AE1558">
        <v>0</v>
      </c>
      <c r="AF1558">
        <v>0.62873999999999997</v>
      </c>
      <c r="AG1558" t="s">
        <v>588</v>
      </c>
      <c r="AH1558">
        <v>1</v>
      </c>
      <c r="AI1558">
        <v>0</v>
      </c>
      <c r="AJ1558" t="s">
        <v>561</v>
      </c>
      <c r="AK1558" t="s">
        <v>589</v>
      </c>
      <c r="AL1558" t="s">
        <v>603</v>
      </c>
      <c r="AM1558">
        <v>2021</v>
      </c>
      <c r="AN1558">
        <v>2019</v>
      </c>
      <c r="AO1558">
        <f>IF(AND(emissions[[#This Row],[Market-based]]=0,emissions[[#This Row],[Impact Type]]="CO2E"),emissions[[#This Row],[kgCO2e]],0)/1000</f>
        <v>0</v>
      </c>
      <c r="AP1558">
        <f>IF(AND(emissions[[#This Row],[Market-based]]=1,OR(emissions[[#This Row],[Impact Type]]="CO2E",emissions[[#This Row],[Impact Type]]="CO2E MKT")),emissions[[#This Row],[kgCO2e]],0)/1000</f>
        <v>0</v>
      </c>
      <c r="AQ1558" t="str">
        <f>_xlfn.TEXTAFTER(emissions[[#This Row],[Reporting Unit]]," &gt; ",LEN(emissions[[#This Row],[Reporting Unit]])-LEN(SUBSTITUTE(emissions[[#This Row],[Reporting Unit]],"&gt;","")))</f>
        <v>Vantage_Pittsburgh</v>
      </c>
      <c r="AR1558" t="str">
        <f>_xlfn.XLOOKUP(emissions[[#This Row],[Reporting unit name]],hierarchy!$A:$A,hierarchy!$C:$C)</f>
        <v>Office</v>
      </c>
    </row>
    <row r="1559" spans="1:44" hidden="1" x14ac:dyDescent="0.25">
      <c r="A1559">
        <v>5044</v>
      </c>
      <c r="B1559" t="s">
        <v>308</v>
      </c>
      <c r="C1559" t="s">
        <v>501</v>
      </c>
      <c r="D1559" t="s">
        <v>599</v>
      </c>
      <c r="E1559" s="3">
        <v>44197</v>
      </c>
      <c r="F1559" s="3">
        <v>44561</v>
      </c>
      <c r="G1559" t="s">
        <v>116</v>
      </c>
      <c r="H1559" s="3">
        <v>44197</v>
      </c>
      <c r="I1559" s="3">
        <v>44561</v>
      </c>
      <c r="J1559" t="s">
        <v>128</v>
      </c>
      <c r="K1559">
        <v>5</v>
      </c>
      <c r="L1559" t="s">
        <v>118</v>
      </c>
      <c r="M1559" t="s">
        <v>82</v>
      </c>
      <c r="O1559" t="s">
        <v>618</v>
      </c>
      <c r="P1559" t="s">
        <v>550</v>
      </c>
      <c r="Q1559">
        <v>2021</v>
      </c>
      <c r="R1559" t="s">
        <v>619</v>
      </c>
      <c r="S1559" t="s">
        <v>620</v>
      </c>
      <c r="T1559" t="s">
        <v>553</v>
      </c>
      <c r="U1559" t="b">
        <v>0</v>
      </c>
      <c r="V1559" t="s">
        <v>621</v>
      </c>
      <c r="W1559" t="s">
        <v>587</v>
      </c>
      <c r="X1559" t="s">
        <v>556</v>
      </c>
      <c r="AC1559">
        <v>0</v>
      </c>
      <c r="AD1559" t="s">
        <v>565</v>
      </c>
      <c r="AE1559">
        <v>7150</v>
      </c>
      <c r="AF1559">
        <v>1430</v>
      </c>
      <c r="AG1559" t="s">
        <v>622</v>
      </c>
      <c r="AH1559">
        <v>1</v>
      </c>
      <c r="AI1559">
        <v>5</v>
      </c>
      <c r="AJ1559" t="s">
        <v>561</v>
      </c>
      <c r="AK1559" t="s">
        <v>623</v>
      </c>
      <c r="AL1559" t="s">
        <v>624</v>
      </c>
      <c r="AM1559">
        <v>2021</v>
      </c>
      <c r="AN1559">
        <v>2007</v>
      </c>
      <c r="AO1559">
        <f>IF(AND(emissions[[#This Row],[Market-based]]=0,emissions[[#This Row],[Impact Type]]="CO2E"),emissions[[#This Row],[kgCO2e]],0)/1000</f>
        <v>7.15</v>
      </c>
      <c r="AP1559">
        <f>IF(AND(emissions[[#This Row],[Market-based]]=1,OR(emissions[[#This Row],[Impact Type]]="CO2E",emissions[[#This Row],[Impact Type]]="CO2E MKT")),emissions[[#This Row],[kgCO2e]],0)/1000</f>
        <v>0</v>
      </c>
      <c r="AQ1559" t="str">
        <f>_xlfn.TEXTAFTER(emissions[[#This Row],[Reporting Unit]]," &gt; ",LEN(emissions[[#This Row],[Reporting Unit]])-LEN(SUBSTITUTE(emissions[[#This Row],[Reporting Unit]],"&gt;","")))</f>
        <v>Vantage_Pittsburgh</v>
      </c>
      <c r="AR1559" t="str">
        <f>_xlfn.XLOOKUP(emissions[[#This Row],[Reporting unit name]],hierarchy!$A:$A,hierarchy!$C:$C)</f>
        <v>Office</v>
      </c>
    </row>
    <row r="1560" spans="1:44" hidden="1" x14ac:dyDescent="0.25">
      <c r="A1560">
        <v>5044</v>
      </c>
      <c r="B1560" t="s">
        <v>308</v>
      </c>
      <c r="C1560" t="s">
        <v>501</v>
      </c>
      <c r="D1560" t="s">
        <v>599</v>
      </c>
      <c r="E1560" s="3">
        <v>44197</v>
      </c>
      <c r="F1560" s="3">
        <v>44561</v>
      </c>
      <c r="G1560" t="s">
        <v>116</v>
      </c>
      <c r="H1560" s="3">
        <v>44197</v>
      </c>
      <c r="I1560" s="3">
        <v>44561</v>
      </c>
      <c r="J1560" t="s">
        <v>128</v>
      </c>
      <c r="K1560">
        <v>5</v>
      </c>
      <c r="L1560" t="s">
        <v>118</v>
      </c>
      <c r="M1560" t="s">
        <v>82</v>
      </c>
      <c r="O1560" t="s">
        <v>618</v>
      </c>
      <c r="P1560" t="s">
        <v>550</v>
      </c>
      <c r="Q1560">
        <v>2021</v>
      </c>
      <c r="R1560" t="s">
        <v>619</v>
      </c>
      <c r="S1560" t="s">
        <v>620</v>
      </c>
      <c r="T1560" t="s">
        <v>553</v>
      </c>
      <c r="U1560" t="b">
        <v>0</v>
      </c>
      <c r="V1560" t="s">
        <v>621</v>
      </c>
      <c r="W1560" t="s">
        <v>587</v>
      </c>
      <c r="X1560" t="s">
        <v>556</v>
      </c>
      <c r="AC1560">
        <v>1</v>
      </c>
      <c r="AD1560" t="s">
        <v>565</v>
      </c>
      <c r="AE1560">
        <v>7150</v>
      </c>
      <c r="AF1560">
        <v>1430</v>
      </c>
      <c r="AG1560" t="s">
        <v>622</v>
      </c>
      <c r="AH1560">
        <v>1</v>
      </c>
      <c r="AI1560">
        <v>5</v>
      </c>
      <c r="AJ1560" t="s">
        <v>561</v>
      </c>
      <c r="AK1560" t="s">
        <v>623</v>
      </c>
      <c r="AL1560" t="s">
        <v>624</v>
      </c>
      <c r="AM1560">
        <v>2021</v>
      </c>
      <c r="AN1560">
        <v>2007</v>
      </c>
      <c r="AO1560">
        <f>IF(AND(emissions[[#This Row],[Market-based]]=0,emissions[[#This Row],[Impact Type]]="CO2E"),emissions[[#This Row],[kgCO2e]],0)/1000</f>
        <v>0</v>
      </c>
      <c r="AP1560">
        <f>IF(AND(emissions[[#This Row],[Market-based]]=1,OR(emissions[[#This Row],[Impact Type]]="CO2E",emissions[[#This Row],[Impact Type]]="CO2E MKT")),emissions[[#This Row],[kgCO2e]],0)/1000</f>
        <v>7.15</v>
      </c>
      <c r="AQ1560" t="str">
        <f>_xlfn.TEXTAFTER(emissions[[#This Row],[Reporting Unit]]," &gt; ",LEN(emissions[[#This Row],[Reporting Unit]])-LEN(SUBSTITUTE(emissions[[#This Row],[Reporting Unit]],"&gt;","")))</f>
        <v>Vantage_Pittsburgh</v>
      </c>
      <c r="AR1560" t="str">
        <f>_xlfn.XLOOKUP(emissions[[#This Row],[Reporting unit name]],hierarchy!$A:$A,hierarchy!$C:$C)</f>
        <v>Office</v>
      </c>
    </row>
    <row r="1561" spans="1:44" hidden="1" x14ac:dyDescent="0.25">
      <c r="A1561">
        <v>237718</v>
      </c>
      <c r="B1561" t="s">
        <v>299</v>
      </c>
      <c r="C1561" t="s">
        <v>493</v>
      </c>
      <c r="D1561" t="s">
        <v>548</v>
      </c>
      <c r="E1561" s="3">
        <v>44562</v>
      </c>
      <c r="F1561" s="3">
        <v>44926</v>
      </c>
      <c r="G1561" t="s">
        <v>108</v>
      </c>
      <c r="H1561" s="3">
        <v>44562</v>
      </c>
      <c r="I1561" s="3">
        <v>44926</v>
      </c>
      <c r="J1561" t="s">
        <v>108</v>
      </c>
      <c r="K1561">
        <v>57321</v>
      </c>
      <c r="L1561" t="s">
        <v>109</v>
      </c>
      <c r="M1561" t="s">
        <v>110</v>
      </c>
      <c r="O1561" t="s">
        <v>949</v>
      </c>
      <c r="P1561" t="s">
        <v>550</v>
      </c>
      <c r="Q1561">
        <v>2022</v>
      </c>
      <c r="R1561" t="s">
        <v>551</v>
      </c>
      <c r="S1561" t="s">
        <v>552</v>
      </c>
      <c r="T1561" t="s">
        <v>553</v>
      </c>
      <c r="U1561" t="b">
        <v>0</v>
      </c>
      <c r="V1561" t="s">
        <v>950</v>
      </c>
      <c r="W1561" t="s">
        <v>555</v>
      </c>
      <c r="X1561" t="s">
        <v>556</v>
      </c>
      <c r="Y1561" t="s">
        <v>472</v>
      </c>
      <c r="Z1561" t="s">
        <v>491</v>
      </c>
      <c r="AA1561" t="s">
        <v>951</v>
      </c>
      <c r="AC1561">
        <v>0</v>
      </c>
      <c r="AD1561" t="s">
        <v>558</v>
      </c>
      <c r="AE1561">
        <v>17.196300000000001</v>
      </c>
      <c r="AF1561" t="s">
        <v>559</v>
      </c>
      <c r="AG1561" t="s">
        <v>560</v>
      </c>
      <c r="AH1561">
        <v>1</v>
      </c>
      <c r="AI1561">
        <v>57321</v>
      </c>
      <c r="AJ1561" t="s">
        <v>561</v>
      </c>
      <c r="AK1561" t="s">
        <v>562</v>
      </c>
      <c r="AL1561" t="s">
        <v>563</v>
      </c>
      <c r="AM1561">
        <v>2022</v>
      </c>
      <c r="AN1561">
        <v>2020</v>
      </c>
      <c r="AO1561">
        <f>IF(AND(emissions[[#This Row],[Market-based]]=0,emissions[[#This Row],[Impact Type]]="CO2E"),emissions[[#This Row],[kgCO2e]],0)/1000</f>
        <v>0</v>
      </c>
      <c r="AP1561">
        <f>IF(AND(emissions[[#This Row],[Market-based]]=1,OR(emissions[[#This Row],[Impact Type]]="CO2E",emissions[[#This Row],[Impact Type]]="CO2E MKT")),emissions[[#This Row],[kgCO2e]],0)/1000</f>
        <v>0</v>
      </c>
      <c r="AQ1561" t="str">
        <f>_xlfn.TEXTAFTER(emissions[[#This Row],[Reporting Unit]]," &gt; ",LEN(emissions[[#This Row],[Reporting Unit]])-LEN(SUBSTITUTE(emissions[[#This Row],[Reporting Unit]],"&gt;","")))</f>
        <v>Vantage_Tlalnepantla de Baz</v>
      </c>
      <c r="AR1561" t="str">
        <f>_xlfn.XLOOKUP(emissions[[#This Row],[Reporting unit name]],hierarchy!$A:$A,hierarchy!$C:$C)</f>
        <v>Warehouse</v>
      </c>
    </row>
    <row r="1562" spans="1:44" hidden="1" x14ac:dyDescent="0.25">
      <c r="A1562">
        <v>237718</v>
      </c>
      <c r="B1562" t="s">
        <v>299</v>
      </c>
      <c r="C1562" t="s">
        <v>493</v>
      </c>
      <c r="D1562" t="s">
        <v>548</v>
      </c>
      <c r="E1562" s="3">
        <v>44562</v>
      </c>
      <c r="F1562" s="3">
        <v>44926</v>
      </c>
      <c r="G1562" t="s">
        <v>108</v>
      </c>
      <c r="H1562" s="3">
        <v>44562</v>
      </c>
      <c r="I1562" s="3">
        <v>44926</v>
      </c>
      <c r="J1562" t="s">
        <v>108</v>
      </c>
      <c r="K1562">
        <v>57321</v>
      </c>
      <c r="L1562" t="s">
        <v>109</v>
      </c>
      <c r="M1562" t="s">
        <v>110</v>
      </c>
      <c r="O1562" t="s">
        <v>949</v>
      </c>
      <c r="P1562" t="s">
        <v>550</v>
      </c>
      <c r="Q1562">
        <v>2022</v>
      </c>
      <c r="R1562" t="s">
        <v>551</v>
      </c>
      <c r="S1562" t="s">
        <v>552</v>
      </c>
      <c r="T1562" t="s">
        <v>553</v>
      </c>
      <c r="U1562" t="b">
        <v>0</v>
      </c>
      <c r="V1562" t="s">
        <v>950</v>
      </c>
      <c r="W1562" t="s">
        <v>555</v>
      </c>
      <c r="X1562" t="s">
        <v>556</v>
      </c>
      <c r="Y1562" t="s">
        <v>472</v>
      </c>
      <c r="Z1562" t="s">
        <v>491</v>
      </c>
      <c r="AA1562" t="s">
        <v>951</v>
      </c>
      <c r="AC1562">
        <v>0</v>
      </c>
      <c r="AD1562" t="s">
        <v>564</v>
      </c>
      <c r="AE1562">
        <v>22762.169099999999</v>
      </c>
      <c r="AF1562" t="s">
        <v>559</v>
      </c>
      <c r="AG1562" t="s">
        <v>560</v>
      </c>
      <c r="AH1562">
        <v>1</v>
      </c>
      <c r="AI1562">
        <v>57321</v>
      </c>
      <c r="AJ1562" t="s">
        <v>561</v>
      </c>
      <c r="AK1562" t="s">
        <v>562</v>
      </c>
      <c r="AL1562" t="s">
        <v>563</v>
      </c>
      <c r="AM1562">
        <v>2022</v>
      </c>
      <c r="AN1562">
        <v>2020</v>
      </c>
      <c r="AO1562">
        <f>IF(AND(emissions[[#This Row],[Market-based]]=0,emissions[[#This Row],[Impact Type]]="CO2E"),emissions[[#This Row],[kgCO2e]],0)/1000</f>
        <v>0</v>
      </c>
      <c r="AP1562">
        <f>IF(AND(emissions[[#This Row],[Market-based]]=1,OR(emissions[[#This Row],[Impact Type]]="CO2E",emissions[[#This Row],[Impact Type]]="CO2E MKT")),emissions[[#This Row],[kgCO2e]],0)/1000</f>
        <v>0</v>
      </c>
      <c r="AQ1562" t="str">
        <f>_xlfn.TEXTAFTER(emissions[[#This Row],[Reporting Unit]]," &gt; ",LEN(emissions[[#This Row],[Reporting Unit]])-LEN(SUBSTITUTE(emissions[[#This Row],[Reporting Unit]],"&gt;","")))</f>
        <v>Vantage_Tlalnepantla de Baz</v>
      </c>
      <c r="AR1562" t="str">
        <f>_xlfn.XLOOKUP(emissions[[#This Row],[Reporting unit name]],hierarchy!$A:$A,hierarchy!$C:$C)</f>
        <v>Warehouse</v>
      </c>
    </row>
    <row r="1563" spans="1:44" hidden="1" x14ac:dyDescent="0.25">
      <c r="A1563">
        <v>237718</v>
      </c>
      <c r="B1563" t="s">
        <v>299</v>
      </c>
      <c r="C1563" t="s">
        <v>493</v>
      </c>
      <c r="D1563" t="s">
        <v>548</v>
      </c>
      <c r="E1563" s="3">
        <v>44562</v>
      </c>
      <c r="F1563" s="3">
        <v>44926</v>
      </c>
      <c r="G1563" t="s">
        <v>108</v>
      </c>
      <c r="H1563" s="3">
        <v>44562</v>
      </c>
      <c r="I1563" s="3">
        <v>44926</v>
      </c>
      <c r="J1563" t="s">
        <v>108</v>
      </c>
      <c r="K1563">
        <v>57321</v>
      </c>
      <c r="L1563" t="s">
        <v>109</v>
      </c>
      <c r="M1563" t="s">
        <v>110</v>
      </c>
      <c r="O1563" t="s">
        <v>949</v>
      </c>
      <c r="P1563" t="s">
        <v>550</v>
      </c>
      <c r="Q1563">
        <v>2022</v>
      </c>
      <c r="R1563" t="s">
        <v>551</v>
      </c>
      <c r="S1563" t="s">
        <v>552</v>
      </c>
      <c r="T1563" t="s">
        <v>553</v>
      </c>
      <c r="U1563" t="b">
        <v>0</v>
      </c>
      <c r="V1563" t="s">
        <v>950</v>
      </c>
      <c r="W1563" t="s">
        <v>555</v>
      </c>
      <c r="X1563" t="s">
        <v>556</v>
      </c>
      <c r="Y1563" t="s">
        <v>472</v>
      </c>
      <c r="Z1563" t="s">
        <v>491</v>
      </c>
      <c r="AA1563" t="s">
        <v>951</v>
      </c>
      <c r="AC1563">
        <v>0</v>
      </c>
      <c r="AD1563" t="s">
        <v>565</v>
      </c>
      <c r="AE1563">
        <v>22825.2222</v>
      </c>
      <c r="AF1563" t="s">
        <v>559</v>
      </c>
      <c r="AG1563" t="s">
        <v>560</v>
      </c>
      <c r="AH1563">
        <v>1</v>
      </c>
      <c r="AI1563">
        <v>57321</v>
      </c>
      <c r="AJ1563" t="s">
        <v>561</v>
      </c>
      <c r="AK1563" t="s">
        <v>562</v>
      </c>
      <c r="AL1563" t="s">
        <v>563</v>
      </c>
      <c r="AM1563">
        <v>2022</v>
      </c>
      <c r="AN1563">
        <v>2020</v>
      </c>
      <c r="AO1563">
        <f>IF(AND(emissions[[#This Row],[Market-based]]=0,emissions[[#This Row],[Impact Type]]="CO2E"),emissions[[#This Row],[kgCO2e]],0)/1000</f>
        <v>22.825222199999999</v>
      </c>
      <c r="AP1563">
        <f>IF(AND(emissions[[#This Row],[Market-based]]=1,OR(emissions[[#This Row],[Impact Type]]="CO2E",emissions[[#This Row],[Impact Type]]="CO2E MKT")),emissions[[#This Row],[kgCO2e]],0)/1000</f>
        <v>0</v>
      </c>
      <c r="AQ1563" t="str">
        <f>_xlfn.TEXTAFTER(emissions[[#This Row],[Reporting Unit]]," &gt; ",LEN(emissions[[#This Row],[Reporting Unit]])-LEN(SUBSTITUTE(emissions[[#This Row],[Reporting Unit]],"&gt;","")))</f>
        <v>Vantage_Tlalnepantla de Baz</v>
      </c>
      <c r="AR1563" t="str">
        <f>_xlfn.XLOOKUP(emissions[[#This Row],[Reporting unit name]],hierarchy!$A:$A,hierarchy!$C:$C)</f>
        <v>Warehouse</v>
      </c>
    </row>
    <row r="1564" spans="1:44" hidden="1" x14ac:dyDescent="0.25">
      <c r="A1564">
        <v>237718</v>
      </c>
      <c r="B1564" t="s">
        <v>299</v>
      </c>
      <c r="C1564" t="s">
        <v>493</v>
      </c>
      <c r="D1564" t="s">
        <v>548</v>
      </c>
      <c r="E1564" s="3">
        <v>44562</v>
      </c>
      <c r="F1564" s="3">
        <v>44926</v>
      </c>
      <c r="G1564" t="s">
        <v>108</v>
      </c>
      <c r="H1564" s="3">
        <v>44562</v>
      </c>
      <c r="I1564" s="3">
        <v>44926</v>
      </c>
      <c r="J1564" t="s">
        <v>108</v>
      </c>
      <c r="K1564">
        <v>57321</v>
      </c>
      <c r="L1564" t="s">
        <v>109</v>
      </c>
      <c r="M1564" t="s">
        <v>110</v>
      </c>
      <c r="O1564" t="s">
        <v>949</v>
      </c>
      <c r="P1564" t="s">
        <v>550</v>
      </c>
      <c r="Q1564">
        <v>2022</v>
      </c>
      <c r="R1564" t="s">
        <v>551</v>
      </c>
      <c r="S1564" t="s">
        <v>552</v>
      </c>
      <c r="T1564" t="s">
        <v>553</v>
      </c>
      <c r="U1564" t="b">
        <v>0</v>
      </c>
      <c r="V1564" t="s">
        <v>950</v>
      </c>
      <c r="W1564" t="s">
        <v>555</v>
      </c>
      <c r="X1564" t="s">
        <v>556</v>
      </c>
      <c r="Y1564" t="s">
        <v>472</v>
      </c>
      <c r="Z1564" t="s">
        <v>491</v>
      </c>
      <c r="AA1564" t="s">
        <v>951</v>
      </c>
      <c r="AC1564">
        <v>0</v>
      </c>
      <c r="AD1564" t="s">
        <v>566</v>
      </c>
      <c r="AE1564">
        <v>45.8568</v>
      </c>
      <c r="AF1564" t="s">
        <v>559</v>
      </c>
      <c r="AG1564" t="s">
        <v>560</v>
      </c>
      <c r="AH1564">
        <v>1</v>
      </c>
      <c r="AI1564">
        <v>57321</v>
      </c>
      <c r="AJ1564" t="s">
        <v>561</v>
      </c>
      <c r="AK1564" t="s">
        <v>562</v>
      </c>
      <c r="AL1564" t="s">
        <v>563</v>
      </c>
      <c r="AM1564">
        <v>2022</v>
      </c>
      <c r="AN1564">
        <v>2020</v>
      </c>
      <c r="AO1564">
        <f>IF(AND(emissions[[#This Row],[Market-based]]=0,emissions[[#This Row],[Impact Type]]="CO2E"),emissions[[#This Row],[kgCO2e]],0)/1000</f>
        <v>0</v>
      </c>
      <c r="AP1564">
        <f>IF(AND(emissions[[#This Row],[Market-based]]=1,OR(emissions[[#This Row],[Impact Type]]="CO2E",emissions[[#This Row],[Impact Type]]="CO2E MKT")),emissions[[#This Row],[kgCO2e]],0)/1000</f>
        <v>0</v>
      </c>
      <c r="AQ1564" t="str">
        <f>_xlfn.TEXTAFTER(emissions[[#This Row],[Reporting Unit]]," &gt; ",LEN(emissions[[#This Row],[Reporting Unit]])-LEN(SUBSTITUTE(emissions[[#This Row],[Reporting Unit]],"&gt;","")))</f>
        <v>Vantage_Tlalnepantla de Baz</v>
      </c>
      <c r="AR1564" t="str">
        <f>_xlfn.XLOOKUP(emissions[[#This Row],[Reporting unit name]],hierarchy!$A:$A,hierarchy!$C:$C)</f>
        <v>Warehouse</v>
      </c>
    </row>
    <row r="1565" spans="1:44" hidden="1" x14ac:dyDescent="0.25">
      <c r="A1565">
        <v>237718</v>
      </c>
      <c r="B1565" t="s">
        <v>299</v>
      </c>
      <c r="C1565" t="s">
        <v>493</v>
      </c>
      <c r="D1565" t="s">
        <v>548</v>
      </c>
      <c r="E1565" s="3">
        <v>44562</v>
      </c>
      <c r="F1565" s="3">
        <v>44926</v>
      </c>
      <c r="G1565" t="s">
        <v>108</v>
      </c>
      <c r="H1565" s="3">
        <v>44562</v>
      </c>
      <c r="I1565" s="3">
        <v>44926</v>
      </c>
      <c r="J1565" t="s">
        <v>108</v>
      </c>
      <c r="K1565">
        <v>57321</v>
      </c>
      <c r="L1565" t="s">
        <v>109</v>
      </c>
      <c r="M1565" t="s">
        <v>110</v>
      </c>
      <c r="O1565" t="s">
        <v>949</v>
      </c>
      <c r="P1565" t="s">
        <v>550</v>
      </c>
      <c r="Q1565">
        <v>2022</v>
      </c>
      <c r="R1565" t="s">
        <v>551</v>
      </c>
      <c r="S1565" t="s">
        <v>552</v>
      </c>
      <c r="T1565" t="s">
        <v>553</v>
      </c>
      <c r="U1565" t="b">
        <v>0</v>
      </c>
      <c r="V1565" t="s">
        <v>950</v>
      </c>
      <c r="W1565" t="s">
        <v>555</v>
      </c>
      <c r="X1565" t="s">
        <v>556</v>
      </c>
      <c r="Y1565" t="s">
        <v>472</v>
      </c>
      <c r="Z1565" t="s">
        <v>491</v>
      </c>
      <c r="AA1565" t="s">
        <v>951</v>
      </c>
      <c r="AC1565">
        <v>1</v>
      </c>
      <c r="AD1565" t="s">
        <v>558</v>
      </c>
      <c r="AE1565">
        <v>17.196300000000001</v>
      </c>
      <c r="AF1565" t="s">
        <v>559</v>
      </c>
      <c r="AG1565" t="s">
        <v>560</v>
      </c>
      <c r="AH1565">
        <v>1</v>
      </c>
      <c r="AI1565">
        <v>57321</v>
      </c>
      <c r="AJ1565" t="s">
        <v>561</v>
      </c>
      <c r="AK1565" t="s">
        <v>562</v>
      </c>
      <c r="AL1565" t="s">
        <v>563</v>
      </c>
      <c r="AM1565">
        <v>2022</v>
      </c>
      <c r="AN1565">
        <v>2020</v>
      </c>
      <c r="AO1565">
        <f>IF(AND(emissions[[#This Row],[Market-based]]=0,emissions[[#This Row],[Impact Type]]="CO2E"),emissions[[#This Row],[kgCO2e]],0)/1000</f>
        <v>0</v>
      </c>
      <c r="AP1565">
        <f>IF(AND(emissions[[#This Row],[Market-based]]=1,OR(emissions[[#This Row],[Impact Type]]="CO2E",emissions[[#This Row],[Impact Type]]="CO2E MKT")),emissions[[#This Row],[kgCO2e]],0)/1000</f>
        <v>0</v>
      </c>
      <c r="AQ1565" t="str">
        <f>_xlfn.TEXTAFTER(emissions[[#This Row],[Reporting Unit]]," &gt; ",LEN(emissions[[#This Row],[Reporting Unit]])-LEN(SUBSTITUTE(emissions[[#This Row],[Reporting Unit]],"&gt;","")))</f>
        <v>Vantage_Tlalnepantla de Baz</v>
      </c>
      <c r="AR1565" t="str">
        <f>_xlfn.XLOOKUP(emissions[[#This Row],[Reporting unit name]],hierarchy!$A:$A,hierarchy!$C:$C)</f>
        <v>Warehouse</v>
      </c>
    </row>
    <row r="1566" spans="1:44" hidden="1" x14ac:dyDescent="0.25">
      <c r="A1566">
        <v>237718</v>
      </c>
      <c r="B1566" t="s">
        <v>299</v>
      </c>
      <c r="C1566" t="s">
        <v>493</v>
      </c>
      <c r="D1566" t="s">
        <v>548</v>
      </c>
      <c r="E1566" s="3">
        <v>44562</v>
      </c>
      <c r="F1566" s="3">
        <v>44926</v>
      </c>
      <c r="G1566" t="s">
        <v>108</v>
      </c>
      <c r="H1566" s="3">
        <v>44562</v>
      </c>
      <c r="I1566" s="3">
        <v>44926</v>
      </c>
      <c r="J1566" t="s">
        <v>108</v>
      </c>
      <c r="K1566">
        <v>57321</v>
      </c>
      <c r="L1566" t="s">
        <v>109</v>
      </c>
      <c r="M1566" t="s">
        <v>110</v>
      </c>
      <c r="O1566" t="s">
        <v>949</v>
      </c>
      <c r="P1566" t="s">
        <v>550</v>
      </c>
      <c r="Q1566">
        <v>2022</v>
      </c>
      <c r="R1566" t="s">
        <v>551</v>
      </c>
      <c r="S1566" t="s">
        <v>552</v>
      </c>
      <c r="T1566" t="s">
        <v>553</v>
      </c>
      <c r="U1566" t="b">
        <v>0</v>
      </c>
      <c r="V1566" t="s">
        <v>950</v>
      </c>
      <c r="W1566" t="s">
        <v>555</v>
      </c>
      <c r="X1566" t="s">
        <v>556</v>
      </c>
      <c r="Y1566" t="s">
        <v>472</v>
      </c>
      <c r="Z1566" t="s">
        <v>491</v>
      </c>
      <c r="AA1566" t="s">
        <v>951</v>
      </c>
      <c r="AC1566">
        <v>1</v>
      </c>
      <c r="AD1566" t="s">
        <v>564</v>
      </c>
      <c r="AE1566">
        <v>22762.169099999999</v>
      </c>
      <c r="AF1566" t="s">
        <v>559</v>
      </c>
      <c r="AG1566" t="s">
        <v>560</v>
      </c>
      <c r="AH1566">
        <v>1</v>
      </c>
      <c r="AI1566">
        <v>57321</v>
      </c>
      <c r="AJ1566" t="s">
        <v>561</v>
      </c>
      <c r="AK1566" t="s">
        <v>562</v>
      </c>
      <c r="AL1566" t="s">
        <v>563</v>
      </c>
      <c r="AM1566">
        <v>2022</v>
      </c>
      <c r="AN1566">
        <v>2020</v>
      </c>
      <c r="AO1566">
        <f>IF(AND(emissions[[#This Row],[Market-based]]=0,emissions[[#This Row],[Impact Type]]="CO2E"),emissions[[#This Row],[kgCO2e]],0)/1000</f>
        <v>0</v>
      </c>
      <c r="AP1566">
        <f>IF(AND(emissions[[#This Row],[Market-based]]=1,OR(emissions[[#This Row],[Impact Type]]="CO2E",emissions[[#This Row],[Impact Type]]="CO2E MKT")),emissions[[#This Row],[kgCO2e]],0)/1000</f>
        <v>0</v>
      </c>
      <c r="AQ1566" t="str">
        <f>_xlfn.TEXTAFTER(emissions[[#This Row],[Reporting Unit]]," &gt; ",LEN(emissions[[#This Row],[Reporting Unit]])-LEN(SUBSTITUTE(emissions[[#This Row],[Reporting Unit]],"&gt;","")))</f>
        <v>Vantage_Tlalnepantla de Baz</v>
      </c>
      <c r="AR1566" t="str">
        <f>_xlfn.XLOOKUP(emissions[[#This Row],[Reporting unit name]],hierarchy!$A:$A,hierarchy!$C:$C)</f>
        <v>Warehouse</v>
      </c>
    </row>
    <row r="1567" spans="1:44" hidden="1" x14ac:dyDescent="0.25">
      <c r="A1567">
        <v>237718</v>
      </c>
      <c r="B1567" t="s">
        <v>299</v>
      </c>
      <c r="C1567" t="s">
        <v>493</v>
      </c>
      <c r="D1567" t="s">
        <v>548</v>
      </c>
      <c r="E1567" s="3">
        <v>44562</v>
      </c>
      <c r="F1567" s="3">
        <v>44926</v>
      </c>
      <c r="G1567" t="s">
        <v>108</v>
      </c>
      <c r="H1567" s="3">
        <v>44562</v>
      </c>
      <c r="I1567" s="3">
        <v>44926</v>
      </c>
      <c r="J1567" t="s">
        <v>108</v>
      </c>
      <c r="K1567">
        <v>57321</v>
      </c>
      <c r="L1567" t="s">
        <v>109</v>
      </c>
      <c r="M1567" t="s">
        <v>110</v>
      </c>
      <c r="O1567" t="s">
        <v>949</v>
      </c>
      <c r="P1567" t="s">
        <v>550</v>
      </c>
      <c r="Q1567">
        <v>2022</v>
      </c>
      <c r="R1567" t="s">
        <v>551</v>
      </c>
      <c r="S1567" t="s">
        <v>552</v>
      </c>
      <c r="T1567" t="s">
        <v>553</v>
      </c>
      <c r="U1567" t="b">
        <v>0</v>
      </c>
      <c r="V1567" t="s">
        <v>950</v>
      </c>
      <c r="W1567" t="s">
        <v>555</v>
      </c>
      <c r="X1567" t="s">
        <v>556</v>
      </c>
      <c r="Y1567" t="s">
        <v>472</v>
      </c>
      <c r="Z1567" t="s">
        <v>491</v>
      </c>
      <c r="AA1567" t="s">
        <v>951</v>
      </c>
      <c r="AC1567">
        <v>1</v>
      </c>
      <c r="AD1567" t="s">
        <v>565</v>
      </c>
      <c r="AE1567">
        <v>22825.2222</v>
      </c>
      <c r="AF1567" t="s">
        <v>559</v>
      </c>
      <c r="AG1567" t="s">
        <v>560</v>
      </c>
      <c r="AH1567">
        <v>1</v>
      </c>
      <c r="AI1567">
        <v>57321</v>
      </c>
      <c r="AJ1567" t="s">
        <v>561</v>
      </c>
      <c r="AK1567" t="s">
        <v>562</v>
      </c>
      <c r="AL1567" t="s">
        <v>563</v>
      </c>
      <c r="AM1567">
        <v>2022</v>
      </c>
      <c r="AN1567">
        <v>2020</v>
      </c>
      <c r="AO1567">
        <f>IF(AND(emissions[[#This Row],[Market-based]]=0,emissions[[#This Row],[Impact Type]]="CO2E"),emissions[[#This Row],[kgCO2e]],0)/1000</f>
        <v>0</v>
      </c>
      <c r="AP1567">
        <f>IF(AND(emissions[[#This Row],[Market-based]]=1,OR(emissions[[#This Row],[Impact Type]]="CO2E",emissions[[#This Row],[Impact Type]]="CO2E MKT")),emissions[[#This Row],[kgCO2e]],0)/1000</f>
        <v>22.825222199999999</v>
      </c>
      <c r="AQ1567" t="str">
        <f>_xlfn.TEXTAFTER(emissions[[#This Row],[Reporting Unit]]," &gt; ",LEN(emissions[[#This Row],[Reporting Unit]])-LEN(SUBSTITUTE(emissions[[#This Row],[Reporting Unit]],"&gt;","")))</f>
        <v>Vantage_Tlalnepantla de Baz</v>
      </c>
      <c r="AR1567" t="str">
        <f>_xlfn.XLOOKUP(emissions[[#This Row],[Reporting unit name]],hierarchy!$A:$A,hierarchy!$C:$C)</f>
        <v>Warehouse</v>
      </c>
    </row>
    <row r="1568" spans="1:44" hidden="1" x14ac:dyDescent="0.25">
      <c r="A1568">
        <v>237718</v>
      </c>
      <c r="B1568" t="s">
        <v>299</v>
      </c>
      <c r="C1568" t="s">
        <v>493</v>
      </c>
      <c r="D1568" t="s">
        <v>548</v>
      </c>
      <c r="E1568" s="3">
        <v>44562</v>
      </c>
      <c r="F1568" s="3">
        <v>44926</v>
      </c>
      <c r="G1568" t="s">
        <v>108</v>
      </c>
      <c r="H1568" s="3">
        <v>44562</v>
      </c>
      <c r="I1568" s="3">
        <v>44926</v>
      </c>
      <c r="J1568" t="s">
        <v>108</v>
      </c>
      <c r="K1568">
        <v>57321</v>
      </c>
      <c r="L1568" t="s">
        <v>109</v>
      </c>
      <c r="M1568" t="s">
        <v>110</v>
      </c>
      <c r="O1568" t="s">
        <v>949</v>
      </c>
      <c r="P1568" t="s">
        <v>550</v>
      </c>
      <c r="Q1568">
        <v>2022</v>
      </c>
      <c r="R1568" t="s">
        <v>551</v>
      </c>
      <c r="S1568" t="s">
        <v>552</v>
      </c>
      <c r="T1568" t="s">
        <v>553</v>
      </c>
      <c r="U1568" t="b">
        <v>0</v>
      </c>
      <c r="V1568" t="s">
        <v>950</v>
      </c>
      <c r="W1568" t="s">
        <v>555</v>
      </c>
      <c r="X1568" t="s">
        <v>556</v>
      </c>
      <c r="Y1568" t="s">
        <v>472</v>
      </c>
      <c r="Z1568" t="s">
        <v>491</v>
      </c>
      <c r="AA1568" t="s">
        <v>951</v>
      </c>
      <c r="AC1568">
        <v>1</v>
      </c>
      <c r="AD1568" t="s">
        <v>566</v>
      </c>
      <c r="AE1568">
        <v>45.8568</v>
      </c>
      <c r="AF1568" t="s">
        <v>559</v>
      </c>
      <c r="AG1568" t="s">
        <v>560</v>
      </c>
      <c r="AH1568">
        <v>1</v>
      </c>
      <c r="AI1568">
        <v>57321</v>
      </c>
      <c r="AJ1568" t="s">
        <v>561</v>
      </c>
      <c r="AK1568" t="s">
        <v>562</v>
      </c>
      <c r="AL1568" t="s">
        <v>563</v>
      </c>
      <c r="AM1568">
        <v>2022</v>
      </c>
      <c r="AN1568">
        <v>2020</v>
      </c>
      <c r="AO1568">
        <f>IF(AND(emissions[[#This Row],[Market-based]]=0,emissions[[#This Row],[Impact Type]]="CO2E"),emissions[[#This Row],[kgCO2e]],0)/1000</f>
        <v>0</v>
      </c>
      <c r="AP1568">
        <f>IF(AND(emissions[[#This Row],[Market-based]]=1,OR(emissions[[#This Row],[Impact Type]]="CO2E",emissions[[#This Row],[Impact Type]]="CO2E MKT")),emissions[[#This Row],[kgCO2e]],0)/1000</f>
        <v>0</v>
      </c>
      <c r="AQ1568" t="str">
        <f>_xlfn.TEXTAFTER(emissions[[#This Row],[Reporting Unit]]," &gt; ",LEN(emissions[[#This Row],[Reporting Unit]])-LEN(SUBSTITUTE(emissions[[#This Row],[Reporting Unit]],"&gt;","")))</f>
        <v>Vantage_Tlalnepantla de Baz</v>
      </c>
      <c r="AR1568" t="str">
        <f>_xlfn.XLOOKUP(emissions[[#This Row],[Reporting unit name]],hierarchy!$A:$A,hierarchy!$C:$C)</f>
        <v>Warehouse</v>
      </c>
    </row>
    <row r="1569" spans="1:44" hidden="1" x14ac:dyDescent="0.25">
      <c r="A1569">
        <v>237718</v>
      </c>
      <c r="B1569" t="s">
        <v>299</v>
      </c>
      <c r="C1569" t="s">
        <v>493</v>
      </c>
      <c r="D1569" t="s">
        <v>548</v>
      </c>
      <c r="E1569" s="3">
        <v>44562</v>
      </c>
      <c r="F1569" s="3">
        <v>44926</v>
      </c>
      <c r="G1569" t="s">
        <v>108</v>
      </c>
      <c r="H1569" s="3">
        <v>44562</v>
      </c>
      <c r="I1569" s="3">
        <v>44926</v>
      </c>
      <c r="J1569" t="s">
        <v>108</v>
      </c>
      <c r="K1569">
        <v>57321</v>
      </c>
      <c r="L1569" t="s">
        <v>109</v>
      </c>
      <c r="M1569" t="s">
        <v>110</v>
      </c>
      <c r="O1569" t="s">
        <v>949</v>
      </c>
      <c r="P1569" t="s">
        <v>550</v>
      </c>
      <c r="Q1569">
        <v>2022</v>
      </c>
      <c r="R1569" t="s">
        <v>567</v>
      </c>
      <c r="S1569" t="s">
        <v>568</v>
      </c>
      <c r="T1569" t="s">
        <v>569</v>
      </c>
      <c r="U1569" t="b">
        <v>0</v>
      </c>
      <c r="V1569" t="s">
        <v>952</v>
      </c>
      <c r="W1569" t="s">
        <v>571</v>
      </c>
      <c r="X1569" t="s">
        <v>572</v>
      </c>
      <c r="Y1569" t="s">
        <v>472</v>
      </c>
      <c r="Z1569" t="s">
        <v>491</v>
      </c>
      <c r="AA1569" t="s">
        <v>951</v>
      </c>
      <c r="AC1569">
        <v>0</v>
      </c>
      <c r="AD1569" t="s">
        <v>565</v>
      </c>
      <c r="AE1569">
        <v>657.08282159999999</v>
      </c>
      <c r="AF1569">
        <v>1.1463213E-2</v>
      </c>
      <c r="AG1569" t="s">
        <v>560</v>
      </c>
      <c r="AH1569">
        <v>1</v>
      </c>
      <c r="AI1569">
        <v>57321</v>
      </c>
      <c r="AJ1569" t="s">
        <v>561</v>
      </c>
      <c r="AK1569" t="s">
        <v>573</v>
      </c>
      <c r="AL1569" t="s">
        <v>574</v>
      </c>
      <c r="AM1569">
        <v>2022</v>
      </c>
      <c r="AN1569">
        <v>2020</v>
      </c>
      <c r="AO1569">
        <f>IF(AND(emissions[[#This Row],[Market-based]]=0,emissions[[#This Row],[Impact Type]]="CO2E"),emissions[[#This Row],[kgCO2e]],0)/1000</f>
        <v>0.65708282159999998</v>
      </c>
      <c r="AP1569">
        <f>IF(AND(emissions[[#This Row],[Market-based]]=1,OR(emissions[[#This Row],[Impact Type]]="CO2E",emissions[[#This Row],[Impact Type]]="CO2E MKT")),emissions[[#This Row],[kgCO2e]],0)/1000</f>
        <v>0</v>
      </c>
      <c r="AQ1569" t="str">
        <f>_xlfn.TEXTAFTER(emissions[[#This Row],[Reporting Unit]]," &gt; ",LEN(emissions[[#This Row],[Reporting Unit]])-LEN(SUBSTITUTE(emissions[[#This Row],[Reporting Unit]],"&gt;","")))</f>
        <v>Vantage_Tlalnepantla de Baz</v>
      </c>
      <c r="AR1569" t="str">
        <f>_xlfn.XLOOKUP(emissions[[#This Row],[Reporting unit name]],hierarchy!$A:$A,hierarchy!$C:$C)</f>
        <v>Warehouse</v>
      </c>
    </row>
    <row r="1570" spans="1:44" hidden="1" x14ac:dyDescent="0.25">
      <c r="A1570">
        <v>237718</v>
      </c>
      <c r="B1570" t="s">
        <v>299</v>
      </c>
      <c r="C1570" t="s">
        <v>493</v>
      </c>
      <c r="D1570" t="s">
        <v>548</v>
      </c>
      <c r="E1570" s="3">
        <v>44562</v>
      </c>
      <c r="F1570" s="3">
        <v>44926</v>
      </c>
      <c r="G1570" t="s">
        <v>108</v>
      </c>
      <c r="H1570" s="3">
        <v>44562</v>
      </c>
      <c r="I1570" s="3">
        <v>44926</v>
      </c>
      <c r="J1570" t="s">
        <v>108</v>
      </c>
      <c r="K1570">
        <v>57321</v>
      </c>
      <c r="L1570" t="s">
        <v>109</v>
      </c>
      <c r="M1570" t="s">
        <v>110</v>
      </c>
      <c r="O1570" t="s">
        <v>949</v>
      </c>
      <c r="P1570" t="s">
        <v>550</v>
      </c>
      <c r="Q1570">
        <v>2022</v>
      </c>
      <c r="R1570" t="s">
        <v>567</v>
      </c>
      <c r="S1570" t="s">
        <v>568</v>
      </c>
      <c r="T1570" t="s">
        <v>569</v>
      </c>
      <c r="U1570" t="b">
        <v>0</v>
      </c>
      <c r="V1570" t="s">
        <v>952</v>
      </c>
      <c r="W1570" t="s">
        <v>571</v>
      </c>
      <c r="X1570" t="s">
        <v>572</v>
      </c>
      <c r="Y1570" t="s">
        <v>472</v>
      </c>
      <c r="Z1570" t="s">
        <v>491</v>
      </c>
      <c r="AA1570" t="s">
        <v>951</v>
      </c>
      <c r="AC1570">
        <v>1</v>
      </c>
      <c r="AD1570" t="s">
        <v>565</v>
      </c>
      <c r="AE1570">
        <v>657.08282159999999</v>
      </c>
      <c r="AF1570">
        <v>1.1463213E-2</v>
      </c>
      <c r="AG1570" t="s">
        <v>560</v>
      </c>
      <c r="AH1570">
        <v>1</v>
      </c>
      <c r="AI1570">
        <v>57321</v>
      </c>
      <c r="AJ1570" t="s">
        <v>561</v>
      </c>
      <c r="AK1570" t="s">
        <v>573</v>
      </c>
      <c r="AL1570" t="s">
        <v>574</v>
      </c>
      <c r="AM1570">
        <v>2022</v>
      </c>
      <c r="AN1570">
        <v>2020</v>
      </c>
      <c r="AO1570">
        <f>IF(AND(emissions[[#This Row],[Market-based]]=0,emissions[[#This Row],[Impact Type]]="CO2E"),emissions[[#This Row],[kgCO2e]],0)/1000</f>
        <v>0</v>
      </c>
      <c r="AP1570">
        <f>IF(AND(emissions[[#This Row],[Market-based]]=1,OR(emissions[[#This Row],[Impact Type]]="CO2E",emissions[[#This Row],[Impact Type]]="CO2E MKT")),emissions[[#This Row],[kgCO2e]],0)/1000</f>
        <v>0.65708282159999998</v>
      </c>
      <c r="AQ1570" t="str">
        <f>_xlfn.TEXTAFTER(emissions[[#This Row],[Reporting Unit]]," &gt; ",LEN(emissions[[#This Row],[Reporting Unit]])-LEN(SUBSTITUTE(emissions[[#This Row],[Reporting Unit]],"&gt;","")))</f>
        <v>Vantage_Tlalnepantla de Baz</v>
      </c>
      <c r="AR1570" t="str">
        <f>_xlfn.XLOOKUP(emissions[[#This Row],[Reporting unit name]],hierarchy!$A:$A,hierarchy!$C:$C)</f>
        <v>Warehouse</v>
      </c>
    </row>
    <row r="1571" spans="1:44" hidden="1" x14ac:dyDescent="0.25">
      <c r="A1571">
        <v>237718</v>
      </c>
      <c r="B1571" t="s">
        <v>299</v>
      </c>
      <c r="C1571" t="s">
        <v>493</v>
      </c>
      <c r="D1571" t="s">
        <v>548</v>
      </c>
      <c r="E1571" s="3">
        <v>44562</v>
      </c>
      <c r="F1571" s="3">
        <v>44926</v>
      </c>
      <c r="G1571" t="s">
        <v>108</v>
      </c>
      <c r="H1571" s="3">
        <v>44562</v>
      </c>
      <c r="I1571" s="3">
        <v>44926</v>
      </c>
      <c r="J1571" t="s">
        <v>108</v>
      </c>
      <c r="K1571">
        <v>57321</v>
      </c>
      <c r="L1571" t="s">
        <v>109</v>
      </c>
      <c r="M1571" t="s">
        <v>110</v>
      </c>
      <c r="O1571" t="s">
        <v>949</v>
      </c>
      <c r="P1571" t="s">
        <v>550</v>
      </c>
      <c r="Q1571">
        <v>2022</v>
      </c>
      <c r="R1571" t="s">
        <v>575</v>
      </c>
      <c r="S1571" t="s">
        <v>576</v>
      </c>
      <c r="T1571" t="s">
        <v>577</v>
      </c>
      <c r="U1571" t="b">
        <v>0</v>
      </c>
      <c r="V1571" t="s">
        <v>953</v>
      </c>
      <c r="W1571" t="s">
        <v>571</v>
      </c>
      <c r="X1571" t="s">
        <v>572</v>
      </c>
      <c r="Y1571" t="s">
        <v>472</v>
      </c>
      <c r="Z1571" t="s">
        <v>491</v>
      </c>
      <c r="AA1571" t="s">
        <v>951</v>
      </c>
      <c r="AC1571">
        <v>0</v>
      </c>
      <c r="AD1571" t="s">
        <v>565</v>
      </c>
      <c r="AE1571">
        <v>5675.7132229999997</v>
      </c>
      <c r="AF1571">
        <v>9.9016298000000003E-2</v>
      </c>
      <c r="AG1571" t="s">
        <v>560</v>
      </c>
      <c r="AH1571">
        <v>1</v>
      </c>
      <c r="AI1571">
        <v>57321</v>
      </c>
      <c r="AJ1571" t="s">
        <v>561</v>
      </c>
      <c r="AK1571" t="s">
        <v>573</v>
      </c>
      <c r="AL1571" t="s">
        <v>574</v>
      </c>
      <c r="AM1571">
        <v>2022</v>
      </c>
      <c r="AN1571">
        <v>2020</v>
      </c>
      <c r="AO1571">
        <f>IF(AND(emissions[[#This Row],[Market-based]]=0,emissions[[#This Row],[Impact Type]]="CO2E"),emissions[[#This Row],[kgCO2e]],0)/1000</f>
        <v>5.6757132229999998</v>
      </c>
      <c r="AP1571">
        <f>IF(AND(emissions[[#This Row],[Market-based]]=1,OR(emissions[[#This Row],[Impact Type]]="CO2E",emissions[[#This Row],[Impact Type]]="CO2E MKT")),emissions[[#This Row],[kgCO2e]],0)/1000</f>
        <v>0</v>
      </c>
      <c r="AQ1571" t="str">
        <f>_xlfn.TEXTAFTER(emissions[[#This Row],[Reporting Unit]]," &gt; ",LEN(emissions[[#This Row],[Reporting Unit]])-LEN(SUBSTITUTE(emissions[[#This Row],[Reporting Unit]],"&gt;","")))</f>
        <v>Vantage_Tlalnepantla de Baz</v>
      </c>
      <c r="AR1571" t="str">
        <f>_xlfn.XLOOKUP(emissions[[#This Row],[Reporting unit name]],hierarchy!$A:$A,hierarchy!$C:$C)</f>
        <v>Warehouse</v>
      </c>
    </row>
    <row r="1572" spans="1:44" hidden="1" x14ac:dyDescent="0.25">
      <c r="A1572">
        <v>237718</v>
      </c>
      <c r="B1572" t="s">
        <v>299</v>
      </c>
      <c r="C1572" t="s">
        <v>493</v>
      </c>
      <c r="D1572" t="s">
        <v>548</v>
      </c>
      <c r="E1572" s="3">
        <v>44562</v>
      </c>
      <c r="F1572" s="3">
        <v>44926</v>
      </c>
      <c r="G1572" t="s">
        <v>108</v>
      </c>
      <c r="H1572" s="3">
        <v>44562</v>
      </c>
      <c r="I1572" s="3">
        <v>44926</v>
      </c>
      <c r="J1572" t="s">
        <v>108</v>
      </c>
      <c r="K1572">
        <v>57321</v>
      </c>
      <c r="L1572" t="s">
        <v>109</v>
      </c>
      <c r="M1572" t="s">
        <v>110</v>
      </c>
      <c r="O1572" t="s">
        <v>949</v>
      </c>
      <c r="P1572" t="s">
        <v>550</v>
      </c>
      <c r="Q1572">
        <v>2022</v>
      </c>
      <c r="R1572" t="s">
        <v>575</v>
      </c>
      <c r="S1572" t="s">
        <v>576</v>
      </c>
      <c r="T1572" t="s">
        <v>577</v>
      </c>
      <c r="U1572" t="b">
        <v>0</v>
      </c>
      <c r="V1572" t="s">
        <v>953</v>
      </c>
      <c r="W1572" t="s">
        <v>571</v>
      </c>
      <c r="X1572" t="s">
        <v>572</v>
      </c>
      <c r="Y1572" t="s">
        <v>472</v>
      </c>
      <c r="Z1572" t="s">
        <v>491</v>
      </c>
      <c r="AA1572" t="s">
        <v>951</v>
      </c>
      <c r="AC1572">
        <v>1</v>
      </c>
      <c r="AD1572" t="s">
        <v>565</v>
      </c>
      <c r="AE1572">
        <v>5675.7132229999997</v>
      </c>
      <c r="AF1572">
        <v>9.9016298000000003E-2</v>
      </c>
      <c r="AG1572" t="s">
        <v>560</v>
      </c>
      <c r="AH1572">
        <v>1</v>
      </c>
      <c r="AI1572">
        <v>57321</v>
      </c>
      <c r="AJ1572" t="s">
        <v>561</v>
      </c>
      <c r="AK1572" t="s">
        <v>573</v>
      </c>
      <c r="AL1572" t="s">
        <v>574</v>
      </c>
      <c r="AM1572">
        <v>2022</v>
      </c>
      <c r="AN1572">
        <v>2020</v>
      </c>
      <c r="AO1572">
        <f>IF(AND(emissions[[#This Row],[Market-based]]=0,emissions[[#This Row],[Impact Type]]="CO2E"),emissions[[#This Row],[kgCO2e]],0)/1000</f>
        <v>0</v>
      </c>
      <c r="AP1572">
        <f>IF(AND(emissions[[#This Row],[Market-based]]=1,OR(emissions[[#This Row],[Impact Type]]="CO2E",emissions[[#This Row],[Impact Type]]="CO2E MKT")),emissions[[#This Row],[kgCO2e]],0)/1000</f>
        <v>5.6757132229999998</v>
      </c>
      <c r="AQ1572" t="str">
        <f>_xlfn.TEXTAFTER(emissions[[#This Row],[Reporting Unit]]," &gt; ",LEN(emissions[[#This Row],[Reporting Unit]])-LEN(SUBSTITUTE(emissions[[#This Row],[Reporting Unit]],"&gt;","")))</f>
        <v>Vantage_Tlalnepantla de Baz</v>
      </c>
      <c r="AR1572" t="str">
        <f>_xlfn.XLOOKUP(emissions[[#This Row],[Reporting unit name]],hierarchy!$A:$A,hierarchy!$C:$C)</f>
        <v>Warehouse</v>
      </c>
    </row>
    <row r="1573" spans="1:44" hidden="1" x14ac:dyDescent="0.25">
      <c r="A1573">
        <v>237718</v>
      </c>
      <c r="B1573" t="s">
        <v>299</v>
      </c>
      <c r="C1573" t="s">
        <v>493</v>
      </c>
      <c r="D1573" t="s">
        <v>548</v>
      </c>
      <c r="E1573" s="3">
        <v>44562</v>
      </c>
      <c r="F1573" s="3">
        <v>44926</v>
      </c>
      <c r="G1573" t="s">
        <v>108</v>
      </c>
      <c r="H1573" s="3">
        <v>44562</v>
      </c>
      <c r="I1573" s="3">
        <v>44926</v>
      </c>
      <c r="J1573" t="s">
        <v>108</v>
      </c>
      <c r="K1573">
        <v>57321</v>
      </c>
      <c r="L1573" t="s">
        <v>109</v>
      </c>
      <c r="M1573" t="s">
        <v>110</v>
      </c>
      <c r="O1573" t="s">
        <v>949</v>
      </c>
      <c r="P1573" t="s">
        <v>550</v>
      </c>
      <c r="Q1573">
        <v>2022</v>
      </c>
      <c r="R1573" t="s">
        <v>579</v>
      </c>
      <c r="S1573" t="s">
        <v>580</v>
      </c>
      <c r="T1573" t="s">
        <v>581</v>
      </c>
      <c r="U1573" t="b">
        <v>0</v>
      </c>
      <c r="V1573" t="s">
        <v>954</v>
      </c>
      <c r="W1573" t="s">
        <v>571</v>
      </c>
      <c r="X1573" t="s">
        <v>572</v>
      </c>
      <c r="Y1573" t="s">
        <v>472</v>
      </c>
      <c r="Z1573" t="s">
        <v>491</v>
      </c>
      <c r="AA1573" t="s">
        <v>951</v>
      </c>
      <c r="AC1573">
        <v>0</v>
      </c>
      <c r="AD1573" t="s">
        <v>565</v>
      </c>
      <c r="AE1573">
        <v>2642.4980999999998</v>
      </c>
      <c r="AF1573" t="s">
        <v>559</v>
      </c>
      <c r="AG1573" t="s">
        <v>560</v>
      </c>
      <c r="AH1573">
        <v>1</v>
      </c>
      <c r="AI1573">
        <v>57321</v>
      </c>
      <c r="AJ1573" t="s">
        <v>561</v>
      </c>
      <c r="AK1573" t="s">
        <v>562</v>
      </c>
      <c r="AL1573" t="s">
        <v>563</v>
      </c>
      <c r="AM1573">
        <v>2022</v>
      </c>
      <c r="AN1573">
        <v>2020</v>
      </c>
      <c r="AO1573">
        <f>IF(AND(emissions[[#This Row],[Market-based]]=0,emissions[[#This Row],[Impact Type]]="CO2E"),emissions[[#This Row],[kgCO2e]],0)/1000</f>
        <v>2.6424980999999996</v>
      </c>
      <c r="AP1573">
        <f>IF(AND(emissions[[#This Row],[Market-based]]=1,OR(emissions[[#This Row],[Impact Type]]="CO2E",emissions[[#This Row],[Impact Type]]="CO2E MKT")),emissions[[#This Row],[kgCO2e]],0)/1000</f>
        <v>0</v>
      </c>
      <c r="AQ1573" t="str">
        <f>_xlfn.TEXTAFTER(emissions[[#This Row],[Reporting Unit]]," &gt; ",LEN(emissions[[#This Row],[Reporting Unit]])-LEN(SUBSTITUTE(emissions[[#This Row],[Reporting Unit]],"&gt;","")))</f>
        <v>Vantage_Tlalnepantla de Baz</v>
      </c>
      <c r="AR1573" t="str">
        <f>_xlfn.XLOOKUP(emissions[[#This Row],[Reporting unit name]],hierarchy!$A:$A,hierarchy!$C:$C)</f>
        <v>Warehouse</v>
      </c>
    </row>
    <row r="1574" spans="1:44" hidden="1" x14ac:dyDescent="0.25">
      <c r="A1574">
        <v>237718</v>
      </c>
      <c r="B1574" t="s">
        <v>299</v>
      </c>
      <c r="C1574" t="s">
        <v>493</v>
      </c>
      <c r="D1574" t="s">
        <v>548</v>
      </c>
      <c r="E1574" s="3">
        <v>44562</v>
      </c>
      <c r="F1574" s="3">
        <v>44926</v>
      </c>
      <c r="G1574" t="s">
        <v>108</v>
      </c>
      <c r="H1574" s="3">
        <v>44562</v>
      </c>
      <c r="I1574" s="3">
        <v>44926</v>
      </c>
      <c r="J1574" t="s">
        <v>108</v>
      </c>
      <c r="K1574">
        <v>57321</v>
      </c>
      <c r="L1574" t="s">
        <v>109</v>
      </c>
      <c r="M1574" t="s">
        <v>110</v>
      </c>
      <c r="O1574" t="s">
        <v>949</v>
      </c>
      <c r="P1574" t="s">
        <v>550</v>
      </c>
      <c r="Q1574">
        <v>2022</v>
      </c>
      <c r="R1574" t="s">
        <v>579</v>
      </c>
      <c r="S1574" t="s">
        <v>580</v>
      </c>
      <c r="T1574" t="s">
        <v>581</v>
      </c>
      <c r="U1574" t="b">
        <v>0</v>
      </c>
      <c r="V1574" t="s">
        <v>954</v>
      </c>
      <c r="W1574" t="s">
        <v>571</v>
      </c>
      <c r="X1574" t="s">
        <v>572</v>
      </c>
      <c r="Y1574" t="s">
        <v>472</v>
      </c>
      <c r="Z1574" t="s">
        <v>491</v>
      </c>
      <c r="AA1574" t="s">
        <v>951</v>
      </c>
      <c r="AC1574">
        <v>1</v>
      </c>
      <c r="AD1574" t="s">
        <v>565</v>
      </c>
      <c r="AE1574">
        <v>2642.4980999999998</v>
      </c>
      <c r="AF1574" t="s">
        <v>559</v>
      </c>
      <c r="AG1574" t="s">
        <v>560</v>
      </c>
      <c r="AH1574">
        <v>1</v>
      </c>
      <c r="AI1574">
        <v>57321</v>
      </c>
      <c r="AJ1574" t="s">
        <v>561</v>
      </c>
      <c r="AK1574" t="s">
        <v>562</v>
      </c>
      <c r="AL1574" t="s">
        <v>563</v>
      </c>
      <c r="AM1574">
        <v>2022</v>
      </c>
      <c r="AN1574">
        <v>2020</v>
      </c>
      <c r="AO1574">
        <f>IF(AND(emissions[[#This Row],[Market-based]]=0,emissions[[#This Row],[Impact Type]]="CO2E"),emissions[[#This Row],[kgCO2e]],0)/1000</f>
        <v>0</v>
      </c>
      <c r="AP1574">
        <f>IF(AND(emissions[[#This Row],[Market-based]]=1,OR(emissions[[#This Row],[Impact Type]]="CO2E",emissions[[#This Row],[Impact Type]]="CO2E MKT")),emissions[[#This Row],[kgCO2e]],0)/1000</f>
        <v>2.6424980999999996</v>
      </c>
      <c r="AQ1574" t="str">
        <f>_xlfn.TEXTAFTER(emissions[[#This Row],[Reporting Unit]]," &gt; ",LEN(emissions[[#This Row],[Reporting Unit]])-LEN(SUBSTITUTE(emissions[[#This Row],[Reporting Unit]],"&gt;","")))</f>
        <v>Vantage_Tlalnepantla de Baz</v>
      </c>
      <c r="AR1574" t="str">
        <f>_xlfn.XLOOKUP(emissions[[#This Row],[Reporting unit name]],hierarchy!$A:$A,hierarchy!$C:$C)</f>
        <v>Warehouse</v>
      </c>
    </row>
    <row r="1575" spans="1:44" hidden="1" x14ac:dyDescent="0.25">
      <c r="A1575">
        <v>237720</v>
      </c>
      <c r="B1575" t="s">
        <v>299</v>
      </c>
      <c r="C1575" t="s">
        <v>493</v>
      </c>
      <c r="D1575" t="s">
        <v>548</v>
      </c>
      <c r="E1575" s="3">
        <v>44562</v>
      </c>
      <c r="F1575" s="3">
        <v>44926</v>
      </c>
      <c r="G1575" t="s">
        <v>135</v>
      </c>
      <c r="H1575" s="3">
        <v>44562</v>
      </c>
      <c r="I1575" s="3">
        <v>44926</v>
      </c>
      <c r="J1575" t="s">
        <v>135</v>
      </c>
      <c r="K1575">
        <v>0</v>
      </c>
      <c r="L1575" t="s">
        <v>143</v>
      </c>
      <c r="M1575" t="s">
        <v>110</v>
      </c>
      <c r="O1575" t="s">
        <v>955</v>
      </c>
      <c r="P1575" t="s">
        <v>550</v>
      </c>
      <c r="Q1575">
        <v>2022</v>
      </c>
      <c r="R1575" t="s">
        <v>605</v>
      </c>
      <c r="S1575" t="s">
        <v>606</v>
      </c>
      <c r="T1575" t="s">
        <v>553</v>
      </c>
      <c r="U1575" t="b">
        <v>0</v>
      </c>
      <c r="V1575" t="s">
        <v>781</v>
      </c>
      <c r="W1575" t="s">
        <v>587</v>
      </c>
      <c r="X1575" t="s">
        <v>556</v>
      </c>
      <c r="Y1575" t="s">
        <v>472</v>
      </c>
      <c r="AC1575">
        <v>0</v>
      </c>
      <c r="AD1575" t="s">
        <v>558</v>
      </c>
      <c r="AE1575">
        <v>0</v>
      </c>
      <c r="AF1575">
        <v>2.5749999999999999E-5</v>
      </c>
      <c r="AG1575" t="s">
        <v>782</v>
      </c>
      <c r="AH1575">
        <v>3.5314720000000001E-2</v>
      </c>
      <c r="AI1575">
        <v>0</v>
      </c>
      <c r="AJ1575" t="s">
        <v>561</v>
      </c>
      <c r="AK1575" t="s">
        <v>766</v>
      </c>
      <c r="AL1575" t="s">
        <v>767</v>
      </c>
      <c r="AM1575">
        <v>2022</v>
      </c>
      <c r="AN1575">
        <v>2022</v>
      </c>
      <c r="AO1575">
        <f>IF(AND(emissions[[#This Row],[Market-based]]=0,emissions[[#This Row],[Impact Type]]="CO2E"),emissions[[#This Row],[kgCO2e]],0)/1000</f>
        <v>0</v>
      </c>
      <c r="AP1575">
        <f>IF(AND(emissions[[#This Row],[Market-based]]=1,OR(emissions[[#This Row],[Impact Type]]="CO2E",emissions[[#This Row],[Impact Type]]="CO2E MKT")),emissions[[#This Row],[kgCO2e]],0)/1000</f>
        <v>0</v>
      </c>
      <c r="AQ1575" t="str">
        <f>_xlfn.TEXTAFTER(emissions[[#This Row],[Reporting Unit]]," &gt; ",LEN(emissions[[#This Row],[Reporting Unit]])-LEN(SUBSTITUTE(emissions[[#This Row],[Reporting Unit]],"&gt;","")))</f>
        <v>Vantage_Tlalnepantla de Baz</v>
      </c>
      <c r="AR1575" t="str">
        <f>_xlfn.XLOOKUP(emissions[[#This Row],[Reporting unit name]],hierarchy!$A:$A,hierarchy!$C:$C)</f>
        <v>Warehouse</v>
      </c>
    </row>
    <row r="1576" spans="1:44" hidden="1" x14ac:dyDescent="0.25">
      <c r="A1576">
        <v>237720</v>
      </c>
      <c r="B1576" t="s">
        <v>299</v>
      </c>
      <c r="C1576" t="s">
        <v>493</v>
      </c>
      <c r="D1576" t="s">
        <v>548</v>
      </c>
      <c r="E1576" s="3">
        <v>44562</v>
      </c>
      <c r="F1576" s="3">
        <v>44926</v>
      </c>
      <c r="G1576" t="s">
        <v>135</v>
      </c>
      <c r="H1576" s="3">
        <v>44562</v>
      </c>
      <c r="I1576" s="3">
        <v>44926</v>
      </c>
      <c r="J1576" t="s">
        <v>135</v>
      </c>
      <c r="K1576">
        <v>0</v>
      </c>
      <c r="L1576" t="s">
        <v>143</v>
      </c>
      <c r="M1576" t="s">
        <v>110</v>
      </c>
      <c r="O1576" t="s">
        <v>955</v>
      </c>
      <c r="P1576" t="s">
        <v>550</v>
      </c>
      <c r="Q1576">
        <v>2022</v>
      </c>
      <c r="R1576" t="s">
        <v>605</v>
      </c>
      <c r="S1576" t="s">
        <v>606</v>
      </c>
      <c r="T1576" t="s">
        <v>553</v>
      </c>
      <c r="U1576" t="b">
        <v>0</v>
      </c>
      <c r="V1576" t="s">
        <v>781</v>
      </c>
      <c r="W1576" t="s">
        <v>587</v>
      </c>
      <c r="X1576" t="s">
        <v>556</v>
      </c>
      <c r="Y1576" t="s">
        <v>472</v>
      </c>
      <c r="AC1576">
        <v>0</v>
      </c>
      <c r="AD1576" t="s">
        <v>564</v>
      </c>
      <c r="AE1576">
        <v>0</v>
      </c>
      <c r="AF1576">
        <v>5.4440000000000002E-2</v>
      </c>
      <c r="AG1576" t="s">
        <v>782</v>
      </c>
      <c r="AH1576">
        <v>3.5314720000000001E-2</v>
      </c>
      <c r="AI1576">
        <v>0</v>
      </c>
      <c r="AJ1576" t="s">
        <v>561</v>
      </c>
      <c r="AK1576" t="s">
        <v>766</v>
      </c>
      <c r="AL1576" t="s">
        <v>767</v>
      </c>
      <c r="AM1576">
        <v>2022</v>
      </c>
      <c r="AN1576">
        <v>2022</v>
      </c>
      <c r="AO1576">
        <f>IF(AND(emissions[[#This Row],[Market-based]]=0,emissions[[#This Row],[Impact Type]]="CO2E"),emissions[[#This Row],[kgCO2e]],0)/1000</f>
        <v>0</v>
      </c>
      <c r="AP1576">
        <f>IF(AND(emissions[[#This Row],[Market-based]]=1,OR(emissions[[#This Row],[Impact Type]]="CO2E",emissions[[#This Row],[Impact Type]]="CO2E MKT")),emissions[[#This Row],[kgCO2e]],0)/1000</f>
        <v>0</v>
      </c>
      <c r="AQ1576" t="str">
        <f>_xlfn.TEXTAFTER(emissions[[#This Row],[Reporting Unit]]," &gt; ",LEN(emissions[[#This Row],[Reporting Unit]])-LEN(SUBSTITUTE(emissions[[#This Row],[Reporting Unit]],"&gt;","")))</f>
        <v>Vantage_Tlalnepantla de Baz</v>
      </c>
      <c r="AR1576" t="str">
        <f>_xlfn.XLOOKUP(emissions[[#This Row],[Reporting unit name]],hierarchy!$A:$A,hierarchy!$C:$C)</f>
        <v>Warehouse</v>
      </c>
    </row>
    <row r="1577" spans="1:44" hidden="1" x14ac:dyDescent="0.25">
      <c r="A1577">
        <v>237720</v>
      </c>
      <c r="B1577" t="s">
        <v>299</v>
      </c>
      <c r="C1577" t="s">
        <v>493</v>
      </c>
      <c r="D1577" t="s">
        <v>548</v>
      </c>
      <c r="E1577" s="3">
        <v>44562</v>
      </c>
      <c r="F1577" s="3">
        <v>44926</v>
      </c>
      <c r="G1577" t="s">
        <v>135</v>
      </c>
      <c r="H1577" s="3">
        <v>44562</v>
      </c>
      <c r="I1577" s="3">
        <v>44926</v>
      </c>
      <c r="J1577" t="s">
        <v>135</v>
      </c>
      <c r="K1577">
        <v>0</v>
      </c>
      <c r="L1577" t="s">
        <v>143</v>
      </c>
      <c r="M1577" t="s">
        <v>110</v>
      </c>
      <c r="O1577" t="s">
        <v>955</v>
      </c>
      <c r="P1577" t="s">
        <v>550</v>
      </c>
      <c r="Q1577">
        <v>2022</v>
      </c>
      <c r="R1577" t="s">
        <v>605</v>
      </c>
      <c r="S1577" t="s">
        <v>606</v>
      </c>
      <c r="T1577" t="s">
        <v>553</v>
      </c>
      <c r="U1577" t="b">
        <v>0</v>
      </c>
      <c r="V1577" t="s">
        <v>781</v>
      </c>
      <c r="W1577" t="s">
        <v>587</v>
      </c>
      <c r="X1577" t="s">
        <v>556</v>
      </c>
      <c r="Y1577" t="s">
        <v>472</v>
      </c>
      <c r="AC1577">
        <v>0</v>
      </c>
      <c r="AD1577" t="s">
        <v>565</v>
      </c>
      <c r="AE1577">
        <v>0</v>
      </c>
      <c r="AF1577">
        <v>5.4495549999999997E-2</v>
      </c>
      <c r="AG1577" t="s">
        <v>782</v>
      </c>
      <c r="AH1577">
        <v>3.5314720000000001E-2</v>
      </c>
      <c r="AI1577">
        <v>0</v>
      </c>
      <c r="AJ1577" t="s">
        <v>561</v>
      </c>
      <c r="AK1577" t="s">
        <v>766</v>
      </c>
      <c r="AL1577" t="s">
        <v>767</v>
      </c>
      <c r="AM1577">
        <v>2022</v>
      </c>
      <c r="AN1577">
        <v>2022</v>
      </c>
      <c r="AO1577">
        <f>IF(AND(emissions[[#This Row],[Market-based]]=0,emissions[[#This Row],[Impact Type]]="CO2E"),emissions[[#This Row],[kgCO2e]],0)/1000</f>
        <v>0</v>
      </c>
      <c r="AP1577">
        <f>IF(AND(emissions[[#This Row],[Market-based]]=1,OR(emissions[[#This Row],[Impact Type]]="CO2E",emissions[[#This Row],[Impact Type]]="CO2E MKT")),emissions[[#This Row],[kgCO2e]],0)/1000</f>
        <v>0</v>
      </c>
      <c r="AQ1577" t="str">
        <f>_xlfn.TEXTAFTER(emissions[[#This Row],[Reporting Unit]]," &gt; ",LEN(emissions[[#This Row],[Reporting Unit]])-LEN(SUBSTITUTE(emissions[[#This Row],[Reporting Unit]],"&gt;","")))</f>
        <v>Vantage_Tlalnepantla de Baz</v>
      </c>
      <c r="AR1577" t="str">
        <f>_xlfn.XLOOKUP(emissions[[#This Row],[Reporting unit name]],hierarchy!$A:$A,hierarchy!$C:$C)</f>
        <v>Warehouse</v>
      </c>
    </row>
    <row r="1578" spans="1:44" hidden="1" x14ac:dyDescent="0.25">
      <c r="A1578">
        <v>237720</v>
      </c>
      <c r="B1578" t="s">
        <v>299</v>
      </c>
      <c r="C1578" t="s">
        <v>493</v>
      </c>
      <c r="D1578" t="s">
        <v>548</v>
      </c>
      <c r="E1578" s="3">
        <v>44562</v>
      </c>
      <c r="F1578" s="3">
        <v>44926</v>
      </c>
      <c r="G1578" t="s">
        <v>135</v>
      </c>
      <c r="H1578" s="3">
        <v>44562</v>
      </c>
      <c r="I1578" s="3">
        <v>44926</v>
      </c>
      <c r="J1578" t="s">
        <v>135</v>
      </c>
      <c r="K1578">
        <v>0</v>
      </c>
      <c r="L1578" t="s">
        <v>143</v>
      </c>
      <c r="M1578" t="s">
        <v>110</v>
      </c>
      <c r="O1578" t="s">
        <v>955</v>
      </c>
      <c r="P1578" t="s">
        <v>550</v>
      </c>
      <c r="Q1578">
        <v>2022</v>
      </c>
      <c r="R1578" t="s">
        <v>605</v>
      </c>
      <c r="S1578" t="s">
        <v>606</v>
      </c>
      <c r="T1578" t="s">
        <v>553</v>
      </c>
      <c r="U1578" t="b">
        <v>0</v>
      </c>
      <c r="V1578" t="s">
        <v>781</v>
      </c>
      <c r="W1578" t="s">
        <v>587</v>
      </c>
      <c r="X1578" t="s">
        <v>556</v>
      </c>
      <c r="Y1578" t="s">
        <v>472</v>
      </c>
      <c r="AC1578">
        <v>0</v>
      </c>
      <c r="AD1578" t="s">
        <v>566</v>
      </c>
      <c r="AE1578">
        <v>0</v>
      </c>
      <c r="AF1578">
        <v>2.9799999999999999E-5</v>
      </c>
      <c r="AG1578" t="s">
        <v>782</v>
      </c>
      <c r="AH1578">
        <v>3.5314720000000001E-2</v>
      </c>
      <c r="AI1578">
        <v>0</v>
      </c>
      <c r="AJ1578" t="s">
        <v>561</v>
      </c>
      <c r="AK1578" t="s">
        <v>766</v>
      </c>
      <c r="AL1578" t="s">
        <v>767</v>
      </c>
      <c r="AM1578">
        <v>2022</v>
      </c>
      <c r="AN1578">
        <v>2022</v>
      </c>
      <c r="AO1578">
        <f>IF(AND(emissions[[#This Row],[Market-based]]=0,emissions[[#This Row],[Impact Type]]="CO2E"),emissions[[#This Row],[kgCO2e]],0)/1000</f>
        <v>0</v>
      </c>
      <c r="AP1578">
        <f>IF(AND(emissions[[#This Row],[Market-based]]=1,OR(emissions[[#This Row],[Impact Type]]="CO2E",emissions[[#This Row],[Impact Type]]="CO2E MKT")),emissions[[#This Row],[kgCO2e]],0)/1000</f>
        <v>0</v>
      </c>
      <c r="AQ1578" t="str">
        <f>_xlfn.TEXTAFTER(emissions[[#This Row],[Reporting Unit]]," &gt; ",LEN(emissions[[#This Row],[Reporting Unit]])-LEN(SUBSTITUTE(emissions[[#This Row],[Reporting Unit]],"&gt;","")))</f>
        <v>Vantage_Tlalnepantla de Baz</v>
      </c>
      <c r="AR1578" t="str">
        <f>_xlfn.XLOOKUP(emissions[[#This Row],[Reporting unit name]],hierarchy!$A:$A,hierarchy!$C:$C)</f>
        <v>Warehouse</v>
      </c>
    </row>
    <row r="1579" spans="1:44" hidden="1" x14ac:dyDescent="0.25">
      <c r="A1579">
        <v>237720</v>
      </c>
      <c r="B1579" t="s">
        <v>299</v>
      </c>
      <c r="C1579" t="s">
        <v>493</v>
      </c>
      <c r="D1579" t="s">
        <v>548</v>
      </c>
      <c r="E1579" s="3">
        <v>44562</v>
      </c>
      <c r="F1579" s="3">
        <v>44926</v>
      </c>
      <c r="G1579" t="s">
        <v>135</v>
      </c>
      <c r="H1579" s="3">
        <v>44562</v>
      </c>
      <c r="I1579" s="3">
        <v>44926</v>
      </c>
      <c r="J1579" t="s">
        <v>135</v>
      </c>
      <c r="K1579">
        <v>0</v>
      </c>
      <c r="L1579" t="s">
        <v>143</v>
      </c>
      <c r="M1579" t="s">
        <v>110</v>
      </c>
      <c r="O1579" t="s">
        <v>955</v>
      </c>
      <c r="P1579" t="s">
        <v>550</v>
      </c>
      <c r="Q1579">
        <v>2022</v>
      </c>
      <c r="R1579" t="s">
        <v>605</v>
      </c>
      <c r="S1579" t="s">
        <v>606</v>
      </c>
      <c r="T1579" t="s">
        <v>553</v>
      </c>
      <c r="U1579" t="b">
        <v>0</v>
      </c>
      <c r="V1579" t="s">
        <v>781</v>
      </c>
      <c r="W1579" t="s">
        <v>587</v>
      </c>
      <c r="X1579" t="s">
        <v>556</v>
      </c>
      <c r="Y1579" t="s">
        <v>472</v>
      </c>
      <c r="AC1579">
        <v>1</v>
      </c>
      <c r="AD1579" t="s">
        <v>558</v>
      </c>
      <c r="AE1579">
        <v>0</v>
      </c>
      <c r="AF1579">
        <v>2.5749999999999999E-5</v>
      </c>
      <c r="AG1579" t="s">
        <v>782</v>
      </c>
      <c r="AH1579">
        <v>3.5314720000000001E-2</v>
      </c>
      <c r="AI1579">
        <v>0</v>
      </c>
      <c r="AJ1579" t="s">
        <v>561</v>
      </c>
      <c r="AK1579" t="s">
        <v>766</v>
      </c>
      <c r="AL1579" t="s">
        <v>767</v>
      </c>
      <c r="AM1579">
        <v>2022</v>
      </c>
      <c r="AN1579">
        <v>2022</v>
      </c>
      <c r="AO1579">
        <f>IF(AND(emissions[[#This Row],[Market-based]]=0,emissions[[#This Row],[Impact Type]]="CO2E"),emissions[[#This Row],[kgCO2e]],0)/1000</f>
        <v>0</v>
      </c>
      <c r="AP1579">
        <f>IF(AND(emissions[[#This Row],[Market-based]]=1,OR(emissions[[#This Row],[Impact Type]]="CO2E",emissions[[#This Row],[Impact Type]]="CO2E MKT")),emissions[[#This Row],[kgCO2e]],0)/1000</f>
        <v>0</v>
      </c>
      <c r="AQ1579" t="str">
        <f>_xlfn.TEXTAFTER(emissions[[#This Row],[Reporting Unit]]," &gt; ",LEN(emissions[[#This Row],[Reporting Unit]])-LEN(SUBSTITUTE(emissions[[#This Row],[Reporting Unit]],"&gt;","")))</f>
        <v>Vantage_Tlalnepantla de Baz</v>
      </c>
      <c r="AR1579" t="str">
        <f>_xlfn.XLOOKUP(emissions[[#This Row],[Reporting unit name]],hierarchy!$A:$A,hierarchy!$C:$C)</f>
        <v>Warehouse</v>
      </c>
    </row>
    <row r="1580" spans="1:44" hidden="1" x14ac:dyDescent="0.25">
      <c r="A1580">
        <v>237720</v>
      </c>
      <c r="B1580" t="s">
        <v>299</v>
      </c>
      <c r="C1580" t="s">
        <v>493</v>
      </c>
      <c r="D1580" t="s">
        <v>548</v>
      </c>
      <c r="E1580" s="3">
        <v>44562</v>
      </c>
      <c r="F1580" s="3">
        <v>44926</v>
      </c>
      <c r="G1580" t="s">
        <v>135</v>
      </c>
      <c r="H1580" s="3">
        <v>44562</v>
      </c>
      <c r="I1580" s="3">
        <v>44926</v>
      </c>
      <c r="J1580" t="s">
        <v>135</v>
      </c>
      <c r="K1580">
        <v>0</v>
      </c>
      <c r="L1580" t="s">
        <v>143</v>
      </c>
      <c r="M1580" t="s">
        <v>110</v>
      </c>
      <c r="O1580" t="s">
        <v>955</v>
      </c>
      <c r="P1580" t="s">
        <v>550</v>
      </c>
      <c r="Q1580">
        <v>2022</v>
      </c>
      <c r="R1580" t="s">
        <v>605</v>
      </c>
      <c r="S1580" t="s">
        <v>606</v>
      </c>
      <c r="T1580" t="s">
        <v>553</v>
      </c>
      <c r="U1580" t="b">
        <v>0</v>
      </c>
      <c r="V1580" t="s">
        <v>781</v>
      </c>
      <c r="W1580" t="s">
        <v>587</v>
      </c>
      <c r="X1580" t="s">
        <v>556</v>
      </c>
      <c r="Y1580" t="s">
        <v>472</v>
      </c>
      <c r="AC1580">
        <v>1</v>
      </c>
      <c r="AD1580" t="s">
        <v>564</v>
      </c>
      <c r="AE1580">
        <v>0</v>
      </c>
      <c r="AF1580">
        <v>5.4440000000000002E-2</v>
      </c>
      <c r="AG1580" t="s">
        <v>782</v>
      </c>
      <c r="AH1580">
        <v>3.5314720000000001E-2</v>
      </c>
      <c r="AI1580">
        <v>0</v>
      </c>
      <c r="AJ1580" t="s">
        <v>561</v>
      </c>
      <c r="AK1580" t="s">
        <v>766</v>
      </c>
      <c r="AL1580" t="s">
        <v>767</v>
      </c>
      <c r="AM1580">
        <v>2022</v>
      </c>
      <c r="AN1580">
        <v>2022</v>
      </c>
      <c r="AO1580">
        <f>IF(AND(emissions[[#This Row],[Market-based]]=0,emissions[[#This Row],[Impact Type]]="CO2E"),emissions[[#This Row],[kgCO2e]],0)/1000</f>
        <v>0</v>
      </c>
      <c r="AP1580">
        <f>IF(AND(emissions[[#This Row],[Market-based]]=1,OR(emissions[[#This Row],[Impact Type]]="CO2E",emissions[[#This Row],[Impact Type]]="CO2E MKT")),emissions[[#This Row],[kgCO2e]],0)/1000</f>
        <v>0</v>
      </c>
      <c r="AQ1580" t="str">
        <f>_xlfn.TEXTAFTER(emissions[[#This Row],[Reporting Unit]]," &gt; ",LEN(emissions[[#This Row],[Reporting Unit]])-LEN(SUBSTITUTE(emissions[[#This Row],[Reporting Unit]],"&gt;","")))</f>
        <v>Vantage_Tlalnepantla de Baz</v>
      </c>
      <c r="AR1580" t="str">
        <f>_xlfn.XLOOKUP(emissions[[#This Row],[Reporting unit name]],hierarchy!$A:$A,hierarchy!$C:$C)</f>
        <v>Warehouse</v>
      </c>
    </row>
    <row r="1581" spans="1:44" hidden="1" x14ac:dyDescent="0.25">
      <c r="A1581">
        <v>237720</v>
      </c>
      <c r="B1581" t="s">
        <v>299</v>
      </c>
      <c r="C1581" t="s">
        <v>493</v>
      </c>
      <c r="D1581" t="s">
        <v>548</v>
      </c>
      <c r="E1581" s="3">
        <v>44562</v>
      </c>
      <c r="F1581" s="3">
        <v>44926</v>
      </c>
      <c r="G1581" t="s">
        <v>135</v>
      </c>
      <c r="H1581" s="3">
        <v>44562</v>
      </c>
      <c r="I1581" s="3">
        <v>44926</v>
      </c>
      <c r="J1581" t="s">
        <v>135</v>
      </c>
      <c r="K1581">
        <v>0</v>
      </c>
      <c r="L1581" t="s">
        <v>143</v>
      </c>
      <c r="M1581" t="s">
        <v>110</v>
      </c>
      <c r="O1581" t="s">
        <v>955</v>
      </c>
      <c r="P1581" t="s">
        <v>550</v>
      </c>
      <c r="Q1581">
        <v>2022</v>
      </c>
      <c r="R1581" t="s">
        <v>605</v>
      </c>
      <c r="S1581" t="s">
        <v>606</v>
      </c>
      <c r="T1581" t="s">
        <v>553</v>
      </c>
      <c r="U1581" t="b">
        <v>0</v>
      </c>
      <c r="V1581" t="s">
        <v>781</v>
      </c>
      <c r="W1581" t="s">
        <v>587</v>
      </c>
      <c r="X1581" t="s">
        <v>556</v>
      </c>
      <c r="Y1581" t="s">
        <v>472</v>
      </c>
      <c r="AC1581">
        <v>1</v>
      </c>
      <c r="AD1581" t="s">
        <v>565</v>
      </c>
      <c r="AE1581">
        <v>0</v>
      </c>
      <c r="AF1581">
        <v>5.4495549999999997E-2</v>
      </c>
      <c r="AG1581" t="s">
        <v>782</v>
      </c>
      <c r="AH1581">
        <v>3.5314720000000001E-2</v>
      </c>
      <c r="AI1581">
        <v>0</v>
      </c>
      <c r="AJ1581" t="s">
        <v>561</v>
      </c>
      <c r="AK1581" t="s">
        <v>766</v>
      </c>
      <c r="AL1581" t="s">
        <v>767</v>
      </c>
      <c r="AM1581">
        <v>2022</v>
      </c>
      <c r="AN1581">
        <v>2022</v>
      </c>
      <c r="AO1581">
        <f>IF(AND(emissions[[#This Row],[Market-based]]=0,emissions[[#This Row],[Impact Type]]="CO2E"),emissions[[#This Row],[kgCO2e]],0)/1000</f>
        <v>0</v>
      </c>
      <c r="AP1581">
        <f>IF(AND(emissions[[#This Row],[Market-based]]=1,OR(emissions[[#This Row],[Impact Type]]="CO2E",emissions[[#This Row],[Impact Type]]="CO2E MKT")),emissions[[#This Row],[kgCO2e]],0)/1000</f>
        <v>0</v>
      </c>
      <c r="AQ1581" t="str">
        <f>_xlfn.TEXTAFTER(emissions[[#This Row],[Reporting Unit]]," &gt; ",LEN(emissions[[#This Row],[Reporting Unit]])-LEN(SUBSTITUTE(emissions[[#This Row],[Reporting Unit]],"&gt;","")))</f>
        <v>Vantage_Tlalnepantla de Baz</v>
      </c>
      <c r="AR1581" t="str">
        <f>_xlfn.XLOOKUP(emissions[[#This Row],[Reporting unit name]],hierarchy!$A:$A,hierarchy!$C:$C)</f>
        <v>Warehouse</v>
      </c>
    </row>
    <row r="1582" spans="1:44" hidden="1" x14ac:dyDescent="0.25">
      <c r="A1582">
        <v>237720</v>
      </c>
      <c r="B1582" t="s">
        <v>299</v>
      </c>
      <c r="C1582" t="s">
        <v>493</v>
      </c>
      <c r="D1582" t="s">
        <v>548</v>
      </c>
      <c r="E1582" s="3">
        <v>44562</v>
      </c>
      <c r="F1582" s="3">
        <v>44926</v>
      </c>
      <c r="G1582" t="s">
        <v>135</v>
      </c>
      <c r="H1582" s="3">
        <v>44562</v>
      </c>
      <c r="I1582" s="3">
        <v>44926</v>
      </c>
      <c r="J1582" t="s">
        <v>135</v>
      </c>
      <c r="K1582">
        <v>0</v>
      </c>
      <c r="L1582" t="s">
        <v>143</v>
      </c>
      <c r="M1582" t="s">
        <v>110</v>
      </c>
      <c r="O1582" t="s">
        <v>955</v>
      </c>
      <c r="P1582" t="s">
        <v>550</v>
      </c>
      <c r="Q1582">
        <v>2022</v>
      </c>
      <c r="R1582" t="s">
        <v>605</v>
      </c>
      <c r="S1582" t="s">
        <v>606</v>
      </c>
      <c r="T1582" t="s">
        <v>553</v>
      </c>
      <c r="U1582" t="b">
        <v>0</v>
      </c>
      <c r="V1582" t="s">
        <v>781</v>
      </c>
      <c r="W1582" t="s">
        <v>587</v>
      </c>
      <c r="X1582" t="s">
        <v>556</v>
      </c>
      <c r="Y1582" t="s">
        <v>472</v>
      </c>
      <c r="AC1582">
        <v>1</v>
      </c>
      <c r="AD1582" t="s">
        <v>566</v>
      </c>
      <c r="AE1582">
        <v>0</v>
      </c>
      <c r="AF1582">
        <v>2.9799999999999999E-5</v>
      </c>
      <c r="AG1582" t="s">
        <v>782</v>
      </c>
      <c r="AH1582">
        <v>3.5314720000000001E-2</v>
      </c>
      <c r="AI1582">
        <v>0</v>
      </c>
      <c r="AJ1582" t="s">
        <v>561</v>
      </c>
      <c r="AK1582" t="s">
        <v>766</v>
      </c>
      <c r="AL1582" t="s">
        <v>767</v>
      </c>
      <c r="AM1582">
        <v>2022</v>
      </c>
      <c r="AN1582">
        <v>2022</v>
      </c>
      <c r="AO1582">
        <f>IF(AND(emissions[[#This Row],[Market-based]]=0,emissions[[#This Row],[Impact Type]]="CO2E"),emissions[[#This Row],[kgCO2e]],0)/1000</f>
        <v>0</v>
      </c>
      <c r="AP1582">
        <f>IF(AND(emissions[[#This Row],[Market-based]]=1,OR(emissions[[#This Row],[Impact Type]]="CO2E",emissions[[#This Row],[Impact Type]]="CO2E MKT")),emissions[[#This Row],[kgCO2e]],0)/1000</f>
        <v>0</v>
      </c>
      <c r="AQ1582" t="str">
        <f>_xlfn.TEXTAFTER(emissions[[#This Row],[Reporting Unit]]," &gt; ",LEN(emissions[[#This Row],[Reporting Unit]])-LEN(SUBSTITUTE(emissions[[#This Row],[Reporting Unit]],"&gt;","")))</f>
        <v>Vantage_Tlalnepantla de Baz</v>
      </c>
      <c r="AR1582" t="str">
        <f>_xlfn.XLOOKUP(emissions[[#This Row],[Reporting unit name]],hierarchy!$A:$A,hierarchy!$C:$C)</f>
        <v>Warehouse</v>
      </c>
    </row>
    <row r="1583" spans="1:44" hidden="1" x14ac:dyDescent="0.25">
      <c r="A1583">
        <v>237720</v>
      </c>
      <c r="B1583" t="s">
        <v>299</v>
      </c>
      <c r="C1583" t="s">
        <v>493</v>
      </c>
      <c r="D1583" t="s">
        <v>548</v>
      </c>
      <c r="E1583" s="3">
        <v>44562</v>
      </c>
      <c r="F1583" s="3">
        <v>44926</v>
      </c>
      <c r="G1583" t="s">
        <v>135</v>
      </c>
      <c r="H1583" s="3">
        <v>44562</v>
      </c>
      <c r="I1583" s="3">
        <v>44926</v>
      </c>
      <c r="J1583" t="s">
        <v>135</v>
      </c>
      <c r="K1583">
        <v>0</v>
      </c>
      <c r="L1583" t="s">
        <v>143</v>
      </c>
      <c r="M1583" t="s">
        <v>110</v>
      </c>
      <c r="O1583" t="s">
        <v>955</v>
      </c>
      <c r="P1583" t="s">
        <v>550</v>
      </c>
      <c r="Q1583">
        <v>2022</v>
      </c>
      <c r="R1583" t="s">
        <v>609</v>
      </c>
      <c r="S1583" t="s">
        <v>610</v>
      </c>
      <c r="T1583" t="s">
        <v>577</v>
      </c>
      <c r="U1583" t="b">
        <v>0</v>
      </c>
      <c r="V1583" t="s">
        <v>632</v>
      </c>
      <c r="W1583" t="s">
        <v>571</v>
      </c>
      <c r="X1583" t="s">
        <v>572</v>
      </c>
      <c r="AC1583">
        <v>0</v>
      </c>
      <c r="AD1583" t="s">
        <v>565</v>
      </c>
      <c r="AE1583">
        <v>0</v>
      </c>
      <c r="AF1583">
        <v>0.34339999999999998</v>
      </c>
      <c r="AG1583" t="s">
        <v>783</v>
      </c>
      <c r="AH1583">
        <v>1E-3</v>
      </c>
      <c r="AI1583">
        <v>0</v>
      </c>
      <c r="AJ1583" t="s">
        <v>561</v>
      </c>
      <c r="AK1583" t="s">
        <v>589</v>
      </c>
      <c r="AL1583" t="s">
        <v>590</v>
      </c>
      <c r="AM1583">
        <v>2022</v>
      </c>
      <c r="AN1583">
        <v>2020</v>
      </c>
      <c r="AO1583">
        <f>IF(AND(emissions[[#This Row],[Market-based]]=0,emissions[[#This Row],[Impact Type]]="CO2E"),emissions[[#This Row],[kgCO2e]],0)/1000</f>
        <v>0</v>
      </c>
      <c r="AP1583">
        <f>IF(AND(emissions[[#This Row],[Market-based]]=1,OR(emissions[[#This Row],[Impact Type]]="CO2E",emissions[[#This Row],[Impact Type]]="CO2E MKT")),emissions[[#This Row],[kgCO2e]],0)/1000</f>
        <v>0</v>
      </c>
      <c r="AQ1583" t="str">
        <f>_xlfn.TEXTAFTER(emissions[[#This Row],[Reporting Unit]]," &gt; ",LEN(emissions[[#This Row],[Reporting Unit]])-LEN(SUBSTITUTE(emissions[[#This Row],[Reporting Unit]],"&gt;","")))</f>
        <v>Vantage_Tlalnepantla de Baz</v>
      </c>
      <c r="AR1583" t="str">
        <f>_xlfn.XLOOKUP(emissions[[#This Row],[Reporting unit name]],hierarchy!$A:$A,hierarchy!$C:$C)</f>
        <v>Warehouse</v>
      </c>
    </row>
    <row r="1584" spans="1:44" hidden="1" x14ac:dyDescent="0.25">
      <c r="A1584">
        <v>237720</v>
      </c>
      <c r="B1584" t="s">
        <v>299</v>
      </c>
      <c r="C1584" t="s">
        <v>493</v>
      </c>
      <c r="D1584" t="s">
        <v>548</v>
      </c>
      <c r="E1584" s="3">
        <v>44562</v>
      </c>
      <c r="F1584" s="3">
        <v>44926</v>
      </c>
      <c r="G1584" t="s">
        <v>135</v>
      </c>
      <c r="H1584" s="3">
        <v>44562</v>
      </c>
      <c r="I1584" s="3">
        <v>44926</v>
      </c>
      <c r="J1584" t="s">
        <v>135</v>
      </c>
      <c r="K1584">
        <v>0</v>
      </c>
      <c r="L1584" t="s">
        <v>143</v>
      </c>
      <c r="M1584" t="s">
        <v>110</v>
      </c>
      <c r="O1584" t="s">
        <v>955</v>
      </c>
      <c r="P1584" t="s">
        <v>550</v>
      </c>
      <c r="Q1584">
        <v>2022</v>
      </c>
      <c r="R1584" t="s">
        <v>609</v>
      </c>
      <c r="S1584" t="s">
        <v>610</v>
      </c>
      <c r="T1584" t="s">
        <v>577</v>
      </c>
      <c r="U1584" t="b">
        <v>0</v>
      </c>
      <c r="V1584" t="s">
        <v>632</v>
      </c>
      <c r="W1584" t="s">
        <v>571</v>
      </c>
      <c r="X1584" t="s">
        <v>572</v>
      </c>
      <c r="AC1584">
        <v>1</v>
      </c>
      <c r="AD1584" t="s">
        <v>565</v>
      </c>
      <c r="AE1584">
        <v>0</v>
      </c>
      <c r="AF1584">
        <v>0.34339999999999998</v>
      </c>
      <c r="AG1584" t="s">
        <v>783</v>
      </c>
      <c r="AH1584">
        <v>1E-3</v>
      </c>
      <c r="AI1584">
        <v>0</v>
      </c>
      <c r="AJ1584" t="s">
        <v>561</v>
      </c>
      <c r="AK1584" t="s">
        <v>589</v>
      </c>
      <c r="AL1584" t="s">
        <v>590</v>
      </c>
      <c r="AM1584">
        <v>2022</v>
      </c>
      <c r="AN1584">
        <v>2020</v>
      </c>
      <c r="AO1584">
        <f>IF(AND(emissions[[#This Row],[Market-based]]=0,emissions[[#This Row],[Impact Type]]="CO2E"),emissions[[#This Row],[kgCO2e]],0)/1000</f>
        <v>0</v>
      </c>
      <c r="AP1584">
        <f>IF(AND(emissions[[#This Row],[Market-based]]=1,OR(emissions[[#This Row],[Impact Type]]="CO2E",emissions[[#This Row],[Impact Type]]="CO2E MKT")),emissions[[#This Row],[kgCO2e]],0)/1000</f>
        <v>0</v>
      </c>
      <c r="AQ1584" t="str">
        <f>_xlfn.TEXTAFTER(emissions[[#This Row],[Reporting Unit]]," &gt; ",LEN(emissions[[#This Row],[Reporting Unit]])-LEN(SUBSTITUTE(emissions[[#This Row],[Reporting Unit]],"&gt;","")))</f>
        <v>Vantage_Tlalnepantla de Baz</v>
      </c>
      <c r="AR1584" t="str">
        <f>_xlfn.XLOOKUP(emissions[[#This Row],[Reporting unit name]],hierarchy!$A:$A,hierarchy!$C:$C)</f>
        <v>Warehouse</v>
      </c>
    </row>
    <row r="1585" spans="1:44" ht="135" hidden="1" x14ac:dyDescent="0.25">
      <c r="A1585">
        <v>237716</v>
      </c>
      <c r="B1585" t="s">
        <v>299</v>
      </c>
      <c r="C1585" t="s">
        <v>493</v>
      </c>
      <c r="D1585" t="s">
        <v>548</v>
      </c>
      <c r="E1585" s="3">
        <v>44562</v>
      </c>
      <c r="F1585" s="3">
        <v>44926</v>
      </c>
      <c r="G1585" t="s">
        <v>116</v>
      </c>
      <c r="H1585" s="3">
        <v>44562</v>
      </c>
      <c r="I1585" s="3">
        <v>44926</v>
      </c>
      <c r="J1585" t="s">
        <v>175</v>
      </c>
      <c r="K1585">
        <v>0</v>
      </c>
      <c r="L1585" t="s">
        <v>303</v>
      </c>
      <c r="M1585" t="s">
        <v>110</v>
      </c>
      <c r="N1585" s="14" t="s">
        <v>305</v>
      </c>
      <c r="O1585" t="s">
        <v>956</v>
      </c>
      <c r="P1585" t="s">
        <v>550</v>
      </c>
      <c r="Q1585">
        <v>2022</v>
      </c>
      <c r="R1585" t="s">
        <v>664</v>
      </c>
      <c r="S1585" t="s">
        <v>175</v>
      </c>
      <c r="T1585" t="s">
        <v>553</v>
      </c>
      <c r="U1585" t="b">
        <v>0</v>
      </c>
      <c r="V1585" t="s">
        <v>665</v>
      </c>
      <c r="W1585" t="s">
        <v>587</v>
      </c>
      <c r="X1585" t="s">
        <v>556</v>
      </c>
      <c r="AC1585">
        <v>0</v>
      </c>
      <c r="AD1585" t="s">
        <v>565</v>
      </c>
      <c r="AE1585">
        <v>0</v>
      </c>
      <c r="AF1585">
        <v>2088</v>
      </c>
      <c r="AG1585" t="s">
        <v>622</v>
      </c>
      <c r="AH1585">
        <v>1E-3</v>
      </c>
      <c r="AI1585">
        <v>0</v>
      </c>
      <c r="AJ1585" t="s">
        <v>561</v>
      </c>
      <c r="AK1585" t="s">
        <v>623</v>
      </c>
      <c r="AL1585" t="s">
        <v>624</v>
      </c>
      <c r="AM1585">
        <v>2022</v>
      </c>
      <c r="AN1585">
        <v>2007</v>
      </c>
      <c r="AO1585">
        <f>IF(AND(emissions[[#This Row],[Market-based]]=0,emissions[[#This Row],[Impact Type]]="CO2E"),emissions[[#This Row],[kgCO2e]],0)/1000</f>
        <v>0</v>
      </c>
      <c r="AP1585">
        <f>IF(AND(emissions[[#This Row],[Market-based]]=1,OR(emissions[[#This Row],[Impact Type]]="CO2E",emissions[[#This Row],[Impact Type]]="CO2E MKT")),emissions[[#This Row],[kgCO2e]],0)/1000</f>
        <v>0</v>
      </c>
      <c r="AQ1585" t="str">
        <f>_xlfn.TEXTAFTER(emissions[[#This Row],[Reporting Unit]]," &gt; ",LEN(emissions[[#This Row],[Reporting Unit]])-LEN(SUBSTITUTE(emissions[[#This Row],[Reporting Unit]],"&gt;","")))</f>
        <v>Vantage_Tlalnepantla de Baz</v>
      </c>
      <c r="AR1585" t="str">
        <f>_xlfn.XLOOKUP(emissions[[#This Row],[Reporting unit name]],hierarchy!$A:$A,hierarchy!$C:$C)</f>
        <v>Warehouse</v>
      </c>
    </row>
    <row r="1586" spans="1:44" ht="135" hidden="1" x14ac:dyDescent="0.25">
      <c r="A1586">
        <v>237716</v>
      </c>
      <c r="B1586" t="s">
        <v>299</v>
      </c>
      <c r="C1586" t="s">
        <v>493</v>
      </c>
      <c r="D1586" t="s">
        <v>548</v>
      </c>
      <c r="E1586" s="3">
        <v>44562</v>
      </c>
      <c r="F1586" s="3">
        <v>44926</v>
      </c>
      <c r="G1586" t="s">
        <v>116</v>
      </c>
      <c r="H1586" s="3">
        <v>44562</v>
      </c>
      <c r="I1586" s="3">
        <v>44926</v>
      </c>
      <c r="J1586" t="s">
        <v>175</v>
      </c>
      <c r="K1586">
        <v>0</v>
      </c>
      <c r="L1586" t="s">
        <v>303</v>
      </c>
      <c r="M1586" t="s">
        <v>110</v>
      </c>
      <c r="N1586" s="14" t="s">
        <v>305</v>
      </c>
      <c r="O1586" t="s">
        <v>956</v>
      </c>
      <c r="P1586" t="s">
        <v>550</v>
      </c>
      <c r="Q1586">
        <v>2022</v>
      </c>
      <c r="R1586" t="s">
        <v>664</v>
      </c>
      <c r="S1586" t="s">
        <v>175</v>
      </c>
      <c r="T1586" t="s">
        <v>553</v>
      </c>
      <c r="U1586" t="b">
        <v>0</v>
      </c>
      <c r="V1586" t="s">
        <v>665</v>
      </c>
      <c r="W1586" t="s">
        <v>587</v>
      </c>
      <c r="X1586" t="s">
        <v>556</v>
      </c>
      <c r="AC1586">
        <v>1</v>
      </c>
      <c r="AD1586" t="s">
        <v>565</v>
      </c>
      <c r="AE1586">
        <v>0</v>
      </c>
      <c r="AF1586">
        <v>2088</v>
      </c>
      <c r="AG1586" t="s">
        <v>622</v>
      </c>
      <c r="AH1586">
        <v>1E-3</v>
      </c>
      <c r="AI1586">
        <v>0</v>
      </c>
      <c r="AJ1586" t="s">
        <v>561</v>
      </c>
      <c r="AK1586" t="s">
        <v>623</v>
      </c>
      <c r="AL1586" t="s">
        <v>624</v>
      </c>
      <c r="AM1586">
        <v>2022</v>
      </c>
      <c r="AN1586">
        <v>2007</v>
      </c>
      <c r="AO1586">
        <f>IF(AND(emissions[[#This Row],[Market-based]]=0,emissions[[#This Row],[Impact Type]]="CO2E"),emissions[[#This Row],[kgCO2e]],0)/1000</f>
        <v>0</v>
      </c>
      <c r="AP1586">
        <f>IF(AND(emissions[[#This Row],[Market-based]]=1,OR(emissions[[#This Row],[Impact Type]]="CO2E",emissions[[#This Row],[Impact Type]]="CO2E MKT")),emissions[[#This Row],[kgCO2e]],0)/1000</f>
        <v>0</v>
      </c>
      <c r="AQ1586" t="str">
        <f>_xlfn.TEXTAFTER(emissions[[#This Row],[Reporting Unit]]," &gt; ",LEN(emissions[[#This Row],[Reporting Unit]])-LEN(SUBSTITUTE(emissions[[#This Row],[Reporting Unit]],"&gt;","")))</f>
        <v>Vantage_Tlalnepantla de Baz</v>
      </c>
      <c r="AR1586" t="str">
        <f>_xlfn.XLOOKUP(emissions[[#This Row],[Reporting unit name]],hierarchy!$A:$A,hierarchy!$C:$C)</f>
        <v>Warehouse</v>
      </c>
    </row>
    <row r="1587" spans="1:44" hidden="1" x14ac:dyDescent="0.25">
      <c r="A1587">
        <v>1590438</v>
      </c>
      <c r="B1587" t="s">
        <v>299</v>
      </c>
      <c r="C1587" t="s">
        <v>493</v>
      </c>
      <c r="D1587" t="s">
        <v>548</v>
      </c>
      <c r="E1587" s="3">
        <v>44562</v>
      </c>
      <c r="F1587" s="3">
        <v>44926</v>
      </c>
      <c r="G1587" t="s">
        <v>116</v>
      </c>
      <c r="H1587" s="3">
        <v>44562</v>
      </c>
      <c r="I1587" s="3">
        <v>44926</v>
      </c>
      <c r="J1587" t="s">
        <v>218</v>
      </c>
      <c r="K1587">
        <v>30.07343243</v>
      </c>
      <c r="L1587" t="s">
        <v>118</v>
      </c>
      <c r="M1587" t="s">
        <v>82</v>
      </c>
      <c r="N1587" t="s">
        <v>306</v>
      </c>
      <c r="O1587" t="s">
        <v>631</v>
      </c>
      <c r="P1587" t="s">
        <v>631</v>
      </c>
      <c r="Q1587">
        <v>2022</v>
      </c>
      <c r="R1587" t="s">
        <v>664</v>
      </c>
      <c r="S1587" t="s">
        <v>175</v>
      </c>
      <c r="T1587" t="s">
        <v>553</v>
      </c>
      <c r="U1587" t="b">
        <v>0</v>
      </c>
      <c r="V1587" t="s">
        <v>665</v>
      </c>
      <c r="W1587" t="s">
        <v>587</v>
      </c>
      <c r="X1587" t="s">
        <v>556</v>
      </c>
      <c r="AC1587">
        <v>0</v>
      </c>
      <c r="AD1587" t="s">
        <v>565</v>
      </c>
      <c r="AE1587">
        <v>62793.326910000003</v>
      </c>
      <c r="AF1587">
        <v>2088</v>
      </c>
      <c r="AG1587" t="s">
        <v>622</v>
      </c>
      <c r="AH1587">
        <v>1</v>
      </c>
      <c r="AI1587">
        <v>30.07343243</v>
      </c>
      <c r="AJ1587" t="s">
        <v>561</v>
      </c>
      <c r="AK1587" t="s">
        <v>623</v>
      </c>
      <c r="AL1587" t="s">
        <v>624</v>
      </c>
      <c r="AM1587">
        <v>2022</v>
      </c>
      <c r="AN1587">
        <v>2007</v>
      </c>
      <c r="AO1587">
        <f>IF(AND(emissions[[#This Row],[Market-based]]=0,emissions[[#This Row],[Impact Type]]="CO2E"),emissions[[#This Row],[kgCO2e]],0)/1000</f>
        <v>62.793326910000005</v>
      </c>
      <c r="AP1587">
        <f>IF(AND(emissions[[#This Row],[Market-based]]=1,OR(emissions[[#This Row],[Impact Type]]="CO2E",emissions[[#This Row],[Impact Type]]="CO2E MKT")),emissions[[#This Row],[kgCO2e]],0)/1000</f>
        <v>0</v>
      </c>
      <c r="AQ1587" t="str">
        <f>_xlfn.TEXTAFTER(emissions[[#This Row],[Reporting Unit]]," &gt; ",LEN(emissions[[#This Row],[Reporting Unit]])-LEN(SUBSTITUTE(emissions[[#This Row],[Reporting Unit]],"&gt;","")))</f>
        <v>Vantage_Tlalnepantla de Baz</v>
      </c>
      <c r="AR1587" t="str">
        <f>_xlfn.XLOOKUP(emissions[[#This Row],[Reporting unit name]],hierarchy!$A:$A,hierarchy!$C:$C)</f>
        <v>Warehouse</v>
      </c>
    </row>
    <row r="1588" spans="1:44" hidden="1" x14ac:dyDescent="0.25">
      <c r="A1588">
        <v>1590438</v>
      </c>
      <c r="B1588" t="s">
        <v>299</v>
      </c>
      <c r="C1588" t="s">
        <v>493</v>
      </c>
      <c r="D1588" t="s">
        <v>548</v>
      </c>
      <c r="E1588" s="3">
        <v>44562</v>
      </c>
      <c r="F1588" s="3">
        <v>44926</v>
      </c>
      <c r="G1588" t="s">
        <v>116</v>
      </c>
      <c r="H1588" s="3">
        <v>44562</v>
      </c>
      <c r="I1588" s="3">
        <v>44926</v>
      </c>
      <c r="J1588" t="s">
        <v>218</v>
      </c>
      <c r="K1588">
        <v>30.07343243</v>
      </c>
      <c r="L1588" t="s">
        <v>118</v>
      </c>
      <c r="M1588" t="s">
        <v>82</v>
      </c>
      <c r="N1588" t="s">
        <v>306</v>
      </c>
      <c r="O1588" t="s">
        <v>631</v>
      </c>
      <c r="P1588" t="s">
        <v>631</v>
      </c>
      <c r="Q1588">
        <v>2022</v>
      </c>
      <c r="R1588" t="s">
        <v>664</v>
      </c>
      <c r="S1588" t="s">
        <v>175</v>
      </c>
      <c r="T1588" t="s">
        <v>553</v>
      </c>
      <c r="U1588" t="b">
        <v>0</v>
      </c>
      <c r="V1588" t="s">
        <v>665</v>
      </c>
      <c r="W1588" t="s">
        <v>587</v>
      </c>
      <c r="X1588" t="s">
        <v>556</v>
      </c>
      <c r="AC1588">
        <v>1</v>
      </c>
      <c r="AD1588" t="s">
        <v>565</v>
      </c>
      <c r="AE1588">
        <v>62793.326910000003</v>
      </c>
      <c r="AF1588">
        <v>2088</v>
      </c>
      <c r="AG1588" t="s">
        <v>622</v>
      </c>
      <c r="AH1588">
        <v>1</v>
      </c>
      <c r="AI1588">
        <v>30.07343243</v>
      </c>
      <c r="AJ1588" t="s">
        <v>561</v>
      </c>
      <c r="AK1588" t="s">
        <v>623</v>
      </c>
      <c r="AL1588" t="s">
        <v>624</v>
      </c>
      <c r="AM1588">
        <v>2022</v>
      </c>
      <c r="AN1588">
        <v>2007</v>
      </c>
      <c r="AO1588">
        <f>IF(AND(emissions[[#This Row],[Market-based]]=0,emissions[[#This Row],[Impact Type]]="CO2E"),emissions[[#This Row],[kgCO2e]],0)/1000</f>
        <v>0</v>
      </c>
      <c r="AP1588">
        <f>IF(AND(emissions[[#This Row],[Market-based]]=1,OR(emissions[[#This Row],[Impact Type]]="CO2E",emissions[[#This Row],[Impact Type]]="CO2E MKT")),emissions[[#This Row],[kgCO2e]],0)/1000</f>
        <v>62.793326910000005</v>
      </c>
      <c r="AQ1588" t="str">
        <f>_xlfn.TEXTAFTER(emissions[[#This Row],[Reporting Unit]]," &gt; ",LEN(emissions[[#This Row],[Reporting Unit]])-LEN(SUBSTITUTE(emissions[[#This Row],[Reporting Unit]],"&gt;","")))</f>
        <v>Vantage_Tlalnepantla de Baz</v>
      </c>
      <c r="AR1588" t="str">
        <f>_xlfn.XLOOKUP(emissions[[#This Row],[Reporting unit name]],hierarchy!$A:$A,hierarchy!$C:$C)</f>
        <v>Warehouse</v>
      </c>
    </row>
    <row r="1589" spans="1:44" hidden="1" x14ac:dyDescent="0.25">
      <c r="A1589">
        <v>4964</v>
      </c>
      <c r="B1589" t="s">
        <v>299</v>
      </c>
      <c r="C1589" t="s">
        <v>493</v>
      </c>
      <c r="D1589" t="s">
        <v>599</v>
      </c>
      <c r="E1589" s="3">
        <v>44197</v>
      </c>
      <c r="F1589" s="3">
        <v>44561</v>
      </c>
      <c r="G1589" t="s">
        <v>108</v>
      </c>
      <c r="H1589" s="3">
        <v>44197</v>
      </c>
      <c r="I1589" s="3">
        <v>44561</v>
      </c>
      <c r="J1589" t="s">
        <v>108</v>
      </c>
      <c r="K1589">
        <v>10714</v>
      </c>
      <c r="L1589" t="s">
        <v>109</v>
      </c>
      <c r="M1589" t="s">
        <v>110</v>
      </c>
      <c r="O1589" t="s">
        <v>600</v>
      </c>
      <c r="P1589" t="s">
        <v>550</v>
      </c>
      <c r="Q1589">
        <v>2021</v>
      </c>
      <c r="R1589" t="s">
        <v>551</v>
      </c>
      <c r="S1589" t="s">
        <v>552</v>
      </c>
      <c r="T1589" t="s">
        <v>553</v>
      </c>
      <c r="U1589" t="b">
        <v>0</v>
      </c>
      <c r="V1589" t="s">
        <v>950</v>
      </c>
      <c r="W1589" t="s">
        <v>555</v>
      </c>
      <c r="X1589" t="s">
        <v>556</v>
      </c>
      <c r="Y1589" t="s">
        <v>472</v>
      </c>
      <c r="Z1589" t="s">
        <v>491</v>
      </c>
      <c r="AA1589" t="s">
        <v>951</v>
      </c>
      <c r="AC1589">
        <v>0</v>
      </c>
      <c r="AD1589" t="s">
        <v>558</v>
      </c>
      <c r="AE1589">
        <v>3.2141999999999999</v>
      </c>
      <c r="AF1589" t="s">
        <v>559</v>
      </c>
      <c r="AG1589" t="s">
        <v>560</v>
      </c>
      <c r="AH1589">
        <v>1</v>
      </c>
      <c r="AI1589">
        <v>10714</v>
      </c>
      <c r="AJ1589" t="s">
        <v>561</v>
      </c>
      <c r="AK1589" t="s">
        <v>562</v>
      </c>
      <c r="AL1589" t="s">
        <v>601</v>
      </c>
      <c r="AM1589">
        <v>2021</v>
      </c>
      <c r="AN1589">
        <v>2019</v>
      </c>
      <c r="AO1589">
        <f>IF(AND(emissions[[#This Row],[Market-based]]=0,emissions[[#This Row],[Impact Type]]="CO2E"),emissions[[#This Row],[kgCO2e]],0)/1000</f>
        <v>0</v>
      </c>
      <c r="AP1589">
        <f>IF(AND(emissions[[#This Row],[Market-based]]=1,OR(emissions[[#This Row],[Impact Type]]="CO2E",emissions[[#This Row],[Impact Type]]="CO2E MKT")),emissions[[#This Row],[kgCO2e]],0)/1000</f>
        <v>0</v>
      </c>
      <c r="AQ1589" t="str">
        <f>_xlfn.TEXTAFTER(emissions[[#This Row],[Reporting Unit]]," &gt; ",LEN(emissions[[#This Row],[Reporting Unit]])-LEN(SUBSTITUTE(emissions[[#This Row],[Reporting Unit]],"&gt;","")))</f>
        <v>Vantage_Tlalnepantla de Baz</v>
      </c>
      <c r="AR1589" t="str">
        <f>_xlfn.XLOOKUP(emissions[[#This Row],[Reporting unit name]],hierarchy!$A:$A,hierarchy!$C:$C)</f>
        <v>Warehouse</v>
      </c>
    </row>
    <row r="1590" spans="1:44" hidden="1" x14ac:dyDescent="0.25">
      <c r="A1590">
        <v>4964</v>
      </c>
      <c r="B1590" t="s">
        <v>299</v>
      </c>
      <c r="C1590" t="s">
        <v>493</v>
      </c>
      <c r="D1590" t="s">
        <v>599</v>
      </c>
      <c r="E1590" s="3">
        <v>44197</v>
      </c>
      <c r="F1590" s="3">
        <v>44561</v>
      </c>
      <c r="G1590" t="s">
        <v>108</v>
      </c>
      <c r="H1590" s="3">
        <v>44197</v>
      </c>
      <c r="I1590" s="3">
        <v>44561</v>
      </c>
      <c r="J1590" t="s">
        <v>108</v>
      </c>
      <c r="K1590">
        <v>10714</v>
      </c>
      <c r="L1590" t="s">
        <v>109</v>
      </c>
      <c r="M1590" t="s">
        <v>110</v>
      </c>
      <c r="O1590" t="s">
        <v>600</v>
      </c>
      <c r="P1590" t="s">
        <v>550</v>
      </c>
      <c r="Q1590">
        <v>2021</v>
      </c>
      <c r="R1590" t="s">
        <v>551</v>
      </c>
      <c r="S1590" t="s">
        <v>552</v>
      </c>
      <c r="T1590" t="s">
        <v>553</v>
      </c>
      <c r="U1590" t="b">
        <v>0</v>
      </c>
      <c r="V1590" t="s">
        <v>950</v>
      </c>
      <c r="W1590" t="s">
        <v>555</v>
      </c>
      <c r="X1590" t="s">
        <v>556</v>
      </c>
      <c r="Y1590" t="s">
        <v>472</v>
      </c>
      <c r="Z1590" t="s">
        <v>491</v>
      </c>
      <c r="AA1590" t="s">
        <v>951</v>
      </c>
      <c r="AC1590">
        <v>0</v>
      </c>
      <c r="AD1590" t="s">
        <v>564</v>
      </c>
      <c r="AE1590">
        <v>4248.1009999999997</v>
      </c>
      <c r="AF1590" t="s">
        <v>559</v>
      </c>
      <c r="AG1590" t="s">
        <v>560</v>
      </c>
      <c r="AH1590">
        <v>1</v>
      </c>
      <c r="AI1590">
        <v>10714</v>
      </c>
      <c r="AJ1590" t="s">
        <v>561</v>
      </c>
      <c r="AK1590" t="s">
        <v>562</v>
      </c>
      <c r="AL1590" t="s">
        <v>601</v>
      </c>
      <c r="AM1590">
        <v>2021</v>
      </c>
      <c r="AN1590">
        <v>2019</v>
      </c>
      <c r="AO1590">
        <f>IF(AND(emissions[[#This Row],[Market-based]]=0,emissions[[#This Row],[Impact Type]]="CO2E"),emissions[[#This Row],[kgCO2e]],0)/1000</f>
        <v>0</v>
      </c>
      <c r="AP1590">
        <f>IF(AND(emissions[[#This Row],[Market-based]]=1,OR(emissions[[#This Row],[Impact Type]]="CO2E",emissions[[#This Row],[Impact Type]]="CO2E MKT")),emissions[[#This Row],[kgCO2e]],0)/1000</f>
        <v>0</v>
      </c>
      <c r="AQ1590" t="str">
        <f>_xlfn.TEXTAFTER(emissions[[#This Row],[Reporting Unit]]," &gt; ",LEN(emissions[[#This Row],[Reporting Unit]])-LEN(SUBSTITUTE(emissions[[#This Row],[Reporting Unit]],"&gt;","")))</f>
        <v>Vantage_Tlalnepantla de Baz</v>
      </c>
      <c r="AR1590" t="str">
        <f>_xlfn.XLOOKUP(emissions[[#This Row],[Reporting unit name]],hierarchy!$A:$A,hierarchy!$C:$C)</f>
        <v>Warehouse</v>
      </c>
    </row>
    <row r="1591" spans="1:44" hidden="1" x14ac:dyDescent="0.25">
      <c r="A1591">
        <v>4964</v>
      </c>
      <c r="B1591" t="s">
        <v>299</v>
      </c>
      <c r="C1591" t="s">
        <v>493</v>
      </c>
      <c r="D1591" t="s">
        <v>599</v>
      </c>
      <c r="E1591" s="3">
        <v>44197</v>
      </c>
      <c r="F1591" s="3">
        <v>44561</v>
      </c>
      <c r="G1591" t="s">
        <v>108</v>
      </c>
      <c r="H1591" s="3">
        <v>44197</v>
      </c>
      <c r="I1591" s="3">
        <v>44561</v>
      </c>
      <c r="J1591" t="s">
        <v>108</v>
      </c>
      <c r="K1591">
        <v>10714</v>
      </c>
      <c r="L1591" t="s">
        <v>109</v>
      </c>
      <c r="M1591" t="s">
        <v>110</v>
      </c>
      <c r="O1591" t="s">
        <v>600</v>
      </c>
      <c r="P1591" t="s">
        <v>550</v>
      </c>
      <c r="Q1591">
        <v>2021</v>
      </c>
      <c r="R1591" t="s">
        <v>551</v>
      </c>
      <c r="S1591" t="s">
        <v>552</v>
      </c>
      <c r="T1591" t="s">
        <v>553</v>
      </c>
      <c r="U1591" t="b">
        <v>0</v>
      </c>
      <c r="V1591" t="s">
        <v>950</v>
      </c>
      <c r="W1591" t="s">
        <v>555</v>
      </c>
      <c r="X1591" t="s">
        <v>556</v>
      </c>
      <c r="Y1591" t="s">
        <v>472</v>
      </c>
      <c r="Z1591" t="s">
        <v>491</v>
      </c>
      <c r="AA1591" t="s">
        <v>951</v>
      </c>
      <c r="AC1591">
        <v>0</v>
      </c>
      <c r="AD1591" t="s">
        <v>565</v>
      </c>
      <c r="AE1591">
        <v>4260.9578000000001</v>
      </c>
      <c r="AF1591" t="s">
        <v>559</v>
      </c>
      <c r="AG1591" t="s">
        <v>560</v>
      </c>
      <c r="AH1591">
        <v>1</v>
      </c>
      <c r="AI1591">
        <v>10714</v>
      </c>
      <c r="AJ1591" t="s">
        <v>561</v>
      </c>
      <c r="AK1591" t="s">
        <v>562</v>
      </c>
      <c r="AL1591" t="s">
        <v>601</v>
      </c>
      <c r="AM1591">
        <v>2021</v>
      </c>
      <c r="AN1591">
        <v>2019</v>
      </c>
      <c r="AO1591">
        <f>IF(AND(emissions[[#This Row],[Market-based]]=0,emissions[[#This Row],[Impact Type]]="CO2E"),emissions[[#This Row],[kgCO2e]],0)/1000</f>
        <v>4.2609577999999999</v>
      </c>
      <c r="AP1591">
        <f>IF(AND(emissions[[#This Row],[Market-based]]=1,OR(emissions[[#This Row],[Impact Type]]="CO2E",emissions[[#This Row],[Impact Type]]="CO2E MKT")),emissions[[#This Row],[kgCO2e]],0)/1000</f>
        <v>0</v>
      </c>
      <c r="AQ1591" t="str">
        <f>_xlfn.TEXTAFTER(emissions[[#This Row],[Reporting Unit]]," &gt; ",LEN(emissions[[#This Row],[Reporting Unit]])-LEN(SUBSTITUTE(emissions[[#This Row],[Reporting Unit]],"&gt;","")))</f>
        <v>Vantage_Tlalnepantla de Baz</v>
      </c>
      <c r="AR1591" t="str">
        <f>_xlfn.XLOOKUP(emissions[[#This Row],[Reporting unit name]],hierarchy!$A:$A,hierarchy!$C:$C)</f>
        <v>Warehouse</v>
      </c>
    </row>
    <row r="1592" spans="1:44" hidden="1" x14ac:dyDescent="0.25">
      <c r="A1592">
        <v>4964</v>
      </c>
      <c r="B1592" t="s">
        <v>299</v>
      </c>
      <c r="C1592" t="s">
        <v>493</v>
      </c>
      <c r="D1592" t="s">
        <v>599</v>
      </c>
      <c r="E1592" s="3">
        <v>44197</v>
      </c>
      <c r="F1592" s="3">
        <v>44561</v>
      </c>
      <c r="G1592" t="s">
        <v>108</v>
      </c>
      <c r="H1592" s="3">
        <v>44197</v>
      </c>
      <c r="I1592" s="3">
        <v>44561</v>
      </c>
      <c r="J1592" t="s">
        <v>108</v>
      </c>
      <c r="K1592">
        <v>10714</v>
      </c>
      <c r="L1592" t="s">
        <v>109</v>
      </c>
      <c r="M1592" t="s">
        <v>110</v>
      </c>
      <c r="O1592" t="s">
        <v>600</v>
      </c>
      <c r="P1592" t="s">
        <v>550</v>
      </c>
      <c r="Q1592">
        <v>2021</v>
      </c>
      <c r="R1592" t="s">
        <v>551</v>
      </c>
      <c r="S1592" t="s">
        <v>552</v>
      </c>
      <c r="T1592" t="s">
        <v>553</v>
      </c>
      <c r="U1592" t="b">
        <v>0</v>
      </c>
      <c r="V1592" t="s">
        <v>950</v>
      </c>
      <c r="W1592" t="s">
        <v>555</v>
      </c>
      <c r="X1592" t="s">
        <v>556</v>
      </c>
      <c r="Y1592" t="s">
        <v>472</v>
      </c>
      <c r="Z1592" t="s">
        <v>491</v>
      </c>
      <c r="AA1592" t="s">
        <v>951</v>
      </c>
      <c r="AC1592">
        <v>0</v>
      </c>
      <c r="AD1592" t="s">
        <v>566</v>
      </c>
      <c r="AE1592">
        <v>9.6425999999999998</v>
      </c>
      <c r="AF1592" t="s">
        <v>559</v>
      </c>
      <c r="AG1592" t="s">
        <v>560</v>
      </c>
      <c r="AH1592">
        <v>1</v>
      </c>
      <c r="AI1592">
        <v>10714</v>
      </c>
      <c r="AJ1592" t="s">
        <v>561</v>
      </c>
      <c r="AK1592" t="s">
        <v>562</v>
      </c>
      <c r="AL1592" t="s">
        <v>601</v>
      </c>
      <c r="AM1592">
        <v>2021</v>
      </c>
      <c r="AN1592">
        <v>2019</v>
      </c>
      <c r="AO1592">
        <f>IF(AND(emissions[[#This Row],[Market-based]]=0,emissions[[#This Row],[Impact Type]]="CO2E"),emissions[[#This Row],[kgCO2e]],0)/1000</f>
        <v>0</v>
      </c>
      <c r="AP1592">
        <f>IF(AND(emissions[[#This Row],[Market-based]]=1,OR(emissions[[#This Row],[Impact Type]]="CO2E",emissions[[#This Row],[Impact Type]]="CO2E MKT")),emissions[[#This Row],[kgCO2e]],0)/1000</f>
        <v>0</v>
      </c>
      <c r="AQ1592" t="str">
        <f>_xlfn.TEXTAFTER(emissions[[#This Row],[Reporting Unit]]," &gt; ",LEN(emissions[[#This Row],[Reporting Unit]])-LEN(SUBSTITUTE(emissions[[#This Row],[Reporting Unit]],"&gt;","")))</f>
        <v>Vantage_Tlalnepantla de Baz</v>
      </c>
      <c r="AR1592" t="str">
        <f>_xlfn.XLOOKUP(emissions[[#This Row],[Reporting unit name]],hierarchy!$A:$A,hierarchy!$C:$C)</f>
        <v>Warehouse</v>
      </c>
    </row>
    <row r="1593" spans="1:44" hidden="1" x14ac:dyDescent="0.25">
      <c r="A1593">
        <v>4964</v>
      </c>
      <c r="B1593" t="s">
        <v>299</v>
      </c>
      <c r="C1593" t="s">
        <v>493</v>
      </c>
      <c r="D1593" t="s">
        <v>599</v>
      </c>
      <c r="E1593" s="3">
        <v>44197</v>
      </c>
      <c r="F1593" s="3">
        <v>44561</v>
      </c>
      <c r="G1593" t="s">
        <v>108</v>
      </c>
      <c r="H1593" s="3">
        <v>44197</v>
      </c>
      <c r="I1593" s="3">
        <v>44561</v>
      </c>
      <c r="J1593" t="s">
        <v>108</v>
      </c>
      <c r="K1593">
        <v>10714</v>
      </c>
      <c r="L1593" t="s">
        <v>109</v>
      </c>
      <c r="M1593" t="s">
        <v>110</v>
      </c>
      <c r="O1593" t="s">
        <v>600</v>
      </c>
      <c r="P1593" t="s">
        <v>550</v>
      </c>
      <c r="Q1593">
        <v>2021</v>
      </c>
      <c r="R1593" t="s">
        <v>551</v>
      </c>
      <c r="S1593" t="s">
        <v>552</v>
      </c>
      <c r="T1593" t="s">
        <v>553</v>
      </c>
      <c r="U1593" t="b">
        <v>0</v>
      </c>
      <c r="V1593" t="s">
        <v>950</v>
      </c>
      <c r="W1593" t="s">
        <v>555</v>
      </c>
      <c r="X1593" t="s">
        <v>556</v>
      </c>
      <c r="Y1593" t="s">
        <v>472</v>
      </c>
      <c r="Z1593" t="s">
        <v>491</v>
      </c>
      <c r="AA1593" t="s">
        <v>951</v>
      </c>
      <c r="AC1593">
        <v>1</v>
      </c>
      <c r="AD1593" t="s">
        <v>558</v>
      </c>
      <c r="AE1593">
        <v>3.2141999999999999</v>
      </c>
      <c r="AF1593" t="s">
        <v>559</v>
      </c>
      <c r="AG1593" t="s">
        <v>560</v>
      </c>
      <c r="AH1593">
        <v>1</v>
      </c>
      <c r="AI1593">
        <v>10714</v>
      </c>
      <c r="AJ1593" t="s">
        <v>561</v>
      </c>
      <c r="AK1593" t="s">
        <v>562</v>
      </c>
      <c r="AL1593" t="s">
        <v>601</v>
      </c>
      <c r="AM1593">
        <v>2021</v>
      </c>
      <c r="AN1593">
        <v>2019</v>
      </c>
      <c r="AO1593">
        <f>IF(AND(emissions[[#This Row],[Market-based]]=0,emissions[[#This Row],[Impact Type]]="CO2E"),emissions[[#This Row],[kgCO2e]],0)/1000</f>
        <v>0</v>
      </c>
      <c r="AP1593">
        <f>IF(AND(emissions[[#This Row],[Market-based]]=1,OR(emissions[[#This Row],[Impact Type]]="CO2E",emissions[[#This Row],[Impact Type]]="CO2E MKT")),emissions[[#This Row],[kgCO2e]],0)/1000</f>
        <v>0</v>
      </c>
      <c r="AQ1593" t="str">
        <f>_xlfn.TEXTAFTER(emissions[[#This Row],[Reporting Unit]]," &gt; ",LEN(emissions[[#This Row],[Reporting Unit]])-LEN(SUBSTITUTE(emissions[[#This Row],[Reporting Unit]],"&gt;","")))</f>
        <v>Vantage_Tlalnepantla de Baz</v>
      </c>
      <c r="AR1593" t="str">
        <f>_xlfn.XLOOKUP(emissions[[#This Row],[Reporting unit name]],hierarchy!$A:$A,hierarchy!$C:$C)</f>
        <v>Warehouse</v>
      </c>
    </row>
    <row r="1594" spans="1:44" hidden="1" x14ac:dyDescent="0.25">
      <c r="A1594">
        <v>4964</v>
      </c>
      <c r="B1594" t="s">
        <v>299</v>
      </c>
      <c r="C1594" t="s">
        <v>493</v>
      </c>
      <c r="D1594" t="s">
        <v>599</v>
      </c>
      <c r="E1594" s="3">
        <v>44197</v>
      </c>
      <c r="F1594" s="3">
        <v>44561</v>
      </c>
      <c r="G1594" t="s">
        <v>108</v>
      </c>
      <c r="H1594" s="3">
        <v>44197</v>
      </c>
      <c r="I1594" s="3">
        <v>44561</v>
      </c>
      <c r="J1594" t="s">
        <v>108</v>
      </c>
      <c r="K1594">
        <v>10714</v>
      </c>
      <c r="L1594" t="s">
        <v>109</v>
      </c>
      <c r="M1594" t="s">
        <v>110</v>
      </c>
      <c r="O1594" t="s">
        <v>600</v>
      </c>
      <c r="P1594" t="s">
        <v>550</v>
      </c>
      <c r="Q1594">
        <v>2021</v>
      </c>
      <c r="R1594" t="s">
        <v>551</v>
      </c>
      <c r="S1594" t="s">
        <v>552</v>
      </c>
      <c r="T1594" t="s">
        <v>553</v>
      </c>
      <c r="U1594" t="b">
        <v>0</v>
      </c>
      <c r="V1594" t="s">
        <v>950</v>
      </c>
      <c r="W1594" t="s">
        <v>555</v>
      </c>
      <c r="X1594" t="s">
        <v>556</v>
      </c>
      <c r="Y1594" t="s">
        <v>472</v>
      </c>
      <c r="Z1594" t="s">
        <v>491</v>
      </c>
      <c r="AA1594" t="s">
        <v>951</v>
      </c>
      <c r="AC1594">
        <v>1</v>
      </c>
      <c r="AD1594" t="s">
        <v>564</v>
      </c>
      <c r="AE1594">
        <v>4248.1009999999997</v>
      </c>
      <c r="AF1594" t="s">
        <v>559</v>
      </c>
      <c r="AG1594" t="s">
        <v>560</v>
      </c>
      <c r="AH1594">
        <v>1</v>
      </c>
      <c r="AI1594">
        <v>10714</v>
      </c>
      <c r="AJ1594" t="s">
        <v>561</v>
      </c>
      <c r="AK1594" t="s">
        <v>562</v>
      </c>
      <c r="AL1594" t="s">
        <v>601</v>
      </c>
      <c r="AM1594">
        <v>2021</v>
      </c>
      <c r="AN1594">
        <v>2019</v>
      </c>
      <c r="AO1594">
        <f>IF(AND(emissions[[#This Row],[Market-based]]=0,emissions[[#This Row],[Impact Type]]="CO2E"),emissions[[#This Row],[kgCO2e]],0)/1000</f>
        <v>0</v>
      </c>
      <c r="AP1594">
        <f>IF(AND(emissions[[#This Row],[Market-based]]=1,OR(emissions[[#This Row],[Impact Type]]="CO2E",emissions[[#This Row],[Impact Type]]="CO2E MKT")),emissions[[#This Row],[kgCO2e]],0)/1000</f>
        <v>0</v>
      </c>
      <c r="AQ1594" t="str">
        <f>_xlfn.TEXTAFTER(emissions[[#This Row],[Reporting Unit]]," &gt; ",LEN(emissions[[#This Row],[Reporting Unit]])-LEN(SUBSTITUTE(emissions[[#This Row],[Reporting Unit]],"&gt;","")))</f>
        <v>Vantage_Tlalnepantla de Baz</v>
      </c>
      <c r="AR1594" t="str">
        <f>_xlfn.XLOOKUP(emissions[[#This Row],[Reporting unit name]],hierarchy!$A:$A,hierarchy!$C:$C)</f>
        <v>Warehouse</v>
      </c>
    </row>
    <row r="1595" spans="1:44" hidden="1" x14ac:dyDescent="0.25">
      <c r="A1595">
        <v>4964</v>
      </c>
      <c r="B1595" t="s">
        <v>299</v>
      </c>
      <c r="C1595" t="s">
        <v>493</v>
      </c>
      <c r="D1595" t="s">
        <v>599</v>
      </c>
      <c r="E1595" s="3">
        <v>44197</v>
      </c>
      <c r="F1595" s="3">
        <v>44561</v>
      </c>
      <c r="G1595" t="s">
        <v>108</v>
      </c>
      <c r="H1595" s="3">
        <v>44197</v>
      </c>
      <c r="I1595" s="3">
        <v>44561</v>
      </c>
      <c r="J1595" t="s">
        <v>108</v>
      </c>
      <c r="K1595">
        <v>10714</v>
      </c>
      <c r="L1595" t="s">
        <v>109</v>
      </c>
      <c r="M1595" t="s">
        <v>110</v>
      </c>
      <c r="O1595" t="s">
        <v>600</v>
      </c>
      <c r="P1595" t="s">
        <v>550</v>
      </c>
      <c r="Q1595">
        <v>2021</v>
      </c>
      <c r="R1595" t="s">
        <v>551</v>
      </c>
      <c r="S1595" t="s">
        <v>552</v>
      </c>
      <c r="T1595" t="s">
        <v>553</v>
      </c>
      <c r="U1595" t="b">
        <v>0</v>
      </c>
      <c r="V1595" t="s">
        <v>950</v>
      </c>
      <c r="W1595" t="s">
        <v>555</v>
      </c>
      <c r="X1595" t="s">
        <v>556</v>
      </c>
      <c r="Y1595" t="s">
        <v>472</v>
      </c>
      <c r="Z1595" t="s">
        <v>491</v>
      </c>
      <c r="AA1595" t="s">
        <v>951</v>
      </c>
      <c r="AC1595">
        <v>1</v>
      </c>
      <c r="AD1595" t="s">
        <v>565</v>
      </c>
      <c r="AE1595">
        <v>4260.9578000000001</v>
      </c>
      <c r="AF1595" t="s">
        <v>559</v>
      </c>
      <c r="AG1595" t="s">
        <v>560</v>
      </c>
      <c r="AH1595">
        <v>1</v>
      </c>
      <c r="AI1595">
        <v>10714</v>
      </c>
      <c r="AJ1595" t="s">
        <v>561</v>
      </c>
      <c r="AK1595" t="s">
        <v>562</v>
      </c>
      <c r="AL1595" t="s">
        <v>601</v>
      </c>
      <c r="AM1595">
        <v>2021</v>
      </c>
      <c r="AN1595">
        <v>2019</v>
      </c>
      <c r="AO1595">
        <f>IF(AND(emissions[[#This Row],[Market-based]]=0,emissions[[#This Row],[Impact Type]]="CO2E"),emissions[[#This Row],[kgCO2e]],0)/1000</f>
        <v>0</v>
      </c>
      <c r="AP1595">
        <f>IF(AND(emissions[[#This Row],[Market-based]]=1,OR(emissions[[#This Row],[Impact Type]]="CO2E",emissions[[#This Row],[Impact Type]]="CO2E MKT")),emissions[[#This Row],[kgCO2e]],0)/1000</f>
        <v>4.2609577999999999</v>
      </c>
      <c r="AQ1595" t="str">
        <f>_xlfn.TEXTAFTER(emissions[[#This Row],[Reporting Unit]]," &gt; ",LEN(emissions[[#This Row],[Reporting Unit]])-LEN(SUBSTITUTE(emissions[[#This Row],[Reporting Unit]],"&gt;","")))</f>
        <v>Vantage_Tlalnepantla de Baz</v>
      </c>
      <c r="AR1595" t="str">
        <f>_xlfn.XLOOKUP(emissions[[#This Row],[Reporting unit name]],hierarchy!$A:$A,hierarchy!$C:$C)</f>
        <v>Warehouse</v>
      </c>
    </row>
    <row r="1596" spans="1:44" hidden="1" x14ac:dyDescent="0.25">
      <c r="A1596">
        <v>4964</v>
      </c>
      <c r="B1596" t="s">
        <v>299</v>
      </c>
      <c r="C1596" t="s">
        <v>493</v>
      </c>
      <c r="D1596" t="s">
        <v>599</v>
      </c>
      <c r="E1596" s="3">
        <v>44197</v>
      </c>
      <c r="F1596" s="3">
        <v>44561</v>
      </c>
      <c r="G1596" t="s">
        <v>108</v>
      </c>
      <c r="H1596" s="3">
        <v>44197</v>
      </c>
      <c r="I1596" s="3">
        <v>44561</v>
      </c>
      <c r="J1596" t="s">
        <v>108</v>
      </c>
      <c r="K1596">
        <v>10714</v>
      </c>
      <c r="L1596" t="s">
        <v>109</v>
      </c>
      <c r="M1596" t="s">
        <v>110</v>
      </c>
      <c r="O1596" t="s">
        <v>600</v>
      </c>
      <c r="P1596" t="s">
        <v>550</v>
      </c>
      <c r="Q1596">
        <v>2021</v>
      </c>
      <c r="R1596" t="s">
        <v>551</v>
      </c>
      <c r="S1596" t="s">
        <v>552</v>
      </c>
      <c r="T1596" t="s">
        <v>553</v>
      </c>
      <c r="U1596" t="b">
        <v>0</v>
      </c>
      <c r="V1596" t="s">
        <v>950</v>
      </c>
      <c r="W1596" t="s">
        <v>555</v>
      </c>
      <c r="X1596" t="s">
        <v>556</v>
      </c>
      <c r="Y1596" t="s">
        <v>472</v>
      </c>
      <c r="Z1596" t="s">
        <v>491</v>
      </c>
      <c r="AA1596" t="s">
        <v>951</v>
      </c>
      <c r="AC1596">
        <v>1</v>
      </c>
      <c r="AD1596" t="s">
        <v>566</v>
      </c>
      <c r="AE1596">
        <v>9.6425999999999998</v>
      </c>
      <c r="AF1596" t="s">
        <v>559</v>
      </c>
      <c r="AG1596" t="s">
        <v>560</v>
      </c>
      <c r="AH1596">
        <v>1</v>
      </c>
      <c r="AI1596">
        <v>10714</v>
      </c>
      <c r="AJ1596" t="s">
        <v>561</v>
      </c>
      <c r="AK1596" t="s">
        <v>562</v>
      </c>
      <c r="AL1596" t="s">
        <v>601</v>
      </c>
      <c r="AM1596">
        <v>2021</v>
      </c>
      <c r="AN1596">
        <v>2019</v>
      </c>
      <c r="AO1596">
        <f>IF(AND(emissions[[#This Row],[Market-based]]=0,emissions[[#This Row],[Impact Type]]="CO2E"),emissions[[#This Row],[kgCO2e]],0)/1000</f>
        <v>0</v>
      </c>
      <c r="AP1596">
        <f>IF(AND(emissions[[#This Row],[Market-based]]=1,OR(emissions[[#This Row],[Impact Type]]="CO2E",emissions[[#This Row],[Impact Type]]="CO2E MKT")),emissions[[#This Row],[kgCO2e]],0)/1000</f>
        <v>0</v>
      </c>
      <c r="AQ1596" t="str">
        <f>_xlfn.TEXTAFTER(emissions[[#This Row],[Reporting Unit]]," &gt; ",LEN(emissions[[#This Row],[Reporting Unit]])-LEN(SUBSTITUTE(emissions[[#This Row],[Reporting Unit]],"&gt;","")))</f>
        <v>Vantage_Tlalnepantla de Baz</v>
      </c>
      <c r="AR1596" t="str">
        <f>_xlfn.XLOOKUP(emissions[[#This Row],[Reporting unit name]],hierarchy!$A:$A,hierarchy!$C:$C)</f>
        <v>Warehouse</v>
      </c>
    </row>
    <row r="1597" spans="1:44" hidden="1" x14ac:dyDescent="0.25">
      <c r="A1597">
        <v>4964</v>
      </c>
      <c r="B1597" t="s">
        <v>299</v>
      </c>
      <c r="C1597" t="s">
        <v>493</v>
      </c>
      <c r="D1597" t="s">
        <v>599</v>
      </c>
      <c r="E1597" s="3">
        <v>44197</v>
      </c>
      <c r="F1597" s="3">
        <v>44561</v>
      </c>
      <c r="G1597" t="s">
        <v>108</v>
      </c>
      <c r="H1597" s="3">
        <v>44197</v>
      </c>
      <c r="I1597" s="3">
        <v>44561</v>
      </c>
      <c r="J1597" t="s">
        <v>108</v>
      </c>
      <c r="K1597">
        <v>10714</v>
      </c>
      <c r="L1597" t="s">
        <v>109</v>
      </c>
      <c r="M1597" t="s">
        <v>110</v>
      </c>
      <c r="O1597" t="s">
        <v>600</v>
      </c>
      <c r="P1597" t="s">
        <v>550</v>
      </c>
      <c r="Q1597">
        <v>2021</v>
      </c>
      <c r="R1597" t="s">
        <v>567</v>
      </c>
      <c r="S1597" t="s">
        <v>568</v>
      </c>
      <c r="T1597" t="s">
        <v>569</v>
      </c>
      <c r="U1597" t="b">
        <v>0</v>
      </c>
      <c r="V1597" t="s">
        <v>957</v>
      </c>
      <c r="W1597" t="s">
        <v>571</v>
      </c>
      <c r="X1597" t="s">
        <v>572</v>
      </c>
      <c r="Y1597" t="s">
        <v>472</v>
      </c>
      <c r="Z1597" t="s">
        <v>491</v>
      </c>
      <c r="AA1597" t="s">
        <v>951</v>
      </c>
      <c r="AC1597">
        <v>0</v>
      </c>
      <c r="AD1597" t="s">
        <v>565</v>
      </c>
      <c r="AE1597">
        <v>175.48580670000001</v>
      </c>
      <c r="AF1597">
        <v>1.6379112000000001E-2</v>
      </c>
      <c r="AG1597" t="s">
        <v>560</v>
      </c>
      <c r="AH1597">
        <v>1</v>
      </c>
      <c r="AI1597">
        <v>10714</v>
      </c>
      <c r="AJ1597" t="s">
        <v>561</v>
      </c>
      <c r="AK1597" t="s">
        <v>589</v>
      </c>
      <c r="AL1597" t="s">
        <v>603</v>
      </c>
      <c r="AM1597">
        <v>2021</v>
      </c>
      <c r="AN1597">
        <v>2019</v>
      </c>
      <c r="AO1597">
        <f>IF(AND(emissions[[#This Row],[Market-based]]=0,emissions[[#This Row],[Impact Type]]="CO2E"),emissions[[#This Row],[kgCO2e]],0)/1000</f>
        <v>0.17548580670000002</v>
      </c>
      <c r="AP1597">
        <f>IF(AND(emissions[[#This Row],[Market-based]]=1,OR(emissions[[#This Row],[Impact Type]]="CO2E",emissions[[#This Row],[Impact Type]]="CO2E MKT")),emissions[[#This Row],[kgCO2e]],0)/1000</f>
        <v>0</v>
      </c>
      <c r="AQ1597" t="str">
        <f>_xlfn.TEXTAFTER(emissions[[#This Row],[Reporting Unit]]," &gt; ",LEN(emissions[[#This Row],[Reporting Unit]])-LEN(SUBSTITUTE(emissions[[#This Row],[Reporting Unit]],"&gt;","")))</f>
        <v>Vantage_Tlalnepantla de Baz</v>
      </c>
      <c r="AR1597" t="str">
        <f>_xlfn.XLOOKUP(emissions[[#This Row],[Reporting unit name]],hierarchy!$A:$A,hierarchy!$C:$C)</f>
        <v>Warehouse</v>
      </c>
    </row>
    <row r="1598" spans="1:44" hidden="1" x14ac:dyDescent="0.25">
      <c r="A1598">
        <v>4964</v>
      </c>
      <c r="B1598" t="s">
        <v>299</v>
      </c>
      <c r="C1598" t="s">
        <v>493</v>
      </c>
      <c r="D1598" t="s">
        <v>599</v>
      </c>
      <c r="E1598" s="3">
        <v>44197</v>
      </c>
      <c r="F1598" s="3">
        <v>44561</v>
      </c>
      <c r="G1598" t="s">
        <v>108</v>
      </c>
      <c r="H1598" s="3">
        <v>44197</v>
      </c>
      <c r="I1598" s="3">
        <v>44561</v>
      </c>
      <c r="J1598" t="s">
        <v>108</v>
      </c>
      <c r="K1598">
        <v>10714</v>
      </c>
      <c r="L1598" t="s">
        <v>109</v>
      </c>
      <c r="M1598" t="s">
        <v>110</v>
      </c>
      <c r="O1598" t="s">
        <v>600</v>
      </c>
      <c r="P1598" t="s">
        <v>550</v>
      </c>
      <c r="Q1598">
        <v>2021</v>
      </c>
      <c r="R1598" t="s">
        <v>567</v>
      </c>
      <c r="S1598" t="s">
        <v>568</v>
      </c>
      <c r="T1598" t="s">
        <v>569</v>
      </c>
      <c r="U1598" t="b">
        <v>0</v>
      </c>
      <c r="V1598" t="s">
        <v>957</v>
      </c>
      <c r="W1598" t="s">
        <v>571</v>
      </c>
      <c r="X1598" t="s">
        <v>572</v>
      </c>
      <c r="Y1598" t="s">
        <v>472</v>
      </c>
      <c r="Z1598" t="s">
        <v>491</v>
      </c>
      <c r="AA1598" t="s">
        <v>951</v>
      </c>
      <c r="AC1598">
        <v>1</v>
      </c>
      <c r="AD1598" t="s">
        <v>565</v>
      </c>
      <c r="AE1598">
        <v>175.48580670000001</v>
      </c>
      <c r="AF1598">
        <v>1.6379112000000001E-2</v>
      </c>
      <c r="AG1598" t="s">
        <v>560</v>
      </c>
      <c r="AH1598">
        <v>1</v>
      </c>
      <c r="AI1598">
        <v>10714</v>
      </c>
      <c r="AJ1598" t="s">
        <v>561</v>
      </c>
      <c r="AK1598" t="s">
        <v>589</v>
      </c>
      <c r="AL1598" t="s">
        <v>603</v>
      </c>
      <c r="AM1598">
        <v>2021</v>
      </c>
      <c r="AN1598">
        <v>2019</v>
      </c>
      <c r="AO1598">
        <f>IF(AND(emissions[[#This Row],[Market-based]]=0,emissions[[#This Row],[Impact Type]]="CO2E"),emissions[[#This Row],[kgCO2e]],0)/1000</f>
        <v>0</v>
      </c>
      <c r="AP1598">
        <f>IF(AND(emissions[[#This Row],[Market-based]]=1,OR(emissions[[#This Row],[Impact Type]]="CO2E",emissions[[#This Row],[Impact Type]]="CO2E MKT")),emissions[[#This Row],[kgCO2e]],0)/1000</f>
        <v>0.17548580670000002</v>
      </c>
      <c r="AQ1598" t="str">
        <f>_xlfn.TEXTAFTER(emissions[[#This Row],[Reporting Unit]]," &gt; ",LEN(emissions[[#This Row],[Reporting Unit]])-LEN(SUBSTITUTE(emissions[[#This Row],[Reporting Unit]],"&gt;","")))</f>
        <v>Vantage_Tlalnepantla de Baz</v>
      </c>
      <c r="AR1598" t="str">
        <f>_xlfn.XLOOKUP(emissions[[#This Row],[Reporting unit name]],hierarchy!$A:$A,hierarchy!$C:$C)</f>
        <v>Warehouse</v>
      </c>
    </row>
    <row r="1599" spans="1:44" hidden="1" x14ac:dyDescent="0.25">
      <c r="A1599">
        <v>4964</v>
      </c>
      <c r="B1599" t="s">
        <v>299</v>
      </c>
      <c r="C1599" t="s">
        <v>493</v>
      </c>
      <c r="D1599" t="s">
        <v>599</v>
      </c>
      <c r="E1599" s="3">
        <v>44197</v>
      </c>
      <c r="F1599" s="3">
        <v>44561</v>
      </c>
      <c r="G1599" t="s">
        <v>108</v>
      </c>
      <c r="H1599" s="3">
        <v>44197</v>
      </c>
      <c r="I1599" s="3">
        <v>44561</v>
      </c>
      <c r="J1599" t="s">
        <v>108</v>
      </c>
      <c r="K1599">
        <v>10714</v>
      </c>
      <c r="L1599" t="s">
        <v>109</v>
      </c>
      <c r="M1599" t="s">
        <v>110</v>
      </c>
      <c r="O1599" t="s">
        <v>600</v>
      </c>
      <c r="P1599" t="s">
        <v>550</v>
      </c>
      <c r="Q1599">
        <v>2021</v>
      </c>
      <c r="R1599" t="s">
        <v>575</v>
      </c>
      <c r="S1599" t="s">
        <v>576</v>
      </c>
      <c r="T1599" t="s">
        <v>577</v>
      </c>
      <c r="U1599" t="b">
        <v>0</v>
      </c>
      <c r="V1599" t="s">
        <v>958</v>
      </c>
      <c r="W1599" t="s">
        <v>571</v>
      </c>
      <c r="X1599" t="s">
        <v>572</v>
      </c>
      <c r="Y1599" t="s">
        <v>472</v>
      </c>
      <c r="Z1599" t="s">
        <v>491</v>
      </c>
      <c r="AA1599" t="s">
        <v>951</v>
      </c>
      <c r="AC1599">
        <v>0</v>
      </c>
      <c r="AD1599" t="s">
        <v>565</v>
      </c>
      <c r="AE1599">
        <v>1059.528548</v>
      </c>
      <c r="AF1599">
        <v>9.8891967999999997E-2</v>
      </c>
      <c r="AG1599" t="s">
        <v>560</v>
      </c>
      <c r="AH1599">
        <v>1</v>
      </c>
      <c r="AI1599">
        <v>10714</v>
      </c>
      <c r="AJ1599" t="s">
        <v>561</v>
      </c>
      <c r="AK1599" t="s">
        <v>589</v>
      </c>
      <c r="AL1599" t="s">
        <v>603</v>
      </c>
      <c r="AM1599">
        <v>2021</v>
      </c>
      <c r="AN1599">
        <v>2019</v>
      </c>
      <c r="AO1599">
        <f>IF(AND(emissions[[#This Row],[Market-based]]=0,emissions[[#This Row],[Impact Type]]="CO2E"),emissions[[#This Row],[kgCO2e]],0)/1000</f>
        <v>1.0595285480000001</v>
      </c>
      <c r="AP1599">
        <f>IF(AND(emissions[[#This Row],[Market-based]]=1,OR(emissions[[#This Row],[Impact Type]]="CO2E",emissions[[#This Row],[Impact Type]]="CO2E MKT")),emissions[[#This Row],[kgCO2e]],0)/1000</f>
        <v>0</v>
      </c>
      <c r="AQ1599" t="str">
        <f>_xlfn.TEXTAFTER(emissions[[#This Row],[Reporting Unit]]," &gt; ",LEN(emissions[[#This Row],[Reporting Unit]])-LEN(SUBSTITUTE(emissions[[#This Row],[Reporting Unit]],"&gt;","")))</f>
        <v>Vantage_Tlalnepantla de Baz</v>
      </c>
      <c r="AR1599" t="str">
        <f>_xlfn.XLOOKUP(emissions[[#This Row],[Reporting unit name]],hierarchy!$A:$A,hierarchy!$C:$C)</f>
        <v>Warehouse</v>
      </c>
    </row>
    <row r="1600" spans="1:44" hidden="1" x14ac:dyDescent="0.25">
      <c r="A1600">
        <v>4964</v>
      </c>
      <c r="B1600" t="s">
        <v>299</v>
      </c>
      <c r="C1600" t="s">
        <v>493</v>
      </c>
      <c r="D1600" t="s">
        <v>599</v>
      </c>
      <c r="E1600" s="3">
        <v>44197</v>
      </c>
      <c r="F1600" s="3">
        <v>44561</v>
      </c>
      <c r="G1600" t="s">
        <v>108</v>
      </c>
      <c r="H1600" s="3">
        <v>44197</v>
      </c>
      <c r="I1600" s="3">
        <v>44561</v>
      </c>
      <c r="J1600" t="s">
        <v>108</v>
      </c>
      <c r="K1600">
        <v>10714</v>
      </c>
      <c r="L1600" t="s">
        <v>109</v>
      </c>
      <c r="M1600" t="s">
        <v>110</v>
      </c>
      <c r="O1600" t="s">
        <v>600</v>
      </c>
      <c r="P1600" t="s">
        <v>550</v>
      </c>
      <c r="Q1600">
        <v>2021</v>
      </c>
      <c r="R1600" t="s">
        <v>575</v>
      </c>
      <c r="S1600" t="s">
        <v>576</v>
      </c>
      <c r="T1600" t="s">
        <v>577</v>
      </c>
      <c r="U1600" t="b">
        <v>0</v>
      </c>
      <c r="V1600" t="s">
        <v>958</v>
      </c>
      <c r="W1600" t="s">
        <v>571</v>
      </c>
      <c r="X1600" t="s">
        <v>572</v>
      </c>
      <c r="Y1600" t="s">
        <v>472</v>
      </c>
      <c r="Z1600" t="s">
        <v>491</v>
      </c>
      <c r="AA1600" t="s">
        <v>951</v>
      </c>
      <c r="AC1600">
        <v>1</v>
      </c>
      <c r="AD1600" t="s">
        <v>565</v>
      </c>
      <c r="AE1600">
        <v>1059.528548</v>
      </c>
      <c r="AF1600">
        <v>9.8891967999999997E-2</v>
      </c>
      <c r="AG1600" t="s">
        <v>560</v>
      </c>
      <c r="AH1600">
        <v>1</v>
      </c>
      <c r="AI1600">
        <v>10714</v>
      </c>
      <c r="AJ1600" t="s">
        <v>561</v>
      </c>
      <c r="AK1600" t="s">
        <v>589</v>
      </c>
      <c r="AL1600" t="s">
        <v>603</v>
      </c>
      <c r="AM1600">
        <v>2021</v>
      </c>
      <c r="AN1600">
        <v>2019</v>
      </c>
      <c r="AO1600">
        <f>IF(AND(emissions[[#This Row],[Market-based]]=0,emissions[[#This Row],[Impact Type]]="CO2E"),emissions[[#This Row],[kgCO2e]],0)/1000</f>
        <v>0</v>
      </c>
      <c r="AP1600">
        <f>IF(AND(emissions[[#This Row],[Market-based]]=1,OR(emissions[[#This Row],[Impact Type]]="CO2E",emissions[[#This Row],[Impact Type]]="CO2E MKT")),emissions[[#This Row],[kgCO2e]],0)/1000</f>
        <v>1.0595285480000001</v>
      </c>
      <c r="AQ1600" t="str">
        <f>_xlfn.TEXTAFTER(emissions[[#This Row],[Reporting Unit]]," &gt; ",LEN(emissions[[#This Row],[Reporting Unit]])-LEN(SUBSTITUTE(emissions[[#This Row],[Reporting Unit]],"&gt;","")))</f>
        <v>Vantage_Tlalnepantla de Baz</v>
      </c>
      <c r="AR1600" t="str">
        <f>_xlfn.XLOOKUP(emissions[[#This Row],[Reporting unit name]],hierarchy!$A:$A,hierarchy!$C:$C)</f>
        <v>Warehouse</v>
      </c>
    </row>
    <row r="1601" spans="1:44" hidden="1" x14ac:dyDescent="0.25">
      <c r="A1601">
        <v>4964</v>
      </c>
      <c r="B1601" t="s">
        <v>299</v>
      </c>
      <c r="C1601" t="s">
        <v>493</v>
      </c>
      <c r="D1601" t="s">
        <v>599</v>
      </c>
      <c r="E1601" s="3">
        <v>44197</v>
      </c>
      <c r="F1601" s="3">
        <v>44561</v>
      </c>
      <c r="G1601" t="s">
        <v>108</v>
      </c>
      <c r="H1601" s="3">
        <v>44197</v>
      </c>
      <c r="I1601" s="3">
        <v>44561</v>
      </c>
      <c r="J1601" t="s">
        <v>108</v>
      </c>
      <c r="K1601">
        <v>10714</v>
      </c>
      <c r="L1601" t="s">
        <v>109</v>
      </c>
      <c r="M1601" t="s">
        <v>110</v>
      </c>
      <c r="O1601" t="s">
        <v>600</v>
      </c>
      <c r="P1601" t="s">
        <v>550</v>
      </c>
      <c r="Q1601">
        <v>2021</v>
      </c>
      <c r="R1601" t="s">
        <v>579</v>
      </c>
      <c r="S1601" t="s">
        <v>580</v>
      </c>
      <c r="T1601" t="s">
        <v>581</v>
      </c>
      <c r="U1601" t="b">
        <v>0</v>
      </c>
      <c r="V1601" t="s">
        <v>954</v>
      </c>
      <c r="W1601" t="s">
        <v>571</v>
      </c>
      <c r="X1601" t="s">
        <v>572</v>
      </c>
      <c r="Y1601" t="s">
        <v>472</v>
      </c>
      <c r="Z1601" t="s">
        <v>491</v>
      </c>
      <c r="AA1601" t="s">
        <v>951</v>
      </c>
      <c r="AC1601">
        <v>0</v>
      </c>
      <c r="AD1601" t="s">
        <v>565</v>
      </c>
      <c r="AE1601">
        <v>508.91500000000002</v>
      </c>
      <c r="AF1601" t="s">
        <v>559</v>
      </c>
      <c r="AG1601" t="s">
        <v>560</v>
      </c>
      <c r="AH1601">
        <v>1</v>
      </c>
      <c r="AI1601">
        <v>10714</v>
      </c>
      <c r="AJ1601" t="s">
        <v>561</v>
      </c>
      <c r="AK1601" t="s">
        <v>562</v>
      </c>
      <c r="AL1601" t="s">
        <v>601</v>
      </c>
      <c r="AM1601">
        <v>2021</v>
      </c>
      <c r="AN1601">
        <v>2019</v>
      </c>
      <c r="AO1601">
        <f>IF(AND(emissions[[#This Row],[Market-based]]=0,emissions[[#This Row],[Impact Type]]="CO2E"),emissions[[#This Row],[kgCO2e]],0)/1000</f>
        <v>0.50891500000000001</v>
      </c>
      <c r="AP1601">
        <f>IF(AND(emissions[[#This Row],[Market-based]]=1,OR(emissions[[#This Row],[Impact Type]]="CO2E",emissions[[#This Row],[Impact Type]]="CO2E MKT")),emissions[[#This Row],[kgCO2e]],0)/1000</f>
        <v>0</v>
      </c>
      <c r="AQ1601" t="str">
        <f>_xlfn.TEXTAFTER(emissions[[#This Row],[Reporting Unit]]," &gt; ",LEN(emissions[[#This Row],[Reporting Unit]])-LEN(SUBSTITUTE(emissions[[#This Row],[Reporting Unit]],"&gt;","")))</f>
        <v>Vantage_Tlalnepantla de Baz</v>
      </c>
      <c r="AR1601" t="str">
        <f>_xlfn.XLOOKUP(emissions[[#This Row],[Reporting unit name]],hierarchy!$A:$A,hierarchy!$C:$C)</f>
        <v>Warehouse</v>
      </c>
    </row>
    <row r="1602" spans="1:44" hidden="1" x14ac:dyDescent="0.25">
      <c r="A1602">
        <v>4964</v>
      </c>
      <c r="B1602" t="s">
        <v>299</v>
      </c>
      <c r="C1602" t="s">
        <v>493</v>
      </c>
      <c r="D1602" t="s">
        <v>599</v>
      </c>
      <c r="E1602" s="3">
        <v>44197</v>
      </c>
      <c r="F1602" s="3">
        <v>44561</v>
      </c>
      <c r="G1602" t="s">
        <v>108</v>
      </c>
      <c r="H1602" s="3">
        <v>44197</v>
      </c>
      <c r="I1602" s="3">
        <v>44561</v>
      </c>
      <c r="J1602" t="s">
        <v>108</v>
      </c>
      <c r="K1602">
        <v>10714</v>
      </c>
      <c r="L1602" t="s">
        <v>109</v>
      </c>
      <c r="M1602" t="s">
        <v>110</v>
      </c>
      <c r="O1602" t="s">
        <v>600</v>
      </c>
      <c r="P1602" t="s">
        <v>550</v>
      </c>
      <c r="Q1602">
        <v>2021</v>
      </c>
      <c r="R1602" t="s">
        <v>579</v>
      </c>
      <c r="S1602" t="s">
        <v>580</v>
      </c>
      <c r="T1602" t="s">
        <v>581</v>
      </c>
      <c r="U1602" t="b">
        <v>0</v>
      </c>
      <c r="V1602" t="s">
        <v>954</v>
      </c>
      <c r="W1602" t="s">
        <v>571</v>
      </c>
      <c r="X1602" t="s">
        <v>572</v>
      </c>
      <c r="Y1602" t="s">
        <v>472</v>
      </c>
      <c r="Z1602" t="s">
        <v>491</v>
      </c>
      <c r="AA1602" t="s">
        <v>951</v>
      </c>
      <c r="AC1602">
        <v>1</v>
      </c>
      <c r="AD1602" t="s">
        <v>565</v>
      </c>
      <c r="AE1602">
        <v>508.91500000000002</v>
      </c>
      <c r="AF1602" t="s">
        <v>559</v>
      </c>
      <c r="AG1602" t="s">
        <v>560</v>
      </c>
      <c r="AH1602">
        <v>1</v>
      </c>
      <c r="AI1602">
        <v>10714</v>
      </c>
      <c r="AJ1602" t="s">
        <v>561</v>
      </c>
      <c r="AK1602" t="s">
        <v>562</v>
      </c>
      <c r="AL1602" t="s">
        <v>601</v>
      </c>
      <c r="AM1602">
        <v>2021</v>
      </c>
      <c r="AN1602">
        <v>2019</v>
      </c>
      <c r="AO1602">
        <f>IF(AND(emissions[[#This Row],[Market-based]]=0,emissions[[#This Row],[Impact Type]]="CO2E"),emissions[[#This Row],[kgCO2e]],0)/1000</f>
        <v>0</v>
      </c>
      <c r="AP1602">
        <f>IF(AND(emissions[[#This Row],[Market-based]]=1,OR(emissions[[#This Row],[Impact Type]]="CO2E",emissions[[#This Row],[Impact Type]]="CO2E MKT")),emissions[[#This Row],[kgCO2e]],0)/1000</f>
        <v>0.50891500000000001</v>
      </c>
      <c r="AQ1602" t="str">
        <f>_xlfn.TEXTAFTER(emissions[[#This Row],[Reporting Unit]]," &gt; ",LEN(emissions[[#This Row],[Reporting Unit]])-LEN(SUBSTITUTE(emissions[[#This Row],[Reporting Unit]],"&gt;","")))</f>
        <v>Vantage_Tlalnepantla de Baz</v>
      </c>
      <c r="AR1602" t="str">
        <f>_xlfn.XLOOKUP(emissions[[#This Row],[Reporting unit name]],hierarchy!$A:$A,hierarchy!$C:$C)</f>
        <v>Warehouse</v>
      </c>
    </row>
    <row r="1603" spans="1:44" hidden="1" x14ac:dyDescent="0.25">
      <c r="A1603">
        <v>4989</v>
      </c>
      <c r="B1603" t="s">
        <v>299</v>
      </c>
      <c r="C1603" t="s">
        <v>493</v>
      </c>
      <c r="D1603" t="s">
        <v>599</v>
      </c>
      <c r="E1603" s="3">
        <v>44197</v>
      </c>
      <c r="F1603" s="3">
        <v>44561</v>
      </c>
      <c r="G1603" t="s">
        <v>135</v>
      </c>
      <c r="H1603" s="3">
        <v>44197</v>
      </c>
      <c r="I1603" s="3">
        <v>44561</v>
      </c>
      <c r="J1603" t="s">
        <v>135</v>
      </c>
      <c r="K1603">
        <v>0</v>
      </c>
      <c r="L1603" t="s">
        <v>140</v>
      </c>
      <c r="M1603" t="s">
        <v>82</v>
      </c>
      <c r="O1603" t="s">
        <v>600</v>
      </c>
      <c r="P1603" t="s">
        <v>550</v>
      </c>
      <c r="Q1603">
        <v>2021</v>
      </c>
      <c r="R1603" t="s">
        <v>605</v>
      </c>
      <c r="S1603" t="s">
        <v>606</v>
      </c>
      <c r="T1603" t="s">
        <v>553</v>
      </c>
      <c r="U1603" t="b">
        <v>0</v>
      </c>
      <c r="V1603" t="s">
        <v>781</v>
      </c>
      <c r="W1603" t="s">
        <v>587</v>
      </c>
      <c r="X1603" t="s">
        <v>556</v>
      </c>
      <c r="Y1603" t="s">
        <v>472</v>
      </c>
      <c r="AC1603">
        <v>0</v>
      </c>
      <c r="AD1603" t="s">
        <v>558</v>
      </c>
      <c r="AE1603">
        <v>0</v>
      </c>
      <c r="AF1603">
        <v>2.5000000000000001E-2</v>
      </c>
      <c r="AG1603" t="s">
        <v>798</v>
      </c>
      <c r="AH1603">
        <v>9.9999999999999995E-7</v>
      </c>
      <c r="AI1603">
        <v>0</v>
      </c>
      <c r="AJ1603" t="s">
        <v>561</v>
      </c>
      <c r="AK1603" t="s">
        <v>766</v>
      </c>
      <c r="AL1603" t="s">
        <v>790</v>
      </c>
      <c r="AM1603">
        <v>2021</v>
      </c>
      <c r="AN1603">
        <v>2021</v>
      </c>
      <c r="AO1603">
        <f>IF(AND(emissions[[#This Row],[Market-based]]=0,emissions[[#This Row],[Impact Type]]="CO2E"),emissions[[#This Row],[kgCO2e]],0)/1000</f>
        <v>0</v>
      </c>
      <c r="AP1603">
        <f>IF(AND(emissions[[#This Row],[Market-based]]=1,OR(emissions[[#This Row],[Impact Type]]="CO2E",emissions[[#This Row],[Impact Type]]="CO2E MKT")),emissions[[#This Row],[kgCO2e]],0)/1000</f>
        <v>0</v>
      </c>
      <c r="AQ1603" t="str">
        <f>_xlfn.TEXTAFTER(emissions[[#This Row],[Reporting Unit]]," &gt; ",LEN(emissions[[#This Row],[Reporting Unit]])-LEN(SUBSTITUTE(emissions[[#This Row],[Reporting Unit]],"&gt;","")))</f>
        <v>Vantage_Tlalnepantla de Baz</v>
      </c>
      <c r="AR1603" t="str">
        <f>_xlfn.XLOOKUP(emissions[[#This Row],[Reporting unit name]],hierarchy!$A:$A,hierarchy!$C:$C)</f>
        <v>Warehouse</v>
      </c>
    </row>
    <row r="1604" spans="1:44" hidden="1" x14ac:dyDescent="0.25">
      <c r="A1604">
        <v>4989</v>
      </c>
      <c r="B1604" t="s">
        <v>299</v>
      </c>
      <c r="C1604" t="s">
        <v>493</v>
      </c>
      <c r="D1604" t="s">
        <v>599</v>
      </c>
      <c r="E1604" s="3">
        <v>44197</v>
      </c>
      <c r="F1604" s="3">
        <v>44561</v>
      </c>
      <c r="G1604" t="s">
        <v>135</v>
      </c>
      <c r="H1604" s="3">
        <v>44197</v>
      </c>
      <c r="I1604" s="3">
        <v>44561</v>
      </c>
      <c r="J1604" t="s">
        <v>135</v>
      </c>
      <c r="K1604">
        <v>0</v>
      </c>
      <c r="L1604" t="s">
        <v>140</v>
      </c>
      <c r="M1604" t="s">
        <v>82</v>
      </c>
      <c r="O1604" t="s">
        <v>600</v>
      </c>
      <c r="P1604" t="s">
        <v>550</v>
      </c>
      <c r="Q1604">
        <v>2021</v>
      </c>
      <c r="R1604" t="s">
        <v>605</v>
      </c>
      <c r="S1604" t="s">
        <v>606</v>
      </c>
      <c r="T1604" t="s">
        <v>553</v>
      </c>
      <c r="U1604" t="b">
        <v>0</v>
      </c>
      <c r="V1604" t="s">
        <v>781</v>
      </c>
      <c r="W1604" t="s">
        <v>587</v>
      </c>
      <c r="X1604" t="s">
        <v>556</v>
      </c>
      <c r="Y1604" t="s">
        <v>472</v>
      </c>
      <c r="AC1604">
        <v>0</v>
      </c>
      <c r="AD1604" t="s">
        <v>564</v>
      </c>
      <c r="AE1604">
        <v>0</v>
      </c>
      <c r="AF1604">
        <v>53.06</v>
      </c>
      <c r="AG1604" t="s">
        <v>798</v>
      </c>
      <c r="AH1604">
        <v>9.9999999999999995E-7</v>
      </c>
      <c r="AI1604">
        <v>0</v>
      </c>
      <c r="AJ1604" t="s">
        <v>561</v>
      </c>
      <c r="AK1604" t="s">
        <v>766</v>
      </c>
      <c r="AL1604" t="s">
        <v>787</v>
      </c>
      <c r="AM1604">
        <v>2021</v>
      </c>
      <c r="AN1604">
        <v>2020</v>
      </c>
      <c r="AO1604">
        <f>IF(AND(emissions[[#This Row],[Market-based]]=0,emissions[[#This Row],[Impact Type]]="CO2E"),emissions[[#This Row],[kgCO2e]],0)/1000</f>
        <v>0</v>
      </c>
      <c r="AP1604">
        <f>IF(AND(emissions[[#This Row],[Market-based]]=1,OR(emissions[[#This Row],[Impact Type]]="CO2E",emissions[[#This Row],[Impact Type]]="CO2E MKT")),emissions[[#This Row],[kgCO2e]],0)/1000</f>
        <v>0</v>
      </c>
      <c r="AQ1604" t="str">
        <f>_xlfn.TEXTAFTER(emissions[[#This Row],[Reporting Unit]]," &gt; ",LEN(emissions[[#This Row],[Reporting Unit]])-LEN(SUBSTITUTE(emissions[[#This Row],[Reporting Unit]],"&gt;","")))</f>
        <v>Vantage_Tlalnepantla de Baz</v>
      </c>
      <c r="AR1604" t="str">
        <f>_xlfn.XLOOKUP(emissions[[#This Row],[Reporting unit name]],hierarchy!$A:$A,hierarchy!$C:$C)</f>
        <v>Warehouse</v>
      </c>
    </row>
    <row r="1605" spans="1:44" hidden="1" x14ac:dyDescent="0.25">
      <c r="A1605">
        <v>4989</v>
      </c>
      <c r="B1605" t="s">
        <v>299</v>
      </c>
      <c r="C1605" t="s">
        <v>493</v>
      </c>
      <c r="D1605" t="s">
        <v>599</v>
      </c>
      <c r="E1605" s="3">
        <v>44197</v>
      </c>
      <c r="F1605" s="3">
        <v>44561</v>
      </c>
      <c r="G1605" t="s">
        <v>135</v>
      </c>
      <c r="H1605" s="3">
        <v>44197</v>
      </c>
      <c r="I1605" s="3">
        <v>44561</v>
      </c>
      <c r="J1605" t="s">
        <v>135</v>
      </c>
      <c r="K1605">
        <v>0</v>
      </c>
      <c r="L1605" t="s">
        <v>140</v>
      </c>
      <c r="M1605" t="s">
        <v>82</v>
      </c>
      <c r="O1605" t="s">
        <v>600</v>
      </c>
      <c r="P1605" t="s">
        <v>550</v>
      </c>
      <c r="Q1605">
        <v>2021</v>
      </c>
      <c r="R1605" t="s">
        <v>605</v>
      </c>
      <c r="S1605" t="s">
        <v>606</v>
      </c>
      <c r="T1605" t="s">
        <v>553</v>
      </c>
      <c r="U1605" t="b">
        <v>0</v>
      </c>
      <c r="V1605" t="s">
        <v>781</v>
      </c>
      <c r="W1605" t="s">
        <v>587</v>
      </c>
      <c r="X1605" t="s">
        <v>556</v>
      </c>
      <c r="Y1605" t="s">
        <v>472</v>
      </c>
      <c r="AC1605">
        <v>0</v>
      </c>
      <c r="AD1605" t="s">
        <v>565</v>
      </c>
      <c r="AE1605">
        <v>0</v>
      </c>
      <c r="AF1605">
        <v>53.114800000000002</v>
      </c>
      <c r="AG1605" t="s">
        <v>798</v>
      </c>
      <c r="AH1605">
        <v>9.9999999999999995E-7</v>
      </c>
      <c r="AI1605">
        <v>0</v>
      </c>
      <c r="AJ1605" t="s">
        <v>561</v>
      </c>
      <c r="AK1605" t="s">
        <v>766</v>
      </c>
      <c r="AL1605" t="s">
        <v>790</v>
      </c>
      <c r="AM1605">
        <v>2021</v>
      </c>
      <c r="AN1605">
        <v>2021</v>
      </c>
      <c r="AO1605">
        <f>IF(AND(emissions[[#This Row],[Market-based]]=0,emissions[[#This Row],[Impact Type]]="CO2E"),emissions[[#This Row],[kgCO2e]],0)/1000</f>
        <v>0</v>
      </c>
      <c r="AP1605">
        <f>IF(AND(emissions[[#This Row],[Market-based]]=1,OR(emissions[[#This Row],[Impact Type]]="CO2E",emissions[[#This Row],[Impact Type]]="CO2E MKT")),emissions[[#This Row],[kgCO2e]],0)/1000</f>
        <v>0</v>
      </c>
      <c r="AQ1605" t="str">
        <f>_xlfn.TEXTAFTER(emissions[[#This Row],[Reporting Unit]]," &gt; ",LEN(emissions[[#This Row],[Reporting Unit]])-LEN(SUBSTITUTE(emissions[[#This Row],[Reporting Unit]],"&gt;","")))</f>
        <v>Vantage_Tlalnepantla de Baz</v>
      </c>
      <c r="AR1605" t="str">
        <f>_xlfn.XLOOKUP(emissions[[#This Row],[Reporting unit name]],hierarchy!$A:$A,hierarchy!$C:$C)</f>
        <v>Warehouse</v>
      </c>
    </row>
    <row r="1606" spans="1:44" hidden="1" x14ac:dyDescent="0.25">
      <c r="A1606">
        <v>4989</v>
      </c>
      <c r="B1606" t="s">
        <v>299</v>
      </c>
      <c r="C1606" t="s">
        <v>493</v>
      </c>
      <c r="D1606" t="s">
        <v>599</v>
      </c>
      <c r="E1606" s="3">
        <v>44197</v>
      </c>
      <c r="F1606" s="3">
        <v>44561</v>
      </c>
      <c r="G1606" t="s">
        <v>135</v>
      </c>
      <c r="H1606" s="3">
        <v>44197</v>
      </c>
      <c r="I1606" s="3">
        <v>44561</v>
      </c>
      <c r="J1606" t="s">
        <v>135</v>
      </c>
      <c r="K1606">
        <v>0</v>
      </c>
      <c r="L1606" t="s">
        <v>140</v>
      </c>
      <c r="M1606" t="s">
        <v>82</v>
      </c>
      <c r="O1606" t="s">
        <v>600</v>
      </c>
      <c r="P1606" t="s">
        <v>550</v>
      </c>
      <c r="Q1606">
        <v>2021</v>
      </c>
      <c r="R1606" t="s">
        <v>605</v>
      </c>
      <c r="S1606" t="s">
        <v>606</v>
      </c>
      <c r="T1606" t="s">
        <v>553</v>
      </c>
      <c r="U1606" t="b">
        <v>0</v>
      </c>
      <c r="V1606" t="s">
        <v>781</v>
      </c>
      <c r="W1606" t="s">
        <v>587</v>
      </c>
      <c r="X1606" t="s">
        <v>556</v>
      </c>
      <c r="Y1606" t="s">
        <v>472</v>
      </c>
      <c r="AC1606">
        <v>0</v>
      </c>
      <c r="AD1606" t="s">
        <v>566</v>
      </c>
      <c r="AE1606">
        <v>0</v>
      </c>
      <c r="AF1606">
        <v>2.98E-2</v>
      </c>
      <c r="AG1606" t="s">
        <v>798</v>
      </c>
      <c r="AH1606">
        <v>9.9999999999999995E-7</v>
      </c>
      <c r="AI1606">
        <v>0</v>
      </c>
      <c r="AJ1606" t="s">
        <v>561</v>
      </c>
      <c r="AK1606" t="s">
        <v>766</v>
      </c>
      <c r="AL1606" t="s">
        <v>790</v>
      </c>
      <c r="AM1606">
        <v>2021</v>
      </c>
      <c r="AN1606">
        <v>2021</v>
      </c>
      <c r="AO1606">
        <f>IF(AND(emissions[[#This Row],[Market-based]]=0,emissions[[#This Row],[Impact Type]]="CO2E"),emissions[[#This Row],[kgCO2e]],0)/1000</f>
        <v>0</v>
      </c>
      <c r="AP1606">
        <f>IF(AND(emissions[[#This Row],[Market-based]]=1,OR(emissions[[#This Row],[Impact Type]]="CO2E",emissions[[#This Row],[Impact Type]]="CO2E MKT")),emissions[[#This Row],[kgCO2e]],0)/1000</f>
        <v>0</v>
      </c>
      <c r="AQ1606" t="str">
        <f>_xlfn.TEXTAFTER(emissions[[#This Row],[Reporting Unit]]," &gt; ",LEN(emissions[[#This Row],[Reporting Unit]])-LEN(SUBSTITUTE(emissions[[#This Row],[Reporting Unit]],"&gt;","")))</f>
        <v>Vantage_Tlalnepantla de Baz</v>
      </c>
      <c r="AR1606" t="str">
        <f>_xlfn.XLOOKUP(emissions[[#This Row],[Reporting unit name]],hierarchy!$A:$A,hierarchy!$C:$C)</f>
        <v>Warehouse</v>
      </c>
    </row>
    <row r="1607" spans="1:44" hidden="1" x14ac:dyDescent="0.25">
      <c r="A1607">
        <v>4989</v>
      </c>
      <c r="B1607" t="s">
        <v>299</v>
      </c>
      <c r="C1607" t="s">
        <v>493</v>
      </c>
      <c r="D1607" t="s">
        <v>599</v>
      </c>
      <c r="E1607" s="3">
        <v>44197</v>
      </c>
      <c r="F1607" s="3">
        <v>44561</v>
      </c>
      <c r="G1607" t="s">
        <v>135</v>
      </c>
      <c r="H1607" s="3">
        <v>44197</v>
      </c>
      <c r="I1607" s="3">
        <v>44561</v>
      </c>
      <c r="J1607" t="s">
        <v>135</v>
      </c>
      <c r="K1607">
        <v>0</v>
      </c>
      <c r="L1607" t="s">
        <v>140</v>
      </c>
      <c r="M1607" t="s">
        <v>82</v>
      </c>
      <c r="O1607" t="s">
        <v>600</v>
      </c>
      <c r="P1607" t="s">
        <v>550</v>
      </c>
      <c r="Q1607">
        <v>2021</v>
      </c>
      <c r="R1607" t="s">
        <v>605</v>
      </c>
      <c r="S1607" t="s">
        <v>606</v>
      </c>
      <c r="T1607" t="s">
        <v>553</v>
      </c>
      <c r="U1607" t="b">
        <v>0</v>
      </c>
      <c r="V1607" t="s">
        <v>781</v>
      </c>
      <c r="W1607" t="s">
        <v>587</v>
      </c>
      <c r="X1607" t="s">
        <v>556</v>
      </c>
      <c r="Y1607" t="s">
        <v>472</v>
      </c>
      <c r="AC1607">
        <v>1</v>
      </c>
      <c r="AD1607" t="s">
        <v>558</v>
      </c>
      <c r="AE1607">
        <v>0</v>
      </c>
      <c r="AF1607">
        <v>2.5000000000000001E-2</v>
      </c>
      <c r="AG1607" t="s">
        <v>798</v>
      </c>
      <c r="AH1607">
        <v>9.9999999999999995E-7</v>
      </c>
      <c r="AI1607">
        <v>0</v>
      </c>
      <c r="AJ1607" t="s">
        <v>561</v>
      </c>
      <c r="AK1607" t="s">
        <v>766</v>
      </c>
      <c r="AL1607" t="s">
        <v>790</v>
      </c>
      <c r="AM1607">
        <v>2021</v>
      </c>
      <c r="AN1607">
        <v>2021</v>
      </c>
      <c r="AO1607">
        <f>IF(AND(emissions[[#This Row],[Market-based]]=0,emissions[[#This Row],[Impact Type]]="CO2E"),emissions[[#This Row],[kgCO2e]],0)/1000</f>
        <v>0</v>
      </c>
      <c r="AP1607">
        <f>IF(AND(emissions[[#This Row],[Market-based]]=1,OR(emissions[[#This Row],[Impact Type]]="CO2E",emissions[[#This Row],[Impact Type]]="CO2E MKT")),emissions[[#This Row],[kgCO2e]],0)/1000</f>
        <v>0</v>
      </c>
      <c r="AQ1607" t="str">
        <f>_xlfn.TEXTAFTER(emissions[[#This Row],[Reporting Unit]]," &gt; ",LEN(emissions[[#This Row],[Reporting Unit]])-LEN(SUBSTITUTE(emissions[[#This Row],[Reporting Unit]],"&gt;","")))</f>
        <v>Vantage_Tlalnepantla de Baz</v>
      </c>
      <c r="AR1607" t="str">
        <f>_xlfn.XLOOKUP(emissions[[#This Row],[Reporting unit name]],hierarchy!$A:$A,hierarchy!$C:$C)</f>
        <v>Warehouse</v>
      </c>
    </row>
    <row r="1608" spans="1:44" hidden="1" x14ac:dyDescent="0.25">
      <c r="A1608">
        <v>4989</v>
      </c>
      <c r="B1608" t="s">
        <v>299</v>
      </c>
      <c r="C1608" t="s">
        <v>493</v>
      </c>
      <c r="D1608" t="s">
        <v>599</v>
      </c>
      <c r="E1608" s="3">
        <v>44197</v>
      </c>
      <c r="F1608" s="3">
        <v>44561</v>
      </c>
      <c r="G1608" t="s">
        <v>135</v>
      </c>
      <c r="H1608" s="3">
        <v>44197</v>
      </c>
      <c r="I1608" s="3">
        <v>44561</v>
      </c>
      <c r="J1608" t="s">
        <v>135</v>
      </c>
      <c r="K1608">
        <v>0</v>
      </c>
      <c r="L1608" t="s">
        <v>140</v>
      </c>
      <c r="M1608" t="s">
        <v>82</v>
      </c>
      <c r="O1608" t="s">
        <v>600</v>
      </c>
      <c r="P1608" t="s">
        <v>550</v>
      </c>
      <c r="Q1608">
        <v>2021</v>
      </c>
      <c r="R1608" t="s">
        <v>605</v>
      </c>
      <c r="S1608" t="s">
        <v>606</v>
      </c>
      <c r="T1608" t="s">
        <v>553</v>
      </c>
      <c r="U1608" t="b">
        <v>0</v>
      </c>
      <c r="V1608" t="s">
        <v>781</v>
      </c>
      <c r="W1608" t="s">
        <v>587</v>
      </c>
      <c r="X1608" t="s">
        <v>556</v>
      </c>
      <c r="Y1608" t="s">
        <v>472</v>
      </c>
      <c r="AC1608">
        <v>1</v>
      </c>
      <c r="AD1608" t="s">
        <v>564</v>
      </c>
      <c r="AE1608">
        <v>0</v>
      </c>
      <c r="AF1608">
        <v>53.06</v>
      </c>
      <c r="AG1608" t="s">
        <v>798</v>
      </c>
      <c r="AH1608">
        <v>9.9999999999999995E-7</v>
      </c>
      <c r="AI1608">
        <v>0</v>
      </c>
      <c r="AJ1608" t="s">
        <v>561</v>
      </c>
      <c r="AK1608" t="s">
        <v>766</v>
      </c>
      <c r="AL1608" t="s">
        <v>787</v>
      </c>
      <c r="AM1608">
        <v>2021</v>
      </c>
      <c r="AN1608">
        <v>2020</v>
      </c>
      <c r="AO1608">
        <f>IF(AND(emissions[[#This Row],[Market-based]]=0,emissions[[#This Row],[Impact Type]]="CO2E"),emissions[[#This Row],[kgCO2e]],0)/1000</f>
        <v>0</v>
      </c>
      <c r="AP1608">
        <f>IF(AND(emissions[[#This Row],[Market-based]]=1,OR(emissions[[#This Row],[Impact Type]]="CO2E",emissions[[#This Row],[Impact Type]]="CO2E MKT")),emissions[[#This Row],[kgCO2e]],0)/1000</f>
        <v>0</v>
      </c>
      <c r="AQ1608" t="str">
        <f>_xlfn.TEXTAFTER(emissions[[#This Row],[Reporting Unit]]," &gt; ",LEN(emissions[[#This Row],[Reporting Unit]])-LEN(SUBSTITUTE(emissions[[#This Row],[Reporting Unit]],"&gt;","")))</f>
        <v>Vantage_Tlalnepantla de Baz</v>
      </c>
      <c r="AR1608" t="str">
        <f>_xlfn.XLOOKUP(emissions[[#This Row],[Reporting unit name]],hierarchy!$A:$A,hierarchy!$C:$C)</f>
        <v>Warehouse</v>
      </c>
    </row>
    <row r="1609" spans="1:44" hidden="1" x14ac:dyDescent="0.25">
      <c r="A1609">
        <v>4989</v>
      </c>
      <c r="B1609" t="s">
        <v>299</v>
      </c>
      <c r="C1609" t="s">
        <v>493</v>
      </c>
      <c r="D1609" t="s">
        <v>599</v>
      </c>
      <c r="E1609" s="3">
        <v>44197</v>
      </c>
      <c r="F1609" s="3">
        <v>44561</v>
      </c>
      <c r="G1609" t="s">
        <v>135</v>
      </c>
      <c r="H1609" s="3">
        <v>44197</v>
      </c>
      <c r="I1609" s="3">
        <v>44561</v>
      </c>
      <c r="J1609" t="s">
        <v>135</v>
      </c>
      <c r="K1609">
        <v>0</v>
      </c>
      <c r="L1609" t="s">
        <v>140</v>
      </c>
      <c r="M1609" t="s">
        <v>82</v>
      </c>
      <c r="O1609" t="s">
        <v>600</v>
      </c>
      <c r="P1609" t="s">
        <v>550</v>
      </c>
      <c r="Q1609">
        <v>2021</v>
      </c>
      <c r="R1609" t="s">
        <v>605</v>
      </c>
      <c r="S1609" t="s">
        <v>606</v>
      </c>
      <c r="T1609" t="s">
        <v>553</v>
      </c>
      <c r="U1609" t="b">
        <v>0</v>
      </c>
      <c r="V1609" t="s">
        <v>781</v>
      </c>
      <c r="W1609" t="s">
        <v>587</v>
      </c>
      <c r="X1609" t="s">
        <v>556</v>
      </c>
      <c r="Y1609" t="s">
        <v>472</v>
      </c>
      <c r="AC1609">
        <v>1</v>
      </c>
      <c r="AD1609" t="s">
        <v>565</v>
      </c>
      <c r="AE1609">
        <v>0</v>
      </c>
      <c r="AF1609">
        <v>53.114800000000002</v>
      </c>
      <c r="AG1609" t="s">
        <v>798</v>
      </c>
      <c r="AH1609">
        <v>9.9999999999999995E-7</v>
      </c>
      <c r="AI1609">
        <v>0</v>
      </c>
      <c r="AJ1609" t="s">
        <v>561</v>
      </c>
      <c r="AK1609" t="s">
        <v>766</v>
      </c>
      <c r="AL1609" t="s">
        <v>790</v>
      </c>
      <c r="AM1609">
        <v>2021</v>
      </c>
      <c r="AN1609">
        <v>2021</v>
      </c>
      <c r="AO1609">
        <f>IF(AND(emissions[[#This Row],[Market-based]]=0,emissions[[#This Row],[Impact Type]]="CO2E"),emissions[[#This Row],[kgCO2e]],0)/1000</f>
        <v>0</v>
      </c>
      <c r="AP1609">
        <f>IF(AND(emissions[[#This Row],[Market-based]]=1,OR(emissions[[#This Row],[Impact Type]]="CO2E",emissions[[#This Row],[Impact Type]]="CO2E MKT")),emissions[[#This Row],[kgCO2e]],0)/1000</f>
        <v>0</v>
      </c>
      <c r="AQ1609" t="str">
        <f>_xlfn.TEXTAFTER(emissions[[#This Row],[Reporting Unit]]," &gt; ",LEN(emissions[[#This Row],[Reporting Unit]])-LEN(SUBSTITUTE(emissions[[#This Row],[Reporting Unit]],"&gt;","")))</f>
        <v>Vantage_Tlalnepantla de Baz</v>
      </c>
      <c r="AR1609" t="str">
        <f>_xlfn.XLOOKUP(emissions[[#This Row],[Reporting unit name]],hierarchy!$A:$A,hierarchy!$C:$C)</f>
        <v>Warehouse</v>
      </c>
    </row>
    <row r="1610" spans="1:44" hidden="1" x14ac:dyDescent="0.25">
      <c r="A1610">
        <v>4989</v>
      </c>
      <c r="B1610" t="s">
        <v>299</v>
      </c>
      <c r="C1610" t="s">
        <v>493</v>
      </c>
      <c r="D1610" t="s">
        <v>599</v>
      </c>
      <c r="E1610" s="3">
        <v>44197</v>
      </c>
      <c r="F1610" s="3">
        <v>44561</v>
      </c>
      <c r="G1610" t="s">
        <v>135</v>
      </c>
      <c r="H1610" s="3">
        <v>44197</v>
      </c>
      <c r="I1610" s="3">
        <v>44561</v>
      </c>
      <c r="J1610" t="s">
        <v>135</v>
      </c>
      <c r="K1610">
        <v>0</v>
      </c>
      <c r="L1610" t="s">
        <v>140</v>
      </c>
      <c r="M1610" t="s">
        <v>82</v>
      </c>
      <c r="O1610" t="s">
        <v>600</v>
      </c>
      <c r="P1610" t="s">
        <v>550</v>
      </c>
      <c r="Q1610">
        <v>2021</v>
      </c>
      <c r="R1610" t="s">
        <v>605</v>
      </c>
      <c r="S1610" t="s">
        <v>606</v>
      </c>
      <c r="T1610" t="s">
        <v>553</v>
      </c>
      <c r="U1610" t="b">
        <v>0</v>
      </c>
      <c r="V1610" t="s">
        <v>781</v>
      </c>
      <c r="W1610" t="s">
        <v>587</v>
      </c>
      <c r="X1610" t="s">
        <v>556</v>
      </c>
      <c r="Y1610" t="s">
        <v>472</v>
      </c>
      <c r="AC1610">
        <v>1</v>
      </c>
      <c r="AD1610" t="s">
        <v>566</v>
      </c>
      <c r="AE1610">
        <v>0</v>
      </c>
      <c r="AF1610">
        <v>2.98E-2</v>
      </c>
      <c r="AG1610" t="s">
        <v>798</v>
      </c>
      <c r="AH1610">
        <v>9.9999999999999995E-7</v>
      </c>
      <c r="AI1610">
        <v>0</v>
      </c>
      <c r="AJ1610" t="s">
        <v>561</v>
      </c>
      <c r="AK1610" t="s">
        <v>766</v>
      </c>
      <c r="AL1610" t="s">
        <v>790</v>
      </c>
      <c r="AM1610">
        <v>2021</v>
      </c>
      <c r="AN1610">
        <v>2021</v>
      </c>
      <c r="AO1610">
        <f>IF(AND(emissions[[#This Row],[Market-based]]=0,emissions[[#This Row],[Impact Type]]="CO2E"),emissions[[#This Row],[kgCO2e]],0)/1000</f>
        <v>0</v>
      </c>
      <c r="AP1610">
        <f>IF(AND(emissions[[#This Row],[Market-based]]=1,OR(emissions[[#This Row],[Impact Type]]="CO2E",emissions[[#This Row],[Impact Type]]="CO2E MKT")),emissions[[#This Row],[kgCO2e]],0)/1000</f>
        <v>0</v>
      </c>
      <c r="AQ1610" t="str">
        <f>_xlfn.TEXTAFTER(emissions[[#This Row],[Reporting Unit]]," &gt; ",LEN(emissions[[#This Row],[Reporting Unit]])-LEN(SUBSTITUTE(emissions[[#This Row],[Reporting Unit]],"&gt;","")))</f>
        <v>Vantage_Tlalnepantla de Baz</v>
      </c>
      <c r="AR1610" t="str">
        <f>_xlfn.XLOOKUP(emissions[[#This Row],[Reporting unit name]],hierarchy!$A:$A,hierarchy!$C:$C)</f>
        <v>Warehouse</v>
      </c>
    </row>
    <row r="1611" spans="1:44" hidden="1" x14ac:dyDescent="0.25">
      <c r="A1611">
        <v>4989</v>
      </c>
      <c r="B1611" t="s">
        <v>299</v>
      </c>
      <c r="C1611" t="s">
        <v>493</v>
      </c>
      <c r="D1611" t="s">
        <v>599</v>
      </c>
      <c r="E1611" s="3">
        <v>44197</v>
      </c>
      <c r="F1611" s="3">
        <v>44561</v>
      </c>
      <c r="G1611" t="s">
        <v>135</v>
      </c>
      <c r="H1611" s="3">
        <v>44197</v>
      </c>
      <c r="I1611" s="3">
        <v>44561</v>
      </c>
      <c r="J1611" t="s">
        <v>135</v>
      </c>
      <c r="K1611">
        <v>0</v>
      </c>
      <c r="L1611" t="s">
        <v>140</v>
      </c>
      <c r="M1611" t="s">
        <v>82</v>
      </c>
      <c r="O1611" t="s">
        <v>600</v>
      </c>
      <c r="P1611" t="s">
        <v>550</v>
      </c>
      <c r="Q1611">
        <v>2021</v>
      </c>
      <c r="R1611" t="s">
        <v>609</v>
      </c>
      <c r="S1611" t="s">
        <v>610</v>
      </c>
      <c r="T1611" t="s">
        <v>577</v>
      </c>
      <c r="U1611" t="b">
        <v>0</v>
      </c>
      <c r="V1611" t="s">
        <v>611</v>
      </c>
      <c r="W1611" t="s">
        <v>571</v>
      </c>
      <c r="X1611" t="s">
        <v>572</v>
      </c>
      <c r="AC1611">
        <v>0</v>
      </c>
      <c r="AD1611" t="s">
        <v>565</v>
      </c>
      <c r="AE1611">
        <v>0</v>
      </c>
      <c r="AF1611">
        <v>3.1350000000000003E-2</v>
      </c>
      <c r="AG1611" t="s">
        <v>608</v>
      </c>
      <c r="AH1611">
        <v>2.9306999999999998E-4</v>
      </c>
      <c r="AI1611">
        <v>0</v>
      </c>
      <c r="AJ1611" t="s">
        <v>561</v>
      </c>
      <c r="AK1611" t="s">
        <v>589</v>
      </c>
      <c r="AL1611" t="s">
        <v>603</v>
      </c>
      <c r="AM1611">
        <v>2021</v>
      </c>
      <c r="AN1611">
        <v>2019</v>
      </c>
      <c r="AO1611">
        <f>IF(AND(emissions[[#This Row],[Market-based]]=0,emissions[[#This Row],[Impact Type]]="CO2E"),emissions[[#This Row],[kgCO2e]],0)/1000</f>
        <v>0</v>
      </c>
      <c r="AP1611">
        <f>IF(AND(emissions[[#This Row],[Market-based]]=1,OR(emissions[[#This Row],[Impact Type]]="CO2E",emissions[[#This Row],[Impact Type]]="CO2E MKT")),emissions[[#This Row],[kgCO2e]],0)/1000</f>
        <v>0</v>
      </c>
      <c r="AQ1611" t="str">
        <f>_xlfn.TEXTAFTER(emissions[[#This Row],[Reporting Unit]]," &gt; ",LEN(emissions[[#This Row],[Reporting Unit]])-LEN(SUBSTITUTE(emissions[[#This Row],[Reporting Unit]],"&gt;","")))</f>
        <v>Vantage_Tlalnepantla de Baz</v>
      </c>
      <c r="AR1611" t="str">
        <f>_xlfn.XLOOKUP(emissions[[#This Row],[Reporting unit name]],hierarchy!$A:$A,hierarchy!$C:$C)</f>
        <v>Warehouse</v>
      </c>
    </row>
    <row r="1612" spans="1:44" hidden="1" x14ac:dyDescent="0.25">
      <c r="A1612">
        <v>4989</v>
      </c>
      <c r="B1612" t="s">
        <v>299</v>
      </c>
      <c r="C1612" t="s">
        <v>493</v>
      </c>
      <c r="D1612" t="s">
        <v>599</v>
      </c>
      <c r="E1612" s="3">
        <v>44197</v>
      </c>
      <c r="F1612" s="3">
        <v>44561</v>
      </c>
      <c r="G1612" t="s">
        <v>135</v>
      </c>
      <c r="H1612" s="3">
        <v>44197</v>
      </c>
      <c r="I1612" s="3">
        <v>44561</v>
      </c>
      <c r="J1612" t="s">
        <v>135</v>
      </c>
      <c r="K1612">
        <v>0</v>
      </c>
      <c r="L1612" t="s">
        <v>140</v>
      </c>
      <c r="M1612" t="s">
        <v>82</v>
      </c>
      <c r="O1612" t="s">
        <v>600</v>
      </c>
      <c r="P1612" t="s">
        <v>550</v>
      </c>
      <c r="Q1612">
        <v>2021</v>
      </c>
      <c r="R1612" t="s">
        <v>609</v>
      </c>
      <c r="S1612" t="s">
        <v>610</v>
      </c>
      <c r="T1612" t="s">
        <v>577</v>
      </c>
      <c r="U1612" t="b">
        <v>0</v>
      </c>
      <c r="V1612" t="s">
        <v>611</v>
      </c>
      <c r="W1612" t="s">
        <v>571</v>
      </c>
      <c r="X1612" t="s">
        <v>572</v>
      </c>
      <c r="AC1612">
        <v>1</v>
      </c>
      <c r="AD1612" t="s">
        <v>565</v>
      </c>
      <c r="AE1612">
        <v>0</v>
      </c>
      <c r="AF1612">
        <v>3.1350000000000003E-2</v>
      </c>
      <c r="AG1612" t="s">
        <v>608</v>
      </c>
      <c r="AH1612">
        <v>2.9306999999999998E-4</v>
      </c>
      <c r="AI1612">
        <v>0</v>
      </c>
      <c r="AJ1612" t="s">
        <v>561</v>
      </c>
      <c r="AK1612" t="s">
        <v>589</v>
      </c>
      <c r="AL1612" t="s">
        <v>603</v>
      </c>
      <c r="AM1612">
        <v>2021</v>
      </c>
      <c r="AN1612">
        <v>2019</v>
      </c>
      <c r="AO1612">
        <f>IF(AND(emissions[[#This Row],[Market-based]]=0,emissions[[#This Row],[Impact Type]]="CO2E"),emissions[[#This Row],[kgCO2e]],0)/1000</f>
        <v>0</v>
      </c>
      <c r="AP1612">
        <f>IF(AND(emissions[[#This Row],[Market-based]]=1,OR(emissions[[#This Row],[Impact Type]]="CO2E",emissions[[#This Row],[Impact Type]]="CO2E MKT")),emissions[[#This Row],[kgCO2e]],0)/1000</f>
        <v>0</v>
      </c>
      <c r="AQ1612" t="str">
        <f>_xlfn.TEXTAFTER(emissions[[#This Row],[Reporting Unit]]," &gt; ",LEN(emissions[[#This Row],[Reporting Unit]])-LEN(SUBSTITUTE(emissions[[#This Row],[Reporting Unit]],"&gt;","")))</f>
        <v>Vantage_Tlalnepantla de Baz</v>
      </c>
      <c r="AR1612" t="str">
        <f>_xlfn.XLOOKUP(emissions[[#This Row],[Reporting unit name]],hierarchy!$A:$A,hierarchy!$C:$C)</f>
        <v>Warehouse</v>
      </c>
    </row>
    <row r="1613" spans="1:44" hidden="1" x14ac:dyDescent="0.25">
      <c r="A1613">
        <v>5023</v>
      </c>
      <c r="B1613" t="s">
        <v>299</v>
      </c>
      <c r="C1613" t="s">
        <v>493</v>
      </c>
      <c r="D1613" t="s">
        <v>599</v>
      </c>
      <c r="E1613" s="3">
        <v>44197</v>
      </c>
      <c r="F1613" s="3">
        <v>44561</v>
      </c>
      <c r="G1613" t="s">
        <v>141</v>
      </c>
      <c r="H1613" s="3">
        <v>44197</v>
      </c>
      <c r="I1613" s="3">
        <v>44561</v>
      </c>
      <c r="J1613" t="s">
        <v>142</v>
      </c>
      <c r="K1613">
        <v>0</v>
      </c>
      <c r="L1613" t="s">
        <v>143</v>
      </c>
      <c r="M1613" t="s">
        <v>82</v>
      </c>
      <c r="O1613" t="s">
        <v>600</v>
      </c>
      <c r="P1613" t="s">
        <v>550</v>
      </c>
      <c r="Q1613">
        <v>2021</v>
      </c>
      <c r="R1613" t="s">
        <v>612</v>
      </c>
      <c r="S1613" t="s">
        <v>613</v>
      </c>
      <c r="T1613" t="s">
        <v>553</v>
      </c>
      <c r="U1613" t="b">
        <v>0</v>
      </c>
      <c r="V1613" t="s">
        <v>614</v>
      </c>
      <c r="W1613" t="s">
        <v>587</v>
      </c>
      <c r="X1613" t="s">
        <v>556</v>
      </c>
      <c r="AC1613">
        <v>0</v>
      </c>
      <c r="AD1613" t="s">
        <v>558</v>
      </c>
      <c r="AE1613">
        <v>0</v>
      </c>
      <c r="AF1613">
        <v>2.5999999999999998E-4</v>
      </c>
      <c r="AG1613" t="s">
        <v>588</v>
      </c>
      <c r="AH1613">
        <v>1</v>
      </c>
      <c r="AI1613">
        <v>0</v>
      </c>
      <c r="AJ1613" t="s">
        <v>561</v>
      </c>
      <c r="AK1613" t="s">
        <v>589</v>
      </c>
      <c r="AL1613" t="s">
        <v>603</v>
      </c>
      <c r="AM1613">
        <v>2021</v>
      </c>
      <c r="AN1613">
        <v>2019</v>
      </c>
      <c r="AO1613">
        <f>IF(AND(emissions[[#This Row],[Market-based]]=0,emissions[[#This Row],[Impact Type]]="CO2E"),emissions[[#This Row],[kgCO2e]],0)/1000</f>
        <v>0</v>
      </c>
      <c r="AP1613">
        <f>IF(AND(emissions[[#This Row],[Market-based]]=1,OR(emissions[[#This Row],[Impact Type]]="CO2E",emissions[[#This Row],[Impact Type]]="CO2E MKT")),emissions[[#This Row],[kgCO2e]],0)/1000</f>
        <v>0</v>
      </c>
      <c r="AQ1613" t="str">
        <f>_xlfn.TEXTAFTER(emissions[[#This Row],[Reporting Unit]]," &gt; ",LEN(emissions[[#This Row],[Reporting Unit]])-LEN(SUBSTITUTE(emissions[[#This Row],[Reporting Unit]],"&gt;","")))</f>
        <v>Vantage_Tlalnepantla de Baz</v>
      </c>
      <c r="AR1613" t="str">
        <f>_xlfn.XLOOKUP(emissions[[#This Row],[Reporting unit name]],hierarchy!$A:$A,hierarchy!$C:$C)</f>
        <v>Warehouse</v>
      </c>
    </row>
    <row r="1614" spans="1:44" hidden="1" x14ac:dyDescent="0.25">
      <c r="A1614">
        <v>5023</v>
      </c>
      <c r="B1614" t="s">
        <v>299</v>
      </c>
      <c r="C1614" t="s">
        <v>493</v>
      </c>
      <c r="D1614" t="s">
        <v>599</v>
      </c>
      <c r="E1614" s="3">
        <v>44197</v>
      </c>
      <c r="F1614" s="3">
        <v>44561</v>
      </c>
      <c r="G1614" t="s">
        <v>141</v>
      </c>
      <c r="H1614" s="3">
        <v>44197</v>
      </c>
      <c r="I1614" s="3">
        <v>44561</v>
      </c>
      <c r="J1614" t="s">
        <v>142</v>
      </c>
      <c r="K1614">
        <v>0</v>
      </c>
      <c r="L1614" t="s">
        <v>143</v>
      </c>
      <c r="M1614" t="s">
        <v>82</v>
      </c>
      <c r="O1614" t="s">
        <v>600</v>
      </c>
      <c r="P1614" t="s">
        <v>550</v>
      </c>
      <c r="Q1614">
        <v>2021</v>
      </c>
      <c r="R1614" t="s">
        <v>612</v>
      </c>
      <c r="S1614" t="s">
        <v>613</v>
      </c>
      <c r="T1614" t="s">
        <v>553</v>
      </c>
      <c r="U1614" t="b">
        <v>0</v>
      </c>
      <c r="V1614" t="s">
        <v>614</v>
      </c>
      <c r="W1614" t="s">
        <v>587</v>
      </c>
      <c r="X1614" t="s">
        <v>556</v>
      </c>
      <c r="AC1614">
        <v>0</v>
      </c>
      <c r="AD1614" t="s">
        <v>564</v>
      </c>
      <c r="AE1614">
        <v>0</v>
      </c>
      <c r="AF1614">
        <v>2.6680700000000002</v>
      </c>
      <c r="AG1614" t="s">
        <v>588</v>
      </c>
      <c r="AH1614">
        <v>1</v>
      </c>
      <c r="AI1614">
        <v>0</v>
      </c>
      <c r="AJ1614" t="s">
        <v>561</v>
      </c>
      <c r="AK1614" t="s">
        <v>589</v>
      </c>
      <c r="AL1614" t="s">
        <v>603</v>
      </c>
      <c r="AM1614">
        <v>2021</v>
      </c>
      <c r="AN1614">
        <v>2019</v>
      </c>
      <c r="AO1614">
        <f>IF(AND(emissions[[#This Row],[Market-based]]=0,emissions[[#This Row],[Impact Type]]="CO2E"),emissions[[#This Row],[kgCO2e]],0)/1000</f>
        <v>0</v>
      </c>
      <c r="AP1614">
        <f>IF(AND(emissions[[#This Row],[Market-based]]=1,OR(emissions[[#This Row],[Impact Type]]="CO2E",emissions[[#This Row],[Impact Type]]="CO2E MKT")),emissions[[#This Row],[kgCO2e]],0)/1000</f>
        <v>0</v>
      </c>
      <c r="AQ1614" t="str">
        <f>_xlfn.TEXTAFTER(emissions[[#This Row],[Reporting Unit]]," &gt; ",LEN(emissions[[#This Row],[Reporting Unit]])-LEN(SUBSTITUTE(emissions[[#This Row],[Reporting Unit]],"&gt;","")))</f>
        <v>Vantage_Tlalnepantla de Baz</v>
      </c>
      <c r="AR1614" t="str">
        <f>_xlfn.XLOOKUP(emissions[[#This Row],[Reporting unit name]],hierarchy!$A:$A,hierarchy!$C:$C)</f>
        <v>Warehouse</v>
      </c>
    </row>
    <row r="1615" spans="1:44" hidden="1" x14ac:dyDescent="0.25">
      <c r="A1615">
        <v>5023</v>
      </c>
      <c r="B1615" t="s">
        <v>299</v>
      </c>
      <c r="C1615" t="s">
        <v>493</v>
      </c>
      <c r="D1615" t="s">
        <v>599</v>
      </c>
      <c r="E1615" s="3">
        <v>44197</v>
      </c>
      <c r="F1615" s="3">
        <v>44561</v>
      </c>
      <c r="G1615" t="s">
        <v>141</v>
      </c>
      <c r="H1615" s="3">
        <v>44197</v>
      </c>
      <c r="I1615" s="3">
        <v>44561</v>
      </c>
      <c r="J1615" t="s">
        <v>142</v>
      </c>
      <c r="K1615">
        <v>0</v>
      </c>
      <c r="L1615" t="s">
        <v>143</v>
      </c>
      <c r="M1615" t="s">
        <v>82</v>
      </c>
      <c r="O1615" t="s">
        <v>600</v>
      </c>
      <c r="P1615" t="s">
        <v>550</v>
      </c>
      <c r="Q1615">
        <v>2021</v>
      </c>
      <c r="R1615" t="s">
        <v>612</v>
      </c>
      <c r="S1615" t="s">
        <v>613</v>
      </c>
      <c r="T1615" t="s">
        <v>553</v>
      </c>
      <c r="U1615" t="b">
        <v>0</v>
      </c>
      <c r="V1615" t="s">
        <v>614</v>
      </c>
      <c r="W1615" t="s">
        <v>587</v>
      </c>
      <c r="X1615" t="s">
        <v>556</v>
      </c>
      <c r="AC1615">
        <v>0</v>
      </c>
      <c r="AD1615" t="s">
        <v>565</v>
      </c>
      <c r="AE1615">
        <v>0</v>
      </c>
      <c r="AF1615">
        <v>2.70553</v>
      </c>
      <c r="AG1615" t="s">
        <v>588</v>
      </c>
      <c r="AH1615">
        <v>1</v>
      </c>
      <c r="AI1615">
        <v>0</v>
      </c>
      <c r="AJ1615" t="s">
        <v>561</v>
      </c>
      <c r="AK1615" t="s">
        <v>589</v>
      </c>
      <c r="AL1615" t="s">
        <v>603</v>
      </c>
      <c r="AM1615">
        <v>2021</v>
      </c>
      <c r="AN1615">
        <v>2019</v>
      </c>
      <c r="AO1615">
        <f>IF(AND(emissions[[#This Row],[Market-based]]=0,emissions[[#This Row],[Impact Type]]="CO2E"),emissions[[#This Row],[kgCO2e]],0)/1000</f>
        <v>0</v>
      </c>
      <c r="AP1615">
        <f>IF(AND(emissions[[#This Row],[Market-based]]=1,OR(emissions[[#This Row],[Impact Type]]="CO2E",emissions[[#This Row],[Impact Type]]="CO2E MKT")),emissions[[#This Row],[kgCO2e]],0)/1000</f>
        <v>0</v>
      </c>
      <c r="AQ1615" t="str">
        <f>_xlfn.TEXTAFTER(emissions[[#This Row],[Reporting Unit]]," &gt; ",LEN(emissions[[#This Row],[Reporting Unit]])-LEN(SUBSTITUTE(emissions[[#This Row],[Reporting Unit]],"&gt;","")))</f>
        <v>Vantage_Tlalnepantla de Baz</v>
      </c>
      <c r="AR1615" t="str">
        <f>_xlfn.XLOOKUP(emissions[[#This Row],[Reporting unit name]],hierarchy!$A:$A,hierarchy!$C:$C)</f>
        <v>Warehouse</v>
      </c>
    </row>
    <row r="1616" spans="1:44" hidden="1" x14ac:dyDescent="0.25">
      <c r="A1616">
        <v>5023</v>
      </c>
      <c r="B1616" t="s">
        <v>299</v>
      </c>
      <c r="C1616" t="s">
        <v>493</v>
      </c>
      <c r="D1616" t="s">
        <v>599</v>
      </c>
      <c r="E1616" s="3">
        <v>44197</v>
      </c>
      <c r="F1616" s="3">
        <v>44561</v>
      </c>
      <c r="G1616" t="s">
        <v>141</v>
      </c>
      <c r="H1616" s="3">
        <v>44197</v>
      </c>
      <c r="I1616" s="3">
        <v>44561</v>
      </c>
      <c r="J1616" t="s">
        <v>142</v>
      </c>
      <c r="K1616">
        <v>0</v>
      </c>
      <c r="L1616" t="s">
        <v>143</v>
      </c>
      <c r="M1616" t="s">
        <v>82</v>
      </c>
      <c r="O1616" t="s">
        <v>600</v>
      </c>
      <c r="P1616" t="s">
        <v>550</v>
      </c>
      <c r="Q1616">
        <v>2021</v>
      </c>
      <c r="R1616" t="s">
        <v>612</v>
      </c>
      <c r="S1616" t="s">
        <v>613</v>
      </c>
      <c r="T1616" t="s">
        <v>553</v>
      </c>
      <c r="U1616" t="b">
        <v>0</v>
      </c>
      <c r="V1616" t="s">
        <v>614</v>
      </c>
      <c r="W1616" t="s">
        <v>587</v>
      </c>
      <c r="X1616" t="s">
        <v>556</v>
      </c>
      <c r="AC1616">
        <v>0</v>
      </c>
      <c r="AD1616" t="s">
        <v>566</v>
      </c>
      <c r="AE1616">
        <v>0</v>
      </c>
      <c r="AF1616">
        <v>3.7199999999999997E-2</v>
      </c>
      <c r="AG1616" t="s">
        <v>588</v>
      </c>
      <c r="AH1616">
        <v>1</v>
      </c>
      <c r="AI1616">
        <v>0</v>
      </c>
      <c r="AJ1616" t="s">
        <v>561</v>
      </c>
      <c r="AK1616" t="s">
        <v>589</v>
      </c>
      <c r="AL1616" t="s">
        <v>603</v>
      </c>
      <c r="AM1616">
        <v>2021</v>
      </c>
      <c r="AN1616">
        <v>2019</v>
      </c>
      <c r="AO1616">
        <f>IF(AND(emissions[[#This Row],[Market-based]]=0,emissions[[#This Row],[Impact Type]]="CO2E"),emissions[[#This Row],[kgCO2e]],0)/1000</f>
        <v>0</v>
      </c>
      <c r="AP1616">
        <f>IF(AND(emissions[[#This Row],[Market-based]]=1,OR(emissions[[#This Row],[Impact Type]]="CO2E",emissions[[#This Row],[Impact Type]]="CO2E MKT")),emissions[[#This Row],[kgCO2e]],0)/1000</f>
        <v>0</v>
      </c>
      <c r="AQ1616" t="str">
        <f>_xlfn.TEXTAFTER(emissions[[#This Row],[Reporting Unit]]," &gt; ",LEN(emissions[[#This Row],[Reporting Unit]])-LEN(SUBSTITUTE(emissions[[#This Row],[Reporting Unit]],"&gt;","")))</f>
        <v>Vantage_Tlalnepantla de Baz</v>
      </c>
      <c r="AR1616" t="str">
        <f>_xlfn.XLOOKUP(emissions[[#This Row],[Reporting unit name]],hierarchy!$A:$A,hierarchy!$C:$C)</f>
        <v>Warehouse</v>
      </c>
    </row>
    <row r="1617" spans="1:44" hidden="1" x14ac:dyDescent="0.25">
      <c r="A1617">
        <v>5023</v>
      </c>
      <c r="B1617" t="s">
        <v>299</v>
      </c>
      <c r="C1617" t="s">
        <v>493</v>
      </c>
      <c r="D1617" t="s">
        <v>599</v>
      </c>
      <c r="E1617" s="3">
        <v>44197</v>
      </c>
      <c r="F1617" s="3">
        <v>44561</v>
      </c>
      <c r="G1617" t="s">
        <v>141</v>
      </c>
      <c r="H1617" s="3">
        <v>44197</v>
      </c>
      <c r="I1617" s="3">
        <v>44561</v>
      </c>
      <c r="J1617" t="s">
        <v>142</v>
      </c>
      <c r="K1617">
        <v>0</v>
      </c>
      <c r="L1617" t="s">
        <v>143</v>
      </c>
      <c r="M1617" t="s">
        <v>82</v>
      </c>
      <c r="O1617" t="s">
        <v>600</v>
      </c>
      <c r="P1617" t="s">
        <v>550</v>
      </c>
      <c r="Q1617">
        <v>2021</v>
      </c>
      <c r="R1617" t="s">
        <v>612</v>
      </c>
      <c r="S1617" t="s">
        <v>613</v>
      </c>
      <c r="T1617" t="s">
        <v>553</v>
      </c>
      <c r="U1617" t="b">
        <v>0</v>
      </c>
      <c r="V1617" t="s">
        <v>614</v>
      </c>
      <c r="W1617" t="s">
        <v>587</v>
      </c>
      <c r="X1617" t="s">
        <v>556</v>
      </c>
      <c r="AC1617">
        <v>1</v>
      </c>
      <c r="AD1617" t="s">
        <v>558</v>
      </c>
      <c r="AE1617">
        <v>0</v>
      </c>
      <c r="AF1617">
        <v>2.5999999999999998E-4</v>
      </c>
      <c r="AG1617" t="s">
        <v>588</v>
      </c>
      <c r="AH1617">
        <v>1</v>
      </c>
      <c r="AI1617">
        <v>0</v>
      </c>
      <c r="AJ1617" t="s">
        <v>561</v>
      </c>
      <c r="AK1617" t="s">
        <v>589</v>
      </c>
      <c r="AL1617" t="s">
        <v>603</v>
      </c>
      <c r="AM1617">
        <v>2021</v>
      </c>
      <c r="AN1617">
        <v>2019</v>
      </c>
      <c r="AO1617">
        <f>IF(AND(emissions[[#This Row],[Market-based]]=0,emissions[[#This Row],[Impact Type]]="CO2E"),emissions[[#This Row],[kgCO2e]],0)/1000</f>
        <v>0</v>
      </c>
      <c r="AP1617">
        <f>IF(AND(emissions[[#This Row],[Market-based]]=1,OR(emissions[[#This Row],[Impact Type]]="CO2E",emissions[[#This Row],[Impact Type]]="CO2E MKT")),emissions[[#This Row],[kgCO2e]],0)/1000</f>
        <v>0</v>
      </c>
      <c r="AQ1617" t="str">
        <f>_xlfn.TEXTAFTER(emissions[[#This Row],[Reporting Unit]]," &gt; ",LEN(emissions[[#This Row],[Reporting Unit]])-LEN(SUBSTITUTE(emissions[[#This Row],[Reporting Unit]],"&gt;","")))</f>
        <v>Vantage_Tlalnepantla de Baz</v>
      </c>
      <c r="AR1617" t="str">
        <f>_xlfn.XLOOKUP(emissions[[#This Row],[Reporting unit name]],hierarchy!$A:$A,hierarchy!$C:$C)</f>
        <v>Warehouse</v>
      </c>
    </row>
    <row r="1618" spans="1:44" hidden="1" x14ac:dyDescent="0.25">
      <c r="A1618">
        <v>5023</v>
      </c>
      <c r="B1618" t="s">
        <v>299</v>
      </c>
      <c r="C1618" t="s">
        <v>493</v>
      </c>
      <c r="D1618" t="s">
        <v>599</v>
      </c>
      <c r="E1618" s="3">
        <v>44197</v>
      </c>
      <c r="F1618" s="3">
        <v>44561</v>
      </c>
      <c r="G1618" t="s">
        <v>141</v>
      </c>
      <c r="H1618" s="3">
        <v>44197</v>
      </c>
      <c r="I1618" s="3">
        <v>44561</v>
      </c>
      <c r="J1618" t="s">
        <v>142</v>
      </c>
      <c r="K1618">
        <v>0</v>
      </c>
      <c r="L1618" t="s">
        <v>143</v>
      </c>
      <c r="M1618" t="s">
        <v>82</v>
      </c>
      <c r="O1618" t="s">
        <v>600</v>
      </c>
      <c r="P1618" t="s">
        <v>550</v>
      </c>
      <c r="Q1618">
        <v>2021</v>
      </c>
      <c r="R1618" t="s">
        <v>612</v>
      </c>
      <c r="S1618" t="s">
        <v>613</v>
      </c>
      <c r="T1618" t="s">
        <v>553</v>
      </c>
      <c r="U1618" t="b">
        <v>0</v>
      </c>
      <c r="V1618" t="s">
        <v>614</v>
      </c>
      <c r="W1618" t="s">
        <v>587</v>
      </c>
      <c r="X1618" t="s">
        <v>556</v>
      </c>
      <c r="AC1618">
        <v>1</v>
      </c>
      <c r="AD1618" t="s">
        <v>564</v>
      </c>
      <c r="AE1618">
        <v>0</v>
      </c>
      <c r="AF1618">
        <v>2.6680700000000002</v>
      </c>
      <c r="AG1618" t="s">
        <v>588</v>
      </c>
      <c r="AH1618">
        <v>1</v>
      </c>
      <c r="AI1618">
        <v>0</v>
      </c>
      <c r="AJ1618" t="s">
        <v>561</v>
      </c>
      <c r="AK1618" t="s">
        <v>589</v>
      </c>
      <c r="AL1618" t="s">
        <v>603</v>
      </c>
      <c r="AM1618">
        <v>2021</v>
      </c>
      <c r="AN1618">
        <v>2019</v>
      </c>
      <c r="AO1618">
        <f>IF(AND(emissions[[#This Row],[Market-based]]=0,emissions[[#This Row],[Impact Type]]="CO2E"),emissions[[#This Row],[kgCO2e]],0)/1000</f>
        <v>0</v>
      </c>
      <c r="AP1618">
        <f>IF(AND(emissions[[#This Row],[Market-based]]=1,OR(emissions[[#This Row],[Impact Type]]="CO2E",emissions[[#This Row],[Impact Type]]="CO2E MKT")),emissions[[#This Row],[kgCO2e]],0)/1000</f>
        <v>0</v>
      </c>
      <c r="AQ1618" t="str">
        <f>_xlfn.TEXTAFTER(emissions[[#This Row],[Reporting Unit]]," &gt; ",LEN(emissions[[#This Row],[Reporting Unit]])-LEN(SUBSTITUTE(emissions[[#This Row],[Reporting Unit]],"&gt;","")))</f>
        <v>Vantage_Tlalnepantla de Baz</v>
      </c>
      <c r="AR1618" t="str">
        <f>_xlfn.XLOOKUP(emissions[[#This Row],[Reporting unit name]],hierarchy!$A:$A,hierarchy!$C:$C)</f>
        <v>Warehouse</v>
      </c>
    </row>
    <row r="1619" spans="1:44" hidden="1" x14ac:dyDescent="0.25">
      <c r="A1619">
        <v>5023</v>
      </c>
      <c r="B1619" t="s">
        <v>299</v>
      </c>
      <c r="C1619" t="s">
        <v>493</v>
      </c>
      <c r="D1619" t="s">
        <v>599</v>
      </c>
      <c r="E1619" s="3">
        <v>44197</v>
      </c>
      <c r="F1619" s="3">
        <v>44561</v>
      </c>
      <c r="G1619" t="s">
        <v>141</v>
      </c>
      <c r="H1619" s="3">
        <v>44197</v>
      </c>
      <c r="I1619" s="3">
        <v>44561</v>
      </c>
      <c r="J1619" t="s">
        <v>142</v>
      </c>
      <c r="K1619">
        <v>0</v>
      </c>
      <c r="L1619" t="s">
        <v>143</v>
      </c>
      <c r="M1619" t="s">
        <v>82</v>
      </c>
      <c r="O1619" t="s">
        <v>600</v>
      </c>
      <c r="P1619" t="s">
        <v>550</v>
      </c>
      <c r="Q1619">
        <v>2021</v>
      </c>
      <c r="R1619" t="s">
        <v>612</v>
      </c>
      <c r="S1619" t="s">
        <v>613</v>
      </c>
      <c r="T1619" t="s">
        <v>553</v>
      </c>
      <c r="U1619" t="b">
        <v>0</v>
      </c>
      <c r="V1619" t="s">
        <v>614</v>
      </c>
      <c r="W1619" t="s">
        <v>587</v>
      </c>
      <c r="X1619" t="s">
        <v>556</v>
      </c>
      <c r="AC1619">
        <v>1</v>
      </c>
      <c r="AD1619" t="s">
        <v>565</v>
      </c>
      <c r="AE1619">
        <v>0</v>
      </c>
      <c r="AF1619">
        <v>2.70553</v>
      </c>
      <c r="AG1619" t="s">
        <v>588</v>
      </c>
      <c r="AH1619">
        <v>1</v>
      </c>
      <c r="AI1619">
        <v>0</v>
      </c>
      <c r="AJ1619" t="s">
        <v>561</v>
      </c>
      <c r="AK1619" t="s">
        <v>589</v>
      </c>
      <c r="AL1619" t="s">
        <v>603</v>
      </c>
      <c r="AM1619">
        <v>2021</v>
      </c>
      <c r="AN1619">
        <v>2019</v>
      </c>
      <c r="AO1619">
        <f>IF(AND(emissions[[#This Row],[Market-based]]=0,emissions[[#This Row],[Impact Type]]="CO2E"),emissions[[#This Row],[kgCO2e]],0)/1000</f>
        <v>0</v>
      </c>
      <c r="AP1619">
        <f>IF(AND(emissions[[#This Row],[Market-based]]=1,OR(emissions[[#This Row],[Impact Type]]="CO2E",emissions[[#This Row],[Impact Type]]="CO2E MKT")),emissions[[#This Row],[kgCO2e]],0)/1000</f>
        <v>0</v>
      </c>
      <c r="AQ1619" t="str">
        <f>_xlfn.TEXTAFTER(emissions[[#This Row],[Reporting Unit]]," &gt; ",LEN(emissions[[#This Row],[Reporting Unit]])-LEN(SUBSTITUTE(emissions[[#This Row],[Reporting Unit]],"&gt;","")))</f>
        <v>Vantage_Tlalnepantla de Baz</v>
      </c>
      <c r="AR1619" t="str">
        <f>_xlfn.XLOOKUP(emissions[[#This Row],[Reporting unit name]],hierarchy!$A:$A,hierarchy!$C:$C)</f>
        <v>Warehouse</v>
      </c>
    </row>
    <row r="1620" spans="1:44" hidden="1" x14ac:dyDescent="0.25">
      <c r="A1620">
        <v>5023</v>
      </c>
      <c r="B1620" t="s">
        <v>299</v>
      </c>
      <c r="C1620" t="s">
        <v>493</v>
      </c>
      <c r="D1620" t="s">
        <v>599</v>
      </c>
      <c r="E1620" s="3">
        <v>44197</v>
      </c>
      <c r="F1620" s="3">
        <v>44561</v>
      </c>
      <c r="G1620" t="s">
        <v>141</v>
      </c>
      <c r="H1620" s="3">
        <v>44197</v>
      </c>
      <c r="I1620" s="3">
        <v>44561</v>
      </c>
      <c r="J1620" t="s">
        <v>142</v>
      </c>
      <c r="K1620">
        <v>0</v>
      </c>
      <c r="L1620" t="s">
        <v>143</v>
      </c>
      <c r="M1620" t="s">
        <v>82</v>
      </c>
      <c r="O1620" t="s">
        <v>600</v>
      </c>
      <c r="P1620" t="s">
        <v>550</v>
      </c>
      <c r="Q1620">
        <v>2021</v>
      </c>
      <c r="R1620" t="s">
        <v>612</v>
      </c>
      <c r="S1620" t="s">
        <v>613</v>
      </c>
      <c r="T1620" t="s">
        <v>553</v>
      </c>
      <c r="U1620" t="b">
        <v>0</v>
      </c>
      <c r="V1620" t="s">
        <v>614</v>
      </c>
      <c r="W1620" t="s">
        <v>587</v>
      </c>
      <c r="X1620" t="s">
        <v>556</v>
      </c>
      <c r="AC1620">
        <v>1</v>
      </c>
      <c r="AD1620" t="s">
        <v>566</v>
      </c>
      <c r="AE1620">
        <v>0</v>
      </c>
      <c r="AF1620">
        <v>3.7199999999999997E-2</v>
      </c>
      <c r="AG1620" t="s">
        <v>588</v>
      </c>
      <c r="AH1620">
        <v>1</v>
      </c>
      <c r="AI1620">
        <v>0</v>
      </c>
      <c r="AJ1620" t="s">
        <v>561</v>
      </c>
      <c r="AK1620" t="s">
        <v>589</v>
      </c>
      <c r="AL1620" t="s">
        <v>603</v>
      </c>
      <c r="AM1620">
        <v>2021</v>
      </c>
      <c r="AN1620">
        <v>2019</v>
      </c>
      <c r="AO1620">
        <f>IF(AND(emissions[[#This Row],[Market-based]]=0,emissions[[#This Row],[Impact Type]]="CO2E"),emissions[[#This Row],[kgCO2e]],0)/1000</f>
        <v>0</v>
      </c>
      <c r="AP1620">
        <f>IF(AND(emissions[[#This Row],[Market-based]]=1,OR(emissions[[#This Row],[Impact Type]]="CO2E",emissions[[#This Row],[Impact Type]]="CO2E MKT")),emissions[[#This Row],[kgCO2e]],0)/1000</f>
        <v>0</v>
      </c>
      <c r="AQ1620" t="str">
        <f>_xlfn.TEXTAFTER(emissions[[#This Row],[Reporting Unit]]," &gt; ",LEN(emissions[[#This Row],[Reporting Unit]])-LEN(SUBSTITUTE(emissions[[#This Row],[Reporting Unit]],"&gt;","")))</f>
        <v>Vantage_Tlalnepantla de Baz</v>
      </c>
      <c r="AR1620" t="str">
        <f>_xlfn.XLOOKUP(emissions[[#This Row],[Reporting unit name]],hierarchy!$A:$A,hierarchy!$C:$C)</f>
        <v>Warehouse</v>
      </c>
    </row>
    <row r="1621" spans="1:44" hidden="1" x14ac:dyDescent="0.25">
      <c r="A1621">
        <v>5023</v>
      </c>
      <c r="B1621" t="s">
        <v>299</v>
      </c>
      <c r="C1621" t="s">
        <v>493</v>
      </c>
      <c r="D1621" t="s">
        <v>599</v>
      </c>
      <c r="E1621" s="3">
        <v>44197</v>
      </c>
      <c r="F1621" s="3">
        <v>44561</v>
      </c>
      <c r="G1621" t="s">
        <v>141</v>
      </c>
      <c r="H1621" s="3">
        <v>44197</v>
      </c>
      <c r="I1621" s="3">
        <v>44561</v>
      </c>
      <c r="J1621" t="s">
        <v>142</v>
      </c>
      <c r="K1621">
        <v>0</v>
      </c>
      <c r="L1621" t="s">
        <v>143</v>
      </c>
      <c r="M1621" t="s">
        <v>82</v>
      </c>
      <c r="O1621" t="s">
        <v>600</v>
      </c>
      <c r="P1621" t="s">
        <v>550</v>
      </c>
      <c r="Q1621">
        <v>2021</v>
      </c>
      <c r="R1621" t="s">
        <v>615</v>
      </c>
      <c r="S1621" t="s">
        <v>616</v>
      </c>
      <c r="T1621" t="s">
        <v>577</v>
      </c>
      <c r="U1621" t="b">
        <v>0</v>
      </c>
      <c r="V1621" t="s">
        <v>617</v>
      </c>
      <c r="W1621" t="s">
        <v>571</v>
      </c>
      <c r="X1621" t="s">
        <v>572</v>
      </c>
      <c r="AC1621">
        <v>0</v>
      </c>
      <c r="AD1621" t="s">
        <v>565</v>
      </c>
      <c r="AE1621">
        <v>0</v>
      </c>
      <c r="AF1621">
        <v>0.62873999999999997</v>
      </c>
      <c r="AG1621" t="s">
        <v>588</v>
      </c>
      <c r="AH1621">
        <v>1</v>
      </c>
      <c r="AI1621">
        <v>0</v>
      </c>
      <c r="AJ1621" t="s">
        <v>561</v>
      </c>
      <c r="AK1621" t="s">
        <v>589</v>
      </c>
      <c r="AL1621" t="s">
        <v>603</v>
      </c>
      <c r="AM1621">
        <v>2021</v>
      </c>
      <c r="AN1621">
        <v>2019</v>
      </c>
      <c r="AO1621">
        <f>IF(AND(emissions[[#This Row],[Market-based]]=0,emissions[[#This Row],[Impact Type]]="CO2E"),emissions[[#This Row],[kgCO2e]],0)/1000</f>
        <v>0</v>
      </c>
      <c r="AP1621">
        <f>IF(AND(emissions[[#This Row],[Market-based]]=1,OR(emissions[[#This Row],[Impact Type]]="CO2E",emissions[[#This Row],[Impact Type]]="CO2E MKT")),emissions[[#This Row],[kgCO2e]],0)/1000</f>
        <v>0</v>
      </c>
      <c r="AQ1621" t="str">
        <f>_xlfn.TEXTAFTER(emissions[[#This Row],[Reporting Unit]]," &gt; ",LEN(emissions[[#This Row],[Reporting Unit]])-LEN(SUBSTITUTE(emissions[[#This Row],[Reporting Unit]],"&gt;","")))</f>
        <v>Vantage_Tlalnepantla de Baz</v>
      </c>
      <c r="AR1621" t="str">
        <f>_xlfn.XLOOKUP(emissions[[#This Row],[Reporting unit name]],hierarchy!$A:$A,hierarchy!$C:$C)</f>
        <v>Warehouse</v>
      </c>
    </row>
    <row r="1622" spans="1:44" hidden="1" x14ac:dyDescent="0.25">
      <c r="A1622">
        <v>5023</v>
      </c>
      <c r="B1622" t="s">
        <v>299</v>
      </c>
      <c r="C1622" t="s">
        <v>493</v>
      </c>
      <c r="D1622" t="s">
        <v>599</v>
      </c>
      <c r="E1622" s="3">
        <v>44197</v>
      </c>
      <c r="F1622" s="3">
        <v>44561</v>
      </c>
      <c r="G1622" t="s">
        <v>141</v>
      </c>
      <c r="H1622" s="3">
        <v>44197</v>
      </c>
      <c r="I1622" s="3">
        <v>44561</v>
      </c>
      <c r="J1622" t="s">
        <v>142</v>
      </c>
      <c r="K1622">
        <v>0</v>
      </c>
      <c r="L1622" t="s">
        <v>143</v>
      </c>
      <c r="M1622" t="s">
        <v>82</v>
      </c>
      <c r="O1622" t="s">
        <v>600</v>
      </c>
      <c r="P1622" t="s">
        <v>550</v>
      </c>
      <c r="Q1622">
        <v>2021</v>
      </c>
      <c r="R1622" t="s">
        <v>615</v>
      </c>
      <c r="S1622" t="s">
        <v>616</v>
      </c>
      <c r="T1622" t="s">
        <v>577</v>
      </c>
      <c r="U1622" t="b">
        <v>0</v>
      </c>
      <c r="V1622" t="s">
        <v>617</v>
      </c>
      <c r="W1622" t="s">
        <v>571</v>
      </c>
      <c r="X1622" t="s">
        <v>572</v>
      </c>
      <c r="AC1622">
        <v>1</v>
      </c>
      <c r="AD1622" t="s">
        <v>565</v>
      </c>
      <c r="AE1622">
        <v>0</v>
      </c>
      <c r="AF1622">
        <v>0.62873999999999997</v>
      </c>
      <c r="AG1622" t="s">
        <v>588</v>
      </c>
      <c r="AH1622">
        <v>1</v>
      </c>
      <c r="AI1622">
        <v>0</v>
      </c>
      <c r="AJ1622" t="s">
        <v>561</v>
      </c>
      <c r="AK1622" t="s">
        <v>589</v>
      </c>
      <c r="AL1622" t="s">
        <v>603</v>
      </c>
      <c r="AM1622">
        <v>2021</v>
      </c>
      <c r="AN1622">
        <v>2019</v>
      </c>
      <c r="AO1622">
        <f>IF(AND(emissions[[#This Row],[Market-based]]=0,emissions[[#This Row],[Impact Type]]="CO2E"),emissions[[#This Row],[kgCO2e]],0)/1000</f>
        <v>0</v>
      </c>
      <c r="AP1622">
        <f>IF(AND(emissions[[#This Row],[Market-based]]=1,OR(emissions[[#This Row],[Impact Type]]="CO2E",emissions[[#This Row],[Impact Type]]="CO2E MKT")),emissions[[#This Row],[kgCO2e]],0)/1000</f>
        <v>0</v>
      </c>
      <c r="AQ1622" t="str">
        <f>_xlfn.TEXTAFTER(emissions[[#This Row],[Reporting Unit]]," &gt; ",LEN(emissions[[#This Row],[Reporting Unit]])-LEN(SUBSTITUTE(emissions[[#This Row],[Reporting Unit]],"&gt;","")))</f>
        <v>Vantage_Tlalnepantla de Baz</v>
      </c>
      <c r="AR1622" t="str">
        <f>_xlfn.XLOOKUP(emissions[[#This Row],[Reporting unit name]],hierarchy!$A:$A,hierarchy!$C:$C)</f>
        <v>Warehouse</v>
      </c>
    </row>
    <row r="1623" spans="1:44" hidden="1" x14ac:dyDescent="0.25">
      <c r="A1623">
        <v>5049</v>
      </c>
      <c r="B1623" t="s">
        <v>299</v>
      </c>
      <c r="C1623" t="s">
        <v>493</v>
      </c>
      <c r="D1623" t="s">
        <v>599</v>
      </c>
      <c r="E1623" s="3">
        <v>44197</v>
      </c>
      <c r="F1623" s="3">
        <v>44561</v>
      </c>
      <c r="G1623" t="s">
        <v>116</v>
      </c>
      <c r="H1623" s="3">
        <v>44197</v>
      </c>
      <c r="I1623" s="3">
        <v>44561</v>
      </c>
      <c r="J1623" t="s">
        <v>128</v>
      </c>
      <c r="K1623">
        <v>30.073499999999999</v>
      </c>
      <c r="L1623" t="s">
        <v>118</v>
      </c>
      <c r="M1623" t="s">
        <v>82</v>
      </c>
      <c r="O1623" t="s">
        <v>618</v>
      </c>
      <c r="P1623" t="s">
        <v>550</v>
      </c>
      <c r="Q1623">
        <v>2021</v>
      </c>
      <c r="R1623" t="s">
        <v>619</v>
      </c>
      <c r="S1623" t="s">
        <v>620</v>
      </c>
      <c r="T1623" t="s">
        <v>553</v>
      </c>
      <c r="U1623" t="b">
        <v>0</v>
      </c>
      <c r="V1623" t="s">
        <v>621</v>
      </c>
      <c r="W1623" t="s">
        <v>587</v>
      </c>
      <c r="X1623" t="s">
        <v>556</v>
      </c>
      <c r="AC1623">
        <v>0</v>
      </c>
      <c r="AD1623" t="s">
        <v>565</v>
      </c>
      <c r="AE1623">
        <v>43005.105000000003</v>
      </c>
      <c r="AF1623">
        <v>1430</v>
      </c>
      <c r="AG1623" t="s">
        <v>622</v>
      </c>
      <c r="AH1623">
        <v>1</v>
      </c>
      <c r="AI1623">
        <v>30.073499999999999</v>
      </c>
      <c r="AJ1623" t="s">
        <v>561</v>
      </c>
      <c r="AK1623" t="s">
        <v>623</v>
      </c>
      <c r="AL1623" t="s">
        <v>624</v>
      </c>
      <c r="AM1623">
        <v>2021</v>
      </c>
      <c r="AN1623">
        <v>2007</v>
      </c>
      <c r="AO1623">
        <f>IF(AND(emissions[[#This Row],[Market-based]]=0,emissions[[#This Row],[Impact Type]]="CO2E"),emissions[[#This Row],[kgCO2e]],0)/1000</f>
        <v>43.005105</v>
      </c>
      <c r="AP1623">
        <f>IF(AND(emissions[[#This Row],[Market-based]]=1,OR(emissions[[#This Row],[Impact Type]]="CO2E",emissions[[#This Row],[Impact Type]]="CO2E MKT")),emissions[[#This Row],[kgCO2e]],0)/1000</f>
        <v>0</v>
      </c>
      <c r="AQ1623" t="str">
        <f>_xlfn.TEXTAFTER(emissions[[#This Row],[Reporting Unit]]," &gt; ",LEN(emissions[[#This Row],[Reporting Unit]])-LEN(SUBSTITUTE(emissions[[#This Row],[Reporting Unit]],"&gt;","")))</f>
        <v>Vantage_Tlalnepantla de Baz</v>
      </c>
      <c r="AR1623" t="str">
        <f>_xlfn.XLOOKUP(emissions[[#This Row],[Reporting unit name]],hierarchy!$A:$A,hierarchy!$C:$C)</f>
        <v>Warehouse</v>
      </c>
    </row>
    <row r="1624" spans="1:44" hidden="1" x14ac:dyDescent="0.25">
      <c r="A1624">
        <v>5049</v>
      </c>
      <c r="B1624" t="s">
        <v>299</v>
      </c>
      <c r="C1624" t="s">
        <v>493</v>
      </c>
      <c r="D1624" t="s">
        <v>599</v>
      </c>
      <c r="E1624" s="3">
        <v>44197</v>
      </c>
      <c r="F1624" s="3">
        <v>44561</v>
      </c>
      <c r="G1624" t="s">
        <v>116</v>
      </c>
      <c r="H1624" s="3">
        <v>44197</v>
      </c>
      <c r="I1624" s="3">
        <v>44561</v>
      </c>
      <c r="J1624" t="s">
        <v>128</v>
      </c>
      <c r="K1624">
        <v>30.073499999999999</v>
      </c>
      <c r="L1624" t="s">
        <v>118</v>
      </c>
      <c r="M1624" t="s">
        <v>82</v>
      </c>
      <c r="O1624" t="s">
        <v>618</v>
      </c>
      <c r="P1624" t="s">
        <v>550</v>
      </c>
      <c r="Q1624">
        <v>2021</v>
      </c>
      <c r="R1624" t="s">
        <v>619</v>
      </c>
      <c r="S1624" t="s">
        <v>620</v>
      </c>
      <c r="T1624" t="s">
        <v>553</v>
      </c>
      <c r="U1624" t="b">
        <v>0</v>
      </c>
      <c r="V1624" t="s">
        <v>621</v>
      </c>
      <c r="W1624" t="s">
        <v>587</v>
      </c>
      <c r="X1624" t="s">
        <v>556</v>
      </c>
      <c r="AC1624">
        <v>1</v>
      </c>
      <c r="AD1624" t="s">
        <v>565</v>
      </c>
      <c r="AE1624">
        <v>43005.105000000003</v>
      </c>
      <c r="AF1624">
        <v>1430</v>
      </c>
      <c r="AG1624" t="s">
        <v>622</v>
      </c>
      <c r="AH1624">
        <v>1</v>
      </c>
      <c r="AI1624">
        <v>30.073499999999999</v>
      </c>
      <c r="AJ1624" t="s">
        <v>561</v>
      </c>
      <c r="AK1624" t="s">
        <v>623</v>
      </c>
      <c r="AL1624" t="s">
        <v>624</v>
      </c>
      <c r="AM1624">
        <v>2021</v>
      </c>
      <c r="AN1624">
        <v>2007</v>
      </c>
      <c r="AO1624">
        <f>IF(AND(emissions[[#This Row],[Market-based]]=0,emissions[[#This Row],[Impact Type]]="CO2E"),emissions[[#This Row],[kgCO2e]],0)/1000</f>
        <v>0</v>
      </c>
      <c r="AP1624">
        <f>IF(AND(emissions[[#This Row],[Market-based]]=1,OR(emissions[[#This Row],[Impact Type]]="CO2E",emissions[[#This Row],[Impact Type]]="CO2E MKT")),emissions[[#This Row],[kgCO2e]],0)/1000</f>
        <v>43.005105</v>
      </c>
      <c r="AQ1624" t="str">
        <f>_xlfn.TEXTAFTER(emissions[[#This Row],[Reporting Unit]]," &gt; ",LEN(emissions[[#This Row],[Reporting Unit]])-LEN(SUBSTITUTE(emissions[[#This Row],[Reporting Unit]],"&gt;","")))</f>
        <v>Vantage_Tlalnepantla de Baz</v>
      </c>
      <c r="AR1624" t="str">
        <f>_xlfn.XLOOKUP(emissions[[#This Row],[Reporting unit name]],hierarchy!$A:$A,hierarchy!$C:$C)</f>
        <v>Warehouse</v>
      </c>
    </row>
    <row r="1625" spans="1:44" hidden="1" x14ac:dyDescent="0.25">
      <c r="A1625">
        <v>291069</v>
      </c>
      <c r="B1625" t="s">
        <v>277</v>
      </c>
      <c r="C1625" t="s">
        <v>501</v>
      </c>
      <c r="D1625" t="s">
        <v>548</v>
      </c>
      <c r="E1625" s="3">
        <v>44562</v>
      </c>
      <c r="F1625" s="3">
        <v>44926</v>
      </c>
      <c r="G1625" t="s">
        <v>108</v>
      </c>
      <c r="H1625" s="3">
        <v>44562</v>
      </c>
      <c r="I1625" s="3">
        <v>44926</v>
      </c>
      <c r="J1625" t="s">
        <v>108</v>
      </c>
      <c r="K1625">
        <v>173808</v>
      </c>
      <c r="L1625" t="s">
        <v>109</v>
      </c>
      <c r="M1625" t="s">
        <v>110</v>
      </c>
      <c r="O1625" t="s">
        <v>959</v>
      </c>
      <c r="P1625" t="s">
        <v>550</v>
      </c>
      <c r="Q1625">
        <v>2022</v>
      </c>
      <c r="R1625" t="s">
        <v>551</v>
      </c>
      <c r="S1625" t="s">
        <v>552</v>
      </c>
      <c r="T1625" t="s">
        <v>553</v>
      </c>
      <c r="U1625" t="b">
        <v>0</v>
      </c>
      <c r="V1625" t="s">
        <v>831</v>
      </c>
      <c r="W1625" t="s">
        <v>555</v>
      </c>
      <c r="X1625" t="s">
        <v>556</v>
      </c>
      <c r="Y1625" t="s">
        <v>472</v>
      </c>
      <c r="Z1625" t="s">
        <v>485</v>
      </c>
      <c r="AA1625" t="s">
        <v>764</v>
      </c>
      <c r="AB1625" t="s">
        <v>832</v>
      </c>
      <c r="AC1625">
        <v>0</v>
      </c>
      <c r="AD1625" t="s">
        <v>558</v>
      </c>
      <c r="AE1625">
        <v>106.4312766</v>
      </c>
      <c r="AF1625">
        <v>6.1235E-4</v>
      </c>
      <c r="AG1625" t="s">
        <v>560</v>
      </c>
      <c r="AH1625">
        <v>1</v>
      </c>
      <c r="AI1625">
        <v>173808</v>
      </c>
      <c r="AJ1625" t="s">
        <v>561</v>
      </c>
      <c r="AK1625" t="s">
        <v>766</v>
      </c>
      <c r="AL1625" t="s">
        <v>767</v>
      </c>
      <c r="AM1625">
        <v>2022</v>
      </c>
      <c r="AN1625">
        <v>2020</v>
      </c>
      <c r="AO1625">
        <f>IF(AND(emissions[[#This Row],[Market-based]]=0,emissions[[#This Row],[Impact Type]]="CO2E"),emissions[[#This Row],[kgCO2e]],0)/1000</f>
        <v>0</v>
      </c>
      <c r="AP1625">
        <f>IF(AND(emissions[[#This Row],[Market-based]]=1,OR(emissions[[#This Row],[Impact Type]]="CO2E",emissions[[#This Row],[Impact Type]]="CO2E MKT")),emissions[[#This Row],[kgCO2e]],0)/1000</f>
        <v>0</v>
      </c>
      <c r="AQ1625" t="str">
        <f>_xlfn.TEXTAFTER(emissions[[#This Row],[Reporting Unit]]," &gt; ",LEN(emissions[[#This Row],[Reporting Unit]])-LEN(SUBSTITUTE(emissions[[#This Row],[Reporting Unit]],"&gt;","")))</f>
        <v>Vantage_Tucson</v>
      </c>
      <c r="AR1625" t="str">
        <f>_xlfn.XLOOKUP(emissions[[#This Row],[Reporting unit name]],hierarchy!$A:$A,hierarchy!$C:$C)</f>
        <v>Office</v>
      </c>
    </row>
    <row r="1626" spans="1:44" hidden="1" x14ac:dyDescent="0.25">
      <c r="A1626">
        <v>291069</v>
      </c>
      <c r="B1626" t="s">
        <v>277</v>
      </c>
      <c r="C1626" t="s">
        <v>501</v>
      </c>
      <c r="D1626" t="s">
        <v>548</v>
      </c>
      <c r="E1626" s="3">
        <v>44562</v>
      </c>
      <c r="F1626" s="3">
        <v>44926</v>
      </c>
      <c r="G1626" t="s">
        <v>108</v>
      </c>
      <c r="H1626" s="3">
        <v>44562</v>
      </c>
      <c r="I1626" s="3">
        <v>44926</v>
      </c>
      <c r="J1626" t="s">
        <v>108</v>
      </c>
      <c r="K1626">
        <v>173808</v>
      </c>
      <c r="L1626" t="s">
        <v>109</v>
      </c>
      <c r="M1626" t="s">
        <v>110</v>
      </c>
      <c r="O1626" t="s">
        <v>959</v>
      </c>
      <c r="P1626" t="s">
        <v>550</v>
      </c>
      <c r="Q1626">
        <v>2022</v>
      </c>
      <c r="R1626" t="s">
        <v>551</v>
      </c>
      <c r="S1626" t="s">
        <v>552</v>
      </c>
      <c r="T1626" t="s">
        <v>553</v>
      </c>
      <c r="U1626" t="b">
        <v>0</v>
      </c>
      <c r="V1626" t="s">
        <v>831</v>
      </c>
      <c r="W1626" t="s">
        <v>555</v>
      </c>
      <c r="X1626" t="s">
        <v>556</v>
      </c>
      <c r="Y1626" t="s">
        <v>472</v>
      </c>
      <c r="Z1626" t="s">
        <v>485</v>
      </c>
      <c r="AA1626" t="s">
        <v>764</v>
      </c>
      <c r="AB1626" t="s">
        <v>832</v>
      </c>
      <c r="AC1626">
        <v>0</v>
      </c>
      <c r="AD1626" t="s">
        <v>564</v>
      </c>
      <c r="AE1626">
        <v>66745.497510000001</v>
      </c>
      <c r="AF1626">
        <v>0.38401855800000001</v>
      </c>
      <c r="AG1626" t="s">
        <v>560</v>
      </c>
      <c r="AH1626">
        <v>1</v>
      </c>
      <c r="AI1626">
        <v>173808</v>
      </c>
      <c r="AJ1626" t="s">
        <v>561</v>
      </c>
      <c r="AK1626" t="s">
        <v>766</v>
      </c>
      <c r="AL1626" t="s">
        <v>767</v>
      </c>
      <c r="AM1626">
        <v>2022</v>
      </c>
      <c r="AN1626">
        <v>2020</v>
      </c>
      <c r="AO1626">
        <f>IF(AND(emissions[[#This Row],[Market-based]]=0,emissions[[#This Row],[Impact Type]]="CO2E"),emissions[[#This Row],[kgCO2e]],0)/1000</f>
        <v>0</v>
      </c>
      <c r="AP1626">
        <f>IF(AND(emissions[[#This Row],[Market-based]]=1,OR(emissions[[#This Row],[Impact Type]]="CO2E",emissions[[#This Row],[Impact Type]]="CO2E MKT")),emissions[[#This Row],[kgCO2e]],0)/1000</f>
        <v>0</v>
      </c>
      <c r="AQ1626" t="str">
        <f>_xlfn.TEXTAFTER(emissions[[#This Row],[Reporting Unit]]," &gt; ",LEN(emissions[[#This Row],[Reporting Unit]])-LEN(SUBSTITUTE(emissions[[#This Row],[Reporting Unit]],"&gt;","")))</f>
        <v>Vantage_Tucson</v>
      </c>
      <c r="AR1626" t="str">
        <f>_xlfn.XLOOKUP(emissions[[#This Row],[Reporting unit name]],hierarchy!$A:$A,hierarchy!$C:$C)</f>
        <v>Office</v>
      </c>
    </row>
    <row r="1627" spans="1:44" hidden="1" x14ac:dyDescent="0.25">
      <c r="A1627">
        <v>291069</v>
      </c>
      <c r="B1627" t="s">
        <v>277</v>
      </c>
      <c r="C1627" t="s">
        <v>501</v>
      </c>
      <c r="D1627" t="s">
        <v>548</v>
      </c>
      <c r="E1627" s="3">
        <v>44562</v>
      </c>
      <c r="F1627" s="3">
        <v>44926</v>
      </c>
      <c r="G1627" t="s">
        <v>108</v>
      </c>
      <c r="H1627" s="3">
        <v>44562</v>
      </c>
      <c r="I1627" s="3">
        <v>44926</v>
      </c>
      <c r="J1627" t="s">
        <v>108</v>
      </c>
      <c r="K1627">
        <v>173808</v>
      </c>
      <c r="L1627" t="s">
        <v>109</v>
      </c>
      <c r="M1627" t="s">
        <v>110</v>
      </c>
      <c r="O1627" t="s">
        <v>959</v>
      </c>
      <c r="P1627" t="s">
        <v>550</v>
      </c>
      <c r="Q1627">
        <v>2022</v>
      </c>
      <c r="R1627" t="s">
        <v>551</v>
      </c>
      <c r="S1627" t="s">
        <v>552</v>
      </c>
      <c r="T1627" t="s">
        <v>553</v>
      </c>
      <c r="U1627" t="b">
        <v>0</v>
      </c>
      <c r="V1627" t="s">
        <v>831</v>
      </c>
      <c r="W1627" t="s">
        <v>555</v>
      </c>
      <c r="X1627" t="s">
        <v>556</v>
      </c>
      <c r="Y1627" t="s">
        <v>472</v>
      </c>
      <c r="Z1627" t="s">
        <v>485</v>
      </c>
      <c r="AA1627" t="s">
        <v>764</v>
      </c>
      <c r="AB1627" t="s">
        <v>832</v>
      </c>
      <c r="AC1627">
        <v>0</v>
      </c>
      <c r="AD1627" t="s">
        <v>565</v>
      </c>
      <c r="AE1627">
        <v>67016.384820000007</v>
      </c>
      <c r="AF1627">
        <v>0.38557710099999998</v>
      </c>
      <c r="AG1627" t="s">
        <v>560</v>
      </c>
      <c r="AH1627">
        <v>1</v>
      </c>
      <c r="AI1627">
        <v>173808</v>
      </c>
      <c r="AJ1627" t="s">
        <v>561</v>
      </c>
      <c r="AK1627" t="s">
        <v>766</v>
      </c>
      <c r="AL1627" t="s">
        <v>767</v>
      </c>
      <c r="AM1627">
        <v>2022</v>
      </c>
      <c r="AN1627">
        <v>2020</v>
      </c>
      <c r="AO1627">
        <f>IF(AND(emissions[[#This Row],[Market-based]]=0,emissions[[#This Row],[Impact Type]]="CO2E"),emissions[[#This Row],[kgCO2e]],0)/1000</f>
        <v>67.016384820000013</v>
      </c>
      <c r="AP1627">
        <f>IF(AND(emissions[[#This Row],[Market-based]]=1,OR(emissions[[#This Row],[Impact Type]]="CO2E",emissions[[#This Row],[Impact Type]]="CO2E MKT")),emissions[[#This Row],[kgCO2e]],0)/1000</f>
        <v>0</v>
      </c>
      <c r="AQ1627" t="str">
        <f>_xlfn.TEXTAFTER(emissions[[#This Row],[Reporting Unit]]," &gt; ",LEN(emissions[[#This Row],[Reporting Unit]])-LEN(SUBSTITUTE(emissions[[#This Row],[Reporting Unit]],"&gt;","")))</f>
        <v>Vantage_Tucson</v>
      </c>
      <c r="AR1627" t="str">
        <f>_xlfn.XLOOKUP(emissions[[#This Row],[Reporting unit name]],hierarchy!$A:$A,hierarchy!$C:$C)</f>
        <v>Office</v>
      </c>
    </row>
    <row r="1628" spans="1:44" hidden="1" x14ac:dyDescent="0.25">
      <c r="A1628">
        <v>291069</v>
      </c>
      <c r="B1628" t="s">
        <v>277</v>
      </c>
      <c r="C1628" t="s">
        <v>501</v>
      </c>
      <c r="D1628" t="s">
        <v>548</v>
      </c>
      <c r="E1628" s="3">
        <v>44562</v>
      </c>
      <c r="F1628" s="3">
        <v>44926</v>
      </c>
      <c r="G1628" t="s">
        <v>108</v>
      </c>
      <c r="H1628" s="3">
        <v>44562</v>
      </c>
      <c r="I1628" s="3">
        <v>44926</v>
      </c>
      <c r="J1628" t="s">
        <v>108</v>
      </c>
      <c r="K1628">
        <v>173808</v>
      </c>
      <c r="L1628" t="s">
        <v>109</v>
      </c>
      <c r="M1628" t="s">
        <v>110</v>
      </c>
      <c r="O1628" t="s">
        <v>959</v>
      </c>
      <c r="P1628" t="s">
        <v>550</v>
      </c>
      <c r="Q1628">
        <v>2022</v>
      </c>
      <c r="R1628" t="s">
        <v>551</v>
      </c>
      <c r="S1628" t="s">
        <v>552</v>
      </c>
      <c r="T1628" t="s">
        <v>553</v>
      </c>
      <c r="U1628" t="b">
        <v>0</v>
      </c>
      <c r="V1628" t="s">
        <v>831</v>
      </c>
      <c r="W1628" t="s">
        <v>555</v>
      </c>
      <c r="X1628" t="s">
        <v>556</v>
      </c>
      <c r="Y1628" t="s">
        <v>472</v>
      </c>
      <c r="Z1628" t="s">
        <v>485</v>
      </c>
      <c r="AA1628" t="s">
        <v>764</v>
      </c>
      <c r="AB1628" t="s">
        <v>832</v>
      </c>
      <c r="AC1628">
        <v>0</v>
      </c>
      <c r="AD1628" t="s">
        <v>566</v>
      </c>
      <c r="AE1628">
        <v>164.45603180000001</v>
      </c>
      <c r="AF1628">
        <v>9.4619400000000003E-4</v>
      </c>
      <c r="AG1628" t="s">
        <v>560</v>
      </c>
      <c r="AH1628">
        <v>1</v>
      </c>
      <c r="AI1628">
        <v>173808</v>
      </c>
      <c r="AJ1628" t="s">
        <v>561</v>
      </c>
      <c r="AK1628" t="s">
        <v>766</v>
      </c>
      <c r="AL1628" t="s">
        <v>767</v>
      </c>
      <c r="AM1628">
        <v>2022</v>
      </c>
      <c r="AN1628">
        <v>2020</v>
      </c>
      <c r="AO1628">
        <f>IF(AND(emissions[[#This Row],[Market-based]]=0,emissions[[#This Row],[Impact Type]]="CO2E"),emissions[[#This Row],[kgCO2e]],0)/1000</f>
        <v>0</v>
      </c>
      <c r="AP1628">
        <f>IF(AND(emissions[[#This Row],[Market-based]]=1,OR(emissions[[#This Row],[Impact Type]]="CO2E",emissions[[#This Row],[Impact Type]]="CO2E MKT")),emissions[[#This Row],[kgCO2e]],0)/1000</f>
        <v>0</v>
      </c>
      <c r="AQ1628" t="str">
        <f>_xlfn.TEXTAFTER(emissions[[#This Row],[Reporting Unit]]," &gt; ",LEN(emissions[[#This Row],[Reporting Unit]])-LEN(SUBSTITUTE(emissions[[#This Row],[Reporting Unit]],"&gt;","")))</f>
        <v>Vantage_Tucson</v>
      </c>
      <c r="AR1628" t="str">
        <f>_xlfn.XLOOKUP(emissions[[#This Row],[Reporting unit name]],hierarchy!$A:$A,hierarchy!$C:$C)</f>
        <v>Office</v>
      </c>
    </row>
    <row r="1629" spans="1:44" hidden="1" x14ac:dyDescent="0.25">
      <c r="A1629">
        <v>291069</v>
      </c>
      <c r="B1629" t="s">
        <v>277</v>
      </c>
      <c r="C1629" t="s">
        <v>501</v>
      </c>
      <c r="D1629" t="s">
        <v>548</v>
      </c>
      <c r="E1629" s="3">
        <v>44562</v>
      </c>
      <c r="F1629" s="3">
        <v>44926</v>
      </c>
      <c r="G1629" t="s">
        <v>108</v>
      </c>
      <c r="H1629" s="3">
        <v>44562</v>
      </c>
      <c r="I1629" s="3">
        <v>44926</v>
      </c>
      <c r="J1629" t="s">
        <v>108</v>
      </c>
      <c r="K1629">
        <v>173808</v>
      </c>
      <c r="L1629" t="s">
        <v>109</v>
      </c>
      <c r="M1629" t="s">
        <v>110</v>
      </c>
      <c r="O1629" t="s">
        <v>959</v>
      </c>
      <c r="P1629" t="s">
        <v>550</v>
      </c>
      <c r="Q1629">
        <v>2022</v>
      </c>
      <c r="R1629" t="s">
        <v>551</v>
      </c>
      <c r="S1629" t="s">
        <v>552</v>
      </c>
      <c r="T1629" t="s">
        <v>553</v>
      </c>
      <c r="U1629" t="b">
        <v>0</v>
      </c>
      <c r="V1629" t="s">
        <v>831</v>
      </c>
      <c r="W1629" t="s">
        <v>555</v>
      </c>
      <c r="X1629" t="s">
        <v>556</v>
      </c>
      <c r="Y1629" t="s">
        <v>472</v>
      </c>
      <c r="Z1629" t="s">
        <v>485</v>
      </c>
      <c r="AA1629" t="s">
        <v>764</v>
      </c>
      <c r="AB1629" t="s">
        <v>832</v>
      </c>
      <c r="AC1629">
        <v>1</v>
      </c>
      <c r="AD1629" t="s">
        <v>639</v>
      </c>
      <c r="AE1629">
        <v>66870.651800000007</v>
      </c>
      <c r="AF1629">
        <v>0.38473863000000003</v>
      </c>
      <c r="AG1629" t="s">
        <v>560</v>
      </c>
      <c r="AH1629">
        <v>1</v>
      </c>
      <c r="AI1629">
        <v>173808</v>
      </c>
      <c r="AJ1629" t="s">
        <v>561</v>
      </c>
      <c r="AK1629" t="s">
        <v>833</v>
      </c>
      <c r="AL1629" t="s">
        <v>834</v>
      </c>
      <c r="AM1629">
        <v>2022</v>
      </c>
      <c r="AN1629">
        <v>2020</v>
      </c>
      <c r="AO1629">
        <f>IF(AND(emissions[[#This Row],[Market-based]]=0,emissions[[#This Row],[Impact Type]]="CO2E"),emissions[[#This Row],[kgCO2e]],0)/1000</f>
        <v>0</v>
      </c>
      <c r="AP1629">
        <f>IF(AND(emissions[[#This Row],[Market-based]]=1,OR(emissions[[#This Row],[Impact Type]]="CO2E",emissions[[#This Row],[Impact Type]]="CO2E MKT")),emissions[[#This Row],[kgCO2e]],0)/1000</f>
        <v>66.870651800000005</v>
      </c>
      <c r="AQ1629" t="str">
        <f>_xlfn.TEXTAFTER(emissions[[#This Row],[Reporting Unit]]," &gt; ",LEN(emissions[[#This Row],[Reporting Unit]])-LEN(SUBSTITUTE(emissions[[#This Row],[Reporting Unit]],"&gt;","")))</f>
        <v>Vantage_Tucson</v>
      </c>
      <c r="AR1629" t="str">
        <f>_xlfn.XLOOKUP(emissions[[#This Row],[Reporting unit name]],hierarchy!$A:$A,hierarchy!$C:$C)</f>
        <v>Office</v>
      </c>
    </row>
    <row r="1630" spans="1:44" hidden="1" x14ac:dyDescent="0.25">
      <c r="A1630">
        <v>291069</v>
      </c>
      <c r="B1630" t="s">
        <v>277</v>
      </c>
      <c r="C1630" t="s">
        <v>501</v>
      </c>
      <c r="D1630" t="s">
        <v>548</v>
      </c>
      <c r="E1630" s="3">
        <v>44562</v>
      </c>
      <c r="F1630" s="3">
        <v>44926</v>
      </c>
      <c r="G1630" t="s">
        <v>108</v>
      </c>
      <c r="H1630" s="3">
        <v>44562</v>
      </c>
      <c r="I1630" s="3">
        <v>44926</v>
      </c>
      <c r="J1630" t="s">
        <v>108</v>
      </c>
      <c r="K1630">
        <v>173808</v>
      </c>
      <c r="L1630" t="s">
        <v>109</v>
      </c>
      <c r="M1630" t="s">
        <v>110</v>
      </c>
      <c r="O1630" t="s">
        <v>959</v>
      </c>
      <c r="P1630" t="s">
        <v>550</v>
      </c>
      <c r="Q1630">
        <v>2022</v>
      </c>
      <c r="R1630" t="s">
        <v>567</v>
      </c>
      <c r="S1630" t="s">
        <v>568</v>
      </c>
      <c r="T1630" t="s">
        <v>569</v>
      </c>
      <c r="U1630" t="b">
        <v>0</v>
      </c>
      <c r="V1630" t="s">
        <v>835</v>
      </c>
      <c r="W1630" t="s">
        <v>571</v>
      </c>
      <c r="X1630" t="s">
        <v>572</v>
      </c>
      <c r="Y1630" t="s">
        <v>472</v>
      </c>
      <c r="Z1630" t="s">
        <v>485</v>
      </c>
      <c r="AA1630" t="s">
        <v>764</v>
      </c>
      <c r="AB1630" t="s">
        <v>832</v>
      </c>
      <c r="AC1630">
        <v>0</v>
      </c>
      <c r="AD1630" t="s">
        <v>565</v>
      </c>
      <c r="AE1630">
        <v>1049.3862489999999</v>
      </c>
      <c r="AF1630">
        <v>6.0376179999999998E-3</v>
      </c>
      <c r="AG1630" t="s">
        <v>560</v>
      </c>
      <c r="AH1630">
        <v>1</v>
      </c>
      <c r="AI1630">
        <v>173808</v>
      </c>
      <c r="AJ1630" t="s">
        <v>561</v>
      </c>
      <c r="AK1630" t="s">
        <v>573</v>
      </c>
      <c r="AL1630" t="s">
        <v>574</v>
      </c>
      <c r="AM1630">
        <v>2022</v>
      </c>
      <c r="AN1630">
        <v>2020</v>
      </c>
      <c r="AO1630">
        <f>IF(AND(emissions[[#This Row],[Market-based]]=0,emissions[[#This Row],[Impact Type]]="CO2E"),emissions[[#This Row],[kgCO2e]],0)/1000</f>
        <v>1.0493862489999999</v>
      </c>
      <c r="AP1630">
        <f>IF(AND(emissions[[#This Row],[Market-based]]=1,OR(emissions[[#This Row],[Impact Type]]="CO2E",emissions[[#This Row],[Impact Type]]="CO2E MKT")),emissions[[#This Row],[kgCO2e]],0)/1000</f>
        <v>0</v>
      </c>
      <c r="AQ1630" t="str">
        <f>_xlfn.TEXTAFTER(emissions[[#This Row],[Reporting Unit]]," &gt; ",LEN(emissions[[#This Row],[Reporting Unit]])-LEN(SUBSTITUTE(emissions[[#This Row],[Reporting Unit]],"&gt;","")))</f>
        <v>Vantage_Tucson</v>
      </c>
      <c r="AR1630" t="str">
        <f>_xlfn.XLOOKUP(emissions[[#This Row],[Reporting unit name]],hierarchy!$A:$A,hierarchy!$C:$C)</f>
        <v>Office</v>
      </c>
    </row>
    <row r="1631" spans="1:44" hidden="1" x14ac:dyDescent="0.25">
      <c r="A1631">
        <v>291069</v>
      </c>
      <c r="B1631" t="s">
        <v>277</v>
      </c>
      <c r="C1631" t="s">
        <v>501</v>
      </c>
      <c r="D1631" t="s">
        <v>548</v>
      </c>
      <c r="E1631" s="3">
        <v>44562</v>
      </c>
      <c r="F1631" s="3">
        <v>44926</v>
      </c>
      <c r="G1631" t="s">
        <v>108</v>
      </c>
      <c r="H1631" s="3">
        <v>44562</v>
      </c>
      <c r="I1631" s="3">
        <v>44926</v>
      </c>
      <c r="J1631" t="s">
        <v>108</v>
      </c>
      <c r="K1631">
        <v>173808</v>
      </c>
      <c r="L1631" t="s">
        <v>109</v>
      </c>
      <c r="M1631" t="s">
        <v>110</v>
      </c>
      <c r="O1631" t="s">
        <v>959</v>
      </c>
      <c r="P1631" t="s">
        <v>550</v>
      </c>
      <c r="Q1631">
        <v>2022</v>
      </c>
      <c r="R1631" t="s">
        <v>567</v>
      </c>
      <c r="S1631" t="s">
        <v>568</v>
      </c>
      <c r="T1631" t="s">
        <v>569</v>
      </c>
      <c r="U1631" t="b">
        <v>0</v>
      </c>
      <c r="V1631" t="s">
        <v>836</v>
      </c>
      <c r="W1631" t="s">
        <v>571</v>
      </c>
      <c r="X1631" t="s">
        <v>572</v>
      </c>
      <c r="Y1631" t="s">
        <v>472</v>
      </c>
      <c r="Z1631" t="s">
        <v>485</v>
      </c>
      <c r="AA1631" t="s">
        <v>764</v>
      </c>
      <c r="AB1631" t="s">
        <v>832</v>
      </c>
      <c r="AC1631">
        <v>1</v>
      </c>
      <c r="AD1631" t="s">
        <v>639</v>
      </c>
      <c r="AE1631">
        <v>1014.247427</v>
      </c>
      <c r="AF1631">
        <v>5.8354469999999997E-3</v>
      </c>
      <c r="AG1631" t="s">
        <v>560</v>
      </c>
      <c r="AH1631">
        <v>1</v>
      </c>
      <c r="AI1631">
        <v>173808</v>
      </c>
      <c r="AJ1631" t="s">
        <v>561</v>
      </c>
      <c r="AK1631" t="s">
        <v>573</v>
      </c>
      <c r="AL1631" t="s">
        <v>772</v>
      </c>
      <c r="AM1631">
        <v>2022</v>
      </c>
      <c r="AN1631">
        <v>2019</v>
      </c>
      <c r="AO1631">
        <f>IF(AND(emissions[[#This Row],[Market-based]]=0,emissions[[#This Row],[Impact Type]]="CO2E"),emissions[[#This Row],[kgCO2e]],0)/1000</f>
        <v>0</v>
      </c>
      <c r="AP1631">
        <f>IF(AND(emissions[[#This Row],[Market-based]]=1,OR(emissions[[#This Row],[Impact Type]]="CO2E",emissions[[#This Row],[Impact Type]]="CO2E MKT")),emissions[[#This Row],[kgCO2e]],0)/1000</f>
        <v>1.0142474269999999</v>
      </c>
      <c r="AQ1631" t="str">
        <f>_xlfn.TEXTAFTER(emissions[[#This Row],[Reporting Unit]]," &gt; ",LEN(emissions[[#This Row],[Reporting Unit]])-LEN(SUBSTITUTE(emissions[[#This Row],[Reporting Unit]],"&gt;","")))</f>
        <v>Vantage_Tucson</v>
      </c>
      <c r="AR1631" t="str">
        <f>_xlfn.XLOOKUP(emissions[[#This Row],[Reporting unit name]],hierarchy!$A:$A,hierarchy!$C:$C)</f>
        <v>Office</v>
      </c>
    </row>
    <row r="1632" spans="1:44" hidden="1" x14ac:dyDescent="0.25">
      <c r="A1632">
        <v>291069</v>
      </c>
      <c r="B1632" t="s">
        <v>277</v>
      </c>
      <c r="C1632" t="s">
        <v>501</v>
      </c>
      <c r="D1632" t="s">
        <v>548</v>
      </c>
      <c r="E1632" s="3">
        <v>44562</v>
      </c>
      <c r="F1632" s="3">
        <v>44926</v>
      </c>
      <c r="G1632" t="s">
        <v>108</v>
      </c>
      <c r="H1632" s="3">
        <v>44562</v>
      </c>
      <c r="I1632" s="3">
        <v>44926</v>
      </c>
      <c r="J1632" t="s">
        <v>108</v>
      </c>
      <c r="K1632">
        <v>173808</v>
      </c>
      <c r="L1632" t="s">
        <v>109</v>
      </c>
      <c r="M1632" t="s">
        <v>110</v>
      </c>
      <c r="O1632" t="s">
        <v>959</v>
      </c>
      <c r="P1632" t="s">
        <v>550</v>
      </c>
      <c r="Q1632">
        <v>2022</v>
      </c>
      <c r="R1632" t="s">
        <v>575</v>
      </c>
      <c r="S1632" t="s">
        <v>576</v>
      </c>
      <c r="T1632" t="s">
        <v>577</v>
      </c>
      <c r="U1632" t="b">
        <v>0</v>
      </c>
      <c r="V1632" t="s">
        <v>837</v>
      </c>
      <c r="W1632" t="s">
        <v>571</v>
      </c>
      <c r="X1632" t="s">
        <v>572</v>
      </c>
      <c r="Y1632" t="s">
        <v>472</v>
      </c>
      <c r="Z1632" t="s">
        <v>485</v>
      </c>
      <c r="AA1632" t="s">
        <v>764</v>
      </c>
      <c r="AB1632" t="s">
        <v>832</v>
      </c>
      <c r="AC1632">
        <v>0</v>
      </c>
      <c r="AD1632" t="s">
        <v>565</v>
      </c>
      <c r="AE1632">
        <v>18750.354299999999</v>
      </c>
      <c r="AF1632">
        <v>0.107879697</v>
      </c>
      <c r="AG1632" t="s">
        <v>560</v>
      </c>
      <c r="AH1632">
        <v>1</v>
      </c>
      <c r="AI1632">
        <v>173808</v>
      </c>
      <c r="AJ1632" t="s">
        <v>561</v>
      </c>
      <c r="AK1632" t="s">
        <v>573</v>
      </c>
      <c r="AL1632" t="s">
        <v>574</v>
      </c>
      <c r="AM1632">
        <v>2022</v>
      </c>
      <c r="AN1632">
        <v>2020</v>
      </c>
      <c r="AO1632">
        <f>IF(AND(emissions[[#This Row],[Market-based]]=0,emissions[[#This Row],[Impact Type]]="CO2E"),emissions[[#This Row],[kgCO2e]],0)/1000</f>
        <v>18.750354299999998</v>
      </c>
      <c r="AP1632">
        <f>IF(AND(emissions[[#This Row],[Market-based]]=1,OR(emissions[[#This Row],[Impact Type]]="CO2E",emissions[[#This Row],[Impact Type]]="CO2E MKT")),emissions[[#This Row],[kgCO2e]],0)/1000</f>
        <v>0</v>
      </c>
      <c r="AQ1632" t="str">
        <f>_xlfn.TEXTAFTER(emissions[[#This Row],[Reporting Unit]]," &gt; ",LEN(emissions[[#This Row],[Reporting Unit]])-LEN(SUBSTITUTE(emissions[[#This Row],[Reporting Unit]],"&gt;","")))</f>
        <v>Vantage_Tucson</v>
      </c>
      <c r="AR1632" t="str">
        <f>_xlfn.XLOOKUP(emissions[[#This Row],[Reporting unit name]],hierarchy!$A:$A,hierarchy!$C:$C)</f>
        <v>Office</v>
      </c>
    </row>
    <row r="1633" spans="1:44" hidden="1" x14ac:dyDescent="0.25">
      <c r="A1633">
        <v>291069</v>
      </c>
      <c r="B1633" t="s">
        <v>277</v>
      </c>
      <c r="C1633" t="s">
        <v>501</v>
      </c>
      <c r="D1633" t="s">
        <v>548</v>
      </c>
      <c r="E1633" s="3">
        <v>44562</v>
      </c>
      <c r="F1633" s="3">
        <v>44926</v>
      </c>
      <c r="G1633" t="s">
        <v>108</v>
      </c>
      <c r="H1633" s="3">
        <v>44562</v>
      </c>
      <c r="I1633" s="3">
        <v>44926</v>
      </c>
      <c r="J1633" t="s">
        <v>108</v>
      </c>
      <c r="K1633">
        <v>173808</v>
      </c>
      <c r="L1633" t="s">
        <v>109</v>
      </c>
      <c r="M1633" t="s">
        <v>110</v>
      </c>
      <c r="O1633" t="s">
        <v>959</v>
      </c>
      <c r="P1633" t="s">
        <v>550</v>
      </c>
      <c r="Q1633">
        <v>2022</v>
      </c>
      <c r="R1633" t="s">
        <v>575</v>
      </c>
      <c r="S1633" t="s">
        <v>576</v>
      </c>
      <c r="T1633" t="s">
        <v>577</v>
      </c>
      <c r="U1633" t="b">
        <v>0</v>
      </c>
      <c r="V1633" t="s">
        <v>838</v>
      </c>
      <c r="W1633" t="s">
        <v>571</v>
      </c>
      <c r="X1633" t="s">
        <v>572</v>
      </c>
      <c r="Y1633" t="s">
        <v>472</v>
      </c>
      <c r="Z1633" t="s">
        <v>485</v>
      </c>
      <c r="AA1633" t="s">
        <v>764</v>
      </c>
      <c r="AB1633" t="s">
        <v>832</v>
      </c>
      <c r="AC1633">
        <v>1</v>
      </c>
      <c r="AD1633" t="s">
        <v>639</v>
      </c>
      <c r="AE1633">
        <v>19887.204440000001</v>
      </c>
      <c r="AF1633">
        <v>0.114420536</v>
      </c>
      <c r="AG1633" t="s">
        <v>560</v>
      </c>
      <c r="AH1633">
        <v>1</v>
      </c>
      <c r="AI1633">
        <v>173808</v>
      </c>
      <c r="AJ1633" t="s">
        <v>561</v>
      </c>
      <c r="AK1633" t="s">
        <v>573</v>
      </c>
      <c r="AL1633" t="s">
        <v>839</v>
      </c>
      <c r="AM1633">
        <v>2022</v>
      </c>
      <c r="AN1633">
        <v>2019</v>
      </c>
      <c r="AO1633">
        <f>IF(AND(emissions[[#This Row],[Market-based]]=0,emissions[[#This Row],[Impact Type]]="CO2E"),emissions[[#This Row],[kgCO2e]],0)/1000</f>
        <v>0</v>
      </c>
      <c r="AP1633">
        <f>IF(AND(emissions[[#This Row],[Market-based]]=1,OR(emissions[[#This Row],[Impact Type]]="CO2E",emissions[[#This Row],[Impact Type]]="CO2E MKT")),emissions[[#This Row],[kgCO2e]],0)/1000</f>
        <v>19.887204440000001</v>
      </c>
      <c r="AQ1633" t="str">
        <f>_xlfn.TEXTAFTER(emissions[[#This Row],[Reporting Unit]]," &gt; ",LEN(emissions[[#This Row],[Reporting Unit]])-LEN(SUBSTITUTE(emissions[[#This Row],[Reporting Unit]],"&gt;","")))</f>
        <v>Vantage_Tucson</v>
      </c>
      <c r="AR1633" t="str">
        <f>_xlfn.XLOOKUP(emissions[[#This Row],[Reporting unit name]],hierarchy!$A:$A,hierarchy!$C:$C)</f>
        <v>Office</v>
      </c>
    </row>
    <row r="1634" spans="1:44" hidden="1" x14ac:dyDescent="0.25">
      <c r="A1634">
        <v>291069</v>
      </c>
      <c r="B1634" t="s">
        <v>277</v>
      </c>
      <c r="C1634" t="s">
        <v>501</v>
      </c>
      <c r="D1634" t="s">
        <v>548</v>
      </c>
      <c r="E1634" s="3">
        <v>44562</v>
      </c>
      <c r="F1634" s="3">
        <v>44926</v>
      </c>
      <c r="G1634" t="s">
        <v>108</v>
      </c>
      <c r="H1634" s="3">
        <v>44562</v>
      </c>
      <c r="I1634" s="3">
        <v>44926</v>
      </c>
      <c r="J1634" t="s">
        <v>108</v>
      </c>
      <c r="K1634">
        <v>173808</v>
      </c>
      <c r="L1634" t="s">
        <v>109</v>
      </c>
      <c r="M1634" t="s">
        <v>110</v>
      </c>
      <c r="O1634" t="s">
        <v>959</v>
      </c>
      <c r="P1634" t="s">
        <v>550</v>
      </c>
      <c r="Q1634">
        <v>2022</v>
      </c>
      <c r="R1634" t="s">
        <v>579</v>
      </c>
      <c r="S1634" t="s">
        <v>580</v>
      </c>
      <c r="T1634" t="s">
        <v>581</v>
      </c>
      <c r="U1634" t="b">
        <v>0</v>
      </c>
      <c r="V1634" t="s">
        <v>840</v>
      </c>
      <c r="W1634" t="s">
        <v>571</v>
      </c>
      <c r="X1634" t="s">
        <v>572</v>
      </c>
      <c r="Y1634" t="s">
        <v>472</v>
      </c>
      <c r="Z1634" t="s">
        <v>485</v>
      </c>
      <c r="AA1634" t="s">
        <v>764</v>
      </c>
      <c r="AB1634" t="s">
        <v>832</v>
      </c>
      <c r="AC1634">
        <v>0</v>
      </c>
      <c r="AD1634" t="s">
        <v>565</v>
      </c>
      <c r="AE1634">
        <v>3551.8683959999998</v>
      </c>
      <c r="AF1634">
        <v>2.0435585999999999E-2</v>
      </c>
      <c r="AG1634" t="s">
        <v>560</v>
      </c>
      <c r="AH1634">
        <v>1</v>
      </c>
      <c r="AI1634">
        <v>173808</v>
      </c>
      <c r="AJ1634" t="s">
        <v>561</v>
      </c>
      <c r="AK1634" t="s">
        <v>766</v>
      </c>
      <c r="AL1634" t="s">
        <v>767</v>
      </c>
      <c r="AM1634">
        <v>2022</v>
      </c>
      <c r="AN1634">
        <v>2020</v>
      </c>
      <c r="AO1634">
        <f>IF(AND(emissions[[#This Row],[Market-based]]=0,emissions[[#This Row],[Impact Type]]="CO2E"),emissions[[#This Row],[kgCO2e]],0)/1000</f>
        <v>3.5518683959999997</v>
      </c>
      <c r="AP1634">
        <f>IF(AND(emissions[[#This Row],[Market-based]]=1,OR(emissions[[#This Row],[Impact Type]]="CO2E",emissions[[#This Row],[Impact Type]]="CO2E MKT")),emissions[[#This Row],[kgCO2e]],0)/1000</f>
        <v>0</v>
      </c>
      <c r="AQ1634" t="str">
        <f>_xlfn.TEXTAFTER(emissions[[#This Row],[Reporting Unit]]," &gt; ",LEN(emissions[[#This Row],[Reporting Unit]])-LEN(SUBSTITUTE(emissions[[#This Row],[Reporting Unit]],"&gt;","")))</f>
        <v>Vantage_Tucson</v>
      </c>
      <c r="AR1634" t="str">
        <f>_xlfn.XLOOKUP(emissions[[#This Row],[Reporting unit name]],hierarchy!$A:$A,hierarchy!$C:$C)</f>
        <v>Office</v>
      </c>
    </row>
    <row r="1635" spans="1:44" hidden="1" x14ac:dyDescent="0.25">
      <c r="A1635">
        <v>291069</v>
      </c>
      <c r="B1635" t="s">
        <v>277</v>
      </c>
      <c r="C1635" t="s">
        <v>501</v>
      </c>
      <c r="D1635" t="s">
        <v>548</v>
      </c>
      <c r="E1635" s="3">
        <v>44562</v>
      </c>
      <c r="F1635" s="3">
        <v>44926</v>
      </c>
      <c r="G1635" t="s">
        <v>108</v>
      </c>
      <c r="H1635" s="3">
        <v>44562</v>
      </c>
      <c r="I1635" s="3">
        <v>44926</v>
      </c>
      <c r="J1635" t="s">
        <v>108</v>
      </c>
      <c r="K1635">
        <v>173808</v>
      </c>
      <c r="L1635" t="s">
        <v>109</v>
      </c>
      <c r="M1635" t="s">
        <v>110</v>
      </c>
      <c r="O1635" t="s">
        <v>959</v>
      </c>
      <c r="P1635" t="s">
        <v>550</v>
      </c>
      <c r="Q1635">
        <v>2022</v>
      </c>
      <c r="R1635" t="s">
        <v>579</v>
      </c>
      <c r="S1635" t="s">
        <v>580</v>
      </c>
      <c r="T1635" t="s">
        <v>581</v>
      </c>
      <c r="U1635" t="b">
        <v>0</v>
      </c>
      <c r="V1635" t="s">
        <v>841</v>
      </c>
      <c r="W1635" t="s">
        <v>571</v>
      </c>
      <c r="X1635" t="s">
        <v>572</v>
      </c>
      <c r="Y1635" t="s">
        <v>472</v>
      </c>
      <c r="Z1635" t="s">
        <v>485</v>
      </c>
      <c r="AA1635" t="s">
        <v>764</v>
      </c>
      <c r="AB1635" t="s">
        <v>832</v>
      </c>
      <c r="AC1635">
        <v>1</v>
      </c>
      <c r="AD1635" t="s">
        <v>639</v>
      </c>
      <c r="AE1635">
        <v>3839.361664</v>
      </c>
      <c r="AF1635">
        <v>2.2089672000000001E-2</v>
      </c>
      <c r="AG1635" t="s">
        <v>560</v>
      </c>
      <c r="AH1635">
        <v>1</v>
      </c>
      <c r="AI1635">
        <v>173808</v>
      </c>
      <c r="AJ1635" t="s">
        <v>561</v>
      </c>
      <c r="AK1635" t="s">
        <v>573</v>
      </c>
      <c r="AL1635" t="s">
        <v>842</v>
      </c>
      <c r="AM1635">
        <v>2022</v>
      </c>
      <c r="AN1635">
        <v>2019</v>
      </c>
      <c r="AO1635">
        <f>IF(AND(emissions[[#This Row],[Market-based]]=0,emissions[[#This Row],[Impact Type]]="CO2E"),emissions[[#This Row],[kgCO2e]],0)/1000</f>
        <v>0</v>
      </c>
      <c r="AP1635">
        <f>IF(AND(emissions[[#This Row],[Market-based]]=1,OR(emissions[[#This Row],[Impact Type]]="CO2E",emissions[[#This Row],[Impact Type]]="CO2E MKT")),emissions[[#This Row],[kgCO2e]],0)/1000</f>
        <v>3.8393616640000001</v>
      </c>
      <c r="AQ1635" t="str">
        <f>_xlfn.TEXTAFTER(emissions[[#This Row],[Reporting Unit]]," &gt; ",LEN(emissions[[#This Row],[Reporting Unit]])-LEN(SUBSTITUTE(emissions[[#This Row],[Reporting Unit]],"&gt;","")))</f>
        <v>Vantage_Tucson</v>
      </c>
      <c r="AR1635" t="str">
        <f>_xlfn.XLOOKUP(emissions[[#This Row],[Reporting unit name]],hierarchy!$A:$A,hierarchy!$C:$C)</f>
        <v>Office</v>
      </c>
    </row>
    <row r="1636" spans="1:44" hidden="1" x14ac:dyDescent="0.25">
      <c r="A1636">
        <v>290047</v>
      </c>
      <c r="B1636" t="s">
        <v>277</v>
      </c>
      <c r="C1636" t="s">
        <v>501</v>
      </c>
      <c r="D1636" t="s">
        <v>548</v>
      </c>
      <c r="E1636" s="3">
        <v>44562</v>
      </c>
      <c r="F1636" s="3">
        <v>44926</v>
      </c>
      <c r="G1636" t="s">
        <v>135</v>
      </c>
      <c r="H1636" s="3">
        <v>44562</v>
      </c>
      <c r="I1636" s="3">
        <v>44926</v>
      </c>
      <c r="J1636" t="s">
        <v>135</v>
      </c>
      <c r="K1636">
        <v>3992</v>
      </c>
      <c r="L1636" t="s">
        <v>136</v>
      </c>
      <c r="M1636" t="s">
        <v>110</v>
      </c>
      <c r="O1636" t="s">
        <v>960</v>
      </c>
      <c r="P1636" t="s">
        <v>550</v>
      </c>
      <c r="Q1636">
        <v>2022</v>
      </c>
      <c r="R1636" t="s">
        <v>605</v>
      </c>
      <c r="S1636" t="s">
        <v>606</v>
      </c>
      <c r="T1636" t="s">
        <v>553</v>
      </c>
      <c r="U1636" t="b">
        <v>0</v>
      </c>
      <c r="V1636" t="s">
        <v>781</v>
      </c>
      <c r="W1636" t="s">
        <v>587</v>
      </c>
      <c r="X1636" t="s">
        <v>556</v>
      </c>
      <c r="Y1636" t="s">
        <v>472</v>
      </c>
      <c r="Z1636" t="s">
        <v>485</v>
      </c>
      <c r="AA1636" t="s">
        <v>764</v>
      </c>
      <c r="AC1636">
        <v>0</v>
      </c>
      <c r="AD1636" t="s">
        <v>558</v>
      </c>
      <c r="AE1636">
        <v>9.98</v>
      </c>
      <c r="AF1636">
        <v>2.5000000000000001E-2</v>
      </c>
      <c r="AG1636" t="s">
        <v>798</v>
      </c>
      <c r="AH1636">
        <v>0.1</v>
      </c>
      <c r="AI1636">
        <v>399.2</v>
      </c>
      <c r="AJ1636" t="s">
        <v>561</v>
      </c>
      <c r="AK1636" t="s">
        <v>766</v>
      </c>
      <c r="AL1636" t="s">
        <v>787</v>
      </c>
      <c r="AM1636">
        <v>2022</v>
      </c>
      <c r="AN1636">
        <v>2021</v>
      </c>
      <c r="AO1636">
        <f>IF(AND(emissions[[#This Row],[Market-based]]=0,emissions[[#This Row],[Impact Type]]="CO2E"),emissions[[#This Row],[kgCO2e]],0)/1000</f>
        <v>0</v>
      </c>
      <c r="AP1636">
        <f>IF(AND(emissions[[#This Row],[Market-based]]=1,OR(emissions[[#This Row],[Impact Type]]="CO2E",emissions[[#This Row],[Impact Type]]="CO2E MKT")),emissions[[#This Row],[kgCO2e]],0)/1000</f>
        <v>0</v>
      </c>
      <c r="AQ1636" t="str">
        <f>_xlfn.TEXTAFTER(emissions[[#This Row],[Reporting Unit]]," &gt; ",LEN(emissions[[#This Row],[Reporting Unit]])-LEN(SUBSTITUTE(emissions[[#This Row],[Reporting Unit]],"&gt;","")))</f>
        <v>Vantage_Tucson</v>
      </c>
      <c r="AR1636" t="str">
        <f>_xlfn.XLOOKUP(emissions[[#This Row],[Reporting unit name]],hierarchy!$A:$A,hierarchy!$C:$C)</f>
        <v>Office</v>
      </c>
    </row>
    <row r="1637" spans="1:44" hidden="1" x14ac:dyDescent="0.25">
      <c r="A1637">
        <v>290047</v>
      </c>
      <c r="B1637" t="s">
        <v>277</v>
      </c>
      <c r="C1637" t="s">
        <v>501</v>
      </c>
      <c r="D1637" t="s">
        <v>548</v>
      </c>
      <c r="E1637" s="3">
        <v>44562</v>
      </c>
      <c r="F1637" s="3">
        <v>44926</v>
      </c>
      <c r="G1637" t="s">
        <v>135</v>
      </c>
      <c r="H1637" s="3">
        <v>44562</v>
      </c>
      <c r="I1637" s="3">
        <v>44926</v>
      </c>
      <c r="J1637" t="s">
        <v>135</v>
      </c>
      <c r="K1637">
        <v>3992</v>
      </c>
      <c r="L1637" t="s">
        <v>136</v>
      </c>
      <c r="M1637" t="s">
        <v>110</v>
      </c>
      <c r="O1637" t="s">
        <v>960</v>
      </c>
      <c r="P1637" t="s">
        <v>550</v>
      </c>
      <c r="Q1637">
        <v>2022</v>
      </c>
      <c r="R1637" t="s">
        <v>605</v>
      </c>
      <c r="S1637" t="s">
        <v>606</v>
      </c>
      <c r="T1637" t="s">
        <v>553</v>
      </c>
      <c r="U1637" t="b">
        <v>0</v>
      </c>
      <c r="V1637" t="s">
        <v>781</v>
      </c>
      <c r="W1637" t="s">
        <v>587</v>
      </c>
      <c r="X1637" t="s">
        <v>556</v>
      </c>
      <c r="Y1637" t="s">
        <v>472</v>
      </c>
      <c r="Z1637" t="s">
        <v>485</v>
      </c>
      <c r="AA1637" t="s">
        <v>764</v>
      </c>
      <c r="AC1637">
        <v>0</v>
      </c>
      <c r="AD1637" t="s">
        <v>564</v>
      </c>
      <c r="AE1637">
        <v>21181.552</v>
      </c>
      <c r="AF1637">
        <v>53.06</v>
      </c>
      <c r="AG1637" t="s">
        <v>798</v>
      </c>
      <c r="AH1637">
        <v>0.1</v>
      </c>
      <c r="AI1637">
        <v>399.2</v>
      </c>
      <c r="AJ1637" t="s">
        <v>561</v>
      </c>
      <c r="AK1637" t="s">
        <v>766</v>
      </c>
      <c r="AL1637" t="s">
        <v>767</v>
      </c>
      <c r="AM1637">
        <v>2022</v>
      </c>
      <c r="AN1637">
        <v>2022</v>
      </c>
      <c r="AO1637">
        <f>IF(AND(emissions[[#This Row],[Market-based]]=0,emissions[[#This Row],[Impact Type]]="CO2E"),emissions[[#This Row],[kgCO2e]],0)/1000</f>
        <v>0</v>
      </c>
      <c r="AP1637">
        <f>IF(AND(emissions[[#This Row],[Market-based]]=1,OR(emissions[[#This Row],[Impact Type]]="CO2E",emissions[[#This Row],[Impact Type]]="CO2E MKT")),emissions[[#This Row],[kgCO2e]],0)/1000</f>
        <v>0</v>
      </c>
      <c r="AQ1637" t="str">
        <f>_xlfn.TEXTAFTER(emissions[[#This Row],[Reporting Unit]]," &gt; ",LEN(emissions[[#This Row],[Reporting Unit]])-LEN(SUBSTITUTE(emissions[[#This Row],[Reporting Unit]],"&gt;","")))</f>
        <v>Vantage_Tucson</v>
      </c>
      <c r="AR1637" t="str">
        <f>_xlfn.XLOOKUP(emissions[[#This Row],[Reporting unit name]],hierarchy!$A:$A,hierarchy!$C:$C)</f>
        <v>Office</v>
      </c>
    </row>
    <row r="1638" spans="1:44" hidden="1" x14ac:dyDescent="0.25">
      <c r="A1638">
        <v>290047</v>
      </c>
      <c r="B1638" t="s">
        <v>277</v>
      </c>
      <c r="C1638" t="s">
        <v>501</v>
      </c>
      <c r="D1638" t="s">
        <v>548</v>
      </c>
      <c r="E1638" s="3">
        <v>44562</v>
      </c>
      <c r="F1638" s="3">
        <v>44926</v>
      </c>
      <c r="G1638" t="s">
        <v>135</v>
      </c>
      <c r="H1638" s="3">
        <v>44562</v>
      </c>
      <c r="I1638" s="3">
        <v>44926</v>
      </c>
      <c r="J1638" t="s">
        <v>135</v>
      </c>
      <c r="K1638">
        <v>3992</v>
      </c>
      <c r="L1638" t="s">
        <v>136</v>
      </c>
      <c r="M1638" t="s">
        <v>110</v>
      </c>
      <c r="O1638" t="s">
        <v>960</v>
      </c>
      <c r="P1638" t="s">
        <v>550</v>
      </c>
      <c r="Q1638">
        <v>2022</v>
      </c>
      <c r="R1638" t="s">
        <v>605</v>
      </c>
      <c r="S1638" t="s">
        <v>606</v>
      </c>
      <c r="T1638" t="s">
        <v>553</v>
      </c>
      <c r="U1638" t="b">
        <v>0</v>
      </c>
      <c r="V1638" t="s">
        <v>781</v>
      </c>
      <c r="W1638" t="s">
        <v>587</v>
      </c>
      <c r="X1638" t="s">
        <v>556</v>
      </c>
      <c r="Y1638" t="s">
        <v>472</v>
      </c>
      <c r="Z1638" t="s">
        <v>485</v>
      </c>
      <c r="AA1638" t="s">
        <v>764</v>
      </c>
      <c r="AC1638">
        <v>0</v>
      </c>
      <c r="AD1638" t="s">
        <v>565</v>
      </c>
      <c r="AE1638">
        <v>21203.428159999999</v>
      </c>
      <c r="AF1638">
        <v>53.114800000000002</v>
      </c>
      <c r="AG1638" t="s">
        <v>798</v>
      </c>
      <c r="AH1638">
        <v>0.1</v>
      </c>
      <c r="AI1638">
        <v>399.2</v>
      </c>
      <c r="AJ1638" t="s">
        <v>561</v>
      </c>
      <c r="AK1638" t="s">
        <v>766</v>
      </c>
      <c r="AL1638" t="s">
        <v>787</v>
      </c>
      <c r="AM1638">
        <v>2022</v>
      </c>
      <c r="AN1638">
        <v>2021</v>
      </c>
      <c r="AO1638">
        <f>IF(AND(emissions[[#This Row],[Market-based]]=0,emissions[[#This Row],[Impact Type]]="CO2E"),emissions[[#This Row],[kgCO2e]],0)/1000</f>
        <v>21.203428159999998</v>
      </c>
      <c r="AP1638">
        <f>IF(AND(emissions[[#This Row],[Market-based]]=1,OR(emissions[[#This Row],[Impact Type]]="CO2E",emissions[[#This Row],[Impact Type]]="CO2E MKT")),emissions[[#This Row],[kgCO2e]],0)/1000</f>
        <v>0</v>
      </c>
      <c r="AQ1638" t="str">
        <f>_xlfn.TEXTAFTER(emissions[[#This Row],[Reporting Unit]]," &gt; ",LEN(emissions[[#This Row],[Reporting Unit]])-LEN(SUBSTITUTE(emissions[[#This Row],[Reporting Unit]],"&gt;","")))</f>
        <v>Vantage_Tucson</v>
      </c>
      <c r="AR1638" t="str">
        <f>_xlfn.XLOOKUP(emissions[[#This Row],[Reporting unit name]],hierarchy!$A:$A,hierarchy!$C:$C)</f>
        <v>Office</v>
      </c>
    </row>
    <row r="1639" spans="1:44" hidden="1" x14ac:dyDescent="0.25">
      <c r="A1639">
        <v>290047</v>
      </c>
      <c r="B1639" t="s">
        <v>277</v>
      </c>
      <c r="C1639" t="s">
        <v>501</v>
      </c>
      <c r="D1639" t="s">
        <v>548</v>
      </c>
      <c r="E1639" s="3">
        <v>44562</v>
      </c>
      <c r="F1639" s="3">
        <v>44926</v>
      </c>
      <c r="G1639" t="s">
        <v>135</v>
      </c>
      <c r="H1639" s="3">
        <v>44562</v>
      </c>
      <c r="I1639" s="3">
        <v>44926</v>
      </c>
      <c r="J1639" t="s">
        <v>135</v>
      </c>
      <c r="K1639">
        <v>3992</v>
      </c>
      <c r="L1639" t="s">
        <v>136</v>
      </c>
      <c r="M1639" t="s">
        <v>110</v>
      </c>
      <c r="O1639" t="s">
        <v>960</v>
      </c>
      <c r="P1639" t="s">
        <v>550</v>
      </c>
      <c r="Q1639">
        <v>2022</v>
      </c>
      <c r="R1639" t="s">
        <v>605</v>
      </c>
      <c r="S1639" t="s">
        <v>606</v>
      </c>
      <c r="T1639" t="s">
        <v>553</v>
      </c>
      <c r="U1639" t="b">
        <v>0</v>
      </c>
      <c r="V1639" t="s">
        <v>781</v>
      </c>
      <c r="W1639" t="s">
        <v>587</v>
      </c>
      <c r="X1639" t="s">
        <v>556</v>
      </c>
      <c r="Y1639" t="s">
        <v>472</v>
      </c>
      <c r="Z1639" t="s">
        <v>485</v>
      </c>
      <c r="AA1639" t="s">
        <v>764</v>
      </c>
      <c r="AC1639">
        <v>0</v>
      </c>
      <c r="AD1639" t="s">
        <v>566</v>
      </c>
      <c r="AE1639">
        <v>11.89616</v>
      </c>
      <c r="AF1639">
        <v>2.98E-2</v>
      </c>
      <c r="AG1639" t="s">
        <v>798</v>
      </c>
      <c r="AH1639">
        <v>0.1</v>
      </c>
      <c r="AI1639">
        <v>399.2</v>
      </c>
      <c r="AJ1639" t="s">
        <v>561</v>
      </c>
      <c r="AK1639" t="s">
        <v>766</v>
      </c>
      <c r="AL1639" t="s">
        <v>767</v>
      </c>
      <c r="AM1639">
        <v>2022</v>
      </c>
      <c r="AN1639">
        <v>2022</v>
      </c>
      <c r="AO1639">
        <f>IF(AND(emissions[[#This Row],[Market-based]]=0,emissions[[#This Row],[Impact Type]]="CO2E"),emissions[[#This Row],[kgCO2e]],0)/1000</f>
        <v>0</v>
      </c>
      <c r="AP1639">
        <f>IF(AND(emissions[[#This Row],[Market-based]]=1,OR(emissions[[#This Row],[Impact Type]]="CO2E",emissions[[#This Row],[Impact Type]]="CO2E MKT")),emissions[[#This Row],[kgCO2e]],0)/1000</f>
        <v>0</v>
      </c>
      <c r="AQ1639" t="str">
        <f>_xlfn.TEXTAFTER(emissions[[#This Row],[Reporting Unit]]," &gt; ",LEN(emissions[[#This Row],[Reporting Unit]])-LEN(SUBSTITUTE(emissions[[#This Row],[Reporting Unit]],"&gt;","")))</f>
        <v>Vantage_Tucson</v>
      </c>
      <c r="AR1639" t="str">
        <f>_xlfn.XLOOKUP(emissions[[#This Row],[Reporting unit name]],hierarchy!$A:$A,hierarchy!$C:$C)</f>
        <v>Office</v>
      </c>
    </row>
    <row r="1640" spans="1:44" hidden="1" x14ac:dyDescent="0.25">
      <c r="A1640">
        <v>290047</v>
      </c>
      <c r="B1640" t="s">
        <v>277</v>
      </c>
      <c r="C1640" t="s">
        <v>501</v>
      </c>
      <c r="D1640" t="s">
        <v>548</v>
      </c>
      <c r="E1640" s="3">
        <v>44562</v>
      </c>
      <c r="F1640" s="3">
        <v>44926</v>
      </c>
      <c r="G1640" t="s">
        <v>135</v>
      </c>
      <c r="H1640" s="3">
        <v>44562</v>
      </c>
      <c r="I1640" s="3">
        <v>44926</v>
      </c>
      <c r="J1640" t="s">
        <v>135</v>
      </c>
      <c r="K1640">
        <v>3992</v>
      </c>
      <c r="L1640" t="s">
        <v>136</v>
      </c>
      <c r="M1640" t="s">
        <v>110</v>
      </c>
      <c r="O1640" t="s">
        <v>960</v>
      </c>
      <c r="P1640" t="s">
        <v>550</v>
      </c>
      <c r="Q1640">
        <v>2022</v>
      </c>
      <c r="R1640" t="s">
        <v>605</v>
      </c>
      <c r="S1640" t="s">
        <v>606</v>
      </c>
      <c r="T1640" t="s">
        <v>553</v>
      </c>
      <c r="U1640" t="b">
        <v>0</v>
      </c>
      <c r="V1640" t="s">
        <v>781</v>
      </c>
      <c r="W1640" t="s">
        <v>587</v>
      </c>
      <c r="X1640" t="s">
        <v>556</v>
      </c>
      <c r="Y1640" t="s">
        <v>472</v>
      </c>
      <c r="Z1640" t="s">
        <v>485</v>
      </c>
      <c r="AA1640" t="s">
        <v>764</v>
      </c>
      <c r="AC1640">
        <v>1</v>
      </c>
      <c r="AD1640" t="s">
        <v>558</v>
      </c>
      <c r="AE1640">
        <v>9.98</v>
      </c>
      <c r="AF1640">
        <v>2.5000000000000001E-2</v>
      </c>
      <c r="AG1640" t="s">
        <v>798</v>
      </c>
      <c r="AH1640">
        <v>0.1</v>
      </c>
      <c r="AI1640">
        <v>399.2</v>
      </c>
      <c r="AJ1640" t="s">
        <v>561</v>
      </c>
      <c r="AK1640" t="s">
        <v>766</v>
      </c>
      <c r="AL1640" t="s">
        <v>787</v>
      </c>
      <c r="AM1640">
        <v>2022</v>
      </c>
      <c r="AN1640">
        <v>2021</v>
      </c>
      <c r="AO1640">
        <f>IF(AND(emissions[[#This Row],[Market-based]]=0,emissions[[#This Row],[Impact Type]]="CO2E"),emissions[[#This Row],[kgCO2e]],0)/1000</f>
        <v>0</v>
      </c>
      <c r="AP1640">
        <f>IF(AND(emissions[[#This Row],[Market-based]]=1,OR(emissions[[#This Row],[Impact Type]]="CO2E",emissions[[#This Row],[Impact Type]]="CO2E MKT")),emissions[[#This Row],[kgCO2e]],0)/1000</f>
        <v>0</v>
      </c>
      <c r="AQ1640" t="str">
        <f>_xlfn.TEXTAFTER(emissions[[#This Row],[Reporting Unit]]," &gt; ",LEN(emissions[[#This Row],[Reporting Unit]])-LEN(SUBSTITUTE(emissions[[#This Row],[Reporting Unit]],"&gt;","")))</f>
        <v>Vantage_Tucson</v>
      </c>
      <c r="AR1640" t="str">
        <f>_xlfn.XLOOKUP(emissions[[#This Row],[Reporting unit name]],hierarchy!$A:$A,hierarchy!$C:$C)</f>
        <v>Office</v>
      </c>
    </row>
    <row r="1641" spans="1:44" hidden="1" x14ac:dyDescent="0.25">
      <c r="A1641">
        <v>290047</v>
      </c>
      <c r="B1641" t="s">
        <v>277</v>
      </c>
      <c r="C1641" t="s">
        <v>501</v>
      </c>
      <c r="D1641" t="s">
        <v>548</v>
      </c>
      <c r="E1641" s="3">
        <v>44562</v>
      </c>
      <c r="F1641" s="3">
        <v>44926</v>
      </c>
      <c r="G1641" t="s">
        <v>135</v>
      </c>
      <c r="H1641" s="3">
        <v>44562</v>
      </c>
      <c r="I1641" s="3">
        <v>44926</v>
      </c>
      <c r="J1641" t="s">
        <v>135</v>
      </c>
      <c r="K1641">
        <v>3992</v>
      </c>
      <c r="L1641" t="s">
        <v>136</v>
      </c>
      <c r="M1641" t="s">
        <v>110</v>
      </c>
      <c r="O1641" t="s">
        <v>960</v>
      </c>
      <c r="P1641" t="s">
        <v>550</v>
      </c>
      <c r="Q1641">
        <v>2022</v>
      </c>
      <c r="R1641" t="s">
        <v>605</v>
      </c>
      <c r="S1641" t="s">
        <v>606</v>
      </c>
      <c r="T1641" t="s">
        <v>553</v>
      </c>
      <c r="U1641" t="b">
        <v>0</v>
      </c>
      <c r="V1641" t="s">
        <v>781</v>
      </c>
      <c r="W1641" t="s">
        <v>587</v>
      </c>
      <c r="X1641" t="s">
        <v>556</v>
      </c>
      <c r="Y1641" t="s">
        <v>472</v>
      </c>
      <c r="Z1641" t="s">
        <v>485</v>
      </c>
      <c r="AA1641" t="s">
        <v>764</v>
      </c>
      <c r="AC1641">
        <v>1</v>
      </c>
      <c r="AD1641" t="s">
        <v>564</v>
      </c>
      <c r="AE1641">
        <v>21181.552</v>
      </c>
      <c r="AF1641">
        <v>53.06</v>
      </c>
      <c r="AG1641" t="s">
        <v>798</v>
      </c>
      <c r="AH1641">
        <v>0.1</v>
      </c>
      <c r="AI1641">
        <v>399.2</v>
      </c>
      <c r="AJ1641" t="s">
        <v>561</v>
      </c>
      <c r="AK1641" t="s">
        <v>766</v>
      </c>
      <c r="AL1641" t="s">
        <v>767</v>
      </c>
      <c r="AM1641">
        <v>2022</v>
      </c>
      <c r="AN1641">
        <v>2022</v>
      </c>
      <c r="AO1641">
        <f>IF(AND(emissions[[#This Row],[Market-based]]=0,emissions[[#This Row],[Impact Type]]="CO2E"),emissions[[#This Row],[kgCO2e]],0)/1000</f>
        <v>0</v>
      </c>
      <c r="AP1641">
        <f>IF(AND(emissions[[#This Row],[Market-based]]=1,OR(emissions[[#This Row],[Impact Type]]="CO2E",emissions[[#This Row],[Impact Type]]="CO2E MKT")),emissions[[#This Row],[kgCO2e]],0)/1000</f>
        <v>0</v>
      </c>
      <c r="AQ1641" t="str">
        <f>_xlfn.TEXTAFTER(emissions[[#This Row],[Reporting Unit]]," &gt; ",LEN(emissions[[#This Row],[Reporting Unit]])-LEN(SUBSTITUTE(emissions[[#This Row],[Reporting Unit]],"&gt;","")))</f>
        <v>Vantage_Tucson</v>
      </c>
      <c r="AR1641" t="str">
        <f>_xlfn.XLOOKUP(emissions[[#This Row],[Reporting unit name]],hierarchy!$A:$A,hierarchy!$C:$C)</f>
        <v>Office</v>
      </c>
    </row>
    <row r="1642" spans="1:44" hidden="1" x14ac:dyDescent="0.25">
      <c r="A1642">
        <v>290047</v>
      </c>
      <c r="B1642" t="s">
        <v>277</v>
      </c>
      <c r="C1642" t="s">
        <v>501</v>
      </c>
      <c r="D1642" t="s">
        <v>548</v>
      </c>
      <c r="E1642" s="3">
        <v>44562</v>
      </c>
      <c r="F1642" s="3">
        <v>44926</v>
      </c>
      <c r="G1642" t="s">
        <v>135</v>
      </c>
      <c r="H1642" s="3">
        <v>44562</v>
      </c>
      <c r="I1642" s="3">
        <v>44926</v>
      </c>
      <c r="J1642" t="s">
        <v>135</v>
      </c>
      <c r="K1642">
        <v>3992</v>
      </c>
      <c r="L1642" t="s">
        <v>136</v>
      </c>
      <c r="M1642" t="s">
        <v>110</v>
      </c>
      <c r="O1642" t="s">
        <v>960</v>
      </c>
      <c r="P1642" t="s">
        <v>550</v>
      </c>
      <c r="Q1642">
        <v>2022</v>
      </c>
      <c r="R1642" t="s">
        <v>605</v>
      </c>
      <c r="S1642" t="s">
        <v>606</v>
      </c>
      <c r="T1642" t="s">
        <v>553</v>
      </c>
      <c r="U1642" t="b">
        <v>0</v>
      </c>
      <c r="V1642" t="s">
        <v>781</v>
      </c>
      <c r="W1642" t="s">
        <v>587</v>
      </c>
      <c r="X1642" t="s">
        <v>556</v>
      </c>
      <c r="Y1642" t="s">
        <v>472</v>
      </c>
      <c r="Z1642" t="s">
        <v>485</v>
      </c>
      <c r="AA1642" t="s">
        <v>764</v>
      </c>
      <c r="AC1642">
        <v>1</v>
      </c>
      <c r="AD1642" t="s">
        <v>565</v>
      </c>
      <c r="AE1642">
        <v>21203.428159999999</v>
      </c>
      <c r="AF1642">
        <v>53.114800000000002</v>
      </c>
      <c r="AG1642" t="s">
        <v>798</v>
      </c>
      <c r="AH1642">
        <v>0.1</v>
      </c>
      <c r="AI1642">
        <v>399.2</v>
      </c>
      <c r="AJ1642" t="s">
        <v>561</v>
      </c>
      <c r="AK1642" t="s">
        <v>766</v>
      </c>
      <c r="AL1642" t="s">
        <v>787</v>
      </c>
      <c r="AM1642">
        <v>2022</v>
      </c>
      <c r="AN1642">
        <v>2021</v>
      </c>
      <c r="AO1642">
        <f>IF(AND(emissions[[#This Row],[Market-based]]=0,emissions[[#This Row],[Impact Type]]="CO2E"),emissions[[#This Row],[kgCO2e]],0)/1000</f>
        <v>0</v>
      </c>
      <c r="AP1642">
        <f>IF(AND(emissions[[#This Row],[Market-based]]=1,OR(emissions[[#This Row],[Impact Type]]="CO2E",emissions[[#This Row],[Impact Type]]="CO2E MKT")),emissions[[#This Row],[kgCO2e]],0)/1000</f>
        <v>21.203428159999998</v>
      </c>
      <c r="AQ1642" t="str">
        <f>_xlfn.TEXTAFTER(emissions[[#This Row],[Reporting Unit]]," &gt; ",LEN(emissions[[#This Row],[Reporting Unit]])-LEN(SUBSTITUTE(emissions[[#This Row],[Reporting Unit]],"&gt;","")))</f>
        <v>Vantage_Tucson</v>
      </c>
      <c r="AR1642" t="str">
        <f>_xlfn.XLOOKUP(emissions[[#This Row],[Reporting unit name]],hierarchy!$A:$A,hierarchy!$C:$C)</f>
        <v>Office</v>
      </c>
    </row>
    <row r="1643" spans="1:44" hidden="1" x14ac:dyDescent="0.25">
      <c r="A1643">
        <v>290047</v>
      </c>
      <c r="B1643" t="s">
        <v>277</v>
      </c>
      <c r="C1643" t="s">
        <v>501</v>
      </c>
      <c r="D1643" t="s">
        <v>548</v>
      </c>
      <c r="E1643" s="3">
        <v>44562</v>
      </c>
      <c r="F1643" s="3">
        <v>44926</v>
      </c>
      <c r="G1643" t="s">
        <v>135</v>
      </c>
      <c r="H1643" s="3">
        <v>44562</v>
      </c>
      <c r="I1643" s="3">
        <v>44926</v>
      </c>
      <c r="J1643" t="s">
        <v>135</v>
      </c>
      <c r="K1643">
        <v>3992</v>
      </c>
      <c r="L1643" t="s">
        <v>136</v>
      </c>
      <c r="M1643" t="s">
        <v>110</v>
      </c>
      <c r="O1643" t="s">
        <v>960</v>
      </c>
      <c r="P1643" t="s">
        <v>550</v>
      </c>
      <c r="Q1643">
        <v>2022</v>
      </c>
      <c r="R1643" t="s">
        <v>605</v>
      </c>
      <c r="S1643" t="s">
        <v>606</v>
      </c>
      <c r="T1643" t="s">
        <v>553</v>
      </c>
      <c r="U1643" t="b">
        <v>0</v>
      </c>
      <c r="V1643" t="s">
        <v>781</v>
      </c>
      <c r="W1643" t="s">
        <v>587</v>
      </c>
      <c r="X1643" t="s">
        <v>556</v>
      </c>
      <c r="Y1643" t="s">
        <v>472</v>
      </c>
      <c r="Z1643" t="s">
        <v>485</v>
      </c>
      <c r="AA1643" t="s">
        <v>764</v>
      </c>
      <c r="AC1643">
        <v>1</v>
      </c>
      <c r="AD1643" t="s">
        <v>566</v>
      </c>
      <c r="AE1643">
        <v>11.89616</v>
      </c>
      <c r="AF1643">
        <v>2.98E-2</v>
      </c>
      <c r="AG1643" t="s">
        <v>798</v>
      </c>
      <c r="AH1643">
        <v>0.1</v>
      </c>
      <c r="AI1643">
        <v>399.2</v>
      </c>
      <c r="AJ1643" t="s">
        <v>561</v>
      </c>
      <c r="AK1643" t="s">
        <v>766</v>
      </c>
      <c r="AL1643" t="s">
        <v>767</v>
      </c>
      <c r="AM1643">
        <v>2022</v>
      </c>
      <c r="AN1643">
        <v>2022</v>
      </c>
      <c r="AO1643">
        <f>IF(AND(emissions[[#This Row],[Market-based]]=0,emissions[[#This Row],[Impact Type]]="CO2E"),emissions[[#This Row],[kgCO2e]],0)/1000</f>
        <v>0</v>
      </c>
      <c r="AP1643">
        <f>IF(AND(emissions[[#This Row],[Market-based]]=1,OR(emissions[[#This Row],[Impact Type]]="CO2E",emissions[[#This Row],[Impact Type]]="CO2E MKT")),emissions[[#This Row],[kgCO2e]],0)/1000</f>
        <v>0</v>
      </c>
      <c r="AQ1643" t="str">
        <f>_xlfn.TEXTAFTER(emissions[[#This Row],[Reporting Unit]]," &gt; ",LEN(emissions[[#This Row],[Reporting Unit]])-LEN(SUBSTITUTE(emissions[[#This Row],[Reporting Unit]],"&gt;","")))</f>
        <v>Vantage_Tucson</v>
      </c>
      <c r="AR1643" t="str">
        <f>_xlfn.XLOOKUP(emissions[[#This Row],[Reporting unit name]],hierarchy!$A:$A,hierarchy!$C:$C)</f>
        <v>Office</v>
      </c>
    </row>
    <row r="1644" spans="1:44" hidden="1" x14ac:dyDescent="0.25">
      <c r="A1644">
        <v>290047</v>
      </c>
      <c r="B1644" t="s">
        <v>277</v>
      </c>
      <c r="C1644" t="s">
        <v>501</v>
      </c>
      <c r="D1644" t="s">
        <v>548</v>
      </c>
      <c r="E1644" s="3">
        <v>44562</v>
      </c>
      <c r="F1644" s="3">
        <v>44926</v>
      </c>
      <c r="G1644" t="s">
        <v>135</v>
      </c>
      <c r="H1644" s="3">
        <v>44562</v>
      </c>
      <c r="I1644" s="3">
        <v>44926</v>
      </c>
      <c r="J1644" t="s">
        <v>135</v>
      </c>
      <c r="K1644">
        <v>3992</v>
      </c>
      <c r="L1644" t="s">
        <v>136</v>
      </c>
      <c r="M1644" t="s">
        <v>110</v>
      </c>
      <c r="O1644" t="s">
        <v>960</v>
      </c>
      <c r="P1644" t="s">
        <v>550</v>
      </c>
      <c r="Q1644">
        <v>2022</v>
      </c>
      <c r="R1644" t="s">
        <v>609</v>
      </c>
      <c r="S1644" t="s">
        <v>610</v>
      </c>
      <c r="T1644" t="s">
        <v>577</v>
      </c>
      <c r="U1644" t="b">
        <v>0</v>
      </c>
      <c r="V1644" t="s">
        <v>632</v>
      </c>
      <c r="W1644" t="s">
        <v>571</v>
      </c>
      <c r="X1644" t="s">
        <v>572</v>
      </c>
      <c r="AC1644">
        <v>0</v>
      </c>
      <c r="AD1644" t="s">
        <v>565</v>
      </c>
      <c r="AE1644">
        <v>3637.6425749999999</v>
      </c>
      <c r="AF1644">
        <v>3.1099999999999999E-2</v>
      </c>
      <c r="AG1644" t="s">
        <v>608</v>
      </c>
      <c r="AH1644">
        <v>29.3001</v>
      </c>
      <c r="AI1644">
        <v>116965.99920000001</v>
      </c>
      <c r="AJ1644" t="s">
        <v>561</v>
      </c>
      <c r="AK1644" t="s">
        <v>589</v>
      </c>
      <c r="AL1644" t="s">
        <v>590</v>
      </c>
      <c r="AM1644">
        <v>2022</v>
      </c>
      <c r="AN1644">
        <v>2020</v>
      </c>
      <c r="AO1644">
        <f>IF(AND(emissions[[#This Row],[Market-based]]=0,emissions[[#This Row],[Impact Type]]="CO2E"),emissions[[#This Row],[kgCO2e]],0)/1000</f>
        <v>3.6376425749999997</v>
      </c>
      <c r="AP1644">
        <f>IF(AND(emissions[[#This Row],[Market-based]]=1,OR(emissions[[#This Row],[Impact Type]]="CO2E",emissions[[#This Row],[Impact Type]]="CO2E MKT")),emissions[[#This Row],[kgCO2e]],0)/1000</f>
        <v>0</v>
      </c>
      <c r="AQ1644" t="str">
        <f>_xlfn.TEXTAFTER(emissions[[#This Row],[Reporting Unit]]," &gt; ",LEN(emissions[[#This Row],[Reporting Unit]])-LEN(SUBSTITUTE(emissions[[#This Row],[Reporting Unit]],"&gt;","")))</f>
        <v>Vantage_Tucson</v>
      </c>
      <c r="AR1644" t="str">
        <f>_xlfn.XLOOKUP(emissions[[#This Row],[Reporting unit name]],hierarchy!$A:$A,hierarchy!$C:$C)</f>
        <v>Office</v>
      </c>
    </row>
    <row r="1645" spans="1:44" hidden="1" x14ac:dyDescent="0.25">
      <c r="A1645">
        <v>290047</v>
      </c>
      <c r="B1645" t="s">
        <v>277</v>
      </c>
      <c r="C1645" t="s">
        <v>501</v>
      </c>
      <c r="D1645" t="s">
        <v>548</v>
      </c>
      <c r="E1645" s="3">
        <v>44562</v>
      </c>
      <c r="F1645" s="3">
        <v>44926</v>
      </c>
      <c r="G1645" t="s">
        <v>135</v>
      </c>
      <c r="H1645" s="3">
        <v>44562</v>
      </c>
      <c r="I1645" s="3">
        <v>44926</v>
      </c>
      <c r="J1645" t="s">
        <v>135</v>
      </c>
      <c r="K1645">
        <v>3992</v>
      </c>
      <c r="L1645" t="s">
        <v>136</v>
      </c>
      <c r="M1645" t="s">
        <v>110</v>
      </c>
      <c r="O1645" t="s">
        <v>960</v>
      </c>
      <c r="P1645" t="s">
        <v>550</v>
      </c>
      <c r="Q1645">
        <v>2022</v>
      </c>
      <c r="R1645" t="s">
        <v>609</v>
      </c>
      <c r="S1645" t="s">
        <v>610</v>
      </c>
      <c r="T1645" t="s">
        <v>577</v>
      </c>
      <c r="U1645" t="b">
        <v>0</v>
      </c>
      <c r="V1645" t="s">
        <v>632</v>
      </c>
      <c r="W1645" t="s">
        <v>571</v>
      </c>
      <c r="X1645" t="s">
        <v>572</v>
      </c>
      <c r="AC1645">
        <v>1</v>
      </c>
      <c r="AD1645" t="s">
        <v>565</v>
      </c>
      <c r="AE1645">
        <v>3637.6425749999999</v>
      </c>
      <c r="AF1645">
        <v>3.1099999999999999E-2</v>
      </c>
      <c r="AG1645" t="s">
        <v>608</v>
      </c>
      <c r="AH1645">
        <v>29.3001</v>
      </c>
      <c r="AI1645">
        <v>116965.99920000001</v>
      </c>
      <c r="AJ1645" t="s">
        <v>561</v>
      </c>
      <c r="AK1645" t="s">
        <v>589</v>
      </c>
      <c r="AL1645" t="s">
        <v>590</v>
      </c>
      <c r="AM1645">
        <v>2022</v>
      </c>
      <c r="AN1645">
        <v>2020</v>
      </c>
      <c r="AO1645">
        <f>IF(AND(emissions[[#This Row],[Market-based]]=0,emissions[[#This Row],[Impact Type]]="CO2E"),emissions[[#This Row],[kgCO2e]],0)/1000</f>
        <v>0</v>
      </c>
      <c r="AP1645">
        <f>IF(AND(emissions[[#This Row],[Market-based]]=1,OR(emissions[[#This Row],[Impact Type]]="CO2E",emissions[[#This Row],[Impact Type]]="CO2E MKT")),emissions[[#This Row],[kgCO2e]],0)/1000</f>
        <v>3.6376425749999997</v>
      </c>
      <c r="AQ1645" t="str">
        <f>_xlfn.TEXTAFTER(emissions[[#This Row],[Reporting Unit]]," &gt; ",LEN(emissions[[#This Row],[Reporting Unit]])-LEN(SUBSTITUTE(emissions[[#This Row],[Reporting Unit]],"&gt;","")))</f>
        <v>Vantage_Tucson</v>
      </c>
      <c r="AR1645" t="str">
        <f>_xlfn.XLOOKUP(emissions[[#This Row],[Reporting unit name]],hierarchy!$A:$A,hierarchy!$C:$C)</f>
        <v>Office</v>
      </c>
    </row>
    <row r="1646" spans="1:44" hidden="1" x14ac:dyDescent="0.25">
      <c r="A1646">
        <v>283991</v>
      </c>
      <c r="B1646" t="s">
        <v>277</v>
      </c>
      <c r="C1646" t="s">
        <v>501</v>
      </c>
      <c r="D1646" t="s">
        <v>548</v>
      </c>
      <c r="E1646" s="3">
        <v>44562</v>
      </c>
      <c r="F1646" s="3">
        <v>44926</v>
      </c>
      <c r="G1646" t="s">
        <v>141</v>
      </c>
      <c r="H1646" s="3">
        <v>44562</v>
      </c>
      <c r="I1646" s="3">
        <v>44926</v>
      </c>
      <c r="J1646" t="s">
        <v>187</v>
      </c>
      <c r="K1646">
        <v>0</v>
      </c>
      <c r="L1646" t="s">
        <v>148</v>
      </c>
      <c r="M1646" t="s">
        <v>110</v>
      </c>
      <c r="O1646" t="s">
        <v>961</v>
      </c>
      <c r="P1646" t="s">
        <v>550</v>
      </c>
      <c r="Q1646">
        <v>2022</v>
      </c>
      <c r="R1646" t="s">
        <v>654</v>
      </c>
      <c r="S1646" t="s">
        <v>655</v>
      </c>
      <c r="T1646" t="s">
        <v>553</v>
      </c>
      <c r="U1646" t="b">
        <v>0</v>
      </c>
      <c r="V1646" t="s">
        <v>656</v>
      </c>
      <c r="W1646" t="s">
        <v>587</v>
      </c>
      <c r="X1646" t="s">
        <v>556</v>
      </c>
      <c r="AC1646">
        <v>0</v>
      </c>
      <c r="AD1646" t="s">
        <v>558</v>
      </c>
      <c r="AE1646">
        <v>0</v>
      </c>
      <c r="AF1646">
        <v>7.3200000000000001E-3</v>
      </c>
      <c r="AG1646" t="s">
        <v>588</v>
      </c>
      <c r="AH1646">
        <v>3.7854100000000002</v>
      </c>
      <c r="AI1646">
        <v>0</v>
      </c>
      <c r="AJ1646" t="s">
        <v>561</v>
      </c>
      <c r="AK1646" t="s">
        <v>589</v>
      </c>
      <c r="AL1646" t="s">
        <v>590</v>
      </c>
      <c r="AM1646">
        <v>2022</v>
      </c>
      <c r="AN1646">
        <v>2020</v>
      </c>
      <c r="AO1646">
        <f>IF(AND(emissions[[#This Row],[Market-based]]=0,emissions[[#This Row],[Impact Type]]="CO2E"),emissions[[#This Row],[kgCO2e]],0)/1000</f>
        <v>0</v>
      </c>
      <c r="AP1646">
        <f>IF(AND(emissions[[#This Row],[Market-based]]=1,OR(emissions[[#This Row],[Impact Type]]="CO2E",emissions[[#This Row],[Impact Type]]="CO2E MKT")),emissions[[#This Row],[kgCO2e]],0)/1000</f>
        <v>0</v>
      </c>
      <c r="AQ1646" t="str">
        <f>_xlfn.TEXTAFTER(emissions[[#This Row],[Reporting Unit]]," &gt; ",LEN(emissions[[#This Row],[Reporting Unit]])-LEN(SUBSTITUTE(emissions[[#This Row],[Reporting Unit]],"&gt;","")))</f>
        <v>Vantage_Tucson</v>
      </c>
      <c r="AR1646" t="str">
        <f>_xlfn.XLOOKUP(emissions[[#This Row],[Reporting unit name]],hierarchy!$A:$A,hierarchy!$C:$C)</f>
        <v>Office</v>
      </c>
    </row>
    <row r="1647" spans="1:44" hidden="1" x14ac:dyDescent="0.25">
      <c r="A1647">
        <v>283991</v>
      </c>
      <c r="B1647" t="s">
        <v>277</v>
      </c>
      <c r="C1647" t="s">
        <v>501</v>
      </c>
      <c r="D1647" t="s">
        <v>548</v>
      </c>
      <c r="E1647" s="3">
        <v>44562</v>
      </c>
      <c r="F1647" s="3">
        <v>44926</v>
      </c>
      <c r="G1647" t="s">
        <v>141</v>
      </c>
      <c r="H1647" s="3">
        <v>44562</v>
      </c>
      <c r="I1647" s="3">
        <v>44926</v>
      </c>
      <c r="J1647" t="s">
        <v>187</v>
      </c>
      <c r="K1647">
        <v>0</v>
      </c>
      <c r="L1647" t="s">
        <v>148</v>
      </c>
      <c r="M1647" t="s">
        <v>110</v>
      </c>
      <c r="O1647" t="s">
        <v>961</v>
      </c>
      <c r="P1647" t="s">
        <v>550</v>
      </c>
      <c r="Q1647">
        <v>2022</v>
      </c>
      <c r="R1647" t="s">
        <v>654</v>
      </c>
      <c r="S1647" t="s">
        <v>655</v>
      </c>
      <c r="T1647" t="s">
        <v>553</v>
      </c>
      <c r="U1647" t="b">
        <v>0</v>
      </c>
      <c r="V1647" t="s">
        <v>656</v>
      </c>
      <c r="W1647" t="s">
        <v>587</v>
      </c>
      <c r="X1647" t="s">
        <v>556</v>
      </c>
      <c r="AC1647">
        <v>0</v>
      </c>
      <c r="AD1647" t="s">
        <v>564</v>
      </c>
      <c r="AE1647">
        <v>0</v>
      </c>
      <c r="AF1647">
        <v>2.3256700000000001</v>
      </c>
      <c r="AG1647" t="s">
        <v>588</v>
      </c>
      <c r="AH1647">
        <v>3.7854100000000002</v>
      </c>
      <c r="AI1647">
        <v>0</v>
      </c>
      <c r="AJ1647" t="s">
        <v>561</v>
      </c>
      <c r="AK1647" t="s">
        <v>589</v>
      </c>
      <c r="AL1647" t="s">
        <v>590</v>
      </c>
      <c r="AM1647">
        <v>2022</v>
      </c>
      <c r="AN1647">
        <v>2020</v>
      </c>
      <c r="AO1647">
        <f>IF(AND(emissions[[#This Row],[Market-based]]=0,emissions[[#This Row],[Impact Type]]="CO2E"),emissions[[#This Row],[kgCO2e]],0)/1000</f>
        <v>0</v>
      </c>
      <c r="AP1647">
        <f>IF(AND(emissions[[#This Row],[Market-based]]=1,OR(emissions[[#This Row],[Impact Type]]="CO2E",emissions[[#This Row],[Impact Type]]="CO2E MKT")),emissions[[#This Row],[kgCO2e]],0)/1000</f>
        <v>0</v>
      </c>
      <c r="AQ1647" t="str">
        <f>_xlfn.TEXTAFTER(emissions[[#This Row],[Reporting Unit]]," &gt; ",LEN(emissions[[#This Row],[Reporting Unit]])-LEN(SUBSTITUTE(emissions[[#This Row],[Reporting Unit]],"&gt;","")))</f>
        <v>Vantage_Tucson</v>
      </c>
      <c r="AR1647" t="str">
        <f>_xlfn.XLOOKUP(emissions[[#This Row],[Reporting unit name]],hierarchy!$A:$A,hierarchy!$C:$C)</f>
        <v>Office</v>
      </c>
    </row>
    <row r="1648" spans="1:44" hidden="1" x14ac:dyDescent="0.25">
      <c r="A1648">
        <v>283991</v>
      </c>
      <c r="B1648" t="s">
        <v>277</v>
      </c>
      <c r="C1648" t="s">
        <v>501</v>
      </c>
      <c r="D1648" t="s">
        <v>548</v>
      </c>
      <c r="E1648" s="3">
        <v>44562</v>
      </c>
      <c r="F1648" s="3">
        <v>44926</v>
      </c>
      <c r="G1648" t="s">
        <v>141</v>
      </c>
      <c r="H1648" s="3">
        <v>44562</v>
      </c>
      <c r="I1648" s="3">
        <v>44926</v>
      </c>
      <c r="J1648" t="s">
        <v>187</v>
      </c>
      <c r="K1648">
        <v>0</v>
      </c>
      <c r="L1648" t="s">
        <v>148</v>
      </c>
      <c r="M1648" t="s">
        <v>110</v>
      </c>
      <c r="O1648" t="s">
        <v>961</v>
      </c>
      <c r="P1648" t="s">
        <v>550</v>
      </c>
      <c r="Q1648">
        <v>2022</v>
      </c>
      <c r="R1648" t="s">
        <v>654</v>
      </c>
      <c r="S1648" t="s">
        <v>655</v>
      </c>
      <c r="T1648" t="s">
        <v>553</v>
      </c>
      <c r="U1648" t="b">
        <v>0</v>
      </c>
      <c r="V1648" t="s">
        <v>656</v>
      </c>
      <c r="W1648" t="s">
        <v>587</v>
      </c>
      <c r="X1648" t="s">
        <v>556</v>
      </c>
      <c r="AC1648">
        <v>0</v>
      </c>
      <c r="AD1648" t="s">
        <v>565</v>
      </c>
      <c r="AE1648">
        <v>0</v>
      </c>
      <c r="AF1648">
        <v>2.3397000000000001</v>
      </c>
      <c r="AG1648" t="s">
        <v>588</v>
      </c>
      <c r="AH1648">
        <v>3.7854100000000002</v>
      </c>
      <c r="AI1648">
        <v>0</v>
      </c>
      <c r="AJ1648" t="s">
        <v>561</v>
      </c>
      <c r="AK1648" t="s">
        <v>589</v>
      </c>
      <c r="AL1648" t="s">
        <v>590</v>
      </c>
      <c r="AM1648">
        <v>2022</v>
      </c>
      <c r="AN1648">
        <v>2020</v>
      </c>
      <c r="AO1648">
        <f>IF(AND(emissions[[#This Row],[Market-based]]=0,emissions[[#This Row],[Impact Type]]="CO2E"),emissions[[#This Row],[kgCO2e]],0)/1000</f>
        <v>0</v>
      </c>
      <c r="AP1648">
        <f>IF(AND(emissions[[#This Row],[Market-based]]=1,OR(emissions[[#This Row],[Impact Type]]="CO2E",emissions[[#This Row],[Impact Type]]="CO2E MKT")),emissions[[#This Row],[kgCO2e]],0)/1000</f>
        <v>0</v>
      </c>
      <c r="AQ1648" t="str">
        <f>_xlfn.TEXTAFTER(emissions[[#This Row],[Reporting Unit]]," &gt; ",LEN(emissions[[#This Row],[Reporting Unit]])-LEN(SUBSTITUTE(emissions[[#This Row],[Reporting Unit]],"&gt;","")))</f>
        <v>Vantage_Tucson</v>
      </c>
      <c r="AR1648" t="str">
        <f>_xlfn.XLOOKUP(emissions[[#This Row],[Reporting unit name]],hierarchy!$A:$A,hierarchy!$C:$C)</f>
        <v>Office</v>
      </c>
    </row>
    <row r="1649" spans="1:44" hidden="1" x14ac:dyDescent="0.25">
      <c r="A1649">
        <v>283991</v>
      </c>
      <c r="B1649" t="s">
        <v>277</v>
      </c>
      <c r="C1649" t="s">
        <v>501</v>
      </c>
      <c r="D1649" t="s">
        <v>548</v>
      </c>
      <c r="E1649" s="3">
        <v>44562</v>
      </c>
      <c r="F1649" s="3">
        <v>44926</v>
      </c>
      <c r="G1649" t="s">
        <v>141</v>
      </c>
      <c r="H1649" s="3">
        <v>44562</v>
      </c>
      <c r="I1649" s="3">
        <v>44926</v>
      </c>
      <c r="J1649" t="s">
        <v>187</v>
      </c>
      <c r="K1649">
        <v>0</v>
      </c>
      <c r="L1649" t="s">
        <v>148</v>
      </c>
      <c r="M1649" t="s">
        <v>110</v>
      </c>
      <c r="O1649" t="s">
        <v>961</v>
      </c>
      <c r="P1649" t="s">
        <v>550</v>
      </c>
      <c r="Q1649">
        <v>2022</v>
      </c>
      <c r="R1649" t="s">
        <v>654</v>
      </c>
      <c r="S1649" t="s">
        <v>655</v>
      </c>
      <c r="T1649" t="s">
        <v>553</v>
      </c>
      <c r="U1649" t="b">
        <v>0</v>
      </c>
      <c r="V1649" t="s">
        <v>656</v>
      </c>
      <c r="W1649" t="s">
        <v>587</v>
      </c>
      <c r="X1649" t="s">
        <v>556</v>
      </c>
      <c r="AC1649">
        <v>0</v>
      </c>
      <c r="AD1649" t="s">
        <v>566</v>
      </c>
      <c r="AE1649">
        <v>0</v>
      </c>
      <c r="AF1649">
        <v>6.7099999999999998E-3</v>
      </c>
      <c r="AG1649" t="s">
        <v>588</v>
      </c>
      <c r="AH1649">
        <v>3.7854100000000002</v>
      </c>
      <c r="AI1649">
        <v>0</v>
      </c>
      <c r="AJ1649" t="s">
        <v>561</v>
      </c>
      <c r="AK1649" t="s">
        <v>589</v>
      </c>
      <c r="AL1649" t="s">
        <v>590</v>
      </c>
      <c r="AM1649">
        <v>2022</v>
      </c>
      <c r="AN1649">
        <v>2020</v>
      </c>
      <c r="AO1649">
        <f>IF(AND(emissions[[#This Row],[Market-based]]=0,emissions[[#This Row],[Impact Type]]="CO2E"),emissions[[#This Row],[kgCO2e]],0)/1000</f>
        <v>0</v>
      </c>
      <c r="AP1649">
        <f>IF(AND(emissions[[#This Row],[Market-based]]=1,OR(emissions[[#This Row],[Impact Type]]="CO2E",emissions[[#This Row],[Impact Type]]="CO2E MKT")),emissions[[#This Row],[kgCO2e]],0)/1000</f>
        <v>0</v>
      </c>
      <c r="AQ1649" t="str">
        <f>_xlfn.TEXTAFTER(emissions[[#This Row],[Reporting Unit]]," &gt; ",LEN(emissions[[#This Row],[Reporting Unit]])-LEN(SUBSTITUTE(emissions[[#This Row],[Reporting Unit]],"&gt;","")))</f>
        <v>Vantage_Tucson</v>
      </c>
      <c r="AR1649" t="str">
        <f>_xlfn.XLOOKUP(emissions[[#This Row],[Reporting unit name]],hierarchy!$A:$A,hierarchy!$C:$C)</f>
        <v>Office</v>
      </c>
    </row>
    <row r="1650" spans="1:44" hidden="1" x14ac:dyDescent="0.25">
      <c r="A1650">
        <v>283991</v>
      </c>
      <c r="B1650" t="s">
        <v>277</v>
      </c>
      <c r="C1650" t="s">
        <v>501</v>
      </c>
      <c r="D1650" t="s">
        <v>548</v>
      </c>
      <c r="E1650" s="3">
        <v>44562</v>
      </c>
      <c r="F1650" s="3">
        <v>44926</v>
      </c>
      <c r="G1650" t="s">
        <v>141</v>
      </c>
      <c r="H1650" s="3">
        <v>44562</v>
      </c>
      <c r="I1650" s="3">
        <v>44926</v>
      </c>
      <c r="J1650" t="s">
        <v>187</v>
      </c>
      <c r="K1650">
        <v>0</v>
      </c>
      <c r="L1650" t="s">
        <v>148</v>
      </c>
      <c r="M1650" t="s">
        <v>110</v>
      </c>
      <c r="O1650" t="s">
        <v>961</v>
      </c>
      <c r="P1650" t="s">
        <v>550</v>
      </c>
      <c r="Q1650">
        <v>2022</v>
      </c>
      <c r="R1650" t="s">
        <v>654</v>
      </c>
      <c r="S1650" t="s">
        <v>655</v>
      </c>
      <c r="T1650" t="s">
        <v>553</v>
      </c>
      <c r="U1650" t="b">
        <v>0</v>
      </c>
      <c r="V1650" t="s">
        <v>656</v>
      </c>
      <c r="W1650" t="s">
        <v>587</v>
      </c>
      <c r="X1650" t="s">
        <v>556</v>
      </c>
      <c r="AC1650">
        <v>1</v>
      </c>
      <c r="AD1650" t="s">
        <v>558</v>
      </c>
      <c r="AE1650">
        <v>0</v>
      </c>
      <c r="AF1650">
        <v>7.3200000000000001E-3</v>
      </c>
      <c r="AG1650" t="s">
        <v>588</v>
      </c>
      <c r="AH1650">
        <v>3.7854100000000002</v>
      </c>
      <c r="AI1650">
        <v>0</v>
      </c>
      <c r="AJ1650" t="s">
        <v>561</v>
      </c>
      <c r="AK1650" t="s">
        <v>589</v>
      </c>
      <c r="AL1650" t="s">
        <v>590</v>
      </c>
      <c r="AM1650">
        <v>2022</v>
      </c>
      <c r="AN1650">
        <v>2020</v>
      </c>
      <c r="AO1650">
        <f>IF(AND(emissions[[#This Row],[Market-based]]=0,emissions[[#This Row],[Impact Type]]="CO2E"),emissions[[#This Row],[kgCO2e]],0)/1000</f>
        <v>0</v>
      </c>
      <c r="AP1650">
        <f>IF(AND(emissions[[#This Row],[Market-based]]=1,OR(emissions[[#This Row],[Impact Type]]="CO2E",emissions[[#This Row],[Impact Type]]="CO2E MKT")),emissions[[#This Row],[kgCO2e]],0)/1000</f>
        <v>0</v>
      </c>
      <c r="AQ1650" t="str">
        <f>_xlfn.TEXTAFTER(emissions[[#This Row],[Reporting Unit]]," &gt; ",LEN(emissions[[#This Row],[Reporting Unit]])-LEN(SUBSTITUTE(emissions[[#This Row],[Reporting Unit]],"&gt;","")))</f>
        <v>Vantage_Tucson</v>
      </c>
      <c r="AR1650" t="str">
        <f>_xlfn.XLOOKUP(emissions[[#This Row],[Reporting unit name]],hierarchy!$A:$A,hierarchy!$C:$C)</f>
        <v>Office</v>
      </c>
    </row>
    <row r="1651" spans="1:44" hidden="1" x14ac:dyDescent="0.25">
      <c r="A1651">
        <v>283991</v>
      </c>
      <c r="B1651" t="s">
        <v>277</v>
      </c>
      <c r="C1651" t="s">
        <v>501</v>
      </c>
      <c r="D1651" t="s">
        <v>548</v>
      </c>
      <c r="E1651" s="3">
        <v>44562</v>
      </c>
      <c r="F1651" s="3">
        <v>44926</v>
      </c>
      <c r="G1651" t="s">
        <v>141</v>
      </c>
      <c r="H1651" s="3">
        <v>44562</v>
      </c>
      <c r="I1651" s="3">
        <v>44926</v>
      </c>
      <c r="J1651" t="s">
        <v>187</v>
      </c>
      <c r="K1651">
        <v>0</v>
      </c>
      <c r="L1651" t="s">
        <v>148</v>
      </c>
      <c r="M1651" t="s">
        <v>110</v>
      </c>
      <c r="O1651" t="s">
        <v>961</v>
      </c>
      <c r="P1651" t="s">
        <v>550</v>
      </c>
      <c r="Q1651">
        <v>2022</v>
      </c>
      <c r="R1651" t="s">
        <v>654</v>
      </c>
      <c r="S1651" t="s">
        <v>655</v>
      </c>
      <c r="T1651" t="s">
        <v>553</v>
      </c>
      <c r="U1651" t="b">
        <v>0</v>
      </c>
      <c r="V1651" t="s">
        <v>656</v>
      </c>
      <c r="W1651" t="s">
        <v>587</v>
      </c>
      <c r="X1651" t="s">
        <v>556</v>
      </c>
      <c r="AC1651">
        <v>1</v>
      </c>
      <c r="AD1651" t="s">
        <v>564</v>
      </c>
      <c r="AE1651">
        <v>0</v>
      </c>
      <c r="AF1651">
        <v>2.3256700000000001</v>
      </c>
      <c r="AG1651" t="s">
        <v>588</v>
      </c>
      <c r="AH1651">
        <v>3.7854100000000002</v>
      </c>
      <c r="AI1651">
        <v>0</v>
      </c>
      <c r="AJ1651" t="s">
        <v>561</v>
      </c>
      <c r="AK1651" t="s">
        <v>589</v>
      </c>
      <c r="AL1651" t="s">
        <v>590</v>
      </c>
      <c r="AM1651">
        <v>2022</v>
      </c>
      <c r="AN1651">
        <v>2020</v>
      </c>
      <c r="AO1651">
        <f>IF(AND(emissions[[#This Row],[Market-based]]=0,emissions[[#This Row],[Impact Type]]="CO2E"),emissions[[#This Row],[kgCO2e]],0)/1000</f>
        <v>0</v>
      </c>
      <c r="AP1651">
        <f>IF(AND(emissions[[#This Row],[Market-based]]=1,OR(emissions[[#This Row],[Impact Type]]="CO2E",emissions[[#This Row],[Impact Type]]="CO2E MKT")),emissions[[#This Row],[kgCO2e]],0)/1000</f>
        <v>0</v>
      </c>
      <c r="AQ1651" t="str">
        <f>_xlfn.TEXTAFTER(emissions[[#This Row],[Reporting Unit]]," &gt; ",LEN(emissions[[#This Row],[Reporting Unit]])-LEN(SUBSTITUTE(emissions[[#This Row],[Reporting Unit]],"&gt;","")))</f>
        <v>Vantage_Tucson</v>
      </c>
      <c r="AR1651" t="str">
        <f>_xlfn.XLOOKUP(emissions[[#This Row],[Reporting unit name]],hierarchy!$A:$A,hierarchy!$C:$C)</f>
        <v>Office</v>
      </c>
    </row>
    <row r="1652" spans="1:44" hidden="1" x14ac:dyDescent="0.25">
      <c r="A1652">
        <v>283991</v>
      </c>
      <c r="B1652" t="s">
        <v>277</v>
      </c>
      <c r="C1652" t="s">
        <v>501</v>
      </c>
      <c r="D1652" t="s">
        <v>548</v>
      </c>
      <c r="E1652" s="3">
        <v>44562</v>
      </c>
      <c r="F1652" s="3">
        <v>44926</v>
      </c>
      <c r="G1652" t="s">
        <v>141</v>
      </c>
      <c r="H1652" s="3">
        <v>44562</v>
      </c>
      <c r="I1652" s="3">
        <v>44926</v>
      </c>
      <c r="J1652" t="s">
        <v>187</v>
      </c>
      <c r="K1652">
        <v>0</v>
      </c>
      <c r="L1652" t="s">
        <v>148</v>
      </c>
      <c r="M1652" t="s">
        <v>110</v>
      </c>
      <c r="O1652" t="s">
        <v>961</v>
      </c>
      <c r="P1652" t="s">
        <v>550</v>
      </c>
      <c r="Q1652">
        <v>2022</v>
      </c>
      <c r="R1652" t="s">
        <v>654</v>
      </c>
      <c r="S1652" t="s">
        <v>655</v>
      </c>
      <c r="T1652" t="s">
        <v>553</v>
      </c>
      <c r="U1652" t="b">
        <v>0</v>
      </c>
      <c r="V1652" t="s">
        <v>656</v>
      </c>
      <c r="W1652" t="s">
        <v>587</v>
      </c>
      <c r="X1652" t="s">
        <v>556</v>
      </c>
      <c r="AC1652">
        <v>1</v>
      </c>
      <c r="AD1652" t="s">
        <v>565</v>
      </c>
      <c r="AE1652">
        <v>0</v>
      </c>
      <c r="AF1652">
        <v>2.3397000000000001</v>
      </c>
      <c r="AG1652" t="s">
        <v>588</v>
      </c>
      <c r="AH1652">
        <v>3.7854100000000002</v>
      </c>
      <c r="AI1652">
        <v>0</v>
      </c>
      <c r="AJ1652" t="s">
        <v>561</v>
      </c>
      <c r="AK1652" t="s">
        <v>589</v>
      </c>
      <c r="AL1652" t="s">
        <v>590</v>
      </c>
      <c r="AM1652">
        <v>2022</v>
      </c>
      <c r="AN1652">
        <v>2020</v>
      </c>
      <c r="AO1652">
        <f>IF(AND(emissions[[#This Row],[Market-based]]=0,emissions[[#This Row],[Impact Type]]="CO2E"),emissions[[#This Row],[kgCO2e]],0)/1000</f>
        <v>0</v>
      </c>
      <c r="AP1652">
        <f>IF(AND(emissions[[#This Row],[Market-based]]=1,OR(emissions[[#This Row],[Impact Type]]="CO2E",emissions[[#This Row],[Impact Type]]="CO2E MKT")),emissions[[#This Row],[kgCO2e]],0)/1000</f>
        <v>0</v>
      </c>
      <c r="AQ1652" t="str">
        <f>_xlfn.TEXTAFTER(emissions[[#This Row],[Reporting Unit]]," &gt; ",LEN(emissions[[#This Row],[Reporting Unit]])-LEN(SUBSTITUTE(emissions[[#This Row],[Reporting Unit]],"&gt;","")))</f>
        <v>Vantage_Tucson</v>
      </c>
      <c r="AR1652" t="str">
        <f>_xlfn.XLOOKUP(emissions[[#This Row],[Reporting unit name]],hierarchy!$A:$A,hierarchy!$C:$C)</f>
        <v>Office</v>
      </c>
    </row>
    <row r="1653" spans="1:44" hidden="1" x14ac:dyDescent="0.25">
      <c r="A1653">
        <v>283991</v>
      </c>
      <c r="B1653" t="s">
        <v>277</v>
      </c>
      <c r="C1653" t="s">
        <v>501</v>
      </c>
      <c r="D1653" t="s">
        <v>548</v>
      </c>
      <c r="E1653" s="3">
        <v>44562</v>
      </c>
      <c r="F1653" s="3">
        <v>44926</v>
      </c>
      <c r="G1653" t="s">
        <v>141</v>
      </c>
      <c r="H1653" s="3">
        <v>44562</v>
      </c>
      <c r="I1653" s="3">
        <v>44926</v>
      </c>
      <c r="J1653" t="s">
        <v>187</v>
      </c>
      <c r="K1653">
        <v>0</v>
      </c>
      <c r="L1653" t="s">
        <v>148</v>
      </c>
      <c r="M1653" t="s">
        <v>110</v>
      </c>
      <c r="O1653" t="s">
        <v>961</v>
      </c>
      <c r="P1653" t="s">
        <v>550</v>
      </c>
      <c r="Q1653">
        <v>2022</v>
      </c>
      <c r="R1653" t="s">
        <v>654</v>
      </c>
      <c r="S1653" t="s">
        <v>655</v>
      </c>
      <c r="T1653" t="s">
        <v>553</v>
      </c>
      <c r="U1653" t="b">
        <v>0</v>
      </c>
      <c r="V1653" t="s">
        <v>656</v>
      </c>
      <c r="W1653" t="s">
        <v>587</v>
      </c>
      <c r="X1653" t="s">
        <v>556</v>
      </c>
      <c r="AC1653">
        <v>1</v>
      </c>
      <c r="AD1653" t="s">
        <v>566</v>
      </c>
      <c r="AE1653">
        <v>0</v>
      </c>
      <c r="AF1653">
        <v>6.7099999999999998E-3</v>
      </c>
      <c r="AG1653" t="s">
        <v>588</v>
      </c>
      <c r="AH1653">
        <v>3.7854100000000002</v>
      </c>
      <c r="AI1653">
        <v>0</v>
      </c>
      <c r="AJ1653" t="s">
        <v>561</v>
      </c>
      <c r="AK1653" t="s">
        <v>589</v>
      </c>
      <c r="AL1653" t="s">
        <v>590</v>
      </c>
      <c r="AM1653">
        <v>2022</v>
      </c>
      <c r="AN1653">
        <v>2020</v>
      </c>
      <c r="AO1653">
        <f>IF(AND(emissions[[#This Row],[Market-based]]=0,emissions[[#This Row],[Impact Type]]="CO2E"),emissions[[#This Row],[kgCO2e]],0)/1000</f>
        <v>0</v>
      </c>
      <c r="AP1653">
        <f>IF(AND(emissions[[#This Row],[Market-based]]=1,OR(emissions[[#This Row],[Impact Type]]="CO2E",emissions[[#This Row],[Impact Type]]="CO2E MKT")),emissions[[#This Row],[kgCO2e]],0)/1000</f>
        <v>0</v>
      </c>
      <c r="AQ1653" t="str">
        <f>_xlfn.TEXTAFTER(emissions[[#This Row],[Reporting Unit]]," &gt; ",LEN(emissions[[#This Row],[Reporting Unit]])-LEN(SUBSTITUTE(emissions[[#This Row],[Reporting Unit]],"&gt;","")))</f>
        <v>Vantage_Tucson</v>
      </c>
      <c r="AR1653" t="str">
        <f>_xlfn.XLOOKUP(emissions[[#This Row],[Reporting unit name]],hierarchy!$A:$A,hierarchy!$C:$C)</f>
        <v>Office</v>
      </c>
    </row>
    <row r="1654" spans="1:44" hidden="1" x14ac:dyDescent="0.25">
      <c r="A1654">
        <v>283991</v>
      </c>
      <c r="B1654" t="s">
        <v>277</v>
      </c>
      <c r="C1654" t="s">
        <v>501</v>
      </c>
      <c r="D1654" t="s">
        <v>548</v>
      </c>
      <c r="E1654" s="3">
        <v>44562</v>
      </c>
      <c r="F1654" s="3">
        <v>44926</v>
      </c>
      <c r="G1654" t="s">
        <v>141</v>
      </c>
      <c r="H1654" s="3">
        <v>44562</v>
      </c>
      <c r="I1654" s="3">
        <v>44926</v>
      </c>
      <c r="J1654" t="s">
        <v>187</v>
      </c>
      <c r="K1654">
        <v>0</v>
      </c>
      <c r="L1654" t="s">
        <v>148</v>
      </c>
      <c r="M1654" t="s">
        <v>110</v>
      </c>
      <c r="O1654" t="s">
        <v>961</v>
      </c>
      <c r="P1654" t="s">
        <v>550</v>
      </c>
      <c r="Q1654">
        <v>2022</v>
      </c>
      <c r="R1654" t="s">
        <v>657</v>
      </c>
      <c r="S1654" t="s">
        <v>658</v>
      </c>
      <c r="T1654" t="s">
        <v>577</v>
      </c>
      <c r="U1654" t="b">
        <v>0</v>
      </c>
      <c r="V1654" t="s">
        <v>906</v>
      </c>
      <c r="W1654" t="s">
        <v>571</v>
      </c>
      <c r="X1654" t="s">
        <v>572</v>
      </c>
      <c r="AC1654">
        <v>0</v>
      </c>
      <c r="AD1654" t="s">
        <v>565</v>
      </c>
      <c r="AE1654">
        <v>0</v>
      </c>
      <c r="AF1654">
        <v>0.60282999999999998</v>
      </c>
      <c r="AG1654" t="s">
        <v>588</v>
      </c>
      <c r="AH1654">
        <v>3.7854100000000002</v>
      </c>
      <c r="AI1654">
        <v>0</v>
      </c>
      <c r="AJ1654" t="s">
        <v>561</v>
      </c>
      <c r="AK1654" t="s">
        <v>589</v>
      </c>
      <c r="AL1654" t="s">
        <v>590</v>
      </c>
      <c r="AM1654">
        <v>2022</v>
      </c>
      <c r="AN1654">
        <v>2020</v>
      </c>
      <c r="AO1654">
        <f>IF(AND(emissions[[#This Row],[Market-based]]=0,emissions[[#This Row],[Impact Type]]="CO2E"),emissions[[#This Row],[kgCO2e]],0)/1000</f>
        <v>0</v>
      </c>
      <c r="AP1654">
        <f>IF(AND(emissions[[#This Row],[Market-based]]=1,OR(emissions[[#This Row],[Impact Type]]="CO2E",emissions[[#This Row],[Impact Type]]="CO2E MKT")),emissions[[#This Row],[kgCO2e]],0)/1000</f>
        <v>0</v>
      </c>
      <c r="AQ1654" t="str">
        <f>_xlfn.TEXTAFTER(emissions[[#This Row],[Reporting Unit]]," &gt; ",LEN(emissions[[#This Row],[Reporting Unit]])-LEN(SUBSTITUTE(emissions[[#This Row],[Reporting Unit]],"&gt;","")))</f>
        <v>Vantage_Tucson</v>
      </c>
      <c r="AR1654" t="str">
        <f>_xlfn.XLOOKUP(emissions[[#This Row],[Reporting unit name]],hierarchy!$A:$A,hierarchy!$C:$C)</f>
        <v>Office</v>
      </c>
    </row>
    <row r="1655" spans="1:44" hidden="1" x14ac:dyDescent="0.25">
      <c r="A1655">
        <v>283991</v>
      </c>
      <c r="B1655" t="s">
        <v>277</v>
      </c>
      <c r="C1655" t="s">
        <v>501</v>
      </c>
      <c r="D1655" t="s">
        <v>548</v>
      </c>
      <c r="E1655" s="3">
        <v>44562</v>
      </c>
      <c r="F1655" s="3">
        <v>44926</v>
      </c>
      <c r="G1655" t="s">
        <v>141</v>
      </c>
      <c r="H1655" s="3">
        <v>44562</v>
      </c>
      <c r="I1655" s="3">
        <v>44926</v>
      </c>
      <c r="J1655" t="s">
        <v>187</v>
      </c>
      <c r="K1655">
        <v>0</v>
      </c>
      <c r="L1655" t="s">
        <v>148</v>
      </c>
      <c r="M1655" t="s">
        <v>110</v>
      </c>
      <c r="O1655" t="s">
        <v>961</v>
      </c>
      <c r="P1655" t="s">
        <v>550</v>
      </c>
      <c r="Q1655">
        <v>2022</v>
      </c>
      <c r="R1655" t="s">
        <v>657</v>
      </c>
      <c r="S1655" t="s">
        <v>658</v>
      </c>
      <c r="T1655" t="s">
        <v>577</v>
      </c>
      <c r="U1655" t="b">
        <v>0</v>
      </c>
      <c r="V1655" t="s">
        <v>906</v>
      </c>
      <c r="W1655" t="s">
        <v>571</v>
      </c>
      <c r="X1655" t="s">
        <v>572</v>
      </c>
      <c r="AC1655">
        <v>1</v>
      </c>
      <c r="AD1655" t="s">
        <v>565</v>
      </c>
      <c r="AE1655">
        <v>0</v>
      </c>
      <c r="AF1655">
        <v>0.60282999999999998</v>
      </c>
      <c r="AG1655" t="s">
        <v>588</v>
      </c>
      <c r="AH1655">
        <v>3.7854100000000002</v>
      </c>
      <c r="AI1655">
        <v>0</v>
      </c>
      <c r="AJ1655" t="s">
        <v>561</v>
      </c>
      <c r="AK1655" t="s">
        <v>589</v>
      </c>
      <c r="AL1655" t="s">
        <v>590</v>
      </c>
      <c r="AM1655">
        <v>2022</v>
      </c>
      <c r="AN1655">
        <v>2020</v>
      </c>
      <c r="AO1655">
        <f>IF(AND(emissions[[#This Row],[Market-based]]=0,emissions[[#This Row],[Impact Type]]="CO2E"),emissions[[#This Row],[kgCO2e]],0)/1000</f>
        <v>0</v>
      </c>
      <c r="AP1655">
        <f>IF(AND(emissions[[#This Row],[Market-based]]=1,OR(emissions[[#This Row],[Impact Type]]="CO2E",emissions[[#This Row],[Impact Type]]="CO2E MKT")),emissions[[#This Row],[kgCO2e]],0)/1000</f>
        <v>0</v>
      </c>
      <c r="AQ1655" t="str">
        <f>_xlfn.TEXTAFTER(emissions[[#This Row],[Reporting Unit]]," &gt; ",LEN(emissions[[#This Row],[Reporting Unit]])-LEN(SUBSTITUTE(emissions[[#This Row],[Reporting Unit]],"&gt;","")))</f>
        <v>Vantage_Tucson</v>
      </c>
      <c r="AR1655" t="str">
        <f>_xlfn.XLOOKUP(emissions[[#This Row],[Reporting unit name]],hierarchy!$A:$A,hierarchy!$C:$C)</f>
        <v>Office</v>
      </c>
    </row>
    <row r="1656" spans="1:44" hidden="1" x14ac:dyDescent="0.25">
      <c r="A1656">
        <v>290059</v>
      </c>
      <c r="B1656" t="s">
        <v>277</v>
      </c>
      <c r="C1656" t="s">
        <v>501</v>
      </c>
      <c r="D1656" t="s">
        <v>548</v>
      </c>
      <c r="E1656" s="3">
        <v>44562</v>
      </c>
      <c r="F1656" s="3">
        <v>44926</v>
      </c>
      <c r="G1656" t="s">
        <v>116</v>
      </c>
      <c r="H1656" s="3">
        <v>44562</v>
      </c>
      <c r="I1656" s="3">
        <v>44926</v>
      </c>
      <c r="J1656" t="s">
        <v>175</v>
      </c>
      <c r="K1656">
        <v>0</v>
      </c>
      <c r="L1656" t="s">
        <v>215</v>
      </c>
      <c r="M1656" t="s">
        <v>110</v>
      </c>
      <c r="N1656" t="s">
        <v>284</v>
      </c>
      <c r="O1656" t="s">
        <v>962</v>
      </c>
      <c r="P1656" t="s">
        <v>550</v>
      </c>
      <c r="Q1656">
        <v>2022</v>
      </c>
      <c r="R1656" t="s">
        <v>664</v>
      </c>
      <c r="S1656" t="s">
        <v>175</v>
      </c>
      <c r="T1656" t="s">
        <v>553</v>
      </c>
      <c r="U1656" t="b">
        <v>0</v>
      </c>
      <c r="V1656" t="s">
        <v>665</v>
      </c>
      <c r="W1656" t="s">
        <v>587</v>
      </c>
      <c r="X1656" t="s">
        <v>556</v>
      </c>
      <c r="AC1656">
        <v>0</v>
      </c>
      <c r="AD1656" t="s">
        <v>565</v>
      </c>
      <c r="AE1656">
        <v>0</v>
      </c>
      <c r="AF1656">
        <v>2088</v>
      </c>
      <c r="AG1656" t="s">
        <v>622</v>
      </c>
      <c r="AH1656">
        <v>0.45359291000000002</v>
      </c>
      <c r="AI1656">
        <v>0</v>
      </c>
      <c r="AJ1656" t="s">
        <v>561</v>
      </c>
      <c r="AK1656" t="s">
        <v>623</v>
      </c>
      <c r="AL1656" t="s">
        <v>624</v>
      </c>
      <c r="AM1656">
        <v>2022</v>
      </c>
      <c r="AN1656">
        <v>2007</v>
      </c>
      <c r="AO1656">
        <f>IF(AND(emissions[[#This Row],[Market-based]]=0,emissions[[#This Row],[Impact Type]]="CO2E"),emissions[[#This Row],[kgCO2e]],0)/1000</f>
        <v>0</v>
      </c>
      <c r="AP1656">
        <f>IF(AND(emissions[[#This Row],[Market-based]]=1,OR(emissions[[#This Row],[Impact Type]]="CO2E",emissions[[#This Row],[Impact Type]]="CO2E MKT")),emissions[[#This Row],[kgCO2e]],0)/1000</f>
        <v>0</v>
      </c>
      <c r="AQ1656" t="str">
        <f>_xlfn.TEXTAFTER(emissions[[#This Row],[Reporting Unit]]," &gt; ",LEN(emissions[[#This Row],[Reporting Unit]])-LEN(SUBSTITUTE(emissions[[#This Row],[Reporting Unit]],"&gt;","")))</f>
        <v>Vantage_Tucson</v>
      </c>
      <c r="AR1656" t="str">
        <f>_xlfn.XLOOKUP(emissions[[#This Row],[Reporting unit name]],hierarchy!$A:$A,hierarchy!$C:$C)</f>
        <v>Office</v>
      </c>
    </row>
    <row r="1657" spans="1:44" hidden="1" x14ac:dyDescent="0.25">
      <c r="A1657">
        <v>290059</v>
      </c>
      <c r="B1657" t="s">
        <v>277</v>
      </c>
      <c r="C1657" t="s">
        <v>501</v>
      </c>
      <c r="D1657" t="s">
        <v>548</v>
      </c>
      <c r="E1657" s="3">
        <v>44562</v>
      </c>
      <c r="F1657" s="3">
        <v>44926</v>
      </c>
      <c r="G1657" t="s">
        <v>116</v>
      </c>
      <c r="H1657" s="3">
        <v>44562</v>
      </c>
      <c r="I1657" s="3">
        <v>44926</v>
      </c>
      <c r="J1657" t="s">
        <v>175</v>
      </c>
      <c r="K1657">
        <v>0</v>
      </c>
      <c r="L1657" t="s">
        <v>215</v>
      </c>
      <c r="M1657" t="s">
        <v>110</v>
      </c>
      <c r="N1657" t="s">
        <v>284</v>
      </c>
      <c r="O1657" t="s">
        <v>962</v>
      </c>
      <c r="P1657" t="s">
        <v>550</v>
      </c>
      <c r="Q1657">
        <v>2022</v>
      </c>
      <c r="R1657" t="s">
        <v>664</v>
      </c>
      <c r="S1657" t="s">
        <v>175</v>
      </c>
      <c r="T1657" t="s">
        <v>553</v>
      </c>
      <c r="U1657" t="b">
        <v>0</v>
      </c>
      <c r="V1657" t="s">
        <v>665</v>
      </c>
      <c r="W1657" t="s">
        <v>587</v>
      </c>
      <c r="X1657" t="s">
        <v>556</v>
      </c>
      <c r="AC1657">
        <v>1</v>
      </c>
      <c r="AD1657" t="s">
        <v>565</v>
      </c>
      <c r="AE1657">
        <v>0</v>
      </c>
      <c r="AF1657">
        <v>2088</v>
      </c>
      <c r="AG1657" t="s">
        <v>622</v>
      </c>
      <c r="AH1657">
        <v>0.45359291000000002</v>
      </c>
      <c r="AI1657">
        <v>0</v>
      </c>
      <c r="AJ1657" t="s">
        <v>561</v>
      </c>
      <c r="AK1657" t="s">
        <v>623</v>
      </c>
      <c r="AL1657" t="s">
        <v>624</v>
      </c>
      <c r="AM1657">
        <v>2022</v>
      </c>
      <c r="AN1657">
        <v>2007</v>
      </c>
      <c r="AO1657">
        <f>IF(AND(emissions[[#This Row],[Market-based]]=0,emissions[[#This Row],[Impact Type]]="CO2E"),emissions[[#This Row],[kgCO2e]],0)/1000</f>
        <v>0</v>
      </c>
      <c r="AP1657">
        <f>IF(AND(emissions[[#This Row],[Market-based]]=1,OR(emissions[[#This Row],[Impact Type]]="CO2E",emissions[[#This Row],[Impact Type]]="CO2E MKT")),emissions[[#This Row],[kgCO2e]],0)/1000</f>
        <v>0</v>
      </c>
      <c r="AQ1657" t="str">
        <f>_xlfn.TEXTAFTER(emissions[[#This Row],[Reporting Unit]]," &gt; ",LEN(emissions[[#This Row],[Reporting Unit]])-LEN(SUBSTITUTE(emissions[[#This Row],[Reporting Unit]],"&gt;","")))</f>
        <v>Vantage_Tucson</v>
      </c>
      <c r="AR1657" t="str">
        <f>_xlfn.XLOOKUP(emissions[[#This Row],[Reporting unit name]],hierarchy!$A:$A,hierarchy!$C:$C)</f>
        <v>Office</v>
      </c>
    </row>
    <row r="1658" spans="1:44" hidden="1" x14ac:dyDescent="0.25">
      <c r="A1658">
        <v>291054</v>
      </c>
      <c r="B1658" t="s">
        <v>277</v>
      </c>
      <c r="C1658" t="s">
        <v>501</v>
      </c>
      <c r="D1658" t="s">
        <v>548</v>
      </c>
      <c r="E1658" s="3">
        <v>44562</v>
      </c>
      <c r="F1658" s="3">
        <v>44926</v>
      </c>
      <c r="G1658" t="s">
        <v>116</v>
      </c>
      <c r="H1658" s="3">
        <v>44562</v>
      </c>
      <c r="I1658" s="3">
        <v>44926</v>
      </c>
      <c r="J1658" t="s">
        <v>175</v>
      </c>
      <c r="K1658">
        <v>0</v>
      </c>
      <c r="L1658" t="s">
        <v>215</v>
      </c>
      <c r="M1658" t="s">
        <v>110</v>
      </c>
      <c r="N1658" t="s">
        <v>289</v>
      </c>
      <c r="O1658" t="s">
        <v>850</v>
      </c>
      <c r="P1658" t="s">
        <v>550</v>
      </c>
      <c r="Q1658">
        <v>2022</v>
      </c>
      <c r="R1658" t="s">
        <v>664</v>
      </c>
      <c r="S1658" t="s">
        <v>175</v>
      </c>
      <c r="T1658" t="s">
        <v>553</v>
      </c>
      <c r="U1658" t="b">
        <v>0</v>
      </c>
      <c r="V1658" t="s">
        <v>665</v>
      </c>
      <c r="W1658" t="s">
        <v>587</v>
      </c>
      <c r="X1658" t="s">
        <v>556</v>
      </c>
      <c r="AC1658">
        <v>0</v>
      </c>
      <c r="AD1658" t="s">
        <v>565</v>
      </c>
      <c r="AE1658">
        <v>0</v>
      </c>
      <c r="AF1658">
        <v>2088</v>
      </c>
      <c r="AG1658" t="s">
        <v>622</v>
      </c>
      <c r="AH1658">
        <v>0.45359291000000002</v>
      </c>
      <c r="AI1658">
        <v>0</v>
      </c>
      <c r="AJ1658" t="s">
        <v>561</v>
      </c>
      <c r="AK1658" t="s">
        <v>623</v>
      </c>
      <c r="AL1658" t="s">
        <v>624</v>
      </c>
      <c r="AM1658">
        <v>2022</v>
      </c>
      <c r="AN1658">
        <v>2007</v>
      </c>
      <c r="AO1658">
        <f>IF(AND(emissions[[#This Row],[Market-based]]=0,emissions[[#This Row],[Impact Type]]="CO2E"),emissions[[#This Row],[kgCO2e]],0)/1000</f>
        <v>0</v>
      </c>
      <c r="AP1658">
        <f>IF(AND(emissions[[#This Row],[Market-based]]=1,OR(emissions[[#This Row],[Impact Type]]="CO2E",emissions[[#This Row],[Impact Type]]="CO2E MKT")),emissions[[#This Row],[kgCO2e]],0)/1000</f>
        <v>0</v>
      </c>
      <c r="AQ1658" t="str">
        <f>_xlfn.TEXTAFTER(emissions[[#This Row],[Reporting Unit]]," &gt; ",LEN(emissions[[#This Row],[Reporting Unit]])-LEN(SUBSTITUTE(emissions[[#This Row],[Reporting Unit]],"&gt;","")))</f>
        <v>Vantage_Tucson</v>
      </c>
      <c r="AR1658" t="str">
        <f>_xlfn.XLOOKUP(emissions[[#This Row],[Reporting unit name]],hierarchy!$A:$A,hierarchy!$C:$C)</f>
        <v>Office</v>
      </c>
    </row>
    <row r="1659" spans="1:44" hidden="1" x14ac:dyDescent="0.25">
      <c r="A1659">
        <v>291054</v>
      </c>
      <c r="B1659" t="s">
        <v>277</v>
      </c>
      <c r="C1659" t="s">
        <v>501</v>
      </c>
      <c r="D1659" t="s">
        <v>548</v>
      </c>
      <c r="E1659" s="3">
        <v>44562</v>
      </c>
      <c r="F1659" s="3">
        <v>44926</v>
      </c>
      <c r="G1659" t="s">
        <v>116</v>
      </c>
      <c r="H1659" s="3">
        <v>44562</v>
      </c>
      <c r="I1659" s="3">
        <v>44926</v>
      </c>
      <c r="J1659" t="s">
        <v>175</v>
      </c>
      <c r="K1659">
        <v>0</v>
      </c>
      <c r="L1659" t="s">
        <v>215</v>
      </c>
      <c r="M1659" t="s">
        <v>110</v>
      </c>
      <c r="N1659" t="s">
        <v>289</v>
      </c>
      <c r="O1659" t="s">
        <v>850</v>
      </c>
      <c r="P1659" t="s">
        <v>550</v>
      </c>
      <c r="Q1659">
        <v>2022</v>
      </c>
      <c r="R1659" t="s">
        <v>664</v>
      </c>
      <c r="S1659" t="s">
        <v>175</v>
      </c>
      <c r="T1659" t="s">
        <v>553</v>
      </c>
      <c r="U1659" t="b">
        <v>0</v>
      </c>
      <c r="V1659" t="s">
        <v>665</v>
      </c>
      <c r="W1659" t="s">
        <v>587</v>
      </c>
      <c r="X1659" t="s">
        <v>556</v>
      </c>
      <c r="AC1659">
        <v>1</v>
      </c>
      <c r="AD1659" t="s">
        <v>565</v>
      </c>
      <c r="AE1659">
        <v>0</v>
      </c>
      <c r="AF1659">
        <v>2088</v>
      </c>
      <c r="AG1659" t="s">
        <v>622</v>
      </c>
      <c r="AH1659">
        <v>0.45359291000000002</v>
      </c>
      <c r="AI1659">
        <v>0</v>
      </c>
      <c r="AJ1659" t="s">
        <v>561</v>
      </c>
      <c r="AK1659" t="s">
        <v>623</v>
      </c>
      <c r="AL1659" t="s">
        <v>624</v>
      </c>
      <c r="AM1659">
        <v>2022</v>
      </c>
      <c r="AN1659">
        <v>2007</v>
      </c>
      <c r="AO1659">
        <f>IF(AND(emissions[[#This Row],[Market-based]]=0,emissions[[#This Row],[Impact Type]]="CO2E"),emissions[[#This Row],[kgCO2e]],0)/1000</f>
        <v>0</v>
      </c>
      <c r="AP1659">
        <f>IF(AND(emissions[[#This Row],[Market-based]]=1,OR(emissions[[#This Row],[Impact Type]]="CO2E",emissions[[#This Row],[Impact Type]]="CO2E MKT")),emissions[[#This Row],[kgCO2e]],0)/1000</f>
        <v>0</v>
      </c>
      <c r="AQ1659" t="str">
        <f>_xlfn.TEXTAFTER(emissions[[#This Row],[Reporting Unit]]," &gt; ",LEN(emissions[[#This Row],[Reporting Unit]])-LEN(SUBSTITUTE(emissions[[#This Row],[Reporting Unit]],"&gt;","")))</f>
        <v>Vantage_Tucson</v>
      </c>
      <c r="AR1659" t="str">
        <f>_xlfn.XLOOKUP(emissions[[#This Row],[Reporting unit name]],hierarchy!$A:$A,hierarchy!$C:$C)</f>
        <v>Office</v>
      </c>
    </row>
    <row r="1660" spans="1:44" hidden="1" x14ac:dyDescent="0.25">
      <c r="A1660">
        <v>1590462</v>
      </c>
      <c r="B1660" t="s">
        <v>277</v>
      </c>
      <c r="C1660" t="s">
        <v>501</v>
      </c>
      <c r="D1660" t="s">
        <v>548</v>
      </c>
      <c r="E1660" s="3">
        <v>44562</v>
      </c>
      <c r="F1660" s="3">
        <v>44926</v>
      </c>
      <c r="G1660" t="s">
        <v>116</v>
      </c>
      <c r="H1660" s="3">
        <v>44562</v>
      </c>
      <c r="I1660" s="3">
        <v>44926</v>
      </c>
      <c r="J1660" t="s">
        <v>218</v>
      </c>
      <c r="K1660">
        <v>2.2258</v>
      </c>
      <c r="L1660" t="s">
        <v>118</v>
      </c>
      <c r="M1660" t="s">
        <v>82</v>
      </c>
      <c r="N1660" t="s">
        <v>291</v>
      </c>
      <c r="O1660" t="s">
        <v>631</v>
      </c>
      <c r="P1660" t="s">
        <v>963</v>
      </c>
      <c r="Q1660">
        <v>2022</v>
      </c>
      <c r="R1660" t="s">
        <v>664</v>
      </c>
      <c r="S1660" t="s">
        <v>175</v>
      </c>
      <c r="T1660" t="s">
        <v>553</v>
      </c>
      <c r="U1660" t="b">
        <v>0</v>
      </c>
      <c r="V1660" t="s">
        <v>665</v>
      </c>
      <c r="W1660" t="s">
        <v>587</v>
      </c>
      <c r="X1660" t="s">
        <v>556</v>
      </c>
      <c r="AC1660">
        <v>0</v>
      </c>
      <c r="AD1660" t="s">
        <v>565</v>
      </c>
      <c r="AE1660">
        <v>4647.4704000000002</v>
      </c>
      <c r="AF1660">
        <v>2088</v>
      </c>
      <c r="AG1660" t="s">
        <v>622</v>
      </c>
      <c r="AH1660">
        <v>1</v>
      </c>
      <c r="AI1660">
        <v>2.2258</v>
      </c>
      <c r="AJ1660" t="s">
        <v>561</v>
      </c>
      <c r="AK1660" t="s">
        <v>623</v>
      </c>
      <c r="AL1660" t="s">
        <v>624</v>
      </c>
      <c r="AM1660">
        <v>2022</v>
      </c>
      <c r="AN1660">
        <v>2007</v>
      </c>
      <c r="AO1660">
        <f>IF(AND(emissions[[#This Row],[Market-based]]=0,emissions[[#This Row],[Impact Type]]="CO2E"),emissions[[#This Row],[kgCO2e]],0)/1000</f>
        <v>4.6474704000000004</v>
      </c>
      <c r="AP1660">
        <f>IF(AND(emissions[[#This Row],[Market-based]]=1,OR(emissions[[#This Row],[Impact Type]]="CO2E",emissions[[#This Row],[Impact Type]]="CO2E MKT")),emissions[[#This Row],[kgCO2e]],0)/1000</f>
        <v>0</v>
      </c>
      <c r="AQ1660" t="str">
        <f>_xlfn.TEXTAFTER(emissions[[#This Row],[Reporting Unit]]," &gt; ",LEN(emissions[[#This Row],[Reporting Unit]])-LEN(SUBSTITUTE(emissions[[#This Row],[Reporting Unit]],"&gt;","")))</f>
        <v>Vantage_Tucson</v>
      </c>
      <c r="AR1660" t="str">
        <f>_xlfn.XLOOKUP(emissions[[#This Row],[Reporting unit name]],hierarchy!$A:$A,hierarchy!$C:$C)</f>
        <v>Office</v>
      </c>
    </row>
    <row r="1661" spans="1:44" hidden="1" x14ac:dyDescent="0.25">
      <c r="A1661">
        <v>1590462</v>
      </c>
      <c r="B1661" t="s">
        <v>277</v>
      </c>
      <c r="C1661" t="s">
        <v>501</v>
      </c>
      <c r="D1661" t="s">
        <v>548</v>
      </c>
      <c r="E1661" s="3">
        <v>44562</v>
      </c>
      <c r="F1661" s="3">
        <v>44926</v>
      </c>
      <c r="G1661" t="s">
        <v>116</v>
      </c>
      <c r="H1661" s="3">
        <v>44562</v>
      </c>
      <c r="I1661" s="3">
        <v>44926</v>
      </c>
      <c r="J1661" t="s">
        <v>218</v>
      </c>
      <c r="K1661">
        <v>2.2258</v>
      </c>
      <c r="L1661" t="s">
        <v>118</v>
      </c>
      <c r="M1661" t="s">
        <v>82</v>
      </c>
      <c r="N1661" t="s">
        <v>291</v>
      </c>
      <c r="O1661" t="s">
        <v>631</v>
      </c>
      <c r="P1661" t="s">
        <v>963</v>
      </c>
      <c r="Q1661">
        <v>2022</v>
      </c>
      <c r="R1661" t="s">
        <v>664</v>
      </c>
      <c r="S1661" t="s">
        <v>175</v>
      </c>
      <c r="T1661" t="s">
        <v>553</v>
      </c>
      <c r="U1661" t="b">
        <v>0</v>
      </c>
      <c r="V1661" t="s">
        <v>665</v>
      </c>
      <c r="W1661" t="s">
        <v>587</v>
      </c>
      <c r="X1661" t="s">
        <v>556</v>
      </c>
      <c r="AC1661">
        <v>1</v>
      </c>
      <c r="AD1661" t="s">
        <v>565</v>
      </c>
      <c r="AE1661">
        <v>4647.4704000000002</v>
      </c>
      <c r="AF1661">
        <v>2088</v>
      </c>
      <c r="AG1661" t="s">
        <v>622</v>
      </c>
      <c r="AH1661">
        <v>1</v>
      </c>
      <c r="AI1661">
        <v>2.2258</v>
      </c>
      <c r="AJ1661" t="s">
        <v>561</v>
      </c>
      <c r="AK1661" t="s">
        <v>623</v>
      </c>
      <c r="AL1661" t="s">
        <v>624</v>
      </c>
      <c r="AM1661">
        <v>2022</v>
      </c>
      <c r="AN1661">
        <v>2007</v>
      </c>
      <c r="AO1661">
        <f>IF(AND(emissions[[#This Row],[Market-based]]=0,emissions[[#This Row],[Impact Type]]="CO2E"),emissions[[#This Row],[kgCO2e]],0)/1000</f>
        <v>0</v>
      </c>
      <c r="AP1661">
        <f>IF(AND(emissions[[#This Row],[Market-based]]=1,OR(emissions[[#This Row],[Impact Type]]="CO2E",emissions[[#This Row],[Impact Type]]="CO2E MKT")),emissions[[#This Row],[kgCO2e]],0)/1000</f>
        <v>4.6474704000000004</v>
      </c>
      <c r="AQ1661" t="str">
        <f>_xlfn.TEXTAFTER(emissions[[#This Row],[Reporting Unit]]," &gt; ",LEN(emissions[[#This Row],[Reporting Unit]])-LEN(SUBSTITUTE(emissions[[#This Row],[Reporting Unit]],"&gt;","")))</f>
        <v>Vantage_Tucson</v>
      </c>
      <c r="AR1661" t="str">
        <f>_xlfn.XLOOKUP(emissions[[#This Row],[Reporting unit name]],hierarchy!$A:$A,hierarchy!$C:$C)</f>
        <v>Office</v>
      </c>
    </row>
    <row r="1662" spans="1:44" hidden="1" x14ac:dyDescent="0.25">
      <c r="A1662">
        <v>283989</v>
      </c>
      <c r="B1662" t="s">
        <v>277</v>
      </c>
      <c r="C1662" t="s">
        <v>501</v>
      </c>
      <c r="D1662" t="s">
        <v>548</v>
      </c>
      <c r="E1662" s="3">
        <v>44562</v>
      </c>
      <c r="F1662" s="3">
        <v>44926</v>
      </c>
      <c r="G1662" t="s">
        <v>121</v>
      </c>
      <c r="H1662" s="3">
        <v>44562</v>
      </c>
      <c r="I1662" s="3">
        <v>44926</v>
      </c>
      <c r="J1662" t="s">
        <v>150</v>
      </c>
      <c r="K1662">
        <v>314.3</v>
      </c>
      <c r="L1662" t="s">
        <v>148</v>
      </c>
      <c r="M1662" t="s">
        <v>110</v>
      </c>
      <c r="O1662" t="s">
        <v>964</v>
      </c>
      <c r="P1662" t="s">
        <v>550</v>
      </c>
      <c r="Q1662">
        <v>2022</v>
      </c>
      <c r="R1662" t="s">
        <v>594</v>
      </c>
      <c r="S1662" t="s">
        <v>150</v>
      </c>
      <c r="T1662" t="s">
        <v>553</v>
      </c>
      <c r="U1662" t="b">
        <v>0</v>
      </c>
      <c r="V1662" t="s">
        <v>789</v>
      </c>
      <c r="W1662" t="s">
        <v>587</v>
      </c>
      <c r="X1662" t="s">
        <v>556</v>
      </c>
      <c r="Y1662" t="s">
        <v>472</v>
      </c>
      <c r="Z1662" t="s">
        <v>485</v>
      </c>
      <c r="AA1662" t="s">
        <v>764</v>
      </c>
      <c r="AC1662">
        <v>0</v>
      </c>
      <c r="AD1662" t="s">
        <v>558</v>
      </c>
      <c r="AE1662">
        <v>2.1215250000000001</v>
      </c>
      <c r="AF1662">
        <v>6.7499999999999999E-3</v>
      </c>
      <c r="AG1662" t="s">
        <v>786</v>
      </c>
      <c r="AH1662">
        <v>1</v>
      </c>
      <c r="AI1662">
        <v>314.3</v>
      </c>
      <c r="AJ1662" t="s">
        <v>561</v>
      </c>
      <c r="AK1662" t="s">
        <v>766</v>
      </c>
      <c r="AL1662" t="s">
        <v>787</v>
      </c>
      <c r="AM1662">
        <v>2022</v>
      </c>
      <c r="AN1662">
        <v>2021</v>
      </c>
      <c r="AO1662">
        <f>IF(AND(emissions[[#This Row],[Market-based]]=0,emissions[[#This Row],[Impact Type]]="CO2E"),emissions[[#This Row],[kgCO2e]],0)/1000</f>
        <v>0</v>
      </c>
      <c r="AP1662">
        <f>IF(AND(emissions[[#This Row],[Market-based]]=1,OR(emissions[[#This Row],[Impact Type]]="CO2E",emissions[[#This Row],[Impact Type]]="CO2E MKT")),emissions[[#This Row],[kgCO2e]],0)/1000</f>
        <v>0</v>
      </c>
      <c r="AQ1662" t="str">
        <f>_xlfn.TEXTAFTER(emissions[[#This Row],[Reporting Unit]]," &gt; ",LEN(emissions[[#This Row],[Reporting Unit]])-LEN(SUBSTITUTE(emissions[[#This Row],[Reporting Unit]],"&gt;","")))</f>
        <v>Vantage_Tucson</v>
      </c>
      <c r="AR1662" t="str">
        <f>_xlfn.XLOOKUP(emissions[[#This Row],[Reporting unit name]],hierarchy!$A:$A,hierarchy!$C:$C)</f>
        <v>Office</v>
      </c>
    </row>
    <row r="1663" spans="1:44" hidden="1" x14ac:dyDescent="0.25">
      <c r="A1663">
        <v>283989</v>
      </c>
      <c r="B1663" t="s">
        <v>277</v>
      </c>
      <c r="C1663" t="s">
        <v>501</v>
      </c>
      <c r="D1663" t="s">
        <v>548</v>
      </c>
      <c r="E1663" s="3">
        <v>44562</v>
      </c>
      <c r="F1663" s="3">
        <v>44926</v>
      </c>
      <c r="G1663" t="s">
        <v>121</v>
      </c>
      <c r="H1663" s="3">
        <v>44562</v>
      </c>
      <c r="I1663" s="3">
        <v>44926</v>
      </c>
      <c r="J1663" t="s">
        <v>150</v>
      </c>
      <c r="K1663">
        <v>314.3</v>
      </c>
      <c r="L1663" t="s">
        <v>148</v>
      </c>
      <c r="M1663" t="s">
        <v>110</v>
      </c>
      <c r="O1663" t="s">
        <v>964</v>
      </c>
      <c r="P1663" t="s">
        <v>550</v>
      </c>
      <c r="Q1663">
        <v>2022</v>
      </c>
      <c r="R1663" t="s">
        <v>594</v>
      </c>
      <c r="S1663" t="s">
        <v>150</v>
      </c>
      <c r="T1663" t="s">
        <v>553</v>
      </c>
      <c r="U1663" t="b">
        <v>0</v>
      </c>
      <c r="V1663" t="s">
        <v>789</v>
      </c>
      <c r="W1663" t="s">
        <v>587</v>
      </c>
      <c r="X1663" t="s">
        <v>556</v>
      </c>
      <c r="Y1663" t="s">
        <v>472</v>
      </c>
      <c r="Z1663" t="s">
        <v>485</v>
      </c>
      <c r="AA1663" t="s">
        <v>764</v>
      </c>
      <c r="AC1663">
        <v>0</v>
      </c>
      <c r="AD1663" t="s">
        <v>564</v>
      </c>
      <c r="AE1663">
        <v>1797.796</v>
      </c>
      <c r="AF1663">
        <v>5.72</v>
      </c>
      <c r="AG1663" t="s">
        <v>786</v>
      </c>
      <c r="AH1663">
        <v>1</v>
      </c>
      <c r="AI1663">
        <v>314.3</v>
      </c>
      <c r="AJ1663" t="s">
        <v>561</v>
      </c>
      <c r="AK1663" t="s">
        <v>766</v>
      </c>
      <c r="AL1663" t="s">
        <v>767</v>
      </c>
      <c r="AM1663">
        <v>2022</v>
      </c>
      <c r="AN1663">
        <v>2022</v>
      </c>
      <c r="AO1663">
        <f>IF(AND(emissions[[#This Row],[Market-based]]=0,emissions[[#This Row],[Impact Type]]="CO2E"),emissions[[#This Row],[kgCO2e]],0)/1000</f>
        <v>0</v>
      </c>
      <c r="AP1663">
        <f>IF(AND(emissions[[#This Row],[Market-based]]=1,OR(emissions[[#This Row],[Impact Type]]="CO2E",emissions[[#This Row],[Impact Type]]="CO2E MKT")),emissions[[#This Row],[kgCO2e]],0)/1000</f>
        <v>0</v>
      </c>
      <c r="AQ1663" t="str">
        <f>_xlfn.TEXTAFTER(emissions[[#This Row],[Reporting Unit]]," &gt; ",LEN(emissions[[#This Row],[Reporting Unit]])-LEN(SUBSTITUTE(emissions[[#This Row],[Reporting Unit]],"&gt;","")))</f>
        <v>Vantage_Tucson</v>
      </c>
      <c r="AR1663" t="str">
        <f>_xlfn.XLOOKUP(emissions[[#This Row],[Reporting unit name]],hierarchy!$A:$A,hierarchy!$C:$C)</f>
        <v>Office</v>
      </c>
    </row>
    <row r="1664" spans="1:44" hidden="1" x14ac:dyDescent="0.25">
      <c r="A1664">
        <v>283989</v>
      </c>
      <c r="B1664" t="s">
        <v>277</v>
      </c>
      <c r="C1664" t="s">
        <v>501</v>
      </c>
      <c r="D1664" t="s">
        <v>548</v>
      </c>
      <c r="E1664" s="3">
        <v>44562</v>
      </c>
      <c r="F1664" s="3">
        <v>44926</v>
      </c>
      <c r="G1664" t="s">
        <v>121</v>
      </c>
      <c r="H1664" s="3">
        <v>44562</v>
      </c>
      <c r="I1664" s="3">
        <v>44926</v>
      </c>
      <c r="J1664" t="s">
        <v>150</v>
      </c>
      <c r="K1664">
        <v>314.3</v>
      </c>
      <c r="L1664" t="s">
        <v>148</v>
      </c>
      <c r="M1664" t="s">
        <v>110</v>
      </c>
      <c r="O1664" t="s">
        <v>964</v>
      </c>
      <c r="P1664" t="s">
        <v>550</v>
      </c>
      <c r="Q1664">
        <v>2022</v>
      </c>
      <c r="R1664" t="s">
        <v>594</v>
      </c>
      <c r="S1664" t="s">
        <v>150</v>
      </c>
      <c r="T1664" t="s">
        <v>553</v>
      </c>
      <c r="U1664" t="b">
        <v>0</v>
      </c>
      <c r="V1664" t="s">
        <v>789</v>
      </c>
      <c r="W1664" t="s">
        <v>587</v>
      </c>
      <c r="X1664" t="s">
        <v>556</v>
      </c>
      <c r="Y1664" t="s">
        <v>472</v>
      </c>
      <c r="Z1664" t="s">
        <v>485</v>
      </c>
      <c r="AA1664" t="s">
        <v>764</v>
      </c>
      <c r="AC1664">
        <v>0</v>
      </c>
      <c r="AD1664" t="s">
        <v>565</v>
      </c>
      <c r="AE1664">
        <v>1804.6005950000001</v>
      </c>
      <c r="AF1664">
        <v>5.7416499999999999</v>
      </c>
      <c r="AG1664" t="s">
        <v>786</v>
      </c>
      <c r="AH1664">
        <v>1</v>
      </c>
      <c r="AI1664">
        <v>314.3</v>
      </c>
      <c r="AJ1664" t="s">
        <v>561</v>
      </c>
      <c r="AK1664" t="s">
        <v>766</v>
      </c>
      <c r="AL1664" t="s">
        <v>767</v>
      </c>
      <c r="AM1664">
        <v>2022</v>
      </c>
      <c r="AN1664">
        <v>2022</v>
      </c>
      <c r="AO1664">
        <f>IF(AND(emissions[[#This Row],[Market-based]]=0,emissions[[#This Row],[Impact Type]]="CO2E"),emissions[[#This Row],[kgCO2e]],0)/1000</f>
        <v>1.8046005950000001</v>
      </c>
      <c r="AP1664">
        <f>IF(AND(emissions[[#This Row],[Market-based]]=1,OR(emissions[[#This Row],[Impact Type]]="CO2E",emissions[[#This Row],[Impact Type]]="CO2E MKT")),emissions[[#This Row],[kgCO2e]],0)/1000</f>
        <v>0</v>
      </c>
      <c r="AQ1664" t="str">
        <f>_xlfn.TEXTAFTER(emissions[[#This Row],[Reporting Unit]]," &gt; ",LEN(emissions[[#This Row],[Reporting Unit]])-LEN(SUBSTITUTE(emissions[[#This Row],[Reporting Unit]],"&gt;","")))</f>
        <v>Vantage_Tucson</v>
      </c>
      <c r="AR1664" t="str">
        <f>_xlfn.XLOOKUP(emissions[[#This Row],[Reporting unit name]],hierarchy!$A:$A,hierarchy!$C:$C)</f>
        <v>Office</v>
      </c>
    </row>
    <row r="1665" spans="1:44" hidden="1" x14ac:dyDescent="0.25">
      <c r="A1665">
        <v>283989</v>
      </c>
      <c r="B1665" t="s">
        <v>277</v>
      </c>
      <c r="C1665" t="s">
        <v>501</v>
      </c>
      <c r="D1665" t="s">
        <v>548</v>
      </c>
      <c r="E1665" s="3">
        <v>44562</v>
      </c>
      <c r="F1665" s="3">
        <v>44926</v>
      </c>
      <c r="G1665" t="s">
        <v>121</v>
      </c>
      <c r="H1665" s="3">
        <v>44562</v>
      </c>
      <c r="I1665" s="3">
        <v>44926</v>
      </c>
      <c r="J1665" t="s">
        <v>150</v>
      </c>
      <c r="K1665">
        <v>314.3</v>
      </c>
      <c r="L1665" t="s">
        <v>148</v>
      </c>
      <c r="M1665" t="s">
        <v>110</v>
      </c>
      <c r="O1665" t="s">
        <v>964</v>
      </c>
      <c r="P1665" t="s">
        <v>550</v>
      </c>
      <c r="Q1665">
        <v>2022</v>
      </c>
      <c r="R1665" t="s">
        <v>594</v>
      </c>
      <c r="S1665" t="s">
        <v>150</v>
      </c>
      <c r="T1665" t="s">
        <v>553</v>
      </c>
      <c r="U1665" t="b">
        <v>0</v>
      </c>
      <c r="V1665" t="s">
        <v>789</v>
      </c>
      <c r="W1665" t="s">
        <v>587</v>
      </c>
      <c r="X1665" t="s">
        <v>556</v>
      </c>
      <c r="Y1665" t="s">
        <v>472</v>
      </c>
      <c r="Z1665" t="s">
        <v>485</v>
      </c>
      <c r="AA1665" t="s">
        <v>764</v>
      </c>
      <c r="AC1665">
        <v>0</v>
      </c>
      <c r="AD1665" t="s">
        <v>566</v>
      </c>
      <c r="AE1665">
        <v>4.6830699999999998</v>
      </c>
      <c r="AF1665">
        <v>1.49E-2</v>
      </c>
      <c r="AG1665" t="s">
        <v>786</v>
      </c>
      <c r="AH1665">
        <v>1</v>
      </c>
      <c r="AI1665">
        <v>314.3</v>
      </c>
      <c r="AJ1665" t="s">
        <v>561</v>
      </c>
      <c r="AK1665" t="s">
        <v>766</v>
      </c>
      <c r="AL1665" t="s">
        <v>787</v>
      </c>
      <c r="AM1665">
        <v>2022</v>
      </c>
      <c r="AN1665">
        <v>2021</v>
      </c>
      <c r="AO1665">
        <f>IF(AND(emissions[[#This Row],[Market-based]]=0,emissions[[#This Row],[Impact Type]]="CO2E"),emissions[[#This Row],[kgCO2e]],0)/1000</f>
        <v>0</v>
      </c>
      <c r="AP1665">
        <f>IF(AND(emissions[[#This Row],[Market-based]]=1,OR(emissions[[#This Row],[Impact Type]]="CO2E",emissions[[#This Row],[Impact Type]]="CO2E MKT")),emissions[[#This Row],[kgCO2e]],0)/1000</f>
        <v>0</v>
      </c>
      <c r="AQ1665" t="str">
        <f>_xlfn.TEXTAFTER(emissions[[#This Row],[Reporting Unit]]," &gt; ",LEN(emissions[[#This Row],[Reporting Unit]])-LEN(SUBSTITUTE(emissions[[#This Row],[Reporting Unit]],"&gt;","")))</f>
        <v>Vantage_Tucson</v>
      </c>
      <c r="AR1665" t="str">
        <f>_xlfn.XLOOKUP(emissions[[#This Row],[Reporting unit name]],hierarchy!$A:$A,hierarchy!$C:$C)</f>
        <v>Office</v>
      </c>
    </row>
    <row r="1666" spans="1:44" hidden="1" x14ac:dyDescent="0.25">
      <c r="A1666">
        <v>283989</v>
      </c>
      <c r="B1666" t="s">
        <v>277</v>
      </c>
      <c r="C1666" t="s">
        <v>501</v>
      </c>
      <c r="D1666" t="s">
        <v>548</v>
      </c>
      <c r="E1666" s="3">
        <v>44562</v>
      </c>
      <c r="F1666" s="3">
        <v>44926</v>
      </c>
      <c r="G1666" t="s">
        <v>121</v>
      </c>
      <c r="H1666" s="3">
        <v>44562</v>
      </c>
      <c r="I1666" s="3">
        <v>44926</v>
      </c>
      <c r="J1666" t="s">
        <v>150</v>
      </c>
      <c r="K1666">
        <v>314.3</v>
      </c>
      <c r="L1666" t="s">
        <v>148</v>
      </c>
      <c r="M1666" t="s">
        <v>110</v>
      </c>
      <c r="O1666" t="s">
        <v>964</v>
      </c>
      <c r="P1666" t="s">
        <v>550</v>
      </c>
      <c r="Q1666">
        <v>2022</v>
      </c>
      <c r="R1666" t="s">
        <v>594</v>
      </c>
      <c r="S1666" t="s">
        <v>150</v>
      </c>
      <c r="T1666" t="s">
        <v>553</v>
      </c>
      <c r="U1666" t="b">
        <v>0</v>
      </c>
      <c r="V1666" t="s">
        <v>789</v>
      </c>
      <c r="W1666" t="s">
        <v>587</v>
      </c>
      <c r="X1666" t="s">
        <v>556</v>
      </c>
      <c r="Y1666" t="s">
        <v>472</v>
      </c>
      <c r="Z1666" t="s">
        <v>485</v>
      </c>
      <c r="AA1666" t="s">
        <v>764</v>
      </c>
      <c r="AC1666">
        <v>1</v>
      </c>
      <c r="AD1666" t="s">
        <v>558</v>
      </c>
      <c r="AE1666">
        <v>2.1215250000000001</v>
      </c>
      <c r="AF1666">
        <v>6.7499999999999999E-3</v>
      </c>
      <c r="AG1666" t="s">
        <v>786</v>
      </c>
      <c r="AH1666">
        <v>1</v>
      </c>
      <c r="AI1666">
        <v>314.3</v>
      </c>
      <c r="AJ1666" t="s">
        <v>561</v>
      </c>
      <c r="AK1666" t="s">
        <v>766</v>
      </c>
      <c r="AL1666" t="s">
        <v>787</v>
      </c>
      <c r="AM1666">
        <v>2022</v>
      </c>
      <c r="AN1666">
        <v>2021</v>
      </c>
      <c r="AO1666">
        <f>IF(AND(emissions[[#This Row],[Market-based]]=0,emissions[[#This Row],[Impact Type]]="CO2E"),emissions[[#This Row],[kgCO2e]],0)/1000</f>
        <v>0</v>
      </c>
      <c r="AP1666">
        <f>IF(AND(emissions[[#This Row],[Market-based]]=1,OR(emissions[[#This Row],[Impact Type]]="CO2E",emissions[[#This Row],[Impact Type]]="CO2E MKT")),emissions[[#This Row],[kgCO2e]],0)/1000</f>
        <v>0</v>
      </c>
      <c r="AQ1666" t="str">
        <f>_xlfn.TEXTAFTER(emissions[[#This Row],[Reporting Unit]]," &gt; ",LEN(emissions[[#This Row],[Reporting Unit]])-LEN(SUBSTITUTE(emissions[[#This Row],[Reporting Unit]],"&gt;","")))</f>
        <v>Vantage_Tucson</v>
      </c>
      <c r="AR1666" t="str">
        <f>_xlfn.XLOOKUP(emissions[[#This Row],[Reporting unit name]],hierarchy!$A:$A,hierarchy!$C:$C)</f>
        <v>Office</v>
      </c>
    </row>
    <row r="1667" spans="1:44" hidden="1" x14ac:dyDescent="0.25">
      <c r="A1667">
        <v>283989</v>
      </c>
      <c r="B1667" t="s">
        <v>277</v>
      </c>
      <c r="C1667" t="s">
        <v>501</v>
      </c>
      <c r="D1667" t="s">
        <v>548</v>
      </c>
      <c r="E1667" s="3">
        <v>44562</v>
      </c>
      <c r="F1667" s="3">
        <v>44926</v>
      </c>
      <c r="G1667" t="s">
        <v>121</v>
      </c>
      <c r="H1667" s="3">
        <v>44562</v>
      </c>
      <c r="I1667" s="3">
        <v>44926</v>
      </c>
      <c r="J1667" t="s">
        <v>150</v>
      </c>
      <c r="K1667">
        <v>314.3</v>
      </c>
      <c r="L1667" t="s">
        <v>148</v>
      </c>
      <c r="M1667" t="s">
        <v>110</v>
      </c>
      <c r="O1667" t="s">
        <v>964</v>
      </c>
      <c r="P1667" t="s">
        <v>550</v>
      </c>
      <c r="Q1667">
        <v>2022</v>
      </c>
      <c r="R1667" t="s">
        <v>594</v>
      </c>
      <c r="S1667" t="s">
        <v>150</v>
      </c>
      <c r="T1667" t="s">
        <v>553</v>
      </c>
      <c r="U1667" t="b">
        <v>0</v>
      </c>
      <c r="V1667" t="s">
        <v>789</v>
      </c>
      <c r="W1667" t="s">
        <v>587</v>
      </c>
      <c r="X1667" t="s">
        <v>556</v>
      </c>
      <c r="Y1667" t="s">
        <v>472</v>
      </c>
      <c r="Z1667" t="s">
        <v>485</v>
      </c>
      <c r="AA1667" t="s">
        <v>764</v>
      </c>
      <c r="AC1667">
        <v>1</v>
      </c>
      <c r="AD1667" t="s">
        <v>564</v>
      </c>
      <c r="AE1667">
        <v>1797.796</v>
      </c>
      <c r="AF1667">
        <v>5.72</v>
      </c>
      <c r="AG1667" t="s">
        <v>786</v>
      </c>
      <c r="AH1667">
        <v>1</v>
      </c>
      <c r="AI1667">
        <v>314.3</v>
      </c>
      <c r="AJ1667" t="s">
        <v>561</v>
      </c>
      <c r="AK1667" t="s">
        <v>766</v>
      </c>
      <c r="AL1667" t="s">
        <v>767</v>
      </c>
      <c r="AM1667">
        <v>2022</v>
      </c>
      <c r="AN1667">
        <v>2022</v>
      </c>
      <c r="AO1667">
        <f>IF(AND(emissions[[#This Row],[Market-based]]=0,emissions[[#This Row],[Impact Type]]="CO2E"),emissions[[#This Row],[kgCO2e]],0)/1000</f>
        <v>0</v>
      </c>
      <c r="AP1667">
        <f>IF(AND(emissions[[#This Row],[Market-based]]=1,OR(emissions[[#This Row],[Impact Type]]="CO2E",emissions[[#This Row],[Impact Type]]="CO2E MKT")),emissions[[#This Row],[kgCO2e]],0)/1000</f>
        <v>0</v>
      </c>
      <c r="AQ1667" t="str">
        <f>_xlfn.TEXTAFTER(emissions[[#This Row],[Reporting Unit]]," &gt; ",LEN(emissions[[#This Row],[Reporting Unit]])-LEN(SUBSTITUTE(emissions[[#This Row],[Reporting Unit]],"&gt;","")))</f>
        <v>Vantage_Tucson</v>
      </c>
      <c r="AR1667" t="str">
        <f>_xlfn.XLOOKUP(emissions[[#This Row],[Reporting unit name]],hierarchy!$A:$A,hierarchy!$C:$C)</f>
        <v>Office</v>
      </c>
    </row>
    <row r="1668" spans="1:44" hidden="1" x14ac:dyDescent="0.25">
      <c r="A1668">
        <v>283989</v>
      </c>
      <c r="B1668" t="s">
        <v>277</v>
      </c>
      <c r="C1668" t="s">
        <v>501</v>
      </c>
      <c r="D1668" t="s">
        <v>548</v>
      </c>
      <c r="E1668" s="3">
        <v>44562</v>
      </c>
      <c r="F1668" s="3">
        <v>44926</v>
      </c>
      <c r="G1668" t="s">
        <v>121</v>
      </c>
      <c r="H1668" s="3">
        <v>44562</v>
      </c>
      <c r="I1668" s="3">
        <v>44926</v>
      </c>
      <c r="J1668" t="s">
        <v>150</v>
      </c>
      <c r="K1668">
        <v>314.3</v>
      </c>
      <c r="L1668" t="s">
        <v>148</v>
      </c>
      <c r="M1668" t="s">
        <v>110</v>
      </c>
      <c r="O1668" t="s">
        <v>964</v>
      </c>
      <c r="P1668" t="s">
        <v>550</v>
      </c>
      <c r="Q1668">
        <v>2022</v>
      </c>
      <c r="R1668" t="s">
        <v>594</v>
      </c>
      <c r="S1668" t="s">
        <v>150</v>
      </c>
      <c r="T1668" t="s">
        <v>553</v>
      </c>
      <c r="U1668" t="b">
        <v>0</v>
      </c>
      <c r="V1668" t="s">
        <v>789</v>
      </c>
      <c r="W1668" t="s">
        <v>587</v>
      </c>
      <c r="X1668" t="s">
        <v>556</v>
      </c>
      <c r="Y1668" t="s">
        <v>472</v>
      </c>
      <c r="Z1668" t="s">
        <v>485</v>
      </c>
      <c r="AA1668" t="s">
        <v>764</v>
      </c>
      <c r="AC1668">
        <v>1</v>
      </c>
      <c r="AD1668" t="s">
        <v>565</v>
      </c>
      <c r="AE1668">
        <v>1804.6005950000001</v>
      </c>
      <c r="AF1668">
        <v>5.7416499999999999</v>
      </c>
      <c r="AG1668" t="s">
        <v>786</v>
      </c>
      <c r="AH1668">
        <v>1</v>
      </c>
      <c r="AI1668">
        <v>314.3</v>
      </c>
      <c r="AJ1668" t="s">
        <v>561</v>
      </c>
      <c r="AK1668" t="s">
        <v>766</v>
      </c>
      <c r="AL1668" t="s">
        <v>767</v>
      </c>
      <c r="AM1668">
        <v>2022</v>
      </c>
      <c r="AN1668">
        <v>2022</v>
      </c>
      <c r="AO1668">
        <f>IF(AND(emissions[[#This Row],[Market-based]]=0,emissions[[#This Row],[Impact Type]]="CO2E"),emissions[[#This Row],[kgCO2e]],0)/1000</f>
        <v>0</v>
      </c>
      <c r="AP1668">
        <f>IF(AND(emissions[[#This Row],[Market-based]]=1,OR(emissions[[#This Row],[Impact Type]]="CO2E",emissions[[#This Row],[Impact Type]]="CO2E MKT")),emissions[[#This Row],[kgCO2e]],0)/1000</f>
        <v>1.8046005950000001</v>
      </c>
      <c r="AQ1668" t="str">
        <f>_xlfn.TEXTAFTER(emissions[[#This Row],[Reporting Unit]]," &gt; ",LEN(emissions[[#This Row],[Reporting Unit]])-LEN(SUBSTITUTE(emissions[[#This Row],[Reporting Unit]],"&gt;","")))</f>
        <v>Vantage_Tucson</v>
      </c>
      <c r="AR1668" t="str">
        <f>_xlfn.XLOOKUP(emissions[[#This Row],[Reporting unit name]],hierarchy!$A:$A,hierarchy!$C:$C)</f>
        <v>Office</v>
      </c>
    </row>
    <row r="1669" spans="1:44" hidden="1" x14ac:dyDescent="0.25">
      <c r="A1669">
        <v>283989</v>
      </c>
      <c r="B1669" t="s">
        <v>277</v>
      </c>
      <c r="C1669" t="s">
        <v>501</v>
      </c>
      <c r="D1669" t="s">
        <v>548</v>
      </c>
      <c r="E1669" s="3">
        <v>44562</v>
      </c>
      <c r="F1669" s="3">
        <v>44926</v>
      </c>
      <c r="G1669" t="s">
        <v>121</v>
      </c>
      <c r="H1669" s="3">
        <v>44562</v>
      </c>
      <c r="I1669" s="3">
        <v>44926</v>
      </c>
      <c r="J1669" t="s">
        <v>150</v>
      </c>
      <c r="K1669">
        <v>314.3</v>
      </c>
      <c r="L1669" t="s">
        <v>148</v>
      </c>
      <c r="M1669" t="s">
        <v>110</v>
      </c>
      <c r="O1669" t="s">
        <v>964</v>
      </c>
      <c r="P1669" t="s">
        <v>550</v>
      </c>
      <c r="Q1669">
        <v>2022</v>
      </c>
      <c r="R1669" t="s">
        <v>594</v>
      </c>
      <c r="S1669" t="s">
        <v>150</v>
      </c>
      <c r="T1669" t="s">
        <v>553</v>
      </c>
      <c r="U1669" t="b">
        <v>0</v>
      </c>
      <c r="V1669" t="s">
        <v>789</v>
      </c>
      <c r="W1669" t="s">
        <v>587</v>
      </c>
      <c r="X1669" t="s">
        <v>556</v>
      </c>
      <c r="Y1669" t="s">
        <v>472</v>
      </c>
      <c r="Z1669" t="s">
        <v>485</v>
      </c>
      <c r="AA1669" t="s">
        <v>764</v>
      </c>
      <c r="AC1669">
        <v>1</v>
      </c>
      <c r="AD1669" t="s">
        <v>566</v>
      </c>
      <c r="AE1669">
        <v>4.6830699999999998</v>
      </c>
      <c r="AF1669">
        <v>1.49E-2</v>
      </c>
      <c r="AG1669" t="s">
        <v>786</v>
      </c>
      <c r="AH1669">
        <v>1</v>
      </c>
      <c r="AI1669">
        <v>314.3</v>
      </c>
      <c r="AJ1669" t="s">
        <v>561</v>
      </c>
      <c r="AK1669" t="s">
        <v>766</v>
      </c>
      <c r="AL1669" t="s">
        <v>787</v>
      </c>
      <c r="AM1669">
        <v>2022</v>
      </c>
      <c r="AN1669">
        <v>2021</v>
      </c>
      <c r="AO1669">
        <f>IF(AND(emissions[[#This Row],[Market-based]]=0,emissions[[#This Row],[Impact Type]]="CO2E"),emissions[[#This Row],[kgCO2e]],0)/1000</f>
        <v>0</v>
      </c>
      <c r="AP1669">
        <f>IF(AND(emissions[[#This Row],[Market-based]]=1,OR(emissions[[#This Row],[Impact Type]]="CO2E",emissions[[#This Row],[Impact Type]]="CO2E MKT")),emissions[[#This Row],[kgCO2e]],0)/1000</f>
        <v>0</v>
      </c>
      <c r="AQ1669" t="str">
        <f>_xlfn.TEXTAFTER(emissions[[#This Row],[Reporting Unit]]," &gt; ",LEN(emissions[[#This Row],[Reporting Unit]])-LEN(SUBSTITUTE(emissions[[#This Row],[Reporting Unit]],"&gt;","")))</f>
        <v>Vantage_Tucson</v>
      </c>
      <c r="AR1669" t="str">
        <f>_xlfn.XLOOKUP(emissions[[#This Row],[Reporting unit name]],hierarchy!$A:$A,hierarchy!$C:$C)</f>
        <v>Office</v>
      </c>
    </row>
    <row r="1670" spans="1:44" hidden="1" x14ac:dyDescent="0.25">
      <c r="A1670">
        <v>283989</v>
      </c>
      <c r="B1670" t="s">
        <v>277</v>
      </c>
      <c r="C1670" t="s">
        <v>501</v>
      </c>
      <c r="D1670" t="s">
        <v>548</v>
      </c>
      <c r="E1670" s="3">
        <v>44562</v>
      </c>
      <c r="F1670" s="3">
        <v>44926</v>
      </c>
      <c r="G1670" t="s">
        <v>121</v>
      </c>
      <c r="H1670" s="3">
        <v>44562</v>
      </c>
      <c r="I1670" s="3">
        <v>44926</v>
      </c>
      <c r="J1670" t="s">
        <v>150</v>
      </c>
      <c r="K1670">
        <v>314.3</v>
      </c>
      <c r="L1670" t="s">
        <v>148</v>
      </c>
      <c r="M1670" t="s">
        <v>110</v>
      </c>
      <c r="O1670" t="s">
        <v>964</v>
      </c>
      <c r="P1670" t="s">
        <v>550</v>
      </c>
      <c r="Q1670">
        <v>2022</v>
      </c>
      <c r="R1670" t="s">
        <v>596</v>
      </c>
      <c r="S1670" t="s">
        <v>597</v>
      </c>
      <c r="T1670" t="s">
        <v>577</v>
      </c>
      <c r="U1670" t="b">
        <v>0</v>
      </c>
      <c r="V1670" t="s">
        <v>598</v>
      </c>
      <c r="W1670" t="s">
        <v>571</v>
      </c>
      <c r="X1670" t="s">
        <v>572</v>
      </c>
      <c r="AC1670">
        <v>0</v>
      </c>
      <c r="AD1670" t="s">
        <v>565</v>
      </c>
      <c r="AE1670">
        <v>214.7030723</v>
      </c>
      <c r="AF1670">
        <v>0.18046000000000001</v>
      </c>
      <c r="AG1670" t="s">
        <v>588</v>
      </c>
      <c r="AH1670">
        <v>3.7854100000000002</v>
      </c>
      <c r="AI1670">
        <v>1189.754363</v>
      </c>
      <c r="AJ1670" t="s">
        <v>561</v>
      </c>
      <c r="AK1670" t="s">
        <v>589</v>
      </c>
      <c r="AL1670" t="s">
        <v>590</v>
      </c>
      <c r="AM1670">
        <v>2022</v>
      </c>
      <c r="AN1670">
        <v>2020</v>
      </c>
      <c r="AO1670">
        <f>IF(AND(emissions[[#This Row],[Market-based]]=0,emissions[[#This Row],[Impact Type]]="CO2E"),emissions[[#This Row],[kgCO2e]],0)/1000</f>
        <v>0.21470307229999999</v>
      </c>
      <c r="AP1670">
        <f>IF(AND(emissions[[#This Row],[Market-based]]=1,OR(emissions[[#This Row],[Impact Type]]="CO2E",emissions[[#This Row],[Impact Type]]="CO2E MKT")),emissions[[#This Row],[kgCO2e]],0)/1000</f>
        <v>0</v>
      </c>
      <c r="AQ1670" t="str">
        <f>_xlfn.TEXTAFTER(emissions[[#This Row],[Reporting Unit]]," &gt; ",LEN(emissions[[#This Row],[Reporting Unit]])-LEN(SUBSTITUTE(emissions[[#This Row],[Reporting Unit]],"&gt;","")))</f>
        <v>Vantage_Tucson</v>
      </c>
      <c r="AR1670" t="str">
        <f>_xlfn.XLOOKUP(emissions[[#This Row],[Reporting unit name]],hierarchy!$A:$A,hierarchy!$C:$C)</f>
        <v>Office</v>
      </c>
    </row>
    <row r="1671" spans="1:44" hidden="1" x14ac:dyDescent="0.25">
      <c r="A1671">
        <v>283989</v>
      </c>
      <c r="B1671" t="s">
        <v>277</v>
      </c>
      <c r="C1671" t="s">
        <v>501</v>
      </c>
      <c r="D1671" t="s">
        <v>548</v>
      </c>
      <c r="E1671" s="3">
        <v>44562</v>
      </c>
      <c r="F1671" s="3">
        <v>44926</v>
      </c>
      <c r="G1671" t="s">
        <v>121</v>
      </c>
      <c r="H1671" s="3">
        <v>44562</v>
      </c>
      <c r="I1671" s="3">
        <v>44926</v>
      </c>
      <c r="J1671" t="s">
        <v>150</v>
      </c>
      <c r="K1671">
        <v>314.3</v>
      </c>
      <c r="L1671" t="s">
        <v>148</v>
      </c>
      <c r="M1671" t="s">
        <v>110</v>
      </c>
      <c r="O1671" t="s">
        <v>964</v>
      </c>
      <c r="P1671" t="s">
        <v>550</v>
      </c>
      <c r="Q1671">
        <v>2022</v>
      </c>
      <c r="R1671" t="s">
        <v>596</v>
      </c>
      <c r="S1671" t="s">
        <v>597</v>
      </c>
      <c r="T1671" t="s">
        <v>577</v>
      </c>
      <c r="U1671" t="b">
        <v>0</v>
      </c>
      <c r="V1671" t="s">
        <v>598</v>
      </c>
      <c r="W1671" t="s">
        <v>571</v>
      </c>
      <c r="X1671" t="s">
        <v>572</v>
      </c>
      <c r="AC1671">
        <v>1</v>
      </c>
      <c r="AD1671" t="s">
        <v>565</v>
      </c>
      <c r="AE1671">
        <v>214.7030723</v>
      </c>
      <c r="AF1671">
        <v>0.18046000000000001</v>
      </c>
      <c r="AG1671" t="s">
        <v>588</v>
      </c>
      <c r="AH1671">
        <v>3.7854100000000002</v>
      </c>
      <c r="AI1671">
        <v>1189.754363</v>
      </c>
      <c r="AJ1671" t="s">
        <v>561</v>
      </c>
      <c r="AK1671" t="s">
        <v>589</v>
      </c>
      <c r="AL1671" t="s">
        <v>590</v>
      </c>
      <c r="AM1671">
        <v>2022</v>
      </c>
      <c r="AN1671">
        <v>2020</v>
      </c>
      <c r="AO1671">
        <f>IF(AND(emissions[[#This Row],[Market-based]]=0,emissions[[#This Row],[Impact Type]]="CO2E"),emissions[[#This Row],[kgCO2e]],0)/1000</f>
        <v>0</v>
      </c>
      <c r="AP1671">
        <f>IF(AND(emissions[[#This Row],[Market-based]]=1,OR(emissions[[#This Row],[Impact Type]]="CO2E",emissions[[#This Row],[Impact Type]]="CO2E MKT")),emissions[[#This Row],[kgCO2e]],0)/1000</f>
        <v>0.21470307229999999</v>
      </c>
      <c r="AQ1671" t="str">
        <f>_xlfn.TEXTAFTER(emissions[[#This Row],[Reporting Unit]]," &gt; ",LEN(emissions[[#This Row],[Reporting Unit]])-LEN(SUBSTITUTE(emissions[[#This Row],[Reporting Unit]],"&gt;","")))</f>
        <v>Vantage_Tucson</v>
      </c>
      <c r="AR1671" t="str">
        <f>_xlfn.XLOOKUP(emissions[[#This Row],[Reporting unit name]],hierarchy!$A:$A,hierarchy!$C:$C)</f>
        <v>Office</v>
      </c>
    </row>
    <row r="1672" spans="1:44" hidden="1" x14ac:dyDescent="0.25">
      <c r="A1672">
        <v>4965</v>
      </c>
      <c r="B1672" t="s">
        <v>277</v>
      </c>
      <c r="C1672" t="s">
        <v>501</v>
      </c>
      <c r="D1672" t="s">
        <v>599</v>
      </c>
      <c r="E1672" s="3">
        <v>44197</v>
      </c>
      <c r="F1672" s="3">
        <v>44561</v>
      </c>
      <c r="G1672" t="s">
        <v>108</v>
      </c>
      <c r="H1672" s="3">
        <v>44197</v>
      </c>
      <c r="I1672" s="3">
        <v>44561</v>
      </c>
      <c r="J1672" t="s">
        <v>108</v>
      </c>
      <c r="K1672">
        <v>186947.86</v>
      </c>
      <c r="L1672" t="s">
        <v>109</v>
      </c>
      <c r="M1672" t="s">
        <v>110</v>
      </c>
      <c r="O1672" t="s">
        <v>600</v>
      </c>
      <c r="P1672" t="s">
        <v>550</v>
      </c>
      <c r="Q1672">
        <v>2021</v>
      </c>
      <c r="R1672" t="s">
        <v>551</v>
      </c>
      <c r="S1672" t="s">
        <v>552</v>
      </c>
      <c r="T1672" t="s">
        <v>553</v>
      </c>
      <c r="U1672" t="b">
        <v>0</v>
      </c>
      <c r="V1672" t="s">
        <v>831</v>
      </c>
      <c r="W1672" t="s">
        <v>555</v>
      </c>
      <c r="X1672" t="s">
        <v>556</v>
      </c>
      <c r="Y1672" t="s">
        <v>472</v>
      </c>
      <c r="Z1672" t="s">
        <v>485</v>
      </c>
      <c r="AA1672" t="s">
        <v>764</v>
      </c>
      <c r="AB1672" t="s">
        <v>832</v>
      </c>
      <c r="AC1672">
        <v>0</v>
      </c>
      <c r="AD1672" t="s">
        <v>558</v>
      </c>
      <c r="AE1672">
        <v>144.15680889999999</v>
      </c>
      <c r="AF1672">
        <v>7.7110700000000004E-4</v>
      </c>
      <c r="AG1672" t="s">
        <v>560</v>
      </c>
      <c r="AH1672">
        <v>1</v>
      </c>
      <c r="AI1672">
        <v>186947.86</v>
      </c>
      <c r="AJ1672" t="s">
        <v>561</v>
      </c>
      <c r="AK1672" t="s">
        <v>766</v>
      </c>
      <c r="AL1672" t="s">
        <v>790</v>
      </c>
      <c r="AM1672">
        <v>2021</v>
      </c>
      <c r="AN1672">
        <v>2019</v>
      </c>
      <c r="AO1672">
        <f>IF(AND(emissions[[#This Row],[Market-based]]=0,emissions[[#This Row],[Impact Type]]="CO2E"),emissions[[#This Row],[kgCO2e]],0)/1000</f>
        <v>0</v>
      </c>
      <c r="AP1672">
        <f>IF(AND(emissions[[#This Row],[Market-based]]=1,OR(emissions[[#This Row],[Impact Type]]="CO2E",emissions[[#This Row],[Impact Type]]="CO2E MKT")),emissions[[#This Row],[kgCO2e]],0)/1000</f>
        <v>0</v>
      </c>
      <c r="AQ1672" t="str">
        <f>_xlfn.TEXTAFTER(emissions[[#This Row],[Reporting Unit]]," &gt; ",LEN(emissions[[#This Row],[Reporting Unit]])-LEN(SUBSTITUTE(emissions[[#This Row],[Reporting Unit]],"&gt;","")))</f>
        <v>Vantage_Tucson</v>
      </c>
      <c r="AR1672" t="str">
        <f>_xlfn.XLOOKUP(emissions[[#This Row],[Reporting unit name]],hierarchy!$A:$A,hierarchy!$C:$C)</f>
        <v>Office</v>
      </c>
    </row>
    <row r="1673" spans="1:44" hidden="1" x14ac:dyDescent="0.25">
      <c r="A1673">
        <v>4965</v>
      </c>
      <c r="B1673" t="s">
        <v>277</v>
      </c>
      <c r="C1673" t="s">
        <v>501</v>
      </c>
      <c r="D1673" t="s">
        <v>599</v>
      </c>
      <c r="E1673" s="3">
        <v>44197</v>
      </c>
      <c r="F1673" s="3">
        <v>44561</v>
      </c>
      <c r="G1673" t="s">
        <v>108</v>
      </c>
      <c r="H1673" s="3">
        <v>44197</v>
      </c>
      <c r="I1673" s="3">
        <v>44561</v>
      </c>
      <c r="J1673" t="s">
        <v>108</v>
      </c>
      <c r="K1673">
        <v>186947.86</v>
      </c>
      <c r="L1673" t="s">
        <v>109</v>
      </c>
      <c r="M1673" t="s">
        <v>110</v>
      </c>
      <c r="O1673" t="s">
        <v>600</v>
      </c>
      <c r="P1673" t="s">
        <v>550</v>
      </c>
      <c r="Q1673">
        <v>2021</v>
      </c>
      <c r="R1673" t="s">
        <v>551</v>
      </c>
      <c r="S1673" t="s">
        <v>552</v>
      </c>
      <c r="T1673" t="s">
        <v>553</v>
      </c>
      <c r="U1673" t="b">
        <v>0</v>
      </c>
      <c r="V1673" t="s">
        <v>831</v>
      </c>
      <c r="W1673" t="s">
        <v>555</v>
      </c>
      <c r="X1673" t="s">
        <v>556</v>
      </c>
      <c r="Y1673" t="s">
        <v>472</v>
      </c>
      <c r="Z1673" t="s">
        <v>485</v>
      </c>
      <c r="AA1673" t="s">
        <v>764</v>
      </c>
      <c r="AB1673" t="s">
        <v>832</v>
      </c>
      <c r="AC1673">
        <v>0</v>
      </c>
      <c r="AD1673" t="s">
        <v>564</v>
      </c>
      <c r="AE1673">
        <v>80755.033179999999</v>
      </c>
      <c r="AF1673">
        <v>0.43196553900000001</v>
      </c>
      <c r="AG1673" t="s">
        <v>560</v>
      </c>
      <c r="AH1673">
        <v>1</v>
      </c>
      <c r="AI1673">
        <v>186947.86</v>
      </c>
      <c r="AJ1673" t="s">
        <v>561</v>
      </c>
      <c r="AK1673" t="s">
        <v>766</v>
      </c>
      <c r="AL1673" t="s">
        <v>790</v>
      </c>
      <c r="AM1673">
        <v>2021</v>
      </c>
      <c r="AN1673">
        <v>2019</v>
      </c>
      <c r="AO1673">
        <f>IF(AND(emissions[[#This Row],[Market-based]]=0,emissions[[#This Row],[Impact Type]]="CO2E"),emissions[[#This Row],[kgCO2e]],0)/1000</f>
        <v>0</v>
      </c>
      <c r="AP1673">
        <f>IF(AND(emissions[[#This Row],[Market-based]]=1,OR(emissions[[#This Row],[Impact Type]]="CO2E",emissions[[#This Row],[Impact Type]]="CO2E MKT")),emissions[[#This Row],[kgCO2e]],0)/1000</f>
        <v>0</v>
      </c>
      <c r="AQ1673" t="str">
        <f>_xlfn.TEXTAFTER(emissions[[#This Row],[Reporting Unit]]," &gt; ",LEN(emissions[[#This Row],[Reporting Unit]])-LEN(SUBSTITUTE(emissions[[#This Row],[Reporting Unit]],"&gt;","")))</f>
        <v>Vantage_Tucson</v>
      </c>
      <c r="AR1673" t="str">
        <f>_xlfn.XLOOKUP(emissions[[#This Row],[Reporting unit name]],hierarchy!$A:$A,hierarchy!$C:$C)</f>
        <v>Office</v>
      </c>
    </row>
    <row r="1674" spans="1:44" hidden="1" x14ac:dyDescent="0.25">
      <c r="A1674">
        <v>4965</v>
      </c>
      <c r="B1674" t="s">
        <v>277</v>
      </c>
      <c r="C1674" t="s">
        <v>501</v>
      </c>
      <c r="D1674" t="s">
        <v>599</v>
      </c>
      <c r="E1674" s="3">
        <v>44197</v>
      </c>
      <c r="F1674" s="3">
        <v>44561</v>
      </c>
      <c r="G1674" t="s">
        <v>108</v>
      </c>
      <c r="H1674" s="3">
        <v>44197</v>
      </c>
      <c r="I1674" s="3">
        <v>44561</v>
      </c>
      <c r="J1674" t="s">
        <v>108</v>
      </c>
      <c r="K1674">
        <v>186947.86</v>
      </c>
      <c r="L1674" t="s">
        <v>109</v>
      </c>
      <c r="M1674" t="s">
        <v>110</v>
      </c>
      <c r="O1674" t="s">
        <v>600</v>
      </c>
      <c r="P1674" t="s">
        <v>550</v>
      </c>
      <c r="Q1674">
        <v>2021</v>
      </c>
      <c r="R1674" t="s">
        <v>551</v>
      </c>
      <c r="S1674" t="s">
        <v>552</v>
      </c>
      <c r="T1674" t="s">
        <v>553</v>
      </c>
      <c r="U1674" t="b">
        <v>0</v>
      </c>
      <c r="V1674" t="s">
        <v>831</v>
      </c>
      <c r="W1674" t="s">
        <v>555</v>
      </c>
      <c r="X1674" t="s">
        <v>556</v>
      </c>
      <c r="Y1674" t="s">
        <v>472</v>
      </c>
      <c r="Z1674" t="s">
        <v>485</v>
      </c>
      <c r="AA1674" t="s">
        <v>764</v>
      </c>
      <c r="AB1674" t="s">
        <v>832</v>
      </c>
      <c r="AC1674">
        <v>0</v>
      </c>
      <c r="AD1674" t="s">
        <v>565</v>
      </c>
      <c r="AE1674">
        <v>81151.888399999996</v>
      </c>
      <c r="AF1674">
        <v>0.43408835200000001</v>
      </c>
      <c r="AG1674" t="s">
        <v>560</v>
      </c>
      <c r="AH1674">
        <v>1</v>
      </c>
      <c r="AI1674">
        <v>186947.86</v>
      </c>
      <c r="AJ1674" t="s">
        <v>561</v>
      </c>
      <c r="AK1674" t="s">
        <v>766</v>
      </c>
      <c r="AL1674" t="s">
        <v>790</v>
      </c>
      <c r="AM1674">
        <v>2021</v>
      </c>
      <c r="AN1674">
        <v>2019</v>
      </c>
      <c r="AO1674">
        <f>IF(AND(emissions[[#This Row],[Market-based]]=0,emissions[[#This Row],[Impact Type]]="CO2E"),emissions[[#This Row],[kgCO2e]],0)/1000</f>
        <v>81.15188839999999</v>
      </c>
      <c r="AP1674">
        <f>IF(AND(emissions[[#This Row],[Market-based]]=1,OR(emissions[[#This Row],[Impact Type]]="CO2E",emissions[[#This Row],[Impact Type]]="CO2E MKT")),emissions[[#This Row],[kgCO2e]],0)/1000</f>
        <v>0</v>
      </c>
      <c r="AQ1674" t="str">
        <f>_xlfn.TEXTAFTER(emissions[[#This Row],[Reporting Unit]]," &gt; ",LEN(emissions[[#This Row],[Reporting Unit]])-LEN(SUBSTITUTE(emissions[[#This Row],[Reporting Unit]],"&gt;","")))</f>
        <v>Vantage_Tucson</v>
      </c>
      <c r="AR1674" t="str">
        <f>_xlfn.XLOOKUP(emissions[[#This Row],[Reporting unit name]],hierarchy!$A:$A,hierarchy!$C:$C)</f>
        <v>Office</v>
      </c>
    </row>
    <row r="1675" spans="1:44" hidden="1" x14ac:dyDescent="0.25">
      <c r="A1675">
        <v>4965</v>
      </c>
      <c r="B1675" t="s">
        <v>277</v>
      </c>
      <c r="C1675" t="s">
        <v>501</v>
      </c>
      <c r="D1675" t="s">
        <v>599</v>
      </c>
      <c r="E1675" s="3">
        <v>44197</v>
      </c>
      <c r="F1675" s="3">
        <v>44561</v>
      </c>
      <c r="G1675" t="s">
        <v>108</v>
      </c>
      <c r="H1675" s="3">
        <v>44197</v>
      </c>
      <c r="I1675" s="3">
        <v>44561</v>
      </c>
      <c r="J1675" t="s">
        <v>108</v>
      </c>
      <c r="K1675">
        <v>186947.86</v>
      </c>
      <c r="L1675" t="s">
        <v>109</v>
      </c>
      <c r="M1675" t="s">
        <v>110</v>
      </c>
      <c r="O1675" t="s">
        <v>600</v>
      </c>
      <c r="P1675" t="s">
        <v>550</v>
      </c>
      <c r="Q1675">
        <v>2021</v>
      </c>
      <c r="R1675" t="s">
        <v>551</v>
      </c>
      <c r="S1675" t="s">
        <v>552</v>
      </c>
      <c r="T1675" t="s">
        <v>553</v>
      </c>
      <c r="U1675" t="b">
        <v>0</v>
      </c>
      <c r="V1675" t="s">
        <v>831</v>
      </c>
      <c r="W1675" t="s">
        <v>555</v>
      </c>
      <c r="X1675" t="s">
        <v>556</v>
      </c>
      <c r="Y1675" t="s">
        <v>472</v>
      </c>
      <c r="Z1675" t="s">
        <v>485</v>
      </c>
      <c r="AA1675" t="s">
        <v>764</v>
      </c>
      <c r="AB1675" t="s">
        <v>832</v>
      </c>
      <c r="AC1675">
        <v>0</v>
      </c>
      <c r="AD1675" t="s">
        <v>566</v>
      </c>
      <c r="AE1675">
        <v>252.69840619999999</v>
      </c>
      <c r="AF1675">
        <v>1.3517049999999999E-3</v>
      </c>
      <c r="AG1675" t="s">
        <v>560</v>
      </c>
      <c r="AH1675">
        <v>1</v>
      </c>
      <c r="AI1675">
        <v>186947.86</v>
      </c>
      <c r="AJ1675" t="s">
        <v>561</v>
      </c>
      <c r="AK1675" t="s">
        <v>766</v>
      </c>
      <c r="AL1675" t="s">
        <v>790</v>
      </c>
      <c r="AM1675">
        <v>2021</v>
      </c>
      <c r="AN1675">
        <v>2019</v>
      </c>
      <c r="AO1675">
        <f>IF(AND(emissions[[#This Row],[Market-based]]=0,emissions[[#This Row],[Impact Type]]="CO2E"),emissions[[#This Row],[kgCO2e]],0)/1000</f>
        <v>0</v>
      </c>
      <c r="AP1675">
        <f>IF(AND(emissions[[#This Row],[Market-based]]=1,OR(emissions[[#This Row],[Impact Type]]="CO2E",emissions[[#This Row],[Impact Type]]="CO2E MKT")),emissions[[#This Row],[kgCO2e]],0)/1000</f>
        <v>0</v>
      </c>
      <c r="AQ1675" t="str">
        <f>_xlfn.TEXTAFTER(emissions[[#This Row],[Reporting Unit]]," &gt; ",LEN(emissions[[#This Row],[Reporting Unit]])-LEN(SUBSTITUTE(emissions[[#This Row],[Reporting Unit]],"&gt;","")))</f>
        <v>Vantage_Tucson</v>
      </c>
      <c r="AR1675" t="str">
        <f>_xlfn.XLOOKUP(emissions[[#This Row],[Reporting unit name]],hierarchy!$A:$A,hierarchy!$C:$C)</f>
        <v>Office</v>
      </c>
    </row>
    <row r="1676" spans="1:44" hidden="1" x14ac:dyDescent="0.25">
      <c r="A1676">
        <v>4965</v>
      </c>
      <c r="B1676" t="s">
        <v>277</v>
      </c>
      <c r="C1676" t="s">
        <v>501</v>
      </c>
      <c r="D1676" t="s">
        <v>599</v>
      </c>
      <c r="E1676" s="3">
        <v>44197</v>
      </c>
      <c r="F1676" s="3">
        <v>44561</v>
      </c>
      <c r="G1676" t="s">
        <v>108</v>
      </c>
      <c r="H1676" s="3">
        <v>44197</v>
      </c>
      <c r="I1676" s="3">
        <v>44561</v>
      </c>
      <c r="J1676" t="s">
        <v>108</v>
      </c>
      <c r="K1676">
        <v>186947.86</v>
      </c>
      <c r="L1676" t="s">
        <v>109</v>
      </c>
      <c r="M1676" t="s">
        <v>110</v>
      </c>
      <c r="O1676" t="s">
        <v>600</v>
      </c>
      <c r="P1676" t="s">
        <v>550</v>
      </c>
      <c r="Q1676">
        <v>2021</v>
      </c>
      <c r="R1676" t="s">
        <v>551</v>
      </c>
      <c r="S1676" t="s">
        <v>552</v>
      </c>
      <c r="T1676" t="s">
        <v>553</v>
      </c>
      <c r="U1676" t="b">
        <v>0</v>
      </c>
      <c r="V1676" t="s">
        <v>831</v>
      </c>
      <c r="W1676" t="s">
        <v>555</v>
      </c>
      <c r="X1676" t="s">
        <v>556</v>
      </c>
      <c r="Y1676" t="s">
        <v>472</v>
      </c>
      <c r="Z1676" t="s">
        <v>485</v>
      </c>
      <c r="AA1676" t="s">
        <v>764</v>
      </c>
      <c r="AB1676" t="s">
        <v>832</v>
      </c>
      <c r="AC1676">
        <v>1</v>
      </c>
      <c r="AD1676" t="s">
        <v>639</v>
      </c>
      <c r="AE1676">
        <v>80972.879560000001</v>
      </c>
      <c r="AF1676">
        <v>0.43313081799999997</v>
      </c>
      <c r="AG1676" t="s">
        <v>560</v>
      </c>
      <c r="AH1676">
        <v>1</v>
      </c>
      <c r="AI1676">
        <v>186947.86</v>
      </c>
      <c r="AJ1676" t="s">
        <v>561</v>
      </c>
      <c r="AK1676" t="s">
        <v>833</v>
      </c>
      <c r="AL1676" t="s">
        <v>853</v>
      </c>
      <c r="AM1676">
        <v>2021</v>
      </c>
      <c r="AN1676">
        <v>2019</v>
      </c>
      <c r="AO1676">
        <f>IF(AND(emissions[[#This Row],[Market-based]]=0,emissions[[#This Row],[Impact Type]]="CO2E"),emissions[[#This Row],[kgCO2e]],0)/1000</f>
        <v>0</v>
      </c>
      <c r="AP1676">
        <f>IF(AND(emissions[[#This Row],[Market-based]]=1,OR(emissions[[#This Row],[Impact Type]]="CO2E",emissions[[#This Row],[Impact Type]]="CO2E MKT")),emissions[[#This Row],[kgCO2e]],0)/1000</f>
        <v>80.972879559999996</v>
      </c>
      <c r="AQ1676" t="str">
        <f>_xlfn.TEXTAFTER(emissions[[#This Row],[Reporting Unit]]," &gt; ",LEN(emissions[[#This Row],[Reporting Unit]])-LEN(SUBSTITUTE(emissions[[#This Row],[Reporting Unit]],"&gt;","")))</f>
        <v>Vantage_Tucson</v>
      </c>
      <c r="AR1676" t="str">
        <f>_xlfn.XLOOKUP(emissions[[#This Row],[Reporting unit name]],hierarchy!$A:$A,hierarchy!$C:$C)</f>
        <v>Office</v>
      </c>
    </row>
    <row r="1677" spans="1:44" hidden="1" x14ac:dyDescent="0.25">
      <c r="A1677">
        <v>4965</v>
      </c>
      <c r="B1677" t="s">
        <v>277</v>
      </c>
      <c r="C1677" t="s">
        <v>501</v>
      </c>
      <c r="D1677" t="s">
        <v>599</v>
      </c>
      <c r="E1677" s="3">
        <v>44197</v>
      </c>
      <c r="F1677" s="3">
        <v>44561</v>
      </c>
      <c r="G1677" t="s">
        <v>108</v>
      </c>
      <c r="H1677" s="3">
        <v>44197</v>
      </c>
      <c r="I1677" s="3">
        <v>44561</v>
      </c>
      <c r="J1677" t="s">
        <v>108</v>
      </c>
      <c r="K1677">
        <v>186947.86</v>
      </c>
      <c r="L1677" t="s">
        <v>109</v>
      </c>
      <c r="M1677" t="s">
        <v>110</v>
      </c>
      <c r="O1677" t="s">
        <v>600</v>
      </c>
      <c r="P1677" t="s">
        <v>550</v>
      </c>
      <c r="Q1677">
        <v>2021</v>
      </c>
      <c r="R1677" t="s">
        <v>567</v>
      </c>
      <c r="S1677" t="s">
        <v>568</v>
      </c>
      <c r="T1677" t="s">
        <v>569</v>
      </c>
      <c r="U1677" t="b">
        <v>0</v>
      </c>
      <c r="V1677" t="s">
        <v>836</v>
      </c>
      <c r="W1677" t="s">
        <v>571</v>
      </c>
      <c r="X1677" t="s">
        <v>572</v>
      </c>
      <c r="Y1677" t="s">
        <v>472</v>
      </c>
      <c r="Z1677" t="s">
        <v>485</v>
      </c>
      <c r="AA1677" t="s">
        <v>764</v>
      </c>
      <c r="AB1677" t="s">
        <v>832</v>
      </c>
      <c r="AC1677">
        <v>0</v>
      </c>
      <c r="AD1677" t="s">
        <v>558</v>
      </c>
      <c r="AE1677">
        <v>1.942183349</v>
      </c>
      <c r="AF1677" s="13">
        <v>1.03889E-5</v>
      </c>
      <c r="AG1677" t="s">
        <v>560</v>
      </c>
      <c r="AH1677">
        <v>1</v>
      </c>
      <c r="AI1677">
        <v>186947.86</v>
      </c>
      <c r="AJ1677" t="s">
        <v>561</v>
      </c>
      <c r="AK1677" t="s">
        <v>573</v>
      </c>
      <c r="AL1677" t="s">
        <v>854</v>
      </c>
      <c r="AM1677">
        <v>2021</v>
      </c>
      <c r="AN1677">
        <v>2019</v>
      </c>
      <c r="AO1677">
        <f>IF(AND(emissions[[#This Row],[Market-based]]=0,emissions[[#This Row],[Impact Type]]="CO2E"),emissions[[#This Row],[kgCO2e]],0)/1000</f>
        <v>0</v>
      </c>
      <c r="AP1677">
        <f>IF(AND(emissions[[#This Row],[Market-based]]=1,OR(emissions[[#This Row],[Impact Type]]="CO2E",emissions[[#This Row],[Impact Type]]="CO2E MKT")),emissions[[#This Row],[kgCO2e]],0)/1000</f>
        <v>0</v>
      </c>
      <c r="AQ1677" t="str">
        <f>_xlfn.TEXTAFTER(emissions[[#This Row],[Reporting Unit]]," &gt; ",LEN(emissions[[#This Row],[Reporting Unit]])-LEN(SUBSTITUTE(emissions[[#This Row],[Reporting Unit]],"&gt;","")))</f>
        <v>Vantage_Tucson</v>
      </c>
      <c r="AR1677" t="str">
        <f>_xlfn.XLOOKUP(emissions[[#This Row],[Reporting unit name]],hierarchy!$A:$A,hierarchy!$C:$C)</f>
        <v>Office</v>
      </c>
    </row>
    <row r="1678" spans="1:44" hidden="1" x14ac:dyDescent="0.25">
      <c r="A1678">
        <v>4965</v>
      </c>
      <c r="B1678" t="s">
        <v>277</v>
      </c>
      <c r="C1678" t="s">
        <v>501</v>
      </c>
      <c r="D1678" t="s">
        <v>599</v>
      </c>
      <c r="E1678" s="3">
        <v>44197</v>
      </c>
      <c r="F1678" s="3">
        <v>44561</v>
      </c>
      <c r="G1678" t="s">
        <v>108</v>
      </c>
      <c r="H1678" s="3">
        <v>44197</v>
      </c>
      <c r="I1678" s="3">
        <v>44561</v>
      </c>
      <c r="J1678" t="s">
        <v>108</v>
      </c>
      <c r="K1678">
        <v>186947.86</v>
      </c>
      <c r="L1678" t="s">
        <v>109</v>
      </c>
      <c r="M1678" t="s">
        <v>110</v>
      </c>
      <c r="O1678" t="s">
        <v>600</v>
      </c>
      <c r="P1678" t="s">
        <v>550</v>
      </c>
      <c r="Q1678">
        <v>2021</v>
      </c>
      <c r="R1678" t="s">
        <v>567</v>
      </c>
      <c r="S1678" t="s">
        <v>568</v>
      </c>
      <c r="T1678" t="s">
        <v>569</v>
      </c>
      <c r="U1678" t="b">
        <v>0</v>
      </c>
      <c r="V1678" t="s">
        <v>836</v>
      </c>
      <c r="W1678" t="s">
        <v>571</v>
      </c>
      <c r="X1678" t="s">
        <v>572</v>
      </c>
      <c r="Y1678" t="s">
        <v>472</v>
      </c>
      <c r="Z1678" t="s">
        <v>485</v>
      </c>
      <c r="AA1678" t="s">
        <v>764</v>
      </c>
      <c r="AB1678" t="s">
        <v>832</v>
      </c>
      <c r="AC1678">
        <v>0</v>
      </c>
      <c r="AD1678" t="s">
        <v>564</v>
      </c>
      <c r="AE1678">
        <v>1087.989405</v>
      </c>
      <c r="AF1678">
        <v>5.8197479999999996E-3</v>
      </c>
      <c r="AG1678" t="s">
        <v>560</v>
      </c>
      <c r="AH1678">
        <v>1</v>
      </c>
      <c r="AI1678">
        <v>186947.86</v>
      </c>
      <c r="AJ1678" t="s">
        <v>561</v>
      </c>
      <c r="AK1678" t="s">
        <v>573</v>
      </c>
      <c r="AL1678" t="s">
        <v>854</v>
      </c>
      <c r="AM1678">
        <v>2021</v>
      </c>
      <c r="AN1678">
        <v>2019</v>
      </c>
      <c r="AO1678">
        <f>IF(AND(emissions[[#This Row],[Market-based]]=0,emissions[[#This Row],[Impact Type]]="CO2E"),emissions[[#This Row],[kgCO2e]],0)/1000</f>
        <v>0</v>
      </c>
      <c r="AP1678">
        <f>IF(AND(emissions[[#This Row],[Market-based]]=1,OR(emissions[[#This Row],[Impact Type]]="CO2E",emissions[[#This Row],[Impact Type]]="CO2E MKT")),emissions[[#This Row],[kgCO2e]],0)/1000</f>
        <v>0</v>
      </c>
      <c r="AQ1678" t="str">
        <f>_xlfn.TEXTAFTER(emissions[[#This Row],[Reporting Unit]]," &gt; ",LEN(emissions[[#This Row],[Reporting Unit]])-LEN(SUBSTITUTE(emissions[[#This Row],[Reporting Unit]],"&gt;","")))</f>
        <v>Vantage_Tucson</v>
      </c>
      <c r="AR1678" t="str">
        <f>_xlfn.XLOOKUP(emissions[[#This Row],[Reporting unit name]],hierarchy!$A:$A,hierarchy!$C:$C)</f>
        <v>Office</v>
      </c>
    </row>
    <row r="1679" spans="1:44" hidden="1" x14ac:dyDescent="0.25">
      <c r="A1679">
        <v>4965</v>
      </c>
      <c r="B1679" t="s">
        <v>277</v>
      </c>
      <c r="C1679" t="s">
        <v>501</v>
      </c>
      <c r="D1679" t="s">
        <v>599</v>
      </c>
      <c r="E1679" s="3">
        <v>44197</v>
      </c>
      <c r="F1679" s="3">
        <v>44561</v>
      </c>
      <c r="G1679" t="s">
        <v>108</v>
      </c>
      <c r="H1679" s="3">
        <v>44197</v>
      </c>
      <c r="I1679" s="3">
        <v>44561</v>
      </c>
      <c r="J1679" t="s">
        <v>108</v>
      </c>
      <c r="K1679">
        <v>186947.86</v>
      </c>
      <c r="L1679" t="s">
        <v>109</v>
      </c>
      <c r="M1679" t="s">
        <v>110</v>
      </c>
      <c r="O1679" t="s">
        <v>600</v>
      </c>
      <c r="P1679" t="s">
        <v>550</v>
      </c>
      <c r="Q1679">
        <v>2021</v>
      </c>
      <c r="R1679" t="s">
        <v>567</v>
      </c>
      <c r="S1679" t="s">
        <v>568</v>
      </c>
      <c r="T1679" t="s">
        <v>569</v>
      </c>
      <c r="U1679" t="b">
        <v>0</v>
      </c>
      <c r="V1679" t="s">
        <v>836</v>
      </c>
      <c r="W1679" t="s">
        <v>571</v>
      </c>
      <c r="X1679" t="s">
        <v>572</v>
      </c>
      <c r="Y1679" t="s">
        <v>472</v>
      </c>
      <c r="Z1679" t="s">
        <v>485</v>
      </c>
      <c r="AA1679" t="s">
        <v>764</v>
      </c>
      <c r="AB1679" t="s">
        <v>832</v>
      </c>
      <c r="AC1679">
        <v>0</v>
      </c>
      <c r="AD1679" t="s">
        <v>565</v>
      </c>
      <c r="AE1679">
        <v>1093.3361219999999</v>
      </c>
      <c r="AF1679">
        <v>5.8483479999999997E-3</v>
      </c>
      <c r="AG1679" t="s">
        <v>560</v>
      </c>
      <c r="AH1679">
        <v>1</v>
      </c>
      <c r="AI1679">
        <v>186947.86</v>
      </c>
      <c r="AJ1679" t="s">
        <v>561</v>
      </c>
      <c r="AK1679" t="s">
        <v>573</v>
      </c>
      <c r="AL1679" t="s">
        <v>854</v>
      </c>
      <c r="AM1679">
        <v>2021</v>
      </c>
      <c r="AN1679">
        <v>2019</v>
      </c>
      <c r="AO1679">
        <f>IF(AND(emissions[[#This Row],[Market-based]]=0,emissions[[#This Row],[Impact Type]]="CO2E"),emissions[[#This Row],[kgCO2e]],0)/1000</f>
        <v>1.093336122</v>
      </c>
      <c r="AP1679">
        <f>IF(AND(emissions[[#This Row],[Market-based]]=1,OR(emissions[[#This Row],[Impact Type]]="CO2E",emissions[[#This Row],[Impact Type]]="CO2E MKT")),emissions[[#This Row],[kgCO2e]],0)/1000</f>
        <v>0</v>
      </c>
      <c r="AQ1679" t="str">
        <f>_xlfn.TEXTAFTER(emissions[[#This Row],[Reporting Unit]]," &gt; ",LEN(emissions[[#This Row],[Reporting Unit]])-LEN(SUBSTITUTE(emissions[[#This Row],[Reporting Unit]],"&gt;","")))</f>
        <v>Vantage_Tucson</v>
      </c>
      <c r="AR1679" t="str">
        <f>_xlfn.XLOOKUP(emissions[[#This Row],[Reporting unit name]],hierarchy!$A:$A,hierarchy!$C:$C)</f>
        <v>Office</v>
      </c>
    </row>
    <row r="1680" spans="1:44" hidden="1" x14ac:dyDescent="0.25">
      <c r="A1680">
        <v>4965</v>
      </c>
      <c r="B1680" t="s">
        <v>277</v>
      </c>
      <c r="C1680" t="s">
        <v>501</v>
      </c>
      <c r="D1680" t="s">
        <v>599</v>
      </c>
      <c r="E1680" s="3">
        <v>44197</v>
      </c>
      <c r="F1680" s="3">
        <v>44561</v>
      </c>
      <c r="G1680" t="s">
        <v>108</v>
      </c>
      <c r="H1680" s="3">
        <v>44197</v>
      </c>
      <c r="I1680" s="3">
        <v>44561</v>
      </c>
      <c r="J1680" t="s">
        <v>108</v>
      </c>
      <c r="K1680">
        <v>186947.86</v>
      </c>
      <c r="L1680" t="s">
        <v>109</v>
      </c>
      <c r="M1680" t="s">
        <v>110</v>
      </c>
      <c r="O1680" t="s">
        <v>600</v>
      </c>
      <c r="P1680" t="s">
        <v>550</v>
      </c>
      <c r="Q1680">
        <v>2021</v>
      </c>
      <c r="R1680" t="s">
        <v>567</v>
      </c>
      <c r="S1680" t="s">
        <v>568</v>
      </c>
      <c r="T1680" t="s">
        <v>569</v>
      </c>
      <c r="U1680" t="b">
        <v>0</v>
      </c>
      <c r="V1680" t="s">
        <v>836</v>
      </c>
      <c r="W1680" t="s">
        <v>571</v>
      </c>
      <c r="X1680" t="s">
        <v>572</v>
      </c>
      <c r="Y1680" t="s">
        <v>472</v>
      </c>
      <c r="Z1680" t="s">
        <v>485</v>
      </c>
      <c r="AA1680" t="s">
        <v>764</v>
      </c>
      <c r="AB1680" t="s">
        <v>832</v>
      </c>
      <c r="AC1680">
        <v>0</v>
      </c>
      <c r="AD1680" t="s">
        <v>566</v>
      </c>
      <c r="AE1680">
        <v>3.4045331650000001</v>
      </c>
      <c r="AF1680" s="13">
        <v>1.8211099999999999E-5</v>
      </c>
      <c r="AG1680" t="s">
        <v>560</v>
      </c>
      <c r="AH1680">
        <v>1</v>
      </c>
      <c r="AI1680">
        <v>186947.86</v>
      </c>
      <c r="AJ1680" t="s">
        <v>561</v>
      </c>
      <c r="AK1680" t="s">
        <v>573</v>
      </c>
      <c r="AL1680" t="s">
        <v>854</v>
      </c>
      <c r="AM1680">
        <v>2021</v>
      </c>
      <c r="AN1680">
        <v>2019</v>
      </c>
      <c r="AO1680">
        <f>IF(AND(emissions[[#This Row],[Market-based]]=0,emissions[[#This Row],[Impact Type]]="CO2E"),emissions[[#This Row],[kgCO2e]],0)/1000</f>
        <v>0</v>
      </c>
      <c r="AP1680">
        <f>IF(AND(emissions[[#This Row],[Market-based]]=1,OR(emissions[[#This Row],[Impact Type]]="CO2E",emissions[[#This Row],[Impact Type]]="CO2E MKT")),emissions[[#This Row],[kgCO2e]],0)/1000</f>
        <v>0</v>
      </c>
      <c r="AQ1680" t="str">
        <f>_xlfn.TEXTAFTER(emissions[[#This Row],[Reporting Unit]]," &gt; ",LEN(emissions[[#This Row],[Reporting Unit]])-LEN(SUBSTITUTE(emissions[[#This Row],[Reporting Unit]],"&gt;","")))</f>
        <v>Vantage_Tucson</v>
      </c>
      <c r="AR1680" t="str">
        <f>_xlfn.XLOOKUP(emissions[[#This Row],[Reporting unit name]],hierarchy!$A:$A,hierarchy!$C:$C)</f>
        <v>Office</v>
      </c>
    </row>
    <row r="1681" spans="1:44" hidden="1" x14ac:dyDescent="0.25">
      <c r="A1681">
        <v>4965</v>
      </c>
      <c r="B1681" t="s">
        <v>277</v>
      </c>
      <c r="C1681" t="s">
        <v>501</v>
      </c>
      <c r="D1681" t="s">
        <v>599</v>
      </c>
      <c r="E1681" s="3">
        <v>44197</v>
      </c>
      <c r="F1681" s="3">
        <v>44561</v>
      </c>
      <c r="G1681" t="s">
        <v>108</v>
      </c>
      <c r="H1681" s="3">
        <v>44197</v>
      </c>
      <c r="I1681" s="3">
        <v>44561</v>
      </c>
      <c r="J1681" t="s">
        <v>108</v>
      </c>
      <c r="K1681">
        <v>186947.86</v>
      </c>
      <c r="L1681" t="s">
        <v>109</v>
      </c>
      <c r="M1681" t="s">
        <v>110</v>
      </c>
      <c r="O1681" t="s">
        <v>600</v>
      </c>
      <c r="P1681" t="s">
        <v>550</v>
      </c>
      <c r="Q1681">
        <v>2021</v>
      </c>
      <c r="R1681" t="s">
        <v>567</v>
      </c>
      <c r="S1681" t="s">
        <v>568</v>
      </c>
      <c r="T1681" t="s">
        <v>569</v>
      </c>
      <c r="U1681" t="b">
        <v>0</v>
      </c>
      <c r="V1681" t="s">
        <v>836</v>
      </c>
      <c r="W1681" t="s">
        <v>571</v>
      </c>
      <c r="X1681" t="s">
        <v>572</v>
      </c>
      <c r="Y1681" t="s">
        <v>472</v>
      </c>
      <c r="Z1681" t="s">
        <v>485</v>
      </c>
      <c r="AA1681" t="s">
        <v>764</v>
      </c>
      <c r="AB1681" t="s">
        <v>832</v>
      </c>
      <c r="AC1681">
        <v>1</v>
      </c>
      <c r="AD1681" t="s">
        <v>639</v>
      </c>
      <c r="AE1681">
        <v>1090.924387</v>
      </c>
      <c r="AF1681">
        <v>5.8354469999999997E-3</v>
      </c>
      <c r="AG1681" t="s">
        <v>560</v>
      </c>
      <c r="AH1681">
        <v>1</v>
      </c>
      <c r="AI1681">
        <v>186947.86</v>
      </c>
      <c r="AJ1681" t="s">
        <v>561</v>
      </c>
      <c r="AK1681" t="s">
        <v>573</v>
      </c>
      <c r="AL1681" t="s">
        <v>772</v>
      </c>
      <c r="AM1681">
        <v>2021</v>
      </c>
      <c r="AN1681">
        <v>2019</v>
      </c>
      <c r="AO1681">
        <f>IF(AND(emissions[[#This Row],[Market-based]]=0,emissions[[#This Row],[Impact Type]]="CO2E"),emissions[[#This Row],[kgCO2e]],0)/1000</f>
        <v>0</v>
      </c>
      <c r="AP1681">
        <f>IF(AND(emissions[[#This Row],[Market-based]]=1,OR(emissions[[#This Row],[Impact Type]]="CO2E",emissions[[#This Row],[Impact Type]]="CO2E MKT")),emissions[[#This Row],[kgCO2e]],0)/1000</f>
        <v>1.0909243870000001</v>
      </c>
      <c r="AQ1681" t="str">
        <f>_xlfn.TEXTAFTER(emissions[[#This Row],[Reporting Unit]]," &gt; ",LEN(emissions[[#This Row],[Reporting Unit]])-LEN(SUBSTITUTE(emissions[[#This Row],[Reporting Unit]],"&gt;","")))</f>
        <v>Vantage_Tucson</v>
      </c>
      <c r="AR1681" t="str">
        <f>_xlfn.XLOOKUP(emissions[[#This Row],[Reporting unit name]],hierarchy!$A:$A,hierarchy!$C:$C)</f>
        <v>Office</v>
      </c>
    </row>
    <row r="1682" spans="1:44" hidden="1" x14ac:dyDescent="0.25">
      <c r="A1682">
        <v>4965</v>
      </c>
      <c r="B1682" t="s">
        <v>277</v>
      </c>
      <c r="C1682" t="s">
        <v>501</v>
      </c>
      <c r="D1682" t="s">
        <v>599</v>
      </c>
      <c r="E1682" s="3">
        <v>44197</v>
      </c>
      <c r="F1682" s="3">
        <v>44561</v>
      </c>
      <c r="G1682" t="s">
        <v>108</v>
      </c>
      <c r="H1682" s="3">
        <v>44197</v>
      </c>
      <c r="I1682" s="3">
        <v>44561</v>
      </c>
      <c r="J1682" t="s">
        <v>108</v>
      </c>
      <c r="K1682">
        <v>186947.86</v>
      </c>
      <c r="L1682" t="s">
        <v>109</v>
      </c>
      <c r="M1682" t="s">
        <v>110</v>
      </c>
      <c r="O1682" t="s">
        <v>600</v>
      </c>
      <c r="P1682" t="s">
        <v>550</v>
      </c>
      <c r="Q1682">
        <v>2021</v>
      </c>
      <c r="R1682" t="s">
        <v>575</v>
      </c>
      <c r="S1682" t="s">
        <v>576</v>
      </c>
      <c r="T1682" t="s">
        <v>577</v>
      </c>
      <c r="U1682" t="b">
        <v>0</v>
      </c>
      <c r="V1682" t="s">
        <v>838</v>
      </c>
      <c r="W1682" t="s">
        <v>571</v>
      </c>
      <c r="X1682" t="s">
        <v>572</v>
      </c>
      <c r="Y1682" t="s">
        <v>472</v>
      </c>
      <c r="Z1682" t="s">
        <v>485</v>
      </c>
      <c r="AA1682" t="s">
        <v>764</v>
      </c>
      <c r="AB1682" t="s">
        <v>832</v>
      </c>
      <c r="AC1682">
        <v>0</v>
      </c>
      <c r="AD1682" t="s">
        <v>558</v>
      </c>
      <c r="AE1682">
        <v>38.082026460000002</v>
      </c>
      <c r="AF1682">
        <v>2.03704E-4</v>
      </c>
      <c r="AG1682" t="s">
        <v>560</v>
      </c>
      <c r="AH1682">
        <v>1</v>
      </c>
      <c r="AI1682">
        <v>186947.86</v>
      </c>
      <c r="AJ1682" t="s">
        <v>561</v>
      </c>
      <c r="AK1682" t="s">
        <v>573</v>
      </c>
      <c r="AL1682" t="s">
        <v>855</v>
      </c>
      <c r="AM1682">
        <v>2021</v>
      </c>
      <c r="AN1682">
        <v>2019</v>
      </c>
      <c r="AO1682">
        <f>IF(AND(emissions[[#This Row],[Market-based]]=0,emissions[[#This Row],[Impact Type]]="CO2E"),emissions[[#This Row],[kgCO2e]],0)/1000</f>
        <v>0</v>
      </c>
      <c r="AP1682">
        <f>IF(AND(emissions[[#This Row],[Market-based]]=1,OR(emissions[[#This Row],[Impact Type]]="CO2E",emissions[[#This Row],[Impact Type]]="CO2E MKT")),emissions[[#This Row],[kgCO2e]],0)/1000</f>
        <v>0</v>
      </c>
      <c r="AQ1682" t="str">
        <f>_xlfn.TEXTAFTER(emissions[[#This Row],[Reporting Unit]]," &gt; ",LEN(emissions[[#This Row],[Reporting Unit]])-LEN(SUBSTITUTE(emissions[[#This Row],[Reporting Unit]],"&gt;","")))</f>
        <v>Vantage_Tucson</v>
      </c>
      <c r="AR1682" t="str">
        <f>_xlfn.XLOOKUP(emissions[[#This Row],[Reporting unit name]],hierarchy!$A:$A,hierarchy!$C:$C)</f>
        <v>Office</v>
      </c>
    </row>
    <row r="1683" spans="1:44" hidden="1" x14ac:dyDescent="0.25">
      <c r="A1683">
        <v>4965</v>
      </c>
      <c r="B1683" t="s">
        <v>277</v>
      </c>
      <c r="C1683" t="s">
        <v>501</v>
      </c>
      <c r="D1683" t="s">
        <v>599</v>
      </c>
      <c r="E1683" s="3">
        <v>44197</v>
      </c>
      <c r="F1683" s="3">
        <v>44561</v>
      </c>
      <c r="G1683" t="s">
        <v>108</v>
      </c>
      <c r="H1683" s="3">
        <v>44197</v>
      </c>
      <c r="I1683" s="3">
        <v>44561</v>
      </c>
      <c r="J1683" t="s">
        <v>108</v>
      </c>
      <c r="K1683">
        <v>186947.86</v>
      </c>
      <c r="L1683" t="s">
        <v>109</v>
      </c>
      <c r="M1683" t="s">
        <v>110</v>
      </c>
      <c r="O1683" t="s">
        <v>600</v>
      </c>
      <c r="P1683" t="s">
        <v>550</v>
      </c>
      <c r="Q1683">
        <v>2021</v>
      </c>
      <c r="R1683" t="s">
        <v>575</v>
      </c>
      <c r="S1683" t="s">
        <v>576</v>
      </c>
      <c r="T1683" t="s">
        <v>577</v>
      </c>
      <c r="U1683" t="b">
        <v>0</v>
      </c>
      <c r="V1683" t="s">
        <v>838</v>
      </c>
      <c r="W1683" t="s">
        <v>571</v>
      </c>
      <c r="X1683" t="s">
        <v>572</v>
      </c>
      <c r="Y1683" t="s">
        <v>472</v>
      </c>
      <c r="Z1683" t="s">
        <v>485</v>
      </c>
      <c r="AA1683" t="s">
        <v>764</v>
      </c>
      <c r="AB1683" t="s">
        <v>832</v>
      </c>
      <c r="AC1683">
        <v>0</v>
      </c>
      <c r="AD1683" t="s">
        <v>564</v>
      </c>
      <c r="AE1683">
        <v>21333.125599999999</v>
      </c>
      <c r="AF1683">
        <v>0.114112703</v>
      </c>
      <c r="AG1683" t="s">
        <v>560</v>
      </c>
      <c r="AH1683">
        <v>1</v>
      </c>
      <c r="AI1683">
        <v>186947.86</v>
      </c>
      <c r="AJ1683" t="s">
        <v>561</v>
      </c>
      <c r="AK1683" t="s">
        <v>573</v>
      </c>
      <c r="AL1683" t="s">
        <v>855</v>
      </c>
      <c r="AM1683">
        <v>2021</v>
      </c>
      <c r="AN1683">
        <v>2019</v>
      </c>
      <c r="AO1683">
        <f>IF(AND(emissions[[#This Row],[Market-based]]=0,emissions[[#This Row],[Impact Type]]="CO2E"),emissions[[#This Row],[kgCO2e]],0)/1000</f>
        <v>0</v>
      </c>
      <c r="AP1683">
        <f>IF(AND(emissions[[#This Row],[Market-based]]=1,OR(emissions[[#This Row],[Impact Type]]="CO2E",emissions[[#This Row],[Impact Type]]="CO2E MKT")),emissions[[#This Row],[kgCO2e]],0)/1000</f>
        <v>0</v>
      </c>
      <c r="AQ1683" t="str">
        <f>_xlfn.TEXTAFTER(emissions[[#This Row],[Reporting Unit]]," &gt; ",LEN(emissions[[#This Row],[Reporting Unit]])-LEN(SUBSTITUTE(emissions[[#This Row],[Reporting Unit]],"&gt;","")))</f>
        <v>Vantage_Tucson</v>
      </c>
      <c r="AR1683" t="str">
        <f>_xlfn.XLOOKUP(emissions[[#This Row],[Reporting unit name]],hierarchy!$A:$A,hierarchy!$C:$C)</f>
        <v>Office</v>
      </c>
    </row>
    <row r="1684" spans="1:44" hidden="1" x14ac:dyDescent="0.25">
      <c r="A1684">
        <v>4965</v>
      </c>
      <c r="B1684" t="s">
        <v>277</v>
      </c>
      <c r="C1684" t="s">
        <v>501</v>
      </c>
      <c r="D1684" t="s">
        <v>599</v>
      </c>
      <c r="E1684" s="3">
        <v>44197</v>
      </c>
      <c r="F1684" s="3">
        <v>44561</v>
      </c>
      <c r="G1684" t="s">
        <v>108</v>
      </c>
      <c r="H1684" s="3">
        <v>44197</v>
      </c>
      <c r="I1684" s="3">
        <v>44561</v>
      </c>
      <c r="J1684" t="s">
        <v>108</v>
      </c>
      <c r="K1684">
        <v>186947.86</v>
      </c>
      <c r="L1684" t="s">
        <v>109</v>
      </c>
      <c r="M1684" t="s">
        <v>110</v>
      </c>
      <c r="O1684" t="s">
        <v>600</v>
      </c>
      <c r="P1684" t="s">
        <v>550</v>
      </c>
      <c r="Q1684">
        <v>2021</v>
      </c>
      <c r="R1684" t="s">
        <v>575</v>
      </c>
      <c r="S1684" t="s">
        <v>576</v>
      </c>
      <c r="T1684" t="s">
        <v>577</v>
      </c>
      <c r="U1684" t="b">
        <v>0</v>
      </c>
      <c r="V1684" t="s">
        <v>838</v>
      </c>
      <c r="W1684" t="s">
        <v>571</v>
      </c>
      <c r="X1684" t="s">
        <v>572</v>
      </c>
      <c r="Y1684" t="s">
        <v>472</v>
      </c>
      <c r="Z1684" t="s">
        <v>485</v>
      </c>
      <c r="AA1684" t="s">
        <v>764</v>
      </c>
      <c r="AB1684" t="s">
        <v>832</v>
      </c>
      <c r="AC1684">
        <v>0</v>
      </c>
      <c r="AD1684" t="s">
        <v>565</v>
      </c>
      <c r="AE1684">
        <v>21437.963179999999</v>
      </c>
      <c r="AF1684">
        <v>0.114673488</v>
      </c>
      <c r="AG1684" t="s">
        <v>560</v>
      </c>
      <c r="AH1684">
        <v>1</v>
      </c>
      <c r="AI1684">
        <v>186947.86</v>
      </c>
      <c r="AJ1684" t="s">
        <v>561</v>
      </c>
      <c r="AK1684" t="s">
        <v>573</v>
      </c>
      <c r="AL1684" t="s">
        <v>855</v>
      </c>
      <c r="AM1684">
        <v>2021</v>
      </c>
      <c r="AN1684">
        <v>2019</v>
      </c>
      <c r="AO1684">
        <f>IF(AND(emissions[[#This Row],[Market-based]]=0,emissions[[#This Row],[Impact Type]]="CO2E"),emissions[[#This Row],[kgCO2e]],0)/1000</f>
        <v>21.437963180000001</v>
      </c>
      <c r="AP1684">
        <f>IF(AND(emissions[[#This Row],[Market-based]]=1,OR(emissions[[#This Row],[Impact Type]]="CO2E",emissions[[#This Row],[Impact Type]]="CO2E MKT")),emissions[[#This Row],[kgCO2e]],0)/1000</f>
        <v>0</v>
      </c>
      <c r="AQ1684" t="str">
        <f>_xlfn.TEXTAFTER(emissions[[#This Row],[Reporting Unit]]," &gt; ",LEN(emissions[[#This Row],[Reporting Unit]])-LEN(SUBSTITUTE(emissions[[#This Row],[Reporting Unit]],"&gt;","")))</f>
        <v>Vantage_Tucson</v>
      </c>
      <c r="AR1684" t="str">
        <f>_xlfn.XLOOKUP(emissions[[#This Row],[Reporting unit name]],hierarchy!$A:$A,hierarchy!$C:$C)</f>
        <v>Office</v>
      </c>
    </row>
    <row r="1685" spans="1:44" hidden="1" x14ac:dyDescent="0.25">
      <c r="A1685">
        <v>4965</v>
      </c>
      <c r="B1685" t="s">
        <v>277</v>
      </c>
      <c r="C1685" t="s">
        <v>501</v>
      </c>
      <c r="D1685" t="s">
        <v>599</v>
      </c>
      <c r="E1685" s="3">
        <v>44197</v>
      </c>
      <c r="F1685" s="3">
        <v>44561</v>
      </c>
      <c r="G1685" t="s">
        <v>108</v>
      </c>
      <c r="H1685" s="3">
        <v>44197</v>
      </c>
      <c r="I1685" s="3">
        <v>44561</v>
      </c>
      <c r="J1685" t="s">
        <v>108</v>
      </c>
      <c r="K1685">
        <v>186947.86</v>
      </c>
      <c r="L1685" t="s">
        <v>109</v>
      </c>
      <c r="M1685" t="s">
        <v>110</v>
      </c>
      <c r="O1685" t="s">
        <v>600</v>
      </c>
      <c r="P1685" t="s">
        <v>550</v>
      </c>
      <c r="Q1685">
        <v>2021</v>
      </c>
      <c r="R1685" t="s">
        <v>575</v>
      </c>
      <c r="S1685" t="s">
        <v>576</v>
      </c>
      <c r="T1685" t="s">
        <v>577</v>
      </c>
      <c r="U1685" t="b">
        <v>0</v>
      </c>
      <c r="V1685" t="s">
        <v>838</v>
      </c>
      <c r="W1685" t="s">
        <v>571</v>
      </c>
      <c r="X1685" t="s">
        <v>572</v>
      </c>
      <c r="Y1685" t="s">
        <v>472</v>
      </c>
      <c r="Z1685" t="s">
        <v>485</v>
      </c>
      <c r="AA1685" t="s">
        <v>764</v>
      </c>
      <c r="AB1685" t="s">
        <v>832</v>
      </c>
      <c r="AC1685">
        <v>0</v>
      </c>
      <c r="AD1685" t="s">
        <v>566</v>
      </c>
      <c r="AE1685">
        <v>66.755552260000002</v>
      </c>
      <c r="AF1685">
        <v>3.5708099999999998E-4</v>
      </c>
      <c r="AG1685" t="s">
        <v>560</v>
      </c>
      <c r="AH1685">
        <v>1</v>
      </c>
      <c r="AI1685">
        <v>186947.86</v>
      </c>
      <c r="AJ1685" t="s">
        <v>561</v>
      </c>
      <c r="AK1685" t="s">
        <v>573</v>
      </c>
      <c r="AL1685" t="s">
        <v>855</v>
      </c>
      <c r="AM1685">
        <v>2021</v>
      </c>
      <c r="AN1685">
        <v>2019</v>
      </c>
      <c r="AO1685">
        <f>IF(AND(emissions[[#This Row],[Market-based]]=0,emissions[[#This Row],[Impact Type]]="CO2E"),emissions[[#This Row],[kgCO2e]],0)/1000</f>
        <v>0</v>
      </c>
      <c r="AP1685">
        <f>IF(AND(emissions[[#This Row],[Market-based]]=1,OR(emissions[[#This Row],[Impact Type]]="CO2E",emissions[[#This Row],[Impact Type]]="CO2E MKT")),emissions[[#This Row],[kgCO2e]],0)/1000</f>
        <v>0</v>
      </c>
      <c r="AQ1685" t="str">
        <f>_xlfn.TEXTAFTER(emissions[[#This Row],[Reporting Unit]]," &gt; ",LEN(emissions[[#This Row],[Reporting Unit]])-LEN(SUBSTITUTE(emissions[[#This Row],[Reporting Unit]],"&gt;","")))</f>
        <v>Vantage_Tucson</v>
      </c>
      <c r="AR1685" t="str">
        <f>_xlfn.XLOOKUP(emissions[[#This Row],[Reporting unit name]],hierarchy!$A:$A,hierarchy!$C:$C)</f>
        <v>Office</v>
      </c>
    </row>
    <row r="1686" spans="1:44" hidden="1" x14ac:dyDescent="0.25">
      <c r="A1686">
        <v>4965</v>
      </c>
      <c r="B1686" t="s">
        <v>277</v>
      </c>
      <c r="C1686" t="s">
        <v>501</v>
      </c>
      <c r="D1686" t="s">
        <v>599</v>
      </c>
      <c r="E1686" s="3">
        <v>44197</v>
      </c>
      <c r="F1686" s="3">
        <v>44561</v>
      </c>
      <c r="G1686" t="s">
        <v>108</v>
      </c>
      <c r="H1686" s="3">
        <v>44197</v>
      </c>
      <c r="I1686" s="3">
        <v>44561</v>
      </c>
      <c r="J1686" t="s">
        <v>108</v>
      </c>
      <c r="K1686">
        <v>186947.86</v>
      </c>
      <c r="L1686" t="s">
        <v>109</v>
      </c>
      <c r="M1686" t="s">
        <v>110</v>
      </c>
      <c r="O1686" t="s">
        <v>600</v>
      </c>
      <c r="P1686" t="s">
        <v>550</v>
      </c>
      <c r="Q1686">
        <v>2021</v>
      </c>
      <c r="R1686" t="s">
        <v>575</v>
      </c>
      <c r="S1686" t="s">
        <v>576</v>
      </c>
      <c r="T1686" t="s">
        <v>577</v>
      </c>
      <c r="U1686" t="b">
        <v>0</v>
      </c>
      <c r="V1686" t="s">
        <v>838</v>
      </c>
      <c r="W1686" t="s">
        <v>571</v>
      </c>
      <c r="X1686" t="s">
        <v>572</v>
      </c>
      <c r="Y1686" t="s">
        <v>472</v>
      </c>
      <c r="Z1686" t="s">
        <v>485</v>
      </c>
      <c r="AA1686" t="s">
        <v>764</v>
      </c>
      <c r="AB1686" t="s">
        <v>832</v>
      </c>
      <c r="AC1686">
        <v>1</v>
      </c>
      <c r="AD1686" t="s">
        <v>639</v>
      </c>
      <c r="AE1686">
        <v>21390.67426</v>
      </c>
      <c r="AF1686">
        <v>0.114420536</v>
      </c>
      <c r="AG1686" t="s">
        <v>560</v>
      </c>
      <c r="AH1686">
        <v>1</v>
      </c>
      <c r="AI1686">
        <v>186947.86</v>
      </c>
      <c r="AJ1686" t="s">
        <v>561</v>
      </c>
      <c r="AK1686" t="s">
        <v>573</v>
      </c>
      <c r="AL1686" t="s">
        <v>839</v>
      </c>
      <c r="AM1686">
        <v>2021</v>
      </c>
      <c r="AN1686">
        <v>2019</v>
      </c>
      <c r="AO1686">
        <f>IF(AND(emissions[[#This Row],[Market-based]]=0,emissions[[#This Row],[Impact Type]]="CO2E"),emissions[[#This Row],[kgCO2e]],0)/1000</f>
        <v>0</v>
      </c>
      <c r="AP1686">
        <f>IF(AND(emissions[[#This Row],[Market-based]]=1,OR(emissions[[#This Row],[Impact Type]]="CO2E",emissions[[#This Row],[Impact Type]]="CO2E MKT")),emissions[[#This Row],[kgCO2e]],0)/1000</f>
        <v>21.390674260000001</v>
      </c>
      <c r="AQ1686" t="str">
        <f>_xlfn.TEXTAFTER(emissions[[#This Row],[Reporting Unit]]," &gt; ",LEN(emissions[[#This Row],[Reporting Unit]])-LEN(SUBSTITUTE(emissions[[#This Row],[Reporting Unit]],"&gt;","")))</f>
        <v>Vantage_Tucson</v>
      </c>
      <c r="AR1686" t="str">
        <f>_xlfn.XLOOKUP(emissions[[#This Row],[Reporting unit name]],hierarchy!$A:$A,hierarchy!$C:$C)</f>
        <v>Office</v>
      </c>
    </row>
    <row r="1687" spans="1:44" hidden="1" x14ac:dyDescent="0.25">
      <c r="A1687">
        <v>4965</v>
      </c>
      <c r="B1687" t="s">
        <v>277</v>
      </c>
      <c r="C1687" t="s">
        <v>501</v>
      </c>
      <c r="D1687" t="s">
        <v>599</v>
      </c>
      <c r="E1687" s="3">
        <v>44197</v>
      </c>
      <c r="F1687" s="3">
        <v>44561</v>
      </c>
      <c r="G1687" t="s">
        <v>108</v>
      </c>
      <c r="H1687" s="3">
        <v>44197</v>
      </c>
      <c r="I1687" s="3">
        <v>44561</v>
      </c>
      <c r="J1687" t="s">
        <v>108</v>
      </c>
      <c r="K1687">
        <v>186947.86</v>
      </c>
      <c r="L1687" t="s">
        <v>109</v>
      </c>
      <c r="M1687" t="s">
        <v>110</v>
      </c>
      <c r="O1687" t="s">
        <v>600</v>
      </c>
      <c r="P1687" t="s">
        <v>550</v>
      </c>
      <c r="Q1687">
        <v>2021</v>
      </c>
      <c r="R1687" t="s">
        <v>579</v>
      </c>
      <c r="S1687" t="s">
        <v>580</v>
      </c>
      <c r="T1687" t="s">
        <v>581</v>
      </c>
      <c r="U1687" t="b">
        <v>0</v>
      </c>
      <c r="V1687" t="s">
        <v>840</v>
      </c>
      <c r="W1687" t="s">
        <v>571</v>
      </c>
      <c r="X1687" t="s">
        <v>572</v>
      </c>
      <c r="Y1687" t="s">
        <v>472</v>
      </c>
      <c r="Z1687" t="s">
        <v>485</v>
      </c>
      <c r="AA1687" t="s">
        <v>764</v>
      </c>
      <c r="AB1687" t="s">
        <v>832</v>
      </c>
      <c r="AC1687">
        <v>0</v>
      </c>
      <c r="AD1687" t="s">
        <v>565</v>
      </c>
      <c r="AE1687">
        <v>4138.7463079999998</v>
      </c>
      <c r="AF1687">
        <v>2.2138505999999999E-2</v>
      </c>
      <c r="AG1687" t="s">
        <v>560</v>
      </c>
      <c r="AH1687">
        <v>1</v>
      </c>
      <c r="AI1687">
        <v>186947.86</v>
      </c>
      <c r="AJ1687" t="s">
        <v>561</v>
      </c>
      <c r="AK1687" t="s">
        <v>766</v>
      </c>
      <c r="AL1687" t="s">
        <v>790</v>
      </c>
      <c r="AM1687">
        <v>2021</v>
      </c>
      <c r="AN1687">
        <v>2019</v>
      </c>
      <c r="AO1687">
        <f>IF(AND(emissions[[#This Row],[Market-based]]=0,emissions[[#This Row],[Impact Type]]="CO2E"),emissions[[#This Row],[kgCO2e]],0)/1000</f>
        <v>4.138746308</v>
      </c>
      <c r="AP1687">
        <f>IF(AND(emissions[[#This Row],[Market-based]]=1,OR(emissions[[#This Row],[Impact Type]]="CO2E",emissions[[#This Row],[Impact Type]]="CO2E MKT")),emissions[[#This Row],[kgCO2e]],0)/1000</f>
        <v>0</v>
      </c>
      <c r="AQ1687" t="str">
        <f>_xlfn.TEXTAFTER(emissions[[#This Row],[Reporting Unit]]," &gt; ",LEN(emissions[[#This Row],[Reporting Unit]])-LEN(SUBSTITUTE(emissions[[#This Row],[Reporting Unit]],"&gt;","")))</f>
        <v>Vantage_Tucson</v>
      </c>
      <c r="AR1687" t="str">
        <f>_xlfn.XLOOKUP(emissions[[#This Row],[Reporting unit name]],hierarchy!$A:$A,hierarchy!$C:$C)</f>
        <v>Office</v>
      </c>
    </row>
    <row r="1688" spans="1:44" hidden="1" x14ac:dyDescent="0.25">
      <c r="A1688">
        <v>4965</v>
      </c>
      <c r="B1688" t="s">
        <v>277</v>
      </c>
      <c r="C1688" t="s">
        <v>501</v>
      </c>
      <c r="D1688" t="s">
        <v>599</v>
      </c>
      <c r="E1688" s="3">
        <v>44197</v>
      </c>
      <c r="F1688" s="3">
        <v>44561</v>
      </c>
      <c r="G1688" t="s">
        <v>108</v>
      </c>
      <c r="H1688" s="3">
        <v>44197</v>
      </c>
      <c r="I1688" s="3">
        <v>44561</v>
      </c>
      <c r="J1688" t="s">
        <v>108</v>
      </c>
      <c r="K1688">
        <v>186947.86</v>
      </c>
      <c r="L1688" t="s">
        <v>109</v>
      </c>
      <c r="M1688" t="s">
        <v>110</v>
      </c>
      <c r="O1688" t="s">
        <v>600</v>
      </c>
      <c r="P1688" t="s">
        <v>550</v>
      </c>
      <c r="Q1688">
        <v>2021</v>
      </c>
      <c r="R1688" t="s">
        <v>579</v>
      </c>
      <c r="S1688" t="s">
        <v>580</v>
      </c>
      <c r="T1688" t="s">
        <v>581</v>
      </c>
      <c r="U1688" t="b">
        <v>0</v>
      </c>
      <c r="V1688" t="s">
        <v>841</v>
      </c>
      <c r="W1688" t="s">
        <v>571</v>
      </c>
      <c r="X1688" t="s">
        <v>572</v>
      </c>
      <c r="Y1688" t="s">
        <v>472</v>
      </c>
      <c r="Z1688" t="s">
        <v>485</v>
      </c>
      <c r="AA1688" t="s">
        <v>764</v>
      </c>
      <c r="AB1688" t="s">
        <v>832</v>
      </c>
      <c r="AC1688">
        <v>1</v>
      </c>
      <c r="AD1688" t="s">
        <v>639</v>
      </c>
      <c r="AE1688">
        <v>4129.6168580000003</v>
      </c>
      <c r="AF1688">
        <v>2.2089672000000001E-2</v>
      </c>
      <c r="AG1688" t="s">
        <v>560</v>
      </c>
      <c r="AH1688">
        <v>1</v>
      </c>
      <c r="AI1688">
        <v>186947.86</v>
      </c>
      <c r="AJ1688" t="s">
        <v>561</v>
      </c>
      <c r="AK1688" t="s">
        <v>573</v>
      </c>
      <c r="AL1688" t="s">
        <v>842</v>
      </c>
      <c r="AM1688">
        <v>2021</v>
      </c>
      <c r="AN1688">
        <v>2019</v>
      </c>
      <c r="AO1688">
        <f>IF(AND(emissions[[#This Row],[Market-based]]=0,emissions[[#This Row],[Impact Type]]="CO2E"),emissions[[#This Row],[kgCO2e]],0)/1000</f>
        <v>0</v>
      </c>
      <c r="AP1688">
        <f>IF(AND(emissions[[#This Row],[Market-based]]=1,OR(emissions[[#This Row],[Impact Type]]="CO2E",emissions[[#This Row],[Impact Type]]="CO2E MKT")),emissions[[#This Row],[kgCO2e]],0)/1000</f>
        <v>4.1296168580000003</v>
      </c>
      <c r="AQ1688" t="str">
        <f>_xlfn.TEXTAFTER(emissions[[#This Row],[Reporting Unit]]," &gt; ",LEN(emissions[[#This Row],[Reporting Unit]])-LEN(SUBSTITUTE(emissions[[#This Row],[Reporting Unit]],"&gt;","")))</f>
        <v>Vantage_Tucson</v>
      </c>
      <c r="AR1688" t="str">
        <f>_xlfn.XLOOKUP(emissions[[#This Row],[Reporting unit name]],hierarchy!$A:$A,hierarchy!$C:$C)</f>
        <v>Office</v>
      </c>
    </row>
    <row r="1689" spans="1:44" hidden="1" x14ac:dyDescent="0.25">
      <c r="A1689">
        <v>4990</v>
      </c>
      <c r="B1689" t="s">
        <v>277</v>
      </c>
      <c r="C1689" t="s">
        <v>501</v>
      </c>
      <c r="D1689" t="s">
        <v>599</v>
      </c>
      <c r="E1689" s="3">
        <v>44197</v>
      </c>
      <c r="F1689" s="3">
        <v>44561</v>
      </c>
      <c r="G1689" t="s">
        <v>135</v>
      </c>
      <c r="H1689" s="3">
        <v>44197</v>
      </c>
      <c r="I1689" s="3">
        <v>44561</v>
      </c>
      <c r="J1689" t="s">
        <v>135</v>
      </c>
      <c r="K1689">
        <v>3355</v>
      </c>
      <c r="L1689" t="s">
        <v>136</v>
      </c>
      <c r="M1689" t="s">
        <v>110</v>
      </c>
      <c r="O1689" t="s">
        <v>600</v>
      </c>
      <c r="P1689" t="s">
        <v>550</v>
      </c>
      <c r="Q1689">
        <v>2021</v>
      </c>
      <c r="R1689" t="s">
        <v>605</v>
      </c>
      <c r="S1689" t="s">
        <v>606</v>
      </c>
      <c r="T1689" t="s">
        <v>553</v>
      </c>
      <c r="U1689" t="b">
        <v>0</v>
      </c>
      <c r="V1689" t="s">
        <v>781</v>
      </c>
      <c r="W1689" t="s">
        <v>587</v>
      </c>
      <c r="X1689" t="s">
        <v>556</v>
      </c>
      <c r="Y1689" t="s">
        <v>472</v>
      </c>
      <c r="Z1689" t="s">
        <v>485</v>
      </c>
      <c r="AA1689" t="s">
        <v>764</v>
      </c>
      <c r="AC1689">
        <v>0</v>
      </c>
      <c r="AD1689" t="s">
        <v>558</v>
      </c>
      <c r="AE1689">
        <v>8.3874999999999993</v>
      </c>
      <c r="AF1689">
        <v>2.5000000000000001E-2</v>
      </c>
      <c r="AG1689" t="s">
        <v>798</v>
      </c>
      <c r="AH1689">
        <v>0.1</v>
      </c>
      <c r="AI1689">
        <v>335.5</v>
      </c>
      <c r="AJ1689" t="s">
        <v>561</v>
      </c>
      <c r="AK1689" t="s">
        <v>766</v>
      </c>
      <c r="AL1689" t="s">
        <v>790</v>
      </c>
      <c r="AM1689">
        <v>2021</v>
      </c>
      <c r="AN1689">
        <v>2021</v>
      </c>
      <c r="AO1689">
        <f>IF(AND(emissions[[#This Row],[Market-based]]=0,emissions[[#This Row],[Impact Type]]="CO2E"),emissions[[#This Row],[kgCO2e]],0)/1000</f>
        <v>0</v>
      </c>
      <c r="AP1689">
        <f>IF(AND(emissions[[#This Row],[Market-based]]=1,OR(emissions[[#This Row],[Impact Type]]="CO2E",emissions[[#This Row],[Impact Type]]="CO2E MKT")),emissions[[#This Row],[kgCO2e]],0)/1000</f>
        <v>0</v>
      </c>
      <c r="AQ1689" t="str">
        <f>_xlfn.TEXTAFTER(emissions[[#This Row],[Reporting Unit]]," &gt; ",LEN(emissions[[#This Row],[Reporting Unit]])-LEN(SUBSTITUTE(emissions[[#This Row],[Reporting Unit]],"&gt;","")))</f>
        <v>Vantage_Tucson</v>
      </c>
      <c r="AR1689" t="str">
        <f>_xlfn.XLOOKUP(emissions[[#This Row],[Reporting unit name]],hierarchy!$A:$A,hierarchy!$C:$C)</f>
        <v>Office</v>
      </c>
    </row>
    <row r="1690" spans="1:44" hidden="1" x14ac:dyDescent="0.25">
      <c r="A1690">
        <v>4990</v>
      </c>
      <c r="B1690" t="s">
        <v>277</v>
      </c>
      <c r="C1690" t="s">
        <v>501</v>
      </c>
      <c r="D1690" t="s">
        <v>599</v>
      </c>
      <c r="E1690" s="3">
        <v>44197</v>
      </c>
      <c r="F1690" s="3">
        <v>44561</v>
      </c>
      <c r="G1690" t="s">
        <v>135</v>
      </c>
      <c r="H1690" s="3">
        <v>44197</v>
      </c>
      <c r="I1690" s="3">
        <v>44561</v>
      </c>
      <c r="J1690" t="s">
        <v>135</v>
      </c>
      <c r="K1690">
        <v>3355</v>
      </c>
      <c r="L1690" t="s">
        <v>136</v>
      </c>
      <c r="M1690" t="s">
        <v>110</v>
      </c>
      <c r="O1690" t="s">
        <v>600</v>
      </c>
      <c r="P1690" t="s">
        <v>550</v>
      </c>
      <c r="Q1690">
        <v>2021</v>
      </c>
      <c r="R1690" t="s">
        <v>605</v>
      </c>
      <c r="S1690" t="s">
        <v>606</v>
      </c>
      <c r="T1690" t="s">
        <v>553</v>
      </c>
      <c r="U1690" t="b">
        <v>0</v>
      </c>
      <c r="V1690" t="s">
        <v>781</v>
      </c>
      <c r="W1690" t="s">
        <v>587</v>
      </c>
      <c r="X1690" t="s">
        <v>556</v>
      </c>
      <c r="Y1690" t="s">
        <v>472</v>
      </c>
      <c r="Z1690" t="s">
        <v>485</v>
      </c>
      <c r="AA1690" t="s">
        <v>764</v>
      </c>
      <c r="AC1690">
        <v>0</v>
      </c>
      <c r="AD1690" t="s">
        <v>564</v>
      </c>
      <c r="AE1690">
        <v>17801.63</v>
      </c>
      <c r="AF1690">
        <v>53.06</v>
      </c>
      <c r="AG1690" t="s">
        <v>798</v>
      </c>
      <c r="AH1690">
        <v>0.1</v>
      </c>
      <c r="AI1690">
        <v>335.5</v>
      </c>
      <c r="AJ1690" t="s">
        <v>561</v>
      </c>
      <c r="AK1690" t="s">
        <v>766</v>
      </c>
      <c r="AL1690" t="s">
        <v>787</v>
      </c>
      <c r="AM1690">
        <v>2021</v>
      </c>
      <c r="AN1690">
        <v>2020</v>
      </c>
      <c r="AO1690">
        <f>IF(AND(emissions[[#This Row],[Market-based]]=0,emissions[[#This Row],[Impact Type]]="CO2E"),emissions[[#This Row],[kgCO2e]],0)/1000</f>
        <v>0</v>
      </c>
      <c r="AP1690">
        <f>IF(AND(emissions[[#This Row],[Market-based]]=1,OR(emissions[[#This Row],[Impact Type]]="CO2E",emissions[[#This Row],[Impact Type]]="CO2E MKT")),emissions[[#This Row],[kgCO2e]],0)/1000</f>
        <v>0</v>
      </c>
      <c r="AQ1690" t="str">
        <f>_xlfn.TEXTAFTER(emissions[[#This Row],[Reporting Unit]]," &gt; ",LEN(emissions[[#This Row],[Reporting Unit]])-LEN(SUBSTITUTE(emissions[[#This Row],[Reporting Unit]],"&gt;","")))</f>
        <v>Vantage_Tucson</v>
      </c>
      <c r="AR1690" t="str">
        <f>_xlfn.XLOOKUP(emissions[[#This Row],[Reporting unit name]],hierarchy!$A:$A,hierarchy!$C:$C)</f>
        <v>Office</v>
      </c>
    </row>
    <row r="1691" spans="1:44" hidden="1" x14ac:dyDescent="0.25">
      <c r="A1691">
        <v>4990</v>
      </c>
      <c r="B1691" t="s">
        <v>277</v>
      </c>
      <c r="C1691" t="s">
        <v>501</v>
      </c>
      <c r="D1691" t="s">
        <v>599</v>
      </c>
      <c r="E1691" s="3">
        <v>44197</v>
      </c>
      <c r="F1691" s="3">
        <v>44561</v>
      </c>
      <c r="G1691" t="s">
        <v>135</v>
      </c>
      <c r="H1691" s="3">
        <v>44197</v>
      </c>
      <c r="I1691" s="3">
        <v>44561</v>
      </c>
      <c r="J1691" t="s">
        <v>135</v>
      </c>
      <c r="K1691">
        <v>3355</v>
      </c>
      <c r="L1691" t="s">
        <v>136</v>
      </c>
      <c r="M1691" t="s">
        <v>110</v>
      </c>
      <c r="O1691" t="s">
        <v>600</v>
      </c>
      <c r="P1691" t="s">
        <v>550</v>
      </c>
      <c r="Q1691">
        <v>2021</v>
      </c>
      <c r="R1691" t="s">
        <v>605</v>
      </c>
      <c r="S1691" t="s">
        <v>606</v>
      </c>
      <c r="T1691" t="s">
        <v>553</v>
      </c>
      <c r="U1691" t="b">
        <v>0</v>
      </c>
      <c r="V1691" t="s">
        <v>781</v>
      </c>
      <c r="W1691" t="s">
        <v>587</v>
      </c>
      <c r="X1691" t="s">
        <v>556</v>
      </c>
      <c r="Y1691" t="s">
        <v>472</v>
      </c>
      <c r="Z1691" t="s">
        <v>485</v>
      </c>
      <c r="AA1691" t="s">
        <v>764</v>
      </c>
      <c r="AC1691">
        <v>0</v>
      </c>
      <c r="AD1691" t="s">
        <v>565</v>
      </c>
      <c r="AE1691">
        <v>17820.0154</v>
      </c>
      <c r="AF1691">
        <v>53.114800000000002</v>
      </c>
      <c r="AG1691" t="s">
        <v>798</v>
      </c>
      <c r="AH1691">
        <v>0.1</v>
      </c>
      <c r="AI1691">
        <v>335.5</v>
      </c>
      <c r="AJ1691" t="s">
        <v>561</v>
      </c>
      <c r="AK1691" t="s">
        <v>766</v>
      </c>
      <c r="AL1691" t="s">
        <v>790</v>
      </c>
      <c r="AM1691">
        <v>2021</v>
      </c>
      <c r="AN1691">
        <v>2021</v>
      </c>
      <c r="AO1691">
        <f>IF(AND(emissions[[#This Row],[Market-based]]=0,emissions[[#This Row],[Impact Type]]="CO2E"),emissions[[#This Row],[kgCO2e]],0)/1000</f>
        <v>17.820015399999999</v>
      </c>
      <c r="AP1691">
        <f>IF(AND(emissions[[#This Row],[Market-based]]=1,OR(emissions[[#This Row],[Impact Type]]="CO2E",emissions[[#This Row],[Impact Type]]="CO2E MKT")),emissions[[#This Row],[kgCO2e]],0)/1000</f>
        <v>0</v>
      </c>
      <c r="AQ1691" t="str">
        <f>_xlfn.TEXTAFTER(emissions[[#This Row],[Reporting Unit]]," &gt; ",LEN(emissions[[#This Row],[Reporting Unit]])-LEN(SUBSTITUTE(emissions[[#This Row],[Reporting Unit]],"&gt;","")))</f>
        <v>Vantage_Tucson</v>
      </c>
      <c r="AR1691" t="str">
        <f>_xlfn.XLOOKUP(emissions[[#This Row],[Reporting unit name]],hierarchy!$A:$A,hierarchy!$C:$C)</f>
        <v>Office</v>
      </c>
    </row>
    <row r="1692" spans="1:44" hidden="1" x14ac:dyDescent="0.25">
      <c r="A1692">
        <v>4990</v>
      </c>
      <c r="B1692" t="s">
        <v>277</v>
      </c>
      <c r="C1692" t="s">
        <v>501</v>
      </c>
      <c r="D1692" t="s">
        <v>599</v>
      </c>
      <c r="E1692" s="3">
        <v>44197</v>
      </c>
      <c r="F1692" s="3">
        <v>44561</v>
      </c>
      <c r="G1692" t="s">
        <v>135</v>
      </c>
      <c r="H1692" s="3">
        <v>44197</v>
      </c>
      <c r="I1692" s="3">
        <v>44561</v>
      </c>
      <c r="J1692" t="s">
        <v>135</v>
      </c>
      <c r="K1692">
        <v>3355</v>
      </c>
      <c r="L1692" t="s">
        <v>136</v>
      </c>
      <c r="M1692" t="s">
        <v>110</v>
      </c>
      <c r="O1692" t="s">
        <v>600</v>
      </c>
      <c r="P1692" t="s">
        <v>550</v>
      </c>
      <c r="Q1692">
        <v>2021</v>
      </c>
      <c r="R1692" t="s">
        <v>605</v>
      </c>
      <c r="S1692" t="s">
        <v>606</v>
      </c>
      <c r="T1692" t="s">
        <v>553</v>
      </c>
      <c r="U1692" t="b">
        <v>0</v>
      </c>
      <c r="V1692" t="s">
        <v>781</v>
      </c>
      <c r="W1692" t="s">
        <v>587</v>
      </c>
      <c r="X1692" t="s">
        <v>556</v>
      </c>
      <c r="Y1692" t="s">
        <v>472</v>
      </c>
      <c r="Z1692" t="s">
        <v>485</v>
      </c>
      <c r="AA1692" t="s">
        <v>764</v>
      </c>
      <c r="AC1692">
        <v>0</v>
      </c>
      <c r="AD1692" t="s">
        <v>566</v>
      </c>
      <c r="AE1692">
        <v>9.9978999999999996</v>
      </c>
      <c r="AF1692">
        <v>2.98E-2</v>
      </c>
      <c r="AG1692" t="s">
        <v>798</v>
      </c>
      <c r="AH1692">
        <v>0.1</v>
      </c>
      <c r="AI1692">
        <v>335.5</v>
      </c>
      <c r="AJ1692" t="s">
        <v>561</v>
      </c>
      <c r="AK1692" t="s">
        <v>766</v>
      </c>
      <c r="AL1692" t="s">
        <v>790</v>
      </c>
      <c r="AM1692">
        <v>2021</v>
      </c>
      <c r="AN1692">
        <v>2021</v>
      </c>
      <c r="AO1692">
        <f>IF(AND(emissions[[#This Row],[Market-based]]=0,emissions[[#This Row],[Impact Type]]="CO2E"),emissions[[#This Row],[kgCO2e]],0)/1000</f>
        <v>0</v>
      </c>
      <c r="AP1692">
        <f>IF(AND(emissions[[#This Row],[Market-based]]=1,OR(emissions[[#This Row],[Impact Type]]="CO2E",emissions[[#This Row],[Impact Type]]="CO2E MKT")),emissions[[#This Row],[kgCO2e]],0)/1000</f>
        <v>0</v>
      </c>
      <c r="AQ1692" t="str">
        <f>_xlfn.TEXTAFTER(emissions[[#This Row],[Reporting Unit]]," &gt; ",LEN(emissions[[#This Row],[Reporting Unit]])-LEN(SUBSTITUTE(emissions[[#This Row],[Reporting Unit]],"&gt;","")))</f>
        <v>Vantage_Tucson</v>
      </c>
      <c r="AR1692" t="str">
        <f>_xlfn.XLOOKUP(emissions[[#This Row],[Reporting unit name]],hierarchy!$A:$A,hierarchy!$C:$C)</f>
        <v>Office</v>
      </c>
    </row>
    <row r="1693" spans="1:44" hidden="1" x14ac:dyDescent="0.25">
      <c r="A1693">
        <v>4990</v>
      </c>
      <c r="B1693" t="s">
        <v>277</v>
      </c>
      <c r="C1693" t="s">
        <v>501</v>
      </c>
      <c r="D1693" t="s">
        <v>599</v>
      </c>
      <c r="E1693" s="3">
        <v>44197</v>
      </c>
      <c r="F1693" s="3">
        <v>44561</v>
      </c>
      <c r="G1693" t="s">
        <v>135</v>
      </c>
      <c r="H1693" s="3">
        <v>44197</v>
      </c>
      <c r="I1693" s="3">
        <v>44561</v>
      </c>
      <c r="J1693" t="s">
        <v>135</v>
      </c>
      <c r="K1693">
        <v>3355</v>
      </c>
      <c r="L1693" t="s">
        <v>136</v>
      </c>
      <c r="M1693" t="s">
        <v>110</v>
      </c>
      <c r="O1693" t="s">
        <v>600</v>
      </c>
      <c r="P1693" t="s">
        <v>550</v>
      </c>
      <c r="Q1693">
        <v>2021</v>
      </c>
      <c r="R1693" t="s">
        <v>605</v>
      </c>
      <c r="S1693" t="s">
        <v>606</v>
      </c>
      <c r="T1693" t="s">
        <v>553</v>
      </c>
      <c r="U1693" t="b">
        <v>0</v>
      </c>
      <c r="V1693" t="s">
        <v>781</v>
      </c>
      <c r="W1693" t="s">
        <v>587</v>
      </c>
      <c r="X1693" t="s">
        <v>556</v>
      </c>
      <c r="Y1693" t="s">
        <v>472</v>
      </c>
      <c r="Z1693" t="s">
        <v>485</v>
      </c>
      <c r="AA1693" t="s">
        <v>764</v>
      </c>
      <c r="AC1693">
        <v>1</v>
      </c>
      <c r="AD1693" t="s">
        <v>558</v>
      </c>
      <c r="AE1693">
        <v>8.3874999999999993</v>
      </c>
      <c r="AF1693">
        <v>2.5000000000000001E-2</v>
      </c>
      <c r="AG1693" t="s">
        <v>798</v>
      </c>
      <c r="AH1693">
        <v>0.1</v>
      </c>
      <c r="AI1693">
        <v>335.5</v>
      </c>
      <c r="AJ1693" t="s">
        <v>561</v>
      </c>
      <c r="AK1693" t="s">
        <v>766</v>
      </c>
      <c r="AL1693" t="s">
        <v>790</v>
      </c>
      <c r="AM1693">
        <v>2021</v>
      </c>
      <c r="AN1693">
        <v>2021</v>
      </c>
      <c r="AO1693">
        <f>IF(AND(emissions[[#This Row],[Market-based]]=0,emissions[[#This Row],[Impact Type]]="CO2E"),emissions[[#This Row],[kgCO2e]],0)/1000</f>
        <v>0</v>
      </c>
      <c r="AP1693">
        <f>IF(AND(emissions[[#This Row],[Market-based]]=1,OR(emissions[[#This Row],[Impact Type]]="CO2E",emissions[[#This Row],[Impact Type]]="CO2E MKT")),emissions[[#This Row],[kgCO2e]],0)/1000</f>
        <v>0</v>
      </c>
      <c r="AQ1693" t="str">
        <f>_xlfn.TEXTAFTER(emissions[[#This Row],[Reporting Unit]]," &gt; ",LEN(emissions[[#This Row],[Reporting Unit]])-LEN(SUBSTITUTE(emissions[[#This Row],[Reporting Unit]],"&gt;","")))</f>
        <v>Vantage_Tucson</v>
      </c>
      <c r="AR1693" t="str">
        <f>_xlfn.XLOOKUP(emissions[[#This Row],[Reporting unit name]],hierarchy!$A:$A,hierarchy!$C:$C)</f>
        <v>Office</v>
      </c>
    </row>
    <row r="1694" spans="1:44" hidden="1" x14ac:dyDescent="0.25">
      <c r="A1694">
        <v>4990</v>
      </c>
      <c r="B1694" t="s">
        <v>277</v>
      </c>
      <c r="C1694" t="s">
        <v>501</v>
      </c>
      <c r="D1694" t="s">
        <v>599</v>
      </c>
      <c r="E1694" s="3">
        <v>44197</v>
      </c>
      <c r="F1694" s="3">
        <v>44561</v>
      </c>
      <c r="G1694" t="s">
        <v>135</v>
      </c>
      <c r="H1694" s="3">
        <v>44197</v>
      </c>
      <c r="I1694" s="3">
        <v>44561</v>
      </c>
      <c r="J1694" t="s">
        <v>135</v>
      </c>
      <c r="K1694">
        <v>3355</v>
      </c>
      <c r="L1694" t="s">
        <v>136</v>
      </c>
      <c r="M1694" t="s">
        <v>110</v>
      </c>
      <c r="O1694" t="s">
        <v>600</v>
      </c>
      <c r="P1694" t="s">
        <v>550</v>
      </c>
      <c r="Q1694">
        <v>2021</v>
      </c>
      <c r="R1694" t="s">
        <v>605</v>
      </c>
      <c r="S1694" t="s">
        <v>606</v>
      </c>
      <c r="T1694" t="s">
        <v>553</v>
      </c>
      <c r="U1694" t="b">
        <v>0</v>
      </c>
      <c r="V1694" t="s">
        <v>781</v>
      </c>
      <c r="W1694" t="s">
        <v>587</v>
      </c>
      <c r="X1694" t="s">
        <v>556</v>
      </c>
      <c r="Y1694" t="s">
        <v>472</v>
      </c>
      <c r="Z1694" t="s">
        <v>485</v>
      </c>
      <c r="AA1694" t="s">
        <v>764</v>
      </c>
      <c r="AC1694">
        <v>1</v>
      </c>
      <c r="AD1694" t="s">
        <v>564</v>
      </c>
      <c r="AE1694">
        <v>17801.63</v>
      </c>
      <c r="AF1694">
        <v>53.06</v>
      </c>
      <c r="AG1694" t="s">
        <v>798</v>
      </c>
      <c r="AH1694">
        <v>0.1</v>
      </c>
      <c r="AI1694">
        <v>335.5</v>
      </c>
      <c r="AJ1694" t="s">
        <v>561</v>
      </c>
      <c r="AK1694" t="s">
        <v>766</v>
      </c>
      <c r="AL1694" t="s">
        <v>787</v>
      </c>
      <c r="AM1694">
        <v>2021</v>
      </c>
      <c r="AN1694">
        <v>2020</v>
      </c>
      <c r="AO1694">
        <f>IF(AND(emissions[[#This Row],[Market-based]]=0,emissions[[#This Row],[Impact Type]]="CO2E"),emissions[[#This Row],[kgCO2e]],0)/1000</f>
        <v>0</v>
      </c>
      <c r="AP1694">
        <f>IF(AND(emissions[[#This Row],[Market-based]]=1,OR(emissions[[#This Row],[Impact Type]]="CO2E",emissions[[#This Row],[Impact Type]]="CO2E MKT")),emissions[[#This Row],[kgCO2e]],0)/1000</f>
        <v>0</v>
      </c>
      <c r="AQ1694" t="str">
        <f>_xlfn.TEXTAFTER(emissions[[#This Row],[Reporting Unit]]," &gt; ",LEN(emissions[[#This Row],[Reporting Unit]])-LEN(SUBSTITUTE(emissions[[#This Row],[Reporting Unit]],"&gt;","")))</f>
        <v>Vantage_Tucson</v>
      </c>
      <c r="AR1694" t="str">
        <f>_xlfn.XLOOKUP(emissions[[#This Row],[Reporting unit name]],hierarchy!$A:$A,hierarchy!$C:$C)</f>
        <v>Office</v>
      </c>
    </row>
    <row r="1695" spans="1:44" hidden="1" x14ac:dyDescent="0.25">
      <c r="A1695">
        <v>4990</v>
      </c>
      <c r="B1695" t="s">
        <v>277</v>
      </c>
      <c r="C1695" t="s">
        <v>501</v>
      </c>
      <c r="D1695" t="s">
        <v>599</v>
      </c>
      <c r="E1695" s="3">
        <v>44197</v>
      </c>
      <c r="F1695" s="3">
        <v>44561</v>
      </c>
      <c r="G1695" t="s">
        <v>135</v>
      </c>
      <c r="H1695" s="3">
        <v>44197</v>
      </c>
      <c r="I1695" s="3">
        <v>44561</v>
      </c>
      <c r="J1695" t="s">
        <v>135</v>
      </c>
      <c r="K1695">
        <v>3355</v>
      </c>
      <c r="L1695" t="s">
        <v>136</v>
      </c>
      <c r="M1695" t="s">
        <v>110</v>
      </c>
      <c r="O1695" t="s">
        <v>600</v>
      </c>
      <c r="P1695" t="s">
        <v>550</v>
      </c>
      <c r="Q1695">
        <v>2021</v>
      </c>
      <c r="R1695" t="s">
        <v>605</v>
      </c>
      <c r="S1695" t="s">
        <v>606</v>
      </c>
      <c r="T1695" t="s">
        <v>553</v>
      </c>
      <c r="U1695" t="b">
        <v>0</v>
      </c>
      <c r="V1695" t="s">
        <v>781</v>
      </c>
      <c r="W1695" t="s">
        <v>587</v>
      </c>
      <c r="X1695" t="s">
        <v>556</v>
      </c>
      <c r="Y1695" t="s">
        <v>472</v>
      </c>
      <c r="Z1695" t="s">
        <v>485</v>
      </c>
      <c r="AA1695" t="s">
        <v>764</v>
      </c>
      <c r="AC1695">
        <v>1</v>
      </c>
      <c r="AD1695" t="s">
        <v>565</v>
      </c>
      <c r="AE1695">
        <v>17820.0154</v>
      </c>
      <c r="AF1695">
        <v>53.114800000000002</v>
      </c>
      <c r="AG1695" t="s">
        <v>798</v>
      </c>
      <c r="AH1695">
        <v>0.1</v>
      </c>
      <c r="AI1695">
        <v>335.5</v>
      </c>
      <c r="AJ1695" t="s">
        <v>561</v>
      </c>
      <c r="AK1695" t="s">
        <v>766</v>
      </c>
      <c r="AL1695" t="s">
        <v>790</v>
      </c>
      <c r="AM1695">
        <v>2021</v>
      </c>
      <c r="AN1695">
        <v>2021</v>
      </c>
      <c r="AO1695">
        <f>IF(AND(emissions[[#This Row],[Market-based]]=0,emissions[[#This Row],[Impact Type]]="CO2E"),emissions[[#This Row],[kgCO2e]],0)/1000</f>
        <v>0</v>
      </c>
      <c r="AP1695">
        <f>IF(AND(emissions[[#This Row],[Market-based]]=1,OR(emissions[[#This Row],[Impact Type]]="CO2E",emissions[[#This Row],[Impact Type]]="CO2E MKT")),emissions[[#This Row],[kgCO2e]],0)/1000</f>
        <v>17.820015399999999</v>
      </c>
      <c r="AQ1695" t="str">
        <f>_xlfn.TEXTAFTER(emissions[[#This Row],[Reporting Unit]]," &gt; ",LEN(emissions[[#This Row],[Reporting Unit]])-LEN(SUBSTITUTE(emissions[[#This Row],[Reporting Unit]],"&gt;","")))</f>
        <v>Vantage_Tucson</v>
      </c>
      <c r="AR1695" t="str">
        <f>_xlfn.XLOOKUP(emissions[[#This Row],[Reporting unit name]],hierarchy!$A:$A,hierarchy!$C:$C)</f>
        <v>Office</v>
      </c>
    </row>
    <row r="1696" spans="1:44" hidden="1" x14ac:dyDescent="0.25">
      <c r="A1696">
        <v>4990</v>
      </c>
      <c r="B1696" t="s">
        <v>277</v>
      </c>
      <c r="C1696" t="s">
        <v>501</v>
      </c>
      <c r="D1696" t="s">
        <v>599</v>
      </c>
      <c r="E1696" s="3">
        <v>44197</v>
      </c>
      <c r="F1696" s="3">
        <v>44561</v>
      </c>
      <c r="G1696" t="s">
        <v>135</v>
      </c>
      <c r="H1696" s="3">
        <v>44197</v>
      </c>
      <c r="I1696" s="3">
        <v>44561</v>
      </c>
      <c r="J1696" t="s">
        <v>135</v>
      </c>
      <c r="K1696">
        <v>3355</v>
      </c>
      <c r="L1696" t="s">
        <v>136</v>
      </c>
      <c r="M1696" t="s">
        <v>110</v>
      </c>
      <c r="O1696" t="s">
        <v>600</v>
      </c>
      <c r="P1696" t="s">
        <v>550</v>
      </c>
      <c r="Q1696">
        <v>2021</v>
      </c>
      <c r="R1696" t="s">
        <v>605</v>
      </c>
      <c r="S1696" t="s">
        <v>606</v>
      </c>
      <c r="T1696" t="s">
        <v>553</v>
      </c>
      <c r="U1696" t="b">
        <v>0</v>
      </c>
      <c r="V1696" t="s">
        <v>781</v>
      </c>
      <c r="W1696" t="s">
        <v>587</v>
      </c>
      <c r="X1696" t="s">
        <v>556</v>
      </c>
      <c r="Y1696" t="s">
        <v>472</v>
      </c>
      <c r="Z1696" t="s">
        <v>485</v>
      </c>
      <c r="AA1696" t="s">
        <v>764</v>
      </c>
      <c r="AC1696">
        <v>1</v>
      </c>
      <c r="AD1696" t="s">
        <v>566</v>
      </c>
      <c r="AE1696">
        <v>9.9978999999999996</v>
      </c>
      <c r="AF1696">
        <v>2.98E-2</v>
      </c>
      <c r="AG1696" t="s">
        <v>798</v>
      </c>
      <c r="AH1696">
        <v>0.1</v>
      </c>
      <c r="AI1696">
        <v>335.5</v>
      </c>
      <c r="AJ1696" t="s">
        <v>561</v>
      </c>
      <c r="AK1696" t="s">
        <v>766</v>
      </c>
      <c r="AL1696" t="s">
        <v>790</v>
      </c>
      <c r="AM1696">
        <v>2021</v>
      </c>
      <c r="AN1696">
        <v>2021</v>
      </c>
      <c r="AO1696">
        <f>IF(AND(emissions[[#This Row],[Market-based]]=0,emissions[[#This Row],[Impact Type]]="CO2E"),emissions[[#This Row],[kgCO2e]],0)/1000</f>
        <v>0</v>
      </c>
      <c r="AP1696">
        <f>IF(AND(emissions[[#This Row],[Market-based]]=1,OR(emissions[[#This Row],[Impact Type]]="CO2E",emissions[[#This Row],[Impact Type]]="CO2E MKT")),emissions[[#This Row],[kgCO2e]],0)/1000</f>
        <v>0</v>
      </c>
      <c r="AQ1696" t="str">
        <f>_xlfn.TEXTAFTER(emissions[[#This Row],[Reporting Unit]]," &gt; ",LEN(emissions[[#This Row],[Reporting Unit]])-LEN(SUBSTITUTE(emissions[[#This Row],[Reporting Unit]],"&gt;","")))</f>
        <v>Vantage_Tucson</v>
      </c>
      <c r="AR1696" t="str">
        <f>_xlfn.XLOOKUP(emissions[[#This Row],[Reporting unit name]],hierarchy!$A:$A,hierarchy!$C:$C)</f>
        <v>Office</v>
      </c>
    </row>
    <row r="1697" spans="1:44" hidden="1" x14ac:dyDescent="0.25">
      <c r="A1697">
        <v>4990</v>
      </c>
      <c r="B1697" t="s">
        <v>277</v>
      </c>
      <c r="C1697" t="s">
        <v>501</v>
      </c>
      <c r="D1697" t="s">
        <v>599</v>
      </c>
      <c r="E1697" s="3">
        <v>44197</v>
      </c>
      <c r="F1697" s="3">
        <v>44561</v>
      </c>
      <c r="G1697" t="s">
        <v>135</v>
      </c>
      <c r="H1697" s="3">
        <v>44197</v>
      </c>
      <c r="I1697" s="3">
        <v>44561</v>
      </c>
      <c r="J1697" t="s">
        <v>135</v>
      </c>
      <c r="K1697">
        <v>3355</v>
      </c>
      <c r="L1697" t="s">
        <v>136</v>
      </c>
      <c r="M1697" t="s">
        <v>110</v>
      </c>
      <c r="O1697" t="s">
        <v>600</v>
      </c>
      <c r="P1697" t="s">
        <v>550</v>
      </c>
      <c r="Q1697">
        <v>2021</v>
      </c>
      <c r="R1697" t="s">
        <v>609</v>
      </c>
      <c r="S1697" t="s">
        <v>610</v>
      </c>
      <c r="T1697" t="s">
        <v>577</v>
      </c>
      <c r="U1697" t="b">
        <v>0</v>
      </c>
      <c r="V1697" t="s">
        <v>611</v>
      </c>
      <c r="W1697" t="s">
        <v>571</v>
      </c>
      <c r="X1697" t="s">
        <v>572</v>
      </c>
      <c r="AC1697">
        <v>0</v>
      </c>
      <c r="AD1697" t="s">
        <v>565</v>
      </c>
      <c r="AE1697">
        <v>3081.7625429999998</v>
      </c>
      <c r="AF1697">
        <v>3.1350000000000003E-2</v>
      </c>
      <c r="AG1697" t="s">
        <v>608</v>
      </c>
      <c r="AH1697">
        <v>29.3001</v>
      </c>
      <c r="AI1697">
        <v>98301.835500000001</v>
      </c>
      <c r="AJ1697" t="s">
        <v>561</v>
      </c>
      <c r="AK1697" t="s">
        <v>589</v>
      </c>
      <c r="AL1697" t="s">
        <v>603</v>
      </c>
      <c r="AM1697">
        <v>2021</v>
      </c>
      <c r="AN1697">
        <v>2019</v>
      </c>
      <c r="AO1697">
        <f>IF(AND(emissions[[#This Row],[Market-based]]=0,emissions[[#This Row],[Impact Type]]="CO2E"),emissions[[#This Row],[kgCO2e]],0)/1000</f>
        <v>3.081762543</v>
      </c>
      <c r="AP1697">
        <f>IF(AND(emissions[[#This Row],[Market-based]]=1,OR(emissions[[#This Row],[Impact Type]]="CO2E",emissions[[#This Row],[Impact Type]]="CO2E MKT")),emissions[[#This Row],[kgCO2e]],0)/1000</f>
        <v>0</v>
      </c>
      <c r="AQ1697" t="str">
        <f>_xlfn.TEXTAFTER(emissions[[#This Row],[Reporting Unit]]," &gt; ",LEN(emissions[[#This Row],[Reporting Unit]])-LEN(SUBSTITUTE(emissions[[#This Row],[Reporting Unit]],"&gt;","")))</f>
        <v>Vantage_Tucson</v>
      </c>
      <c r="AR1697" t="str">
        <f>_xlfn.XLOOKUP(emissions[[#This Row],[Reporting unit name]],hierarchy!$A:$A,hierarchy!$C:$C)</f>
        <v>Office</v>
      </c>
    </row>
    <row r="1698" spans="1:44" hidden="1" x14ac:dyDescent="0.25">
      <c r="A1698">
        <v>4990</v>
      </c>
      <c r="B1698" t="s">
        <v>277</v>
      </c>
      <c r="C1698" t="s">
        <v>501</v>
      </c>
      <c r="D1698" t="s">
        <v>599</v>
      </c>
      <c r="E1698" s="3">
        <v>44197</v>
      </c>
      <c r="F1698" s="3">
        <v>44561</v>
      </c>
      <c r="G1698" t="s">
        <v>135</v>
      </c>
      <c r="H1698" s="3">
        <v>44197</v>
      </c>
      <c r="I1698" s="3">
        <v>44561</v>
      </c>
      <c r="J1698" t="s">
        <v>135</v>
      </c>
      <c r="K1698">
        <v>3355</v>
      </c>
      <c r="L1698" t="s">
        <v>136</v>
      </c>
      <c r="M1698" t="s">
        <v>110</v>
      </c>
      <c r="O1698" t="s">
        <v>600</v>
      </c>
      <c r="P1698" t="s">
        <v>550</v>
      </c>
      <c r="Q1698">
        <v>2021</v>
      </c>
      <c r="R1698" t="s">
        <v>609</v>
      </c>
      <c r="S1698" t="s">
        <v>610</v>
      </c>
      <c r="T1698" t="s">
        <v>577</v>
      </c>
      <c r="U1698" t="b">
        <v>0</v>
      </c>
      <c r="V1698" t="s">
        <v>611</v>
      </c>
      <c r="W1698" t="s">
        <v>571</v>
      </c>
      <c r="X1698" t="s">
        <v>572</v>
      </c>
      <c r="AC1698">
        <v>1</v>
      </c>
      <c r="AD1698" t="s">
        <v>565</v>
      </c>
      <c r="AE1698">
        <v>3081.7625429999998</v>
      </c>
      <c r="AF1698">
        <v>3.1350000000000003E-2</v>
      </c>
      <c r="AG1698" t="s">
        <v>608</v>
      </c>
      <c r="AH1698">
        <v>29.3001</v>
      </c>
      <c r="AI1698">
        <v>98301.835500000001</v>
      </c>
      <c r="AJ1698" t="s">
        <v>561</v>
      </c>
      <c r="AK1698" t="s">
        <v>589</v>
      </c>
      <c r="AL1698" t="s">
        <v>603</v>
      </c>
      <c r="AM1698">
        <v>2021</v>
      </c>
      <c r="AN1698">
        <v>2019</v>
      </c>
      <c r="AO1698">
        <f>IF(AND(emissions[[#This Row],[Market-based]]=0,emissions[[#This Row],[Impact Type]]="CO2E"),emissions[[#This Row],[kgCO2e]],0)/1000</f>
        <v>0</v>
      </c>
      <c r="AP1698">
        <f>IF(AND(emissions[[#This Row],[Market-based]]=1,OR(emissions[[#This Row],[Impact Type]]="CO2E",emissions[[#This Row],[Impact Type]]="CO2E MKT")),emissions[[#This Row],[kgCO2e]],0)/1000</f>
        <v>3.081762543</v>
      </c>
      <c r="AQ1698" t="str">
        <f>_xlfn.TEXTAFTER(emissions[[#This Row],[Reporting Unit]]," &gt; ",LEN(emissions[[#This Row],[Reporting Unit]])-LEN(SUBSTITUTE(emissions[[#This Row],[Reporting Unit]],"&gt;","")))</f>
        <v>Vantage_Tucson</v>
      </c>
      <c r="AR1698" t="str">
        <f>_xlfn.XLOOKUP(emissions[[#This Row],[Reporting unit name]],hierarchy!$A:$A,hierarchy!$C:$C)</f>
        <v>Office</v>
      </c>
    </row>
    <row r="1699" spans="1:44" hidden="1" x14ac:dyDescent="0.25">
      <c r="A1699">
        <v>5050</v>
      </c>
      <c r="B1699" t="s">
        <v>277</v>
      </c>
      <c r="C1699" t="s">
        <v>501</v>
      </c>
      <c r="D1699" t="s">
        <v>599</v>
      </c>
      <c r="E1699" s="3">
        <v>44197</v>
      </c>
      <c r="F1699" s="3">
        <v>44561</v>
      </c>
      <c r="G1699" t="s">
        <v>116</v>
      </c>
      <c r="H1699" s="3">
        <v>44197</v>
      </c>
      <c r="I1699" s="3">
        <v>44561</v>
      </c>
      <c r="J1699" t="s">
        <v>218</v>
      </c>
      <c r="K1699">
        <v>2.2258</v>
      </c>
      <c r="L1699" t="s">
        <v>118</v>
      </c>
      <c r="M1699" t="s">
        <v>82</v>
      </c>
      <c r="O1699" t="s">
        <v>618</v>
      </c>
      <c r="P1699" t="s">
        <v>965</v>
      </c>
      <c r="Q1699">
        <v>2021</v>
      </c>
      <c r="R1699" t="s">
        <v>664</v>
      </c>
      <c r="S1699" t="s">
        <v>175</v>
      </c>
      <c r="T1699" t="s">
        <v>553</v>
      </c>
      <c r="U1699" t="b">
        <v>0</v>
      </c>
      <c r="V1699" t="s">
        <v>665</v>
      </c>
      <c r="W1699" t="s">
        <v>587</v>
      </c>
      <c r="X1699" t="s">
        <v>556</v>
      </c>
      <c r="AC1699">
        <v>0</v>
      </c>
      <c r="AD1699" t="s">
        <v>565</v>
      </c>
      <c r="AE1699">
        <v>4647.4704000000002</v>
      </c>
      <c r="AF1699">
        <v>2088</v>
      </c>
      <c r="AG1699" t="s">
        <v>622</v>
      </c>
      <c r="AH1699">
        <v>1</v>
      </c>
      <c r="AI1699">
        <v>2.2258</v>
      </c>
      <c r="AJ1699" t="s">
        <v>561</v>
      </c>
      <c r="AK1699" t="s">
        <v>623</v>
      </c>
      <c r="AL1699" t="s">
        <v>624</v>
      </c>
      <c r="AM1699">
        <v>2021</v>
      </c>
      <c r="AN1699">
        <v>2007</v>
      </c>
      <c r="AO1699">
        <f>IF(AND(emissions[[#This Row],[Market-based]]=0,emissions[[#This Row],[Impact Type]]="CO2E"),emissions[[#This Row],[kgCO2e]],0)/1000</f>
        <v>4.6474704000000004</v>
      </c>
      <c r="AP1699">
        <f>IF(AND(emissions[[#This Row],[Market-based]]=1,OR(emissions[[#This Row],[Impact Type]]="CO2E",emissions[[#This Row],[Impact Type]]="CO2E MKT")),emissions[[#This Row],[kgCO2e]],0)/1000</f>
        <v>0</v>
      </c>
      <c r="AQ1699" t="str">
        <f>_xlfn.TEXTAFTER(emissions[[#This Row],[Reporting Unit]]," &gt; ",LEN(emissions[[#This Row],[Reporting Unit]])-LEN(SUBSTITUTE(emissions[[#This Row],[Reporting Unit]],"&gt;","")))</f>
        <v>Vantage_Tucson</v>
      </c>
      <c r="AR1699" t="str">
        <f>_xlfn.XLOOKUP(emissions[[#This Row],[Reporting unit name]],hierarchy!$A:$A,hierarchy!$C:$C)</f>
        <v>Office</v>
      </c>
    </row>
    <row r="1700" spans="1:44" hidden="1" x14ac:dyDescent="0.25">
      <c r="A1700">
        <v>5050</v>
      </c>
      <c r="B1700" t="s">
        <v>277</v>
      </c>
      <c r="C1700" t="s">
        <v>501</v>
      </c>
      <c r="D1700" t="s">
        <v>599</v>
      </c>
      <c r="E1700" s="3">
        <v>44197</v>
      </c>
      <c r="F1700" s="3">
        <v>44561</v>
      </c>
      <c r="G1700" t="s">
        <v>116</v>
      </c>
      <c r="H1700" s="3">
        <v>44197</v>
      </c>
      <c r="I1700" s="3">
        <v>44561</v>
      </c>
      <c r="J1700" t="s">
        <v>218</v>
      </c>
      <c r="K1700">
        <v>2.2258</v>
      </c>
      <c r="L1700" t="s">
        <v>118</v>
      </c>
      <c r="M1700" t="s">
        <v>82</v>
      </c>
      <c r="O1700" t="s">
        <v>618</v>
      </c>
      <c r="P1700" t="s">
        <v>965</v>
      </c>
      <c r="Q1700">
        <v>2021</v>
      </c>
      <c r="R1700" t="s">
        <v>664</v>
      </c>
      <c r="S1700" t="s">
        <v>175</v>
      </c>
      <c r="T1700" t="s">
        <v>553</v>
      </c>
      <c r="U1700" t="b">
        <v>0</v>
      </c>
      <c r="V1700" t="s">
        <v>665</v>
      </c>
      <c r="W1700" t="s">
        <v>587</v>
      </c>
      <c r="X1700" t="s">
        <v>556</v>
      </c>
      <c r="AC1700">
        <v>1</v>
      </c>
      <c r="AD1700" t="s">
        <v>565</v>
      </c>
      <c r="AE1700">
        <v>4647.4704000000002</v>
      </c>
      <c r="AF1700">
        <v>2088</v>
      </c>
      <c r="AG1700" t="s">
        <v>622</v>
      </c>
      <c r="AH1700">
        <v>1</v>
      </c>
      <c r="AI1700">
        <v>2.2258</v>
      </c>
      <c r="AJ1700" t="s">
        <v>561</v>
      </c>
      <c r="AK1700" t="s">
        <v>623</v>
      </c>
      <c r="AL1700" t="s">
        <v>624</v>
      </c>
      <c r="AM1700">
        <v>2021</v>
      </c>
      <c r="AN1700">
        <v>2007</v>
      </c>
      <c r="AO1700">
        <f>IF(AND(emissions[[#This Row],[Market-based]]=0,emissions[[#This Row],[Impact Type]]="CO2E"),emissions[[#This Row],[kgCO2e]],0)/1000</f>
        <v>0</v>
      </c>
      <c r="AP1700">
        <f>IF(AND(emissions[[#This Row],[Market-based]]=1,OR(emissions[[#This Row],[Impact Type]]="CO2E",emissions[[#This Row],[Impact Type]]="CO2E MKT")),emissions[[#This Row],[kgCO2e]],0)/1000</f>
        <v>4.6474704000000004</v>
      </c>
      <c r="AQ1700" t="str">
        <f>_xlfn.TEXTAFTER(emissions[[#This Row],[Reporting Unit]]," &gt; ",LEN(emissions[[#This Row],[Reporting Unit]])-LEN(SUBSTITUTE(emissions[[#This Row],[Reporting Unit]],"&gt;","")))</f>
        <v>Vantage_Tucson</v>
      </c>
      <c r="AR1700" t="str">
        <f>_xlfn.XLOOKUP(emissions[[#This Row],[Reporting unit name]],hierarchy!$A:$A,hierarchy!$C:$C)</f>
        <v>Office</v>
      </c>
    </row>
    <row r="1701" spans="1:44" hidden="1" x14ac:dyDescent="0.25">
      <c r="A1701">
        <v>1257608</v>
      </c>
      <c r="B1701" t="s">
        <v>277</v>
      </c>
      <c r="C1701" t="s">
        <v>501</v>
      </c>
      <c r="D1701" t="s">
        <v>599</v>
      </c>
      <c r="E1701" s="3">
        <v>44197</v>
      </c>
      <c r="F1701" s="3">
        <v>44561</v>
      </c>
      <c r="G1701" t="s">
        <v>116</v>
      </c>
      <c r="H1701" s="3">
        <v>44197</v>
      </c>
      <c r="I1701" s="3">
        <v>44561</v>
      </c>
      <c r="J1701" t="s">
        <v>175</v>
      </c>
      <c r="K1701">
        <v>0</v>
      </c>
      <c r="L1701" t="s">
        <v>118</v>
      </c>
      <c r="M1701" t="s">
        <v>110</v>
      </c>
      <c r="O1701" t="s">
        <v>966</v>
      </c>
      <c r="P1701" t="s">
        <v>550</v>
      </c>
      <c r="Q1701">
        <v>2021</v>
      </c>
      <c r="R1701" t="s">
        <v>664</v>
      </c>
      <c r="S1701" t="s">
        <v>175</v>
      </c>
      <c r="T1701" t="s">
        <v>553</v>
      </c>
      <c r="U1701" t="b">
        <v>0</v>
      </c>
      <c r="V1701" t="s">
        <v>665</v>
      </c>
      <c r="W1701" t="s">
        <v>587</v>
      </c>
      <c r="X1701" t="s">
        <v>556</v>
      </c>
      <c r="AC1701">
        <v>0</v>
      </c>
      <c r="AD1701" t="s">
        <v>565</v>
      </c>
      <c r="AE1701">
        <v>0</v>
      </c>
      <c r="AF1701">
        <v>2088</v>
      </c>
      <c r="AG1701" t="s">
        <v>622</v>
      </c>
      <c r="AH1701">
        <v>1</v>
      </c>
      <c r="AI1701">
        <v>0</v>
      </c>
      <c r="AJ1701" t="s">
        <v>561</v>
      </c>
      <c r="AK1701" t="s">
        <v>623</v>
      </c>
      <c r="AL1701" t="s">
        <v>624</v>
      </c>
      <c r="AM1701">
        <v>2021</v>
      </c>
      <c r="AN1701">
        <v>2007</v>
      </c>
      <c r="AO1701">
        <f>IF(AND(emissions[[#This Row],[Market-based]]=0,emissions[[#This Row],[Impact Type]]="CO2E"),emissions[[#This Row],[kgCO2e]],0)/1000</f>
        <v>0</v>
      </c>
      <c r="AP1701">
        <f>IF(AND(emissions[[#This Row],[Market-based]]=1,OR(emissions[[#This Row],[Impact Type]]="CO2E",emissions[[#This Row],[Impact Type]]="CO2E MKT")),emissions[[#This Row],[kgCO2e]],0)/1000</f>
        <v>0</v>
      </c>
      <c r="AQ1701" t="str">
        <f>_xlfn.TEXTAFTER(emissions[[#This Row],[Reporting Unit]]," &gt; ",LEN(emissions[[#This Row],[Reporting Unit]])-LEN(SUBSTITUTE(emissions[[#This Row],[Reporting Unit]],"&gt;","")))</f>
        <v>Vantage_Tucson</v>
      </c>
      <c r="AR1701" t="str">
        <f>_xlfn.XLOOKUP(emissions[[#This Row],[Reporting unit name]],hierarchy!$A:$A,hierarchy!$C:$C)</f>
        <v>Office</v>
      </c>
    </row>
    <row r="1702" spans="1:44" hidden="1" x14ac:dyDescent="0.25">
      <c r="A1702">
        <v>1257608</v>
      </c>
      <c r="B1702" t="s">
        <v>277</v>
      </c>
      <c r="C1702" t="s">
        <v>501</v>
      </c>
      <c r="D1702" t="s">
        <v>599</v>
      </c>
      <c r="E1702" s="3">
        <v>44197</v>
      </c>
      <c r="F1702" s="3">
        <v>44561</v>
      </c>
      <c r="G1702" t="s">
        <v>116</v>
      </c>
      <c r="H1702" s="3">
        <v>44197</v>
      </c>
      <c r="I1702" s="3">
        <v>44561</v>
      </c>
      <c r="J1702" t="s">
        <v>175</v>
      </c>
      <c r="K1702">
        <v>0</v>
      </c>
      <c r="L1702" t="s">
        <v>118</v>
      </c>
      <c r="M1702" t="s">
        <v>110</v>
      </c>
      <c r="O1702" t="s">
        <v>966</v>
      </c>
      <c r="P1702" t="s">
        <v>550</v>
      </c>
      <c r="Q1702">
        <v>2021</v>
      </c>
      <c r="R1702" t="s">
        <v>664</v>
      </c>
      <c r="S1702" t="s">
        <v>175</v>
      </c>
      <c r="T1702" t="s">
        <v>553</v>
      </c>
      <c r="U1702" t="b">
        <v>0</v>
      </c>
      <c r="V1702" t="s">
        <v>665</v>
      </c>
      <c r="W1702" t="s">
        <v>587</v>
      </c>
      <c r="X1702" t="s">
        <v>556</v>
      </c>
      <c r="AC1702">
        <v>1</v>
      </c>
      <c r="AD1702" t="s">
        <v>565</v>
      </c>
      <c r="AE1702">
        <v>0</v>
      </c>
      <c r="AF1702">
        <v>2088</v>
      </c>
      <c r="AG1702" t="s">
        <v>622</v>
      </c>
      <c r="AH1702">
        <v>1</v>
      </c>
      <c r="AI1702">
        <v>0</v>
      </c>
      <c r="AJ1702" t="s">
        <v>561</v>
      </c>
      <c r="AK1702" t="s">
        <v>623</v>
      </c>
      <c r="AL1702" t="s">
        <v>624</v>
      </c>
      <c r="AM1702">
        <v>2021</v>
      </c>
      <c r="AN1702">
        <v>2007</v>
      </c>
      <c r="AO1702">
        <f>IF(AND(emissions[[#This Row],[Market-based]]=0,emissions[[#This Row],[Impact Type]]="CO2E"),emissions[[#This Row],[kgCO2e]],0)/1000</f>
        <v>0</v>
      </c>
      <c r="AP1702">
        <f>IF(AND(emissions[[#This Row],[Market-based]]=1,OR(emissions[[#This Row],[Impact Type]]="CO2E",emissions[[#This Row],[Impact Type]]="CO2E MKT")),emissions[[#This Row],[kgCO2e]],0)/1000</f>
        <v>0</v>
      </c>
      <c r="AQ1702" t="str">
        <f>_xlfn.TEXTAFTER(emissions[[#This Row],[Reporting Unit]]," &gt; ",LEN(emissions[[#This Row],[Reporting Unit]])-LEN(SUBSTITUTE(emissions[[#This Row],[Reporting Unit]],"&gt;","")))</f>
        <v>Vantage_Tucson</v>
      </c>
      <c r="AR1702" t="str">
        <f>_xlfn.XLOOKUP(emissions[[#This Row],[Reporting unit name]],hierarchy!$A:$A,hierarchy!$C:$C)</f>
        <v>Office</v>
      </c>
    </row>
    <row r="1703" spans="1:44" hidden="1" x14ac:dyDescent="0.25">
      <c r="A1703">
        <v>1236894</v>
      </c>
      <c r="B1703" t="s">
        <v>277</v>
      </c>
      <c r="C1703" t="s">
        <v>501</v>
      </c>
      <c r="D1703" t="s">
        <v>599</v>
      </c>
      <c r="E1703" s="3">
        <v>44197</v>
      </c>
      <c r="F1703" s="3">
        <v>44561</v>
      </c>
      <c r="G1703" t="s">
        <v>121</v>
      </c>
      <c r="H1703" s="3">
        <v>44197</v>
      </c>
      <c r="I1703" s="3">
        <v>44561</v>
      </c>
      <c r="J1703" t="s">
        <v>150</v>
      </c>
      <c r="K1703">
        <v>386.1</v>
      </c>
      <c r="L1703" t="s">
        <v>148</v>
      </c>
      <c r="M1703" t="s">
        <v>110</v>
      </c>
      <c r="O1703" t="s">
        <v>967</v>
      </c>
      <c r="P1703" t="s">
        <v>550</v>
      </c>
      <c r="Q1703">
        <v>2021</v>
      </c>
      <c r="R1703" t="s">
        <v>594</v>
      </c>
      <c r="S1703" t="s">
        <v>150</v>
      </c>
      <c r="T1703" t="s">
        <v>553</v>
      </c>
      <c r="U1703" t="b">
        <v>0</v>
      </c>
      <c r="V1703" t="s">
        <v>789</v>
      </c>
      <c r="W1703" t="s">
        <v>587</v>
      </c>
      <c r="X1703" t="s">
        <v>556</v>
      </c>
      <c r="Y1703" t="s">
        <v>472</v>
      </c>
      <c r="Z1703" t="s">
        <v>485</v>
      </c>
      <c r="AA1703" t="s">
        <v>764</v>
      </c>
      <c r="AC1703">
        <v>0</v>
      </c>
      <c r="AD1703" t="s">
        <v>558</v>
      </c>
      <c r="AE1703">
        <v>2.6061749999999999</v>
      </c>
      <c r="AF1703">
        <v>6.7499999999999999E-3</v>
      </c>
      <c r="AG1703" t="s">
        <v>786</v>
      </c>
      <c r="AH1703">
        <v>1</v>
      </c>
      <c r="AI1703">
        <v>386.1</v>
      </c>
      <c r="AJ1703" t="s">
        <v>561</v>
      </c>
      <c r="AK1703" t="s">
        <v>766</v>
      </c>
      <c r="AL1703" t="s">
        <v>790</v>
      </c>
      <c r="AM1703">
        <v>2021</v>
      </c>
      <c r="AN1703">
        <v>2021</v>
      </c>
      <c r="AO1703">
        <f>IF(AND(emissions[[#This Row],[Market-based]]=0,emissions[[#This Row],[Impact Type]]="CO2E"),emissions[[#This Row],[kgCO2e]],0)/1000</f>
        <v>0</v>
      </c>
      <c r="AP1703">
        <f>IF(AND(emissions[[#This Row],[Market-based]]=1,OR(emissions[[#This Row],[Impact Type]]="CO2E",emissions[[#This Row],[Impact Type]]="CO2E MKT")),emissions[[#This Row],[kgCO2e]],0)/1000</f>
        <v>0</v>
      </c>
      <c r="AQ1703" t="str">
        <f>_xlfn.TEXTAFTER(emissions[[#This Row],[Reporting Unit]]," &gt; ",LEN(emissions[[#This Row],[Reporting Unit]])-LEN(SUBSTITUTE(emissions[[#This Row],[Reporting Unit]],"&gt;","")))</f>
        <v>Vantage_Tucson</v>
      </c>
      <c r="AR1703" t="str">
        <f>_xlfn.XLOOKUP(emissions[[#This Row],[Reporting unit name]],hierarchy!$A:$A,hierarchy!$C:$C)</f>
        <v>Office</v>
      </c>
    </row>
    <row r="1704" spans="1:44" hidden="1" x14ac:dyDescent="0.25">
      <c r="A1704">
        <v>1236894</v>
      </c>
      <c r="B1704" t="s">
        <v>277</v>
      </c>
      <c r="C1704" t="s">
        <v>501</v>
      </c>
      <c r="D1704" t="s">
        <v>599</v>
      </c>
      <c r="E1704" s="3">
        <v>44197</v>
      </c>
      <c r="F1704" s="3">
        <v>44561</v>
      </c>
      <c r="G1704" t="s">
        <v>121</v>
      </c>
      <c r="H1704" s="3">
        <v>44197</v>
      </c>
      <c r="I1704" s="3">
        <v>44561</v>
      </c>
      <c r="J1704" t="s">
        <v>150</v>
      </c>
      <c r="K1704">
        <v>386.1</v>
      </c>
      <c r="L1704" t="s">
        <v>148</v>
      </c>
      <c r="M1704" t="s">
        <v>110</v>
      </c>
      <c r="O1704" t="s">
        <v>967</v>
      </c>
      <c r="P1704" t="s">
        <v>550</v>
      </c>
      <c r="Q1704">
        <v>2021</v>
      </c>
      <c r="R1704" t="s">
        <v>594</v>
      </c>
      <c r="S1704" t="s">
        <v>150</v>
      </c>
      <c r="T1704" t="s">
        <v>553</v>
      </c>
      <c r="U1704" t="b">
        <v>0</v>
      </c>
      <c r="V1704" t="s">
        <v>789</v>
      </c>
      <c r="W1704" t="s">
        <v>587</v>
      </c>
      <c r="X1704" t="s">
        <v>556</v>
      </c>
      <c r="Y1704" t="s">
        <v>472</v>
      </c>
      <c r="Z1704" t="s">
        <v>485</v>
      </c>
      <c r="AA1704" t="s">
        <v>764</v>
      </c>
      <c r="AC1704">
        <v>0</v>
      </c>
      <c r="AD1704" t="s">
        <v>564</v>
      </c>
      <c r="AE1704">
        <v>2208.4920000000002</v>
      </c>
      <c r="AF1704">
        <v>5.72</v>
      </c>
      <c r="AG1704" t="s">
        <v>786</v>
      </c>
      <c r="AH1704">
        <v>1</v>
      </c>
      <c r="AI1704">
        <v>386.1</v>
      </c>
      <c r="AJ1704" t="s">
        <v>561</v>
      </c>
      <c r="AK1704" t="s">
        <v>766</v>
      </c>
      <c r="AL1704" t="s">
        <v>790</v>
      </c>
      <c r="AM1704">
        <v>2021</v>
      </c>
      <c r="AN1704">
        <v>2021</v>
      </c>
      <c r="AO1704">
        <f>IF(AND(emissions[[#This Row],[Market-based]]=0,emissions[[#This Row],[Impact Type]]="CO2E"),emissions[[#This Row],[kgCO2e]],0)/1000</f>
        <v>0</v>
      </c>
      <c r="AP1704">
        <f>IF(AND(emissions[[#This Row],[Market-based]]=1,OR(emissions[[#This Row],[Impact Type]]="CO2E",emissions[[#This Row],[Impact Type]]="CO2E MKT")),emissions[[#This Row],[kgCO2e]],0)/1000</f>
        <v>0</v>
      </c>
      <c r="AQ1704" t="str">
        <f>_xlfn.TEXTAFTER(emissions[[#This Row],[Reporting Unit]]," &gt; ",LEN(emissions[[#This Row],[Reporting Unit]])-LEN(SUBSTITUTE(emissions[[#This Row],[Reporting Unit]],"&gt;","")))</f>
        <v>Vantage_Tucson</v>
      </c>
      <c r="AR1704" t="str">
        <f>_xlfn.XLOOKUP(emissions[[#This Row],[Reporting unit name]],hierarchy!$A:$A,hierarchy!$C:$C)</f>
        <v>Office</v>
      </c>
    </row>
    <row r="1705" spans="1:44" hidden="1" x14ac:dyDescent="0.25">
      <c r="A1705">
        <v>1236894</v>
      </c>
      <c r="B1705" t="s">
        <v>277</v>
      </c>
      <c r="C1705" t="s">
        <v>501</v>
      </c>
      <c r="D1705" t="s">
        <v>599</v>
      </c>
      <c r="E1705" s="3">
        <v>44197</v>
      </c>
      <c r="F1705" s="3">
        <v>44561</v>
      </c>
      <c r="G1705" t="s">
        <v>121</v>
      </c>
      <c r="H1705" s="3">
        <v>44197</v>
      </c>
      <c r="I1705" s="3">
        <v>44561</v>
      </c>
      <c r="J1705" t="s">
        <v>150</v>
      </c>
      <c r="K1705">
        <v>386.1</v>
      </c>
      <c r="L1705" t="s">
        <v>148</v>
      </c>
      <c r="M1705" t="s">
        <v>110</v>
      </c>
      <c r="O1705" t="s">
        <v>967</v>
      </c>
      <c r="P1705" t="s">
        <v>550</v>
      </c>
      <c r="Q1705">
        <v>2021</v>
      </c>
      <c r="R1705" t="s">
        <v>594</v>
      </c>
      <c r="S1705" t="s">
        <v>150</v>
      </c>
      <c r="T1705" t="s">
        <v>553</v>
      </c>
      <c r="U1705" t="b">
        <v>0</v>
      </c>
      <c r="V1705" t="s">
        <v>789</v>
      </c>
      <c r="W1705" t="s">
        <v>587</v>
      </c>
      <c r="X1705" t="s">
        <v>556</v>
      </c>
      <c r="Y1705" t="s">
        <v>472</v>
      </c>
      <c r="Z1705" t="s">
        <v>485</v>
      </c>
      <c r="AA1705" t="s">
        <v>764</v>
      </c>
      <c r="AC1705">
        <v>0</v>
      </c>
      <c r="AD1705" t="s">
        <v>565</v>
      </c>
      <c r="AE1705">
        <v>2216.8510649999998</v>
      </c>
      <c r="AF1705">
        <v>5.7416499999999999</v>
      </c>
      <c r="AG1705" t="s">
        <v>786</v>
      </c>
      <c r="AH1705">
        <v>1</v>
      </c>
      <c r="AI1705">
        <v>386.1</v>
      </c>
      <c r="AJ1705" t="s">
        <v>561</v>
      </c>
      <c r="AK1705" t="s">
        <v>766</v>
      </c>
      <c r="AL1705" t="s">
        <v>790</v>
      </c>
      <c r="AM1705">
        <v>2021</v>
      </c>
      <c r="AN1705">
        <v>2021</v>
      </c>
      <c r="AO1705">
        <f>IF(AND(emissions[[#This Row],[Market-based]]=0,emissions[[#This Row],[Impact Type]]="CO2E"),emissions[[#This Row],[kgCO2e]],0)/1000</f>
        <v>2.2168510649999997</v>
      </c>
      <c r="AP1705">
        <f>IF(AND(emissions[[#This Row],[Market-based]]=1,OR(emissions[[#This Row],[Impact Type]]="CO2E",emissions[[#This Row],[Impact Type]]="CO2E MKT")),emissions[[#This Row],[kgCO2e]],0)/1000</f>
        <v>0</v>
      </c>
      <c r="AQ1705" t="str">
        <f>_xlfn.TEXTAFTER(emissions[[#This Row],[Reporting Unit]]," &gt; ",LEN(emissions[[#This Row],[Reporting Unit]])-LEN(SUBSTITUTE(emissions[[#This Row],[Reporting Unit]],"&gt;","")))</f>
        <v>Vantage_Tucson</v>
      </c>
      <c r="AR1705" t="str">
        <f>_xlfn.XLOOKUP(emissions[[#This Row],[Reporting unit name]],hierarchy!$A:$A,hierarchy!$C:$C)</f>
        <v>Office</v>
      </c>
    </row>
    <row r="1706" spans="1:44" hidden="1" x14ac:dyDescent="0.25">
      <c r="A1706">
        <v>1236894</v>
      </c>
      <c r="B1706" t="s">
        <v>277</v>
      </c>
      <c r="C1706" t="s">
        <v>501</v>
      </c>
      <c r="D1706" t="s">
        <v>599</v>
      </c>
      <c r="E1706" s="3">
        <v>44197</v>
      </c>
      <c r="F1706" s="3">
        <v>44561</v>
      </c>
      <c r="G1706" t="s">
        <v>121</v>
      </c>
      <c r="H1706" s="3">
        <v>44197</v>
      </c>
      <c r="I1706" s="3">
        <v>44561</v>
      </c>
      <c r="J1706" t="s">
        <v>150</v>
      </c>
      <c r="K1706">
        <v>386.1</v>
      </c>
      <c r="L1706" t="s">
        <v>148</v>
      </c>
      <c r="M1706" t="s">
        <v>110</v>
      </c>
      <c r="O1706" t="s">
        <v>967</v>
      </c>
      <c r="P1706" t="s">
        <v>550</v>
      </c>
      <c r="Q1706">
        <v>2021</v>
      </c>
      <c r="R1706" t="s">
        <v>594</v>
      </c>
      <c r="S1706" t="s">
        <v>150</v>
      </c>
      <c r="T1706" t="s">
        <v>553</v>
      </c>
      <c r="U1706" t="b">
        <v>0</v>
      </c>
      <c r="V1706" t="s">
        <v>789</v>
      </c>
      <c r="W1706" t="s">
        <v>587</v>
      </c>
      <c r="X1706" t="s">
        <v>556</v>
      </c>
      <c r="Y1706" t="s">
        <v>472</v>
      </c>
      <c r="Z1706" t="s">
        <v>485</v>
      </c>
      <c r="AA1706" t="s">
        <v>764</v>
      </c>
      <c r="AC1706">
        <v>0</v>
      </c>
      <c r="AD1706" t="s">
        <v>566</v>
      </c>
      <c r="AE1706">
        <v>5.7528899999999998</v>
      </c>
      <c r="AF1706">
        <v>1.49E-2</v>
      </c>
      <c r="AG1706" t="s">
        <v>786</v>
      </c>
      <c r="AH1706">
        <v>1</v>
      </c>
      <c r="AI1706">
        <v>386.1</v>
      </c>
      <c r="AJ1706" t="s">
        <v>561</v>
      </c>
      <c r="AK1706" t="s">
        <v>766</v>
      </c>
      <c r="AL1706" t="s">
        <v>790</v>
      </c>
      <c r="AM1706">
        <v>2021</v>
      </c>
      <c r="AN1706">
        <v>2021</v>
      </c>
      <c r="AO1706">
        <f>IF(AND(emissions[[#This Row],[Market-based]]=0,emissions[[#This Row],[Impact Type]]="CO2E"),emissions[[#This Row],[kgCO2e]],0)/1000</f>
        <v>0</v>
      </c>
      <c r="AP1706">
        <f>IF(AND(emissions[[#This Row],[Market-based]]=1,OR(emissions[[#This Row],[Impact Type]]="CO2E",emissions[[#This Row],[Impact Type]]="CO2E MKT")),emissions[[#This Row],[kgCO2e]],0)/1000</f>
        <v>0</v>
      </c>
      <c r="AQ1706" t="str">
        <f>_xlfn.TEXTAFTER(emissions[[#This Row],[Reporting Unit]]," &gt; ",LEN(emissions[[#This Row],[Reporting Unit]])-LEN(SUBSTITUTE(emissions[[#This Row],[Reporting Unit]],"&gt;","")))</f>
        <v>Vantage_Tucson</v>
      </c>
      <c r="AR1706" t="str">
        <f>_xlfn.XLOOKUP(emissions[[#This Row],[Reporting unit name]],hierarchy!$A:$A,hierarchy!$C:$C)</f>
        <v>Office</v>
      </c>
    </row>
    <row r="1707" spans="1:44" hidden="1" x14ac:dyDescent="0.25">
      <c r="A1707">
        <v>1236894</v>
      </c>
      <c r="B1707" t="s">
        <v>277</v>
      </c>
      <c r="C1707" t="s">
        <v>501</v>
      </c>
      <c r="D1707" t="s">
        <v>599</v>
      </c>
      <c r="E1707" s="3">
        <v>44197</v>
      </c>
      <c r="F1707" s="3">
        <v>44561</v>
      </c>
      <c r="G1707" t="s">
        <v>121</v>
      </c>
      <c r="H1707" s="3">
        <v>44197</v>
      </c>
      <c r="I1707" s="3">
        <v>44561</v>
      </c>
      <c r="J1707" t="s">
        <v>150</v>
      </c>
      <c r="K1707">
        <v>386.1</v>
      </c>
      <c r="L1707" t="s">
        <v>148</v>
      </c>
      <c r="M1707" t="s">
        <v>110</v>
      </c>
      <c r="O1707" t="s">
        <v>967</v>
      </c>
      <c r="P1707" t="s">
        <v>550</v>
      </c>
      <c r="Q1707">
        <v>2021</v>
      </c>
      <c r="R1707" t="s">
        <v>594</v>
      </c>
      <c r="S1707" t="s">
        <v>150</v>
      </c>
      <c r="T1707" t="s">
        <v>553</v>
      </c>
      <c r="U1707" t="b">
        <v>0</v>
      </c>
      <c r="V1707" t="s">
        <v>789</v>
      </c>
      <c r="W1707" t="s">
        <v>587</v>
      </c>
      <c r="X1707" t="s">
        <v>556</v>
      </c>
      <c r="Y1707" t="s">
        <v>472</v>
      </c>
      <c r="Z1707" t="s">
        <v>485</v>
      </c>
      <c r="AA1707" t="s">
        <v>764</v>
      </c>
      <c r="AC1707">
        <v>1</v>
      </c>
      <c r="AD1707" t="s">
        <v>558</v>
      </c>
      <c r="AE1707">
        <v>2.6061749999999999</v>
      </c>
      <c r="AF1707">
        <v>6.7499999999999999E-3</v>
      </c>
      <c r="AG1707" t="s">
        <v>786</v>
      </c>
      <c r="AH1707">
        <v>1</v>
      </c>
      <c r="AI1707">
        <v>386.1</v>
      </c>
      <c r="AJ1707" t="s">
        <v>561</v>
      </c>
      <c r="AK1707" t="s">
        <v>766</v>
      </c>
      <c r="AL1707" t="s">
        <v>790</v>
      </c>
      <c r="AM1707">
        <v>2021</v>
      </c>
      <c r="AN1707">
        <v>2021</v>
      </c>
      <c r="AO1707">
        <f>IF(AND(emissions[[#This Row],[Market-based]]=0,emissions[[#This Row],[Impact Type]]="CO2E"),emissions[[#This Row],[kgCO2e]],0)/1000</f>
        <v>0</v>
      </c>
      <c r="AP1707">
        <f>IF(AND(emissions[[#This Row],[Market-based]]=1,OR(emissions[[#This Row],[Impact Type]]="CO2E",emissions[[#This Row],[Impact Type]]="CO2E MKT")),emissions[[#This Row],[kgCO2e]],0)/1000</f>
        <v>0</v>
      </c>
      <c r="AQ1707" t="str">
        <f>_xlfn.TEXTAFTER(emissions[[#This Row],[Reporting Unit]]," &gt; ",LEN(emissions[[#This Row],[Reporting Unit]])-LEN(SUBSTITUTE(emissions[[#This Row],[Reporting Unit]],"&gt;","")))</f>
        <v>Vantage_Tucson</v>
      </c>
      <c r="AR1707" t="str">
        <f>_xlfn.XLOOKUP(emissions[[#This Row],[Reporting unit name]],hierarchy!$A:$A,hierarchy!$C:$C)</f>
        <v>Office</v>
      </c>
    </row>
    <row r="1708" spans="1:44" hidden="1" x14ac:dyDescent="0.25">
      <c r="A1708">
        <v>1236894</v>
      </c>
      <c r="B1708" t="s">
        <v>277</v>
      </c>
      <c r="C1708" t="s">
        <v>501</v>
      </c>
      <c r="D1708" t="s">
        <v>599</v>
      </c>
      <c r="E1708" s="3">
        <v>44197</v>
      </c>
      <c r="F1708" s="3">
        <v>44561</v>
      </c>
      <c r="G1708" t="s">
        <v>121</v>
      </c>
      <c r="H1708" s="3">
        <v>44197</v>
      </c>
      <c r="I1708" s="3">
        <v>44561</v>
      </c>
      <c r="J1708" t="s">
        <v>150</v>
      </c>
      <c r="K1708">
        <v>386.1</v>
      </c>
      <c r="L1708" t="s">
        <v>148</v>
      </c>
      <c r="M1708" t="s">
        <v>110</v>
      </c>
      <c r="O1708" t="s">
        <v>967</v>
      </c>
      <c r="P1708" t="s">
        <v>550</v>
      </c>
      <c r="Q1708">
        <v>2021</v>
      </c>
      <c r="R1708" t="s">
        <v>594</v>
      </c>
      <c r="S1708" t="s">
        <v>150</v>
      </c>
      <c r="T1708" t="s">
        <v>553</v>
      </c>
      <c r="U1708" t="b">
        <v>0</v>
      </c>
      <c r="V1708" t="s">
        <v>789</v>
      </c>
      <c r="W1708" t="s">
        <v>587</v>
      </c>
      <c r="X1708" t="s">
        <v>556</v>
      </c>
      <c r="Y1708" t="s">
        <v>472</v>
      </c>
      <c r="Z1708" t="s">
        <v>485</v>
      </c>
      <c r="AA1708" t="s">
        <v>764</v>
      </c>
      <c r="AC1708">
        <v>1</v>
      </c>
      <c r="AD1708" t="s">
        <v>564</v>
      </c>
      <c r="AE1708">
        <v>2208.4920000000002</v>
      </c>
      <c r="AF1708">
        <v>5.72</v>
      </c>
      <c r="AG1708" t="s">
        <v>786</v>
      </c>
      <c r="AH1708">
        <v>1</v>
      </c>
      <c r="AI1708">
        <v>386.1</v>
      </c>
      <c r="AJ1708" t="s">
        <v>561</v>
      </c>
      <c r="AK1708" t="s">
        <v>766</v>
      </c>
      <c r="AL1708" t="s">
        <v>790</v>
      </c>
      <c r="AM1708">
        <v>2021</v>
      </c>
      <c r="AN1708">
        <v>2021</v>
      </c>
      <c r="AO1708">
        <f>IF(AND(emissions[[#This Row],[Market-based]]=0,emissions[[#This Row],[Impact Type]]="CO2E"),emissions[[#This Row],[kgCO2e]],0)/1000</f>
        <v>0</v>
      </c>
      <c r="AP1708">
        <f>IF(AND(emissions[[#This Row],[Market-based]]=1,OR(emissions[[#This Row],[Impact Type]]="CO2E",emissions[[#This Row],[Impact Type]]="CO2E MKT")),emissions[[#This Row],[kgCO2e]],0)/1000</f>
        <v>0</v>
      </c>
      <c r="AQ1708" t="str">
        <f>_xlfn.TEXTAFTER(emissions[[#This Row],[Reporting Unit]]," &gt; ",LEN(emissions[[#This Row],[Reporting Unit]])-LEN(SUBSTITUTE(emissions[[#This Row],[Reporting Unit]],"&gt;","")))</f>
        <v>Vantage_Tucson</v>
      </c>
      <c r="AR1708" t="str">
        <f>_xlfn.XLOOKUP(emissions[[#This Row],[Reporting unit name]],hierarchy!$A:$A,hierarchy!$C:$C)</f>
        <v>Office</v>
      </c>
    </row>
    <row r="1709" spans="1:44" hidden="1" x14ac:dyDescent="0.25">
      <c r="A1709">
        <v>1236894</v>
      </c>
      <c r="B1709" t="s">
        <v>277</v>
      </c>
      <c r="C1709" t="s">
        <v>501</v>
      </c>
      <c r="D1709" t="s">
        <v>599</v>
      </c>
      <c r="E1709" s="3">
        <v>44197</v>
      </c>
      <c r="F1709" s="3">
        <v>44561</v>
      </c>
      <c r="G1709" t="s">
        <v>121</v>
      </c>
      <c r="H1709" s="3">
        <v>44197</v>
      </c>
      <c r="I1709" s="3">
        <v>44561</v>
      </c>
      <c r="J1709" t="s">
        <v>150</v>
      </c>
      <c r="K1709">
        <v>386.1</v>
      </c>
      <c r="L1709" t="s">
        <v>148</v>
      </c>
      <c r="M1709" t="s">
        <v>110</v>
      </c>
      <c r="O1709" t="s">
        <v>967</v>
      </c>
      <c r="P1709" t="s">
        <v>550</v>
      </c>
      <c r="Q1709">
        <v>2021</v>
      </c>
      <c r="R1709" t="s">
        <v>594</v>
      </c>
      <c r="S1709" t="s">
        <v>150</v>
      </c>
      <c r="T1709" t="s">
        <v>553</v>
      </c>
      <c r="U1709" t="b">
        <v>0</v>
      </c>
      <c r="V1709" t="s">
        <v>789</v>
      </c>
      <c r="W1709" t="s">
        <v>587</v>
      </c>
      <c r="X1709" t="s">
        <v>556</v>
      </c>
      <c r="Y1709" t="s">
        <v>472</v>
      </c>
      <c r="Z1709" t="s">
        <v>485</v>
      </c>
      <c r="AA1709" t="s">
        <v>764</v>
      </c>
      <c r="AC1709">
        <v>1</v>
      </c>
      <c r="AD1709" t="s">
        <v>565</v>
      </c>
      <c r="AE1709">
        <v>2216.8510649999998</v>
      </c>
      <c r="AF1709">
        <v>5.7416499999999999</v>
      </c>
      <c r="AG1709" t="s">
        <v>786</v>
      </c>
      <c r="AH1709">
        <v>1</v>
      </c>
      <c r="AI1709">
        <v>386.1</v>
      </c>
      <c r="AJ1709" t="s">
        <v>561</v>
      </c>
      <c r="AK1709" t="s">
        <v>766</v>
      </c>
      <c r="AL1709" t="s">
        <v>790</v>
      </c>
      <c r="AM1709">
        <v>2021</v>
      </c>
      <c r="AN1709">
        <v>2021</v>
      </c>
      <c r="AO1709">
        <f>IF(AND(emissions[[#This Row],[Market-based]]=0,emissions[[#This Row],[Impact Type]]="CO2E"),emissions[[#This Row],[kgCO2e]],0)/1000</f>
        <v>0</v>
      </c>
      <c r="AP1709">
        <f>IF(AND(emissions[[#This Row],[Market-based]]=1,OR(emissions[[#This Row],[Impact Type]]="CO2E",emissions[[#This Row],[Impact Type]]="CO2E MKT")),emissions[[#This Row],[kgCO2e]],0)/1000</f>
        <v>2.2168510649999997</v>
      </c>
      <c r="AQ1709" t="str">
        <f>_xlfn.TEXTAFTER(emissions[[#This Row],[Reporting Unit]]," &gt; ",LEN(emissions[[#This Row],[Reporting Unit]])-LEN(SUBSTITUTE(emissions[[#This Row],[Reporting Unit]],"&gt;","")))</f>
        <v>Vantage_Tucson</v>
      </c>
      <c r="AR1709" t="str">
        <f>_xlfn.XLOOKUP(emissions[[#This Row],[Reporting unit name]],hierarchy!$A:$A,hierarchy!$C:$C)</f>
        <v>Office</v>
      </c>
    </row>
    <row r="1710" spans="1:44" hidden="1" x14ac:dyDescent="0.25">
      <c r="A1710">
        <v>1236894</v>
      </c>
      <c r="B1710" t="s">
        <v>277</v>
      </c>
      <c r="C1710" t="s">
        <v>501</v>
      </c>
      <c r="D1710" t="s">
        <v>599</v>
      </c>
      <c r="E1710" s="3">
        <v>44197</v>
      </c>
      <c r="F1710" s="3">
        <v>44561</v>
      </c>
      <c r="G1710" t="s">
        <v>121</v>
      </c>
      <c r="H1710" s="3">
        <v>44197</v>
      </c>
      <c r="I1710" s="3">
        <v>44561</v>
      </c>
      <c r="J1710" t="s">
        <v>150</v>
      </c>
      <c r="K1710">
        <v>386.1</v>
      </c>
      <c r="L1710" t="s">
        <v>148</v>
      </c>
      <c r="M1710" t="s">
        <v>110</v>
      </c>
      <c r="O1710" t="s">
        <v>967</v>
      </c>
      <c r="P1710" t="s">
        <v>550</v>
      </c>
      <c r="Q1710">
        <v>2021</v>
      </c>
      <c r="R1710" t="s">
        <v>594</v>
      </c>
      <c r="S1710" t="s">
        <v>150</v>
      </c>
      <c r="T1710" t="s">
        <v>553</v>
      </c>
      <c r="U1710" t="b">
        <v>0</v>
      </c>
      <c r="V1710" t="s">
        <v>789</v>
      </c>
      <c r="W1710" t="s">
        <v>587</v>
      </c>
      <c r="X1710" t="s">
        <v>556</v>
      </c>
      <c r="Y1710" t="s">
        <v>472</v>
      </c>
      <c r="Z1710" t="s">
        <v>485</v>
      </c>
      <c r="AA1710" t="s">
        <v>764</v>
      </c>
      <c r="AC1710">
        <v>1</v>
      </c>
      <c r="AD1710" t="s">
        <v>566</v>
      </c>
      <c r="AE1710">
        <v>5.7528899999999998</v>
      </c>
      <c r="AF1710">
        <v>1.49E-2</v>
      </c>
      <c r="AG1710" t="s">
        <v>786</v>
      </c>
      <c r="AH1710">
        <v>1</v>
      </c>
      <c r="AI1710">
        <v>386.1</v>
      </c>
      <c r="AJ1710" t="s">
        <v>561</v>
      </c>
      <c r="AK1710" t="s">
        <v>766</v>
      </c>
      <c r="AL1710" t="s">
        <v>790</v>
      </c>
      <c r="AM1710">
        <v>2021</v>
      </c>
      <c r="AN1710">
        <v>2021</v>
      </c>
      <c r="AO1710">
        <f>IF(AND(emissions[[#This Row],[Market-based]]=0,emissions[[#This Row],[Impact Type]]="CO2E"),emissions[[#This Row],[kgCO2e]],0)/1000</f>
        <v>0</v>
      </c>
      <c r="AP1710">
        <f>IF(AND(emissions[[#This Row],[Market-based]]=1,OR(emissions[[#This Row],[Impact Type]]="CO2E",emissions[[#This Row],[Impact Type]]="CO2E MKT")),emissions[[#This Row],[kgCO2e]],0)/1000</f>
        <v>0</v>
      </c>
      <c r="AQ1710" t="str">
        <f>_xlfn.TEXTAFTER(emissions[[#This Row],[Reporting Unit]]," &gt; ",LEN(emissions[[#This Row],[Reporting Unit]])-LEN(SUBSTITUTE(emissions[[#This Row],[Reporting Unit]],"&gt;","")))</f>
        <v>Vantage_Tucson</v>
      </c>
      <c r="AR1710" t="str">
        <f>_xlfn.XLOOKUP(emissions[[#This Row],[Reporting unit name]],hierarchy!$A:$A,hierarchy!$C:$C)</f>
        <v>Office</v>
      </c>
    </row>
    <row r="1711" spans="1:44" hidden="1" x14ac:dyDescent="0.25">
      <c r="A1711">
        <v>1236894</v>
      </c>
      <c r="B1711" t="s">
        <v>277</v>
      </c>
      <c r="C1711" t="s">
        <v>501</v>
      </c>
      <c r="D1711" t="s">
        <v>599</v>
      </c>
      <c r="E1711" s="3">
        <v>44197</v>
      </c>
      <c r="F1711" s="3">
        <v>44561</v>
      </c>
      <c r="G1711" t="s">
        <v>121</v>
      </c>
      <c r="H1711" s="3">
        <v>44197</v>
      </c>
      <c r="I1711" s="3">
        <v>44561</v>
      </c>
      <c r="J1711" t="s">
        <v>150</v>
      </c>
      <c r="K1711">
        <v>386.1</v>
      </c>
      <c r="L1711" t="s">
        <v>148</v>
      </c>
      <c r="M1711" t="s">
        <v>110</v>
      </c>
      <c r="O1711" t="s">
        <v>967</v>
      </c>
      <c r="P1711" t="s">
        <v>550</v>
      </c>
      <c r="Q1711">
        <v>2021</v>
      </c>
      <c r="R1711" t="s">
        <v>596</v>
      </c>
      <c r="S1711" t="s">
        <v>597</v>
      </c>
      <c r="T1711" t="s">
        <v>577</v>
      </c>
      <c r="U1711" t="b">
        <v>0</v>
      </c>
      <c r="V1711" t="s">
        <v>795</v>
      </c>
      <c r="W1711" t="s">
        <v>571</v>
      </c>
      <c r="X1711" t="s">
        <v>572</v>
      </c>
      <c r="AC1711">
        <v>0</v>
      </c>
      <c r="AD1711" t="s">
        <v>565</v>
      </c>
      <c r="AE1711">
        <v>263.75073570000001</v>
      </c>
      <c r="AF1711">
        <v>0.18046000000000001</v>
      </c>
      <c r="AG1711" t="s">
        <v>588</v>
      </c>
      <c r="AH1711">
        <v>3.7854100000000002</v>
      </c>
      <c r="AI1711">
        <v>1461.546801</v>
      </c>
      <c r="AJ1711" t="s">
        <v>561</v>
      </c>
      <c r="AK1711" t="s">
        <v>589</v>
      </c>
      <c r="AL1711" t="s">
        <v>603</v>
      </c>
      <c r="AM1711">
        <v>2021</v>
      </c>
      <c r="AN1711">
        <v>2019</v>
      </c>
      <c r="AO1711">
        <f>IF(AND(emissions[[#This Row],[Market-based]]=0,emissions[[#This Row],[Impact Type]]="CO2E"),emissions[[#This Row],[kgCO2e]],0)/1000</f>
        <v>0.26375073570000002</v>
      </c>
      <c r="AP1711">
        <f>IF(AND(emissions[[#This Row],[Market-based]]=1,OR(emissions[[#This Row],[Impact Type]]="CO2E",emissions[[#This Row],[Impact Type]]="CO2E MKT")),emissions[[#This Row],[kgCO2e]],0)/1000</f>
        <v>0</v>
      </c>
      <c r="AQ1711" t="str">
        <f>_xlfn.TEXTAFTER(emissions[[#This Row],[Reporting Unit]]," &gt; ",LEN(emissions[[#This Row],[Reporting Unit]])-LEN(SUBSTITUTE(emissions[[#This Row],[Reporting Unit]],"&gt;","")))</f>
        <v>Vantage_Tucson</v>
      </c>
      <c r="AR1711" t="str">
        <f>_xlfn.XLOOKUP(emissions[[#This Row],[Reporting unit name]],hierarchy!$A:$A,hierarchy!$C:$C)</f>
        <v>Office</v>
      </c>
    </row>
    <row r="1712" spans="1:44" hidden="1" x14ac:dyDescent="0.25">
      <c r="A1712">
        <v>1236894</v>
      </c>
      <c r="B1712" t="s">
        <v>277</v>
      </c>
      <c r="C1712" t="s">
        <v>501</v>
      </c>
      <c r="D1712" t="s">
        <v>599</v>
      </c>
      <c r="E1712" s="3">
        <v>44197</v>
      </c>
      <c r="F1712" s="3">
        <v>44561</v>
      </c>
      <c r="G1712" t="s">
        <v>121</v>
      </c>
      <c r="H1712" s="3">
        <v>44197</v>
      </c>
      <c r="I1712" s="3">
        <v>44561</v>
      </c>
      <c r="J1712" t="s">
        <v>150</v>
      </c>
      <c r="K1712">
        <v>386.1</v>
      </c>
      <c r="L1712" t="s">
        <v>148</v>
      </c>
      <c r="M1712" t="s">
        <v>110</v>
      </c>
      <c r="O1712" t="s">
        <v>967</v>
      </c>
      <c r="P1712" t="s">
        <v>550</v>
      </c>
      <c r="Q1712">
        <v>2021</v>
      </c>
      <c r="R1712" t="s">
        <v>596</v>
      </c>
      <c r="S1712" t="s">
        <v>597</v>
      </c>
      <c r="T1712" t="s">
        <v>577</v>
      </c>
      <c r="U1712" t="b">
        <v>0</v>
      </c>
      <c r="V1712" t="s">
        <v>795</v>
      </c>
      <c r="W1712" t="s">
        <v>571</v>
      </c>
      <c r="X1712" t="s">
        <v>572</v>
      </c>
      <c r="AC1712">
        <v>1</v>
      </c>
      <c r="AD1712" t="s">
        <v>565</v>
      </c>
      <c r="AE1712">
        <v>263.75073570000001</v>
      </c>
      <c r="AF1712">
        <v>0.18046000000000001</v>
      </c>
      <c r="AG1712" t="s">
        <v>588</v>
      </c>
      <c r="AH1712">
        <v>3.7854100000000002</v>
      </c>
      <c r="AI1712">
        <v>1461.546801</v>
      </c>
      <c r="AJ1712" t="s">
        <v>561</v>
      </c>
      <c r="AK1712" t="s">
        <v>589</v>
      </c>
      <c r="AL1712" t="s">
        <v>603</v>
      </c>
      <c r="AM1712">
        <v>2021</v>
      </c>
      <c r="AN1712">
        <v>2019</v>
      </c>
      <c r="AO1712">
        <f>IF(AND(emissions[[#This Row],[Market-based]]=0,emissions[[#This Row],[Impact Type]]="CO2E"),emissions[[#This Row],[kgCO2e]],0)/1000</f>
        <v>0</v>
      </c>
      <c r="AP1712">
        <f>IF(AND(emissions[[#This Row],[Market-based]]=1,OR(emissions[[#This Row],[Impact Type]]="CO2E",emissions[[#This Row],[Impact Type]]="CO2E MKT")),emissions[[#This Row],[kgCO2e]],0)/1000</f>
        <v>0.26375073570000002</v>
      </c>
      <c r="AQ1712" t="str">
        <f>_xlfn.TEXTAFTER(emissions[[#This Row],[Reporting Unit]]," &gt; ",LEN(emissions[[#This Row],[Reporting Unit]])-LEN(SUBSTITUTE(emissions[[#This Row],[Reporting Unit]],"&gt;","")))</f>
        <v>Vantage_Tucson</v>
      </c>
      <c r="AR1712" t="str">
        <f>_xlfn.XLOOKUP(emissions[[#This Row],[Reporting unit name]],hierarchy!$A:$A,hierarchy!$C:$C)</f>
        <v>Office</v>
      </c>
    </row>
    <row r="1713" spans="1:44" hidden="1" x14ac:dyDescent="0.25">
      <c r="A1713">
        <v>237865</v>
      </c>
      <c r="B1713" t="s">
        <v>267</v>
      </c>
      <c r="C1713" t="s">
        <v>501</v>
      </c>
      <c r="D1713" t="s">
        <v>548</v>
      </c>
      <c r="E1713" s="3">
        <v>44562</v>
      </c>
      <c r="F1713" s="3">
        <v>44926</v>
      </c>
      <c r="G1713" t="s">
        <v>108</v>
      </c>
      <c r="H1713" s="3">
        <v>44562</v>
      </c>
      <c r="I1713" s="3">
        <v>44926</v>
      </c>
      <c r="J1713" t="s">
        <v>108</v>
      </c>
      <c r="K1713">
        <v>315089</v>
      </c>
      <c r="L1713" t="s">
        <v>109</v>
      </c>
      <c r="M1713" t="s">
        <v>110</v>
      </c>
      <c r="O1713" t="s">
        <v>968</v>
      </c>
      <c r="P1713" t="s">
        <v>550</v>
      </c>
      <c r="Q1713">
        <v>2022</v>
      </c>
      <c r="R1713" t="s">
        <v>551</v>
      </c>
      <c r="S1713" t="s">
        <v>552</v>
      </c>
      <c r="T1713" t="s">
        <v>553</v>
      </c>
      <c r="U1713" t="b">
        <v>0</v>
      </c>
      <c r="V1713" t="s">
        <v>894</v>
      </c>
      <c r="W1713" t="s">
        <v>555</v>
      </c>
      <c r="X1713" t="s">
        <v>556</v>
      </c>
      <c r="Y1713" t="s">
        <v>472</v>
      </c>
      <c r="Z1713" t="s">
        <v>485</v>
      </c>
      <c r="AA1713" t="s">
        <v>764</v>
      </c>
      <c r="AB1713" t="s">
        <v>895</v>
      </c>
      <c r="AC1713">
        <v>0</v>
      </c>
      <c r="AD1713" t="s">
        <v>558</v>
      </c>
      <c r="AE1713">
        <v>160.7872121</v>
      </c>
      <c r="AF1713">
        <v>5.1029099999999996E-4</v>
      </c>
      <c r="AG1713" t="s">
        <v>560</v>
      </c>
      <c r="AH1713">
        <v>1</v>
      </c>
      <c r="AI1713">
        <v>315089</v>
      </c>
      <c r="AJ1713" t="s">
        <v>561</v>
      </c>
      <c r="AK1713" t="s">
        <v>766</v>
      </c>
      <c r="AL1713" t="s">
        <v>767</v>
      </c>
      <c r="AM1713">
        <v>2022</v>
      </c>
      <c r="AN1713">
        <v>2020</v>
      </c>
      <c r="AO1713">
        <f>IF(AND(emissions[[#This Row],[Market-based]]=0,emissions[[#This Row],[Impact Type]]="CO2E"),emissions[[#This Row],[kgCO2e]],0)/1000</f>
        <v>0</v>
      </c>
      <c r="AP1713">
        <f>IF(AND(emissions[[#This Row],[Market-based]]=1,OR(emissions[[#This Row],[Impact Type]]="CO2E",emissions[[#This Row],[Impact Type]]="CO2E MKT")),emissions[[#This Row],[kgCO2e]],0)/1000</f>
        <v>0</v>
      </c>
      <c r="AQ1713" t="str">
        <f>_xlfn.TEXTAFTER(emissions[[#This Row],[Reporting Unit]]," &gt; ",LEN(emissions[[#This Row],[Reporting Unit]])-LEN(SUBSTITUTE(emissions[[#This Row],[Reporting Unit]],"&gt;","")))</f>
        <v>Vantage_Warren</v>
      </c>
      <c r="AR1713" t="str">
        <f>_xlfn.XLOOKUP(emissions[[#This Row],[Reporting unit name]],hierarchy!$A:$A,hierarchy!$C:$C)</f>
        <v>Office</v>
      </c>
    </row>
    <row r="1714" spans="1:44" hidden="1" x14ac:dyDescent="0.25">
      <c r="A1714">
        <v>237865</v>
      </c>
      <c r="B1714" t="s">
        <v>267</v>
      </c>
      <c r="C1714" t="s">
        <v>501</v>
      </c>
      <c r="D1714" t="s">
        <v>548</v>
      </c>
      <c r="E1714" s="3">
        <v>44562</v>
      </c>
      <c r="F1714" s="3">
        <v>44926</v>
      </c>
      <c r="G1714" t="s">
        <v>108</v>
      </c>
      <c r="H1714" s="3">
        <v>44562</v>
      </c>
      <c r="I1714" s="3">
        <v>44926</v>
      </c>
      <c r="J1714" t="s">
        <v>108</v>
      </c>
      <c r="K1714">
        <v>315089</v>
      </c>
      <c r="L1714" t="s">
        <v>109</v>
      </c>
      <c r="M1714" t="s">
        <v>110</v>
      </c>
      <c r="O1714" t="s">
        <v>968</v>
      </c>
      <c r="P1714" t="s">
        <v>550</v>
      </c>
      <c r="Q1714">
        <v>2022</v>
      </c>
      <c r="R1714" t="s">
        <v>551</v>
      </c>
      <c r="S1714" t="s">
        <v>552</v>
      </c>
      <c r="T1714" t="s">
        <v>553</v>
      </c>
      <c r="U1714" t="b">
        <v>0</v>
      </c>
      <c r="V1714" t="s">
        <v>894</v>
      </c>
      <c r="W1714" t="s">
        <v>555</v>
      </c>
      <c r="X1714" t="s">
        <v>556</v>
      </c>
      <c r="Y1714" t="s">
        <v>472</v>
      </c>
      <c r="Z1714" t="s">
        <v>485</v>
      </c>
      <c r="AA1714" t="s">
        <v>764</v>
      </c>
      <c r="AB1714" t="s">
        <v>895</v>
      </c>
      <c r="AC1714">
        <v>0</v>
      </c>
      <c r="AD1714" t="s">
        <v>564</v>
      </c>
      <c r="AE1714">
        <v>93250.580270000006</v>
      </c>
      <c r="AF1714">
        <v>0.29594997099999998</v>
      </c>
      <c r="AG1714" t="s">
        <v>560</v>
      </c>
      <c r="AH1714">
        <v>1</v>
      </c>
      <c r="AI1714">
        <v>315089</v>
      </c>
      <c r="AJ1714" t="s">
        <v>561</v>
      </c>
      <c r="AK1714" t="s">
        <v>766</v>
      </c>
      <c r="AL1714" t="s">
        <v>767</v>
      </c>
      <c r="AM1714">
        <v>2022</v>
      </c>
      <c r="AN1714">
        <v>2020</v>
      </c>
      <c r="AO1714">
        <f>IF(AND(emissions[[#This Row],[Market-based]]=0,emissions[[#This Row],[Impact Type]]="CO2E"),emissions[[#This Row],[kgCO2e]],0)/1000</f>
        <v>0</v>
      </c>
      <c r="AP1714">
        <f>IF(AND(emissions[[#This Row],[Market-based]]=1,OR(emissions[[#This Row],[Impact Type]]="CO2E",emissions[[#This Row],[Impact Type]]="CO2E MKT")),emissions[[#This Row],[kgCO2e]],0)/1000</f>
        <v>0</v>
      </c>
      <c r="AQ1714" t="str">
        <f>_xlfn.TEXTAFTER(emissions[[#This Row],[Reporting Unit]]," &gt; ",LEN(emissions[[#This Row],[Reporting Unit]])-LEN(SUBSTITUTE(emissions[[#This Row],[Reporting Unit]],"&gt;","")))</f>
        <v>Vantage_Warren</v>
      </c>
      <c r="AR1714" t="str">
        <f>_xlfn.XLOOKUP(emissions[[#This Row],[Reporting unit name]],hierarchy!$A:$A,hierarchy!$C:$C)</f>
        <v>Office</v>
      </c>
    </row>
    <row r="1715" spans="1:44" hidden="1" x14ac:dyDescent="0.25">
      <c r="A1715">
        <v>237865</v>
      </c>
      <c r="B1715" t="s">
        <v>267</v>
      </c>
      <c r="C1715" t="s">
        <v>501</v>
      </c>
      <c r="D1715" t="s">
        <v>548</v>
      </c>
      <c r="E1715" s="3">
        <v>44562</v>
      </c>
      <c r="F1715" s="3">
        <v>44926</v>
      </c>
      <c r="G1715" t="s">
        <v>108</v>
      </c>
      <c r="H1715" s="3">
        <v>44562</v>
      </c>
      <c r="I1715" s="3">
        <v>44926</v>
      </c>
      <c r="J1715" t="s">
        <v>108</v>
      </c>
      <c r="K1715">
        <v>315089</v>
      </c>
      <c r="L1715" t="s">
        <v>109</v>
      </c>
      <c r="M1715" t="s">
        <v>110</v>
      </c>
      <c r="O1715" t="s">
        <v>968</v>
      </c>
      <c r="P1715" t="s">
        <v>550</v>
      </c>
      <c r="Q1715">
        <v>2022</v>
      </c>
      <c r="R1715" t="s">
        <v>551</v>
      </c>
      <c r="S1715" t="s">
        <v>552</v>
      </c>
      <c r="T1715" t="s">
        <v>553</v>
      </c>
      <c r="U1715" t="b">
        <v>0</v>
      </c>
      <c r="V1715" t="s">
        <v>894</v>
      </c>
      <c r="W1715" t="s">
        <v>555</v>
      </c>
      <c r="X1715" t="s">
        <v>556</v>
      </c>
      <c r="Y1715" t="s">
        <v>472</v>
      </c>
      <c r="Z1715" t="s">
        <v>485</v>
      </c>
      <c r="AA1715" t="s">
        <v>764</v>
      </c>
      <c r="AB1715" t="s">
        <v>895</v>
      </c>
      <c r="AC1715">
        <v>0</v>
      </c>
      <c r="AD1715" t="s">
        <v>565</v>
      </c>
      <c r="AE1715">
        <v>93666.911959999998</v>
      </c>
      <c r="AF1715">
        <v>0.297271285</v>
      </c>
      <c r="AG1715" t="s">
        <v>560</v>
      </c>
      <c r="AH1715">
        <v>1</v>
      </c>
      <c r="AI1715">
        <v>315089</v>
      </c>
      <c r="AJ1715" t="s">
        <v>561</v>
      </c>
      <c r="AK1715" t="s">
        <v>766</v>
      </c>
      <c r="AL1715" t="s">
        <v>767</v>
      </c>
      <c r="AM1715">
        <v>2022</v>
      </c>
      <c r="AN1715">
        <v>2020</v>
      </c>
      <c r="AO1715">
        <f>IF(AND(emissions[[#This Row],[Market-based]]=0,emissions[[#This Row],[Impact Type]]="CO2E"),emissions[[#This Row],[kgCO2e]],0)/1000</f>
        <v>93.666911959999993</v>
      </c>
      <c r="AP1715">
        <f>IF(AND(emissions[[#This Row],[Market-based]]=1,OR(emissions[[#This Row],[Impact Type]]="CO2E",emissions[[#This Row],[Impact Type]]="CO2E MKT")),emissions[[#This Row],[kgCO2e]],0)/1000</f>
        <v>0</v>
      </c>
      <c r="AQ1715" t="str">
        <f>_xlfn.TEXTAFTER(emissions[[#This Row],[Reporting Unit]]," &gt; ",LEN(emissions[[#This Row],[Reporting Unit]])-LEN(SUBSTITUTE(emissions[[#This Row],[Reporting Unit]],"&gt;","")))</f>
        <v>Vantage_Warren</v>
      </c>
      <c r="AR1715" t="str">
        <f>_xlfn.XLOOKUP(emissions[[#This Row],[Reporting unit name]],hierarchy!$A:$A,hierarchy!$C:$C)</f>
        <v>Office</v>
      </c>
    </row>
    <row r="1716" spans="1:44" hidden="1" x14ac:dyDescent="0.25">
      <c r="A1716">
        <v>237865</v>
      </c>
      <c r="B1716" t="s">
        <v>267</v>
      </c>
      <c r="C1716" t="s">
        <v>501</v>
      </c>
      <c r="D1716" t="s">
        <v>548</v>
      </c>
      <c r="E1716" s="3">
        <v>44562</v>
      </c>
      <c r="F1716" s="3">
        <v>44926</v>
      </c>
      <c r="G1716" t="s">
        <v>108</v>
      </c>
      <c r="H1716" s="3">
        <v>44562</v>
      </c>
      <c r="I1716" s="3">
        <v>44926</v>
      </c>
      <c r="J1716" t="s">
        <v>108</v>
      </c>
      <c r="K1716">
        <v>315089</v>
      </c>
      <c r="L1716" t="s">
        <v>109</v>
      </c>
      <c r="M1716" t="s">
        <v>110</v>
      </c>
      <c r="O1716" t="s">
        <v>968</v>
      </c>
      <c r="P1716" t="s">
        <v>550</v>
      </c>
      <c r="Q1716">
        <v>2022</v>
      </c>
      <c r="R1716" t="s">
        <v>551</v>
      </c>
      <c r="S1716" t="s">
        <v>552</v>
      </c>
      <c r="T1716" t="s">
        <v>553</v>
      </c>
      <c r="U1716" t="b">
        <v>0</v>
      </c>
      <c r="V1716" t="s">
        <v>894</v>
      </c>
      <c r="W1716" t="s">
        <v>555</v>
      </c>
      <c r="X1716" t="s">
        <v>556</v>
      </c>
      <c r="Y1716" t="s">
        <v>472</v>
      </c>
      <c r="Z1716" t="s">
        <v>485</v>
      </c>
      <c r="AA1716" t="s">
        <v>764</v>
      </c>
      <c r="AB1716" t="s">
        <v>895</v>
      </c>
      <c r="AC1716">
        <v>0</v>
      </c>
      <c r="AD1716" t="s">
        <v>566</v>
      </c>
      <c r="AE1716">
        <v>255.54447569999999</v>
      </c>
      <c r="AF1716">
        <v>8.1102300000000002E-4</v>
      </c>
      <c r="AG1716" t="s">
        <v>560</v>
      </c>
      <c r="AH1716">
        <v>1</v>
      </c>
      <c r="AI1716">
        <v>315089</v>
      </c>
      <c r="AJ1716" t="s">
        <v>561</v>
      </c>
      <c r="AK1716" t="s">
        <v>766</v>
      </c>
      <c r="AL1716" t="s">
        <v>767</v>
      </c>
      <c r="AM1716">
        <v>2022</v>
      </c>
      <c r="AN1716">
        <v>2020</v>
      </c>
      <c r="AO1716">
        <f>IF(AND(emissions[[#This Row],[Market-based]]=0,emissions[[#This Row],[Impact Type]]="CO2E"),emissions[[#This Row],[kgCO2e]],0)/1000</f>
        <v>0</v>
      </c>
      <c r="AP1716">
        <f>IF(AND(emissions[[#This Row],[Market-based]]=1,OR(emissions[[#This Row],[Impact Type]]="CO2E",emissions[[#This Row],[Impact Type]]="CO2E MKT")),emissions[[#This Row],[kgCO2e]],0)/1000</f>
        <v>0</v>
      </c>
      <c r="AQ1716" t="str">
        <f>_xlfn.TEXTAFTER(emissions[[#This Row],[Reporting Unit]]," &gt; ",LEN(emissions[[#This Row],[Reporting Unit]])-LEN(SUBSTITUTE(emissions[[#This Row],[Reporting Unit]],"&gt;","")))</f>
        <v>Vantage_Warren</v>
      </c>
      <c r="AR1716" t="str">
        <f>_xlfn.XLOOKUP(emissions[[#This Row],[Reporting unit name]],hierarchy!$A:$A,hierarchy!$C:$C)</f>
        <v>Office</v>
      </c>
    </row>
    <row r="1717" spans="1:44" hidden="1" x14ac:dyDescent="0.25">
      <c r="A1717">
        <v>237865</v>
      </c>
      <c r="B1717" t="s">
        <v>267</v>
      </c>
      <c r="C1717" t="s">
        <v>501</v>
      </c>
      <c r="D1717" t="s">
        <v>548</v>
      </c>
      <c r="E1717" s="3">
        <v>44562</v>
      </c>
      <c r="F1717" s="3">
        <v>44926</v>
      </c>
      <c r="G1717" t="s">
        <v>108</v>
      </c>
      <c r="H1717" s="3">
        <v>44562</v>
      </c>
      <c r="I1717" s="3">
        <v>44926</v>
      </c>
      <c r="J1717" t="s">
        <v>108</v>
      </c>
      <c r="K1717">
        <v>315089</v>
      </c>
      <c r="L1717" t="s">
        <v>109</v>
      </c>
      <c r="M1717" t="s">
        <v>110</v>
      </c>
      <c r="O1717" t="s">
        <v>968</v>
      </c>
      <c r="P1717" t="s">
        <v>550</v>
      </c>
      <c r="Q1717">
        <v>2022</v>
      </c>
      <c r="R1717" t="s">
        <v>551</v>
      </c>
      <c r="S1717" t="s">
        <v>552</v>
      </c>
      <c r="T1717" t="s">
        <v>553</v>
      </c>
      <c r="U1717" t="b">
        <v>0</v>
      </c>
      <c r="V1717" t="s">
        <v>894</v>
      </c>
      <c r="W1717" t="s">
        <v>555</v>
      </c>
      <c r="X1717" t="s">
        <v>556</v>
      </c>
      <c r="Y1717" t="s">
        <v>472</v>
      </c>
      <c r="Z1717" t="s">
        <v>485</v>
      </c>
      <c r="AA1717" t="s">
        <v>764</v>
      </c>
      <c r="AB1717" t="s">
        <v>895</v>
      </c>
      <c r="AC1717">
        <v>1</v>
      </c>
      <c r="AD1717" t="s">
        <v>639</v>
      </c>
      <c r="AE1717">
        <v>93280.87066</v>
      </c>
      <c r="AF1717">
        <v>0.296046103</v>
      </c>
      <c r="AG1717" t="s">
        <v>560</v>
      </c>
      <c r="AH1717">
        <v>1</v>
      </c>
      <c r="AI1717">
        <v>315089</v>
      </c>
      <c r="AJ1717" t="s">
        <v>561</v>
      </c>
      <c r="AK1717" t="s">
        <v>833</v>
      </c>
      <c r="AL1717" t="s">
        <v>834</v>
      </c>
      <c r="AM1717">
        <v>2022</v>
      </c>
      <c r="AN1717">
        <v>2020</v>
      </c>
      <c r="AO1717">
        <f>IF(AND(emissions[[#This Row],[Market-based]]=0,emissions[[#This Row],[Impact Type]]="CO2E"),emissions[[#This Row],[kgCO2e]],0)/1000</f>
        <v>0</v>
      </c>
      <c r="AP1717">
        <f>IF(AND(emissions[[#This Row],[Market-based]]=1,OR(emissions[[#This Row],[Impact Type]]="CO2E",emissions[[#This Row],[Impact Type]]="CO2E MKT")),emissions[[#This Row],[kgCO2e]],0)/1000</f>
        <v>93.280870660000005</v>
      </c>
      <c r="AQ1717" t="str">
        <f>_xlfn.TEXTAFTER(emissions[[#This Row],[Reporting Unit]]," &gt; ",LEN(emissions[[#This Row],[Reporting Unit]])-LEN(SUBSTITUTE(emissions[[#This Row],[Reporting Unit]],"&gt;","")))</f>
        <v>Vantage_Warren</v>
      </c>
      <c r="AR1717" t="str">
        <f>_xlfn.XLOOKUP(emissions[[#This Row],[Reporting unit name]],hierarchy!$A:$A,hierarchy!$C:$C)</f>
        <v>Office</v>
      </c>
    </row>
    <row r="1718" spans="1:44" hidden="1" x14ac:dyDescent="0.25">
      <c r="A1718">
        <v>237865</v>
      </c>
      <c r="B1718" t="s">
        <v>267</v>
      </c>
      <c r="C1718" t="s">
        <v>501</v>
      </c>
      <c r="D1718" t="s">
        <v>548</v>
      </c>
      <c r="E1718" s="3">
        <v>44562</v>
      </c>
      <c r="F1718" s="3">
        <v>44926</v>
      </c>
      <c r="G1718" t="s">
        <v>108</v>
      </c>
      <c r="H1718" s="3">
        <v>44562</v>
      </c>
      <c r="I1718" s="3">
        <v>44926</v>
      </c>
      <c r="J1718" t="s">
        <v>108</v>
      </c>
      <c r="K1718">
        <v>315089</v>
      </c>
      <c r="L1718" t="s">
        <v>109</v>
      </c>
      <c r="M1718" t="s">
        <v>110</v>
      </c>
      <c r="O1718" t="s">
        <v>968</v>
      </c>
      <c r="P1718" t="s">
        <v>550</v>
      </c>
      <c r="Q1718">
        <v>2022</v>
      </c>
      <c r="R1718" t="s">
        <v>567</v>
      </c>
      <c r="S1718" t="s">
        <v>568</v>
      </c>
      <c r="T1718" t="s">
        <v>569</v>
      </c>
      <c r="U1718" t="b">
        <v>0</v>
      </c>
      <c r="V1718" t="s">
        <v>896</v>
      </c>
      <c r="W1718" t="s">
        <v>571</v>
      </c>
      <c r="X1718" t="s">
        <v>572</v>
      </c>
      <c r="Y1718" t="s">
        <v>472</v>
      </c>
      <c r="Z1718" t="s">
        <v>485</v>
      </c>
      <c r="AA1718" t="s">
        <v>764</v>
      </c>
      <c r="AB1718" t="s">
        <v>895</v>
      </c>
      <c r="AC1718">
        <v>0</v>
      </c>
      <c r="AD1718" t="s">
        <v>565</v>
      </c>
      <c r="AE1718">
        <v>1466.6975789999999</v>
      </c>
      <c r="AF1718">
        <v>4.6548680000000004E-3</v>
      </c>
      <c r="AG1718" t="s">
        <v>560</v>
      </c>
      <c r="AH1718">
        <v>1</v>
      </c>
      <c r="AI1718">
        <v>315089</v>
      </c>
      <c r="AJ1718" t="s">
        <v>561</v>
      </c>
      <c r="AK1718" t="s">
        <v>573</v>
      </c>
      <c r="AL1718" t="s">
        <v>574</v>
      </c>
      <c r="AM1718">
        <v>2022</v>
      </c>
      <c r="AN1718">
        <v>2020</v>
      </c>
      <c r="AO1718">
        <f>IF(AND(emissions[[#This Row],[Market-based]]=0,emissions[[#This Row],[Impact Type]]="CO2E"),emissions[[#This Row],[kgCO2e]],0)/1000</f>
        <v>1.4666975789999999</v>
      </c>
      <c r="AP1718">
        <f>IF(AND(emissions[[#This Row],[Market-based]]=1,OR(emissions[[#This Row],[Impact Type]]="CO2E",emissions[[#This Row],[Impact Type]]="CO2E MKT")),emissions[[#This Row],[kgCO2e]],0)/1000</f>
        <v>0</v>
      </c>
      <c r="AQ1718" t="str">
        <f>_xlfn.TEXTAFTER(emissions[[#This Row],[Reporting Unit]]," &gt; ",LEN(emissions[[#This Row],[Reporting Unit]])-LEN(SUBSTITUTE(emissions[[#This Row],[Reporting Unit]],"&gt;","")))</f>
        <v>Vantage_Warren</v>
      </c>
      <c r="AR1718" t="str">
        <f>_xlfn.XLOOKUP(emissions[[#This Row],[Reporting unit name]],hierarchy!$A:$A,hierarchy!$C:$C)</f>
        <v>Office</v>
      </c>
    </row>
    <row r="1719" spans="1:44" hidden="1" x14ac:dyDescent="0.25">
      <c r="A1719">
        <v>237865</v>
      </c>
      <c r="B1719" t="s">
        <v>267</v>
      </c>
      <c r="C1719" t="s">
        <v>501</v>
      </c>
      <c r="D1719" t="s">
        <v>548</v>
      </c>
      <c r="E1719" s="3">
        <v>44562</v>
      </c>
      <c r="F1719" s="3">
        <v>44926</v>
      </c>
      <c r="G1719" t="s">
        <v>108</v>
      </c>
      <c r="H1719" s="3">
        <v>44562</v>
      </c>
      <c r="I1719" s="3">
        <v>44926</v>
      </c>
      <c r="J1719" t="s">
        <v>108</v>
      </c>
      <c r="K1719">
        <v>315089</v>
      </c>
      <c r="L1719" t="s">
        <v>109</v>
      </c>
      <c r="M1719" t="s">
        <v>110</v>
      </c>
      <c r="O1719" t="s">
        <v>968</v>
      </c>
      <c r="P1719" t="s">
        <v>550</v>
      </c>
      <c r="Q1719">
        <v>2022</v>
      </c>
      <c r="R1719" t="s">
        <v>567</v>
      </c>
      <c r="S1719" t="s">
        <v>568</v>
      </c>
      <c r="T1719" t="s">
        <v>569</v>
      </c>
      <c r="U1719" t="b">
        <v>0</v>
      </c>
      <c r="V1719" t="s">
        <v>897</v>
      </c>
      <c r="W1719" t="s">
        <v>571</v>
      </c>
      <c r="X1719" t="s">
        <v>572</v>
      </c>
      <c r="Y1719" t="s">
        <v>472</v>
      </c>
      <c r="Z1719" t="s">
        <v>485</v>
      </c>
      <c r="AA1719" t="s">
        <v>764</v>
      </c>
      <c r="AB1719" t="s">
        <v>895</v>
      </c>
      <c r="AC1719">
        <v>1</v>
      </c>
      <c r="AD1719" t="s">
        <v>639</v>
      </c>
      <c r="AE1719">
        <v>1338.7170659999999</v>
      </c>
      <c r="AF1719">
        <v>4.2486950000000002E-3</v>
      </c>
      <c r="AG1719" t="s">
        <v>560</v>
      </c>
      <c r="AH1719">
        <v>1</v>
      </c>
      <c r="AI1719">
        <v>315089</v>
      </c>
      <c r="AJ1719" t="s">
        <v>561</v>
      </c>
      <c r="AK1719" t="s">
        <v>573</v>
      </c>
      <c r="AL1719" t="s">
        <v>772</v>
      </c>
      <c r="AM1719">
        <v>2022</v>
      </c>
      <c r="AN1719">
        <v>2019</v>
      </c>
      <c r="AO1719">
        <f>IF(AND(emissions[[#This Row],[Market-based]]=0,emissions[[#This Row],[Impact Type]]="CO2E"),emissions[[#This Row],[kgCO2e]],0)/1000</f>
        <v>0</v>
      </c>
      <c r="AP1719">
        <f>IF(AND(emissions[[#This Row],[Market-based]]=1,OR(emissions[[#This Row],[Impact Type]]="CO2E",emissions[[#This Row],[Impact Type]]="CO2E MKT")),emissions[[#This Row],[kgCO2e]],0)/1000</f>
        <v>1.3387170659999998</v>
      </c>
      <c r="AQ1719" t="str">
        <f>_xlfn.TEXTAFTER(emissions[[#This Row],[Reporting Unit]]," &gt; ",LEN(emissions[[#This Row],[Reporting Unit]])-LEN(SUBSTITUTE(emissions[[#This Row],[Reporting Unit]],"&gt;","")))</f>
        <v>Vantage_Warren</v>
      </c>
      <c r="AR1719" t="str">
        <f>_xlfn.XLOOKUP(emissions[[#This Row],[Reporting unit name]],hierarchy!$A:$A,hierarchy!$C:$C)</f>
        <v>Office</v>
      </c>
    </row>
    <row r="1720" spans="1:44" hidden="1" x14ac:dyDescent="0.25">
      <c r="A1720">
        <v>237865</v>
      </c>
      <c r="B1720" t="s">
        <v>267</v>
      </c>
      <c r="C1720" t="s">
        <v>501</v>
      </c>
      <c r="D1720" t="s">
        <v>548</v>
      </c>
      <c r="E1720" s="3">
        <v>44562</v>
      </c>
      <c r="F1720" s="3">
        <v>44926</v>
      </c>
      <c r="G1720" t="s">
        <v>108</v>
      </c>
      <c r="H1720" s="3">
        <v>44562</v>
      </c>
      <c r="I1720" s="3">
        <v>44926</v>
      </c>
      <c r="J1720" t="s">
        <v>108</v>
      </c>
      <c r="K1720">
        <v>315089</v>
      </c>
      <c r="L1720" t="s">
        <v>109</v>
      </c>
      <c r="M1720" t="s">
        <v>110</v>
      </c>
      <c r="O1720" t="s">
        <v>968</v>
      </c>
      <c r="P1720" t="s">
        <v>550</v>
      </c>
      <c r="Q1720">
        <v>2022</v>
      </c>
      <c r="R1720" t="s">
        <v>575</v>
      </c>
      <c r="S1720" t="s">
        <v>576</v>
      </c>
      <c r="T1720" t="s">
        <v>577</v>
      </c>
      <c r="U1720" t="b">
        <v>0</v>
      </c>
      <c r="V1720" t="s">
        <v>898</v>
      </c>
      <c r="W1720" t="s">
        <v>571</v>
      </c>
      <c r="X1720" t="s">
        <v>572</v>
      </c>
      <c r="Y1720" t="s">
        <v>472</v>
      </c>
      <c r="Z1720" t="s">
        <v>485</v>
      </c>
      <c r="AA1720" t="s">
        <v>764</v>
      </c>
      <c r="AB1720" t="s">
        <v>895</v>
      </c>
      <c r="AC1720">
        <v>0</v>
      </c>
      <c r="AD1720" t="s">
        <v>565</v>
      </c>
      <c r="AE1720">
        <v>26206.841659999998</v>
      </c>
      <c r="AF1720">
        <v>8.3172823000000007E-2</v>
      </c>
      <c r="AG1720" t="s">
        <v>560</v>
      </c>
      <c r="AH1720">
        <v>1</v>
      </c>
      <c r="AI1720">
        <v>315089</v>
      </c>
      <c r="AJ1720" t="s">
        <v>561</v>
      </c>
      <c r="AK1720" t="s">
        <v>573</v>
      </c>
      <c r="AL1720" t="s">
        <v>574</v>
      </c>
      <c r="AM1720">
        <v>2022</v>
      </c>
      <c r="AN1720">
        <v>2020</v>
      </c>
      <c r="AO1720">
        <f>IF(AND(emissions[[#This Row],[Market-based]]=0,emissions[[#This Row],[Impact Type]]="CO2E"),emissions[[#This Row],[kgCO2e]],0)/1000</f>
        <v>26.206841659999998</v>
      </c>
      <c r="AP1720">
        <f>IF(AND(emissions[[#This Row],[Market-based]]=1,OR(emissions[[#This Row],[Impact Type]]="CO2E",emissions[[#This Row],[Impact Type]]="CO2E MKT")),emissions[[#This Row],[kgCO2e]],0)/1000</f>
        <v>0</v>
      </c>
      <c r="AQ1720" t="str">
        <f>_xlfn.TEXTAFTER(emissions[[#This Row],[Reporting Unit]]," &gt; ",LEN(emissions[[#This Row],[Reporting Unit]])-LEN(SUBSTITUTE(emissions[[#This Row],[Reporting Unit]],"&gt;","")))</f>
        <v>Vantage_Warren</v>
      </c>
      <c r="AR1720" t="str">
        <f>_xlfn.XLOOKUP(emissions[[#This Row],[Reporting unit name]],hierarchy!$A:$A,hierarchy!$C:$C)</f>
        <v>Office</v>
      </c>
    </row>
    <row r="1721" spans="1:44" hidden="1" x14ac:dyDescent="0.25">
      <c r="A1721">
        <v>237865</v>
      </c>
      <c r="B1721" t="s">
        <v>267</v>
      </c>
      <c r="C1721" t="s">
        <v>501</v>
      </c>
      <c r="D1721" t="s">
        <v>548</v>
      </c>
      <c r="E1721" s="3">
        <v>44562</v>
      </c>
      <c r="F1721" s="3">
        <v>44926</v>
      </c>
      <c r="G1721" t="s">
        <v>108</v>
      </c>
      <c r="H1721" s="3">
        <v>44562</v>
      </c>
      <c r="I1721" s="3">
        <v>44926</v>
      </c>
      <c r="J1721" t="s">
        <v>108</v>
      </c>
      <c r="K1721">
        <v>315089</v>
      </c>
      <c r="L1721" t="s">
        <v>109</v>
      </c>
      <c r="M1721" t="s">
        <v>110</v>
      </c>
      <c r="O1721" t="s">
        <v>968</v>
      </c>
      <c r="P1721" t="s">
        <v>550</v>
      </c>
      <c r="Q1721">
        <v>2022</v>
      </c>
      <c r="R1721" t="s">
        <v>575</v>
      </c>
      <c r="S1721" t="s">
        <v>576</v>
      </c>
      <c r="T1721" t="s">
        <v>577</v>
      </c>
      <c r="U1721" t="b">
        <v>0</v>
      </c>
      <c r="V1721" t="s">
        <v>899</v>
      </c>
      <c r="W1721" t="s">
        <v>571</v>
      </c>
      <c r="X1721" t="s">
        <v>572</v>
      </c>
      <c r="Y1721" t="s">
        <v>472</v>
      </c>
      <c r="Z1721" t="s">
        <v>485</v>
      </c>
      <c r="AA1721" t="s">
        <v>764</v>
      </c>
      <c r="AB1721" t="s">
        <v>895</v>
      </c>
      <c r="AC1721">
        <v>1</v>
      </c>
      <c r="AD1721" t="s">
        <v>639</v>
      </c>
      <c r="AE1721">
        <v>26249.354230000001</v>
      </c>
      <c r="AF1721">
        <v>8.3307746000000002E-2</v>
      </c>
      <c r="AG1721" t="s">
        <v>560</v>
      </c>
      <c r="AH1721">
        <v>1</v>
      </c>
      <c r="AI1721">
        <v>315089</v>
      </c>
      <c r="AJ1721" t="s">
        <v>561</v>
      </c>
      <c r="AK1721" t="s">
        <v>573</v>
      </c>
      <c r="AL1721" t="s">
        <v>900</v>
      </c>
      <c r="AM1721">
        <v>2022</v>
      </c>
      <c r="AN1721">
        <v>2019</v>
      </c>
      <c r="AO1721">
        <f>IF(AND(emissions[[#This Row],[Market-based]]=0,emissions[[#This Row],[Impact Type]]="CO2E"),emissions[[#This Row],[kgCO2e]],0)/1000</f>
        <v>0</v>
      </c>
      <c r="AP1721">
        <f>IF(AND(emissions[[#This Row],[Market-based]]=1,OR(emissions[[#This Row],[Impact Type]]="CO2E",emissions[[#This Row],[Impact Type]]="CO2E MKT")),emissions[[#This Row],[kgCO2e]],0)/1000</f>
        <v>26.249354230000002</v>
      </c>
      <c r="AQ1721" t="str">
        <f>_xlfn.TEXTAFTER(emissions[[#This Row],[Reporting Unit]]," &gt; ",LEN(emissions[[#This Row],[Reporting Unit]])-LEN(SUBSTITUTE(emissions[[#This Row],[Reporting Unit]],"&gt;","")))</f>
        <v>Vantage_Warren</v>
      </c>
      <c r="AR1721" t="str">
        <f>_xlfn.XLOOKUP(emissions[[#This Row],[Reporting unit name]],hierarchy!$A:$A,hierarchy!$C:$C)</f>
        <v>Office</v>
      </c>
    </row>
    <row r="1722" spans="1:44" hidden="1" x14ac:dyDescent="0.25">
      <c r="A1722">
        <v>237865</v>
      </c>
      <c r="B1722" t="s">
        <v>267</v>
      </c>
      <c r="C1722" t="s">
        <v>501</v>
      </c>
      <c r="D1722" t="s">
        <v>548</v>
      </c>
      <c r="E1722" s="3">
        <v>44562</v>
      </c>
      <c r="F1722" s="3">
        <v>44926</v>
      </c>
      <c r="G1722" t="s">
        <v>108</v>
      </c>
      <c r="H1722" s="3">
        <v>44562</v>
      </c>
      <c r="I1722" s="3">
        <v>44926</v>
      </c>
      <c r="J1722" t="s">
        <v>108</v>
      </c>
      <c r="K1722">
        <v>315089</v>
      </c>
      <c r="L1722" t="s">
        <v>109</v>
      </c>
      <c r="M1722" t="s">
        <v>110</v>
      </c>
      <c r="O1722" t="s">
        <v>968</v>
      </c>
      <c r="P1722" t="s">
        <v>550</v>
      </c>
      <c r="Q1722">
        <v>2022</v>
      </c>
      <c r="R1722" t="s">
        <v>579</v>
      </c>
      <c r="S1722" t="s">
        <v>580</v>
      </c>
      <c r="T1722" t="s">
        <v>581</v>
      </c>
      <c r="U1722" t="b">
        <v>0</v>
      </c>
      <c r="V1722" t="s">
        <v>901</v>
      </c>
      <c r="W1722" t="s">
        <v>571</v>
      </c>
      <c r="X1722" t="s">
        <v>572</v>
      </c>
      <c r="Y1722" t="s">
        <v>472</v>
      </c>
      <c r="Z1722" t="s">
        <v>485</v>
      </c>
      <c r="AA1722" t="s">
        <v>764</v>
      </c>
      <c r="AB1722" t="s">
        <v>895</v>
      </c>
      <c r="AC1722">
        <v>0</v>
      </c>
      <c r="AD1722" t="s">
        <v>565</v>
      </c>
      <c r="AE1722">
        <v>4964.3463339999998</v>
      </c>
      <c r="AF1722">
        <v>1.5755378E-2</v>
      </c>
      <c r="AG1722" t="s">
        <v>560</v>
      </c>
      <c r="AH1722">
        <v>1</v>
      </c>
      <c r="AI1722">
        <v>315089</v>
      </c>
      <c r="AJ1722" t="s">
        <v>561</v>
      </c>
      <c r="AK1722" t="s">
        <v>766</v>
      </c>
      <c r="AL1722" t="s">
        <v>767</v>
      </c>
      <c r="AM1722">
        <v>2022</v>
      </c>
      <c r="AN1722">
        <v>2020</v>
      </c>
      <c r="AO1722">
        <f>IF(AND(emissions[[#This Row],[Market-based]]=0,emissions[[#This Row],[Impact Type]]="CO2E"),emissions[[#This Row],[kgCO2e]],0)/1000</f>
        <v>4.964346334</v>
      </c>
      <c r="AP1722">
        <f>IF(AND(emissions[[#This Row],[Market-based]]=1,OR(emissions[[#This Row],[Impact Type]]="CO2E",emissions[[#This Row],[Impact Type]]="CO2E MKT")),emissions[[#This Row],[kgCO2e]],0)/1000</f>
        <v>0</v>
      </c>
      <c r="AQ1722" t="str">
        <f>_xlfn.TEXTAFTER(emissions[[#This Row],[Reporting Unit]]," &gt; ",LEN(emissions[[#This Row],[Reporting Unit]])-LEN(SUBSTITUTE(emissions[[#This Row],[Reporting Unit]],"&gt;","")))</f>
        <v>Vantage_Warren</v>
      </c>
      <c r="AR1722" t="str">
        <f>_xlfn.XLOOKUP(emissions[[#This Row],[Reporting unit name]],hierarchy!$A:$A,hierarchy!$C:$C)</f>
        <v>Office</v>
      </c>
    </row>
    <row r="1723" spans="1:44" hidden="1" x14ac:dyDescent="0.25">
      <c r="A1723">
        <v>237865</v>
      </c>
      <c r="B1723" t="s">
        <v>267</v>
      </c>
      <c r="C1723" t="s">
        <v>501</v>
      </c>
      <c r="D1723" t="s">
        <v>548</v>
      </c>
      <c r="E1723" s="3">
        <v>44562</v>
      </c>
      <c r="F1723" s="3">
        <v>44926</v>
      </c>
      <c r="G1723" t="s">
        <v>108</v>
      </c>
      <c r="H1723" s="3">
        <v>44562</v>
      </c>
      <c r="I1723" s="3">
        <v>44926</v>
      </c>
      <c r="J1723" t="s">
        <v>108</v>
      </c>
      <c r="K1723">
        <v>315089</v>
      </c>
      <c r="L1723" t="s">
        <v>109</v>
      </c>
      <c r="M1723" t="s">
        <v>110</v>
      </c>
      <c r="O1723" t="s">
        <v>968</v>
      </c>
      <c r="P1723" t="s">
        <v>550</v>
      </c>
      <c r="Q1723">
        <v>2022</v>
      </c>
      <c r="R1723" t="s">
        <v>579</v>
      </c>
      <c r="S1723" t="s">
        <v>580</v>
      </c>
      <c r="T1723" t="s">
        <v>581</v>
      </c>
      <c r="U1723" t="b">
        <v>0</v>
      </c>
      <c r="V1723" t="s">
        <v>902</v>
      </c>
      <c r="W1723" t="s">
        <v>571</v>
      </c>
      <c r="X1723" t="s">
        <v>572</v>
      </c>
      <c r="Y1723" t="s">
        <v>472</v>
      </c>
      <c r="Z1723" t="s">
        <v>485</v>
      </c>
      <c r="AA1723" t="s">
        <v>764</v>
      </c>
      <c r="AB1723" t="s">
        <v>895</v>
      </c>
      <c r="AC1723">
        <v>1</v>
      </c>
      <c r="AD1723" t="s">
        <v>639</v>
      </c>
      <c r="AE1723">
        <v>5067.6184590000003</v>
      </c>
      <c r="AF1723">
        <v>1.6083133999999999E-2</v>
      </c>
      <c r="AG1723" t="s">
        <v>560</v>
      </c>
      <c r="AH1723">
        <v>1</v>
      </c>
      <c r="AI1723">
        <v>315089</v>
      </c>
      <c r="AJ1723" t="s">
        <v>561</v>
      </c>
      <c r="AK1723" t="s">
        <v>573</v>
      </c>
      <c r="AL1723" t="s">
        <v>903</v>
      </c>
      <c r="AM1723">
        <v>2022</v>
      </c>
      <c r="AN1723">
        <v>2019</v>
      </c>
      <c r="AO1723">
        <f>IF(AND(emissions[[#This Row],[Market-based]]=0,emissions[[#This Row],[Impact Type]]="CO2E"),emissions[[#This Row],[kgCO2e]],0)/1000</f>
        <v>0</v>
      </c>
      <c r="AP1723">
        <f>IF(AND(emissions[[#This Row],[Market-based]]=1,OR(emissions[[#This Row],[Impact Type]]="CO2E",emissions[[#This Row],[Impact Type]]="CO2E MKT")),emissions[[#This Row],[kgCO2e]],0)/1000</f>
        <v>5.0676184590000002</v>
      </c>
      <c r="AQ1723" t="str">
        <f>_xlfn.TEXTAFTER(emissions[[#This Row],[Reporting Unit]]," &gt; ",LEN(emissions[[#This Row],[Reporting Unit]])-LEN(SUBSTITUTE(emissions[[#This Row],[Reporting Unit]],"&gt;","")))</f>
        <v>Vantage_Warren</v>
      </c>
      <c r="AR1723" t="str">
        <f>_xlfn.XLOOKUP(emissions[[#This Row],[Reporting unit name]],hierarchy!$A:$A,hierarchy!$C:$C)</f>
        <v>Office</v>
      </c>
    </row>
    <row r="1724" spans="1:44" hidden="1" x14ac:dyDescent="0.25">
      <c r="A1724">
        <v>1590444</v>
      </c>
      <c r="B1724" t="s">
        <v>267</v>
      </c>
      <c r="C1724" t="s">
        <v>501</v>
      </c>
      <c r="D1724" t="s">
        <v>548</v>
      </c>
      <c r="E1724" s="3">
        <v>44562</v>
      </c>
      <c r="F1724" s="3">
        <v>44926</v>
      </c>
      <c r="G1724" t="s">
        <v>135</v>
      </c>
      <c r="H1724" s="3">
        <v>44562</v>
      </c>
      <c r="I1724" s="3">
        <v>44926</v>
      </c>
      <c r="J1724" t="s">
        <v>135</v>
      </c>
      <c r="K1724">
        <v>5386.8980879999999</v>
      </c>
      <c r="L1724" t="s">
        <v>136</v>
      </c>
      <c r="M1724" t="s">
        <v>82</v>
      </c>
      <c r="N1724" t="s">
        <v>137</v>
      </c>
      <c r="O1724" t="s">
        <v>631</v>
      </c>
      <c r="P1724" t="s">
        <v>631</v>
      </c>
      <c r="Q1724">
        <v>2022</v>
      </c>
      <c r="R1724" t="s">
        <v>605</v>
      </c>
      <c r="S1724" t="s">
        <v>606</v>
      </c>
      <c r="T1724" t="s">
        <v>553</v>
      </c>
      <c r="U1724" t="b">
        <v>0</v>
      </c>
      <c r="V1724" t="s">
        <v>781</v>
      </c>
      <c r="W1724" t="s">
        <v>587</v>
      </c>
      <c r="X1724" t="s">
        <v>556</v>
      </c>
      <c r="Y1724" t="s">
        <v>472</v>
      </c>
      <c r="Z1724" t="s">
        <v>485</v>
      </c>
      <c r="AA1724" t="s">
        <v>764</v>
      </c>
      <c r="AC1724">
        <v>0</v>
      </c>
      <c r="AD1724" t="s">
        <v>558</v>
      </c>
      <c r="AE1724">
        <v>13.467245220000001</v>
      </c>
      <c r="AF1724">
        <v>2.5000000000000001E-2</v>
      </c>
      <c r="AG1724" t="s">
        <v>798</v>
      </c>
      <c r="AH1724">
        <v>0.1</v>
      </c>
      <c r="AI1724">
        <v>538.68980880000004</v>
      </c>
      <c r="AJ1724" t="s">
        <v>561</v>
      </c>
      <c r="AK1724" t="s">
        <v>766</v>
      </c>
      <c r="AL1724" t="s">
        <v>787</v>
      </c>
      <c r="AM1724">
        <v>2022</v>
      </c>
      <c r="AN1724">
        <v>2021</v>
      </c>
      <c r="AO1724">
        <f>IF(AND(emissions[[#This Row],[Market-based]]=0,emissions[[#This Row],[Impact Type]]="CO2E"),emissions[[#This Row],[kgCO2e]],0)/1000</f>
        <v>0</v>
      </c>
      <c r="AP1724">
        <f>IF(AND(emissions[[#This Row],[Market-based]]=1,OR(emissions[[#This Row],[Impact Type]]="CO2E",emissions[[#This Row],[Impact Type]]="CO2E MKT")),emissions[[#This Row],[kgCO2e]],0)/1000</f>
        <v>0</v>
      </c>
      <c r="AQ1724" t="str">
        <f>_xlfn.TEXTAFTER(emissions[[#This Row],[Reporting Unit]]," &gt; ",LEN(emissions[[#This Row],[Reporting Unit]])-LEN(SUBSTITUTE(emissions[[#This Row],[Reporting Unit]],"&gt;","")))</f>
        <v>Vantage_Warren</v>
      </c>
      <c r="AR1724" t="str">
        <f>_xlfn.XLOOKUP(emissions[[#This Row],[Reporting unit name]],hierarchy!$A:$A,hierarchy!$C:$C)</f>
        <v>Office</v>
      </c>
    </row>
    <row r="1725" spans="1:44" hidden="1" x14ac:dyDescent="0.25">
      <c r="A1725">
        <v>1590444</v>
      </c>
      <c r="B1725" t="s">
        <v>267</v>
      </c>
      <c r="C1725" t="s">
        <v>501</v>
      </c>
      <c r="D1725" t="s">
        <v>548</v>
      </c>
      <c r="E1725" s="3">
        <v>44562</v>
      </c>
      <c r="F1725" s="3">
        <v>44926</v>
      </c>
      <c r="G1725" t="s">
        <v>135</v>
      </c>
      <c r="H1725" s="3">
        <v>44562</v>
      </c>
      <c r="I1725" s="3">
        <v>44926</v>
      </c>
      <c r="J1725" t="s">
        <v>135</v>
      </c>
      <c r="K1725">
        <v>5386.8980879999999</v>
      </c>
      <c r="L1725" t="s">
        <v>136</v>
      </c>
      <c r="M1725" t="s">
        <v>82</v>
      </c>
      <c r="N1725" t="s">
        <v>137</v>
      </c>
      <c r="O1725" t="s">
        <v>631</v>
      </c>
      <c r="P1725" t="s">
        <v>631</v>
      </c>
      <c r="Q1725">
        <v>2022</v>
      </c>
      <c r="R1725" t="s">
        <v>605</v>
      </c>
      <c r="S1725" t="s">
        <v>606</v>
      </c>
      <c r="T1725" t="s">
        <v>553</v>
      </c>
      <c r="U1725" t="b">
        <v>0</v>
      </c>
      <c r="V1725" t="s">
        <v>781</v>
      </c>
      <c r="W1725" t="s">
        <v>587</v>
      </c>
      <c r="X1725" t="s">
        <v>556</v>
      </c>
      <c r="Y1725" t="s">
        <v>472</v>
      </c>
      <c r="Z1725" t="s">
        <v>485</v>
      </c>
      <c r="AA1725" t="s">
        <v>764</v>
      </c>
      <c r="AC1725">
        <v>0</v>
      </c>
      <c r="AD1725" t="s">
        <v>564</v>
      </c>
      <c r="AE1725">
        <v>28582.881249999999</v>
      </c>
      <c r="AF1725">
        <v>53.06</v>
      </c>
      <c r="AG1725" t="s">
        <v>798</v>
      </c>
      <c r="AH1725">
        <v>0.1</v>
      </c>
      <c r="AI1725">
        <v>538.68980880000004</v>
      </c>
      <c r="AJ1725" t="s">
        <v>561</v>
      </c>
      <c r="AK1725" t="s">
        <v>766</v>
      </c>
      <c r="AL1725" t="s">
        <v>767</v>
      </c>
      <c r="AM1725">
        <v>2022</v>
      </c>
      <c r="AN1725">
        <v>2022</v>
      </c>
      <c r="AO1725">
        <f>IF(AND(emissions[[#This Row],[Market-based]]=0,emissions[[#This Row],[Impact Type]]="CO2E"),emissions[[#This Row],[kgCO2e]],0)/1000</f>
        <v>0</v>
      </c>
      <c r="AP1725">
        <f>IF(AND(emissions[[#This Row],[Market-based]]=1,OR(emissions[[#This Row],[Impact Type]]="CO2E",emissions[[#This Row],[Impact Type]]="CO2E MKT")),emissions[[#This Row],[kgCO2e]],0)/1000</f>
        <v>0</v>
      </c>
      <c r="AQ1725" t="str">
        <f>_xlfn.TEXTAFTER(emissions[[#This Row],[Reporting Unit]]," &gt; ",LEN(emissions[[#This Row],[Reporting Unit]])-LEN(SUBSTITUTE(emissions[[#This Row],[Reporting Unit]],"&gt;","")))</f>
        <v>Vantage_Warren</v>
      </c>
      <c r="AR1725" t="str">
        <f>_xlfn.XLOOKUP(emissions[[#This Row],[Reporting unit name]],hierarchy!$A:$A,hierarchy!$C:$C)</f>
        <v>Office</v>
      </c>
    </row>
    <row r="1726" spans="1:44" hidden="1" x14ac:dyDescent="0.25">
      <c r="A1726">
        <v>1590444</v>
      </c>
      <c r="B1726" t="s">
        <v>267</v>
      </c>
      <c r="C1726" t="s">
        <v>501</v>
      </c>
      <c r="D1726" t="s">
        <v>548</v>
      </c>
      <c r="E1726" s="3">
        <v>44562</v>
      </c>
      <c r="F1726" s="3">
        <v>44926</v>
      </c>
      <c r="G1726" t="s">
        <v>135</v>
      </c>
      <c r="H1726" s="3">
        <v>44562</v>
      </c>
      <c r="I1726" s="3">
        <v>44926</v>
      </c>
      <c r="J1726" t="s">
        <v>135</v>
      </c>
      <c r="K1726">
        <v>5386.8980879999999</v>
      </c>
      <c r="L1726" t="s">
        <v>136</v>
      </c>
      <c r="M1726" t="s">
        <v>82</v>
      </c>
      <c r="N1726" t="s">
        <v>137</v>
      </c>
      <c r="O1726" t="s">
        <v>631</v>
      </c>
      <c r="P1726" t="s">
        <v>631</v>
      </c>
      <c r="Q1726">
        <v>2022</v>
      </c>
      <c r="R1726" t="s">
        <v>605</v>
      </c>
      <c r="S1726" t="s">
        <v>606</v>
      </c>
      <c r="T1726" t="s">
        <v>553</v>
      </c>
      <c r="U1726" t="b">
        <v>0</v>
      </c>
      <c r="V1726" t="s">
        <v>781</v>
      </c>
      <c r="W1726" t="s">
        <v>587</v>
      </c>
      <c r="X1726" t="s">
        <v>556</v>
      </c>
      <c r="Y1726" t="s">
        <v>472</v>
      </c>
      <c r="Z1726" t="s">
        <v>485</v>
      </c>
      <c r="AA1726" t="s">
        <v>764</v>
      </c>
      <c r="AC1726">
        <v>0</v>
      </c>
      <c r="AD1726" t="s">
        <v>565</v>
      </c>
      <c r="AE1726">
        <v>28612.401460000001</v>
      </c>
      <c r="AF1726">
        <v>53.114800000000002</v>
      </c>
      <c r="AG1726" t="s">
        <v>798</v>
      </c>
      <c r="AH1726">
        <v>0.1</v>
      </c>
      <c r="AI1726">
        <v>538.68980880000004</v>
      </c>
      <c r="AJ1726" t="s">
        <v>561</v>
      </c>
      <c r="AK1726" t="s">
        <v>766</v>
      </c>
      <c r="AL1726" t="s">
        <v>787</v>
      </c>
      <c r="AM1726">
        <v>2022</v>
      </c>
      <c r="AN1726">
        <v>2021</v>
      </c>
      <c r="AO1726">
        <f>IF(AND(emissions[[#This Row],[Market-based]]=0,emissions[[#This Row],[Impact Type]]="CO2E"),emissions[[#This Row],[kgCO2e]],0)/1000</f>
        <v>28.612401460000001</v>
      </c>
      <c r="AP1726">
        <f>IF(AND(emissions[[#This Row],[Market-based]]=1,OR(emissions[[#This Row],[Impact Type]]="CO2E",emissions[[#This Row],[Impact Type]]="CO2E MKT")),emissions[[#This Row],[kgCO2e]],0)/1000</f>
        <v>0</v>
      </c>
      <c r="AQ1726" t="str">
        <f>_xlfn.TEXTAFTER(emissions[[#This Row],[Reporting Unit]]," &gt; ",LEN(emissions[[#This Row],[Reporting Unit]])-LEN(SUBSTITUTE(emissions[[#This Row],[Reporting Unit]],"&gt;","")))</f>
        <v>Vantage_Warren</v>
      </c>
      <c r="AR1726" t="str">
        <f>_xlfn.XLOOKUP(emissions[[#This Row],[Reporting unit name]],hierarchy!$A:$A,hierarchy!$C:$C)</f>
        <v>Office</v>
      </c>
    </row>
    <row r="1727" spans="1:44" hidden="1" x14ac:dyDescent="0.25">
      <c r="A1727">
        <v>1590444</v>
      </c>
      <c r="B1727" t="s">
        <v>267</v>
      </c>
      <c r="C1727" t="s">
        <v>501</v>
      </c>
      <c r="D1727" t="s">
        <v>548</v>
      </c>
      <c r="E1727" s="3">
        <v>44562</v>
      </c>
      <c r="F1727" s="3">
        <v>44926</v>
      </c>
      <c r="G1727" t="s">
        <v>135</v>
      </c>
      <c r="H1727" s="3">
        <v>44562</v>
      </c>
      <c r="I1727" s="3">
        <v>44926</v>
      </c>
      <c r="J1727" t="s">
        <v>135</v>
      </c>
      <c r="K1727">
        <v>5386.8980879999999</v>
      </c>
      <c r="L1727" t="s">
        <v>136</v>
      </c>
      <c r="M1727" t="s">
        <v>82</v>
      </c>
      <c r="N1727" t="s">
        <v>137</v>
      </c>
      <c r="O1727" t="s">
        <v>631</v>
      </c>
      <c r="P1727" t="s">
        <v>631</v>
      </c>
      <c r="Q1727">
        <v>2022</v>
      </c>
      <c r="R1727" t="s">
        <v>605</v>
      </c>
      <c r="S1727" t="s">
        <v>606</v>
      </c>
      <c r="T1727" t="s">
        <v>553</v>
      </c>
      <c r="U1727" t="b">
        <v>0</v>
      </c>
      <c r="V1727" t="s">
        <v>781</v>
      </c>
      <c r="W1727" t="s">
        <v>587</v>
      </c>
      <c r="X1727" t="s">
        <v>556</v>
      </c>
      <c r="Y1727" t="s">
        <v>472</v>
      </c>
      <c r="Z1727" t="s">
        <v>485</v>
      </c>
      <c r="AA1727" t="s">
        <v>764</v>
      </c>
      <c r="AC1727">
        <v>0</v>
      </c>
      <c r="AD1727" t="s">
        <v>566</v>
      </c>
      <c r="AE1727">
        <v>16.052956300000002</v>
      </c>
      <c r="AF1727">
        <v>2.98E-2</v>
      </c>
      <c r="AG1727" t="s">
        <v>798</v>
      </c>
      <c r="AH1727">
        <v>0.1</v>
      </c>
      <c r="AI1727">
        <v>538.68980880000004</v>
      </c>
      <c r="AJ1727" t="s">
        <v>561</v>
      </c>
      <c r="AK1727" t="s">
        <v>766</v>
      </c>
      <c r="AL1727" t="s">
        <v>767</v>
      </c>
      <c r="AM1727">
        <v>2022</v>
      </c>
      <c r="AN1727">
        <v>2022</v>
      </c>
      <c r="AO1727">
        <f>IF(AND(emissions[[#This Row],[Market-based]]=0,emissions[[#This Row],[Impact Type]]="CO2E"),emissions[[#This Row],[kgCO2e]],0)/1000</f>
        <v>0</v>
      </c>
      <c r="AP1727">
        <f>IF(AND(emissions[[#This Row],[Market-based]]=1,OR(emissions[[#This Row],[Impact Type]]="CO2E",emissions[[#This Row],[Impact Type]]="CO2E MKT")),emissions[[#This Row],[kgCO2e]],0)/1000</f>
        <v>0</v>
      </c>
      <c r="AQ1727" t="str">
        <f>_xlfn.TEXTAFTER(emissions[[#This Row],[Reporting Unit]]," &gt; ",LEN(emissions[[#This Row],[Reporting Unit]])-LEN(SUBSTITUTE(emissions[[#This Row],[Reporting Unit]],"&gt;","")))</f>
        <v>Vantage_Warren</v>
      </c>
      <c r="AR1727" t="str">
        <f>_xlfn.XLOOKUP(emissions[[#This Row],[Reporting unit name]],hierarchy!$A:$A,hierarchy!$C:$C)</f>
        <v>Office</v>
      </c>
    </row>
    <row r="1728" spans="1:44" hidden="1" x14ac:dyDescent="0.25">
      <c r="A1728">
        <v>1590444</v>
      </c>
      <c r="B1728" t="s">
        <v>267</v>
      </c>
      <c r="C1728" t="s">
        <v>501</v>
      </c>
      <c r="D1728" t="s">
        <v>548</v>
      </c>
      <c r="E1728" s="3">
        <v>44562</v>
      </c>
      <c r="F1728" s="3">
        <v>44926</v>
      </c>
      <c r="G1728" t="s">
        <v>135</v>
      </c>
      <c r="H1728" s="3">
        <v>44562</v>
      </c>
      <c r="I1728" s="3">
        <v>44926</v>
      </c>
      <c r="J1728" t="s">
        <v>135</v>
      </c>
      <c r="K1728">
        <v>5386.8980879999999</v>
      </c>
      <c r="L1728" t="s">
        <v>136</v>
      </c>
      <c r="M1728" t="s">
        <v>82</v>
      </c>
      <c r="N1728" t="s">
        <v>137</v>
      </c>
      <c r="O1728" t="s">
        <v>631</v>
      </c>
      <c r="P1728" t="s">
        <v>631</v>
      </c>
      <c r="Q1728">
        <v>2022</v>
      </c>
      <c r="R1728" t="s">
        <v>605</v>
      </c>
      <c r="S1728" t="s">
        <v>606</v>
      </c>
      <c r="T1728" t="s">
        <v>553</v>
      </c>
      <c r="U1728" t="b">
        <v>0</v>
      </c>
      <c r="V1728" t="s">
        <v>781</v>
      </c>
      <c r="W1728" t="s">
        <v>587</v>
      </c>
      <c r="X1728" t="s">
        <v>556</v>
      </c>
      <c r="Y1728" t="s">
        <v>472</v>
      </c>
      <c r="Z1728" t="s">
        <v>485</v>
      </c>
      <c r="AA1728" t="s">
        <v>764</v>
      </c>
      <c r="AC1728">
        <v>1</v>
      </c>
      <c r="AD1728" t="s">
        <v>558</v>
      </c>
      <c r="AE1728">
        <v>13.467245220000001</v>
      </c>
      <c r="AF1728">
        <v>2.5000000000000001E-2</v>
      </c>
      <c r="AG1728" t="s">
        <v>798</v>
      </c>
      <c r="AH1728">
        <v>0.1</v>
      </c>
      <c r="AI1728">
        <v>538.68980880000004</v>
      </c>
      <c r="AJ1728" t="s">
        <v>561</v>
      </c>
      <c r="AK1728" t="s">
        <v>766</v>
      </c>
      <c r="AL1728" t="s">
        <v>787</v>
      </c>
      <c r="AM1728">
        <v>2022</v>
      </c>
      <c r="AN1728">
        <v>2021</v>
      </c>
      <c r="AO1728">
        <f>IF(AND(emissions[[#This Row],[Market-based]]=0,emissions[[#This Row],[Impact Type]]="CO2E"),emissions[[#This Row],[kgCO2e]],0)/1000</f>
        <v>0</v>
      </c>
      <c r="AP1728">
        <f>IF(AND(emissions[[#This Row],[Market-based]]=1,OR(emissions[[#This Row],[Impact Type]]="CO2E",emissions[[#This Row],[Impact Type]]="CO2E MKT")),emissions[[#This Row],[kgCO2e]],0)/1000</f>
        <v>0</v>
      </c>
      <c r="AQ1728" t="str">
        <f>_xlfn.TEXTAFTER(emissions[[#This Row],[Reporting Unit]]," &gt; ",LEN(emissions[[#This Row],[Reporting Unit]])-LEN(SUBSTITUTE(emissions[[#This Row],[Reporting Unit]],"&gt;","")))</f>
        <v>Vantage_Warren</v>
      </c>
      <c r="AR1728" t="str">
        <f>_xlfn.XLOOKUP(emissions[[#This Row],[Reporting unit name]],hierarchy!$A:$A,hierarchy!$C:$C)</f>
        <v>Office</v>
      </c>
    </row>
    <row r="1729" spans="1:44" hidden="1" x14ac:dyDescent="0.25">
      <c r="A1729">
        <v>1590444</v>
      </c>
      <c r="B1729" t="s">
        <v>267</v>
      </c>
      <c r="C1729" t="s">
        <v>501</v>
      </c>
      <c r="D1729" t="s">
        <v>548</v>
      </c>
      <c r="E1729" s="3">
        <v>44562</v>
      </c>
      <c r="F1729" s="3">
        <v>44926</v>
      </c>
      <c r="G1729" t="s">
        <v>135</v>
      </c>
      <c r="H1729" s="3">
        <v>44562</v>
      </c>
      <c r="I1729" s="3">
        <v>44926</v>
      </c>
      <c r="J1729" t="s">
        <v>135</v>
      </c>
      <c r="K1729">
        <v>5386.8980879999999</v>
      </c>
      <c r="L1729" t="s">
        <v>136</v>
      </c>
      <c r="M1729" t="s">
        <v>82</v>
      </c>
      <c r="N1729" t="s">
        <v>137</v>
      </c>
      <c r="O1729" t="s">
        <v>631</v>
      </c>
      <c r="P1729" t="s">
        <v>631</v>
      </c>
      <c r="Q1729">
        <v>2022</v>
      </c>
      <c r="R1729" t="s">
        <v>605</v>
      </c>
      <c r="S1729" t="s">
        <v>606</v>
      </c>
      <c r="T1729" t="s">
        <v>553</v>
      </c>
      <c r="U1729" t="b">
        <v>0</v>
      </c>
      <c r="V1729" t="s">
        <v>781</v>
      </c>
      <c r="W1729" t="s">
        <v>587</v>
      </c>
      <c r="X1729" t="s">
        <v>556</v>
      </c>
      <c r="Y1729" t="s">
        <v>472</v>
      </c>
      <c r="Z1729" t="s">
        <v>485</v>
      </c>
      <c r="AA1729" t="s">
        <v>764</v>
      </c>
      <c r="AC1729">
        <v>1</v>
      </c>
      <c r="AD1729" t="s">
        <v>564</v>
      </c>
      <c r="AE1729">
        <v>28582.881249999999</v>
      </c>
      <c r="AF1729">
        <v>53.06</v>
      </c>
      <c r="AG1729" t="s">
        <v>798</v>
      </c>
      <c r="AH1729">
        <v>0.1</v>
      </c>
      <c r="AI1729">
        <v>538.68980880000004</v>
      </c>
      <c r="AJ1729" t="s">
        <v>561</v>
      </c>
      <c r="AK1729" t="s">
        <v>766</v>
      </c>
      <c r="AL1729" t="s">
        <v>767</v>
      </c>
      <c r="AM1729">
        <v>2022</v>
      </c>
      <c r="AN1729">
        <v>2022</v>
      </c>
      <c r="AO1729">
        <f>IF(AND(emissions[[#This Row],[Market-based]]=0,emissions[[#This Row],[Impact Type]]="CO2E"),emissions[[#This Row],[kgCO2e]],0)/1000</f>
        <v>0</v>
      </c>
      <c r="AP1729">
        <f>IF(AND(emissions[[#This Row],[Market-based]]=1,OR(emissions[[#This Row],[Impact Type]]="CO2E",emissions[[#This Row],[Impact Type]]="CO2E MKT")),emissions[[#This Row],[kgCO2e]],0)/1000</f>
        <v>0</v>
      </c>
      <c r="AQ1729" t="str">
        <f>_xlfn.TEXTAFTER(emissions[[#This Row],[Reporting Unit]]," &gt; ",LEN(emissions[[#This Row],[Reporting Unit]])-LEN(SUBSTITUTE(emissions[[#This Row],[Reporting Unit]],"&gt;","")))</f>
        <v>Vantage_Warren</v>
      </c>
      <c r="AR1729" t="str">
        <f>_xlfn.XLOOKUP(emissions[[#This Row],[Reporting unit name]],hierarchy!$A:$A,hierarchy!$C:$C)</f>
        <v>Office</v>
      </c>
    </row>
    <row r="1730" spans="1:44" hidden="1" x14ac:dyDescent="0.25">
      <c r="A1730">
        <v>1590444</v>
      </c>
      <c r="B1730" t="s">
        <v>267</v>
      </c>
      <c r="C1730" t="s">
        <v>501</v>
      </c>
      <c r="D1730" t="s">
        <v>548</v>
      </c>
      <c r="E1730" s="3">
        <v>44562</v>
      </c>
      <c r="F1730" s="3">
        <v>44926</v>
      </c>
      <c r="G1730" t="s">
        <v>135</v>
      </c>
      <c r="H1730" s="3">
        <v>44562</v>
      </c>
      <c r="I1730" s="3">
        <v>44926</v>
      </c>
      <c r="J1730" t="s">
        <v>135</v>
      </c>
      <c r="K1730">
        <v>5386.8980879999999</v>
      </c>
      <c r="L1730" t="s">
        <v>136</v>
      </c>
      <c r="M1730" t="s">
        <v>82</v>
      </c>
      <c r="N1730" t="s">
        <v>137</v>
      </c>
      <c r="O1730" t="s">
        <v>631</v>
      </c>
      <c r="P1730" t="s">
        <v>631</v>
      </c>
      <c r="Q1730">
        <v>2022</v>
      </c>
      <c r="R1730" t="s">
        <v>605</v>
      </c>
      <c r="S1730" t="s">
        <v>606</v>
      </c>
      <c r="T1730" t="s">
        <v>553</v>
      </c>
      <c r="U1730" t="b">
        <v>0</v>
      </c>
      <c r="V1730" t="s">
        <v>781</v>
      </c>
      <c r="W1730" t="s">
        <v>587</v>
      </c>
      <c r="X1730" t="s">
        <v>556</v>
      </c>
      <c r="Y1730" t="s">
        <v>472</v>
      </c>
      <c r="Z1730" t="s">
        <v>485</v>
      </c>
      <c r="AA1730" t="s">
        <v>764</v>
      </c>
      <c r="AC1730">
        <v>1</v>
      </c>
      <c r="AD1730" t="s">
        <v>565</v>
      </c>
      <c r="AE1730">
        <v>28612.401460000001</v>
      </c>
      <c r="AF1730">
        <v>53.114800000000002</v>
      </c>
      <c r="AG1730" t="s">
        <v>798</v>
      </c>
      <c r="AH1730">
        <v>0.1</v>
      </c>
      <c r="AI1730">
        <v>538.68980880000004</v>
      </c>
      <c r="AJ1730" t="s">
        <v>561</v>
      </c>
      <c r="AK1730" t="s">
        <v>766</v>
      </c>
      <c r="AL1730" t="s">
        <v>787</v>
      </c>
      <c r="AM1730">
        <v>2022</v>
      </c>
      <c r="AN1730">
        <v>2021</v>
      </c>
      <c r="AO1730">
        <f>IF(AND(emissions[[#This Row],[Market-based]]=0,emissions[[#This Row],[Impact Type]]="CO2E"),emissions[[#This Row],[kgCO2e]],0)/1000</f>
        <v>0</v>
      </c>
      <c r="AP1730">
        <f>IF(AND(emissions[[#This Row],[Market-based]]=1,OR(emissions[[#This Row],[Impact Type]]="CO2E",emissions[[#This Row],[Impact Type]]="CO2E MKT")),emissions[[#This Row],[kgCO2e]],0)/1000</f>
        <v>28.612401460000001</v>
      </c>
      <c r="AQ1730" t="str">
        <f>_xlfn.TEXTAFTER(emissions[[#This Row],[Reporting Unit]]," &gt; ",LEN(emissions[[#This Row],[Reporting Unit]])-LEN(SUBSTITUTE(emissions[[#This Row],[Reporting Unit]],"&gt;","")))</f>
        <v>Vantage_Warren</v>
      </c>
      <c r="AR1730" t="str">
        <f>_xlfn.XLOOKUP(emissions[[#This Row],[Reporting unit name]],hierarchy!$A:$A,hierarchy!$C:$C)</f>
        <v>Office</v>
      </c>
    </row>
    <row r="1731" spans="1:44" hidden="1" x14ac:dyDescent="0.25">
      <c r="A1731">
        <v>1590444</v>
      </c>
      <c r="B1731" t="s">
        <v>267</v>
      </c>
      <c r="C1731" t="s">
        <v>501</v>
      </c>
      <c r="D1731" t="s">
        <v>548</v>
      </c>
      <c r="E1731" s="3">
        <v>44562</v>
      </c>
      <c r="F1731" s="3">
        <v>44926</v>
      </c>
      <c r="G1731" t="s">
        <v>135</v>
      </c>
      <c r="H1731" s="3">
        <v>44562</v>
      </c>
      <c r="I1731" s="3">
        <v>44926</v>
      </c>
      <c r="J1731" t="s">
        <v>135</v>
      </c>
      <c r="K1731">
        <v>5386.8980879999999</v>
      </c>
      <c r="L1731" t="s">
        <v>136</v>
      </c>
      <c r="M1731" t="s">
        <v>82</v>
      </c>
      <c r="N1731" t="s">
        <v>137</v>
      </c>
      <c r="O1731" t="s">
        <v>631</v>
      </c>
      <c r="P1731" t="s">
        <v>631</v>
      </c>
      <c r="Q1731">
        <v>2022</v>
      </c>
      <c r="R1731" t="s">
        <v>605</v>
      </c>
      <c r="S1731" t="s">
        <v>606</v>
      </c>
      <c r="T1731" t="s">
        <v>553</v>
      </c>
      <c r="U1731" t="b">
        <v>0</v>
      </c>
      <c r="V1731" t="s">
        <v>781</v>
      </c>
      <c r="W1731" t="s">
        <v>587</v>
      </c>
      <c r="X1731" t="s">
        <v>556</v>
      </c>
      <c r="Y1731" t="s">
        <v>472</v>
      </c>
      <c r="Z1731" t="s">
        <v>485</v>
      </c>
      <c r="AA1731" t="s">
        <v>764</v>
      </c>
      <c r="AC1731">
        <v>1</v>
      </c>
      <c r="AD1731" t="s">
        <v>566</v>
      </c>
      <c r="AE1731">
        <v>16.052956300000002</v>
      </c>
      <c r="AF1731">
        <v>2.98E-2</v>
      </c>
      <c r="AG1731" t="s">
        <v>798</v>
      </c>
      <c r="AH1731">
        <v>0.1</v>
      </c>
      <c r="AI1731">
        <v>538.68980880000004</v>
      </c>
      <c r="AJ1731" t="s">
        <v>561</v>
      </c>
      <c r="AK1731" t="s">
        <v>766</v>
      </c>
      <c r="AL1731" t="s">
        <v>767</v>
      </c>
      <c r="AM1731">
        <v>2022</v>
      </c>
      <c r="AN1731">
        <v>2022</v>
      </c>
      <c r="AO1731">
        <f>IF(AND(emissions[[#This Row],[Market-based]]=0,emissions[[#This Row],[Impact Type]]="CO2E"),emissions[[#This Row],[kgCO2e]],0)/1000</f>
        <v>0</v>
      </c>
      <c r="AP1731">
        <f>IF(AND(emissions[[#This Row],[Market-based]]=1,OR(emissions[[#This Row],[Impact Type]]="CO2E",emissions[[#This Row],[Impact Type]]="CO2E MKT")),emissions[[#This Row],[kgCO2e]],0)/1000</f>
        <v>0</v>
      </c>
      <c r="AQ1731" t="str">
        <f>_xlfn.TEXTAFTER(emissions[[#This Row],[Reporting Unit]]," &gt; ",LEN(emissions[[#This Row],[Reporting Unit]])-LEN(SUBSTITUTE(emissions[[#This Row],[Reporting Unit]],"&gt;","")))</f>
        <v>Vantage_Warren</v>
      </c>
      <c r="AR1731" t="str">
        <f>_xlfn.XLOOKUP(emissions[[#This Row],[Reporting unit name]],hierarchy!$A:$A,hierarchy!$C:$C)</f>
        <v>Office</v>
      </c>
    </row>
    <row r="1732" spans="1:44" hidden="1" x14ac:dyDescent="0.25">
      <c r="A1732">
        <v>1590444</v>
      </c>
      <c r="B1732" t="s">
        <v>267</v>
      </c>
      <c r="C1732" t="s">
        <v>501</v>
      </c>
      <c r="D1732" t="s">
        <v>548</v>
      </c>
      <c r="E1732" s="3">
        <v>44562</v>
      </c>
      <c r="F1732" s="3">
        <v>44926</v>
      </c>
      <c r="G1732" t="s">
        <v>135</v>
      </c>
      <c r="H1732" s="3">
        <v>44562</v>
      </c>
      <c r="I1732" s="3">
        <v>44926</v>
      </c>
      <c r="J1732" t="s">
        <v>135</v>
      </c>
      <c r="K1732">
        <v>5386.8980879999999</v>
      </c>
      <c r="L1732" t="s">
        <v>136</v>
      </c>
      <c r="M1732" t="s">
        <v>82</v>
      </c>
      <c r="N1732" t="s">
        <v>137</v>
      </c>
      <c r="O1732" t="s">
        <v>631</v>
      </c>
      <c r="P1732" t="s">
        <v>631</v>
      </c>
      <c r="Q1732">
        <v>2022</v>
      </c>
      <c r="R1732" t="s">
        <v>609</v>
      </c>
      <c r="S1732" t="s">
        <v>610</v>
      </c>
      <c r="T1732" t="s">
        <v>577</v>
      </c>
      <c r="U1732" t="b">
        <v>0</v>
      </c>
      <c r="V1732" t="s">
        <v>632</v>
      </c>
      <c r="W1732" t="s">
        <v>571</v>
      </c>
      <c r="X1732" t="s">
        <v>572</v>
      </c>
      <c r="AC1732">
        <v>0</v>
      </c>
      <c r="AD1732" t="s">
        <v>565</v>
      </c>
      <c r="AE1732">
        <v>4908.7198980000003</v>
      </c>
      <c r="AF1732">
        <v>3.1099999999999999E-2</v>
      </c>
      <c r="AG1732" t="s">
        <v>608</v>
      </c>
      <c r="AH1732">
        <v>29.3001</v>
      </c>
      <c r="AI1732">
        <v>157836.65270000001</v>
      </c>
      <c r="AJ1732" t="s">
        <v>561</v>
      </c>
      <c r="AK1732" t="s">
        <v>589</v>
      </c>
      <c r="AL1732" t="s">
        <v>590</v>
      </c>
      <c r="AM1732">
        <v>2022</v>
      </c>
      <c r="AN1732">
        <v>2020</v>
      </c>
      <c r="AO1732">
        <f>IF(AND(emissions[[#This Row],[Market-based]]=0,emissions[[#This Row],[Impact Type]]="CO2E"),emissions[[#This Row],[kgCO2e]],0)/1000</f>
        <v>4.9087198980000002</v>
      </c>
      <c r="AP1732">
        <f>IF(AND(emissions[[#This Row],[Market-based]]=1,OR(emissions[[#This Row],[Impact Type]]="CO2E",emissions[[#This Row],[Impact Type]]="CO2E MKT")),emissions[[#This Row],[kgCO2e]],0)/1000</f>
        <v>0</v>
      </c>
      <c r="AQ1732" t="str">
        <f>_xlfn.TEXTAFTER(emissions[[#This Row],[Reporting Unit]]," &gt; ",LEN(emissions[[#This Row],[Reporting Unit]])-LEN(SUBSTITUTE(emissions[[#This Row],[Reporting Unit]],"&gt;","")))</f>
        <v>Vantage_Warren</v>
      </c>
      <c r="AR1732" t="str">
        <f>_xlfn.XLOOKUP(emissions[[#This Row],[Reporting unit name]],hierarchy!$A:$A,hierarchy!$C:$C)</f>
        <v>Office</v>
      </c>
    </row>
    <row r="1733" spans="1:44" hidden="1" x14ac:dyDescent="0.25">
      <c r="A1733">
        <v>1590444</v>
      </c>
      <c r="B1733" t="s">
        <v>267</v>
      </c>
      <c r="C1733" t="s">
        <v>501</v>
      </c>
      <c r="D1733" t="s">
        <v>548</v>
      </c>
      <c r="E1733" s="3">
        <v>44562</v>
      </c>
      <c r="F1733" s="3">
        <v>44926</v>
      </c>
      <c r="G1733" t="s">
        <v>135</v>
      </c>
      <c r="H1733" s="3">
        <v>44562</v>
      </c>
      <c r="I1733" s="3">
        <v>44926</v>
      </c>
      <c r="J1733" t="s">
        <v>135</v>
      </c>
      <c r="K1733">
        <v>5386.8980879999999</v>
      </c>
      <c r="L1733" t="s">
        <v>136</v>
      </c>
      <c r="M1733" t="s">
        <v>82</v>
      </c>
      <c r="N1733" t="s">
        <v>137</v>
      </c>
      <c r="O1733" t="s">
        <v>631</v>
      </c>
      <c r="P1733" t="s">
        <v>631</v>
      </c>
      <c r="Q1733">
        <v>2022</v>
      </c>
      <c r="R1733" t="s">
        <v>609</v>
      </c>
      <c r="S1733" t="s">
        <v>610</v>
      </c>
      <c r="T1733" t="s">
        <v>577</v>
      </c>
      <c r="U1733" t="b">
        <v>0</v>
      </c>
      <c r="V1733" t="s">
        <v>632</v>
      </c>
      <c r="W1733" t="s">
        <v>571</v>
      </c>
      <c r="X1733" t="s">
        <v>572</v>
      </c>
      <c r="AC1733">
        <v>1</v>
      </c>
      <c r="AD1733" t="s">
        <v>565</v>
      </c>
      <c r="AE1733">
        <v>4908.7198980000003</v>
      </c>
      <c r="AF1733">
        <v>3.1099999999999999E-2</v>
      </c>
      <c r="AG1733" t="s">
        <v>608</v>
      </c>
      <c r="AH1733">
        <v>29.3001</v>
      </c>
      <c r="AI1733">
        <v>157836.65270000001</v>
      </c>
      <c r="AJ1733" t="s">
        <v>561</v>
      </c>
      <c r="AK1733" t="s">
        <v>589</v>
      </c>
      <c r="AL1733" t="s">
        <v>590</v>
      </c>
      <c r="AM1733">
        <v>2022</v>
      </c>
      <c r="AN1733">
        <v>2020</v>
      </c>
      <c r="AO1733">
        <f>IF(AND(emissions[[#This Row],[Market-based]]=0,emissions[[#This Row],[Impact Type]]="CO2E"),emissions[[#This Row],[kgCO2e]],0)/1000</f>
        <v>0</v>
      </c>
      <c r="AP1733">
        <f>IF(AND(emissions[[#This Row],[Market-based]]=1,OR(emissions[[#This Row],[Impact Type]]="CO2E",emissions[[#This Row],[Impact Type]]="CO2E MKT")),emissions[[#This Row],[kgCO2e]],0)/1000</f>
        <v>4.9087198980000002</v>
      </c>
      <c r="AQ1733" t="str">
        <f>_xlfn.TEXTAFTER(emissions[[#This Row],[Reporting Unit]]," &gt; ",LEN(emissions[[#This Row],[Reporting Unit]])-LEN(SUBSTITUTE(emissions[[#This Row],[Reporting Unit]],"&gt;","")))</f>
        <v>Vantage_Warren</v>
      </c>
      <c r="AR1733" t="str">
        <f>_xlfn.XLOOKUP(emissions[[#This Row],[Reporting unit name]],hierarchy!$A:$A,hierarchy!$C:$C)</f>
        <v>Office</v>
      </c>
    </row>
    <row r="1734" spans="1:44" hidden="1" x14ac:dyDescent="0.25">
      <c r="A1734">
        <v>291084</v>
      </c>
      <c r="B1734" t="s">
        <v>267</v>
      </c>
      <c r="C1734" t="s">
        <v>501</v>
      </c>
      <c r="D1734" t="s">
        <v>548</v>
      </c>
      <c r="E1734" s="3">
        <v>44562</v>
      </c>
      <c r="F1734" s="3">
        <v>44926</v>
      </c>
      <c r="G1734" t="s">
        <v>141</v>
      </c>
      <c r="H1734" s="3">
        <v>44562</v>
      </c>
      <c r="I1734" s="3">
        <v>44926</v>
      </c>
      <c r="J1734" t="s">
        <v>142</v>
      </c>
      <c r="K1734">
        <v>0</v>
      </c>
      <c r="L1734" t="s">
        <v>154</v>
      </c>
      <c r="M1734" t="s">
        <v>110</v>
      </c>
      <c r="N1734" t="s">
        <v>271</v>
      </c>
      <c r="O1734" t="s">
        <v>969</v>
      </c>
      <c r="P1734" t="s">
        <v>550</v>
      </c>
      <c r="Q1734">
        <v>2022</v>
      </c>
      <c r="R1734" t="s">
        <v>612</v>
      </c>
      <c r="S1734" t="s">
        <v>613</v>
      </c>
      <c r="T1734" t="s">
        <v>553</v>
      </c>
      <c r="U1734" t="b">
        <v>0</v>
      </c>
      <c r="V1734" t="s">
        <v>614</v>
      </c>
      <c r="W1734" t="s">
        <v>587</v>
      </c>
      <c r="X1734" t="s">
        <v>556</v>
      </c>
      <c r="AC1734">
        <v>0</v>
      </c>
      <c r="AD1734" t="s">
        <v>558</v>
      </c>
      <c r="AE1734">
        <v>0</v>
      </c>
      <c r="AF1734">
        <v>2.0000000000000002E-5</v>
      </c>
      <c r="AG1734" t="s">
        <v>608</v>
      </c>
      <c r="AH1734">
        <v>2.8000000000000002E-7</v>
      </c>
      <c r="AI1734">
        <v>0</v>
      </c>
      <c r="AJ1734" t="s">
        <v>561</v>
      </c>
      <c r="AK1734" t="s">
        <v>589</v>
      </c>
      <c r="AL1734" t="s">
        <v>590</v>
      </c>
      <c r="AM1734">
        <v>2022</v>
      </c>
      <c r="AN1734">
        <v>2020</v>
      </c>
      <c r="AO1734">
        <f>IF(AND(emissions[[#This Row],[Market-based]]=0,emissions[[#This Row],[Impact Type]]="CO2E"),emissions[[#This Row],[kgCO2e]],0)/1000</f>
        <v>0</v>
      </c>
      <c r="AP1734">
        <f>IF(AND(emissions[[#This Row],[Market-based]]=1,OR(emissions[[#This Row],[Impact Type]]="CO2E",emissions[[#This Row],[Impact Type]]="CO2E MKT")),emissions[[#This Row],[kgCO2e]],0)/1000</f>
        <v>0</v>
      </c>
      <c r="AQ1734" t="str">
        <f>_xlfn.TEXTAFTER(emissions[[#This Row],[Reporting Unit]]," &gt; ",LEN(emissions[[#This Row],[Reporting Unit]])-LEN(SUBSTITUTE(emissions[[#This Row],[Reporting Unit]],"&gt;","")))</f>
        <v>Vantage_Warren</v>
      </c>
      <c r="AR1734" t="str">
        <f>_xlfn.XLOOKUP(emissions[[#This Row],[Reporting unit name]],hierarchy!$A:$A,hierarchy!$C:$C)</f>
        <v>Office</v>
      </c>
    </row>
    <row r="1735" spans="1:44" hidden="1" x14ac:dyDescent="0.25">
      <c r="A1735">
        <v>291084</v>
      </c>
      <c r="B1735" t="s">
        <v>267</v>
      </c>
      <c r="C1735" t="s">
        <v>501</v>
      </c>
      <c r="D1735" t="s">
        <v>548</v>
      </c>
      <c r="E1735" s="3">
        <v>44562</v>
      </c>
      <c r="F1735" s="3">
        <v>44926</v>
      </c>
      <c r="G1735" t="s">
        <v>141</v>
      </c>
      <c r="H1735" s="3">
        <v>44562</v>
      </c>
      <c r="I1735" s="3">
        <v>44926</v>
      </c>
      <c r="J1735" t="s">
        <v>142</v>
      </c>
      <c r="K1735">
        <v>0</v>
      </c>
      <c r="L1735" t="s">
        <v>154</v>
      </c>
      <c r="M1735" t="s">
        <v>110</v>
      </c>
      <c r="N1735" t="s">
        <v>271</v>
      </c>
      <c r="O1735" t="s">
        <v>969</v>
      </c>
      <c r="P1735" t="s">
        <v>550</v>
      </c>
      <c r="Q1735">
        <v>2022</v>
      </c>
      <c r="R1735" t="s">
        <v>612</v>
      </c>
      <c r="S1735" t="s">
        <v>613</v>
      </c>
      <c r="T1735" t="s">
        <v>553</v>
      </c>
      <c r="U1735" t="b">
        <v>0</v>
      </c>
      <c r="V1735" t="s">
        <v>614</v>
      </c>
      <c r="W1735" t="s">
        <v>587</v>
      </c>
      <c r="X1735" t="s">
        <v>556</v>
      </c>
      <c r="AC1735">
        <v>0</v>
      </c>
      <c r="AD1735" t="s">
        <v>564</v>
      </c>
      <c r="AE1735">
        <v>0</v>
      </c>
      <c r="AF1735">
        <v>0.24970999999999999</v>
      </c>
      <c r="AG1735" t="s">
        <v>608</v>
      </c>
      <c r="AH1735">
        <v>2.8000000000000002E-7</v>
      </c>
      <c r="AI1735">
        <v>0</v>
      </c>
      <c r="AJ1735" t="s">
        <v>561</v>
      </c>
      <c r="AK1735" t="s">
        <v>589</v>
      </c>
      <c r="AL1735" t="s">
        <v>590</v>
      </c>
      <c r="AM1735">
        <v>2022</v>
      </c>
      <c r="AN1735">
        <v>2020</v>
      </c>
      <c r="AO1735">
        <f>IF(AND(emissions[[#This Row],[Market-based]]=0,emissions[[#This Row],[Impact Type]]="CO2E"),emissions[[#This Row],[kgCO2e]],0)/1000</f>
        <v>0</v>
      </c>
      <c r="AP1735">
        <f>IF(AND(emissions[[#This Row],[Market-based]]=1,OR(emissions[[#This Row],[Impact Type]]="CO2E",emissions[[#This Row],[Impact Type]]="CO2E MKT")),emissions[[#This Row],[kgCO2e]],0)/1000</f>
        <v>0</v>
      </c>
      <c r="AQ1735" t="str">
        <f>_xlfn.TEXTAFTER(emissions[[#This Row],[Reporting Unit]]," &gt; ",LEN(emissions[[#This Row],[Reporting Unit]])-LEN(SUBSTITUTE(emissions[[#This Row],[Reporting Unit]],"&gt;","")))</f>
        <v>Vantage_Warren</v>
      </c>
      <c r="AR1735" t="str">
        <f>_xlfn.XLOOKUP(emissions[[#This Row],[Reporting unit name]],hierarchy!$A:$A,hierarchy!$C:$C)</f>
        <v>Office</v>
      </c>
    </row>
    <row r="1736" spans="1:44" hidden="1" x14ac:dyDescent="0.25">
      <c r="A1736">
        <v>291084</v>
      </c>
      <c r="B1736" t="s">
        <v>267</v>
      </c>
      <c r="C1736" t="s">
        <v>501</v>
      </c>
      <c r="D1736" t="s">
        <v>548</v>
      </c>
      <c r="E1736" s="3">
        <v>44562</v>
      </c>
      <c r="F1736" s="3">
        <v>44926</v>
      </c>
      <c r="G1736" t="s">
        <v>141</v>
      </c>
      <c r="H1736" s="3">
        <v>44562</v>
      </c>
      <c r="I1736" s="3">
        <v>44926</v>
      </c>
      <c r="J1736" t="s">
        <v>142</v>
      </c>
      <c r="K1736">
        <v>0</v>
      </c>
      <c r="L1736" t="s">
        <v>154</v>
      </c>
      <c r="M1736" t="s">
        <v>110</v>
      </c>
      <c r="N1736" t="s">
        <v>271</v>
      </c>
      <c r="O1736" t="s">
        <v>969</v>
      </c>
      <c r="P1736" t="s">
        <v>550</v>
      </c>
      <c r="Q1736">
        <v>2022</v>
      </c>
      <c r="R1736" t="s">
        <v>612</v>
      </c>
      <c r="S1736" t="s">
        <v>613</v>
      </c>
      <c r="T1736" t="s">
        <v>553</v>
      </c>
      <c r="U1736" t="b">
        <v>0</v>
      </c>
      <c r="V1736" t="s">
        <v>614</v>
      </c>
      <c r="W1736" t="s">
        <v>587</v>
      </c>
      <c r="X1736" t="s">
        <v>556</v>
      </c>
      <c r="AC1736">
        <v>0</v>
      </c>
      <c r="AD1736" t="s">
        <v>565</v>
      </c>
      <c r="AE1736">
        <v>0</v>
      </c>
      <c r="AF1736">
        <v>0.25320999999999999</v>
      </c>
      <c r="AG1736" t="s">
        <v>608</v>
      </c>
      <c r="AH1736">
        <v>2.8000000000000002E-7</v>
      </c>
      <c r="AI1736">
        <v>0</v>
      </c>
      <c r="AJ1736" t="s">
        <v>561</v>
      </c>
      <c r="AK1736" t="s">
        <v>589</v>
      </c>
      <c r="AL1736" t="s">
        <v>590</v>
      </c>
      <c r="AM1736">
        <v>2022</v>
      </c>
      <c r="AN1736">
        <v>2020</v>
      </c>
      <c r="AO1736">
        <f>IF(AND(emissions[[#This Row],[Market-based]]=0,emissions[[#This Row],[Impact Type]]="CO2E"),emissions[[#This Row],[kgCO2e]],0)/1000</f>
        <v>0</v>
      </c>
      <c r="AP1736">
        <f>IF(AND(emissions[[#This Row],[Market-based]]=1,OR(emissions[[#This Row],[Impact Type]]="CO2E",emissions[[#This Row],[Impact Type]]="CO2E MKT")),emissions[[#This Row],[kgCO2e]],0)/1000</f>
        <v>0</v>
      </c>
      <c r="AQ1736" t="str">
        <f>_xlfn.TEXTAFTER(emissions[[#This Row],[Reporting Unit]]," &gt; ",LEN(emissions[[#This Row],[Reporting Unit]])-LEN(SUBSTITUTE(emissions[[#This Row],[Reporting Unit]],"&gt;","")))</f>
        <v>Vantage_Warren</v>
      </c>
      <c r="AR1736" t="str">
        <f>_xlfn.XLOOKUP(emissions[[#This Row],[Reporting unit name]],hierarchy!$A:$A,hierarchy!$C:$C)</f>
        <v>Office</v>
      </c>
    </row>
    <row r="1737" spans="1:44" hidden="1" x14ac:dyDescent="0.25">
      <c r="A1737">
        <v>291084</v>
      </c>
      <c r="B1737" t="s">
        <v>267</v>
      </c>
      <c r="C1737" t="s">
        <v>501</v>
      </c>
      <c r="D1737" t="s">
        <v>548</v>
      </c>
      <c r="E1737" s="3">
        <v>44562</v>
      </c>
      <c r="F1737" s="3">
        <v>44926</v>
      </c>
      <c r="G1737" t="s">
        <v>141</v>
      </c>
      <c r="H1737" s="3">
        <v>44562</v>
      </c>
      <c r="I1737" s="3">
        <v>44926</v>
      </c>
      <c r="J1737" t="s">
        <v>142</v>
      </c>
      <c r="K1737">
        <v>0</v>
      </c>
      <c r="L1737" t="s">
        <v>154</v>
      </c>
      <c r="M1737" t="s">
        <v>110</v>
      </c>
      <c r="N1737" t="s">
        <v>271</v>
      </c>
      <c r="O1737" t="s">
        <v>969</v>
      </c>
      <c r="P1737" t="s">
        <v>550</v>
      </c>
      <c r="Q1737">
        <v>2022</v>
      </c>
      <c r="R1737" t="s">
        <v>612</v>
      </c>
      <c r="S1737" t="s">
        <v>613</v>
      </c>
      <c r="T1737" t="s">
        <v>553</v>
      </c>
      <c r="U1737" t="b">
        <v>0</v>
      </c>
      <c r="V1737" t="s">
        <v>614</v>
      </c>
      <c r="W1737" t="s">
        <v>587</v>
      </c>
      <c r="X1737" t="s">
        <v>556</v>
      </c>
      <c r="AC1737">
        <v>0</v>
      </c>
      <c r="AD1737" t="s">
        <v>566</v>
      </c>
      <c r="AE1737">
        <v>0</v>
      </c>
      <c r="AF1737">
        <v>3.48E-3</v>
      </c>
      <c r="AG1737" t="s">
        <v>608</v>
      </c>
      <c r="AH1737">
        <v>2.8000000000000002E-7</v>
      </c>
      <c r="AI1737">
        <v>0</v>
      </c>
      <c r="AJ1737" t="s">
        <v>561</v>
      </c>
      <c r="AK1737" t="s">
        <v>589</v>
      </c>
      <c r="AL1737" t="s">
        <v>590</v>
      </c>
      <c r="AM1737">
        <v>2022</v>
      </c>
      <c r="AN1737">
        <v>2020</v>
      </c>
      <c r="AO1737">
        <f>IF(AND(emissions[[#This Row],[Market-based]]=0,emissions[[#This Row],[Impact Type]]="CO2E"),emissions[[#This Row],[kgCO2e]],0)/1000</f>
        <v>0</v>
      </c>
      <c r="AP1737">
        <f>IF(AND(emissions[[#This Row],[Market-based]]=1,OR(emissions[[#This Row],[Impact Type]]="CO2E",emissions[[#This Row],[Impact Type]]="CO2E MKT")),emissions[[#This Row],[kgCO2e]],0)/1000</f>
        <v>0</v>
      </c>
      <c r="AQ1737" t="str">
        <f>_xlfn.TEXTAFTER(emissions[[#This Row],[Reporting Unit]]," &gt; ",LEN(emissions[[#This Row],[Reporting Unit]])-LEN(SUBSTITUTE(emissions[[#This Row],[Reporting Unit]],"&gt;","")))</f>
        <v>Vantage_Warren</v>
      </c>
      <c r="AR1737" t="str">
        <f>_xlfn.XLOOKUP(emissions[[#This Row],[Reporting unit name]],hierarchy!$A:$A,hierarchy!$C:$C)</f>
        <v>Office</v>
      </c>
    </row>
    <row r="1738" spans="1:44" hidden="1" x14ac:dyDescent="0.25">
      <c r="A1738">
        <v>291084</v>
      </c>
      <c r="B1738" t="s">
        <v>267</v>
      </c>
      <c r="C1738" t="s">
        <v>501</v>
      </c>
      <c r="D1738" t="s">
        <v>548</v>
      </c>
      <c r="E1738" s="3">
        <v>44562</v>
      </c>
      <c r="F1738" s="3">
        <v>44926</v>
      </c>
      <c r="G1738" t="s">
        <v>141</v>
      </c>
      <c r="H1738" s="3">
        <v>44562</v>
      </c>
      <c r="I1738" s="3">
        <v>44926</v>
      </c>
      <c r="J1738" t="s">
        <v>142</v>
      </c>
      <c r="K1738">
        <v>0</v>
      </c>
      <c r="L1738" t="s">
        <v>154</v>
      </c>
      <c r="M1738" t="s">
        <v>110</v>
      </c>
      <c r="N1738" t="s">
        <v>271</v>
      </c>
      <c r="O1738" t="s">
        <v>969</v>
      </c>
      <c r="P1738" t="s">
        <v>550</v>
      </c>
      <c r="Q1738">
        <v>2022</v>
      </c>
      <c r="R1738" t="s">
        <v>612</v>
      </c>
      <c r="S1738" t="s">
        <v>613</v>
      </c>
      <c r="T1738" t="s">
        <v>553</v>
      </c>
      <c r="U1738" t="b">
        <v>0</v>
      </c>
      <c r="V1738" t="s">
        <v>614</v>
      </c>
      <c r="W1738" t="s">
        <v>587</v>
      </c>
      <c r="X1738" t="s">
        <v>556</v>
      </c>
      <c r="AC1738">
        <v>1</v>
      </c>
      <c r="AD1738" t="s">
        <v>558</v>
      </c>
      <c r="AE1738">
        <v>0</v>
      </c>
      <c r="AF1738">
        <v>2.0000000000000002E-5</v>
      </c>
      <c r="AG1738" t="s">
        <v>608</v>
      </c>
      <c r="AH1738">
        <v>2.8000000000000002E-7</v>
      </c>
      <c r="AI1738">
        <v>0</v>
      </c>
      <c r="AJ1738" t="s">
        <v>561</v>
      </c>
      <c r="AK1738" t="s">
        <v>589</v>
      </c>
      <c r="AL1738" t="s">
        <v>590</v>
      </c>
      <c r="AM1738">
        <v>2022</v>
      </c>
      <c r="AN1738">
        <v>2020</v>
      </c>
      <c r="AO1738">
        <f>IF(AND(emissions[[#This Row],[Market-based]]=0,emissions[[#This Row],[Impact Type]]="CO2E"),emissions[[#This Row],[kgCO2e]],0)/1000</f>
        <v>0</v>
      </c>
      <c r="AP1738">
        <f>IF(AND(emissions[[#This Row],[Market-based]]=1,OR(emissions[[#This Row],[Impact Type]]="CO2E",emissions[[#This Row],[Impact Type]]="CO2E MKT")),emissions[[#This Row],[kgCO2e]],0)/1000</f>
        <v>0</v>
      </c>
      <c r="AQ1738" t="str">
        <f>_xlfn.TEXTAFTER(emissions[[#This Row],[Reporting Unit]]," &gt; ",LEN(emissions[[#This Row],[Reporting Unit]])-LEN(SUBSTITUTE(emissions[[#This Row],[Reporting Unit]],"&gt;","")))</f>
        <v>Vantage_Warren</v>
      </c>
      <c r="AR1738" t="str">
        <f>_xlfn.XLOOKUP(emissions[[#This Row],[Reporting unit name]],hierarchy!$A:$A,hierarchy!$C:$C)</f>
        <v>Office</v>
      </c>
    </row>
    <row r="1739" spans="1:44" hidden="1" x14ac:dyDescent="0.25">
      <c r="A1739">
        <v>291084</v>
      </c>
      <c r="B1739" t="s">
        <v>267</v>
      </c>
      <c r="C1739" t="s">
        <v>501</v>
      </c>
      <c r="D1739" t="s">
        <v>548</v>
      </c>
      <c r="E1739" s="3">
        <v>44562</v>
      </c>
      <c r="F1739" s="3">
        <v>44926</v>
      </c>
      <c r="G1739" t="s">
        <v>141</v>
      </c>
      <c r="H1739" s="3">
        <v>44562</v>
      </c>
      <c r="I1739" s="3">
        <v>44926</v>
      </c>
      <c r="J1739" t="s">
        <v>142</v>
      </c>
      <c r="K1739">
        <v>0</v>
      </c>
      <c r="L1739" t="s">
        <v>154</v>
      </c>
      <c r="M1739" t="s">
        <v>110</v>
      </c>
      <c r="N1739" t="s">
        <v>271</v>
      </c>
      <c r="O1739" t="s">
        <v>969</v>
      </c>
      <c r="P1739" t="s">
        <v>550</v>
      </c>
      <c r="Q1739">
        <v>2022</v>
      </c>
      <c r="R1739" t="s">
        <v>612</v>
      </c>
      <c r="S1739" t="s">
        <v>613</v>
      </c>
      <c r="T1739" t="s">
        <v>553</v>
      </c>
      <c r="U1739" t="b">
        <v>0</v>
      </c>
      <c r="V1739" t="s">
        <v>614</v>
      </c>
      <c r="W1739" t="s">
        <v>587</v>
      </c>
      <c r="X1739" t="s">
        <v>556</v>
      </c>
      <c r="AC1739">
        <v>1</v>
      </c>
      <c r="AD1739" t="s">
        <v>564</v>
      </c>
      <c r="AE1739">
        <v>0</v>
      </c>
      <c r="AF1739">
        <v>0.24970999999999999</v>
      </c>
      <c r="AG1739" t="s">
        <v>608</v>
      </c>
      <c r="AH1739">
        <v>2.8000000000000002E-7</v>
      </c>
      <c r="AI1739">
        <v>0</v>
      </c>
      <c r="AJ1739" t="s">
        <v>561</v>
      </c>
      <c r="AK1739" t="s">
        <v>589</v>
      </c>
      <c r="AL1739" t="s">
        <v>590</v>
      </c>
      <c r="AM1739">
        <v>2022</v>
      </c>
      <c r="AN1739">
        <v>2020</v>
      </c>
      <c r="AO1739">
        <f>IF(AND(emissions[[#This Row],[Market-based]]=0,emissions[[#This Row],[Impact Type]]="CO2E"),emissions[[#This Row],[kgCO2e]],0)/1000</f>
        <v>0</v>
      </c>
      <c r="AP1739">
        <f>IF(AND(emissions[[#This Row],[Market-based]]=1,OR(emissions[[#This Row],[Impact Type]]="CO2E",emissions[[#This Row],[Impact Type]]="CO2E MKT")),emissions[[#This Row],[kgCO2e]],0)/1000</f>
        <v>0</v>
      </c>
      <c r="AQ1739" t="str">
        <f>_xlfn.TEXTAFTER(emissions[[#This Row],[Reporting Unit]]," &gt; ",LEN(emissions[[#This Row],[Reporting Unit]])-LEN(SUBSTITUTE(emissions[[#This Row],[Reporting Unit]],"&gt;","")))</f>
        <v>Vantage_Warren</v>
      </c>
      <c r="AR1739" t="str">
        <f>_xlfn.XLOOKUP(emissions[[#This Row],[Reporting unit name]],hierarchy!$A:$A,hierarchy!$C:$C)</f>
        <v>Office</v>
      </c>
    </row>
    <row r="1740" spans="1:44" hidden="1" x14ac:dyDescent="0.25">
      <c r="A1740">
        <v>291084</v>
      </c>
      <c r="B1740" t="s">
        <v>267</v>
      </c>
      <c r="C1740" t="s">
        <v>501</v>
      </c>
      <c r="D1740" t="s">
        <v>548</v>
      </c>
      <c r="E1740" s="3">
        <v>44562</v>
      </c>
      <c r="F1740" s="3">
        <v>44926</v>
      </c>
      <c r="G1740" t="s">
        <v>141</v>
      </c>
      <c r="H1740" s="3">
        <v>44562</v>
      </c>
      <c r="I1740" s="3">
        <v>44926</v>
      </c>
      <c r="J1740" t="s">
        <v>142</v>
      </c>
      <c r="K1740">
        <v>0</v>
      </c>
      <c r="L1740" t="s">
        <v>154</v>
      </c>
      <c r="M1740" t="s">
        <v>110</v>
      </c>
      <c r="N1740" t="s">
        <v>271</v>
      </c>
      <c r="O1740" t="s">
        <v>969</v>
      </c>
      <c r="P1740" t="s">
        <v>550</v>
      </c>
      <c r="Q1740">
        <v>2022</v>
      </c>
      <c r="R1740" t="s">
        <v>612</v>
      </c>
      <c r="S1740" t="s">
        <v>613</v>
      </c>
      <c r="T1740" t="s">
        <v>553</v>
      </c>
      <c r="U1740" t="b">
        <v>0</v>
      </c>
      <c r="V1740" t="s">
        <v>614</v>
      </c>
      <c r="W1740" t="s">
        <v>587</v>
      </c>
      <c r="X1740" t="s">
        <v>556</v>
      </c>
      <c r="AC1740">
        <v>1</v>
      </c>
      <c r="AD1740" t="s">
        <v>565</v>
      </c>
      <c r="AE1740">
        <v>0</v>
      </c>
      <c r="AF1740">
        <v>0.25320999999999999</v>
      </c>
      <c r="AG1740" t="s">
        <v>608</v>
      </c>
      <c r="AH1740">
        <v>2.8000000000000002E-7</v>
      </c>
      <c r="AI1740">
        <v>0</v>
      </c>
      <c r="AJ1740" t="s">
        <v>561</v>
      </c>
      <c r="AK1740" t="s">
        <v>589</v>
      </c>
      <c r="AL1740" t="s">
        <v>590</v>
      </c>
      <c r="AM1740">
        <v>2022</v>
      </c>
      <c r="AN1740">
        <v>2020</v>
      </c>
      <c r="AO1740">
        <f>IF(AND(emissions[[#This Row],[Market-based]]=0,emissions[[#This Row],[Impact Type]]="CO2E"),emissions[[#This Row],[kgCO2e]],0)/1000</f>
        <v>0</v>
      </c>
      <c r="AP1740">
        <f>IF(AND(emissions[[#This Row],[Market-based]]=1,OR(emissions[[#This Row],[Impact Type]]="CO2E",emissions[[#This Row],[Impact Type]]="CO2E MKT")),emissions[[#This Row],[kgCO2e]],0)/1000</f>
        <v>0</v>
      </c>
      <c r="AQ1740" t="str">
        <f>_xlfn.TEXTAFTER(emissions[[#This Row],[Reporting Unit]]," &gt; ",LEN(emissions[[#This Row],[Reporting Unit]])-LEN(SUBSTITUTE(emissions[[#This Row],[Reporting Unit]],"&gt;","")))</f>
        <v>Vantage_Warren</v>
      </c>
      <c r="AR1740" t="str">
        <f>_xlfn.XLOOKUP(emissions[[#This Row],[Reporting unit name]],hierarchy!$A:$A,hierarchy!$C:$C)</f>
        <v>Office</v>
      </c>
    </row>
    <row r="1741" spans="1:44" hidden="1" x14ac:dyDescent="0.25">
      <c r="A1741">
        <v>291084</v>
      </c>
      <c r="B1741" t="s">
        <v>267</v>
      </c>
      <c r="C1741" t="s">
        <v>501</v>
      </c>
      <c r="D1741" t="s">
        <v>548</v>
      </c>
      <c r="E1741" s="3">
        <v>44562</v>
      </c>
      <c r="F1741" s="3">
        <v>44926</v>
      </c>
      <c r="G1741" t="s">
        <v>141</v>
      </c>
      <c r="H1741" s="3">
        <v>44562</v>
      </c>
      <c r="I1741" s="3">
        <v>44926</v>
      </c>
      <c r="J1741" t="s">
        <v>142</v>
      </c>
      <c r="K1741">
        <v>0</v>
      </c>
      <c r="L1741" t="s">
        <v>154</v>
      </c>
      <c r="M1741" t="s">
        <v>110</v>
      </c>
      <c r="N1741" t="s">
        <v>271</v>
      </c>
      <c r="O1741" t="s">
        <v>969</v>
      </c>
      <c r="P1741" t="s">
        <v>550</v>
      </c>
      <c r="Q1741">
        <v>2022</v>
      </c>
      <c r="R1741" t="s">
        <v>612</v>
      </c>
      <c r="S1741" t="s">
        <v>613</v>
      </c>
      <c r="T1741" t="s">
        <v>553</v>
      </c>
      <c r="U1741" t="b">
        <v>0</v>
      </c>
      <c r="V1741" t="s">
        <v>614</v>
      </c>
      <c r="W1741" t="s">
        <v>587</v>
      </c>
      <c r="X1741" t="s">
        <v>556</v>
      </c>
      <c r="AC1741">
        <v>1</v>
      </c>
      <c r="AD1741" t="s">
        <v>566</v>
      </c>
      <c r="AE1741">
        <v>0</v>
      </c>
      <c r="AF1741">
        <v>3.48E-3</v>
      </c>
      <c r="AG1741" t="s">
        <v>608</v>
      </c>
      <c r="AH1741">
        <v>2.8000000000000002E-7</v>
      </c>
      <c r="AI1741">
        <v>0</v>
      </c>
      <c r="AJ1741" t="s">
        <v>561</v>
      </c>
      <c r="AK1741" t="s">
        <v>589</v>
      </c>
      <c r="AL1741" t="s">
        <v>590</v>
      </c>
      <c r="AM1741">
        <v>2022</v>
      </c>
      <c r="AN1741">
        <v>2020</v>
      </c>
      <c r="AO1741">
        <f>IF(AND(emissions[[#This Row],[Market-based]]=0,emissions[[#This Row],[Impact Type]]="CO2E"),emissions[[#This Row],[kgCO2e]],0)/1000</f>
        <v>0</v>
      </c>
      <c r="AP1741">
        <f>IF(AND(emissions[[#This Row],[Market-based]]=1,OR(emissions[[#This Row],[Impact Type]]="CO2E",emissions[[#This Row],[Impact Type]]="CO2E MKT")),emissions[[#This Row],[kgCO2e]],0)/1000</f>
        <v>0</v>
      </c>
      <c r="AQ1741" t="str">
        <f>_xlfn.TEXTAFTER(emissions[[#This Row],[Reporting Unit]]," &gt; ",LEN(emissions[[#This Row],[Reporting Unit]])-LEN(SUBSTITUTE(emissions[[#This Row],[Reporting Unit]],"&gt;","")))</f>
        <v>Vantage_Warren</v>
      </c>
      <c r="AR1741" t="str">
        <f>_xlfn.XLOOKUP(emissions[[#This Row],[Reporting unit name]],hierarchy!$A:$A,hierarchy!$C:$C)</f>
        <v>Office</v>
      </c>
    </row>
    <row r="1742" spans="1:44" hidden="1" x14ac:dyDescent="0.25">
      <c r="A1742">
        <v>291084</v>
      </c>
      <c r="B1742" t="s">
        <v>267</v>
      </c>
      <c r="C1742" t="s">
        <v>501</v>
      </c>
      <c r="D1742" t="s">
        <v>548</v>
      </c>
      <c r="E1742" s="3">
        <v>44562</v>
      </c>
      <c r="F1742" s="3">
        <v>44926</v>
      </c>
      <c r="G1742" t="s">
        <v>141</v>
      </c>
      <c r="H1742" s="3">
        <v>44562</v>
      </c>
      <c r="I1742" s="3">
        <v>44926</v>
      </c>
      <c r="J1742" t="s">
        <v>142</v>
      </c>
      <c r="K1742">
        <v>0</v>
      </c>
      <c r="L1742" t="s">
        <v>154</v>
      </c>
      <c r="M1742" t="s">
        <v>110</v>
      </c>
      <c r="N1742" t="s">
        <v>271</v>
      </c>
      <c r="O1742" t="s">
        <v>969</v>
      </c>
      <c r="P1742" t="s">
        <v>550</v>
      </c>
      <c r="Q1742">
        <v>2022</v>
      </c>
      <c r="R1742" t="s">
        <v>615</v>
      </c>
      <c r="S1742" t="s">
        <v>616</v>
      </c>
      <c r="T1742" t="s">
        <v>577</v>
      </c>
      <c r="U1742" t="b">
        <v>0</v>
      </c>
      <c r="V1742" t="s">
        <v>879</v>
      </c>
      <c r="W1742" t="s">
        <v>571</v>
      </c>
      <c r="X1742" t="s">
        <v>572</v>
      </c>
      <c r="AC1742">
        <v>0</v>
      </c>
      <c r="AD1742" t="s">
        <v>565</v>
      </c>
      <c r="AE1742">
        <v>0</v>
      </c>
      <c r="AF1742">
        <v>5.8880000000000002E-2</v>
      </c>
      <c r="AG1742" t="s">
        <v>608</v>
      </c>
      <c r="AH1742">
        <v>2.8000000000000002E-7</v>
      </c>
      <c r="AI1742">
        <v>0</v>
      </c>
      <c r="AJ1742" t="s">
        <v>561</v>
      </c>
      <c r="AK1742" t="s">
        <v>589</v>
      </c>
      <c r="AL1742" t="s">
        <v>590</v>
      </c>
      <c r="AM1742">
        <v>2022</v>
      </c>
      <c r="AN1742">
        <v>2020</v>
      </c>
      <c r="AO1742">
        <f>IF(AND(emissions[[#This Row],[Market-based]]=0,emissions[[#This Row],[Impact Type]]="CO2E"),emissions[[#This Row],[kgCO2e]],0)/1000</f>
        <v>0</v>
      </c>
      <c r="AP1742">
        <f>IF(AND(emissions[[#This Row],[Market-based]]=1,OR(emissions[[#This Row],[Impact Type]]="CO2E",emissions[[#This Row],[Impact Type]]="CO2E MKT")),emissions[[#This Row],[kgCO2e]],0)/1000</f>
        <v>0</v>
      </c>
      <c r="AQ1742" t="str">
        <f>_xlfn.TEXTAFTER(emissions[[#This Row],[Reporting Unit]]," &gt; ",LEN(emissions[[#This Row],[Reporting Unit]])-LEN(SUBSTITUTE(emissions[[#This Row],[Reporting Unit]],"&gt;","")))</f>
        <v>Vantage_Warren</v>
      </c>
      <c r="AR1742" t="str">
        <f>_xlfn.XLOOKUP(emissions[[#This Row],[Reporting unit name]],hierarchy!$A:$A,hierarchy!$C:$C)</f>
        <v>Office</v>
      </c>
    </row>
    <row r="1743" spans="1:44" hidden="1" x14ac:dyDescent="0.25">
      <c r="A1743">
        <v>291084</v>
      </c>
      <c r="B1743" t="s">
        <v>267</v>
      </c>
      <c r="C1743" t="s">
        <v>501</v>
      </c>
      <c r="D1743" t="s">
        <v>548</v>
      </c>
      <c r="E1743" s="3">
        <v>44562</v>
      </c>
      <c r="F1743" s="3">
        <v>44926</v>
      </c>
      <c r="G1743" t="s">
        <v>141</v>
      </c>
      <c r="H1743" s="3">
        <v>44562</v>
      </c>
      <c r="I1743" s="3">
        <v>44926</v>
      </c>
      <c r="J1743" t="s">
        <v>142</v>
      </c>
      <c r="K1743">
        <v>0</v>
      </c>
      <c r="L1743" t="s">
        <v>154</v>
      </c>
      <c r="M1743" t="s">
        <v>110</v>
      </c>
      <c r="N1743" t="s">
        <v>271</v>
      </c>
      <c r="O1743" t="s">
        <v>969</v>
      </c>
      <c r="P1743" t="s">
        <v>550</v>
      </c>
      <c r="Q1743">
        <v>2022</v>
      </c>
      <c r="R1743" t="s">
        <v>615</v>
      </c>
      <c r="S1743" t="s">
        <v>616</v>
      </c>
      <c r="T1743" t="s">
        <v>577</v>
      </c>
      <c r="U1743" t="b">
        <v>0</v>
      </c>
      <c r="V1743" t="s">
        <v>879</v>
      </c>
      <c r="W1743" t="s">
        <v>571</v>
      </c>
      <c r="X1743" t="s">
        <v>572</v>
      </c>
      <c r="AC1743">
        <v>1</v>
      </c>
      <c r="AD1743" t="s">
        <v>565</v>
      </c>
      <c r="AE1743">
        <v>0</v>
      </c>
      <c r="AF1743">
        <v>5.8880000000000002E-2</v>
      </c>
      <c r="AG1743" t="s">
        <v>608</v>
      </c>
      <c r="AH1743">
        <v>2.8000000000000002E-7</v>
      </c>
      <c r="AI1743">
        <v>0</v>
      </c>
      <c r="AJ1743" t="s">
        <v>561</v>
      </c>
      <c r="AK1743" t="s">
        <v>589</v>
      </c>
      <c r="AL1743" t="s">
        <v>590</v>
      </c>
      <c r="AM1743">
        <v>2022</v>
      </c>
      <c r="AN1743">
        <v>2020</v>
      </c>
      <c r="AO1743">
        <f>IF(AND(emissions[[#This Row],[Market-based]]=0,emissions[[#This Row],[Impact Type]]="CO2E"),emissions[[#This Row],[kgCO2e]],0)/1000</f>
        <v>0</v>
      </c>
      <c r="AP1743">
        <f>IF(AND(emissions[[#This Row],[Market-based]]=1,OR(emissions[[#This Row],[Impact Type]]="CO2E",emissions[[#This Row],[Impact Type]]="CO2E MKT")),emissions[[#This Row],[kgCO2e]],0)/1000</f>
        <v>0</v>
      </c>
      <c r="AQ1743" t="str">
        <f>_xlfn.TEXTAFTER(emissions[[#This Row],[Reporting Unit]]," &gt; ",LEN(emissions[[#This Row],[Reporting Unit]])-LEN(SUBSTITUTE(emissions[[#This Row],[Reporting Unit]],"&gt;","")))</f>
        <v>Vantage_Warren</v>
      </c>
      <c r="AR1743" t="str">
        <f>_xlfn.XLOOKUP(emissions[[#This Row],[Reporting unit name]],hierarchy!$A:$A,hierarchy!$C:$C)</f>
        <v>Office</v>
      </c>
    </row>
    <row r="1744" spans="1:44" hidden="1" x14ac:dyDescent="0.25">
      <c r="A1744">
        <v>291424</v>
      </c>
      <c r="B1744" t="s">
        <v>267</v>
      </c>
      <c r="C1744" t="s">
        <v>501</v>
      </c>
      <c r="D1744" t="s">
        <v>548</v>
      </c>
      <c r="E1744" s="3">
        <v>44562</v>
      </c>
      <c r="F1744" s="3">
        <v>44926</v>
      </c>
      <c r="G1744" t="s">
        <v>116</v>
      </c>
      <c r="H1744" s="3">
        <v>44562</v>
      </c>
      <c r="I1744" s="3">
        <v>44926</v>
      </c>
      <c r="J1744" t="s">
        <v>272</v>
      </c>
      <c r="K1744">
        <v>0</v>
      </c>
      <c r="L1744" t="s">
        <v>118</v>
      </c>
      <c r="M1744" t="s">
        <v>110</v>
      </c>
      <c r="N1744" t="s">
        <v>274</v>
      </c>
      <c r="O1744" t="s">
        <v>970</v>
      </c>
      <c r="P1744" t="s">
        <v>550</v>
      </c>
      <c r="Q1744">
        <v>2022</v>
      </c>
      <c r="R1744" t="s">
        <v>803</v>
      </c>
      <c r="S1744" t="s">
        <v>272</v>
      </c>
      <c r="T1744" t="s">
        <v>553</v>
      </c>
      <c r="U1744" t="b">
        <v>0</v>
      </c>
      <c r="V1744" t="s">
        <v>804</v>
      </c>
      <c r="W1744" t="s">
        <v>587</v>
      </c>
      <c r="X1744" t="s">
        <v>556</v>
      </c>
      <c r="AC1744">
        <v>0</v>
      </c>
      <c r="AD1744" t="s">
        <v>565</v>
      </c>
      <c r="AE1744">
        <v>0</v>
      </c>
      <c r="AF1744">
        <v>1810</v>
      </c>
      <c r="AG1744" t="s">
        <v>622</v>
      </c>
      <c r="AH1744">
        <v>1</v>
      </c>
      <c r="AI1744">
        <v>0</v>
      </c>
      <c r="AJ1744" t="s">
        <v>561</v>
      </c>
      <c r="AK1744" t="s">
        <v>623</v>
      </c>
      <c r="AL1744" t="s">
        <v>624</v>
      </c>
      <c r="AM1744">
        <v>2022</v>
      </c>
      <c r="AN1744">
        <v>2007</v>
      </c>
      <c r="AO1744">
        <f>IF(AND(emissions[[#This Row],[Market-based]]=0,emissions[[#This Row],[Impact Type]]="CO2E"),emissions[[#This Row],[kgCO2e]],0)/1000</f>
        <v>0</v>
      </c>
      <c r="AP1744">
        <f>IF(AND(emissions[[#This Row],[Market-based]]=1,OR(emissions[[#This Row],[Impact Type]]="CO2E",emissions[[#This Row],[Impact Type]]="CO2E MKT")),emissions[[#This Row],[kgCO2e]],0)/1000</f>
        <v>0</v>
      </c>
      <c r="AQ1744" t="str">
        <f>_xlfn.TEXTAFTER(emissions[[#This Row],[Reporting Unit]]," &gt; ",LEN(emissions[[#This Row],[Reporting Unit]])-LEN(SUBSTITUTE(emissions[[#This Row],[Reporting Unit]],"&gt;","")))</f>
        <v>Vantage_Warren</v>
      </c>
      <c r="AR1744" t="str">
        <f>_xlfn.XLOOKUP(emissions[[#This Row],[Reporting unit name]],hierarchy!$A:$A,hierarchy!$C:$C)</f>
        <v>Office</v>
      </c>
    </row>
    <row r="1745" spans="1:44" hidden="1" x14ac:dyDescent="0.25">
      <c r="A1745">
        <v>291424</v>
      </c>
      <c r="B1745" t="s">
        <v>267</v>
      </c>
      <c r="C1745" t="s">
        <v>501</v>
      </c>
      <c r="D1745" t="s">
        <v>548</v>
      </c>
      <c r="E1745" s="3">
        <v>44562</v>
      </c>
      <c r="F1745" s="3">
        <v>44926</v>
      </c>
      <c r="G1745" t="s">
        <v>116</v>
      </c>
      <c r="H1745" s="3">
        <v>44562</v>
      </c>
      <c r="I1745" s="3">
        <v>44926</v>
      </c>
      <c r="J1745" t="s">
        <v>272</v>
      </c>
      <c r="K1745">
        <v>0</v>
      </c>
      <c r="L1745" t="s">
        <v>118</v>
      </c>
      <c r="M1745" t="s">
        <v>110</v>
      </c>
      <c r="N1745" t="s">
        <v>274</v>
      </c>
      <c r="O1745" t="s">
        <v>970</v>
      </c>
      <c r="P1745" t="s">
        <v>550</v>
      </c>
      <c r="Q1745">
        <v>2022</v>
      </c>
      <c r="R1745" t="s">
        <v>803</v>
      </c>
      <c r="S1745" t="s">
        <v>272</v>
      </c>
      <c r="T1745" t="s">
        <v>553</v>
      </c>
      <c r="U1745" t="b">
        <v>0</v>
      </c>
      <c r="V1745" t="s">
        <v>804</v>
      </c>
      <c r="W1745" t="s">
        <v>587</v>
      </c>
      <c r="X1745" t="s">
        <v>556</v>
      </c>
      <c r="AC1745">
        <v>1</v>
      </c>
      <c r="AD1745" t="s">
        <v>565</v>
      </c>
      <c r="AE1745">
        <v>0</v>
      </c>
      <c r="AF1745">
        <v>1810</v>
      </c>
      <c r="AG1745" t="s">
        <v>622</v>
      </c>
      <c r="AH1745">
        <v>1</v>
      </c>
      <c r="AI1745">
        <v>0</v>
      </c>
      <c r="AJ1745" t="s">
        <v>561</v>
      </c>
      <c r="AK1745" t="s">
        <v>623</v>
      </c>
      <c r="AL1745" t="s">
        <v>624</v>
      </c>
      <c r="AM1745">
        <v>2022</v>
      </c>
      <c r="AN1745">
        <v>2007</v>
      </c>
      <c r="AO1745">
        <f>IF(AND(emissions[[#This Row],[Market-based]]=0,emissions[[#This Row],[Impact Type]]="CO2E"),emissions[[#This Row],[kgCO2e]],0)/1000</f>
        <v>0</v>
      </c>
      <c r="AP1745">
        <f>IF(AND(emissions[[#This Row],[Market-based]]=1,OR(emissions[[#This Row],[Impact Type]]="CO2E",emissions[[#This Row],[Impact Type]]="CO2E MKT")),emissions[[#This Row],[kgCO2e]],0)/1000</f>
        <v>0</v>
      </c>
      <c r="AQ1745" t="str">
        <f>_xlfn.TEXTAFTER(emissions[[#This Row],[Reporting Unit]]," &gt; ",LEN(emissions[[#This Row],[Reporting Unit]])-LEN(SUBSTITUTE(emissions[[#This Row],[Reporting Unit]],"&gt;","")))</f>
        <v>Vantage_Warren</v>
      </c>
      <c r="AR1745" t="str">
        <f>_xlfn.XLOOKUP(emissions[[#This Row],[Reporting unit name]],hierarchy!$A:$A,hierarchy!$C:$C)</f>
        <v>Office</v>
      </c>
    </row>
    <row r="1746" spans="1:44" hidden="1" x14ac:dyDescent="0.25">
      <c r="A1746">
        <v>1590437</v>
      </c>
      <c r="B1746" t="s">
        <v>267</v>
      </c>
      <c r="C1746" t="s">
        <v>501</v>
      </c>
      <c r="D1746" t="s">
        <v>548</v>
      </c>
      <c r="E1746" s="3">
        <v>44562</v>
      </c>
      <c r="F1746" s="3">
        <v>44926</v>
      </c>
      <c r="G1746" t="s">
        <v>116</v>
      </c>
      <c r="H1746" s="3">
        <v>44562</v>
      </c>
      <c r="I1746" s="3">
        <v>44926</v>
      </c>
      <c r="J1746" t="s">
        <v>272</v>
      </c>
      <c r="K1746">
        <v>3.9182000000000001</v>
      </c>
      <c r="L1746" t="s">
        <v>118</v>
      </c>
      <c r="M1746" t="s">
        <v>82</v>
      </c>
      <c r="N1746" t="s">
        <v>275</v>
      </c>
      <c r="O1746" t="s">
        <v>631</v>
      </c>
      <c r="P1746" t="s">
        <v>631</v>
      </c>
      <c r="Q1746">
        <v>2022</v>
      </c>
      <c r="R1746" t="s">
        <v>803</v>
      </c>
      <c r="S1746" t="s">
        <v>272</v>
      </c>
      <c r="T1746" t="s">
        <v>553</v>
      </c>
      <c r="U1746" t="b">
        <v>0</v>
      </c>
      <c r="V1746" t="s">
        <v>804</v>
      </c>
      <c r="W1746" t="s">
        <v>587</v>
      </c>
      <c r="X1746" t="s">
        <v>556</v>
      </c>
      <c r="AC1746">
        <v>0</v>
      </c>
      <c r="AD1746" t="s">
        <v>565</v>
      </c>
      <c r="AE1746">
        <v>7091.942</v>
      </c>
      <c r="AF1746">
        <v>1810</v>
      </c>
      <c r="AG1746" t="s">
        <v>622</v>
      </c>
      <c r="AH1746">
        <v>1</v>
      </c>
      <c r="AI1746">
        <v>3.9182000000000001</v>
      </c>
      <c r="AJ1746" t="s">
        <v>561</v>
      </c>
      <c r="AK1746" t="s">
        <v>623</v>
      </c>
      <c r="AL1746" t="s">
        <v>624</v>
      </c>
      <c r="AM1746">
        <v>2022</v>
      </c>
      <c r="AN1746">
        <v>2007</v>
      </c>
      <c r="AO1746">
        <f>IF(AND(emissions[[#This Row],[Market-based]]=0,emissions[[#This Row],[Impact Type]]="CO2E"),emissions[[#This Row],[kgCO2e]],0)/1000</f>
        <v>7.0919420000000004</v>
      </c>
      <c r="AP1746">
        <f>IF(AND(emissions[[#This Row],[Market-based]]=1,OR(emissions[[#This Row],[Impact Type]]="CO2E",emissions[[#This Row],[Impact Type]]="CO2E MKT")),emissions[[#This Row],[kgCO2e]],0)/1000</f>
        <v>0</v>
      </c>
      <c r="AQ1746" t="str">
        <f>_xlfn.TEXTAFTER(emissions[[#This Row],[Reporting Unit]]," &gt; ",LEN(emissions[[#This Row],[Reporting Unit]])-LEN(SUBSTITUTE(emissions[[#This Row],[Reporting Unit]],"&gt;","")))</f>
        <v>Vantage_Warren</v>
      </c>
      <c r="AR1746" t="str">
        <f>_xlfn.XLOOKUP(emissions[[#This Row],[Reporting unit name]],hierarchy!$A:$A,hierarchy!$C:$C)</f>
        <v>Office</v>
      </c>
    </row>
    <row r="1747" spans="1:44" hidden="1" x14ac:dyDescent="0.25">
      <c r="A1747">
        <v>1590437</v>
      </c>
      <c r="B1747" t="s">
        <v>267</v>
      </c>
      <c r="C1747" t="s">
        <v>501</v>
      </c>
      <c r="D1747" t="s">
        <v>548</v>
      </c>
      <c r="E1747" s="3">
        <v>44562</v>
      </c>
      <c r="F1747" s="3">
        <v>44926</v>
      </c>
      <c r="G1747" t="s">
        <v>116</v>
      </c>
      <c r="H1747" s="3">
        <v>44562</v>
      </c>
      <c r="I1747" s="3">
        <v>44926</v>
      </c>
      <c r="J1747" t="s">
        <v>272</v>
      </c>
      <c r="K1747">
        <v>3.9182000000000001</v>
      </c>
      <c r="L1747" t="s">
        <v>118</v>
      </c>
      <c r="M1747" t="s">
        <v>82</v>
      </c>
      <c r="N1747" t="s">
        <v>275</v>
      </c>
      <c r="O1747" t="s">
        <v>631</v>
      </c>
      <c r="P1747" t="s">
        <v>631</v>
      </c>
      <c r="Q1747">
        <v>2022</v>
      </c>
      <c r="R1747" t="s">
        <v>803</v>
      </c>
      <c r="S1747" t="s">
        <v>272</v>
      </c>
      <c r="T1747" t="s">
        <v>553</v>
      </c>
      <c r="U1747" t="b">
        <v>0</v>
      </c>
      <c r="V1747" t="s">
        <v>804</v>
      </c>
      <c r="W1747" t="s">
        <v>587</v>
      </c>
      <c r="X1747" t="s">
        <v>556</v>
      </c>
      <c r="AC1747">
        <v>1</v>
      </c>
      <c r="AD1747" t="s">
        <v>565</v>
      </c>
      <c r="AE1747">
        <v>7091.942</v>
      </c>
      <c r="AF1747">
        <v>1810</v>
      </c>
      <c r="AG1747" t="s">
        <v>622</v>
      </c>
      <c r="AH1747">
        <v>1</v>
      </c>
      <c r="AI1747">
        <v>3.9182000000000001</v>
      </c>
      <c r="AJ1747" t="s">
        <v>561</v>
      </c>
      <c r="AK1747" t="s">
        <v>623</v>
      </c>
      <c r="AL1747" t="s">
        <v>624</v>
      </c>
      <c r="AM1747">
        <v>2022</v>
      </c>
      <c r="AN1747">
        <v>2007</v>
      </c>
      <c r="AO1747">
        <f>IF(AND(emissions[[#This Row],[Market-based]]=0,emissions[[#This Row],[Impact Type]]="CO2E"),emissions[[#This Row],[kgCO2e]],0)/1000</f>
        <v>0</v>
      </c>
      <c r="AP1747">
        <f>IF(AND(emissions[[#This Row],[Market-based]]=1,OR(emissions[[#This Row],[Impact Type]]="CO2E",emissions[[#This Row],[Impact Type]]="CO2E MKT")),emissions[[#This Row],[kgCO2e]],0)/1000</f>
        <v>7.0919420000000004</v>
      </c>
      <c r="AQ1747" t="str">
        <f>_xlfn.TEXTAFTER(emissions[[#This Row],[Reporting Unit]]," &gt; ",LEN(emissions[[#This Row],[Reporting Unit]])-LEN(SUBSTITUTE(emissions[[#This Row],[Reporting Unit]],"&gt;","")))</f>
        <v>Vantage_Warren</v>
      </c>
      <c r="AR1747" t="str">
        <f>_xlfn.XLOOKUP(emissions[[#This Row],[Reporting unit name]],hierarchy!$A:$A,hierarchy!$C:$C)</f>
        <v>Office</v>
      </c>
    </row>
    <row r="1748" spans="1:44" hidden="1" x14ac:dyDescent="0.25">
      <c r="A1748">
        <v>4966</v>
      </c>
      <c r="B1748" t="s">
        <v>267</v>
      </c>
      <c r="C1748" t="s">
        <v>501</v>
      </c>
      <c r="D1748" t="s">
        <v>599</v>
      </c>
      <c r="E1748" s="3">
        <v>44197</v>
      </c>
      <c r="F1748" s="3">
        <v>44561</v>
      </c>
      <c r="G1748" t="s">
        <v>108</v>
      </c>
      <c r="H1748" s="3">
        <v>44197</v>
      </c>
      <c r="I1748" s="3">
        <v>44561</v>
      </c>
      <c r="J1748" t="s">
        <v>108</v>
      </c>
      <c r="K1748">
        <v>467234</v>
      </c>
      <c r="L1748" t="s">
        <v>109</v>
      </c>
      <c r="M1748" t="s">
        <v>82</v>
      </c>
      <c r="O1748" t="s">
        <v>600</v>
      </c>
      <c r="P1748" t="s">
        <v>550</v>
      </c>
      <c r="Q1748">
        <v>2021</v>
      </c>
      <c r="R1748" t="s">
        <v>551</v>
      </c>
      <c r="S1748" t="s">
        <v>552</v>
      </c>
      <c r="T1748" t="s">
        <v>553</v>
      </c>
      <c r="U1748" t="b">
        <v>0</v>
      </c>
      <c r="V1748" t="s">
        <v>894</v>
      </c>
      <c r="W1748" t="s">
        <v>555</v>
      </c>
      <c r="X1748" t="s">
        <v>556</v>
      </c>
      <c r="Y1748" t="s">
        <v>472</v>
      </c>
      <c r="Z1748" t="s">
        <v>485</v>
      </c>
      <c r="AA1748" t="s">
        <v>764</v>
      </c>
      <c r="AB1748" t="s">
        <v>895</v>
      </c>
      <c r="AC1748">
        <v>0</v>
      </c>
      <c r="AD1748" t="s">
        <v>558</v>
      </c>
      <c r="AE1748">
        <v>280.81225510000002</v>
      </c>
      <c r="AF1748">
        <v>6.0101000000000002E-4</v>
      </c>
      <c r="AG1748" t="s">
        <v>560</v>
      </c>
      <c r="AH1748">
        <v>1</v>
      </c>
      <c r="AI1748">
        <v>467234</v>
      </c>
      <c r="AJ1748" t="s">
        <v>561</v>
      </c>
      <c r="AK1748" t="s">
        <v>766</v>
      </c>
      <c r="AL1748" t="s">
        <v>790</v>
      </c>
      <c r="AM1748">
        <v>2021</v>
      </c>
      <c r="AN1748">
        <v>2019</v>
      </c>
      <c r="AO1748">
        <f>IF(AND(emissions[[#This Row],[Market-based]]=0,emissions[[#This Row],[Impact Type]]="CO2E"),emissions[[#This Row],[kgCO2e]],0)/1000</f>
        <v>0</v>
      </c>
      <c r="AP1748">
        <f>IF(AND(emissions[[#This Row],[Market-based]]=1,OR(emissions[[#This Row],[Impact Type]]="CO2E",emissions[[#This Row],[Impact Type]]="CO2E MKT")),emissions[[#This Row],[kgCO2e]],0)/1000</f>
        <v>0</v>
      </c>
      <c r="AQ1748" t="str">
        <f>_xlfn.TEXTAFTER(emissions[[#This Row],[Reporting Unit]]," &gt; ",LEN(emissions[[#This Row],[Reporting Unit]])-LEN(SUBSTITUTE(emissions[[#This Row],[Reporting Unit]],"&gt;","")))</f>
        <v>Vantage_Warren</v>
      </c>
      <c r="AR1748" t="str">
        <f>_xlfn.XLOOKUP(emissions[[#This Row],[Reporting unit name]],hierarchy!$A:$A,hierarchy!$C:$C)</f>
        <v>Office</v>
      </c>
    </row>
    <row r="1749" spans="1:44" hidden="1" x14ac:dyDescent="0.25">
      <c r="A1749">
        <v>4966</v>
      </c>
      <c r="B1749" t="s">
        <v>267</v>
      </c>
      <c r="C1749" t="s">
        <v>501</v>
      </c>
      <c r="D1749" t="s">
        <v>599</v>
      </c>
      <c r="E1749" s="3">
        <v>44197</v>
      </c>
      <c r="F1749" s="3">
        <v>44561</v>
      </c>
      <c r="G1749" t="s">
        <v>108</v>
      </c>
      <c r="H1749" s="3">
        <v>44197</v>
      </c>
      <c r="I1749" s="3">
        <v>44561</v>
      </c>
      <c r="J1749" t="s">
        <v>108</v>
      </c>
      <c r="K1749">
        <v>467234</v>
      </c>
      <c r="L1749" t="s">
        <v>109</v>
      </c>
      <c r="M1749" t="s">
        <v>82</v>
      </c>
      <c r="O1749" t="s">
        <v>600</v>
      </c>
      <c r="P1749" t="s">
        <v>550</v>
      </c>
      <c r="Q1749">
        <v>2021</v>
      </c>
      <c r="R1749" t="s">
        <v>551</v>
      </c>
      <c r="S1749" t="s">
        <v>552</v>
      </c>
      <c r="T1749" t="s">
        <v>553</v>
      </c>
      <c r="U1749" t="b">
        <v>0</v>
      </c>
      <c r="V1749" t="s">
        <v>894</v>
      </c>
      <c r="W1749" t="s">
        <v>555</v>
      </c>
      <c r="X1749" t="s">
        <v>556</v>
      </c>
      <c r="Y1749" t="s">
        <v>472</v>
      </c>
      <c r="Z1749" t="s">
        <v>485</v>
      </c>
      <c r="AA1749" t="s">
        <v>764</v>
      </c>
      <c r="AB1749" t="s">
        <v>895</v>
      </c>
      <c r="AC1749">
        <v>0</v>
      </c>
      <c r="AD1749" t="s">
        <v>564</v>
      </c>
      <c r="AE1749">
        <v>147301.18100000001</v>
      </c>
      <c r="AF1749">
        <v>0.31526211900000001</v>
      </c>
      <c r="AG1749" t="s">
        <v>560</v>
      </c>
      <c r="AH1749">
        <v>1</v>
      </c>
      <c r="AI1749">
        <v>467234</v>
      </c>
      <c r="AJ1749" t="s">
        <v>561</v>
      </c>
      <c r="AK1749" t="s">
        <v>766</v>
      </c>
      <c r="AL1749" t="s">
        <v>790</v>
      </c>
      <c r="AM1749">
        <v>2021</v>
      </c>
      <c r="AN1749">
        <v>2019</v>
      </c>
      <c r="AO1749">
        <f>IF(AND(emissions[[#This Row],[Market-based]]=0,emissions[[#This Row],[Impact Type]]="CO2E"),emissions[[#This Row],[kgCO2e]],0)/1000</f>
        <v>0</v>
      </c>
      <c r="AP1749">
        <f>IF(AND(emissions[[#This Row],[Market-based]]=1,OR(emissions[[#This Row],[Impact Type]]="CO2E",emissions[[#This Row],[Impact Type]]="CO2E MKT")),emissions[[#This Row],[kgCO2e]],0)/1000</f>
        <v>0</v>
      </c>
      <c r="AQ1749" t="str">
        <f>_xlfn.TEXTAFTER(emissions[[#This Row],[Reporting Unit]]," &gt; ",LEN(emissions[[#This Row],[Reporting Unit]])-LEN(SUBSTITUTE(emissions[[#This Row],[Reporting Unit]],"&gt;","")))</f>
        <v>Vantage_Warren</v>
      </c>
      <c r="AR1749" t="str">
        <f>_xlfn.XLOOKUP(emissions[[#This Row],[Reporting unit name]],hierarchy!$A:$A,hierarchy!$C:$C)</f>
        <v>Office</v>
      </c>
    </row>
    <row r="1750" spans="1:44" hidden="1" x14ac:dyDescent="0.25">
      <c r="A1750">
        <v>4966</v>
      </c>
      <c r="B1750" t="s">
        <v>267</v>
      </c>
      <c r="C1750" t="s">
        <v>501</v>
      </c>
      <c r="D1750" t="s">
        <v>599</v>
      </c>
      <c r="E1750" s="3">
        <v>44197</v>
      </c>
      <c r="F1750" s="3">
        <v>44561</v>
      </c>
      <c r="G1750" t="s">
        <v>108</v>
      </c>
      <c r="H1750" s="3">
        <v>44197</v>
      </c>
      <c r="I1750" s="3">
        <v>44561</v>
      </c>
      <c r="J1750" t="s">
        <v>108</v>
      </c>
      <c r="K1750">
        <v>467234</v>
      </c>
      <c r="L1750" t="s">
        <v>109</v>
      </c>
      <c r="M1750" t="s">
        <v>82</v>
      </c>
      <c r="O1750" t="s">
        <v>600</v>
      </c>
      <c r="P1750" t="s">
        <v>550</v>
      </c>
      <c r="Q1750">
        <v>2021</v>
      </c>
      <c r="R1750" t="s">
        <v>551</v>
      </c>
      <c r="S1750" t="s">
        <v>552</v>
      </c>
      <c r="T1750" t="s">
        <v>553</v>
      </c>
      <c r="U1750" t="b">
        <v>0</v>
      </c>
      <c r="V1750" t="s">
        <v>894</v>
      </c>
      <c r="W1750" t="s">
        <v>555</v>
      </c>
      <c r="X1750" t="s">
        <v>556</v>
      </c>
      <c r="Y1750" t="s">
        <v>472</v>
      </c>
      <c r="Z1750" t="s">
        <v>485</v>
      </c>
      <c r="AA1750" t="s">
        <v>764</v>
      </c>
      <c r="AB1750" t="s">
        <v>895</v>
      </c>
      <c r="AC1750">
        <v>0</v>
      </c>
      <c r="AD1750" t="s">
        <v>565</v>
      </c>
      <c r="AE1750">
        <v>148024.08720000001</v>
      </c>
      <c r="AF1750">
        <v>0.31680932299999998</v>
      </c>
      <c r="AG1750" t="s">
        <v>560</v>
      </c>
      <c r="AH1750">
        <v>1</v>
      </c>
      <c r="AI1750">
        <v>467234</v>
      </c>
      <c r="AJ1750" t="s">
        <v>561</v>
      </c>
      <c r="AK1750" t="s">
        <v>766</v>
      </c>
      <c r="AL1750" t="s">
        <v>790</v>
      </c>
      <c r="AM1750">
        <v>2021</v>
      </c>
      <c r="AN1750">
        <v>2019</v>
      </c>
      <c r="AO1750">
        <f>IF(AND(emissions[[#This Row],[Market-based]]=0,emissions[[#This Row],[Impact Type]]="CO2E"),emissions[[#This Row],[kgCO2e]],0)/1000</f>
        <v>148.0240872</v>
      </c>
      <c r="AP1750">
        <f>IF(AND(emissions[[#This Row],[Market-based]]=1,OR(emissions[[#This Row],[Impact Type]]="CO2E",emissions[[#This Row],[Impact Type]]="CO2E MKT")),emissions[[#This Row],[kgCO2e]],0)/1000</f>
        <v>0</v>
      </c>
      <c r="AQ1750" t="str">
        <f>_xlfn.TEXTAFTER(emissions[[#This Row],[Reporting Unit]]," &gt; ",LEN(emissions[[#This Row],[Reporting Unit]])-LEN(SUBSTITUTE(emissions[[#This Row],[Reporting Unit]],"&gt;","")))</f>
        <v>Vantage_Warren</v>
      </c>
      <c r="AR1750" t="str">
        <f>_xlfn.XLOOKUP(emissions[[#This Row],[Reporting unit name]],hierarchy!$A:$A,hierarchy!$C:$C)</f>
        <v>Office</v>
      </c>
    </row>
    <row r="1751" spans="1:44" hidden="1" x14ac:dyDescent="0.25">
      <c r="A1751">
        <v>4966</v>
      </c>
      <c r="B1751" t="s">
        <v>267</v>
      </c>
      <c r="C1751" t="s">
        <v>501</v>
      </c>
      <c r="D1751" t="s">
        <v>599</v>
      </c>
      <c r="E1751" s="3">
        <v>44197</v>
      </c>
      <c r="F1751" s="3">
        <v>44561</v>
      </c>
      <c r="G1751" t="s">
        <v>108</v>
      </c>
      <c r="H1751" s="3">
        <v>44197</v>
      </c>
      <c r="I1751" s="3">
        <v>44561</v>
      </c>
      <c r="J1751" t="s">
        <v>108</v>
      </c>
      <c r="K1751">
        <v>467234</v>
      </c>
      <c r="L1751" t="s">
        <v>109</v>
      </c>
      <c r="M1751" t="s">
        <v>82</v>
      </c>
      <c r="O1751" t="s">
        <v>600</v>
      </c>
      <c r="P1751" t="s">
        <v>550</v>
      </c>
      <c r="Q1751">
        <v>2021</v>
      </c>
      <c r="R1751" t="s">
        <v>551</v>
      </c>
      <c r="S1751" t="s">
        <v>552</v>
      </c>
      <c r="T1751" t="s">
        <v>553</v>
      </c>
      <c r="U1751" t="b">
        <v>0</v>
      </c>
      <c r="V1751" t="s">
        <v>894</v>
      </c>
      <c r="W1751" t="s">
        <v>555</v>
      </c>
      <c r="X1751" t="s">
        <v>556</v>
      </c>
      <c r="Y1751" t="s">
        <v>472</v>
      </c>
      <c r="Z1751" t="s">
        <v>485</v>
      </c>
      <c r="AA1751" t="s">
        <v>764</v>
      </c>
      <c r="AB1751" t="s">
        <v>895</v>
      </c>
      <c r="AC1751">
        <v>0</v>
      </c>
      <c r="AD1751" t="s">
        <v>566</v>
      </c>
      <c r="AE1751">
        <v>442.0938597</v>
      </c>
      <c r="AF1751">
        <v>9.4619400000000003E-4</v>
      </c>
      <c r="AG1751" t="s">
        <v>560</v>
      </c>
      <c r="AH1751">
        <v>1</v>
      </c>
      <c r="AI1751">
        <v>467234</v>
      </c>
      <c r="AJ1751" t="s">
        <v>561</v>
      </c>
      <c r="AK1751" t="s">
        <v>766</v>
      </c>
      <c r="AL1751" t="s">
        <v>790</v>
      </c>
      <c r="AM1751">
        <v>2021</v>
      </c>
      <c r="AN1751">
        <v>2019</v>
      </c>
      <c r="AO1751">
        <f>IF(AND(emissions[[#This Row],[Market-based]]=0,emissions[[#This Row],[Impact Type]]="CO2E"),emissions[[#This Row],[kgCO2e]],0)/1000</f>
        <v>0</v>
      </c>
      <c r="AP1751">
        <f>IF(AND(emissions[[#This Row],[Market-based]]=1,OR(emissions[[#This Row],[Impact Type]]="CO2E",emissions[[#This Row],[Impact Type]]="CO2E MKT")),emissions[[#This Row],[kgCO2e]],0)/1000</f>
        <v>0</v>
      </c>
      <c r="AQ1751" t="str">
        <f>_xlfn.TEXTAFTER(emissions[[#This Row],[Reporting Unit]]," &gt; ",LEN(emissions[[#This Row],[Reporting Unit]])-LEN(SUBSTITUTE(emissions[[#This Row],[Reporting Unit]],"&gt;","")))</f>
        <v>Vantage_Warren</v>
      </c>
      <c r="AR1751" t="str">
        <f>_xlfn.XLOOKUP(emissions[[#This Row],[Reporting unit name]],hierarchy!$A:$A,hierarchy!$C:$C)</f>
        <v>Office</v>
      </c>
    </row>
    <row r="1752" spans="1:44" hidden="1" x14ac:dyDescent="0.25">
      <c r="A1752">
        <v>4966</v>
      </c>
      <c r="B1752" t="s">
        <v>267</v>
      </c>
      <c r="C1752" t="s">
        <v>501</v>
      </c>
      <c r="D1752" t="s">
        <v>599</v>
      </c>
      <c r="E1752" s="3">
        <v>44197</v>
      </c>
      <c r="F1752" s="3">
        <v>44561</v>
      </c>
      <c r="G1752" t="s">
        <v>108</v>
      </c>
      <c r="H1752" s="3">
        <v>44197</v>
      </c>
      <c r="I1752" s="3">
        <v>44561</v>
      </c>
      <c r="J1752" t="s">
        <v>108</v>
      </c>
      <c r="K1752">
        <v>467234</v>
      </c>
      <c r="L1752" t="s">
        <v>109</v>
      </c>
      <c r="M1752" t="s">
        <v>82</v>
      </c>
      <c r="O1752" t="s">
        <v>600</v>
      </c>
      <c r="P1752" t="s">
        <v>550</v>
      </c>
      <c r="Q1752">
        <v>2021</v>
      </c>
      <c r="R1752" t="s">
        <v>551</v>
      </c>
      <c r="S1752" t="s">
        <v>552</v>
      </c>
      <c r="T1752" t="s">
        <v>553</v>
      </c>
      <c r="U1752" t="b">
        <v>0</v>
      </c>
      <c r="V1752" t="s">
        <v>894</v>
      </c>
      <c r="W1752" t="s">
        <v>555</v>
      </c>
      <c r="X1752" t="s">
        <v>556</v>
      </c>
      <c r="Y1752" t="s">
        <v>472</v>
      </c>
      <c r="Z1752" t="s">
        <v>485</v>
      </c>
      <c r="AA1752" t="s">
        <v>764</v>
      </c>
      <c r="AB1752" t="s">
        <v>895</v>
      </c>
      <c r="AC1752">
        <v>1</v>
      </c>
      <c r="AD1752" t="s">
        <v>639</v>
      </c>
      <c r="AE1752">
        <v>147344.8394</v>
      </c>
      <c r="AF1752">
        <v>0.31535555900000001</v>
      </c>
      <c r="AG1752" t="s">
        <v>560</v>
      </c>
      <c r="AH1752">
        <v>1</v>
      </c>
      <c r="AI1752">
        <v>467234</v>
      </c>
      <c r="AJ1752" t="s">
        <v>561</v>
      </c>
      <c r="AK1752" t="s">
        <v>833</v>
      </c>
      <c r="AL1752" t="s">
        <v>853</v>
      </c>
      <c r="AM1752">
        <v>2021</v>
      </c>
      <c r="AN1752">
        <v>2019</v>
      </c>
      <c r="AO1752">
        <f>IF(AND(emissions[[#This Row],[Market-based]]=0,emissions[[#This Row],[Impact Type]]="CO2E"),emissions[[#This Row],[kgCO2e]],0)/1000</f>
        <v>0</v>
      </c>
      <c r="AP1752">
        <f>IF(AND(emissions[[#This Row],[Market-based]]=1,OR(emissions[[#This Row],[Impact Type]]="CO2E",emissions[[#This Row],[Impact Type]]="CO2E MKT")),emissions[[#This Row],[kgCO2e]],0)/1000</f>
        <v>147.34483939999998</v>
      </c>
      <c r="AQ1752" t="str">
        <f>_xlfn.TEXTAFTER(emissions[[#This Row],[Reporting Unit]]," &gt; ",LEN(emissions[[#This Row],[Reporting Unit]])-LEN(SUBSTITUTE(emissions[[#This Row],[Reporting Unit]],"&gt;","")))</f>
        <v>Vantage_Warren</v>
      </c>
      <c r="AR1752" t="str">
        <f>_xlfn.XLOOKUP(emissions[[#This Row],[Reporting unit name]],hierarchy!$A:$A,hierarchy!$C:$C)</f>
        <v>Office</v>
      </c>
    </row>
    <row r="1753" spans="1:44" hidden="1" x14ac:dyDescent="0.25">
      <c r="A1753">
        <v>4966</v>
      </c>
      <c r="B1753" t="s">
        <v>267</v>
      </c>
      <c r="C1753" t="s">
        <v>501</v>
      </c>
      <c r="D1753" t="s">
        <v>599</v>
      </c>
      <c r="E1753" s="3">
        <v>44197</v>
      </c>
      <c r="F1753" s="3">
        <v>44561</v>
      </c>
      <c r="G1753" t="s">
        <v>108</v>
      </c>
      <c r="H1753" s="3">
        <v>44197</v>
      </c>
      <c r="I1753" s="3">
        <v>44561</v>
      </c>
      <c r="J1753" t="s">
        <v>108</v>
      </c>
      <c r="K1753">
        <v>467234</v>
      </c>
      <c r="L1753" t="s">
        <v>109</v>
      </c>
      <c r="M1753" t="s">
        <v>82</v>
      </c>
      <c r="O1753" t="s">
        <v>600</v>
      </c>
      <c r="P1753" t="s">
        <v>550</v>
      </c>
      <c r="Q1753">
        <v>2021</v>
      </c>
      <c r="R1753" t="s">
        <v>567</v>
      </c>
      <c r="S1753" t="s">
        <v>568</v>
      </c>
      <c r="T1753" t="s">
        <v>569</v>
      </c>
      <c r="U1753" t="b">
        <v>0</v>
      </c>
      <c r="V1753" t="s">
        <v>897</v>
      </c>
      <c r="W1753" t="s">
        <v>571</v>
      </c>
      <c r="X1753" t="s">
        <v>572</v>
      </c>
      <c r="Y1753" t="s">
        <v>472</v>
      </c>
      <c r="Z1753" t="s">
        <v>485</v>
      </c>
      <c r="AA1753" t="s">
        <v>764</v>
      </c>
      <c r="AB1753" t="s">
        <v>895</v>
      </c>
      <c r="AC1753">
        <v>0</v>
      </c>
      <c r="AD1753" t="s">
        <v>558</v>
      </c>
      <c r="AE1753">
        <v>3.7833029890000001</v>
      </c>
      <c r="AF1753" s="13">
        <v>8.0972299999999997E-6</v>
      </c>
      <c r="AG1753" t="s">
        <v>560</v>
      </c>
      <c r="AH1753">
        <v>1</v>
      </c>
      <c r="AI1753">
        <v>467234</v>
      </c>
      <c r="AJ1753" t="s">
        <v>561</v>
      </c>
      <c r="AK1753" t="s">
        <v>573</v>
      </c>
      <c r="AL1753" t="s">
        <v>912</v>
      </c>
      <c r="AM1753">
        <v>2021</v>
      </c>
      <c r="AN1753">
        <v>2019</v>
      </c>
      <c r="AO1753">
        <f>IF(AND(emissions[[#This Row],[Market-based]]=0,emissions[[#This Row],[Impact Type]]="CO2E"),emissions[[#This Row],[kgCO2e]],0)/1000</f>
        <v>0</v>
      </c>
      <c r="AP1753">
        <f>IF(AND(emissions[[#This Row],[Market-based]]=1,OR(emissions[[#This Row],[Impact Type]]="CO2E",emissions[[#This Row],[Impact Type]]="CO2E MKT")),emissions[[#This Row],[kgCO2e]],0)/1000</f>
        <v>0</v>
      </c>
      <c r="AQ1753" t="str">
        <f>_xlfn.TEXTAFTER(emissions[[#This Row],[Reporting Unit]]," &gt; ",LEN(emissions[[#This Row],[Reporting Unit]])-LEN(SUBSTITUTE(emissions[[#This Row],[Reporting Unit]],"&gt;","")))</f>
        <v>Vantage_Warren</v>
      </c>
      <c r="AR1753" t="str">
        <f>_xlfn.XLOOKUP(emissions[[#This Row],[Reporting unit name]],hierarchy!$A:$A,hierarchy!$C:$C)</f>
        <v>Office</v>
      </c>
    </row>
    <row r="1754" spans="1:44" hidden="1" x14ac:dyDescent="0.25">
      <c r="A1754">
        <v>4966</v>
      </c>
      <c r="B1754" t="s">
        <v>267</v>
      </c>
      <c r="C1754" t="s">
        <v>501</v>
      </c>
      <c r="D1754" t="s">
        <v>599</v>
      </c>
      <c r="E1754" s="3">
        <v>44197</v>
      </c>
      <c r="F1754" s="3">
        <v>44561</v>
      </c>
      <c r="G1754" t="s">
        <v>108</v>
      </c>
      <c r="H1754" s="3">
        <v>44197</v>
      </c>
      <c r="I1754" s="3">
        <v>44561</v>
      </c>
      <c r="J1754" t="s">
        <v>108</v>
      </c>
      <c r="K1754">
        <v>467234</v>
      </c>
      <c r="L1754" t="s">
        <v>109</v>
      </c>
      <c r="M1754" t="s">
        <v>82</v>
      </c>
      <c r="O1754" t="s">
        <v>600</v>
      </c>
      <c r="P1754" t="s">
        <v>550</v>
      </c>
      <c r="Q1754">
        <v>2021</v>
      </c>
      <c r="R1754" t="s">
        <v>567</v>
      </c>
      <c r="S1754" t="s">
        <v>568</v>
      </c>
      <c r="T1754" t="s">
        <v>569</v>
      </c>
      <c r="U1754" t="b">
        <v>0</v>
      </c>
      <c r="V1754" t="s">
        <v>897</v>
      </c>
      <c r="W1754" t="s">
        <v>571</v>
      </c>
      <c r="X1754" t="s">
        <v>572</v>
      </c>
      <c r="Y1754" t="s">
        <v>472</v>
      </c>
      <c r="Z1754" t="s">
        <v>485</v>
      </c>
      <c r="AA1754" t="s">
        <v>764</v>
      </c>
      <c r="AB1754" t="s">
        <v>895</v>
      </c>
      <c r="AC1754">
        <v>0</v>
      </c>
      <c r="AD1754" t="s">
        <v>564</v>
      </c>
      <c r="AE1754">
        <v>1984.5465730000001</v>
      </c>
      <c r="AF1754">
        <v>4.2474360000000003E-3</v>
      </c>
      <c r="AG1754" t="s">
        <v>560</v>
      </c>
      <c r="AH1754">
        <v>1</v>
      </c>
      <c r="AI1754">
        <v>467234</v>
      </c>
      <c r="AJ1754" t="s">
        <v>561</v>
      </c>
      <c r="AK1754" t="s">
        <v>573</v>
      </c>
      <c r="AL1754" t="s">
        <v>912</v>
      </c>
      <c r="AM1754">
        <v>2021</v>
      </c>
      <c r="AN1754">
        <v>2019</v>
      </c>
      <c r="AO1754">
        <f>IF(AND(emissions[[#This Row],[Market-based]]=0,emissions[[#This Row],[Impact Type]]="CO2E"),emissions[[#This Row],[kgCO2e]],0)/1000</f>
        <v>0</v>
      </c>
      <c r="AP1754">
        <f>IF(AND(emissions[[#This Row],[Market-based]]=1,OR(emissions[[#This Row],[Impact Type]]="CO2E",emissions[[#This Row],[Impact Type]]="CO2E MKT")),emissions[[#This Row],[kgCO2e]],0)/1000</f>
        <v>0</v>
      </c>
      <c r="AQ1754" t="str">
        <f>_xlfn.TEXTAFTER(emissions[[#This Row],[Reporting Unit]]," &gt; ",LEN(emissions[[#This Row],[Reporting Unit]])-LEN(SUBSTITUTE(emissions[[#This Row],[Reporting Unit]],"&gt;","")))</f>
        <v>Vantage_Warren</v>
      </c>
      <c r="AR1754" t="str">
        <f>_xlfn.XLOOKUP(emissions[[#This Row],[Reporting unit name]],hierarchy!$A:$A,hierarchy!$C:$C)</f>
        <v>Office</v>
      </c>
    </row>
    <row r="1755" spans="1:44" hidden="1" x14ac:dyDescent="0.25">
      <c r="A1755">
        <v>4966</v>
      </c>
      <c r="B1755" t="s">
        <v>267</v>
      </c>
      <c r="C1755" t="s">
        <v>501</v>
      </c>
      <c r="D1755" t="s">
        <v>599</v>
      </c>
      <c r="E1755" s="3">
        <v>44197</v>
      </c>
      <c r="F1755" s="3">
        <v>44561</v>
      </c>
      <c r="G1755" t="s">
        <v>108</v>
      </c>
      <c r="H1755" s="3">
        <v>44197</v>
      </c>
      <c r="I1755" s="3">
        <v>44561</v>
      </c>
      <c r="J1755" t="s">
        <v>108</v>
      </c>
      <c r="K1755">
        <v>467234</v>
      </c>
      <c r="L1755" t="s">
        <v>109</v>
      </c>
      <c r="M1755" t="s">
        <v>82</v>
      </c>
      <c r="O1755" t="s">
        <v>600</v>
      </c>
      <c r="P1755" t="s">
        <v>550</v>
      </c>
      <c r="Q1755">
        <v>2021</v>
      </c>
      <c r="R1755" t="s">
        <v>567</v>
      </c>
      <c r="S1755" t="s">
        <v>568</v>
      </c>
      <c r="T1755" t="s">
        <v>569</v>
      </c>
      <c r="U1755" t="b">
        <v>0</v>
      </c>
      <c r="V1755" t="s">
        <v>897</v>
      </c>
      <c r="W1755" t="s">
        <v>571</v>
      </c>
      <c r="X1755" t="s">
        <v>572</v>
      </c>
      <c r="Y1755" t="s">
        <v>472</v>
      </c>
      <c r="Z1755" t="s">
        <v>485</v>
      </c>
      <c r="AA1755" t="s">
        <v>764</v>
      </c>
      <c r="AB1755" t="s">
        <v>895</v>
      </c>
      <c r="AC1755">
        <v>0</v>
      </c>
      <c r="AD1755" t="s">
        <v>565</v>
      </c>
      <c r="AE1755">
        <v>1994.2860800000001</v>
      </c>
      <c r="AF1755">
        <v>4.2682809999999996E-3</v>
      </c>
      <c r="AG1755" t="s">
        <v>560</v>
      </c>
      <c r="AH1755">
        <v>1</v>
      </c>
      <c r="AI1755">
        <v>467234</v>
      </c>
      <c r="AJ1755" t="s">
        <v>561</v>
      </c>
      <c r="AK1755" t="s">
        <v>573</v>
      </c>
      <c r="AL1755" t="s">
        <v>912</v>
      </c>
      <c r="AM1755">
        <v>2021</v>
      </c>
      <c r="AN1755">
        <v>2019</v>
      </c>
      <c r="AO1755">
        <f>IF(AND(emissions[[#This Row],[Market-based]]=0,emissions[[#This Row],[Impact Type]]="CO2E"),emissions[[#This Row],[kgCO2e]],0)/1000</f>
        <v>1.9942860800000002</v>
      </c>
      <c r="AP1755">
        <f>IF(AND(emissions[[#This Row],[Market-based]]=1,OR(emissions[[#This Row],[Impact Type]]="CO2E",emissions[[#This Row],[Impact Type]]="CO2E MKT")),emissions[[#This Row],[kgCO2e]],0)/1000</f>
        <v>0</v>
      </c>
      <c r="AQ1755" t="str">
        <f>_xlfn.TEXTAFTER(emissions[[#This Row],[Reporting Unit]]," &gt; ",LEN(emissions[[#This Row],[Reporting Unit]])-LEN(SUBSTITUTE(emissions[[#This Row],[Reporting Unit]],"&gt;","")))</f>
        <v>Vantage_Warren</v>
      </c>
      <c r="AR1755" t="str">
        <f>_xlfn.XLOOKUP(emissions[[#This Row],[Reporting unit name]],hierarchy!$A:$A,hierarchy!$C:$C)</f>
        <v>Office</v>
      </c>
    </row>
    <row r="1756" spans="1:44" hidden="1" x14ac:dyDescent="0.25">
      <c r="A1756">
        <v>4966</v>
      </c>
      <c r="B1756" t="s">
        <v>267</v>
      </c>
      <c r="C1756" t="s">
        <v>501</v>
      </c>
      <c r="D1756" t="s">
        <v>599</v>
      </c>
      <c r="E1756" s="3">
        <v>44197</v>
      </c>
      <c r="F1756" s="3">
        <v>44561</v>
      </c>
      <c r="G1756" t="s">
        <v>108</v>
      </c>
      <c r="H1756" s="3">
        <v>44197</v>
      </c>
      <c r="I1756" s="3">
        <v>44561</v>
      </c>
      <c r="J1756" t="s">
        <v>108</v>
      </c>
      <c r="K1756">
        <v>467234</v>
      </c>
      <c r="L1756" t="s">
        <v>109</v>
      </c>
      <c r="M1756" t="s">
        <v>82</v>
      </c>
      <c r="O1756" t="s">
        <v>600</v>
      </c>
      <c r="P1756" t="s">
        <v>550</v>
      </c>
      <c r="Q1756">
        <v>2021</v>
      </c>
      <c r="R1756" t="s">
        <v>567</v>
      </c>
      <c r="S1756" t="s">
        <v>568</v>
      </c>
      <c r="T1756" t="s">
        <v>569</v>
      </c>
      <c r="U1756" t="b">
        <v>0</v>
      </c>
      <c r="V1756" t="s">
        <v>897</v>
      </c>
      <c r="W1756" t="s">
        <v>571</v>
      </c>
      <c r="X1756" t="s">
        <v>572</v>
      </c>
      <c r="Y1756" t="s">
        <v>472</v>
      </c>
      <c r="Z1756" t="s">
        <v>485</v>
      </c>
      <c r="AA1756" t="s">
        <v>764</v>
      </c>
      <c r="AB1756" t="s">
        <v>895</v>
      </c>
      <c r="AC1756">
        <v>0</v>
      </c>
      <c r="AD1756" t="s">
        <v>566</v>
      </c>
      <c r="AE1756">
        <v>5.9562037999999999</v>
      </c>
      <c r="AF1756" s="13">
        <v>1.27478E-5</v>
      </c>
      <c r="AG1756" t="s">
        <v>560</v>
      </c>
      <c r="AH1756">
        <v>1</v>
      </c>
      <c r="AI1756">
        <v>467234</v>
      </c>
      <c r="AJ1756" t="s">
        <v>561</v>
      </c>
      <c r="AK1756" t="s">
        <v>573</v>
      </c>
      <c r="AL1756" t="s">
        <v>912</v>
      </c>
      <c r="AM1756">
        <v>2021</v>
      </c>
      <c r="AN1756">
        <v>2019</v>
      </c>
      <c r="AO1756">
        <f>IF(AND(emissions[[#This Row],[Market-based]]=0,emissions[[#This Row],[Impact Type]]="CO2E"),emissions[[#This Row],[kgCO2e]],0)/1000</f>
        <v>0</v>
      </c>
      <c r="AP1756">
        <f>IF(AND(emissions[[#This Row],[Market-based]]=1,OR(emissions[[#This Row],[Impact Type]]="CO2E",emissions[[#This Row],[Impact Type]]="CO2E MKT")),emissions[[#This Row],[kgCO2e]],0)/1000</f>
        <v>0</v>
      </c>
      <c r="AQ1756" t="str">
        <f>_xlfn.TEXTAFTER(emissions[[#This Row],[Reporting Unit]]," &gt; ",LEN(emissions[[#This Row],[Reporting Unit]])-LEN(SUBSTITUTE(emissions[[#This Row],[Reporting Unit]],"&gt;","")))</f>
        <v>Vantage_Warren</v>
      </c>
      <c r="AR1756" t="str">
        <f>_xlfn.XLOOKUP(emissions[[#This Row],[Reporting unit name]],hierarchy!$A:$A,hierarchy!$C:$C)</f>
        <v>Office</v>
      </c>
    </row>
    <row r="1757" spans="1:44" hidden="1" x14ac:dyDescent="0.25">
      <c r="A1757">
        <v>4966</v>
      </c>
      <c r="B1757" t="s">
        <v>267</v>
      </c>
      <c r="C1757" t="s">
        <v>501</v>
      </c>
      <c r="D1757" t="s">
        <v>599</v>
      </c>
      <c r="E1757" s="3">
        <v>44197</v>
      </c>
      <c r="F1757" s="3">
        <v>44561</v>
      </c>
      <c r="G1757" t="s">
        <v>108</v>
      </c>
      <c r="H1757" s="3">
        <v>44197</v>
      </c>
      <c r="I1757" s="3">
        <v>44561</v>
      </c>
      <c r="J1757" t="s">
        <v>108</v>
      </c>
      <c r="K1757">
        <v>467234</v>
      </c>
      <c r="L1757" t="s">
        <v>109</v>
      </c>
      <c r="M1757" t="s">
        <v>82</v>
      </c>
      <c r="O1757" t="s">
        <v>600</v>
      </c>
      <c r="P1757" t="s">
        <v>550</v>
      </c>
      <c r="Q1757">
        <v>2021</v>
      </c>
      <c r="R1757" t="s">
        <v>567</v>
      </c>
      <c r="S1757" t="s">
        <v>568</v>
      </c>
      <c r="T1757" t="s">
        <v>569</v>
      </c>
      <c r="U1757" t="b">
        <v>0</v>
      </c>
      <c r="V1757" t="s">
        <v>897</v>
      </c>
      <c r="W1757" t="s">
        <v>571</v>
      </c>
      <c r="X1757" t="s">
        <v>572</v>
      </c>
      <c r="Y1757" t="s">
        <v>472</v>
      </c>
      <c r="Z1757" t="s">
        <v>485</v>
      </c>
      <c r="AA1757" t="s">
        <v>764</v>
      </c>
      <c r="AB1757" t="s">
        <v>895</v>
      </c>
      <c r="AC1757">
        <v>1</v>
      </c>
      <c r="AD1757" t="s">
        <v>639</v>
      </c>
      <c r="AE1757">
        <v>1985.1347699999999</v>
      </c>
      <c r="AF1757">
        <v>4.2486950000000002E-3</v>
      </c>
      <c r="AG1757" t="s">
        <v>560</v>
      </c>
      <c r="AH1757">
        <v>1</v>
      </c>
      <c r="AI1757">
        <v>467234</v>
      </c>
      <c r="AJ1757" t="s">
        <v>561</v>
      </c>
      <c r="AK1757" t="s">
        <v>573</v>
      </c>
      <c r="AL1757" t="s">
        <v>772</v>
      </c>
      <c r="AM1757">
        <v>2021</v>
      </c>
      <c r="AN1757">
        <v>2019</v>
      </c>
      <c r="AO1757">
        <f>IF(AND(emissions[[#This Row],[Market-based]]=0,emissions[[#This Row],[Impact Type]]="CO2E"),emissions[[#This Row],[kgCO2e]],0)/1000</f>
        <v>0</v>
      </c>
      <c r="AP1757">
        <f>IF(AND(emissions[[#This Row],[Market-based]]=1,OR(emissions[[#This Row],[Impact Type]]="CO2E",emissions[[#This Row],[Impact Type]]="CO2E MKT")),emissions[[#This Row],[kgCO2e]],0)/1000</f>
        <v>1.9851347699999999</v>
      </c>
      <c r="AQ1757" t="str">
        <f>_xlfn.TEXTAFTER(emissions[[#This Row],[Reporting Unit]]," &gt; ",LEN(emissions[[#This Row],[Reporting Unit]])-LEN(SUBSTITUTE(emissions[[#This Row],[Reporting Unit]],"&gt;","")))</f>
        <v>Vantage_Warren</v>
      </c>
      <c r="AR1757" t="str">
        <f>_xlfn.XLOOKUP(emissions[[#This Row],[Reporting unit name]],hierarchy!$A:$A,hierarchy!$C:$C)</f>
        <v>Office</v>
      </c>
    </row>
    <row r="1758" spans="1:44" hidden="1" x14ac:dyDescent="0.25">
      <c r="A1758">
        <v>4966</v>
      </c>
      <c r="B1758" t="s">
        <v>267</v>
      </c>
      <c r="C1758" t="s">
        <v>501</v>
      </c>
      <c r="D1758" t="s">
        <v>599</v>
      </c>
      <c r="E1758" s="3">
        <v>44197</v>
      </c>
      <c r="F1758" s="3">
        <v>44561</v>
      </c>
      <c r="G1758" t="s">
        <v>108</v>
      </c>
      <c r="H1758" s="3">
        <v>44197</v>
      </c>
      <c r="I1758" s="3">
        <v>44561</v>
      </c>
      <c r="J1758" t="s">
        <v>108</v>
      </c>
      <c r="K1758">
        <v>467234</v>
      </c>
      <c r="L1758" t="s">
        <v>109</v>
      </c>
      <c r="M1758" t="s">
        <v>82</v>
      </c>
      <c r="O1758" t="s">
        <v>600</v>
      </c>
      <c r="P1758" t="s">
        <v>550</v>
      </c>
      <c r="Q1758">
        <v>2021</v>
      </c>
      <c r="R1758" t="s">
        <v>575</v>
      </c>
      <c r="S1758" t="s">
        <v>576</v>
      </c>
      <c r="T1758" t="s">
        <v>577</v>
      </c>
      <c r="U1758" t="b">
        <v>0</v>
      </c>
      <c r="V1758" t="s">
        <v>899</v>
      </c>
      <c r="W1758" t="s">
        <v>571</v>
      </c>
      <c r="X1758" t="s">
        <v>572</v>
      </c>
      <c r="Y1758" t="s">
        <v>472</v>
      </c>
      <c r="Z1758" t="s">
        <v>485</v>
      </c>
      <c r="AA1758" t="s">
        <v>764</v>
      </c>
      <c r="AB1758" t="s">
        <v>895</v>
      </c>
      <c r="AC1758">
        <v>0</v>
      </c>
      <c r="AD1758" t="s">
        <v>558</v>
      </c>
      <c r="AE1758">
        <v>74.182411549999998</v>
      </c>
      <c r="AF1758">
        <v>1.5876900000000001E-4</v>
      </c>
      <c r="AG1758" t="s">
        <v>560</v>
      </c>
      <c r="AH1758">
        <v>1</v>
      </c>
      <c r="AI1758">
        <v>467234</v>
      </c>
      <c r="AJ1758" t="s">
        <v>561</v>
      </c>
      <c r="AK1758" t="s">
        <v>573</v>
      </c>
      <c r="AL1758" t="s">
        <v>913</v>
      </c>
      <c r="AM1758">
        <v>2021</v>
      </c>
      <c r="AN1758">
        <v>2019</v>
      </c>
      <c r="AO1758">
        <f>IF(AND(emissions[[#This Row],[Market-based]]=0,emissions[[#This Row],[Impact Type]]="CO2E"),emissions[[#This Row],[kgCO2e]],0)/1000</f>
        <v>0</v>
      </c>
      <c r="AP1758">
        <f>IF(AND(emissions[[#This Row],[Market-based]]=1,OR(emissions[[#This Row],[Impact Type]]="CO2E",emissions[[#This Row],[Impact Type]]="CO2E MKT")),emissions[[#This Row],[kgCO2e]],0)/1000</f>
        <v>0</v>
      </c>
      <c r="AQ1758" t="str">
        <f>_xlfn.TEXTAFTER(emissions[[#This Row],[Reporting Unit]]," &gt; ",LEN(emissions[[#This Row],[Reporting Unit]])-LEN(SUBSTITUTE(emissions[[#This Row],[Reporting Unit]],"&gt;","")))</f>
        <v>Vantage_Warren</v>
      </c>
      <c r="AR1758" t="str">
        <f>_xlfn.XLOOKUP(emissions[[#This Row],[Reporting unit name]],hierarchy!$A:$A,hierarchy!$C:$C)</f>
        <v>Office</v>
      </c>
    </row>
    <row r="1759" spans="1:44" hidden="1" x14ac:dyDescent="0.25">
      <c r="A1759">
        <v>4966</v>
      </c>
      <c r="B1759" t="s">
        <v>267</v>
      </c>
      <c r="C1759" t="s">
        <v>501</v>
      </c>
      <c r="D1759" t="s">
        <v>599</v>
      </c>
      <c r="E1759" s="3">
        <v>44197</v>
      </c>
      <c r="F1759" s="3">
        <v>44561</v>
      </c>
      <c r="G1759" t="s">
        <v>108</v>
      </c>
      <c r="H1759" s="3">
        <v>44197</v>
      </c>
      <c r="I1759" s="3">
        <v>44561</v>
      </c>
      <c r="J1759" t="s">
        <v>108</v>
      </c>
      <c r="K1759">
        <v>467234</v>
      </c>
      <c r="L1759" t="s">
        <v>109</v>
      </c>
      <c r="M1759" t="s">
        <v>82</v>
      </c>
      <c r="O1759" t="s">
        <v>600</v>
      </c>
      <c r="P1759" t="s">
        <v>550</v>
      </c>
      <c r="Q1759">
        <v>2021</v>
      </c>
      <c r="R1759" t="s">
        <v>575</v>
      </c>
      <c r="S1759" t="s">
        <v>576</v>
      </c>
      <c r="T1759" t="s">
        <v>577</v>
      </c>
      <c r="U1759" t="b">
        <v>0</v>
      </c>
      <c r="V1759" t="s">
        <v>899</v>
      </c>
      <c r="W1759" t="s">
        <v>571</v>
      </c>
      <c r="X1759" t="s">
        <v>572</v>
      </c>
      <c r="Y1759" t="s">
        <v>472</v>
      </c>
      <c r="Z1759" t="s">
        <v>485</v>
      </c>
      <c r="AA1759" t="s">
        <v>764</v>
      </c>
      <c r="AB1759" t="s">
        <v>895</v>
      </c>
      <c r="AC1759">
        <v>0</v>
      </c>
      <c r="AD1759" t="s">
        <v>564</v>
      </c>
      <c r="AE1759">
        <v>38912.677909999999</v>
      </c>
      <c r="AF1759">
        <v>8.3283061000000005E-2</v>
      </c>
      <c r="AG1759" t="s">
        <v>560</v>
      </c>
      <c r="AH1759">
        <v>1</v>
      </c>
      <c r="AI1759">
        <v>467234</v>
      </c>
      <c r="AJ1759" t="s">
        <v>561</v>
      </c>
      <c r="AK1759" t="s">
        <v>573</v>
      </c>
      <c r="AL1759" t="s">
        <v>913</v>
      </c>
      <c r="AM1759">
        <v>2021</v>
      </c>
      <c r="AN1759">
        <v>2019</v>
      </c>
      <c r="AO1759">
        <f>IF(AND(emissions[[#This Row],[Market-based]]=0,emissions[[#This Row],[Impact Type]]="CO2E"),emissions[[#This Row],[kgCO2e]],0)/1000</f>
        <v>0</v>
      </c>
      <c r="AP1759">
        <f>IF(AND(emissions[[#This Row],[Market-based]]=1,OR(emissions[[#This Row],[Impact Type]]="CO2E",emissions[[#This Row],[Impact Type]]="CO2E MKT")),emissions[[#This Row],[kgCO2e]],0)/1000</f>
        <v>0</v>
      </c>
      <c r="AQ1759" t="str">
        <f>_xlfn.TEXTAFTER(emissions[[#This Row],[Reporting Unit]]," &gt; ",LEN(emissions[[#This Row],[Reporting Unit]])-LEN(SUBSTITUTE(emissions[[#This Row],[Reporting Unit]],"&gt;","")))</f>
        <v>Vantage_Warren</v>
      </c>
      <c r="AR1759" t="str">
        <f>_xlfn.XLOOKUP(emissions[[#This Row],[Reporting unit name]],hierarchy!$A:$A,hierarchy!$C:$C)</f>
        <v>Office</v>
      </c>
    </row>
    <row r="1760" spans="1:44" hidden="1" x14ac:dyDescent="0.25">
      <c r="A1760">
        <v>4966</v>
      </c>
      <c r="B1760" t="s">
        <v>267</v>
      </c>
      <c r="C1760" t="s">
        <v>501</v>
      </c>
      <c r="D1760" t="s">
        <v>599</v>
      </c>
      <c r="E1760" s="3">
        <v>44197</v>
      </c>
      <c r="F1760" s="3">
        <v>44561</v>
      </c>
      <c r="G1760" t="s">
        <v>108</v>
      </c>
      <c r="H1760" s="3">
        <v>44197</v>
      </c>
      <c r="I1760" s="3">
        <v>44561</v>
      </c>
      <c r="J1760" t="s">
        <v>108</v>
      </c>
      <c r="K1760">
        <v>467234</v>
      </c>
      <c r="L1760" t="s">
        <v>109</v>
      </c>
      <c r="M1760" t="s">
        <v>82</v>
      </c>
      <c r="O1760" t="s">
        <v>600</v>
      </c>
      <c r="P1760" t="s">
        <v>550</v>
      </c>
      <c r="Q1760">
        <v>2021</v>
      </c>
      <c r="R1760" t="s">
        <v>575</v>
      </c>
      <c r="S1760" t="s">
        <v>576</v>
      </c>
      <c r="T1760" t="s">
        <v>577</v>
      </c>
      <c r="U1760" t="b">
        <v>0</v>
      </c>
      <c r="V1760" t="s">
        <v>899</v>
      </c>
      <c r="W1760" t="s">
        <v>571</v>
      </c>
      <c r="X1760" t="s">
        <v>572</v>
      </c>
      <c r="Y1760" t="s">
        <v>472</v>
      </c>
      <c r="Z1760" t="s">
        <v>485</v>
      </c>
      <c r="AA1760" t="s">
        <v>764</v>
      </c>
      <c r="AB1760" t="s">
        <v>895</v>
      </c>
      <c r="AC1760">
        <v>0</v>
      </c>
      <c r="AD1760" t="s">
        <v>565</v>
      </c>
      <c r="AE1760">
        <v>39103.648630000003</v>
      </c>
      <c r="AF1760">
        <v>8.3691787000000004E-2</v>
      </c>
      <c r="AG1760" t="s">
        <v>560</v>
      </c>
      <c r="AH1760">
        <v>1</v>
      </c>
      <c r="AI1760">
        <v>467234</v>
      </c>
      <c r="AJ1760" t="s">
        <v>561</v>
      </c>
      <c r="AK1760" t="s">
        <v>573</v>
      </c>
      <c r="AL1760" t="s">
        <v>913</v>
      </c>
      <c r="AM1760">
        <v>2021</v>
      </c>
      <c r="AN1760">
        <v>2019</v>
      </c>
      <c r="AO1760">
        <f>IF(AND(emissions[[#This Row],[Market-based]]=0,emissions[[#This Row],[Impact Type]]="CO2E"),emissions[[#This Row],[kgCO2e]],0)/1000</f>
        <v>39.103648630000002</v>
      </c>
      <c r="AP1760">
        <f>IF(AND(emissions[[#This Row],[Market-based]]=1,OR(emissions[[#This Row],[Impact Type]]="CO2E",emissions[[#This Row],[Impact Type]]="CO2E MKT")),emissions[[#This Row],[kgCO2e]],0)/1000</f>
        <v>0</v>
      </c>
      <c r="AQ1760" t="str">
        <f>_xlfn.TEXTAFTER(emissions[[#This Row],[Reporting Unit]]," &gt; ",LEN(emissions[[#This Row],[Reporting Unit]])-LEN(SUBSTITUTE(emissions[[#This Row],[Reporting Unit]],"&gt;","")))</f>
        <v>Vantage_Warren</v>
      </c>
      <c r="AR1760" t="str">
        <f>_xlfn.XLOOKUP(emissions[[#This Row],[Reporting unit name]],hierarchy!$A:$A,hierarchy!$C:$C)</f>
        <v>Office</v>
      </c>
    </row>
    <row r="1761" spans="1:44" hidden="1" x14ac:dyDescent="0.25">
      <c r="A1761">
        <v>4966</v>
      </c>
      <c r="B1761" t="s">
        <v>267</v>
      </c>
      <c r="C1761" t="s">
        <v>501</v>
      </c>
      <c r="D1761" t="s">
        <v>599</v>
      </c>
      <c r="E1761" s="3">
        <v>44197</v>
      </c>
      <c r="F1761" s="3">
        <v>44561</v>
      </c>
      <c r="G1761" t="s">
        <v>108</v>
      </c>
      <c r="H1761" s="3">
        <v>44197</v>
      </c>
      <c r="I1761" s="3">
        <v>44561</v>
      </c>
      <c r="J1761" t="s">
        <v>108</v>
      </c>
      <c r="K1761">
        <v>467234</v>
      </c>
      <c r="L1761" t="s">
        <v>109</v>
      </c>
      <c r="M1761" t="s">
        <v>82</v>
      </c>
      <c r="O1761" t="s">
        <v>600</v>
      </c>
      <c r="P1761" t="s">
        <v>550</v>
      </c>
      <c r="Q1761">
        <v>2021</v>
      </c>
      <c r="R1761" t="s">
        <v>575</v>
      </c>
      <c r="S1761" t="s">
        <v>576</v>
      </c>
      <c r="T1761" t="s">
        <v>577</v>
      </c>
      <c r="U1761" t="b">
        <v>0</v>
      </c>
      <c r="V1761" t="s">
        <v>899</v>
      </c>
      <c r="W1761" t="s">
        <v>571</v>
      </c>
      <c r="X1761" t="s">
        <v>572</v>
      </c>
      <c r="Y1761" t="s">
        <v>472</v>
      </c>
      <c r="Z1761" t="s">
        <v>485</v>
      </c>
      <c r="AA1761" t="s">
        <v>764</v>
      </c>
      <c r="AB1761" t="s">
        <v>895</v>
      </c>
      <c r="AC1761">
        <v>0</v>
      </c>
      <c r="AD1761" t="s">
        <v>566</v>
      </c>
      <c r="AE1761">
        <v>116.78830979999999</v>
      </c>
      <c r="AF1761">
        <v>2.4995699999999998E-4</v>
      </c>
      <c r="AG1761" t="s">
        <v>560</v>
      </c>
      <c r="AH1761">
        <v>1</v>
      </c>
      <c r="AI1761">
        <v>467234</v>
      </c>
      <c r="AJ1761" t="s">
        <v>561</v>
      </c>
      <c r="AK1761" t="s">
        <v>573</v>
      </c>
      <c r="AL1761" t="s">
        <v>913</v>
      </c>
      <c r="AM1761">
        <v>2021</v>
      </c>
      <c r="AN1761">
        <v>2019</v>
      </c>
      <c r="AO1761">
        <f>IF(AND(emissions[[#This Row],[Market-based]]=0,emissions[[#This Row],[Impact Type]]="CO2E"),emissions[[#This Row],[kgCO2e]],0)/1000</f>
        <v>0</v>
      </c>
      <c r="AP1761">
        <f>IF(AND(emissions[[#This Row],[Market-based]]=1,OR(emissions[[#This Row],[Impact Type]]="CO2E",emissions[[#This Row],[Impact Type]]="CO2E MKT")),emissions[[#This Row],[kgCO2e]],0)/1000</f>
        <v>0</v>
      </c>
      <c r="AQ1761" t="str">
        <f>_xlfn.TEXTAFTER(emissions[[#This Row],[Reporting Unit]]," &gt; ",LEN(emissions[[#This Row],[Reporting Unit]])-LEN(SUBSTITUTE(emissions[[#This Row],[Reporting Unit]],"&gt;","")))</f>
        <v>Vantage_Warren</v>
      </c>
      <c r="AR1761" t="str">
        <f>_xlfn.XLOOKUP(emissions[[#This Row],[Reporting unit name]],hierarchy!$A:$A,hierarchy!$C:$C)</f>
        <v>Office</v>
      </c>
    </row>
    <row r="1762" spans="1:44" hidden="1" x14ac:dyDescent="0.25">
      <c r="A1762">
        <v>4966</v>
      </c>
      <c r="B1762" t="s">
        <v>267</v>
      </c>
      <c r="C1762" t="s">
        <v>501</v>
      </c>
      <c r="D1762" t="s">
        <v>599</v>
      </c>
      <c r="E1762" s="3">
        <v>44197</v>
      </c>
      <c r="F1762" s="3">
        <v>44561</v>
      </c>
      <c r="G1762" t="s">
        <v>108</v>
      </c>
      <c r="H1762" s="3">
        <v>44197</v>
      </c>
      <c r="I1762" s="3">
        <v>44561</v>
      </c>
      <c r="J1762" t="s">
        <v>108</v>
      </c>
      <c r="K1762">
        <v>467234</v>
      </c>
      <c r="L1762" t="s">
        <v>109</v>
      </c>
      <c r="M1762" t="s">
        <v>82</v>
      </c>
      <c r="O1762" t="s">
        <v>600</v>
      </c>
      <c r="P1762" t="s">
        <v>550</v>
      </c>
      <c r="Q1762">
        <v>2021</v>
      </c>
      <c r="R1762" t="s">
        <v>575</v>
      </c>
      <c r="S1762" t="s">
        <v>576</v>
      </c>
      <c r="T1762" t="s">
        <v>577</v>
      </c>
      <c r="U1762" t="b">
        <v>0</v>
      </c>
      <c r="V1762" t="s">
        <v>899</v>
      </c>
      <c r="W1762" t="s">
        <v>571</v>
      </c>
      <c r="X1762" t="s">
        <v>572</v>
      </c>
      <c r="Y1762" t="s">
        <v>472</v>
      </c>
      <c r="Z1762" t="s">
        <v>485</v>
      </c>
      <c r="AA1762" t="s">
        <v>764</v>
      </c>
      <c r="AB1762" t="s">
        <v>895</v>
      </c>
      <c r="AC1762">
        <v>1</v>
      </c>
      <c r="AD1762" t="s">
        <v>639</v>
      </c>
      <c r="AE1762">
        <v>38924.211179999998</v>
      </c>
      <c r="AF1762">
        <v>8.3307746000000002E-2</v>
      </c>
      <c r="AG1762" t="s">
        <v>560</v>
      </c>
      <c r="AH1762">
        <v>1</v>
      </c>
      <c r="AI1762">
        <v>467234</v>
      </c>
      <c r="AJ1762" t="s">
        <v>561</v>
      </c>
      <c r="AK1762" t="s">
        <v>573</v>
      </c>
      <c r="AL1762" t="s">
        <v>900</v>
      </c>
      <c r="AM1762">
        <v>2021</v>
      </c>
      <c r="AN1762">
        <v>2019</v>
      </c>
      <c r="AO1762">
        <f>IF(AND(emissions[[#This Row],[Market-based]]=0,emissions[[#This Row],[Impact Type]]="CO2E"),emissions[[#This Row],[kgCO2e]],0)/1000</f>
        <v>0</v>
      </c>
      <c r="AP1762">
        <f>IF(AND(emissions[[#This Row],[Market-based]]=1,OR(emissions[[#This Row],[Impact Type]]="CO2E",emissions[[#This Row],[Impact Type]]="CO2E MKT")),emissions[[#This Row],[kgCO2e]],0)/1000</f>
        <v>38.92421118</v>
      </c>
      <c r="AQ1762" t="str">
        <f>_xlfn.TEXTAFTER(emissions[[#This Row],[Reporting Unit]]," &gt; ",LEN(emissions[[#This Row],[Reporting Unit]])-LEN(SUBSTITUTE(emissions[[#This Row],[Reporting Unit]],"&gt;","")))</f>
        <v>Vantage_Warren</v>
      </c>
      <c r="AR1762" t="str">
        <f>_xlfn.XLOOKUP(emissions[[#This Row],[Reporting unit name]],hierarchy!$A:$A,hierarchy!$C:$C)</f>
        <v>Office</v>
      </c>
    </row>
    <row r="1763" spans="1:44" hidden="1" x14ac:dyDescent="0.25">
      <c r="A1763">
        <v>4966</v>
      </c>
      <c r="B1763" t="s">
        <v>267</v>
      </c>
      <c r="C1763" t="s">
        <v>501</v>
      </c>
      <c r="D1763" t="s">
        <v>599</v>
      </c>
      <c r="E1763" s="3">
        <v>44197</v>
      </c>
      <c r="F1763" s="3">
        <v>44561</v>
      </c>
      <c r="G1763" t="s">
        <v>108</v>
      </c>
      <c r="H1763" s="3">
        <v>44197</v>
      </c>
      <c r="I1763" s="3">
        <v>44561</v>
      </c>
      <c r="J1763" t="s">
        <v>108</v>
      </c>
      <c r="K1763">
        <v>467234</v>
      </c>
      <c r="L1763" t="s">
        <v>109</v>
      </c>
      <c r="M1763" t="s">
        <v>82</v>
      </c>
      <c r="O1763" t="s">
        <v>600</v>
      </c>
      <c r="P1763" t="s">
        <v>550</v>
      </c>
      <c r="Q1763">
        <v>2021</v>
      </c>
      <c r="R1763" t="s">
        <v>579</v>
      </c>
      <c r="S1763" t="s">
        <v>580</v>
      </c>
      <c r="T1763" t="s">
        <v>581</v>
      </c>
      <c r="U1763" t="b">
        <v>0</v>
      </c>
      <c r="V1763" t="s">
        <v>901</v>
      </c>
      <c r="W1763" t="s">
        <v>571</v>
      </c>
      <c r="X1763" t="s">
        <v>572</v>
      </c>
      <c r="Y1763" t="s">
        <v>472</v>
      </c>
      <c r="Z1763" t="s">
        <v>485</v>
      </c>
      <c r="AA1763" t="s">
        <v>764</v>
      </c>
      <c r="AB1763" t="s">
        <v>895</v>
      </c>
      <c r="AC1763">
        <v>0</v>
      </c>
      <c r="AD1763" t="s">
        <v>565</v>
      </c>
      <c r="AE1763">
        <v>7549.2284449999997</v>
      </c>
      <c r="AF1763">
        <v>1.6157274999999999E-2</v>
      </c>
      <c r="AG1763" t="s">
        <v>560</v>
      </c>
      <c r="AH1763">
        <v>1</v>
      </c>
      <c r="AI1763">
        <v>467234</v>
      </c>
      <c r="AJ1763" t="s">
        <v>561</v>
      </c>
      <c r="AK1763" t="s">
        <v>766</v>
      </c>
      <c r="AL1763" t="s">
        <v>790</v>
      </c>
      <c r="AM1763">
        <v>2021</v>
      </c>
      <c r="AN1763">
        <v>2019</v>
      </c>
      <c r="AO1763">
        <f>IF(AND(emissions[[#This Row],[Market-based]]=0,emissions[[#This Row],[Impact Type]]="CO2E"),emissions[[#This Row],[kgCO2e]],0)/1000</f>
        <v>7.5492284449999998</v>
      </c>
      <c r="AP1763">
        <f>IF(AND(emissions[[#This Row],[Market-based]]=1,OR(emissions[[#This Row],[Impact Type]]="CO2E",emissions[[#This Row],[Impact Type]]="CO2E MKT")),emissions[[#This Row],[kgCO2e]],0)/1000</f>
        <v>0</v>
      </c>
      <c r="AQ1763" t="str">
        <f>_xlfn.TEXTAFTER(emissions[[#This Row],[Reporting Unit]]," &gt; ",LEN(emissions[[#This Row],[Reporting Unit]])-LEN(SUBSTITUTE(emissions[[#This Row],[Reporting Unit]],"&gt;","")))</f>
        <v>Vantage_Warren</v>
      </c>
      <c r="AR1763" t="str">
        <f>_xlfn.XLOOKUP(emissions[[#This Row],[Reporting unit name]],hierarchy!$A:$A,hierarchy!$C:$C)</f>
        <v>Office</v>
      </c>
    </row>
    <row r="1764" spans="1:44" hidden="1" x14ac:dyDescent="0.25">
      <c r="A1764">
        <v>4966</v>
      </c>
      <c r="B1764" t="s">
        <v>267</v>
      </c>
      <c r="C1764" t="s">
        <v>501</v>
      </c>
      <c r="D1764" t="s">
        <v>599</v>
      </c>
      <c r="E1764" s="3">
        <v>44197</v>
      </c>
      <c r="F1764" s="3">
        <v>44561</v>
      </c>
      <c r="G1764" t="s">
        <v>108</v>
      </c>
      <c r="H1764" s="3">
        <v>44197</v>
      </c>
      <c r="I1764" s="3">
        <v>44561</v>
      </c>
      <c r="J1764" t="s">
        <v>108</v>
      </c>
      <c r="K1764">
        <v>467234</v>
      </c>
      <c r="L1764" t="s">
        <v>109</v>
      </c>
      <c r="M1764" t="s">
        <v>82</v>
      </c>
      <c r="O1764" t="s">
        <v>600</v>
      </c>
      <c r="P1764" t="s">
        <v>550</v>
      </c>
      <c r="Q1764">
        <v>2021</v>
      </c>
      <c r="R1764" t="s">
        <v>579</v>
      </c>
      <c r="S1764" t="s">
        <v>580</v>
      </c>
      <c r="T1764" t="s">
        <v>581</v>
      </c>
      <c r="U1764" t="b">
        <v>0</v>
      </c>
      <c r="V1764" t="s">
        <v>902</v>
      </c>
      <c r="W1764" t="s">
        <v>571</v>
      </c>
      <c r="X1764" t="s">
        <v>572</v>
      </c>
      <c r="Y1764" t="s">
        <v>472</v>
      </c>
      <c r="Z1764" t="s">
        <v>485</v>
      </c>
      <c r="AA1764" t="s">
        <v>764</v>
      </c>
      <c r="AB1764" t="s">
        <v>895</v>
      </c>
      <c r="AC1764">
        <v>1</v>
      </c>
      <c r="AD1764" t="s">
        <v>639</v>
      </c>
      <c r="AE1764">
        <v>7514.5868099999998</v>
      </c>
      <c r="AF1764">
        <v>1.6083133999999999E-2</v>
      </c>
      <c r="AG1764" t="s">
        <v>560</v>
      </c>
      <c r="AH1764">
        <v>1</v>
      </c>
      <c r="AI1764">
        <v>467234</v>
      </c>
      <c r="AJ1764" t="s">
        <v>561</v>
      </c>
      <c r="AK1764" t="s">
        <v>573</v>
      </c>
      <c r="AL1764" t="s">
        <v>903</v>
      </c>
      <c r="AM1764">
        <v>2021</v>
      </c>
      <c r="AN1764">
        <v>2019</v>
      </c>
      <c r="AO1764">
        <f>IF(AND(emissions[[#This Row],[Market-based]]=0,emissions[[#This Row],[Impact Type]]="CO2E"),emissions[[#This Row],[kgCO2e]],0)/1000</f>
        <v>0</v>
      </c>
      <c r="AP1764">
        <f>IF(AND(emissions[[#This Row],[Market-based]]=1,OR(emissions[[#This Row],[Impact Type]]="CO2E",emissions[[#This Row],[Impact Type]]="CO2E MKT")),emissions[[#This Row],[kgCO2e]],0)/1000</f>
        <v>7.51458681</v>
      </c>
      <c r="AQ1764" t="str">
        <f>_xlfn.TEXTAFTER(emissions[[#This Row],[Reporting Unit]]," &gt; ",LEN(emissions[[#This Row],[Reporting Unit]])-LEN(SUBSTITUTE(emissions[[#This Row],[Reporting Unit]],"&gt;","")))</f>
        <v>Vantage_Warren</v>
      </c>
      <c r="AR1764" t="str">
        <f>_xlfn.XLOOKUP(emissions[[#This Row],[Reporting unit name]],hierarchy!$A:$A,hierarchy!$C:$C)</f>
        <v>Office</v>
      </c>
    </row>
    <row r="1765" spans="1:44" hidden="1" x14ac:dyDescent="0.25">
      <c r="A1765">
        <v>4991</v>
      </c>
      <c r="B1765" t="s">
        <v>267</v>
      </c>
      <c r="C1765" t="s">
        <v>501</v>
      </c>
      <c r="D1765" t="s">
        <v>599</v>
      </c>
      <c r="E1765" s="3">
        <v>44197</v>
      </c>
      <c r="F1765" s="3">
        <v>44561</v>
      </c>
      <c r="G1765" t="s">
        <v>135</v>
      </c>
      <c r="H1765" s="3">
        <v>44197</v>
      </c>
      <c r="I1765" s="3">
        <v>44561</v>
      </c>
      <c r="J1765" t="s">
        <v>135</v>
      </c>
      <c r="K1765">
        <v>117546000</v>
      </c>
      <c r="L1765" t="s">
        <v>140</v>
      </c>
      <c r="M1765" t="s">
        <v>82</v>
      </c>
      <c r="O1765" t="s">
        <v>600</v>
      </c>
      <c r="P1765" t="s">
        <v>550</v>
      </c>
      <c r="Q1765">
        <v>2021</v>
      </c>
      <c r="R1765" t="s">
        <v>605</v>
      </c>
      <c r="S1765" t="s">
        <v>606</v>
      </c>
      <c r="T1765" t="s">
        <v>553</v>
      </c>
      <c r="U1765" t="b">
        <v>0</v>
      </c>
      <c r="V1765" t="s">
        <v>781</v>
      </c>
      <c r="W1765" t="s">
        <v>587</v>
      </c>
      <c r="X1765" t="s">
        <v>556</v>
      </c>
      <c r="Y1765" t="s">
        <v>472</v>
      </c>
      <c r="Z1765" t="s">
        <v>485</v>
      </c>
      <c r="AA1765" t="s">
        <v>764</v>
      </c>
      <c r="AC1765">
        <v>0</v>
      </c>
      <c r="AD1765" t="s">
        <v>558</v>
      </c>
      <c r="AE1765">
        <v>2.93865</v>
      </c>
      <c r="AF1765">
        <v>2.5000000000000001E-2</v>
      </c>
      <c r="AG1765" t="s">
        <v>798</v>
      </c>
      <c r="AH1765">
        <v>9.9999999999999995E-7</v>
      </c>
      <c r="AI1765">
        <v>117.54600000000001</v>
      </c>
      <c r="AJ1765" t="s">
        <v>561</v>
      </c>
      <c r="AK1765" t="s">
        <v>766</v>
      </c>
      <c r="AL1765" t="s">
        <v>790</v>
      </c>
      <c r="AM1765">
        <v>2021</v>
      </c>
      <c r="AN1765">
        <v>2021</v>
      </c>
      <c r="AO1765">
        <f>IF(AND(emissions[[#This Row],[Market-based]]=0,emissions[[#This Row],[Impact Type]]="CO2E"),emissions[[#This Row],[kgCO2e]],0)/1000</f>
        <v>0</v>
      </c>
      <c r="AP1765">
        <f>IF(AND(emissions[[#This Row],[Market-based]]=1,OR(emissions[[#This Row],[Impact Type]]="CO2E",emissions[[#This Row],[Impact Type]]="CO2E MKT")),emissions[[#This Row],[kgCO2e]],0)/1000</f>
        <v>0</v>
      </c>
      <c r="AQ1765" t="str">
        <f>_xlfn.TEXTAFTER(emissions[[#This Row],[Reporting Unit]]," &gt; ",LEN(emissions[[#This Row],[Reporting Unit]])-LEN(SUBSTITUTE(emissions[[#This Row],[Reporting Unit]],"&gt;","")))</f>
        <v>Vantage_Warren</v>
      </c>
      <c r="AR1765" t="str">
        <f>_xlfn.XLOOKUP(emissions[[#This Row],[Reporting unit name]],hierarchy!$A:$A,hierarchy!$C:$C)</f>
        <v>Office</v>
      </c>
    </row>
    <row r="1766" spans="1:44" hidden="1" x14ac:dyDescent="0.25">
      <c r="A1766">
        <v>4991</v>
      </c>
      <c r="B1766" t="s">
        <v>267</v>
      </c>
      <c r="C1766" t="s">
        <v>501</v>
      </c>
      <c r="D1766" t="s">
        <v>599</v>
      </c>
      <c r="E1766" s="3">
        <v>44197</v>
      </c>
      <c r="F1766" s="3">
        <v>44561</v>
      </c>
      <c r="G1766" t="s">
        <v>135</v>
      </c>
      <c r="H1766" s="3">
        <v>44197</v>
      </c>
      <c r="I1766" s="3">
        <v>44561</v>
      </c>
      <c r="J1766" t="s">
        <v>135</v>
      </c>
      <c r="K1766">
        <v>117546000</v>
      </c>
      <c r="L1766" t="s">
        <v>140</v>
      </c>
      <c r="M1766" t="s">
        <v>82</v>
      </c>
      <c r="O1766" t="s">
        <v>600</v>
      </c>
      <c r="P1766" t="s">
        <v>550</v>
      </c>
      <c r="Q1766">
        <v>2021</v>
      </c>
      <c r="R1766" t="s">
        <v>605</v>
      </c>
      <c r="S1766" t="s">
        <v>606</v>
      </c>
      <c r="T1766" t="s">
        <v>553</v>
      </c>
      <c r="U1766" t="b">
        <v>0</v>
      </c>
      <c r="V1766" t="s">
        <v>781</v>
      </c>
      <c r="W1766" t="s">
        <v>587</v>
      </c>
      <c r="X1766" t="s">
        <v>556</v>
      </c>
      <c r="Y1766" t="s">
        <v>472</v>
      </c>
      <c r="Z1766" t="s">
        <v>485</v>
      </c>
      <c r="AA1766" t="s">
        <v>764</v>
      </c>
      <c r="AC1766">
        <v>0</v>
      </c>
      <c r="AD1766" t="s">
        <v>564</v>
      </c>
      <c r="AE1766">
        <v>6236.9907599999997</v>
      </c>
      <c r="AF1766">
        <v>53.06</v>
      </c>
      <c r="AG1766" t="s">
        <v>798</v>
      </c>
      <c r="AH1766">
        <v>9.9999999999999995E-7</v>
      </c>
      <c r="AI1766">
        <v>117.54600000000001</v>
      </c>
      <c r="AJ1766" t="s">
        <v>561</v>
      </c>
      <c r="AK1766" t="s">
        <v>766</v>
      </c>
      <c r="AL1766" t="s">
        <v>787</v>
      </c>
      <c r="AM1766">
        <v>2021</v>
      </c>
      <c r="AN1766">
        <v>2020</v>
      </c>
      <c r="AO1766">
        <f>IF(AND(emissions[[#This Row],[Market-based]]=0,emissions[[#This Row],[Impact Type]]="CO2E"),emissions[[#This Row],[kgCO2e]],0)/1000</f>
        <v>0</v>
      </c>
      <c r="AP1766">
        <f>IF(AND(emissions[[#This Row],[Market-based]]=1,OR(emissions[[#This Row],[Impact Type]]="CO2E",emissions[[#This Row],[Impact Type]]="CO2E MKT")),emissions[[#This Row],[kgCO2e]],0)/1000</f>
        <v>0</v>
      </c>
      <c r="AQ1766" t="str">
        <f>_xlfn.TEXTAFTER(emissions[[#This Row],[Reporting Unit]]," &gt; ",LEN(emissions[[#This Row],[Reporting Unit]])-LEN(SUBSTITUTE(emissions[[#This Row],[Reporting Unit]],"&gt;","")))</f>
        <v>Vantage_Warren</v>
      </c>
      <c r="AR1766" t="str">
        <f>_xlfn.XLOOKUP(emissions[[#This Row],[Reporting unit name]],hierarchy!$A:$A,hierarchy!$C:$C)</f>
        <v>Office</v>
      </c>
    </row>
    <row r="1767" spans="1:44" hidden="1" x14ac:dyDescent="0.25">
      <c r="A1767">
        <v>4991</v>
      </c>
      <c r="B1767" t="s">
        <v>267</v>
      </c>
      <c r="C1767" t="s">
        <v>501</v>
      </c>
      <c r="D1767" t="s">
        <v>599</v>
      </c>
      <c r="E1767" s="3">
        <v>44197</v>
      </c>
      <c r="F1767" s="3">
        <v>44561</v>
      </c>
      <c r="G1767" t="s">
        <v>135</v>
      </c>
      <c r="H1767" s="3">
        <v>44197</v>
      </c>
      <c r="I1767" s="3">
        <v>44561</v>
      </c>
      <c r="J1767" t="s">
        <v>135</v>
      </c>
      <c r="K1767">
        <v>117546000</v>
      </c>
      <c r="L1767" t="s">
        <v>140</v>
      </c>
      <c r="M1767" t="s">
        <v>82</v>
      </c>
      <c r="O1767" t="s">
        <v>600</v>
      </c>
      <c r="P1767" t="s">
        <v>550</v>
      </c>
      <c r="Q1767">
        <v>2021</v>
      </c>
      <c r="R1767" t="s">
        <v>605</v>
      </c>
      <c r="S1767" t="s">
        <v>606</v>
      </c>
      <c r="T1767" t="s">
        <v>553</v>
      </c>
      <c r="U1767" t="b">
        <v>0</v>
      </c>
      <c r="V1767" t="s">
        <v>781</v>
      </c>
      <c r="W1767" t="s">
        <v>587</v>
      </c>
      <c r="X1767" t="s">
        <v>556</v>
      </c>
      <c r="Y1767" t="s">
        <v>472</v>
      </c>
      <c r="Z1767" t="s">
        <v>485</v>
      </c>
      <c r="AA1767" t="s">
        <v>764</v>
      </c>
      <c r="AC1767">
        <v>0</v>
      </c>
      <c r="AD1767" t="s">
        <v>565</v>
      </c>
      <c r="AE1767">
        <v>6243.4322810000003</v>
      </c>
      <c r="AF1767">
        <v>53.114800000000002</v>
      </c>
      <c r="AG1767" t="s">
        <v>798</v>
      </c>
      <c r="AH1767">
        <v>9.9999999999999995E-7</v>
      </c>
      <c r="AI1767">
        <v>117.54600000000001</v>
      </c>
      <c r="AJ1767" t="s">
        <v>561</v>
      </c>
      <c r="AK1767" t="s">
        <v>766</v>
      </c>
      <c r="AL1767" t="s">
        <v>790</v>
      </c>
      <c r="AM1767">
        <v>2021</v>
      </c>
      <c r="AN1767">
        <v>2021</v>
      </c>
      <c r="AO1767">
        <f>IF(AND(emissions[[#This Row],[Market-based]]=0,emissions[[#This Row],[Impact Type]]="CO2E"),emissions[[#This Row],[kgCO2e]],0)/1000</f>
        <v>6.2434322810000005</v>
      </c>
      <c r="AP1767">
        <f>IF(AND(emissions[[#This Row],[Market-based]]=1,OR(emissions[[#This Row],[Impact Type]]="CO2E",emissions[[#This Row],[Impact Type]]="CO2E MKT")),emissions[[#This Row],[kgCO2e]],0)/1000</f>
        <v>0</v>
      </c>
      <c r="AQ1767" t="str">
        <f>_xlfn.TEXTAFTER(emissions[[#This Row],[Reporting Unit]]," &gt; ",LEN(emissions[[#This Row],[Reporting Unit]])-LEN(SUBSTITUTE(emissions[[#This Row],[Reporting Unit]],"&gt;","")))</f>
        <v>Vantage_Warren</v>
      </c>
      <c r="AR1767" t="str">
        <f>_xlfn.XLOOKUP(emissions[[#This Row],[Reporting unit name]],hierarchy!$A:$A,hierarchy!$C:$C)</f>
        <v>Office</v>
      </c>
    </row>
    <row r="1768" spans="1:44" hidden="1" x14ac:dyDescent="0.25">
      <c r="A1768">
        <v>4991</v>
      </c>
      <c r="B1768" t="s">
        <v>267</v>
      </c>
      <c r="C1768" t="s">
        <v>501</v>
      </c>
      <c r="D1768" t="s">
        <v>599</v>
      </c>
      <c r="E1768" s="3">
        <v>44197</v>
      </c>
      <c r="F1768" s="3">
        <v>44561</v>
      </c>
      <c r="G1768" t="s">
        <v>135</v>
      </c>
      <c r="H1768" s="3">
        <v>44197</v>
      </c>
      <c r="I1768" s="3">
        <v>44561</v>
      </c>
      <c r="J1768" t="s">
        <v>135</v>
      </c>
      <c r="K1768">
        <v>117546000</v>
      </c>
      <c r="L1768" t="s">
        <v>140</v>
      </c>
      <c r="M1768" t="s">
        <v>82</v>
      </c>
      <c r="O1768" t="s">
        <v>600</v>
      </c>
      <c r="P1768" t="s">
        <v>550</v>
      </c>
      <c r="Q1768">
        <v>2021</v>
      </c>
      <c r="R1768" t="s">
        <v>605</v>
      </c>
      <c r="S1768" t="s">
        <v>606</v>
      </c>
      <c r="T1768" t="s">
        <v>553</v>
      </c>
      <c r="U1768" t="b">
        <v>0</v>
      </c>
      <c r="V1768" t="s">
        <v>781</v>
      </c>
      <c r="W1768" t="s">
        <v>587</v>
      </c>
      <c r="X1768" t="s">
        <v>556</v>
      </c>
      <c r="Y1768" t="s">
        <v>472</v>
      </c>
      <c r="Z1768" t="s">
        <v>485</v>
      </c>
      <c r="AA1768" t="s">
        <v>764</v>
      </c>
      <c r="AC1768">
        <v>0</v>
      </c>
      <c r="AD1768" t="s">
        <v>566</v>
      </c>
      <c r="AE1768">
        <v>3.5028708000000002</v>
      </c>
      <c r="AF1768">
        <v>2.98E-2</v>
      </c>
      <c r="AG1768" t="s">
        <v>798</v>
      </c>
      <c r="AH1768">
        <v>9.9999999999999995E-7</v>
      </c>
      <c r="AI1768">
        <v>117.54600000000001</v>
      </c>
      <c r="AJ1768" t="s">
        <v>561</v>
      </c>
      <c r="AK1768" t="s">
        <v>766</v>
      </c>
      <c r="AL1768" t="s">
        <v>790</v>
      </c>
      <c r="AM1768">
        <v>2021</v>
      </c>
      <c r="AN1768">
        <v>2021</v>
      </c>
      <c r="AO1768">
        <f>IF(AND(emissions[[#This Row],[Market-based]]=0,emissions[[#This Row],[Impact Type]]="CO2E"),emissions[[#This Row],[kgCO2e]],0)/1000</f>
        <v>0</v>
      </c>
      <c r="AP1768">
        <f>IF(AND(emissions[[#This Row],[Market-based]]=1,OR(emissions[[#This Row],[Impact Type]]="CO2E",emissions[[#This Row],[Impact Type]]="CO2E MKT")),emissions[[#This Row],[kgCO2e]],0)/1000</f>
        <v>0</v>
      </c>
      <c r="AQ1768" t="str">
        <f>_xlfn.TEXTAFTER(emissions[[#This Row],[Reporting Unit]]," &gt; ",LEN(emissions[[#This Row],[Reporting Unit]])-LEN(SUBSTITUTE(emissions[[#This Row],[Reporting Unit]],"&gt;","")))</f>
        <v>Vantage_Warren</v>
      </c>
      <c r="AR1768" t="str">
        <f>_xlfn.XLOOKUP(emissions[[#This Row],[Reporting unit name]],hierarchy!$A:$A,hierarchy!$C:$C)</f>
        <v>Office</v>
      </c>
    </row>
    <row r="1769" spans="1:44" hidden="1" x14ac:dyDescent="0.25">
      <c r="A1769">
        <v>4991</v>
      </c>
      <c r="B1769" t="s">
        <v>267</v>
      </c>
      <c r="C1769" t="s">
        <v>501</v>
      </c>
      <c r="D1769" t="s">
        <v>599</v>
      </c>
      <c r="E1769" s="3">
        <v>44197</v>
      </c>
      <c r="F1769" s="3">
        <v>44561</v>
      </c>
      <c r="G1769" t="s">
        <v>135</v>
      </c>
      <c r="H1769" s="3">
        <v>44197</v>
      </c>
      <c r="I1769" s="3">
        <v>44561</v>
      </c>
      <c r="J1769" t="s">
        <v>135</v>
      </c>
      <c r="K1769">
        <v>117546000</v>
      </c>
      <c r="L1769" t="s">
        <v>140</v>
      </c>
      <c r="M1769" t="s">
        <v>82</v>
      </c>
      <c r="O1769" t="s">
        <v>600</v>
      </c>
      <c r="P1769" t="s">
        <v>550</v>
      </c>
      <c r="Q1769">
        <v>2021</v>
      </c>
      <c r="R1769" t="s">
        <v>605</v>
      </c>
      <c r="S1769" t="s">
        <v>606</v>
      </c>
      <c r="T1769" t="s">
        <v>553</v>
      </c>
      <c r="U1769" t="b">
        <v>0</v>
      </c>
      <c r="V1769" t="s">
        <v>781</v>
      </c>
      <c r="W1769" t="s">
        <v>587</v>
      </c>
      <c r="X1769" t="s">
        <v>556</v>
      </c>
      <c r="Y1769" t="s">
        <v>472</v>
      </c>
      <c r="Z1769" t="s">
        <v>485</v>
      </c>
      <c r="AA1769" t="s">
        <v>764</v>
      </c>
      <c r="AC1769">
        <v>1</v>
      </c>
      <c r="AD1769" t="s">
        <v>558</v>
      </c>
      <c r="AE1769">
        <v>2.93865</v>
      </c>
      <c r="AF1769">
        <v>2.5000000000000001E-2</v>
      </c>
      <c r="AG1769" t="s">
        <v>798</v>
      </c>
      <c r="AH1769">
        <v>9.9999999999999995E-7</v>
      </c>
      <c r="AI1769">
        <v>117.54600000000001</v>
      </c>
      <c r="AJ1769" t="s">
        <v>561</v>
      </c>
      <c r="AK1769" t="s">
        <v>766</v>
      </c>
      <c r="AL1769" t="s">
        <v>790</v>
      </c>
      <c r="AM1769">
        <v>2021</v>
      </c>
      <c r="AN1769">
        <v>2021</v>
      </c>
      <c r="AO1769">
        <f>IF(AND(emissions[[#This Row],[Market-based]]=0,emissions[[#This Row],[Impact Type]]="CO2E"),emissions[[#This Row],[kgCO2e]],0)/1000</f>
        <v>0</v>
      </c>
      <c r="AP1769">
        <f>IF(AND(emissions[[#This Row],[Market-based]]=1,OR(emissions[[#This Row],[Impact Type]]="CO2E",emissions[[#This Row],[Impact Type]]="CO2E MKT")),emissions[[#This Row],[kgCO2e]],0)/1000</f>
        <v>0</v>
      </c>
      <c r="AQ1769" t="str">
        <f>_xlfn.TEXTAFTER(emissions[[#This Row],[Reporting Unit]]," &gt; ",LEN(emissions[[#This Row],[Reporting Unit]])-LEN(SUBSTITUTE(emissions[[#This Row],[Reporting Unit]],"&gt;","")))</f>
        <v>Vantage_Warren</v>
      </c>
      <c r="AR1769" t="str">
        <f>_xlfn.XLOOKUP(emissions[[#This Row],[Reporting unit name]],hierarchy!$A:$A,hierarchy!$C:$C)</f>
        <v>Office</v>
      </c>
    </row>
    <row r="1770" spans="1:44" hidden="1" x14ac:dyDescent="0.25">
      <c r="A1770">
        <v>4991</v>
      </c>
      <c r="B1770" t="s">
        <v>267</v>
      </c>
      <c r="C1770" t="s">
        <v>501</v>
      </c>
      <c r="D1770" t="s">
        <v>599</v>
      </c>
      <c r="E1770" s="3">
        <v>44197</v>
      </c>
      <c r="F1770" s="3">
        <v>44561</v>
      </c>
      <c r="G1770" t="s">
        <v>135</v>
      </c>
      <c r="H1770" s="3">
        <v>44197</v>
      </c>
      <c r="I1770" s="3">
        <v>44561</v>
      </c>
      <c r="J1770" t="s">
        <v>135</v>
      </c>
      <c r="K1770">
        <v>117546000</v>
      </c>
      <c r="L1770" t="s">
        <v>140</v>
      </c>
      <c r="M1770" t="s">
        <v>82</v>
      </c>
      <c r="O1770" t="s">
        <v>600</v>
      </c>
      <c r="P1770" t="s">
        <v>550</v>
      </c>
      <c r="Q1770">
        <v>2021</v>
      </c>
      <c r="R1770" t="s">
        <v>605</v>
      </c>
      <c r="S1770" t="s">
        <v>606</v>
      </c>
      <c r="T1770" t="s">
        <v>553</v>
      </c>
      <c r="U1770" t="b">
        <v>0</v>
      </c>
      <c r="V1770" t="s">
        <v>781</v>
      </c>
      <c r="W1770" t="s">
        <v>587</v>
      </c>
      <c r="X1770" t="s">
        <v>556</v>
      </c>
      <c r="Y1770" t="s">
        <v>472</v>
      </c>
      <c r="Z1770" t="s">
        <v>485</v>
      </c>
      <c r="AA1770" t="s">
        <v>764</v>
      </c>
      <c r="AC1770">
        <v>1</v>
      </c>
      <c r="AD1770" t="s">
        <v>564</v>
      </c>
      <c r="AE1770">
        <v>6236.9907599999997</v>
      </c>
      <c r="AF1770">
        <v>53.06</v>
      </c>
      <c r="AG1770" t="s">
        <v>798</v>
      </c>
      <c r="AH1770">
        <v>9.9999999999999995E-7</v>
      </c>
      <c r="AI1770">
        <v>117.54600000000001</v>
      </c>
      <c r="AJ1770" t="s">
        <v>561</v>
      </c>
      <c r="AK1770" t="s">
        <v>766</v>
      </c>
      <c r="AL1770" t="s">
        <v>787</v>
      </c>
      <c r="AM1770">
        <v>2021</v>
      </c>
      <c r="AN1770">
        <v>2020</v>
      </c>
      <c r="AO1770">
        <f>IF(AND(emissions[[#This Row],[Market-based]]=0,emissions[[#This Row],[Impact Type]]="CO2E"),emissions[[#This Row],[kgCO2e]],0)/1000</f>
        <v>0</v>
      </c>
      <c r="AP1770">
        <f>IF(AND(emissions[[#This Row],[Market-based]]=1,OR(emissions[[#This Row],[Impact Type]]="CO2E",emissions[[#This Row],[Impact Type]]="CO2E MKT")),emissions[[#This Row],[kgCO2e]],0)/1000</f>
        <v>0</v>
      </c>
      <c r="AQ1770" t="str">
        <f>_xlfn.TEXTAFTER(emissions[[#This Row],[Reporting Unit]]," &gt; ",LEN(emissions[[#This Row],[Reporting Unit]])-LEN(SUBSTITUTE(emissions[[#This Row],[Reporting Unit]],"&gt;","")))</f>
        <v>Vantage_Warren</v>
      </c>
      <c r="AR1770" t="str">
        <f>_xlfn.XLOOKUP(emissions[[#This Row],[Reporting unit name]],hierarchy!$A:$A,hierarchy!$C:$C)</f>
        <v>Office</v>
      </c>
    </row>
    <row r="1771" spans="1:44" hidden="1" x14ac:dyDescent="0.25">
      <c r="A1771">
        <v>4991</v>
      </c>
      <c r="B1771" t="s">
        <v>267</v>
      </c>
      <c r="C1771" t="s">
        <v>501</v>
      </c>
      <c r="D1771" t="s">
        <v>599</v>
      </c>
      <c r="E1771" s="3">
        <v>44197</v>
      </c>
      <c r="F1771" s="3">
        <v>44561</v>
      </c>
      <c r="G1771" t="s">
        <v>135</v>
      </c>
      <c r="H1771" s="3">
        <v>44197</v>
      </c>
      <c r="I1771" s="3">
        <v>44561</v>
      </c>
      <c r="J1771" t="s">
        <v>135</v>
      </c>
      <c r="K1771">
        <v>117546000</v>
      </c>
      <c r="L1771" t="s">
        <v>140</v>
      </c>
      <c r="M1771" t="s">
        <v>82</v>
      </c>
      <c r="O1771" t="s">
        <v>600</v>
      </c>
      <c r="P1771" t="s">
        <v>550</v>
      </c>
      <c r="Q1771">
        <v>2021</v>
      </c>
      <c r="R1771" t="s">
        <v>605</v>
      </c>
      <c r="S1771" t="s">
        <v>606</v>
      </c>
      <c r="T1771" t="s">
        <v>553</v>
      </c>
      <c r="U1771" t="b">
        <v>0</v>
      </c>
      <c r="V1771" t="s">
        <v>781</v>
      </c>
      <c r="W1771" t="s">
        <v>587</v>
      </c>
      <c r="X1771" t="s">
        <v>556</v>
      </c>
      <c r="Y1771" t="s">
        <v>472</v>
      </c>
      <c r="Z1771" t="s">
        <v>485</v>
      </c>
      <c r="AA1771" t="s">
        <v>764</v>
      </c>
      <c r="AC1771">
        <v>1</v>
      </c>
      <c r="AD1771" t="s">
        <v>565</v>
      </c>
      <c r="AE1771">
        <v>6243.4322810000003</v>
      </c>
      <c r="AF1771">
        <v>53.114800000000002</v>
      </c>
      <c r="AG1771" t="s">
        <v>798</v>
      </c>
      <c r="AH1771">
        <v>9.9999999999999995E-7</v>
      </c>
      <c r="AI1771">
        <v>117.54600000000001</v>
      </c>
      <c r="AJ1771" t="s">
        <v>561</v>
      </c>
      <c r="AK1771" t="s">
        <v>766</v>
      </c>
      <c r="AL1771" t="s">
        <v>790</v>
      </c>
      <c r="AM1771">
        <v>2021</v>
      </c>
      <c r="AN1771">
        <v>2021</v>
      </c>
      <c r="AO1771">
        <f>IF(AND(emissions[[#This Row],[Market-based]]=0,emissions[[#This Row],[Impact Type]]="CO2E"),emissions[[#This Row],[kgCO2e]],0)/1000</f>
        <v>0</v>
      </c>
      <c r="AP1771">
        <f>IF(AND(emissions[[#This Row],[Market-based]]=1,OR(emissions[[#This Row],[Impact Type]]="CO2E",emissions[[#This Row],[Impact Type]]="CO2E MKT")),emissions[[#This Row],[kgCO2e]],0)/1000</f>
        <v>6.2434322810000005</v>
      </c>
      <c r="AQ1771" t="str">
        <f>_xlfn.TEXTAFTER(emissions[[#This Row],[Reporting Unit]]," &gt; ",LEN(emissions[[#This Row],[Reporting Unit]])-LEN(SUBSTITUTE(emissions[[#This Row],[Reporting Unit]],"&gt;","")))</f>
        <v>Vantage_Warren</v>
      </c>
      <c r="AR1771" t="str">
        <f>_xlfn.XLOOKUP(emissions[[#This Row],[Reporting unit name]],hierarchy!$A:$A,hierarchy!$C:$C)</f>
        <v>Office</v>
      </c>
    </row>
    <row r="1772" spans="1:44" hidden="1" x14ac:dyDescent="0.25">
      <c r="A1772">
        <v>4991</v>
      </c>
      <c r="B1772" t="s">
        <v>267</v>
      </c>
      <c r="C1772" t="s">
        <v>501</v>
      </c>
      <c r="D1772" t="s">
        <v>599</v>
      </c>
      <c r="E1772" s="3">
        <v>44197</v>
      </c>
      <c r="F1772" s="3">
        <v>44561</v>
      </c>
      <c r="G1772" t="s">
        <v>135</v>
      </c>
      <c r="H1772" s="3">
        <v>44197</v>
      </c>
      <c r="I1772" s="3">
        <v>44561</v>
      </c>
      <c r="J1772" t="s">
        <v>135</v>
      </c>
      <c r="K1772">
        <v>117546000</v>
      </c>
      <c r="L1772" t="s">
        <v>140</v>
      </c>
      <c r="M1772" t="s">
        <v>82</v>
      </c>
      <c r="O1772" t="s">
        <v>600</v>
      </c>
      <c r="P1772" t="s">
        <v>550</v>
      </c>
      <c r="Q1772">
        <v>2021</v>
      </c>
      <c r="R1772" t="s">
        <v>605</v>
      </c>
      <c r="S1772" t="s">
        <v>606</v>
      </c>
      <c r="T1772" t="s">
        <v>553</v>
      </c>
      <c r="U1772" t="b">
        <v>0</v>
      </c>
      <c r="V1772" t="s">
        <v>781</v>
      </c>
      <c r="W1772" t="s">
        <v>587</v>
      </c>
      <c r="X1772" t="s">
        <v>556</v>
      </c>
      <c r="Y1772" t="s">
        <v>472</v>
      </c>
      <c r="Z1772" t="s">
        <v>485</v>
      </c>
      <c r="AA1772" t="s">
        <v>764</v>
      </c>
      <c r="AC1772">
        <v>1</v>
      </c>
      <c r="AD1772" t="s">
        <v>566</v>
      </c>
      <c r="AE1772">
        <v>3.5028708000000002</v>
      </c>
      <c r="AF1772">
        <v>2.98E-2</v>
      </c>
      <c r="AG1772" t="s">
        <v>798</v>
      </c>
      <c r="AH1772">
        <v>9.9999999999999995E-7</v>
      </c>
      <c r="AI1772">
        <v>117.54600000000001</v>
      </c>
      <c r="AJ1772" t="s">
        <v>561</v>
      </c>
      <c r="AK1772" t="s">
        <v>766</v>
      </c>
      <c r="AL1772" t="s">
        <v>790</v>
      </c>
      <c r="AM1772">
        <v>2021</v>
      </c>
      <c r="AN1772">
        <v>2021</v>
      </c>
      <c r="AO1772">
        <f>IF(AND(emissions[[#This Row],[Market-based]]=0,emissions[[#This Row],[Impact Type]]="CO2E"),emissions[[#This Row],[kgCO2e]],0)/1000</f>
        <v>0</v>
      </c>
      <c r="AP1772">
        <f>IF(AND(emissions[[#This Row],[Market-based]]=1,OR(emissions[[#This Row],[Impact Type]]="CO2E",emissions[[#This Row],[Impact Type]]="CO2E MKT")),emissions[[#This Row],[kgCO2e]],0)/1000</f>
        <v>0</v>
      </c>
      <c r="AQ1772" t="str">
        <f>_xlfn.TEXTAFTER(emissions[[#This Row],[Reporting Unit]]," &gt; ",LEN(emissions[[#This Row],[Reporting Unit]])-LEN(SUBSTITUTE(emissions[[#This Row],[Reporting Unit]],"&gt;","")))</f>
        <v>Vantage_Warren</v>
      </c>
      <c r="AR1772" t="str">
        <f>_xlfn.XLOOKUP(emissions[[#This Row],[Reporting unit name]],hierarchy!$A:$A,hierarchy!$C:$C)</f>
        <v>Office</v>
      </c>
    </row>
    <row r="1773" spans="1:44" hidden="1" x14ac:dyDescent="0.25">
      <c r="A1773">
        <v>4991</v>
      </c>
      <c r="B1773" t="s">
        <v>267</v>
      </c>
      <c r="C1773" t="s">
        <v>501</v>
      </c>
      <c r="D1773" t="s">
        <v>599</v>
      </c>
      <c r="E1773" s="3">
        <v>44197</v>
      </c>
      <c r="F1773" s="3">
        <v>44561</v>
      </c>
      <c r="G1773" t="s">
        <v>135</v>
      </c>
      <c r="H1773" s="3">
        <v>44197</v>
      </c>
      <c r="I1773" s="3">
        <v>44561</v>
      </c>
      <c r="J1773" t="s">
        <v>135</v>
      </c>
      <c r="K1773">
        <v>117546000</v>
      </c>
      <c r="L1773" t="s">
        <v>140</v>
      </c>
      <c r="M1773" t="s">
        <v>82</v>
      </c>
      <c r="O1773" t="s">
        <v>600</v>
      </c>
      <c r="P1773" t="s">
        <v>550</v>
      </c>
      <c r="Q1773">
        <v>2021</v>
      </c>
      <c r="R1773" t="s">
        <v>609</v>
      </c>
      <c r="S1773" t="s">
        <v>610</v>
      </c>
      <c r="T1773" t="s">
        <v>577</v>
      </c>
      <c r="U1773" t="b">
        <v>0</v>
      </c>
      <c r="V1773" t="s">
        <v>611</v>
      </c>
      <c r="W1773" t="s">
        <v>571</v>
      </c>
      <c r="X1773" t="s">
        <v>572</v>
      </c>
      <c r="AC1773">
        <v>0</v>
      </c>
      <c r="AD1773" t="s">
        <v>565</v>
      </c>
      <c r="AE1773">
        <v>1079.9826149999999</v>
      </c>
      <c r="AF1773">
        <v>3.1350000000000003E-2</v>
      </c>
      <c r="AG1773" t="s">
        <v>608</v>
      </c>
      <c r="AH1773">
        <v>2.9306999999999998E-4</v>
      </c>
      <c r="AI1773">
        <v>34449.20622</v>
      </c>
      <c r="AJ1773" t="s">
        <v>561</v>
      </c>
      <c r="AK1773" t="s">
        <v>589</v>
      </c>
      <c r="AL1773" t="s">
        <v>603</v>
      </c>
      <c r="AM1773">
        <v>2021</v>
      </c>
      <c r="AN1773">
        <v>2019</v>
      </c>
      <c r="AO1773">
        <f>IF(AND(emissions[[#This Row],[Market-based]]=0,emissions[[#This Row],[Impact Type]]="CO2E"),emissions[[#This Row],[kgCO2e]],0)/1000</f>
        <v>1.0799826149999998</v>
      </c>
      <c r="AP1773">
        <f>IF(AND(emissions[[#This Row],[Market-based]]=1,OR(emissions[[#This Row],[Impact Type]]="CO2E",emissions[[#This Row],[Impact Type]]="CO2E MKT")),emissions[[#This Row],[kgCO2e]],0)/1000</f>
        <v>0</v>
      </c>
      <c r="AQ1773" t="str">
        <f>_xlfn.TEXTAFTER(emissions[[#This Row],[Reporting Unit]]," &gt; ",LEN(emissions[[#This Row],[Reporting Unit]])-LEN(SUBSTITUTE(emissions[[#This Row],[Reporting Unit]],"&gt;","")))</f>
        <v>Vantage_Warren</v>
      </c>
      <c r="AR1773" t="str">
        <f>_xlfn.XLOOKUP(emissions[[#This Row],[Reporting unit name]],hierarchy!$A:$A,hierarchy!$C:$C)</f>
        <v>Office</v>
      </c>
    </row>
    <row r="1774" spans="1:44" hidden="1" x14ac:dyDescent="0.25">
      <c r="A1774">
        <v>4991</v>
      </c>
      <c r="B1774" t="s">
        <v>267</v>
      </c>
      <c r="C1774" t="s">
        <v>501</v>
      </c>
      <c r="D1774" t="s">
        <v>599</v>
      </c>
      <c r="E1774" s="3">
        <v>44197</v>
      </c>
      <c r="F1774" s="3">
        <v>44561</v>
      </c>
      <c r="G1774" t="s">
        <v>135</v>
      </c>
      <c r="H1774" s="3">
        <v>44197</v>
      </c>
      <c r="I1774" s="3">
        <v>44561</v>
      </c>
      <c r="J1774" t="s">
        <v>135</v>
      </c>
      <c r="K1774">
        <v>117546000</v>
      </c>
      <c r="L1774" t="s">
        <v>140</v>
      </c>
      <c r="M1774" t="s">
        <v>82</v>
      </c>
      <c r="O1774" t="s">
        <v>600</v>
      </c>
      <c r="P1774" t="s">
        <v>550</v>
      </c>
      <c r="Q1774">
        <v>2021</v>
      </c>
      <c r="R1774" t="s">
        <v>609</v>
      </c>
      <c r="S1774" t="s">
        <v>610</v>
      </c>
      <c r="T1774" t="s">
        <v>577</v>
      </c>
      <c r="U1774" t="b">
        <v>0</v>
      </c>
      <c r="V1774" t="s">
        <v>611</v>
      </c>
      <c r="W1774" t="s">
        <v>571</v>
      </c>
      <c r="X1774" t="s">
        <v>572</v>
      </c>
      <c r="AC1774">
        <v>1</v>
      </c>
      <c r="AD1774" t="s">
        <v>565</v>
      </c>
      <c r="AE1774">
        <v>1079.9826149999999</v>
      </c>
      <c r="AF1774">
        <v>3.1350000000000003E-2</v>
      </c>
      <c r="AG1774" t="s">
        <v>608</v>
      </c>
      <c r="AH1774">
        <v>2.9306999999999998E-4</v>
      </c>
      <c r="AI1774">
        <v>34449.20622</v>
      </c>
      <c r="AJ1774" t="s">
        <v>561</v>
      </c>
      <c r="AK1774" t="s">
        <v>589</v>
      </c>
      <c r="AL1774" t="s">
        <v>603</v>
      </c>
      <c r="AM1774">
        <v>2021</v>
      </c>
      <c r="AN1774">
        <v>2019</v>
      </c>
      <c r="AO1774">
        <f>IF(AND(emissions[[#This Row],[Market-based]]=0,emissions[[#This Row],[Impact Type]]="CO2E"),emissions[[#This Row],[kgCO2e]],0)/1000</f>
        <v>0</v>
      </c>
      <c r="AP1774">
        <f>IF(AND(emissions[[#This Row],[Market-based]]=1,OR(emissions[[#This Row],[Impact Type]]="CO2E",emissions[[#This Row],[Impact Type]]="CO2E MKT")),emissions[[#This Row],[kgCO2e]],0)/1000</f>
        <v>1.0799826149999998</v>
      </c>
      <c r="AQ1774" t="str">
        <f>_xlfn.TEXTAFTER(emissions[[#This Row],[Reporting Unit]]," &gt; ",LEN(emissions[[#This Row],[Reporting Unit]])-LEN(SUBSTITUTE(emissions[[#This Row],[Reporting Unit]],"&gt;","")))</f>
        <v>Vantage_Warren</v>
      </c>
      <c r="AR1774" t="str">
        <f>_xlfn.XLOOKUP(emissions[[#This Row],[Reporting unit name]],hierarchy!$A:$A,hierarchy!$C:$C)</f>
        <v>Office</v>
      </c>
    </row>
    <row r="1775" spans="1:44" hidden="1" x14ac:dyDescent="0.25">
      <c r="A1775">
        <v>5025</v>
      </c>
      <c r="B1775" t="s">
        <v>267</v>
      </c>
      <c r="C1775" t="s">
        <v>501</v>
      </c>
      <c r="D1775" t="s">
        <v>599</v>
      </c>
      <c r="E1775" s="3">
        <v>44197</v>
      </c>
      <c r="F1775" s="3">
        <v>44561</v>
      </c>
      <c r="G1775" t="s">
        <v>141</v>
      </c>
      <c r="H1775" s="3">
        <v>44197</v>
      </c>
      <c r="I1775" s="3">
        <v>44561</v>
      </c>
      <c r="J1775" t="s">
        <v>142</v>
      </c>
      <c r="K1775">
        <v>0</v>
      </c>
      <c r="L1775" t="s">
        <v>143</v>
      </c>
      <c r="M1775" t="s">
        <v>82</v>
      </c>
      <c r="O1775" t="s">
        <v>600</v>
      </c>
      <c r="P1775" t="s">
        <v>550</v>
      </c>
      <c r="Q1775">
        <v>2021</v>
      </c>
      <c r="R1775" t="s">
        <v>612</v>
      </c>
      <c r="S1775" t="s">
        <v>613</v>
      </c>
      <c r="T1775" t="s">
        <v>553</v>
      </c>
      <c r="U1775" t="b">
        <v>0</v>
      </c>
      <c r="V1775" t="s">
        <v>614</v>
      </c>
      <c r="W1775" t="s">
        <v>587</v>
      </c>
      <c r="X1775" t="s">
        <v>556</v>
      </c>
      <c r="AC1775">
        <v>0</v>
      </c>
      <c r="AD1775" t="s">
        <v>558</v>
      </c>
      <c r="AE1775">
        <v>0</v>
      </c>
      <c r="AF1775">
        <v>2.5999999999999998E-4</v>
      </c>
      <c r="AG1775" t="s">
        <v>588</v>
      </c>
      <c r="AH1775">
        <v>1</v>
      </c>
      <c r="AI1775">
        <v>0</v>
      </c>
      <c r="AJ1775" t="s">
        <v>561</v>
      </c>
      <c r="AK1775" t="s">
        <v>589</v>
      </c>
      <c r="AL1775" t="s">
        <v>603</v>
      </c>
      <c r="AM1775">
        <v>2021</v>
      </c>
      <c r="AN1775">
        <v>2019</v>
      </c>
      <c r="AO1775">
        <f>IF(AND(emissions[[#This Row],[Market-based]]=0,emissions[[#This Row],[Impact Type]]="CO2E"),emissions[[#This Row],[kgCO2e]],0)/1000</f>
        <v>0</v>
      </c>
      <c r="AP1775">
        <f>IF(AND(emissions[[#This Row],[Market-based]]=1,OR(emissions[[#This Row],[Impact Type]]="CO2E",emissions[[#This Row],[Impact Type]]="CO2E MKT")),emissions[[#This Row],[kgCO2e]],0)/1000</f>
        <v>0</v>
      </c>
      <c r="AQ1775" t="str">
        <f>_xlfn.TEXTAFTER(emissions[[#This Row],[Reporting Unit]]," &gt; ",LEN(emissions[[#This Row],[Reporting Unit]])-LEN(SUBSTITUTE(emissions[[#This Row],[Reporting Unit]],"&gt;","")))</f>
        <v>Vantage_Warren</v>
      </c>
      <c r="AR1775" t="str">
        <f>_xlfn.XLOOKUP(emissions[[#This Row],[Reporting unit name]],hierarchy!$A:$A,hierarchy!$C:$C)</f>
        <v>Office</v>
      </c>
    </row>
    <row r="1776" spans="1:44" hidden="1" x14ac:dyDescent="0.25">
      <c r="A1776">
        <v>5025</v>
      </c>
      <c r="B1776" t="s">
        <v>267</v>
      </c>
      <c r="C1776" t="s">
        <v>501</v>
      </c>
      <c r="D1776" t="s">
        <v>599</v>
      </c>
      <c r="E1776" s="3">
        <v>44197</v>
      </c>
      <c r="F1776" s="3">
        <v>44561</v>
      </c>
      <c r="G1776" t="s">
        <v>141</v>
      </c>
      <c r="H1776" s="3">
        <v>44197</v>
      </c>
      <c r="I1776" s="3">
        <v>44561</v>
      </c>
      <c r="J1776" t="s">
        <v>142</v>
      </c>
      <c r="K1776">
        <v>0</v>
      </c>
      <c r="L1776" t="s">
        <v>143</v>
      </c>
      <c r="M1776" t="s">
        <v>82</v>
      </c>
      <c r="O1776" t="s">
        <v>600</v>
      </c>
      <c r="P1776" t="s">
        <v>550</v>
      </c>
      <c r="Q1776">
        <v>2021</v>
      </c>
      <c r="R1776" t="s">
        <v>612</v>
      </c>
      <c r="S1776" t="s">
        <v>613</v>
      </c>
      <c r="T1776" t="s">
        <v>553</v>
      </c>
      <c r="U1776" t="b">
        <v>0</v>
      </c>
      <c r="V1776" t="s">
        <v>614</v>
      </c>
      <c r="W1776" t="s">
        <v>587</v>
      </c>
      <c r="X1776" t="s">
        <v>556</v>
      </c>
      <c r="AC1776">
        <v>0</v>
      </c>
      <c r="AD1776" t="s">
        <v>564</v>
      </c>
      <c r="AE1776">
        <v>0</v>
      </c>
      <c r="AF1776">
        <v>2.6680700000000002</v>
      </c>
      <c r="AG1776" t="s">
        <v>588</v>
      </c>
      <c r="AH1776">
        <v>1</v>
      </c>
      <c r="AI1776">
        <v>0</v>
      </c>
      <c r="AJ1776" t="s">
        <v>561</v>
      </c>
      <c r="AK1776" t="s">
        <v>589</v>
      </c>
      <c r="AL1776" t="s">
        <v>603</v>
      </c>
      <c r="AM1776">
        <v>2021</v>
      </c>
      <c r="AN1776">
        <v>2019</v>
      </c>
      <c r="AO1776">
        <f>IF(AND(emissions[[#This Row],[Market-based]]=0,emissions[[#This Row],[Impact Type]]="CO2E"),emissions[[#This Row],[kgCO2e]],0)/1000</f>
        <v>0</v>
      </c>
      <c r="AP1776">
        <f>IF(AND(emissions[[#This Row],[Market-based]]=1,OR(emissions[[#This Row],[Impact Type]]="CO2E",emissions[[#This Row],[Impact Type]]="CO2E MKT")),emissions[[#This Row],[kgCO2e]],0)/1000</f>
        <v>0</v>
      </c>
      <c r="AQ1776" t="str">
        <f>_xlfn.TEXTAFTER(emissions[[#This Row],[Reporting Unit]]," &gt; ",LEN(emissions[[#This Row],[Reporting Unit]])-LEN(SUBSTITUTE(emissions[[#This Row],[Reporting Unit]],"&gt;","")))</f>
        <v>Vantage_Warren</v>
      </c>
      <c r="AR1776" t="str">
        <f>_xlfn.XLOOKUP(emissions[[#This Row],[Reporting unit name]],hierarchy!$A:$A,hierarchy!$C:$C)</f>
        <v>Office</v>
      </c>
    </row>
    <row r="1777" spans="1:44" hidden="1" x14ac:dyDescent="0.25">
      <c r="A1777">
        <v>5025</v>
      </c>
      <c r="B1777" t="s">
        <v>267</v>
      </c>
      <c r="C1777" t="s">
        <v>501</v>
      </c>
      <c r="D1777" t="s">
        <v>599</v>
      </c>
      <c r="E1777" s="3">
        <v>44197</v>
      </c>
      <c r="F1777" s="3">
        <v>44561</v>
      </c>
      <c r="G1777" t="s">
        <v>141</v>
      </c>
      <c r="H1777" s="3">
        <v>44197</v>
      </c>
      <c r="I1777" s="3">
        <v>44561</v>
      </c>
      <c r="J1777" t="s">
        <v>142</v>
      </c>
      <c r="K1777">
        <v>0</v>
      </c>
      <c r="L1777" t="s">
        <v>143</v>
      </c>
      <c r="M1777" t="s">
        <v>82</v>
      </c>
      <c r="O1777" t="s">
        <v>600</v>
      </c>
      <c r="P1777" t="s">
        <v>550</v>
      </c>
      <c r="Q1777">
        <v>2021</v>
      </c>
      <c r="R1777" t="s">
        <v>612</v>
      </c>
      <c r="S1777" t="s">
        <v>613</v>
      </c>
      <c r="T1777" t="s">
        <v>553</v>
      </c>
      <c r="U1777" t="b">
        <v>0</v>
      </c>
      <c r="V1777" t="s">
        <v>614</v>
      </c>
      <c r="W1777" t="s">
        <v>587</v>
      </c>
      <c r="X1777" t="s">
        <v>556</v>
      </c>
      <c r="AC1777">
        <v>0</v>
      </c>
      <c r="AD1777" t="s">
        <v>565</v>
      </c>
      <c r="AE1777">
        <v>0</v>
      </c>
      <c r="AF1777">
        <v>2.70553</v>
      </c>
      <c r="AG1777" t="s">
        <v>588</v>
      </c>
      <c r="AH1777">
        <v>1</v>
      </c>
      <c r="AI1777">
        <v>0</v>
      </c>
      <c r="AJ1777" t="s">
        <v>561</v>
      </c>
      <c r="AK1777" t="s">
        <v>589</v>
      </c>
      <c r="AL1777" t="s">
        <v>603</v>
      </c>
      <c r="AM1777">
        <v>2021</v>
      </c>
      <c r="AN1777">
        <v>2019</v>
      </c>
      <c r="AO1777">
        <f>IF(AND(emissions[[#This Row],[Market-based]]=0,emissions[[#This Row],[Impact Type]]="CO2E"),emissions[[#This Row],[kgCO2e]],0)/1000</f>
        <v>0</v>
      </c>
      <c r="AP1777">
        <f>IF(AND(emissions[[#This Row],[Market-based]]=1,OR(emissions[[#This Row],[Impact Type]]="CO2E",emissions[[#This Row],[Impact Type]]="CO2E MKT")),emissions[[#This Row],[kgCO2e]],0)/1000</f>
        <v>0</v>
      </c>
      <c r="AQ1777" t="str">
        <f>_xlfn.TEXTAFTER(emissions[[#This Row],[Reporting Unit]]," &gt; ",LEN(emissions[[#This Row],[Reporting Unit]])-LEN(SUBSTITUTE(emissions[[#This Row],[Reporting Unit]],"&gt;","")))</f>
        <v>Vantage_Warren</v>
      </c>
      <c r="AR1777" t="str">
        <f>_xlfn.XLOOKUP(emissions[[#This Row],[Reporting unit name]],hierarchy!$A:$A,hierarchy!$C:$C)</f>
        <v>Office</v>
      </c>
    </row>
    <row r="1778" spans="1:44" hidden="1" x14ac:dyDescent="0.25">
      <c r="A1778">
        <v>5025</v>
      </c>
      <c r="B1778" t="s">
        <v>267</v>
      </c>
      <c r="C1778" t="s">
        <v>501</v>
      </c>
      <c r="D1778" t="s">
        <v>599</v>
      </c>
      <c r="E1778" s="3">
        <v>44197</v>
      </c>
      <c r="F1778" s="3">
        <v>44561</v>
      </c>
      <c r="G1778" t="s">
        <v>141</v>
      </c>
      <c r="H1778" s="3">
        <v>44197</v>
      </c>
      <c r="I1778" s="3">
        <v>44561</v>
      </c>
      <c r="J1778" t="s">
        <v>142</v>
      </c>
      <c r="K1778">
        <v>0</v>
      </c>
      <c r="L1778" t="s">
        <v>143</v>
      </c>
      <c r="M1778" t="s">
        <v>82</v>
      </c>
      <c r="O1778" t="s">
        <v>600</v>
      </c>
      <c r="P1778" t="s">
        <v>550</v>
      </c>
      <c r="Q1778">
        <v>2021</v>
      </c>
      <c r="R1778" t="s">
        <v>612</v>
      </c>
      <c r="S1778" t="s">
        <v>613</v>
      </c>
      <c r="T1778" t="s">
        <v>553</v>
      </c>
      <c r="U1778" t="b">
        <v>0</v>
      </c>
      <c r="V1778" t="s">
        <v>614</v>
      </c>
      <c r="W1778" t="s">
        <v>587</v>
      </c>
      <c r="X1778" t="s">
        <v>556</v>
      </c>
      <c r="AC1778">
        <v>0</v>
      </c>
      <c r="AD1778" t="s">
        <v>566</v>
      </c>
      <c r="AE1778">
        <v>0</v>
      </c>
      <c r="AF1778">
        <v>3.7199999999999997E-2</v>
      </c>
      <c r="AG1778" t="s">
        <v>588</v>
      </c>
      <c r="AH1778">
        <v>1</v>
      </c>
      <c r="AI1778">
        <v>0</v>
      </c>
      <c r="AJ1778" t="s">
        <v>561</v>
      </c>
      <c r="AK1778" t="s">
        <v>589</v>
      </c>
      <c r="AL1778" t="s">
        <v>603</v>
      </c>
      <c r="AM1778">
        <v>2021</v>
      </c>
      <c r="AN1778">
        <v>2019</v>
      </c>
      <c r="AO1778">
        <f>IF(AND(emissions[[#This Row],[Market-based]]=0,emissions[[#This Row],[Impact Type]]="CO2E"),emissions[[#This Row],[kgCO2e]],0)/1000</f>
        <v>0</v>
      </c>
      <c r="AP1778">
        <f>IF(AND(emissions[[#This Row],[Market-based]]=1,OR(emissions[[#This Row],[Impact Type]]="CO2E",emissions[[#This Row],[Impact Type]]="CO2E MKT")),emissions[[#This Row],[kgCO2e]],0)/1000</f>
        <v>0</v>
      </c>
      <c r="AQ1778" t="str">
        <f>_xlfn.TEXTAFTER(emissions[[#This Row],[Reporting Unit]]," &gt; ",LEN(emissions[[#This Row],[Reporting Unit]])-LEN(SUBSTITUTE(emissions[[#This Row],[Reporting Unit]],"&gt;","")))</f>
        <v>Vantage_Warren</v>
      </c>
      <c r="AR1778" t="str">
        <f>_xlfn.XLOOKUP(emissions[[#This Row],[Reporting unit name]],hierarchy!$A:$A,hierarchy!$C:$C)</f>
        <v>Office</v>
      </c>
    </row>
    <row r="1779" spans="1:44" hidden="1" x14ac:dyDescent="0.25">
      <c r="A1779">
        <v>5025</v>
      </c>
      <c r="B1779" t="s">
        <v>267</v>
      </c>
      <c r="C1779" t="s">
        <v>501</v>
      </c>
      <c r="D1779" t="s">
        <v>599</v>
      </c>
      <c r="E1779" s="3">
        <v>44197</v>
      </c>
      <c r="F1779" s="3">
        <v>44561</v>
      </c>
      <c r="G1779" t="s">
        <v>141</v>
      </c>
      <c r="H1779" s="3">
        <v>44197</v>
      </c>
      <c r="I1779" s="3">
        <v>44561</v>
      </c>
      <c r="J1779" t="s">
        <v>142</v>
      </c>
      <c r="K1779">
        <v>0</v>
      </c>
      <c r="L1779" t="s">
        <v>143</v>
      </c>
      <c r="M1779" t="s">
        <v>82</v>
      </c>
      <c r="O1779" t="s">
        <v>600</v>
      </c>
      <c r="P1779" t="s">
        <v>550</v>
      </c>
      <c r="Q1779">
        <v>2021</v>
      </c>
      <c r="R1779" t="s">
        <v>612</v>
      </c>
      <c r="S1779" t="s">
        <v>613</v>
      </c>
      <c r="T1779" t="s">
        <v>553</v>
      </c>
      <c r="U1779" t="b">
        <v>0</v>
      </c>
      <c r="V1779" t="s">
        <v>614</v>
      </c>
      <c r="W1779" t="s">
        <v>587</v>
      </c>
      <c r="X1779" t="s">
        <v>556</v>
      </c>
      <c r="AC1779">
        <v>1</v>
      </c>
      <c r="AD1779" t="s">
        <v>558</v>
      </c>
      <c r="AE1779">
        <v>0</v>
      </c>
      <c r="AF1779">
        <v>2.5999999999999998E-4</v>
      </c>
      <c r="AG1779" t="s">
        <v>588</v>
      </c>
      <c r="AH1779">
        <v>1</v>
      </c>
      <c r="AI1779">
        <v>0</v>
      </c>
      <c r="AJ1779" t="s">
        <v>561</v>
      </c>
      <c r="AK1779" t="s">
        <v>589</v>
      </c>
      <c r="AL1779" t="s">
        <v>603</v>
      </c>
      <c r="AM1779">
        <v>2021</v>
      </c>
      <c r="AN1779">
        <v>2019</v>
      </c>
      <c r="AO1779">
        <f>IF(AND(emissions[[#This Row],[Market-based]]=0,emissions[[#This Row],[Impact Type]]="CO2E"),emissions[[#This Row],[kgCO2e]],0)/1000</f>
        <v>0</v>
      </c>
      <c r="AP1779">
        <f>IF(AND(emissions[[#This Row],[Market-based]]=1,OR(emissions[[#This Row],[Impact Type]]="CO2E",emissions[[#This Row],[Impact Type]]="CO2E MKT")),emissions[[#This Row],[kgCO2e]],0)/1000</f>
        <v>0</v>
      </c>
      <c r="AQ1779" t="str">
        <f>_xlfn.TEXTAFTER(emissions[[#This Row],[Reporting Unit]]," &gt; ",LEN(emissions[[#This Row],[Reporting Unit]])-LEN(SUBSTITUTE(emissions[[#This Row],[Reporting Unit]],"&gt;","")))</f>
        <v>Vantage_Warren</v>
      </c>
      <c r="AR1779" t="str">
        <f>_xlfn.XLOOKUP(emissions[[#This Row],[Reporting unit name]],hierarchy!$A:$A,hierarchy!$C:$C)</f>
        <v>Office</v>
      </c>
    </row>
    <row r="1780" spans="1:44" hidden="1" x14ac:dyDescent="0.25">
      <c r="A1780">
        <v>5025</v>
      </c>
      <c r="B1780" t="s">
        <v>267</v>
      </c>
      <c r="C1780" t="s">
        <v>501</v>
      </c>
      <c r="D1780" t="s">
        <v>599</v>
      </c>
      <c r="E1780" s="3">
        <v>44197</v>
      </c>
      <c r="F1780" s="3">
        <v>44561</v>
      </c>
      <c r="G1780" t="s">
        <v>141</v>
      </c>
      <c r="H1780" s="3">
        <v>44197</v>
      </c>
      <c r="I1780" s="3">
        <v>44561</v>
      </c>
      <c r="J1780" t="s">
        <v>142</v>
      </c>
      <c r="K1780">
        <v>0</v>
      </c>
      <c r="L1780" t="s">
        <v>143</v>
      </c>
      <c r="M1780" t="s">
        <v>82</v>
      </c>
      <c r="O1780" t="s">
        <v>600</v>
      </c>
      <c r="P1780" t="s">
        <v>550</v>
      </c>
      <c r="Q1780">
        <v>2021</v>
      </c>
      <c r="R1780" t="s">
        <v>612</v>
      </c>
      <c r="S1780" t="s">
        <v>613</v>
      </c>
      <c r="T1780" t="s">
        <v>553</v>
      </c>
      <c r="U1780" t="b">
        <v>0</v>
      </c>
      <c r="V1780" t="s">
        <v>614</v>
      </c>
      <c r="W1780" t="s">
        <v>587</v>
      </c>
      <c r="X1780" t="s">
        <v>556</v>
      </c>
      <c r="AC1780">
        <v>1</v>
      </c>
      <c r="AD1780" t="s">
        <v>564</v>
      </c>
      <c r="AE1780">
        <v>0</v>
      </c>
      <c r="AF1780">
        <v>2.6680700000000002</v>
      </c>
      <c r="AG1780" t="s">
        <v>588</v>
      </c>
      <c r="AH1780">
        <v>1</v>
      </c>
      <c r="AI1780">
        <v>0</v>
      </c>
      <c r="AJ1780" t="s">
        <v>561</v>
      </c>
      <c r="AK1780" t="s">
        <v>589</v>
      </c>
      <c r="AL1780" t="s">
        <v>603</v>
      </c>
      <c r="AM1780">
        <v>2021</v>
      </c>
      <c r="AN1780">
        <v>2019</v>
      </c>
      <c r="AO1780">
        <f>IF(AND(emissions[[#This Row],[Market-based]]=0,emissions[[#This Row],[Impact Type]]="CO2E"),emissions[[#This Row],[kgCO2e]],0)/1000</f>
        <v>0</v>
      </c>
      <c r="AP1780">
        <f>IF(AND(emissions[[#This Row],[Market-based]]=1,OR(emissions[[#This Row],[Impact Type]]="CO2E",emissions[[#This Row],[Impact Type]]="CO2E MKT")),emissions[[#This Row],[kgCO2e]],0)/1000</f>
        <v>0</v>
      </c>
      <c r="AQ1780" t="str">
        <f>_xlfn.TEXTAFTER(emissions[[#This Row],[Reporting Unit]]," &gt; ",LEN(emissions[[#This Row],[Reporting Unit]])-LEN(SUBSTITUTE(emissions[[#This Row],[Reporting Unit]],"&gt;","")))</f>
        <v>Vantage_Warren</v>
      </c>
      <c r="AR1780" t="str">
        <f>_xlfn.XLOOKUP(emissions[[#This Row],[Reporting unit name]],hierarchy!$A:$A,hierarchy!$C:$C)</f>
        <v>Office</v>
      </c>
    </row>
    <row r="1781" spans="1:44" hidden="1" x14ac:dyDescent="0.25">
      <c r="A1781">
        <v>5025</v>
      </c>
      <c r="B1781" t="s">
        <v>267</v>
      </c>
      <c r="C1781" t="s">
        <v>501</v>
      </c>
      <c r="D1781" t="s">
        <v>599</v>
      </c>
      <c r="E1781" s="3">
        <v>44197</v>
      </c>
      <c r="F1781" s="3">
        <v>44561</v>
      </c>
      <c r="G1781" t="s">
        <v>141</v>
      </c>
      <c r="H1781" s="3">
        <v>44197</v>
      </c>
      <c r="I1781" s="3">
        <v>44561</v>
      </c>
      <c r="J1781" t="s">
        <v>142</v>
      </c>
      <c r="K1781">
        <v>0</v>
      </c>
      <c r="L1781" t="s">
        <v>143</v>
      </c>
      <c r="M1781" t="s">
        <v>82</v>
      </c>
      <c r="O1781" t="s">
        <v>600</v>
      </c>
      <c r="P1781" t="s">
        <v>550</v>
      </c>
      <c r="Q1781">
        <v>2021</v>
      </c>
      <c r="R1781" t="s">
        <v>612</v>
      </c>
      <c r="S1781" t="s">
        <v>613</v>
      </c>
      <c r="T1781" t="s">
        <v>553</v>
      </c>
      <c r="U1781" t="b">
        <v>0</v>
      </c>
      <c r="V1781" t="s">
        <v>614</v>
      </c>
      <c r="W1781" t="s">
        <v>587</v>
      </c>
      <c r="X1781" t="s">
        <v>556</v>
      </c>
      <c r="AC1781">
        <v>1</v>
      </c>
      <c r="AD1781" t="s">
        <v>565</v>
      </c>
      <c r="AE1781">
        <v>0</v>
      </c>
      <c r="AF1781">
        <v>2.70553</v>
      </c>
      <c r="AG1781" t="s">
        <v>588</v>
      </c>
      <c r="AH1781">
        <v>1</v>
      </c>
      <c r="AI1781">
        <v>0</v>
      </c>
      <c r="AJ1781" t="s">
        <v>561</v>
      </c>
      <c r="AK1781" t="s">
        <v>589</v>
      </c>
      <c r="AL1781" t="s">
        <v>603</v>
      </c>
      <c r="AM1781">
        <v>2021</v>
      </c>
      <c r="AN1781">
        <v>2019</v>
      </c>
      <c r="AO1781">
        <f>IF(AND(emissions[[#This Row],[Market-based]]=0,emissions[[#This Row],[Impact Type]]="CO2E"),emissions[[#This Row],[kgCO2e]],0)/1000</f>
        <v>0</v>
      </c>
      <c r="AP1781">
        <f>IF(AND(emissions[[#This Row],[Market-based]]=1,OR(emissions[[#This Row],[Impact Type]]="CO2E",emissions[[#This Row],[Impact Type]]="CO2E MKT")),emissions[[#This Row],[kgCO2e]],0)/1000</f>
        <v>0</v>
      </c>
      <c r="AQ1781" t="str">
        <f>_xlfn.TEXTAFTER(emissions[[#This Row],[Reporting Unit]]," &gt; ",LEN(emissions[[#This Row],[Reporting Unit]])-LEN(SUBSTITUTE(emissions[[#This Row],[Reporting Unit]],"&gt;","")))</f>
        <v>Vantage_Warren</v>
      </c>
      <c r="AR1781" t="str">
        <f>_xlfn.XLOOKUP(emissions[[#This Row],[Reporting unit name]],hierarchy!$A:$A,hierarchy!$C:$C)</f>
        <v>Office</v>
      </c>
    </row>
    <row r="1782" spans="1:44" hidden="1" x14ac:dyDescent="0.25">
      <c r="A1782">
        <v>5025</v>
      </c>
      <c r="B1782" t="s">
        <v>267</v>
      </c>
      <c r="C1782" t="s">
        <v>501</v>
      </c>
      <c r="D1782" t="s">
        <v>599</v>
      </c>
      <c r="E1782" s="3">
        <v>44197</v>
      </c>
      <c r="F1782" s="3">
        <v>44561</v>
      </c>
      <c r="G1782" t="s">
        <v>141</v>
      </c>
      <c r="H1782" s="3">
        <v>44197</v>
      </c>
      <c r="I1782" s="3">
        <v>44561</v>
      </c>
      <c r="J1782" t="s">
        <v>142</v>
      </c>
      <c r="K1782">
        <v>0</v>
      </c>
      <c r="L1782" t="s">
        <v>143</v>
      </c>
      <c r="M1782" t="s">
        <v>82</v>
      </c>
      <c r="O1782" t="s">
        <v>600</v>
      </c>
      <c r="P1782" t="s">
        <v>550</v>
      </c>
      <c r="Q1782">
        <v>2021</v>
      </c>
      <c r="R1782" t="s">
        <v>612</v>
      </c>
      <c r="S1782" t="s">
        <v>613</v>
      </c>
      <c r="T1782" t="s">
        <v>553</v>
      </c>
      <c r="U1782" t="b">
        <v>0</v>
      </c>
      <c r="V1782" t="s">
        <v>614</v>
      </c>
      <c r="W1782" t="s">
        <v>587</v>
      </c>
      <c r="X1782" t="s">
        <v>556</v>
      </c>
      <c r="AC1782">
        <v>1</v>
      </c>
      <c r="AD1782" t="s">
        <v>566</v>
      </c>
      <c r="AE1782">
        <v>0</v>
      </c>
      <c r="AF1782">
        <v>3.7199999999999997E-2</v>
      </c>
      <c r="AG1782" t="s">
        <v>588</v>
      </c>
      <c r="AH1782">
        <v>1</v>
      </c>
      <c r="AI1782">
        <v>0</v>
      </c>
      <c r="AJ1782" t="s">
        <v>561</v>
      </c>
      <c r="AK1782" t="s">
        <v>589</v>
      </c>
      <c r="AL1782" t="s">
        <v>603</v>
      </c>
      <c r="AM1782">
        <v>2021</v>
      </c>
      <c r="AN1782">
        <v>2019</v>
      </c>
      <c r="AO1782">
        <f>IF(AND(emissions[[#This Row],[Market-based]]=0,emissions[[#This Row],[Impact Type]]="CO2E"),emissions[[#This Row],[kgCO2e]],0)/1000</f>
        <v>0</v>
      </c>
      <c r="AP1782">
        <f>IF(AND(emissions[[#This Row],[Market-based]]=1,OR(emissions[[#This Row],[Impact Type]]="CO2E",emissions[[#This Row],[Impact Type]]="CO2E MKT")),emissions[[#This Row],[kgCO2e]],0)/1000</f>
        <v>0</v>
      </c>
      <c r="AQ1782" t="str">
        <f>_xlfn.TEXTAFTER(emissions[[#This Row],[Reporting Unit]]," &gt; ",LEN(emissions[[#This Row],[Reporting Unit]])-LEN(SUBSTITUTE(emissions[[#This Row],[Reporting Unit]],"&gt;","")))</f>
        <v>Vantage_Warren</v>
      </c>
      <c r="AR1782" t="str">
        <f>_xlfn.XLOOKUP(emissions[[#This Row],[Reporting unit name]],hierarchy!$A:$A,hierarchy!$C:$C)</f>
        <v>Office</v>
      </c>
    </row>
    <row r="1783" spans="1:44" hidden="1" x14ac:dyDescent="0.25">
      <c r="A1783">
        <v>5025</v>
      </c>
      <c r="B1783" t="s">
        <v>267</v>
      </c>
      <c r="C1783" t="s">
        <v>501</v>
      </c>
      <c r="D1783" t="s">
        <v>599</v>
      </c>
      <c r="E1783" s="3">
        <v>44197</v>
      </c>
      <c r="F1783" s="3">
        <v>44561</v>
      </c>
      <c r="G1783" t="s">
        <v>141</v>
      </c>
      <c r="H1783" s="3">
        <v>44197</v>
      </c>
      <c r="I1783" s="3">
        <v>44561</v>
      </c>
      <c r="J1783" t="s">
        <v>142</v>
      </c>
      <c r="K1783">
        <v>0</v>
      </c>
      <c r="L1783" t="s">
        <v>143</v>
      </c>
      <c r="M1783" t="s">
        <v>82</v>
      </c>
      <c r="O1783" t="s">
        <v>600</v>
      </c>
      <c r="P1783" t="s">
        <v>550</v>
      </c>
      <c r="Q1783">
        <v>2021</v>
      </c>
      <c r="R1783" t="s">
        <v>615</v>
      </c>
      <c r="S1783" t="s">
        <v>616</v>
      </c>
      <c r="T1783" t="s">
        <v>577</v>
      </c>
      <c r="U1783" t="b">
        <v>0</v>
      </c>
      <c r="V1783" t="s">
        <v>617</v>
      </c>
      <c r="W1783" t="s">
        <v>571</v>
      </c>
      <c r="X1783" t="s">
        <v>572</v>
      </c>
      <c r="AC1783">
        <v>0</v>
      </c>
      <c r="AD1783" t="s">
        <v>565</v>
      </c>
      <c r="AE1783">
        <v>0</v>
      </c>
      <c r="AF1783">
        <v>0.62873999999999997</v>
      </c>
      <c r="AG1783" t="s">
        <v>588</v>
      </c>
      <c r="AH1783">
        <v>1</v>
      </c>
      <c r="AI1783">
        <v>0</v>
      </c>
      <c r="AJ1783" t="s">
        <v>561</v>
      </c>
      <c r="AK1783" t="s">
        <v>589</v>
      </c>
      <c r="AL1783" t="s">
        <v>603</v>
      </c>
      <c r="AM1783">
        <v>2021</v>
      </c>
      <c r="AN1783">
        <v>2019</v>
      </c>
      <c r="AO1783">
        <f>IF(AND(emissions[[#This Row],[Market-based]]=0,emissions[[#This Row],[Impact Type]]="CO2E"),emissions[[#This Row],[kgCO2e]],0)/1000</f>
        <v>0</v>
      </c>
      <c r="AP1783">
        <f>IF(AND(emissions[[#This Row],[Market-based]]=1,OR(emissions[[#This Row],[Impact Type]]="CO2E",emissions[[#This Row],[Impact Type]]="CO2E MKT")),emissions[[#This Row],[kgCO2e]],0)/1000</f>
        <v>0</v>
      </c>
      <c r="AQ1783" t="str">
        <f>_xlfn.TEXTAFTER(emissions[[#This Row],[Reporting Unit]]," &gt; ",LEN(emissions[[#This Row],[Reporting Unit]])-LEN(SUBSTITUTE(emissions[[#This Row],[Reporting Unit]],"&gt;","")))</f>
        <v>Vantage_Warren</v>
      </c>
      <c r="AR1783" t="str">
        <f>_xlfn.XLOOKUP(emissions[[#This Row],[Reporting unit name]],hierarchy!$A:$A,hierarchy!$C:$C)</f>
        <v>Office</v>
      </c>
    </row>
    <row r="1784" spans="1:44" hidden="1" x14ac:dyDescent="0.25">
      <c r="A1784">
        <v>5025</v>
      </c>
      <c r="B1784" t="s">
        <v>267</v>
      </c>
      <c r="C1784" t="s">
        <v>501</v>
      </c>
      <c r="D1784" t="s">
        <v>599</v>
      </c>
      <c r="E1784" s="3">
        <v>44197</v>
      </c>
      <c r="F1784" s="3">
        <v>44561</v>
      </c>
      <c r="G1784" t="s">
        <v>141</v>
      </c>
      <c r="H1784" s="3">
        <v>44197</v>
      </c>
      <c r="I1784" s="3">
        <v>44561</v>
      </c>
      <c r="J1784" t="s">
        <v>142</v>
      </c>
      <c r="K1784">
        <v>0</v>
      </c>
      <c r="L1784" t="s">
        <v>143</v>
      </c>
      <c r="M1784" t="s">
        <v>82</v>
      </c>
      <c r="O1784" t="s">
        <v>600</v>
      </c>
      <c r="P1784" t="s">
        <v>550</v>
      </c>
      <c r="Q1784">
        <v>2021</v>
      </c>
      <c r="R1784" t="s">
        <v>615</v>
      </c>
      <c r="S1784" t="s">
        <v>616</v>
      </c>
      <c r="T1784" t="s">
        <v>577</v>
      </c>
      <c r="U1784" t="b">
        <v>0</v>
      </c>
      <c r="V1784" t="s">
        <v>617</v>
      </c>
      <c r="W1784" t="s">
        <v>571</v>
      </c>
      <c r="X1784" t="s">
        <v>572</v>
      </c>
      <c r="AC1784">
        <v>1</v>
      </c>
      <c r="AD1784" t="s">
        <v>565</v>
      </c>
      <c r="AE1784">
        <v>0</v>
      </c>
      <c r="AF1784">
        <v>0.62873999999999997</v>
      </c>
      <c r="AG1784" t="s">
        <v>588</v>
      </c>
      <c r="AH1784">
        <v>1</v>
      </c>
      <c r="AI1784">
        <v>0</v>
      </c>
      <c r="AJ1784" t="s">
        <v>561</v>
      </c>
      <c r="AK1784" t="s">
        <v>589</v>
      </c>
      <c r="AL1784" t="s">
        <v>603</v>
      </c>
      <c r="AM1784">
        <v>2021</v>
      </c>
      <c r="AN1784">
        <v>2019</v>
      </c>
      <c r="AO1784">
        <f>IF(AND(emissions[[#This Row],[Market-based]]=0,emissions[[#This Row],[Impact Type]]="CO2E"),emissions[[#This Row],[kgCO2e]],0)/1000</f>
        <v>0</v>
      </c>
      <c r="AP1784">
        <f>IF(AND(emissions[[#This Row],[Market-based]]=1,OR(emissions[[#This Row],[Impact Type]]="CO2E",emissions[[#This Row],[Impact Type]]="CO2E MKT")),emissions[[#This Row],[kgCO2e]],0)/1000</f>
        <v>0</v>
      </c>
      <c r="AQ1784" t="str">
        <f>_xlfn.TEXTAFTER(emissions[[#This Row],[Reporting Unit]]," &gt; ",LEN(emissions[[#This Row],[Reporting Unit]])-LEN(SUBSTITUTE(emissions[[#This Row],[Reporting Unit]],"&gt;","")))</f>
        <v>Vantage_Warren</v>
      </c>
      <c r="AR1784" t="str">
        <f>_xlfn.XLOOKUP(emissions[[#This Row],[Reporting unit name]],hierarchy!$A:$A,hierarchy!$C:$C)</f>
        <v>Office</v>
      </c>
    </row>
    <row r="1785" spans="1:44" hidden="1" x14ac:dyDescent="0.25">
      <c r="A1785">
        <v>5051</v>
      </c>
      <c r="B1785" t="s">
        <v>267</v>
      </c>
      <c r="C1785" t="s">
        <v>501</v>
      </c>
      <c r="D1785" t="s">
        <v>599</v>
      </c>
      <c r="E1785" s="3">
        <v>44197</v>
      </c>
      <c r="F1785" s="3">
        <v>44561</v>
      </c>
      <c r="G1785" t="s">
        <v>116</v>
      </c>
      <c r="H1785" s="3">
        <v>44197</v>
      </c>
      <c r="I1785" s="3">
        <v>44561</v>
      </c>
      <c r="J1785" t="s">
        <v>272</v>
      </c>
      <c r="K1785">
        <v>3.9182000000000001</v>
      </c>
      <c r="L1785" t="s">
        <v>118</v>
      </c>
      <c r="M1785" t="s">
        <v>82</v>
      </c>
      <c r="O1785" t="s">
        <v>618</v>
      </c>
      <c r="P1785" t="s">
        <v>550</v>
      </c>
      <c r="Q1785">
        <v>2021</v>
      </c>
      <c r="R1785" t="s">
        <v>803</v>
      </c>
      <c r="S1785" t="s">
        <v>272</v>
      </c>
      <c r="T1785" t="s">
        <v>553</v>
      </c>
      <c r="U1785" t="b">
        <v>0</v>
      </c>
      <c r="V1785" t="s">
        <v>804</v>
      </c>
      <c r="W1785" t="s">
        <v>587</v>
      </c>
      <c r="X1785" t="s">
        <v>556</v>
      </c>
      <c r="AC1785">
        <v>0</v>
      </c>
      <c r="AD1785" t="s">
        <v>565</v>
      </c>
      <c r="AE1785">
        <v>7091.942</v>
      </c>
      <c r="AF1785">
        <v>1810</v>
      </c>
      <c r="AG1785" t="s">
        <v>622</v>
      </c>
      <c r="AH1785">
        <v>1</v>
      </c>
      <c r="AI1785">
        <v>3.9182000000000001</v>
      </c>
      <c r="AJ1785" t="s">
        <v>561</v>
      </c>
      <c r="AK1785" t="s">
        <v>623</v>
      </c>
      <c r="AL1785" t="s">
        <v>624</v>
      </c>
      <c r="AM1785">
        <v>2021</v>
      </c>
      <c r="AN1785">
        <v>2007</v>
      </c>
      <c r="AO1785">
        <f>IF(AND(emissions[[#This Row],[Market-based]]=0,emissions[[#This Row],[Impact Type]]="CO2E"),emissions[[#This Row],[kgCO2e]],0)/1000</f>
        <v>7.0919420000000004</v>
      </c>
      <c r="AP1785">
        <f>IF(AND(emissions[[#This Row],[Market-based]]=1,OR(emissions[[#This Row],[Impact Type]]="CO2E",emissions[[#This Row],[Impact Type]]="CO2E MKT")),emissions[[#This Row],[kgCO2e]],0)/1000</f>
        <v>0</v>
      </c>
      <c r="AQ1785" t="str">
        <f>_xlfn.TEXTAFTER(emissions[[#This Row],[Reporting Unit]]," &gt; ",LEN(emissions[[#This Row],[Reporting Unit]])-LEN(SUBSTITUTE(emissions[[#This Row],[Reporting Unit]],"&gt;","")))</f>
        <v>Vantage_Warren</v>
      </c>
      <c r="AR1785" t="str">
        <f>_xlfn.XLOOKUP(emissions[[#This Row],[Reporting unit name]],hierarchy!$A:$A,hierarchy!$C:$C)</f>
        <v>Office</v>
      </c>
    </row>
    <row r="1786" spans="1:44" hidden="1" x14ac:dyDescent="0.25">
      <c r="A1786">
        <v>5051</v>
      </c>
      <c r="B1786" t="s">
        <v>267</v>
      </c>
      <c r="C1786" t="s">
        <v>501</v>
      </c>
      <c r="D1786" t="s">
        <v>599</v>
      </c>
      <c r="E1786" s="3">
        <v>44197</v>
      </c>
      <c r="F1786" s="3">
        <v>44561</v>
      </c>
      <c r="G1786" t="s">
        <v>116</v>
      </c>
      <c r="H1786" s="3">
        <v>44197</v>
      </c>
      <c r="I1786" s="3">
        <v>44561</v>
      </c>
      <c r="J1786" t="s">
        <v>272</v>
      </c>
      <c r="K1786">
        <v>3.9182000000000001</v>
      </c>
      <c r="L1786" t="s">
        <v>118</v>
      </c>
      <c r="M1786" t="s">
        <v>82</v>
      </c>
      <c r="O1786" t="s">
        <v>618</v>
      </c>
      <c r="P1786" t="s">
        <v>550</v>
      </c>
      <c r="Q1786">
        <v>2021</v>
      </c>
      <c r="R1786" t="s">
        <v>803</v>
      </c>
      <c r="S1786" t="s">
        <v>272</v>
      </c>
      <c r="T1786" t="s">
        <v>553</v>
      </c>
      <c r="U1786" t="b">
        <v>0</v>
      </c>
      <c r="V1786" t="s">
        <v>804</v>
      </c>
      <c r="W1786" t="s">
        <v>587</v>
      </c>
      <c r="X1786" t="s">
        <v>556</v>
      </c>
      <c r="AC1786">
        <v>1</v>
      </c>
      <c r="AD1786" t="s">
        <v>565</v>
      </c>
      <c r="AE1786">
        <v>7091.942</v>
      </c>
      <c r="AF1786">
        <v>1810</v>
      </c>
      <c r="AG1786" t="s">
        <v>622</v>
      </c>
      <c r="AH1786">
        <v>1</v>
      </c>
      <c r="AI1786">
        <v>3.9182000000000001</v>
      </c>
      <c r="AJ1786" t="s">
        <v>561</v>
      </c>
      <c r="AK1786" t="s">
        <v>623</v>
      </c>
      <c r="AL1786" t="s">
        <v>624</v>
      </c>
      <c r="AM1786">
        <v>2021</v>
      </c>
      <c r="AN1786">
        <v>2007</v>
      </c>
      <c r="AO1786">
        <f>IF(AND(emissions[[#This Row],[Market-based]]=0,emissions[[#This Row],[Impact Type]]="CO2E"),emissions[[#This Row],[kgCO2e]],0)/1000</f>
        <v>0</v>
      </c>
      <c r="AP1786">
        <f>IF(AND(emissions[[#This Row],[Market-based]]=1,OR(emissions[[#This Row],[Impact Type]]="CO2E",emissions[[#This Row],[Impact Type]]="CO2E MKT")),emissions[[#This Row],[kgCO2e]],0)/1000</f>
        <v>7.0919420000000004</v>
      </c>
      <c r="AQ1786" t="str">
        <f>_xlfn.TEXTAFTER(emissions[[#This Row],[Reporting Unit]]," &gt; ",LEN(emissions[[#This Row],[Reporting Unit]])-LEN(SUBSTITUTE(emissions[[#This Row],[Reporting Unit]],"&gt;","")))</f>
        <v>Vantage_Warren</v>
      </c>
      <c r="AR1786" t="str">
        <f>_xlfn.XLOOKUP(emissions[[#This Row],[Reporting unit name]],hierarchy!$A:$A,hierarchy!$C:$C)</f>
        <v>Office</v>
      </c>
    </row>
    <row r="1787" spans="1:44" hidden="1" x14ac:dyDescent="0.25">
      <c r="A1787">
        <v>1676920</v>
      </c>
      <c r="B1787" t="s">
        <v>76</v>
      </c>
      <c r="C1787" t="s">
        <v>540</v>
      </c>
      <c r="D1787" t="s">
        <v>548</v>
      </c>
      <c r="E1787" s="3">
        <v>44562</v>
      </c>
      <c r="F1787" s="3">
        <v>44926</v>
      </c>
      <c r="G1787" t="s">
        <v>86</v>
      </c>
      <c r="H1787" s="3">
        <v>44562</v>
      </c>
      <c r="I1787" s="3">
        <v>44926</v>
      </c>
      <c r="J1787" t="s">
        <v>86</v>
      </c>
      <c r="K1787">
        <v>805776.03</v>
      </c>
      <c r="L1787" t="s">
        <v>81</v>
      </c>
      <c r="M1787" t="s">
        <v>82</v>
      </c>
      <c r="O1787" t="s">
        <v>971</v>
      </c>
      <c r="P1787" t="s">
        <v>972</v>
      </c>
      <c r="Q1787">
        <v>2022</v>
      </c>
      <c r="R1787" t="s">
        <v>807</v>
      </c>
      <c r="S1787" t="s">
        <v>428</v>
      </c>
      <c r="T1787" t="s">
        <v>553</v>
      </c>
      <c r="U1787" t="b">
        <v>0</v>
      </c>
      <c r="V1787" t="s">
        <v>808</v>
      </c>
      <c r="W1787" t="s">
        <v>571</v>
      </c>
      <c r="X1787" t="s">
        <v>973</v>
      </c>
      <c r="AC1787">
        <v>0</v>
      </c>
      <c r="AD1787" t="s">
        <v>565</v>
      </c>
      <c r="AE1787">
        <v>805776030</v>
      </c>
      <c r="AF1787">
        <v>1</v>
      </c>
      <c r="AG1787" t="s">
        <v>622</v>
      </c>
      <c r="AH1787">
        <v>1000</v>
      </c>
      <c r="AI1787">
        <v>805776030</v>
      </c>
      <c r="AJ1787" t="s">
        <v>561</v>
      </c>
      <c r="AK1787" t="s">
        <v>589</v>
      </c>
      <c r="AL1787" t="s">
        <v>603</v>
      </c>
      <c r="AM1787">
        <v>2022</v>
      </c>
      <c r="AN1787">
        <v>2019</v>
      </c>
      <c r="AO1787">
        <f>IF(AND(emissions[[#This Row],[Market-based]]=0,emissions[[#This Row],[Impact Type]]="CO2E"),emissions[[#This Row],[kgCO2e]],0)/1000</f>
        <v>805776.03</v>
      </c>
      <c r="AP1787">
        <f>IF(AND(emissions[[#This Row],[Market-based]]=1,OR(emissions[[#This Row],[Impact Type]]="CO2E",emissions[[#This Row],[Impact Type]]="CO2E MKT")),emissions[[#This Row],[kgCO2e]],0)/1000</f>
        <v>0</v>
      </c>
      <c r="AQ1787" t="str">
        <f>_xlfn.TEXTAFTER(emissions[[#This Row],[Reporting Unit]]," &gt; ",LEN(emissions[[#This Row],[Reporting Unit]])-LEN(SUBSTITUTE(emissions[[#This Row],[Reporting Unit]],"&gt;","")))</f>
        <v>Scope 3 Inventory</v>
      </c>
      <c r="AR1787" t="str">
        <f>_xlfn.XLOOKUP(emissions[[#This Row],[Reporting unit name]],hierarchy!$A:$A,hierarchy!$C:$C)</f>
        <v>Scope 3 Inventory</v>
      </c>
    </row>
    <row r="1788" spans="1:44" hidden="1" x14ac:dyDescent="0.25">
      <c r="A1788">
        <v>1676920</v>
      </c>
      <c r="B1788" t="s">
        <v>76</v>
      </c>
      <c r="C1788" t="s">
        <v>540</v>
      </c>
      <c r="D1788" t="s">
        <v>548</v>
      </c>
      <c r="E1788" s="3">
        <v>44562</v>
      </c>
      <c r="F1788" s="3">
        <v>44926</v>
      </c>
      <c r="G1788" t="s">
        <v>86</v>
      </c>
      <c r="H1788" s="3">
        <v>44562</v>
      </c>
      <c r="I1788" s="3">
        <v>44926</v>
      </c>
      <c r="J1788" t="s">
        <v>86</v>
      </c>
      <c r="K1788">
        <v>805776.03</v>
      </c>
      <c r="L1788" t="s">
        <v>81</v>
      </c>
      <c r="M1788" t="s">
        <v>82</v>
      </c>
      <c r="O1788" t="s">
        <v>971</v>
      </c>
      <c r="P1788" t="s">
        <v>972</v>
      </c>
      <c r="Q1788">
        <v>2022</v>
      </c>
      <c r="R1788" t="s">
        <v>807</v>
      </c>
      <c r="S1788" t="s">
        <v>428</v>
      </c>
      <c r="T1788" t="s">
        <v>553</v>
      </c>
      <c r="U1788" t="b">
        <v>0</v>
      </c>
      <c r="V1788" t="s">
        <v>808</v>
      </c>
      <c r="W1788" t="s">
        <v>571</v>
      </c>
      <c r="X1788" t="s">
        <v>973</v>
      </c>
      <c r="AC1788">
        <v>1</v>
      </c>
      <c r="AD1788" t="s">
        <v>565</v>
      </c>
      <c r="AE1788">
        <v>805776030</v>
      </c>
      <c r="AF1788">
        <v>1</v>
      </c>
      <c r="AG1788" t="s">
        <v>622</v>
      </c>
      <c r="AH1788">
        <v>1000</v>
      </c>
      <c r="AI1788">
        <v>805776030</v>
      </c>
      <c r="AJ1788" t="s">
        <v>561</v>
      </c>
      <c r="AK1788" t="s">
        <v>589</v>
      </c>
      <c r="AL1788" t="s">
        <v>603</v>
      </c>
      <c r="AM1788">
        <v>2022</v>
      </c>
      <c r="AN1788">
        <v>2019</v>
      </c>
      <c r="AO1788">
        <f>IF(AND(emissions[[#This Row],[Market-based]]=0,emissions[[#This Row],[Impact Type]]="CO2E"),emissions[[#This Row],[kgCO2e]],0)/1000</f>
        <v>0</v>
      </c>
      <c r="AP1788">
        <f>IF(AND(emissions[[#This Row],[Market-based]]=1,OR(emissions[[#This Row],[Impact Type]]="CO2E",emissions[[#This Row],[Impact Type]]="CO2E MKT")),emissions[[#This Row],[kgCO2e]],0)/1000</f>
        <v>805776.03</v>
      </c>
      <c r="AQ1788" t="str">
        <f>_xlfn.TEXTAFTER(emissions[[#This Row],[Reporting Unit]]," &gt; ",LEN(emissions[[#This Row],[Reporting Unit]])-LEN(SUBSTITUTE(emissions[[#This Row],[Reporting Unit]],"&gt;","")))</f>
        <v>Scope 3 Inventory</v>
      </c>
      <c r="AR1788" t="str">
        <f>_xlfn.XLOOKUP(emissions[[#This Row],[Reporting unit name]],hierarchy!$A:$A,hierarchy!$C:$C)</f>
        <v>Scope 3 Inventory</v>
      </c>
    </row>
    <row r="1789" spans="1:44" hidden="1" x14ac:dyDescent="0.25">
      <c r="A1789">
        <v>1676924</v>
      </c>
      <c r="B1789" t="s">
        <v>76</v>
      </c>
      <c r="C1789" t="s">
        <v>540</v>
      </c>
      <c r="D1789" t="s">
        <v>548</v>
      </c>
      <c r="E1789" s="3">
        <v>44562</v>
      </c>
      <c r="F1789" s="3">
        <v>44926</v>
      </c>
      <c r="G1789" t="s">
        <v>90</v>
      </c>
      <c r="H1789" s="3">
        <v>44562</v>
      </c>
      <c r="I1789" s="3">
        <v>44926</v>
      </c>
      <c r="J1789" t="s">
        <v>90</v>
      </c>
      <c r="K1789">
        <v>2257.37</v>
      </c>
      <c r="L1789" t="s">
        <v>81</v>
      </c>
      <c r="M1789" t="s">
        <v>82</v>
      </c>
      <c r="O1789" t="s">
        <v>974</v>
      </c>
      <c r="P1789" t="s">
        <v>972</v>
      </c>
      <c r="Q1789">
        <v>2022</v>
      </c>
      <c r="R1789" t="s">
        <v>807</v>
      </c>
      <c r="S1789" t="s">
        <v>428</v>
      </c>
      <c r="T1789" t="s">
        <v>553</v>
      </c>
      <c r="U1789" t="b">
        <v>0</v>
      </c>
      <c r="V1789" t="s">
        <v>808</v>
      </c>
      <c r="W1789" t="s">
        <v>571</v>
      </c>
      <c r="X1789" t="s">
        <v>975</v>
      </c>
      <c r="AC1789">
        <v>0</v>
      </c>
      <c r="AD1789" t="s">
        <v>565</v>
      </c>
      <c r="AE1789">
        <v>2257370</v>
      </c>
      <c r="AF1789">
        <v>1</v>
      </c>
      <c r="AG1789" t="s">
        <v>622</v>
      </c>
      <c r="AH1789">
        <v>1000</v>
      </c>
      <c r="AI1789">
        <v>2257370</v>
      </c>
      <c r="AJ1789" t="s">
        <v>561</v>
      </c>
      <c r="AK1789" t="s">
        <v>589</v>
      </c>
      <c r="AL1789" t="s">
        <v>603</v>
      </c>
      <c r="AM1789">
        <v>2022</v>
      </c>
      <c r="AN1789">
        <v>2019</v>
      </c>
      <c r="AO1789">
        <f>IF(AND(emissions[[#This Row],[Market-based]]=0,emissions[[#This Row],[Impact Type]]="CO2E"),emissions[[#This Row],[kgCO2e]],0)/1000</f>
        <v>2257.37</v>
      </c>
      <c r="AP1789">
        <f>IF(AND(emissions[[#This Row],[Market-based]]=1,OR(emissions[[#This Row],[Impact Type]]="CO2E",emissions[[#This Row],[Impact Type]]="CO2E MKT")),emissions[[#This Row],[kgCO2e]],0)/1000</f>
        <v>0</v>
      </c>
      <c r="AQ1789" t="str">
        <f>_xlfn.TEXTAFTER(emissions[[#This Row],[Reporting Unit]]," &gt; ",LEN(emissions[[#This Row],[Reporting Unit]])-LEN(SUBSTITUTE(emissions[[#This Row],[Reporting Unit]],"&gt;","")))</f>
        <v>Scope 3 Inventory</v>
      </c>
      <c r="AR1789" t="str">
        <f>_xlfn.XLOOKUP(emissions[[#This Row],[Reporting unit name]],hierarchy!$A:$A,hierarchy!$C:$C)</f>
        <v>Scope 3 Inventory</v>
      </c>
    </row>
    <row r="1790" spans="1:44" hidden="1" x14ac:dyDescent="0.25">
      <c r="A1790">
        <v>1676924</v>
      </c>
      <c r="B1790" t="s">
        <v>76</v>
      </c>
      <c r="C1790" t="s">
        <v>540</v>
      </c>
      <c r="D1790" t="s">
        <v>548</v>
      </c>
      <c r="E1790" s="3">
        <v>44562</v>
      </c>
      <c r="F1790" s="3">
        <v>44926</v>
      </c>
      <c r="G1790" t="s">
        <v>90</v>
      </c>
      <c r="H1790" s="3">
        <v>44562</v>
      </c>
      <c r="I1790" s="3">
        <v>44926</v>
      </c>
      <c r="J1790" t="s">
        <v>90</v>
      </c>
      <c r="K1790">
        <v>2257.37</v>
      </c>
      <c r="L1790" t="s">
        <v>81</v>
      </c>
      <c r="M1790" t="s">
        <v>82</v>
      </c>
      <c r="O1790" t="s">
        <v>974</v>
      </c>
      <c r="P1790" t="s">
        <v>972</v>
      </c>
      <c r="Q1790">
        <v>2022</v>
      </c>
      <c r="R1790" t="s">
        <v>807</v>
      </c>
      <c r="S1790" t="s">
        <v>428</v>
      </c>
      <c r="T1790" t="s">
        <v>553</v>
      </c>
      <c r="U1790" t="b">
        <v>0</v>
      </c>
      <c r="V1790" t="s">
        <v>808</v>
      </c>
      <c r="W1790" t="s">
        <v>571</v>
      </c>
      <c r="X1790" t="s">
        <v>975</v>
      </c>
      <c r="AC1790">
        <v>1</v>
      </c>
      <c r="AD1790" t="s">
        <v>565</v>
      </c>
      <c r="AE1790">
        <v>2257370</v>
      </c>
      <c r="AF1790">
        <v>1</v>
      </c>
      <c r="AG1790" t="s">
        <v>622</v>
      </c>
      <c r="AH1790">
        <v>1000</v>
      </c>
      <c r="AI1790">
        <v>2257370</v>
      </c>
      <c r="AJ1790" t="s">
        <v>561</v>
      </c>
      <c r="AK1790" t="s">
        <v>589</v>
      </c>
      <c r="AL1790" t="s">
        <v>603</v>
      </c>
      <c r="AM1790">
        <v>2022</v>
      </c>
      <c r="AN1790">
        <v>2019</v>
      </c>
      <c r="AO1790">
        <f>IF(AND(emissions[[#This Row],[Market-based]]=0,emissions[[#This Row],[Impact Type]]="CO2E"),emissions[[#This Row],[kgCO2e]],0)/1000</f>
        <v>0</v>
      </c>
      <c r="AP1790">
        <f>IF(AND(emissions[[#This Row],[Market-based]]=1,OR(emissions[[#This Row],[Impact Type]]="CO2E",emissions[[#This Row],[Impact Type]]="CO2E MKT")),emissions[[#This Row],[kgCO2e]],0)/1000</f>
        <v>2257.37</v>
      </c>
      <c r="AQ1790" t="str">
        <f>_xlfn.TEXTAFTER(emissions[[#This Row],[Reporting Unit]]," &gt; ",LEN(emissions[[#This Row],[Reporting Unit]])-LEN(SUBSTITUTE(emissions[[#This Row],[Reporting Unit]],"&gt;","")))</f>
        <v>Scope 3 Inventory</v>
      </c>
      <c r="AR1790" t="str">
        <f>_xlfn.XLOOKUP(emissions[[#This Row],[Reporting unit name]],hierarchy!$A:$A,hierarchy!$C:$C)</f>
        <v>Scope 3 Inventory</v>
      </c>
    </row>
    <row r="1791" spans="1:44" hidden="1" x14ac:dyDescent="0.25">
      <c r="A1791">
        <v>1676929</v>
      </c>
      <c r="B1791" t="s">
        <v>76</v>
      </c>
      <c r="C1791" t="s">
        <v>540</v>
      </c>
      <c r="D1791" t="s">
        <v>548</v>
      </c>
      <c r="E1791" s="3">
        <v>44562</v>
      </c>
      <c r="F1791" s="3">
        <v>44926</v>
      </c>
      <c r="G1791" t="s">
        <v>92</v>
      </c>
      <c r="H1791" s="3">
        <v>44562</v>
      </c>
      <c r="I1791" s="3">
        <v>44926</v>
      </c>
      <c r="J1791" t="s">
        <v>92</v>
      </c>
      <c r="K1791">
        <v>22199.47</v>
      </c>
      <c r="L1791" t="s">
        <v>81</v>
      </c>
      <c r="M1791" t="s">
        <v>82</v>
      </c>
      <c r="O1791" t="s">
        <v>976</v>
      </c>
      <c r="P1791" t="s">
        <v>976</v>
      </c>
      <c r="Q1791">
        <v>2022</v>
      </c>
      <c r="R1791" t="s">
        <v>807</v>
      </c>
      <c r="S1791" t="s">
        <v>428</v>
      </c>
      <c r="T1791" t="s">
        <v>553</v>
      </c>
      <c r="U1791" t="b">
        <v>0</v>
      </c>
      <c r="V1791" t="s">
        <v>808</v>
      </c>
      <c r="W1791" t="s">
        <v>571</v>
      </c>
      <c r="X1791" t="s">
        <v>977</v>
      </c>
      <c r="AC1791">
        <v>0</v>
      </c>
      <c r="AD1791" t="s">
        <v>565</v>
      </c>
      <c r="AE1791">
        <v>22199470</v>
      </c>
      <c r="AF1791">
        <v>1</v>
      </c>
      <c r="AG1791" t="s">
        <v>622</v>
      </c>
      <c r="AH1791">
        <v>1000</v>
      </c>
      <c r="AI1791">
        <v>22199470</v>
      </c>
      <c r="AJ1791" t="s">
        <v>561</v>
      </c>
      <c r="AK1791" t="s">
        <v>589</v>
      </c>
      <c r="AL1791" t="s">
        <v>603</v>
      </c>
      <c r="AM1791">
        <v>2022</v>
      </c>
      <c r="AN1791">
        <v>2019</v>
      </c>
      <c r="AO1791">
        <f>IF(AND(emissions[[#This Row],[Market-based]]=0,emissions[[#This Row],[Impact Type]]="CO2E"),emissions[[#This Row],[kgCO2e]],0)/1000</f>
        <v>22199.47</v>
      </c>
      <c r="AP1791">
        <f>IF(AND(emissions[[#This Row],[Market-based]]=1,OR(emissions[[#This Row],[Impact Type]]="CO2E",emissions[[#This Row],[Impact Type]]="CO2E MKT")),emissions[[#This Row],[kgCO2e]],0)/1000</f>
        <v>0</v>
      </c>
      <c r="AQ1791" t="str">
        <f>_xlfn.TEXTAFTER(emissions[[#This Row],[Reporting Unit]]," &gt; ",LEN(emissions[[#This Row],[Reporting Unit]])-LEN(SUBSTITUTE(emissions[[#This Row],[Reporting Unit]],"&gt;","")))</f>
        <v>Scope 3 Inventory</v>
      </c>
      <c r="AR1791" t="str">
        <f>_xlfn.XLOOKUP(emissions[[#This Row],[Reporting unit name]],hierarchy!$A:$A,hierarchy!$C:$C)</f>
        <v>Scope 3 Inventory</v>
      </c>
    </row>
    <row r="1792" spans="1:44" hidden="1" x14ac:dyDescent="0.25">
      <c r="A1792">
        <v>1676929</v>
      </c>
      <c r="B1792" t="s">
        <v>76</v>
      </c>
      <c r="C1792" t="s">
        <v>540</v>
      </c>
      <c r="D1792" t="s">
        <v>548</v>
      </c>
      <c r="E1792" s="3">
        <v>44562</v>
      </c>
      <c r="F1792" s="3">
        <v>44926</v>
      </c>
      <c r="G1792" t="s">
        <v>92</v>
      </c>
      <c r="H1792" s="3">
        <v>44562</v>
      </c>
      <c r="I1792" s="3">
        <v>44926</v>
      </c>
      <c r="J1792" t="s">
        <v>92</v>
      </c>
      <c r="K1792">
        <v>22199.47</v>
      </c>
      <c r="L1792" t="s">
        <v>81</v>
      </c>
      <c r="M1792" t="s">
        <v>82</v>
      </c>
      <c r="O1792" t="s">
        <v>976</v>
      </c>
      <c r="P1792" t="s">
        <v>976</v>
      </c>
      <c r="Q1792">
        <v>2022</v>
      </c>
      <c r="R1792" t="s">
        <v>807</v>
      </c>
      <c r="S1792" t="s">
        <v>428</v>
      </c>
      <c r="T1792" t="s">
        <v>553</v>
      </c>
      <c r="U1792" t="b">
        <v>0</v>
      </c>
      <c r="V1792" t="s">
        <v>808</v>
      </c>
      <c r="W1792" t="s">
        <v>571</v>
      </c>
      <c r="X1792" t="s">
        <v>977</v>
      </c>
      <c r="AC1792">
        <v>1</v>
      </c>
      <c r="AD1792" t="s">
        <v>565</v>
      </c>
      <c r="AE1792">
        <v>22199470</v>
      </c>
      <c r="AF1792">
        <v>1</v>
      </c>
      <c r="AG1792" t="s">
        <v>622</v>
      </c>
      <c r="AH1792">
        <v>1000</v>
      </c>
      <c r="AI1792">
        <v>22199470</v>
      </c>
      <c r="AJ1792" t="s">
        <v>561</v>
      </c>
      <c r="AK1792" t="s">
        <v>589</v>
      </c>
      <c r="AL1792" t="s">
        <v>603</v>
      </c>
      <c r="AM1792">
        <v>2022</v>
      </c>
      <c r="AN1792">
        <v>2019</v>
      </c>
      <c r="AO1792">
        <f>IF(AND(emissions[[#This Row],[Market-based]]=0,emissions[[#This Row],[Impact Type]]="CO2E"),emissions[[#This Row],[kgCO2e]],0)/1000</f>
        <v>0</v>
      </c>
      <c r="AP1792">
        <f>IF(AND(emissions[[#This Row],[Market-based]]=1,OR(emissions[[#This Row],[Impact Type]]="CO2E",emissions[[#This Row],[Impact Type]]="CO2E MKT")),emissions[[#This Row],[kgCO2e]],0)/1000</f>
        <v>22199.47</v>
      </c>
      <c r="AQ1792" t="str">
        <f>_xlfn.TEXTAFTER(emissions[[#This Row],[Reporting Unit]]," &gt; ",LEN(emissions[[#This Row],[Reporting Unit]])-LEN(SUBSTITUTE(emissions[[#This Row],[Reporting Unit]],"&gt;","")))</f>
        <v>Scope 3 Inventory</v>
      </c>
      <c r="AR1792" t="str">
        <f>_xlfn.XLOOKUP(emissions[[#This Row],[Reporting unit name]],hierarchy!$A:$A,hierarchy!$C:$C)</f>
        <v>Scope 3 Inventory</v>
      </c>
    </row>
    <row r="1793" spans="1:44" hidden="1" x14ac:dyDescent="0.25">
      <c r="A1793">
        <v>1676927</v>
      </c>
      <c r="B1793" t="s">
        <v>76</v>
      </c>
      <c r="C1793" t="s">
        <v>540</v>
      </c>
      <c r="D1793" t="s">
        <v>548</v>
      </c>
      <c r="E1793" s="3">
        <v>44562</v>
      </c>
      <c r="F1793" s="3">
        <v>44926</v>
      </c>
      <c r="G1793" t="s">
        <v>94</v>
      </c>
      <c r="H1793" s="3">
        <v>44562</v>
      </c>
      <c r="I1793" s="3">
        <v>44926</v>
      </c>
      <c r="J1793" t="s">
        <v>94</v>
      </c>
      <c r="K1793">
        <v>4060.75</v>
      </c>
      <c r="L1793" t="s">
        <v>81</v>
      </c>
      <c r="M1793" t="s">
        <v>82</v>
      </c>
      <c r="O1793" t="s">
        <v>976</v>
      </c>
      <c r="P1793" t="s">
        <v>978</v>
      </c>
      <c r="Q1793">
        <v>2022</v>
      </c>
      <c r="R1793" t="s">
        <v>807</v>
      </c>
      <c r="S1793" t="s">
        <v>428</v>
      </c>
      <c r="T1793" t="s">
        <v>553</v>
      </c>
      <c r="U1793" t="b">
        <v>0</v>
      </c>
      <c r="V1793" t="s">
        <v>808</v>
      </c>
      <c r="W1793" t="s">
        <v>571</v>
      </c>
      <c r="X1793" t="s">
        <v>979</v>
      </c>
      <c r="AC1793">
        <v>0</v>
      </c>
      <c r="AD1793" t="s">
        <v>565</v>
      </c>
      <c r="AE1793">
        <v>4060750</v>
      </c>
      <c r="AF1793">
        <v>1</v>
      </c>
      <c r="AG1793" t="s">
        <v>622</v>
      </c>
      <c r="AH1793">
        <v>1000</v>
      </c>
      <c r="AI1793">
        <v>4060750</v>
      </c>
      <c r="AJ1793" t="s">
        <v>561</v>
      </c>
      <c r="AK1793" t="s">
        <v>589</v>
      </c>
      <c r="AL1793" t="s">
        <v>603</v>
      </c>
      <c r="AM1793">
        <v>2022</v>
      </c>
      <c r="AN1793">
        <v>2019</v>
      </c>
      <c r="AO1793">
        <f>IF(AND(emissions[[#This Row],[Market-based]]=0,emissions[[#This Row],[Impact Type]]="CO2E"),emissions[[#This Row],[kgCO2e]],0)/1000</f>
        <v>4060.75</v>
      </c>
      <c r="AP1793">
        <f>IF(AND(emissions[[#This Row],[Market-based]]=1,OR(emissions[[#This Row],[Impact Type]]="CO2E",emissions[[#This Row],[Impact Type]]="CO2E MKT")),emissions[[#This Row],[kgCO2e]],0)/1000</f>
        <v>0</v>
      </c>
      <c r="AQ1793" t="str">
        <f>_xlfn.TEXTAFTER(emissions[[#This Row],[Reporting Unit]]," &gt; ",LEN(emissions[[#This Row],[Reporting Unit]])-LEN(SUBSTITUTE(emissions[[#This Row],[Reporting Unit]],"&gt;","")))</f>
        <v>Scope 3 Inventory</v>
      </c>
      <c r="AR1793" t="str">
        <f>_xlfn.XLOOKUP(emissions[[#This Row],[Reporting unit name]],hierarchy!$A:$A,hierarchy!$C:$C)</f>
        <v>Scope 3 Inventory</v>
      </c>
    </row>
    <row r="1794" spans="1:44" hidden="1" x14ac:dyDescent="0.25">
      <c r="A1794">
        <v>1676927</v>
      </c>
      <c r="B1794" t="s">
        <v>76</v>
      </c>
      <c r="C1794" t="s">
        <v>540</v>
      </c>
      <c r="D1794" t="s">
        <v>548</v>
      </c>
      <c r="E1794" s="3">
        <v>44562</v>
      </c>
      <c r="F1794" s="3">
        <v>44926</v>
      </c>
      <c r="G1794" t="s">
        <v>94</v>
      </c>
      <c r="H1794" s="3">
        <v>44562</v>
      </c>
      <c r="I1794" s="3">
        <v>44926</v>
      </c>
      <c r="J1794" t="s">
        <v>94</v>
      </c>
      <c r="K1794">
        <v>4060.75</v>
      </c>
      <c r="L1794" t="s">
        <v>81</v>
      </c>
      <c r="M1794" t="s">
        <v>82</v>
      </c>
      <c r="O1794" t="s">
        <v>976</v>
      </c>
      <c r="P1794" t="s">
        <v>978</v>
      </c>
      <c r="Q1794">
        <v>2022</v>
      </c>
      <c r="R1794" t="s">
        <v>807</v>
      </c>
      <c r="S1794" t="s">
        <v>428</v>
      </c>
      <c r="T1794" t="s">
        <v>553</v>
      </c>
      <c r="U1794" t="b">
        <v>0</v>
      </c>
      <c r="V1794" t="s">
        <v>808</v>
      </c>
      <c r="W1794" t="s">
        <v>571</v>
      </c>
      <c r="X1794" t="s">
        <v>979</v>
      </c>
      <c r="AC1794">
        <v>1</v>
      </c>
      <c r="AD1794" t="s">
        <v>565</v>
      </c>
      <c r="AE1794">
        <v>4060750</v>
      </c>
      <c r="AF1794">
        <v>1</v>
      </c>
      <c r="AG1794" t="s">
        <v>622</v>
      </c>
      <c r="AH1794">
        <v>1000</v>
      </c>
      <c r="AI1794">
        <v>4060750</v>
      </c>
      <c r="AJ1794" t="s">
        <v>561</v>
      </c>
      <c r="AK1794" t="s">
        <v>589</v>
      </c>
      <c r="AL1794" t="s">
        <v>603</v>
      </c>
      <c r="AM1794">
        <v>2022</v>
      </c>
      <c r="AN1794">
        <v>2019</v>
      </c>
      <c r="AO1794">
        <f>IF(AND(emissions[[#This Row],[Market-based]]=0,emissions[[#This Row],[Impact Type]]="CO2E"),emissions[[#This Row],[kgCO2e]],0)/1000</f>
        <v>0</v>
      </c>
      <c r="AP1794">
        <f>IF(AND(emissions[[#This Row],[Market-based]]=1,OR(emissions[[#This Row],[Impact Type]]="CO2E",emissions[[#This Row],[Impact Type]]="CO2E MKT")),emissions[[#This Row],[kgCO2e]],0)/1000</f>
        <v>4060.75</v>
      </c>
      <c r="AQ1794" t="str">
        <f>_xlfn.TEXTAFTER(emissions[[#This Row],[Reporting Unit]]," &gt; ",LEN(emissions[[#This Row],[Reporting Unit]])-LEN(SUBSTITUTE(emissions[[#This Row],[Reporting Unit]],"&gt;","")))</f>
        <v>Scope 3 Inventory</v>
      </c>
      <c r="AR1794" t="str">
        <f>_xlfn.XLOOKUP(emissions[[#This Row],[Reporting unit name]],hierarchy!$A:$A,hierarchy!$C:$C)</f>
        <v>Scope 3 Inventory</v>
      </c>
    </row>
    <row r="1795" spans="1:44" hidden="1" x14ac:dyDescent="0.25">
      <c r="A1795">
        <v>1676933</v>
      </c>
      <c r="B1795" t="s">
        <v>76</v>
      </c>
      <c r="C1795" t="s">
        <v>540</v>
      </c>
      <c r="D1795" t="s">
        <v>548</v>
      </c>
      <c r="E1795" s="3">
        <v>44562</v>
      </c>
      <c r="F1795" s="3">
        <v>44926</v>
      </c>
      <c r="G1795" t="s">
        <v>96</v>
      </c>
      <c r="H1795" s="3">
        <v>44562</v>
      </c>
      <c r="I1795" s="3">
        <v>44926</v>
      </c>
      <c r="J1795" t="s">
        <v>96</v>
      </c>
      <c r="K1795">
        <v>2622.48</v>
      </c>
      <c r="L1795" t="s">
        <v>81</v>
      </c>
      <c r="M1795" t="s">
        <v>82</v>
      </c>
      <c r="O1795" t="s">
        <v>980</v>
      </c>
      <c r="P1795" t="s">
        <v>980</v>
      </c>
      <c r="Q1795">
        <v>2022</v>
      </c>
      <c r="R1795" t="s">
        <v>807</v>
      </c>
      <c r="S1795" t="s">
        <v>428</v>
      </c>
      <c r="T1795" t="s">
        <v>553</v>
      </c>
      <c r="U1795" t="b">
        <v>0</v>
      </c>
      <c r="V1795" t="s">
        <v>808</v>
      </c>
      <c r="W1795" t="s">
        <v>571</v>
      </c>
      <c r="X1795" t="s">
        <v>981</v>
      </c>
      <c r="AC1795">
        <v>0</v>
      </c>
      <c r="AD1795" t="s">
        <v>565</v>
      </c>
      <c r="AE1795">
        <v>2622480</v>
      </c>
      <c r="AF1795">
        <v>1</v>
      </c>
      <c r="AG1795" t="s">
        <v>622</v>
      </c>
      <c r="AH1795">
        <v>1000</v>
      </c>
      <c r="AI1795">
        <v>2622480</v>
      </c>
      <c r="AJ1795" t="s">
        <v>561</v>
      </c>
      <c r="AK1795" t="s">
        <v>589</v>
      </c>
      <c r="AL1795" t="s">
        <v>603</v>
      </c>
      <c r="AM1795">
        <v>2022</v>
      </c>
      <c r="AN1795">
        <v>2019</v>
      </c>
      <c r="AO1795">
        <f>IF(AND(emissions[[#This Row],[Market-based]]=0,emissions[[#This Row],[Impact Type]]="CO2E"),emissions[[#This Row],[kgCO2e]],0)/1000</f>
        <v>2622.48</v>
      </c>
      <c r="AP1795">
        <f>IF(AND(emissions[[#This Row],[Market-based]]=1,OR(emissions[[#This Row],[Impact Type]]="CO2E",emissions[[#This Row],[Impact Type]]="CO2E MKT")),emissions[[#This Row],[kgCO2e]],0)/1000</f>
        <v>0</v>
      </c>
      <c r="AQ1795" t="str">
        <f>_xlfn.TEXTAFTER(emissions[[#This Row],[Reporting Unit]]," &gt; ",LEN(emissions[[#This Row],[Reporting Unit]])-LEN(SUBSTITUTE(emissions[[#This Row],[Reporting Unit]],"&gt;","")))</f>
        <v>Scope 3 Inventory</v>
      </c>
      <c r="AR1795" t="str">
        <f>_xlfn.XLOOKUP(emissions[[#This Row],[Reporting unit name]],hierarchy!$A:$A,hierarchy!$C:$C)</f>
        <v>Scope 3 Inventory</v>
      </c>
    </row>
    <row r="1796" spans="1:44" hidden="1" x14ac:dyDescent="0.25">
      <c r="A1796">
        <v>1676933</v>
      </c>
      <c r="B1796" t="s">
        <v>76</v>
      </c>
      <c r="C1796" t="s">
        <v>540</v>
      </c>
      <c r="D1796" t="s">
        <v>548</v>
      </c>
      <c r="E1796" s="3">
        <v>44562</v>
      </c>
      <c r="F1796" s="3">
        <v>44926</v>
      </c>
      <c r="G1796" t="s">
        <v>96</v>
      </c>
      <c r="H1796" s="3">
        <v>44562</v>
      </c>
      <c r="I1796" s="3">
        <v>44926</v>
      </c>
      <c r="J1796" t="s">
        <v>96</v>
      </c>
      <c r="K1796">
        <v>2622.48</v>
      </c>
      <c r="L1796" t="s">
        <v>81</v>
      </c>
      <c r="M1796" t="s">
        <v>82</v>
      </c>
      <c r="O1796" t="s">
        <v>980</v>
      </c>
      <c r="P1796" t="s">
        <v>980</v>
      </c>
      <c r="Q1796">
        <v>2022</v>
      </c>
      <c r="R1796" t="s">
        <v>807</v>
      </c>
      <c r="S1796" t="s">
        <v>428</v>
      </c>
      <c r="T1796" t="s">
        <v>553</v>
      </c>
      <c r="U1796" t="b">
        <v>0</v>
      </c>
      <c r="V1796" t="s">
        <v>808</v>
      </c>
      <c r="W1796" t="s">
        <v>571</v>
      </c>
      <c r="X1796" t="s">
        <v>981</v>
      </c>
      <c r="AC1796">
        <v>1</v>
      </c>
      <c r="AD1796" t="s">
        <v>565</v>
      </c>
      <c r="AE1796">
        <v>2622480</v>
      </c>
      <c r="AF1796">
        <v>1</v>
      </c>
      <c r="AG1796" t="s">
        <v>622</v>
      </c>
      <c r="AH1796">
        <v>1000</v>
      </c>
      <c r="AI1796">
        <v>2622480</v>
      </c>
      <c r="AJ1796" t="s">
        <v>561</v>
      </c>
      <c r="AK1796" t="s">
        <v>589</v>
      </c>
      <c r="AL1796" t="s">
        <v>603</v>
      </c>
      <c r="AM1796">
        <v>2022</v>
      </c>
      <c r="AN1796">
        <v>2019</v>
      </c>
      <c r="AO1796">
        <f>IF(AND(emissions[[#This Row],[Market-based]]=0,emissions[[#This Row],[Impact Type]]="CO2E"),emissions[[#This Row],[kgCO2e]],0)/1000</f>
        <v>0</v>
      </c>
      <c r="AP1796">
        <f>IF(AND(emissions[[#This Row],[Market-based]]=1,OR(emissions[[#This Row],[Impact Type]]="CO2E",emissions[[#This Row],[Impact Type]]="CO2E MKT")),emissions[[#This Row],[kgCO2e]],0)/1000</f>
        <v>2622.48</v>
      </c>
      <c r="AQ1796" t="str">
        <f>_xlfn.TEXTAFTER(emissions[[#This Row],[Reporting Unit]]," &gt; ",LEN(emissions[[#This Row],[Reporting Unit]])-LEN(SUBSTITUTE(emissions[[#This Row],[Reporting Unit]],"&gt;","")))</f>
        <v>Scope 3 Inventory</v>
      </c>
      <c r="AR1796" t="str">
        <f>_xlfn.XLOOKUP(emissions[[#This Row],[Reporting unit name]],hierarchy!$A:$A,hierarchy!$C:$C)</f>
        <v>Scope 3 Inventory</v>
      </c>
    </row>
    <row r="1797" spans="1:44" hidden="1" x14ac:dyDescent="0.25">
      <c r="A1797">
        <v>1676931</v>
      </c>
      <c r="B1797" t="s">
        <v>76</v>
      </c>
      <c r="C1797" t="s">
        <v>540</v>
      </c>
      <c r="D1797" t="s">
        <v>548</v>
      </c>
      <c r="E1797" s="3">
        <v>44562</v>
      </c>
      <c r="F1797" s="3">
        <v>44926</v>
      </c>
      <c r="G1797" t="s">
        <v>78</v>
      </c>
      <c r="H1797" s="3">
        <v>44835</v>
      </c>
      <c r="I1797" s="3">
        <v>44926</v>
      </c>
      <c r="J1797" t="s">
        <v>78</v>
      </c>
      <c r="K1797">
        <v>113738.1</v>
      </c>
      <c r="L1797" t="s">
        <v>81</v>
      </c>
      <c r="M1797" t="s">
        <v>82</v>
      </c>
      <c r="O1797" t="s">
        <v>980</v>
      </c>
      <c r="P1797" t="s">
        <v>980</v>
      </c>
      <c r="Q1797">
        <v>2022</v>
      </c>
      <c r="R1797" t="s">
        <v>807</v>
      </c>
      <c r="S1797" t="s">
        <v>428</v>
      </c>
      <c r="T1797" t="s">
        <v>553</v>
      </c>
      <c r="U1797" t="b">
        <v>0</v>
      </c>
      <c r="V1797" t="s">
        <v>808</v>
      </c>
      <c r="W1797" t="s">
        <v>571</v>
      </c>
      <c r="X1797" t="s">
        <v>982</v>
      </c>
      <c r="AC1797">
        <v>0</v>
      </c>
      <c r="AD1797" t="s">
        <v>565</v>
      </c>
      <c r="AE1797">
        <v>113738100</v>
      </c>
      <c r="AF1797">
        <v>1</v>
      </c>
      <c r="AG1797" t="s">
        <v>622</v>
      </c>
      <c r="AH1797">
        <v>1000</v>
      </c>
      <c r="AI1797">
        <v>113738100</v>
      </c>
      <c r="AJ1797" t="s">
        <v>561</v>
      </c>
      <c r="AK1797" t="s">
        <v>589</v>
      </c>
      <c r="AL1797" t="s">
        <v>603</v>
      </c>
      <c r="AM1797">
        <v>2022</v>
      </c>
      <c r="AN1797">
        <v>2019</v>
      </c>
      <c r="AO1797">
        <f>IF(AND(emissions[[#This Row],[Market-based]]=0,emissions[[#This Row],[Impact Type]]="CO2E"),emissions[[#This Row],[kgCO2e]],0)/1000</f>
        <v>113738.1</v>
      </c>
      <c r="AP1797">
        <f>IF(AND(emissions[[#This Row],[Market-based]]=1,OR(emissions[[#This Row],[Impact Type]]="CO2E",emissions[[#This Row],[Impact Type]]="CO2E MKT")),emissions[[#This Row],[kgCO2e]],0)/1000</f>
        <v>0</v>
      </c>
      <c r="AQ1797" t="str">
        <f>_xlfn.TEXTAFTER(emissions[[#This Row],[Reporting Unit]]," &gt; ",LEN(emissions[[#This Row],[Reporting Unit]])-LEN(SUBSTITUTE(emissions[[#This Row],[Reporting Unit]],"&gt;","")))</f>
        <v>Scope 3 Inventory</v>
      </c>
      <c r="AR1797" t="str">
        <f>_xlfn.XLOOKUP(emissions[[#This Row],[Reporting unit name]],hierarchy!$A:$A,hierarchy!$C:$C)</f>
        <v>Scope 3 Inventory</v>
      </c>
    </row>
    <row r="1798" spans="1:44" hidden="1" x14ac:dyDescent="0.25">
      <c r="A1798">
        <v>1676931</v>
      </c>
      <c r="B1798" t="s">
        <v>76</v>
      </c>
      <c r="C1798" t="s">
        <v>540</v>
      </c>
      <c r="D1798" t="s">
        <v>548</v>
      </c>
      <c r="E1798" s="3">
        <v>44562</v>
      </c>
      <c r="F1798" s="3">
        <v>44926</v>
      </c>
      <c r="G1798" t="s">
        <v>78</v>
      </c>
      <c r="H1798" s="3">
        <v>44835</v>
      </c>
      <c r="I1798" s="3">
        <v>44926</v>
      </c>
      <c r="J1798" t="s">
        <v>78</v>
      </c>
      <c r="K1798">
        <v>113738.1</v>
      </c>
      <c r="L1798" t="s">
        <v>81</v>
      </c>
      <c r="M1798" t="s">
        <v>82</v>
      </c>
      <c r="O1798" t="s">
        <v>980</v>
      </c>
      <c r="P1798" t="s">
        <v>980</v>
      </c>
      <c r="Q1798">
        <v>2022</v>
      </c>
      <c r="R1798" t="s">
        <v>807</v>
      </c>
      <c r="S1798" t="s">
        <v>428</v>
      </c>
      <c r="T1798" t="s">
        <v>553</v>
      </c>
      <c r="U1798" t="b">
        <v>0</v>
      </c>
      <c r="V1798" t="s">
        <v>808</v>
      </c>
      <c r="W1798" t="s">
        <v>571</v>
      </c>
      <c r="X1798" t="s">
        <v>982</v>
      </c>
      <c r="AC1798">
        <v>1</v>
      </c>
      <c r="AD1798" t="s">
        <v>565</v>
      </c>
      <c r="AE1798">
        <v>113738100</v>
      </c>
      <c r="AF1798">
        <v>1</v>
      </c>
      <c r="AG1798" t="s">
        <v>622</v>
      </c>
      <c r="AH1798">
        <v>1000</v>
      </c>
      <c r="AI1798">
        <v>113738100</v>
      </c>
      <c r="AJ1798" t="s">
        <v>561</v>
      </c>
      <c r="AK1798" t="s">
        <v>589</v>
      </c>
      <c r="AL1798" t="s">
        <v>603</v>
      </c>
      <c r="AM1798">
        <v>2022</v>
      </c>
      <c r="AN1798">
        <v>2019</v>
      </c>
      <c r="AO1798">
        <f>IF(AND(emissions[[#This Row],[Market-based]]=0,emissions[[#This Row],[Impact Type]]="CO2E"),emissions[[#This Row],[kgCO2e]],0)/1000</f>
        <v>0</v>
      </c>
      <c r="AP1798">
        <f>IF(AND(emissions[[#This Row],[Market-based]]=1,OR(emissions[[#This Row],[Impact Type]]="CO2E",emissions[[#This Row],[Impact Type]]="CO2E MKT")),emissions[[#This Row],[kgCO2e]],0)/1000</f>
        <v>113738.1</v>
      </c>
      <c r="AQ1798" t="str">
        <f>_xlfn.TEXTAFTER(emissions[[#This Row],[Reporting Unit]]," &gt; ",LEN(emissions[[#This Row],[Reporting Unit]])-LEN(SUBSTITUTE(emissions[[#This Row],[Reporting Unit]],"&gt;","")))</f>
        <v>Scope 3 Inventory</v>
      </c>
      <c r="AR1798" t="str">
        <f>_xlfn.XLOOKUP(emissions[[#This Row],[Reporting unit name]],hierarchy!$A:$A,hierarchy!$C:$C)</f>
        <v>Scope 3 Inventory</v>
      </c>
    </row>
    <row r="1799" spans="1:44" hidden="1" x14ac:dyDescent="0.25">
      <c r="A1799">
        <v>1676922</v>
      </c>
      <c r="B1799" t="s">
        <v>76</v>
      </c>
      <c r="C1799" t="s">
        <v>540</v>
      </c>
      <c r="D1799" t="s">
        <v>599</v>
      </c>
      <c r="E1799" s="3">
        <v>44197</v>
      </c>
      <c r="F1799" s="3">
        <v>44561</v>
      </c>
      <c r="G1799" t="s">
        <v>86</v>
      </c>
      <c r="H1799" s="3">
        <v>44197</v>
      </c>
      <c r="I1799" s="3">
        <v>44561</v>
      </c>
      <c r="J1799" t="s">
        <v>86</v>
      </c>
      <c r="K1799">
        <v>741930.79</v>
      </c>
      <c r="L1799" t="s">
        <v>81</v>
      </c>
      <c r="M1799" t="s">
        <v>82</v>
      </c>
      <c r="O1799" t="s">
        <v>971</v>
      </c>
      <c r="P1799" t="s">
        <v>983</v>
      </c>
      <c r="Q1799">
        <v>2021</v>
      </c>
      <c r="R1799" t="s">
        <v>807</v>
      </c>
      <c r="S1799" t="s">
        <v>428</v>
      </c>
      <c r="T1799" t="s">
        <v>553</v>
      </c>
      <c r="U1799" t="b">
        <v>0</v>
      </c>
      <c r="V1799" t="s">
        <v>808</v>
      </c>
      <c r="W1799" t="s">
        <v>571</v>
      </c>
      <c r="X1799" t="s">
        <v>973</v>
      </c>
      <c r="AC1799">
        <v>0</v>
      </c>
      <c r="AD1799" t="s">
        <v>565</v>
      </c>
      <c r="AE1799">
        <v>741930790</v>
      </c>
      <c r="AF1799">
        <v>1</v>
      </c>
      <c r="AG1799" t="s">
        <v>622</v>
      </c>
      <c r="AH1799">
        <v>1000</v>
      </c>
      <c r="AI1799">
        <v>741930790</v>
      </c>
      <c r="AJ1799" t="s">
        <v>561</v>
      </c>
      <c r="AK1799" t="s">
        <v>589</v>
      </c>
      <c r="AL1799" t="s">
        <v>603</v>
      </c>
      <c r="AM1799">
        <v>2021</v>
      </c>
      <c r="AN1799">
        <v>2019</v>
      </c>
      <c r="AO1799">
        <f>IF(AND(emissions[[#This Row],[Market-based]]=0,emissions[[#This Row],[Impact Type]]="CO2E"),emissions[[#This Row],[kgCO2e]],0)/1000</f>
        <v>741930.79</v>
      </c>
      <c r="AP1799">
        <f>IF(AND(emissions[[#This Row],[Market-based]]=1,OR(emissions[[#This Row],[Impact Type]]="CO2E",emissions[[#This Row],[Impact Type]]="CO2E MKT")),emissions[[#This Row],[kgCO2e]],0)/1000</f>
        <v>0</v>
      </c>
      <c r="AQ1799" t="str">
        <f>_xlfn.TEXTAFTER(emissions[[#This Row],[Reporting Unit]]," &gt; ",LEN(emissions[[#This Row],[Reporting Unit]])-LEN(SUBSTITUTE(emissions[[#This Row],[Reporting Unit]],"&gt;","")))</f>
        <v>Scope 3 Inventory</v>
      </c>
      <c r="AR1799" t="str">
        <f>_xlfn.XLOOKUP(emissions[[#This Row],[Reporting unit name]],hierarchy!$A:$A,hierarchy!$C:$C)</f>
        <v>Scope 3 Inventory</v>
      </c>
    </row>
    <row r="1800" spans="1:44" hidden="1" x14ac:dyDescent="0.25">
      <c r="A1800">
        <v>1676922</v>
      </c>
      <c r="B1800" t="s">
        <v>76</v>
      </c>
      <c r="C1800" t="s">
        <v>540</v>
      </c>
      <c r="D1800" t="s">
        <v>599</v>
      </c>
      <c r="E1800" s="3">
        <v>44197</v>
      </c>
      <c r="F1800" s="3">
        <v>44561</v>
      </c>
      <c r="G1800" t="s">
        <v>86</v>
      </c>
      <c r="H1800" s="3">
        <v>44197</v>
      </c>
      <c r="I1800" s="3">
        <v>44561</v>
      </c>
      <c r="J1800" t="s">
        <v>86</v>
      </c>
      <c r="K1800">
        <v>741930.79</v>
      </c>
      <c r="L1800" t="s">
        <v>81</v>
      </c>
      <c r="M1800" t="s">
        <v>82</v>
      </c>
      <c r="O1800" t="s">
        <v>971</v>
      </c>
      <c r="P1800" t="s">
        <v>983</v>
      </c>
      <c r="Q1800">
        <v>2021</v>
      </c>
      <c r="R1800" t="s">
        <v>807</v>
      </c>
      <c r="S1800" t="s">
        <v>428</v>
      </c>
      <c r="T1800" t="s">
        <v>553</v>
      </c>
      <c r="U1800" t="b">
        <v>0</v>
      </c>
      <c r="V1800" t="s">
        <v>808</v>
      </c>
      <c r="W1800" t="s">
        <v>571</v>
      </c>
      <c r="X1800" t="s">
        <v>973</v>
      </c>
      <c r="AC1800">
        <v>1</v>
      </c>
      <c r="AD1800" t="s">
        <v>565</v>
      </c>
      <c r="AE1800">
        <v>741930790</v>
      </c>
      <c r="AF1800">
        <v>1</v>
      </c>
      <c r="AG1800" t="s">
        <v>622</v>
      </c>
      <c r="AH1800">
        <v>1000</v>
      </c>
      <c r="AI1800">
        <v>741930790</v>
      </c>
      <c r="AJ1800" t="s">
        <v>561</v>
      </c>
      <c r="AK1800" t="s">
        <v>589</v>
      </c>
      <c r="AL1800" t="s">
        <v>603</v>
      </c>
      <c r="AM1800">
        <v>2021</v>
      </c>
      <c r="AN1800">
        <v>2019</v>
      </c>
      <c r="AO1800">
        <f>IF(AND(emissions[[#This Row],[Market-based]]=0,emissions[[#This Row],[Impact Type]]="CO2E"),emissions[[#This Row],[kgCO2e]],0)/1000</f>
        <v>0</v>
      </c>
      <c r="AP1800">
        <f>IF(AND(emissions[[#This Row],[Market-based]]=1,OR(emissions[[#This Row],[Impact Type]]="CO2E",emissions[[#This Row],[Impact Type]]="CO2E MKT")),emissions[[#This Row],[kgCO2e]],0)/1000</f>
        <v>741930.79</v>
      </c>
      <c r="AQ1800" t="str">
        <f>_xlfn.TEXTAFTER(emissions[[#This Row],[Reporting Unit]]," &gt; ",LEN(emissions[[#This Row],[Reporting Unit]])-LEN(SUBSTITUTE(emissions[[#This Row],[Reporting Unit]],"&gt;","")))</f>
        <v>Scope 3 Inventory</v>
      </c>
      <c r="AR1800" t="str">
        <f>_xlfn.XLOOKUP(emissions[[#This Row],[Reporting unit name]],hierarchy!$A:$A,hierarchy!$C:$C)</f>
        <v>Scope 3 Inventory</v>
      </c>
    </row>
    <row r="1801" spans="1:44" hidden="1" x14ac:dyDescent="0.25">
      <c r="A1801">
        <v>1676938</v>
      </c>
      <c r="B1801" t="s">
        <v>76</v>
      </c>
      <c r="C1801" t="s">
        <v>540</v>
      </c>
      <c r="D1801" t="s">
        <v>599</v>
      </c>
      <c r="E1801" s="3">
        <v>44197</v>
      </c>
      <c r="F1801" s="3">
        <v>44561</v>
      </c>
      <c r="G1801" t="s">
        <v>90</v>
      </c>
      <c r="H1801" s="3">
        <v>44470</v>
      </c>
      <c r="I1801" s="3">
        <v>44561</v>
      </c>
      <c r="J1801" t="s">
        <v>90</v>
      </c>
      <c r="K1801">
        <v>1836.64</v>
      </c>
      <c r="L1801" t="s">
        <v>81</v>
      </c>
      <c r="M1801" t="s">
        <v>82</v>
      </c>
      <c r="O1801" t="s">
        <v>984</v>
      </c>
      <c r="P1801" t="s">
        <v>983</v>
      </c>
      <c r="Q1801">
        <v>2021</v>
      </c>
      <c r="R1801" t="s">
        <v>807</v>
      </c>
      <c r="S1801" t="s">
        <v>428</v>
      </c>
      <c r="T1801" t="s">
        <v>553</v>
      </c>
      <c r="U1801" t="b">
        <v>0</v>
      </c>
      <c r="V1801" t="s">
        <v>808</v>
      </c>
      <c r="W1801" t="s">
        <v>571</v>
      </c>
      <c r="X1801" t="s">
        <v>975</v>
      </c>
      <c r="AC1801">
        <v>0</v>
      </c>
      <c r="AD1801" t="s">
        <v>565</v>
      </c>
      <c r="AE1801">
        <v>1836640</v>
      </c>
      <c r="AF1801">
        <v>1</v>
      </c>
      <c r="AG1801" t="s">
        <v>622</v>
      </c>
      <c r="AH1801">
        <v>1000</v>
      </c>
      <c r="AI1801">
        <v>1836640</v>
      </c>
      <c r="AJ1801" t="s">
        <v>561</v>
      </c>
      <c r="AK1801" t="s">
        <v>589</v>
      </c>
      <c r="AL1801" t="s">
        <v>603</v>
      </c>
      <c r="AM1801">
        <v>2021</v>
      </c>
      <c r="AN1801">
        <v>2019</v>
      </c>
      <c r="AO1801">
        <f>IF(AND(emissions[[#This Row],[Market-based]]=0,emissions[[#This Row],[Impact Type]]="CO2E"),emissions[[#This Row],[kgCO2e]],0)/1000</f>
        <v>1836.64</v>
      </c>
      <c r="AP1801">
        <f>IF(AND(emissions[[#This Row],[Market-based]]=1,OR(emissions[[#This Row],[Impact Type]]="CO2E",emissions[[#This Row],[Impact Type]]="CO2E MKT")),emissions[[#This Row],[kgCO2e]],0)/1000</f>
        <v>0</v>
      </c>
      <c r="AQ1801" t="str">
        <f>_xlfn.TEXTAFTER(emissions[[#This Row],[Reporting Unit]]," &gt; ",LEN(emissions[[#This Row],[Reporting Unit]])-LEN(SUBSTITUTE(emissions[[#This Row],[Reporting Unit]],"&gt;","")))</f>
        <v>Scope 3 Inventory</v>
      </c>
      <c r="AR1801" t="str">
        <f>_xlfn.XLOOKUP(emissions[[#This Row],[Reporting unit name]],hierarchy!$A:$A,hierarchy!$C:$C)</f>
        <v>Scope 3 Inventory</v>
      </c>
    </row>
    <row r="1802" spans="1:44" hidden="1" x14ac:dyDescent="0.25">
      <c r="A1802">
        <v>1676938</v>
      </c>
      <c r="B1802" t="s">
        <v>76</v>
      </c>
      <c r="C1802" t="s">
        <v>540</v>
      </c>
      <c r="D1802" t="s">
        <v>599</v>
      </c>
      <c r="E1802" s="3">
        <v>44197</v>
      </c>
      <c r="F1802" s="3">
        <v>44561</v>
      </c>
      <c r="G1802" t="s">
        <v>90</v>
      </c>
      <c r="H1802" s="3">
        <v>44470</v>
      </c>
      <c r="I1802" s="3">
        <v>44561</v>
      </c>
      <c r="J1802" t="s">
        <v>90</v>
      </c>
      <c r="K1802">
        <v>1836.64</v>
      </c>
      <c r="L1802" t="s">
        <v>81</v>
      </c>
      <c r="M1802" t="s">
        <v>82</v>
      </c>
      <c r="O1802" t="s">
        <v>984</v>
      </c>
      <c r="P1802" t="s">
        <v>983</v>
      </c>
      <c r="Q1802">
        <v>2021</v>
      </c>
      <c r="R1802" t="s">
        <v>807</v>
      </c>
      <c r="S1802" t="s">
        <v>428</v>
      </c>
      <c r="T1802" t="s">
        <v>553</v>
      </c>
      <c r="U1802" t="b">
        <v>0</v>
      </c>
      <c r="V1802" t="s">
        <v>808</v>
      </c>
      <c r="W1802" t="s">
        <v>571</v>
      </c>
      <c r="X1802" t="s">
        <v>975</v>
      </c>
      <c r="AC1802">
        <v>1</v>
      </c>
      <c r="AD1802" t="s">
        <v>565</v>
      </c>
      <c r="AE1802">
        <v>1836640</v>
      </c>
      <c r="AF1802">
        <v>1</v>
      </c>
      <c r="AG1802" t="s">
        <v>622</v>
      </c>
      <c r="AH1802">
        <v>1000</v>
      </c>
      <c r="AI1802">
        <v>1836640</v>
      </c>
      <c r="AJ1802" t="s">
        <v>561</v>
      </c>
      <c r="AK1802" t="s">
        <v>589</v>
      </c>
      <c r="AL1802" t="s">
        <v>603</v>
      </c>
      <c r="AM1802">
        <v>2021</v>
      </c>
      <c r="AN1802">
        <v>2019</v>
      </c>
      <c r="AO1802">
        <f>IF(AND(emissions[[#This Row],[Market-based]]=0,emissions[[#This Row],[Impact Type]]="CO2E"),emissions[[#This Row],[kgCO2e]],0)/1000</f>
        <v>0</v>
      </c>
      <c r="AP1802">
        <f>IF(AND(emissions[[#This Row],[Market-based]]=1,OR(emissions[[#This Row],[Impact Type]]="CO2E",emissions[[#This Row],[Impact Type]]="CO2E MKT")),emissions[[#This Row],[kgCO2e]],0)/1000</f>
        <v>1836.64</v>
      </c>
      <c r="AQ1802" t="str">
        <f>_xlfn.TEXTAFTER(emissions[[#This Row],[Reporting Unit]]," &gt; ",LEN(emissions[[#This Row],[Reporting Unit]])-LEN(SUBSTITUTE(emissions[[#This Row],[Reporting Unit]],"&gt;","")))</f>
        <v>Scope 3 Inventory</v>
      </c>
      <c r="AR1802" t="str">
        <f>_xlfn.XLOOKUP(emissions[[#This Row],[Reporting unit name]],hierarchy!$A:$A,hierarchy!$C:$C)</f>
        <v>Scope 3 Inventory</v>
      </c>
    </row>
    <row r="1803" spans="1:44" hidden="1" x14ac:dyDescent="0.25">
      <c r="A1803">
        <v>1677403</v>
      </c>
      <c r="B1803" t="s">
        <v>76</v>
      </c>
      <c r="C1803" t="s">
        <v>540</v>
      </c>
      <c r="D1803" t="s">
        <v>599</v>
      </c>
      <c r="E1803" s="3">
        <v>44197</v>
      </c>
      <c r="F1803" s="3">
        <v>44561</v>
      </c>
      <c r="G1803" t="s">
        <v>92</v>
      </c>
      <c r="H1803" s="3">
        <v>44470</v>
      </c>
      <c r="I1803" s="3">
        <v>44561</v>
      </c>
      <c r="J1803" t="s">
        <v>92</v>
      </c>
      <c r="K1803">
        <v>17021.04</v>
      </c>
      <c r="L1803" t="s">
        <v>81</v>
      </c>
      <c r="M1803" t="s">
        <v>82</v>
      </c>
      <c r="O1803" t="s">
        <v>985</v>
      </c>
      <c r="P1803" t="s">
        <v>986</v>
      </c>
      <c r="Q1803">
        <v>2021</v>
      </c>
      <c r="R1803" t="s">
        <v>807</v>
      </c>
      <c r="S1803" t="s">
        <v>428</v>
      </c>
      <c r="T1803" t="s">
        <v>553</v>
      </c>
      <c r="U1803" t="b">
        <v>0</v>
      </c>
      <c r="V1803" t="s">
        <v>808</v>
      </c>
      <c r="W1803" t="s">
        <v>571</v>
      </c>
      <c r="X1803" t="s">
        <v>977</v>
      </c>
      <c r="AC1803">
        <v>0</v>
      </c>
      <c r="AD1803" t="s">
        <v>565</v>
      </c>
      <c r="AE1803">
        <v>17021040</v>
      </c>
      <c r="AF1803">
        <v>1</v>
      </c>
      <c r="AG1803" t="s">
        <v>622</v>
      </c>
      <c r="AH1803">
        <v>1000</v>
      </c>
      <c r="AI1803">
        <v>17021040</v>
      </c>
      <c r="AJ1803" t="s">
        <v>561</v>
      </c>
      <c r="AK1803" t="s">
        <v>589</v>
      </c>
      <c r="AL1803" t="s">
        <v>603</v>
      </c>
      <c r="AM1803">
        <v>2021</v>
      </c>
      <c r="AN1803">
        <v>2019</v>
      </c>
      <c r="AO1803">
        <f>IF(AND(emissions[[#This Row],[Market-based]]=0,emissions[[#This Row],[Impact Type]]="CO2E"),emissions[[#This Row],[kgCO2e]],0)/1000</f>
        <v>17021.04</v>
      </c>
      <c r="AP1803">
        <f>IF(AND(emissions[[#This Row],[Market-based]]=1,OR(emissions[[#This Row],[Impact Type]]="CO2E",emissions[[#This Row],[Impact Type]]="CO2E MKT")),emissions[[#This Row],[kgCO2e]],0)/1000</f>
        <v>0</v>
      </c>
      <c r="AQ1803" t="str">
        <f>_xlfn.TEXTAFTER(emissions[[#This Row],[Reporting Unit]]," &gt; ",LEN(emissions[[#This Row],[Reporting Unit]])-LEN(SUBSTITUTE(emissions[[#This Row],[Reporting Unit]],"&gt;","")))</f>
        <v>Scope 3 Inventory</v>
      </c>
      <c r="AR1803" t="str">
        <f>_xlfn.XLOOKUP(emissions[[#This Row],[Reporting unit name]],hierarchy!$A:$A,hierarchy!$C:$C)</f>
        <v>Scope 3 Inventory</v>
      </c>
    </row>
    <row r="1804" spans="1:44" hidden="1" x14ac:dyDescent="0.25">
      <c r="A1804">
        <v>1677403</v>
      </c>
      <c r="B1804" t="s">
        <v>76</v>
      </c>
      <c r="C1804" t="s">
        <v>540</v>
      </c>
      <c r="D1804" t="s">
        <v>599</v>
      </c>
      <c r="E1804" s="3">
        <v>44197</v>
      </c>
      <c r="F1804" s="3">
        <v>44561</v>
      </c>
      <c r="G1804" t="s">
        <v>92</v>
      </c>
      <c r="H1804" s="3">
        <v>44470</v>
      </c>
      <c r="I1804" s="3">
        <v>44561</v>
      </c>
      <c r="J1804" t="s">
        <v>92</v>
      </c>
      <c r="K1804">
        <v>17021.04</v>
      </c>
      <c r="L1804" t="s">
        <v>81</v>
      </c>
      <c r="M1804" t="s">
        <v>82</v>
      </c>
      <c r="O1804" t="s">
        <v>985</v>
      </c>
      <c r="P1804" t="s">
        <v>986</v>
      </c>
      <c r="Q1804">
        <v>2021</v>
      </c>
      <c r="R1804" t="s">
        <v>807</v>
      </c>
      <c r="S1804" t="s">
        <v>428</v>
      </c>
      <c r="T1804" t="s">
        <v>553</v>
      </c>
      <c r="U1804" t="b">
        <v>0</v>
      </c>
      <c r="V1804" t="s">
        <v>808</v>
      </c>
      <c r="W1804" t="s">
        <v>571</v>
      </c>
      <c r="X1804" t="s">
        <v>977</v>
      </c>
      <c r="AC1804">
        <v>1</v>
      </c>
      <c r="AD1804" t="s">
        <v>565</v>
      </c>
      <c r="AE1804">
        <v>17021040</v>
      </c>
      <c r="AF1804">
        <v>1</v>
      </c>
      <c r="AG1804" t="s">
        <v>622</v>
      </c>
      <c r="AH1804">
        <v>1000</v>
      </c>
      <c r="AI1804">
        <v>17021040</v>
      </c>
      <c r="AJ1804" t="s">
        <v>561</v>
      </c>
      <c r="AK1804" t="s">
        <v>589</v>
      </c>
      <c r="AL1804" t="s">
        <v>603</v>
      </c>
      <c r="AM1804">
        <v>2021</v>
      </c>
      <c r="AN1804">
        <v>2019</v>
      </c>
      <c r="AO1804">
        <f>IF(AND(emissions[[#This Row],[Market-based]]=0,emissions[[#This Row],[Impact Type]]="CO2E"),emissions[[#This Row],[kgCO2e]],0)/1000</f>
        <v>0</v>
      </c>
      <c r="AP1804">
        <f>IF(AND(emissions[[#This Row],[Market-based]]=1,OR(emissions[[#This Row],[Impact Type]]="CO2E",emissions[[#This Row],[Impact Type]]="CO2E MKT")),emissions[[#This Row],[kgCO2e]],0)/1000</f>
        <v>17021.04</v>
      </c>
      <c r="AQ1804" t="str">
        <f>_xlfn.TEXTAFTER(emissions[[#This Row],[Reporting Unit]]," &gt; ",LEN(emissions[[#This Row],[Reporting Unit]])-LEN(SUBSTITUTE(emissions[[#This Row],[Reporting Unit]],"&gt;","")))</f>
        <v>Scope 3 Inventory</v>
      </c>
      <c r="AR1804" t="str">
        <f>_xlfn.XLOOKUP(emissions[[#This Row],[Reporting unit name]],hierarchy!$A:$A,hierarchy!$C:$C)</f>
        <v>Scope 3 Inventory</v>
      </c>
    </row>
    <row r="1805" spans="1:44" hidden="1" x14ac:dyDescent="0.25">
      <c r="A1805">
        <v>1677405</v>
      </c>
      <c r="B1805" t="s">
        <v>76</v>
      </c>
      <c r="C1805" t="s">
        <v>540</v>
      </c>
      <c r="D1805" t="s">
        <v>599</v>
      </c>
      <c r="E1805" s="3">
        <v>44197</v>
      </c>
      <c r="F1805" s="3">
        <v>44561</v>
      </c>
      <c r="G1805" t="s">
        <v>94</v>
      </c>
      <c r="H1805" s="3">
        <v>44470</v>
      </c>
      <c r="I1805" s="3">
        <v>44561</v>
      </c>
      <c r="J1805" t="s">
        <v>94</v>
      </c>
      <c r="K1805">
        <v>2522.25</v>
      </c>
      <c r="L1805" t="s">
        <v>81</v>
      </c>
      <c r="M1805" t="s">
        <v>82</v>
      </c>
      <c r="O1805" t="s">
        <v>987</v>
      </c>
      <c r="P1805" t="s">
        <v>983</v>
      </c>
      <c r="Q1805">
        <v>2021</v>
      </c>
      <c r="R1805" t="s">
        <v>807</v>
      </c>
      <c r="S1805" t="s">
        <v>428</v>
      </c>
      <c r="T1805" t="s">
        <v>553</v>
      </c>
      <c r="U1805" t="b">
        <v>0</v>
      </c>
      <c r="V1805" t="s">
        <v>808</v>
      </c>
      <c r="W1805" t="s">
        <v>571</v>
      </c>
      <c r="X1805" t="s">
        <v>979</v>
      </c>
      <c r="AC1805">
        <v>0</v>
      </c>
      <c r="AD1805" t="s">
        <v>565</v>
      </c>
      <c r="AE1805">
        <v>2522250</v>
      </c>
      <c r="AF1805">
        <v>1</v>
      </c>
      <c r="AG1805" t="s">
        <v>622</v>
      </c>
      <c r="AH1805">
        <v>1000</v>
      </c>
      <c r="AI1805">
        <v>2522250</v>
      </c>
      <c r="AJ1805" t="s">
        <v>561</v>
      </c>
      <c r="AK1805" t="s">
        <v>589</v>
      </c>
      <c r="AL1805" t="s">
        <v>603</v>
      </c>
      <c r="AM1805">
        <v>2021</v>
      </c>
      <c r="AN1805">
        <v>2019</v>
      </c>
      <c r="AO1805">
        <f>IF(AND(emissions[[#This Row],[Market-based]]=0,emissions[[#This Row],[Impact Type]]="CO2E"),emissions[[#This Row],[kgCO2e]],0)/1000</f>
        <v>2522.25</v>
      </c>
      <c r="AP1805">
        <f>IF(AND(emissions[[#This Row],[Market-based]]=1,OR(emissions[[#This Row],[Impact Type]]="CO2E",emissions[[#This Row],[Impact Type]]="CO2E MKT")),emissions[[#This Row],[kgCO2e]],0)/1000</f>
        <v>0</v>
      </c>
      <c r="AQ1805" t="str">
        <f>_xlfn.TEXTAFTER(emissions[[#This Row],[Reporting Unit]]," &gt; ",LEN(emissions[[#This Row],[Reporting Unit]])-LEN(SUBSTITUTE(emissions[[#This Row],[Reporting Unit]],"&gt;","")))</f>
        <v>Scope 3 Inventory</v>
      </c>
      <c r="AR1805" t="str">
        <f>_xlfn.XLOOKUP(emissions[[#This Row],[Reporting unit name]],hierarchy!$A:$A,hierarchy!$C:$C)</f>
        <v>Scope 3 Inventory</v>
      </c>
    </row>
    <row r="1806" spans="1:44" hidden="1" x14ac:dyDescent="0.25">
      <c r="A1806">
        <v>1677405</v>
      </c>
      <c r="B1806" t="s">
        <v>76</v>
      </c>
      <c r="C1806" t="s">
        <v>540</v>
      </c>
      <c r="D1806" t="s">
        <v>599</v>
      </c>
      <c r="E1806" s="3">
        <v>44197</v>
      </c>
      <c r="F1806" s="3">
        <v>44561</v>
      </c>
      <c r="G1806" t="s">
        <v>94</v>
      </c>
      <c r="H1806" s="3">
        <v>44470</v>
      </c>
      <c r="I1806" s="3">
        <v>44561</v>
      </c>
      <c r="J1806" t="s">
        <v>94</v>
      </c>
      <c r="K1806">
        <v>2522.25</v>
      </c>
      <c r="L1806" t="s">
        <v>81</v>
      </c>
      <c r="M1806" t="s">
        <v>82</v>
      </c>
      <c r="O1806" t="s">
        <v>987</v>
      </c>
      <c r="P1806" t="s">
        <v>983</v>
      </c>
      <c r="Q1806">
        <v>2021</v>
      </c>
      <c r="R1806" t="s">
        <v>807</v>
      </c>
      <c r="S1806" t="s">
        <v>428</v>
      </c>
      <c r="T1806" t="s">
        <v>553</v>
      </c>
      <c r="U1806" t="b">
        <v>0</v>
      </c>
      <c r="V1806" t="s">
        <v>808</v>
      </c>
      <c r="W1806" t="s">
        <v>571</v>
      </c>
      <c r="X1806" t="s">
        <v>979</v>
      </c>
      <c r="AC1806">
        <v>1</v>
      </c>
      <c r="AD1806" t="s">
        <v>565</v>
      </c>
      <c r="AE1806">
        <v>2522250</v>
      </c>
      <c r="AF1806">
        <v>1</v>
      </c>
      <c r="AG1806" t="s">
        <v>622</v>
      </c>
      <c r="AH1806">
        <v>1000</v>
      </c>
      <c r="AI1806">
        <v>2522250</v>
      </c>
      <c r="AJ1806" t="s">
        <v>561</v>
      </c>
      <c r="AK1806" t="s">
        <v>589</v>
      </c>
      <c r="AL1806" t="s">
        <v>603</v>
      </c>
      <c r="AM1806">
        <v>2021</v>
      </c>
      <c r="AN1806">
        <v>2019</v>
      </c>
      <c r="AO1806">
        <f>IF(AND(emissions[[#This Row],[Market-based]]=0,emissions[[#This Row],[Impact Type]]="CO2E"),emissions[[#This Row],[kgCO2e]],0)/1000</f>
        <v>0</v>
      </c>
      <c r="AP1806">
        <f>IF(AND(emissions[[#This Row],[Market-based]]=1,OR(emissions[[#This Row],[Impact Type]]="CO2E",emissions[[#This Row],[Impact Type]]="CO2E MKT")),emissions[[#This Row],[kgCO2e]],0)/1000</f>
        <v>2522.25</v>
      </c>
      <c r="AQ1806" t="str">
        <f>_xlfn.TEXTAFTER(emissions[[#This Row],[Reporting Unit]]," &gt; ",LEN(emissions[[#This Row],[Reporting Unit]])-LEN(SUBSTITUTE(emissions[[#This Row],[Reporting Unit]],"&gt;","")))</f>
        <v>Scope 3 Inventory</v>
      </c>
      <c r="AR1806" t="str">
        <f>_xlfn.XLOOKUP(emissions[[#This Row],[Reporting unit name]],hierarchy!$A:$A,hierarchy!$C:$C)</f>
        <v>Scope 3 Inventory</v>
      </c>
    </row>
    <row r="1807" spans="1:44" hidden="1" x14ac:dyDescent="0.25">
      <c r="A1807">
        <v>1677407</v>
      </c>
      <c r="B1807" t="s">
        <v>76</v>
      </c>
      <c r="C1807" t="s">
        <v>540</v>
      </c>
      <c r="D1807" t="s">
        <v>599</v>
      </c>
      <c r="E1807" s="3">
        <v>44197</v>
      </c>
      <c r="F1807" s="3">
        <v>44561</v>
      </c>
      <c r="G1807" t="s">
        <v>96</v>
      </c>
      <c r="H1807" s="3">
        <v>44470</v>
      </c>
      <c r="I1807" s="3">
        <v>44561</v>
      </c>
      <c r="J1807" t="s">
        <v>96</v>
      </c>
      <c r="K1807">
        <v>740.94</v>
      </c>
      <c r="L1807" t="s">
        <v>81</v>
      </c>
      <c r="M1807" t="s">
        <v>82</v>
      </c>
      <c r="O1807" t="s">
        <v>987</v>
      </c>
      <c r="P1807" t="s">
        <v>987</v>
      </c>
      <c r="Q1807">
        <v>2021</v>
      </c>
      <c r="R1807" t="s">
        <v>807</v>
      </c>
      <c r="S1807" t="s">
        <v>428</v>
      </c>
      <c r="T1807" t="s">
        <v>553</v>
      </c>
      <c r="U1807" t="b">
        <v>0</v>
      </c>
      <c r="V1807" t="s">
        <v>808</v>
      </c>
      <c r="W1807" t="s">
        <v>571</v>
      </c>
      <c r="X1807" t="s">
        <v>981</v>
      </c>
      <c r="AC1807">
        <v>0</v>
      </c>
      <c r="AD1807" t="s">
        <v>565</v>
      </c>
      <c r="AE1807">
        <v>740940</v>
      </c>
      <c r="AF1807">
        <v>1</v>
      </c>
      <c r="AG1807" t="s">
        <v>622</v>
      </c>
      <c r="AH1807">
        <v>1000</v>
      </c>
      <c r="AI1807">
        <v>740940</v>
      </c>
      <c r="AJ1807" t="s">
        <v>561</v>
      </c>
      <c r="AK1807" t="s">
        <v>589</v>
      </c>
      <c r="AL1807" t="s">
        <v>603</v>
      </c>
      <c r="AM1807">
        <v>2021</v>
      </c>
      <c r="AN1807">
        <v>2019</v>
      </c>
      <c r="AO1807">
        <f>IF(AND(emissions[[#This Row],[Market-based]]=0,emissions[[#This Row],[Impact Type]]="CO2E"),emissions[[#This Row],[kgCO2e]],0)/1000</f>
        <v>740.94</v>
      </c>
      <c r="AP1807">
        <f>IF(AND(emissions[[#This Row],[Market-based]]=1,OR(emissions[[#This Row],[Impact Type]]="CO2E",emissions[[#This Row],[Impact Type]]="CO2E MKT")),emissions[[#This Row],[kgCO2e]],0)/1000</f>
        <v>0</v>
      </c>
      <c r="AQ1807" t="str">
        <f>_xlfn.TEXTAFTER(emissions[[#This Row],[Reporting Unit]]," &gt; ",LEN(emissions[[#This Row],[Reporting Unit]])-LEN(SUBSTITUTE(emissions[[#This Row],[Reporting Unit]],"&gt;","")))</f>
        <v>Scope 3 Inventory</v>
      </c>
      <c r="AR1807" t="str">
        <f>_xlfn.XLOOKUP(emissions[[#This Row],[Reporting unit name]],hierarchy!$A:$A,hierarchy!$C:$C)</f>
        <v>Scope 3 Inventory</v>
      </c>
    </row>
    <row r="1808" spans="1:44" hidden="1" x14ac:dyDescent="0.25">
      <c r="A1808">
        <v>1677407</v>
      </c>
      <c r="B1808" t="s">
        <v>76</v>
      </c>
      <c r="C1808" t="s">
        <v>540</v>
      </c>
      <c r="D1808" t="s">
        <v>599</v>
      </c>
      <c r="E1808" s="3">
        <v>44197</v>
      </c>
      <c r="F1808" s="3">
        <v>44561</v>
      </c>
      <c r="G1808" t="s">
        <v>96</v>
      </c>
      <c r="H1808" s="3">
        <v>44470</v>
      </c>
      <c r="I1808" s="3">
        <v>44561</v>
      </c>
      <c r="J1808" t="s">
        <v>96</v>
      </c>
      <c r="K1808">
        <v>740.94</v>
      </c>
      <c r="L1808" t="s">
        <v>81</v>
      </c>
      <c r="M1808" t="s">
        <v>82</v>
      </c>
      <c r="O1808" t="s">
        <v>987</v>
      </c>
      <c r="P1808" t="s">
        <v>987</v>
      </c>
      <c r="Q1808">
        <v>2021</v>
      </c>
      <c r="R1808" t="s">
        <v>807</v>
      </c>
      <c r="S1808" t="s">
        <v>428</v>
      </c>
      <c r="T1808" t="s">
        <v>553</v>
      </c>
      <c r="U1808" t="b">
        <v>0</v>
      </c>
      <c r="V1808" t="s">
        <v>808</v>
      </c>
      <c r="W1808" t="s">
        <v>571</v>
      </c>
      <c r="X1808" t="s">
        <v>981</v>
      </c>
      <c r="AC1808">
        <v>1</v>
      </c>
      <c r="AD1808" t="s">
        <v>565</v>
      </c>
      <c r="AE1808">
        <v>740940</v>
      </c>
      <c r="AF1808">
        <v>1</v>
      </c>
      <c r="AG1808" t="s">
        <v>622</v>
      </c>
      <c r="AH1808">
        <v>1000</v>
      </c>
      <c r="AI1808">
        <v>740940</v>
      </c>
      <c r="AJ1808" t="s">
        <v>561</v>
      </c>
      <c r="AK1808" t="s">
        <v>589</v>
      </c>
      <c r="AL1808" t="s">
        <v>603</v>
      </c>
      <c r="AM1808">
        <v>2021</v>
      </c>
      <c r="AN1808">
        <v>2019</v>
      </c>
      <c r="AO1808">
        <f>IF(AND(emissions[[#This Row],[Market-based]]=0,emissions[[#This Row],[Impact Type]]="CO2E"),emissions[[#This Row],[kgCO2e]],0)/1000</f>
        <v>0</v>
      </c>
      <c r="AP1808">
        <f>IF(AND(emissions[[#This Row],[Market-based]]=1,OR(emissions[[#This Row],[Impact Type]]="CO2E",emissions[[#This Row],[Impact Type]]="CO2E MKT")),emissions[[#This Row],[kgCO2e]],0)/1000</f>
        <v>740.94</v>
      </c>
      <c r="AQ1808" t="str">
        <f>_xlfn.TEXTAFTER(emissions[[#This Row],[Reporting Unit]]," &gt; ",LEN(emissions[[#This Row],[Reporting Unit]])-LEN(SUBSTITUTE(emissions[[#This Row],[Reporting Unit]],"&gt;","")))</f>
        <v>Scope 3 Inventory</v>
      </c>
      <c r="AR1808" t="str">
        <f>_xlfn.XLOOKUP(emissions[[#This Row],[Reporting unit name]],hierarchy!$A:$A,hierarchy!$C:$C)</f>
        <v>Scope 3 Inventory</v>
      </c>
    </row>
    <row r="1809" spans="1:44" hidden="1" x14ac:dyDescent="0.25">
      <c r="A1809">
        <v>1677409</v>
      </c>
      <c r="B1809" t="s">
        <v>76</v>
      </c>
      <c r="C1809" t="s">
        <v>540</v>
      </c>
      <c r="D1809" t="s">
        <v>599</v>
      </c>
      <c r="E1809" s="3">
        <v>44197</v>
      </c>
      <c r="F1809" s="3">
        <v>44561</v>
      </c>
      <c r="G1809" t="s">
        <v>78</v>
      </c>
      <c r="H1809" s="3">
        <v>44470</v>
      </c>
      <c r="I1809" s="3">
        <v>44561</v>
      </c>
      <c r="J1809" t="s">
        <v>78</v>
      </c>
      <c r="K1809">
        <v>105039.06</v>
      </c>
      <c r="L1809" t="s">
        <v>81</v>
      </c>
      <c r="M1809" t="s">
        <v>82</v>
      </c>
      <c r="O1809" t="s">
        <v>988</v>
      </c>
      <c r="P1809" t="s">
        <v>988</v>
      </c>
      <c r="Q1809">
        <v>2021</v>
      </c>
      <c r="R1809" t="s">
        <v>807</v>
      </c>
      <c r="S1809" t="s">
        <v>428</v>
      </c>
      <c r="T1809" t="s">
        <v>553</v>
      </c>
      <c r="U1809" t="b">
        <v>0</v>
      </c>
      <c r="V1809" t="s">
        <v>808</v>
      </c>
      <c r="W1809" t="s">
        <v>571</v>
      </c>
      <c r="X1809" t="s">
        <v>982</v>
      </c>
      <c r="AC1809">
        <v>0</v>
      </c>
      <c r="AD1809" t="s">
        <v>565</v>
      </c>
      <c r="AE1809">
        <v>105039060</v>
      </c>
      <c r="AF1809">
        <v>1</v>
      </c>
      <c r="AG1809" t="s">
        <v>622</v>
      </c>
      <c r="AH1809">
        <v>1000</v>
      </c>
      <c r="AI1809">
        <v>105039060</v>
      </c>
      <c r="AJ1809" t="s">
        <v>561</v>
      </c>
      <c r="AK1809" t="s">
        <v>589</v>
      </c>
      <c r="AL1809" t="s">
        <v>603</v>
      </c>
      <c r="AM1809">
        <v>2021</v>
      </c>
      <c r="AN1809">
        <v>2019</v>
      </c>
      <c r="AO1809">
        <f>IF(AND(emissions[[#This Row],[Market-based]]=0,emissions[[#This Row],[Impact Type]]="CO2E"),emissions[[#This Row],[kgCO2e]],0)/1000</f>
        <v>105039.06</v>
      </c>
      <c r="AP1809">
        <f>IF(AND(emissions[[#This Row],[Market-based]]=1,OR(emissions[[#This Row],[Impact Type]]="CO2E",emissions[[#This Row],[Impact Type]]="CO2E MKT")),emissions[[#This Row],[kgCO2e]],0)/1000</f>
        <v>0</v>
      </c>
      <c r="AQ1809" t="str">
        <f>_xlfn.TEXTAFTER(emissions[[#This Row],[Reporting Unit]]," &gt; ",LEN(emissions[[#This Row],[Reporting Unit]])-LEN(SUBSTITUTE(emissions[[#This Row],[Reporting Unit]],"&gt;","")))</f>
        <v>Scope 3 Inventory</v>
      </c>
      <c r="AR1809" t="str">
        <f>_xlfn.XLOOKUP(emissions[[#This Row],[Reporting unit name]],hierarchy!$A:$A,hierarchy!$C:$C)</f>
        <v>Scope 3 Inventory</v>
      </c>
    </row>
    <row r="1810" spans="1:44" hidden="1" x14ac:dyDescent="0.25">
      <c r="A1810">
        <v>1677409</v>
      </c>
      <c r="B1810" t="s">
        <v>76</v>
      </c>
      <c r="C1810" t="s">
        <v>540</v>
      </c>
      <c r="D1810" t="s">
        <v>599</v>
      </c>
      <c r="E1810" s="3">
        <v>44197</v>
      </c>
      <c r="F1810" s="3">
        <v>44561</v>
      </c>
      <c r="G1810" t="s">
        <v>78</v>
      </c>
      <c r="H1810" s="3">
        <v>44470</v>
      </c>
      <c r="I1810" s="3">
        <v>44561</v>
      </c>
      <c r="J1810" t="s">
        <v>78</v>
      </c>
      <c r="K1810">
        <v>105039.06</v>
      </c>
      <c r="L1810" t="s">
        <v>81</v>
      </c>
      <c r="M1810" t="s">
        <v>82</v>
      </c>
      <c r="O1810" t="s">
        <v>988</v>
      </c>
      <c r="P1810" t="s">
        <v>988</v>
      </c>
      <c r="Q1810">
        <v>2021</v>
      </c>
      <c r="R1810" t="s">
        <v>807</v>
      </c>
      <c r="S1810" t="s">
        <v>428</v>
      </c>
      <c r="T1810" t="s">
        <v>553</v>
      </c>
      <c r="U1810" t="b">
        <v>0</v>
      </c>
      <c r="V1810" t="s">
        <v>808</v>
      </c>
      <c r="W1810" t="s">
        <v>571</v>
      </c>
      <c r="X1810" t="s">
        <v>982</v>
      </c>
      <c r="AC1810">
        <v>1</v>
      </c>
      <c r="AD1810" t="s">
        <v>565</v>
      </c>
      <c r="AE1810">
        <v>105039060</v>
      </c>
      <c r="AF1810">
        <v>1</v>
      </c>
      <c r="AG1810" t="s">
        <v>622</v>
      </c>
      <c r="AH1810">
        <v>1000</v>
      </c>
      <c r="AI1810">
        <v>105039060</v>
      </c>
      <c r="AJ1810" t="s">
        <v>561</v>
      </c>
      <c r="AK1810" t="s">
        <v>589</v>
      </c>
      <c r="AL1810" t="s">
        <v>603</v>
      </c>
      <c r="AM1810">
        <v>2021</v>
      </c>
      <c r="AN1810">
        <v>2019</v>
      </c>
      <c r="AO1810">
        <f>IF(AND(emissions[[#This Row],[Market-based]]=0,emissions[[#This Row],[Impact Type]]="CO2E"),emissions[[#This Row],[kgCO2e]],0)/1000</f>
        <v>0</v>
      </c>
      <c r="AP1810">
        <f>IF(AND(emissions[[#This Row],[Market-based]]=1,OR(emissions[[#This Row],[Impact Type]]="CO2E",emissions[[#This Row],[Impact Type]]="CO2E MKT")),emissions[[#This Row],[kgCO2e]],0)/1000</f>
        <v>105039.06</v>
      </c>
      <c r="AQ1810" t="str">
        <f>_xlfn.TEXTAFTER(emissions[[#This Row],[Reporting Unit]]," &gt; ",LEN(emissions[[#This Row],[Reporting Unit]])-LEN(SUBSTITUTE(emissions[[#This Row],[Reporting Unit]],"&gt;","")))</f>
        <v>Scope 3 Inventory</v>
      </c>
      <c r="AR1810" t="str">
        <f>_xlfn.XLOOKUP(emissions[[#This Row],[Reporting unit name]],hierarchy!$A:$A,hierarchy!$C:$C)</f>
        <v>Scope 3 Inventory</v>
      </c>
    </row>
    <row r="1811" spans="1:44" hidden="1" x14ac:dyDescent="0.25">
      <c r="A1811">
        <v>237661</v>
      </c>
      <c r="B1811" t="s">
        <v>240</v>
      </c>
      <c r="C1811" t="s">
        <v>475</v>
      </c>
      <c r="D1811" t="s">
        <v>548</v>
      </c>
      <c r="E1811" s="3">
        <v>44562</v>
      </c>
      <c r="F1811" s="3">
        <v>44926</v>
      </c>
      <c r="G1811" t="s">
        <v>108</v>
      </c>
      <c r="H1811" s="3">
        <v>44562</v>
      </c>
      <c r="I1811" s="3">
        <v>44926</v>
      </c>
      <c r="J1811" t="s">
        <v>108</v>
      </c>
      <c r="K1811">
        <v>5880973</v>
      </c>
      <c r="L1811" t="s">
        <v>109</v>
      </c>
      <c r="M1811" t="s">
        <v>110</v>
      </c>
      <c r="O1811" t="s">
        <v>989</v>
      </c>
      <c r="P1811" t="s">
        <v>550</v>
      </c>
      <c r="Q1811">
        <v>2022</v>
      </c>
      <c r="R1811" t="s">
        <v>551</v>
      </c>
      <c r="S1811" t="s">
        <v>552</v>
      </c>
      <c r="T1811" t="s">
        <v>553</v>
      </c>
      <c r="U1811" t="b">
        <v>0</v>
      </c>
      <c r="V1811" t="s">
        <v>990</v>
      </c>
      <c r="W1811" t="s">
        <v>555</v>
      </c>
      <c r="X1811" t="s">
        <v>556</v>
      </c>
      <c r="Y1811" t="s">
        <v>472</v>
      </c>
      <c r="Z1811" t="s">
        <v>491</v>
      </c>
      <c r="AA1811" t="s">
        <v>991</v>
      </c>
      <c r="AC1811">
        <v>0</v>
      </c>
      <c r="AD1811" t="s">
        <v>558</v>
      </c>
      <c r="AE1811">
        <v>2352.3892000000001</v>
      </c>
      <c r="AF1811" t="s">
        <v>559</v>
      </c>
      <c r="AG1811" t="s">
        <v>560</v>
      </c>
      <c r="AH1811">
        <v>1</v>
      </c>
      <c r="AI1811">
        <v>5880973</v>
      </c>
      <c r="AJ1811" t="s">
        <v>561</v>
      </c>
      <c r="AK1811" t="s">
        <v>562</v>
      </c>
      <c r="AL1811" t="s">
        <v>563</v>
      </c>
      <c r="AM1811">
        <v>2022</v>
      </c>
      <c r="AN1811">
        <v>2020</v>
      </c>
      <c r="AO1811">
        <f>IF(AND(emissions[[#This Row],[Market-based]]=0,emissions[[#This Row],[Impact Type]]="CO2E"),emissions[[#This Row],[kgCO2e]],0)/1000</f>
        <v>0</v>
      </c>
      <c r="AP1811">
        <f>IF(AND(emissions[[#This Row],[Market-based]]=1,OR(emissions[[#This Row],[Impact Type]]="CO2E",emissions[[#This Row],[Impact Type]]="CO2E MKT")),emissions[[#This Row],[kgCO2e]],0)/1000</f>
        <v>0</v>
      </c>
      <c r="AQ1811" t="str">
        <f>_xlfn.TEXTAFTER(emissions[[#This Row],[Reporting Unit]]," &gt; ",LEN(emissions[[#This Row],[Reporting Unit]])-LEN(SUBSTITUTE(emissions[[#This Row],[Reporting Unit]],"&gt;","")))</f>
        <v>Vantage_Argentina Farm (Agrinsa)</v>
      </c>
      <c r="AR1811" t="str">
        <f>_xlfn.XLOOKUP(emissions[[#This Row],[Reporting unit name]],hierarchy!$A:$A,hierarchy!$C:$C)</f>
        <v>Labratory</v>
      </c>
    </row>
    <row r="1812" spans="1:44" hidden="1" x14ac:dyDescent="0.25">
      <c r="A1812">
        <v>237661</v>
      </c>
      <c r="B1812" t="s">
        <v>240</v>
      </c>
      <c r="C1812" t="s">
        <v>475</v>
      </c>
      <c r="D1812" t="s">
        <v>548</v>
      </c>
      <c r="E1812" s="3">
        <v>44562</v>
      </c>
      <c r="F1812" s="3">
        <v>44926</v>
      </c>
      <c r="G1812" t="s">
        <v>108</v>
      </c>
      <c r="H1812" s="3">
        <v>44562</v>
      </c>
      <c r="I1812" s="3">
        <v>44926</v>
      </c>
      <c r="J1812" t="s">
        <v>108</v>
      </c>
      <c r="K1812">
        <v>5880973</v>
      </c>
      <c r="L1812" t="s">
        <v>109</v>
      </c>
      <c r="M1812" t="s">
        <v>110</v>
      </c>
      <c r="O1812" t="s">
        <v>989</v>
      </c>
      <c r="P1812" t="s">
        <v>550</v>
      </c>
      <c r="Q1812">
        <v>2022</v>
      </c>
      <c r="R1812" t="s">
        <v>551</v>
      </c>
      <c r="S1812" t="s">
        <v>552</v>
      </c>
      <c r="T1812" t="s">
        <v>553</v>
      </c>
      <c r="U1812" t="b">
        <v>0</v>
      </c>
      <c r="V1812" t="s">
        <v>990</v>
      </c>
      <c r="W1812" t="s">
        <v>555</v>
      </c>
      <c r="X1812" t="s">
        <v>556</v>
      </c>
      <c r="Y1812" t="s">
        <v>472</v>
      </c>
      <c r="Z1812" t="s">
        <v>491</v>
      </c>
      <c r="AA1812" t="s">
        <v>991</v>
      </c>
      <c r="AC1812">
        <v>0</v>
      </c>
      <c r="AD1812" t="s">
        <v>564</v>
      </c>
      <c r="AE1812">
        <v>1603153.24</v>
      </c>
      <c r="AF1812" t="s">
        <v>559</v>
      </c>
      <c r="AG1812" t="s">
        <v>560</v>
      </c>
      <c r="AH1812">
        <v>1</v>
      </c>
      <c r="AI1812">
        <v>5880973</v>
      </c>
      <c r="AJ1812" t="s">
        <v>561</v>
      </c>
      <c r="AK1812" t="s">
        <v>562</v>
      </c>
      <c r="AL1812" t="s">
        <v>563</v>
      </c>
      <c r="AM1812">
        <v>2022</v>
      </c>
      <c r="AN1812">
        <v>2020</v>
      </c>
      <c r="AO1812">
        <f>IF(AND(emissions[[#This Row],[Market-based]]=0,emissions[[#This Row],[Impact Type]]="CO2E"),emissions[[#This Row],[kgCO2e]],0)/1000</f>
        <v>0</v>
      </c>
      <c r="AP1812">
        <f>IF(AND(emissions[[#This Row],[Market-based]]=1,OR(emissions[[#This Row],[Impact Type]]="CO2E",emissions[[#This Row],[Impact Type]]="CO2E MKT")),emissions[[#This Row],[kgCO2e]],0)/1000</f>
        <v>0</v>
      </c>
      <c r="AQ1812" t="str">
        <f>_xlfn.TEXTAFTER(emissions[[#This Row],[Reporting Unit]]," &gt; ",LEN(emissions[[#This Row],[Reporting Unit]])-LEN(SUBSTITUTE(emissions[[#This Row],[Reporting Unit]],"&gt;","")))</f>
        <v>Vantage_Argentina Farm (Agrinsa)</v>
      </c>
      <c r="AR1812" t="str">
        <f>_xlfn.XLOOKUP(emissions[[#This Row],[Reporting unit name]],hierarchy!$A:$A,hierarchy!$C:$C)</f>
        <v>Labratory</v>
      </c>
    </row>
    <row r="1813" spans="1:44" hidden="1" x14ac:dyDescent="0.25">
      <c r="A1813">
        <v>237661</v>
      </c>
      <c r="B1813" t="s">
        <v>240</v>
      </c>
      <c r="C1813" t="s">
        <v>475</v>
      </c>
      <c r="D1813" t="s">
        <v>548</v>
      </c>
      <c r="E1813" s="3">
        <v>44562</v>
      </c>
      <c r="F1813" s="3">
        <v>44926</v>
      </c>
      <c r="G1813" t="s">
        <v>108</v>
      </c>
      <c r="H1813" s="3">
        <v>44562</v>
      </c>
      <c r="I1813" s="3">
        <v>44926</v>
      </c>
      <c r="J1813" t="s">
        <v>108</v>
      </c>
      <c r="K1813">
        <v>5880973</v>
      </c>
      <c r="L1813" t="s">
        <v>109</v>
      </c>
      <c r="M1813" t="s">
        <v>110</v>
      </c>
      <c r="O1813" t="s">
        <v>989</v>
      </c>
      <c r="P1813" t="s">
        <v>550</v>
      </c>
      <c r="Q1813">
        <v>2022</v>
      </c>
      <c r="R1813" t="s">
        <v>551</v>
      </c>
      <c r="S1813" t="s">
        <v>552</v>
      </c>
      <c r="T1813" t="s">
        <v>553</v>
      </c>
      <c r="U1813" t="b">
        <v>0</v>
      </c>
      <c r="V1813" t="s">
        <v>990</v>
      </c>
      <c r="W1813" t="s">
        <v>555</v>
      </c>
      <c r="X1813" t="s">
        <v>556</v>
      </c>
      <c r="Y1813" t="s">
        <v>472</v>
      </c>
      <c r="Z1813" t="s">
        <v>491</v>
      </c>
      <c r="AA1813" t="s">
        <v>991</v>
      </c>
      <c r="AC1813">
        <v>0</v>
      </c>
      <c r="AD1813" t="s">
        <v>565</v>
      </c>
      <c r="AE1813">
        <v>1609034.213</v>
      </c>
      <c r="AF1813" t="s">
        <v>559</v>
      </c>
      <c r="AG1813" t="s">
        <v>560</v>
      </c>
      <c r="AH1813">
        <v>1</v>
      </c>
      <c r="AI1813">
        <v>5880973</v>
      </c>
      <c r="AJ1813" t="s">
        <v>561</v>
      </c>
      <c r="AK1813" t="s">
        <v>562</v>
      </c>
      <c r="AL1813" t="s">
        <v>563</v>
      </c>
      <c r="AM1813">
        <v>2022</v>
      </c>
      <c r="AN1813">
        <v>2020</v>
      </c>
      <c r="AO1813">
        <f>IF(AND(emissions[[#This Row],[Market-based]]=0,emissions[[#This Row],[Impact Type]]="CO2E"),emissions[[#This Row],[kgCO2e]],0)/1000</f>
        <v>1609.0342129999999</v>
      </c>
      <c r="AP1813">
        <f>IF(AND(emissions[[#This Row],[Market-based]]=1,OR(emissions[[#This Row],[Impact Type]]="CO2E",emissions[[#This Row],[Impact Type]]="CO2E MKT")),emissions[[#This Row],[kgCO2e]],0)/1000</f>
        <v>0</v>
      </c>
      <c r="AQ1813" t="str">
        <f>_xlfn.TEXTAFTER(emissions[[#This Row],[Reporting Unit]]," &gt; ",LEN(emissions[[#This Row],[Reporting Unit]])-LEN(SUBSTITUTE(emissions[[#This Row],[Reporting Unit]],"&gt;","")))</f>
        <v>Vantage_Argentina Farm (Agrinsa)</v>
      </c>
      <c r="AR1813" t="str">
        <f>_xlfn.XLOOKUP(emissions[[#This Row],[Reporting unit name]],hierarchy!$A:$A,hierarchy!$C:$C)</f>
        <v>Labratory</v>
      </c>
    </row>
    <row r="1814" spans="1:44" hidden="1" x14ac:dyDescent="0.25">
      <c r="A1814">
        <v>237661</v>
      </c>
      <c r="B1814" t="s">
        <v>240</v>
      </c>
      <c r="C1814" t="s">
        <v>475</v>
      </c>
      <c r="D1814" t="s">
        <v>548</v>
      </c>
      <c r="E1814" s="3">
        <v>44562</v>
      </c>
      <c r="F1814" s="3">
        <v>44926</v>
      </c>
      <c r="G1814" t="s">
        <v>108</v>
      </c>
      <c r="H1814" s="3">
        <v>44562</v>
      </c>
      <c r="I1814" s="3">
        <v>44926</v>
      </c>
      <c r="J1814" t="s">
        <v>108</v>
      </c>
      <c r="K1814">
        <v>5880973</v>
      </c>
      <c r="L1814" t="s">
        <v>109</v>
      </c>
      <c r="M1814" t="s">
        <v>110</v>
      </c>
      <c r="O1814" t="s">
        <v>989</v>
      </c>
      <c r="P1814" t="s">
        <v>550</v>
      </c>
      <c r="Q1814">
        <v>2022</v>
      </c>
      <c r="R1814" t="s">
        <v>551</v>
      </c>
      <c r="S1814" t="s">
        <v>552</v>
      </c>
      <c r="T1814" t="s">
        <v>553</v>
      </c>
      <c r="U1814" t="b">
        <v>0</v>
      </c>
      <c r="V1814" t="s">
        <v>990</v>
      </c>
      <c r="W1814" t="s">
        <v>555</v>
      </c>
      <c r="X1814" t="s">
        <v>556</v>
      </c>
      <c r="Y1814" t="s">
        <v>472</v>
      </c>
      <c r="Z1814" t="s">
        <v>491</v>
      </c>
      <c r="AA1814" t="s">
        <v>991</v>
      </c>
      <c r="AC1814">
        <v>0</v>
      </c>
      <c r="AD1814" t="s">
        <v>566</v>
      </c>
      <c r="AE1814">
        <v>3528.5837999999999</v>
      </c>
      <c r="AF1814" t="s">
        <v>559</v>
      </c>
      <c r="AG1814" t="s">
        <v>560</v>
      </c>
      <c r="AH1814">
        <v>1</v>
      </c>
      <c r="AI1814">
        <v>5880973</v>
      </c>
      <c r="AJ1814" t="s">
        <v>561</v>
      </c>
      <c r="AK1814" t="s">
        <v>562</v>
      </c>
      <c r="AL1814" t="s">
        <v>563</v>
      </c>
      <c r="AM1814">
        <v>2022</v>
      </c>
      <c r="AN1814">
        <v>2020</v>
      </c>
      <c r="AO1814">
        <f>IF(AND(emissions[[#This Row],[Market-based]]=0,emissions[[#This Row],[Impact Type]]="CO2E"),emissions[[#This Row],[kgCO2e]],0)/1000</f>
        <v>0</v>
      </c>
      <c r="AP1814">
        <f>IF(AND(emissions[[#This Row],[Market-based]]=1,OR(emissions[[#This Row],[Impact Type]]="CO2E",emissions[[#This Row],[Impact Type]]="CO2E MKT")),emissions[[#This Row],[kgCO2e]],0)/1000</f>
        <v>0</v>
      </c>
      <c r="AQ1814" t="str">
        <f>_xlfn.TEXTAFTER(emissions[[#This Row],[Reporting Unit]]," &gt; ",LEN(emissions[[#This Row],[Reporting Unit]])-LEN(SUBSTITUTE(emissions[[#This Row],[Reporting Unit]],"&gt;","")))</f>
        <v>Vantage_Argentina Farm (Agrinsa)</v>
      </c>
      <c r="AR1814" t="str">
        <f>_xlfn.XLOOKUP(emissions[[#This Row],[Reporting unit name]],hierarchy!$A:$A,hierarchy!$C:$C)</f>
        <v>Labratory</v>
      </c>
    </row>
    <row r="1815" spans="1:44" hidden="1" x14ac:dyDescent="0.25">
      <c r="A1815">
        <v>237661</v>
      </c>
      <c r="B1815" t="s">
        <v>240</v>
      </c>
      <c r="C1815" t="s">
        <v>475</v>
      </c>
      <c r="D1815" t="s">
        <v>548</v>
      </c>
      <c r="E1815" s="3">
        <v>44562</v>
      </c>
      <c r="F1815" s="3">
        <v>44926</v>
      </c>
      <c r="G1815" t="s">
        <v>108</v>
      </c>
      <c r="H1815" s="3">
        <v>44562</v>
      </c>
      <c r="I1815" s="3">
        <v>44926</v>
      </c>
      <c r="J1815" t="s">
        <v>108</v>
      </c>
      <c r="K1815">
        <v>5880973</v>
      </c>
      <c r="L1815" t="s">
        <v>109</v>
      </c>
      <c r="M1815" t="s">
        <v>110</v>
      </c>
      <c r="O1815" t="s">
        <v>989</v>
      </c>
      <c r="P1815" t="s">
        <v>550</v>
      </c>
      <c r="Q1815">
        <v>2022</v>
      </c>
      <c r="R1815" t="s">
        <v>551</v>
      </c>
      <c r="S1815" t="s">
        <v>552</v>
      </c>
      <c r="T1815" t="s">
        <v>553</v>
      </c>
      <c r="U1815" t="b">
        <v>0</v>
      </c>
      <c r="V1815" t="s">
        <v>990</v>
      </c>
      <c r="W1815" t="s">
        <v>555</v>
      </c>
      <c r="X1815" t="s">
        <v>556</v>
      </c>
      <c r="Y1815" t="s">
        <v>472</v>
      </c>
      <c r="Z1815" t="s">
        <v>491</v>
      </c>
      <c r="AA1815" t="s">
        <v>991</v>
      </c>
      <c r="AC1815">
        <v>1</v>
      </c>
      <c r="AD1815" t="s">
        <v>558</v>
      </c>
      <c r="AE1815">
        <v>2352.3892000000001</v>
      </c>
      <c r="AF1815" t="s">
        <v>559</v>
      </c>
      <c r="AG1815" t="s">
        <v>560</v>
      </c>
      <c r="AH1815">
        <v>1</v>
      </c>
      <c r="AI1815">
        <v>5880973</v>
      </c>
      <c r="AJ1815" t="s">
        <v>561</v>
      </c>
      <c r="AK1815" t="s">
        <v>562</v>
      </c>
      <c r="AL1815" t="s">
        <v>563</v>
      </c>
      <c r="AM1815">
        <v>2022</v>
      </c>
      <c r="AN1815">
        <v>2020</v>
      </c>
      <c r="AO1815">
        <f>IF(AND(emissions[[#This Row],[Market-based]]=0,emissions[[#This Row],[Impact Type]]="CO2E"),emissions[[#This Row],[kgCO2e]],0)/1000</f>
        <v>0</v>
      </c>
      <c r="AP1815">
        <f>IF(AND(emissions[[#This Row],[Market-based]]=1,OR(emissions[[#This Row],[Impact Type]]="CO2E",emissions[[#This Row],[Impact Type]]="CO2E MKT")),emissions[[#This Row],[kgCO2e]],0)/1000</f>
        <v>0</v>
      </c>
      <c r="AQ1815" t="str">
        <f>_xlfn.TEXTAFTER(emissions[[#This Row],[Reporting Unit]]," &gt; ",LEN(emissions[[#This Row],[Reporting Unit]])-LEN(SUBSTITUTE(emissions[[#This Row],[Reporting Unit]],"&gt;","")))</f>
        <v>Vantage_Argentina Farm (Agrinsa)</v>
      </c>
      <c r="AR1815" t="str">
        <f>_xlfn.XLOOKUP(emissions[[#This Row],[Reporting unit name]],hierarchy!$A:$A,hierarchy!$C:$C)</f>
        <v>Labratory</v>
      </c>
    </row>
    <row r="1816" spans="1:44" hidden="1" x14ac:dyDescent="0.25">
      <c r="A1816">
        <v>237661</v>
      </c>
      <c r="B1816" t="s">
        <v>240</v>
      </c>
      <c r="C1816" t="s">
        <v>475</v>
      </c>
      <c r="D1816" t="s">
        <v>548</v>
      </c>
      <c r="E1816" s="3">
        <v>44562</v>
      </c>
      <c r="F1816" s="3">
        <v>44926</v>
      </c>
      <c r="G1816" t="s">
        <v>108</v>
      </c>
      <c r="H1816" s="3">
        <v>44562</v>
      </c>
      <c r="I1816" s="3">
        <v>44926</v>
      </c>
      <c r="J1816" t="s">
        <v>108</v>
      </c>
      <c r="K1816">
        <v>5880973</v>
      </c>
      <c r="L1816" t="s">
        <v>109</v>
      </c>
      <c r="M1816" t="s">
        <v>110</v>
      </c>
      <c r="O1816" t="s">
        <v>989</v>
      </c>
      <c r="P1816" t="s">
        <v>550</v>
      </c>
      <c r="Q1816">
        <v>2022</v>
      </c>
      <c r="R1816" t="s">
        <v>551</v>
      </c>
      <c r="S1816" t="s">
        <v>552</v>
      </c>
      <c r="T1816" t="s">
        <v>553</v>
      </c>
      <c r="U1816" t="b">
        <v>0</v>
      </c>
      <c r="V1816" t="s">
        <v>990</v>
      </c>
      <c r="W1816" t="s">
        <v>555</v>
      </c>
      <c r="X1816" t="s">
        <v>556</v>
      </c>
      <c r="Y1816" t="s">
        <v>472</v>
      </c>
      <c r="Z1816" t="s">
        <v>491</v>
      </c>
      <c r="AA1816" t="s">
        <v>991</v>
      </c>
      <c r="AC1816">
        <v>1</v>
      </c>
      <c r="AD1816" t="s">
        <v>564</v>
      </c>
      <c r="AE1816">
        <v>1603153.24</v>
      </c>
      <c r="AF1816" t="s">
        <v>559</v>
      </c>
      <c r="AG1816" t="s">
        <v>560</v>
      </c>
      <c r="AH1816">
        <v>1</v>
      </c>
      <c r="AI1816">
        <v>5880973</v>
      </c>
      <c r="AJ1816" t="s">
        <v>561</v>
      </c>
      <c r="AK1816" t="s">
        <v>562</v>
      </c>
      <c r="AL1816" t="s">
        <v>563</v>
      </c>
      <c r="AM1816">
        <v>2022</v>
      </c>
      <c r="AN1816">
        <v>2020</v>
      </c>
      <c r="AO1816">
        <f>IF(AND(emissions[[#This Row],[Market-based]]=0,emissions[[#This Row],[Impact Type]]="CO2E"),emissions[[#This Row],[kgCO2e]],0)/1000</f>
        <v>0</v>
      </c>
      <c r="AP1816">
        <f>IF(AND(emissions[[#This Row],[Market-based]]=1,OR(emissions[[#This Row],[Impact Type]]="CO2E",emissions[[#This Row],[Impact Type]]="CO2E MKT")),emissions[[#This Row],[kgCO2e]],0)/1000</f>
        <v>0</v>
      </c>
      <c r="AQ1816" t="str">
        <f>_xlfn.TEXTAFTER(emissions[[#This Row],[Reporting Unit]]," &gt; ",LEN(emissions[[#This Row],[Reporting Unit]])-LEN(SUBSTITUTE(emissions[[#This Row],[Reporting Unit]],"&gt;","")))</f>
        <v>Vantage_Argentina Farm (Agrinsa)</v>
      </c>
      <c r="AR1816" t="str">
        <f>_xlfn.XLOOKUP(emissions[[#This Row],[Reporting unit name]],hierarchy!$A:$A,hierarchy!$C:$C)</f>
        <v>Labratory</v>
      </c>
    </row>
    <row r="1817" spans="1:44" hidden="1" x14ac:dyDescent="0.25">
      <c r="A1817">
        <v>237661</v>
      </c>
      <c r="B1817" t="s">
        <v>240</v>
      </c>
      <c r="C1817" t="s">
        <v>475</v>
      </c>
      <c r="D1817" t="s">
        <v>548</v>
      </c>
      <c r="E1817" s="3">
        <v>44562</v>
      </c>
      <c r="F1817" s="3">
        <v>44926</v>
      </c>
      <c r="G1817" t="s">
        <v>108</v>
      </c>
      <c r="H1817" s="3">
        <v>44562</v>
      </c>
      <c r="I1817" s="3">
        <v>44926</v>
      </c>
      <c r="J1817" t="s">
        <v>108</v>
      </c>
      <c r="K1817">
        <v>5880973</v>
      </c>
      <c r="L1817" t="s">
        <v>109</v>
      </c>
      <c r="M1817" t="s">
        <v>110</v>
      </c>
      <c r="O1817" t="s">
        <v>989</v>
      </c>
      <c r="P1817" t="s">
        <v>550</v>
      </c>
      <c r="Q1817">
        <v>2022</v>
      </c>
      <c r="R1817" t="s">
        <v>551</v>
      </c>
      <c r="S1817" t="s">
        <v>552</v>
      </c>
      <c r="T1817" t="s">
        <v>553</v>
      </c>
      <c r="U1817" t="b">
        <v>0</v>
      </c>
      <c r="V1817" t="s">
        <v>990</v>
      </c>
      <c r="W1817" t="s">
        <v>555</v>
      </c>
      <c r="X1817" t="s">
        <v>556</v>
      </c>
      <c r="Y1817" t="s">
        <v>472</v>
      </c>
      <c r="Z1817" t="s">
        <v>491</v>
      </c>
      <c r="AA1817" t="s">
        <v>991</v>
      </c>
      <c r="AC1817">
        <v>1</v>
      </c>
      <c r="AD1817" t="s">
        <v>565</v>
      </c>
      <c r="AE1817">
        <v>1609034.213</v>
      </c>
      <c r="AF1817" t="s">
        <v>559</v>
      </c>
      <c r="AG1817" t="s">
        <v>560</v>
      </c>
      <c r="AH1817">
        <v>1</v>
      </c>
      <c r="AI1817">
        <v>5880973</v>
      </c>
      <c r="AJ1817" t="s">
        <v>561</v>
      </c>
      <c r="AK1817" t="s">
        <v>562</v>
      </c>
      <c r="AL1817" t="s">
        <v>563</v>
      </c>
      <c r="AM1817">
        <v>2022</v>
      </c>
      <c r="AN1817">
        <v>2020</v>
      </c>
      <c r="AO1817">
        <f>IF(AND(emissions[[#This Row],[Market-based]]=0,emissions[[#This Row],[Impact Type]]="CO2E"),emissions[[#This Row],[kgCO2e]],0)/1000</f>
        <v>0</v>
      </c>
      <c r="AP1817">
        <f>IF(AND(emissions[[#This Row],[Market-based]]=1,OR(emissions[[#This Row],[Impact Type]]="CO2E",emissions[[#This Row],[Impact Type]]="CO2E MKT")),emissions[[#This Row],[kgCO2e]],0)/1000</f>
        <v>1609.0342129999999</v>
      </c>
      <c r="AQ1817" t="str">
        <f>_xlfn.TEXTAFTER(emissions[[#This Row],[Reporting Unit]]," &gt; ",LEN(emissions[[#This Row],[Reporting Unit]])-LEN(SUBSTITUTE(emissions[[#This Row],[Reporting Unit]],"&gt;","")))</f>
        <v>Vantage_Argentina Farm (Agrinsa)</v>
      </c>
      <c r="AR1817" t="str">
        <f>_xlfn.XLOOKUP(emissions[[#This Row],[Reporting unit name]],hierarchy!$A:$A,hierarchy!$C:$C)</f>
        <v>Labratory</v>
      </c>
    </row>
    <row r="1818" spans="1:44" hidden="1" x14ac:dyDescent="0.25">
      <c r="A1818">
        <v>237661</v>
      </c>
      <c r="B1818" t="s">
        <v>240</v>
      </c>
      <c r="C1818" t="s">
        <v>475</v>
      </c>
      <c r="D1818" t="s">
        <v>548</v>
      </c>
      <c r="E1818" s="3">
        <v>44562</v>
      </c>
      <c r="F1818" s="3">
        <v>44926</v>
      </c>
      <c r="G1818" t="s">
        <v>108</v>
      </c>
      <c r="H1818" s="3">
        <v>44562</v>
      </c>
      <c r="I1818" s="3">
        <v>44926</v>
      </c>
      <c r="J1818" t="s">
        <v>108</v>
      </c>
      <c r="K1818">
        <v>5880973</v>
      </c>
      <c r="L1818" t="s">
        <v>109</v>
      </c>
      <c r="M1818" t="s">
        <v>110</v>
      </c>
      <c r="O1818" t="s">
        <v>989</v>
      </c>
      <c r="P1818" t="s">
        <v>550</v>
      </c>
      <c r="Q1818">
        <v>2022</v>
      </c>
      <c r="R1818" t="s">
        <v>551</v>
      </c>
      <c r="S1818" t="s">
        <v>552</v>
      </c>
      <c r="T1818" t="s">
        <v>553</v>
      </c>
      <c r="U1818" t="b">
        <v>0</v>
      </c>
      <c r="V1818" t="s">
        <v>990</v>
      </c>
      <c r="W1818" t="s">
        <v>555</v>
      </c>
      <c r="X1818" t="s">
        <v>556</v>
      </c>
      <c r="Y1818" t="s">
        <v>472</v>
      </c>
      <c r="Z1818" t="s">
        <v>491</v>
      </c>
      <c r="AA1818" t="s">
        <v>991</v>
      </c>
      <c r="AC1818">
        <v>1</v>
      </c>
      <c r="AD1818" t="s">
        <v>566</v>
      </c>
      <c r="AE1818">
        <v>3528.5837999999999</v>
      </c>
      <c r="AF1818" t="s">
        <v>559</v>
      </c>
      <c r="AG1818" t="s">
        <v>560</v>
      </c>
      <c r="AH1818">
        <v>1</v>
      </c>
      <c r="AI1818">
        <v>5880973</v>
      </c>
      <c r="AJ1818" t="s">
        <v>561</v>
      </c>
      <c r="AK1818" t="s">
        <v>562</v>
      </c>
      <c r="AL1818" t="s">
        <v>563</v>
      </c>
      <c r="AM1818">
        <v>2022</v>
      </c>
      <c r="AN1818">
        <v>2020</v>
      </c>
      <c r="AO1818">
        <f>IF(AND(emissions[[#This Row],[Market-based]]=0,emissions[[#This Row],[Impact Type]]="CO2E"),emissions[[#This Row],[kgCO2e]],0)/1000</f>
        <v>0</v>
      </c>
      <c r="AP1818">
        <f>IF(AND(emissions[[#This Row],[Market-based]]=1,OR(emissions[[#This Row],[Impact Type]]="CO2E",emissions[[#This Row],[Impact Type]]="CO2E MKT")),emissions[[#This Row],[kgCO2e]],0)/1000</f>
        <v>0</v>
      </c>
      <c r="AQ1818" t="str">
        <f>_xlfn.TEXTAFTER(emissions[[#This Row],[Reporting Unit]]," &gt; ",LEN(emissions[[#This Row],[Reporting Unit]])-LEN(SUBSTITUTE(emissions[[#This Row],[Reporting Unit]],"&gt;","")))</f>
        <v>Vantage_Argentina Farm (Agrinsa)</v>
      </c>
      <c r="AR1818" t="str">
        <f>_xlfn.XLOOKUP(emissions[[#This Row],[Reporting unit name]],hierarchy!$A:$A,hierarchy!$C:$C)</f>
        <v>Labratory</v>
      </c>
    </row>
    <row r="1819" spans="1:44" hidden="1" x14ac:dyDescent="0.25">
      <c r="A1819">
        <v>237661</v>
      </c>
      <c r="B1819" t="s">
        <v>240</v>
      </c>
      <c r="C1819" t="s">
        <v>475</v>
      </c>
      <c r="D1819" t="s">
        <v>548</v>
      </c>
      <c r="E1819" s="3">
        <v>44562</v>
      </c>
      <c r="F1819" s="3">
        <v>44926</v>
      </c>
      <c r="G1819" t="s">
        <v>108</v>
      </c>
      <c r="H1819" s="3">
        <v>44562</v>
      </c>
      <c r="I1819" s="3">
        <v>44926</v>
      </c>
      <c r="J1819" t="s">
        <v>108</v>
      </c>
      <c r="K1819">
        <v>5880973</v>
      </c>
      <c r="L1819" t="s">
        <v>109</v>
      </c>
      <c r="M1819" t="s">
        <v>110</v>
      </c>
      <c r="O1819" t="s">
        <v>989</v>
      </c>
      <c r="P1819" t="s">
        <v>550</v>
      </c>
      <c r="Q1819">
        <v>2022</v>
      </c>
      <c r="R1819" t="s">
        <v>567</v>
      </c>
      <c r="S1819" t="s">
        <v>568</v>
      </c>
      <c r="T1819" t="s">
        <v>569</v>
      </c>
      <c r="U1819" t="b">
        <v>0</v>
      </c>
      <c r="V1819" t="s">
        <v>992</v>
      </c>
      <c r="W1819" t="s">
        <v>571</v>
      </c>
      <c r="X1819" t="s">
        <v>572</v>
      </c>
      <c r="Y1819" t="s">
        <v>472</v>
      </c>
      <c r="Z1819" t="s">
        <v>491</v>
      </c>
      <c r="AA1819" t="s">
        <v>991</v>
      </c>
      <c r="AC1819">
        <v>0</v>
      </c>
      <c r="AD1819" t="s">
        <v>565</v>
      </c>
      <c r="AE1819">
        <v>47714.195599999999</v>
      </c>
      <c r="AF1819">
        <v>8.1133170000000001E-3</v>
      </c>
      <c r="AG1819" t="s">
        <v>560</v>
      </c>
      <c r="AH1819">
        <v>1</v>
      </c>
      <c r="AI1819">
        <v>5880973</v>
      </c>
      <c r="AJ1819" t="s">
        <v>561</v>
      </c>
      <c r="AK1819" t="s">
        <v>573</v>
      </c>
      <c r="AL1819" t="s">
        <v>574</v>
      </c>
      <c r="AM1819">
        <v>2022</v>
      </c>
      <c r="AN1819">
        <v>2020</v>
      </c>
      <c r="AO1819">
        <f>IF(AND(emissions[[#This Row],[Market-based]]=0,emissions[[#This Row],[Impact Type]]="CO2E"),emissions[[#This Row],[kgCO2e]],0)/1000</f>
        <v>47.714195599999996</v>
      </c>
      <c r="AP1819">
        <f>IF(AND(emissions[[#This Row],[Market-based]]=1,OR(emissions[[#This Row],[Impact Type]]="CO2E",emissions[[#This Row],[Impact Type]]="CO2E MKT")),emissions[[#This Row],[kgCO2e]],0)/1000</f>
        <v>0</v>
      </c>
      <c r="AQ1819" t="str">
        <f>_xlfn.TEXTAFTER(emissions[[#This Row],[Reporting Unit]]," &gt; ",LEN(emissions[[#This Row],[Reporting Unit]])-LEN(SUBSTITUTE(emissions[[#This Row],[Reporting Unit]],"&gt;","")))</f>
        <v>Vantage_Argentina Farm (Agrinsa)</v>
      </c>
      <c r="AR1819" t="str">
        <f>_xlfn.XLOOKUP(emissions[[#This Row],[Reporting unit name]],hierarchy!$A:$A,hierarchy!$C:$C)</f>
        <v>Labratory</v>
      </c>
    </row>
    <row r="1820" spans="1:44" hidden="1" x14ac:dyDescent="0.25">
      <c r="A1820">
        <v>237661</v>
      </c>
      <c r="B1820" t="s">
        <v>240</v>
      </c>
      <c r="C1820" t="s">
        <v>475</v>
      </c>
      <c r="D1820" t="s">
        <v>548</v>
      </c>
      <c r="E1820" s="3">
        <v>44562</v>
      </c>
      <c r="F1820" s="3">
        <v>44926</v>
      </c>
      <c r="G1820" t="s">
        <v>108</v>
      </c>
      <c r="H1820" s="3">
        <v>44562</v>
      </c>
      <c r="I1820" s="3">
        <v>44926</v>
      </c>
      <c r="J1820" t="s">
        <v>108</v>
      </c>
      <c r="K1820">
        <v>5880973</v>
      </c>
      <c r="L1820" t="s">
        <v>109</v>
      </c>
      <c r="M1820" t="s">
        <v>110</v>
      </c>
      <c r="O1820" t="s">
        <v>989</v>
      </c>
      <c r="P1820" t="s">
        <v>550</v>
      </c>
      <c r="Q1820">
        <v>2022</v>
      </c>
      <c r="R1820" t="s">
        <v>567</v>
      </c>
      <c r="S1820" t="s">
        <v>568</v>
      </c>
      <c r="T1820" t="s">
        <v>569</v>
      </c>
      <c r="U1820" t="b">
        <v>0</v>
      </c>
      <c r="V1820" t="s">
        <v>992</v>
      </c>
      <c r="W1820" t="s">
        <v>571</v>
      </c>
      <c r="X1820" t="s">
        <v>572</v>
      </c>
      <c r="Y1820" t="s">
        <v>472</v>
      </c>
      <c r="Z1820" t="s">
        <v>491</v>
      </c>
      <c r="AA1820" t="s">
        <v>991</v>
      </c>
      <c r="AC1820">
        <v>1</v>
      </c>
      <c r="AD1820" t="s">
        <v>565</v>
      </c>
      <c r="AE1820">
        <v>47714.195599999999</v>
      </c>
      <c r="AF1820">
        <v>8.1133170000000001E-3</v>
      </c>
      <c r="AG1820" t="s">
        <v>560</v>
      </c>
      <c r="AH1820">
        <v>1</v>
      </c>
      <c r="AI1820">
        <v>5880973</v>
      </c>
      <c r="AJ1820" t="s">
        <v>561</v>
      </c>
      <c r="AK1820" t="s">
        <v>573</v>
      </c>
      <c r="AL1820" t="s">
        <v>574</v>
      </c>
      <c r="AM1820">
        <v>2022</v>
      </c>
      <c r="AN1820">
        <v>2020</v>
      </c>
      <c r="AO1820">
        <f>IF(AND(emissions[[#This Row],[Market-based]]=0,emissions[[#This Row],[Impact Type]]="CO2E"),emissions[[#This Row],[kgCO2e]],0)/1000</f>
        <v>0</v>
      </c>
      <c r="AP1820">
        <f>IF(AND(emissions[[#This Row],[Market-based]]=1,OR(emissions[[#This Row],[Impact Type]]="CO2E",emissions[[#This Row],[Impact Type]]="CO2E MKT")),emissions[[#This Row],[kgCO2e]],0)/1000</f>
        <v>47.714195599999996</v>
      </c>
      <c r="AQ1820" t="str">
        <f>_xlfn.TEXTAFTER(emissions[[#This Row],[Reporting Unit]]," &gt; ",LEN(emissions[[#This Row],[Reporting Unit]])-LEN(SUBSTITUTE(emissions[[#This Row],[Reporting Unit]],"&gt;","")))</f>
        <v>Vantage_Argentina Farm (Agrinsa)</v>
      </c>
      <c r="AR1820" t="str">
        <f>_xlfn.XLOOKUP(emissions[[#This Row],[Reporting unit name]],hierarchy!$A:$A,hierarchy!$C:$C)</f>
        <v>Labratory</v>
      </c>
    </row>
    <row r="1821" spans="1:44" hidden="1" x14ac:dyDescent="0.25">
      <c r="A1821">
        <v>237661</v>
      </c>
      <c r="B1821" t="s">
        <v>240</v>
      </c>
      <c r="C1821" t="s">
        <v>475</v>
      </c>
      <c r="D1821" t="s">
        <v>548</v>
      </c>
      <c r="E1821" s="3">
        <v>44562</v>
      </c>
      <c r="F1821" s="3">
        <v>44926</v>
      </c>
      <c r="G1821" t="s">
        <v>108</v>
      </c>
      <c r="H1821" s="3">
        <v>44562</v>
      </c>
      <c r="I1821" s="3">
        <v>44926</v>
      </c>
      <c r="J1821" t="s">
        <v>108</v>
      </c>
      <c r="K1821">
        <v>5880973</v>
      </c>
      <c r="L1821" t="s">
        <v>109</v>
      </c>
      <c r="M1821" t="s">
        <v>110</v>
      </c>
      <c r="O1821" t="s">
        <v>989</v>
      </c>
      <c r="P1821" t="s">
        <v>550</v>
      </c>
      <c r="Q1821">
        <v>2022</v>
      </c>
      <c r="R1821" t="s">
        <v>575</v>
      </c>
      <c r="S1821" t="s">
        <v>576</v>
      </c>
      <c r="T1821" t="s">
        <v>577</v>
      </c>
      <c r="U1821" t="b">
        <v>0</v>
      </c>
      <c r="V1821" t="s">
        <v>993</v>
      </c>
      <c r="W1821" t="s">
        <v>571</v>
      </c>
      <c r="X1821" t="s">
        <v>572</v>
      </c>
      <c r="Y1821" t="s">
        <v>472</v>
      </c>
      <c r="Z1821" t="s">
        <v>491</v>
      </c>
      <c r="AA1821" t="s">
        <v>991</v>
      </c>
      <c r="AC1821">
        <v>0</v>
      </c>
      <c r="AD1821" t="s">
        <v>565</v>
      </c>
      <c r="AE1821">
        <v>340851.27720000001</v>
      </c>
      <c r="AF1821">
        <v>5.7958313999999997E-2</v>
      </c>
      <c r="AG1821" t="s">
        <v>560</v>
      </c>
      <c r="AH1821">
        <v>1</v>
      </c>
      <c r="AI1821">
        <v>5880973</v>
      </c>
      <c r="AJ1821" t="s">
        <v>561</v>
      </c>
      <c r="AK1821" t="s">
        <v>573</v>
      </c>
      <c r="AL1821" t="s">
        <v>574</v>
      </c>
      <c r="AM1821">
        <v>2022</v>
      </c>
      <c r="AN1821">
        <v>2020</v>
      </c>
      <c r="AO1821">
        <f>IF(AND(emissions[[#This Row],[Market-based]]=0,emissions[[#This Row],[Impact Type]]="CO2E"),emissions[[#This Row],[kgCO2e]],0)/1000</f>
        <v>340.85127720000003</v>
      </c>
      <c r="AP1821">
        <f>IF(AND(emissions[[#This Row],[Market-based]]=1,OR(emissions[[#This Row],[Impact Type]]="CO2E",emissions[[#This Row],[Impact Type]]="CO2E MKT")),emissions[[#This Row],[kgCO2e]],0)/1000</f>
        <v>0</v>
      </c>
      <c r="AQ1821" t="str">
        <f>_xlfn.TEXTAFTER(emissions[[#This Row],[Reporting Unit]]," &gt; ",LEN(emissions[[#This Row],[Reporting Unit]])-LEN(SUBSTITUTE(emissions[[#This Row],[Reporting Unit]],"&gt;","")))</f>
        <v>Vantage_Argentina Farm (Agrinsa)</v>
      </c>
      <c r="AR1821" t="str">
        <f>_xlfn.XLOOKUP(emissions[[#This Row],[Reporting unit name]],hierarchy!$A:$A,hierarchy!$C:$C)</f>
        <v>Labratory</v>
      </c>
    </row>
    <row r="1822" spans="1:44" hidden="1" x14ac:dyDescent="0.25">
      <c r="A1822">
        <v>237661</v>
      </c>
      <c r="B1822" t="s">
        <v>240</v>
      </c>
      <c r="C1822" t="s">
        <v>475</v>
      </c>
      <c r="D1822" t="s">
        <v>548</v>
      </c>
      <c r="E1822" s="3">
        <v>44562</v>
      </c>
      <c r="F1822" s="3">
        <v>44926</v>
      </c>
      <c r="G1822" t="s">
        <v>108</v>
      </c>
      <c r="H1822" s="3">
        <v>44562</v>
      </c>
      <c r="I1822" s="3">
        <v>44926</v>
      </c>
      <c r="J1822" t="s">
        <v>108</v>
      </c>
      <c r="K1822">
        <v>5880973</v>
      </c>
      <c r="L1822" t="s">
        <v>109</v>
      </c>
      <c r="M1822" t="s">
        <v>110</v>
      </c>
      <c r="O1822" t="s">
        <v>989</v>
      </c>
      <c r="P1822" t="s">
        <v>550</v>
      </c>
      <c r="Q1822">
        <v>2022</v>
      </c>
      <c r="R1822" t="s">
        <v>575</v>
      </c>
      <c r="S1822" t="s">
        <v>576</v>
      </c>
      <c r="T1822" t="s">
        <v>577</v>
      </c>
      <c r="U1822" t="b">
        <v>0</v>
      </c>
      <c r="V1822" t="s">
        <v>993</v>
      </c>
      <c r="W1822" t="s">
        <v>571</v>
      </c>
      <c r="X1822" t="s">
        <v>572</v>
      </c>
      <c r="Y1822" t="s">
        <v>472</v>
      </c>
      <c r="Z1822" t="s">
        <v>491</v>
      </c>
      <c r="AA1822" t="s">
        <v>991</v>
      </c>
      <c r="AC1822">
        <v>1</v>
      </c>
      <c r="AD1822" t="s">
        <v>565</v>
      </c>
      <c r="AE1822">
        <v>340851.27720000001</v>
      </c>
      <c r="AF1822">
        <v>5.7958313999999997E-2</v>
      </c>
      <c r="AG1822" t="s">
        <v>560</v>
      </c>
      <c r="AH1822">
        <v>1</v>
      </c>
      <c r="AI1822">
        <v>5880973</v>
      </c>
      <c r="AJ1822" t="s">
        <v>561</v>
      </c>
      <c r="AK1822" t="s">
        <v>573</v>
      </c>
      <c r="AL1822" t="s">
        <v>574</v>
      </c>
      <c r="AM1822">
        <v>2022</v>
      </c>
      <c r="AN1822">
        <v>2020</v>
      </c>
      <c r="AO1822">
        <f>IF(AND(emissions[[#This Row],[Market-based]]=0,emissions[[#This Row],[Impact Type]]="CO2E"),emissions[[#This Row],[kgCO2e]],0)/1000</f>
        <v>0</v>
      </c>
      <c r="AP1822">
        <f>IF(AND(emissions[[#This Row],[Market-based]]=1,OR(emissions[[#This Row],[Impact Type]]="CO2E",emissions[[#This Row],[Impact Type]]="CO2E MKT")),emissions[[#This Row],[kgCO2e]],0)/1000</f>
        <v>340.85127720000003</v>
      </c>
      <c r="AQ1822" t="str">
        <f>_xlfn.TEXTAFTER(emissions[[#This Row],[Reporting Unit]]," &gt; ",LEN(emissions[[#This Row],[Reporting Unit]])-LEN(SUBSTITUTE(emissions[[#This Row],[Reporting Unit]],"&gt;","")))</f>
        <v>Vantage_Argentina Farm (Agrinsa)</v>
      </c>
      <c r="AR1822" t="str">
        <f>_xlfn.XLOOKUP(emissions[[#This Row],[Reporting unit name]],hierarchy!$A:$A,hierarchy!$C:$C)</f>
        <v>Labratory</v>
      </c>
    </row>
    <row r="1823" spans="1:44" hidden="1" x14ac:dyDescent="0.25">
      <c r="A1823">
        <v>237661</v>
      </c>
      <c r="B1823" t="s">
        <v>240</v>
      </c>
      <c r="C1823" t="s">
        <v>475</v>
      </c>
      <c r="D1823" t="s">
        <v>548</v>
      </c>
      <c r="E1823" s="3">
        <v>44562</v>
      </c>
      <c r="F1823" s="3">
        <v>44926</v>
      </c>
      <c r="G1823" t="s">
        <v>108</v>
      </c>
      <c r="H1823" s="3">
        <v>44562</v>
      </c>
      <c r="I1823" s="3">
        <v>44926</v>
      </c>
      <c r="J1823" t="s">
        <v>108</v>
      </c>
      <c r="K1823">
        <v>5880973</v>
      </c>
      <c r="L1823" t="s">
        <v>109</v>
      </c>
      <c r="M1823" t="s">
        <v>110</v>
      </c>
      <c r="O1823" t="s">
        <v>989</v>
      </c>
      <c r="P1823" t="s">
        <v>550</v>
      </c>
      <c r="Q1823">
        <v>2022</v>
      </c>
      <c r="R1823" t="s">
        <v>579</v>
      </c>
      <c r="S1823" t="s">
        <v>580</v>
      </c>
      <c r="T1823" t="s">
        <v>581</v>
      </c>
      <c r="U1823" t="b">
        <v>0</v>
      </c>
      <c r="V1823" t="s">
        <v>994</v>
      </c>
      <c r="W1823" t="s">
        <v>571</v>
      </c>
      <c r="X1823" t="s">
        <v>572</v>
      </c>
      <c r="Y1823" t="s">
        <v>472</v>
      </c>
      <c r="Z1823" t="s">
        <v>491</v>
      </c>
      <c r="AA1823" t="s">
        <v>991</v>
      </c>
      <c r="AC1823">
        <v>0</v>
      </c>
      <c r="AD1823" t="s">
        <v>565</v>
      </c>
      <c r="AE1823">
        <v>225241.2659</v>
      </c>
      <c r="AF1823" t="s">
        <v>559</v>
      </c>
      <c r="AG1823" t="s">
        <v>560</v>
      </c>
      <c r="AH1823">
        <v>1</v>
      </c>
      <c r="AI1823">
        <v>5880973</v>
      </c>
      <c r="AJ1823" t="s">
        <v>561</v>
      </c>
      <c r="AK1823" t="s">
        <v>562</v>
      </c>
      <c r="AL1823" t="s">
        <v>563</v>
      </c>
      <c r="AM1823">
        <v>2022</v>
      </c>
      <c r="AN1823">
        <v>2020</v>
      </c>
      <c r="AO1823">
        <f>IF(AND(emissions[[#This Row],[Market-based]]=0,emissions[[#This Row],[Impact Type]]="CO2E"),emissions[[#This Row],[kgCO2e]],0)/1000</f>
        <v>225.2412659</v>
      </c>
      <c r="AP1823">
        <f>IF(AND(emissions[[#This Row],[Market-based]]=1,OR(emissions[[#This Row],[Impact Type]]="CO2E",emissions[[#This Row],[Impact Type]]="CO2E MKT")),emissions[[#This Row],[kgCO2e]],0)/1000</f>
        <v>0</v>
      </c>
      <c r="AQ1823" t="str">
        <f>_xlfn.TEXTAFTER(emissions[[#This Row],[Reporting Unit]]," &gt; ",LEN(emissions[[#This Row],[Reporting Unit]])-LEN(SUBSTITUTE(emissions[[#This Row],[Reporting Unit]],"&gt;","")))</f>
        <v>Vantage_Argentina Farm (Agrinsa)</v>
      </c>
      <c r="AR1823" t="str">
        <f>_xlfn.XLOOKUP(emissions[[#This Row],[Reporting unit name]],hierarchy!$A:$A,hierarchy!$C:$C)</f>
        <v>Labratory</v>
      </c>
    </row>
    <row r="1824" spans="1:44" hidden="1" x14ac:dyDescent="0.25">
      <c r="A1824">
        <v>237661</v>
      </c>
      <c r="B1824" t="s">
        <v>240</v>
      </c>
      <c r="C1824" t="s">
        <v>475</v>
      </c>
      <c r="D1824" t="s">
        <v>548</v>
      </c>
      <c r="E1824" s="3">
        <v>44562</v>
      </c>
      <c r="F1824" s="3">
        <v>44926</v>
      </c>
      <c r="G1824" t="s">
        <v>108</v>
      </c>
      <c r="H1824" s="3">
        <v>44562</v>
      </c>
      <c r="I1824" s="3">
        <v>44926</v>
      </c>
      <c r="J1824" t="s">
        <v>108</v>
      </c>
      <c r="K1824">
        <v>5880973</v>
      </c>
      <c r="L1824" t="s">
        <v>109</v>
      </c>
      <c r="M1824" t="s">
        <v>110</v>
      </c>
      <c r="O1824" t="s">
        <v>989</v>
      </c>
      <c r="P1824" t="s">
        <v>550</v>
      </c>
      <c r="Q1824">
        <v>2022</v>
      </c>
      <c r="R1824" t="s">
        <v>579</v>
      </c>
      <c r="S1824" t="s">
        <v>580</v>
      </c>
      <c r="T1824" t="s">
        <v>581</v>
      </c>
      <c r="U1824" t="b">
        <v>0</v>
      </c>
      <c r="V1824" t="s">
        <v>994</v>
      </c>
      <c r="W1824" t="s">
        <v>571</v>
      </c>
      <c r="X1824" t="s">
        <v>572</v>
      </c>
      <c r="Y1824" t="s">
        <v>472</v>
      </c>
      <c r="Z1824" t="s">
        <v>491</v>
      </c>
      <c r="AA1824" t="s">
        <v>991</v>
      </c>
      <c r="AC1824">
        <v>1</v>
      </c>
      <c r="AD1824" t="s">
        <v>565</v>
      </c>
      <c r="AE1824">
        <v>225241.2659</v>
      </c>
      <c r="AF1824" t="s">
        <v>559</v>
      </c>
      <c r="AG1824" t="s">
        <v>560</v>
      </c>
      <c r="AH1824">
        <v>1</v>
      </c>
      <c r="AI1824">
        <v>5880973</v>
      </c>
      <c r="AJ1824" t="s">
        <v>561</v>
      </c>
      <c r="AK1824" t="s">
        <v>562</v>
      </c>
      <c r="AL1824" t="s">
        <v>563</v>
      </c>
      <c r="AM1824">
        <v>2022</v>
      </c>
      <c r="AN1824">
        <v>2020</v>
      </c>
      <c r="AO1824">
        <f>IF(AND(emissions[[#This Row],[Market-based]]=0,emissions[[#This Row],[Impact Type]]="CO2E"),emissions[[#This Row],[kgCO2e]],0)/1000</f>
        <v>0</v>
      </c>
      <c r="AP1824">
        <f>IF(AND(emissions[[#This Row],[Market-based]]=1,OR(emissions[[#This Row],[Impact Type]]="CO2E",emissions[[#This Row],[Impact Type]]="CO2E MKT")),emissions[[#This Row],[kgCO2e]],0)/1000</f>
        <v>225.2412659</v>
      </c>
      <c r="AQ1824" t="str">
        <f>_xlfn.TEXTAFTER(emissions[[#This Row],[Reporting Unit]]," &gt; ",LEN(emissions[[#This Row],[Reporting Unit]])-LEN(SUBSTITUTE(emissions[[#This Row],[Reporting Unit]],"&gt;","")))</f>
        <v>Vantage_Argentina Farm (Agrinsa)</v>
      </c>
      <c r="AR1824" t="str">
        <f>_xlfn.XLOOKUP(emissions[[#This Row],[Reporting unit name]],hierarchy!$A:$A,hierarchy!$C:$C)</f>
        <v>Labratory</v>
      </c>
    </row>
    <row r="1825" spans="1:44" hidden="1" x14ac:dyDescent="0.25">
      <c r="A1825">
        <v>237664</v>
      </c>
      <c r="B1825" t="s">
        <v>240</v>
      </c>
      <c r="C1825" t="s">
        <v>475</v>
      </c>
      <c r="D1825" t="s">
        <v>548</v>
      </c>
      <c r="E1825" s="3">
        <v>44562</v>
      </c>
      <c r="F1825" s="3">
        <v>44926</v>
      </c>
      <c r="G1825" t="s">
        <v>135</v>
      </c>
      <c r="H1825" s="3">
        <v>44562</v>
      </c>
      <c r="I1825" s="3">
        <v>44926</v>
      </c>
      <c r="J1825" t="s">
        <v>135</v>
      </c>
      <c r="K1825">
        <v>0</v>
      </c>
      <c r="L1825" t="s">
        <v>140</v>
      </c>
      <c r="M1825" t="s">
        <v>110</v>
      </c>
      <c r="O1825" t="s">
        <v>995</v>
      </c>
      <c r="P1825" t="s">
        <v>550</v>
      </c>
      <c r="Q1825">
        <v>2022</v>
      </c>
      <c r="R1825" t="s">
        <v>605</v>
      </c>
      <c r="S1825" t="s">
        <v>606</v>
      </c>
      <c r="T1825" t="s">
        <v>553</v>
      </c>
      <c r="U1825" t="b">
        <v>0</v>
      </c>
      <c r="V1825" t="s">
        <v>781</v>
      </c>
      <c r="W1825" t="s">
        <v>587</v>
      </c>
      <c r="X1825" t="s">
        <v>556</v>
      </c>
      <c r="Y1825" t="s">
        <v>472</v>
      </c>
      <c r="AC1825">
        <v>0</v>
      </c>
      <c r="AD1825" t="s">
        <v>558</v>
      </c>
      <c r="AE1825">
        <v>0</v>
      </c>
      <c r="AF1825">
        <v>2.5000000000000001E-2</v>
      </c>
      <c r="AG1825" t="s">
        <v>798</v>
      </c>
      <c r="AH1825">
        <v>9.9999999999999995E-7</v>
      </c>
      <c r="AI1825">
        <v>0</v>
      </c>
      <c r="AJ1825" t="s">
        <v>561</v>
      </c>
      <c r="AK1825" t="s">
        <v>766</v>
      </c>
      <c r="AL1825" t="s">
        <v>787</v>
      </c>
      <c r="AM1825">
        <v>2022</v>
      </c>
      <c r="AN1825">
        <v>2021</v>
      </c>
      <c r="AO1825">
        <f>IF(AND(emissions[[#This Row],[Market-based]]=0,emissions[[#This Row],[Impact Type]]="CO2E"),emissions[[#This Row],[kgCO2e]],0)/1000</f>
        <v>0</v>
      </c>
      <c r="AP1825">
        <f>IF(AND(emissions[[#This Row],[Market-based]]=1,OR(emissions[[#This Row],[Impact Type]]="CO2E",emissions[[#This Row],[Impact Type]]="CO2E MKT")),emissions[[#This Row],[kgCO2e]],0)/1000</f>
        <v>0</v>
      </c>
      <c r="AQ1825" t="str">
        <f>_xlfn.TEXTAFTER(emissions[[#This Row],[Reporting Unit]]," &gt; ",LEN(emissions[[#This Row],[Reporting Unit]])-LEN(SUBSTITUTE(emissions[[#This Row],[Reporting Unit]],"&gt;","")))</f>
        <v>Vantage_Argentina Farm (Agrinsa)</v>
      </c>
      <c r="AR1825" t="str">
        <f>_xlfn.XLOOKUP(emissions[[#This Row],[Reporting unit name]],hierarchy!$A:$A,hierarchy!$C:$C)</f>
        <v>Labratory</v>
      </c>
    </row>
    <row r="1826" spans="1:44" hidden="1" x14ac:dyDescent="0.25">
      <c r="A1826">
        <v>237664</v>
      </c>
      <c r="B1826" t="s">
        <v>240</v>
      </c>
      <c r="C1826" t="s">
        <v>475</v>
      </c>
      <c r="D1826" t="s">
        <v>548</v>
      </c>
      <c r="E1826" s="3">
        <v>44562</v>
      </c>
      <c r="F1826" s="3">
        <v>44926</v>
      </c>
      <c r="G1826" t="s">
        <v>135</v>
      </c>
      <c r="H1826" s="3">
        <v>44562</v>
      </c>
      <c r="I1826" s="3">
        <v>44926</v>
      </c>
      <c r="J1826" t="s">
        <v>135</v>
      </c>
      <c r="K1826">
        <v>0</v>
      </c>
      <c r="L1826" t="s">
        <v>140</v>
      </c>
      <c r="M1826" t="s">
        <v>110</v>
      </c>
      <c r="O1826" t="s">
        <v>995</v>
      </c>
      <c r="P1826" t="s">
        <v>550</v>
      </c>
      <c r="Q1826">
        <v>2022</v>
      </c>
      <c r="R1826" t="s">
        <v>605</v>
      </c>
      <c r="S1826" t="s">
        <v>606</v>
      </c>
      <c r="T1826" t="s">
        <v>553</v>
      </c>
      <c r="U1826" t="b">
        <v>0</v>
      </c>
      <c r="V1826" t="s">
        <v>781</v>
      </c>
      <c r="W1826" t="s">
        <v>587</v>
      </c>
      <c r="X1826" t="s">
        <v>556</v>
      </c>
      <c r="Y1826" t="s">
        <v>472</v>
      </c>
      <c r="AC1826">
        <v>0</v>
      </c>
      <c r="AD1826" t="s">
        <v>564</v>
      </c>
      <c r="AE1826">
        <v>0</v>
      </c>
      <c r="AF1826">
        <v>53.06</v>
      </c>
      <c r="AG1826" t="s">
        <v>798</v>
      </c>
      <c r="AH1826">
        <v>9.9999999999999995E-7</v>
      </c>
      <c r="AI1826">
        <v>0</v>
      </c>
      <c r="AJ1826" t="s">
        <v>561</v>
      </c>
      <c r="AK1826" t="s">
        <v>766</v>
      </c>
      <c r="AL1826" t="s">
        <v>767</v>
      </c>
      <c r="AM1826">
        <v>2022</v>
      </c>
      <c r="AN1826">
        <v>2022</v>
      </c>
      <c r="AO1826">
        <f>IF(AND(emissions[[#This Row],[Market-based]]=0,emissions[[#This Row],[Impact Type]]="CO2E"),emissions[[#This Row],[kgCO2e]],0)/1000</f>
        <v>0</v>
      </c>
      <c r="AP1826">
        <f>IF(AND(emissions[[#This Row],[Market-based]]=1,OR(emissions[[#This Row],[Impact Type]]="CO2E",emissions[[#This Row],[Impact Type]]="CO2E MKT")),emissions[[#This Row],[kgCO2e]],0)/1000</f>
        <v>0</v>
      </c>
      <c r="AQ1826" t="str">
        <f>_xlfn.TEXTAFTER(emissions[[#This Row],[Reporting Unit]]," &gt; ",LEN(emissions[[#This Row],[Reporting Unit]])-LEN(SUBSTITUTE(emissions[[#This Row],[Reporting Unit]],"&gt;","")))</f>
        <v>Vantage_Argentina Farm (Agrinsa)</v>
      </c>
      <c r="AR1826" t="str">
        <f>_xlfn.XLOOKUP(emissions[[#This Row],[Reporting unit name]],hierarchy!$A:$A,hierarchy!$C:$C)</f>
        <v>Labratory</v>
      </c>
    </row>
    <row r="1827" spans="1:44" hidden="1" x14ac:dyDescent="0.25">
      <c r="A1827">
        <v>237664</v>
      </c>
      <c r="B1827" t="s">
        <v>240</v>
      </c>
      <c r="C1827" t="s">
        <v>475</v>
      </c>
      <c r="D1827" t="s">
        <v>548</v>
      </c>
      <c r="E1827" s="3">
        <v>44562</v>
      </c>
      <c r="F1827" s="3">
        <v>44926</v>
      </c>
      <c r="G1827" t="s">
        <v>135</v>
      </c>
      <c r="H1827" s="3">
        <v>44562</v>
      </c>
      <c r="I1827" s="3">
        <v>44926</v>
      </c>
      <c r="J1827" t="s">
        <v>135</v>
      </c>
      <c r="K1827">
        <v>0</v>
      </c>
      <c r="L1827" t="s">
        <v>140</v>
      </c>
      <c r="M1827" t="s">
        <v>110</v>
      </c>
      <c r="O1827" t="s">
        <v>995</v>
      </c>
      <c r="P1827" t="s">
        <v>550</v>
      </c>
      <c r="Q1827">
        <v>2022</v>
      </c>
      <c r="R1827" t="s">
        <v>605</v>
      </c>
      <c r="S1827" t="s">
        <v>606</v>
      </c>
      <c r="T1827" t="s">
        <v>553</v>
      </c>
      <c r="U1827" t="b">
        <v>0</v>
      </c>
      <c r="V1827" t="s">
        <v>781</v>
      </c>
      <c r="W1827" t="s">
        <v>587</v>
      </c>
      <c r="X1827" t="s">
        <v>556</v>
      </c>
      <c r="Y1827" t="s">
        <v>472</v>
      </c>
      <c r="AC1827">
        <v>0</v>
      </c>
      <c r="AD1827" t="s">
        <v>565</v>
      </c>
      <c r="AE1827">
        <v>0</v>
      </c>
      <c r="AF1827">
        <v>53.114800000000002</v>
      </c>
      <c r="AG1827" t="s">
        <v>798</v>
      </c>
      <c r="AH1827">
        <v>9.9999999999999995E-7</v>
      </c>
      <c r="AI1827">
        <v>0</v>
      </c>
      <c r="AJ1827" t="s">
        <v>561</v>
      </c>
      <c r="AK1827" t="s">
        <v>766</v>
      </c>
      <c r="AL1827" t="s">
        <v>787</v>
      </c>
      <c r="AM1827">
        <v>2022</v>
      </c>
      <c r="AN1827">
        <v>2021</v>
      </c>
      <c r="AO1827">
        <f>IF(AND(emissions[[#This Row],[Market-based]]=0,emissions[[#This Row],[Impact Type]]="CO2E"),emissions[[#This Row],[kgCO2e]],0)/1000</f>
        <v>0</v>
      </c>
      <c r="AP1827">
        <f>IF(AND(emissions[[#This Row],[Market-based]]=1,OR(emissions[[#This Row],[Impact Type]]="CO2E",emissions[[#This Row],[Impact Type]]="CO2E MKT")),emissions[[#This Row],[kgCO2e]],0)/1000</f>
        <v>0</v>
      </c>
      <c r="AQ1827" t="str">
        <f>_xlfn.TEXTAFTER(emissions[[#This Row],[Reporting Unit]]," &gt; ",LEN(emissions[[#This Row],[Reporting Unit]])-LEN(SUBSTITUTE(emissions[[#This Row],[Reporting Unit]],"&gt;","")))</f>
        <v>Vantage_Argentina Farm (Agrinsa)</v>
      </c>
      <c r="AR1827" t="str">
        <f>_xlfn.XLOOKUP(emissions[[#This Row],[Reporting unit name]],hierarchy!$A:$A,hierarchy!$C:$C)</f>
        <v>Labratory</v>
      </c>
    </row>
    <row r="1828" spans="1:44" hidden="1" x14ac:dyDescent="0.25">
      <c r="A1828">
        <v>237664</v>
      </c>
      <c r="B1828" t="s">
        <v>240</v>
      </c>
      <c r="C1828" t="s">
        <v>475</v>
      </c>
      <c r="D1828" t="s">
        <v>548</v>
      </c>
      <c r="E1828" s="3">
        <v>44562</v>
      </c>
      <c r="F1828" s="3">
        <v>44926</v>
      </c>
      <c r="G1828" t="s">
        <v>135</v>
      </c>
      <c r="H1828" s="3">
        <v>44562</v>
      </c>
      <c r="I1828" s="3">
        <v>44926</v>
      </c>
      <c r="J1828" t="s">
        <v>135</v>
      </c>
      <c r="K1828">
        <v>0</v>
      </c>
      <c r="L1828" t="s">
        <v>140</v>
      </c>
      <c r="M1828" t="s">
        <v>110</v>
      </c>
      <c r="O1828" t="s">
        <v>995</v>
      </c>
      <c r="P1828" t="s">
        <v>550</v>
      </c>
      <c r="Q1828">
        <v>2022</v>
      </c>
      <c r="R1828" t="s">
        <v>605</v>
      </c>
      <c r="S1828" t="s">
        <v>606</v>
      </c>
      <c r="T1828" t="s">
        <v>553</v>
      </c>
      <c r="U1828" t="b">
        <v>0</v>
      </c>
      <c r="V1828" t="s">
        <v>781</v>
      </c>
      <c r="W1828" t="s">
        <v>587</v>
      </c>
      <c r="X1828" t="s">
        <v>556</v>
      </c>
      <c r="Y1828" t="s">
        <v>472</v>
      </c>
      <c r="AC1828">
        <v>0</v>
      </c>
      <c r="AD1828" t="s">
        <v>566</v>
      </c>
      <c r="AE1828">
        <v>0</v>
      </c>
      <c r="AF1828">
        <v>2.98E-2</v>
      </c>
      <c r="AG1828" t="s">
        <v>798</v>
      </c>
      <c r="AH1828">
        <v>9.9999999999999995E-7</v>
      </c>
      <c r="AI1828">
        <v>0</v>
      </c>
      <c r="AJ1828" t="s">
        <v>561</v>
      </c>
      <c r="AK1828" t="s">
        <v>766</v>
      </c>
      <c r="AL1828" t="s">
        <v>767</v>
      </c>
      <c r="AM1828">
        <v>2022</v>
      </c>
      <c r="AN1828">
        <v>2022</v>
      </c>
      <c r="AO1828">
        <f>IF(AND(emissions[[#This Row],[Market-based]]=0,emissions[[#This Row],[Impact Type]]="CO2E"),emissions[[#This Row],[kgCO2e]],0)/1000</f>
        <v>0</v>
      </c>
      <c r="AP1828">
        <f>IF(AND(emissions[[#This Row],[Market-based]]=1,OR(emissions[[#This Row],[Impact Type]]="CO2E",emissions[[#This Row],[Impact Type]]="CO2E MKT")),emissions[[#This Row],[kgCO2e]],0)/1000</f>
        <v>0</v>
      </c>
      <c r="AQ1828" t="str">
        <f>_xlfn.TEXTAFTER(emissions[[#This Row],[Reporting Unit]]," &gt; ",LEN(emissions[[#This Row],[Reporting Unit]])-LEN(SUBSTITUTE(emissions[[#This Row],[Reporting Unit]],"&gt;","")))</f>
        <v>Vantage_Argentina Farm (Agrinsa)</v>
      </c>
      <c r="AR1828" t="str">
        <f>_xlfn.XLOOKUP(emissions[[#This Row],[Reporting unit name]],hierarchy!$A:$A,hierarchy!$C:$C)</f>
        <v>Labratory</v>
      </c>
    </row>
    <row r="1829" spans="1:44" hidden="1" x14ac:dyDescent="0.25">
      <c r="A1829">
        <v>237664</v>
      </c>
      <c r="B1829" t="s">
        <v>240</v>
      </c>
      <c r="C1829" t="s">
        <v>475</v>
      </c>
      <c r="D1829" t="s">
        <v>548</v>
      </c>
      <c r="E1829" s="3">
        <v>44562</v>
      </c>
      <c r="F1829" s="3">
        <v>44926</v>
      </c>
      <c r="G1829" t="s">
        <v>135</v>
      </c>
      <c r="H1829" s="3">
        <v>44562</v>
      </c>
      <c r="I1829" s="3">
        <v>44926</v>
      </c>
      <c r="J1829" t="s">
        <v>135</v>
      </c>
      <c r="K1829">
        <v>0</v>
      </c>
      <c r="L1829" t="s">
        <v>140</v>
      </c>
      <c r="M1829" t="s">
        <v>110</v>
      </c>
      <c r="O1829" t="s">
        <v>995</v>
      </c>
      <c r="P1829" t="s">
        <v>550</v>
      </c>
      <c r="Q1829">
        <v>2022</v>
      </c>
      <c r="R1829" t="s">
        <v>605</v>
      </c>
      <c r="S1829" t="s">
        <v>606</v>
      </c>
      <c r="T1829" t="s">
        <v>553</v>
      </c>
      <c r="U1829" t="b">
        <v>0</v>
      </c>
      <c r="V1829" t="s">
        <v>781</v>
      </c>
      <c r="W1829" t="s">
        <v>587</v>
      </c>
      <c r="X1829" t="s">
        <v>556</v>
      </c>
      <c r="Y1829" t="s">
        <v>472</v>
      </c>
      <c r="AC1829">
        <v>1</v>
      </c>
      <c r="AD1829" t="s">
        <v>558</v>
      </c>
      <c r="AE1829">
        <v>0</v>
      </c>
      <c r="AF1829">
        <v>2.5000000000000001E-2</v>
      </c>
      <c r="AG1829" t="s">
        <v>798</v>
      </c>
      <c r="AH1829">
        <v>9.9999999999999995E-7</v>
      </c>
      <c r="AI1829">
        <v>0</v>
      </c>
      <c r="AJ1829" t="s">
        <v>561</v>
      </c>
      <c r="AK1829" t="s">
        <v>766</v>
      </c>
      <c r="AL1829" t="s">
        <v>787</v>
      </c>
      <c r="AM1829">
        <v>2022</v>
      </c>
      <c r="AN1829">
        <v>2021</v>
      </c>
      <c r="AO1829">
        <f>IF(AND(emissions[[#This Row],[Market-based]]=0,emissions[[#This Row],[Impact Type]]="CO2E"),emissions[[#This Row],[kgCO2e]],0)/1000</f>
        <v>0</v>
      </c>
      <c r="AP1829">
        <f>IF(AND(emissions[[#This Row],[Market-based]]=1,OR(emissions[[#This Row],[Impact Type]]="CO2E",emissions[[#This Row],[Impact Type]]="CO2E MKT")),emissions[[#This Row],[kgCO2e]],0)/1000</f>
        <v>0</v>
      </c>
      <c r="AQ1829" t="str">
        <f>_xlfn.TEXTAFTER(emissions[[#This Row],[Reporting Unit]]," &gt; ",LEN(emissions[[#This Row],[Reporting Unit]])-LEN(SUBSTITUTE(emissions[[#This Row],[Reporting Unit]],"&gt;","")))</f>
        <v>Vantage_Argentina Farm (Agrinsa)</v>
      </c>
      <c r="AR1829" t="str">
        <f>_xlfn.XLOOKUP(emissions[[#This Row],[Reporting unit name]],hierarchy!$A:$A,hierarchy!$C:$C)</f>
        <v>Labratory</v>
      </c>
    </row>
    <row r="1830" spans="1:44" hidden="1" x14ac:dyDescent="0.25">
      <c r="A1830">
        <v>237664</v>
      </c>
      <c r="B1830" t="s">
        <v>240</v>
      </c>
      <c r="C1830" t="s">
        <v>475</v>
      </c>
      <c r="D1830" t="s">
        <v>548</v>
      </c>
      <c r="E1830" s="3">
        <v>44562</v>
      </c>
      <c r="F1830" s="3">
        <v>44926</v>
      </c>
      <c r="G1830" t="s">
        <v>135</v>
      </c>
      <c r="H1830" s="3">
        <v>44562</v>
      </c>
      <c r="I1830" s="3">
        <v>44926</v>
      </c>
      <c r="J1830" t="s">
        <v>135</v>
      </c>
      <c r="K1830">
        <v>0</v>
      </c>
      <c r="L1830" t="s">
        <v>140</v>
      </c>
      <c r="M1830" t="s">
        <v>110</v>
      </c>
      <c r="O1830" t="s">
        <v>995</v>
      </c>
      <c r="P1830" t="s">
        <v>550</v>
      </c>
      <c r="Q1830">
        <v>2022</v>
      </c>
      <c r="R1830" t="s">
        <v>605</v>
      </c>
      <c r="S1830" t="s">
        <v>606</v>
      </c>
      <c r="T1830" t="s">
        <v>553</v>
      </c>
      <c r="U1830" t="b">
        <v>0</v>
      </c>
      <c r="V1830" t="s">
        <v>781</v>
      </c>
      <c r="W1830" t="s">
        <v>587</v>
      </c>
      <c r="X1830" t="s">
        <v>556</v>
      </c>
      <c r="Y1830" t="s">
        <v>472</v>
      </c>
      <c r="AC1830">
        <v>1</v>
      </c>
      <c r="AD1830" t="s">
        <v>564</v>
      </c>
      <c r="AE1830">
        <v>0</v>
      </c>
      <c r="AF1830">
        <v>53.06</v>
      </c>
      <c r="AG1830" t="s">
        <v>798</v>
      </c>
      <c r="AH1830">
        <v>9.9999999999999995E-7</v>
      </c>
      <c r="AI1830">
        <v>0</v>
      </c>
      <c r="AJ1830" t="s">
        <v>561</v>
      </c>
      <c r="AK1830" t="s">
        <v>766</v>
      </c>
      <c r="AL1830" t="s">
        <v>767</v>
      </c>
      <c r="AM1830">
        <v>2022</v>
      </c>
      <c r="AN1830">
        <v>2022</v>
      </c>
      <c r="AO1830">
        <f>IF(AND(emissions[[#This Row],[Market-based]]=0,emissions[[#This Row],[Impact Type]]="CO2E"),emissions[[#This Row],[kgCO2e]],0)/1000</f>
        <v>0</v>
      </c>
      <c r="AP1830">
        <f>IF(AND(emissions[[#This Row],[Market-based]]=1,OR(emissions[[#This Row],[Impact Type]]="CO2E",emissions[[#This Row],[Impact Type]]="CO2E MKT")),emissions[[#This Row],[kgCO2e]],0)/1000</f>
        <v>0</v>
      </c>
      <c r="AQ1830" t="str">
        <f>_xlfn.TEXTAFTER(emissions[[#This Row],[Reporting Unit]]," &gt; ",LEN(emissions[[#This Row],[Reporting Unit]])-LEN(SUBSTITUTE(emissions[[#This Row],[Reporting Unit]],"&gt;","")))</f>
        <v>Vantage_Argentina Farm (Agrinsa)</v>
      </c>
      <c r="AR1830" t="str">
        <f>_xlfn.XLOOKUP(emissions[[#This Row],[Reporting unit name]],hierarchy!$A:$A,hierarchy!$C:$C)</f>
        <v>Labratory</v>
      </c>
    </row>
    <row r="1831" spans="1:44" hidden="1" x14ac:dyDescent="0.25">
      <c r="A1831">
        <v>237664</v>
      </c>
      <c r="B1831" t="s">
        <v>240</v>
      </c>
      <c r="C1831" t="s">
        <v>475</v>
      </c>
      <c r="D1831" t="s">
        <v>548</v>
      </c>
      <c r="E1831" s="3">
        <v>44562</v>
      </c>
      <c r="F1831" s="3">
        <v>44926</v>
      </c>
      <c r="G1831" t="s">
        <v>135</v>
      </c>
      <c r="H1831" s="3">
        <v>44562</v>
      </c>
      <c r="I1831" s="3">
        <v>44926</v>
      </c>
      <c r="J1831" t="s">
        <v>135</v>
      </c>
      <c r="K1831">
        <v>0</v>
      </c>
      <c r="L1831" t="s">
        <v>140</v>
      </c>
      <c r="M1831" t="s">
        <v>110</v>
      </c>
      <c r="O1831" t="s">
        <v>995</v>
      </c>
      <c r="P1831" t="s">
        <v>550</v>
      </c>
      <c r="Q1831">
        <v>2022</v>
      </c>
      <c r="R1831" t="s">
        <v>605</v>
      </c>
      <c r="S1831" t="s">
        <v>606</v>
      </c>
      <c r="T1831" t="s">
        <v>553</v>
      </c>
      <c r="U1831" t="b">
        <v>0</v>
      </c>
      <c r="V1831" t="s">
        <v>781</v>
      </c>
      <c r="W1831" t="s">
        <v>587</v>
      </c>
      <c r="X1831" t="s">
        <v>556</v>
      </c>
      <c r="Y1831" t="s">
        <v>472</v>
      </c>
      <c r="AC1831">
        <v>1</v>
      </c>
      <c r="AD1831" t="s">
        <v>565</v>
      </c>
      <c r="AE1831">
        <v>0</v>
      </c>
      <c r="AF1831">
        <v>53.114800000000002</v>
      </c>
      <c r="AG1831" t="s">
        <v>798</v>
      </c>
      <c r="AH1831">
        <v>9.9999999999999995E-7</v>
      </c>
      <c r="AI1831">
        <v>0</v>
      </c>
      <c r="AJ1831" t="s">
        <v>561</v>
      </c>
      <c r="AK1831" t="s">
        <v>766</v>
      </c>
      <c r="AL1831" t="s">
        <v>787</v>
      </c>
      <c r="AM1831">
        <v>2022</v>
      </c>
      <c r="AN1831">
        <v>2021</v>
      </c>
      <c r="AO1831">
        <f>IF(AND(emissions[[#This Row],[Market-based]]=0,emissions[[#This Row],[Impact Type]]="CO2E"),emissions[[#This Row],[kgCO2e]],0)/1000</f>
        <v>0</v>
      </c>
      <c r="AP1831">
        <f>IF(AND(emissions[[#This Row],[Market-based]]=1,OR(emissions[[#This Row],[Impact Type]]="CO2E",emissions[[#This Row],[Impact Type]]="CO2E MKT")),emissions[[#This Row],[kgCO2e]],0)/1000</f>
        <v>0</v>
      </c>
      <c r="AQ1831" t="str">
        <f>_xlfn.TEXTAFTER(emissions[[#This Row],[Reporting Unit]]," &gt; ",LEN(emissions[[#This Row],[Reporting Unit]])-LEN(SUBSTITUTE(emissions[[#This Row],[Reporting Unit]],"&gt;","")))</f>
        <v>Vantage_Argentina Farm (Agrinsa)</v>
      </c>
      <c r="AR1831" t="str">
        <f>_xlfn.XLOOKUP(emissions[[#This Row],[Reporting unit name]],hierarchy!$A:$A,hierarchy!$C:$C)</f>
        <v>Labratory</v>
      </c>
    </row>
    <row r="1832" spans="1:44" hidden="1" x14ac:dyDescent="0.25">
      <c r="A1832">
        <v>237664</v>
      </c>
      <c r="B1832" t="s">
        <v>240</v>
      </c>
      <c r="C1832" t="s">
        <v>475</v>
      </c>
      <c r="D1832" t="s">
        <v>548</v>
      </c>
      <c r="E1832" s="3">
        <v>44562</v>
      </c>
      <c r="F1832" s="3">
        <v>44926</v>
      </c>
      <c r="G1832" t="s">
        <v>135</v>
      </c>
      <c r="H1832" s="3">
        <v>44562</v>
      </c>
      <c r="I1832" s="3">
        <v>44926</v>
      </c>
      <c r="J1832" t="s">
        <v>135</v>
      </c>
      <c r="K1832">
        <v>0</v>
      </c>
      <c r="L1832" t="s">
        <v>140</v>
      </c>
      <c r="M1832" t="s">
        <v>110</v>
      </c>
      <c r="O1832" t="s">
        <v>995</v>
      </c>
      <c r="P1832" t="s">
        <v>550</v>
      </c>
      <c r="Q1832">
        <v>2022</v>
      </c>
      <c r="R1832" t="s">
        <v>605</v>
      </c>
      <c r="S1832" t="s">
        <v>606</v>
      </c>
      <c r="T1832" t="s">
        <v>553</v>
      </c>
      <c r="U1832" t="b">
        <v>0</v>
      </c>
      <c r="V1832" t="s">
        <v>781</v>
      </c>
      <c r="W1832" t="s">
        <v>587</v>
      </c>
      <c r="X1832" t="s">
        <v>556</v>
      </c>
      <c r="Y1832" t="s">
        <v>472</v>
      </c>
      <c r="AC1832">
        <v>1</v>
      </c>
      <c r="AD1832" t="s">
        <v>566</v>
      </c>
      <c r="AE1832">
        <v>0</v>
      </c>
      <c r="AF1832">
        <v>2.98E-2</v>
      </c>
      <c r="AG1832" t="s">
        <v>798</v>
      </c>
      <c r="AH1832">
        <v>9.9999999999999995E-7</v>
      </c>
      <c r="AI1832">
        <v>0</v>
      </c>
      <c r="AJ1832" t="s">
        <v>561</v>
      </c>
      <c r="AK1832" t="s">
        <v>766</v>
      </c>
      <c r="AL1832" t="s">
        <v>767</v>
      </c>
      <c r="AM1832">
        <v>2022</v>
      </c>
      <c r="AN1832">
        <v>2022</v>
      </c>
      <c r="AO1832">
        <f>IF(AND(emissions[[#This Row],[Market-based]]=0,emissions[[#This Row],[Impact Type]]="CO2E"),emissions[[#This Row],[kgCO2e]],0)/1000</f>
        <v>0</v>
      </c>
      <c r="AP1832">
        <f>IF(AND(emissions[[#This Row],[Market-based]]=1,OR(emissions[[#This Row],[Impact Type]]="CO2E",emissions[[#This Row],[Impact Type]]="CO2E MKT")),emissions[[#This Row],[kgCO2e]],0)/1000</f>
        <v>0</v>
      </c>
      <c r="AQ1832" t="str">
        <f>_xlfn.TEXTAFTER(emissions[[#This Row],[Reporting Unit]]," &gt; ",LEN(emissions[[#This Row],[Reporting Unit]])-LEN(SUBSTITUTE(emissions[[#This Row],[Reporting Unit]],"&gt;","")))</f>
        <v>Vantage_Argentina Farm (Agrinsa)</v>
      </c>
      <c r="AR1832" t="str">
        <f>_xlfn.XLOOKUP(emissions[[#This Row],[Reporting unit name]],hierarchy!$A:$A,hierarchy!$C:$C)</f>
        <v>Labratory</v>
      </c>
    </row>
    <row r="1833" spans="1:44" hidden="1" x14ac:dyDescent="0.25">
      <c r="A1833">
        <v>237664</v>
      </c>
      <c r="B1833" t="s">
        <v>240</v>
      </c>
      <c r="C1833" t="s">
        <v>475</v>
      </c>
      <c r="D1833" t="s">
        <v>548</v>
      </c>
      <c r="E1833" s="3">
        <v>44562</v>
      </c>
      <c r="F1833" s="3">
        <v>44926</v>
      </c>
      <c r="G1833" t="s">
        <v>135</v>
      </c>
      <c r="H1833" s="3">
        <v>44562</v>
      </c>
      <c r="I1833" s="3">
        <v>44926</v>
      </c>
      <c r="J1833" t="s">
        <v>135</v>
      </c>
      <c r="K1833">
        <v>0</v>
      </c>
      <c r="L1833" t="s">
        <v>140</v>
      </c>
      <c r="M1833" t="s">
        <v>110</v>
      </c>
      <c r="O1833" t="s">
        <v>995</v>
      </c>
      <c r="P1833" t="s">
        <v>550</v>
      </c>
      <c r="Q1833">
        <v>2022</v>
      </c>
      <c r="R1833" t="s">
        <v>609</v>
      </c>
      <c r="S1833" t="s">
        <v>610</v>
      </c>
      <c r="T1833" t="s">
        <v>577</v>
      </c>
      <c r="U1833" t="b">
        <v>0</v>
      </c>
      <c r="V1833" t="s">
        <v>632</v>
      </c>
      <c r="W1833" t="s">
        <v>571</v>
      </c>
      <c r="X1833" t="s">
        <v>572</v>
      </c>
      <c r="AC1833">
        <v>0</v>
      </c>
      <c r="AD1833" t="s">
        <v>565</v>
      </c>
      <c r="AE1833">
        <v>0</v>
      </c>
      <c r="AF1833">
        <v>3.1099999999999999E-2</v>
      </c>
      <c r="AG1833" t="s">
        <v>608</v>
      </c>
      <c r="AH1833">
        <v>2.9306999999999998E-4</v>
      </c>
      <c r="AI1833">
        <v>0</v>
      </c>
      <c r="AJ1833" t="s">
        <v>561</v>
      </c>
      <c r="AK1833" t="s">
        <v>589</v>
      </c>
      <c r="AL1833" t="s">
        <v>590</v>
      </c>
      <c r="AM1833">
        <v>2022</v>
      </c>
      <c r="AN1833">
        <v>2020</v>
      </c>
      <c r="AO1833">
        <f>IF(AND(emissions[[#This Row],[Market-based]]=0,emissions[[#This Row],[Impact Type]]="CO2E"),emissions[[#This Row],[kgCO2e]],0)/1000</f>
        <v>0</v>
      </c>
      <c r="AP1833">
        <f>IF(AND(emissions[[#This Row],[Market-based]]=1,OR(emissions[[#This Row],[Impact Type]]="CO2E",emissions[[#This Row],[Impact Type]]="CO2E MKT")),emissions[[#This Row],[kgCO2e]],0)/1000</f>
        <v>0</v>
      </c>
      <c r="AQ1833" t="str">
        <f>_xlfn.TEXTAFTER(emissions[[#This Row],[Reporting Unit]]," &gt; ",LEN(emissions[[#This Row],[Reporting Unit]])-LEN(SUBSTITUTE(emissions[[#This Row],[Reporting Unit]],"&gt;","")))</f>
        <v>Vantage_Argentina Farm (Agrinsa)</v>
      </c>
      <c r="AR1833" t="str">
        <f>_xlfn.XLOOKUP(emissions[[#This Row],[Reporting unit name]],hierarchy!$A:$A,hierarchy!$C:$C)</f>
        <v>Labratory</v>
      </c>
    </row>
    <row r="1834" spans="1:44" hidden="1" x14ac:dyDescent="0.25">
      <c r="A1834">
        <v>237664</v>
      </c>
      <c r="B1834" t="s">
        <v>240</v>
      </c>
      <c r="C1834" t="s">
        <v>475</v>
      </c>
      <c r="D1834" t="s">
        <v>548</v>
      </c>
      <c r="E1834" s="3">
        <v>44562</v>
      </c>
      <c r="F1834" s="3">
        <v>44926</v>
      </c>
      <c r="G1834" t="s">
        <v>135</v>
      </c>
      <c r="H1834" s="3">
        <v>44562</v>
      </c>
      <c r="I1834" s="3">
        <v>44926</v>
      </c>
      <c r="J1834" t="s">
        <v>135</v>
      </c>
      <c r="K1834">
        <v>0</v>
      </c>
      <c r="L1834" t="s">
        <v>140</v>
      </c>
      <c r="M1834" t="s">
        <v>110</v>
      </c>
      <c r="O1834" t="s">
        <v>995</v>
      </c>
      <c r="P1834" t="s">
        <v>550</v>
      </c>
      <c r="Q1834">
        <v>2022</v>
      </c>
      <c r="R1834" t="s">
        <v>609</v>
      </c>
      <c r="S1834" t="s">
        <v>610</v>
      </c>
      <c r="T1834" t="s">
        <v>577</v>
      </c>
      <c r="U1834" t="b">
        <v>0</v>
      </c>
      <c r="V1834" t="s">
        <v>632</v>
      </c>
      <c r="W1834" t="s">
        <v>571</v>
      </c>
      <c r="X1834" t="s">
        <v>572</v>
      </c>
      <c r="AC1834">
        <v>1</v>
      </c>
      <c r="AD1834" t="s">
        <v>565</v>
      </c>
      <c r="AE1834">
        <v>0</v>
      </c>
      <c r="AF1834">
        <v>3.1099999999999999E-2</v>
      </c>
      <c r="AG1834" t="s">
        <v>608</v>
      </c>
      <c r="AH1834">
        <v>2.9306999999999998E-4</v>
      </c>
      <c r="AI1834">
        <v>0</v>
      </c>
      <c r="AJ1834" t="s">
        <v>561</v>
      </c>
      <c r="AK1834" t="s">
        <v>589</v>
      </c>
      <c r="AL1834" t="s">
        <v>590</v>
      </c>
      <c r="AM1834">
        <v>2022</v>
      </c>
      <c r="AN1834">
        <v>2020</v>
      </c>
      <c r="AO1834">
        <f>IF(AND(emissions[[#This Row],[Market-based]]=0,emissions[[#This Row],[Impact Type]]="CO2E"),emissions[[#This Row],[kgCO2e]],0)/1000</f>
        <v>0</v>
      </c>
      <c r="AP1834">
        <f>IF(AND(emissions[[#This Row],[Market-based]]=1,OR(emissions[[#This Row],[Impact Type]]="CO2E",emissions[[#This Row],[Impact Type]]="CO2E MKT")),emissions[[#This Row],[kgCO2e]],0)/1000</f>
        <v>0</v>
      </c>
      <c r="AQ1834" t="str">
        <f>_xlfn.TEXTAFTER(emissions[[#This Row],[Reporting Unit]]," &gt; ",LEN(emissions[[#This Row],[Reporting Unit]])-LEN(SUBSTITUTE(emissions[[#This Row],[Reporting Unit]],"&gt;","")))</f>
        <v>Vantage_Argentina Farm (Agrinsa)</v>
      </c>
      <c r="AR1834" t="str">
        <f>_xlfn.XLOOKUP(emissions[[#This Row],[Reporting unit name]],hierarchy!$A:$A,hierarchy!$C:$C)</f>
        <v>Labratory</v>
      </c>
    </row>
    <row r="1835" spans="1:44" hidden="1" x14ac:dyDescent="0.25">
      <c r="A1835">
        <v>237483</v>
      </c>
      <c r="B1835" t="s">
        <v>240</v>
      </c>
      <c r="C1835" t="s">
        <v>475</v>
      </c>
      <c r="D1835" t="s">
        <v>548</v>
      </c>
      <c r="E1835" s="3">
        <v>44562</v>
      </c>
      <c r="F1835" s="3">
        <v>44926</v>
      </c>
      <c r="G1835" t="s">
        <v>141</v>
      </c>
      <c r="H1835" s="3">
        <v>44562</v>
      </c>
      <c r="I1835" s="3">
        <v>44926</v>
      </c>
      <c r="J1835" t="s">
        <v>142</v>
      </c>
      <c r="K1835">
        <v>34401.72</v>
      </c>
      <c r="L1835" t="s">
        <v>143</v>
      </c>
      <c r="M1835" t="s">
        <v>110</v>
      </c>
      <c r="O1835" t="s">
        <v>996</v>
      </c>
      <c r="P1835" t="s">
        <v>550</v>
      </c>
      <c r="Q1835">
        <v>2022</v>
      </c>
      <c r="R1835" t="s">
        <v>612</v>
      </c>
      <c r="S1835" t="s">
        <v>613</v>
      </c>
      <c r="T1835" t="s">
        <v>553</v>
      </c>
      <c r="U1835" t="b">
        <v>0</v>
      </c>
      <c r="V1835" t="s">
        <v>614</v>
      </c>
      <c r="W1835" t="s">
        <v>587</v>
      </c>
      <c r="X1835" t="s">
        <v>556</v>
      </c>
      <c r="AC1835">
        <v>0</v>
      </c>
      <c r="AD1835" t="s">
        <v>558</v>
      </c>
      <c r="AE1835">
        <v>8.9444472000000008</v>
      </c>
      <c r="AF1835">
        <v>2.5999999999999998E-4</v>
      </c>
      <c r="AG1835" t="s">
        <v>588</v>
      </c>
      <c r="AH1835">
        <v>1</v>
      </c>
      <c r="AI1835">
        <v>34401.72</v>
      </c>
      <c r="AJ1835" t="s">
        <v>561</v>
      </c>
      <c r="AK1835" t="s">
        <v>589</v>
      </c>
      <c r="AL1835" t="s">
        <v>590</v>
      </c>
      <c r="AM1835">
        <v>2022</v>
      </c>
      <c r="AN1835">
        <v>2020</v>
      </c>
      <c r="AO1835">
        <f>IF(AND(emissions[[#This Row],[Market-based]]=0,emissions[[#This Row],[Impact Type]]="CO2E"),emissions[[#This Row],[kgCO2e]],0)/1000</f>
        <v>0</v>
      </c>
      <c r="AP1835">
        <f>IF(AND(emissions[[#This Row],[Market-based]]=1,OR(emissions[[#This Row],[Impact Type]]="CO2E",emissions[[#This Row],[Impact Type]]="CO2E MKT")),emissions[[#This Row],[kgCO2e]],0)/1000</f>
        <v>0</v>
      </c>
      <c r="AQ1835" t="str">
        <f>_xlfn.TEXTAFTER(emissions[[#This Row],[Reporting Unit]]," &gt; ",LEN(emissions[[#This Row],[Reporting Unit]])-LEN(SUBSTITUTE(emissions[[#This Row],[Reporting Unit]],"&gt;","")))</f>
        <v>Vantage_Argentina Farm (Agrinsa)</v>
      </c>
      <c r="AR1835" t="str">
        <f>_xlfn.XLOOKUP(emissions[[#This Row],[Reporting unit name]],hierarchy!$A:$A,hierarchy!$C:$C)</f>
        <v>Labratory</v>
      </c>
    </row>
    <row r="1836" spans="1:44" hidden="1" x14ac:dyDescent="0.25">
      <c r="A1836">
        <v>237483</v>
      </c>
      <c r="B1836" t="s">
        <v>240</v>
      </c>
      <c r="C1836" t="s">
        <v>475</v>
      </c>
      <c r="D1836" t="s">
        <v>548</v>
      </c>
      <c r="E1836" s="3">
        <v>44562</v>
      </c>
      <c r="F1836" s="3">
        <v>44926</v>
      </c>
      <c r="G1836" t="s">
        <v>141</v>
      </c>
      <c r="H1836" s="3">
        <v>44562</v>
      </c>
      <c r="I1836" s="3">
        <v>44926</v>
      </c>
      <c r="J1836" t="s">
        <v>142</v>
      </c>
      <c r="K1836">
        <v>34401.72</v>
      </c>
      <c r="L1836" t="s">
        <v>143</v>
      </c>
      <c r="M1836" t="s">
        <v>110</v>
      </c>
      <c r="O1836" t="s">
        <v>996</v>
      </c>
      <c r="P1836" t="s">
        <v>550</v>
      </c>
      <c r="Q1836">
        <v>2022</v>
      </c>
      <c r="R1836" t="s">
        <v>612</v>
      </c>
      <c r="S1836" t="s">
        <v>613</v>
      </c>
      <c r="T1836" t="s">
        <v>553</v>
      </c>
      <c r="U1836" t="b">
        <v>0</v>
      </c>
      <c r="V1836" t="s">
        <v>614</v>
      </c>
      <c r="W1836" t="s">
        <v>587</v>
      </c>
      <c r="X1836" t="s">
        <v>556</v>
      </c>
      <c r="AC1836">
        <v>0</v>
      </c>
      <c r="AD1836" t="s">
        <v>564</v>
      </c>
      <c r="AE1836">
        <v>91554.673500000004</v>
      </c>
      <c r="AF1836">
        <v>2.66134</v>
      </c>
      <c r="AG1836" t="s">
        <v>588</v>
      </c>
      <c r="AH1836">
        <v>1</v>
      </c>
      <c r="AI1836">
        <v>34401.72</v>
      </c>
      <c r="AJ1836" t="s">
        <v>561</v>
      </c>
      <c r="AK1836" t="s">
        <v>589</v>
      </c>
      <c r="AL1836" t="s">
        <v>590</v>
      </c>
      <c r="AM1836">
        <v>2022</v>
      </c>
      <c r="AN1836">
        <v>2020</v>
      </c>
      <c r="AO1836">
        <f>IF(AND(emissions[[#This Row],[Market-based]]=0,emissions[[#This Row],[Impact Type]]="CO2E"),emissions[[#This Row],[kgCO2e]],0)/1000</f>
        <v>0</v>
      </c>
      <c r="AP1836">
        <f>IF(AND(emissions[[#This Row],[Market-based]]=1,OR(emissions[[#This Row],[Impact Type]]="CO2E",emissions[[#This Row],[Impact Type]]="CO2E MKT")),emissions[[#This Row],[kgCO2e]],0)/1000</f>
        <v>0</v>
      </c>
      <c r="AQ1836" t="str">
        <f>_xlfn.TEXTAFTER(emissions[[#This Row],[Reporting Unit]]," &gt; ",LEN(emissions[[#This Row],[Reporting Unit]])-LEN(SUBSTITUTE(emissions[[#This Row],[Reporting Unit]],"&gt;","")))</f>
        <v>Vantage_Argentina Farm (Agrinsa)</v>
      </c>
      <c r="AR1836" t="str">
        <f>_xlfn.XLOOKUP(emissions[[#This Row],[Reporting unit name]],hierarchy!$A:$A,hierarchy!$C:$C)</f>
        <v>Labratory</v>
      </c>
    </row>
    <row r="1837" spans="1:44" hidden="1" x14ac:dyDescent="0.25">
      <c r="A1837">
        <v>237483</v>
      </c>
      <c r="B1837" t="s">
        <v>240</v>
      </c>
      <c r="C1837" t="s">
        <v>475</v>
      </c>
      <c r="D1837" t="s">
        <v>548</v>
      </c>
      <c r="E1837" s="3">
        <v>44562</v>
      </c>
      <c r="F1837" s="3">
        <v>44926</v>
      </c>
      <c r="G1837" t="s">
        <v>141</v>
      </c>
      <c r="H1837" s="3">
        <v>44562</v>
      </c>
      <c r="I1837" s="3">
        <v>44926</v>
      </c>
      <c r="J1837" t="s">
        <v>142</v>
      </c>
      <c r="K1837">
        <v>34401.72</v>
      </c>
      <c r="L1837" t="s">
        <v>143</v>
      </c>
      <c r="M1837" t="s">
        <v>110</v>
      </c>
      <c r="O1837" t="s">
        <v>996</v>
      </c>
      <c r="P1837" t="s">
        <v>550</v>
      </c>
      <c r="Q1837">
        <v>2022</v>
      </c>
      <c r="R1837" t="s">
        <v>612</v>
      </c>
      <c r="S1837" t="s">
        <v>613</v>
      </c>
      <c r="T1837" t="s">
        <v>553</v>
      </c>
      <c r="U1837" t="b">
        <v>0</v>
      </c>
      <c r="V1837" t="s">
        <v>614</v>
      </c>
      <c r="W1837" t="s">
        <v>587</v>
      </c>
      <c r="X1837" t="s">
        <v>556</v>
      </c>
      <c r="AC1837">
        <v>0</v>
      </c>
      <c r="AD1837" t="s">
        <v>565</v>
      </c>
      <c r="AE1837">
        <v>92843.361940000003</v>
      </c>
      <c r="AF1837">
        <v>2.6987999999999999</v>
      </c>
      <c r="AG1837" t="s">
        <v>588</v>
      </c>
      <c r="AH1837">
        <v>1</v>
      </c>
      <c r="AI1837">
        <v>34401.72</v>
      </c>
      <c r="AJ1837" t="s">
        <v>561</v>
      </c>
      <c r="AK1837" t="s">
        <v>589</v>
      </c>
      <c r="AL1837" t="s">
        <v>590</v>
      </c>
      <c r="AM1837">
        <v>2022</v>
      </c>
      <c r="AN1837">
        <v>2020</v>
      </c>
      <c r="AO1837">
        <f>IF(AND(emissions[[#This Row],[Market-based]]=0,emissions[[#This Row],[Impact Type]]="CO2E"),emissions[[#This Row],[kgCO2e]],0)/1000</f>
        <v>92.843361940000008</v>
      </c>
      <c r="AP1837">
        <f>IF(AND(emissions[[#This Row],[Market-based]]=1,OR(emissions[[#This Row],[Impact Type]]="CO2E",emissions[[#This Row],[Impact Type]]="CO2E MKT")),emissions[[#This Row],[kgCO2e]],0)/1000</f>
        <v>0</v>
      </c>
      <c r="AQ1837" t="str">
        <f>_xlfn.TEXTAFTER(emissions[[#This Row],[Reporting Unit]]," &gt; ",LEN(emissions[[#This Row],[Reporting Unit]])-LEN(SUBSTITUTE(emissions[[#This Row],[Reporting Unit]],"&gt;","")))</f>
        <v>Vantage_Argentina Farm (Agrinsa)</v>
      </c>
      <c r="AR1837" t="str">
        <f>_xlfn.XLOOKUP(emissions[[#This Row],[Reporting unit name]],hierarchy!$A:$A,hierarchy!$C:$C)</f>
        <v>Labratory</v>
      </c>
    </row>
    <row r="1838" spans="1:44" hidden="1" x14ac:dyDescent="0.25">
      <c r="A1838">
        <v>237483</v>
      </c>
      <c r="B1838" t="s">
        <v>240</v>
      </c>
      <c r="C1838" t="s">
        <v>475</v>
      </c>
      <c r="D1838" t="s">
        <v>548</v>
      </c>
      <c r="E1838" s="3">
        <v>44562</v>
      </c>
      <c r="F1838" s="3">
        <v>44926</v>
      </c>
      <c r="G1838" t="s">
        <v>141</v>
      </c>
      <c r="H1838" s="3">
        <v>44562</v>
      </c>
      <c r="I1838" s="3">
        <v>44926</v>
      </c>
      <c r="J1838" t="s">
        <v>142</v>
      </c>
      <c r="K1838">
        <v>34401.72</v>
      </c>
      <c r="L1838" t="s">
        <v>143</v>
      </c>
      <c r="M1838" t="s">
        <v>110</v>
      </c>
      <c r="O1838" t="s">
        <v>996</v>
      </c>
      <c r="P1838" t="s">
        <v>550</v>
      </c>
      <c r="Q1838">
        <v>2022</v>
      </c>
      <c r="R1838" t="s">
        <v>612</v>
      </c>
      <c r="S1838" t="s">
        <v>613</v>
      </c>
      <c r="T1838" t="s">
        <v>553</v>
      </c>
      <c r="U1838" t="b">
        <v>0</v>
      </c>
      <c r="V1838" t="s">
        <v>614</v>
      </c>
      <c r="W1838" t="s">
        <v>587</v>
      </c>
      <c r="X1838" t="s">
        <v>556</v>
      </c>
      <c r="AC1838">
        <v>0</v>
      </c>
      <c r="AD1838" t="s">
        <v>566</v>
      </c>
      <c r="AE1838">
        <v>1279.743984</v>
      </c>
      <c r="AF1838">
        <v>3.7199999999999997E-2</v>
      </c>
      <c r="AG1838" t="s">
        <v>588</v>
      </c>
      <c r="AH1838">
        <v>1</v>
      </c>
      <c r="AI1838">
        <v>34401.72</v>
      </c>
      <c r="AJ1838" t="s">
        <v>561</v>
      </c>
      <c r="AK1838" t="s">
        <v>589</v>
      </c>
      <c r="AL1838" t="s">
        <v>590</v>
      </c>
      <c r="AM1838">
        <v>2022</v>
      </c>
      <c r="AN1838">
        <v>2020</v>
      </c>
      <c r="AO1838">
        <f>IF(AND(emissions[[#This Row],[Market-based]]=0,emissions[[#This Row],[Impact Type]]="CO2E"),emissions[[#This Row],[kgCO2e]],0)/1000</f>
        <v>0</v>
      </c>
      <c r="AP1838">
        <f>IF(AND(emissions[[#This Row],[Market-based]]=1,OR(emissions[[#This Row],[Impact Type]]="CO2E",emissions[[#This Row],[Impact Type]]="CO2E MKT")),emissions[[#This Row],[kgCO2e]],0)/1000</f>
        <v>0</v>
      </c>
      <c r="AQ1838" t="str">
        <f>_xlfn.TEXTAFTER(emissions[[#This Row],[Reporting Unit]]," &gt; ",LEN(emissions[[#This Row],[Reporting Unit]])-LEN(SUBSTITUTE(emissions[[#This Row],[Reporting Unit]],"&gt;","")))</f>
        <v>Vantage_Argentina Farm (Agrinsa)</v>
      </c>
      <c r="AR1838" t="str">
        <f>_xlfn.XLOOKUP(emissions[[#This Row],[Reporting unit name]],hierarchy!$A:$A,hierarchy!$C:$C)</f>
        <v>Labratory</v>
      </c>
    </row>
    <row r="1839" spans="1:44" hidden="1" x14ac:dyDescent="0.25">
      <c r="A1839">
        <v>237483</v>
      </c>
      <c r="B1839" t="s">
        <v>240</v>
      </c>
      <c r="C1839" t="s">
        <v>475</v>
      </c>
      <c r="D1839" t="s">
        <v>548</v>
      </c>
      <c r="E1839" s="3">
        <v>44562</v>
      </c>
      <c r="F1839" s="3">
        <v>44926</v>
      </c>
      <c r="G1839" t="s">
        <v>141</v>
      </c>
      <c r="H1839" s="3">
        <v>44562</v>
      </c>
      <c r="I1839" s="3">
        <v>44926</v>
      </c>
      <c r="J1839" t="s">
        <v>142</v>
      </c>
      <c r="K1839">
        <v>34401.72</v>
      </c>
      <c r="L1839" t="s">
        <v>143</v>
      </c>
      <c r="M1839" t="s">
        <v>110</v>
      </c>
      <c r="O1839" t="s">
        <v>996</v>
      </c>
      <c r="P1839" t="s">
        <v>550</v>
      </c>
      <c r="Q1839">
        <v>2022</v>
      </c>
      <c r="R1839" t="s">
        <v>612</v>
      </c>
      <c r="S1839" t="s">
        <v>613</v>
      </c>
      <c r="T1839" t="s">
        <v>553</v>
      </c>
      <c r="U1839" t="b">
        <v>0</v>
      </c>
      <c r="V1839" t="s">
        <v>614</v>
      </c>
      <c r="W1839" t="s">
        <v>587</v>
      </c>
      <c r="X1839" t="s">
        <v>556</v>
      </c>
      <c r="AC1839">
        <v>1</v>
      </c>
      <c r="AD1839" t="s">
        <v>558</v>
      </c>
      <c r="AE1839">
        <v>8.9444472000000008</v>
      </c>
      <c r="AF1839">
        <v>2.5999999999999998E-4</v>
      </c>
      <c r="AG1839" t="s">
        <v>588</v>
      </c>
      <c r="AH1839">
        <v>1</v>
      </c>
      <c r="AI1839">
        <v>34401.72</v>
      </c>
      <c r="AJ1839" t="s">
        <v>561</v>
      </c>
      <c r="AK1839" t="s">
        <v>589</v>
      </c>
      <c r="AL1839" t="s">
        <v>590</v>
      </c>
      <c r="AM1839">
        <v>2022</v>
      </c>
      <c r="AN1839">
        <v>2020</v>
      </c>
      <c r="AO1839">
        <f>IF(AND(emissions[[#This Row],[Market-based]]=0,emissions[[#This Row],[Impact Type]]="CO2E"),emissions[[#This Row],[kgCO2e]],0)/1000</f>
        <v>0</v>
      </c>
      <c r="AP1839">
        <f>IF(AND(emissions[[#This Row],[Market-based]]=1,OR(emissions[[#This Row],[Impact Type]]="CO2E",emissions[[#This Row],[Impact Type]]="CO2E MKT")),emissions[[#This Row],[kgCO2e]],0)/1000</f>
        <v>0</v>
      </c>
      <c r="AQ1839" t="str">
        <f>_xlfn.TEXTAFTER(emissions[[#This Row],[Reporting Unit]]," &gt; ",LEN(emissions[[#This Row],[Reporting Unit]])-LEN(SUBSTITUTE(emissions[[#This Row],[Reporting Unit]],"&gt;","")))</f>
        <v>Vantage_Argentina Farm (Agrinsa)</v>
      </c>
      <c r="AR1839" t="str">
        <f>_xlfn.XLOOKUP(emissions[[#This Row],[Reporting unit name]],hierarchy!$A:$A,hierarchy!$C:$C)</f>
        <v>Labratory</v>
      </c>
    </row>
    <row r="1840" spans="1:44" hidden="1" x14ac:dyDescent="0.25">
      <c r="A1840">
        <v>237483</v>
      </c>
      <c r="B1840" t="s">
        <v>240</v>
      </c>
      <c r="C1840" t="s">
        <v>475</v>
      </c>
      <c r="D1840" t="s">
        <v>548</v>
      </c>
      <c r="E1840" s="3">
        <v>44562</v>
      </c>
      <c r="F1840" s="3">
        <v>44926</v>
      </c>
      <c r="G1840" t="s">
        <v>141</v>
      </c>
      <c r="H1840" s="3">
        <v>44562</v>
      </c>
      <c r="I1840" s="3">
        <v>44926</v>
      </c>
      <c r="J1840" t="s">
        <v>142</v>
      </c>
      <c r="K1840">
        <v>34401.72</v>
      </c>
      <c r="L1840" t="s">
        <v>143</v>
      </c>
      <c r="M1840" t="s">
        <v>110</v>
      </c>
      <c r="O1840" t="s">
        <v>996</v>
      </c>
      <c r="P1840" t="s">
        <v>550</v>
      </c>
      <c r="Q1840">
        <v>2022</v>
      </c>
      <c r="R1840" t="s">
        <v>612</v>
      </c>
      <c r="S1840" t="s">
        <v>613</v>
      </c>
      <c r="T1840" t="s">
        <v>553</v>
      </c>
      <c r="U1840" t="b">
        <v>0</v>
      </c>
      <c r="V1840" t="s">
        <v>614</v>
      </c>
      <c r="W1840" t="s">
        <v>587</v>
      </c>
      <c r="X1840" t="s">
        <v>556</v>
      </c>
      <c r="AC1840">
        <v>1</v>
      </c>
      <c r="AD1840" t="s">
        <v>564</v>
      </c>
      <c r="AE1840">
        <v>91554.673500000004</v>
      </c>
      <c r="AF1840">
        <v>2.66134</v>
      </c>
      <c r="AG1840" t="s">
        <v>588</v>
      </c>
      <c r="AH1840">
        <v>1</v>
      </c>
      <c r="AI1840">
        <v>34401.72</v>
      </c>
      <c r="AJ1840" t="s">
        <v>561</v>
      </c>
      <c r="AK1840" t="s">
        <v>589</v>
      </c>
      <c r="AL1840" t="s">
        <v>590</v>
      </c>
      <c r="AM1840">
        <v>2022</v>
      </c>
      <c r="AN1840">
        <v>2020</v>
      </c>
      <c r="AO1840">
        <f>IF(AND(emissions[[#This Row],[Market-based]]=0,emissions[[#This Row],[Impact Type]]="CO2E"),emissions[[#This Row],[kgCO2e]],0)/1000</f>
        <v>0</v>
      </c>
      <c r="AP1840">
        <f>IF(AND(emissions[[#This Row],[Market-based]]=1,OR(emissions[[#This Row],[Impact Type]]="CO2E",emissions[[#This Row],[Impact Type]]="CO2E MKT")),emissions[[#This Row],[kgCO2e]],0)/1000</f>
        <v>0</v>
      </c>
      <c r="AQ1840" t="str">
        <f>_xlfn.TEXTAFTER(emissions[[#This Row],[Reporting Unit]]," &gt; ",LEN(emissions[[#This Row],[Reporting Unit]])-LEN(SUBSTITUTE(emissions[[#This Row],[Reporting Unit]],"&gt;","")))</f>
        <v>Vantage_Argentina Farm (Agrinsa)</v>
      </c>
      <c r="AR1840" t="str">
        <f>_xlfn.XLOOKUP(emissions[[#This Row],[Reporting unit name]],hierarchy!$A:$A,hierarchy!$C:$C)</f>
        <v>Labratory</v>
      </c>
    </row>
    <row r="1841" spans="1:44" hidden="1" x14ac:dyDescent="0.25">
      <c r="A1841">
        <v>237483</v>
      </c>
      <c r="B1841" t="s">
        <v>240</v>
      </c>
      <c r="C1841" t="s">
        <v>475</v>
      </c>
      <c r="D1841" t="s">
        <v>548</v>
      </c>
      <c r="E1841" s="3">
        <v>44562</v>
      </c>
      <c r="F1841" s="3">
        <v>44926</v>
      </c>
      <c r="G1841" t="s">
        <v>141</v>
      </c>
      <c r="H1841" s="3">
        <v>44562</v>
      </c>
      <c r="I1841" s="3">
        <v>44926</v>
      </c>
      <c r="J1841" t="s">
        <v>142</v>
      </c>
      <c r="K1841">
        <v>34401.72</v>
      </c>
      <c r="L1841" t="s">
        <v>143</v>
      </c>
      <c r="M1841" t="s">
        <v>110</v>
      </c>
      <c r="O1841" t="s">
        <v>996</v>
      </c>
      <c r="P1841" t="s">
        <v>550</v>
      </c>
      <c r="Q1841">
        <v>2022</v>
      </c>
      <c r="R1841" t="s">
        <v>612</v>
      </c>
      <c r="S1841" t="s">
        <v>613</v>
      </c>
      <c r="T1841" t="s">
        <v>553</v>
      </c>
      <c r="U1841" t="b">
        <v>0</v>
      </c>
      <c r="V1841" t="s">
        <v>614</v>
      </c>
      <c r="W1841" t="s">
        <v>587</v>
      </c>
      <c r="X1841" t="s">
        <v>556</v>
      </c>
      <c r="AC1841">
        <v>1</v>
      </c>
      <c r="AD1841" t="s">
        <v>565</v>
      </c>
      <c r="AE1841">
        <v>92843.361940000003</v>
      </c>
      <c r="AF1841">
        <v>2.6987999999999999</v>
      </c>
      <c r="AG1841" t="s">
        <v>588</v>
      </c>
      <c r="AH1841">
        <v>1</v>
      </c>
      <c r="AI1841">
        <v>34401.72</v>
      </c>
      <c r="AJ1841" t="s">
        <v>561</v>
      </c>
      <c r="AK1841" t="s">
        <v>589</v>
      </c>
      <c r="AL1841" t="s">
        <v>590</v>
      </c>
      <c r="AM1841">
        <v>2022</v>
      </c>
      <c r="AN1841">
        <v>2020</v>
      </c>
      <c r="AO1841">
        <f>IF(AND(emissions[[#This Row],[Market-based]]=0,emissions[[#This Row],[Impact Type]]="CO2E"),emissions[[#This Row],[kgCO2e]],0)/1000</f>
        <v>0</v>
      </c>
      <c r="AP1841">
        <f>IF(AND(emissions[[#This Row],[Market-based]]=1,OR(emissions[[#This Row],[Impact Type]]="CO2E",emissions[[#This Row],[Impact Type]]="CO2E MKT")),emissions[[#This Row],[kgCO2e]],0)/1000</f>
        <v>92.843361940000008</v>
      </c>
      <c r="AQ1841" t="str">
        <f>_xlfn.TEXTAFTER(emissions[[#This Row],[Reporting Unit]]," &gt; ",LEN(emissions[[#This Row],[Reporting Unit]])-LEN(SUBSTITUTE(emissions[[#This Row],[Reporting Unit]],"&gt;","")))</f>
        <v>Vantage_Argentina Farm (Agrinsa)</v>
      </c>
      <c r="AR1841" t="str">
        <f>_xlfn.XLOOKUP(emissions[[#This Row],[Reporting unit name]],hierarchy!$A:$A,hierarchy!$C:$C)</f>
        <v>Labratory</v>
      </c>
    </row>
    <row r="1842" spans="1:44" hidden="1" x14ac:dyDescent="0.25">
      <c r="A1842">
        <v>237483</v>
      </c>
      <c r="B1842" t="s">
        <v>240</v>
      </c>
      <c r="C1842" t="s">
        <v>475</v>
      </c>
      <c r="D1842" t="s">
        <v>548</v>
      </c>
      <c r="E1842" s="3">
        <v>44562</v>
      </c>
      <c r="F1842" s="3">
        <v>44926</v>
      </c>
      <c r="G1842" t="s">
        <v>141</v>
      </c>
      <c r="H1842" s="3">
        <v>44562</v>
      </c>
      <c r="I1842" s="3">
        <v>44926</v>
      </c>
      <c r="J1842" t="s">
        <v>142</v>
      </c>
      <c r="K1842">
        <v>34401.72</v>
      </c>
      <c r="L1842" t="s">
        <v>143</v>
      </c>
      <c r="M1842" t="s">
        <v>110</v>
      </c>
      <c r="O1842" t="s">
        <v>996</v>
      </c>
      <c r="P1842" t="s">
        <v>550</v>
      </c>
      <c r="Q1842">
        <v>2022</v>
      </c>
      <c r="R1842" t="s">
        <v>612</v>
      </c>
      <c r="S1842" t="s">
        <v>613</v>
      </c>
      <c r="T1842" t="s">
        <v>553</v>
      </c>
      <c r="U1842" t="b">
        <v>0</v>
      </c>
      <c r="V1842" t="s">
        <v>614</v>
      </c>
      <c r="W1842" t="s">
        <v>587</v>
      </c>
      <c r="X1842" t="s">
        <v>556</v>
      </c>
      <c r="AC1842">
        <v>1</v>
      </c>
      <c r="AD1842" t="s">
        <v>566</v>
      </c>
      <c r="AE1842">
        <v>1279.743984</v>
      </c>
      <c r="AF1842">
        <v>3.7199999999999997E-2</v>
      </c>
      <c r="AG1842" t="s">
        <v>588</v>
      </c>
      <c r="AH1842">
        <v>1</v>
      </c>
      <c r="AI1842">
        <v>34401.72</v>
      </c>
      <c r="AJ1842" t="s">
        <v>561</v>
      </c>
      <c r="AK1842" t="s">
        <v>589</v>
      </c>
      <c r="AL1842" t="s">
        <v>590</v>
      </c>
      <c r="AM1842">
        <v>2022</v>
      </c>
      <c r="AN1842">
        <v>2020</v>
      </c>
      <c r="AO1842">
        <f>IF(AND(emissions[[#This Row],[Market-based]]=0,emissions[[#This Row],[Impact Type]]="CO2E"),emissions[[#This Row],[kgCO2e]],0)/1000</f>
        <v>0</v>
      </c>
      <c r="AP1842">
        <f>IF(AND(emissions[[#This Row],[Market-based]]=1,OR(emissions[[#This Row],[Impact Type]]="CO2E",emissions[[#This Row],[Impact Type]]="CO2E MKT")),emissions[[#This Row],[kgCO2e]],0)/1000</f>
        <v>0</v>
      </c>
      <c r="AQ1842" t="str">
        <f>_xlfn.TEXTAFTER(emissions[[#This Row],[Reporting Unit]]," &gt; ",LEN(emissions[[#This Row],[Reporting Unit]])-LEN(SUBSTITUTE(emissions[[#This Row],[Reporting Unit]],"&gt;","")))</f>
        <v>Vantage_Argentina Farm (Agrinsa)</v>
      </c>
      <c r="AR1842" t="str">
        <f>_xlfn.XLOOKUP(emissions[[#This Row],[Reporting unit name]],hierarchy!$A:$A,hierarchy!$C:$C)</f>
        <v>Labratory</v>
      </c>
    </row>
    <row r="1843" spans="1:44" hidden="1" x14ac:dyDescent="0.25">
      <c r="A1843">
        <v>237483</v>
      </c>
      <c r="B1843" t="s">
        <v>240</v>
      </c>
      <c r="C1843" t="s">
        <v>475</v>
      </c>
      <c r="D1843" t="s">
        <v>548</v>
      </c>
      <c r="E1843" s="3">
        <v>44562</v>
      </c>
      <c r="F1843" s="3">
        <v>44926</v>
      </c>
      <c r="G1843" t="s">
        <v>141</v>
      </c>
      <c r="H1843" s="3">
        <v>44562</v>
      </c>
      <c r="I1843" s="3">
        <v>44926</v>
      </c>
      <c r="J1843" t="s">
        <v>142</v>
      </c>
      <c r="K1843">
        <v>34401.72</v>
      </c>
      <c r="L1843" t="s">
        <v>143</v>
      </c>
      <c r="M1843" t="s">
        <v>110</v>
      </c>
      <c r="O1843" t="s">
        <v>996</v>
      </c>
      <c r="P1843" t="s">
        <v>550</v>
      </c>
      <c r="Q1843">
        <v>2022</v>
      </c>
      <c r="R1843" t="s">
        <v>615</v>
      </c>
      <c r="S1843" t="s">
        <v>616</v>
      </c>
      <c r="T1843" t="s">
        <v>577</v>
      </c>
      <c r="U1843" t="b">
        <v>0</v>
      </c>
      <c r="V1843" t="s">
        <v>879</v>
      </c>
      <c r="W1843" t="s">
        <v>571</v>
      </c>
      <c r="X1843" t="s">
        <v>572</v>
      </c>
      <c r="AC1843">
        <v>0</v>
      </c>
      <c r="AD1843" t="s">
        <v>565</v>
      </c>
      <c r="AE1843">
        <v>21629.737430000001</v>
      </c>
      <c r="AF1843">
        <v>0.62873999999999997</v>
      </c>
      <c r="AG1843" t="s">
        <v>588</v>
      </c>
      <c r="AH1843">
        <v>1</v>
      </c>
      <c r="AI1843">
        <v>34401.72</v>
      </c>
      <c r="AJ1843" t="s">
        <v>561</v>
      </c>
      <c r="AK1843" t="s">
        <v>589</v>
      </c>
      <c r="AL1843" t="s">
        <v>590</v>
      </c>
      <c r="AM1843">
        <v>2022</v>
      </c>
      <c r="AN1843">
        <v>2020</v>
      </c>
      <c r="AO1843">
        <f>IF(AND(emissions[[#This Row],[Market-based]]=0,emissions[[#This Row],[Impact Type]]="CO2E"),emissions[[#This Row],[kgCO2e]],0)/1000</f>
        <v>21.629737430000002</v>
      </c>
      <c r="AP1843">
        <f>IF(AND(emissions[[#This Row],[Market-based]]=1,OR(emissions[[#This Row],[Impact Type]]="CO2E",emissions[[#This Row],[Impact Type]]="CO2E MKT")),emissions[[#This Row],[kgCO2e]],0)/1000</f>
        <v>0</v>
      </c>
      <c r="AQ1843" t="str">
        <f>_xlfn.TEXTAFTER(emissions[[#This Row],[Reporting Unit]]," &gt; ",LEN(emissions[[#This Row],[Reporting Unit]])-LEN(SUBSTITUTE(emissions[[#This Row],[Reporting Unit]],"&gt;","")))</f>
        <v>Vantage_Argentina Farm (Agrinsa)</v>
      </c>
      <c r="AR1843" t="str">
        <f>_xlfn.XLOOKUP(emissions[[#This Row],[Reporting unit name]],hierarchy!$A:$A,hierarchy!$C:$C)</f>
        <v>Labratory</v>
      </c>
    </row>
    <row r="1844" spans="1:44" hidden="1" x14ac:dyDescent="0.25">
      <c r="A1844">
        <v>237483</v>
      </c>
      <c r="B1844" t="s">
        <v>240</v>
      </c>
      <c r="C1844" t="s">
        <v>475</v>
      </c>
      <c r="D1844" t="s">
        <v>548</v>
      </c>
      <c r="E1844" s="3">
        <v>44562</v>
      </c>
      <c r="F1844" s="3">
        <v>44926</v>
      </c>
      <c r="G1844" t="s">
        <v>141</v>
      </c>
      <c r="H1844" s="3">
        <v>44562</v>
      </c>
      <c r="I1844" s="3">
        <v>44926</v>
      </c>
      <c r="J1844" t="s">
        <v>142</v>
      </c>
      <c r="K1844">
        <v>34401.72</v>
      </c>
      <c r="L1844" t="s">
        <v>143</v>
      </c>
      <c r="M1844" t="s">
        <v>110</v>
      </c>
      <c r="O1844" t="s">
        <v>996</v>
      </c>
      <c r="P1844" t="s">
        <v>550</v>
      </c>
      <c r="Q1844">
        <v>2022</v>
      </c>
      <c r="R1844" t="s">
        <v>615</v>
      </c>
      <c r="S1844" t="s">
        <v>616</v>
      </c>
      <c r="T1844" t="s">
        <v>577</v>
      </c>
      <c r="U1844" t="b">
        <v>0</v>
      </c>
      <c r="V1844" t="s">
        <v>879</v>
      </c>
      <c r="W1844" t="s">
        <v>571</v>
      </c>
      <c r="X1844" t="s">
        <v>572</v>
      </c>
      <c r="AC1844">
        <v>1</v>
      </c>
      <c r="AD1844" t="s">
        <v>565</v>
      </c>
      <c r="AE1844">
        <v>21629.737430000001</v>
      </c>
      <c r="AF1844">
        <v>0.62873999999999997</v>
      </c>
      <c r="AG1844" t="s">
        <v>588</v>
      </c>
      <c r="AH1844">
        <v>1</v>
      </c>
      <c r="AI1844">
        <v>34401.72</v>
      </c>
      <c r="AJ1844" t="s">
        <v>561</v>
      </c>
      <c r="AK1844" t="s">
        <v>589</v>
      </c>
      <c r="AL1844" t="s">
        <v>590</v>
      </c>
      <c r="AM1844">
        <v>2022</v>
      </c>
      <c r="AN1844">
        <v>2020</v>
      </c>
      <c r="AO1844">
        <f>IF(AND(emissions[[#This Row],[Market-based]]=0,emissions[[#This Row],[Impact Type]]="CO2E"),emissions[[#This Row],[kgCO2e]],0)/1000</f>
        <v>0</v>
      </c>
      <c r="AP1844">
        <f>IF(AND(emissions[[#This Row],[Market-based]]=1,OR(emissions[[#This Row],[Impact Type]]="CO2E",emissions[[#This Row],[Impact Type]]="CO2E MKT")),emissions[[#This Row],[kgCO2e]],0)/1000</f>
        <v>21.629737430000002</v>
      </c>
      <c r="AQ1844" t="str">
        <f>_xlfn.TEXTAFTER(emissions[[#This Row],[Reporting Unit]]," &gt; ",LEN(emissions[[#This Row],[Reporting Unit]])-LEN(SUBSTITUTE(emissions[[#This Row],[Reporting Unit]],"&gt;","")))</f>
        <v>Vantage_Argentina Farm (Agrinsa)</v>
      </c>
      <c r="AR1844" t="str">
        <f>_xlfn.XLOOKUP(emissions[[#This Row],[Reporting unit name]],hierarchy!$A:$A,hierarchy!$C:$C)</f>
        <v>Labratory</v>
      </c>
    </row>
    <row r="1845" spans="1:44" hidden="1" x14ac:dyDescent="0.25">
      <c r="A1845">
        <v>237485</v>
      </c>
      <c r="B1845" t="s">
        <v>240</v>
      </c>
      <c r="C1845" t="s">
        <v>475</v>
      </c>
      <c r="D1845" t="s">
        <v>548</v>
      </c>
      <c r="E1845" s="3">
        <v>44562</v>
      </c>
      <c r="F1845" s="3">
        <v>44926</v>
      </c>
      <c r="G1845" t="s">
        <v>141</v>
      </c>
      <c r="H1845" s="3">
        <v>44562</v>
      </c>
      <c r="I1845" s="3">
        <v>44926</v>
      </c>
      <c r="J1845" t="s">
        <v>142</v>
      </c>
      <c r="K1845">
        <v>6222.72</v>
      </c>
      <c r="L1845" t="s">
        <v>143</v>
      </c>
      <c r="M1845" t="s">
        <v>110</v>
      </c>
      <c r="O1845" t="s">
        <v>997</v>
      </c>
      <c r="P1845" t="s">
        <v>550</v>
      </c>
      <c r="Q1845">
        <v>2022</v>
      </c>
      <c r="R1845" t="s">
        <v>612</v>
      </c>
      <c r="S1845" t="s">
        <v>613</v>
      </c>
      <c r="T1845" t="s">
        <v>553</v>
      </c>
      <c r="U1845" t="b">
        <v>0</v>
      </c>
      <c r="V1845" t="s">
        <v>614</v>
      </c>
      <c r="W1845" t="s">
        <v>587</v>
      </c>
      <c r="X1845" t="s">
        <v>556</v>
      </c>
      <c r="AC1845">
        <v>0</v>
      </c>
      <c r="AD1845" t="s">
        <v>558</v>
      </c>
      <c r="AE1845">
        <v>1.6179072000000001</v>
      </c>
      <c r="AF1845">
        <v>2.5999999999999998E-4</v>
      </c>
      <c r="AG1845" t="s">
        <v>588</v>
      </c>
      <c r="AH1845">
        <v>1</v>
      </c>
      <c r="AI1845">
        <v>6222.72</v>
      </c>
      <c r="AJ1845" t="s">
        <v>561</v>
      </c>
      <c r="AK1845" t="s">
        <v>589</v>
      </c>
      <c r="AL1845" t="s">
        <v>590</v>
      </c>
      <c r="AM1845">
        <v>2022</v>
      </c>
      <c r="AN1845">
        <v>2020</v>
      </c>
      <c r="AO1845">
        <f>IF(AND(emissions[[#This Row],[Market-based]]=0,emissions[[#This Row],[Impact Type]]="CO2E"),emissions[[#This Row],[kgCO2e]],0)/1000</f>
        <v>0</v>
      </c>
      <c r="AP1845">
        <f>IF(AND(emissions[[#This Row],[Market-based]]=1,OR(emissions[[#This Row],[Impact Type]]="CO2E",emissions[[#This Row],[Impact Type]]="CO2E MKT")),emissions[[#This Row],[kgCO2e]],0)/1000</f>
        <v>0</v>
      </c>
      <c r="AQ1845" t="str">
        <f>_xlfn.TEXTAFTER(emissions[[#This Row],[Reporting Unit]]," &gt; ",LEN(emissions[[#This Row],[Reporting Unit]])-LEN(SUBSTITUTE(emissions[[#This Row],[Reporting Unit]],"&gt;","")))</f>
        <v>Vantage_Argentina Farm (Agrinsa)</v>
      </c>
      <c r="AR1845" t="str">
        <f>_xlfn.XLOOKUP(emissions[[#This Row],[Reporting unit name]],hierarchy!$A:$A,hierarchy!$C:$C)</f>
        <v>Labratory</v>
      </c>
    </row>
    <row r="1846" spans="1:44" hidden="1" x14ac:dyDescent="0.25">
      <c r="A1846">
        <v>237485</v>
      </c>
      <c r="B1846" t="s">
        <v>240</v>
      </c>
      <c r="C1846" t="s">
        <v>475</v>
      </c>
      <c r="D1846" t="s">
        <v>548</v>
      </c>
      <c r="E1846" s="3">
        <v>44562</v>
      </c>
      <c r="F1846" s="3">
        <v>44926</v>
      </c>
      <c r="G1846" t="s">
        <v>141</v>
      </c>
      <c r="H1846" s="3">
        <v>44562</v>
      </c>
      <c r="I1846" s="3">
        <v>44926</v>
      </c>
      <c r="J1846" t="s">
        <v>142</v>
      </c>
      <c r="K1846">
        <v>6222.72</v>
      </c>
      <c r="L1846" t="s">
        <v>143</v>
      </c>
      <c r="M1846" t="s">
        <v>110</v>
      </c>
      <c r="O1846" t="s">
        <v>997</v>
      </c>
      <c r="P1846" t="s">
        <v>550</v>
      </c>
      <c r="Q1846">
        <v>2022</v>
      </c>
      <c r="R1846" t="s">
        <v>612</v>
      </c>
      <c r="S1846" t="s">
        <v>613</v>
      </c>
      <c r="T1846" t="s">
        <v>553</v>
      </c>
      <c r="U1846" t="b">
        <v>0</v>
      </c>
      <c r="V1846" t="s">
        <v>614</v>
      </c>
      <c r="W1846" t="s">
        <v>587</v>
      </c>
      <c r="X1846" t="s">
        <v>556</v>
      </c>
      <c r="AC1846">
        <v>0</v>
      </c>
      <c r="AD1846" t="s">
        <v>564</v>
      </c>
      <c r="AE1846">
        <v>16560.773639999999</v>
      </c>
      <c r="AF1846">
        <v>2.66134</v>
      </c>
      <c r="AG1846" t="s">
        <v>588</v>
      </c>
      <c r="AH1846">
        <v>1</v>
      </c>
      <c r="AI1846">
        <v>6222.72</v>
      </c>
      <c r="AJ1846" t="s">
        <v>561</v>
      </c>
      <c r="AK1846" t="s">
        <v>589</v>
      </c>
      <c r="AL1846" t="s">
        <v>590</v>
      </c>
      <c r="AM1846">
        <v>2022</v>
      </c>
      <c r="AN1846">
        <v>2020</v>
      </c>
      <c r="AO1846">
        <f>IF(AND(emissions[[#This Row],[Market-based]]=0,emissions[[#This Row],[Impact Type]]="CO2E"),emissions[[#This Row],[kgCO2e]],0)/1000</f>
        <v>0</v>
      </c>
      <c r="AP1846">
        <f>IF(AND(emissions[[#This Row],[Market-based]]=1,OR(emissions[[#This Row],[Impact Type]]="CO2E",emissions[[#This Row],[Impact Type]]="CO2E MKT")),emissions[[#This Row],[kgCO2e]],0)/1000</f>
        <v>0</v>
      </c>
      <c r="AQ1846" t="str">
        <f>_xlfn.TEXTAFTER(emissions[[#This Row],[Reporting Unit]]," &gt; ",LEN(emissions[[#This Row],[Reporting Unit]])-LEN(SUBSTITUTE(emissions[[#This Row],[Reporting Unit]],"&gt;","")))</f>
        <v>Vantage_Argentina Farm (Agrinsa)</v>
      </c>
      <c r="AR1846" t="str">
        <f>_xlfn.XLOOKUP(emissions[[#This Row],[Reporting unit name]],hierarchy!$A:$A,hierarchy!$C:$C)</f>
        <v>Labratory</v>
      </c>
    </row>
    <row r="1847" spans="1:44" hidden="1" x14ac:dyDescent="0.25">
      <c r="A1847">
        <v>237485</v>
      </c>
      <c r="B1847" t="s">
        <v>240</v>
      </c>
      <c r="C1847" t="s">
        <v>475</v>
      </c>
      <c r="D1847" t="s">
        <v>548</v>
      </c>
      <c r="E1847" s="3">
        <v>44562</v>
      </c>
      <c r="F1847" s="3">
        <v>44926</v>
      </c>
      <c r="G1847" t="s">
        <v>141</v>
      </c>
      <c r="H1847" s="3">
        <v>44562</v>
      </c>
      <c r="I1847" s="3">
        <v>44926</v>
      </c>
      <c r="J1847" t="s">
        <v>142</v>
      </c>
      <c r="K1847">
        <v>6222.72</v>
      </c>
      <c r="L1847" t="s">
        <v>143</v>
      </c>
      <c r="M1847" t="s">
        <v>110</v>
      </c>
      <c r="O1847" t="s">
        <v>997</v>
      </c>
      <c r="P1847" t="s">
        <v>550</v>
      </c>
      <c r="Q1847">
        <v>2022</v>
      </c>
      <c r="R1847" t="s">
        <v>612</v>
      </c>
      <c r="S1847" t="s">
        <v>613</v>
      </c>
      <c r="T1847" t="s">
        <v>553</v>
      </c>
      <c r="U1847" t="b">
        <v>0</v>
      </c>
      <c r="V1847" t="s">
        <v>614</v>
      </c>
      <c r="W1847" t="s">
        <v>587</v>
      </c>
      <c r="X1847" t="s">
        <v>556</v>
      </c>
      <c r="AC1847">
        <v>0</v>
      </c>
      <c r="AD1847" t="s">
        <v>565</v>
      </c>
      <c r="AE1847">
        <v>16793.87674</v>
      </c>
      <c r="AF1847">
        <v>2.6987999999999999</v>
      </c>
      <c r="AG1847" t="s">
        <v>588</v>
      </c>
      <c r="AH1847">
        <v>1</v>
      </c>
      <c r="AI1847">
        <v>6222.72</v>
      </c>
      <c r="AJ1847" t="s">
        <v>561</v>
      </c>
      <c r="AK1847" t="s">
        <v>589</v>
      </c>
      <c r="AL1847" t="s">
        <v>590</v>
      </c>
      <c r="AM1847">
        <v>2022</v>
      </c>
      <c r="AN1847">
        <v>2020</v>
      </c>
      <c r="AO1847">
        <f>IF(AND(emissions[[#This Row],[Market-based]]=0,emissions[[#This Row],[Impact Type]]="CO2E"),emissions[[#This Row],[kgCO2e]],0)/1000</f>
        <v>16.793876739999998</v>
      </c>
      <c r="AP1847">
        <f>IF(AND(emissions[[#This Row],[Market-based]]=1,OR(emissions[[#This Row],[Impact Type]]="CO2E",emissions[[#This Row],[Impact Type]]="CO2E MKT")),emissions[[#This Row],[kgCO2e]],0)/1000</f>
        <v>0</v>
      </c>
      <c r="AQ1847" t="str">
        <f>_xlfn.TEXTAFTER(emissions[[#This Row],[Reporting Unit]]," &gt; ",LEN(emissions[[#This Row],[Reporting Unit]])-LEN(SUBSTITUTE(emissions[[#This Row],[Reporting Unit]],"&gt;","")))</f>
        <v>Vantage_Argentina Farm (Agrinsa)</v>
      </c>
      <c r="AR1847" t="str">
        <f>_xlfn.XLOOKUP(emissions[[#This Row],[Reporting unit name]],hierarchy!$A:$A,hierarchy!$C:$C)</f>
        <v>Labratory</v>
      </c>
    </row>
    <row r="1848" spans="1:44" hidden="1" x14ac:dyDescent="0.25">
      <c r="A1848">
        <v>237485</v>
      </c>
      <c r="B1848" t="s">
        <v>240</v>
      </c>
      <c r="C1848" t="s">
        <v>475</v>
      </c>
      <c r="D1848" t="s">
        <v>548</v>
      </c>
      <c r="E1848" s="3">
        <v>44562</v>
      </c>
      <c r="F1848" s="3">
        <v>44926</v>
      </c>
      <c r="G1848" t="s">
        <v>141</v>
      </c>
      <c r="H1848" s="3">
        <v>44562</v>
      </c>
      <c r="I1848" s="3">
        <v>44926</v>
      </c>
      <c r="J1848" t="s">
        <v>142</v>
      </c>
      <c r="K1848">
        <v>6222.72</v>
      </c>
      <c r="L1848" t="s">
        <v>143</v>
      </c>
      <c r="M1848" t="s">
        <v>110</v>
      </c>
      <c r="O1848" t="s">
        <v>997</v>
      </c>
      <c r="P1848" t="s">
        <v>550</v>
      </c>
      <c r="Q1848">
        <v>2022</v>
      </c>
      <c r="R1848" t="s">
        <v>612</v>
      </c>
      <c r="S1848" t="s">
        <v>613</v>
      </c>
      <c r="T1848" t="s">
        <v>553</v>
      </c>
      <c r="U1848" t="b">
        <v>0</v>
      </c>
      <c r="V1848" t="s">
        <v>614</v>
      </c>
      <c r="W1848" t="s">
        <v>587</v>
      </c>
      <c r="X1848" t="s">
        <v>556</v>
      </c>
      <c r="AC1848">
        <v>0</v>
      </c>
      <c r="AD1848" t="s">
        <v>566</v>
      </c>
      <c r="AE1848">
        <v>231.485184</v>
      </c>
      <c r="AF1848">
        <v>3.7199999999999997E-2</v>
      </c>
      <c r="AG1848" t="s">
        <v>588</v>
      </c>
      <c r="AH1848">
        <v>1</v>
      </c>
      <c r="AI1848">
        <v>6222.72</v>
      </c>
      <c r="AJ1848" t="s">
        <v>561</v>
      </c>
      <c r="AK1848" t="s">
        <v>589</v>
      </c>
      <c r="AL1848" t="s">
        <v>590</v>
      </c>
      <c r="AM1848">
        <v>2022</v>
      </c>
      <c r="AN1848">
        <v>2020</v>
      </c>
      <c r="AO1848">
        <f>IF(AND(emissions[[#This Row],[Market-based]]=0,emissions[[#This Row],[Impact Type]]="CO2E"),emissions[[#This Row],[kgCO2e]],0)/1000</f>
        <v>0</v>
      </c>
      <c r="AP1848">
        <f>IF(AND(emissions[[#This Row],[Market-based]]=1,OR(emissions[[#This Row],[Impact Type]]="CO2E",emissions[[#This Row],[Impact Type]]="CO2E MKT")),emissions[[#This Row],[kgCO2e]],0)/1000</f>
        <v>0</v>
      </c>
      <c r="AQ1848" t="str">
        <f>_xlfn.TEXTAFTER(emissions[[#This Row],[Reporting Unit]]," &gt; ",LEN(emissions[[#This Row],[Reporting Unit]])-LEN(SUBSTITUTE(emissions[[#This Row],[Reporting Unit]],"&gt;","")))</f>
        <v>Vantage_Argentina Farm (Agrinsa)</v>
      </c>
      <c r="AR1848" t="str">
        <f>_xlfn.XLOOKUP(emissions[[#This Row],[Reporting unit name]],hierarchy!$A:$A,hierarchy!$C:$C)</f>
        <v>Labratory</v>
      </c>
    </row>
    <row r="1849" spans="1:44" hidden="1" x14ac:dyDescent="0.25">
      <c r="A1849">
        <v>237485</v>
      </c>
      <c r="B1849" t="s">
        <v>240</v>
      </c>
      <c r="C1849" t="s">
        <v>475</v>
      </c>
      <c r="D1849" t="s">
        <v>548</v>
      </c>
      <c r="E1849" s="3">
        <v>44562</v>
      </c>
      <c r="F1849" s="3">
        <v>44926</v>
      </c>
      <c r="G1849" t="s">
        <v>141</v>
      </c>
      <c r="H1849" s="3">
        <v>44562</v>
      </c>
      <c r="I1849" s="3">
        <v>44926</v>
      </c>
      <c r="J1849" t="s">
        <v>142</v>
      </c>
      <c r="K1849">
        <v>6222.72</v>
      </c>
      <c r="L1849" t="s">
        <v>143</v>
      </c>
      <c r="M1849" t="s">
        <v>110</v>
      </c>
      <c r="O1849" t="s">
        <v>997</v>
      </c>
      <c r="P1849" t="s">
        <v>550</v>
      </c>
      <c r="Q1849">
        <v>2022</v>
      </c>
      <c r="R1849" t="s">
        <v>612</v>
      </c>
      <c r="S1849" t="s">
        <v>613</v>
      </c>
      <c r="T1849" t="s">
        <v>553</v>
      </c>
      <c r="U1849" t="b">
        <v>0</v>
      </c>
      <c r="V1849" t="s">
        <v>614</v>
      </c>
      <c r="W1849" t="s">
        <v>587</v>
      </c>
      <c r="X1849" t="s">
        <v>556</v>
      </c>
      <c r="AC1849">
        <v>1</v>
      </c>
      <c r="AD1849" t="s">
        <v>558</v>
      </c>
      <c r="AE1849">
        <v>1.6179072000000001</v>
      </c>
      <c r="AF1849">
        <v>2.5999999999999998E-4</v>
      </c>
      <c r="AG1849" t="s">
        <v>588</v>
      </c>
      <c r="AH1849">
        <v>1</v>
      </c>
      <c r="AI1849">
        <v>6222.72</v>
      </c>
      <c r="AJ1849" t="s">
        <v>561</v>
      </c>
      <c r="AK1849" t="s">
        <v>589</v>
      </c>
      <c r="AL1849" t="s">
        <v>590</v>
      </c>
      <c r="AM1849">
        <v>2022</v>
      </c>
      <c r="AN1849">
        <v>2020</v>
      </c>
      <c r="AO1849">
        <f>IF(AND(emissions[[#This Row],[Market-based]]=0,emissions[[#This Row],[Impact Type]]="CO2E"),emissions[[#This Row],[kgCO2e]],0)/1000</f>
        <v>0</v>
      </c>
      <c r="AP1849">
        <f>IF(AND(emissions[[#This Row],[Market-based]]=1,OR(emissions[[#This Row],[Impact Type]]="CO2E",emissions[[#This Row],[Impact Type]]="CO2E MKT")),emissions[[#This Row],[kgCO2e]],0)/1000</f>
        <v>0</v>
      </c>
      <c r="AQ1849" t="str">
        <f>_xlfn.TEXTAFTER(emissions[[#This Row],[Reporting Unit]]," &gt; ",LEN(emissions[[#This Row],[Reporting Unit]])-LEN(SUBSTITUTE(emissions[[#This Row],[Reporting Unit]],"&gt;","")))</f>
        <v>Vantage_Argentina Farm (Agrinsa)</v>
      </c>
      <c r="AR1849" t="str">
        <f>_xlfn.XLOOKUP(emissions[[#This Row],[Reporting unit name]],hierarchy!$A:$A,hierarchy!$C:$C)</f>
        <v>Labratory</v>
      </c>
    </row>
    <row r="1850" spans="1:44" hidden="1" x14ac:dyDescent="0.25">
      <c r="A1850">
        <v>237485</v>
      </c>
      <c r="B1850" t="s">
        <v>240</v>
      </c>
      <c r="C1850" t="s">
        <v>475</v>
      </c>
      <c r="D1850" t="s">
        <v>548</v>
      </c>
      <c r="E1850" s="3">
        <v>44562</v>
      </c>
      <c r="F1850" s="3">
        <v>44926</v>
      </c>
      <c r="G1850" t="s">
        <v>141</v>
      </c>
      <c r="H1850" s="3">
        <v>44562</v>
      </c>
      <c r="I1850" s="3">
        <v>44926</v>
      </c>
      <c r="J1850" t="s">
        <v>142</v>
      </c>
      <c r="K1850">
        <v>6222.72</v>
      </c>
      <c r="L1850" t="s">
        <v>143</v>
      </c>
      <c r="M1850" t="s">
        <v>110</v>
      </c>
      <c r="O1850" t="s">
        <v>997</v>
      </c>
      <c r="P1850" t="s">
        <v>550</v>
      </c>
      <c r="Q1850">
        <v>2022</v>
      </c>
      <c r="R1850" t="s">
        <v>612</v>
      </c>
      <c r="S1850" t="s">
        <v>613</v>
      </c>
      <c r="T1850" t="s">
        <v>553</v>
      </c>
      <c r="U1850" t="b">
        <v>0</v>
      </c>
      <c r="V1850" t="s">
        <v>614</v>
      </c>
      <c r="W1850" t="s">
        <v>587</v>
      </c>
      <c r="X1850" t="s">
        <v>556</v>
      </c>
      <c r="AC1850">
        <v>1</v>
      </c>
      <c r="AD1850" t="s">
        <v>564</v>
      </c>
      <c r="AE1850">
        <v>16560.773639999999</v>
      </c>
      <c r="AF1850">
        <v>2.66134</v>
      </c>
      <c r="AG1850" t="s">
        <v>588</v>
      </c>
      <c r="AH1850">
        <v>1</v>
      </c>
      <c r="AI1850">
        <v>6222.72</v>
      </c>
      <c r="AJ1850" t="s">
        <v>561</v>
      </c>
      <c r="AK1850" t="s">
        <v>589</v>
      </c>
      <c r="AL1850" t="s">
        <v>590</v>
      </c>
      <c r="AM1850">
        <v>2022</v>
      </c>
      <c r="AN1850">
        <v>2020</v>
      </c>
      <c r="AO1850">
        <f>IF(AND(emissions[[#This Row],[Market-based]]=0,emissions[[#This Row],[Impact Type]]="CO2E"),emissions[[#This Row],[kgCO2e]],0)/1000</f>
        <v>0</v>
      </c>
      <c r="AP1850">
        <f>IF(AND(emissions[[#This Row],[Market-based]]=1,OR(emissions[[#This Row],[Impact Type]]="CO2E",emissions[[#This Row],[Impact Type]]="CO2E MKT")),emissions[[#This Row],[kgCO2e]],0)/1000</f>
        <v>0</v>
      </c>
      <c r="AQ1850" t="str">
        <f>_xlfn.TEXTAFTER(emissions[[#This Row],[Reporting Unit]]," &gt; ",LEN(emissions[[#This Row],[Reporting Unit]])-LEN(SUBSTITUTE(emissions[[#This Row],[Reporting Unit]],"&gt;","")))</f>
        <v>Vantage_Argentina Farm (Agrinsa)</v>
      </c>
      <c r="AR1850" t="str">
        <f>_xlfn.XLOOKUP(emissions[[#This Row],[Reporting unit name]],hierarchy!$A:$A,hierarchy!$C:$C)</f>
        <v>Labratory</v>
      </c>
    </row>
    <row r="1851" spans="1:44" hidden="1" x14ac:dyDescent="0.25">
      <c r="A1851">
        <v>237485</v>
      </c>
      <c r="B1851" t="s">
        <v>240</v>
      </c>
      <c r="C1851" t="s">
        <v>475</v>
      </c>
      <c r="D1851" t="s">
        <v>548</v>
      </c>
      <c r="E1851" s="3">
        <v>44562</v>
      </c>
      <c r="F1851" s="3">
        <v>44926</v>
      </c>
      <c r="G1851" t="s">
        <v>141</v>
      </c>
      <c r="H1851" s="3">
        <v>44562</v>
      </c>
      <c r="I1851" s="3">
        <v>44926</v>
      </c>
      <c r="J1851" t="s">
        <v>142</v>
      </c>
      <c r="K1851">
        <v>6222.72</v>
      </c>
      <c r="L1851" t="s">
        <v>143</v>
      </c>
      <c r="M1851" t="s">
        <v>110</v>
      </c>
      <c r="O1851" t="s">
        <v>997</v>
      </c>
      <c r="P1851" t="s">
        <v>550</v>
      </c>
      <c r="Q1851">
        <v>2022</v>
      </c>
      <c r="R1851" t="s">
        <v>612</v>
      </c>
      <c r="S1851" t="s">
        <v>613</v>
      </c>
      <c r="T1851" t="s">
        <v>553</v>
      </c>
      <c r="U1851" t="b">
        <v>0</v>
      </c>
      <c r="V1851" t="s">
        <v>614</v>
      </c>
      <c r="W1851" t="s">
        <v>587</v>
      </c>
      <c r="X1851" t="s">
        <v>556</v>
      </c>
      <c r="AC1851">
        <v>1</v>
      </c>
      <c r="AD1851" t="s">
        <v>565</v>
      </c>
      <c r="AE1851">
        <v>16793.87674</v>
      </c>
      <c r="AF1851">
        <v>2.6987999999999999</v>
      </c>
      <c r="AG1851" t="s">
        <v>588</v>
      </c>
      <c r="AH1851">
        <v>1</v>
      </c>
      <c r="AI1851">
        <v>6222.72</v>
      </c>
      <c r="AJ1851" t="s">
        <v>561</v>
      </c>
      <c r="AK1851" t="s">
        <v>589</v>
      </c>
      <c r="AL1851" t="s">
        <v>590</v>
      </c>
      <c r="AM1851">
        <v>2022</v>
      </c>
      <c r="AN1851">
        <v>2020</v>
      </c>
      <c r="AO1851">
        <f>IF(AND(emissions[[#This Row],[Market-based]]=0,emissions[[#This Row],[Impact Type]]="CO2E"),emissions[[#This Row],[kgCO2e]],0)/1000</f>
        <v>0</v>
      </c>
      <c r="AP1851">
        <f>IF(AND(emissions[[#This Row],[Market-based]]=1,OR(emissions[[#This Row],[Impact Type]]="CO2E",emissions[[#This Row],[Impact Type]]="CO2E MKT")),emissions[[#This Row],[kgCO2e]],0)/1000</f>
        <v>16.793876739999998</v>
      </c>
      <c r="AQ1851" t="str">
        <f>_xlfn.TEXTAFTER(emissions[[#This Row],[Reporting Unit]]," &gt; ",LEN(emissions[[#This Row],[Reporting Unit]])-LEN(SUBSTITUTE(emissions[[#This Row],[Reporting Unit]],"&gt;","")))</f>
        <v>Vantage_Argentina Farm (Agrinsa)</v>
      </c>
      <c r="AR1851" t="str">
        <f>_xlfn.XLOOKUP(emissions[[#This Row],[Reporting unit name]],hierarchy!$A:$A,hierarchy!$C:$C)</f>
        <v>Labratory</v>
      </c>
    </row>
    <row r="1852" spans="1:44" hidden="1" x14ac:dyDescent="0.25">
      <c r="A1852">
        <v>237485</v>
      </c>
      <c r="B1852" t="s">
        <v>240</v>
      </c>
      <c r="C1852" t="s">
        <v>475</v>
      </c>
      <c r="D1852" t="s">
        <v>548</v>
      </c>
      <c r="E1852" s="3">
        <v>44562</v>
      </c>
      <c r="F1852" s="3">
        <v>44926</v>
      </c>
      <c r="G1852" t="s">
        <v>141</v>
      </c>
      <c r="H1852" s="3">
        <v>44562</v>
      </c>
      <c r="I1852" s="3">
        <v>44926</v>
      </c>
      <c r="J1852" t="s">
        <v>142</v>
      </c>
      <c r="K1852">
        <v>6222.72</v>
      </c>
      <c r="L1852" t="s">
        <v>143</v>
      </c>
      <c r="M1852" t="s">
        <v>110</v>
      </c>
      <c r="O1852" t="s">
        <v>997</v>
      </c>
      <c r="P1852" t="s">
        <v>550</v>
      </c>
      <c r="Q1852">
        <v>2022</v>
      </c>
      <c r="R1852" t="s">
        <v>612</v>
      </c>
      <c r="S1852" t="s">
        <v>613</v>
      </c>
      <c r="T1852" t="s">
        <v>553</v>
      </c>
      <c r="U1852" t="b">
        <v>0</v>
      </c>
      <c r="V1852" t="s">
        <v>614</v>
      </c>
      <c r="W1852" t="s">
        <v>587</v>
      </c>
      <c r="X1852" t="s">
        <v>556</v>
      </c>
      <c r="AC1852">
        <v>1</v>
      </c>
      <c r="AD1852" t="s">
        <v>566</v>
      </c>
      <c r="AE1852">
        <v>231.485184</v>
      </c>
      <c r="AF1852">
        <v>3.7199999999999997E-2</v>
      </c>
      <c r="AG1852" t="s">
        <v>588</v>
      </c>
      <c r="AH1852">
        <v>1</v>
      </c>
      <c r="AI1852">
        <v>6222.72</v>
      </c>
      <c r="AJ1852" t="s">
        <v>561</v>
      </c>
      <c r="AK1852" t="s">
        <v>589</v>
      </c>
      <c r="AL1852" t="s">
        <v>590</v>
      </c>
      <c r="AM1852">
        <v>2022</v>
      </c>
      <c r="AN1852">
        <v>2020</v>
      </c>
      <c r="AO1852">
        <f>IF(AND(emissions[[#This Row],[Market-based]]=0,emissions[[#This Row],[Impact Type]]="CO2E"),emissions[[#This Row],[kgCO2e]],0)/1000</f>
        <v>0</v>
      </c>
      <c r="AP1852">
        <f>IF(AND(emissions[[#This Row],[Market-based]]=1,OR(emissions[[#This Row],[Impact Type]]="CO2E",emissions[[#This Row],[Impact Type]]="CO2E MKT")),emissions[[#This Row],[kgCO2e]],0)/1000</f>
        <v>0</v>
      </c>
      <c r="AQ1852" t="str">
        <f>_xlfn.TEXTAFTER(emissions[[#This Row],[Reporting Unit]]," &gt; ",LEN(emissions[[#This Row],[Reporting Unit]])-LEN(SUBSTITUTE(emissions[[#This Row],[Reporting Unit]],"&gt;","")))</f>
        <v>Vantage_Argentina Farm (Agrinsa)</v>
      </c>
      <c r="AR1852" t="str">
        <f>_xlfn.XLOOKUP(emissions[[#This Row],[Reporting unit name]],hierarchy!$A:$A,hierarchy!$C:$C)</f>
        <v>Labratory</v>
      </c>
    </row>
    <row r="1853" spans="1:44" hidden="1" x14ac:dyDescent="0.25">
      <c r="A1853">
        <v>237485</v>
      </c>
      <c r="B1853" t="s">
        <v>240</v>
      </c>
      <c r="C1853" t="s">
        <v>475</v>
      </c>
      <c r="D1853" t="s">
        <v>548</v>
      </c>
      <c r="E1853" s="3">
        <v>44562</v>
      </c>
      <c r="F1853" s="3">
        <v>44926</v>
      </c>
      <c r="G1853" t="s">
        <v>141</v>
      </c>
      <c r="H1853" s="3">
        <v>44562</v>
      </c>
      <c r="I1853" s="3">
        <v>44926</v>
      </c>
      <c r="J1853" t="s">
        <v>142</v>
      </c>
      <c r="K1853">
        <v>6222.72</v>
      </c>
      <c r="L1853" t="s">
        <v>143</v>
      </c>
      <c r="M1853" t="s">
        <v>110</v>
      </c>
      <c r="O1853" t="s">
        <v>997</v>
      </c>
      <c r="P1853" t="s">
        <v>550</v>
      </c>
      <c r="Q1853">
        <v>2022</v>
      </c>
      <c r="R1853" t="s">
        <v>615</v>
      </c>
      <c r="S1853" t="s">
        <v>616</v>
      </c>
      <c r="T1853" t="s">
        <v>577</v>
      </c>
      <c r="U1853" t="b">
        <v>0</v>
      </c>
      <c r="V1853" t="s">
        <v>879</v>
      </c>
      <c r="W1853" t="s">
        <v>571</v>
      </c>
      <c r="X1853" t="s">
        <v>572</v>
      </c>
      <c r="AC1853">
        <v>0</v>
      </c>
      <c r="AD1853" t="s">
        <v>565</v>
      </c>
      <c r="AE1853">
        <v>3912.4729729999999</v>
      </c>
      <c r="AF1853">
        <v>0.62873999999999997</v>
      </c>
      <c r="AG1853" t="s">
        <v>588</v>
      </c>
      <c r="AH1853">
        <v>1</v>
      </c>
      <c r="AI1853">
        <v>6222.72</v>
      </c>
      <c r="AJ1853" t="s">
        <v>561</v>
      </c>
      <c r="AK1853" t="s">
        <v>589</v>
      </c>
      <c r="AL1853" t="s">
        <v>590</v>
      </c>
      <c r="AM1853">
        <v>2022</v>
      </c>
      <c r="AN1853">
        <v>2020</v>
      </c>
      <c r="AO1853">
        <f>IF(AND(emissions[[#This Row],[Market-based]]=0,emissions[[#This Row],[Impact Type]]="CO2E"),emissions[[#This Row],[kgCO2e]],0)/1000</f>
        <v>3.9124729729999999</v>
      </c>
      <c r="AP1853">
        <f>IF(AND(emissions[[#This Row],[Market-based]]=1,OR(emissions[[#This Row],[Impact Type]]="CO2E",emissions[[#This Row],[Impact Type]]="CO2E MKT")),emissions[[#This Row],[kgCO2e]],0)/1000</f>
        <v>0</v>
      </c>
      <c r="AQ1853" t="str">
        <f>_xlfn.TEXTAFTER(emissions[[#This Row],[Reporting Unit]]," &gt; ",LEN(emissions[[#This Row],[Reporting Unit]])-LEN(SUBSTITUTE(emissions[[#This Row],[Reporting Unit]],"&gt;","")))</f>
        <v>Vantage_Argentina Farm (Agrinsa)</v>
      </c>
      <c r="AR1853" t="str">
        <f>_xlfn.XLOOKUP(emissions[[#This Row],[Reporting unit name]],hierarchy!$A:$A,hierarchy!$C:$C)</f>
        <v>Labratory</v>
      </c>
    </row>
    <row r="1854" spans="1:44" hidden="1" x14ac:dyDescent="0.25">
      <c r="A1854">
        <v>237485</v>
      </c>
      <c r="B1854" t="s">
        <v>240</v>
      </c>
      <c r="C1854" t="s">
        <v>475</v>
      </c>
      <c r="D1854" t="s">
        <v>548</v>
      </c>
      <c r="E1854" s="3">
        <v>44562</v>
      </c>
      <c r="F1854" s="3">
        <v>44926</v>
      </c>
      <c r="G1854" t="s">
        <v>141</v>
      </c>
      <c r="H1854" s="3">
        <v>44562</v>
      </c>
      <c r="I1854" s="3">
        <v>44926</v>
      </c>
      <c r="J1854" t="s">
        <v>142</v>
      </c>
      <c r="K1854">
        <v>6222.72</v>
      </c>
      <c r="L1854" t="s">
        <v>143</v>
      </c>
      <c r="M1854" t="s">
        <v>110</v>
      </c>
      <c r="O1854" t="s">
        <v>997</v>
      </c>
      <c r="P1854" t="s">
        <v>550</v>
      </c>
      <c r="Q1854">
        <v>2022</v>
      </c>
      <c r="R1854" t="s">
        <v>615</v>
      </c>
      <c r="S1854" t="s">
        <v>616</v>
      </c>
      <c r="T1854" t="s">
        <v>577</v>
      </c>
      <c r="U1854" t="b">
        <v>0</v>
      </c>
      <c r="V1854" t="s">
        <v>879</v>
      </c>
      <c r="W1854" t="s">
        <v>571</v>
      </c>
      <c r="X1854" t="s">
        <v>572</v>
      </c>
      <c r="AC1854">
        <v>1</v>
      </c>
      <c r="AD1854" t="s">
        <v>565</v>
      </c>
      <c r="AE1854">
        <v>3912.4729729999999</v>
      </c>
      <c r="AF1854">
        <v>0.62873999999999997</v>
      </c>
      <c r="AG1854" t="s">
        <v>588</v>
      </c>
      <c r="AH1854">
        <v>1</v>
      </c>
      <c r="AI1854">
        <v>6222.72</v>
      </c>
      <c r="AJ1854" t="s">
        <v>561</v>
      </c>
      <c r="AK1854" t="s">
        <v>589</v>
      </c>
      <c r="AL1854" t="s">
        <v>590</v>
      </c>
      <c r="AM1854">
        <v>2022</v>
      </c>
      <c r="AN1854">
        <v>2020</v>
      </c>
      <c r="AO1854">
        <f>IF(AND(emissions[[#This Row],[Market-based]]=0,emissions[[#This Row],[Impact Type]]="CO2E"),emissions[[#This Row],[kgCO2e]],0)/1000</f>
        <v>0</v>
      </c>
      <c r="AP1854">
        <f>IF(AND(emissions[[#This Row],[Market-based]]=1,OR(emissions[[#This Row],[Impact Type]]="CO2E",emissions[[#This Row],[Impact Type]]="CO2E MKT")),emissions[[#This Row],[kgCO2e]],0)/1000</f>
        <v>3.9124729729999999</v>
      </c>
      <c r="AQ1854" t="str">
        <f>_xlfn.TEXTAFTER(emissions[[#This Row],[Reporting Unit]]," &gt; ",LEN(emissions[[#This Row],[Reporting Unit]])-LEN(SUBSTITUTE(emissions[[#This Row],[Reporting Unit]],"&gt;","")))</f>
        <v>Vantage_Argentina Farm (Agrinsa)</v>
      </c>
      <c r="AR1854" t="str">
        <f>_xlfn.XLOOKUP(emissions[[#This Row],[Reporting unit name]],hierarchy!$A:$A,hierarchy!$C:$C)</f>
        <v>Labratory</v>
      </c>
    </row>
    <row r="1855" spans="1:44" hidden="1" x14ac:dyDescent="0.25">
      <c r="A1855">
        <v>237487</v>
      </c>
      <c r="B1855" t="s">
        <v>240</v>
      </c>
      <c r="C1855" t="s">
        <v>475</v>
      </c>
      <c r="D1855" t="s">
        <v>548</v>
      </c>
      <c r="E1855" s="3">
        <v>44562</v>
      </c>
      <c r="F1855" s="3">
        <v>44926</v>
      </c>
      <c r="G1855" t="s">
        <v>141</v>
      </c>
      <c r="H1855" s="3">
        <v>44562</v>
      </c>
      <c r="I1855" s="3">
        <v>44926</v>
      </c>
      <c r="J1855" t="s">
        <v>142</v>
      </c>
      <c r="K1855">
        <v>4243.66</v>
      </c>
      <c r="L1855" t="s">
        <v>143</v>
      </c>
      <c r="M1855" t="s">
        <v>110</v>
      </c>
      <c r="O1855" t="s">
        <v>998</v>
      </c>
      <c r="P1855" t="s">
        <v>550</v>
      </c>
      <c r="Q1855">
        <v>2022</v>
      </c>
      <c r="R1855" t="s">
        <v>612</v>
      </c>
      <c r="S1855" t="s">
        <v>613</v>
      </c>
      <c r="T1855" t="s">
        <v>553</v>
      </c>
      <c r="U1855" t="b">
        <v>0</v>
      </c>
      <c r="V1855" t="s">
        <v>614</v>
      </c>
      <c r="W1855" t="s">
        <v>587</v>
      </c>
      <c r="X1855" t="s">
        <v>556</v>
      </c>
      <c r="AC1855">
        <v>0</v>
      </c>
      <c r="AD1855" t="s">
        <v>558</v>
      </c>
      <c r="AE1855">
        <v>1.1033516000000001</v>
      </c>
      <c r="AF1855">
        <v>2.5999999999999998E-4</v>
      </c>
      <c r="AG1855" t="s">
        <v>588</v>
      </c>
      <c r="AH1855">
        <v>1</v>
      </c>
      <c r="AI1855">
        <v>4243.66</v>
      </c>
      <c r="AJ1855" t="s">
        <v>561</v>
      </c>
      <c r="AK1855" t="s">
        <v>589</v>
      </c>
      <c r="AL1855" t="s">
        <v>590</v>
      </c>
      <c r="AM1855">
        <v>2022</v>
      </c>
      <c r="AN1855">
        <v>2020</v>
      </c>
      <c r="AO1855">
        <f>IF(AND(emissions[[#This Row],[Market-based]]=0,emissions[[#This Row],[Impact Type]]="CO2E"),emissions[[#This Row],[kgCO2e]],0)/1000</f>
        <v>0</v>
      </c>
      <c r="AP1855">
        <f>IF(AND(emissions[[#This Row],[Market-based]]=1,OR(emissions[[#This Row],[Impact Type]]="CO2E",emissions[[#This Row],[Impact Type]]="CO2E MKT")),emissions[[#This Row],[kgCO2e]],0)/1000</f>
        <v>0</v>
      </c>
      <c r="AQ1855" t="str">
        <f>_xlfn.TEXTAFTER(emissions[[#This Row],[Reporting Unit]]," &gt; ",LEN(emissions[[#This Row],[Reporting Unit]])-LEN(SUBSTITUTE(emissions[[#This Row],[Reporting Unit]],"&gt;","")))</f>
        <v>Vantage_Argentina Farm (Agrinsa)</v>
      </c>
      <c r="AR1855" t="str">
        <f>_xlfn.XLOOKUP(emissions[[#This Row],[Reporting unit name]],hierarchy!$A:$A,hierarchy!$C:$C)</f>
        <v>Labratory</v>
      </c>
    </row>
    <row r="1856" spans="1:44" hidden="1" x14ac:dyDescent="0.25">
      <c r="A1856">
        <v>237487</v>
      </c>
      <c r="B1856" t="s">
        <v>240</v>
      </c>
      <c r="C1856" t="s">
        <v>475</v>
      </c>
      <c r="D1856" t="s">
        <v>548</v>
      </c>
      <c r="E1856" s="3">
        <v>44562</v>
      </c>
      <c r="F1856" s="3">
        <v>44926</v>
      </c>
      <c r="G1856" t="s">
        <v>141</v>
      </c>
      <c r="H1856" s="3">
        <v>44562</v>
      </c>
      <c r="I1856" s="3">
        <v>44926</v>
      </c>
      <c r="J1856" t="s">
        <v>142</v>
      </c>
      <c r="K1856">
        <v>4243.66</v>
      </c>
      <c r="L1856" t="s">
        <v>143</v>
      </c>
      <c r="M1856" t="s">
        <v>110</v>
      </c>
      <c r="O1856" t="s">
        <v>998</v>
      </c>
      <c r="P1856" t="s">
        <v>550</v>
      </c>
      <c r="Q1856">
        <v>2022</v>
      </c>
      <c r="R1856" t="s">
        <v>612</v>
      </c>
      <c r="S1856" t="s">
        <v>613</v>
      </c>
      <c r="T1856" t="s">
        <v>553</v>
      </c>
      <c r="U1856" t="b">
        <v>0</v>
      </c>
      <c r="V1856" t="s">
        <v>614</v>
      </c>
      <c r="W1856" t="s">
        <v>587</v>
      </c>
      <c r="X1856" t="s">
        <v>556</v>
      </c>
      <c r="AC1856">
        <v>0</v>
      </c>
      <c r="AD1856" t="s">
        <v>564</v>
      </c>
      <c r="AE1856">
        <v>11293.822099999999</v>
      </c>
      <c r="AF1856">
        <v>2.66134</v>
      </c>
      <c r="AG1856" t="s">
        <v>588</v>
      </c>
      <c r="AH1856">
        <v>1</v>
      </c>
      <c r="AI1856">
        <v>4243.66</v>
      </c>
      <c r="AJ1856" t="s">
        <v>561</v>
      </c>
      <c r="AK1856" t="s">
        <v>589</v>
      </c>
      <c r="AL1856" t="s">
        <v>590</v>
      </c>
      <c r="AM1856">
        <v>2022</v>
      </c>
      <c r="AN1856">
        <v>2020</v>
      </c>
      <c r="AO1856">
        <f>IF(AND(emissions[[#This Row],[Market-based]]=0,emissions[[#This Row],[Impact Type]]="CO2E"),emissions[[#This Row],[kgCO2e]],0)/1000</f>
        <v>0</v>
      </c>
      <c r="AP1856">
        <f>IF(AND(emissions[[#This Row],[Market-based]]=1,OR(emissions[[#This Row],[Impact Type]]="CO2E",emissions[[#This Row],[Impact Type]]="CO2E MKT")),emissions[[#This Row],[kgCO2e]],0)/1000</f>
        <v>0</v>
      </c>
      <c r="AQ1856" t="str">
        <f>_xlfn.TEXTAFTER(emissions[[#This Row],[Reporting Unit]]," &gt; ",LEN(emissions[[#This Row],[Reporting Unit]])-LEN(SUBSTITUTE(emissions[[#This Row],[Reporting Unit]],"&gt;","")))</f>
        <v>Vantage_Argentina Farm (Agrinsa)</v>
      </c>
      <c r="AR1856" t="str">
        <f>_xlfn.XLOOKUP(emissions[[#This Row],[Reporting unit name]],hierarchy!$A:$A,hierarchy!$C:$C)</f>
        <v>Labratory</v>
      </c>
    </row>
    <row r="1857" spans="1:44" hidden="1" x14ac:dyDescent="0.25">
      <c r="A1857">
        <v>237487</v>
      </c>
      <c r="B1857" t="s">
        <v>240</v>
      </c>
      <c r="C1857" t="s">
        <v>475</v>
      </c>
      <c r="D1857" t="s">
        <v>548</v>
      </c>
      <c r="E1857" s="3">
        <v>44562</v>
      </c>
      <c r="F1857" s="3">
        <v>44926</v>
      </c>
      <c r="G1857" t="s">
        <v>141</v>
      </c>
      <c r="H1857" s="3">
        <v>44562</v>
      </c>
      <c r="I1857" s="3">
        <v>44926</v>
      </c>
      <c r="J1857" t="s">
        <v>142</v>
      </c>
      <c r="K1857">
        <v>4243.66</v>
      </c>
      <c r="L1857" t="s">
        <v>143</v>
      </c>
      <c r="M1857" t="s">
        <v>110</v>
      </c>
      <c r="O1857" t="s">
        <v>998</v>
      </c>
      <c r="P1857" t="s">
        <v>550</v>
      </c>
      <c r="Q1857">
        <v>2022</v>
      </c>
      <c r="R1857" t="s">
        <v>612</v>
      </c>
      <c r="S1857" t="s">
        <v>613</v>
      </c>
      <c r="T1857" t="s">
        <v>553</v>
      </c>
      <c r="U1857" t="b">
        <v>0</v>
      </c>
      <c r="V1857" t="s">
        <v>614</v>
      </c>
      <c r="W1857" t="s">
        <v>587</v>
      </c>
      <c r="X1857" t="s">
        <v>556</v>
      </c>
      <c r="AC1857">
        <v>0</v>
      </c>
      <c r="AD1857" t="s">
        <v>565</v>
      </c>
      <c r="AE1857">
        <v>11452.78961</v>
      </c>
      <c r="AF1857">
        <v>2.6987999999999999</v>
      </c>
      <c r="AG1857" t="s">
        <v>588</v>
      </c>
      <c r="AH1857">
        <v>1</v>
      </c>
      <c r="AI1857">
        <v>4243.66</v>
      </c>
      <c r="AJ1857" t="s">
        <v>561</v>
      </c>
      <c r="AK1857" t="s">
        <v>589</v>
      </c>
      <c r="AL1857" t="s">
        <v>590</v>
      </c>
      <c r="AM1857">
        <v>2022</v>
      </c>
      <c r="AN1857">
        <v>2020</v>
      </c>
      <c r="AO1857">
        <f>IF(AND(emissions[[#This Row],[Market-based]]=0,emissions[[#This Row],[Impact Type]]="CO2E"),emissions[[#This Row],[kgCO2e]],0)/1000</f>
        <v>11.45278961</v>
      </c>
      <c r="AP1857">
        <f>IF(AND(emissions[[#This Row],[Market-based]]=1,OR(emissions[[#This Row],[Impact Type]]="CO2E",emissions[[#This Row],[Impact Type]]="CO2E MKT")),emissions[[#This Row],[kgCO2e]],0)/1000</f>
        <v>0</v>
      </c>
      <c r="AQ1857" t="str">
        <f>_xlfn.TEXTAFTER(emissions[[#This Row],[Reporting Unit]]," &gt; ",LEN(emissions[[#This Row],[Reporting Unit]])-LEN(SUBSTITUTE(emissions[[#This Row],[Reporting Unit]],"&gt;","")))</f>
        <v>Vantage_Argentina Farm (Agrinsa)</v>
      </c>
      <c r="AR1857" t="str">
        <f>_xlfn.XLOOKUP(emissions[[#This Row],[Reporting unit name]],hierarchy!$A:$A,hierarchy!$C:$C)</f>
        <v>Labratory</v>
      </c>
    </row>
    <row r="1858" spans="1:44" hidden="1" x14ac:dyDescent="0.25">
      <c r="A1858">
        <v>237487</v>
      </c>
      <c r="B1858" t="s">
        <v>240</v>
      </c>
      <c r="C1858" t="s">
        <v>475</v>
      </c>
      <c r="D1858" t="s">
        <v>548</v>
      </c>
      <c r="E1858" s="3">
        <v>44562</v>
      </c>
      <c r="F1858" s="3">
        <v>44926</v>
      </c>
      <c r="G1858" t="s">
        <v>141</v>
      </c>
      <c r="H1858" s="3">
        <v>44562</v>
      </c>
      <c r="I1858" s="3">
        <v>44926</v>
      </c>
      <c r="J1858" t="s">
        <v>142</v>
      </c>
      <c r="K1858">
        <v>4243.66</v>
      </c>
      <c r="L1858" t="s">
        <v>143</v>
      </c>
      <c r="M1858" t="s">
        <v>110</v>
      </c>
      <c r="O1858" t="s">
        <v>998</v>
      </c>
      <c r="P1858" t="s">
        <v>550</v>
      </c>
      <c r="Q1858">
        <v>2022</v>
      </c>
      <c r="R1858" t="s">
        <v>612</v>
      </c>
      <c r="S1858" t="s">
        <v>613</v>
      </c>
      <c r="T1858" t="s">
        <v>553</v>
      </c>
      <c r="U1858" t="b">
        <v>0</v>
      </c>
      <c r="V1858" t="s">
        <v>614</v>
      </c>
      <c r="W1858" t="s">
        <v>587</v>
      </c>
      <c r="X1858" t="s">
        <v>556</v>
      </c>
      <c r="AC1858">
        <v>0</v>
      </c>
      <c r="AD1858" t="s">
        <v>566</v>
      </c>
      <c r="AE1858">
        <v>157.86415199999999</v>
      </c>
      <c r="AF1858">
        <v>3.7199999999999997E-2</v>
      </c>
      <c r="AG1858" t="s">
        <v>588</v>
      </c>
      <c r="AH1858">
        <v>1</v>
      </c>
      <c r="AI1858">
        <v>4243.66</v>
      </c>
      <c r="AJ1858" t="s">
        <v>561</v>
      </c>
      <c r="AK1858" t="s">
        <v>589</v>
      </c>
      <c r="AL1858" t="s">
        <v>590</v>
      </c>
      <c r="AM1858">
        <v>2022</v>
      </c>
      <c r="AN1858">
        <v>2020</v>
      </c>
      <c r="AO1858">
        <f>IF(AND(emissions[[#This Row],[Market-based]]=0,emissions[[#This Row],[Impact Type]]="CO2E"),emissions[[#This Row],[kgCO2e]],0)/1000</f>
        <v>0</v>
      </c>
      <c r="AP1858">
        <f>IF(AND(emissions[[#This Row],[Market-based]]=1,OR(emissions[[#This Row],[Impact Type]]="CO2E",emissions[[#This Row],[Impact Type]]="CO2E MKT")),emissions[[#This Row],[kgCO2e]],0)/1000</f>
        <v>0</v>
      </c>
      <c r="AQ1858" t="str">
        <f>_xlfn.TEXTAFTER(emissions[[#This Row],[Reporting Unit]]," &gt; ",LEN(emissions[[#This Row],[Reporting Unit]])-LEN(SUBSTITUTE(emissions[[#This Row],[Reporting Unit]],"&gt;","")))</f>
        <v>Vantage_Argentina Farm (Agrinsa)</v>
      </c>
      <c r="AR1858" t="str">
        <f>_xlfn.XLOOKUP(emissions[[#This Row],[Reporting unit name]],hierarchy!$A:$A,hierarchy!$C:$C)</f>
        <v>Labratory</v>
      </c>
    </row>
    <row r="1859" spans="1:44" hidden="1" x14ac:dyDescent="0.25">
      <c r="A1859">
        <v>237487</v>
      </c>
      <c r="B1859" t="s">
        <v>240</v>
      </c>
      <c r="C1859" t="s">
        <v>475</v>
      </c>
      <c r="D1859" t="s">
        <v>548</v>
      </c>
      <c r="E1859" s="3">
        <v>44562</v>
      </c>
      <c r="F1859" s="3">
        <v>44926</v>
      </c>
      <c r="G1859" t="s">
        <v>141</v>
      </c>
      <c r="H1859" s="3">
        <v>44562</v>
      </c>
      <c r="I1859" s="3">
        <v>44926</v>
      </c>
      <c r="J1859" t="s">
        <v>142</v>
      </c>
      <c r="K1859">
        <v>4243.66</v>
      </c>
      <c r="L1859" t="s">
        <v>143</v>
      </c>
      <c r="M1859" t="s">
        <v>110</v>
      </c>
      <c r="O1859" t="s">
        <v>998</v>
      </c>
      <c r="P1859" t="s">
        <v>550</v>
      </c>
      <c r="Q1859">
        <v>2022</v>
      </c>
      <c r="R1859" t="s">
        <v>612</v>
      </c>
      <c r="S1859" t="s">
        <v>613</v>
      </c>
      <c r="T1859" t="s">
        <v>553</v>
      </c>
      <c r="U1859" t="b">
        <v>0</v>
      </c>
      <c r="V1859" t="s">
        <v>614</v>
      </c>
      <c r="W1859" t="s">
        <v>587</v>
      </c>
      <c r="X1859" t="s">
        <v>556</v>
      </c>
      <c r="AC1859">
        <v>1</v>
      </c>
      <c r="AD1859" t="s">
        <v>558</v>
      </c>
      <c r="AE1859">
        <v>1.1033516000000001</v>
      </c>
      <c r="AF1859">
        <v>2.5999999999999998E-4</v>
      </c>
      <c r="AG1859" t="s">
        <v>588</v>
      </c>
      <c r="AH1859">
        <v>1</v>
      </c>
      <c r="AI1859">
        <v>4243.66</v>
      </c>
      <c r="AJ1859" t="s">
        <v>561</v>
      </c>
      <c r="AK1859" t="s">
        <v>589</v>
      </c>
      <c r="AL1859" t="s">
        <v>590</v>
      </c>
      <c r="AM1859">
        <v>2022</v>
      </c>
      <c r="AN1859">
        <v>2020</v>
      </c>
      <c r="AO1859">
        <f>IF(AND(emissions[[#This Row],[Market-based]]=0,emissions[[#This Row],[Impact Type]]="CO2E"),emissions[[#This Row],[kgCO2e]],0)/1000</f>
        <v>0</v>
      </c>
      <c r="AP1859">
        <f>IF(AND(emissions[[#This Row],[Market-based]]=1,OR(emissions[[#This Row],[Impact Type]]="CO2E",emissions[[#This Row],[Impact Type]]="CO2E MKT")),emissions[[#This Row],[kgCO2e]],0)/1000</f>
        <v>0</v>
      </c>
      <c r="AQ1859" t="str">
        <f>_xlfn.TEXTAFTER(emissions[[#This Row],[Reporting Unit]]," &gt; ",LEN(emissions[[#This Row],[Reporting Unit]])-LEN(SUBSTITUTE(emissions[[#This Row],[Reporting Unit]],"&gt;","")))</f>
        <v>Vantage_Argentina Farm (Agrinsa)</v>
      </c>
      <c r="AR1859" t="str">
        <f>_xlfn.XLOOKUP(emissions[[#This Row],[Reporting unit name]],hierarchy!$A:$A,hierarchy!$C:$C)</f>
        <v>Labratory</v>
      </c>
    </row>
    <row r="1860" spans="1:44" hidden="1" x14ac:dyDescent="0.25">
      <c r="A1860">
        <v>237487</v>
      </c>
      <c r="B1860" t="s">
        <v>240</v>
      </c>
      <c r="C1860" t="s">
        <v>475</v>
      </c>
      <c r="D1860" t="s">
        <v>548</v>
      </c>
      <c r="E1860" s="3">
        <v>44562</v>
      </c>
      <c r="F1860" s="3">
        <v>44926</v>
      </c>
      <c r="G1860" t="s">
        <v>141</v>
      </c>
      <c r="H1860" s="3">
        <v>44562</v>
      </c>
      <c r="I1860" s="3">
        <v>44926</v>
      </c>
      <c r="J1860" t="s">
        <v>142</v>
      </c>
      <c r="K1860">
        <v>4243.66</v>
      </c>
      <c r="L1860" t="s">
        <v>143</v>
      </c>
      <c r="M1860" t="s">
        <v>110</v>
      </c>
      <c r="O1860" t="s">
        <v>998</v>
      </c>
      <c r="P1860" t="s">
        <v>550</v>
      </c>
      <c r="Q1860">
        <v>2022</v>
      </c>
      <c r="R1860" t="s">
        <v>612</v>
      </c>
      <c r="S1860" t="s">
        <v>613</v>
      </c>
      <c r="T1860" t="s">
        <v>553</v>
      </c>
      <c r="U1860" t="b">
        <v>0</v>
      </c>
      <c r="V1860" t="s">
        <v>614</v>
      </c>
      <c r="W1860" t="s">
        <v>587</v>
      </c>
      <c r="X1860" t="s">
        <v>556</v>
      </c>
      <c r="AC1860">
        <v>1</v>
      </c>
      <c r="AD1860" t="s">
        <v>564</v>
      </c>
      <c r="AE1860">
        <v>11293.822099999999</v>
      </c>
      <c r="AF1860">
        <v>2.66134</v>
      </c>
      <c r="AG1860" t="s">
        <v>588</v>
      </c>
      <c r="AH1860">
        <v>1</v>
      </c>
      <c r="AI1860">
        <v>4243.66</v>
      </c>
      <c r="AJ1860" t="s">
        <v>561</v>
      </c>
      <c r="AK1860" t="s">
        <v>589</v>
      </c>
      <c r="AL1860" t="s">
        <v>590</v>
      </c>
      <c r="AM1860">
        <v>2022</v>
      </c>
      <c r="AN1860">
        <v>2020</v>
      </c>
      <c r="AO1860">
        <f>IF(AND(emissions[[#This Row],[Market-based]]=0,emissions[[#This Row],[Impact Type]]="CO2E"),emissions[[#This Row],[kgCO2e]],0)/1000</f>
        <v>0</v>
      </c>
      <c r="AP1860">
        <f>IF(AND(emissions[[#This Row],[Market-based]]=1,OR(emissions[[#This Row],[Impact Type]]="CO2E",emissions[[#This Row],[Impact Type]]="CO2E MKT")),emissions[[#This Row],[kgCO2e]],0)/1000</f>
        <v>0</v>
      </c>
      <c r="AQ1860" t="str">
        <f>_xlfn.TEXTAFTER(emissions[[#This Row],[Reporting Unit]]," &gt; ",LEN(emissions[[#This Row],[Reporting Unit]])-LEN(SUBSTITUTE(emissions[[#This Row],[Reporting Unit]],"&gt;","")))</f>
        <v>Vantage_Argentina Farm (Agrinsa)</v>
      </c>
      <c r="AR1860" t="str">
        <f>_xlfn.XLOOKUP(emissions[[#This Row],[Reporting unit name]],hierarchy!$A:$A,hierarchy!$C:$C)</f>
        <v>Labratory</v>
      </c>
    </row>
    <row r="1861" spans="1:44" hidden="1" x14ac:dyDescent="0.25">
      <c r="A1861">
        <v>237487</v>
      </c>
      <c r="B1861" t="s">
        <v>240</v>
      </c>
      <c r="C1861" t="s">
        <v>475</v>
      </c>
      <c r="D1861" t="s">
        <v>548</v>
      </c>
      <c r="E1861" s="3">
        <v>44562</v>
      </c>
      <c r="F1861" s="3">
        <v>44926</v>
      </c>
      <c r="G1861" t="s">
        <v>141</v>
      </c>
      <c r="H1861" s="3">
        <v>44562</v>
      </c>
      <c r="I1861" s="3">
        <v>44926</v>
      </c>
      <c r="J1861" t="s">
        <v>142</v>
      </c>
      <c r="K1861">
        <v>4243.66</v>
      </c>
      <c r="L1861" t="s">
        <v>143</v>
      </c>
      <c r="M1861" t="s">
        <v>110</v>
      </c>
      <c r="O1861" t="s">
        <v>998</v>
      </c>
      <c r="P1861" t="s">
        <v>550</v>
      </c>
      <c r="Q1861">
        <v>2022</v>
      </c>
      <c r="R1861" t="s">
        <v>612</v>
      </c>
      <c r="S1861" t="s">
        <v>613</v>
      </c>
      <c r="T1861" t="s">
        <v>553</v>
      </c>
      <c r="U1861" t="b">
        <v>0</v>
      </c>
      <c r="V1861" t="s">
        <v>614</v>
      </c>
      <c r="W1861" t="s">
        <v>587</v>
      </c>
      <c r="X1861" t="s">
        <v>556</v>
      </c>
      <c r="AC1861">
        <v>1</v>
      </c>
      <c r="AD1861" t="s">
        <v>565</v>
      </c>
      <c r="AE1861">
        <v>11452.78961</v>
      </c>
      <c r="AF1861">
        <v>2.6987999999999999</v>
      </c>
      <c r="AG1861" t="s">
        <v>588</v>
      </c>
      <c r="AH1861">
        <v>1</v>
      </c>
      <c r="AI1861">
        <v>4243.66</v>
      </c>
      <c r="AJ1861" t="s">
        <v>561</v>
      </c>
      <c r="AK1861" t="s">
        <v>589</v>
      </c>
      <c r="AL1861" t="s">
        <v>590</v>
      </c>
      <c r="AM1861">
        <v>2022</v>
      </c>
      <c r="AN1861">
        <v>2020</v>
      </c>
      <c r="AO1861">
        <f>IF(AND(emissions[[#This Row],[Market-based]]=0,emissions[[#This Row],[Impact Type]]="CO2E"),emissions[[#This Row],[kgCO2e]],0)/1000</f>
        <v>0</v>
      </c>
      <c r="AP1861">
        <f>IF(AND(emissions[[#This Row],[Market-based]]=1,OR(emissions[[#This Row],[Impact Type]]="CO2E",emissions[[#This Row],[Impact Type]]="CO2E MKT")),emissions[[#This Row],[kgCO2e]],0)/1000</f>
        <v>11.45278961</v>
      </c>
      <c r="AQ1861" t="str">
        <f>_xlfn.TEXTAFTER(emissions[[#This Row],[Reporting Unit]]," &gt; ",LEN(emissions[[#This Row],[Reporting Unit]])-LEN(SUBSTITUTE(emissions[[#This Row],[Reporting Unit]],"&gt;","")))</f>
        <v>Vantage_Argentina Farm (Agrinsa)</v>
      </c>
      <c r="AR1861" t="str">
        <f>_xlfn.XLOOKUP(emissions[[#This Row],[Reporting unit name]],hierarchy!$A:$A,hierarchy!$C:$C)</f>
        <v>Labratory</v>
      </c>
    </row>
    <row r="1862" spans="1:44" hidden="1" x14ac:dyDescent="0.25">
      <c r="A1862">
        <v>237487</v>
      </c>
      <c r="B1862" t="s">
        <v>240</v>
      </c>
      <c r="C1862" t="s">
        <v>475</v>
      </c>
      <c r="D1862" t="s">
        <v>548</v>
      </c>
      <c r="E1862" s="3">
        <v>44562</v>
      </c>
      <c r="F1862" s="3">
        <v>44926</v>
      </c>
      <c r="G1862" t="s">
        <v>141</v>
      </c>
      <c r="H1862" s="3">
        <v>44562</v>
      </c>
      <c r="I1862" s="3">
        <v>44926</v>
      </c>
      <c r="J1862" t="s">
        <v>142</v>
      </c>
      <c r="K1862">
        <v>4243.66</v>
      </c>
      <c r="L1862" t="s">
        <v>143</v>
      </c>
      <c r="M1862" t="s">
        <v>110</v>
      </c>
      <c r="O1862" t="s">
        <v>998</v>
      </c>
      <c r="P1862" t="s">
        <v>550</v>
      </c>
      <c r="Q1862">
        <v>2022</v>
      </c>
      <c r="R1862" t="s">
        <v>612</v>
      </c>
      <c r="S1862" t="s">
        <v>613</v>
      </c>
      <c r="T1862" t="s">
        <v>553</v>
      </c>
      <c r="U1862" t="b">
        <v>0</v>
      </c>
      <c r="V1862" t="s">
        <v>614</v>
      </c>
      <c r="W1862" t="s">
        <v>587</v>
      </c>
      <c r="X1862" t="s">
        <v>556</v>
      </c>
      <c r="AC1862">
        <v>1</v>
      </c>
      <c r="AD1862" t="s">
        <v>566</v>
      </c>
      <c r="AE1862">
        <v>157.86415199999999</v>
      </c>
      <c r="AF1862">
        <v>3.7199999999999997E-2</v>
      </c>
      <c r="AG1862" t="s">
        <v>588</v>
      </c>
      <c r="AH1862">
        <v>1</v>
      </c>
      <c r="AI1862">
        <v>4243.66</v>
      </c>
      <c r="AJ1862" t="s">
        <v>561</v>
      </c>
      <c r="AK1862" t="s">
        <v>589</v>
      </c>
      <c r="AL1862" t="s">
        <v>590</v>
      </c>
      <c r="AM1862">
        <v>2022</v>
      </c>
      <c r="AN1862">
        <v>2020</v>
      </c>
      <c r="AO1862">
        <f>IF(AND(emissions[[#This Row],[Market-based]]=0,emissions[[#This Row],[Impact Type]]="CO2E"),emissions[[#This Row],[kgCO2e]],0)/1000</f>
        <v>0</v>
      </c>
      <c r="AP1862">
        <f>IF(AND(emissions[[#This Row],[Market-based]]=1,OR(emissions[[#This Row],[Impact Type]]="CO2E",emissions[[#This Row],[Impact Type]]="CO2E MKT")),emissions[[#This Row],[kgCO2e]],0)/1000</f>
        <v>0</v>
      </c>
      <c r="AQ1862" t="str">
        <f>_xlfn.TEXTAFTER(emissions[[#This Row],[Reporting Unit]]," &gt; ",LEN(emissions[[#This Row],[Reporting Unit]])-LEN(SUBSTITUTE(emissions[[#This Row],[Reporting Unit]],"&gt;","")))</f>
        <v>Vantage_Argentina Farm (Agrinsa)</v>
      </c>
      <c r="AR1862" t="str">
        <f>_xlfn.XLOOKUP(emissions[[#This Row],[Reporting unit name]],hierarchy!$A:$A,hierarchy!$C:$C)</f>
        <v>Labratory</v>
      </c>
    </row>
    <row r="1863" spans="1:44" hidden="1" x14ac:dyDescent="0.25">
      <c r="A1863">
        <v>237487</v>
      </c>
      <c r="B1863" t="s">
        <v>240</v>
      </c>
      <c r="C1863" t="s">
        <v>475</v>
      </c>
      <c r="D1863" t="s">
        <v>548</v>
      </c>
      <c r="E1863" s="3">
        <v>44562</v>
      </c>
      <c r="F1863" s="3">
        <v>44926</v>
      </c>
      <c r="G1863" t="s">
        <v>141</v>
      </c>
      <c r="H1863" s="3">
        <v>44562</v>
      </c>
      <c r="I1863" s="3">
        <v>44926</v>
      </c>
      <c r="J1863" t="s">
        <v>142</v>
      </c>
      <c r="K1863">
        <v>4243.66</v>
      </c>
      <c r="L1863" t="s">
        <v>143</v>
      </c>
      <c r="M1863" t="s">
        <v>110</v>
      </c>
      <c r="O1863" t="s">
        <v>998</v>
      </c>
      <c r="P1863" t="s">
        <v>550</v>
      </c>
      <c r="Q1863">
        <v>2022</v>
      </c>
      <c r="R1863" t="s">
        <v>615</v>
      </c>
      <c r="S1863" t="s">
        <v>616</v>
      </c>
      <c r="T1863" t="s">
        <v>577</v>
      </c>
      <c r="U1863" t="b">
        <v>0</v>
      </c>
      <c r="V1863" t="s">
        <v>879</v>
      </c>
      <c r="W1863" t="s">
        <v>571</v>
      </c>
      <c r="X1863" t="s">
        <v>572</v>
      </c>
      <c r="AC1863">
        <v>0</v>
      </c>
      <c r="AD1863" t="s">
        <v>565</v>
      </c>
      <c r="AE1863">
        <v>2668.1587880000002</v>
      </c>
      <c r="AF1863">
        <v>0.62873999999999997</v>
      </c>
      <c r="AG1863" t="s">
        <v>588</v>
      </c>
      <c r="AH1863">
        <v>1</v>
      </c>
      <c r="AI1863">
        <v>4243.66</v>
      </c>
      <c r="AJ1863" t="s">
        <v>561</v>
      </c>
      <c r="AK1863" t="s">
        <v>589</v>
      </c>
      <c r="AL1863" t="s">
        <v>590</v>
      </c>
      <c r="AM1863">
        <v>2022</v>
      </c>
      <c r="AN1863">
        <v>2020</v>
      </c>
      <c r="AO1863">
        <f>IF(AND(emissions[[#This Row],[Market-based]]=0,emissions[[#This Row],[Impact Type]]="CO2E"),emissions[[#This Row],[kgCO2e]],0)/1000</f>
        <v>2.6681587880000004</v>
      </c>
      <c r="AP1863">
        <f>IF(AND(emissions[[#This Row],[Market-based]]=1,OR(emissions[[#This Row],[Impact Type]]="CO2E",emissions[[#This Row],[Impact Type]]="CO2E MKT")),emissions[[#This Row],[kgCO2e]],0)/1000</f>
        <v>0</v>
      </c>
      <c r="AQ1863" t="str">
        <f>_xlfn.TEXTAFTER(emissions[[#This Row],[Reporting Unit]]," &gt; ",LEN(emissions[[#This Row],[Reporting Unit]])-LEN(SUBSTITUTE(emissions[[#This Row],[Reporting Unit]],"&gt;","")))</f>
        <v>Vantage_Argentina Farm (Agrinsa)</v>
      </c>
      <c r="AR1863" t="str">
        <f>_xlfn.XLOOKUP(emissions[[#This Row],[Reporting unit name]],hierarchy!$A:$A,hierarchy!$C:$C)</f>
        <v>Labratory</v>
      </c>
    </row>
    <row r="1864" spans="1:44" hidden="1" x14ac:dyDescent="0.25">
      <c r="A1864">
        <v>237487</v>
      </c>
      <c r="B1864" t="s">
        <v>240</v>
      </c>
      <c r="C1864" t="s">
        <v>475</v>
      </c>
      <c r="D1864" t="s">
        <v>548</v>
      </c>
      <c r="E1864" s="3">
        <v>44562</v>
      </c>
      <c r="F1864" s="3">
        <v>44926</v>
      </c>
      <c r="G1864" t="s">
        <v>141</v>
      </c>
      <c r="H1864" s="3">
        <v>44562</v>
      </c>
      <c r="I1864" s="3">
        <v>44926</v>
      </c>
      <c r="J1864" t="s">
        <v>142</v>
      </c>
      <c r="K1864">
        <v>4243.66</v>
      </c>
      <c r="L1864" t="s">
        <v>143</v>
      </c>
      <c r="M1864" t="s">
        <v>110</v>
      </c>
      <c r="O1864" t="s">
        <v>998</v>
      </c>
      <c r="P1864" t="s">
        <v>550</v>
      </c>
      <c r="Q1864">
        <v>2022</v>
      </c>
      <c r="R1864" t="s">
        <v>615</v>
      </c>
      <c r="S1864" t="s">
        <v>616</v>
      </c>
      <c r="T1864" t="s">
        <v>577</v>
      </c>
      <c r="U1864" t="b">
        <v>0</v>
      </c>
      <c r="V1864" t="s">
        <v>879</v>
      </c>
      <c r="W1864" t="s">
        <v>571</v>
      </c>
      <c r="X1864" t="s">
        <v>572</v>
      </c>
      <c r="AC1864">
        <v>1</v>
      </c>
      <c r="AD1864" t="s">
        <v>565</v>
      </c>
      <c r="AE1864">
        <v>2668.1587880000002</v>
      </c>
      <c r="AF1864">
        <v>0.62873999999999997</v>
      </c>
      <c r="AG1864" t="s">
        <v>588</v>
      </c>
      <c r="AH1864">
        <v>1</v>
      </c>
      <c r="AI1864">
        <v>4243.66</v>
      </c>
      <c r="AJ1864" t="s">
        <v>561</v>
      </c>
      <c r="AK1864" t="s">
        <v>589</v>
      </c>
      <c r="AL1864" t="s">
        <v>590</v>
      </c>
      <c r="AM1864">
        <v>2022</v>
      </c>
      <c r="AN1864">
        <v>2020</v>
      </c>
      <c r="AO1864">
        <f>IF(AND(emissions[[#This Row],[Market-based]]=0,emissions[[#This Row],[Impact Type]]="CO2E"),emissions[[#This Row],[kgCO2e]],0)/1000</f>
        <v>0</v>
      </c>
      <c r="AP1864">
        <f>IF(AND(emissions[[#This Row],[Market-based]]=1,OR(emissions[[#This Row],[Impact Type]]="CO2E",emissions[[#This Row],[Impact Type]]="CO2E MKT")),emissions[[#This Row],[kgCO2e]],0)/1000</f>
        <v>2.6681587880000004</v>
      </c>
      <c r="AQ1864" t="str">
        <f>_xlfn.TEXTAFTER(emissions[[#This Row],[Reporting Unit]]," &gt; ",LEN(emissions[[#This Row],[Reporting Unit]])-LEN(SUBSTITUTE(emissions[[#This Row],[Reporting Unit]],"&gt;","")))</f>
        <v>Vantage_Argentina Farm (Agrinsa)</v>
      </c>
      <c r="AR1864" t="str">
        <f>_xlfn.XLOOKUP(emissions[[#This Row],[Reporting unit name]],hierarchy!$A:$A,hierarchy!$C:$C)</f>
        <v>Labratory</v>
      </c>
    </row>
    <row r="1865" spans="1:44" hidden="1" x14ac:dyDescent="0.25">
      <c r="A1865">
        <v>237489</v>
      </c>
      <c r="B1865" t="s">
        <v>240</v>
      </c>
      <c r="C1865" t="s">
        <v>475</v>
      </c>
      <c r="D1865" t="s">
        <v>548</v>
      </c>
      <c r="E1865" s="3">
        <v>44562</v>
      </c>
      <c r="F1865" s="3">
        <v>44926</v>
      </c>
      <c r="G1865" t="s">
        <v>141</v>
      </c>
      <c r="H1865" s="3">
        <v>44562</v>
      </c>
      <c r="I1865" s="3">
        <v>44926</v>
      </c>
      <c r="J1865" t="s">
        <v>187</v>
      </c>
      <c r="K1865">
        <v>3242.25</v>
      </c>
      <c r="L1865" t="s">
        <v>143</v>
      </c>
      <c r="M1865" t="s">
        <v>110</v>
      </c>
      <c r="O1865" t="s">
        <v>999</v>
      </c>
      <c r="P1865" t="s">
        <v>550</v>
      </c>
      <c r="Q1865">
        <v>2022</v>
      </c>
      <c r="R1865" t="s">
        <v>654</v>
      </c>
      <c r="S1865" t="s">
        <v>655</v>
      </c>
      <c r="T1865" t="s">
        <v>553</v>
      </c>
      <c r="U1865" t="b">
        <v>0</v>
      </c>
      <c r="V1865" t="s">
        <v>656</v>
      </c>
      <c r="W1865" t="s">
        <v>587</v>
      </c>
      <c r="X1865" t="s">
        <v>556</v>
      </c>
      <c r="AC1865">
        <v>0</v>
      </c>
      <c r="AD1865" t="s">
        <v>558</v>
      </c>
      <c r="AE1865">
        <v>23.733270000000001</v>
      </c>
      <c r="AF1865">
        <v>7.3200000000000001E-3</v>
      </c>
      <c r="AG1865" t="s">
        <v>588</v>
      </c>
      <c r="AH1865">
        <v>1</v>
      </c>
      <c r="AI1865">
        <v>3242.25</v>
      </c>
      <c r="AJ1865" t="s">
        <v>561</v>
      </c>
      <c r="AK1865" t="s">
        <v>589</v>
      </c>
      <c r="AL1865" t="s">
        <v>590</v>
      </c>
      <c r="AM1865">
        <v>2022</v>
      </c>
      <c r="AN1865">
        <v>2020</v>
      </c>
      <c r="AO1865">
        <f>IF(AND(emissions[[#This Row],[Market-based]]=0,emissions[[#This Row],[Impact Type]]="CO2E"),emissions[[#This Row],[kgCO2e]],0)/1000</f>
        <v>0</v>
      </c>
      <c r="AP1865">
        <f>IF(AND(emissions[[#This Row],[Market-based]]=1,OR(emissions[[#This Row],[Impact Type]]="CO2E",emissions[[#This Row],[Impact Type]]="CO2E MKT")),emissions[[#This Row],[kgCO2e]],0)/1000</f>
        <v>0</v>
      </c>
      <c r="AQ1865" t="str">
        <f>_xlfn.TEXTAFTER(emissions[[#This Row],[Reporting Unit]]," &gt; ",LEN(emissions[[#This Row],[Reporting Unit]])-LEN(SUBSTITUTE(emissions[[#This Row],[Reporting Unit]],"&gt;","")))</f>
        <v>Vantage_Argentina Farm (Agrinsa)</v>
      </c>
      <c r="AR1865" t="str">
        <f>_xlfn.XLOOKUP(emissions[[#This Row],[Reporting unit name]],hierarchy!$A:$A,hierarchy!$C:$C)</f>
        <v>Labratory</v>
      </c>
    </row>
    <row r="1866" spans="1:44" hidden="1" x14ac:dyDescent="0.25">
      <c r="A1866">
        <v>237489</v>
      </c>
      <c r="B1866" t="s">
        <v>240</v>
      </c>
      <c r="C1866" t="s">
        <v>475</v>
      </c>
      <c r="D1866" t="s">
        <v>548</v>
      </c>
      <c r="E1866" s="3">
        <v>44562</v>
      </c>
      <c r="F1866" s="3">
        <v>44926</v>
      </c>
      <c r="G1866" t="s">
        <v>141</v>
      </c>
      <c r="H1866" s="3">
        <v>44562</v>
      </c>
      <c r="I1866" s="3">
        <v>44926</v>
      </c>
      <c r="J1866" t="s">
        <v>187</v>
      </c>
      <c r="K1866">
        <v>3242.25</v>
      </c>
      <c r="L1866" t="s">
        <v>143</v>
      </c>
      <c r="M1866" t="s">
        <v>110</v>
      </c>
      <c r="O1866" t="s">
        <v>999</v>
      </c>
      <c r="P1866" t="s">
        <v>550</v>
      </c>
      <c r="Q1866">
        <v>2022</v>
      </c>
      <c r="R1866" t="s">
        <v>654</v>
      </c>
      <c r="S1866" t="s">
        <v>655</v>
      </c>
      <c r="T1866" t="s">
        <v>553</v>
      </c>
      <c r="U1866" t="b">
        <v>0</v>
      </c>
      <c r="V1866" t="s">
        <v>656</v>
      </c>
      <c r="W1866" t="s">
        <v>587</v>
      </c>
      <c r="X1866" t="s">
        <v>556</v>
      </c>
      <c r="AC1866">
        <v>0</v>
      </c>
      <c r="AD1866" t="s">
        <v>564</v>
      </c>
      <c r="AE1866">
        <v>7540.403558</v>
      </c>
      <c r="AF1866">
        <v>2.3256700000000001</v>
      </c>
      <c r="AG1866" t="s">
        <v>588</v>
      </c>
      <c r="AH1866">
        <v>1</v>
      </c>
      <c r="AI1866">
        <v>3242.25</v>
      </c>
      <c r="AJ1866" t="s">
        <v>561</v>
      </c>
      <c r="AK1866" t="s">
        <v>589</v>
      </c>
      <c r="AL1866" t="s">
        <v>590</v>
      </c>
      <c r="AM1866">
        <v>2022</v>
      </c>
      <c r="AN1866">
        <v>2020</v>
      </c>
      <c r="AO1866">
        <f>IF(AND(emissions[[#This Row],[Market-based]]=0,emissions[[#This Row],[Impact Type]]="CO2E"),emissions[[#This Row],[kgCO2e]],0)/1000</f>
        <v>0</v>
      </c>
      <c r="AP1866">
        <f>IF(AND(emissions[[#This Row],[Market-based]]=1,OR(emissions[[#This Row],[Impact Type]]="CO2E",emissions[[#This Row],[Impact Type]]="CO2E MKT")),emissions[[#This Row],[kgCO2e]],0)/1000</f>
        <v>0</v>
      </c>
      <c r="AQ1866" t="str">
        <f>_xlfn.TEXTAFTER(emissions[[#This Row],[Reporting Unit]]," &gt; ",LEN(emissions[[#This Row],[Reporting Unit]])-LEN(SUBSTITUTE(emissions[[#This Row],[Reporting Unit]],"&gt;","")))</f>
        <v>Vantage_Argentina Farm (Agrinsa)</v>
      </c>
      <c r="AR1866" t="str">
        <f>_xlfn.XLOOKUP(emissions[[#This Row],[Reporting unit name]],hierarchy!$A:$A,hierarchy!$C:$C)</f>
        <v>Labratory</v>
      </c>
    </row>
    <row r="1867" spans="1:44" hidden="1" x14ac:dyDescent="0.25">
      <c r="A1867">
        <v>237489</v>
      </c>
      <c r="B1867" t="s">
        <v>240</v>
      </c>
      <c r="C1867" t="s">
        <v>475</v>
      </c>
      <c r="D1867" t="s">
        <v>548</v>
      </c>
      <c r="E1867" s="3">
        <v>44562</v>
      </c>
      <c r="F1867" s="3">
        <v>44926</v>
      </c>
      <c r="G1867" t="s">
        <v>141</v>
      </c>
      <c r="H1867" s="3">
        <v>44562</v>
      </c>
      <c r="I1867" s="3">
        <v>44926</v>
      </c>
      <c r="J1867" t="s">
        <v>187</v>
      </c>
      <c r="K1867">
        <v>3242.25</v>
      </c>
      <c r="L1867" t="s">
        <v>143</v>
      </c>
      <c r="M1867" t="s">
        <v>110</v>
      </c>
      <c r="O1867" t="s">
        <v>999</v>
      </c>
      <c r="P1867" t="s">
        <v>550</v>
      </c>
      <c r="Q1867">
        <v>2022</v>
      </c>
      <c r="R1867" t="s">
        <v>654</v>
      </c>
      <c r="S1867" t="s">
        <v>655</v>
      </c>
      <c r="T1867" t="s">
        <v>553</v>
      </c>
      <c r="U1867" t="b">
        <v>0</v>
      </c>
      <c r="V1867" t="s">
        <v>656</v>
      </c>
      <c r="W1867" t="s">
        <v>587</v>
      </c>
      <c r="X1867" t="s">
        <v>556</v>
      </c>
      <c r="AC1867">
        <v>0</v>
      </c>
      <c r="AD1867" t="s">
        <v>565</v>
      </c>
      <c r="AE1867">
        <v>7585.8923249999998</v>
      </c>
      <c r="AF1867">
        <v>2.3397000000000001</v>
      </c>
      <c r="AG1867" t="s">
        <v>588</v>
      </c>
      <c r="AH1867">
        <v>1</v>
      </c>
      <c r="AI1867">
        <v>3242.25</v>
      </c>
      <c r="AJ1867" t="s">
        <v>561</v>
      </c>
      <c r="AK1867" t="s">
        <v>589</v>
      </c>
      <c r="AL1867" t="s">
        <v>590</v>
      </c>
      <c r="AM1867">
        <v>2022</v>
      </c>
      <c r="AN1867">
        <v>2020</v>
      </c>
      <c r="AO1867">
        <f>IF(AND(emissions[[#This Row],[Market-based]]=0,emissions[[#This Row],[Impact Type]]="CO2E"),emissions[[#This Row],[kgCO2e]],0)/1000</f>
        <v>7.5858923249999997</v>
      </c>
      <c r="AP1867">
        <f>IF(AND(emissions[[#This Row],[Market-based]]=1,OR(emissions[[#This Row],[Impact Type]]="CO2E",emissions[[#This Row],[Impact Type]]="CO2E MKT")),emissions[[#This Row],[kgCO2e]],0)/1000</f>
        <v>0</v>
      </c>
      <c r="AQ1867" t="str">
        <f>_xlfn.TEXTAFTER(emissions[[#This Row],[Reporting Unit]]," &gt; ",LEN(emissions[[#This Row],[Reporting Unit]])-LEN(SUBSTITUTE(emissions[[#This Row],[Reporting Unit]],"&gt;","")))</f>
        <v>Vantage_Argentina Farm (Agrinsa)</v>
      </c>
      <c r="AR1867" t="str">
        <f>_xlfn.XLOOKUP(emissions[[#This Row],[Reporting unit name]],hierarchy!$A:$A,hierarchy!$C:$C)</f>
        <v>Labratory</v>
      </c>
    </row>
    <row r="1868" spans="1:44" hidden="1" x14ac:dyDescent="0.25">
      <c r="A1868">
        <v>237489</v>
      </c>
      <c r="B1868" t="s">
        <v>240</v>
      </c>
      <c r="C1868" t="s">
        <v>475</v>
      </c>
      <c r="D1868" t="s">
        <v>548</v>
      </c>
      <c r="E1868" s="3">
        <v>44562</v>
      </c>
      <c r="F1868" s="3">
        <v>44926</v>
      </c>
      <c r="G1868" t="s">
        <v>141</v>
      </c>
      <c r="H1868" s="3">
        <v>44562</v>
      </c>
      <c r="I1868" s="3">
        <v>44926</v>
      </c>
      <c r="J1868" t="s">
        <v>187</v>
      </c>
      <c r="K1868">
        <v>3242.25</v>
      </c>
      <c r="L1868" t="s">
        <v>143</v>
      </c>
      <c r="M1868" t="s">
        <v>110</v>
      </c>
      <c r="O1868" t="s">
        <v>999</v>
      </c>
      <c r="P1868" t="s">
        <v>550</v>
      </c>
      <c r="Q1868">
        <v>2022</v>
      </c>
      <c r="R1868" t="s">
        <v>654</v>
      </c>
      <c r="S1868" t="s">
        <v>655</v>
      </c>
      <c r="T1868" t="s">
        <v>553</v>
      </c>
      <c r="U1868" t="b">
        <v>0</v>
      </c>
      <c r="V1868" t="s">
        <v>656</v>
      </c>
      <c r="W1868" t="s">
        <v>587</v>
      </c>
      <c r="X1868" t="s">
        <v>556</v>
      </c>
      <c r="AC1868">
        <v>0</v>
      </c>
      <c r="AD1868" t="s">
        <v>566</v>
      </c>
      <c r="AE1868">
        <v>21.755497500000001</v>
      </c>
      <c r="AF1868">
        <v>6.7099999999999998E-3</v>
      </c>
      <c r="AG1868" t="s">
        <v>588</v>
      </c>
      <c r="AH1868">
        <v>1</v>
      </c>
      <c r="AI1868">
        <v>3242.25</v>
      </c>
      <c r="AJ1868" t="s">
        <v>561</v>
      </c>
      <c r="AK1868" t="s">
        <v>589</v>
      </c>
      <c r="AL1868" t="s">
        <v>590</v>
      </c>
      <c r="AM1868">
        <v>2022</v>
      </c>
      <c r="AN1868">
        <v>2020</v>
      </c>
      <c r="AO1868">
        <f>IF(AND(emissions[[#This Row],[Market-based]]=0,emissions[[#This Row],[Impact Type]]="CO2E"),emissions[[#This Row],[kgCO2e]],0)/1000</f>
        <v>0</v>
      </c>
      <c r="AP1868">
        <f>IF(AND(emissions[[#This Row],[Market-based]]=1,OR(emissions[[#This Row],[Impact Type]]="CO2E",emissions[[#This Row],[Impact Type]]="CO2E MKT")),emissions[[#This Row],[kgCO2e]],0)/1000</f>
        <v>0</v>
      </c>
      <c r="AQ1868" t="str">
        <f>_xlfn.TEXTAFTER(emissions[[#This Row],[Reporting Unit]]," &gt; ",LEN(emissions[[#This Row],[Reporting Unit]])-LEN(SUBSTITUTE(emissions[[#This Row],[Reporting Unit]],"&gt;","")))</f>
        <v>Vantage_Argentina Farm (Agrinsa)</v>
      </c>
      <c r="AR1868" t="str">
        <f>_xlfn.XLOOKUP(emissions[[#This Row],[Reporting unit name]],hierarchy!$A:$A,hierarchy!$C:$C)</f>
        <v>Labratory</v>
      </c>
    </row>
    <row r="1869" spans="1:44" hidden="1" x14ac:dyDescent="0.25">
      <c r="A1869">
        <v>237489</v>
      </c>
      <c r="B1869" t="s">
        <v>240</v>
      </c>
      <c r="C1869" t="s">
        <v>475</v>
      </c>
      <c r="D1869" t="s">
        <v>548</v>
      </c>
      <c r="E1869" s="3">
        <v>44562</v>
      </c>
      <c r="F1869" s="3">
        <v>44926</v>
      </c>
      <c r="G1869" t="s">
        <v>141</v>
      </c>
      <c r="H1869" s="3">
        <v>44562</v>
      </c>
      <c r="I1869" s="3">
        <v>44926</v>
      </c>
      <c r="J1869" t="s">
        <v>187</v>
      </c>
      <c r="K1869">
        <v>3242.25</v>
      </c>
      <c r="L1869" t="s">
        <v>143</v>
      </c>
      <c r="M1869" t="s">
        <v>110</v>
      </c>
      <c r="O1869" t="s">
        <v>999</v>
      </c>
      <c r="P1869" t="s">
        <v>550</v>
      </c>
      <c r="Q1869">
        <v>2022</v>
      </c>
      <c r="R1869" t="s">
        <v>654</v>
      </c>
      <c r="S1869" t="s">
        <v>655</v>
      </c>
      <c r="T1869" t="s">
        <v>553</v>
      </c>
      <c r="U1869" t="b">
        <v>0</v>
      </c>
      <c r="V1869" t="s">
        <v>656</v>
      </c>
      <c r="W1869" t="s">
        <v>587</v>
      </c>
      <c r="X1869" t="s">
        <v>556</v>
      </c>
      <c r="AC1869">
        <v>1</v>
      </c>
      <c r="AD1869" t="s">
        <v>558</v>
      </c>
      <c r="AE1869">
        <v>23.733270000000001</v>
      </c>
      <c r="AF1869">
        <v>7.3200000000000001E-3</v>
      </c>
      <c r="AG1869" t="s">
        <v>588</v>
      </c>
      <c r="AH1869">
        <v>1</v>
      </c>
      <c r="AI1869">
        <v>3242.25</v>
      </c>
      <c r="AJ1869" t="s">
        <v>561</v>
      </c>
      <c r="AK1869" t="s">
        <v>589</v>
      </c>
      <c r="AL1869" t="s">
        <v>590</v>
      </c>
      <c r="AM1869">
        <v>2022</v>
      </c>
      <c r="AN1869">
        <v>2020</v>
      </c>
      <c r="AO1869">
        <f>IF(AND(emissions[[#This Row],[Market-based]]=0,emissions[[#This Row],[Impact Type]]="CO2E"),emissions[[#This Row],[kgCO2e]],0)/1000</f>
        <v>0</v>
      </c>
      <c r="AP1869">
        <f>IF(AND(emissions[[#This Row],[Market-based]]=1,OR(emissions[[#This Row],[Impact Type]]="CO2E",emissions[[#This Row],[Impact Type]]="CO2E MKT")),emissions[[#This Row],[kgCO2e]],0)/1000</f>
        <v>0</v>
      </c>
      <c r="AQ1869" t="str">
        <f>_xlfn.TEXTAFTER(emissions[[#This Row],[Reporting Unit]]," &gt; ",LEN(emissions[[#This Row],[Reporting Unit]])-LEN(SUBSTITUTE(emissions[[#This Row],[Reporting Unit]],"&gt;","")))</f>
        <v>Vantage_Argentina Farm (Agrinsa)</v>
      </c>
      <c r="AR1869" t="str">
        <f>_xlfn.XLOOKUP(emissions[[#This Row],[Reporting unit name]],hierarchy!$A:$A,hierarchy!$C:$C)</f>
        <v>Labratory</v>
      </c>
    </row>
    <row r="1870" spans="1:44" hidden="1" x14ac:dyDescent="0.25">
      <c r="A1870">
        <v>237489</v>
      </c>
      <c r="B1870" t="s">
        <v>240</v>
      </c>
      <c r="C1870" t="s">
        <v>475</v>
      </c>
      <c r="D1870" t="s">
        <v>548</v>
      </c>
      <c r="E1870" s="3">
        <v>44562</v>
      </c>
      <c r="F1870" s="3">
        <v>44926</v>
      </c>
      <c r="G1870" t="s">
        <v>141</v>
      </c>
      <c r="H1870" s="3">
        <v>44562</v>
      </c>
      <c r="I1870" s="3">
        <v>44926</v>
      </c>
      <c r="J1870" t="s">
        <v>187</v>
      </c>
      <c r="K1870">
        <v>3242.25</v>
      </c>
      <c r="L1870" t="s">
        <v>143</v>
      </c>
      <c r="M1870" t="s">
        <v>110</v>
      </c>
      <c r="O1870" t="s">
        <v>999</v>
      </c>
      <c r="P1870" t="s">
        <v>550</v>
      </c>
      <c r="Q1870">
        <v>2022</v>
      </c>
      <c r="R1870" t="s">
        <v>654</v>
      </c>
      <c r="S1870" t="s">
        <v>655</v>
      </c>
      <c r="T1870" t="s">
        <v>553</v>
      </c>
      <c r="U1870" t="b">
        <v>0</v>
      </c>
      <c r="V1870" t="s">
        <v>656</v>
      </c>
      <c r="W1870" t="s">
        <v>587</v>
      </c>
      <c r="X1870" t="s">
        <v>556</v>
      </c>
      <c r="AC1870">
        <v>1</v>
      </c>
      <c r="AD1870" t="s">
        <v>564</v>
      </c>
      <c r="AE1870">
        <v>7540.403558</v>
      </c>
      <c r="AF1870">
        <v>2.3256700000000001</v>
      </c>
      <c r="AG1870" t="s">
        <v>588</v>
      </c>
      <c r="AH1870">
        <v>1</v>
      </c>
      <c r="AI1870">
        <v>3242.25</v>
      </c>
      <c r="AJ1870" t="s">
        <v>561</v>
      </c>
      <c r="AK1870" t="s">
        <v>589</v>
      </c>
      <c r="AL1870" t="s">
        <v>590</v>
      </c>
      <c r="AM1870">
        <v>2022</v>
      </c>
      <c r="AN1870">
        <v>2020</v>
      </c>
      <c r="AO1870">
        <f>IF(AND(emissions[[#This Row],[Market-based]]=0,emissions[[#This Row],[Impact Type]]="CO2E"),emissions[[#This Row],[kgCO2e]],0)/1000</f>
        <v>0</v>
      </c>
      <c r="AP1870">
        <f>IF(AND(emissions[[#This Row],[Market-based]]=1,OR(emissions[[#This Row],[Impact Type]]="CO2E",emissions[[#This Row],[Impact Type]]="CO2E MKT")),emissions[[#This Row],[kgCO2e]],0)/1000</f>
        <v>0</v>
      </c>
      <c r="AQ1870" t="str">
        <f>_xlfn.TEXTAFTER(emissions[[#This Row],[Reporting Unit]]," &gt; ",LEN(emissions[[#This Row],[Reporting Unit]])-LEN(SUBSTITUTE(emissions[[#This Row],[Reporting Unit]],"&gt;","")))</f>
        <v>Vantage_Argentina Farm (Agrinsa)</v>
      </c>
      <c r="AR1870" t="str">
        <f>_xlfn.XLOOKUP(emissions[[#This Row],[Reporting unit name]],hierarchy!$A:$A,hierarchy!$C:$C)</f>
        <v>Labratory</v>
      </c>
    </row>
    <row r="1871" spans="1:44" hidden="1" x14ac:dyDescent="0.25">
      <c r="A1871">
        <v>237489</v>
      </c>
      <c r="B1871" t="s">
        <v>240</v>
      </c>
      <c r="C1871" t="s">
        <v>475</v>
      </c>
      <c r="D1871" t="s">
        <v>548</v>
      </c>
      <c r="E1871" s="3">
        <v>44562</v>
      </c>
      <c r="F1871" s="3">
        <v>44926</v>
      </c>
      <c r="G1871" t="s">
        <v>141</v>
      </c>
      <c r="H1871" s="3">
        <v>44562</v>
      </c>
      <c r="I1871" s="3">
        <v>44926</v>
      </c>
      <c r="J1871" t="s">
        <v>187</v>
      </c>
      <c r="K1871">
        <v>3242.25</v>
      </c>
      <c r="L1871" t="s">
        <v>143</v>
      </c>
      <c r="M1871" t="s">
        <v>110</v>
      </c>
      <c r="O1871" t="s">
        <v>999</v>
      </c>
      <c r="P1871" t="s">
        <v>550</v>
      </c>
      <c r="Q1871">
        <v>2022</v>
      </c>
      <c r="R1871" t="s">
        <v>654</v>
      </c>
      <c r="S1871" t="s">
        <v>655</v>
      </c>
      <c r="T1871" t="s">
        <v>553</v>
      </c>
      <c r="U1871" t="b">
        <v>0</v>
      </c>
      <c r="V1871" t="s">
        <v>656</v>
      </c>
      <c r="W1871" t="s">
        <v>587</v>
      </c>
      <c r="X1871" t="s">
        <v>556</v>
      </c>
      <c r="AC1871">
        <v>1</v>
      </c>
      <c r="AD1871" t="s">
        <v>565</v>
      </c>
      <c r="AE1871">
        <v>7585.8923249999998</v>
      </c>
      <c r="AF1871">
        <v>2.3397000000000001</v>
      </c>
      <c r="AG1871" t="s">
        <v>588</v>
      </c>
      <c r="AH1871">
        <v>1</v>
      </c>
      <c r="AI1871">
        <v>3242.25</v>
      </c>
      <c r="AJ1871" t="s">
        <v>561</v>
      </c>
      <c r="AK1871" t="s">
        <v>589</v>
      </c>
      <c r="AL1871" t="s">
        <v>590</v>
      </c>
      <c r="AM1871">
        <v>2022</v>
      </c>
      <c r="AN1871">
        <v>2020</v>
      </c>
      <c r="AO1871">
        <f>IF(AND(emissions[[#This Row],[Market-based]]=0,emissions[[#This Row],[Impact Type]]="CO2E"),emissions[[#This Row],[kgCO2e]],0)/1000</f>
        <v>0</v>
      </c>
      <c r="AP1871">
        <f>IF(AND(emissions[[#This Row],[Market-based]]=1,OR(emissions[[#This Row],[Impact Type]]="CO2E",emissions[[#This Row],[Impact Type]]="CO2E MKT")),emissions[[#This Row],[kgCO2e]],0)/1000</f>
        <v>7.5858923249999997</v>
      </c>
      <c r="AQ1871" t="str">
        <f>_xlfn.TEXTAFTER(emissions[[#This Row],[Reporting Unit]]," &gt; ",LEN(emissions[[#This Row],[Reporting Unit]])-LEN(SUBSTITUTE(emissions[[#This Row],[Reporting Unit]],"&gt;","")))</f>
        <v>Vantage_Argentina Farm (Agrinsa)</v>
      </c>
      <c r="AR1871" t="str">
        <f>_xlfn.XLOOKUP(emissions[[#This Row],[Reporting unit name]],hierarchy!$A:$A,hierarchy!$C:$C)</f>
        <v>Labratory</v>
      </c>
    </row>
    <row r="1872" spans="1:44" hidden="1" x14ac:dyDescent="0.25">
      <c r="A1872">
        <v>237489</v>
      </c>
      <c r="B1872" t="s">
        <v>240</v>
      </c>
      <c r="C1872" t="s">
        <v>475</v>
      </c>
      <c r="D1872" t="s">
        <v>548</v>
      </c>
      <c r="E1872" s="3">
        <v>44562</v>
      </c>
      <c r="F1872" s="3">
        <v>44926</v>
      </c>
      <c r="G1872" t="s">
        <v>141</v>
      </c>
      <c r="H1872" s="3">
        <v>44562</v>
      </c>
      <c r="I1872" s="3">
        <v>44926</v>
      </c>
      <c r="J1872" t="s">
        <v>187</v>
      </c>
      <c r="K1872">
        <v>3242.25</v>
      </c>
      <c r="L1872" t="s">
        <v>143</v>
      </c>
      <c r="M1872" t="s">
        <v>110</v>
      </c>
      <c r="O1872" t="s">
        <v>999</v>
      </c>
      <c r="P1872" t="s">
        <v>550</v>
      </c>
      <c r="Q1872">
        <v>2022</v>
      </c>
      <c r="R1872" t="s">
        <v>654</v>
      </c>
      <c r="S1872" t="s">
        <v>655</v>
      </c>
      <c r="T1872" t="s">
        <v>553</v>
      </c>
      <c r="U1872" t="b">
        <v>0</v>
      </c>
      <c r="V1872" t="s">
        <v>656</v>
      </c>
      <c r="W1872" t="s">
        <v>587</v>
      </c>
      <c r="X1872" t="s">
        <v>556</v>
      </c>
      <c r="AC1872">
        <v>1</v>
      </c>
      <c r="AD1872" t="s">
        <v>566</v>
      </c>
      <c r="AE1872">
        <v>21.755497500000001</v>
      </c>
      <c r="AF1872">
        <v>6.7099999999999998E-3</v>
      </c>
      <c r="AG1872" t="s">
        <v>588</v>
      </c>
      <c r="AH1872">
        <v>1</v>
      </c>
      <c r="AI1872">
        <v>3242.25</v>
      </c>
      <c r="AJ1872" t="s">
        <v>561</v>
      </c>
      <c r="AK1872" t="s">
        <v>589</v>
      </c>
      <c r="AL1872" t="s">
        <v>590</v>
      </c>
      <c r="AM1872">
        <v>2022</v>
      </c>
      <c r="AN1872">
        <v>2020</v>
      </c>
      <c r="AO1872">
        <f>IF(AND(emissions[[#This Row],[Market-based]]=0,emissions[[#This Row],[Impact Type]]="CO2E"),emissions[[#This Row],[kgCO2e]],0)/1000</f>
        <v>0</v>
      </c>
      <c r="AP1872">
        <f>IF(AND(emissions[[#This Row],[Market-based]]=1,OR(emissions[[#This Row],[Impact Type]]="CO2E",emissions[[#This Row],[Impact Type]]="CO2E MKT")),emissions[[#This Row],[kgCO2e]],0)/1000</f>
        <v>0</v>
      </c>
      <c r="AQ1872" t="str">
        <f>_xlfn.TEXTAFTER(emissions[[#This Row],[Reporting Unit]]," &gt; ",LEN(emissions[[#This Row],[Reporting Unit]])-LEN(SUBSTITUTE(emissions[[#This Row],[Reporting Unit]],"&gt;","")))</f>
        <v>Vantage_Argentina Farm (Agrinsa)</v>
      </c>
      <c r="AR1872" t="str">
        <f>_xlfn.XLOOKUP(emissions[[#This Row],[Reporting unit name]],hierarchy!$A:$A,hierarchy!$C:$C)</f>
        <v>Labratory</v>
      </c>
    </row>
    <row r="1873" spans="1:44" hidden="1" x14ac:dyDescent="0.25">
      <c r="A1873">
        <v>237489</v>
      </c>
      <c r="B1873" t="s">
        <v>240</v>
      </c>
      <c r="C1873" t="s">
        <v>475</v>
      </c>
      <c r="D1873" t="s">
        <v>548</v>
      </c>
      <c r="E1873" s="3">
        <v>44562</v>
      </c>
      <c r="F1873" s="3">
        <v>44926</v>
      </c>
      <c r="G1873" t="s">
        <v>141</v>
      </c>
      <c r="H1873" s="3">
        <v>44562</v>
      </c>
      <c r="I1873" s="3">
        <v>44926</v>
      </c>
      <c r="J1873" t="s">
        <v>187</v>
      </c>
      <c r="K1873">
        <v>3242.25</v>
      </c>
      <c r="L1873" t="s">
        <v>143</v>
      </c>
      <c r="M1873" t="s">
        <v>110</v>
      </c>
      <c r="O1873" t="s">
        <v>999</v>
      </c>
      <c r="P1873" t="s">
        <v>550</v>
      </c>
      <c r="Q1873">
        <v>2022</v>
      </c>
      <c r="R1873" t="s">
        <v>657</v>
      </c>
      <c r="S1873" t="s">
        <v>658</v>
      </c>
      <c r="T1873" t="s">
        <v>577</v>
      </c>
      <c r="U1873" t="b">
        <v>0</v>
      </c>
      <c r="V1873" t="s">
        <v>906</v>
      </c>
      <c r="W1873" t="s">
        <v>571</v>
      </c>
      <c r="X1873" t="s">
        <v>572</v>
      </c>
      <c r="AC1873">
        <v>0</v>
      </c>
      <c r="AD1873" t="s">
        <v>565</v>
      </c>
      <c r="AE1873">
        <v>1954.525568</v>
      </c>
      <c r="AF1873">
        <v>0.60282999999999998</v>
      </c>
      <c r="AG1873" t="s">
        <v>588</v>
      </c>
      <c r="AH1873">
        <v>1</v>
      </c>
      <c r="AI1873">
        <v>3242.25</v>
      </c>
      <c r="AJ1873" t="s">
        <v>561</v>
      </c>
      <c r="AK1873" t="s">
        <v>589</v>
      </c>
      <c r="AL1873" t="s">
        <v>590</v>
      </c>
      <c r="AM1873">
        <v>2022</v>
      </c>
      <c r="AN1873">
        <v>2020</v>
      </c>
      <c r="AO1873">
        <f>IF(AND(emissions[[#This Row],[Market-based]]=0,emissions[[#This Row],[Impact Type]]="CO2E"),emissions[[#This Row],[kgCO2e]],0)/1000</f>
        <v>1.954525568</v>
      </c>
      <c r="AP1873">
        <f>IF(AND(emissions[[#This Row],[Market-based]]=1,OR(emissions[[#This Row],[Impact Type]]="CO2E",emissions[[#This Row],[Impact Type]]="CO2E MKT")),emissions[[#This Row],[kgCO2e]],0)/1000</f>
        <v>0</v>
      </c>
      <c r="AQ1873" t="str">
        <f>_xlfn.TEXTAFTER(emissions[[#This Row],[Reporting Unit]]," &gt; ",LEN(emissions[[#This Row],[Reporting Unit]])-LEN(SUBSTITUTE(emissions[[#This Row],[Reporting Unit]],"&gt;","")))</f>
        <v>Vantage_Argentina Farm (Agrinsa)</v>
      </c>
      <c r="AR1873" t="str">
        <f>_xlfn.XLOOKUP(emissions[[#This Row],[Reporting unit name]],hierarchy!$A:$A,hierarchy!$C:$C)</f>
        <v>Labratory</v>
      </c>
    </row>
    <row r="1874" spans="1:44" hidden="1" x14ac:dyDescent="0.25">
      <c r="A1874">
        <v>237489</v>
      </c>
      <c r="B1874" t="s">
        <v>240</v>
      </c>
      <c r="C1874" t="s">
        <v>475</v>
      </c>
      <c r="D1874" t="s">
        <v>548</v>
      </c>
      <c r="E1874" s="3">
        <v>44562</v>
      </c>
      <c r="F1874" s="3">
        <v>44926</v>
      </c>
      <c r="G1874" t="s">
        <v>141</v>
      </c>
      <c r="H1874" s="3">
        <v>44562</v>
      </c>
      <c r="I1874" s="3">
        <v>44926</v>
      </c>
      <c r="J1874" t="s">
        <v>187</v>
      </c>
      <c r="K1874">
        <v>3242.25</v>
      </c>
      <c r="L1874" t="s">
        <v>143</v>
      </c>
      <c r="M1874" t="s">
        <v>110</v>
      </c>
      <c r="O1874" t="s">
        <v>999</v>
      </c>
      <c r="P1874" t="s">
        <v>550</v>
      </c>
      <c r="Q1874">
        <v>2022</v>
      </c>
      <c r="R1874" t="s">
        <v>657</v>
      </c>
      <c r="S1874" t="s">
        <v>658</v>
      </c>
      <c r="T1874" t="s">
        <v>577</v>
      </c>
      <c r="U1874" t="b">
        <v>0</v>
      </c>
      <c r="V1874" t="s">
        <v>906</v>
      </c>
      <c r="W1874" t="s">
        <v>571</v>
      </c>
      <c r="X1874" t="s">
        <v>572</v>
      </c>
      <c r="AC1874">
        <v>1</v>
      </c>
      <c r="AD1874" t="s">
        <v>565</v>
      </c>
      <c r="AE1874">
        <v>1954.525568</v>
      </c>
      <c r="AF1874">
        <v>0.60282999999999998</v>
      </c>
      <c r="AG1874" t="s">
        <v>588</v>
      </c>
      <c r="AH1874">
        <v>1</v>
      </c>
      <c r="AI1874">
        <v>3242.25</v>
      </c>
      <c r="AJ1874" t="s">
        <v>561</v>
      </c>
      <c r="AK1874" t="s">
        <v>589</v>
      </c>
      <c r="AL1874" t="s">
        <v>590</v>
      </c>
      <c r="AM1874">
        <v>2022</v>
      </c>
      <c r="AN1874">
        <v>2020</v>
      </c>
      <c r="AO1874">
        <f>IF(AND(emissions[[#This Row],[Market-based]]=0,emissions[[#This Row],[Impact Type]]="CO2E"),emissions[[#This Row],[kgCO2e]],0)/1000</f>
        <v>0</v>
      </c>
      <c r="AP1874">
        <f>IF(AND(emissions[[#This Row],[Market-based]]=1,OR(emissions[[#This Row],[Impact Type]]="CO2E",emissions[[#This Row],[Impact Type]]="CO2E MKT")),emissions[[#This Row],[kgCO2e]],0)/1000</f>
        <v>1.954525568</v>
      </c>
      <c r="AQ1874" t="str">
        <f>_xlfn.TEXTAFTER(emissions[[#This Row],[Reporting Unit]]," &gt; ",LEN(emissions[[#This Row],[Reporting Unit]])-LEN(SUBSTITUTE(emissions[[#This Row],[Reporting Unit]],"&gt;","")))</f>
        <v>Vantage_Argentina Farm (Agrinsa)</v>
      </c>
      <c r="AR1874" t="str">
        <f>_xlfn.XLOOKUP(emissions[[#This Row],[Reporting unit name]],hierarchy!$A:$A,hierarchy!$C:$C)</f>
        <v>Labratory</v>
      </c>
    </row>
    <row r="1875" spans="1:44" hidden="1" x14ac:dyDescent="0.25">
      <c r="A1875">
        <v>237491</v>
      </c>
      <c r="B1875" t="s">
        <v>240</v>
      </c>
      <c r="C1875" t="s">
        <v>475</v>
      </c>
      <c r="D1875" t="s">
        <v>548</v>
      </c>
      <c r="E1875" s="3">
        <v>44562</v>
      </c>
      <c r="F1875" s="3">
        <v>44926</v>
      </c>
      <c r="G1875" t="s">
        <v>141</v>
      </c>
      <c r="H1875" s="3">
        <v>44562</v>
      </c>
      <c r="I1875" s="3">
        <v>44926</v>
      </c>
      <c r="J1875" t="s">
        <v>187</v>
      </c>
      <c r="K1875">
        <v>8504.4500000000007</v>
      </c>
      <c r="L1875" t="s">
        <v>143</v>
      </c>
      <c r="M1875" t="s">
        <v>110</v>
      </c>
      <c r="O1875" t="s">
        <v>1000</v>
      </c>
      <c r="P1875" t="s">
        <v>550</v>
      </c>
      <c r="Q1875">
        <v>2022</v>
      </c>
      <c r="R1875" t="s">
        <v>654</v>
      </c>
      <c r="S1875" t="s">
        <v>655</v>
      </c>
      <c r="T1875" t="s">
        <v>553</v>
      </c>
      <c r="U1875" t="b">
        <v>0</v>
      </c>
      <c r="V1875" t="s">
        <v>656</v>
      </c>
      <c r="W1875" t="s">
        <v>587</v>
      </c>
      <c r="X1875" t="s">
        <v>556</v>
      </c>
      <c r="AC1875">
        <v>0</v>
      </c>
      <c r="AD1875" t="s">
        <v>558</v>
      </c>
      <c r="AE1875">
        <v>62.252574000000003</v>
      </c>
      <c r="AF1875">
        <v>7.3200000000000001E-3</v>
      </c>
      <c r="AG1875" t="s">
        <v>588</v>
      </c>
      <c r="AH1875">
        <v>1</v>
      </c>
      <c r="AI1875">
        <v>8504.4500000000007</v>
      </c>
      <c r="AJ1875" t="s">
        <v>561</v>
      </c>
      <c r="AK1875" t="s">
        <v>589</v>
      </c>
      <c r="AL1875" t="s">
        <v>590</v>
      </c>
      <c r="AM1875">
        <v>2022</v>
      </c>
      <c r="AN1875">
        <v>2020</v>
      </c>
      <c r="AO1875">
        <f>IF(AND(emissions[[#This Row],[Market-based]]=0,emissions[[#This Row],[Impact Type]]="CO2E"),emissions[[#This Row],[kgCO2e]],0)/1000</f>
        <v>0</v>
      </c>
      <c r="AP1875">
        <f>IF(AND(emissions[[#This Row],[Market-based]]=1,OR(emissions[[#This Row],[Impact Type]]="CO2E",emissions[[#This Row],[Impact Type]]="CO2E MKT")),emissions[[#This Row],[kgCO2e]],0)/1000</f>
        <v>0</v>
      </c>
      <c r="AQ1875" t="str">
        <f>_xlfn.TEXTAFTER(emissions[[#This Row],[Reporting Unit]]," &gt; ",LEN(emissions[[#This Row],[Reporting Unit]])-LEN(SUBSTITUTE(emissions[[#This Row],[Reporting Unit]],"&gt;","")))</f>
        <v>Vantage_Argentina Farm (Agrinsa)</v>
      </c>
      <c r="AR1875" t="str">
        <f>_xlfn.XLOOKUP(emissions[[#This Row],[Reporting unit name]],hierarchy!$A:$A,hierarchy!$C:$C)</f>
        <v>Labratory</v>
      </c>
    </row>
    <row r="1876" spans="1:44" hidden="1" x14ac:dyDescent="0.25">
      <c r="A1876">
        <v>237491</v>
      </c>
      <c r="B1876" t="s">
        <v>240</v>
      </c>
      <c r="C1876" t="s">
        <v>475</v>
      </c>
      <c r="D1876" t="s">
        <v>548</v>
      </c>
      <c r="E1876" s="3">
        <v>44562</v>
      </c>
      <c r="F1876" s="3">
        <v>44926</v>
      </c>
      <c r="G1876" t="s">
        <v>141</v>
      </c>
      <c r="H1876" s="3">
        <v>44562</v>
      </c>
      <c r="I1876" s="3">
        <v>44926</v>
      </c>
      <c r="J1876" t="s">
        <v>187</v>
      </c>
      <c r="K1876">
        <v>8504.4500000000007</v>
      </c>
      <c r="L1876" t="s">
        <v>143</v>
      </c>
      <c r="M1876" t="s">
        <v>110</v>
      </c>
      <c r="O1876" t="s">
        <v>1000</v>
      </c>
      <c r="P1876" t="s">
        <v>550</v>
      </c>
      <c r="Q1876">
        <v>2022</v>
      </c>
      <c r="R1876" t="s">
        <v>654</v>
      </c>
      <c r="S1876" t="s">
        <v>655</v>
      </c>
      <c r="T1876" t="s">
        <v>553</v>
      </c>
      <c r="U1876" t="b">
        <v>0</v>
      </c>
      <c r="V1876" t="s">
        <v>656</v>
      </c>
      <c r="W1876" t="s">
        <v>587</v>
      </c>
      <c r="X1876" t="s">
        <v>556</v>
      </c>
      <c r="AC1876">
        <v>0</v>
      </c>
      <c r="AD1876" t="s">
        <v>564</v>
      </c>
      <c r="AE1876">
        <v>19778.54423</v>
      </c>
      <c r="AF1876">
        <v>2.3256700000000001</v>
      </c>
      <c r="AG1876" t="s">
        <v>588</v>
      </c>
      <c r="AH1876">
        <v>1</v>
      </c>
      <c r="AI1876">
        <v>8504.4500000000007</v>
      </c>
      <c r="AJ1876" t="s">
        <v>561</v>
      </c>
      <c r="AK1876" t="s">
        <v>589</v>
      </c>
      <c r="AL1876" t="s">
        <v>590</v>
      </c>
      <c r="AM1876">
        <v>2022</v>
      </c>
      <c r="AN1876">
        <v>2020</v>
      </c>
      <c r="AO1876">
        <f>IF(AND(emissions[[#This Row],[Market-based]]=0,emissions[[#This Row],[Impact Type]]="CO2E"),emissions[[#This Row],[kgCO2e]],0)/1000</f>
        <v>0</v>
      </c>
      <c r="AP1876">
        <f>IF(AND(emissions[[#This Row],[Market-based]]=1,OR(emissions[[#This Row],[Impact Type]]="CO2E",emissions[[#This Row],[Impact Type]]="CO2E MKT")),emissions[[#This Row],[kgCO2e]],0)/1000</f>
        <v>0</v>
      </c>
      <c r="AQ1876" t="str">
        <f>_xlfn.TEXTAFTER(emissions[[#This Row],[Reporting Unit]]," &gt; ",LEN(emissions[[#This Row],[Reporting Unit]])-LEN(SUBSTITUTE(emissions[[#This Row],[Reporting Unit]],"&gt;","")))</f>
        <v>Vantage_Argentina Farm (Agrinsa)</v>
      </c>
      <c r="AR1876" t="str">
        <f>_xlfn.XLOOKUP(emissions[[#This Row],[Reporting unit name]],hierarchy!$A:$A,hierarchy!$C:$C)</f>
        <v>Labratory</v>
      </c>
    </row>
    <row r="1877" spans="1:44" hidden="1" x14ac:dyDescent="0.25">
      <c r="A1877">
        <v>237491</v>
      </c>
      <c r="B1877" t="s">
        <v>240</v>
      </c>
      <c r="C1877" t="s">
        <v>475</v>
      </c>
      <c r="D1877" t="s">
        <v>548</v>
      </c>
      <c r="E1877" s="3">
        <v>44562</v>
      </c>
      <c r="F1877" s="3">
        <v>44926</v>
      </c>
      <c r="G1877" t="s">
        <v>141</v>
      </c>
      <c r="H1877" s="3">
        <v>44562</v>
      </c>
      <c r="I1877" s="3">
        <v>44926</v>
      </c>
      <c r="J1877" t="s">
        <v>187</v>
      </c>
      <c r="K1877">
        <v>8504.4500000000007</v>
      </c>
      <c r="L1877" t="s">
        <v>143</v>
      </c>
      <c r="M1877" t="s">
        <v>110</v>
      </c>
      <c r="O1877" t="s">
        <v>1000</v>
      </c>
      <c r="P1877" t="s">
        <v>550</v>
      </c>
      <c r="Q1877">
        <v>2022</v>
      </c>
      <c r="R1877" t="s">
        <v>654</v>
      </c>
      <c r="S1877" t="s">
        <v>655</v>
      </c>
      <c r="T1877" t="s">
        <v>553</v>
      </c>
      <c r="U1877" t="b">
        <v>0</v>
      </c>
      <c r="V1877" t="s">
        <v>656</v>
      </c>
      <c r="W1877" t="s">
        <v>587</v>
      </c>
      <c r="X1877" t="s">
        <v>556</v>
      </c>
      <c r="AC1877">
        <v>0</v>
      </c>
      <c r="AD1877" t="s">
        <v>565</v>
      </c>
      <c r="AE1877">
        <v>19897.861669999998</v>
      </c>
      <c r="AF1877">
        <v>2.3397000000000001</v>
      </c>
      <c r="AG1877" t="s">
        <v>588</v>
      </c>
      <c r="AH1877">
        <v>1</v>
      </c>
      <c r="AI1877">
        <v>8504.4500000000007</v>
      </c>
      <c r="AJ1877" t="s">
        <v>561</v>
      </c>
      <c r="AK1877" t="s">
        <v>589</v>
      </c>
      <c r="AL1877" t="s">
        <v>590</v>
      </c>
      <c r="AM1877">
        <v>2022</v>
      </c>
      <c r="AN1877">
        <v>2020</v>
      </c>
      <c r="AO1877">
        <f>IF(AND(emissions[[#This Row],[Market-based]]=0,emissions[[#This Row],[Impact Type]]="CO2E"),emissions[[#This Row],[kgCO2e]],0)/1000</f>
        <v>19.897861669999998</v>
      </c>
      <c r="AP1877">
        <f>IF(AND(emissions[[#This Row],[Market-based]]=1,OR(emissions[[#This Row],[Impact Type]]="CO2E",emissions[[#This Row],[Impact Type]]="CO2E MKT")),emissions[[#This Row],[kgCO2e]],0)/1000</f>
        <v>0</v>
      </c>
      <c r="AQ1877" t="str">
        <f>_xlfn.TEXTAFTER(emissions[[#This Row],[Reporting Unit]]," &gt; ",LEN(emissions[[#This Row],[Reporting Unit]])-LEN(SUBSTITUTE(emissions[[#This Row],[Reporting Unit]],"&gt;","")))</f>
        <v>Vantage_Argentina Farm (Agrinsa)</v>
      </c>
      <c r="AR1877" t="str">
        <f>_xlfn.XLOOKUP(emissions[[#This Row],[Reporting unit name]],hierarchy!$A:$A,hierarchy!$C:$C)</f>
        <v>Labratory</v>
      </c>
    </row>
    <row r="1878" spans="1:44" hidden="1" x14ac:dyDescent="0.25">
      <c r="A1878">
        <v>237491</v>
      </c>
      <c r="B1878" t="s">
        <v>240</v>
      </c>
      <c r="C1878" t="s">
        <v>475</v>
      </c>
      <c r="D1878" t="s">
        <v>548</v>
      </c>
      <c r="E1878" s="3">
        <v>44562</v>
      </c>
      <c r="F1878" s="3">
        <v>44926</v>
      </c>
      <c r="G1878" t="s">
        <v>141</v>
      </c>
      <c r="H1878" s="3">
        <v>44562</v>
      </c>
      <c r="I1878" s="3">
        <v>44926</v>
      </c>
      <c r="J1878" t="s">
        <v>187</v>
      </c>
      <c r="K1878">
        <v>8504.4500000000007</v>
      </c>
      <c r="L1878" t="s">
        <v>143</v>
      </c>
      <c r="M1878" t="s">
        <v>110</v>
      </c>
      <c r="O1878" t="s">
        <v>1000</v>
      </c>
      <c r="P1878" t="s">
        <v>550</v>
      </c>
      <c r="Q1878">
        <v>2022</v>
      </c>
      <c r="R1878" t="s">
        <v>654</v>
      </c>
      <c r="S1878" t="s">
        <v>655</v>
      </c>
      <c r="T1878" t="s">
        <v>553</v>
      </c>
      <c r="U1878" t="b">
        <v>0</v>
      </c>
      <c r="V1878" t="s">
        <v>656</v>
      </c>
      <c r="W1878" t="s">
        <v>587</v>
      </c>
      <c r="X1878" t="s">
        <v>556</v>
      </c>
      <c r="AC1878">
        <v>0</v>
      </c>
      <c r="AD1878" t="s">
        <v>566</v>
      </c>
      <c r="AE1878">
        <v>57.064859499999997</v>
      </c>
      <c r="AF1878">
        <v>6.7099999999999998E-3</v>
      </c>
      <c r="AG1878" t="s">
        <v>588</v>
      </c>
      <c r="AH1878">
        <v>1</v>
      </c>
      <c r="AI1878">
        <v>8504.4500000000007</v>
      </c>
      <c r="AJ1878" t="s">
        <v>561</v>
      </c>
      <c r="AK1878" t="s">
        <v>589</v>
      </c>
      <c r="AL1878" t="s">
        <v>590</v>
      </c>
      <c r="AM1878">
        <v>2022</v>
      </c>
      <c r="AN1878">
        <v>2020</v>
      </c>
      <c r="AO1878">
        <f>IF(AND(emissions[[#This Row],[Market-based]]=0,emissions[[#This Row],[Impact Type]]="CO2E"),emissions[[#This Row],[kgCO2e]],0)/1000</f>
        <v>0</v>
      </c>
      <c r="AP1878">
        <f>IF(AND(emissions[[#This Row],[Market-based]]=1,OR(emissions[[#This Row],[Impact Type]]="CO2E",emissions[[#This Row],[Impact Type]]="CO2E MKT")),emissions[[#This Row],[kgCO2e]],0)/1000</f>
        <v>0</v>
      </c>
      <c r="AQ1878" t="str">
        <f>_xlfn.TEXTAFTER(emissions[[#This Row],[Reporting Unit]]," &gt; ",LEN(emissions[[#This Row],[Reporting Unit]])-LEN(SUBSTITUTE(emissions[[#This Row],[Reporting Unit]],"&gt;","")))</f>
        <v>Vantage_Argentina Farm (Agrinsa)</v>
      </c>
      <c r="AR1878" t="str">
        <f>_xlfn.XLOOKUP(emissions[[#This Row],[Reporting unit name]],hierarchy!$A:$A,hierarchy!$C:$C)</f>
        <v>Labratory</v>
      </c>
    </row>
    <row r="1879" spans="1:44" hidden="1" x14ac:dyDescent="0.25">
      <c r="A1879">
        <v>237491</v>
      </c>
      <c r="B1879" t="s">
        <v>240</v>
      </c>
      <c r="C1879" t="s">
        <v>475</v>
      </c>
      <c r="D1879" t="s">
        <v>548</v>
      </c>
      <c r="E1879" s="3">
        <v>44562</v>
      </c>
      <c r="F1879" s="3">
        <v>44926</v>
      </c>
      <c r="G1879" t="s">
        <v>141</v>
      </c>
      <c r="H1879" s="3">
        <v>44562</v>
      </c>
      <c r="I1879" s="3">
        <v>44926</v>
      </c>
      <c r="J1879" t="s">
        <v>187</v>
      </c>
      <c r="K1879">
        <v>8504.4500000000007</v>
      </c>
      <c r="L1879" t="s">
        <v>143</v>
      </c>
      <c r="M1879" t="s">
        <v>110</v>
      </c>
      <c r="O1879" t="s">
        <v>1000</v>
      </c>
      <c r="P1879" t="s">
        <v>550</v>
      </c>
      <c r="Q1879">
        <v>2022</v>
      </c>
      <c r="R1879" t="s">
        <v>654</v>
      </c>
      <c r="S1879" t="s">
        <v>655</v>
      </c>
      <c r="T1879" t="s">
        <v>553</v>
      </c>
      <c r="U1879" t="b">
        <v>0</v>
      </c>
      <c r="V1879" t="s">
        <v>656</v>
      </c>
      <c r="W1879" t="s">
        <v>587</v>
      </c>
      <c r="X1879" t="s">
        <v>556</v>
      </c>
      <c r="AC1879">
        <v>1</v>
      </c>
      <c r="AD1879" t="s">
        <v>558</v>
      </c>
      <c r="AE1879">
        <v>62.252574000000003</v>
      </c>
      <c r="AF1879">
        <v>7.3200000000000001E-3</v>
      </c>
      <c r="AG1879" t="s">
        <v>588</v>
      </c>
      <c r="AH1879">
        <v>1</v>
      </c>
      <c r="AI1879">
        <v>8504.4500000000007</v>
      </c>
      <c r="AJ1879" t="s">
        <v>561</v>
      </c>
      <c r="AK1879" t="s">
        <v>589</v>
      </c>
      <c r="AL1879" t="s">
        <v>590</v>
      </c>
      <c r="AM1879">
        <v>2022</v>
      </c>
      <c r="AN1879">
        <v>2020</v>
      </c>
      <c r="AO1879">
        <f>IF(AND(emissions[[#This Row],[Market-based]]=0,emissions[[#This Row],[Impact Type]]="CO2E"),emissions[[#This Row],[kgCO2e]],0)/1000</f>
        <v>0</v>
      </c>
      <c r="AP1879">
        <f>IF(AND(emissions[[#This Row],[Market-based]]=1,OR(emissions[[#This Row],[Impact Type]]="CO2E",emissions[[#This Row],[Impact Type]]="CO2E MKT")),emissions[[#This Row],[kgCO2e]],0)/1000</f>
        <v>0</v>
      </c>
      <c r="AQ1879" t="str">
        <f>_xlfn.TEXTAFTER(emissions[[#This Row],[Reporting Unit]]," &gt; ",LEN(emissions[[#This Row],[Reporting Unit]])-LEN(SUBSTITUTE(emissions[[#This Row],[Reporting Unit]],"&gt;","")))</f>
        <v>Vantage_Argentina Farm (Agrinsa)</v>
      </c>
      <c r="AR1879" t="str">
        <f>_xlfn.XLOOKUP(emissions[[#This Row],[Reporting unit name]],hierarchy!$A:$A,hierarchy!$C:$C)</f>
        <v>Labratory</v>
      </c>
    </row>
    <row r="1880" spans="1:44" hidden="1" x14ac:dyDescent="0.25">
      <c r="A1880">
        <v>237491</v>
      </c>
      <c r="B1880" t="s">
        <v>240</v>
      </c>
      <c r="C1880" t="s">
        <v>475</v>
      </c>
      <c r="D1880" t="s">
        <v>548</v>
      </c>
      <c r="E1880" s="3">
        <v>44562</v>
      </c>
      <c r="F1880" s="3">
        <v>44926</v>
      </c>
      <c r="G1880" t="s">
        <v>141</v>
      </c>
      <c r="H1880" s="3">
        <v>44562</v>
      </c>
      <c r="I1880" s="3">
        <v>44926</v>
      </c>
      <c r="J1880" t="s">
        <v>187</v>
      </c>
      <c r="K1880">
        <v>8504.4500000000007</v>
      </c>
      <c r="L1880" t="s">
        <v>143</v>
      </c>
      <c r="M1880" t="s">
        <v>110</v>
      </c>
      <c r="O1880" t="s">
        <v>1000</v>
      </c>
      <c r="P1880" t="s">
        <v>550</v>
      </c>
      <c r="Q1880">
        <v>2022</v>
      </c>
      <c r="R1880" t="s">
        <v>654</v>
      </c>
      <c r="S1880" t="s">
        <v>655</v>
      </c>
      <c r="T1880" t="s">
        <v>553</v>
      </c>
      <c r="U1880" t="b">
        <v>0</v>
      </c>
      <c r="V1880" t="s">
        <v>656</v>
      </c>
      <c r="W1880" t="s">
        <v>587</v>
      </c>
      <c r="X1880" t="s">
        <v>556</v>
      </c>
      <c r="AC1880">
        <v>1</v>
      </c>
      <c r="AD1880" t="s">
        <v>564</v>
      </c>
      <c r="AE1880">
        <v>19778.54423</v>
      </c>
      <c r="AF1880">
        <v>2.3256700000000001</v>
      </c>
      <c r="AG1880" t="s">
        <v>588</v>
      </c>
      <c r="AH1880">
        <v>1</v>
      </c>
      <c r="AI1880">
        <v>8504.4500000000007</v>
      </c>
      <c r="AJ1880" t="s">
        <v>561</v>
      </c>
      <c r="AK1880" t="s">
        <v>589</v>
      </c>
      <c r="AL1880" t="s">
        <v>590</v>
      </c>
      <c r="AM1880">
        <v>2022</v>
      </c>
      <c r="AN1880">
        <v>2020</v>
      </c>
      <c r="AO1880">
        <f>IF(AND(emissions[[#This Row],[Market-based]]=0,emissions[[#This Row],[Impact Type]]="CO2E"),emissions[[#This Row],[kgCO2e]],0)/1000</f>
        <v>0</v>
      </c>
      <c r="AP1880">
        <f>IF(AND(emissions[[#This Row],[Market-based]]=1,OR(emissions[[#This Row],[Impact Type]]="CO2E",emissions[[#This Row],[Impact Type]]="CO2E MKT")),emissions[[#This Row],[kgCO2e]],0)/1000</f>
        <v>0</v>
      </c>
      <c r="AQ1880" t="str">
        <f>_xlfn.TEXTAFTER(emissions[[#This Row],[Reporting Unit]]," &gt; ",LEN(emissions[[#This Row],[Reporting Unit]])-LEN(SUBSTITUTE(emissions[[#This Row],[Reporting Unit]],"&gt;","")))</f>
        <v>Vantage_Argentina Farm (Agrinsa)</v>
      </c>
      <c r="AR1880" t="str">
        <f>_xlfn.XLOOKUP(emissions[[#This Row],[Reporting unit name]],hierarchy!$A:$A,hierarchy!$C:$C)</f>
        <v>Labratory</v>
      </c>
    </row>
    <row r="1881" spans="1:44" hidden="1" x14ac:dyDescent="0.25">
      <c r="A1881">
        <v>237491</v>
      </c>
      <c r="B1881" t="s">
        <v>240</v>
      </c>
      <c r="C1881" t="s">
        <v>475</v>
      </c>
      <c r="D1881" t="s">
        <v>548</v>
      </c>
      <c r="E1881" s="3">
        <v>44562</v>
      </c>
      <c r="F1881" s="3">
        <v>44926</v>
      </c>
      <c r="G1881" t="s">
        <v>141</v>
      </c>
      <c r="H1881" s="3">
        <v>44562</v>
      </c>
      <c r="I1881" s="3">
        <v>44926</v>
      </c>
      <c r="J1881" t="s">
        <v>187</v>
      </c>
      <c r="K1881">
        <v>8504.4500000000007</v>
      </c>
      <c r="L1881" t="s">
        <v>143</v>
      </c>
      <c r="M1881" t="s">
        <v>110</v>
      </c>
      <c r="O1881" t="s">
        <v>1000</v>
      </c>
      <c r="P1881" t="s">
        <v>550</v>
      </c>
      <c r="Q1881">
        <v>2022</v>
      </c>
      <c r="R1881" t="s">
        <v>654</v>
      </c>
      <c r="S1881" t="s">
        <v>655</v>
      </c>
      <c r="T1881" t="s">
        <v>553</v>
      </c>
      <c r="U1881" t="b">
        <v>0</v>
      </c>
      <c r="V1881" t="s">
        <v>656</v>
      </c>
      <c r="W1881" t="s">
        <v>587</v>
      </c>
      <c r="X1881" t="s">
        <v>556</v>
      </c>
      <c r="AC1881">
        <v>1</v>
      </c>
      <c r="AD1881" t="s">
        <v>565</v>
      </c>
      <c r="AE1881">
        <v>19897.861669999998</v>
      </c>
      <c r="AF1881">
        <v>2.3397000000000001</v>
      </c>
      <c r="AG1881" t="s">
        <v>588</v>
      </c>
      <c r="AH1881">
        <v>1</v>
      </c>
      <c r="AI1881">
        <v>8504.4500000000007</v>
      </c>
      <c r="AJ1881" t="s">
        <v>561</v>
      </c>
      <c r="AK1881" t="s">
        <v>589</v>
      </c>
      <c r="AL1881" t="s">
        <v>590</v>
      </c>
      <c r="AM1881">
        <v>2022</v>
      </c>
      <c r="AN1881">
        <v>2020</v>
      </c>
      <c r="AO1881">
        <f>IF(AND(emissions[[#This Row],[Market-based]]=0,emissions[[#This Row],[Impact Type]]="CO2E"),emissions[[#This Row],[kgCO2e]],0)/1000</f>
        <v>0</v>
      </c>
      <c r="AP1881">
        <f>IF(AND(emissions[[#This Row],[Market-based]]=1,OR(emissions[[#This Row],[Impact Type]]="CO2E",emissions[[#This Row],[Impact Type]]="CO2E MKT")),emissions[[#This Row],[kgCO2e]],0)/1000</f>
        <v>19.897861669999998</v>
      </c>
      <c r="AQ1881" t="str">
        <f>_xlfn.TEXTAFTER(emissions[[#This Row],[Reporting Unit]]," &gt; ",LEN(emissions[[#This Row],[Reporting Unit]])-LEN(SUBSTITUTE(emissions[[#This Row],[Reporting Unit]],"&gt;","")))</f>
        <v>Vantage_Argentina Farm (Agrinsa)</v>
      </c>
      <c r="AR1881" t="str">
        <f>_xlfn.XLOOKUP(emissions[[#This Row],[Reporting unit name]],hierarchy!$A:$A,hierarchy!$C:$C)</f>
        <v>Labratory</v>
      </c>
    </row>
    <row r="1882" spans="1:44" hidden="1" x14ac:dyDescent="0.25">
      <c r="A1882">
        <v>237491</v>
      </c>
      <c r="B1882" t="s">
        <v>240</v>
      </c>
      <c r="C1882" t="s">
        <v>475</v>
      </c>
      <c r="D1882" t="s">
        <v>548</v>
      </c>
      <c r="E1882" s="3">
        <v>44562</v>
      </c>
      <c r="F1882" s="3">
        <v>44926</v>
      </c>
      <c r="G1882" t="s">
        <v>141</v>
      </c>
      <c r="H1882" s="3">
        <v>44562</v>
      </c>
      <c r="I1882" s="3">
        <v>44926</v>
      </c>
      <c r="J1882" t="s">
        <v>187</v>
      </c>
      <c r="K1882">
        <v>8504.4500000000007</v>
      </c>
      <c r="L1882" t="s">
        <v>143</v>
      </c>
      <c r="M1882" t="s">
        <v>110</v>
      </c>
      <c r="O1882" t="s">
        <v>1000</v>
      </c>
      <c r="P1882" t="s">
        <v>550</v>
      </c>
      <c r="Q1882">
        <v>2022</v>
      </c>
      <c r="R1882" t="s">
        <v>654</v>
      </c>
      <c r="S1882" t="s">
        <v>655</v>
      </c>
      <c r="T1882" t="s">
        <v>553</v>
      </c>
      <c r="U1882" t="b">
        <v>0</v>
      </c>
      <c r="V1882" t="s">
        <v>656</v>
      </c>
      <c r="W1882" t="s">
        <v>587</v>
      </c>
      <c r="X1882" t="s">
        <v>556</v>
      </c>
      <c r="AC1882">
        <v>1</v>
      </c>
      <c r="AD1882" t="s">
        <v>566</v>
      </c>
      <c r="AE1882">
        <v>57.064859499999997</v>
      </c>
      <c r="AF1882">
        <v>6.7099999999999998E-3</v>
      </c>
      <c r="AG1882" t="s">
        <v>588</v>
      </c>
      <c r="AH1882">
        <v>1</v>
      </c>
      <c r="AI1882">
        <v>8504.4500000000007</v>
      </c>
      <c r="AJ1882" t="s">
        <v>561</v>
      </c>
      <c r="AK1882" t="s">
        <v>589</v>
      </c>
      <c r="AL1882" t="s">
        <v>590</v>
      </c>
      <c r="AM1882">
        <v>2022</v>
      </c>
      <c r="AN1882">
        <v>2020</v>
      </c>
      <c r="AO1882">
        <f>IF(AND(emissions[[#This Row],[Market-based]]=0,emissions[[#This Row],[Impact Type]]="CO2E"),emissions[[#This Row],[kgCO2e]],0)/1000</f>
        <v>0</v>
      </c>
      <c r="AP1882">
        <f>IF(AND(emissions[[#This Row],[Market-based]]=1,OR(emissions[[#This Row],[Impact Type]]="CO2E",emissions[[#This Row],[Impact Type]]="CO2E MKT")),emissions[[#This Row],[kgCO2e]],0)/1000</f>
        <v>0</v>
      </c>
      <c r="AQ1882" t="str">
        <f>_xlfn.TEXTAFTER(emissions[[#This Row],[Reporting Unit]]," &gt; ",LEN(emissions[[#This Row],[Reporting Unit]])-LEN(SUBSTITUTE(emissions[[#This Row],[Reporting Unit]],"&gt;","")))</f>
        <v>Vantage_Argentina Farm (Agrinsa)</v>
      </c>
      <c r="AR1882" t="str">
        <f>_xlfn.XLOOKUP(emissions[[#This Row],[Reporting unit name]],hierarchy!$A:$A,hierarchy!$C:$C)</f>
        <v>Labratory</v>
      </c>
    </row>
    <row r="1883" spans="1:44" hidden="1" x14ac:dyDescent="0.25">
      <c r="A1883">
        <v>237491</v>
      </c>
      <c r="B1883" t="s">
        <v>240</v>
      </c>
      <c r="C1883" t="s">
        <v>475</v>
      </c>
      <c r="D1883" t="s">
        <v>548</v>
      </c>
      <c r="E1883" s="3">
        <v>44562</v>
      </c>
      <c r="F1883" s="3">
        <v>44926</v>
      </c>
      <c r="G1883" t="s">
        <v>141</v>
      </c>
      <c r="H1883" s="3">
        <v>44562</v>
      </c>
      <c r="I1883" s="3">
        <v>44926</v>
      </c>
      <c r="J1883" t="s">
        <v>187</v>
      </c>
      <c r="K1883">
        <v>8504.4500000000007</v>
      </c>
      <c r="L1883" t="s">
        <v>143</v>
      </c>
      <c r="M1883" t="s">
        <v>110</v>
      </c>
      <c r="O1883" t="s">
        <v>1000</v>
      </c>
      <c r="P1883" t="s">
        <v>550</v>
      </c>
      <c r="Q1883">
        <v>2022</v>
      </c>
      <c r="R1883" t="s">
        <v>657</v>
      </c>
      <c r="S1883" t="s">
        <v>658</v>
      </c>
      <c r="T1883" t="s">
        <v>577</v>
      </c>
      <c r="U1883" t="b">
        <v>0</v>
      </c>
      <c r="V1883" t="s">
        <v>906</v>
      </c>
      <c r="W1883" t="s">
        <v>571</v>
      </c>
      <c r="X1883" t="s">
        <v>572</v>
      </c>
      <c r="AC1883">
        <v>0</v>
      </c>
      <c r="AD1883" t="s">
        <v>565</v>
      </c>
      <c r="AE1883">
        <v>5126.7375940000002</v>
      </c>
      <c r="AF1883">
        <v>0.60282999999999998</v>
      </c>
      <c r="AG1883" t="s">
        <v>588</v>
      </c>
      <c r="AH1883">
        <v>1</v>
      </c>
      <c r="AI1883">
        <v>8504.4500000000007</v>
      </c>
      <c r="AJ1883" t="s">
        <v>561</v>
      </c>
      <c r="AK1883" t="s">
        <v>589</v>
      </c>
      <c r="AL1883" t="s">
        <v>590</v>
      </c>
      <c r="AM1883">
        <v>2022</v>
      </c>
      <c r="AN1883">
        <v>2020</v>
      </c>
      <c r="AO1883">
        <f>IF(AND(emissions[[#This Row],[Market-based]]=0,emissions[[#This Row],[Impact Type]]="CO2E"),emissions[[#This Row],[kgCO2e]],0)/1000</f>
        <v>5.1267375939999997</v>
      </c>
      <c r="AP1883">
        <f>IF(AND(emissions[[#This Row],[Market-based]]=1,OR(emissions[[#This Row],[Impact Type]]="CO2E",emissions[[#This Row],[Impact Type]]="CO2E MKT")),emissions[[#This Row],[kgCO2e]],0)/1000</f>
        <v>0</v>
      </c>
      <c r="AQ1883" t="str">
        <f>_xlfn.TEXTAFTER(emissions[[#This Row],[Reporting Unit]]," &gt; ",LEN(emissions[[#This Row],[Reporting Unit]])-LEN(SUBSTITUTE(emissions[[#This Row],[Reporting Unit]],"&gt;","")))</f>
        <v>Vantage_Argentina Farm (Agrinsa)</v>
      </c>
      <c r="AR1883" t="str">
        <f>_xlfn.XLOOKUP(emissions[[#This Row],[Reporting unit name]],hierarchy!$A:$A,hierarchy!$C:$C)</f>
        <v>Labratory</v>
      </c>
    </row>
    <row r="1884" spans="1:44" hidden="1" x14ac:dyDescent="0.25">
      <c r="A1884">
        <v>237491</v>
      </c>
      <c r="B1884" t="s">
        <v>240</v>
      </c>
      <c r="C1884" t="s">
        <v>475</v>
      </c>
      <c r="D1884" t="s">
        <v>548</v>
      </c>
      <c r="E1884" s="3">
        <v>44562</v>
      </c>
      <c r="F1884" s="3">
        <v>44926</v>
      </c>
      <c r="G1884" t="s">
        <v>141</v>
      </c>
      <c r="H1884" s="3">
        <v>44562</v>
      </c>
      <c r="I1884" s="3">
        <v>44926</v>
      </c>
      <c r="J1884" t="s">
        <v>187</v>
      </c>
      <c r="K1884">
        <v>8504.4500000000007</v>
      </c>
      <c r="L1884" t="s">
        <v>143</v>
      </c>
      <c r="M1884" t="s">
        <v>110</v>
      </c>
      <c r="O1884" t="s">
        <v>1000</v>
      </c>
      <c r="P1884" t="s">
        <v>550</v>
      </c>
      <c r="Q1884">
        <v>2022</v>
      </c>
      <c r="R1884" t="s">
        <v>657</v>
      </c>
      <c r="S1884" t="s">
        <v>658</v>
      </c>
      <c r="T1884" t="s">
        <v>577</v>
      </c>
      <c r="U1884" t="b">
        <v>0</v>
      </c>
      <c r="V1884" t="s">
        <v>906</v>
      </c>
      <c r="W1884" t="s">
        <v>571</v>
      </c>
      <c r="X1884" t="s">
        <v>572</v>
      </c>
      <c r="AC1884">
        <v>1</v>
      </c>
      <c r="AD1884" t="s">
        <v>565</v>
      </c>
      <c r="AE1884">
        <v>5126.7375940000002</v>
      </c>
      <c r="AF1884">
        <v>0.60282999999999998</v>
      </c>
      <c r="AG1884" t="s">
        <v>588</v>
      </c>
      <c r="AH1884">
        <v>1</v>
      </c>
      <c r="AI1884">
        <v>8504.4500000000007</v>
      </c>
      <c r="AJ1884" t="s">
        <v>561</v>
      </c>
      <c r="AK1884" t="s">
        <v>589</v>
      </c>
      <c r="AL1884" t="s">
        <v>590</v>
      </c>
      <c r="AM1884">
        <v>2022</v>
      </c>
      <c r="AN1884">
        <v>2020</v>
      </c>
      <c r="AO1884">
        <f>IF(AND(emissions[[#This Row],[Market-based]]=0,emissions[[#This Row],[Impact Type]]="CO2E"),emissions[[#This Row],[kgCO2e]],0)/1000</f>
        <v>0</v>
      </c>
      <c r="AP1884">
        <f>IF(AND(emissions[[#This Row],[Market-based]]=1,OR(emissions[[#This Row],[Impact Type]]="CO2E",emissions[[#This Row],[Impact Type]]="CO2E MKT")),emissions[[#This Row],[kgCO2e]],0)/1000</f>
        <v>5.1267375939999997</v>
      </c>
      <c r="AQ1884" t="str">
        <f>_xlfn.TEXTAFTER(emissions[[#This Row],[Reporting Unit]]," &gt; ",LEN(emissions[[#This Row],[Reporting Unit]])-LEN(SUBSTITUTE(emissions[[#This Row],[Reporting Unit]],"&gt;","")))</f>
        <v>Vantage_Argentina Farm (Agrinsa)</v>
      </c>
      <c r="AR1884" t="str">
        <f>_xlfn.XLOOKUP(emissions[[#This Row],[Reporting unit name]],hierarchy!$A:$A,hierarchy!$C:$C)</f>
        <v>Labratory</v>
      </c>
    </row>
    <row r="1885" spans="1:44" hidden="1" x14ac:dyDescent="0.25">
      <c r="A1885">
        <v>237493</v>
      </c>
      <c r="B1885" t="s">
        <v>240</v>
      </c>
      <c r="C1885" t="s">
        <v>475</v>
      </c>
      <c r="D1885" t="s">
        <v>548</v>
      </c>
      <c r="E1885" s="3">
        <v>44562</v>
      </c>
      <c r="F1885" s="3">
        <v>44926</v>
      </c>
      <c r="G1885" t="s">
        <v>141</v>
      </c>
      <c r="H1885" s="3">
        <v>44562</v>
      </c>
      <c r="I1885" s="3">
        <v>44926</v>
      </c>
      <c r="J1885" t="s">
        <v>187</v>
      </c>
      <c r="K1885">
        <v>116.31</v>
      </c>
      <c r="L1885" t="s">
        <v>143</v>
      </c>
      <c r="M1885" t="s">
        <v>110</v>
      </c>
      <c r="O1885" t="s">
        <v>1000</v>
      </c>
      <c r="P1885" t="s">
        <v>550</v>
      </c>
      <c r="Q1885">
        <v>2022</v>
      </c>
      <c r="R1885" t="s">
        <v>654</v>
      </c>
      <c r="S1885" t="s">
        <v>655</v>
      </c>
      <c r="T1885" t="s">
        <v>553</v>
      </c>
      <c r="U1885" t="b">
        <v>0</v>
      </c>
      <c r="V1885" t="s">
        <v>656</v>
      </c>
      <c r="W1885" t="s">
        <v>587</v>
      </c>
      <c r="X1885" t="s">
        <v>556</v>
      </c>
      <c r="AC1885">
        <v>0</v>
      </c>
      <c r="AD1885" t="s">
        <v>558</v>
      </c>
      <c r="AE1885">
        <v>0.85138919999999996</v>
      </c>
      <c r="AF1885">
        <v>7.3200000000000001E-3</v>
      </c>
      <c r="AG1885" t="s">
        <v>588</v>
      </c>
      <c r="AH1885">
        <v>1</v>
      </c>
      <c r="AI1885">
        <v>116.31</v>
      </c>
      <c r="AJ1885" t="s">
        <v>561</v>
      </c>
      <c r="AK1885" t="s">
        <v>589</v>
      </c>
      <c r="AL1885" t="s">
        <v>590</v>
      </c>
      <c r="AM1885">
        <v>2022</v>
      </c>
      <c r="AN1885">
        <v>2020</v>
      </c>
      <c r="AO1885">
        <f>IF(AND(emissions[[#This Row],[Market-based]]=0,emissions[[#This Row],[Impact Type]]="CO2E"),emissions[[#This Row],[kgCO2e]],0)/1000</f>
        <v>0</v>
      </c>
      <c r="AP1885">
        <f>IF(AND(emissions[[#This Row],[Market-based]]=1,OR(emissions[[#This Row],[Impact Type]]="CO2E",emissions[[#This Row],[Impact Type]]="CO2E MKT")),emissions[[#This Row],[kgCO2e]],0)/1000</f>
        <v>0</v>
      </c>
      <c r="AQ1885" t="str">
        <f>_xlfn.TEXTAFTER(emissions[[#This Row],[Reporting Unit]]," &gt; ",LEN(emissions[[#This Row],[Reporting Unit]])-LEN(SUBSTITUTE(emissions[[#This Row],[Reporting Unit]],"&gt;","")))</f>
        <v>Vantage_Argentina Farm (Agrinsa)</v>
      </c>
      <c r="AR1885" t="str">
        <f>_xlfn.XLOOKUP(emissions[[#This Row],[Reporting unit name]],hierarchy!$A:$A,hierarchy!$C:$C)</f>
        <v>Labratory</v>
      </c>
    </row>
    <row r="1886" spans="1:44" hidden="1" x14ac:dyDescent="0.25">
      <c r="A1886">
        <v>237493</v>
      </c>
      <c r="B1886" t="s">
        <v>240</v>
      </c>
      <c r="C1886" t="s">
        <v>475</v>
      </c>
      <c r="D1886" t="s">
        <v>548</v>
      </c>
      <c r="E1886" s="3">
        <v>44562</v>
      </c>
      <c r="F1886" s="3">
        <v>44926</v>
      </c>
      <c r="G1886" t="s">
        <v>141</v>
      </c>
      <c r="H1886" s="3">
        <v>44562</v>
      </c>
      <c r="I1886" s="3">
        <v>44926</v>
      </c>
      <c r="J1886" t="s">
        <v>187</v>
      </c>
      <c r="K1886">
        <v>116.31</v>
      </c>
      <c r="L1886" t="s">
        <v>143</v>
      </c>
      <c r="M1886" t="s">
        <v>110</v>
      </c>
      <c r="O1886" t="s">
        <v>1000</v>
      </c>
      <c r="P1886" t="s">
        <v>550</v>
      </c>
      <c r="Q1886">
        <v>2022</v>
      </c>
      <c r="R1886" t="s">
        <v>654</v>
      </c>
      <c r="S1886" t="s">
        <v>655</v>
      </c>
      <c r="T1886" t="s">
        <v>553</v>
      </c>
      <c r="U1886" t="b">
        <v>0</v>
      </c>
      <c r="V1886" t="s">
        <v>656</v>
      </c>
      <c r="W1886" t="s">
        <v>587</v>
      </c>
      <c r="X1886" t="s">
        <v>556</v>
      </c>
      <c r="AC1886">
        <v>0</v>
      </c>
      <c r="AD1886" t="s">
        <v>564</v>
      </c>
      <c r="AE1886">
        <v>270.49867769999997</v>
      </c>
      <c r="AF1886">
        <v>2.3256700000000001</v>
      </c>
      <c r="AG1886" t="s">
        <v>588</v>
      </c>
      <c r="AH1886">
        <v>1</v>
      </c>
      <c r="AI1886">
        <v>116.31</v>
      </c>
      <c r="AJ1886" t="s">
        <v>561</v>
      </c>
      <c r="AK1886" t="s">
        <v>589</v>
      </c>
      <c r="AL1886" t="s">
        <v>590</v>
      </c>
      <c r="AM1886">
        <v>2022</v>
      </c>
      <c r="AN1886">
        <v>2020</v>
      </c>
      <c r="AO1886">
        <f>IF(AND(emissions[[#This Row],[Market-based]]=0,emissions[[#This Row],[Impact Type]]="CO2E"),emissions[[#This Row],[kgCO2e]],0)/1000</f>
        <v>0</v>
      </c>
      <c r="AP1886">
        <f>IF(AND(emissions[[#This Row],[Market-based]]=1,OR(emissions[[#This Row],[Impact Type]]="CO2E",emissions[[#This Row],[Impact Type]]="CO2E MKT")),emissions[[#This Row],[kgCO2e]],0)/1000</f>
        <v>0</v>
      </c>
      <c r="AQ1886" t="str">
        <f>_xlfn.TEXTAFTER(emissions[[#This Row],[Reporting Unit]]," &gt; ",LEN(emissions[[#This Row],[Reporting Unit]])-LEN(SUBSTITUTE(emissions[[#This Row],[Reporting Unit]],"&gt;","")))</f>
        <v>Vantage_Argentina Farm (Agrinsa)</v>
      </c>
      <c r="AR1886" t="str">
        <f>_xlfn.XLOOKUP(emissions[[#This Row],[Reporting unit name]],hierarchy!$A:$A,hierarchy!$C:$C)</f>
        <v>Labratory</v>
      </c>
    </row>
    <row r="1887" spans="1:44" hidden="1" x14ac:dyDescent="0.25">
      <c r="A1887">
        <v>237493</v>
      </c>
      <c r="B1887" t="s">
        <v>240</v>
      </c>
      <c r="C1887" t="s">
        <v>475</v>
      </c>
      <c r="D1887" t="s">
        <v>548</v>
      </c>
      <c r="E1887" s="3">
        <v>44562</v>
      </c>
      <c r="F1887" s="3">
        <v>44926</v>
      </c>
      <c r="G1887" t="s">
        <v>141</v>
      </c>
      <c r="H1887" s="3">
        <v>44562</v>
      </c>
      <c r="I1887" s="3">
        <v>44926</v>
      </c>
      <c r="J1887" t="s">
        <v>187</v>
      </c>
      <c r="K1887">
        <v>116.31</v>
      </c>
      <c r="L1887" t="s">
        <v>143</v>
      </c>
      <c r="M1887" t="s">
        <v>110</v>
      </c>
      <c r="O1887" t="s">
        <v>1000</v>
      </c>
      <c r="P1887" t="s">
        <v>550</v>
      </c>
      <c r="Q1887">
        <v>2022</v>
      </c>
      <c r="R1887" t="s">
        <v>654</v>
      </c>
      <c r="S1887" t="s">
        <v>655</v>
      </c>
      <c r="T1887" t="s">
        <v>553</v>
      </c>
      <c r="U1887" t="b">
        <v>0</v>
      </c>
      <c r="V1887" t="s">
        <v>656</v>
      </c>
      <c r="W1887" t="s">
        <v>587</v>
      </c>
      <c r="X1887" t="s">
        <v>556</v>
      </c>
      <c r="AC1887">
        <v>0</v>
      </c>
      <c r="AD1887" t="s">
        <v>565</v>
      </c>
      <c r="AE1887">
        <v>272.13050700000002</v>
      </c>
      <c r="AF1887">
        <v>2.3397000000000001</v>
      </c>
      <c r="AG1887" t="s">
        <v>588</v>
      </c>
      <c r="AH1887">
        <v>1</v>
      </c>
      <c r="AI1887">
        <v>116.31</v>
      </c>
      <c r="AJ1887" t="s">
        <v>561</v>
      </c>
      <c r="AK1887" t="s">
        <v>589</v>
      </c>
      <c r="AL1887" t="s">
        <v>590</v>
      </c>
      <c r="AM1887">
        <v>2022</v>
      </c>
      <c r="AN1887">
        <v>2020</v>
      </c>
      <c r="AO1887">
        <f>IF(AND(emissions[[#This Row],[Market-based]]=0,emissions[[#This Row],[Impact Type]]="CO2E"),emissions[[#This Row],[kgCO2e]],0)/1000</f>
        <v>0.27213050700000002</v>
      </c>
      <c r="AP1887">
        <f>IF(AND(emissions[[#This Row],[Market-based]]=1,OR(emissions[[#This Row],[Impact Type]]="CO2E",emissions[[#This Row],[Impact Type]]="CO2E MKT")),emissions[[#This Row],[kgCO2e]],0)/1000</f>
        <v>0</v>
      </c>
      <c r="AQ1887" t="str">
        <f>_xlfn.TEXTAFTER(emissions[[#This Row],[Reporting Unit]]," &gt; ",LEN(emissions[[#This Row],[Reporting Unit]])-LEN(SUBSTITUTE(emissions[[#This Row],[Reporting Unit]],"&gt;","")))</f>
        <v>Vantage_Argentina Farm (Agrinsa)</v>
      </c>
      <c r="AR1887" t="str">
        <f>_xlfn.XLOOKUP(emissions[[#This Row],[Reporting unit name]],hierarchy!$A:$A,hierarchy!$C:$C)</f>
        <v>Labratory</v>
      </c>
    </row>
    <row r="1888" spans="1:44" hidden="1" x14ac:dyDescent="0.25">
      <c r="A1888">
        <v>237493</v>
      </c>
      <c r="B1888" t="s">
        <v>240</v>
      </c>
      <c r="C1888" t="s">
        <v>475</v>
      </c>
      <c r="D1888" t="s">
        <v>548</v>
      </c>
      <c r="E1888" s="3">
        <v>44562</v>
      </c>
      <c r="F1888" s="3">
        <v>44926</v>
      </c>
      <c r="G1888" t="s">
        <v>141</v>
      </c>
      <c r="H1888" s="3">
        <v>44562</v>
      </c>
      <c r="I1888" s="3">
        <v>44926</v>
      </c>
      <c r="J1888" t="s">
        <v>187</v>
      </c>
      <c r="K1888">
        <v>116.31</v>
      </c>
      <c r="L1888" t="s">
        <v>143</v>
      </c>
      <c r="M1888" t="s">
        <v>110</v>
      </c>
      <c r="O1888" t="s">
        <v>1000</v>
      </c>
      <c r="P1888" t="s">
        <v>550</v>
      </c>
      <c r="Q1888">
        <v>2022</v>
      </c>
      <c r="R1888" t="s">
        <v>654</v>
      </c>
      <c r="S1888" t="s">
        <v>655</v>
      </c>
      <c r="T1888" t="s">
        <v>553</v>
      </c>
      <c r="U1888" t="b">
        <v>0</v>
      </c>
      <c r="V1888" t="s">
        <v>656</v>
      </c>
      <c r="W1888" t="s">
        <v>587</v>
      </c>
      <c r="X1888" t="s">
        <v>556</v>
      </c>
      <c r="AC1888">
        <v>0</v>
      </c>
      <c r="AD1888" t="s">
        <v>566</v>
      </c>
      <c r="AE1888">
        <v>0.78044009999999997</v>
      </c>
      <c r="AF1888">
        <v>6.7099999999999998E-3</v>
      </c>
      <c r="AG1888" t="s">
        <v>588</v>
      </c>
      <c r="AH1888">
        <v>1</v>
      </c>
      <c r="AI1888">
        <v>116.31</v>
      </c>
      <c r="AJ1888" t="s">
        <v>561</v>
      </c>
      <c r="AK1888" t="s">
        <v>589</v>
      </c>
      <c r="AL1888" t="s">
        <v>590</v>
      </c>
      <c r="AM1888">
        <v>2022</v>
      </c>
      <c r="AN1888">
        <v>2020</v>
      </c>
      <c r="AO1888">
        <f>IF(AND(emissions[[#This Row],[Market-based]]=0,emissions[[#This Row],[Impact Type]]="CO2E"),emissions[[#This Row],[kgCO2e]],0)/1000</f>
        <v>0</v>
      </c>
      <c r="AP1888">
        <f>IF(AND(emissions[[#This Row],[Market-based]]=1,OR(emissions[[#This Row],[Impact Type]]="CO2E",emissions[[#This Row],[Impact Type]]="CO2E MKT")),emissions[[#This Row],[kgCO2e]],0)/1000</f>
        <v>0</v>
      </c>
      <c r="AQ1888" t="str">
        <f>_xlfn.TEXTAFTER(emissions[[#This Row],[Reporting Unit]]," &gt; ",LEN(emissions[[#This Row],[Reporting Unit]])-LEN(SUBSTITUTE(emissions[[#This Row],[Reporting Unit]],"&gt;","")))</f>
        <v>Vantage_Argentina Farm (Agrinsa)</v>
      </c>
      <c r="AR1888" t="str">
        <f>_xlfn.XLOOKUP(emissions[[#This Row],[Reporting unit name]],hierarchy!$A:$A,hierarchy!$C:$C)</f>
        <v>Labratory</v>
      </c>
    </row>
    <row r="1889" spans="1:44" hidden="1" x14ac:dyDescent="0.25">
      <c r="A1889">
        <v>237493</v>
      </c>
      <c r="B1889" t="s">
        <v>240</v>
      </c>
      <c r="C1889" t="s">
        <v>475</v>
      </c>
      <c r="D1889" t="s">
        <v>548</v>
      </c>
      <c r="E1889" s="3">
        <v>44562</v>
      </c>
      <c r="F1889" s="3">
        <v>44926</v>
      </c>
      <c r="G1889" t="s">
        <v>141</v>
      </c>
      <c r="H1889" s="3">
        <v>44562</v>
      </c>
      <c r="I1889" s="3">
        <v>44926</v>
      </c>
      <c r="J1889" t="s">
        <v>187</v>
      </c>
      <c r="K1889">
        <v>116.31</v>
      </c>
      <c r="L1889" t="s">
        <v>143</v>
      </c>
      <c r="M1889" t="s">
        <v>110</v>
      </c>
      <c r="O1889" t="s">
        <v>1000</v>
      </c>
      <c r="P1889" t="s">
        <v>550</v>
      </c>
      <c r="Q1889">
        <v>2022</v>
      </c>
      <c r="R1889" t="s">
        <v>654</v>
      </c>
      <c r="S1889" t="s">
        <v>655</v>
      </c>
      <c r="T1889" t="s">
        <v>553</v>
      </c>
      <c r="U1889" t="b">
        <v>0</v>
      </c>
      <c r="V1889" t="s">
        <v>656</v>
      </c>
      <c r="W1889" t="s">
        <v>587</v>
      </c>
      <c r="X1889" t="s">
        <v>556</v>
      </c>
      <c r="AC1889">
        <v>1</v>
      </c>
      <c r="AD1889" t="s">
        <v>558</v>
      </c>
      <c r="AE1889">
        <v>0.85138919999999996</v>
      </c>
      <c r="AF1889">
        <v>7.3200000000000001E-3</v>
      </c>
      <c r="AG1889" t="s">
        <v>588</v>
      </c>
      <c r="AH1889">
        <v>1</v>
      </c>
      <c r="AI1889">
        <v>116.31</v>
      </c>
      <c r="AJ1889" t="s">
        <v>561</v>
      </c>
      <c r="AK1889" t="s">
        <v>589</v>
      </c>
      <c r="AL1889" t="s">
        <v>590</v>
      </c>
      <c r="AM1889">
        <v>2022</v>
      </c>
      <c r="AN1889">
        <v>2020</v>
      </c>
      <c r="AO1889">
        <f>IF(AND(emissions[[#This Row],[Market-based]]=0,emissions[[#This Row],[Impact Type]]="CO2E"),emissions[[#This Row],[kgCO2e]],0)/1000</f>
        <v>0</v>
      </c>
      <c r="AP1889">
        <f>IF(AND(emissions[[#This Row],[Market-based]]=1,OR(emissions[[#This Row],[Impact Type]]="CO2E",emissions[[#This Row],[Impact Type]]="CO2E MKT")),emissions[[#This Row],[kgCO2e]],0)/1000</f>
        <v>0</v>
      </c>
      <c r="AQ1889" t="str">
        <f>_xlfn.TEXTAFTER(emissions[[#This Row],[Reporting Unit]]," &gt; ",LEN(emissions[[#This Row],[Reporting Unit]])-LEN(SUBSTITUTE(emissions[[#This Row],[Reporting Unit]],"&gt;","")))</f>
        <v>Vantage_Argentina Farm (Agrinsa)</v>
      </c>
      <c r="AR1889" t="str">
        <f>_xlfn.XLOOKUP(emissions[[#This Row],[Reporting unit name]],hierarchy!$A:$A,hierarchy!$C:$C)</f>
        <v>Labratory</v>
      </c>
    </row>
    <row r="1890" spans="1:44" hidden="1" x14ac:dyDescent="0.25">
      <c r="A1890">
        <v>237493</v>
      </c>
      <c r="B1890" t="s">
        <v>240</v>
      </c>
      <c r="C1890" t="s">
        <v>475</v>
      </c>
      <c r="D1890" t="s">
        <v>548</v>
      </c>
      <c r="E1890" s="3">
        <v>44562</v>
      </c>
      <c r="F1890" s="3">
        <v>44926</v>
      </c>
      <c r="G1890" t="s">
        <v>141</v>
      </c>
      <c r="H1890" s="3">
        <v>44562</v>
      </c>
      <c r="I1890" s="3">
        <v>44926</v>
      </c>
      <c r="J1890" t="s">
        <v>187</v>
      </c>
      <c r="K1890">
        <v>116.31</v>
      </c>
      <c r="L1890" t="s">
        <v>143</v>
      </c>
      <c r="M1890" t="s">
        <v>110</v>
      </c>
      <c r="O1890" t="s">
        <v>1000</v>
      </c>
      <c r="P1890" t="s">
        <v>550</v>
      </c>
      <c r="Q1890">
        <v>2022</v>
      </c>
      <c r="R1890" t="s">
        <v>654</v>
      </c>
      <c r="S1890" t="s">
        <v>655</v>
      </c>
      <c r="T1890" t="s">
        <v>553</v>
      </c>
      <c r="U1890" t="b">
        <v>0</v>
      </c>
      <c r="V1890" t="s">
        <v>656</v>
      </c>
      <c r="W1890" t="s">
        <v>587</v>
      </c>
      <c r="X1890" t="s">
        <v>556</v>
      </c>
      <c r="AC1890">
        <v>1</v>
      </c>
      <c r="AD1890" t="s">
        <v>564</v>
      </c>
      <c r="AE1890">
        <v>270.49867769999997</v>
      </c>
      <c r="AF1890">
        <v>2.3256700000000001</v>
      </c>
      <c r="AG1890" t="s">
        <v>588</v>
      </c>
      <c r="AH1890">
        <v>1</v>
      </c>
      <c r="AI1890">
        <v>116.31</v>
      </c>
      <c r="AJ1890" t="s">
        <v>561</v>
      </c>
      <c r="AK1890" t="s">
        <v>589</v>
      </c>
      <c r="AL1890" t="s">
        <v>590</v>
      </c>
      <c r="AM1890">
        <v>2022</v>
      </c>
      <c r="AN1890">
        <v>2020</v>
      </c>
      <c r="AO1890">
        <f>IF(AND(emissions[[#This Row],[Market-based]]=0,emissions[[#This Row],[Impact Type]]="CO2E"),emissions[[#This Row],[kgCO2e]],0)/1000</f>
        <v>0</v>
      </c>
      <c r="AP1890">
        <f>IF(AND(emissions[[#This Row],[Market-based]]=1,OR(emissions[[#This Row],[Impact Type]]="CO2E",emissions[[#This Row],[Impact Type]]="CO2E MKT")),emissions[[#This Row],[kgCO2e]],0)/1000</f>
        <v>0</v>
      </c>
      <c r="AQ1890" t="str">
        <f>_xlfn.TEXTAFTER(emissions[[#This Row],[Reporting Unit]]," &gt; ",LEN(emissions[[#This Row],[Reporting Unit]])-LEN(SUBSTITUTE(emissions[[#This Row],[Reporting Unit]],"&gt;","")))</f>
        <v>Vantage_Argentina Farm (Agrinsa)</v>
      </c>
      <c r="AR1890" t="str">
        <f>_xlfn.XLOOKUP(emissions[[#This Row],[Reporting unit name]],hierarchy!$A:$A,hierarchy!$C:$C)</f>
        <v>Labratory</v>
      </c>
    </row>
    <row r="1891" spans="1:44" hidden="1" x14ac:dyDescent="0.25">
      <c r="A1891">
        <v>237493</v>
      </c>
      <c r="B1891" t="s">
        <v>240</v>
      </c>
      <c r="C1891" t="s">
        <v>475</v>
      </c>
      <c r="D1891" t="s">
        <v>548</v>
      </c>
      <c r="E1891" s="3">
        <v>44562</v>
      </c>
      <c r="F1891" s="3">
        <v>44926</v>
      </c>
      <c r="G1891" t="s">
        <v>141</v>
      </c>
      <c r="H1891" s="3">
        <v>44562</v>
      </c>
      <c r="I1891" s="3">
        <v>44926</v>
      </c>
      <c r="J1891" t="s">
        <v>187</v>
      </c>
      <c r="K1891">
        <v>116.31</v>
      </c>
      <c r="L1891" t="s">
        <v>143</v>
      </c>
      <c r="M1891" t="s">
        <v>110</v>
      </c>
      <c r="O1891" t="s">
        <v>1000</v>
      </c>
      <c r="P1891" t="s">
        <v>550</v>
      </c>
      <c r="Q1891">
        <v>2022</v>
      </c>
      <c r="R1891" t="s">
        <v>654</v>
      </c>
      <c r="S1891" t="s">
        <v>655</v>
      </c>
      <c r="T1891" t="s">
        <v>553</v>
      </c>
      <c r="U1891" t="b">
        <v>0</v>
      </c>
      <c r="V1891" t="s">
        <v>656</v>
      </c>
      <c r="W1891" t="s">
        <v>587</v>
      </c>
      <c r="X1891" t="s">
        <v>556</v>
      </c>
      <c r="AC1891">
        <v>1</v>
      </c>
      <c r="AD1891" t="s">
        <v>565</v>
      </c>
      <c r="AE1891">
        <v>272.13050700000002</v>
      </c>
      <c r="AF1891">
        <v>2.3397000000000001</v>
      </c>
      <c r="AG1891" t="s">
        <v>588</v>
      </c>
      <c r="AH1891">
        <v>1</v>
      </c>
      <c r="AI1891">
        <v>116.31</v>
      </c>
      <c r="AJ1891" t="s">
        <v>561</v>
      </c>
      <c r="AK1891" t="s">
        <v>589</v>
      </c>
      <c r="AL1891" t="s">
        <v>590</v>
      </c>
      <c r="AM1891">
        <v>2022</v>
      </c>
      <c r="AN1891">
        <v>2020</v>
      </c>
      <c r="AO1891">
        <f>IF(AND(emissions[[#This Row],[Market-based]]=0,emissions[[#This Row],[Impact Type]]="CO2E"),emissions[[#This Row],[kgCO2e]],0)/1000</f>
        <v>0</v>
      </c>
      <c r="AP1891">
        <f>IF(AND(emissions[[#This Row],[Market-based]]=1,OR(emissions[[#This Row],[Impact Type]]="CO2E",emissions[[#This Row],[Impact Type]]="CO2E MKT")),emissions[[#This Row],[kgCO2e]],0)/1000</f>
        <v>0.27213050700000002</v>
      </c>
      <c r="AQ1891" t="str">
        <f>_xlfn.TEXTAFTER(emissions[[#This Row],[Reporting Unit]]," &gt; ",LEN(emissions[[#This Row],[Reporting Unit]])-LEN(SUBSTITUTE(emissions[[#This Row],[Reporting Unit]],"&gt;","")))</f>
        <v>Vantage_Argentina Farm (Agrinsa)</v>
      </c>
      <c r="AR1891" t="str">
        <f>_xlfn.XLOOKUP(emissions[[#This Row],[Reporting unit name]],hierarchy!$A:$A,hierarchy!$C:$C)</f>
        <v>Labratory</v>
      </c>
    </row>
    <row r="1892" spans="1:44" hidden="1" x14ac:dyDescent="0.25">
      <c r="A1892">
        <v>237493</v>
      </c>
      <c r="B1892" t="s">
        <v>240</v>
      </c>
      <c r="C1892" t="s">
        <v>475</v>
      </c>
      <c r="D1892" t="s">
        <v>548</v>
      </c>
      <c r="E1892" s="3">
        <v>44562</v>
      </c>
      <c r="F1892" s="3">
        <v>44926</v>
      </c>
      <c r="G1892" t="s">
        <v>141</v>
      </c>
      <c r="H1892" s="3">
        <v>44562</v>
      </c>
      <c r="I1892" s="3">
        <v>44926</v>
      </c>
      <c r="J1892" t="s">
        <v>187</v>
      </c>
      <c r="K1892">
        <v>116.31</v>
      </c>
      <c r="L1892" t="s">
        <v>143</v>
      </c>
      <c r="M1892" t="s">
        <v>110</v>
      </c>
      <c r="O1892" t="s">
        <v>1000</v>
      </c>
      <c r="P1892" t="s">
        <v>550</v>
      </c>
      <c r="Q1892">
        <v>2022</v>
      </c>
      <c r="R1892" t="s">
        <v>654</v>
      </c>
      <c r="S1892" t="s">
        <v>655</v>
      </c>
      <c r="T1892" t="s">
        <v>553</v>
      </c>
      <c r="U1892" t="b">
        <v>0</v>
      </c>
      <c r="V1892" t="s">
        <v>656</v>
      </c>
      <c r="W1892" t="s">
        <v>587</v>
      </c>
      <c r="X1892" t="s">
        <v>556</v>
      </c>
      <c r="AC1892">
        <v>1</v>
      </c>
      <c r="AD1892" t="s">
        <v>566</v>
      </c>
      <c r="AE1892">
        <v>0.78044009999999997</v>
      </c>
      <c r="AF1892">
        <v>6.7099999999999998E-3</v>
      </c>
      <c r="AG1892" t="s">
        <v>588</v>
      </c>
      <c r="AH1892">
        <v>1</v>
      </c>
      <c r="AI1892">
        <v>116.31</v>
      </c>
      <c r="AJ1892" t="s">
        <v>561</v>
      </c>
      <c r="AK1892" t="s">
        <v>589</v>
      </c>
      <c r="AL1892" t="s">
        <v>590</v>
      </c>
      <c r="AM1892">
        <v>2022</v>
      </c>
      <c r="AN1892">
        <v>2020</v>
      </c>
      <c r="AO1892">
        <f>IF(AND(emissions[[#This Row],[Market-based]]=0,emissions[[#This Row],[Impact Type]]="CO2E"),emissions[[#This Row],[kgCO2e]],0)/1000</f>
        <v>0</v>
      </c>
      <c r="AP1892">
        <f>IF(AND(emissions[[#This Row],[Market-based]]=1,OR(emissions[[#This Row],[Impact Type]]="CO2E",emissions[[#This Row],[Impact Type]]="CO2E MKT")),emissions[[#This Row],[kgCO2e]],0)/1000</f>
        <v>0</v>
      </c>
      <c r="AQ1892" t="str">
        <f>_xlfn.TEXTAFTER(emissions[[#This Row],[Reporting Unit]]," &gt; ",LEN(emissions[[#This Row],[Reporting Unit]])-LEN(SUBSTITUTE(emissions[[#This Row],[Reporting Unit]],"&gt;","")))</f>
        <v>Vantage_Argentina Farm (Agrinsa)</v>
      </c>
      <c r="AR1892" t="str">
        <f>_xlfn.XLOOKUP(emissions[[#This Row],[Reporting unit name]],hierarchy!$A:$A,hierarchy!$C:$C)</f>
        <v>Labratory</v>
      </c>
    </row>
    <row r="1893" spans="1:44" hidden="1" x14ac:dyDescent="0.25">
      <c r="A1893">
        <v>237493</v>
      </c>
      <c r="B1893" t="s">
        <v>240</v>
      </c>
      <c r="C1893" t="s">
        <v>475</v>
      </c>
      <c r="D1893" t="s">
        <v>548</v>
      </c>
      <c r="E1893" s="3">
        <v>44562</v>
      </c>
      <c r="F1893" s="3">
        <v>44926</v>
      </c>
      <c r="G1893" t="s">
        <v>141</v>
      </c>
      <c r="H1893" s="3">
        <v>44562</v>
      </c>
      <c r="I1893" s="3">
        <v>44926</v>
      </c>
      <c r="J1893" t="s">
        <v>187</v>
      </c>
      <c r="K1893">
        <v>116.31</v>
      </c>
      <c r="L1893" t="s">
        <v>143</v>
      </c>
      <c r="M1893" t="s">
        <v>110</v>
      </c>
      <c r="O1893" t="s">
        <v>1000</v>
      </c>
      <c r="P1893" t="s">
        <v>550</v>
      </c>
      <c r="Q1893">
        <v>2022</v>
      </c>
      <c r="R1893" t="s">
        <v>657</v>
      </c>
      <c r="S1893" t="s">
        <v>658</v>
      </c>
      <c r="T1893" t="s">
        <v>577</v>
      </c>
      <c r="U1893" t="b">
        <v>0</v>
      </c>
      <c r="V1893" t="s">
        <v>906</v>
      </c>
      <c r="W1893" t="s">
        <v>571</v>
      </c>
      <c r="X1893" t="s">
        <v>572</v>
      </c>
      <c r="AC1893">
        <v>0</v>
      </c>
      <c r="AD1893" t="s">
        <v>565</v>
      </c>
      <c r="AE1893">
        <v>70.115157300000007</v>
      </c>
      <c r="AF1893">
        <v>0.60282999999999998</v>
      </c>
      <c r="AG1893" t="s">
        <v>588</v>
      </c>
      <c r="AH1893">
        <v>1</v>
      </c>
      <c r="AI1893">
        <v>116.31</v>
      </c>
      <c r="AJ1893" t="s">
        <v>561</v>
      </c>
      <c r="AK1893" t="s">
        <v>589</v>
      </c>
      <c r="AL1893" t="s">
        <v>590</v>
      </c>
      <c r="AM1893">
        <v>2022</v>
      </c>
      <c r="AN1893">
        <v>2020</v>
      </c>
      <c r="AO1893">
        <f>IF(AND(emissions[[#This Row],[Market-based]]=0,emissions[[#This Row],[Impact Type]]="CO2E"),emissions[[#This Row],[kgCO2e]],0)/1000</f>
        <v>7.0115157300000008E-2</v>
      </c>
      <c r="AP1893">
        <f>IF(AND(emissions[[#This Row],[Market-based]]=1,OR(emissions[[#This Row],[Impact Type]]="CO2E",emissions[[#This Row],[Impact Type]]="CO2E MKT")),emissions[[#This Row],[kgCO2e]],0)/1000</f>
        <v>0</v>
      </c>
      <c r="AQ1893" t="str">
        <f>_xlfn.TEXTAFTER(emissions[[#This Row],[Reporting Unit]]," &gt; ",LEN(emissions[[#This Row],[Reporting Unit]])-LEN(SUBSTITUTE(emissions[[#This Row],[Reporting Unit]],"&gt;","")))</f>
        <v>Vantage_Argentina Farm (Agrinsa)</v>
      </c>
      <c r="AR1893" t="str">
        <f>_xlfn.XLOOKUP(emissions[[#This Row],[Reporting unit name]],hierarchy!$A:$A,hierarchy!$C:$C)</f>
        <v>Labratory</v>
      </c>
    </row>
    <row r="1894" spans="1:44" hidden="1" x14ac:dyDescent="0.25">
      <c r="A1894">
        <v>237493</v>
      </c>
      <c r="B1894" t="s">
        <v>240</v>
      </c>
      <c r="C1894" t="s">
        <v>475</v>
      </c>
      <c r="D1894" t="s">
        <v>548</v>
      </c>
      <c r="E1894" s="3">
        <v>44562</v>
      </c>
      <c r="F1894" s="3">
        <v>44926</v>
      </c>
      <c r="G1894" t="s">
        <v>141</v>
      </c>
      <c r="H1894" s="3">
        <v>44562</v>
      </c>
      <c r="I1894" s="3">
        <v>44926</v>
      </c>
      <c r="J1894" t="s">
        <v>187</v>
      </c>
      <c r="K1894">
        <v>116.31</v>
      </c>
      <c r="L1894" t="s">
        <v>143</v>
      </c>
      <c r="M1894" t="s">
        <v>110</v>
      </c>
      <c r="O1894" t="s">
        <v>1000</v>
      </c>
      <c r="P1894" t="s">
        <v>550</v>
      </c>
      <c r="Q1894">
        <v>2022</v>
      </c>
      <c r="R1894" t="s">
        <v>657</v>
      </c>
      <c r="S1894" t="s">
        <v>658</v>
      </c>
      <c r="T1894" t="s">
        <v>577</v>
      </c>
      <c r="U1894" t="b">
        <v>0</v>
      </c>
      <c r="V1894" t="s">
        <v>906</v>
      </c>
      <c r="W1894" t="s">
        <v>571</v>
      </c>
      <c r="X1894" t="s">
        <v>572</v>
      </c>
      <c r="AC1894">
        <v>1</v>
      </c>
      <c r="AD1894" t="s">
        <v>565</v>
      </c>
      <c r="AE1894">
        <v>70.115157300000007</v>
      </c>
      <c r="AF1894">
        <v>0.60282999999999998</v>
      </c>
      <c r="AG1894" t="s">
        <v>588</v>
      </c>
      <c r="AH1894">
        <v>1</v>
      </c>
      <c r="AI1894">
        <v>116.31</v>
      </c>
      <c r="AJ1894" t="s">
        <v>561</v>
      </c>
      <c r="AK1894" t="s">
        <v>589</v>
      </c>
      <c r="AL1894" t="s">
        <v>590</v>
      </c>
      <c r="AM1894">
        <v>2022</v>
      </c>
      <c r="AN1894">
        <v>2020</v>
      </c>
      <c r="AO1894">
        <f>IF(AND(emissions[[#This Row],[Market-based]]=0,emissions[[#This Row],[Impact Type]]="CO2E"),emissions[[#This Row],[kgCO2e]],0)/1000</f>
        <v>0</v>
      </c>
      <c r="AP1894">
        <f>IF(AND(emissions[[#This Row],[Market-based]]=1,OR(emissions[[#This Row],[Impact Type]]="CO2E",emissions[[#This Row],[Impact Type]]="CO2E MKT")),emissions[[#This Row],[kgCO2e]],0)/1000</f>
        <v>7.0115157300000008E-2</v>
      </c>
      <c r="AQ1894" t="str">
        <f>_xlfn.TEXTAFTER(emissions[[#This Row],[Reporting Unit]]," &gt; ",LEN(emissions[[#This Row],[Reporting Unit]])-LEN(SUBSTITUTE(emissions[[#This Row],[Reporting Unit]],"&gt;","")))</f>
        <v>Vantage_Argentina Farm (Agrinsa)</v>
      </c>
      <c r="AR1894" t="str">
        <f>_xlfn.XLOOKUP(emissions[[#This Row],[Reporting unit name]],hierarchy!$A:$A,hierarchy!$C:$C)</f>
        <v>Labratory</v>
      </c>
    </row>
    <row r="1895" spans="1:44" ht="90" hidden="1" x14ac:dyDescent="0.25">
      <c r="A1895">
        <v>237674</v>
      </c>
      <c r="B1895" t="s">
        <v>240</v>
      </c>
      <c r="C1895" t="s">
        <v>475</v>
      </c>
      <c r="D1895" t="s">
        <v>548</v>
      </c>
      <c r="E1895" s="3">
        <v>44562</v>
      </c>
      <c r="F1895" s="3">
        <v>44926</v>
      </c>
      <c r="G1895" t="s">
        <v>116</v>
      </c>
      <c r="H1895" s="3">
        <v>44562</v>
      </c>
      <c r="I1895" s="3">
        <v>44926</v>
      </c>
      <c r="J1895" t="s">
        <v>250</v>
      </c>
      <c r="K1895">
        <v>0</v>
      </c>
      <c r="L1895" t="s">
        <v>251</v>
      </c>
      <c r="M1895" t="s">
        <v>110</v>
      </c>
      <c r="N1895" s="14" t="s">
        <v>253</v>
      </c>
      <c r="O1895" t="s">
        <v>1001</v>
      </c>
      <c r="P1895" t="s">
        <v>550</v>
      </c>
      <c r="Q1895">
        <v>2022</v>
      </c>
      <c r="R1895" t="s">
        <v>880</v>
      </c>
      <c r="S1895" t="s">
        <v>250</v>
      </c>
      <c r="T1895" t="s">
        <v>553</v>
      </c>
      <c r="U1895" t="b">
        <v>0</v>
      </c>
      <c r="V1895" t="s">
        <v>881</v>
      </c>
      <c r="W1895" t="s">
        <v>587</v>
      </c>
      <c r="X1895" t="s">
        <v>556</v>
      </c>
      <c r="AC1895">
        <v>0</v>
      </c>
      <c r="AD1895" t="s">
        <v>565</v>
      </c>
      <c r="AE1895">
        <v>0</v>
      </c>
      <c r="AF1895">
        <v>675</v>
      </c>
      <c r="AG1895" t="s">
        <v>622</v>
      </c>
      <c r="AH1895">
        <v>1000000000</v>
      </c>
      <c r="AI1895">
        <v>0</v>
      </c>
      <c r="AJ1895" t="s">
        <v>561</v>
      </c>
      <c r="AK1895" t="s">
        <v>623</v>
      </c>
      <c r="AL1895" t="s">
        <v>624</v>
      </c>
      <c r="AM1895">
        <v>2022</v>
      </c>
      <c r="AN1895">
        <v>2007</v>
      </c>
      <c r="AO1895">
        <f>IF(AND(emissions[[#This Row],[Market-based]]=0,emissions[[#This Row],[Impact Type]]="CO2E"),emissions[[#This Row],[kgCO2e]],0)/1000</f>
        <v>0</v>
      </c>
      <c r="AP1895">
        <f>IF(AND(emissions[[#This Row],[Market-based]]=1,OR(emissions[[#This Row],[Impact Type]]="CO2E",emissions[[#This Row],[Impact Type]]="CO2E MKT")),emissions[[#This Row],[kgCO2e]],0)/1000</f>
        <v>0</v>
      </c>
      <c r="AQ1895" t="str">
        <f>_xlfn.TEXTAFTER(emissions[[#This Row],[Reporting Unit]]," &gt; ",LEN(emissions[[#This Row],[Reporting Unit]])-LEN(SUBSTITUTE(emissions[[#This Row],[Reporting Unit]],"&gt;","")))</f>
        <v>Vantage_Argentina Farm (Agrinsa)</v>
      </c>
      <c r="AR1895" t="str">
        <f>_xlfn.XLOOKUP(emissions[[#This Row],[Reporting unit name]],hierarchy!$A:$A,hierarchy!$C:$C)</f>
        <v>Labratory</v>
      </c>
    </row>
    <row r="1896" spans="1:44" ht="90" hidden="1" x14ac:dyDescent="0.25">
      <c r="A1896">
        <v>237674</v>
      </c>
      <c r="B1896" t="s">
        <v>240</v>
      </c>
      <c r="C1896" t="s">
        <v>475</v>
      </c>
      <c r="D1896" t="s">
        <v>548</v>
      </c>
      <c r="E1896" s="3">
        <v>44562</v>
      </c>
      <c r="F1896" s="3">
        <v>44926</v>
      </c>
      <c r="G1896" t="s">
        <v>116</v>
      </c>
      <c r="H1896" s="3">
        <v>44562</v>
      </c>
      <c r="I1896" s="3">
        <v>44926</v>
      </c>
      <c r="J1896" t="s">
        <v>250</v>
      </c>
      <c r="K1896">
        <v>0</v>
      </c>
      <c r="L1896" t="s">
        <v>251</v>
      </c>
      <c r="M1896" t="s">
        <v>110</v>
      </c>
      <c r="N1896" s="14" t="s">
        <v>253</v>
      </c>
      <c r="O1896" t="s">
        <v>1001</v>
      </c>
      <c r="P1896" t="s">
        <v>550</v>
      </c>
      <c r="Q1896">
        <v>2022</v>
      </c>
      <c r="R1896" t="s">
        <v>880</v>
      </c>
      <c r="S1896" t="s">
        <v>250</v>
      </c>
      <c r="T1896" t="s">
        <v>553</v>
      </c>
      <c r="U1896" t="b">
        <v>0</v>
      </c>
      <c r="V1896" t="s">
        <v>881</v>
      </c>
      <c r="W1896" t="s">
        <v>587</v>
      </c>
      <c r="X1896" t="s">
        <v>556</v>
      </c>
      <c r="AC1896">
        <v>1</v>
      </c>
      <c r="AD1896" t="s">
        <v>565</v>
      </c>
      <c r="AE1896">
        <v>0</v>
      </c>
      <c r="AF1896">
        <v>675</v>
      </c>
      <c r="AG1896" t="s">
        <v>622</v>
      </c>
      <c r="AH1896">
        <v>1000000000</v>
      </c>
      <c r="AI1896">
        <v>0</v>
      </c>
      <c r="AJ1896" t="s">
        <v>561</v>
      </c>
      <c r="AK1896" t="s">
        <v>623</v>
      </c>
      <c r="AL1896" t="s">
        <v>624</v>
      </c>
      <c r="AM1896">
        <v>2022</v>
      </c>
      <c r="AN1896">
        <v>2007</v>
      </c>
      <c r="AO1896">
        <f>IF(AND(emissions[[#This Row],[Market-based]]=0,emissions[[#This Row],[Impact Type]]="CO2E"),emissions[[#This Row],[kgCO2e]],0)/1000</f>
        <v>0</v>
      </c>
      <c r="AP1896">
        <f>IF(AND(emissions[[#This Row],[Market-based]]=1,OR(emissions[[#This Row],[Impact Type]]="CO2E",emissions[[#This Row],[Impact Type]]="CO2E MKT")),emissions[[#This Row],[kgCO2e]],0)/1000</f>
        <v>0</v>
      </c>
      <c r="AQ1896" t="str">
        <f>_xlfn.TEXTAFTER(emissions[[#This Row],[Reporting Unit]]," &gt; ",LEN(emissions[[#This Row],[Reporting Unit]])-LEN(SUBSTITUTE(emissions[[#This Row],[Reporting Unit]],"&gt;","")))</f>
        <v>Vantage_Argentina Farm (Agrinsa)</v>
      </c>
      <c r="AR1896" t="str">
        <f>_xlfn.XLOOKUP(emissions[[#This Row],[Reporting unit name]],hierarchy!$A:$A,hierarchy!$C:$C)</f>
        <v>Labratory</v>
      </c>
    </row>
    <row r="1897" spans="1:44" hidden="1" x14ac:dyDescent="0.25">
      <c r="A1897">
        <v>4621</v>
      </c>
      <c r="B1897" t="s">
        <v>240</v>
      </c>
      <c r="C1897" t="s">
        <v>475</v>
      </c>
      <c r="D1897" t="s">
        <v>599</v>
      </c>
      <c r="E1897" s="3">
        <v>44197</v>
      </c>
      <c r="F1897" s="3">
        <v>44561</v>
      </c>
      <c r="G1897" t="s">
        <v>108</v>
      </c>
      <c r="H1897" s="3">
        <v>44197</v>
      </c>
      <c r="I1897" s="3">
        <v>44561</v>
      </c>
      <c r="J1897" t="s">
        <v>108</v>
      </c>
      <c r="K1897">
        <v>6205845</v>
      </c>
      <c r="L1897" t="s">
        <v>109</v>
      </c>
      <c r="M1897" t="s">
        <v>110</v>
      </c>
      <c r="O1897" t="s">
        <v>1002</v>
      </c>
      <c r="P1897" t="s">
        <v>550</v>
      </c>
      <c r="Q1897">
        <v>2021</v>
      </c>
      <c r="R1897" t="s">
        <v>551</v>
      </c>
      <c r="S1897" t="s">
        <v>552</v>
      </c>
      <c r="T1897" t="s">
        <v>553</v>
      </c>
      <c r="U1897" t="b">
        <v>0</v>
      </c>
      <c r="V1897" t="s">
        <v>990</v>
      </c>
      <c r="W1897" t="s">
        <v>555</v>
      </c>
      <c r="X1897" t="s">
        <v>556</v>
      </c>
      <c r="Y1897" t="s">
        <v>472</v>
      </c>
      <c r="Z1897" t="s">
        <v>491</v>
      </c>
      <c r="AA1897" t="s">
        <v>991</v>
      </c>
      <c r="AC1897">
        <v>0</v>
      </c>
      <c r="AD1897" t="s">
        <v>558</v>
      </c>
      <c r="AE1897">
        <v>1861.7535</v>
      </c>
      <c r="AF1897" t="s">
        <v>559</v>
      </c>
      <c r="AG1897" t="s">
        <v>560</v>
      </c>
      <c r="AH1897">
        <v>1</v>
      </c>
      <c r="AI1897">
        <v>6205845</v>
      </c>
      <c r="AJ1897" t="s">
        <v>561</v>
      </c>
      <c r="AK1897" t="s">
        <v>562</v>
      </c>
      <c r="AL1897" t="s">
        <v>601</v>
      </c>
      <c r="AM1897">
        <v>2021</v>
      </c>
      <c r="AN1897">
        <v>2019</v>
      </c>
      <c r="AO1897">
        <f>IF(AND(emissions[[#This Row],[Market-based]]=0,emissions[[#This Row],[Impact Type]]="CO2E"),emissions[[#This Row],[kgCO2e]],0)/1000</f>
        <v>0</v>
      </c>
      <c r="AP1897">
        <f>IF(AND(emissions[[#This Row],[Market-based]]=1,OR(emissions[[#This Row],[Impact Type]]="CO2E",emissions[[#This Row],[Impact Type]]="CO2E MKT")),emissions[[#This Row],[kgCO2e]],0)/1000</f>
        <v>0</v>
      </c>
      <c r="AQ1897" t="str">
        <f>_xlfn.TEXTAFTER(emissions[[#This Row],[Reporting Unit]]," &gt; ",LEN(emissions[[#This Row],[Reporting Unit]])-LEN(SUBSTITUTE(emissions[[#This Row],[Reporting Unit]],"&gt;","")))</f>
        <v>Vantage_Argentina Farm (Agrinsa)</v>
      </c>
      <c r="AR1897" t="str">
        <f>_xlfn.XLOOKUP(emissions[[#This Row],[Reporting unit name]],hierarchy!$A:$A,hierarchy!$C:$C)</f>
        <v>Labratory</v>
      </c>
    </row>
    <row r="1898" spans="1:44" hidden="1" x14ac:dyDescent="0.25">
      <c r="A1898">
        <v>4621</v>
      </c>
      <c r="B1898" t="s">
        <v>240</v>
      </c>
      <c r="C1898" t="s">
        <v>475</v>
      </c>
      <c r="D1898" t="s">
        <v>599</v>
      </c>
      <c r="E1898" s="3">
        <v>44197</v>
      </c>
      <c r="F1898" s="3">
        <v>44561</v>
      </c>
      <c r="G1898" t="s">
        <v>108</v>
      </c>
      <c r="H1898" s="3">
        <v>44197</v>
      </c>
      <c r="I1898" s="3">
        <v>44561</v>
      </c>
      <c r="J1898" t="s">
        <v>108</v>
      </c>
      <c r="K1898">
        <v>6205845</v>
      </c>
      <c r="L1898" t="s">
        <v>109</v>
      </c>
      <c r="M1898" t="s">
        <v>110</v>
      </c>
      <c r="O1898" t="s">
        <v>1002</v>
      </c>
      <c r="P1898" t="s">
        <v>550</v>
      </c>
      <c r="Q1898">
        <v>2021</v>
      </c>
      <c r="R1898" t="s">
        <v>551</v>
      </c>
      <c r="S1898" t="s">
        <v>552</v>
      </c>
      <c r="T1898" t="s">
        <v>553</v>
      </c>
      <c r="U1898" t="b">
        <v>0</v>
      </c>
      <c r="V1898" t="s">
        <v>990</v>
      </c>
      <c r="W1898" t="s">
        <v>555</v>
      </c>
      <c r="X1898" t="s">
        <v>556</v>
      </c>
      <c r="Y1898" t="s">
        <v>472</v>
      </c>
      <c r="Z1898" t="s">
        <v>491</v>
      </c>
      <c r="AA1898" t="s">
        <v>991</v>
      </c>
      <c r="AC1898">
        <v>0</v>
      </c>
      <c r="AD1898" t="s">
        <v>564</v>
      </c>
      <c r="AE1898">
        <v>1782318.6839999999</v>
      </c>
      <c r="AF1898" t="s">
        <v>559</v>
      </c>
      <c r="AG1898" t="s">
        <v>560</v>
      </c>
      <c r="AH1898">
        <v>1</v>
      </c>
      <c r="AI1898">
        <v>6205845</v>
      </c>
      <c r="AJ1898" t="s">
        <v>561</v>
      </c>
      <c r="AK1898" t="s">
        <v>562</v>
      </c>
      <c r="AL1898" t="s">
        <v>601</v>
      </c>
      <c r="AM1898">
        <v>2021</v>
      </c>
      <c r="AN1898">
        <v>2019</v>
      </c>
      <c r="AO1898">
        <f>IF(AND(emissions[[#This Row],[Market-based]]=0,emissions[[#This Row],[Impact Type]]="CO2E"),emissions[[#This Row],[kgCO2e]],0)/1000</f>
        <v>0</v>
      </c>
      <c r="AP1898">
        <f>IF(AND(emissions[[#This Row],[Market-based]]=1,OR(emissions[[#This Row],[Impact Type]]="CO2E",emissions[[#This Row],[Impact Type]]="CO2E MKT")),emissions[[#This Row],[kgCO2e]],0)/1000</f>
        <v>0</v>
      </c>
      <c r="AQ1898" t="str">
        <f>_xlfn.TEXTAFTER(emissions[[#This Row],[Reporting Unit]]," &gt; ",LEN(emissions[[#This Row],[Reporting Unit]])-LEN(SUBSTITUTE(emissions[[#This Row],[Reporting Unit]],"&gt;","")))</f>
        <v>Vantage_Argentina Farm (Agrinsa)</v>
      </c>
      <c r="AR1898" t="str">
        <f>_xlfn.XLOOKUP(emissions[[#This Row],[Reporting unit name]],hierarchy!$A:$A,hierarchy!$C:$C)</f>
        <v>Labratory</v>
      </c>
    </row>
    <row r="1899" spans="1:44" hidden="1" x14ac:dyDescent="0.25">
      <c r="A1899">
        <v>4621</v>
      </c>
      <c r="B1899" t="s">
        <v>240</v>
      </c>
      <c r="C1899" t="s">
        <v>475</v>
      </c>
      <c r="D1899" t="s">
        <v>599</v>
      </c>
      <c r="E1899" s="3">
        <v>44197</v>
      </c>
      <c r="F1899" s="3">
        <v>44561</v>
      </c>
      <c r="G1899" t="s">
        <v>108</v>
      </c>
      <c r="H1899" s="3">
        <v>44197</v>
      </c>
      <c r="I1899" s="3">
        <v>44561</v>
      </c>
      <c r="J1899" t="s">
        <v>108</v>
      </c>
      <c r="K1899">
        <v>6205845</v>
      </c>
      <c r="L1899" t="s">
        <v>109</v>
      </c>
      <c r="M1899" t="s">
        <v>110</v>
      </c>
      <c r="O1899" t="s">
        <v>1002</v>
      </c>
      <c r="P1899" t="s">
        <v>550</v>
      </c>
      <c r="Q1899">
        <v>2021</v>
      </c>
      <c r="R1899" t="s">
        <v>551</v>
      </c>
      <c r="S1899" t="s">
        <v>552</v>
      </c>
      <c r="T1899" t="s">
        <v>553</v>
      </c>
      <c r="U1899" t="b">
        <v>0</v>
      </c>
      <c r="V1899" t="s">
        <v>990</v>
      </c>
      <c r="W1899" t="s">
        <v>555</v>
      </c>
      <c r="X1899" t="s">
        <v>556</v>
      </c>
      <c r="Y1899" t="s">
        <v>472</v>
      </c>
      <c r="Z1899" t="s">
        <v>491</v>
      </c>
      <c r="AA1899" t="s">
        <v>991</v>
      </c>
      <c r="AC1899">
        <v>0</v>
      </c>
      <c r="AD1899" t="s">
        <v>565</v>
      </c>
      <c r="AE1899">
        <v>1787283.36</v>
      </c>
      <c r="AF1899" t="s">
        <v>559</v>
      </c>
      <c r="AG1899" t="s">
        <v>560</v>
      </c>
      <c r="AH1899">
        <v>1</v>
      </c>
      <c r="AI1899">
        <v>6205845</v>
      </c>
      <c r="AJ1899" t="s">
        <v>561</v>
      </c>
      <c r="AK1899" t="s">
        <v>562</v>
      </c>
      <c r="AL1899" t="s">
        <v>601</v>
      </c>
      <c r="AM1899">
        <v>2021</v>
      </c>
      <c r="AN1899">
        <v>2019</v>
      </c>
      <c r="AO1899">
        <f>IF(AND(emissions[[#This Row],[Market-based]]=0,emissions[[#This Row],[Impact Type]]="CO2E"),emissions[[#This Row],[kgCO2e]],0)/1000</f>
        <v>1787.2833600000001</v>
      </c>
      <c r="AP1899">
        <f>IF(AND(emissions[[#This Row],[Market-based]]=1,OR(emissions[[#This Row],[Impact Type]]="CO2E",emissions[[#This Row],[Impact Type]]="CO2E MKT")),emissions[[#This Row],[kgCO2e]],0)/1000</f>
        <v>0</v>
      </c>
      <c r="AQ1899" t="str">
        <f>_xlfn.TEXTAFTER(emissions[[#This Row],[Reporting Unit]]," &gt; ",LEN(emissions[[#This Row],[Reporting Unit]])-LEN(SUBSTITUTE(emissions[[#This Row],[Reporting Unit]],"&gt;","")))</f>
        <v>Vantage_Argentina Farm (Agrinsa)</v>
      </c>
      <c r="AR1899" t="str">
        <f>_xlfn.XLOOKUP(emissions[[#This Row],[Reporting unit name]],hierarchy!$A:$A,hierarchy!$C:$C)</f>
        <v>Labratory</v>
      </c>
    </row>
    <row r="1900" spans="1:44" hidden="1" x14ac:dyDescent="0.25">
      <c r="A1900">
        <v>4621</v>
      </c>
      <c r="B1900" t="s">
        <v>240</v>
      </c>
      <c r="C1900" t="s">
        <v>475</v>
      </c>
      <c r="D1900" t="s">
        <v>599</v>
      </c>
      <c r="E1900" s="3">
        <v>44197</v>
      </c>
      <c r="F1900" s="3">
        <v>44561</v>
      </c>
      <c r="G1900" t="s">
        <v>108</v>
      </c>
      <c r="H1900" s="3">
        <v>44197</v>
      </c>
      <c r="I1900" s="3">
        <v>44561</v>
      </c>
      <c r="J1900" t="s">
        <v>108</v>
      </c>
      <c r="K1900">
        <v>6205845</v>
      </c>
      <c r="L1900" t="s">
        <v>109</v>
      </c>
      <c r="M1900" t="s">
        <v>110</v>
      </c>
      <c r="O1900" t="s">
        <v>1002</v>
      </c>
      <c r="P1900" t="s">
        <v>550</v>
      </c>
      <c r="Q1900">
        <v>2021</v>
      </c>
      <c r="R1900" t="s">
        <v>551</v>
      </c>
      <c r="S1900" t="s">
        <v>552</v>
      </c>
      <c r="T1900" t="s">
        <v>553</v>
      </c>
      <c r="U1900" t="b">
        <v>0</v>
      </c>
      <c r="V1900" t="s">
        <v>990</v>
      </c>
      <c r="W1900" t="s">
        <v>555</v>
      </c>
      <c r="X1900" t="s">
        <v>556</v>
      </c>
      <c r="Y1900" t="s">
        <v>472</v>
      </c>
      <c r="Z1900" t="s">
        <v>491</v>
      </c>
      <c r="AA1900" t="s">
        <v>991</v>
      </c>
      <c r="AC1900">
        <v>0</v>
      </c>
      <c r="AD1900" t="s">
        <v>566</v>
      </c>
      <c r="AE1900">
        <v>3102.9225000000001</v>
      </c>
      <c r="AF1900" t="s">
        <v>559</v>
      </c>
      <c r="AG1900" t="s">
        <v>560</v>
      </c>
      <c r="AH1900">
        <v>1</v>
      </c>
      <c r="AI1900">
        <v>6205845</v>
      </c>
      <c r="AJ1900" t="s">
        <v>561</v>
      </c>
      <c r="AK1900" t="s">
        <v>562</v>
      </c>
      <c r="AL1900" t="s">
        <v>601</v>
      </c>
      <c r="AM1900">
        <v>2021</v>
      </c>
      <c r="AN1900">
        <v>2019</v>
      </c>
      <c r="AO1900">
        <f>IF(AND(emissions[[#This Row],[Market-based]]=0,emissions[[#This Row],[Impact Type]]="CO2E"),emissions[[#This Row],[kgCO2e]],0)/1000</f>
        <v>0</v>
      </c>
      <c r="AP1900">
        <f>IF(AND(emissions[[#This Row],[Market-based]]=1,OR(emissions[[#This Row],[Impact Type]]="CO2E",emissions[[#This Row],[Impact Type]]="CO2E MKT")),emissions[[#This Row],[kgCO2e]],0)/1000</f>
        <v>0</v>
      </c>
      <c r="AQ1900" t="str">
        <f>_xlfn.TEXTAFTER(emissions[[#This Row],[Reporting Unit]]," &gt; ",LEN(emissions[[#This Row],[Reporting Unit]])-LEN(SUBSTITUTE(emissions[[#This Row],[Reporting Unit]],"&gt;","")))</f>
        <v>Vantage_Argentina Farm (Agrinsa)</v>
      </c>
      <c r="AR1900" t="str">
        <f>_xlfn.XLOOKUP(emissions[[#This Row],[Reporting unit name]],hierarchy!$A:$A,hierarchy!$C:$C)</f>
        <v>Labratory</v>
      </c>
    </row>
    <row r="1901" spans="1:44" hidden="1" x14ac:dyDescent="0.25">
      <c r="A1901">
        <v>4621</v>
      </c>
      <c r="B1901" t="s">
        <v>240</v>
      </c>
      <c r="C1901" t="s">
        <v>475</v>
      </c>
      <c r="D1901" t="s">
        <v>599</v>
      </c>
      <c r="E1901" s="3">
        <v>44197</v>
      </c>
      <c r="F1901" s="3">
        <v>44561</v>
      </c>
      <c r="G1901" t="s">
        <v>108</v>
      </c>
      <c r="H1901" s="3">
        <v>44197</v>
      </c>
      <c r="I1901" s="3">
        <v>44561</v>
      </c>
      <c r="J1901" t="s">
        <v>108</v>
      </c>
      <c r="K1901">
        <v>6205845</v>
      </c>
      <c r="L1901" t="s">
        <v>109</v>
      </c>
      <c r="M1901" t="s">
        <v>110</v>
      </c>
      <c r="O1901" t="s">
        <v>1002</v>
      </c>
      <c r="P1901" t="s">
        <v>550</v>
      </c>
      <c r="Q1901">
        <v>2021</v>
      </c>
      <c r="R1901" t="s">
        <v>551</v>
      </c>
      <c r="S1901" t="s">
        <v>552</v>
      </c>
      <c r="T1901" t="s">
        <v>553</v>
      </c>
      <c r="U1901" t="b">
        <v>0</v>
      </c>
      <c r="V1901" t="s">
        <v>990</v>
      </c>
      <c r="W1901" t="s">
        <v>555</v>
      </c>
      <c r="X1901" t="s">
        <v>556</v>
      </c>
      <c r="Y1901" t="s">
        <v>472</v>
      </c>
      <c r="Z1901" t="s">
        <v>491</v>
      </c>
      <c r="AA1901" t="s">
        <v>991</v>
      </c>
      <c r="AC1901">
        <v>1</v>
      </c>
      <c r="AD1901" t="s">
        <v>558</v>
      </c>
      <c r="AE1901">
        <v>1861.7535</v>
      </c>
      <c r="AF1901" t="s">
        <v>559</v>
      </c>
      <c r="AG1901" t="s">
        <v>560</v>
      </c>
      <c r="AH1901">
        <v>1</v>
      </c>
      <c r="AI1901">
        <v>6205845</v>
      </c>
      <c r="AJ1901" t="s">
        <v>561</v>
      </c>
      <c r="AK1901" t="s">
        <v>562</v>
      </c>
      <c r="AL1901" t="s">
        <v>601</v>
      </c>
      <c r="AM1901">
        <v>2021</v>
      </c>
      <c r="AN1901">
        <v>2019</v>
      </c>
      <c r="AO1901">
        <f>IF(AND(emissions[[#This Row],[Market-based]]=0,emissions[[#This Row],[Impact Type]]="CO2E"),emissions[[#This Row],[kgCO2e]],0)/1000</f>
        <v>0</v>
      </c>
      <c r="AP1901">
        <f>IF(AND(emissions[[#This Row],[Market-based]]=1,OR(emissions[[#This Row],[Impact Type]]="CO2E",emissions[[#This Row],[Impact Type]]="CO2E MKT")),emissions[[#This Row],[kgCO2e]],0)/1000</f>
        <v>0</v>
      </c>
      <c r="AQ1901" t="str">
        <f>_xlfn.TEXTAFTER(emissions[[#This Row],[Reporting Unit]]," &gt; ",LEN(emissions[[#This Row],[Reporting Unit]])-LEN(SUBSTITUTE(emissions[[#This Row],[Reporting Unit]],"&gt;","")))</f>
        <v>Vantage_Argentina Farm (Agrinsa)</v>
      </c>
      <c r="AR1901" t="str">
        <f>_xlfn.XLOOKUP(emissions[[#This Row],[Reporting unit name]],hierarchy!$A:$A,hierarchy!$C:$C)</f>
        <v>Labratory</v>
      </c>
    </row>
    <row r="1902" spans="1:44" hidden="1" x14ac:dyDescent="0.25">
      <c r="A1902">
        <v>4621</v>
      </c>
      <c r="B1902" t="s">
        <v>240</v>
      </c>
      <c r="C1902" t="s">
        <v>475</v>
      </c>
      <c r="D1902" t="s">
        <v>599</v>
      </c>
      <c r="E1902" s="3">
        <v>44197</v>
      </c>
      <c r="F1902" s="3">
        <v>44561</v>
      </c>
      <c r="G1902" t="s">
        <v>108</v>
      </c>
      <c r="H1902" s="3">
        <v>44197</v>
      </c>
      <c r="I1902" s="3">
        <v>44561</v>
      </c>
      <c r="J1902" t="s">
        <v>108</v>
      </c>
      <c r="K1902">
        <v>6205845</v>
      </c>
      <c r="L1902" t="s">
        <v>109</v>
      </c>
      <c r="M1902" t="s">
        <v>110</v>
      </c>
      <c r="O1902" t="s">
        <v>1002</v>
      </c>
      <c r="P1902" t="s">
        <v>550</v>
      </c>
      <c r="Q1902">
        <v>2021</v>
      </c>
      <c r="R1902" t="s">
        <v>551</v>
      </c>
      <c r="S1902" t="s">
        <v>552</v>
      </c>
      <c r="T1902" t="s">
        <v>553</v>
      </c>
      <c r="U1902" t="b">
        <v>0</v>
      </c>
      <c r="V1902" t="s">
        <v>990</v>
      </c>
      <c r="W1902" t="s">
        <v>555</v>
      </c>
      <c r="X1902" t="s">
        <v>556</v>
      </c>
      <c r="Y1902" t="s">
        <v>472</v>
      </c>
      <c r="Z1902" t="s">
        <v>491</v>
      </c>
      <c r="AA1902" t="s">
        <v>991</v>
      </c>
      <c r="AC1902">
        <v>1</v>
      </c>
      <c r="AD1902" t="s">
        <v>564</v>
      </c>
      <c r="AE1902">
        <v>1782318.6839999999</v>
      </c>
      <c r="AF1902" t="s">
        <v>559</v>
      </c>
      <c r="AG1902" t="s">
        <v>560</v>
      </c>
      <c r="AH1902">
        <v>1</v>
      </c>
      <c r="AI1902">
        <v>6205845</v>
      </c>
      <c r="AJ1902" t="s">
        <v>561</v>
      </c>
      <c r="AK1902" t="s">
        <v>562</v>
      </c>
      <c r="AL1902" t="s">
        <v>601</v>
      </c>
      <c r="AM1902">
        <v>2021</v>
      </c>
      <c r="AN1902">
        <v>2019</v>
      </c>
      <c r="AO1902">
        <f>IF(AND(emissions[[#This Row],[Market-based]]=0,emissions[[#This Row],[Impact Type]]="CO2E"),emissions[[#This Row],[kgCO2e]],0)/1000</f>
        <v>0</v>
      </c>
      <c r="AP1902">
        <f>IF(AND(emissions[[#This Row],[Market-based]]=1,OR(emissions[[#This Row],[Impact Type]]="CO2E",emissions[[#This Row],[Impact Type]]="CO2E MKT")),emissions[[#This Row],[kgCO2e]],0)/1000</f>
        <v>0</v>
      </c>
      <c r="AQ1902" t="str">
        <f>_xlfn.TEXTAFTER(emissions[[#This Row],[Reporting Unit]]," &gt; ",LEN(emissions[[#This Row],[Reporting Unit]])-LEN(SUBSTITUTE(emissions[[#This Row],[Reporting Unit]],"&gt;","")))</f>
        <v>Vantage_Argentina Farm (Agrinsa)</v>
      </c>
      <c r="AR1902" t="str">
        <f>_xlfn.XLOOKUP(emissions[[#This Row],[Reporting unit name]],hierarchy!$A:$A,hierarchy!$C:$C)</f>
        <v>Labratory</v>
      </c>
    </row>
    <row r="1903" spans="1:44" hidden="1" x14ac:dyDescent="0.25">
      <c r="A1903">
        <v>4621</v>
      </c>
      <c r="B1903" t="s">
        <v>240</v>
      </c>
      <c r="C1903" t="s">
        <v>475</v>
      </c>
      <c r="D1903" t="s">
        <v>599</v>
      </c>
      <c r="E1903" s="3">
        <v>44197</v>
      </c>
      <c r="F1903" s="3">
        <v>44561</v>
      </c>
      <c r="G1903" t="s">
        <v>108</v>
      </c>
      <c r="H1903" s="3">
        <v>44197</v>
      </c>
      <c r="I1903" s="3">
        <v>44561</v>
      </c>
      <c r="J1903" t="s">
        <v>108</v>
      </c>
      <c r="K1903">
        <v>6205845</v>
      </c>
      <c r="L1903" t="s">
        <v>109</v>
      </c>
      <c r="M1903" t="s">
        <v>110</v>
      </c>
      <c r="O1903" t="s">
        <v>1002</v>
      </c>
      <c r="P1903" t="s">
        <v>550</v>
      </c>
      <c r="Q1903">
        <v>2021</v>
      </c>
      <c r="R1903" t="s">
        <v>551</v>
      </c>
      <c r="S1903" t="s">
        <v>552</v>
      </c>
      <c r="T1903" t="s">
        <v>553</v>
      </c>
      <c r="U1903" t="b">
        <v>0</v>
      </c>
      <c r="V1903" t="s">
        <v>990</v>
      </c>
      <c r="W1903" t="s">
        <v>555</v>
      </c>
      <c r="X1903" t="s">
        <v>556</v>
      </c>
      <c r="Y1903" t="s">
        <v>472</v>
      </c>
      <c r="Z1903" t="s">
        <v>491</v>
      </c>
      <c r="AA1903" t="s">
        <v>991</v>
      </c>
      <c r="AC1903">
        <v>1</v>
      </c>
      <c r="AD1903" t="s">
        <v>565</v>
      </c>
      <c r="AE1903">
        <v>1787283.36</v>
      </c>
      <c r="AF1903" t="s">
        <v>559</v>
      </c>
      <c r="AG1903" t="s">
        <v>560</v>
      </c>
      <c r="AH1903">
        <v>1</v>
      </c>
      <c r="AI1903">
        <v>6205845</v>
      </c>
      <c r="AJ1903" t="s">
        <v>561</v>
      </c>
      <c r="AK1903" t="s">
        <v>562</v>
      </c>
      <c r="AL1903" t="s">
        <v>601</v>
      </c>
      <c r="AM1903">
        <v>2021</v>
      </c>
      <c r="AN1903">
        <v>2019</v>
      </c>
      <c r="AO1903">
        <f>IF(AND(emissions[[#This Row],[Market-based]]=0,emissions[[#This Row],[Impact Type]]="CO2E"),emissions[[#This Row],[kgCO2e]],0)/1000</f>
        <v>0</v>
      </c>
      <c r="AP1903">
        <f>IF(AND(emissions[[#This Row],[Market-based]]=1,OR(emissions[[#This Row],[Impact Type]]="CO2E",emissions[[#This Row],[Impact Type]]="CO2E MKT")),emissions[[#This Row],[kgCO2e]],0)/1000</f>
        <v>1787.2833600000001</v>
      </c>
      <c r="AQ1903" t="str">
        <f>_xlfn.TEXTAFTER(emissions[[#This Row],[Reporting Unit]]," &gt; ",LEN(emissions[[#This Row],[Reporting Unit]])-LEN(SUBSTITUTE(emissions[[#This Row],[Reporting Unit]],"&gt;","")))</f>
        <v>Vantage_Argentina Farm (Agrinsa)</v>
      </c>
      <c r="AR1903" t="str">
        <f>_xlfn.XLOOKUP(emissions[[#This Row],[Reporting unit name]],hierarchy!$A:$A,hierarchy!$C:$C)</f>
        <v>Labratory</v>
      </c>
    </row>
    <row r="1904" spans="1:44" hidden="1" x14ac:dyDescent="0.25">
      <c r="A1904">
        <v>4621</v>
      </c>
      <c r="B1904" t="s">
        <v>240</v>
      </c>
      <c r="C1904" t="s">
        <v>475</v>
      </c>
      <c r="D1904" t="s">
        <v>599</v>
      </c>
      <c r="E1904" s="3">
        <v>44197</v>
      </c>
      <c r="F1904" s="3">
        <v>44561</v>
      </c>
      <c r="G1904" t="s">
        <v>108</v>
      </c>
      <c r="H1904" s="3">
        <v>44197</v>
      </c>
      <c r="I1904" s="3">
        <v>44561</v>
      </c>
      <c r="J1904" t="s">
        <v>108</v>
      </c>
      <c r="K1904">
        <v>6205845</v>
      </c>
      <c r="L1904" t="s">
        <v>109</v>
      </c>
      <c r="M1904" t="s">
        <v>110</v>
      </c>
      <c r="O1904" t="s">
        <v>1002</v>
      </c>
      <c r="P1904" t="s">
        <v>550</v>
      </c>
      <c r="Q1904">
        <v>2021</v>
      </c>
      <c r="R1904" t="s">
        <v>551</v>
      </c>
      <c r="S1904" t="s">
        <v>552</v>
      </c>
      <c r="T1904" t="s">
        <v>553</v>
      </c>
      <c r="U1904" t="b">
        <v>0</v>
      </c>
      <c r="V1904" t="s">
        <v>990</v>
      </c>
      <c r="W1904" t="s">
        <v>555</v>
      </c>
      <c r="X1904" t="s">
        <v>556</v>
      </c>
      <c r="Y1904" t="s">
        <v>472</v>
      </c>
      <c r="Z1904" t="s">
        <v>491</v>
      </c>
      <c r="AA1904" t="s">
        <v>991</v>
      </c>
      <c r="AC1904">
        <v>1</v>
      </c>
      <c r="AD1904" t="s">
        <v>566</v>
      </c>
      <c r="AE1904">
        <v>3102.9225000000001</v>
      </c>
      <c r="AF1904" t="s">
        <v>559</v>
      </c>
      <c r="AG1904" t="s">
        <v>560</v>
      </c>
      <c r="AH1904">
        <v>1</v>
      </c>
      <c r="AI1904">
        <v>6205845</v>
      </c>
      <c r="AJ1904" t="s">
        <v>561</v>
      </c>
      <c r="AK1904" t="s">
        <v>562</v>
      </c>
      <c r="AL1904" t="s">
        <v>601</v>
      </c>
      <c r="AM1904">
        <v>2021</v>
      </c>
      <c r="AN1904">
        <v>2019</v>
      </c>
      <c r="AO1904">
        <f>IF(AND(emissions[[#This Row],[Market-based]]=0,emissions[[#This Row],[Impact Type]]="CO2E"),emissions[[#This Row],[kgCO2e]],0)/1000</f>
        <v>0</v>
      </c>
      <c r="AP1904">
        <f>IF(AND(emissions[[#This Row],[Market-based]]=1,OR(emissions[[#This Row],[Impact Type]]="CO2E",emissions[[#This Row],[Impact Type]]="CO2E MKT")),emissions[[#This Row],[kgCO2e]],0)/1000</f>
        <v>0</v>
      </c>
      <c r="AQ1904" t="str">
        <f>_xlfn.TEXTAFTER(emissions[[#This Row],[Reporting Unit]]," &gt; ",LEN(emissions[[#This Row],[Reporting Unit]])-LEN(SUBSTITUTE(emissions[[#This Row],[Reporting Unit]],"&gt;","")))</f>
        <v>Vantage_Argentina Farm (Agrinsa)</v>
      </c>
      <c r="AR1904" t="str">
        <f>_xlfn.XLOOKUP(emissions[[#This Row],[Reporting unit name]],hierarchy!$A:$A,hierarchy!$C:$C)</f>
        <v>Labratory</v>
      </c>
    </row>
    <row r="1905" spans="1:44" hidden="1" x14ac:dyDescent="0.25">
      <c r="A1905">
        <v>4621</v>
      </c>
      <c r="B1905" t="s">
        <v>240</v>
      </c>
      <c r="C1905" t="s">
        <v>475</v>
      </c>
      <c r="D1905" t="s">
        <v>599</v>
      </c>
      <c r="E1905" s="3">
        <v>44197</v>
      </c>
      <c r="F1905" s="3">
        <v>44561</v>
      </c>
      <c r="G1905" t="s">
        <v>108</v>
      </c>
      <c r="H1905" s="3">
        <v>44197</v>
      </c>
      <c r="I1905" s="3">
        <v>44561</v>
      </c>
      <c r="J1905" t="s">
        <v>108</v>
      </c>
      <c r="K1905">
        <v>6205845</v>
      </c>
      <c r="L1905" t="s">
        <v>109</v>
      </c>
      <c r="M1905" t="s">
        <v>110</v>
      </c>
      <c r="O1905" t="s">
        <v>1002</v>
      </c>
      <c r="P1905" t="s">
        <v>550</v>
      </c>
      <c r="Q1905">
        <v>2021</v>
      </c>
      <c r="R1905" t="s">
        <v>567</v>
      </c>
      <c r="S1905" t="s">
        <v>568</v>
      </c>
      <c r="T1905" t="s">
        <v>569</v>
      </c>
      <c r="U1905" t="b">
        <v>0</v>
      </c>
      <c r="V1905" t="s">
        <v>1003</v>
      </c>
      <c r="W1905" t="s">
        <v>571</v>
      </c>
      <c r="X1905" t="s">
        <v>572</v>
      </c>
      <c r="Y1905" t="s">
        <v>472</v>
      </c>
      <c r="Z1905" t="s">
        <v>491</v>
      </c>
      <c r="AA1905" t="s">
        <v>991</v>
      </c>
      <c r="AC1905">
        <v>0</v>
      </c>
      <c r="AD1905" t="s">
        <v>558</v>
      </c>
      <c r="AE1905">
        <v>47.104223040000001</v>
      </c>
      <c r="AF1905" s="13">
        <v>7.5903E-6</v>
      </c>
      <c r="AG1905" t="s">
        <v>560</v>
      </c>
      <c r="AH1905">
        <v>1</v>
      </c>
      <c r="AI1905">
        <v>6205845</v>
      </c>
      <c r="AJ1905" t="s">
        <v>561</v>
      </c>
      <c r="AK1905" t="s">
        <v>573</v>
      </c>
      <c r="AL1905" t="s">
        <v>1004</v>
      </c>
      <c r="AM1905">
        <v>2021</v>
      </c>
      <c r="AN1905">
        <v>2019</v>
      </c>
      <c r="AO1905">
        <f>IF(AND(emissions[[#This Row],[Market-based]]=0,emissions[[#This Row],[Impact Type]]="CO2E"),emissions[[#This Row],[kgCO2e]],0)/1000</f>
        <v>0</v>
      </c>
      <c r="AP1905">
        <f>IF(AND(emissions[[#This Row],[Market-based]]=1,OR(emissions[[#This Row],[Impact Type]]="CO2E",emissions[[#This Row],[Impact Type]]="CO2E MKT")),emissions[[#This Row],[kgCO2e]],0)/1000</f>
        <v>0</v>
      </c>
      <c r="AQ1905" t="str">
        <f>_xlfn.TEXTAFTER(emissions[[#This Row],[Reporting Unit]]," &gt; ",LEN(emissions[[#This Row],[Reporting Unit]])-LEN(SUBSTITUTE(emissions[[#This Row],[Reporting Unit]],"&gt;","")))</f>
        <v>Vantage_Argentina Farm (Agrinsa)</v>
      </c>
      <c r="AR1905" t="str">
        <f>_xlfn.XLOOKUP(emissions[[#This Row],[Reporting unit name]],hierarchy!$A:$A,hierarchy!$C:$C)</f>
        <v>Labratory</v>
      </c>
    </row>
    <row r="1906" spans="1:44" hidden="1" x14ac:dyDescent="0.25">
      <c r="A1906">
        <v>4621</v>
      </c>
      <c r="B1906" t="s">
        <v>240</v>
      </c>
      <c r="C1906" t="s">
        <v>475</v>
      </c>
      <c r="D1906" t="s">
        <v>599</v>
      </c>
      <c r="E1906" s="3">
        <v>44197</v>
      </c>
      <c r="F1906" s="3">
        <v>44561</v>
      </c>
      <c r="G1906" t="s">
        <v>108</v>
      </c>
      <c r="H1906" s="3">
        <v>44197</v>
      </c>
      <c r="I1906" s="3">
        <v>44561</v>
      </c>
      <c r="J1906" t="s">
        <v>108</v>
      </c>
      <c r="K1906">
        <v>6205845</v>
      </c>
      <c r="L1906" t="s">
        <v>109</v>
      </c>
      <c r="M1906" t="s">
        <v>110</v>
      </c>
      <c r="O1906" t="s">
        <v>1002</v>
      </c>
      <c r="P1906" t="s">
        <v>550</v>
      </c>
      <c r="Q1906">
        <v>2021</v>
      </c>
      <c r="R1906" t="s">
        <v>567</v>
      </c>
      <c r="S1906" t="s">
        <v>568</v>
      </c>
      <c r="T1906" t="s">
        <v>569</v>
      </c>
      <c r="U1906" t="b">
        <v>0</v>
      </c>
      <c r="V1906" t="s">
        <v>1003</v>
      </c>
      <c r="W1906" t="s">
        <v>571</v>
      </c>
      <c r="X1906" t="s">
        <v>572</v>
      </c>
      <c r="Y1906" t="s">
        <v>472</v>
      </c>
      <c r="Z1906" t="s">
        <v>491</v>
      </c>
      <c r="AA1906" t="s">
        <v>991</v>
      </c>
      <c r="AC1906">
        <v>0</v>
      </c>
      <c r="AD1906" t="s">
        <v>564</v>
      </c>
      <c r="AE1906">
        <v>45094.442849999999</v>
      </c>
      <c r="AF1906">
        <v>7.2664469999999997E-3</v>
      </c>
      <c r="AG1906" t="s">
        <v>560</v>
      </c>
      <c r="AH1906">
        <v>1</v>
      </c>
      <c r="AI1906">
        <v>6205845</v>
      </c>
      <c r="AJ1906" t="s">
        <v>561</v>
      </c>
      <c r="AK1906" t="s">
        <v>573</v>
      </c>
      <c r="AL1906" t="s">
        <v>1004</v>
      </c>
      <c r="AM1906">
        <v>2021</v>
      </c>
      <c r="AN1906">
        <v>2019</v>
      </c>
      <c r="AO1906">
        <f>IF(AND(emissions[[#This Row],[Market-based]]=0,emissions[[#This Row],[Impact Type]]="CO2E"),emissions[[#This Row],[kgCO2e]],0)/1000</f>
        <v>0</v>
      </c>
      <c r="AP1906">
        <f>IF(AND(emissions[[#This Row],[Market-based]]=1,OR(emissions[[#This Row],[Impact Type]]="CO2E",emissions[[#This Row],[Impact Type]]="CO2E MKT")),emissions[[#This Row],[kgCO2e]],0)/1000</f>
        <v>0</v>
      </c>
      <c r="AQ1906" t="str">
        <f>_xlfn.TEXTAFTER(emissions[[#This Row],[Reporting Unit]]," &gt; ",LEN(emissions[[#This Row],[Reporting Unit]])-LEN(SUBSTITUTE(emissions[[#This Row],[Reporting Unit]],"&gt;","")))</f>
        <v>Vantage_Argentina Farm (Agrinsa)</v>
      </c>
      <c r="AR1906" t="str">
        <f>_xlfn.XLOOKUP(emissions[[#This Row],[Reporting unit name]],hierarchy!$A:$A,hierarchy!$C:$C)</f>
        <v>Labratory</v>
      </c>
    </row>
    <row r="1907" spans="1:44" hidden="1" x14ac:dyDescent="0.25">
      <c r="A1907">
        <v>4621</v>
      </c>
      <c r="B1907" t="s">
        <v>240</v>
      </c>
      <c r="C1907" t="s">
        <v>475</v>
      </c>
      <c r="D1907" t="s">
        <v>599</v>
      </c>
      <c r="E1907" s="3">
        <v>44197</v>
      </c>
      <c r="F1907" s="3">
        <v>44561</v>
      </c>
      <c r="G1907" t="s">
        <v>108</v>
      </c>
      <c r="H1907" s="3">
        <v>44197</v>
      </c>
      <c r="I1907" s="3">
        <v>44561</v>
      </c>
      <c r="J1907" t="s">
        <v>108</v>
      </c>
      <c r="K1907">
        <v>6205845</v>
      </c>
      <c r="L1907" t="s">
        <v>109</v>
      </c>
      <c r="M1907" t="s">
        <v>110</v>
      </c>
      <c r="O1907" t="s">
        <v>1002</v>
      </c>
      <c r="P1907" t="s">
        <v>550</v>
      </c>
      <c r="Q1907">
        <v>2021</v>
      </c>
      <c r="R1907" t="s">
        <v>567</v>
      </c>
      <c r="S1907" t="s">
        <v>568</v>
      </c>
      <c r="T1907" t="s">
        <v>569</v>
      </c>
      <c r="U1907" t="b">
        <v>0</v>
      </c>
      <c r="V1907" t="s">
        <v>1003</v>
      </c>
      <c r="W1907" t="s">
        <v>571</v>
      </c>
      <c r="X1907" t="s">
        <v>572</v>
      </c>
      <c r="Y1907" t="s">
        <v>472</v>
      </c>
      <c r="Z1907" t="s">
        <v>491</v>
      </c>
      <c r="AA1907" t="s">
        <v>991</v>
      </c>
      <c r="AC1907">
        <v>0</v>
      </c>
      <c r="AD1907" t="s">
        <v>565</v>
      </c>
      <c r="AE1907">
        <v>45220.054109999997</v>
      </c>
      <c r="AF1907">
        <v>7.2866880000000004E-3</v>
      </c>
      <c r="AG1907" t="s">
        <v>560</v>
      </c>
      <c r="AH1907">
        <v>1</v>
      </c>
      <c r="AI1907">
        <v>6205845</v>
      </c>
      <c r="AJ1907" t="s">
        <v>561</v>
      </c>
      <c r="AK1907" t="s">
        <v>573</v>
      </c>
      <c r="AL1907" t="s">
        <v>1004</v>
      </c>
      <c r="AM1907">
        <v>2021</v>
      </c>
      <c r="AN1907">
        <v>2019</v>
      </c>
      <c r="AO1907">
        <f>IF(AND(emissions[[#This Row],[Market-based]]=0,emissions[[#This Row],[Impact Type]]="CO2E"),emissions[[#This Row],[kgCO2e]],0)/1000</f>
        <v>45.22005411</v>
      </c>
      <c r="AP1907">
        <f>IF(AND(emissions[[#This Row],[Market-based]]=1,OR(emissions[[#This Row],[Impact Type]]="CO2E",emissions[[#This Row],[Impact Type]]="CO2E MKT")),emissions[[#This Row],[kgCO2e]],0)/1000</f>
        <v>0</v>
      </c>
      <c r="AQ1907" t="str">
        <f>_xlfn.TEXTAFTER(emissions[[#This Row],[Reporting Unit]]," &gt; ",LEN(emissions[[#This Row],[Reporting Unit]])-LEN(SUBSTITUTE(emissions[[#This Row],[Reporting Unit]],"&gt;","")))</f>
        <v>Vantage_Argentina Farm (Agrinsa)</v>
      </c>
      <c r="AR1907" t="str">
        <f>_xlfn.XLOOKUP(emissions[[#This Row],[Reporting unit name]],hierarchy!$A:$A,hierarchy!$C:$C)</f>
        <v>Labratory</v>
      </c>
    </row>
    <row r="1908" spans="1:44" hidden="1" x14ac:dyDescent="0.25">
      <c r="A1908">
        <v>4621</v>
      </c>
      <c r="B1908" t="s">
        <v>240</v>
      </c>
      <c r="C1908" t="s">
        <v>475</v>
      </c>
      <c r="D1908" t="s">
        <v>599</v>
      </c>
      <c r="E1908" s="3">
        <v>44197</v>
      </c>
      <c r="F1908" s="3">
        <v>44561</v>
      </c>
      <c r="G1908" t="s">
        <v>108</v>
      </c>
      <c r="H1908" s="3">
        <v>44197</v>
      </c>
      <c r="I1908" s="3">
        <v>44561</v>
      </c>
      <c r="J1908" t="s">
        <v>108</v>
      </c>
      <c r="K1908">
        <v>6205845</v>
      </c>
      <c r="L1908" t="s">
        <v>109</v>
      </c>
      <c r="M1908" t="s">
        <v>110</v>
      </c>
      <c r="O1908" t="s">
        <v>1002</v>
      </c>
      <c r="P1908" t="s">
        <v>550</v>
      </c>
      <c r="Q1908">
        <v>2021</v>
      </c>
      <c r="R1908" t="s">
        <v>567</v>
      </c>
      <c r="S1908" t="s">
        <v>568</v>
      </c>
      <c r="T1908" t="s">
        <v>569</v>
      </c>
      <c r="U1908" t="b">
        <v>0</v>
      </c>
      <c r="V1908" t="s">
        <v>1003</v>
      </c>
      <c r="W1908" t="s">
        <v>571</v>
      </c>
      <c r="X1908" t="s">
        <v>572</v>
      </c>
      <c r="Y1908" t="s">
        <v>472</v>
      </c>
      <c r="Z1908" t="s">
        <v>491</v>
      </c>
      <c r="AA1908" t="s">
        <v>991</v>
      </c>
      <c r="AC1908">
        <v>0</v>
      </c>
      <c r="AD1908" t="s">
        <v>566</v>
      </c>
      <c r="AE1908">
        <v>78.507038390000005</v>
      </c>
      <c r="AF1908" s="13">
        <v>1.26505E-5</v>
      </c>
      <c r="AG1908" t="s">
        <v>560</v>
      </c>
      <c r="AH1908">
        <v>1</v>
      </c>
      <c r="AI1908">
        <v>6205845</v>
      </c>
      <c r="AJ1908" t="s">
        <v>561</v>
      </c>
      <c r="AK1908" t="s">
        <v>573</v>
      </c>
      <c r="AL1908" t="s">
        <v>1004</v>
      </c>
      <c r="AM1908">
        <v>2021</v>
      </c>
      <c r="AN1908">
        <v>2019</v>
      </c>
      <c r="AO1908">
        <f>IF(AND(emissions[[#This Row],[Market-based]]=0,emissions[[#This Row],[Impact Type]]="CO2E"),emissions[[#This Row],[kgCO2e]],0)/1000</f>
        <v>0</v>
      </c>
      <c r="AP1908">
        <f>IF(AND(emissions[[#This Row],[Market-based]]=1,OR(emissions[[#This Row],[Impact Type]]="CO2E",emissions[[#This Row],[Impact Type]]="CO2E MKT")),emissions[[#This Row],[kgCO2e]],0)/1000</f>
        <v>0</v>
      </c>
      <c r="AQ1908" t="str">
        <f>_xlfn.TEXTAFTER(emissions[[#This Row],[Reporting Unit]]," &gt; ",LEN(emissions[[#This Row],[Reporting Unit]])-LEN(SUBSTITUTE(emissions[[#This Row],[Reporting Unit]],"&gt;","")))</f>
        <v>Vantage_Argentina Farm (Agrinsa)</v>
      </c>
      <c r="AR1908" t="str">
        <f>_xlfn.XLOOKUP(emissions[[#This Row],[Reporting unit name]],hierarchy!$A:$A,hierarchy!$C:$C)</f>
        <v>Labratory</v>
      </c>
    </row>
    <row r="1909" spans="1:44" hidden="1" x14ac:dyDescent="0.25">
      <c r="A1909">
        <v>4621</v>
      </c>
      <c r="B1909" t="s">
        <v>240</v>
      </c>
      <c r="C1909" t="s">
        <v>475</v>
      </c>
      <c r="D1909" t="s">
        <v>599</v>
      </c>
      <c r="E1909" s="3">
        <v>44197</v>
      </c>
      <c r="F1909" s="3">
        <v>44561</v>
      </c>
      <c r="G1909" t="s">
        <v>108</v>
      </c>
      <c r="H1909" s="3">
        <v>44197</v>
      </c>
      <c r="I1909" s="3">
        <v>44561</v>
      </c>
      <c r="J1909" t="s">
        <v>108</v>
      </c>
      <c r="K1909">
        <v>6205845</v>
      </c>
      <c r="L1909" t="s">
        <v>109</v>
      </c>
      <c r="M1909" t="s">
        <v>110</v>
      </c>
      <c r="O1909" t="s">
        <v>1002</v>
      </c>
      <c r="P1909" t="s">
        <v>550</v>
      </c>
      <c r="Q1909">
        <v>2021</v>
      </c>
      <c r="R1909" t="s">
        <v>567</v>
      </c>
      <c r="S1909" t="s">
        <v>568</v>
      </c>
      <c r="T1909" t="s">
        <v>569</v>
      </c>
      <c r="U1909" t="b">
        <v>0</v>
      </c>
      <c r="V1909" t="s">
        <v>1003</v>
      </c>
      <c r="W1909" t="s">
        <v>571</v>
      </c>
      <c r="X1909" t="s">
        <v>572</v>
      </c>
      <c r="Y1909" t="s">
        <v>472</v>
      </c>
      <c r="Z1909" t="s">
        <v>491</v>
      </c>
      <c r="AA1909" t="s">
        <v>991</v>
      </c>
      <c r="AC1909">
        <v>1</v>
      </c>
      <c r="AD1909" t="s">
        <v>558</v>
      </c>
      <c r="AE1909">
        <v>47.104223040000001</v>
      </c>
      <c r="AF1909" s="13">
        <v>7.5903E-6</v>
      </c>
      <c r="AG1909" t="s">
        <v>560</v>
      </c>
      <c r="AH1909">
        <v>1</v>
      </c>
      <c r="AI1909">
        <v>6205845</v>
      </c>
      <c r="AJ1909" t="s">
        <v>561</v>
      </c>
      <c r="AK1909" t="s">
        <v>573</v>
      </c>
      <c r="AL1909" t="s">
        <v>1004</v>
      </c>
      <c r="AM1909">
        <v>2021</v>
      </c>
      <c r="AN1909">
        <v>2019</v>
      </c>
      <c r="AO1909">
        <f>IF(AND(emissions[[#This Row],[Market-based]]=0,emissions[[#This Row],[Impact Type]]="CO2E"),emissions[[#This Row],[kgCO2e]],0)/1000</f>
        <v>0</v>
      </c>
      <c r="AP1909">
        <f>IF(AND(emissions[[#This Row],[Market-based]]=1,OR(emissions[[#This Row],[Impact Type]]="CO2E",emissions[[#This Row],[Impact Type]]="CO2E MKT")),emissions[[#This Row],[kgCO2e]],0)/1000</f>
        <v>0</v>
      </c>
      <c r="AQ1909" t="str">
        <f>_xlfn.TEXTAFTER(emissions[[#This Row],[Reporting Unit]]," &gt; ",LEN(emissions[[#This Row],[Reporting Unit]])-LEN(SUBSTITUTE(emissions[[#This Row],[Reporting Unit]],"&gt;","")))</f>
        <v>Vantage_Argentina Farm (Agrinsa)</v>
      </c>
      <c r="AR1909" t="str">
        <f>_xlfn.XLOOKUP(emissions[[#This Row],[Reporting unit name]],hierarchy!$A:$A,hierarchy!$C:$C)</f>
        <v>Labratory</v>
      </c>
    </row>
    <row r="1910" spans="1:44" hidden="1" x14ac:dyDescent="0.25">
      <c r="A1910">
        <v>4621</v>
      </c>
      <c r="B1910" t="s">
        <v>240</v>
      </c>
      <c r="C1910" t="s">
        <v>475</v>
      </c>
      <c r="D1910" t="s">
        <v>599</v>
      </c>
      <c r="E1910" s="3">
        <v>44197</v>
      </c>
      <c r="F1910" s="3">
        <v>44561</v>
      </c>
      <c r="G1910" t="s">
        <v>108</v>
      </c>
      <c r="H1910" s="3">
        <v>44197</v>
      </c>
      <c r="I1910" s="3">
        <v>44561</v>
      </c>
      <c r="J1910" t="s">
        <v>108</v>
      </c>
      <c r="K1910">
        <v>6205845</v>
      </c>
      <c r="L1910" t="s">
        <v>109</v>
      </c>
      <c r="M1910" t="s">
        <v>110</v>
      </c>
      <c r="O1910" t="s">
        <v>1002</v>
      </c>
      <c r="P1910" t="s">
        <v>550</v>
      </c>
      <c r="Q1910">
        <v>2021</v>
      </c>
      <c r="R1910" t="s">
        <v>567</v>
      </c>
      <c r="S1910" t="s">
        <v>568</v>
      </c>
      <c r="T1910" t="s">
        <v>569</v>
      </c>
      <c r="U1910" t="b">
        <v>0</v>
      </c>
      <c r="V1910" t="s">
        <v>1003</v>
      </c>
      <c r="W1910" t="s">
        <v>571</v>
      </c>
      <c r="X1910" t="s">
        <v>572</v>
      </c>
      <c r="Y1910" t="s">
        <v>472</v>
      </c>
      <c r="Z1910" t="s">
        <v>491</v>
      </c>
      <c r="AA1910" t="s">
        <v>991</v>
      </c>
      <c r="AC1910">
        <v>1</v>
      </c>
      <c r="AD1910" t="s">
        <v>564</v>
      </c>
      <c r="AE1910">
        <v>45094.442849999999</v>
      </c>
      <c r="AF1910">
        <v>7.2664469999999997E-3</v>
      </c>
      <c r="AG1910" t="s">
        <v>560</v>
      </c>
      <c r="AH1910">
        <v>1</v>
      </c>
      <c r="AI1910">
        <v>6205845</v>
      </c>
      <c r="AJ1910" t="s">
        <v>561</v>
      </c>
      <c r="AK1910" t="s">
        <v>573</v>
      </c>
      <c r="AL1910" t="s">
        <v>1004</v>
      </c>
      <c r="AM1910">
        <v>2021</v>
      </c>
      <c r="AN1910">
        <v>2019</v>
      </c>
      <c r="AO1910">
        <f>IF(AND(emissions[[#This Row],[Market-based]]=0,emissions[[#This Row],[Impact Type]]="CO2E"),emissions[[#This Row],[kgCO2e]],0)/1000</f>
        <v>0</v>
      </c>
      <c r="AP1910">
        <f>IF(AND(emissions[[#This Row],[Market-based]]=1,OR(emissions[[#This Row],[Impact Type]]="CO2E",emissions[[#This Row],[Impact Type]]="CO2E MKT")),emissions[[#This Row],[kgCO2e]],0)/1000</f>
        <v>0</v>
      </c>
      <c r="AQ1910" t="str">
        <f>_xlfn.TEXTAFTER(emissions[[#This Row],[Reporting Unit]]," &gt; ",LEN(emissions[[#This Row],[Reporting Unit]])-LEN(SUBSTITUTE(emissions[[#This Row],[Reporting Unit]],"&gt;","")))</f>
        <v>Vantage_Argentina Farm (Agrinsa)</v>
      </c>
      <c r="AR1910" t="str">
        <f>_xlfn.XLOOKUP(emissions[[#This Row],[Reporting unit name]],hierarchy!$A:$A,hierarchy!$C:$C)</f>
        <v>Labratory</v>
      </c>
    </row>
    <row r="1911" spans="1:44" hidden="1" x14ac:dyDescent="0.25">
      <c r="A1911">
        <v>4621</v>
      </c>
      <c r="B1911" t="s">
        <v>240</v>
      </c>
      <c r="C1911" t="s">
        <v>475</v>
      </c>
      <c r="D1911" t="s">
        <v>599</v>
      </c>
      <c r="E1911" s="3">
        <v>44197</v>
      </c>
      <c r="F1911" s="3">
        <v>44561</v>
      </c>
      <c r="G1911" t="s">
        <v>108</v>
      </c>
      <c r="H1911" s="3">
        <v>44197</v>
      </c>
      <c r="I1911" s="3">
        <v>44561</v>
      </c>
      <c r="J1911" t="s">
        <v>108</v>
      </c>
      <c r="K1911">
        <v>6205845</v>
      </c>
      <c r="L1911" t="s">
        <v>109</v>
      </c>
      <c r="M1911" t="s">
        <v>110</v>
      </c>
      <c r="O1911" t="s">
        <v>1002</v>
      </c>
      <c r="P1911" t="s">
        <v>550</v>
      </c>
      <c r="Q1911">
        <v>2021</v>
      </c>
      <c r="R1911" t="s">
        <v>567</v>
      </c>
      <c r="S1911" t="s">
        <v>568</v>
      </c>
      <c r="T1911" t="s">
        <v>569</v>
      </c>
      <c r="U1911" t="b">
        <v>0</v>
      </c>
      <c r="V1911" t="s">
        <v>1003</v>
      </c>
      <c r="W1911" t="s">
        <v>571</v>
      </c>
      <c r="X1911" t="s">
        <v>572</v>
      </c>
      <c r="Y1911" t="s">
        <v>472</v>
      </c>
      <c r="Z1911" t="s">
        <v>491</v>
      </c>
      <c r="AA1911" t="s">
        <v>991</v>
      </c>
      <c r="AC1911">
        <v>1</v>
      </c>
      <c r="AD1911" t="s">
        <v>565</v>
      </c>
      <c r="AE1911">
        <v>45220.054109999997</v>
      </c>
      <c r="AF1911">
        <v>7.2866880000000004E-3</v>
      </c>
      <c r="AG1911" t="s">
        <v>560</v>
      </c>
      <c r="AH1911">
        <v>1</v>
      </c>
      <c r="AI1911">
        <v>6205845</v>
      </c>
      <c r="AJ1911" t="s">
        <v>561</v>
      </c>
      <c r="AK1911" t="s">
        <v>573</v>
      </c>
      <c r="AL1911" t="s">
        <v>1004</v>
      </c>
      <c r="AM1911">
        <v>2021</v>
      </c>
      <c r="AN1911">
        <v>2019</v>
      </c>
      <c r="AO1911">
        <f>IF(AND(emissions[[#This Row],[Market-based]]=0,emissions[[#This Row],[Impact Type]]="CO2E"),emissions[[#This Row],[kgCO2e]],0)/1000</f>
        <v>0</v>
      </c>
      <c r="AP1911">
        <f>IF(AND(emissions[[#This Row],[Market-based]]=1,OR(emissions[[#This Row],[Impact Type]]="CO2E",emissions[[#This Row],[Impact Type]]="CO2E MKT")),emissions[[#This Row],[kgCO2e]],0)/1000</f>
        <v>45.22005411</v>
      </c>
      <c r="AQ1911" t="str">
        <f>_xlfn.TEXTAFTER(emissions[[#This Row],[Reporting Unit]]," &gt; ",LEN(emissions[[#This Row],[Reporting Unit]])-LEN(SUBSTITUTE(emissions[[#This Row],[Reporting Unit]],"&gt;","")))</f>
        <v>Vantage_Argentina Farm (Agrinsa)</v>
      </c>
      <c r="AR1911" t="str">
        <f>_xlfn.XLOOKUP(emissions[[#This Row],[Reporting unit name]],hierarchy!$A:$A,hierarchy!$C:$C)</f>
        <v>Labratory</v>
      </c>
    </row>
    <row r="1912" spans="1:44" hidden="1" x14ac:dyDescent="0.25">
      <c r="A1912">
        <v>4621</v>
      </c>
      <c r="B1912" t="s">
        <v>240</v>
      </c>
      <c r="C1912" t="s">
        <v>475</v>
      </c>
      <c r="D1912" t="s">
        <v>599</v>
      </c>
      <c r="E1912" s="3">
        <v>44197</v>
      </c>
      <c r="F1912" s="3">
        <v>44561</v>
      </c>
      <c r="G1912" t="s">
        <v>108</v>
      </c>
      <c r="H1912" s="3">
        <v>44197</v>
      </c>
      <c r="I1912" s="3">
        <v>44561</v>
      </c>
      <c r="J1912" t="s">
        <v>108</v>
      </c>
      <c r="K1912">
        <v>6205845</v>
      </c>
      <c r="L1912" t="s">
        <v>109</v>
      </c>
      <c r="M1912" t="s">
        <v>110</v>
      </c>
      <c r="O1912" t="s">
        <v>1002</v>
      </c>
      <c r="P1912" t="s">
        <v>550</v>
      </c>
      <c r="Q1912">
        <v>2021</v>
      </c>
      <c r="R1912" t="s">
        <v>567</v>
      </c>
      <c r="S1912" t="s">
        <v>568</v>
      </c>
      <c r="T1912" t="s">
        <v>569</v>
      </c>
      <c r="U1912" t="b">
        <v>0</v>
      </c>
      <c r="V1912" t="s">
        <v>1003</v>
      </c>
      <c r="W1912" t="s">
        <v>571</v>
      </c>
      <c r="X1912" t="s">
        <v>572</v>
      </c>
      <c r="Y1912" t="s">
        <v>472</v>
      </c>
      <c r="Z1912" t="s">
        <v>491</v>
      </c>
      <c r="AA1912" t="s">
        <v>991</v>
      </c>
      <c r="AC1912">
        <v>1</v>
      </c>
      <c r="AD1912" t="s">
        <v>566</v>
      </c>
      <c r="AE1912">
        <v>78.507038390000005</v>
      </c>
      <c r="AF1912" s="13">
        <v>1.26505E-5</v>
      </c>
      <c r="AG1912" t="s">
        <v>560</v>
      </c>
      <c r="AH1912">
        <v>1</v>
      </c>
      <c r="AI1912">
        <v>6205845</v>
      </c>
      <c r="AJ1912" t="s">
        <v>561</v>
      </c>
      <c r="AK1912" t="s">
        <v>573</v>
      </c>
      <c r="AL1912" t="s">
        <v>1004</v>
      </c>
      <c r="AM1912">
        <v>2021</v>
      </c>
      <c r="AN1912">
        <v>2019</v>
      </c>
      <c r="AO1912">
        <f>IF(AND(emissions[[#This Row],[Market-based]]=0,emissions[[#This Row],[Impact Type]]="CO2E"),emissions[[#This Row],[kgCO2e]],0)/1000</f>
        <v>0</v>
      </c>
      <c r="AP1912">
        <f>IF(AND(emissions[[#This Row],[Market-based]]=1,OR(emissions[[#This Row],[Impact Type]]="CO2E",emissions[[#This Row],[Impact Type]]="CO2E MKT")),emissions[[#This Row],[kgCO2e]],0)/1000</f>
        <v>0</v>
      </c>
      <c r="AQ1912" t="str">
        <f>_xlfn.TEXTAFTER(emissions[[#This Row],[Reporting Unit]]," &gt; ",LEN(emissions[[#This Row],[Reporting Unit]])-LEN(SUBSTITUTE(emissions[[#This Row],[Reporting Unit]],"&gt;","")))</f>
        <v>Vantage_Argentina Farm (Agrinsa)</v>
      </c>
      <c r="AR1912" t="str">
        <f>_xlfn.XLOOKUP(emissions[[#This Row],[Reporting unit name]],hierarchy!$A:$A,hierarchy!$C:$C)</f>
        <v>Labratory</v>
      </c>
    </row>
    <row r="1913" spans="1:44" hidden="1" x14ac:dyDescent="0.25">
      <c r="A1913">
        <v>4621</v>
      </c>
      <c r="B1913" t="s">
        <v>240</v>
      </c>
      <c r="C1913" t="s">
        <v>475</v>
      </c>
      <c r="D1913" t="s">
        <v>599</v>
      </c>
      <c r="E1913" s="3">
        <v>44197</v>
      </c>
      <c r="F1913" s="3">
        <v>44561</v>
      </c>
      <c r="G1913" t="s">
        <v>108</v>
      </c>
      <c r="H1913" s="3">
        <v>44197</v>
      </c>
      <c r="I1913" s="3">
        <v>44561</v>
      </c>
      <c r="J1913" t="s">
        <v>108</v>
      </c>
      <c r="K1913">
        <v>6205845</v>
      </c>
      <c r="L1913" t="s">
        <v>109</v>
      </c>
      <c r="M1913" t="s">
        <v>110</v>
      </c>
      <c r="O1913" t="s">
        <v>1002</v>
      </c>
      <c r="P1913" t="s">
        <v>550</v>
      </c>
      <c r="Q1913">
        <v>2021</v>
      </c>
      <c r="R1913" t="s">
        <v>575</v>
      </c>
      <c r="S1913" t="s">
        <v>576</v>
      </c>
      <c r="T1913" t="s">
        <v>577</v>
      </c>
      <c r="U1913" t="b">
        <v>0</v>
      </c>
      <c r="V1913" t="s">
        <v>1005</v>
      </c>
      <c r="W1913" t="s">
        <v>571</v>
      </c>
      <c r="X1913" t="s">
        <v>572</v>
      </c>
      <c r="Y1913" t="s">
        <v>472</v>
      </c>
      <c r="Z1913" t="s">
        <v>491</v>
      </c>
      <c r="AA1913" t="s">
        <v>991</v>
      </c>
      <c r="AC1913">
        <v>0</v>
      </c>
      <c r="AD1913" t="s">
        <v>558</v>
      </c>
      <c r="AE1913">
        <v>394.3863053</v>
      </c>
      <c r="AF1913" s="13">
        <v>6.3550800000000001E-5</v>
      </c>
      <c r="AG1913" t="s">
        <v>560</v>
      </c>
      <c r="AH1913">
        <v>1</v>
      </c>
      <c r="AI1913">
        <v>6205845</v>
      </c>
      <c r="AJ1913" t="s">
        <v>561</v>
      </c>
      <c r="AK1913" t="s">
        <v>573</v>
      </c>
      <c r="AL1913" t="s">
        <v>1006</v>
      </c>
      <c r="AM1913">
        <v>2021</v>
      </c>
      <c r="AN1913">
        <v>2019</v>
      </c>
      <c r="AO1913">
        <f>IF(AND(emissions[[#This Row],[Market-based]]=0,emissions[[#This Row],[Impact Type]]="CO2E"),emissions[[#This Row],[kgCO2e]],0)/1000</f>
        <v>0</v>
      </c>
      <c r="AP1913">
        <f>IF(AND(emissions[[#This Row],[Market-based]]=1,OR(emissions[[#This Row],[Impact Type]]="CO2E",emissions[[#This Row],[Impact Type]]="CO2E MKT")),emissions[[#This Row],[kgCO2e]],0)/1000</f>
        <v>0</v>
      </c>
      <c r="AQ1913" t="str">
        <f>_xlfn.TEXTAFTER(emissions[[#This Row],[Reporting Unit]]," &gt; ",LEN(emissions[[#This Row],[Reporting Unit]])-LEN(SUBSTITUTE(emissions[[#This Row],[Reporting Unit]],"&gt;","")))</f>
        <v>Vantage_Argentina Farm (Agrinsa)</v>
      </c>
      <c r="AR1913" t="str">
        <f>_xlfn.XLOOKUP(emissions[[#This Row],[Reporting unit name]],hierarchy!$A:$A,hierarchy!$C:$C)</f>
        <v>Labratory</v>
      </c>
    </row>
    <row r="1914" spans="1:44" hidden="1" x14ac:dyDescent="0.25">
      <c r="A1914">
        <v>4621</v>
      </c>
      <c r="B1914" t="s">
        <v>240</v>
      </c>
      <c r="C1914" t="s">
        <v>475</v>
      </c>
      <c r="D1914" t="s">
        <v>599</v>
      </c>
      <c r="E1914" s="3">
        <v>44197</v>
      </c>
      <c r="F1914" s="3">
        <v>44561</v>
      </c>
      <c r="G1914" t="s">
        <v>108</v>
      </c>
      <c r="H1914" s="3">
        <v>44197</v>
      </c>
      <c r="I1914" s="3">
        <v>44561</v>
      </c>
      <c r="J1914" t="s">
        <v>108</v>
      </c>
      <c r="K1914">
        <v>6205845</v>
      </c>
      <c r="L1914" t="s">
        <v>109</v>
      </c>
      <c r="M1914" t="s">
        <v>110</v>
      </c>
      <c r="O1914" t="s">
        <v>1002</v>
      </c>
      <c r="P1914" t="s">
        <v>550</v>
      </c>
      <c r="Q1914">
        <v>2021</v>
      </c>
      <c r="R1914" t="s">
        <v>575</v>
      </c>
      <c r="S1914" t="s">
        <v>576</v>
      </c>
      <c r="T1914" t="s">
        <v>577</v>
      </c>
      <c r="U1914" t="b">
        <v>0</v>
      </c>
      <c r="V1914" t="s">
        <v>1005</v>
      </c>
      <c r="W1914" t="s">
        <v>571</v>
      </c>
      <c r="X1914" t="s">
        <v>572</v>
      </c>
      <c r="Y1914" t="s">
        <v>472</v>
      </c>
      <c r="Z1914" t="s">
        <v>491</v>
      </c>
      <c r="AA1914" t="s">
        <v>991</v>
      </c>
      <c r="AC1914">
        <v>0</v>
      </c>
      <c r="AD1914" t="s">
        <v>564</v>
      </c>
      <c r="AE1914">
        <v>377559.15629999997</v>
      </c>
      <c r="AF1914">
        <v>6.0839282000000001E-2</v>
      </c>
      <c r="AG1914" t="s">
        <v>560</v>
      </c>
      <c r="AH1914">
        <v>1</v>
      </c>
      <c r="AI1914">
        <v>6205845</v>
      </c>
      <c r="AJ1914" t="s">
        <v>561</v>
      </c>
      <c r="AK1914" t="s">
        <v>573</v>
      </c>
      <c r="AL1914" t="s">
        <v>1006</v>
      </c>
      <c r="AM1914">
        <v>2021</v>
      </c>
      <c r="AN1914">
        <v>2019</v>
      </c>
      <c r="AO1914">
        <f>IF(AND(emissions[[#This Row],[Market-based]]=0,emissions[[#This Row],[Impact Type]]="CO2E"),emissions[[#This Row],[kgCO2e]],0)/1000</f>
        <v>0</v>
      </c>
      <c r="AP1914">
        <f>IF(AND(emissions[[#This Row],[Market-based]]=1,OR(emissions[[#This Row],[Impact Type]]="CO2E",emissions[[#This Row],[Impact Type]]="CO2E MKT")),emissions[[#This Row],[kgCO2e]],0)/1000</f>
        <v>0</v>
      </c>
      <c r="AQ1914" t="str">
        <f>_xlfn.TEXTAFTER(emissions[[#This Row],[Reporting Unit]]," &gt; ",LEN(emissions[[#This Row],[Reporting Unit]])-LEN(SUBSTITUTE(emissions[[#This Row],[Reporting Unit]],"&gt;","")))</f>
        <v>Vantage_Argentina Farm (Agrinsa)</v>
      </c>
      <c r="AR1914" t="str">
        <f>_xlfn.XLOOKUP(emissions[[#This Row],[Reporting unit name]],hierarchy!$A:$A,hierarchy!$C:$C)</f>
        <v>Labratory</v>
      </c>
    </row>
    <row r="1915" spans="1:44" hidden="1" x14ac:dyDescent="0.25">
      <c r="A1915">
        <v>4621</v>
      </c>
      <c r="B1915" t="s">
        <v>240</v>
      </c>
      <c r="C1915" t="s">
        <v>475</v>
      </c>
      <c r="D1915" t="s">
        <v>599</v>
      </c>
      <c r="E1915" s="3">
        <v>44197</v>
      </c>
      <c r="F1915" s="3">
        <v>44561</v>
      </c>
      <c r="G1915" t="s">
        <v>108</v>
      </c>
      <c r="H1915" s="3">
        <v>44197</v>
      </c>
      <c r="I1915" s="3">
        <v>44561</v>
      </c>
      <c r="J1915" t="s">
        <v>108</v>
      </c>
      <c r="K1915">
        <v>6205845</v>
      </c>
      <c r="L1915" t="s">
        <v>109</v>
      </c>
      <c r="M1915" t="s">
        <v>110</v>
      </c>
      <c r="O1915" t="s">
        <v>1002</v>
      </c>
      <c r="P1915" t="s">
        <v>550</v>
      </c>
      <c r="Q1915">
        <v>2021</v>
      </c>
      <c r="R1915" t="s">
        <v>575</v>
      </c>
      <c r="S1915" t="s">
        <v>576</v>
      </c>
      <c r="T1915" t="s">
        <v>577</v>
      </c>
      <c r="U1915" t="b">
        <v>0</v>
      </c>
      <c r="V1915" t="s">
        <v>1005</v>
      </c>
      <c r="W1915" t="s">
        <v>571</v>
      </c>
      <c r="X1915" t="s">
        <v>572</v>
      </c>
      <c r="Y1915" t="s">
        <v>472</v>
      </c>
      <c r="Z1915" t="s">
        <v>491</v>
      </c>
      <c r="AA1915" t="s">
        <v>991</v>
      </c>
      <c r="AC1915">
        <v>0</v>
      </c>
      <c r="AD1915" t="s">
        <v>565</v>
      </c>
      <c r="AE1915">
        <v>378610.85310000001</v>
      </c>
      <c r="AF1915">
        <v>6.1008751E-2</v>
      </c>
      <c r="AG1915" t="s">
        <v>560</v>
      </c>
      <c r="AH1915">
        <v>1</v>
      </c>
      <c r="AI1915">
        <v>6205845</v>
      </c>
      <c r="AJ1915" t="s">
        <v>561</v>
      </c>
      <c r="AK1915" t="s">
        <v>573</v>
      </c>
      <c r="AL1915" t="s">
        <v>1006</v>
      </c>
      <c r="AM1915">
        <v>2021</v>
      </c>
      <c r="AN1915">
        <v>2019</v>
      </c>
      <c r="AO1915">
        <f>IF(AND(emissions[[#This Row],[Market-based]]=0,emissions[[#This Row],[Impact Type]]="CO2E"),emissions[[#This Row],[kgCO2e]],0)/1000</f>
        <v>378.61085309999999</v>
      </c>
      <c r="AP1915">
        <f>IF(AND(emissions[[#This Row],[Market-based]]=1,OR(emissions[[#This Row],[Impact Type]]="CO2E",emissions[[#This Row],[Impact Type]]="CO2E MKT")),emissions[[#This Row],[kgCO2e]],0)/1000</f>
        <v>0</v>
      </c>
      <c r="AQ1915" t="str">
        <f>_xlfn.TEXTAFTER(emissions[[#This Row],[Reporting Unit]]," &gt; ",LEN(emissions[[#This Row],[Reporting Unit]])-LEN(SUBSTITUTE(emissions[[#This Row],[Reporting Unit]],"&gt;","")))</f>
        <v>Vantage_Argentina Farm (Agrinsa)</v>
      </c>
      <c r="AR1915" t="str">
        <f>_xlfn.XLOOKUP(emissions[[#This Row],[Reporting unit name]],hierarchy!$A:$A,hierarchy!$C:$C)</f>
        <v>Labratory</v>
      </c>
    </row>
    <row r="1916" spans="1:44" hidden="1" x14ac:dyDescent="0.25">
      <c r="A1916">
        <v>4621</v>
      </c>
      <c r="B1916" t="s">
        <v>240</v>
      </c>
      <c r="C1916" t="s">
        <v>475</v>
      </c>
      <c r="D1916" t="s">
        <v>599</v>
      </c>
      <c r="E1916" s="3">
        <v>44197</v>
      </c>
      <c r="F1916" s="3">
        <v>44561</v>
      </c>
      <c r="G1916" t="s">
        <v>108</v>
      </c>
      <c r="H1916" s="3">
        <v>44197</v>
      </c>
      <c r="I1916" s="3">
        <v>44561</v>
      </c>
      <c r="J1916" t="s">
        <v>108</v>
      </c>
      <c r="K1916">
        <v>6205845</v>
      </c>
      <c r="L1916" t="s">
        <v>109</v>
      </c>
      <c r="M1916" t="s">
        <v>110</v>
      </c>
      <c r="O1916" t="s">
        <v>1002</v>
      </c>
      <c r="P1916" t="s">
        <v>550</v>
      </c>
      <c r="Q1916">
        <v>2021</v>
      </c>
      <c r="R1916" t="s">
        <v>575</v>
      </c>
      <c r="S1916" t="s">
        <v>576</v>
      </c>
      <c r="T1916" t="s">
        <v>577</v>
      </c>
      <c r="U1916" t="b">
        <v>0</v>
      </c>
      <c r="V1916" t="s">
        <v>1005</v>
      </c>
      <c r="W1916" t="s">
        <v>571</v>
      </c>
      <c r="X1916" t="s">
        <v>572</v>
      </c>
      <c r="Y1916" t="s">
        <v>472</v>
      </c>
      <c r="Z1916" t="s">
        <v>491</v>
      </c>
      <c r="AA1916" t="s">
        <v>991</v>
      </c>
      <c r="AC1916">
        <v>0</v>
      </c>
      <c r="AD1916" t="s">
        <v>566</v>
      </c>
      <c r="AE1916">
        <v>657.31050879999998</v>
      </c>
      <c r="AF1916">
        <v>1.05918E-4</v>
      </c>
      <c r="AG1916" t="s">
        <v>560</v>
      </c>
      <c r="AH1916">
        <v>1</v>
      </c>
      <c r="AI1916">
        <v>6205845</v>
      </c>
      <c r="AJ1916" t="s">
        <v>561</v>
      </c>
      <c r="AK1916" t="s">
        <v>573</v>
      </c>
      <c r="AL1916" t="s">
        <v>1006</v>
      </c>
      <c r="AM1916">
        <v>2021</v>
      </c>
      <c r="AN1916">
        <v>2019</v>
      </c>
      <c r="AO1916">
        <f>IF(AND(emissions[[#This Row],[Market-based]]=0,emissions[[#This Row],[Impact Type]]="CO2E"),emissions[[#This Row],[kgCO2e]],0)/1000</f>
        <v>0</v>
      </c>
      <c r="AP1916">
        <f>IF(AND(emissions[[#This Row],[Market-based]]=1,OR(emissions[[#This Row],[Impact Type]]="CO2E",emissions[[#This Row],[Impact Type]]="CO2E MKT")),emissions[[#This Row],[kgCO2e]],0)/1000</f>
        <v>0</v>
      </c>
      <c r="AQ1916" t="str">
        <f>_xlfn.TEXTAFTER(emissions[[#This Row],[Reporting Unit]]," &gt; ",LEN(emissions[[#This Row],[Reporting Unit]])-LEN(SUBSTITUTE(emissions[[#This Row],[Reporting Unit]],"&gt;","")))</f>
        <v>Vantage_Argentina Farm (Agrinsa)</v>
      </c>
      <c r="AR1916" t="str">
        <f>_xlfn.XLOOKUP(emissions[[#This Row],[Reporting unit name]],hierarchy!$A:$A,hierarchy!$C:$C)</f>
        <v>Labratory</v>
      </c>
    </row>
    <row r="1917" spans="1:44" hidden="1" x14ac:dyDescent="0.25">
      <c r="A1917">
        <v>4621</v>
      </c>
      <c r="B1917" t="s">
        <v>240</v>
      </c>
      <c r="C1917" t="s">
        <v>475</v>
      </c>
      <c r="D1917" t="s">
        <v>599</v>
      </c>
      <c r="E1917" s="3">
        <v>44197</v>
      </c>
      <c r="F1917" s="3">
        <v>44561</v>
      </c>
      <c r="G1917" t="s">
        <v>108</v>
      </c>
      <c r="H1917" s="3">
        <v>44197</v>
      </c>
      <c r="I1917" s="3">
        <v>44561</v>
      </c>
      <c r="J1917" t="s">
        <v>108</v>
      </c>
      <c r="K1917">
        <v>6205845</v>
      </c>
      <c r="L1917" t="s">
        <v>109</v>
      </c>
      <c r="M1917" t="s">
        <v>110</v>
      </c>
      <c r="O1917" t="s">
        <v>1002</v>
      </c>
      <c r="P1917" t="s">
        <v>550</v>
      </c>
      <c r="Q1917">
        <v>2021</v>
      </c>
      <c r="R1917" t="s">
        <v>575</v>
      </c>
      <c r="S1917" t="s">
        <v>576</v>
      </c>
      <c r="T1917" t="s">
        <v>577</v>
      </c>
      <c r="U1917" t="b">
        <v>0</v>
      </c>
      <c r="V1917" t="s">
        <v>1005</v>
      </c>
      <c r="W1917" t="s">
        <v>571</v>
      </c>
      <c r="X1917" t="s">
        <v>572</v>
      </c>
      <c r="Y1917" t="s">
        <v>472</v>
      </c>
      <c r="Z1917" t="s">
        <v>491</v>
      </c>
      <c r="AA1917" t="s">
        <v>991</v>
      </c>
      <c r="AC1917">
        <v>1</v>
      </c>
      <c r="AD1917" t="s">
        <v>558</v>
      </c>
      <c r="AE1917">
        <v>394.3863053</v>
      </c>
      <c r="AF1917" s="13">
        <v>6.3550800000000001E-5</v>
      </c>
      <c r="AG1917" t="s">
        <v>560</v>
      </c>
      <c r="AH1917">
        <v>1</v>
      </c>
      <c r="AI1917">
        <v>6205845</v>
      </c>
      <c r="AJ1917" t="s">
        <v>561</v>
      </c>
      <c r="AK1917" t="s">
        <v>573</v>
      </c>
      <c r="AL1917" t="s">
        <v>1006</v>
      </c>
      <c r="AM1917">
        <v>2021</v>
      </c>
      <c r="AN1917">
        <v>2019</v>
      </c>
      <c r="AO1917">
        <f>IF(AND(emissions[[#This Row],[Market-based]]=0,emissions[[#This Row],[Impact Type]]="CO2E"),emissions[[#This Row],[kgCO2e]],0)/1000</f>
        <v>0</v>
      </c>
      <c r="AP1917">
        <f>IF(AND(emissions[[#This Row],[Market-based]]=1,OR(emissions[[#This Row],[Impact Type]]="CO2E",emissions[[#This Row],[Impact Type]]="CO2E MKT")),emissions[[#This Row],[kgCO2e]],0)/1000</f>
        <v>0</v>
      </c>
      <c r="AQ1917" t="str">
        <f>_xlfn.TEXTAFTER(emissions[[#This Row],[Reporting Unit]]," &gt; ",LEN(emissions[[#This Row],[Reporting Unit]])-LEN(SUBSTITUTE(emissions[[#This Row],[Reporting Unit]],"&gt;","")))</f>
        <v>Vantage_Argentina Farm (Agrinsa)</v>
      </c>
      <c r="AR1917" t="str">
        <f>_xlfn.XLOOKUP(emissions[[#This Row],[Reporting unit name]],hierarchy!$A:$A,hierarchy!$C:$C)</f>
        <v>Labratory</v>
      </c>
    </row>
    <row r="1918" spans="1:44" hidden="1" x14ac:dyDescent="0.25">
      <c r="A1918">
        <v>4621</v>
      </c>
      <c r="B1918" t="s">
        <v>240</v>
      </c>
      <c r="C1918" t="s">
        <v>475</v>
      </c>
      <c r="D1918" t="s">
        <v>599</v>
      </c>
      <c r="E1918" s="3">
        <v>44197</v>
      </c>
      <c r="F1918" s="3">
        <v>44561</v>
      </c>
      <c r="G1918" t="s">
        <v>108</v>
      </c>
      <c r="H1918" s="3">
        <v>44197</v>
      </c>
      <c r="I1918" s="3">
        <v>44561</v>
      </c>
      <c r="J1918" t="s">
        <v>108</v>
      </c>
      <c r="K1918">
        <v>6205845</v>
      </c>
      <c r="L1918" t="s">
        <v>109</v>
      </c>
      <c r="M1918" t="s">
        <v>110</v>
      </c>
      <c r="O1918" t="s">
        <v>1002</v>
      </c>
      <c r="P1918" t="s">
        <v>550</v>
      </c>
      <c r="Q1918">
        <v>2021</v>
      </c>
      <c r="R1918" t="s">
        <v>575</v>
      </c>
      <c r="S1918" t="s">
        <v>576</v>
      </c>
      <c r="T1918" t="s">
        <v>577</v>
      </c>
      <c r="U1918" t="b">
        <v>0</v>
      </c>
      <c r="V1918" t="s">
        <v>1005</v>
      </c>
      <c r="W1918" t="s">
        <v>571</v>
      </c>
      <c r="X1918" t="s">
        <v>572</v>
      </c>
      <c r="Y1918" t="s">
        <v>472</v>
      </c>
      <c r="Z1918" t="s">
        <v>491</v>
      </c>
      <c r="AA1918" t="s">
        <v>991</v>
      </c>
      <c r="AC1918">
        <v>1</v>
      </c>
      <c r="AD1918" t="s">
        <v>564</v>
      </c>
      <c r="AE1918">
        <v>377559.15629999997</v>
      </c>
      <c r="AF1918">
        <v>6.0839282000000001E-2</v>
      </c>
      <c r="AG1918" t="s">
        <v>560</v>
      </c>
      <c r="AH1918">
        <v>1</v>
      </c>
      <c r="AI1918">
        <v>6205845</v>
      </c>
      <c r="AJ1918" t="s">
        <v>561</v>
      </c>
      <c r="AK1918" t="s">
        <v>573</v>
      </c>
      <c r="AL1918" t="s">
        <v>1006</v>
      </c>
      <c r="AM1918">
        <v>2021</v>
      </c>
      <c r="AN1918">
        <v>2019</v>
      </c>
      <c r="AO1918">
        <f>IF(AND(emissions[[#This Row],[Market-based]]=0,emissions[[#This Row],[Impact Type]]="CO2E"),emissions[[#This Row],[kgCO2e]],0)/1000</f>
        <v>0</v>
      </c>
      <c r="AP1918">
        <f>IF(AND(emissions[[#This Row],[Market-based]]=1,OR(emissions[[#This Row],[Impact Type]]="CO2E",emissions[[#This Row],[Impact Type]]="CO2E MKT")),emissions[[#This Row],[kgCO2e]],0)/1000</f>
        <v>0</v>
      </c>
      <c r="AQ1918" t="str">
        <f>_xlfn.TEXTAFTER(emissions[[#This Row],[Reporting Unit]]," &gt; ",LEN(emissions[[#This Row],[Reporting Unit]])-LEN(SUBSTITUTE(emissions[[#This Row],[Reporting Unit]],"&gt;","")))</f>
        <v>Vantage_Argentina Farm (Agrinsa)</v>
      </c>
      <c r="AR1918" t="str">
        <f>_xlfn.XLOOKUP(emissions[[#This Row],[Reporting unit name]],hierarchy!$A:$A,hierarchy!$C:$C)</f>
        <v>Labratory</v>
      </c>
    </row>
    <row r="1919" spans="1:44" hidden="1" x14ac:dyDescent="0.25">
      <c r="A1919">
        <v>4621</v>
      </c>
      <c r="B1919" t="s">
        <v>240</v>
      </c>
      <c r="C1919" t="s">
        <v>475</v>
      </c>
      <c r="D1919" t="s">
        <v>599</v>
      </c>
      <c r="E1919" s="3">
        <v>44197</v>
      </c>
      <c r="F1919" s="3">
        <v>44561</v>
      </c>
      <c r="G1919" t="s">
        <v>108</v>
      </c>
      <c r="H1919" s="3">
        <v>44197</v>
      </c>
      <c r="I1919" s="3">
        <v>44561</v>
      </c>
      <c r="J1919" t="s">
        <v>108</v>
      </c>
      <c r="K1919">
        <v>6205845</v>
      </c>
      <c r="L1919" t="s">
        <v>109</v>
      </c>
      <c r="M1919" t="s">
        <v>110</v>
      </c>
      <c r="O1919" t="s">
        <v>1002</v>
      </c>
      <c r="P1919" t="s">
        <v>550</v>
      </c>
      <c r="Q1919">
        <v>2021</v>
      </c>
      <c r="R1919" t="s">
        <v>575</v>
      </c>
      <c r="S1919" t="s">
        <v>576</v>
      </c>
      <c r="T1919" t="s">
        <v>577</v>
      </c>
      <c r="U1919" t="b">
        <v>0</v>
      </c>
      <c r="V1919" t="s">
        <v>1005</v>
      </c>
      <c r="W1919" t="s">
        <v>571</v>
      </c>
      <c r="X1919" t="s">
        <v>572</v>
      </c>
      <c r="Y1919" t="s">
        <v>472</v>
      </c>
      <c r="Z1919" t="s">
        <v>491</v>
      </c>
      <c r="AA1919" t="s">
        <v>991</v>
      </c>
      <c r="AC1919">
        <v>1</v>
      </c>
      <c r="AD1919" t="s">
        <v>565</v>
      </c>
      <c r="AE1919">
        <v>378610.85310000001</v>
      </c>
      <c r="AF1919">
        <v>6.1008751E-2</v>
      </c>
      <c r="AG1919" t="s">
        <v>560</v>
      </c>
      <c r="AH1919">
        <v>1</v>
      </c>
      <c r="AI1919">
        <v>6205845</v>
      </c>
      <c r="AJ1919" t="s">
        <v>561</v>
      </c>
      <c r="AK1919" t="s">
        <v>573</v>
      </c>
      <c r="AL1919" t="s">
        <v>1006</v>
      </c>
      <c r="AM1919">
        <v>2021</v>
      </c>
      <c r="AN1919">
        <v>2019</v>
      </c>
      <c r="AO1919">
        <f>IF(AND(emissions[[#This Row],[Market-based]]=0,emissions[[#This Row],[Impact Type]]="CO2E"),emissions[[#This Row],[kgCO2e]],0)/1000</f>
        <v>0</v>
      </c>
      <c r="AP1919">
        <f>IF(AND(emissions[[#This Row],[Market-based]]=1,OR(emissions[[#This Row],[Impact Type]]="CO2E",emissions[[#This Row],[Impact Type]]="CO2E MKT")),emissions[[#This Row],[kgCO2e]],0)/1000</f>
        <v>378.61085309999999</v>
      </c>
      <c r="AQ1919" t="str">
        <f>_xlfn.TEXTAFTER(emissions[[#This Row],[Reporting Unit]]," &gt; ",LEN(emissions[[#This Row],[Reporting Unit]])-LEN(SUBSTITUTE(emissions[[#This Row],[Reporting Unit]],"&gt;","")))</f>
        <v>Vantage_Argentina Farm (Agrinsa)</v>
      </c>
      <c r="AR1919" t="str">
        <f>_xlfn.XLOOKUP(emissions[[#This Row],[Reporting unit name]],hierarchy!$A:$A,hierarchy!$C:$C)</f>
        <v>Labratory</v>
      </c>
    </row>
    <row r="1920" spans="1:44" hidden="1" x14ac:dyDescent="0.25">
      <c r="A1920">
        <v>4621</v>
      </c>
      <c r="B1920" t="s">
        <v>240</v>
      </c>
      <c r="C1920" t="s">
        <v>475</v>
      </c>
      <c r="D1920" t="s">
        <v>599</v>
      </c>
      <c r="E1920" s="3">
        <v>44197</v>
      </c>
      <c r="F1920" s="3">
        <v>44561</v>
      </c>
      <c r="G1920" t="s">
        <v>108</v>
      </c>
      <c r="H1920" s="3">
        <v>44197</v>
      </c>
      <c r="I1920" s="3">
        <v>44561</v>
      </c>
      <c r="J1920" t="s">
        <v>108</v>
      </c>
      <c r="K1920">
        <v>6205845</v>
      </c>
      <c r="L1920" t="s">
        <v>109</v>
      </c>
      <c r="M1920" t="s">
        <v>110</v>
      </c>
      <c r="O1920" t="s">
        <v>1002</v>
      </c>
      <c r="P1920" t="s">
        <v>550</v>
      </c>
      <c r="Q1920">
        <v>2021</v>
      </c>
      <c r="R1920" t="s">
        <v>575</v>
      </c>
      <c r="S1920" t="s">
        <v>576</v>
      </c>
      <c r="T1920" t="s">
        <v>577</v>
      </c>
      <c r="U1920" t="b">
        <v>0</v>
      </c>
      <c r="V1920" t="s">
        <v>1005</v>
      </c>
      <c r="W1920" t="s">
        <v>571</v>
      </c>
      <c r="X1920" t="s">
        <v>572</v>
      </c>
      <c r="Y1920" t="s">
        <v>472</v>
      </c>
      <c r="Z1920" t="s">
        <v>491</v>
      </c>
      <c r="AA1920" t="s">
        <v>991</v>
      </c>
      <c r="AC1920">
        <v>1</v>
      </c>
      <c r="AD1920" t="s">
        <v>566</v>
      </c>
      <c r="AE1920">
        <v>657.31050879999998</v>
      </c>
      <c r="AF1920">
        <v>1.05918E-4</v>
      </c>
      <c r="AG1920" t="s">
        <v>560</v>
      </c>
      <c r="AH1920">
        <v>1</v>
      </c>
      <c r="AI1920">
        <v>6205845</v>
      </c>
      <c r="AJ1920" t="s">
        <v>561</v>
      </c>
      <c r="AK1920" t="s">
        <v>573</v>
      </c>
      <c r="AL1920" t="s">
        <v>1006</v>
      </c>
      <c r="AM1920">
        <v>2021</v>
      </c>
      <c r="AN1920">
        <v>2019</v>
      </c>
      <c r="AO1920">
        <f>IF(AND(emissions[[#This Row],[Market-based]]=0,emissions[[#This Row],[Impact Type]]="CO2E"),emissions[[#This Row],[kgCO2e]],0)/1000</f>
        <v>0</v>
      </c>
      <c r="AP1920">
        <f>IF(AND(emissions[[#This Row],[Market-based]]=1,OR(emissions[[#This Row],[Impact Type]]="CO2E",emissions[[#This Row],[Impact Type]]="CO2E MKT")),emissions[[#This Row],[kgCO2e]],0)/1000</f>
        <v>0</v>
      </c>
      <c r="AQ1920" t="str">
        <f>_xlfn.TEXTAFTER(emissions[[#This Row],[Reporting Unit]]," &gt; ",LEN(emissions[[#This Row],[Reporting Unit]])-LEN(SUBSTITUTE(emissions[[#This Row],[Reporting Unit]],"&gt;","")))</f>
        <v>Vantage_Argentina Farm (Agrinsa)</v>
      </c>
      <c r="AR1920" t="str">
        <f>_xlfn.XLOOKUP(emissions[[#This Row],[Reporting unit name]],hierarchy!$A:$A,hierarchy!$C:$C)</f>
        <v>Labratory</v>
      </c>
    </row>
    <row r="1921" spans="1:44" hidden="1" x14ac:dyDescent="0.25">
      <c r="A1921">
        <v>4621</v>
      </c>
      <c r="B1921" t="s">
        <v>240</v>
      </c>
      <c r="C1921" t="s">
        <v>475</v>
      </c>
      <c r="D1921" t="s">
        <v>599</v>
      </c>
      <c r="E1921" s="3">
        <v>44197</v>
      </c>
      <c r="F1921" s="3">
        <v>44561</v>
      </c>
      <c r="G1921" t="s">
        <v>108</v>
      </c>
      <c r="H1921" s="3">
        <v>44197</v>
      </c>
      <c r="I1921" s="3">
        <v>44561</v>
      </c>
      <c r="J1921" t="s">
        <v>108</v>
      </c>
      <c r="K1921">
        <v>6205845</v>
      </c>
      <c r="L1921" t="s">
        <v>109</v>
      </c>
      <c r="M1921" t="s">
        <v>110</v>
      </c>
      <c r="O1921" t="s">
        <v>1002</v>
      </c>
      <c r="P1921" t="s">
        <v>550</v>
      </c>
      <c r="Q1921">
        <v>2021</v>
      </c>
      <c r="R1921" t="s">
        <v>579</v>
      </c>
      <c r="S1921" t="s">
        <v>580</v>
      </c>
      <c r="T1921" t="s">
        <v>581</v>
      </c>
      <c r="U1921" t="b">
        <v>0</v>
      </c>
      <c r="V1921" t="s">
        <v>994</v>
      </c>
      <c r="W1921" t="s">
        <v>571</v>
      </c>
      <c r="X1921" t="s">
        <v>572</v>
      </c>
      <c r="Y1921" t="s">
        <v>472</v>
      </c>
      <c r="Z1921" t="s">
        <v>491</v>
      </c>
      <c r="AA1921" t="s">
        <v>991</v>
      </c>
      <c r="AC1921">
        <v>0</v>
      </c>
      <c r="AD1921" t="s">
        <v>565</v>
      </c>
      <c r="AE1921">
        <v>253198.476</v>
      </c>
      <c r="AF1921" t="s">
        <v>559</v>
      </c>
      <c r="AG1921" t="s">
        <v>560</v>
      </c>
      <c r="AH1921">
        <v>1</v>
      </c>
      <c r="AI1921">
        <v>6205845</v>
      </c>
      <c r="AJ1921" t="s">
        <v>561</v>
      </c>
      <c r="AK1921" t="s">
        <v>562</v>
      </c>
      <c r="AL1921" t="s">
        <v>601</v>
      </c>
      <c r="AM1921">
        <v>2021</v>
      </c>
      <c r="AN1921">
        <v>2019</v>
      </c>
      <c r="AO1921">
        <f>IF(AND(emissions[[#This Row],[Market-based]]=0,emissions[[#This Row],[Impact Type]]="CO2E"),emissions[[#This Row],[kgCO2e]],0)/1000</f>
        <v>253.198476</v>
      </c>
      <c r="AP1921">
        <f>IF(AND(emissions[[#This Row],[Market-based]]=1,OR(emissions[[#This Row],[Impact Type]]="CO2E",emissions[[#This Row],[Impact Type]]="CO2E MKT")),emissions[[#This Row],[kgCO2e]],0)/1000</f>
        <v>0</v>
      </c>
      <c r="AQ1921" t="str">
        <f>_xlfn.TEXTAFTER(emissions[[#This Row],[Reporting Unit]]," &gt; ",LEN(emissions[[#This Row],[Reporting Unit]])-LEN(SUBSTITUTE(emissions[[#This Row],[Reporting Unit]],"&gt;","")))</f>
        <v>Vantage_Argentina Farm (Agrinsa)</v>
      </c>
      <c r="AR1921" t="str">
        <f>_xlfn.XLOOKUP(emissions[[#This Row],[Reporting unit name]],hierarchy!$A:$A,hierarchy!$C:$C)</f>
        <v>Labratory</v>
      </c>
    </row>
    <row r="1922" spans="1:44" hidden="1" x14ac:dyDescent="0.25">
      <c r="A1922">
        <v>4621</v>
      </c>
      <c r="B1922" t="s">
        <v>240</v>
      </c>
      <c r="C1922" t="s">
        <v>475</v>
      </c>
      <c r="D1922" t="s">
        <v>599</v>
      </c>
      <c r="E1922" s="3">
        <v>44197</v>
      </c>
      <c r="F1922" s="3">
        <v>44561</v>
      </c>
      <c r="G1922" t="s">
        <v>108</v>
      </c>
      <c r="H1922" s="3">
        <v>44197</v>
      </c>
      <c r="I1922" s="3">
        <v>44561</v>
      </c>
      <c r="J1922" t="s">
        <v>108</v>
      </c>
      <c r="K1922">
        <v>6205845</v>
      </c>
      <c r="L1922" t="s">
        <v>109</v>
      </c>
      <c r="M1922" t="s">
        <v>110</v>
      </c>
      <c r="O1922" t="s">
        <v>1002</v>
      </c>
      <c r="P1922" t="s">
        <v>550</v>
      </c>
      <c r="Q1922">
        <v>2021</v>
      </c>
      <c r="R1922" t="s">
        <v>579</v>
      </c>
      <c r="S1922" t="s">
        <v>580</v>
      </c>
      <c r="T1922" t="s">
        <v>581</v>
      </c>
      <c r="U1922" t="b">
        <v>0</v>
      </c>
      <c r="V1922" t="s">
        <v>994</v>
      </c>
      <c r="W1922" t="s">
        <v>571</v>
      </c>
      <c r="X1922" t="s">
        <v>572</v>
      </c>
      <c r="Y1922" t="s">
        <v>472</v>
      </c>
      <c r="Z1922" t="s">
        <v>491</v>
      </c>
      <c r="AA1922" t="s">
        <v>991</v>
      </c>
      <c r="AC1922">
        <v>1</v>
      </c>
      <c r="AD1922" t="s">
        <v>565</v>
      </c>
      <c r="AE1922">
        <v>253198.476</v>
      </c>
      <c r="AF1922" t="s">
        <v>559</v>
      </c>
      <c r="AG1922" t="s">
        <v>560</v>
      </c>
      <c r="AH1922">
        <v>1</v>
      </c>
      <c r="AI1922">
        <v>6205845</v>
      </c>
      <c r="AJ1922" t="s">
        <v>561</v>
      </c>
      <c r="AK1922" t="s">
        <v>562</v>
      </c>
      <c r="AL1922" t="s">
        <v>601</v>
      </c>
      <c r="AM1922">
        <v>2021</v>
      </c>
      <c r="AN1922">
        <v>2019</v>
      </c>
      <c r="AO1922">
        <f>IF(AND(emissions[[#This Row],[Market-based]]=0,emissions[[#This Row],[Impact Type]]="CO2E"),emissions[[#This Row],[kgCO2e]],0)/1000</f>
        <v>0</v>
      </c>
      <c r="AP1922">
        <f>IF(AND(emissions[[#This Row],[Market-based]]=1,OR(emissions[[#This Row],[Impact Type]]="CO2E",emissions[[#This Row],[Impact Type]]="CO2E MKT")),emissions[[#This Row],[kgCO2e]],0)/1000</f>
        <v>253.198476</v>
      </c>
      <c r="AQ1922" t="str">
        <f>_xlfn.TEXTAFTER(emissions[[#This Row],[Reporting Unit]]," &gt; ",LEN(emissions[[#This Row],[Reporting Unit]])-LEN(SUBSTITUTE(emissions[[#This Row],[Reporting Unit]],"&gt;","")))</f>
        <v>Vantage_Argentina Farm (Agrinsa)</v>
      </c>
      <c r="AR1922" t="str">
        <f>_xlfn.XLOOKUP(emissions[[#This Row],[Reporting unit name]],hierarchy!$A:$A,hierarchy!$C:$C)</f>
        <v>Labratory</v>
      </c>
    </row>
    <row r="1923" spans="1:44" hidden="1" x14ac:dyDescent="0.25">
      <c r="A1923">
        <v>4967</v>
      </c>
      <c r="B1923" t="s">
        <v>240</v>
      </c>
      <c r="C1923" t="s">
        <v>475</v>
      </c>
      <c r="D1923" t="s">
        <v>599</v>
      </c>
      <c r="E1923" s="3">
        <v>44197</v>
      </c>
      <c r="F1923" s="3">
        <v>44561</v>
      </c>
      <c r="G1923" t="s">
        <v>135</v>
      </c>
      <c r="H1923" s="3">
        <v>44197</v>
      </c>
      <c r="I1923" s="3">
        <v>44561</v>
      </c>
      <c r="J1923" t="s">
        <v>135</v>
      </c>
      <c r="K1923">
        <v>0</v>
      </c>
      <c r="L1923" t="s">
        <v>160</v>
      </c>
      <c r="M1923" t="s">
        <v>110</v>
      </c>
      <c r="O1923" t="s">
        <v>600</v>
      </c>
      <c r="P1923" t="s">
        <v>550</v>
      </c>
      <c r="Q1923">
        <v>2021</v>
      </c>
      <c r="R1923" t="s">
        <v>605</v>
      </c>
      <c r="S1923" t="s">
        <v>606</v>
      </c>
      <c r="T1923" t="s">
        <v>553</v>
      </c>
      <c r="U1923" t="b">
        <v>0</v>
      </c>
      <c r="V1923" t="s">
        <v>781</v>
      </c>
      <c r="W1923" t="s">
        <v>587</v>
      </c>
      <c r="X1923" t="s">
        <v>556</v>
      </c>
      <c r="Y1923" t="s">
        <v>472</v>
      </c>
      <c r="AC1923">
        <v>0</v>
      </c>
      <c r="AD1923" t="s">
        <v>558</v>
      </c>
      <c r="AE1923">
        <v>0</v>
      </c>
      <c r="AF1923">
        <v>2.5749999999999999E-5</v>
      </c>
      <c r="AG1923" t="s">
        <v>782</v>
      </c>
      <c r="AH1923">
        <v>1</v>
      </c>
      <c r="AI1923">
        <v>0</v>
      </c>
      <c r="AJ1923" t="s">
        <v>561</v>
      </c>
      <c r="AK1923" t="s">
        <v>766</v>
      </c>
      <c r="AL1923" t="s">
        <v>787</v>
      </c>
      <c r="AM1923">
        <v>2021</v>
      </c>
      <c r="AN1923">
        <v>2020</v>
      </c>
      <c r="AO1923">
        <f>IF(AND(emissions[[#This Row],[Market-based]]=0,emissions[[#This Row],[Impact Type]]="CO2E"),emissions[[#This Row],[kgCO2e]],0)/1000</f>
        <v>0</v>
      </c>
      <c r="AP1923">
        <f>IF(AND(emissions[[#This Row],[Market-based]]=1,OR(emissions[[#This Row],[Impact Type]]="CO2E",emissions[[#This Row],[Impact Type]]="CO2E MKT")),emissions[[#This Row],[kgCO2e]],0)/1000</f>
        <v>0</v>
      </c>
      <c r="AQ1923" t="str">
        <f>_xlfn.TEXTAFTER(emissions[[#This Row],[Reporting Unit]]," &gt; ",LEN(emissions[[#This Row],[Reporting Unit]])-LEN(SUBSTITUTE(emissions[[#This Row],[Reporting Unit]],"&gt;","")))</f>
        <v>Vantage_Argentina Farm (Agrinsa)</v>
      </c>
      <c r="AR1923" t="str">
        <f>_xlfn.XLOOKUP(emissions[[#This Row],[Reporting unit name]],hierarchy!$A:$A,hierarchy!$C:$C)</f>
        <v>Labratory</v>
      </c>
    </row>
    <row r="1924" spans="1:44" hidden="1" x14ac:dyDescent="0.25">
      <c r="A1924">
        <v>4967</v>
      </c>
      <c r="B1924" t="s">
        <v>240</v>
      </c>
      <c r="C1924" t="s">
        <v>475</v>
      </c>
      <c r="D1924" t="s">
        <v>599</v>
      </c>
      <c r="E1924" s="3">
        <v>44197</v>
      </c>
      <c r="F1924" s="3">
        <v>44561</v>
      </c>
      <c r="G1924" t="s">
        <v>135</v>
      </c>
      <c r="H1924" s="3">
        <v>44197</v>
      </c>
      <c r="I1924" s="3">
        <v>44561</v>
      </c>
      <c r="J1924" t="s">
        <v>135</v>
      </c>
      <c r="K1924">
        <v>0</v>
      </c>
      <c r="L1924" t="s">
        <v>160</v>
      </c>
      <c r="M1924" t="s">
        <v>110</v>
      </c>
      <c r="O1924" t="s">
        <v>600</v>
      </c>
      <c r="P1924" t="s">
        <v>550</v>
      </c>
      <c r="Q1924">
        <v>2021</v>
      </c>
      <c r="R1924" t="s">
        <v>605</v>
      </c>
      <c r="S1924" t="s">
        <v>606</v>
      </c>
      <c r="T1924" t="s">
        <v>553</v>
      </c>
      <c r="U1924" t="b">
        <v>0</v>
      </c>
      <c r="V1924" t="s">
        <v>781</v>
      </c>
      <c r="W1924" t="s">
        <v>587</v>
      </c>
      <c r="X1924" t="s">
        <v>556</v>
      </c>
      <c r="Y1924" t="s">
        <v>472</v>
      </c>
      <c r="AC1924">
        <v>0</v>
      </c>
      <c r="AD1924" t="s">
        <v>564</v>
      </c>
      <c r="AE1924">
        <v>0</v>
      </c>
      <c r="AF1924">
        <v>5.4440000000000002E-2</v>
      </c>
      <c r="AG1924" t="s">
        <v>782</v>
      </c>
      <c r="AH1924">
        <v>1</v>
      </c>
      <c r="AI1924">
        <v>0</v>
      </c>
      <c r="AJ1924" t="s">
        <v>561</v>
      </c>
      <c r="AK1924" t="s">
        <v>766</v>
      </c>
      <c r="AL1924" t="s">
        <v>790</v>
      </c>
      <c r="AM1924">
        <v>2021</v>
      </c>
      <c r="AN1924">
        <v>2021</v>
      </c>
      <c r="AO1924">
        <f>IF(AND(emissions[[#This Row],[Market-based]]=0,emissions[[#This Row],[Impact Type]]="CO2E"),emissions[[#This Row],[kgCO2e]],0)/1000</f>
        <v>0</v>
      </c>
      <c r="AP1924">
        <f>IF(AND(emissions[[#This Row],[Market-based]]=1,OR(emissions[[#This Row],[Impact Type]]="CO2E",emissions[[#This Row],[Impact Type]]="CO2E MKT")),emissions[[#This Row],[kgCO2e]],0)/1000</f>
        <v>0</v>
      </c>
      <c r="AQ1924" t="str">
        <f>_xlfn.TEXTAFTER(emissions[[#This Row],[Reporting Unit]]," &gt; ",LEN(emissions[[#This Row],[Reporting Unit]])-LEN(SUBSTITUTE(emissions[[#This Row],[Reporting Unit]],"&gt;","")))</f>
        <v>Vantage_Argentina Farm (Agrinsa)</v>
      </c>
      <c r="AR1924" t="str">
        <f>_xlfn.XLOOKUP(emissions[[#This Row],[Reporting unit name]],hierarchy!$A:$A,hierarchy!$C:$C)</f>
        <v>Labratory</v>
      </c>
    </row>
    <row r="1925" spans="1:44" hidden="1" x14ac:dyDescent="0.25">
      <c r="A1925">
        <v>4967</v>
      </c>
      <c r="B1925" t="s">
        <v>240</v>
      </c>
      <c r="C1925" t="s">
        <v>475</v>
      </c>
      <c r="D1925" t="s">
        <v>599</v>
      </c>
      <c r="E1925" s="3">
        <v>44197</v>
      </c>
      <c r="F1925" s="3">
        <v>44561</v>
      </c>
      <c r="G1925" t="s">
        <v>135</v>
      </c>
      <c r="H1925" s="3">
        <v>44197</v>
      </c>
      <c r="I1925" s="3">
        <v>44561</v>
      </c>
      <c r="J1925" t="s">
        <v>135</v>
      </c>
      <c r="K1925">
        <v>0</v>
      </c>
      <c r="L1925" t="s">
        <v>160</v>
      </c>
      <c r="M1925" t="s">
        <v>110</v>
      </c>
      <c r="O1925" t="s">
        <v>600</v>
      </c>
      <c r="P1925" t="s">
        <v>550</v>
      </c>
      <c r="Q1925">
        <v>2021</v>
      </c>
      <c r="R1925" t="s">
        <v>605</v>
      </c>
      <c r="S1925" t="s">
        <v>606</v>
      </c>
      <c r="T1925" t="s">
        <v>553</v>
      </c>
      <c r="U1925" t="b">
        <v>0</v>
      </c>
      <c r="V1925" t="s">
        <v>781</v>
      </c>
      <c r="W1925" t="s">
        <v>587</v>
      </c>
      <c r="X1925" t="s">
        <v>556</v>
      </c>
      <c r="Y1925" t="s">
        <v>472</v>
      </c>
      <c r="AC1925">
        <v>0</v>
      </c>
      <c r="AD1925" t="s">
        <v>565</v>
      </c>
      <c r="AE1925">
        <v>0</v>
      </c>
      <c r="AF1925">
        <v>5.4495549999999997E-2</v>
      </c>
      <c r="AG1925" t="s">
        <v>782</v>
      </c>
      <c r="AH1925">
        <v>1</v>
      </c>
      <c r="AI1925">
        <v>0</v>
      </c>
      <c r="AJ1925" t="s">
        <v>561</v>
      </c>
      <c r="AK1925" t="s">
        <v>766</v>
      </c>
      <c r="AL1925" t="s">
        <v>787</v>
      </c>
      <c r="AM1925">
        <v>2021</v>
      </c>
      <c r="AN1925">
        <v>2020</v>
      </c>
      <c r="AO1925">
        <f>IF(AND(emissions[[#This Row],[Market-based]]=0,emissions[[#This Row],[Impact Type]]="CO2E"),emissions[[#This Row],[kgCO2e]],0)/1000</f>
        <v>0</v>
      </c>
      <c r="AP1925">
        <f>IF(AND(emissions[[#This Row],[Market-based]]=1,OR(emissions[[#This Row],[Impact Type]]="CO2E",emissions[[#This Row],[Impact Type]]="CO2E MKT")),emissions[[#This Row],[kgCO2e]],0)/1000</f>
        <v>0</v>
      </c>
      <c r="AQ1925" t="str">
        <f>_xlfn.TEXTAFTER(emissions[[#This Row],[Reporting Unit]]," &gt; ",LEN(emissions[[#This Row],[Reporting Unit]])-LEN(SUBSTITUTE(emissions[[#This Row],[Reporting Unit]],"&gt;","")))</f>
        <v>Vantage_Argentina Farm (Agrinsa)</v>
      </c>
      <c r="AR1925" t="str">
        <f>_xlfn.XLOOKUP(emissions[[#This Row],[Reporting unit name]],hierarchy!$A:$A,hierarchy!$C:$C)</f>
        <v>Labratory</v>
      </c>
    </row>
    <row r="1926" spans="1:44" hidden="1" x14ac:dyDescent="0.25">
      <c r="A1926">
        <v>4967</v>
      </c>
      <c r="B1926" t="s">
        <v>240</v>
      </c>
      <c r="C1926" t="s">
        <v>475</v>
      </c>
      <c r="D1926" t="s">
        <v>599</v>
      </c>
      <c r="E1926" s="3">
        <v>44197</v>
      </c>
      <c r="F1926" s="3">
        <v>44561</v>
      </c>
      <c r="G1926" t="s">
        <v>135</v>
      </c>
      <c r="H1926" s="3">
        <v>44197</v>
      </c>
      <c r="I1926" s="3">
        <v>44561</v>
      </c>
      <c r="J1926" t="s">
        <v>135</v>
      </c>
      <c r="K1926">
        <v>0</v>
      </c>
      <c r="L1926" t="s">
        <v>160</v>
      </c>
      <c r="M1926" t="s">
        <v>110</v>
      </c>
      <c r="O1926" t="s">
        <v>600</v>
      </c>
      <c r="P1926" t="s">
        <v>550</v>
      </c>
      <c r="Q1926">
        <v>2021</v>
      </c>
      <c r="R1926" t="s">
        <v>605</v>
      </c>
      <c r="S1926" t="s">
        <v>606</v>
      </c>
      <c r="T1926" t="s">
        <v>553</v>
      </c>
      <c r="U1926" t="b">
        <v>0</v>
      </c>
      <c r="V1926" t="s">
        <v>781</v>
      </c>
      <c r="W1926" t="s">
        <v>587</v>
      </c>
      <c r="X1926" t="s">
        <v>556</v>
      </c>
      <c r="Y1926" t="s">
        <v>472</v>
      </c>
      <c r="AC1926">
        <v>0</v>
      </c>
      <c r="AD1926" t="s">
        <v>566</v>
      </c>
      <c r="AE1926">
        <v>0</v>
      </c>
      <c r="AF1926">
        <v>2.9799999999999999E-5</v>
      </c>
      <c r="AG1926" t="s">
        <v>782</v>
      </c>
      <c r="AH1926">
        <v>1</v>
      </c>
      <c r="AI1926">
        <v>0</v>
      </c>
      <c r="AJ1926" t="s">
        <v>561</v>
      </c>
      <c r="AK1926" t="s">
        <v>766</v>
      </c>
      <c r="AL1926" t="s">
        <v>790</v>
      </c>
      <c r="AM1926">
        <v>2021</v>
      </c>
      <c r="AN1926">
        <v>2021</v>
      </c>
      <c r="AO1926">
        <f>IF(AND(emissions[[#This Row],[Market-based]]=0,emissions[[#This Row],[Impact Type]]="CO2E"),emissions[[#This Row],[kgCO2e]],0)/1000</f>
        <v>0</v>
      </c>
      <c r="AP1926">
        <f>IF(AND(emissions[[#This Row],[Market-based]]=1,OR(emissions[[#This Row],[Impact Type]]="CO2E",emissions[[#This Row],[Impact Type]]="CO2E MKT")),emissions[[#This Row],[kgCO2e]],0)/1000</f>
        <v>0</v>
      </c>
      <c r="AQ1926" t="str">
        <f>_xlfn.TEXTAFTER(emissions[[#This Row],[Reporting Unit]]," &gt; ",LEN(emissions[[#This Row],[Reporting Unit]])-LEN(SUBSTITUTE(emissions[[#This Row],[Reporting Unit]],"&gt;","")))</f>
        <v>Vantage_Argentina Farm (Agrinsa)</v>
      </c>
      <c r="AR1926" t="str">
        <f>_xlfn.XLOOKUP(emissions[[#This Row],[Reporting unit name]],hierarchy!$A:$A,hierarchy!$C:$C)</f>
        <v>Labratory</v>
      </c>
    </row>
    <row r="1927" spans="1:44" hidden="1" x14ac:dyDescent="0.25">
      <c r="A1927">
        <v>4967</v>
      </c>
      <c r="B1927" t="s">
        <v>240</v>
      </c>
      <c r="C1927" t="s">
        <v>475</v>
      </c>
      <c r="D1927" t="s">
        <v>599</v>
      </c>
      <c r="E1927" s="3">
        <v>44197</v>
      </c>
      <c r="F1927" s="3">
        <v>44561</v>
      </c>
      <c r="G1927" t="s">
        <v>135</v>
      </c>
      <c r="H1927" s="3">
        <v>44197</v>
      </c>
      <c r="I1927" s="3">
        <v>44561</v>
      </c>
      <c r="J1927" t="s">
        <v>135</v>
      </c>
      <c r="K1927">
        <v>0</v>
      </c>
      <c r="L1927" t="s">
        <v>160</v>
      </c>
      <c r="M1927" t="s">
        <v>110</v>
      </c>
      <c r="O1927" t="s">
        <v>600</v>
      </c>
      <c r="P1927" t="s">
        <v>550</v>
      </c>
      <c r="Q1927">
        <v>2021</v>
      </c>
      <c r="R1927" t="s">
        <v>605</v>
      </c>
      <c r="S1927" t="s">
        <v>606</v>
      </c>
      <c r="T1927" t="s">
        <v>553</v>
      </c>
      <c r="U1927" t="b">
        <v>0</v>
      </c>
      <c r="V1927" t="s">
        <v>781</v>
      </c>
      <c r="W1927" t="s">
        <v>587</v>
      </c>
      <c r="X1927" t="s">
        <v>556</v>
      </c>
      <c r="Y1927" t="s">
        <v>472</v>
      </c>
      <c r="AC1927">
        <v>1</v>
      </c>
      <c r="AD1927" t="s">
        <v>558</v>
      </c>
      <c r="AE1927">
        <v>0</v>
      </c>
      <c r="AF1927">
        <v>2.5749999999999999E-5</v>
      </c>
      <c r="AG1927" t="s">
        <v>782</v>
      </c>
      <c r="AH1927">
        <v>1</v>
      </c>
      <c r="AI1927">
        <v>0</v>
      </c>
      <c r="AJ1927" t="s">
        <v>561</v>
      </c>
      <c r="AK1927" t="s">
        <v>766</v>
      </c>
      <c r="AL1927" t="s">
        <v>787</v>
      </c>
      <c r="AM1927">
        <v>2021</v>
      </c>
      <c r="AN1927">
        <v>2020</v>
      </c>
      <c r="AO1927">
        <f>IF(AND(emissions[[#This Row],[Market-based]]=0,emissions[[#This Row],[Impact Type]]="CO2E"),emissions[[#This Row],[kgCO2e]],0)/1000</f>
        <v>0</v>
      </c>
      <c r="AP1927">
        <f>IF(AND(emissions[[#This Row],[Market-based]]=1,OR(emissions[[#This Row],[Impact Type]]="CO2E",emissions[[#This Row],[Impact Type]]="CO2E MKT")),emissions[[#This Row],[kgCO2e]],0)/1000</f>
        <v>0</v>
      </c>
      <c r="AQ1927" t="str">
        <f>_xlfn.TEXTAFTER(emissions[[#This Row],[Reporting Unit]]," &gt; ",LEN(emissions[[#This Row],[Reporting Unit]])-LEN(SUBSTITUTE(emissions[[#This Row],[Reporting Unit]],"&gt;","")))</f>
        <v>Vantage_Argentina Farm (Agrinsa)</v>
      </c>
      <c r="AR1927" t="str">
        <f>_xlfn.XLOOKUP(emissions[[#This Row],[Reporting unit name]],hierarchy!$A:$A,hierarchy!$C:$C)</f>
        <v>Labratory</v>
      </c>
    </row>
    <row r="1928" spans="1:44" hidden="1" x14ac:dyDescent="0.25">
      <c r="A1928">
        <v>4967</v>
      </c>
      <c r="B1928" t="s">
        <v>240</v>
      </c>
      <c r="C1928" t="s">
        <v>475</v>
      </c>
      <c r="D1928" t="s">
        <v>599</v>
      </c>
      <c r="E1928" s="3">
        <v>44197</v>
      </c>
      <c r="F1928" s="3">
        <v>44561</v>
      </c>
      <c r="G1928" t="s">
        <v>135</v>
      </c>
      <c r="H1928" s="3">
        <v>44197</v>
      </c>
      <c r="I1928" s="3">
        <v>44561</v>
      </c>
      <c r="J1928" t="s">
        <v>135</v>
      </c>
      <c r="K1928">
        <v>0</v>
      </c>
      <c r="L1928" t="s">
        <v>160</v>
      </c>
      <c r="M1928" t="s">
        <v>110</v>
      </c>
      <c r="O1928" t="s">
        <v>600</v>
      </c>
      <c r="P1928" t="s">
        <v>550</v>
      </c>
      <c r="Q1928">
        <v>2021</v>
      </c>
      <c r="R1928" t="s">
        <v>605</v>
      </c>
      <c r="S1928" t="s">
        <v>606</v>
      </c>
      <c r="T1928" t="s">
        <v>553</v>
      </c>
      <c r="U1928" t="b">
        <v>0</v>
      </c>
      <c r="V1928" t="s">
        <v>781</v>
      </c>
      <c r="W1928" t="s">
        <v>587</v>
      </c>
      <c r="X1928" t="s">
        <v>556</v>
      </c>
      <c r="Y1928" t="s">
        <v>472</v>
      </c>
      <c r="AC1928">
        <v>1</v>
      </c>
      <c r="AD1928" t="s">
        <v>564</v>
      </c>
      <c r="AE1928">
        <v>0</v>
      </c>
      <c r="AF1928">
        <v>5.4440000000000002E-2</v>
      </c>
      <c r="AG1928" t="s">
        <v>782</v>
      </c>
      <c r="AH1928">
        <v>1</v>
      </c>
      <c r="AI1928">
        <v>0</v>
      </c>
      <c r="AJ1928" t="s">
        <v>561</v>
      </c>
      <c r="AK1928" t="s">
        <v>766</v>
      </c>
      <c r="AL1928" t="s">
        <v>790</v>
      </c>
      <c r="AM1928">
        <v>2021</v>
      </c>
      <c r="AN1928">
        <v>2021</v>
      </c>
      <c r="AO1928">
        <f>IF(AND(emissions[[#This Row],[Market-based]]=0,emissions[[#This Row],[Impact Type]]="CO2E"),emissions[[#This Row],[kgCO2e]],0)/1000</f>
        <v>0</v>
      </c>
      <c r="AP1928">
        <f>IF(AND(emissions[[#This Row],[Market-based]]=1,OR(emissions[[#This Row],[Impact Type]]="CO2E",emissions[[#This Row],[Impact Type]]="CO2E MKT")),emissions[[#This Row],[kgCO2e]],0)/1000</f>
        <v>0</v>
      </c>
      <c r="AQ1928" t="str">
        <f>_xlfn.TEXTAFTER(emissions[[#This Row],[Reporting Unit]]," &gt; ",LEN(emissions[[#This Row],[Reporting Unit]])-LEN(SUBSTITUTE(emissions[[#This Row],[Reporting Unit]],"&gt;","")))</f>
        <v>Vantage_Argentina Farm (Agrinsa)</v>
      </c>
      <c r="AR1928" t="str">
        <f>_xlfn.XLOOKUP(emissions[[#This Row],[Reporting unit name]],hierarchy!$A:$A,hierarchy!$C:$C)</f>
        <v>Labratory</v>
      </c>
    </row>
    <row r="1929" spans="1:44" hidden="1" x14ac:dyDescent="0.25">
      <c r="A1929">
        <v>4967</v>
      </c>
      <c r="B1929" t="s">
        <v>240</v>
      </c>
      <c r="C1929" t="s">
        <v>475</v>
      </c>
      <c r="D1929" t="s">
        <v>599</v>
      </c>
      <c r="E1929" s="3">
        <v>44197</v>
      </c>
      <c r="F1929" s="3">
        <v>44561</v>
      </c>
      <c r="G1929" t="s">
        <v>135</v>
      </c>
      <c r="H1929" s="3">
        <v>44197</v>
      </c>
      <c r="I1929" s="3">
        <v>44561</v>
      </c>
      <c r="J1929" t="s">
        <v>135</v>
      </c>
      <c r="K1929">
        <v>0</v>
      </c>
      <c r="L1929" t="s">
        <v>160</v>
      </c>
      <c r="M1929" t="s">
        <v>110</v>
      </c>
      <c r="O1929" t="s">
        <v>600</v>
      </c>
      <c r="P1929" t="s">
        <v>550</v>
      </c>
      <c r="Q1929">
        <v>2021</v>
      </c>
      <c r="R1929" t="s">
        <v>605</v>
      </c>
      <c r="S1929" t="s">
        <v>606</v>
      </c>
      <c r="T1929" t="s">
        <v>553</v>
      </c>
      <c r="U1929" t="b">
        <v>0</v>
      </c>
      <c r="V1929" t="s">
        <v>781</v>
      </c>
      <c r="W1929" t="s">
        <v>587</v>
      </c>
      <c r="X1929" t="s">
        <v>556</v>
      </c>
      <c r="Y1929" t="s">
        <v>472</v>
      </c>
      <c r="AC1929">
        <v>1</v>
      </c>
      <c r="AD1929" t="s">
        <v>565</v>
      </c>
      <c r="AE1929">
        <v>0</v>
      </c>
      <c r="AF1929">
        <v>5.4495549999999997E-2</v>
      </c>
      <c r="AG1929" t="s">
        <v>782</v>
      </c>
      <c r="AH1929">
        <v>1</v>
      </c>
      <c r="AI1929">
        <v>0</v>
      </c>
      <c r="AJ1929" t="s">
        <v>561</v>
      </c>
      <c r="AK1929" t="s">
        <v>766</v>
      </c>
      <c r="AL1929" t="s">
        <v>787</v>
      </c>
      <c r="AM1929">
        <v>2021</v>
      </c>
      <c r="AN1929">
        <v>2020</v>
      </c>
      <c r="AO1929">
        <f>IF(AND(emissions[[#This Row],[Market-based]]=0,emissions[[#This Row],[Impact Type]]="CO2E"),emissions[[#This Row],[kgCO2e]],0)/1000</f>
        <v>0</v>
      </c>
      <c r="AP1929">
        <f>IF(AND(emissions[[#This Row],[Market-based]]=1,OR(emissions[[#This Row],[Impact Type]]="CO2E",emissions[[#This Row],[Impact Type]]="CO2E MKT")),emissions[[#This Row],[kgCO2e]],0)/1000</f>
        <v>0</v>
      </c>
      <c r="AQ1929" t="str">
        <f>_xlfn.TEXTAFTER(emissions[[#This Row],[Reporting Unit]]," &gt; ",LEN(emissions[[#This Row],[Reporting Unit]])-LEN(SUBSTITUTE(emissions[[#This Row],[Reporting Unit]],"&gt;","")))</f>
        <v>Vantage_Argentina Farm (Agrinsa)</v>
      </c>
      <c r="AR1929" t="str">
        <f>_xlfn.XLOOKUP(emissions[[#This Row],[Reporting unit name]],hierarchy!$A:$A,hierarchy!$C:$C)</f>
        <v>Labratory</v>
      </c>
    </row>
    <row r="1930" spans="1:44" hidden="1" x14ac:dyDescent="0.25">
      <c r="A1930">
        <v>4967</v>
      </c>
      <c r="B1930" t="s">
        <v>240</v>
      </c>
      <c r="C1930" t="s">
        <v>475</v>
      </c>
      <c r="D1930" t="s">
        <v>599</v>
      </c>
      <c r="E1930" s="3">
        <v>44197</v>
      </c>
      <c r="F1930" s="3">
        <v>44561</v>
      </c>
      <c r="G1930" t="s">
        <v>135</v>
      </c>
      <c r="H1930" s="3">
        <v>44197</v>
      </c>
      <c r="I1930" s="3">
        <v>44561</v>
      </c>
      <c r="J1930" t="s">
        <v>135</v>
      </c>
      <c r="K1930">
        <v>0</v>
      </c>
      <c r="L1930" t="s">
        <v>160</v>
      </c>
      <c r="M1930" t="s">
        <v>110</v>
      </c>
      <c r="O1930" t="s">
        <v>600</v>
      </c>
      <c r="P1930" t="s">
        <v>550</v>
      </c>
      <c r="Q1930">
        <v>2021</v>
      </c>
      <c r="R1930" t="s">
        <v>605</v>
      </c>
      <c r="S1930" t="s">
        <v>606</v>
      </c>
      <c r="T1930" t="s">
        <v>553</v>
      </c>
      <c r="U1930" t="b">
        <v>0</v>
      </c>
      <c r="V1930" t="s">
        <v>781</v>
      </c>
      <c r="W1930" t="s">
        <v>587</v>
      </c>
      <c r="X1930" t="s">
        <v>556</v>
      </c>
      <c r="Y1930" t="s">
        <v>472</v>
      </c>
      <c r="AC1930">
        <v>1</v>
      </c>
      <c r="AD1930" t="s">
        <v>566</v>
      </c>
      <c r="AE1930">
        <v>0</v>
      </c>
      <c r="AF1930">
        <v>2.9799999999999999E-5</v>
      </c>
      <c r="AG1930" t="s">
        <v>782</v>
      </c>
      <c r="AH1930">
        <v>1</v>
      </c>
      <c r="AI1930">
        <v>0</v>
      </c>
      <c r="AJ1930" t="s">
        <v>561</v>
      </c>
      <c r="AK1930" t="s">
        <v>766</v>
      </c>
      <c r="AL1930" t="s">
        <v>790</v>
      </c>
      <c r="AM1930">
        <v>2021</v>
      </c>
      <c r="AN1930">
        <v>2021</v>
      </c>
      <c r="AO1930">
        <f>IF(AND(emissions[[#This Row],[Market-based]]=0,emissions[[#This Row],[Impact Type]]="CO2E"),emissions[[#This Row],[kgCO2e]],0)/1000</f>
        <v>0</v>
      </c>
      <c r="AP1930">
        <f>IF(AND(emissions[[#This Row],[Market-based]]=1,OR(emissions[[#This Row],[Impact Type]]="CO2E",emissions[[#This Row],[Impact Type]]="CO2E MKT")),emissions[[#This Row],[kgCO2e]],0)/1000</f>
        <v>0</v>
      </c>
      <c r="AQ1930" t="str">
        <f>_xlfn.TEXTAFTER(emissions[[#This Row],[Reporting Unit]]," &gt; ",LEN(emissions[[#This Row],[Reporting Unit]])-LEN(SUBSTITUTE(emissions[[#This Row],[Reporting Unit]],"&gt;","")))</f>
        <v>Vantage_Argentina Farm (Agrinsa)</v>
      </c>
      <c r="AR1930" t="str">
        <f>_xlfn.XLOOKUP(emissions[[#This Row],[Reporting unit name]],hierarchy!$A:$A,hierarchy!$C:$C)</f>
        <v>Labratory</v>
      </c>
    </row>
    <row r="1931" spans="1:44" hidden="1" x14ac:dyDescent="0.25">
      <c r="A1931">
        <v>4967</v>
      </c>
      <c r="B1931" t="s">
        <v>240</v>
      </c>
      <c r="C1931" t="s">
        <v>475</v>
      </c>
      <c r="D1931" t="s">
        <v>599</v>
      </c>
      <c r="E1931" s="3">
        <v>44197</v>
      </c>
      <c r="F1931" s="3">
        <v>44561</v>
      </c>
      <c r="G1931" t="s">
        <v>135</v>
      </c>
      <c r="H1931" s="3">
        <v>44197</v>
      </c>
      <c r="I1931" s="3">
        <v>44561</v>
      </c>
      <c r="J1931" t="s">
        <v>135</v>
      </c>
      <c r="K1931">
        <v>0</v>
      </c>
      <c r="L1931" t="s">
        <v>160</v>
      </c>
      <c r="M1931" t="s">
        <v>110</v>
      </c>
      <c r="O1931" t="s">
        <v>600</v>
      </c>
      <c r="P1931" t="s">
        <v>550</v>
      </c>
      <c r="Q1931">
        <v>2021</v>
      </c>
      <c r="R1931" t="s">
        <v>609</v>
      </c>
      <c r="S1931" t="s">
        <v>610</v>
      </c>
      <c r="T1931" t="s">
        <v>577</v>
      </c>
      <c r="U1931" t="b">
        <v>0</v>
      </c>
      <c r="V1931" t="s">
        <v>611</v>
      </c>
      <c r="W1931" t="s">
        <v>571</v>
      </c>
      <c r="X1931" t="s">
        <v>572</v>
      </c>
      <c r="AC1931">
        <v>0</v>
      </c>
      <c r="AD1931" t="s">
        <v>565</v>
      </c>
      <c r="AE1931">
        <v>0</v>
      </c>
      <c r="AF1931">
        <v>0.34593000000000002</v>
      </c>
      <c r="AG1931" t="s">
        <v>783</v>
      </c>
      <c r="AH1931">
        <v>2.83168E-2</v>
      </c>
      <c r="AI1931">
        <v>0</v>
      </c>
      <c r="AJ1931" t="s">
        <v>561</v>
      </c>
      <c r="AK1931" t="s">
        <v>589</v>
      </c>
      <c r="AL1931" t="s">
        <v>603</v>
      </c>
      <c r="AM1931">
        <v>2021</v>
      </c>
      <c r="AN1931">
        <v>2019</v>
      </c>
      <c r="AO1931">
        <f>IF(AND(emissions[[#This Row],[Market-based]]=0,emissions[[#This Row],[Impact Type]]="CO2E"),emissions[[#This Row],[kgCO2e]],0)/1000</f>
        <v>0</v>
      </c>
      <c r="AP1931">
        <f>IF(AND(emissions[[#This Row],[Market-based]]=1,OR(emissions[[#This Row],[Impact Type]]="CO2E",emissions[[#This Row],[Impact Type]]="CO2E MKT")),emissions[[#This Row],[kgCO2e]],0)/1000</f>
        <v>0</v>
      </c>
      <c r="AQ1931" t="str">
        <f>_xlfn.TEXTAFTER(emissions[[#This Row],[Reporting Unit]]," &gt; ",LEN(emissions[[#This Row],[Reporting Unit]])-LEN(SUBSTITUTE(emissions[[#This Row],[Reporting Unit]],"&gt;","")))</f>
        <v>Vantage_Argentina Farm (Agrinsa)</v>
      </c>
      <c r="AR1931" t="str">
        <f>_xlfn.XLOOKUP(emissions[[#This Row],[Reporting unit name]],hierarchy!$A:$A,hierarchy!$C:$C)</f>
        <v>Labratory</v>
      </c>
    </row>
    <row r="1932" spans="1:44" hidden="1" x14ac:dyDescent="0.25">
      <c r="A1932">
        <v>4967</v>
      </c>
      <c r="B1932" t="s">
        <v>240</v>
      </c>
      <c r="C1932" t="s">
        <v>475</v>
      </c>
      <c r="D1932" t="s">
        <v>599</v>
      </c>
      <c r="E1932" s="3">
        <v>44197</v>
      </c>
      <c r="F1932" s="3">
        <v>44561</v>
      </c>
      <c r="G1932" t="s">
        <v>135</v>
      </c>
      <c r="H1932" s="3">
        <v>44197</v>
      </c>
      <c r="I1932" s="3">
        <v>44561</v>
      </c>
      <c r="J1932" t="s">
        <v>135</v>
      </c>
      <c r="K1932">
        <v>0</v>
      </c>
      <c r="L1932" t="s">
        <v>160</v>
      </c>
      <c r="M1932" t="s">
        <v>110</v>
      </c>
      <c r="O1932" t="s">
        <v>600</v>
      </c>
      <c r="P1932" t="s">
        <v>550</v>
      </c>
      <c r="Q1932">
        <v>2021</v>
      </c>
      <c r="R1932" t="s">
        <v>609</v>
      </c>
      <c r="S1932" t="s">
        <v>610</v>
      </c>
      <c r="T1932" t="s">
        <v>577</v>
      </c>
      <c r="U1932" t="b">
        <v>0</v>
      </c>
      <c r="V1932" t="s">
        <v>611</v>
      </c>
      <c r="W1932" t="s">
        <v>571</v>
      </c>
      <c r="X1932" t="s">
        <v>572</v>
      </c>
      <c r="AC1932">
        <v>1</v>
      </c>
      <c r="AD1932" t="s">
        <v>565</v>
      </c>
      <c r="AE1932">
        <v>0</v>
      </c>
      <c r="AF1932">
        <v>0.34593000000000002</v>
      </c>
      <c r="AG1932" t="s">
        <v>783</v>
      </c>
      <c r="AH1932">
        <v>2.83168E-2</v>
      </c>
      <c r="AI1932">
        <v>0</v>
      </c>
      <c r="AJ1932" t="s">
        <v>561</v>
      </c>
      <c r="AK1932" t="s">
        <v>589</v>
      </c>
      <c r="AL1932" t="s">
        <v>603</v>
      </c>
      <c r="AM1932">
        <v>2021</v>
      </c>
      <c r="AN1932">
        <v>2019</v>
      </c>
      <c r="AO1932">
        <f>IF(AND(emissions[[#This Row],[Market-based]]=0,emissions[[#This Row],[Impact Type]]="CO2E"),emissions[[#This Row],[kgCO2e]],0)/1000</f>
        <v>0</v>
      </c>
      <c r="AP1932">
        <f>IF(AND(emissions[[#This Row],[Market-based]]=1,OR(emissions[[#This Row],[Impact Type]]="CO2E",emissions[[#This Row],[Impact Type]]="CO2E MKT")),emissions[[#This Row],[kgCO2e]],0)/1000</f>
        <v>0</v>
      </c>
      <c r="AQ1932" t="str">
        <f>_xlfn.TEXTAFTER(emissions[[#This Row],[Reporting Unit]]," &gt; ",LEN(emissions[[#This Row],[Reporting Unit]])-LEN(SUBSTITUTE(emissions[[#This Row],[Reporting Unit]],"&gt;","")))</f>
        <v>Vantage_Argentina Farm (Agrinsa)</v>
      </c>
      <c r="AR1932" t="str">
        <f>_xlfn.XLOOKUP(emissions[[#This Row],[Reporting unit name]],hierarchy!$A:$A,hierarchy!$C:$C)</f>
        <v>Labratory</v>
      </c>
    </row>
    <row r="1933" spans="1:44" hidden="1" x14ac:dyDescent="0.25">
      <c r="A1933">
        <v>4992</v>
      </c>
      <c r="B1933" t="s">
        <v>240</v>
      </c>
      <c r="C1933" t="s">
        <v>475</v>
      </c>
      <c r="D1933" t="s">
        <v>599</v>
      </c>
      <c r="E1933" s="3">
        <v>44197</v>
      </c>
      <c r="F1933" s="3">
        <v>44561</v>
      </c>
      <c r="G1933" t="s">
        <v>141</v>
      </c>
      <c r="H1933" s="3">
        <v>44197</v>
      </c>
      <c r="I1933" s="3">
        <v>44561</v>
      </c>
      <c r="J1933" t="s">
        <v>142</v>
      </c>
      <c r="K1933">
        <v>35255.339999999997</v>
      </c>
      <c r="L1933" t="s">
        <v>143</v>
      </c>
      <c r="M1933" t="s">
        <v>110</v>
      </c>
      <c r="O1933" t="s">
        <v>600</v>
      </c>
      <c r="P1933" t="s">
        <v>550</v>
      </c>
      <c r="Q1933">
        <v>2021</v>
      </c>
      <c r="R1933" t="s">
        <v>612</v>
      </c>
      <c r="S1933" t="s">
        <v>613</v>
      </c>
      <c r="T1933" t="s">
        <v>553</v>
      </c>
      <c r="U1933" t="b">
        <v>0</v>
      </c>
      <c r="V1933" t="s">
        <v>614</v>
      </c>
      <c r="W1933" t="s">
        <v>587</v>
      </c>
      <c r="X1933" t="s">
        <v>556</v>
      </c>
      <c r="AC1933">
        <v>0</v>
      </c>
      <c r="AD1933" t="s">
        <v>558</v>
      </c>
      <c r="AE1933">
        <v>9.1663884000000007</v>
      </c>
      <c r="AF1933">
        <v>2.5999999999999998E-4</v>
      </c>
      <c r="AG1933" t="s">
        <v>588</v>
      </c>
      <c r="AH1933">
        <v>1</v>
      </c>
      <c r="AI1933">
        <v>35255.339999999997</v>
      </c>
      <c r="AJ1933" t="s">
        <v>561</v>
      </c>
      <c r="AK1933" t="s">
        <v>589</v>
      </c>
      <c r="AL1933" t="s">
        <v>603</v>
      </c>
      <c r="AM1933">
        <v>2021</v>
      </c>
      <c r="AN1933">
        <v>2019</v>
      </c>
      <c r="AO1933">
        <f>IF(AND(emissions[[#This Row],[Market-based]]=0,emissions[[#This Row],[Impact Type]]="CO2E"),emissions[[#This Row],[kgCO2e]],0)/1000</f>
        <v>0</v>
      </c>
      <c r="AP1933">
        <f>IF(AND(emissions[[#This Row],[Market-based]]=1,OR(emissions[[#This Row],[Impact Type]]="CO2E",emissions[[#This Row],[Impact Type]]="CO2E MKT")),emissions[[#This Row],[kgCO2e]],0)/1000</f>
        <v>0</v>
      </c>
      <c r="AQ1933" t="str">
        <f>_xlfn.TEXTAFTER(emissions[[#This Row],[Reporting Unit]]," &gt; ",LEN(emissions[[#This Row],[Reporting Unit]])-LEN(SUBSTITUTE(emissions[[#This Row],[Reporting Unit]],"&gt;","")))</f>
        <v>Vantage_Argentina Farm (Agrinsa)</v>
      </c>
      <c r="AR1933" t="str">
        <f>_xlfn.XLOOKUP(emissions[[#This Row],[Reporting unit name]],hierarchy!$A:$A,hierarchy!$C:$C)</f>
        <v>Labratory</v>
      </c>
    </row>
    <row r="1934" spans="1:44" hidden="1" x14ac:dyDescent="0.25">
      <c r="A1934">
        <v>4992</v>
      </c>
      <c r="B1934" t="s">
        <v>240</v>
      </c>
      <c r="C1934" t="s">
        <v>475</v>
      </c>
      <c r="D1934" t="s">
        <v>599</v>
      </c>
      <c r="E1934" s="3">
        <v>44197</v>
      </c>
      <c r="F1934" s="3">
        <v>44561</v>
      </c>
      <c r="G1934" t="s">
        <v>141</v>
      </c>
      <c r="H1934" s="3">
        <v>44197</v>
      </c>
      <c r="I1934" s="3">
        <v>44561</v>
      </c>
      <c r="J1934" t="s">
        <v>142</v>
      </c>
      <c r="K1934">
        <v>35255.339999999997</v>
      </c>
      <c r="L1934" t="s">
        <v>143</v>
      </c>
      <c r="M1934" t="s">
        <v>110</v>
      </c>
      <c r="O1934" t="s">
        <v>600</v>
      </c>
      <c r="P1934" t="s">
        <v>550</v>
      </c>
      <c r="Q1934">
        <v>2021</v>
      </c>
      <c r="R1934" t="s">
        <v>612</v>
      </c>
      <c r="S1934" t="s">
        <v>613</v>
      </c>
      <c r="T1934" t="s">
        <v>553</v>
      </c>
      <c r="U1934" t="b">
        <v>0</v>
      </c>
      <c r="V1934" t="s">
        <v>614</v>
      </c>
      <c r="W1934" t="s">
        <v>587</v>
      </c>
      <c r="X1934" t="s">
        <v>556</v>
      </c>
      <c r="AC1934">
        <v>0</v>
      </c>
      <c r="AD1934" t="s">
        <v>564</v>
      </c>
      <c r="AE1934">
        <v>94063.714989999993</v>
      </c>
      <c r="AF1934">
        <v>2.6680700000000002</v>
      </c>
      <c r="AG1934" t="s">
        <v>588</v>
      </c>
      <c r="AH1934">
        <v>1</v>
      </c>
      <c r="AI1934">
        <v>35255.339999999997</v>
      </c>
      <c r="AJ1934" t="s">
        <v>561</v>
      </c>
      <c r="AK1934" t="s">
        <v>589</v>
      </c>
      <c r="AL1934" t="s">
        <v>603</v>
      </c>
      <c r="AM1934">
        <v>2021</v>
      </c>
      <c r="AN1934">
        <v>2019</v>
      </c>
      <c r="AO1934">
        <f>IF(AND(emissions[[#This Row],[Market-based]]=0,emissions[[#This Row],[Impact Type]]="CO2E"),emissions[[#This Row],[kgCO2e]],0)/1000</f>
        <v>0</v>
      </c>
      <c r="AP1934">
        <f>IF(AND(emissions[[#This Row],[Market-based]]=1,OR(emissions[[#This Row],[Impact Type]]="CO2E",emissions[[#This Row],[Impact Type]]="CO2E MKT")),emissions[[#This Row],[kgCO2e]],0)/1000</f>
        <v>0</v>
      </c>
      <c r="AQ1934" t="str">
        <f>_xlfn.TEXTAFTER(emissions[[#This Row],[Reporting Unit]]," &gt; ",LEN(emissions[[#This Row],[Reporting Unit]])-LEN(SUBSTITUTE(emissions[[#This Row],[Reporting Unit]],"&gt;","")))</f>
        <v>Vantage_Argentina Farm (Agrinsa)</v>
      </c>
      <c r="AR1934" t="str">
        <f>_xlfn.XLOOKUP(emissions[[#This Row],[Reporting unit name]],hierarchy!$A:$A,hierarchy!$C:$C)</f>
        <v>Labratory</v>
      </c>
    </row>
    <row r="1935" spans="1:44" hidden="1" x14ac:dyDescent="0.25">
      <c r="A1935">
        <v>4992</v>
      </c>
      <c r="B1935" t="s">
        <v>240</v>
      </c>
      <c r="C1935" t="s">
        <v>475</v>
      </c>
      <c r="D1935" t="s">
        <v>599</v>
      </c>
      <c r="E1935" s="3">
        <v>44197</v>
      </c>
      <c r="F1935" s="3">
        <v>44561</v>
      </c>
      <c r="G1935" t="s">
        <v>141</v>
      </c>
      <c r="H1935" s="3">
        <v>44197</v>
      </c>
      <c r="I1935" s="3">
        <v>44561</v>
      </c>
      <c r="J1935" t="s">
        <v>142</v>
      </c>
      <c r="K1935">
        <v>35255.339999999997</v>
      </c>
      <c r="L1935" t="s">
        <v>143</v>
      </c>
      <c r="M1935" t="s">
        <v>110</v>
      </c>
      <c r="O1935" t="s">
        <v>600</v>
      </c>
      <c r="P1935" t="s">
        <v>550</v>
      </c>
      <c r="Q1935">
        <v>2021</v>
      </c>
      <c r="R1935" t="s">
        <v>612</v>
      </c>
      <c r="S1935" t="s">
        <v>613</v>
      </c>
      <c r="T1935" t="s">
        <v>553</v>
      </c>
      <c r="U1935" t="b">
        <v>0</v>
      </c>
      <c r="V1935" t="s">
        <v>614</v>
      </c>
      <c r="W1935" t="s">
        <v>587</v>
      </c>
      <c r="X1935" t="s">
        <v>556</v>
      </c>
      <c r="AC1935">
        <v>0</v>
      </c>
      <c r="AD1935" t="s">
        <v>565</v>
      </c>
      <c r="AE1935">
        <v>95384.38003</v>
      </c>
      <c r="AF1935">
        <v>2.70553</v>
      </c>
      <c r="AG1935" t="s">
        <v>588</v>
      </c>
      <c r="AH1935">
        <v>1</v>
      </c>
      <c r="AI1935">
        <v>35255.339999999997</v>
      </c>
      <c r="AJ1935" t="s">
        <v>561</v>
      </c>
      <c r="AK1935" t="s">
        <v>589</v>
      </c>
      <c r="AL1935" t="s">
        <v>603</v>
      </c>
      <c r="AM1935">
        <v>2021</v>
      </c>
      <c r="AN1935">
        <v>2019</v>
      </c>
      <c r="AO1935">
        <f>IF(AND(emissions[[#This Row],[Market-based]]=0,emissions[[#This Row],[Impact Type]]="CO2E"),emissions[[#This Row],[kgCO2e]],0)/1000</f>
        <v>95.384380030000003</v>
      </c>
      <c r="AP1935">
        <f>IF(AND(emissions[[#This Row],[Market-based]]=1,OR(emissions[[#This Row],[Impact Type]]="CO2E",emissions[[#This Row],[Impact Type]]="CO2E MKT")),emissions[[#This Row],[kgCO2e]],0)/1000</f>
        <v>0</v>
      </c>
      <c r="AQ1935" t="str">
        <f>_xlfn.TEXTAFTER(emissions[[#This Row],[Reporting Unit]]," &gt; ",LEN(emissions[[#This Row],[Reporting Unit]])-LEN(SUBSTITUTE(emissions[[#This Row],[Reporting Unit]],"&gt;","")))</f>
        <v>Vantage_Argentina Farm (Agrinsa)</v>
      </c>
      <c r="AR1935" t="str">
        <f>_xlfn.XLOOKUP(emissions[[#This Row],[Reporting unit name]],hierarchy!$A:$A,hierarchy!$C:$C)</f>
        <v>Labratory</v>
      </c>
    </row>
    <row r="1936" spans="1:44" hidden="1" x14ac:dyDescent="0.25">
      <c r="A1936">
        <v>4992</v>
      </c>
      <c r="B1936" t="s">
        <v>240</v>
      </c>
      <c r="C1936" t="s">
        <v>475</v>
      </c>
      <c r="D1936" t="s">
        <v>599</v>
      </c>
      <c r="E1936" s="3">
        <v>44197</v>
      </c>
      <c r="F1936" s="3">
        <v>44561</v>
      </c>
      <c r="G1936" t="s">
        <v>141</v>
      </c>
      <c r="H1936" s="3">
        <v>44197</v>
      </c>
      <c r="I1936" s="3">
        <v>44561</v>
      </c>
      <c r="J1936" t="s">
        <v>142</v>
      </c>
      <c r="K1936">
        <v>35255.339999999997</v>
      </c>
      <c r="L1936" t="s">
        <v>143</v>
      </c>
      <c r="M1936" t="s">
        <v>110</v>
      </c>
      <c r="O1936" t="s">
        <v>600</v>
      </c>
      <c r="P1936" t="s">
        <v>550</v>
      </c>
      <c r="Q1936">
        <v>2021</v>
      </c>
      <c r="R1936" t="s">
        <v>612</v>
      </c>
      <c r="S1936" t="s">
        <v>613</v>
      </c>
      <c r="T1936" t="s">
        <v>553</v>
      </c>
      <c r="U1936" t="b">
        <v>0</v>
      </c>
      <c r="V1936" t="s">
        <v>614</v>
      </c>
      <c r="W1936" t="s">
        <v>587</v>
      </c>
      <c r="X1936" t="s">
        <v>556</v>
      </c>
      <c r="AC1936">
        <v>0</v>
      </c>
      <c r="AD1936" t="s">
        <v>566</v>
      </c>
      <c r="AE1936">
        <v>1311.498648</v>
      </c>
      <c r="AF1936">
        <v>3.7199999999999997E-2</v>
      </c>
      <c r="AG1936" t="s">
        <v>588</v>
      </c>
      <c r="AH1936">
        <v>1</v>
      </c>
      <c r="AI1936">
        <v>35255.339999999997</v>
      </c>
      <c r="AJ1936" t="s">
        <v>561</v>
      </c>
      <c r="AK1936" t="s">
        <v>589</v>
      </c>
      <c r="AL1936" t="s">
        <v>603</v>
      </c>
      <c r="AM1936">
        <v>2021</v>
      </c>
      <c r="AN1936">
        <v>2019</v>
      </c>
      <c r="AO1936">
        <f>IF(AND(emissions[[#This Row],[Market-based]]=0,emissions[[#This Row],[Impact Type]]="CO2E"),emissions[[#This Row],[kgCO2e]],0)/1000</f>
        <v>0</v>
      </c>
      <c r="AP1936">
        <f>IF(AND(emissions[[#This Row],[Market-based]]=1,OR(emissions[[#This Row],[Impact Type]]="CO2E",emissions[[#This Row],[Impact Type]]="CO2E MKT")),emissions[[#This Row],[kgCO2e]],0)/1000</f>
        <v>0</v>
      </c>
      <c r="AQ1936" t="str">
        <f>_xlfn.TEXTAFTER(emissions[[#This Row],[Reporting Unit]]," &gt; ",LEN(emissions[[#This Row],[Reporting Unit]])-LEN(SUBSTITUTE(emissions[[#This Row],[Reporting Unit]],"&gt;","")))</f>
        <v>Vantage_Argentina Farm (Agrinsa)</v>
      </c>
      <c r="AR1936" t="str">
        <f>_xlfn.XLOOKUP(emissions[[#This Row],[Reporting unit name]],hierarchy!$A:$A,hierarchy!$C:$C)</f>
        <v>Labratory</v>
      </c>
    </row>
    <row r="1937" spans="1:44" hidden="1" x14ac:dyDescent="0.25">
      <c r="A1937">
        <v>4992</v>
      </c>
      <c r="B1937" t="s">
        <v>240</v>
      </c>
      <c r="C1937" t="s">
        <v>475</v>
      </c>
      <c r="D1937" t="s">
        <v>599</v>
      </c>
      <c r="E1937" s="3">
        <v>44197</v>
      </c>
      <c r="F1937" s="3">
        <v>44561</v>
      </c>
      <c r="G1937" t="s">
        <v>141</v>
      </c>
      <c r="H1937" s="3">
        <v>44197</v>
      </c>
      <c r="I1937" s="3">
        <v>44561</v>
      </c>
      <c r="J1937" t="s">
        <v>142</v>
      </c>
      <c r="K1937">
        <v>35255.339999999997</v>
      </c>
      <c r="L1937" t="s">
        <v>143</v>
      </c>
      <c r="M1937" t="s">
        <v>110</v>
      </c>
      <c r="O1937" t="s">
        <v>600</v>
      </c>
      <c r="P1937" t="s">
        <v>550</v>
      </c>
      <c r="Q1937">
        <v>2021</v>
      </c>
      <c r="R1937" t="s">
        <v>612</v>
      </c>
      <c r="S1937" t="s">
        <v>613</v>
      </c>
      <c r="T1937" t="s">
        <v>553</v>
      </c>
      <c r="U1937" t="b">
        <v>0</v>
      </c>
      <c r="V1937" t="s">
        <v>614</v>
      </c>
      <c r="W1937" t="s">
        <v>587</v>
      </c>
      <c r="X1937" t="s">
        <v>556</v>
      </c>
      <c r="AC1937">
        <v>1</v>
      </c>
      <c r="AD1937" t="s">
        <v>558</v>
      </c>
      <c r="AE1937">
        <v>9.1663884000000007</v>
      </c>
      <c r="AF1937">
        <v>2.5999999999999998E-4</v>
      </c>
      <c r="AG1937" t="s">
        <v>588</v>
      </c>
      <c r="AH1937">
        <v>1</v>
      </c>
      <c r="AI1937">
        <v>35255.339999999997</v>
      </c>
      <c r="AJ1937" t="s">
        <v>561</v>
      </c>
      <c r="AK1937" t="s">
        <v>589</v>
      </c>
      <c r="AL1937" t="s">
        <v>603</v>
      </c>
      <c r="AM1937">
        <v>2021</v>
      </c>
      <c r="AN1937">
        <v>2019</v>
      </c>
      <c r="AO1937">
        <f>IF(AND(emissions[[#This Row],[Market-based]]=0,emissions[[#This Row],[Impact Type]]="CO2E"),emissions[[#This Row],[kgCO2e]],0)/1000</f>
        <v>0</v>
      </c>
      <c r="AP1937">
        <f>IF(AND(emissions[[#This Row],[Market-based]]=1,OR(emissions[[#This Row],[Impact Type]]="CO2E",emissions[[#This Row],[Impact Type]]="CO2E MKT")),emissions[[#This Row],[kgCO2e]],0)/1000</f>
        <v>0</v>
      </c>
      <c r="AQ1937" t="str">
        <f>_xlfn.TEXTAFTER(emissions[[#This Row],[Reporting Unit]]," &gt; ",LEN(emissions[[#This Row],[Reporting Unit]])-LEN(SUBSTITUTE(emissions[[#This Row],[Reporting Unit]],"&gt;","")))</f>
        <v>Vantage_Argentina Farm (Agrinsa)</v>
      </c>
      <c r="AR1937" t="str">
        <f>_xlfn.XLOOKUP(emissions[[#This Row],[Reporting unit name]],hierarchy!$A:$A,hierarchy!$C:$C)</f>
        <v>Labratory</v>
      </c>
    </row>
    <row r="1938" spans="1:44" hidden="1" x14ac:dyDescent="0.25">
      <c r="A1938">
        <v>4992</v>
      </c>
      <c r="B1938" t="s">
        <v>240</v>
      </c>
      <c r="C1938" t="s">
        <v>475</v>
      </c>
      <c r="D1938" t="s">
        <v>599</v>
      </c>
      <c r="E1938" s="3">
        <v>44197</v>
      </c>
      <c r="F1938" s="3">
        <v>44561</v>
      </c>
      <c r="G1938" t="s">
        <v>141</v>
      </c>
      <c r="H1938" s="3">
        <v>44197</v>
      </c>
      <c r="I1938" s="3">
        <v>44561</v>
      </c>
      <c r="J1938" t="s">
        <v>142</v>
      </c>
      <c r="K1938">
        <v>35255.339999999997</v>
      </c>
      <c r="L1938" t="s">
        <v>143</v>
      </c>
      <c r="M1938" t="s">
        <v>110</v>
      </c>
      <c r="O1938" t="s">
        <v>600</v>
      </c>
      <c r="P1938" t="s">
        <v>550</v>
      </c>
      <c r="Q1938">
        <v>2021</v>
      </c>
      <c r="R1938" t="s">
        <v>612</v>
      </c>
      <c r="S1938" t="s">
        <v>613</v>
      </c>
      <c r="T1938" t="s">
        <v>553</v>
      </c>
      <c r="U1938" t="b">
        <v>0</v>
      </c>
      <c r="V1938" t="s">
        <v>614</v>
      </c>
      <c r="W1938" t="s">
        <v>587</v>
      </c>
      <c r="X1938" t="s">
        <v>556</v>
      </c>
      <c r="AC1938">
        <v>1</v>
      </c>
      <c r="AD1938" t="s">
        <v>564</v>
      </c>
      <c r="AE1938">
        <v>94063.714989999993</v>
      </c>
      <c r="AF1938">
        <v>2.6680700000000002</v>
      </c>
      <c r="AG1938" t="s">
        <v>588</v>
      </c>
      <c r="AH1938">
        <v>1</v>
      </c>
      <c r="AI1938">
        <v>35255.339999999997</v>
      </c>
      <c r="AJ1938" t="s">
        <v>561</v>
      </c>
      <c r="AK1938" t="s">
        <v>589</v>
      </c>
      <c r="AL1938" t="s">
        <v>603</v>
      </c>
      <c r="AM1938">
        <v>2021</v>
      </c>
      <c r="AN1938">
        <v>2019</v>
      </c>
      <c r="AO1938">
        <f>IF(AND(emissions[[#This Row],[Market-based]]=0,emissions[[#This Row],[Impact Type]]="CO2E"),emissions[[#This Row],[kgCO2e]],0)/1000</f>
        <v>0</v>
      </c>
      <c r="AP1938">
        <f>IF(AND(emissions[[#This Row],[Market-based]]=1,OR(emissions[[#This Row],[Impact Type]]="CO2E",emissions[[#This Row],[Impact Type]]="CO2E MKT")),emissions[[#This Row],[kgCO2e]],0)/1000</f>
        <v>0</v>
      </c>
      <c r="AQ1938" t="str">
        <f>_xlfn.TEXTAFTER(emissions[[#This Row],[Reporting Unit]]," &gt; ",LEN(emissions[[#This Row],[Reporting Unit]])-LEN(SUBSTITUTE(emissions[[#This Row],[Reporting Unit]],"&gt;","")))</f>
        <v>Vantage_Argentina Farm (Agrinsa)</v>
      </c>
      <c r="AR1938" t="str">
        <f>_xlfn.XLOOKUP(emissions[[#This Row],[Reporting unit name]],hierarchy!$A:$A,hierarchy!$C:$C)</f>
        <v>Labratory</v>
      </c>
    </row>
    <row r="1939" spans="1:44" hidden="1" x14ac:dyDescent="0.25">
      <c r="A1939">
        <v>4992</v>
      </c>
      <c r="B1939" t="s">
        <v>240</v>
      </c>
      <c r="C1939" t="s">
        <v>475</v>
      </c>
      <c r="D1939" t="s">
        <v>599</v>
      </c>
      <c r="E1939" s="3">
        <v>44197</v>
      </c>
      <c r="F1939" s="3">
        <v>44561</v>
      </c>
      <c r="G1939" t="s">
        <v>141</v>
      </c>
      <c r="H1939" s="3">
        <v>44197</v>
      </c>
      <c r="I1939" s="3">
        <v>44561</v>
      </c>
      <c r="J1939" t="s">
        <v>142</v>
      </c>
      <c r="K1939">
        <v>35255.339999999997</v>
      </c>
      <c r="L1939" t="s">
        <v>143</v>
      </c>
      <c r="M1939" t="s">
        <v>110</v>
      </c>
      <c r="O1939" t="s">
        <v>600</v>
      </c>
      <c r="P1939" t="s">
        <v>550</v>
      </c>
      <c r="Q1939">
        <v>2021</v>
      </c>
      <c r="R1939" t="s">
        <v>612</v>
      </c>
      <c r="S1939" t="s">
        <v>613</v>
      </c>
      <c r="T1939" t="s">
        <v>553</v>
      </c>
      <c r="U1939" t="b">
        <v>0</v>
      </c>
      <c r="V1939" t="s">
        <v>614</v>
      </c>
      <c r="W1939" t="s">
        <v>587</v>
      </c>
      <c r="X1939" t="s">
        <v>556</v>
      </c>
      <c r="AC1939">
        <v>1</v>
      </c>
      <c r="AD1939" t="s">
        <v>565</v>
      </c>
      <c r="AE1939">
        <v>95384.38003</v>
      </c>
      <c r="AF1939">
        <v>2.70553</v>
      </c>
      <c r="AG1939" t="s">
        <v>588</v>
      </c>
      <c r="AH1939">
        <v>1</v>
      </c>
      <c r="AI1939">
        <v>35255.339999999997</v>
      </c>
      <c r="AJ1939" t="s">
        <v>561</v>
      </c>
      <c r="AK1939" t="s">
        <v>589</v>
      </c>
      <c r="AL1939" t="s">
        <v>603</v>
      </c>
      <c r="AM1939">
        <v>2021</v>
      </c>
      <c r="AN1939">
        <v>2019</v>
      </c>
      <c r="AO1939">
        <f>IF(AND(emissions[[#This Row],[Market-based]]=0,emissions[[#This Row],[Impact Type]]="CO2E"),emissions[[#This Row],[kgCO2e]],0)/1000</f>
        <v>0</v>
      </c>
      <c r="AP1939">
        <f>IF(AND(emissions[[#This Row],[Market-based]]=1,OR(emissions[[#This Row],[Impact Type]]="CO2E",emissions[[#This Row],[Impact Type]]="CO2E MKT")),emissions[[#This Row],[kgCO2e]],0)/1000</f>
        <v>95.384380030000003</v>
      </c>
      <c r="AQ1939" t="str">
        <f>_xlfn.TEXTAFTER(emissions[[#This Row],[Reporting Unit]]," &gt; ",LEN(emissions[[#This Row],[Reporting Unit]])-LEN(SUBSTITUTE(emissions[[#This Row],[Reporting Unit]],"&gt;","")))</f>
        <v>Vantage_Argentina Farm (Agrinsa)</v>
      </c>
      <c r="AR1939" t="str">
        <f>_xlfn.XLOOKUP(emissions[[#This Row],[Reporting unit name]],hierarchy!$A:$A,hierarchy!$C:$C)</f>
        <v>Labratory</v>
      </c>
    </row>
    <row r="1940" spans="1:44" hidden="1" x14ac:dyDescent="0.25">
      <c r="A1940">
        <v>4992</v>
      </c>
      <c r="B1940" t="s">
        <v>240</v>
      </c>
      <c r="C1940" t="s">
        <v>475</v>
      </c>
      <c r="D1940" t="s">
        <v>599</v>
      </c>
      <c r="E1940" s="3">
        <v>44197</v>
      </c>
      <c r="F1940" s="3">
        <v>44561</v>
      </c>
      <c r="G1940" t="s">
        <v>141</v>
      </c>
      <c r="H1940" s="3">
        <v>44197</v>
      </c>
      <c r="I1940" s="3">
        <v>44561</v>
      </c>
      <c r="J1940" t="s">
        <v>142</v>
      </c>
      <c r="K1940">
        <v>35255.339999999997</v>
      </c>
      <c r="L1940" t="s">
        <v>143</v>
      </c>
      <c r="M1940" t="s">
        <v>110</v>
      </c>
      <c r="O1940" t="s">
        <v>600</v>
      </c>
      <c r="P1940" t="s">
        <v>550</v>
      </c>
      <c r="Q1940">
        <v>2021</v>
      </c>
      <c r="R1940" t="s">
        <v>612</v>
      </c>
      <c r="S1940" t="s">
        <v>613</v>
      </c>
      <c r="T1940" t="s">
        <v>553</v>
      </c>
      <c r="U1940" t="b">
        <v>0</v>
      </c>
      <c r="V1940" t="s">
        <v>614</v>
      </c>
      <c r="W1940" t="s">
        <v>587</v>
      </c>
      <c r="X1940" t="s">
        <v>556</v>
      </c>
      <c r="AC1940">
        <v>1</v>
      </c>
      <c r="AD1940" t="s">
        <v>566</v>
      </c>
      <c r="AE1940">
        <v>1311.498648</v>
      </c>
      <c r="AF1940">
        <v>3.7199999999999997E-2</v>
      </c>
      <c r="AG1940" t="s">
        <v>588</v>
      </c>
      <c r="AH1940">
        <v>1</v>
      </c>
      <c r="AI1940">
        <v>35255.339999999997</v>
      </c>
      <c r="AJ1940" t="s">
        <v>561</v>
      </c>
      <c r="AK1940" t="s">
        <v>589</v>
      </c>
      <c r="AL1940" t="s">
        <v>603</v>
      </c>
      <c r="AM1940">
        <v>2021</v>
      </c>
      <c r="AN1940">
        <v>2019</v>
      </c>
      <c r="AO1940">
        <f>IF(AND(emissions[[#This Row],[Market-based]]=0,emissions[[#This Row],[Impact Type]]="CO2E"),emissions[[#This Row],[kgCO2e]],0)/1000</f>
        <v>0</v>
      </c>
      <c r="AP1940">
        <f>IF(AND(emissions[[#This Row],[Market-based]]=1,OR(emissions[[#This Row],[Impact Type]]="CO2E",emissions[[#This Row],[Impact Type]]="CO2E MKT")),emissions[[#This Row],[kgCO2e]],0)/1000</f>
        <v>0</v>
      </c>
      <c r="AQ1940" t="str">
        <f>_xlfn.TEXTAFTER(emissions[[#This Row],[Reporting Unit]]," &gt; ",LEN(emissions[[#This Row],[Reporting Unit]])-LEN(SUBSTITUTE(emissions[[#This Row],[Reporting Unit]],"&gt;","")))</f>
        <v>Vantage_Argentina Farm (Agrinsa)</v>
      </c>
      <c r="AR1940" t="str">
        <f>_xlfn.XLOOKUP(emissions[[#This Row],[Reporting unit name]],hierarchy!$A:$A,hierarchy!$C:$C)</f>
        <v>Labratory</v>
      </c>
    </row>
    <row r="1941" spans="1:44" hidden="1" x14ac:dyDescent="0.25">
      <c r="A1941">
        <v>4992</v>
      </c>
      <c r="B1941" t="s">
        <v>240</v>
      </c>
      <c r="C1941" t="s">
        <v>475</v>
      </c>
      <c r="D1941" t="s">
        <v>599</v>
      </c>
      <c r="E1941" s="3">
        <v>44197</v>
      </c>
      <c r="F1941" s="3">
        <v>44561</v>
      </c>
      <c r="G1941" t="s">
        <v>141</v>
      </c>
      <c r="H1941" s="3">
        <v>44197</v>
      </c>
      <c r="I1941" s="3">
        <v>44561</v>
      </c>
      <c r="J1941" t="s">
        <v>142</v>
      </c>
      <c r="K1941">
        <v>35255.339999999997</v>
      </c>
      <c r="L1941" t="s">
        <v>143</v>
      </c>
      <c r="M1941" t="s">
        <v>110</v>
      </c>
      <c r="O1941" t="s">
        <v>600</v>
      </c>
      <c r="P1941" t="s">
        <v>550</v>
      </c>
      <c r="Q1941">
        <v>2021</v>
      </c>
      <c r="R1941" t="s">
        <v>615</v>
      </c>
      <c r="S1941" t="s">
        <v>616</v>
      </c>
      <c r="T1941" t="s">
        <v>577</v>
      </c>
      <c r="U1941" t="b">
        <v>0</v>
      </c>
      <c r="V1941" t="s">
        <v>617</v>
      </c>
      <c r="W1941" t="s">
        <v>571</v>
      </c>
      <c r="X1941" t="s">
        <v>572</v>
      </c>
      <c r="AC1941">
        <v>0</v>
      </c>
      <c r="AD1941" t="s">
        <v>565</v>
      </c>
      <c r="AE1941">
        <v>22166.442470000002</v>
      </c>
      <c r="AF1941">
        <v>0.62873999999999997</v>
      </c>
      <c r="AG1941" t="s">
        <v>588</v>
      </c>
      <c r="AH1941">
        <v>1</v>
      </c>
      <c r="AI1941">
        <v>35255.339999999997</v>
      </c>
      <c r="AJ1941" t="s">
        <v>561</v>
      </c>
      <c r="AK1941" t="s">
        <v>589</v>
      </c>
      <c r="AL1941" t="s">
        <v>603</v>
      </c>
      <c r="AM1941">
        <v>2021</v>
      </c>
      <c r="AN1941">
        <v>2019</v>
      </c>
      <c r="AO1941">
        <f>IF(AND(emissions[[#This Row],[Market-based]]=0,emissions[[#This Row],[Impact Type]]="CO2E"),emissions[[#This Row],[kgCO2e]],0)/1000</f>
        <v>22.166442470000003</v>
      </c>
      <c r="AP1941">
        <f>IF(AND(emissions[[#This Row],[Market-based]]=1,OR(emissions[[#This Row],[Impact Type]]="CO2E",emissions[[#This Row],[Impact Type]]="CO2E MKT")),emissions[[#This Row],[kgCO2e]],0)/1000</f>
        <v>0</v>
      </c>
      <c r="AQ1941" t="str">
        <f>_xlfn.TEXTAFTER(emissions[[#This Row],[Reporting Unit]]," &gt; ",LEN(emissions[[#This Row],[Reporting Unit]])-LEN(SUBSTITUTE(emissions[[#This Row],[Reporting Unit]],"&gt;","")))</f>
        <v>Vantage_Argentina Farm (Agrinsa)</v>
      </c>
      <c r="AR1941" t="str">
        <f>_xlfn.XLOOKUP(emissions[[#This Row],[Reporting unit name]],hierarchy!$A:$A,hierarchy!$C:$C)</f>
        <v>Labratory</v>
      </c>
    </row>
    <row r="1942" spans="1:44" hidden="1" x14ac:dyDescent="0.25">
      <c r="A1942">
        <v>4992</v>
      </c>
      <c r="B1942" t="s">
        <v>240</v>
      </c>
      <c r="C1942" t="s">
        <v>475</v>
      </c>
      <c r="D1942" t="s">
        <v>599</v>
      </c>
      <c r="E1942" s="3">
        <v>44197</v>
      </c>
      <c r="F1942" s="3">
        <v>44561</v>
      </c>
      <c r="G1942" t="s">
        <v>141</v>
      </c>
      <c r="H1942" s="3">
        <v>44197</v>
      </c>
      <c r="I1942" s="3">
        <v>44561</v>
      </c>
      <c r="J1942" t="s">
        <v>142</v>
      </c>
      <c r="K1942">
        <v>35255.339999999997</v>
      </c>
      <c r="L1942" t="s">
        <v>143</v>
      </c>
      <c r="M1942" t="s">
        <v>110</v>
      </c>
      <c r="O1942" t="s">
        <v>600</v>
      </c>
      <c r="P1942" t="s">
        <v>550</v>
      </c>
      <c r="Q1942">
        <v>2021</v>
      </c>
      <c r="R1942" t="s">
        <v>615</v>
      </c>
      <c r="S1942" t="s">
        <v>616</v>
      </c>
      <c r="T1942" t="s">
        <v>577</v>
      </c>
      <c r="U1942" t="b">
        <v>0</v>
      </c>
      <c r="V1942" t="s">
        <v>617</v>
      </c>
      <c r="W1942" t="s">
        <v>571</v>
      </c>
      <c r="X1942" t="s">
        <v>572</v>
      </c>
      <c r="AC1942">
        <v>1</v>
      </c>
      <c r="AD1942" t="s">
        <v>565</v>
      </c>
      <c r="AE1942">
        <v>22166.442470000002</v>
      </c>
      <c r="AF1942">
        <v>0.62873999999999997</v>
      </c>
      <c r="AG1942" t="s">
        <v>588</v>
      </c>
      <c r="AH1942">
        <v>1</v>
      </c>
      <c r="AI1942">
        <v>35255.339999999997</v>
      </c>
      <c r="AJ1942" t="s">
        <v>561</v>
      </c>
      <c r="AK1942" t="s">
        <v>589</v>
      </c>
      <c r="AL1942" t="s">
        <v>603</v>
      </c>
      <c r="AM1942">
        <v>2021</v>
      </c>
      <c r="AN1942">
        <v>2019</v>
      </c>
      <c r="AO1942">
        <f>IF(AND(emissions[[#This Row],[Market-based]]=0,emissions[[#This Row],[Impact Type]]="CO2E"),emissions[[#This Row],[kgCO2e]],0)/1000</f>
        <v>0</v>
      </c>
      <c r="AP1942">
        <f>IF(AND(emissions[[#This Row],[Market-based]]=1,OR(emissions[[#This Row],[Impact Type]]="CO2E",emissions[[#This Row],[Impact Type]]="CO2E MKT")),emissions[[#This Row],[kgCO2e]],0)/1000</f>
        <v>22.166442470000003</v>
      </c>
      <c r="AQ1942" t="str">
        <f>_xlfn.TEXTAFTER(emissions[[#This Row],[Reporting Unit]]," &gt; ",LEN(emissions[[#This Row],[Reporting Unit]])-LEN(SUBSTITUTE(emissions[[#This Row],[Reporting Unit]],"&gt;","")))</f>
        <v>Vantage_Argentina Farm (Agrinsa)</v>
      </c>
      <c r="AR1942" t="str">
        <f>_xlfn.XLOOKUP(emissions[[#This Row],[Reporting unit name]],hierarchy!$A:$A,hierarchy!$C:$C)</f>
        <v>Labratory</v>
      </c>
    </row>
    <row r="1943" spans="1:44" hidden="1" x14ac:dyDescent="0.25">
      <c r="A1943">
        <v>4993</v>
      </c>
      <c r="B1943" t="s">
        <v>240</v>
      </c>
      <c r="C1943" t="s">
        <v>475</v>
      </c>
      <c r="D1943" t="s">
        <v>599</v>
      </c>
      <c r="E1943" s="3">
        <v>44197</v>
      </c>
      <c r="F1943" s="3">
        <v>44561</v>
      </c>
      <c r="G1943" t="s">
        <v>141</v>
      </c>
      <c r="H1943" s="3">
        <v>44197</v>
      </c>
      <c r="I1943" s="3">
        <v>44561</v>
      </c>
      <c r="J1943" t="s">
        <v>142</v>
      </c>
      <c r="K1943">
        <v>2696.2</v>
      </c>
      <c r="L1943" t="s">
        <v>143</v>
      </c>
      <c r="M1943" t="s">
        <v>110</v>
      </c>
      <c r="O1943" t="s">
        <v>600</v>
      </c>
      <c r="P1943" t="s">
        <v>550</v>
      </c>
      <c r="Q1943">
        <v>2021</v>
      </c>
      <c r="R1943" t="s">
        <v>612</v>
      </c>
      <c r="S1943" t="s">
        <v>613</v>
      </c>
      <c r="T1943" t="s">
        <v>553</v>
      </c>
      <c r="U1943" t="b">
        <v>0</v>
      </c>
      <c r="V1943" t="s">
        <v>614</v>
      </c>
      <c r="W1943" t="s">
        <v>587</v>
      </c>
      <c r="X1943" t="s">
        <v>556</v>
      </c>
      <c r="AC1943">
        <v>0</v>
      </c>
      <c r="AD1943" t="s">
        <v>558</v>
      </c>
      <c r="AE1943">
        <v>0.70101199999999997</v>
      </c>
      <c r="AF1943">
        <v>2.5999999999999998E-4</v>
      </c>
      <c r="AG1943" t="s">
        <v>588</v>
      </c>
      <c r="AH1943">
        <v>1</v>
      </c>
      <c r="AI1943">
        <v>2696.2</v>
      </c>
      <c r="AJ1943" t="s">
        <v>561</v>
      </c>
      <c r="AK1943" t="s">
        <v>589</v>
      </c>
      <c r="AL1943" t="s">
        <v>603</v>
      </c>
      <c r="AM1943">
        <v>2021</v>
      </c>
      <c r="AN1943">
        <v>2019</v>
      </c>
      <c r="AO1943">
        <f>IF(AND(emissions[[#This Row],[Market-based]]=0,emissions[[#This Row],[Impact Type]]="CO2E"),emissions[[#This Row],[kgCO2e]],0)/1000</f>
        <v>0</v>
      </c>
      <c r="AP1943">
        <f>IF(AND(emissions[[#This Row],[Market-based]]=1,OR(emissions[[#This Row],[Impact Type]]="CO2E",emissions[[#This Row],[Impact Type]]="CO2E MKT")),emissions[[#This Row],[kgCO2e]],0)/1000</f>
        <v>0</v>
      </c>
      <c r="AQ1943" t="str">
        <f>_xlfn.TEXTAFTER(emissions[[#This Row],[Reporting Unit]]," &gt; ",LEN(emissions[[#This Row],[Reporting Unit]])-LEN(SUBSTITUTE(emissions[[#This Row],[Reporting Unit]],"&gt;","")))</f>
        <v>Vantage_Argentina Farm (Agrinsa)</v>
      </c>
      <c r="AR1943" t="str">
        <f>_xlfn.XLOOKUP(emissions[[#This Row],[Reporting unit name]],hierarchy!$A:$A,hierarchy!$C:$C)</f>
        <v>Labratory</v>
      </c>
    </row>
    <row r="1944" spans="1:44" hidden="1" x14ac:dyDescent="0.25">
      <c r="A1944">
        <v>4993</v>
      </c>
      <c r="B1944" t="s">
        <v>240</v>
      </c>
      <c r="C1944" t="s">
        <v>475</v>
      </c>
      <c r="D1944" t="s">
        <v>599</v>
      </c>
      <c r="E1944" s="3">
        <v>44197</v>
      </c>
      <c r="F1944" s="3">
        <v>44561</v>
      </c>
      <c r="G1944" t="s">
        <v>141</v>
      </c>
      <c r="H1944" s="3">
        <v>44197</v>
      </c>
      <c r="I1944" s="3">
        <v>44561</v>
      </c>
      <c r="J1944" t="s">
        <v>142</v>
      </c>
      <c r="K1944">
        <v>2696.2</v>
      </c>
      <c r="L1944" t="s">
        <v>143</v>
      </c>
      <c r="M1944" t="s">
        <v>110</v>
      </c>
      <c r="O1944" t="s">
        <v>600</v>
      </c>
      <c r="P1944" t="s">
        <v>550</v>
      </c>
      <c r="Q1944">
        <v>2021</v>
      </c>
      <c r="R1944" t="s">
        <v>612</v>
      </c>
      <c r="S1944" t="s">
        <v>613</v>
      </c>
      <c r="T1944" t="s">
        <v>553</v>
      </c>
      <c r="U1944" t="b">
        <v>0</v>
      </c>
      <c r="V1944" t="s">
        <v>614</v>
      </c>
      <c r="W1944" t="s">
        <v>587</v>
      </c>
      <c r="X1944" t="s">
        <v>556</v>
      </c>
      <c r="AC1944">
        <v>0</v>
      </c>
      <c r="AD1944" t="s">
        <v>564</v>
      </c>
      <c r="AE1944">
        <v>7193.6503339999999</v>
      </c>
      <c r="AF1944">
        <v>2.6680700000000002</v>
      </c>
      <c r="AG1944" t="s">
        <v>588</v>
      </c>
      <c r="AH1944">
        <v>1</v>
      </c>
      <c r="AI1944">
        <v>2696.2</v>
      </c>
      <c r="AJ1944" t="s">
        <v>561</v>
      </c>
      <c r="AK1944" t="s">
        <v>589</v>
      </c>
      <c r="AL1944" t="s">
        <v>603</v>
      </c>
      <c r="AM1944">
        <v>2021</v>
      </c>
      <c r="AN1944">
        <v>2019</v>
      </c>
      <c r="AO1944">
        <f>IF(AND(emissions[[#This Row],[Market-based]]=0,emissions[[#This Row],[Impact Type]]="CO2E"),emissions[[#This Row],[kgCO2e]],0)/1000</f>
        <v>0</v>
      </c>
      <c r="AP1944">
        <f>IF(AND(emissions[[#This Row],[Market-based]]=1,OR(emissions[[#This Row],[Impact Type]]="CO2E",emissions[[#This Row],[Impact Type]]="CO2E MKT")),emissions[[#This Row],[kgCO2e]],0)/1000</f>
        <v>0</v>
      </c>
      <c r="AQ1944" t="str">
        <f>_xlfn.TEXTAFTER(emissions[[#This Row],[Reporting Unit]]," &gt; ",LEN(emissions[[#This Row],[Reporting Unit]])-LEN(SUBSTITUTE(emissions[[#This Row],[Reporting Unit]],"&gt;","")))</f>
        <v>Vantage_Argentina Farm (Agrinsa)</v>
      </c>
      <c r="AR1944" t="str">
        <f>_xlfn.XLOOKUP(emissions[[#This Row],[Reporting unit name]],hierarchy!$A:$A,hierarchy!$C:$C)</f>
        <v>Labratory</v>
      </c>
    </row>
    <row r="1945" spans="1:44" hidden="1" x14ac:dyDescent="0.25">
      <c r="A1945">
        <v>4993</v>
      </c>
      <c r="B1945" t="s">
        <v>240</v>
      </c>
      <c r="C1945" t="s">
        <v>475</v>
      </c>
      <c r="D1945" t="s">
        <v>599</v>
      </c>
      <c r="E1945" s="3">
        <v>44197</v>
      </c>
      <c r="F1945" s="3">
        <v>44561</v>
      </c>
      <c r="G1945" t="s">
        <v>141</v>
      </c>
      <c r="H1945" s="3">
        <v>44197</v>
      </c>
      <c r="I1945" s="3">
        <v>44561</v>
      </c>
      <c r="J1945" t="s">
        <v>142</v>
      </c>
      <c r="K1945">
        <v>2696.2</v>
      </c>
      <c r="L1945" t="s">
        <v>143</v>
      </c>
      <c r="M1945" t="s">
        <v>110</v>
      </c>
      <c r="O1945" t="s">
        <v>600</v>
      </c>
      <c r="P1945" t="s">
        <v>550</v>
      </c>
      <c r="Q1945">
        <v>2021</v>
      </c>
      <c r="R1945" t="s">
        <v>612</v>
      </c>
      <c r="S1945" t="s">
        <v>613</v>
      </c>
      <c r="T1945" t="s">
        <v>553</v>
      </c>
      <c r="U1945" t="b">
        <v>0</v>
      </c>
      <c r="V1945" t="s">
        <v>614</v>
      </c>
      <c r="W1945" t="s">
        <v>587</v>
      </c>
      <c r="X1945" t="s">
        <v>556</v>
      </c>
      <c r="AC1945">
        <v>0</v>
      </c>
      <c r="AD1945" t="s">
        <v>565</v>
      </c>
      <c r="AE1945">
        <v>7294.6499860000004</v>
      </c>
      <c r="AF1945">
        <v>2.70553</v>
      </c>
      <c r="AG1945" t="s">
        <v>588</v>
      </c>
      <c r="AH1945">
        <v>1</v>
      </c>
      <c r="AI1945">
        <v>2696.2</v>
      </c>
      <c r="AJ1945" t="s">
        <v>561</v>
      </c>
      <c r="AK1945" t="s">
        <v>589</v>
      </c>
      <c r="AL1945" t="s">
        <v>603</v>
      </c>
      <c r="AM1945">
        <v>2021</v>
      </c>
      <c r="AN1945">
        <v>2019</v>
      </c>
      <c r="AO1945">
        <f>IF(AND(emissions[[#This Row],[Market-based]]=0,emissions[[#This Row],[Impact Type]]="CO2E"),emissions[[#This Row],[kgCO2e]],0)/1000</f>
        <v>7.2946499860000005</v>
      </c>
      <c r="AP1945">
        <f>IF(AND(emissions[[#This Row],[Market-based]]=1,OR(emissions[[#This Row],[Impact Type]]="CO2E",emissions[[#This Row],[Impact Type]]="CO2E MKT")),emissions[[#This Row],[kgCO2e]],0)/1000</f>
        <v>0</v>
      </c>
      <c r="AQ1945" t="str">
        <f>_xlfn.TEXTAFTER(emissions[[#This Row],[Reporting Unit]]," &gt; ",LEN(emissions[[#This Row],[Reporting Unit]])-LEN(SUBSTITUTE(emissions[[#This Row],[Reporting Unit]],"&gt;","")))</f>
        <v>Vantage_Argentina Farm (Agrinsa)</v>
      </c>
      <c r="AR1945" t="str">
        <f>_xlfn.XLOOKUP(emissions[[#This Row],[Reporting unit name]],hierarchy!$A:$A,hierarchy!$C:$C)</f>
        <v>Labratory</v>
      </c>
    </row>
    <row r="1946" spans="1:44" hidden="1" x14ac:dyDescent="0.25">
      <c r="A1946">
        <v>4993</v>
      </c>
      <c r="B1946" t="s">
        <v>240</v>
      </c>
      <c r="C1946" t="s">
        <v>475</v>
      </c>
      <c r="D1946" t="s">
        <v>599</v>
      </c>
      <c r="E1946" s="3">
        <v>44197</v>
      </c>
      <c r="F1946" s="3">
        <v>44561</v>
      </c>
      <c r="G1946" t="s">
        <v>141</v>
      </c>
      <c r="H1946" s="3">
        <v>44197</v>
      </c>
      <c r="I1946" s="3">
        <v>44561</v>
      </c>
      <c r="J1946" t="s">
        <v>142</v>
      </c>
      <c r="K1946">
        <v>2696.2</v>
      </c>
      <c r="L1946" t="s">
        <v>143</v>
      </c>
      <c r="M1946" t="s">
        <v>110</v>
      </c>
      <c r="O1946" t="s">
        <v>600</v>
      </c>
      <c r="P1946" t="s">
        <v>550</v>
      </c>
      <c r="Q1946">
        <v>2021</v>
      </c>
      <c r="R1946" t="s">
        <v>612</v>
      </c>
      <c r="S1946" t="s">
        <v>613</v>
      </c>
      <c r="T1946" t="s">
        <v>553</v>
      </c>
      <c r="U1946" t="b">
        <v>0</v>
      </c>
      <c r="V1946" t="s">
        <v>614</v>
      </c>
      <c r="W1946" t="s">
        <v>587</v>
      </c>
      <c r="X1946" t="s">
        <v>556</v>
      </c>
      <c r="AC1946">
        <v>0</v>
      </c>
      <c r="AD1946" t="s">
        <v>566</v>
      </c>
      <c r="AE1946">
        <v>100.29864000000001</v>
      </c>
      <c r="AF1946">
        <v>3.7199999999999997E-2</v>
      </c>
      <c r="AG1946" t="s">
        <v>588</v>
      </c>
      <c r="AH1946">
        <v>1</v>
      </c>
      <c r="AI1946">
        <v>2696.2</v>
      </c>
      <c r="AJ1946" t="s">
        <v>561</v>
      </c>
      <c r="AK1946" t="s">
        <v>589</v>
      </c>
      <c r="AL1946" t="s">
        <v>603</v>
      </c>
      <c r="AM1946">
        <v>2021</v>
      </c>
      <c r="AN1946">
        <v>2019</v>
      </c>
      <c r="AO1946">
        <f>IF(AND(emissions[[#This Row],[Market-based]]=0,emissions[[#This Row],[Impact Type]]="CO2E"),emissions[[#This Row],[kgCO2e]],0)/1000</f>
        <v>0</v>
      </c>
      <c r="AP1946">
        <f>IF(AND(emissions[[#This Row],[Market-based]]=1,OR(emissions[[#This Row],[Impact Type]]="CO2E",emissions[[#This Row],[Impact Type]]="CO2E MKT")),emissions[[#This Row],[kgCO2e]],0)/1000</f>
        <v>0</v>
      </c>
      <c r="AQ1946" t="str">
        <f>_xlfn.TEXTAFTER(emissions[[#This Row],[Reporting Unit]]," &gt; ",LEN(emissions[[#This Row],[Reporting Unit]])-LEN(SUBSTITUTE(emissions[[#This Row],[Reporting Unit]],"&gt;","")))</f>
        <v>Vantage_Argentina Farm (Agrinsa)</v>
      </c>
      <c r="AR1946" t="str">
        <f>_xlfn.XLOOKUP(emissions[[#This Row],[Reporting unit name]],hierarchy!$A:$A,hierarchy!$C:$C)</f>
        <v>Labratory</v>
      </c>
    </row>
    <row r="1947" spans="1:44" hidden="1" x14ac:dyDescent="0.25">
      <c r="A1947">
        <v>4993</v>
      </c>
      <c r="B1947" t="s">
        <v>240</v>
      </c>
      <c r="C1947" t="s">
        <v>475</v>
      </c>
      <c r="D1947" t="s">
        <v>599</v>
      </c>
      <c r="E1947" s="3">
        <v>44197</v>
      </c>
      <c r="F1947" s="3">
        <v>44561</v>
      </c>
      <c r="G1947" t="s">
        <v>141</v>
      </c>
      <c r="H1947" s="3">
        <v>44197</v>
      </c>
      <c r="I1947" s="3">
        <v>44561</v>
      </c>
      <c r="J1947" t="s">
        <v>142</v>
      </c>
      <c r="K1947">
        <v>2696.2</v>
      </c>
      <c r="L1947" t="s">
        <v>143</v>
      </c>
      <c r="M1947" t="s">
        <v>110</v>
      </c>
      <c r="O1947" t="s">
        <v>600</v>
      </c>
      <c r="P1947" t="s">
        <v>550</v>
      </c>
      <c r="Q1947">
        <v>2021</v>
      </c>
      <c r="R1947" t="s">
        <v>612</v>
      </c>
      <c r="S1947" t="s">
        <v>613</v>
      </c>
      <c r="T1947" t="s">
        <v>553</v>
      </c>
      <c r="U1947" t="b">
        <v>0</v>
      </c>
      <c r="V1947" t="s">
        <v>614</v>
      </c>
      <c r="W1947" t="s">
        <v>587</v>
      </c>
      <c r="X1947" t="s">
        <v>556</v>
      </c>
      <c r="AC1947">
        <v>1</v>
      </c>
      <c r="AD1947" t="s">
        <v>558</v>
      </c>
      <c r="AE1947">
        <v>0.70101199999999997</v>
      </c>
      <c r="AF1947">
        <v>2.5999999999999998E-4</v>
      </c>
      <c r="AG1947" t="s">
        <v>588</v>
      </c>
      <c r="AH1947">
        <v>1</v>
      </c>
      <c r="AI1947">
        <v>2696.2</v>
      </c>
      <c r="AJ1947" t="s">
        <v>561</v>
      </c>
      <c r="AK1947" t="s">
        <v>589</v>
      </c>
      <c r="AL1947" t="s">
        <v>603</v>
      </c>
      <c r="AM1947">
        <v>2021</v>
      </c>
      <c r="AN1947">
        <v>2019</v>
      </c>
      <c r="AO1947">
        <f>IF(AND(emissions[[#This Row],[Market-based]]=0,emissions[[#This Row],[Impact Type]]="CO2E"),emissions[[#This Row],[kgCO2e]],0)/1000</f>
        <v>0</v>
      </c>
      <c r="AP1947">
        <f>IF(AND(emissions[[#This Row],[Market-based]]=1,OR(emissions[[#This Row],[Impact Type]]="CO2E",emissions[[#This Row],[Impact Type]]="CO2E MKT")),emissions[[#This Row],[kgCO2e]],0)/1000</f>
        <v>0</v>
      </c>
      <c r="AQ1947" t="str">
        <f>_xlfn.TEXTAFTER(emissions[[#This Row],[Reporting Unit]]," &gt; ",LEN(emissions[[#This Row],[Reporting Unit]])-LEN(SUBSTITUTE(emissions[[#This Row],[Reporting Unit]],"&gt;","")))</f>
        <v>Vantage_Argentina Farm (Agrinsa)</v>
      </c>
      <c r="AR1947" t="str">
        <f>_xlfn.XLOOKUP(emissions[[#This Row],[Reporting unit name]],hierarchy!$A:$A,hierarchy!$C:$C)</f>
        <v>Labratory</v>
      </c>
    </row>
    <row r="1948" spans="1:44" hidden="1" x14ac:dyDescent="0.25">
      <c r="A1948">
        <v>4993</v>
      </c>
      <c r="B1948" t="s">
        <v>240</v>
      </c>
      <c r="C1948" t="s">
        <v>475</v>
      </c>
      <c r="D1948" t="s">
        <v>599</v>
      </c>
      <c r="E1948" s="3">
        <v>44197</v>
      </c>
      <c r="F1948" s="3">
        <v>44561</v>
      </c>
      <c r="G1948" t="s">
        <v>141</v>
      </c>
      <c r="H1948" s="3">
        <v>44197</v>
      </c>
      <c r="I1948" s="3">
        <v>44561</v>
      </c>
      <c r="J1948" t="s">
        <v>142</v>
      </c>
      <c r="K1948">
        <v>2696.2</v>
      </c>
      <c r="L1948" t="s">
        <v>143</v>
      </c>
      <c r="M1948" t="s">
        <v>110</v>
      </c>
      <c r="O1948" t="s">
        <v>600</v>
      </c>
      <c r="P1948" t="s">
        <v>550</v>
      </c>
      <c r="Q1948">
        <v>2021</v>
      </c>
      <c r="R1948" t="s">
        <v>612</v>
      </c>
      <c r="S1948" t="s">
        <v>613</v>
      </c>
      <c r="T1948" t="s">
        <v>553</v>
      </c>
      <c r="U1948" t="b">
        <v>0</v>
      </c>
      <c r="V1948" t="s">
        <v>614</v>
      </c>
      <c r="W1948" t="s">
        <v>587</v>
      </c>
      <c r="X1948" t="s">
        <v>556</v>
      </c>
      <c r="AC1948">
        <v>1</v>
      </c>
      <c r="AD1948" t="s">
        <v>564</v>
      </c>
      <c r="AE1948">
        <v>7193.6503339999999</v>
      </c>
      <c r="AF1948">
        <v>2.6680700000000002</v>
      </c>
      <c r="AG1948" t="s">
        <v>588</v>
      </c>
      <c r="AH1948">
        <v>1</v>
      </c>
      <c r="AI1948">
        <v>2696.2</v>
      </c>
      <c r="AJ1948" t="s">
        <v>561</v>
      </c>
      <c r="AK1948" t="s">
        <v>589</v>
      </c>
      <c r="AL1948" t="s">
        <v>603</v>
      </c>
      <c r="AM1948">
        <v>2021</v>
      </c>
      <c r="AN1948">
        <v>2019</v>
      </c>
      <c r="AO1948">
        <f>IF(AND(emissions[[#This Row],[Market-based]]=0,emissions[[#This Row],[Impact Type]]="CO2E"),emissions[[#This Row],[kgCO2e]],0)/1000</f>
        <v>0</v>
      </c>
      <c r="AP1948">
        <f>IF(AND(emissions[[#This Row],[Market-based]]=1,OR(emissions[[#This Row],[Impact Type]]="CO2E",emissions[[#This Row],[Impact Type]]="CO2E MKT")),emissions[[#This Row],[kgCO2e]],0)/1000</f>
        <v>0</v>
      </c>
      <c r="AQ1948" t="str">
        <f>_xlfn.TEXTAFTER(emissions[[#This Row],[Reporting Unit]]," &gt; ",LEN(emissions[[#This Row],[Reporting Unit]])-LEN(SUBSTITUTE(emissions[[#This Row],[Reporting Unit]],"&gt;","")))</f>
        <v>Vantage_Argentina Farm (Agrinsa)</v>
      </c>
      <c r="AR1948" t="str">
        <f>_xlfn.XLOOKUP(emissions[[#This Row],[Reporting unit name]],hierarchy!$A:$A,hierarchy!$C:$C)</f>
        <v>Labratory</v>
      </c>
    </row>
    <row r="1949" spans="1:44" hidden="1" x14ac:dyDescent="0.25">
      <c r="A1949">
        <v>4993</v>
      </c>
      <c r="B1949" t="s">
        <v>240</v>
      </c>
      <c r="C1949" t="s">
        <v>475</v>
      </c>
      <c r="D1949" t="s">
        <v>599</v>
      </c>
      <c r="E1949" s="3">
        <v>44197</v>
      </c>
      <c r="F1949" s="3">
        <v>44561</v>
      </c>
      <c r="G1949" t="s">
        <v>141</v>
      </c>
      <c r="H1949" s="3">
        <v>44197</v>
      </c>
      <c r="I1949" s="3">
        <v>44561</v>
      </c>
      <c r="J1949" t="s">
        <v>142</v>
      </c>
      <c r="K1949">
        <v>2696.2</v>
      </c>
      <c r="L1949" t="s">
        <v>143</v>
      </c>
      <c r="M1949" t="s">
        <v>110</v>
      </c>
      <c r="O1949" t="s">
        <v>600</v>
      </c>
      <c r="P1949" t="s">
        <v>550</v>
      </c>
      <c r="Q1949">
        <v>2021</v>
      </c>
      <c r="R1949" t="s">
        <v>612</v>
      </c>
      <c r="S1949" t="s">
        <v>613</v>
      </c>
      <c r="T1949" t="s">
        <v>553</v>
      </c>
      <c r="U1949" t="b">
        <v>0</v>
      </c>
      <c r="V1949" t="s">
        <v>614</v>
      </c>
      <c r="W1949" t="s">
        <v>587</v>
      </c>
      <c r="X1949" t="s">
        <v>556</v>
      </c>
      <c r="AC1949">
        <v>1</v>
      </c>
      <c r="AD1949" t="s">
        <v>565</v>
      </c>
      <c r="AE1949">
        <v>7294.6499860000004</v>
      </c>
      <c r="AF1949">
        <v>2.70553</v>
      </c>
      <c r="AG1949" t="s">
        <v>588</v>
      </c>
      <c r="AH1949">
        <v>1</v>
      </c>
      <c r="AI1949">
        <v>2696.2</v>
      </c>
      <c r="AJ1949" t="s">
        <v>561</v>
      </c>
      <c r="AK1949" t="s">
        <v>589</v>
      </c>
      <c r="AL1949" t="s">
        <v>603</v>
      </c>
      <c r="AM1949">
        <v>2021</v>
      </c>
      <c r="AN1949">
        <v>2019</v>
      </c>
      <c r="AO1949">
        <f>IF(AND(emissions[[#This Row],[Market-based]]=0,emissions[[#This Row],[Impact Type]]="CO2E"),emissions[[#This Row],[kgCO2e]],0)/1000</f>
        <v>0</v>
      </c>
      <c r="AP1949">
        <f>IF(AND(emissions[[#This Row],[Market-based]]=1,OR(emissions[[#This Row],[Impact Type]]="CO2E",emissions[[#This Row],[Impact Type]]="CO2E MKT")),emissions[[#This Row],[kgCO2e]],0)/1000</f>
        <v>7.2946499860000005</v>
      </c>
      <c r="AQ1949" t="str">
        <f>_xlfn.TEXTAFTER(emissions[[#This Row],[Reporting Unit]]," &gt; ",LEN(emissions[[#This Row],[Reporting Unit]])-LEN(SUBSTITUTE(emissions[[#This Row],[Reporting Unit]],"&gt;","")))</f>
        <v>Vantage_Argentina Farm (Agrinsa)</v>
      </c>
      <c r="AR1949" t="str">
        <f>_xlfn.XLOOKUP(emissions[[#This Row],[Reporting unit name]],hierarchy!$A:$A,hierarchy!$C:$C)</f>
        <v>Labratory</v>
      </c>
    </row>
    <row r="1950" spans="1:44" hidden="1" x14ac:dyDescent="0.25">
      <c r="A1950">
        <v>4993</v>
      </c>
      <c r="B1950" t="s">
        <v>240</v>
      </c>
      <c r="C1950" t="s">
        <v>475</v>
      </c>
      <c r="D1950" t="s">
        <v>599</v>
      </c>
      <c r="E1950" s="3">
        <v>44197</v>
      </c>
      <c r="F1950" s="3">
        <v>44561</v>
      </c>
      <c r="G1950" t="s">
        <v>141</v>
      </c>
      <c r="H1950" s="3">
        <v>44197</v>
      </c>
      <c r="I1950" s="3">
        <v>44561</v>
      </c>
      <c r="J1950" t="s">
        <v>142</v>
      </c>
      <c r="K1950">
        <v>2696.2</v>
      </c>
      <c r="L1950" t="s">
        <v>143</v>
      </c>
      <c r="M1950" t="s">
        <v>110</v>
      </c>
      <c r="O1950" t="s">
        <v>600</v>
      </c>
      <c r="P1950" t="s">
        <v>550</v>
      </c>
      <c r="Q1950">
        <v>2021</v>
      </c>
      <c r="R1950" t="s">
        <v>612</v>
      </c>
      <c r="S1950" t="s">
        <v>613</v>
      </c>
      <c r="T1950" t="s">
        <v>553</v>
      </c>
      <c r="U1950" t="b">
        <v>0</v>
      </c>
      <c r="V1950" t="s">
        <v>614</v>
      </c>
      <c r="W1950" t="s">
        <v>587</v>
      </c>
      <c r="X1950" t="s">
        <v>556</v>
      </c>
      <c r="AC1950">
        <v>1</v>
      </c>
      <c r="AD1950" t="s">
        <v>566</v>
      </c>
      <c r="AE1950">
        <v>100.29864000000001</v>
      </c>
      <c r="AF1950">
        <v>3.7199999999999997E-2</v>
      </c>
      <c r="AG1950" t="s">
        <v>588</v>
      </c>
      <c r="AH1950">
        <v>1</v>
      </c>
      <c r="AI1950">
        <v>2696.2</v>
      </c>
      <c r="AJ1950" t="s">
        <v>561</v>
      </c>
      <c r="AK1950" t="s">
        <v>589</v>
      </c>
      <c r="AL1950" t="s">
        <v>603</v>
      </c>
      <c r="AM1950">
        <v>2021</v>
      </c>
      <c r="AN1950">
        <v>2019</v>
      </c>
      <c r="AO1950">
        <f>IF(AND(emissions[[#This Row],[Market-based]]=0,emissions[[#This Row],[Impact Type]]="CO2E"),emissions[[#This Row],[kgCO2e]],0)/1000</f>
        <v>0</v>
      </c>
      <c r="AP1950">
        <f>IF(AND(emissions[[#This Row],[Market-based]]=1,OR(emissions[[#This Row],[Impact Type]]="CO2E",emissions[[#This Row],[Impact Type]]="CO2E MKT")),emissions[[#This Row],[kgCO2e]],0)/1000</f>
        <v>0</v>
      </c>
      <c r="AQ1950" t="str">
        <f>_xlfn.TEXTAFTER(emissions[[#This Row],[Reporting Unit]]," &gt; ",LEN(emissions[[#This Row],[Reporting Unit]])-LEN(SUBSTITUTE(emissions[[#This Row],[Reporting Unit]],"&gt;","")))</f>
        <v>Vantage_Argentina Farm (Agrinsa)</v>
      </c>
      <c r="AR1950" t="str">
        <f>_xlfn.XLOOKUP(emissions[[#This Row],[Reporting unit name]],hierarchy!$A:$A,hierarchy!$C:$C)</f>
        <v>Labratory</v>
      </c>
    </row>
    <row r="1951" spans="1:44" hidden="1" x14ac:dyDescent="0.25">
      <c r="A1951">
        <v>4993</v>
      </c>
      <c r="B1951" t="s">
        <v>240</v>
      </c>
      <c r="C1951" t="s">
        <v>475</v>
      </c>
      <c r="D1951" t="s">
        <v>599</v>
      </c>
      <c r="E1951" s="3">
        <v>44197</v>
      </c>
      <c r="F1951" s="3">
        <v>44561</v>
      </c>
      <c r="G1951" t="s">
        <v>141</v>
      </c>
      <c r="H1951" s="3">
        <v>44197</v>
      </c>
      <c r="I1951" s="3">
        <v>44561</v>
      </c>
      <c r="J1951" t="s">
        <v>142</v>
      </c>
      <c r="K1951">
        <v>2696.2</v>
      </c>
      <c r="L1951" t="s">
        <v>143</v>
      </c>
      <c r="M1951" t="s">
        <v>110</v>
      </c>
      <c r="O1951" t="s">
        <v>600</v>
      </c>
      <c r="P1951" t="s">
        <v>550</v>
      </c>
      <c r="Q1951">
        <v>2021</v>
      </c>
      <c r="R1951" t="s">
        <v>615</v>
      </c>
      <c r="S1951" t="s">
        <v>616</v>
      </c>
      <c r="T1951" t="s">
        <v>577</v>
      </c>
      <c r="U1951" t="b">
        <v>0</v>
      </c>
      <c r="V1951" t="s">
        <v>617</v>
      </c>
      <c r="W1951" t="s">
        <v>571</v>
      </c>
      <c r="X1951" t="s">
        <v>572</v>
      </c>
      <c r="AC1951">
        <v>0</v>
      </c>
      <c r="AD1951" t="s">
        <v>565</v>
      </c>
      <c r="AE1951">
        <v>1695.2087879999999</v>
      </c>
      <c r="AF1951">
        <v>0.62873999999999997</v>
      </c>
      <c r="AG1951" t="s">
        <v>588</v>
      </c>
      <c r="AH1951">
        <v>1</v>
      </c>
      <c r="AI1951">
        <v>2696.2</v>
      </c>
      <c r="AJ1951" t="s">
        <v>561</v>
      </c>
      <c r="AK1951" t="s">
        <v>589</v>
      </c>
      <c r="AL1951" t="s">
        <v>603</v>
      </c>
      <c r="AM1951">
        <v>2021</v>
      </c>
      <c r="AN1951">
        <v>2019</v>
      </c>
      <c r="AO1951">
        <f>IF(AND(emissions[[#This Row],[Market-based]]=0,emissions[[#This Row],[Impact Type]]="CO2E"),emissions[[#This Row],[kgCO2e]],0)/1000</f>
        <v>1.695208788</v>
      </c>
      <c r="AP1951">
        <f>IF(AND(emissions[[#This Row],[Market-based]]=1,OR(emissions[[#This Row],[Impact Type]]="CO2E",emissions[[#This Row],[Impact Type]]="CO2E MKT")),emissions[[#This Row],[kgCO2e]],0)/1000</f>
        <v>0</v>
      </c>
      <c r="AQ1951" t="str">
        <f>_xlfn.TEXTAFTER(emissions[[#This Row],[Reporting Unit]]," &gt; ",LEN(emissions[[#This Row],[Reporting Unit]])-LEN(SUBSTITUTE(emissions[[#This Row],[Reporting Unit]],"&gt;","")))</f>
        <v>Vantage_Argentina Farm (Agrinsa)</v>
      </c>
      <c r="AR1951" t="str">
        <f>_xlfn.XLOOKUP(emissions[[#This Row],[Reporting unit name]],hierarchy!$A:$A,hierarchy!$C:$C)</f>
        <v>Labratory</v>
      </c>
    </row>
    <row r="1952" spans="1:44" hidden="1" x14ac:dyDescent="0.25">
      <c r="A1952">
        <v>4993</v>
      </c>
      <c r="B1952" t="s">
        <v>240</v>
      </c>
      <c r="C1952" t="s">
        <v>475</v>
      </c>
      <c r="D1952" t="s">
        <v>599</v>
      </c>
      <c r="E1952" s="3">
        <v>44197</v>
      </c>
      <c r="F1952" s="3">
        <v>44561</v>
      </c>
      <c r="G1952" t="s">
        <v>141</v>
      </c>
      <c r="H1952" s="3">
        <v>44197</v>
      </c>
      <c r="I1952" s="3">
        <v>44561</v>
      </c>
      <c r="J1952" t="s">
        <v>142</v>
      </c>
      <c r="K1952">
        <v>2696.2</v>
      </c>
      <c r="L1952" t="s">
        <v>143</v>
      </c>
      <c r="M1952" t="s">
        <v>110</v>
      </c>
      <c r="O1952" t="s">
        <v>600</v>
      </c>
      <c r="P1952" t="s">
        <v>550</v>
      </c>
      <c r="Q1952">
        <v>2021</v>
      </c>
      <c r="R1952" t="s">
        <v>615</v>
      </c>
      <c r="S1952" t="s">
        <v>616</v>
      </c>
      <c r="T1952" t="s">
        <v>577</v>
      </c>
      <c r="U1952" t="b">
        <v>0</v>
      </c>
      <c r="V1952" t="s">
        <v>617</v>
      </c>
      <c r="W1952" t="s">
        <v>571</v>
      </c>
      <c r="X1952" t="s">
        <v>572</v>
      </c>
      <c r="AC1952">
        <v>1</v>
      </c>
      <c r="AD1952" t="s">
        <v>565</v>
      </c>
      <c r="AE1952">
        <v>1695.2087879999999</v>
      </c>
      <c r="AF1952">
        <v>0.62873999999999997</v>
      </c>
      <c r="AG1952" t="s">
        <v>588</v>
      </c>
      <c r="AH1952">
        <v>1</v>
      </c>
      <c r="AI1952">
        <v>2696.2</v>
      </c>
      <c r="AJ1952" t="s">
        <v>561</v>
      </c>
      <c r="AK1952" t="s">
        <v>589</v>
      </c>
      <c r="AL1952" t="s">
        <v>603</v>
      </c>
      <c r="AM1952">
        <v>2021</v>
      </c>
      <c r="AN1952">
        <v>2019</v>
      </c>
      <c r="AO1952">
        <f>IF(AND(emissions[[#This Row],[Market-based]]=0,emissions[[#This Row],[Impact Type]]="CO2E"),emissions[[#This Row],[kgCO2e]],0)/1000</f>
        <v>0</v>
      </c>
      <c r="AP1952">
        <f>IF(AND(emissions[[#This Row],[Market-based]]=1,OR(emissions[[#This Row],[Impact Type]]="CO2E",emissions[[#This Row],[Impact Type]]="CO2E MKT")),emissions[[#This Row],[kgCO2e]],0)/1000</f>
        <v>1.695208788</v>
      </c>
      <c r="AQ1952" t="str">
        <f>_xlfn.TEXTAFTER(emissions[[#This Row],[Reporting Unit]]," &gt; ",LEN(emissions[[#This Row],[Reporting Unit]])-LEN(SUBSTITUTE(emissions[[#This Row],[Reporting Unit]],"&gt;","")))</f>
        <v>Vantage_Argentina Farm (Agrinsa)</v>
      </c>
      <c r="AR1952" t="str">
        <f>_xlfn.XLOOKUP(emissions[[#This Row],[Reporting unit name]],hierarchy!$A:$A,hierarchy!$C:$C)</f>
        <v>Labratory</v>
      </c>
    </row>
    <row r="1953" spans="1:44" hidden="1" x14ac:dyDescent="0.25">
      <c r="A1953">
        <v>4994</v>
      </c>
      <c r="B1953" t="s">
        <v>240</v>
      </c>
      <c r="C1953" t="s">
        <v>475</v>
      </c>
      <c r="D1953" t="s">
        <v>599</v>
      </c>
      <c r="E1953" s="3">
        <v>44197</v>
      </c>
      <c r="F1953" s="3">
        <v>44561</v>
      </c>
      <c r="G1953" t="s">
        <v>141</v>
      </c>
      <c r="H1953" s="3">
        <v>44197</v>
      </c>
      <c r="I1953" s="3">
        <v>44561</v>
      </c>
      <c r="J1953" t="s">
        <v>187</v>
      </c>
      <c r="K1953">
        <v>3539.88</v>
      </c>
      <c r="L1953" t="s">
        <v>143</v>
      </c>
      <c r="M1953" t="s">
        <v>110</v>
      </c>
      <c r="O1953" t="s">
        <v>600</v>
      </c>
      <c r="P1953" t="s">
        <v>550</v>
      </c>
      <c r="Q1953">
        <v>2021</v>
      </c>
      <c r="R1953" t="s">
        <v>654</v>
      </c>
      <c r="S1953" t="s">
        <v>655</v>
      </c>
      <c r="T1953" t="s">
        <v>553</v>
      </c>
      <c r="U1953" t="b">
        <v>0</v>
      </c>
      <c r="V1953" t="s">
        <v>656</v>
      </c>
      <c r="W1953" t="s">
        <v>587</v>
      </c>
      <c r="X1953" t="s">
        <v>556</v>
      </c>
      <c r="AC1953">
        <v>0</v>
      </c>
      <c r="AD1953" t="s">
        <v>558</v>
      </c>
      <c r="AE1953">
        <v>25.911921599999999</v>
      </c>
      <c r="AF1953">
        <v>7.3200000000000001E-3</v>
      </c>
      <c r="AG1953" t="s">
        <v>588</v>
      </c>
      <c r="AH1953">
        <v>1</v>
      </c>
      <c r="AI1953">
        <v>3539.88</v>
      </c>
      <c r="AJ1953" t="s">
        <v>561</v>
      </c>
      <c r="AK1953" t="s">
        <v>589</v>
      </c>
      <c r="AL1953" t="s">
        <v>603</v>
      </c>
      <c r="AM1953">
        <v>2021</v>
      </c>
      <c r="AN1953">
        <v>2019</v>
      </c>
      <c r="AO1953">
        <f>IF(AND(emissions[[#This Row],[Market-based]]=0,emissions[[#This Row],[Impact Type]]="CO2E"),emissions[[#This Row],[kgCO2e]],0)/1000</f>
        <v>0</v>
      </c>
      <c r="AP1953">
        <f>IF(AND(emissions[[#This Row],[Market-based]]=1,OR(emissions[[#This Row],[Impact Type]]="CO2E",emissions[[#This Row],[Impact Type]]="CO2E MKT")),emissions[[#This Row],[kgCO2e]],0)/1000</f>
        <v>0</v>
      </c>
      <c r="AQ1953" t="str">
        <f>_xlfn.TEXTAFTER(emissions[[#This Row],[Reporting Unit]]," &gt; ",LEN(emissions[[#This Row],[Reporting Unit]])-LEN(SUBSTITUTE(emissions[[#This Row],[Reporting Unit]],"&gt;","")))</f>
        <v>Vantage_Argentina Farm (Agrinsa)</v>
      </c>
      <c r="AR1953" t="str">
        <f>_xlfn.XLOOKUP(emissions[[#This Row],[Reporting unit name]],hierarchy!$A:$A,hierarchy!$C:$C)</f>
        <v>Labratory</v>
      </c>
    </row>
    <row r="1954" spans="1:44" hidden="1" x14ac:dyDescent="0.25">
      <c r="A1954">
        <v>4994</v>
      </c>
      <c r="B1954" t="s">
        <v>240</v>
      </c>
      <c r="C1954" t="s">
        <v>475</v>
      </c>
      <c r="D1954" t="s">
        <v>599</v>
      </c>
      <c r="E1954" s="3">
        <v>44197</v>
      </c>
      <c r="F1954" s="3">
        <v>44561</v>
      </c>
      <c r="G1954" t="s">
        <v>141</v>
      </c>
      <c r="H1954" s="3">
        <v>44197</v>
      </c>
      <c r="I1954" s="3">
        <v>44561</v>
      </c>
      <c r="J1954" t="s">
        <v>187</v>
      </c>
      <c r="K1954">
        <v>3539.88</v>
      </c>
      <c r="L1954" t="s">
        <v>143</v>
      </c>
      <c r="M1954" t="s">
        <v>110</v>
      </c>
      <c r="O1954" t="s">
        <v>600</v>
      </c>
      <c r="P1954" t="s">
        <v>550</v>
      </c>
      <c r="Q1954">
        <v>2021</v>
      </c>
      <c r="R1954" t="s">
        <v>654</v>
      </c>
      <c r="S1954" t="s">
        <v>655</v>
      </c>
      <c r="T1954" t="s">
        <v>553</v>
      </c>
      <c r="U1954" t="b">
        <v>0</v>
      </c>
      <c r="V1954" t="s">
        <v>656</v>
      </c>
      <c r="W1954" t="s">
        <v>587</v>
      </c>
      <c r="X1954" t="s">
        <v>556</v>
      </c>
      <c r="AC1954">
        <v>0</v>
      </c>
      <c r="AD1954" t="s">
        <v>564</v>
      </c>
      <c r="AE1954">
        <v>8232.5927200000006</v>
      </c>
      <c r="AF1954">
        <v>2.3256700000000001</v>
      </c>
      <c r="AG1954" t="s">
        <v>588</v>
      </c>
      <c r="AH1954">
        <v>1</v>
      </c>
      <c r="AI1954">
        <v>3539.88</v>
      </c>
      <c r="AJ1954" t="s">
        <v>561</v>
      </c>
      <c r="AK1954" t="s">
        <v>589</v>
      </c>
      <c r="AL1954" t="s">
        <v>603</v>
      </c>
      <c r="AM1954">
        <v>2021</v>
      </c>
      <c r="AN1954">
        <v>2019</v>
      </c>
      <c r="AO1954">
        <f>IF(AND(emissions[[#This Row],[Market-based]]=0,emissions[[#This Row],[Impact Type]]="CO2E"),emissions[[#This Row],[kgCO2e]],0)/1000</f>
        <v>0</v>
      </c>
      <c r="AP1954">
        <f>IF(AND(emissions[[#This Row],[Market-based]]=1,OR(emissions[[#This Row],[Impact Type]]="CO2E",emissions[[#This Row],[Impact Type]]="CO2E MKT")),emissions[[#This Row],[kgCO2e]],0)/1000</f>
        <v>0</v>
      </c>
      <c r="AQ1954" t="str">
        <f>_xlfn.TEXTAFTER(emissions[[#This Row],[Reporting Unit]]," &gt; ",LEN(emissions[[#This Row],[Reporting Unit]])-LEN(SUBSTITUTE(emissions[[#This Row],[Reporting Unit]],"&gt;","")))</f>
        <v>Vantage_Argentina Farm (Agrinsa)</v>
      </c>
      <c r="AR1954" t="str">
        <f>_xlfn.XLOOKUP(emissions[[#This Row],[Reporting unit name]],hierarchy!$A:$A,hierarchy!$C:$C)</f>
        <v>Labratory</v>
      </c>
    </row>
    <row r="1955" spans="1:44" hidden="1" x14ac:dyDescent="0.25">
      <c r="A1955">
        <v>4994</v>
      </c>
      <c r="B1955" t="s">
        <v>240</v>
      </c>
      <c r="C1955" t="s">
        <v>475</v>
      </c>
      <c r="D1955" t="s">
        <v>599</v>
      </c>
      <c r="E1955" s="3">
        <v>44197</v>
      </c>
      <c r="F1955" s="3">
        <v>44561</v>
      </c>
      <c r="G1955" t="s">
        <v>141</v>
      </c>
      <c r="H1955" s="3">
        <v>44197</v>
      </c>
      <c r="I1955" s="3">
        <v>44561</v>
      </c>
      <c r="J1955" t="s">
        <v>187</v>
      </c>
      <c r="K1955">
        <v>3539.88</v>
      </c>
      <c r="L1955" t="s">
        <v>143</v>
      </c>
      <c r="M1955" t="s">
        <v>110</v>
      </c>
      <c r="O1955" t="s">
        <v>600</v>
      </c>
      <c r="P1955" t="s">
        <v>550</v>
      </c>
      <c r="Q1955">
        <v>2021</v>
      </c>
      <c r="R1955" t="s">
        <v>654</v>
      </c>
      <c r="S1955" t="s">
        <v>655</v>
      </c>
      <c r="T1955" t="s">
        <v>553</v>
      </c>
      <c r="U1955" t="b">
        <v>0</v>
      </c>
      <c r="V1955" t="s">
        <v>656</v>
      </c>
      <c r="W1955" t="s">
        <v>587</v>
      </c>
      <c r="X1955" t="s">
        <v>556</v>
      </c>
      <c r="AC1955">
        <v>0</v>
      </c>
      <c r="AD1955" t="s">
        <v>565</v>
      </c>
      <c r="AE1955">
        <v>8282.2572359999995</v>
      </c>
      <c r="AF1955">
        <v>2.3397000000000001</v>
      </c>
      <c r="AG1955" t="s">
        <v>588</v>
      </c>
      <c r="AH1955">
        <v>1</v>
      </c>
      <c r="AI1955">
        <v>3539.88</v>
      </c>
      <c r="AJ1955" t="s">
        <v>561</v>
      </c>
      <c r="AK1955" t="s">
        <v>589</v>
      </c>
      <c r="AL1955" t="s">
        <v>603</v>
      </c>
      <c r="AM1955">
        <v>2021</v>
      </c>
      <c r="AN1955">
        <v>2019</v>
      </c>
      <c r="AO1955">
        <f>IF(AND(emissions[[#This Row],[Market-based]]=0,emissions[[#This Row],[Impact Type]]="CO2E"),emissions[[#This Row],[kgCO2e]],0)/1000</f>
        <v>8.2822572359999995</v>
      </c>
      <c r="AP1955">
        <f>IF(AND(emissions[[#This Row],[Market-based]]=1,OR(emissions[[#This Row],[Impact Type]]="CO2E",emissions[[#This Row],[Impact Type]]="CO2E MKT")),emissions[[#This Row],[kgCO2e]],0)/1000</f>
        <v>0</v>
      </c>
      <c r="AQ1955" t="str">
        <f>_xlfn.TEXTAFTER(emissions[[#This Row],[Reporting Unit]]," &gt; ",LEN(emissions[[#This Row],[Reporting Unit]])-LEN(SUBSTITUTE(emissions[[#This Row],[Reporting Unit]],"&gt;","")))</f>
        <v>Vantage_Argentina Farm (Agrinsa)</v>
      </c>
      <c r="AR1955" t="str">
        <f>_xlfn.XLOOKUP(emissions[[#This Row],[Reporting unit name]],hierarchy!$A:$A,hierarchy!$C:$C)</f>
        <v>Labratory</v>
      </c>
    </row>
    <row r="1956" spans="1:44" hidden="1" x14ac:dyDescent="0.25">
      <c r="A1956">
        <v>4994</v>
      </c>
      <c r="B1956" t="s">
        <v>240</v>
      </c>
      <c r="C1956" t="s">
        <v>475</v>
      </c>
      <c r="D1956" t="s">
        <v>599</v>
      </c>
      <c r="E1956" s="3">
        <v>44197</v>
      </c>
      <c r="F1956" s="3">
        <v>44561</v>
      </c>
      <c r="G1956" t="s">
        <v>141</v>
      </c>
      <c r="H1956" s="3">
        <v>44197</v>
      </c>
      <c r="I1956" s="3">
        <v>44561</v>
      </c>
      <c r="J1956" t="s">
        <v>187</v>
      </c>
      <c r="K1956">
        <v>3539.88</v>
      </c>
      <c r="L1956" t="s">
        <v>143</v>
      </c>
      <c r="M1956" t="s">
        <v>110</v>
      </c>
      <c r="O1956" t="s">
        <v>600</v>
      </c>
      <c r="P1956" t="s">
        <v>550</v>
      </c>
      <c r="Q1956">
        <v>2021</v>
      </c>
      <c r="R1956" t="s">
        <v>654</v>
      </c>
      <c r="S1956" t="s">
        <v>655</v>
      </c>
      <c r="T1956" t="s">
        <v>553</v>
      </c>
      <c r="U1956" t="b">
        <v>0</v>
      </c>
      <c r="V1956" t="s">
        <v>656</v>
      </c>
      <c r="W1956" t="s">
        <v>587</v>
      </c>
      <c r="X1956" t="s">
        <v>556</v>
      </c>
      <c r="AC1956">
        <v>0</v>
      </c>
      <c r="AD1956" t="s">
        <v>566</v>
      </c>
      <c r="AE1956">
        <v>23.752594800000001</v>
      </c>
      <c r="AF1956">
        <v>6.7099999999999998E-3</v>
      </c>
      <c r="AG1956" t="s">
        <v>588</v>
      </c>
      <c r="AH1956">
        <v>1</v>
      </c>
      <c r="AI1956">
        <v>3539.88</v>
      </c>
      <c r="AJ1956" t="s">
        <v>561</v>
      </c>
      <c r="AK1956" t="s">
        <v>589</v>
      </c>
      <c r="AL1956" t="s">
        <v>603</v>
      </c>
      <c r="AM1956">
        <v>2021</v>
      </c>
      <c r="AN1956">
        <v>2019</v>
      </c>
      <c r="AO1956">
        <f>IF(AND(emissions[[#This Row],[Market-based]]=0,emissions[[#This Row],[Impact Type]]="CO2E"),emissions[[#This Row],[kgCO2e]],0)/1000</f>
        <v>0</v>
      </c>
      <c r="AP1956">
        <f>IF(AND(emissions[[#This Row],[Market-based]]=1,OR(emissions[[#This Row],[Impact Type]]="CO2E",emissions[[#This Row],[Impact Type]]="CO2E MKT")),emissions[[#This Row],[kgCO2e]],0)/1000</f>
        <v>0</v>
      </c>
      <c r="AQ1956" t="str">
        <f>_xlfn.TEXTAFTER(emissions[[#This Row],[Reporting Unit]]," &gt; ",LEN(emissions[[#This Row],[Reporting Unit]])-LEN(SUBSTITUTE(emissions[[#This Row],[Reporting Unit]],"&gt;","")))</f>
        <v>Vantage_Argentina Farm (Agrinsa)</v>
      </c>
      <c r="AR1956" t="str">
        <f>_xlfn.XLOOKUP(emissions[[#This Row],[Reporting unit name]],hierarchy!$A:$A,hierarchy!$C:$C)</f>
        <v>Labratory</v>
      </c>
    </row>
    <row r="1957" spans="1:44" hidden="1" x14ac:dyDescent="0.25">
      <c r="A1957">
        <v>4994</v>
      </c>
      <c r="B1957" t="s">
        <v>240</v>
      </c>
      <c r="C1957" t="s">
        <v>475</v>
      </c>
      <c r="D1957" t="s">
        <v>599</v>
      </c>
      <c r="E1957" s="3">
        <v>44197</v>
      </c>
      <c r="F1957" s="3">
        <v>44561</v>
      </c>
      <c r="G1957" t="s">
        <v>141</v>
      </c>
      <c r="H1957" s="3">
        <v>44197</v>
      </c>
      <c r="I1957" s="3">
        <v>44561</v>
      </c>
      <c r="J1957" t="s">
        <v>187</v>
      </c>
      <c r="K1957">
        <v>3539.88</v>
      </c>
      <c r="L1957" t="s">
        <v>143</v>
      </c>
      <c r="M1957" t="s">
        <v>110</v>
      </c>
      <c r="O1957" t="s">
        <v>600</v>
      </c>
      <c r="P1957" t="s">
        <v>550</v>
      </c>
      <c r="Q1957">
        <v>2021</v>
      </c>
      <c r="R1957" t="s">
        <v>654</v>
      </c>
      <c r="S1957" t="s">
        <v>655</v>
      </c>
      <c r="T1957" t="s">
        <v>553</v>
      </c>
      <c r="U1957" t="b">
        <v>0</v>
      </c>
      <c r="V1957" t="s">
        <v>656</v>
      </c>
      <c r="W1957" t="s">
        <v>587</v>
      </c>
      <c r="X1957" t="s">
        <v>556</v>
      </c>
      <c r="AC1957">
        <v>1</v>
      </c>
      <c r="AD1957" t="s">
        <v>558</v>
      </c>
      <c r="AE1957">
        <v>25.911921599999999</v>
      </c>
      <c r="AF1957">
        <v>7.3200000000000001E-3</v>
      </c>
      <c r="AG1957" t="s">
        <v>588</v>
      </c>
      <c r="AH1957">
        <v>1</v>
      </c>
      <c r="AI1957">
        <v>3539.88</v>
      </c>
      <c r="AJ1957" t="s">
        <v>561</v>
      </c>
      <c r="AK1957" t="s">
        <v>589</v>
      </c>
      <c r="AL1957" t="s">
        <v>603</v>
      </c>
      <c r="AM1957">
        <v>2021</v>
      </c>
      <c r="AN1957">
        <v>2019</v>
      </c>
      <c r="AO1957">
        <f>IF(AND(emissions[[#This Row],[Market-based]]=0,emissions[[#This Row],[Impact Type]]="CO2E"),emissions[[#This Row],[kgCO2e]],0)/1000</f>
        <v>0</v>
      </c>
      <c r="AP1957">
        <f>IF(AND(emissions[[#This Row],[Market-based]]=1,OR(emissions[[#This Row],[Impact Type]]="CO2E",emissions[[#This Row],[Impact Type]]="CO2E MKT")),emissions[[#This Row],[kgCO2e]],0)/1000</f>
        <v>0</v>
      </c>
      <c r="AQ1957" t="str">
        <f>_xlfn.TEXTAFTER(emissions[[#This Row],[Reporting Unit]]," &gt; ",LEN(emissions[[#This Row],[Reporting Unit]])-LEN(SUBSTITUTE(emissions[[#This Row],[Reporting Unit]],"&gt;","")))</f>
        <v>Vantage_Argentina Farm (Agrinsa)</v>
      </c>
      <c r="AR1957" t="str">
        <f>_xlfn.XLOOKUP(emissions[[#This Row],[Reporting unit name]],hierarchy!$A:$A,hierarchy!$C:$C)</f>
        <v>Labratory</v>
      </c>
    </row>
    <row r="1958" spans="1:44" hidden="1" x14ac:dyDescent="0.25">
      <c r="A1958">
        <v>4994</v>
      </c>
      <c r="B1958" t="s">
        <v>240</v>
      </c>
      <c r="C1958" t="s">
        <v>475</v>
      </c>
      <c r="D1958" t="s">
        <v>599</v>
      </c>
      <c r="E1958" s="3">
        <v>44197</v>
      </c>
      <c r="F1958" s="3">
        <v>44561</v>
      </c>
      <c r="G1958" t="s">
        <v>141</v>
      </c>
      <c r="H1958" s="3">
        <v>44197</v>
      </c>
      <c r="I1958" s="3">
        <v>44561</v>
      </c>
      <c r="J1958" t="s">
        <v>187</v>
      </c>
      <c r="K1958">
        <v>3539.88</v>
      </c>
      <c r="L1958" t="s">
        <v>143</v>
      </c>
      <c r="M1958" t="s">
        <v>110</v>
      </c>
      <c r="O1958" t="s">
        <v>600</v>
      </c>
      <c r="P1958" t="s">
        <v>550</v>
      </c>
      <c r="Q1958">
        <v>2021</v>
      </c>
      <c r="R1958" t="s">
        <v>654</v>
      </c>
      <c r="S1958" t="s">
        <v>655</v>
      </c>
      <c r="T1958" t="s">
        <v>553</v>
      </c>
      <c r="U1958" t="b">
        <v>0</v>
      </c>
      <c r="V1958" t="s">
        <v>656</v>
      </c>
      <c r="W1958" t="s">
        <v>587</v>
      </c>
      <c r="X1958" t="s">
        <v>556</v>
      </c>
      <c r="AC1958">
        <v>1</v>
      </c>
      <c r="AD1958" t="s">
        <v>564</v>
      </c>
      <c r="AE1958">
        <v>8232.5927200000006</v>
      </c>
      <c r="AF1958">
        <v>2.3256700000000001</v>
      </c>
      <c r="AG1958" t="s">
        <v>588</v>
      </c>
      <c r="AH1958">
        <v>1</v>
      </c>
      <c r="AI1958">
        <v>3539.88</v>
      </c>
      <c r="AJ1958" t="s">
        <v>561</v>
      </c>
      <c r="AK1958" t="s">
        <v>589</v>
      </c>
      <c r="AL1958" t="s">
        <v>603</v>
      </c>
      <c r="AM1958">
        <v>2021</v>
      </c>
      <c r="AN1958">
        <v>2019</v>
      </c>
      <c r="AO1958">
        <f>IF(AND(emissions[[#This Row],[Market-based]]=0,emissions[[#This Row],[Impact Type]]="CO2E"),emissions[[#This Row],[kgCO2e]],0)/1000</f>
        <v>0</v>
      </c>
      <c r="AP1958">
        <f>IF(AND(emissions[[#This Row],[Market-based]]=1,OR(emissions[[#This Row],[Impact Type]]="CO2E",emissions[[#This Row],[Impact Type]]="CO2E MKT")),emissions[[#This Row],[kgCO2e]],0)/1000</f>
        <v>0</v>
      </c>
      <c r="AQ1958" t="str">
        <f>_xlfn.TEXTAFTER(emissions[[#This Row],[Reporting Unit]]," &gt; ",LEN(emissions[[#This Row],[Reporting Unit]])-LEN(SUBSTITUTE(emissions[[#This Row],[Reporting Unit]],"&gt;","")))</f>
        <v>Vantage_Argentina Farm (Agrinsa)</v>
      </c>
      <c r="AR1958" t="str">
        <f>_xlfn.XLOOKUP(emissions[[#This Row],[Reporting unit name]],hierarchy!$A:$A,hierarchy!$C:$C)</f>
        <v>Labratory</v>
      </c>
    </row>
    <row r="1959" spans="1:44" hidden="1" x14ac:dyDescent="0.25">
      <c r="A1959">
        <v>4994</v>
      </c>
      <c r="B1959" t="s">
        <v>240</v>
      </c>
      <c r="C1959" t="s">
        <v>475</v>
      </c>
      <c r="D1959" t="s">
        <v>599</v>
      </c>
      <c r="E1959" s="3">
        <v>44197</v>
      </c>
      <c r="F1959" s="3">
        <v>44561</v>
      </c>
      <c r="G1959" t="s">
        <v>141</v>
      </c>
      <c r="H1959" s="3">
        <v>44197</v>
      </c>
      <c r="I1959" s="3">
        <v>44561</v>
      </c>
      <c r="J1959" t="s">
        <v>187</v>
      </c>
      <c r="K1959">
        <v>3539.88</v>
      </c>
      <c r="L1959" t="s">
        <v>143</v>
      </c>
      <c r="M1959" t="s">
        <v>110</v>
      </c>
      <c r="O1959" t="s">
        <v>600</v>
      </c>
      <c r="P1959" t="s">
        <v>550</v>
      </c>
      <c r="Q1959">
        <v>2021</v>
      </c>
      <c r="R1959" t="s">
        <v>654</v>
      </c>
      <c r="S1959" t="s">
        <v>655</v>
      </c>
      <c r="T1959" t="s">
        <v>553</v>
      </c>
      <c r="U1959" t="b">
        <v>0</v>
      </c>
      <c r="V1959" t="s">
        <v>656</v>
      </c>
      <c r="W1959" t="s">
        <v>587</v>
      </c>
      <c r="X1959" t="s">
        <v>556</v>
      </c>
      <c r="AC1959">
        <v>1</v>
      </c>
      <c r="AD1959" t="s">
        <v>565</v>
      </c>
      <c r="AE1959">
        <v>8282.2572359999995</v>
      </c>
      <c r="AF1959">
        <v>2.3397000000000001</v>
      </c>
      <c r="AG1959" t="s">
        <v>588</v>
      </c>
      <c r="AH1959">
        <v>1</v>
      </c>
      <c r="AI1959">
        <v>3539.88</v>
      </c>
      <c r="AJ1959" t="s">
        <v>561</v>
      </c>
      <c r="AK1959" t="s">
        <v>589</v>
      </c>
      <c r="AL1959" t="s">
        <v>603</v>
      </c>
      <c r="AM1959">
        <v>2021</v>
      </c>
      <c r="AN1959">
        <v>2019</v>
      </c>
      <c r="AO1959">
        <f>IF(AND(emissions[[#This Row],[Market-based]]=0,emissions[[#This Row],[Impact Type]]="CO2E"),emissions[[#This Row],[kgCO2e]],0)/1000</f>
        <v>0</v>
      </c>
      <c r="AP1959">
        <f>IF(AND(emissions[[#This Row],[Market-based]]=1,OR(emissions[[#This Row],[Impact Type]]="CO2E",emissions[[#This Row],[Impact Type]]="CO2E MKT")),emissions[[#This Row],[kgCO2e]],0)/1000</f>
        <v>8.2822572359999995</v>
      </c>
      <c r="AQ1959" t="str">
        <f>_xlfn.TEXTAFTER(emissions[[#This Row],[Reporting Unit]]," &gt; ",LEN(emissions[[#This Row],[Reporting Unit]])-LEN(SUBSTITUTE(emissions[[#This Row],[Reporting Unit]],"&gt;","")))</f>
        <v>Vantage_Argentina Farm (Agrinsa)</v>
      </c>
      <c r="AR1959" t="str">
        <f>_xlfn.XLOOKUP(emissions[[#This Row],[Reporting unit name]],hierarchy!$A:$A,hierarchy!$C:$C)</f>
        <v>Labratory</v>
      </c>
    </row>
    <row r="1960" spans="1:44" hidden="1" x14ac:dyDescent="0.25">
      <c r="A1960">
        <v>4994</v>
      </c>
      <c r="B1960" t="s">
        <v>240</v>
      </c>
      <c r="C1960" t="s">
        <v>475</v>
      </c>
      <c r="D1960" t="s">
        <v>599</v>
      </c>
      <c r="E1960" s="3">
        <v>44197</v>
      </c>
      <c r="F1960" s="3">
        <v>44561</v>
      </c>
      <c r="G1960" t="s">
        <v>141</v>
      </c>
      <c r="H1960" s="3">
        <v>44197</v>
      </c>
      <c r="I1960" s="3">
        <v>44561</v>
      </c>
      <c r="J1960" t="s">
        <v>187</v>
      </c>
      <c r="K1960">
        <v>3539.88</v>
      </c>
      <c r="L1960" t="s">
        <v>143</v>
      </c>
      <c r="M1960" t="s">
        <v>110</v>
      </c>
      <c r="O1960" t="s">
        <v>600</v>
      </c>
      <c r="P1960" t="s">
        <v>550</v>
      </c>
      <c r="Q1960">
        <v>2021</v>
      </c>
      <c r="R1960" t="s">
        <v>654</v>
      </c>
      <c r="S1960" t="s">
        <v>655</v>
      </c>
      <c r="T1960" t="s">
        <v>553</v>
      </c>
      <c r="U1960" t="b">
        <v>0</v>
      </c>
      <c r="V1960" t="s">
        <v>656</v>
      </c>
      <c r="W1960" t="s">
        <v>587</v>
      </c>
      <c r="X1960" t="s">
        <v>556</v>
      </c>
      <c r="AC1960">
        <v>1</v>
      </c>
      <c r="AD1960" t="s">
        <v>566</v>
      </c>
      <c r="AE1960">
        <v>23.752594800000001</v>
      </c>
      <c r="AF1960">
        <v>6.7099999999999998E-3</v>
      </c>
      <c r="AG1960" t="s">
        <v>588</v>
      </c>
      <c r="AH1960">
        <v>1</v>
      </c>
      <c r="AI1960">
        <v>3539.88</v>
      </c>
      <c r="AJ1960" t="s">
        <v>561</v>
      </c>
      <c r="AK1960" t="s">
        <v>589</v>
      </c>
      <c r="AL1960" t="s">
        <v>603</v>
      </c>
      <c r="AM1960">
        <v>2021</v>
      </c>
      <c r="AN1960">
        <v>2019</v>
      </c>
      <c r="AO1960">
        <f>IF(AND(emissions[[#This Row],[Market-based]]=0,emissions[[#This Row],[Impact Type]]="CO2E"),emissions[[#This Row],[kgCO2e]],0)/1000</f>
        <v>0</v>
      </c>
      <c r="AP1960">
        <f>IF(AND(emissions[[#This Row],[Market-based]]=1,OR(emissions[[#This Row],[Impact Type]]="CO2E",emissions[[#This Row],[Impact Type]]="CO2E MKT")),emissions[[#This Row],[kgCO2e]],0)/1000</f>
        <v>0</v>
      </c>
      <c r="AQ1960" t="str">
        <f>_xlfn.TEXTAFTER(emissions[[#This Row],[Reporting Unit]]," &gt; ",LEN(emissions[[#This Row],[Reporting Unit]])-LEN(SUBSTITUTE(emissions[[#This Row],[Reporting Unit]],"&gt;","")))</f>
        <v>Vantage_Argentina Farm (Agrinsa)</v>
      </c>
      <c r="AR1960" t="str">
        <f>_xlfn.XLOOKUP(emissions[[#This Row],[Reporting unit name]],hierarchy!$A:$A,hierarchy!$C:$C)</f>
        <v>Labratory</v>
      </c>
    </row>
    <row r="1961" spans="1:44" hidden="1" x14ac:dyDescent="0.25">
      <c r="A1961">
        <v>4994</v>
      </c>
      <c r="B1961" t="s">
        <v>240</v>
      </c>
      <c r="C1961" t="s">
        <v>475</v>
      </c>
      <c r="D1961" t="s">
        <v>599</v>
      </c>
      <c r="E1961" s="3">
        <v>44197</v>
      </c>
      <c r="F1961" s="3">
        <v>44561</v>
      </c>
      <c r="G1961" t="s">
        <v>141</v>
      </c>
      <c r="H1961" s="3">
        <v>44197</v>
      </c>
      <c r="I1961" s="3">
        <v>44561</v>
      </c>
      <c r="J1961" t="s">
        <v>187</v>
      </c>
      <c r="K1961">
        <v>3539.88</v>
      </c>
      <c r="L1961" t="s">
        <v>143</v>
      </c>
      <c r="M1961" t="s">
        <v>110</v>
      </c>
      <c r="O1961" t="s">
        <v>600</v>
      </c>
      <c r="P1961" t="s">
        <v>550</v>
      </c>
      <c r="Q1961">
        <v>2021</v>
      </c>
      <c r="R1961" t="s">
        <v>657</v>
      </c>
      <c r="S1961" t="s">
        <v>658</v>
      </c>
      <c r="T1961" t="s">
        <v>577</v>
      </c>
      <c r="U1961" t="b">
        <v>0</v>
      </c>
      <c r="V1961" t="s">
        <v>659</v>
      </c>
      <c r="W1961" t="s">
        <v>571</v>
      </c>
      <c r="X1961" t="s">
        <v>572</v>
      </c>
      <c r="AC1961">
        <v>0</v>
      </c>
      <c r="AD1961" t="s">
        <v>565</v>
      </c>
      <c r="AE1961">
        <v>2133.9458599999998</v>
      </c>
      <c r="AF1961">
        <v>0.60282999999999998</v>
      </c>
      <c r="AG1961" t="s">
        <v>588</v>
      </c>
      <c r="AH1961">
        <v>1</v>
      </c>
      <c r="AI1961">
        <v>3539.88</v>
      </c>
      <c r="AJ1961" t="s">
        <v>561</v>
      </c>
      <c r="AK1961" t="s">
        <v>589</v>
      </c>
      <c r="AL1961" t="s">
        <v>603</v>
      </c>
      <c r="AM1961">
        <v>2021</v>
      </c>
      <c r="AN1961">
        <v>2019</v>
      </c>
      <c r="AO1961">
        <f>IF(AND(emissions[[#This Row],[Market-based]]=0,emissions[[#This Row],[Impact Type]]="CO2E"),emissions[[#This Row],[kgCO2e]],0)/1000</f>
        <v>2.1339458599999999</v>
      </c>
      <c r="AP1961">
        <f>IF(AND(emissions[[#This Row],[Market-based]]=1,OR(emissions[[#This Row],[Impact Type]]="CO2E",emissions[[#This Row],[Impact Type]]="CO2E MKT")),emissions[[#This Row],[kgCO2e]],0)/1000</f>
        <v>0</v>
      </c>
      <c r="AQ1961" t="str">
        <f>_xlfn.TEXTAFTER(emissions[[#This Row],[Reporting Unit]]," &gt; ",LEN(emissions[[#This Row],[Reporting Unit]])-LEN(SUBSTITUTE(emissions[[#This Row],[Reporting Unit]],"&gt;","")))</f>
        <v>Vantage_Argentina Farm (Agrinsa)</v>
      </c>
      <c r="AR1961" t="str">
        <f>_xlfn.XLOOKUP(emissions[[#This Row],[Reporting unit name]],hierarchy!$A:$A,hierarchy!$C:$C)</f>
        <v>Labratory</v>
      </c>
    </row>
    <row r="1962" spans="1:44" hidden="1" x14ac:dyDescent="0.25">
      <c r="A1962">
        <v>4994</v>
      </c>
      <c r="B1962" t="s">
        <v>240</v>
      </c>
      <c r="C1962" t="s">
        <v>475</v>
      </c>
      <c r="D1962" t="s">
        <v>599</v>
      </c>
      <c r="E1962" s="3">
        <v>44197</v>
      </c>
      <c r="F1962" s="3">
        <v>44561</v>
      </c>
      <c r="G1962" t="s">
        <v>141</v>
      </c>
      <c r="H1962" s="3">
        <v>44197</v>
      </c>
      <c r="I1962" s="3">
        <v>44561</v>
      </c>
      <c r="J1962" t="s">
        <v>187</v>
      </c>
      <c r="K1962">
        <v>3539.88</v>
      </c>
      <c r="L1962" t="s">
        <v>143</v>
      </c>
      <c r="M1962" t="s">
        <v>110</v>
      </c>
      <c r="O1962" t="s">
        <v>600</v>
      </c>
      <c r="P1962" t="s">
        <v>550</v>
      </c>
      <c r="Q1962">
        <v>2021</v>
      </c>
      <c r="R1962" t="s">
        <v>657</v>
      </c>
      <c r="S1962" t="s">
        <v>658</v>
      </c>
      <c r="T1962" t="s">
        <v>577</v>
      </c>
      <c r="U1962" t="b">
        <v>0</v>
      </c>
      <c r="V1962" t="s">
        <v>659</v>
      </c>
      <c r="W1962" t="s">
        <v>571</v>
      </c>
      <c r="X1962" t="s">
        <v>572</v>
      </c>
      <c r="AC1962">
        <v>1</v>
      </c>
      <c r="AD1962" t="s">
        <v>565</v>
      </c>
      <c r="AE1962">
        <v>2133.9458599999998</v>
      </c>
      <c r="AF1962">
        <v>0.60282999999999998</v>
      </c>
      <c r="AG1962" t="s">
        <v>588</v>
      </c>
      <c r="AH1962">
        <v>1</v>
      </c>
      <c r="AI1962">
        <v>3539.88</v>
      </c>
      <c r="AJ1962" t="s">
        <v>561</v>
      </c>
      <c r="AK1962" t="s">
        <v>589</v>
      </c>
      <c r="AL1962" t="s">
        <v>603</v>
      </c>
      <c r="AM1962">
        <v>2021</v>
      </c>
      <c r="AN1962">
        <v>2019</v>
      </c>
      <c r="AO1962">
        <f>IF(AND(emissions[[#This Row],[Market-based]]=0,emissions[[#This Row],[Impact Type]]="CO2E"),emissions[[#This Row],[kgCO2e]],0)/1000</f>
        <v>0</v>
      </c>
      <c r="AP1962">
        <f>IF(AND(emissions[[#This Row],[Market-based]]=1,OR(emissions[[#This Row],[Impact Type]]="CO2E",emissions[[#This Row],[Impact Type]]="CO2E MKT")),emissions[[#This Row],[kgCO2e]],0)/1000</f>
        <v>2.1339458599999999</v>
      </c>
      <c r="AQ1962" t="str">
        <f>_xlfn.TEXTAFTER(emissions[[#This Row],[Reporting Unit]]," &gt; ",LEN(emissions[[#This Row],[Reporting Unit]])-LEN(SUBSTITUTE(emissions[[#This Row],[Reporting Unit]],"&gt;","")))</f>
        <v>Vantage_Argentina Farm (Agrinsa)</v>
      </c>
      <c r="AR1962" t="str">
        <f>_xlfn.XLOOKUP(emissions[[#This Row],[Reporting unit name]],hierarchy!$A:$A,hierarchy!$C:$C)</f>
        <v>Labratory</v>
      </c>
    </row>
    <row r="1963" spans="1:44" hidden="1" x14ac:dyDescent="0.25">
      <c r="A1963">
        <v>4995</v>
      </c>
      <c r="B1963" t="s">
        <v>240</v>
      </c>
      <c r="C1963" t="s">
        <v>475</v>
      </c>
      <c r="D1963" t="s">
        <v>599</v>
      </c>
      <c r="E1963" s="3">
        <v>44197</v>
      </c>
      <c r="F1963" s="3">
        <v>44561</v>
      </c>
      <c r="G1963" t="s">
        <v>141</v>
      </c>
      <c r="H1963" s="3">
        <v>44197</v>
      </c>
      <c r="I1963" s="3">
        <v>44561</v>
      </c>
      <c r="J1963" t="s">
        <v>187</v>
      </c>
      <c r="K1963">
        <v>9120.06</v>
      </c>
      <c r="L1963" t="s">
        <v>143</v>
      </c>
      <c r="M1963" t="s">
        <v>110</v>
      </c>
      <c r="O1963" t="s">
        <v>600</v>
      </c>
      <c r="P1963" t="s">
        <v>550</v>
      </c>
      <c r="Q1963">
        <v>2021</v>
      </c>
      <c r="R1963" t="s">
        <v>654</v>
      </c>
      <c r="S1963" t="s">
        <v>655</v>
      </c>
      <c r="T1963" t="s">
        <v>553</v>
      </c>
      <c r="U1963" t="b">
        <v>0</v>
      </c>
      <c r="V1963" t="s">
        <v>656</v>
      </c>
      <c r="W1963" t="s">
        <v>587</v>
      </c>
      <c r="X1963" t="s">
        <v>556</v>
      </c>
      <c r="AC1963">
        <v>0</v>
      </c>
      <c r="AD1963" t="s">
        <v>558</v>
      </c>
      <c r="AE1963">
        <v>66.758839199999997</v>
      </c>
      <c r="AF1963">
        <v>7.3200000000000001E-3</v>
      </c>
      <c r="AG1963" t="s">
        <v>588</v>
      </c>
      <c r="AH1963">
        <v>1</v>
      </c>
      <c r="AI1963">
        <v>9120.06</v>
      </c>
      <c r="AJ1963" t="s">
        <v>561</v>
      </c>
      <c r="AK1963" t="s">
        <v>589</v>
      </c>
      <c r="AL1963" t="s">
        <v>603</v>
      </c>
      <c r="AM1963">
        <v>2021</v>
      </c>
      <c r="AN1963">
        <v>2019</v>
      </c>
      <c r="AO1963">
        <f>IF(AND(emissions[[#This Row],[Market-based]]=0,emissions[[#This Row],[Impact Type]]="CO2E"),emissions[[#This Row],[kgCO2e]],0)/1000</f>
        <v>0</v>
      </c>
      <c r="AP1963">
        <f>IF(AND(emissions[[#This Row],[Market-based]]=1,OR(emissions[[#This Row],[Impact Type]]="CO2E",emissions[[#This Row],[Impact Type]]="CO2E MKT")),emissions[[#This Row],[kgCO2e]],0)/1000</f>
        <v>0</v>
      </c>
      <c r="AQ1963" t="str">
        <f>_xlfn.TEXTAFTER(emissions[[#This Row],[Reporting Unit]]," &gt; ",LEN(emissions[[#This Row],[Reporting Unit]])-LEN(SUBSTITUTE(emissions[[#This Row],[Reporting Unit]],"&gt;","")))</f>
        <v>Vantage_Argentina Farm (Agrinsa)</v>
      </c>
      <c r="AR1963" t="str">
        <f>_xlfn.XLOOKUP(emissions[[#This Row],[Reporting unit name]],hierarchy!$A:$A,hierarchy!$C:$C)</f>
        <v>Labratory</v>
      </c>
    </row>
    <row r="1964" spans="1:44" hidden="1" x14ac:dyDescent="0.25">
      <c r="A1964">
        <v>4995</v>
      </c>
      <c r="B1964" t="s">
        <v>240</v>
      </c>
      <c r="C1964" t="s">
        <v>475</v>
      </c>
      <c r="D1964" t="s">
        <v>599</v>
      </c>
      <c r="E1964" s="3">
        <v>44197</v>
      </c>
      <c r="F1964" s="3">
        <v>44561</v>
      </c>
      <c r="G1964" t="s">
        <v>141</v>
      </c>
      <c r="H1964" s="3">
        <v>44197</v>
      </c>
      <c r="I1964" s="3">
        <v>44561</v>
      </c>
      <c r="J1964" t="s">
        <v>187</v>
      </c>
      <c r="K1964">
        <v>9120.06</v>
      </c>
      <c r="L1964" t="s">
        <v>143</v>
      </c>
      <c r="M1964" t="s">
        <v>110</v>
      </c>
      <c r="O1964" t="s">
        <v>600</v>
      </c>
      <c r="P1964" t="s">
        <v>550</v>
      </c>
      <c r="Q1964">
        <v>2021</v>
      </c>
      <c r="R1964" t="s">
        <v>654</v>
      </c>
      <c r="S1964" t="s">
        <v>655</v>
      </c>
      <c r="T1964" t="s">
        <v>553</v>
      </c>
      <c r="U1964" t="b">
        <v>0</v>
      </c>
      <c r="V1964" t="s">
        <v>656</v>
      </c>
      <c r="W1964" t="s">
        <v>587</v>
      </c>
      <c r="X1964" t="s">
        <v>556</v>
      </c>
      <c r="AC1964">
        <v>0</v>
      </c>
      <c r="AD1964" t="s">
        <v>564</v>
      </c>
      <c r="AE1964">
        <v>21210.249940000002</v>
      </c>
      <c r="AF1964">
        <v>2.3256700000000001</v>
      </c>
      <c r="AG1964" t="s">
        <v>588</v>
      </c>
      <c r="AH1964">
        <v>1</v>
      </c>
      <c r="AI1964">
        <v>9120.06</v>
      </c>
      <c r="AJ1964" t="s">
        <v>561</v>
      </c>
      <c r="AK1964" t="s">
        <v>589</v>
      </c>
      <c r="AL1964" t="s">
        <v>603</v>
      </c>
      <c r="AM1964">
        <v>2021</v>
      </c>
      <c r="AN1964">
        <v>2019</v>
      </c>
      <c r="AO1964">
        <f>IF(AND(emissions[[#This Row],[Market-based]]=0,emissions[[#This Row],[Impact Type]]="CO2E"),emissions[[#This Row],[kgCO2e]],0)/1000</f>
        <v>0</v>
      </c>
      <c r="AP1964">
        <f>IF(AND(emissions[[#This Row],[Market-based]]=1,OR(emissions[[#This Row],[Impact Type]]="CO2E",emissions[[#This Row],[Impact Type]]="CO2E MKT")),emissions[[#This Row],[kgCO2e]],0)/1000</f>
        <v>0</v>
      </c>
      <c r="AQ1964" t="str">
        <f>_xlfn.TEXTAFTER(emissions[[#This Row],[Reporting Unit]]," &gt; ",LEN(emissions[[#This Row],[Reporting Unit]])-LEN(SUBSTITUTE(emissions[[#This Row],[Reporting Unit]],"&gt;","")))</f>
        <v>Vantage_Argentina Farm (Agrinsa)</v>
      </c>
      <c r="AR1964" t="str">
        <f>_xlfn.XLOOKUP(emissions[[#This Row],[Reporting unit name]],hierarchy!$A:$A,hierarchy!$C:$C)</f>
        <v>Labratory</v>
      </c>
    </row>
    <row r="1965" spans="1:44" hidden="1" x14ac:dyDescent="0.25">
      <c r="A1965">
        <v>4995</v>
      </c>
      <c r="B1965" t="s">
        <v>240</v>
      </c>
      <c r="C1965" t="s">
        <v>475</v>
      </c>
      <c r="D1965" t="s">
        <v>599</v>
      </c>
      <c r="E1965" s="3">
        <v>44197</v>
      </c>
      <c r="F1965" s="3">
        <v>44561</v>
      </c>
      <c r="G1965" t="s">
        <v>141</v>
      </c>
      <c r="H1965" s="3">
        <v>44197</v>
      </c>
      <c r="I1965" s="3">
        <v>44561</v>
      </c>
      <c r="J1965" t="s">
        <v>187</v>
      </c>
      <c r="K1965">
        <v>9120.06</v>
      </c>
      <c r="L1965" t="s">
        <v>143</v>
      </c>
      <c r="M1965" t="s">
        <v>110</v>
      </c>
      <c r="O1965" t="s">
        <v>600</v>
      </c>
      <c r="P1965" t="s">
        <v>550</v>
      </c>
      <c r="Q1965">
        <v>2021</v>
      </c>
      <c r="R1965" t="s">
        <v>654</v>
      </c>
      <c r="S1965" t="s">
        <v>655</v>
      </c>
      <c r="T1965" t="s">
        <v>553</v>
      </c>
      <c r="U1965" t="b">
        <v>0</v>
      </c>
      <c r="V1965" t="s">
        <v>656</v>
      </c>
      <c r="W1965" t="s">
        <v>587</v>
      </c>
      <c r="X1965" t="s">
        <v>556</v>
      </c>
      <c r="AC1965">
        <v>0</v>
      </c>
      <c r="AD1965" t="s">
        <v>565</v>
      </c>
      <c r="AE1965">
        <v>21338.204379999999</v>
      </c>
      <c r="AF1965">
        <v>2.3397000000000001</v>
      </c>
      <c r="AG1965" t="s">
        <v>588</v>
      </c>
      <c r="AH1965">
        <v>1</v>
      </c>
      <c r="AI1965">
        <v>9120.06</v>
      </c>
      <c r="AJ1965" t="s">
        <v>561</v>
      </c>
      <c r="AK1965" t="s">
        <v>589</v>
      </c>
      <c r="AL1965" t="s">
        <v>603</v>
      </c>
      <c r="AM1965">
        <v>2021</v>
      </c>
      <c r="AN1965">
        <v>2019</v>
      </c>
      <c r="AO1965">
        <f>IF(AND(emissions[[#This Row],[Market-based]]=0,emissions[[#This Row],[Impact Type]]="CO2E"),emissions[[#This Row],[kgCO2e]],0)/1000</f>
        <v>21.338204380000001</v>
      </c>
      <c r="AP1965">
        <f>IF(AND(emissions[[#This Row],[Market-based]]=1,OR(emissions[[#This Row],[Impact Type]]="CO2E",emissions[[#This Row],[Impact Type]]="CO2E MKT")),emissions[[#This Row],[kgCO2e]],0)/1000</f>
        <v>0</v>
      </c>
      <c r="AQ1965" t="str">
        <f>_xlfn.TEXTAFTER(emissions[[#This Row],[Reporting Unit]]," &gt; ",LEN(emissions[[#This Row],[Reporting Unit]])-LEN(SUBSTITUTE(emissions[[#This Row],[Reporting Unit]],"&gt;","")))</f>
        <v>Vantage_Argentina Farm (Agrinsa)</v>
      </c>
      <c r="AR1965" t="str">
        <f>_xlfn.XLOOKUP(emissions[[#This Row],[Reporting unit name]],hierarchy!$A:$A,hierarchy!$C:$C)</f>
        <v>Labratory</v>
      </c>
    </row>
    <row r="1966" spans="1:44" hidden="1" x14ac:dyDescent="0.25">
      <c r="A1966">
        <v>4995</v>
      </c>
      <c r="B1966" t="s">
        <v>240</v>
      </c>
      <c r="C1966" t="s">
        <v>475</v>
      </c>
      <c r="D1966" t="s">
        <v>599</v>
      </c>
      <c r="E1966" s="3">
        <v>44197</v>
      </c>
      <c r="F1966" s="3">
        <v>44561</v>
      </c>
      <c r="G1966" t="s">
        <v>141</v>
      </c>
      <c r="H1966" s="3">
        <v>44197</v>
      </c>
      <c r="I1966" s="3">
        <v>44561</v>
      </c>
      <c r="J1966" t="s">
        <v>187</v>
      </c>
      <c r="K1966">
        <v>9120.06</v>
      </c>
      <c r="L1966" t="s">
        <v>143</v>
      </c>
      <c r="M1966" t="s">
        <v>110</v>
      </c>
      <c r="O1966" t="s">
        <v>600</v>
      </c>
      <c r="P1966" t="s">
        <v>550</v>
      </c>
      <c r="Q1966">
        <v>2021</v>
      </c>
      <c r="R1966" t="s">
        <v>654</v>
      </c>
      <c r="S1966" t="s">
        <v>655</v>
      </c>
      <c r="T1966" t="s">
        <v>553</v>
      </c>
      <c r="U1966" t="b">
        <v>0</v>
      </c>
      <c r="V1966" t="s">
        <v>656</v>
      </c>
      <c r="W1966" t="s">
        <v>587</v>
      </c>
      <c r="X1966" t="s">
        <v>556</v>
      </c>
      <c r="AC1966">
        <v>0</v>
      </c>
      <c r="AD1966" t="s">
        <v>566</v>
      </c>
      <c r="AE1966">
        <v>61.195602600000001</v>
      </c>
      <c r="AF1966">
        <v>6.7099999999999998E-3</v>
      </c>
      <c r="AG1966" t="s">
        <v>588</v>
      </c>
      <c r="AH1966">
        <v>1</v>
      </c>
      <c r="AI1966">
        <v>9120.06</v>
      </c>
      <c r="AJ1966" t="s">
        <v>561</v>
      </c>
      <c r="AK1966" t="s">
        <v>589</v>
      </c>
      <c r="AL1966" t="s">
        <v>603</v>
      </c>
      <c r="AM1966">
        <v>2021</v>
      </c>
      <c r="AN1966">
        <v>2019</v>
      </c>
      <c r="AO1966">
        <f>IF(AND(emissions[[#This Row],[Market-based]]=0,emissions[[#This Row],[Impact Type]]="CO2E"),emissions[[#This Row],[kgCO2e]],0)/1000</f>
        <v>0</v>
      </c>
      <c r="AP1966">
        <f>IF(AND(emissions[[#This Row],[Market-based]]=1,OR(emissions[[#This Row],[Impact Type]]="CO2E",emissions[[#This Row],[Impact Type]]="CO2E MKT")),emissions[[#This Row],[kgCO2e]],0)/1000</f>
        <v>0</v>
      </c>
      <c r="AQ1966" t="str">
        <f>_xlfn.TEXTAFTER(emissions[[#This Row],[Reporting Unit]]," &gt; ",LEN(emissions[[#This Row],[Reporting Unit]])-LEN(SUBSTITUTE(emissions[[#This Row],[Reporting Unit]],"&gt;","")))</f>
        <v>Vantage_Argentina Farm (Agrinsa)</v>
      </c>
      <c r="AR1966" t="str">
        <f>_xlfn.XLOOKUP(emissions[[#This Row],[Reporting unit name]],hierarchy!$A:$A,hierarchy!$C:$C)</f>
        <v>Labratory</v>
      </c>
    </row>
    <row r="1967" spans="1:44" hidden="1" x14ac:dyDescent="0.25">
      <c r="A1967">
        <v>4995</v>
      </c>
      <c r="B1967" t="s">
        <v>240</v>
      </c>
      <c r="C1967" t="s">
        <v>475</v>
      </c>
      <c r="D1967" t="s">
        <v>599</v>
      </c>
      <c r="E1967" s="3">
        <v>44197</v>
      </c>
      <c r="F1967" s="3">
        <v>44561</v>
      </c>
      <c r="G1967" t="s">
        <v>141</v>
      </c>
      <c r="H1967" s="3">
        <v>44197</v>
      </c>
      <c r="I1967" s="3">
        <v>44561</v>
      </c>
      <c r="J1967" t="s">
        <v>187</v>
      </c>
      <c r="K1967">
        <v>9120.06</v>
      </c>
      <c r="L1967" t="s">
        <v>143</v>
      </c>
      <c r="M1967" t="s">
        <v>110</v>
      </c>
      <c r="O1967" t="s">
        <v>600</v>
      </c>
      <c r="P1967" t="s">
        <v>550</v>
      </c>
      <c r="Q1967">
        <v>2021</v>
      </c>
      <c r="R1967" t="s">
        <v>654</v>
      </c>
      <c r="S1967" t="s">
        <v>655</v>
      </c>
      <c r="T1967" t="s">
        <v>553</v>
      </c>
      <c r="U1967" t="b">
        <v>0</v>
      </c>
      <c r="V1967" t="s">
        <v>656</v>
      </c>
      <c r="W1967" t="s">
        <v>587</v>
      </c>
      <c r="X1967" t="s">
        <v>556</v>
      </c>
      <c r="AC1967">
        <v>1</v>
      </c>
      <c r="AD1967" t="s">
        <v>558</v>
      </c>
      <c r="AE1967">
        <v>66.758839199999997</v>
      </c>
      <c r="AF1967">
        <v>7.3200000000000001E-3</v>
      </c>
      <c r="AG1967" t="s">
        <v>588</v>
      </c>
      <c r="AH1967">
        <v>1</v>
      </c>
      <c r="AI1967">
        <v>9120.06</v>
      </c>
      <c r="AJ1967" t="s">
        <v>561</v>
      </c>
      <c r="AK1967" t="s">
        <v>589</v>
      </c>
      <c r="AL1967" t="s">
        <v>603</v>
      </c>
      <c r="AM1967">
        <v>2021</v>
      </c>
      <c r="AN1967">
        <v>2019</v>
      </c>
      <c r="AO1967">
        <f>IF(AND(emissions[[#This Row],[Market-based]]=0,emissions[[#This Row],[Impact Type]]="CO2E"),emissions[[#This Row],[kgCO2e]],0)/1000</f>
        <v>0</v>
      </c>
      <c r="AP1967">
        <f>IF(AND(emissions[[#This Row],[Market-based]]=1,OR(emissions[[#This Row],[Impact Type]]="CO2E",emissions[[#This Row],[Impact Type]]="CO2E MKT")),emissions[[#This Row],[kgCO2e]],0)/1000</f>
        <v>0</v>
      </c>
      <c r="AQ1967" t="str">
        <f>_xlfn.TEXTAFTER(emissions[[#This Row],[Reporting Unit]]," &gt; ",LEN(emissions[[#This Row],[Reporting Unit]])-LEN(SUBSTITUTE(emissions[[#This Row],[Reporting Unit]],"&gt;","")))</f>
        <v>Vantage_Argentina Farm (Agrinsa)</v>
      </c>
      <c r="AR1967" t="str">
        <f>_xlfn.XLOOKUP(emissions[[#This Row],[Reporting unit name]],hierarchy!$A:$A,hierarchy!$C:$C)</f>
        <v>Labratory</v>
      </c>
    </row>
    <row r="1968" spans="1:44" hidden="1" x14ac:dyDescent="0.25">
      <c r="A1968">
        <v>4995</v>
      </c>
      <c r="B1968" t="s">
        <v>240</v>
      </c>
      <c r="C1968" t="s">
        <v>475</v>
      </c>
      <c r="D1968" t="s">
        <v>599</v>
      </c>
      <c r="E1968" s="3">
        <v>44197</v>
      </c>
      <c r="F1968" s="3">
        <v>44561</v>
      </c>
      <c r="G1968" t="s">
        <v>141</v>
      </c>
      <c r="H1968" s="3">
        <v>44197</v>
      </c>
      <c r="I1968" s="3">
        <v>44561</v>
      </c>
      <c r="J1968" t="s">
        <v>187</v>
      </c>
      <c r="K1968">
        <v>9120.06</v>
      </c>
      <c r="L1968" t="s">
        <v>143</v>
      </c>
      <c r="M1968" t="s">
        <v>110</v>
      </c>
      <c r="O1968" t="s">
        <v>600</v>
      </c>
      <c r="P1968" t="s">
        <v>550</v>
      </c>
      <c r="Q1968">
        <v>2021</v>
      </c>
      <c r="R1968" t="s">
        <v>654</v>
      </c>
      <c r="S1968" t="s">
        <v>655</v>
      </c>
      <c r="T1968" t="s">
        <v>553</v>
      </c>
      <c r="U1968" t="b">
        <v>0</v>
      </c>
      <c r="V1968" t="s">
        <v>656</v>
      </c>
      <c r="W1968" t="s">
        <v>587</v>
      </c>
      <c r="X1968" t="s">
        <v>556</v>
      </c>
      <c r="AC1968">
        <v>1</v>
      </c>
      <c r="AD1968" t="s">
        <v>564</v>
      </c>
      <c r="AE1968">
        <v>21210.249940000002</v>
      </c>
      <c r="AF1968">
        <v>2.3256700000000001</v>
      </c>
      <c r="AG1968" t="s">
        <v>588</v>
      </c>
      <c r="AH1968">
        <v>1</v>
      </c>
      <c r="AI1968">
        <v>9120.06</v>
      </c>
      <c r="AJ1968" t="s">
        <v>561</v>
      </c>
      <c r="AK1968" t="s">
        <v>589</v>
      </c>
      <c r="AL1968" t="s">
        <v>603</v>
      </c>
      <c r="AM1968">
        <v>2021</v>
      </c>
      <c r="AN1968">
        <v>2019</v>
      </c>
      <c r="AO1968">
        <f>IF(AND(emissions[[#This Row],[Market-based]]=0,emissions[[#This Row],[Impact Type]]="CO2E"),emissions[[#This Row],[kgCO2e]],0)/1000</f>
        <v>0</v>
      </c>
      <c r="AP1968">
        <f>IF(AND(emissions[[#This Row],[Market-based]]=1,OR(emissions[[#This Row],[Impact Type]]="CO2E",emissions[[#This Row],[Impact Type]]="CO2E MKT")),emissions[[#This Row],[kgCO2e]],0)/1000</f>
        <v>0</v>
      </c>
      <c r="AQ1968" t="str">
        <f>_xlfn.TEXTAFTER(emissions[[#This Row],[Reporting Unit]]," &gt; ",LEN(emissions[[#This Row],[Reporting Unit]])-LEN(SUBSTITUTE(emissions[[#This Row],[Reporting Unit]],"&gt;","")))</f>
        <v>Vantage_Argentina Farm (Agrinsa)</v>
      </c>
      <c r="AR1968" t="str">
        <f>_xlfn.XLOOKUP(emissions[[#This Row],[Reporting unit name]],hierarchy!$A:$A,hierarchy!$C:$C)</f>
        <v>Labratory</v>
      </c>
    </row>
    <row r="1969" spans="1:44" hidden="1" x14ac:dyDescent="0.25">
      <c r="A1969">
        <v>4995</v>
      </c>
      <c r="B1969" t="s">
        <v>240</v>
      </c>
      <c r="C1969" t="s">
        <v>475</v>
      </c>
      <c r="D1969" t="s">
        <v>599</v>
      </c>
      <c r="E1969" s="3">
        <v>44197</v>
      </c>
      <c r="F1969" s="3">
        <v>44561</v>
      </c>
      <c r="G1969" t="s">
        <v>141</v>
      </c>
      <c r="H1969" s="3">
        <v>44197</v>
      </c>
      <c r="I1969" s="3">
        <v>44561</v>
      </c>
      <c r="J1969" t="s">
        <v>187</v>
      </c>
      <c r="K1969">
        <v>9120.06</v>
      </c>
      <c r="L1969" t="s">
        <v>143</v>
      </c>
      <c r="M1969" t="s">
        <v>110</v>
      </c>
      <c r="O1969" t="s">
        <v>600</v>
      </c>
      <c r="P1969" t="s">
        <v>550</v>
      </c>
      <c r="Q1969">
        <v>2021</v>
      </c>
      <c r="R1969" t="s">
        <v>654</v>
      </c>
      <c r="S1969" t="s">
        <v>655</v>
      </c>
      <c r="T1969" t="s">
        <v>553</v>
      </c>
      <c r="U1969" t="b">
        <v>0</v>
      </c>
      <c r="V1969" t="s">
        <v>656</v>
      </c>
      <c r="W1969" t="s">
        <v>587</v>
      </c>
      <c r="X1969" t="s">
        <v>556</v>
      </c>
      <c r="AC1969">
        <v>1</v>
      </c>
      <c r="AD1969" t="s">
        <v>565</v>
      </c>
      <c r="AE1969">
        <v>21338.204379999999</v>
      </c>
      <c r="AF1969">
        <v>2.3397000000000001</v>
      </c>
      <c r="AG1969" t="s">
        <v>588</v>
      </c>
      <c r="AH1969">
        <v>1</v>
      </c>
      <c r="AI1969">
        <v>9120.06</v>
      </c>
      <c r="AJ1969" t="s">
        <v>561</v>
      </c>
      <c r="AK1969" t="s">
        <v>589</v>
      </c>
      <c r="AL1969" t="s">
        <v>603</v>
      </c>
      <c r="AM1969">
        <v>2021</v>
      </c>
      <c r="AN1969">
        <v>2019</v>
      </c>
      <c r="AO1969">
        <f>IF(AND(emissions[[#This Row],[Market-based]]=0,emissions[[#This Row],[Impact Type]]="CO2E"),emissions[[#This Row],[kgCO2e]],0)/1000</f>
        <v>0</v>
      </c>
      <c r="AP1969">
        <f>IF(AND(emissions[[#This Row],[Market-based]]=1,OR(emissions[[#This Row],[Impact Type]]="CO2E",emissions[[#This Row],[Impact Type]]="CO2E MKT")),emissions[[#This Row],[kgCO2e]],0)/1000</f>
        <v>21.338204380000001</v>
      </c>
      <c r="AQ1969" t="str">
        <f>_xlfn.TEXTAFTER(emissions[[#This Row],[Reporting Unit]]," &gt; ",LEN(emissions[[#This Row],[Reporting Unit]])-LEN(SUBSTITUTE(emissions[[#This Row],[Reporting Unit]],"&gt;","")))</f>
        <v>Vantage_Argentina Farm (Agrinsa)</v>
      </c>
      <c r="AR1969" t="str">
        <f>_xlfn.XLOOKUP(emissions[[#This Row],[Reporting unit name]],hierarchy!$A:$A,hierarchy!$C:$C)</f>
        <v>Labratory</v>
      </c>
    </row>
    <row r="1970" spans="1:44" hidden="1" x14ac:dyDescent="0.25">
      <c r="A1970">
        <v>4995</v>
      </c>
      <c r="B1970" t="s">
        <v>240</v>
      </c>
      <c r="C1970" t="s">
        <v>475</v>
      </c>
      <c r="D1970" t="s">
        <v>599</v>
      </c>
      <c r="E1970" s="3">
        <v>44197</v>
      </c>
      <c r="F1970" s="3">
        <v>44561</v>
      </c>
      <c r="G1970" t="s">
        <v>141</v>
      </c>
      <c r="H1970" s="3">
        <v>44197</v>
      </c>
      <c r="I1970" s="3">
        <v>44561</v>
      </c>
      <c r="J1970" t="s">
        <v>187</v>
      </c>
      <c r="K1970">
        <v>9120.06</v>
      </c>
      <c r="L1970" t="s">
        <v>143</v>
      </c>
      <c r="M1970" t="s">
        <v>110</v>
      </c>
      <c r="O1970" t="s">
        <v>600</v>
      </c>
      <c r="P1970" t="s">
        <v>550</v>
      </c>
      <c r="Q1970">
        <v>2021</v>
      </c>
      <c r="R1970" t="s">
        <v>654</v>
      </c>
      <c r="S1970" t="s">
        <v>655</v>
      </c>
      <c r="T1970" t="s">
        <v>553</v>
      </c>
      <c r="U1970" t="b">
        <v>0</v>
      </c>
      <c r="V1970" t="s">
        <v>656</v>
      </c>
      <c r="W1970" t="s">
        <v>587</v>
      </c>
      <c r="X1970" t="s">
        <v>556</v>
      </c>
      <c r="AC1970">
        <v>1</v>
      </c>
      <c r="AD1970" t="s">
        <v>566</v>
      </c>
      <c r="AE1970">
        <v>61.195602600000001</v>
      </c>
      <c r="AF1970">
        <v>6.7099999999999998E-3</v>
      </c>
      <c r="AG1970" t="s">
        <v>588</v>
      </c>
      <c r="AH1970">
        <v>1</v>
      </c>
      <c r="AI1970">
        <v>9120.06</v>
      </c>
      <c r="AJ1970" t="s">
        <v>561</v>
      </c>
      <c r="AK1970" t="s">
        <v>589</v>
      </c>
      <c r="AL1970" t="s">
        <v>603</v>
      </c>
      <c r="AM1970">
        <v>2021</v>
      </c>
      <c r="AN1970">
        <v>2019</v>
      </c>
      <c r="AO1970">
        <f>IF(AND(emissions[[#This Row],[Market-based]]=0,emissions[[#This Row],[Impact Type]]="CO2E"),emissions[[#This Row],[kgCO2e]],0)/1000</f>
        <v>0</v>
      </c>
      <c r="AP1970">
        <f>IF(AND(emissions[[#This Row],[Market-based]]=1,OR(emissions[[#This Row],[Impact Type]]="CO2E",emissions[[#This Row],[Impact Type]]="CO2E MKT")),emissions[[#This Row],[kgCO2e]],0)/1000</f>
        <v>0</v>
      </c>
      <c r="AQ1970" t="str">
        <f>_xlfn.TEXTAFTER(emissions[[#This Row],[Reporting Unit]]," &gt; ",LEN(emissions[[#This Row],[Reporting Unit]])-LEN(SUBSTITUTE(emissions[[#This Row],[Reporting Unit]],"&gt;","")))</f>
        <v>Vantage_Argentina Farm (Agrinsa)</v>
      </c>
      <c r="AR1970" t="str">
        <f>_xlfn.XLOOKUP(emissions[[#This Row],[Reporting unit name]],hierarchy!$A:$A,hierarchy!$C:$C)</f>
        <v>Labratory</v>
      </c>
    </row>
    <row r="1971" spans="1:44" hidden="1" x14ac:dyDescent="0.25">
      <c r="A1971">
        <v>4995</v>
      </c>
      <c r="B1971" t="s">
        <v>240</v>
      </c>
      <c r="C1971" t="s">
        <v>475</v>
      </c>
      <c r="D1971" t="s">
        <v>599</v>
      </c>
      <c r="E1971" s="3">
        <v>44197</v>
      </c>
      <c r="F1971" s="3">
        <v>44561</v>
      </c>
      <c r="G1971" t="s">
        <v>141</v>
      </c>
      <c r="H1971" s="3">
        <v>44197</v>
      </c>
      <c r="I1971" s="3">
        <v>44561</v>
      </c>
      <c r="J1971" t="s">
        <v>187</v>
      </c>
      <c r="K1971">
        <v>9120.06</v>
      </c>
      <c r="L1971" t="s">
        <v>143</v>
      </c>
      <c r="M1971" t="s">
        <v>110</v>
      </c>
      <c r="O1971" t="s">
        <v>600</v>
      </c>
      <c r="P1971" t="s">
        <v>550</v>
      </c>
      <c r="Q1971">
        <v>2021</v>
      </c>
      <c r="R1971" t="s">
        <v>657</v>
      </c>
      <c r="S1971" t="s">
        <v>658</v>
      </c>
      <c r="T1971" t="s">
        <v>577</v>
      </c>
      <c r="U1971" t="b">
        <v>0</v>
      </c>
      <c r="V1971" t="s">
        <v>659</v>
      </c>
      <c r="W1971" t="s">
        <v>571</v>
      </c>
      <c r="X1971" t="s">
        <v>572</v>
      </c>
      <c r="AC1971">
        <v>0</v>
      </c>
      <c r="AD1971" t="s">
        <v>565</v>
      </c>
      <c r="AE1971">
        <v>5497.8457699999999</v>
      </c>
      <c r="AF1971">
        <v>0.60282999999999998</v>
      </c>
      <c r="AG1971" t="s">
        <v>588</v>
      </c>
      <c r="AH1971">
        <v>1</v>
      </c>
      <c r="AI1971">
        <v>9120.06</v>
      </c>
      <c r="AJ1971" t="s">
        <v>561</v>
      </c>
      <c r="AK1971" t="s">
        <v>589</v>
      </c>
      <c r="AL1971" t="s">
        <v>603</v>
      </c>
      <c r="AM1971">
        <v>2021</v>
      </c>
      <c r="AN1971">
        <v>2019</v>
      </c>
      <c r="AO1971">
        <f>IF(AND(emissions[[#This Row],[Market-based]]=0,emissions[[#This Row],[Impact Type]]="CO2E"),emissions[[#This Row],[kgCO2e]],0)/1000</f>
        <v>5.4978457699999996</v>
      </c>
      <c r="AP1971">
        <f>IF(AND(emissions[[#This Row],[Market-based]]=1,OR(emissions[[#This Row],[Impact Type]]="CO2E",emissions[[#This Row],[Impact Type]]="CO2E MKT")),emissions[[#This Row],[kgCO2e]],0)/1000</f>
        <v>0</v>
      </c>
      <c r="AQ1971" t="str">
        <f>_xlfn.TEXTAFTER(emissions[[#This Row],[Reporting Unit]]," &gt; ",LEN(emissions[[#This Row],[Reporting Unit]])-LEN(SUBSTITUTE(emissions[[#This Row],[Reporting Unit]],"&gt;","")))</f>
        <v>Vantage_Argentina Farm (Agrinsa)</v>
      </c>
      <c r="AR1971" t="str">
        <f>_xlfn.XLOOKUP(emissions[[#This Row],[Reporting unit name]],hierarchy!$A:$A,hierarchy!$C:$C)</f>
        <v>Labratory</v>
      </c>
    </row>
    <row r="1972" spans="1:44" hidden="1" x14ac:dyDescent="0.25">
      <c r="A1972">
        <v>4995</v>
      </c>
      <c r="B1972" t="s">
        <v>240</v>
      </c>
      <c r="C1972" t="s">
        <v>475</v>
      </c>
      <c r="D1972" t="s">
        <v>599</v>
      </c>
      <c r="E1972" s="3">
        <v>44197</v>
      </c>
      <c r="F1972" s="3">
        <v>44561</v>
      </c>
      <c r="G1972" t="s">
        <v>141</v>
      </c>
      <c r="H1972" s="3">
        <v>44197</v>
      </c>
      <c r="I1972" s="3">
        <v>44561</v>
      </c>
      <c r="J1972" t="s">
        <v>187</v>
      </c>
      <c r="K1972">
        <v>9120.06</v>
      </c>
      <c r="L1972" t="s">
        <v>143</v>
      </c>
      <c r="M1972" t="s">
        <v>110</v>
      </c>
      <c r="O1972" t="s">
        <v>600</v>
      </c>
      <c r="P1972" t="s">
        <v>550</v>
      </c>
      <c r="Q1972">
        <v>2021</v>
      </c>
      <c r="R1972" t="s">
        <v>657</v>
      </c>
      <c r="S1972" t="s">
        <v>658</v>
      </c>
      <c r="T1972" t="s">
        <v>577</v>
      </c>
      <c r="U1972" t="b">
        <v>0</v>
      </c>
      <c r="V1972" t="s">
        <v>659</v>
      </c>
      <c r="W1972" t="s">
        <v>571</v>
      </c>
      <c r="X1972" t="s">
        <v>572</v>
      </c>
      <c r="AC1972">
        <v>1</v>
      </c>
      <c r="AD1972" t="s">
        <v>565</v>
      </c>
      <c r="AE1972">
        <v>5497.8457699999999</v>
      </c>
      <c r="AF1972">
        <v>0.60282999999999998</v>
      </c>
      <c r="AG1972" t="s">
        <v>588</v>
      </c>
      <c r="AH1972">
        <v>1</v>
      </c>
      <c r="AI1972">
        <v>9120.06</v>
      </c>
      <c r="AJ1972" t="s">
        <v>561</v>
      </c>
      <c r="AK1972" t="s">
        <v>589</v>
      </c>
      <c r="AL1972" t="s">
        <v>603</v>
      </c>
      <c r="AM1972">
        <v>2021</v>
      </c>
      <c r="AN1972">
        <v>2019</v>
      </c>
      <c r="AO1972">
        <f>IF(AND(emissions[[#This Row],[Market-based]]=0,emissions[[#This Row],[Impact Type]]="CO2E"),emissions[[#This Row],[kgCO2e]],0)/1000</f>
        <v>0</v>
      </c>
      <c r="AP1972">
        <f>IF(AND(emissions[[#This Row],[Market-based]]=1,OR(emissions[[#This Row],[Impact Type]]="CO2E",emissions[[#This Row],[Impact Type]]="CO2E MKT")),emissions[[#This Row],[kgCO2e]],0)/1000</f>
        <v>5.4978457699999996</v>
      </c>
      <c r="AQ1972" t="str">
        <f>_xlfn.TEXTAFTER(emissions[[#This Row],[Reporting Unit]]," &gt; ",LEN(emissions[[#This Row],[Reporting Unit]])-LEN(SUBSTITUTE(emissions[[#This Row],[Reporting Unit]],"&gt;","")))</f>
        <v>Vantage_Argentina Farm (Agrinsa)</v>
      </c>
      <c r="AR1972" t="str">
        <f>_xlfn.XLOOKUP(emissions[[#This Row],[Reporting unit name]],hierarchy!$A:$A,hierarchy!$C:$C)</f>
        <v>Labratory</v>
      </c>
    </row>
    <row r="1973" spans="1:44" hidden="1" x14ac:dyDescent="0.25">
      <c r="A1973">
        <v>4996</v>
      </c>
      <c r="B1973" t="s">
        <v>240</v>
      </c>
      <c r="C1973" t="s">
        <v>475</v>
      </c>
      <c r="D1973" t="s">
        <v>599</v>
      </c>
      <c r="E1973" s="3">
        <v>44197</v>
      </c>
      <c r="F1973" s="3">
        <v>44561</v>
      </c>
      <c r="G1973" t="s">
        <v>141</v>
      </c>
      <c r="H1973" s="3">
        <v>44197</v>
      </c>
      <c r="I1973" s="3">
        <v>44561</v>
      </c>
      <c r="J1973" t="s">
        <v>187</v>
      </c>
      <c r="K1973">
        <v>272.48</v>
      </c>
      <c r="L1973" t="s">
        <v>143</v>
      </c>
      <c r="M1973" t="s">
        <v>110</v>
      </c>
      <c r="O1973" t="s">
        <v>600</v>
      </c>
      <c r="P1973" t="s">
        <v>550</v>
      </c>
      <c r="Q1973">
        <v>2021</v>
      </c>
      <c r="R1973" t="s">
        <v>654</v>
      </c>
      <c r="S1973" t="s">
        <v>655</v>
      </c>
      <c r="T1973" t="s">
        <v>553</v>
      </c>
      <c r="U1973" t="b">
        <v>0</v>
      </c>
      <c r="V1973" t="s">
        <v>656</v>
      </c>
      <c r="W1973" t="s">
        <v>587</v>
      </c>
      <c r="X1973" t="s">
        <v>556</v>
      </c>
      <c r="AC1973">
        <v>0</v>
      </c>
      <c r="AD1973" t="s">
        <v>558</v>
      </c>
      <c r="AE1973">
        <v>1.9945535999999999</v>
      </c>
      <c r="AF1973">
        <v>7.3200000000000001E-3</v>
      </c>
      <c r="AG1973" t="s">
        <v>588</v>
      </c>
      <c r="AH1973">
        <v>1</v>
      </c>
      <c r="AI1973">
        <v>272.48</v>
      </c>
      <c r="AJ1973" t="s">
        <v>561</v>
      </c>
      <c r="AK1973" t="s">
        <v>589</v>
      </c>
      <c r="AL1973" t="s">
        <v>603</v>
      </c>
      <c r="AM1973">
        <v>2021</v>
      </c>
      <c r="AN1973">
        <v>2019</v>
      </c>
      <c r="AO1973">
        <f>IF(AND(emissions[[#This Row],[Market-based]]=0,emissions[[#This Row],[Impact Type]]="CO2E"),emissions[[#This Row],[kgCO2e]],0)/1000</f>
        <v>0</v>
      </c>
      <c r="AP1973">
        <f>IF(AND(emissions[[#This Row],[Market-based]]=1,OR(emissions[[#This Row],[Impact Type]]="CO2E",emissions[[#This Row],[Impact Type]]="CO2E MKT")),emissions[[#This Row],[kgCO2e]],0)/1000</f>
        <v>0</v>
      </c>
      <c r="AQ1973" t="str">
        <f>_xlfn.TEXTAFTER(emissions[[#This Row],[Reporting Unit]]," &gt; ",LEN(emissions[[#This Row],[Reporting Unit]])-LEN(SUBSTITUTE(emissions[[#This Row],[Reporting Unit]],"&gt;","")))</f>
        <v>Vantage_Argentina Farm (Agrinsa)</v>
      </c>
      <c r="AR1973" t="str">
        <f>_xlfn.XLOOKUP(emissions[[#This Row],[Reporting unit name]],hierarchy!$A:$A,hierarchy!$C:$C)</f>
        <v>Labratory</v>
      </c>
    </row>
    <row r="1974" spans="1:44" hidden="1" x14ac:dyDescent="0.25">
      <c r="A1974">
        <v>4996</v>
      </c>
      <c r="B1974" t="s">
        <v>240</v>
      </c>
      <c r="C1974" t="s">
        <v>475</v>
      </c>
      <c r="D1974" t="s">
        <v>599</v>
      </c>
      <c r="E1974" s="3">
        <v>44197</v>
      </c>
      <c r="F1974" s="3">
        <v>44561</v>
      </c>
      <c r="G1974" t="s">
        <v>141</v>
      </c>
      <c r="H1974" s="3">
        <v>44197</v>
      </c>
      <c r="I1974" s="3">
        <v>44561</v>
      </c>
      <c r="J1974" t="s">
        <v>187</v>
      </c>
      <c r="K1974">
        <v>272.48</v>
      </c>
      <c r="L1974" t="s">
        <v>143</v>
      </c>
      <c r="M1974" t="s">
        <v>110</v>
      </c>
      <c r="O1974" t="s">
        <v>600</v>
      </c>
      <c r="P1974" t="s">
        <v>550</v>
      </c>
      <c r="Q1974">
        <v>2021</v>
      </c>
      <c r="R1974" t="s">
        <v>654</v>
      </c>
      <c r="S1974" t="s">
        <v>655</v>
      </c>
      <c r="T1974" t="s">
        <v>553</v>
      </c>
      <c r="U1974" t="b">
        <v>0</v>
      </c>
      <c r="V1974" t="s">
        <v>656</v>
      </c>
      <c r="W1974" t="s">
        <v>587</v>
      </c>
      <c r="X1974" t="s">
        <v>556</v>
      </c>
      <c r="AC1974">
        <v>0</v>
      </c>
      <c r="AD1974" t="s">
        <v>564</v>
      </c>
      <c r="AE1974">
        <v>633.69856159999995</v>
      </c>
      <c r="AF1974">
        <v>2.3256700000000001</v>
      </c>
      <c r="AG1974" t="s">
        <v>588</v>
      </c>
      <c r="AH1974">
        <v>1</v>
      </c>
      <c r="AI1974">
        <v>272.48</v>
      </c>
      <c r="AJ1974" t="s">
        <v>561</v>
      </c>
      <c r="AK1974" t="s">
        <v>589</v>
      </c>
      <c r="AL1974" t="s">
        <v>603</v>
      </c>
      <c r="AM1974">
        <v>2021</v>
      </c>
      <c r="AN1974">
        <v>2019</v>
      </c>
      <c r="AO1974">
        <f>IF(AND(emissions[[#This Row],[Market-based]]=0,emissions[[#This Row],[Impact Type]]="CO2E"),emissions[[#This Row],[kgCO2e]],0)/1000</f>
        <v>0</v>
      </c>
      <c r="AP1974">
        <f>IF(AND(emissions[[#This Row],[Market-based]]=1,OR(emissions[[#This Row],[Impact Type]]="CO2E",emissions[[#This Row],[Impact Type]]="CO2E MKT")),emissions[[#This Row],[kgCO2e]],0)/1000</f>
        <v>0</v>
      </c>
      <c r="AQ1974" t="str">
        <f>_xlfn.TEXTAFTER(emissions[[#This Row],[Reporting Unit]]," &gt; ",LEN(emissions[[#This Row],[Reporting Unit]])-LEN(SUBSTITUTE(emissions[[#This Row],[Reporting Unit]],"&gt;","")))</f>
        <v>Vantage_Argentina Farm (Agrinsa)</v>
      </c>
      <c r="AR1974" t="str">
        <f>_xlfn.XLOOKUP(emissions[[#This Row],[Reporting unit name]],hierarchy!$A:$A,hierarchy!$C:$C)</f>
        <v>Labratory</v>
      </c>
    </row>
    <row r="1975" spans="1:44" hidden="1" x14ac:dyDescent="0.25">
      <c r="A1975">
        <v>4996</v>
      </c>
      <c r="B1975" t="s">
        <v>240</v>
      </c>
      <c r="C1975" t="s">
        <v>475</v>
      </c>
      <c r="D1975" t="s">
        <v>599</v>
      </c>
      <c r="E1975" s="3">
        <v>44197</v>
      </c>
      <c r="F1975" s="3">
        <v>44561</v>
      </c>
      <c r="G1975" t="s">
        <v>141</v>
      </c>
      <c r="H1975" s="3">
        <v>44197</v>
      </c>
      <c r="I1975" s="3">
        <v>44561</v>
      </c>
      <c r="J1975" t="s">
        <v>187</v>
      </c>
      <c r="K1975">
        <v>272.48</v>
      </c>
      <c r="L1975" t="s">
        <v>143</v>
      </c>
      <c r="M1975" t="s">
        <v>110</v>
      </c>
      <c r="O1975" t="s">
        <v>600</v>
      </c>
      <c r="P1975" t="s">
        <v>550</v>
      </c>
      <c r="Q1975">
        <v>2021</v>
      </c>
      <c r="R1975" t="s">
        <v>654</v>
      </c>
      <c r="S1975" t="s">
        <v>655</v>
      </c>
      <c r="T1975" t="s">
        <v>553</v>
      </c>
      <c r="U1975" t="b">
        <v>0</v>
      </c>
      <c r="V1975" t="s">
        <v>656</v>
      </c>
      <c r="W1975" t="s">
        <v>587</v>
      </c>
      <c r="X1975" t="s">
        <v>556</v>
      </c>
      <c r="AC1975">
        <v>0</v>
      </c>
      <c r="AD1975" t="s">
        <v>565</v>
      </c>
      <c r="AE1975">
        <v>637.52145599999994</v>
      </c>
      <c r="AF1975">
        <v>2.3397000000000001</v>
      </c>
      <c r="AG1975" t="s">
        <v>588</v>
      </c>
      <c r="AH1975">
        <v>1</v>
      </c>
      <c r="AI1975">
        <v>272.48</v>
      </c>
      <c r="AJ1975" t="s">
        <v>561</v>
      </c>
      <c r="AK1975" t="s">
        <v>589</v>
      </c>
      <c r="AL1975" t="s">
        <v>603</v>
      </c>
      <c r="AM1975">
        <v>2021</v>
      </c>
      <c r="AN1975">
        <v>2019</v>
      </c>
      <c r="AO1975">
        <f>IF(AND(emissions[[#This Row],[Market-based]]=0,emissions[[#This Row],[Impact Type]]="CO2E"),emissions[[#This Row],[kgCO2e]],0)/1000</f>
        <v>0.63752145599999999</v>
      </c>
      <c r="AP1975">
        <f>IF(AND(emissions[[#This Row],[Market-based]]=1,OR(emissions[[#This Row],[Impact Type]]="CO2E",emissions[[#This Row],[Impact Type]]="CO2E MKT")),emissions[[#This Row],[kgCO2e]],0)/1000</f>
        <v>0</v>
      </c>
      <c r="AQ1975" t="str">
        <f>_xlfn.TEXTAFTER(emissions[[#This Row],[Reporting Unit]]," &gt; ",LEN(emissions[[#This Row],[Reporting Unit]])-LEN(SUBSTITUTE(emissions[[#This Row],[Reporting Unit]],"&gt;","")))</f>
        <v>Vantage_Argentina Farm (Agrinsa)</v>
      </c>
      <c r="AR1975" t="str">
        <f>_xlfn.XLOOKUP(emissions[[#This Row],[Reporting unit name]],hierarchy!$A:$A,hierarchy!$C:$C)</f>
        <v>Labratory</v>
      </c>
    </row>
    <row r="1976" spans="1:44" hidden="1" x14ac:dyDescent="0.25">
      <c r="A1976">
        <v>4996</v>
      </c>
      <c r="B1976" t="s">
        <v>240</v>
      </c>
      <c r="C1976" t="s">
        <v>475</v>
      </c>
      <c r="D1976" t="s">
        <v>599</v>
      </c>
      <c r="E1976" s="3">
        <v>44197</v>
      </c>
      <c r="F1976" s="3">
        <v>44561</v>
      </c>
      <c r="G1976" t="s">
        <v>141</v>
      </c>
      <c r="H1976" s="3">
        <v>44197</v>
      </c>
      <c r="I1976" s="3">
        <v>44561</v>
      </c>
      <c r="J1976" t="s">
        <v>187</v>
      </c>
      <c r="K1976">
        <v>272.48</v>
      </c>
      <c r="L1976" t="s">
        <v>143</v>
      </c>
      <c r="M1976" t="s">
        <v>110</v>
      </c>
      <c r="O1976" t="s">
        <v>600</v>
      </c>
      <c r="P1976" t="s">
        <v>550</v>
      </c>
      <c r="Q1976">
        <v>2021</v>
      </c>
      <c r="R1976" t="s">
        <v>654</v>
      </c>
      <c r="S1976" t="s">
        <v>655</v>
      </c>
      <c r="T1976" t="s">
        <v>553</v>
      </c>
      <c r="U1976" t="b">
        <v>0</v>
      </c>
      <c r="V1976" t="s">
        <v>656</v>
      </c>
      <c r="W1976" t="s">
        <v>587</v>
      </c>
      <c r="X1976" t="s">
        <v>556</v>
      </c>
      <c r="AC1976">
        <v>0</v>
      </c>
      <c r="AD1976" t="s">
        <v>566</v>
      </c>
      <c r="AE1976">
        <v>1.8283408000000001</v>
      </c>
      <c r="AF1976">
        <v>6.7099999999999998E-3</v>
      </c>
      <c r="AG1976" t="s">
        <v>588</v>
      </c>
      <c r="AH1976">
        <v>1</v>
      </c>
      <c r="AI1976">
        <v>272.48</v>
      </c>
      <c r="AJ1976" t="s">
        <v>561</v>
      </c>
      <c r="AK1976" t="s">
        <v>589</v>
      </c>
      <c r="AL1976" t="s">
        <v>603</v>
      </c>
      <c r="AM1976">
        <v>2021</v>
      </c>
      <c r="AN1976">
        <v>2019</v>
      </c>
      <c r="AO1976">
        <f>IF(AND(emissions[[#This Row],[Market-based]]=0,emissions[[#This Row],[Impact Type]]="CO2E"),emissions[[#This Row],[kgCO2e]],0)/1000</f>
        <v>0</v>
      </c>
      <c r="AP1976">
        <f>IF(AND(emissions[[#This Row],[Market-based]]=1,OR(emissions[[#This Row],[Impact Type]]="CO2E",emissions[[#This Row],[Impact Type]]="CO2E MKT")),emissions[[#This Row],[kgCO2e]],0)/1000</f>
        <v>0</v>
      </c>
      <c r="AQ1976" t="str">
        <f>_xlfn.TEXTAFTER(emissions[[#This Row],[Reporting Unit]]," &gt; ",LEN(emissions[[#This Row],[Reporting Unit]])-LEN(SUBSTITUTE(emissions[[#This Row],[Reporting Unit]],"&gt;","")))</f>
        <v>Vantage_Argentina Farm (Agrinsa)</v>
      </c>
      <c r="AR1976" t="str">
        <f>_xlfn.XLOOKUP(emissions[[#This Row],[Reporting unit name]],hierarchy!$A:$A,hierarchy!$C:$C)</f>
        <v>Labratory</v>
      </c>
    </row>
    <row r="1977" spans="1:44" hidden="1" x14ac:dyDescent="0.25">
      <c r="A1977">
        <v>4996</v>
      </c>
      <c r="B1977" t="s">
        <v>240</v>
      </c>
      <c r="C1977" t="s">
        <v>475</v>
      </c>
      <c r="D1977" t="s">
        <v>599</v>
      </c>
      <c r="E1977" s="3">
        <v>44197</v>
      </c>
      <c r="F1977" s="3">
        <v>44561</v>
      </c>
      <c r="G1977" t="s">
        <v>141</v>
      </c>
      <c r="H1977" s="3">
        <v>44197</v>
      </c>
      <c r="I1977" s="3">
        <v>44561</v>
      </c>
      <c r="J1977" t="s">
        <v>187</v>
      </c>
      <c r="K1977">
        <v>272.48</v>
      </c>
      <c r="L1977" t="s">
        <v>143</v>
      </c>
      <c r="M1977" t="s">
        <v>110</v>
      </c>
      <c r="O1977" t="s">
        <v>600</v>
      </c>
      <c r="P1977" t="s">
        <v>550</v>
      </c>
      <c r="Q1977">
        <v>2021</v>
      </c>
      <c r="R1977" t="s">
        <v>654</v>
      </c>
      <c r="S1977" t="s">
        <v>655</v>
      </c>
      <c r="T1977" t="s">
        <v>553</v>
      </c>
      <c r="U1977" t="b">
        <v>0</v>
      </c>
      <c r="V1977" t="s">
        <v>656</v>
      </c>
      <c r="W1977" t="s">
        <v>587</v>
      </c>
      <c r="X1977" t="s">
        <v>556</v>
      </c>
      <c r="AC1977">
        <v>1</v>
      </c>
      <c r="AD1977" t="s">
        <v>558</v>
      </c>
      <c r="AE1977">
        <v>1.9945535999999999</v>
      </c>
      <c r="AF1977">
        <v>7.3200000000000001E-3</v>
      </c>
      <c r="AG1977" t="s">
        <v>588</v>
      </c>
      <c r="AH1977">
        <v>1</v>
      </c>
      <c r="AI1977">
        <v>272.48</v>
      </c>
      <c r="AJ1977" t="s">
        <v>561</v>
      </c>
      <c r="AK1977" t="s">
        <v>589</v>
      </c>
      <c r="AL1977" t="s">
        <v>603</v>
      </c>
      <c r="AM1977">
        <v>2021</v>
      </c>
      <c r="AN1977">
        <v>2019</v>
      </c>
      <c r="AO1977">
        <f>IF(AND(emissions[[#This Row],[Market-based]]=0,emissions[[#This Row],[Impact Type]]="CO2E"),emissions[[#This Row],[kgCO2e]],0)/1000</f>
        <v>0</v>
      </c>
      <c r="AP1977">
        <f>IF(AND(emissions[[#This Row],[Market-based]]=1,OR(emissions[[#This Row],[Impact Type]]="CO2E",emissions[[#This Row],[Impact Type]]="CO2E MKT")),emissions[[#This Row],[kgCO2e]],0)/1000</f>
        <v>0</v>
      </c>
      <c r="AQ1977" t="str">
        <f>_xlfn.TEXTAFTER(emissions[[#This Row],[Reporting Unit]]," &gt; ",LEN(emissions[[#This Row],[Reporting Unit]])-LEN(SUBSTITUTE(emissions[[#This Row],[Reporting Unit]],"&gt;","")))</f>
        <v>Vantage_Argentina Farm (Agrinsa)</v>
      </c>
      <c r="AR1977" t="str">
        <f>_xlfn.XLOOKUP(emissions[[#This Row],[Reporting unit name]],hierarchy!$A:$A,hierarchy!$C:$C)</f>
        <v>Labratory</v>
      </c>
    </row>
    <row r="1978" spans="1:44" hidden="1" x14ac:dyDescent="0.25">
      <c r="A1978">
        <v>4996</v>
      </c>
      <c r="B1978" t="s">
        <v>240</v>
      </c>
      <c r="C1978" t="s">
        <v>475</v>
      </c>
      <c r="D1978" t="s">
        <v>599</v>
      </c>
      <c r="E1978" s="3">
        <v>44197</v>
      </c>
      <c r="F1978" s="3">
        <v>44561</v>
      </c>
      <c r="G1978" t="s">
        <v>141</v>
      </c>
      <c r="H1978" s="3">
        <v>44197</v>
      </c>
      <c r="I1978" s="3">
        <v>44561</v>
      </c>
      <c r="J1978" t="s">
        <v>187</v>
      </c>
      <c r="K1978">
        <v>272.48</v>
      </c>
      <c r="L1978" t="s">
        <v>143</v>
      </c>
      <c r="M1978" t="s">
        <v>110</v>
      </c>
      <c r="O1978" t="s">
        <v>600</v>
      </c>
      <c r="P1978" t="s">
        <v>550</v>
      </c>
      <c r="Q1978">
        <v>2021</v>
      </c>
      <c r="R1978" t="s">
        <v>654</v>
      </c>
      <c r="S1978" t="s">
        <v>655</v>
      </c>
      <c r="T1978" t="s">
        <v>553</v>
      </c>
      <c r="U1978" t="b">
        <v>0</v>
      </c>
      <c r="V1978" t="s">
        <v>656</v>
      </c>
      <c r="W1978" t="s">
        <v>587</v>
      </c>
      <c r="X1978" t="s">
        <v>556</v>
      </c>
      <c r="AC1978">
        <v>1</v>
      </c>
      <c r="AD1978" t="s">
        <v>564</v>
      </c>
      <c r="AE1978">
        <v>633.69856159999995</v>
      </c>
      <c r="AF1978">
        <v>2.3256700000000001</v>
      </c>
      <c r="AG1978" t="s">
        <v>588</v>
      </c>
      <c r="AH1978">
        <v>1</v>
      </c>
      <c r="AI1978">
        <v>272.48</v>
      </c>
      <c r="AJ1978" t="s">
        <v>561</v>
      </c>
      <c r="AK1978" t="s">
        <v>589</v>
      </c>
      <c r="AL1978" t="s">
        <v>603</v>
      </c>
      <c r="AM1978">
        <v>2021</v>
      </c>
      <c r="AN1978">
        <v>2019</v>
      </c>
      <c r="AO1978">
        <f>IF(AND(emissions[[#This Row],[Market-based]]=0,emissions[[#This Row],[Impact Type]]="CO2E"),emissions[[#This Row],[kgCO2e]],0)/1000</f>
        <v>0</v>
      </c>
      <c r="AP1978">
        <f>IF(AND(emissions[[#This Row],[Market-based]]=1,OR(emissions[[#This Row],[Impact Type]]="CO2E",emissions[[#This Row],[Impact Type]]="CO2E MKT")),emissions[[#This Row],[kgCO2e]],0)/1000</f>
        <v>0</v>
      </c>
      <c r="AQ1978" t="str">
        <f>_xlfn.TEXTAFTER(emissions[[#This Row],[Reporting Unit]]," &gt; ",LEN(emissions[[#This Row],[Reporting Unit]])-LEN(SUBSTITUTE(emissions[[#This Row],[Reporting Unit]],"&gt;","")))</f>
        <v>Vantage_Argentina Farm (Agrinsa)</v>
      </c>
      <c r="AR1978" t="str">
        <f>_xlfn.XLOOKUP(emissions[[#This Row],[Reporting unit name]],hierarchy!$A:$A,hierarchy!$C:$C)</f>
        <v>Labratory</v>
      </c>
    </row>
    <row r="1979" spans="1:44" hidden="1" x14ac:dyDescent="0.25">
      <c r="A1979">
        <v>4996</v>
      </c>
      <c r="B1979" t="s">
        <v>240</v>
      </c>
      <c r="C1979" t="s">
        <v>475</v>
      </c>
      <c r="D1979" t="s">
        <v>599</v>
      </c>
      <c r="E1979" s="3">
        <v>44197</v>
      </c>
      <c r="F1979" s="3">
        <v>44561</v>
      </c>
      <c r="G1979" t="s">
        <v>141</v>
      </c>
      <c r="H1979" s="3">
        <v>44197</v>
      </c>
      <c r="I1979" s="3">
        <v>44561</v>
      </c>
      <c r="J1979" t="s">
        <v>187</v>
      </c>
      <c r="K1979">
        <v>272.48</v>
      </c>
      <c r="L1979" t="s">
        <v>143</v>
      </c>
      <c r="M1979" t="s">
        <v>110</v>
      </c>
      <c r="O1979" t="s">
        <v>600</v>
      </c>
      <c r="P1979" t="s">
        <v>550</v>
      </c>
      <c r="Q1979">
        <v>2021</v>
      </c>
      <c r="R1979" t="s">
        <v>654</v>
      </c>
      <c r="S1979" t="s">
        <v>655</v>
      </c>
      <c r="T1979" t="s">
        <v>553</v>
      </c>
      <c r="U1979" t="b">
        <v>0</v>
      </c>
      <c r="V1979" t="s">
        <v>656</v>
      </c>
      <c r="W1979" t="s">
        <v>587</v>
      </c>
      <c r="X1979" t="s">
        <v>556</v>
      </c>
      <c r="AC1979">
        <v>1</v>
      </c>
      <c r="AD1979" t="s">
        <v>565</v>
      </c>
      <c r="AE1979">
        <v>637.52145599999994</v>
      </c>
      <c r="AF1979">
        <v>2.3397000000000001</v>
      </c>
      <c r="AG1979" t="s">
        <v>588</v>
      </c>
      <c r="AH1979">
        <v>1</v>
      </c>
      <c r="AI1979">
        <v>272.48</v>
      </c>
      <c r="AJ1979" t="s">
        <v>561</v>
      </c>
      <c r="AK1979" t="s">
        <v>589</v>
      </c>
      <c r="AL1979" t="s">
        <v>603</v>
      </c>
      <c r="AM1979">
        <v>2021</v>
      </c>
      <c r="AN1979">
        <v>2019</v>
      </c>
      <c r="AO1979">
        <f>IF(AND(emissions[[#This Row],[Market-based]]=0,emissions[[#This Row],[Impact Type]]="CO2E"),emissions[[#This Row],[kgCO2e]],0)/1000</f>
        <v>0</v>
      </c>
      <c r="AP1979">
        <f>IF(AND(emissions[[#This Row],[Market-based]]=1,OR(emissions[[#This Row],[Impact Type]]="CO2E",emissions[[#This Row],[Impact Type]]="CO2E MKT")),emissions[[#This Row],[kgCO2e]],0)/1000</f>
        <v>0.63752145599999999</v>
      </c>
      <c r="AQ1979" t="str">
        <f>_xlfn.TEXTAFTER(emissions[[#This Row],[Reporting Unit]]," &gt; ",LEN(emissions[[#This Row],[Reporting Unit]])-LEN(SUBSTITUTE(emissions[[#This Row],[Reporting Unit]],"&gt;","")))</f>
        <v>Vantage_Argentina Farm (Agrinsa)</v>
      </c>
      <c r="AR1979" t="str">
        <f>_xlfn.XLOOKUP(emissions[[#This Row],[Reporting unit name]],hierarchy!$A:$A,hierarchy!$C:$C)</f>
        <v>Labratory</v>
      </c>
    </row>
    <row r="1980" spans="1:44" hidden="1" x14ac:dyDescent="0.25">
      <c r="A1980">
        <v>4996</v>
      </c>
      <c r="B1980" t="s">
        <v>240</v>
      </c>
      <c r="C1980" t="s">
        <v>475</v>
      </c>
      <c r="D1980" t="s">
        <v>599</v>
      </c>
      <c r="E1980" s="3">
        <v>44197</v>
      </c>
      <c r="F1980" s="3">
        <v>44561</v>
      </c>
      <c r="G1980" t="s">
        <v>141</v>
      </c>
      <c r="H1980" s="3">
        <v>44197</v>
      </c>
      <c r="I1980" s="3">
        <v>44561</v>
      </c>
      <c r="J1980" t="s">
        <v>187</v>
      </c>
      <c r="K1980">
        <v>272.48</v>
      </c>
      <c r="L1980" t="s">
        <v>143</v>
      </c>
      <c r="M1980" t="s">
        <v>110</v>
      </c>
      <c r="O1980" t="s">
        <v>600</v>
      </c>
      <c r="P1980" t="s">
        <v>550</v>
      </c>
      <c r="Q1980">
        <v>2021</v>
      </c>
      <c r="R1980" t="s">
        <v>654</v>
      </c>
      <c r="S1980" t="s">
        <v>655</v>
      </c>
      <c r="T1980" t="s">
        <v>553</v>
      </c>
      <c r="U1980" t="b">
        <v>0</v>
      </c>
      <c r="V1980" t="s">
        <v>656</v>
      </c>
      <c r="W1980" t="s">
        <v>587</v>
      </c>
      <c r="X1980" t="s">
        <v>556</v>
      </c>
      <c r="AC1980">
        <v>1</v>
      </c>
      <c r="AD1980" t="s">
        <v>566</v>
      </c>
      <c r="AE1980">
        <v>1.8283408000000001</v>
      </c>
      <c r="AF1980">
        <v>6.7099999999999998E-3</v>
      </c>
      <c r="AG1980" t="s">
        <v>588</v>
      </c>
      <c r="AH1980">
        <v>1</v>
      </c>
      <c r="AI1980">
        <v>272.48</v>
      </c>
      <c r="AJ1980" t="s">
        <v>561</v>
      </c>
      <c r="AK1980" t="s">
        <v>589</v>
      </c>
      <c r="AL1980" t="s">
        <v>603</v>
      </c>
      <c r="AM1980">
        <v>2021</v>
      </c>
      <c r="AN1980">
        <v>2019</v>
      </c>
      <c r="AO1980">
        <f>IF(AND(emissions[[#This Row],[Market-based]]=0,emissions[[#This Row],[Impact Type]]="CO2E"),emissions[[#This Row],[kgCO2e]],0)/1000</f>
        <v>0</v>
      </c>
      <c r="AP1980">
        <f>IF(AND(emissions[[#This Row],[Market-based]]=1,OR(emissions[[#This Row],[Impact Type]]="CO2E",emissions[[#This Row],[Impact Type]]="CO2E MKT")),emissions[[#This Row],[kgCO2e]],0)/1000</f>
        <v>0</v>
      </c>
      <c r="AQ1980" t="str">
        <f>_xlfn.TEXTAFTER(emissions[[#This Row],[Reporting Unit]]," &gt; ",LEN(emissions[[#This Row],[Reporting Unit]])-LEN(SUBSTITUTE(emissions[[#This Row],[Reporting Unit]],"&gt;","")))</f>
        <v>Vantage_Argentina Farm (Agrinsa)</v>
      </c>
      <c r="AR1980" t="str">
        <f>_xlfn.XLOOKUP(emissions[[#This Row],[Reporting unit name]],hierarchy!$A:$A,hierarchy!$C:$C)</f>
        <v>Labratory</v>
      </c>
    </row>
    <row r="1981" spans="1:44" hidden="1" x14ac:dyDescent="0.25">
      <c r="A1981">
        <v>4996</v>
      </c>
      <c r="B1981" t="s">
        <v>240</v>
      </c>
      <c r="C1981" t="s">
        <v>475</v>
      </c>
      <c r="D1981" t="s">
        <v>599</v>
      </c>
      <c r="E1981" s="3">
        <v>44197</v>
      </c>
      <c r="F1981" s="3">
        <v>44561</v>
      </c>
      <c r="G1981" t="s">
        <v>141</v>
      </c>
      <c r="H1981" s="3">
        <v>44197</v>
      </c>
      <c r="I1981" s="3">
        <v>44561</v>
      </c>
      <c r="J1981" t="s">
        <v>187</v>
      </c>
      <c r="K1981">
        <v>272.48</v>
      </c>
      <c r="L1981" t="s">
        <v>143</v>
      </c>
      <c r="M1981" t="s">
        <v>110</v>
      </c>
      <c r="O1981" t="s">
        <v>600</v>
      </c>
      <c r="P1981" t="s">
        <v>550</v>
      </c>
      <c r="Q1981">
        <v>2021</v>
      </c>
      <c r="R1981" t="s">
        <v>657</v>
      </c>
      <c r="S1981" t="s">
        <v>658</v>
      </c>
      <c r="T1981" t="s">
        <v>577</v>
      </c>
      <c r="U1981" t="b">
        <v>0</v>
      </c>
      <c r="V1981" t="s">
        <v>659</v>
      </c>
      <c r="W1981" t="s">
        <v>571</v>
      </c>
      <c r="X1981" t="s">
        <v>572</v>
      </c>
      <c r="AC1981">
        <v>0</v>
      </c>
      <c r="AD1981" t="s">
        <v>565</v>
      </c>
      <c r="AE1981">
        <v>164.25911840000001</v>
      </c>
      <c r="AF1981">
        <v>0.60282999999999998</v>
      </c>
      <c r="AG1981" t="s">
        <v>588</v>
      </c>
      <c r="AH1981">
        <v>1</v>
      </c>
      <c r="AI1981">
        <v>272.48</v>
      </c>
      <c r="AJ1981" t="s">
        <v>561</v>
      </c>
      <c r="AK1981" t="s">
        <v>589</v>
      </c>
      <c r="AL1981" t="s">
        <v>603</v>
      </c>
      <c r="AM1981">
        <v>2021</v>
      </c>
      <c r="AN1981">
        <v>2019</v>
      </c>
      <c r="AO1981">
        <f>IF(AND(emissions[[#This Row],[Market-based]]=0,emissions[[#This Row],[Impact Type]]="CO2E"),emissions[[#This Row],[kgCO2e]],0)/1000</f>
        <v>0.16425911840000001</v>
      </c>
      <c r="AP1981">
        <f>IF(AND(emissions[[#This Row],[Market-based]]=1,OR(emissions[[#This Row],[Impact Type]]="CO2E",emissions[[#This Row],[Impact Type]]="CO2E MKT")),emissions[[#This Row],[kgCO2e]],0)/1000</f>
        <v>0</v>
      </c>
      <c r="AQ1981" t="str">
        <f>_xlfn.TEXTAFTER(emissions[[#This Row],[Reporting Unit]]," &gt; ",LEN(emissions[[#This Row],[Reporting Unit]])-LEN(SUBSTITUTE(emissions[[#This Row],[Reporting Unit]],"&gt;","")))</f>
        <v>Vantage_Argentina Farm (Agrinsa)</v>
      </c>
      <c r="AR1981" t="str">
        <f>_xlfn.XLOOKUP(emissions[[#This Row],[Reporting unit name]],hierarchy!$A:$A,hierarchy!$C:$C)</f>
        <v>Labratory</v>
      </c>
    </row>
    <row r="1982" spans="1:44" hidden="1" x14ac:dyDescent="0.25">
      <c r="A1982">
        <v>4996</v>
      </c>
      <c r="B1982" t="s">
        <v>240</v>
      </c>
      <c r="C1982" t="s">
        <v>475</v>
      </c>
      <c r="D1982" t="s">
        <v>599</v>
      </c>
      <c r="E1982" s="3">
        <v>44197</v>
      </c>
      <c r="F1982" s="3">
        <v>44561</v>
      </c>
      <c r="G1982" t="s">
        <v>141</v>
      </c>
      <c r="H1982" s="3">
        <v>44197</v>
      </c>
      <c r="I1982" s="3">
        <v>44561</v>
      </c>
      <c r="J1982" t="s">
        <v>187</v>
      </c>
      <c r="K1982">
        <v>272.48</v>
      </c>
      <c r="L1982" t="s">
        <v>143</v>
      </c>
      <c r="M1982" t="s">
        <v>110</v>
      </c>
      <c r="O1982" t="s">
        <v>600</v>
      </c>
      <c r="P1982" t="s">
        <v>550</v>
      </c>
      <c r="Q1982">
        <v>2021</v>
      </c>
      <c r="R1982" t="s">
        <v>657</v>
      </c>
      <c r="S1982" t="s">
        <v>658</v>
      </c>
      <c r="T1982" t="s">
        <v>577</v>
      </c>
      <c r="U1982" t="b">
        <v>0</v>
      </c>
      <c r="V1982" t="s">
        <v>659</v>
      </c>
      <c r="W1982" t="s">
        <v>571</v>
      </c>
      <c r="X1982" t="s">
        <v>572</v>
      </c>
      <c r="AC1982">
        <v>1</v>
      </c>
      <c r="AD1982" t="s">
        <v>565</v>
      </c>
      <c r="AE1982">
        <v>164.25911840000001</v>
      </c>
      <c r="AF1982">
        <v>0.60282999999999998</v>
      </c>
      <c r="AG1982" t="s">
        <v>588</v>
      </c>
      <c r="AH1982">
        <v>1</v>
      </c>
      <c r="AI1982">
        <v>272.48</v>
      </c>
      <c r="AJ1982" t="s">
        <v>561</v>
      </c>
      <c r="AK1982" t="s">
        <v>589</v>
      </c>
      <c r="AL1982" t="s">
        <v>603</v>
      </c>
      <c r="AM1982">
        <v>2021</v>
      </c>
      <c r="AN1982">
        <v>2019</v>
      </c>
      <c r="AO1982">
        <f>IF(AND(emissions[[#This Row],[Market-based]]=0,emissions[[#This Row],[Impact Type]]="CO2E"),emissions[[#This Row],[kgCO2e]],0)/1000</f>
        <v>0</v>
      </c>
      <c r="AP1982">
        <f>IF(AND(emissions[[#This Row],[Market-based]]=1,OR(emissions[[#This Row],[Impact Type]]="CO2E",emissions[[#This Row],[Impact Type]]="CO2E MKT")),emissions[[#This Row],[kgCO2e]],0)/1000</f>
        <v>0.16425911840000001</v>
      </c>
      <c r="AQ1982" t="str">
        <f>_xlfn.TEXTAFTER(emissions[[#This Row],[Reporting Unit]]," &gt; ",LEN(emissions[[#This Row],[Reporting Unit]])-LEN(SUBSTITUTE(emissions[[#This Row],[Reporting Unit]],"&gt;","")))</f>
        <v>Vantage_Argentina Farm (Agrinsa)</v>
      </c>
      <c r="AR1982" t="str">
        <f>_xlfn.XLOOKUP(emissions[[#This Row],[Reporting unit name]],hierarchy!$A:$A,hierarchy!$C:$C)</f>
        <v>Labratory</v>
      </c>
    </row>
    <row r="1983" spans="1:44" hidden="1" x14ac:dyDescent="0.25">
      <c r="A1983">
        <v>4997</v>
      </c>
      <c r="B1983" t="s">
        <v>240</v>
      </c>
      <c r="C1983" t="s">
        <v>475</v>
      </c>
      <c r="D1983" t="s">
        <v>599</v>
      </c>
      <c r="E1983" s="3">
        <v>44197</v>
      </c>
      <c r="F1983" s="3">
        <v>44561</v>
      </c>
      <c r="G1983" t="s">
        <v>141</v>
      </c>
      <c r="H1983" s="3">
        <v>44197</v>
      </c>
      <c r="I1983" s="3">
        <v>44561</v>
      </c>
      <c r="J1983" t="s">
        <v>187</v>
      </c>
      <c r="K1983">
        <v>167.02</v>
      </c>
      <c r="L1983" t="s">
        <v>143</v>
      </c>
      <c r="M1983" t="s">
        <v>110</v>
      </c>
      <c r="O1983" t="s">
        <v>600</v>
      </c>
      <c r="P1983" t="s">
        <v>550</v>
      </c>
      <c r="Q1983">
        <v>2021</v>
      </c>
      <c r="R1983" t="s">
        <v>654</v>
      </c>
      <c r="S1983" t="s">
        <v>655</v>
      </c>
      <c r="T1983" t="s">
        <v>553</v>
      </c>
      <c r="U1983" t="b">
        <v>0</v>
      </c>
      <c r="V1983" t="s">
        <v>656</v>
      </c>
      <c r="W1983" t="s">
        <v>587</v>
      </c>
      <c r="X1983" t="s">
        <v>556</v>
      </c>
      <c r="AC1983">
        <v>0</v>
      </c>
      <c r="AD1983" t="s">
        <v>558</v>
      </c>
      <c r="AE1983">
        <v>1.2225864</v>
      </c>
      <c r="AF1983">
        <v>7.3200000000000001E-3</v>
      </c>
      <c r="AG1983" t="s">
        <v>588</v>
      </c>
      <c r="AH1983">
        <v>1</v>
      </c>
      <c r="AI1983">
        <v>167.02</v>
      </c>
      <c r="AJ1983" t="s">
        <v>561</v>
      </c>
      <c r="AK1983" t="s">
        <v>589</v>
      </c>
      <c r="AL1983" t="s">
        <v>603</v>
      </c>
      <c r="AM1983">
        <v>2021</v>
      </c>
      <c r="AN1983">
        <v>2019</v>
      </c>
      <c r="AO1983">
        <f>IF(AND(emissions[[#This Row],[Market-based]]=0,emissions[[#This Row],[Impact Type]]="CO2E"),emissions[[#This Row],[kgCO2e]],0)/1000</f>
        <v>0</v>
      </c>
      <c r="AP1983">
        <f>IF(AND(emissions[[#This Row],[Market-based]]=1,OR(emissions[[#This Row],[Impact Type]]="CO2E",emissions[[#This Row],[Impact Type]]="CO2E MKT")),emissions[[#This Row],[kgCO2e]],0)/1000</f>
        <v>0</v>
      </c>
      <c r="AQ1983" t="str">
        <f>_xlfn.TEXTAFTER(emissions[[#This Row],[Reporting Unit]]," &gt; ",LEN(emissions[[#This Row],[Reporting Unit]])-LEN(SUBSTITUTE(emissions[[#This Row],[Reporting Unit]],"&gt;","")))</f>
        <v>Vantage_Argentina Farm (Agrinsa)</v>
      </c>
      <c r="AR1983" t="str">
        <f>_xlfn.XLOOKUP(emissions[[#This Row],[Reporting unit name]],hierarchy!$A:$A,hierarchy!$C:$C)</f>
        <v>Labratory</v>
      </c>
    </row>
    <row r="1984" spans="1:44" hidden="1" x14ac:dyDescent="0.25">
      <c r="A1984">
        <v>4997</v>
      </c>
      <c r="B1984" t="s">
        <v>240</v>
      </c>
      <c r="C1984" t="s">
        <v>475</v>
      </c>
      <c r="D1984" t="s">
        <v>599</v>
      </c>
      <c r="E1984" s="3">
        <v>44197</v>
      </c>
      <c r="F1984" s="3">
        <v>44561</v>
      </c>
      <c r="G1984" t="s">
        <v>141</v>
      </c>
      <c r="H1984" s="3">
        <v>44197</v>
      </c>
      <c r="I1984" s="3">
        <v>44561</v>
      </c>
      <c r="J1984" t="s">
        <v>187</v>
      </c>
      <c r="K1984">
        <v>167.02</v>
      </c>
      <c r="L1984" t="s">
        <v>143</v>
      </c>
      <c r="M1984" t="s">
        <v>110</v>
      </c>
      <c r="O1984" t="s">
        <v>600</v>
      </c>
      <c r="P1984" t="s">
        <v>550</v>
      </c>
      <c r="Q1984">
        <v>2021</v>
      </c>
      <c r="R1984" t="s">
        <v>654</v>
      </c>
      <c r="S1984" t="s">
        <v>655</v>
      </c>
      <c r="T1984" t="s">
        <v>553</v>
      </c>
      <c r="U1984" t="b">
        <v>0</v>
      </c>
      <c r="V1984" t="s">
        <v>656</v>
      </c>
      <c r="W1984" t="s">
        <v>587</v>
      </c>
      <c r="X1984" t="s">
        <v>556</v>
      </c>
      <c r="AC1984">
        <v>0</v>
      </c>
      <c r="AD1984" t="s">
        <v>564</v>
      </c>
      <c r="AE1984">
        <v>388.43340339999997</v>
      </c>
      <c r="AF1984">
        <v>2.3256700000000001</v>
      </c>
      <c r="AG1984" t="s">
        <v>588</v>
      </c>
      <c r="AH1984">
        <v>1</v>
      </c>
      <c r="AI1984">
        <v>167.02</v>
      </c>
      <c r="AJ1984" t="s">
        <v>561</v>
      </c>
      <c r="AK1984" t="s">
        <v>589</v>
      </c>
      <c r="AL1984" t="s">
        <v>603</v>
      </c>
      <c r="AM1984">
        <v>2021</v>
      </c>
      <c r="AN1984">
        <v>2019</v>
      </c>
      <c r="AO1984">
        <f>IF(AND(emissions[[#This Row],[Market-based]]=0,emissions[[#This Row],[Impact Type]]="CO2E"),emissions[[#This Row],[kgCO2e]],0)/1000</f>
        <v>0</v>
      </c>
      <c r="AP1984">
        <f>IF(AND(emissions[[#This Row],[Market-based]]=1,OR(emissions[[#This Row],[Impact Type]]="CO2E",emissions[[#This Row],[Impact Type]]="CO2E MKT")),emissions[[#This Row],[kgCO2e]],0)/1000</f>
        <v>0</v>
      </c>
      <c r="AQ1984" t="str">
        <f>_xlfn.TEXTAFTER(emissions[[#This Row],[Reporting Unit]]," &gt; ",LEN(emissions[[#This Row],[Reporting Unit]])-LEN(SUBSTITUTE(emissions[[#This Row],[Reporting Unit]],"&gt;","")))</f>
        <v>Vantage_Argentina Farm (Agrinsa)</v>
      </c>
      <c r="AR1984" t="str">
        <f>_xlfn.XLOOKUP(emissions[[#This Row],[Reporting unit name]],hierarchy!$A:$A,hierarchy!$C:$C)</f>
        <v>Labratory</v>
      </c>
    </row>
    <row r="1985" spans="1:44" hidden="1" x14ac:dyDescent="0.25">
      <c r="A1985">
        <v>4997</v>
      </c>
      <c r="B1985" t="s">
        <v>240</v>
      </c>
      <c r="C1985" t="s">
        <v>475</v>
      </c>
      <c r="D1985" t="s">
        <v>599</v>
      </c>
      <c r="E1985" s="3">
        <v>44197</v>
      </c>
      <c r="F1985" s="3">
        <v>44561</v>
      </c>
      <c r="G1985" t="s">
        <v>141</v>
      </c>
      <c r="H1985" s="3">
        <v>44197</v>
      </c>
      <c r="I1985" s="3">
        <v>44561</v>
      </c>
      <c r="J1985" t="s">
        <v>187</v>
      </c>
      <c r="K1985">
        <v>167.02</v>
      </c>
      <c r="L1985" t="s">
        <v>143</v>
      </c>
      <c r="M1985" t="s">
        <v>110</v>
      </c>
      <c r="O1985" t="s">
        <v>600</v>
      </c>
      <c r="P1985" t="s">
        <v>550</v>
      </c>
      <c r="Q1985">
        <v>2021</v>
      </c>
      <c r="R1985" t="s">
        <v>654</v>
      </c>
      <c r="S1985" t="s">
        <v>655</v>
      </c>
      <c r="T1985" t="s">
        <v>553</v>
      </c>
      <c r="U1985" t="b">
        <v>0</v>
      </c>
      <c r="V1985" t="s">
        <v>656</v>
      </c>
      <c r="W1985" t="s">
        <v>587</v>
      </c>
      <c r="X1985" t="s">
        <v>556</v>
      </c>
      <c r="AC1985">
        <v>0</v>
      </c>
      <c r="AD1985" t="s">
        <v>565</v>
      </c>
      <c r="AE1985">
        <v>390.77669400000002</v>
      </c>
      <c r="AF1985">
        <v>2.3397000000000001</v>
      </c>
      <c r="AG1985" t="s">
        <v>588</v>
      </c>
      <c r="AH1985">
        <v>1</v>
      </c>
      <c r="AI1985">
        <v>167.02</v>
      </c>
      <c r="AJ1985" t="s">
        <v>561</v>
      </c>
      <c r="AK1985" t="s">
        <v>589</v>
      </c>
      <c r="AL1985" t="s">
        <v>603</v>
      </c>
      <c r="AM1985">
        <v>2021</v>
      </c>
      <c r="AN1985">
        <v>2019</v>
      </c>
      <c r="AO1985">
        <f>IF(AND(emissions[[#This Row],[Market-based]]=0,emissions[[#This Row],[Impact Type]]="CO2E"),emissions[[#This Row],[kgCO2e]],0)/1000</f>
        <v>0.39077669400000004</v>
      </c>
      <c r="AP1985">
        <f>IF(AND(emissions[[#This Row],[Market-based]]=1,OR(emissions[[#This Row],[Impact Type]]="CO2E",emissions[[#This Row],[Impact Type]]="CO2E MKT")),emissions[[#This Row],[kgCO2e]],0)/1000</f>
        <v>0</v>
      </c>
      <c r="AQ1985" t="str">
        <f>_xlfn.TEXTAFTER(emissions[[#This Row],[Reporting Unit]]," &gt; ",LEN(emissions[[#This Row],[Reporting Unit]])-LEN(SUBSTITUTE(emissions[[#This Row],[Reporting Unit]],"&gt;","")))</f>
        <v>Vantage_Argentina Farm (Agrinsa)</v>
      </c>
      <c r="AR1985" t="str">
        <f>_xlfn.XLOOKUP(emissions[[#This Row],[Reporting unit name]],hierarchy!$A:$A,hierarchy!$C:$C)</f>
        <v>Labratory</v>
      </c>
    </row>
    <row r="1986" spans="1:44" hidden="1" x14ac:dyDescent="0.25">
      <c r="A1986">
        <v>4997</v>
      </c>
      <c r="B1986" t="s">
        <v>240</v>
      </c>
      <c r="C1986" t="s">
        <v>475</v>
      </c>
      <c r="D1986" t="s">
        <v>599</v>
      </c>
      <c r="E1986" s="3">
        <v>44197</v>
      </c>
      <c r="F1986" s="3">
        <v>44561</v>
      </c>
      <c r="G1986" t="s">
        <v>141</v>
      </c>
      <c r="H1986" s="3">
        <v>44197</v>
      </c>
      <c r="I1986" s="3">
        <v>44561</v>
      </c>
      <c r="J1986" t="s">
        <v>187</v>
      </c>
      <c r="K1986">
        <v>167.02</v>
      </c>
      <c r="L1986" t="s">
        <v>143</v>
      </c>
      <c r="M1986" t="s">
        <v>110</v>
      </c>
      <c r="O1986" t="s">
        <v>600</v>
      </c>
      <c r="P1986" t="s">
        <v>550</v>
      </c>
      <c r="Q1986">
        <v>2021</v>
      </c>
      <c r="R1986" t="s">
        <v>654</v>
      </c>
      <c r="S1986" t="s">
        <v>655</v>
      </c>
      <c r="T1986" t="s">
        <v>553</v>
      </c>
      <c r="U1986" t="b">
        <v>0</v>
      </c>
      <c r="V1986" t="s">
        <v>656</v>
      </c>
      <c r="W1986" t="s">
        <v>587</v>
      </c>
      <c r="X1986" t="s">
        <v>556</v>
      </c>
      <c r="AC1986">
        <v>0</v>
      </c>
      <c r="AD1986" t="s">
        <v>566</v>
      </c>
      <c r="AE1986">
        <v>1.1207042</v>
      </c>
      <c r="AF1986">
        <v>6.7099999999999998E-3</v>
      </c>
      <c r="AG1986" t="s">
        <v>588</v>
      </c>
      <c r="AH1986">
        <v>1</v>
      </c>
      <c r="AI1986">
        <v>167.02</v>
      </c>
      <c r="AJ1986" t="s">
        <v>561</v>
      </c>
      <c r="AK1986" t="s">
        <v>589</v>
      </c>
      <c r="AL1986" t="s">
        <v>603</v>
      </c>
      <c r="AM1986">
        <v>2021</v>
      </c>
      <c r="AN1986">
        <v>2019</v>
      </c>
      <c r="AO1986">
        <f>IF(AND(emissions[[#This Row],[Market-based]]=0,emissions[[#This Row],[Impact Type]]="CO2E"),emissions[[#This Row],[kgCO2e]],0)/1000</f>
        <v>0</v>
      </c>
      <c r="AP1986">
        <f>IF(AND(emissions[[#This Row],[Market-based]]=1,OR(emissions[[#This Row],[Impact Type]]="CO2E",emissions[[#This Row],[Impact Type]]="CO2E MKT")),emissions[[#This Row],[kgCO2e]],0)/1000</f>
        <v>0</v>
      </c>
      <c r="AQ1986" t="str">
        <f>_xlfn.TEXTAFTER(emissions[[#This Row],[Reporting Unit]]," &gt; ",LEN(emissions[[#This Row],[Reporting Unit]])-LEN(SUBSTITUTE(emissions[[#This Row],[Reporting Unit]],"&gt;","")))</f>
        <v>Vantage_Argentina Farm (Agrinsa)</v>
      </c>
      <c r="AR1986" t="str">
        <f>_xlfn.XLOOKUP(emissions[[#This Row],[Reporting unit name]],hierarchy!$A:$A,hierarchy!$C:$C)</f>
        <v>Labratory</v>
      </c>
    </row>
    <row r="1987" spans="1:44" hidden="1" x14ac:dyDescent="0.25">
      <c r="A1987">
        <v>4997</v>
      </c>
      <c r="B1987" t="s">
        <v>240</v>
      </c>
      <c r="C1987" t="s">
        <v>475</v>
      </c>
      <c r="D1987" t="s">
        <v>599</v>
      </c>
      <c r="E1987" s="3">
        <v>44197</v>
      </c>
      <c r="F1987" s="3">
        <v>44561</v>
      </c>
      <c r="G1987" t="s">
        <v>141</v>
      </c>
      <c r="H1987" s="3">
        <v>44197</v>
      </c>
      <c r="I1987" s="3">
        <v>44561</v>
      </c>
      <c r="J1987" t="s">
        <v>187</v>
      </c>
      <c r="K1987">
        <v>167.02</v>
      </c>
      <c r="L1987" t="s">
        <v>143</v>
      </c>
      <c r="M1987" t="s">
        <v>110</v>
      </c>
      <c r="O1987" t="s">
        <v>600</v>
      </c>
      <c r="P1987" t="s">
        <v>550</v>
      </c>
      <c r="Q1987">
        <v>2021</v>
      </c>
      <c r="R1987" t="s">
        <v>654</v>
      </c>
      <c r="S1987" t="s">
        <v>655</v>
      </c>
      <c r="T1987" t="s">
        <v>553</v>
      </c>
      <c r="U1987" t="b">
        <v>0</v>
      </c>
      <c r="V1987" t="s">
        <v>656</v>
      </c>
      <c r="W1987" t="s">
        <v>587</v>
      </c>
      <c r="X1987" t="s">
        <v>556</v>
      </c>
      <c r="AC1987">
        <v>1</v>
      </c>
      <c r="AD1987" t="s">
        <v>558</v>
      </c>
      <c r="AE1987">
        <v>1.2225864</v>
      </c>
      <c r="AF1987">
        <v>7.3200000000000001E-3</v>
      </c>
      <c r="AG1987" t="s">
        <v>588</v>
      </c>
      <c r="AH1987">
        <v>1</v>
      </c>
      <c r="AI1987">
        <v>167.02</v>
      </c>
      <c r="AJ1987" t="s">
        <v>561</v>
      </c>
      <c r="AK1987" t="s">
        <v>589</v>
      </c>
      <c r="AL1987" t="s">
        <v>603</v>
      </c>
      <c r="AM1987">
        <v>2021</v>
      </c>
      <c r="AN1987">
        <v>2019</v>
      </c>
      <c r="AO1987">
        <f>IF(AND(emissions[[#This Row],[Market-based]]=0,emissions[[#This Row],[Impact Type]]="CO2E"),emissions[[#This Row],[kgCO2e]],0)/1000</f>
        <v>0</v>
      </c>
      <c r="AP1987">
        <f>IF(AND(emissions[[#This Row],[Market-based]]=1,OR(emissions[[#This Row],[Impact Type]]="CO2E",emissions[[#This Row],[Impact Type]]="CO2E MKT")),emissions[[#This Row],[kgCO2e]],0)/1000</f>
        <v>0</v>
      </c>
      <c r="AQ1987" t="str">
        <f>_xlfn.TEXTAFTER(emissions[[#This Row],[Reporting Unit]]," &gt; ",LEN(emissions[[#This Row],[Reporting Unit]])-LEN(SUBSTITUTE(emissions[[#This Row],[Reporting Unit]],"&gt;","")))</f>
        <v>Vantage_Argentina Farm (Agrinsa)</v>
      </c>
      <c r="AR1987" t="str">
        <f>_xlfn.XLOOKUP(emissions[[#This Row],[Reporting unit name]],hierarchy!$A:$A,hierarchy!$C:$C)</f>
        <v>Labratory</v>
      </c>
    </row>
    <row r="1988" spans="1:44" hidden="1" x14ac:dyDescent="0.25">
      <c r="A1988">
        <v>4997</v>
      </c>
      <c r="B1988" t="s">
        <v>240</v>
      </c>
      <c r="C1988" t="s">
        <v>475</v>
      </c>
      <c r="D1988" t="s">
        <v>599</v>
      </c>
      <c r="E1988" s="3">
        <v>44197</v>
      </c>
      <c r="F1988" s="3">
        <v>44561</v>
      </c>
      <c r="G1988" t="s">
        <v>141</v>
      </c>
      <c r="H1988" s="3">
        <v>44197</v>
      </c>
      <c r="I1988" s="3">
        <v>44561</v>
      </c>
      <c r="J1988" t="s">
        <v>187</v>
      </c>
      <c r="K1988">
        <v>167.02</v>
      </c>
      <c r="L1988" t="s">
        <v>143</v>
      </c>
      <c r="M1988" t="s">
        <v>110</v>
      </c>
      <c r="O1988" t="s">
        <v>600</v>
      </c>
      <c r="P1988" t="s">
        <v>550</v>
      </c>
      <c r="Q1988">
        <v>2021</v>
      </c>
      <c r="R1988" t="s">
        <v>654</v>
      </c>
      <c r="S1988" t="s">
        <v>655</v>
      </c>
      <c r="T1988" t="s">
        <v>553</v>
      </c>
      <c r="U1988" t="b">
        <v>0</v>
      </c>
      <c r="V1988" t="s">
        <v>656</v>
      </c>
      <c r="W1988" t="s">
        <v>587</v>
      </c>
      <c r="X1988" t="s">
        <v>556</v>
      </c>
      <c r="AC1988">
        <v>1</v>
      </c>
      <c r="AD1988" t="s">
        <v>564</v>
      </c>
      <c r="AE1988">
        <v>388.43340339999997</v>
      </c>
      <c r="AF1988">
        <v>2.3256700000000001</v>
      </c>
      <c r="AG1988" t="s">
        <v>588</v>
      </c>
      <c r="AH1988">
        <v>1</v>
      </c>
      <c r="AI1988">
        <v>167.02</v>
      </c>
      <c r="AJ1988" t="s">
        <v>561</v>
      </c>
      <c r="AK1988" t="s">
        <v>589</v>
      </c>
      <c r="AL1988" t="s">
        <v>603</v>
      </c>
      <c r="AM1988">
        <v>2021</v>
      </c>
      <c r="AN1988">
        <v>2019</v>
      </c>
      <c r="AO1988">
        <f>IF(AND(emissions[[#This Row],[Market-based]]=0,emissions[[#This Row],[Impact Type]]="CO2E"),emissions[[#This Row],[kgCO2e]],0)/1000</f>
        <v>0</v>
      </c>
      <c r="AP1988">
        <f>IF(AND(emissions[[#This Row],[Market-based]]=1,OR(emissions[[#This Row],[Impact Type]]="CO2E",emissions[[#This Row],[Impact Type]]="CO2E MKT")),emissions[[#This Row],[kgCO2e]],0)/1000</f>
        <v>0</v>
      </c>
      <c r="AQ1988" t="str">
        <f>_xlfn.TEXTAFTER(emissions[[#This Row],[Reporting Unit]]," &gt; ",LEN(emissions[[#This Row],[Reporting Unit]])-LEN(SUBSTITUTE(emissions[[#This Row],[Reporting Unit]],"&gt;","")))</f>
        <v>Vantage_Argentina Farm (Agrinsa)</v>
      </c>
      <c r="AR1988" t="str">
        <f>_xlfn.XLOOKUP(emissions[[#This Row],[Reporting unit name]],hierarchy!$A:$A,hierarchy!$C:$C)</f>
        <v>Labratory</v>
      </c>
    </row>
    <row r="1989" spans="1:44" hidden="1" x14ac:dyDescent="0.25">
      <c r="A1989">
        <v>4997</v>
      </c>
      <c r="B1989" t="s">
        <v>240</v>
      </c>
      <c r="C1989" t="s">
        <v>475</v>
      </c>
      <c r="D1989" t="s">
        <v>599</v>
      </c>
      <c r="E1989" s="3">
        <v>44197</v>
      </c>
      <c r="F1989" s="3">
        <v>44561</v>
      </c>
      <c r="G1989" t="s">
        <v>141</v>
      </c>
      <c r="H1989" s="3">
        <v>44197</v>
      </c>
      <c r="I1989" s="3">
        <v>44561</v>
      </c>
      <c r="J1989" t="s">
        <v>187</v>
      </c>
      <c r="K1989">
        <v>167.02</v>
      </c>
      <c r="L1989" t="s">
        <v>143</v>
      </c>
      <c r="M1989" t="s">
        <v>110</v>
      </c>
      <c r="O1989" t="s">
        <v>600</v>
      </c>
      <c r="P1989" t="s">
        <v>550</v>
      </c>
      <c r="Q1989">
        <v>2021</v>
      </c>
      <c r="R1989" t="s">
        <v>654</v>
      </c>
      <c r="S1989" t="s">
        <v>655</v>
      </c>
      <c r="T1989" t="s">
        <v>553</v>
      </c>
      <c r="U1989" t="b">
        <v>0</v>
      </c>
      <c r="V1989" t="s">
        <v>656</v>
      </c>
      <c r="W1989" t="s">
        <v>587</v>
      </c>
      <c r="X1989" t="s">
        <v>556</v>
      </c>
      <c r="AC1989">
        <v>1</v>
      </c>
      <c r="AD1989" t="s">
        <v>565</v>
      </c>
      <c r="AE1989">
        <v>390.77669400000002</v>
      </c>
      <c r="AF1989">
        <v>2.3397000000000001</v>
      </c>
      <c r="AG1989" t="s">
        <v>588</v>
      </c>
      <c r="AH1989">
        <v>1</v>
      </c>
      <c r="AI1989">
        <v>167.02</v>
      </c>
      <c r="AJ1989" t="s">
        <v>561</v>
      </c>
      <c r="AK1989" t="s">
        <v>589</v>
      </c>
      <c r="AL1989" t="s">
        <v>603</v>
      </c>
      <c r="AM1989">
        <v>2021</v>
      </c>
      <c r="AN1989">
        <v>2019</v>
      </c>
      <c r="AO1989">
        <f>IF(AND(emissions[[#This Row],[Market-based]]=0,emissions[[#This Row],[Impact Type]]="CO2E"),emissions[[#This Row],[kgCO2e]],0)/1000</f>
        <v>0</v>
      </c>
      <c r="AP1989">
        <f>IF(AND(emissions[[#This Row],[Market-based]]=1,OR(emissions[[#This Row],[Impact Type]]="CO2E",emissions[[#This Row],[Impact Type]]="CO2E MKT")),emissions[[#This Row],[kgCO2e]],0)/1000</f>
        <v>0.39077669400000004</v>
      </c>
      <c r="AQ1989" t="str">
        <f>_xlfn.TEXTAFTER(emissions[[#This Row],[Reporting Unit]]," &gt; ",LEN(emissions[[#This Row],[Reporting Unit]])-LEN(SUBSTITUTE(emissions[[#This Row],[Reporting Unit]],"&gt;","")))</f>
        <v>Vantage_Argentina Farm (Agrinsa)</v>
      </c>
      <c r="AR1989" t="str">
        <f>_xlfn.XLOOKUP(emissions[[#This Row],[Reporting unit name]],hierarchy!$A:$A,hierarchy!$C:$C)</f>
        <v>Labratory</v>
      </c>
    </row>
    <row r="1990" spans="1:44" hidden="1" x14ac:dyDescent="0.25">
      <c r="A1990">
        <v>4997</v>
      </c>
      <c r="B1990" t="s">
        <v>240</v>
      </c>
      <c r="C1990" t="s">
        <v>475</v>
      </c>
      <c r="D1990" t="s">
        <v>599</v>
      </c>
      <c r="E1990" s="3">
        <v>44197</v>
      </c>
      <c r="F1990" s="3">
        <v>44561</v>
      </c>
      <c r="G1990" t="s">
        <v>141</v>
      </c>
      <c r="H1990" s="3">
        <v>44197</v>
      </c>
      <c r="I1990" s="3">
        <v>44561</v>
      </c>
      <c r="J1990" t="s">
        <v>187</v>
      </c>
      <c r="K1990">
        <v>167.02</v>
      </c>
      <c r="L1990" t="s">
        <v>143</v>
      </c>
      <c r="M1990" t="s">
        <v>110</v>
      </c>
      <c r="O1990" t="s">
        <v>600</v>
      </c>
      <c r="P1990" t="s">
        <v>550</v>
      </c>
      <c r="Q1990">
        <v>2021</v>
      </c>
      <c r="R1990" t="s">
        <v>654</v>
      </c>
      <c r="S1990" t="s">
        <v>655</v>
      </c>
      <c r="T1990" t="s">
        <v>553</v>
      </c>
      <c r="U1990" t="b">
        <v>0</v>
      </c>
      <c r="V1990" t="s">
        <v>656</v>
      </c>
      <c r="W1990" t="s">
        <v>587</v>
      </c>
      <c r="X1990" t="s">
        <v>556</v>
      </c>
      <c r="AC1990">
        <v>1</v>
      </c>
      <c r="AD1990" t="s">
        <v>566</v>
      </c>
      <c r="AE1990">
        <v>1.1207042</v>
      </c>
      <c r="AF1990">
        <v>6.7099999999999998E-3</v>
      </c>
      <c r="AG1990" t="s">
        <v>588</v>
      </c>
      <c r="AH1990">
        <v>1</v>
      </c>
      <c r="AI1990">
        <v>167.02</v>
      </c>
      <c r="AJ1990" t="s">
        <v>561</v>
      </c>
      <c r="AK1990" t="s">
        <v>589</v>
      </c>
      <c r="AL1990" t="s">
        <v>603</v>
      </c>
      <c r="AM1990">
        <v>2021</v>
      </c>
      <c r="AN1990">
        <v>2019</v>
      </c>
      <c r="AO1990">
        <f>IF(AND(emissions[[#This Row],[Market-based]]=0,emissions[[#This Row],[Impact Type]]="CO2E"),emissions[[#This Row],[kgCO2e]],0)/1000</f>
        <v>0</v>
      </c>
      <c r="AP1990">
        <f>IF(AND(emissions[[#This Row],[Market-based]]=1,OR(emissions[[#This Row],[Impact Type]]="CO2E",emissions[[#This Row],[Impact Type]]="CO2E MKT")),emissions[[#This Row],[kgCO2e]],0)/1000</f>
        <v>0</v>
      </c>
      <c r="AQ1990" t="str">
        <f>_xlfn.TEXTAFTER(emissions[[#This Row],[Reporting Unit]]," &gt; ",LEN(emissions[[#This Row],[Reporting Unit]])-LEN(SUBSTITUTE(emissions[[#This Row],[Reporting Unit]],"&gt;","")))</f>
        <v>Vantage_Argentina Farm (Agrinsa)</v>
      </c>
      <c r="AR1990" t="str">
        <f>_xlfn.XLOOKUP(emissions[[#This Row],[Reporting unit name]],hierarchy!$A:$A,hierarchy!$C:$C)</f>
        <v>Labratory</v>
      </c>
    </row>
    <row r="1991" spans="1:44" hidden="1" x14ac:dyDescent="0.25">
      <c r="A1991">
        <v>4997</v>
      </c>
      <c r="B1991" t="s">
        <v>240</v>
      </c>
      <c r="C1991" t="s">
        <v>475</v>
      </c>
      <c r="D1991" t="s">
        <v>599</v>
      </c>
      <c r="E1991" s="3">
        <v>44197</v>
      </c>
      <c r="F1991" s="3">
        <v>44561</v>
      </c>
      <c r="G1991" t="s">
        <v>141</v>
      </c>
      <c r="H1991" s="3">
        <v>44197</v>
      </c>
      <c r="I1991" s="3">
        <v>44561</v>
      </c>
      <c r="J1991" t="s">
        <v>187</v>
      </c>
      <c r="K1991">
        <v>167.02</v>
      </c>
      <c r="L1991" t="s">
        <v>143</v>
      </c>
      <c r="M1991" t="s">
        <v>110</v>
      </c>
      <c r="O1991" t="s">
        <v>600</v>
      </c>
      <c r="P1991" t="s">
        <v>550</v>
      </c>
      <c r="Q1991">
        <v>2021</v>
      </c>
      <c r="R1991" t="s">
        <v>657</v>
      </c>
      <c r="S1991" t="s">
        <v>658</v>
      </c>
      <c r="T1991" t="s">
        <v>577</v>
      </c>
      <c r="U1991" t="b">
        <v>0</v>
      </c>
      <c r="V1991" t="s">
        <v>659</v>
      </c>
      <c r="W1991" t="s">
        <v>571</v>
      </c>
      <c r="X1991" t="s">
        <v>572</v>
      </c>
      <c r="AC1991">
        <v>0</v>
      </c>
      <c r="AD1991" t="s">
        <v>565</v>
      </c>
      <c r="AE1991">
        <v>100.6846666</v>
      </c>
      <c r="AF1991">
        <v>0.60282999999999998</v>
      </c>
      <c r="AG1991" t="s">
        <v>588</v>
      </c>
      <c r="AH1991">
        <v>1</v>
      </c>
      <c r="AI1991">
        <v>167.02</v>
      </c>
      <c r="AJ1991" t="s">
        <v>561</v>
      </c>
      <c r="AK1991" t="s">
        <v>589</v>
      </c>
      <c r="AL1991" t="s">
        <v>603</v>
      </c>
      <c r="AM1991">
        <v>2021</v>
      </c>
      <c r="AN1991">
        <v>2019</v>
      </c>
      <c r="AO1991">
        <f>IF(AND(emissions[[#This Row],[Market-based]]=0,emissions[[#This Row],[Impact Type]]="CO2E"),emissions[[#This Row],[kgCO2e]],0)/1000</f>
        <v>0.1006846666</v>
      </c>
      <c r="AP1991">
        <f>IF(AND(emissions[[#This Row],[Market-based]]=1,OR(emissions[[#This Row],[Impact Type]]="CO2E",emissions[[#This Row],[Impact Type]]="CO2E MKT")),emissions[[#This Row],[kgCO2e]],0)/1000</f>
        <v>0</v>
      </c>
      <c r="AQ1991" t="str">
        <f>_xlfn.TEXTAFTER(emissions[[#This Row],[Reporting Unit]]," &gt; ",LEN(emissions[[#This Row],[Reporting Unit]])-LEN(SUBSTITUTE(emissions[[#This Row],[Reporting Unit]],"&gt;","")))</f>
        <v>Vantage_Argentina Farm (Agrinsa)</v>
      </c>
      <c r="AR1991" t="str">
        <f>_xlfn.XLOOKUP(emissions[[#This Row],[Reporting unit name]],hierarchy!$A:$A,hierarchy!$C:$C)</f>
        <v>Labratory</v>
      </c>
    </row>
    <row r="1992" spans="1:44" hidden="1" x14ac:dyDescent="0.25">
      <c r="A1992">
        <v>4997</v>
      </c>
      <c r="B1992" t="s">
        <v>240</v>
      </c>
      <c r="C1992" t="s">
        <v>475</v>
      </c>
      <c r="D1992" t="s">
        <v>599</v>
      </c>
      <c r="E1992" s="3">
        <v>44197</v>
      </c>
      <c r="F1992" s="3">
        <v>44561</v>
      </c>
      <c r="G1992" t="s">
        <v>141</v>
      </c>
      <c r="H1992" s="3">
        <v>44197</v>
      </c>
      <c r="I1992" s="3">
        <v>44561</v>
      </c>
      <c r="J1992" t="s">
        <v>187</v>
      </c>
      <c r="K1992">
        <v>167.02</v>
      </c>
      <c r="L1992" t="s">
        <v>143</v>
      </c>
      <c r="M1992" t="s">
        <v>110</v>
      </c>
      <c r="O1992" t="s">
        <v>600</v>
      </c>
      <c r="P1992" t="s">
        <v>550</v>
      </c>
      <c r="Q1992">
        <v>2021</v>
      </c>
      <c r="R1992" t="s">
        <v>657</v>
      </c>
      <c r="S1992" t="s">
        <v>658</v>
      </c>
      <c r="T1992" t="s">
        <v>577</v>
      </c>
      <c r="U1992" t="b">
        <v>0</v>
      </c>
      <c r="V1992" t="s">
        <v>659</v>
      </c>
      <c r="W1992" t="s">
        <v>571</v>
      </c>
      <c r="X1992" t="s">
        <v>572</v>
      </c>
      <c r="AC1992">
        <v>1</v>
      </c>
      <c r="AD1992" t="s">
        <v>565</v>
      </c>
      <c r="AE1992">
        <v>100.6846666</v>
      </c>
      <c r="AF1992">
        <v>0.60282999999999998</v>
      </c>
      <c r="AG1992" t="s">
        <v>588</v>
      </c>
      <c r="AH1992">
        <v>1</v>
      </c>
      <c r="AI1992">
        <v>167.02</v>
      </c>
      <c r="AJ1992" t="s">
        <v>561</v>
      </c>
      <c r="AK1992" t="s">
        <v>589</v>
      </c>
      <c r="AL1992" t="s">
        <v>603</v>
      </c>
      <c r="AM1992">
        <v>2021</v>
      </c>
      <c r="AN1992">
        <v>2019</v>
      </c>
      <c r="AO1992">
        <f>IF(AND(emissions[[#This Row],[Market-based]]=0,emissions[[#This Row],[Impact Type]]="CO2E"),emissions[[#This Row],[kgCO2e]],0)/1000</f>
        <v>0</v>
      </c>
      <c r="AP1992">
        <f>IF(AND(emissions[[#This Row],[Market-based]]=1,OR(emissions[[#This Row],[Impact Type]]="CO2E",emissions[[#This Row],[Impact Type]]="CO2E MKT")),emissions[[#This Row],[kgCO2e]],0)/1000</f>
        <v>0.1006846666</v>
      </c>
      <c r="AQ1992" t="str">
        <f>_xlfn.TEXTAFTER(emissions[[#This Row],[Reporting Unit]]," &gt; ",LEN(emissions[[#This Row],[Reporting Unit]])-LEN(SUBSTITUTE(emissions[[#This Row],[Reporting Unit]],"&gt;","")))</f>
        <v>Vantage_Argentina Farm (Agrinsa)</v>
      </c>
      <c r="AR1992" t="str">
        <f>_xlfn.XLOOKUP(emissions[[#This Row],[Reporting unit name]],hierarchy!$A:$A,hierarchy!$C:$C)</f>
        <v>Labratory</v>
      </c>
    </row>
    <row r="1993" spans="1:44" hidden="1" x14ac:dyDescent="0.25">
      <c r="A1993">
        <v>4998</v>
      </c>
      <c r="B1993" t="s">
        <v>240</v>
      </c>
      <c r="C1993" t="s">
        <v>475</v>
      </c>
      <c r="D1993" t="s">
        <v>599</v>
      </c>
      <c r="E1993" s="3">
        <v>44197</v>
      </c>
      <c r="F1993" s="3">
        <v>44561</v>
      </c>
      <c r="G1993" t="s">
        <v>141</v>
      </c>
      <c r="H1993" s="3">
        <v>44197</v>
      </c>
      <c r="I1993" s="3">
        <v>44561</v>
      </c>
      <c r="J1993" t="s">
        <v>142</v>
      </c>
      <c r="K1993">
        <v>4299.5200000000004</v>
      </c>
      <c r="L1993" t="s">
        <v>143</v>
      </c>
      <c r="M1993" t="s">
        <v>110</v>
      </c>
      <c r="O1993" t="s">
        <v>600</v>
      </c>
      <c r="P1993" t="s">
        <v>550</v>
      </c>
      <c r="Q1993">
        <v>2021</v>
      </c>
      <c r="R1993" t="s">
        <v>612</v>
      </c>
      <c r="S1993" t="s">
        <v>613</v>
      </c>
      <c r="T1993" t="s">
        <v>553</v>
      </c>
      <c r="U1993" t="b">
        <v>0</v>
      </c>
      <c r="V1993" t="s">
        <v>614</v>
      </c>
      <c r="W1993" t="s">
        <v>587</v>
      </c>
      <c r="X1993" t="s">
        <v>556</v>
      </c>
      <c r="AC1993">
        <v>0</v>
      </c>
      <c r="AD1993" t="s">
        <v>558</v>
      </c>
      <c r="AE1993">
        <v>1.1178752000000001</v>
      </c>
      <c r="AF1993">
        <v>2.5999999999999998E-4</v>
      </c>
      <c r="AG1993" t="s">
        <v>588</v>
      </c>
      <c r="AH1993">
        <v>1</v>
      </c>
      <c r="AI1993">
        <v>4299.5200000000004</v>
      </c>
      <c r="AJ1993" t="s">
        <v>561</v>
      </c>
      <c r="AK1993" t="s">
        <v>589</v>
      </c>
      <c r="AL1993" t="s">
        <v>603</v>
      </c>
      <c r="AM1993">
        <v>2021</v>
      </c>
      <c r="AN1993">
        <v>2019</v>
      </c>
      <c r="AO1993">
        <f>IF(AND(emissions[[#This Row],[Market-based]]=0,emissions[[#This Row],[Impact Type]]="CO2E"),emissions[[#This Row],[kgCO2e]],0)/1000</f>
        <v>0</v>
      </c>
      <c r="AP1993">
        <f>IF(AND(emissions[[#This Row],[Market-based]]=1,OR(emissions[[#This Row],[Impact Type]]="CO2E",emissions[[#This Row],[Impact Type]]="CO2E MKT")),emissions[[#This Row],[kgCO2e]],0)/1000</f>
        <v>0</v>
      </c>
      <c r="AQ1993" t="str">
        <f>_xlfn.TEXTAFTER(emissions[[#This Row],[Reporting Unit]]," &gt; ",LEN(emissions[[#This Row],[Reporting Unit]])-LEN(SUBSTITUTE(emissions[[#This Row],[Reporting Unit]],"&gt;","")))</f>
        <v>Vantage_Argentina Farm (Agrinsa)</v>
      </c>
      <c r="AR1993" t="str">
        <f>_xlfn.XLOOKUP(emissions[[#This Row],[Reporting unit name]],hierarchy!$A:$A,hierarchy!$C:$C)</f>
        <v>Labratory</v>
      </c>
    </row>
    <row r="1994" spans="1:44" hidden="1" x14ac:dyDescent="0.25">
      <c r="A1994">
        <v>4998</v>
      </c>
      <c r="B1994" t="s">
        <v>240</v>
      </c>
      <c r="C1994" t="s">
        <v>475</v>
      </c>
      <c r="D1994" t="s">
        <v>599</v>
      </c>
      <c r="E1994" s="3">
        <v>44197</v>
      </c>
      <c r="F1994" s="3">
        <v>44561</v>
      </c>
      <c r="G1994" t="s">
        <v>141</v>
      </c>
      <c r="H1994" s="3">
        <v>44197</v>
      </c>
      <c r="I1994" s="3">
        <v>44561</v>
      </c>
      <c r="J1994" t="s">
        <v>142</v>
      </c>
      <c r="K1994">
        <v>4299.5200000000004</v>
      </c>
      <c r="L1994" t="s">
        <v>143</v>
      </c>
      <c r="M1994" t="s">
        <v>110</v>
      </c>
      <c r="O1994" t="s">
        <v>600</v>
      </c>
      <c r="P1994" t="s">
        <v>550</v>
      </c>
      <c r="Q1994">
        <v>2021</v>
      </c>
      <c r="R1994" t="s">
        <v>612</v>
      </c>
      <c r="S1994" t="s">
        <v>613</v>
      </c>
      <c r="T1994" t="s">
        <v>553</v>
      </c>
      <c r="U1994" t="b">
        <v>0</v>
      </c>
      <c r="V1994" t="s">
        <v>614</v>
      </c>
      <c r="W1994" t="s">
        <v>587</v>
      </c>
      <c r="X1994" t="s">
        <v>556</v>
      </c>
      <c r="AC1994">
        <v>0</v>
      </c>
      <c r="AD1994" t="s">
        <v>564</v>
      </c>
      <c r="AE1994">
        <v>11471.420330000001</v>
      </c>
      <c r="AF1994">
        <v>2.6680700000000002</v>
      </c>
      <c r="AG1994" t="s">
        <v>588</v>
      </c>
      <c r="AH1994">
        <v>1</v>
      </c>
      <c r="AI1994">
        <v>4299.5200000000004</v>
      </c>
      <c r="AJ1994" t="s">
        <v>561</v>
      </c>
      <c r="AK1994" t="s">
        <v>589</v>
      </c>
      <c r="AL1994" t="s">
        <v>603</v>
      </c>
      <c r="AM1994">
        <v>2021</v>
      </c>
      <c r="AN1994">
        <v>2019</v>
      </c>
      <c r="AO1994">
        <f>IF(AND(emissions[[#This Row],[Market-based]]=0,emissions[[#This Row],[Impact Type]]="CO2E"),emissions[[#This Row],[kgCO2e]],0)/1000</f>
        <v>0</v>
      </c>
      <c r="AP1994">
        <f>IF(AND(emissions[[#This Row],[Market-based]]=1,OR(emissions[[#This Row],[Impact Type]]="CO2E",emissions[[#This Row],[Impact Type]]="CO2E MKT")),emissions[[#This Row],[kgCO2e]],0)/1000</f>
        <v>0</v>
      </c>
      <c r="AQ1994" t="str">
        <f>_xlfn.TEXTAFTER(emissions[[#This Row],[Reporting Unit]]," &gt; ",LEN(emissions[[#This Row],[Reporting Unit]])-LEN(SUBSTITUTE(emissions[[#This Row],[Reporting Unit]],"&gt;","")))</f>
        <v>Vantage_Argentina Farm (Agrinsa)</v>
      </c>
      <c r="AR1994" t="str">
        <f>_xlfn.XLOOKUP(emissions[[#This Row],[Reporting unit name]],hierarchy!$A:$A,hierarchy!$C:$C)</f>
        <v>Labratory</v>
      </c>
    </row>
    <row r="1995" spans="1:44" hidden="1" x14ac:dyDescent="0.25">
      <c r="A1995">
        <v>4998</v>
      </c>
      <c r="B1995" t="s">
        <v>240</v>
      </c>
      <c r="C1995" t="s">
        <v>475</v>
      </c>
      <c r="D1995" t="s">
        <v>599</v>
      </c>
      <c r="E1995" s="3">
        <v>44197</v>
      </c>
      <c r="F1995" s="3">
        <v>44561</v>
      </c>
      <c r="G1995" t="s">
        <v>141</v>
      </c>
      <c r="H1995" s="3">
        <v>44197</v>
      </c>
      <c r="I1995" s="3">
        <v>44561</v>
      </c>
      <c r="J1995" t="s">
        <v>142</v>
      </c>
      <c r="K1995">
        <v>4299.5200000000004</v>
      </c>
      <c r="L1995" t="s">
        <v>143</v>
      </c>
      <c r="M1995" t="s">
        <v>110</v>
      </c>
      <c r="O1995" t="s">
        <v>600</v>
      </c>
      <c r="P1995" t="s">
        <v>550</v>
      </c>
      <c r="Q1995">
        <v>2021</v>
      </c>
      <c r="R1995" t="s">
        <v>612</v>
      </c>
      <c r="S1995" t="s">
        <v>613</v>
      </c>
      <c r="T1995" t="s">
        <v>553</v>
      </c>
      <c r="U1995" t="b">
        <v>0</v>
      </c>
      <c r="V1995" t="s">
        <v>614</v>
      </c>
      <c r="W1995" t="s">
        <v>587</v>
      </c>
      <c r="X1995" t="s">
        <v>556</v>
      </c>
      <c r="AC1995">
        <v>0</v>
      </c>
      <c r="AD1995" t="s">
        <v>565</v>
      </c>
      <c r="AE1995">
        <v>11632.48035</v>
      </c>
      <c r="AF1995">
        <v>2.70553</v>
      </c>
      <c r="AG1995" t="s">
        <v>588</v>
      </c>
      <c r="AH1995">
        <v>1</v>
      </c>
      <c r="AI1995">
        <v>4299.5200000000004</v>
      </c>
      <c r="AJ1995" t="s">
        <v>561</v>
      </c>
      <c r="AK1995" t="s">
        <v>589</v>
      </c>
      <c r="AL1995" t="s">
        <v>603</v>
      </c>
      <c r="AM1995">
        <v>2021</v>
      </c>
      <c r="AN1995">
        <v>2019</v>
      </c>
      <c r="AO1995">
        <f>IF(AND(emissions[[#This Row],[Market-based]]=0,emissions[[#This Row],[Impact Type]]="CO2E"),emissions[[#This Row],[kgCO2e]],0)/1000</f>
        <v>11.63248035</v>
      </c>
      <c r="AP1995">
        <f>IF(AND(emissions[[#This Row],[Market-based]]=1,OR(emissions[[#This Row],[Impact Type]]="CO2E",emissions[[#This Row],[Impact Type]]="CO2E MKT")),emissions[[#This Row],[kgCO2e]],0)/1000</f>
        <v>0</v>
      </c>
      <c r="AQ1995" t="str">
        <f>_xlfn.TEXTAFTER(emissions[[#This Row],[Reporting Unit]]," &gt; ",LEN(emissions[[#This Row],[Reporting Unit]])-LEN(SUBSTITUTE(emissions[[#This Row],[Reporting Unit]],"&gt;","")))</f>
        <v>Vantage_Argentina Farm (Agrinsa)</v>
      </c>
      <c r="AR1995" t="str">
        <f>_xlfn.XLOOKUP(emissions[[#This Row],[Reporting unit name]],hierarchy!$A:$A,hierarchy!$C:$C)</f>
        <v>Labratory</v>
      </c>
    </row>
    <row r="1996" spans="1:44" hidden="1" x14ac:dyDescent="0.25">
      <c r="A1996">
        <v>4998</v>
      </c>
      <c r="B1996" t="s">
        <v>240</v>
      </c>
      <c r="C1996" t="s">
        <v>475</v>
      </c>
      <c r="D1996" t="s">
        <v>599</v>
      </c>
      <c r="E1996" s="3">
        <v>44197</v>
      </c>
      <c r="F1996" s="3">
        <v>44561</v>
      </c>
      <c r="G1996" t="s">
        <v>141</v>
      </c>
      <c r="H1996" s="3">
        <v>44197</v>
      </c>
      <c r="I1996" s="3">
        <v>44561</v>
      </c>
      <c r="J1996" t="s">
        <v>142</v>
      </c>
      <c r="K1996">
        <v>4299.5200000000004</v>
      </c>
      <c r="L1996" t="s">
        <v>143</v>
      </c>
      <c r="M1996" t="s">
        <v>110</v>
      </c>
      <c r="O1996" t="s">
        <v>600</v>
      </c>
      <c r="P1996" t="s">
        <v>550</v>
      </c>
      <c r="Q1996">
        <v>2021</v>
      </c>
      <c r="R1996" t="s">
        <v>612</v>
      </c>
      <c r="S1996" t="s">
        <v>613</v>
      </c>
      <c r="T1996" t="s">
        <v>553</v>
      </c>
      <c r="U1996" t="b">
        <v>0</v>
      </c>
      <c r="V1996" t="s">
        <v>614</v>
      </c>
      <c r="W1996" t="s">
        <v>587</v>
      </c>
      <c r="X1996" t="s">
        <v>556</v>
      </c>
      <c r="AC1996">
        <v>0</v>
      </c>
      <c r="AD1996" t="s">
        <v>566</v>
      </c>
      <c r="AE1996">
        <v>159.94214400000001</v>
      </c>
      <c r="AF1996">
        <v>3.7199999999999997E-2</v>
      </c>
      <c r="AG1996" t="s">
        <v>588</v>
      </c>
      <c r="AH1996">
        <v>1</v>
      </c>
      <c r="AI1996">
        <v>4299.5200000000004</v>
      </c>
      <c r="AJ1996" t="s">
        <v>561</v>
      </c>
      <c r="AK1996" t="s">
        <v>589</v>
      </c>
      <c r="AL1996" t="s">
        <v>603</v>
      </c>
      <c r="AM1996">
        <v>2021</v>
      </c>
      <c r="AN1996">
        <v>2019</v>
      </c>
      <c r="AO1996">
        <f>IF(AND(emissions[[#This Row],[Market-based]]=0,emissions[[#This Row],[Impact Type]]="CO2E"),emissions[[#This Row],[kgCO2e]],0)/1000</f>
        <v>0</v>
      </c>
      <c r="AP1996">
        <f>IF(AND(emissions[[#This Row],[Market-based]]=1,OR(emissions[[#This Row],[Impact Type]]="CO2E",emissions[[#This Row],[Impact Type]]="CO2E MKT")),emissions[[#This Row],[kgCO2e]],0)/1000</f>
        <v>0</v>
      </c>
      <c r="AQ1996" t="str">
        <f>_xlfn.TEXTAFTER(emissions[[#This Row],[Reporting Unit]]," &gt; ",LEN(emissions[[#This Row],[Reporting Unit]])-LEN(SUBSTITUTE(emissions[[#This Row],[Reporting Unit]],"&gt;","")))</f>
        <v>Vantage_Argentina Farm (Agrinsa)</v>
      </c>
      <c r="AR1996" t="str">
        <f>_xlfn.XLOOKUP(emissions[[#This Row],[Reporting unit name]],hierarchy!$A:$A,hierarchy!$C:$C)</f>
        <v>Labratory</v>
      </c>
    </row>
    <row r="1997" spans="1:44" hidden="1" x14ac:dyDescent="0.25">
      <c r="A1997">
        <v>4998</v>
      </c>
      <c r="B1997" t="s">
        <v>240</v>
      </c>
      <c r="C1997" t="s">
        <v>475</v>
      </c>
      <c r="D1997" t="s">
        <v>599</v>
      </c>
      <c r="E1997" s="3">
        <v>44197</v>
      </c>
      <c r="F1997" s="3">
        <v>44561</v>
      </c>
      <c r="G1997" t="s">
        <v>141</v>
      </c>
      <c r="H1997" s="3">
        <v>44197</v>
      </c>
      <c r="I1997" s="3">
        <v>44561</v>
      </c>
      <c r="J1997" t="s">
        <v>142</v>
      </c>
      <c r="K1997">
        <v>4299.5200000000004</v>
      </c>
      <c r="L1997" t="s">
        <v>143</v>
      </c>
      <c r="M1997" t="s">
        <v>110</v>
      </c>
      <c r="O1997" t="s">
        <v>600</v>
      </c>
      <c r="P1997" t="s">
        <v>550</v>
      </c>
      <c r="Q1997">
        <v>2021</v>
      </c>
      <c r="R1997" t="s">
        <v>612</v>
      </c>
      <c r="S1997" t="s">
        <v>613</v>
      </c>
      <c r="T1997" t="s">
        <v>553</v>
      </c>
      <c r="U1997" t="b">
        <v>0</v>
      </c>
      <c r="V1997" t="s">
        <v>614</v>
      </c>
      <c r="W1997" t="s">
        <v>587</v>
      </c>
      <c r="X1997" t="s">
        <v>556</v>
      </c>
      <c r="AC1997">
        <v>1</v>
      </c>
      <c r="AD1997" t="s">
        <v>558</v>
      </c>
      <c r="AE1997">
        <v>1.1178752000000001</v>
      </c>
      <c r="AF1997">
        <v>2.5999999999999998E-4</v>
      </c>
      <c r="AG1997" t="s">
        <v>588</v>
      </c>
      <c r="AH1997">
        <v>1</v>
      </c>
      <c r="AI1997">
        <v>4299.5200000000004</v>
      </c>
      <c r="AJ1997" t="s">
        <v>561</v>
      </c>
      <c r="AK1997" t="s">
        <v>589</v>
      </c>
      <c r="AL1997" t="s">
        <v>603</v>
      </c>
      <c r="AM1997">
        <v>2021</v>
      </c>
      <c r="AN1997">
        <v>2019</v>
      </c>
      <c r="AO1997">
        <f>IF(AND(emissions[[#This Row],[Market-based]]=0,emissions[[#This Row],[Impact Type]]="CO2E"),emissions[[#This Row],[kgCO2e]],0)/1000</f>
        <v>0</v>
      </c>
      <c r="AP1997">
        <f>IF(AND(emissions[[#This Row],[Market-based]]=1,OR(emissions[[#This Row],[Impact Type]]="CO2E",emissions[[#This Row],[Impact Type]]="CO2E MKT")),emissions[[#This Row],[kgCO2e]],0)/1000</f>
        <v>0</v>
      </c>
      <c r="AQ1997" t="str">
        <f>_xlfn.TEXTAFTER(emissions[[#This Row],[Reporting Unit]]," &gt; ",LEN(emissions[[#This Row],[Reporting Unit]])-LEN(SUBSTITUTE(emissions[[#This Row],[Reporting Unit]],"&gt;","")))</f>
        <v>Vantage_Argentina Farm (Agrinsa)</v>
      </c>
      <c r="AR1997" t="str">
        <f>_xlfn.XLOOKUP(emissions[[#This Row],[Reporting unit name]],hierarchy!$A:$A,hierarchy!$C:$C)</f>
        <v>Labratory</v>
      </c>
    </row>
    <row r="1998" spans="1:44" hidden="1" x14ac:dyDescent="0.25">
      <c r="A1998">
        <v>4998</v>
      </c>
      <c r="B1998" t="s">
        <v>240</v>
      </c>
      <c r="C1998" t="s">
        <v>475</v>
      </c>
      <c r="D1998" t="s">
        <v>599</v>
      </c>
      <c r="E1998" s="3">
        <v>44197</v>
      </c>
      <c r="F1998" s="3">
        <v>44561</v>
      </c>
      <c r="G1998" t="s">
        <v>141</v>
      </c>
      <c r="H1998" s="3">
        <v>44197</v>
      </c>
      <c r="I1998" s="3">
        <v>44561</v>
      </c>
      <c r="J1998" t="s">
        <v>142</v>
      </c>
      <c r="K1998">
        <v>4299.5200000000004</v>
      </c>
      <c r="L1998" t="s">
        <v>143</v>
      </c>
      <c r="M1998" t="s">
        <v>110</v>
      </c>
      <c r="O1998" t="s">
        <v>600</v>
      </c>
      <c r="P1998" t="s">
        <v>550</v>
      </c>
      <c r="Q1998">
        <v>2021</v>
      </c>
      <c r="R1998" t="s">
        <v>612</v>
      </c>
      <c r="S1998" t="s">
        <v>613</v>
      </c>
      <c r="T1998" t="s">
        <v>553</v>
      </c>
      <c r="U1998" t="b">
        <v>0</v>
      </c>
      <c r="V1998" t="s">
        <v>614</v>
      </c>
      <c r="W1998" t="s">
        <v>587</v>
      </c>
      <c r="X1998" t="s">
        <v>556</v>
      </c>
      <c r="AC1998">
        <v>1</v>
      </c>
      <c r="AD1998" t="s">
        <v>564</v>
      </c>
      <c r="AE1998">
        <v>11471.420330000001</v>
      </c>
      <c r="AF1998">
        <v>2.6680700000000002</v>
      </c>
      <c r="AG1998" t="s">
        <v>588</v>
      </c>
      <c r="AH1998">
        <v>1</v>
      </c>
      <c r="AI1998">
        <v>4299.5200000000004</v>
      </c>
      <c r="AJ1998" t="s">
        <v>561</v>
      </c>
      <c r="AK1998" t="s">
        <v>589</v>
      </c>
      <c r="AL1998" t="s">
        <v>603</v>
      </c>
      <c r="AM1998">
        <v>2021</v>
      </c>
      <c r="AN1998">
        <v>2019</v>
      </c>
      <c r="AO1998">
        <f>IF(AND(emissions[[#This Row],[Market-based]]=0,emissions[[#This Row],[Impact Type]]="CO2E"),emissions[[#This Row],[kgCO2e]],0)/1000</f>
        <v>0</v>
      </c>
      <c r="AP1998">
        <f>IF(AND(emissions[[#This Row],[Market-based]]=1,OR(emissions[[#This Row],[Impact Type]]="CO2E",emissions[[#This Row],[Impact Type]]="CO2E MKT")),emissions[[#This Row],[kgCO2e]],0)/1000</f>
        <v>0</v>
      </c>
      <c r="AQ1998" t="str">
        <f>_xlfn.TEXTAFTER(emissions[[#This Row],[Reporting Unit]]," &gt; ",LEN(emissions[[#This Row],[Reporting Unit]])-LEN(SUBSTITUTE(emissions[[#This Row],[Reporting Unit]],"&gt;","")))</f>
        <v>Vantage_Argentina Farm (Agrinsa)</v>
      </c>
      <c r="AR1998" t="str">
        <f>_xlfn.XLOOKUP(emissions[[#This Row],[Reporting unit name]],hierarchy!$A:$A,hierarchy!$C:$C)</f>
        <v>Labratory</v>
      </c>
    </row>
    <row r="1999" spans="1:44" hidden="1" x14ac:dyDescent="0.25">
      <c r="A1999">
        <v>4998</v>
      </c>
      <c r="B1999" t="s">
        <v>240</v>
      </c>
      <c r="C1999" t="s">
        <v>475</v>
      </c>
      <c r="D1999" t="s">
        <v>599</v>
      </c>
      <c r="E1999" s="3">
        <v>44197</v>
      </c>
      <c r="F1999" s="3">
        <v>44561</v>
      </c>
      <c r="G1999" t="s">
        <v>141</v>
      </c>
      <c r="H1999" s="3">
        <v>44197</v>
      </c>
      <c r="I1999" s="3">
        <v>44561</v>
      </c>
      <c r="J1999" t="s">
        <v>142</v>
      </c>
      <c r="K1999">
        <v>4299.5200000000004</v>
      </c>
      <c r="L1999" t="s">
        <v>143</v>
      </c>
      <c r="M1999" t="s">
        <v>110</v>
      </c>
      <c r="O1999" t="s">
        <v>600</v>
      </c>
      <c r="P1999" t="s">
        <v>550</v>
      </c>
      <c r="Q1999">
        <v>2021</v>
      </c>
      <c r="R1999" t="s">
        <v>612</v>
      </c>
      <c r="S1999" t="s">
        <v>613</v>
      </c>
      <c r="T1999" t="s">
        <v>553</v>
      </c>
      <c r="U1999" t="b">
        <v>0</v>
      </c>
      <c r="V1999" t="s">
        <v>614</v>
      </c>
      <c r="W1999" t="s">
        <v>587</v>
      </c>
      <c r="X1999" t="s">
        <v>556</v>
      </c>
      <c r="AC1999">
        <v>1</v>
      </c>
      <c r="AD1999" t="s">
        <v>565</v>
      </c>
      <c r="AE1999">
        <v>11632.48035</v>
      </c>
      <c r="AF1999">
        <v>2.70553</v>
      </c>
      <c r="AG1999" t="s">
        <v>588</v>
      </c>
      <c r="AH1999">
        <v>1</v>
      </c>
      <c r="AI1999">
        <v>4299.5200000000004</v>
      </c>
      <c r="AJ1999" t="s">
        <v>561</v>
      </c>
      <c r="AK1999" t="s">
        <v>589</v>
      </c>
      <c r="AL1999" t="s">
        <v>603</v>
      </c>
      <c r="AM1999">
        <v>2021</v>
      </c>
      <c r="AN1999">
        <v>2019</v>
      </c>
      <c r="AO1999">
        <f>IF(AND(emissions[[#This Row],[Market-based]]=0,emissions[[#This Row],[Impact Type]]="CO2E"),emissions[[#This Row],[kgCO2e]],0)/1000</f>
        <v>0</v>
      </c>
      <c r="AP1999">
        <f>IF(AND(emissions[[#This Row],[Market-based]]=1,OR(emissions[[#This Row],[Impact Type]]="CO2E",emissions[[#This Row],[Impact Type]]="CO2E MKT")),emissions[[#This Row],[kgCO2e]],0)/1000</f>
        <v>11.63248035</v>
      </c>
      <c r="AQ1999" t="str">
        <f>_xlfn.TEXTAFTER(emissions[[#This Row],[Reporting Unit]]," &gt; ",LEN(emissions[[#This Row],[Reporting Unit]])-LEN(SUBSTITUTE(emissions[[#This Row],[Reporting Unit]],"&gt;","")))</f>
        <v>Vantage_Argentina Farm (Agrinsa)</v>
      </c>
      <c r="AR1999" t="str">
        <f>_xlfn.XLOOKUP(emissions[[#This Row],[Reporting unit name]],hierarchy!$A:$A,hierarchy!$C:$C)</f>
        <v>Labratory</v>
      </c>
    </row>
    <row r="2000" spans="1:44" hidden="1" x14ac:dyDescent="0.25">
      <c r="A2000">
        <v>4998</v>
      </c>
      <c r="B2000" t="s">
        <v>240</v>
      </c>
      <c r="C2000" t="s">
        <v>475</v>
      </c>
      <c r="D2000" t="s">
        <v>599</v>
      </c>
      <c r="E2000" s="3">
        <v>44197</v>
      </c>
      <c r="F2000" s="3">
        <v>44561</v>
      </c>
      <c r="G2000" t="s">
        <v>141</v>
      </c>
      <c r="H2000" s="3">
        <v>44197</v>
      </c>
      <c r="I2000" s="3">
        <v>44561</v>
      </c>
      <c r="J2000" t="s">
        <v>142</v>
      </c>
      <c r="K2000">
        <v>4299.5200000000004</v>
      </c>
      <c r="L2000" t="s">
        <v>143</v>
      </c>
      <c r="M2000" t="s">
        <v>110</v>
      </c>
      <c r="O2000" t="s">
        <v>600</v>
      </c>
      <c r="P2000" t="s">
        <v>550</v>
      </c>
      <c r="Q2000">
        <v>2021</v>
      </c>
      <c r="R2000" t="s">
        <v>612</v>
      </c>
      <c r="S2000" t="s">
        <v>613</v>
      </c>
      <c r="T2000" t="s">
        <v>553</v>
      </c>
      <c r="U2000" t="b">
        <v>0</v>
      </c>
      <c r="V2000" t="s">
        <v>614</v>
      </c>
      <c r="W2000" t="s">
        <v>587</v>
      </c>
      <c r="X2000" t="s">
        <v>556</v>
      </c>
      <c r="AC2000">
        <v>1</v>
      </c>
      <c r="AD2000" t="s">
        <v>566</v>
      </c>
      <c r="AE2000">
        <v>159.94214400000001</v>
      </c>
      <c r="AF2000">
        <v>3.7199999999999997E-2</v>
      </c>
      <c r="AG2000" t="s">
        <v>588</v>
      </c>
      <c r="AH2000">
        <v>1</v>
      </c>
      <c r="AI2000">
        <v>4299.5200000000004</v>
      </c>
      <c r="AJ2000" t="s">
        <v>561</v>
      </c>
      <c r="AK2000" t="s">
        <v>589</v>
      </c>
      <c r="AL2000" t="s">
        <v>603</v>
      </c>
      <c r="AM2000">
        <v>2021</v>
      </c>
      <c r="AN2000">
        <v>2019</v>
      </c>
      <c r="AO2000">
        <f>IF(AND(emissions[[#This Row],[Market-based]]=0,emissions[[#This Row],[Impact Type]]="CO2E"),emissions[[#This Row],[kgCO2e]],0)/1000</f>
        <v>0</v>
      </c>
      <c r="AP2000">
        <f>IF(AND(emissions[[#This Row],[Market-based]]=1,OR(emissions[[#This Row],[Impact Type]]="CO2E",emissions[[#This Row],[Impact Type]]="CO2E MKT")),emissions[[#This Row],[kgCO2e]],0)/1000</f>
        <v>0</v>
      </c>
      <c r="AQ2000" t="str">
        <f>_xlfn.TEXTAFTER(emissions[[#This Row],[Reporting Unit]]," &gt; ",LEN(emissions[[#This Row],[Reporting Unit]])-LEN(SUBSTITUTE(emissions[[#This Row],[Reporting Unit]],"&gt;","")))</f>
        <v>Vantage_Argentina Farm (Agrinsa)</v>
      </c>
      <c r="AR2000" t="str">
        <f>_xlfn.XLOOKUP(emissions[[#This Row],[Reporting unit name]],hierarchy!$A:$A,hierarchy!$C:$C)</f>
        <v>Labratory</v>
      </c>
    </row>
    <row r="2001" spans="1:44" hidden="1" x14ac:dyDescent="0.25">
      <c r="A2001">
        <v>4998</v>
      </c>
      <c r="B2001" t="s">
        <v>240</v>
      </c>
      <c r="C2001" t="s">
        <v>475</v>
      </c>
      <c r="D2001" t="s">
        <v>599</v>
      </c>
      <c r="E2001" s="3">
        <v>44197</v>
      </c>
      <c r="F2001" s="3">
        <v>44561</v>
      </c>
      <c r="G2001" t="s">
        <v>141</v>
      </c>
      <c r="H2001" s="3">
        <v>44197</v>
      </c>
      <c r="I2001" s="3">
        <v>44561</v>
      </c>
      <c r="J2001" t="s">
        <v>142</v>
      </c>
      <c r="K2001">
        <v>4299.5200000000004</v>
      </c>
      <c r="L2001" t="s">
        <v>143</v>
      </c>
      <c r="M2001" t="s">
        <v>110</v>
      </c>
      <c r="O2001" t="s">
        <v>600</v>
      </c>
      <c r="P2001" t="s">
        <v>550</v>
      </c>
      <c r="Q2001">
        <v>2021</v>
      </c>
      <c r="R2001" t="s">
        <v>615</v>
      </c>
      <c r="S2001" t="s">
        <v>616</v>
      </c>
      <c r="T2001" t="s">
        <v>577</v>
      </c>
      <c r="U2001" t="b">
        <v>0</v>
      </c>
      <c r="V2001" t="s">
        <v>617</v>
      </c>
      <c r="W2001" t="s">
        <v>571</v>
      </c>
      <c r="X2001" t="s">
        <v>572</v>
      </c>
      <c r="AC2001">
        <v>0</v>
      </c>
      <c r="AD2001" t="s">
        <v>565</v>
      </c>
      <c r="AE2001">
        <v>2703.280205</v>
      </c>
      <c r="AF2001">
        <v>0.62873999999999997</v>
      </c>
      <c r="AG2001" t="s">
        <v>588</v>
      </c>
      <c r="AH2001">
        <v>1</v>
      </c>
      <c r="AI2001">
        <v>4299.5200000000004</v>
      </c>
      <c r="AJ2001" t="s">
        <v>561</v>
      </c>
      <c r="AK2001" t="s">
        <v>589</v>
      </c>
      <c r="AL2001" t="s">
        <v>603</v>
      </c>
      <c r="AM2001">
        <v>2021</v>
      </c>
      <c r="AN2001">
        <v>2019</v>
      </c>
      <c r="AO2001">
        <f>IF(AND(emissions[[#This Row],[Market-based]]=0,emissions[[#This Row],[Impact Type]]="CO2E"),emissions[[#This Row],[kgCO2e]],0)/1000</f>
        <v>2.703280205</v>
      </c>
      <c r="AP2001">
        <f>IF(AND(emissions[[#This Row],[Market-based]]=1,OR(emissions[[#This Row],[Impact Type]]="CO2E",emissions[[#This Row],[Impact Type]]="CO2E MKT")),emissions[[#This Row],[kgCO2e]],0)/1000</f>
        <v>0</v>
      </c>
      <c r="AQ2001" t="str">
        <f>_xlfn.TEXTAFTER(emissions[[#This Row],[Reporting Unit]]," &gt; ",LEN(emissions[[#This Row],[Reporting Unit]])-LEN(SUBSTITUTE(emissions[[#This Row],[Reporting Unit]],"&gt;","")))</f>
        <v>Vantage_Argentina Farm (Agrinsa)</v>
      </c>
      <c r="AR2001" t="str">
        <f>_xlfn.XLOOKUP(emissions[[#This Row],[Reporting unit name]],hierarchy!$A:$A,hierarchy!$C:$C)</f>
        <v>Labratory</v>
      </c>
    </row>
    <row r="2002" spans="1:44" hidden="1" x14ac:dyDescent="0.25">
      <c r="A2002">
        <v>4998</v>
      </c>
      <c r="B2002" t="s">
        <v>240</v>
      </c>
      <c r="C2002" t="s">
        <v>475</v>
      </c>
      <c r="D2002" t="s">
        <v>599</v>
      </c>
      <c r="E2002" s="3">
        <v>44197</v>
      </c>
      <c r="F2002" s="3">
        <v>44561</v>
      </c>
      <c r="G2002" t="s">
        <v>141</v>
      </c>
      <c r="H2002" s="3">
        <v>44197</v>
      </c>
      <c r="I2002" s="3">
        <v>44561</v>
      </c>
      <c r="J2002" t="s">
        <v>142</v>
      </c>
      <c r="K2002">
        <v>4299.5200000000004</v>
      </c>
      <c r="L2002" t="s">
        <v>143</v>
      </c>
      <c r="M2002" t="s">
        <v>110</v>
      </c>
      <c r="O2002" t="s">
        <v>600</v>
      </c>
      <c r="P2002" t="s">
        <v>550</v>
      </c>
      <c r="Q2002">
        <v>2021</v>
      </c>
      <c r="R2002" t="s">
        <v>615</v>
      </c>
      <c r="S2002" t="s">
        <v>616</v>
      </c>
      <c r="T2002" t="s">
        <v>577</v>
      </c>
      <c r="U2002" t="b">
        <v>0</v>
      </c>
      <c r="V2002" t="s">
        <v>617</v>
      </c>
      <c r="W2002" t="s">
        <v>571</v>
      </c>
      <c r="X2002" t="s">
        <v>572</v>
      </c>
      <c r="AC2002">
        <v>1</v>
      </c>
      <c r="AD2002" t="s">
        <v>565</v>
      </c>
      <c r="AE2002">
        <v>2703.280205</v>
      </c>
      <c r="AF2002">
        <v>0.62873999999999997</v>
      </c>
      <c r="AG2002" t="s">
        <v>588</v>
      </c>
      <c r="AH2002">
        <v>1</v>
      </c>
      <c r="AI2002">
        <v>4299.5200000000004</v>
      </c>
      <c r="AJ2002" t="s">
        <v>561</v>
      </c>
      <c r="AK2002" t="s">
        <v>589</v>
      </c>
      <c r="AL2002" t="s">
        <v>603</v>
      </c>
      <c r="AM2002">
        <v>2021</v>
      </c>
      <c r="AN2002">
        <v>2019</v>
      </c>
      <c r="AO2002">
        <f>IF(AND(emissions[[#This Row],[Market-based]]=0,emissions[[#This Row],[Impact Type]]="CO2E"),emissions[[#This Row],[kgCO2e]],0)/1000</f>
        <v>0</v>
      </c>
      <c r="AP2002">
        <f>IF(AND(emissions[[#This Row],[Market-based]]=1,OR(emissions[[#This Row],[Impact Type]]="CO2E",emissions[[#This Row],[Impact Type]]="CO2E MKT")),emissions[[#This Row],[kgCO2e]],0)/1000</f>
        <v>2.703280205</v>
      </c>
      <c r="AQ2002" t="str">
        <f>_xlfn.TEXTAFTER(emissions[[#This Row],[Reporting Unit]]," &gt; ",LEN(emissions[[#This Row],[Reporting Unit]])-LEN(SUBSTITUTE(emissions[[#This Row],[Reporting Unit]],"&gt;","")))</f>
        <v>Vantage_Argentina Farm (Agrinsa)</v>
      </c>
      <c r="AR2002" t="str">
        <f>_xlfn.XLOOKUP(emissions[[#This Row],[Reporting unit name]],hierarchy!$A:$A,hierarchy!$C:$C)</f>
        <v>Labratory</v>
      </c>
    </row>
    <row r="2003" spans="1:44" hidden="1" x14ac:dyDescent="0.25">
      <c r="A2003">
        <v>5026</v>
      </c>
      <c r="B2003" t="s">
        <v>240</v>
      </c>
      <c r="C2003" t="s">
        <v>475</v>
      </c>
      <c r="D2003" t="s">
        <v>599</v>
      </c>
      <c r="E2003" s="3">
        <v>44197</v>
      </c>
      <c r="F2003" s="3">
        <v>44561</v>
      </c>
      <c r="G2003" t="s">
        <v>116</v>
      </c>
      <c r="H2003" s="3">
        <v>44197</v>
      </c>
      <c r="I2003" s="3">
        <v>44561</v>
      </c>
      <c r="J2003" t="s">
        <v>250</v>
      </c>
      <c r="K2003">
        <v>0</v>
      </c>
      <c r="L2003" t="s">
        <v>118</v>
      </c>
      <c r="M2003" t="s">
        <v>82</v>
      </c>
      <c r="O2003" t="s">
        <v>600</v>
      </c>
      <c r="P2003" t="s">
        <v>550</v>
      </c>
      <c r="Q2003">
        <v>2021</v>
      </c>
      <c r="R2003" t="s">
        <v>880</v>
      </c>
      <c r="S2003" t="s">
        <v>250</v>
      </c>
      <c r="T2003" t="s">
        <v>553</v>
      </c>
      <c r="U2003" t="b">
        <v>0</v>
      </c>
      <c r="V2003" t="s">
        <v>881</v>
      </c>
      <c r="W2003" t="s">
        <v>587</v>
      </c>
      <c r="X2003" t="s">
        <v>556</v>
      </c>
      <c r="AC2003">
        <v>0</v>
      </c>
      <c r="AD2003" t="s">
        <v>565</v>
      </c>
      <c r="AE2003">
        <v>0</v>
      </c>
      <c r="AF2003">
        <v>675</v>
      </c>
      <c r="AG2003" t="s">
        <v>622</v>
      </c>
      <c r="AH2003">
        <v>1</v>
      </c>
      <c r="AI2003">
        <v>0</v>
      </c>
      <c r="AJ2003" t="s">
        <v>561</v>
      </c>
      <c r="AK2003" t="s">
        <v>623</v>
      </c>
      <c r="AL2003" t="s">
        <v>624</v>
      </c>
      <c r="AM2003">
        <v>2021</v>
      </c>
      <c r="AN2003">
        <v>2007</v>
      </c>
      <c r="AO2003">
        <f>IF(AND(emissions[[#This Row],[Market-based]]=0,emissions[[#This Row],[Impact Type]]="CO2E"),emissions[[#This Row],[kgCO2e]],0)/1000</f>
        <v>0</v>
      </c>
      <c r="AP2003">
        <f>IF(AND(emissions[[#This Row],[Market-based]]=1,OR(emissions[[#This Row],[Impact Type]]="CO2E",emissions[[#This Row],[Impact Type]]="CO2E MKT")),emissions[[#This Row],[kgCO2e]],0)/1000</f>
        <v>0</v>
      </c>
      <c r="AQ2003" t="str">
        <f>_xlfn.TEXTAFTER(emissions[[#This Row],[Reporting Unit]]," &gt; ",LEN(emissions[[#This Row],[Reporting Unit]])-LEN(SUBSTITUTE(emissions[[#This Row],[Reporting Unit]],"&gt;","")))</f>
        <v>Vantage_Argentina Farm (Agrinsa)</v>
      </c>
      <c r="AR2003" t="str">
        <f>_xlfn.XLOOKUP(emissions[[#This Row],[Reporting unit name]],hierarchy!$A:$A,hierarchy!$C:$C)</f>
        <v>Labratory</v>
      </c>
    </row>
    <row r="2004" spans="1:44" hidden="1" x14ac:dyDescent="0.25">
      <c r="A2004">
        <v>5026</v>
      </c>
      <c r="B2004" t="s">
        <v>240</v>
      </c>
      <c r="C2004" t="s">
        <v>475</v>
      </c>
      <c r="D2004" t="s">
        <v>599</v>
      </c>
      <c r="E2004" s="3">
        <v>44197</v>
      </c>
      <c r="F2004" s="3">
        <v>44561</v>
      </c>
      <c r="G2004" t="s">
        <v>116</v>
      </c>
      <c r="H2004" s="3">
        <v>44197</v>
      </c>
      <c r="I2004" s="3">
        <v>44561</v>
      </c>
      <c r="J2004" t="s">
        <v>250</v>
      </c>
      <c r="K2004">
        <v>0</v>
      </c>
      <c r="L2004" t="s">
        <v>118</v>
      </c>
      <c r="M2004" t="s">
        <v>82</v>
      </c>
      <c r="O2004" t="s">
        <v>600</v>
      </c>
      <c r="P2004" t="s">
        <v>550</v>
      </c>
      <c r="Q2004">
        <v>2021</v>
      </c>
      <c r="R2004" t="s">
        <v>880</v>
      </c>
      <c r="S2004" t="s">
        <v>250</v>
      </c>
      <c r="T2004" t="s">
        <v>553</v>
      </c>
      <c r="U2004" t="b">
        <v>0</v>
      </c>
      <c r="V2004" t="s">
        <v>881</v>
      </c>
      <c r="W2004" t="s">
        <v>587</v>
      </c>
      <c r="X2004" t="s">
        <v>556</v>
      </c>
      <c r="AC2004">
        <v>1</v>
      </c>
      <c r="AD2004" t="s">
        <v>565</v>
      </c>
      <c r="AE2004">
        <v>0</v>
      </c>
      <c r="AF2004">
        <v>675</v>
      </c>
      <c r="AG2004" t="s">
        <v>622</v>
      </c>
      <c r="AH2004">
        <v>1</v>
      </c>
      <c r="AI2004">
        <v>0</v>
      </c>
      <c r="AJ2004" t="s">
        <v>561</v>
      </c>
      <c r="AK2004" t="s">
        <v>623</v>
      </c>
      <c r="AL2004" t="s">
        <v>624</v>
      </c>
      <c r="AM2004">
        <v>2021</v>
      </c>
      <c r="AN2004">
        <v>2007</v>
      </c>
      <c r="AO2004">
        <f>IF(AND(emissions[[#This Row],[Market-based]]=0,emissions[[#This Row],[Impact Type]]="CO2E"),emissions[[#This Row],[kgCO2e]],0)/1000</f>
        <v>0</v>
      </c>
      <c r="AP2004">
        <f>IF(AND(emissions[[#This Row],[Market-based]]=1,OR(emissions[[#This Row],[Impact Type]]="CO2E",emissions[[#This Row],[Impact Type]]="CO2E MKT")),emissions[[#This Row],[kgCO2e]],0)/1000</f>
        <v>0</v>
      </c>
      <c r="AQ2004" t="str">
        <f>_xlfn.TEXTAFTER(emissions[[#This Row],[Reporting Unit]]," &gt; ",LEN(emissions[[#This Row],[Reporting Unit]])-LEN(SUBSTITUTE(emissions[[#This Row],[Reporting Unit]],"&gt;","")))</f>
        <v>Vantage_Argentina Farm (Agrinsa)</v>
      </c>
      <c r="AR2004" t="str">
        <f>_xlfn.XLOOKUP(emissions[[#This Row],[Reporting unit name]],hierarchy!$A:$A,hierarchy!$C:$C)</f>
        <v>Labratory</v>
      </c>
    </row>
    <row r="2005" spans="1:44" hidden="1" x14ac:dyDescent="0.25">
      <c r="A2005">
        <v>1590446</v>
      </c>
      <c r="B2005" t="s">
        <v>237</v>
      </c>
      <c r="C2005" t="s">
        <v>501</v>
      </c>
      <c r="D2005" t="s">
        <v>548</v>
      </c>
      <c r="E2005" s="3">
        <v>44562</v>
      </c>
      <c r="F2005" s="3">
        <v>44926</v>
      </c>
      <c r="G2005" t="s">
        <v>108</v>
      </c>
      <c r="H2005" s="3">
        <v>44562</v>
      </c>
      <c r="I2005" s="3">
        <v>44926</v>
      </c>
      <c r="J2005" t="s">
        <v>108</v>
      </c>
      <c r="K2005">
        <v>23155.402839999999</v>
      </c>
      <c r="L2005" t="s">
        <v>109</v>
      </c>
      <c r="M2005" t="s">
        <v>82</v>
      </c>
      <c r="N2005" t="s">
        <v>137</v>
      </c>
      <c r="O2005" t="s">
        <v>631</v>
      </c>
      <c r="P2005" t="s">
        <v>631</v>
      </c>
      <c r="Q2005">
        <v>2022</v>
      </c>
      <c r="R2005" t="s">
        <v>551</v>
      </c>
      <c r="S2005" t="s">
        <v>552</v>
      </c>
      <c r="T2005" t="s">
        <v>553</v>
      </c>
      <c r="U2005" t="b">
        <v>0</v>
      </c>
      <c r="V2005" t="s">
        <v>1007</v>
      </c>
      <c r="W2005" t="s">
        <v>555</v>
      </c>
      <c r="X2005" t="s">
        <v>556</v>
      </c>
      <c r="Y2005" t="s">
        <v>472</v>
      </c>
      <c r="Z2005" t="s">
        <v>491</v>
      </c>
      <c r="AA2005" t="s">
        <v>522</v>
      </c>
      <c r="AC2005">
        <v>0</v>
      </c>
      <c r="AD2005" t="s">
        <v>558</v>
      </c>
      <c r="AE2005">
        <v>6.9466208529999998</v>
      </c>
      <c r="AF2005" t="s">
        <v>559</v>
      </c>
      <c r="AG2005" t="s">
        <v>560</v>
      </c>
      <c r="AH2005">
        <v>1</v>
      </c>
      <c r="AI2005">
        <v>23155.402839999999</v>
      </c>
      <c r="AJ2005" t="s">
        <v>561</v>
      </c>
      <c r="AK2005" t="s">
        <v>562</v>
      </c>
      <c r="AL2005" t="s">
        <v>563</v>
      </c>
      <c r="AM2005">
        <v>2022</v>
      </c>
      <c r="AN2005">
        <v>2020</v>
      </c>
      <c r="AO2005">
        <f>IF(AND(emissions[[#This Row],[Market-based]]=0,emissions[[#This Row],[Impact Type]]="CO2E"),emissions[[#This Row],[kgCO2e]],0)/1000</f>
        <v>0</v>
      </c>
      <c r="AP2005">
        <f>IF(AND(emissions[[#This Row],[Market-based]]=1,OR(emissions[[#This Row],[Impact Type]]="CO2E",emissions[[#This Row],[Impact Type]]="CO2E MKT")),emissions[[#This Row],[kgCO2e]],0)/1000</f>
        <v>0</v>
      </c>
      <c r="AQ2005" t="str">
        <f>_xlfn.TEXTAFTER(emissions[[#This Row],[Reporting Unit]]," &gt; ",LEN(emissions[[#This Row],[Reporting Unit]])-LEN(SUBSTITUTE(emissions[[#This Row],[Reporting Unit]],"&gt;","")))</f>
        <v>Vantage_Bogotá</v>
      </c>
      <c r="AR2005" t="str">
        <f>_xlfn.XLOOKUP(emissions[[#This Row],[Reporting unit name]],hierarchy!$A:$A,hierarchy!$C:$C)</f>
        <v>Office</v>
      </c>
    </row>
    <row r="2006" spans="1:44" hidden="1" x14ac:dyDescent="0.25">
      <c r="A2006">
        <v>1590446</v>
      </c>
      <c r="B2006" t="s">
        <v>237</v>
      </c>
      <c r="C2006" t="s">
        <v>501</v>
      </c>
      <c r="D2006" t="s">
        <v>548</v>
      </c>
      <c r="E2006" s="3">
        <v>44562</v>
      </c>
      <c r="F2006" s="3">
        <v>44926</v>
      </c>
      <c r="G2006" t="s">
        <v>108</v>
      </c>
      <c r="H2006" s="3">
        <v>44562</v>
      </c>
      <c r="I2006" s="3">
        <v>44926</v>
      </c>
      <c r="J2006" t="s">
        <v>108</v>
      </c>
      <c r="K2006">
        <v>23155.402839999999</v>
      </c>
      <c r="L2006" t="s">
        <v>109</v>
      </c>
      <c r="M2006" t="s">
        <v>82</v>
      </c>
      <c r="N2006" t="s">
        <v>137</v>
      </c>
      <c r="O2006" t="s">
        <v>631</v>
      </c>
      <c r="P2006" t="s">
        <v>631</v>
      </c>
      <c r="Q2006">
        <v>2022</v>
      </c>
      <c r="R2006" t="s">
        <v>551</v>
      </c>
      <c r="S2006" t="s">
        <v>552</v>
      </c>
      <c r="T2006" t="s">
        <v>553</v>
      </c>
      <c r="U2006" t="b">
        <v>0</v>
      </c>
      <c r="V2006" t="s">
        <v>1007</v>
      </c>
      <c r="W2006" t="s">
        <v>555</v>
      </c>
      <c r="X2006" t="s">
        <v>556</v>
      </c>
      <c r="Y2006" t="s">
        <v>472</v>
      </c>
      <c r="Z2006" t="s">
        <v>491</v>
      </c>
      <c r="AA2006" t="s">
        <v>522</v>
      </c>
      <c r="AC2006">
        <v>0</v>
      </c>
      <c r="AD2006" t="s">
        <v>564</v>
      </c>
      <c r="AE2006">
        <v>5309.533872</v>
      </c>
      <c r="AF2006" t="s">
        <v>559</v>
      </c>
      <c r="AG2006" t="s">
        <v>560</v>
      </c>
      <c r="AH2006">
        <v>1</v>
      </c>
      <c r="AI2006">
        <v>23155.402839999999</v>
      </c>
      <c r="AJ2006" t="s">
        <v>561</v>
      </c>
      <c r="AK2006" t="s">
        <v>562</v>
      </c>
      <c r="AL2006" t="s">
        <v>563</v>
      </c>
      <c r="AM2006">
        <v>2022</v>
      </c>
      <c r="AN2006">
        <v>2020</v>
      </c>
      <c r="AO2006">
        <f>IF(AND(emissions[[#This Row],[Market-based]]=0,emissions[[#This Row],[Impact Type]]="CO2E"),emissions[[#This Row],[kgCO2e]],0)/1000</f>
        <v>0</v>
      </c>
      <c r="AP2006">
        <f>IF(AND(emissions[[#This Row],[Market-based]]=1,OR(emissions[[#This Row],[Impact Type]]="CO2E",emissions[[#This Row],[Impact Type]]="CO2E MKT")),emissions[[#This Row],[kgCO2e]],0)/1000</f>
        <v>0</v>
      </c>
      <c r="AQ2006" t="str">
        <f>_xlfn.TEXTAFTER(emissions[[#This Row],[Reporting Unit]]," &gt; ",LEN(emissions[[#This Row],[Reporting Unit]])-LEN(SUBSTITUTE(emissions[[#This Row],[Reporting Unit]],"&gt;","")))</f>
        <v>Vantage_Bogotá</v>
      </c>
      <c r="AR2006" t="str">
        <f>_xlfn.XLOOKUP(emissions[[#This Row],[Reporting unit name]],hierarchy!$A:$A,hierarchy!$C:$C)</f>
        <v>Office</v>
      </c>
    </row>
    <row r="2007" spans="1:44" hidden="1" x14ac:dyDescent="0.25">
      <c r="A2007">
        <v>1590446</v>
      </c>
      <c r="B2007" t="s">
        <v>237</v>
      </c>
      <c r="C2007" t="s">
        <v>501</v>
      </c>
      <c r="D2007" t="s">
        <v>548</v>
      </c>
      <c r="E2007" s="3">
        <v>44562</v>
      </c>
      <c r="F2007" s="3">
        <v>44926</v>
      </c>
      <c r="G2007" t="s">
        <v>108</v>
      </c>
      <c r="H2007" s="3">
        <v>44562</v>
      </c>
      <c r="I2007" s="3">
        <v>44926</v>
      </c>
      <c r="J2007" t="s">
        <v>108</v>
      </c>
      <c r="K2007">
        <v>23155.402839999999</v>
      </c>
      <c r="L2007" t="s">
        <v>109</v>
      </c>
      <c r="M2007" t="s">
        <v>82</v>
      </c>
      <c r="N2007" t="s">
        <v>137</v>
      </c>
      <c r="O2007" t="s">
        <v>631</v>
      </c>
      <c r="P2007" t="s">
        <v>631</v>
      </c>
      <c r="Q2007">
        <v>2022</v>
      </c>
      <c r="R2007" t="s">
        <v>551</v>
      </c>
      <c r="S2007" t="s">
        <v>552</v>
      </c>
      <c r="T2007" t="s">
        <v>553</v>
      </c>
      <c r="U2007" t="b">
        <v>0</v>
      </c>
      <c r="V2007" t="s">
        <v>1007</v>
      </c>
      <c r="W2007" t="s">
        <v>555</v>
      </c>
      <c r="X2007" t="s">
        <v>556</v>
      </c>
      <c r="Y2007" t="s">
        <v>472</v>
      </c>
      <c r="Z2007" t="s">
        <v>491</v>
      </c>
      <c r="AA2007" t="s">
        <v>522</v>
      </c>
      <c r="AC2007">
        <v>0</v>
      </c>
      <c r="AD2007" t="s">
        <v>565</v>
      </c>
      <c r="AE2007">
        <v>5339.6358950000003</v>
      </c>
      <c r="AF2007" t="s">
        <v>559</v>
      </c>
      <c r="AG2007" t="s">
        <v>560</v>
      </c>
      <c r="AH2007">
        <v>1</v>
      </c>
      <c r="AI2007">
        <v>23155.402839999999</v>
      </c>
      <c r="AJ2007" t="s">
        <v>561</v>
      </c>
      <c r="AK2007" t="s">
        <v>562</v>
      </c>
      <c r="AL2007" t="s">
        <v>563</v>
      </c>
      <c r="AM2007">
        <v>2022</v>
      </c>
      <c r="AN2007">
        <v>2020</v>
      </c>
      <c r="AO2007">
        <f>IF(AND(emissions[[#This Row],[Market-based]]=0,emissions[[#This Row],[Impact Type]]="CO2E"),emissions[[#This Row],[kgCO2e]],0)/1000</f>
        <v>5.3396358950000007</v>
      </c>
      <c r="AP2007">
        <f>IF(AND(emissions[[#This Row],[Market-based]]=1,OR(emissions[[#This Row],[Impact Type]]="CO2E",emissions[[#This Row],[Impact Type]]="CO2E MKT")),emissions[[#This Row],[kgCO2e]],0)/1000</f>
        <v>0</v>
      </c>
      <c r="AQ2007" t="str">
        <f>_xlfn.TEXTAFTER(emissions[[#This Row],[Reporting Unit]]," &gt; ",LEN(emissions[[#This Row],[Reporting Unit]])-LEN(SUBSTITUTE(emissions[[#This Row],[Reporting Unit]],"&gt;","")))</f>
        <v>Vantage_Bogotá</v>
      </c>
      <c r="AR2007" t="str">
        <f>_xlfn.XLOOKUP(emissions[[#This Row],[Reporting unit name]],hierarchy!$A:$A,hierarchy!$C:$C)</f>
        <v>Office</v>
      </c>
    </row>
    <row r="2008" spans="1:44" hidden="1" x14ac:dyDescent="0.25">
      <c r="A2008">
        <v>1590446</v>
      </c>
      <c r="B2008" t="s">
        <v>237</v>
      </c>
      <c r="C2008" t="s">
        <v>501</v>
      </c>
      <c r="D2008" t="s">
        <v>548</v>
      </c>
      <c r="E2008" s="3">
        <v>44562</v>
      </c>
      <c r="F2008" s="3">
        <v>44926</v>
      </c>
      <c r="G2008" t="s">
        <v>108</v>
      </c>
      <c r="H2008" s="3">
        <v>44562</v>
      </c>
      <c r="I2008" s="3">
        <v>44926</v>
      </c>
      <c r="J2008" t="s">
        <v>108</v>
      </c>
      <c r="K2008">
        <v>23155.402839999999</v>
      </c>
      <c r="L2008" t="s">
        <v>109</v>
      </c>
      <c r="M2008" t="s">
        <v>82</v>
      </c>
      <c r="N2008" t="s">
        <v>137</v>
      </c>
      <c r="O2008" t="s">
        <v>631</v>
      </c>
      <c r="P2008" t="s">
        <v>631</v>
      </c>
      <c r="Q2008">
        <v>2022</v>
      </c>
      <c r="R2008" t="s">
        <v>551</v>
      </c>
      <c r="S2008" t="s">
        <v>552</v>
      </c>
      <c r="T2008" t="s">
        <v>553</v>
      </c>
      <c r="U2008" t="b">
        <v>0</v>
      </c>
      <c r="V2008" t="s">
        <v>1007</v>
      </c>
      <c r="W2008" t="s">
        <v>555</v>
      </c>
      <c r="X2008" t="s">
        <v>556</v>
      </c>
      <c r="Y2008" t="s">
        <v>472</v>
      </c>
      <c r="Z2008" t="s">
        <v>491</v>
      </c>
      <c r="AA2008" t="s">
        <v>522</v>
      </c>
      <c r="AC2008">
        <v>0</v>
      </c>
      <c r="AD2008" t="s">
        <v>566</v>
      </c>
      <c r="AE2008">
        <v>23.155402840000001</v>
      </c>
      <c r="AF2008" t="s">
        <v>559</v>
      </c>
      <c r="AG2008" t="s">
        <v>560</v>
      </c>
      <c r="AH2008">
        <v>1</v>
      </c>
      <c r="AI2008">
        <v>23155.402839999999</v>
      </c>
      <c r="AJ2008" t="s">
        <v>561</v>
      </c>
      <c r="AK2008" t="s">
        <v>562</v>
      </c>
      <c r="AL2008" t="s">
        <v>563</v>
      </c>
      <c r="AM2008">
        <v>2022</v>
      </c>
      <c r="AN2008">
        <v>2020</v>
      </c>
      <c r="AO2008">
        <f>IF(AND(emissions[[#This Row],[Market-based]]=0,emissions[[#This Row],[Impact Type]]="CO2E"),emissions[[#This Row],[kgCO2e]],0)/1000</f>
        <v>0</v>
      </c>
      <c r="AP2008">
        <f>IF(AND(emissions[[#This Row],[Market-based]]=1,OR(emissions[[#This Row],[Impact Type]]="CO2E",emissions[[#This Row],[Impact Type]]="CO2E MKT")),emissions[[#This Row],[kgCO2e]],0)/1000</f>
        <v>0</v>
      </c>
      <c r="AQ2008" t="str">
        <f>_xlfn.TEXTAFTER(emissions[[#This Row],[Reporting Unit]]," &gt; ",LEN(emissions[[#This Row],[Reporting Unit]])-LEN(SUBSTITUTE(emissions[[#This Row],[Reporting Unit]],"&gt;","")))</f>
        <v>Vantage_Bogotá</v>
      </c>
      <c r="AR2008" t="str">
        <f>_xlfn.XLOOKUP(emissions[[#This Row],[Reporting unit name]],hierarchy!$A:$A,hierarchy!$C:$C)</f>
        <v>Office</v>
      </c>
    </row>
    <row r="2009" spans="1:44" hidden="1" x14ac:dyDescent="0.25">
      <c r="A2009">
        <v>1590446</v>
      </c>
      <c r="B2009" t="s">
        <v>237</v>
      </c>
      <c r="C2009" t="s">
        <v>501</v>
      </c>
      <c r="D2009" t="s">
        <v>548</v>
      </c>
      <c r="E2009" s="3">
        <v>44562</v>
      </c>
      <c r="F2009" s="3">
        <v>44926</v>
      </c>
      <c r="G2009" t="s">
        <v>108</v>
      </c>
      <c r="H2009" s="3">
        <v>44562</v>
      </c>
      <c r="I2009" s="3">
        <v>44926</v>
      </c>
      <c r="J2009" t="s">
        <v>108</v>
      </c>
      <c r="K2009">
        <v>23155.402839999999</v>
      </c>
      <c r="L2009" t="s">
        <v>109</v>
      </c>
      <c r="M2009" t="s">
        <v>82</v>
      </c>
      <c r="N2009" t="s">
        <v>137</v>
      </c>
      <c r="O2009" t="s">
        <v>631</v>
      </c>
      <c r="P2009" t="s">
        <v>631</v>
      </c>
      <c r="Q2009">
        <v>2022</v>
      </c>
      <c r="R2009" t="s">
        <v>551</v>
      </c>
      <c r="S2009" t="s">
        <v>552</v>
      </c>
      <c r="T2009" t="s">
        <v>553</v>
      </c>
      <c r="U2009" t="b">
        <v>0</v>
      </c>
      <c r="V2009" t="s">
        <v>1007</v>
      </c>
      <c r="W2009" t="s">
        <v>555</v>
      </c>
      <c r="X2009" t="s">
        <v>556</v>
      </c>
      <c r="Y2009" t="s">
        <v>472</v>
      </c>
      <c r="Z2009" t="s">
        <v>491</v>
      </c>
      <c r="AA2009" t="s">
        <v>522</v>
      </c>
      <c r="AC2009">
        <v>1</v>
      </c>
      <c r="AD2009" t="s">
        <v>558</v>
      </c>
      <c r="AE2009">
        <v>6.9466208529999998</v>
      </c>
      <c r="AF2009" t="s">
        <v>559</v>
      </c>
      <c r="AG2009" t="s">
        <v>560</v>
      </c>
      <c r="AH2009">
        <v>1</v>
      </c>
      <c r="AI2009">
        <v>23155.402839999999</v>
      </c>
      <c r="AJ2009" t="s">
        <v>561</v>
      </c>
      <c r="AK2009" t="s">
        <v>562</v>
      </c>
      <c r="AL2009" t="s">
        <v>563</v>
      </c>
      <c r="AM2009">
        <v>2022</v>
      </c>
      <c r="AN2009">
        <v>2020</v>
      </c>
      <c r="AO2009">
        <f>IF(AND(emissions[[#This Row],[Market-based]]=0,emissions[[#This Row],[Impact Type]]="CO2E"),emissions[[#This Row],[kgCO2e]],0)/1000</f>
        <v>0</v>
      </c>
      <c r="AP2009">
        <f>IF(AND(emissions[[#This Row],[Market-based]]=1,OR(emissions[[#This Row],[Impact Type]]="CO2E",emissions[[#This Row],[Impact Type]]="CO2E MKT")),emissions[[#This Row],[kgCO2e]],0)/1000</f>
        <v>0</v>
      </c>
      <c r="AQ2009" t="str">
        <f>_xlfn.TEXTAFTER(emissions[[#This Row],[Reporting Unit]]," &gt; ",LEN(emissions[[#This Row],[Reporting Unit]])-LEN(SUBSTITUTE(emissions[[#This Row],[Reporting Unit]],"&gt;","")))</f>
        <v>Vantage_Bogotá</v>
      </c>
      <c r="AR2009" t="str">
        <f>_xlfn.XLOOKUP(emissions[[#This Row],[Reporting unit name]],hierarchy!$A:$A,hierarchy!$C:$C)</f>
        <v>Office</v>
      </c>
    </row>
    <row r="2010" spans="1:44" hidden="1" x14ac:dyDescent="0.25">
      <c r="A2010">
        <v>1590446</v>
      </c>
      <c r="B2010" t="s">
        <v>237</v>
      </c>
      <c r="C2010" t="s">
        <v>501</v>
      </c>
      <c r="D2010" t="s">
        <v>548</v>
      </c>
      <c r="E2010" s="3">
        <v>44562</v>
      </c>
      <c r="F2010" s="3">
        <v>44926</v>
      </c>
      <c r="G2010" t="s">
        <v>108</v>
      </c>
      <c r="H2010" s="3">
        <v>44562</v>
      </c>
      <c r="I2010" s="3">
        <v>44926</v>
      </c>
      <c r="J2010" t="s">
        <v>108</v>
      </c>
      <c r="K2010">
        <v>23155.402839999999</v>
      </c>
      <c r="L2010" t="s">
        <v>109</v>
      </c>
      <c r="M2010" t="s">
        <v>82</v>
      </c>
      <c r="N2010" t="s">
        <v>137</v>
      </c>
      <c r="O2010" t="s">
        <v>631</v>
      </c>
      <c r="P2010" t="s">
        <v>631</v>
      </c>
      <c r="Q2010">
        <v>2022</v>
      </c>
      <c r="R2010" t="s">
        <v>551</v>
      </c>
      <c r="S2010" t="s">
        <v>552</v>
      </c>
      <c r="T2010" t="s">
        <v>553</v>
      </c>
      <c r="U2010" t="b">
        <v>0</v>
      </c>
      <c r="V2010" t="s">
        <v>1007</v>
      </c>
      <c r="W2010" t="s">
        <v>555</v>
      </c>
      <c r="X2010" t="s">
        <v>556</v>
      </c>
      <c r="Y2010" t="s">
        <v>472</v>
      </c>
      <c r="Z2010" t="s">
        <v>491</v>
      </c>
      <c r="AA2010" t="s">
        <v>522</v>
      </c>
      <c r="AC2010">
        <v>1</v>
      </c>
      <c r="AD2010" t="s">
        <v>564</v>
      </c>
      <c r="AE2010">
        <v>5309.533872</v>
      </c>
      <c r="AF2010" t="s">
        <v>559</v>
      </c>
      <c r="AG2010" t="s">
        <v>560</v>
      </c>
      <c r="AH2010">
        <v>1</v>
      </c>
      <c r="AI2010">
        <v>23155.402839999999</v>
      </c>
      <c r="AJ2010" t="s">
        <v>561</v>
      </c>
      <c r="AK2010" t="s">
        <v>562</v>
      </c>
      <c r="AL2010" t="s">
        <v>563</v>
      </c>
      <c r="AM2010">
        <v>2022</v>
      </c>
      <c r="AN2010">
        <v>2020</v>
      </c>
      <c r="AO2010">
        <f>IF(AND(emissions[[#This Row],[Market-based]]=0,emissions[[#This Row],[Impact Type]]="CO2E"),emissions[[#This Row],[kgCO2e]],0)/1000</f>
        <v>0</v>
      </c>
      <c r="AP2010">
        <f>IF(AND(emissions[[#This Row],[Market-based]]=1,OR(emissions[[#This Row],[Impact Type]]="CO2E",emissions[[#This Row],[Impact Type]]="CO2E MKT")),emissions[[#This Row],[kgCO2e]],0)/1000</f>
        <v>0</v>
      </c>
      <c r="AQ2010" t="str">
        <f>_xlfn.TEXTAFTER(emissions[[#This Row],[Reporting Unit]]," &gt; ",LEN(emissions[[#This Row],[Reporting Unit]])-LEN(SUBSTITUTE(emissions[[#This Row],[Reporting Unit]],"&gt;","")))</f>
        <v>Vantage_Bogotá</v>
      </c>
      <c r="AR2010" t="str">
        <f>_xlfn.XLOOKUP(emissions[[#This Row],[Reporting unit name]],hierarchy!$A:$A,hierarchy!$C:$C)</f>
        <v>Office</v>
      </c>
    </row>
    <row r="2011" spans="1:44" hidden="1" x14ac:dyDescent="0.25">
      <c r="A2011">
        <v>1590446</v>
      </c>
      <c r="B2011" t="s">
        <v>237</v>
      </c>
      <c r="C2011" t="s">
        <v>501</v>
      </c>
      <c r="D2011" t="s">
        <v>548</v>
      </c>
      <c r="E2011" s="3">
        <v>44562</v>
      </c>
      <c r="F2011" s="3">
        <v>44926</v>
      </c>
      <c r="G2011" t="s">
        <v>108</v>
      </c>
      <c r="H2011" s="3">
        <v>44562</v>
      </c>
      <c r="I2011" s="3">
        <v>44926</v>
      </c>
      <c r="J2011" t="s">
        <v>108</v>
      </c>
      <c r="K2011">
        <v>23155.402839999999</v>
      </c>
      <c r="L2011" t="s">
        <v>109</v>
      </c>
      <c r="M2011" t="s">
        <v>82</v>
      </c>
      <c r="N2011" t="s">
        <v>137</v>
      </c>
      <c r="O2011" t="s">
        <v>631</v>
      </c>
      <c r="P2011" t="s">
        <v>631</v>
      </c>
      <c r="Q2011">
        <v>2022</v>
      </c>
      <c r="R2011" t="s">
        <v>551</v>
      </c>
      <c r="S2011" t="s">
        <v>552</v>
      </c>
      <c r="T2011" t="s">
        <v>553</v>
      </c>
      <c r="U2011" t="b">
        <v>0</v>
      </c>
      <c r="V2011" t="s">
        <v>1007</v>
      </c>
      <c r="W2011" t="s">
        <v>555</v>
      </c>
      <c r="X2011" t="s">
        <v>556</v>
      </c>
      <c r="Y2011" t="s">
        <v>472</v>
      </c>
      <c r="Z2011" t="s">
        <v>491</v>
      </c>
      <c r="AA2011" t="s">
        <v>522</v>
      </c>
      <c r="AC2011">
        <v>1</v>
      </c>
      <c r="AD2011" t="s">
        <v>565</v>
      </c>
      <c r="AE2011">
        <v>5339.6358950000003</v>
      </c>
      <c r="AF2011" t="s">
        <v>559</v>
      </c>
      <c r="AG2011" t="s">
        <v>560</v>
      </c>
      <c r="AH2011">
        <v>1</v>
      </c>
      <c r="AI2011">
        <v>23155.402839999999</v>
      </c>
      <c r="AJ2011" t="s">
        <v>561</v>
      </c>
      <c r="AK2011" t="s">
        <v>562</v>
      </c>
      <c r="AL2011" t="s">
        <v>563</v>
      </c>
      <c r="AM2011">
        <v>2022</v>
      </c>
      <c r="AN2011">
        <v>2020</v>
      </c>
      <c r="AO2011">
        <f>IF(AND(emissions[[#This Row],[Market-based]]=0,emissions[[#This Row],[Impact Type]]="CO2E"),emissions[[#This Row],[kgCO2e]],0)/1000</f>
        <v>0</v>
      </c>
      <c r="AP2011">
        <f>IF(AND(emissions[[#This Row],[Market-based]]=1,OR(emissions[[#This Row],[Impact Type]]="CO2E",emissions[[#This Row],[Impact Type]]="CO2E MKT")),emissions[[#This Row],[kgCO2e]],0)/1000</f>
        <v>5.3396358950000007</v>
      </c>
      <c r="AQ2011" t="str">
        <f>_xlfn.TEXTAFTER(emissions[[#This Row],[Reporting Unit]]," &gt; ",LEN(emissions[[#This Row],[Reporting Unit]])-LEN(SUBSTITUTE(emissions[[#This Row],[Reporting Unit]],"&gt;","")))</f>
        <v>Vantage_Bogotá</v>
      </c>
      <c r="AR2011" t="str">
        <f>_xlfn.XLOOKUP(emissions[[#This Row],[Reporting unit name]],hierarchy!$A:$A,hierarchy!$C:$C)</f>
        <v>Office</v>
      </c>
    </row>
    <row r="2012" spans="1:44" hidden="1" x14ac:dyDescent="0.25">
      <c r="A2012">
        <v>1590446</v>
      </c>
      <c r="B2012" t="s">
        <v>237</v>
      </c>
      <c r="C2012" t="s">
        <v>501</v>
      </c>
      <c r="D2012" t="s">
        <v>548</v>
      </c>
      <c r="E2012" s="3">
        <v>44562</v>
      </c>
      <c r="F2012" s="3">
        <v>44926</v>
      </c>
      <c r="G2012" t="s">
        <v>108</v>
      </c>
      <c r="H2012" s="3">
        <v>44562</v>
      </c>
      <c r="I2012" s="3">
        <v>44926</v>
      </c>
      <c r="J2012" t="s">
        <v>108</v>
      </c>
      <c r="K2012">
        <v>23155.402839999999</v>
      </c>
      <c r="L2012" t="s">
        <v>109</v>
      </c>
      <c r="M2012" t="s">
        <v>82</v>
      </c>
      <c r="N2012" t="s">
        <v>137</v>
      </c>
      <c r="O2012" t="s">
        <v>631</v>
      </c>
      <c r="P2012" t="s">
        <v>631</v>
      </c>
      <c r="Q2012">
        <v>2022</v>
      </c>
      <c r="R2012" t="s">
        <v>551</v>
      </c>
      <c r="S2012" t="s">
        <v>552</v>
      </c>
      <c r="T2012" t="s">
        <v>553</v>
      </c>
      <c r="U2012" t="b">
        <v>0</v>
      </c>
      <c r="V2012" t="s">
        <v>1007</v>
      </c>
      <c r="W2012" t="s">
        <v>555</v>
      </c>
      <c r="X2012" t="s">
        <v>556</v>
      </c>
      <c r="Y2012" t="s">
        <v>472</v>
      </c>
      <c r="Z2012" t="s">
        <v>491</v>
      </c>
      <c r="AA2012" t="s">
        <v>522</v>
      </c>
      <c r="AC2012">
        <v>1</v>
      </c>
      <c r="AD2012" t="s">
        <v>566</v>
      </c>
      <c r="AE2012">
        <v>23.155402840000001</v>
      </c>
      <c r="AF2012" t="s">
        <v>559</v>
      </c>
      <c r="AG2012" t="s">
        <v>560</v>
      </c>
      <c r="AH2012">
        <v>1</v>
      </c>
      <c r="AI2012">
        <v>23155.402839999999</v>
      </c>
      <c r="AJ2012" t="s">
        <v>561</v>
      </c>
      <c r="AK2012" t="s">
        <v>562</v>
      </c>
      <c r="AL2012" t="s">
        <v>563</v>
      </c>
      <c r="AM2012">
        <v>2022</v>
      </c>
      <c r="AN2012">
        <v>2020</v>
      </c>
      <c r="AO2012">
        <f>IF(AND(emissions[[#This Row],[Market-based]]=0,emissions[[#This Row],[Impact Type]]="CO2E"),emissions[[#This Row],[kgCO2e]],0)/1000</f>
        <v>0</v>
      </c>
      <c r="AP2012">
        <f>IF(AND(emissions[[#This Row],[Market-based]]=1,OR(emissions[[#This Row],[Impact Type]]="CO2E",emissions[[#This Row],[Impact Type]]="CO2E MKT")),emissions[[#This Row],[kgCO2e]],0)/1000</f>
        <v>0</v>
      </c>
      <c r="AQ2012" t="str">
        <f>_xlfn.TEXTAFTER(emissions[[#This Row],[Reporting Unit]]," &gt; ",LEN(emissions[[#This Row],[Reporting Unit]])-LEN(SUBSTITUTE(emissions[[#This Row],[Reporting Unit]],"&gt;","")))</f>
        <v>Vantage_Bogotá</v>
      </c>
      <c r="AR2012" t="str">
        <f>_xlfn.XLOOKUP(emissions[[#This Row],[Reporting unit name]],hierarchy!$A:$A,hierarchy!$C:$C)</f>
        <v>Office</v>
      </c>
    </row>
    <row r="2013" spans="1:44" hidden="1" x14ac:dyDescent="0.25">
      <c r="A2013">
        <v>1590446</v>
      </c>
      <c r="B2013" t="s">
        <v>237</v>
      </c>
      <c r="C2013" t="s">
        <v>501</v>
      </c>
      <c r="D2013" t="s">
        <v>548</v>
      </c>
      <c r="E2013" s="3">
        <v>44562</v>
      </c>
      <c r="F2013" s="3">
        <v>44926</v>
      </c>
      <c r="G2013" t="s">
        <v>108</v>
      </c>
      <c r="H2013" s="3">
        <v>44562</v>
      </c>
      <c r="I2013" s="3">
        <v>44926</v>
      </c>
      <c r="J2013" t="s">
        <v>108</v>
      </c>
      <c r="K2013">
        <v>23155.402839999999</v>
      </c>
      <c r="L2013" t="s">
        <v>109</v>
      </c>
      <c r="M2013" t="s">
        <v>82</v>
      </c>
      <c r="N2013" t="s">
        <v>137</v>
      </c>
      <c r="O2013" t="s">
        <v>631</v>
      </c>
      <c r="P2013" t="s">
        <v>631</v>
      </c>
      <c r="Q2013">
        <v>2022</v>
      </c>
      <c r="R2013" t="s">
        <v>567</v>
      </c>
      <c r="S2013" t="s">
        <v>568</v>
      </c>
      <c r="T2013" t="s">
        <v>569</v>
      </c>
      <c r="U2013" t="b">
        <v>0</v>
      </c>
      <c r="V2013" t="s">
        <v>1008</v>
      </c>
      <c r="W2013" t="s">
        <v>571</v>
      </c>
      <c r="X2013" t="s">
        <v>572</v>
      </c>
      <c r="Y2013" t="s">
        <v>472</v>
      </c>
      <c r="Z2013" t="s">
        <v>491</v>
      </c>
      <c r="AA2013" t="s">
        <v>522</v>
      </c>
      <c r="AC2013">
        <v>0</v>
      </c>
      <c r="AD2013" t="s">
        <v>565</v>
      </c>
      <c r="AE2013">
        <v>88.292638069999995</v>
      </c>
      <c r="AF2013">
        <v>3.813047E-3</v>
      </c>
      <c r="AG2013" t="s">
        <v>560</v>
      </c>
      <c r="AH2013">
        <v>1</v>
      </c>
      <c r="AI2013">
        <v>23155.402839999999</v>
      </c>
      <c r="AJ2013" t="s">
        <v>561</v>
      </c>
      <c r="AK2013" t="s">
        <v>573</v>
      </c>
      <c r="AL2013" t="s">
        <v>574</v>
      </c>
      <c r="AM2013">
        <v>2022</v>
      </c>
      <c r="AN2013">
        <v>2020</v>
      </c>
      <c r="AO2013">
        <f>IF(AND(emissions[[#This Row],[Market-based]]=0,emissions[[#This Row],[Impact Type]]="CO2E"),emissions[[#This Row],[kgCO2e]],0)/1000</f>
        <v>8.8292638069999999E-2</v>
      </c>
      <c r="AP2013">
        <f>IF(AND(emissions[[#This Row],[Market-based]]=1,OR(emissions[[#This Row],[Impact Type]]="CO2E",emissions[[#This Row],[Impact Type]]="CO2E MKT")),emissions[[#This Row],[kgCO2e]],0)/1000</f>
        <v>0</v>
      </c>
      <c r="AQ2013" t="str">
        <f>_xlfn.TEXTAFTER(emissions[[#This Row],[Reporting Unit]]," &gt; ",LEN(emissions[[#This Row],[Reporting Unit]])-LEN(SUBSTITUTE(emissions[[#This Row],[Reporting Unit]],"&gt;","")))</f>
        <v>Vantage_Bogotá</v>
      </c>
      <c r="AR2013" t="str">
        <f>_xlfn.XLOOKUP(emissions[[#This Row],[Reporting unit name]],hierarchy!$A:$A,hierarchy!$C:$C)</f>
        <v>Office</v>
      </c>
    </row>
    <row r="2014" spans="1:44" hidden="1" x14ac:dyDescent="0.25">
      <c r="A2014">
        <v>1590446</v>
      </c>
      <c r="B2014" t="s">
        <v>237</v>
      </c>
      <c r="C2014" t="s">
        <v>501</v>
      </c>
      <c r="D2014" t="s">
        <v>548</v>
      </c>
      <c r="E2014" s="3">
        <v>44562</v>
      </c>
      <c r="F2014" s="3">
        <v>44926</v>
      </c>
      <c r="G2014" t="s">
        <v>108</v>
      </c>
      <c r="H2014" s="3">
        <v>44562</v>
      </c>
      <c r="I2014" s="3">
        <v>44926</v>
      </c>
      <c r="J2014" t="s">
        <v>108</v>
      </c>
      <c r="K2014">
        <v>23155.402839999999</v>
      </c>
      <c r="L2014" t="s">
        <v>109</v>
      </c>
      <c r="M2014" t="s">
        <v>82</v>
      </c>
      <c r="N2014" t="s">
        <v>137</v>
      </c>
      <c r="O2014" t="s">
        <v>631</v>
      </c>
      <c r="P2014" t="s">
        <v>631</v>
      </c>
      <c r="Q2014">
        <v>2022</v>
      </c>
      <c r="R2014" t="s">
        <v>567</v>
      </c>
      <c r="S2014" t="s">
        <v>568</v>
      </c>
      <c r="T2014" t="s">
        <v>569</v>
      </c>
      <c r="U2014" t="b">
        <v>0</v>
      </c>
      <c r="V2014" t="s">
        <v>1008</v>
      </c>
      <c r="W2014" t="s">
        <v>571</v>
      </c>
      <c r="X2014" t="s">
        <v>572</v>
      </c>
      <c r="Y2014" t="s">
        <v>472</v>
      </c>
      <c r="Z2014" t="s">
        <v>491</v>
      </c>
      <c r="AA2014" t="s">
        <v>522</v>
      </c>
      <c r="AC2014">
        <v>1</v>
      </c>
      <c r="AD2014" t="s">
        <v>565</v>
      </c>
      <c r="AE2014">
        <v>88.292638069999995</v>
      </c>
      <c r="AF2014">
        <v>3.813047E-3</v>
      </c>
      <c r="AG2014" t="s">
        <v>560</v>
      </c>
      <c r="AH2014">
        <v>1</v>
      </c>
      <c r="AI2014">
        <v>23155.402839999999</v>
      </c>
      <c r="AJ2014" t="s">
        <v>561</v>
      </c>
      <c r="AK2014" t="s">
        <v>573</v>
      </c>
      <c r="AL2014" t="s">
        <v>574</v>
      </c>
      <c r="AM2014">
        <v>2022</v>
      </c>
      <c r="AN2014">
        <v>2020</v>
      </c>
      <c r="AO2014">
        <f>IF(AND(emissions[[#This Row],[Market-based]]=0,emissions[[#This Row],[Impact Type]]="CO2E"),emissions[[#This Row],[kgCO2e]],0)/1000</f>
        <v>0</v>
      </c>
      <c r="AP2014">
        <f>IF(AND(emissions[[#This Row],[Market-based]]=1,OR(emissions[[#This Row],[Impact Type]]="CO2E",emissions[[#This Row],[Impact Type]]="CO2E MKT")),emissions[[#This Row],[kgCO2e]],0)/1000</f>
        <v>8.8292638069999999E-2</v>
      </c>
      <c r="AQ2014" t="str">
        <f>_xlfn.TEXTAFTER(emissions[[#This Row],[Reporting Unit]]," &gt; ",LEN(emissions[[#This Row],[Reporting Unit]])-LEN(SUBSTITUTE(emissions[[#This Row],[Reporting Unit]],"&gt;","")))</f>
        <v>Vantage_Bogotá</v>
      </c>
      <c r="AR2014" t="str">
        <f>_xlfn.XLOOKUP(emissions[[#This Row],[Reporting unit name]],hierarchy!$A:$A,hierarchy!$C:$C)</f>
        <v>Office</v>
      </c>
    </row>
    <row r="2015" spans="1:44" hidden="1" x14ac:dyDescent="0.25">
      <c r="A2015">
        <v>1590446</v>
      </c>
      <c r="B2015" t="s">
        <v>237</v>
      </c>
      <c r="C2015" t="s">
        <v>501</v>
      </c>
      <c r="D2015" t="s">
        <v>548</v>
      </c>
      <c r="E2015" s="3">
        <v>44562</v>
      </c>
      <c r="F2015" s="3">
        <v>44926</v>
      </c>
      <c r="G2015" t="s">
        <v>108</v>
      </c>
      <c r="H2015" s="3">
        <v>44562</v>
      </c>
      <c r="I2015" s="3">
        <v>44926</v>
      </c>
      <c r="J2015" t="s">
        <v>108</v>
      </c>
      <c r="K2015">
        <v>23155.402839999999</v>
      </c>
      <c r="L2015" t="s">
        <v>109</v>
      </c>
      <c r="M2015" t="s">
        <v>82</v>
      </c>
      <c r="N2015" t="s">
        <v>137</v>
      </c>
      <c r="O2015" t="s">
        <v>631</v>
      </c>
      <c r="P2015" t="s">
        <v>631</v>
      </c>
      <c r="Q2015">
        <v>2022</v>
      </c>
      <c r="R2015" t="s">
        <v>575</v>
      </c>
      <c r="S2015" t="s">
        <v>576</v>
      </c>
      <c r="T2015" t="s">
        <v>577</v>
      </c>
      <c r="U2015" t="b">
        <v>0</v>
      </c>
      <c r="V2015" t="s">
        <v>1009</v>
      </c>
      <c r="W2015" t="s">
        <v>571</v>
      </c>
      <c r="X2015" t="s">
        <v>572</v>
      </c>
      <c r="Y2015" t="s">
        <v>472</v>
      </c>
      <c r="Z2015" t="s">
        <v>491</v>
      </c>
      <c r="AA2015" t="s">
        <v>522</v>
      </c>
      <c r="AC2015">
        <v>0</v>
      </c>
      <c r="AD2015" t="s">
        <v>565</v>
      </c>
      <c r="AE2015">
        <v>1131.1267969999999</v>
      </c>
      <c r="AF2015">
        <v>4.8849367999999997E-2</v>
      </c>
      <c r="AG2015" t="s">
        <v>560</v>
      </c>
      <c r="AH2015">
        <v>1</v>
      </c>
      <c r="AI2015">
        <v>23155.402839999999</v>
      </c>
      <c r="AJ2015" t="s">
        <v>561</v>
      </c>
      <c r="AK2015" t="s">
        <v>573</v>
      </c>
      <c r="AL2015" t="s">
        <v>574</v>
      </c>
      <c r="AM2015">
        <v>2022</v>
      </c>
      <c r="AN2015">
        <v>2020</v>
      </c>
      <c r="AO2015">
        <f>IF(AND(emissions[[#This Row],[Market-based]]=0,emissions[[#This Row],[Impact Type]]="CO2E"),emissions[[#This Row],[kgCO2e]],0)/1000</f>
        <v>1.1311267969999999</v>
      </c>
      <c r="AP2015">
        <f>IF(AND(emissions[[#This Row],[Market-based]]=1,OR(emissions[[#This Row],[Impact Type]]="CO2E",emissions[[#This Row],[Impact Type]]="CO2E MKT")),emissions[[#This Row],[kgCO2e]],0)/1000</f>
        <v>0</v>
      </c>
      <c r="AQ2015" t="str">
        <f>_xlfn.TEXTAFTER(emissions[[#This Row],[Reporting Unit]]," &gt; ",LEN(emissions[[#This Row],[Reporting Unit]])-LEN(SUBSTITUTE(emissions[[#This Row],[Reporting Unit]],"&gt;","")))</f>
        <v>Vantage_Bogotá</v>
      </c>
      <c r="AR2015" t="str">
        <f>_xlfn.XLOOKUP(emissions[[#This Row],[Reporting unit name]],hierarchy!$A:$A,hierarchy!$C:$C)</f>
        <v>Office</v>
      </c>
    </row>
    <row r="2016" spans="1:44" hidden="1" x14ac:dyDescent="0.25">
      <c r="A2016">
        <v>1590446</v>
      </c>
      <c r="B2016" t="s">
        <v>237</v>
      </c>
      <c r="C2016" t="s">
        <v>501</v>
      </c>
      <c r="D2016" t="s">
        <v>548</v>
      </c>
      <c r="E2016" s="3">
        <v>44562</v>
      </c>
      <c r="F2016" s="3">
        <v>44926</v>
      </c>
      <c r="G2016" t="s">
        <v>108</v>
      </c>
      <c r="H2016" s="3">
        <v>44562</v>
      </c>
      <c r="I2016" s="3">
        <v>44926</v>
      </c>
      <c r="J2016" t="s">
        <v>108</v>
      </c>
      <c r="K2016">
        <v>23155.402839999999</v>
      </c>
      <c r="L2016" t="s">
        <v>109</v>
      </c>
      <c r="M2016" t="s">
        <v>82</v>
      </c>
      <c r="N2016" t="s">
        <v>137</v>
      </c>
      <c r="O2016" t="s">
        <v>631</v>
      </c>
      <c r="P2016" t="s">
        <v>631</v>
      </c>
      <c r="Q2016">
        <v>2022</v>
      </c>
      <c r="R2016" t="s">
        <v>575</v>
      </c>
      <c r="S2016" t="s">
        <v>576</v>
      </c>
      <c r="T2016" t="s">
        <v>577</v>
      </c>
      <c r="U2016" t="b">
        <v>0</v>
      </c>
      <c r="V2016" t="s">
        <v>1009</v>
      </c>
      <c r="W2016" t="s">
        <v>571</v>
      </c>
      <c r="X2016" t="s">
        <v>572</v>
      </c>
      <c r="Y2016" t="s">
        <v>472</v>
      </c>
      <c r="Z2016" t="s">
        <v>491</v>
      </c>
      <c r="AA2016" t="s">
        <v>522</v>
      </c>
      <c r="AC2016">
        <v>1</v>
      </c>
      <c r="AD2016" t="s">
        <v>565</v>
      </c>
      <c r="AE2016">
        <v>1131.1267969999999</v>
      </c>
      <c r="AF2016">
        <v>4.8849367999999997E-2</v>
      </c>
      <c r="AG2016" t="s">
        <v>560</v>
      </c>
      <c r="AH2016">
        <v>1</v>
      </c>
      <c r="AI2016">
        <v>23155.402839999999</v>
      </c>
      <c r="AJ2016" t="s">
        <v>561</v>
      </c>
      <c r="AK2016" t="s">
        <v>573</v>
      </c>
      <c r="AL2016" t="s">
        <v>574</v>
      </c>
      <c r="AM2016">
        <v>2022</v>
      </c>
      <c r="AN2016">
        <v>2020</v>
      </c>
      <c r="AO2016">
        <f>IF(AND(emissions[[#This Row],[Market-based]]=0,emissions[[#This Row],[Impact Type]]="CO2E"),emissions[[#This Row],[kgCO2e]],0)/1000</f>
        <v>0</v>
      </c>
      <c r="AP2016">
        <f>IF(AND(emissions[[#This Row],[Market-based]]=1,OR(emissions[[#This Row],[Impact Type]]="CO2E",emissions[[#This Row],[Impact Type]]="CO2E MKT")),emissions[[#This Row],[kgCO2e]],0)/1000</f>
        <v>1.1311267969999999</v>
      </c>
      <c r="AQ2016" t="str">
        <f>_xlfn.TEXTAFTER(emissions[[#This Row],[Reporting Unit]]," &gt; ",LEN(emissions[[#This Row],[Reporting Unit]])-LEN(SUBSTITUTE(emissions[[#This Row],[Reporting Unit]],"&gt;","")))</f>
        <v>Vantage_Bogotá</v>
      </c>
      <c r="AR2016" t="str">
        <f>_xlfn.XLOOKUP(emissions[[#This Row],[Reporting unit name]],hierarchy!$A:$A,hierarchy!$C:$C)</f>
        <v>Office</v>
      </c>
    </row>
    <row r="2017" spans="1:44" hidden="1" x14ac:dyDescent="0.25">
      <c r="A2017">
        <v>1590446</v>
      </c>
      <c r="B2017" t="s">
        <v>237</v>
      </c>
      <c r="C2017" t="s">
        <v>501</v>
      </c>
      <c r="D2017" t="s">
        <v>548</v>
      </c>
      <c r="E2017" s="3">
        <v>44562</v>
      </c>
      <c r="F2017" s="3">
        <v>44926</v>
      </c>
      <c r="G2017" t="s">
        <v>108</v>
      </c>
      <c r="H2017" s="3">
        <v>44562</v>
      </c>
      <c r="I2017" s="3">
        <v>44926</v>
      </c>
      <c r="J2017" t="s">
        <v>108</v>
      </c>
      <c r="K2017">
        <v>23155.402839999999</v>
      </c>
      <c r="L2017" t="s">
        <v>109</v>
      </c>
      <c r="M2017" t="s">
        <v>82</v>
      </c>
      <c r="N2017" t="s">
        <v>137</v>
      </c>
      <c r="O2017" t="s">
        <v>631</v>
      </c>
      <c r="P2017" t="s">
        <v>631</v>
      </c>
      <c r="Q2017">
        <v>2022</v>
      </c>
      <c r="R2017" t="s">
        <v>579</v>
      </c>
      <c r="S2017" t="s">
        <v>580</v>
      </c>
      <c r="T2017" t="s">
        <v>581</v>
      </c>
      <c r="U2017" t="b">
        <v>0</v>
      </c>
      <c r="V2017" t="s">
        <v>1010</v>
      </c>
      <c r="W2017" t="s">
        <v>571</v>
      </c>
      <c r="X2017" t="s">
        <v>572</v>
      </c>
      <c r="Y2017" t="s">
        <v>472</v>
      </c>
      <c r="Z2017" t="s">
        <v>491</v>
      </c>
      <c r="AA2017" t="s">
        <v>522</v>
      </c>
      <c r="AC2017">
        <v>0</v>
      </c>
      <c r="AD2017" t="s">
        <v>565</v>
      </c>
      <c r="AE2017">
        <v>416.79725120000001</v>
      </c>
      <c r="AF2017" t="s">
        <v>559</v>
      </c>
      <c r="AG2017" t="s">
        <v>560</v>
      </c>
      <c r="AH2017">
        <v>1</v>
      </c>
      <c r="AI2017">
        <v>23155.402839999999</v>
      </c>
      <c r="AJ2017" t="s">
        <v>561</v>
      </c>
      <c r="AK2017" t="s">
        <v>562</v>
      </c>
      <c r="AL2017" t="s">
        <v>563</v>
      </c>
      <c r="AM2017">
        <v>2022</v>
      </c>
      <c r="AN2017">
        <v>2020</v>
      </c>
      <c r="AO2017">
        <f>IF(AND(emissions[[#This Row],[Market-based]]=0,emissions[[#This Row],[Impact Type]]="CO2E"),emissions[[#This Row],[kgCO2e]],0)/1000</f>
        <v>0.4167972512</v>
      </c>
      <c r="AP2017">
        <f>IF(AND(emissions[[#This Row],[Market-based]]=1,OR(emissions[[#This Row],[Impact Type]]="CO2E",emissions[[#This Row],[Impact Type]]="CO2E MKT")),emissions[[#This Row],[kgCO2e]],0)/1000</f>
        <v>0</v>
      </c>
      <c r="AQ2017" t="str">
        <f>_xlfn.TEXTAFTER(emissions[[#This Row],[Reporting Unit]]," &gt; ",LEN(emissions[[#This Row],[Reporting Unit]])-LEN(SUBSTITUTE(emissions[[#This Row],[Reporting Unit]],"&gt;","")))</f>
        <v>Vantage_Bogotá</v>
      </c>
      <c r="AR2017" t="str">
        <f>_xlfn.XLOOKUP(emissions[[#This Row],[Reporting unit name]],hierarchy!$A:$A,hierarchy!$C:$C)</f>
        <v>Office</v>
      </c>
    </row>
    <row r="2018" spans="1:44" hidden="1" x14ac:dyDescent="0.25">
      <c r="A2018">
        <v>1590446</v>
      </c>
      <c r="B2018" t="s">
        <v>237</v>
      </c>
      <c r="C2018" t="s">
        <v>501</v>
      </c>
      <c r="D2018" t="s">
        <v>548</v>
      </c>
      <c r="E2018" s="3">
        <v>44562</v>
      </c>
      <c r="F2018" s="3">
        <v>44926</v>
      </c>
      <c r="G2018" t="s">
        <v>108</v>
      </c>
      <c r="H2018" s="3">
        <v>44562</v>
      </c>
      <c r="I2018" s="3">
        <v>44926</v>
      </c>
      <c r="J2018" t="s">
        <v>108</v>
      </c>
      <c r="K2018">
        <v>23155.402839999999</v>
      </c>
      <c r="L2018" t="s">
        <v>109</v>
      </c>
      <c r="M2018" t="s">
        <v>82</v>
      </c>
      <c r="N2018" t="s">
        <v>137</v>
      </c>
      <c r="O2018" t="s">
        <v>631</v>
      </c>
      <c r="P2018" t="s">
        <v>631</v>
      </c>
      <c r="Q2018">
        <v>2022</v>
      </c>
      <c r="R2018" t="s">
        <v>579</v>
      </c>
      <c r="S2018" t="s">
        <v>580</v>
      </c>
      <c r="T2018" t="s">
        <v>581</v>
      </c>
      <c r="U2018" t="b">
        <v>0</v>
      </c>
      <c r="V2018" t="s">
        <v>1010</v>
      </c>
      <c r="W2018" t="s">
        <v>571</v>
      </c>
      <c r="X2018" t="s">
        <v>572</v>
      </c>
      <c r="Y2018" t="s">
        <v>472</v>
      </c>
      <c r="Z2018" t="s">
        <v>491</v>
      </c>
      <c r="AA2018" t="s">
        <v>522</v>
      </c>
      <c r="AC2018">
        <v>1</v>
      </c>
      <c r="AD2018" t="s">
        <v>565</v>
      </c>
      <c r="AE2018">
        <v>416.79725120000001</v>
      </c>
      <c r="AF2018" t="s">
        <v>559</v>
      </c>
      <c r="AG2018" t="s">
        <v>560</v>
      </c>
      <c r="AH2018">
        <v>1</v>
      </c>
      <c r="AI2018">
        <v>23155.402839999999</v>
      </c>
      <c r="AJ2018" t="s">
        <v>561</v>
      </c>
      <c r="AK2018" t="s">
        <v>562</v>
      </c>
      <c r="AL2018" t="s">
        <v>563</v>
      </c>
      <c r="AM2018">
        <v>2022</v>
      </c>
      <c r="AN2018">
        <v>2020</v>
      </c>
      <c r="AO2018">
        <f>IF(AND(emissions[[#This Row],[Market-based]]=0,emissions[[#This Row],[Impact Type]]="CO2E"),emissions[[#This Row],[kgCO2e]],0)/1000</f>
        <v>0</v>
      </c>
      <c r="AP2018">
        <f>IF(AND(emissions[[#This Row],[Market-based]]=1,OR(emissions[[#This Row],[Impact Type]]="CO2E",emissions[[#This Row],[Impact Type]]="CO2E MKT")),emissions[[#This Row],[kgCO2e]],0)/1000</f>
        <v>0.4167972512</v>
      </c>
      <c r="AQ2018" t="str">
        <f>_xlfn.TEXTAFTER(emissions[[#This Row],[Reporting Unit]]," &gt; ",LEN(emissions[[#This Row],[Reporting Unit]])-LEN(SUBSTITUTE(emissions[[#This Row],[Reporting Unit]],"&gt;","")))</f>
        <v>Vantage_Bogotá</v>
      </c>
      <c r="AR2018" t="str">
        <f>_xlfn.XLOOKUP(emissions[[#This Row],[Reporting unit name]],hierarchy!$A:$A,hierarchy!$C:$C)</f>
        <v>Office</v>
      </c>
    </row>
    <row r="2019" spans="1:44" hidden="1" x14ac:dyDescent="0.25">
      <c r="A2019">
        <v>237678</v>
      </c>
      <c r="B2019" t="s">
        <v>237</v>
      </c>
      <c r="C2019" t="s">
        <v>501</v>
      </c>
      <c r="D2019" t="s">
        <v>548</v>
      </c>
      <c r="E2019" s="3">
        <v>44562</v>
      </c>
      <c r="F2019" s="3">
        <v>44926</v>
      </c>
      <c r="G2019" t="s">
        <v>135</v>
      </c>
      <c r="H2019" s="3">
        <v>44562</v>
      </c>
      <c r="I2019" s="3">
        <v>44926</v>
      </c>
      <c r="J2019" t="s">
        <v>135</v>
      </c>
      <c r="K2019">
        <v>0</v>
      </c>
      <c r="L2019" t="s">
        <v>207</v>
      </c>
      <c r="M2019" t="s">
        <v>110</v>
      </c>
      <c r="O2019" t="s">
        <v>1011</v>
      </c>
      <c r="P2019" t="s">
        <v>550</v>
      </c>
      <c r="Q2019">
        <v>2022</v>
      </c>
      <c r="R2019" t="s">
        <v>605</v>
      </c>
      <c r="S2019" t="s">
        <v>606</v>
      </c>
      <c r="T2019" t="s">
        <v>553</v>
      </c>
      <c r="U2019" t="b">
        <v>0</v>
      </c>
      <c r="V2019" t="s">
        <v>781</v>
      </c>
      <c r="W2019" t="s">
        <v>587</v>
      </c>
      <c r="X2019" t="s">
        <v>556</v>
      </c>
      <c r="Y2019" t="s">
        <v>472</v>
      </c>
      <c r="AC2019">
        <v>0</v>
      </c>
      <c r="AD2019" t="s">
        <v>558</v>
      </c>
      <c r="AE2019">
        <v>0</v>
      </c>
      <c r="AF2019">
        <v>2.5000000000000001E-2</v>
      </c>
      <c r="AG2019" t="s">
        <v>798</v>
      </c>
      <c r="AH2019">
        <v>0.94781711999999996</v>
      </c>
      <c r="AI2019">
        <v>0</v>
      </c>
      <c r="AJ2019" t="s">
        <v>561</v>
      </c>
      <c r="AK2019" t="s">
        <v>766</v>
      </c>
      <c r="AL2019" t="s">
        <v>787</v>
      </c>
      <c r="AM2019">
        <v>2022</v>
      </c>
      <c r="AN2019">
        <v>2021</v>
      </c>
      <c r="AO2019">
        <f>IF(AND(emissions[[#This Row],[Market-based]]=0,emissions[[#This Row],[Impact Type]]="CO2E"),emissions[[#This Row],[kgCO2e]],0)/1000</f>
        <v>0</v>
      </c>
      <c r="AP2019">
        <f>IF(AND(emissions[[#This Row],[Market-based]]=1,OR(emissions[[#This Row],[Impact Type]]="CO2E",emissions[[#This Row],[Impact Type]]="CO2E MKT")),emissions[[#This Row],[kgCO2e]],0)/1000</f>
        <v>0</v>
      </c>
      <c r="AQ2019" t="str">
        <f>_xlfn.TEXTAFTER(emissions[[#This Row],[Reporting Unit]]," &gt; ",LEN(emissions[[#This Row],[Reporting Unit]])-LEN(SUBSTITUTE(emissions[[#This Row],[Reporting Unit]],"&gt;","")))</f>
        <v>Vantage_Bogotá</v>
      </c>
      <c r="AR2019" t="str">
        <f>_xlfn.XLOOKUP(emissions[[#This Row],[Reporting unit name]],hierarchy!$A:$A,hierarchy!$C:$C)</f>
        <v>Office</v>
      </c>
    </row>
    <row r="2020" spans="1:44" hidden="1" x14ac:dyDescent="0.25">
      <c r="A2020">
        <v>237678</v>
      </c>
      <c r="B2020" t="s">
        <v>237</v>
      </c>
      <c r="C2020" t="s">
        <v>501</v>
      </c>
      <c r="D2020" t="s">
        <v>548</v>
      </c>
      <c r="E2020" s="3">
        <v>44562</v>
      </c>
      <c r="F2020" s="3">
        <v>44926</v>
      </c>
      <c r="G2020" t="s">
        <v>135</v>
      </c>
      <c r="H2020" s="3">
        <v>44562</v>
      </c>
      <c r="I2020" s="3">
        <v>44926</v>
      </c>
      <c r="J2020" t="s">
        <v>135</v>
      </c>
      <c r="K2020">
        <v>0</v>
      </c>
      <c r="L2020" t="s">
        <v>207</v>
      </c>
      <c r="M2020" t="s">
        <v>110</v>
      </c>
      <c r="O2020" t="s">
        <v>1011</v>
      </c>
      <c r="P2020" t="s">
        <v>550</v>
      </c>
      <c r="Q2020">
        <v>2022</v>
      </c>
      <c r="R2020" t="s">
        <v>605</v>
      </c>
      <c r="S2020" t="s">
        <v>606</v>
      </c>
      <c r="T2020" t="s">
        <v>553</v>
      </c>
      <c r="U2020" t="b">
        <v>0</v>
      </c>
      <c r="V2020" t="s">
        <v>781</v>
      </c>
      <c r="W2020" t="s">
        <v>587</v>
      </c>
      <c r="X2020" t="s">
        <v>556</v>
      </c>
      <c r="Y2020" t="s">
        <v>472</v>
      </c>
      <c r="AC2020">
        <v>0</v>
      </c>
      <c r="AD2020" t="s">
        <v>564</v>
      </c>
      <c r="AE2020">
        <v>0</v>
      </c>
      <c r="AF2020">
        <v>53.06</v>
      </c>
      <c r="AG2020" t="s">
        <v>798</v>
      </c>
      <c r="AH2020">
        <v>0.94781711999999996</v>
      </c>
      <c r="AI2020">
        <v>0</v>
      </c>
      <c r="AJ2020" t="s">
        <v>561</v>
      </c>
      <c r="AK2020" t="s">
        <v>766</v>
      </c>
      <c r="AL2020" t="s">
        <v>767</v>
      </c>
      <c r="AM2020">
        <v>2022</v>
      </c>
      <c r="AN2020">
        <v>2022</v>
      </c>
      <c r="AO2020">
        <f>IF(AND(emissions[[#This Row],[Market-based]]=0,emissions[[#This Row],[Impact Type]]="CO2E"),emissions[[#This Row],[kgCO2e]],0)/1000</f>
        <v>0</v>
      </c>
      <c r="AP2020">
        <f>IF(AND(emissions[[#This Row],[Market-based]]=1,OR(emissions[[#This Row],[Impact Type]]="CO2E",emissions[[#This Row],[Impact Type]]="CO2E MKT")),emissions[[#This Row],[kgCO2e]],0)/1000</f>
        <v>0</v>
      </c>
      <c r="AQ2020" t="str">
        <f>_xlfn.TEXTAFTER(emissions[[#This Row],[Reporting Unit]]," &gt; ",LEN(emissions[[#This Row],[Reporting Unit]])-LEN(SUBSTITUTE(emissions[[#This Row],[Reporting Unit]],"&gt;","")))</f>
        <v>Vantage_Bogotá</v>
      </c>
      <c r="AR2020" t="str">
        <f>_xlfn.XLOOKUP(emissions[[#This Row],[Reporting unit name]],hierarchy!$A:$A,hierarchy!$C:$C)</f>
        <v>Office</v>
      </c>
    </row>
    <row r="2021" spans="1:44" hidden="1" x14ac:dyDescent="0.25">
      <c r="A2021">
        <v>237678</v>
      </c>
      <c r="B2021" t="s">
        <v>237</v>
      </c>
      <c r="C2021" t="s">
        <v>501</v>
      </c>
      <c r="D2021" t="s">
        <v>548</v>
      </c>
      <c r="E2021" s="3">
        <v>44562</v>
      </c>
      <c r="F2021" s="3">
        <v>44926</v>
      </c>
      <c r="G2021" t="s">
        <v>135</v>
      </c>
      <c r="H2021" s="3">
        <v>44562</v>
      </c>
      <c r="I2021" s="3">
        <v>44926</v>
      </c>
      <c r="J2021" t="s">
        <v>135</v>
      </c>
      <c r="K2021">
        <v>0</v>
      </c>
      <c r="L2021" t="s">
        <v>207</v>
      </c>
      <c r="M2021" t="s">
        <v>110</v>
      </c>
      <c r="O2021" t="s">
        <v>1011</v>
      </c>
      <c r="P2021" t="s">
        <v>550</v>
      </c>
      <c r="Q2021">
        <v>2022</v>
      </c>
      <c r="R2021" t="s">
        <v>605</v>
      </c>
      <c r="S2021" t="s">
        <v>606</v>
      </c>
      <c r="T2021" t="s">
        <v>553</v>
      </c>
      <c r="U2021" t="b">
        <v>0</v>
      </c>
      <c r="V2021" t="s">
        <v>781</v>
      </c>
      <c r="W2021" t="s">
        <v>587</v>
      </c>
      <c r="X2021" t="s">
        <v>556</v>
      </c>
      <c r="Y2021" t="s">
        <v>472</v>
      </c>
      <c r="AC2021">
        <v>0</v>
      </c>
      <c r="AD2021" t="s">
        <v>565</v>
      </c>
      <c r="AE2021">
        <v>0</v>
      </c>
      <c r="AF2021">
        <v>53.114800000000002</v>
      </c>
      <c r="AG2021" t="s">
        <v>798</v>
      </c>
      <c r="AH2021">
        <v>0.94781711999999996</v>
      </c>
      <c r="AI2021">
        <v>0</v>
      </c>
      <c r="AJ2021" t="s">
        <v>561</v>
      </c>
      <c r="AK2021" t="s">
        <v>766</v>
      </c>
      <c r="AL2021" t="s">
        <v>787</v>
      </c>
      <c r="AM2021">
        <v>2022</v>
      </c>
      <c r="AN2021">
        <v>2021</v>
      </c>
      <c r="AO2021">
        <f>IF(AND(emissions[[#This Row],[Market-based]]=0,emissions[[#This Row],[Impact Type]]="CO2E"),emissions[[#This Row],[kgCO2e]],0)/1000</f>
        <v>0</v>
      </c>
      <c r="AP2021">
        <f>IF(AND(emissions[[#This Row],[Market-based]]=1,OR(emissions[[#This Row],[Impact Type]]="CO2E",emissions[[#This Row],[Impact Type]]="CO2E MKT")),emissions[[#This Row],[kgCO2e]],0)/1000</f>
        <v>0</v>
      </c>
      <c r="AQ2021" t="str">
        <f>_xlfn.TEXTAFTER(emissions[[#This Row],[Reporting Unit]]," &gt; ",LEN(emissions[[#This Row],[Reporting Unit]])-LEN(SUBSTITUTE(emissions[[#This Row],[Reporting Unit]],"&gt;","")))</f>
        <v>Vantage_Bogotá</v>
      </c>
      <c r="AR2021" t="str">
        <f>_xlfn.XLOOKUP(emissions[[#This Row],[Reporting unit name]],hierarchy!$A:$A,hierarchy!$C:$C)</f>
        <v>Office</v>
      </c>
    </row>
    <row r="2022" spans="1:44" hidden="1" x14ac:dyDescent="0.25">
      <c r="A2022">
        <v>237678</v>
      </c>
      <c r="B2022" t="s">
        <v>237</v>
      </c>
      <c r="C2022" t="s">
        <v>501</v>
      </c>
      <c r="D2022" t="s">
        <v>548</v>
      </c>
      <c r="E2022" s="3">
        <v>44562</v>
      </c>
      <c r="F2022" s="3">
        <v>44926</v>
      </c>
      <c r="G2022" t="s">
        <v>135</v>
      </c>
      <c r="H2022" s="3">
        <v>44562</v>
      </c>
      <c r="I2022" s="3">
        <v>44926</v>
      </c>
      <c r="J2022" t="s">
        <v>135</v>
      </c>
      <c r="K2022">
        <v>0</v>
      </c>
      <c r="L2022" t="s">
        <v>207</v>
      </c>
      <c r="M2022" t="s">
        <v>110</v>
      </c>
      <c r="O2022" t="s">
        <v>1011</v>
      </c>
      <c r="P2022" t="s">
        <v>550</v>
      </c>
      <c r="Q2022">
        <v>2022</v>
      </c>
      <c r="R2022" t="s">
        <v>605</v>
      </c>
      <c r="S2022" t="s">
        <v>606</v>
      </c>
      <c r="T2022" t="s">
        <v>553</v>
      </c>
      <c r="U2022" t="b">
        <v>0</v>
      </c>
      <c r="V2022" t="s">
        <v>781</v>
      </c>
      <c r="W2022" t="s">
        <v>587</v>
      </c>
      <c r="X2022" t="s">
        <v>556</v>
      </c>
      <c r="Y2022" t="s">
        <v>472</v>
      </c>
      <c r="AC2022">
        <v>0</v>
      </c>
      <c r="AD2022" t="s">
        <v>566</v>
      </c>
      <c r="AE2022">
        <v>0</v>
      </c>
      <c r="AF2022">
        <v>2.98E-2</v>
      </c>
      <c r="AG2022" t="s">
        <v>798</v>
      </c>
      <c r="AH2022">
        <v>0.94781711999999996</v>
      </c>
      <c r="AI2022">
        <v>0</v>
      </c>
      <c r="AJ2022" t="s">
        <v>561</v>
      </c>
      <c r="AK2022" t="s">
        <v>766</v>
      </c>
      <c r="AL2022" t="s">
        <v>767</v>
      </c>
      <c r="AM2022">
        <v>2022</v>
      </c>
      <c r="AN2022">
        <v>2022</v>
      </c>
      <c r="AO2022">
        <f>IF(AND(emissions[[#This Row],[Market-based]]=0,emissions[[#This Row],[Impact Type]]="CO2E"),emissions[[#This Row],[kgCO2e]],0)/1000</f>
        <v>0</v>
      </c>
      <c r="AP2022">
        <f>IF(AND(emissions[[#This Row],[Market-based]]=1,OR(emissions[[#This Row],[Impact Type]]="CO2E",emissions[[#This Row],[Impact Type]]="CO2E MKT")),emissions[[#This Row],[kgCO2e]],0)/1000</f>
        <v>0</v>
      </c>
      <c r="AQ2022" t="str">
        <f>_xlfn.TEXTAFTER(emissions[[#This Row],[Reporting Unit]]," &gt; ",LEN(emissions[[#This Row],[Reporting Unit]])-LEN(SUBSTITUTE(emissions[[#This Row],[Reporting Unit]],"&gt;","")))</f>
        <v>Vantage_Bogotá</v>
      </c>
      <c r="AR2022" t="str">
        <f>_xlfn.XLOOKUP(emissions[[#This Row],[Reporting unit name]],hierarchy!$A:$A,hierarchy!$C:$C)</f>
        <v>Office</v>
      </c>
    </row>
    <row r="2023" spans="1:44" hidden="1" x14ac:dyDescent="0.25">
      <c r="A2023">
        <v>237678</v>
      </c>
      <c r="B2023" t="s">
        <v>237</v>
      </c>
      <c r="C2023" t="s">
        <v>501</v>
      </c>
      <c r="D2023" t="s">
        <v>548</v>
      </c>
      <c r="E2023" s="3">
        <v>44562</v>
      </c>
      <c r="F2023" s="3">
        <v>44926</v>
      </c>
      <c r="G2023" t="s">
        <v>135</v>
      </c>
      <c r="H2023" s="3">
        <v>44562</v>
      </c>
      <c r="I2023" s="3">
        <v>44926</v>
      </c>
      <c r="J2023" t="s">
        <v>135</v>
      </c>
      <c r="K2023">
        <v>0</v>
      </c>
      <c r="L2023" t="s">
        <v>207</v>
      </c>
      <c r="M2023" t="s">
        <v>110</v>
      </c>
      <c r="O2023" t="s">
        <v>1011</v>
      </c>
      <c r="P2023" t="s">
        <v>550</v>
      </c>
      <c r="Q2023">
        <v>2022</v>
      </c>
      <c r="R2023" t="s">
        <v>605</v>
      </c>
      <c r="S2023" t="s">
        <v>606</v>
      </c>
      <c r="T2023" t="s">
        <v>553</v>
      </c>
      <c r="U2023" t="b">
        <v>0</v>
      </c>
      <c r="V2023" t="s">
        <v>781</v>
      </c>
      <c r="W2023" t="s">
        <v>587</v>
      </c>
      <c r="X2023" t="s">
        <v>556</v>
      </c>
      <c r="Y2023" t="s">
        <v>472</v>
      </c>
      <c r="AC2023">
        <v>1</v>
      </c>
      <c r="AD2023" t="s">
        <v>558</v>
      </c>
      <c r="AE2023">
        <v>0</v>
      </c>
      <c r="AF2023">
        <v>2.5000000000000001E-2</v>
      </c>
      <c r="AG2023" t="s">
        <v>798</v>
      </c>
      <c r="AH2023">
        <v>0.94781711999999996</v>
      </c>
      <c r="AI2023">
        <v>0</v>
      </c>
      <c r="AJ2023" t="s">
        <v>561</v>
      </c>
      <c r="AK2023" t="s">
        <v>766</v>
      </c>
      <c r="AL2023" t="s">
        <v>787</v>
      </c>
      <c r="AM2023">
        <v>2022</v>
      </c>
      <c r="AN2023">
        <v>2021</v>
      </c>
      <c r="AO2023">
        <f>IF(AND(emissions[[#This Row],[Market-based]]=0,emissions[[#This Row],[Impact Type]]="CO2E"),emissions[[#This Row],[kgCO2e]],0)/1000</f>
        <v>0</v>
      </c>
      <c r="AP2023">
        <f>IF(AND(emissions[[#This Row],[Market-based]]=1,OR(emissions[[#This Row],[Impact Type]]="CO2E",emissions[[#This Row],[Impact Type]]="CO2E MKT")),emissions[[#This Row],[kgCO2e]],0)/1000</f>
        <v>0</v>
      </c>
      <c r="AQ2023" t="str">
        <f>_xlfn.TEXTAFTER(emissions[[#This Row],[Reporting Unit]]," &gt; ",LEN(emissions[[#This Row],[Reporting Unit]])-LEN(SUBSTITUTE(emissions[[#This Row],[Reporting Unit]],"&gt;","")))</f>
        <v>Vantage_Bogotá</v>
      </c>
      <c r="AR2023" t="str">
        <f>_xlfn.XLOOKUP(emissions[[#This Row],[Reporting unit name]],hierarchy!$A:$A,hierarchy!$C:$C)</f>
        <v>Office</v>
      </c>
    </row>
    <row r="2024" spans="1:44" hidden="1" x14ac:dyDescent="0.25">
      <c r="A2024">
        <v>237678</v>
      </c>
      <c r="B2024" t="s">
        <v>237</v>
      </c>
      <c r="C2024" t="s">
        <v>501</v>
      </c>
      <c r="D2024" t="s">
        <v>548</v>
      </c>
      <c r="E2024" s="3">
        <v>44562</v>
      </c>
      <c r="F2024" s="3">
        <v>44926</v>
      </c>
      <c r="G2024" t="s">
        <v>135</v>
      </c>
      <c r="H2024" s="3">
        <v>44562</v>
      </c>
      <c r="I2024" s="3">
        <v>44926</v>
      </c>
      <c r="J2024" t="s">
        <v>135</v>
      </c>
      <c r="K2024">
        <v>0</v>
      </c>
      <c r="L2024" t="s">
        <v>207</v>
      </c>
      <c r="M2024" t="s">
        <v>110</v>
      </c>
      <c r="O2024" t="s">
        <v>1011</v>
      </c>
      <c r="P2024" t="s">
        <v>550</v>
      </c>
      <c r="Q2024">
        <v>2022</v>
      </c>
      <c r="R2024" t="s">
        <v>605</v>
      </c>
      <c r="S2024" t="s">
        <v>606</v>
      </c>
      <c r="T2024" t="s">
        <v>553</v>
      </c>
      <c r="U2024" t="b">
        <v>0</v>
      </c>
      <c r="V2024" t="s">
        <v>781</v>
      </c>
      <c r="W2024" t="s">
        <v>587</v>
      </c>
      <c r="X2024" t="s">
        <v>556</v>
      </c>
      <c r="Y2024" t="s">
        <v>472</v>
      </c>
      <c r="AC2024">
        <v>1</v>
      </c>
      <c r="AD2024" t="s">
        <v>564</v>
      </c>
      <c r="AE2024">
        <v>0</v>
      </c>
      <c r="AF2024">
        <v>53.06</v>
      </c>
      <c r="AG2024" t="s">
        <v>798</v>
      </c>
      <c r="AH2024">
        <v>0.94781711999999996</v>
      </c>
      <c r="AI2024">
        <v>0</v>
      </c>
      <c r="AJ2024" t="s">
        <v>561</v>
      </c>
      <c r="AK2024" t="s">
        <v>766</v>
      </c>
      <c r="AL2024" t="s">
        <v>767</v>
      </c>
      <c r="AM2024">
        <v>2022</v>
      </c>
      <c r="AN2024">
        <v>2022</v>
      </c>
      <c r="AO2024">
        <f>IF(AND(emissions[[#This Row],[Market-based]]=0,emissions[[#This Row],[Impact Type]]="CO2E"),emissions[[#This Row],[kgCO2e]],0)/1000</f>
        <v>0</v>
      </c>
      <c r="AP2024">
        <f>IF(AND(emissions[[#This Row],[Market-based]]=1,OR(emissions[[#This Row],[Impact Type]]="CO2E",emissions[[#This Row],[Impact Type]]="CO2E MKT")),emissions[[#This Row],[kgCO2e]],0)/1000</f>
        <v>0</v>
      </c>
      <c r="AQ2024" t="str">
        <f>_xlfn.TEXTAFTER(emissions[[#This Row],[Reporting Unit]]," &gt; ",LEN(emissions[[#This Row],[Reporting Unit]])-LEN(SUBSTITUTE(emissions[[#This Row],[Reporting Unit]],"&gt;","")))</f>
        <v>Vantage_Bogotá</v>
      </c>
      <c r="AR2024" t="str">
        <f>_xlfn.XLOOKUP(emissions[[#This Row],[Reporting unit name]],hierarchy!$A:$A,hierarchy!$C:$C)</f>
        <v>Office</v>
      </c>
    </row>
    <row r="2025" spans="1:44" hidden="1" x14ac:dyDescent="0.25">
      <c r="A2025">
        <v>237678</v>
      </c>
      <c r="B2025" t="s">
        <v>237</v>
      </c>
      <c r="C2025" t="s">
        <v>501</v>
      </c>
      <c r="D2025" t="s">
        <v>548</v>
      </c>
      <c r="E2025" s="3">
        <v>44562</v>
      </c>
      <c r="F2025" s="3">
        <v>44926</v>
      </c>
      <c r="G2025" t="s">
        <v>135</v>
      </c>
      <c r="H2025" s="3">
        <v>44562</v>
      </c>
      <c r="I2025" s="3">
        <v>44926</v>
      </c>
      <c r="J2025" t="s">
        <v>135</v>
      </c>
      <c r="K2025">
        <v>0</v>
      </c>
      <c r="L2025" t="s">
        <v>207</v>
      </c>
      <c r="M2025" t="s">
        <v>110</v>
      </c>
      <c r="O2025" t="s">
        <v>1011</v>
      </c>
      <c r="P2025" t="s">
        <v>550</v>
      </c>
      <c r="Q2025">
        <v>2022</v>
      </c>
      <c r="R2025" t="s">
        <v>605</v>
      </c>
      <c r="S2025" t="s">
        <v>606</v>
      </c>
      <c r="T2025" t="s">
        <v>553</v>
      </c>
      <c r="U2025" t="b">
        <v>0</v>
      </c>
      <c r="V2025" t="s">
        <v>781</v>
      </c>
      <c r="W2025" t="s">
        <v>587</v>
      </c>
      <c r="X2025" t="s">
        <v>556</v>
      </c>
      <c r="Y2025" t="s">
        <v>472</v>
      </c>
      <c r="AC2025">
        <v>1</v>
      </c>
      <c r="AD2025" t="s">
        <v>565</v>
      </c>
      <c r="AE2025">
        <v>0</v>
      </c>
      <c r="AF2025">
        <v>53.114800000000002</v>
      </c>
      <c r="AG2025" t="s">
        <v>798</v>
      </c>
      <c r="AH2025">
        <v>0.94781711999999996</v>
      </c>
      <c r="AI2025">
        <v>0</v>
      </c>
      <c r="AJ2025" t="s">
        <v>561</v>
      </c>
      <c r="AK2025" t="s">
        <v>766</v>
      </c>
      <c r="AL2025" t="s">
        <v>787</v>
      </c>
      <c r="AM2025">
        <v>2022</v>
      </c>
      <c r="AN2025">
        <v>2021</v>
      </c>
      <c r="AO2025">
        <f>IF(AND(emissions[[#This Row],[Market-based]]=0,emissions[[#This Row],[Impact Type]]="CO2E"),emissions[[#This Row],[kgCO2e]],0)/1000</f>
        <v>0</v>
      </c>
      <c r="AP2025">
        <f>IF(AND(emissions[[#This Row],[Market-based]]=1,OR(emissions[[#This Row],[Impact Type]]="CO2E",emissions[[#This Row],[Impact Type]]="CO2E MKT")),emissions[[#This Row],[kgCO2e]],0)/1000</f>
        <v>0</v>
      </c>
      <c r="AQ2025" t="str">
        <f>_xlfn.TEXTAFTER(emissions[[#This Row],[Reporting Unit]]," &gt; ",LEN(emissions[[#This Row],[Reporting Unit]])-LEN(SUBSTITUTE(emissions[[#This Row],[Reporting Unit]],"&gt;","")))</f>
        <v>Vantage_Bogotá</v>
      </c>
      <c r="AR2025" t="str">
        <f>_xlfn.XLOOKUP(emissions[[#This Row],[Reporting unit name]],hierarchy!$A:$A,hierarchy!$C:$C)</f>
        <v>Office</v>
      </c>
    </row>
    <row r="2026" spans="1:44" hidden="1" x14ac:dyDescent="0.25">
      <c r="A2026">
        <v>237678</v>
      </c>
      <c r="B2026" t="s">
        <v>237</v>
      </c>
      <c r="C2026" t="s">
        <v>501</v>
      </c>
      <c r="D2026" t="s">
        <v>548</v>
      </c>
      <c r="E2026" s="3">
        <v>44562</v>
      </c>
      <c r="F2026" s="3">
        <v>44926</v>
      </c>
      <c r="G2026" t="s">
        <v>135</v>
      </c>
      <c r="H2026" s="3">
        <v>44562</v>
      </c>
      <c r="I2026" s="3">
        <v>44926</v>
      </c>
      <c r="J2026" t="s">
        <v>135</v>
      </c>
      <c r="K2026">
        <v>0</v>
      </c>
      <c r="L2026" t="s">
        <v>207</v>
      </c>
      <c r="M2026" t="s">
        <v>110</v>
      </c>
      <c r="O2026" t="s">
        <v>1011</v>
      </c>
      <c r="P2026" t="s">
        <v>550</v>
      </c>
      <c r="Q2026">
        <v>2022</v>
      </c>
      <c r="R2026" t="s">
        <v>605</v>
      </c>
      <c r="S2026" t="s">
        <v>606</v>
      </c>
      <c r="T2026" t="s">
        <v>553</v>
      </c>
      <c r="U2026" t="b">
        <v>0</v>
      </c>
      <c r="V2026" t="s">
        <v>781</v>
      </c>
      <c r="W2026" t="s">
        <v>587</v>
      </c>
      <c r="X2026" t="s">
        <v>556</v>
      </c>
      <c r="Y2026" t="s">
        <v>472</v>
      </c>
      <c r="AC2026">
        <v>1</v>
      </c>
      <c r="AD2026" t="s">
        <v>566</v>
      </c>
      <c r="AE2026">
        <v>0</v>
      </c>
      <c r="AF2026">
        <v>2.98E-2</v>
      </c>
      <c r="AG2026" t="s">
        <v>798</v>
      </c>
      <c r="AH2026">
        <v>0.94781711999999996</v>
      </c>
      <c r="AI2026">
        <v>0</v>
      </c>
      <c r="AJ2026" t="s">
        <v>561</v>
      </c>
      <c r="AK2026" t="s">
        <v>766</v>
      </c>
      <c r="AL2026" t="s">
        <v>767</v>
      </c>
      <c r="AM2026">
        <v>2022</v>
      </c>
      <c r="AN2026">
        <v>2022</v>
      </c>
      <c r="AO2026">
        <f>IF(AND(emissions[[#This Row],[Market-based]]=0,emissions[[#This Row],[Impact Type]]="CO2E"),emissions[[#This Row],[kgCO2e]],0)/1000</f>
        <v>0</v>
      </c>
      <c r="AP2026">
        <f>IF(AND(emissions[[#This Row],[Market-based]]=1,OR(emissions[[#This Row],[Impact Type]]="CO2E",emissions[[#This Row],[Impact Type]]="CO2E MKT")),emissions[[#This Row],[kgCO2e]],0)/1000</f>
        <v>0</v>
      </c>
      <c r="AQ2026" t="str">
        <f>_xlfn.TEXTAFTER(emissions[[#This Row],[Reporting Unit]]," &gt; ",LEN(emissions[[#This Row],[Reporting Unit]])-LEN(SUBSTITUTE(emissions[[#This Row],[Reporting Unit]],"&gt;","")))</f>
        <v>Vantage_Bogotá</v>
      </c>
      <c r="AR2026" t="str">
        <f>_xlfn.XLOOKUP(emissions[[#This Row],[Reporting unit name]],hierarchy!$A:$A,hierarchy!$C:$C)</f>
        <v>Office</v>
      </c>
    </row>
    <row r="2027" spans="1:44" hidden="1" x14ac:dyDescent="0.25">
      <c r="A2027">
        <v>237678</v>
      </c>
      <c r="B2027" t="s">
        <v>237</v>
      </c>
      <c r="C2027" t="s">
        <v>501</v>
      </c>
      <c r="D2027" t="s">
        <v>548</v>
      </c>
      <c r="E2027" s="3">
        <v>44562</v>
      </c>
      <c r="F2027" s="3">
        <v>44926</v>
      </c>
      <c r="G2027" t="s">
        <v>135</v>
      </c>
      <c r="H2027" s="3">
        <v>44562</v>
      </c>
      <c r="I2027" s="3">
        <v>44926</v>
      </c>
      <c r="J2027" t="s">
        <v>135</v>
      </c>
      <c r="K2027">
        <v>0</v>
      </c>
      <c r="L2027" t="s">
        <v>207</v>
      </c>
      <c r="M2027" t="s">
        <v>110</v>
      </c>
      <c r="O2027" t="s">
        <v>1011</v>
      </c>
      <c r="P2027" t="s">
        <v>550</v>
      </c>
      <c r="Q2027">
        <v>2022</v>
      </c>
      <c r="R2027" t="s">
        <v>609</v>
      </c>
      <c r="S2027" t="s">
        <v>610</v>
      </c>
      <c r="T2027" t="s">
        <v>577</v>
      </c>
      <c r="U2027" t="b">
        <v>0</v>
      </c>
      <c r="V2027" t="s">
        <v>632</v>
      </c>
      <c r="W2027" t="s">
        <v>571</v>
      </c>
      <c r="X2027" t="s">
        <v>572</v>
      </c>
      <c r="AC2027">
        <v>0</v>
      </c>
      <c r="AD2027" t="s">
        <v>565</v>
      </c>
      <c r="AE2027">
        <v>0</v>
      </c>
      <c r="AF2027">
        <v>3.1099999999999999E-2</v>
      </c>
      <c r="AG2027" t="s">
        <v>608</v>
      </c>
      <c r="AH2027">
        <v>277.77777780000002</v>
      </c>
      <c r="AI2027">
        <v>0</v>
      </c>
      <c r="AJ2027" t="s">
        <v>561</v>
      </c>
      <c r="AK2027" t="s">
        <v>589</v>
      </c>
      <c r="AL2027" t="s">
        <v>590</v>
      </c>
      <c r="AM2027">
        <v>2022</v>
      </c>
      <c r="AN2027">
        <v>2020</v>
      </c>
      <c r="AO2027">
        <f>IF(AND(emissions[[#This Row],[Market-based]]=0,emissions[[#This Row],[Impact Type]]="CO2E"),emissions[[#This Row],[kgCO2e]],0)/1000</f>
        <v>0</v>
      </c>
      <c r="AP2027">
        <f>IF(AND(emissions[[#This Row],[Market-based]]=1,OR(emissions[[#This Row],[Impact Type]]="CO2E",emissions[[#This Row],[Impact Type]]="CO2E MKT")),emissions[[#This Row],[kgCO2e]],0)/1000</f>
        <v>0</v>
      </c>
      <c r="AQ2027" t="str">
        <f>_xlfn.TEXTAFTER(emissions[[#This Row],[Reporting Unit]]," &gt; ",LEN(emissions[[#This Row],[Reporting Unit]])-LEN(SUBSTITUTE(emissions[[#This Row],[Reporting Unit]],"&gt;","")))</f>
        <v>Vantage_Bogotá</v>
      </c>
      <c r="AR2027" t="str">
        <f>_xlfn.XLOOKUP(emissions[[#This Row],[Reporting unit name]],hierarchy!$A:$A,hierarchy!$C:$C)</f>
        <v>Office</v>
      </c>
    </row>
    <row r="2028" spans="1:44" hidden="1" x14ac:dyDescent="0.25">
      <c r="A2028">
        <v>237678</v>
      </c>
      <c r="B2028" t="s">
        <v>237</v>
      </c>
      <c r="C2028" t="s">
        <v>501</v>
      </c>
      <c r="D2028" t="s">
        <v>548</v>
      </c>
      <c r="E2028" s="3">
        <v>44562</v>
      </c>
      <c r="F2028" s="3">
        <v>44926</v>
      </c>
      <c r="G2028" t="s">
        <v>135</v>
      </c>
      <c r="H2028" s="3">
        <v>44562</v>
      </c>
      <c r="I2028" s="3">
        <v>44926</v>
      </c>
      <c r="J2028" t="s">
        <v>135</v>
      </c>
      <c r="K2028">
        <v>0</v>
      </c>
      <c r="L2028" t="s">
        <v>207</v>
      </c>
      <c r="M2028" t="s">
        <v>110</v>
      </c>
      <c r="O2028" t="s">
        <v>1011</v>
      </c>
      <c r="P2028" t="s">
        <v>550</v>
      </c>
      <c r="Q2028">
        <v>2022</v>
      </c>
      <c r="R2028" t="s">
        <v>609</v>
      </c>
      <c r="S2028" t="s">
        <v>610</v>
      </c>
      <c r="T2028" t="s">
        <v>577</v>
      </c>
      <c r="U2028" t="b">
        <v>0</v>
      </c>
      <c r="V2028" t="s">
        <v>632</v>
      </c>
      <c r="W2028" t="s">
        <v>571</v>
      </c>
      <c r="X2028" t="s">
        <v>572</v>
      </c>
      <c r="AC2028">
        <v>1</v>
      </c>
      <c r="AD2028" t="s">
        <v>565</v>
      </c>
      <c r="AE2028">
        <v>0</v>
      </c>
      <c r="AF2028">
        <v>3.1099999999999999E-2</v>
      </c>
      <c r="AG2028" t="s">
        <v>608</v>
      </c>
      <c r="AH2028">
        <v>277.77777780000002</v>
      </c>
      <c r="AI2028">
        <v>0</v>
      </c>
      <c r="AJ2028" t="s">
        <v>561</v>
      </c>
      <c r="AK2028" t="s">
        <v>589</v>
      </c>
      <c r="AL2028" t="s">
        <v>590</v>
      </c>
      <c r="AM2028">
        <v>2022</v>
      </c>
      <c r="AN2028">
        <v>2020</v>
      </c>
      <c r="AO2028">
        <f>IF(AND(emissions[[#This Row],[Market-based]]=0,emissions[[#This Row],[Impact Type]]="CO2E"),emissions[[#This Row],[kgCO2e]],0)/1000</f>
        <v>0</v>
      </c>
      <c r="AP2028">
        <f>IF(AND(emissions[[#This Row],[Market-based]]=1,OR(emissions[[#This Row],[Impact Type]]="CO2E",emissions[[#This Row],[Impact Type]]="CO2E MKT")),emissions[[#This Row],[kgCO2e]],0)/1000</f>
        <v>0</v>
      </c>
      <c r="AQ2028" t="str">
        <f>_xlfn.TEXTAFTER(emissions[[#This Row],[Reporting Unit]]," &gt; ",LEN(emissions[[#This Row],[Reporting Unit]])-LEN(SUBSTITUTE(emissions[[#This Row],[Reporting Unit]],"&gt;","")))</f>
        <v>Vantage_Bogotá</v>
      </c>
      <c r="AR2028" t="str">
        <f>_xlfn.XLOOKUP(emissions[[#This Row],[Reporting unit name]],hierarchy!$A:$A,hierarchy!$C:$C)</f>
        <v>Office</v>
      </c>
    </row>
    <row r="2029" spans="1:44" hidden="1" x14ac:dyDescent="0.25">
      <c r="A2029">
        <v>237676</v>
      </c>
      <c r="B2029" t="s">
        <v>237</v>
      </c>
      <c r="C2029" t="s">
        <v>501</v>
      </c>
      <c r="D2029" t="s">
        <v>548</v>
      </c>
      <c r="E2029" s="3">
        <v>44562</v>
      </c>
      <c r="F2029" s="3">
        <v>44926</v>
      </c>
      <c r="G2029" t="s">
        <v>141</v>
      </c>
      <c r="H2029" s="3">
        <v>44562</v>
      </c>
      <c r="I2029" s="3">
        <v>44926</v>
      </c>
      <c r="J2029" t="s">
        <v>168</v>
      </c>
      <c r="K2029">
        <v>0</v>
      </c>
      <c r="L2029" t="s">
        <v>207</v>
      </c>
      <c r="M2029" t="s">
        <v>110</v>
      </c>
      <c r="O2029" t="s">
        <v>1012</v>
      </c>
      <c r="P2029" t="s">
        <v>550</v>
      </c>
      <c r="Q2029">
        <v>2022</v>
      </c>
      <c r="R2029" t="s">
        <v>680</v>
      </c>
      <c r="S2029" t="s">
        <v>681</v>
      </c>
      <c r="T2029" t="s">
        <v>553</v>
      </c>
      <c r="U2029" t="b">
        <v>0</v>
      </c>
      <c r="V2029" t="s">
        <v>845</v>
      </c>
      <c r="W2029" t="s">
        <v>587</v>
      </c>
      <c r="X2029" t="s">
        <v>556</v>
      </c>
      <c r="Y2029" t="s">
        <v>472</v>
      </c>
      <c r="AC2029">
        <v>0</v>
      </c>
      <c r="AD2029" t="s">
        <v>558</v>
      </c>
      <c r="AE2029">
        <v>0</v>
      </c>
      <c r="AF2029">
        <v>7.4999999999999997E-2</v>
      </c>
      <c r="AG2029" t="s">
        <v>798</v>
      </c>
      <c r="AH2029">
        <v>0.94781711999999996</v>
      </c>
      <c r="AI2029">
        <v>0</v>
      </c>
      <c r="AJ2029" t="s">
        <v>561</v>
      </c>
      <c r="AK2029" t="s">
        <v>766</v>
      </c>
      <c r="AL2029" t="s">
        <v>767</v>
      </c>
      <c r="AM2029">
        <v>2022</v>
      </c>
      <c r="AN2029">
        <v>2022</v>
      </c>
      <c r="AO2029">
        <f>IF(AND(emissions[[#This Row],[Market-based]]=0,emissions[[#This Row],[Impact Type]]="CO2E"),emissions[[#This Row],[kgCO2e]],0)/1000</f>
        <v>0</v>
      </c>
      <c r="AP2029">
        <f>IF(AND(emissions[[#This Row],[Market-based]]=1,OR(emissions[[#This Row],[Impact Type]]="CO2E",emissions[[#This Row],[Impact Type]]="CO2E MKT")),emissions[[#This Row],[kgCO2e]],0)/1000</f>
        <v>0</v>
      </c>
      <c r="AQ2029" t="str">
        <f>_xlfn.TEXTAFTER(emissions[[#This Row],[Reporting Unit]]," &gt; ",LEN(emissions[[#This Row],[Reporting Unit]])-LEN(SUBSTITUTE(emissions[[#This Row],[Reporting Unit]],"&gt;","")))</f>
        <v>Vantage_Bogotá</v>
      </c>
      <c r="AR2029" t="str">
        <f>_xlfn.XLOOKUP(emissions[[#This Row],[Reporting unit name]],hierarchy!$A:$A,hierarchy!$C:$C)</f>
        <v>Office</v>
      </c>
    </row>
    <row r="2030" spans="1:44" hidden="1" x14ac:dyDescent="0.25">
      <c r="A2030">
        <v>237676</v>
      </c>
      <c r="B2030" t="s">
        <v>237</v>
      </c>
      <c r="C2030" t="s">
        <v>501</v>
      </c>
      <c r="D2030" t="s">
        <v>548</v>
      </c>
      <c r="E2030" s="3">
        <v>44562</v>
      </c>
      <c r="F2030" s="3">
        <v>44926</v>
      </c>
      <c r="G2030" t="s">
        <v>141</v>
      </c>
      <c r="H2030" s="3">
        <v>44562</v>
      </c>
      <c r="I2030" s="3">
        <v>44926</v>
      </c>
      <c r="J2030" t="s">
        <v>168</v>
      </c>
      <c r="K2030">
        <v>0</v>
      </c>
      <c r="L2030" t="s">
        <v>207</v>
      </c>
      <c r="M2030" t="s">
        <v>110</v>
      </c>
      <c r="O2030" t="s">
        <v>1012</v>
      </c>
      <c r="P2030" t="s">
        <v>550</v>
      </c>
      <c r="Q2030">
        <v>2022</v>
      </c>
      <c r="R2030" t="s">
        <v>680</v>
      </c>
      <c r="S2030" t="s">
        <v>681</v>
      </c>
      <c r="T2030" t="s">
        <v>553</v>
      </c>
      <c r="U2030" t="b">
        <v>0</v>
      </c>
      <c r="V2030" t="s">
        <v>845</v>
      </c>
      <c r="W2030" t="s">
        <v>587</v>
      </c>
      <c r="X2030" t="s">
        <v>556</v>
      </c>
      <c r="Y2030" t="s">
        <v>472</v>
      </c>
      <c r="AC2030">
        <v>0</v>
      </c>
      <c r="AD2030" t="s">
        <v>564</v>
      </c>
      <c r="AE2030">
        <v>0</v>
      </c>
      <c r="AF2030">
        <v>70.22</v>
      </c>
      <c r="AG2030" t="s">
        <v>798</v>
      </c>
      <c r="AH2030">
        <v>0.94781711999999996</v>
      </c>
      <c r="AI2030">
        <v>0</v>
      </c>
      <c r="AJ2030" t="s">
        <v>561</v>
      </c>
      <c r="AK2030" t="s">
        <v>766</v>
      </c>
      <c r="AL2030" t="s">
        <v>787</v>
      </c>
      <c r="AM2030">
        <v>2022</v>
      </c>
      <c r="AN2030">
        <v>2021</v>
      </c>
      <c r="AO2030">
        <f>IF(AND(emissions[[#This Row],[Market-based]]=0,emissions[[#This Row],[Impact Type]]="CO2E"),emissions[[#This Row],[kgCO2e]],0)/1000</f>
        <v>0</v>
      </c>
      <c r="AP2030">
        <f>IF(AND(emissions[[#This Row],[Market-based]]=1,OR(emissions[[#This Row],[Impact Type]]="CO2E",emissions[[#This Row],[Impact Type]]="CO2E MKT")),emissions[[#This Row],[kgCO2e]],0)/1000</f>
        <v>0</v>
      </c>
      <c r="AQ2030" t="str">
        <f>_xlfn.TEXTAFTER(emissions[[#This Row],[Reporting Unit]]," &gt; ",LEN(emissions[[#This Row],[Reporting Unit]])-LEN(SUBSTITUTE(emissions[[#This Row],[Reporting Unit]],"&gt;","")))</f>
        <v>Vantage_Bogotá</v>
      </c>
      <c r="AR2030" t="str">
        <f>_xlfn.XLOOKUP(emissions[[#This Row],[Reporting unit name]],hierarchy!$A:$A,hierarchy!$C:$C)</f>
        <v>Office</v>
      </c>
    </row>
    <row r="2031" spans="1:44" hidden="1" x14ac:dyDescent="0.25">
      <c r="A2031">
        <v>237676</v>
      </c>
      <c r="B2031" t="s">
        <v>237</v>
      </c>
      <c r="C2031" t="s">
        <v>501</v>
      </c>
      <c r="D2031" t="s">
        <v>548</v>
      </c>
      <c r="E2031" s="3">
        <v>44562</v>
      </c>
      <c r="F2031" s="3">
        <v>44926</v>
      </c>
      <c r="G2031" t="s">
        <v>141</v>
      </c>
      <c r="H2031" s="3">
        <v>44562</v>
      </c>
      <c r="I2031" s="3">
        <v>44926</v>
      </c>
      <c r="J2031" t="s">
        <v>168</v>
      </c>
      <c r="K2031">
        <v>0</v>
      </c>
      <c r="L2031" t="s">
        <v>207</v>
      </c>
      <c r="M2031" t="s">
        <v>110</v>
      </c>
      <c r="O2031" t="s">
        <v>1012</v>
      </c>
      <c r="P2031" t="s">
        <v>550</v>
      </c>
      <c r="Q2031">
        <v>2022</v>
      </c>
      <c r="R2031" t="s">
        <v>680</v>
      </c>
      <c r="S2031" t="s">
        <v>681</v>
      </c>
      <c r="T2031" t="s">
        <v>553</v>
      </c>
      <c r="U2031" t="b">
        <v>0</v>
      </c>
      <c r="V2031" t="s">
        <v>845</v>
      </c>
      <c r="W2031" t="s">
        <v>587</v>
      </c>
      <c r="X2031" t="s">
        <v>556</v>
      </c>
      <c r="Y2031" t="s">
        <v>472</v>
      </c>
      <c r="AC2031">
        <v>0</v>
      </c>
      <c r="AD2031" t="s">
        <v>565</v>
      </c>
      <c r="AE2031">
        <v>0</v>
      </c>
      <c r="AF2031">
        <v>70.473799999999997</v>
      </c>
      <c r="AG2031" t="s">
        <v>798</v>
      </c>
      <c r="AH2031">
        <v>0.94781711999999996</v>
      </c>
      <c r="AI2031">
        <v>0</v>
      </c>
      <c r="AJ2031" t="s">
        <v>561</v>
      </c>
      <c r="AK2031" t="s">
        <v>766</v>
      </c>
      <c r="AL2031" t="s">
        <v>767</v>
      </c>
      <c r="AM2031">
        <v>2022</v>
      </c>
      <c r="AN2031">
        <v>2022</v>
      </c>
      <c r="AO2031">
        <f>IF(AND(emissions[[#This Row],[Market-based]]=0,emissions[[#This Row],[Impact Type]]="CO2E"),emissions[[#This Row],[kgCO2e]],0)/1000</f>
        <v>0</v>
      </c>
      <c r="AP2031">
        <f>IF(AND(emissions[[#This Row],[Market-based]]=1,OR(emissions[[#This Row],[Impact Type]]="CO2E",emissions[[#This Row],[Impact Type]]="CO2E MKT")),emissions[[#This Row],[kgCO2e]],0)/1000</f>
        <v>0</v>
      </c>
      <c r="AQ2031" t="str">
        <f>_xlfn.TEXTAFTER(emissions[[#This Row],[Reporting Unit]]," &gt; ",LEN(emissions[[#This Row],[Reporting Unit]])-LEN(SUBSTITUTE(emissions[[#This Row],[Reporting Unit]],"&gt;","")))</f>
        <v>Vantage_Bogotá</v>
      </c>
      <c r="AR2031" t="str">
        <f>_xlfn.XLOOKUP(emissions[[#This Row],[Reporting unit name]],hierarchy!$A:$A,hierarchy!$C:$C)</f>
        <v>Office</v>
      </c>
    </row>
    <row r="2032" spans="1:44" hidden="1" x14ac:dyDescent="0.25">
      <c r="A2032">
        <v>237676</v>
      </c>
      <c r="B2032" t="s">
        <v>237</v>
      </c>
      <c r="C2032" t="s">
        <v>501</v>
      </c>
      <c r="D2032" t="s">
        <v>548</v>
      </c>
      <c r="E2032" s="3">
        <v>44562</v>
      </c>
      <c r="F2032" s="3">
        <v>44926</v>
      </c>
      <c r="G2032" t="s">
        <v>141</v>
      </c>
      <c r="H2032" s="3">
        <v>44562</v>
      </c>
      <c r="I2032" s="3">
        <v>44926</v>
      </c>
      <c r="J2032" t="s">
        <v>168</v>
      </c>
      <c r="K2032">
        <v>0</v>
      </c>
      <c r="L2032" t="s">
        <v>207</v>
      </c>
      <c r="M2032" t="s">
        <v>110</v>
      </c>
      <c r="O2032" t="s">
        <v>1012</v>
      </c>
      <c r="P2032" t="s">
        <v>550</v>
      </c>
      <c r="Q2032">
        <v>2022</v>
      </c>
      <c r="R2032" t="s">
        <v>680</v>
      </c>
      <c r="S2032" t="s">
        <v>681</v>
      </c>
      <c r="T2032" t="s">
        <v>553</v>
      </c>
      <c r="U2032" t="b">
        <v>0</v>
      </c>
      <c r="V2032" t="s">
        <v>845</v>
      </c>
      <c r="W2032" t="s">
        <v>587</v>
      </c>
      <c r="X2032" t="s">
        <v>556</v>
      </c>
      <c r="Y2032" t="s">
        <v>472</v>
      </c>
      <c r="AC2032">
        <v>0</v>
      </c>
      <c r="AD2032" t="s">
        <v>566</v>
      </c>
      <c r="AE2032">
        <v>0</v>
      </c>
      <c r="AF2032">
        <v>0.17879999999999999</v>
      </c>
      <c r="AG2032" t="s">
        <v>798</v>
      </c>
      <c r="AH2032">
        <v>0.94781711999999996</v>
      </c>
      <c r="AI2032">
        <v>0</v>
      </c>
      <c r="AJ2032" t="s">
        <v>561</v>
      </c>
      <c r="AK2032" t="s">
        <v>766</v>
      </c>
      <c r="AL2032" t="s">
        <v>767</v>
      </c>
      <c r="AM2032">
        <v>2022</v>
      </c>
      <c r="AN2032">
        <v>2022</v>
      </c>
      <c r="AO2032">
        <f>IF(AND(emissions[[#This Row],[Market-based]]=0,emissions[[#This Row],[Impact Type]]="CO2E"),emissions[[#This Row],[kgCO2e]],0)/1000</f>
        <v>0</v>
      </c>
      <c r="AP2032">
        <f>IF(AND(emissions[[#This Row],[Market-based]]=1,OR(emissions[[#This Row],[Impact Type]]="CO2E",emissions[[#This Row],[Impact Type]]="CO2E MKT")),emissions[[#This Row],[kgCO2e]],0)/1000</f>
        <v>0</v>
      </c>
      <c r="AQ2032" t="str">
        <f>_xlfn.TEXTAFTER(emissions[[#This Row],[Reporting Unit]]," &gt; ",LEN(emissions[[#This Row],[Reporting Unit]])-LEN(SUBSTITUTE(emissions[[#This Row],[Reporting Unit]],"&gt;","")))</f>
        <v>Vantage_Bogotá</v>
      </c>
      <c r="AR2032" t="str">
        <f>_xlfn.XLOOKUP(emissions[[#This Row],[Reporting unit name]],hierarchy!$A:$A,hierarchy!$C:$C)</f>
        <v>Office</v>
      </c>
    </row>
    <row r="2033" spans="1:44" hidden="1" x14ac:dyDescent="0.25">
      <c r="A2033">
        <v>237676</v>
      </c>
      <c r="B2033" t="s">
        <v>237</v>
      </c>
      <c r="C2033" t="s">
        <v>501</v>
      </c>
      <c r="D2033" t="s">
        <v>548</v>
      </c>
      <c r="E2033" s="3">
        <v>44562</v>
      </c>
      <c r="F2033" s="3">
        <v>44926</v>
      </c>
      <c r="G2033" t="s">
        <v>141</v>
      </c>
      <c r="H2033" s="3">
        <v>44562</v>
      </c>
      <c r="I2033" s="3">
        <v>44926</v>
      </c>
      <c r="J2033" t="s">
        <v>168</v>
      </c>
      <c r="K2033">
        <v>0</v>
      </c>
      <c r="L2033" t="s">
        <v>207</v>
      </c>
      <c r="M2033" t="s">
        <v>110</v>
      </c>
      <c r="O2033" t="s">
        <v>1012</v>
      </c>
      <c r="P2033" t="s">
        <v>550</v>
      </c>
      <c r="Q2033">
        <v>2022</v>
      </c>
      <c r="R2033" t="s">
        <v>680</v>
      </c>
      <c r="S2033" t="s">
        <v>681</v>
      </c>
      <c r="T2033" t="s">
        <v>553</v>
      </c>
      <c r="U2033" t="b">
        <v>0</v>
      </c>
      <c r="V2033" t="s">
        <v>845</v>
      </c>
      <c r="W2033" t="s">
        <v>587</v>
      </c>
      <c r="X2033" t="s">
        <v>556</v>
      </c>
      <c r="Y2033" t="s">
        <v>472</v>
      </c>
      <c r="AC2033">
        <v>1</v>
      </c>
      <c r="AD2033" t="s">
        <v>558</v>
      </c>
      <c r="AE2033">
        <v>0</v>
      </c>
      <c r="AF2033">
        <v>7.4999999999999997E-2</v>
      </c>
      <c r="AG2033" t="s">
        <v>798</v>
      </c>
      <c r="AH2033">
        <v>0.94781711999999996</v>
      </c>
      <c r="AI2033">
        <v>0</v>
      </c>
      <c r="AJ2033" t="s">
        <v>561</v>
      </c>
      <c r="AK2033" t="s">
        <v>766</v>
      </c>
      <c r="AL2033" t="s">
        <v>767</v>
      </c>
      <c r="AM2033">
        <v>2022</v>
      </c>
      <c r="AN2033">
        <v>2022</v>
      </c>
      <c r="AO2033">
        <f>IF(AND(emissions[[#This Row],[Market-based]]=0,emissions[[#This Row],[Impact Type]]="CO2E"),emissions[[#This Row],[kgCO2e]],0)/1000</f>
        <v>0</v>
      </c>
      <c r="AP2033">
        <f>IF(AND(emissions[[#This Row],[Market-based]]=1,OR(emissions[[#This Row],[Impact Type]]="CO2E",emissions[[#This Row],[Impact Type]]="CO2E MKT")),emissions[[#This Row],[kgCO2e]],0)/1000</f>
        <v>0</v>
      </c>
      <c r="AQ2033" t="str">
        <f>_xlfn.TEXTAFTER(emissions[[#This Row],[Reporting Unit]]," &gt; ",LEN(emissions[[#This Row],[Reporting Unit]])-LEN(SUBSTITUTE(emissions[[#This Row],[Reporting Unit]],"&gt;","")))</f>
        <v>Vantage_Bogotá</v>
      </c>
      <c r="AR2033" t="str">
        <f>_xlfn.XLOOKUP(emissions[[#This Row],[Reporting unit name]],hierarchy!$A:$A,hierarchy!$C:$C)</f>
        <v>Office</v>
      </c>
    </row>
    <row r="2034" spans="1:44" hidden="1" x14ac:dyDescent="0.25">
      <c r="A2034">
        <v>237676</v>
      </c>
      <c r="B2034" t="s">
        <v>237</v>
      </c>
      <c r="C2034" t="s">
        <v>501</v>
      </c>
      <c r="D2034" t="s">
        <v>548</v>
      </c>
      <c r="E2034" s="3">
        <v>44562</v>
      </c>
      <c r="F2034" s="3">
        <v>44926</v>
      </c>
      <c r="G2034" t="s">
        <v>141</v>
      </c>
      <c r="H2034" s="3">
        <v>44562</v>
      </c>
      <c r="I2034" s="3">
        <v>44926</v>
      </c>
      <c r="J2034" t="s">
        <v>168</v>
      </c>
      <c r="K2034">
        <v>0</v>
      </c>
      <c r="L2034" t="s">
        <v>207</v>
      </c>
      <c r="M2034" t="s">
        <v>110</v>
      </c>
      <c r="O2034" t="s">
        <v>1012</v>
      </c>
      <c r="P2034" t="s">
        <v>550</v>
      </c>
      <c r="Q2034">
        <v>2022</v>
      </c>
      <c r="R2034" t="s">
        <v>680</v>
      </c>
      <c r="S2034" t="s">
        <v>681</v>
      </c>
      <c r="T2034" t="s">
        <v>553</v>
      </c>
      <c r="U2034" t="b">
        <v>0</v>
      </c>
      <c r="V2034" t="s">
        <v>845</v>
      </c>
      <c r="W2034" t="s">
        <v>587</v>
      </c>
      <c r="X2034" t="s">
        <v>556</v>
      </c>
      <c r="Y2034" t="s">
        <v>472</v>
      </c>
      <c r="AC2034">
        <v>1</v>
      </c>
      <c r="AD2034" t="s">
        <v>564</v>
      </c>
      <c r="AE2034">
        <v>0</v>
      </c>
      <c r="AF2034">
        <v>70.22</v>
      </c>
      <c r="AG2034" t="s">
        <v>798</v>
      </c>
      <c r="AH2034">
        <v>0.94781711999999996</v>
      </c>
      <c r="AI2034">
        <v>0</v>
      </c>
      <c r="AJ2034" t="s">
        <v>561</v>
      </c>
      <c r="AK2034" t="s">
        <v>766</v>
      </c>
      <c r="AL2034" t="s">
        <v>787</v>
      </c>
      <c r="AM2034">
        <v>2022</v>
      </c>
      <c r="AN2034">
        <v>2021</v>
      </c>
      <c r="AO2034">
        <f>IF(AND(emissions[[#This Row],[Market-based]]=0,emissions[[#This Row],[Impact Type]]="CO2E"),emissions[[#This Row],[kgCO2e]],0)/1000</f>
        <v>0</v>
      </c>
      <c r="AP2034">
        <f>IF(AND(emissions[[#This Row],[Market-based]]=1,OR(emissions[[#This Row],[Impact Type]]="CO2E",emissions[[#This Row],[Impact Type]]="CO2E MKT")),emissions[[#This Row],[kgCO2e]],0)/1000</f>
        <v>0</v>
      </c>
      <c r="AQ2034" t="str">
        <f>_xlfn.TEXTAFTER(emissions[[#This Row],[Reporting Unit]]," &gt; ",LEN(emissions[[#This Row],[Reporting Unit]])-LEN(SUBSTITUTE(emissions[[#This Row],[Reporting Unit]],"&gt;","")))</f>
        <v>Vantage_Bogotá</v>
      </c>
      <c r="AR2034" t="str">
        <f>_xlfn.XLOOKUP(emissions[[#This Row],[Reporting unit name]],hierarchy!$A:$A,hierarchy!$C:$C)</f>
        <v>Office</v>
      </c>
    </row>
    <row r="2035" spans="1:44" hidden="1" x14ac:dyDescent="0.25">
      <c r="A2035">
        <v>237676</v>
      </c>
      <c r="B2035" t="s">
        <v>237</v>
      </c>
      <c r="C2035" t="s">
        <v>501</v>
      </c>
      <c r="D2035" t="s">
        <v>548</v>
      </c>
      <c r="E2035" s="3">
        <v>44562</v>
      </c>
      <c r="F2035" s="3">
        <v>44926</v>
      </c>
      <c r="G2035" t="s">
        <v>141</v>
      </c>
      <c r="H2035" s="3">
        <v>44562</v>
      </c>
      <c r="I2035" s="3">
        <v>44926</v>
      </c>
      <c r="J2035" t="s">
        <v>168</v>
      </c>
      <c r="K2035">
        <v>0</v>
      </c>
      <c r="L2035" t="s">
        <v>207</v>
      </c>
      <c r="M2035" t="s">
        <v>110</v>
      </c>
      <c r="O2035" t="s">
        <v>1012</v>
      </c>
      <c r="P2035" t="s">
        <v>550</v>
      </c>
      <c r="Q2035">
        <v>2022</v>
      </c>
      <c r="R2035" t="s">
        <v>680</v>
      </c>
      <c r="S2035" t="s">
        <v>681</v>
      </c>
      <c r="T2035" t="s">
        <v>553</v>
      </c>
      <c r="U2035" t="b">
        <v>0</v>
      </c>
      <c r="V2035" t="s">
        <v>845</v>
      </c>
      <c r="W2035" t="s">
        <v>587</v>
      </c>
      <c r="X2035" t="s">
        <v>556</v>
      </c>
      <c r="Y2035" t="s">
        <v>472</v>
      </c>
      <c r="AC2035">
        <v>1</v>
      </c>
      <c r="AD2035" t="s">
        <v>565</v>
      </c>
      <c r="AE2035">
        <v>0</v>
      </c>
      <c r="AF2035">
        <v>70.473799999999997</v>
      </c>
      <c r="AG2035" t="s">
        <v>798</v>
      </c>
      <c r="AH2035">
        <v>0.94781711999999996</v>
      </c>
      <c r="AI2035">
        <v>0</v>
      </c>
      <c r="AJ2035" t="s">
        <v>561</v>
      </c>
      <c r="AK2035" t="s">
        <v>766</v>
      </c>
      <c r="AL2035" t="s">
        <v>767</v>
      </c>
      <c r="AM2035">
        <v>2022</v>
      </c>
      <c r="AN2035">
        <v>2022</v>
      </c>
      <c r="AO2035">
        <f>IF(AND(emissions[[#This Row],[Market-based]]=0,emissions[[#This Row],[Impact Type]]="CO2E"),emissions[[#This Row],[kgCO2e]],0)/1000</f>
        <v>0</v>
      </c>
      <c r="AP2035">
        <f>IF(AND(emissions[[#This Row],[Market-based]]=1,OR(emissions[[#This Row],[Impact Type]]="CO2E",emissions[[#This Row],[Impact Type]]="CO2E MKT")),emissions[[#This Row],[kgCO2e]],0)/1000</f>
        <v>0</v>
      </c>
      <c r="AQ2035" t="str">
        <f>_xlfn.TEXTAFTER(emissions[[#This Row],[Reporting Unit]]," &gt; ",LEN(emissions[[#This Row],[Reporting Unit]])-LEN(SUBSTITUTE(emissions[[#This Row],[Reporting Unit]],"&gt;","")))</f>
        <v>Vantage_Bogotá</v>
      </c>
      <c r="AR2035" t="str">
        <f>_xlfn.XLOOKUP(emissions[[#This Row],[Reporting unit name]],hierarchy!$A:$A,hierarchy!$C:$C)</f>
        <v>Office</v>
      </c>
    </row>
    <row r="2036" spans="1:44" hidden="1" x14ac:dyDescent="0.25">
      <c r="A2036">
        <v>237676</v>
      </c>
      <c r="B2036" t="s">
        <v>237</v>
      </c>
      <c r="C2036" t="s">
        <v>501</v>
      </c>
      <c r="D2036" t="s">
        <v>548</v>
      </c>
      <c r="E2036" s="3">
        <v>44562</v>
      </c>
      <c r="F2036" s="3">
        <v>44926</v>
      </c>
      <c r="G2036" t="s">
        <v>141</v>
      </c>
      <c r="H2036" s="3">
        <v>44562</v>
      </c>
      <c r="I2036" s="3">
        <v>44926</v>
      </c>
      <c r="J2036" t="s">
        <v>168</v>
      </c>
      <c r="K2036">
        <v>0</v>
      </c>
      <c r="L2036" t="s">
        <v>207</v>
      </c>
      <c r="M2036" t="s">
        <v>110</v>
      </c>
      <c r="O2036" t="s">
        <v>1012</v>
      </c>
      <c r="P2036" t="s">
        <v>550</v>
      </c>
      <c r="Q2036">
        <v>2022</v>
      </c>
      <c r="R2036" t="s">
        <v>680</v>
      </c>
      <c r="S2036" t="s">
        <v>681</v>
      </c>
      <c r="T2036" t="s">
        <v>553</v>
      </c>
      <c r="U2036" t="b">
        <v>0</v>
      </c>
      <c r="V2036" t="s">
        <v>845</v>
      </c>
      <c r="W2036" t="s">
        <v>587</v>
      </c>
      <c r="X2036" t="s">
        <v>556</v>
      </c>
      <c r="Y2036" t="s">
        <v>472</v>
      </c>
      <c r="AC2036">
        <v>1</v>
      </c>
      <c r="AD2036" t="s">
        <v>566</v>
      </c>
      <c r="AE2036">
        <v>0</v>
      </c>
      <c r="AF2036">
        <v>0.17879999999999999</v>
      </c>
      <c r="AG2036" t="s">
        <v>798</v>
      </c>
      <c r="AH2036">
        <v>0.94781711999999996</v>
      </c>
      <c r="AI2036">
        <v>0</v>
      </c>
      <c r="AJ2036" t="s">
        <v>561</v>
      </c>
      <c r="AK2036" t="s">
        <v>766</v>
      </c>
      <c r="AL2036" t="s">
        <v>767</v>
      </c>
      <c r="AM2036">
        <v>2022</v>
      </c>
      <c r="AN2036">
        <v>2022</v>
      </c>
      <c r="AO2036">
        <f>IF(AND(emissions[[#This Row],[Market-based]]=0,emissions[[#This Row],[Impact Type]]="CO2E"),emissions[[#This Row],[kgCO2e]],0)/1000</f>
        <v>0</v>
      </c>
      <c r="AP2036">
        <f>IF(AND(emissions[[#This Row],[Market-based]]=1,OR(emissions[[#This Row],[Impact Type]]="CO2E",emissions[[#This Row],[Impact Type]]="CO2E MKT")),emissions[[#This Row],[kgCO2e]],0)/1000</f>
        <v>0</v>
      </c>
      <c r="AQ2036" t="str">
        <f>_xlfn.TEXTAFTER(emissions[[#This Row],[Reporting Unit]]," &gt; ",LEN(emissions[[#This Row],[Reporting Unit]])-LEN(SUBSTITUTE(emissions[[#This Row],[Reporting Unit]],"&gt;","")))</f>
        <v>Vantage_Bogotá</v>
      </c>
      <c r="AR2036" t="str">
        <f>_xlfn.XLOOKUP(emissions[[#This Row],[Reporting unit name]],hierarchy!$A:$A,hierarchy!$C:$C)</f>
        <v>Office</v>
      </c>
    </row>
    <row r="2037" spans="1:44" hidden="1" x14ac:dyDescent="0.25">
      <c r="A2037">
        <v>237676</v>
      </c>
      <c r="B2037" t="s">
        <v>237</v>
      </c>
      <c r="C2037" t="s">
        <v>501</v>
      </c>
      <c r="D2037" t="s">
        <v>548</v>
      </c>
      <c r="E2037" s="3">
        <v>44562</v>
      </c>
      <c r="F2037" s="3">
        <v>44926</v>
      </c>
      <c r="G2037" t="s">
        <v>141</v>
      </c>
      <c r="H2037" s="3">
        <v>44562</v>
      </c>
      <c r="I2037" s="3">
        <v>44926</v>
      </c>
      <c r="J2037" t="s">
        <v>168</v>
      </c>
      <c r="K2037">
        <v>0</v>
      </c>
      <c r="L2037" t="s">
        <v>207</v>
      </c>
      <c r="M2037" t="s">
        <v>110</v>
      </c>
      <c r="O2037" t="s">
        <v>1012</v>
      </c>
      <c r="P2037" t="s">
        <v>550</v>
      </c>
      <c r="Q2037">
        <v>2022</v>
      </c>
      <c r="R2037" t="s">
        <v>683</v>
      </c>
      <c r="S2037" t="s">
        <v>684</v>
      </c>
      <c r="T2037" t="s">
        <v>577</v>
      </c>
      <c r="U2037" t="b">
        <v>0</v>
      </c>
      <c r="V2037" t="s">
        <v>685</v>
      </c>
      <c r="W2037" t="s">
        <v>571</v>
      </c>
      <c r="X2037" t="s">
        <v>572</v>
      </c>
      <c r="AC2037">
        <v>0</v>
      </c>
      <c r="AD2037" t="s">
        <v>565</v>
      </c>
      <c r="AE2037">
        <v>0</v>
      </c>
      <c r="AF2037">
        <v>6.4250000000000002E-2</v>
      </c>
      <c r="AG2037" t="s">
        <v>608</v>
      </c>
      <c r="AH2037">
        <v>277.77777780000002</v>
      </c>
      <c r="AI2037">
        <v>0</v>
      </c>
      <c r="AJ2037" t="s">
        <v>561</v>
      </c>
      <c r="AK2037" t="s">
        <v>589</v>
      </c>
      <c r="AL2037" t="s">
        <v>590</v>
      </c>
      <c r="AM2037">
        <v>2022</v>
      </c>
      <c r="AN2037">
        <v>2020</v>
      </c>
      <c r="AO2037">
        <f>IF(AND(emissions[[#This Row],[Market-based]]=0,emissions[[#This Row],[Impact Type]]="CO2E"),emissions[[#This Row],[kgCO2e]],0)/1000</f>
        <v>0</v>
      </c>
      <c r="AP2037">
        <f>IF(AND(emissions[[#This Row],[Market-based]]=1,OR(emissions[[#This Row],[Impact Type]]="CO2E",emissions[[#This Row],[Impact Type]]="CO2E MKT")),emissions[[#This Row],[kgCO2e]],0)/1000</f>
        <v>0</v>
      </c>
      <c r="AQ2037" t="str">
        <f>_xlfn.TEXTAFTER(emissions[[#This Row],[Reporting Unit]]," &gt; ",LEN(emissions[[#This Row],[Reporting Unit]])-LEN(SUBSTITUTE(emissions[[#This Row],[Reporting Unit]],"&gt;","")))</f>
        <v>Vantage_Bogotá</v>
      </c>
      <c r="AR2037" t="str">
        <f>_xlfn.XLOOKUP(emissions[[#This Row],[Reporting unit name]],hierarchy!$A:$A,hierarchy!$C:$C)</f>
        <v>Office</v>
      </c>
    </row>
    <row r="2038" spans="1:44" hidden="1" x14ac:dyDescent="0.25">
      <c r="A2038">
        <v>237676</v>
      </c>
      <c r="B2038" t="s">
        <v>237</v>
      </c>
      <c r="C2038" t="s">
        <v>501</v>
      </c>
      <c r="D2038" t="s">
        <v>548</v>
      </c>
      <c r="E2038" s="3">
        <v>44562</v>
      </c>
      <c r="F2038" s="3">
        <v>44926</v>
      </c>
      <c r="G2038" t="s">
        <v>141</v>
      </c>
      <c r="H2038" s="3">
        <v>44562</v>
      </c>
      <c r="I2038" s="3">
        <v>44926</v>
      </c>
      <c r="J2038" t="s">
        <v>168</v>
      </c>
      <c r="K2038">
        <v>0</v>
      </c>
      <c r="L2038" t="s">
        <v>207</v>
      </c>
      <c r="M2038" t="s">
        <v>110</v>
      </c>
      <c r="O2038" t="s">
        <v>1012</v>
      </c>
      <c r="P2038" t="s">
        <v>550</v>
      </c>
      <c r="Q2038">
        <v>2022</v>
      </c>
      <c r="R2038" t="s">
        <v>683</v>
      </c>
      <c r="S2038" t="s">
        <v>684</v>
      </c>
      <c r="T2038" t="s">
        <v>577</v>
      </c>
      <c r="U2038" t="b">
        <v>0</v>
      </c>
      <c r="V2038" t="s">
        <v>685</v>
      </c>
      <c r="W2038" t="s">
        <v>571</v>
      </c>
      <c r="X2038" t="s">
        <v>572</v>
      </c>
      <c r="AC2038">
        <v>1</v>
      </c>
      <c r="AD2038" t="s">
        <v>565</v>
      </c>
      <c r="AE2038">
        <v>0</v>
      </c>
      <c r="AF2038">
        <v>6.4250000000000002E-2</v>
      </c>
      <c r="AG2038" t="s">
        <v>608</v>
      </c>
      <c r="AH2038">
        <v>277.77777780000002</v>
      </c>
      <c r="AI2038">
        <v>0</v>
      </c>
      <c r="AJ2038" t="s">
        <v>561</v>
      </c>
      <c r="AK2038" t="s">
        <v>589</v>
      </c>
      <c r="AL2038" t="s">
        <v>590</v>
      </c>
      <c r="AM2038">
        <v>2022</v>
      </c>
      <c r="AN2038">
        <v>2020</v>
      </c>
      <c r="AO2038">
        <f>IF(AND(emissions[[#This Row],[Market-based]]=0,emissions[[#This Row],[Impact Type]]="CO2E"),emissions[[#This Row],[kgCO2e]],0)/1000</f>
        <v>0</v>
      </c>
      <c r="AP2038">
        <f>IF(AND(emissions[[#This Row],[Market-based]]=1,OR(emissions[[#This Row],[Impact Type]]="CO2E",emissions[[#This Row],[Impact Type]]="CO2E MKT")),emissions[[#This Row],[kgCO2e]],0)/1000</f>
        <v>0</v>
      </c>
      <c r="AQ2038" t="str">
        <f>_xlfn.TEXTAFTER(emissions[[#This Row],[Reporting Unit]]," &gt; ",LEN(emissions[[#This Row],[Reporting Unit]])-LEN(SUBSTITUTE(emissions[[#This Row],[Reporting Unit]],"&gt;","")))</f>
        <v>Vantage_Bogotá</v>
      </c>
      <c r="AR2038" t="str">
        <f>_xlfn.XLOOKUP(emissions[[#This Row],[Reporting unit name]],hierarchy!$A:$A,hierarchy!$C:$C)</f>
        <v>Office</v>
      </c>
    </row>
    <row r="2039" spans="1:44" hidden="1" x14ac:dyDescent="0.25">
      <c r="A2039">
        <v>1590456</v>
      </c>
      <c r="B2039" t="s">
        <v>237</v>
      </c>
      <c r="C2039" t="s">
        <v>501</v>
      </c>
      <c r="D2039" t="s">
        <v>548</v>
      </c>
      <c r="E2039" s="3">
        <v>44562</v>
      </c>
      <c r="F2039" s="3">
        <v>44926</v>
      </c>
      <c r="G2039" t="s">
        <v>116</v>
      </c>
      <c r="H2039" s="3">
        <v>44562</v>
      </c>
      <c r="I2039" s="3">
        <v>44926</v>
      </c>
      <c r="J2039" t="s">
        <v>117</v>
      </c>
      <c r="K2039">
        <v>16.842252800000001</v>
      </c>
      <c r="L2039" t="s">
        <v>118</v>
      </c>
      <c r="M2039" t="s">
        <v>82</v>
      </c>
      <c r="N2039" t="s">
        <v>120</v>
      </c>
      <c r="O2039" t="s">
        <v>631</v>
      </c>
      <c r="P2039" t="s">
        <v>631</v>
      </c>
      <c r="Q2039">
        <v>2022</v>
      </c>
      <c r="R2039" t="s">
        <v>619</v>
      </c>
      <c r="S2039" t="s">
        <v>620</v>
      </c>
      <c r="T2039" t="s">
        <v>553</v>
      </c>
      <c r="U2039" t="b">
        <v>0</v>
      </c>
      <c r="V2039" t="s">
        <v>621</v>
      </c>
      <c r="W2039" t="s">
        <v>587</v>
      </c>
      <c r="X2039" t="s">
        <v>556</v>
      </c>
      <c r="AC2039">
        <v>0</v>
      </c>
      <c r="AD2039" t="s">
        <v>565</v>
      </c>
      <c r="AE2039">
        <v>24084.4215</v>
      </c>
      <c r="AF2039">
        <v>1430</v>
      </c>
      <c r="AG2039" t="s">
        <v>622</v>
      </c>
      <c r="AH2039">
        <v>1</v>
      </c>
      <c r="AI2039">
        <v>16.842252800000001</v>
      </c>
      <c r="AJ2039" t="s">
        <v>561</v>
      </c>
      <c r="AK2039" t="s">
        <v>623</v>
      </c>
      <c r="AL2039" t="s">
        <v>624</v>
      </c>
      <c r="AM2039">
        <v>2022</v>
      </c>
      <c r="AN2039">
        <v>2007</v>
      </c>
      <c r="AO2039">
        <f>IF(AND(emissions[[#This Row],[Market-based]]=0,emissions[[#This Row],[Impact Type]]="CO2E"),emissions[[#This Row],[kgCO2e]],0)/1000</f>
        <v>24.084421500000001</v>
      </c>
      <c r="AP2039">
        <f>IF(AND(emissions[[#This Row],[Market-based]]=1,OR(emissions[[#This Row],[Impact Type]]="CO2E",emissions[[#This Row],[Impact Type]]="CO2E MKT")),emissions[[#This Row],[kgCO2e]],0)/1000</f>
        <v>0</v>
      </c>
      <c r="AQ2039" t="str">
        <f>_xlfn.TEXTAFTER(emissions[[#This Row],[Reporting Unit]]," &gt; ",LEN(emissions[[#This Row],[Reporting Unit]])-LEN(SUBSTITUTE(emissions[[#This Row],[Reporting Unit]],"&gt;","")))</f>
        <v>Vantage_Bogotá</v>
      </c>
      <c r="AR2039" t="str">
        <f>_xlfn.XLOOKUP(emissions[[#This Row],[Reporting unit name]],hierarchy!$A:$A,hierarchy!$C:$C)</f>
        <v>Office</v>
      </c>
    </row>
    <row r="2040" spans="1:44" hidden="1" x14ac:dyDescent="0.25">
      <c r="A2040">
        <v>1590456</v>
      </c>
      <c r="B2040" t="s">
        <v>237</v>
      </c>
      <c r="C2040" t="s">
        <v>501</v>
      </c>
      <c r="D2040" t="s">
        <v>548</v>
      </c>
      <c r="E2040" s="3">
        <v>44562</v>
      </c>
      <c r="F2040" s="3">
        <v>44926</v>
      </c>
      <c r="G2040" t="s">
        <v>116</v>
      </c>
      <c r="H2040" s="3">
        <v>44562</v>
      </c>
      <c r="I2040" s="3">
        <v>44926</v>
      </c>
      <c r="J2040" t="s">
        <v>117</v>
      </c>
      <c r="K2040">
        <v>16.842252800000001</v>
      </c>
      <c r="L2040" t="s">
        <v>118</v>
      </c>
      <c r="M2040" t="s">
        <v>82</v>
      </c>
      <c r="N2040" t="s">
        <v>120</v>
      </c>
      <c r="O2040" t="s">
        <v>631</v>
      </c>
      <c r="P2040" t="s">
        <v>631</v>
      </c>
      <c r="Q2040">
        <v>2022</v>
      </c>
      <c r="R2040" t="s">
        <v>619</v>
      </c>
      <c r="S2040" t="s">
        <v>620</v>
      </c>
      <c r="T2040" t="s">
        <v>553</v>
      </c>
      <c r="U2040" t="b">
        <v>0</v>
      </c>
      <c r="V2040" t="s">
        <v>621</v>
      </c>
      <c r="W2040" t="s">
        <v>587</v>
      </c>
      <c r="X2040" t="s">
        <v>556</v>
      </c>
      <c r="AC2040">
        <v>1</v>
      </c>
      <c r="AD2040" t="s">
        <v>565</v>
      </c>
      <c r="AE2040">
        <v>24084.4215</v>
      </c>
      <c r="AF2040">
        <v>1430</v>
      </c>
      <c r="AG2040" t="s">
        <v>622</v>
      </c>
      <c r="AH2040">
        <v>1</v>
      </c>
      <c r="AI2040">
        <v>16.842252800000001</v>
      </c>
      <c r="AJ2040" t="s">
        <v>561</v>
      </c>
      <c r="AK2040" t="s">
        <v>623</v>
      </c>
      <c r="AL2040" t="s">
        <v>624</v>
      </c>
      <c r="AM2040">
        <v>2022</v>
      </c>
      <c r="AN2040">
        <v>2007</v>
      </c>
      <c r="AO2040">
        <f>IF(AND(emissions[[#This Row],[Market-based]]=0,emissions[[#This Row],[Impact Type]]="CO2E"),emissions[[#This Row],[kgCO2e]],0)/1000</f>
        <v>0</v>
      </c>
      <c r="AP2040">
        <f>IF(AND(emissions[[#This Row],[Market-based]]=1,OR(emissions[[#This Row],[Impact Type]]="CO2E",emissions[[#This Row],[Impact Type]]="CO2E MKT")),emissions[[#This Row],[kgCO2e]],0)/1000</f>
        <v>24.084421500000001</v>
      </c>
      <c r="AQ2040" t="str">
        <f>_xlfn.TEXTAFTER(emissions[[#This Row],[Reporting Unit]]," &gt; ",LEN(emissions[[#This Row],[Reporting Unit]])-LEN(SUBSTITUTE(emissions[[#This Row],[Reporting Unit]],"&gt;","")))</f>
        <v>Vantage_Bogotá</v>
      </c>
      <c r="AR2040" t="str">
        <f>_xlfn.XLOOKUP(emissions[[#This Row],[Reporting unit name]],hierarchy!$A:$A,hierarchy!$C:$C)</f>
        <v>Office</v>
      </c>
    </row>
    <row r="2041" spans="1:44" hidden="1" x14ac:dyDescent="0.25">
      <c r="A2041">
        <v>4941</v>
      </c>
      <c r="B2041" t="s">
        <v>237</v>
      </c>
      <c r="C2041" t="s">
        <v>501</v>
      </c>
      <c r="D2041" t="s">
        <v>599</v>
      </c>
      <c r="E2041" s="3">
        <v>44197</v>
      </c>
      <c r="F2041" s="3">
        <v>44561</v>
      </c>
      <c r="G2041" t="s">
        <v>108</v>
      </c>
      <c r="H2041" s="3">
        <v>44197</v>
      </c>
      <c r="I2041" s="3">
        <v>44561</v>
      </c>
      <c r="J2041" t="s">
        <v>108</v>
      </c>
      <c r="K2041">
        <v>442008.98389999999</v>
      </c>
      <c r="L2041" t="s">
        <v>109</v>
      </c>
      <c r="M2041" t="s">
        <v>82</v>
      </c>
      <c r="O2041" t="s">
        <v>600</v>
      </c>
      <c r="P2041" t="s">
        <v>550</v>
      </c>
      <c r="Q2041">
        <v>2021</v>
      </c>
      <c r="R2041" t="s">
        <v>551</v>
      </c>
      <c r="S2041" t="s">
        <v>552</v>
      </c>
      <c r="T2041" t="s">
        <v>553</v>
      </c>
      <c r="U2041" t="b">
        <v>0</v>
      </c>
      <c r="V2041" t="s">
        <v>1007</v>
      </c>
      <c r="W2041" t="s">
        <v>555</v>
      </c>
      <c r="X2041" t="s">
        <v>556</v>
      </c>
      <c r="Y2041" t="s">
        <v>472</v>
      </c>
      <c r="Z2041" t="s">
        <v>491</v>
      </c>
      <c r="AA2041" t="s">
        <v>522</v>
      </c>
      <c r="AC2041">
        <v>0</v>
      </c>
      <c r="AD2041" t="s">
        <v>558</v>
      </c>
      <c r="AE2041">
        <v>132.6026952</v>
      </c>
      <c r="AF2041" t="s">
        <v>559</v>
      </c>
      <c r="AG2041" t="s">
        <v>560</v>
      </c>
      <c r="AH2041">
        <v>1</v>
      </c>
      <c r="AI2041">
        <v>442008.98389999999</v>
      </c>
      <c r="AJ2041" t="s">
        <v>561</v>
      </c>
      <c r="AK2041" t="s">
        <v>562</v>
      </c>
      <c r="AL2041" t="s">
        <v>601</v>
      </c>
      <c r="AM2041">
        <v>2021</v>
      </c>
      <c r="AN2041">
        <v>2019</v>
      </c>
      <c r="AO2041">
        <f>IF(AND(emissions[[#This Row],[Market-based]]=0,emissions[[#This Row],[Impact Type]]="CO2E"),emissions[[#This Row],[kgCO2e]],0)/1000</f>
        <v>0</v>
      </c>
      <c r="AP2041">
        <f>IF(AND(emissions[[#This Row],[Market-based]]=1,OR(emissions[[#This Row],[Impact Type]]="CO2E",emissions[[#This Row],[Impact Type]]="CO2E MKT")),emissions[[#This Row],[kgCO2e]],0)/1000</f>
        <v>0</v>
      </c>
      <c r="AQ2041" t="str">
        <f>_xlfn.TEXTAFTER(emissions[[#This Row],[Reporting Unit]]," &gt; ",LEN(emissions[[#This Row],[Reporting Unit]])-LEN(SUBSTITUTE(emissions[[#This Row],[Reporting Unit]],"&gt;","")))</f>
        <v>Vantage_Bogotá</v>
      </c>
      <c r="AR2041" t="str">
        <f>_xlfn.XLOOKUP(emissions[[#This Row],[Reporting unit name]],hierarchy!$A:$A,hierarchy!$C:$C)</f>
        <v>Office</v>
      </c>
    </row>
    <row r="2042" spans="1:44" hidden="1" x14ac:dyDescent="0.25">
      <c r="A2042">
        <v>4941</v>
      </c>
      <c r="B2042" t="s">
        <v>237</v>
      </c>
      <c r="C2042" t="s">
        <v>501</v>
      </c>
      <c r="D2042" t="s">
        <v>599</v>
      </c>
      <c r="E2042" s="3">
        <v>44197</v>
      </c>
      <c r="F2042" s="3">
        <v>44561</v>
      </c>
      <c r="G2042" t="s">
        <v>108</v>
      </c>
      <c r="H2042" s="3">
        <v>44197</v>
      </c>
      <c r="I2042" s="3">
        <v>44561</v>
      </c>
      <c r="J2042" t="s">
        <v>108</v>
      </c>
      <c r="K2042">
        <v>442008.98389999999</v>
      </c>
      <c r="L2042" t="s">
        <v>109</v>
      </c>
      <c r="M2042" t="s">
        <v>82</v>
      </c>
      <c r="O2042" t="s">
        <v>600</v>
      </c>
      <c r="P2042" t="s">
        <v>550</v>
      </c>
      <c r="Q2042">
        <v>2021</v>
      </c>
      <c r="R2042" t="s">
        <v>551</v>
      </c>
      <c r="S2042" t="s">
        <v>552</v>
      </c>
      <c r="T2042" t="s">
        <v>553</v>
      </c>
      <c r="U2042" t="b">
        <v>0</v>
      </c>
      <c r="V2042" t="s">
        <v>1007</v>
      </c>
      <c r="W2042" t="s">
        <v>555</v>
      </c>
      <c r="X2042" t="s">
        <v>556</v>
      </c>
      <c r="Y2042" t="s">
        <v>472</v>
      </c>
      <c r="Z2042" t="s">
        <v>491</v>
      </c>
      <c r="AA2042" t="s">
        <v>522</v>
      </c>
      <c r="AC2042">
        <v>0</v>
      </c>
      <c r="AD2042" t="s">
        <v>564</v>
      </c>
      <c r="AE2042">
        <v>84644.720419999998</v>
      </c>
      <c r="AF2042" t="s">
        <v>559</v>
      </c>
      <c r="AG2042" t="s">
        <v>560</v>
      </c>
      <c r="AH2042">
        <v>1</v>
      </c>
      <c r="AI2042">
        <v>442008.98389999999</v>
      </c>
      <c r="AJ2042" t="s">
        <v>561</v>
      </c>
      <c r="AK2042" t="s">
        <v>562</v>
      </c>
      <c r="AL2042" t="s">
        <v>601</v>
      </c>
      <c r="AM2042">
        <v>2021</v>
      </c>
      <c r="AN2042">
        <v>2019</v>
      </c>
      <c r="AO2042">
        <f>IF(AND(emissions[[#This Row],[Market-based]]=0,emissions[[#This Row],[Impact Type]]="CO2E"),emissions[[#This Row],[kgCO2e]],0)/1000</f>
        <v>0</v>
      </c>
      <c r="AP2042">
        <f>IF(AND(emissions[[#This Row],[Market-based]]=1,OR(emissions[[#This Row],[Impact Type]]="CO2E",emissions[[#This Row],[Impact Type]]="CO2E MKT")),emissions[[#This Row],[kgCO2e]],0)/1000</f>
        <v>0</v>
      </c>
      <c r="AQ2042" t="str">
        <f>_xlfn.TEXTAFTER(emissions[[#This Row],[Reporting Unit]]," &gt; ",LEN(emissions[[#This Row],[Reporting Unit]])-LEN(SUBSTITUTE(emissions[[#This Row],[Reporting Unit]],"&gt;","")))</f>
        <v>Vantage_Bogotá</v>
      </c>
      <c r="AR2042" t="str">
        <f>_xlfn.XLOOKUP(emissions[[#This Row],[Reporting unit name]],hierarchy!$A:$A,hierarchy!$C:$C)</f>
        <v>Office</v>
      </c>
    </row>
    <row r="2043" spans="1:44" hidden="1" x14ac:dyDescent="0.25">
      <c r="A2043">
        <v>4941</v>
      </c>
      <c r="B2043" t="s">
        <v>237</v>
      </c>
      <c r="C2043" t="s">
        <v>501</v>
      </c>
      <c r="D2043" t="s">
        <v>599</v>
      </c>
      <c r="E2043" s="3">
        <v>44197</v>
      </c>
      <c r="F2043" s="3">
        <v>44561</v>
      </c>
      <c r="G2043" t="s">
        <v>108</v>
      </c>
      <c r="H2043" s="3">
        <v>44197</v>
      </c>
      <c r="I2043" s="3">
        <v>44561</v>
      </c>
      <c r="J2043" t="s">
        <v>108</v>
      </c>
      <c r="K2043">
        <v>442008.98389999999</v>
      </c>
      <c r="L2043" t="s">
        <v>109</v>
      </c>
      <c r="M2043" t="s">
        <v>82</v>
      </c>
      <c r="O2043" t="s">
        <v>600</v>
      </c>
      <c r="P2043" t="s">
        <v>550</v>
      </c>
      <c r="Q2043">
        <v>2021</v>
      </c>
      <c r="R2043" t="s">
        <v>551</v>
      </c>
      <c r="S2043" t="s">
        <v>552</v>
      </c>
      <c r="T2043" t="s">
        <v>553</v>
      </c>
      <c r="U2043" t="b">
        <v>0</v>
      </c>
      <c r="V2043" t="s">
        <v>1007</v>
      </c>
      <c r="W2043" t="s">
        <v>555</v>
      </c>
      <c r="X2043" t="s">
        <v>556</v>
      </c>
      <c r="Y2043" t="s">
        <v>472</v>
      </c>
      <c r="Z2043" t="s">
        <v>491</v>
      </c>
      <c r="AA2043" t="s">
        <v>522</v>
      </c>
      <c r="AC2043">
        <v>0</v>
      </c>
      <c r="AD2043" t="s">
        <v>565</v>
      </c>
      <c r="AE2043">
        <v>85175.131200000003</v>
      </c>
      <c r="AF2043" t="s">
        <v>559</v>
      </c>
      <c r="AG2043" t="s">
        <v>560</v>
      </c>
      <c r="AH2043">
        <v>1</v>
      </c>
      <c r="AI2043">
        <v>442008.98389999999</v>
      </c>
      <c r="AJ2043" t="s">
        <v>561</v>
      </c>
      <c r="AK2043" t="s">
        <v>562</v>
      </c>
      <c r="AL2043" t="s">
        <v>601</v>
      </c>
      <c r="AM2043">
        <v>2021</v>
      </c>
      <c r="AN2043">
        <v>2019</v>
      </c>
      <c r="AO2043">
        <f>IF(AND(emissions[[#This Row],[Market-based]]=0,emissions[[#This Row],[Impact Type]]="CO2E"),emissions[[#This Row],[kgCO2e]],0)/1000</f>
        <v>85.17513120000001</v>
      </c>
      <c r="AP2043">
        <f>IF(AND(emissions[[#This Row],[Market-based]]=1,OR(emissions[[#This Row],[Impact Type]]="CO2E",emissions[[#This Row],[Impact Type]]="CO2E MKT")),emissions[[#This Row],[kgCO2e]],0)/1000</f>
        <v>0</v>
      </c>
      <c r="AQ2043" t="str">
        <f>_xlfn.TEXTAFTER(emissions[[#This Row],[Reporting Unit]]," &gt; ",LEN(emissions[[#This Row],[Reporting Unit]])-LEN(SUBSTITUTE(emissions[[#This Row],[Reporting Unit]],"&gt;","")))</f>
        <v>Vantage_Bogotá</v>
      </c>
      <c r="AR2043" t="str">
        <f>_xlfn.XLOOKUP(emissions[[#This Row],[Reporting unit name]],hierarchy!$A:$A,hierarchy!$C:$C)</f>
        <v>Office</v>
      </c>
    </row>
    <row r="2044" spans="1:44" hidden="1" x14ac:dyDescent="0.25">
      <c r="A2044">
        <v>4941</v>
      </c>
      <c r="B2044" t="s">
        <v>237</v>
      </c>
      <c r="C2044" t="s">
        <v>501</v>
      </c>
      <c r="D2044" t="s">
        <v>599</v>
      </c>
      <c r="E2044" s="3">
        <v>44197</v>
      </c>
      <c r="F2044" s="3">
        <v>44561</v>
      </c>
      <c r="G2044" t="s">
        <v>108</v>
      </c>
      <c r="H2044" s="3">
        <v>44197</v>
      </c>
      <c r="I2044" s="3">
        <v>44561</v>
      </c>
      <c r="J2044" t="s">
        <v>108</v>
      </c>
      <c r="K2044">
        <v>442008.98389999999</v>
      </c>
      <c r="L2044" t="s">
        <v>109</v>
      </c>
      <c r="M2044" t="s">
        <v>82</v>
      </c>
      <c r="O2044" t="s">
        <v>600</v>
      </c>
      <c r="P2044" t="s">
        <v>550</v>
      </c>
      <c r="Q2044">
        <v>2021</v>
      </c>
      <c r="R2044" t="s">
        <v>551</v>
      </c>
      <c r="S2044" t="s">
        <v>552</v>
      </c>
      <c r="T2044" t="s">
        <v>553</v>
      </c>
      <c r="U2044" t="b">
        <v>0</v>
      </c>
      <c r="V2044" t="s">
        <v>1007</v>
      </c>
      <c r="W2044" t="s">
        <v>555</v>
      </c>
      <c r="X2044" t="s">
        <v>556</v>
      </c>
      <c r="Y2044" t="s">
        <v>472</v>
      </c>
      <c r="Z2044" t="s">
        <v>491</v>
      </c>
      <c r="AA2044" t="s">
        <v>522</v>
      </c>
      <c r="AC2044">
        <v>0</v>
      </c>
      <c r="AD2044" t="s">
        <v>566</v>
      </c>
      <c r="AE2044">
        <v>397.8080855</v>
      </c>
      <c r="AF2044" t="s">
        <v>559</v>
      </c>
      <c r="AG2044" t="s">
        <v>560</v>
      </c>
      <c r="AH2044">
        <v>1</v>
      </c>
      <c r="AI2044">
        <v>442008.98389999999</v>
      </c>
      <c r="AJ2044" t="s">
        <v>561</v>
      </c>
      <c r="AK2044" t="s">
        <v>562</v>
      </c>
      <c r="AL2044" t="s">
        <v>601</v>
      </c>
      <c r="AM2044">
        <v>2021</v>
      </c>
      <c r="AN2044">
        <v>2019</v>
      </c>
      <c r="AO2044">
        <f>IF(AND(emissions[[#This Row],[Market-based]]=0,emissions[[#This Row],[Impact Type]]="CO2E"),emissions[[#This Row],[kgCO2e]],0)/1000</f>
        <v>0</v>
      </c>
      <c r="AP2044">
        <f>IF(AND(emissions[[#This Row],[Market-based]]=1,OR(emissions[[#This Row],[Impact Type]]="CO2E",emissions[[#This Row],[Impact Type]]="CO2E MKT")),emissions[[#This Row],[kgCO2e]],0)/1000</f>
        <v>0</v>
      </c>
      <c r="AQ2044" t="str">
        <f>_xlfn.TEXTAFTER(emissions[[#This Row],[Reporting Unit]]," &gt; ",LEN(emissions[[#This Row],[Reporting Unit]])-LEN(SUBSTITUTE(emissions[[#This Row],[Reporting Unit]],"&gt;","")))</f>
        <v>Vantage_Bogotá</v>
      </c>
      <c r="AR2044" t="str">
        <f>_xlfn.XLOOKUP(emissions[[#This Row],[Reporting unit name]],hierarchy!$A:$A,hierarchy!$C:$C)</f>
        <v>Office</v>
      </c>
    </row>
    <row r="2045" spans="1:44" hidden="1" x14ac:dyDescent="0.25">
      <c r="A2045">
        <v>4941</v>
      </c>
      <c r="B2045" t="s">
        <v>237</v>
      </c>
      <c r="C2045" t="s">
        <v>501</v>
      </c>
      <c r="D2045" t="s">
        <v>599</v>
      </c>
      <c r="E2045" s="3">
        <v>44197</v>
      </c>
      <c r="F2045" s="3">
        <v>44561</v>
      </c>
      <c r="G2045" t="s">
        <v>108</v>
      </c>
      <c r="H2045" s="3">
        <v>44197</v>
      </c>
      <c r="I2045" s="3">
        <v>44561</v>
      </c>
      <c r="J2045" t="s">
        <v>108</v>
      </c>
      <c r="K2045">
        <v>442008.98389999999</v>
      </c>
      <c r="L2045" t="s">
        <v>109</v>
      </c>
      <c r="M2045" t="s">
        <v>82</v>
      </c>
      <c r="O2045" t="s">
        <v>600</v>
      </c>
      <c r="P2045" t="s">
        <v>550</v>
      </c>
      <c r="Q2045">
        <v>2021</v>
      </c>
      <c r="R2045" t="s">
        <v>551</v>
      </c>
      <c r="S2045" t="s">
        <v>552</v>
      </c>
      <c r="T2045" t="s">
        <v>553</v>
      </c>
      <c r="U2045" t="b">
        <v>0</v>
      </c>
      <c r="V2045" t="s">
        <v>1007</v>
      </c>
      <c r="W2045" t="s">
        <v>555</v>
      </c>
      <c r="X2045" t="s">
        <v>556</v>
      </c>
      <c r="Y2045" t="s">
        <v>472</v>
      </c>
      <c r="Z2045" t="s">
        <v>491</v>
      </c>
      <c r="AA2045" t="s">
        <v>522</v>
      </c>
      <c r="AC2045">
        <v>1</v>
      </c>
      <c r="AD2045" t="s">
        <v>558</v>
      </c>
      <c r="AE2045">
        <v>132.6026952</v>
      </c>
      <c r="AF2045" t="s">
        <v>559</v>
      </c>
      <c r="AG2045" t="s">
        <v>560</v>
      </c>
      <c r="AH2045">
        <v>1</v>
      </c>
      <c r="AI2045">
        <v>442008.98389999999</v>
      </c>
      <c r="AJ2045" t="s">
        <v>561</v>
      </c>
      <c r="AK2045" t="s">
        <v>562</v>
      </c>
      <c r="AL2045" t="s">
        <v>601</v>
      </c>
      <c r="AM2045">
        <v>2021</v>
      </c>
      <c r="AN2045">
        <v>2019</v>
      </c>
      <c r="AO2045">
        <f>IF(AND(emissions[[#This Row],[Market-based]]=0,emissions[[#This Row],[Impact Type]]="CO2E"),emissions[[#This Row],[kgCO2e]],0)/1000</f>
        <v>0</v>
      </c>
      <c r="AP2045">
        <f>IF(AND(emissions[[#This Row],[Market-based]]=1,OR(emissions[[#This Row],[Impact Type]]="CO2E",emissions[[#This Row],[Impact Type]]="CO2E MKT")),emissions[[#This Row],[kgCO2e]],0)/1000</f>
        <v>0</v>
      </c>
      <c r="AQ2045" t="str">
        <f>_xlfn.TEXTAFTER(emissions[[#This Row],[Reporting Unit]]," &gt; ",LEN(emissions[[#This Row],[Reporting Unit]])-LEN(SUBSTITUTE(emissions[[#This Row],[Reporting Unit]],"&gt;","")))</f>
        <v>Vantage_Bogotá</v>
      </c>
      <c r="AR2045" t="str">
        <f>_xlfn.XLOOKUP(emissions[[#This Row],[Reporting unit name]],hierarchy!$A:$A,hierarchy!$C:$C)</f>
        <v>Office</v>
      </c>
    </row>
    <row r="2046" spans="1:44" hidden="1" x14ac:dyDescent="0.25">
      <c r="A2046">
        <v>4941</v>
      </c>
      <c r="B2046" t="s">
        <v>237</v>
      </c>
      <c r="C2046" t="s">
        <v>501</v>
      </c>
      <c r="D2046" t="s">
        <v>599</v>
      </c>
      <c r="E2046" s="3">
        <v>44197</v>
      </c>
      <c r="F2046" s="3">
        <v>44561</v>
      </c>
      <c r="G2046" t="s">
        <v>108</v>
      </c>
      <c r="H2046" s="3">
        <v>44197</v>
      </c>
      <c r="I2046" s="3">
        <v>44561</v>
      </c>
      <c r="J2046" t="s">
        <v>108</v>
      </c>
      <c r="K2046">
        <v>442008.98389999999</v>
      </c>
      <c r="L2046" t="s">
        <v>109</v>
      </c>
      <c r="M2046" t="s">
        <v>82</v>
      </c>
      <c r="O2046" t="s">
        <v>600</v>
      </c>
      <c r="P2046" t="s">
        <v>550</v>
      </c>
      <c r="Q2046">
        <v>2021</v>
      </c>
      <c r="R2046" t="s">
        <v>551</v>
      </c>
      <c r="S2046" t="s">
        <v>552</v>
      </c>
      <c r="T2046" t="s">
        <v>553</v>
      </c>
      <c r="U2046" t="b">
        <v>0</v>
      </c>
      <c r="V2046" t="s">
        <v>1007</v>
      </c>
      <c r="W2046" t="s">
        <v>555</v>
      </c>
      <c r="X2046" t="s">
        <v>556</v>
      </c>
      <c r="Y2046" t="s">
        <v>472</v>
      </c>
      <c r="Z2046" t="s">
        <v>491</v>
      </c>
      <c r="AA2046" t="s">
        <v>522</v>
      </c>
      <c r="AC2046">
        <v>1</v>
      </c>
      <c r="AD2046" t="s">
        <v>564</v>
      </c>
      <c r="AE2046">
        <v>84644.720419999998</v>
      </c>
      <c r="AF2046" t="s">
        <v>559</v>
      </c>
      <c r="AG2046" t="s">
        <v>560</v>
      </c>
      <c r="AH2046">
        <v>1</v>
      </c>
      <c r="AI2046">
        <v>442008.98389999999</v>
      </c>
      <c r="AJ2046" t="s">
        <v>561</v>
      </c>
      <c r="AK2046" t="s">
        <v>562</v>
      </c>
      <c r="AL2046" t="s">
        <v>601</v>
      </c>
      <c r="AM2046">
        <v>2021</v>
      </c>
      <c r="AN2046">
        <v>2019</v>
      </c>
      <c r="AO2046">
        <f>IF(AND(emissions[[#This Row],[Market-based]]=0,emissions[[#This Row],[Impact Type]]="CO2E"),emissions[[#This Row],[kgCO2e]],0)/1000</f>
        <v>0</v>
      </c>
      <c r="AP2046">
        <f>IF(AND(emissions[[#This Row],[Market-based]]=1,OR(emissions[[#This Row],[Impact Type]]="CO2E",emissions[[#This Row],[Impact Type]]="CO2E MKT")),emissions[[#This Row],[kgCO2e]],0)/1000</f>
        <v>0</v>
      </c>
      <c r="AQ2046" t="str">
        <f>_xlfn.TEXTAFTER(emissions[[#This Row],[Reporting Unit]]," &gt; ",LEN(emissions[[#This Row],[Reporting Unit]])-LEN(SUBSTITUTE(emissions[[#This Row],[Reporting Unit]],"&gt;","")))</f>
        <v>Vantage_Bogotá</v>
      </c>
      <c r="AR2046" t="str">
        <f>_xlfn.XLOOKUP(emissions[[#This Row],[Reporting unit name]],hierarchy!$A:$A,hierarchy!$C:$C)</f>
        <v>Office</v>
      </c>
    </row>
    <row r="2047" spans="1:44" hidden="1" x14ac:dyDescent="0.25">
      <c r="A2047">
        <v>4941</v>
      </c>
      <c r="B2047" t="s">
        <v>237</v>
      </c>
      <c r="C2047" t="s">
        <v>501</v>
      </c>
      <c r="D2047" t="s">
        <v>599</v>
      </c>
      <c r="E2047" s="3">
        <v>44197</v>
      </c>
      <c r="F2047" s="3">
        <v>44561</v>
      </c>
      <c r="G2047" t="s">
        <v>108</v>
      </c>
      <c r="H2047" s="3">
        <v>44197</v>
      </c>
      <c r="I2047" s="3">
        <v>44561</v>
      </c>
      <c r="J2047" t="s">
        <v>108</v>
      </c>
      <c r="K2047">
        <v>442008.98389999999</v>
      </c>
      <c r="L2047" t="s">
        <v>109</v>
      </c>
      <c r="M2047" t="s">
        <v>82</v>
      </c>
      <c r="O2047" t="s">
        <v>600</v>
      </c>
      <c r="P2047" t="s">
        <v>550</v>
      </c>
      <c r="Q2047">
        <v>2021</v>
      </c>
      <c r="R2047" t="s">
        <v>551</v>
      </c>
      <c r="S2047" t="s">
        <v>552</v>
      </c>
      <c r="T2047" t="s">
        <v>553</v>
      </c>
      <c r="U2047" t="b">
        <v>0</v>
      </c>
      <c r="V2047" t="s">
        <v>1007</v>
      </c>
      <c r="W2047" t="s">
        <v>555</v>
      </c>
      <c r="X2047" t="s">
        <v>556</v>
      </c>
      <c r="Y2047" t="s">
        <v>472</v>
      </c>
      <c r="Z2047" t="s">
        <v>491</v>
      </c>
      <c r="AA2047" t="s">
        <v>522</v>
      </c>
      <c r="AC2047">
        <v>1</v>
      </c>
      <c r="AD2047" t="s">
        <v>565</v>
      </c>
      <c r="AE2047">
        <v>85175.131200000003</v>
      </c>
      <c r="AF2047" t="s">
        <v>559</v>
      </c>
      <c r="AG2047" t="s">
        <v>560</v>
      </c>
      <c r="AH2047">
        <v>1</v>
      </c>
      <c r="AI2047">
        <v>442008.98389999999</v>
      </c>
      <c r="AJ2047" t="s">
        <v>561</v>
      </c>
      <c r="AK2047" t="s">
        <v>562</v>
      </c>
      <c r="AL2047" t="s">
        <v>601</v>
      </c>
      <c r="AM2047">
        <v>2021</v>
      </c>
      <c r="AN2047">
        <v>2019</v>
      </c>
      <c r="AO2047">
        <f>IF(AND(emissions[[#This Row],[Market-based]]=0,emissions[[#This Row],[Impact Type]]="CO2E"),emissions[[#This Row],[kgCO2e]],0)/1000</f>
        <v>0</v>
      </c>
      <c r="AP2047">
        <f>IF(AND(emissions[[#This Row],[Market-based]]=1,OR(emissions[[#This Row],[Impact Type]]="CO2E",emissions[[#This Row],[Impact Type]]="CO2E MKT")),emissions[[#This Row],[kgCO2e]],0)/1000</f>
        <v>85.17513120000001</v>
      </c>
      <c r="AQ2047" t="str">
        <f>_xlfn.TEXTAFTER(emissions[[#This Row],[Reporting Unit]]," &gt; ",LEN(emissions[[#This Row],[Reporting Unit]])-LEN(SUBSTITUTE(emissions[[#This Row],[Reporting Unit]],"&gt;","")))</f>
        <v>Vantage_Bogotá</v>
      </c>
      <c r="AR2047" t="str">
        <f>_xlfn.XLOOKUP(emissions[[#This Row],[Reporting unit name]],hierarchy!$A:$A,hierarchy!$C:$C)</f>
        <v>Office</v>
      </c>
    </row>
    <row r="2048" spans="1:44" hidden="1" x14ac:dyDescent="0.25">
      <c r="A2048">
        <v>4941</v>
      </c>
      <c r="B2048" t="s">
        <v>237</v>
      </c>
      <c r="C2048" t="s">
        <v>501</v>
      </c>
      <c r="D2048" t="s">
        <v>599</v>
      </c>
      <c r="E2048" s="3">
        <v>44197</v>
      </c>
      <c r="F2048" s="3">
        <v>44561</v>
      </c>
      <c r="G2048" t="s">
        <v>108</v>
      </c>
      <c r="H2048" s="3">
        <v>44197</v>
      </c>
      <c r="I2048" s="3">
        <v>44561</v>
      </c>
      <c r="J2048" t="s">
        <v>108</v>
      </c>
      <c r="K2048">
        <v>442008.98389999999</v>
      </c>
      <c r="L2048" t="s">
        <v>109</v>
      </c>
      <c r="M2048" t="s">
        <v>82</v>
      </c>
      <c r="O2048" t="s">
        <v>600</v>
      </c>
      <c r="P2048" t="s">
        <v>550</v>
      </c>
      <c r="Q2048">
        <v>2021</v>
      </c>
      <c r="R2048" t="s">
        <v>551</v>
      </c>
      <c r="S2048" t="s">
        <v>552</v>
      </c>
      <c r="T2048" t="s">
        <v>553</v>
      </c>
      <c r="U2048" t="b">
        <v>0</v>
      </c>
      <c r="V2048" t="s">
        <v>1007</v>
      </c>
      <c r="W2048" t="s">
        <v>555</v>
      </c>
      <c r="X2048" t="s">
        <v>556</v>
      </c>
      <c r="Y2048" t="s">
        <v>472</v>
      </c>
      <c r="Z2048" t="s">
        <v>491</v>
      </c>
      <c r="AA2048" t="s">
        <v>522</v>
      </c>
      <c r="AC2048">
        <v>1</v>
      </c>
      <c r="AD2048" t="s">
        <v>566</v>
      </c>
      <c r="AE2048">
        <v>397.8080855</v>
      </c>
      <c r="AF2048" t="s">
        <v>559</v>
      </c>
      <c r="AG2048" t="s">
        <v>560</v>
      </c>
      <c r="AH2048">
        <v>1</v>
      </c>
      <c r="AI2048">
        <v>442008.98389999999</v>
      </c>
      <c r="AJ2048" t="s">
        <v>561</v>
      </c>
      <c r="AK2048" t="s">
        <v>562</v>
      </c>
      <c r="AL2048" t="s">
        <v>601</v>
      </c>
      <c r="AM2048">
        <v>2021</v>
      </c>
      <c r="AN2048">
        <v>2019</v>
      </c>
      <c r="AO2048">
        <f>IF(AND(emissions[[#This Row],[Market-based]]=0,emissions[[#This Row],[Impact Type]]="CO2E"),emissions[[#This Row],[kgCO2e]],0)/1000</f>
        <v>0</v>
      </c>
      <c r="AP2048">
        <f>IF(AND(emissions[[#This Row],[Market-based]]=1,OR(emissions[[#This Row],[Impact Type]]="CO2E",emissions[[#This Row],[Impact Type]]="CO2E MKT")),emissions[[#This Row],[kgCO2e]],0)/1000</f>
        <v>0</v>
      </c>
      <c r="AQ2048" t="str">
        <f>_xlfn.TEXTAFTER(emissions[[#This Row],[Reporting Unit]]," &gt; ",LEN(emissions[[#This Row],[Reporting Unit]])-LEN(SUBSTITUTE(emissions[[#This Row],[Reporting Unit]],"&gt;","")))</f>
        <v>Vantage_Bogotá</v>
      </c>
      <c r="AR2048" t="str">
        <f>_xlfn.XLOOKUP(emissions[[#This Row],[Reporting unit name]],hierarchy!$A:$A,hierarchy!$C:$C)</f>
        <v>Office</v>
      </c>
    </row>
    <row r="2049" spans="1:44" hidden="1" x14ac:dyDescent="0.25">
      <c r="A2049">
        <v>4941</v>
      </c>
      <c r="B2049" t="s">
        <v>237</v>
      </c>
      <c r="C2049" t="s">
        <v>501</v>
      </c>
      <c r="D2049" t="s">
        <v>599</v>
      </c>
      <c r="E2049" s="3">
        <v>44197</v>
      </c>
      <c r="F2049" s="3">
        <v>44561</v>
      </c>
      <c r="G2049" t="s">
        <v>108</v>
      </c>
      <c r="H2049" s="3">
        <v>44197</v>
      </c>
      <c r="I2049" s="3">
        <v>44561</v>
      </c>
      <c r="J2049" t="s">
        <v>108</v>
      </c>
      <c r="K2049">
        <v>442008.98389999999</v>
      </c>
      <c r="L2049" t="s">
        <v>109</v>
      </c>
      <c r="M2049" t="s">
        <v>82</v>
      </c>
      <c r="O2049" t="s">
        <v>600</v>
      </c>
      <c r="P2049" t="s">
        <v>550</v>
      </c>
      <c r="Q2049">
        <v>2021</v>
      </c>
      <c r="R2049" t="s">
        <v>567</v>
      </c>
      <c r="S2049" t="s">
        <v>568</v>
      </c>
      <c r="T2049" t="s">
        <v>569</v>
      </c>
      <c r="U2049" t="b">
        <v>0</v>
      </c>
      <c r="V2049" t="s">
        <v>1013</v>
      </c>
      <c r="W2049" t="s">
        <v>571</v>
      </c>
      <c r="X2049" t="s">
        <v>572</v>
      </c>
      <c r="Y2049" t="s">
        <v>472</v>
      </c>
      <c r="Z2049" t="s">
        <v>491</v>
      </c>
      <c r="AA2049" t="s">
        <v>522</v>
      </c>
      <c r="AC2049">
        <v>0</v>
      </c>
      <c r="AD2049" t="s">
        <v>558</v>
      </c>
      <c r="AE2049">
        <v>3.3549806289999999</v>
      </c>
      <c r="AF2049" s="13">
        <v>7.5903E-6</v>
      </c>
      <c r="AG2049" t="s">
        <v>560</v>
      </c>
      <c r="AH2049">
        <v>1</v>
      </c>
      <c r="AI2049">
        <v>442008.98389999999</v>
      </c>
      <c r="AJ2049" t="s">
        <v>561</v>
      </c>
      <c r="AK2049" t="s">
        <v>573</v>
      </c>
      <c r="AL2049" t="s">
        <v>1014</v>
      </c>
      <c r="AM2049">
        <v>2021</v>
      </c>
      <c r="AN2049">
        <v>2019</v>
      </c>
      <c r="AO2049">
        <f>IF(AND(emissions[[#This Row],[Market-based]]=0,emissions[[#This Row],[Impact Type]]="CO2E"),emissions[[#This Row],[kgCO2e]],0)/1000</f>
        <v>0</v>
      </c>
      <c r="AP2049">
        <f>IF(AND(emissions[[#This Row],[Market-based]]=1,OR(emissions[[#This Row],[Impact Type]]="CO2E",emissions[[#This Row],[Impact Type]]="CO2E MKT")),emissions[[#This Row],[kgCO2e]],0)/1000</f>
        <v>0</v>
      </c>
      <c r="AQ2049" t="str">
        <f>_xlfn.TEXTAFTER(emissions[[#This Row],[Reporting Unit]]," &gt; ",LEN(emissions[[#This Row],[Reporting Unit]])-LEN(SUBSTITUTE(emissions[[#This Row],[Reporting Unit]],"&gt;","")))</f>
        <v>Vantage_Bogotá</v>
      </c>
      <c r="AR2049" t="str">
        <f>_xlfn.XLOOKUP(emissions[[#This Row],[Reporting unit name]],hierarchy!$A:$A,hierarchy!$C:$C)</f>
        <v>Office</v>
      </c>
    </row>
    <row r="2050" spans="1:44" hidden="1" x14ac:dyDescent="0.25">
      <c r="A2050">
        <v>4941</v>
      </c>
      <c r="B2050" t="s">
        <v>237</v>
      </c>
      <c r="C2050" t="s">
        <v>501</v>
      </c>
      <c r="D2050" t="s">
        <v>599</v>
      </c>
      <c r="E2050" s="3">
        <v>44197</v>
      </c>
      <c r="F2050" s="3">
        <v>44561</v>
      </c>
      <c r="G2050" t="s">
        <v>108</v>
      </c>
      <c r="H2050" s="3">
        <v>44197</v>
      </c>
      <c r="I2050" s="3">
        <v>44561</v>
      </c>
      <c r="J2050" t="s">
        <v>108</v>
      </c>
      <c r="K2050">
        <v>442008.98389999999</v>
      </c>
      <c r="L2050" t="s">
        <v>109</v>
      </c>
      <c r="M2050" t="s">
        <v>82</v>
      </c>
      <c r="O2050" t="s">
        <v>600</v>
      </c>
      <c r="P2050" t="s">
        <v>550</v>
      </c>
      <c r="Q2050">
        <v>2021</v>
      </c>
      <c r="R2050" t="s">
        <v>567</v>
      </c>
      <c r="S2050" t="s">
        <v>568</v>
      </c>
      <c r="T2050" t="s">
        <v>569</v>
      </c>
      <c r="U2050" t="b">
        <v>0</v>
      </c>
      <c r="V2050" t="s">
        <v>1013</v>
      </c>
      <c r="W2050" t="s">
        <v>571</v>
      </c>
      <c r="X2050" t="s">
        <v>572</v>
      </c>
      <c r="Y2050" t="s">
        <v>472</v>
      </c>
      <c r="Z2050" t="s">
        <v>491</v>
      </c>
      <c r="AA2050" t="s">
        <v>522</v>
      </c>
      <c r="AC2050">
        <v>0</v>
      </c>
      <c r="AD2050" t="s">
        <v>564</v>
      </c>
      <c r="AE2050">
        <v>2141.5959680000001</v>
      </c>
      <c r="AF2050">
        <v>4.8451409999999999E-3</v>
      </c>
      <c r="AG2050" t="s">
        <v>560</v>
      </c>
      <c r="AH2050">
        <v>1</v>
      </c>
      <c r="AI2050">
        <v>442008.98389999999</v>
      </c>
      <c r="AJ2050" t="s">
        <v>561</v>
      </c>
      <c r="AK2050" t="s">
        <v>573</v>
      </c>
      <c r="AL2050" t="s">
        <v>1014</v>
      </c>
      <c r="AM2050">
        <v>2021</v>
      </c>
      <c r="AN2050">
        <v>2019</v>
      </c>
      <c r="AO2050">
        <f>IF(AND(emissions[[#This Row],[Market-based]]=0,emissions[[#This Row],[Impact Type]]="CO2E"),emissions[[#This Row],[kgCO2e]],0)/1000</f>
        <v>0</v>
      </c>
      <c r="AP2050">
        <f>IF(AND(emissions[[#This Row],[Market-based]]=1,OR(emissions[[#This Row],[Impact Type]]="CO2E",emissions[[#This Row],[Impact Type]]="CO2E MKT")),emissions[[#This Row],[kgCO2e]],0)/1000</f>
        <v>0</v>
      </c>
      <c r="AQ2050" t="str">
        <f>_xlfn.TEXTAFTER(emissions[[#This Row],[Reporting Unit]]," &gt; ",LEN(emissions[[#This Row],[Reporting Unit]])-LEN(SUBSTITUTE(emissions[[#This Row],[Reporting Unit]],"&gt;","")))</f>
        <v>Vantage_Bogotá</v>
      </c>
      <c r="AR2050" t="str">
        <f>_xlfn.XLOOKUP(emissions[[#This Row],[Reporting unit name]],hierarchy!$A:$A,hierarchy!$C:$C)</f>
        <v>Office</v>
      </c>
    </row>
    <row r="2051" spans="1:44" hidden="1" x14ac:dyDescent="0.25">
      <c r="A2051">
        <v>4941</v>
      </c>
      <c r="B2051" t="s">
        <v>237</v>
      </c>
      <c r="C2051" t="s">
        <v>501</v>
      </c>
      <c r="D2051" t="s">
        <v>599</v>
      </c>
      <c r="E2051" s="3">
        <v>44197</v>
      </c>
      <c r="F2051" s="3">
        <v>44561</v>
      </c>
      <c r="G2051" t="s">
        <v>108</v>
      </c>
      <c r="H2051" s="3">
        <v>44197</v>
      </c>
      <c r="I2051" s="3">
        <v>44561</v>
      </c>
      <c r="J2051" t="s">
        <v>108</v>
      </c>
      <c r="K2051">
        <v>442008.98389999999</v>
      </c>
      <c r="L2051" t="s">
        <v>109</v>
      </c>
      <c r="M2051" t="s">
        <v>82</v>
      </c>
      <c r="O2051" t="s">
        <v>600</v>
      </c>
      <c r="P2051" t="s">
        <v>550</v>
      </c>
      <c r="Q2051">
        <v>2021</v>
      </c>
      <c r="R2051" t="s">
        <v>567</v>
      </c>
      <c r="S2051" t="s">
        <v>568</v>
      </c>
      <c r="T2051" t="s">
        <v>569</v>
      </c>
      <c r="U2051" t="b">
        <v>0</v>
      </c>
      <c r="V2051" t="s">
        <v>1013</v>
      </c>
      <c r="W2051" t="s">
        <v>571</v>
      </c>
      <c r="X2051" t="s">
        <v>572</v>
      </c>
      <c r="Y2051" t="s">
        <v>472</v>
      </c>
      <c r="Z2051" t="s">
        <v>491</v>
      </c>
      <c r="AA2051" t="s">
        <v>522</v>
      </c>
      <c r="AC2051">
        <v>0</v>
      </c>
      <c r="AD2051" t="s">
        <v>565</v>
      </c>
      <c r="AE2051">
        <v>2155.015891</v>
      </c>
      <c r="AF2051">
        <v>4.8755020000000003E-3</v>
      </c>
      <c r="AG2051" t="s">
        <v>560</v>
      </c>
      <c r="AH2051">
        <v>1</v>
      </c>
      <c r="AI2051">
        <v>442008.98389999999</v>
      </c>
      <c r="AJ2051" t="s">
        <v>561</v>
      </c>
      <c r="AK2051" t="s">
        <v>573</v>
      </c>
      <c r="AL2051" t="s">
        <v>1014</v>
      </c>
      <c r="AM2051">
        <v>2021</v>
      </c>
      <c r="AN2051">
        <v>2019</v>
      </c>
      <c r="AO2051">
        <f>IF(AND(emissions[[#This Row],[Market-based]]=0,emissions[[#This Row],[Impact Type]]="CO2E"),emissions[[#This Row],[kgCO2e]],0)/1000</f>
        <v>2.1550158910000001</v>
      </c>
      <c r="AP2051">
        <f>IF(AND(emissions[[#This Row],[Market-based]]=1,OR(emissions[[#This Row],[Impact Type]]="CO2E",emissions[[#This Row],[Impact Type]]="CO2E MKT")),emissions[[#This Row],[kgCO2e]],0)/1000</f>
        <v>0</v>
      </c>
      <c r="AQ2051" t="str">
        <f>_xlfn.TEXTAFTER(emissions[[#This Row],[Reporting Unit]]," &gt; ",LEN(emissions[[#This Row],[Reporting Unit]])-LEN(SUBSTITUTE(emissions[[#This Row],[Reporting Unit]],"&gt;","")))</f>
        <v>Vantage_Bogotá</v>
      </c>
      <c r="AR2051" t="str">
        <f>_xlfn.XLOOKUP(emissions[[#This Row],[Reporting unit name]],hierarchy!$A:$A,hierarchy!$C:$C)</f>
        <v>Office</v>
      </c>
    </row>
    <row r="2052" spans="1:44" hidden="1" x14ac:dyDescent="0.25">
      <c r="A2052">
        <v>4941</v>
      </c>
      <c r="B2052" t="s">
        <v>237</v>
      </c>
      <c r="C2052" t="s">
        <v>501</v>
      </c>
      <c r="D2052" t="s">
        <v>599</v>
      </c>
      <c r="E2052" s="3">
        <v>44197</v>
      </c>
      <c r="F2052" s="3">
        <v>44561</v>
      </c>
      <c r="G2052" t="s">
        <v>108</v>
      </c>
      <c r="H2052" s="3">
        <v>44197</v>
      </c>
      <c r="I2052" s="3">
        <v>44561</v>
      </c>
      <c r="J2052" t="s">
        <v>108</v>
      </c>
      <c r="K2052">
        <v>442008.98389999999</v>
      </c>
      <c r="L2052" t="s">
        <v>109</v>
      </c>
      <c r="M2052" t="s">
        <v>82</v>
      </c>
      <c r="O2052" t="s">
        <v>600</v>
      </c>
      <c r="P2052" t="s">
        <v>550</v>
      </c>
      <c r="Q2052">
        <v>2021</v>
      </c>
      <c r="R2052" t="s">
        <v>567</v>
      </c>
      <c r="S2052" t="s">
        <v>568</v>
      </c>
      <c r="T2052" t="s">
        <v>569</v>
      </c>
      <c r="U2052" t="b">
        <v>0</v>
      </c>
      <c r="V2052" t="s">
        <v>1013</v>
      </c>
      <c r="W2052" t="s">
        <v>571</v>
      </c>
      <c r="X2052" t="s">
        <v>572</v>
      </c>
      <c r="Y2052" t="s">
        <v>472</v>
      </c>
      <c r="Z2052" t="s">
        <v>491</v>
      </c>
      <c r="AA2052" t="s">
        <v>522</v>
      </c>
      <c r="AC2052">
        <v>0</v>
      </c>
      <c r="AD2052" t="s">
        <v>566</v>
      </c>
      <c r="AE2052">
        <v>10.06494189</v>
      </c>
      <c r="AF2052" s="13">
        <v>2.2770899999999999E-5</v>
      </c>
      <c r="AG2052" t="s">
        <v>560</v>
      </c>
      <c r="AH2052">
        <v>1</v>
      </c>
      <c r="AI2052">
        <v>442008.98389999999</v>
      </c>
      <c r="AJ2052" t="s">
        <v>561</v>
      </c>
      <c r="AK2052" t="s">
        <v>573</v>
      </c>
      <c r="AL2052" t="s">
        <v>1014</v>
      </c>
      <c r="AM2052">
        <v>2021</v>
      </c>
      <c r="AN2052">
        <v>2019</v>
      </c>
      <c r="AO2052">
        <f>IF(AND(emissions[[#This Row],[Market-based]]=0,emissions[[#This Row],[Impact Type]]="CO2E"),emissions[[#This Row],[kgCO2e]],0)/1000</f>
        <v>0</v>
      </c>
      <c r="AP2052">
        <f>IF(AND(emissions[[#This Row],[Market-based]]=1,OR(emissions[[#This Row],[Impact Type]]="CO2E",emissions[[#This Row],[Impact Type]]="CO2E MKT")),emissions[[#This Row],[kgCO2e]],0)/1000</f>
        <v>0</v>
      </c>
      <c r="AQ2052" t="str">
        <f>_xlfn.TEXTAFTER(emissions[[#This Row],[Reporting Unit]]," &gt; ",LEN(emissions[[#This Row],[Reporting Unit]])-LEN(SUBSTITUTE(emissions[[#This Row],[Reporting Unit]],"&gt;","")))</f>
        <v>Vantage_Bogotá</v>
      </c>
      <c r="AR2052" t="str">
        <f>_xlfn.XLOOKUP(emissions[[#This Row],[Reporting unit name]],hierarchy!$A:$A,hierarchy!$C:$C)</f>
        <v>Office</v>
      </c>
    </row>
    <row r="2053" spans="1:44" hidden="1" x14ac:dyDescent="0.25">
      <c r="A2053">
        <v>4941</v>
      </c>
      <c r="B2053" t="s">
        <v>237</v>
      </c>
      <c r="C2053" t="s">
        <v>501</v>
      </c>
      <c r="D2053" t="s">
        <v>599</v>
      </c>
      <c r="E2053" s="3">
        <v>44197</v>
      </c>
      <c r="F2053" s="3">
        <v>44561</v>
      </c>
      <c r="G2053" t="s">
        <v>108</v>
      </c>
      <c r="H2053" s="3">
        <v>44197</v>
      </c>
      <c r="I2053" s="3">
        <v>44561</v>
      </c>
      <c r="J2053" t="s">
        <v>108</v>
      </c>
      <c r="K2053">
        <v>442008.98389999999</v>
      </c>
      <c r="L2053" t="s">
        <v>109</v>
      </c>
      <c r="M2053" t="s">
        <v>82</v>
      </c>
      <c r="O2053" t="s">
        <v>600</v>
      </c>
      <c r="P2053" t="s">
        <v>550</v>
      </c>
      <c r="Q2053">
        <v>2021</v>
      </c>
      <c r="R2053" t="s">
        <v>567</v>
      </c>
      <c r="S2053" t="s">
        <v>568</v>
      </c>
      <c r="T2053" t="s">
        <v>569</v>
      </c>
      <c r="U2053" t="b">
        <v>0</v>
      </c>
      <c r="V2053" t="s">
        <v>1013</v>
      </c>
      <c r="W2053" t="s">
        <v>571</v>
      </c>
      <c r="X2053" t="s">
        <v>572</v>
      </c>
      <c r="Y2053" t="s">
        <v>472</v>
      </c>
      <c r="Z2053" t="s">
        <v>491</v>
      </c>
      <c r="AA2053" t="s">
        <v>522</v>
      </c>
      <c r="AC2053">
        <v>1</v>
      </c>
      <c r="AD2053" t="s">
        <v>558</v>
      </c>
      <c r="AE2053">
        <v>3.3549806289999999</v>
      </c>
      <c r="AF2053" s="13">
        <v>7.5903E-6</v>
      </c>
      <c r="AG2053" t="s">
        <v>560</v>
      </c>
      <c r="AH2053">
        <v>1</v>
      </c>
      <c r="AI2053">
        <v>442008.98389999999</v>
      </c>
      <c r="AJ2053" t="s">
        <v>561</v>
      </c>
      <c r="AK2053" t="s">
        <v>573</v>
      </c>
      <c r="AL2053" t="s">
        <v>1014</v>
      </c>
      <c r="AM2053">
        <v>2021</v>
      </c>
      <c r="AN2053">
        <v>2019</v>
      </c>
      <c r="AO2053">
        <f>IF(AND(emissions[[#This Row],[Market-based]]=0,emissions[[#This Row],[Impact Type]]="CO2E"),emissions[[#This Row],[kgCO2e]],0)/1000</f>
        <v>0</v>
      </c>
      <c r="AP2053">
        <f>IF(AND(emissions[[#This Row],[Market-based]]=1,OR(emissions[[#This Row],[Impact Type]]="CO2E",emissions[[#This Row],[Impact Type]]="CO2E MKT")),emissions[[#This Row],[kgCO2e]],0)/1000</f>
        <v>0</v>
      </c>
      <c r="AQ2053" t="str">
        <f>_xlfn.TEXTAFTER(emissions[[#This Row],[Reporting Unit]]," &gt; ",LEN(emissions[[#This Row],[Reporting Unit]])-LEN(SUBSTITUTE(emissions[[#This Row],[Reporting Unit]],"&gt;","")))</f>
        <v>Vantage_Bogotá</v>
      </c>
      <c r="AR2053" t="str">
        <f>_xlfn.XLOOKUP(emissions[[#This Row],[Reporting unit name]],hierarchy!$A:$A,hierarchy!$C:$C)</f>
        <v>Office</v>
      </c>
    </row>
    <row r="2054" spans="1:44" hidden="1" x14ac:dyDescent="0.25">
      <c r="A2054">
        <v>4941</v>
      </c>
      <c r="B2054" t="s">
        <v>237</v>
      </c>
      <c r="C2054" t="s">
        <v>501</v>
      </c>
      <c r="D2054" t="s">
        <v>599</v>
      </c>
      <c r="E2054" s="3">
        <v>44197</v>
      </c>
      <c r="F2054" s="3">
        <v>44561</v>
      </c>
      <c r="G2054" t="s">
        <v>108</v>
      </c>
      <c r="H2054" s="3">
        <v>44197</v>
      </c>
      <c r="I2054" s="3">
        <v>44561</v>
      </c>
      <c r="J2054" t="s">
        <v>108</v>
      </c>
      <c r="K2054">
        <v>442008.98389999999</v>
      </c>
      <c r="L2054" t="s">
        <v>109</v>
      </c>
      <c r="M2054" t="s">
        <v>82</v>
      </c>
      <c r="O2054" t="s">
        <v>600</v>
      </c>
      <c r="P2054" t="s">
        <v>550</v>
      </c>
      <c r="Q2054">
        <v>2021</v>
      </c>
      <c r="R2054" t="s">
        <v>567</v>
      </c>
      <c r="S2054" t="s">
        <v>568</v>
      </c>
      <c r="T2054" t="s">
        <v>569</v>
      </c>
      <c r="U2054" t="b">
        <v>0</v>
      </c>
      <c r="V2054" t="s">
        <v>1013</v>
      </c>
      <c r="W2054" t="s">
        <v>571</v>
      </c>
      <c r="X2054" t="s">
        <v>572</v>
      </c>
      <c r="Y2054" t="s">
        <v>472</v>
      </c>
      <c r="Z2054" t="s">
        <v>491</v>
      </c>
      <c r="AA2054" t="s">
        <v>522</v>
      </c>
      <c r="AC2054">
        <v>1</v>
      </c>
      <c r="AD2054" t="s">
        <v>564</v>
      </c>
      <c r="AE2054">
        <v>2141.5959680000001</v>
      </c>
      <c r="AF2054">
        <v>4.8451409999999999E-3</v>
      </c>
      <c r="AG2054" t="s">
        <v>560</v>
      </c>
      <c r="AH2054">
        <v>1</v>
      </c>
      <c r="AI2054">
        <v>442008.98389999999</v>
      </c>
      <c r="AJ2054" t="s">
        <v>561</v>
      </c>
      <c r="AK2054" t="s">
        <v>573</v>
      </c>
      <c r="AL2054" t="s">
        <v>1014</v>
      </c>
      <c r="AM2054">
        <v>2021</v>
      </c>
      <c r="AN2054">
        <v>2019</v>
      </c>
      <c r="AO2054">
        <f>IF(AND(emissions[[#This Row],[Market-based]]=0,emissions[[#This Row],[Impact Type]]="CO2E"),emissions[[#This Row],[kgCO2e]],0)/1000</f>
        <v>0</v>
      </c>
      <c r="AP2054">
        <f>IF(AND(emissions[[#This Row],[Market-based]]=1,OR(emissions[[#This Row],[Impact Type]]="CO2E",emissions[[#This Row],[Impact Type]]="CO2E MKT")),emissions[[#This Row],[kgCO2e]],0)/1000</f>
        <v>0</v>
      </c>
      <c r="AQ2054" t="str">
        <f>_xlfn.TEXTAFTER(emissions[[#This Row],[Reporting Unit]]," &gt; ",LEN(emissions[[#This Row],[Reporting Unit]])-LEN(SUBSTITUTE(emissions[[#This Row],[Reporting Unit]],"&gt;","")))</f>
        <v>Vantage_Bogotá</v>
      </c>
      <c r="AR2054" t="str">
        <f>_xlfn.XLOOKUP(emissions[[#This Row],[Reporting unit name]],hierarchy!$A:$A,hierarchy!$C:$C)</f>
        <v>Office</v>
      </c>
    </row>
    <row r="2055" spans="1:44" hidden="1" x14ac:dyDescent="0.25">
      <c r="A2055">
        <v>4941</v>
      </c>
      <c r="B2055" t="s">
        <v>237</v>
      </c>
      <c r="C2055" t="s">
        <v>501</v>
      </c>
      <c r="D2055" t="s">
        <v>599</v>
      </c>
      <c r="E2055" s="3">
        <v>44197</v>
      </c>
      <c r="F2055" s="3">
        <v>44561</v>
      </c>
      <c r="G2055" t="s">
        <v>108</v>
      </c>
      <c r="H2055" s="3">
        <v>44197</v>
      </c>
      <c r="I2055" s="3">
        <v>44561</v>
      </c>
      <c r="J2055" t="s">
        <v>108</v>
      </c>
      <c r="K2055">
        <v>442008.98389999999</v>
      </c>
      <c r="L2055" t="s">
        <v>109</v>
      </c>
      <c r="M2055" t="s">
        <v>82</v>
      </c>
      <c r="O2055" t="s">
        <v>600</v>
      </c>
      <c r="P2055" t="s">
        <v>550</v>
      </c>
      <c r="Q2055">
        <v>2021</v>
      </c>
      <c r="R2055" t="s">
        <v>567</v>
      </c>
      <c r="S2055" t="s">
        <v>568</v>
      </c>
      <c r="T2055" t="s">
        <v>569</v>
      </c>
      <c r="U2055" t="b">
        <v>0</v>
      </c>
      <c r="V2055" t="s">
        <v>1013</v>
      </c>
      <c r="W2055" t="s">
        <v>571</v>
      </c>
      <c r="X2055" t="s">
        <v>572</v>
      </c>
      <c r="Y2055" t="s">
        <v>472</v>
      </c>
      <c r="Z2055" t="s">
        <v>491</v>
      </c>
      <c r="AA2055" t="s">
        <v>522</v>
      </c>
      <c r="AC2055">
        <v>1</v>
      </c>
      <c r="AD2055" t="s">
        <v>565</v>
      </c>
      <c r="AE2055">
        <v>2155.015891</v>
      </c>
      <c r="AF2055">
        <v>4.8755020000000003E-3</v>
      </c>
      <c r="AG2055" t="s">
        <v>560</v>
      </c>
      <c r="AH2055">
        <v>1</v>
      </c>
      <c r="AI2055">
        <v>442008.98389999999</v>
      </c>
      <c r="AJ2055" t="s">
        <v>561</v>
      </c>
      <c r="AK2055" t="s">
        <v>573</v>
      </c>
      <c r="AL2055" t="s">
        <v>1014</v>
      </c>
      <c r="AM2055">
        <v>2021</v>
      </c>
      <c r="AN2055">
        <v>2019</v>
      </c>
      <c r="AO2055">
        <f>IF(AND(emissions[[#This Row],[Market-based]]=0,emissions[[#This Row],[Impact Type]]="CO2E"),emissions[[#This Row],[kgCO2e]],0)/1000</f>
        <v>0</v>
      </c>
      <c r="AP2055">
        <f>IF(AND(emissions[[#This Row],[Market-based]]=1,OR(emissions[[#This Row],[Impact Type]]="CO2E",emissions[[#This Row],[Impact Type]]="CO2E MKT")),emissions[[#This Row],[kgCO2e]],0)/1000</f>
        <v>2.1550158910000001</v>
      </c>
      <c r="AQ2055" t="str">
        <f>_xlfn.TEXTAFTER(emissions[[#This Row],[Reporting Unit]]," &gt; ",LEN(emissions[[#This Row],[Reporting Unit]])-LEN(SUBSTITUTE(emissions[[#This Row],[Reporting Unit]],"&gt;","")))</f>
        <v>Vantage_Bogotá</v>
      </c>
      <c r="AR2055" t="str">
        <f>_xlfn.XLOOKUP(emissions[[#This Row],[Reporting unit name]],hierarchy!$A:$A,hierarchy!$C:$C)</f>
        <v>Office</v>
      </c>
    </row>
    <row r="2056" spans="1:44" hidden="1" x14ac:dyDescent="0.25">
      <c r="A2056">
        <v>4941</v>
      </c>
      <c r="B2056" t="s">
        <v>237</v>
      </c>
      <c r="C2056" t="s">
        <v>501</v>
      </c>
      <c r="D2056" t="s">
        <v>599</v>
      </c>
      <c r="E2056" s="3">
        <v>44197</v>
      </c>
      <c r="F2056" s="3">
        <v>44561</v>
      </c>
      <c r="G2056" t="s">
        <v>108</v>
      </c>
      <c r="H2056" s="3">
        <v>44197</v>
      </c>
      <c r="I2056" s="3">
        <v>44561</v>
      </c>
      <c r="J2056" t="s">
        <v>108</v>
      </c>
      <c r="K2056">
        <v>442008.98389999999</v>
      </c>
      <c r="L2056" t="s">
        <v>109</v>
      </c>
      <c r="M2056" t="s">
        <v>82</v>
      </c>
      <c r="O2056" t="s">
        <v>600</v>
      </c>
      <c r="P2056" t="s">
        <v>550</v>
      </c>
      <c r="Q2056">
        <v>2021</v>
      </c>
      <c r="R2056" t="s">
        <v>567</v>
      </c>
      <c r="S2056" t="s">
        <v>568</v>
      </c>
      <c r="T2056" t="s">
        <v>569</v>
      </c>
      <c r="U2056" t="b">
        <v>0</v>
      </c>
      <c r="V2056" t="s">
        <v>1013</v>
      </c>
      <c r="W2056" t="s">
        <v>571</v>
      </c>
      <c r="X2056" t="s">
        <v>572</v>
      </c>
      <c r="Y2056" t="s">
        <v>472</v>
      </c>
      <c r="Z2056" t="s">
        <v>491</v>
      </c>
      <c r="AA2056" t="s">
        <v>522</v>
      </c>
      <c r="AC2056">
        <v>1</v>
      </c>
      <c r="AD2056" t="s">
        <v>566</v>
      </c>
      <c r="AE2056">
        <v>10.06494189</v>
      </c>
      <c r="AF2056" s="13">
        <v>2.2770899999999999E-5</v>
      </c>
      <c r="AG2056" t="s">
        <v>560</v>
      </c>
      <c r="AH2056">
        <v>1</v>
      </c>
      <c r="AI2056">
        <v>442008.98389999999</v>
      </c>
      <c r="AJ2056" t="s">
        <v>561</v>
      </c>
      <c r="AK2056" t="s">
        <v>573</v>
      </c>
      <c r="AL2056" t="s">
        <v>1014</v>
      </c>
      <c r="AM2056">
        <v>2021</v>
      </c>
      <c r="AN2056">
        <v>2019</v>
      </c>
      <c r="AO2056">
        <f>IF(AND(emissions[[#This Row],[Market-based]]=0,emissions[[#This Row],[Impact Type]]="CO2E"),emissions[[#This Row],[kgCO2e]],0)/1000</f>
        <v>0</v>
      </c>
      <c r="AP2056">
        <f>IF(AND(emissions[[#This Row],[Market-based]]=1,OR(emissions[[#This Row],[Impact Type]]="CO2E",emissions[[#This Row],[Impact Type]]="CO2E MKT")),emissions[[#This Row],[kgCO2e]],0)/1000</f>
        <v>0</v>
      </c>
      <c r="AQ2056" t="str">
        <f>_xlfn.TEXTAFTER(emissions[[#This Row],[Reporting Unit]]," &gt; ",LEN(emissions[[#This Row],[Reporting Unit]])-LEN(SUBSTITUTE(emissions[[#This Row],[Reporting Unit]],"&gt;","")))</f>
        <v>Vantage_Bogotá</v>
      </c>
      <c r="AR2056" t="str">
        <f>_xlfn.XLOOKUP(emissions[[#This Row],[Reporting unit name]],hierarchy!$A:$A,hierarchy!$C:$C)</f>
        <v>Office</v>
      </c>
    </row>
    <row r="2057" spans="1:44" hidden="1" x14ac:dyDescent="0.25">
      <c r="A2057">
        <v>4941</v>
      </c>
      <c r="B2057" t="s">
        <v>237</v>
      </c>
      <c r="C2057" t="s">
        <v>501</v>
      </c>
      <c r="D2057" t="s">
        <v>599</v>
      </c>
      <c r="E2057" s="3">
        <v>44197</v>
      </c>
      <c r="F2057" s="3">
        <v>44561</v>
      </c>
      <c r="G2057" t="s">
        <v>108</v>
      </c>
      <c r="H2057" s="3">
        <v>44197</v>
      </c>
      <c r="I2057" s="3">
        <v>44561</v>
      </c>
      <c r="J2057" t="s">
        <v>108</v>
      </c>
      <c r="K2057">
        <v>442008.98389999999</v>
      </c>
      <c r="L2057" t="s">
        <v>109</v>
      </c>
      <c r="M2057" t="s">
        <v>82</v>
      </c>
      <c r="O2057" t="s">
        <v>600</v>
      </c>
      <c r="P2057" t="s">
        <v>550</v>
      </c>
      <c r="Q2057">
        <v>2021</v>
      </c>
      <c r="R2057" t="s">
        <v>575</v>
      </c>
      <c r="S2057" t="s">
        <v>576</v>
      </c>
      <c r="T2057" t="s">
        <v>577</v>
      </c>
      <c r="U2057" t="b">
        <v>0</v>
      </c>
      <c r="V2057" t="s">
        <v>1015</v>
      </c>
      <c r="W2057" t="s">
        <v>571</v>
      </c>
      <c r="X2057" t="s">
        <v>572</v>
      </c>
      <c r="Y2057" t="s">
        <v>472</v>
      </c>
      <c r="Z2057" t="s">
        <v>491</v>
      </c>
      <c r="AA2057" t="s">
        <v>522</v>
      </c>
      <c r="AC2057">
        <v>0</v>
      </c>
      <c r="AD2057" t="s">
        <v>558</v>
      </c>
      <c r="AE2057">
        <v>28.090016760000001</v>
      </c>
      <c r="AF2057" s="13">
        <v>6.3550800000000001E-5</v>
      </c>
      <c r="AG2057" t="s">
        <v>560</v>
      </c>
      <c r="AH2057">
        <v>1</v>
      </c>
      <c r="AI2057">
        <v>442008.98389999999</v>
      </c>
      <c r="AJ2057" t="s">
        <v>561</v>
      </c>
      <c r="AK2057" t="s">
        <v>573</v>
      </c>
      <c r="AL2057" t="s">
        <v>1016</v>
      </c>
      <c r="AM2057">
        <v>2021</v>
      </c>
      <c r="AN2057">
        <v>2019</v>
      </c>
      <c r="AO2057">
        <f>IF(AND(emissions[[#This Row],[Market-based]]=0,emissions[[#This Row],[Impact Type]]="CO2E"),emissions[[#This Row],[kgCO2e]],0)/1000</f>
        <v>0</v>
      </c>
      <c r="AP2057">
        <f>IF(AND(emissions[[#This Row],[Market-based]]=1,OR(emissions[[#This Row],[Impact Type]]="CO2E",emissions[[#This Row],[Impact Type]]="CO2E MKT")),emissions[[#This Row],[kgCO2e]],0)/1000</f>
        <v>0</v>
      </c>
      <c r="AQ2057" t="str">
        <f>_xlfn.TEXTAFTER(emissions[[#This Row],[Reporting Unit]]," &gt; ",LEN(emissions[[#This Row],[Reporting Unit]])-LEN(SUBSTITUTE(emissions[[#This Row],[Reporting Unit]],"&gt;","")))</f>
        <v>Vantage_Bogotá</v>
      </c>
      <c r="AR2057" t="str">
        <f>_xlfn.XLOOKUP(emissions[[#This Row],[Reporting unit name]],hierarchy!$A:$A,hierarchy!$C:$C)</f>
        <v>Office</v>
      </c>
    </row>
    <row r="2058" spans="1:44" hidden="1" x14ac:dyDescent="0.25">
      <c r="A2058">
        <v>4941</v>
      </c>
      <c r="B2058" t="s">
        <v>237</v>
      </c>
      <c r="C2058" t="s">
        <v>501</v>
      </c>
      <c r="D2058" t="s">
        <v>599</v>
      </c>
      <c r="E2058" s="3">
        <v>44197</v>
      </c>
      <c r="F2058" s="3">
        <v>44561</v>
      </c>
      <c r="G2058" t="s">
        <v>108</v>
      </c>
      <c r="H2058" s="3">
        <v>44197</v>
      </c>
      <c r="I2058" s="3">
        <v>44561</v>
      </c>
      <c r="J2058" t="s">
        <v>108</v>
      </c>
      <c r="K2058">
        <v>442008.98389999999</v>
      </c>
      <c r="L2058" t="s">
        <v>109</v>
      </c>
      <c r="M2058" t="s">
        <v>82</v>
      </c>
      <c r="O2058" t="s">
        <v>600</v>
      </c>
      <c r="P2058" t="s">
        <v>550</v>
      </c>
      <c r="Q2058">
        <v>2021</v>
      </c>
      <c r="R2058" t="s">
        <v>575</v>
      </c>
      <c r="S2058" t="s">
        <v>576</v>
      </c>
      <c r="T2058" t="s">
        <v>577</v>
      </c>
      <c r="U2058" t="b">
        <v>0</v>
      </c>
      <c r="V2058" t="s">
        <v>1015</v>
      </c>
      <c r="W2058" t="s">
        <v>571</v>
      </c>
      <c r="X2058" t="s">
        <v>572</v>
      </c>
      <c r="Y2058" t="s">
        <v>472</v>
      </c>
      <c r="Z2058" t="s">
        <v>491</v>
      </c>
      <c r="AA2058" t="s">
        <v>522</v>
      </c>
      <c r="AC2058">
        <v>0</v>
      </c>
      <c r="AD2058" t="s">
        <v>564</v>
      </c>
      <c r="AE2058">
        <v>17930.794030000001</v>
      </c>
      <c r="AF2058">
        <v>4.0566583000000003E-2</v>
      </c>
      <c r="AG2058" t="s">
        <v>560</v>
      </c>
      <c r="AH2058">
        <v>1</v>
      </c>
      <c r="AI2058">
        <v>442008.98389999999</v>
      </c>
      <c r="AJ2058" t="s">
        <v>561</v>
      </c>
      <c r="AK2058" t="s">
        <v>573</v>
      </c>
      <c r="AL2058" t="s">
        <v>1016</v>
      </c>
      <c r="AM2058">
        <v>2021</v>
      </c>
      <c r="AN2058">
        <v>2019</v>
      </c>
      <c r="AO2058">
        <f>IF(AND(emissions[[#This Row],[Market-based]]=0,emissions[[#This Row],[Impact Type]]="CO2E"),emissions[[#This Row],[kgCO2e]],0)/1000</f>
        <v>0</v>
      </c>
      <c r="AP2058">
        <f>IF(AND(emissions[[#This Row],[Market-based]]=1,OR(emissions[[#This Row],[Impact Type]]="CO2E",emissions[[#This Row],[Impact Type]]="CO2E MKT")),emissions[[#This Row],[kgCO2e]],0)/1000</f>
        <v>0</v>
      </c>
      <c r="AQ2058" t="str">
        <f>_xlfn.TEXTAFTER(emissions[[#This Row],[Reporting Unit]]," &gt; ",LEN(emissions[[#This Row],[Reporting Unit]])-LEN(SUBSTITUTE(emissions[[#This Row],[Reporting Unit]],"&gt;","")))</f>
        <v>Vantage_Bogotá</v>
      </c>
      <c r="AR2058" t="str">
        <f>_xlfn.XLOOKUP(emissions[[#This Row],[Reporting unit name]],hierarchy!$A:$A,hierarchy!$C:$C)</f>
        <v>Office</v>
      </c>
    </row>
    <row r="2059" spans="1:44" hidden="1" x14ac:dyDescent="0.25">
      <c r="A2059">
        <v>4941</v>
      </c>
      <c r="B2059" t="s">
        <v>237</v>
      </c>
      <c r="C2059" t="s">
        <v>501</v>
      </c>
      <c r="D2059" t="s">
        <v>599</v>
      </c>
      <c r="E2059" s="3">
        <v>44197</v>
      </c>
      <c r="F2059" s="3">
        <v>44561</v>
      </c>
      <c r="G2059" t="s">
        <v>108</v>
      </c>
      <c r="H2059" s="3">
        <v>44197</v>
      </c>
      <c r="I2059" s="3">
        <v>44561</v>
      </c>
      <c r="J2059" t="s">
        <v>108</v>
      </c>
      <c r="K2059">
        <v>442008.98389999999</v>
      </c>
      <c r="L2059" t="s">
        <v>109</v>
      </c>
      <c r="M2059" t="s">
        <v>82</v>
      </c>
      <c r="O2059" t="s">
        <v>600</v>
      </c>
      <c r="P2059" t="s">
        <v>550</v>
      </c>
      <c r="Q2059">
        <v>2021</v>
      </c>
      <c r="R2059" t="s">
        <v>575</v>
      </c>
      <c r="S2059" t="s">
        <v>576</v>
      </c>
      <c r="T2059" t="s">
        <v>577</v>
      </c>
      <c r="U2059" t="b">
        <v>0</v>
      </c>
      <c r="V2059" t="s">
        <v>1015</v>
      </c>
      <c r="W2059" t="s">
        <v>571</v>
      </c>
      <c r="X2059" t="s">
        <v>572</v>
      </c>
      <c r="Y2059" t="s">
        <v>472</v>
      </c>
      <c r="Z2059" t="s">
        <v>491</v>
      </c>
      <c r="AA2059" t="s">
        <v>522</v>
      </c>
      <c r="AC2059">
        <v>0</v>
      </c>
      <c r="AD2059" t="s">
        <v>565</v>
      </c>
      <c r="AE2059">
        <v>18043.1541</v>
      </c>
      <c r="AF2059">
        <v>4.0820785999999998E-2</v>
      </c>
      <c r="AG2059" t="s">
        <v>560</v>
      </c>
      <c r="AH2059">
        <v>1</v>
      </c>
      <c r="AI2059">
        <v>442008.98389999999</v>
      </c>
      <c r="AJ2059" t="s">
        <v>561</v>
      </c>
      <c r="AK2059" t="s">
        <v>573</v>
      </c>
      <c r="AL2059" t="s">
        <v>1016</v>
      </c>
      <c r="AM2059">
        <v>2021</v>
      </c>
      <c r="AN2059">
        <v>2019</v>
      </c>
      <c r="AO2059">
        <f>IF(AND(emissions[[#This Row],[Market-based]]=0,emissions[[#This Row],[Impact Type]]="CO2E"),emissions[[#This Row],[kgCO2e]],0)/1000</f>
        <v>18.043154099999999</v>
      </c>
      <c r="AP2059">
        <f>IF(AND(emissions[[#This Row],[Market-based]]=1,OR(emissions[[#This Row],[Impact Type]]="CO2E",emissions[[#This Row],[Impact Type]]="CO2E MKT")),emissions[[#This Row],[kgCO2e]],0)/1000</f>
        <v>0</v>
      </c>
      <c r="AQ2059" t="str">
        <f>_xlfn.TEXTAFTER(emissions[[#This Row],[Reporting Unit]]," &gt; ",LEN(emissions[[#This Row],[Reporting Unit]])-LEN(SUBSTITUTE(emissions[[#This Row],[Reporting Unit]],"&gt;","")))</f>
        <v>Vantage_Bogotá</v>
      </c>
      <c r="AR2059" t="str">
        <f>_xlfn.XLOOKUP(emissions[[#This Row],[Reporting unit name]],hierarchy!$A:$A,hierarchy!$C:$C)</f>
        <v>Office</v>
      </c>
    </row>
    <row r="2060" spans="1:44" hidden="1" x14ac:dyDescent="0.25">
      <c r="A2060">
        <v>4941</v>
      </c>
      <c r="B2060" t="s">
        <v>237</v>
      </c>
      <c r="C2060" t="s">
        <v>501</v>
      </c>
      <c r="D2060" t="s">
        <v>599</v>
      </c>
      <c r="E2060" s="3">
        <v>44197</v>
      </c>
      <c r="F2060" s="3">
        <v>44561</v>
      </c>
      <c r="G2060" t="s">
        <v>108</v>
      </c>
      <c r="H2060" s="3">
        <v>44197</v>
      </c>
      <c r="I2060" s="3">
        <v>44561</v>
      </c>
      <c r="J2060" t="s">
        <v>108</v>
      </c>
      <c r="K2060">
        <v>442008.98389999999</v>
      </c>
      <c r="L2060" t="s">
        <v>109</v>
      </c>
      <c r="M2060" t="s">
        <v>82</v>
      </c>
      <c r="O2060" t="s">
        <v>600</v>
      </c>
      <c r="P2060" t="s">
        <v>550</v>
      </c>
      <c r="Q2060">
        <v>2021</v>
      </c>
      <c r="R2060" t="s">
        <v>575</v>
      </c>
      <c r="S2060" t="s">
        <v>576</v>
      </c>
      <c r="T2060" t="s">
        <v>577</v>
      </c>
      <c r="U2060" t="b">
        <v>0</v>
      </c>
      <c r="V2060" t="s">
        <v>1015</v>
      </c>
      <c r="W2060" t="s">
        <v>571</v>
      </c>
      <c r="X2060" t="s">
        <v>572</v>
      </c>
      <c r="Y2060" t="s">
        <v>472</v>
      </c>
      <c r="Z2060" t="s">
        <v>491</v>
      </c>
      <c r="AA2060" t="s">
        <v>522</v>
      </c>
      <c r="AC2060">
        <v>0</v>
      </c>
      <c r="AD2060" t="s">
        <v>566</v>
      </c>
      <c r="AE2060">
        <v>84.270050280000007</v>
      </c>
      <c r="AF2060">
        <v>1.90652E-4</v>
      </c>
      <c r="AG2060" t="s">
        <v>560</v>
      </c>
      <c r="AH2060">
        <v>1</v>
      </c>
      <c r="AI2060">
        <v>442008.98389999999</v>
      </c>
      <c r="AJ2060" t="s">
        <v>561</v>
      </c>
      <c r="AK2060" t="s">
        <v>573</v>
      </c>
      <c r="AL2060" t="s">
        <v>1016</v>
      </c>
      <c r="AM2060">
        <v>2021</v>
      </c>
      <c r="AN2060">
        <v>2019</v>
      </c>
      <c r="AO2060">
        <f>IF(AND(emissions[[#This Row],[Market-based]]=0,emissions[[#This Row],[Impact Type]]="CO2E"),emissions[[#This Row],[kgCO2e]],0)/1000</f>
        <v>0</v>
      </c>
      <c r="AP2060">
        <f>IF(AND(emissions[[#This Row],[Market-based]]=1,OR(emissions[[#This Row],[Impact Type]]="CO2E",emissions[[#This Row],[Impact Type]]="CO2E MKT")),emissions[[#This Row],[kgCO2e]],0)/1000</f>
        <v>0</v>
      </c>
      <c r="AQ2060" t="str">
        <f>_xlfn.TEXTAFTER(emissions[[#This Row],[Reporting Unit]]," &gt; ",LEN(emissions[[#This Row],[Reporting Unit]])-LEN(SUBSTITUTE(emissions[[#This Row],[Reporting Unit]],"&gt;","")))</f>
        <v>Vantage_Bogotá</v>
      </c>
      <c r="AR2060" t="str">
        <f>_xlfn.XLOOKUP(emissions[[#This Row],[Reporting unit name]],hierarchy!$A:$A,hierarchy!$C:$C)</f>
        <v>Office</v>
      </c>
    </row>
    <row r="2061" spans="1:44" hidden="1" x14ac:dyDescent="0.25">
      <c r="A2061">
        <v>4941</v>
      </c>
      <c r="B2061" t="s">
        <v>237</v>
      </c>
      <c r="C2061" t="s">
        <v>501</v>
      </c>
      <c r="D2061" t="s">
        <v>599</v>
      </c>
      <c r="E2061" s="3">
        <v>44197</v>
      </c>
      <c r="F2061" s="3">
        <v>44561</v>
      </c>
      <c r="G2061" t="s">
        <v>108</v>
      </c>
      <c r="H2061" s="3">
        <v>44197</v>
      </c>
      <c r="I2061" s="3">
        <v>44561</v>
      </c>
      <c r="J2061" t="s">
        <v>108</v>
      </c>
      <c r="K2061">
        <v>442008.98389999999</v>
      </c>
      <c r="L2061" t="s">
        <v>109</v>
      </c>
      <c r="M2061" t="s">
        <v>82</v>
      </c>
      <c r="O2061" t="s">
        <v>600</v>
      </c>
      <c r="P2061" t="s">
        <v>550</v>
      </c>
      <c r="Q2061">
        <v>2021</v>
      </c>
      <c r="R2061" t="s">
        <v>575</v>
      </c>
      <c r="S2061" t="s">
        <v>576</v>
      </c>
      <c r="T2061" t="s">
        <v>577</v>
      </c>
      <c r="U2061" t="b">
        <v>0</v>
      </c>
      <c r="V2061" t="s">
        <v>1015</v>
      </c>
      <c r="W2061" t="s">
        <v>571</v>
      </c>
      <c r="X2061" t="s">
        <v>572</v>
      </c>
      <c r="Y2061" t="s">
        <v>472</v>
      </c>
      <c r="Z2061" t="s">
        <v>491</v>
      </c>
      <c r="AA2061" t="s">
        <v>522</v>
      </c>
      <c r="AC2061">
        <v>1</v>
      </c>
      <c r="AD2061" t="s">
        <v>558</v>
      </c>
      <c r="AE2061">
        <v>28.090016760000001</v>
      </c>
      <c r="AF2061" s="13">
        <v>6.3550800000000001E-5</v>
      </c>
      <c r="AG2061" t="s">
        <v>560</v>
      </c>
      <c r="AH2061">
        <v>1</v>
      </c>
      <c r="AI2061">
        <v>442008.98389999999</v>
      </c>
      <c r="AJ2061" t="s">
        <v>561</v>
      </c>
      <c r="AK2061" t="s">
        <v>573</v>
      </c>
      <c r="AL2061" t="s">
        <v>1016</v>
      </c>
      <c r="AM2061">
        <v>2021</v>
      </c>
      <c r="AN2061">
        <v>2019</v>
      </c>
      <c r="AO2061">
        <f>IF(AND(emissions[[#This Row],[Market-based]]=0,emissions[[#This Row],[Impact Type]]="CO2E"),emissions[[#This Row],[kgCO2e]],0)/1000</f>
        <v>0</v>
      </c>
      <c r="AP2061">
        <f>IF(AND(emissions[[#This Row],[Market-based]]=1,OR(emissions[[#This Row],[Impact Type]]="CO2E",emissions[[#This Row],[Impact Type]]="CO2E MKT")),emissions[[#This Row],[kgCO2e]],0)/1000</f>
        <v>0</v>
      </c>
      <c r="AQ2061" t="str">
        <f>_xlfn.TEXTAFTER(emissions[[#This Row],[Reporting Unit]]," &gt; ",LEN(emissions[[#This Row],[Reporting Unit]])-LEN(SUBSTITUTE(emissions[[#This Row],[Reporting Unit]],"&gt;","")))</f>
        <v>Vantage_Bogotá</v>
      </c>
      <c r="AR2061" t="str">
        <f>_xlfn.XLOOKUP(emissions[[#This Row],[Reporting unit name]],hierarchy!$A:$A,hierarchy!$C:$C)</f>
        <v>Office</v>
      </c>
    </row>
    <row r="2062" spans="1:44" hidden="1" x14ac:dyDescent="0.25">
      <c r="A2062">
        <v>4941</v>
      </c>
      <c r="B2062" t="s">
        <v>237</v>
      </c>
      <c r="C2062" t="s">
        <v>501</v>
      </c>
      <c r="D2062" t="s">
        <v>599</v>
      </c>
      <c r="E2062" s="3">
        <v>44197</v>
      </c>
      <c r="F2062" s="3">
        <v>44561</v>
      </c>
      <c r="G2062" t="s">
        <v>108</v>
      </c>
      <c r="H2062" s="3">
        <v>44197</v>
      </c>
      <c r="I2062" s="3">
        <v>44561</v>
      </c>
      <c r="J2062" t="s">
        <v>108</v>
      </c>
      <c r="K2062">
        <v>442008.98389999999</v>
      </c>
      <c r="L2062" t="s">
        <v>109</v>
      </c>
      <c r="M2062" t="s">
        <v>82</v>
      </c>
      <c r="O2062" t="s">
        <v>600</v>
      </c>
      <c r="P2062" t="s">
        <v>550</v>
      </c>
      <c r="Q2062">
        <v>2021</v>
      </c>
      <c r="R2062" t="s">
        <v>575</v>
      </c>
      <c r="S2062" t="s">
        <v>576</v>
      </c>
      <c r="T2062" t="s">
        <v>577</v>
      </c>
      <c r="U2062" t="b">
        <v>0</v>
      </c>
      <c r="V2062" t="s">
        <v>1015</v>
      </c>
      <c r="W2062" t="s">
        <v>571</v>
      </c>
      <c r="X2062" t="s">
        <v>572</v>
      </c>
      <c r="Y2062" t="s">
        <v>472</v>
      </c>
      <c r="Z2062" t="s">
        <v>491</v>
      </c>
      <c r="AA2062" t="s">
        <v>522</v>
      </c>
      <c r="AC2062">
        <v>1</v>
      </c>
      <c r="AD2062" t="s">
        <v>564</v>
      </c>
      <c r="AE2062">
        <v>17930.794030000001</v>
      </c>
      <c r="AF2062">
        <v>4.0566583000000003E-2</v>
      </c>
      <c r="AG2062" t="s">
        <v>560</v>
      </c>
      <c r="AH2062">
        <v>1</v>
      </c>
      <c r="AI2062">
        <v>442008.98389999999</v>
      </c>
      <c r="AJ2062" t="s">
        <v>561</v>
      </c>
      <c r="AK2062" t="s">
        <v>573</v>
      </c>
      <c r="AL2062" t="s">
        <v>1016</v>
      </c>
      <c r="AM2062">
        <v>2021</v>
      </c>
      <c r="AN2062">
        <v>2019</v>
      </c>
      <c r="AO2062">
        <f>IF(AND(emissions[[#This Row],[Market-based]]=0,emissions[[#This Row],[Impact Type]]="CO2E"),emissions[[#This Row],[kgCO2e]],0)/1000</f>
        <v>0</v>
      </c>
      <c r="AP2062">
        <f>IF(AND(emissions[[#This Row],[Market-based]]=1,OR(emissions[[#This Row],[Impact Type]]="CO2E",emissions[[#This Row],[Impact Type]]="CO2E MKT")),emissions[[#This Row],[kgCO2e]],0)/1000</f>
        <v>0</v>
      </c>
      <c r="AQ2062" t="str">
        <f>_xlfn.TEXTAFTER(emissions[[#This Row],[Reporting Unit]]," &gt; ",LEN(emissions[[#This Row],[Reporting Unit]])-LEN(SUBSTITUTE(emissions[[#This Row],[Reporting Unit]],"&gt;","")))</f>
        <v>Vantage_Bogotá</v>
      </c>
      <c r="AR2062" t="str">
        <f>_xlfn.XLOOKUP(emissions[[#This Row],[Reporting unit name]],hierarchy!$A:$A,hierarchy!$C:$C)</f>
        <v>Office</v>
      </c>
    </row>
    <row r="2063" spans="1:44" hidden="1" x14ac:dyDescent="0.25">
      <c r="A2063">
        <v>4941</v>
      </c>
      <c r="B2063" t="s">
        <v>237</v>
      </c>
      <c r="C2063" t="s">
        <v>501</v>
      </c>
      <c r="D2063" t="s">
        <v>599</v>
      </c>
      <c r="E2063" s="3">
        <v>44197</v>
      </c>
      <c r="F2063" s="3">
        <v>44561</v>
      </c>
      <c r="G2063" t="s">
        <v>108</v>
      </c>
      <c r="H2063" s="3">
        <v>44197</v>
      </c>
      <c r="I2063" s="3">
        <v>44561</v>
      </c>
      <c r="J2063" t="s">
        <v>108</v>
      </c>
      <c r="K2063">
        <v>442008.98389999999</v>
      </c>
      <c r="L2063" t="s">
        <v>109</v>
      </c>
      <c r="M2063" t="s">
        <v>82</v>
      </c>
      <c r="O2063" t="s">
        <v>600</v>
      </c>
      <c r="P2063" t="s">
        <v>550</v>
      </c>
      <c r="Q2063">
        <v>2021</v>
      </c>
      <c r="R2063" t="s">
        <v>575</v>
      </c>
      <c r="S2063" t="s">
        <v>576</v>
      </c>
      <c r="T2063" t="s">
        <v>577</v>
      </c>
      <c r="U2063" t="b">
        <v>0</v>
      </c>
      <c r="V2063" t="s">
        <v>1015</v>
      </c>
      <c r="W2063" t="s">
        <v>571</v>
      </c>
      <c r="X2063" t="s">
        <v>572</v>
      </c>
      <c r="Y2063" t="s">
        <v>472</v>
      </c>
      <c r="Z2063" t="s">
        <v>491</v>
      </c>
      <c r="AA2063" t="s">
        <v>522</v>
      </c>
      <c r="AC2063">
        <v>1</v>
      </c>
      <c r="AD2063" t="s">
        <v>565</v>
      </c>
      <c r="AE2063">
        <v>18043.1541</v>
      </c>
      <c r="AF2063">
        <v>4.0820785999999998E-2</v>
      </c>
      <c r="AG2063" t="s">
        <v>560</v>
      </c>
      <c r="AH2063">
        <v>1</v>
      </c>
      <c r="AI2063">
        <v>442008.98389999999</v>
      </c>
      <c r="AJ2063" t="s">
        <v>561</v>
      </c>
      <c r="AK2063" t="s">
        <v>573</v>
      </c>
      <c r="AL2063" t="s">
        <v>1016</v>
      </c>
      <c r="AM2063">
        <v>2021</v>
      </c>
      <c r="AN2063">
        <v>2019</v>
      </c>
      <c r="AO2063">
        <f>IF(AND(emissions[[#This Row],[Market-based]]=0,emissions[[#This Row],[Impact Type]]="CO2E"),emissions[[#This Row],[kgCO2e]],0)/1000</f>
        <v>0</v>
      </c>
      <c r="AP2063">
        <f>IF(AND(emissions[[#This Row],[Market-based]]=1,OR(emissions[[#This Row],[Impact Type]]="CO2E",emissions[[#This Row],[Impact Type]]="CO2E MKT")),emissions[[#This Row],[kgCO2e]],0)/1000</f>
        <v>18.043154099999999</v>
      </c>
      <c r="AQ2063" t="str">
        <f>_xlfn.TEXTAFTER(emissions[[#This Row],[Reporting Unit]]," &gt; ",LEN(emissions[[#This Row],[Reporting Unit]])-LEN(SUBSTITUTE(emissions[[#This Row],[Reporting Unit]],"&gt;","")))</f>
        <v>Vantage_Bogotá</v>
      </c>
      <c r="AR2063" t="str">
        <f>_xlfn.XLOOKUP(emissions[[#This Row],[Reporting unit name]],hierarchy!$A:$A,hierarchy!$C:$C)</f>
        <v>Office</v>
      </c>
    </row>
    <row r="2064" spans="1:44" hidden="1" x14ac:dyDescent="0.25">
      <c r="A2064">
        <v>4941</v>
      </c>
      <c r="B2064" t="s">
        <v>237</v>
      </c>
      <c r="C2064" t="s">
        <v>501</v>
      </c>
      <c r="D2064" t="s">
        <v>599</v>
      </c>
      <c r="E2064" s="3">
        <v>44197</v>
      </c>
      <c r="F2064" s="3">
        <v>44561</v>
      </c>
      <c r="G2064" t="s">
        <v>108</v>
      </c>
      <c r="H2064" s="3">
        <v>44197</v>
      </c>
      <c r="I2064" s="3">
        <v>44561</v>
      </c>
      <c r="J2064" t="s">
        <v>108</v>
      </c>
      <c r="K2064">
        <v>442008.98389999999</v>
      </c>
      <c r="L2064" t="s">
        <v>109</v>
      </c>
      <c r="M2064" t="s">
        <v>82</v>
      </c>
      <c r="O2064" t="s">
        <v>600</v>
      </c>
      <c r="P2064" t="s">
        <v>550</v>
      </c>
      <c r="Q2064">
        <v>2021</v>
      </c>
      <c r="R2064" t="s">
        <v>575</v>
      </c>
      <c r="S2064" t="s">
        <v>576</v>
      </c>
      <c r="T2064" t="s">
        <v>577</v>
      </c>
      <c r="U2064" t="b">
        <v>0</v>
      </c>
      <c r="V2064" t="s">
        <v>1015</v>
      </c>
      <c r="W2064" t="s">
        <v>571</v>
      </c>
      <c r="X2064" t="s">
        <v>572</v>
      </c>
      <c r="Y2064" t="s">
        <v>472</v>
      </c>
      <c r="Z2064" t="s">
        <v>491</v>
      </c>
      <c r="AA2064" t="s">
        <v>522</v>
      </c>
      <c r="AC2064">
        <v>1</v>
      </c>
      <c r="AD2064" t="s">
        <v>566</v>
      </c>
      <c r="AE2064">
        <v>84.270050280000007</v>
      </c>
      <c r="AF2064">
        <v>1.90652E-4</v>
      </c>
      <c r="AG2064" t="s">
        <v>560</v>
      </c>
      <c r="AH2064">
        <v>1</v>
      </c>
      <c r="AI2064">
        <v>442008.98389999999</v>
      </c>
      <c r="AJ2064" t="s">
        <v>561</v>
      </c>
      <c r="AK2064" t="s">
        <v>573</v>
      </c>
      <c r="AL2064" t="s">
        <v>1016</v>
      </c>
      <c r="AM2064">
        <v>2021</v>
      </c>
      <c r="AN2064">
        <v>2019</v>
      </c>
      <c r="AO2064">
        <f>IF(AND(emissions[[#This Row],[Market-based]]=0,emissions[[#This Row],[Impact Type]]="CO2E"),emissions[[#This Row],[kgCO2e]],0)/1000</f>
        <v>0</v>
      </c>
      <c r="AP2064">
        <f>IF(AND(emissions[[#This Row],[Market-based]]=1,OR(emissions[[#This Row],[Impact Type]]="CO2E",emissions[[#This Row],[Impact Type]]="CO2E MKT")),emissions[[#This Row],[kgCO2e]],0)/1000</f>
        <v>0</v>
      </c>
      <c r="AQ2064" t="str">
        <f>_xlfn.TEXTAFTER(emissions[[#This Row],[Reporting Unit]]," &gt; ",LEN(emissions[[#This Row],[Reporting Unit]])-LEN(SUBSTITUTE(emissions[[#This Row],[Reporting Unit]],"&gt;","")))</f>
        <v>Vantage_Bogotá</v>
      </c>
      <c r="AR2064" t="str">
        <f>_xlfn.XLOOKUP(emissions[[#This Row],[Reporting unit name]],hierarchy!$A:$A,hierarchy!$C:$C)</f>
        <v>Office</v>
      </c>
    </row>
    <row r="2065" spans="1:44" hidden="1" x14ac:dyDescent="0.25">
      <c r="A2065">
        <v>4941</v>
      </c>
      <c r="B2065" t="s">
        <v>237</v>
      </c>
      <c r="C2065" t="s">
        <v>501</v>
      </c>
      <c r="D2065" t="s">
        <v>599</v>
      </c>
      <c r="E2065" s="3">
        <v>44197</v>
      </c>
      <c r="F2065" s="3">
        <v>44561</v>
      </c>
      <c r="G2065" t="s">
        <v>108</v>
      </c>
      <c r="H2065" s="3">
        <v>44197</v>
      </c>
      <c r="I2065" s="3">
        <v>44561</v>
      </c>
      <c r="J2065" t="s">
        <v>108</v>
      </c>
      <c r="K2065">
        <v>442008.98389999999</v>
      </c>
      <c r="L2065" t="s">
        <v>109</v>
      </c>
      <c r="M2065" t="s">
        <v>82</v>
      </c>
      <c r="O2065" t="s">
        <v>600</v>
      </c>
      <c r="P2065" t="s">
        <v>550</v>
      </c>
      <c r="Q2065">
        <v>2021</v>
      </c>
      <c r="R2065" t="s">
        <v>579</v>
      </c>
      <c r="S2065" t="s">
        <v>580</v>
      </c>
      <c r="T2065" t="s">
        <v>581</v>
      </c>
      <c r="U2065" t="b">
        <v>0</v>
      </c>
      <c r="V2065" t="s">
        <v>1010</v>
      </c>
      <c r="W2065" t="s">
        <v>571</v>
      </c>
      <c r="X2065" t="s">
        <v>572</v>
      </c>
      <c r="Y2065" t="s">
        <v>472</v>
      </c>
      <c r="Z2065" t="s">
        <v>491</v>
      </c>
      <c r="AA2065" t="s">
        <v>522</v>
      </c>
      <c r="AC2065">
        <v>0</v>
      </c>
      <c r="AD2065" t="s">
        <v>565</v>
      </c>
      <c r="AE2065">
        <v>6188.1257750000004</v>
      </c>
      <c r="AF2065" t="s">
        <v>559</v>
      </c>
      <c r="AG2065" t="s">
        <v>560</v>
      </c>
      <c r="AH2065">
        <v>1</v>
      </c>
      <c r="AI2065">
        <v>442008.98389999999</v>
      </c>
      <c r="AJ2065" t="s">
        <v>561</v>
      </c>
      <c r="AK2065" t="s">
        <v>562</v>
      </c>
      <c r="AL2065" t="s">
        <v>601</v>
      </c>
      <c r="AM2065">
        <v>2021</v>
      </c>
      <c r="AN2065">
        <v>2019</v>
      </c>
      <c r="AO2065">
        <f>IF(AND(emissions[[#This Row],[Market-based]]=0,emissions[[#This Row],[Impact Type]]="CO2E"),emissions[[#This Row],[kgCO2e]],0)/1000</f>
        <v>6.1881257750000005</v>
      </c>
      <c r="AP2065">
        <f>IF(AND(emissions[[#This Row],[Market-based]]=1,OR(emissions[[#This Row],[Impact Type]]="CO2E",emissions[[#This Row],[Impact Type]]="CO2E MKT")),emissions[[#This Row],[kgCO2e]],0)/1000</f>
        <v>0</v>
      </c>
      <c r="AQ2065" t="str">
        <f>_xlfn.TEXTAFTER(emissions[[#This Row],[Reporting Unit]]," &gt; ",LEN(emissions[[#This Row],[Reporting Unit]])-LEN(SUBSTITUTE(emissions[[#This Row],[Reporting Unit]],"&gt;","")))</f>
        <v>Vantage_Bogotá</v>
      </c>
      <c r="AR2065" t="str">
        <f>_xlfn.XLOOKUP(emissions[[#This Row],[Reporting unit name]],hierarchy!$A:$A,hierarchy!$C:$C)</f>
        <v>Office</v>
      </c>
    </row>
    <row r="2066" spans="1:44" hidden="1" x14ac:dyDescent="0.25">
      <c r="A2066">
        <v>4941</v>
      </c>
      <c r="B2066" t="s">
        <v>237</v>
      </c>
      <c r="C2066" t="s">
        <v>501</v>
      </c>
      <c r="D2066" t="s">
        <v>599</v>
      </c>
      <c r="E2066" s="3">
        <v>44197</v>
      </c>
      <c r="F2066" s="3">
        <v>44561</v>
      </c>
      <c r="G2066" t="s">
        <v>108</v>
      </c>
      <c r="H2066" s="3">
        <v>44197</v>
      </c>
      <c r="I2066" s="3">
        <v>44561</v>
      </c>
      <c r="J2066" t="s">
        <v>108</v>
      </c>
      <c r="K2066">
        <v>442008.98389999999</v>
      </c>
      <c r="L2066" t="s">
        <v>109</v>
      </c>
      <c r="M2066" t="s">
        <v>82</v>
      </c>
      <c r="O2066" t="s">
        <v>600</v>
      </c>
      <c r="P2066" t="s">
        <v>550</v>
      </c>
      <c r="Q2066">
        <v>2021</v>
      </c>
      <c r="R2066" t="s">
        <v>579</v>
      </c>
      <c r="S2066" t="s">
        <v>580</v>
      </c>
      <c r="T2066" t="s">
        <v>581</v>
      </c>
      <c r="U2066" t="b">
        <v>0</v>
      </c>
      <c r="V2066" t="s">
        <v>1010</v>
      </c>
      <c r="W2066" t="s">
        <v>571</v>
      </c>
      <c r="X2066" t="s">
        <v>572</v>
      </c>
      <c r="Y2066" t="s">
        <v>472</v>
      </c>
      <c r="Z2066" t="s">
        <v>491</v>
      </c>
      <c r="AA2066" t="s">
        <v>522</v>
      </c>
      <c r="AC2066">
        <v>1</v>
      </c>
      <c r="AD2066" t="s">
        <v>565</v>
      </c>
      <c r="AE2066">
        <v>6188.1257750000004</v>
      </c>
      <c r="AF2066" t="s">
        <v>559</v>
      </c>
      <c r="AG2066" t="s">
        <v>560</v>
      </c>
      <c r="AH2066">
        <v>1</v>
      </c>
      <c r="AI2066">
        <v>442008.98389999999</v>
      </c>
      <c r="AJ2066" t="s">
        <v>561</v>
      </c>
      <c r="AK2066" t="s">
        <v>562</v>
      </c>
      <c r="AL2066" t="s">
        <v>601</v>
      </c>
      <c r="AM2066">
        <v>2021</v>
      </c>
      <c r="AN2066">
        <v>2019</v>
      </c>
      <c r="AO2066">
        <f>IF(AND(emissions[[#This Row],[Market-based]]=0,emissions[[#This Row],[Impact Type]]="CO2E"),emissions[[#This Row],[kgCO2e]],0)/1000</f>
        <v>0</v>
      </c>
      <c r="AP2066">
        <f>IF(AND(emissions[[#This Row],[Market-based]]=1,OR(emissions[[#This Row],[Impact Type]]="CO2E",emissions[[#This Row],[Impact Type]]="CO2E MKT")),emissions[[#This Row],[kgCO2e]],0)/1000</f>
        <v>6.1881257750000005</v>
      </c>
      <c r="AQ2066" t="str">
        <f>_xlfn.TEXTAFTER(emissions[[#This Row],[Reporting Unit]]," &gt; ",LEN(emissions[[#This Row],[Reporting Unit]])-LEN(SUBSTITUTE(emissions[[#This Row],[Reporting Unit]],"&gt;","")))</f>
        <v>Vantage_Bogotá</v>
      </c>
      <c r="AR2066" t="str">
        <f>_xlfn.XLOOKUP(emissions[[#This Row],[Reporting unit name]],hierarchy!$A:$A,hierarchy!$C:$C)</f>
        <v>Office</v>
      </c>
    </row>
    <row r="2067" spans="1:44" hidden="1" x14ac:dyDescent="0.25">
      <c r="A2067">
        <v>4968</v>
      </c>
      <c r="B2067" t="s">
        <v>237</v>
      </c>
      <c r="C2067" t="s">
        <v>501</v>
      </c>
      <c r="D2067" t="s">
        <v>599</v>
      </c>
      <c r="E2067" s="3">
        <v>44197</v>
      </c>
      <c r="F2067" s="3">
        <v>44561</v>
      </c>
      <c r="G2067" t="s">
        <v>135</v>
      </c>
      <c r="H2067" s="3">
        <v>44197</v>
      </c>
      <c r="I2067" s="3">
        <v>44561</v>
      </c>
      <c r="J2067" t="s">
        <v>135</v>
      </c>
      <c r="K2067">
        <v>0</v>
      </c>
      <c r="L2067" t="s">
        <v>140</v>
      </c>
      <c r="M2067" t="s">
        <v>82</v>
      </c>
      <c r="O2067" t="s">
        <v>600</v>
      </c>
      <c r="P2067" t="s">
        <v>550</v>
      </c>
      <c r="Q2067">
        <v>2021</v>
      </c>
      <c r="R2067" t="s">
        <v>605</v>
      </c>
      <c r="S2067" t="s">
        <v>606</v>
      </c>
      <c r="T2067" t="s">
        <v>553</v>
      </c>
      <c r="U2067" t="b">
        <v>0</v>
      </c>
      <c r="V2067" t="s">
        <v>781</v>
      </c>
      <c r="W2067" t="s">
        <v>587</v>
      </c>
      <c r="X2067" t="s">
        <v>556</v>
      </c>
      <c r="Y2067" t="s">
        <v>472</v>
      </c>
      <c r="AC2067">
        <v>0</v>
      </c>
      <c r="AD2067" t="s">
        <v>558</v>
      </c>
      <c r="AE2067">
        <v>0</v>
      </c>
      <c r="AF2067">
        <v>2.5000000000000001E-2</v>
      </c>
      <c r="AG2067" t="s">
        <v>798</v>
      </c>
      <c r="AH2067">
        <v>9.9999999999999995E-7</v>
      </c>
      <c r="AI2067">
        <v>0</v>
      </c>
      <c r="AJ2067" t="s">
        <v>561</v>
      </c>
      <c r="AK2067" t="s">
        <v>766</v>
      </c>
      <c r="AL2067" t="s">
        <v>790</v>
      </c>
      <c r="AM2067">
        <v>2021</v>
      </c>
      <c r="AN2067">
        <v>2021</v>
      </c>
      <c r="AO2067">
        <f>IF(AND(emissions[[#This Row],[Market-based]]=0,emissions[[#This Row],[Impact Type]]="CO2E"),emissions[[#This Row],[kgCO2e]],0)/1000</f>
        <v>0</v>
      </c>
      <c r="AP2067">
        <f>IF(AND(emissions[[#This Row],[Market-based]]=1,OR(emissions[[#This Row],[Impact Type]]="CO2E",emissions[[#This Row],[Impact Type]]="CO2E MKT")),emissions[[#This Row],[kgCO2e]],0)/1000</f>
        <v>0</v>
      </c>
      <c r="AQ2067" t="str">
        <f>_xlfn.TEXTAFTER(emissions[[#This Row],[Reporting Unit]]," &gt; ",LEN(emissions[[#This Row],[Reporting Unit]])-LEN(SUBSTITUTE(emissions[[#This Row],[Reporting Unit]],"&gt;","")))</f>
        <v>Vantage_Bogotá</v>
      </c>
      <c r="AR2067" t="str">
        <f>_xlfn.XLOOKUP(emissions[[#This Row],[Reporting unit name]],hierarchy!$A:$A,hierarchy!$C:$C)</f>
        <v>Office</v>
      </c>
    </row>
    <row r="2068" spans="1:44" hidden="1" x14ac:dyDescent="0.25">
      <c r="A2068">
        <v>4968</v>
      </c>
      <c r="B2068" t="s">
        <v>237</v>
      </c>
      <c r="C2068" t="s">
        <v>501</v>
      </c>
      <c r="D2068" t="s">
        <v>599</v>
      </c>
      <c r="E2068" s="3">
        <v>44197</v>
      </c>
      <c r="F2068" s="3">
        <v>44561</v>
      </c>
      <c r="G2068" t="s">
        <v>135</v>
      </c>
      <c r="H2068" s="3">
        <v>44197</v>
      </c>
      <c r="I2068" s="3">
        <v>44561</v>
      </c>
      <c r="J2068" t="s">
        <v>135</v>
      </c>
      <c r="K2068">
        <v>0</v>
      </c>
      <c r="L2068" t="s">
        <v>140</v>
      </c>
      <c r="M2068" t="s">
        <v>82</v>
      </c>
      <c r="O2068" t="s">
        <v>600</v>
      </c>
      <c r="P2068" t="s">
        <v>550</v>
      </c>
      <c r="Q2068">
        <v>2021</v>
      </c>
      <c r="R2068" t="s">
        <v>605</v>
      </c>
      <c r="S2068" t="s">
        <v>606</v>
      </c>
      <c r="T2068" t="s">
        <v>553</v>
      </c>
      <c r="U2068" t="b">
        <v>0</v>
      </c>
      <c r="V2068" t="s">
        <v>781</v>
      </c>
      <c r="W2068" t="s">
        <v>587</v>
      </c>
      <c r="X2068" t="s">
        <v>556</v>
      </c>
      <c r="Y2068" t="s">
        <v>472</v>
      </c>
      <c r="AC2068">
        <v>0</v>
      </c>
      <c r="AD2068" t="s">
        <v>564</v>
      </c>
      <c r="AE2068">
        <v>0</v>
      </c>
      <c r="AF2068">
        <v>53.06</v>
      </c>
      <c r="AG2068" t="s">
        <v>798</v>
      </c>
      <c r="AH2068">
        <v>9.9999999999999995E-7</v>
      </c>
      <c r="AI2068">
        <v>0</v>
      </c>
      <c r="AJ2068" t="s">
        <v>561</v>
      </c>
      <c r="AK2068" t="s">
        <v>766</v>
      </c>
      <c r="AL2068" t="s">
        <v>787</v>
      </c>
      <c r="AM2068">
        <v>2021</v>
      </c>
      <c r="AN2068">
        <v>2020</v>
      </c>
      <c r="AO2068">
        <f>IF(AND(emissions[[#This Row],[Market-based]]=0,emissions[[#This Row],[Impact Type]]="CO2E"),emissions[[#This Row],[kgCO2e]],0)/1000</f>
        <v>0</v>
      </c>
      <c r="AP2068">
        <f>IF(AND(emissions[[#This Row],[Market-based]]=1,OR(emissions[[#This Row],[Impact Type]]="CO2E",emissions[[#This Row],[Impact Type]]="CO2E MKT")),emissions[[#This Row],[kgCO2e]],0)/1000</f>
        <v>0</v>
      </c>
      <c r="AQ2068" t="str">
        <f>_xlfn.TEXTAFTER(emissions[[#This Row],[Reporting Unit]]," &gt; ",LEN(emissions[[#This Row],[Reporting Unit]])-LEN(SUBSTITUTE(emissions[[#This Row],[Reporting Unit]],"&gt;","")))</f>
        <v>Vantage_Bogotá</v>
      </c>
      <c r="AR2068" t="str">
        <f>_xlfn.XLOOKUP(emissions[[#This Row],[Reporting unit name]],hierarchy!$A:$A,hierarchy!$C:$C)</f>
        <v>Office</v>
      </c>
    </row>
    <row r="2069" spans="1:44" hidden="1" x14ac:dyDescent="0.25">
      <c r="A2069">
        <v>4968</v>
      </c>
      <c r="B2069" t="s">
        <v>237</v>
      </c>
      <c r="C2069" t="s">
        <v>501</v>
      </c>
      <c r="D2069" t="s">
        <v>599</v>
      </c>
      <c r="E2069" s="3">
        <v>44197</v>
      </c>
      <c r="F2069" s="3">
        <v>44561</v>
      </c>
      <c r="G2069" t="s">
        <v>135</v>
      </c>
      <c r="H2069" s="3">
        <v>44197</v>
      </c>
      <c r="I2069" s="3">
        <v>44561</v>
      </c>
      <c r="J2069" t="s">
        <v>135</v>
      </c>
      <c r="K2069">
        <v>0</v>
      </c>
      <c r="L2069" t="s">
        <v>140</v>
      </c>
      <c r="M2069" t="s">
        <v>82</v>
      </c>
      <c r="O2069" t="s">
        <v>600</v>
      </c>
      <c r="P2069" t="s">
        <v>550</v>
      </c>
      <c r="Q2069">
        <v>2021</v>
      </c>
      <c r="R2069" t="s">
        <v>605</v>
      </c>
      <c r="S2069" t="s">
        <v>606</v>
      </c>
      <c r="T2069" t="s">
        <v>553</v>
      </c>
      <c r="U2069" t="b">
        <v>0</v>
      </c>
      <c r="V2069" t="s">
        <v>781</v>
      </c>
      <c r="W2069" t="s">
        <v>587</v>
      </c>
      <c r="X2069" t="s">
        <v>556</v>
      </c>
      <c r="Y2069" t="s">
        <v>472</v>
      </c>
      <c r="AC2069">
        <v>0</v>
      </c>
      <c r="AD2069" t="s">
        <v>565</v>
      </c>
      <c r="AE2069">
        <v>0</v>
      </c>
      <c r="AF2069">
        <v>53.114800000000002</v>
      </c>
      <c r="AG2069" t="s">
        <v>798</v>
      </c>
      <c r="AH2069">
        <v>9.9999999999999995E-7</v>
      </c>
      <c r="AI2069">
        <v>0</v>
      </c>
      <c r="AJ2069" t="s">
        <v>561</v>
      </c>
      <c r="AK2069" t="s">
        <v>766</v>
      </c>
      <c r="AL2069" t="s">
        <v>790</v>
      </c>
      <c r="AM2069">
        <v>2021</v>
      </c>
      <c r="AN2069">
        <v>2021</v>
      </c>
      <c r="AO2069">
        <f>IF(AND(emissions[[#This Row],[Market-based]]=0,emissions[[#This Row],[Impact Type]]="CO2E"),emissions[[#This Row],[kgCO2e]],0)/1000</f>
        <v>0</v>
      </c>
      <c r="AP2069">
        <f>IF(AND(emissions[[#This Row],[Market-based]]=1,OR(emissions[[#This Row],[Impact Type]]="CO2E",emissions[[#This Row],[Impact Type]]="CO2E MKT")),emissions[[#This Row],[kgCO2e]],0)/1000</f>
        <v>0</v>
      </c>
      <c r="AQ2069" t="str">
        <f>_xlfn.TEXTAFTER(emissions[[#This Row],[Reporting Unit]]," &gt; ",LEN(emissions[[#This Row],[Reporting Unit]])-LEN(SUBSTITUTE(emissions[[#This Row],[Reporting Unit]],"&gt;","")))</f>
        <v>Vantage_Bogotá</v>
      </c>
      <c r="AR2069" t="str">
        <f>_xlfn.XLOOKUP(emissions[[#This Row],[Reporting unit name]],hierarchy!$A:$A,hierarchy!$C:$C)</f>
        <v>Office</v>
      </c>
    </row>
    <row r="2070" spans="1:44" hidden="1" x14ac:dyDescent="0.25">
      <c r="A2070">
        <v>4968</v>
      </c>
      <c r="B2070" t="s">
        <v>237</v>
      </c>
      <c r="C2070" t="s">
        <v>501</v>
      </c>
      <c r="D2070" t="s">
        <v>599</v>
      </c>
      <c r="E2070" s="3">
        <v>44197</v>
      </c>
      <c r="F2070" s="3">
        <v>44561</v>
      </c>
      <c r="G2070" t="s">
        <v>135</v>
      </c>
      <c r="H2070" s="3">
        <v>44197</v>
      </c>
      <c r="I2070" s="3">
        <v>44561</v>
      </c>
      <c r="J2070" t="s">
        <v>135</v>
      </c>
      <c r="K2070">
        <v>0</v>
      </c>
      <c r="L2070" t="s">
        <v>140</v>
      </c>
      <c r="M2070" t="s">
        <v>82</v>
      </c>
      <c r="O2070" t="s">
        <v>600</v>
      </c>
      <c r="P2070" t="s">
        <v>550</v>
      </c>
      <c r="Q2070">
        <v>2021</v>
      </c>
      <c r="R2070" t="s">
        <v>605</v>
      </c>
      <c r="S2070" t="s">
        <v>606</v>
      </c>
      <c r="T2070" t="s">
        <v>553</v>
      </c>
      <c r="U2070" t="b">
        <v>0</v>
      </c>
      <c r="V2070" t="s">
        <v>781</v>
      </c>
      <c r="W2070" t="s">
        <v>587</v>
      </c>
      <c r="X2070" t="s">
        <v>556</v>
      </c>
      <c r="Y2070" t="s">
        <v>472</v>
      </c>
      <c r="AC2070">
        <v>0</v>
      </c>
      <c r="AD2070" t="s">
        <v>566</v>
      </c>
      <c r="AE2070">
        <v>0</v>
      </c>
      <c r="AF2070">
        <v>2.98E-2</v>
      </c>
      <c r="AG2070" t="s">
        <v>798</v>
      </c>
      <c r="AH2070">
        <v>9.9999999999999995E-7</v>
      </c>
      <c r="AI2070">
        <v>0</v>
      </c>
      <c r="AJ2070" t="s">
        <v>561</v>
      </c>
      <c r="AK2070" t="s">
        <v>766</v>
      </c>
      <c r="AL2070" t="s">
        <v>790</v>
      </c>
      <c r="AM2070">
        <v>2021</v>
      </c>
      <c r="AN2070">
        <v>2021</v>
      </c>
      <c r="AO2070">
        <f>IF(AND(emissions[[#This Row],[Market-based]]=0,emissions[[#This Row],[Impact Type]]="CO2E"),emissions[[#This Row],[kgCO2e]],0)/1000</f>
        <v>0</v>
      </c>
      <c r="AP2070">
        <f>IF(AND(emissions[[#This Row],[Market-based]]=1,OR(emissions[[#This Row],[Impact Type]]="CO2E",emissions[[#This Row],[Impact Type]]="CO2E MKT")),emissions[[#This Row],[kgCO2e]],0)/1000</f>
        <v>0</v>
      </c>
      <c r="AQ2070" t="str">
        <f>_xlfn.TEXTAFTER(emissions[[#This Row],[Reporting Unit]]," &gt; ",LEN(emissions[[#This Row],[Reporting Unit]])-LEN(SUBSTITUTE(emissions[[#This Row],[Reporting Unit]],"&gt;","")))</f>
        <v>Vantage_Bogotá</v>
      </c>
      <c r="AR2070" t="str">
        <f>_xlfn.XLOOKUP(emissions[[#This Row],[Reporting unit name]],hierarchy!$A:$A,hierarchy!$C:$C)</f>
        <v>Office</v>
      </c>
    </row>
    <row r="2071" spans="1:44" hidden="1" x14ac:dyDescent="0.25">
      <c r="A2071">
        <v>4968</v>
      </c>
      <c r="B2071" t="s">
        <v>237</v>
      </c>
      <c r="C2071" t="s">
        <v>501</v>
      </c>
      <c r="D2071" t="s">
        <v>599</v>
      </c>
      <c r="E2071" s="3">
        <v>44197</v>
      </c>
      <c r="F2071" s="3">
        <v>44561</v>
      </c>
      <c r="G2071" t="s">
        <v>135</v>
      </c>
      <c r="H2071" s="3">
        <v>44197</v>
      </c>
      <c r="I2071" s="3">
        <v>44561</v>
      </c>
      <c r="J2071" t="s">
        <v>135</v>
      </c>
      <c r="K2071">
        <v>0</v>
      </c>
      <c r="L2071" t="s">
        <v>140</v>
      </c>
      <c r="M2071" t="s">
        <v>82</v>
      </c>
      <c r="O2071" t="s">
        <v>600</v>
      </c>
      <c r="P2071" t="s">
        <v>550</v>
      </c>
      <c r="Q2071">
        <v>2021</v>
      </c>
      <c r="R2071" t="s">
        <v>605</v>
      </c>
      <c r="S2071" t="s">
        <v>606</v>
      </c>
      <c r="T2071" t="s">
        <v>553</v>
      </c>
      <c r="U2071" t="b">
        <v>0</v>
      </c>
      <c r="V2071" t="s">
        <v>781</v>
      </c>
      <c r="W2071" t="s">
        <v>587</v>
      </c>
      <c r="X2071" t="s">
        <v>556</v>
      </c>
      <c r="Y2071" t="s">
        <v>472</v>
      </c>
      <c r="AC2071">
        <v>1</v>
      </c>
      <c r="AD2071" t="s">
        <v>558</v>
      </c>
      <c r="AE2071">
        <v>0</v>
      </c>
      <c r="AF2071">
        <v>2.5000000000000001E-2</v>
      </c>
      <c r="AG2071" t="s">
        <v>798</v>
      </c>
      <c r="AH2071">
        <v>9.9999999999999995E-7</v>
      </c>
      <c r="AI2071">
        <v>0</v>
      </c>
      <c r="AJ2071" t="s">
        <v>561</v>
      </c>
      <c r="AK2071" t="s">
        <v>766</v>
      </c>
      <c r="AL2071" t="s">
        <v>790</v>
      </c>
      <c r="AM2071">
        <v>2021</v>
      </c>
      <c r="AN2071">
        <v>2021</v>
      </c>
      <c r="AO2071">
        <f>IF(AND(emissions[[#This Row],[Market-based]]=0,emissions[[#This Row],[Impact Type]]="CO2E"),emissions[[#This Row],[kgCO2e]],0)/1000</f>
        <v>0</v>
      </c>
      <c r="AP2071">
        <f>IF(AND(emissions[[#This Row],[Market-based]]=1,OR(emissions[[#This Row],[Impact Type]]="CO2E",emissions[[#This Row],[Impact Type]]="CO2E MKT")),emissions[[#This Row],[kgCO2e]],0)/1000</f>
        <v>0</v>
      </c>
      <c r="AQ2071" t="str">
        <f>_xlfn.TEXTAFTER(emissions[[#This Row],[Reporting Unit]]," &gt; ",LEN(emissions[[#This Row],[Reporting Unit]])-LEN(SUBSTITUTE(emissions[[#This Row],[Reporting Unit]],"&gt;","")))</f>
        <v>Vantage_Bogotá</v>
      </c>
      <c r="AR2071" t="str">
        <f>_xlfn.XLOOKUP(emissions[[#This Row],[Reporting unit name]],hierarchy!$A:$A,hierarchy!$C:$C)</f>
        <v>Office</v>
      </c>
    </row>
    <row r="2072" spans="1:44" hidden="1" x14ac:dyDescent="0.25">
      <c r="A2072">
        <v>4968</v>
      </c>
      <c r="B2072" t="s">
        <v>237</v>
      </c>
      <c r="C2072" t="s">
        <v>501</v>
      </c>
      <c r="D2072" t="s">
        <v>599</v>
      </c>
      <c r="E2072" s="3">
        <v>44197</v>
      </c>
      <c r="F2072" s="3">
        <v>44561</v>
      </c>
      <c r="G2072" t="s">
        <v>135</v>
      </c>
      <c r="H2072" s="3">
        <v>44197</v>
      </c>
      <c r="I2072" s="3">
        <v>44561</v>
      </c>
      <c r="J2072" t="s">
        <v>135</v>
      </c>
      <c r="K2072">
        <v>0</v>
      </c>
      <c r="L2072" t="s">
        <v>140</v>
      </c>
      <c r="M2072" t="s">
        <v>82</v>
      </c>
      <c r="O2072" t="s">
        <v>600</v>
      </c>
      <c r="P2072" t="s">
        <v>550</v>
      </c>
      <c r="Q2072">
        <v>2021</v>
      </c>
      <c r="R2072" t="s">
        <v>605</v>
      </c>
      <c r="S2072" t="s">
        <v>606</v>
      </c>
      <c r="T2072" t="s">
        <v>553</v>
      </c>
      <c r="U2072" t="b">
        <v>0</v>
      </c>
      <c r="V2072" t="s">
        <v>781</v>
      </c>
      <c r="W2072" t="s">
        <v>587</v>
      </c>
      <c r="X2072" t="s">
        <v>556</v>
      </c>
      <c r="Y2072" t="s">
        <v>472</v>
      </c>
      <c r="AC2072">
        <v>1</v>
      </c>
      <c r="AD2072" t="s">
        <v>564</v>
      </c>
      <c r="AE2072">
        <v>0</v>
      </c>
      <c r="AF2072">
        <v>53.06</v>
      </c>
      <c r="AG2072" t="s">
        <v>798</v>
      </c>
      <c r="AH2072">
        <v>9.9999999999999995E-7</v>
      </c>
      <c r="AI2072">
        <v>0</v>
      </c>
      <c r="AJ2072" t="s">
        <v>561</v>
      </c>
      <c r="AK2072" t="s">
        <v>766</v>
      </c>
      <c r="AL2072" t="s">
        <v>787</v>
      </c>
      <c r="AM2072">
        <v>2021</v>
      </c>
      <c r="AN2072">
        <v>2020</v>
      </c>
      <c r="AO2072">
        <f>IF(AND(emissions[[#This Row],[Market-based]]=0,emissions[[#This Row],[Impact Type]]="CO2E"),emissions[[#This Row],[kgCO2e]],0)/1000</f>
        <v>0</v>
      </c>
      <c r="AP2072">
        <f>IF(AND(emissions[[#This Row],[Market-based]]=1,OR(emissions[[#This Row],[Impact Type]]="CO2E",emissions[[#This Row],[Impact Type]]="CO2E MKT")),emissions[[#This Row],[kgCO2e]],0)/1000</f>
        <v>0</v>
      </c>
      <c r="AQ2072" t="str">
        <f>_xlfn.TEXTAFTER(emissions[[#This Row],[Reporting Unit]]," &gt; ",LEN(emissions[[#This Row],[Reporting Unit]])-LEN(SUBSTITUTE(emissions[[#This Row],[Reporting Unit]],"&gt;","")))</f>
        <v>Vantage_Bogotá</v>
      </c>
      <c r="AR2072" t="str">
        <f>_xlfn.XLOOKUP(emissions[[#This Row],[Reporting unit name]],hierarchy!$A:$A,hierarchy!$C:$C)</f>
        <v>Office</v>
      </c>
    </row>
    <row r="2073" spans="1:44" hidden="1" x14ac:dyDescent="0.25">
      <c r="A2073">
        <v>4968</v>
      </c>
      <c r="B2073" t="s">
        <v>237</v>
      </c>
      <c r="C2073" t="s">
        <v>501</v>
      </c>
      <c r="D2073" t="s">
        <v>599</v>
      </c>
      <c r="E2073" s="3">
        <v>44197</v>
      </c>
      <c r="F2073" s="3">
        <v>44561</v>
      </c>
      <c r="G2073" t="s">
        <v>135</v>
      </c>
      <c r="H2073" s="3">
        <v>44197</v>
      </c>
      <c r="I2073" s="3">
        <v>44561</v>
      </c>
      <c r="J2073" t="s">
        <v>135</v>
      </c>
      <c r="K2073">
        <v>0</v>
      </c>
      <c r="L2073" t="s">
        <v>140</v>
      </c>
      <c r="M2073" t="s">
        <v>82</v>
      </c>
      <c r="O2073" t="s">
        <v>600</v>
      </c>
      <c r="P2073" t="s">
        <v>550</v>
      </c>
      <c r="Q2073">
        <v>2021</v>
      </c>
      <c r="R2073" t="s">
        <v>605</v>
      </c>
      <c r="S2073" t="s">
        <v>606</v>
      </c>
      <c r="T2073" t="s">
        <v>553</v>
      </c>
      <c r="U2073" t="b">
        <v>0</v>
      </c>
      <c r="V2073" t="s">
        <v>781</v>
      </c>
      <c r="W2073" t="s">
        <v>587</v>
      </c>
      <c r="X2073" t="s">
        <v>556</v>
      </c>
      <c r="Y2073" t="s">
        <v>472</v>
      </c>
      <c r="AC2073">
        <v>1</v>
      </c>
      <c r="AD2073" t="s">
        <v>565</v>
      </c>
      <c r="AE2073">
        <v>0</v>
      </c>
      <c r="AF2073">
        <v>53.114800000000002</v>
      </c>
      <c r="AG2073" t="s">
        <v>798</v>
      </c>
      <c r="AH2073">
        <v>9.9999999999999995E-7</v>
      </c>
      <c r="AI2073">
        <v>0</v>
      </c>
      <c r="AJ2073" t="s">
        <v>561</v>
      </c>
      <c r="AK2073" t="s">
        <v>766</v>
      </c>
      <c r="AL2073" t="s">
        <v>790</v>
      </c>
      <c r="AM2073">
        <v>2021</v>
      </c>
      <c r="AN2073">
        <v>2021</v>
      </c>
      <c r="AO2073">
        <f>IF(AND(emissions[[#This Row],[Market-based]]=0,emissions[[#This Row],[Impact Type]]="CO2E"),emissions[[#This Row],[kgCO2e]],0)/1000</f>
        <v>0</v>
      </c>
      <c r="AP2073">
        <f>IF(AND(emissions[[#This Row],[Market-based]]=1,OR(emissions[[#This Row],[Impact Type]]="CO2E",emissions[[#This Row],[Impact Type]]="CO2E MKT")),emissions[[#This Row],[kgCO2e]],0)/1000</f>
        <v>0</v>
      </c>
      <c r="AQ2073" t="str">
        <f>_xlfn.TEXTAFTER(emissions[[#This Row],[Reporting Unit]]," &gt; ",LEN(emissions[[#This Row],[Reporting Unit]])-LEN(SUBSTITUTE(emissions[[#This Row],[Reporting Unit]],"&gt;","")))</f>
        <v>Vantage_Bogotá</v>
      </c>
      <c r="AR2073" t="str">
        <f>_xlfn.XLOOKUP(emissions[[#This Row],[Reporting unit name]],hierarchy!$A:$A,hierarchy!$C:$C)</f>
        <v>Office</v>
      </c>
    </row>
    <row r="2074" spans="1:44" hidden="1" x14ac:dyDescent="0.25">
      <c r="A2074">
        <v>4968</v>
      </c>
      <c r="B2074" t="s">
        <v>237</v>
      </c>
      <c r="C2074" t="s">
        <v>501</v>
      </c>
      <c r="D2074" t="s">
        <v>599</v>
      </c>
      <c r="E2074" s="3">
        <v>44197</v>
      </c>
      <c r="F2074" s="3">
        <v>44561</v>
      </c>
      <c r="G2074" t="s">
        <v>135</v>
      </c>
      <c r="H2074" s="3">
        <v>44197</v>
      </c>
      <c r="I2074" s="3">
        <v>44561</v>
      </c>
      <c r="J2074" t="s">
        <v>135</v>
      </c>
      <c r="K2074">
        <v>0</v>
      </c>
      <c r="L2074" t="s">
        <v>140</v>
      </c>
      <c r="M2074" t="s">
        <v>82</v>
      </c>
      <c r="O2074" t="s">
        <v>600</v>
      </c>
      <c r="P2074" t="s">
        <v>550</v>
      </c>
      <c r="Q2074">
        <v>2021</v>
      </c>
      <c r="R2074" t="s">
        <v>605</v>
      </c>
      <c r="S2074" t="s">
        <v>606</v>
      </c>
      <c r="T2074" t="s">
        <v>553</v>
      </c>
      <c r="U2074" t="b">
        <v>0</v>
      </c>
      <c r="V2074" t="s">
        <v>781</v>
      </c>
      <c r="W2074" t="s">
        <v>587</v>
      </c>
      <c r="X2074" t="s">
        <v>556</v>
      </c>
      <c r="Y2074" t="s">
        <v>472</v>
      </c>
      <c r="AC2074">
        <v>1</v>
      </c>
      <c r="AD2074" t="s">
        <v>566</v>
      </c>
      <c r="AE2074">
        <v>0</v>
      </c>
      <c r="AF2074">
        <v>2.98E-2</v>
      </c>
      <c r="AG2074" t="s">
        <v>798</v>
      </c>
      <c r="AH2074">
        <v>9.9999999999999995E-7</v>
      </c>
      <c r="AI2074">
        <v>0</v>
      </c>
      <c r="AJ2074" t="s">
        <v>561</v>
      </c>
      <c r="AK2074" t="s">
        <v>766</v>
      </c>
      <c r="AL2074" t="s">
        <v>790</v>
      </c>
      <c r="AM2074">
        <v>2021</v>
      </c>
      <c r="AN2074">
        <v>2021</v>
      </c>
      <c r="AO2074">
        <f>IF(AND(emissions[[#This Row],[Market-based]]=0,emissions[[#This Row],[Impact Type]]="CO2E"),emissions[[#This Row],[kgCO2e]],0)/1000</f>
        <v>0</v>
      </c>
      <c r="AP2074">
        <f>IF(AND(emissions[[#This Row],[Market-based]]=1,OR(emissions[[#This Row],[Impact Type]]="CO2E",emissions[[#This Row],[Impact Type]]="CO2E MKT")),emissions[[#This Row],[kgCO2e]],0)/1000</f>
        <v>0</v>
      </c>
      <c r="AQ2074" t="str">
        <f>_xlfn.TEXTAFTER(emissions[[#This Row],[Reporting Unit]]," &gt; ",LEN(emissions[[#This Row],[Reporting Unit]])-LEN(SUBSTITUTE(emissions[[#This Row],[Reporting Unit]],"&gt;","")))</f>
        <v>Vantage_Bogotá</v>
      </c>
      <c r="AR2074" t="str">
        <f>_xlfn.XLOOKUP(emissions[[#This Row],[Reporting unit name]],hierarchy!$A:$A,hierarchy!$C:$C)</f>
        <v>Office</v>
      </c>
    </row>
    <row r="2075" spans="1:44" hidden="1" x14ac:dyDescent="0.25">
      <c r="A2075">
        <v>4968</v>
      </c>
      <c r="B2075" t="s">
        <v>237</v>
      </c>
      <c r="C2075" t="s">
        <v>501</v>
      </c>
      <c r="D2075" t="s">
        <v>599</v>
      </c>
      <c r="E2075" s="3">
        <v>44197</v>
      </c>
      <c r="F2075" s="3">
        <v>44561</v>
      </c>
      <c r="G2075" t="s">
        <v>135</v>
      </c>
      <c r="H2075" s="3">
        <v>44197</v>
      </c>
      <c r="I2075" s="3">
        <v>44561</v>
      </c>
      <c r="J2075" t="s">
        <v>135</v>
      </c>
      <c r="K2075">
        <v>0</v>
      </c>
      <c r="L2075" t="s">
        <v>140</v>
      </c>
      <c r="M2075" t="s">
        <v>82</v>
      </c>
      <c r="O2075" t="s">
        <v>600</v>
      </c>
      <c r="P2075" t="s">
        <v>550</v>
      </c>
      <c r="Q2075">
        <v>2021</v>
      </c>
      <c r="R2075" t="s">
        <v>609</v>
      </c>
      <c r="S2075" t="s">
        <v>610</v>
      </c>
      <c r="T2075" t="s">
        <v>577</v>
      </c>
      <c r="U2075" t="b">
        <v>0</v>
      </c>
      <c r="V2075" t="s">
        <v>611</v>
      </c>
      <c r="W2075" t="s">
        <v>571</v>
      </c>
      <c r="X2075" t="s">
        <v>572</v>
      </c>
      <c r="AC2075">
        <v>0</v>
      </c>
      <c r="AD2075" t="s">
        <v>565</v>
      </c>
      <c r="AE2075">
        <v>0</v>
      </c>
      <c r="AF2075">
        <v>3.1350000000000003E-2</v>
      </c>
      <c r="AG2075" t="s">
        <v>608</v>
      </c>
      <c r="AH2075">
        <v>2.9306999999999998E-4</v>
      </c>
      <c r="AI2075">
        <v>0</v>
      </c>
      <c r="AJ2075" t="s">
        <v>561</v>
      </c>
      <c r="AK2075" t="s">
        <v>589</v>
      </c>
      <c r="AL2075" t="s">
        <v>603</v>
      </c>
      <c r="AM2075">
        <v>2021</v>
      </c>
      <c r="AN2075">
        <v>2019</v>
      </c>
      <c r="AO2075">
        <f>IF(AND(emissions[[#This Row],[Market-based]]=0,emissions[[#This Row],[Impact Type]]="CO2E"),emissions[[#This Row],[kgCO2e]],0)/1000</f>
        <v>0</v>
      </c>
      <c r="AP2075">
        <f>IF(AND(emissions[[#This Row],[Market-based]]=1,OR(emissions[[#This Row],[Impact Type]]="CO2E",emissions[[#This Row],[Impact Type]]="CO2E MKT")),emissions[[#This Row],[kgCO2e]],0)/1000</f>
        <v>0</v>
      </c>
      <c r="AQ2075" t="str">
        <f>_xlfn.TEXTAFTER(emissions[[#This Row],[Reporting Unit]]," &gt; ",LEN(emissions[[#This Row],[Reporting Unit]])-LEN(SUBSTITUTE(emissions[[#This Row],[Reporting Unit]],"&gt;","")))</f>
        <v>Vantage_Bogotá</v>
      </c>
      <c r="AR2075" t="str">
        <f>_xlfn.XLOOKUP(emissions[[#This Row],[Reporting unit name]],hierarchy!$A:$A,hierarchy!$C:$C)</f>
        <v>Office</v>
      </c>
    </row>
    <row r="2076" spans="1:44" hidden="1" x14ac:dyDescent="0.25">
      <c r="A2076">
        <v>4968</v>
      </c>
      <c r="B2076" t="s">
        <v>237</v>
      </c>
      <c r="C2076" t="s">
        <v>501</v>
      </c>
      <c r="D2076" t="s">
        <v>599</v>
      </c>
      <c r="E2076" s="3">
        <v>44197</v>
      </c>
      <c r="F2076" s="3">
        <v>44561</v>
      </c>
      <c r="G2076" t="s">
        <v>135</v>
      </c>
      <c r="H2076" s="3">
        <v>44197</v>
      </c>
      <c r="I2076" s="3">
        <v>44561</v>
      </c>
      <c r="J2076" t="s">
        <v>135</v>
      </c>
      <c r="K2076">
        <v>0</v>
      </c>
      <c r="L2076" t="s">
        <v>140</v>
      </c>
      <c r="M2076" t="s">
        <v>82</v>
      </c>
      <c r="O2076" t="s">
        <v>600</v>
      </c>
      <c r="P2076" t="s">
        <v>550</v>
      </c>
      <c r="Q2076">
        <v>2021</v>
      </c>
      <c r="R2076" t="s">
        <v>609</v>
      </c>
      <c r="S2076" t="s">
        <v>610</v>
      </c>
      <c r="T2076" t="s">
        <v>577</v>
      </c>
      <c r="U2076" t="b">
        <v>0</v>
      </c>
      <c r="V2076" t="s">
        <v>611</v>
      </c>
      <c r="W2076" t="s">
        <v>571</v>
      </c>
      <c r="X2076" t="s">
        <v>572</v>
      </c>
      <c r="AC2076">
        <v>1</v>
      </c>
      <c r="AD2076" t="s">
        <v>565</v>
      </c>
      <c r="AE2076">
        <v>0</v>
      </c>
      <c r="AF2076">
        <v>3.1350000000000003E-2</v>
      </c>
      <c r="AG2076" t="s">
        <v>608</v>
      </c>
      <c r="AH2076">
        <v>2.9306999999999998E-4</v>
      </c>
      <c r="AI2076">
        <v>0</v>
      </c>
      <c r="AJ2076" t="s">
        <v>561</v>
      </c>
      <c r="AK2076" t="s">
        <v>589</v>
      </c>
      <c r="AL2076" t="s">
        <v>603</v>
      </c>
      <c r="AM2076">
        <v>2021</v>
      </c>
      <c r="AN2076">
        <v>2019</v>
      </c>
      <c r="AO2076">
        <f>IF(AND(emissions[[#This Row],[Market-based]]=0,emissions[[#This Row],[Impact Type]]="CO2E"),emissions[[#This Row],[kgCO2e]],0)/1000</f>
        <v>0</v>
      </c>
      <c r="AP2076">
        <f>IF(AND(emissions[[#This Row],[Market-based]]=1,OR(emissions[[#This Row],[Impact Type]]="CO2E",emissions[[#This Row],[Impact Type]]="CO2E MKT")),emissions[[#This Row],[kgCO2e]],0)/1000</f>
        <v>0</v>
      </c>
      <c r="AQ2076" t="str">
        <f>_xlfn.TEXTAFTER(emissions[[#This Row],[Reporting Unit]]," &gt; ",LEN(emissions[[#This Row],[Reporting Unit]])-LEN(SUBSTITUTE(emissions[[#This Row],[Reporting Unit]],"&gt;","")))</f>
        <v>Vantage_Bogotá</v>
      </c>
      <c r="AR2076" t="str">
        <f>_xlfn.XLOOKUP(emissions[[#This Row],[Reporting unit name]],hierarchy!$A:$A,hierarchy!$C:$C)</f>
        <v>Office</v>
      </c>
    </row>
    <row r="2077" spans="1:44" hidden="1" x14ac:dyDescent="0.25">
      <c r="A2077">
        <v>4999</v>
      </c>
      <c r="B2077" t="s">
        <v>237</v>
      </c>
      <c r="C2077" t="s">
        <v>501</v>
      </c>
      <c r="D2077" t="s">
        <v>599</v>
      </c>
      <c r="E2077" s="3">
        <v>44197</v>
      </c>
      <c r="F2077" s="3">
        <v>44561</v>
      </c>
      <c r="G2077" t="s">
        <v>141</v>
      </c>
      <c r="H2077" s="3">
        <v>44197</v>
      </c>
      <c r="I2077" s="3">
        <v>44561</v>
      </c>
      <c r="J2077" t="s">
        <v>142</v>
      </c>
      <c r="K2077">
        <v>0</v>
      </c>
      <c r="L2077" t="s">
        <v>143</v>
      </c>
      <c r="M2077" t="s">
        <v>82</v>
      </c>
      <c r="O2077" t="s">
        <v>600</v>
      </c>
      <c r="P2077" t="s">
        <v>550</v>
      </c>
      <c r="Q2077">
        <v>2021</v>
      </c>
      <c r="R2077" t="s">
        <v>612</v>
      </c>
      <c r="S2077" t="s">
        <v>613</v>
      </c>
      <c r="T2077" t="s">
        <v>553</v>
      </c>
      <c r="U2077" t="b">
        <v>0</v>
      </c>
      <c r="V2077" t="s">
        <v>614</v>
      </c>
      <c r="W2077" t="s">
        <v>587</v>
      </c>
      <c r="X2077" t="s">
        <v>556</v>
      </c>
      <c r="AC2077">
        <v>0</v>
      </c>
      <c r="AD2077" t="s">
        <v>558</v>
      </c>
      <c r="AE2077">
        <v>0</v>
      </c>
      <c r="AF2077">
        <v>2.5999999999999998E-4</v>
      </c>
      <c r="AG2077" t="s">
        <v>588</v>
      </c>
      <c r="AH2077">
        <v>1</v>
      </c>
      <c r="AI2077">
        <v>0</v>
      </c>
      <c r="AJ2077" t="s">
        <v>561</v>
      </c>
      <c r="AK2077" t="s">
        <v>589</v>
      </c>
      <c r="AL2077" t="s">
        <v>603</v>
      </c>
      <c r="AM2077">
        <v>2021</v>
      </c>
      <c r="AN2077">
        <v>2019</v>
      </c>
      <c r="AO2077">
        <f>IF(AND(emissions[[#This Row],[Market-based]]=0,emissions[[#This Row],[Impact Type]]="CO2E"),emissions[[#This Row],[kgCO2e]],0)/1000</f>
        <v>0</v>
      </c>
      <c r="AP2077">
        <f>IF(AND(emissions[[#This Row],[Market-based]]=1,OR(emissions[[#This Row],[Impact Type]]="CO2E",emissions[[#This Row],[Impact Type]]="CO2E MKT")),emissions[[#This Row],[kgCO2e]],0)/1000</f>
        <v>0</v>
      </c>
      <c r="AQ2077" t="str">
        <f>_xlfn.TEXTAFTER(emissions[[#This Row],[Reporting Unit]]," &gt; ",LEN(emissions[[#This Row],[Reporting Unit]])-LEN(SUBSTITUTE(emissions[[#This Row],[Reporting Unit]],"&gt;","")))</f>
        <v>Vantage_Bogotá</v>
      </c>
      <c r="AR2077" t="str">
        <f>_xlfn.XLOOKUP(emissions[[#This Row],[Reporting unit name]],hierarchy!$A:$A,hierarchy!$C:$C)</f>
        <v>Office</v>
      </c>
    </row>
    <row r="2078" spans="1:44" hidden="1" x14ac:dyDescent="0.25">
      <c r="A2078">
        <v>4999</v>
      </c>
      <c r="B2078" t="s">
        <v>237</v>
      </c>
      <c r="C2078" t="s">
        <v>501</v>
      </c>
      <c r="D2078" t="s">
        <v>599</v>
      </c>
      <c r="E2078" s="3">
        <v>44197</v>
      </c>
      <c r="F2078" s="3">
        <v>44561</v>
      </c>
      <c r="G2078" t="s">
        <v>141</v>
      </c>
      <c r="H2078" s="3">
        <v>44197</v>
      </c>
      <c r="I2078" s="3">
        <v>44561</v>
      </c>
      <c r="J2078" t="s">
        <v>142</v>
      </c>
      <c r="K2078">
        <v>0</v>
      </c>
      <c r="L2078" t="s">
        <v>143</v>
      </c>
      <c r="M2078" t="s">
        <v>82</v>
      </c>
      <c r="O2078" t="s">
        <v>600</v>
      </c>
      <c r="P2078" t="s">
        <v>550</v>
      </c>
      <c r="Q2078">
        <v>2021</v>
      </c>
      <c r="R2078" t="s">
        <v>612</v>
      </c>
      <c r="S2078" t="s">
        <v>613</v>
      </c>
      <c r="T2078" t="s">
        <v>553</v>
      </c>
      <c r="U2078" t="b">
        <v>0</v>
      </c>
      <c r="V2078" t="s">
        <v>614</v>
      </c>
      <c r="W2078" t="s">
        <v>587</v>
      </c>
      <c r="X2078" t="s">
        <v>556</v>
      </c>
      <c r="AC2078">
        <v>0</v>
      </c>
      <c r="AD2078" t="s">
        <v>564</v>
      </c>
      <c r="AE2078">
        <v>0</v>
      </c>
      <c r="AF2078">
        <v>2.6680700000000002</v>
      </c>
      <c r="AG2078" t="s">
        <v>588</v>
      </c>
      <c r="AH2078">
        <v>1</v>
      </c>
      <c r="AI2078">
        <v>0</v>
      </c>
      <c r="AJ2078" t="s">
        <v>561</v>
      </c>
      <c r="AK2078" t="s">
        <v>589</v>
      </c>
      <c r="AL2078" t="s">
        <v>603</v>
      </c>
      <c r="AM2078">
        <v>2021</v>
      </c>
      <c r="AN2078">
        <v>2019</v>
      </c>
      <c r="AO2078">
        <f>IF(AND(emissions[[#This Row],[Market-based]]=0,emissions[[#This Row],[Impact Type]]="CO2E"),emissions[[#This Row],[kgCO2e]],0)/1000</f>
        <v>0</v>
      </c>
      <c r="AP2078">
        <f>IF(AND(emissions[[#This Row],[Market-based]]=1,OR(emissions[[#This Row],[Impact Type]]="CO2E",emissions[[#This Row],[Impact Type]]="CO2E MKT")),emissions[[#This Row],[kgCO2e]],0)/1000</f>
        <v>0</v>
      </c>
      <c r="AQ2078" t="str">
        <f>_xlfn.TEXTAFTER(emissions[[#This Row],[Reporting Unit]]," &gt; ",LEN(emissions[[#This Row],[Reporting Unit]])-LEN(SUBSTITUTE(emissions[[#This Row],[Reporting Unit]],"&gt;","")))</f>
        <v>Vantage_Bogotá</v>
      </c>
      <c r="AR2078" t="str">
        <f>_xlfn.XLOOKUP(emissions[[#This Row],[Reporting unit name]],hierarchy!$A:$A,hierarchy!$C:$C)</f>
        <v>Office</v>
      </c>
    </row>
    <row r="2079" spans="1:44" hidden="1" x14ac:dyDescent="0.25">
      <c r="A2079">
        <v>4999</v>
      </c>
      <c r="B2079" t="s">
        <v>237</v>
      </c>
      <c r="C2079" t="s">
        <v>501</v>
      </c>
      <c r="D2079" t="s">
        <v>599</v>
      </c>
      <c r="E2079" s="3">
        <v>44197</v>
      </c>
      <c r="F2079" s="3">
        <v>44561</v>
      </c>
      <c r="G2079" t="s">
        <v>141</v>
      </c>
      <c r="H2079" s="3">
        <v>44197</v>
      </c>
      <c r="I2079" s="3">
        <v>44561</v>
      </c>
      <c r="J2079" t="s">
        <v>142</v>
      </c>
      <c r="K2079">
        <v>0</v>
      </c>
      <c r="L2079" t="s">
        <v>143</v>
      </c>
      <c r="M2079" t="s">
        <v>82</v>
      </c>
      <c r="O2079" t="s">
        <v>600</v>
      </c>
      <c r="P2079" t="s">
        <v>550</v>
      </c>
      <c r="Q2079">
        <v>2021</v>
      </c>
      <c r="R2079" t="s">
        <v>612</v>
      </c>
      <c r="S2079" t="s">
        <v>613</v>
      </c>
      <c r="T2079" t="s">
        <v>553</v>
      </c>
      <c r="U2079" t="b">
        <v>0</v>
      </c>
      <c r="V2079" t="s">
        <v>614</v>
      </c>
      <c r="W2079" t="s">
        <v>587</v>
      </c>
      <c r="X2079" t="s">
        <v>556</v>
      </c>
      <c r="AC2079">
        <v>0</v>
      </c>
      <c r="AD2079" t="s">
        <v>565</v>
      </c>
      <c r="AE2079">
        <v>0</v>
      </c>
      <c r="AF2079">
        <v>2.70553</v>
      </c>
      <c r="AG2079" t="s">
        <v>588</v>
      </c>
      <c r="AH2079">
        <v>1</v>
      </c>
      <c r="AI2079">
        <v>0</v>
      </c>
      <c r="AJ2079" t="s">
        <v>561</v>
      </c>
      <c r="AK2079" t="s">
        <v>589</v>
      </c>
      <c r="AL2079" t="s">
        <v>603</v>
      </c>
      <c r="AM2079">
        <v>2021</v>
      </c>
      <c r="AN2079">
        <v>2019</v>
      </c>
      <c r="AO2079">
        <f>IF(AND(emissions[[#This Row],[Market-based]]=0,emissions[[#This Row],[Impact Type]]="CO2E"),emissions[[#This Row],[kgCO2e]],0)/1000</f>
        <v>0</v>
      </c>
      <c r="AP2079">
        <f>IF(AND(emissions[[#This Row],[Market-based]]=1,OR(emissions[[#This Row],[Impact Type]]="CO2E",emissions[[#This Row],[Impact Type]]="CO2E MKT")),emissions[[#This Row],[kgCO2e]],0)/1000</f>
        <v>0</v>
      </c>
      <c r="AQ2079" t="str">
        <f>_xlfn.TEXTAFTER(emissions[[#This Row],[Reporting Unit]]," &gt; ",LEN(emissions[[#This Row],[Reporting Unit]])-LEN(SUBSTITUTE(emissions[[#This Row],[Reporting Unit]],"&gt;","")))</f>
        <v>Vantage_Bogotá</v>
      </c>
      <c r="AR2079" t="str">
        <f>_xlfn.XLOOKUP(emissions[[#This Row],[Reporting unit name]],hierarchy!$A:$A,hierarchy!$C:$C)</f>
        <v>Office</v>
      </c>
    </row>
    <row r="2080" spans="1:44" hidden="1" x14ac:dyDescent="0.25">
      <c r="A2080">
        <v>4999</v>
      </c>
      <c r="B2080" t="s">
        <v>237</v>
      </c>
      <c r="C2080" t="s">
        <v>501</v>
      </c>
      <c r="D2080" t="s">
        <v>599</v>
      </c>
      <c r="E2080" s="3">
        <v>44197</v>
      </c>
      <c r="F2080" s="3">
        <v>44561</v>
      </c>
      <c r="G2080" t="s">
        <v>141</v>
      </c>
      <c r="H2080" s="3">
        <v>44197</v>
      </c>
      <c r="I2080" s="3">
        <v>44561</v>
      </c>
      <c r="J2080" t="s">
        <v>142</v>
      </c>
      <c r="K2080">
        <v>0</v>
      </c>
      <c r="L2080" t="s">
        <v>143</v>
      </c>
      <c r="M2080" t="s">
        <v>82</v>
      </c>
      <c r="O2080" t="s">
        <v>600</v>
      </c>
      <c r="P2080" t="s">
        <v>550</v>
      </c>
      <c r="Q2080">
        <v>2021</v>
      </c>
      <c r="R2080" t="s">
        <v>612</v>
      </c>
      <c r="S2080" t="s">
        <v>613</v>
      </c>
      <c r="T2080" t="s">
        <v>553</v>
      </c>
      <c r="U2080" t="b">
        <v>0</v>
      </c>
      <c r="V2080" t="s">
        <v>614</v>
      </c>
      <c r="W2080" t="s">
        <v>587</v>
      </c>
      <c r="X2080" t="s">
        <v>556</v>
      </c>
      <c r="AC2080">
        <v>0</v>
      </c>
      <c r="AD2080" t="s">
        <v>566</v>
      </c>
      <c r="AE2080">
        <v>0</v>
      </c>
      <c r="AF2080">
        <v>3.7199999999999997E-2</v>
      </c>
      <c r="AG2080" t="s">
        <v>588</v>
      </c>
      <c r="AH2080">
        <v>1</v>
      </c>
      <c r="AI2080">
        <v>0</v>
      </c>
      <c r="AJ2080" t="s">
        <v>561</v>
      </c>
      <c r="AK2080" t="s">
        <v>589</v>
      </c>
      <c r="AL2080" t="s">
        <v>603</v>
      </c>
      <c r="AM2080">
        <v>2021</v>
      </c>
      <c r="AN2080">
        <v>2019</v>
      </c>
      <c r="AO2080">
        <f>IF(AND(emissions[[#This Row],[Market-based]]=0,emissions[[#This Row],[Impact Type]]="CO2E"),emissions[[#This Row],[kgCO2e]],0)/1000</f>
        <v>0</v>
      </c>
      <c r="AP2080">
        <f>IF(AND(emissions[[#This Row],[Market-based]]=1,OR(emissions[[#This Row],[Impact Type]]="CO2E",emissions[[#This Row],[Impact Type]]="CO2E MKT")),emissions[[#This Row],[kgCO2e]],0)/1000</f>
        <v>0</v>
      </c>
      <c r="AQ2080" t="str">
        <f>_xlfn.TEXTAFTER(emissions[[#This Row],[Reporting Unit]]," &gt; ",LEN(emissions[[#This Row],[Reporting Unit]])-LEN(SUBSTITUTE(emissions[[#This Row],[Reporting Unit]],"&gt;","")))</f>
        <v>Vantage_Bogotá</v>
      </c>
      <c r="AR2080" t="str">
        <f>_xlfn.XLOOKUP(emissions[[#This Row],[Reporting unit name]],hierarchy!$A:$A,hierarchy!$C:$C)</f>
        <v>Office</v>
      </c>
    </row>
    <row r="2081" spans="1:44" hidden="1" x14ac:dyDescent="0.25">
      <c r="A2081">
        <v>4999</v>
      </c>
      <c r="B2081" t="s">
        <v>237</v>
      </c>
      <c r="C2081" t="s">
        <v>501</v>
      </c>
      <c r="D2081" t="s">
        <v>599</v>
      </c>
      <c r="E2081" s="3">
        <v>44197</v>
      </c>
      <c r="F2081" s="3">
        <v>44561</v>
      </c>
      <c r="G2081" t="s">
        <v>141</v>
      </c>
      <c r="H2081" s="3">
        <v>44197</v>
      </c>
      <c r="I2081" s="3">
        <v>44561</v>
      </c>
      <c r="J2081" t="s">
        <v>142</v>
      </c>
      <c r="K2081">
        <v>0</v>
      </c>
      <c r="L2081" t="s">
        <v>143</v>
      </c>
      <c r="M2081" t="s">
        <v>82</v>
      </c>
      <c r="O2081" t="s">
        <v>600</v>
      </c>
      <c r="P2081" t="s">
        <v>550</v>
      </c>
      <c r="Q2081">
        <v>2021</v>
      </c>
      <c r="R2081" t="s">
        <v>612</v>
      </c>
      <c r="S2081" t="s">
        <v>613</v>
      </c>
      <c r="T2081" t="s">
        <v>553</v>
      </c>
      <c r="U2081" t="b">
        <v>0</v>
      </c>
      <c r="V2081" t="s">
        <v>614</v>
      </c>
      <c r="W2081" t="s">
        <v>587</v>
      </c>
      <c r="X2081" t="s">
        <v>556</v>
      </c>
      <c r="AC2081">
        <v>1</v>
      </c>
      <c r="AD2081" t="s">
        <v>558</v>
      </c>
      <c r="AE2081">
        <v>0</v>
      </c>
      <c r="AF2081">
        <v>2.5999999999999998E-4</v>
      </c>
      <c r="AG2081" t="s">
        <v>588</v>
      </c>
      <c r="AH2081">
        <v>1</v>
      </c>
      <c r="AI2081">
        <v>0</v>
      </c>
      <c r="AJ2081" t="s">
        <v>561</v>
      </c>
      <c r="AK2081" t="s">
        <v>589</v>
      </c>
      <c r="AL2081" t="s">
        <v>603</v>
      </c>
      <c r="AM2081">
        <v>2021</v>
      </c>
      <c r="AN2081">
        <v>2019</v>
      </c>
      <c r="AO2081">
        <f>IF(AND(emissions[[#This Row],[Market-based]]=0,emissions[[#This Row],[Impact Type]]="CO2E"),emissions[[#This Row],[kgCO2e]],0)/1000</f>
        <v>0</v>
      </c>
      <c r="AP2081">
        <f>IF(AND(emissions[[#This Row],[Market-based]]=1,OR(emissions[[#This Row],[Impact Type]]="CO2E",emissions[[#This Row],[Impact Type]]="CO2E MKT")),emissions[[#This Row],[kgCO2e]],0)/1000</f>
        <v>0</v>
      </c>
      <c r="AQ2081" t="str">
        <f>_xlfn.TEXTAFTER(emissions[[#This Row],[Reporting Unit]]," &gt; ",LEN(emissions[[#This Row],[Reporting Unit]])-LEN(SUBSTITUTE(emissions[[#This Row],[Reporting Unit]],"&gt;","")))</f>
        <v>Vantage_Bogotá</v>
      </c>
      <c r="AR2081" t="str">
        <f>_xlfn.XLOOKUP(emissions[[#This Row],[Reporting unit name]],hierarchy!$A:$A,hierarchy!$C:$C)</f>
        <v>Office</v>
      </c>
    </row>
    <row r="2082" spans="1:44" hidden="1" x14ac:dyDescent="0.25">
      <c r="A2082">
        <v>4999</v>
      </c>
      <c r="B2082" t="s">
        <v>237</v>
      </c>
      <c r="C2082" t="s">
        <v>501</v>
      </c>
      <c r="D2082" t="s">
        <v>599</v>
      </c>
      <c r="E2082" s="3">
        <v>44197</v>
      </c>
      <c r="F2082" s="3">
        <v>44561</v>
      </c>
      <c r="G2082" t="s">
        <v>141</v>
      </c>
      <c r="H2082" s="3">
        <v>44197</v>
      </c>
      <c r="I2082" s="3">
        <v>44561</v>
      </c>
      <c r="J2082" t="s">
        <v>142</v>
      </c>
      <c r="K2082">
        <v>0</v>
      </c>
      <c r="L2082" t="s">
        <v>143</v>
      </c>
      <c r="M2082" t="s">
        <v>82</v>
      </c>
      <c r="O2082" t="s">
        <v>600</v>
      </c>
      <c r="P2082" t="s">
        <v>550</v>
      </c>
      <c r="Q2082">
        <v>2021</v>
      </c>
      <c r="R2082" t="s">
        <v>612</v>
      </c>
      <c r="S2082" t="s">
        <v>613</v>
      </c>
      <c r="T2082" t="s">
        <v>553</v>
      </c>
      <c r="U2082" t="b">
        <v>0</v>
      </c>
      <c r="V2082" t="s">
        <v>614</v>
      </c>
      <c r="W2082" t="s">
        <v>587</v>
      </c>
      <c r="X2082" t="s">
        <v>556</v>
      </c>
      <c r="AC2082">
        <v>1</v>
      </c>
      <c r="AD2082" t="s">
        <v>564</v>
      </c>
      <c r="AE2082">
        <v>0</v>
      </c>
      <c r="AF2082">
        <v>2.6680700000000002</v>
      </c>
      <c r="AG2082" t="s">
        <v>588</v>
      </c>
      <c r="AH2082">
        <v>1</v>
      </c>
      <c r="AI2082">
        <v>0</v>
      </c>
      <c r="AJ2082" t="s">
        <v>561</v>
      </c>
      <c r="AK2082" t="s">
        <v>589</v>
      </c>
      <c r="AL2082" t="s">
        <v>603</v>
      </c>
      <c r="AM2082">
        <v>2021</v>
      </c>
      <c r="AN2082">
        <v>2019</v>
      </c>
      <c r="AO2082">
        <f>IF(AND(emissions[[#This Row],[Market-based]]=0,emissions[[#This Row],[Impact Type]]="CO2E"),emissions[[#This Row],[kgCO2e]],0)/1000</f>
        <v>0</v>
      </c>
      <c r="AP2082">
        <f>IF(AND(emissions[[#This Row],[Market-based]]=1,OR(emissions[[#This Row],[Impact Type]]="CO2E",emissions[[#This Row],[Impact Type]]="CO2E MKT")),emissions[[#This Row],[kgCO2e]],0)/1000</f>
        <v>0</v>
      </c>
      <c r="AQ2082" t="str">
        <f>_xlfn.TEXTAFTER(emissions[[#This Row],[Reporting Unit]]," &gt; ",LEN(emissions[[#This Row],[Reporting Unit]])-LEN(SUBSTITUTE(emissions[[#This Row],[Reporting Unit]],"&gt;","")))</f>
        <v>Vantage_Bogotá</v>
      </c>
      <c r="AR2082" t="str">
        <f>_xlfn.XLOOKUP(emissions[[#This Row],[Reporting unit name]],hierarchy!$A:$A,hierarchy!$C:$C)</f>
        <v>Office</v>
      </c>
    </row>
    <row r="2083" spans="1:44" hidden="1" x14ac:dyDescent="0.25">
      <c r="A2083">
        <v>4999</v>
      </c>
      <c r="B2083" t="s">
        <v>237</v>
      </c>
      <c r="C2083" t="s">
        <v>501</v>
      </c>
      <c r="D2083" t="s">
        <v>599</v>
      </c>
      <c r="E2083" s="3">
        <v>44197</v>
      </c>
      <c r="F2083" s="3">
        <v>44561</v>
      </c>
      <c r="G2083" t="s">
        <v>141</v>
      </c>
      <c r="H2083" s="3">
        <v>44197</v>
      </c>
      <c r="I2083" s="3">
        <v>44561</v>
      </c>
      <c r="J2083" t="s">
        <v>142</v>
      </c>
      <c r="K2083">
        <v>0</v>
      </c>
      <c r="L2083" t="s">
        <v>143</v>
      </c>
      <c r="M2083" t="s">
        <v>82</v>
      </c>
      <c r="O2083" t="s">
        <v>600</v>
      </c>
      <c r="P2083" t="s">
        <v>550</v>
      </c>
      <c r="Q2083">
        <v>2021</v>
      </c>
      <c r="R2083" t="s">
        <v>612</v>
      </c>
      <c r="S2083" t="s">
        <v>613</v>
      </c>
      <c r="T2083" t="s">
        <v>553</v>
      </c>
      <c r="U2083" t="b">
        <v>0</v>
      </c>
      <c r="V2083" t="s">
        <v>614</v>
      </c>
      <c r="W2083" t="s">
        <v>587</v>
      </c>
      <c r="X2083" t="s">
        <v>556</v>
      </c>
      <c r="AC2083">
        <v>1</v>
      </c>
      <c r="AD2083" t="s">
        <v>565</v>
      </c>
      <c r="AE2083">
        <v>0</v>
      </c>
      <c r="AF2083">
        <v>2.70553</v>
      </c>
      <c r="AG2083" t="s">
        <v>588</v>
      </c>
      <c r="AH2083">
        <v>1</v>
      </c>
      <c r="AI2083">
        <v>0</v>
      </c>
      <c r="AJ2083" t="s">
        <v>561</v>
      </c>
      <c r="AK2083" t="s">
        <v>589</v>
      </c>
      <c r="AL2083" t="s">
        <v>603</v>
      </c>
      <c r="AM2083">
        <v>2021</v>
      </c>
      <c r="AN2083">
        <v>2019</v>
      </c>
      <c r="AO2083">
        <f>IF(AND(emissions[[#This Row],[Market-based]]=0,emissions[[#This Row],[Impact Type]]="CO2E"),emissions[[#This Row],[kgCO2e]],0)/1000</f>
        <v>0</v>
      </c>
      <c r="AP2083">
        <f>IF(AND(emissions[[#This Row],[Market-based]]=1,OR(emissions[[#This Row],[Impact Type]]="CO2E",emissions[[#This Row],[Impact Type]]="CO2E MKT")),emissions[[#This Row],[kgCO2e]],0)/1000</f>
        <v>0</v>
      </c>
      <c r="AQ2083" t="str">
        <f>_xlfn.TEXTAFTER(emissions[[#This Row],[Reporting Unit]]," &gt; ",LEN(emissions[[#This Row],[Reporting Unit]])-LEN(SUBSTITUTE(emissions[[#This Row],[Reporting Unit]],"&gt;","")))</f>
        <v>Vantage_Bogotá</v>
      </c>
      <c r="AR2083" t="str">
        <f>_xlfn.XLOOKUP(emissions[[#This Row],[Reporting unit name]],hierarchy!$A:$A,hierarchy!$C:$C)</f>
        <v>Office</v>
      </c>
    </row>
    <row r="2084" spans="1:44" hidden="1" x14ac:dyDescent="0.25">
      <c r="A2084">
        <v>4999</v>
      </c>
      <c r="B2084" t="s">
        <v>237</v>
      </c>
      <c r="C2084" t="s">
        <v>501</v>
      </c>
      <c r="D2084" t="s">
        <v>599</v>
      </c>
      <c r="E2084" s="3">
        <v>44197</v>
      </c>
      <c r="F2084" s="3">
        <v>44561</v>
      </c>
      <c r="G2084" t="s">
        <v>141</v>
      </c>
      <c r="H2084" s="3">
        <v>44197</v>
      </c>
      <c r="I2084" s="3">
        <v>44561</v>
      </c>
      <c r="J2084" t="s">
        <v>142</v>
      </c>
      <c r="K2084">
        <v>0</v>
      </c>
      <c r="L2084" t="s">
        <v>143</v>
      </c>
      <c r="M2084" t="s">
        <v>82</v>
      </c>
      <c r="O2084" t="s">
        <v>600</v>
      </c>
      <c r="P2084" t="s">
        <v>550</v>
      </c>
      <c r="Q2084">
        <v>2021</v>
      </c>
      <c r="R2084" t="s">
        <v>612</v>
      </c>
      <c r="S2084" t="s">
        <v>613</v>
      </c>
      <c r="T2084" t="s">
        <v>553</v>
      </c>
      <c r="U2084" t="b">
        <v>0</v>
      </c>
      <c r="V2084" t="s">
        <v>614</v>
      </c>
      <c r="W2084" t="s">
        <v>587</v>
      </c>
      <c r="X2084" t="s">
        <v>556</v>
      </c>
      <c r="AC2084">
        <v>1</v>
      </c>
      <c r="AD2084" t="s">
        <v>566</v>
      </c>
      <c r="AE2084">
        <v>0</v>
      </c>
      <c r="AF2084">
        <v>3.7199999999999997E-2</v>
      </c>
      <c r="AG2084" t="s">
        <v>588</v>
      </c>
      <c r="AH2084">
        <v>1</v>
      </c>
      <c r="AI2084">
        <v>0</v>
      </c>
      <c r="AJ2084" t="s">
        <v>561</v>
      </c>
      <c r="AK2084" t="s">
        <v>589</v>
      </c>
      <c r="AL2084" t="s">
        <v>603</v>
      </c>
      <c r="AM2084">
        <v>2021</v>
      </c>
      <c r="AN2084">
        <v>2019</v>
      </c>
      <c r="AO2084">
        <f>IF(AND(emissions[[#This Row],[Market-based]]=0,emissions[[#This Row],[Impact Type]]="CO2E"),emissions[[#This Row],[kgCO2e]],0)/1000</f>
        <v>0</v>
      </c>
      <c r="AP2084">
        <f>IF(AND(emissions[[#This Row],[Market-based]]=1,OR(emissions[[#This Row],[Impact Type]]="CO2E",emissions[[#This Row],[Impact Type]]="CO2E MKT")),emissions[[#This Row],[kgCO2e]],0)/1000</f>
        <v>0</v>
      </c>
      <c r="AQ2084" t="str">
        <f>_xlfn.TEXTAFTER(emissions[[#This Row],[Reporting Unit]]," &gt; ",LEN(emissions[[#This Row],[Reporting Unit]])-LEN(SUBSTITUTE(emissions[[#This Row],[Reporting Unit]],"&gt;","")))</f>
        <v>Vantage_Bogotá</v>
      </c>
      <c r="AR2084" t="str">
        <f>_xlfn.XLOOKUP(emissions[[#This Row],[Reporting unit name]],hierarchy!$A:$A,hierarchy!$C:$C)</f>
        <v>Office</v>
      </c>
    </row>
    <row r="2085" spans="1:44" hidden="1" x14ac:dyDescent="0.25">
      <c r="A2085">
        <v>4999</v>
      </c>
      <c r="B2085" t="s">
        <v>237</v>
      </c>
      <c r="C2085" t="s">
        <v>501</v>
      </c>
      <c r="D2085" t="s">
        <v>599</v>
      </c>
      <c r="E2085" s="3">
        <v>44197</v>
      </c>
      <c r="F2085" s="3">
        <v>44561</v>
      </c>
      <c r="G2085" t="s">
        <v>141</v>
      </c>
      <c r="H2085" s="3">
        <v>44197</v>
      </c>
      <c r="I2085" s="3">
        <v>44561</v>
      </c>
      <c r="J2085" t="s">
        <v>142</v>
      </c>
      <c r="K2085">
        <v>0</v>
      </c>
      <c r="L2085" t="s">
        <v>143</v>
      </c>
      <c r="M2085" t="s">
        <v>82</v>
      </c>
      <c r="O2085" t="s">
        <v>600</v>
      </c>
      <c r="P2085" t="s">
        <v>550</v>
      </c>
      <c r="Q2085">
        <v>2021</v>
      </c>
      <c r="R2085" t="s">
        <v>615</v>
      </c>
      <c r="S2085" t="s">
        <v>616</v>
      </c>
      <c r="T2085" t="s">
        <v>577</v>
      </c>
      <c r="U2085" t="b">
        <v>0</v>
      </c>
      <c r="V2085" t="s">
        <v>617</v>
      </c>
      <c r="W2085" t="s">
        <v>571</v>
      </c>
      <c r="X2085" t="s">
        <v>572</v>
      </c>
      <c r="AC2085">
        <v>0</v>
      </c>
      <c r="AD2085" t="s">
        <v>565</v>
      </c>
      <c r="AE2085">
        <v>0</v>
      </c>
      <c r="AF2085">
        <v>0.62873999999999997</v>
      </c>
      <c r="AG2085" t="s">
        <v>588</v>
      </c>
      <c r="AH2085">
        <v>1</v>
      </c>
      <c r="AI2085">
        <v>0</v>
      </c>
      <c r="AJ2085" t="s">
        <v>561</v>
      </c>
      <c r="AK2085" t="s">
        <v>589</v>
      </c>
      <c r="AL2085" t="s">
        <v>603</v>
      </c>
      <c r="AM2085">
        <v>2021</v>
      </c>
      <c r="AN2085">
        <v>2019</v>
      </c>
      <c r="AO2085">
        <f>IF(AND(emissions[[#This Row],[Market-based]]=0,emissions[[#This Row],[Impact Type]]="CO2E"),emissions[[#This Row],[kgCO2e]],0)/1000</f>
        <v>0</v>
      </c>
      <c r="AP2085">
        <f>IF(AND(emissions[[#This Row],[Market-based]]=1,OR(emissions[[#This Row],[Impact Type]]="CO2E",emissions[[#This Row],[Impact Type]]="CO2E MKT")),emissions[[#This Row],[kgCO2e]],0)/1000</f>
        <v>0</v>
      </c>
      <c r="AQ2085" t="str">
        <f>_xlfn.TEXTAFTER(emissions[[#This Row],[Reporting Unit]]," &gt; ",LEN(emissions[[#This Row],[Reporting Unit]])-LEN(SUBSTITUTE(emissions[[#This Row],[Reporting Unit]],"&gt;","")))</f>
        <v>Vantage_Bogotá</v>
      </c>
      <c r="AR2085" t="str">
        <f>_xlfn.XLOOKUP(emissions[[#This Row],[Reporting unit name]],hierarchy!$A:$A,hierarchy!$C:$C)</f>
        <v>Office</v>
      </c>
    </row>
    <row r="2086" spans="1:44" hidden="1" x14ac:dyDescent="0.25">
      <c r="A2086">
        <v>4999</v>
      </c>
      <c r="B2086" t="s">
        <v>237</v>
      </c>
      <c r="C2086" t="s">
        <v>501</v>
      </c>
      <c r="D2086" t="s">
        <v>599</v>
      </c>
      <c r="E2086" s="3">
        <v>44197</v>
      </c>
      <c r="F2086" s="3">
        <v>44561</v>
      </c>
      <c r="G2086" t="s">
        <v>141</v>
      </c>
      <c r="H2086" s="3">
        <v>44197</v>
      </c>
      <c r="I2086" s="3">
        <v>44561</v>
      </c>
      <c r="J2086" t="s">
        <v>142</v>
      </c>
      <c r="K2086">
        <v>0</v>
      </c>
      <c r="L2086" t="s">
        <v>143</v>
      </c>
      <c r="M2086" t="s">
        <v>82</v>
      </c>
      <c r="O2086" t="s">
        <v>600</v>
      </c>
      <c r="P2086" t="s">
        <v>550</v>
      </c>
      <c r="Q2086">
        <v>2021</v>
      </c>
      <c r="R2086" t="s">
        <v>615</v>
      </c>
      <c r="S2086" t="s">
        <v>616</v>
      </c>
      <c r="T2086" t="s">
        <v>577</v>
      </c>
      <c r="U2086" t="b">
        <v>0</v>
      </c>
      <c r="V2086" t="s">
        <v>617</v>
      </c>
      <c r="W2086" t="s">
        <v>571</v>
      </c>
      <c r="X2086" t="s">
        <v>572</v>
      </c>
      <c r="AC2086">
        <v>1</v>
      </c>
      <c r="AD2086" t="s">
        <v>565</v>
      </c>
      <c r="AE2086">
        <v>0</v>
      </c>
      <c r="AF2086">
        <v>0.62873999999999997</v>
      </c>
      <c r="AG2086" t="s">
        <v>588</v>
      </c>
      <c r="AH2086">
        <v>1</v>
      </c>
      <c r="AI2086">
        <v>0</v>
      </c>
      <c r="AJ2086" t="s">
        <v>561</v>
      </c>
      <c r="AK2086" t="s">
        <v>589</v>
      </c>
      <c r="AL2086" t="s">
        <v>603</v>
      </c>
      <c r="AM2086">
        <v>2021</v>
      </c>
      <c r="AN2086">
        <v>2019</v>
      </c>
      <c r="AO2086">
        <f>IF(AND(emissions[[#This Row],[Market-based]]=0,emissions[[#This Row],[Impact Type]]="CO2E"),emissions[[#This Row],[kgCO2e]],0)/1000</f>
        <v>0</v>
      </c>
      <c r="AP2086">
        <f>IF(AND(emissions[[#This Row],[Market-based]]=1,OR(emissions[[#This Row],[Impact Type]]="CO2E",emissions[[#This Row],[Impact Type]]="CO2E MKT")),emissions[[#This Row],[kgCO2e]],0)/1000</f>
        <v>0</v>
      </c>
      <c r="AQ2086" t="str">
        <f>_xlfn.TEXTAFTER(emissions[[#This Row],[Reporting Unit]]," &gt; ",LEN(emissions[[#This Row],[Reporting Unit]])-LEN(SUBSTITUTE(emissions[[#This Row],[Reporting Unit]],"&gt;","")))</f>
        <v>Vantage_Bogotá</v>
      </c>
      <c r="AR2086" t="str">
        <f>_xlfn.XLOOKUP(emissions[[#This Row],[Reporting unit name]],hierarchy!$A:$A,hierarchy!$C:$C)</f>
        <v>Office</v>
      </c>
    </row>
    <row r="2087" spans="1:44" hidden="1" x14ac:dyDescent="0.25">
      <c r="A2087">
        <v>5027</v>
      </c>
      <c r="B2087" t="s">
        <v>237</v>
      </c>
      <c r="C2087" t="s">
        <v>501</v>
      </c>
      <c r="D2087" t="s">
        <v>599</v>
      </c>
      <c r="E2087" s="3">
        <v>44197</v>
      </c>
      <c r="F2087" s="3">
        <v>44561</v>
      </c>
      <c r="G2087" t="s">
        <v>116</v>
      </c>
      <c r="H2087" s="3">
        <v>44197</v>
      </c>
      <c r="I2087" s="3">
        <v>44561</v>
      </c>
      <c r="J2087" t="s">
        <v>128</v>
      </c>
      <c r="K2087">
        <v>0.7</v>
      </c>
      <c r="L2087" t="s">
        <v>118</v>
      </c>
      <c r="M2087" t="s">
        <v>82</v>
      </c>
      <c r="O2087" t="s">
        <v>600</v>
      </c>
      <c r="P2087" t="s">
        <v>550</v>
      </c>
      <c r="Q2087">
        <v>2021</v>
      </c>
      <c r="R2087" t="s">
        <v>619</v>
      </c>
      <c r="S2087" t="s">
        <v>620</v>
      </c>
      <c r="T2087" t="s">
        <v>553</v>
      </c>
      <c r="U2087" t="b">
        <v>0</v>
      </c>
      <c r="V2087" t="s">
        <v>621</v>
      </c>
      <c r="W2087" t="s">
        <v>587</v>
      </c>
      <c r="X2087" t="s">
        <v>556</v>
      </c>
      <c r="AC2087">
        <v>0</v>
      </c>
      <c r="AD2087" t="s">
        <v>565</v>
      </c>
      <c r="AE2087">
        <v>1001</v>
      </c>
      <c r="AF2087">
        <v>1430</v>
      </c>
      <c r="AG2087" t="s">
        <v>622</v>
      </c>
      <c r="AH2087">
        <v>1</v>
      </c>
      <c r="AI2087">
        <v>0.7</v>
      </c>
      <c r="AJ2087" t="s">
        <v>561</v>
      </c>
      <c r="AK2087" t="s">
        <v>623</v>
      </c>
      <c r="AL2087" t="s">
        <v>624</v>
      </c>
      <c r="AM2087">
        <v>2021</v>
      </c>
      <c r="AN2087">
        <v>2007</v>
      </c>
      <c r="AO2087">
        <f>IF(AND(emissions[[#This Row],[Market-based]]=0,emissions[[#This Row],[Impact Type]]="CO2E"),emissions[[#This Row],[kgCO2e]],0)/1000</f>
        <v>1.0009999999999999</v>
      </c>
      <c r="AP2087">
        <f>IF(AND(emissions[[#This Row],[Market-based]]=1,OR(emissions[[#This Row],[Impact Type]]="CO2E",emissions[[#This Row],[Impact Type]]="CO2E MKT")),emissions[[#This Row],[kgCO2e]],0)/1000</f>
        <v>0</v>
      </c>
      <c r="AQ2087" t="str">
        <f>_xlfn.TEXTAFTER(emissions[[#This Row],[Reporting Unit]]," &gt; ",LEN(emissions[[#This Row],[Reporting Unit]])-LEN(SUBSTITUTE(emissions[[#This Row],[Reporting Unit]],"&gt;","")))</f>
        <v>Vantage_Bogotá</v>
      </c>
      <c r="AR2087" t="str">
        <f>_xlfn.XLOOKUP(emissions[[#This Row],[Reporting unit name]],hierarchy!$A:$A,hierarchy!$C:$C)</f>
        <v>Office</v>
      </c>
    </row>
    <row r="2088" spans="1:44" hidden="1" x14ac:dyDescent="0.25">
      <c r="A2088">
        <v>5027</v>
      </c>
      <c r="B2088" t="s">
        <v>237</v>
      </c>
      <c r="C2088" t="s">
        <v>501</v>
      </c>
      <c r="D2088" t="s">
        <v>599</v>
      </c>
      <c r="E2088" s="3">
        <v>44197</v>
      </c>
      <c r="F2088" s="3">
        <v>44561</v>
      </c>
      <c r="G2088" t="s">
        <v>116</v>
      </c>
      <c r="H2088" s="3">
        <v>44197</v>
      </c>
      <c r="I2088" s="3">
        <v>44561</v>
      </c>
      <c r="J2088" t="s">
        <v>128</v>
      </c>
      <c r="K2088">
        <v>0.7</v>
      </c>
      <c r="L2088" t="s">
        <v>118</v>
      </c>
      <c r="M2088" t="s">
        <v>82</v>
      </c>
      <c r="O2088" t="s">
        <v>600</v>
      </c>
      <c r="P2088" t="s">
        <v>550</v>
      </c>
      <c r="Q2088">
        <v>2021</v>
      </c>
      <c r="R2088" t="s">
        <v>619</v>
      </c>
      <c r="S2088" t="s">
        <v>620</v>
      </c>
      <c r="T2088" t="s">
        <v>553</v>
      </c>
      <c r="U2088" t="b">
        <v>0</v>
      </c>
      <c r="V2088" t="s">
        <v>621</v>
      </c>
      <c r="W2088" t="s">
        <v>587</v>
      </c>
      <c r="X2088" t="s">
        <v>556</v>
      </c>
      <c r="AC2088">
        <v>1</v>
      </c>
      <c r="AD2088" t="s">
        <v>565</v>
      </c>
      <c r="AE2088">
        <v>1001</v>
      </c>
      <c r="AF2088">
        <v>1430</v>
      </c>
      <c r="AG2088" t="s">
        <v>622</v>
      </c>
      <c r="AH2088">
        <v>1</v>
      </c>
      <c r="AI2088">
        <v>0.7</v>
      </c>
      <c r="AJ2088" t="s">
        <v>561</v>
      </c>
      <c r="AK2088" t="s">
        <v>623</v>
      </c>
      <c r="AL2088" t="s">
        <v>624</v>
      </c>
      <c r="AM2088">
        <v>2021</v>
      </c>
      <c r="AN2088">
        <v>2007</v>
      </c>
      <c r="AO2088">
        <f>IF(AND(emissions[[#This Row],[Market-based]]=0,emissions[[#This Row],[Impact Type]]="CO2E"),emissions[[#This Row],[kgCO2e]],0)/1000</f>
        <v>0</v>
      </c>
      <c r="AP2088">
        <f>IF(AND(emissions[[#This Row],[Market-based]]=1,OR(emissions[[#This Row],[Impact Type]]="CO2E",emissions[[#This Row],[Impact Type]]="CO2E MKT")),emissions[[#This Row],[kgCO2e]],0)/1000</f>
        <v>1.0009999999999999</v>
      </c>
      <c r="AQ2088" t="str">
        <f>_xlfn.TEXTAFTER(emissions[[#This Row],[Reporting Unit]]," &gt; ",LEN(emissions[[#This Row],[Reporting Unit]])-LEN(SUBSTITUTE(emissions[[#This Row],[Reporting Unit]],"&gt;","")))</f>
        <v>Vantage_Bogotá</v>
      </c>
      <c r="AR2088" t="str">
        <f>_xlfn.XLOOKUP(emissions[[#This Row],[Reporting unit name]],hierarchy!$A:$A,hierarchy!$C:$C)</f>
        <v>Office</v>
      </c>
    </row>
    <row r="2089" spans="1:44" hidden="1" x14ac:dyDescent="0.25">
      <c r="A2089">
        <v>1590447</v>
      </c>
      <c r="B2089" t="s">
        <v>235</v>
      </c>
      <c r="C2089" t="s">
        <v>520</v>
      </c>
      <c r="D2089" t="s">
        <v>548</v>
      </c>
      <c r="E2089" s="3">
        <v>44562</v>
      </c>
      <c r="F2089" s="3">
        <v>44926</v>
      </c>
      <c r="G2089" t="s">
        <v>108</v>
      </c>
      <c r="H2089" s="3">
        <v>44562</v>
      </c>
      <c r="I2089" s="3">
        <v>44926</v>
      </c>
      <c r="J2089" t="s">
        <v>108</v>
      </c>
      <c r="K2089">
        <v>7517.7092599999996</v>
      </c>
      <c r="L2089" t="s">
        <v>109</v>
      </c>
      <c r="M2089" t="s">
        <v>82</v>
      </c>
      <c r="N2089" t="s">
        <v>137</v>
      </c>
      <c r="O2089" t="s">
        <v>631</v>
      </c>
      <c r="P2089" t="s">
        <v>631</v>
      </c>
      <c r="Q2089">
        <v>2022</v>
      </c>
      <c r="R2089" t="s">
        <v>551</v>
      </c>
      <c r="S2089" t="s">
        <v>552</v>
      </c>
      <c r="T2089" t="s">
        <v>553</v>
      </c>
      <c r="U2089" t="b">
        <v>0</v>
      </c>
      <c r="V2089" t="s">
        <v>990</v>
      </c>
      <c r="W2089" t="s">
        <v>555</v>
      </c>
      <c r="X2089" t="s">
        <v>556</v>
      </c>
      <c r="Y2089" t="s">
        <v>472</v>
      </c>
      <c r="Z2089" t="s">
        <v>491</v>
      </c>
      <c r="AA2089" t="s">
        <v>991</v>
      </c>
      <c r="AC2089">
        <v>0</v>
      </c>
      <c r="AD2089" t="s">
        <v>558</v>
      </c>
      <c r="AE2089">
        <v>3.0070837039999998</v>
      </c>
      <c r="AF2089" t="s">
        <v>559</v>
      </c>
      <c r="AG2089" t="s">
        <v>560</v>
      </c>
      <c r="AH2089">
        <v>1</v>
      </c>
      <c r="AI2089">
        <v>7517.7092599999996</v>
      </c>
      <c r="AJ2089" t="s">
        <v>561</v>
      </c>
      <c r="AK2089" t="s">
        <v>562</v>
      </c>
      <c r="AL2089" t="s">
        <v>563</v>
      </c>
      <c r="AM2089">
        <v>2022</v>
      </c>
      <c r="AN2089">
        <v>2020</v>
      </c>
      <c r="AO2089">
        <f>IF(AND(emissions[[#This Row],[Market-based]]=0,emissions[[#This Row],[Impact Type]]="CO2E"),emissions[[#This Row],[kgCO2e]],0)/1000</f>
        <v>0</v>
      </c>
      <c r="AP2089">
        <f>IF(AND(emissions[[#This Row],[Market-based]]=1,OR(emissions[[#This Row],[Impact Type]]="CO2E",emissions[[#This Row],[Impact Type]]="CO2E MKT")),emissions[[#This Row],[kgCO2e]],0)/1000</f>
        <v>0</v>
      </c>
      <c r="AQ2089" t="str">
        <f>_xlfn.TEXTAFTER(emissions[[#This Row],[Reporting Unit]]," &gt; ",LEN(emissions[[#This Row],[Reporting Unit]])-LEN(SUBSTITUTE(emissions[[#This Row],[Reporting Unit]],"&gt;","")))</f>
        <v>Vantage_Buenos Aires</v>
      </c>
      <c r="AR2089" t="str">
        <f>_xlfn.XLOOKUP(emissions[[#This Row],[Reporting unit name]],hierarchy!$A:$A,hierarchy!$C:$C)</f>
        <v>Factory</v>
      </c>
    </row>
    <row r="2090" spans="1:44" hidden="1" x14ac:dyDescent="0.25">
      <c r="A2090">
        <v>1590447</v>
      </c>
      <c r="B2090" t="s">
        <v>235</v>
      </c>
      <c r="C2090" t="s">
        <v>520</v>
      </c>
      <c r="D2090" t="s">
        <v>548</v>
      </c>
      <c r="E2090" s="3">
        <v>44562</v>
      </c>
      <c r="F2090" s="3">
        <v>44926</v>
      </c>
      <c r="G2090" t="s">
        <v>108</v>
      </c>
      <c r="H2090" s="3">
        <v>44562</v>
      </c>
      <c r="I2090" s="3">
        <v>44926</v>
      </c>
      <c r="J2090" t="s">
        <v>108</v>
      </c>
      <c r="K2090">
        <v>7517.7092599999996</v>
      </c>
      <c r="L2090" t="s">
        <v>109</v>
      </c>
      <c r="M2090" t="s">
        <v>82</v>
      </c>
      <c r="N2090" t="s">
        <v>137</v>
      </c>
      <c r="O2090" t="s">
        <v>631</v>
      </c>
      <c r="P2090" t="s">
        <v>631</v>
      </c>
      <c r="Q2090">
        <v>2022</v>
      </c>
      <c r="R2090" t="s">
        <v>551</v>
      </c>
      <c r="S2090" t="s">
        <v>552</v>
      </c>
      <c r="T2090" t="s">
        <v>553</v>
      </c>
      <c r="U2090" t="b">
        <v>0</v>
      </c>
      <c r="V2090" t="s">
        <v>990</v>
      </c>
      <c r="W2090" t="s">
        <v>555</v>
      </c>
      <c r="X2090" t="s">
        <v>556</v>
      </c>
      <c r="Y2090" t="s">
        <v>472</v>
      </c>
      <c r="Z2090" t="s">
        <v>491</v>
      </c>
      <c r="AA2090" t="s">
        <v>991</v>
      </c>
      <c r="AC2090">
        <v>0</v>
      </c>
      <c r="AD2090" t="s">
        <v>564</v>
      </c>
      <c r="AE2090">
        <v>2049.3275440000002</v>
      </c>
      <c r="AF2090" t="s">
        <v>559</v>
      </c>
      <c r="AG2090" t="s">
        <v>560</v>
      </c>
      <c r="AH2090">
        <v>1</v>
      </c>
      <c r="AI2090">
        <v>7517.7092599999996</v>
      </c>
      <c r="AJ2090" t="s">
        <v>561</v>
      </c>
      <c r="AK2090" t="s">
        <v>562</v>
      </c>
      <c r="AL2090" t="s">
        <v>563</v>
      </c>
      <c r="AM2090">
        <v>2022</v>
      </c>
      <c r="AN2090">
        <v>2020</v>
      </c>
      <c r="AO2090">
        <f>IF(AND(emissions[[#This Row],[Market-based]]=0,emissions[[#This Row],[Impact Type]]="CO2E"),emissions[[#This Row],[kgCO2e]],0)/1000</f>
        <v>0</v>
      </c>
      <c r="AP2090">
        <f>IF(AND(emissions[[#This Row],[Market-based]]=1,OR(emissions[[#This Row],[Impact Type]]="CO2E",emissions[[#This Row],[Impact Type]]="CO2E MKT")),emissions[[#This Row],[kgCO2e]],0)/1000</f>
        <v>0</v>
      </c>
      <c r="AQ2090" t="str">
        <f>_xlfn.TEXTAFTER(emissions[[#This Row],[Reporting Unit]]," &gt; ",LEN(emissions[[#This Row],[Reporting Unit]])-LEN(SUBSTITUTE(emissions[[#This Row],[Reporting Unit]],"&gt;","")))</f>
        <v>Vantage_Buenos Aires</v>
      </c>
      <c r="AR2090" t="str">
        <f>_xlfn.XLOOKUP(emissions[[#This Row],[Reporting unit name]],hierarchy!$A:$A,hierarchy!$C:$C)</f>
        <v>Factory</v>
      </c>
    </row>
    <row r="2091" spans="1:44" hidden="1" x14ac:dyDescent="0.25">
      <c r="A2091">
        <v>1590447</v>
      </c>
      <c r="B2091" t="s">
        <v>235</v>
      </c>
      <c r="C2091" t="s">
        <v>520</v>
      </c>
      <c r="D2091" t="s">
        <v>548</v>
      </c>
      <c r="E2091" s="3">
        <v>44562</v>
      </c>
      <c r="F2091" s="3">
        <v>44926</v>
      </c>
      <c r="G2091" t="s">
        <v>108</v>
      </c>
      <c r="H2091" s="3">
        <v>44562</v>
      </c>
      <c r="I2091" s="3">
        <v>44926</v>
      </c>
      <c r="J2091" t="s">
        <v>108</v>
      </c>
      <c r="K2091">
        <v>7517.7092599999996</v>
      </c>
      <c r="L2091" t="s">
        <v>109</v>
      </c>
      <c r="M2091" t="s">
        <v>82</v>
      </c>
      <c r="N2091" t="s">
        <v>137</v>
      </c>
      <c r="O2091" t="s">
        <v>631</v>
      </c>
      <c r="P2091" t="s">
        <v>631</v>
      </c>
      <c r="Q2091">
        <v>2022</v>
      </c>
      <c r="R2091" t="s">
        <v>551</v>
      </c>
      <c r="S2091" t="s">
        <v>552</v>
      </c>
      <c r="T2091" t="s">
        <v>553</v>
      </c>
      <c r="U2091" t="b">
        <v>0</v>
      </c>
      <c r="V2091" t="s">
        <v>990</v>
      </c>
      <c r="W2091" t="s">
        <v>555</v>
      </c>
      <c r="X2091" t="s">
        <v>556</v>
      </c>
      <c r="Y2091" t="s">
        <v>472</v>
      </c>
      <c r="Z2091" t="s">
        <v>491</v>
      </c>
      <c r="AA2091" t="s">
        <v>991</v>
      </c>
      <c r="AC2091">
        <v>0</v>
      </c>
      <c r="AD2091" t="s">
        <v>565</v>
      </c>
      <c r="AE2091">
        <v>2056.8452539999998</v>
      </c>
      <c r="AF2091" t="s">
        <v>559</v>
      </c>
      <c r="AG2091" t="s">
        <v>560</v>
      </c>
      <c r="AH2091">
        <v>1</v>
      </c>
      <c r="AI2091">
        <v>7517.7092599999996</v>
      </c>
      <c r="AJ2091" t="s">
        <v>561</v>
      </c>
      <c r="AK2091" t="s">
        <v>562</v>
      </c>
      <c r="AL2091" t="s">
        <v>563</v>
      </c>
      <c r="AM2091">
        <v>2022</v>
      </c>
      <c r="AN2091">
        <v>2020</v>
      </c>
      <c r="AO2091">
        <f>IF(AND(emissions[[#This Row],[Market-based]]=0,emissions[[#This Row],[Impact Type]]="CO2E"),emissions[[#This Row],[kgCO2e]],0)/1000</f>
        <v>2.0568452539999997</v>
      </c>
      <c r="AP2091">
        <f>IF(AND(emissions[[#This Row],[Market-based]]=1,OR(emissions[[#This Row],[Impact Type]]="CO2E",emissions[[#This Row],[Impact Type]]="CO2E MKT")),emissions[[#This Row],[kgCO2e]],0)/1000</f>
        <v>0</v>
      </c>
      <c r="AQ2091" t="str">
        <f>_xlfn.TEXTAFTER(emissions[[#This Row],[Reporting Unit]]," &gt; ",LEN(emissions[[#This Row],[Reporting Unit]])-LEN(SUBSTITUTE(emissions[[#This Row],[Reporting Unit]],"&gt;","")))</f>
        <v>Vantage_Buenos Aires</v>
      </c>
      <c r="AR2091" t="str">
        <f>_xlfn.XLOOKUP(emissions[[#This Row],[Reporting unit name]],hierarchy!$A:$A,hierarchy!$C:$C)</f>
        <v>Factory</v>
      </c>
    </row>
    <row r="2092" spans="1:44" hidden="1" x14ac:dyDescent="0.25">
      <c r="A2092">
        <v>1590447</v>
      </c>
      <c r="B2092" t="s">
        <v>235</v>
      </c>
      <c r="C2092" t="s">
        <v>520</v>
      </c>
      <c r="D2092" t="s">
        <v>548</v>
      </c>
      <c r="E2092" s="3">
        <v>44562</v>
      </c>
      <c r="F2092" s="3">
        <v>44926</v>
      </c>
      <c r="G2092" t="s">
        <v>108</v>
      </c>
      <c r="H2092" s="3">
        <v>44562</v>
      </c>
      <c r="I2092" s="3">
        <v>44926</v>
      </c>
      <c r="J2092" t="s">
        <v>108</v>
      </c>
      <c r="K2092">
        <v>7517.7092599999996</v>
      </c>
      <c r="L2092" t="s">
        <v>109</v>
      </c>
      <c r="M2092" t="s">
        <v>82</v>
      </c>
      <c r="N2092" t="s">
        <v>137</v>
      </c>
      <c r="O2092" t="s">
        <v>631</v>
      </c>
      <c r="P2092" t="s">
        <v>631</v>
      </c>
      <c r="Q2092">
        <v>2022</v>
      </c>
      <c r="R2092" t="s">
        <v>551</v>
      </c>
      <c r="S2092" t="s">
        <v>552</v>
      </c>
      <c r="T2092" t="s">
        <v>553</v>
      </c>
      <c r="U2092" t="b">
        <v>0</v>
      </c>
      <c r="V2092" t="s">
        <v>990</v>
      </c>
      <c r="W2092" t="s">
        <v>555</v>
      </c>
      <c r="X2092" t="s">
        <v>556</v>
      </c>
      <c r="Y2092" t="s">
        <v>472</v>
      </c>
      <c r="Z2092" t="s">
        <v>491</v>
      </c>
      <c r="AA2092" t="s">
        <v>991</v>
      </c>
      <c r="AC2092">
        <v>0</v>
      </c>
      <c r="AD2092" t="s">
        <v>566</v>
      </c>
      <c r="AE2092">
        <v>4.5106255559999999</v>
      </c>
      <c r="AF2092" t="s">
        <v>559</v>
      </c>
      <c r="AG2092" t="s">
        <v>560</v>
      </c>
      <c r="AH2092">
        <v>1</v>
      </c>
      <c r="AI2092">
        <v>7517.7092599999996</v>
      </c>
      <c r="AJ2092" t="s">
        <v>561</v>
      </c>
      <c r="AK2092" t="s">
        <v>562</v>
      </c>
      <c r="AL2092" t="s">
        <v>563</v>
      </c>
      <c r="AM2092">
        <v>2022</v>
      </c>
      <c r="AN2092">
        <v>2020</v>
      </c>
      <c r="AO2092">
        <f>IF(AND(emissions[[#This Row],[Market-based]]=0,emissions[[#This Row],[Impact Type]]="CO2E"),emissions[[#This Row],[kgCO2e]],0)/1000</f>
        <v>0</v>
      </c>
      <c r="AP2092">
        <f>IF(AND(emissions[[#This Row],[Market-based]]=1,OR(emissions[[#This Row],[Impact Type]]="CO2E",emissions[[#This Row],[Impact Type]]="CO2E MKT")),emissions[[#This Row],[kgCO2e]],0)/1000</f>
        <v>0</v>
      </c>
      <c r="AQ2092" t="str">
        <f>_xlfn.TEXTAFTER(emissions[[#This Row],[Reporting Unit]]," &gt; ",LEN(emissions[[#This Row],[Reporting Unit]])-LEN(SUBSTITUTE(emissions[[#This Row],[Reporting Unit]],"&gt;","")))</f>
        <v>Vantage_Buenos Aires</v>
      </c>
      <c r="AR2092" t="str">
        <f>_xlfn.XLOOKUP(emissions[[#This Row],[Reporting unit name]],hierarchy!$A:$A,hierarchy!$C:$C)</f>
        <v>Factory</v>
      </c>
    </row>
    <row r="2093" spans="1:44" hidden="1" x14ac:dyDescent="0.25">
      <c r="A2093">
        <v>1590447</v>
      </c>
      <c r="B2093" t="s">
        <v>235</v>
      </c>
      <c r="C2093" t="s">
        <v>520</v>
      </c>
      <c r="D2093" t="s">
        <v>548</v>
      </c>
      <c r="E2093" s="3">
        <v>44562</v>
      </c>
      <c r="F2093" s="3">
        <v>44926</v>
      </c>
      <c r="G2093" t="s">
        <v>108</v>
      </c>
      <c r="H2093" s="3">
        <v>44562</v>
      </c>
      <c r="I2093" s="3">
        <v>44926</v>
      </c>
      <c r="J2093" t="s">
        <v>108</v>
      </c>
      <c r="K2093">
        <v>7517.7092599999996</v>
      </c>
      <c r="L2093" t="s">
        <v>109</v>
      </c>
      <c r="M2093" t="s">
        <v>82</v>
      </c>
      <c r="N2093" t="s">
        <v>137</v>
      </c>
      <c r="O2093" t="s">
        <v>631</v>
      </c>
      <c r="P2093" t="s">
        <v>631</v>
      </c>
      <c r="Q2093">
        <v>2022</v>
      </c>
      <c r="R2093" t="s">
        <v>551</v>
      </c>
      <c r="S2093" t="s">
        <v>552</v>
      </c>
      <c r="T2093" t="s">
        <v>553</v>
      </c>
      <c r="U2093" t="b">
        <v>0</v>
      </c>
      <c r="V2093" t="s">
        <v>990</v>
      </c>
      <c r="W2093" t="s">
        <v>555</v>
      </c>
      <c r="X2093" t="s">
        <v>556</v>
      </c>
      <c r="Y2093" t="s">
        <v>472</v>
      </c>
      <c r="Z2093" t="s">
        <v>491</v>
      </c>
      <c r="AA2093" t="s">
        <v>991</v>
      </c>
      <c r="AC2093">
        <v>1</v>
      </c>
      <c r="AD2093" t="s">
        <v>558</v>
      </c>
      <c r="AE2093">
        <v>3.0070837039999998</v>
      </c>
      <c r="AF2093" t="s">
        <v>559</v>
      </c>
      <c r="AG2093" t="s">
        <v>560</v>
      </c>
      <c r="AH2093">
        <v>1</v>
      </c>
      <c r="AI2093">
        <v>7517.7092599999996</v>
      </c>
      <c r="AJ2093" t="s">
        <v>561</v>
      </c>
      <c r="AK2093" t="s">
        <v>562</v>
      </c>
      <c r="AL2093" t="s">
        <v>563</v>
      </c>
      <c r="AM2093">
        <v>2022</v>
      </c>
      <c r="AN2093">
        <v>2020</v>
      </c>
      <c r="AO2093">
        <f>IF(AND(emissions[[#This Row],[Market-based]]=0,emissions[[#This Row],[Impact Type]]="CO2E"),emissions[[#This Row],[kgCO2e]],0)/1000</f>
        <v>0</v>
      </c>
      <c r="AP2093">
        <f>IF(AND(emissions[[#This Row],[Market-based]]=1,OR(emissions[[#This Row],[Impact Type]]="CO2E",emissions[[#This Row],[Impact Type]]="CO2E MKT")),emissions[[#This Row],[kgCO2e]],0)/1000</f>
        <v>0</v>
      </c>
      <c r="AQ2093" t="str">
        <f>_xlfn.TEXTAFTER(emissions[[#This Row],[Reporting Unit]]," &gt; ",LEN(emissions[[#This Row],[Reporting Unit]])-LEN(SUBSTITUTE(emissions[[#This Row],[Reporting Unit]],"&gt;","")))</f>
        <v>Vantage_Buenos Aires</v>
      </c>
      <c r="AR2093" t="str">
        <f>_xlfn.XLOOKUP(emissions[[#This Row],[Reporting unit name]],hierarchy!$A:$A,hierarchy!$C:$C)</f>
        <v>Factory</v>
      </c>
    </row>
    <row r="2094" spans="1:44" hidden="1" x14ac:dyDescent="0.25">
      <c r="A2094">
        <v>1590447</v>
      </c>
      <c r="B2094" t="s">
        <v>235</v>
      </c>
      <c r="C2094" t="s">
        <v>520</v>
      </c>
      <c r="D2094" t="s">
        <v>548</v>
      </c>
      <c r="E2094" s="3">
        <v>44562</v>
      </c>
      <c r="F2094" s="3">
        <v>44926</v>
      </c>
      <c r="G2094" t="s">
        <v>108</v>
      </c>
      <c r="H2094" s="3">
        <v>44562</v>
      </c>
      <c r="I2094" s="3">
        <v>44926</v>
      </c>
      <c r="J2094" t="s">
        <v>108</v>
      </c>
      <c r="K2094">
        <v>7517.7092599999996</v>
      </c>
      <c r="L2094" t="s">
        <v>109</v>
      </c>
      <c r="M2094" t="s">
        <v>82</v>
      </c>
      <c r="N2094" t="s">
        <v>137</v>
      </c>
      <c r="O2094" t="s">
        <v>631</v>
      </c>
      <c r="P2094" t="s">
        <v>631</v>
      </c>
      <c r="Q2094">
        <v>2022</v>
      </c>
      <c r="R2094" t="s">
        <v>551</v>
      </c>
      <c r="S2094" t="s">
        <v>552</v>
      </c>
      <c r="T2094" t="s">
        <v>553</v>
      </c>
      <c r="U2094" t="b">
        <v>0</v>
      </c>
      <c r="V2094" t="s">
        <v>990</v>
      </c>
      <c r="W2094" t="s">
        <v>555</v>
      </c>
      <c r="X2094" t="s">
        <v>556</v>
      </c>
      <c r="Y2094" t="s">
        <v>472</v>
      </c>
      <c r="Z2094" t="s">
        <v>491</v>
      </c>
      <c r="AA2094" t="s">
        <v>991</v>
      </c>
      <c r="AC2094">
        <v>1</v>
      </c>
      <c r="AD2094" t="s">
        <v>564</v>
      </c>
      <c r="AE2094">
        <v>2049.3275440000002</v>
      </c>
      <c r="AF2094" t="s">
        <v>559</v>
      </c>
      <c r="AG2094" t="s">
        <v>560</v>
      </c>
      <c r="AH2094">
        <v>1</v>
      </c>
      <c r="AI2094">
        <v>7517.7092599999996</v>
      </c>
      <c r="AJ2094" t="s">
        <v>561</v>
      </c>
      <c r="AK2094" t="s">
        <v>562</v>
      </c>
      <c r="AL2094" t="s">
        <v>563</v>
      </c>
      <c r="AM2094">
        <v>2022</v>
      </c>
      <c r="AN2094">
        <v>2020</v>
      </c>
      <c r="AO2094">
        <f>IF(AND(emissions[[#This Row],[Market-based]]=0,emissions[[#This Row],[Impact Type]]="CO2E"),emissions[[#This Row],[kgCO2e]],0)/1000</f>
        <v>0</v>
      </c>
      <c r="AP2094">
        <f>IF(AND(emissions[[#This Row],[Market-based]]=1,OR(emissions[[#This Row],[Impact Type]]="CO2E",emissions[[#This Row],[Impact Type]]="CO2E MKT")),emissions[[#This Row],[kgCO2e]],0)/1000</f>
        <v>0</v>
      </c>
      <c r="AQ2094" t="str">
        <f>_xlfn.TEXTAFTER(emissions[[#This Row],[Reporting Unit]]," &gt; ",LEN(emissions[[#This Row],[Reporting Unit]])-LEN(SUBSTITUTE(emissions[[#This Row],[Reporting Unit]],"&gt;","")))</f>
        <v>Vantage_Buenos Aires</v>
      </c>
      <c r="AR2094" t="str">
        <f>_xlfn.XLOOKUP(emissions[[#This Row],[Reporting unit name]],hierarchy!$A:$A,hierarchy!$C:$C)</f>
        <v>Factory</v>
      </c>
    </row>
    <row r="2095" spans="1:44" hidden="1" x14ac:dyDescent="0.25">
      <c r="A2095">
        <v>1590447</v>
      </c>
      <c r="B2095" t="s">
        <v>235</v>
      </c>
      <c r="C2095" t="s">
        <v>520</v>
      </c>
      <c r="D2095" t="s">
        <v>548</v>
      </c>
      <c r="E2095" s="3">
        <v>44562</v>
      </c>
      <c r="F2095" s="3">
        <v>44926</v>
      </c>
      <c r="G2095" t="s">
        <v>108</v>
      </c>
      <c r="H2095" s="3">
        <v>44562</v>
      </c>
      <c r="I2095" s="3">
        <v>44926</v>
      </c>
      <c r="J2095" t="s">
        <v>108</v>
      </c>
      <c r="K2095">
        <v>7517.7092599999996</v>
      </c>
      <c r="L2095" t="s">
        <v>109</v>
      </c>
      <c r="M2095" t="s">
        <v>82</v>
      </c>
      <c r="N2095" t="s">
        <v>137</v>
      </c>
      <c r="O2095" t="s">
        <v>631</v>
      </c>
      <c r="P2095" t="s">
        <v>631</v>
      </c>
      <c r="Q2095">
        <v>2022</v>
      </c>
      <c r="R2095" t="s">
        <v>551</v>
      </c>
      <c r="S2095" t="s">
        <v>552</v>
      </c>
      <c r="T2095" t="s">
        <v>553</v>
      </c>
      <c r="U2095" t="b">
        <v>0</v>
      </c>
      <c r="V2095" t="s">
        <v>990</v>
      </c>
      <c r="W2095" t="s">
        <v>555</v>
      </c>
      <c r="X2095" t="s">
        <v>556</v>
      </c>
      <c r="Y2095" t="s">
        <v>472</v>
      </c>
      <c r="Z2095" t="s">
        <v>491</v>
      </c>
      <c r="AA2095" t="s">
        <v>991</v>
      </c>
      <c r="AC2095">
        <v>1</v>
      </c>
      <c r="AD2095" t="s">
        <v>565</v>
      </c>
      <c r="AE2095">
        <v>2056.8452539999998</v>
      </c>
      <c r="AF2095" t="s">
        <v>559</v>
      </c>
      <c r="AG2095" t="s">
        <v>560</v>
      </c>
      <c r="AH2095">
        <v>1</v>
      </c>
      <c r="AI2095">
        <v>7517.7092599999996</v>
      </c>
      <c r="AJ2095" t="s">
        <v>561</v>
      </c>
      <c r="AK2095" t="s">
        <v>562</v>
      </c>
      <c r="AL2095" t="s">
        <v>563</v>
      </c>
      <c r="AM2095">
        <v>2022</v>
      </c>
      <c r="AN2095">
        <v>2020</v>
      </c>
      <c r="AO2095">
        <f>IF(AND(emissions[[#This Row],[Market-based]]=0,emissions[[#This Row],[Impact Type]]="CO2E"),emissions[[#This Row],[kgCO2e]],0)/1000</f>
        <v>0</v>
      </c>
      <c r="AP2095">
        <f>IF(AND(emissions[[#This Row],[Market-based]]=1,OR(emissions[[#This Row],[Impact Type]]="CO2E",emissions[[#This Row],[Impact Type]]="CO2E MKT")),emissions[[#This Row],[kgCO2e]],0)/1000</f>
        <v>2.0568452539999997</v>
      </c>
      <c r="AQ2095" t="str">
        <f>_xlfn.TEXTAFTER(emissions[[#This Row],[Reporting Unit]]," &gt; ",LEN(emissions[[#This Row],[Reporting Unit]])-LEN(SUBSTITUTE(emissions[[#This Row],[Reporting Unit]],"&gt;","")))</f>
        <v>Vantage_Buenos Aires</v>
      </c>
      <c r="AR2095" t="str">
        <f>_xlfn.XLOOKUP(emissions[[#This Row],[Reporting unit name]],hierarchy!$A:$A,hierarchy!$C:$C)</f>
        <v>Factory</v>
      </c>
    </row>
    <row r="2096" spans="1:44" hidden="1" x14ac:dyDescent="0.25">
      <c r="A2096">
        <v>1590447</v>
      </c>
      <c r="B2096" t="s">
        <v>235</v>
      </c>
      <c r="C2096" t="s">
        <v>520</v>
      </c>
      <c r="D2096" t="s">
        <v>548</v>
      </c>
      <c r="E2096" s="3">
        <v>44562</v>
      </c>
      <c r="F2096" s="3">
        <v>44926</v>
      </c>
      <c r="G2096" t="s">
        <v>108</v>
      </c>
      <c r="H2096" s="3">
        <v>44562</v>
      </c>
      <c r="I2096" s="3">
        <v>44926</v>
      </c>
      <c r="J2096" t="s">
        <v>108</v>
      </c>
      <c r="K2096">
        <v>7517.7092599999996</v>
      </c>
      <c r="L2096" t="s">
        <v>109</v>
      </c>
      <c r="M2096" t="s">
        <v>82</v>
      </c>
      <c r="N2096" t="s">
        <v>137</v>
      </c>
      <c r="O2096" t="s">
        <v>631</v>
      </c>
      <c r="P2096" t="s">
        <v>631</v>
      </c>
      <c r="Q2096">
        <v>2022</v>
      </c>
      <c r="R2096" t="s">
        <v>551</v>
      </c>
      <c r="S2096" t="s">
        <v>552</v>
      </c>
      <c r="T2096" t="s">
        <v>553</v>
      </c>
      <c r="U2096" t="b">
        <v>0</v>
      </c>
      <c r="V2096" t="s">
        <v>990</v>
      </c>
      <c r="W2096" t="s">
        <v>555</v>
      </c>
      <c r="X2096" t="s">
        <v>556</v>
      </c>
      <c r="Y2096" t="s">
        <v>472</v>
      </c>
      <c r="Z2096" t="s">
        <v>491</v>
      </c>
      <c r="AA2096" t="s">
        <v>991</v>
      </c>
      <c r="AC2096">
        <v>1</v>
      </c>
      <c r="AD2096" t="s">
        <v>566</v>
      </c>
      <c r="AE2096">
        <v>4.5106255559999999</v>
      </c>
      <c r="AF2096" t="s">
        <v>559</v>
      </c>
      <c r="AG2096" t="s">
        <v>560</v>
      </c>
      <c r="AH2096">
        <v>1</v>
      </c>
      <c r="AI2096">
        <v>7517.7092599999996</v>
      </c>
      <c r="AJ2096" t="s">
        <v>561</v>
      </c>
      <c r="AK2096" t="s">
        <v>562</v>
      </c>
      <c r="AL2096" t="s">
        <v>563</v>
      </c>
      <c r="AM2096">
        <v>2022</v>
      </c>
      <c r="AN2096">
        <v>2020</v>
      </c>
      <c r="AO2096">
        <f>IF(AND(emissions[[#This Row],[Market-based]]=0,emissions[[#This Row],[Impact Type]]="CO2E"),emissions[[#This Row],[kgCO2e]],0)/1000</f>
        <v>0</v>
      </c>
      <c r="AP2096">
        <f>IF(AND(emissions[[#This Row],[Market-based]]=1,OR(emissions[[#This Row],[Impact Type]]="CO2E",emissions[[#This Row],[Impact Type]]="CO2E MKT")),emissions[[#This Row],[kgCO2e]],0)/1000</f>
        <v>0</v>
      </c>
      <c r="AQ2096" t="str">
        <f>_xlfn.TEXTAFTER(emissions[[#This Row],[Reporting Unit]]," &gt; ",LEN(emissions[[#This Row],[Reporting Unit]])-LEN(SUBSTITUTE(emissions[[#This Row],[Reporting Unit]],"&gt;","")))</f>
        <v>Vantage_Buenos Aires</v>
      </c>
      <c r="AR2096" t="str">
        <f>_xlfn.XLOOKUP(emissions[[#This Row],[Reporting unit name]],hierarchy!$A:$A,hierarchy!$C:$C)</f>
        <v>Factory</v>
      </c>
    </row>
    <row r="2097" spans="1:44" hidden="1" x14ac:dyDescent="0.25">
      <c r="A2097">
        <v>1590447</v>
      </c>
      <c r="B2097" t="s">
        <v>235</v>
      </c>
      <c r="C2097" t="s">
        <v>520</v>
      </c>
      <c r="D2097" t="s">
        <v>548</v>
      </c>
      <c r="E2097" s="3">
        <v>44562</v>
      </c>
      <c r="F2097" s="3">
        <v>44926</v>
      </c>
      <c r="G2097" t="s">
        <v>108</v>
      </c>
      <c r="H2097" s="3">
        <v>44562</v>
      </c>
      <c r="I2097" s="3">
        <v>44926</v>
      </c>
      <c r="J2097" t="s">
        <v>108</v>
      </c>
      <c r="K2097">
        <v>7517.7092599999996</v>
      </c>
      <c r="L2097" t="s">
        <v>109</v>
      </c>
      <c r="M2097" t="s">
        <v>82</v>
      </c>
      <c r="N2097" t="s">
        <v>137</v>
      </c>
      <c r="O2097" t="s">
        <v>631</v>
      </c>
      <c r="P2097" t="s">
        <v>631</v>
      </c>
      <c r="Q2097">
        <v>2022</v>
      </c>
      <c r="R2097" t="s">
        <v>567</v>
      </c>
      <c r="S2097" t="s">
        <v>568</v>
      </c>
      <c r="T2097" t="s">
        <v>569</v>
      </c>
      <c r="U2097" t="b">
        <v>0</v>
      </c>
      <c r="V2097" t="s">
        <v>992</v>
      </c>
      <c r="W2097" t="s">
        <v>571</v>
      </c>
      <c r="X2097" t="s">
        <v>572</v>
      </c>
      <c r="Y2097" t="s">
        <v>472</v>
      </c>
      <c r="Z2097" t="s">
        <v>491</v>
      </c>
      <c r="AA2097" t="s">
        <v>991</v>
      </c>
      <c r="AC2097">
        <v>0</v>
      </c>
      <c r="AD2097" t="s">
        <v>565</v>
      </c>
      <c r="AE2097">
        <v>60.993555000000001</v>
      </c>
      <c r="AF2097">
        <v>8.1133170000000001E-3</v>
      </c>
      <c r="AG2097" t="s">
        <v>560</v>
      </c>
      <c r="AH2097">
        <v>1</v>
      </c>
      <c r="AI2097">
        <v>7517.7092599999996</v>
      </c>
      <c r="AJ2097" t="s">
        <v>561</v>
      </c>
      <c r="AK2097" t="s">
        <v>573</v>
      </c>
      <c r="AL2097" t="s">
        <v>574</v>
      </c>
      <c r="AM2097">
        <v>2022</v>
      </c>
      <c r="AN2097">
        <v>2020</v>
      </c>
      <c r="AO2097">
        <f>IF(AND(emissions[[#This Row],[Market-based]]=0,emissions[[#This Row],[Impact Type]]="CO2E"),emissions[[#This Row],[kgCO2e]],0)/1000</f>
        <v>6.0993554999999998E-2</v>
      </c>
      <c r="AP2097">
        <f>IF(AND(emissions[[#This Row],[Market-based]]=1,OR(emissions[[#This Row],[Impact Type]]="CO2E",emissions[[#This Row],[Impact Type]]="CO2E MKT")),emissions[[#This Row],[kgCO2e]],0)/1000</f>
        <v>0</v>
      </c>
      <c r="AQ2097" t="str">
        <f>_xlfn.TEXTAFTER(emissions[[#This Row],[Reporting Unit]]," &gt; ",LEN(emissions[[#This Row],[Reporting Unit]])-LEN(SUBSTITUTE(emissions[[#This Row],[Reporting Unit]],"&gt;","")))</f>
        <v>Vantage_Buenos Aires</v>
      </c>
      <c r="AR2097" t="str">
        <f>_xlfn.XLOOKUP(emissions[[#This Row],[Reporting unit name]],hierarchy!$A:$A,hierarchy!$C:$C)</f>
        <v>Factory</v>
      </c>
    </row>
    <row r="2098" spans="1:44" hidden="1" x14ac:dyDescent="0.25">
      <c r="A2098">
        <v>1590447</v>
      </c>
      <c r="B2098" t="s">
        <v>235</v>
      </c>
      <c r="C2098" t="s">
        <v>520</v>
      </c>
      <c r="D2098" t="s">
        <v>548</v>
      </c>
      <c r="E2098" s="3">
        <v>44562</v>
      </c>
      <c r="F2098" s="3">
        <v>44926</v>
      </c>
      <c r="G2098" t="s">
        <v>108</v>
      </c>
      <c r="H2098" s="3">
        <v>44562</v>
      </c>
      <c r="I2098" s="3">
        <v>44926</v>
      </c>
      <c r="J2098" t="s">
        <v>108</v>
      </c>
      <c r="K2098">
        <v>7517.7092599999996</v>
      </c>
      <c r="L2098" t="s">
        <v>109</v>
      </c>
      <c r="M2098" t="s">
        <v>82</v>
      </c>
      <c r="N2098" t="s">
        <v>137</v>
      </c>
      <c r="O2098" t="s">
        <v>631</v>
      </c>
      <c r="P2098" t="s">
        <v>631</v>
      </c>
      <c r="Q2098">
        <v>2022</v>
      </c>
      <c r="R2098" t="s">
        <v>567</v>
      </c>
      <c r="S2098" t="s">
        <v>568</v>
      </c>
      <c r="T2098" t="s">
        <v>569</v>
      </c>
      <c r="U2098" t="b">
        <v>0</v>
      </c>
      <c r="V2098" t="s">
        <v>992</v>
      </c>
      <c r="W2098" t="s">
        <v>571</v>
      </c>
      <c r="X2098" t="s">
        <v>572</v>
      </c>
      <c r="Y2098" t="s">
        <v>472</v>
      </c>
      <c r="Z2098" t="s">
        <v>491</v>
      </c>
      <c r="AA2098" t="s">
        <v>991</v>
      </c>
      <c r="AC2098">
        <v>1</v>
      </c>
      <c r="AD2098" t="s">
        <v>565</v>
      </c>
      <c r="AE2098">
        <v>60.993555000000001</v>
      </c>
      <c r="AF2098">
        <v>8.1133170000000001E-3</v>
      </c>
      <c r="AG2098" t="s">
        <v>560</v>
      </c>
      <c r="AH2098">
        <v>1</v>
      </c>
      <c r="AI2098">
        <v>7517.7092599999996</v>
      </c>
      <c r="AJ2098" t="s">
        <v>561</v>
      </c>
      <c r="AK2098" t="s">
        <v>573</v>
      </c>
      <c r="AL2098" t="s">
        <v>574</v>
      </c>
      <c r="AM2098">
        <v>2022</v>
      </c>
      <c r="AN2098">
        <v>2020</v>
      </c>
      <c r="AO2098">
        <f>IF(AND(emissions[[#This Row],[Market-based]]=0,emissions[[#This Row],[Impact Type]]="CO2E"),emissions[[#This Row],[kgCO2e]],0)/1000</f>
        <v>0</v>
      </c>
      <c r="AP2098">
        <f>IF(AND(emissions[[#This Row],[Market-based]]=1,OR(emissions[[#This Row],[Impact Type]]="CO2E",emissions[[#This Row],[Impact Type]]="CO2E MKT")),emissions[[#This Row],[kgCO2e]],0)/1000</f>
        <v>6.0993554999999998E-2</v>
      </c>
      <c r="AQ2098" t="str">
        <f>_xlfn.TEXTAFTER(emissions[[#This Row],[Reporting Unit]]," &gt; ",LEN(emissions[[#This Row],[Reporting Unit]])-LEN(SUBSTITUTE(emissions[[#This Row],[Reporting Unit]],"&gt;","")))</f>
        <v>Vantage_Buenos Aires</v>
      </c>
      <c r="AR2098" t="str">
        <f>_xlfn.XLOOKUP(emissions[[#This Row],[Reporting unit name]],hierarchy!$A:$A,hierarchy!$C:$C)</f>
        <v>Factory</v>
      </c>
    </row>
    <row r="2099" spans="1:44" hidden="1" x14ac:dyDescent="0.25">
      <c r="A2099">
        <v>1590447</v>
      </c>
      <c r="B2099" t="s">
        <v>235</v>
      </c>
      <c r="C2099" t="s">
        <v>520</v>
      </c>
      <c r="D2099" t="s">
        <v>548</v>
      </c>
      <c r="E2099" s="3">
        <v>44562</v>
      </c>
      <c r="F2099" s="3">
        <v>44926</v>
      </c>
      <c r="G2099" t="s">
        <v>108</v>
      </c>
      <c r="H2099" s="3">
        <v>44562</v>
      </c>
      <c r="I2099" s="3">
        <v>44926</v>
      </c>
      <c r="J2099" t="s">
        <v>108</v>
      </c>
      <c r="K2099">
        <v>7517.7092599999996</v>
      </c>
      <c r="L2099" t="s">
        <v>109</v>
      </c>
      <c r="M2099" t="s">
        <v>82</v>
      </c>
      <c r="N2099" t="s">
        <v>137</v>
      </c>
      <c r="O2099" t="s">
        <v>631</v>
      </c>
      <c r="P2099" t="s">
        <v>631</v>
      </c>
      <c r="Q2099">
        <v>2022</v>
      </c>
      <c r="R2099" t="s">
        <v>575</v>
      </c>
      <c r="S2099" t="s">
        <v>576</v>
      </c>
      <c r="T2099" t="s">
        <v>577</v>
      </c>
      <c r="U2099" t="b">
        <v>0</v>
      </c>
      <c r="V2099" t="s">
        <v>993</v>
      </c>
      <c r="W2099" t="s">
        <v>571</v>
      </c>
      <c r="X2099" t="s">
        <v>572</v>
      </c>
      <c r="Y2099" t="s">
        <v>472</v>
      </c>
      <c r="Z2099" t="s">
        <v>491</v>
      </c>
      <c r="AA2099" t="s">
        <v>991</v>
      </c>
      <c r="AC2099">
        <v>0</v>
      </c>
      <c r="AD2099" t="s">
        <v>565</v>
      </c>
      <c r="AE2099">
        <v>435.71375060000003</v>
      </c>
      <c r="AF2099">
        <v>5.7958313999999997E-2</v>
      </c>
      <c r="AG2099" t="s">
        <v>560</v>
      </c>
      <c r="AH2099">
        <v>1</v>
      </c>
      <c r="AI2099">
        <v>7517.7092599999996</v>
      </c>
      <c r="AJ2099" t="s">
        <v>561</v>
      </c>
      <c r="AK2099" t="s">
        <v>573</v>
      </c>
      <c r="AL2099" t="s">
        <v>574</v>
      </c>
      <c r="AM2099">
        <v>2022</v>
      </c>
      <c r="AN2099">
        <v>2020</v>
      </c>
      <c r="AO2099">
        <f>IF(AND(emissions[[#This Row],[Market-based]]=0,emissions[[#This Row],[Impact Type]]="CO2E"),emissions[[#This Row],[kgCO2e]],0)/1000</f>
        <v>0.4357137506</v>
      </c>
      <c r="AP2099">
        <f>IF(AND(emissions[[#This Row],[Market-based]]=1,OR(emissions[[#This Row],[Impact Type]]="CO2E",emissions[[#This Row],[Impact Type]]="CO2E MKT")),emissions[[#This Row],[kgCO2e]],0)/1000</f>
        <v>0</v>
      </c>
      <c r="AQ2099" t="str">
        <f>_xlfn.TEXTAFTER(emissions[[#This Row],[Reporting Unit]]," &gt; ",LEN(emissions[[#This Row],[Reporting Unit]])-LEN(SUBSTITUTE(emissions[[#This Row],[Reporting Unit]],"&gt;","")))</f>
        <v>Vantage_Buenos Aires</v>
      </c>
      <c r="AR2099" t="str">
        <f>_xlfn.XLOOKUP(emissions[[#This Row],[Reporting unit name]],hierarchy!$A:$A,hierarchy!$C:$C)</f>
        <v>Factory</v>
      </c>
    </row>
    <row r="2100" spans="1:44" hidden="1" x14ac:dyDescent="0.25">
      <c r="A2100">
        <v>1590447</v>
      </c>
      <c r="B2100" t="s">
        <v>235</v>
      </c>
      <c r="C2100" t="s">
        <v>520</v>
      </c>
      <c r="D2100" t="s">
        <v>548</v>
      </c>
      <c r="E2100" s="3">
        <v>44562</v>
      </c>
      <c r="F2100" s="3">
        <v>44926</v>
      </c>
      <c r="G2100" t="s">
        <v>108</v>
      </c>
      <c r="H2100" s="3">
        <v>44562</v>
      </c>
      <c r="I2100" s="3">
        <v>44926</v>
      </c>
      <c r="J2100" t="s">
        <v>108</v>
      </c>
      <c r="K2100">
        <v>7517.7092599999996</v>
      </c>
      <c r="L2100" t="s">
        <v>109</v>
      </c>
      <c r="M2100" t="s">
        <v>82</v>
      </c>
      <c r="N2100" t="s">
        <v>137</v>
      </c>
      <c r="O2100" t="s">
        <v>631</v>
      </c>
      <c r="P2100" t="s">
        <v>631</v>
      </c>
      <c r="Q2100">
        <v>2022</v>
      </c>
      <c r="R2100" t="s">
        <v>575</v>
      </c>
      <c r="S2100" t="s">
        <v>576</v>
      </c>
      <c r="T2100" t="s">
        <v>577</v>
      </c>
      <c r="U2100" t="b">
        <v>0</v>
      </c>
      <c r="V2100" t="s">
        <v>993</v>
      </c>
      <c r="W2100" t="s">
        <v>571</v>
      </c>
      <c r="X2100" t="s">
        <v>572</v>
      </c>
      <c r="Y2100" t="s">
        <v>472</v>
      </c>
      <c r="Z2100" t="s">
        <v>491</v>
      </c>
      <c r="AA2100" t="s">
        <v>991</v>
      </c>
      <c r="AC2100">
        <v>1</v>
      </c>
      <c r="AD2100" t="s">
        <v>565</v>
      </c>
      <c r="AE2100">
        <v>435.71375060000003</v>
      </c>
      <c r="AF2100">
        <v>5.7958313999999997E-2</v>
      </c>
      <c r="AG2100" t="s">
        <v>560</v>
      </c>
      <c r="AH2100">
        <v>1</v>
      </c>
      <c r="AI2100">
        <v>7517.7092599999996</v>
      </c>
      <c r="AJ2100" t="s">
        <v>561</v>
      </c>
      <c r="AK2100" t="s">
        <v>573</v>
      </c>
      <c r="AL2100" t="s">
        <v>574</v>
      </c>
      <c r="AM2100">
        <v>2022</v>
      </c>
      <c r="AN2100">
        <v>2020</v>
      </c>
      <c r="AO2100">
        <f>IF(AND(emissions[[#This Row],[Market-based]]=0,emissions[[#This Row],[Impact Type]]="CO2E"),emissions[[#This Row],[kgCO2e]],0)/1000</f>
        <v>0</v>
      </c>
      <c r="AP2100">
        <f>IF(AND(emissions[[#This Row],[Market-based]]=1,OR(emissions[[#This Row],[Impact Type]]="CO2E",emissions[[#This Row],[Impact Type]]="CO2E MKT")),emissions[[#This Row],[kgCO2e]],0)/1000</f>
        <v>0.4357137506</v>
      </c>
      <c r="AQ2100" t="str">
        <f>_xlfn.TEXTAFTER(emissions[[#This Row],[Reporting Unit]]," &gt; ",LEN(emissions[[#This Row],[Reporting Unit]])-LEN(SUBSTITUTE(emissions[[#This Row],[Reporting Unit]],"&gt;","")))</f>
        <v>Vantage_Buenos Aires</v>
      </c>
      <c r="AR2100" t="str">
        <f>_xlfn.XLOOKUP(emissions[[#This Row],[Reporting unit name]],hierarchy!$A:$A,hierarchy!$C:$C)</f>
        <v>Factory</v>
      </c>
    </row>
    <row r="2101" spans="1:44" hidden="1" x14ac:dyDescent="0.25">
      <c r="A2101">
        <v>1590447</v>
      </c>
      <c r="B2101" t="s">
        <v>235</v>
      </c>
      <c r="C2101" t="s">
        <v>520</v>
      </c>
      <c r="D2101" t="s">
        <v>548</v>
      </c>
      <c r="E2101" s="3">
        <v>44562</v>
      </c>
      <c r="F2101" s="3">
        <v>44926</v>
      </c>
      <c r="G2101" t="s">
        <v>108</v>
      </c>
      <c r="H2101" s="3">
        <v>44562</v>
      </c>
      <c r="I2101" s="3">
        <v>44926</v>
      </c>
      <c r="J2101" t="s">
        <v>108</v>
      </c>
      <c r="K2101">
        <v>7517.7092599999996</v>
      </c>
      <c r="L2101" t="s">
        <v>109</v>
      </c>
      <c r="M2101" t="s">
        <v>82</v>
      </c>
      <c r="N2101" t="s">
        <v>137</v>
      </c>
      <c r="O2101" t="s">
        <v>631</v>
      </c>
      <c r="P2101" t="s">
        <v>631</v>
      </c>
      <c r="Q2101">
        <v>2022</v>
      </c>
      <c r="R2101" t="s">
        <v>579</v>
      </c>
      <c r="S2101" t="s">
        <v>580</v>
      </c>
      <c r="T2101" t="s">
        <v>581</v>
      </c>
      <c r="U2101" t="b">
        <v>0</v>
      </c>
      <c r="V2101" t="s">
        <v>994</v>
      </c>
      <c r="W2101" t="s">
        <v>571</v>
      </c>
      <c r="X2101" t="s">
        <v>572</v>
      </c>
      <c r="Y2101" t="s">
        <v>472</v>
      </c>
      <c r="Z2101" t="s">
        <v>491</v>
      </c>
      <c r="AA2101" t="s">
        <v>991</v>
      </c>
      <c r="AC2101">
        <v>0</v>
      </c>
      <c r="AD2101" t="s">
        <v>565</v>
      </c>
      <c r="AE2101">
        <v>287.9282647</v>
      </c>
      <c r="AF2101" t="s">
        <v>559</v>
      </c>
      <c r="AG2101" t="s">
        <v>560</v>
      </c>
      <c r="AH2101">
        <v>1</v>
      </c>
      <c r="AI2101">
        <v>7517.7092599999996</v>
      </c>
      <c r="AJ2101" t="s">
        <v>561</v>
      </c>
      <c r="AK2101" t="s">
        <v>562</v>
      </c>
      <c r="AL2101" t="s">
        <v>563</v>
      </c>
      <c r="AM2101">
        <v>2022</v>
      </c>
      <c r="AN2101">
        <v>2020</v>
      </c>
      <c r="AO2101">
        <f>IF(AND(emissions[[#This Row],[Market-based]]=0,emissions[[#This Row],[Impact Type]]="CO2E"),emissions[[#This Row],[kgCO2e]],0)/1000</f>
        <v>0.28792826469999999</v>
      </c>
      <c r="AP2101">
        <f>IF(AND(emissions[[#This Row],[Market-based]]=1,OR(emissions[[#This Row],[Impact Type]]="CO2E",emissions[[#This Row],[Impact Type]]="CO2E MKT")),emissions[[#This Row],[kgCO2e]],0)/1000</f>
        <v>0</v>
      </c>
      <c r="AQ2101" t="str">
        <f>_xlfn.TEXTAFTER(emissions[[#This Row],[Reporting Unit]]," &gt; ",LEN(emissions[[#This Row],[Reporting Unit]])-LEN(SUBSTITUTE(emissions[[#This Row],[Reporting Unit]],"&gt;","")))</f>
        <v>Vantage_Buenos Aires</v>
      </c>
      <c r="AR2101" t="str">
        <f>_xlfn.XLOOKUP(emissions[[#This Row],[Reporting unit name]],hierarchy!$A:$A,hierarchy!$C:$C)</f>
        <v>Factory</v>
      </c>
    </row>
    <row r="2102" spans="1:44" hidden="1" x14ac:dyDescent="0.25">
      <c r="A2102">
        <v>1590447</v>
      </c>
      <c r="B2102" t="s">
        <v>235</v>
      </c>
      <c r="C2102" t="s">
        <v>520</v>
      </c>
      <c r="D2102" t="s">
        <v>548</v>
      </c>
      <c r="E2102" s="3">
        <v>44562</v>
      </c>
      <c r="F2102" s="3">
        <v>44926</v>
      </c>
      <c r="G2102" t="s">
        <v>108</v>
      </c>
      <c r="H2102" s="3">
        <v>44562</v>
      </c>
      <c r="I2102" s="3">
        <v>44926</v>
      </c>
      <c r="J2102" t="s">
        <v>108</v>
      </c>
      <c r="K2102">
        <v>7517.7092599999996</v>
      </c>
      <c r="L2102" t="s">
        <v>109</v>
      </c>
      <c r="M2102" t="s">
        <v>82</v>
      </c>
      <c r="N2102" t="s">
        <v>137</v>
      </c>
      <c r="O2102" t="s">
        <v>631</v>
      </c>
      <c r="P2102" t="s">
        <v>631</v>
      </c>
      <c r="Q2102">
        <v>2022</v>
      </c>
      <c r="R2102" t="s">
        <v>579</v>
      </c>
      <c r="S2102" t="s">
        <v>580</v>
      </c>
      <c r="T2102" t="s">
        <v>581</v>
      </c>
      <c r="U2102" t="b">
        <v>0</v>
      </c>
      <c r="V2102" t="s">
        <v>994</v>
      </c>
      <c r="W2102" t="s">
        <v>571</v>
      </c>
      <c r="X2102" t="s">
        <v>572</v>
      </c>
      <c r="Y2102" t="s">
        <v>472</v>
      </c>
      <c r="Z2102" t="s">
        <v>491</v>
      </c>
      <c r="AA2102" t="s">
        <v>991</v>
      </c>
      <c r="AC2102">
        <v>1</v>
      </c>
      <c r="AD2102" t="s">
        <v>565</v>
      </c>
      <c r="AE2102">
        <v>287.9282647</v>
      </c>
      <c r="AF2102" t="s">
        <v>559</v>
      </c>
      <c r="AG2102" t="s">
        <v>560</v>
      </c>
      <c r="AH2102">
        <v>1</v>
      </c>
      <c r="AI2102">
        <v>7517.7092599999996</v>
      </c>
      <c r="AJ2102" t="s">
        <v>561</v>
      </c>
      <c r="AK2102" t="s">
        <v>562</v>
      </c>
      <c r="AL2102" t="s">
        <v>563</v>
      </c>
      <c r="AM2102">
        <v>2022</v>
      </c>
      <c r="AN2102">
        <v>2020</v>
      </c>
      <c r="AO2102">
        <f>IF(AND(emissions[[#This Row],[Market-based]]=0,emissions[[#This Row],[Impact Type]]="CO2E"),emissions[[#This Row],[kgCO2e]],0)/1000</f>
        <v>0</v>
      </c>
      <c r="AP2102">
        <f>IF(AND(emissions[[#This Row],[Market-based]]=1,OR(emissions[[#This Row],[Impact Type]]="CO2E",emissions[[#This Row],[Impact Type]]="CO2E MKT")),emissions[[#This Row],[kgCO2e]],0)/1000</f>
        <v>0.28792826469999999</v>
      </c>
      <c r="AQ2102" t="str">
        <f>_xlfn.TEXTAFTER(emissions[[#This Row],[Reporting Unit]]," &gt; ",LEN(emissions[[#This Row],[Reporting Unit]])-LEN(SUBSTITUTE(emissions[[#This Row],[Reporting Unit]],"&gt;","")))</f>
        <v>Vantage_Buenos Aires</v>
      </c>
      <c r="AR2102" t="str">
        <f>_xlfn.XLOOKUP(emissions[[#This Row],[Reporting unit name]],hierarchy!$A:$A,hierarchy!$C:$C)</f>
        <v>Factory</v>
      </c>
    </row>
    <row r="2103" spans="1:44" hidden="1" x14ac:dyDescent="0.25">
      <c r="A2103">
        <v>237680</v>
      </c>
      <c r="B2103" t="s">
        <v>235</v>
      </c>
      <c r="C2103" t="s">
        <v>520</v>
      </c>
      <c r="D2103" t="s">
        <v>548</v>
      </c>
      <c r="E2103" s="3">
        <v>44562</v>
      </c>
      <c r="F2103" s="3">
        <v>44926</v>
      </c>
      <c r="G2103" t="s">
        <v>135</v>
      </c>
      <c r="H2103" s="3">
        <v>44562</v>
      </c>
      <c r="I2103" s="3">
        <v>44926</v>
      </c>
      <c r="J2103" t="s">
        <v>135</v>
      </c>
      <c r="K2103">
        <v>0</v>
      </c>
      <c r="L2103" t="s">
        <v>140</v>
      </c>
      <c r="M2103" t="s">
        <v>110</v>
      </c>
      <c r="O2103" t="s">
        <v>1017</v>
      </c>
      <c r="P2103" t="s">
        <v>550</v>
      </c>
      <c r="Q2103">
        <v>2022</v>
      </c>
      <c r="R2103" t="s">
        <v>605</v>
      </c>
      <c r="S2103" t="s">
        <v>606</v>
      </c>
      <c r="T2103" t="s">
        <v>553</v>
      </c>
      <c r="U2103" t="b">
        <v>0</v>
      </c>
      <c r="V2103" t="s">
        <v>781</v>
      </c>
      <c r="W2103" t="s">
        <v>587</v>
      </c>
      <c r="X2103" t="s">
        <v>556</v>
      </c>
      <c r="Y2103" t="s">
        <v>472</v>
      </c>
      <c r="AC2103">
        <v>0</v>
      </c>
      <c r="AD2103" t="s">
        <v>558</v>
      </c>
      <c r="AE2103">
        <v>0</v>
      </c>
      <c r="AF2103">
        <v>2.5000000000000001E-2</v>
      </c>
      <c r="AG2103" t="s">
        <v>798</v>
      </c>
      <c r="AH2103">
        <v>9.9999999999999995E-7</v>
      </c>
      <c r="AI2103">
        <v>0</v>
      </c>
      <c r="AJ2103" t="s">
        <v>561</v>
      </c>
      <c r="AK2103" t="s">
        <v>766</v>
      </c>
      <c r="AL2103" t="s">
        <v>787</v>
      </c>
      <c r="AM2103">
        <v>2022</v>
      </c>
      <c r="AN2103">
        <v>2021</v>
      </c>
      <c r="AO2103">
        <f>IF(AND(emissions[[#This Row],[Market-based]]=0,emissions[[#This Row],[Impact Type]]="CO2E"),emissions[[#This Row],[kgCO2e]],0)/1000</f>
        <v>0</v>
      </c>
      <c r="AP2103">
        <f>IF(AND(emissions[[#This Row],[Market-based]]=1,OR(emissions[[#This Row],[Impact Type]]="CO2E",emissions[[#This Row],[Impact Type]]="CO2E MKT")),emissions[[#This Row],[kgCO2e]],0)/1000</f>
        <v>0</v>
      </c>
      <c r="AQ2103" t="str">
        <f>_xlfn.TEXTAFTER(emissions[[#This Row],[Reporting Unit]]," &gt; ",LEN(emissions[[#This Row],[Reporting Unit]])-LEN(SUBSTITUTE(emissions[[#This Row],[Reporting Unit]],"&gt;","")))</f>
        <v>Vantage_Buenos Aires</v>
      </c>
      <c r="AR2103" t="str">
        <f>_xlfn.XLOOKUP(emissions[[#This Row],[Reporting unit name]],hierarchy!$A:$A,hierarchy!$C:$C)</f>
        <v>Factory</v>
      </c>
    </row>
    <row r="2104" spans="1:44" hidden="1" x14ac:dyDescent="0.25">
      <c r="A2104">
        <v>237680</v>
      </c>
      <c r="B2104" t="s">
        <v>235</v>
      </c>
      <c r="C2104" t="s">
        <v>520</v>
      </c>
      <c r="D2104" t="s">
        <v>548</v>
      </c>
      <c r="E2104" s="3">
        <v>44562</v>
      </c>
      <c r="F2104" s="3">
        <v>44926</v>
      </c>
      <c r="G2104" t="s">
        <v>135</v>
      </c>
      <c r="H2104" s="3">
        <v>44562</v>
      </c>
      <c r="I2104" s="3">
        <v>44926</v>
      </c>
      <c r="J2104" t="s">
        <v>135</v>
      </c>
      <c r="K2104">
        <v>0</v>
      </c>
      <c r="L2104" t="s">
        <v>140</v>
      </c>
      <c r="M2104" t="s">
        <v>110</v>
      </c>
      <c r="O2104" t="s">
        <v>1017</v>
      </c>
      <c r="P2104" t="s">
        <v>550</v>
      </c>
      <c r="Q2104">
        <v>2022</v>
      </c>
      <c r="R2104" t="s">
        <v>605</v>
      </c>
      <c r="S2104" t="s">
        <v>606</v>
      </c>
      <c r="T2104" t="s">
        <v>553</v>
      </c>
      <c r="U2104" t="b">
        <v>0</v>
      </c>
      <c r="V2104" t="s">
        <v>781</v>
      </c>
      <c r="W2104" t="s">
        <v>587</v>
      </c>
      <c r="X2104" t="s">
        <v>556</v>
      </c>
      <c r="Y2104" t="s">
        <v>472</v>
      </c>
      <c r="AC2104">
        <v>0</v>
      </c>
      <c r="AD2104" t="s">
        <v>564</v>
      </c>
      <c r="AE2104">
        <v>0</v>
      </c>
      <c r="AF2104">
        <v>53.06</v>
      </c>
      <c r="AG2104" t="s">
        <v>798</v>
      </c>
      <c r="AH2104">
        <v>9.9999999999999995E-7</v>
      </c>
      <c r="AI2104">
        <v>0</v>
      </c>
      <c r="AJ2104" t="s">
        <v>561</v>
      </c>
      <c r="AK2104" t="s">
        <v>766</v>
      </c>
      <c r="AL2104" t="s">
        <v>767</v>
      </c>
      <c r="AM2104">
        <v>2022</v>
      </c>
      <c r="AN2104">
        <v>2022</v>
      </c>
      <c r="AO2104">
        <f>IF(AND(emissions[[#This Row],[Market-based]]=0,emissions[[#This Row],[Impact Type]]="CO2E"),emissions[[#This Row],[kgCO2e]],0)/1000</f>
        <v>0</v>
      </c>
      <c r="AP2104">
        <f>IF(AND(emissions[[#This Row],[Market-based]]=1,OR(emissions[[#This Row],[Impact Type]]="CO2E",emissions[[#This Row],[Impact Type]]="CO2E MKT")),emissions[[#This Row],[kgCO2e]],0)/1000</f>
        <v>0</v>
      </c>
      <c r="AQ2104" t="str">
        <f>_xlfn.TEXTAFTER(emissions[[#This Row],[Reporting Unit]]," &gt; ",LEN(emissions[[#This Row],[Reporting Unit]])-LEN(SUBSTITUTE(emissions[[#This Row],[Reporting Unit]],"&gt;","")))</f>
        <v>Vantage_Buenos Aires</v>
      </c>
      <c r="AR2104" t="str">
        <f>_xlfn.XLOOKUP(emissions[[#This Row],[Reporting unit name]],hierarchy!$A:$A,hierarchy!$C:$C)</f>
        <v>Factory</v>
      </c>
    </row>
    <row r="2105" spans="1:44" hidden="1" x14ac:dyDescent="0.25">
      <c r="A2105">
        <v>237680</v>
      </c>
      <c r="B2105" t="s">
        <v>235</v>
      </c>
      <c r="C2105" t="s">
        <v>520</v>
      </c>
      <c r="D2105" t="s">
        <v>548</v>
      </c>
      <c r="E2105" s="3">
        <v>44562</v>
      </c>
      <c r="F2105" s="3">
        <v>44926</v>
      </c>
      <c r="G2105" t="s">
        <v>135</v>
      </c>
      <c r="H2105" s="3">
        <v>44562</v>
      </c>
      <c r="I2105" s="3">
        <v>44926</v>
      </c>
      <c r="J2105" t="s">
        <v>135</v>
      </c>
      <c r="K2105">
        <v>0</v>
      </c>
      <c r="L2105" t="s">
        <v>140</v>
      </c>
      <c r="M2105" t="s">
        <v>110</v>
      </c>
      <c r="O2105" t="s">
        <v>1017</v>
      </c>
      <c r="P2105" t="s">
        <v>550</v>
      </c>
      <c r="Q2105">
        <v>2022</v>
      </c>
      <c r="R2105" t="s">
        <v>605</v>
      </c>
      <c r="S2105" t="s">
        <v>606</v>
      </c>
      <c r="T2105" t="s">
        <v>553</v>
      </c>
      <c r="U2105" t="b">
        <v>0</v>
      </c>
      <c r="V2105" t="s">
        <v>781</v>
      </c>
      <c r="W2105" t="s">
        <v>587</v>
      </c>
      <c r="X2105" t="s">
        <v>556</v>
      </c>
      <c r="Y2105" t="s">
        <v>472</v>
      </c>
      <c r="AC2105">
        <v>0</v>
      </c>
      <c r="AD2105" t="s">
        <v>565</v>
      </c>
      <c r="AE2105">
        <v>0</v>
      </c>
      <c r="AF2105">
        <v>53.114800000000002</v>
      </c>
      <c r="AG2105" t="s">
        <v>798</v>
      </c>
      <c r="AH2105">
        <v>9.9999999999999995E-7</v>
      </c>
      <c r="AI2105">
        <v>0</v>
      </c>
      <c r="AJ2105" t="s">
        <v>561</v>
      </c>
      <c r="AK2105" t="s">
        <v>766</v>
      </c>
      <c r="AL2105" t="s">
        <v>787</v>
      </c>
      <c r="AM2105">
        <v>2022</v>
      </c>
      <c r="AN2105">
        <v>2021</v>
      </c>
      <c r="AO2105">
        <f>IF(AND(emissions[[#This Row],[Market-based]]=0,emissions[[#This Row],[Impact Type]]="CO2E"),emissions[[#This Row],[kgCO2e]],0)/1000</f>
        <v>0</v>
      </c>
      <c r="AP2105">
        <f>IF(AND(emissions[[#This Row],[Market-based]]=1,OR(emissions[[#This Row],[Impact Type]]="CO2E",emissions[[#This Row],[Impact Type]]="CO2E MKT")),emissions[[#This Row],[kgCO2e]],0)/1000</f>
        <v>0</v>
      </c>
      <c r="AQ2105" t="str">
        <f>_xlfn.TEXTAFTER(emissions[[#This Row],[Reporting Unit]]," &gt; ",LEN(emissions[[#This Row],[Reporting Unit]])-LEN(SUBSTITUTE(emissions[[#This Row],[Reporting Unit]],"&gt;","")))</f>
        <v>Vantage_Buenos Aires</v>
      </c>
      <c r="AR2105" t="str">
        <f>_xlfn.XLOOKUP(emissions[[#This Row],[Reporting unit name]],hierarchy!$A:$A,hierarchy!$C:$C)</f>
        <v>Factory</v>
      </c>
    </row>
    <row r="2106" spans="1:44" hidden="1" x14ac:dyDescent="0.25">
      <c r="A2106">
        <v>237680</v>
      </c>
      <c r="B2106" t="s">
        <v>235</v>
      </c>
      <c r="C2106" t="s">
        <v>520</v>
      </c>
      <c r="D2106" t="s">
        <v>548</v>
      </c>
      <c r="E2106" s="3">
        <v>44562</v>
      </c>
      <c r="F2106" s="3">
        <v>44926</v>
      </c>
      <c r="G2106" t="s">
        <v>135</v>
      </c>
      <c r="H2106" s="3">
        <v>44562</v>
      </c>
      <c r="I2106" s="3">
        <v>44926</v>
      </c>
      <c r="J2106" t="s">
        <v>135</v>
      </c>
      <c r="K2106">
        <v>0</v>
      </c>
      <c r="L2106" t="s">
        <v>140</v>
      </c>
      <c r="M2106" t="s">
        <v>110</v>
      </c>
      <c r="O2106" t="s">
        <v>1017</v>
      </c>
      <c r="P2106" t="s">
        <v>550</v>
      </c>
      <c r="Q2106">
        <v>2022</v>
      </c>
      <c r="R2106" t="s">
        <v>605</v>
      </c>
      <c r="S2106" t="s">
        <v>606</v>
      </c>
      <c r="T2106" t="s">
        <v>553</v>
      </c>
      <c r="U2106" t="b">
        <v>0</v>
      </c>
      <c r="V2106" t="s">
        <v>781</v>
      </c>
      <c r="W2106" t="s">
        <v>587</v>
      </c>
      <c r="X2106" t="s">
        <v>556</v>
      </c>
      <c r="Y2106" t="s">
        <v>472</v>
      </c>
      <c r="AC2106">
        <v>0</v>
      </c>
      <c r="AD2106" t="s">
        <v>566</v>
      </c>
      <c r="AE2106">
        <v>0</v>
      </c>
      <c r="AF2106">
        <v>2.98E-2</v>
      </c>
      <c r="AG2106" t="s">
        <v>798</v>
      </c>
      <c r="AH2106">
        <v>9.9999999999999995E-7</v>
      </c>
      <c r="AI2106">
        <v>0</v>
      </c>
      <c r="AJ2106" t="s">
        <v>561</v>
      </c>
      <c r="AK2106" t="s">
        <v>766</v>
      </c>
      <c r="AL2106" t="s">
        <v>767</v>
      </c>
      <c r="AM2106">
        <v>2022</v>
      </c>
      <c r="AN2106">
        <v>2022</v>
      </c>
      <c r="AO2106">
        <f>IF(AND(emissions[[#This Row],[Market-based]]=0,emissions[[#This Row],[Impact Type]]="CO2E"),emissions[[#This Row],[kgCO2e]],0)/1000</f>
        <v>0</v>
      </c>
      <c r="AP2106">
        <f>IF(AND(emissions[[#This Row],[Market-based]]=1,OR(emissions[[#This Row],[Impact Type]]="CO2E",emissions[[#This Row],[Impact Type]]="CO2E MKT")),emissions[[#This Row],[kgCO2e]],0)/1000</f>
        <v>0</v>
      </c>
      <c r="AQ2106" t="str">
        <f>_xlfn.TEXTAFTER(emissions[[#This Row],[Reporting Unit]]," &gt; ",LEN(emissions[[#This Row],[Reporting Unit]])-LEN(SUBSTITUTE(emissions[[#This Row],[Reporting Unit]],"&gt;","")))</f>
        <v>Vantage_Buenos Aires</v>
      </c>
      <c r="AR2106" t="str">
        <f>_xlfn.XLOOKUP(emissions[[#This Row],[Reporting unit name]],hierarchy!$A:$A,hierarchy!$C:$C)</f>
        <v>Factory</v>
      </c>
    </row>
    <row r="2107" spans="1:44" hidden="1" x14ac:dyDescent="0.25">
      <c r="A2107">
        <v>237680</v>
      </c>
      <c r="B2107" t="s">
        <v>235</v>
      </c>
      <c r="C2107" t="s">
        <v>520</v>
      </c>
      <c r="D2107" t="s">
        <v>548</v>
      </c>
      <c r="E2107" s="3">
        <v>44562</v>
      </c>
      <c r="F2107" s="3">
        <v>44926</v>
      </c>
      <c r="G2107" t="s">
        <v>135</v>
      </c>
      <c r="H2107" s="3">
        <v>44562</v>
      </c>
      <c r="I2107" s="3">
        <v>44926</v>
      </c>
      <c r="J2107" t="s">
        <v>135</v>
      </c>
      <c r="K2107">
        <v>0</v>
      </c>
      <c r="L2107" t="s">
        <v>140</v>
      </c>
      <c r="M2107" t="s">
        <v>110</v>
      </c>
      <c r="O2107" t="s">
        <v>1017</v>
      </c>
      <c r="P2107" t="s">
        <v>550</v>
      </c>
      <c r="Q2107">
        <v>2022</v>
      </c>
      <c r="R2107" t="s">
        <v>605</v>
      </c>
      <c r="S2107" t="s">
        <v>606</v>
      </c>
      <c r="T2107" t="s">
        <v>553</v>
      </c>
      <c r="U2107" t="b">
        <v>0</v>
      </c>
      <c r="V2107" t="s">
        <v>781</v>
      </c>
      <c r="W2107" t="s">
        <v>587</v>
      </c>
      <c r="X2107" t="s">
        <v>556</v>
      </c>
      <c r="Y2107" t="s">
        <v>472</v>
      </c>
      <c r="AC2107">
        <v>1</v>
      </c>
      <c r="AD2107" t="s">
        <v>558</v>
      </c>
      <c r="AE2107">
        <v>0</v>
      </c>
      <c r="AF2107">
        <v>2.5000000000000001E-2</v>
      </c>
      <c r="AG2107" t="s">
        <v>798</v>
      </c>
      <c r="AH2107">
        <v>9.9999999999999995E-7</v>
      </c>
      <c r="AI2107">
        <v>0</v>
      </c>
      <c r="AJ2107" t="s">
        <v>561</v>
      </c>
      <c r="AK2107" t="s">
        <v>766</v>
      </c>
      <c r="AL2107" t="s">
        <v>787</v>
      </c>
      <c r="AM2107">
        <v>2022</v>
      </c>
      <c r="AN2107">
        <v>2021</v>
      </c>
      <c r="AO2107">
        <f>IF(AND(emissions[[#This Row],[Market-based]]=0,emissions[[#This Row],[Impact Type]]="CO2E"),emissions[[#This Row],[kgCO2e]],0)/1000</f>
        <v>0</v>
      </c>
      <c r="AP2107">
        <f>IF(AND(emissions[[#This Row],[Market-based]]=1,OR(emissions[[#This Row],[Impact Type]]="CO2E",emissions[[#This Row],[Impact Type]]="CO2E MKT")),emissions[[#This Row],[kgCO2e]],0)/1000</f>
        <v>0</v>
      </c>
      <c r="AQ2107" t="str">
        <f>_xlfn.TEXTAFTER(emissions[[#This Row],[Reporting Unit]]," &gt; ",LEN(emissions[[#This Row],[Reporting Unit]])-LEN(SUBSTITUTE(emissions[[#This Row],[Reporting Unit]],"&gt;","")))</f>
        <v>Vantage_Buenos Aires</v>
      </c>
      <c r="AR2107" t="str">
        <f>_xlfn.XLOOKUP(emissions[[#This Row],[Reporting unit name]],hierarchy!$A:$A,hierarchy!$C:$C)</f>
        <v>Factory</v>
      </c>
    </row>
    <row r="2108" spans="1:44" hidden="1" x14ac:dyDescent="0.25">
      <c r="A2108">
        <v>237680</v>
      </c>
      <c r="B2108" t="s">
        <v>235</v>
      </c>
      <c r="C2108" t="s">
        <v>520</v>
      </c>
      <c r="D2108" t="s">
        <v>548</v>
      </c>
      <c r="E2108" s="3">
        <v>44562</v>
      </c>
      <c r="F2108" s="3">
        <v>44926</v>
      </c>
      <c r="G2108" t="s">
        <v>135</v>
      </c>
      <c r="H2108" s="3">
        <v>44562</v>
      </c>
      <c r="I2108" s="3">
        <v>44926</v>
      </c>
      <c r="J2108" t="s">
        <v>135</v>
      </c>
      <c r="K2108">
        <v>0</v>
      </c>
      <c r="L2108" t="s">
        <v>140</v>
      </c>
      <c r="M2108" t="s">
        <v>110</v>
      </c>
      <c r="O2108" t="s">
        <v>1017</v>
      </c>
      <c r="P2108" t="s">
        <v>550</v>
      </c>
      <c r="Q2108">
        <v>2022</v>
      </c>
      <c r="R2108" t="s">
        <v>605</v>
      </c>
      <c r="S2108" t="s">
        <v>606</v>
      </c>
      <c r="T2108" t="s">
        <v>553</v>
      </c>
      <c r="U2108" t="b">
        <v>0</v>
      </c>
      <c r="V2108" t="s">
        <v>781</v>
      </c>
      <c r="W2108" t="s">
        <v>587</v>
      </c>
      <c r="X2108" t="s">
        <v>556</v>
      </c>
      <c r="Y2108" t="s">
        <v>472</v>
      </c>
      <c r="AC2108">
        <v>1</v>
      </c>
      <c r="AD2108" t="s">
        <v>564</v>
      </c>
      <c r="AE2108">
        <v>0</v>
      </c>
      <c r="AF2108">
        <v>53.06</v>
      </c>
      <c r="AG2108" t="s">
        <v>798</v>
      </c>
      <c r="AH2108">
        <v>9.9999999999999995E-7</v>
      </c>
      <c r="AI2108">
        <v>0</v>
      </c>
      <c r="AJ2108" t="s">
        <v>561</v>
      </c>
      <c r="AK2108" t="s">
        <v>766</v>
      </c>
      <c r="AL2108" t="s">
        <v>767</v>
      </c>
      <c r="AM2108">
        <v>2022</v>
      </c>
      <c r="AN2108">
        <v>2022</v>
      </c>
      <c r="AO2108">
        <f>IF(AND(emissions[[#This Row],[Market-based]]=0,emissions[[#This Row],[Impact Type]]="CO2E"),emissions[[#This Row],[kgCO2e]],0)/1000</f>
        <v>0</v>
      </c>
      <c r="AP2108">
        <f>IF(AND(emissions[[#This Row],[Market-based]]=1,OR(emissions[[#This Row],[Impact Type]]="CO2E",emissions[[#This Row],[Impact Type]]="CO2E MKT")),emissions[[#This Row],[kgCO2e]],0)/1000</f>
        <v>0</v>
      </c>
      <c r="AQ2108" t="str">
        <f>_xlfn.TEXTAFTER(emissions[[#This Row],[Reporting Unit]]," &gt; ",LEN(emissions[[#This Row],[Reporting Unit]])-LEN(SUBSTITUTE(emissions[[#This Row],[Reporting Unit]],"&gt;","")))</f>
        <v>Vantage_Buenos Aires</v>
      </c>
      <c r="AR2108" t="str">
        <f>_xlfn.XLOOKUP(emissions[[#This Row],[Reporting unit name]],hierarchy!$A:$A,hierarchy!$C:$C)</f>
        <v>Factory</v>
      </c>
    </row>
    <row r="2109" spans="1:44" hidden="1" x14ac:dyDescent="0.25">
      <c r="A2109">
        <v>237680</v>
      </c>
      <c r="B2109" t="s">
        <v>235</v>
      </c>
      <c r="C2109" t="s">
        <v>520</v>
      </c>
      <c r="D2109" t="s">
        <v>548</v>
      </c>
      <c r="E2109" s="3">
        <v>44562</v>
      </c>
      <c r="F2109" s="3">
        <v>44926</v>
      </c>
      <c r="G2109" t="s">
        <v>135</v>
      </c>
      <c r="H2109" s="3">
        <v>44562</v>
      </c>
      <c r="I2109" s="3">
        <v>44926</v>
      </c>
      <c r="J2109" t="s">
        <v>135</v>
      </c>
      <c r="K2109">
        <v>0</v>
      </c>
      <c r="L2109" t="s">
        <v>140</v>
      </c>
      <c r="M2109" t="s">
        <v>110</v>
      </c>
      <c r="O2109" t="s">
        <v>1017</v>
      </c>
      <c r="P2109" t="s">
        <v>550</v>
      </c>
      <c r="Q2109">
        <v>2022</v>
      </c>
      <c r="R2109" t="s">
        <v>605</v>
      </c>
      <c r="S2109" t="s">
        <v>606</v>
      </c>
      <c r="T2109" t="s">
        <v>553</v>
      </c>
      <c r="U2109" t="b">
        <v>0</v>
      </c>
      <c r="V2109" t="s">
        <v>781</v>
      </c>
      <c r="W2109" t="s">
        <v>587</v>
      </c>
      <c r="X2109" t="s">
        <v>556</v>
      </c>
      <c r="Y2109" t="s">
        <v>472</v>
      </c>
      <c r="AC2109">
        <v>1</v>
      </c>
      <c r="AD2109" t="s">
        <v>565</v>
      </c>
      <c r="AE2109">
        <v>0</v>
      </c>
      <c r="AF2109">
        <v>53.114800000000002</v>
      </c>
      <c r="AG2109" t="s">
        <v>798</v>
      </c>
      <c r="AH2109">
        <v>9.9999999999999995E-7</v>
      </c>
      <c r="AI2109">
        <v>0</v>
      </c>
      <c r="AJ2109" t="s">
        <v>561</v>
      </c>
      <c r="AK2109" t="s">
        <v>766</v>
      </c>
      <c r="AL2109" t="s">
        <v>787</v>
      </c>
      <c r="AM2109">
        <v>2022</v>
      </c>
      <c r="AN2109">
        <v>2021</v>
      </c>
      <c r="AO2109">
        <f>IF(AND(emissions[[#This Row],[Market-based]]=0,emissions[[#This Row],[Impact Type]]="CO2E"),emissions[[#This Row],[kgCO2e]],0)/1000</f>
        <v>0</v>
      </c>
      <c r="AP2109">
        <f>IF(AND(emissions[[#This Row],[Market-based]]=1,OR(emissions[[#This Row],[Impact Type]]="CO2E",emissions[[#This Row],[Impact Type]]="CO2E MKT")),emissions[[#This Row],[kgCO2e]],0)/1000</f>
        <v>0</v>
      </c>
      <c r="AQ2109" t="str">
        <f>_xlfn.TEXTAFTER(emissions[[#This Row],[Reporting Unit]]," &gt; ",LEN(emissions[[#This Row],[Reporting Unit]])-LEN(SUBSTITUTE(emissions[[#This Row],[Reporting Unit]],"&gt;","")))</f>
        <v>Vantage_Buenos Aires</v>
      </c>
      <c r="AR2109" t="str">
        <f>_xlfn.XLOOKUP(emissions[[#This Row],[Reporting unit name]],hierarchy!$A:$A,hierarchy!$C:$C)</f>
        <v>Factory</v>
      </c>
    </row>
    <row r="2110" spans="1:44" hidden="1" x14ac:dyDescent="0.25">
      <c r="A2110">
        <v>237680</v>
      </c>
      <c r="B2110" t="s">
        <v>235</v>
      </c>
      <c r="C2110" t="s">
        <v>520</v>
      </c>
      <c r="D2110" t="s">
        <v>548</v>
      </c>
      <c r="E2110" s="3">
        <v>44562</v>
      </c>
      <c r="F2110" s="3">
        <v>44926</v>
      </c>
      <c r="G2110" t="s">
        <v>135</v>
      </c>
      <c r="H2110" s="3">
        <v>44562</v>
      </c>
      <c r="I2110" s="3">
        <v>44926</v>
      </c>
      <c r="J2110" t="s">
        <v>135</v>
      </c>
      <c r="K2110">
        <v>0</v>
      </c>
      <c r="L2110" t="s">
        <v>140</v>
      </c>
      <c r="M2110" t="s">
        <v>110</v>
      </c>
      <c r="O2110" t="s">
        <v>1017</v>
      </c>
      <c r="P2110" t="s">
        <v>550</v>
      </c>
      <c r="Q2110">
        <v>2022</v>
      </c>
      <c r="R2110" t="s">
        <v>605</v>
      </c>
      <c r="S2110" t="s">
        <v>606</v>
      </c>
      <c r="T2110" t="s">
        <v>553</v>
      </c>
      <c r="U2110" t="b">
        <v>0</v>
      </c>
      <c r="V2110" t="s">
        <v>781</v>
      </c>
      <c r="W2110" t="s">
        <v>587</v>
      </c>
      <c r="X2110" t="s">
        <v>556</v>
      </c>
      <c r="Y2110" t="s">
        <v>472</v>
      </c>
      <c r="AC2110">
        <v>1</v>
      </c>
      <c r="AD2110" t="s">
        <v>566</v>
      </c>
      <c r="AE2110">
        <v>0</v>
      </c>
      <c r="AF2110">
        <v>2.98E-2</v>
      </c>
      <c r="AG2110" t="s">
        <v>798</v>
      </c>
      <c r="AH2110">
        <v>9.9999999999999995E-7</v>
      </c>
      <c r="AI2110">
        <v>0</v>
      </c>
      <c r="AJ2110" t="s">
        <v>561</v>
      </c>
      <c r="AK2110" t="s">
        <v>766</v>
      </c>
      <c r="AL2110" t="s">
        <v>767</v>
      </c>
      <c r="AM2110">
        <v>2022</v>
      </c>
      <c r="AN2110">
        <v>2022</v>
      </c>
      <c r="AO2110">
        <f>IF(AND(emissions[[#This Row],[Market-based]]=0,emissions[[#This Row],[Impact Type]]="CO2E"),emissions[[#This Row],[kgCO2e]],0)/1000</f>
        <v>0</v>
      </c>
      <c r="AP2110">
        <f>IF(AND(emissions[[#This Row],[Market-based]]=1,OR(emissions[[#This Row],[Impact Type]]="CO2E",emissions[[#This Row],[Impact Type]]="CO2E MKT")),emissions[[#This Row],[kgCO2e]],0)/1000</f>
        <v>0</v>
      </c>
      <c r="AQ2110" t="str">
        <f>_xlfn.TEXTAFTER(emissions[[#This Row],[Reporting Unit]]," &gt; ",LEN(emissions[[#This Row],[Reporting Unit]])-LEN(SUBSTITUTE(emissions[[#This Row],[Reporting Unit]],"&gt;","")))</f>
        <v>Vantage_Buenos Aires</v>
      </c>
      <c r="AR2110" t="str">
        <f>_xlfn.XLOOKUP(emissions[[#This Row],[Reporting unit name]],hierarchy!$A:$A,hierarchy!$C:$C)</f>
        <v>Factory</v>
      </c>
    </row>
    <row r="2111" spans="1:44" hidden="1" x14ac:dyDescent="0.25">
      <c r="A2111">
        <v>237680</v>
      </c>
      <c r="B2111" t="s">
        <v>235</v>
      </c>
      <c r="C2111" t="s">
        <v>520</v>
      </c>
      <c r="D2111" t="s">
        <v>548</v>
      </c>
      <c r="E2111" s="3">
        <v>44562</v>
      </c>
      <c r="F2111" s="3">
        <v>44926</v>
      </c>
      <c r="G2111" t="s">
        <v>135</v>
      </c>
      <c r="H2111" s="3">
        <v>44562</v>
      </c>
      <c r="I2111" s="3">
        <v>44926</v>
      </c>
      <c r="J2111" t="s">
        <v>135</v>
      </c>
      <c r="K2111">
        <v>0</v>
      </c>
      <c r="L2111" t="s">
        <v>140</v>
      </c>
      <c r="M2111" t="s">
        <v>110</v>
      </c>
      <c r="O2111" t="s">
        <v>1017</v>
      </c>
      <c r="P2111" t="s">
        <v>550</v>
      </c>
      <c r="Q2111">
        <v>2022</v>
      </c>
      <c r="R2111" t="s">
        <v>609</v>
      </c>
      <c r="S2111" t="s">
        <v>610</v>
      </c>
      <c r="T2111" t="s">
        <v>577</v>
      </c>
      <c r="U2111" t="b">
        <v>0</v>
      </c>
      <c r="V2111" t="s">
        <v>632</v>
      </c>
      <c r="W2111" t="s">
        <v>571</v>
      </c>
      <c r="X2111" t="s">
        <v>572</v>
      </c>
      <c r="AC2111">
        <v>0</v>
      </c>
      <c r="AD2111" t="s">
        <v>565</v>
      </c>
      <c r="AE2111">
        <v>0</v>
      </c>
      <c r="AF2111">
        <v>3.1099999999999999E-2</v>
      </c>
      <c r="AG2111" t="s">
        <v>608</v>
      </c>
      <c r="AH2111">
        <v>2.9306999999999998E-4</v>
      </c>
      <c r="AI2111">
        <v>0</v>
      </c>
      <c r="AJ2111" t="s">
        <v>561</v>
      </c>
      <c r="AK2111" t="s">
        <v>589</v>
      </c>
      <c r="AL2111" t="s">
        <v>590</v>
      </c>
      <c r="AM2111">
        <v>2022</v>
      </c>
      <c r="AN2111">
        <v>2020</v>
      </c>
      <c r="AO2111">
        <f>IF(AND(emissions[[#This Row],[Market-based]]=0,emissions[[#This Row],[Impact Type]]="CO2E"),emissions[[#This Row],[kgCO2e]],0)/1000</f>
        <v>0</v>
      </c>
      <c r="AP2111">
        <f>IF(AND(emissions[[#This Row],[Market-based]]=1,OR(emissions[[#This Row],[Impact Type]]="CO2E",emissions[[#This Row],[Impact Type]]="CO2E MKT")),emissions[[#This Row],[kgCO2e]],0)/1000</f>
        <v>0</v>
      </c>
      <c r="AQ2111" t="str">
        <f>_xlfn.TEXTAFTER(emissions[[#This Row],[Reporting Unit]]," &gt; ",LEN(emissions[[#This Row],[Reporting Unit]])-LEN(SUBSTITUTE(emissions[[#This Row],[Reporting Unit]],"&gt;","")))</f>
        <v>Vantage_Buenos Aires</v>
      </c>
      <c r="AR2111" t="str">
        <f>_xlfn.XLOOKUP(emissions[[#This Row],[Reporting unit name]],hierarchy!$A:$A,hierarchy!$C:$C)</f>
        <v>Factory</v>
      </c>
    </row>
    <row r="2112" spans="1:44" hidden="1" x14ac:dyDescent="0.25">
      <c r="A2112">
        <v>237680</v>
      </c>
      <c r="B2112" t="s">
        <v>235</v>
      </c>
      <c r="C2112" t="s">
        <v>520</v>
      </c>
      <c r="D2112" t="s">
        <v>548</v>
      </c>
      <c r="E2112" s="3">
        <v>44562</v>
      </c>
      <c r="F2112" s="3">
        <v>44926</v>
      </c>
      <c r="G2112" t="s">
        <v>135</v>
      </c>
      <c r="H2112" s="3">
        <v>44562</v>
      </c>
      <c r="I2112" s="3">
        <v>44926</v>
      </c>
      <c r="J2112" t="s">
        <v>135</v>
      </c>
      <c r="K2112">
        <v>0</v>
      </c>
      <c r="L2112" t="s">
        <v>140</v>
      </c>
      <c r="M2112" t="s">
        <v>110</v>
      </c>
      <c r="O2112" t="s">
        <v>1017</v>
      </c>
      <c r="P2112" t="s">
        <v>550</v>
      </c>
      <c r="Q2112">
        <v>2022</v>
      </c>
      <c r="R2112" t="s">
        <v>609</v>
      </c>
      <c r="S2112" t="s">
        <v>610</v>
      </c>
      <c r="T2112" t="s">
        <v>577</v>
      </c>
      <c r="U2112" t="b">
        <v>0</v>
      </c>
      <c r="V2112" t="s">
        <v>632</v>
      </c>
      <c r="W2112" t="s">
        <v>571</v>
      </c>
      <c r="X2112" t="s">
        <v>572</v>
      </c>
      <c r="AC2112">
        <v>1</v>
      </c>
      <c r="AD2112" t="s">
        <v>565</v>
      </c>
      <c r="AE2112">
        <v>0</v>
      </c>
      <c r="AF2112">
        <v>3.1099999999999999E-2</v>
      </c>
      <c r="AG2112" t="s">
        <v>608</v>
      </c>
      <c r="AH2112">
        <v>2.9306999999999998E-4</v>
      </c>
      <c r="AI2112">
        <v>0</v>
      </c>
      <c r="AJ2112" t="s">
        <v>561</v>
      </c>
      <c r="AK2112" t="s">
        <v>589</v>
      </c>
      <c r="AL2112" t="s">
        <v>590</v>
      </c>
      <c r="AM2112">
        <v>2022</v>
      </c>
      <c r="AN2112">
        <v>2020</v>
      </c>
      <c r="AO2112">
        <f>IF(AND(emissions[[#This Row],[Market-based]]=0,emissions[[#This Row],[Impact Type]]="CO2E"),emissions[[#This Row],[kgCO2e]],0)/1000</f>
        <v>0</v>
      </c>
      <c r="AP2112">
        <f>IF(AND(emissions[[#This Row],[Market-based]]=1,OR(emissions[[#This Row],[Impact Type]]="CO2E",emissions[[#This Row],[Impact Type]]="CO2E MKT")),emissions[[#This Row],[kgCO2e]],0)/1000</f>
        <v>0</v>
      </c>
      <c r="AQ2112" t="str">
        <f>_xlfn.TEXTAFTER(emissions[[#This Row],[Reporting Unit]]," &gt; ",LEN(emissions[[#This Row],[Reporting Unit]])-LEN(SUBSTITUTE(emissions[[#This Row],[Reporting Unit]],"&gt;","")))</f>
        <v>Vantage_Buenos Aires</v>
      </c>
      <c r="AR2112" t="str">
        <f>_xlfn.XLOOKUP(emissions[[#This Row],[Reporting unit name]],hierarchy!$A:$A,hierarchy!$C:$C)</f>
        <v>Factory</v>
      </c>
    </row>
    <row r="2113" spans="1:44" hidden="1" x14ac:dyDescent="0.25">
      <c r="A2113">
        <v>237682</v>
      </c>
      <c r="B2113" t="s">
        <v>235</v>
      </c>
      <c r="C2113" t="s">
        <v>520</v>
      </c>
      <c r="D2113" t="s">
        <v>548</v>
      </c>
      <c r="E2113" s="3">
        <v>44562</v>
      </c>
      <c r="F2113" s="3">
        <v>44926</v>
      </c>
      <c r="G2113" t="s">
        <v>141</v>
      </c>
      <c r="H2113" s="3">
        <v>44562</v>
      </c>
      <c r="I2113" s="3">
        <v>44926</v>
      </c>
      <c r="J2113" t="s">
        <v>142</v>
      </c>
      <c r="K2113">
        <v>0</v>
      </c>
      <c r="L2113" t="s">
        <v>140</v>
      </c>
      <c r="M2113" t="s">
        <v>110</v>
      </c>
      <c r="O2113" t="s">
        <v>1018</v>
      </c>
      <c r="P2113" t="s">
        <v>550</v>
      </c>
      <c r="Q2113">
        <v>2022</v>
      </c>
      <c r="R2113" t="s">
        <v>612</v>
      </c>
      <c r="S2113" t="s">
        <v>613</v>
      </c>
      <c r="T2113" t="s">
        <v>553</v>
      </c>
      <c r="U2113" t="b">
        <v>0</v>
      </c>
      <c r="V2113" t="s">
        <v>614</v>
      </c>
      <c r="W2113" t="s">
        <v>587</v>
      </c>
      <c r="X2113" t="s">
        <v>556</v>
      </c>
      <c r="AC2113">
        <v>0</v>
      </c>
      <c r="AD2113" t="s">
        <v>558</v>
      </c>
      <c r="AE2113">
        <v>0</v>
      </c>
      <c r="AF2113">
        <v>2.0000000000000002E-5</v>
      </c>
      <c r="AG2113" t="s">
        <v>608</v>
      </c>
      <c r="AH2113">
        <v>2.9306999999999998E-4</v>
      </c>
      <c r="AI2113">
        <v>0</v>
      </c>
      <c r="AJ2113" t="s">
        <v>561</v>
      </c>
      <c r="AK2113" t="s">
        <v>589</v>
      </c>
      <c r="AL2113" t="s">
        <v>590</v>
      </c>
      <c r="AM2113">
        <v>2022</v>
      </c>
      <c r="AN2113">
        <v>2020</v>
      </c>
      <c r="AO2113">
        <f>IF(AND(emissions[[#This Row],[Market-based]]=0,emissions[[#This Row],[Impact Type]]="CO2E"),emissions[[#This Row],[kgCO2e]],0)/1000</f>
        <v>0</v>
      </c>
      <c r="AP2113">
        <f>IF(AND(emissions[[#This Row],[Market-based]]=1,OR(emissions[[#This Row],[Impact Type]]="CO2E",emissions[[#This Row],[Impact Type]]="CO2E MKT")),emissions[[#This Row],[kgCO2e]],0)/1000</f>
        <v>0</v>
      </c>
      <c r="AQ2113" t="str">
        <f>_xlfn.TEXTAFTER(emissions[[#This Row],[Reporting Unit]]," &gt; ",LEN(emissions[[#This Row],[Reporting Unit]])-LEN(SUBSTITUTE(emissions[[#This Row],[Reporting Unit]],"&gt;","")))</f>
        <v>Vantage_Buenos Aires</v>
      </c>
      <c r="AR2113" t="str">
        <f>_xlfn.XLOOKUP(emissions[[#This Row],[Reporting unit name]],hierarchy!$A:$A,hierarchy!$C:$C)</f>
        <v>Factory</v>
      </c>
    </row>
    <row r="2114" spans="1:44" hidden="1" x14ac:dyDescent="0.25">
      <c r="A2114">
        <v>237682</v>
      </c>
      <c r="B2114" t="s">
        <v>235</v>
      </c>
      <c r="C2114" t="s">
        <v>520</v>
      </c>
      <c r="D2114" t="s">
        <v>548</v>
      </c>
      <c r="E2114" s="3">
        <v>44562</v>
      </c>
      <c r="F2114" s="3">
        <v>44926</v>
      </c>
      <c r="G2114" t="s">
        <v>141</v>
      </c>
      <c r="H2114" s="3">
        <v>44562</v>
      </c>
      <c r="I2114" s="3">
        <v>44926</v>
      </c>
      <c r="J2114" t="s">
        <v>142</v>
      </c>
      <c r="K2114">
        <v>0</v>
      </c>
      <c r="L2114" t="s">
        <v>140</v>
      </c>
      <c r="M2114" t="s">
        <v>110</v>
      </c>
      <c r="O2114" t="s">
        <v>1018</v>
      </c>
      <c r="P2114" t="s">
        <v>550</v>
      </c>
      <c r="Q2114">
        <v>2022</v>
      </c>
      <c r="R2114" t="s">
        <v>612</v>
      </c>
      <c r="S2114" t="s">
        <v>613</v>
      </c>
      <c r="T2114" t="s">
        <v>553</v>
      </c>
      <c r="U2114" t="b">
        <v>0</v>
      </c>
      <c r="V2114" t="s">
        <v>614</v>
      </c>
      <c r="W2114" t="s">
        <v>587</v>
      </c>
      <c r="X2114" t="s">
        <v>556</v>
      </c>
      <c r="AC2114">
        <v>0</v>
      </c>
      <c r="AD2114" t="s">
        <v>564</v>
      </c>
      <c r="AE2114">
        <v>0</v>
      </c>
      <c r="AF2114">
        <v>0.24970999999999999</v>
      </c>
      <c r="AG2114" t="s">
        <v>608</v>
      </c>
      <c r="AH2114">
        <v>2.9306999999999998E-4</v>
      </c>
      <c r="AI2114">
        <v>0</v>
      </c>
      <c r="AJ2114" t="s">
        <v>561</v>
      </c>
      <c r="AK2114" t="s">
        <v>589</v>
      </c>
      <c r="AL2114" t="s">
        <v>590</v>
      </c>
      <c r="AM2114">
        <v>2022</v>
      </c>
      <c r="AN2114">
        <v>2020</v>
      </c>
      <c r="AO2114">
        <f>IF(AND(emissions[[#This Row],[Market-based]]=0,emissions[[#This Row],[Impact Type]]="CO2E"),emissions[[#This Row],[kgCO2e]],0)/1000</f>
        <v>0</v>
      </c>
      <c r="AP2114">
        <f>IF(AND(emissions[[#This Row],[Market-based]]=1,OR(emissions[[#This Row],[Impact Type]]="CO2E",emissions[[#This Row],[Impact Type]]="CO2E MKT")),emissions[[#This Row],[kgCO2e]],0)/1000</f>
        <v>0</v>
      </c>
      <c r="AQ2114" t="str">
        <f>_xlfn.TEXTAFTER(emissions[[#This Row],[Reporting Unit]]," &gt; ",LEN(emissions[[#This Row],[Reporting Unit]])-LEN(SUBSTITUTE(emissions[[#This Row],[Reporting Unit]],"&gt;","")))</f>
        <v>Vantage_Buenos Aires</v>
      </c>
      <c r="AR2114" t="str">
        <f>_xlfn.XLOOKUP(emissions[[#This Row],[Reporting unit name]],hierarchy!$A:$A,hierarchy!$C:$C)</f>
        <v>Factory</v>
      </c>
    </row>
    <row r="2115" spans="1:44" hidden="1" x14ac:dyDescent="0.25">
      <c r="A2115">
        <v>237682</v>
      </c>
      <c r="B2115" t="s">
        <v>235</v>
      </c>
      <c r="C2115" t="s">
        <v>520</v>
      </c>
      <c r="D2115" t="s">
        <v>548</v>
      </c>
      <c r="E2115" s="3">
        <v>44562</v>
      </c>
      <c r="F2115" s="3">
        <v>44926</v>
      </c>
      <c r="G2115" t="s">
        <v>141</v>
      </c>
      <c r="H2115" s="3">
        <v>44562</v>
      </c>
      <c r="I2115" s="3">
        <v>44926</v>
      </c>
      <c r="J2115" t="s">
        <v>142</v>
      </c>
      <c r="K2115">
        <v>0</v>
      </c>
      <c r="L2115" t="s">
        <v>140</v>
      </c>
      <c r="M2115" t="s">
        <v>110</v>
      </c>
      <c r="O2115" t="s">
        <v>1018</v>
      </c>
      <c r="P2115" t="s">
        <v>550</v>
      </c>
      <c r="Q2115">
        <v>2022</v>
      </c>
      <c r="R2115" t="s">
        <v>612</v>
      </c>
      <c r="S2115" t="s">
        <v>613</v>
      </c>
      <c r="T2115" t="s">
        <v>553</v>
      </c>
      <c r="U2115" t="b">
        <v>0</v>
      </c>
      <c r="V2115" t="s">
        <v>614</v>
      </c>
      <c r="W2115" t="s">
        <v>587</v>
      </c>
      <c r="X2115" t="s">
        <v>556</v>
      </c>
      <c r="AC2115">
        <v>0</v>
      </c>
      <c r="AD2115" t="s">
        <v>565</v>
      </c>
      <c r="AE2115">
        <v>0</v>
      </c>
      <c r="AF2115">
        <v>0.25320999999999999</v>
      </c>
      <c r="AG2115" t="s">
        <v>608</v>
      </c>
      <c r="AH2115">
        <v>2.9306999999999998E-4</v>
      </c>
      <c r="AI2115">
        <v>0</v>
      </c>
      <c r="AJ2115" t="s">
        <v>561</v>
      </c>
      <c r="AK2115" t="s">
        <v>589</v>
      </c>
      <c r="AL2115" t="s">
        <v>590</v>
      </c>
      <c r="AM2115">
        <v>2022</v>
      </c>
      <c r="AN2115">
        <v>2020</v>
      </c>
      <c r="AO2115">
        <f>IF(AND(emissions[[#This Row],[Market-based]]=0,emissions[[#This Row],[Impact Type]]="CO2E"),emissions[[#This Row],[kgCO2e]],0)/1000</f>
        <v>0</v>
      </c>
      <c r="AP2115">
        <f>IF(AND(emissions[[#This Row],[Market-based]]=1,OR(emissions[[#This Row],[Impact Type]]="CO2E",emissions[[#This Row],[Impact Type]]="CO2E MKT")),emissions[[#This Row],[kgCO2e]],0)/1000</f>
        <v>0</v>
      </c>
      <c r="AQ2115" t="str">
        <f>_xlfn.TEXTAFTER(emissions[[#This Row],[Reporting Unit]]," &gt; ",LEN(emissions[[#This Row],[Reporting Unit]])-LEN(SUBSTITUTE(emissions[[#This Row],[Reporting Unit]],"&gt;","")))</f>
        <v>Vantage_Buenos Aires</v>
      </c>
      <c r="AR2115" t="str">
        <f>_xlfn.XLOOKUP(emissions[[#This Row],[Reporting unit name]],hierarchy!$A:$A,hierarchy!$C:$C)</f>
        <v>Factory</v>
      </c>
    </row>
    <row r="2116" spans="1:44" hidden="1" x14ac:dyDescent="0.25">
      <c r="A2116">
        <v>237682</v>
      </c>
      <c r="B2116" t="s">
        <v>235</v>
      </c>
      <c r="C2116" t="s">
        <v>520</v>
      </c>
      <c r="D2116" t="s">
        <v>548</v>
      </c>
      <c r="E2116" s="3">
        <v>44562</v>
      </c>
      <c r="F2116" s="3">
        <v>44926</v>
      </c>
      <c r="G2116" t="s">
        <v>141</v>
      </c>
      <c r="H2116" s="3">
        <v>44562</v>
      </c>
      <c r="I2116" s="3">
        <v>44926</v>
      </c>
      <c r="J2116" t="s">
        <v>142</v>
      </c>
      <c r="K2116">
        <v>0</v>
      </c>
      <c r="L2116" t="s">
        <v>140</v>
      </c>
      <c r="M2116" t="s">
        <v>110</v>
      </c>
      <c r="O2116" t="s">
        <v>1018</v>
      </c>
      <c r="P2116" t="s">
        <v>550</v>
      </c>
      <c r="Q2116">
        <v>2022</v>
      </c>
      <c r="R2116" t="s">
        <v>612</v>
      </c>
      <c r="S2116" t="s">
        <v>613</v>
      </c>
      <c r="T2116" t="s">
        <v>553</v>
      </c>
      <c r="U2116" t="b">
        <v>0</v>
      </c>
      <c r="V2116" t="s">
        <v>614</v>
      </c>
      <c r="W2116" t="s">
        <v>587</v>
      </c>
      <c r="X2116" t="s">
        <v>556</v>
      </c>
      <c r="AC2116">
        <v>0</v>
      </c>
      <c r="AD2116" t="s">
        <v>566</v>
      </c>
      <c r="AE2116">
        <v>0</v>
      </c>
      <c r="AF2116">
        <v>3.48E-3</v>
      </c>
      <c r="AG2116" t="s">
        <v>608</v>
      </c>
      <c r="AH2116">
        <v>2.9306999999999998E-4</v>
      </c>
      <c r="AI2116">
        <v>0</v>
      </c>
      <c r="AJ2116" t="s">
        <v>561</v>
      </c>
      <c r="AK2116" t="s">
        <v>589</v>
      </c>
      <c r="AL2116" t="s">
        <v>590</v>
      </c>
      <c r="AM2116">
        <v>2022</v>
      </c>
      <c r="AN2116">
        <v>2020</v>
      </c>
      <c r="AO2116">
        <f>IF(AND(emissions[[#This Row],[Market-based]]=0,emissions[[#This Row],[Impact Type]]="CO2E"),emissions[[#This Row],[kgCO2e]],0)/1000</f>
        <v>0</v>
      </c>
      <c r="AP2116">
        <f>IF(AND(emissions[[#This Row],[Market-based]]=1,OR(emissions[[#This Row],[Impact Type]]="CO2E",emissions[[#This Row],[Impact Type]]="CO2E MKT")),emissions[[#This Row],[kgCO2e]],0)/1000</f>
        <v>0</v>
      </c>
      <c r="AQ2116" t="str">
        <f>_xlfn.TEXTAFTER(emissions[[#This Row],[Reporting Unit]]," &gt; ",LEN(emissions[[#This Row],[Reporting Unit]])-LEN(SUBSTITUTE(emissions[[#This Row],[Reporting Unit]],"&gt;","")))</f>
        <v>Vantage_Buenos Aires</v>
      </c>
      <c r="AR2116" t="str">
        <f>_xlfn.XLOOKUP(emissions[[#This Row],[Reporting unit name]],hierarchy!$A:$A,hierarchy!$C:$C)</f>
        <v>Factory</v>
      </c>
    </row>
    <row r="2117" spans="1:44" hidden="1" x14ac:dyDescent="0.25">
      <c r="A2117">
        <v>237682</v>
      </c>
      <c r="B2117" t="s">
        <v>235</v>
      </c>
      <c r="C2117" t="s">
        <v>520</v>
      </c>
      <c r="D2117" t="s">
        <v>548</v>
      </c>
      <c r="E2117" s="3">
        <v>44562</v>
      </c>
      <c r="F2117" s="3">
        <v>44926</v>
      </c>
      <c r="G2117" t="s">
        <v>141</v>
      </c>
      <c r="H2117" s="3">
        <v>44562</v>
      </c>
      <c r="I2117" s="3">
        <v>44926</v>
      </c>
      <c r="J2117" t="s">
        <v>142</v>
      </c>
      <c r="K2117">
        <v>0</v>
      </c>
      <c r="L2117" t="s">
        <v>140</v>
      </c>
      <c r="M2117" t="s">
        <v>110</v>
      </c>
      <c r="O2117" t="s">
        <v>1018</v>
      </c>
      <c r="P2117" t="s">
        <v>550</v>
      </c>
      <c r="Q2117">
        <v>2022</v>
      </c>
      <c r="R2117" t="s">
        <v>612</v>
      </c>
      <c r="S2117" t="s">
        <v>613</v>
      </c>
      <c r="T2117" t="s">
        <v>553</v>
      </c>
      <c r="U2117" t="b">
        <v>0</v>
      </c>
      <c r="V2117" t="s">
        <v>614</v>
      </c>
      <c r="W2117" t="s">
        <v>587</v>
      </c>
      <c r="X2117" t="s">
        <v>556</v>
      </c>
      <c r="AC2117">
        <v>1</v>
      </c>
      <c r="AD2117" t="s">
        <v>558</v>
      </c>
      <c r="AE2117">
        <v>0</v>
      </c>
      <c r="AF2117">
        <v>2.0000000000000002E-5</v>
      </c>
      <c r="AG2117" t="s">
        <v>608</v>
      </c>
      <c r="AH2117">
        <v>2.9306999999999998E-4</v>
      </c>
      <c r="AI2117">
        <v>0</v>
      </c>
      <c r="AJ2117" t="s">
        <v>561</v>
      </c>
      <c r="AK2117" t="s">
        <v>589</v>
      </c>
      <c r="AL2117" t="s">
        <v>590</v>
      </c>
      <c r="AM2117">
        <v>2022</v>
      </c>
      <c r="AN2117">
        <v>2020</v>
      </c>
      <c r="AO2117">
        <f>IF(AND(emissions[[#This Row],[Market-based]]=0,emissions[[#This Row],[Impact Type]]="CO2E"),emissions[[#This Row],[kgCO2e]],0)/1000</f>
        <v>0</v>
      </c>
      <c r="AP2117">
        <f>IF(AND(emissions[[#This Row],[Market-based]]=1,OR(emissions[[#This Row],[Impact Type]]="CO2E",emissions[[#This Row],[Impact Type]]="CO2E MKT")),emissions[[#This Row],[kgCO2e]],0)/1000</f>
        <v>0</v>
      </c>
      <c r="AQ2117" t="str">
        <f>_xlfn.TEXTAFTER(emissions[[#This Row],[Reporting Unit]]," &gt; ",LEN(emissions[[#This Row],[Reporting Unit]])-LEN(SUBSTITUTE(emissions[[#This Row],[Reporting Unit]],"&gt;","")))</f>
        <v>Vantage_Buenos Aires</v>
      </c>
      <c r="AR2117" t="str">
        <f>_xlfn.XLOOKUP(emissions[[#This Row],[Reporting unit name]],hierarchy!$A:$A,hierarchy!$C:$C)</f>
        <v>Factory</v>
      </c>
    </row>
    <row r="2118" spans="1:44" hidden="1" x14ac:dyDescent="0.25">
      <c r="A2118">
        <v>237682</v>
      </c>
      <c r="B2118" t="s">
        <v>235</v>
      </c>
      <c r="C2118" t="s">
        <v>520</v>
      </c>
      <c r="D2118" t="s">
        <v>548</v>
      </c>
      <c r="E2118" s="3">
        <v>44562</v>
      </c>
      <c r="F2118" s="3">
        <v>44926</v>
      </c>
      <c r="G2118" t="s">
        <v>141</v>
      </c>
      <c r="H2118" s="3">
        <v>44562</v>
      </c>
      <c r="I2118" s="3">
        <v>44926</v>
      </c>
      <c r="J2118" t="s">
        <v>142</v>
      </c>
      <c r="K2118">
        <v>0</v>
      </c>
      <c r="L2118" t="s">
        <v>140</v>
      </c>
      <c r="M2118" t="s">
        <v>110</v>
      </c>
      <c r="O2118" t="s">
        <v>1018</v>
      </c>
      <c r="P2118" t="s">
        <v>550</v>
      </c>
      <c r="Q2118">
        <v>2022</v>
      </c>
      <c r="R2118" t="s">
        <v>612</v>
      </c>
      <c r="S2118" t="s">
        <v>613</v>
      </c>
      <c r="T2118" t="s">
        <v>553</v>
      </c>
      <c r="U2118" t="b">
        <v>0</v>
      </c>
      <c r="V2118" t="s">
        <v>614</v>
      </c>
      <c r="W2118" t="s">
        <v>587</v>
      </c>
      <c r="X2118" t="s">
        <v>556</v>
      </c>
      <c r="AC2118">
        <v>1</v>
      </c>
      <c r="AD2118" t="s">
        <v>564</v>
      </c>
      <c r="AE2118">
        <v>0</v>
      </c>
      <c r="AF2118">
        <v>0.24970999999999999</v>
      </c>
      <c r="AG2118" t="s">
        <v>608</v>
      </c>
      <c r="AH2118">
        <v>2.9306999999999998E-4</v>
      </c>
      <c r="AI2118">
        <v>0</v>
      </c>
      <c r="AJ2118" t="s">
        <v>561</v>
      </c>
      <c r="AK2118" t="s">
        <v>589</v>
      </c>
      <c r="AL2118" t="s">
        <v>590</v>
      </c>
      <c r="AM2118">
        <v>2022</v>
      </c>
      <c r="AN2118">
        <v>2020</v>
      </c>
      <c r="AO2118">
        <f>IF(AND(emissions[[#This Row],[Market-based]]=0,emissions[[#This Row],[Impact Type]]="CO2E"),emissions[[#This Row],[kgCO2e]],0)/1000</f>
        <v>0</v>
      </c>
      <c r="AP2118">
        <f>IF(AND(emissions[[#This Row],[Market-based]]=1,OR(emissions[[#This Row],[Impact Type]]="CO2E",emissions[[#This Row],[Impact Type]]="CO2E MKT")),emissions[[#This Row],[kgCO2e]],0)/1000</f>
        <v>0</v>
      </c>
      <c r="AQ2118" t="str">
        <f>_xlfn.TEXTAFTER(emissions[[#This Row],[Reporting Unit]]," &gt; ",LEN(emissions[[#This Row],[Reporting Unit]])-LEN(SUBSTITUTE(emissions[[#This Row],[Reporting Unit]],"&gt;","")))</f>
        <v>Vantage_Buenos Aires</v>
      </c>
      <c r="AR2118" t="str">
        <f>_xlfn.XLOOKUP(emissions[[#This Row],[Reporting unit name]],hierarchy!$A:$A,hierarchy!$C:$C)</f>
        <v>Factory</v>
      </c>
    </row>
    <row r="2119" spans="1:44" hidden="1" x14ac:dyDescent="0.25">
      <c r="A2119">
        <v>237682</v>
      </c>
      <c r="B2119" t="s">
        <v>235</v>
      </c>
      <c r="C2119" t="s">
        <v>520</v>
      </c>
      <c r="D2119" t="s">
        <v>548</v>
      </c>
      <c r="E2119" s="3">
        <v>44562</v>
      </c>
      <c r="F2119" s="3">
        <v>44926</v>
      </c>
      <c r="G2119" t="s">
        <v>141</v>
      </c>
      <c r="H2119" s="3">
        <v>44562</v>
      </c>
      <c r="I2119" s="3">
        <v>44926</v>
      </c>
      <c r="J2119" t="s">
        <v>142</v>
      </c>
      <c r="K2119">
        <v>0</v>
      </c>
      <c r="L2119" t="s">
        <v>140</v>
      </c>
      <c r="M2119" t="s">
        <v>110</v>
      </c>
      <c r="O2119" t="s">
        <v>1018</v>
      </c>
      <c r="P2119" t="s">
        <v>550</v>
      </c>
      <c r="Q2119">
        <v>2022</v>
      </c>
      <c r="R2119" t="s">
        <v>612</v>
      </c>
      <c r="S2119" t="s">
        <v>613</v>
      </c>
      <c r="T2119" t="s">
        <v>553</v>
      </c>
      <c r="U2119" t="b">
        <v>0</v>
      </c>
      <c r="V2119" t="s">
        <v>614</v>
      </c>
      <c r="W2119" t="s">
        <v>587</v>
      </c>
      <c r="X2119" t="s">
        <v>556</v>
      </c>
      <c r="AC2119">
        <v>1</v>
      </c>
      <c r="AD2119" t="s">
        <v>565</v>
      </c>
      <c r="AE2119">
        <v>0</v>
      </c>
      <c r="AF2119">
        <v>0.25320999999999999</v>
      </c>
      <c r="AG2119" t="s">
        <v>608</v>
      </c>
      <c r="AH2119">
        <v>2.9306999999999998E-4</v>
      </c>
      <c r="AI2119">
        <v>0</v>
      </c>
      <c r="AJ2119" t="s">
        <v>561</v>
      </c>
      <c r="AK2119" t="s">
        <v>589</v>
      </c>
      <c r="AL2119" t="s">
        <v>590</v>
      </c>
      <c r="AM2119">
        <v>2022</v>
      </c>
      <c r="AN2119">
        <v>2020</v>
      </c>
      <c r="AO2119">
        <f>IF(AND(emissions[[#This Row],[Market-based]]=0,emissions[[#This Row],[Impact Type]]="CO2E"),emissions[[#This Row],[kgCO2e]],0)/1000</f>
        <v>0</v>
      </c>
      <c r="AP2119">
        <f>IF(AND(emissions[[#This Row],[Market-based]]=1,OR(emissions[[#This Row],[Impact Type]]="CO2E",emissions[[#This Row],[Impact Type]]="CO2E MKT")),emissions[[#This Row],[kgCO2e]],0)/1000</f>
        <v>0</v>
      </c>
      <c r="AQ2119" t="str">
        <f>_xlfn.TEXTAFTER(emissions[[#This Row],[Reporting Unit]]," &gt; ",LEN(emissions[[#This Row],[Reporting Unit]])-LEN(SUBSTITUTE(emissions[[#This Row],[Reporting Unit]],"&gt;","")))</f>
        <v>Vantage_Buenos Aires</v>
      </c>
      <c r="AR2119" t="str">
        <f>_xlfn.XLOOKUP(emissions[[#This Row],[Reporting unit name]],hierarchy!$A:$A,hierarchy!$C:$C)</f>
        <v>Factory</v>
      </c>
    </row>
    <row r="2120" spans="1:44" hidden="1" x14ac:dyDescent="0.25">
      <c r="A2120">
        <v>237682</v>
      </c>
      <c r="B2120" t="s">
        <v>235</v>
      </c>
      <c r="C2120" t="s">
        <v>520</v>
      </c>
      <c r="D2120" t="s">
        <v>548</v>
      </c>
      <c r="E2120" s="3">
        <v>44562</v>
      </c>
      <c r="F2120" s="3">
        <v>44926</v>
      </c>
      <c r="G2120" t="s">
        <v>141</v>
      </c>
      <c r="H2120" s="3">
        <v>44562</v>
      </c>
      <c r="I2120" s="3">
        <v>44926</v>
      </c>
      <c r="J2120" t="s">
        <v>142</v>
      </c>
      <c r="K2120">
        <v>0</v>
      </c>
      <c r="L2120" t="s">
        <v>140</v>
      </c>
      <c r="M2120" t="s">
        <v>110</v>
      </c>
      <c r="O2120" t="s">
        <v>1018</v>
      </c>
      <c r="P2120" t="s">
        <v>550</v>
      </c>
      <c r="Q2120">
        <v>2022</v>
      </c>
      <c r="R2120" t="s">
        <v>612</v>
      </c>
      <c r="S2120" t="s">
        <v>613</v>
      </c>
      <c r="T2120" t="s">
        <v>553</v>
      </c>
      <c r="U2120" t="b">
        <v>0</v>
      </c>
      <c r="V2120" t="s">
        <v>614</v>
      </c>
      <c r="W2120" t="s">
        <v>587</v>
      </c>
      <c r="X2120" t="s">
        <v>556</v>
      </c>
      <c r="AC2120">
        <v>1</v>
      </c>
      <c r="AD2120" t="s">
        <v>566</v>
      </c>
      <c r="AE2120">
        <v>0</v>
      </c>
      <c r="AF2120">
        <v>3.48E-3</v>
      </c>
      <c r="AG2120" t="s">
        <v>608</v>
      </c>
      <c r="AH2120">
        <v>2.9306999999999998E-4</v>
      </c>
      <c r="AI2120">
        <v>0</v>
      </c>
      <c r="AJ2120" t="s">
        <v>561</v>
      </c>
      <c r="AK2120" t="s">
        <v>589</v>
      </c>
      <c r="AL2120" t="s">
        <v>590</v>
      </c>
      <c r="AM2120">
        <v>2022</v>
      </c>
      <c r="AN2120">
        <v>2020</v>
      </c>
      <c r="AO2120">
        <f>IF(AND(emissions[[#This Row],[Market-based]]=0,emissions[[#This Row],[Impact Type]]="CO2E"),emissions[[#This Row],[kgCO2e]],0)/1000</f>
        <v>0</v>
      </c>
      <c r="AP2120">
        <f>IF(AND(emissions[[#This Row],[Market-based]]=1,OR(emissions[[#This Row],[Impact Type]]="CO2E",emissions[[#This Row],[Impact Type]]="CO2E MKT")),emissions[[#This Row],[kgCO2e]],0)/1000</f>
        <v>0</v>
      </c>
      <c r="AQ2120" t="str">
        <f>_xlfn.TEXTAFTER(emissions[[#This Row],[Reporting Unit]]," &gt; ",LEN(emissions[[#This Row],[Reporting Unit]])-LEN(SUBSTITUTE(emissions[[#This Row],[Reporting Unit]],"&gt;","")))</f>
        <v>Vantage_Buenos Aires</v>
      </c>
      <c r="AR2120" t="str">
        <f>_xlfn.XLOOKUP(emissions[[#This Row],[Reporting unit name]],hierarchy!$A:$A,hierarchy!$C:$C)</f>
        <v>Factory</v>
      </c>
    </row>
    <row r="2121" spans="1:44" hidden="1" x14ac:dyDescent="0.25">
      <c r="A2121">
        <v>237682</v>
      </c>
      <c r="B2121" t="s">
        <v>235</v>
      </c>
      <c r="C2121" t="s">
        <v>520</v>
      </c>
      <c r="D2121" t="s">
        <v>548</v>
      </c>
      <c r="E2121" s="3">
        <v>44562</v>
      </c>
      <c r="F2121" s="3">
        <v>44926</v>
      </c>
      <c r="G2121" t="s">
        <v>141</v>
      </c>
      <c r="H2121" s="3">
        <v>44562</v>
      </c>
      <c r="I2121" s="3">
        <v>44926</v>
      </c>
      <c r="J2121" t="s">
        <v>142</v>
      </c>
      <c r="K2121">
        <v>0</v>
      </c>
      <c r="L2121" t="s">
        <v>140</v>
      </c>
      <c r="M2121" t="s">
        <v>110</v>
      </c>
      <c r="O2121" t="s">
        <v>1018</v>
      </c>
      <c r="P2121" t="s">
        <v>550</v>
      </c>
      <c r="Q2121">
        <v>2022</v>
      </c>
      <c r="R2121" t="s">
        <v>615</v>
      </c>
      <c r="S2121" t="s">
        <v>616</v>
      </c>
      <c r="T2121" t="s">
        <v>577</v>
      </c>
      <c r="U2121" t="b">
        <v>0</v>
      </c>
      <c r="V2121" t="s">
        <v>879</v>
      </c>
      <c r="W2121" t="s">
        <v>571</v>
      </c>
      <c r="X2121" t="s">
        <v>572</v>
      </c>
      <c r="AC2121">
        <v>0</v>
      </c>
      <c r="AD2121" t="s">
        <v>565</v>
      </c>
      <c r="AE2121">
        <v>0</v>
      </c>
      <c r="AF2121">
        <v>5.8880000000000002E-2</v>
      </c>
      <c r="AG2121" t="s">
        <v>608</v>
      </c>
      <c r="AH2121">
        <v>2.9306999999999998E-4</v>
      </c>
      <c r="AI2121">
        <v>0</v>
      </c>
      <c r="AJ2121" t="s">
        <v>561</v>
      </c>
      <c r="AK2121" t="s">
        <v>589</v>
      </c>
      <c r="AL2121" t="s">
        <v>590</v>
      </c>
      <c r="AM2121">
        <v>2022</v>
      </c>
      <c r="AN2121">
        <v>2020</v>
      </c>
      <c r="AO2121">
        <f>IF(AND(emissions[[#This Row],[Market-based]]=0,emissions[[#This Row],[Impact Type]]="CO2E"),emissions[[#This Row],[kgCO2e]],0)/1000</f>
        <v>0</v>
      </c>
      <c r="AP2121">
        <f>IF(AND(emissions[[#This Row],[Market-based]]=1,OR(emissions[[#This Row],[Impact Type]]="CO2E",emissions[[#This Row],[Impact Type]]="CO2E MKT")),emissions[[#This Row],[kgCO2e]],0)/1000</f>
        <v>0</v>
      </c>
      <c r="AQ2121" t="str">
        <f>_xlfn.TEXTAFTER(emissions[[#This Row],[Reporting Unit]]," &gt; ",LEN(emissions[[#This Row],[Reporting Unit]])-LEN(SUBSTITUTE(emissions[[#This Row],[Reporting Unit]],"&gt;","")))</f>
        <v>Vantage_Buenos Aires</v>
      </c>
      <c r="AR2121" t="str">
        <f>_xlfn.XLOOKUP(emissions[[#This Row],[Reporting unit name]],hierarchy!$A:$A,hierarchy!$C:$C)</f>
        <v>Factory</v>
      </c>
    </row>
    <row r="2122" spans="1:44" hidden="1" x14ac:dyDescent="0.25">
      <c r="A2122">
        <v>237682</v>
      </c>
      <c r="B2122" t="s">
        <v>235</v>
      </c>
      <c r="C2122" t="s">
        <v>520</v>
      </c>
      <c r="D2122" t="s">
        <v>548</v>
      </c>
      <c r="E2122" s="3">
        <v>44562</v>
      </c>
      <c r="F2122" s="3">
        <v>44926</v>
      </c>
      <c r="G2122" t="s">
        <v>141</v>
      </c>
      <c r="H2122" s="3">
        <v>44562</v>
      </c>
      <c r="I2122" s="3">
        <v>44926</v>
      </c>
      <c r="J2122" t="s">
        <v>142</v>
      </c>
      <c r="K2122">
        <v>0</v>
      </c>
      <c r="L2122" t="s">
        <v>140</v>
      </c>
      <c r="M2122" t="s">
        <v>110</v>
      </c>
      <c r="O2122" t="s">
        <v>1018</v>
      </c>
      <c r="P2122" t="s">
        <v>550</v>
      </c>
      <c r="Q2122">
        <v>2022</v>
      </c>
      <c r="R2122" t="s">
        <v>615</v>
      </c>
      <c r="S2122" t="s">
        <v>616</v>
      </c>
      <c r="T2122" t="s">
        <v>577</v>
      </c>
      <c r="U2122" t="b">
        <v>0</v>
      </c>
      <c r="V2122" t="s">
        <v>879</v>
      </c>
      <c r="W2122" t="s">
        <v>571</v>
      </c>
      <c r="X2122" t="s">
        <v>572</v>
      </c>
      <c r="AC2122">
        <v>1</v>
      </c>
      <c r="AD2122" t="s">
        <v>565</v>
      </c>
      <c r="AE2122">
        <v>0</v>
      </c>
      <c r="AF2122">
        <v>5.8880000000000002E-2</v>
      </c>
      <c r="AG2122" t="s">
        <v>608</v>
      </c>
      <c r="AH2122">
        <v>2.9306999999999998E-4</v>
      </c>
      <c r="AI2122">
        <v>0</v>
      </c>
      <c r="AJ2122" t="s">
        <v>561</v>
      </c>
      <c r="AK2122" t="s">
        <v>589</v>
      </c>
      <c r="AL2122" t="s">
        <v>590</v>
      </c>
      <c r="AM2122">
        <v>2022</v>
      </c>
      <c r="AN2122">
        <v>2020</v>
      </c>
      <c r="AO2122">
        <f>IF(AND(emissions[[#This Row],[Market-based]]=0,emissions[[#This Row],[Impact Type]]="CO2E"),emissions[[#This Row],[kgCO2e]],0)/1000</f>
        <v>0</v>
      </c>
      <c r="AP2122">
        <f>IF(AND(emissions[[#This Row],[Market-based]]=1,OR(emissions[[#This Row],[Impact Type]]="CO2E",emissions[[#This Row],[Impact Type]]="CO2E MKT")),emissions[[#This Row],[kgCO2e]],0)/1000</f>
        <v>0</v>
      </c>
      <c r="AQ2122" t="str">
        <f>_xlfn.TEXTAFTER(emissions[[#This Row],[Reporting Unit]]," &gt; ",LEN(emissions[[#This Row],[Reporting Unit]])-LEN(SUBSTITUTE(emissions[[#This Row],[Reporting Unit]],"&gt;","")))</f>
        <v>Vantage_Buenos Aires</v>
      </c>
      <c r="AR2122" t="str">
        <f>_xlfn.XLOOKUP(emissions[[#This Row],[Reporting unit name]],hierarchy!$A:$A,hierarchy!$C:$C)</f>
        <v>Factory</v>
      </c>
    </row>
    <row r="2123" spans="1:44" hidden="1" x14ac:dyDescent="0.25">
      <c r="A2123">
        <v>1590457</v>
      </c>
      <c r="B2123" t="s">
        <v>235</v>
      </c>
      <c r="C2123" t="s">
        <v>520</v>
      </c>
      <c r="D2123" t="s">
        <v>548</v>
      </c>
      <c r="E2123" s="3">
        <v>44562</v>
      </c>
      <c r="F2123" s="3">
        <v>44926</v>
      </c>
      <c r="G2123" t="s">
        <v>116</v>
      </c>
      <c r="H2123" s="3">
        <v>44562</v>
      </c>
      <c r="I2123" s="3">
        <v>44926</v>
      </c>
      <c r="J2123" t="s">
        <v>117</v>
      </c>
      <c r="K2123">
        <v>5.4680612000000002</v>
      </c>
      <c r="L2123" t="s">
        <v>118</v>
      </c>
      <c r="M2123" t="s">
        <v>82</v>
      </c>
      <c r="N2123" t="s">
        <v>120</v>
      </c>
      <c r="O2123" t="s">
        <v>631</v>
      </c>
      <c r="P2123" t="s">
        <v>631</v>
      </c>
      <c r="Q2123">
        <v>2022</v>
      </c>
      <c r="R2123" t="s">
        <v>619</v>
      </c>
      <c r="S2123" t="s">
        <v>620</v>
      </c>
      <c r="T2123" t="s">
        <v>553</v>
      </c>
      <c r="U2123" t="b">
        <v>0</v>
      </c>
      <c r="V2123" t="s">
        <v>621</v>
      </c>
      <c r="W2123" t="s">
        <v>587</v>
      </c>
      <c r="X2123" t="s">
        <v>556</v>
      </c>
      <c r="AC2123">
        <v>0</v>
      </c>
      <c r="AD2123" t="s">
        <v>565</v>
      </c>
      <c r="AE2123">
        <v>7819.3275160000003</v>
      </c>
      <c r="AF2123">
        <v>1430</v>
      </c>
      <c r="AG2123" t="s">
        <v>622</v>
      </c>
      <c r="AH2123">
        <v>1</v>
      </c>
      <c r="AI2123">
        <v>5.4680612000000002</v>
      </c>
      <c r="AJ2123" t="s">
        <v>561</v>
      </c>
      <c r="AK2123" t="s">
        <v>623</v>
      </c>
      <c r="AL2123" t="s">
        <v>624</v>
      </c>
      <c r="AM2123">
        <v>2022</v>
      </c>
      <c r="AN2123">
        <v>2007</v>
      </c>
      <c r="AO2123">
        <f>IF(AND(emissions[[#This Row],[Market-based]]=0,emissions[[#This Row],[Impact Type]]="CO2E"),emissions[[#This Row],[kgCO2e]],0)/1000</f>
        <v>7.8193275160000004</v>
      </c>
      <c r="AP2123">
        <f>IF(AND(emissions[[#This Row],[Market-based]]=1,OR(emissions[[#This Row],[Impact Type]]="CO2E",emissions[[#This Row],[Impact Type]]="CO2E MKT")),emissions[[#This Row],[kgCO2e]],0)/1000</f>
        <v>0</v>
      </c>
      <c r="AQ2123" t="str">
        <f>_xlfn.TEXTAFTER(emissions[[#This Row],[Reporting Unit]]," &gt; ",LEN(emissions[[#This Row],[Reporting Unit]])-LEN(SUBSTITUTE(emissions[[#This Row],[Reporting Unit]],"&gt;","")))</f>
        <v>Vantage_Buenos Aires</v>
      </c>
      <c r="AR2123" t="str">
        <f>_xlfn.XLOOKUP(emissions[[#This Row],[Reporting unit name]],hierarchy!$A:$A,hierarchy!$C:$C)</f>
        <v>Factory</v>
      </c>
    </row>
    <row r="2124" spans="1:44" hidden="1" x14ac:dyDescent="0.25">
      <c r="A2124">
        <v>1590457</v>
      </c>
      <c r="B2124" t="s">
        <v>235</v>
      </c>
      <c r="C2124" t="s">
        <v>520</v>
      </c>
      <c r="D2124" t="s">
        <v>548</v>
      </c>
      <c r="E2124" s="3">
        <v>44562</v>
      </c>
      <c r="F2124" s="3">
        <v>44926</v>
      </c>
      <c r="G2124" t="s">
        <v>116</v>
      </c>
      <c r="H2124" s="3">
        <v>44562</v>
      </c>
      <c r="I2124" s="3">
        <v>44926</v>
      </c>
      <c r="J2124" t="s">
        <v>117</v>
      </c>
      <c r="K2124">
        <v>5.4680612000000002</v>
      </c>
      <c r="L2124" t="s">
        <v>118</v>
      </c>
      <c r="M2124" t="s">
        <v>82</v>
      </c>
      <c r="N2124" t="s">
        <v>120</v>
      </c>
      <c r="O2124" t="s">
        <v>631</v>
      </c>
      <c r="P2124" t="s">
        <v>631</v>
      </c>
      <c r="Q2124">
        <v>2022</v>
      </c>
      <c r="R2124" t="s">
        <v>619</v>
      </c>
      <c r="S2124" t="s">
        <v>620</v>
      </c>
      <c r="T2124" t="s">
        <v>553</v>
      </c>
      <c r="U2124" t="b">
        <v>0</v>
      </c>
      <c r="V2124" t="s">
        <v>621</v>
      </c>
      <c r="W2124" t="s">
        <v>587</v>
      </c>
      <c r="X2124" t="s">
        <v>556</v>
      </c>
      <c r="AC2124">
        <v>1</v>
      </c>
      <c r="AD2124" t="s">
        <v>565</v>
      </c>
      <c r="AE2124">
        <v>7819.3275160000003</v>
      </c>
      <c r="AF2124">
        <v>1430</v>
      </c>
      <c r="AG2124" t="s">
        <v>622</v>
      </c>
      <c r="AH2124">
        <v>1</v>
      </c>
      <c r="AI2124">
        <v>5.4680612000000002</v>
      </c>
      <c r="AJ2124" t="s">
        <v>561</v>
      </c>
      <c r="AK2124" t="s">
        <v>623</v>
      </c>
      <c r="AL2124" t="s">
        <v>624</v>
      </c>
      <c r="AM2124">
        <v>2022</v>
      </c>
      <c r="AN2124">
        <v>2007</v>
      </c>
      <c r="AO2124">
        <f>IF(AND(emissions[[#This Row],[Market-based]]=0,emissions[[#This Row],[Impact Type]]="CO2E"),emissions[[#This Row],[kgCO2e]],0)/1000</f>
        <v>0</v>
      </c>
      <c r="AP2124">
        <f>IF(AND(emissions[[#This Row],[Market-based]]=1,OR(emissions[[#This Row],[Impact Type]]="CO2E",emissions[[#This Row],[Impact Type]]="CO2E MKT")),emissions[[#This Row],[kgCO2e]],0)/1000</f>
        <v>7.8193275160000004</v>
      </c>
      <c r="AQ2124" t="str">
        <f>_xlfn.TEXTAFTER(emissions[[#This Row],[Reporting Unit]]," &gt; ",LEN(emissions[[#This Row],[Reporting Unit]])-LEN(SUBSTITUTE(emissions[[#This Row],[Reporting Unit]],"&gt;","")))</f>
        <v>Vantage_Buenos Aires</v>
      </c>
      <c r="AR2124" t="str">
        <f>_xlfn.XLOOKUP(emissions[[#This Row],[Reporting unit name]],hierarchy!$A:$A,hierarchy!$C:$C)</f>
        <v>Factory</v>
      </c>
    </row>
    <row r="2125" spans="1:44" hidden="1" x14ac:dyDescent="0.25">
      <c r="A2125">
        <v>4942</v>
      </c>
      <c r="B2125" t="s">
        <v>235</v>
      </c>
      <c r="C2125" t="s">
        <v>520</v>
      </c>
      <c r="D2125" t="s">
        <v>599</v>
      </c>
      <c r="E2125" s="3">
        <v>44197</v>
      </c>
      <c r="F2125" s="3">
        <v>44561</v>
      </c>
      <c r="G2125" t="s">
        <v>108</v>
      </c>
      <c r="H2125" s="3">
        <v>44197</v>
      </c>
      <c r="I2125" s="3">
        <v>44561</v>
      </c>
      <c r="J2125" t="s">
        <v>108</v>
      </c>
      <c r="K2125">
        <v>136215.23000000001</v>
      </c>
      <c r="L2125" t="s">
        <v>109</v>
      </c>
      <c r="M2125" t="s">
        <v>82</v>
      </c>
      <c r="O2125" t="s">
        <v>600</v>
      </c>
      <c r="P2125" t="s">
        <v>550</v>
      </c>
      <c r="Q2125">
        <v>2021</v>
      </c>
      <c r="R2125" t="s">
        <v>551</v>
      </c>
      <c r="S2125" t="s">
        <v>552</v>
      </c>
      <c r="T2125" t="s">
        <v>553</v>
      </c>
      <c r="U2125" t="b">
        <v>0</v>
      </c>
      <c r="V2125" t="s">
        <v>990</v>
      </c>
      <c r="W2125" t="s">
        <v>555</v>
      </c>
      <c r="X2125" t="s">
        <v>556</v>
      </c>
      <c r="Y2125" t="s">
        <v>472</v>
      </c>
      <c r="Z2125" t="s">
        <v>491</v>
      </c>
      <c r="AA2125" t="s">
        <v>991</v>
      </c>
      <c r="AC2125">
        <v>0</v>
      </c>
      <c r="AD2125" t="s">
        <v>558</v>
      </c>
      <c r="AE2125">
        <v>40.864569000000003</v>
      </c>
      <c r="AF2125" t="s">
        <v>559</v>
      </c>
      <c r="AG2125" t="s">
        <v>560</v>
      </c>
      <c r="AH2125">
        <v>1</v>
      </c>
      <c r="AI2125">
        <v>136215.23000000001</v>
      </c>
      <c r="AJ2125" t="s">
        <v>561</v>
      </c>
      <c r="AK2125" t="s">
        <v>562</v>
      </c>
      <c r="AL2125" t="s">
        <v>601</v>
      </c>
      <c r="AM2125">
        <v>2021</v>
      </c>
      <c r="AN2125">
        <v>2019</v>
      </c>
      <c r="AO2125">
        <f>IF(AND(emissions[[#This Row],[Market-based]]=0,emissions[[#This Row],[Impact Type]]="CO2E"),emissions[[#This Row],[kgCO2e]],0)/1000</f>
        <v>0</v>
      </c>
      <c r="AP2125">
        <f>IF(AND(emissions[[#This Row],[Market-based]]=1,OR(emissions[[#This Row],[Impact Type]]="CO2E",emissions[[#This Row],[Impact Type]]="CO2E MKT")),emissions[[#This Row],[kgCO2e]],0)/1000</f>
        <v>0</v>
      </c>
      <c r="AQ2125" t="str">
        <f>_xlfn.TEXTAFTER(emissions[[#This Row],[Reporting Unit]]," &gt; ",LEN(emissions[[#This Row],[Reporting Unit]])-LEN(SUBSTITUTE(emissions[[#This Row],[Reporting Unit]],"&gt;","")))</f>
        <v>Vantage_Buenos Aires</v>
      </c>
      <c r="AR2125" t="str">
        <f>_xlfn.XLOOKUP(emissions[[#This Row],[Reporting unit name]],hierarchy!$A:$A,hierarchy!$C:$C)</f>
        <v>Factory</v>
      </c>
    </row>
    <row r="2126" spans="1:44" hidden="1" x14ac:dyDescent="0.25">
      <c r="A2126">
        <v>4942</v>
      </c>
      <c r="B2126" t="s">
        <v>235</v>
      </c>
      <c r="C2126" t="s">
        <v>520</v>
      </c>
      <c r="D2126" t="s">
        <v>599</v>
      </c>
      <c r="E2126" s="3">
        <v>44197</v>
      </c>
      <c r="F2126" s="3">
        <v>44561</v>
      </c>
      <c r="G2126" t="s">
        <v>108</v>
      </c>
      <c r="H2126" s="3">
        <v>44197</v>
      </c>
      <c r="I2126" s="3">
        <v>44561</v>
      </c>
      <c r="J2126" t="s">
        <v>108</v>
      </c>
      <c r="K2126">
        <v>136215.23000000001</v>
      </c>
      <c r="L2126" t="s">
        <v>109</v>
      </c>
      <c r="M2126" t="s">
        <v>82</v>
      </c>
      <c r="O2126" t="s">
        <v>600</v>
      </c>
      <c r="P2126" t="s">
        <v>550</v>
      </c>
      <c r="Q2126">
        <v>2021</v>
      </c>
      <c r="R2126" t="s">
        <v>551</v>
      </c>
      <c r="S2126" t="s">
        <v>552</v>
      </c>
      <c r="T2126" t="s">
        <v>553</v>
      </c>
      <c r="U2126" t="b">
        <v>0</v>
      </c>
      <c r="V2126" t="s">
        <v>990</v>
      </c>
      <c r="W2126" t="s">
        <v>555</v>
      </c>
      <c r="X2126" t="s">
        <v>556</v>
      </c>
      <c r="Y2126" t="s">
        <v>472</v>
      </c>
      <c r="Z2126" t="s">
        <v>491</v>
      </c>
      <c r="AA2126" t="s">
        <v>991</v>
      </c>
      <c r="AC2126">
        <v>0</v>
      </c>
      <c r="AD2126" t="s">
        <v>564</v>
      </c>
      <c r="AE2126">
        <v>39121.014060000001</v>
      </c>
      <c r="AF2126" t="s">
        <v>559</v>
      </c>
      <c r="AG2126" t="s">
        <v>560</v>
      </c>
      <c r="AH2126">
        <v>1</v>
      </c>
      <c r="AI2126">
        <v>136215.23000000001</v>
      </c>
      <c r="AJ2126" t="s">
        <v>561</v>
      </c>
      <c r="AK2126" t="s">
        <v>562</v>
      </c>
      <c r="AL2126" t="s">
        <v>601</v>
      </c>
      <c r="AM2126">
        <v>2021</v>
      </c>
      <c r="AN2126">
        <v>2019</v>
      </c>
      <c r="AO2126">
        <f>IF(AND(emissions[[#This Row],[Market-based]]=0,emissions[[#This Row],[Impact Type]]="CO2E"),emissions[[#This Row],[kgCO2e]],0)/1000</f>
        <v>0</v>
      </c>
      <c r="AP2126">
        <f>IF(AND(emissions[[#This Row],[Market-based]]=1,OR(emissions[[#This Row],[Impact Type]]="CO2E",emissions[[#This Row],[Impact Type]]="CO2E MKT")),emissions[[#This Row],[kgCO2e]],0)/1000</f>
        <v>0</v>
      </c>
      <c r="AQ2126" t="str">
        <f>_xlfn.TEXTAFTER(emissions[[#This Row],[Reporting Unit]]," &gt; ",LEN(emissions[[#This Row],[Reporting Unit]])-LEN(SUBSTITUTE(emissions[[#This Row],[Reporting Unit]],"&gt;","")))</f>
        <v>Vantage_Buenos Aires</v>
      </c>
      <c r="AR2126" t="str">
        <f>_xlfn.XLOOKUP(emissions[[#This Row],[Reporting unit name]],hierarchy!$A:$A,hierarchy!$C:$C)</f>
        <v>Factory</v>
      </c>
    </row>
    <row r="2127" spans="1:44" hidden="1" x14ac:dyDescent="0.25">
      <c r="A2127">
        <v>4942</v>
      </c>
      <c r="B2127" t="s">
        <v>235</v>
      </c>
      <c r="C2127" t="s">
        <v>520</v>
      </c>
      <c r="D2127" t="s">
        <v>599</v>
      </c>
      <c r="E2127" s="3">
        <v>44197</v>
      </c>
      <c r="F2127" s="3">
        <v>44561</v>
      </c>
      <c r="G2127" t="s">
        <v>108</v>
      </c>
      <c r="H2127" s="3">
        <v>44197</v>
      </c>
      <c r="I2127" s="3">
        <v>44561</v>
      </c>
      <c r="J2127" t="s">
        <v>108</v>
      </c>
      <c r="K2127">
        <v>136215.23000000001</v>
      </c>
      <c r="L2127" t="s">
        <v>109</v>
      </c>
      <c r="M2127" t="s">
        <v>82</v>
      </c>
      <c r="O2127" t="s">
        <v>600</v>
      </c>
      <c r="P2127" t="s">
        <v>550</v>
      </c>
      <c r="Q2127">
        <v>2021</v>
      </c>
      <c r="R2127" t="s">
        <v>551</v>
      </c>
      <c r="S2127" t="s">
        <v>552</v>
      </c>
      <c r="T2127" t="s">
        <v>553</v>
      </c>
      <c r="U2127" t="b">
        <v>0</v>
      </c>
      <c r="V2127" t="s">
        <v>990</v>
      </c>
      <c r="W2127" t="s">
        <v>555</v>
      </c>
      <c r="X2127" t="s">
        <v>556</v>
      </c>
      <c r="Y2127" t="s">
        <v>472</v>
      </c>
      <c r="Z2127" t="s">
        <v>491</v>
      </c>
      <c r="AA2127" t="s">
        <v>991</v>
      </c>
      <c r="AC2127">
        <v>0</v>
      </c>
      <c r="AD2127" t="s">
        <v>565</v>
      </c>
      <c r="AE2127">
        <v>39229.986239999998</v>
      </c>
      <c r="AF2127" t="s">
        <v>559</v>
      </c>
      <c r="AG2127" t="s">
        <v>560</v>
      </c>
      <c r="AH2127">
        <v>1</v>
      </c>
      <c r="AI2127">
        <v>136215.23000000001</v>
      </c>
      <c r="AJ2127" t="s">
        <v>561</v>
      </c>
      <c r="AK2127" t="s">
        <v>562</v>
      </c>
      <c r="AL2127" t="s">
        <v>601</v>
      </c>
      <c r="AM2127">
        <v>2021</v>
      </c>
      <c r="AN2127">
        <v>2019</v>
      </c>
      <c r="AO2127">
        <f>IF(AND(emissions[[#This Row],[Market-based]]=0,emissions[[#This Row],[Impact Type]]="CO2E"),emissions[[#This Row],[kgCO2e]],0)/1000</f>
        <v>39.229986239999995</v>
      </c>
      <c r="AP2127">
        <f>IF(AND(emissions[[#This Row],[Market-based]]=1,OR(emissions[[#This Row],[Impact Type]]="CO2E",emissions[[#This Row],[Impact Type]]="CO2E MKT")),emissions[[#This Row],[kgCO2e]],0)/1000</f>
        <v>0</v>
      </c>
      <c r="AQ2127" t="str">
        <f>_xlfn.TEXTAFTER(emissions[[#This Row],[Reporting Unit]]," &gt; ",LEN(emissions[[#This Row],[Reporting Unit]])-LEN(SUBSTITUTE(emissions[[#This Row],[Reporting Unit]],"&gt;","")))</f>
        <v>Vantage_Buenos Aires</v>
      </c>
      <c r="AR2127" t="str">
        <f>_xlfn.XLOOKUP(emissions[[#This Row],[Reporting unit name]],hierarchy!$A:$A,hierarchy!$C:$C)</f>
        <v>Factory</v>
      </c>
    </row>
    <row r="2128" spans="1:44" hidden="1" x14ac:dyDescent="0.25">
      <c r="A2128">
        <v>4942</v>
      </c>
      <c r="B2128" t="s">
        <v>235</v>
      </c>
      <c r="C2128" t="s">
        <v>520</v>
      </c>
      <c r="D2128" t="s">
        <v>599</v>
      </c>
      <c r="E2128" s="3">
        <v>44197</v>
      </c>
      <c r="F2128" s="3">
        <v>44561</v>
      </c>
      <c r="G2128" t="s">
        <v>108</v>
      </c>
      <c r="H2128" s="3">
        <v>44197</v>
      </c>
      <c r="I2128" s="3">
        <v>44561</v>
      </c>
      <c r="J2128" t="s">
        <v>108</v>
      </c>
      <c r="K2128">
        <v>136215.23000000001</v>
      </c>
      <c r="L2128" t="s">
        <v>109</v>
      </c>
      <c r="M2128" t="s">
        <v>82</v>
      </c>
      <c r="O2128" t="s">
        <v>600</v>
      </c>
      <c r="P2128" t="s">
        <v>550</v>
      </c>
      <c r="Q2128">
        <v>2021</v>
      </c>
      <c r="R2128" t="s">
        <v>551</v>
      </c>
      <c r="S2128" t="s">
        <v>552</v>
      </c>
      <c r="T2128" t="s">
        <v>553</v>
      </c>
      <c r="U2128" t="b">
        <v>0</v>
      </c>
      <c r="V2128" t="s">
        <v>990</v>
      </c>
      <c r="W2128" t="s">
        <v>555</v>
      </c>
      <c r="X2128" t="s">
        <v>556</v>
      </c>
      <c r="Y2128" t="s">
        <v>472</v>
      </c>
      <c r="Z2128" t="s">
        <v>491</v>
      </c>
      <c r="AA2128" t="s">
        <v>991</v>
      </c>
      <c r="AC2128">
        <v>0</v>
      </c>
      <c r="AD2128" t="s">
        <v>566</v>
      </c>
      <c r="AE2128">
        <v>68.107614999999996</v>
      </c>
      <c r="AF2128" t="s">
        <v>559</v>
      </c>
      <c r="AG2128" t="s">
        <v>560</v>
      </c>
      <c r="AH2128">
        <v>1</v>
      </c>
      <c r="AI2128">
        <v>136215.23000000001</v>
      </c>
      <c r="AJ2128" t="s">
        <v>561</v>
      </c>
      <c r="AK2128" t="s">
        <v>562</v>
      </c>
      <c r="AL2128" t="s">
        <v>601</v>
      </c>
      <c r="AM2128">
        <v>2021</v>
      </c>
      <c r="AN2128">
        <v>2019</v>
      </c>
      <c r="AO2128">
        <f>IF(AND(emissions[[#This Row],[Market-based]]=0,emissions[[#This Row],[Impact Type]]="CO2E"),emissions[[#This Row],[kgCO2e]],0)/1000</f>
        <v>0</v>
      </c>
      <c r="AP2128">
        <f>IF(AND(emissions[[#This Row],[Market-based]]=1,OR(emissions[[#This Row],[Impact Type]]="CO2E",emissions[[#This Row],[Impact Type]]="CO2E MKT")),emissions[[#This Row],[kgCO2e]],0)/1000</f>
        <v>0</v>
      </c>
      <c r="AQ2128" t="str">
        <f>_xlfn.TEXTAFTER(emissions[[#This Row],[Reporting Unit]]," &gt; ",LEN(emissions[[#This Row],[Reporting Unit]])-LEN(SUBSTITUTE(emissions[[#This Row],[Reporting Unit]],"&gt;","")))</f>
        <v>Vantage_Buenos Aires</v>
      </c>
      <c r="AR2128" t="str">
        <f>_xlfn.XLOOKUP(emissions[[#This Row],[Reporting unit name]],hierarchy!$A:$A,hierarchy!$C:$C)</f>
        <v>Factory</v>
      </c>
    </row>
    <row r="2129" spans="1:44" hidden="1" x14ac:dyDescent="0.25">
      <c r="A2129">
        <v>4942</v>
      </c>
      <c r="B2129" t="s">
        <v>235</v>
      </c>
      <c r="C2129" t="s">
        <v>520</v>
      </c>
      <c r="D2129" t="s">
        <v>599</v>
      </c>
      <c r="E2129" s="3">
        <v>44197</v>
      </c>
      <c r="F2129" s="3">
        <v>44561</v>
      </c>
      <c r="G2129" t="s">
        <v>108</v>
      </c>
      <c r="H2129" s="3">
        <v>44197</v>
      </c>
      <c r="I2129" s="3">
        <v>44561</v>
      </c>
      <c r="J2129" t="s">
        <v>108</v>
      </c>
      <c r="K2129">
        <v>136215.23000000001</v>
      </c>
      <c r="L2129" t="s">
        <v>109</v>
      </c>
      <c r="M2129" t="s">
        <v>82</v>
      </c>
      <c r="O2129" t="s">
        <v>600</v>
      </c>
      <c r="P2129" t="s">
        <v>550</v>
      </c>
      <c r="Q2129">
        <v>2021</v>
      </c>
      <c r="R2129" t="s">
        <v>551</v>
      </c>
      <c r="S2129" t="s">
        <v>552</v>
      </c>
      <c r="T2129" t="s">
        <v>553</v>
      </c>
      <c r="U2129" t="b">
        <v>0</v>
      </c>
      <c r="V2129" t="s">
        <v>990</v>
      </c>
      <c r="W2129" t="s">
        <v>555</v>
      </c>
      <c r="X2129" t="s">
        <v>556</v>
      </c>
      <c r="Y2129" t="s">
        <v>472</v>
      </c>
      <c r="Z2129" t="s">
        <v>491</v>
      </c>
      <c r="AA2129" t="s">
        <v>991</v>
      </c>
      <c r="AC2129">
        <v>1</v>
      </c>
      <c r="AD2129" t="s">
        <v>558</v>
      </c>
      <c r="AE2129">
        <v>40.864569000000003</v>
      </c>
      <c r="AF2129" t="s">
        <v>559</v>
      </c>
      <c r="AG2129" t="s">
        <v>560</v>
      </c>
      <c r="AH2129">
        <v>1</v>
      </c>
      <c r="AI2129">
        <v>136215.23000000001</v>
      </c>
      <c r="AJ2129" t="s">
        <v>561</v>
      </c>
      <c r="AK2129" t="s">
        <v>562</v>
      </c>
      <c r="AL2129" t="s">
        <v>601</v>
      </c>
      <c r="AM2129">
        <v>2021</v>
      </c>
      <c r="AN2129">
        <v>2019</v>
      </c>
      <c r="AO2129">
        <f>IF(AND(emissions[[#This Row],[Market-based]]=0,emissions[[#This Row],[Impact Type]]="CO2E"),emissions[[#This Row],[kgCO2e]],0)/1000</f>
        <v>0</v>
      </c>
      <c r="AP2129">
        <f>IF(AND(emissions[[#This Row],[Market-based]]=1,OR(emissions[[#This Row],[Impact Type]]="CO2E",emissions[[#This Row],[Impact Type]]="CO2E MKT")),emissions[[#This Row],[kgCO2e]],0)/1000</f>
        <v>0</v>
      </c>
      <c r="AQ2129" t="str">
        <f>_xlfn.TEXTAFTER(emissions[[#This Row],[Reporting Unit]]," &gt; ",LEN(emissions[[#This Row],[Reporting Unit]])-LEN(SUBSTITUTE(emissions[[#This Row],[Reporting Unit]],"&gt;","")))</f>
        <v>Vantage_Buenos Aires</v>
      </c>
      <c r="AR2129" t="str">
        <f>_xlfn.XLOOKUP(emissions[[#This Row],[Reporting unit name]],hierarchy!$A:$A,hierarchy!$C:$C)</f>
        <v>Factory</v>
      </c>
    </row>
    <row r="2130" spans="1:44" hidden="1" x14ac:dyDescent="0.25">
      <c r="A2130">
        <v>4942</v>
      </c>
      <c r="B2130" t="s">
        <v>235</v>
      </c>
      <c r="C2130" t="s">
        <v>520</v>
      </c>
      <c r="D2130" t="s">
        <v>599</v>
      </c>
      <c r="E2130" s="3">
        <v>44197</v>
      </c>
      <c r="F2130" s="3">
        <v>44561</v>
      </c>
      <c r="G2130" t="s">
        <v>108</v>
      </c>
      <c r="H2130" s="3">
        <v>44197</v>
      </c>
      <c r="I2130" s="3">
        <v>44561</v>
      </c>
      <c r="J2130" t="s">
        <v>108</v>
      </c>
      <c r="K2130">
        <v>136215.23000000001</v>
      </c>
      <c r="L2130" t="s">
        <v>109</v>
      </c>
      <c r="M2130" t="s">
        <v>82</v>
      </c>
      <c r="O2130" t="s">
        <v>600</v>
      </c>
      <c r="P2130" t="s">
        <v>550</v>
      </c>
      <c r="Q2130">
        <v>2021</v>
      </c>
      <c r="R2130" t="s">
        <v>551</v>
      </c>
      <c r="S2130" t="s">
        <v>552</v>
      </c>
      <c r="T2130" t="s">
        <v>553</v>
      </c>
      <c r="U2130" t="b">
        <v>0</v>
      </c>
      <c r="V2130" t="s">
        <v>990</v>
      </c>
      <c r="W2130" t="s">
        <v>555</v>
      </c>
      <c r="X2130" t="s">
        <v>556</v>
      </c>
      <c r="Y2130" t="s">
        <v>472</v>
      </c>
      <c r="Z2130" t="s">
        <v>491</v>
      </c>
      <c r="AA2130" t="s">
        <v>991</v>
      </c>
      <c r="AC2130">
        <v>1</v>
      </c>
      <c r="AD2130" t="s">
        <v>564</v>
      </c>
      <c r="AE2130">
        <v>39121.014060000001</v>
      </c>
      <c r="AF2130" t="s">
        <v>559</v>
      </c>
      <c r="AG2130" t="s">
        <v>560</v>
      </c>
      <c r="AH2130">
        <v>1</v>
      </c>
      <c r="AI2130">
        <v>136215.23000000001</v>
      </c>
      <c r="AJ2130" t="s">
        <v>561</v>
      </c>
      <c r="AK2130" t="s">
        <v>562</v>
      </c>
      <c r="AL2130" t="s">
        <v>601</v>
      </c>
      <c r="AM2130">
        <v>2021</v>
      </c>
      <c r="AN2130">
        <v>2019</v>
      </c>
      <c r="AO2130">
        <f>IF(AND(emissions[[#This Row],[Market-based]]=0,emissions[[#This Row],[Impact Type]]="CO2E"),emissions[[#This Row],[kgCO2e]],0)/1000</f>
        <v>0</v>
      </c>
      <c r="AP2130">
        <f>IF(AND(emissions[[#This Row],[Market-based]]=1,OR(emissions[[#This Row],[Impact Type]]="CO2E",emissions[[#This Row],[Impact Type]]="CO2E MKT")),emissions[[#This Row],[kgCO2e]],0)/1000</f>
        <v>0</v>
      </c>
      <c r="AQ2130" t="str">
        <f>_xlfn.TEXTAFTER(emissions[[#This Row],[Reporting Unit]]," &gt; ",LEN(emissions[[#This Row],[Reporting Unit]])-LEN(SUBSTITUTE(emissions[[#This Row],[Reporting Unit]],"&gt;","")))</f>
        <v>Vantage_Buenos Aires</v>
      </c>
      <c r="AR2130" t="str">
        <f>_xlfn.XLOOKUP(emissions[[#This Row],[Reporting unit name]],hierarchy!$A:$A,hierarchy!$C:$C)</f>
        <v>Factory</v>
      </c>
    </row>
    <row r="2131" spans="1:44" hidden="1" x14ac:dyDescent="0.25">
      <c r="A2131">
        <v>4942</v>
      </c>
      <c r="B2131" t="s">
        <v>235</v>
      </c>
      <c r="C2131" t="s">
        <v>520</v>
      </c>
      <c r="D2131" t="s">
        <v>599</v>
      </c>
      <c r="E2131" s="3">
        <v>44197</v>
      </c>
      <c r="F2131" s="3">
        <v>44561</v>
      </c>
      <c r="G2131" t="s">
        <v>108</v>
      </c>
      <c r="H2131" s="3">
        <v>44197</v>
      </c>
      <c r="I2131" s="3">
        <v>44561</v>
      </c>
      <c r="J2131" t="s">
        <v>108</v>
      </c>
      <c r="K2131">
        <v>136215.23000000001</v>
      </c>
      <c r="L2131" t="s">
        <v>109</v>
      </c>
      <c r="M2131" t="s">
        <v>82</v>
      </c>
      <c r="O2131" t="s">
        <v>600</v>
      </c>
      <c r="P2131" t="s">
        <v>550</v>
      </c>
      <c r="Q2131">
        <v>2021</v>
      </c>
      <c r="R2131" t="s">
        <v>551</v>
      </c>
      <c r="S2131" t="s">
        <v>552</v>
      </c>
      <c r="T2131" t="s">
        <v>553</v>
      </c>
      <c r="U2131" t="b">
        <v>0</v>
      </c>
      <c r="V2131" t="s">
        <v>990</v>
      </c>
      <c r="W2131" t="s">
        <v>555</v>
      </c>
      <c r="X2131" t="s">
        <v>556</v>
      </c>
      <c r="Y2131" t="s">
        <v>472</v>
      </c>
      <c r="Z2131" t="s">
        <v>491</v>
      </c>
      <c r="AA2131" t="s">
        <v>991</v>
      </c>
      <c r="AC2131">
        <v>1</v>
      </c>
      <c r="AD2131" t="s">
        <v>565</v>
      </c>
      <c r="AE2131">
        <v>39229.986239999998</v>
      </c>
      <c r="AF2131" t="s">
        <v>559</v>
      </c>
      <c r="AG2131" t="s">
        <v>560</v>
      </c>
      <c r="AH2131">
        <v>1</v>
      </c>
      <c r="AI2131">
        <v>136215.23000000001</v>
      </c>
      <c r="AJ2131" t="s">
        <v>561</v>
      </c>
      <c r="AK2131" t="s">
        <v>562</v>
      </c>
      <c r="AL2131" t="s">
        <v>601</v>
      </c>
      <c r="AM2131">
        <v>2021</v>
      </c>
      <c r="AN2131">
        <v>2019</v>
      </c>
      <c r="AO2131">
        <f>IF(AND(emissions[[#This Row],[Market-based]]=0,emissions[[#This Row],[Impact Type]]="CO2E"),emissions[[#This Row],[kgCO2e]],0)/1000</f>
        <v>0</v>
      </c>
      <c r="AP2131">
        <f>IF(AND(emissions[[#This Row],[Market-based]]=1,OR(emissions[[#This Row],[Impact Type]]="CO2E",emissions[[#This Row],[Impact Type]]="CO2E MKT")),emissions[[#This Row],[kgCO2e]],0)/1000</f>
        <v>39.229986239999995</v>
      </c>
      <c r="AQ2131" t="str">
        <f>_xlfn.TEXTAFTER(emissions[[#This Row],[Reporting Unit]]," &gt; ",LEN(emissions[[#This Row],[Reporting Unit]])-LEN(SUBSTITUTE(emissions[[#This Row],[Reporting Unit]],"&gt;","")))</f>
        <v>Vantage_Buenos Aires</v>
      </c>
      <c r="AR2131" t="str">
        <f>_xlfn.XLOOKUP(emissions[[#This Row],[Reporting unit name]],hierarchy!$A:$A,hierarchy!$C:$C)</f>
        <v>Factory</v>
      </c>
    </row>
    <row r="2132" spans="1:44" hidden="1" x14ac:dyDescent="0.25">
      <c r="A2132">
        <v>4942</v>
      </c>
      <c r="B2132" t="s">
        <v>235</v>
      </c>
      <c r="C2132" t="s">
        <v>520</v>
      </c>
      <c r="D2132" t="s">
        <v>599</v>
      </c>
      <c r="E2132" s="3">
        <v>44197</v>
      </c>
      <c r="F2132" s="3">
        <v>44561</v>
      </c>
      <c r="G2132" t="s">
        <v>108</v>
      </c>
      <c r="H2132" s="3">
        <v>44197</v>
      </c>
      <c r="I2132" s="3">
        <v>44561</v>
      </c>
      <c r="J2132" t="s">
        <v>108</v>
      </c>
      <c r="K2132">
        <v>136215.23000000001</v>
      </c>
      <c r="L2132" t="s">
        <v>109</v>
      </c>
      <c r="M2132" t="s">
        <v>82</v>
      </c>
      <c r="O2132" t="s">
        <v>600</v>
      </c>
      <c r="P2132" t="s">
        <v>550</v>
      </c>
      <c r="Q2132">
        <v>2021</v>
      </c>
      <c r="R2132" t="s">
        <v>551</v>
      </c>
      <c r="S2132" t="s">
        <v>552</v>
      </c>
      <c r="T2132" t="s">
        <v>553</v>
      </c>
      <c r="U2132" t="b">
        <v>0</v>
      </c>
      <c r="V2132" t="s">
        <v>990</v>
      </c>
      <c r="W2132" t="s">
        <v>555</v>
      </c>
      <c r="X2132" t="s">
        <v>556</v>
      </c>
      <c r="Y2132" t="s">
        <v>472</v>
      </c>
      <c r="Z2132" t="s">
        <v>491</v>
      </c>
      <c r="AA2132" t="s">
        <v>991</v>
      </c>
      <c r="AC2132">
        <v>1</v>
      </c>
      <c r="AD2132" t="s">
        <v>566</v>
      </c>
      <c r="AE2132">
        <v>68.107614999999996</v>
      </c>
      <c r="AF2132" t="s">
        <v>559</v>
      </c>
      <c r="AG2132" t="s">
        <v>560</v>
      </c>
      <c r="AH2132">
        <v>1</v>
      </c>
      <c r="AI2132">
        <v>136215.23000000001</v>
      </c>
      <c r="AJ2132" t="s">
        <v>561</v>
      </c>
      <c r="AK2132" t="s">
        <v>562</v>
      </c>
      <c r="AL2132" t="s">
        <v>601</v>
      </c>
      <c r="AM2132">
        <v>2021</v>
      </c>
      <c r="AN2132">
        <v>2019</v>
      </c>
      <c r="AO2132">
        <f>IF(AND(emissions[[#This Row],[Market-based]]=0,emissions[[#This Row],[Impact Type]]="CO2E"),emissions[[#This Row],[kgCO2e]],0)/1000</f>
        <v>0</v>
      </c>
      <c r="AP2132">
        <f>IF(AND(emissions[[#This Row],[Market-based]]=1,OR(emissions[[#This Row],[Impact Type]]="CO2E",emissions[[#This Row],[Impact Type]]="CO2E MKT")),emissions[[#This Row],[kgCO2e]],0)/1000</f>
        <v>0</v>
      </c>
      <c r="AQ2132" t="str">
        <f>_xlfn.TEXTAFTER(emissions[[#This Row],[Reporting Unit]]," &gt; ",LEN(emissions[[#This Row],[Reporting Unit]])-LEN(SUBSTITUTE(emissions[[#This Row],[Reporting Unit]],"&gt;","")))</f>
        <v>Vantage_Buenos Aires</v>
      </c>
      <c r="AR2132" t="str">
        <f>_xlfn.XLOOKUP(emissions[[#This Row],[Reporting unit name]],hierarchy!$A:$A,hierarchy!$C:$C)</f>
        <v>Factory</v>
      </c>
    </row>
    <row r="2133" spans="1:44" hidden="1" x14ac:dyDescent="0.25">
      <c r="A2133">
        <v>4942</v>
      </c>
      <c r="B2133" t="s">
        <v>235</v>
      </c>
      <c r="C2133" t="s">
        <v>520</v>
      </c>
      <c r="D2133" t="s">
        <v>599</v>
      </c>
      <c r="E2133" s="3">
        <v>44197</v>
      </c>
      <c r="F2133" s="3">
        <v>44561</v>
      </c>
      <c r="G2133" t="s">
        <v>108</v>
      </c>
      <c r="H2133" s="3">
        <v>44197</v>
      </c>
      <c r="I2133" s="3">
        <v>44561</v>
      </c>
      <c r="J2133" t="s">
        <v>108</v>
      </c>
      <c r="K2133">
        <v>136215.23000000001</v>
      </c>
      <c r="L2133" t="s">
        <v>109</v>
      </c>
      <c r="M2133" t="s">
        <v>82</v>
      </c>
      <c r="O2133" t="s">
        <v>600</v>
      </c>
      <c r="P2133" t="s">
        <v>550</v>
      </c>
      <c r="Q2133">
        <v>2021</v>
      </c>
      <c r="R2133" t="s">
        <v>567</v>
      </c>
      <c r="S2133" t="s">
        <v>568</v>
      </c>
      <c r="T2133" t="s">
        <v>569</v>
      </c>
      <c r="U2133" t="b">
        <v>0</v>
      </c>
      <c r="V2133" t="s">
        <v>1003</v>
      </c>
      <c r="W2133" t="s">
        <v>571</v>
      </c>
      <c r="X2133" t="s">
        <v>572</v>
      </c>
      <c r="Y2133" t="s">
        <v>472</v>
      </c>
      <c r="Z2133" t="s">
        <v>491</v>
      </c>
      <c r="AA2133" t="s">
        <v>991</v>
      </c>
      <c r="AC2133">
        <v>0</v>
      </c>
      <c r="AD2133" t="s">
        <v>558</v>
      </c>
      <c r="AE2133">
        <v>1.03391441</v>
      </c>
      <c r="AF2133" s="13">
        <v>7.5903E-6</v>
      </c>
      <c r="AG2133" t="s">
        <v>560</v>
      </c>
      <c r="AH2133">
        <v>1</v>
      </c>
      <c r="AI2133">
        <v>136215.23000000001</v>
      </c>
      <c r="AJ2133" t="s">
        <v>561</v>
      </c>
      <c r="AK2133" t="s">
        <v>573</v>
      </c>
      <c r="AL2133" t="s">
        <v>1004</v>
      </c>
      <c r="AM2133">
        <v>2021</v>
      </c>
      <c r="AN2133">
        <v>2019</v>
      </c>
      <c r="AO2133">
        <f>IF(AND(emissions[[#This Row],[Market-based]]=0,emissions[[#This Row],[Impact Type]]="CO2E"),emissions[[#This Row],[kgCO2e]],0)/1000</f>
        <v>0</v>
      </c>
      <c r="AP2133">
        <f>IF(AND(emissions[[#This Row],[Market-based]]=1,OR(emissions[[#This Row],[Impact Type]]="CO2E",emissions[[#This Row],[Impact Type]]="CO2E MKT")),emissions[[#This Row],[kgCO2e]],0)/1000</f>
        <v>0</v>
      </c>
      <c r="AQ2133" t="str">
        <f>_xlfn.TEXTAFTER(emissions[[#This Row],[Reporting Unit]]," &gt; ",LEN(emissions[[#This Row],[Reporting Unit]])-LEN(SUBSTITUTE(emissions[[#This Row],[Reporting Unit]],"&gt;","")))</f>
        <v>Vantage_Buenos Aires</v>
      </c>
      <c r="AR2133" t="str">
        <f>_xlfn.XLOOKUP(emissions[[#This Row],[Reporting unit name]],hierarchy!$A:$A,hierarchy!$C:$C)</f>
        <v>Factory</v>
      </c>
    </row>
    <row r="2134" spans="1:44" hidden="1" x14ac:dyDescent="0.25">
      <c r="A2134">
        <v>4942</v>
      </c>
      <c r="B2134" t="s">
        <v>235</v>
      </c>
      <c r="C2134" t="s">
        <v>520</v>
      </c>
      <c r="D2134" t="s">
        <v>599</v>
      </c>
      <c r="E2134" s="3">
        <v>44197</v>
      </c>
      <c r="F2134" s="3">
        <v>44561</v>
      </c>
      <c r="G2134" t="s">
        <v>108</v>
      </c>
      <c r="H2134" s="3">
        <v>44197</v>
      </c>
      <c r="I2134" s="3">
        <v>44561</v>
      </c>
      <c r="J2134" t="s">
        <v>108</v>
      </c>
      <c r="K2134">
        <v>136215.23000000001</v>
      </c>
      <c r="L2134" t="s">
        <v>109</v>
      </c>
      <c r="M2134" t="s">
        <v>82</v>
      </c>
      <c r="O2134" t="s">
        <v>600</v>
      </c>
      <c r="P2134" t="s">
        <v>550</v>
      </c>
      <c r="Q2134">
        <v>2021</v>
      </c>
      <c r="R2134" t="s">
        <v>567</v>
      </c>
      <c r="S2134" t="s">
        <v>568</v>
      </c>
      <c r="T2134" t="s">
        <v>569</v>
      </c>
      <c r="U2134" t="b">
        <v>0</v>
      </c>
      <c r="V2134" t="s">
        <v>1003</v>
      </c>
      <c r="W2134" t="s">
        <v>571</v>
      </c>
      <c r="X2134" t="s">
        <v>572</v>
      </c>
      <c r="Y2134" t="s">
        <v>472</v>
      </c>
      <c r="Z2134" t="s">
        <v>491</v>
      </c>
      <c r="AA2134" t="s">
        <v>991</v>
      </c>
      <c r="AC2134">
        <v>0</v>
      </c>
      <c r="AD2134" t="s">
        <v>564</v>
      </c>
      <c r="AE2134">
        <v>989.80072900000005</v>
      </c>
      <c r="AF2134">
        <v>7.2664469999999997E-3</v>
      </c>
      <c r="AG2134" t="s">
        <v>560</v>
      </c>
      <c r="AH2134">
        <v>1</v>
      </c>
      <c r="AI2134">
        <v>136215.23000000001</v>
      </c>
      <c r="AJ2134" t="s">
        <v>561</v>
      </c>
      <c r="AK2134" t="s">
        <v>573</v>
      </c>
      <c r="AL2134" t="s">
        <v>1004</v>
      </c>
      <c r="AM2134">
        <v>2021</v>
      </c>
      <c r="AN2134">
        <v>2019</v>
      </c>
      <c r="AO2134">
        <f>IF(AND(emissions[[#This Row],[Market-based]]=0,emissions[[#This Row],[Impact Type]]="CO2E"),emissions[[#This Row],[kgCO2e]],0)/1000</f>
        <v>0</v>
      </c>
      <c r="AP2134">
        <f>IF(AND(emissions[[#This Row],[Market-based]]=1,OR(emissions[[#This Row],[Impact Type]]="CO2E",emissions[[#This Row],[Impact Type]]="CO2E MKT")),emissions[[#This Row],[kgCO2e]],0)/1000</f>
        <v>0</v>
      </c>
      <c r="AQ2134" t="str">
        <f>_xlfn.TEXTAFTER(emissions[[#This Row],[Reporting Unit]]," &gt; ",LEN(emissions[[#This Row],[Reporting Unit]])-LEN(SUBSTITUTE(emissions[[#This Row],[Reporting Unit]],"&gt;","")))</f>
        <v>Vantage_Buenos Aires</v>
      </c>
      <c r="AR2134" t="str">
        <f>_xlfn.XLOOKUP(emissions[[#This Row],[Reporting unit name]],hierarchy!$A:$A,hierarchy!$C:$C)</f>
        <v>Factory</v>
      </c>
    </row>
    <row r="2135" spans="1:44" hidden="1" x14ac:dyDescent="0.25">
      <c r="A2135">
        <v>4942</v>
      </c>
      <c r="B2135" t="s">
        <v>235</v>
      </c>
      <c r="C2135" t="s">
        <v>520</v>
      </c>
      <c r="D2135" t="s">
        <v>599</v>
      </c>
      <c r="E2135" s="3">
        <v>44197</v>
      </c>
      <c r="F2135" s="3">
        <v>44561</v>
      </c>
      <c r="G2135" t="s">
        <v>108</v>
      </c>
      <c r="H2135" s="3">
        <v>44197</v>
      </c>
      <c r="I2135" s="3">
        <v>44561</v>
      </c>
      <c r="J2135" t="s">
        <v>108</v>
      </c>
      <c r="K2135">
        <v>136215.23000000001</v>
      </c>
      <c r="L2135" t="s">
        <v>109</v>
      </c>
      <c r="M2135" t="s">
        <v>82</v>
      </c>
      <c r="O2135" t="s">
        <v>600</v>
      </c>
      <c r="P2135" t="s">
        <v>550</v>
      </c>
      <c r="Q2135">
        <v>2021</v>
      </c>
      <c r="R2135" t="s">
        <v>567</v>
      </c>
      <c r="S2135" t="s">
        <v>568</v>
      </c>
      <c r="T2135" t="s">
        <v>569</v>
      </c>
      <c r="U2135" t="b">
        <v>0</v>
      </c>
      <c r="V2135" t="s">
        <v>1003</v>
      </c>
      <c r="W2135" t="s">
        <v>571</v>
      </c>
      <c r="X2135" t="s">
        <v>572</v>
      </c>
      <c r="Y2135" t="s">
        <v>472</v>
      </c>
      <c r="Z2135" t="s">
        <v>491</v>
      </c>
      <c r="AA2135" t="s">
        <v>991</v>
      </c>
      <c r="AC2135">
        <v>0</v>
      </c>
      <c r="AD2135" t="s">
        <v>565</v>
      </c>
      <c r="AE2135">
        <v>992.55783410000004</v>
      </c>
      <c r="AF2135">
        <v>7.2866880000000004E-3</v>
      </c>
      <c r="AG2135" t="s">
        <v>560</v>
      </c>
      <c r="AH2135">
        <v>1</v>
      </c>
      <c r="AI2135">
        <v>136215.23000000001</v>
      </c>
      <c r="AJ2135" t="s">
        <v>561</v>
      </c>
      <c r="AK2135" t="s">
        <v>573</v>
      </c>
      <c r="AL2135" t="s">
        <v>1004</v>
      </c>
      <c r="AM2135">
        <v>2021</v>
      </c>
      <c r="AN2135">
        <v>2019</v>
      </c>
      <c r="AO2135">
        <f>IF(AND(emissions[[#This Row],[Market-based]]=0,emissions[[#This Row],[Impact Type]]="CO2E"),emissions[[#This Row],[kgCO2e]],0)/1000</f>
        <v>0.99255783410000009</v>
      </c>
      <c r="AP2135">
        <f>IF(AND(emissions[[#This Row],[Market-based]]=1,OR(emissions[[#This Row],[Impact Type]]="CO2E",emissions[[#This Row],[Impact Type]]="CO2E MKT")),emissions[[#This Row],[kgCO2e]],0)/1000</f>
        <v>0</v>
      </c>
      <c r="AQ2135" t="str">
        <f>_xlfn.TEXTAFTER(emissions[[#This Row],[Reporting Unit]]," &gt; ",LEN(emissions[[#This Row],[Reporting Unit]])-LEN(SUBSTITUTE(emissions[[#This Row],[Reporting Unit]],"&gt;","")))</f>
        <v>Vantage_Buenos Aires</v>
      </c>
      <c r="AR2135" t="str">
        <f>_xlfn.XLOOKUP(emissions[[#This Row],[Reporting unit name]],hierarchy!$A:$A,hierarchy!$C:$C)</f>
        <v>Factory</v>
      </c>
    </row>
    <row r="2136" spans="1:44" hidden="1" x14ac:dyDescent="0.25">
      <c r="A2136">
        <v>4942</v>
      </c>
      <c r="B2136" t="s">
        <v>235</v>
      </c>
      <c r="C2136" t="s">
        <v>520</v>
      </c>
      <c r="D2136" t="s">
        <v>599</v>
      </c>
      <c r="E2136" s="3">
        <v>44197</v>
      </c>
      <c r="F2136" s="3">
        <v>44561</v>
      </c>
      <c r="G2136" t="s">
        <v>108</v>
      </c>
      <c r="H2136" s="3">
        <v>44197</v>
      </c>
      <c r="I2136" s="3">
        <v>44561</v>
      </c>
      <c r="J2136" t="s">
        <v>108</v>
      </c>
      <c r="K2136">
        <v>136215.23000000001</v>
      </c>
      <c r="L2136" t="s">
        <v>109</v>
      </c>
      <c r="M2136" t="s">
        <v>82</v>
      </c>
      <c r="O2136" t="s">
        <v>600</v>
      </c>
      <c r="P2136" t="s">
        <v>550</v>
      </c>
      <c r="Q2136">
        <v>2021</v>
      </c>
      <c r="R2136" t="s">
        <v>567</v>
      </c>
      <c r="S2136" t="s">
        <v>568</v>
      </c>
      <c r="T2136" t="s">
        <v>569</v>
      </c>
      <c r="U2136" t="b">
        <v>0</v>
      </c>
      <c r="V2136" t="s">
        <v>1003</v>
      </c>
      <c r="W2136" t="s">
        <v>571</v>
      </c>
      <c r="X2136" t="s">
        <v>572</v>
      </c>
      <c r="Y2136" t="s">
        <v>472</v>
      </c>
      <c r="Z2136" t="s">
        <v>491</v>
      </c>
      <c r="AA2136" t="s">
        <v>991</v>
      </c>
      <c r="AC2136">
        <v>0</v>
      </c>
      <c r="AD2136" t="s">
        <v>566</v>
      </c>
      <c r="AE2136">
        <v>1.723190684</v>
      </c>
      <c r="AF2136" s="13">
        <v>1.26505E-5</v>
      </c>
      <c r="AG2136" t="s">
        <v>560</v>
      </c>
      <c r="AH2136">
        <v>1</v>
      </c>
      <c r="AI2136">
        <v>136215.23000000001</v>
      </c>
      <c r="AJ2136" t="s">
        <v>561</v>
      </c>
      <c r="AK2136" t="s">
        <v>573</v>
      </c>
      <c r="AL2136" t="s">
        <v>1004</v>
      </c>
      <c r="AM2136">
        <v>2021</v>
      </c>
      <c r="AN2136">
        <v>2019</v>
      </c>
      <c r="AO2136">
        <f>IF(AND(emissions[[#This Row],[Market-based]]=0,emissions[[#This Row],[Impact Type]]="CO2E"),emissions[[#This Row],[kgCO2e]],0)/1000</f>
        <v>0</v>
      </c>
      <c r="AP2136">
        <f>IF(AND(emissions[[#This Row],[Market-based]]=1,OR(emissions[[#This Row],[Impact Type]]="CO2E",emissions[[#This Row],[Impact Type]]="CO2E MKT")),emissions[[#This Row],[kgCO2e]],0)/1000</f>
        <v>0</v>
      </c>
      <c r="AQ2136" t="str">
        <f>_xlfn.TEXTAFTER(emissions[[#This Row],[Reporting Unit]]," &gt; ",LEN(emissions[[#This Row],[Reporting Unit]])-LEN(SUBSTITUTE(emissions[[#This Row],[Reporting Unit]],"&gt;","")))</f>
        <v>Vantage_Buenos Aires</v>
      </c>
      <c r="AR2136" t="str">
        <f>_xlfn.XLOOKUP(emissions[[#This Row],[Reporting unit name]],hierarchy!$A:$A,hierarchy!$C:$C)</f>
        <v>Factory</v>
      </c>
    </row>
    <row r="2137" spans="1:44" hidden="1" x14ac:dyDescent="0.25">
      <c r="A2137">
        <v>4942</v>
      </c>
      <c r="B2137" t="s">
        <v>235</v>
      </c>
      <c r="C2137" t="s">
        <v>520</v>
      </c>
      <c r="D2137" t="s">
        <v>599</v>
      </c>
      <c r="E2137" s="3">
        <v>44197</v>
      </c>
      <c r="F2137" s="3">
        <v>44561</v>
      </c>
      <c r="G2137" t="s">
        <v>108</v>
      </c>
      <c r="H2137" s="3">
        <v>44197</v>
      </c>
      <c r="I2137" s="3">
        <v>44561</v>
      </c>
      <c r="J2137" t="s">
        <v>108</v>
      </c>
      <c r="K2137">
        <v>136215.23000000001</v>
      </c>
      <c r="L2137" t="s">
        <v>109</v>
      </c>
      <c r="M2137" t="s">
        <v>82</v>
      </c>
      <c r="O2137" t="s">
        <v>600</v>
      </c>
      <c r="P2137" t="s">
        <v>550</v>
      </c>
      <c r="Q2137">
        <v>2021</v>
      </c>
      <c r="R2137" t="s">
        <v>567</v>
      </c>
      <c r="S2137" t="s">
        <v>568</v>
      </c>
      <c r="T2137" t="s">
        <v>569</v>
      </c>
      <c r="U2137" t="b">
        <v>0</v>
      </c>
      <c r="V2137" t="s">
        <v>1003</v>
      </c>
      <c r="W2137" t="s">
        <v>571</v>
      </c>
      <c r="X2137" t="s">
        <v>572</v>
      </c>
      <c r="Y2137" t="s">
        <v>472</v>
      </c>
      <c r="Z2137" t="s">
        <v>491</v>
      </c>
      <c r="AA2137" t="s">
        <v>991</v>
      </c>
      <c r="AC2137">
        <v>1</v>
      </c>
      <c r="AD2137" t="s">
        <v>558</v>
      </c>
      <c r="AE2137">
        <v>1.03391441</v>
      </c>
      <c r="AF2137" s="13">
        <v>7.5903E-6</v>
      </c>
      <c r="AG2137" t="s">
        <v>560</v>
      </c>
      <c r="AH2137">
        <v>1</v>
      </c>
      <c r="AI2137">
        <v>136215.23000000001</v>
      </c>
      <c r="AJ2137" t="s">
        <v>561</v>
      </c>
      <c r="AK2137" t="s">
        <v>573</v>
      </c>
      <c r="AL2137" t="s">
        <v>1004</v>
      </c>
      <c r="AM2137">
        <v>2021</v>
      </c>
      <c r="AN2137">
        <v>2019</v>
      </c>
      <c r="AO2137">
        <f>IF(AND(emissions[[#This Row],[Market-based]]=0,emissions[[#This Row],[Impact Type]]="CO2E"),emissions[[#This Row],[kgCO2e]],0)/1000</f>
        <v>0</v>
      </c>
      <c r="AP2137">
        <f>IF(AND(emissions[[#This Row],[Market-based]]=1,OR(emissions[[#This Row],[Impact Type]]="CO2E",emissions[[#This Row],[Impact Type]]="CO2E MKT")),emissions[[#This Row],[kgCO2e]],0)/1000</f>
        <v>0</v>
      </c>
      <c r="AQ2137" t="str">
        <f>_xlfn.TEXTAFTER(emissions[[#This Row],[Reporting Unit]]," &gt; ",LEN(emissions[[#This Row],[Reporting Unit]])-LEN(SUBSTITUTE(emissions[[#This Row],[Reporting Unit]],"&gt;","")))</f>
        <v>Vantage_Buenos Aires</v>
      </c>
      <c r="AR2137" t="str">
        <f>_xlfn.XLOOKUP(emissions[[#This Row],[Reporting unit name]],hierarchy!$A:$A,hierarchy!$C:$C)</f>
        <v>Factory</v>
      </c>
    </row>
    <row r="2138" spans="1:44" hidden="1" x14ac:dyDescent="0.25">
      <c r="A2138">
        <v>4942</v>
      </c>
      <c r="B2138" t="s">
        <v>235</v>
      </c>
      <c r="C2138" t="s">
        <v>520</v>
      </c>
      <c r="D2138" t="s">
        <v>599</v>
      </c>
      <c r="E2138" s="3">
        <v>44197</v>
      </c>
      <c r="F2138" s="3">
        <v>44561</v>
      </c>
      <c r="G2138" t="s">
        <v>108</v>
      </c>
      <c r="H2138" s="3">
        <v>44197</v>
      </c>
      <c r="I2138" s="3">
        <v>44561</v>
      </c>
      <c r="J2138" t="s">
        <v>108</v>
      </c>
      <c r="K2138">
        <v>136215.23000000001</v>
      </c>
      <c r="L2138" t="s">
        <v>109</v>
      </c>
      <c r="M2138" t="s">
        <v>82</v>
      </c>
      <c r="O2138" t="s">
        <v>600</v>
      </c>
      <c r="P2138" t="s">
        <v>550</v>
      </c>
      <c r="Q2138">
        <v>2021</v>
      </c>
      <c r="R2138" t="s">
        <v>567</v>
      </c>
      <c r="S2138" t="s">
        <v>568</v>
      </c>
      <c r="T2138" t="s">
        <v>569</v>
      </c>
      <c r="U2138" t="b">
        <v>0</v>
      </c>
      <c r="V2138" t="s">
        <v>1003</v>
      </c>
      <c r="W2138" t="s">
        <v>571</v>
      </c>
      <c r="X2138" t="s">
        <v>572</v>
      </c>
      <c r="Y2138" t="s">
        <v>472</v>
      </c>
      <c r="Z2138" t="s">
        <v>491</v>
      </c>
      <c r="AA2138" t="s">
        <v>991</v>
      </c>
      <c r="AC2138">
        <v>1</v>
      </c>
      <c r="AD2138" t="s">
        <v>564</v>
      </c>
      <c r="AE2138">
        <v>989.80072900000005</v>
      </c>
      <c r="AF2138">
        <v>7.2664469999999997E-3</v>
      </c>
      <c r="AG2138" t="s">
        <v>560</v>
      </c>
      <c r="AH2138">
        <v>1</v>
      </c>
      <c r="AI2138">
        <v>136215.23000000001</v>
      </c>
      <c r="AJ2138" t="s">
        <v>561</v>
      </c>
      <c r="AK2138" t="s">
        <v>573</v>
      </c>
      <c r="AL2138" t="s">
        <v>1004</v>
      </c>
      <c r="AM2138">
        <v>2021</v>
      </c>
      <c r="AN2138">
        <v>2019</v>
      </c>
      <c r="AO2138">
        <f>IF(AND(emissions[[#This Row],[Market-based]]=0,emissions[[#This Row],[Impact Type]]="CO2E"),emissions[[#This Row],[kgCO2e]],0)/1000</f>
        <v>0</v>
      </c>
      <c r="AP2138">
        <f>IF(AND(emissions[[#This Row],[Market-based]]=1,OR(emissions[[#This Row],[Impact Type]]="CO2E",emissions[[#This Row],[Impact Type]]="CO2E MKT")),emissions[[#This Row],[kgCO2e]],0)/1000</f>
        <v>0</v>
      </c>
      <c r="AQ2138" t="str">
        <f>_xlfn.TEXTAFTER(emissions[[#This Row],[Reporting Unit]]," &gt; ",LEN(emissions[[#This Row],[Reporting Unit]])-LEN(SUBSTITUTE(emissions[[#This Row],[Reporting Unit]],"&gt;","")))</f>
        <v>Vantage_Buenos Aires</v>
      </c>
      <c r="AR2138" t="str">
        <f>_xlfn.XLOOKUP(emissions[[#This Row],[Reporting unit name]],hierarchy!$A:$A,hierarchy!$C:$C)</f>
        <v>Factory</v>
      </c>
    </row>
    <row r="2139" spans="1:44" hidden="1" x14ac:dyDescent="0.25">
      <c r="A2139">
        <v>4942</v>
      </c>
      <c r="B2139" t="s">
        <v>235</v>
      </c>
      <c r="C2139" t="s">
        <v>520</v>
      </c>
      <c r="D2139" t="s">
        <v>599</v>
      </c>
      <c r="E2139" s="3">
        <v>44197</v>
      </c>
      <c r="F2139" s="3">
        <v>44561</v>
      </c>
      <c r="G2139" t="s">
        <v>108</v>
      </c>
      <c r="H2139" s="3">
        <v>44197</v>
      </c>
      <c r="I2139" s="3">
        <v>44561</v>
      </c>
      <c r="J2139" t="s">
        <v>108</v>
      </c>
      <c r="K2139">
        <v>136215.23000000001</v>
      </c>
      <c r="L2139" t="s">
        <v>109</v>
      </c>
      <c r="M2139" t="s">
        <v>82</v>
      </c>
      <c r="O2139" t="s">
        <v>600</v>
      </c>
      <c r="P2139" t="s">
        <v>550</v>
      </c>
      <c r="Q2139">
        <v>2021</v>
      </c>
      <c r="R2139" t="s">
        <v>567</v>
      </c>
      <c r="S2139" t="s">
        <v>568</v>
      </c>
      <c r="T2139" t="s">
        <v>569</v>
      </c>
      <c r="U2139" t="b">
        <v>0</v>
      </c>
      <c r="V2139" t="s">
        <v>1003</v>
      </c>
      <c r="W2139" t="s">
        <v>571</v>
      </c>
      <c r="X2139" t="s">
        <v>572</v>
      </c>
      <c r="Y2139" t="s">
        <v>472</v>
      </c>
      <c r="Z2139" t="s">
        <v>491</v>
      </c>
      <c r="AA2139" t="s">
        <v>991</v>
      </c>
      <c r="AC2139">
        <v>1</v>
      </c>
      <c r="AD2139" t="s">
        <v>565</v>
      </c>
      <c r="AE2139">
        <v>992.55783410000004</v>
      </c>
      <c r="AF2139">
        <v>7.2866880000000004E-3</v>
      </c>
      <c r="AG2139" t="s">
        <v>560</v>
      </c>
      <c r="AH2139">
        <v>1</v>
      </c>
      <c r="AI2139">
        <v>136215.23000000001</v>
      </c>
      <c r="AJ2139" t="s">
        <v>561</v>
      </c>
      <c r="AK2139" t="s">
        <v>573</v>
      </c>
      <c r="AL2139" t="s">
        <v>1004</v>
      </c>
      <c r="AM2139">
        <v>2021</v>
      </c>
      <c r="AN2139">
        <v>2019</v>
      </c>
      <c r="AO2139">
        <f>IF(AND(emissions[[#This Row],[Market-based]]=0,emissions[[#This Row],[Impact Type]]="CO2E"),emissions[[#This Row],[kgCO2e]],0)/1000</f>
        <v>0</v>
      </c>
      <c r="AP2139">
        <f>IF(AND(emissions[[#This Row],[Market-based]]=1,OR(emissions[[#This Row],[Impact Type]]="CO2E",emissions[[#This Row],[Impact Type]]="CO2E MKT")),emissions[[#This Row],[kgCO2e]],0)/1000</f>
        <v>0.99255783410000009</v>
      </c>
      <c r="AQ2139" t="str">
        <f>_xlfn.TEXTAFTER(emissions[[#This Row],[Reporting Unit]]," &gt; ",LEN(emissions[[#This Row],[Reporting Unit]])-LEN(SUBSTITUTE(emissions[[#This Row],[Reporting Unit]],"&gt;","")))</f>
        <v>Vantage_Buenos Aires</v>
      </c>
      <c r="AR2139" t="str">
        <f>_xlfn.XLOOKUP(emissions[[#This Row],[Reporting unit name]],hierarchy!$A:$A,hierarchy!$C:$C)</f>
        <v>Factory</v>
      </c>
    </row>
    <row r="2140" spans="1:44" hidden="1" x14ac:dyDescent="0.25">
      <c r="A2140">
        <v>4942</v>
      </c>
      <c r="B2140" t="s">
        <v>235</v>
      </c>
      <c r="C2140" t="s">
        <v>520</v>
      </c>
      <c r="D2140" t="s">
        <v>599</v>
      </c>
      <c r="E2140" s="3">
        <v>44197</v>
      </c>
      <c r="F2140" s="3">
        <v>44561</v>
      </c>
      <c r="G2140" t="s">
        <v>108</v>
      </c>
      <c r="H2140" s="3">
        <v>44197</v>
      </c>
      <c r="I2140" s="3">
        <v>44561</v>
      </c>
      <c r="J2140" t="s">
        <v>108</v>
      </c>
      <c r="K2140">
        <v>136215.23000000001</v>
      </c>
      <c r="L2140" t="s">
        <v>109</v>
      </c>
      <c r="M2140" t="s">
        <v>82</v>
      </c>
      <c r="O2140" t="s">
        <v>600</v>
      </c>
      <c r="P2140" t="s">
        <v>550</v>
      </c>
      <c r="Q2140">
        <v>2021</v>
      </c>
      <c r="R2140" t="s">
        <v>567</v>
      </c>
      <c r="S2140" t="s">
        <v>568</v>
      </c>
      <c r="T2140" t="s">
        <v>569</v>
      </c>
      <c r="U2140" t="b">
        <v>0</v>
      </c>
      <c r="V2140" t="s">
        <v>1003</v>
      </c>
      <c r="W2140" t="s">
        <v>571</v>
      </c>
      <c r="X2140" t="s">
        <v>572</v>
      </c>
      <c r="Y2140" t="s">
        <v>472</v>
      </c>
      <c r="Z2140" t="s">
        <v>491</v>
      </c>
      <c r="AA2140" t="s">
        <v>991</v>
      </c>
      <c r="AC2140">
        <v>1</v>
      </c>
      <c r="AD2140" t="s">
        <v>566</v>
      </c>
      <c r="AE2140">
        <v>1.723190684</v>
      </c>
      <c r="AF2140" s="13">
        <v>1.26505E-5</v>
      </c>
      <c r="AG2140" t="s">
        <v>560</v>
      </c>
      <c r="AH2140">
        <v>1</v>
      </c>
      <c r="AI2140">
        <v>136215.23000000001</v>
      </c>
      <c r="AJ2140" t="s">
        <v>561</v>
      </c>
      <c r="AK2140" t="s">
        <v>573</v>
      </c>
      <c r="AL2140" t="s">
        <v>1004</v>
      </c>
      <c r="AM2140">
        <v>2021</v>
      </c>
      <c r="AN2140">
        <v>2019</v>
      </c>
      <c r="AO2140">
        <f>IF(AND(emissions[[#This Row],[Market-based]]=0,emissions[[#This Row],[Impact Type]]="CO2E"),emissions[[#This Row],[kgCO2e]],0)/1000</f>
        <v>0</v>
      </c>
      <c r="AP2140">
        <f>IF(AND(emissions[[#This Row],[Market-based]]=1,OR(emissions[[#This Row],[Impact Type]]="CO2E",emissions[[#This Row],[Impact Type]]="CO2E MKT")),emissions[[#This Row],[kgCO2e]],0)/1000</f>
        <v>0</v>
      </c>
      <c r="AQ2140" t="str">
        <f>_xlfn.TEXTAFTER(emissions[[#This Row],[Reporting Unit]]," &gt; ",LEN(emissions[[#This Row],[Reporting Unit]])-LEN(SUBSTITUTE(emissions[[#This Row],[Reporting Unit]],"&gt;","")))</f>
        <v>Vantage_Buenos Aires</v>
      </c>
      <c r="AR2140" t="str">
        <f>_xlfn.XLOOKUP(emissions[[#This Row],[Reporting unit name]],hierarchy!$A:$A,hierarchy!$C:$C)</f>
        <v>Factory</v>
      </c>
    </row>
    <row r="2141" spans="1:44" hidden="1" x14ac:dyDescent="0.25">
      <c r="A2141">
        <v>4942</v>
      </c>
      <c r="B2141" t="s">
        <v>235</v>
      </c>
      <c r="C2141" t="s">
        <v>520</v>
      </c>
      <c r="D2141" t="s">
        <v>599</v>
      </c>
      <c r="E2141" s="3">
        <v>44197</v>
      </c>
      <c r="F2141" s="3">
        <v>44561</v>
      </c>
      <c r="G2141" t="s">
        <v>108</v>
      </c>
      <c r="H2141" s="3">
        <v>44197</v>
      </c>
      <c r="I2141" s="3">
        <v>44561</v>
      </c>
      <c r="J2141" t="s">
        <v>108</v>
      </c>
      <c r="K2141">
        <v>136215.23000000001</v>
      </c>
      <c r="L2141" t="s">
        <v>109</v>
      </c>
      <c r="M2141" t="s">
        <v>82</v>
      </c>
      <c r="O2141" t="s">
        <v>600</v>
      </c>
      <c r="P2141" t="s">
        <v>550</v>
      </c>
      <c r="Q2141">
        <v>2021</v>
      </c>
      <c r="R2141" t="s">
        <v>575</v>
      </c>
      <c r="S2141" t="s">
        <v>576</v>
      </c>
      <c r="T2141" t="s">
        <v>577</v>
      </c>
      <c r="U2141" t="b">
        <v>0</v>
      </c>
      <c r="V2141" t="s">
        <v>1005</v>
      </c>
      <c r="W2141" t="s">
        <v>571</v>
      </c>
      <c r="X2141" t="s">
        <v>572</v>
      </c>
      <c r="Y2141" t="s">
        <v>472</v>
      </c>
      <c r="Z2141" t="s">
        <v>491</v>
      </c>
      <c r="AA2141" t="s">
        <v>991</v>
      </c>
      <c r="AC2141">
        <v>0</v>
      </c>
      <c r="AD2141" t="s">
        <v>558</v>
      </c>
      <c r="AE2141">
        <v>8.6565844429999999</v>
      </c>
      <c r="AF2141" s="13">
        <v>6.3550800000000001E-5</v>
      </c>
      <c r="AG2141" t="s">
        <v>560</v>
      </c>
      <c r="AH2141">
        <v>1</v>
      </c>
      <c r="AI2141">
        <v>136215.23000000001</v>
      </c>
      <c r="AJ2141" t="s">
        <v>561</v>
      </c>
      <c r="AK2141" t="s">
        <v>573</v>
      </c>
      <c r="AL2141" t="s">
        <v>1006</v>
      </c>
      <c r="AM2141">
        <v>2021</v>
      </c>
      <c r="AN2141">
        <v>2019</v>
      </c>
      <c r="AO2141">
        <f>IF(AND(emissions[[#This Row],[Market-based]]=0,emissions[[#This Row],[Impact Type]]="CO2E"),emissions[[#This Row],[kgCO2e]],0)/1000</f>
        <v>0</v>
      </c>
      <c r="AP2141">
        <f>IF(AND(emissions[[#This Row],[Market-based]]=1,OR(emissions[[#This Row],[Impact Type]]="CO2E",emissions[[#This Row],[Impact Type]]="CO2E MKT")),emissions[[#This Row],[kgCO2e]],0)/1000</f>
        <v>0</v>
      </c>
      <c r="AQ2141" t="str">
        <f>_xlfn.TEXTAFTER(emissions[[#This Row],[Reporting Unit]]," &gt; ",LEN(emissions[[#This Row],[Reporting Unit]])-LEN(SUBSTITUTE(emissions[[#This Row],[Reporting Unit]],"&gt;","")))</f>
        <v>Vantage_Buenos Aires</v>
      </c>
      <c r="AR2141" t="str">
        <f>_xlfn.XLOOKUP(emissions[[#This Row],[Reporting unit name]],hierarchy!$A:$A,hierarchy!$C:$C)</f>
        <v>Factory</v>
      </c>
    </row>
    <row r="2142" spans="1:44" hidden="1" x14ac:dyDescent="0.25">
      <c r="A2142">
        <v>4942</v>
      </c>
      <c r="B2142" t="s">
        <v>235</v>
      </c>
      <c r="C2142" t="s">
        <v>520</v>
      </c>
      <c r="D2142" t="s">
        <v>599</v>
      </c>
      <c r="E2142" s="3">
        <v>44197</v>
      </c>
      <c r="F2142" s="3">
        <v>44561</v>
      </c>
      <c r="G2142" t="s">
        <v>108</v>
      </c>
      <c r="H2142" s="3">
        <v>44197</v>
      </c>
      <c r="I2142" s="3">
        <v>44561</v>
      </c>
      <c r="J2142" t="s">
        <v>108</v>
      </c>
      <c r="K2142">
        <v>136215.23000000001</v>
      </c>
      <c r="L2142" t="s">
        <v>109</v>
      </c>
      <c r="M2142" t="s">
        <v>82</v>
      </c>
      <c r="O2142" t="s">
        <v>600</v>
      </c>
      <c r="P2142" t="s">
        <v>550</v>
      </c>
      <c r="Q2142">
        <v>2021</v>
      </c>
      <c r="R2142" t="s">
        <v>575</v>
      </c>
      <c r="S2142" t="s">
        <v>576</v>
      </c>
      <c r="T2142" t="s">
        <v>577</v>
      </c>
      <c r="U2142" t="b">
        <v>0</v>
      </c>
      <c r="V2142" t="s">
        <v>1005</v>
      </c>
      <c r="W2142" t="s">
        <v>571</v>
      </c>
      <c r="X2142" t="s">
        <v>572</v>
      </c>
      <c r="Y2142" t="s">
        <v>472</v>
      </c>
      <c r="Z2142" t="s">
        <v>491</v>
      </c>
      <c r="AA2142" t="s">
        <v>991</v>
      </c>
      <c r="AC2142">
        <v>0</v>
      </c>
      <c r="AD2142" t="s">
        <v>564</v>
      </c>
      <c r="AE2142">
        <v>8287.2368399999996</v>
      </c>
      <c r="AF2142">
        <v>6.0839282000000001E-2</v>
      </c>
      <c r="AG2142" t="s">
        <v>560</v>
      </c>
      <c r="AH2142">
        <v>1</v>
      </c>
      <c r="AI2142">
        <v>136215.23000000001</v>
      </c>
      <c r="AJ2142" t="s">
        <v>561</v>
      </c>
      <c r="AK2142" t="s">
        <v>573</v>
      </c>
      <c r="AL2142" t="s">
        <v>1006</v>
      </c>
      <c r="AM2142">
        <v>2021</v>
      </c>
      <c r="AN2142">
        <v>2019</v>
      </c>
      <c r="AO2142">
        <f>IF(AND(emissions[[#This Row],[Market-based]]=0,emissions[[#This Row],[Impact Type]]="CO2E"),emissions[[#This Row],[kgCO2e]],0)/1000</f>
        <v>0</v>
      </c>
      <c r="AP2142">
        <f>IF(AND(emissions[[#This Row],[Market-based]]=1,OR(emissions[[#This Row],[Impact Type]]="CO2E",emissions[[#This Row],[Impact Type]]="CO2E MKT")),emissions[[#This Row],[kgCO2e]],0)/1000</f>
        <v>0</v>
      </c>
      <c r="AQ2142" t="str">
        <f>_xlfn.TEXTAFTER(emissions[[#This Row],[Reporting Unit]]," &gt; ",LEN(emissions[[#This Row],[Reporting Unit]])-LEN(SUBSTITUTE(emissions[[#This Row],[Reporting Unit]],"&gt;","")))</f>
        <v>Vantage_Buenos Aires</v>
      </c>
      <c r="AR2142" t="str">
        <f>_xlfn.XLOOKUP(emissions[[#This Row],[Reporting unit name]],hierarchy!$A:$A,hierarchy!$C:$C)</f>
        <v>Factory</v>
      </c>
    </row>
    <row r="2143" spans="1:44" hidden="1" x14ac:dyDescent="0.25">
      <c r="A2143">
        <v>4942</v>
      </c>
      <c r="B2143" t="s">
        <v>235</v>
      </c>
      <c r="C2143" t="s">
        <v>520</v>
      </c>
      <c r="D2143" t="s">
        <v>599</v>
      </c>
      <c r="E2143" s="3">
        <v>44197</v>
      </c>
      <c r="F2143" s="3">
        <v>44561</v>
      </c>
      <c r="G2143" t="s">
        <v>108</v>
      </c>
      <c r="H2143" s="3">
        <v>44197</v>
      </c>
      <c r="I2143" s="3">
        <v>44561</v>
      </c>
      <c r="J2143" t="s">
        <v>108</v>
      </c>
      <c r="K2143">
        <v>136215.23000000001</v>
      </c>
      <c r="L2143" t="s">
        <v>109</v>
      </c>
      <c r="M2143" t="s">
        <v>82</v>
      </c>
      <c r="O2143" t="s">
        <v>600</v>
      </c>
      <c r="P2143" t="s">
        <v>550</v>
      </c>
      <c r="Q2143">
        <v>2021</v>
      </c>
      <c r="R2143" t="s">
        <v>575</v>
      </c>
      <c r="S2143" t="s">
        <v>576</v>
      </c>
      <c r="T2143" t="s">
        <v>577</v>
      </c>
      <c r="U2143" t="b">
        <v>0</v>
      </c>
      <c r="V2143" t="s">
        <v>1005</v>
      </c>
      <c r="W2143" t="s">
        <v>571</v>
      </c>
      <c r="X2143" t="s">
        <v>572</v>
      </c>
      <c r="Y2143" t="s">
        <v>472</v>
      </c>
      <c r="Z2143" t="s">
        <v>491</v>
      </c>
      <c r="AA2143" t="s">
        <v>991</v>
      </c>
      <c r="AC2143">
        <v>0</v>
      </c>
      <c r="AD2143" t="s">
        <v>565</v>
      </c>
      <c r="AE2143">
        <v>8310.3210650000001</v>
      </c>
      <c r="AF2143">
        <v>6.1008751E-2</v>
      </c>
      <c r="AG2143" t="s">
        <v>560</v>
      </c>
      <c r="AH2143">
        <v>1</v>
      </c>
      <c r="AI2143">
        <v>136215.23000000001</v>
      </c>
      <c r="AJ2143" t="s">
        <v>561</v>
      </c>
      <c r="AK2143" t="s">
        <v>573</v>
      </c>
      <c r="AL2143" t="s">
        <v>1006</v>
      </c>
      <c r="AM2143">
        <v>2021</v>
      </c>
      <c r="AN2143">
        <v>2019</v>
      </c>
      <c r="AO2143">
        <f>IF(AND(emissions[[#This Row],[Market-based]]=0,emissions[[#This Row],[Impact Type]]="CO2E"),emissions[[#This Row],[kgCO2e]],0)/1000</f>
        <v>8.3103210650000001</v>
      </c>
      <c r="AP2143">
        <f>IF(AND(emissions[[#This Row],[Market-based]]=1,OR(emissions[[#This Row],[Impact Type]]="CO2E",emissions[[#This Row],[Impact Type]]="CO2E MKT")),emissions[[#This Row],[kgCO2e]],0)/1000</f>
        <v>0</v>
      </c>
      <c r="AQ2143" t="str">
        <f>_xlfn.TEXTAFTER(emissions[[#This Row],[Reporting Unit]]," &gt; ",LEN(emissions[[#This Row],[Reporting Unit]])-LEN(SUBSTITUTE(emissions[[#This Row],[Reporting Unit]],"&gt;","")))</f>
        <v>Vantage_Buenos Aires</v>
      </c>
      <c r="AR2143" t="str">
        <f>_xlfn.XLOOKUP(emissions[[#This Row],[Reporting unit name]],hierarchy!$A:$A,hierarchy!$C:$C)</f>
        <v>Factory</v>
      </c>
    </row>
    <row r="2144" spans="1:44" hidden="1" x14ac:dyDescent="0.25">
      <c r="A2144">
        <v>4942</v>
      </c>
      <c r="B2144" t="s">
        <v>235</v>
      </c>
      <c r="C2144" t="s">
        <v>520</v>
      </c>
      <c r="D2144" t="s">
        <v>599</v>
      </c>
      <c r="E2144" s="3">
        <v>44197</v>
      </c>
      <c r="F2144" s="3">
        <v>44561</v>
      </c>
      <c r="G2144" t="s">
        <v>108</v>
      </c>
      <c r="H2144" s="3">
        <v>44197</v>
      </c>
      <c r="I2144" s="3">
        <v>44561</v>
      </c>
      <c r="J2144" t="s">
        <v>108</v>
      </c>
      <c r="K2144">
        <v>136215.23000000001</v>
      </c>
      <c r="L2144" t="s">
        <v>109</v>
      </c>
      <c r="M2144" t="s">
        <v>82</v>
      </c>
      <c r="O2144" t="s">
        <v>600</v>
      </c>
      <c r="P2144" t="s">
        <v>550</v>
      </c>
      <c r="Q2144">
        <v>2021</v>
      </c>
      <c r="R2144" t="s">
        <v>575</v>
      </c>
      <c r="S2144" t="s">
        <v>576</v>
      </c>
      <c r="T2144" t="s">
        <v>577</v>
      </c>
      <c r="U2144" t="b">
        <v>0</v>
      </c>
      <c r="V2144" t="s">
        <v>1005</v>
      </c>
      <c r="W2144" t="s">
        <v>571</v>
      </c>
      <c r="X2144" t="s">
        <v>572</v>
      </c>
      <c r="Y2144" t="s">
        <v>472</v>
      </c>
      <c r="Z2144" t="s">
        <v>491</v>
      </c>
      <c r="AA2144" t="s">
        <v>991</v>
      </c>
      <c r="AC2144">
        <v>0</v>
      </c>
      <c r="AD2144" t="s">
        <v>566</v>
      </c>
      <c r="AE2144">
        <v>14.427640739999999</v>
      </c>
      <c r="AF2144">
        <v>1.05918E-4</v>
      </c>
      <c r="AG2144" t="s">
        <v>560</v>
      </c>
      <c r="AH2144">
        <v>1</v>
      </c>
      <c r="AI2144">
        <v>136215.23000000001</v>
      </c>
      <c r="AJ2144" t="s">
        <v>561</v>
      </c>
      <c r="AK2144" t="s">
        <v>573</v>
      </c>
      <c r="AL2144" t="s">
        <v>1006</v>
      </c>
      <c r="AM2144">
        <v>2021</v>
      </c>
      <c r="AN2144">
        <v>2019</v>
      </c>
      <c r="AO2144">
        <f>IF(AND(emissions[[#This Row],[Market-based]]=0,emissions[[#This Row],[Impact Type]]="CO2E"),emissions[[#This Row],[kgCO2e]],0)/1000</f>
        <v>0</v>
      </c>
      <c r="AP2144">
        <f>IF(AND(emissions[[#This Row],[Market-based]]=1,OR(emissions[[#This Row],[Impact Type]]="CO2E",emissions[[#This Row],[Impact Type]]="CO2E MKT")),emissions[[#This Row],[kgCO2e]],0)/1000</f>
        <v>0</v>
      </c>
      <c r="AQ2144" t="str">
        <f>_xlfn.TEXTAFTER(emissions[[#This Row],[Reporting Unit]]," &gt; ",LEN(emissions[[#This Row],[Reporting Unit]])-LEN(SUBSTITUTE(emissions[[#This Row],[Reporting Unit]],"&gt;","")))</f>
        <v>Vantage_Buenos Aires</v>
      </c>
      <c r="AR2144" t="str">
        <f>_xlfn.XLOOKUP(emissions[[#This Row],[Reporting unit name]],hierarchy!$A:$A,hierarchy!$C:$C)</f>
        <v>Factory</v>
      </c>
    </row>
    <row r="2145" spans="1:44" hidden="1" x14ac:dyDescent="0.25">
      <c r="A2145">
        <v>4942</v>
      </c>
      <c r="B2145" t="s">
        <v>235</v>
      </c>
      <c r="C2145" t="s">
        <v>520</v>
      </c>
      <c r="D2145" t="s">
        <v>599</v>
      </c>
      <c r="E2145" s="3">
        <v>44197</v>
      </c>
      <c r="F2145" s="3">
        <v>44561</v>
      </c>
      <c r="G2145" t="s">
        <v>108</v>
      </c>
      <c r="H2145" s="3">
        <v>44197</v>
      </c>
      <c r="I2145" s="3">
        <v>44561</v>
      </c>
      <c r="J2145" t="s">
        <v>108</v>
      </c>
      <c r="K2145">
        <v>136215.23000000001</v>
      </c>
      <c r="L2145" t="s">
        <v>109</v>
      </c>
      <c r="M2145" t="s">
        <v>82</v>
      </c>
      <c r="O2145" t="s">
        <v>600</v>
      </c>
      <c r="P2145" t="s">
        <v>550</v>
      </c>
      <c r="Q2145">
        <v>2021</v>
      </c>
      <c r="R2145" t="s">
        <v>575</v>
      </c>
      <c r="S2145" t="s">
        <v>576</v>
      </c>
      <c r="T2145" t="s">
        <v>577</v>
      </c>
      <c r="U2145" t="b">
        <v>0</v>
      </c>
      <c r="V2145" t="s">
        <v>1005</v>
      </c>
      <c r="W2145" t="s">
        <v>571</v>
      </c>
      <c r="X2145" t="s">
        <v>572</v>
      </c>
      <c r="Y2145" t="s">
        <v>472</v>
      </c>
      <c r="Z2145" t="s">
        <v>491</v>
      </c>
      <c r="AA2145" t="s">
        <v>991</v>
      </c>
      <c r="AC2145">
        <v>1</v>
      </c>
      <c r="AD2145" t="s">
        <v>558</v>
      </c>
      <c r="AE2145">
        <v>8.6565844429999999</v>
      </c>
      <c r="AF2145" s="13">
        <v>6.3550800000000001E-5</v>
      </c>
      <c r="AG2145" t="s">
        <v>560</v>
      </c>
      <c r="AH2145">
        <v>1</v>
      </c>
      <c r="AI2145">
        <v>136215.23000000001</v>
      </c>
      <c r="AJ2145" t="s">
        <v>561</v>
      </c>
      <c r="AK2145" t="s">
        <v>573</v>
      </c>
      <c r="AL2145" t="s">
        <v>1006</v>
      </c>
      <c r="AM2145">
        <v>2021</v>
      </c>
      <c r="AN2145">
        <v>2019</v>
      </c>
      <c r="AO2145">
        <f>IF(AND(emissions[[#This Row],[Market-based]]=0,emissions[[#This Row],[Impact Type]]="CO2E"),emissions[[#This Row],[kgCO2e]],0)/1000</f>
        <v>0</v>
      </c>
      <c r="AP2145">
        <f>IF(AND(emissions[[#This Row],[Market-based]]=1,OR(emissions[[#This Row],[Impact Type]]="CO2E",emissions[[#This Row],[Impact Type]]="CO2E MKT")),emissions[[#This Row],[kgCO2e]],0)/1000</f>
        <v>0</v>
      </c>
      <c r="AQ2145" t="str">
        <f>_xlfn.TEXTAFTER(emissions[[#This Row],[Reporting Unit]]," &gt; ",LEN(emissions[[#This Row],[Reporting Unit]])-LEN(SUBSTITUTE(emissions[[#This Row],[Reporting Unit]],"&gt;","")))</f>
        <v>Vantage_Buenos Aires</v>
      </c>
      <c r="AR2145" t="str">
        <f>_xlfn.XLOOKUP(emissions[[#This Row],[Reporting unit name]],hierarchy!$A:$A,hierarchy!$C:$C)</f>
        <v>Factory</v>
      </c>
    </row>
    <row r="2146" spans="1:44" hidden="1" x14ac:dyDescent="0.25">
      <c r="A2146">
        <v>4942</v>
      </c>
      <c r="B2146" t="s">
        <v>235</v>
      </c>
      <c r="C2146" t="s">
        <v>520</v>
      </c>
      <c r="D2146" t="s">
        <v>599</v>
      </c>
      <c r="E2146" s="3">
        <v>44197</v>
      </c>
      <c r="F2146" s="3">
        <v>44561</v>
      </c>
      <c r="G2146" t="s">
        <v>108</v>
      </c>
      <c r="H2146" s="3">
        <v>44197</v>
      </c>
      <c r="I2146" s="3">
        <v>44561</v>
      </c>
      <c r="J2146" t="s">
        <v>108</v>
      </c>
      <c r="K2146">
        <v>136215.23000000001</v>
      </c>
      <c r="L2146" t="s">
        <v>109</v>
      </c>
      <c r="M2146" t="s">
        <v>82</v>
      </c>
      <c r="O2146" t="s">
        <v>600</v>
      </c>
      <c r="P2146" t="s">
        <v>550</v>
      </c>
      <c r="Q2146">
        <v>2021</v>
      </c>
      <c r="R2146" t="s">
        <v>575</v>
      </c>
      <c r="S2146" t="s">
        <v>576</v>
      </c>
      <c r="T2146" t="s">
        <v>577</v>
      </c>
      <c r="U2146" t="b">
        <v>0</v>
      </c>
      <c r="V2146" t="s">
        <v>1005</v>
      </c>
      <c r="W2146" t="s">
        <v>571</v>
      </c>
      <c r="X2146" t="s">
        <v>572</v>
      </c>
      <c r="Y2146" t="s">
        <v>472</v>
      </c>
      <c r="Z2146" t="s">
        <v>491</v>
      </c>
      <c r="AA2146" t="s">
        <v>991</v>
      </c>
      <c r="AC2146">
        <v>1</v>
      </c>
      <c r="AD2146" t="s">
        <v>564</v>
      </c>
      <c r="AE2146">
        <v>8287.2368399999996</v>
      </c>
      <c r="AF2146">
        <v>6.0839282000000001E-2</v>
      </c>
      <c r="AG2146" t="s">
        <v>560</v>
      </c>
      <c r="AH2146">
        <v>1</v>
      </c>
      <c r="AI2146">
        <v>136215.23000000001</v>
      </c>
      <c r="AJ2146" t="s">
        <v>561</v>
      </c>
      <c r="AK2146" t="s">
        <v>573</v>
      </c>
      <c r="AL2146" t="s">
        <v>1006</v>
      </c>
      <c r="AM2146">
        <v>2021</v>
      </c>
      <c r="AN2146">
        <v>2019</v>
      </c>
      <c r="AO2146">
        <f>IF(AND(emissions[[#This Row],[Market-based]]=0,emissions[[#This Row],[Impact Type]]="CO2E"),emissions[[#This Row],[kgCO2e]],0)/1000</f>
        <v>0</v>
      </c>
      <c r="AP2146">
        <f>IF(AND(emissions[[#This Row],[Market-based]]=1,OR(emissions[[#This Row],[Impact Type]]="CO2E",emissions[[#This Row],[Impact Type]]="CO2E MKT")),emissions[[#This Row],[kgCO2e]],0)/1000</f>
        <v>0</v>
      </c>
      <c r="AQ2146" t="str">
        <f>_xlfn.TEXTAFTER(emissions[[#This Row],[Reporting Unit]]," &gt; ",LEN(emissions[[#This Row],[Reporting Unit]])-LEN(SUBSTITUTE(emissions[[#This Row],[Reporting Unit]],"&gt;","")))</f>
        <v>Vantage_Buenos Aires</v>
      </c>
      <c r="AR2146" t="str">
        <f>_xlfn.XLOOKUP(emissions[[#This Row],[Reporting unit name]],hierarchy!$A:$A,hierarchy!$C:$C)</f>
        <v>Factory</v>
      </c>
    </row>
    <row r="2147" spans="1:44" hidden="1" x14ac:dyDescent="0.25">
      <c r="A2147">
        <v>4942</v>
      </c>
      <c r="B2147" t="s">
        <v>235</v>
      </c>
      <c r="C2147" t="s">
        <v>520</v>
      </c>
      <c r="D2147" t="s">
        <v>599</v>
      </c>
      <c r="E2147" s="3">
        <v>44197</v>
      </c>
      <c r="F2147" s="3">
        <v>44561</v>
      </c>
      <c r="G2147" t="s">
        <v>108</v>
      </c>
      <c r="H2147" s="3">
        <v>44197</v>
      </c>
      <c r="I2147" s="3">
        <v>44561</v>
      </c>
      <c r="J2147" t="s">
        <v>108</v>
      </c>
      <c r="K2147">
        <v>136215.23000000001</v>
      </c>
      <c r="L2147" t="s">
        <v>109</v>
      </c>
      <c r="M2147" t="s">
        <v>82</v>
      </c>
      <c r="O2147" t="s">
        <v>600</v>
      </c>
      <c r="P2147" t="s">
        <v>550</v>
      </c>
      <c r="Q2147">
        <v>2021</v>
      </c>
      <c r="R2147" t="s">
        <v>575</v>
      </c>
      <c r="S2147" t="s">
        <v>576</v>
      </c>
      <c r="T2147" t="s">
        <v>577</v>
      </c>
      <c r="U2147" t="b">
        <v>0</v>
      </c>
      <c r="V2147" t="s">
        <v>1005</v>
      </c>
      <c r="W2147" t="s">
        <v>571</v>
      </c>
      <c r="X2147" t="s">
        <v>572</v>
      </c>
      <c r="Y2147" t="s">
        <v>472</v>
      </c>
      <c r="Z2147" t="s">
        <v>491</v>
      </c>
      <c r="AA2147" t="s">
        <v>991</v>
      </c>
      <c r="AC2147">
        <v>1</v>
      </c>
      <c r="AD2147" t="s">
        <v>565</v>
      </c>
      <c r="AE2147">
        <v>8310.3210650000001</v>
      </c>
      <c r="AF2147">
        <v>6.1008751E-2</v>
      </c>
      <c r="AG2147" t="s">
        <v>560</v>
      </c>
      <c r="AH2147">
        <v>1</v>
      </c>
      <c r="AI2147">
        <v>136215.23000000001</v>
      </c>
      <c r="AJ2147" t="s">
        <v>561</v>
      </c>
      <c r="AK2147" t="s">
        <v>573</v>
      </c>
      <c r="AL2147" t="s">
        <v>1006</v>
      </c>
      <c r="AM2147">
        <v>2021</v>
      </c>
      <c r="AN2147">
        <v>2019</v>
      </c>
      <c r="AO2147">
        <f>IF(AND(emissions[[#This Row],[Market-based]]=0,emissions[[#This Row],[Impact Type]]="CO2E"),emissions[[#This Row],[kgCO2e]],0)/1000</f>
        <v>0</v>
      </c>
      <c r="AP2147">
        <f>IF(AND(emissions[[#This Row],[Market-based]]=1,OR(emissions[[#This Row],[Impact Type]]="CO2E",emissions[[#This Row],[Impact Type]]="CO2E MKT")),emissions[[#This Row],[kgCO2e]],0)/1000</f>
        <v>8.3103210650000001</v>
      </c>
      <c r="AQ2147" t="str">
        <f>_xlfn.TEXTAFTER(emissions[[#This Row],[Reporting Unit]]," &gt; ",LEN(emissions[[#This Row],[Reporting Unit]])-LEN(SUBSTITUTE(emissions[[#This Row],[Reporting Unit]],"&gt;","")))</f>
        <v>Vantage_Buenos Aires</v>
      </c>
      <c r="AR2147" t="str">
        <f>_xlfn.XLOOKUP(emissions[[#This Row],[Reporting unit name]],hierarchy!$A:$A,hierarchy!$C:$C)</f>
        <v>Factory</v>
      </c>
    </row>
    <row r="2148" spans="1:44" hidden="1" x14ac:dyDescent="0.25">
      <c r="A2148">
        <v>4942</v>
      </c>
      <c r="B2148" t="s">
        <v>235</v>
      </c>
      <c r="C2148" t="s">
        <v>520</v>
      </c>
      <c r="D2148" t="s">
        <v>599</v>
      </c>
      <c r="E2148" s="3">
        <v>44197</v>
      </c>
      <c r="F2148" s="3">
        <v>44561</v>
      </c>
      <c r="G2148" t="s">
        <v>108</v>
      </c>
      <c r="H2148" s="3">
        <v>44197</v>
      </c>
      <c r="I2148" s="3">
        <v>44561</v>
      </c>
      <c r="J2148" t="s">
        <v>108</v>
      </c>
      <c r="K2148">
        <v>136215.23000000001</v>
      </c>
      <c r="L2148" t="s">
        <v>109</v>
      </c>
      <c r="M2148" t="s">
        <v>82</v>
      </c>
      <c r="O2148" t="s">
        <v>600</v>
      </c>
      <c r="P2148" t="s">
        <v>550</v>
      </c>
      <c r="Q2148">
        <v>2021</v>
      </c>
      <c r="R2148" t="s">
        <v>575</v>
      </c>
      <c r="S2148" t="s">
        <v>576</v>
      </c>
      <c r="T2148" t="s">
        <v>577</v>
      </c>
      <c r="U2148" t="b">
        <v>0</v>
      </c>
      <c r="V2148" t="s">
        <v>1005</v>
      </c>
      <c r="W2148" t="s">
        <v>571</v>
      </c>
      <c r="X2148" t="s">
        <v>572</v>
      </c>
      <c r="Y2148" t="s">
        <v>472</v>
      </c>
      <c r="Z2148" t="s">
        <v>491</v>
      </c>
      <c r="AA2148" t="s">
        <v>991</v>
      </c>
      <c r="AC2148">
        <v>1</v>
      </c>
      <c r="AD2148" t="s">
        <v>566</v>
      </c>
      <c r="AE2148">
        <v>14.427640739999999</v>
      </c>
      <c r="AF2148">
        <v>1.05918E-4</v>
      </c>
      <c r="AG2148" t="s">
        <v>560</v>
      </c>
      <c r="AH2148">
        <v>1</v>
      </c>
      <c r="AI2148">
        <v>136215.23000000001</v>
      </c>
      <c r="AJ2148" t="s">
        <v>561</v>
      </c>
      <c r="AK2148" t="s">
        <v>573</v>
      </c>
      <c r="AL2148" t="s">
        <v>1006</v>
      </c>
      <c r="AM2148">
        <v>2021</v>
      </c>
      <c r="AN2148">
        <v>2019</v>
      </c>
      <c r="AO2148">
        <f>IF(AND(emissions[[#This Row],[Market-based]]=0,emissions[[#This Row],[Impact Type]]="CO2E"),emissions[[#This Row],[kgCO2e]],0)/1000</f>
        <v>0</v>
      </c>
      <c r="AP2148">
        <f>IF(AND(emissions[[#This Row],[Market-based]]=1,OR(emissions[[#This Row],[Impact Type]]="CO2E",emissions[[#This Row],[Impact Type]]="CO2E MKT")),emissions[[#This Row],[kgCO2e]],0)/1000</f>
        <v>0</v>
      </c>
      <c r="AQ2148" t="str">
        <f>_xlfn.TEXTAFTER(emissions[[#This Row],[Reporting Unit]]," &gt; ",LEN(emissions[[#This Row],[Reporting Unit]])-LEN(SUBSTITUTE(emissions[[#This Row],[Reporting Unit]],"&gt;","")))</f>
        <v>Vantage_Buenos Aires</v>
      </c>
      <c r="AR2148" t="str">
        <f>_xlfn.XLOOKUP(emissions[[#This Row],[Reporting unit name]],hierarchy!$A:$A,hierarchy!$C:$C)</f>
        <v>Factory</v>
      </c>
    </row>
    <row r="2149" spans="1:44" hidden="1" x14ac:dyDescent="0.25">
      <c r="A2149">
        <v>4942</v>
      </c>
      <c r="B2149" t="s">
        <v>235</v>
      </c>
      <c r="C2149" t="s">
        <v>520</v>
      </c>
      <c r="D2149" t="s">
        <v>599</v>
      </c>
      <c r="E2149" s="3">
        <v>44197</v>
      </c>
      <c r="F2149" s="3">
        <v>44561</v>
      </c>
      <c r="G2149" t="s">
        <v>108</v>
      </c>
      <c r="H2149" s="3">
        <v>44197</v>
      </c>
      <c r="I2149" s="3">
        <v>44561</v>
      </c>
      <c r="J2149" t="s">
        <v>108</v>
      </c>
      <c r="K2149">
        <v>136215.23000000001</v>
      </c>
      <c r="L2149" t="s">
        <v>109</v>
      </c>
      <c r="M2149" t="s">
        <v>82</v>
      </c>
      <c r="O2149" t="s">
        <v>600</v>
      </c>
      <c r="P2149" t="s">
        <v>550</v>
      </c>
      <c r="Q2149">
        <v>2021</v>
      </c>
      <c r="R2149" t="s">
        <v>579</v>
      </c>
      <c r="S2149" t="s">
        <v>580</v>
      </c>
      <c r="T2149" t="s">
        <v>581</v>
      </c>
      <c r="U2149" t="b">
        <v>0</v>
      </c>
      <c r="V2149" t="s">
        <v>994</v>
      </c>
      <c r="W2149" t="s">
        <v>571</v>
      </c>
      <c r="X2149" t="s">
        <v>572</v>
      </c>
      <c r="Y2149" t="s">
        <v>472</v>
      </c>
      <c r="Z2149" t="s">
        <v>491</v>
      </c>
      <c r="AA2149" t="s">
        <v>991</v>
      </c>
      <c r="AC2149">
        <v>0</v>
      </c>
      <c r="AD2149" t="s">
        <v>565</v>
      </c>
      <c r="AE2149">
        <v>5557.5813840000001</v>
      </c>
      <c r="AF2149" t="s">
        <v>559</v>
      </c>
      <c r="AG2149" t="s">
        <v>560</v>
      </c>
      <c r="AH2149">
        <v>1</v>
      </c>
      <c r="AI2149">
        <v>136215.23000000001</v>
      </c>
      <c r="AJ2149" t="s">
        <v>561</v>
      </c>
      <c r="AK2149" t="s">
        <v>562</v>
      </c>
      <c r="AL2149" t="s">
        <v>601</v>
      </c>
      <c r="AM2149">
        <v>2021</v>
      </c>
      <c r="AN2149">
        <v>2019</v>
      </c>
      <c r="AO2149">
        <f>IF(AND(emissions[[#This Row],[Market-based]]=0,emissions[[#This Row],[Impact Type]]="CO2E"),emissions[[#This Row],[kgCO2e]],0)/1000</f>
        <v>5.5575813839999997</v>
      </c>
      <c r="AP2149">
        <f>IF(AND(emissions[[#This Row],[Market-based]]=1,OR(emissions[[#This Row],[Impact Type]]="CO2E",emissions[[#This Row],[Impact Type]]="CO2E MKT")),emissions[[#This Row],[kgCO2e]],0)/1000</f>
        <v>0</v>
      </c>
      <c r="AQ2149" t="str">
        <f>_xlfn.TEXTAFTER(emissions[[#This Row],[Reporting Unit]]," &gt; ",LEN(emissions[[#This Row],[Reporting Unit]])-LEN(SUBSTITUTE(emissions[[#This Row],[Reporting Unit]],"&gt;","")))</f>
        <v>Vantage_Buenos Aires</v>
      </c>
      <c r="AR2149" t="str">
        <f>_xlfn.XLOOKUP(emissions[[#This Row],[Reporting unit name]],hierarchy!$A:$A,hierarchy!$C:$C)</f>
        <v>Factory</v>
      </c>
    </row>
    <row r="2150" spans="1:44" hidden="1" x14ac:dyDescent="0.25">
      <c r="A2150">
        <v>4942</v>
      </c>
      <c r="B2150" t="s">
        <v>235</v>
      </c>
      <c r="C2150" t="s">
        <v>520</v>
      </c>
      <c r="D2150" t="s">
        <v>599</v>
      </c>
      <c r="E2150" s="3">
        <v>44197</v>
      </c>
      <c r="F2150" s="3">
        <v>44561</v>
      </c>
      <c r="G2150" t="s">
        <v>108</v>
      </c>
      <c r="H2150" s="3">
        <v>44197</v>
      </c>
      <c r="I2150" s="3">
        <v>44561</v>
      </c>
      <c r="J2150" t="s">
        <v>108</v>
      </c>
      <c r="K2150">
        <v>136215.23000000001</v>
      </c>
      <c r="L2150" t="s">
        <v>109</v>
      </c>
      <c r="M2150" t="s">
        <v>82</v>
      </c>
      <c r="O2150" t="s">
        <v>600</v>
      </c>
      <c r="P2150" t="s">
        <v>550</v>
      </c>
      <c r="Q2150">
        <v>2021</v>
      </c>
      <c r="R2150" t="s">
        <v>579</v>
      </c>
      <c r="S2150" t="s">
        <v>580</v>
      </c>
      <c r="T2150" t="s">
        <v>581</v>
      </c>
      <c r="U2150" t="b">
        <v>0</v>
      </c>
      <c r="V2150" t="s">
        <v>994</v>
      </c>
      <c r="W2150" t="s">
        <v>571</v>
      </c>
      <c r="X2150" t="s">
        <v>572</v>
      </c>
      <c r="Y2150" t="s">
        <v>472</v>
      </c>
      <c r="Z2150" t="s">
        <v>491</v>
      </c>
      <c r="AA2150" t="s">
        <v>991</v>
      </c>
      <c r="AC2150">
        <v>1</v>
      </c>
      <c r="AD2150" t="s">
        <v>565</v>
      </c>
      <c r="AE2150">
        <v>5557.5813840000001</v>
      </c>
      <c r="AF2150" t="s">
        <v>559</v>
      </c>
      <c r="AG2150" t="s">
        <v>560</v>
      </c>
      <c r="AH2150">
        <v>1</v>
      </c>
      <c r="AI2150">
        <v>136215.23000000001</v>
      </c>
      <c r="AJ2150" t="s">
        <v>561</v>
      </c>
      <c r="AK2150" t="s">
        <v>562</v>
      </c>
      <c r="AL2150" t="s">
        <v>601</v>
      </c>
      <c r="AM2150">
        <v>2021</v>
      </c>
      <c r="AN2150">
        <v>2019</v>
      </c>
      <c r="AO2150">
        <f>IF(AND(emissions[[#This Row],[Market-based]]=0,emissions[[#This Row],[Impact Type]]="CO2E"),emissions[[#This Row],[kgCO2e]],0)/1000</f>
        <v>0</v>
      </c>
      <c r="AP2150">
        <f>IF(AND(emissions[[#This Row],[Market-based]]=1,OR(emissions[[#This Row],[Impact Type]]="CO2E",emissions[[#This Row],[Impact Type]]="CO2E MKT")),emissions[[#This Row],[kgCO2e]],0)/1000</f>
        <v>5.5575813839999997</v>
      </c>
      <c r="AQ2150" t="str">
        <f>_xlfn.TEXTAFTER(emissions[[#This Row],[Reporting Unit]]," &gt; ",LEN(emissions[[#This Row],[Reporting Unit]])-LEN(SUBSTITUTE(emissions[[#This Row],[Reporting Unit]],"&gt;","")))</f>
        <v>Vantage_Buenos Aires</v>
      </c>
      <c r="AR2150" t="str">
        <f>_xlfn.XLOOKUP(emissions[[#This Row],[Reporting unit name]],hierarchy!$A:$A,hierarchy!$C:$C)</f>
        <v>Factory</v>
      </c>
    </row>
    <row r="2151" spans="1:44" hidden="1" x14ac:dyDescent="0.25">
      <c r="A2151">
        <v>4969</v>
      </c>
      <c r="B2151" t="s">
        <v>235</v>
      </c>
      <c r="C2151" t="s">
        <v>520</v>
      </c>
      <c r="D2151" t="s">
        <v>599</v>
      </c>
      <c r="E2151" s="3">
        <v>44197</v>
      </c>
      <c r="F2151" s="3">
        <v>44561</v>
      </c>
      <c r="G2151" t="s">
        <v>135</v>
      </c>
      <c r="H2151" s="3">
        <v>44197</v>
      </c>
      <c r="I2151" s="3">
        <v>44561</v>
      </c>
      <c r="J2151" t="s">
        <v>135</v>
      </c>
      <c r="K2151">
        <v>0</v>
      </c>
      <c r="L2151" t="s">
        <v>140</v>
      </c>
      <c r="M2151" t="s">
        <v>82</v>
      </c>
      <c r="O2151" t="s">
        <v>600</v>
      </c>
      <c r="P2151" t="s">
        <v>550</v>
      </c>
      <c r="Q2151">
        <v>2021</v>
      </c>
      <c r="R2151" t="s">
        <v>605</v>
      </c>
      <c r="S2151" t="s">
        <v>606</v>
      </c>
      <c r="T2151" t="s">
        <v>553</v>
      </c>
      <c r="U2151" t="b">
        <v>0</v>
      </c>
      <c r="V2151" t="s">
        <v>781</v>
      </c>
      <c r="W2151" t="s">
        <v>587</v>
      </c>
      <c r="X2151" t="s">
        <v>556</v>
      </c>
      <c r="Y2151" t="s">
        <v>472</v>
      </c>
      <c r="AC2151">
        <v>0</v>
      </c>
      <c r="AD2151" t="s">
        <v>558</v>
      </c>
      <c r="AE2151">
        <v>0</v>
      </c>
      <c r="AF2151">
        <v>2.5000000000000001E-2</v>
      </c>
      <c r="AG2151" t="s">
        <v>798</v>
      </c>
      <c r="AH2151">
        <v>9.9999999999999995E-7</v>
      </c>
      <c r="AI2151">
        <v>0</v>
      </c>
      <c r="AJ2151" t="s">
        <v>561</v>
      </c>
      <c r="AK2151" t="s">
        <v>766</v>
      </c>
      <c r="AL2151" t="s">
        <v>790</v>
      </c>
      <c r="AM2151">
        <v>2021</v>
      </c>
      <c r="AN2151">
        <v>2021</v>
      </c>
      <c r="AO2151">
        <f>IF(AND(emissions[[#This Row],[Market-based]]=0,emissions[[#This Row],[Impact Type]]="CO2E"),emissions[[#This Row],[kgCO2e]],0)/1000</f>
        <v>0</v>
      </c>
      <c r="AP2151">
        <f>IF(AND(emissions[[#This Row],[Market-based]]=1,OR(emissions[[#This Row],[Impact Type]]="CO2E",emissions[[#This Row],[Impact Type]]="CO2E MKT")),emissions[[#This Row],[kgCO2e]],0)/1000</f>
        <v>0</v>
      </c>
      <c r="AQ2151" t="str">
        <f>_xlfn.TEXTAFTER(emissions[[#This Row],[Reporting Unit]]," &gt; ",LEN(emissions[[#This Row],[Reporting Unit]])-LEN(SUBSTITUTE(emissions[[#This Row],[Reporting Unit]],"&gt;","")))</f>
        <v>Vantage_Buenos Aires</v>
      </c>
      <c r="AR2151" t="str">
        <f>_xlfn.XLOOKUP(emissions[[#This Row],[Reporting unit name]],hierarchy!$A:$A,hierarchy!$C:$C)</f>
        <v>Factory</v>
      </c>
    </row>
    <row r="2152" spans="1:44" hidden="1" x14ac:dyDescent="0.25">
      <c r="A2152">
        <v>4969</v>
      </c>
      <c r="B2152" t="s">
        <v>235</v>
      </c>
      <c r="C2152" t="s">
        <v>520</v>
      </c>
      <c r="D2152" t="s">
        <v>599</v>
      </c>
      <c r="E2152" s="3">
        <v>44197</v>
      </c>
      <c r="F2152" s="3">
        <v>44561</v>
      </c>
      <c r="G2152" t="s">
        <v>135</v>
      </c>
      <c r="H2152" s="3">
        <v>44197</v>
      </c>
      <c r="I2152" s="3">
        <v>44561</v>
      </c>
      <c r="J2152" t="s">
        <v>135</v>
      </c>
      <c r="K2152">
        <v>0</v>
      </c>
      <c r="L2152" t="s">
        <v>140</v>
      </c>
      <c r="M2152" t="s">
        <v>82</v>
      </c>
      <c r="O2152" t="s">
        <v>600</v>
      </c>
      <c r="P2152" t="s">
        <v>550</v>
      </c>
      <c r="Q2152">
        <v>2021</v>
      </c>
      <c r="R2152" t="s">
        <v>605</v>
      </c>
      <c r="S2152" t="s">
        <v>606</v>
      </c>
      <c r="T2152" t="s">
        <v>553</v>
      </c>
      <c r="U2152" t="b">
        <v>0</v>
      </c>
      <c r="V2152" t="s">
        <v>781</v>
      </c>
      <c r="W2152" t="s">
        <v>587</v>
      </c>
      <c r="X2152" t="s">
        <v>556</v>
      </c>
      <c r="Y2152" t="s">
        <v>472</v>
      </c>
      <c r="AC2152">
        <v>0</v>
      </c>
      <c r="AD2152" t="s">
        <v>564</v>
      </c>
      <c r="AE2152">
        <v>0</v>
      </c>
      <c r="AF2152">
        <v>53.06</v>
      </c>
      <c r="AG2152" t="s">
        <v>798</v>
      </c>
      <c r="AH2152">
        <v>9.9999999999999995E-7</v>
      </c>
      <c r="AI2152">
        <v>0</v>
      </c>
      <c r="AJ2152" t="s">
        <v>561</v>
      </c>
      <c r="AK2152" t="s">
        <v>766</v>
      </c>
      <c r="AL2152" t="s">
        <v>787</v>
      </c>
      <c r="AM2152">
        <v>2021</v>
      </c>
      <c r="AN2152">
        <v>2020</v>
      </c>
      <c r="AO2152">
        <f>IF(AND(emissions[[#This Row],[Market-based]]=0,emissions[[#This Row],[Impact Type]]="CO2E"),emissions[[#This Row],[kgCO2e]],0)/1000</f>
        <v>0</v>
      </c>
      <c r="AP2152">
        <f>IF(AND(emissions[[#This Row],[Market-based]]=1,OR(emissions[[#This Row],[Impact Type]]="CO2E",emissions[[#This Row],[Impact Type]]="CO2E MKT")),emissions[[#This Row],[kgCO2e]],0)/1000</f>
        <v>0</v>
      </c>
      <c r="AQ2152" t="str">
        <f>_xlfn.TEXTAFTER(emissions[[#This Row],[Reporting Unit]]," &gt; ",LEN(emissions[[#This Row],[Reporting Unit]])-LEN(SUBSTITUTE(emissions[[#This Row],[Reporting Unit]],"&gt;","")))</f>
        <v>Vantage_Buenos Aires</v>
      </c>
      <c r="AR2152" t="str">
        <f>_xlfn.XLOOKUP(emissions[[#This Row],[Reporting unit name]],hierarchy!$A:$A,hierarchy!$C:$C)</f>
        <v>Factory</v>
      </c>
    </row>
    <row r="2153" spans="1:44" hidden="1" x14ac:dyDescent="0.25">
      <c r="A2153">
        <v>4969</v>
      </c>
      <c r="B2153" t="s">
        <v>235</v>
      </c>
      <c r="C2153" t="s">
        <v>520</v>
      </c>
      <c r="D2153" t="s">
        <v>599</v>
      </c>
      <c r="E2153" s="3">
        <v>44197</v>
      </c>
      <c r="F2153" s="3">
        <v>44561</v>
      </c>
      <c r="G2153" t="s">
        <v>135</v>
      </c>
      <c r="H2153" s="3">
        <v>44197</v>
      </c>
      <c r="I2153" s="3">
        <v>44561</v>
      </c>
      <c r="J2153" t="s">
        <v>135</v>
      </c>
      <c r="K2153">
        <v>0</v>
      </c>
      <c r="L2153" t="s">
        <v>140</v>
      </c>
      <c r="M2153" t="s">
        <v>82</v>
      </c>
      <c r="O2153" t="s">
        <v>600</v>
      </c>
      <c r="P2153" t="s">
        <v>550</v>
      </c>
      <c r="Q2153">
        <v>2021</v>
      </c>
      <c r="R2153" t="s">
        <v>605</v>
      </c>
      <c r="S2153" t="s">
        <v>606</v>
      </c>
      <c r="T2153" t="s">
        <v>553</v>
      </c>
      <c r="U2153" t="b">
        <v>0</v>
      </c>
      <c r="V2153" t="s">
        <v>781</v>
      </c>
      <c r="W2153" t="s">
        <v>587</v>
      </c>
      <c r="X2153" t="s">
        <v>556</v>
      </c>
      <c r="Y2153" t="s">
        <v>472</v>
      </c>
      <c r="AC2153">
        <v>0</v>
      </c>
      <c r="AD2153" t="s">
        <v>565</v>
      </c>
      <c r="AE2153">
        <v>0</v>
      </c>
      <c r="AF2153">
        <v>53.114800000000002</v>
      </c>
      <c r="AG2153" t="s">
        <v>798</v>
      </c>
      <c r="AH2153">
        <v>9.9999999999999995E-7</v>
      </c>
      <c r="AI2153">
        <v>0</v>
      </c>
      <c r="AJ2153" t="s">
        <v>561</v>
      </c>
      <c r="AK2153" t="s">
        <v>766</v>
      </c>
      <c r="AL2153" t="s">
        <v>790</v>
      </c>
      <c r="AM2153">
        <v>2021</v>
      </c>
      <c r="AN2153">
        <v>2021</v>
      </c>
      <c r="AO2153">
        <f>IF(AND(emissions[[#This Row],[Market-based]]=0,emissions[[#This Row],[Impact Type]]="CO2E"),emissions[[#This Row],[kgCO2e]],0)/1000</f>
        <v>0</v>
      </c>
      <c r="AP2153">
        <f>IF(AND(emissions[[#This Row],[Market-based]]=1,OR(emissions[[#This Row],[Impact Type]]="CO2E",emissions[[#This Row],[Impact Type]]="CO2E MKT")),emissions[[#This Row],[kgCO2e]],0)/1000</f>
        <v>0</v>
      </c>
      <c r="AQ2153" t="str">
        <f>_xlfn.TEXTAFTER(emissions[[#This Row],[Reporting Unit]]," &gt; ",LEN(emissions[[#This Row],[Reporting Unit]])-LEN(SUBSTITUTE(emissions[[#This Row],[Reporting Unit]],"&gt;","")))</f>
        <v>Vantage_Buenos Aires</v>
      </c>
      <c r="AR2153" t="str">
        <f>_xlfn.XLOOKUP(emissions[[#This Row],[Reporting unit name]],hierarchy!$A:$A,hierarchy!$C:$C)</f>
        <v>Factory</v>
      </c>
    </row>
    <row r="2154" spans="1:44" hidden="1" x14ac:dyDescent="0.25">
      <c r="A2154">
        <v>4969</v>
      </c>
      <c r="B2154" t="s">
        <v>235</v>
      </c>
      <c r="C2154" t="s">
        <v>520</v>
      </c>
      <c r="D2154" t="s">
        <v>599</v>
      </c>
      <c r="E2154" s="3">
        <v>44197</v>
      </c>
      <c r="F2154" s="3">
        <v>44561</v>
      </c>
      <c r="G2154" t="s">
        <v>135</v>
      </c>
      <c r="H2154" s="3">
        <v>44197</v>
      </c>
      <c r="I2154" s="3">
        <v>44561</v>
      </c>
      <c r="J2154" t="s">
        <v>135</v>
      </c>
      <c r="K2154">
        <v>0</v>
      </c>
      <c r="L2154" t="s">
        <v>140</v>
      </c>
      <c r="M2154" t="s">
        <v>82</v>
      </c>
      <c r="O2154" t="s">
        <v>600</v>
      </c>
      <c r="P2154" t="s">
        <v>550</v>
      </c>
      <c r="Q2154">
        <v>2021</v>
      </c>
      <c r="R2154" t="s">
        <v>605</v>
      </c>
      <c r="S2154" t="s">
        <v>606</v>
      </c>
      <c r="T2154" t="s">
        <v>553</v>
      </c>
      <c r="U2154" t="b">
        <v>0</v>
      </c>
      <c r="V2154" t="s">
        <v>781</v>
      </c>
      <c r="W2154" t="s">
        <v>587</v>
      </c>
      <c r="X2154" t="s">
        <v>556</v>
      </c>
      <c r="Y2154" t="s">
        <v>472</v>
      </c>
      <c r="AC2154">
        <v>0</v>
      </c>
      <c r="AD2154" t="s">
        <v>566</v>
      </c>
      <c r="AE2154">
        <v>0</v>
      </c>
      <c r="AF2154">
        <v>2.98E-2</v>
      </c>
      <c r="AG2154" t="s">
        <v>798</v>
      </c>
      <c r="AH2154">
        <v>9.9999999999999995E-7</v>
      </c>
      <c r="AI2154">
        <v>0</v>
      </c>
      <c r="AJ2154" t="s">
        <v>561</v>
      </c>
      <c r="AK2154" t="s">
        <v>766</v>
      </c>
      <c r="AL2154" t="s">
        <v>790</v>
      </c>
      <c r="AM2154">
        <v>2021</v>
      </c>
      <c r="AN2154">
        <v>2021</v>
      </c>
      <c r="AO2154">
        <f>IF(AND(emissions[[#This Row],[Market-based]]=0,emissions[[#This Row],[Impact Type]]="CO2E"),emissions[[#This Row],[kgCO2e]],0)/1000</f>
        <v>0</v>
      </c>
      <c r="AP2154">
        <f>IF(AND(emissions[[#This Row],[Market-based]]=1,OR(emissions[[#This Row],[Impact Type]]="CO2E",emissions[[#This Row],[Impact Type]]="CO2E MKT")),emissions[[#This Row],[kgCO2e]],0)/1000</f>
        <v>0</v>
      </c>
      <c r="AQ2154" t="str">
        <f>_xlfn.TEXTAFTER(emissions[[#This Row],[Reporting Unit]]," &gt; ",LEN(emissions[[#This Row],[Reporting Unit]])-LEN(SUBSTITUTE(emissions[[#This Row],[Reporting Unit]],"&gt;","")))</f>
        <v>Vantage_Buenos Aires</v>
      </c>
      <c r="AR2154" t="str">
        <f>_xlfn.XLOOKUP(emissions[[#This Row],[Reporting unit name]],hierarchy!$A:$A,hierarchy!$C:$C)</f>
        <v>Factory</v>
      </c>
    </row>
    <row r="2155" spans="1:44" hidden="1" x14ac:dyDescent="0.25">
      <c r="A2155">
        <v>4969</v>
      </c>
      <c r="B2155" t="s">
        <v>235</v>
      </c>
      <c r="C2155" t="s">
        <v>520</v>
      </c>
      <c r="D2155" t="s">
        <v>599</v>
      </c>
      <c r="E2155" s="3">
        <v>44197</v>
      </c>
      <c r="F2155" s="3">
        <v>44561</v>
      </c>
      <c r="G2155" t="s">
        <v>135</v>
      </c>
      <c r="H2155" s="3">
        <v>44197</v>
      </c>
      <c r="I2155" s="3">
        <v>44561</v>
      </c>
      <c r="J2155" t="s">
        <v>135</v>
      </c>
      <c r="K2155">
        <v>0</v>
      </c>
      <c r="L2155" t="s">
        <v>140</v>
      </c>
      <c r="M2155" t="s">
        <v>82</v>
      </c>
      <c r="O2155" t="s">
        <v>600</v>
      </c>
      <c r="P2155" t="s">
        <v>550</v>
      </c>
      <c r="Q2155">
        <v>2021</v>
      </c>
      <c r="R2155" t="s">
        <v>605</v>
      </c>
      <c r="S2155" t="s">
        <v>606</v>
      </c>
      <c r="T2155" t="s">
        <v>553</v>
      </c>
      <c r="U2155" t="b">
        <v>0</v>
      </c>
      <c r="V2155" t="s">
        <v>781</v>
      </c>
      <c r="W2155" t="s">
        <v>587</v>
      </c>
      <c r="X2155" t="s">
        <v>556</v>
      </c>
      <c r="Y2155" t="s">
        <v>472</v>
      </c>
      <c r="AC2155">
        <v>1</v>
      </c>
      <c r="AD2155" t="s">
        <v>558</v>
      </c>
      <c r="AE2155">
        <v>0</v>
      </c>
      <c r="AF2155">
        <v>2.5000000000000001E-2</v>
      </c>
      <c r="AG2155" t="s">
        <v>798</v>
      </c>
      <c r="AH2155">
        <v>9.9999999999999995E-7</v>
      </c>
      <c r="AI2155">
        <v>0</v>
      </c>
      <c r="AJ2155" t="s">
        <v>561</v>
      </c>
      <c r="AK2155" t="s">
        <v>766</v>
      </c>
      <c r="AL2155" t="s">
        <v>790</v>
      </c>
      <c r="AM2155">
        <v>2021</v>
      </c>
      <c r="AN2155">
        <v>2021</v>
      </c>
      <c r="AO2155">
        <f>IF(AND(emissions[[#This Row],[Market-based]]=0,emissions[[#This Row],[Impact Type]]="CO2E"),emissions[[#This Row],[kgCO2e]],0)/1000</f>
        <v>0</v>
      </c>
      <c r="AP2155">
        <f>IF(AND(emissions[[#This Row],[Market-based]]=1,OR(emissions[[#This Row],[Impact Type]]="CO2E",emissions[[#This Row],[Impact Type]]="CO2E MKT")),emissions[[#This Row],[kgCO2e]],0)/1000</f>
        <v>0</v>
      </c>
      <c r="AQ2155" t="str">
        <f>_xlfn.TEXTAFTER(emissions[[#This Row],[Reporting Unit]]," &gt; ",LEN(emissions[[#This Row],[Reporting Unit]])-LEN(SUBSTITUTE(emissions[[#This Row],[Reporting Unit]],"&gt;","")))</f>
        <v>Vantage_Buenos Aires</v>
      </c>
      <c r="AR2155" t="str">
        <f>_xlfn.XLOOKUP(emissions[[#This Row],[Reporting unit name]],hierarchy!$A:$A,hierarchy!$C:$C)</f>
        <v>Factory</v>
      </c>
    </row>
    <row r="2156" spans="1:44" hidden="1" x14ac:dyDescent="0.25">
      <c r="A2156">
        <v>4969</v>
      </c>
      <c r="B2156" t="s">
        <v>235</v>
      </c>
      <c r="C2156" t="s">
        <v>520</v>
      </c>
      <c r="D2156" t="s">
        <v>599</v>
      </c>
      <c r="E2156" s="3">
        <v>44197</v>
      </c>
      <c r="F2156" s="3">
        <v>44561</v>
      </c>
      <c r="G2156" t="s">
        <v>135</v>
      </c>
      <c r="H2156" s="3">
        <v>44197</v>
      </c>
      <c r="I2156" s="3">
        <v>44561</v>
      </c>
      <c r="J2156" t="s">
        <v>135</v>
      </c>
      <c r="K2156">
        <v>0</v>
      </c>
      <c r="L2156" t="s">
        <v>140</v>
      </c>
      <c r="M2156" t="s">
        <v>82</v>
      </c>
      <c r="O2156" t="s">
        <v>600</v>
      </c>
      <c r="P2156" t="s">
        <v>550</v>
      </c>
      <c r="Q2156">
        <v>2021</v>
      </c>
      <c r="R2156" t="s">
        <v>605</v>
      </c>
      <c r="S2156" t="s">
        <v>606</v>
      </c>
      <c r="T2156" t="s">
        <v>553</v>
      </c>
      <c r="U2156" t="b">
        <v>0</v>
      </c>
      <c r="V2156" t="s">
        <v>781</v>
      </c>
      <c r="W2156" t="s">
        <v>587</v>
      </c>
      <c r="X2156" t="s">
        <v>556</v>
      </c>
      <c r="Y2156" t="s">
        <v>472</v>
      </c>
      <c r="AC2156">
        <v>1</v>
      </c>
      <c r="AD2156" t="s">
        <v>564</v>
      </c>
      <c r="AE2156">
        <v>0</v>
      </c>
      <c r="AF2156">
        <v>53.06</v>
      </c>
      <c r="AG2156" t="s">
        <v>798</v>
      </c>
      <c r="AH2156">
        <v>9.9999999999999995E-7</v>
      </c>
      <c r="AI2156">
        <v>0</v>
      </c>
      <c r="AJ2156" t="s">
        <v>561</v>
      </c>
      <c r="AK2156" t="s">
        <v>766</v>
      </c>
      <c r="AL2156" t="s">
        <v>787</v>
      </c>
      <c r="AM2156">
        <v>2021</v>
      </c>
      <c r="AN2156">
        <v>2020</v>
      </c>
      <c r="AO2156">
        <f>IF(AND(emissions[[#This Row],[Market-based]]=0,emissions[[#This Row],[Impact Type]]="CO2E"),emissions[[#This Row],[kgCO2e]],0)/1000</f>
        <v>0</v>
      </c>
      <c r="AP2156">
        <f>IF(AND(emissions[[#This Row],[Market-based]]=1,OR(emissions[[#This Row],[Impact Type]]="CO2E",emissions[[#This Row],[Impact Type]]="CO2E MKT")),emissions[[#This Row],[kgCO2e]],0)/1000</f>
        <v>0</v>
      </c>
      <c r="AQ2156" t="str">
        <f>_xlfn.TEXTAFTER(emissions[[#This Row],[Reporting Unit]]," &gt; ",LEN(emissions[[#This Row],[Reporting Unit]])-LEN(SUBSTITUTE(emissions[[#This Row],[Reporting Unit]],"&gt;","")))</f>
        <v>Vantage_Buenos Aires</v>
      </c>
      <c r="AR2156" t="str">
        <f>_xlfn.XLOOKUP(emissions[[#This Row],[Reporting unit name]],hierarchy!$A:$A,hierarchy!$C:$C)</f>
        <v>Factory</v>
      </c>
    </row>
    <row r="2157" spans="1:44" hidden="1" x14ac:dyDescent="0.25">
      <c r="A2157">
        <v>4969</v>
      </c>
      <c r="B2157" t="s">
        <v>235</v>
      </c>
      <c r="C2157" t="s">
        <v>520</v>
      </c>
      <c r="D2157" t="s">
        <v>599</v>
      </c>
      <c r="E2157" s="3">
        <v>44197</v>
      </c>
      <c r="F2157" s="3">
        <v>44561</v>
      </c>
      <c r="G2157" t="s">
        <v>135</v>
      </c>
      <c r="H2157" s="3">
        <v>44197</v>
      </c>
      <c r="I2157" s="3">
        <v>44561</v>
      </c>
      <c r="J2157" t="s">
        <v>135</v>
      </c>
      <c r="K2157">
        <v>0</v>
      </c>
      <c r="L2157" t="s">
        <v>140</v>
      </c>
      <c r="M2157" t="s">
        <v>82</v>
      </c>
      <c r="O2157" t="s">
        <v>600</v>
      </c>
      <c r="P2157" t="s">
        <v>550</v>
      </c>
      <c r="Q2157">
        <v>2021</v>
      </c>
      <c r="R2157" t="s">
        <v>605</v>
      </c>
      <c r="S2157" t="s">
        <v>606</v>
      </c>
      <c r="T2157" t="s">
        <v>553</v>
      </c>
      <c r="U2157" t="b">
        <v>0</v>
      </c>
      <c r="V2157" t="s">
        <v>781</v>
      </c>
      <c r="W2157" t="s">
        <v>587</v>
      </c>
      <c r="X2157" t="s">
        <v>556</v>
      </c>
      <c r="Y2157" t="s">
        <v>472</v>
      </c>
      <c r="AC2157">
        <v>1</v>
      </c>
      <c r="AD2157" t="s">
        <v>565</v>
      </c>
      <c r="AE2157">
        <v>0</v>
      </c>
      <c r="AF2157">
        <v>53.114800000000002</v>
      </c>
      <c r="AG2157" t="s">
        <v>798</v>
      </c>
      <c r="AH2157">
        <v>9.9999999999999995E-7</v>
      </c>
      <c r="AI2157">
        <v>0</v>
      </c>
      <c r="AJ2157" t="s">
        <v>561</v>
      </c>
      <c r="AK2157" t="s">
        <v>766</v>
      </c>
      <c r="AL2157" t="s">
        <v>790</v>
      </c>
      <c r="AM2157">
        <v>2021</v>
      </c>
      <c r="AN2157">
        <v>2021</v>
      </c>
      <c r="AO2157">
        <f>IF(AND(emissions[[#This Row],[Market-based]]=0,emissions[[#This Row],[Impact Type]]="CO2E"),emissions[[#This Row],[kgCO2e]],0)/1000</f>
        <v>0</v>
      </c>
      <c r="AP2157">
        <f>IF(AND(emissions[[#This Row],[Market-based]]=1,OR(emissions[[#This Row],[Impact Type]]="CO2E",emissions[[#This Row],[Impact Type]]="CO2E MKT")),emissions[[#This Row],[kgCO2e]],0)/1000</f>
        <v>0</v>
      </c>
      <c r="AQ2157" t="str">
        <f>_xlfn.TEXTAFTER(emissions[[#This Row],[Reporting Unit]]," &gt; ",LEN(emissions[[#This Row],[Reporting Unit]])-LEN(SUBSTITUTE(emissions[[#This Row],[Reporting Unit]],"&gt;","")))</f>
        <v>Vantage_Buenos Aires</v>
      </c>
      <c r="AR2157" t="str">
        <f>_xlfn.XLOOKUP(emissions[[#This Row],[Reporting unit name]],hierarchy!$A:$A,hierarchy!$C:$C)</f>
        <v>Factory</v>
      </c>
    </row>
    <row r="2158" spans="1:44" hidden="1" x14ac:dyDescent="0.25">
      <c r="A2158">
        <v>4969</v>
      </c>
      <c r="B2158" t="s">
        <v>235</v>
      </c>
      <c r="C2158" t="s">
        <v>520</v>
      </c>
      <c r="D2158" t="s">
        <v>599</v>
      </c>
      <c r="E2158" s="3">
        <v>44197</v>
      </c>
      <c r="F2158" s="3">
        <v>44561</v>
      </c>
      <c r="G2158" t="s">
        <v>135</v>
      </c>
      <c r="H2158" s="3">
        <v>44197</v>
      </c>
      <c r="I2158" s="3">
        <v>44561</v>
      </c>
      <c r="J2158" t="s">
        <v>135</v>
      </c>
      <c r="K2158">
        <v>0</v>
      </c>
      <c r="L2158" t="s">
        <v>140</v>
      </c>
      <c r="M2158" t="s">
        <v>82</v>
      </c>
      <c r="O2158" t="s">
        <v>600</v>
      </c>
      <c r="P2158" t="s">
        <v>550</v>
      </c>
      <c r="Q2158">
        <v>2021</v>
      </c>
      <c r="R2158" t="s">
        <v>605</v>
      </c>
      <c r="S2158" t="s">
        <v>606</v>
      </c>
      <c r="T2158" t="s">
        <v>553</v>
      </c>
      <c r="U2158" t="b">
        <v>0</v>
      </c>
      <c r="V2158" t="s">
        <v>781</v>
      </c>
      <c r="W2158" t="s">
        <v>587</v>
      </c>
      <c r="X2158" t="s">
        <v>556</v>
      </c>
      <c r="Y2158" t="s">
        <v>472</v>
      </c>
      <c r="AC2158">
        <v>1</v>
      </c>
      <c r="AD2158" t="s">
        <v>566</v>
      </c>
      <c r="AE2158">
        <v>0</v>
      </c>
      <c r="AF2158">
        <v>2.98E-2</v>
      </c>
      <c r="AG2158" t="s">
        <v>798</v>
      </c>
      <c r="AH2158">
        <v>9.9999999999999995E-7</v>
      </c>
      <c r="AI2158">
        <v>0</v>
      </c>
      <c r="AJ2158" t="s">
        <v>561</v>
      </c>
      <c r="AK2158" t="s">
        <v>766</v>
      </c>
      <c r="AL2158" t="s">
        <v>790</v>
      </c>
      <c r="AM2158">
        <v>2021</v>
      </c>
      <c r="AN2158">
        <v>2021</v>
      </c>
      <c r="AO2158">
        <f>IF(AND(emissions[[#This Row],[Market-based]]=0,emissions[[#This Row],[Impact Type]]="CO2E"),emissions[[#This Row],[kgCO2e]],0)/1000</f>
        <v>0</v>
      </c>
      <c r="AP2158">
        <f>IF(AND(emissions[[#This Row],[Market-based]]=1,OR(emissions[[#This Row],[Impact Type]]="CO2E",emissions[[#This Row],[Impact Type]]="CO2E MKT")),emissions[[#This Row],[kgCO2e]],0)/1000</f>
        <v>0</v>
      </c>
      <c r="AQ2158" t="str">
        <f>_xlfn.TEXTAFTER(emissions[[#This Row],[Reporting Unit]]," &gt; ",LEN(emissions[[#This Row],[Reporting Unit]])-LEN(SUBSTITUTE(emissions[[#This Row],[Reporting Unit]],"&gt;","")))</f>
        <v>Vantage_Buenos Aires</v>
      </c>
      <c r="AR2158" t="str">
        <f>_xlfn.XLOOKUP(emissions[[#This Row],[Reporting unit name]],hierarchy!$A:$A,hierarchy!$C:$C)</f>
        <v>Factory</v>
      </c>
    </row>
    <row r="2159" spans="1:44" hidden="1" x14ac:dyDescent="0.25">
      <c r="A2159">
        <v>4969</v>
      </c>
      <c r="B2159" t="s">
        <v>235</v>
      </c>
      <c r="C2159" t="s">
        <v>520</v>
      </c>
      <c r="D2159" t="s">
        <v>599</v>
      </c>
      <c r="E2159" s="3">
        <v>44197</v>
      </c>
      <c r="F2159" s="3">
        <v>44561</v>
      </c>
      <c r="G2159" t="s">
        <v>135</v>
      </c>
      <c r="H2159" s="3">
        <v>44197</v>
      </c>
      <c r="I2159" s="3">
        <v>44561</v>
      </c>
      <c r="J2159" t="s">
        <v>135</v>
      </c>
      <c r="K2159">
        <v>0</v>
      </c>
      <c r="L2159" t="s">
        <v>140</v>
      </c>
      <c r="M2159" t="s">
        <v>82</v>
      </c>
      <c r="O2159" t="s">
        <v>600</v>
      </c>
      <c r="P2159" t="s">
        <v>550</v>
      </c>
      <c r="Q2159">
        <v>2021</v>
      </c>
      <c r="R2159" t="s">
        <v>609</v>
      </c>
      <c r="S2159" t="s">
        <v>610</v>
      </c>
      <c r="T2159" t="s">
        <v>577</v>
      </c>
      <c r="U2159" t="b">
        <v>0</v>
      </c>
      <c r="V2159" t="s">
        <v>611</v>
      </c>
      <c r="W2159" t="s">
        <v>571</v>
      </c>
      <c r="X2159" t="s">
        <v>572</v>
      </c>
      <c r="AC2159">
        <v>0</v>
      </c>
      <c r="AD2159" t="s">
        <v>565</v>
      </c>
      <c r="AE2159">
        <v>0</v>
      </c>
      <c r="AF2159">
        <v>3.1350000000000003E-2</v>
      </c>
      <c r="AG2159" t="s">
        <v>608</v>
      </c>
      <c r="AH2159">
        <v>2.9306999999999998E-4</v>
      </c>
      <c r="AI2159">
        <v>0</v>
      </c>
      <c r="AJ2159" t="s">
        <v>561</v>
      </c>
      <c r="AK2159" t="s">
        <v>589</v>
      </c>
      <c r="AL2159" t="s">
        <v>603</v>
      </c>
      <c r="AM2159">
        <v>2021</v>
      </c>
      <c r="AN2159">
        <v>2019</v>
      </c>
      <c r="AO2159">
        <f>IF(AND(emissions[[#This Row],[Market-based]]=0,emissions[[#This Row],[Impact Type]]="CO2E"),emissions[[#This Row],[kgCO2e]],0)/1000</f>
        <v>0</v>
      </c>
      <c r="AP2159">
        <f>IF(AND(emissions[[#This Row],[Market-based]]=1,OR(emissions[[#This Row],[Impact Type]]="CO2E",emissions[[#This Row],[Impact Type]]="CO2E MKT")),emissions[[#This Row],[kgCO2e]],0)/1000</f>
        <v>0</v>
      </c>
      <c r="AQ2159" t="str">
        <f>_xlfn.TEXTAFTER(emissions[[#This Row],[Reporting Unit]]," &gt; ",LEN(emissions[[#This Row],[Reporting Unit]])-LEN(SUBSTITUTE(emissions[[#This Row],[Reporting Unit]],"&gt;","")))</f>
        <v>Vantage_Buenos Aires</v>
      </c>
      <c r="AR2159" t="str">
        <f>_xlfn.XLOOKUP(emissions[[#This Row],[Reporting unit name]],hierarchy!$A:$A,hierarchy!$C:$C)</f>
        <v>Factory</v>
      </c>
    </row>
    <row r="2160" spans="1:44" hidden="1" x14ac:dyDescent="0.25">
      <c r="A2160">
        <v>4969</v>
      </c>
      <c r="B2160" t="s">
        <v>235</v>
      </c>
      <c r="C2160" t="s">
        <v>520</v>
      </c>
      <c r="D2160" t="s">
        <v>599</v>
      </c>
      <c r="E2160" s="3">
        <v>44197</v>
      </c>
      <c r="F2160" s="3">
        <v>44561</v>
      </c>
      <c r="G2160" t="s">
        <v>135</v>
      </c>
      <c r="H2160" s="3">
        <v>44197</v>
      </c>
      <c r="I2160" s="3">
        <v>44561</v>
      </c>
      <c r="J2160" t="s">
        <v>135</v>
      </c>
      <c r="K2160">
        <v>0</v>
      </c>
      <c r="L2160" t="s">
        <v>140</v>
      </c>
      <c r="M2160" t="s">
        <v>82</v>
      </c>
      <c r="O2160" t="s">
        <v>600</v>
      </c>
      <c r="P2160" t="s">
        <v>550</v>
      </c>
      <c r="Q2160">
        <v>2021</v>
      </c>
      <c r="R2160" t="s">
        <v>609</v>
      </c>
      <c r="S2160" t="s">
        <v>610</v>
      </c>
      <c r="T2160" t="s">
        <v>577</v>
      </c>
      <c r="U2160" t="b">
        <v>0</v>
      </c>
      <c r="V2160" t="s">
        <v>611</v>
      </c>
      <c r="W2160" t="s">
        <v>571</v>
      </c>
      <c r="X2160" t="s">
        <v>572</v>
      </c>
      <c r="AC2160">
        <v>1</v>
      </c>
      <c r="AD2160" t="s">
        <v>565</v>
      </c>
      <c r="AE2160">
        <v>0</v>
      </c>
      <c r="AF2160">
        <v>3.1350000000000003E-2</v>
      </c>
      <c r="AG2160" t="s">
        <v>608</v>
      </c>
      <c r="AH2160">
        <v>2.9306999999999998E-4</v>
      </c>
      <c r="AI2160">
        <v>0</v>
      </c>
      <c r="AJ2160" t="s">
        <v>561</v>
      </c>
      <c r="AK2160" t="s">
        <v>589</v>
      </c>
      <c r="AL2160" t="s">
        <v>603</v>
      </c>
      <c r="AM2160">
        <v>2021</v>
      </c>
      <c r="AN2160">
        <v>2019</v>
      </c>
      <c r="AO2160">
        <f>IF(AND(emissions[[#This Row],[Market-based]]=0,emissions[[#This Row],[Impact Type]]="CO2E"),emissions[[#This Row],[kgCO2e]],0)/1000</f>
        <v>0</v>
      </c>
      <c r="AP2160">
        <f>IF(AND(emissions[[#This Row],[Market-based]]=1,OR(emissions[[#This Row],[Impact Type]]="CO2E",emissions[[#This Row],[Impact Type]]="CO2E MKT")),emissions[[#This Row],[kgCO2e]],0)/1000</f>
        <v>0</v>
      </c>
      <c r="AQ2160" t="str">
        <f>_xlfn.TEXTAFTER(emissions[[#This Row],[Reporting Unit]]," &gt; ",LEN(emissions[[#This Row],[Reporting Unit]])-LEN(SUBSTITUTE(emissions[[#This Row],[Reporting Unit]],"&gt;","")))</f>
        <v>Vantage_Buenos Aires</v>
      </c>
      <c r="AR2160" t="str">
        <f>_xlfn.XLOOKUP(emissions[[#This Row],[Reporting unit name]],hierarchy!$A:$A,hierarchy!$C:$C)</f>
        <v>Factory</v>
      </c>
    </row>
    <row r="2161" spans="1:44" hidden="1" x14ac:dyDescent="0.25">
      <c r="A2161">
        <v>5000</v>
      </c>
      <c r="B2161" t="s">
        <v>235</v>
      </c>
      <c r="C2161" t="s">
        <v>520</v>
      </c>
      <c r="D2161" t="s">
        <v>599</v>
      </c>
      <c r="E2161" s="3">
        <v>44197</v>
      </c>
      <c r="F2161" s="3">
        <v>44561</v>
      </c>
      <c r="G2161" t="s">
        <v>141</v>
      </c>
      <c r="H2161" s="3">
        <v>44197</v>
      </c>
      <c r="I2161" s="3">
        <v>44561</v>
      </c>
      <c r="J2161" t="s">
        <v>142</v>
      </c>
      <c r="K2161">
        <v>0</v>
      </c>
      <c r="L2161" t="s">
        <v>143</v>
      </c>
      <c r="M2161" t="s">
        <v>82</v>
      </c>
      <c r="O2161" t="s">
        <v>600</v>
      </c>
      <c r="P2161" t="s">
        <v>550</v>
      </c>
      <c r="Q2161">
        <v>2021</v>
      </c>
      <c r="R2161" t="s">
        <v>612</v>
      </c>
      <c r="S2161" t="s">
        <v>613</v>
      </c>
      <c r="T2161" t="s">
        <v>553</v>
      </c>
      <c r="U2161" t="b">
        <v>0</v>
      </c>
      <c r="V2161" t="s">
        <v>614</v>
      </c>
      <c r="W2161" t="s">
        <v>587</v>
      </c>
      <c r="X2161" t="s">
        <v>556</v>
      </c>
      <c r="AC2161">
        <v>0</v>
      </c>
      <c r="AD2161" t="s">
        <v>558</v>
      </c>
      <c r="AE2161">
        <v>0</v>
      </c>
      <c r="AF2161">
        <v>2.5999999999999998E-4</v>
      </c>
      <c r="AG2161" t="s">
        <v>588</v>
      </c>
      <c r="AH2161">
        <v>1</v>
      </c>
      <c r="AI2161">
        <v>0</v>
      </c>
      <c r="AJ2161" t="s">
        <v>561</v>
      </c>
      <c r="AK2161" t="s">
        <v>589</v>
      </c>
      <c r="AL2161" t="s">
        <v>603</v>
      </c>
      <c r="AM2161">
        <v>2021</v>
      </c>
      <c r="AN2161">
        <v>2019</v>
      </c>
      <c r="AO2161">
        <f>IF(AND(emissions[[#This Row],[Market-based]]=0,emissions[[#This Row],[Impact Type]]="CO2E"),emissions[[#This Row],[kgCO2e]],0)/1000</f>
        <v>0</v>
      </c>
      <c r="AP2161">
        <f>IF(AND(emissions[[#This Row],[Market-based]]=1,OR(emissions[[#This Row],[Impact Type]]="CO2E",emissions[[#This Row],[Impact Type]]="CO2E MKT")),emissions[[#This Row],[kgCO2e]],0)/1000</f>
        <v>0</v>
      </c>
      <c r="AQ2161" t="str">
        <f>_xlfn.TEXTAFTER(emissions[[#This Row],[Reporting Unit]]," &gt; ",LEN(emissions[[#This Row],[Reporting Unit]])-LEN(SUBSTITUTE(emissions[[#This Row],[Reporting Unit]],"&gt;","")))</f>
        <v>Vantage_Buenos Aires</v>
      </c>
      <c r="AR2161" t="str">
        <f>_xlfn.XLOOKUP(emissions[[#This Row],[Reporting unit name]],hierarchy!$A:$A,hierarchy!$C:$C)</f>
        <v>Factory</v>
      </c>
    </row>
    <row r="2162" spans="1:44" hidden="1" x14ac:dyDescent="0.25">
      <c r="A2162">
        <v>5000</v>
      </c>
      <c r="B2162" t="s">
        <v>235</v>
      </c>
      <c r="C2162" t="s">
        <v>520</v>
      </c>
      <c r="D2162" t="s">
        <v>599</v>
      </c>
      <c r="E2162" s="3">
        <v>44197</v>
      </c>
      <c r="F2162" s="3">
        <v>44561</v>
      </c>
      <c r="G2162" t="s">
        <v>141</v>
      </c>
      <c r="H2162" s="3">
        <v>44197</v>
      </c>
      <c r="I2162" s="3">
        <v>44561</v>
      </c>
      <c r="J2162" t="s">
        <v>142</v>
      </c>
      <c r="K2162">
        <v>0</v>
      </c>
      <c r="L2162" t="s">
        <v>143</v>
      </c>
      <c r="M2162" t="s">
        <v>82</v>
      </c>
      <c r="O2162" t="s">
        <v>600</v>
      </c>
      <c r="P2162" t="s">
        <v>550</v>
      </c>
      <c r="Q2162">
        <v>2021</v>
      </c>
      <c r="R2162" t="s">
        <v>612</v>
      </c>
      <c r="S2162" t="s">
        <v>613</v>
      </c>
      <c r="T2162" t="s">
        <v>553</v>
      </c>
      <c r="U2162" t="b">
        <v>0</v>
      </c>
      <c r="V2162" t="s">
        <v>614</v>
      </c>
      <c r="W2162" t="s">
        <v>587</v>
      </c>
      <c r="X2162" t="s">
        <v>556</v>
      </c>
      <c r="AC2162">
        <v>0</v>
      </c>
      <c r="AD2162" t="s">
        <v>564</v>
      </c>
      <c r="AE2162">
        <v>0</v>
      </c>
      <c r="AF2162">
        <v>2.6680700000000002</v>
      </c>
      <c r="AG2162" t="s">
        <v>588</v>
      </c>
      <c r="AH2162">
        <v>1</v>
      </c>
      <c r="AI2162">
        <v>0</v>
      </c>
      <c r="AJ2162" t="s">
        <v>561</v>
      </c>
      <c r="AK2162" t="s">
        <v>589</v>
      </c>
      <c r="AL2162" t="s">
        <v>603</v>
      </c>
      <c r="AM2162">
        <v>2021</v>
      </c>
      <c r="AN2162">
        <v>2019</v>
      </c>
      <c r="AO2162">
        <f>IF(AND(emissions[[#This Row],[Market-based]]=0,emissions[[#This Row],[Impact Type]]="CO2E"),emissions[[#This Row],[kgCO2e]],0)/1000</f>
        <v>0</v>
      </c>
      <c r="AP2162">
        <f>IF(AND(emissions[[#This Row],[Market-based]]=1,OR(emissions[[#This Row],[Impact Type]]="CO2E",emissions[[#This Row],[Impact Type]]="CO2E MKT")),emissions[[#This Row],[kgCO2e]],0)/1000</f>
        <v>0</v>
      </c>
      <c r="AQ2162" t="str">
        <f>_xlfn.TEXTAFTER(emissions[[#This Row],[Reporting Unit]]," &gt; ",LEN(emissions[[#This Row],[Reporting Unit]])-LEN(SUBSTITUTE(emissions[[#This Row],[Reporting Unit]],"&gt;","")))</f>
        <v>Vantage_Buenos Aires</v>
      </c>
      <c r="AR2162" t="str">
        <f>_xlfn.XLOOKUP(emissions[[#This Row],[Reporting unit name]],hierarchy!$A:$A,hierarchy!$C:$C)</f>
        <v>Factory</v>
      </c>
    </row>
    <row r="2163" spans="1:44" hidden="1" x14ac:dyDescent="0.25">
      <c r="A2163">
        <v>5000</v>
      </c>
      <c r="B2163" t="s">
        <v>235</v>
      </c>
      <c r="C2163" t="s">
        <v>520</v>
      </c>
      <c r="D2163" t="s">
        <v>599</v>
      </c>
      <c r="E2163" s="3">
        <v>44197</v>
      </c>
      <c r="F2163" s="3">
        <v>44561</v>
      </c>
      <c r="G2163" t="s">
        <v>141</v>
      </c>
      <c r="H2163" s="3">
        <v>44197</v>
      </c>
      <c r="I2163" s="3">
        <v>44561</v>
      </c>
      <c r="J2163" t="s">
        <v>142</v>
      </c>
      <c r="K2163">
        <v>0</v>
      </c>
      <c r="L2163" t="s">
        <v>143</v>
      </c>
      <c r="M2163" t="s">
        <v>82</v>
      </c>
      <c r="O2163" t="s">
        <v>600</v>
      </c>
      <c r="P2163" t="s">
        <v>550</v>
      </c>
      <c r="Q2163">
        <v>2021</v>
      </c>
      <c r="R2163" t="s">
        <v>612</v>
      </c>
      <c r="S2163" t="s">
        <v>613</v>
      </c>
      <c r="T2163" t="s">
        <v>553</v>
      </c>
      <c r="U2163" t="b">
        <v>0</v>
      </c>
      <c r="V2163" t="s">
        <v>614</v>
      </c>
      <c r="W2163" t="s">
        <v>587</v>
      </c>
      <c r="X2163" t="s">
        <v>556</v>
      </c>
      <c r="AC2163">
        <v>0</v>
      </c>
      <c r="AD2163" t="s">
        <v>565</v>
      </c>
      <c r="AE2163">
        <v>0</v>
      </c>
      <c r="AF2163">
        <v>2.70553</v>
      </c>
      <c r="AG2163" t="s">
        <v>588</v>
      </c>
      <c r="AH2163">
        <v>1</v>
      </c>
      <c r="AI2163">
        <v>0</v>
      </c>
      <c r="AJ2163" t="s">
        <v>561</v>
      </c>
      <c r="AK2163" t="s">
        <v>589</v>
      </c>
      <c r="AL2163" t="s">
        <v>603</v>
      </c>
      <c r="AM2163">
        <v>2021</v>
      </c>
      <c r="AN2163">
        <v>2019</v>
      </c>
      <c r="AO2163">
        <f>IF(AND(emissions[[#This Row],[Market-based]]=0,emissions[[#This Row],[Impact Type]]="CO2E"),emissions[[#This Row],[kgCO2e]],0)/1000</f>
        <v>0</v>
      </c>
      <c r="AP2163">
        <f>IF(AND(emissions[[#This Row],[Market-based]]=1,OR(emissions[[#This Row],[Impact Type]]="CO2E",emissions[[#This Row],[Impact Type]]="CO2E MKT")),emissions[[#This Row],[kgCO2e]],0)/1000</f>
        <v>0</v>
      </c>
      <c r="AQ2163" t="str">
        <f>_xlfn.TEXTAFTER(emissions[[#This Row],[Reporting Unit]]," &gt; ",LEN(emissions[[#This Row],[Reporting Unit]])-LEN(SUBSTITUTE(emissions[[#This Row],[Reporting Unit]],"&gt;","")))</f>
        <v>Vantage_Buenos Aires</v>
      </c>
      <c r="AR2163" t="str">
        <f>_xlfn.XLOOKUP(emissions[[#This Row],[Reporting unit name]],hierarchy!$A:$A,hierarchy!$C:$C)</f>
        <v>Factory</v>
      </c>
    </row>
    <row r="2164" spans="1:44" hidden="1" x14ac:dyDescent="0.25">
      <c r="A2164">
        <v>5000</v>
      </c>
      <c r="B2164" t="s">
        <v>235</v>
      </c>
      <c r="C2164" t="s">
        <v>520</v>
      </c>
      <c r="D2164" t="s">
        <v>599</v>
      </c>
      <c r="E2164" s="3">
        <v>44197</v>
      </c>
      <c r="F2164" s="3">
        <v>44561</v>
      </c>
      <c r="G2164" t="s">
        <v>141</v>
      </c>
      <c r="H2164" s="3">
        <v>44197</v>
      </c>
      <c r="I2164" s="3">
        <v>44561</v>
      </c>
      <c r="J2164" t="s">
        <v>142</v>
      </c>
      <c r="K2164">
        <v>0</v>
      </c>
      <c r="L2164" t="s">
        <v>143</v>
      </c>
      <c r="M2164" t="s">
        <v>82</v>
      </c>
      <c r="O2164" t="s">
        <v>600</v>
      </c>
      <c r="P2164" t="s">
        <v>550</v>
      </c>
      <c r="Q2164">
        <v>2021</v>
      </c>
      <c r="R2164" t="s">
        <v>612</v>
      </c>
      <c r="S2164" t="s">
        <v>613</v>
      </c>
      <c r="T2164" t="s">
        <v>553</v>
      </c>
      <c r="U2164" t="b">
        <v>0</v>
      </c>
      <c r="V2164" t="s">
        <v>614</v>
      </c>
      <c r="W2164" t="s">
        <v>587</v>
      </c>
      <c r="X2164" t="s">
        <v>556</v>
      </c>
      <c r="AC2164">
        <v>0</v>
      </c>
      <c r="AD2164" t="s">
        <v>566</v>
      </c>
      <c r="AE2164">
        <v>0</v>
      </c>
      <c r="AF2164">
        <v>3.7199999999999997E-2</v>
      </c>
      <c r="AG2164" t="s">
        <v>588</v>
      </c>
      <c r="AH2164">
        <v>1</v>
      </c>
      <c r="AI2164">
        <v>0</v>
      </c>
      <c r="AJ2164" t="s">
        <v>561</v>
      </c>
      <c r="AK2164" t="s">
        <v>589</v>
      </c>
      <c r="AL2164" t="s">
        <v>603</v>
      </c>
      <c r="AM2164">
        <v>2021</v>
      </c>
      <c r="AN2164">
        <v>2019</v>
      </c>
      <c r="AO2164">
        <f>IF(AND(emissions[[#This Row],[Market-based]]=0,emissions[[#This Row],[Impact Type]]="CO2E"),emissions[[#This Row],[kgCO2e]],0)/1000</f>
        <v>0</v>
      </c>
      <c r="AP2164">
        <f>IF(AND(emissions[[#This Row],[Market-based]]=1,OR(emissions[[#This Row],[Impact Type]]="CO2E",emissions[[#This Row],[Impact Type]]="CO2E MKT")),emissions[[#This Row],[kgCO2e]],0)/1000</f>
        <v>0</v>
      </c>
      <c r="AQ2164" t="str">
        <f>_xlfn.TEXTAFTER(emissions[[#This Row],[Reporting Unit]]," &gt; ",LEN(emissions[[#This Row],[Reporting Unit]])-LEN(SUBSTITUTE(emissions[[#This Row],[Reporting Unit]],"&gt;","")))</f>
        <v>Vantage_Buenos Aires</v>
      </c>
      <c r="AR2164" t="str">
        <f>_xlfn.XLOOKUP(emissions[[#This Row],[Reporting unit name]],hierarchy!$A:$A,hierarchy!$C:$C)</f>
        <v>Factory</v>
      </c>
    </row>
    <row r="2165" spans="1:44" hidden="1" x14ac:dyDescent="0.25">
      <c r="A2165">
        <v>5000</v>
      </c>
      <c r="B2165" t="s">
        <v>235</v>
      </c>
      <c r="C2165" t="s">
        <v>520</v>
      </c>
      <c r="D2165" t="s">
        <v>599</v>
      </c>
      <c r="E2165" s="3">
        <v>44197</v>
      </c>
      <c r="F2165" s="3">
        <v>44561</v>
      </c>
      <c r="G2165" t="s">
        <v>141</v>
      </c>
      <c r="H2165" s="3">
        <v>44197</v>
      </c>
      <c r="I2165" s="3">
        <v>44561</v>
      </c>
      <c r="J2165" t="s">
        <v>142</v>
      </c>
      <c r="K2165">
        <v>0</v>
      </c>
      <c r="L2165" t="s">
        <v>143</v>
      </c>
      <c r="M2165" t="s">
        <v>82</v>
      </c>
      <c r="O2165" t="s">
        <v>600</v>
      </c>
      <c r="P2165" t="s">
        <v>550</v>
      </c>
      <c r="Q2165">
        <v>2021</v>
      </c>
      <c r="R2165" t="s">
        <v>612</v>
      </c>
      <c r="S2165" t="s">
        <v>613</v>
      </c>
      <c r="T2165" t="s">
        <v>553</v>
      </c>
      <c r="U2165" t="b">
        <v>0</v>
      </c>
      <c r="V2165" t="s">
        <v>614</v>
      </c>
      <c r="W2165" t="s">
        <v>587</v>
      </c>
      <c r="X2165" t="s">
        <v>556</v>
      </c>
      <c r="AC2165">
        <v>1</v>
      </c>
      <c r="AD2165" t="s">
        <v>558</v>
      </c>
      <c r="AE2165">
        <v>0</v>
      </c>
      <c r="AF2165">
        <v>2.5999999999999998E-4</v>
      </c>
      <c r="AG2165" t="s">
        <v>588</v>
      </c>
      <c r="AH2165">
        <v>1</v>
      </c>
      <c r="AI2165">
        <v>0</v>
      </c>
      <c r="AJ2165" t="s">
        <v>561</v>
      </c>
      <c r="AK2165" t="s">
        <v>589</v>
      </c>
      <c r="AL2165" t="s">
        <v>603</v>
      </c>
      <c r="AM2165">
        <v>2021</v>
      </c>
      <c r="AN2165">
        <v>2019</v>
      </c>
      <c r="AO2165">
        <f>IF(AND(emissions[[#This Row],[Market-based]]=0,emissions[[#This Row],[Impact Type]]="CO2E"),emissions[[#This Row],[kgCO2e]],0)/1000</f>
        <v>0</v>
      </c>
      <c r="AP2165">
        <f>IF(AND(emissions[[#This Row],[Market-based]]=1,OR(emissions[[#This Row],[Impact Type]]="CO2E",emissions[[#This Row],[Impact Type]]="CO2E MKT")),emissions[[#This Row],[kgCO2e]],0)/1000</f>
        <v>0</v>
      </c>
      <c r="AQ2165" t="str">
        <f>_xlfn.TEXTAFTER(emissions[[#This Row],[Reporting Unit]]," &gt; ",LEN(emissions[[#This Row],[Reporting Unit]])-LEN(SUBSTITUTE(emissions[[#This Row],[Reporting Unit]],"&gt;","")))</f>
        <v>Vantage_Buenos Aires</v>
      </c>
      <c r="AR2165" t="str">
        <f>_xlfn.XLOOKUP(emissions[[#This Row],[Reporting unit name]],hierarchy!$A:$A,hierarchy!$C:$C)</f>
        <v>Factory</v>
      </c>
    </row>
    <row r="2166" spans="1:44" hidden="1" x14ac:dyDescent="0.25">
      <c r="A2166">
        <v>5000</v>
      </c>
      <c r="B2166" t="s">
        <v>235</v>
      </c>
      <c r="C2166" t="s">
        <v>520</v>
      </c>
      <c r="D2166" t="s">
        <v>599</v>
      </c>
      <c r="E2166" s="3">
        <v>44197</v>
      </c>
      <c r="F2166" s="3">
        <v>44561</v>
      </c>
      <c r="G2166" t="s">
        <v>141</v>
      </c>
      <c r="H2166" s="3">
        <v>44197</v>
      </c>
      <c r="I2166" s="3">
        <v>44561</v>
      </c>
      <c r="J2166" t="s">
        <v>142</v>
      </c>
      <c r="K2166">
        <v>0</v>
      </c>
      <c r="L2166" t="s">
        <v>143</v>
      </c>
      <c r="M2166" t="s">
        <v>82</v>
      </c>
      <c r="O2166" t="s">
        <v>600</v>
      </c>
      <c r="P2166" t="s">
        <v>550</v>
      </c>
      <c r="Q2166">
        <v>2021</v>
      </c>
      <c r="R2166" t="s">
        <v>612</v>
      </c>
      <c r="S2166" t="s">
        <v>613</v>
      </c>
      <c r="T2166" t="s">
        <v>553</v>
      </c>
      <c r="U2166" t="b">
        <v>0</v>
      </c>
      <c r="V2166" t="s">
        <v>614</v>
      </c>
      <c r="W2166" t="s">
        <v>587</v>
      </c>
      <c r="X2166" t="s">
        <v>556</v>
      </c>
      <c r="AC2166">
        <v>1</v>
      </c>
      <c r="AD2166" t="s">
        <v>564</v>
      </c>
      <c r="AE2166">
        <v>0</v>
      </c>
      <c r="AF2166">
        <v>2.6680700000000002</v>
      </c>
      <c r="AG2166" t="s">
        <v>588</v>
      </c>
      <c r="AH2166">
        <v>1</v>
      </c>
      <c r="AI2166">
        <v>0</v>
      </c>
      <c r="AJ2166" t="s">
        <v>561</v>
      </c>
      <c r="AK2166" t="s">
        <v>589</v>
      </c>
      <c r="AL2166" t="s">
        <v>603</v>
      </c>
      <c r="AM2166">
        <v>2021</v>
      </c>
      <c r="AN2166">
        <v>2019</v>
      </c>
      <c r="AO2166">
        <f>IF(AND(emissions[[#This Row],[Market-based]]=0,emissions[[#This Row],[Impact Type]]="CO2E"),emissions[[#This Row],[kgCO2e]],0)/1000</f>
        <v>0</v>
      </c>
      <c r="AP2166">
        <f>IF(AND(emissions[[#This Row],[Market-based]]=1,OR(emissions[[#This Row],[Impact Type]]="CO2E",emissions[[#This Row],[Impact Type]]="CO2E MKT")),emissions[[#This Row],[kgCO2e]],0)/1000</f>
        <v>0</v>
      </c>
      <c r="AQ2166" t="str">
        <f>_xlfn.TEXTAFTER(emissions[[#This Row],[Reporting Unit]]," &gt; ",LEN(emissions[[#This Row],[Reporting Unit]])-LEN(SUBSTITUTE(emissions[[#This Row],[Reporting Unit]],"&gt;","")))</f>
        <v>Vantage_Buenos Aires</v>
      </c>
      <c r="AR2166" t="str">
        <f>_xlfn.XLOOKUP(emissions[[#This Row],[Reporting unit name]],hierarchy!$A:$A,hierarchy!$C:$C)</f>
        <v>Factory</v>
      </c>
    </row>
    <row r="2167" spans="1:44" hidden="1" x14ac:dyDescent="0.25">
      <c r="A2167">
        <v>5000</v>
      </c>
      <c r="B2167" t="s">
        <v>235</v>
      </c>
      <c r="C2167" t="s">
        <v>520</v>
      </c>
      <c r="D2167" t="s">
        <v>599</v>
      </c>
      <c r="E2167" s="3">
        <v>44197</v>
      </c>
      <c r="F2167" s="3">
        <v>44561</v>
      </c>
      <c r="G2167" t="s">
        <v>141</v>
      </c>
      <c r="H2167" s="3">
        <v>44197</v>
      </c>
      <c r="I2167" s="3">
        <v>44561</v>
      </c>
      <c r="J2167" t="s">
        <v>142</v>
      </c>
      <c r="K2167">
        <v>0</v>
      </c>
      <c r="L2167" t="s">
        <v>143</v>
      </c>
      <c r="M2167" t="s">
        <v>82</v>
      </c>
      <c r="O2167" t="s">
        <v>600</v>
      </c>
      <c r="P2167" t="s">
        <v>550</v>
      </c>
      <c r="Q2167">
        <v>2021</v>
      </c>
      <c r="R2167" t="s">
        <v>612</v>
      </c>
      <c r="S2167" t="s">
        <v>613</v>
      </c>
      <c r="T2167" t="s">
        <v>553</v>
      </c>
      <c r="U2167" t="b">
        <v>0</v>
      </c>
      <c r="V2167" t="s">
        <v>614</v>
      </c>
      <c r="W2167" t="s">
        <v>587</v>
      </c>
      <c r="X2167" t="s">
        <v>556</v>
      </c>
      <c r="AC2167">
        <v>1</v>
      </c>
      <c r="AD2167" t="s">
        <v>565</v>
      </c>
      <c r="AE2167">
        <v>0</v>
      </c>
      <c r="AF2167">
        <v>2.70553</v>
      </c>
      <c r="AG2167" t="s">
        <v>588</v>
      </c>
      <c r="AH2167">
        <v>1</v>
      </c>
      <c r="AI2167">
        <v>0</v>
      </c>
      <c r="AJ2167" t="s">
        <v>561</v>
      </c>
      <c r="AK2167" t="s">
        <v>589</v>
      </c>
      <c r="AL2167" t="s">
        <v>603</v>
      </c>
      <c r="AM2167">
        <v>2021</v>
      </c>
      <c r="AN2167">
        <v>2019</v>
      </c>
      <c r="AO2167">
        <f>IF(AND(emissions[[#This Row],[Market-based]]=0,emissions[[#This Row],[Impact Type]]="CO2E"),emissions[[#This Row],[kgCO2e]],0)/1000</f>
        <v>0</v>
      </c>
      <c r="AP2167">
        <f>IF(AND(emissions[[#This Row],[Market-based]]=1,OR(emissions[[#This Row],[Impact Type]]="CO2E",emissions[[#This Row],[Impact Type]]="CO2E MKT")),emissions[[#This Row],[kgCO2e]],0)/1000</f>
        <v>0</v>
      </c>
      <c r="AQ2167" t="str">
        <f>_xlfn.TEXTAFTER(emissions[[#This Row],[Reporting Unit]]," &gt; ",LEN(emissions[[#This Row],[Reporting Unit]])-LEN(SUBSTITUTE(emissions[[#This Row],[Reporting Unit]],"&gt;","")))</f>
        <v>Vantage_Buenos Aires</v>
      </c>
      <c r="AR2167" t="str">
        <f>_xlfn.XLOOKUP(emissions[[#This Row],[Reporting unit name]],hierarchy!$A:$A,hierarchy!$C:$C)</f>
        <v>Factory</v>
      </c>
    </row>
    <row r="2168" spans="1:44" hidden="1" x14ac:dyDescent="0.25">
      <c r="A2168">
        <v>5000</v>
      </c>
      <c r="B2168" t="s">
        <v>235</v>
      </c>
      <c r="C2168" t="s">
        <v>520</v>
      </c>
      <c r="D2168" t="s">
        <v>599</v>
      </c>
      <c r="E2168" s="3">
        <v>44197</v>
      </c>
      <c r="F2168" s="3">
        <v>44561</v>
      </c>
      <c r="G2168" t="s">
        <v>141</v>
      </c>
      <c r="H2168" s="3">
        <v>44197</v>
      </c>
      <c r="I2168" s="3">
        <v>44561</v>
      </c>
      <c r="J2168" t="s">
        <v>142</v>
      </c>
      <c r="K2168">
        <v>0</v>
      </c>
      <c r="L2168" t="s">
        <v>143</v>
      </c>
      <c r="M2168" t="s">
        <v>82</v>
      </c>
      <c r="O2168" t="s">
        <v>600</v>
      </c>
      <c r="P2168" t="s">
        <v>550</v>
      </c>
      <c r="Q2168">
        <v>2021</v>
      </c>
      <c r="R2168" t="s">
        <v>612</v>
      </c>
      <c r="S2168" t="s">
        <v>613</v>
      </c>
      <c r="T2168" t="s">
        <v>553</v>
      </c>
      <c r="U2168" t="b">
        <v>0</v>
      </c>
      <c r="V2168" t="s">
        <v>614</v>
      </c>
      <c r="W2168" t="s">
        <v>587</v>
      </c>
      <c r="X2168" t="s">
        <v>556</v>
      </c>
      <c r="AC2168">
        <v>1</v>
      </c>
      <c r="AD2168" t="s">
        <v>566</v>
      </c>
      <c r="AE2168">
        <v>0</v>
      </c>
      <c r="AF2168">
        <v>3.7199999999999997E-2</v>
      </c>
      <c r="AG2168" t="s">
        <v>588</v>
      </c>
      <c r="AH2168">
        <v>1</v>
      </c>
      <c r="AI2168">
        <v>0</v>
      </c>
      <c r="AJ2168" t="s">
        <v>561</v>
      </c>
      <c r="AK2168" t="s">
        <v>589</v>
      </c>
      <c r="AL2168" t="s">
        <v>603</v>
      </c>
      <c r="AM2168">
        <v>2021</v>
      </c>
      <c r="AN2168">
        <v>2019</v>
      </c>
      <c r="AO2168">
        <f>IF(AND(emissions[[#This Row],[Market-based]]=0,emissions[[#This Row],[Impact Type]]="CO2E"),emissions[[#This Row],[kgCO2e]],0)/1000</f>
        <v>0</v>
      </c>
      <c r="AP2168">
        <f>IF(AND(emissions[[#This Row],[Market-based]]=1,OR(emissions[[#This Row],[Impact Type]]="CO2E",emissions[[#This Row],[Impact Type]]="CO2E MKT")),emissions[[#This Row],[kgCO2e]],0)/1000</f>
        <v>0</v>
      </c>
      <c r="AQ2168" t="str">
        <f>_xlfn.TEXTAFTER(emissions[[#This Row],[Reporting Unit]]," &gt; ",LEN(emissions[[#This Row],[Reporting Unit]])-LEN(SUBSTITUTE(emissions[[#This Row],[Reporting Unit]],"&gt;","")))</f>
        <v>Vantage_Buenos Aires</v>
      </c>
      <c r="AR2168" t="str">
        <f>_xlfn.XLOOKUP(emissions[[#This Row],[Reporting unit name]],hierarchy!$A:$A,hierarchy!$C:$C)</f>
        <v>Factory</v>
      </c>
    </row>
    <row r="2169" spans="1:44" hidden="1" x14ac:dyDescent="0.25">
      <c r="A2169">
        <v>5000</v>
      </c>
      <c r="B2169" t="s">
        <v>235</v>
      </c>
      <c r="C2169" t="s">
        <v>520</v>
      </c>
      <c r="D2169" t="s">
        <v>599</v>
      </c>
      <c r="E2169" s="3">
        <v>44197</v>
      </c>
      <c r="F2169" s="3">
        <v>44561</v>
      </c>
      <c r="G2169" t="s">
        <v>141</v>
      </c>
      <c r="H2169" s="3">
        <v>44197</v>
      </c>
      <c r="I2169" s="3">
        <v>44561</v>
      </c>
      <c r="J2169" t="s">
        <v>142</v>
      </c>
      <c r="K2169">
        <v>0</v>
      </c>
      <c r="L2169" t="s">
        <v>143</v>
      </c>
      <c r="M2169" t="s">
        <v>82</v>
      </c>
      <c r="O2169" t="s">
        <v>600</v>
      </c>
      <c r="P2169" t="s">
        <v>550</v>
      </c>
      <c r="Q2169">
        <v>2021</v>
      </c>
      <c r="R2169" t="s">
        <v>615</v>
      </c>
      <c r="S2169" t="s">
        <v>616</v>
      </c>
      <c r="T2169" t="s">
        <v>577</v>
      </c>
      <c r="U2169" t="b">
        <v>0</v>
      </c>
      <c r="V2169" t="s">
        <v>617</v>
      </c>
      <c r="W2169" t="s">
        <v>571</v>
      </c>
      <c r="X2169" t="s">
        <v>572</v>
      </c>
      <c r="AC2169">
        <v>0</v>
      </c>
      <c r="AD2169" t="s">
        <v>565</v>
      </c>
      <c r="AE2169">
        <v>0</v>
      </c>
      <c r="AF2169">
        <v>0.62873999999999997</v>
      </c>
      <c r="AG2169" t="s">
        <v>588</v>
      </c>
      <c r="AH2169">
        <v>1</v>
      </c>
      <c r="AI2169">
        <v>0</v>
      </c>
      <c r="AJ2169" t="s">
        <v>561</v>
      </c>
      <c r="AK2169" t="s">
        <v>589</v>
      </c>
      <c r="AL2169" t="s">
        <v>603</v>
      </c>
      <c r="AM2169">
        <v>2021</v>
      </c>
      <c r="AN2169">
        <v>2019</v>
      </c>
      <c r="AO2169">
        <f>IF(AND(emissions[[#This Row],[Market-based]]=0,emissions[[#This Row],[Impact Type]]="CO2E"),emissions[[#This Row],[kgCO2e]],0)/1000</f>
        <v>0</v>
      </c>
      <c r="AP2169">
        <f>IF(AND(emissions[[#This Row],[Market-based]]=1,OR(emissions[[#This Row],[Impact Type]]="CO2E",emissions[[#This Row],[Impact Type]]="CO2E MKT")),emissions[[#This Row],[kgCO2e]],0)/1000</f>
        <v>0</v>
      </c>
      <c r="AQ2169" t="str">
        <f>_xlfn.TEXTAFTER(emissions[[#This Row],[Reporting Unit]]," &gt; ",LEN(emissions[[#This Row],[Reporting Unit]])-LEN(SUBSTITUTE(emissions[[#This Row],[Reporting Unit]],"&gt;","")))</f>
        <v>Vantage_Buenos Aires</v>
      </c>
      <c r="AR2169" t="str">
        <f>_xlfn.XLOOKUP(emissions[[#This Row],[Reporting unit name]],hierarchy!$A:$A,hierarchy!$C:$C)</f>
        <v>Factory</v>
      </c>
    </row>
    <row r="2170" spans="1:44" hidden="1" x14ac:dyDescent="0.25">
      <c r="A2170">
        <v>5000</v>
      </c>
      <c r="B2170" t="s">
        <v>235</v>
      </c>
      <c r="C2170" t="s">
        <v>520</v>
      </c>
      <c r="D2170" t="s">
        <v>599</v>
      </c>
      <c r="E2170" s="3">
        <v>44197</v>
      </c>
      <c r="F2170" s="3">
        <v>44561</v>
      </c>
      <c r="G2170" t="s">
        <v>141</v>
      </c>
      <c r="H2170" s="3">
        <v>44197</v>
      </c>
      <c r="I2170" s="3">
        <v>44561</v>
      </c>
      <c r="J2170" t="s">
        <v>142</v>
      </c>
      <c r="K2170">
        <v>0</v>
      </c>
      <c r="L2170" t="s">
        <v>143</v>
      </c>
      <c r="M2170" t="s">
        <v>82</v>
      </c>
      <c r="O2170" t="s">
        <v>600</v>
      </c>
      <c r="P2170" t="s">
        <v>550</v>
      </c>
      <c r="Q2170">
        <v>2021</v>
      </c>
      <c r="R2170" t="s">
        <v>615</v>
      </c>
      <c r="S2170" t="s">
        <v>616</v>
      </c>
      <c r="T2170" t="s">
        <v>577</v>
      </c>
      <c r="U2170" t="b">
        <v>0</v>
      </c>
      <c r="V2170" t="s">
        <v>617</v>
      </c>
      <c r="W2170" t="s">
        <v>571</v>
      </c>
      <c r="X2170" t="s">
        <v>572</v>
      </c>
      <c r="AC2170">
        <v>1</v>
      </c>
      <c r="AD2170" t="s">
        <v>565</v>
      </c>
      <c r="AE2170">
        <v>0</v>
      </c>
      <c r="AF2170">
        <v>0.62873999999999997</v>
      </c>
      <c r="AG2170" t="s">
        <v>588</v>
      </c>
      <c r="AH2170">
        <v>1</v>
      </c>
      <c r="AI2170">
        <v>0</v>
      </c>
      <c r="AJ2170" t="s">
        <v>561</v>
      </c>
      <c r="AK2170" t="s">
        <v>589</v>
      </c>
      <c r="AL2170" t="s">
        <v>603</v>
      </c>
      <c r="AM2170">
        <v>2021</v>
      </c>
      <c r="AN2170">
        <v>2019</v>
      </c>
      <c r="AO2170">
        <f>IF(AND(emissions[[#This Row],[Market-based]]=0,emissions[[#This Row],[Impact Type]]="CO2E"),emissions[[#This Row],[kgCO2e]],0)/1000</f>
        <v>0</v>
      </c>
      <c r="AP2170">
        <f>IF(AND(emissions[[#This Row],[Market-based]]=1,OR(emissions[[#This Row],[Impact Type]]="CO2E",emissions[[#This Row],[Impact Type]]="CO2E MKT")),emissions[[#This Row],[kgCO2e]],0)/1000</f>
        <v>0</v>
      </c>
      <c r="AQ2170" t="str">
        <f>_xlfn.TEXTAFTER(emissions[[#This Row],[Reporting Unit]]," &gt; ",LEN(emissions[[#This Row],[Reporting Unit]])-LEN(SUBSTITUTE(emissions[[#This Row],[Reporting Unit]],"&gt;","")))</f>
        <v>Vantage_Buenos Aires</v>
      </c>
      <c r="AR2170" t="str">
        <f>_xlfn.XLOOKUP(emissions[[#This Row],[Reporting unit name]],hierarchy!$A:$A,hierarchy!$C:$C)</f>
        <v>Factory</v>
      </c>
    </row>
    <row r="2171" spans="1:44" hidden="1" x14ac:dyDescent="0.25">
      <c r="A2171">
        <v>5028</v>
      </c>
      <c r="B2171" t="s">
        <v>235</v>
      </c>
      <c r="C2171" t="s">
        <v>520</v>
      </c>
      <c r="D2171" t="s">
        <v>599</v>
      </c>
      <c r="E2171" s="3">
        <v>44197</v>
      </c>
      <c r="F2171" s="3">
        <v>44561</v>
      </c>
      <c r="G2171" t="s">
        <v>116</v>
      </c>
      <c r="H2171" s="3">
        <v>44197</v>
      </c>
      <c r="I2171" s="3">
        <v>44561</v>
      </c>
      <c r="J2171" t="s">
        <v>128</v>
      </c>
      <c r="K2171">
        <v>5.47</v>
      </c>
      <c r="L2171" t="s">
        <v>118</v>
      </c>
      <c r="M2171" t="s">
        <v>82</v>
      </c>
      <c r="O2171" t="s">
        <v>600</v>
      </c>
      <c r="P2171" t="s">
        <v>550</v>
      </c>
      <c r="Q2171">
        <v>2021</v>
      </c>
      <c r="R2171" t="s">
        <v>619</v>
      </c>
      <c r="S2171" t="s">
        <v>620</v>
      </c>
      <c r="T2171" t="s">
        <v>553</v>
      </c>
      <c r="U2171" t="b">
        <v>0</v>
      </c>
      <c r="V2171" t="s">
        <v>621</v>
      </c>
      <c r="W2171" t="s">
        <v>587</v>
      </c>
      <c r="X2171" t="s">
        <v>556</v>
      </c>
      <c r="AC2171">
        <v>0</v>
      </c>
      <c r="AD2171" t="s">
        <v>565</v>
      </c>
      <c r="AE2171">
        <v>7822.1</v>
      </c>
      <c r="AF2171">
        <v>1430</v>
      </c>
      <c r="AG2171" t="s">
        <v>622</v>
      </c>
      <c r="AH2171">
        <v>1</v>
      </c>
      <c r="AI2171">
        <v>5.47</v>
      </c>
      <c r="AJ2171" t="s">
        <v>561</v>
      </c>
      <c r="AK2171" t="s">
        <v>623</v>
      </c>
      <c r="AL2171" t="s">
        <v>624</v>
      </c>
      <c r="AM2171">
        <v>2021</v>
      </c>
      <c r="AN2171">
        <v>2007</v>
      </c>
      <c r="AO2171">
        <f>IF(AND(emissions[[#This Row],[Market-based]]=0,emissions[[#This Row],[Impact Type]]="CO2E"),emissions[[#This Row],[kgCO2e]],0)/1000</f>
        <v>7.8221000000000007</v>
      </c>
      <c r="AP2171">
        <f>IF(AND(emissions[[#This Row],[Market-based]]=1,OR(emissions[[#This Row],[Impact Type]]="CO2E",emissions[[#This Row],[Impact Type]]="CO2E MKT")),emissions[[#This Row],[kgCO2e]],0)/1000</f>
        <v>0</v>
      </c>
      <c r="AQ2171" t="str">
        <f>_xlfn.TEXTAFTER(emissions[[#This Row],[Reporting Unit]]," &gt; ",LEN(emissions[[#This Row],[Reporting Unit]])-LEN(SUBSTITUTE(emissions[[#This Row],[Reporting Unit]],"&gt;","")))</f>
        <v>Vantage_Buenos Aires</v>
      </c>
      <c r="AR2171" t="str">
        <f>_xlfn.XLOOKUP(emissions[[#This Row],[Reporting unit name]],hierarchy!$A:$A,hierarchy!$C:$C)</f>
        <v>Factory</v>
      </c>
    </row>
    <row r="2172" spans="1:44" hidden="1" x14ac:dyDescent="0.25">
      <c r="A2172">
        <v>5028</v>
      </c>
      <c r="B2172" t="s">
        <v>235</v>
      </c>
      <c r="C2172" t="s">
        <v>520</v>
      </c>
      <c r="D2172" t="s">
        <v>599</v>
      </c>
      <c r="E2172" s="3">
        <v>44197</v>
      </c>
      <c r="F2172" s="3">
        <v>44561</v>
      </c>
      <c r="G2172" t="s">
        <v>116</v>
      </c>
      <c r="H2172" s="3">
        <v>44197</v>
      </c>
      <c r="I2172" s="3">
        <v>44561</v>
      </c>
      <c r="J2172" t="s">
        <v>128</v>
      </c>
      <c r="K2172">
        <v>5.47</v>
      </c>
      <c r="L2172" t="s">
        <v>118</v>
      </c>
      <c r="M2172" t="s">
        <v>82</v>
      </c>
      <c r="O2172" t="s">
        <v>600</v>
      </c>
      <c r="P2172" t="s">
        <v>550</v>
      </c>
      <c r="Q2172">
        <v>2021</v>
      </c>
      <c r="R2172" t="s">
        <v>619</v>
      </c>
      <c r="S2172" t="s">
        <v>620</v>
      </c>
      <c r="T2172" t="s">
        <v>553</v>
      </c>
      <c r="U2172" t="b">
        <v>0</v>
      </c>
      <c r="V2172" t="s">
        <v>621</v>
      </c>
      <c r="W2172" t="s">
        <v>587</v>
      </c>
      <c r="X2172" t="s">
        <v>556</v>
      </c>
      <c r="AC2172">
        <v>1</v>
      </c>
      <c r="AD2172" t="s">
        <v>565</v>
      </c>
      <c r="AE2172">
        <v>7822.1</v>
      </c>
      <c r="AF2172">
        <v>1430</v>
      </c>
      <c r="AG2172" t="s">
        <v>622</v>
      </c>
      <c r="AH2172">
        <v>1</v>
      </c>
      <c r="AI2172">
        <v>5.47</v>
      </c>
      <c r="AJ2172" t="s">
        <v>561</v>
      </c>
      <c r="AK2172" t="s">
        <v>623</v>
      </c>
      <c r="AL2172" t="s">
        <v>624</v>
      </c>
      <c r="AM2172">
        <v>2021</v>
      </c>
      <c r="AN2172">
        <v>2007</v>
      </c>
      <c r="AO2172">
        <f>IF(AND(emissions[[#This Row],[Market-based]]=0,emissions[[#This Row],[Impact Type]]="CO2E"),emissions[[#This Row],[kgCO2e]],0)/1000</f>
        <v>0</v>
      </c>
      <c r="AP2172">
        <f>IF(AND(emissions[[#This Row],[Market-based]]=1,OR(emissions[[#This Row],[Impact Type]]="CO2E",emissions[[#This Row],[Impact Type]]="CO2E MKT")),emissions[[#This Row],[kgCO2e]],0)/1000</f>
        <v>7.8221000000000007</v>
      </c>
      <c r="AQ2172" t="str">
        <f>_xlfn.TEXTAFTER(emissions[[#This Row],[Reporting Unit]]," &gt; ",LEN(emissions[[#This Row],[Reporting Unit]])-LEN(SUBSTITUTE(emissions[[#This Row],[Reporting Unit]],"&gt;","")))</f>
        <v>Vantage_Buenos Aires</v>
      </c>
      <c r="AR2172" t="str">
        <f>_xlfn.XLOOKUP(emissions[[#This Row],[Reporting unit name]],hierarchy!$A:$A,hierarchy!$C:$C)</f>
        <v>Factory</v>
      </c>
    </row>
    <row r="2173" spans="1:44" hidden="1" x14ac:dyDescent="0.25">
      <c r="A2173">
        <v>237709</v>
      </c>
      <c r="B2173" t="s">
        <v>229</v>
      </c>
      <c r="C2173" t="s">
        <v>525</v>
      </c>
      <c r="D2173" t="s">
        <v>548</v>
      </c>
      <c r="E2173" s="3">
        <v>44562</v>
      </c>
      <c r="F2173" s="3">
        <v>44926</v>
      </c>
      <c r="G2173" t="s">
        <v>108</v>
      </c>
      <c r="H2173" s="3">
        <v>44562</v>
      </c>
      <c r="I2173" s="3">
        <v>44926</v>
      </c>
      <c r="J2173" t="s">
        <v>108</v>
      </c>
      <c r="K2173">
        <v>15649</v>
      </c>
      <c r="L2173" t="s">
        <v>109</v>
      </c>
      <c r="M2173" t="s">
        <v>110</v>
      </c>
      <c r="O2173" t="s">
        <v>1019</v>
      </c>
      <c r="P2173" t="s">
        <v>550</v>
      </c>
      <c r="Q2173">
        <v>2022</v>
      </c>
      <c r="R2173" t="s">
        <v>551</v>
      </c>
      <c r="S2173" t="s">
        <v>552</v>
      </c>
      <c r="T2173" t="s">
        <v>553</v>
      </c>
      <c r="U2173" t="b">
        <v>0</v>
      </c>
      <c r="V2173" t="s">
        <v>1020</v>
      </c>
      <c r="W2173" t="s">
        <v>555</v>
      </c>
      <c r="X2173" t="s">
        <v>556</v>
      </c>
      <c r="Y2173" t="s">
        <v>472</v>
      </c>
      <c r="Z2173" t="s">
        <v>491</v>
      </c>
      <c r="AA2173" t="s">
        <v>1021</v>
      </c>
      <c r="AC2173">
        <v>0</v>
      </c>
      <c r="AD2173" t="s">
        <v>558</v>
      </c>
      <c r="AE2173">
        <v>48.511899999999997</v>
      </c>
      <c r="AF2173" t="s">
        <v>559</v>
      </c>
      <c r="AG2173" t="s">
        <v>560</v>
      </c>
      <c r="AH2173">
        <v>1</v>
      </c>
      <c r="AI2173">
        <v>15649</v>
      </c>
      <c r="AJ2173" t="s">
        <v>561</v>
      </c>
      <c r="AK2173" t="s">
        <v>562</v>
      </c>
      <c r="AL2173" t="s">
        <v>563</v>
      </c>
      <c r="AM2173">
        <v>2022</v>
      </c>
      <c r="AN2173">
        <v>2020</v>
      </c>
      <c r="AO2173">
        <f>IF(AND(emissions[[#This Row],[Market-based]]=0,emissions[[#This Row],[Impact Type]]="CO2E"),emissions[[#This Row],[kgCO2e]],0)/1000</f>
        <v>0</v>
      </c>
      <c r="AP2173">
        <f>IF(AND(emissions[[#This Row],[Market-based]]=1,OR(emissions[[#This Row],[Impact Type]]="CO2E",emissions[[#This Row],[Impact Type]]="CO2E MKT")),emissions[[#This Row],[kgCO2e]],0)/1000</f>
        <v>0</v>
      </c>
      <c r="AQ2173" t="str">
        <f>_xlfn.TEXTAFTER(emissions[[#This Row],[Reporting Unit]]," &gt; ",LEN(emissions[[#This Row],[Reporting Unit]])-LEN(SUBSTITUTE(emissions[[#This Row],[Reporting Unit]],"&gt;","")))</f>
        <v>Vantage_Guatemala City</v>
      </c>
      <c r="AR2173" t="str">
        <f>_xlfn.XLOOKUP(emissions[[#This Row],[Reporting unit name]],hierarchy!$A:$A,hierarchy!$C:$C)</f>
        <v>Unspecified Facility Type</v>
      </c>
    </row>
    <row r="2174" spans="1:44" hidden="1" x14ac:dyDescent="0.25">
      <c r="A2174">
        <v>237709</v>
      </c>
      <c r="B2174" t="s">
        <v>229</v>
      </c>
      <c r="C2174" t="s">
        <v>525</v>
      </c>
      <c r="D2174" t="s">
        <v>548</v>
      </c>
      <c r="E2174" s="3">
        <v>44562</v>
      </c>
      <c r="F2174" s="3">
        <v>44926</v>
      </c>
      <c r="G2174" t="s">
        <v>108</v>
      </c>
      <c r="H2174" s="3">
        <v>44562</v>
      </c>
      <c r="I2174" s="3">
        <v>44926</v>
      </c>
      <c r="J2174" t="s">
        <v>108</v>
      </c>
      <c r="K2174">
        <v>15649</v>
      </c>
      <c r="L2174" t="s">
        <v>109</v>
      </c>
      <c r="M2174" t="s">
        <v>110</v>
      </c>
      <c r="O2174" t="s">
        <v>1019</v>
      </c>
      <c r="P2174" t="s">
        <v>550</v>
      </c>
      <c r="Q2174">
        <v>2022</v>
      </c>
      <c r="R2174" t="s">
        <v>551</v>
      </c>
      <c r="S2174" t="s">
        <v>552</v>
      </c>
      <c r="T2174" t="s">
        <v>553</v>
      </c>
      <c r="U2174" t="b">
        <v>0</v>
      </c>
      <c r="V2174" t="s">
        <v>1020</v>
      </c>
      <c r="W2174" t="s">
        <v>555</v>
      </c>
      <c r="X2174" t="s">
        <v>556</v>
      </c>
      <c r="Y2174" t="s">
        <v>472</v>
      </c>
      <c r="Z2174" t="s">
        <v>491</v>
      </c>
      <c r="AA2174" t="s">
        <v>1021</v>
      </c>
      <c r="AC2174">
        <v>0</v>
      </c>
      <c r="AD2174" t="s">
        <v>564</v>
      </c>
      <c r="AE2174">
        <v>4505.3471</v>
      </c>
      <c r="AF2174" t="s">
        <v>559</v>
      </c>
      <c r="AG2174" t="s">
        <v>560</v>
      </c>
      <c r="AH2174">
        <v>1</v>
      </c>
      <c r="AI2174">
        <v>15649</v>
      </c>
      <c r="AJ2174" t="s">
        <v>561</v>
      </c>
      <c r="AK2174" t="s">
        <v>562</v>
      </c>
      <c r="AL2174" t="s">
        <v>563</v>
      </c>
      <c r="AM2174">
        <v>2022</v>
      </c>
      <c r="AN2174">
        <v>2020</v>
      </c>
      <c r="AO2174">
        <f>IF(AND(emissions[[#This Row],[Market-based]]=0,emissions[[#This Row],[Impact Type]]="CO2E"),emissions[[#This Row],[kgCO2e]],0)/1000</f>
        <v>0</v>
      </c>
      <c r="AP2174">
        <f>IF(AND(emissions[[#This Row],[Market-based]]=1,OR(emissions[[#This Row],[Impact Type]]="CO2E",emissions[[#This Row],[Impact Type]]="CO2E MKT")),emissions[[#This Row],[kgCO2e]],0)/1000</f>
        <v>0</v>
      </c>
      <c r="AQ2174" t="str">
        <f>_xlfn.TEXTAFTER(emissions[[#This Row],[Reporting Unit]]," &gt; ",LEN(emissions[[#This Row],[Reporting Unit]])-LEN(SUBSTITUTE(emissions[[#This Row],[Reporting Unit]],"&gt;","")))</f>
        <v>Vantage_Guatemala City</v>
      </c>
      <c r="AR2174" t="str">
        <f>_xlfn.XLOOKUP(emissions[[#This Row],[Reporting unit name]],hierarchy!$A:$A,hierarchy!$C:$C)</f>
        <v>Unspecified Facility Type</v>
      </c>
    </row>
    <row r="2175" spans="1:44" hidden="1" x14ac:dyDescent="0.25">
      <c r="A2175">
        <v>237709</v>
      </c>
      <c r="B2175" t="s">
        <v>229</v>
      </c>
      <c r="C2175" t="s">
        <v>525</v>
      </c>
      <c r="D2175" t="s">
        <v>548</v>
      </c>
      <c r="E2175" s="3">
        <v>44562</v>
      </c>
      <c r="F2175" s="3">
        <v>44926</v>
      </c>
      <c r="G2175" t="s">
        <v>108</v>
      </c>
      <c r="H2175" s="3">
        <v>44562</v>
      </c>
      <c r="I2175" s="3">
        <v>44926</v>
      </c>
      <c r="J2175" t="s">
        <v>108</v>
      </c>
      <c r="K2175">
        <v>15649</v>
      </c>
      <c r="L2175" t="s">
        <v>109</v>
      </c>
      <c r="M2175" t="s">
        <v>110</v>
      </c>
      <c r="O2175" t="s">
        <v>1019</v>
      </c>
      <c r="P2175" t="s">
        <v>550</v>
      </c>
      <c r="Q2175">
        <v>2022</v>
      </c>
      <c r="R2175" t="s">
        <v>551</v>
      </c>
      <c r="S2175" t="s">
        <v>552</v>
      </c>
      <c r="T2175" t="s">
        <v>553</v>
      </c>
      <c r="U2175" t="b">
        <v>0</v>
      </c>
      <c r="V2175" t="s">
        <v>1020</v>
      </c>
      <c r="W2175" t="s">
        <v>555</v>
      </c>
      <c r="X2175" t="s">
        <v>556</v>
      </c>
      <c r="Y2175" t="s">
        <v>472</v>
      </c>
      <c r="Z2175" t="s">
        <v>491</v>
      </c>
      <c r="AA2175" t="s">
        <v>1021</v>
      </c>
      <c r="AC2175">
        <v>0</v>
      </c>
      <c r="AD2175" t="s">
        <v>565</v>
      </c>
      <c r="AE2175">
        <v>4646.1881000000003</v>
      </c>
      <c r="AF2175" t="s">
        <v>559</v>
      </c>
      <c r="AG2175" t="s">
        <v>560</v>
      </c>
      <c r="AH2175">
        <v>1</v>
      </c>
      <c r="AI2175">
        <v>15649</v>
      </c>
      <c r="AJ2175" t="s">
        <v>561</v>
      </c>
      <c r="AK2175" t="s">
        <v>562</v>
      </c>
      <c r="AL2175" t="s">
        <v>563</v>
      </c>
      <c r="AM2175">
        <v>2022</v>
      </c>
      <c r="AN2175">
        <v>2020</v>
      </c>
      <c r="AO2175">
        <f>IF(AND(emissions[[#This Row],[Market-based]]=0,emissions[[#This Row],[Impact Type]]="CO2E"),emissions[[#This Row],[kgCO2e]],0)/1000</f>
        <v>4.6461881000000007</v>
      </c>
      <c r="AP2175">
        <f>IF(AND(emissions[[#This Row],[Market-based]]=1,OR(emissions[[#This Row],[Impact Type]]="CO2E",emissions[[#This Row],[Impact Type]]="CO2E MKT")),emissions[[#This Row],[kgCO2e]],0)/1000</f>
        <v>0</v>
      </c>
      <c r="AQ2175" t="str">
        <f>_xlfn.TEXTAFTER(emissions[[#This Row],[Reporting Unit]]," &gt; ",LEN(emissions[[#This Row],[Reporting Unit]])-LEN(SUBSTITUTE(emissions[[#This Row],[Reporting Unit]],"&gt;","")))</f>
        <v>Vantage_Guatemala City</v>
      </c>
      <c r="AR2175" t="str">
        <f>_xlfn.XLOOKUP(emissions[[#This Row],[Reporting unit name]],hierarchy!$A:$A,hierarchy!$C:$C)</f>
        <v>Unspecified Facility Type</v>
      </c>
    </row>
    <row r="2176" spans="1:44" hidden="1" x14ac:dyDescent="0.25">
      <c r="A2176">
        <v>237709</v>
      </c>
      <c r="B2176" t="s">
        <v>229</v>
      </c>
      <c r="C2176" t="s">
        <v>525</v>
      </c>
      <c r="D2176" t="s">
        <v>548</v>
      </c>
      <c r="E2176" s="3">
        <v>44562</v>
      </c>
      <c r="F2176" s="3">
        <v>44926</v>
      </c>
      <c r="G2176" t="s">
        <v>108</v>
      </c>
      <c r="H2176" s="3">
        <v>44562</v>
      </c>
      <c r="I2176" s="3">
        <v>44926</v>
      </c>
      <c r="J2176" t="s">
        <v>108</v>
      </c>
      <c r="K2176">
        <v>15649</v>
      </c>
      <c r="L2176" t="s">
        <v>109</v>
      </c>
      <c r="M2176" t="s">
        <v>110</v>
      </c>
      <c r="O2176" t="s">
        <v>1019</v>
      </c>
      <c r="P2176" t="s">
        <v>550</v>
      </c>
      <c r="Q2176">
        <v>2022</v>
      </c>
      <c r="R2176" t="s">
        <v>551</v>
      </c>
      <c r="S2176" t="s">
        <v>552</v>
      </c>
      <c r="T2176" t="s">
        <v>553</v>
      </c>
      <c r="U2176" t="b">
        <v>0</v>
      </c>
      <c r="V2176" t="s">
        <v>1020</v>
      </c>
      <c r="W2176" t="s">
        <v>555</v>
      </c>
      <c r="X2176" t="s">
        <v>556</v>
      </c>
      <c r="Y2176" t="s">
        <v>472</v>
      </c>
      <c r="Z2176" t="s">
        <v>491</v>
      </c>
      <c r="AA2176" t="s">
        <v>1021</v>
      </c>
      <c r="AC2176">
        <v>0</v>
      </c>
      <c r="AD2176" t="s">
        <v>566</v>
      </c>
      <c r="AE2176">
        <v>92.329099999999997</v>
      </c>
      <c r="AF2176" t="s">
        <v>559</v>
      </c>
      <c r="AG2176" t="s">
        <v>560</v>
      </c>
      <c r="AH2176">
        <v>1</v>
      </c>
      <c r="AI2176">
        <v>15649</v>
      </c>
      <c r="AJ2176" t="s">
        <v>561</v>
      </c>
      <c r="AK2176" t="s">
        <v>562</v>
      </c>
      <c r="AL2176" t="s">
        <v>563</v>
      </c>
      <c r="AM2176">
        <v>2022</v>
      </c>
      <c r="AN2176">
        <v>2020</v>
      </c>
      <c r="AO2176">
        <f>IF(AND(emissions[[#This Row],[Market-based]]=0,emissions[[#This Row],[Impact Type]]="CO2E"),emissions[[#This Row],[kgCO2e]],0)/1000</f>
        <v>0</v>
      </c>
      <c r="AP2176">
        <f>IF(AND(emissions[[#This Row],[Market-based]]=1,OR(emissions[[#This Row],[Impact Type]]="CO2E",emissions[[#This Row],[Impact Type]]="CO2E MKT")),emissions[[#This Row],[kgCO2e]],0)/1000</f>
        <v>0</v>
      </c>
      <c r="AQ2176" t="str">
        <f>_xlfn.TEXTAFTER(emissions[[#This Row],[Reporting Unit]]," &gt; ",LEN(emissions[[#This Row],[Reporting Unit]])-LEN(SUBSTITUTE(emissions[[#This Row],[Reporting Unit]],"&gt;","")))</f>
        <v>Vantage_Guatemala City</v>
      </c>
      <c r="AR2176" t="str">
        <f>_xlfn.XLOOKUP(emissions[[#This Row],[Reporting unit name]],hierarchy!$A:$A,hierarchy!$C:$C)</f>
        <v>Unspecified Facility Type</v>
      </c>
    </row>
    <row r="2177" spans="1:44" hidden="1" x14ac:dyDescent="0.25">
      <c r="A2177">
        <v>237709</v>
      </c>
      <c r="B2177" t="s">
        <v>229</v>
      </c>
      <c r="C2177" t="s">
        <v>525</v>
      </c>
      <c r="D2177" t="s">
        <v>548</v>
      </c>
      <c r="E2177" s="3">
        <v>44562</v>
      </c>
      <c r="F2177" s="3">
        <v>44926</v>
      </c>
      <c r="G2177" t="s">
        <v>108</v>
      </c>
      <c r="H2177" s="3">
        <v>44562</v>
      </c>
      <c r="I2177" s="3">
        <v>44926</v>
      </c>
      <c r="J2177" t="s">
        <v>108</v>
      </c>
      <c r="K2177">
        <v>15649</v>
      </c>
      <c r="L2177" t="s">
        <v>109</v>
      </c>
      <c r="M2177" t="s">
        <v>110</v>
      </c>
      <c r="O2177" t="s">
        <v>1019</v>
      </c>
      <c r="P2177" t="s">
        <v>550</v>
      </c>
      <c r="Q2177">
        <v>2022</v>
      </c>
      <c r="R2177" t="s">
        <v>551</v>
      </c>
      <c r="S2177" t="s">
        <v>552</v>
      </c>
      <c r="T2177" t="s">
        <v>553</v>
      </c>
      <c r="U2177" t="b">
        <v>0</v>
      </c>
      <c r="V2177" t="s">
        <v>1020</v>
      </c>
      <c r="W2177" t="s">
        <v>555</v>
      </c>
      <c r="X2177" t="s">
        <v>556</v>
      </c>
      <c r="Y2177" t="s">
        <v>472</v>
      </c>
      <c r="Z2177" t="s">
        <v>491</v>
      </c>
      <c r="AA2177" t="s">
        <v>1021</v>
      </c>
      <c r="AC2177">
        <v>1</v>
      </c>
      <c r="AD2177" t="s">
        <v>558</v>
      </c>
      <c r="AE2177">
        <v>48.511899999999997</v>
      </c>
      <c r="AF2177" t="s">
        <v>559</v>
      </c>
      <c r="AG2177" t="s">
        <v>560</v>
      </c>
      <c r="AH2177">
        <v>1</v>
      </c>
      <c r="AI2177">
        <v>15649</v>
      </c>
      <c r="AJ2177" t="s">
        <v>561</v>
      </c>
      <c r="AK2177" t="s">
        <v>562</v>
      </c>
      <c r="AL2177" t="s">
        <v>563</v>
      </c>
      <c r="AM2177">
        <v>2022</v>
      </c>
      <c r="AN2177">
        <v>2020</v>
      </c>
      <c r="AO2177">
        <f>IF(AND(emissions[[#This Row],[Market-based]]=0,emissions[[#This Row],[Impact Type]]="CO2E"),emissions[[#This Row],[kgCO2e]],0)/1000</f>
        <v>0</v>
      </c>
      <c r="AP2177">
        <f>IF(AND(emissions[[#This Row],[Market-based]]=1,OR(emissions[[#This Row],[Impact Type]]="CO2E",emissions[[#This Row],[Impact Type]]="CO2E MKT")),emissions[[#This Row],[kgCO2e]],0)/1000</f>
        <v>0</v>
      </c>
      <c r="AQ2177" t="str">
        <f>_xlfn.TEXTAFTER(emissions[[#This Row],[Reporting Unit]]," &gt; ",LEN(emissions[[#This Row],[Reporting Unit]])-LEN(SUBSTITUTE(emissions[[#This Row],[Reporting Unit]],"&gt;","")))</f>
        <v>Vantage_Guatemala City</v>
      </c>
      <c r="AR2177" t="str">
        <f>_xlfn.XLOOKUP(emissions[[#This Row],[Reporting unit name]],hierarchy!$A:$A,hierarchy!$C:$C)</f>
        <v>Unspecified Facility Type</v>
      </c>
    </row>
    <row r="2178" spans="1:44" hidden="1" x14ac:dyDescent="0.25">
      <c r="A2178">
        <v>237709</v>
      </c>
      <c r="B2178" t="s">
        <v>229</v>
      </c>
      <c r="C2178" t="s">
        <v>525</v>
      </c>
      <c r="D2178" t="s">
        <v>548</v>
      </c>
      <c r="E2178" s="3">
        <v>44562</v>
      </c>
      <c r="F2178" s="3">
        <v>44926</v>
      </c>
      <c r="G2178" t="s">
        <v>108</v>
      </c>
      <c r="H2178" s="3">
        <v>44562</v>
      </c>
      <c r="I2178" s="3">
        <v>44926</v>
      </c>
      <c r="J2178" t="s">
        <v>108</v>
      </c>
      <c r="K2178">
        <v>15649</v>
      </c>
      <c r="L2178" t="s">
        <v>109</v>
      </c>
      <c r="M2178" t="s">
        <v>110</v>
      </c>
      <c r="O2178" t="s">
        <v>1019</v>
      </c>
      <c r="P2178" t="s">
        <v>550</v>
      </c>
      <c r="Q2178">
        <v>2022</v>
      </c>
      <c r="R2178" t="s">
        <v>551</v>
      </c>
      <c r="S2178" t="s">
        <v>552</v>
      </c>
      <c r="T2178" t="s">
        <v>553</v>
      </c>
      <c r="U2178" t="b">
        <v>0</v>
      </c>
      <c r="V2178" t="s">
        <v>1020</v>
      </c>
      <c r="W2178" t="s">
        <v>555</v>
      </c>
      <c r="X2178" t="s">
        <v>556</v>
      </c>
      <c r="Y2178" t="s">
        <v>472</v>
      </c>
      <c r="Z2178" t="s">
        <v>491</v>
      </c>
      <c r="AA2178" t="s">
        <v>1021</v>
      </c>
      <c r="AC2178">
        <v>1</v>
      </c>
      <c r="AD2178" t="s">
        <v>564</v>
      </c>
      <c r="AE2178">
        <v>4505.3471</v>
      </c>
      <c r="AF2178" t="s">
        <v>559</v>
      </c>
      <c r="AG2178" t="s">
        <v>560</v>
      </c>
      <c r="AH2178">
        <v>1</v>
      </c>
      <c r="AI2178">
        <v>15649</v>
      </c>
      <c r="AJ2178" t="s">
        <v>561</v>
      </c>
      <c r="AK2178" t="s">
        <v>562</v>
      </c>
      <c r="AL2178" t="s">
        <v>563</v>
      </c>
      <c r="AM2178">
        <v>2022</v>
      </c>
      <c r="AN2178">
        <v>2020</v>
      </c>
      <c r="AO2178">
        <f>IF(AND(emissions[[#This Row],[Market-based]]=0,emissions[[#This Row],[Impact Type]]="CO2E"),emissions[[#This Row],[kgCO2e]],0)/1000</f>
        <v>0</v>
      </c>
      <c r="AP2178">
        <f>IF(AND(emissions[[#This Row],[Market-based]]=1,OR(emissions[[#This Row],[Impact Type]]="CO2E",emissions[[#This Row],[Impact Type]]="CO2E MKT")),emissions[[#This Row],[kgCO2e]],0)/1000</f>
        <v>0</v>
      </c>
      <c r="AQ2178" t="str">
        <f>_xlfn.TEXTAFTER(emissions[[#This Row],[Reporting Unit]]," &gt; ",LEN(emissions[[#This Row],[Reporting Unit]])-LEN(SUBSTITUTE(emissions[[#This Row],[Reporting Unit]],"&gt;","")))</f>
        <v>Vantage_Guatemala City</v>
      </c>
      <c r="AR2178" t="str">
        <f>_xlfn.XLOOKUP(emissions[[#This Row],[Reporting unit name]],hierarchy!$A:$A,hierarchy!$C:$C)</f>
        <v>Unspecified Facility Type</v>
      </c>
    </row>
    <row r="2179" spans="1:44" hidden="1" x14ac:dyDescent="0.25">
      <c r="A2179">
        <v>237709</v>
      </c>
      <c r="B2179" t="s">
        <v>229</v>
      </c>
      <c r="C2179" t="s">
        <v>525</v>
      </c>
      <c r="D2179" t="s">
        <v>548</v>
      </c>
      <c r="E2179" s="3">
        <v>44562</v>
      </c>
      <c r="F2179" s="3">
        <v>44926</v>
      </c>
      <c r="G2179" t="s">
        <v>108</v>
      </c>
      <c r="H2179" s="3">
        <v>44562</v>
      </c>
      <c r="I2179" s="3">
        <v>44926</v>
      </c>
      <c r="J2179" t="s">
        <v>108</v>
      </c>
      <c r="K2179">
        <v>15649</v>
      </c>
      <c r="L2179" t="s">
        <v>109</v>
      </c>
      <c r="M2179" t="s">
        <v>110</v>
      </c>
      <c r="O2179" t="s">
        <v>1019</v>
      </c>
      <c r="P2179" t="s">
        <v>550</v>
      </c>
      <c r="Q2179">
        <v>2022</v>
      </c>
      <c r="R2179" t="s">
        <v>551</v>
      </c>
      <c r="S2179" t="s">
        <v>552</v>
      </c>
      <c r="T2179" t="s">
        <v>553</v>
      </c>
      <c r="U2179" t="b">
        <v>0</v>
      </c>
      <c r="V2179" t="s">
        <v>1020</v>
      </c>
      <c r="W2179" t="s">
        <v>555</v>
      </c>
      <c r="X2179" t="s">
        <v>556</v>
      </c>
      <c r="Y2179" t="s">
        <v>472</v>
      </c>
      <c r="Z2179" t="s">
        <v>491</v>
      </c>
      <c r="AA2179" t="s">
        <v>1021</v>
      </c>
      <c r="AC2179">
        <v>1</v>
      </c>
      <c r="AD2179" t="s">
        <v>565</v>
      </c>
      <c r="AE2179">
        <v>4646.1881000000003</v>
      </c>
      <c r="AF2179" t="s">
        <v>559</v>
      </c>
      <c r="AG2179" t="s">
        <v>560</v>
      </c>
      <c r="AH2179">
        <v>1</v>
      </c>
      <c r="AI2179">
        <v>15649</v>
      </c>
      <c r="AJ2179" t="s">
        <v>561</v>
      </c>
      <c r="AK2179" t="s">
        <v>562</v>
      </c>
      <c r="AL2179" t="s">
        <v>563</v>
      </c>
      <c r="AM2179">
        <v>2022</v>
      </c>
      <c r="AN2179">
        <v>2020</v>
      </c>
      <c r="AO2179">
        <f>IF(AND(emissions[[#This Row],[Market-based]]=0,emissions[[#This Row],[Impact Type]]="CO2E"),emissions[[#This Row],[kgCO2e]],0)/1000</f>
        <v>0</v>
      </c>
      <c r="AP2179">
        <f>IF(AND(emissions[[#This Row],[Market-based]]=1,OR(emissions[[#This Row],[Impact Type]]="CO2E",emissions[[#This Row],[Impact Type]]="CO2E MKT")),emissions[[#This Row],[kgCO2e]],0)/1000</f>
        <v>4.6461881000000007</v>
      </c>
      <c r="AQ2179" t="str">
        <f>_xlfn.TEXTAFTER(emissions[[#This Row],[Reporting Unit]]," &gt; ",LEN(emissions[[#This Row],[Reporting Unit]])-LEN(SUBSTITUTE(emissions[[#This Row],[Reporting Unit]],"&gt;","")))</f>
        <v>Vantage_Guatemala City</v>
      </c>
      <c r="AR2179" t="str">
        <f>_xlfn.XLOOKUP(emissions[[#This Row],[Reporting unit name]],hierarchy!$A:$A,hierarchy!$C:$C)</f>
        <v>Unspecified Facility Type</v>
      </c>
    </row>
    <row r="2180" spans="1:44" hidden="1" x14ac:dyDescent="0.25">
      <c r="A2180">
        <v>237709</v>
      </c>
      <c r="B2180" t="s">
        <v>229</v>
      </c>
      <c r="C2180" t="s">
        <v>525</v>
      </c>
      <c r="D2180" t="s">
        <v>548</v>
      </c>
      <c r="E2180" s="3">
        <v>44562</v>
      </c>
      <c r="F2180" s="3">
        <v>44926</v>
      </c>
      <c r="G2180" t="s">
        <v>108</v>
      </c>
      <c r="H2180" s="3">
        <v>44562</v>
      </c>
      <c r="I2180" s="3">
        <v>44926</v>
      </c>
      <c r="J2180" t="s">
        <v>108</v>
      </c>
      <c r="K2180">
        <v>15649</v>
      </c>
      <c r="L2180" t="s">
        <v>109</v>
      </c>
      <c r="M2180" t="s">
        <v>110</v>
      </c>
      <c r="O2180" t="s">
        <v>1019</v>
      </c>
      <c r="P2180" t="s">
        <v>550</v>
      </c>
      <c r="Q2180">
        <v>2022</v>
      </c>
      <c r="R2180" t="s">
        <v>551</v>
      </c>
      <c r="S2180" t="s">
        <v>552</v>
      </c>
      <c r="T2180" t="s">
        <v>553</v>
      </c>
      <c r="U2180" t="b">
        <v>0</v>
      </c>
      <c r="V2180" t="s">
        <v>1020</v>
      </c>
      <c r="W2180" t="s">
        <v>555</v>
      </c>
      <c r="X2180" t="s">
        <v>556</v>
      </c>
      <c r="Y2180" t="s">
        <v>472</v>
      </c>
      <c r="Z2180" t="s">
        <v>491</v>
      </c>
      <c r="AA2180" t="s">
        <v>1021</v>
      </c>
      <c r="AC2180">
        <v>1</v>
      </c>
      <c r="AD2180" t="s">
        <v>566</v>
      </c>
      <c r="AE2180">
        <v>92.329099999999997</v>
      </c>
      <c r="AF2180" t="s">
        <v>559</v>
      </c>
      <c r="AG2180" t="s">
        <v>560</v>
      </c>
      <c r="AH2180">
        <v>1</v>
      </c>
      <c r="AI2180">
        <v>15649</v>
      </c>
      <c r="AJ2180" t="s">
        <v>561</v>
      </c>
      <c r="AK2180" t="s">
        <v>562</v>
      </c>
      <c r="AL2180" t="s">
        <v>563</v>
      </c>
      <c r="AM2180">
        <v>2022</v>
      </c>
      <c r="AN2180">
        <v>2020</v>
      </c>
      <c r="AO2180">
        <f>IF(AND(emissions[[#This Row],[Market-based]]=0,emissions[[#This Row],[Impact Type]]="CO2E"),emissions[[#This Row],[kgCO2e]],0)/1000</f>
        <v>0</v>
      </c>
      <c r="AP2180">
        <f>IF(AND(emissions[[#This Row],[Market-based]]=1,OR(emissions[[#This Row],[Impact Type]]="CO2E",emissions[[#This Row],[Impact Type]]="CO2E MKT")),emissions[[#This Row],[kgCO2e]],0)/1000</f>
        <v>0</v>
      </c>
      <c r="AQ2180" t="str">
        <f>_xlfn.TEXTAFTER(emissions[[#This Row],[Reporting Unit]]," &gt; ",LEN(emissions[[#This Row],[Reporting Unit]])-LEN(SUBSTITUTE(emissions[[#This Row],[Reporting Unit]],"&gt;","")))</f>
        <v>Vantage_Guatemala City</v>
      </c>
      <c r="AR2180" t="str">
        <f>_xlfn.XLOOKUP(emissions[[#This Row],[Reporting unit name]],hierarchy!$A:$A,hierarchy!$C:$C)</f>
        <v>Unspecified Facility Type</v>
      </c>
    </row>
    <row r="2181" spans="1:44" hidden="1" x14ac:dyDescent="0.25">
      <c r="A2181">
        <v>237709</v>
      </c>
      <c r="B2181" t="s">
        <v>229</v>
      </c>
      <c r="C2181" t="s">
        <v>525</v>
      </c>
      <c r="D2181" t="s">
        <v>548</v>
      </c>
      <c r="E2181" s="3">
        <v>44562</v>
      </c>
      <c r="F2181" s="3">
        <v>44926</v>
      </c>
      <c r="G2181" t="s">
        <v>108</v>
      </c>
      <c r="H2181" s="3">
        <v>44562</v>
      </c>
      <c r="I2181" s="3">
        <v>44926</v>
      </c>
      <c r="J2181" t="s">
        <v>108</v>
      </c>
      <c r="K2181">
        <v>15649</v>
      </c>
      <c r="L2181" t="s">
        <v>109</v>
      </c>
      <c r="M2181" t="s">
        <v>110</v>
      </c>
      <c r="O2181" t="s">
        <v>1019</v>
      </c>
      <c r="P2181" t="s">
        <v>550</v>
      </c>
      <c r="Q2181">
        <v>2022</v>
      </c>
      <c r="R2181" t="s">
        <v>567</v>
      </c>
      <c r="S2181" t="s">
        <v>568</v>
      </c>
      <c r="T2181" t="s">
        <v>569</v>
      </c>
      <c r="U2181" t="b">
        <v>0</v>
      </c>
      <c r="V2181" t="s">
        <v>1022</v>
      </c>
      <c r="W2181" t="s">
        <v>571</v>
      </c>
      <c r="X2181" t="s">
        <v>572</v>
      </c>
      <c r="Y2181" t="s">
        <v>472</v>
      </c>
      <c r="Z2181" t="s">
        <v>491</v>
      </c>
      <c r="AA2181" t="s">
        <v>1021</v>
      </c>
      <c r="AC2181">
        <v>0</v>
      </c>
      <c r="AD2181" t="s">
        <v>565</v>
      </c>
      <c r="AE2181">
        <v>108.4011751</v>
      </c>
      <c r="AF2181">
        <v>6.9270349999999998E-3</v>
      </c>
      <c r="AG2181" t="s">
        <v>560</v>
      </c>
      <c r="AH2181">
        <v>1</v>
      </c>
      <c r="AI2181">
        <v>15649</v>
      </c>
      <c r="AJ2181" t="s">
        <v>561</v>
      </c>
      <c r="AK2181" t="s">
        <v>573</v>
      </c>
      <c r="AL2181" t="s">
        <v>574</v>
      </c>
      <c r="AM2181">
        <v>2022</v>
      </c>
      <c r="AN2181">
        <v>2020</v>
      </c>
      <c r="AO2181">
        <f>IF(AND(emissions[[#This Row],[Market-based]]=0,emissions[[#This Row],[Impact Type]]="CO2E"),emissions[[#This Row],[kgCO2e]],0)/1000</f>
        <v>0.1084011751</v>
      </c>
      <c r="AP2181">
        <f>IF(AND(emissions[[#This Row],[Market-based]]=1,OR(emissions[[#This Row],[Impact Type]]="CO2E",emissions[[#This Row],[Impact Type]]="CO2E MKT")),emissions[[#This Row],[kgCO2e]],0)/1000</f>
        <v>0</v>
      </c>
      <c r="AQ2181" t="str">
        <f>_xlfn.TEXTAFTER(emissions[[#This Row],[Reporting Unit]]," &gt; ",LEN(emissions[[#This Row],[Reporting Unit]])-LEN(SUBSTITUTE(emissions[[#This Row],[Reporting Unit]],"&gt;","")))</f>
        <v>Vantage_Guatemala City</v>
      </c>
      <c r="AR2181" t="str">
        <f>_xlfn.XLOOKUP(emissions[[#This Row],[Reporting unit name]],hierarchy!$A:$A,hierarchy!$C:$C)</f>
        <v>Unspecified Facility Type</v>
      </c>
    </row>
    <row r="2182" spans="1:44" hidden="1" x14ac:dyDescent="0.25">
      <c r="A2182">
        <v>237709</v>
      </c>
      <c r="B2182" t="s">
        <v>229</v>
      </c>
      <c r="C2182" t="s">
        <v>525</v>
      </c>
      <c r="D2182" t="s">
        <v>548</v>
      </c>
      <c r="E2182" s="3">
        <v>44562</v>
      </c>
      <c r="F2182" s="3">
        <v>44926</v>
      </c>
      <c r="G2182" t="s">
        <v>108</v>
      </c>
      <c r="H2182" s="3">
        <v>44562</v>
      </c>
      <c r="I2182" s="3">
        <v>44926</v>
      </c>
      <c r="J2182" t="s">
        <v>108</v>
      </c>
      <c r="K2182">
        <v>15649</v>
      </c>
      <c r="L2182" t="s">
        <v>109</v>
      </c>
      <c r="M2182" t="s">
        <v>110</v>
      </c>
      <c r="O2182" t="s">
        <v>1019</v>
      </c>
      <c r="P2182" t="s">
        <v>550</v>
      </c>
      <c r="Q2182">
        <v>2022</v>
      </c>
      <c r="R2182" t="s">
        <v>567</v>
      </c>
      <c r="S2182" t="s">
        <v>568</v>
      </c>
      <c r="T2182" t="s">
        <v>569</v>
      </c>
      <c r="U2182" t="b">
        <v>0</v>
      </c>
      <c r="V2182" t="s">
        <v>1022</v>
      </c>
      <c r="W2182" t="s">
        <v>571</v>
      </c>
      <c r="X2182" t="s">
        <v>572</v>
      </c>
      <c r="Y2182" t="s">
        <v>472</v>
      </c>
      <c r="Z2182" t="s">
        <v>491</v>
      </c>
      <c r="AA2182" t="s">
        <v>1021</v>
      </c>
      <c r="AC2182">
        <v>1</v>
      </c>
      <c r="AD2182" t="s">
        <v>565</v>
      </c>
      <c r="AE2182">
        <v>108.4011751</v>
      </c>
      <c r="AF2182">
        <v>6.9270349999999998E-3</v>
      </c>
      <c r="AG2182" t="s">
        <v>560</v>
      </c>
      <c r="AH2182">
        <v>1</v>
      </c>
      <c r="AI2182">
        <v>15649</v>
      </c>
      <c r="AJ2182" t="s">
        <v>561</v>
      </c>
      <c r="AK2182" t="s">
        <v>573</v>
      </c>
      <c r="AL2182" t="s">
        <v>574</v>
      </c>
      <c r="AM2182">
        <v>2022</v>
      </c>
      <c r="AN2182">
        <v>2020</v>
      </c>
      <c r="AO2182">
        <f>IF(AND(emissions[[#This Row],[Market-based]]=0,emissions[[#This Row],[Impact Type]]="CO2E"),emissions[[#This Row],[kgCO2e]],0)/1000</f>
        <v>0</v>
      </c>
      <c r="AP2182">
        <f>IF(AND(emissions[[#This Row],[Market-based]]=1,OR(emissions[[#This Row],[Impact Type]]="CO2E",emissions[[#This Row],[Impact Type]]="CO2E MKT")),emissions[[#This Row],[kgCO2e]],0)/1000</f>
        <v>0.1084011751</v>
      </c>
      <c r="AQ2182" t="str">
        <f>_xlfn.TEXTAFTER(emissions[[#This Row],[Reporting Unit]]," &gt; ",LEN(emissions[[#This Row],[Reporting Unit]])-LEN(SUBSTITUTE(emissions[[#This Row],[Reporting Unit]],"&gt;","")))</f>
        <v>Vantage_Guatemala City</v>
      </c>
      <c r="AR2182" t="str">
        <f>_xlfn.XLOOKUP(emissions[[#This Row],[Reporting unit name]],hierarchy!$A:$A,hierarchy!$C:$C)</f>
        <v>Unspecified Facility Type</v>
      </c>
    </row>
    <row r="2183" spans="1:44" hidden="1" x14ac:dyDescent="0.25">
      <c r="A2183">
        <v>237709</v>
      </c>
      <c r="B2183" t="s">
        <v>229</v>
      </c>
      <c r="C2183" t="s">
        <v>525</v>
      </c>
      <c r="D2183" t="s">
        <v>548</v>
      </c>
      <c r="E2183" s="3">
        <v>44562</v>
      </c>
      <c r="F2183" s="3">
        <v>44926</v>
      </c>
      <c r="G2183" t="s">
        <v>108</v>
      </c>
      <c r="H2183" s="3">
        <v>44562</v>
      </c>
      <c r="I2183" s="3">
        <v>44926</v>
      </c>
      <c r="J2183" t="s">
        <v>108</v>
      </c>
      <c r="K2183">
        <v>15649</v>
      </c>
      <c r="L2183" t="s">
        <v>109</v>
      </c>
      <c r="M2183" t="s">
        <v>110</v>
      </c>
      <c r="O2183" t="s">
        <v>1019</v>
      </c>
      <c r="P2183" t="s">
        <v>550</v>
      </c>
      <c r="Q2183">
        <v>2022</v>
      </c>
      <c r="R2183" t="s">
        <v>575</v>
      </c>
      <c r="S2183" t="s">
        <v>576</v>
      </c>
      <c r="T2183" t="s">
        <v>577</v>
      </c>
      <c r="U2183" t="b">
        <v>0</v>
      </c>
      <c r="V2183" t="s">
        <v>1023</v>
      </c>
      <c r="W2183" t="s">
        <v>571</v>
      </c>
      <c r="X2183" t="s">
        <v>572</v>
      </c>
      <c r="Y2183" t="s">
        <v>472</v>
      </c>
      <c r="Z2183" t="s">
        <v>491</v>
      </c>
      <c r="AA2183" t="s">
        <v>1021</v>
      </c>
      <c r="AC2183">
        <v>0</v>
      </c>
      <c r="AD2183" t="s">
        <v>565</v>
      </c>
      <c r="AE2183">
        <v>984.22963000000004</v>
      </c>
      <c r="AF2183">
        <v>6.2894090999999999E-2</v>
      </c>
      <c r="AG2183" t="s">
        <v>560</v>
      </c>
      <c r="AH2183">
        <v>1</v>
      </c>
      <c r="AI2183">
        <v>15649</v>
      </c>
      <c r="AJ2183" t="s">
        <v>561</v>
      </c>
      <c r="AK2183" t="s">
        <v>573</v>
      </c>
      <c r="AL2183" t="s">
        <v>574</v>
      </c>
      <c r="AM2183">
        <v>2022</v>
      </c>
      <c r="AN2183">
        <v>2020</v>
      </c>
      <c r="AO2183">
        <f>IF(AND(emissions[[#This Row],[Market-based]]=0,emissions[[#This Row],[Impact Type]]="CO2E"),emissions[[#This Row],[kgCO2e]],0)/1000</f>
        <v>0.98422963000000008</v>
      </c>
      <c r="AP2183">
        <f>IF(AND(emissions[[#This Row],[Market-based]]=1,OR(emissions[[#This Row],[Impact Type]]="CO2E",emissions[[#This Row],[Impact Type]]="CO2E MKT")),emissions[[#This Row],[kgCO2e]],0)/1000</f>
        <v>0</v>
      </c>
      <c r="AQ2183" t="str">
        <f>_xlfn.TEXTAFTER(emissions[[#This Row],[Reporting Unit]]," &gt; ",LEN(emissions[[#This Row],[Reporting Unit]])-LEN(SUBSTITUTE(emissions[[#This Row],[Reporting Unit]],"&gt;","")))</f>
        <v>Vantage_Guatemala City</v>
      </c>
      <c r="AR2183" t="str">
        <f>_xlfn.XLOOKUP(emissions[[#This Row],[Reporting unit name]],hierarchy!$A:$A,hierarchy!$C:$C)</f>
        <v>Unspecified Facility Type</v>
      </c>
    </row>
    <row r="2184" spans="1:44" hidden="1" x14ac:dyDescent="0.25">
      <c r="A2184">
        <v>237709</v>
      </c>
      <c r="B2184" t="s">
        <v>229</v>
      </c>
      <c r="C2184" t="s">
        <v>525</v>
      </c>
      <c r="D2184" t="s">
        <v>548</v>
      </c>
      <c r="E2184" s="3">
        <v>44562</v>
      </c>
      <c r="F2184" s="3">
        <v>44926</v>
      </c>
      <c r="G2184" t="s">
        <v>108</v>
      </c>
      <c r="H2184" s="3">
        <v>44562</v>
      </c>
      <c r="I2184" s="3">
        <v>44926</v>
      </c>
      <c r="J2184" t="s">
        <v>108</v>
      </c>
      <c r="K2184">
        <v>15649</v>
      </c>
      <c r="L2184" t="s">
        <v>109</v>
      </c>
      <c r="M2184" t="s">
        <v>110</v>
      </c>
      <c r="O2184" t="s">
        <v>1019</v>
      </c>
      <c r="P2184" t="s">
        <v>550</v>
      </c>
      <c r="Q2184">
        <v>2022</v>
      </c>
      <c r="R2184" t="s">
        <v>575</v>
      </c>
      <c r="S2184" t="s">
        <v>576</v>
      </c>
      <c r="T2184" t="s">
        <v>577</v>
      </c>
      <c r="U2184" t="b">
        <v>0</v>
      </c>
      <c r="V2184" t="s">
        <v>1023</v>
      </c>
      <c r="W2184" t="s">
        <v>571</v>
      </c>
      <c r="X2184" t="s">
        <v>572</v>
      </c>
      <c r="Y2184" t="s">
        <v>472</v>
      </c>
      <c r="Z2184" t="s">
        <v>491</v>
      </c>
      <c r="AA2184" t="s">
        <v>1021</v>
      </c>
      <c r="AC2184">
        <v>1</v>
      </c>
      <c r="AD2184" t="s">
        <v>565</v>
      </c>
      <c r="AE2184">
        <v>984.22963000000004</v>
      </c>
      <c r="AF2184">
        <v>6.2894090999999999E-2</v>
      </c>
      <c r="AG2184" t="s">
        <v>560</v>
      </c>
      <c r="AH2184">
        <v>1</v>
      </c>
      <c r="AI2184">
        <v>15649</v>
      </c>
      <c r="AJ2184" t="s">
        <v>561</v>
      </c>
      <c r="AK2184" t="s">
        <v>573</v>
      </c>
      <c r="AL2184" t="s">
        <v>574</v>
      </c>
      <c r="AM2184">
        <v>2022</v>
      </c>
      <c r="AN2184">
        <v>2020</v>
      </c>
      <c r="AO2184">
        <f>IF(AND(emissions[[#This Row],[Market-based]]=0,emissions[[#This Row],[Impact Type]]="CO2E"),emissions[[#This Row],[kgCO2e]],0)/1000</f>
        <v>0</v>
      </c>
      <c r="AP2184">
        <f>IF(AND(emissions[[#This Row],[Market-based]]=1,OR(emissions[[#This Row],[Impact Type]]="CO2E",emissions[[#This Row],[Impact Type]]="CO2E MKT")),emissions[[#This Row],[kgCO2e]],0)/1000</f>
        <v>0.98422963000000008</v>
      </c>
      <c r="AQ2184" t="str">
        <f>_xlfn.TEXTAFTER(emissions[[#This Row],[Reporting Unit]]," &gt; ",LEN(emissions[[#This Row],[Reporting Unit]])-LEN(SUBSTITUTE(emissions[[#This Row],[Reporting Unit]],"&gt;","")))</f>
        <v>Vantage_Guatemala City</v>
      </c>
      <c r="AR2184" t="str">
        <f>_xlfn.XLOOKUP(emissions[[#This Row],[Reporting unit name]],hierarchy!$A:$A,hierarchy!$C:$C)</f>
        <v>Unspecified Facility Type</v>
      </c>
    </row>
    <row r="2185" spans="1:44" hidden="1" x14ac:dyDescent="0.25">
      <c r="A2185">
        <v>237709</v>
      </c>
      <c r="B2185" t="s">
        <v>229</v>
      </c>
      <c r="C2185" t="s">
        <v>525</v>
      </c>
      <c r="D2185" t="s">
        <v>548</v>
      </c>
      <c r="E2185" s="3">
        <v>44562</v>
      </c>
      <c r="F2185" s="3">
        <v>44926</v>
      </c>
      <c r="G2185" t="s">
        <v>108</v>
      </c>
      <c r="H2185" s="3">
        <v>44562</v>
      </c>
      <c r="I2185" s="3">
        <v>44926</v>
      </c>
      <c r="J2185" t="s">
        <v>108</v>
      </c>
      <c r="K2185">
        <v>15649</v>
      </c>
      <c r="L2185" t="s">
        <v>109</v>
      </c>
      <c r="M2185" t="s">
        <v>110</v>
      </c>
      <c r="O2185" t="s">
        <v>1019</v>
      </c>
      <c r="P2185" t="s">
        <v>550</v>
      </c>
      <c r="Q2185">
        <v>2022</v>
      </c>
      <c r="R2185" t="s">
        <v>579</v>
      </c>
      <c r="S2185" t="s">
        <v>580</v>
      </c>
      <c r="T2185" t="s">
        <v>581</v>
      </c>
      <c r="U2185" t="b">
        <v>0</v>
      </c>
      <c r="V2185" t="s">
        <v>1024</v>
      </c>
      <c r="W2185" t="s">
        <v>571</v>
      </c>
      <c r="X2185" t="s">
        <v>572</v>
      </c>
      <c r="Y2185" t="s">
        <v>472</v>
      </c>
      <c r="Z2185" t="s">
        <v>491</v>
      </c>
      <c r="AA2185" t="s">
        <v>1021</v>
      </c>
      <c r="AC2185">
        <v>0</v>
      </c>
      <c r="AD2185" t="s">
        <v>565</v>
      </c>
      <c r="AE2185">
        <v>511.72230000000002</v>
      </c>
      <c r="AF2185" t="s">
        <v>559</v>
      </c>
      <c r="AG2185" t="s">
        <v>560</v>
      </c>
      <c r="AH2185">
        <v>1</v>
      </c>
      <c r="AI2185">
        <v>15649</v>
      </c>
      <c r="AJ2185" t="s">
        <v>561</v>
      </c>
      <c r="AK2185" t="s">
        <v>562</v>
      </c>
      <c r="AL2185" t="s">
        <v>563</v>
      </c>
      <c r="AM2185">
        <v>2022</v>
      </c>
      <c r="AN2185">
        <v>2020</v>
      </c>
      <c r="AO2185">
        <f>IF(AND(emissions[[#This Row],[Market-based]]=0,emissions[[#This Row],[Impact Type]]="CO2E"),emissions[[#This Row],[kgCO2e]],0)/1000</f>
        <v>0.51172229999999996</v>
      </c>
      <c r="AP2185">
        <f>IF(AND(emissions[[#This Row],[Market-based]]=1,OR(emissions[[#This Row],[Impact Type]]="CO2E",emissions[[#This Row],[Impact Type]]="CO2E MKT")),emissions[[#This Row],[kgCO2e]],0)/1000</f>
        <v>0</v>
      </c>
      <c r="AQ2185" t="str">
        <f>_xlfn.TEXTAFTER(emissions[[#This Row],[Reporting Unit]]," &gt; ",LEN(emissions[[#This Row],[Reporting Unit]])-LEN(SUBSTITUTE(emissions[[#This Row],[Reporting Unit]],"&gt;","")))</f>
        <v>Vantage_Guatemala City</v>
      </c>
      <c r="AR2185" t="str">
        <f>_xlfn.XLOOKUP(emissions[[#This Row],[Reporting unit name]],hierarchy!$A:$A,hierarchy!$C:$C)</f>
        <v>Unspecified Facility Type</v>
      </c>
    </row>
    <row r="2186" spans="1:44" hidden="1" x14ac:dyDescent="0.25">
      <c r="A2186">
        <v>237709</v>
      </c>
      <c r="B2186" t="s">
        <v>229</v>
      </c>
      <c r="C2186" t="s">
        <v>525</v>
      </c>
      <c r="D2186" t="s">
        <v>548</v>
      </c>
      <c r="E2186" s="3">
        <v>44562</v>
      </c>
      <c r="F2186" s="3">
        <v>44926</v>
      </c>
      <c r="G2186" t="s">
        <v>108</v>
      </c>
      <c r="H2186" s="3">
        <v>44562</v>
      </c>
      <c r="I2186" s="3">
        <v>44926</v>
      </c>
      <c r="J2186" t="s">
        <v>108</v>
      </c>
      <c r="K2186">
        <v>15649</v>
      </c>
      <c r="L2186" t="s">
        <v>109</v>
      </c>
      <c r="M2186" t="s">
        <v>110</v>
      </c>
      <c r="O2186" t="s">
        <v>1019</v>
      </c>
      <c r="P2186" t="s">
        <v>550</v>
      </c>
      <c r="Q2186">
        <v>2022</v>
      </c>
      <c r="R2186" t="s">
        <v>579</v>
      </c>
      <c r="S2186" t="s">
        <v>580</v>
      </c>
      <c r="T2186" t="s">
        <v>581</v>
      </c>
      <c r="U2186" t="b">
        <v>0</v>
      </c>
      <c r="V2186" t="s">
        <v>1024</v>
      </c>
      <c r="W2186" t="s">
        <v>571</v>
      </c>
      <c r="X2186" t="s">
        <v>572</v>
      </c>
      <c r="Y2186" t="s">
        <v>472</v>
      </c>
      <c r="Z2186" t="s">
        <v>491</v>
      </c>
      <c r="AA2186" t="s">
        <v>1021</v>
      </c>
      <c r="AC2186">
        <v>1</v>
      </c>
      <c r="AD2186" t="s">
        <v>565</v>
      </c>
      <c r="AE2186">
        <v>511.72230000000002</v>
      </c>
      <c r="AF2186" t="s">
        <v>559</v>
      </c>
      <c r="AG2186" t="s">
        <v>560</v>
      </c>
      <c r="AH2186">
        <v>1</v>
      </c>
      <c r="AI2186">
        <v>15649</v>
      </c>
      <c r="AJ2186" t="s">
        <v>561</v>
      </c>
      <c r="AK2186" t="s">
        <v>562</v>
      </c>
      <c r="AL2186" t="s">
        <v>563</v>
      </c>
      <c r="AM2186">
        <v>2022</v>
      </c>
      <c r="AN2186">
        <v>2020</v>
      </c>
      <c r="AO2186">
        <f>IF(AND(emissions[[#This Row],[Market-based]]=0,emissions[[#This Row],[Impact Type]]="CO2E"),emissions[[#This Row],[kgCO2e]],0)/1000</f>
        <v>0</v>
      </c>
      <c r="AP2186">
        <f>IF(AND(emissions[[#This Row],[Market-based]]=1,OR(emissions[[#This Row],[Impact Type]]="CO2E",emissions[[#This Row],[Impact Type]]="CO2E MKT")),emissions[[#This Row],[kgCO2e]],0)/1000</f>
        <v>0.51172229999999996</v>
      </c>
      <c r="AQ2186" t="str">
        <f>_xlfn.TEXTAFTER(emissions[[#This Row],[Reporting Unit]]," &gt; ",LEN(emissions[[#This Row],[Reporting Unit]])-LEN(SUBSTITUTE(emissions[[#This Row],[Reporting Unit]],"&gt;","")))</f>
        <v>Vantage_Guatemala City</v>
      </c>
      <c r="AR2186" t="str">
        <f>_xlfn.XLOOKUP(emissions[[#This Row],[Reporting unit name]],hierarchy!$A:$A,hierarchy!$C:$C)</f>
        <v>Unspecified Facility Type</v>
      </c>
    </row>
    <row r="2187" spans="1:44" hidden="1" x14ac:dyDescent="0.25">
      <c r="A2187">
        <v>237707</v>
      </c>
      <c r="B2187" t="s">
        <v>229</v>
      </c>
      <c r="C2187" t="s">
        <v>525</v>
      </c>
      <c r="D2187" t="s">
        <v>548</v>
      </c>
      <c r="E2187" s="3">
        <v>44562</v>
      </c>
      <c r="F2187" s="3">
        <v>44926</v>
      </c>
      <c r="G2187" t="s">
        <v>135</v>
      </c>
      <c r="H2187" s="3">
        <v>44562</v>
      </c>
      <c r="I2187" s="3">
        <v>44926</v>
      </c>
      <c r="J2187" t="s">
        <v>135</v>
      </c>
      <c r="K2187">
        <v>0</v>
      </c>
      <c r="L2187" t="s">
        <v>140</v>
      </c>
      <c r="M2187" t="s">
        <v>110</v>
      </c>
      <c r="O2187" t="s">
        <v>1025</v>
      </c>
      <c r="P2187" t="s">
        <v>550</v>
      </c>
      <c r="Q2187">
        <v>2022</v>
      </c>
      <c r="R2187" t="s">
        <v>605</v>
      </c>
      <c r="S2187" t="s">
        <v>606</v>
      </c>
      <c r="T2187" t="s">
        <v>553</v>
      </c>
      <c r="U2187" t="b">
        <v>0</v>
      </c>
      <c r="V2187" t="s">
        <v>781</v>
      </c>
      <c r="W2187" t="s">
        <v>587</v>
      </c>
      <c r="X2187" t="s">
        <v>556</v>
      </c>
      <c r="Y2187" t="s">
        <v>472</v>
      </c>
      <c r="AC2187">
        <v>0</v>
      </c>
      <c r="AD2187" t="s">
        <v>558</v>
      </c>
      <c r="AE2187">
        <v>0</v>
      </c>
      <c r="AF2187">
        <v>2.5000000000000001E-2</v>
      </c>
      <c r="AG2187" t="s">
        <v>798</v>
      </c>
      <c r="AH2187">
        <v>9.9999999999999995E-7</v>
      </c>
      <c r="AI2187">
        <v>0</v>
      </c>
      <c r="AJ2187" t="s">
        <v>561</v>
      </c>
      <c r="AK2187" t="s">
        <v>766</v>
      </c>
      <c r="AL2187" t="s">
        <v>787</v>
      </c>
      <c r="AM2187">
        <v>2022</v>
      </c>
      <c r="AN2187">
        <v>2021</v>
      </c>
      <c r="AO2187">
        <f>IF(AND(emissions[[#This Row],[Market-based]]=0,emissions[[#This Row],[Impact Type]]="CO2E"),emissions[[#This Row],[kgCO2e]],0)/1000</f>
        <v>0</v>
      </c>
      <c r="AP2187">
        <f>IF(AND(emissions[[#This Row],[Market-based]]=1,OR(emissions[[#This Row],[Impact Type]]="CO2E",emissions[[#This Row],[Impact Type]]="CO2E MKT")),emissions[[#This Row],[kgCO2e]],0)/1000</f>
        <v>0</v>
      </c>
      <c r="AQ2187" t="str">
        <f>_xlfn.TEXTAFTER(emissions[[#This Row],[Reporting Unit]]," &gt; ",LEN(emissions[[#This Row],[Reporting Unit]])-LEN(SUBSTITUTE(emissions[[#This Row],[Reporting Unit]],"&gt;","")))</f>
        <v>Vantage_Guatemala City</v>
      </c>
      <c r="AR2187" t="str">
        <f>_xlfn.XLOOKUP(emissions[[#This Row],[Reporting unit name]],hierarchy!$A:$A,hierarchy!$C:$C)</f>
        <v>Unspecified Facility Type</v>
      </c>
    </row>
    <row r="2188" spans="1:44" hidden="1" x14ac:dyDescent="0.25">
      <c r="A2188">
        <v>237707</v>
      </c>
      <c r="B2188" t="s">
        <v>229</v>
      </c>
      <c r="C2188" t="s">
        <v>525</v>
      </c>
      <c r="D2188" t="s">
        <v>548</v>
      </c>
      <c r="E2188" s="3">
        <v>44562</v>
      </c>
      <c r="F2188" s="3">
        <v>44926</v>
      </c>
      <c r="G2188" t="s">
        <v>135</v>
      </c>
      <c r="H2188" s="3">
        <v>44562</v>
      </c>
      <c r="I2188" s="3">
        <v>44926</v>
      </c>
      <c r="J2188" t="s">
        <v>135</v>
      </c>
      <c r="K2188">
        <v>0</v>
      </c>
      <c r="L2188" t="s">
        <v>140</v>
      </c>
      <c r="M2188" t="s">
        <v>110</v>
      </c>
      <c r="O2188" t="s">
        <v>1025</v>
      </c>
      <c r="P2188" t="s">
        <v>550</v>
      </c>
      <c r="Q2188">
        <v>2022</v>
      </c>
      <c r="R2188" t="s">
        <v>605</v>
      </c>
      <c r="S2188" t="s">
        <v>606</v>
      </c>
      <c r="T2188" t="s">
        <v>553</v>
      </c>
      <c r="U2188" t="b">
        <v>0</v>
      </c>
      <c r="V2188" t="s">
        <v>781</v>
      </c>
      <c r="W2188" t="s">
        <v>587</v>
      </c>
      <c r="X2188" t="s">
        <v>556</v>
      </c>
      <c r="Y2188" t="s">
        <v>472</v>
      </c>
      <c r="AC2188">
        <v>0</v>
      </c>
      <c r="AD2188" t="s">
        <v>564</v>
      </c>
      <c r="AE2188">
        <v>0</v>
      </c>
      <c r="AF2188">
        <v>53.06</v>
      </c>
      <c r="AG2188" t="s">
        <v>798</v>
      </c>
      <c r="AH2188">
        <v>9.9999999999999995E-7</v>
      </c>
      <c r="AI2188">
        <v>0</v>
      </c>
      <c r="AJ2188" t="s">
        <v>561</v>
      </c>
      <c r="AK2188" t="s">
        <v>766</v>
      </c>
      <c r="AL2188" t="s">
        <v>767</v>
      </c>
      <c r="AM2188">
        <v>2022</v>
      </c>
      <c r="AN2188">
        <v>2022</v>
      </c>
      <c r="AO2188">
        <f>IF(AND(emissions[[#This Row],[Market-based]]=0,emissions[[#This Row],[Impact Type]]="CO2E"),emissions[[#This Row],[kgCO2e]],0)/1000</f>
        <v>0</v>
      </c>
      <c r="AP2188">
        <f>IF(AND(emissions[[#This Row],[Market-based]]=1,OR(emissions[[#This Row],[Impact Type]]="CO2E",emissions[[#This Row],[Impact Type]]="CO2E MKT")),emissions[[#This Row],[kgCO2e]],0)/1000</f>
        <v>0</v>
      </c>
      <c r="AQ2188" t="str">
        <f>_xlfn.TEXTAFTER(emissions[[#This Row],[Reporting Unit]]," &gt; ",LEN(emissions[[#This Row],[Reporting Unit]])-LEN(SUBSTITUTE(emissions[[#This Row],[Reporting Unit]],"&gt;","")))</f>
        <v>Vantage_Guatemala City</v>
      </c>
      <c r="AR2188" t="str">
        <f>_xlfn.XLOOKUP(emissions[[#This Row],[Reporting unit name]],hierarchy!$A:$A,hierarchy!$C:$C)</f>
        <v>Unspecified Facility Type</v>
      </c>
    </row>
    <row r="2189" spans="1:44" hidden="1" x14ac:dyDescent="0.25">
      <c r="A2189">
        <v>237707</v>
      </c>
      <c r="B2189" t="s">
        <v>229</v>
      </c>
      <c r="C2189" t="s">
        <v>525</v>
      </c>
      <c r="D2189" t="s">
        <v>548</v>
      </c>
      <c r="E2189" s="3">
        <v>44562</v>
      </c>
      <c r="F2189" s="3">
        <v>44926</v>
      </c>
      <c r="G2189" t="s">
        <v>135</v>
      </c>
      <c r="H2189" s="3">
        <v>44562</v>
      </c>
      <c r="I2189" s="3">
        <v>44926</v>
      </c>
      <c r="J2189" t="s">
        <v>135</v>
      </c>
      <c r="K2189">
        <v>0</v>
      </c>
      <c r="L2189" t="s">
        <v>140</v>
      </c>
      <c r="M2189" t="s">
        <v>110</v>
      </c>
      <c r="O2189" t="s">
        <v>1025</v>
      </c>
      <c r="P2189" t="s">
        <v>550</v>
      </c>
      <c r="Q2189">
        <v>2022</v>
      </c>
      <c r="R2189" t="s">
        <v>605</v>
      </c>
      <c r="S2189" t="s">
        <v>606</v>
      </c>
      <c r="T2189" t="s">
        <v>553</v>
      </c>
      <c r="U2189" t="b">
        <v>0</v>
      </c>
      <c r="V2189" t="s">
        <v>781</v>
      </c>
      <c r="W2189" t="s">
        <v>587</v>
      </c>
      <c r="X2189" t="s">
        <v>556</v>
      </c>
      <c r="Y2189" t="s">
        <v>472</v>
      </c>
      <c r="AC2189">
        <v>0</v>
      </c>
      <c r="AD2189" t="s">
        <v>565</v>
      </c>
      <c r="AE2189">
        <v>0</v>
      </c>
      <c r="AF2189">
        <v>53.114800000000002</v>
      </c>
      <c r="AG2189" t="s">
        <v>798</v>
      </c>
      <c r="AH2189">
        <v>9.9999999999999995E-7</v>
      </c>
      <c r="AI2189">
        <v>0</v>
      </c>
      <c r="AJ2189" t="s">
        <v>561</v>
      </c>
      <c r="AK2189" t="s">
        <v>766</v>
      </c>
      <c r="AL2189" t="s">
        <v>787</v>
      </c>
      <c r="AM2189">
        <v>2022</v>
      </c>
      <c r="AN2189">
        <v>2021</v>
      </c>
      <c r="AO2189">
        <f>IF(AND(emissions[[#This Row],[Market-based]]=0,emissions[[#This Row],[Impact Type]]="CO2E"),emissions[[#This Row],[kgCO2e]],0)/1000</f>
        <v>0</v>
      </c>
      <c r="AP2189">
        <f>IF(AND(emissions[[#This Row],[Market-based]]=1,OR(emissions[[#This Row],[Impact Type]]="CO2E",emissions[[#This Row],[Impact Type]]="CO2E MKT")),emissions[[#This Row],[kgCO2e]],0)/1000</f>
        <v>0</v>
      </c>
      <c r="AQ2189" t="str">
        <f>_xlfn.TEXTAFTER(emissions[[#This Row],[Reporting Unit]]," &gt; ",LEN(emissions[[#This Row],[Reporting Unit]])-LEN(SUBSTITUTE(emissions[[#This Row],[Reporting Unit]],"&gt;","")))</f>
        <v>Vantage_Guatemala City</v>
      </c>
      <c r="AR2189" t="str">
        <f>_xlfn.XLOOKUP(emissions[[#This Row],[Reporting unit name]],hierarchy!$A:$A,hierarchy!$C:$C)</f>
        <v>Unspecified Facility Type</v>
      </c>
    </row>
    <row r="2190" spans="1:44" hidden="1" x14ac:dyDescent="0.25">
      <c r="A2190">
        <v>237707</v>
      </c>
      <c r="B2190" t="s">
        <v>229</v>
      </c>
      <c r="C2190" t="s">
        <v>525</v>
      </c>
      <c r="D2190" t="s">
        <v>548</v>
      </c>
      <c r="E2190" s="3">
        <v>44562</v>
      </c>
      <c r="F2190" s="3">
        <v>44926</v>
      </c>
      <c r="G2190" t="s">
        <v>135</v>
      </c>
      <c r="H2190" s="3">
        <v>44562</v>
      </c>
      <c r="I2190" s="3">
        <v>44926</v>
      </c>
      <c r="J2190" t="s">
        <v>135</v>
      </c>
      <c r="K2190">
        <v>0</v>
      </c>
      <c r="L2190" t="s">
        <v>140</v>
      </c>
      <c r="M2190" t="s">
        <v>110</v>
      </c>
      <c r="O2190" t="s">
        <v>1025</v>
      </c>
      <c r="P2190" t="s">
        <v>550</v>
      </c>
      <c r="Q2190">
        <v>2022</v>
      </c>
      <c r="R2190" t="s">
        <v>605</v>
      </c>
      <c r="S2190" t="s">
        <v>606</v>
      </c>
      <c r="T2190" t="s">
        <v>553</v>
      </c>
      <c r="U2190" t="b">
        <v>0</v>
      </c>
      <c r="V2190" t="s">
        <v>781</v>
      </c>
      <c r="W2190" t="s">
        <v>587</v>
      </c>
      <c r="X2190" t="s">
        <v>556</v>
      </c>
      <c r="Y2190" t="s">
        <v>472</v>
      </c>
      <c r="AC2190">
        <v>0</v>
      </c>
      <c r="AD2190" t="s">
        <v>566</v>
      </c>
      <c r="AE2190">
        <v>0</v>
      </c>
      <c r="AF2190">
        <v>2.98E-2</v>
      </c>
      <c r="AG2190" t="s">
        <v>798</v>
      </c>
      <c r="AH2190">
        <v>9.9999999999999995E-7</v>
      </c>
      <c r="AI2190">
        <v>0</v>
      </c>
      <c r="AJ2190" t="s">
        <v>561</v>
      </c>
      <c r="AK2190" t="s">
        <v>766</v>
      </c>
      <c r="AL2190" t="s">
        <v>767</v>
      </c>
      <c r="AM2190">
        <v>2022</v>
      </c>
      <c r="AN2190">
        <v>2022</v>
      </c>
      <c r="AO2190">
        <f>IF(AND(emissions[[#This Row],[Market-based]]=0,emissions[[#This Row],[Impact Type]]="CO2E"),emissions[[#This Row],[kgCO2e]],0)/1000</f>
        <v>0</v>
      </c>
      <c r="AP2190">
        <f>IF(AND(emissions[[#This Row],[Market-based]]=1,OR(emissions[[#This Row],[Impact Type]]="CO2E",emissions[[#This Row],[Impact Type]]="CO2E MKT")),emissions[[#This Row],[kgCO2e]],0)/1000</f>
        <v>0</v>
      </c>
      <c r="AQ2190" t="str">
        <f>_xlfn.TEXTAFTER(emissions[[#This Row],[Reporting Unit]]," &gt; ",LEN(emissions[[#This Row],[Reporting Unit]])-LEN(SUBSTITUTE(emissions[[#This Row],[Reporting Unit]],"&gt;","")))</f>
        <v>Vantage_Guatemala City</v>
      </c>
      <c r="AR2190" t="str">
        <f>_xlfn.XLOOKUP(emissions[[#This Row],[Reporting unit name]],hierarchy!$A:$A,hierarchy!$C:$C)</f>
        <v>Unspecified Facility Type</v>
      </c>
    </row>
    <row r="2191" spans="1:44" hidden="1" x14ac:dyDescent="0.25">
      <c r="A2191">
        <v>237707</v>
      </c>
      <c r="B2191" t="s">
        <v>229</v>
      </c>
      <c r="C2191" t="s">
        <v>525</v>
      </c>
      <c r="D2191" t="s">
        <v>548</v>
      </c>
      <c r="E2191" s="3">
        <v>44562</v>
      </c>
      <c r="F2191" s="3">
        <v>44926</v>
      </c>
      <c r="G2191" t="s">
        <v>135</v>
      </c>
      <c r="H2191" s="3">
        <v>44562</v>
      </c>
      <c r="I2191" s="3">
        <v>44926</v>
      </c>
      <c r="J2191" t="s">
        <v>135</v>
      </c>
      <c r="K2191">
        <v>0</v>
      </c>
      <c r="L2191" t="s">
        <v>140</v>
      </c>
      <c r="M2191" t="s">
        <v>110</v>
      </c>
      <c r="O2191" t="s">
        <v>1025</v>
      </c>
      <c r="P2191" t="s">
        <v>550</v>
      </c>
      <c r="Q2191">
        <v>2022</v>
      </c>
      <c r="R2191" t="s">
        <v>605</v>
      </c>
      <c r="S2191" t="s">
        <v>606</v>
      </c>
      <c r="T2191" t="s">
        <v>553</v>
      </c>
      <c r="U2191" t="b">
        <v>0</v>
      </c>
      <c r="V2191" t="s">
        <v>781</v>
      </c>
      <c r="W2191" t="s">
        <v>587</v>
      </c>
      <c r="X2191" t="s">
        <v>556</v>
      </c>
      <c r="Y2191" t="s">
        <v>472</v>
      </c>
      <c r="AC2191">
        <v>1</v>
      </c>
      <c r="AD2191" t="s">
        <v>558</v>
      </c>
      <c r="AE2191">
        <v>0</v>
      </c>
      <c r="AF2191">
        <v>2.5000000000000001E-2</v>
      </c>
      <c r="AG2191" t="s">
        <v>798</v>
      </c>
      <c r="AH2191">
        <v>9.9999999999999995E-7</v>
      </c>
      <c r="AI2191">
        <v>0</v>
      </c>
      <c r="AJ2191" t="s">
        <v>561</v>
      </c>
      <c r="AK2191" t="s">
        <v>766</v>
      </c>
      <c r="AL2191" t="s">
        <v>787</v>
      </c>
      <c r="AM2191">
        <v>2022</v>
      </c>
      <c r="AN2191">
        <v>2021</v>
      </c>
      <c r="AO2191">
        <f>IF(AND(emissions[[#This Row],[Market-based]]=0,emissions[[#This Row],[Impact Type]]="CO2E"),emissions[[#This Row],[kgCO2e]],0)/1000</f>
        <v>0</v>
      </c>
      <c r="AP2191">
        <f>IF(AND(emissions[[#This Row],[Market-based]]=1,OR(emissions[[#This Row],[Impact Type]]="CO2E",emissions[[#This Row],[Impact Type]]="CO2E MKT")),emissions[[#This Row],[kgCO2e]],0)/1000</f>
        <v>0</v>
      </c>
      <c r="AQ2191" t="str">
        <f>_xlfn.TEXTAFTER(emissions[[#This Row],[Reporting Unit]]," &gt; ",LEN(emissions[[#This Row],[Reporting Unit]])-LEN(SUBSTITUTE(emissions[[#This Row],[Reporting Unit]],"&gt;","")))</f>
        <v>Vantage_Guatemala City</v>
      </c>
      <c r="AR2191" t="str">
        <f>_xlfn.XLOOKUP(emissions[[#This Row],[Reporting unit name]],hierarchy!$A:$A,hierarchy!$C:$C)</f>
        <v>Unspecified Facility Type</v>
      </c>
    </row>
    <row r="2192" spans="1:44" hidden="1" x14ac:dyDescent="0.25">
      <c r="A2192">
        <v>237707</v>
      </c>
      <c r="B2192" t="s">
        <v>229</v>
      </c>
      <c r="C2192" t="s">
        <v>525</v>
      </c>
      <c r="D2192" t="s">
        <v>548</v>
      </c>
      <c r="E2192" s="3">
        <v>44562</v>
      </c>
      <c r="F2192" s="3">
        <v>44926</v>
      </c>
      <c r="G2192" t="s">
        <v>135</v>
      </c>
      <c r="H2192" s="3">
        <v>44562</v>
      </c>
      <c r="I2192" s="3">
        <v>44926</v>
      </c>
      <c r="J2192" t="s">
        <v>135</v>
      </c>
      <c r="K2192">
        <v>0</v>
      </c>
      <c r="L2192" t="s">
        <v>140</v>
      </c>
      <c r="M2192" t="s">
        <v>110</v>
      </c>
      <c r="O2192" t="s">
        <v>1025</v>
      </c>
      <c r="P2192" t="s">
        <v>550</v>
      </c>
      <c r="Q2192">
        <v>2022</v>
      </c>
      <c r="R2192" t="s">
        <v>605</v>
      </c>
      <c r="S2192" t="s">
        <v>606</v>
      </c>
      <c r="T2192" t="s">
        <v>553</v>
      </c>
      <c r="U2192" t="b">
        <v>0</v>
      </c>
      <c r="V2192" t="s">
        <v>781</v>
      </c>
      <c r="W2192" t="s">
        <v>587</v>
      </c>
      <c r="X2192" t="s">
        <v>556</v>
      </c>
      <c r="Y2192" t="s">
        <v>472</v>
      </c>
      <c r="AC2192">
        <v>1</v>
      </c>
      <c r="AD2192" t="s">
        <v>564</v>
      </c>
      <c r="AE2192">
        <v>0</v>
      </c>
      <c r="AF2192">
        <v>53.06</v>
      </c>
      <c r="AG2192" t="s">
        <v>798</v>
      </c>
      <c r="AH2192">
        <v>9.9999999999999995E-7</v>
      </c>
      <c r="AI2192">
        <v>0</v>
      </c>
      <c r="AJ2192" t="s">
        <v>561</v>
      </c>
      <c r="AK2192" t="s">
        <v>766</v>
      </c>
      <c r="AL2192" t="s">
        <v>767</v>
      </c>
      <c r="AM2192">
        <v>2022</v>
      </c>
      <c r="AN2192">
        <v>2022</v>
      </c>
      <c r="AO2192">
        <f>IF(AND(emissions[[#This Row],[Market-based]]=0,emissions[[#This Row],[Impact Type]]="CO2E"),emissions[[#This Row],[kgCO2e]],0)/1000</f>
        <v>0</v>
      </c>
      <c r="AP2192">
        <f>IF(AND(emissions[[#This Row],[Market-based]]=1,OR(emissions[[#This Row],[Impact Type]]="CO2E",emissions[[#This Row],[Impact Type]]="CO2E MKT")),emissions[[#This Row],[kgCO2e]],0)/1000</f>
        <v>0</v>
      </c>
      <c r="AQ2192" t="str">
        <f>_xlfn.TEXTAFTER(emissions[[#This Row],[Reporting Unit]]," &gt; ",LEN(emissions[[#This Row],[Reporting Unit]])-LEN(SUBSTITUTE(emissions[[#This Row],[Reporting Unit]],"&gt;","")))</f>
        <v>Vantage_Guatemala City</v>
      </c>
      <c r="AR2192" t="str">
        <f>_xlfn.XLOOKUP(emissions[[#This Row],[Reporting unit name]],hierarchy!$A:$A,hierarchy!$C:$C)</f>
        <v>Unspecified Facility Type</v>
      </c>
    </row>
    <row r="2193" spans="1:44" hidden="1" x14ac:dyDescent="0.25">
      <c r="A2193">
        <v>237707</v>
      </c>
      <c r="B2193" t="s">
        <v>229</v>
      </c>
      <c r="C2193" t="s">
        <v>525</v>
      </c>
      <c r="D2193" t="s">
        <v>548</v>
      </c>
      <c r="E2193" s="3">
        <v>44562</v>
      </c>
      <c r="F2193" s="3">
        <v>44926</v>
      </c>
      <c r="G2193" t="s">
        <v>135</v>
      </c>
      <c r="H2193" s="3">
        <v>44562</v>
      </c>
      <c r="I2193" s="3">
        <v>44926</v>
      </c>
      <c r="J2193" t="s">
        <v>135</v>
      </c>
      <c r="K2193">
        <v>0</v>
      </c>
      <c r="L2193" t="s">
        <v>140</v>
      </c>
      <c r="M2193" t="s">
        <v>110</v>
      </c>
      <c r="O2193" t="s">
        <v>1025</v>
      </c>
      <c r="P2193" t="s">
        <v>550</v>
      </c>
      <c r="Q2193">
        <v>2022</v>
      </c>
      <c r="R2193" t="s">
        <v>605</v>
      </c>
      <c r="S2193" t="s">
        <v>606</v>
      </c>
      <c r="T2193" t="s">
        <v>553</v>
      </c>
      <c r="U2193" t="b">
        <v>0</v>
      </c>
      <c r="V2193" t="s">
        <v>781</v>
      </c>
      <c r="W2193" t="s">
        <v>587</v>
      </c>
      <c r="X2193" t="s">
        <v>556</v>
      </c>
      <c r="Y2193" t="s">
        <v>472</v>
      </c>
      <c r="AC2193">
        <v>1</v>
      </c>
      <c r="AD2193" t="s">
        <v>565</v>
      </c>
      <c r="AE2193">
        <v>0</v>
      </c>
      <c r="AF2193">
        <v>53.114800000000002</v>
      </c>
      <c r="AG2193" t="s">
        <v>798</v>
      </c>
      <c r="AH2193">
        <v>9.9999999999999995E-7</v>
      </c>
      <c r="AI2193">
        <v>0</v>
      </c>
      <c r="AJ2193" t="s">
        <v>561</v>
      </c>
      <c r="AK2193" t="s">
        <v>766</v>
      </c>
      <c r="AL2193" t="s">
        <v>787</v>
      </c>
      <c r="AM2193">
        <v>2022</v>
      </c>
      <c r="AN2193">
        <v>2021</v>
      </c>
      <c r="AO2193">
        <f>IF(AND(emissions[[#This Row],[Market-based]]=0,emissions[[#This Row],[Impact Type]]="CO2E"),emissions[[#This Row],[kgCO2e]],0)/1000</f>
        <v>0</v>
      </c>
      <c r="AP2193">
        <f>IF(AND(emissions[[#This Row],[Market-based]]=1,OR(emissions[[#This Row],[Impact Type]]="CO2E",emissions[[#This Row],[Impact Type]]="CO2E MKT")),emissions[[#This Row],[kgCO2e]],0)/1000</f>
        <v>0</v>
      </c>
      <c r="AQ2193" t="str">
        <f>_xlfn.TEXTAFTER(emissions[[#This Row],[Reporting Unit]]," &gt; ",LEN(emissions[[#This Row],[Reporting Unit]])-LEN(SUBSTITUTE(emissions[[#This Row],[Reporting Unit]],"&gt;","")))</f>
        <v>Vantage_Guatemala City</v>
      </c>
      <c r="AR2193" t="str">
        <f>_xlfn.XLOOKUP(emissions[[#This Row],[Reporting unit name]],hierarchy!$A:$A,hierarchy!$C:$C)</f>
        <v>Unspecified Facility Type</v>
      </c>
    </row>
    <row r="2194" spans="1:44" hidden="1" x14ac:dyDescent="0.25">
      <c r="A2194">
        <v>237707</v>
      </c>
      <c r="B2194" t="s">
        <v>229</v>
      </c>
      <c r="C2194" t="s">
        <v>525</v>
      </c>
      <c r="D2194" t="s">
        <v>548</v>
      </c>
      <c r="E2194" s="3">
        <v>44562</v>
      </c>
      <c r="F2194" s="3">
        <v>44926</v>
      </c>
      <c r="G2194" t="s">
        <v>135</v>
      </c>
      <c r="H2194" s="3">
        <v>44562</v>
      </c>
      <c r="I2194" s="3">
        <v>44926</v>
      </c>
      <c r="J2194" t="s">
        <v>135</v>
      </c>
      <c r="K2194">
        <v>0</v>
      </c>
      <c r="L2194" t="s">
        <v>140</v>
      </c>
      <c r="M2194" t="s">
        <v>110</v>
      </c>
      <c r="O2194" t="s">
        <v>1025</v>
      </c>
      <c r="P2194" t="s">
        <v>550</v>
      </c>
      <c r="Q2194">
        <v>2022</v>
      </c>
      <c r="R2194" t="s">
        <v>605</v>
      </c>
      <c r="S2194" t="s">
        <v>606</v>
      </c>
      <c r="T2194" t="s">
        <v>553</v>
      </c>
      <c r="U2194" t="b">
        <v>0</v>
      </c>
      <c r="V2194" t="s">
        <v>781</v>
      </c>
      <c r="W2194" t="s">
        <v>587</v>
      </c>
      <c r="X2194" t="s">
        <v>556</v>
      </c>
      <c r="Y2194" t="s">
        <v>472</v>
      </c>
      <c r="AC2194">
        <v>1</v>
      </c>
      <c r="AD2194" t="s">
        <v>566</v>
      </c>
      <c r="AE2194">
        <v>0</v>
      </c>
      <c r="AF2194">
        <v>2.98E-2</v>
      </c>
      <c r="AG2194" t="s">
        <v>798</v>
      </c>
      <c r="AH2194">
        <v>9.9999999999999995E-7</v>
      </c>
      <c r="AI2194">
        <v>0</v>
      </c>
      <c r="AJ2194" t="s">
        <v>561</v>
      </c>
      <c r="AK2194" t="s">
        <v>766</v>
      </c>
      <c r="AL2194" t="s">
        <v>767</v>
      </c>
      <c r="AM2194">
        <v>2022</v>
      </c>
      <c r="AN2194">
        <v>2022</v>
      </c>
      <c r="AO2194">
        <f>IF(AND(emissions[[#This Row],[Market-based]]=0,emissions[[#This Row],[Impact Type]]="CO2E"),emissions[[#This Row],[kgCO2e]],0)/1000</f>
        <v>0</v>
      </c>
      <c r="AP2194">
        <f>IF(AND(emissions[[#This Row],[Market-based]]=1,OR(emissions[[#This Row],[Impact Type]]="CO2E",emissions[[#This Row],[Impact Type]]="CO2E MKT")),emissions[[#This Row],[kgCO2e]],0)/1000</f>
        <v>0</v>
      </c>
      <c r="AQ2194" t="str">
        <f>_xlfn.TEXTAFTER(emissions[[#This Row],[Reporting Unit]]," &gt; ",LEN(emissions[[#This Row],[Reporting Unit]])-LEN(SUBSTITUTE(emissions[[#This Row],[Reporting Unit]],"&gt;","")))</f>
        <v>Vantage_Guatemala City</v>
      </c>
      <c r="AR2194" t="str">
        <f>_xlfn.XLOOKUP(emissions[[#This Row],[Reporting unit name]],hierarchy!$A:$A,hierarchy!$C:$C)</f>
        <v>Unspecified Facility Type</v>
      </c>
    </row>
    <row r="2195" spans="1:44" hidden="1" x14ac:dyDescent="0.25">
      <c r="A2195">
        <v>237707</v>
      </c>
      <c r="B2195" t="s">
        <v>229</v>
      </c>
      <c r="C2195" t="s">
        <v>525</v>
      </c>
      <c r="D2195" t="s">
        <v>548</v>
      </c>
      <c r="E2195" s="3">
        <v>44562</v>
      </c>
      <c r="F2195" s="3">
        <v>44926</v>
      </c>
      <c r="G2195" t="s">
        <v>135</v>
      </c>
      <c r="H2195" s="3">
        <v>44562</v>
      </c>
      <c r="I2195" s="3">
        <v>44926</v>
      </c>
      <c r="J2195" t="s">
        <v>135</v>
      </c>
      <c r="K2195">
        <v>0</v>
      </c>
      <c r="L2195" t="s">
        <v>140</v>
      </c>
      <c r="M2195" t="s">
        <v>110</v>
      </c>
      <c r="O2195" t="s">
        <v>1025</v>
      </c>
      <c r="P2195" t="s">
        <v>550</v>
      </c>
      <c r="Q2195">
        <v>2022</v>
      </c>
      <c r="R2195" t="s">
        <v>609</v>
      </c>
      <c r="S2195" t="s">
        <v>610</v>
      </c>
      <c r="T2195" t="s">
        <v>577</v>
      </c>
      <c r="U2195" t="b">
        <v>0</v>
      </c>
      <c r="V2195" t="s">
        <v>632</v>
      </c>
      <c r="W2195" t="s">
        <v>571</v>
      </c>
      <c r="X2195" t="s">
        <v>572</v>
      </c>
      <c r="AC2195">
        <v>0</v>
      </c>
      <c r="AD2195" t="s">
        <v>565</v>
      </c>
      <c r="AE2195">
        <v>0</v>
      </c>
      <c r="AF2195">
        <v>3.1099999999999999E-2</v>
      </c>
      <c r="AG2195" t="s">
        <v>608</v>
      </c>
      <c r="AH2195">
        <v>2.9306999999999998E-4</v>
      </c>
      <c r="AI2195">
        <v>0</v>
      </c>
      <c r="AJ2195" t="s">
        <v>561</v>
      </c>
      <c r="AK2195" t="s">
        <v>589</v>
      </c>
      <c r="AL2195" t="s">
        <v>590</v>
      </c>
      <c r="AM2195">
        <v>2022</v>
      </c>
      <c r="AN2195">
        <v>2020</v>
      </c>
      <c r="AO2195">
        <f>IF(AND(emissions[[#This Row],[Market-based]]=0,emissions[[#This Row],[Impact Type]]="CO2E"),emissions[[#This Row],[kgCO2e]],0)/1000</f>
        <v>0</v>
      </c>
      <c r="AP2195">
        <f>IF(AND(emissions[[#This Row],[Market-based]]=1,OR(emissions[[#This Row],[Impact Type]]="CO2E",emissions[[#This Row],[Impact Type]]="CO2E MKT")),emissions[[#This Row],[kgCO2e]],0)/1000</f>
        <v>0</v>
      </c>
      <c r="AQ2195" t="str">
        <f>_xlfn.TEXTAFTER(emissions[[#This Row],[Reporting Unit]]," &gt; ",LEN(emissions[[#This Row],[Reporting Unit]])-LEN(SUBSTITUTE(emissions[[#This Row],[Reporting Unit]],"&gt;","")))</f>
        <v>Vantage_Guatemala City</v>
      </c>
      <c r="AR2195" t="str">
        <f>_xlfn.XLOOKUP(emissions[[#This Row],[Reporting unit name]],hierarchy!$A:$A,hierarchy!$C:$C)</f>
        <v>Unspecified Facility Type</v>
      </c>
    </row>
    <row r="2196" spans="1:44" hidden="1" x14ac:dyDescent="0.25">
      <c r="A2196">
        <v>237707</v>
      </c>
      <c r="B2196" t="s">
        <v>229</v>
      </c>
      <c r="C2196" t="s">
        <v>525</v>
      </c>
      <c r="D2196" t="s">
        <v>548</v>
      </c>
      <c r="E2196" s="3">
        <v>44562</v>
      </c>
      <c r="F2196" s="3">
        <v>44926</v>
      </c>
      <c r="G2196" t="s">
        <v>135</v>
      </c>
      <c r="H2196" s="3">
        <v>44562</v>
      </c>
      <c r="I2196" s="3">
        <v>44926</v>
      </c>
      <c r="J2196" t="s">
        <v>135</v>
      </c>
      <c r="K2196">
        <v>0</v>
      </c>
      <c r="L2196" t="s">
        <v>140</v>
      </c>
      <c r="M2196" t="s">
        <v>110</v>
      </c>
      <c r="O2196" t="s">
        <v>1025</v>
      </c>
      <c r="P2196" t="s">
        <v>550</v>
      </c>
      <c r="Q2196">
        <v>2022</v>
      </c>
      <c r="R2196" t="s">
        <v>609</v>
      </c>
      <c r="S2196" t="s">
        <v>610</v>
      </c>
      <c r="T2196" t="s">
        <v>577</v>
      </c>
      <c r="U2196" t="b">
        <v>0</v>
      </c>
      <c r="V2196" t="s">
        <v>632</v>
      </c>
      <c r="W2196" t="s">
        <v>571</v>
      </c>
      <c r="X2196" t="s">
        <v>572</v>
      </c>
      <c r="AC2196">
        <v>1</v>
      </c>
      <c r="AD2196" t="s">
        <v>565</v>
      </c>
      <c r="AE2196">
        <v>0</v>
      </c>
      <c r="AF2196">
        <v>3.1099999999999999E-2</v>
      </c>
      <c r="AG2196" t="s">
        <v>608</v>
      </c>
      <c r="AH2196">
        <v>2.9306999999999998E-4</v>
      </c>
      <c r="AI2196">
        <v>0</v>
      </c>
      <c r="AJ2196" t="s">
        <v>561</v>
      </c>
      <c r="AK2196" t="s">
        <v>589</v>
      </c>
      <c r="AL2196" t="s">
        <v>590</v>
      </c>
      <c r="AM2196">
        <v>2022</v>
      </c>
      <c r="AN2196">
        <v>2020</v>
      </c>
      <c r="AO2196">
        <f>IF(AND(emissions[[#This Row],[Market-based]]=0,emissions[[#This Row],[Impact Type]]="CO2E"),emissions[[#This Row],[kgCO2e]],0)/1000</f>
        <v>0</v>
      </c>
      <c r="AP2196">
        <f>IF(AND(emissions[[#This Row],[Market-based]]=1,OR(emissions[[#This Row],[Impact Type]]="CO2E",emissions[[#This Row],[Impact Type]]="CO2E MKT")),emissions[[#This Row],[kgCO2e]],0)/1000</f>
        <v>0</v>
      </c>
      <c r="AQ2196" t="str">
        <f>_xlfn.TEXTAFTER(emissions[[#This Row],[Reporting Unit]]," &gt; ",LEN(emissions[[#This Row],[Reporting Unit]])-LEN(SUBSTITUTE(emissions[[#This Row],[Reporting Unit]],"&gt;","")))</f>
        <v>Vantage_Guatemala City</v>
      </c>
      <c r="AR2196" t="str">
        <f>_xlfn.XLOOKUP(emissions[[#This Row],[Reporting unit name]],hierarchy!$A:$A,hierarchy!$C:$C)</f>
        <v>Unspecified Facility Type</v>
      </c>
    </row>
    <row r="2197" spans="1:44" hidden="1" x14ac:dyDescent="0.25">
      <c r="A2197">
        <v>1590458</v>
      </c>
      <c r="B2197" t="s">
        <v>229</v>
      </c>
      <c r="C2197" t="s">
        <v>525</v>
      </c>
      <c r="D2197" t="s">
        <v>548</v>
      </c>
      <c r="E2197" s="3">
        <v>44562</v>
      </c>
      <c r="F2197" s="3">
        <v>44926</v>
      </c>
      <c r="G2197" t="s">
        <v>116</v>
      </c>
      <c r="H2197" s="3">
        <v>44562</v>
      </c>
      <c r="I2197" s="3">
        <v>44926</v>
      </c>
      <c r="J2197" t="s">
        <v>117</v>
      </c>
      <c r="K2197">
        <v>0.71041739999999998</v>
      </c>
      <c r="L2197" t="s">
        <v>118</v>
      </c>
      <c r="M2197" t="s">
        <v>82</v>
      </c>
      <c r="N2197" t="s">
        <v>120</v>
      </c>
      <c r="O2197" t="s">
        <v>631</v>
      </c>
      <c r="P2197" t="s">
        <v>631</v>
      </c>
      <c r="Q2197">
        <v>2022</v>
      </c>
      <c r="R2197" t="s">
        <v>619</v>
      </c>
      <c r="S2197" t="s">
        <v>620</v>
      </c>
      <c r="T2197" t="s">
        <v>553</v>
      </c>
      <c r="U2197" t="b">
        <v>0</v>
      </c>
      <c r="V2197" t="s">
        <v>621</v>
      </c>
      <c r="W2197" t="s">
        <v>587</v>
      </c>
      <c r="X2197" t="s">
        <v>556</v>
      </c>
      <c r="AC2197">
        <v>0</v>
      </c>
      <c r="AD2197" t="s">
        <v>565</v>
      </c>
      <c r="AE2197">
        <v>1015.896882</v>
      </c>
      <c r="AF2197">
        <v>1430</v>
      </c>
      <c r="AG2197" t="s">
        <v>622</v>
      </c>
      <c r="AH2197">
        <v>1</v>
      </c>
      <c r="AI2197">
        <v>0.71041739999999998</v>
      </c>
      <c r="AJ2197" t="s">
        <v>561</v>
      </c>
      <c r="AK2197" t="s">
        <v>623</v>
      </c>
      <c r="AL2197" t="s">
        <v>624</v>
      </c>
      <c r="AM2197">
        <v>2022</v>
      </c>
      <c r="AN2197">
        <v>2007</v>
      </c>
      <c r="AO2197">
        <f>IF(AND(emissions[[#This Row],[Market-based]]=0,emissions[[#This Row],[Impact Type]]="CO2E"),emissions[[#This Row],[kgCO2e]],0)/1000</f>
        <v>1.0158968820000001</v>
      </c>
      <c r="AP2197">
        <f>IF(AND(emissions[[#This Row],[Market-based]]=1,OR(emissions[[#This Row],[Impact Type]]="CO2E",emissions[[#This Row],[Impact Type]]="CO2E MKT")),emissions[[#This Row],[kgCO2e]],0)/1000</f>
        <v>0</v>
      </c>
      <c r="AQ2197" t="str">
        <f>_xlfn.TEXTAFTER(emissions[[#This Row],[Reporting Unit]]," &gt; ",LEN(emissions[[#This Row],[Reporting Unit]])-LEN(SUBSTITUTE(emissions[[#This Row],[Reporting Unit]],"&gt;","")))</f>
        <v>Vantage_Guatemala City</v>
      </c>
      <c r="AR2197" t="str">
        <f>_xlfn.XLOOKUP(emissions[[#This Row],[Reporting unit name]],hierarchy!$A:$A,hierarchy!$C:$C)</f>
        <v>Unspecified Facility Type</v>
      </c>
    </row>
    <row r="2198" spans="1:44" hidden="1" x14ac:dyDescent="0.25">
      <c r="A2198">
        <v>1590458</v>
      </c>
      <c r="B2198" t="s">
        <v>229</v>
      </c>
      <c r="C2198" t="s">
        <v>525</v>
      </c>
      <c r="D2198" t="s">
        <v>548</v>
      </c>
      <c r="E2198" s="3">
        <v>44562</v>
      </c>
      <c r="F2198" s="3">
        <v>44926</v>
      </c>
      <c r="G2198" t="s">
        <v>116</v>
      </c>
      <c r="H2198" s="3">
        <v>44562</v>
      </c>
      <c r="I2198" s="3">
        <v>44926</v>
      </c>
      <c r="J2198" t="s">
        <v>117</v>
      </c>
      <c r="K2198">
        <v>0.71041739999999998</v>
      </c>
      <c r="L2198" t="s">
        <v>118</v>
      </c>
      <c r="M2198" t="s">
        <v>82</v>
      </c>
      <c r="N2198" t="s">
        <v>120</v>
      </c>
      <c r="O2198" t="s">
        <v>631</v>
      </c>
      <c r="P2198" t="s">
        <v>631</v>
      </c>
      <c r="Q2198">
        <v>2022</v>
      </c>
      <c r="R2198" t="s">
        <v>619</v>
      </c>
      <c r="S2198" t="s">
        <v>620</v>
      </c>
      <c r="T2198" t="s">
        <v>553</v>
      </c>
      <c r="U2198" t="b">
        <v>0</v>
      </c>
      <c r="V2198" t="s">
        <v>621</v>
      </c>
      <c r="W2198" t="s">
        <v>587</v>
      </c>
      <c r="X2198" t="s">
        <v>556</v>
      </c>
      <c r="AC2198">
        <v>1</v>
      </c>
      <c r="AD2198" t="s">
        <v>565</v>
      </c>
      <c r="AE2198">
        <v>1015.896882</v>
      </c>
      <c r="AF2198">
        <v>1430</v>
      </c>
      <c r="AG2198" t="s">
        <v>622</v>
      </c>
      <c r="AH2198">
        <v>1</v>
      </c>
      <c r="AI2198">
        <v>0.71041739999999998</v>
      </c>
      <c r="AJ2198" t="s">
        <v>561</v>
      </c>
      <c r="AK2198" t="s">
        <v>623</v>
      </c>
      <c r="AL2198" t="s">
        <v>624</v>
      </c>
      <c r="AM2198">
        <v>2022</v>
      </c>
      <c r="AN2198">
        <v>2007</v>
      </c>
      <c r="AO2198">
        <f>IF(AND(emissions[[#This Row],[Market-based]]=0,emissions[[#This Row],[Impact Type]]="CO2E"),emissions[[#This Row],[kgCO2e]],0)/1000</f>
        <v>0</v>
      </c>
      <c r="AP2198">
        <f>IF(AND(emissions[[#This Row],[Market-based]]=1,OR(emissions[[#This Row],[Impact Type]]="CO2E",emissions[[#This Row],[Impact Type]]="CO2E MKT")),emissions[[#This Row],[kgCO2e]],0)/1000</f>
        <v>1.0158968820000001</v>
      </c>
      <c r="AQ2198" t="str">
        <f>_xlfn.TEXTAFTER(emissions[[#This Row],[Reporting Unit]]," &gt; ",LEN(emissions[[#This Row],[Reporting Unit]])-LEN(SUBSTITUTE(emissions[[#This Row],[Reporting Unit]],"&gt;","")))</f>
        <v>Vantage_Guatemala City</v>
      </c>
      <c r="AR2198" t="str">
        <f>_xlfn.XLOOKUP(emissions[[#This Row],[Reporting unit name]],hierarchy!$A:$A,hierarchy!$C:$C)</f>
        <v>Unspecified Facility Type</v>
      </c>
    </row>
    <row r="2199" spans="1:44" hidden="1" x14ac:dyDescent="0.25">
      <c r="A2199">
        <v>4951</v>
      </c>
      <c r="B2199" t="s">
        <v>229</v>
      </c>
      <c r="C2199" t="s">
        <v>525</v>
      </c>
      <c r="D2199" t="s">
        <v>599</v>
      </c>
      <c r="E2199" s="3">
        <v>44197</v>
      </c>
      <c r="F2199" s="3">
        <v>44561</v>
      </c>
      <c r="G2199" t="s">
        <v>108</v>
      </c>
      <c r="H2199" s="3">
        <v>44197</v>
      </c>
      <c r="I2199" s="3">
        <v>44561</v>
      </c>
      <c r="J2199" t="s">
        <v>108</v>
      </c>
      <c r="K2199">
        <v>18731</v>
      </c>
      <c r="L2199" t="s">
        <v>109</v>
      </c>
      <c r="M2199" t="s">
        <v>110</v>
      </c>
      <c r="O2199" t="s">
        <v>600</v>
      </c>
      <c r="P2199" t="s">
        <v>1026</v>
      </c>
      <c r="Q2199">
        <v>2021</v>
      </c>
      <c r="R2199" t="s">
        <v>551</v>
      </c>
      <c r="S2199" t="s">
        <v>552</v>
      </c>
      <c r="T2199" t="s">
        <v>553</v>
      </c>
      <c r="U2199" t="b">
        <v>0</v>
      </c>
      <c r="V2199" t="s">
        <v>1020</v>
      </c>
      <c r="W2199" t="s">
        <v>555</v>
      </c>
      <c r="X2199" t="s">
        <v>556</v>
      </c>
      <c r="Y2199" t="s">
        <v>472</v>
      </c>
      <c r="Z2199" t="s">
        <v>491</v>
      </c>
      <c r="AA2199" t="s">
        <v>1021</v>
      </c>
      <c r="AC2199">
        <v>0</v>
      </c>
      <c r="AD2199" t="s">
        <v>558</v>
      </c>
      <c r="AE2199">
        <v>56.192999999999998</v>
      </c>
      <c r="AF2199" t="s">
        <v>559</v>
      </c>
      <c r="AG2199" t="s">
        <v>560</v>
      </c>
      <c r="AH2199">
        <v>1</v>
      </c>
      <c r="AI2199">
        <v>18731</v>
      </c>
      <c r="AJ2199" t="s">
        <v>561</v>
      </c>
      <c r="AK2199" t="s">
        <v>562</v>
      </c>
      <c r="AL2199" t="s">
        <v>601</v>
      </c>
      <c r="AM2199">
        <v>2021</v>
      </c>
      <c r="AN2199">
        <v>2019</v>
      </c>
      <c r="AO2199">
        <f>IF(AND(emissions[[#This Row],[Market-based]]=0,emissions[[#This Row],[Impact Type]]="CO2E"),emissions[[#This Row],[kgCO2e]],0)/1000</f>
        <v>0</v>
      </c>
      <c r="AP2199">
        <f>IF(AND(emissions[[#This Row],[Market-based]]=1,OR(emissions[[#This Row],[Impact Type]]="CO2E",emissions[[#This Row],[Impact Type]]="CO2E MKT")),emissions[[#This Row],[kgCO2e]],0)/1000</f>
        <v>0</v>
      </c>
      <c r="AQ2199" t="str">
        <f>_xlfn.TEXTAFTER(emissions[[#This Row],[Reporting Unit]]," &gt; ",LEN(emissions[[#This Row],[Reporting Unit]])-LEN(SUBSTITUTE(emissions[[#This Row],[Reporting Unit]],"&gt;","")))</f>
        <v>Vantage_Guatemala City</v>
      </c>
      <c r="AR2199" t="str">
        <f>_xlfn.XLOOKUP(emissions[[#This Row],[Reporting unit name]],hierarchy!$A:$A,hierarchy!$C:$C)</f>
        <v>Unspecified Facility Type</v>
      </c>
    </row>
    <row r="2200" spans="1:44" hidden="1" x14ac:dyDescent="0.25">
      <c r="A2200">
        <v>4951</v>
      </c>
      <c r="B2200" t="s">
        <v>229</v>
      </c>
      <c r="C2200" t="s">
        <v>525</v>
      </c>
      <c r="D2200" t="s">
        <v>599</v>
      </c>
      <c r="E2200" s="3">
        <v>44197</v>
      </c>
      <c r="F2200" s="3">
        <v>44561</v>
      </c>
      <c r="G2200" t="s">
        <v>108</v>
      </c>
      <c r="H2200" s="3">
        <v>44197</v>
      </c>
      <c r="I2200" s="3">
        <v>44561</v>
      </c>
      <c r="J2200" t="s">
        <v>108</v>
      </c>
      <c r="K2200">
        <v>18731</v>
      </c>
      <c r="L2200" t="s">
        <v>109</v>
      </c>
      <c r="M2200" t="s">
        <v>110</v>
      </c>
      <c r="O2200" t="s">
        <v>600</v>
      </c>
      <c r="P2200" t="s">
        <v>1026</v>
      </c>
      <c r="Q2200">
        <v>2021</v>
      </c>
      <c r="R2200" t="s">
        <v>551</v>
      </c>
      <c r="S2200" t="s">
        <v>552</v>
      </c>
      <c r="T2200" t="s">
        <v>553</v>
      </c>
      <c r="U2200" t="b">
        <v>0</v>
      </c>
      <c r="V2200" t="s">
        <v>1020</v>
      </c>
      <c r="W2200" t="s">
        <v>555</v>
      </c>
      <c r="X2200" t="s">
        <v>556</v>
      </c>
      <c r="Y2200" t="s">
        <v>472</v>
      </c>
      <c r="Z2200" t="s">
        <v>491</v>
      </c>
      <c r="AA2200" t="s">
        <v>1021</v>
      </c>
      <c r="AC2200">
        <v>0</v>
      </c>
      <c r="AD2200" t="s">
        <v>564</v>
      </c>
      <c r="AE2200">
        <v>7535.4813000000004</v>
      </c>
      <c r="AF2200" t="s">
        <v>559</v>
      </c>
      <c r="AG2200" t="s">
        <v>560</v>
      </c>
      <c r="AH2200">
        <v>1</v>
      </c>
      <c r="AI2200">
        <v>18731</v>
      </c>
      <c r="AJ2200" t="s">
        <v>561</v>
      </c>
      <c r="AK2200" t="s">
        <v>562</v>
      </c>
      <c r="AL2200" t="s">
        <v>601</v>
      </c>
      <c r="AM2200">
        <v>2021</v>
      </c>
      <c r="AN2200">
        <v>2019</v>
      </c>
      <c r="AO2200">
        <f>IF(AND(emissions[[#This Row],[Market-based]]=0,emissions[[#This Row],[Impact Type]]="CO2E"),emissions[[#This Row],[kgCO2e]],0)/1000</f>
        <v>0</v>
      </c>
      <c r="AP2200">
        <f>IF(AND(emissions[[#This Row],[Market-based]]=1,OR(emissions[[#This Row],[Impact Type]]="CO2E",emissions[[#This Row],[Impact Type]]="CO2E MKT")),emissions[[#This Row],[kgCO2e]],0)/1000</f>
        <v>0</v>
      </c>
      <c r="AQ2200" t="str">
        <f>_xlfn.TEXTAFTER(emissions[[#This Row],[Reporting Unit]]," &gt; ",LEN(emissions[[#This Row],[Reporting Unit]])-LEN(SUBSTITUTE(emissions[[#This Row],[Reporting Unit]],"&gt;","")))</f>
        <v>Vantage_Guatemala City</v>
      </c>
      <c r="AR2200" t="str">
        <f>_xlfn.XLOOKUP(emissions[[#This Row],[Reporting unit name]],hierarchy!$A:$A,hierarchy!$C:$C)</f>
        <v>Unspecified Facility Type</v>
      </c>
    </row>
    <row r="2201" spans="1:44" hidden="1" x14ac:dyDescent="0.25">
      <c r="A2201">
        <v>4951</v>
      </c>
      <c r="B2201" t="s">
        <v>229</v>
      </c>
      <c r="C2201" t="s">
        <v>525</v>
      </c>
      <c r="D2201" t="s">
        <v>599</v>
      </c>
      <c r="E2201" s="3">
        <v>44197</v>
      </c>
      <c r="F2201" s="3">
        <v>44561</v>
      </c>
      <c r="G2201" t="s">
        <v>108</v>
      </c>
      <c r="H2201" s="3">
        <v>44197</v>
      </c>
      <c r="I2201" s="3">
        <v>44561</v>
      </c>
      <c r="J2201" t="s">
        <v>108</v>
      </c>
      <c r="K2201">
        <v>18731</v>
      </c>
      <c r="L2201" t="s">
        <v>109</v>
      </c>
      <c r="M2201" t="s">
        <v>110</v>
      </c>
      <c r="O2201" t="s">
        <v>600</v>
      </c>
      <c r="P2201" t="s">
        <v>1026</v>
      </c>
      <c r="Q2201">
        <v>2021</v>
      </c>
      <c r="R2201" t="s">
        <v>551</v>
      </c>
      <c r="S2201" t="s">
        <v>552</v>
      </c>
      <c r="T2201" t="s">
        <v>553</v>
      </c>
      <c r="U2201" t="b">
        <v>0</v>
      </c>
      <c r="V2201" t="s">
        <v>1020</v>
      </c>
      <c r="W2201" t="s">
        <v>555</v>
      </c>
      <c r="X2201" t="s">
        <v>556</v>
      </c>
      <c r="Y2201" t="s">
        <v>472</v>
      </c>
      <c r="Z2201" t="s">
        <v>491</v>
      </c>
      <c r="AA2201" t="s">
        <v>1021</v>
      </c>
      <c r="AC2201">
        <v>0</v>
      </c>
      <c r="AD2201" t="s">
        <v>565</v>
      </c>
      <c r="AE2201">
        <v>7707.8064999999997</v>
      </c>
      <c r="AF2201" t="s">
        <v>559</v>
      </c>
      <c r="AG2201" t="s">
        <v>560</v>
      </c>
      <c r="AH2201">
        <v>1</v>
      </c>
      <c r="AI2201">
        <v>18731</v>
      </c>
      <c r="AJ2201" t="s">
        <v>561</v>
      </c>
      <c r="AK2201" t="s">
        <v>562</v>
      </c>
      <c r="AL2201" t="s">
        <v>601</v>
      </c>
      <c r="AM2201">
        <v>2021</v>
      </c>
      <c r="AN2201">
        <v>2019</v>
      </c>
      <c r="AO2201">
        <f>IF(AND(emissions[[#This Row],[Market-based]]=0,emissions[[#This Row],[Impact Type]]="CO2E"),emissions[[#This Row],[kgCO2e]],0)/1000</f>
        <v>7.7078064999999993</v>
      </c>
      <c r="AP2201">
        <f>IF(AND(emissions[[#This Row],[Market-based]]=1,OR(emissions[[#This Row],[Impact Type]]="CO2E",emissions[[#This Row],[Impact Type]]="CO2E MKT")),emissions[[#This Row],[kgCO2e]],0)/1000</f>
        <v>0</v>
      </c>
      <c r="AQ2201" t="str">
        <f>_xlfn.TEXTAFTER(emissions[[#This Row],[Reporting Unit]]," &gt; ",LEN(emissions[[#This Row],[Reporting Unit]])-LEN(SUBSTITUTE(emissions[[#This Row],[Reporting Unit]],"&gt;","")))</f>
        <v>Vantage_Guatemala City</v>
      </c>
      <c r="AR2201" t="str">
        <f>_xlfn.XLOOKUP(emissions[[#This Row],[Reporting unit name]],hierarchy!$A:$A,hierarchy!$C:$C)</f>
        <v>Unspecified Facility Type</v>
      </c>
    </row>
    <row r="2202" spans="1:44" hidden="1" x14ac:dyDescent="0.25">
      <c r="A2202">
        <v>4951</v>
      </c>
      <c r="B2202" t="s">
        <v>229</v>
      </c>
      <c r="C2202" t="s">
        <v>525</v>
      </c>
      <c r="D2202" t="s">
        <v>599</v>
      </c>
      <c r="E2202" s="3">
        <v>44197</v>
      </c>
      <c r="F2202" s="3">
        <v>44561</v>
      </c>
      <c r="G2202" t="s">
        <v>108</v>
      </c>
      <c r="H2202" s="3">
        <v>44197</v>
      </c>
      <c r="I2202" s="3">
        <v>44561</v>
      </c>
      <c r="J2202" t="s">
        <v>108</v>
      </c>
      <c r="K2202">
        <v>18731</v>
      </c>
      <c r="L2202" t="s">
        <v>109</v>
      </c>
      <c r="M2202" t="s">
        <v>110</v>
      </c>
      <c r="O2202" t="s">
        <v>600</v>
      </c>
      <c r="P2202" t="s">
        <v>1026</v>
      </c>
      <c r="Q2202">
        <v>2021</v>
      </c>
      <c r="R2202" t="s">
        <v>551</v>
      </c>
      <c r="S2202" t="s">
        <v>552</v>
      </c>
      <c r="T2202" t="s">
        <v>553</v>
      </c>
      <c r="U2202" t="b">
        <v>0</v>
      </c>
      <c r="V2202" t="s">
        <v>1020</v>
      </c>
      <c r="W2202" t="s">
        <v>555</v>
      </c>
      <c r="X2202" t="s">
        <v>556</v>
      </c>
      <c r="Y2202" t="s">
        <v>472</v>
      </c>
      <c r="Z2202" t="s">
        <v>491</v>
      </c>
      <c r="AA2202" t="s">
        <v>1021</v>
      </c>
      <c r="AC2202">
        <v>0</v>
      </c>
      <c r="AD2202" t="s">
        <v>566</v>
      </c>
      <c r="AE2202">
        <v>116.1322</v>
      </c>
      <c r="AF2202" t="s">
        <v>559</v>
      </c>
      <c r="AG2202" t="s">
        <v>560</v>
      </c>
      <c r="AH2202">
        <v>1</v>
      </c>
      <c r="AI2202">
        <v>18731</v>
      </c>
      <c r="AJ2202" t="s">
        <v>561</v>
      </c>
      <c r="AK2202" t="s">
        <v>562</v>
      </c>
      <c r="AL2202" t="s">
        <v>601</v>
      </c>
      <c r="AM2202">
        <v>2021</v>
      </c>
      <c r="AN2202">
        <v>2019</v>
      </c>
      <c r="AO2202">
        <f>IF(AND(emissions[[#This Row],[Market-based]]=0,emissions[[#This Row],[Impact Type]]="CO2E"),emissions[[#This Row],[kgCO2e]],0)/1000</f>
        <v>0</v>
      </c>
      <c r="AP2202">
        <f>IF(AND(emissions[[#This Row],[Market-based]]=1,OR(emissions[[#This Row],[Impact Type]]="CO2E",emissions[[#This Row],[Impact Type]]="CO2E MKT")),emissions[[#This Row],[kgCO2e]],0)/1000</f>
        <v>0</v>
      </c>
      <c r="AQ2202" t="str">
        <f>_xlfn.TEXTAFTER(emissions[[#This Row],[Reporting Unit]]," &gt; ",LEN(emissions[[#This Row],[Reporting Unit]])-LEN(SUBSTITUTE(emissions[[#This Row],[Reporting Unit]],"&gt;","")))</f>
        <v>Vantage_Guatemala City</v>
      </c>
      <c r="AR2202" t="str">
        <f>_xlfn.XLOOKUP(emissions[[#This Row],[Reporting unit name]],hierarchy!$A:$A,hierarchy!$C:$C)</f>
        <v>Unspecified Facility Type</v>
      </c>
    </row>
    <row r="2203" spans="1:44" hidden="1" x14ac:dyDescent="0.25">
      <c r="A2203">
        <v>4951</v>
      </c>
      <c r="B2203" t="s">
        <v>229</v>
      </c>
      <c r="C2203" t="s">
        <v>525</v>
      </c>
      <c r="D2203" t="s">
        <v>599</v>
      </c>
      <c r="E2203" s="3">
        <v>44197</v>
      </c>
      <c r="F2203" s="3">
        <v>44561</v>
      </c>
      <c r="G2203" t="s">
        <v>108</v>
      </c>
      <c r="H2203" s="3">
        <v>44197</v>
      </c>
      <c r="I2203" s="3">
        <v>44561</v>
      </c>
      <c r="J2203" t="s">
        <v>108</v>
      </c>
      <c r="K2203">
        <v>18731</v>
      </c>
      <c r="L2203" t="s">
        <v>109</v>
      </c>
      <c r="M2203" t="s">
        <v>110</v>
      </c>
      <c r="O2203" t="s">
        <v>600</v>
      </c>
      <c r="P2203" t="s">
        <v>1026</v>
      </c>
      <c r="Q2203">
        <v>2021</v>
      </c>
      <c r="R2203" t="s">
        <v>551</v>
      </c>
      <c r="S2203" t="s">
        <v>552</v>
      </c>
      <c r="T2203" t="s">
        <v>553</v>
      </c>
      <c r="U2203" t="b">
        <v>0</v>
      </c>
      <c r="V2203" t="s">
        <v>1020</v>
      </c>
      <c r="W2203" t="s">
        <v>555</v>
      </c>
      <c r="X2203" t="s">
        <v>556</v>
      </c>
      <c r="Y2203" t="s">
        <v>472</v>
      </c>
      <c r="Z2203" t="s">
        <v>491</v>
      </c>
      <c r="AA2203" t="s">
        <v>1021</v>
      </c>
      <c r="AC2203">
        <v>1</v>
      </c>
      <c r="AD2203" t="s">
        <v>558</v>
      </c>
      <c r="AE2203">
        <v>56.192999999999998</v>
      </c>
      <c r="AF2203" t="s">
        <v>559</v>
      </c>
      <c r="AG2203" t="s">
        <v>560</v>
      </c>
      <c r="AH2203">
        <v>1</v>
      </c>
      <c r="AI2203">
        <v>18731</v>
      </c>
      <c r="AJ2203" t="s">
        <v>561</v>
      </c>
      <c r="AK2203" t="s">
        <v>562</v>
      </c>
      <c r="AL2203" t="s">
        <v>601</v>
      </c>
      <c r="AM2203">
        <v>2021</v>
      </c>
      <c r="AN2203">
        <v>2019</v>
      </c>
      <c r="AO2203">
        <f>IF(AND(emissions[[#This Row],[Market-based]]=0,emissions[[#This Row],[Impact Type]]="CO2E"),emissions[[#This Row],[kgCO2e]],0)/1000</f>
        <v>0</v>
      </c>
      <c r="AP2203">
        <f>IF(AND(emissions[[#This Row],[Market-based]]=1,OR(emissions[[#This Row],[Impact Type]]="CO2E",emissions[[#This Row],[Impact Type]]="CO2E MKT")),emissions[[#This Row],[kgCO2e]],0)/1000</f>
        <v>0</v>
      </c>
      <c r="AQ2203" t="str">
        <f>_xlfn.TEXTAFTER(emissions[[#This Row],[Reporting Unit]]," &gt; ",LEN(emissions[[#This Row],[Reporting Unit]])-LEN(SUBSTITUTE(emissions[[#This Row],[Reporting Unit]],"&gt;","")))</f>
        <v>Vantage_Guatemala City</v>
      </c>
      <c r="AR2203" t="str">
        <f>_xlfn.XLOOKUP(emissions[[#This Row],[Reporting unit name]],hierarchy!$A:$A,hierarchy!$C:$C)</f>
        <v>Unspecified Facility Type</v>
      </c>
    </row>
    <row r="2204" spans="1:44" hidden="1" x14ac:dyDescent="0.25">
      <c r="A2204">
        <v>4951</v>
      </c>
      <c r="B2204" t="s">
        <v>229</v>
      </c>
      <c r="C2204" t="s">
        <v>525</v>
      </c>
      <c r="D2204" t="s">
        <v>599</v>
      </c>
      <c r="E2204" s="3">
        <v>44197</v>
      </c>
      <c r="F2204" s="3">
        <v>44561</v>
      </c>
      <c r="G2204" t="s">
        <v>108</v>
      </c>
      <c r="H2204" s="3">
        <v>44197</v>
      </c>
      <c r="I2204" s="3">
        <v>44561</v>
      </c>
      <c r="J2204" t="s">
        <v>108</v>
      </c>
      <c r="K2204">
        <v>18731</v>
      </c>
      <c r="L2204" t="s">
        <v>109</v>
      </c>
      <c r="M2204" t="s">
        <v>110</v>
      </c>
      <c r="O2204" t="s">
        <v>600</v>
      </c>
      <c r="P2204" t="s">
        <v>1026</v>
      </c>
      <c r="Q2204">
        <v>2021</v>
      </c>
      <c r="R2204" t="s">
        <v>551</v>
      </c>
      <c r="S2204" t="s">
        <v>552</v>
      </c>
      <c r="T2204" t="s">
        <v>553</v>
      </c>
      <c r="U2204" t="b">
        <v>0</v>
      </c>
      <c r="V2204" t="s">
        <v>1020</v>
      </c>
      <c r="W2204" t="s">
        <v>555</v>
      </c>
      <c r="X2204" t="s">
        <v>556</v>
      </c>
      <c r="Y2204" t="s">
        <v>472</v>
      </c>
      <c r="Z2204" t="s">
        <v>491</v>
      </c>
      <c r="AA2204" t="s">
        <v>1021</v>
      </c>
      <c r="AC2204">
        <v>1</v>
      </c>
      <c r="AD2204" t="s">
        <v>564</v>
      </c>
      <c r="AE2204">
        <v>7535.4813000000004</v>
      </c>
      <c r="AF2204" t="s">
        <v>559</v>
      </c>
      <c r="AG2204" t="s">
        <v>560</v>
      </c>
      <c r="AH2204">
        <v>1</v>
      </c>
      <c r="AI2204">
        <v>18731</v>
      </c>
      <c r="AJ2204" t="s">
        <v>561</v>
      </c>
      <c r="AK2204" t="s">
        <v>562</v>
      </c>
      <c r="AL2204" t="s">
        <v>601</v>
      </c>
      <c r="AM2204">
        <v>2021</v>
      </c>
      <c r="AN2204">
        <v>2019</v>
      </c>
      <c r="AO2204">
        <f>IF(AND(emissions[[#This Row],[Market-based]]=0,emissions[[#This Row],[Impact Type]]="CO2E"),emissions[[#This Row],[kgCO2e]],0)/1000</f>
        <v>0</v>
      </c>
      <c r="AP2204">
        <f>IF(AND(emissions[[#This Row],[Market-based]]=1,OR(emissions[[#This Row],[Impact Type]]="CO2E",emissions[[#This Row],[Impact Type]]="CO2E MKT")),emissions[[#This Row],[kgCO2e]],0)/1000</f>
        <v>0</v>
      </c>
      <c r="AQ2204" t="str">
        <f>_xlfn.TEXTAFTER(emissions[[#This Row],[Reporting Unit]]," &gt; ",LEN(emissions[[#This Row],[Reporting Unit]])-LEN(SUBSTITUTE(emissions[[#This Row],[Reporting Unit]],"&gt;","")))</f>
        <v>Vantage_Guatemala City</v>
      </c>
      <c r="AR2204" t="str">
        <f>_xlfn.XLOOKUP(emissions[[#This Row],[Reporting unit name]],hierarchy!$A:$A,hierarchy!$C:$C)</f>
        <v>Unspecified Facility Type</v>
      </c>
    </row>
    <row r="2205" spans="1:44" hidden="1" x14ac:dyDescent="0.25">
      <c r="A2205">
        <v>4951</v>
      </c>
      <c r="B2205" t="s">
        <v>229</v>
      </c>
      <c r="C2205" t="s">
        <v>525</v>
      </c>
      <c r="D2205" t="s">
        <v>599</v>
      </c>
      <c r="E2205" s="3">
        <v>44197</v>
      </c>
      <c r="F2205" s="3">
        <v>44561</v>
      </c>
      <c r="G2205" t="s">
        <v>108</v>
      </c>
      <c r="H2205" s="3">
        <v>44197</v>
      </c>
      <c r="I2205" s="3">
        <v>44561</v>
      </c>
      <c r="J2205" t="s">
        <v>108</v>
      </c>
      <c r="K2205">
        <v>18731</v>
      </c>
      <c r="L2205" t="s">
        <v>109</v>
      </c>
      <c r="M2205" t="s">
        <v>110</v>
      </c>
      <c r="O2205" t="s">
        <v>600</v>
      </c>
      <c r="P2205" t="s">
        <v>1026</v>
      </c>
      <c r="Q2205">
        <v>2021</v>
      </c>
      <c r="R2205" t="s">
        <v>551</v>
      </c>
      <c r="S2205" t="s">
        <v>552</v>
      </c>
      <c r="T2205" t="s">
        <v>553</v>
      </c>
      <c r="U2205" t="b">
        <v>0</v>
      </c>
      <c r="V2205" t="s">
        <v>1020</v>
      </c>
      <c r="W2205" t="s">
        <v>555</v>
      </c>
      <c r="X2205" t="s">
        <v>556</v>
      </c>
      <c r="Y2205" t="s">
        <v>472</v>
      </c>
      <c r="Z2205" t="s">
        <v>491</v>
      </c>
      <c r="AA2205" t="s">
        <v>1021</v>
      </c>
      <c r="AC2205">
        <v>1</v>
      </c>
      <c r="AD2205" t="s">
        <v>565</v>
      </c>
      <c r="AE2205">
        <v>7707.8064999999997</v>
      </c>
      <c r="AF2205" t="s">
        <v>559</v>
      </c>
      <c r="AG2205" t="s">
        <v>560</v>
      </c>
      <c r="AH2205">
        <v>1</v>
      </c>
      <c r="AI2205">
        <v>18731</v>
      </c>
      <c r="AJ2205" t="s">
        <v>561</v>
      </c>
      <c r="AK2205" t="s">
        <v>562</v>
      </c>
      <c r="AL2205" t="s">
        <v>601</v>
      </c>
      <c r="AM2205">
        <v>2021</v>
      </c>
      <c r="AN2205">
        <v>2019</v>
      </c>
      <c r="AO2205">
        <f>IF(AND(emissions[[#This Row],[Market-based]]=0,emissions[[#This Row],[Impact Type]]="CO2E"),emissions[[#This Row],[kgCO2e]],0)/1000</f>
        <v>0</v>
      </c>
      <c r="AP2205">
        <f>IF(AND(emissions[[#This Row],[Market-based]]=1,OR(emissions[[#This Row],[Impact Type]]="CO2E",emissions[[#This Row],[Impact Type]]="CO2E MKT")),emissions[[#This Row],[kgCO2e]],0)/1000</f>
        <v>7.7078064999999993</v>
      </c>
      <c r="AQ2205" t="str">
        <f>_xlfn.TEXTAFTER(emissions[[#This Row],[Reporting Unit]]," &gt; ",LEN(emissions[[#This Row],[Reporting Unit]])-LEN(SUBSTITUTE(emissions[[#This Row],[Reporting Unit]],"&gt;","")))</f>
        <v>Vantage_Guatemala City</v>
      </c>
      <c r="AR2205" t="str">
        <f>_xlfn.XLOOKUP(emissions[[#This Row],[Reporting unit name]],hierarchy!$A:$A,hierarchy!$C:$C)</f>
        <v>Unspecified Facility Type</v>
      </c>
    </row>
    <row r="2206" spans="1:44" hidden="1" x14ac:dyDescent="0.25">
      <c r="A2206">
        <v>4951</v>
      </c>
      <c r="B2206" t="s">
        <v>229</v>
      </c>
      <c r="C2206" t="s">
        <v>525</v>
      </c>
      <c r="D2206" t="s">
        <v>599</v>
      </c>
      <c r="E2206" s="3">
        <v>44197</v>
      </c>
      <c r="F2206" s="3">
        <v>44561</v>
      </c>
      <c r="G2206" t="s">
        <v>108</v>
      </c>
      <c r="H2206" s="3">
        <v>44197</v>
      </c>
      <c r="I2206" s="3">
        <v>44561</v>
      </c>
      <c r="J2206" t="s">
        <v>108</v>
      </c>
      <c r="K2206">
        <v>18731</v>
      </c>
      <c r="L2206" t="s">
        <v>109</v>
      </c>
      <c r="M2206" t="s">
        <v>110</v>
      </c>
      <c r="O2206" t="s">
        <v>600</v>
      </c>
      <c r="P2206" t="s">
        <v>1026</v>
      </c>
      <c r="Q2206">
        <v>2021</v>
      </c>
      <c r="R2206" t="s">
        <v>551</v>
      </c>
      <c r="S2206" t="s">
        <v>552</v>
      </c>
      <c r="T2206" t="s">
        <v>553</v>
      </c>
      <c r="U2206" t="b">
        <v>0</v>
      </c>
      <c r="V2206" t="s">
        <v>1020</v>
      </c>
      <c r="W2206" t="s">
        <v>555</v>
      </c>
      <c r="X2206" t="s">
        <v>556</v>
      </c>
      <c r="Y2206" t="s">
        <v>472</v>
      </c>
      <c r="Z2206" t="s">
        <v>491</v>
      </c>
      <c r="AA2206" t="s">
        <v>1021</v>
      </c>
      <c r="AC2206">
        <v>1</v>
      </c>
      <c r="AD2206" t="s">
        <v>566</v>
      </c>
      <c r="AE2206">
        <v>116.1322</v>
      </c>
      <c r="AF2206" t="s">
        <v>559</v>
      </c>
      <c r="AG2206" t="s">
        <v>560</v>
      </c>
      <c r="AH2206">
        <v>1</v>
      </c>
      <c r="AI2206">
        <v>18731</v>
      </c>
      <c r="AJ2206" t="s">
        <v>561</v>
      </c>
      <c r="AK2206" t="s">
        <v>562</v>
      </c>
      <c r="AL2206" t="s">
        <v>601</v>
      </c>
      <c r="AM2206">
        <v>2021</v>
      </c>
      <c r="AN2206">
        <v>2019</v>
      </c>
      <c r="AO2206">
        <f>IF(AND(emissions[[#This Row],[Market-based]]=0,emissions[[#This Row],[Impact Type]]="CO2E"),emissions[[#This Row],[kgCO2e]],0)/1000</f>
        <v>0</v>
      </c>
      <c r="AP2206">
        <f>IF(AND(emissions[[#This Row],[Market-based]]=1,OR(emissions[[#This Row],[Impact Type]]="CO2E",emissions[[#This Row],[Impact Type]]="CO2E MKT")),emissions[[#This Row],[kgCO2e]],0)/1000</f>
        <v>0</v>
      </c>
      <c r="AQ2206" t="str">
        <f>_xlfn.TEXTAFTER(emissions[[#This Row],[Reporting Unit]]," &gt; ",LEN(emissions[[#This Row],[Reporting Unit]])-LEN(SUBSTITUTE(emissions[[#This Row],[Reporting Unit]],"&gt;","")))</f>
        <v>Vantage_Guatemala City</v>
      </c>
      <c r="AR2206" t="str">
        <f>_xlfn.XLOOKUP(emissions[[#This Row],[Reporting unit name]],hierarchy!$A:$A,hierarchy!$C:$C)</f>
        <v>Unspecified Facility Type</v>
      </c>
    </row>
    <row r="2207" spans="1:44" hidden="1" x14ac:dyDescent="0.25">
      <c r="A2207">
        <v>4951</v>
      </c>
      <c r="B2207" t="s">
        <v>229</v>
      </c>
      <c r="C2207" t="s">
        <v>525</v>
      </c>
      <c r="D2207" t="s">
        <v>599</v>
      </c>
      <c r="E2207" s="3">
        <v>44197</v>
      </c>
      <c r="F2207" s="3">
        <v>44561</v>
      </c>
      <c r="G2207" t="s">
        <v>108</v>
      </c>
      <c r="H2207" s="3">
        <v>44197</v>
      </c>
      <c r="I2207" s="3">
        <v>44561</v>
      </c>
      <c r="J2207" t="s">
        <v>108</v>
      </c>
      <c r="K2207">
        <v>18731</v>
      </c>
      <c r="L2207" t="s">
        <v>109</v>
      </c>
      <c r="M2207" t="s">
        <v>110</v>
      </c>
      <c r="O2207" t="s">
        <v>600</v>
      </c>
      <c r="P2207" t="s">
        <v>1026</v>
      </c>
      <c r="Q2207">
        <v>2021</v>
      </c>
      <c r="R2207" t="s">
        <v>567</v>
      </c>
      <c r="S2207" t="s">
        <v>568</v>
      </c>
      <c r="T2207" t="s">
        <v>569</v>
      </c>
      <c r="U2207" t="b">
        <v>0</v>
      </c>
      <c r="V2207" t="s">
        <v>1027</v>
      </c>
      <c r="W2207" t="s">
        <v>571</v>
      </c>
      <c r="X2207" t="s">
        <v>572</v>
      </c>
      <c r="Y2207" t="s">
        <v>472</v>
      </c>
      <c r="Z2207" t="s">
        <v>491</v>
      </c>
      <c r="AA2207" t="s">
        <v>1021</v>
      </c>
      <c r="AC2207">
        <v>0</v>
      </c>
      <c r="AD2207" t="s">
        <v>558</v>
      </c>
      <c r="AE2207">
        <v>1.4217390249999999</v>
      </c>
      <c r="AF2207" s="13">
        <v>7.5902999999999995E-5</v>
      </c>
      <c r="AG2207" t="s">
        <v>560</v>
      </c>
      <c r="AH2207">
        <v>1</v>
      </c>
      <c r="AI2207">
        <v>18731</v>
      </c>
      <c r="AJ2207" t="s">
        <v>561</v>
      </c>
      <c r="AK2207" t="s">
        <v>573</v>
      </c>
      <c r="AL2207" t="s">
        <v>1028</v>
      </c>
      <c r="AM2207">
        <v>2021</v>
      </c>
      <c r="AN2207">
        <v>2019</v>
      </c>
      <c r="AO2207">
        <f>IF(AND(emissions[[#This Row],[Market-based]]=0,emissions[[#This Row],[Impact Type]]="CO2E"),emissions[[#This Row],[kgCO2e]],0)/1000</f>
        <v>0</v>
      </c>
      <c r="AP2207">
        <f>IF(AND(emissions[[#This Row],[Market-based]]=1,OR(emissions[[#This Row],[Impact Type]]="CO2E",emissions[[#This Row],[Impact Type]]="CO2E MKT")),emissions[[#This Row],[kgCO2e]],0)/1000</f>
        <v>0</v>
      </c>
      <c r="AQ2207" t="str">
        <f>_xlfn.TEXTAFTER(emissions[[#This Row],[Reporting Unit]]," &gt; ",LEN(emissions[[#This Row],[Reporting Unit]])-LEN(SUBSTITUTE(emissions[[#This Row],[Reporting Unit]],"&gt;","")))</f>
        <v>Vantage_Guatemala City</v>
      </c>
      <c r="AR2207" t="str">
        <f>_xlfn.XLOOKUP(emissions[[#This Row],[Reporting unit name]],hierarchy!$A:$A,hierarchy!$C:$C)</f>
        <v>Unspecified Facility Type</v>
      </c>
    </row>
    <row r="2208" spans="1:44" hidden="1" x14ac:dyDescent="0.25">
      <c r="A2208">
        <v>4951</v>
      </c>
      <c r="B2208" t="s">
        <v>229</v>
      </c>
      <c r="C2208" t="s">
        <v>525</v>
      </c>
      <c r="D2208" t="s">
        <v>599</v>
      </c>
      <c r="E2208" s="3">
        <v>44197</v>
      </c>
      <c r="F2208" s="3">
        <v>44561</v>
      </c>
      <c r="G2208" t="s">
        <v>108</v>
      </c>
      <c r="H2208" s="3">
        <v>44197</v>
      </c>
      <c r="I2208" s="3">
        <v>44561</v>
      </c>
      <c r="J2208" t="s">
        <v>108</v>
      </c>
      <c r="K2208">
        <v>18731</v>
      </c>
      <c r="L2208" t="s">
        <v>109</v>
      </c>
      <c r="M2208" t="s">
        <v>110</v>
      </c>
      <c r="O2208" t="s">
        <v>600</v>
      </c>
      <c r="P2208" t="s">
        <v>1026</v>
      </c>
      <c r="Q2208">
        <v>2021</v>
      </c>
      <c r="R2208" t="s">
        <v>567</v>
      </c>
      <c r="S2208" t="s">
        <v>568</v>
      </c>
      <c r="T2208" t="s">
        <v>569</v>
      </c>
      <c r="U2208" t="b">
        <v>0</v>
      </c>
      <c r="V2208" t="s">
        <v>1027</v>
      </c>
      <c r="W2208" t="s">
        <v>571</v>
      </c>
      <c r="X2208" t="s">
        <v>572</v>
      </c>
      <c r="Y2208" t="s">
        <v>472</v>
      </c>
      <c r="Z2208" t="s">
        <v>491</v>
      </c>
      <c r="AA2208" t="s">
        <v>1021</v>
      </c>
      <c r="AC2208">
        <v>0</v>
      </c>
      <c r="AD2208" t="s">
        <v>564</v>
      </c>
      <c r="AE2208">
        <v>190.65520319999999</v>
      </c>
      <c r="AF2208">
        <v>1.0178592E-2</v>
      </c>
      <c r="AG2208" t="s">
        <v>560</v>
      </c>
      <c r="AH2208">
        <v>1</v>
      </c>
      <c r="AI2208">
        <v>18731</v>
      </c>
      <c r="AJ2208" t="s">
        <v>561</v>
      </c>
      <c r="AK2208" t="s">
        <v>573</v>
      </c>
      <c r="AL2208" t="s">
        <v>1028</v>
      </c>
      <c r="AM2208">
        <v>2021</v>
      </c>
      <c r="AN2208">
        <v>2019</v>
      </c>
      <c r="AO2208">
        <f>IF(AND(emissions[[#This Row],[Market-based]]=0,emissions[[#This Row],[Impact Type]]="CO2E"),emissions[[#This Row],[kgCO2e]],0)/1000</f>
        <v>0</v>
      </c>
      <c r="AP2208">
        <f>IF(AND(emissions[[#This Row],[Market-based]]=1,OR(emissions[[#This Row],[Impact Type]]="CO2E",emissions[[#This Row],[Impact Type]]="CO2E MKT")),emissions[[#This Row],[kgCO2e]],0)/1000</f>
        <v>0</v>
      </c>
      <c r="AQ2208" t="str">
        <f>_xlfn.TEXTAFTER(emissions[[#This Row],[Reporting Unit]]," &gt; ",LEN(emissions[[#This Row],[Reporting Unit]])-LEN(SUBSTITUTE(emissions[[#This Row],[Reporting Unit]],"&gt;","")))</f>
        <v>Vantage_Guatemala City</v>
      </c>
      <c r="AR2208" t="str">
        <f>_xlfn.XLOOKUP(emissions[[#This Row],[Reporting unit name]],hierarchy!$A:$A,hierarchy!$C:$C)</f>
        <v>Unspecified Facility Type</v>
      </c>
    </row>
    <row r="2209" spans="1:44" hidden="1" x14ac:dyDescent="0.25">
      <c r="A2209">
        <v>4951</v>
      </c>
      <c r="B2209" t="s">
        <v>229</v>
      </c>
      <c r="C2209" t="s">
        <v>525</v>
      </c>
      <c r="D2209" t="s">
        <v>599</v>
      </c>
      <c r="E2209" s="3">
        <v>44197</v>
      </c>
      <c r="F2209" s="3">
        <v>44561</v>
      </c>
      <c r="G2209" t="s">
        <v>108</v>
      </c>
      <c r="H2209" s="3">
        <v>44197</v>
      </c>
      <c r="I2209" s="3">
        <v>44561</v>
      </c>
      <c r="J2209" t="s">
        <v>108</v>
      </c>
      <c r="K2209">
        <v>18731</v>
      </c>
      <c r="L2209" t="s">
        <v>109</v>
      </c>
      <c r="M2209" t="s">
        <v>110</v>
      </c>
      <c r="O2209" t="s">
        <v>600</v>
      </c>
      <c r="P2209" t="s">
        <v>1026</v>
      </c>
      <c r="Q2209">
        <v>2021</v>
      </c>
      <c r="R2209" t="s">
        <v>567</v>
      </c>
      <c r="S2209" t="s">
        <v>568</v>
      </c>
      <c r="T2209" t="s">
        <v>569</v>
      </c>
      <c r="U2209" t="b">
        <v>0</v>
      </c>
      <c r="V2209" t="s">
        <v>1027</v>
      </c>
      <c r="W2209" t="s">
        <v>571</v>
      </c>
      <c r="X2209" t="s">
        <v>572</v>
      </c>
      <c r="Y2209" t="s">
        <v>472</v>
      </c>
      <c r="Z2209" t="s">
        <v>491</v>
      </c>
      <c r="AA2209" t="s">
        <v>1021</v>
      </c>
      <c r="AC2209">
        <v>0</v>
      </c>
      <c r="AD2209" t="s">
        <v>565</v>
      </c>
      <c r="AE2209">
        <v>195.01520289999999</v>
      </c>
      <c r="AF2209">
        <v>1.0411360999999999E-2</v>
      </c>
      <c r="AG2209" t="s">
        <v>560</v>
      </c>
      <c r="AH2209">
        <v>1</v>
      </c>
      <c r="AI2209">
        <v>18731</v>
      </c>
      <c r="AJ2209" t="s">
        <v>561</v>
      </c>
      <c r="AK2209" t="s">
        <v>573</v>
      </c>
      <c r="AL2209" t="s">
        <v>1028</v>
      </c>
      <c r="AM2209">
        <v>2021</v>
      </c>
      <c r="AN2209">
        <v>2019</v>
      </c>
      <c r="AO2209">
        <f>IF(AND(emissions[[#This Row],[Market-based]]=0,emissions[[#This Row],[Impact Type]]="CO2E"),emissions[[#This Row],[kgCO2e]],0)/1000</f>
        <v>0.19501520289999999</v>
      </c>
      <c r="AP2209">
        <f>IF(AND(emissions[[#This Row],[Market-based]]=1,OR(emissions[[#This Row],[Impact Type]]="CO2E",emissions[[#This Row],[Impact Type]]="CO2E MKT")),emissions[[#This Row],[kgCO2e]],0)/1000</f>
        <v>0</v>
      </c>
      <c r="AQ2209" t="str">
        <f>_xlfn.TEXTAFTER(emissions[[#This Row],[Reporting Unit]]," &gt; ",LEN(emissions[[#This Row],[Reporting Unit]])-LEN(SUBSTITUTE(emissions[[#This Row],[Reporting Unit]],"&gt;","")))</f>
        <v>Vantage_Guatemala City</v>
      </c>
      <c r="AR2209" t="str">
        <f>_xlfn.XLOOKUP(emissions[[#This Row],[Reporting unit name]],hierarchy!$A:$A,hierarchy!$C:$C)</f>
        <v>Unspecified Facility Type</v>
      </c>
    </row>
    <row r="2210" spans="1:44" hidden="1" x14ac:dyDescent="0.25">
      <c r="A2210">
        <v>4951</v>
      </c>
      <c r="B2210" t="s">
        <v>229</v>
      </c>
      <c r="C2210" t="s">
        <v>525</v>
      </c>
      <c r="D2210" t="s">
        <v>599</v>
      </c>
      <c r="E2210" s="3">
        <v>44197</v>
      </c>
      <c r="F2210" s="3">
        <v>44561</v>
      </c>
      <c r="G2210" t="s">
        <v>108</v>
      </c>
      <c r="H2210" s="3">
        <v>44197</v>
      </c>
      <c r="I2210" s="3">
        <v>44561</v>
      </c>
      <c r="J2210" t="s">
        <v>108</v>
      </c>
      <c r="K2210">
        <v>18731</v>
      </c>
      <c r="L2210" t="s">
        <v>109</v>
      </c>
      <c r="M2210" t="s">
        <v>110</v>
      </c>
      <c r="O2210" t="s">
        <v>600</v>
      </c>
      <c r="P2210" t="s">
        <v>1026</v>
      </c>
      <c r="Q2210">
        <v>2021</v>
      </c>
      <c r="R2210" t="s">
        <v>567</v>
      </c>
      <c r="S2210" t="s">
        <v>568</v>
      </c>
      <c r="T2210" t="s">
        <v>569</v>
      </c>
      <c r="U2210" t="b">
        <v>0</v>
      </c>
      <c r="V2210" t="s">
        <v>1027</v>
      </c>
      <c r="W2210" t="s">
        <v>571</v>
      </c>
      <c r="X2210" t="s">
        <v>572</v>
      </c>
      <c r="Y2210" t="s">
        <v>472</v>
      </c>
      <c r="Z2210" t="s">
        <v>491</v>
      </c>
      <c r="AA2210" t="s">
        <v>1021</v>
      </c>
      <c r="AC2210">
        <v>0</v>
      </c>
      <c r="AD2210" t="s">
        <v>566</v>
      </c>
      <c r="AE2210">
        <v>2.9382606509999998</v>
      </c>
      <c r="AF2210">
        <v>1.56866E-4</v>
      </c>
      <c r="AG2210" t="s">
        <v>560</v>
      </c>
      <c r="AH2210">
        <v>1</v>
      </c>
      <c r="AI2210">
        <v>18731</v>
      </c>
      <c r="AJ2210" t="s">
        <v>561</v>
      </c>
      <c r="AK2210" t="s">
        <v>573</v>
      </c>
      <c r="AL2210" t="s">
        <v>1028</v>
      </c>
      <c r="AM2210">
        <v>2021</v>
      </c>
      <c r="AN2210">
        <v>2019</v>
      </c>
      <c r="AO2210">
        <f>IF(AND(emissions[[#This Row],[Market-based]]=0,emissions[[#This Row],[Impact Type]]="CO2E"),emissions[[#This Row],[kgCO2e]],0)/1000</f>
        <v>0</v>
      </c>
      <c r="AP2210">
        <f>IF(AND(emissions[[#This Row],[Market-based]]=1,OR(emissions[[#This Row],[Impact Type]]="CO2E",emissions[[#This Row],[Impact Type]]="CO2E MKT")),emissions[[#This Row],[kgCO2e]],0)/1000</f>
        <v>0</v>
      </c>
      <c r="AQ2210" t="str">
        <f>_xlfn.TEXTAFTER(emissions[[#This Row],[Reporting Unit]]," &gt; ",LEN(emissions[[#This Row],[Reporting Unit]])-LEN(SUBSTITUTE(emissions[[#This Row],[Reporting Unit]],"&gt;","")))</f>
        <v>Vantage_Guatemala City</v>
      </c>
      <c r="AR2210" t="str">
        <f>_xlfn.XLOOKUP(emissions[[#This Row],[Reporting unit name]],hierarchy!$A:$A,hierarchy!$C:$C)</f>
        <v>Unspecified Facility Type</v>
      </c>
    </row>
    <row r="2211" spans="1:44" hidden="1" x14ac:dyDescent="0.25">
      <c r="A2211">
        <v>4951</v>
      </c>
      <c r="B2211" t="s">
        <v>229</v>
      </c>
      <c r="C2211" t="s">
        <v>525</v>
      </c>
      <c r="D2211" t="s">
        <v>599</v>
      </c>
      <c r="E2211" s="3">
        <v>44197</v>
      </c>
      <c r="F2211" s="3">
        <v>44561</v>
      </c>
      <c r="G2211" t="s">
        <v>108</v>
      </c>
      <c r="H2211" s="3">
        <v>44197</v>
      </c>
      <c r="I2211" s="3">
        <v>44561</v>
      </c>
      <c r="J2211" t="s">
        <v>108</v>
      </c>
      <c r="K2211">
        <v>18731</v>
      </c>
      <c r="L2211" t="s">
        <v>109</v>
      </c>
      <c r="M2211" t="s">
        <v>110</v>
      </c>
      <c r="O2211" t="s">
        <v>600</v>
      </c>
      <c r="P2211" t="s">
        <v>1026</v>
      </c>
      <c r="Q2211">
        <v>2021</v>
      </c>
      <c r="R2211" t="s">
        <v>567</v>
      </c>
      <c r="S2211" t="s">
        <v>568</v>
      </c>
      <c r="T2211" t="s">
        <v>569</v>
      </c>
      <c r="U2211" t="b">
        <v>0</v>
      </c>
      <c r="V2211" t="s">
        <v>1027</v>
      </c>
      <c r="W2211" t="s">
        <v>571</v>
      </c>
      <c r="X2211" t="s">
        <v>572</v>
      </c>
      <c r="Y2211" t="s">
        <v>472</v>
      </c>
      <c r="Z2211" t="s">
        <v>491</v>
      </c>
      <c r="AA2211" t="s">
        <v>1021</v>
      </c>
      <c r="AC2211">
        <v>1</v>
      </c>
      <c r="AD2211" t="s">
        <v>558</v>
      </c>
      <c r="AE2211">
        <v>1.4217390249999999</v>
      </c>
      <c r="AF2211" s="13">
        <v>7.5902999999999995E-5</v>
      </c>
      <c r="AG2211" t="s">
        <v>560</v>
      </c>
      <c r="AH2211">
        <v>1</v>
      </c>
      <c r="AI2211">
        <v>18731</v>
      </c>
      <c r="AJ2211" t="s">
        <v>561</v>
      </c>
      <c r="AK2211" t="s">
        <v>573</v>
      </c>
      <c r="AL2211" t="s">
        <v>1028</v>
      </c>
      <c r="AM2211">
        <v>2021</v>
      </c>
      <c r="AN2211">
        <v>2019</v>
      </c>
      <c r="AO2211">
        <f>IF(AND(emissions[[#This Row],[Market-based]]=0,emissions[[#This Row],[Impact Type]]="CO2E"),emissions[[#This Row],[kgCO2e]],0)/1000</f>
        <v>0</v>
      </c>
      <c r="AP2211">
        <f>IF(AND(emissions[[#This Row],[Market-based]]=1,OR(emissions[[#This Row],[Impact Type]]="CO2E",emissions[[#This Row],[Impact Type]]="CO2E MKT")),emissions[[#This Row],[kgCO2e]],0)/1000</f>
        <v>0</v>
      </c>
      <c r="AQ2211" t="str">
        <f>_xlfn.TEXTAFTER(emissions[[#This Row],[Reporting Unit]]," &gt; ",LEN(emissions[[#This Row],[Reporting Unit]])-LEN(SUBSTITUTE(emissions[[#This Row],[Reporting Unit]],"&gt;","")))</f>
        <v>Vantage_Guatemala City</v>
      </c>
      <c r="AR2211" t="str">
        <f>_xlfn.XLOOKUP(emissions[[#This Row],[Reporting unit name]],hierarchy!$A:$A,hierarchy!$C:$C)</f>
        <v>Unspecified Facility Type</v>
      </c>
    </row>
    <row r="2212" spans="1:44" hidden="1" x14ac:dyDescent="0.25">
      <c r="A2212">
        <v>4951</v>
      </c>
      <c r="B2212" t="s">
        <v>229</v>
      </c>
      <c r="C2212" t="s">
        <v>525</v>
      </c>
      <c r="D2212" t="s">
        <v>599</v>
      </c>
      <c r="E2212" s="3">
        <v>44197</v>
      </c>
      <c r="F2212" s="3">
        <v>44561</v>
      </c>
      <c r="G2212" t="s">
        <v>108</v>
      </c>
      <c r="H2212" s="3">
        <v>44197</v>
      </c>
      <c r="I2212" s="3">
        <v>44561</v>
      </c>
      <c r="J2212" t="s">
        <v>108</v>
      </c>
      <c r="K2212">
        <v>18731</v>
      </c>
      <c r="L2212" t="s">
        <v>109</v>
      </c>
      <c r="M2212" t="s">
        <v>110</v>
      </c>
      <c r="O2212" t="s">
        <v>600</v>
      </c>
      <c r="P2212" t="s">
        <v>1026</v>
      </c>
      <c r="Q2212">
        <v>2021</v>
      </c>
      <c r="R2212" t="s">
        <v>567</v>
      </c>
      <c r="S2212" t="s">
        <v>568</v>
      </c>
      <c r="T2212" t="s">
        <v>569</v>
      </c>
      <c r="U2212" t="b">
        <v>0</v>
      </c>
      <c r="V2212" t="s">
        <v>1027</v>
      </c>
      <c r="W2212" t="s">
        <v>571</v>
      </c>
      <c r="X2212" t="s">
        <v>572</v>
      </c>
      <c r="Y2212" t="s">
        <v>472</v>
      </c>
      <c r="Z2212" t="s">
        <v>491</v>
      </c>
      <c r="AA2212" t="s">
        <v>1021</v>
      </c>
      <c r="AC2212">
        <v>1</v>
      </c>
      <c r="AD2212" t="s">
        <v>564</v>
      </c>
      <c r="AE2212">
        <v>190.65520319999999</v>
      </c>
      <c r="AF2212">
        <v>1.0178592E-2</v>
      </c>
      <c r="AG2212" t="s">
        <v>560</v>
      </c>
      <c r="AH2212">
        <v>1</v>
      </c>
      <c r="AI2212">
        <v>18731</v>
      </c>
      <c r="AJ2212" t="s">
        <v>561</v>
      </c>
      <c r="AK2212" t="s">
        <v>573</v>
      </c>
      <c r="AL2212" t="s">
        <v>1028</v>
      </c>
      <c r="AM2212">
        <v>2021</v>
      </c>
      <c r="AN2212">
        <v>2019</v>
      </c>
      <c r="AO2212">
        <f>IF(AND(emissions[[#This Row],[Market-based]]=0,emissions[[#This Row],[Impact Type]]="CO2E"),emissions[[#This Row],[kgCO2e]],0)/1000</f>
        <v>0</v>
      </c>
      <c r="AP2212">
        <f>IF(AND(emissions[[#This Row],[Market-based]]=1,OR(emissions[[#This Row],[Impact Type]]="CO2E",emissions[[#This Row],[Impact Type]]="CO2E MKT")),emissions[[#This Row],[kgCO2e]],0)/1000</f>
        <v>0</v>
      </c>
      <c r="AQ2212" t="str">
        <f>_xlfn.TEXTAFTER(emissions[[#This Row],[Reporting Unit]]," &gt; ",LEN(emissions[[#This Row],[Reporting Unit]])-LEN(SUBSTITUTE(emissions[[#This Row],[Reporting Unit]],"&gt;","")))</f>
        <v>Vantage_Guatemala City</v>
      </c>
      <c r="AR2212" t="str">
        <f>_xlfn.XLOOKUP(emissions[[#This Row],[Reporting unit name]],hierarchy!$A:$A,hierarchy!$C:$C)</f>
        <v>Unspecified Facility Type</v>
      </c>
    </row>
    <row r="2213" spans="1:44" hidden="1" x14ac:dyDescent="0.25">
      <c r="A2213">
        <v>4951</v>
      </c>
      <c r="B2213" t="s">
        <v>229</v>
      </c>
      <c r="C2213" t="s">
        <v>525</v>
      </c>
      <c r="D2213" t="s">
        <v>599</v>
      </c>
      <c r="E2213" s="3">
        <v>44197</v>
      </c>
      <c r="F2213" s="3">
        <v>44561</v>
      </c>
      <c r="G2213" t="s">
        <v>108</v>
      </c>
      <c r="H2213" s="3">
        <v>44197</v>
      </c>
      <c r="I2213" s="3">
        <v>44561</v>
      </c>
      <c r="J2213" t="s">
        <v>108</v>
      </c>
      <c r="K2213">
        <v>18731</v>
      </c>
      <c r="L2213" t="s">
        <v>109</v>
      </c>
      <c r="M2213" t="s">
        <v>110</v>
      </c>
      <c r="O2213" t="s">
        <v>600</v>
      </c>
      <c r="P2213" t="s">
        <v>1026</v>
      </c>
      <c r="Q2213">
        <v>2021</v>
      </c>
      <c r="R2213" t="s">
        <v>567</v>
      </c>
      <c r="S2213" t="s">
        <v>568</v>
      </c>
      <c r="T2213" t="s">
        <v>569</v>
      </c>
      <c r="U2213" t="b">
        <v>0</v>
      </c>
      <c r="V2213" t="s">
        <v>1027</v>
      </c>
      <c r="W2213" t="s">
        <v>571</v>
      </c>
      <c r="X2213" t="s">
        <v>572</v>
      </c>
      <c r="Y2213" t="s">
        <v>472</v>
      </c>
      <c r="Z2213" t="s">
        <v>491</v>
      </c>
      <c r="AA2213" t="s">
        <v>1021</v>
      </c>
      <c r="AC2213">
        <v>1</v>
      </c>
      <c r="AD2213" t="s">
        <v>565</v>
      </c>
      <c r="AE2213">
        <v>195.01520289999999</v>
      </c>
      <c r="AF2213">
        <v>1.0411360999999999E-2</v>
      </c>
      <c r="AG2213" t="s">
        <v>560</v>
      </c>
      <c r="AH2213">
        <v>1</v>
      </c>
      <c r="AI2213">
        <v>18731</v>
      </c>
      <c r="AJ2213" t="s">
        <v>561</v>
      </c>
      <c r="AK2213" t="s">
        <v>573</v>
      </c>
      <c r="AL2213" t="s">
        <v>1028</v>
      </c>
      <c r="AM2213">
        <v>2021</v>
      </c>
      <c r="AN2213">
        <v>2019</v>
      </c>
      <c r="AO2213">
        <f>IF(AND(emissions[[#This Row],[Market-based]]=0,emissions[[#This Row],[Impact Type]]="CO2E"),emissions[[#This Row],[kgCO2e]],0)/1000</f>
        <v>0</v>
      </c>
      <c r="AP2213">
        <f>IF(AND(emissions[[#This Row],[Market-based]]=1,OR(emissions[[#This Row],[Impact Type]]="CO2E",emissions[[#This Row],[Impact Type]]="CO2E MKT")),emissions[[#This Row],[kgCO2e]],0)/1000</f>
        <v>0.19501520289999999</v>
      </c>
      <c r="AQ2213" t="str">
        <f>_xlfn.TEXTAFTER(emissions[[#This Row],[Reporting Unit]]," &gt; ",LEN(emissions[[#This Row],[Reporting Unit]])-LEN(SUBSTITUTE(emissions[[#This Row],[Reporting Unit]],"&gt;","")))</f>
        <v>Vantage_Guatemala City</v>
      </c>
      <c r="AR2213" t="str">
        <f>_xlfn.XLOOKUP(emissions[[#This Row],[Reporting unit name]],hierarchy!$A:$A,hierarchy!$C:$C)</f>
        <v>Unspecified Facility Type</v>
      </c>
    </row>
    <row r="2214" spans="1:44" hidden="1" x14ac:dyDescent="0.25">
      <c r="A2214">
        <v>4951</v>
      </c>
      <c r="B2214" t="s">
        <v>229</v>
      </c>
      <c r="C2214" t="s">
        <v>525</v>
      </c>
      <c r="D2214" t="s">
        <v>599</v>
      </c>
      <c r="E2214" s="3">
        <v>44197</v>
      </c>
      <c r="F2214" s="3">
        <v>44561</v>
      </c>
      <c r="G2214" t="s">
        <v>108</v>
      </c>
      <c r="H2214" s="3">
        <v>44197</v>
      </c>
      <c r="I2214" s="3">
        <v>44561</v>
      </c>
      <c r="J2214" t="s">
        <v>108</v>
      </c>
      <c r="K2214">
        <v>18731</v>
      </c>
      <c r="L2214" t="s">
        <v>109</v>
      </c>
      <c r="M2214" t="s">
        <v>110</v>
      </c>
      <c r="O2214" t="s">
        <v>600</v>
      </c>
      <c r="P2214" t="s">
        <v>1026</v>
      </c>
      <c r="Q2214">
        <v>2021</v>
      </c>
      <c r="R2214" t="s">
        <v>567</v>
      </c>
      <c r="S2214" t="s">
        <v>568</v>
      </c>
      <c r="T2214" t="s">
        <v>569</v>
      </c>
      <c r="U2214" t="b">
        <v>0</v>
      </c>
      <c r="V2214" t="s">
        <v>1027</v>
      </c>
      <c r="W2214" t="s">
        <v>571</v>
      </c>
      <c r="X2214" t="s">
        <v>572</v>
      </c>
      <c r="Y2214" t="s">
        <v>472</v>
      </c>
      <c r="Z2214" t="s">
        <v>491</v>
      </c>
      <c r="AA2214" t="s">
        <v>1021</v>
      </c>
      <c r="AC2214">
        <v>1</v>
      </c>
      <c r="AD2214" t="s">
        <v>566</v>
      </c>
      <c r="AE2214">
        <v>2.9382606509999998</v>
      </c>
      <c r="AF2214">
        <v>1.56866E-4</v>
      </c>
      <c r="AG2214" t="s">
        <v>560</v>
      </c>
      <c r="AH2214">
        <v>1</v>
      </c>
      <c r="AI2214">
        <v>18731</v>
      </c>
      <c r="AJ2214" t="s">
        <v>561</v>
      </c>
      <c r="AK2214" t="s">
        <v>573</v>
      </c>
      <c r="AL2214" t="s">
        <v>1028</v>
      </c>
      <c r="AM2214">
        <v>2021</v>
      </c>
      <c r="AN2214">
        <v>2019</v>
      </c>
      <c r="AO2214">
        <f>IF(AND(emissions[[#This Row],[Market-based]]=0,emissions[[#This Row],[Impact Type]]="CO2E"),emissions[[#This Row],[kgCO2e]],0)/1000</f>
        <v>0</v>
      </c>
      <c r="AP2214">
        <f>IF(AND(emissions[[#This Row],[Market-based]]=1,OR(emissions[[#This Row],[Impact Type]]="CO2E",emissions[[#This Row],[Impact Type]]="CO2E MKT")),emissions[[#This Row],[kgCO2e]],0)/1000</f>
        <v>0</v>
      </c>
      <c r="AQ2214" t="str">
        <f>_xlfn.TEXTAFTER(emissions[[#This Row],[Reporting Unit]]," &gt; ",LEN(emissions[[#This Row],[Reporting Unit]])-LEN(SUBSTITUTE(emissions[[#This Row],[Reporting Unit]],"&gt;","")))</f>
        <v>Vantage_Guatemala City</v>
      </c>
      <c r="AR2214" t="str">
        <f>_xlfn.XLOOKUP(emissions[[#This Row],[Reporting unit name]],hierarchy!$A:$A,hierarchy!$C:$C)</f>
        <v>Unspecified Facility Type</v>
      </c>
    </row>
    <row r="2215" spans="1:44" hidden="1" x14ac:dyDescent="0.25">
      <c r="A2215">
        <v>4951</v>
      </c>
      <c r="B2215" t="s">
        <v>229</v>
      </c>
      <c r="C2215" t="s">
        <v>525</v>
      </c>
      <c r="D2215" t="s">
        <v>599</v>
      </c>
      <c r="E2215" s="3">
        <v>44197</v>
      </c>
      <c r="F2215" s="3">
        <v>44561</v>
      </c>
      <c r="G2215" t="s">
        <v>108</v>
      </c>
      <c r="H2215" s="3">
        <v>44197</v>
      </c>
      <c r="I2215" s="3">
        <v>44561</v>
      </c>
      <c r="J2215" t="s">
        <v>108</v>
      </c>
      <c r="K2215">
        <v>18731</v>
      </c>
      <c r="L2215" t="s">
        <v>109</v>
      </c>
      <c r="M2215" t="s">
        <v>110</v>
      </c>
      <c r="O2215" t="s">
        <v>600</v>
      </c>
      <c r="P2215" t="s">
        <v>1026</v>
      </c>
      <c r="Q2215">
        <v>2021</v>
      </c>
      <c r="R2215" t="s">
        <v>575</v>
      </c>
      <c r="S2215" t="s">
        <v>576</v>
      </c>
      <c r="T2215" t="s">
        <v>577</v>
      </c>
      <c r="U2215" t="b">
        <v>0</v>
      </c>
      <c r="V2215" t="s">
        <v>1029</v>
      </c>
      <c r="W2215" t="s">
        <v>571</v>
      </c>
      <c r="X2215" t="s">
        <v>572</v>
      </c>
      <c r="Y2215" t="s">
        <v>472</v>
      </c>
      <c r="Z2215" t="s">
        <v>491</v>
      </c>
      <c r="AA2215" t="s">
        <v>1021</v>
      </c>
      <c r="AC2215">
        <v>0</v>
      </c>
      <c r="AD2215" t="s">
        <v>558</v>
      </c>
      <c r="AE2215">
        <v>11.90369705</v>
      </c>
      <c r="AF2215">
        <v>6.3550800000000001E-4</v>
      </c>
      <c r="AG2215" t="s">
        <v>560</v>
      </c>
      <c r="AH2215">
        <v>1</v>
      </c>
      <c r="AI2215">
        <v>18731</v>
      </c>
      <c r="AJ2215" t="s">
        <v>561</v>
      </c>
      <c r="AK2215" t="s">
        <v>573</v>
      </c>
      <c r="AL2215" t="s">
        <v>1030</v>
      </c>
      <c r="AM2215">
        <v>2021</v>
      </c>
      <c r="AN2215">
        <v>2019</v>
      </c>
      <c r="AO2215">
        <f>IF(AND(emissions[[#This Row],[Market-based]]=0,emissions[[#This Row],[Impact Type]]="CO2E"),emissions[[#This Row],[kgCO2e]],0)/1000</f>
        <v>0</v>
      </c>
      <c r="AP2215">
        <f>IF(AND(emissions[[#This Row],[Market-based]]=1,OR(emissions[[#This Row],[Impact Type]]="CO2E",emissions[[#This Row],[Impact Type]]="CO2E MKT")),emissions[[#This Row],[kgCO2e]],0)/1000</f>
        <v>0</v>
      </c>
      <c r="AQ2215" t="str">
        <f>_xlfn.TEXTAFTER(emissions[[#This Row],[Reporting Unit]]," &gt; ",LEN(emissions[[#This Row],[Reporting Unit]])-LEN(SUBSTITUTE(emissions[[#This Row],[Reporting Unit]],"&gt;","")))</f>
        <v>Vantage_Guatemala City</v>
      </c>
      <c r="AR2215" t="str">
        <f>_xlfn.XLOOKUP(emissions[[#This Row],[Reporting unit name]],hierarchy!$A:$A,hierarchy!$C:$C)</f>
        <v>Unspecified Facility Type</v>
      </c>
    </row>
    <row r="2216" spans="1:44" hidden="1" x14ac:dyDescent="0.25">
      <c r="A2216">
        <v>4951</v>
      </c>
      <c r="B2216" t="s">
        <v>229</v>
      </c>
      <c r="C2216" t="s">
        <v>525</v>
      </c>
      <c r="D2216" t="s">
        <v>599</v>
      </c>
      <c r="E2216" s="3">
        <v>44197</v>
      </c>
      <c r="F2216" s="3">
        <v>44561</v>
      </c>
      <c r="G2216" t="s">
        <v>108</v>
      </c>
      <c r="H2216" s="3">
        <v>44197</v>
      </c>
      <c r="I2216" s="3">
        <v>44561</v>
      </c>
      <c r="J2216" t="s">
        <v>108</v>
      </c>
      <c r="K2216">
        <v>18731</v>
      </c>
      <c r="L2216" t="s">
        <v>109</v>
      </c>
      <c r="M2216" t="s">
        <v>110</v>
      </c>
      <c r="O2216" t="s">
        <v>600</v>
      </c>
      <c r="P2216" t="s">
        <v>1026</v>
      </c>
      <c r="Q2216">
        <v>2021</v>
      </c>
      <c r="R2216" t="s">
        <v>575</v>
      </c>
      <c r="S2216" t="s">
        <v>576</v>
      </c>
      <c r="T2216" t="s">
        <v>577</v>
      </c>
      <c r="U2216" t="b">
        <v>0</v>
      </c>
      <c r="V2216" t="s">
        <v>1029</v>
      </c>
      <c r="W2216" t="s">
        <v>571</v>
      </c>
      <c r="X2216" t="s">
        <v>572</v>
      </c>
      <c r="Y2216" t="s">
        <v>472</v>
      </c>
      <c r="Z2216" t="s">
        <v>491</v>
      </c>
      <c r="AA2216" t="s">
        <v>1021</v>
      </c>
      <c r="AC2216">
        <v>0</v>
      </c>
      <c r="AD2216" t="s">
        <v>564</v>
      </c>
      <c r="AE2216">
        <v>1596.2857750000001</v>
      </c>
      <c r="AF2216">
        <v>8.5221598999999995E-2</v>
      </c>
      <c r="AG2216" t="s">
        <v>560</v>
      </c>
      <c r="AH2216">
        <v>1</v>
      </c>
      <c r="AI2216">
        <v>18731</v>
      </c>
      <c r="AJ2216" t="s">
        <v>561</v>
      </c>
      <c r="AK2216" t="s">
        <v>573</v>
      </c>
      <c r="AL2216" t="s">
        <v>1030</v>
      </c>
      <c r="AM2216">
        <v>2021</v>
      </c>
      <c r="AN2216">
        <v>2019</v>
      </c>
      <c r="AO2216">
        <f>IF(AND(emissions[[#This Row],[Market-based]]=0,emissions[[#This Row],[Impact Type]]="CO2E"),emissions[[#This Row],[kgCO2e]],0)/1000</f>
        <v>0</v>
      </c>
      <c r="AP2216">
        <f>IF(AND(emissions[[#This Row],[Market-based]]=1,OR(emissions[[#This Row],[Impact Type]]="CO2E",emissions[[#This Row],[Impact Type]]="CO2E MKT")),emissions[[#This Row],[kgCO2e]],0)/1000</f>
        <v>0</v>
      </c>
      <c r="AQ2216" t="str">
        <f>_xlfn.TEXTAFTER(emissions[[#This Row],[Reporting Unit]]," &gt; ",LEN(emissions[[#This Row],[Reporting Unit]])-LEN(SUBSTITUTE(emissions[[#This Row],[Reporting Unit]],"&gt;","")))</f>
        <v>Vantage_Guatemala City</v>
      </c>
      <c r="AR2216" t="str">
        <f>_xlfn.XLOOKUP(emissions[[#This Row],[Reporting unit name]],hierarchy!$A:$A,hierarchy!$C:$C)</f>
        <v>Unspecified Facility Type</v>
      </c>
    </row>
    <row r="2217" spans="1:44" hidden="1" x14ac:dyDescent="0.25">
      <c r="A2217">
        <v>4951</v>
      </c>
      <c r="B2217" t="s">
        <v>229</v>
      </c>
      <c r="C2217" t="s">
        <v>525</v>
      </c>
      <c r="D2217" t="s">
        <v>599</v>
      </c>
      <c r="E2217" s="3">
        <v>44197</v>
      </c>
      <c r="F2217" s="3">
        <v>44561</v>
      </c>
      <c r="G2217" t="s">
        <v>108</v>
      </c>
      <c r="H2217" s="3">
        <v>44197</v>
      </c>
      <c r="I2217" s="3">
        <v>44561</v>
      </c>
      <c r="J2217" t="s">
        <v>108</v>
      </c>
      <c r="K2217">
        <v>18731</v>
      </c>
      <c r="L2217" t="s">
        <v>109</v>
      </c>
      <c r="M2217" t="s">
        <v>110</v>
      </c>
      <c r="O2217" t="s">
        <v>600</v>
      </c>
      <c r="P2217" t="s">
        <v>1026</v>
      </c>
      <c r="Q2217">
        <v>2021</v>
      </c>
      <c r="R2217" t="s">
        <v>575</v>
      </c>
      <c r="S2217" t="s">
        <v>576</v>
      </c>
      <c r="T2217" t="s">
        <v>577</v>
      </c>
      <c r="U2217" t="b">
        <v>0</v>
      </c>
      <c r="V2217" t="s">
        <v>1029</v>
      </c>
      <c r="W2217" t="s">
        <v>571</v>
      </c>
      <c r="X2217" t="s">
        <v>572</v>
      </c>
      <c r="Y2217" t="s">
        <v>472</v>
      </c>
      <c r="Z2217" t="s">
        <v>491</v>
      </c>
      <c r="AA2217" t="s">
        <v>1021</v>
      </c>
      <c r="AC2217">
        <v>0</v>
      </c>
      <c r="AD2217" t="s">
        <v>565</v>
      </c>
      <c r="AE2217">
        <v>1632.790446</v>
      </c>
      <c r="AF2217">
        <v>8.7170490000000003E-2</v>
      </c>
      <c r="AG2217" t="s">
        <v>560</v>
      </c>
      <c r="AH2217">
        <v>1</v>
      </c>
      <c r="AI2217">
        <v>18731</v>
      </c>
      <c r="AJ2217" t="s">
        <v>561</v>
      </c>
      <c r="AK2217" t="s">
        <v>573</v>
      </c>
      <c r="AL2217" t="s">
        <v>1030</v>
      </c>
      <c r="AM2217">
        <v>2021</v>
      </c>
      <c r="AN2217">
        <v>2019</v>
      </c>
      <c r="AO2217">
        <f>IF(AND(emissions[[#This Row],[Market-based]]=0,emissions[[#This Row],[Impact Type]]="CO2E"),emissions[[#This Row],[kgCO2e]],0)/1000</f>
        <v>1.632790446</v>
      </c>
      <c r="AP2217">
        <f>IF(AND(emissions[[#This Row],[Market-based]]=1,OR(emissions[[#This Row],[Impact Type]]="CO2E",emissions[[#This Row],[Impact Type]]="CO2E MKT")),emissions[[#This Row],[kgCO2e]],0)/1000</f>
        <v>0</v>
      </c>
      <c r="AQ2217" t="str">
        <f>_xlfn.TEXTAFTER(emissions[[#This Row],[Reporting Unit]]," &gt; ",LEN(emissions[[#This Row],[Reporting Unit]])-LEN(SUBSTITUTE(emissions[[#This Row],[Reporting Unit]],"&gt;","")))</f>
        <v>Vantage_Guatemala City</v>
      </c>
      <c r="AR2217" t="str">
        <f>_xlfn.XLOOKUP(emissions[[#This Row],[Reporting unit name]],hierarchy!$A:$A,hierarchy!$C:$C)</f>
        <v>Unspecified Facility Type</v>
      </c>
    </row>
    <row r="2218" spans="1:44" hidden="1" x14ac:dyDescent="0.25">
      <c r="A2218">
        <v>4951</v>
      </c>
      <c r="B2218" t="s">
        <v>229</v>
      </c>
      <c r="C2218" t="s">
        <v>525</v>
      </c>
      <c r="D2218" t="s">
        <v>599</v>
      </c>
      <c r="E2218" s="3">
        <v>44197</v>
      </c>
      <c r="F2218" s="3">
        <v>44561</v>
      </c>
      <c r="G2218" t="s">
        <v>108</v>
      </c>
      <c r="H2218" s="3">
        <v>44197</v>
      </c>
      <c r="I2218" s="3">
        <v>44561</v>
      </c>
      <c r="J2218" t="s">
        <v>108</v>
      </c>
      <c r="K2218">
        <v>18731</v>
      </c>
      <c r="L2218" t="s">
        <v>109</v>
      </c>
      <c r="M2218" t="s">
        <v>110</v>
      </c>
      <c r="O2218" t="s">
        <v>600</v>
      </c>
      <c r="P2218" t="s">
        <v>1026</v>
      </c>
      <c r="Q2218">
        <v>2021</v>
      </c>
      <c r="R2218" t="s">
        <v>575</v>
      </c>
      <c r="S2218" t="s">
        <v>576</v>
      </c>
      <c r="T2218" t="s">
        <v>577</v>
      </c>
      <c r="U2218" t="b">
        <v>0</v>
      </c>
      <c r="V2218" t="s">
        <v>1029</v>
      </c>
      <c r="W2218" t="s">
        <v>571</v>
      </c>
      <c r="X2218" t="s">
        <v>572</v>
      </c>
      <c r="Y2218" t="s">
        <v>472</v>
      </c>
      <c r="Z2218" t="s">
        <v>491</v>
      </c>
      <c r="AA2218" t="s">
        <v>1021</v>
      </c>
      <c r="AC2218">
        <v>0</v>
      </c>
      <c r="AD2218" t="s">
        <v>566</v>
      </c>
      <c r="AE2218">
        <v>24.60097391</v>
      </c>
      <c r="AF2218">
        <v>1.313383E-3</v>
      </c>
      <c r="AG2218" t="s">
        <v>560</v>
      </c>
      <c r="AH2218">
        <v>1</v>
      </c>
      <c r="AI2218">
        <v>18731</v>
      </c>
      <c r="AJ2218" t="s">
        <v>561</v>
      </c>
      <c r="AK2218" t="s">
        <v>573</v>
      </c>
      <c r="AL2218" t="s">
        <v>1030</v>
      </c>
      <c r="AM2218">
        <v>2021</v>
      </c>
      <c r="AN2218">
        <v>2019</v>
      </c>
      <c r="AO2218">
        <f>IF(AND(emissions[[#This Row],[Market-based]]=0,emissions[[#This Row],[Impact Type]]="CO2E"),emissions[[#This Row],[kgCO2e]],0)/1000</f>
        <v>0</v>
      </c>
      <c r="AP2218">
        <f>IF(AND(emissions[[#This Row],[Market-based]]=1,OR(emissions[[#This Row],[Impact Type]]="CO2E",emissions[[#This Row],[Impact Type]]="CO2E MKT")),emissions[[#This Row],[kgCO2e]],0)/1000</f>
        <v>0</v>
      </c>
      <c r="AQ2218" t="str">
        <f>_xlfn.TEXTAFTER(emissions[[#This Row],[Reporting Unit]]," &gt; ",LEN(emissions[[#This Row],[Reporting Unit]])-LEN(SUBSTITUTE(emissions[[#This Row],[Reporting Unit]],"&gt;","")))</f>
        <v>Vantage_Guatemala City</v>
      </c>
      <c r="AR2218" t="str">
        <f>_xlfn.XLOOKUP(emissions[[#This Row],[Reporting unit name]],hierarchy!$A:$A,hierarchy!$C:$C)</f>
        <v>Unspecified Facility Type</v>
      </c>
    </row>
    <row r="2219" spans="1:44" hidden="1" x14ac:dyDescent="0.25">
      <c r="A2219">
        <v>4951</v>
      </c>
      <c r="B2219" t="s">
        <v>229</v>
      </c>
      <c r="C2219" t="s">
        <v>525</v>
      </c>
      <c r="D2219" t="s">
        <v>599</v>
      </c>
      <c r="E2219" s="3">
        <v>44197</v>
      </c>
      <c r="F2219" s="3">
        <v>44561</v>
      </c>
      <c r="G2219" t="s">
        <v>108</v>
      </c>
      <c r="H2219" s="3">
        <v>44197</v>
      </c>
      <c r="I2219" s="3">
        <v>44561</v>
      </c>
      <c r="J2219" t="s">
        <v>108</v>
      </c>
      <c r="K2219">
        <v>18731</v>
      </c>
      <c r="L2219" t="s">
        <v>109</v>
      </c>
      <c r="M2219" t="s">
        <v>110</v>
      </c>
      <c r="O2219" t="s">
        <v>600</v>
      </c>
      <c r="P2219" t="s">
        <v>1026</v>
      </c>
      <c r="Q2219">
        <v>2021</v>
      </c>
      <c r="R2219" t="s">
        <v>575</v>
      </c>
      <c r="S2219" t="s">
        <v>576</v>
      </c>
      <c r="T2219" t="s">
        <v>577</v>
      </c>
      <c r="U2219" t="b">
        <v>0</v>
      </c>
      <c r="V2219" t="s">
        <v>1029</v>
      </c>
      <c r="W2219" t="s">
        <v>571</v>
      </c>
      <c r="X2219" t="s">
        <v>572</v>
      </c>
      <c r="Y2219" t="s">
        <v>472</v>
      </c>
      <c r="Z2219" t="s">
        <v>491</v>
      </c>
      <c r="AA2219" t="s">
        <v>1021</v>
      </c>
      <c r="AC2219">
        <v>1</v>
      </c>
      <c r="AD2219" t="s">
        <v>558</v>
      </c>
      <c r="AE2219">
        <v>11.90369705</v>
      </c>
      <c r="AF2219">
        <v>6.3550800000000001E-4</v>
      </c>
      <c r="AG2219" t="s">
        <v>560</v>
      </c>
      <c r="AH2219">
        <v>1</v>
      </c>
      <c r="AI2219">
        <v>18731</v>
      </c>
      <c r="AJ2219" t="s">
        <v>561</v>
      </c>
      <c r="AK2219" t="s">
        <v>573</v>
      </c>
      <c r="AL2219" t="s">
        <v>1030</v>
      </c>
      <c r="AM2219">
        <v>2021</v>
      </c>
      <c r="AN2219">
        <v>2019</v>
      </c>
      <c r="AO2219">
        <f>IF(AND(emissions[[#This Row],[Market-based]]=0,emissions[[#This Row],[Impact Type]]="CO2E"),emissions[[#This Row],[kgCO2e]],0)/1000</f>
        <v>0</v>
      </c>
      <c r="AP2219">
        <f>IF(AND(emissions[[#This Row],[Market-based]]=1,OR(emissions[[#This Row],[Impact Type]]="CO2E",emissions[[#This Row],[Impact Type]]="CO2E MKT")),emissions[[#This Row],[kgCO2e]],0)/1000</f>
        <v>0</v>
      </c>
      <c r="AQ2219" t="str">
        <f>_xlfn.TEXTAFTER(emissions[[#This Row],[Reporting Unit]]," &gt; ",LEN(emissions[[#This Row],[Reporting Unit]])-LEN(SUBSTITUTE(emissions[[#This Row],[Reporting Unit]],"&gt;","")))</f>
        <v>Vantage_Guatemala City</v>
      </c>
      <c r="AR2219" t="str">
        <f>_xlfn.XLOOKUP(emissions[[#This Row],[Reporting unit name]],hierarchy!$A:$A,hierarchy!$C:$C)</f>
        <v>Unspecified Facility Type</v>
      </c>
    </row>
    <row r="2220" spans="1:44" hidden="1" x14ac:dyDescent="0.25">
      <c r="A2220">
        <v>4951</v>
      </c>
      <c r="B2220" t="s">
        <v>229</v>
      </c>
      <c r="C2220" t="s">
        <v>525</v>
      </c>
      <c r="D2220" t="s">
        <v>599</v>
      </c>
      <c r="E2220" s="3">
        <v>44197</v>
      </c>
      <c r="F2220" s="3">
        <v>44561</v>
      </c>
      <c r="G2220" t="s">
        <v>108</v>
      </c>
      <c r="H2220" s="3">
        <v>44197</v>
      </c>
      <c r="I2220" s="3">
        <v>44561</v>
      </c>
      <c r="J2220" t="s">
        <v>108</v>
      </c>
      <c r="K2220">
        <v>18731</v>
      </c>
      <c r="L2220" t="s">
        <v>109</v>
      </c>
      <c r="M2220" t="s">
        <v>110</v>
      </c>
      <c r="O2220" t="s">
        <v>600</v>
      </c>
      <c r="P2220" t="s">
        <v>1026</v>
      </c>
      <c r="Q2220">
        <v>2021</v>
      </c>
      <c r="R2220" t="s">
        <v>575</v>
      </c>
      <c r="S2220" t="s">
        <v>576</v>
      </c>
      <c r="T2220" t="s">
        <v>577</v>
      </c>
      <c r="U2220" t="b">
        <v>0</v>
      </c>
      <c r="V2220" t="s">
        <v>1029</v>
      </c>
      <c r="W2220" t="s">
        <v>571</v>
      </c>
      <c r="X2220" t="s">
        <v>572</v>
      </c>
      <c r="Y2220" t="s">
        <v>472</v>
      </c>
      <c r="Z2220" t="s">
        <v>491</v>
      </c>
      <c r="AA2220" t="s">
        <v>1021</v>
      </c>
      <c r="AC2220">
        <v>1</v>
      </c>
      <c r="AD2220" t="s">
        <v>564</v>
      </c>
      <c r="AE2220">
        <v>1596.2857750000001</v>
      </c>
      <c r="AF2220">
        <v>8.5221598999999995E-2</v>
      </c>
      <c r="AG2220" t="s">
        <v>560</v>
      </c>
      <c r="AH2220">
        <v>1</v>
      </c>
      <c r="AI2220">
        <v>18731</v>
      </c>
      <c r="AJ2220" t="s">
        <v>561</v>
      </c>
      <c r="AK2220" t="s">
        <v>573</v>
      </c>
      <c r="AL2220" t="s">
        <v>1030</v>
      </c>
      <c r="AM2220">
        <v>2021</v>
      </c>
      <c r="AN2220">
        <v>2019</v>
      </c>
      <c r="AO2220">
        <f>IF(AND(emissions[[#This Row],[Market-based]]=0,emissions[[#This Row],[Impact Type]]="CO2E"),emissions[[#This Row],[kgCO2e]],0)/1000</f>
        <v>0</v>
      </c>
      <c r="AP2220">
        <f>IF(AND(emissions[[#This Row],[Market-based]]=1,OR(emissions[[#This Row],[Impact Type]]="CO2E",emissions[[#This Row],[Impact Type]]="CO2E MKT")),emissions[[#This Row],[kgCO2e]],0)/1000</f>
        <v>0</v>
      </c>
      <c r="AQ2220" t="str">
        <f>_xlfn.TEXTAFTER(emissions[[#This Row],[Reporting Unit]]," &gt; ",LEN(emissions[[#This Row],[Reporting Unit]])-LEN(SUBSTITUTE(emissions[[#This Row],[Reporting Unit]],"&gt;","")))</f>
        <v>Vantage_Guatemala City</v>
      </c>
      <c r="AR2220" t="str">
        <f>_xlfn.XLOOKUP(emissions[[#This Row],[Reporting unit name]],hierarchy!$A:$A,hierarchy!$C:$C)</f>
        <v>Unspecified Facility Type</v>
      </c>
    </row>
    <row r="2221" spans="1:44" hidden="1" x14ac:dyDescent="0.25">
      <c r="A2221">
        <v>4951</v>
      </c>
      <c r="B2221" t="s">
        <v>229</v>
      </c>
      <c r="C2221" t="s">
        <v>525</v>
      </c>
      <c r="D2221" t="s">
        <v>599</v>
      </c>
      <c r="E2221" s="3">
        <v>44197</v>
      </c>
      <c r="F2221" s="3">
        <v>44561</v>
      </c>
      <c r="G2221" t="s">
        <v>108</v>
      </c>
      <c r="H2221" s="3">
        <v>44197</v>
      </c>
      <c r="I2221" s="3">
        <v>44561</v>
      </c>
      <c r="J2221" t="s">
        <v>108</v>
      </c>
      <c r="K2221">
        <v>18731</v>
      </c>
      <c r="L2221" t="s">
        <v>109</v>
      </c>
      <c r="M2221" t="s">
        <v>110</v>
      </c>
      <c r="O2221" t="s">
        <v>600</v>
      </c>
      <c r="P2221" t="s">
        <v>1026</v>
      </c>
      <c r="Q2221">
        <v>2021</v>
      </c>
      <c r="R2221" t="s">
        <v>575</v>
      </c>
      <c r="S2221" t="s">
        <v>576</v>
      </c>
      <c r="T2221" t="s">
        <v>577</v>
      </c>
      <c r="U2221" t="b">
        <v>0</v>
      </c>
      <c r="V2221" t="s">
        <v>1029</v>
      </c>
      <c r="W2221" t="s">
        <v>571</v>
      </c>
      <c r="X2221" t="s">
        <v>572</v>
      </c>
      <c r="Y2221" t="s">
        <v>472</v>
      </c>
      <c r="Z2221" t="s">
        <v>491</v>
      </c>
      <c r="AA2221" t="s">
        <v>1021</v>
      </c>
      <c r="AC2221">
        <v>1</v>
      </c>
      <c r="AD2221" t="s">
        <v>565</v>
      </c>
      <c r="AE2221">
        <v>1632.790446</v>
      </c>
      <c r="AF2221">
        <v>8.7170490000000003E-2</v>
      </c>
      <c r="AG2221" t="s">
        <v>560</v>
      </c>
      <c r="AH2221">
        <v>1</v>
      </c>
      <c r="AI2221">
        <v>18731</v>
      </c>
      <c r="AJ2221" t="s">
        <v>561</v>
      </c>
      <c r="AK2221" t="s">
        <v>573</v>
      </c>
      <c r="AL2221" t="s">
        <v>1030</v>
      </c>
      <c r="AM2221">
        <v>2021</v>
      </c>
      <c r="AN2221">
        <v>2019</v>
      </c>
      <c r="AO2221">
        <f>IF(AND(emissions[[#This Row],[Market-based]]=0,emissions[[#This Row],[Impact Type]]="CO2E"),emissions[[#This Row],[kgCO2e]],0)/1000</f>
        <v>0</v>
      </c>
      <c r="AP2221">
        <f>IF(AND(emissions[[#This Row],[Market-based]]=1,OR(emissions[[#This Row],[Impact Type]]="CO2E",emissions[[#This Row],[Impact Type]]="CO2E MKT")),emissions[[#This Row],[kgCO2e]],0)/1000</f>
        <v>1.632790446</v>
      </c>
      <c r="AQ2221" t="str">
        <f>_xlfn.TEXTAFTER(emissions[[#This Row],[Reporting Unit]]," &gt; ",LEN(emissions[[#This Row],[Reporting Unit]])-LEN(SUBSTITUTE(emissions[[#This Row],[Reporting Unit]],"&gt;","")))</f>
        <v>Vantage_Guatemala City</v>
      </c>
      <c r="AR2221" t="str">
        <f>_xlfn.XLOOKUP(emissions[[#This Row],[Reporting unit name]],hierarchy!$A:$A,hierarchy!$C:$C)</f>
        <v>Unspecified Facility Type</v>
      </c>
    </row>
    <row r="2222" spans="1:44" hidden="1" x14ac:dyDescent="0.25">
      <c r="A2222">
        <v>4951</v>
      </c>
      <c r="B2222" t="s">
        <v>229</v>
      </c>
      <c r="C2222" t="s">
        <v>525</v>
      </c>
      <c r="D2222" t="s">
        <v>599</v>
      </c>
      <c r="E2222" s="3">
        <v>44197</v>
      </c>
      <c r="F2222" s="3">
        <v>44561</v>
      </c>
      <c r="G2222" t="s">
        <v>108</v>
      </c>
      <c r="H2222" s="3">
        <v>44197</v>
      </c>
      <c r="I2222" s="3">
        <v>44561</v>
      </c>
      <c r="J2222" t="s">
        <v>108</v>
      </c>
      <c r="K2222">
        <v>18731</v>
      </c>
      <c r="L2222" t="s">
        <v>109</v>
      </c>
      <c r="M2222" t="s">
        <v>110</v>
      </c>
      <c r="O2222" t="s">
        <v>600</v>
      </c>
      <c r="P2222" t="s">
        <v>1026</v>
      </c>
      <c r="Q2222">
        <v>2021</v>
      </c>
      <c r="R2222" t="s">
        <v>575</v>
      </c>
      <c r="S2222" t="s">
        <v>576</v>
      </c>
      <c r="T2222" t="s">
        <v>577</v>
      </c>
      <c r="U2222" t="b">
        <v>0</v>
      </c>
      <c r="V2222" t="s">
        <v>1029</v>
      </c>
      <c r="W2222" t="s">
        <v>571</v>
      </c>
      <c r="X2222" t="s">
        <v>572</v>
      </c>
      <c r="Y2222" t="s">
        <v>472</v>
      </c>
      <c r="Z2222" t="s">
        <v>491</v>
      </c>
      <c r="AA2222" t="s">
        <v>1021</v>
      </c>
      <c r="AC2222">
        <v>1</v>
      </c>
      <c r="AD2222" t="s">
        <v>566</v>
      </c>
      <c r="AE2222">
        <v>24.60097391</v>
      </c>
      <c r="AF2222">
        <v>1.313383E-3</v>
      </c>
      <c r="AG2222" t="s">
        <v>560</v>
      </c>
      <c r="AH2222">
        <v>1</v>
      </c>
      <c r="AI2222">
        <v>18731</v>
      </c>
      <c r="AJ2222" t="s">
        <v>561</v>
      </c>
      <c r="AK2222" t="s">
        <v>573</v>
      </c>
      <c r="AL2222" t="s">
        <v>1030</v>
      </c>
      <c r="AM2222">
        <v>2021</v>
      </c>
      <c r="AN2222">
        <v>2019</v>
      </c>
      <c r="AO2222">
        <f>IF(AND(emissions[[#This Row],[Market-based]]=0,emissions[[#This Row],[Impact Type]]="CO2E"),emissions[[#This Row],[kgCO2e]],0)/1000</f>
        <v>0</v>
      </c>
      <c r="AP2222">
        <f>IF(AND(emissions[[#This Row],[Market-based]]=1,OR(emissions[[#This Row],[Impact Type]]="CO2E",emissions[[#This Row],[Impact Type]]="CO2E MKT")),emissions[[#This Row],[kgCO2e]],0)/1000</f>
        <v>0</v>
      </c>
      <c r="AQ2222" t="str">
        <f>_xlfn.TEXTAFTER(emissions[[#This Row],[Reporting Unit]]," &gt; ",LEN(emissions[[#This Row],[Reporting Unit]])-LEN(SUBSTITUTE(emissions[[#This Row],[Reporting Unit]],"&gt;","")))</f>
        <v>Vantage_Guatemala City</v>
      </c>
      <c r="AR2222" t="str">
        <f>_xlfn.XLOOKUP(emissions[[#This Row],[Reporting unit name]],hierarchy!$A:$A,hierarchy!$C:$C)</f>
        <v>Unspecified Facility Type</v>
      </c>
    </row>
    <row r="2223" spans="1:44" hidden="1" x14ac:dyDescent="0.25">
      <c r="A2223">
        <v>4951</v>
      </c>
      <c r="B2223" t="s">
        <v>229</v>
      </c>
      <c r="C2223" t="s">
        <v>525</v>
      </c>
      <c r="D2223" t="s">
        <v>599</v>
      </c>
      <c r="E2223" s="3">
        <v>44197</v>
      </c>
      <c r="F2223" s="3">
        <v>44561</v>
      </c>
      <c r="G2223" t="s">
        <v>108</v>
      </c>
      <c r="H2223" s="3">
        <v>44197</v>
      </c>
      <c r="I2223" s="3">
        <v>44561</v>
      </c>
      <c r="J2223" t="s">
        <v>108</v>
      </c>
      <c r="K2223">
        <v>18731</v>
      </c>
      <c r="L2223" t="s">
        <v>109</v>
      </c>
      <c r="M2223" t="s">
        <v>110</v>
      </c>
      <c r="O2223" t="s">
        <v>600</v>
      </c>
      <c r="P2223" t="s">
        <v>1026</v>
      </c>
      <c r="Q2223">
        <v>2021</v>
      </c>
      <c r="R2223" t="s">
        <v>579</v>
      </c>
      <c r="S2223" t="s">
        <v>580</v>
      </c>
      <c r="T2223" t="s">
        <v>581</v>
      </c>
      <c r="U2223" t="b">
        <v>0</v>
      </c>
      <c r="V2223" t="s">
        <v>1024</v>
      </c>
      <c r="W2223" t="s">
        <v>571</v>
      </c>
      <c r="X2223" t="s">
        <v>572</v>
      </c>
      <c r="Y2223" t="s">
        <v>472</v>
      </c>
      <c r="Z2223" t="s">
        <v>491</v>
      </c>
      <c r="AA2223" t="s">
        <v>1021</v>
      </c>
      <c r="AC2223">
        <v>0</v>
      </c>
      <c r="AD2223" t="s">
        <v>565</v>
      </c>
      <c r="AE2223">
        <v>844.7681</v>
      </c>
      <c r="AF2223" t="s">
        <v>559</v>
      </c>
      <c r="AG2223" t="s">
        <v>560</v>
      </c>
      <c r="AH2223">
        <v>1</v>
      </c>
      <c r="AI2223">
        <v>18731</v>
      </c>
      <c r="AJ2223" t="s">
        <v>561</v>
      </c>
      <c r="AK2223" t="s">
        <v>562</v>
      </c>
      <c r="AL2223" t="s">
        <v>601</v>
      </c>
      <c r="AM2223">
        <v>2021</v>
      </c>
      <c r="AN2223">
        <v>2019</v>
      </c>
      <c r="AO2223">
        <f>IF(AND(emissions[[#This Row],[Market-based]]=0,emissions[[#This Row],[Impact Type]]="CO2E"),emissions[[#This Row],[kgCO2e]],0)/1000</f>
        <v>0.84476810000000002</v>
      </c>
      <c r="AP2223">
        <f>IF(AND(emissions[[#This Row],[Market-based]]=1,OR(emissions[[#This Row],[Impact Type]]="CO2E",emissions[[#This Row],[Impact Type]]="CO2E MKT")),emissions[[#This Row],[kgCO2e]],0)/1000</f>
        <v>0</v>
      </c>
      <c r="AQ2223" t="str">
        <f>_xlfn.TEXTAFTER(emissions[[#This Row],[Reporting Unit]]," &gt; ",LEN(emissions[[#This Row],[Reporting Unit]])-LEN(SUBSTITUTE(emissions[[#This Row],[Reporting Unit]],"&gt;","")))</f>
        <v>Vantage_Guatemala City</v>
      </c>
      <c r="AR2223" t="str">
        <f>_xlfn.XLOOKUP(emissions[[#This Row],[Reporting unit name]],hierarchy!$A:$A,hierarchy!$C:$C)</f>
        <v>Unspecified Facility Type</v>
      </c>
    </row>
    <row r="2224" spans="1:44" hidden="1" x14ac:dyDescent="0.25">
      <c r="A2224">
        <v>4951</v>
      </c>
      <c r="B2224" t="s">
        <v>229</v>
      </c>
      <c r="C2224" t="s">
        <v>525</v>
      </c>
      <c r="D2224" t="s">
        <v>599</v>
      </c>
      <c r="E2224" s="3">
        <v>44197</v>
      </c>
      <c r="F2224" s="3">
        <v>44561</v>
      </c>
      <c r="G2224" t="s">
        <v>108</v>
      </c>
      <c r="H2224" s="3">
        <v>44197</v>
      </c>
      <c r="I2224" s="3">
        <v>44561</v>
      </c>
      <c r="J2224" t="s">
        <v>108</v>
      </c>
      <c r="K2224">
        <v>18731</v>
      </c>
      <c r="L2224" t="s">
        <v>109</v>
      </c>
      <c r="M2224" t="s">
        <v>110</v>
      </c>
      <c r="O2224" t="s">
        <v>600</v>
      </c>
      <c r="P2224" t="s">
        <v>1026</v>
      </c>
      <c r="Q2224">
        <v>2021</v>
      </c>
      <c r="R2224" t="s">
        <v>579</v>
      </c>
      <c r="S2224" t="s">
        <v>580</v>
      </c>
      <c r="T2224" t="s">
        <v>581</v>
      </c>
      <c r="U2224" t="b">
        <v>0</v>
      </c>
      <c r="V2224" t="s">
        <v>1024</v>
      </c>
      <c r="W2224" t="s">
        <v>571</v>
      </c>
      <c r="X2224" t="s">
        <v>572</v>
      </c>
      <c r="Y2224" t="s">
        <v>472</v>
      </c>
      <c r="Z2224" t="s">
        <v>491</v>
      </c>
      <c r="AA2224" t="s">
        <v>1021</v>
      </c>
      <c r="AC2224">
        <v>1</v>
      </c>
      <c r="AD2224" t="s">
        <v>565</v>
      </c>
      <c r="AE2224">
        <v>844.7681</v>
      </c>
      <c r="AF2224" t="s">
        <v>559</v>
      </c>
      <c r="AG2224" t="s">
        <v>560</v>
      </c>
      <c r="AH2224">
        <v>1</v>
      </c>
      <c r="AI2224">
        <v>18731</v>
      </c>
      <c r="AJ2224" t="s">
        <v>561</v>
      </c>
      <c r="AK2224" t="s">
        <v>562</v>
      </c>
      <c r="AL2224" t="s">
        <v>601</v>
      </c>
      <c r="AM2224">
        <v>2021</v>
      </c>
      <c r="AN2224">
        <v>2019</v>
      </c>
      <c r="AO2224">
        <f>IF(AND(emissions[[#This Row],[Market-based]]=0,emissions[[#This Row],[Impact Type]]="CO2E"),emissions[[#This Row],[kgCO2e]],0)/1000</f>
        <v>0</v>
      </c>
      <c r="AP2224">
        <f>IF(AND(emissions[[#This Row],[Market-based]]=1,OR(emissions[[#This Row],[Impact Type]]="CO2E",emissions[[#This Row],[Impact Type]]="CO2E MKT")),emissions[[#This Row],[kgCO2e]],0)/1000</f>
        <v>0.84476810000000002</v>
      </c>
      <c r="AQ2224" t="str">
        <f>_xlfn.TEXTAFTER(emissions[[#This Row],[Reporting Unit]]," &gt; ",LEN(emissions[[#This Row],[Reporting Unit]])-LEN(SUBSTITUTE(emissions[[#This Row],[Reporting Unit]],"&gt;","")))</f>
        <v>Vantage_Guatemala City</v>
      </c>
      <c r="AR2224" t="str">
        <f>_xlfn.XLOOKUP(emissions[[#This Row],[Reporting unit name]],hierarchy!$A:$A,hierarchy!$C:$C)</f>
        <v>Unspecified Facility Type</v>
      </c>
    </row>
    <row r="2225" spans="1:44" hidden="1" x14ac:dyDescent="0.25">
      <c r="A2225">
        <v>4978</v>
      </c>
      <c r="B2225" t="s">
        <v>229</v>
      </c>
      <c r="C2225" t="s">
        <v>525</v>
      </c>
      <c r="D2225" t="s">
        <v>599</v>
      </c>
      <c r="E2225" s="3">
        <v>44197</v>
      </c>
      <c r="F2225" s="3">
        <v>44561</v>
      </c>
      <c r="G2225" t="s">
        <v>135</v>
      </c>
      <c r="H2225" s="3">
        <v>44197</v>
      </c>
      <c r="I2225" s="3">
        <v>44561</v>
      </c>
      <c r="J2225" t="s">
        <v>135</v>
      </c>
      <c r="K2225">
        <v>0</v>
      </c>
      <c r="L2225" t="s">
        <v>140</v>
      </c>
      <c r="M2225" t="s">
        <v>82</v>
      </c>
      <c r="O2225" t="s">
        <v>600</v>
      </c>
      <c r="P2225" t="s">
        <v>550</v>
      </c>
      <c r="Q2225">
        <v>2021</v>
      </c>
      <c r="R2225" t="s">
        <v>605</v>
      </c>
      <c r="S2225" t="s">
        <v>606</v>
      </c>
      <c r="T2225" t="s">
        <v>553</v>
      </c>
      <c r="U2225" t="b">
        <v>0</v>
      </c>
      <c r="V2225" t="s">
        <v>781</v>
      </c>
      <c r="W2225" t="s">
        <v>587</v>
      </c>
      <c r="X2225" t="s">
        <v>556</v>
      </c>
      <c r="Y2225" t="s">
        <v>472</v>
      </c>
      <c r="AC2225">
        <v>0</v>
      </c>
      <c r="AD2225" t="s">
        <v>558</v>
      </c>
      <c r="AE2225">
        <v>0</v>
      </c>
      <c r="AF2225">
        <v>2.5000000000000001E-2</v>
      </c>
      <c r="AG2225" t="s">
        <v>798</v>
      </c>
      <c r="AH2225">
        <v>9.9999999999999995E-7</v>
      </c>
      <c r="AI2225">
        <v>0</v>
      </c>
      <c r="AJ2225" t="s">
        <v>561</v>
      </c>
      <c r="AK2225" t="s">
        <v>766</v>
      </c>
      <c r="AL2225" t="s">
        <v>790</v>
      </c>
      <c r="AM2225">
        <v>2021</v>
      </c>
      <c r="AN2225">
        <v>2021</v>
      </c>
      <c r="AO2225">
        <f>IF(AND(emissions[[#This Row],[Market-based]]=0,emissions[[#This Row],[Impact Type]]="CO2E"),emissions[[#This Row],[kgCO2e]],0)/1000</f>
        <v>0</v>
      </c>
      <c r="AP2225">
        <f>IF(AND(emissions[[#This Row],[Market-based]]=1,OR(emissions[[#This Row],[Impact Type]]="CO2E",emissions[[#This Row],[Impact Type]]="CO2E MKT")),emissions[[#This Row],[kgCO2e]],0)/1000</f>
        <v>0</v>
      </c>
      <c r="AQ2225" t="str">
        <f>_xlfn.TEXTAFTER(emissions[[#This Row],[Reporting Unit]]," &gt; ",LEN(emissions[[#This Row],[Reporting Unit]])-LEN(SUBSTITUTE(emissions[[#This Row],[Reporting Unit]],"&gt;","")))</f>
        <v>Vantage_Guatemala City</v>
      </c>
      <c r="AR2225" t="str">
        <f>_xlfn.XLOOKUP(emissions[[#This Row],[Reporting unit name]],hierarchy!$A:$A,hierarchy!$C:$C)</f>
        <v>Unspecified Facility Type</v>
      </c>
    </row>
    <row r="2226" spans="1:44" hidden="1" x14ac:dyDescent="0.25">
      <c r="A2226">
        <v>4978</v>
      </c>
      <c r="B2226" t="s">
        <v>229</v>
      </c>
      <c r="C2226" t="s">
        <v>525</v>
      </c>
      <c r="D2226" t="s">
        <v>599</v>
      </c>
      <c r="E2226" s="3">
        <v>44197</v>
      </c>
      <c r="F2226" s="3">
        <v>44561</v>
      </c>
      <c r="G2226" t="s">
        <v>135</v>
      </c>
      <c r="H2226" s="3">
        <v>44197</v>
      </c>
      <c r="I2226" s="3">
        <v>44561</v>
      </c>
      <c r="J2226" t="s">
        <v>135</v>
      </c>
      <c r="K2226">
        <v>0</v>
      </c>
      <c r="L2226" t="s">
        <v>140</v>
      </c>
      <c r="M2226" t="s">
        <v>82</v>
      </c>
      <c r="O2226" t="s">
        <v>600</v>
      </c>
      <c r="P2226" t="s">
        <v>550</v>
      </c>
      <c r="Q2226">
        <v>2021</v>
      </c>
      <c r="R2226" t="s">
        <v>605</v>
      </c>
      <c r="S2226" t="s">
        <v>606</v>
      </c>
      <c r="T2226" t="s">
        <v>553</v>
      </c>
      <c r="U2226" t="b">
        <v>0</v>
      </c>
      <c r="V2226" t="s">
        <v>781</v>
      </c>
      <c r="W2226" t="s">
        <v>587</v>
      </c>
      <c r="X2226" t="s">
        <v>556</v>
      </c>
      <c r="Y2226" t="s">
        <v>472</v>
      </c>
      <c r="AC2226">
        <v>0</v>
      </c>
      <c r="AD2226" t="s">
        <v>564</v>
      </c>
      <c r="AE2226">
        <v>0</v>
      </c>
      <c r="AF2226">
        <v>53.06</v>
      </c>
      <c r="AG2226" t="s">
        <v>798</v>
      </c>
      <c r="AH2226">
        <v>9.9999999999999995E-7</v>
      </c>
      <c r="AI2226">
        <v>0</v>
      </c>
      <c r="AJ2226" t="s">
        <v>561</v>
      </c>
      <c r="AK2226" t="s">
        <v>766</v>
      </c>
      <c r="AL2226" t="s">
        <v>787</v>
      </c>
      <c r="AM2226">
        <v>2021</v>
      </c>
      <c r="AN2226">
        <v>2020</v>
      </c>
      <c r="AO2226">
        <f>IF(AND(emissions[[#This Row],[Market-based]]=0,emissions[[#This Row],[Impact Type]]="CO2E"),emissions[[#This Row],[kgCO2e]],0)/1000</f>
        <v>0</v>
      </c>
      <c r="AP2226">
        <f>IF(AND(emissions[[#This Row],[Market-based]]=1,OR(emissions[[#This Row],[Impact Type]]="CO2E",emissions[[#This Row],[Impact Type]]="CO2E MKT")),emissions[[#This Row],[kgCO2e]],0)/1000</f>
        <v>0</v>
      </c>
      <c r="AQ2226" t="str">
        <f>_xlfn.TEXTAFTER(emissions[[#This Row],[Reporting Unit]]," &gt; ",LEN(emissions[[#This Row],[Reporting Unit]])-LEN(SUBSTITUTE(emissions[[#This Row],[Reporting Unit]],"&gt;","")))</f>
        <v>Vantage_Guatemala City</v>
      </c>
      <c r="AR2226" t="str">
        <f>_xlfn.XLOOKUP(emissions[[#This Row],[Reporting unit name]],hierarchy!$A:$A,hierarchy!$C:$C)</f>
        <v>Unspecified Facility Type</v>
      </c>
    </row>
    <row r="2227" spans="1:44" hidden="1" x14ac:dyDescent="0.25">
      <c r="A2227">
        <v>4978</v>
      </c>
      <c r="B2227" t="s">
        <v>229</v>
      </c>
      <c r="C2227" t="s">
        <v>525</v>
      </c>
      <c r="D2227" t="s">
        <v>599</v>
      </c>
      <c r="E2227" s="3">
        <v>44197</v>
      </c>
      <c r="F2227" s="3">
        <v>44561</v>
      </c>
      <c r="G2227" t="s">
        <v>135</v>
      </c>
      <c r="H2227" s="3">
        <v>44197</v>
      </c>
      <c r="I2227" s="3">
        <v>44561</v>
      </c>
      <c r="J2227" t="s">
        <v>135</v>
      </c>
      <c r="K2227">
        <v>0</v>
      </c>
      <c r="L2227" t="s">
        <v>140</v>
      </c>
      <c r="M2227" t="s">
        <v>82</v>
      </c>
      <c r="O2227" t="s">
        <v>600</v>
      </c>
      <c r="P2227" t="s">
        <v>550</v>
      </c>
      <c r="Q2227">
        <v>2021</v>
      </c>
      <c r="R2227" t="s">
        <v>605</v>
      </c>
      <c r="S2227" t="s">
        <v>606</v>
      </c>
      <c r="T2227" t="s">
        <v>553</v>
      </c>
      <c r="U2227" t="b">
        <v>0</v>
      </c>
      <c r="V2227" t="s">
        <v>781</v>
      </c>
      <c r="W2227" t="s">
        <v>587</v>
      </c>
      <c r="X2227" t="s">
        <v>556</v>
      </c>
      <c r="Y2227" t="s">
        <v>472</v>
      </c>
      <c r="AC2227">
        <v>0</v>
      </c>
      <c r="AD2227" t="s">
        <v>565</v>
      </c>
      <c r="AE2227">
        <v>0</v>
      </c>
      <c r="AF2227">
        <v>53.114800000000002</v>
      </c>
      <c r="AG2227" t="s">
        <v>798</v>
      </c>
      <c r="AH2227">
        <v>9.9999999999999995E-7</v>
      </c>
      <c r="AI2227">
        <v>0</v>
      </c>
      <c r="AJ2227" t="s">
        <v>561</v>
      </c>
      <c r="AK2227" t="s">
        <v>766</v>
      </c>
      <c r="AL2227" t="s">
        <v>790</v>
      </c>
      <c r="AM2227">
        <v>2021</v>
      </c>
      <c r="AN2227">
        <v>2021</v>
      </c>
      <c r="AO2227">
        <f>IF(AND(emissions[[#This Row],[Market-based]]=0,emissions[[#This Row],[Impact Type]]="CO2E"),emissions[[#This Row],[kgCO2e]],0)/1000</f>
        <v>0</v>
      </c>
      <c r="AP2227">
        <f>IF(AND(emissions[[#This Row],[Market-based]]=1,OR(emissions[[#This Row],[Impact Type]]="CO2E",emissions[[#This Row],[Impact Type]]="CO2E MKT")),emissions[[#This Row],[kgCO2e]],0)/1000</f>
        <v>0</v>
      </c>
      <c r="AQ2227" t="str">
        <f>_xlfn.TEXTAFTER(emissions[[#This Row],[Reporting Unit]]," &gt; ",LEN(emissions[[#This Row],[Reporting Unit]])-LEN(SUBSTITUTE(emissions[[#This Row],[Reporting Unit]],"&gt;","")))</f>
        <v>Vantage_Guatemala City</v>
      </c>
      <c r="AR2227" t="str">
        <f>_xlfn.XLOOKUP(emissions[[#This Row],[Reporting unit name]],hierarchy!$A:$A,hierarchy!$C:$C)</f>
        <v>Unspecified Facility Type</v>
      </c>
    </row>
    <row r="2228" spans="1:44" hidden="1" x14ac:dyDescent="0.25">
      <c r="A2228">
        <v>4978</v>
      </c>
      <c r="B2228" t="s">
        <v>229</v>
      </c>
      <c r="C2228" t="s">
        <v>525</v>
      </c>
      <c r="D2228" t="s">
        <v>599</v>
      </c>
      <c r="E2228" s="3">
        <v>44197</v>
      </c>
      <c r="F2228" s="3">
        <v>44561</v>
      </c>
      <c r="G2228" t="s">
        <v>135</v>
      </c>
      <c r="H2228" s="3">
        <v>44197</v>
      </c>
      <c r="I2228" s="3">
        <v>44561</v>
      </c>
      <c r="J2228" t="s">
        <v>135</v>
      </c>
      <c r="K2228">
        <v>0</v>
      </c>
      <c r="L2228" t="s">
        <v>140</v>
      </c>
      <c r="M2228" t="s">
        <v>82</v>
      </c>
      <c r="O2228" t="s">
        <v>600</v>
      </c>
      <c r="P2228" t="s">
        <v>550</v>
      </c>
      <c r="Q2228">
        <v>2021</v>
      </c>
      <c r="R2228" t="s">
        <v>605</v>
      </c>
      <c r="S2228" t="s">
        <v>606</v>
      </c>
      <c r="T2228" t="s">
        <v>553</v>
      </c>
      <c r="U2228" t="b">
        <v>0</v>
      </c>
      <c r="V2228" t="s">
        <v>781</v>
      </c>
      <c r="W2228" t="s">
        <v>587</v>
      </c>
      <c r="X2228" t="s">
        <v>556</v>
      </c>
      <c r="Y2228" t="s">
        <v>472</v>
      </c>
      <c r="AC2228">
        <v>0</v>
      </c>
      <c r="AD2228" t="s">
        <v>566</v>
      </c>
      <c r="AE2228">
        <v>0</v>
      </c>
      <c r="AF2228">
        <v>2.98E-2</v>
      </c>
      <c r="AG2228" t="s">
        <v>798</v>
      </c>
      <c r="AH2228">
        <v>9.9999999999999995E-7</v>
      </c>
      <c r="AI2228">
        <v>0</v>
      </c>
      <c r="AJ2228" t="s">
        <v>561</v>
      </c>
      <c r="AK2228" t="s">
        <v>766</v>
      </c>
      <c r="AL2228" t="s">
        <v>790</v>
      </c>
      <c r="AM2228">
        <v>2021</v>
      </c>
      <c r="AN2228">
        <v>2021</v>
      </c>
      <c r="AO2228">
        <f>IF(AND(emissions[[#This Row],[Market-based]]=0,emissions[[#This Row],[Impact Type]]="CO2E"),emissions[[#This Row],[kgCO2e]],0)/1000</f>
        <v>0</v>
      </c>
      <c r="AP2228">
        <f>IF(AND(emissions[[#This Row],[Market-based]]=1,OR(emissions[[#This Row],[Impact Type]]="CO2E",emissions[[#This Row],[Impact Type]]="CO2E MKT")),emissions[[#This Row],[kgCO2e]],0)/1000</f>
        <v>0</v>
      </c>
      <c r="AQ2228" t="str">
        <f>_xlfn.TEXTAFTER(emissions[[#This Row],[Reporting Unit]]," &gt; ",LEN(emissions[[#This Row],[Reporting Unit]])-LEN(SUBSTITUTE(emissions[[#This Row],[Reporting Unit]],"&gt;","")))</f>
        <v>Vantage_Guatemala City</v>
      </c>
      <c r="AR2228" t="str">
        <f>_xlfn.XLOOKUP(emissions[[#This Row],[Reporting unit name]],hierarchy!$A:$A,hierarchy!$C:$C)</f>
        <v>Unspecified Facility Type</v>
      </c>
    </row>
    <row r="2229" spans="1:44" hidden="1" x14ac:dyDescent="0.25">
      <c r="A2229">
        <v>4978</v>
      </c>
      <c r="B2229" t="s">
        <v>229</v>
      </c>
      <c r="C2229" t="s">
        <v>525</v>
      </c>
      <c r="D2229" t="s">
        <v>599</v>
      </c>
      <c r="E2229" s="3">
        <v>44197</v>
      </c>
      <c r="F2229" s="3">
        <v>44561</v>
      </c>
      <c r="G2229" t="s">
        <v>135</v>
      </c>
      <c r="H2229" s="3">
        <v>44197</v>
      </c>
      <c r="I2229" s="3">
        <v>44561</v>
      </c>
      <c r="J2229" t="s">
        <v>135</v>
      </c>
      <c r="K2229">
        <v>0</v>
      </c>
      <c r="L2229" t="s">
        <v>140</v>
      </c>
      <c r="M2229" t="s">
        <v>82</v>
      </c>
      <c r="O2229" t="s">
        <v>600</v>
      </c>
      <c r="P2229" t="s">
        <v>550</v>
      </c>
      <c r="Q2229">
        <v>2021</v>
      </c>
      <c r="R2229" t="s">
        <v>605</v>
      </c>
      <c r="S2229" t="s">
        <v>606</v>
      </c>
      <c r="T2229" t="s">
        <v>553</v>
      </c>
      <c r="U2229" t="b">
        <v>0</v>
      </c>
      <c r="V2229" t="s">
        <v>781</v>
      </c>
      <c r="W2229" t="s">
        <v>587</v>
      </c>
      <c r="X2229" t="s">
        <v>556</v>
      </c>
      <c r="Y2229" t="s">
        <v>472</v>
      </c>
      <c r="AC2229">
        <v>1</v>
      </c>
      <c r="AD2229" t="s">
        <v>558</v>
      </c>
      <c r="AE2229">
        <v>0</v>
      </c>
      <c r="AF2229">
        <v>2.5000000000000001E-2</v>
      </c>
      <c r="AG2229" t="s">
        <v>798</v>
      </c>
      <c r="AH2229">
        <v>9.9999999999999995E-7</v>
      </c>
      <c r="AI2229">
        <v>0</v>
      </c>
      <c r="AJ2229" t="s">
        <v>561</v>
      </c>
      <c r="AK2229" t="s">
        <v>766</v>
      </c>
      <c r="AL2229" t="s">
        <v>790</v>
      </c>
      <c r="AM2229">
        <v>2021</v>
      </c>
      <c r="AN2229">
        <v>2021</v>
      </c>
      <c r="AO2229">
        <f>IF(AND(emissions[[#This Row],[Market-based]]=0,emissions[[#This Row],[Impact Type]]="CO2E"),emissions[[#This Row],[kgCO2e]],0)/1000</f>
        <v>0</v>
      </c>
      <c r="AP2229">
        <f>IF(AND(emissions[[#This Row],[Market-based]]=1,OR(emissions[[#This Row],[Impact Type]]="CO2E",emissions[[#This Row],[Impact Type]]="CO2E MKT")),emissions[[#This Row],[kgCO2e]],0)/1000</f>
        <v>0</v>
      </c>
      <c r="AQ2229" t="str">
        <f>_xlfn.TEXTAFTER(emissions[[#This Row],[Reporting Unit]]," &gt; ",LEN(emissions[[#This Row],[Reporting Unit]])-LEN(SUBSTITUTE(emissions[[#This Row],[Reporting Unit]],"&gt;","")))</f>
        <v>Vantage_Guatemala City</v>
      </c>
      <c r="AR2229" t="str">
        <f>_xlfn.XLOOKUP(emissions[[#This Row],[Reporting unit name]],hierarchy!$A:$A,hierarchy!$C:$C)</f>
        <v>Unspecified Facility Type</v>
      </c>
    </row>
    <row r="2230" spans="1:44" hidden="1" x14ac:dyDescent="0.25">
      <c r="A2230">
        <v>4978</v>
      </c>
      <c r="B2230" t="s">
        <v>229</v>
      </c>
      <c r="C2230" t="s">
        <v>525</v>
      </c>
      <c r="D2230" t="s">
        <v>599</v>
      </c>
      <c r="E2230" s="3">
        <v>44197</v>
      </c>
      <c r="F2230" s="3">
        <v>44561</v>
      </c>
      <c r="G2230" t="s">
        <v>135</v>
      </c>
      <c r="H2230" s="3">
        <v>44197</v>
      </c>
      <c r="I2230" s="3">
        <v>44561</v>
      </c>
      <c r="J2230" t="s">
        <v>135</v>
      </c>
      <c r="K2230">
        <v>0</v>
      </c>
      <c r="L2230" t="s">
        <v>140</v>
      </c>
      <c r="M2230" t="s">
        <v>82</v>
      </c>
      <c r="O2230" t="s">
        <v>600</v>
      </c>
      <c r="P2230" t="s">
        <v>550</v>
      </c>
      <c r="Q2230">
        <v>2021</v>
      </c>
      <c r="R2230" t="s">
        <v>605</v>
      </c>
      <c r="S2230" t="s">
        <v>606</v>
      </c>
      <c r="T2230" t="s">
        <v>553</v>
      </c>
      <c r="U2230" t="b">
        <v>0</v>
      </c>
      <c r="V2230" t="s">
        <v>781</v>
      </c>
      <c r="W2230" t="s">
        <v>587</v>
      </c>
      <c r="X2230" t="s">
        <v>556</v>
      </c>
      <c r="Y2230" t="s">
        <v>472</v>
      </c>
      <c r="AC2230">
        <v>1</v>
      </c>
      <c r="AD2230" t="s">
        <v>564</v>
      </c>
      <c r="AE2230">
        <v>0</v>
      </c>
      <c r="AF2230">
        <v>53.06</v>
      </c>
      <c r="AG2230" t="s">
        <v>798</v>
      </c>
      <c r="AH2230">
        <v>9.9999999999999995E-7</v>
      </c>
      <c r="AI2230">
        <v>0</v>
      </c>
      <c r="AJ2230" t="s">
        <v>561</v>
      </c>
      <c r="AK2230" t="s">
        <v>766</v>
      </c>
      <c r="AL2230" t="s">
        <v>787</v>
      </c>
      <c r="AM2230">
        <v>2021</v>
      </c>
      <c r="AN2230">
        <v>2020</v>
      </c>
      <c r="AO2230">
        <f>IF(AND(emissions[[#This Row],[Market-based]]=0,emissions[[#This Row],[Impact Type]]="CO2E"),emissions[[#This Row],[kgCO2e]],0)/1000</f>
        <v>0</v>
      </c>
      <c r="AP2230">
        <f>IF(AND(emissions[[#This Row],[Market-based]]=1,OR(emissions[[#This Row],[Impact Type]]="CO2E",emissions[[#This Row],[Impact Type]]="CO2E MKT")),emissions[[#This Row],[kgCO2e]],0)/1000</f>
        <v>0</v>
      </c>
      <c r="AQ2230" t="str">
        <f>_xlfn.TEXTAFTER(emissions[[#This Row],[Reporting Unit]]," &gt; ",LEN(emissions[[#This Row],[Reporting Unit]])-LEN(SUBSTITUTE(emissions[[#This Row],[Reporting Unit]],"&gt;","")))</f>
        <v>Vantage_Guatemala City</v>
      </c>
      <c r="AR2230" t="str">
        <f>_xlfn.XLOOKUP(emissions[[#This Row],[Reporting unit name]],hierarchy!$A:$A,hierarchy!$C:$C)</f>
        <v>Unspecified Facility Type</v>
      </c>
    </row>
    <row r="2231" spans="1:44" hidden="1" x14ac:dyDescent="0.25">
      <c r="A2231">
        <v>4978</v>
      </c>
      <c r="B2231" t="s">
        <v>229</v>
      </c>
      <c r="C2231" t="s">
        <v>525</v>
      </c>
      <c r="D2231" t="s">
        <v>599</v>
      </c>
      <c r="E2231" s="3">
        <v>44197</v>
      </c>
      <c r="F2231" s="3">
        <v>44561</v>
      </c>
      <c r="G2231" t="s">
        <v>135</v>
      </c>
      <c r="H2231" s="3">
        <v>44197</v>
      </c>
      <c r="I2231" s="3">
        <v>44561</v>
      </c>
      <c r="J2231" t="s">
        <v>135</v>
      </c>
      <c r="K2231">
        <v>0</v>
      </c>
      <c r="L2231" t="s">
        <v>140</v>
      </c>
      <c r="M2231" t="s">
        <v>82</v>
      </c>
      <c r="O2231" t="s">
        <v>600</v>
      </c>
      <c r="P2231" t="s">
        <v>550</v>
      </c>
      <c r="Q2231">
        <v>2021</v>
      </c>
      <c r="R2231" t="s">
        <v>605</v>
      </c>
      <c r="S2231" t="s">
        <v>606</v>
      </c>
      <c r="T2231" t="s">
        <v>553</v>
      </c>
      <c r="U2231" t="b">
        <v>0</v>
      </c>
      <c r="V2231" t="s">
        <v>781</v>
      </c>
      <c r="W2231" t="s">
        <v>587</v>
      </c>
      <c r="X2231" t="s">
        <v>556</v>
      </c>
      <c r="Y2231" t="s">
        <v>472</v>
      </c>
      <c r="AC2231">
        <v>1</v>
      </c>
      <c r="AD2231" t="s">
        <v>565</v>
      </c>
      <c r="AE2231">
        <v>0</v>
      </c>
      <c r="AF2231">
        <v>53.114800000000002</v>
      </c>
      <c r="AG2231" t="s">
        <v>798</v>
      </c>
      <c r="AH2231">
        <v>9.9999999999999995E-7</v>
      </c>
      <c r="AI2231">
        <v>0</v>
      </c>
      <c r="AJ2231" t="s">
        <v>561</v>
      </c>
      <c r="AK2231" t="s">
        <v>766</v>
      </c>
      <c r="AL2231" t="s">
        <v>790</v>
      </c>
      <c r="AM2231">
        <v>2021</v>
      </c>
      <c r="AN2231">
        <v>2021</v>
      </c>
      <c r="AO2231">
        <f>IF(AND(emissions[[#This Row],[Market-based]]=0,emissions[[#This Row],[Impact Type]]="CO2E"),emissions[[#This Row],[kgCO2e]],0)/1000</f>
        <v>0</v>
      </c>
      <c r="AP2231">
        <f>IF(AND(emissions[[#This Row],[Market-based]]=1,OR(emissions[[#This Row],[Impact Type]]="CO2E",emissions[[#This Row],[Impact Type]]="CO2E MKT")),emissions[[#This Row],[kgCO2e]],0)/1000</f>
        <v>0</v>
      </c>
      <c r="AQ2231" t="str">
        <f>_xlfn.TEXTAFTER(emissions[[#This Row],[Reporting Unit]]," &gt; ",LEN(emissions[[#This Row],[Reporting Unit]])-LEN(SUBSTITUTE(emissions[[#This Row],[Reporting Unit]],"&gt;","")))</f>
        <v>Vantage_Guatemala City</v>
      </c>
      <c r="AR2231" t="str">
        <f>_xlfn.XLOOKUP(emissions[[#This Row],[Reporting unit name]],hierarchy!$A:$A,hierarchy!$C:$C)</f>
        <v>Unspecified Facility Type</v>
      </c>
    </row>
    <row r="2232" spans="1:44" hidden="1" x14ac:dyDescent="0.25">
      <c r="A2232">
        <v>4978</v>
      </c>
      <c r="B2232" t="s">
        <v>229</v>
      </c>
      <c r="C2232" t="s">
        <v>525</v>
      </c>
      <c r="D2232" t="s">
        <v>599</v>
      </c>
      <c r="E2232" s="3">
        <v>44197</v>
      </c>
      <c r="F2232" s="3">
        <v>44561</v>
      </c>
      <c r="G2232" t="s">
        <v>135</v>
      </c>
      <c r="H2232" s="3">
        <v>44197</v>
      </c>
      <c r="I2232" s="3">
        <v>44561</v>
      </c>
      <c r="J2232" t="s">
        <v>135</v>
      </c>
      <c r="K2232">
        <v>0</v>
      </c>
      <c r="L2232" t="s">
        <v>140</v>
      </c>
      <c r="M2232" t="s">
        <v>82</v>
      </c>
      <c r="O2232" t="s">
        <v>600</v>
      </c>
      <c r="P2232" t="s">
        <v>550</v>
      </c>
      <c r="Q2232">
        <v>2021</v>
      </c>
      <c r="R2232" t="s">
        <v>605</v>
      </c>
      <c r="S2232" t="s">
        <v>606</v>
      </c>
      <c r="T2232" t="s">
        <v>553</v>
      </c>
      <c r="U2232" t="b">
        <v>0</v>
      </c>
      <c r="V2232" t="s">
        <v>781</v>
      </c>
      <c r="W2232" t="s">
        <v>587</v>
      </c>
      <c r="X2232" t="s">
        <v>556</v>
      </c>
      <c r="Y2232" t="s">
        <v>472</v>
      </c>
      <c r="AC2232">
        <v>1</v>
      </c>
      <c r="AD2232" t="s">
        <v>566</v>
      </c>
      <c r="AE2232">
        <v>0</v>
      </c>
      <c r="AF2232">
        <v>2.98E-2</v>
      </c>
      <c r="AG2232" t="s">
        <v>798</v>
      </c>
      <c r="AH2232">
        <v>9.9999999999999995E-7</v>
      </c>
      <c r="AI2232">
        <v>0</v>
      </c>
      <c r="AJ2232" t="s">
        <v>561</v>
      </c>
      <c r="AK2232" t="s">
        <v>766</v>
      </c>
      <c r="AL2232" t="s">
        <v>790</v>
      </c>
      <c r="AM2232">
        <v>2021</v>
      </c>
      <c r="AN2232">
        <v>2021</v>
      </c>
      <c r="AO2232">
        <f>IF(AND(emissions[[#This Row],[Market-based]]=0,emissions[[#This Row],[Impact Type]]="CO2E"),emissions[[#This Row],[kgCO2e]],0)/1000</f>
        <v>0</v>
      </c>
      <c r="AP2232">
        <f>IF(AND(emissions[[#This Row],[Market-based]]=1,OR(emissions[[#This Row],[Impact Type]]="CO2E",emissions[[#This Row],[Impact Type]]="CO2E MKT")),emissions[[#This Row],[kgCO2e]],0)/1000</f>
        <v>0</v>
      </c>
      <c r="AQ2232" t="str">
        <f>_xlfn.TEXTAFTER(emissions[[#This Row],[Reporting Unit]]," &gt; ",LEN(emissions[[#This Row],[Reporting Unit]])-LEN(SUBSTITUTE(emissions[[#This Row],[Reporting Unit]],"&gt;","")))</f>
        <v>Vantage_Guatemala City</v>
      </c>
      <c r="AR2232" t="str">
        <f>_xlfn.XLOOKUP(emissions[[#This Row],[Reporting unit name]],hierarchy!$A:$A,hierarchy!$C:$C)</f>
        <v>Unspecified Facility Type</v>
      </c>
    </row>
    <row r="2233" spans="1:44" hidden="1" x14ac:dyDescent="0.25">
      <c r="A2233">
        <v>4978</v>
      </c>
      <c r="B2233" t="s">
        <v>229</v>
      </c>
      <c r="C2233" t="s">
        <v>525</v>
      </c>
      <c r="D2233" t="s">
        <v>599</v>
      </c>
      <c r="E2233" s="3">
        <v>44197</v>
      </c>
      <c r="F2233" s="3">
        <v>44561</v>
      </c>
      <c r="G2233" t="s">
        <v>135</v>
      </c>
      <c r="H2233" s="3">
        <v>44197</v>
      </c>
      <c r="I2233" s="3">
        <v>44561</v>
      </c>
      <c r="J2233" t="s">
        <v>135</v>
      </c>
      <c r="K2233">
        <v>0</v>
      </c>
      <c r="L2233" t="s">
        <v>140</v>
      </c>
      <c r="M2233" t="s">
        <v>82</v>
      </c>
      <c r="O2233" t="s">
        <v>600</v>
      </c>
      <c r="P2233" t="s">
        <v>550</v>
      </c>
      <c r="Q2233">
        <v>2021</v>
      </c>
      <c r="R2233" t="s">
        <v>609</v>
      </c>
      <c r="S2233" t="s">
        <v>610</v>
      </c>
      <c r="T2233" t="s">
        <v>577</v>
      </c>
      <c r="U2233" t="b">
        <v>0</v>
      </c>
      <c r="V2233" t="s">
        <v>611</v>
      </c>
      <c r="W2233" t="s">
        <v>571</v>
      </c>
      <c r="X2233" t="s">
        <v>572</v>
      </c>
      <c r="AC2233">
        <v>0</v>
      </c>
      <c r="AD2233" t="s">
        <v>565</v>
      </c>
      <c r="AE2233">
        <v>0</v>
      </c>
      <c r="AF2233">
        <v>3.1350000000000003E-2</v>
      </c>
      <c r="AG2233" t="s">
        <v>608</v>
      </c>
      <c r="AH2233">
        <v>2.9306999999999998E-4</v>
      </c>
      <c r="AI2233">
        <v>0</v>
      </c>
      <c r="AJ2233" t="s">
        <v>561</v>
      </c>
      <c r="AK2233" t="s">
        <v>589</v>
      </c>
      <c r="AL2233" t="s">
        <v>603</v>
      </c>
      <c r="AM2233">
        <v>2021</v>
      </c>
      <c r="AN2233">
        <v>2019</v>
      </c>
      <c r="AO2233">
        <f>IF(AND(emissions[[#This Row],[Market-based]]=0,emissions[[#This Row],[Impact Type]]="CO2E"),emissions[[#This Row],[kgCO2e]],0)/1000</f>
        <v>0</v>
      </c>
      <c r="AP2233">
        <f>IF(AND(emissions[[#This Row],[Market-based]]=1,OR(emissions[[#This Row],[Impact Type]]="CO2E",emissions[[#This Row],[Impact Type]]="CO2E MKT")),emissions[[#This Row],[kgCO2e]],0)/1000</f>
        <v>0</v>
      </c>
      <c r="AQ2233" t="str">
        <f>_xlfn.TEXTAFTER(emissions[[#This Row],[Reporting Unit]]," &gt; ",LEN(emissions[[#This Row],[Reporting Unit]])-LEN(SUBSTITUTE(emissions[[#This Row],[Reporting Unit]],"&gt;","")))</f>
        <v>Vantage_Guatemala City</v>
      </c>
      <c r="AR2233" t="str">
        <f>_xlfn.XLOOKUP(emissions[[#This Row],[Reporting unit name]],hierarchy!$A:$A,hierarchy!$C:$C)</f>
        <v>Unspecified Facility Type</v>
      </c>
    </row>
    <row r="2234" spans="1:44" hidden="1" x14ac:dyDescent="0.25">
      <c r="A2234">
        <v>4978</v>
      </c>
      <c r="B2234" t="s">
        <v>229</v>
      </c>
      <c r="C2234" t="s">
        <v>525</v>
      </c>
      <c r="D2234" t="s">
        <v>599</v>
      </c>
      <c r="E2234" s="3">
        <v>44197</v>
      </c>
      <c r="F2234" s="3">
        <v>44561</v>
      </c>
      <c r="G2234" t="s">
        <v>135</v>
      </c>
      <c r="H2234" s="3">
        <v>44197</v>
      </c>
      <c r="I2234" s="3">
        <v>44561</v>
      </c>
      <c r="J2234" t="s">
        <v>135</v>
      </c>
      <c r="K2234">
        <v>0</v>
      </c>
      <c r="L2234" t="s">
        <v>140</v>
      </c>
      <c r="M2234" t="s">
        <v>82</v>
      </c>
      <c r="O2234" t="s">
        <v>600</v>
      </c>
      <c r="P2234" t="s">
        <v>550</v>
      </c>
      <c r="Q2234">
        <v>2021</v>
      </c>
      <c r="R2234" t="s">
        <v>609</v>
      </c>
      <c r="S2234" t="s">
        <v>610</v>
      </c>
      <c r="T2234" t="s">
        <v>577</v>
      </c>
      <c r="U2234" t="b">
        <v>0</v>
      </c>
      <c r="V2234" t="s">
        <v>611</v>
      </c>
      <c r="W2234" t="s">
        <v>571</v>
      </c>
      <c r="X2234" t="s">
        <v>572</v>
      </c>
      <c r="AC2234">
        <v>1</v>
      </c>
      <c r="AD2234" t="s">
        <v>565</v>
      </c>
      <c r="AE2234">
        <v>0</v>
      </c>
      <c r="AF2234">
        <v>3.1350000000000003E-2</v>
      </c>
      <c r="AG2234" t="s">
        <v>608</v>
      </c>
      <c r="AH2234">
        <v>2.9306999999999998E-4</v>
      </c>
      <c r="AI2234">
        <v>0</v>
      </c>
      <c r="AJ2234" t="s">
        <v>561</v>
      </c>
      <c r="AK2234" t="s">
        <v>589</v>
      </c>
      <c r="AL2234" t="s">
        <v>603</v>
      </c>
      <c r="AM2234">
        <v>2021</v>
      </c>
      <c r="AN2234">
        <v>2019</v>
      </c>
      <c r="AO2234">
        <f>IF(AND(emissions[[#This Row],[Market-based]]=0,emissions[[#This Row],[Impact Type]]="CO2E"),emissions[[#This Row],[kgCO2e]],0)/1000</f>
        <v>0</v>
      </c>
      <c r="AP2234">
        <f>IF(AND(emissions[[#This Row],[Market-based]]=1,OR(emissions[[#This Row],[Impact Type]]="CO2E",emissions[[#This Row],[Impact Type]]="CO2E MKT")),emissions[[#This Row],[kgCO2e]],0)/1000</f>
        <v>0</v>
      </c>
      <c r="AQ2234" t="str">
        <f>_xlfn.TEXTAFTER(emissions[[#This Row],[Reporting Unit]]," &gt; ",LEN(emissions[[#This Row],[Reporting Unit]])-LEN(SUBSTITUTE(emissions[[#This Row],[Reporting Unit]],"&gt;","")))</f>
        <v>Vantage_Guatemala City</v>
      </c>
      <c r="AR2234" t="str">
        <f>_xlfn.XLOOKUP(emissions[[#This Row],[Reporting unit name]],hierarchy!$A:$A,hierarchy!$C:$C)</f>
        <v>Unspecified Facility Type</v>
      </c>
    </row>
    <row r="2235" spans="1:44" hidden="1" x14ac:dyDescent="0.25">
      <c r="A2235">
        <v>5011</v>
      </c>
      <c r="B2235" t="s">
        <v>229</v>
      </c>
      <c r="C2235" t="s">
        <v>525</v>
      </c>
      <c r="D2235" t="s">
        <v>599</v>
      </c>
      <c r="E2235" s="3">
        <v>44197</v>
      </c>
      <c r="F2235" s="3">
        <v>44561</v>
      </c>
      <c r="G2235" t="s">
        <v>141</v>
      </c>
      <c r="H2235" s="3">
        <v>44197</v>
      </c>
      <c r="I2235" s="3">
        <v>44561</v>
      </c>
      <c r="J2235" t="s">
        <v>142</v>
      </c>
      <c r="K2235">
        <v>0</v>
      </c>
      <c r="L2235" t="s">
        <v>143</v>
      </c>
      <c r="M2235" t="s">
        <v>82</v>
      </c>
      <c r="O2235" t="s">
        <v>600</v>
      </c>
      <c r="P2235" t="s">
        <v>550</v>
      </c>
      <c r="Q2235">
        <v>2021</v>
      </c>
      <c r="R2235" t="s">
        <v>612</v>
      </c>
      <c r="S2235" t="s">
        <v>613</v>
      </c>
      <c r="T2235" t="s">
        <v>553</v>
      </c>
      <c r="U2235" t="b">
        <v>0</v>
      </c>
      <c r="V2235" t="s">
        <v>614</v>
      </c>
      <c r="W2235" t="s">
        <v>587</v>
      </c>
      <c r="X2235" t="s">
        <v>556</v>
      </c>
      <c r="AC2235">
        <v>0</v>
      </c>
      <c r="AD2235" t="s">
        <v>558</v>
      </c>
      <c r="AE2235">
        <v>0</v>
      </c>
      <c r="AF2235">
        <v>2.5999999999999998E-4</v>
      </c>
      <c r="AG2235" t="s">
        <v>588</v>
      </c>
      <c r="AH2235">
        <v>1</v>
      </c>
      <c r="AI2235">
        <v>0</v>
      </c>
      <c r="AJ2235" t="s">
        <v>561</v>
      </c>
      <c r="AK2235" t="s">
        <v>589</v>
      </c>
      <c r="AL2235" t="s">
        <v>603</v>
      </c>
      <c r="AM2235">
        <v>2021</v>
      </c>
      <c r="AN2235">
        <v>2019</v>
      </c>
      <c r="AO2235">
        <f>IF(AND(emissions[[#This Row],[Market-based]]=0,emissions[[#This Row],[Impact Type]]="CO2E"),emissions[[#This Row],[kgCO2e]],0)/1000</f>
        <v>0</v>
      </c>
      <c r="AP2235">
        <f>IF(AND(emissions[[#This Row],[Market-based]]=1,OR(emissions[[#This Row],[Impact Type]]="CO2E",emissions[[#This Row],[Impact Type]]="CO2E MKT")),emissions[[#This Row],[kgCO2e]],0)/1000</f>
        <v>0</v>
      </c>
      <c r="AQ2235" t="str">
        <f>_xlfn.TEXTAFTER(emissions[[#This Row],[Reporting Unit]]," &gt; ",LEN(emissions[[#This Row],[Reporting Unit]])-LEN(SUBSTITUTE(emissions[[#This Row],[Reporting Unit]],"&gt;","")))</f>
        <v>Vantage_Guatemala City</v>
      </c>
      <c r="AR2235" t="str">
        <f>_xlfn.XLOOKUP(emissions[[#This Row],[Reporting unit name]],hierarchy!$A:$A,hierarchy!$C:$C)</f>
        <v>Unspecified Facility Type</v>
      </c>
    </row>
    <row r="2236" spans="1:44" hidden="1" x14ac:dyDescent="0.25">
      <c r="A2236">
        <v>5011</v>
      </c>
      <c r="B2236" t="s">
        <v>229</v>
      </c>
      <c r="C2236" t="s">
        <v>525</v>
      </c>
      <c r="D2236" t="s">
        <v>599</v>
      </c>
      <c r="E2236" s="3">
        <v>44197</v>
      </c>
      <c r="F2236" s="3">
        <v>44561</v>
      </c>
      <c r="G2236" t="s">
        <v>141</v>
      </c>
      <c r="H2236" s="3">
        <v>44197</v>
      </c>
      <c r="I2236" s="3">
        <v>44561</v>
      </c>
      <c r="J2236" t="s">
        <v>142</v>
      </c>
      <c r="K2236">
        <v>0</v>
      </c>
      <c r="L2236" t="s">
        <v>143</v>
      </c>
      <c r="M2236" t="s">
        <v>82</v>
      </c>
      <c r="O2236" t="s">
        <v>600</v>
      </c>
      <c r="P2236" t="s">
        <v>550</v>
      </c>
      <c r="Q2236">
        <v>2021</v>
      </c>
      <c r="R2236" t="s">
        <v>612</v>
      </c>
      <c r="S2236" t="s">
        <v>613</v>
      </c>
      <c r="T2236" t="s">
        <v>553</v>
      </c>
      <c r="U2236" t="b">
        <v>0</v>
      </c>
      <c r="V2236" t="s">
        <v>614</v>
      </c>
      <c r="W2236" t="s">
        <v>587</v>
      </c>
      <c r="X2236" t="s">
        <v>556</v>
      </c>
      <c r="AC2236">
        <v>0</v>
      </c>
      <c r="AD2236" t="s">
        <v>564</v>
      </c>
      <c r="AE2236">
        <v>0</v>
      </c>
      <c r="AF2236">
        <v>2.6680700000000002</v>
      </c>
      <c r="AG2236" t="s">
        <v>588</v>
      </c>
      <c r="AH2236">
        <v>1</v>
      </c>
      <c r="AI2236">
        <v>0</v>
      </c>
      <c r="AJ2236" t="s">
        <v>561</v>
      </c>
      <c r="AK2236" t="s">
        <v>589</v>
      </c>
      <c r="AL2236" t="s">
        <v>603</v>
      </c>
      <c r="AM2236">
        <v>2021</v>
      </c>
      <c r="AN2236">
        <v>2019</v>
      </c>
      <c r="AO2236">
        <f>IF(AND(emissions[[#This Row],[Market-based]]=0,emissions[[#This Row],[Impact Type]]="CO2E"),emissions[[#This Row],[kgCO2e]],0)/1000</f>
        <v>0</v>
      </c>
      <c r="AP2236">
        <f>IF(AND(emissions[[#This Row],[Market-based]]=1,OR(emissions[[#This Row],[Impact Type]]="CO2E",emissions[[#This Row],[Impact Type]]="CO2E MKT")),emissions[[#This Row],[kgCO2e]],0)/1000</f>
        <v>0</v>
      </c>
      <c r="AQ2236" t="str">
        <f>_xlfn.TEXTAFTER(emissions[[#This Row],[Reporting Unit]]," &gt; ",LEN(emissions[[#This Row],[Reporting Unit]])-LEN(SUBSTITUTE(emissions[[#This Row],[Reporting Unit]],"&gt;","")))</f>
        <v>Vantage_Guatemala City</v>
      </c>
      <c r="AR2236" t="str">
        <f>_xlfn.XLOOKUP(emissions[[#This Row],[Reporting unit name]],hierarchy!$A:$A,hierarchy!$C:$C)</f>
        <v>Unspecified Facility Type</v>
      </c>
    </row>
    <row r="2237" spans="1:44" hidden="1" x14ac:dyDescent="0.25">
      <c r="A2237">
        <v>5011</v>
      </c>
      <c r="B2237" t="s">
        <v>229</v>
      </c>
      <c r="C2237" t="s">
        <v>525</v>
      </c>
      <c r="D2237" t="s">
        <v>599</v>
      </c>
      <c r="E2237" s="3">
        <v>44197</v>
      </c>
      <c r="F2237" s="3">
        <v>44561</v>
      </c>
      <c r="G2237" t="s">
        <v>141</v>
      </c>
      <c r="H2237" s="3">
        <v>44197</v>
      </c>
      <c r="I2237" s="3">
        <v>44561</v>
      </c>
      <c r="J2237" t="s">
        <v>142</v>
      </c>
      <c r="K2237">
        <v>0</v>
      </c>
      <c r="L2237" t="s">
        <v>143</v>
      </c>
      <c r="M2237" t="s">
        <v>82</v>
      </c>
      <c r="O2237" t="s">
        <v>600</v>
      </c>
      <c r="P2237" t="s">
        <v>550</v>
      </c>
      <c r="Q2237">
        <v>2021</v>
      </c>
      <c r="R2237" t="s">
        <v>612</v>
      </c>
      <c r="S2237" t="s">
        <v>613</v>
      </c>
      <c r="T2237" t="s">
        <v>553</v>
      </c>
      <c r="U2237" t="b">
        <v>0</v>
      </c>
      <c r="V2237" t="s">
        <v>614</v>
      </c>
      <c r="W2237" t="s">
        <v>587</v>
      </c>
      <c r="X2237" t="s">
        <v>556</v>
      </c>
      <c r="AC2237">
        <v>0</v>
      </c>
      <c r="AD2237" t="s">
        <v>565</v>
      </c>
      <c r="AE2237">
        <v>0</v>
      </c>
      <c r="AF2237">
        <v>2.70553</v>
      </c>
      <c r="AG2237" t="s">
        <v>588</v>
      </c>
      <c r="AH2237">
        <v>1</v>
      </c>
      <c r="AI2237">
        <v>0</v>
      </c>
      <c r="AJ2237" t="s">
        <v>561</v>
      </c>
      <c r="AK2237" t="s">
        <v>589</v>
      </c>
      <c r="AL2237" t="s">
        <v>603</v>
      </c>
      <c r="AM2237">
        <v>2021</v>
      </c>
      <c r="AN2237">
        <v>2019</v>
      </c>
      <c r="AO2237">
        <f>IF(AND(emissions[[#This Row],[Market-based]]=0,emissions[[#This Row],[Impact Type]]="CO2E"),emissions[[#This Row],[kgCO2e]],0)/1000</f>
        <v>0</v>
      </c>
      <c r="AP2237">
        <f>IF(AND(emissions[[#This Row],[Market-based]]=1,OR(emissions[[#This Row],[Impact Type]]="CO2E",emissions[[#This Row],[Impact Type]]="CO2E MKT")),emissions[[#This Row],[kgCO2e]],0)/1000</f>
        <v>0</v>
      </c>
      <c r="AQ2237" t="str">
        <f>_xlfn.TEXTAFTER(emissions[[#This Row],[Reporting Unit]]," &gt; ",LEN(emissions[[#This Row],[Reporting Unit]])-LEN(SUBSTITUTE(emissions[[#This Row],[Reporting Unit]],"&gt;","")))</f>
        <v>Vantage_Guatemala City</v>
      </c>
      <c r="AR2237" t="str">
        <f>_xlfn.XLOOKUP(emissions[[#This Row],[Reporting unit name]],hierarchy!$A:$A,hierarchy!$C:$C)</f>
        <v>Unspecified Facility Type</v>
      </c>
    </row>
    <row r="2238" spans="1:44" hidden="1" x14ac:dyDescent="0.25">
      <c r="A2238">
        <v>5011</v>
      </c>
      <c r="B2238" t="s">
        <v>229</v>
      </c>
      <c r="C2238" t="s">
        <v>525</v>
      </c>
      <c r="D2238" t="s">
        <v>599</v>
      </c>
      <c r="E2238" s="3">
        <v>44197</v>
      </c>
      <c r="F2238" s="3">
        <v>44561</v>
      </c>
      <c r="G2238" t="s">
        <v>141</v>
      </c>
      <c r="H2238" s="3">
        <v>44197</v>
      </c>
      <c r="I2238" s="3">
        <v>44561</v>
      </c>
      <c r="J2238" t="s">
        <v>142</v>
      </c>
      <c r="K2238">
        <v>0</v>
      </c>
      <c r="L2238" t="s">
        <v>143</v>
      </c>
      <c r="M2238" t="s">
        <v>82</v>
      </c>
      <c r="O2238" t="s">
        <v>600</v>
      </c>
      <c r="P2238" t="s">
        <v>550</v>
      </c>
      <c r="Q2238">
        <v>2021</v>
      </c>
      <c r="R2238" t="s">
        <v>612</v>
      </c>
      <c r="S2238" t="s">
        <v>613</v>
      </c>
      <c r="T2238" t="s">
        <v>553</v>
      </c>
      <c r="U2238" t="b">
        <v>0</v>
      </c>
      <c r="V2238" t="s">
        <v>614</v>
      </c>
      <c r="W2238" t="s">
        <v>587</v>
      </c>
      <c r="X2238" t="s">
        <v>556</v>
      </c>
      <c r="AC2238">
        <v>0</v>
      </c>
      <c r="AD2238" t="s">
        <v>566</v>
      </c>
      <c r="AE2238">
        <v>0</v>
      </c>
      <c r="AF2238">
        <v>3.7199999999999997E-2</v>
      </c>
      <c r="AG2238" t="s">
        <v>588</v>
      </c>
      <c r="AH2238">
        <v>1</v>
      </c>
      <c r="AI2238">
        <v>0</v>
      </c>
      <c r="AJ2238" t="s">
        <v>561</v>
      </c>
      <c r="AK2238" t="s">
        <v>589</v>
      </c>
      <c r="AL2238" t="s">
        <v>603</v>
      </c>
      <c r="AM2238">
        <v>2021</v>
      </c>
      <c r="AN2238">
        <v>2019</v>
      </c>
      <c r="AO2238">
        <f>IF(AND(emissions[[#This Row],[Market-based]]=0,emissions[[#This Row],[Impact Type]]="CO2E"),emissions[[#This Row],[kgCO2e]],0)/1000</f>
        <v>0</v>
      </c>
      <c r="AP2238">
        <f>IF(AND(emissions[[#This Row],[Market-based]]=1,OR(emissions[[#This Row],[Impact Type]]="CO2E",emissions[[#This Row],[Impact Type]]="CO2E MKT")),emissions[[#This Row],[kgCO2e]],0)/1000</f>
        <v>0</v>
      </c>
      <c r="AQ2238" t="str">
        <f>_xlfn.TEXTAFTER(emissions[[#This Row],[Reporting Unit]]," &gt; ",LEN(emissions[[#This Row],[Reporting Unit]])-LEN(SUBSTITUTE(emissions[[#This Row],[Reporting Unit]],"&gt;","")))</f>
        <v>Vantage_Guatemala City</v>
      </c>
      <c r="AR2238" t="str">
        <f>_xlfn.XLOOKUP(emissions[[#This Row],[Reporting unit name]],hierarchy!$A:$A,hierarchy!$C:$C)</f>
        <v>Unspecified Facility Type</v>
      </c>
    </row>
    <row r="2239" spans="1:44" hidden="1" x14ac:dyDescent="0.25">
      <c r="A2239">
        <v>5011</v>
      </c>
      <c r="B2239" t="s">
        <v>229</v>
      </c>
      <c r="C2239" t="s">
        <v>525</v>
      </c>
      <c r="D2239" t="s">
        <v>599</v>
      </c>
      <c r="E2239" s="3">
        <v>44197</v>
      </c>
      <c r="F2239" s="3">
        <v>44561</v>
      </c>
      <c r="G2239" t="s">
        <v>141</v>
      </c>
      <c r="H2239" s="3">
        <v>44197</v>
      </c>
      <c r="I2239" s="3">
        <v>44561</v>
      </c>
      <c r="J2239" t="s">
        <v>142</v>
      </c>
      <c r="K2239">
        <v>0</v>
      </c>
      <c r="L2239" t="s">
        <v>143</v>
      </c>
      <c r="M2239" t="s">
        <v>82</v>
      </c>
      <c r="O2239" t="s">
        <v>600</v>
      </c>
      <c r="P2239" t="s">
        <v>550</v>
      </c>
      <c r="Q2239">
        <v>2021</v>
      </c>
      <c r="R2239" t="s">
        <v>612</v>
      </c>
      <c r="S2239" t="s">
        <v>613</v>
      </c>
      <c r="T2239" t="s">
        <v>553</v>
      </c>
      <c r="U2239" t="b">
        <v>0</v>
      </c>
      <c r="V2239" t="s">
        <v>614</v>
      </c>
      <c r="W2239" t="s">
        <v>587</v>
      </c>
      <c r="X2239" t="s">
        <v>556</v>
      </c>
      <c r="AC2239">
        <v>1</v>
      </c>
      <c r="AD2239" t="s">
        <v>558</v>
      </c>
      <c r="AE2239">
        <v>0</v>
      </c>
      <c r="AF2239">
        <v>2.5999999999999998E-4</v>
      </c>
      <c r="AG2239" t="s">
        <v>588</v>
      </c>
      <c r="AH2239">
        <v>1</v>
      </c>
      <c r="AI2239">
        <v>0</v>
      </c>
      <c r="AJ2239" t="s">
        <v>561</v>
      </c>
      <c r="AK2239" t="s">
        <v>589</v>
      </c>
      <c r="AL2239" t="s">
        <v>603</v>
      </c>
      <c r="AM2239">
        <v>2021</v>
      </c>
      <c r="AN2239">
        <v>2019</v>
      </c>
      <c r="AO2239">
        <f>IF(AND(emissions[[#This Row],[Market-based]]=0,emissions[[#This Row],[Impact Type]]="CO2E"),emissions[[#This Row],[kgCO2e]],0)/1000</f>
        <v>0</v>
      </c>
      <c r="AP2239">
        <f>IF(AND(emissions[[#This Row],[Market-based]]=1,OR(emissions[[#This Row],[Impact Type]]="CO2E",emissions[[#This Row],[Impact Type]]="CO2E MKT")),emissions[[#This Row],[kgCO2e]],0)/1000</f>
        <v>0</v>
      </c>
      <c r="AQ2239" t="str">
        <f>_xlfn.TEXTAFTER(emissions[[#This Row],[Reporting Unit]]," &gt; ",LEN(emissions[[#This Row],[Reporting Unit]])-LEN(SUBSTITUTE(emissions[[#This Row],[Reporting Unit]],"&gt;","")))</f>
        <v>Vantage_Guatemala City</v>
      </c>
      <c r="AR2239" t="str">
        <f>_xlfn.XLOOKUP(emissions[[#This Row],[Reporting unit name]],hierarchy!$A:$A,hierarchy!$C:$C)</f>
        <v>Unspecified Facility Type</v>
      </c>
    </row>
    <row r="2240" spans="1:44" hidden="1" x14ac:dyDescent="0.25">
      <c r="A2240">
        <v>5011</v>
      </c>
      <c r="B2240" t="s">
        <v>229</v>
      </c>
      <c r="C2240" t="s">
        <v>525</v>
      </c>
      <c r="D2240" t="s">
        <v>599</v>
      </c>
      <c r="E2240" s="3">
        <v>44197</v>
      </c>
      <c r="F2240" s="3">
        <v>44561</v>
      </c>
      <c r="G2240" t="s">
        <v>141</v>
      </c>
      <c r="H2240" s="3">
        <v>44197</v>
      </c>
      <c r="I2240" s="3">
        <v>44561</v>
      </c>
      <c r="J2240" t="s">
        <v>142</v>
      </c>
      <c r="K2240">
        <v>0</v>
      </c>
      <c r="L2240" t="s">
        <v>143</v>
      </c>
      <c r="M2240" t="s">
        <v>82</v>
      </c>
      <c r="O2240" t="s">
        <v>600</v>
      </c>
      <c r="P2240" t="s">
        <v>550</v>
      </c>
      <c r="Q2240">
        <v>2021</v>
      </c>
      <c r="R2240" t="s">
        <v>612</v>
      </c>
      <c r="S2240" t="s">
        <v>613</v>
      </c>
      <c r="T2240" t="s">
        <v>553</v>
      </c>
      <c r="U2240" t="b">
        <v>0</v>
      </c>
      <c r="V2240" t="s">
        <v>614</v>
      </c>
      <c r="W2240" t="s">
        <v>587</v>
      </c>
      <c r="X2240" t="s">
        <v>556</v>
      </c>
      <c r="AC2240">
        <v>1</v>
      </c>
      <c r="AD2240" t="s">
        <v>564</v>
      </c>
      <c r="AE2240">
        <v>0</v>
      </c>
      <c r="AF2240">
        <v>2.6680700000000002</v>
      </c>
      <c r="AG2240" t="s">
        <v>588</v>
      </c>
      <c r="AH2240">
        <v>1</v>
      </c>
      <c r="AI2240">
        <v>0</v>
      </c>
      <c r="AJ2240" t="s">
        <v>561</v>
      </c>
      <c r="AK2240" t="s">
        <v>589</v>
      </c>
      <c r="AL2240" t="s">
        <v>603</v>
      </c>
      <c r="AM2240">
        <v>2021</v>
      </c>
      <c r="AN2240">
        <v>2019</v>
      </c>
      <c r="AO2240">
        <f>IF(AND(emissions[[#This Row],[Market-based]]=0,emissions[[#This Row],[Impact Type]]="CO2E"),emissions[[#This Row],[kgCO2e]],0)/1000</f>
        <v>0</v>
      </c>
      <c r="AP2240">
        <f>IF(AND(emissions[[#This Row],[Market-based]]=1,OR(emissions[[#This Row],[Impact Type]]="CO2E",emissions[[#This Row],[Impact Type]]="CO2E MKT")),emissions[[#This Row],[kgCO2e]],0)/1000</f>
        <v>0</v>
      </c>
      <c r="AQ2240" t="str">
        <f>_xlfn.TEXTAFTER(emissions[[#This Row],[Reporting Unit]]," &gt; ",LEN(emissions[[#This Row],[Reporting Unit]])-LEN(SUBSTITUTE(emissions[[#This Row],[Reporting Unit]],"&gt;","")))</f>
        <v>Vantage_Guatemala City</v>
      </c>
      <c r="AR2240" t="str">
        <f>_xlfn.XLOOKUP(emissions[[#This Row],[Reporting unit name]],hierarchy!$A:$A,hierarchy!$C:$C)</f>
        <v>Unspecified Facility Type</v>
      </c>
    </row>
    <row r="2241" spans="1:44" hidden="1" x14ac:dyDescent="0.25">
      <c r="A2241">
        <v>5011</v>
      </c>
      <c r="B2241" t="s">
        <v>229</v>
      </c>
      <c r="C2241" t="s">
        <v>525</v>
      </c>
      <c r="D2241" t="s">
        <v>599</v>
      </c>
      <c r="E2241" s="3">
        <v>44197</v>
      </c>
      <c r="F2241" s="3">
        <v>44561</v>
      </c>
      <c r="G2241" t="s">
        <v>141</v>
      </c>
      <c r="H2241" s="3">
        <v>44197</v>
      </c>
      <c r="I2241" s="3">
        <v>44561</v>
      </c>
      <c r="J2241" t="s">
        <v>142</v>
      </c>
      <c r="K2241">
        <v>0</v>
      </c>
      <c r="L2241" t="s">
        <v>143</v>
      </c>
      <c r="M2241" t="s">
        <v>82</v>
      </c>
      <c r="O2241" t="s">
        <v>600</v>
      </c>
      <c r="P2241" t="s">
        <v>550</v>
      </c>
      <c r="Q2241">
        <v>2021</v>
      </c>
      <c r="R2241" t="s">
        <v>612</v>
      </c>
      <c r="S2241" t="s">
        <v>613</v>
      </c>
      <c r="T2241" t="s">
        <v>553</v>
      </c>
      <c r="U2241" t="b">
        <v>0</v>
      </c>
      <c r="V2241" t="s">
        <v>614</v>
      </c>
      <c r="W2241" t="s">
        <v>587</v>
      </c>
      <c r="X2241" t="s">
        <v>556</v>
      </c>
      <c r="AC2241">
        <v>1</v>
      </c>
      <c r="AD2241" t="s">
        <v>565</v>
      </c>
      <c r="AE2241">
        <v>0</v>
      </c>
      <c r="AF2241">
        <v>2.70553</v>
      </c>
      <c r="AG2241" t="s">
        <v>588</v>
      </c>
      <c r="AH2241">
        <v>1</v>
      </c>
      <c r="AI2241">
        <v>0</v>
      </c>
      <c r="AJ2241" t="s">
        <v>561</v>
      </c>
      <c r="AK2241" t="s">
        <v>589</v>
      </c>
      <c r="AL2241" t="s">
        <v>603</v>
      </c>
      <c r="AM2241">
        <v>2021</v>
      </c>
      <c r="AN2241">
        <v>2019</v>
      </c>
      <c r="AO2241">
        <f>IF(AND(emissions[[#This Row],[Market-based]]=0,emissions[[#This Row],[Impact Type]]="CO2E"),emissions[[#This Row],[kgCO2e]],0)/1000</f>
        <v>0</v>
      </c>
      <c r="AP2241">
        <f>IF(AND(emissions[[#This Row],[Market-based]]=1,OR(emissions[[#This Row],[Impact Type]]="CO2E",emissions[[#This Row],[Impact Type]]="CO2E MKT")),emissions[[#This Row],[kgCO2e]],0)/1000</f>
        <v>0</v>
      </c>
      <c r="AQ2241" t="str">
        <f>_xlfn.TEXTAFTER(emissions[[#This Row],[Reporting Unit]]," &gt; ",LEN(emissions[[#This Row],[Reporting Unit]])-LEN(SUBSTITUTE(emissions[[#This Row],[Reporting Unit]],"&gt;","")))</f>
        <v>Vantage_Guatemala City</v>
      </c>
      <c r="AR2241" t="str">
        <f>_xlfn.XLOOKUP(emissions[[#This Row],[Reporting unit name]],hierarchy!$A:$A,hierarchy!$C:$C)</f>
        <v>Unspecified Facility Type</v>
      </c>
    </row>
    <row r="2242" spans="1:44" hidden="1" x14ac:dyDescent="0.25">
      <c r="A2242">
        <v>5011</v>
      </c>
      <c r="B2242" t="s">
        <v>229</v>
      </c>
      <c r="C2242" t="s">
        <v>525</v>
      </c>
      <c r="D2242" t="s">
        <v>599</v>
      </c>
      <c r="E2242" s="3">
        <v>44197</v>
      </c>
      <c r="F2242" s="3">
        <v>44561</v>
      </c>
      <c r="G2242" t="s">
        <v>141</v>
      </c>
      <c r="H2242" s="3">
        <v>44197</v>
      </c>
      <c r="I2242" s="3">
        <v>44561</v>
      </c>
      <c r="J2242" t="s">
        <v>142</v>
      </c>
      <c r="K2242">
        <v>0</v>
      </c>
      <c r="L2242" t="s">
        <v>143</v>
      </c>
      <c r="M2242" t="s">
        <v>82</v>
      </c>
      <c r="O2242" t="s">
        <v>600</v>
      </c>
      <c r="P2242" t="s">
        <v>550</v>
      </c>
      <c r="Q2242">
        <v>2021</v>
      </c>
      <c r="R2242" t="s">
        <v>612</v>
      </c>
      <c r="S2242" t="s">
        <v>613</v>
      </c>
      <c r="T2242" t="s">
        <v>553</v>
      </c>
      <c r="U2242" t="b">
        <v>0</v>
      </c>
      <c r="V2242" t="s">
        <v>614</v>
      </c>
      <c r="W2242" t="s">
        <v>587</v>
      </c>
      <c r="X2242" t="s">
        <v>556</v>
      </c>
      <c r="AC2242">
        <v>1</v>
      </c>
      <c r="AD2242" t="s">
        <v>566</v>
      </c>
      <c r="AE2242">
        <v>0</v>
      </c>
      <c r="AF2242">
        <v>3.7199999999999997E-2</v>
      </c>
      <c r="AG2242" t="s">
        <v>588</v>
      </c>
      <c r="AH2242">
        <v>1</v>
      </c>
      <c r="AI2242">
        <v>0</v>
      </c>
      <c r="AJ2242" t="s">
        <v>561</v>
      </c>
      <c r="AK2242" t="s">
        <v>589</v>
      </c>
      <c r="AL2242" t="s">
        <v>603</v>
      </c>
      <c r="AM2242">
        <v>2021</v>
      </c>
      <c r="AN2242">
        <v>2019</v>
      </c>
      <c r="AO2242">
        <f>IF(AND(emissions[[#This Row],[Market-based]]=0,emissions[[#This Row],[Impact Type]]="CO2E"),emissions[[#This Row],[kgCO2e]],0)/1000</f>
        <v>0</v>
      </c>
      <c r="AP2242">
        <f>IF(AND(emissions[[#This Row],[Market-based]]=1,OR(emissions[[#This Row],[Impact Type]]="CO2E",emissions[[#This Row],[Impact Type]]="CO2E MKT")),emissions[[#This Row],[kgCO2e]],0)/1000</f>
        <v>0</v>
      </c>
      <c r="AQ2242" t="str">
        <f>_xlfn.TEXTAFTER(emissions[[#This Row],[Reporting Unit]]," &gt; ",LEN(emissions[[#This Row],[Reporting Unit]])-LEN(SUBSTITUTE(emissions[[#This Row],[Reporting Unit]],"&gt;","")))</f>
        <v>Vantage_Guatemala City</v>
      </c>
      <c r="AR2242" t="str">
        <f>_xlfn.XLOOKUP(emissions[[#This Row],[Reporting unit name]],hierarchy!$A:$A,hierarchy!$C:$C)</f>
        <v>Unspecified Facility Type</v>
      </c>
    </row>
    <row r="2243" spans="1:44" hidden="1" x14ac:dyDescent="0.25">
      <c r="A2243">
        <v>5011</v>
      </c>
      <c r="B2243" t="s">
        <v>229</v>
      </c>
      <c r="C2243" t="s">
        <v>525</v>
      </c>
      <c r="D2243" t="s">
        <v>599</v>
      </c>
      <c r="E2243" s="3">
        <v>44197</v>
      </c>
      <c r="F2243" s="3">
        <v>44561</v>
      </c>
      <c r="G2243" t="s">
        <v>141</v>
      </c>
      <c r="H2243" s="3">
        <v>44197</v>
      </c>
      <c r="I2243" s="3">
        <v>44561</v>
      </c>
      <c r="J2243" t="s">
        <v>142</v>
      </c>
      <c r="K2243">
        <v>0</v>
      </c>
      <c r="L2243" t="s">
        <v>143</v>
      </c>
      <c r="M2243" t="s">
        <v>82</v>
      </c>
      <c r="O2243" t="s">
        <v>600</v>
      </c>
      <c r="P2243" t="s">
        <v>550</v>
      </c>
      <c r="Q2243">
        <v>2021</v>
      </c>
      <c r="R2243" t="s">
        <v>615</v>
      </c>
      <c r="S2243" t="s">
        <v>616</v>
      </c>
      <c r="T2243" t="s">
        <v>577</v>
      </c>
      <c r="U2243" t="b">
        <v>0</v>
      </c>
      <c r="V2243" t="s">
        <v>617</v>
      </c>
      <c r="W2243" t="s">
        <v>571</v>
      </c>
      <c r="X2243" t="s">
        <v>572</v>
      </c>
      <c r="AC2243">
        <v>0</v>
      </c>
      <c r="AD2243" t="s">
        <v>565</v>
      </c>
      <c r="AE2243">
        <v>0</v>
      </c>
      <c r="AF2243">
        <v>0.62873999999999997</v>
      </c>
      <c r="AG2243" t="s">
        <v>588</v>
      </c>
      <c r="AH2243">
        <v>1</v>
      </c>
      <c r="AI2243">
        <v>0</v>
      </c>
      <c r="AJ2243" t="s">
        <v>561</v>
      </c>
      <c r="AK2243" t="s">
        <v>589</v>
      </c>
      <c r="AL2243" t="s">
        <v>603</v>
      </c>
      <c r="AM2243">
        <v>2021</v>
      </c>
      <c r="AN2243">
        <v>2019</v>
      </c>
      <c r="AO2243">
        <f>IF(AND(emissions[[#This Row],[Market-based]]=0,emissions[[#This Row],[Impact Type]]="CO2E"),emissions[[#This Row],[kgCO2e]],0)/1000</f>
        <v>0</v>
      </c>
      <c r="AP2243">
        <f>IF(AND(emissions[[#This Row],[Market-based]]=1,OR(emissions[[#This Row],[Impact Type]]="CO2E",emissions[[#This Row],[Impact Type]]="CO2E MKT")),emissions[[#This Row],[kgCO2e]],0)/1000</f>
        <v>0</v>
      </c>
      <c r="AQ2243" t="str">
        <f>_xlfn.TEXTAFTER(emissions[[#This Row],[Reporting Unit]]," &gt; ",LEN(emissions[[#This Row],[Reporting Unit]])-LEN(SUBSTITUTE(emissions[[#This Row],[Reporting Unit]],"&gt;","")))</f>
        <v>Vantage_Guatemala City</v>
      </c>
      <c r="AR2243" t="str">
        <f>_xlfn.XLOOKUP(emissions[[#This Row],[Reporting unit name]],hierarchy!$A:$A,hierarchy!$C:$C)</f>
        <v>Unspecified Facility Type</v>
      </c>
    </row>
    <row r="2244" spans="1:44" hidden="1" x14ac:dyDescent="0.25">
      <c r="A2244">
        <v>5011</v>
      </c>
      <c r="B2244" t="s">
        <v>229</v>
      </c>
      <c r="C2244" t="s">
        <v>525</v>
      </c>
      <c r="D2244" t="s">
        <v>599</v>
      </c>
      <c r="E2244" s="3">
        <v>44197</v>
      </c>
      <c r="F2244" s="3">
        <v>44561</v>
      </c>
      <c r="G2244" t="s">
        <v>141</v>
      </c>
      <c r="H2244" s="3">
        <v>44197</v>
      </c>
      <c r="I2244" s="3">
        <v>44561</v>
      </c>
      <c r="J2244" t="s">
        <v>142</v>
      </c>
      <c r="K2244">
        <v>0</v>
      </c>
      <c r="L2244" t="s">
        <v>143</v>
      </c>
      <c r="M2244" t="s">
        <v>82</v>
      </c>
      <c r="O2244" t="s">
        <v>600</v>
      </c>
      <c r="P2244" t="s">
        <v>550</v>
      </c>
      <c r="Q2244">
        <v>2021</v>
      </c>
      <c r="R2244" t="s">
        <v>615</v>
      </c>
      <c r="S2244" t="s">
        <v>616</v>
      </c>
      <c r="T2244" t="s">
        <v>577</v>
      </c>
      <c r="U2244" t="b">
        <v>0</v>
      </c>
      <c r="V2244" t="s">
        <v>617</v>
      </c>
      <c r="W2244" t="s">
        <v>571</v>
      </c>
      <c r="X2244" t="s">
        <v>572</v>
      </c>
      <c r="AC2244">
        <v>1</v>
      </c>
      <c r="AD2244" t="s">
        <v>565</v>
      </c>
      <c r="AE2244">
        <v>0</v>
      </c>
      <c r="AF2244">
        <v>0.62873999999999997</v>
      </c>
      <c r="AG2244" t="s">
        <v>588</v>
      </c>
      <c r="AH2244">
        <v>1</v>
      </c>
      <c r="AI2244">
        <v>0</v>
      </c>
      <c r="AJ2244" t="s">
        <v>561</v>
      </c>
      <c r="AK2244" t="s">
        <v>589</v>
      </c>
      <c r="AL2244" t="s">
        <v>603</v>
      </c>
      <c r="AM2244">
        <v>2021</v>
      </c>
      <c r="AN2244">
        <v>2019</v>
      </c>
      <c r="AO2244">
        <f>IF(AND(emissions[[#This Row],[Market-based]]=0,emissions[[#This Row],[Impact Type]]="CO2E"),emissions[[#This Row],[kgCO2e]],0)/1000</f>
        <v>0</v>
      </c>
      <c r="AP2244">
        <f>IF(AND(emissions[[#This Row],[Market-based]]=1,OR(emissions[[#This Row],[Impact Type]]="CO2E",emissions[[#This Row],[Impact Type]]="CO2E MKT")),emissions[[#This Row],[kgCO2e]],0)/1000</f>
        <v>0</v>
      </c>
      <c r="AQ2244" t="str">
        <f>_xlfn.TEXTAFTER(emissions[[#This Row],[Reporting Unit]]," &gt; ",LEN(emissions[[#This Row],[Reporting Unit]])-LEN(SUBSTITUTE(emissions[[#This Row],[Reporting Unit]],"&gt;","")))</f>
        <v>Vantage_Guatemala City</v>
      </c>
      <c r="AR2244" t="str">
        <f>_xlfn.XLOOKUP(emissions[[#This Row],[Reporting unit name]],hierarchy!$A:$A,hierarchy!$C:$C)</f>
        <v>Unspecified Facility Type</v>
      </c>
    </row>
    <row r="2245" spans="1:44" hidden="1" x14ac:dyDescent="0.25">
      <c r="A2245">
        <v>5037</v>
      </c>
      <c r="B2245" t="s">
        <v>229</v>
      </c>
      <c r="C2245" t="s">
        <v>525</v>
      </c>
      <c r="D2245" t="s">
        <v>599</v>
      </c>
      <c r="E2245" s="3">
        <v>44197</v>
      </c>
      <c r="F2245" s="3">
        <v>44561</v>
      </c>
      <c r="G2245" t="s">
        <v>116</v>
      </c>
      <c r="H2245" s="3">
        <v>44197</v>
      </c>
      <c r="I2245" s="3">
        <v>44561</v>
      </c>
      <c r="J2245" t="s">
        <v>128</v>
      </c>
      <c r="K2245">
        <v>0.71040000000000003</v>
      </c>
      <c r="L2245" t="s">
        <v>118</v>
      </c>
      <c r="M2245" t="s">
        <v>82</v>
      </c>
      <c r="O2245" t="s">
        <v>618</v>
      </c>
      <c r="P2245" t="s">
        <v>550</v>
      </c>
      <c r="Q2245">
        <v>2021</v>
      </c>
      <c r="R2245" t="s">
        <v>619</v>
      </c>
      <c r="S2245" t="s">
        <v>620</v>
      </c>
      <c r="T2245" t="s">
        <v>553</v>
      </c>
      <c r="U2245" t="b">
        <v>0</v>
      </c>
      <c r="V2245" t="s">
        <v>621</v>
      </c>
      <c r="W2245" t="s">
        <v>587</v>
      </c>
      <c r="X2245" t="s">
        <v>556</v>
      </c>
      <c r="AC2245">
        <v>0</v>
      </c>
      <c r="AD2245" t="s">
        <v>565</v>
      </c>
      <c r="AE2245">
        <v>1015.872</v>
      </c>
      <c r="AF2245">
        <v>1430</v>
      </c>
      <c r="AG2245" t="s">
        <v>622</v>
      </c>
      <c r="AH2245">
        <v>1</v>
      </c>
      <c r="AI2245">
        <v>0.71040000000000003</v>
      </c>
      <c r="AJ2245" t="s">
        <v>561</v>
      </c>
      <c r="AK2245" t="s">
        <v>623</v>
      </c>
      <c r="AL2245" t="s">
        <v>624</v>
      </c>
      <c r="AM2245">
        <v>2021</v>
      </c>
      <c r="AN2245">
        <v>2007</v>
      </c>
      <c r="AO2245">
        <f>IF(AND(emissions[[#This Row],[Market-based]]=0,emissions[[#This Row],[Impact Type]]="CO2E"),emissions[[#This Row],[kgCO2e]],0)/1000</f>
        <v>1.0158719999999999</v>
      </c>
      <c r="AP2245">
        <f>IF(AND(emissions[[#This Row],[Market-based]]=1,OR(emissions[[#This Row],[Impact Type]]="CO2E",emissions[[#This Row],[Impact Type]]="CO2E MKT")),emissions[[#This Row],[kgCO2e]],0)/1000</f>
        <v>0</v>
      </c>
      <c r="AQ2245" t="str">
        <f>_xlfn.TEXTAFTER(emissions[[#This Row],[Reporting Unit]]," &gt; ",LEN(emissions[[#This Row],[Reporting Unit]])-LEN(SUBSTITUTE(emissions[[#This Row],[Reporting Unit]],"&gt;","")))</f>
        <v>Vantage_Guatemala City</v>
      </c>
      <c r="AR2245" t="str">
        <f>_xlfn.XLOOKUP(emissions[[#This Row],[Reporting unit name]],hierarchy!$A:$A,hierarchy!$C:$C)</f>
        <v>Unspecified Facility Type</v>
      </c>
    </row>
    <row r="2246" spans="1:44" hidden="1" x14ac:dyDescent="0.25">
      <c r="A2246">
        <v>5037</v>
      </c>
      <c r="B2246" t="s">
        <v>229</v>
      </c>
      <c r="C2246" t="s">
        <v>525</v>
      </c>
      <c r="D2246" t="s">
        <v>599</v>
      </c>
      <c r="E2246" s="3">
        <v>44197</v>
      </c>
      <c r="F2246" s="3">
        <v>44561</v>
      </c>
      <c r="G2246" t="s">
        <v>116</v>
      </c>
      <c r="H2246" s="3">
        <v>44197</v>
      </c>
      <c r="I2246" s="3">
        <v>44561</v>
      </c>
      <c r="J2246" t="s">
        <v>128</v>
      </c>
      <c r="K2246">
        <v>0.71040000000000003</v>
      </c>
      <c r="L2246" t="s">
        <v>118</v>
      </c>
      <c r="M2246" t="s">
        <v>82</v>
      </c>
      <c r="O2246" t="s">
        <v>618</v>
      </c>
      <c r="P2246" t="s">
        <v>550</v>
      </c>
      <c r="Q2246">
        <v>2021</v>
      </c>
      <c r="R2246" t="s">
        <v>619</v>
      </c>
      <c r="S2246" t="s">
        <v>620</v>
      </c>
      <c r="T2246" t="s">
        <v>553</v>
      </c>
      <c r="U2246" t="b">
        <v>0</v>
      </c>
      <c r="V2246" t="s">
        <v>621</v>
      </c>
      <c r="W2246" t="s">
        <v>587</v>
      </c>
      <c r="X2246" t="s">
        <v>556</v>
      </c>
      <c r="AC2246">
        <v>1</v>
      </c>
      <c r="AD2246" t="s">
        <v>565</v>
      </c>
      <c r="AE2246">
        <v>1015.872</v>
      </c>
      <c r="AF2246">
        <v>1430</v>
      </c>
      <c r="AG2246" t="s">
        <v>622</v>
      </c>
      <c r="AH2246">
        <v>1</v>
      </c>
      <c r="AI2246">
        <v>0.71040000000000003</v>
      </c>
      <c r="AJ2246" t="s">
        <v>561</v>
      </c>
      <c r="AK2246" t="s">
        <v>623</v>
      </c>
      <c r="AL2246" t="s">
        <v>624</v>
      </c>
      <c r="AM2246">
        <v>2021</v>
      </c>
      <c r="AN2246">
        <v>2007</v>
      </c>
      <c r="AO2246">
        <f>IF(AND(emissions[[#This Row],[Market-based]]=0,emissions[[#This Row],[Impact Type]]="CO2E"),emissions[[#This Row],[kgCO2e]],0)/1000</f>
        <v>0</v>
      </c>
      <c r="AP2246">
        <f>IF(AND(emissions[[#This Row],[Market-based]]=1,OR(emissions[[#This Row],[Impact Type]]="CO2E",emissions[[#This Row],[Impact Type]]="CO2E MKT")),emissions[[#This Row],[kgCO2e]],0)/1000</f>
        <v>1.0158719999999999</v>
      </c>
      <c r="AQ2246" t="str">
        <f>_xlfn.TEXTAFTER(emissions[[#This Row],[Reporting Unit]]," &gt; ",LEN(emissions[[#This Row],[Reporting Unit]])-LEN(SUBSTITUTE(emissions[[#This Row],[Reporting Unit]],"&gt;","")))</f>
        <v>Vantage_Guatemala City</v>
      </c>
      <c r="AR2246" t="str">
        <f>_xlfn.XLOOKUP(emissions[[#This Row],[Reporting unit name]],hierarchy!$A:$A,hierarchy!$C:$C)</f>
        <v>Unspecified Facility Type</v>
      </c>
    </row>
    <row r="2247" spans="1:44" hidden="1" x14ac:dyDescent="0.25">
      <c r="A2247">
        <v>1590448</v>
      </c>
      <c r="B2247" t="s">
        <v>226</v>
      </c>
      <c r="C2247" t="s">
        <v>501</v>
      </c>
      <c r="D2247" t="s">
        <v>548</v>
      </c>
      <c r="E2247" s="3">
        <v>44562</v>
      </c>
      <c r="F2247" s="3">
        <v>44926</v>
      </c>
      <c r="G2247" t="s">
        <v>108</v>
      </c>
      <c r="H2247" s="3">
        <v>44562</v>
      </c>
      <c r="I2247" s="3">
        <v>44926</v>
      </c>
      <c r="J2247" t="s">
        <v>108</v>
      </c>
      <c r="K2247">
        <v>645.22071600000004</v>
      </c>
      <c r="L2247" t="s">
        <v>109</v>
      </c>
      <c r="M2247" t="s">
        <v>82</v>
      </c>
      <c r="N2247" t="s">
        <v>137</v>
      </c>
      <c r="O2247" t="s">
        <v>631</v>
      </c>
      <c r="P2247" t="s">
        <v>631</v>
      </c>
      <c r="Q2247">
        <v>2022</v>
      </c>
      <c r="R2247" t="s">
        <v>551</v>
      </c>
      <c r="S2247" t="s">
        <v>552</v>
      </c>
      <c r="T2247" t="s">
        <v>553</v>
      </c>
      <c r="U2247" t="b">
        <v>0</v>
      </c>
      <c r="V2247" t="s">
        <v>1031</v>
      </c>
      <c r="W2247" t="s">
        <v>555</v>
      </c>
      <c r="X2247" t="s">
        <v>556</v>
      </c>
      <c r="Y2247" t="s">
        <v>472</v>
      </c>
      <c r="Z2247" t="s">
        <v>491</v>
      </c>
      <c r="AA2247" t="s">
        <v>1032</v>
      </c>
      <c r="AC2247">
        <v>0</v>
      </c>
      <c r="AD2247" t="s">
        <v>558</v>
      </c>
      <c r="AE2247">
        <v>0.129044143</v>
      </c>
      <c r="AF2247" t="s">
        <v>559</v>
      </c>
      <c r="AG2247" t="s">
        <v>560</v>
      </c>
      <c r="AH2247">
        <v>1</v>
      </c>
      <c r="AI2247">
        <v>645.22071600000004</v>
      </c>
      <c r="AJ2247" t="s">
        <v>561</v>
      </c>
      <c r="AK2247" t="s">
        <v>562</v>
      </c>
      <c r="AL2247" t="s">
        <v>563</v>
      </c>
      <c r="AM2247">
        <v>2022</v>
      </c>
      <c r="AN2247">
        <v>2020</v>
      </c>
      <c r="AO2247">
        <f>IF(AND(emissions[[#This Row],[Market-based]]=0,emissions[[#This Row],[Impact Type]]="CO2E"),emissions[[#This Row],[kgCO2e]],0)/1000</f>
        <v>0</v>
      </c>
      <c r="AP2247">
        <f>IF(AND(emissions[[#This Row],[Market-based]]=1,OR(emissions[[#This Row],[Impact Type]]="CO2E",emissions[[#This Row],[Impact Type]]="CO2E MKT")),emissions[[#This Row],[kgCO2e]],0)/1000</f>
        <v>0</v>
      </c>
      <c r="AQ2247" t="str">
        <f>_xlfn.TEXTAFTER(emissions[[#This Row],[Reporting Unit]]," &gt; ",LEN(emissions[[#This Row],[Reporting Unit]])-LEN(SUBSTITUTE(emissions[[#This Row],[Reporting Unit]],"&gt;","")))</f>
        <v>Vantage_Lima</v>
      </c>
      <c r="AR2247" t="str">
        <f>_xlfn.XLOOKUP(emissions[[#This Row],[Reporting unit name]],hierarchy!$A:$A,hierarchy!$C:$C)</f>
        <v>Office</v>
      </c>
    </row>
    <row r="2248" spans="1:44" hidden="1" x14ac:dyDescent="0.25">
      <c r="A2248">
        <v>1590448</v>
      </c>
      <c r="B2248" t="s">
        <v>226</v>
      </c>
      <c r="C2248" t="s">
        <v>501</v>
      </c>
      <c r="D2248" t="s">
        <v>548</v>
      </c>
      <c r="E2248" s="3">
        <v>44562</v>
      </c>
      <c r="F2248" s="3">
        <v>44926</v>
      </c>
      <c r="G2248" t="s">
        <v>108</v>
      </c>
      <c r="H2248" s="3">
        <v>44562</v>
      </c>
      <c r="I2248" s="3">
        <v>44926</v>
      </c>
      <c r="J2248" t="s">
        <v>108</v>
      </c>
      <c r="K2248">
        <v>645.22071600000004</v>
      </c>
      <c r="L2248" t="s">
        <v>109</v>
      </c>
      <c r="M2248" t="s">
        <v>82</v>
      </c>
      <c r="N2248" t="s">
        <v>137</v>
      </c>
      <c r="O2248" t="s">
        <v>631</v>
      </c>
      <c r="P2248" t="s">
        <v>631</v>
      </c>
      <c r="Q2248">
        <v>2022</v>
      </c>
      <c r="R2248" t="s">
        <v>551</v>
      </c>
      <c r="S2248" t="s">
        <v>552</v>
      </c>
      <c r="T2248" t="s">
        <v>553</v>
      </c>
      <c r="U2248" t="b">
        <v>0</v>
      </c>
      <c r="V2248" t="s">
        <v>1031</v>
      </c>
      <c r="W2248" t="s">
        <v>555</v>
      </c>
      <c r="X2248" t="s">
        <v>556</v>
      </c>
      <c r="Y2248" t="s">
        <v>472</v>
      </c>
      <c r="Z2248" t="s">
        <v>491</v>
      </c>
      <c r="AA2248" t="s">
        <v>1032</v>
      </c>
      <c r="AC2248">
        <v>0</v>
      </c>
      <c r="AD2248" t="s">
        <v>564</v>
      </c>
      <c r="AE2248">
        <v>114.33311089999999</v>
      </c>
      <c r="AF2248" t="s">
        <v>559</v>
      </c>
      <c r="AG2248" t="s">
        <v>560</v>
      </c>
      <c r="AH2248">
        <v>1</v>
      </c>
      <c r="AI2248">
        <v>645.22071600000004</v>
      </c>
      <c r="AJ2248" t="s">
        <v>561</v>
      </c>
      <c r="AK2248" t="s">
        <v>562</v>
      </c>
      <c r="AL2248" t="s">
        <v>563</v>
      </c>
      <c r="AM2248">
        <v>2022</v>
      </c>
      <c r="AN2248">
        <v>2020</v>
      </c>
      <c r="AO2248">
        <f>IF(AND(emissions[[#This Row],[Market-based]]=0,emissions[[#This Row],[Impact Type]]="CO2E"),emissions[[#This Row],[kgCO2e]],0)/1000</f>
        <v>0</v>
      </c>
      <c r="AP2248">
        <f>IF(AND(emissions[[#This Row],[Market-based]]=1,OR(emissions[[#This Row],[Impact Type]]="CO2E",emissions[[#This Row],[Impact Type]]="CO2E MKT")),emissions[[#This Row],[kgCO2e]],0)/1000</f>
        <v>0</v>
      </c>
      <c r="AQ2248" t="str">
        <f>_xlfn.TEXTAFTER(emissions[[#This Row],[Reporting Unit]]," &gt; ",LEN(emissions[[#This Row],[Reporting Unit]])-LEN(SUBSTITUTE(emissions[[#This Row],[Reporting Unit]],"&gt;","")))</f>
        <v>Vantage_Lima</v>
      </c>
      <c r="AR2248" t="str">
        <f>_xlfn.XLOOKUP(emissions[[#This Row],[Reporting unit name]],hierarchy!$A:$A,hierarchy!$C:$C)</f>
        <v>Office</v>
      </c>
    </row>
    <row r="2249" spans="1:44" hidden="1" x14ac:dyDescent="0.25">
      <c r="A2249">
        <v>1590448</v>
      </c>
      <c r="B2249" t="s">
        <v>226</v>
      </c>
      <c r="C2249" t="s">
        <v>501</v>
      </c>
      <c r="D2249" t="s">
        <v>548</v>
      </c>
      <c r="E2249" s="3">
        <v>44562</v>
      </c>
      <c r="F2249" s="3">
        <v>44926</v>
      </c>
      <c r="G2249" t="s">
        <v>108</v>
      </c>
      <c r="H2249" s="3">
        <v>44562</v>
      </c>
      <c r="I2249" s="3">
        <v>44926</v>
      </c>
      <c r="J2249" t="s">
        <v>108</v>
      </c>
      <c r="K2249">
        <v>645.22071600000004</v>
      </c>
      <c r="L2249" t="s">
        <v>109</v>
      </c>
      <c r="M2249" t="s">
        <v>82</v>
      </c>
      <c r="N2249" t="s">
        <v>137</v>
      </c>
      <c r="O2249" t="s">
        <v>631</v>
      </c>
      <c r="P2249" t="s">
        <v>631</v>
      </c>
      <c r="Q2249">
        <v>2022</v>
      </c>
      <c r="R2249" t="s">
        <v>551</v>
      </c>
      <c r="S2249" t="s">
        <v>552</v>
      </c>
      <c r="T2249" t="s">
        <v>553</v>
      </c>
      <c r="U2249" t="b">
        <v>0</v>
      </c>
      <c r="V2249" t="s">
        <v>1031</v>
      </c>
      <c r="W2249" t="s">
        <v>555</v>
      </c>
      <c r="X2249" t="s">
        <v>556</v>
      </c>
      <c r="Y2249" t="s">
        <v>472</v>
      </c>
      <c r="Z2249" t="s">
        <v>491</v>
      </c>
      <c r="AA2249" t="s">
        <v>1032</v>
      </c>
      <c r="AC2249">
        <v>0</v>
      </c>
      <c r="AD2249" t="s">
        <v>565</v>
      </c>
      <c r="AE2249">
        <v>114.72024330000001</v>
      </c>
      <c r="AF2249" t="s">
        <v>559</v>
      </c>
      <c r="AG2249" t="s">
        <v>560</v>
      </c>
      <c r="AH2249">
        <v>1</v>
      </c>
      <c r="AI2249">
        <v>645.22071600000004</v>
      </c>
      <c r="AJ2249" t="s">
        <v>561</v>
      </c>
      <c r="AK2249" t="s">
        <v>562</v>
      </c>
      <c r="AL2249" t="s">
        <v>563</v>
      </c>
      <c r="AM2249">
        <v>2022</v>
      </c>
      <c r="AN2249">
        <v>2020</v>
      </c>
      <c r="AO2249">
        <f>IF(AND(emissions[[#This Row],[Market-based]]=0,emissions[[#This Row],[Impact Type]]="CO2E"),emissions[[#This Row],[kgCO2e]],0)/1000</f>
        <v>0.11472024330000001</v>
      </c>
      <c r="AP2249">
        <f>IF(AND(emissions[[#This Row],[Market-based]]=1,OR(emissions[[#This Row],[Impact Type]]="CO2E",emissions[[#This Row],[Impact Type]]="CO2E MKT")),emissions[[#This Row],[kgCO2e]],0)/1000</f>
        <v>0</v>
      </c>
      <c r="AQ2249" t="str">
        <f>_xlfn.TEXTAFTER(emissions[[#This Row],[Reporting Unit]]," &gt; ",LEN(emissions[[#This Row],[Reporting Unit]])-LEN(SUBSTITUTE(emissions[[#This Row],[Reporting Unit]],"&gt;","")))</f>
        <v>Vantage_Lima</v>
      </c>
      <c r="AR2249" t="str">
        <f>_xlfn.XLOOKUP(emissions[[#This Row],[Reporting unit name]],hierarchy!$A:$A,hierarchy!$C:$C)</f>
        <v>Office</v>
      </c>
    </row>
    <row r="2250" spans="1:44" hidden="1" x14ac:dyDescent="0.25">
      <c r="A2250">
        <v>1590448</v>
      </c>
      <c r="B2250" t="s">
        <v>226</v>
      </c>
      <c r="C2250" t="s">
        <v>501</v>
      </c>
      <c r="D2250" t="s">
        <v>548</v>
      </c>
      <c r="E2250" s="3">
        <v>44562</v>
      </c>
      <c r="F2250" s="3">
        <v>44926</v>
      </c>
      <c r="G2250" t="s">
        <v>108</v>
      </c>
      <c r="H2250" s="3">
        <v>44562</v>
      </c>
      <c r="I2250" s="3">
        <v>44926</v>
      </c>
      <c r="J2250" t="s">
        <v>108</v>
      </c>
      <c r="K2250">
        <v>645.22071600000004</v>
      </c>
      <c r="L2250" t="s">
        <v>109</v>
      </c>
      <c r="M2250" t="s">
        <v>82</v>
      </c>
      <c r="N2250" t="s">
        <v>137</v>
      </c>
      <c r="O2250" t="s">
        <v>631</v>
      </c>
      <c r="P2250" t="s">
        <v>631</v>
      </c>
      <c r="Q2250">
        <v>2022</v>
      </c>
      <c r="R2250" t="s">
        <v>551</v>
      </c>
      <c r="S2250" t="s">
        <v>552</v>
      </c>
      <c r="T2250" t="s">
        <v>553</v>
      </c>
      <c r="U2250" t="b">
        <v>0</v>
      </c>
      <c r="V2250" t="s">
        <v>1031</v>
      </c>
      <c r="W2250" t="s">
        <v>555</v>
      </c>
      <c r="X2250" t="s">
        <v>556</v>
      </c>
      <c r="Y2250" t="s">
        <v>472</v>
      </c>
      <c r="Z2250" t="s">
        <v>491</v>
      </c>
      <c r="AA2250" t="s">
        <v>1032</v>
      </c>
      <c r="AC2250">
        <v>0</v>
      </c>
      <c r="AD2250" t="s">
        <v>566</v>
      </c>
      <c r="AE2250">
        <v>0.258088286</v>
      </c>
      <c r="AF2250" t="s">
        <v>559</v>
      </c>
      <c r="AG2250" t="s">
        <v>560</v>
      </c>
      <c r="AH2250">
        <v>1</v>
      </c>
      <c r="AI2250">
        <v>645.22071600000004</v>
      </c>
      <c r="AJ2250" t="s">
        <v>561</v>
      </c>
      <c r="AK2250" t="s">
        <v>562</v>
      </c>
      <c r="AL2250" t="s">
        <v>563</v>
      </c>
      <c r="AM2250">
        <v>2022</v>
      </c>
      <c r="AN2250">
        <v>2020</v>
      </c>
      <c r="AO2250">
        <f>IF(AND(emissions[[#This Row],[Market-based]]=0,emissions[[#This Row],[Impact Type]]="CO2E"),emissions[[#This Row],[kgCO2e]],0)/1000</f>
        <v>0</v>
      </c>
      <c r="AP2250">
        <f>IF(AND(emissions[[#This Row],[Market-based]]=1,OR(emissions[[#This Row],[Impact Type]]="CO2E",emissions[[#This Row],[Impact Type]]="CO2E MKT")),emissions[[#This Row],[kgCO2e]],0)/1000</f>
        <v>0</v>
      </c>
      <c r="AQ2250" t="str">
        <f>_xlfn.TEXTAFTER(emissions[[#This Row],[Reporting Unit]]," &gt; ",LEN(emissions[[#This Row],[Reporting Unit]])-LEN(SUBSTITUTE(emissions[[#This Row],[Reporting Unit]],"&gt;","")))</f>
        <v>Vantage_Lima</v>
      </c>
      <c r="AR2250" t="str">
        <f>_xlfn.XLOOKUP(emissions[[#This Row],[Reporting unit name]],hierarchy!$A:$A,hierarchy!$C:$C)</f>
        <v>Office</v>
      </c>
    </row>
    <row r="2251" spans="1:44" hidden="1" x14ac:dyDescent="0.25">
      <c r="A2251">
        <v>1590448</v>
      </c>
      <c r="B2251" t="s">
        <v>226</v>
      </c>
      <c r="C2251" t="s">
        <v>501</v>
      </c>
      <c r="D2251" t="s">
        <v>548</v>
      </c>
      <c r="E2251" s="3">
        <v>44562</v>
      </c>
      <c r="F2251" s="3">
        <v>44926</v>
      </c>
      <c r="G2251" t="s">
        <v>108</v>
      </c>
      <c r="H2251" s="3">
        <v>44562</v>
      </c>
      <c r="I2251" s="3">
        <v>44926</v>
      </c>
      <c r="J2251" t="s">
        <v>108</v>
      </c>
      <c r="K2251">
        <v>645.22071600000004</v>
      </c>
      <c r="L2251" t="s">
        <v>109</v>
      </c>
      <c r="M2251" t="s">
        <v>82</v>
      </c>
      <c r="N2251" t="s">
        <v>137</v>
      </c>
      <c r="O2251" t="s">
        <v>631</v>
      </c>
      <c r="P2251" t="s">
        <v>631</v>
      </c>
      <c r="Q2251">
        <v>2022</v>
      </c>
      <c r="R2251" t="s">
        <v>551</v>
      </c>
      <c r="S2251" t="s">
        <v>552</v>
      </c>
      <c r="T2251" t="s">
        <v>553</v>
      </c>
      <c r="U2251" t="b">
        <v>0</v>
      </c>
      <c r="V2251" t="s">
        <v>1031</v>
      </c>
      <c r="W2251" t="s">
        <v>555</v>
      </c>
      <c r="X2251" t="s">
        <v>556</v>
      </c>
      <c r="Y2251" t="s">
        <v>472</v>
      </c>
      <c r="Z2251" t="s">
        <v>491</v>
      </c>
      <c r="AA2251" t="s">
        <v>1032</v>
      </c>
      <c r="AC2251">
        <v>1</v>
      </c>
      <c r="AD2251" t="s">
        <v>558</v>
      </c>
      <c r="AE2251">
        <v>0.129044143</v>
      </c>
      <c r="AF2251" t="s">
        <v>559</v>
      </c>
      <c r="AG2251" t="s">
        <v>560</v>
      </c>
      <c r="AH2251">
        <v>1</v>
      </c>
      <c r="AI2251">
        <v>645.22071600000004</v>
      </c>
      <c r="AJ2251" t="s">
        <v>561</v>
      </c>
      <c r="AK2251" t="s">
        <v>562</v>
      </c>
      <c r="AL2251" t="s">
        <v>563</v>
      </c>
      <c r="AM2251">
        <v>2022</v>
      </c>
      <c r="AN2251">
        <v>2020</v>
      </c>
      <c r="AO2251">
        <f>IF(AND(emissions[[#This Row],[Market-based]]=0,emissions[[#This Row],[Impact Type]]="CO2E"),emissions[[#This Row],[kgCO2e]],0)/1000</f>
        <v>0</v>
      </c>
      <c r="AP2251">
        <f>IF(AND(emissions[[#This Row],[Market-based]]=1,OR(emissions[[#This Row],[Impact Type]]="CO2E",emissions[[#This Row],[Impact Type]]="CO2E MKT")),emissions[[#This Row],[kgCO2e]],0)/1000</f>
        <v>0</v>
      </c>
      <c r="AQ2251" t="str">
        <f>_xlfn.TEXTAFTER(emissions[[#This Row],[Reporting Unit]]," &gt; ",LEN(emissions[[#This Row],[Reporting Unit]])-LEN(SUBSTITUTE(emissions[[#This Row],[Reporting Unit]],"&gt;","")))</f>
        <v>Vantage_Lima</v>
      </c>
      <c r="AR2251" t="str">
        <f>_xlfn.XLOOKUP(emissions[[#This Row],[Reporting unit name]],hierarchy!$A:$A,hierarchy!$C:$C)</f>
        <v>Office</v>
      </c>
    </row>
    <row r="2252" spans="1:44" hidden="1" x14ac:dyDescent="0.25">
      <c r="A2252">
        <v>1590448</v>
      </c>
      <c r="B2252" t="s">
        <v>226</v>
      </c>
      <c r="C2252" t="s">
        <v>501</v>
      </c>
      <c r="D2252" t="s">
        <v>548</v>
      </c>
      <c r="E2252" s="3">
        <v>44562</v>
      </c>
      <c r="F2252" s="3">
        <v>44926</v>
      </c>
      <c r="G2252" t="s">
        <v>108</v>
      </c>
      <c r="H2252" s="3">
        <v>44562</v>
      </c>
      <c r="I2252" s="3">
        <v>44926</v>
      </c>
      <c r="J2252" t="s">
        <v>108</v>
      </c>
      <c r="K2252">
        <v>645.22071600000004</v>
      </c>
      <c r="L2252" t="s">
        <v>109</v>
      </c>
      <c r="M2252" t="s">
        <v>82</v>
      </c>
      <c r="N2252" t="s">
        <v>137</v>
      </c>
      <c r="O2252" t="s">
        <v>631</v>
      </c>
      <c r="P2252" t="s">
        <v>631</v>
      </c>
      <c r="Q2252">
        <v>2022</v>
      </c>
      <c r="R2252" t="s">
        <v>551</v>
      </c>
      <c r="S2252" t="s">
        <v>552</v>
      </c>
      <c r="T2252" t="s">
        <v>553</v>
      </c>
      <c r="U2252" t="b">
        <v>0</v>
      </c>
      <c r="V2252" t="s">
        <v>1031</v>
      </c>
      <c r="W2252" t="s">
        <v>555</v>
      </c>
      <c r="X2252" t="s">
        <v>556</v>
      </c>
      <c r="Y2252" t="s">
        <v>472</v>
      </c>
      <c r="Z2252" t="s">
        <v>491</v>
      </c>
      <c r="AA2252" t="s">
        <v>1032</v>
      </c>
      <c r="AC2252">
        <v>1</v>
      </c>
      <c r="AD2252" t="s">
        <v>564</v>
      </c>
      <c r="AE2252">
        <v>114.33311089999999</v>
      </c>
      <c r="AF2252" t="s">
        <v>559</v>
      </c>
      <c r="AG2252" t="s">
        <v>560</v>
      </c>
      <c r="AH2252">
        <v>1</v>
      </c>
      <c r="AI2252">
        <v>645.22071600000004</v>
      </c>
      <c r="AJ2252" t="s">
        <v>561</v>
      </c>
      <c r="AK2252" t="s">
        <v>562</v>
      </c>
      <c r="AL2252" t="s">
        <v>563</v>
      </c>
      <c r="AM2252">
        <v>2022</v>
      </c>
      <c r="AN2252">
        <v>2020</v>
      </c>
      <c r="AO2252">
        <f>IF(AND(emissions[[#This Row],[Market-based]]=0,emissions[[#This Row],[Impact Type]]="CO2E"),emissions[[#This Row],[kgCO2e]],0)/1000</f>
        <v>0</v>
      </c>
      <c r="AP2252">
        <f>IF(AND(emissions[[#This Row],[Market-based]]=1,OR(emissions[[#This Row],[Impact Type]]="CO2E",emissions[[#This Row],[Impact Type]]="CO2E MKT")),emissions[[#This Row],[kgCO2e]],0)/1000</f>
        <v>0</v>
      </c>
      <c r="AQ2252" t="str">
        <f>_xlfn.TEXTAFTER(emissions[[#This Row],[Reporting Unit]]," &gt; ",LEN(emissions[[#This Row],[Reporting Unit]])-LEN(SUBSTITUTE(emissions[[#This Row],[Reporting Unit]],"&gt;","")))</f>
        <v>Vantage_Lima</v>
      </c>
      <c r="AR2252" t="str">
        <f>_xlfn.XLOOKUP(emissions[[#This Row],[Reporting unit name]],hierarchy!$A:$A,hierarchy!$C:$C)</f>
        <v>Office</v>
      </c>
    </row>
    <row r="2253" spans="1:44" hidden="1" x14ac:dyDescent="0.25">
      <c r="A2253">
        <v>1590448</v>
      </c>
      <c r="B2253" t="s">
        <v>226</v>
      </c>
      <c r="C2253" t="s">
        <v>501</v>
      </c>
      <c r="D2253" t="s">
        <v>548</v>
      </c>
      <c r="E2253" s="3">
        <v>44562</v>
      </c>
      <c r="F2253" s="3">
        <v>44926</v>
      </c>
      <c r="G2253" t="s">
        <v>108</v>
      </c>
      <c r="H2253" s="3">
        <v>44562</v>
      </c>
      <c r="I2253" s="3">
        <v>44926</v>
      </c>
      <c r="J2253" t="s">
        <v>108</v>
      </c>
      <c r="K2253">
        <v>645.22071600000004</v>
      </c>
      <c r="L2253" t="s">
        <v>109</v>
      </c>
      <c r="M2253" t="s">
        <v>82</v>
      </c>
      <c r="N2253" t="s">
        <v>137</v>
      </c>
      <c r="O2253" t="s">
        <v>631</v>
      </c>
      <c r="P2253" t="s">
        <v>631</v>
      </c>
      <c r="Q2253">
        <v>2022</v>
      </c>
      <c r="R2253" t="s">
        <v>551</v>
      </c>
      <c r="S2253" t="s">
        <v>552</v>
      </c>
      <c r="T2253" t="s">
        <v>553</v>
      </c>
      <c r="U2253" t="b">
        <v>0</v>
      </c>
      <c r="V2253" t="s">
        <v>1031</v>
      </c>
      <c r="W2253" t="s">
        <v>555</v>
      </c>
      <c r="X2253" t="s">
        <v>556</v>
      </c>
      <c r="Y2253" t="s">
        <v>472</v>
      </c>
      <c r="Z2253" t="s">
        <v>491</v>
      </c>
      <c r="AA2253" t="s">
        <v>1032</v>
      </c>
      <c r="AC2253">
        <v>1</v>
      </c>
      <c r="AD2253" t="s">
        <v>565</v>
      </c>
      <c r="AE2253">
        <v>114.72024330000001</v>
      </c>
      <c r="AF2253" t="s">
        <v>559</v>
      </c>
      <c r="AG2253" t="s">
        <v>560</v>
      </c>
      <c r="AH2253">
        <v>1</v>
      </c>
      <c r="AI2253">
        <v>645.22071600000004</v>
      </c>
      <c r="AJ2253" t="s">
        <v>561</v>
      </c>
      <c r="AK2253" t="s">
        <v>562</v>
      </c>
      <c r="AL2253" t="s">
        <v>563</v>
      </c>
      <c r="AM2253">
        <v>2022</v>
      </c>
      <c r="AN2253">
        <v>2020</v>
      </c>
      <c r="AO2253">
        <f>IF(AND(emissions[[#This Row],[Market-based]]=0,emissions[[#This Row],[Impact Type]]="CO2E"),emissions[[#This Row],[kgCO2e]],0)/1000</f>
        <v>0</v>
      </c>
      <c r="AP2253">
        <f>IF(AND(emissions[[#This Row],[Market-based]]=1,OR(emissions[[#This Row],[Impact Type]]="CO2E",emissions[[#This Row],[Impact Type]]="CO2E MKT")),emissions[[#This Row],[kgCO2e]],0)/1000</f>
        <v>0.11472024330000001</v>
      </c>
      <c r="AQ2253" t="str">
        <f>_xlfn.TEXTAFTER(emissions[[#This Row],[Reporting Unit]]," &gt; ",LEN(emissions[[#This Row],[Reporting Unit]])-LEN(SUBSTITUTE(emissions[[#This Row],[Reporting Unit]],"&gt;","")))</f>
        <v>Vantage_Lima</v>
      </c>
      <c r="AR2253" t="str">
        <f>_xlfn.XLOOKUP(emissions[[#This Row],[Reporting unit name]],hierarchy!$A:$A,hierarchy!$C:$C)</f>
        <v>Office</v>
      </c>
    </row>
    <row r="2254" spans="1:44" hidden="1" x14ac:dyDescent="0.25">
      <c r="A2254">
        <v>1590448</v>
      </c>
      <c r="B2254" t="s">
        <v>226</v>
      </c>
      <c r="C2254" t="s">
        <v>501</v>
      </c>
      <c r="D2254" t="s">
        <v>548</v>
      </c>
      <c r="E2254" s="3">
        <v>44562</v>
      </c>
      <c r="F2254" s="3">
        <v>44926</v>
      </c>
      <c r="G2254" t="s">
        <v>108</v>
      </c>
      <c r="H2254" s="3">
        <v>44562</v>
      </c>
      <c r="I2254" s="3">
        <v>44926</v>
      </c>
      <c r="J2254" t="s">
        <v>108</v>
      </c>
      <c r="K2254">
        <v>645.22071600000004</v>
      </c>
      <c r="L2254" t="s">
        <v>109</v>
      </c>
      <c r="M2254" t="s">
        <v>82</v>
      </c>
      <c r="N2254" t="s">
        <v>137</v>
      </c>
      <c r="O2254" t="s">
        <v>631</v>
      </c>
      <c r="P2254" t="s">
        <v>631</v>
      </c>
      <c r="Q2254">
        <v>2022</v>
      </c>
      <c r="R2254" t="s">
        <v>551</v>
      </c>
      <c r="S2254" t="s">
        <v>552</v>
      </c>
      <c r="T2254" t="s">
        <v>553</v>
      </c>
      <c r="U2254" t="b">
        <v>0</v>
      </c>
      <c r="V2254" t="s">
        <v>1031</v>
      </c>
      <c r="W2254" t="s">
        <v>555</v>
      </c>
      <c r="X2254" t="s">
        <v>556</v>
      </c>
      <c r="Y2254" t="s">
        <v>472</v>
      </c>
      <c r="Z2254" t="s">
        <v>491</v>
      </c>
      <c r="AA2254" t="s">
        <v>1032</v>
      </c>
      <c r="AC2254">
        <v>1</v>
      </c>
      <c r="AD2254" t="s">
        <v>566</v>
      </c>
      <c r="AE2254">
        <v>0.258088286</v>
      </c>
      <c r="AF2254" t="s">
        <v>559</v>
      </c>
      <c r="AG2254" t="s">
        <v>560</v>
      </c>
      <c r="AH2254">
        <v>1</v>
      </c>
      <c r="AI2254">
        <v>645.22071600000004</v>
      </c>
      <c r="AJ2254" t="s">
        <v>561</v>
      </c>
      <c r="AK2254" t="s">
        <v>562</v>
      </c>
      <c r="AL2254" t="s">
        <v>563</v>
      </c>
      <c r="AM2254">
        <v>2022</v>
      </c>
      <c r="AN2254">
        <v>2020</v>
      </c>
      <c r="AO2254">
        <f>IF(AND(emissions[[#This Row],[Market-based]]=0,emissions[[#This Row],[Impact Type]]="CO2E"),emissions[[#This Row],[kgCO2e]],0)/1000</f>
        <v>0</v>
      </c>
      <c r="AP2254">
        <f>IF(AND(emissions[[#This Row],[Market-based]]=1,OR(emissions[[#This Row],[Impact Type]]="CO2E",emissions[[#This Row],[Impact Type]]="CO2E MKT")),emissions[[#This Row],[kgCO2e]],0)/1000</f>
        <v>0</v>
      </c>
      <c r="AQ2254" t="str">
        <f>_xlfn.TEXTAFTER(emissions[[#This Row],[Reporting Unit]]," &gt; ",LEN(emissions[[#This Row],[Reporting Unit]])-LEN(SUBSTITUTE(emissions[[#This Row],[Reporting Unit]],"&gt;","")))</f>
        <v>Vantage_Lima</v>
      </c>
      <c r="AR2254" t="str">
        <f>_xlfn.XLOOKUP(emissions[[#This Row],[Reporting unit name]],hierarchy!$A:$A,hierarchy!$C:$C)</f>
        <v>Office</v>
      </c>
    </row>
    <row r="2255" spans="1:44" hidden="1" x14ac:dyDescent="0.25">
      <c r="A2255">
        <v>1590448</v>
      </c>
      <c r="B2255" t="s">
        <v>226</v>
      </c>
      <c r="C2255" t="s">
        <v>501</v>
      </c>
      <c r="D2255" t="s">
        <v>548</v>
      </c>
      <c r="E2255" s="3">
        <v>44562</v>
      </c>
      <c r="F2255" s="3">
        <v>44926</v>
      </c>
      <c r="G2255" t="s">
        <v>108</v>
      </c>
      <c r="H2255" s="3">
        <v>44562</v>
      </c>
      <c r="I2255" s="3">
        <v>44926</v>
      </c>
      <c r="J2255" t="s">
        <v>108</v>
      </c>
      <c r="K2255">
        <v>645.22071600000004</v>
      </c>
      <c r="L2255" t="s">
        <v>109</v>
      </c>
      <c r="M2255" t="s">
        <v>82</v>
      </c>
      <c r="N2255" t="s">
        <v>137</v>
      </c>
      <c r="O2255" t="s">
        <v>631</v>
      </c>
      <c r="P2255" t="s">
        <v>631</v>
      </c>
      <c r="Q2255">
        <v>2022</v>
      </c>
      <c r="R2255" t="s">
        <v>567</v>
      </c>
      <c r="S2255" t="s">
        <v>568</v>
      </c>
      <c r="T2255" t="s">
        <v>569</v>
      </c>
      <c r="U2255" t="b">
        <v>0</v>
      </c>
      <c r="V2255" t="s">
        <v>1033</v>
      </c>
      <c r="W2255" t="s">
        <v>571</v>
      </c>
      <c r="X2255" t="s">
        <v>572</v>
      </c>
      <c r="Y2255" t="s">
        <v>472</v>
      </c>
      <c r="Z2255" t="s">
        <v>491</v>
      </c>
      <c r="AA2255" t="s">
        <v>1032</v>
      </c>
      <c r="AC2255">
        <v>0</v>
      </c>
      <c r="AD2255" t="s">
        <v>565</v>
      </c>
      <c r="AE2255">
        <v>2.9796444439999998</v>
      </c>
      <c r="AF2255">
        <v>4.6180240000000001E-3</v>
      </c>
      <c r="AG2255" t="s">
        <v>560</v>
      </c>
      <c r="AH2255">
        <v>1</v>
      </c>
      <c r="AI2255">
        <v>645.22071600000004</v>
      </c>
      <c r="AJ2255" t="s">
        <v>561</v>
      </c>
      <c r="AK2255" t="s">
        <v>573</v>
      </c>
      <c r="AL2255" t="s">
        <v>574</v>
      </c>
      <c r="AM2255">
        <v>2022</v>
      </c>
      <c r="AN2255">
        <v>2020</v>
      </c>
      <c r="AO2255">
        <f>IF(AND(emissions[[#This Row],[Market-based]]=0,emissions[[#This Row],[Impact Type]]="CO2E"),emissions[[#This Row],[kgCO2e]],0)/1000</f>
        <v>2.979644444E-3</v>
      </c>
      <c r="AP2255">
        <f>IF(AND(emissions[[#This Row],[Market-based]]=1,OR(emissions[[#This Row],[Impact Type]]="CO2E",emissions[[#This Row],[Impact Type]]="CO2E MKT")),emissions[[#This Row],[kgCO2e]],0)/1000</f>
        <v>0</v>
      </c>
      <c r="AQ2255" t="str">
        <f>_xlfn.TEXTAFTER(emissions[[#This Row],[Reporting Unit]]," &gt; ",LEN(emissions[[#This Row],[Reporting Unit]])-LEN(SUBSTITUTE(emissions[[#This Row],[Reporting Unit]],"&gt;","")))</f>
        <v>Vantage_Lima</v>
      </c>
      <c r="AR2255" t="str">
        <f>_xlfn.XLOOKUP(emissions[[#This Row],[Reporting unit name]],hierarchy!$A:$A,hierarchy!$C:$C)</f>
        <v>Office</v>
      </c>
    </row>
    <row r="2256" spans="1:44" hidden="1" x14ac:dyDescent="0.25">
      <c r="A2256">
        <v>1590448</v>
      </c>
      <c r="B2256" t="s">
        <v>226</v>
      </c>
      <c r="C2256" t="s">
        <v>501</v>
      </c>
      <c r="D2256" t="s">
        <v>548</v>
      </c>
      <c r="E2256" s="3">
        <v>44562</v>
      </c>
      <c r="F2256" s="3">
        <v>44926</v>
      </c>
      <c r="G2256" t="s">
        <v>108</v>
      </c>
      <c r="H2256" s="3">
        <v>44562</v>
      </c>
      <c r="I2256" s="3">
        <v>44926</v>
      </c>
      <c r="J2256" t="s">
        <v>108</v>
      </c>
      <c r="K2256">
        <v>645.22071600000004</v>
      </c>
      <c r="L2256" t="s">
        <v>109</v>
      </c>
      <c r="M2256" t="s">
        <v>82</v>
      </c>
      <c r="N2256" t="s">
        <v>137</v>
      </c>
      <c r="O2256" t="s">
        <v>631</v>
      </c>
      <c r="P2256" t="s">
        <v>631</v>
      </c>
      <c r="Q2256">
        <v>2022</v>
      </c>
      <c r="R2256" t="s">
        <v>567</v>
      </c>
      <c r="S2256" t="s">
        <v>568</v>
      </c>
      <c r="T2256" t="s">
        <v>569</v>
      </c>
      <c r="U2256" t="b">
        <v>0</v>
      </c>
      <c r="V2256" t="s">
        <v>1033</v>
      </c>
      <c r="W2256" t="s">
        <v>571</v>
      </c>
      <c r="X2256" t="s">
        <v>572</v>
      </c>
      <c r="Y2256" t="s">
        <v>472</v>
      </c>
      <c r="Z2256" t="s">
        <v>491</v>
      </c>
      <c r="AA2256" t="s">
        <v>1032</v>
      </c>
      <c r="AC2256">
        <v>1</v>
      </c>
      <c r="AD2256" t="s">
        <v>565</v>
      </c>
      <c r="AE2256">
        <v>2.9796444439999998</v>
      </c>
      <c r="AF2256">
        <v>4.6180240000000001E-3</v>
      </c>
      <c r="AG2256" t="s">
        <v>560</v>
      </c>
      <c r="AH2256">
        <v>1</v>
      </c>
      <c r="AI2256">
        <v>645.22071600000004</v>
      </c>
      <c r="AJ2256" t="s">
        <v>561</v>
      </c>
      <c r="AK2256" t="s">
        <v>573</v>
      </c>
      <c r="AL2256" t="s">
        <v>574</v>
      </c>
      <c r="AM2256">
        <v>2022</v>
      </c>
      <c r="AN2256">
        <v>2020</v>
      </c>
      <c r="AO2256">
        <f>IF(AND(emissions[[#This Row],[Market-based]]=0,emissions[[#This Row],[Impact Type]]="CO2E"),emissions[[#This Row],[kgCO2e]],0)/1000</f>
        <v>0</v>
      </c>
      <c r="AP2256">
        <f>IF(AND(emissions[[#This Row],[Market-based]]=1,OR(emissions[[#This Row],[Impact Type]]="CO2E",emissions[[#This Row],[Impact Type]]="CO2E MKT")),emissions[[#This Row],[kgCO2e]],0)/1000</f>
        <v>2.979644444E-3</v>
      </c>
      <c r="AQ2256" t="str">
        <f>_xlfn.TEXTAFTER(emissions[[#This Row],[Reporting Unit]]," &gt; ",LEN(emissions[[#This Row],[Reporting Unit]])-LEN(SUBSTITUTE(emissions[[#This Row],[Reporting Unit]],"&gt;","")))</f>
        <v>Vantage_Lima</v>
      </c>
      <c r="AR2256" t="str">
        <f>_xlfn.XLOOKUP(emissions[[#This Row],[Reporting unit name]],hierarchy!$A:$A,hierarchy!$C:$C)</f>
        <v>Office</v>
      </c>
    </row>
    <row r="2257" spans="1:44" hidden="1" x14ac:dyDescent="0.25">
      <c r="A2257">
        <v>1590448</v>
      </c>
      <c r="B2257" t="s">
        <v>226</v>
      </c>
      <c r="C2257" t="s">
        <v>501</v>
      </c>
      <c r="D2257" t="s">
        <v>548</v>
      </c>
      <c r="E2257" s="3">
        <v>44562</v>
      </c>
      <c r="F2257" s="3">
        <v>44926</v>
      </c>
      <c r="G2257" t="s">
        <v>108</v>
      </c>
      <c r="H2257" s="3">
        <v>44562</v>
      </c>
      <c r="I2257" s="3">
        <v>44926</v>
      </c>
      <c r="J2257" t="s">
        <v>108</v>
      </c>
      <c r="K2257">
        <v>645.22071600000004</v>
      </c>
      <c r="L2257" t="s">
        <v>109</v>
      </c>
      <c r="M2257" t="s">
        <v>82</v>
      </c>
      <c r="N2257" t="s">
        <v>137</v>
      </c>
      <c r="O2257" t="s">
        <v>631</v>
      </c>
      <c r="P2257" t="s">
        <v>631</v>
      </c>
      <c r="Q2257">
        <v>2022</v>
      </c>
      <c r="R2257" t="s">
        <v>575</v>
      </c>
      <c r="S2257" t="s">
        <v>576</v>
      </c>
      <c r="T2257" t="s">
        <v>577</v>
      </c>
      <c r="U2257" t="b">
        <v>0</v>
      </c>
      <c r="V2257" t="s">
        <v>1034</v>
      </c>
      <c r="W2257" t="s">
        <v>571</v>
      </c>
      <c r="X2257" t="s">
        <v>572</v>
      </c>
      <c r="Y2257" t="s">
        <v>472</v>
      </c>
      <c r="Z2257" t="s">
        <v>491</v>
      </c>
      <c r="AA2257" t="s">
        <v>1032</v>
      </c>
      <c r="AC2257">
        <v>0</v>
      </c>
      <c r="AD2257" t="s">
        <v>565</v>
      </c>
      <c r="AE2257">
        <v>24.301870739999998</v>
      </c>
      <c r="AF2257">
        <v>3.7664429999999999E-2</v>
      </c>
      <c r="AG2257" t="s">
        <v>560</v>
      </c>
      <c r="AH2257">
        <v>1</v>
      </c>
      <c r="AI2257">
        <v>645.22071600000004</v>
      </c>
      <c r="AJ2257" t="s">
        <v>561</v>
      </c>
      <c r="AK2257" t="s">
        <v>573</v>
      </c>
      <c r="AL2257" t="s">
        <v>574</v>
      </c>
      <c r="AM2257">
        <v>2022</v>
      </c>
      <c r="AN2257">
        <v>2020</v>
      </c>
      <c r="AO2257">
        <f>IF(AND(emissions[[#This Row],[Market-based]]=0,emissions[[#This Row],[Impact Type]]="CO2E"),emissions[[#This Row],[kgCO2e]],0)/1000</f>
        <v>2.4301870739999998E-2</v>
      </c>
      <c r="AP2257">
        <f>IF(AND(emissions[[#This Row],[Market-based]]=1,OR(emissions[[#This Row],[Impact Type]]="CO2E",emissions[[#This Row],[Impact Type]]="CO2E MKT")),emissions[[#This Row],[kgCO2e]],0)/1000</f>
        <v>0</v>
      </c>
      <c r="AQ2257" t="str">
        <f>_xlfn.TEXTAFTER(emissions[[#This Row],[Reporting Unit]]," &gt; ",LEN(emissions[[#This Row],[Reporting Unit]])-LEN(SUBSTITUTE(emissions[[#This Row],[Reporting Unit]],"&gt;","")))</f>
        <v>Vantage_Lima</v>
      </c>
      <c r="AR2257" t="str">
        <f>_xlfn.XLOOKUP(emissions[[#This Row],[Reporting unit name]],hierarchy!$A:$A,hierarchy!$C:$C)</f>
        <v>Office</v>
      </c>
    </row>
    <row r="2258" spans="1:44" hidden="1" x14ac:dyDescent="0.25">
      <c r="A2258">
        <v>1590448</v>
      </c>
      <c r="B2258" t="s">
        <v>226</v>
      </c>
      <c r="C2258" t="s">
        <v>501</v>
      </c>
      <c r="D2258" t="s">
        <v>548</v>
      </c>
      <c r="E2258" s="3">
        <v>44562</v>
      </c>
      <c r="F2258" s="3">
        <v>44926</v>
      </c>
      <c r="G2258" t="s">
        <v>108</v>
      </c>
      <c r="H2258" s="3">
        <v>44562</v>
      </c>
      <c r="I2258" s="3">
        <v>44926</v>
      </c>
      <c r="J2258" t="s">
        <v>108</v>
      </c>
      <c r="K2258">
        <v>645.22071600000004</v>
      </c>
      <c r="L2258" t="s">
        <v>109</v>
      </c>
      <c r="M2258" t="s">
        <v>82</v>
      </c>
      <c r="N2258" t="s">
        <v>137</v>
      </c>
      <c r="O2258" t="s">
        <v>631</v>
      </c>
      <c r="P2258" t="s">
        <v>631</v>
      </c>
      <c r="Q2258">
        <v>2022</v>
      </c>
      <c r="R2258" t="s">
        <v>575</v>
      </c>
      <c r="S2258" t="s">
        <v>576</v>
      </c>
      <c r="T2258" t="s">
        <v>577</v>
      </c>
      <c r="U2258" t="b">
        <v>0</v>
      </c>
      <c r="V2258" t="s">
        <v>1034</v>
      </c>
      <c r="W2258" t="s">
        <v>571</v>
      </c>
      <c r="X2258" t="s">
        <v>572</v>
      </c>
      <c r="Y2258" t="s">
        <v>472</v>
      </c>
      <c r="Z2258" t="s">
        <v>491</v>
      </c>
      <c r="AA2258" t="s">
        <v>1032</v>
      </c>
      <c r="AC2258">
        <v>1</v>
      </c>
      <c r="AD2258" t="s">
        <v>565</v>
      </c>
      <c r="AE2258">
        <v>24.301870739999998</v>
      </c>
      <c r="AF2258">
        <v>3.7664429999999999E-2</v>
      </c>
      <c r="AG2258" t="s">
        <v>560</v>
      </c>
      <c r="AH2258">
        <v>1</v>
      </c>
      <c r="AI2258">
        <v>645.22071600000004</v>
      </c>
      <c r="AJ2258" t="s">
        <v>561</v>
      </c>
      <c r="AK2258" t="s">
        <v>573</v>
      </c>
      <c r="AL2258" t="s">
        <v>574</v>
      </c>
      <c r="AM2258">
        <v>2022</v>
      </c>
      <c r="AN2258">
        <v>2020</v>
      </c>
      <c r="AO2258">
        <f>IF(AND(emissions[[#This Row],[Market-based]]=0,emissions[[#This Row],[Impact Type]]="CO2E"),emissions[[#This Row],[kgCO2e]],0)/1000</f>
        <v>0</v>
      </c>
      <c r="AP2258">
        <f>IF(AND(emissions[[#This Row],[Market-based]]=1,OR(emissions[[#This Row],[Impact Type]]="CO2E",emissions[[#This Row],[Impact Type]]="CO2E MKT")),emissions[[#This Row],[kgCO2e]],0)/1000</f>
        <v>2.4301870739999998E-2</v>
      </c>
      <c r="AQ2258" t="str">
        <f>_xlfn.TEXTAFTER(emissions[[#This Row],[Reporting Unit]]," &gt; ",LEN(emissions[[#This Row],[Reporting Unit]])-LEN(SUBSTITUTE(emissions[[#This Row],[Reporting Unit]],"&gt;","")))</f>
        <v>Vantage_Lima</v>
      </c>
      <c r="AR2258" t="str">
        <f>_xlfn.XLOOKUP(emissions[[#This Row],[Reporting unit name]],hierarchy!$A:$A,hierarchy!$C:$C)</f>
        <v>Office</v>
      </c>
    </row>
    <row r="2259" spans="1:44" hidden="1" x14ac:dyDescent="0.25">
      <c r="A2259">
        <v>1590448</v>
      </c>
      <c r="B2259" t="s">
        <v>226</v>
      </c>
      <c r="C2259" t="s">
        <v>501</v>
      </c>
      <c r="D2259" t="s">
        <v>548</v>
      </c>
      <c r="E2259" s="3">
        <v>44562</v>
      </c>
      <c r="F2259" s="3">
        <v>44926</v>
      </c>
      <c r="G2259" t="s">
        <v>108</v>
      </c>
      <c r="H2259" s="3">
        <v>44562</v>
      </c>
      <c r="I2259" s="3">
        <v>44926</v>
      </c>
      <c r="J2259" t="s">
        <v>108</v>
      </c>
      <c r="K2259">
        <v>645.22071600000004</v>
      </c>
      <c r="L2259" t="s">
        <v>109</v>
      </c>
      <c r="M2259" t="s">
        <v>82</v>
      </c>
      <c r="N2259" t="s">
        <v>137</v>
      </c>
      <c r="O2259" t="s">
        <v>631</v>
      </c>
      <c r="P2259" t="s">
        <v>631</v>
      </c>
      <c r="Q2259">
        <v>2022</v>
      </c>
      <c r="R2259" t="s">
        <v>579</v>
      </c>
      <c r="S2259" t="s">
        <v>580</v>
      </c>
      <c r="T2259" t="s">
        <v>581</v>
      </c>
      <c r="U2259" t="b">
        <v>0</v>
      </c>
      <c r="V2259" t="s">
        <v>1035</v>
      </c>
      <c r="W2259" t="s">
        <v>571</v>
      </c>
      <c r="X2259" t="s">
        <v>572</v>
      </c>
      <c r="Y2259" t="s">
        <v>472</v>
      </c>
      <c r="Z2259" t="s">
        <v>491</v>
      </c>
      <c r="AA2259" t="s">
        <v>1032</v>
      </c>
      <c r="AC2259">
        <v>0</v>
      </c>
      <c r="AD2259" t="s">
        <v>565</v>
      </c>
      <c r="AE2259">
        <v>14.065811610000001</v>
      </c>
      <c r="AF2259" t="s">
        <v>559</v>
      </c>
      <c r="AG2259" t="s">
        <v>560</v>
      </c>
      <c r="AH2259">
        <v>1</v>
      </c>
      <c r="AI2259">
        <v>645.22071600000004</v>
      </c>
      <c r="AJ2259" t="s">
        <v>561</v>
      </c>
      <c r="AK2259" t="s">
        <v>562</v>
      </c>
      <c r="AL2259" t="s">
        <v>563</v>
      </c>
      <c r="AM2259">
        <v>2022</v>
      </c>
      <c r="AN2259">
        <v>2020</v>
      </c>
      <c r="AO2259">
        <f>IF(AND(emissions[[#This Row],[Market-based]]=0,emissions[[#This Row],[Impact Type]]="CO2E"),emissions[[#This Row],[kgCO2e]],0)/1000</f>
        <v>1.4065811610000001E-2</v>
      </c>
      <c r="AP2259">
        <f>IF(AND(emissions[[#This Row],[Market-based]]=1,OR(emissions[[#This Row],[Impact Type]]="CO2E",emissions[[#This Row],[Impact Type]]="CO2E MKT")),emissions[[#This Row],[kgCO2e]],0)/1000</f>
        <v>0</v>
      </c>
      <c r="AQ2259" t="str">
        <f>_xlfn.TEXTAFTER(emissions[[#This Row],[Reporting Unit]]," &gt; ",LEN(emissions[[#This Row],[Reporting Unit]])-LEN(SUBSTITUTE(emissions[[#This Row],[Reporting Unit]],"&gt;","")))</f>
        <v>Vantage_Lima</v>
      </c>
      <c r="AR2259" t="str">
        <f>_xlfn.XLOOKUP(emissions[[#This Row],[Reporting unit name]],hierarchy!$A:$A,hierarchy!$C:$C)</f>
        <v>Office</v>
      </c>
    </row>
    <row r="2260" spans="1:44" hidden="1" x14ac:dyDescent="0.25">
      <c r="A2260">
        <v>1590448</v>
      </c>
      <c r="B2260" t="s">
        <v>226</v>
      </c>
      <c r="C2260" t="s">
        <v>501</v>
      </c>
      <c r="D2260" t="s">
        <v>548</v>
      </c>
      <c r="E2260" s="3">
        <v>44562</v>
      </c>
      <c r="F2260" s="3">
        <v>44926</v>
      </c>
      <c r="G2260" t="s">
        <v>108</v>
      </c>
      <c r="H2260" s="3">
        <v>44562</v>
      </c>
      <c r="I2260" s="3">
        <v>44926</v>
      </c>
      <c r="J2260" t="s">
        <v>108</v>
      </c>
      <c r="K2260">
        <v>645.22071600000004</v>
      </c>
      <c r="L2260" t="s">
        <v>109</v>
      </c>
      <c r="M2260" t="s">
        <v>82</v>
      </c>
      <c r="N2260" t="s">
        <v>137</v>
      </c>
      <c r="O2260" t="s">
        <v>631</v>
      </c>
      <c r="P2260" t="s">
        <v>631</v>
      </c>
      <c r="Q2260">
        <v>2022</v>
      </c>
      <c r="R2260" t="s">
        <v>579</v>
      </c>
      <c r="S2260" t="s">
        <v>580</v>
      </c>
      <c r="T2260" t="s">
        <v>581</v>
      </c>
      <c r="U2260" t="b">
        <v>0</v>
      </c>
      <c r="V2260" t="s">
        <v>1035</v>
      </c>
      <c r="W2260" t="s">
        <v>571</v>
      </c>
      <c r="X2260" t="s">
        <v>572</v>
      </c>
      <c r="Y2260" t="s">
        <v>472</v>
      </c>
      <c r="Z2260" t="s">
        <v>491</v>
      </c>
      <c r="AA2260" t="s">
        <v>1032</v>
      </c>
      <c r="AC2260">
        <v>1</v>
      </c>
      <c r="AD2260" t="s">
        <v>565</v>
      </c>
      <c r="AE2260">
        <v>14.065811610000001</v>
      </c>
      <c r="AF2260" t="s">
        <v>559</v>
      </c>
      <c r="AG2260" t="s">
        <v>560</v>
      </c>
      <c r="AH2260">
        <v>1</v>
      </c>
      <c r="AI2260">
        <v>645.22071600000004</v>
      </c>
      <c r="AJ2260" t="s">
        <v>561</v>
      </c>
      <c r="AK2260" t="s">
        <v>562</v>
      </c>
      <c r="AL2260" t="s">
        <v>563</v>
      </c>
      <c r="AM2260">
        <v>2022</v>
      </c>
      <c r="AN2260">
        <v>2020</v>
      </c>
      <c r="AO2260">
        <f>IF(AND(emissions[[#This Row],[Market-based]]=0,emissions[[#This Row],[Impact Type]]="CO2E"),emissions[[#This Row],[kgCO2e]],0)/1000</f>
        <v>0</v>
      </c>
      <c r="AP2260">
        <f>IF(AND(emissions[[#This Row],[Market-based]]=1,OR(emissions[[#This Row],[Impact Type]]="CO2E",emissions[[#This Row],[Impact Type]]="CO2E MKT")),emissions[[#This Row],[kgCO2e]],0)/1000</f>
        <v>1.4065811610000001E-2</v>
      </c>
      <c r="AQ2260" t="str">
        <f>_xlfn.TEXTAFTER(emissions[[#This Row],[Reporting Unit]]," &gt; ",LEN(emissions[[#This Row],[Reporting Unit]])-LEN(SUBSTITUTE(emissions[[#This Row],[Reporting Unit]],"&gt;","")))</f>
        <v>Vantage_Lima</v>
      </c>
      <c r="AR2260" t="str">
        <f>_xlfn.XLOOKUP(emissions[[#This Row],[Reporting unit name]],hierarchy!$A:$A,hierarchy!$C:$C)</f>
        <v>Office</v>
      </c>
    </row>
    <row r="2261" spans="1:44" hidden="1" x14ac:dyDescent="0.25">
      <c r="A2261">
        <v>237696</v>
      </c>
      <c r="B2261" t="s">
        <v>226</v>
      </c>
      <c r="C2261" t="s">
        <v>501</v>
      </c>
      <c r="D2261" t="s">
        <v>548</v>
      </c>
      <c r="E2261" s="3">
        <v>44562</v>
      </c>
      <c r="F2261" s="3">
        <v>44926</v>
      </c>
      <c r="G2261" t="s">
        <v>135</v>
      </c>
      <c r="H2261" s="3">
        <v>44562</v>
      </c>
      <c r="I2261" s="3">
        <v>44926</v>
      </c>
      <c r="J2261" t="s">
        <v>135</v>
      </c>
      <c r="K2261">
        <v>0</v>
      </c>
      <c r="L2261" t="s">
        <v>140</v>
      </c>
      <c r="M2261" t="s">
        <v>110</v>
      </c>
      <c r="O2261" t="s">
        <v>1036</v>
      </c>
      <c r="P2261" t="s">
        <v>550</v>
      </c>
      <c r="Q2261">
        <v>2022</v>
      </c>
      <c r="R2261" t="s">
        <v>605</v>
      </c>
      <c r="S2261" t="s">
        <v>606</v>
      </c>
      <c r="T2261" t="s">
        <v>553</v>
      </c>
      <c r="U2261" t="b">
        <v>0</v>
      </c>
      <c r="V2261" t="s">
        <v>781</v>
      </c>
      <c r="W2261" t="s">
        <v>587</v>
      </c>
      <c r="X2261" t="s">
        <v>556</v>
      </c>
      <c r="Y2261" t="s">
        <v>472</v>
      </c>
      <c r="AC2261">
        <v>0</v>
      </c>
      <c r="AD2261" t="s">
        <v>558</v>
      </c>
      <c r="AE2261">
        <v>0</v>
      </c>
      <c r="AF2261">
        <v>2.5000000000000001E-2</v>
      </c>
      <c r="AG2261" t="s">
        <v>798</v>
      </c>
      <c r="AH2261">
        <v>9.9999999999999995E-7</v>
      </c>
      <c r="AI2261">
        <v>0</v>
      </c>
      <c r="AJ2261" t="s">
        <v>561</v>
      </c>
      <c r="AK2261" t="s">
        <v>766</v>
      </c>
      <c r="AL2261" t="s">
        <v>787</v>
      </c>
      <c r="AM2261">
        <v>2022</v>
      </c>
      <c r="AN2261">
        <v>2021</v>
      </c>
      <c r="AO2261">
        <f>IF(AND(emissions[[#This Row],[Market-based]]=0,emissions[[#This Row],[Impact Type]]="CO2E"),emissions[[#This Row],[kgCO2e]],0)/1000</f>
        <v>0</v>
      </c>
      <c r="AP2261">
        <f>IF(AND(emissions[[#This Row],[Market-based]]=1,OR(emissions[[#This Row],[Impact Type]]="CO2E",emissions[[#This Row],[Impact Type]]="CO2E MKT")),emissions[[#This Row],[kgCO2e]],0)/1000</f>
        <v>0</v>
      </c>
      <c r="AQ2261" t="str">
        <f>_xlfn.TEXTAFTER(emissions[[#This Row],[Reporting Unit]]," &gt; ",LEN(emissions[[#This Row],[Reporting Unit]])-LEN(SUBSTITUTE(emissions[[#This Row],[Reporting Unit]],"&gt;","")))</f>
        <v>Vantage_Lima</v>
      </c>
      <c r="AR2261" t="str">
        <f>_xlfn.XLOOKUP(emissions[[#This Row],[Reporting unit name]],hierarchy!$A:$A,hierarchy!$C:$C)</f>
        <v>Office</v>
      </c>
    </row>
    <row r="2262" spans="1:44" hidden="1" x14ac:dyDescent="0.25">
      <c r="A2262">
        <v>237696</v>
      </c>
      <c r="B2262" t="s">
        <v>226</v>
      </c>
      <c r="C2262" t="s">
        <v>501</v>
      </c>
      <c r="D2262" t="s">
        <v>548</v>
      </c>
      <c r="E2262" s="3">
        <v>44562</v>
      </c>
      <c r="F2262" s="3">
        <v>44926</v>
      </c>
      <c r="G2262" t="s">
        <v>135</v>
      </c>
      <c r="H2262" s="3">
        <v>44562</v>
      </c>
      <c r="I2262" s="3">
        <v>44926</v>
      </c>
      <c r="J2262" t="s">
        <v>135</v>
      </c>
      <c r="K2262">
        <v>0</v>
      </c>
      <c r="L2262" t="s">
        <v>140</v>
      </c>
      <c r="M2262" t="s">
        <v>110</v>
      </c>
      <c r="O2262" t="s">
        <v>1036</v>
      </c>
      <c r="P2262" t="s">
        <v>550</v>
      </c>
      <c r="Q2262">
        <v>2022</v>
      </c>
      <c r="R2262" t="s">
        <v>605</v>
      </c>
      <c r="S2262" t="s">
        <v>606</v>
      </c>
      <c r="T2262" t="s">
        <v>553</v>
      </c>
      <c r="U2262" t="b">
        <v>0</v>
      </c>
      <c r="V2262" t="s">
        <v>781</v>
      </c>
      <c r="W2262" t="s">
        <v>587</v>
      </c>
      <c r="X2262" t="s">
        <v>556</v>
      </c>
      <c r="Y2262" t="s">
        <v>472</v>
      </c>
      <c r="AC2262">
        <v>0</v>
      </c>
      <c r="AD2262" t="s">
        <v>564</v>
      </c>
      <c r="AE2262">
        <v>0</v>
      </c>
      <c r="AF2262">
        <v>53.06</v>
      </c>
      <c r="AG2262" t="s">
        <v>798</v>
      </c>
      <c r="AH2262">
        <v>9.9999999999999995E-7</v>
      </c>
      <c r="AI2262">
        <v>0</v>
      </c>
      <c r="AJ2262" t="s">
        <v>561</v>
      </c>
      <c r="AK2262" t="s">
        <v>766</v>
      </c>
      <c r="AL2262" t="s">
        <v>767</v>
      </c>
      <c r="AM2262">
        <v>2022</v>
      </c>
      <c r="AN2262">
        <v>2022</v>
      </c>
      <c r="AO2262">
        <f>IF(AND(emissions[[#This Row],[Market-based]]=0,emissions[[#This Row],[Impact Type]]="CO2E"),emissions[[#This Row],[kgCO2e]],0)/1000</f>
        <v>0</v>
      </c>
      <c r="AP2262">
        <f>IF(AND(emissions[[#This Row],[Market-based]]=1,OR(emissions[[#This Row],[Impact Type]]="CO2E",emissions[[#This Row],[Impact Type]]="CO2E MKT")),emissions[[#This Row],[kgCO2e]],0)/1000</f>
        <v>0</v>
      </c>
      <c r="AQ2262" t="str">
        <f>_xlfn.TEXTAFTER(emissions[[#This Row],[Reporting Unit]]," &gt; ",LEN(emissions[[#This Row],[Reporting Unit]])-LEN(SUBSTITUTE(emissions[[#This Row],[Reporting Unit]],"&gt;","")))</f>
        <v>Vantage_Lima</v>
      </c>
      <c r="AR2262" t="str">
        <f>_xlfn.XLOOKUP(emissions[[#This Row],[Reporting unit name]],hierarchy!$A:$A,hierarchy!$C:$C)</f>
        <v>Office</v>
      </c>
    </row>
    <row r="2263" spans="1:44" hidden="1" x14ac:dyDescent="0.25">
      <c r="A2263">
        <v>237696</v>
      </c>
      <c r="B2263" t="s">
        <v>226</v>
      </c>
      <c r="C2263" t="s">
        <v>501</v>
      </c>
      <c r="D2263" t="s">
        <v>548</v>
      </c>
      <c r="E2263" s="3">
        <v>44562</v>
      </c>
      <c r="F2263" s="3">
        <v>44926</v>
      </c>
      <c r="G2263" t="s">
        <v>135</v>
      </c>
      <c r="H2263" s="3">
        <v>44562</v>
      </c>
      <c r="I2263" s="3">
        <v>44926</v>
      </c>
      <c r="J2263" t="s">
        <v>135</v>
      </c>
      <c r="K2263">
        <v>0</v>
      </c>
      <c r="L2263" t="s">
        <v>140</v>
      </c>
      <c r="M2263" t="s">
        <v>110</v>
      </c>
      <c r="O2263" t="s">
        <v>1036</v>
      </c>
      <c r="P2263" t="s">
        <v>550</v>
      </c>
      <c r="Q2263">
        <v>2022</v>
      </c>
      <c r="R2263" t="s">
        <v>605</v>
      </c>
      <c r="S2263" t="s">
        <v>606</v>
      </c>
      <c r="T2263" t="s">
        <v>553</v>
      </c>
      <c r="U2263" t="b">
        <v>0</v>
      </c>
      <c r="V2263" t="s">
        <v>781</v>
      </c>
      <c r="W2263" t="s">
        <v>587</v>
      </c>
      <c r="X2263" t="s">
        <v>556</v>
      </c>
      <c r="Y2263" t="s">
        <v>472</v>
      </c>
      <c r="AC2263">
        <v>0</v>
      </c>
      <c r="AD2263" t="s">
        <v>565</v>
      </c>
      <c r="AE2263">
        <v>0</v>
      </c>
      <c r="AF2263">
        <v>53.114800000000002</v>
      </c>
      <c r="AG2263" t="s">
        <v>798</v>
      </c>
      <c r="AH2263">
        <v>9.9999999999999995E-7</v>
      </c>
      <c r="AI2263">
        <v>0</v>
      </c>
      <c r="AJ2263" t="s">
        <v>561</v>
      </c>
      <c r="AK2263" t="s">
        <v>766</v>
      </c>
      <c r="AL2263" t="s">
        <v>787</v>
      </c>
      <c r="AM2263">
        <v>2022</v>
      </c>
      <c r="AN2263">
        <v>2021</v>
      </c>
      <c r="AO2263">
        <f>IF(AND(emissions[[#This Row],[Market-based]]=0,emissions[[#This Row],[Impact Type]]="CO2E"),emissions[[#This Row],[kgCO2e]],0)/1000</f>
        <v>0</v>
      </c>
      <c r="AP2263">
        <f>IF(AND(emissions[[#This Row],[Market-based]]=1,OR(emissions[[#This Row],[Impact Type]]="CO2E",emissions[[#This Row],[Impact Type]]="CO2E MKT")),emissions[[#This Row],[kgCO2e]],0)/1000</f>
        <v>0</v>
      </c>
      <c r="AQ2263" t="str">
        <f>_xlfn.TEXTAFTER(emissions[[#This Row],[Reporting Unit]]," &gt; ",LEN(emissions[[#This Row],[Reporting Unit]])-LEN(SUBSTITUTE(emissions[[#This Row],[Reporting Unit]],"&gt;","")))</f>
        <v>Vantage_Lima</v>
      </c>
      <c r="AR2263" t="str">
        <f>_xlfn.XLOOKUP(emissions[[#This Row],[Reporting unit name]],hierarchy!$A:$A,hierarchy!$C:$C)</f>
        <v>Office</v>
      </c>
    </row>
    <row r="2264" spans="1:44" hidden="1" x14ac:dyDescent="0.25">
      <c r="A2264">
        <v>237696</v>
      </c>
      <c r="B2264" t="s">
        <v>226</v>
      </c>
      <c r="C2264" t="s">
        <v>501</v>
      </c>
      <c r="D2264" t="s">
        <v>548</v>
      </c>
      <c r="E2264" s="3">
        <v>44562</v>
      </c>
      <c r="F2264" s="3">
        <v>44926</v>
      </c>
      <c r="G2264" t="s">
        <v>135</v>
      </c>
      <c r="H2264" s="3">
        <v>44562</v>
      </c>
      <c r="I2264" s="3">
        <v>44926</v>
      </c>
      <c r="J2264" t="s">
        <v>135</v>
      </c>
      <c r="K2264">
        <v>0</v>
      </c>
      <c r="L2264" t="s">
        <v>140</v>
      </c>
      <c r="M2264" t="s">
        <v>110</v>
      </c>
      <c r="O2264" t="s">
        <v>1036</v>
      </c>
      <c r="P2264" t="s">
        <v>550</v>
      </c>
      <c r="Q2264">
        <v>2022</v>
      </c>
      <c r="R2264" t="s">
        <v>605</v>
      </c>
      <c r="S2264" t="s">
        <v>606</v>
      </c>
      <c r="T2264" t="s">
        <v>553</v>
      </c>
      <c r="U2264" t="b">
        <v>0</v>
      </c>
      <c r="V2264" t="s">
        <v>781</v>
      </c>
      <c r="W2264" t="s">
        <v>587</v>
      </c>
      <c r="X2264" t="s">
        <v>556</v>
      </c>
      <c r="Y2264" t="s">
        <v>472</v>
      </c>
      <c r="AC2264">
        <v>0</v>
      </c>
      <c r="AD2264" t="s">
        <v>566</v>
      </c>
      <c r="AE2264">
        <v>0</v>
      </c>
      <c r="AF2264">
        <v>2.98E-2</v>
      </c>
      <c r="AG2264" t="s">
        <v>798</v>
      </c>
      <c r="AH2264">
        <v>9.9999999999999995E-7</v>
      </c>
      <c r="AI2264">
        <v>0</v>
      </c>
      <c r="AJ2264" t="s">
        <v>561</v>
      </c>
      <c r="AK2264" t="s">
        <v>766</v>
      </c>
      <c r="AL2264" t="s">
        <v>767</v>
      </c>
      <c r="AM2264">
        <v>2022</v>
      </c>
      <c r="AN2264">
        <v>2022</v>
      </c>
      <c r="AO2264">
        <f>IF(AND(emissions[[#This Row],[Market-based]]=0,emissions[[#This Row],[Impact Type]]="CO2E"),emissions[[#This Row],[kgCO2e]],0)/1000</f>
        <v>0</v>
      </c>
      <c r="AP2264">
        <f>IF(AND(emissions[[#This Row],[Market-based]]=1,OR(emissions[[#This Row],[Impact Type]]="CO2E",emissions[[#This Row],[Impact Type]]="CO2E MKT")),emissions[[#This Row],[kgCO2e]],0)/1000</f>
        <v>0</v>
      </c>
      <c r="AQ2264" t="str">
        <f>_xlfn.TEXTAFTER(emissions[[#This Row],[Reporting Unit]]," &gt; ",LEN(emissions[[#This Row],[Reporting Unit]])-LEN(SUBSTITUTE(emissions[[#This Row],[Reporting Unit]],"&gt;","")))</f>
        <v>Vantage_Lima</v>
      </c>
      <c r="AR2264" t="str">
        <f>_xlfn.XLOOKUP(emissions[[#This Row],[Reporting unit name]],hierarchy!$A:$A,hierarchy!$C:$C)</f>
        <v>Office</v>
      </c>
    </row>
    <row r="2265" spans="1:44" hidden="1" x14ac:dyDescent="0.25">
      <c r="A2265">
        <v>237696</v>
      </c>
      <c r="B2265" t="s">
        <v>226</v>
      </c>
      <c r="C2265" t="s">
        <v>501</v>
      </c>
      <c r="D2265" t="s">
        <v>548</v>
      </c>
      <c r="E2265" s="3">
        <v>44562</v>
      </c>
      <c r="F2265" s="3">
        <v>44926</v>
      </c>
      <c r="G2265" t="s">
        <v>135</v>
      </c>
      <c r="H2265" s="3">
        <v>44562</v>
      </c>
      <c r="I2265" s="3">
        <v>44926</v>
      </c>
      <c r="J2265" t="s">
        <v>135</v>
      </c>
      <c r="K2265">
        <v>0</v>
      </c>
      <c r="L2265" t="s">
        <v>140</v>
      </c>
      <c r="M2265" t="s">
        <v>110</v>
      </c>
      <c r="O2265" t="s">
        <v>1036</v>
      </c>
      <c r="P2265" t="s">
        <v>550</v>
      </c>
      <c r="Q2265">
        <v>2022</v>
      </c>
      <c r="R2265" t="s">
        <v>605</v>
      </c>
      <c r="S2265" t="s">
        <v>606</v>
      </c>
      <c r="T2265" t="s">
        <v>553</v>
      </c>
      <c r="U2265" t="b">
        <v>0</v>
      </c>
      <c r="V2265" t="s">
        <v>781</v>
      </c>
      <c r="W2265" t="s">
        <v>587</v>
      </c>
      <c r="X2265" t="s">
        <v>556</v>
      </c>
      <c r="Y2265" t="s">
        <v>472</v>
      </c>
      <c r="AC2265">
        <v>1</v>
      </c>
      <c r="AD2265" t="s">
        <v>558</v>
      </c>
      <c r="AE2265">
        <v>0</v>
      </c>
      <c r="AF2265">
        <v>2.5000000000000001E-2</v>
      </c>
      <c r="AG2265" t="s">
        <v>798</v>
      </c>
      <c r="AH2265">
        <v>9.9999999999999995E-7</v>
      </c>
      <c r="AI2265">
        <v>0</v>
      </c>
      <c r="AJ2265" t="s">
        <v>561</v>
      </c>
      <c r="AK2265" t="s">
        <v>766</v>
      </c>
      <c r="AL2265" t="s">
        <v>787</v>
      </c>
      <c r="AM2265">
        <v>2022</v>
      </c>
      <c r="AN2265">
        <v>2021</v>
      </c>
      <c r="AO2265">
        <f>IF(AND(emissions[[#This Row],[Market-based]]=0,emissions[[#This Row],[Impact Type]]="CO2E"),emissions[[#This Row],[kgCO2e]],0)/1000</f>
        <v>0</v>
      </c>
      <c r="AP2265">
        <f>IF(AND(emissions[[#This Row],[Market-based]]=1,OR(emissions[[#This Row],[Impact Type]]="CO2E",emissions[[#This Row],[Impact Type]]="CO2E MKT")),emissions[[#This Row],[kgCO2e]],0)/1000</f>
        <v>0</v>
      </c>
      <c r="AQ2265" t="str">
        <f>_xlfn.TEXTAFTER(emissions[[#This Row],[Reporting Unit]]," &gt; ",LEN(emissions[[#This Row],[Reporting Unit]])-LEN(SUBSTITUTE(emissions[[#This Row],[Reporting Unit]],"&gt;","")))</f>
        <v>Vantage_Lima</v>
      </c>
      <c r="AR2265" t="str">
        <f>_xlfn.XLOOKUP(emissions[[#This Row],[Reporting unit name]],hierarchy!$A:$A,hierarchy!$C:$C)</f>
        <v>Office</v>
      </c>
    </row>
    <row r="2266" spans="1:44" hidden="1" x14ac:dyDescent="0.25">
      <c r="A2266">
        <v>237696</v>
      </c>
      <c r="B2266" t="s">
        <v>226</v>
      </c>
      <c r="C2266" t="s">
        <v>501</v>
      </c>
      <c r="D2266" t="s">
        <v>548</v>
      </c>
      <c r="E2266" s="3">
        <v>44562</v>
      </c>
      <c r="F2266" s="3">
        <v>44926</v>
      </c>
      <c r="G2266" t="s">
        <v>135</v>
      </c>
      <c r="H2266" s="3">
        <v>44562</v>
      </c>
      <c r="I2266" s="3">
        <v>44926</v>
      </c>
      <c r="J2266" t="s">
        <v>135</v>
      </c>
      <c r="K2266">
        <v>0</v>
      </c>
      <c r="L2266" t="s">
        <v>140</v>
      </c>
      <c r="M2266" t="s">
        <v>110</v>
      </c>
      <c r="O2266" t="s">
        <v>1036</v>
      </c>
      <c r="P2266" t="s">
        <v>550</v>
      </c>
      <c r="Q2266">
        <v>2022</v>
      </c>
      <c r="R2266" t="s">
        <v>605</v>
      </c>
      <c r="S2266" t="s">
        <v>606</v>
      </c>
      <c r="T2266" t="s">
        <v>553</v>
      </c>
      <c r="U2266" t="b">
        <v>0</v>
      </c>
      <c r="V2266" t="s">
        <v>781</v>
      </c>
      <c r="W2266" t="s">
        <v>587</v>
      </c>
      <c r="X2266" t="s">
        <v>556</v>
      </c>
      <c r="Y2266" t="s">
        <v>472</v>
      </c>
      <c r="AC2266">
        <v>1</v>
      </c>
      <c r="AD2266" t="s">
        <v>564</v>
      </c>
      <c r="AE2266">
        <v>0</v>
      </c>
      <c r="AF2266">
        <v>53.06</v>
      </c>
      <c r="AG2266" t="s">
        <v>798</v>
      </c>
      <c r="AH2266">
        <v>9.9999999999999995E-7</v>
      </c>
      <c r="AI2266">
        <v>0</v>
      </c>
      <c r="AJ2266" t="s">
        <v>561</v>
      </c>
      <c r="AK2266" t="s">
        <v>766</v>
      </c>
      <c r="AL2266" t="s">
        <v>767</v>
      </c>
      <c r="AM2266">
        <v>2022</v>
      </c>
      <c r="AN2266">
        <v>2022</v>
      </c>
      <c r="AO2266">
        <f>IF(AND(emissions[[#This Row],[Market-based]]=0,emissions[[#This Row],[Impact Type]]="CO2E"),emissions[[#This Row],[kgCO2e]],0)/1000</f>
        <v>0</v>
      </c>
      <c r="AP2266">
        <f>IF(AND(emissions[[#This Row],[Market-based]]=1,OR(emissions[[#This Row],[Impact Type]]="CO2E",emissions[[#This Row],[Impact Type]]="CO2E MKT")),emissions[[#This Row],[kgCO2e]],0)/1000</f>
        <v>0</v>
      </c>
      <c r="AQ2266" t="str">
        <f>_xlfn.TEXTAFTER(emissions[[#This Row],[Reporting Unit]]," &gt; ",LEN(emissions[[#This Row],[Reporting Unit]])-LEN(SUBSTITUTE(emissions[[#This Row],[Reporting Unit]],"&gt;","")))</f>
        <v>Vantage_Lima</v>
      </c>
      <c r="AR2266" t="str">
        <f>_xlfn.XLOOKUP(emissions[[#This Row],[Reporting unit name]],hierarchy!$A:$A,hierarchy!$C:$C)</f>
        <v>Office</v>
      </c>
    </row>
    <row r="2267" spans="1:44" hidden="1" x14ac:dyDescent="0.25">
      <c r="A2267">
        <v>237696</v>
      </c>
      <c r="B2267" t="s">
        <v>226</v>
      </c>
      <c r="C2267" t="s">
        <v>501</v>
      </c>
      <c r="D2267" t="s">
        <v>548</v>
      </c>
      <c r="E2267" s="3">
        <v>44562</v>
      </c>
      <c r="F2267" s="3">
        <v>44926</v>
      </c>
      <c r="G2267" t="s">
        <v>135</v>
      </c>
      <c r="H2267" s="3">
        <v>44562</v>
      </c>
      <c r="I2267" s="3">
        <v>44926</v>
      </c>
      <c r="J2267" t="s">
        <v>135</v>
      </c>
      <c r="K2267">
        <v>0</v>
      </c>
      <c r="L2267" t="s">
        <v>140</v>
      </c>
      <c r="M2267" t="s">
        <v>110</v>
      </c>
      <c r="O2267" t="s">
        <v>1036</v>
      </c>
      <c r="P2267" t="s">
        <v>550</v>
      </c>
      <c r="Q2267">
        <v>2022</v>
      </c>
      <c r="R2267" t="s">
        <v>605</v>
      </c>
      <c r="S2267" t="s">
        <v>606</v>
      </c>
      <c r="T2267" t="s">
        <v>553</v>
      </c>
      <c r="U2267" t="b">
        <v>0</v>
      </c>
      <c r="V2267" t="s">
        <v>781</v>
      </c>
      <c r="W2267" t="s">
        <v>587</v>
      </c>
      <c r="X2267" t="s">
        <v>556</v>
      </c>
      <c r="Y2267" t="s">
        <v>472</v>
      </c>
      <c r="AC2267">
        <v>1</v>
      </c>
      <c r="AD2267" t="s">
        <v>565</v>
      </c>
      <c r="AE2267">
        <v>0</v>
      </c>
      <c r="AF2267">
        <v>53.114800000000002</v>
      </c>
      <c r="AG2267" t="s">
        <v>798</v>
      </c>
      <c r="AH2267">
        <v>9.9999999999999995E-7</v>
      </c>
      <c r="AI2267">
        <v>0</v>
      </c>
      <c r="AJ2267" t="s">
        <v>561</v>
      </c>
      <c r="AK2267" t="s">
        <v>766</v>
      </c>
      <c r="AL2267" t="s">
        <v>787</v>
      </c>
      <c r="AM2267">
        <v>2022</v>
      </c>
      <c r="AN2267">
        <v>2021</v>
      </c>
      <c r="AO2267">
        <f>IF(AND(emissions[[#This Row],[Market-based]]=0,emissions[[#This Row],[Impact Type]]="CO2E"),emissions[[#This Row],[kgCO2e]],0)/1000</f>
        <v>0</v>
      </c>
      <c r="AP2267">
        <f>IF(AND(emissions[[#This Row],[Market-based]]=1,OR(emissions[[#This Row],[Impact Type]]="CO2E",emissions[[#This Row],[Impact Type]]="CO2E MKT")),emissions[[#This Row],[kgCO2e]],0)/1000</f>
        <v>0</v>
      </c>
      <c r="AQ2267" t="str">
        <f>_xlfn.TEXTAFTER(emissions[[#This Row],[Reporting Unit]]," &gt; ",LEN(emissions[[#This Row],[Reporting Unit]])-LEN(SUBSTITUTE(emissions[[#This Row],[Reporting Unit]],"&gt;","")))</f>
        <v>Vantage_Lima</v>
      </c>
      <c r="AR2267" t="str">
        <f>_xlfn.XLOOKUP(emissions[[#This Row],[Reporting unit name]],hierarchy!$A:$A,hierarchy!$C:$C)</f>
        <v>Office</v>
      </c>
    </row>
    <row r="2268" spans="1:44" hidden="1" x14ac:dyDescent="0.25">
      <c r="A2268">
        <v>237696</v>
      </c>
      <c r="B2268" t="s">
        <v>226</v>
      </c>
      <c r="C2268" t="s">
        <v>501</v>
      </c>
      <c r="D2268" t="s">
        <v>548</v>
      </c>
      <c r="E2268" s="3">
        <v>44562</v>
      </c>
      <c r="F2268" s="3">
        <v>44926</v>
      </c>
      <c r="G2268" t="s">
        <v>135</v>
      </c>
      <c r="H2268" s="3">
        <v>44562</v>
      </c>
      <c r="I2268" s="3">
        <v>44926</v>
      </c>
      <c r="J2268" t="s">
        <v>135</v>
      </c>
      <c r="K2268">
        <v>0</v>
      </c>
      <c r="L2268" t="s">
        <v>140</v>
      </c>
      <c r="M2268" t="s">
        <v>110</v>
      </c>
      <c r="O2268" t="s">
        <v>1036</v>
      </c>
      <c r="P2268" t="s">
        <v>550</v>
      </c>
      <c r="Q2268">
        <v>2022</v>
      </c>
      <c r="R2268" t="s">
        <v>605</v>
      </c>
      <c r="S2268" t="s">
        <v>606</v>
      </c>
      <c r="T2268" t="s">
        <v>553</v>
      </c>
      <c r="U2268" t="b">
        <v>0</v>
      </c>
      <c r="V2268" t="s">
        <v>781</v>
      </c>
      <c r="W2268" t="s">
        <v>587</v>
      </c>
      <c r="X2268" t="s">
        <v>556</v>
      </c>
      <c r="Y2268" t="s">
        <v>472</v>
      </c>
      <c r="AC2268">
        <v>1</v>
      </c>
      <c r="AD2268" t="s">
        <v>566</v>
      </c>
      <c r="AE2268">
        <v>0</v>
      </c>
      <c r="AF2268">
        <v>2.98E-2</v>
      </c>
      <c r="AG2268" t="s">
        <v>798</v>
      </c>
      <c r="AH2268">
        <v>9.9999999999999995E-7</v>
      </c>
      <c r="AI2268">
        <v>0</v>
      </c>
      <c r="AJ2268" t="s">
        <v>561</v>
      </c>
      <c r="AK2268" t="s">
        <v>766</v>
      </c>
      <c r="AL2268" t="s">
        <v>767</v>
      </c>
      <c r="AM2268">
        <v>2022</v>
      </c>
      <c r="AN2268">
        <v>2022</v>
      </c>
      <c r="AO2268">
        <f>IF(AND(emissions[[#This Row],[Market-based]]=0,emissions[[#This Row],[Impact Type]]="CO2E"),emissions[[#This Row],[kgCO2e]],0)/1000</f>
        <v>0</v>
      </c>
      <c r="AP2268">
        <f>IF(AND(emissions[[#This Row],[Market-based]]=1,OR(emissions[[#This Row],[Impact Type]]="CO2E",emissions[[#This Row],[Impact Type]]="CO2E MKT")),emissions[[#This Row],[kgCO2e]],0)/1000</f>
        <v>0</v>
      </c>
      <c r="AQ2268" t="str">
        <f>_xlfn.TEXTAFTER(emissions[[#This Row],[Reporting Unit]]," &gt; ",LEN(emissions[[#This Row],[Reporting Unit]])-LEN(SUBSTITUTE(emissions[[#This Row],[Reporting Unit]],"&gt;","")))</f>
        <v>Vantage_Lima</v>
      </c>
      <c r="AR2268" t="str">
        <f>_xlfn.XLOOKUP(emissions[[#This Row],[Reporting unit name]],hierarchy!$A:$A,hierarchy!$C:$C)</f>
        <v>Office</v>
      </c>
    </row>
    <row r="2269" spans="1:44" hidden="1" x14ac:dyDescent="0.25">
      <c r="A2269">
        <v>237696</v>
      </c>
      <c r="B2269" t="s">
        <v>226</v>
      </c>
      <c r="C2269" t="s">
        <v>501</v>
      </c>
      <c r="D2269" t="s">
        <v>548</v>
      </c>
      <c r="E2269" s="3">
        <v>44562</v>
      </c>
      <c r="F2269" s="3">
        <v>44926</v>
      </c>
      <c r="G2269" t="s">
        <v>135</v>
      </c>
      <c r="H2269" s="3">
        <v>44562</v>
      </c>
      <c r="I2269" s="3">
        <v>44926</v>
      </c>
      <c r="J2269" t="s">
        <v>135</v>
      </c>
      <c r="K2269">
        <v>0</v>
      </c>
      <c r="L2269" t="s">
        <v>140</v>
      </c>
      <c r="M2269" t="s">
        <v>110</v>
      </c>
      <c r="O2269" t="s">
        <v>1036</v>
      </c>
      <c r="P2269" t="s">
        <v>550</v>
      </c>
      <c r="Q2269">
        <v>2022</v>
      </c>
      <c r="R2269" t="s">
        <v>609</v>
      </c>
      <c r="S2269" t="s">
        <v>610</v>
      </c>
      <c r="T2269" t="s">
        <v>577</v>
      </c>
      <c r="U2269" t="b">
        <v>0</v>
      </c>
      <c r="V2269" t="s">
        <v>632</v>
      </c>
      <c r="W2269" t="s">
        <v>571</v>
      </c>
      <c r="X2269" t="s">
        <v>572</v>
      </c>
      <c r="AC2269">
        <v>0</v>
      </c>
      <c r="AD2269" t="s">
        <v>565</v>
      </c>
      <c r="AE2269">
        <v>0</v>
      </c>
      <c r="AF2269">
        <v>3.1099999999999999E-2</v>
      </c>
      <c r="AG2269" t="s">
        <v>608</v>
      </c>
      <c r="AH2269">
        <v>2.9306999999999998E-4</v>
      </c>
      <c r="AI2269">
        <v>0</v>
      </c>
      <c r="AJ2269" t="s">
        <v>561</v>
      </c>
      <c r="AK2269" t="s">
        <v>589</v>
      </c>
      <c r="AL2269" t="s">
        <v>590</v>
      </c>
      <c r="AM2269">
        <v>2022</v>
      </c>
      <c r="AN2269">
        <v>2020</v>
      </c>
      <c r="AO2269">
        <f>IF(AND(emissions[[#This Row],[Market-based]]=0,emissions[[#This Row],[Impact Type]]="CO2E"),emissions[[#This Row],[kgCO2e]],0)/1000</f>
        <v>0</v>
      </c>
      <c r="AP2269">
        <f>IF(AND(emissions[[#This Row],[Market-based]]=1,OR(emissions[[#This Row],[Impact Type]]="CO2E",emissions[[#This Row],[Impact Type]]="CO2E MKT")),emissions[[#This Row],[kgCO2e]],0)/1000</f>
        <v>0</v>
      </c>
      <c r="AQ2269" t="str">
        <f>_xlfn.TEXTAFTER(emissions[[#This Row],[Reporting Unit]]," &gt; ",LEN(emissions[[#This Row],[Reporting Unit]])-LEN(SUBSTITUTE(emissions[[#This Row],[Reporting Unit]],"&gt;","")))</f>
        <v>Vantage_Lima</v>
      </c>
      <c r="AR2269" t="str">
        <f>_xlfn.XLOOKUP(emissions[[#This Row],[Reporting unit name]],hierarchy!$A:$A,hierarchy!$C:$C)</f>
        <v>Office</v>
      </c>
    </row>
    <row r="2270" spans="1:44" hidden="1" x14ac:dyDescent="0.25">
      <c r="A2270">
        <v>237696</v>
      </c>
      <c r="B2270" t="s">
        <v>226</v>
      </c>
      <c r="C2270" t="s">
        <v>501</v>
      </c>
      <c r="D2270" t="s">
        <v>548</v>
      </c>
      <c r="E2270" s="3">
        <v>44562</v>
      </c>
      <c r="F2270" s="3">
        <v>44926</v>
      </c>
      <c r="G2270" t="s">
        <v>135</v>
      </c>
      <c r="H2270" s="3">
        <v>44562</v>
      </c>
      <c r="I2270" s="3">
        <v>44926</v>
      </c>
      <c r="J2270" t="s">
        <v>135</v>
      </c>
      <c r="K2270">
        <v>0</v>
      </c>
      <c r="L2270" t="s">
        <v>140</v>
      </c>
      <c r="M2270" t="s">
        <v>110</v>
      </c>
      <c r="O2270" t="s">
        <v>1036</v>
      </c>
      <c r="P2270" t="s">
        <v>550</v>
      </c>
      <c r="Q2270">
        <v>2022</v>
      </c>
      <c r="R2270" t="s">
        <v>609</v>
      </c>
      <c r="S2270" t="s">
        <v>610</v>
      </c>
      <c r="T2270" t="s">
        <v>577</v>
      </c>
      <c r="U2270" t="b">
        <v>0</v>
      </c>
      <c r="V2270" t="s">
        <v>632</v>
      </c>
      <c r="W2270" t="s">
        <v>571</v>
      </c>
      <c r="X2270" t="s">
        <v>572</v>
      </c>
      <c r="AC2270">
        <v>1</v>
      </c>
      <c r="AD2270" t="s">
        <v>565</v>
      </c>
      <c r="AE2270">
        <v>0</v>
      </c>
      <c r="AF2270">
        <v>3.1099999999999999E-2</v>
      </c>
      <c r="AG2270" t="s">
        <v>608</v>
      </c>
      <c r="AH2270">
        <v>2.9306999999999998E-4</v>
      </c>
      <c r="AI2270">
        <v>0</v>
      </c>
      <c r="AJ2270" t="s">
        <v>561</v>
      </c>
      <c r="AK2270" t="s">
        <v>589</v>
      </c>
      <c r="AL2270" t="s">
        <v>590</v>
      </c>
      <c r="AM2270">
        <v>2022</v>
      </c>
      <c r="AN2270">
        <v>2020</v>
      </c>
      <c r="AO2270">
        <f>IF(AND(emissions[[#This Row],[Market-based]]=0,emissions[[#This Row],[Impact Type]]="CO2E"),emissions[[#This Row],[kgCO2e]],0)/1000</f>
        <v>0</v>
      </c>
      <c r="AP2270">
        <f>IF(AND(emissions[[#This Row],[Market-based]]=1,OR(emissions[[#This Row],[Impact Type]]="CO2E",emissions[[#This Row],[Impact Type]]="CO2E MKT")),emissions[[#This Row],[kgCO2e]],0)/1000</f>
        <v>0</v>
      </c>
      <c r="AQ2270" t="str">
        <f>_xlfn.TEXTAFTER(emissions[[#This Row],[Reporting Unit]]," &gt; ",LEN(emissions[[#This Row],[Reporting Unit]])-LEN(SUBSTITUTE(emissions[[#This Row],[Reporting Unit]],"&gt;","")))</f>
        <v>Vantage_Lima</v>
      </c>
      <c r="AR2270" t="str">
        <f>_xlfn.XLOOKUP(emissions[[#This Row],[Reporting unit name]],hierarchy!$A:$A,hierarchy!$C:$C)</f>
        <v>Office</v>
      </c>
    </row>
    <row r="2271" spans="1:44" hidden="1" x14ac:dyDescent="0.25">
      <c r="A2271">
        <v>237698</v>
      </c>
      <c r="B2271" t="s">
        <v>226</v>
      </c>
      <c r="C2271" t="s">
        <v>501</v>
      </c>
      <c r="D2271" t="s">
        <v>548</v>
      </c>
      <c r="E2271" s="3">
        <v>44562</v>
      </c>
      <c r="F2271" s="3">
        <v>44926</v>
      </c>
      <c r="G2271" t="s">
        <v>141</v>
      </c>
      <c r="H2271" s="3">
        <v>44562</v>
      </c>
      <c r="I2271" s="3">
        <v>44926</v>
      </c>
      <c r="J2271" t="s">
        <v>142</v>
      </c>
      <c r="K2271">
        <v>0</v>
      </c>
      <c r="L2271" t="s">
        <v>140</v>
      </c>
      <c r="M2271" t="s">
        <v>110</v>
      </c>
      <c r="O2271" t="s">
        <v>1037</v>
      </c>
      <c r="P2271" t="s">
        <v>550</v>
      </c>
      <c r="Q2271">
        <v>2022</v>
      </c>
      <c r="R2271" t="s">
        <v>612</v>
      </c>
      <c r="S2271" t="s">
        <v>613</v>
      </c>
      <c r="T2271" t="s">
        <v>553</v>
      </c>
      <c r="U2271" t="b">
        <v>0</v>
      </c>
      <c r="V2271" t="s">
        <v>614</v>
      </c>
      <c r="W2271" t="s">
        <v>587</v>
      </c>
      <c r="X2271" t="s">
        <v>556</v>
      </c>
      <c r="AC2271">
        <v>0</v>
      </c>
      <c r="AD2271" t="s">
        <v>558</v>
      </c>
      <c r="AE2271">
        <v>0</v>
      </c>
      <c r="AF2271">
        <v>2.0000000000000002E-5</v>
      </c>
      <c r="AG2271" t="s">
        <v>608</v>
      </c>
      <c r="AH2271">
        <v>2.9306999999999998E-4</v>
      </c>
      <c r="AI2271">
        <v>0</v>
      </c>
      <c r="AJ2271" t="s">
        <v>561</v>
      </c>
      <c r="AK2271" t="s">
        <v>589</v>
      </c>
      <c r="AL2271" t="s">
        <v>590</v>
      </c>
      <c r="AM2271">
        <v>2022</v>
      </c>
      <c r="AN2271">
        <v>2020</v>
      </c>
      <c r="AO2271">
        <f>IF(AND(emissions[[#This Row],[Market-based]]=0,emissions[[#This Row],[Impact Type]]="CO2E"),emissions[[#This Row],[kgCO2e]],0)/1000</f>
        <v>0</v>
      </c>
      <c r="AP2271">
        <f>IF(AND(emissions[[#This Row],[Market-based]]=1,OR(emissions[[#This Row],[Impact Type]]="CO2E",emissions[[#This Row],[Impact Type]]="CO2E MKT")),emissions[[#This Row],[kgCO2e]],0)/1000</f>
        <v>0</v>
      </c>
      <c r="AQ2271" t="str">
        <f>_xlfn.TEXTAFTER(emissions[[#This Row],[Reporting Unit]]," &gt; ",LEN(emissions[[#This Row],[Reporting Unit]])-LEN(SUBSTITUTE(emissions[[#This Row],[Reporting Unit]],"&gt;","")))</f>
        <v>Vantage_Lima</v>
      </c>
      <c r="AR2271" t="str">
        <f>_xlfn.XLOOKUP(emissions[[#This Row],[Reporting unit name]],hierarchy!$A:$A,hierarchy!$C:$C)</f>
        <v>Office</v>
      </c>
    </row>
    <row r="2272" spans="1:44" hidden="1" x14ac:dyDescent="0.25">
      <c r="A2272">
        <v>237698</v>
      </c>
      <c r="B2272" t="s">
        <v>226</v>
      </c>
      <c r="C2272" t="s">
        <v>501</v>
      </c>
      <c r="D2272" t="s">
        <v>548</v>
      </c>
      <c r="E2272" s="3">
        <v>44562</v>
      </c>
      <c r="F2272" s="3">
        <v>44926</v>
      </c>
      <c r="G2272" t="s">
        <v>141</v>
      </c>
      <c r="H2272" s="3">
        <v>44562</v>
      </c>
      <c r="I2272" s="3">
        <v>44926</v>
      </c>
      <c r="J2272" t="s">
        <v>142</v>
      </c>
      <c r="K2272">
        <v>0</v>
      </c>
      <c r="L2272" t="s">
        <v>140</v>
      </c>
      <c r="M2272" t="s">
        <v>110</v>
      </c>
      <c r="O2272" t="s">
        <v>1037</v>
      </c>
      <c r="P2272" t="s">
        <v>550</v>
      </c>
      <c r="Q2272">
        <v>2022</v>
      </c>
      <c r="R2272" t="s">
        <v>612</v>
      </c>
      <c r="S2272" t="s">
        <v>613</v>
      </c>
      <c r="T2272" t="s">
        <v>553</v>
      </c>
      <c r="U2272" t="b">
        <v>0</v>
      </c>
      <c r="V2272" t="s">
        <v>614</v>
      </c>
      <c r="W2272" t="s">
        <v>587</v>
      </c>
      <c r="X2272" t="s">
        <v>556</v>
      </c>
      <c r="AC2272">
        <v>0</v>
      </c>
      <c r="AD2272" t="s">
        <v>564</v>
      </c>
      <c r="AE2272">
        <v>0</v>
      </c>
      <c r="AF2272">
        <v>0.24970999999999999</v>
      </c>
      <c r="AG2272" t="s">
        <v>608</v>
      </c>
      <c r="AH2272">
        <v>2.9306999999999998E-4</v>
      </c>
      <c r="AI2272">
        <v>0</v>
      </c>
      <c r="AJ2272" t="s">
        <v>561</v>
      </c>
      <c r="AK2272" t="s">
        <v>589</v>
      </c>
      <c r="AL2272" t="s">
        <v>590</v>
      </c>
      <c r="AM2272">
        <v>2022</v>
      </c>
      <c r="AN2272">
        <v>2020</v>
      </c>
      <c r="AO2272">
        <f>IF(AND(emissions[[#This Row],[Market-based]]=0,emissions[[#This Row],[Impact Type]]="CO2E"),emissions[[#This Row],[kgCO2e]],0)/1000</f>
        <v>0</v>
      </c>
      <c r="AP2272">
        <f>IF(AND(emissions[[#This Row],[Market-based]]=1,OR(emissions[[#This Row],[Impact Type]]="CO2E",emissions[[#This Row],[Impact Type]]="CO2E MKT")),emissions[[#This Row],[kgCO2e]],0)/1000</f>
        <v>0</v>
      </c>
      <c r="AQ2272" t="str">
        <f>_xlfn.TEXTAFTER(emissions[[#This Row],[Reporting Unit]]," &gt; ",LEN(emissions[[#This Row],[Reporting Unit]])-LEN(SUBSTITUTE(emissions[[#This Row],[Reporting Unit]],"&gt;","")))</f>
        <v>Vantage_Lima</v>
      </c>
      <c r="AR2272" t="str">
        <f>_xlfn.XLOOKUP(emissions[[#This Row],[Reporting unit name]],hierarchy!$A:$A,hierarchy!$C:$C)</f>
        <v>Office</v>
      </c>
    </row>
    <row r="2273" spans="1:44" hidden="1" x14ac:dyDescent="0.25">
      <c r="A2273">
        <v>237698</v>
      </c>
      <c r="B2273" t="s">
        <v>226</v>
      </c>
      <c r="C2273" t="s">
        <v>501</v>
      </c>
      <c r="D2273" t="s">
        <v>548</v>
      </c>
      <c r="E2273" s="3">
        <v>44562</v>
      </c>
      <c r="F2273" s="3">
        <v>44926</v>
      </c>
      <c r="G2273" t="s">
        <v>141</v>
      </c>
      <c r="H2273" s="3">
        <v>44562</v>
      </c>
      <c r="I2273" s="3">
        <v>44926</v>
      </c>
      <c r="J2273" t="s">
        <v>142</v>
      </c>
      <c r="K2273">
        <v>0</v>
      </c>
      <c r="L2273" t="s">
        <v>140</v>
      </c>
      <c r="M2273" t="s">
        <v>110</v>
      </c>
      <c r="O2273" t="s">
        <v>1037</v>
      </c>
      <c r="P2273" t="s">
        <v>550</v>
      </c>
      <c r="Q2273">
        <v>2022</v>
      </c>
      <c r="R2273" t="s">
        <v>612</v>
      </c>
      <c r="S2273" t="s">
        <v>613</v>
      </c>
      <c r="T2273" t="s">
        <v>553</v>
      </c>
      <c r="U2273" t="b">
        <v>0</v>
      </c>
      <c r="V2273" t="s">
        <v>614</v>
      </c>
      <c r="W2273" t="s">
        <v>587</v>
      </c>
      <c r="X2273" t="s">
        <v>556</v>
      </c>
      <c r="AC2273">
        <v>0</v>
      </c>
      <c r="AD2273" t="s">
        <v>565</v>
      </c>
      <c r="AE2273">
        <v>0</v>
      </c>
      <c r="AF2273">
        <v>0.25320999999999999</v>
      </c>
      <c r="AG2273" t="s">
        <v>608</v>
      </c>
      <c r="AH2273">
        <v>2.9306999999999998E-4</v>
      </c>
      <c r="AI2273">
        <v>0</v>
      </c>
      <c r="AJ2273" t="s">
        <v>561</v>
      </c>
      <c r="AK2273" t="s">
        <v>589</v>
      </c>
      <c r="AL2273" t="s">
        <v>590</v>
      </c>
      <c r="AM2273">
        <v>2022</v>
      </c>
      <c r="AN2273">
        <v>2020</v>
      </c>
      <c r="AO2273">
        <f>IF(AND(emissions[[#This Row],[Market-based]]=0,emissions[[#This Row],[Impact Type]]="CO2E"),emissions[[#This Row],[kgCO2e]],0)/1000</f>
        <v>0</v>
      </c>
      <c r="AP2273">
        <f>IF(AND(emissions[[#This Row],[Market-based]]=1,OR(emissions[[#This Row],[Impact Type]]="CO2E",emissions[[#This Row],[Impact Type]]="CO2E MKT")),emissions[[#This Row],[kgCO2e]],0)/1000</f>
        <v>0</v>
      </c>
      <c r="AQ2273" t="str">
        <f>_xlfn.TEXTAFTER(emissions[[#This Row],[Reporting Unit]]," &gt; ",LEN(emissions[[#This Row],[Reporting Unit]])-LEN(SUBSTITUTE(emissions[[#This Row],[Reporting Unit]],"&gt;","")))</f>
        <v>Vantage_Lima</v>
      </c>
      <c r="AR2273" t="str">
        <f>_xlfn.XLOOKUP(emissions[[#This Row],[Reporting unit name]],hierarchy!$A:$A,hierarchy!$C:$C)</f>
        <v>Office</v>
      </c>
    </row>
    <row r="2274" spans="1:44" hidden="1" x14ac:dyDescent="0.25">
      <c r="A2274">
        <v>237698</v>
      </c>
      <c r="B2274" t="s">
        <v>226</v>
      </c>
      <c r="C2274" t="s">
        <v>501</v>
      </c>
      <c r="D2274" t="s">
        <v>548</v>
      </c>
      <c r="E2274" s="3">
        <v>44562</v>
      </c>
      <c r="F2274" s="3">
        <v>44926</v>
      </c>
      <c r="G2274" t="s">
        <v>141</v>
      </c>
      <c r="H2274" s="3">
        <v>44562</v>
      </c>
      <c r="I2274" s="3">
        <v>44926</v>
      </c>
      <c r="J2274" t="s">
        <v>142</v>
      </c>
      <c r="K2274">
        <v>0</v>
      </c>
      <c r="L2274" t="s">
        <v>140</v>
      </c>
      <c r="M2274" t="s">
        <v>110</v>
      </c>
      <c r="O2274" t="s">
        <v>1037</v>
      </c>
      <c r="P2274" t="s">
        <v>550</v>
      </c>
      <c r="Q2274">
        <v>2022</v>
      </c>
      <c r="R2274" t="s">
        <v>612</v>
      </c>
      <c r="S2274" t="s">
        <v>613</v>
      </c>
      <c r="T2274" t="s">
        <v>553</v>
      </c>
      <c r="U2274" t="b">
        <v>0</v>
      </c>
      <c r="V2274" t="s">
        <v>614</v>
      </c>
      <c r="W2274" t="s">
        <v>587</v>
      </c>
      <c r="X2274" t="s">
        <v>556</v>
      </c>
      <c r="AC2274">
        <v>0</v>
      </c>
      <c r="AD2274" t="s">
        <v>566</v>
      </c>
      <c r="AE2274">
        <v>0</v>
      </c>
      <c r="AF2274">
        <v>3.48E-3</v>
      </c>
      <c r="AG2274" t="s">
        <v>608</v>
      </c>
      <c r="AH2274">
        <v>2.9306999999999998E-4</v>
      </c>
      <c r="AI2274">
        <v>0</v>
      </c>
      <c r="AJ2274" t="s">
        <v>561</v>
      </c>
      <c r="AK2274" t="s">
        <v>589</v>
      </c>
      <c r="AL2274" t="s">
        <v>590</v>
      </c>
      <c r="AM2274">
        <v>2022</v>
      </c>
      <c r="AN2274">
        <v>2020</v>
      </c>
      <c r="AO2274">
        <f>IF(AND(emissions[[#This Row],[Market-based]]=0,emissions[[#This Row],[Impact Type]]="CO2E"),emissions[[#This Row],[kgCO2e]],0)/1000</f>
        <v>0</v>
      </c>
      <c r="AP2274">
        <f>IF(AND(emissions[[#This Row],[Market-based]]=1,OR(emissions[[#This Row],[Impact Type]]="CO2E",emissions[[#This Row],[Impact Type]]="CO2E MKT")),emissions[[#This Row],[kgCO2e]],0)/1000</f>
        <v>0</v>
      </c>
      <c r="AQ2274" t="str">
        <f>_xlfn.TEXTAFTER(emissions[[#This Row],[Reporting Unit]]," &gt; ",LEN(emissions[[#This Row],[Reporting Unit]])-LEN(SUBSTITUTE(emissions[[#This Row],[Reporting Unit]],"&gt;","")))</f>
        <v>Vantage_Lima</v>
      </c>
      <c r="AR2274" t="str">
        <f>_xlfn.XLOOKUP(emissions[[#This Row],[Reporting unit name]],hierarchy!$A:$A,hierarchy!$C:$C)</f>
        <v>Office</v>
      </c>
    </row>
    <row r="2275" spans="1:44" hidden="1" x14ac:dyDescent="0.25">
      <c r="A2275">
        <v>237698</v>
      </c>
      <c r="B2275" t="s">
        <v>226</v>
      </c>
      <c r="C2275" t="s">
        <v>501</v>
      </c>
      <c r="D2275" t="s">
        <v>548</v>
      </c>
      <c r="E2275" s="3">
        <v>44562</v>
      </c>
      <c r="F2275" s="3">
        <v>44926</v>
      </c>
      <c r="G2275" t="s">
        <v>141</v>
      </c>
      <c r="H2275" s="3">
        <v>44562</v>
      </c>
      <c r="I2275" s="3">
        <v>44926</v>
      </c>
      <c r="J2275" t="s">
        <v>142</v>
      </c>
      <c r="K2275">
        <v>0</v>
      </c>
      <c r="L2275" t="s">
        <v>140</v>
      </c>
      <c r="M2275" t="s">
        <v>110</v>
      </c>
      <c r="O2275" t="s">
        <v>1037</v>
      </c>
      <c r="P2275" t="s">
        <v>550</v>
      </c>
      <c r="Q2275">
        <v>2022</v>
      </c>
      <c r="R2275" t="s">
        <v>612</v>
      </c>
      <c r="S2275" t="s">
        <v>613</v>
      </c>
      <c r="T2275" t="s">
        <v>553</v>
      </c>
      <c r="U2275" t="b">
        <v>0</v>
      </c>
      <c r="V2275" t="s">
        <v>614</v>
      </c>
      <c r="W2275" t="s">
        <v>587</v>
      </c>
      <c r="X2275" t="s">
        <v>556</v>
      </c>
      <c r="AC2275">
        <v>1</v>
      </c>
      <c r="AD2275" t="s">
        <v>558</v>
      </c>
      <c r="AE2275">
        <v>0</v>
      </c>
      <c r="AF2275">
        <v>2.0000000000000002E-5</v>
      </c>
      <c r="AG2275" t="s">
        <v>608</v>
      </c>
      <c r="AH2275">
        <v>2.9306999999999998E-4</v>
      </c>
      <c r="AI2275">
        <v>0</v>
      </c>
      <c r="AJ2275" t="s">
        <v>561</v>
      </c>
      <c r="AK2275" t="s">
        <v>589</v>
      </c>
      <c r="AL2275" t="s">
        <v>590</v>
      </c>
      <c r="AM2275">
        <v>2022</v>
      </c>
      <c r="AN2275">
        <v>2020</v>
      </c>
      <c r="AO2275">
        <f>IF(AND(emissions[[#This Row],[Market-based]]=0,emissions[[#This Row],[Impact Type]]="CO2E"),emissions[[#This Row],[kgCO2e]],0)/1000</f>
        <v>0</v>
      </c>
      <c r="AP2275">
        <f>IF(AND(emissions[[#This Row],[Market-based]]=1,OR(emissions[[#This Row],[Impact Type]]="CO2E",emissions[[#This Row],[Impact Type]]="CO2E MKT")),emissions[[#This Row],[kgCO2e]],0)/1000</f>
        <v>0</v>
      </c>
      <c r="AQ2275" t="str">
        <f>_xlfn.TEXTAFTER(emissions[[#This Row],[Reporting Unit]]," &gt; ",LEN(emissions[[#This Row],[Reporting Unit]])-LEN(SUBSTITUTE(emissions[[#This Row],[Reporting Unit]],"&gt;","")))</f>
        <v>Vantage_Lima</v>
      </c>
      <c r="AR2275" t="str">
        <f>_xlfn.XLOOKUP(emissions[[#This Row],[Reporting unit name]],hierarchy!$A:$A,hierarchy!$C:$C)</f>
        <v>Office</v>
      </c>
    </row>
    <row r="2276" spans="1:44" hidden="1" x14ac:dyDescent="0.25">
      <c r="A2276">
        <v>237698</v>
      </c>
      <c r="B2276" t="s">
        <v>226</v>
      </c>
      <c r="C2276" t="s">
        <v>501</v>
      </c>
      <c r="D2276" t="s">
        <v>548</v>
      </c>
      <c r="E2276" s="3">
        <v>44562</v>
      </c>
      <c r="F2276" s="3">
        <v>44926</v>
      </c>
      <c r="G2276" t="s">
        <v>141</v>
      </c>
      <c r="H2276" s="3">
        <v>44562</v>
      </c>
      <c r="I2276" s="3">
        <v>44926</v>
      </c>
      <c r="J2276" t="s">
        <v>142</v>
      </c>
      <c r="K2276">
        <v>0</v>
      </c>
      <c r="L2276" t="s">
        <v>140</v>
      </c>
      <c r="M2276" t="s">
        <v>110</v>
      </c>
      <c r="O2276" t="s">
        <v>1037</v>
      </c>
      <c r="P2276" t="s">
        <v>550</v>
      </c>
      <c r="Q2276">
        <v>2022</v>
      </c>
      <c r="R2276" t="s">
        <v>612</v>
      </c>
      <c r="S2276" t="s">
        <v>613</v>
      </c>
      <c r="T2276" t="s">
        <v>553</v>
      </c>
      <c r="U2276" t="b">
        <v>0</v>
      </c>
      <c r="V2276" t="s">
        <v>614</v>
      </c>
      <c r="W2276" t="s">
        <v>587</v>
      </c>
      <c r="X2276" t="s">
        <v>556</v>
      </c>
      <c r="AC2276">
        <v>1</v>
      </c>
      <c r="AD2276" t="s">
        <v>564</v>
      </c>
      <c r="AE2276">
        <v>0</v>
      </c>
      <c r="AF2276">
        <v>0.24970999999999999</v>
      </c>
      <c r="AG2276" t="s">
        <v>608</v>
      </c>
      <c r="AH2276">
        <v>2.9306999999999998E-4</v>
      </c>
      <c r="AI2276">
        <v>0</v>
      </c>
      <c r="AJ2276" t="s">
        <v>561</v>
      </c>
      <c r="AK2276" t="s">
        <v>589</v>
      </c>
      <c r="AL2276" t="s">
        <v>590</v>
      </c>
      <c r="AM2276">
        <v>2022</v>
      </c>
      <c r="AN2276">
        <v>2020</v>
      </c>
      <c r="AO2276">
        <f>IF(AND(emissions[[#This Row],[Market-based]]=0,emissions[[#This Row],[Impact Type]]="CO2E"),emissions[[#This Row],[kgCO2e]],0)/1000</f>
        <v>0</v>
      </c>
      <c r="AP2276">
        <f>IF(AND(emissions[[#This Row],[Market-based]]=1,OR(emissions[[#This Row],[Impact Type]]="CO2E",emissions[[#This Row],[Impact Type]]="CO2E MKT")),emissions[[#This Row],[kgCO2e]],0)/1000</f>
        <v>0</v>
      </c>
      <c r="AQ2276" t="str">
        <f>_xlfn.TEXTAFTER(emissions[[#This Row],[Reporting Unit]]," &gt; ",LEN(emissions[[#This Row],[Reporting Unit]])-LEN(SUBSTITUTE(emissions[[#This Row],[Reporting Unit]],"&gt;","")))</f>
        <v>Vantage_Lima</v>
      </c>
      <c r="AR2276" t="str">
        <f>_xlfn.XLOOKUP(emissions[[#This Row],[Reporting unit name]],hierarchy!$A:$A,hierarchy!$C:$C)</f>
        <v>Office</v>
      </c>
    </row>
    <row r="2277" spans="1:44" hidden="1" x14ac:dyDescent="0.25">
      <c r="A2277">
        <v>237698</v>
      </c>
      <c r="B2277" t="s">
        <v>226</v>
      </c>
      <c r="C2277" t="s">
        <v>501</v>
      </c>
      <c r="D2277" t="s">
        <v>548</v>
      </c>
      <c r="E2277" s="3">
        <v>44562</v>
      </c>
      <c r="F2277" s="3">
        <v>44926</v>
      </c>
      <c r="G2277" t="s">
        <v>141</v>
      </c>
      <c r="H2277" s="3">
        <v>44562</v>
      </c>
      <c r="I2277" s="3">
        <v>44926</v>
      </c>
      <c r="J2277" t="s">
        <v>142</v>
      </c>
      <c r="K2277">
        <v>0</v>
      </c>
      <c r="L2277" t="s">
        <v>140</v>
      </c>
      <c r="M2277" t="s">
        <v>110</v>
      </c>
      <c r="O2277" t="s">
        <v>1037</v>
      </c>
      <c r="P2277" t="s">
        <v>550</v>
      </c>
      <c r="Q2277">
        <v>2022</v>
      </c>
      <c r="R2277" t="s">
        <v>612</v>
      </c>
      <c r="S2277" t="s">
        <v>613</v>
      </c>
      <c r="T2277" t="s">
        <v>553</v>
      </c>
      <c r="U2277" t="b">
        <v>0</v>
      </c>
      <c r="V2277" t="s">
        <v>614</v>
      </c>
      <c r="W2277" t="s">
        <v>587</v>
      </c>
      <c r="X2277" t="s">
        <v>556</v>
      </c>
      <c r="AC2277">
        <v>1</v>
      </c>
      <c r="AD2277" t="s">
        <v>565</v>
      </c>
      <c r="AE2277">
        <v>0</v>
      </c>
      <c r="AF2277">
        <v>0.25320999999999999</v>
      </c>
      <c r="AG2277" t="s">
        <v>608</v>
      </c>
      <c r="AH2277">
        <v>2.9306999999999998E-4</v>
      </c>
      <c r="AI2277">
        <v>0</v>
      </c>
      <c r="AJ2277" t="s">
        <v>561</v>
      </c>
      <c r="AK2277" t="s">
        <v>589</v>
      </c>
      <c r="AL2277" t="s">
        <v>590</v>
      </c>
      <c r="AM2277">
        <v>2022</v>
      </c>
      <c r="AN2277">
        <v>2020</v>
      </c>
      <c r="AO2277">
        <f>IF(AND(emissions[[#This Row],[Market-based]]=0,emissions[[#This Row],[Impact Type]]="CO2E"),emissions[[#This Row],[kgCO2e]],0)/1000</f>
        <v>0</v>
      </c>
      <c r="AP2277">
        <f>IF(AND(emissions[[#This Row],[Market-based]]=1,OR(emissions[[#This Row],[Impact Type]]="CO2E",emissions[[#This Row],[Impact Type]]="CO2E MKT")),emissions[[#This Row],[kgCO2e]],0)/1000</f>
        <v>0</v>
      </c>
      <c r="AQ2277" t="str">
        <f>_xlfn.TEXTAFTER(emissions[[#This Row],[Reporting Unit]]," &gt; ",LEN(emissions[[#This Row],[Reporting Unit]])-LEN(SUBSTITUTE(emissions[[#This Row],[Reporting Unit]],"&gt;","")))</f>
        <v>Vantage_Lima</v>
      </c>
      <c r="AR2277" t="str">
        <f>_xlfn.XLOOKUP(emissions[[#This Row],[Reporting unit name]],hierarchy!$A:$A,hierarchy!$C:$C)</f>
        <v>Office</v>
      </c>
    </row>
    <row r="2278" spans="1:44" hidden="1" x14ac:dyDescent="0.25">
      <c r="A2278">
        <v>237698</v>
      </c>
      <c r="B2278" t="s">
        <v>226</v>
      </c>
      <c r="C2278" t="s">
        <v>501</v>
      </c>
      <c r="D2278" t="s">
        <v>548</v>
      </c>
      <c r="E2278" s="3">
        <v>44562</v>
      </c>
      <c r="F2278" s="3">
        <v>44926</v>
      </c>
      <c r="G2278" t="s">
        <v>141</v>
      </c>
      <c r="H2278" s="3">
        <v>44562</v>
      </c>
      <c r="I2278" s="3">
        <v>44926</v>
      </c>
      <c r="J2278" t="s">
        <v>142</v>
      </c>
      <c r="K2278">
        <v>0</v>
      </c>
      <c r="L2278" t="s">
        <v>140</v>
      </c>
      <c r="M2278" t="s">
        <v>110</v>
      </c>
      <c r="O2278" t="s">
        <v>1037</v>
      </c>
      <c r="P2278" t="s">
        <v>550</v>
      </c>
      <c r="Q2278">
        <v>2022</v>
      </c>
      <c r="R2278" t="s">
        <v>612</v>
      </c>
      <c r="S2278" t="s">
        <v>613</v>
      </c>
      <c r="T2278" t="s">
        <v>553</v>
      </c>
      <c r="U2278" t="b">
        <v>0</v>
      </c>
      <c r="V2278" t="s">
        <v>614</v>
      </c>
      <c r="W2278" t="s">
        <v>587</v>
      </c>
      <c r="X2278" t="s">
        <v>556</v>
      </c>
      <c r="AC2278">
        <v>1</v>
      </c>
      <c r="AD2278" t="s">
        <v>566</v>
      </c>
      <c r="AE2278">
        <v>0</v>
      </c>
      <c r="AF2278">
        <v>3.48E-3</v>
      </c>
      <c r="AG2278" t="s">
        <v>608</v>
      </c>
      <c r="AH2278">
        <v>2.9306999999999998E-4</v>
      </c>
      <c r="AI2278">
        <v>0</v>
      </c>
      <c r="AJ2278" t="s">
        <v>561</v>
      </c>
      <c r="AK2278" t="s">
        <v>589</v>
      </c>
      <c r="AL2278" t="s">
        <v>590</v>
      </c>
      <c r="AM2278">
        <v>2022</v>
      </c>
      <c r="AN2278">
        <v>2020</v>
      </c>
      <c r="AO2278">
        <f>IF(AND(emissions[[#This Row],[Market-based]]=0,emissions[[#This Row],[Impact Type]]="CO2E"),emissions[[#This Row],[kgCO2e]],0)/1000</f>
        <v>0</v>
      </c>
      <c r="AP2278">
        <f>IF(AND(emissions[[#This Row],[Market-based]]=1,OR(emissions[[#This Row],[Impact Type]]="CO2E",emissions[[#This Row],[Impact Type]]="CO2E MKT")),emissions[[#This Row],[kgCO2e]],0)/1000</f>
        <v>0</v>
      </c>
      <c r="AQ2278" t="str">
        <f>_xlfn.TEXTAFTER(emissions[[#This Row],[Reporting Unit]]," &gt; ",LEN(emissions[[#This Row],[Reporting Unit]])-LEN(SUBSTITUTE(emissions[[#This Row],[Reporting Unit]],"&gt;","")))</f>
        <v>Vantage_Lima</v>
      </c>
      <c r="AR2278" t="str">
        <f>_xlfn.XLOOKUP(emissions[[#This Row],[Reporting unit name]],hierarchy!$A:$A,hierarchy!$C:$C)</f>
        <v>Office</v>
      </c>
    </row>
    <row r="2279" spans="1:44" hidden="1" x14ac:dyDescent="0.25">
      <c r="A2279">
        <v>237698</v>
      </c>
      <c r="B2279" t="s">
        <v>226</v>
      </c>
      <c r="C2279" t="s">
        <v>501</v>
      </c>
      <c r="D2279" t="s">
        <v>548</v>
      </c>
      <c r="E2279" s="3">
        <v>44562</v>
      </c>
      <c r="F2279" s="3">
        <v>44926</v>
      </c>
      <c r="G2279" t="s">
        <v>141</v>
      </c>
      <c r="H2279" s="3">
        <v>44562</v>
      </c>
      <c r="I2279" s="3">
        <v>44926</v>
      </c>
      <c r="J2279" t="s">
        <v>142</v>
      </c>
      <c r="K2279">
        <v>0</v>
      </c>
      <c r="L2279" t="s">
        <v>140</v>
      </c>
      <c r="M2279" t="s">
        <v>110</v>
      </c>
      <c r="O2279" t="s">
        <v>1037</v>
      </c>
      <c r="P2279" t="s">
        <v>550</v>
      </c>
      <c r="Q2279">
        <v>2022</v>
      </c>
      <c r="R2279" t="s">
        <v>615</v>
      </c>
      <c r="S2279" t="s">
        <v>616</v>
      </c>
      <c r="T2279" t="s">
        <v>577</v>
      </c>
      <c r="U2279" t="b">
        <v>0</v>
      </c>
      <c r="V2279" t="s">
        <v>879</v>
      </c>
      <c r="W2279" t="s">
        <v>571</v>
      </c>
      <c r="X2279" t="s">
        <v>572</v>
      </c>
      <c r="AC2279">
        <v>0</v>
      </c>
      <c r="AD2279" t="s">
        <v>565</v>
      </c>
      <c r="AE2279">
        <v>0</v>
      </c>
      <c r="AF2279">
        <v>5.8880000000000002E-2</v>
      </c>
      <c r="AG2279" t="s">
        <v>608</v>
      </c>
      <c r="AH2279">
        <v>2.9306999999999998E-4</v>
      </c>
      <c r="AI2279">
        <v>0</v>
      </c>
      <c r="AJ2279" t="s">
        <v>561</v>
      </c>
      <c r="AK2279" t="s">
        <v>589</v>
      </c>
      <c r="AL2279" t="s">
        <v>590</v>
      </c>
      <c r="AM2279">
        <v>2022</v>
      </c>
      <c r="AN2279">
        <v>2020</v>
      </c>
      <c r="AO2279">
        <f>IF(AND(emissions[[#This Row],[Market-based]]=0,emissions[[#This Row],[Impact Type]]="CO2E"),emissions[[#This Row],[kgCO2e]],0)/1000</f>
        <v>0</v>
      </c>
      <c r="AP2279">
        <f>IF(AND(emissions[[#This Row],[Market-based]]=1,OR(emissions[[#This Row],[Impact Type]]="CO2E",emissions[[#This Row],[Impact Type]]="CO2E MKT")),emissions[[#This Row],[kgCO2e]],0)/1000</f>
        <v>0</v>
      </c>
      <c r="AQ2279" t="str">
        <f>_xlfn.TEXTAFTER(emissions[[#This Row],[Reporting Unit]]," &gt; ",LEN(emissions[[#This Row],[Reporting Unit]])-LEN(SUBSTITUTE(emissions[[#This Row],[Reporting Unit]],"&gt;","")))</f>
        <v>Vantage_Lima</v>
      </c>
      <c r="AR2279" t="str">
        <f>_xlfn.XLOOKUP(emissions[[#This Row],[Reporting unit name]],hierarchy!$A:$A,hierarchy!$C:$C)</f>
        <v>Office</v>
      </c>
    </row>
    <row r="2280" spans="1:44" hidden="1" x14ac:dyDescent="0.25">
      <c r="A2280">
        <v>237698</v>
      </c>
      <c r="B2280" t="s">
        <v>226</v>
      </c>
      <c r="C2280" t="s">
        <v>501</v>
      </c>
      <c r="D2280" t="s">
        <v>548</v>
      </c>
      <c r="E2280" s="3">
        <v>44562</v>
      </c>
      <c r="F2280" s="3">
        <v>44926</v>
      </c>
      <c r="G2280" t="s">
        <v>141</v>
      </c>
      <c r="H2280" s="3">
        <v>44562</v>
      </c>
      <c r="I2280" s="3">
        <v>44926</v>
      </c>
      <c r="J2280" t="s">
        <v>142</v>
      </c>
      <c r="K2280">
        <v>0</v>
      </c>
      <c r="L2280" t="s">
        <v>140</v>
      </c>
      <c r="M2280" t="s">
        <v>110</v>
      </c>
      <c r="O2280" t="s">
        <v>1037</v>
      </c>
      <c r="P2280" t="s">
        <v>550</v>
      </c>
      <c r="Q2280">
        <v>2022</v>
      </c>
      <c r="R2280" t="s">
        <v>615</v>
      </c>
      <c r="S2280" t="s">
        <v>616</v>
      </c>
      <c r="T2280" t="s">
        <v>577</v>
      </c>
      <c r="U2280" t="b">
        <v>0</v>
      </c>
      <c r="V2280" t="s">
        <v>879</v>
      </c>
      <c r="W2280" t="s">
        <v>571</v>
      </c>
      <c r="X2280" t="s">
        <v>572</v>
      </c>
      <c r="AC2280">
        <v>1</v>
      </c>
      <c r="AD2280" t="s">
        <v>565</v>
      </c>
      <c r="AE2280">
        <v>0</v>
      </c>
      <c r="AF2280">
        <v>5.8880000000000002E-2</v>
      </c>
      <c r="AG2280" t="s">
        <v>608</v>
      </c>
      <c r="AH2280">
        <v>2.9306999999999998E-4</v>
      </c>
      <c r="AI2280">
        <v>0</v>
      </c>
      <c r="AJ2280" t="s">
        <v>561</v>
      </c>
      <c r="AK2280" t="s">
        <v>589</v>
      </c>
      <c r="AL2280" t="s">
        <v>590</v>
      </c>
      <c r="AM2280">
        <v>2022</v>
      </c>
      <c r="AN2280">
        <v>2020</v>
      </c>
      <c r="AO2280">
        <f>IF(AND(emissions[[#This Row],[Market-based]]=0,emissions[[#This Row],[Impact Type]]="CO2E"),emissions[[#This Row],[kgCO2e]],0)/1000</f>
        <v>0</v>
      </c>
      <c r="AP2280">
        <f>IF(AND(emissions[[#This Row],[Market-based]]=1,OR(emissions[[#This Row],[Impact Type]]="CO2E",emissions[[#This Row],[Impact Type]]="CO2E MKT")),emissions[[#This Row],[kgCO2e]],0)/1000</f>
        <v>0</v>
      </c>
      <c r="AQ2280" t="str">
        <f>_xlfn.TEXTAFTER(emissions[[#This Row],[Reporting Unit]]," &gt; ",LEN(emissions[[#This Row],[Reporting Unit]])-LEN(SUBSTITUTE(emissions[[#This Row],[Reporting Unit]],"&gt;","")))</f>
        <v>Vantage_Lima</v>
      </c>
      <c r="AR2280" t="str">
        <f>_xlfn.XLOOKUP(emissions[[#This Row],[Reporting unit name]],hierarchy!$A:$A,hierarchy!$C:$C)</f>
        <v>Office</v>
      </c>
    </row>
    <row r="2281" spans="1:44" hidden="1" x14ac:dyDescent="0.25">
      <c r="A2281">
        <v>1590459</v>
      </c>
      <c r="B2281" t="s">
        <v>226</v>
      </c>
      <c r="C2281" t="s">
        <v>501</v>
      </c>
      <c r="D2281" t="s">
        <v>548</v>
      </c>
      <c r="E2281" s="3">
        <v>44562</v>
      </c>
      <c r="F2281" s="3">
        <v>44926</v>
      </c>
      <c r="G2281" t="s">
        <v>116</v>
      </c>
      <c r="H2281" s="3">
        <v>44562</v>
      </c>
      <c r="I2281" s="3">
        <v>44926</v>
      </c>
      <c r="J2281" t="s">
        <v>117</v>
      </c>
      <c r="K2281">
        <v>0.46930603999999998</v>
      </c>
      <c r="L2281" t="s">
        <v>118</v>
      </c>
      <c r="M2281" t="s">
        <v>82</v>
      </c>
      <c r="N2281" t="s">
        <v>120</v>
      </c>
      <c r="O2281" t="s">
        <v>631</v>
      </c>
      <c r="P2281" t="s">
        <v>631</v>
      </c>
      <c r="Q2281">
        <v>2022</v>
      </c>
      <c r="R2281" t="s">
        <v>619</v>
      </c>
      <c r="S2281" t="s">
        <v>620</v>
      </c>
      <c r="T2281" t="s">
        <v>553</v>
      </c>
      <c r="U2281" t="b">
        <v>0</v>
      </c>
      <c r="V2281" t="s">
        <v>621</v>
      </c>
      <c r="W2281" t="s">
        <v>587</v>
      </c>
      <c r="X2281" t="s">
        <v>556</v>
      </c>
      <c r="AC2281">
        <v>0</v>
      </c>
      <c r="AD2281" t="s">
        <v>565</v>
      </c>
      <c r="AE2281">
        <v>671.1076372</v>
      </c>
      <c r="AF2281">
        <v>1430</v>
      </c>
      <c r="AG2281" t="s">
        <v>622</v>
      </c>
      <c r="AH2281">
        <v>1</v>
      </c>
      <c r="AI2281">
        <v>0.46930603999999998</v>
      </c>
      <c r="AJ2281" t="s">
        <v>561</v>
      </c>
      <c r="AK2281" t="s">
        <v>623</v>
      </c>
      <c r="AL2281" t="s">
        <v>624</v>
      </c>
      <c r="AM2281">
        <v>2022</v>
      </c>
      <c r="AN2281">
        <v>2007</v>
      </c>
      <c r="AO2281">
        <f>IF(AND(emissions[[#This Row],[Market-based]]=0,emissions[[#This Row],[Impact Type]]="CO2E"),emissions[[#This Row],[kgCO2e]],0)/1000</f>
        <v>0.6711076372</v>
      </c>
      <c r="AP2281">
        <f>IF(AND(emissions[[#This Row],[Market-based]]=1,OR(emissions[[#This Row],[Impact Type]]="CO2E",emissions[[#This Row],[Impact Type]]="CO2E MKT")),emissions[[#This Row],[kgCO2e]],0)/1000</f>
        <v>0</v>
      </c>
      <c r="AQ2281" t="str">
        <f>_xlfn.TEXTAFTER(emissions[[#This Row],[Reporting Unit]]," &gt; ",LEN(emissions[[#This Row],[Reporting Unit]])-LEN(SUBSTITUTE(emissions[[#This Row],[Reporting Unit]],"&gt;","")))</f>
        <v>Vantage_Lima</v>
      </c>
      <c r="AR2281" t="str">
        <f>_xlfn.XLOOKUP(emissions[[#This Row],[Reporting unit name]],hierarchy!$A:$A,hierarchy!$C:$C)</f>
        <v>Office</v>
      </c>
    </row>
    <row r="2282" spans="1:44" hidden="1" x14ac:dyDescent="0.25">
      <c r="A2282">
        <v>1590459</v>
      </c>
      <c r="B2282" t="s">
        <v>226</v>
      </c>
      <c r="C2282" t="s">
        <v>501</v>
      </c>
      <c r="D2282" t="s">
        <v>548</v>
      </c>
      <c r="E2282" s="3">
        <v>44562</v>
      </c>
      <c r="F2282" s="3">
        <v>44926</v>
      </c>
      <c r="G2282" t="s">
        <v>116</v>
      </c>
      <c r="H2282" s="3">
        <v>44562</v>
      </c>
      <c r="I2282" s="3">
        <v>44926</v>
      </c>
      <c r="J2282" t="s">
        <v>117</v>
      </c>
      <c r="K2282">
        <v>0.46930603999999998</v>
      </c>
      <c r="L2282" t="s">
        <v>118</v>
      </c>
      <c r="M2282" t="s">
        <v>82</v>
      </c>
      <c r="N2282" t="s">
        <v>120</v>
      </c>
      <c r="O2282" t="s">
        <v>631</v>
      </c>
      <c r="P2282" t="s">
        <v>631</v>
      </c>
      <c r="Q2282">
        <v>2022</v>
      </c>
      <c r="R2282" t="s">
        <v>619</v>
      </c>
      <c r="S2282" t="s">
        <v>620</v>
      </c>
      <c r="T2282" t="s">
        <v>553</v>
      </c>
      <c r="U2282" t="b">
        <v>0</v>
      </c>
      <c r="V2282" t="s">
        <v>621</v>
      </c>
      <c r="W2282" t="s">
        <v>587</v>
      </c>
      <c r="X2282" t="s">
        <v>556</v>
      </c>
      <c r="AC2282">
        <v>1</v>
      </c>
      <c r="AD2282" t="s">
        <v>565</v>
      </c>
      <c r="AE2282">
        <v>671.1076372</v>
      </c>
      <c r="AF2282">
        <v>1430</v>
      </c>
      <c r="AG2282" t="s">
        <v>622</v>
      </c>
      <c r="AH2282">
        <v>1</v>
      </c>
      <c r="AI2282">
        <v>0.46930603999999998</v>
      </c>
      <c r="AJ2282" t="s">
        <v>561</v>
      </c>
      <c r="AK2282" t="s">
        <v>623</v>
      </c>
      <c r="AL2282" t="s">
        <v>624</v>
      </c>
      <c r="AM2282">
        <v>2022</v>
      </c>
      <c r="AN2282">
        <v>2007</v>
      </c>
      <c r="AO2282">
        <f>IF(AND(emissions[[#This Row],[Market-based]]=0,emissions[[#This Row],[Impact Type]]="CO2E"),emissions[[#This Row],[kgCO2e]],0)/1000</f>
        <v>0</v>
      </c>
      <c r="AP2282">
        <f>IF(AND(emissions[[#This Row],[Market-based]]=1,OR(emissions[[#This Row],[Impact Type]]="CO2E",emissions[[#This Row],[Impact Type]]="CO2E MKT")),emissions[[#This Row],[kgCO2e]],0)/1000</f>
        <v>0.6711076372</v>
      </c>
      <c r="AQ2282" t="str">
        <f>_xlfn.TEXTAFTER(emissions[[#This Row],[Reporting Unit]]," &gt; ",LEN(emissions[[#This Row],[Reporting Unit]])-LEN(SUBSTITUTE(emissions[[#This Row],[Reporting Unit]],"&gt;","")))</f>
        <v>Vantage_Lima</v>
      </c>
      <c r="AR2282" t="str">
        <f>_xlfn.XLOOKUP(emissions[[#This Row],[Reporting unit name]],hierarchy!$A:$A,hierarchy!$C:$C)</f>
        <v>Office</v>
      </c>
    </row>
    <row r="2283" spans="1:44" hidden="1" x14ac:dyDescent="0.25">
      <c r="A2283">
        <v>4955</v>
      </c>
      <c r="B2283" t="s">
        <v>226</v>
      </c>
      <c r="C2283" t="s">
        <v>501</v>
      </c>
      <c r="D2283" t="s">
        <v>599</v>
      </c>
      <c r="E2283" s="3">
        <v>44197</v>
      </c>
      <c r="F2283" s="3">
        <v>44561</v>
      </c>
      <c r="G2283" t="s">
        <v>108</v>
      </c>
      <c r="H2283" s="3">
        <v>44197</v>
      </c>
      <c r="I2283" s="3">
        <v>44561</v>
      </c>
      <c r="J2283" t="s">
        <v>108</v>
      </c>
      <c r="K2283">
        <v>26820.33</v>
      </c>
      <c r="L2283" t="s">
        <v>109</v>
      </c>
      <c r="M2283" t="s">
        <v>82</v>
      </c>
      <c r="O2283" t="s">
        <v>600</v>
      </c>
      <c r="P2283" t="s">
        <v>550</v>
      </c>
      <c r="Q2283">
        <v>2021</v>
      </c>
      <c r="R2283" t="s">
        <v>551</v>
      </c>
      <c r="S2283" t="s">
        <v>552</v>
      </c>
      <c r="T2283" t="s">
        <v>553</v>
      </c>
      <c r="U2283" t="b">
        <v>0</v>
      </c>
      <c r="V2283" t="s">
        <v>1031</v>
      </c>
      <c r="W2283" t="s">
        <v>555</v>
      </c>
      <c r="X2283" t="s">
        <v>556</v>
      </c>
      <c r="Y2283" t="s">
        <v>472</v>
      </c>
      <c r="Z2283" t="s">
        <v>491</v>
      </c>
      <c r="AA2283" t="s">
        <v>1032</v>
      </c>
      <c r="AC2283">
        <v>0</v>
      </c>
      <c r="AD2283" t="s">
        <v>558</v>
      </c>
      <c r="AE2283">
        <v>8.0460989999999999</v>
      </c>
      <c r="AF2283" t="s">
        <v>559</v>
      </c>
      <c r="AG2283" t="s">
        <v>560</v>
      </c>
      <c r="AH2283">
        <v>1</v>
      </c>
      <c r="AI2283">
        <v>26820.33</v>
      </c>
      <c r="AJ2283" t="s">
        <v>561</v>
      </c>
      <c r="AK2283" t="s">
        <v>562</v>
      </c>
      <c r="AL2283" t="s">
        <v>601</v>
      </c>
      <c r="AM2283">
        <v>2021</v>
      </c>
      <c r="AN2283">
        <v>2019</v>
      </c>
      <c r="AO2283">
        <f>IF(AND(emissions[[#This Row],[Market-based]]=0,emissions[[#This Row],[Impact Type]]="CO2E"),emissions[[#This Row],[kgCO2e]],0)/1000</f>
        <v>0</v>
      </c>
      <c r="AP2283">
        <f>IF(AND(emissions[[#This Row],[Market-based]]=1,OR(emissions[[#This Row],[Impact Type]]="CO2E",emissions[[#This Row],[Impact Type]]="CO2E MKT")),emissions[[#This Row],[kgCO2e]],0)/1000</f>
        <v>0</v>
      </c>
      <c r="AQ2283" t="str">
        <f>_xlfn.TEXTAFTER(emissions[[#This Row],[Reporting Unit]]," &gt; ",LEN(emissions[[#This Row],[Reporting Unit]])-LEN(SUBSTITUTE(emissions[[#This Row],[Reporting Unit]],"&gt;","")))</f>
        <v>Vantage_Lima</v>
      </c>
      <c r="AR2283" t="str">
        <f>_xlfn.XLOOKUP(emissions[[#This Row],[Reporting unit name]],hierarchy!$A:$A,hierarchy!$C:$C)</f>
        <v>Office</v>
      </c>
    </row>
    <row r="2284" spans="1:44" hidden="1" x14ac:dyDescent="0.25">
      <c r="A2284">
        <v>4955</v>
      </c>
      <c r="B2284" t="s">
        <v>226</v>
      </c>
      <c r="C2284" t="s">
        <v>501</v>
      </c>
      <c r="D2284" t="s">
        <v>599</v>
      </c>
      <c r="E2284" s="3">
        <v>44197</v>
      </c>
      <c r="F2284" s="3">
        <v>44561</v>
      </c>
      <c r="G2284" t="s">
        <v>108</v>
      </c>
      <c r="H2284" s="3">
        <v>44197</v>
      </c>
      <c r="I2284" s="3">
        <v>44561</v>
      </c>
      <c r="J2284" t="s">
        <v>108</v>
      </c>
      <c r="K2284">
        <v>26820.33</v>
      </c>
      <c r="L2284" t="s">
        <v>109</v>
      </c>
      <c r="M2284" t="s">
        <v>82</v>
      </c>
      <c r="O2284" t="s">
        <v>600</v>
      </c>
      <c r="P2284" t="s">
        <v>550</v>
      </c>
      <c r="Q2284">
        <v>2021</v>
      </c>
      <c r="R2284" t="s">
        <v>551</v>
      </c>
      <c r="S2284" t="s">
        <v>552</v>
      </c>
      <c r="T2284" t="s">
        <v>553</v>
      </c>
      <c r="U2284" t="b">
        <v>0</v>
      </c>
      <c r="V2284" t="s">
        <v>1031</v>
      </c>
      <c r="W2284" t="s">
        <v>555</v>
      </c>
      <c r="X2284" t="s">
        <v>556</v>
      </c>
      <c r="Y2284" t="s">
        <v>472</v>
      </c>
      <c r="Z2284" t="s">
        <v>491</v>
      </c>
      <c r="AA2284" t="s">
        <v>1032</v>
      </c>
      <c r="AC2284">
        <v>0</v>
      </c>
      <c r="AD2284" t="s">
        <v>564</v>
      </c>
      <c r="AE2284">
        <v>5404.2964949999996</v>
      </c>
      <c r="AF2284" t="s">
        <v>559</v>
      </c>
      <c r="AG2284" t="s">
        <v>560</v>
      </c>
      <c r="AH2284">
        <v>1</v>
      </c>
      <c r="AI2284">
        <v>26820.33</v>
      </c>
      <c r="AJ2284" t="s">
        <v>561</v>
      </c>
      <c r="AK2284" t="s">
        <v>562</v>
      </c>
      <c r="AL2284" t="s">
        <v>601</v>
      </c>
      <c r="AM2284">
        <v>2021</v>
      </c>
      <c r="AN2284">
        <v>2019</v>
      </c>
      <c r="AO2284">
        <f>IF(AND(emissions[[#This Row],[Market-based]]=0,emissions[[#This Row],[Impact Type]]="CO2E"),emissions[[#This Row],[kgCO2e]],0)/1000</f>
        <v>0</v>
      </c>
      <c r="AP2284">
        <f>IF(AND(emissions[[#This Row],[Market-based]]=1,OR(emissions[[#This Row],[Impact Type]]="CO2E",emissions[[#This Row],[Impact Type]]="CO2E MKT")),emissions[[#This Row],[kgCO2e]],0)/1000</f>
        <v>0</v>
      </c>
      <c r="AQ2284" t="str">
        <f>_xlfn.TEXTAFTER(emissions[[#This Row],[Reporting Unit]]," &gt; ",LEN(emissions[[#This Row],[Reporting Unit]])-LEN(SUBSTITUTE(emissions[[#This Row],[Reporting Unit]],"&gt;","")))</f>
        <v>Vantage_Lima</v>
      </c>
      <c r="AR2284" t="str">
        <f>_xlfn.XLOOKUP(emissions[[#This Row],[Reporting unit name]],hierarchy!$A:$A,hierarchy!$C:$C)</f>
        <v>Office</v>
      </c>
    </row>
    <row r="2285" spans="1:44" hidden="1" x14ac:dyDescent="0.25">
      <c r="A2285">
        <v>4955</v>
      </c>
      <c r="B2285" t="s">
        <v>226</v>
      </c>
      <c r="C2285" t="s">
        <v>501</v>
      </c>
      <c r="D2285" t="s">
        <v>599</v>
      </c>
      <c r="E2285" s="3">
        <v>44197</v>
      </c>
      <c r="F2285" s="3">
        <v>44561</v>
      </c>
      <c r="G2285" t="s">
        <v>108</v>
      </c>
      <c r="H2285" s="3">
        <v>44197</v>
      </c>
      <c r="I2285" s="3">
        <v>44561</v>
      </c>
      <c r="J2285" t="s">
        <v>108</v>
      </c>
      <c r="K2285">
        <v>26820.33</v>
      </c>
      <c r="L2285" t="s">
        <v>109</v>
      </c>
      <c r="M2285" t="s">
        <v>82</v>
      </c>
      <c r="O2285" t="s">
        <v>600</v>
      </c>
      <c r="P2285" t="s">
        <v>550</v>
      </c>
      <c r="Q2285">
        <v>2021</v>
      </c>
      <c r="R2285" t="s">
        <v>551</v>
      </c>
      <c r="S2285" t="s">
        <v>552</v>
      </c>
      <c r="T2285" t="s">
        <v>553</v>
      </c>
      <c r="U2285" t="b">
        <v>0</v>
      </c>
      <c r="V2285" t="s">
        <v>1031</v>
      </c>
      <c r="W2285" t="s">
        <v>555</v>
      </c>
      <c r="X2285" t="s">
        <v>556</v>
      </c>
      <c r="Y2285" t="s">
        <v>472</v>
      </c>
      <c r="Z2285" t="s">
        <v>491</v>
      </c>
      <c r="AA2285" t="s">
        <v>1032</v>
      </c>
      <c r="AC2285">
        <v>0</v>
      </c>
      <c r="AD2285" t="s">
        <v>565</v>
      </c>
      <c r="AE2285">
        <v>5423.0707259999999</v>
      </c>
      <c r="AF2285" t="s">
        <v>559</v>
      </c>
      <c r="AG2285" t="s">
        <v>560</v>
      </c>
      <c r="AH2285">
        <v>1</v>
      </c>
      <c r="AI2285">
        <v>26820.33</v>
      </c>
      <c r="AJ2285" t="s">
        <v>561</v>
      </c>
      <c r="AK2285" t="s">
        <v>562</v>
      </c>
      <c r="AL2285" t="s">
        <v>601</v>
      </c>
      <c r="AM2285">
        <v>2021</v>
      </c>
      <c r="AN2285">
        <v>2019</v>
      </c>
      <c r="AO2285">
        <f>IF(AND(emissions[[#This Row],[Market-based]]=0,emissions[[#This Row],[Impact Type]]="CO2E"),emissions[[#This Row],[kgCO2e]],0)/1000</f>
        <v>5.4230707259999997</v>
      </c>
      <c r="AP2285">
        <f>IF(AND(emissions[[#This Row],[Market-based]]=1,OR(emissions[[#This Row],[Impact Type]]="CO2E",emissions[[#This Row],[Impact Type]]="CO2E MKT")),emissions[[#This Row],[kgCO2e]],0)/1000</f>
        <v>0</v>
      </c>
      <c r="AQ2285" t="str">
        <f>_xlfn.TEXTAFTER(emissions[[#This Row],[Reporting Unit]]," &gt; ",LEN(emissions[[#This Row],[Reporting Unit]])-LEN(SUBSTITUTE(emissions[[#This Row],[Reporting Unit]],"&gt;","")))</f>
        <v>Vantage_Lima</v>
      </c>
      <c r="AR2285" t="str">
        <f>_xlfn.XLOOKUP(emissions[[#This Row],[Reporting unit name]],hierarchy!$A:$A,hierarchy!$C:$C)</f>
        <v>Office</v>
      </c>
    </row>
    <row r="2286" spans="1:44" hidden="1" x14ac:dyDescent="0.25">
      <c r="A2286">
        <v>4955</v>
      </c>
      <c r="B2286" t="s">
        <v>226</v>
      </c>
      <c r="C2286" t="s">
        <v>501</v>
      </c>
      <c r="D2286" t="s">
        <v>599</v>
      </c>
      <c r="E2286" s="3">
        <v>44197</v>
      </c>
      <c r="F2286" s="3">
        <v>44561</v>
      </c>
      <c r="G2286" t="s">
        <v>108</v>
      </c>
      <c r="H2286" s="3">
        <v>44197</v>
      </c>
      <c r="I2286" s="3">
        <v>44561</v>
      </c>
      <c r="J2286" t="s">
        <v>108</v>
      </c>
      <c r="K2286">
        <v>26820.33</v>
      </c>
      <c r="L2286" t="s">
        <v>109</v>
      </c>
      <c r="M2286" t="s">
        <v>82</v>
      </c>
      <c r="O2286" t="s">
        <v>600</v>
      </c>
      <c r="P2286" t="s">
        <v>550</v>
      </c>
      <c r="Q2286">
        <v>2021</v>
      </c>
      <c r="R2286" t="s">
        <v>551</v>
      </c>
      <c r="S2286" t="s">
        <v>552</v>
      </c>
      <c r="T2286" t="s">
        <v>553</v>
      </c>
      <c r="U2286" t="b">
        <v>0</v>
      </c>
      <c r="V2286" t="s">
        <v>1031</v>
      </c>
      <c r="W2286" t="s">
        <v>555</v>
      </c>
      <c r="X2286" t="s">
        <v>556</v>
      </c>
      <c r="Y2286" t="s">
        <v>472</v>
      </c>
      <c r="Z2286" t="s">
        <v>491</v>
      </c>
      <c r="AA2286" t="s">
        <v>1032</v>
      </c>
      <c r="AC2286">
        <v>0</v>
      </c>
      <c r="AD2286" t="s">
        <v>566</v>
      </c>
      <c r="AE2286">
        <v>10.728132</v>
      </c>
      <c r="AF2286" t="s">
        <v>559</v>
      </c>
      <c r="AG2286" t="s">
        <v>560</v>
      </c>
      <c r="AH2286">
        <v>1</v>
      </c>
      <c r="AI2286">
        <v>26820.33</v>
      </c>
      <c r="AJ2286" t="s">
        <v>561</v>
      </c>
      <c r="AK2286" t="s">
        <v>562</v>
      </c>
      <c r="AL2286" t="s">
        <v>601</v>
      </c>
      <c r="AM2286">
        <v>2021</v>
      </c>
      <c r="AN2286">
        <v>2019</v>
      </c>
      <c r="AO2286">
        <f>IF(AND(emissions[[#This Row],[Market-based]]=0,emissions[[#This Row],[Impact Type]]="CO2E"),emissions[[#This Row],[kgCO2e]],0)/1000</f>
        <v>0</v>
      </c>
      <c r="AP2286">
        <f>IF(AND(emissions[[#This Row],[Market-based]]=1,OR(emissions[[#This Row],[Impact Type]]="CO2E",emissions[[#This Row],[Impact Type]]="CO2E MKT")),emissions[[#This Row],[kgCO2e]],0)/1000</f>
        <v>0</v>
      </c>
      <c r="AQ2286" t="str">
        <f>_xlfn.TEXTAFTER(emissions[[#This Row],[Reporting Unit]]," &gt; ",LEN(emissions[[#This Row],[Reporting Unit]])-LEN(SUBSTITUTE(emissions[[#This Row],[Reporting Unit]],"&gt;","")))</f>
        <v>Vantage_Lima</v>
      </c>
      <c r="AR2286" t="str">
        <f>_xlfn.XLOOKUP(emissions[[#This Row],[Reporting unit name]],hierarchy!$A:$A,hierarchy!$C:$C)</f>
        <v>Office</v>
      </c>
    </row>
    <row r="2287" spans="1:44" hidden="1" x14ac:dyDescent="0.25">
      <c r="A2287">
        <v>4955</v>
      </c>
      <c r="B2287" t="s">
        <v>226</v>
      </c>
      <c r="C2287" t="s">
        <v>501</v>
      </c>
      <c r="D2287" t="s">
        <v>599</v>
      </c>
      <c r="E2287" s="3">
        <v>44197</v>
      </c>
      <c r="F2287" s="3">
        <v>44561</v>
      </c>
      <c r="G2287" t="s">
        <v>108</v>
      </c>
      <c r="H2287" s="3">
        <v>44197</v>
      </c>
      <c r="I2287" s="3">
        <v>44561</v>
      </c>
      <c r="J2287" t="s">
        <v>108</v>
      </c>
      <c r="K2287">
        <v>26820.33</v>
      </c>
      <c r="L2287" t="s">
        <v>109</v>
      </c>
      <c r="M2287" t="s">
        <v>82</v>
      </c>
      <c r="O2287" t="s">
        <v>600</v>
      </c>
      <c r="P2287" t="s">
        <v>550</v>
      </c>
      <c r="Q2287">
        <v>2021</v>
      </c>
      <c r="R2287" t="s">
        <v>551</v>
      </c>
      <c r="S2287" t="s">
        <v>552</v>
      </c>
      <c r="T2287" t="s">
        <v>553</v>
      </c>
      <c r="U2287" t="b">
        <v>0</v>
      </c>
      <c r="V2287" t="s">
        <v>1031</v>
      </c>
      <c r="W2287" t="s">
        <v>555</v>
      </c>
      <c r="X2287" t="s">
        <v>556</v>
      </c>
      <c r="Y2287" t="s">
        <v>472</v>
      </c>
      <c r="Z2287" t="s">
        <v>491</v>
      </c>
      <c r="AA2287" t="s">
        <v>1032</v>
      </c>
      <c r="AC2287">
        <v>1</v>
      </c>
      <c r="AD2287" t="s">
        <v>558</v>
      </c>
      <c r="AE2287">
        <v>8.0460989999999999</v>
      </c>
      <c r="AF2287" t="s">
        <v>559</v>
      </c>
      <c r="AG2287" t="s">
        <v>560</v>
      </c>
      <c r="AH2287">
        <v>1</v>
      </c>
      <c r="AI2287">
        <v>26820.33</v>
      </c>
      <c r="AJ2287" t="s">
        <v>561</v>
      </c>
      <c r="AK2287" t="s">
        <v>562</v>
      </c>
      <c r="AL2287" t="s">
        <v>601</v>
      </c>
      <c r="AM2287">
        <v>2021</v>
      </c>
      <c r="AN2287">
        <v>2019</v>
      </c>
      <c r="AO2287">
        <f>IF(AND(emissions[[#This Row],[Market-based]]=0,emissions[[#This Row],[Impact Type]]="CO2E"),emissions[[#This Row],[kgCO2e]],0)/1000</f>
        <v>0</v>
      </c>
      <c r="AP2287">
        <f>IF(AND(emissions[[#This Row],[Market-based]]=1,OR(emissions[[#This Row],[Impact Type]]="CO2E",emissions[[#This Row],[Impact Type]]="CO2E MKT")),emissions[[#This Row],[kgCO2e]],0)/1000</f>
        <v>0</v>
      </c>
      <c r="AQ2287" t="str">
        <f>_xlfn.TEXTAFTER(emissions[[#This Row],[Reporting Unit]]," &gt; ",LEN(emissions[[#This Row],[Reporting Unit]])-LEN(SUBSTITUTE(emissions[[#This Row],[Reporting Unit]],"&gt;","")))</f>
        <v>Vantage_Lima</v>
      </c>
      <c r="AR2287" t="str">
        <f>_xlfn.XLOOKUP(emissions[[#This Row],[Reporting unit name]],hierarchy!$A:$A,hierarchy!$C:$C)</f>
        <v>Office</v>
      </c>
    </row>
    <row r="2288" spans="1:44" hidden="1" x14ac:dyDescent="0.25">
      <c r="A2288">
        <v>4955</v>
      </c>
      <c r="B2288" t="s">
        <v>226</v>
      </c>
      <c r="C2288" t="s">
        <v>501</v>
      </c>
      <c r="D2288" t="s">
        <v>599</v>
      </c>
      <c r="E2288" s="3">
        <v>44197</v>
      </c>
      <c r="F2288" s="3">
        <v>44561</v>
      </c>
      <c r="G2288" t="s">
        <v>108</v>
      </c>
      <c r="H2288" s="3">
        <v>44197</v>
      </c>
      <c r="I2288" s="3">
        <v>44561</v>
      </c>
      <c r="J2288" t="s">
        <v>108</v>
      </c>
      <c r="K2288">
        <v>26820.33</v>
      </c>
      <c r="L2288" t="s">
        <v>109</v>
      </c>
      <c r="M2288" t="s">
        <v>82</v>
      </c>
      <c r="O2288" t="s">
        <v>600</v>
      </c>
      <c r="P2288" t="s">
        <v>550</v>
      </c>
      <c r="Q2288">
        <v>2021</v>
      </c>
      <c r="R2288" t="s">
        <v>551</v>
      </c>
      <c r="S2288" t="s">
        <v>552</v>
      </c>
      <c r="T2288" t="s">
        <v>553</v>
      </c>
      <c r="U2288" t="b">
        <v>0</v>
      </c>
      <c r="V2288" t="s">
        <v>1031</v>
      </c>
      <c r="W2288" t="s">
        <v>555</v>
      </c>
      <c r="X2288" t="s">
        <v>556</v>
      </c>
      <c r="Y2288" t="s">
        <v>472</v>
      </c>
      <c r="Z2288" t="s">
        <v>491</v>
      </c>
      <c r="AA2288" t="s">
        <v>1032</v>
      </c>
      <c r="AC2288">
        <v>1</v>
      </c>
      <c r="AD2288" t="s">
        <v>564</v>
      </c>
      <c r="AE2288">
        <v>5404.2964949999996</v>
      </c>
      <c r="AF2288" t="s">
        <v>559</v>
      </c>
      <c r="AG2288" t="s">
        <v>560</v>
      </c>
      <c r="AH2288">
        <v>1</v>
      </c>
      <c r="AI2288">
        <v>26820.33</v>
      </c>
      <c r="AJ2288" t="s">
        <v>561</v>
      </c>
      <c r="AK2288" t="s">
        <v>562</v>
      </c>
      <c r="AL2288" t="s">
        <v>601</v>
      </c>
      <c r="AM2288">
        <v>2021</v>
      </c>
      <c r="AN2288">
        <v>2019</v>
      </c>
      <c r="AO2288">
        <f>IF(AND(emissions[[#This Row],[Market-based]]=0,emissions[[#This Row],[Impact Type]]="CO2E"),emissions[[#This Row],[kgCO2e]],0)/1000</f>
        <v>0</v>
      </c>
      <c r="AP2288">
        <f>IF(AND(emissions[[#This Row],[Market-based]]=1,OR(emissions[[#This Row],[Impact Type]]="CO2E",emissions[[#This Row],[Impact Type]]="CO2E MKT")),emissions[[#This Row],[kgCO2e]],0)/1000</f>
        <v>0</v>
      </c>
      <c r="AQ2288" t="str">
        <f>_xlfn.TEXTAFTER(emissions[[#This Row],[Reporting Unit]]," &gt; ",LEN(emissions[[#This Row],[Reporting Unit]])-LEN(SUBSTITUTE(emissions[[#This Row],[Reporting Unit]],"&gt;","")))</f>
        <v>Vantage_Lima</v>
      </c>
      <c r="AR2288" t="str">
        <f>_xlfn.XLOOKUP(emissions[[#This Row],[Reporting unit name]],hierarchy!$A:$A,hierarchy!$C:$C)</f>
        <v>Office</v>
      </c>
    </row>
    <row r="2289" spans="1:44" hidden="1" x14ac:dyDescent="0.25">
      <c r="A2289">
        <v>4955</v>
      </c>
      <c r="B2289" t="s">
        <v>226</v>
      </c>
      <c r="C2289" t="s">
        <v>501</v>
      </c>
      <c r="D2289" t="s">
        <v>599</v>
      </c>
      <c r="E2289" s="3">
        <v>44197</v>
      </c>
      <c r="F2289" s="3">
        <v>44561</v>
      </c>
      <c r="G2289" t="s">
        <v>108</v>
      </c>
      <c r="H2289" s="3">
        <v>44197</v>
      </c>
      <c r="I2289" s="3">
        <v>44561</v>
      </c>
      <c r="J2289" t="s">
        <v>108</v>
      </c>
      <c r="K2289">
        <v>26820.33</v>
      </c>
      <c r="L2289" t="s">
        <v>109</v>
      </c>
      <c r="M2289" t="s">
        <v>82</v>
      </c>
      <c r="O2289" t="s">
        <v>600</v>
      </c>
      <c r="P2289" t="s">
        <v>550</v>
      </c>
      <c r="Q2289">
        <v>2021</v>
      </c>
      <c r="R2289" t="s">
        <v>551</v>
      </c>
      <c r="S2289" t="s">
        <v>552</v>
      </c>
      <c r="T2289" t="s">
        <v>553</v>
      </c>
      <c r="U2289" t="b">
        <v>0</v>
      </c>
      <c r="V2289" t="s">
        <v>1031</v>
      </c>
      <c r="W2289" t="s">
        <v>555</v>
      </c>
      <c r="X2289" t="s">
        <v>556</v>
      </c>
      <c r="Y2289" t="s">
        <v>472</v>
      </c>
      <c r="Z2289" t="s">
        <v>491</v>
      </c>
      <c r="AA2289" t="s">
        <v>1032</v>
      </c>
      <c r="AC2289">
        <v>1</v>
      </c>
      <c r="AD2289" t="s">
        <v>565</v>
      </c>
      <c r="AE2289">
        <v>5423.0707259999999</v>
      </c>
      <c r="AF2289" t="s">
        <v>559</v>
      </c>
      <c r="AG2289" t="s">
        <v>560</v>
      </c>
      <c r="AH2289">
        <v>1</v>
      </c>
      <c r="AI2289">
        <v>26820.33</v>
      </c>
      <c r="AJ2289" t="s">
        <v>561</v>
      </c>
      <c r="AK2289" t="s">
        <v>562</v>
      </c>
      <c r="AL2289" t="s">
        <v>601</v>
      </c>
      <c r="AM2289">
        <v>2021</v>
      </c>
      <c r="AN2289">
        <v>2019</v>
      </c>
      <c r="AO2289">
        <f>IF(AND(emissions[[#This Row],[Market-based]]=0,emissions[[#This Row],[Impact Type]]="CO2E"),emissions[[#This Row],[kgCO2e]],0)/1000</f>
        <v>0</v>
      </c>
      <c r="AP2289">
        <f>IF(AND(emissions[[#This Row],[Market-based]]=1,OR(emissions[[#This Row],[Impact Type]]="CO2E",emissions[[#This Row],[Impact Type]]="CO2E MKT")),emissions[[#This Row],[kgCO2e]],0)/1000</f>
        <v>5.4230707259999997</v>
      </c>
      <c r="AQ2289" t="str">
        <f>_xlfn.TEXTAFTER(emissions[[#This Row],[Reporting Unit]]," &gt; ",LEN(emissions[[#This Row],[Reporting Unit]])-LEN(SUBSTITUTE(emissions[[#This Row],[Reporting Unit]],"&gt;","")))</f>
        <v>Vantage_Lima</v>
      </c>
      <c r="AR2289" t="str">
        <f>_xlfn.XLOOKUP(emissions[[#This Row],[Reporting unit name]],hierarchy!$A:$A,hierarchy!$C:$C)</f>
        <v>Office</v>
      </c>
    </row>
    <row r="2290" spans="1:44" hidden="1" x14ac:dyDescent="0.25">
      <c r="A2290">
        <v>4955</v>
      </c>
      <c r="B2290" t="s">
        <v>226</v>
      </c>
      <c r="C2290" t="s">
        <v>501</v>
      </c>
      <c r="D2290" t="s">
        <v>599</v>
      </c>
      <c r="E2290" s="3">
        <v>44197</v>
      </c>
      <c r="F2290" s="3">
        <v>44561</v>
      </c>
      <c r="G2290" t="s">
        <v>108</v>
      </c>
      <c r="H2290" s="3">
        <v>44197</v>
      </c>
      <c r="I2290" s="3">
        <v>44561</v>
      </c>
      <c r="J2290" t="s">
        <v>108</v>
      </c>
      <c r="K2290">
        <v>26820.33</v>
      </c>
      <c r="L2290" t="s">
        <v>109</v>
      </c>
      <c r="M2290" t="s">
        <v>82</v>
      </c>
      <c r="O2290" t="s">
        <v>600</v>
      </c>
      <c r="P2290" t="s">
        <v>550</v>
      </c>
      <c r="Q2290">
        <v>2021</v>
      </c>
      <c r="R2290" t="s">
        <v>551</v>
      </c>
      <c r="S2290" t="s">
        <v>552</v>
      </c>
      <c r="T2290" t="s">
        <v>553</v>
      </c>
      <c r="U2290" t="b">
        <v>0</v>
      </c>
      <c r="V2290" t="s">
        <v>1031</v>
      </c>
      <c r="W2290" t="s">
        <v>555</v>
      </c>
      <c r="X2290" t="s">
        <v>556</v>
      </c>
      <c r="Y2290" t="s">
        <v>472</v>
      </c>
      <c r="Z2290" t="s">
        <v>491</v>
      </c>
      <c r="AA2290" t="s">
        <v>1032</v>
      </c>
      <c r="AC2290">
        <v>1</v>
      </c>
      <c r="AD2290" t="s">
        <v>566</v>
      </c>
      <c r="AE2290">
        <v>10.728132</v>
      </c>
      <c r="AF2290" t="s">
        <v>559</v>
      </c>
      <c r="AG2290" t="s">
        <v>560</v>
      </c>
      <c r="AH2290">
        <v>1</v>
      </c>
      <c r="AI2290">
        <v>26820.33</v>
      </c>
      <c r="AJ2290" t="s">
        <v>561</v>
      </c>
      <c r="AK2290" t="s">
        <v>562</v>
      </c>
      <c r="AL2290" t="s">
        <v>601</v>
      </c>
      <c r="AM2290">
        <v>2021</v>
      </c>
      <c r="AN2290">
        <v>2019</v>
      </c>
      <c r="AO2290">
        <f>IF(AND(emissions[[#This Row],[Market-based]]=0,emissions[[#This Row],[Impact Type]]="CO2E"),emissions[[#This Row],[kgCO2e]],0)/1000</f>
        <v>0</v>
      </c>
      <c r="AP2290">
        <f>IF(AND(emissions[[#This Row],[Market-based]]=1,OR(emissions[[#This Row],[Impact Type]]="CO2E",emissions[[#This Row],[Impact Type]]="CO2E MKT")),emissions[[#This Row],[kgCO2e]],0)/1000</f>
        <v>0</v>
      </c>
      <c r="AQ2290" t="str">
        <f>_xlfn.TEXTAFTER(emissions[[#This Row],[Reporting Unit]]," &gt; ",LEN(emissions[[#This Row],[Reporting Unit]])-LEN(SUBSTITUTE(emissions[[#This Row],[Reporting Unit]],"&gt;","")))</f>
        <v>Vantage_Lima</v>
      </c>
      <c r="AR2290" t="str">
        <f>_xlfn.XLOOKUP(emissions[[#This Row],[Reporting unit name]],hierarchy!$A:$A,hierarchy!$C:$C)</f>
        <v>Office</v>
      </c>
    </row>
    <row r="2291" spans="1:44" hidden="1" x14ac:dyDescent="0.25">
      <c r="A2291">
        <v>4955</v>
      </c>
      <c r="B2291" t="s">
        <v>226</v>
      </c>
      <c r="C2291" t="s">
        <v>501</v>
      </c>
      <c r="D2291" t="s">
        <v>599</v>
      </c>
      <c r="E2291" s="3">
        <v>44197</v>
      </c>
      <c r="F2291" s="3">
        <v>44561</v>
      </c>
      <c r="G2291" t="s">
        <v>108</v>
      </c>
      <c r="H2291" s="3">
        <v>44197</v>
      </c>
      <c r="I2291" s="3">
        <v>44561</v>
      </c>
      <c r="J2291" t="s">
        <v>108</v>
      </c>
      <c r="K2291">
        <v>26820.33</v>
      </c>
      <c r="L2291" t="s">
        <v>109</v>
      </c>
      <c r="M2291" t="s">
        <v>82</v>
      </c>
      <c r="O2291" t="s">
        <v>600</v>
      </c>
      <c r="P2291" t="s">
        <v>550</v>
      </c>
      <c r="Q2291">
        <v>2021</v>
      </c>
      <c r="R2291" t="s">
        <v>567</v>
      </c>
      <c r="S2291" t="s">
        <v>568</v>
      </c>
      <c r="T2291" t="s">
        <v>569</v>
      </c>
      <c r="U2291" t="b">
        <v>0</v>
      </c>
      <c r="V2291" t="s">
        <v>1038</v>
      </c>
      <c r="W2291" t="s">
        <v>571</v>
      </c>
      <c r="X2291" t="s">
        <v>572</v>
      </c>
      <c r="Y2291" t="s">
        <v>472</v>
      </c>
      <c r="Z2291" t="s">
        <v>491</v>
      </c>
      <c r="AA2291" t="s">
        <v>1032</v>
      </c>
      <c r="AC2291">
        <v>0</v>
      </c>
      <c r="AD2291" t="s">
        <v>558</v>
      </c>
      <c r="AE2291">
        <v>0.20357434099999999</v>
      </c>
      <c r="AF2291" s="13">
        <v>7.5903E-6</v>
      </c>
      <c r="AG2291" t="s">
        <v>560</v>
      </c>
      <c r="AH2291">
        <v>1</v>
      </c>
      <c r="AI2291">
        <v>26820.33</v>
      </c>
      <c r="AJ2291" t="s">
        <v>561</v>
      </c>
      <c r="AK2291" t="s">
        <v>573</v>
      </c>
      <c r="AL2291" t="s">
        <v>1039</v>
      </c>
      <c r="AM2291">
        <v>2021</v>
      </c>
      <c r="AN2291">
        <v>2019</v>
      </c>
      <c r="AO2291">
        <f>IF(AND(emissions[[#This Row],[Market-based]]=0,emissions[[#This Row],[Impact Type]]="CO2E"),emissions[[#This Row],[kgCO2e]],0)/1000</f>
        <v>0</v>
      </c>
      <c r="AP2291">
        <f>IF(AND(emissions[[#This Row],[Market-based]]=1,OR(emissions[[#This Row],[Impact Type]]="CO2E",emissions[[#This Row],[Impact Type]]="CO2E MKT")),emissions[[#This Row],[kgCO2e]],0)/1000</f>
        <v>0</v>
      </c>
      <c r="AQ2291" t="str">
        <f>_xlfn.TEXTAFTER(emissions[[#This Row],[Reporting Unit]]," &gt; ",LEN(emissions[[#This Row],[Reporting Unit]])-LEN(SUBSTITUTE(emissions[[#This Row],[Reporting Unit]],"&gt;","")))</f>
        <v>Vantage_Lima</v>
      </c>
      <c r="AR2291" t="str">
        <f>_xlfn.XLOOKUP(emissions[[#This Row],[Reporting unit name]],hierarchy!$A:$A,hierarchy!$C:$C)</f>
        <v>Office</v>
      </c>
    </row>
    <row r="2292" spans="1:44" hidden="1" x14ac:dyDescent="0.25">
      <c r="A2292">
        <v>4955</v>
      </c>
      <c r="B2292" t="s">
        <v>226</v>
      </c>
      <c r="C2292" t="s">
        <v>501</v>
      </c>
      <c r="D2292" t="s">
        <v>599</v>
      </c>
      <c r="E2292" s="3">
        <v>44197</v>
      </c>
      <c r="F2292" s="3">
        <v>44561</v>
      </c>
      <c r="G2292" t="s">
        <v>108</v>
      </c>
      <c r="H2292" s="3">
        <v>44197</v>
      </c>
      <c r="I2292" s="3">
        <v>44561</v>
      </c>
      <c r="J2292" t="s">
        <v>108</v>
      </c>
      <c r="K2292">
        <v>26820.33</v>
      </c>
      <c r="L2292" t="s">
        <v>109</v>
      </c>
      <c r="M2292" t="s">
        <v>82</v>
      </c>
      <c r="O2292" t="s">
        <v>600</v>
      </c>
      <c r="P2292" t="s">
        <v>550</v>
      </c>
      <c r="Q2292">
        <v>2021</v>
      </c>
      <c r="R2292" t="s">
        <v>567</v>
      </c>
      <c r="S2292" t="s">
        <v>568</v>
      </c>
      <c r="T2292" t="s">
        <v>569</v>
      </c>
      <c r="U2292" t="b">
        <v>0</v>
      </c>
      <c r="V2292" t="s">
        <v>1038</v>
      </c>
      <c r="W2292" t="s">
        <v>571</v>
      </c>
      <c r="X2292" t="s">
        <v>572</v>
      </c>
      <c r="Y2292" t="s">
        <v>472</v>
      </c>
      <c r="Z2292" t="s">
        <v>491</v>
      </c>
      <c r="AA2292" t="s">
        <v>1032</v>
      </c>
      <c r="AC2292">
        <v>0</v>
      </c>
      <c r="AD2292" t="s">
        <v>564</v>
      </c>
      <c r="AE2292">
        <v>136.73409899999999</v>
      </c>
      <c r="AF2292">
        <v>5.0981510000000004E-3</v>
      </c>
      <c r="AG2292" t="s">
        <v>560</v>
      </c>
      <c r="AH2292">
        <v>1</v>
      </c>
      <c r="AI2292">
        <v>26820.33</v>
      </c>
      <c r="AJ2292" t="s">
        <v>561</v>
      </c>
      <c r="AK2292" t="s">
        <v>573</v>
      </c>
      <c r="AL2292" t="s">
        <v>1039</v>
      </c>
      <c r="AM2292">
        <v>2021</v>
      </c>
      <c r="AN2292">
        <v>2019</v>
      </c>
      <c r="AO2292">
        <f>IF(AND(emissions[[#This Row],[Market-based]]=0,emissions[[#This Row],[Impact Type]]="CO2E"),emissions[[#This Row],[kgCO2e]],0)/1000</f>
        <v>0</v>
      </c>
      <c r="AP2292">
        <f>IF(AND(emissions[[#This Row],[Market-based]]=1,OR(emissions[[#This Row],[Impact Type]]="CO2E",emissions[[#This Row],[Impact Type]]="CO2E MKT")),emissions[[#This Row],[kgCO2e]],0)/1000</f>
        <v>0</v>
      </c>
      <c r="AQ2292" t="str">
        <f>_xlfn.TEXTAFTER(emissions[[#This Row],[Reporting Unit]]," &gt; ",LEN(emissions[[#This Row],[Reporting Unit]])-LEN(SUBSTITUTE(emissions[[#This Row],[Reporting Unit]],"&gt;","")))</f>
        <v>Vantage_Lima</v>
      </c>
      <c r="AR2292" t="str">
        <f>_xlfn.XLOOKUP(emissions[[#This Row],[Reporting unit name]],hierarchy!$A:$A,hierarchy!$C:$C)</f>
        <v>Office</v>
      </c>
    </row>
    <row r="2293" spans="1:44" hidden="1" x14ac:dyDescent="0.25">
      <c r="A2293">
        <v>4955</v>
      </c>
      <c r="B2293" t="s">
        <v>226</v>
      </c>
      <c r="C2293" t="s">
        <v>501</v>
      </c>
      <c r="D2293" t="s">
        <v>599</v>
      </c>
      <c r="E2293" s="3">
        <v>44197</v>
      </c>
      <c r="F2293" s="3">
        <v>44561</v>
      </c>
      <c r="G2293" t="s">
        <v>108</v>
      </c>
      <c r="H2293" s="3">
        <v>44197</v>
      </c>
      <c r="I2293" s="3">
        <v>44561</v>
      </c>
      <c r="J2293" t="s">
        <v>108</v>
      </c>
      <c r="K2293">
        <v>26820.33</v>
      </c>
      <c r="L2293" t="s">
        <v>109</v>
      </c>
      <c r="M2293" t="s">
        <v>82</v>
      </c>
      <c r="O2293" t="s">
        <v>600</v>
      </c>
      <c r="P2293" t="s">
        <v>550</v>
      </c>
      <c r="Q2293">
        <v>2021</v>
      </c>
      <c r="R2293" t="s">
        <v>567</v>
      </c>
      <c r="S2293" t="s">
        <v>568</v>
      </c>
      <c r="T2293" t="s">
        <v>569</v>
      </c>
      <c r="U2293" t="b">
        <v>0</v>
      </c>
      <c r="V2293" t="s">
        <v>1038</v>
      </c>
      <c r="W2293" t="s">
        <v>571</v>
      </c>
      <c r="X2293" t="s">
        <v>572</v>
      </c>
      <c r="Y2293" t="s">
        <v>472</v>
      </c>
      <c r="Z2293" t="s">
        <v>491</v>
      </c>
      <c r="AA2293" t="s">
        <v>1032</v>
      </c>
      <c r="AC2293">
        <v>0</v>
      </c>
      <c r="AD2293" t="s">
        <v>565</v>
      </c>
      <c r="AE2293">
        <v>137.2091058</v>
      </c>
      <c r="AF2293">
        <v>5.1158619999999997E-3</v>
      </c>
      <c r="AG2293" t="s">
        <v>560</v>
      </c>
      <c r="AH2293">
        <v>1</v>
      </c>
      <c r="AI2293">
        <v>26820.33</v>
      </c>
      <c r="AJ2293" t="s">
        <v>561</v>
      </c>
      <c r="AK2293" t="s">
        <v>573</v>
      </c>
      <c r="AL2293" t="s">
        <v>1039</v>
      </c>
      <c r="AM2293">
        <v>2021</v>
      </c>
      <c r="AN2293">
        <v>2019</v>
      </c>
      <c r="AO2293">
        <f>IF(AND(emissions[[#This Row],[Market-based]]=0,emissions[[#This Row],[Impact Type]]="CO2E"),emissions[[#This Row],[kgCO2e]],0)/1000</f>
        <v>0.13720910580000001</v>
      </c>
      <c r="AP2293">
        <f>IF(AND(emissions[[#This Row],[Market-based]]=1,OR(emissions[[#This Row],[Impact Type]]="CO2E",emissions[[#This Row],[Impact Type]]="CO2E MKT")),emissions[[#This Row],[kgCO2e]],0)/1000</f>
        <v>0</v>
      </c>
      <c r="AQ2293" t="str">
        <f>_xlfn.TEXTAFTER(emissions[[#This Row],[Reporting Unit]]," &gt; ",LEN(emissions[[#This Row],[Reporting Unit]])-LEN(SUBSTITUTE(emissions[[#This Row],[Reporting Unit]],"&gt;","")))</f>
        <v>Vantage_Lima</v>
      </c>
      <c r="AR2293" t="str">
        <f>_xlfn.XLOOKUP(emissions[[#This Row],[Reporting unit name]],hierarchy!$A:$A,hierarchy!$C:$C)</f>
        <v>Office</v>
      </c>
    </row>
    <row r="2294" spans="1:44" hidden="1" x14ac:dyDescent="0.25">
      <c r="A2294">
        <v>4955</v>
      </c>
      <c r="B2294" t="s">
        <v>226</v>
      </c>
      <c r="C2294" t="s">
        <v>501</v>
      </c>
      <c r="D2294" t="s">
        <v>599</v>
      </c>
      <c r="E2294" s="3">
        <v>44197</v>
      </c>
      <c r="F2294" s="3">
        <v>44561</v>
      </c>
      <c r="G2294" t="s">
        <v>108</v>
      </c>
      <c r="H2294" s="3">
        <v>44197</v>
      </c>
      <c r="I2294" s="3">
        <v>44561</v>
      </c>
      <c r="J2294" t="s">
        <v>108</v>
      </c>
      <c r="K2294">
        <v>26820.33</v>
      </c>
      <c r="L2294" t="s">
        <v>109</v>
      </c>
      <c r="M2294" t="s">
        <v>82</v>
      </c>
      <c r="O2294" t="s">
        <v>600</v>
      </c>
      <c r="P2294" t="s">
        <v>550</v>
      </c>
      <c r="Q2294">
        <v>2021</v>
      </c>
      <c r="R2294" t="s">
        <v>567</v>
      </c>
      <c r="S2294" t="s">
        <v>568</v>
      </c>
      <c r="T2294" t="s">
        <v>569</v>
      </c>
      <c r="U2294" t="b">
        <v>0</v>
      </c>
      <c r="V2294" t="s">
        <v>1038</v>
      </c>
      <c r="W2294" t="s">
        <v>571</v>
      </c>
      <c r="X2294" t="s">
        <v>572</v>
      </c>
      <c r="Y2294" t="s">
        <v>472</v>
      </c>
      <c r="Z2294" t="s">
        <v>491</v>
      </c>
      <c r="AA2294" t="s">
        <v>1032</v>
      </c>
      <c r="AC2294">
        <v>0</v>
      </c>
      <c r="AD2294" t="s">
        <v>566</v>
      </c>
      <c r="AE2294">
        <v>0.27143245500000002</v>
      </c>
      <c r="AF2294" s="13">
        <v>1.0120400000000001E-5</v>
      </c>
      <c r="AG2294" t="s">
        <v>560</v>
      </c>
      <c r="AH2294">
        <v>1</v>
      </c>
      <c r="AI2294">
        <v>26820.33</v>
      </c>
      <c r="AJ2294" t="s">
        <v>561</v>
      </c>
      <c r="AK2294" t="s">
        <v>573</v>
      </c>
      <c r="AL2294" t="s">
        <v>1039</v>
      </c>
      <c r="AM2294">
        <v>2021</v>
      </c>
      <c r="AN2294">
        <v>2019</v>
      </c>
      <c r="AO2294">
        <f>IF(AND(emissions[[#This Row],[Market-based]]=0,emissions[[#This Row],[Impact Type]]="CO2E"),emissions[[#This Row],[kgCO2e]],0)/1000</f>
        <v>0</v>
      </c>
      <c r="AP2294">
        <f>IF(AND(emissions[[#This Row],[Market-based]]=1,OR(emissions[[#This Row],[Impact Type]]="CO2E",emissions[[#This Row],[Impact Type]]="CO2E MKT")),emissions[[#This Row],[kgCO2e]],0)/1000</f>
        <v>0</v>
      </c>
      <c r="AQ2294" t="str">
        <f>_xlfn.TEXTAFTER(emissions[[#This Row],[Reporting Unit]]," &gt; ",LEN(emissions[[#This Row],[Reporting Unit]])-LEN(SUBSTITUTE(emissions[[#This Row],[Reporting Unit]],"&gt;","")))</f>
        <v>Vantage_Lima</v>
      </c>
      <c r="AR2294" t="str">
        <f>_xlfn.XLOOKUP(emissions[[#This Row],[Reporting unit name]],hierarchy!$A:$A,hierarchy!$C:$C)</f>
        <v>Office</v>
      </c>
    </row>
    <row r="2295" spans="1:44" hidden="1" x14ac:dyDescent="0.25">
      <c r="A2295">
        <v>4955</v>
      </c>
      <c r="B2295" t="s">
        <v>226</v>
      </c>
      <c r="C2295" t="s">
        <v>501</v>
      </c>
      <c r="D2295" t="s">
        <v>599</v>
      </c>
      <c r="E2295" s="3">
        <v>44197</v>
      </c>
      <c r="F2295" s="3">
        <v>44561</v>
      </c>
      <c r="G2295" t="s">
        <v>108</v>
      </c>
      <c r="H2295" s="3">
        <v>44197</v>
      </c>
      <c r="I2295" s="3">
        <v>44561</v>
      </c>
      <c r="J2295" t="s">
        <v>108</v>
      </c>
      <c r="K2295">
        <v>26820.33</v>
      </c>
      <c r="L2295" t="s">
        <v>109</v>
      </c>
      <c r="M2295" t="s">
        <v>82</v>
      </c>
      <c r="O2295" t="s">
        <v>600</v>
      </c>
      <c r="P2295" t="s">
        <v>550</v>
      </c>
      <c r="Q2295">
        <v>2021</v>
      </c>
      <c r="R2295" t="s">
        <v>567</v>
      </c>
      <c r="S2295" t="s">
        <v>568</v>
      </c>
      <c r="T2295" t="s">
        <v>569</v>
      </c>
      <c r="U2295" t="b">
        <v>0</v>
      </c>
      <c r="V2295" t="s">
        <v>1038</v>
      </c>
      <c r="W2295" t="s">
        <v>571</v>
      </c>
      <c r="X2295" t="s">
        <v>572</v>
      </c>
      <c r="Y2295" t="s">
        <v>472</v>
      </c>
      <c r="Z2295" t="s">
        <v>491</v>
      </c>
      <c r="AA2295" t="s">
        <v>1032</v>
      </c>
      <c r="AC2295">
        <v>1</v>
      </c>
      <c r="AD2295" t="s">
        <v>558</v>
      </c>
      <c r="AE2295">
        <v>0.20357434099999999</v>
      </c>
      <c r="AF2295" s="13">
        <v>7.5903E-6</v>
      </c>
      <c r="AG2295" t="s">
        <v>560</v>
      </c>
      <c r="AH2295">
        <v>1</v>
      </c>
      <c r="AI2295">
        <v>26820.33</v>
      </c>
      <c r="AJ2295" t="s">
        <v>561</v>
      </c>
      <c r="AK2295" t="s">
        <v>573</v>
      </c>
      <c r="AL2295" t="s">
        <v>1039</v>
      </c>
      <c r="AM2295">
        <v>2021</v>
      </c>
      <c r="AN2295">
        <v>2019</v>
      </c>
      <c r="AO2295">
        <f>IF(AND(emissions[[#This Row],[Market-based]]=0,emissions[[#This Row],[Impact Type]]="CO2E"),emissions[[#This Row],[kgCO2e]],0)/1000</f>
        <v>0</v>
      </c>
      <c r="AP2295">
        <f>IF(AND(emissions[[#This Row],[Market-based]]=1,OR(emissions[[#This Row],[Impact Type]]="CO2E",emissions[[#This Row],[Impact Type]]="CO2E MKT")),emissions[[#This Row],[kgCO2e]],0)/1000</f>
        <v>0</v>
      </c>
      <c r="AQ2295" t="str">
        <f>_xlfn.TEXTAFTER(emissions[[#This Row],[Reporting Unit]]," &gt; ",LEN(emissions[[#This Row],[Reporting Unit]])-LEN(SUBSTITUTE(emissions[[#This Row],[Reporting Unit]],"&gt;","")))</f>
        <v>Vantage_Lima</v>
      </c>
      <c r="AR2295" t="str">
        <f>_xlfn.XLOOKUP(emissions[[#This Row],[Reporting unit name]],hierarchy!$A:$A,hierarchy!$C:$C)</f>
        <v>Office</v>
      </c>
    </row>
    <row r="2296" spans="1:44" hidden="1" x14ac:dyDescent="0.25">
      <c r="A2296">
        <v>4955</v>
      </c>
      <c r="B2296" t="s">
        <v>226</v>
      </c>
      <c r="C2296" t="s">
        <v>501</v>
      </c>
      <c r="D2296" t="s">
        <v>599</v>
      </c>
      <c r="E2296" s="3">
        <v>44197</v>
      </c>
      <c r="F2296" s="3">
        <v>44561</v>
      </c>
      <c r="G2296" t="s">
        <v>108</v>
      </c>
      <c r="H2296" s="3">
        <v>44197</v>
      </c>
      <c r="I2296" s="3">
        <v>44561</v>
      </c>
      <c r="J2296" t="s">
        <v>108</v>
      </c>
      <c r="K2296">
        <v>26820.33</v>
      </c>
      <c r="L2296" t="s">
        <v>109</v>
      </c>
      <c r="M2296" t="s">
        <v>82</v>
      </c>
      <c r="O2296" t="s">
        <v>600</v>
      </c>
      <c r="P2296" t="s">
        <v>550</v>
      </c>
      <c r="Q2296">
        <v>2021</v>
      </c>
      <c r="R2296" t="s">
        <v>567</v>
      </c>
      <c r="S2296" t="s">
        <v>568</v>
      </c>
      <c r="T2296" t="s">
        <v>569</v>
      </c>
      <c r="U2296" t="b">
        <v>0</v>
      </c>
      <c r="V2296" t="s">
        <v>1038</v>
      </c>
      <c r="W2296" t="s">
        <v>571</v>
      </c>
      <c r="X2296" t="s">
        <v>572</v>
      </c>
      <c r="Y2296" t="s">
        <v>472</v>
      </c>
      <c r="Z2296" t="s">
        <v>491</v>
      </c>
      <c r="AA2296" t="s">
        <v>1032</v>
      </c>
      <c r="AC2296">
        <v>1</v>
      </c>
      <c r="AD2296" t="s">
        <v>564</v>
      </c>
      <c r="AE2296">
        <v>136.73409899999999</v>
      </c>
      <c r="AF2296">
        <v>5.0981510000000004E-3</v>
      </c>
      <c r="AG2296" t="s">
        <v>560</v>
      </c>
      <c r="AH2296">
        <v>1</v>
      </c>
      <c r="AI2296">
        <v>26820.33</v>
      </c>
      <c r="AJ2296" t="s">
        <v>561</v>
      </c>
      <c r="AK2296" t="s">
        <v>573</v>
      </c>
      <c r="AL2296" t="s">
        <v>1039</v>
      </c>
      <c r="AM2296">
        <v>2021</v>
      </c>
      <c r="AN2296">
        <v>2019</v>
      </c>
      <c r="AO2296">
        <f>IF(AND(emissions[[#This Row],[Market-based]]=0,emissions[[#This Row],[Impact Type]]="CO2E"),emissions[[#This Row],[kgCO2e]],0)/1000</f>
        <v>0</v>
      </c>
      <c r="AP2296">
        <f>IF(AND(emissions[[#This Row],[Market-based]]=1,OR(emissions[[#This Row],[Impact Type]]="CO2E",emissions[[#This Row],[Impact Type]]="CO2E MKT")),emissions[[#This Row],[kgCO2e]],0)/1000</f>
        <v>0</v>
      </c>
      <c r="AQ2296" t="str">
        <f>_xlfn.TEXTAFTER(emissions[[#This Row],[Reporting Unit]]," &gt; ",LEN(emissions[[#This Row],[Reporting Unit]])-LEN(SUBSTITUTE(emissions[[#This Row],[Reporting Unit]],"&gt;","")))</f>
        <v>Vantage_Lima</v>
      </c>
      <c r="AR2296" t="str">
        <f>_xlfn.XLOOKUP(emissions[[#This Row],[Reporting unit name]],hierarchy!$A:$A,hierarchy!$C:$C)</f>
        <v>Office</v>
      </c>
    </row>
    <row r="2297" spans="1:44" hidden="1" x14ac:dyDescent="0.25">
      <c r="A2297">
        <v>4955</v>
      </c>
      <c r="B2297" t="s">
        <v>226</v>
      </c>
      <c r="C2297" t="s">
        <v>501</v>
      </c>
      <c r="D2297" t="s">
        <v>599</v>
      </c>
      <c r="E2297" s="3">
        <v>44197</v>
      </c>
      <c r="F2297" s="3">
        <v>44561</v>
      </c>
      <c r="G2297" t="s">
        <v>108</v>
      </c>
      <c r="H2297" s="3">
        <v>44197</v>
      </c>
      <c r="I2297" s="3">
        <v>44561</v>
      </c>
      <c r="J2297" t="s">
        <v>108</v>
      </c>
      <c r="K2297">
        <v>26820.33</v>
      </c>
      <c r="L2297" t="s">
        <v>109</v>
      </c>
      <c r="M2297" t="s">
        <v>82</v>
      </c>
      <c r="O2297" t="s">
        <v>600</v>
      </c>
      <c r="P2297" t="s">
        <v>550</v>
      </c>
      <c r="Q2297">
        <v>2021</v>
      </c>
      <c r="R2297" t="s">
        <v>567</v>
      </c>
      <c r="S2297" t="s">
        <v>568</v>
      </c>
      <c r="T2297" t="s">
        <v>569</v>
      </c>
      <c r="U2297" t="b">
        <v>0</v>
      </c>
      <c r="V2297" t="s">
        <v>1038</v>
      </c>
      <c r="W2297" t="s">
        <v>571</v>
      </c>
      <c r="X2297" t="s">
        <v>572</v>
      </c>
      <c r="Y2297" t="s">
        <v>472</v>
      </c>
      <c r="Z2297" t="s">
        <v>491</v>
      </c>
      <c r="AA2297" t="s">
        <v>1032</v>
      </c>
      <c r="AC2297">
        <v>1</v>
      </c>
      <c r="AD2297" t="s">
        <v>565</v>
      </c>
      <c r="AE2297">
        <v>137.2091058</v>
      </c>
      <c r="AF2297">
        <v>5.1158619999999997E-3</v>
      </c>
      <c r="AG2297" t="s">
        <v>560</v>
      </c>
      <c r="AH2297">
        <v>1</v>
      </c>
      <c r="AI2297">
        <v>26820.33</v>
      </c>
      <c r="AJ2297" t="s">
        <v>561</v>
      </c>
      <c r="AK2297" t="s">
        <v>573</v>
      </c>
      <c r="AL2297" t="s">
        <v>1039</v>
      </c>
      <c r="AM2297">
        <v>2021</v>
      </c>
      <c r="AN2297">
        <v>2019</v>
      </c>
      <c r="AO2297">
        <f>IF(AND(emissions[[#This Row],[Market-based]]=0,emissions[[#This Row],[Impact Type]]="CO2E"),emissions[[#This Row],[kgCO2e]],0)/1000</f>
        <v>0</v>
      </c>
      <c r="AP2297">
        <f>IF(AND(emissions[[#This Row],[Market-based]]=1,OR(emissions[[#This Row],[Impact Type]]="CO2E",emissions[[#This Row],[Impact Type]]="CO2E MKT")),emissions[[#This Row],[kgCO2e]],0)/1000</f>
        <v>0.13720910580000001</v>
      </c>
      <c r="AQ2297" t="str">
        <f>_xlfn.TEXTAFTER(emissions[[#This Row],[Reporting Unit]]," &gt; ",LEN(emissions[[#This Row],[Reporting Unit]])-LEN(SUBSTITUTE(emissions[[#This Row],[Reporting Unit]],"&gt;","")))</f>
        <v>Vantage_Lima</v>
      </c>
      <c r="AR2297" t="str">
        <f>_xlfn.XLOOKUP(emissions[[#This Row],[Reporting unit name]],hierarchy!$A:$A,hierarchy!$C:$C)</f>
        <v>Office</v>
      </c>
    </row>
    <row r="2298" spans="1:44" hidden="1" x14ac:dyDescent="0.25">
      <c r="A2298">
        <v>4955</v>
      </c>
      <c r="B2298" t="s">
        <v>226</v>
      </c>
      <c r="C2298" t="s">
        <v>501</v>
      </c>
      <c r="D2298" t="s">
        <v>599</v>
      </c>
      <c r="E2298" s="3">
        <v>44197</v>
      </c>
      <c r="F2298" s="3">
        <v>44561</v>
      </c>
      <c r="G2298" t="s">
        <v>108</v>
      </c>
      <c r="H2298" s="3">
        <v>44197</v>
      </c>
      <c r="I2298" s="3">
        <v>44561</v>
      </c>
      <c r="J2298" t="s">
        <v>108</v>
      </c>
      <c r="K2298">
        <v>26820.33</v>
      </c>
      <c r="L2298" t="s">
        <v>109</v>
      </c>
      <c r="M2298" t="s">
        <v>82</v>
      </c>
      <c r="O2298" t="s">
        <v>600</v>
      </c>
      <c r="P2298" t="s">
        <v>550</v>
      </c>
      <c r="Q2298">
        <v>2021</v>
      </c>
      <c r="R2298" t="s">
        <v>567</v>
      </c>
      <c r="S2298" t="s">
        <v>568</v>
      </c>
      <c r="T2298" t="s">
        <v>569</v>
      </c>
      <c r="U2298" t="b">
        <v>0</v>
      </c>
      <c r="V2298" t="s">
        <v>1038</v>
      </c>
      <c r="W2298" t="s">
        <v>571</v>
      </c>
      <c r="X2298" t="s">
        <v>572</v>
      </c>
      <c r="Y2298" t="s">
        <v>472</v>
      </c>
      <c r="Z2298" t="s">
        <v>491</v>
      </c>
      <c r="AA2298" t="s">
        <v>1032</v>
      </c>
      <c r="AC2298">
        <v>1</v>
      </c>
      <c r="AD2298" t="s">
        <v>566</v>
      </c>
      <c r="AE2298">
        <v>0.27143245500000002</v>
      </c>
      <c r="AF2298" s="13">
        <v>1.0120400000000001E-5</v>
      </c>
      <c r="AG2298" t="s">
        <v>560</v>
      </c>
      <c r="AH2298">
        <v>1</v>
      </c>
      <c r="AI2298">
        <v>26820.33</v>
      </c>
      <c r="AJ2298" t="s">
        <v>561</v>
      </c>
      <c r="AK2298" t="s">
        <v>573</v>
      </c>
      <c r="AL2298" t="s">
        <v>1039</v>
      </c>
      <c r="AM2298">
        <v>2021</v>
      </c>
      <c r="AN2298">
        <v>2019</v>
      </c>
      <c r="AO2298">
        <f>IF(AND(emissions[[#This Row],[Market-based]]=0,emissions[[#This Row],[Impact Type]]="CO2E"),emissions[[#This Row],[kgCO2e]],0)/1000</f>
        <v>0</v>
      </c>
      <c r="AP2298">
        <f>IF(AND(emissions[[#This Row],[Market-based]]=1,OR(emissions[[#This Row],[Impact Type]]="CO2E",emissions[[#This Row],[Impact Type]]="CO2E MKT")),emissions[[#This Row],[kgCO2e]],0)/1000</f>
        <v>0</v>
      </c>
      <c r="AQ2298" t="str">
        <f>_xlfn.TEXTAFTER(emissions[[#This Row],[Reporting Unit]]," &gt; ",LEN(emissions[[#This Row],[Reporting Unit]])-LEN(SUBSTITUTE(emissions[[#This Row],[Reporting Unit]],"&gt;","")))</f>
        <v>Vantage_Lima</v>
      </c>
      <c r="AR2298" t="str">
        <f>_xlfn.XLOOKUP(emissions[[#This Row],[Reporting unit name]],hierarchy!$A:$A,hierarchy!$C:$C)</f>
        <v>Office</v>
      </c>
    </row>
    <row r="2299" spans="1:44" hidden="1" x14ac:dyDescent="0.25">
      <c r="A2299">
        <v>4955</v>
      </c>
      <c r="B2299" t="s">
        <v>226</v>
      </c>
      <c r="C2299" t="s">
        <v>501</v>
      </c>
      <c r="D2299" t="s">
        <v>599</v>
      </c>
      <c r="E2299" s="3">
        <v>44197</v>
      </c>
      <c r="F2299" s="3">
        <v>44561</v>
      </c>
      <c r="G2299" t="s">
        <v>108</v>
      </c>
      <c r="H2299" s="3">
        <v>44197</v>
      </c>
      <c r="I2299" s="3">
        <v>44561</v>
      </c>
      <c r="J2299" t="s">
        <v>108</v>
      </c>
      <c r="K2299">
        <v>26820.33</v>
      </c>
      <c r="L2299" t="s">
        <v>109</v>
      </c>
      <c r="M2299" t="s">
        <v>82</v>
      </c>
      <c r="O2299" t="s">
        <v>600</v>
      </c>
      <c r="P2299" t="s">
        <v>550</v>
      </c>
      <c r="Q2299">
        <v>2021</v>
      </c>
      <c r="R2299" t="s">
        <v>575</v>
      </c>
      <c r="S2299" t="s">
        <v>576</v>
      </c>
      <c r="T2299" t="s">
        <v>577</v>
      </c>
      <c r="U2299" t="b">
        <v>0</v>
      </c>
      <c r="V2299" t="s">
        <v>1040</v>
      </c>
      <c r="W2299" t="s">
        <v>571</v>
      </c>
      <c r="X2299" t="s">
        <v>572</v>
      </c>
      <c r="Y2299" t="s">
        <v>472</v>
      </c>
      <c r="Z2299" t="s">
        <v>491</v>
      </c>
      <c r="AA2299" t="s">
        <v>1032</v>
      </c>
      <c r="AC2299">
        <v>0</v>
      </c>
      <c r="AD2299" t="s">
        <v>558</v>
      </c>
      <c r="AE2299">
        <v>1.7044529559999999</v>
      </c>
      <c r="AF2299" s="13">
        <v>6.3550800000000001E-5</v>
      </c>
      <c r="AG2299" t="s">
        <v>560</v>
      </c>
      <c r="AH2299">
        <v>1</v>
      </c>
      <c r="AI2299">
        <v>26820.33</v>
      </c>
      <c r="AJ2299" t="s">
        <v>561</v>
      </c>
      <c r="AK2299" t="s">
        <v>573</v>
      </c>
      <c r="AL2299" t="s">
        <v>1041</v>
      </c>
      <c r="AM2299">
        <v>2021</v>
      </c>
      <c r="AN2299">
        <v>2019</v>
      </c>
      <c r="AO2299">
        <f>IF(AND(emissions[[#This Row],[Market-based]]=0,emissions[[#This Row],[Impact Type]]="CO2E"),emissions[[#This Row],[kgCO2e]],0)/1000</f>
        <v>0</v>
      </c>
      <c r="AP2299">
        <f>IF(AND(emissions[[#This Row],[Market-based]]=1,OR(emissions[[#This Row],[Impact Type]]="CO2E",emissions[[#This Row],[Impact Type]]="CO2E MKT")),emissions[[#This Row],[kgCO2e]],0)/1000</f>
        <v>0</v>
      </c>
      <c r="AQ2299" t="str">
        <f>_xlfn.TEXTAFTER(emissions[[#This Row],[Reporting Unit]]," &gt; ",LEN(emissions[[#This Row],[Reporting Unit]])-LEN(SUBSTITUTE(emissions[[#This Row],[Reporting Unit]],"&gt;","")))</f>
        <v>Vantage_Lima</v>
      </c>
      <c r="AR2299" t="str">
        <f>_xlfn.XLOOKUP(emissions[[#This Row],[Reporting unit name]],hierarchy!$A:$A,hierarchy!$C:$C)</f>
        <v>Office</v>
      </c>
    </row>
    <row r="2300" spans="1:44" hidden="1" x14ac:dyDescent="0.25">
      <c r="A2300">
        <v>4955</v>
      </c>
      <c r="B2300" t="s">
        <v>226</v>
      </c>
      <c r="C2300" t="s">
        <v>501</v>
      </c>
      <c r="D2300" t="s">
        <v>599</v>
      </c>
      <c r="E2300" s="3">
        <v>44197</v>
      </c>
      <c r="F2300" s="3">
        <v>44561</v>
      </c>
      <c r="G2300" t="s">
        <v>108</v>
      </c>
      <c r="H2300" s="3">
        <v>44197</v>
      </c>
      <c r="I2300" s="3">
        <v>44561</v>
      </c>
      <c r="J2300" t="s">
        <v>108</v>
      </c>
      <c r="K2300">
        <v>26820.33</v>
      </c>
      <c r="L2300" t="s">
        <v>109</v>
      </c>
      <c r="M2300" t="s">
        <v>82</v>
      </c>
      <c r="O2300" t="s">
        <v>600</v>
      </c>
      <c r="P2300" t="s">
        <v>550</v>
      </c>
      <c r="Q2300">
        <v>2021</v>
      </c>
      <c r="R2300" t="s">
        <v>575</v>
      </c>
      <c r="S2300" t="s">
        <v>576</v>
      </c>
      <c r="T2300" t="s">
        <v>577</v>
      </c>
      <c r="U2300" t="b">
        <v>0</v>
      </c>
      <c r="V2300" t="s">
        <v>1040</v>
      </c>
      <c r="W2300" t="s">
        <v>571</v>
      </c>
      <c r="X2300" t="s">
        <v>572</v>
      </c>
      <c r="Y2300" t="s">
        <v>472</v>
      </c>
      <c r="Z2300" t="s">
        <v>491</v>
      </c>
      <c r="AA2300" t="s">
        <v>1032</v>
      </c>
      <c r="AC2300">
        <v>0</v>
      </c>
      <c r="AD2300" t="s">
        <v>564</v>
      </c>
      <c r="AE2300">
        <v>1144.8242359999999</v>
      </c>
      <c r="AF2300">
        <v>4.2684941999999997E-2</v>
      </c>
      <c r="AG2300" t="s">
        <v>560</v>
      </c>
      <c r="AH2300">
        <v>1</v>
      </c>
      <c r="AI2300">
        <v>26820.33</v>
      </c>
      <c r="AJ2300" t="s">
        <v>561</v>
      </c>
      <c r="AK2300" t="s">
        <v>573</v>
      </c>
      <c r="AL2300" t="s">
        <v>1041</v>
      </c>
      <c r="AM2300">
        <v>2021</v>
      </c>
      <c r="AN2300">
        <v>2019</v>
      </c>
      <c r="AO2300">
        <f>IF(AND(emissions[[#This Row],[Market-based]]=0,emissions[[#This Row],[Impact Type]]="CO2E"),emissions[[#This Row],[kgCO2e]],0)/1000</f>
        <v>0</v>
      </c>
      <c r="AP2300">
        <f>IF(AND(emissions[[#This Row],[Market-based]]=1,OR(emissions[[#This Row],[Impact Type]]="CO2E",emissions[[#This Row],[Impact Type]]="CO2E MKT")),emissions[[#This Row],[kgCO2e]],0)/1000</f>
        <v>0</v>
      </c>
      <c r="AQ2300" t="str">
        <f>_xlfn.TEXTAFTER(emissions[[#This Row],[Reporting Unit]]," &gt; ",LEN(emissions[[#This Row],[Reporting Unit]])-LEN(SUBSTITUTE(emissions[[#This Row],[Reporting Unit]],"&gt;","")))</f>
        <v>Vantage_Lima</v>
      </c>
      <c r="AR2300" t="str">
        <f>_xlfn.XLOOKUP(emissions[[#This Row],[Reporting unit name]],hierarchy!$A:$A,hierarchy!$C:$C)</f>
        <v>Office</v>
      </c>
    </row>
    <row r="2301" spans="1:44" hidden="1" x14ac:dyDescent="0.25">
      <c r="A2301">
        <v>4955</v>
      </c>
      <c r="B2301" t="s">
        <v>226</v>
      </c>
      <c r="C2301" t="s">
        <v>501</v>
      </c>
      <c r="D2301" t="s">
        <v>599</v>
      </c>
      <c r="E2301" s="3">
        <v>44197</v>
      </c>
      <c r="F2301" s="3">
        <v>44561</v>
      </c>
      <c r="G2301" t="s">
        <v>108</v>
      </c>
      <c r="H2301" s="3">
        <v>44197</v>
      </c>
      <c r="I2301" s="3">
        <v>44561</v>
      </c>
      <c r="J2301" t="s">
        <v>108</v>
      </c>
      <c r="K2301">
        <v>26820.33</v>
      </c>
      <c r="L2301" t="s">
        <v>109</v>
      </c>
      <c r="M2301" t="s">
        <v>82</v>
      </c>
      <c r="O2301" t="s">
        <v>600</v>
      </c>
      <c r="P2301" t="s">
        <v>550</v>
      </c>
      <c r="Q2301">
        <v>2021</v>
      </c>
      <c r="R2301" t="s">
        <v>575</v>
      </c>
      <c r="S2301" t="s">
        <v>576</v>
      </c>
      <c r="T2301" t="s">
        <v>577</v>
      </c>
      <c r="U2301" t="b">
        <v>0</v>
      </c>
      <c r="V2301" t="s">
        <v>1040</v>
      </c>
      <c r="W2301" t="s">
        <v>571</v>
      </c>
      <c r="X2301" t="s">
        <v>572</v>
      </c>
      <c r="Y2301" t="s">
        <v>472</v>
      </c>
      <c r="Z2301" t="s">
        <v>491</v>
      </c>
      <c r="AA2301" t="s">
        <v>1032</v>
      </c>
      <c r="AC2301">
        <v>0</v>
      </c>
      <c r="AD2301" t="s">
        <v>565</v>
      </c>
      <c r="AE2301">
        <v>1148.8012920000001</v>
      </c>
      <c r="AF2301">
        <v>4.2833227000000001E-2</v>
      </c>
      <c r="AG2301" t="s">
        <v>560</v>
      </c>
      <c r="AH2301">
        <v>1</v>
      </c>
      <c r="AI2301">
        <v>26820.33</v>
      </c>
      <c r="AJ2301" t="s">
        <v>561</v>
      </c>
      <c r="AK2301" t="s">
        <v>573</v>
      </c>
      <c r="AL2301" t="s">
        <v>1041</v>
      </c>
      <c r="AM2301">
        <v>2021</v>
      </c>
      <c r="AN2301">
        <v>2019</v>
      </c>
      <c r="AO2301">
        <f>IF(AND(emissions[[#This Row],[Market-based]]=0,emissions[[#This Row],[Impact Type]]="CO2E"),emissions[[#This Row],[kgCO2e]],0)/1000</f>
        <v>1.1488012920000001</v>
      </c>
      <c r="AP2301">
        <f>IF(AND(emissions[[#This Row],[Market-based]]=1,OR(emissions[[#This Row],[Impact Type]]="CO2E",emissions[[#This Row],[Impact Type]]="CO2E MKT")),emissions[[#This Row],[kgCO2e]],0)/1000</f>
        <v>0</v>
      </c>
      <c r="AQ2301" t="str">
        <f>_xlfn.TEXTAFTER(emissions[[#This Row],[Reporting Unit]]," &gt; ",LEN(emissions[[#This Row],[Reporting Unit]])-LEN(SUBSTITUTE(emissions[[#This Row],[Reporting Unit]],"&gt;","")))</f>
        <v>Vantage_Lima</v>
      </c>
      <c r="AR2301" t="str">
        <f>_xlfn.XLOOKUP(emissions[[#This Row],[Reporting unit name]],hierarchy!$A:$A,hierarchy!$C:$C)</f>
        <v>Office</v>
      </c>
    </row>
    <row r="2302" spans="1:44" hidden="1" x14ac:dyDescent="0.25">
      <c r="A2302">
        <v>4955</v>
      </c>
      <c r="B2302" t="s">
        <v>226</v>
      </c>
      <c r="C2302" t="s">
        <v>501</v>
      </c>
      <c r="D2302" t="s">
        <v>599</v>
      </c>
      <c r="E2302" s="3">
        <v>44197</v>
      </c>
      <c r="F2302" s="3">
        <v>44561</v>
      </c>
      <c r="G2302" t="s">
        <v>108</v>
      </c>
      <c r="H2302" s="3">
        <v>44197</v>
      </c>
      <c r="I2302" s="3">
        <v>44561</v>
      </c>
      <c r="J2302" t="s">
        <v>108</v>
      </c>
      <c r="K2302">
        <v>26820.33</v>
      </c>
      <c r="L2302" t="s">
        <v>109</v>
      </c>
      <c r="M2302" t="s">
        <v>82</v>
      </c>
      <c r="O2302" t="s">
        <v>600</v>
      </c>
      <c r="P2302" t="s">
        <v>550</v>
      </c>
      <c r="Q2302">
        <v>2021</v>
      </c>
      <c r="R2302" t="s">
        <v>575</v>
      </c>
      <c r="S2302" t="s">
        <v>576</v>
      </c>
      <c r="T2302" t="s">
        <v>577</v>
      </c>
      <c r="U2302" t="b">
        <v>0</v>
      </c>
      <c r="V2302" t="s">
        <v>1040</v>
      </c>
      <c r="W2302" t="s">
        <v>571</v>
      </c>
      <c r="X2302" t="s">
        <v>572</v>
      </c>
      <c r="Y2302" t="s">
        <v>472</v>
      </c>
      <c r="Z2302" t="s">
        <v>491</v>
      </c>
      <c r="AA2302" t="s">
        <v>1032</v>
      </c>
      <c r="AC2302">
        <v>0</v>
      </c>
      <c r="AD2302" t="s">
        <v>566</v>
      </c>
      <c r="AE2302">
        <v>2.2726039409999998</v>
      </c>
      <c r="AF2302" s="13">
        <v>8.4734400000000006E-5</v>
      </c>
      <c r="AG2302" t="s">
        <v>560</v>
      </c>
      <c r="AH2302">
        <v>1</v>
      </c>
      <c r="AI2302">
        <v>26820.33</v>
      </c>
      <c r="AJ2302" t="s">
        <v>561</v>
      </c>
      <c r="AK2302" t="s">
        <v>573</v>
      </c>
      <c r="AL2302" t="s">
        <v>1041</v>
      </c>
      <c r="AM2302">
        <v>2021</v>
      </c>
      <c r="AN2302">
        <v>2019</v>
      </c>
      <c r="AO2302">
        <f>IF(AND(emissions[[#This Row],[Market-based]]=0,emissions[[#This Row],[Impact Type]]="CO2E"),emissions[[#This Row],[kgCO2e]],0)/1000</f>
        <v>0</v>
      </c>
      <c r="AP2302">
        <f>IF(AND(emissions[[#This Row],[Market-based]]=1,OR(emissions[[#This Row],[Impact Type]]="CO2E",emissions[[#This Row],[Impact Type]]="CO2E MKT")),emissions[[#This Row],[kgCO2e]],0)/1000</f>
        <v>0</v>
      </c>
      <c r="AQ2302" t="str">
        <f>_xlfn.TEXTAFTER(emissions[[#This Row],[Reporting Unit]]," &gt; ",LEN(emissions[[#This Row],[Reporting Unit]])-LEN(SUBSTITUTE(emissions[[#This Row],[Reporting Unit]],"&gt;","")))</f>
        <v>Vantage_Lima</v>
      </c>
      <c r="AR2302" t="str">
        <f>_xlfn.XLOOKUP(emissions[[#This Row],[Reporting unit name]],hierarchy!$A:$A,hierarchy!$C:$C)</f>
        <v>Office</v>
      </c>
    </row>
    <row r="2303" spans="1:44" hidden="1" x14ac:dyDescent="0.25">
      <c r="A2303">
        <v>4955</v>
      </c>
      <c r="B2303" t="s">
        <v>226</v>
      </c>
      <c r="C2303" t="s">
        <v>501</v>
      </c>
      <c r="D2303" t="s">
        <v>599</v>
      </c>
      <c r="E2303" s="3">
        <v>44197</v>
      </c>
      <c r="F2303" s="3">
        <v>44561</v>
      </c>
      <c r="G2303" t="s">
        <v>108</v>
      </c>
      <c r="H2303" s="3">
        <v>44197</v>
      </c>
      <c r="I2303" s="3">
        <v>44561</v>
      </c>
      <c r="J2303" t="s">
        <v>108</v>
      </c>
      <c r="K2303">
        <v>26820.33</v>
      </c>
      <c r="L2303" t="s">
        <v>109</v>
      </c>
      <c r="M2303" t="s">
        <v>82</v>
      </c>
      <c r="O2303" t="s">
        <v>600</v>
      </c>
      <c r="P2303" t="s">
        <v>550</v>
      </c>
      <c r="Q2303">
        <v>2021</v>
      </c>
      <c r="R2303" t="s">
        <v>575</v>
      </c>
      <c r="S2303" t="s">
        <v>576</v>
      </c>
      <c r="T2303" t="s">
        <v>577</v>
      </c>
      <c r="U2303" t="b">
        <v>0</v>
      </c>
      <c r="V2303" t="s">
        <v>1040</v>
      </c>
      <c r="W2303" t="s">
        <v>571</v>
      </c>
      <c r="X2303" t="s">
        <v>572</v>
      </c>
      <c r="Y2303" t="s">
        <v>472</v>
      </c>
      <c r="Z2303" t="s">
        <v>491</v>
      </c>
      <c r="AA2303" t="s">
        <v>1032</v>
      </c>
      <c r="AC2303">
        <v>1</v>
      </c>
      <c r="AD2303" t="s">
        <v>558</v>
      </c>
      <c r="AE2303">
        <v>1.7044529559999999</v>
      </c>
      <c r="AF2303" s="13">
        <v>6.3550800000000001E-5</v>
      </c>
      <c r="AG2303" t="s">
        <v>560</v>
      </c>
      <c r="AH2303">
        <v>1</v>
      </c>
      <c r="AI2303">
        <v>26820.33</v>
      </c>
      <c r="AJ2303" t="s">
        <v>561</v>
      </c>
      <c r="AK2303" t="s">
        <v>573</v>
      </c>
      <c r="AL2303" t="s">
        <v>1041</v>
      </c>
      <c r="AM2303">
        <v>2021</v>
      </c>
      <c r="AN2303">
        <v>2019</v>
      </c>
      <c r="AO2303">
        <f>IF(AND(emissions[[#This Row],[Market-based]]=0,emissions[[#This Row],[Impact Type]]="CO2E"),emissions[[#This Row],[kgCO2e]],0)/1000</f>
        <v>0</v>
      </c>
      <c r="AP2303">
        <f>IF(AND(emissions[[#This Row],[Market-based]]=1,OR(emissions[[#This Row],[Impact Type]]="CO2E",emissions[[#This Row],[Impact Type]]="CO2E MKT")),emissions[[#This Row],[kgCO2e]],0)/1000</f>
        <v>0</v>
      </c>
      <c r="AQ2303" t="str">
        <f>_xlfn.TEXTAFTER(emissions[[#This Row],[Reporting Unit]]," &gt; ",LEN(emissions[[#This Row],[Reporting Unit]])-LEN(SUBSTITUTE(emissions[[#This Row],[Reporting Unit]],"&gt;","")))</f>
        <v>Vantage_Lima</v>
      </c>
      <c r="AR2303" t="str">
        <f>_xlfn.XLOOKUP(emissions[[#This Row],[Reporting unit name]],hierarchy!$A:$A,hierarchy!$C:$C)</f>
        <v>Office</v>
      </c>
    </row>
    <row r="2304" spans="1:44" hidden="1" x14ac:dyDescent="0.25">
      <c r="A2304">
        <v>4955</v>
      </c>
      <c r="B2304" t="s">
        <v>226</v>
      </c>
      <c r="C2304" t="s">
        <v>501</v>
      </c>
      <c r="D2304" t="s">
        <v>599</v>
      </c>
      <c r="E2304" s="3">
        <v>44197</v>
      </c>
      <c r="F2304" s="3">
        <v>44561</v>
      </c>
      <c r="G2304" t="s">
        <v>108</v>
      </c>
      <c r="H2304" s="3">
        <v>44197</v>
      </c>
      <c r="I2304" s="3">
        <v>44561</v>
      </c>
      <c r="J2304" t="s">
        <v>108</v>
      </c>
      <c r="K2304">
        <v>26820.33</v>
      </c>
      <c r="L2304" t="s">
        <v>109</v>
      </c>
      <c r="M2304" t="s">
        <v>82</v>
      </c>
      <c r="O2304" t="s">
        <v>600</v>
      </c>
      <c r="P2304" t="s">
        <v>550</v>
      </c>
      <c r="Q2304">
        <v>2021</v>
      </c>
      <c r="R2304" t="s">
        <v>575</v>
      </c>
      <c r="S2304" t="s">
        <v>576</v>
      </c>
      <c r="T2304" t="s">
        <v>577</v>
      </c>
      <c r="U2304" t="b">
        <v>0</v>
      </c>
      <c r="V2304" t="s">
        <v>1040</v>
      </c>
      <c r="W2304" t="s">
        <v>571</v>
      </c>
      <c r="X2304" t="s">
        <v>572</v>
      </c>
      <c r="Y2304" t="s">
        <v>472</v>
      </c>
      <c r="Z2304" t="s">
        <v>491</v>
      </c>
      <c r="AA2304" t="s">
        <v>1032</v>
      </c>
      <c r="AC2304">
        <v>1</v>
      </c>
      <c r="AD2304" t="s">
        <v>564</v>
      </c>
      <c r="AE2304">
        <v>1144.8242359999999</v>
      </c>
      <c r="AF2304">
        <v>4.2684941999999997E-2</v>
      </c>
      <c r="AG2304" t="s">
        <v>560</v>
      </c>
      <c r="AH2304">
        <v>1</v>
      </c>
      <c r="AI2304">
        <v>26820.33</v>
      </c>
      <c r="AJ2304" t="s">
        <v>561</v>
      </c>
      <c r="AK2304" t="s">
        <v>573</v>
      </c>
      <c r="AL2304" t="s">
        <v>1041</v>
      </c>
      <c r="AM2304">
        <v>2021</v>
      </c>
      <c r="AN2304">
        <v>2019</v>
      </c>
      <c r="AO2304">
        <f>IF(AND(emissions[[#This Row],[Market-based]]=0,emissions[[#This Row],[Impact Type]]="CO2E"),emissions[[#This Row],[kgCO2e]],0)/1000</f>
        <v>0</v>
      </c>
      <c r="AP2304">
        <f>IF(AND(emissions[[#This Row],[Market-based]]=1,OR(emissions[[#This Row],[Impact Type]]="CO2E",emissions[[#This Row],[Impact Type]]="CO2E MKT")),emissions[[#This Row],[kgCO2e]],0)/1000</f>
        <v>0</v>
      </c>
      <c r="AQ2304" t="str">
        <f>_xlfn.TEXTAFTER(emissions[[#This Row],[Reporting Unit]]," &gt; ",LEN(emissions[[#This Row],[Reporting Unit]])-LEN(SUBSTITUTE(emissions[[#This Row],[Reporting Unit]],"&gt;","")))</f>
        <v>Vantage_Lima</v>
      </c>
      <c r="AR2304" t="str">
        <f>_xlfn.XLOOKUP(emissions[[#This Row],[Reporting unit name]],hierarchy!$A:$A,hierarchy!$C:$C)</f>
        <v>Office</v>
      </c>
    </row>
    <row r="2305" spans="1:44" hidden="1" x14ac:dyDescent="0.25">
      <c r="A2305">
        <v>4955</v>
      </c>
      <c r="B2305" t="s">
        <v>226</v>
      </c>
      <c r="C2305" t="s">
        <v>501</v>
      </c>
      <c r="D2305" t="s">
        <v>599</v>
      </c>
      <c r="E2305" s="3">
        <v>44197</v>
      </c>
      <c r="F2305" s="3">
        <v>44561</v>
      </c>
      <c r="G2305" t="s">
        <v>108</v>
      </c>
      <c r="H2305" s="3">
        <v>44197</v>
      </c>
      <c r="I2305" s="3">
        <v>44561</v>
      </c>
      <c r="J2305" t="s">
        <v>108</v>
      </c>
      <c r="K2305">
        <v>26820.33</v>
      </c>
      <c r="L2305" t="s">
        <v>109</v>
      </c>
      <c r="M2305" t="s">
        <v>82</v>
      </c>
      <c r="O2305" t="s">
        <v>600</v>
      </c>
      <c r="P2305" t="s">
        <v>550</v>
      </c>
      <c r="Q2305">
        <v>2021</v>
      </c>
      <c r="R2305" t="s">
        <v>575</v>
      </c>
      <c r="S2305" t="s">
        <v>576</v>
      </c>
      <c r="T2305" t="s">
        <v>577</v>
      </c>
      <c r="U2305" t="b">
        <v>0</v>
      </c>
      <c r="V2305" t="s">
        <v>1040</v>
      </c>
      <c r="W2305" t="s">
        <v>571</v>
      </c>
      <c r="X2305" t="s">
        <v>572</v>
      </c>
      <c r="Y2305" t="s">
        <v>472</v>
      </c>
      <c r="Z2305" t="s">
        <v>491</v>
      </c>
      <c r="AA2305" t="s">
        <v>1032</v>
      </c>
      <c r="AC2305">
        <v>1</v>
      </c>
      <c r="AD2305" t="s">
        <v>565</v>
      </c>
      <c r="AE2305">
        <v>1148.8012920000001</v>
      </c>
      <c r="AF2305">
        <v>4.2833227000000001E-2</v>
      </c>
      <c r="AG2305" t="s">
        <v>560</v>
      </c>
      <c r="AH2305">
        <v>1</v>
      </c>
      <c r="AI2305">
        <v>26820.33</v>
      </c>
      <c r="AJ2305" t="s">
        <v>561</v>
      </c>
      <c r="AK2305" t="s">
        <v>573</v>
      </c>
      <c r="AL2305" t="s">
        <v>1041</v>
      </c>
      <c r="AM2305">
        <v>2021</v>
      </c>
      <c r="AN2305">
        <v>2019</v>
      </c>
      <c r="AO2305">
        <f>IF(AND(emissions[[#This Row],[Market-based]]=0,emissions[[#This Row],[Impact Type]]="CO2E"),emissions[[#This Row],[kgCO2e]],0)/1000</f>
        <v>0</v>
      </c>
      <c r="AP2305">
        <f>IF(AND(emissions[[#This Row],[Market-based]]=1,OR(emissions[[#This Row],[Impact Type]]="CO2E",emissions[[#This Row],[Impact Type]]="CO2E MKT")),emissions[[#This Row],[kgCO2e]],0)/1000</f>
        <v>1.1488012920000001</v>
      </c>
      <c r="AQ2305" t="str">
        <f>_xlfn.TEXTAFTER(emissions[[#This Row],[Reporting Unit]]," &gt; ",LEN(emissions[[#This Row],[Reporting Unit]])-LEN(SUBSTITUTE(emissions[[#This Row],[Reporting Unit]],"&gt;","")))</f>
        <v>Vantage_Lima</v>
      </c>
      <c r="AR2305" t="str">
        <f>_xlfn.XLOOKUP(emissions[[#This Row],[Reporting unit name]],hierarchy!$A:$A,hierarchy!$C:$C)</f>
        <v>Office</v>
      </c>
    </row>
    <row r="2306" spans="1:44" hidden="1" x14ac:dyDescent="0.25">
      <c r="A2306">
        <v>4955</v>
      </c>
      <c r="B2306" t="s">
        <v>226</v>
      </c>
      <c r="C2306" t="s">
        <v>501</v>
      </c>
      <c r="D2306" t="s">
        <v>599</v>
      </c>
      <c r="E2306" s="3">
        <v>44197</v>
      </c>
      <c r="F2306" s="3">
        <v>44561</v>
      </c>
      <c r="G2306" t="s">
        <v>108</v>
      </c>
      <c r="H2306" s="3">
        <v>44197</v>
      </c>
      <c r="I2306" s="3">
        <v>44561</v>
      </c>
      <c r="J2306" t="s">
        <v>108</v>
      </c>
      <c r="K2306">
        <v>26820.33</v>
      </c>
      <c r="L2306" t="s">
        <v>109</v>
      </c>
      <c r="M2306" t="s">
        <v>82</v>
      </c>
      <c r="O2306" t="s">
        <v>600</v>
      </c>
      <c r="P2306" t="s">
        <v>550</v>
      </c>
      <c r="Q2306">
        <v>2021</v>
      </c>
      <c r="R2306" t="s">
        <v>575</v>
      </c>
      <c r="S2306" t="s">
        <v>576</v>
      </c>
      <c r="T2306" t="s">
        <v>577</v>
      </c>
      <c r="U2306" t="b">
        <v>0</v>
      </c>
      <c r="V2306" t="s">
        <v>1040</v>
      </c>
      <c r="W2306" t="s">
        <v>571</v>
      </c>
      <c r="X2306" t="s">
        <v>572</v>
      </c>
      <c r="Y2306" t="s">
        <v>472</v>
      </c>
      <c r="Z2306" t="s">
        <v>491</v>
      </c>
      <c r="AA2306" t="s">
        <v>1032</v>
      </c>
      <c r="AC2306">
        <v>1</v>
      </c>
      <c r="AD2306" t="s">
        <v>566</v>
      </c>
      <c r="AE2306">
        <v>2.2726039409999998</v>
      </c>
      <c r="AF2306" s="13">
        <v>8.4734400000000006E-5</v>
      </c>
      <c r="AG2306" t="s">
        <v>560</v>
      </c>
      <c r="AH2306">
        <v>1</v>
      </c>
      <c r="AI2306">
        <v>26820.33</v>
      </c>
      <c r="AJ2306" t="s">
        <v>561</v>
      </c>
      <c r="AK2306" t="s">
        <v>573</v>
      </c>
      <c r="AL2306" t="s">
        <v>1041</v>
      </c>
      <c r="AM2306">
        <v>2021</v>
      </c>
      <c r="AN2306">
        <v>2019</v>
      </c>
      <c r="AO2306">
        <f>IF(AND(emissions[[#This Row],[Market-based]]=0,emissions[[#This Row],[Impact Type]]="CO2E"),emissions[[#This Row],[kgCO2e]],0)/1000</f>
        <v>0</v>
      </c>
      <c r="AP2306">
        <f>IF(AND(emissions[[#This Row],[Market-based]]=1,OR(emissions[[#This Row],[Impact Type]]="CO2E",emissions[[#This Row],[Impact Type]]="CO2E MKT")),emissions[[#This Row],[kgCO2e]],0)/1000</f>
        <v>0</v>
      </c>
      <c r="AQ2306" t="str">
        <f>_xlfn.TEXTAFTER(emissions[[#This Row],[Reporting Unit]]," &gt; ",LEN(emissions[[#This Row],[Reporting Unit]])-LEN(SUBSTITUTE(emissions[[#This Row],[Reporting Unit]],"&gt;","")))</f>
        <v>Vantage_Lima</v>
      </c>
      <c r="AR2306" t="str">
        <f>_xlfn.XLOOKUP(emissions[[#This Row],[Reporting unit name]],hierarchy!$A:$A,hierarchy!$C:$C)</f>
        <v>Office</v>
      </c>
    </row>
    <row r="2307" spans="1:44" hidden="1" x14ac:dyDescent="0.25">
      <c r="A2307">
        <v>4955</v>
      </c>
      <c r="B2307" t="s">
        <v>226</v>
      </c>
      <c r="C2307" t="s">
        <v>501</v>
      </c>
      <c r="D2307" t="s">
        <v>599</v>
      </c>
      <c r="E2307" s="3">
        <v>44197</v>
      </c>
      <c r="F2307" s="3">
        <v>44561</v>
      </c>
      <c r="G2307" t="s">
        <v>108</v>
      </c>
      <c r="H2307" s="3">
        <v>44197</v>
      </c>
      <c r="I2307" s="3">
        <v>44561</v>
      </c>
      <c r="J2307" t="s">
        <v>108</v>
      </c>
      <c r="K2307">
        <v>26820.33</v>
      </c>
      <c r="L2307" t="s">
        <v>109</v>
      </c>
      <c r="M2307" t="s">
        <v>82</v>
      </c>
      <c r="O2307" t="s">
        <v>600</v>
      </c>
      <c r="P2307" t="s">
        <v>550</v>
      </c>
      <c r="Q2307">
        <v>2021</v>
      </c>
      <c r="R2307" t="s">
        <v>579</v>
      </c>
      <c r="S2307" t="s">
        <v>580</v>
      </c>
      <c r="T2307" t="s">
        <v>581</v>
      </c>
      <c r="U2307" t="b">
        <v>0</v>
      </c>
      <c r="V2307" t="s">
        <v>1035</v>
      </c>
      <c r="W2307" t="s">
        <v>571</v>
      </c>
      <c r="X2307" t="s">
        <v>572</v>
      </c>
      <c r="Y2307" t="s">
        <v>472</v>
      </c>
      <c r="Z2307" t="s">
        <v>491</v>
      </c>
      <c r="AA2307" t="s">
        <v>1032</v>
      </c>
      <c r="AC2307">
        <v>0</v>
      </c>
      <c r="AD2307" t="s">
        <v>565</v>
      </c>
      <c r="AE2307">
        <v>616.86758999999995</v>
      </c>
      <c r="AF2307" t="s">
        <v>559</v>
      </c>
      <c r="AG2307" t="s">
        <v>560</v>
      </c>
      <c r="AH2307">
        <v>1</v>
      </c>
      <c r="AI2307">
        <v>26820.33</v>
      </c>
      <c r="AJ2307" t="s">
        <v>561</v>
      </c>
      <c r="AK2307" t="s">
        <v>562</v>
      </c>
      <c r="AL2307" t="s">
        <v>601</v>
      </c>
      <c r="AM2307">
        <v>2021</v>
      </c>
      <c r="AN2307">
        <v>2019</v>
      </c>
      <c r="AO2307">
        <f>IF(AND(emissions[[#This Row],[Market-based]]=0,emissions[[#This Row],[Impact Type]]="CO2E"),emissions[[#This Row],[kgCO2e]],0)/1000</f>
        <v>0.61686758999999991</v>
      </c>
      <c r="AP2307">
        <f>IF(AND(emissions[[#This Row],[Market-based]]=1,OR(emissions[[#This Row],[Impact Type]]="CO2E",emissions[[#This Row],[Impact Type]]="CO2E MKT")),emissions[[#This Row],[kgCO2e]],0)/1000</f>
        <v>0</v>
      </c>
      <c r="AQ2307" t="str">
        <f>_xlfn.TEXTAFTER(emissions[[#This Row],[Reporting Unit]]," &gt; ",LEN(emissions[[#This Row],[Reporting Unit]])-LEN(SUBSTITUTE(emissions[[#This Row],[Reporting Unit]],"&gt;","")))</f>
        <v>Vantage_Lima</v>
      </c>
      <c r="AR2307" t="str">
        <f>_xlfn.XLOOKUP(emissions[[#This Row],[Reporting unit name]],hierarchy!$A:$A,hierarchy!$C:$C)</f>
        <v>Office</v>
      </c>
    </row>
    <row r="2308" spans="1:44" hidden="1" x14ac:dyDescent="0.25">
      <c r="A2308">
        <v>4955</v>
      </c>
      <c r="B2308" t="s">
        <v>226</v>
      </c>
      <c r="C2308" t="s">
        <v>501</v>
      </c>
      <c r="D2308" t="s">
        <v>599</v>
      </c>
      <c r="E2308" s="3">
        <v>44197</v>
      </c>
      <c r="F2308" s="3">
        <v>44561</v>
      </c>
      <c r="G2308" t="s">
        <v>108</v>
      </c>
      <c r="H2308" s="3">
        <v>44197</v>
      </c>
      <c r="I2308" s="3">
        <v>44561</v>
      </c>
      <c r="J2308" t="s">
        <v>108</v>
      </c>
      <c r="K2308">
        <v>26820.33</v>
      </c>
      <c r="L2308" t="s">
        <v>109</v>
      </c>
      <c r="M2308" t="s">
        <v>82</v>
      </c>
      <c r="O2308" t="s">
        <v>600</v>
      </c>
      <c r="P2308" t="s">
        <v>550</v>
      </c>
      <c r="Q2308">
        <v>2021</v>
      </c>
      <c r="R2308" t="s">
        <v>579</v>
      </c>
      <c r="S2308" t="s">
        <v>580</v>
      </c>
      <c r="T2308" t="s">
        <v>581</v>
      </c>
      <c r="U2308" t="b">
        <v>0</v>
      </c>
      <c r="V2308" t="s">
        <v>1035</v>
      </c>
      <c r="W2308" t="s">
        <v>571</v>
      </c>
      <c r="X2308" t="s">
        <v>572</v>
      </c>
      <c r="Y2308" t="s">
        <v>472</v>
      </c>
      <c r="Z2308" t="s">
        <v>491</v>
      </c>
      <c r="AA2308" t="s">
        <v>1032</v>
      </c>
      <c r="AC2308">
        <v>1</v>
      </c>
      <c r="AD2308" t="s">
        <v>565</v>
      </c>
      <c r="AE2308">
        <v>616.86758999999995</v>
      </c>
      <c r="AF2308" t="s">
        <v>559</v>
      </c>
      <c r="AG2308" t="s">
        <v>560</v>
      </c>
      <c r="AH2308">
        <v>1</v>
      </c>
      <c r="AI2308">
        <v>26820.33</v>
      </c>
      <c r="AJ2308" t="s">
        <v>561</v>
      </c>
      <c r="AK2308" t="s">
        <v>562</v>
      </c>
      <c r="AL2308" t="s">
        <v>601</v>
      </c>
      <c r="AM2308">
        <v>2021</v>
      </c>
      <c r="AN2308">
        <v>2019</v>
      </c>
      <c r="AO2308">
        <f>IF(AND(emissions[[#This Row],[Market-based]]=0,emissions[[#This Row],[Impact Type]]="CO2E"),emissions[[#This Row],[kgCO2e]],0)/1000</f>
        <v>0</v>
      </c>
      <c r="AP2308">
        <f>IF(AND(emissions[[#This Row],[Market-based]]=1,OR(emissions[[#This Row],[Impact Type]]="CO2E",emissions[[#This Row],[Impact Type]]="CO2E MKT")),emissions[[#This Row],[kgCO2e]],0)/1000</f>
        <v>0.61686758999999991</v>
      </c>
      <c r="AQ2308" t="str">
        <f>_xlfn.TEXTAFTER(emissions[[#This Row],[Reporting Unit]]," &gt; ",LEN(emissions[[#This Row],[Reporting Unit]])-LEN(SUBSTITUTE(emissions[[#This Row],[Reporting Unit]],"&gt;","")))</f>
        <v>Vantage_Lima</v>
      </c>
      <c r="AR2308" t="str">
        <f>_xlfn.XLOOKUP(emissions[[#This Row],[Reporting unit name]],hierarchy!$A:$A,hierarchy!$C:$C)</f>
        <v>Office</v>
      </c>
    </row>
    <row r="2309" spans="1:44" hidden="1" x14ac:dyDescent="0.25">
      <c r="A2309">
        <v>4982</v>
      </c>
      <c r="B2309" t="s">
        <v>226</v>
      </c>
      <c r="C2309" t="s">
        <v>501</v>
      </c>
      <c r="D2309" t="s">
        <v>599</v>
      </c>
      <c r="E2309" s="3">
        <v>44197</v>
      </c>
      <c r="F2309" s="3">
        <v>44561</v>
      </c>
      <c r="G2309" t="s">
        <v>135</v>
      </c>
      <c r="H2309" s="3">
        <v>44197</v>
      </c>
      <c r="I2309" s="3">
        <v>44561</v>
      </c>
      <c r="J2309" t="s">
        <v>135</v>
      </c>
      <c r="K2309">
        <v>0</v>
      </c>
      <c r="L2309" t="s">
        <v>136</v>
      </c>
      <c r="M2309" t="s">
        <v>82</v>
      </c>
      <c r="O2309" t="s">
        <v>600</v>
      </c>
      <c r="P2309" t="s">
        <v>550</v>
      </c>
      <c r="Q2309">
        <v>2021</v>
      </c>
      <c r="R2309" t="s">
        <v>605</v>
      </c>
      <c r="S2309" t="s">
        <v>606</v>
      </c>
      <c r="T2309" t="s">
        <v>553</v>
      </c>
      <c r="U2309" t="b">
        <v>0</v>
      </c>
      <c r="V2309" t="s">
        <v>781</v>
      </c>
      <c r="W2309" t="s">
        <v>587</v>
      </c>
      <c r="X2309" t="s">
        <v>556</v>
      </c>
      <c r="Y2309" t="s">
        <v>472</v>
      </c>
      <c r="AC2309">
        <v>0</v>
      </c>
      <c r="AD2309" t="s">
        <v>558</v>
      </c>
      <c r="AE2309">
        <v>0</v>
      </c>
      <c r="AF2309">
        <v>2.5000000000000001E-2</v>
      </c>
      <c r="AG2309" t="s">
        <v>798</v>
      </c>
      <c r="AH2309">
        <v>0.1</v>
      </c>
      <c r="AI2309">
        <v>0</v>
      </c>
      <c r="AJ2309" t="s">
        <v>561</v>
      </c>
      <c r="AK2309" t="s">
        <v>766</v>
      </c>
      <c r="AL2309" t="s">
        <v>790</v>
      </c>
      <c r="AM2309">
        <v>2021</v>
      </c>
      <c r="AN2309">
        <v>2021</v>
      </c>
      <c r="AO2309">
        <f>IF(AND(emissions[[#This Row],[Market-based]]=0,emissions[[#This Row],[Impact Type]]="CO2E"),emissions[[#This Row],[kgCO2e]],0)/1000</f>
        <v>0</v>
      </c>
      <c r="AP2309">
        <f>IF(AND(emissions[[#This Row],[Market-based]]=1,OR(emissions[[#This Row],[Impact Type]]="CO2E",emissions[[#This Row],[Impact Type]]="CO2E MKT")),emissions[[#This Row],[kgCO2e]],0)/1000</f>
        <v>0</v>
      </c>
      <c r="AQ2309" t="str">
        <f>_xlfn.TEXTAFTER(emissions[[#This Row],[Reporting Unit]]," &gt; ",LEN(emissions[[#This Row],[Reporting Unit]])-LEN(SUBSTITUTE(emissions[[#This Row],[Reporting Unit]],"&gt;","")))</f>
        <v>Vantage_Lima</v>
      </c>
      <c r="AR2309" t="str">
        <f>_xlfn.XLOOKUP(emissions[[#This Row],[Reporting unit name]],hierarchy!$A:$A,hierarchy!$C:$C)</f>
        <v>Office</v>
      </c>
    </row>
    <row r="2310" spans="1:44" hidden="1" x14ac:dyDescent="0.25">
      <c r="A2310">
        <v>4982</v>
      </c>
      <c r="B2310" t="s">
        <v>226</v>
      </c>
      <c r="C2310" t="s">
        <v>501</v>
      </c>
      <c r="D2310" t="s">
        <v>599</v>
      </c>
      <c r="E2310" s="3">
        <v>44197</v>
      </c>
      <c r="F2310" s="3">
        <v>44561</v>
      </c>
      <c r="G2310" t="s">
        <v>135</v>
      </c>
      <c r="H2310" s="3">
        <v>44197</v>
      </c>
      <c r="I2310" s="3">
        <v>44561</v>
      </c>
      <c r="J2310" t="s">
        <v>135</v>
      </c>
      <c r="K2310">
        <v>0</v>
      </c>
      <c r="L2310" t="s">
        <v>136</v>
      </c>
      <c r="M2310" t="s">
        <v>82</v>
      </c>
      <c r="O2310" t="s">
        <v>600</v>
      </c>
      <c r="P2310" t="s">
        <v>550</v>
      </c>
      <c r="Q2310">
        <v>2021</v>
      </c>
      <c r="R2310" t="s">
        <v>605</v>
      </c>
      <c r="S2310" t="s">
        <v>606</v>
      </c>
      <c r="T2310" t="s">
        <v>553</v>
      </c>
      <c r="U2310" t="b">
        <v>0</v>
      </c>
      <c r="V2310" t="s">
        <v>781</v>
      </c>
      <c r="W2310" t="s">
        <v>587</v>
      </c>
      <c r="X2310" t="s">
        <v>556</v>
      </c>
      <c r="Y2310" t="s">
        <v>472</v>
      </c>
      <c r="AC2310">
        <v>0</v>
      </c>
      <c r="AD2310" t="s">
        <v>564</v>
      </c>
      <c r="AE2310">
        <v>0</v>
      </c>
      <c r="AF2310">
        <v>53.06</v>
      </c>
      <c r="AG2310" t="s">
        <v>798</v>
      </c>
      <c r="AH2310">
        <v>0.1</v>
      </c>
      <c r="AI2310">
        <v>0</v>
      </c>
      <c r="AJ2310" t="s">
        <v>561</v>
      </c>
      <c r="AK2310" t="s">
        <v>766</v>
      </c>
      <c r="AL2310" t="s">
        <v>787</v>
      </c>
      <c r="AM2310">
        <v>2021</v>
      </c>
      <c r="AN2310">
        <v>2020</v>
      </c>
      <c r="AO2310">
        <f>IF(AND(emissions[[#This Row],[Market-based]]=0,emissions[[#This Row],[Impact Type]]="CO2E"),emissions[[#This Row],[kgCO2e]],0)/1000</f>
        <v>0</v>
      </c>
      <c r="AP2310">
        <f>IF(AND(emissions[[#This Row],[Market-based]]=1,OR(emissions[[#This Row],[Impact Type]]="CO2E",emissions[[#This Row],[Impact Type]]="CO2E MKT")),emissions[[#This Row],[kgCO2e]],0)/1000</f>
        <v>0</v>
      </c>
      <c r="AQ2310" t="str">
        <f>_xlfn.TEXTAFTER(emissions[[#This Row],[Reporting Unit]]," &gt; ",LEN(emissions[[#This Row],[Reporting Unit]])-LEN(SUBSTITUTE(emissions[[#This Row],[Reporting Unit]],"&gt;","")))</f>
        <v>Vantage_Lima</v>
      </c>
      <c r="AR2310" t="str">
        <f>_xlfn.XLOOKUP(emissions[[#This Row],[Reporting unit name]],hierarchy!$A:$A,hierarchy!$C:$C)</f>
        <v>Office</v>
      </c>
    </row>
    <row r="2311" spans="1:44" hidden="1" x14ac:dyDescent="0.25">
      <c r="A2311">
        <v>4982</v>
      </c>
      <c r="B2311" t="s">
        <v>226</v>
      </c>
      <c r="C2311" t="s">
        <v>501</v>
      </c>
      <c r="D2311" t="s">
        <v>599</v>
      </c>
      <c r="E2311" s="3">
        <v>44197</v>
      </c>
      <c r="F2311" s="3">
        <v>44561</v>
      </c>
      <c r="G2311" t="s">
        <v>135</v>
      </c>
      <c r="H2311" s="3">
        <v>44197</v>
      </c>
      <c r="I2311" s="3">
        <v>44561</v>
      </c>
      <c r="J2311" t="s">
        <v>135</v>
      </c>
      <c r="K2311">
        <v>0</v>
      </c>
      <c r="L2311" t="s">
        <v>136</v>
      </c>
      <c r="M2311" t="s">
        <v>82</v>
      </c>
      <c r="O2311" t="s">
        <v>600</v>
      </c>
      <c r="P2311" t="s">
        <v>550</v>
      </c>
      <c r="Q2311">
        <v>2021</v>
      </c>
      <c r="R2311" t="s">
        <v>605</v>
      </c>
      <c r="S2311" t="s">
        <v>606</v>
      </c>
      <c r="T2311" t="s">
        <v>553</v>
      </c>
      <c r="U2311" t="b">
        <v>0</v>
      </c>
      <c r="V2311" t="s">
        <v>781</v>
      </c>
      <c r="W2311" t="s">
        <v>587</v>
      </c>
      <c r="X2311" t="s">
        <v>556</v>
      </c>
      <c r="Y2311" t="s">
        <v>472</v>
      </c>
      <c r="AC2311">
        <v>0</v>
      </c>
      <c r="AD2311" t="s">
        <v>565</v>
      </c>
      <c r="AE2311">
        <v>0</v>
      </c>
      <c r="AF2311">
        <v>53.114800000000002</v>
      </c>
      <c r="AG2311" t="s">
        <v>798</v>
      </c>
      <c r="AH2311">
        <v>0.1</v>
      </c>
      <c r="AI2311">
        <v>0</v>
      </c>
      <c r="AJ2311" t="s">
        <v>561</v>
      </c>
      <c r="AK2311" t="s">
        <v>766</v>
      </c>
      <c r="AL2311" t="s">
        <v>790</v>
      </c>
      <c r="AM2311">
        <v>2021</v>
      </c>
      <c r="AN2311">
        <v>2021</v>
      </c>
      <c r="AO2311">
        <f>IF(AND(emissions[[#This Row],[Market-based]]=0,emissions[[#This Row],[Impact Type]]="CO2E"),emissions[[#This Row],[kgCO2e]],0)/1000</f>
        <v>0</v>
      </c>
      <c r="AP2311">
        <f>IF(AND(emissions[[#This Row],[Market-based]]=1,OR(emissions[[#This Row],[Impact Type]]="CO2E",emissions[[#This Row],[Impact Type]]="CO2E MKT")),emissions[[#This Row],[kgCO2e]],0)/1000</f>
        <v>0</v>
      </c>
      <c r="AQ2311" t="str">
        <f>_xlfn.TEXTAFTER(emissions[[#This Row],[Reporting Unit]]," &gt; ",LEN(emissions[[#This Row],[Reporting Unit]])-LEN(SUBSTITUTE(emissions[[#This Row],[Reporting Unit]],"&gt;","")))</f>
        <v>Vantage_Lima</v>
      </c>
      <c r="AR2311" t="str">
        <f>_xlfn.XLOOKUP(emissions[[#This Row],[Reporting unit name]],hierarchy!$A:$A,hierarchy!$C:$C)</f>
        <v>Office</v>
      </c>
    </row>
    <row r="2312" spans="1:44" hidden="1" x14ac:dyDescent="0.25">
      <c r="A2312">
        <v>4982</v>
      </c>
      <c r="B2312" t="s">
        <v>226</v>
      </c>
      <c r="C2312" t="s">
        <v>501</v>
      </c>
      <c r="D2312" t="s">
        <v>599</v>
      </c>
      <c r="E2312" s="3">
        <v>44197</v>
      </c>
      <c r="F2312" s="3">
        <v>44561</v>
      </c>
      <c r="G2312" t="s">
        <v>135</v>
      </c>
      <c r="H2312" s="3">
        <v>44197</v>
      </c>
      <c r="I2312" s="3">
        <v>44561</v>
      </c>
      <c r="J2312" t="s">
        <v>135</v>
      </c>
      <c r="K2312">
        <v>0</v>
      </c>
      <c r="L2312" t="s">
        <v>136</v>
      </c>
      <c r="M2312" t="s">
        <v>82</v>
      </c>
      <c r="O2312" t="s">
        <v>600</v>
      </c>
      <c r="P2312" t="s">
        <v>550</v>
      </c>
      <c r="Q2312">
        <v>2021</v>
      </c>
      <c r="R2312" t="s">
        <v>605</v>
      </c>
      <c r="S2312" t="s">
        <v>606</v>
      </c>
      <c r="T2312" t="s">
        <v>553</v>
      </c>
      <c r="U2312" t="b">
        <v>0</v>
      </c>
      <c r="V2312" t="s">
        <v>781</v>
      </c>
      <c r="W2312" t="s">
        <v>587</v>
      </c>
      <c r="X2312" t="s">
        <v>556</v>
      </c>
      <c r="Y2312" t="s">
        <v>472</v>
      </c>
      <c r="AC2312">
        <v>0</v>
      </c>
      <c r="AD2312" t="s">
        <v>566</v>
      </c>
      <c r="AE2312">
        <v>0</v>
      </c>
      <c r="AF2312">
        <v>2.98E-2</v>
      </c>
      <c r="AG2312" t="s">
        <v>798</v>
      </c>
      <c r="AH2312">
        <v>0.1</v>
      </c>
      <c r="AI2312">
        <v>0</v>
      </c>
      <c r="AJ2312" t="s">
        <v>561</v>
      </c>
      <c r="AK2312" t="s">
        <v>766</v>
      </c>
      <c r="AL2312" t="s">
        <v>790</v>
      </c>
      <c r="AM2312">
        <v>2021</v>
      </c>
      <c r="AN2312">
        <v>2021</v>
      </c>
      <c r="AO2312">
        <f>IF(AND(emissions[[#This Row],[Market-based]]=0,emissions[[#This Row],[Impact Type]]="CO2E"),emissions[[#This Row],[kgCO2e]],0)/1000</f>
        <v>0</v>
      </c>
      <c r="AP2312">
        <f>IF(AND(emissions[[#This Row],[Market-based]]=1,OR(emissions[[#This Row],[Impact Type]]="CO2E",emissions[[#This Row],[Impact Type]]="CO2E MKT")),emissions[[#This Row],[kgCO2e]],0)/1000</f>
        <v>0</v>
      </c>
      <c r="AQ2312" t="str">
        <f>_xlfn.TEXTAFTER(emissions[[#This Row],[Reporting Unit]]," &gt; ",LEN(emissions[[#This Row],[Reporting Unit]])-LEN(SUBSTITUTE(emissions[[#This Row],[Reporting Unit]],"&gt;","")))</f>
        <v>Vantage_Lima</v>
      </c>
      <c r="AR2312" t="str">
        <f>_xlfn.XLOOKUP(emissions[[#This Row],[Reporting unit name]],hierarchy!$A:$A,hierarchy!$C:$C)</f>
        <v>Office</v>
      </c>
    </row>
    <row r="2313" spans="1:44" hidden="1" x14ac:dyDescent="0.25">
      <c r="A2313">
        <v>4982</v>
      </c>
      <c r="B2313" t="s">
        <v>226</v>
      </c>
      <c r="C2313" t="s">
        <v>501</v>
      </c>
      <c r="D2313" t="s">
        <v>599</v>
      </c>
      <c r="E2313" s="3">
        <v>44197</v>
      </c>
      <c r="F2313" s="3">
        <v>44561</v>
      </c>
      <c r="G2313" t="s">
        <v>135</v>
      </c>
      <c r="H2313" s="3">
        <v>44197</v>
      </c>
      <c r="I2313" s="3">
        <v>44561</v>
      </c>
      <c r="J2313" t="s">
        <v>135</v>
      </c>
      <c r="K2313">
        <v>0</v>
      </c>
      <c r="L2313" t="s">
        <v>136</v>
      </c>
      <c r="M2313" t="s">
        <v>82</v>
      </c>
      <c r="O2313" t="s">
        <v>600</v>
      </c>
      <c r="P2313" t="s">
        <v>550</v>
      </c>
      <c r="Q2313">
        <v>2021</v>
      </c>
      <c r="R2313" t="s">
        <v>605</v>
      </c>
      <c r="S2313" t="s">
        <v>606</v>
      </c>
      <c r="T2313" t="s">
        <v>553</v>
      </c>
      <c r="U2313" t="b">
        <v>0</v>
      </c>
      <c r="V2313" t="s">
        <v>781</v>
      </c>
      <c r="W2313" t="s">
        <v>587</v>
      </c>
      <c r="X2313" t="s">
        <v>556</v>
      </c>
      <c r="Y2313" t="s">
        <v>472</v>
      </c>
      <c r="AC2313">
        <v>1</v>
      </c>
      <c r="AD2313" t="s">
        <v>558</v>
      </c>
      <c r="AE2313">
        <v>0</v>
      </c>
      <c r="AF2313">
        <v>2.5000000000000001E-2</v>
      </c>
      <c r="AG2313" t="s">
        <v>798</v>
      </c>
      <c r="AH2313">
        <v>0.1</v>
      </c>
      <c r="AI2313">
        <v>0</v>
      </c>
      <c r="AJ2313" t="s">
        <v>561</v>
      </c>
      <c r="AK2313" t="s">
        <v>766</v>
      </c>
      <c r="AL2313" t="s">
        <v>790</v>
      </c>
      <c r="AM2313">
        <v>2021</v>
      </c>
      <c r="AN2313">
        <v>2021</v>
      </c>
      <c r="AO2313">
        <f>IF(AND(emissions[[#This Row],[Market-based]]=0,emissions[[#This Row],[Impact Type]]="CO2E"),emissions[[#This Row],[kgCO2e]],0)/1000</f>
        <v>0</v>
      </c>
      <c r="AP2313">
        <f>IF(AND(emissions[[#This Row],[Market-based]]=1,OR(emissions[[#This Row],[Impact Type]]="CO2E",emissions[[#This Row],[Impact Type]]="CO2E MKT")),emissions[[#This Row],[kgCO2e]],0)/1000</f>
        <v>0</v>
      </c>
      <c r="AQ2313" t="str">
        <f>_xlfn.TEXTAFTER(emissions[[#This Row],[Reporting Unit]]," &gt; ",LEN(emissions[[#This Row],[Reporting Unit]])-LEN(SUBSTITUTE(emissions[[#This Row],[Reporting Unit]],"&gt;","")))</f>
        <v>Vantage_Lima</v>
      </c>
      <c r="AR2313" t="str">
        <f>_xlfn.XLOOKUP(emissions[[#This Row],[Reporting unit name]],hierarchy!$A:$A,hierarchy!$C:$C)</f>
        <v>Office</v>
      </c>
    </row>
    <row r="2314" spans="1:44" hidden="1" x14ac:dyDescent="0.25">
      <c r="A2314">
        <v>4982</v>
      </c>
      <c r="B2314" t="s">
        <v>226</v>
      </c>
      <c r="C2314" t="s">
        <v>501</v>
      </c>
      <c r="D2314" t="s">
        <v>599</v>
      </c>
      <c r="E2314" s="3">
        <v>44197</v>
      </c>
      <c r="F2314" s="3">
        <v>44561</v>
      </c>
      <c r="G2314" t="s">
        <v>135</v>
      </c>
      <c r="H2314" s="3">
        <v>44197</v>
      </c>
      <c r="I2314" s="3">
        <v>44561</v>
      </c>
      <c r="J2314" t="s">
        <v>135</v>
      </c>
      <c r="K2314">
        <v>0</v>
      </c>
      <c r="L2314" t="s">
        <v>136</v>
      </c>
      <c r="M2314" t="s">
        <v>82</v>
      </c>
      <c r="O2314" t="s">
        <v>600</v>
      </c>
      <c r="P2314" t="s">
        <v>550</v>
      </c>
      <c r="Q2314">
        <v>2021</v>
      </c>
      <c r="R2314" t="s">
        <v>605</v>
      </c>
      <c r="S2314" t="s">
        <v>606</v>
      </c>
      <c r="T2314" t="s">
        <v>553</v>
      </c>
      <c r="U2314" t="b">
        <v>0</v>
      </c>
      <c r="V2314" t="s">
        <v>781</v>
      </c>
      <c r="W2314" t="s">
        <v>587</v>
      </c>
      <c r="X2314" t="s">
        <v>556</v>
      </c>
      <c r="Y2314" t="s">
        <v>472</v>
      </c>
      <c r="AC2314">
        <v>1</v>
      </c>
      <c r="AD2314" t="s">
        <v>564</v>
      </c>
      <c r="AE2314">
        <v>0</v>
      </c>
      <c r="AF2314">
        <v>53.06</v>
      </c>
      <c r="AG2314" t="s">
        <v>798</v>
      </c>
      <c r="AH2314">
        <v>0.1</v>
      </c>
      <c r="AI2314">
        <v>0</v>
      </c>
      <c r="AJ2314" t="s">
        <v>561</v>
      </c>
      <c r="AK2314" t="s">
        <v>766</v>
      </c>
      <c r="AL2314" t="s">
        <v>787</v>
      </c>
      <c r="AM2314">
        <v>2021</v>
      </c>
      <c r="AN2314">
        <v>2020</v>
      </c>
      <c r="AO2314">
        <f>IF(AND(emissions[[#This Row],[Market-based]]=0,emissions[[#This Row],[Impact Type]]="CO2E"),emissions[[#This Row],[kgCO2e]],0)/1000</f>
        <v>0</v>
      </c>
      <c r="AP2314">
        <f>IF(AND(emissions[[#This Row],[Market-based]]=1,OR(emissions[[#This Row],[Impact Type]]="CO2E",emissions[[#This Row],[Impact Type]]="CO2E MKT")),emissions[[#This Row],[kgCO2e]],0)/1000</f>
        <v>0</v>
      </c>
      <c r="AQ2314" t="str">
        <f>_xlfn.TEXTAFTER(emissions[[#This Row],[Reporting Unit]]," &gt; ",LEN(emissions[[#This Row],[Reporting Unit]])-LEN(SUBSTITUTE(emissions[[#This Row],[Reporting Unit]],"&gt;","")))</f>
        <v>Vantage_Lima</v>
      </c>
      <c r="AR2314" t="str">
        <f>_xlfn.XLOOKUP(emissions[[#This Row],[Reporting unit name]],hierarchy!$A:$A,hierarchy!$C:$C)</f>
        <v>Office</v>
      </c>
    </row>
    <row r="2315" spans="1:44" hidden="1" x14ac:dyDescent="0.25">
      <c r="A2315">
        <v>4982</v>
      </c>
      <c r="B2315" t="s">
        <v>226</v>
      </c>
      <c r="C2315" t="s">
        <v>501</v>
      </c>
      <c r="D2315" t="s">
        <v>599</v>
      </c>
      <c r="E2315" s="3">
        <v>44197</v>
      </c>
      <c r="F2315" s="3">
        <v>44561</v>
      </c>
      <c r="G2315" t="s">
        <v>135</v>
      </c>
      <c r="H2315" s="3">
        <v>44197</v>
      </c>
      <c r="I2315" s="3">
        <v>44561</v>
      </c>
      <c r="J2315" t="s">
        <v>135</v>
      </c>
      <c r="K2315">
        <v>0</v>
      </c>
      <c r="L2315" t="s">
        <v>136</v>
      </c>
      <c r="M2315" t="s">
        <v>82</v>
      </c>
      <c r="O2315" t="s">
        <v>600</v>
      </c>
      <c r="P2315" t="s">
        <v>550</v>
      </c>
      <c r="Q2315">
        <v>2021</v>
      </c>
      <c r="R2315" t="s">
        <v>605</v>
      </c>
      <c r="S2315" t="s">
        <v>606</v>
      </c>
      <c r="T2315" t="s">
        <v>553</v>
      </c>
      <c r="U2315" t="b">
        <v>0</v>
      </c>
      <c r="V2315" t="s">
        <v>781</v>
      </c>
      <c r="W2315" t="s">
        <v>587</v>
      </c>
      <c r="X2315" t="s">
        <v>556</v>
      </c>
      <c r="Y2315" t="s">
        <v>472</v>
      </c>
      <c r="AC2315">
        <v>1</v>
      </c>
      <c r="AD2315" t="s">
        <v>565</v>
      </c>
      <c r="AE2315">
        <v>0</v>
      </c>
      <c r="AF2315">
        <v>53.114800000000002</v>
      </c>
      <c r="AG2315" t="s">
        <v>798</v>
      </c>
      <c r="AH2315">
        <v>0.1</v>
      </c>
      <c r="AI2315">
        <v>0</v>
      </c>
      <c r="AJ2315" t="s">
        <v>561</v>
      </c>
      <c r="AK2315" t="s">
        <v>766</v>
      </c>
      <c r="AL2315" t="s">
        <v>790</v>
      </c>
      <c r="AM2315">
        <v>2021</v>
      </c>
      <c r="AN2315">
        <v>2021</v>
      </c>
      <c r="AO2315">
        <f>IF(AND(emissions[[#This Row],[Market-based]]=0,emissions[[#This Row],[Impact Type]]="CO2E"),emissions[[#This Row],[kgCO2e]],0)/1000</f>
        <v>0</v>
      </c>
      <c r="AP2315">
        <f>IF(AND(emissions[[#This Row],[Market-based]]=1,OR(emissions[[#This Row],[Impact Type]]="CO2E",emissions[[#This Row],[Impact Type]]="CO2E MKT")),emissions[[#This Row],[kgCO2e]],0)/1000</f>
        <v>0</v>
      </c>
      <c r="AQ2315" t="str">
        <f>_xlfn.TEXTAFTER(emissions[[#This Row],[Reporting Unit]]," &gt; ",LEN(emissions[[#This Row],[Reporting Unit]])-LEN(SUBSTITUTE(emissions[[#This Row],[Reporting Unit]],"&gt;","")))</f>
        <v>Vantage_Lima</v>
      </c>
      <c r="AR2315" t="str">
        <f>_xlfn.XLOOKUP(emissions[[#This Row],[Reporting unit name]],hierarchy!$A:$A,hierarchy!$C:$C)</f>
        <v>Office</v>
      </c>
    </row>
    <row r="2316" spans="1:44" hidden="1" x14ac:dyDescent="0.25">
      <c r="A2316">
        <v>4982</v>
      </c>
      <c r="B2316" t="s">
        <v>226</v>
      </c>
      <c r="C2316" t="s">
        <v>501</v>
      </c>
      <c r="D2316" t="s">
        <v>599</v>
      </c>
      <c r="E2316" s="3">
        <v>44197</v>
      </c>
      <c r="F2316" s="3">
        <v>44561</v>
      </c>
      <c r="G2316" t="s">
        <v>135</v>
      </c>
      <c r="H2316" s="3">
        <v>44197</v>
      </c>
      <c r="I2316" s="3">
        <v>44561</v>
      </c>
      <c r="J2316" t="s">
        <v>135</v>
      </c>
      <c r="K2316">
        <v>0</v>
      </c>
      <c r="L2316" t="s">
        <v>136</v>
      </c>
      <c r="M2316" t="s">
        <v>82</v>
      </c>
      <c r="O2316" t="s">
        <v>600</v>
      </c>
      <c r="P2316" t="s">
        <v>550</v>
      </c>
      <c r="Q2316">
        <v>2021</v>
      </c>
      <c r="R2316" t="s">
        <v>605</v>
      </c>
      <c r="S2316" t="s">
        <v>606</v>
      </c>
      <c r="T2316" t="s">
        <v>553</v>
      </c>
      <c r="U2316" t="b">
        <v>0</v>
      </c>
      <c r="V2316" t="s">
        <v>781</v>
      </c>
      <c r="W2316" t="s">
        <v>587</v>
      </c>
      <c r="X2316" t="s">
        <v>556</v>
      </c>
      <c r="Y2316" t="s">
        <v>472</v>
      </c>
      <c r="AC2316">
        <v>1</v>
      </c>
      <c r="AD2316" t="s">
        <v>566</v>
      </c>
      <c r="AE2316">
        <v>0</v>
      </c>
      <c r="AF2316">
        <v>2.98E-2</v>
      </c>
      <c r="AG2316" t="s">
        <v>798</v>
      </c>
      <c r="AH2316">
        <v>0.1</v>
      </c>
      <c r="AI2316">
        <v>0</v>
      </c>
      <c r="AJ2316" t="s">
        <v>561</v>
      </c>
      <c r="AK2316" t="s">
        <v>766</v>
      </c>
      <c r="AL2316" t="s">
        <v>790</v>
      </c>
      <c r="AM2316">
        <v>2021</v>
      </c>
      <c r="AN2316">
        <v>2021</v>
      </c>
      <c r="AO2316">
        <f>IF(AND(emissions[[#This Row],[Market-based]]=0,emissions[[#This Row],[Impact Type]]="CO2E"),emissions[[#This Row],[kgCO2e]],0)/1000</f>
        <v>0</v>
      </c>
      <c r="AP2316">
        <f>IF(AND(emissions[[#This Row],[Market-based]]=1,OR(emissions[[#This Row],[Impact Type]]="CO2E",emissions[[#This Row],[Impact Type]]="CO2E MKT")),emissions[[#This Row],[kgCO2e]],0)/1000</f>
        <v>0</v>
      </c>
      <c r="AQ2316" t="str">
        <f>_xlfn.TEXTAFTER(emissions[[#This Row],[Reporting Unit]]," &gt; ",LEN(emissions[[#This Row],[Reporting Unit]])-LEN(SUBSTITUTE(emissions[[#This Row],[Reporting Unit]],"&gt;","")))</f>
        <v>Vantage_Lima</v>
      </c>
      <c r="AR2316" t="str">
        <f>_xlfn.XLOOKUP(emissions[[#This Row],[Reporting unit name]],hierarchy!$A:$A,hierarchy!$C:$C)</f>
        <v>Office</v>
      </c>
    </row>
    <row r="2317" spans="1:44" hidden="1" x14ac:dyDescent="0.25">
      <c r="A2317">
        <v>4982</v>
      </c>
      <c r="B2317" t="s">
        <v>226</v>
      </c>
      <c r="C2317" t="s">
        <v>501</v>
      </c>
      <c r="D2317" t="s">
        <v>599</v>
      </c>
      <c r="E2317" s="3">
        <v>44197</v>
      </c>
      <c r="F2317" s="3">
        <v>44561</v>
      </c>
      <c r="G2317" t="s">
        <v>135</v>
      </c>
      <c r="H2317" s="3">
        <v>44197</v>
      </c>
      <c r="I2317" s="3">
        <v>44561</v>
      </c>
      <c r="J2317" t="s">
        <v>135</v>
      </c>
      <c r="K2317">
        <v>0</v>
      </c>
      <c r="L2317" t="s">
        <v>136</v>
      </c>
      <c r="M2317" t="s">
        <v>82</v>
      </c>
      <c r="O2317" t="s">
        <v>600</v>
      </c>
      <c r="P2317" t="s">
        <v>550</v>
      </c>
      <c r="Q2317">
        <v>2021</v>
      </c>
      <c r="R2317" t="s">
        <v>609</v>
      </c>
      <c r="S2317" t="s">
        <v>610</v>
      </c>
      <c r="T2317" t="s">
        <v>577</v>
      </c>
      <c r="U2317" t="b">
        <v>0</v>
      </c>
      <c r="V2317" t="s">
        <v>611</v>
      </c>
      <c r="W2317" t="s">
        <v>571</v>
      </c>
      <c r="X2317" t="s">
        <v>572</v>
      </c>
      <c r="AC2317">
        <v>0</v>
      </c>
      <c r="AD2317" t="s">
        <v>565</v>
      </c>
      <c r="AE2317">
        <v>0</v>
      </c>
      <c r="AF2317">
        <v>3.1350000000000003E-2</v>
      </c>
      <c r="AG2317" t="s">
        <v>608</v>
      </c>
      <c r="AH2317">
        <v>29.3001</v>
      </c>
      <c r="AI2317">
        <v>0</v>
      </c>
      <c r="AJ2317" t="s">
        <v>561</v>
      </c>
      <c r="AK2317" t="s">
        <v>589</v>
      </c>
      <c r="AL2317" t="s">
        <v>603</v>
      </c>
      <c r="AM2317">
        <v>2021</v>
      </c>
      <c r="AN2317">
        <v>2019</v>
      </c>
      <c r="AO2317">
        <f>IF(AND(emissions[[#This Row],[Market-based]]=0,emissions[[#This Row],[Impact Type]]="CO2E"),emissions[[#This Row],[kgCO2e]],0)/1000</f>
        <v>0</v>
      </c>
      <c r="AP2317">
        <f>IF(AND(emissions[[#This Row],[Market-based]]=1,OR(emissions[[#This Row],[Impact Type]]="CO2E",emissions[[#This Row],[Impact Type]]="CO2E MKT")),emissions[[#This Row],[kgCO2e]],0)/1000</f>
        <v>0</v>
      </c>
      <c r="AQ2317" t="str">
        <f>_xlfn.TEXTAFTER(emissions[[#This Row],[Reporting Unit]]," &gt; ",LEN(emissions[[#This Row],[Reporting Unit]])-LEN(SUBSTITUTE(emissions[[#This Row],[Reporting Unit]],"&gt;","")))</f>
        <v>Vantage_Lima</v>
      </c>
      <c r="AR2317" t="str">
        <f>_xlfn.XLOOKUP(emissions[[#This Row],[Reporting unit name]],hierarchy!$A:$A,hierarchy!$C:$C)</f>
        <v>Office</v>
      </c>
    </row>
    <row r="2318" spans="1:44" hidden="1" x14ac:dyDescent="0.25">
      <c r="A2318">
        <v>4982</v>
      </c>
      <c r="B2318" t="s">
        <v>226</v>
      </c>
      <c r="C2318" t="s">
        <v>501</v>
      </c>
      <c r="D2318" t="s">
        <v>599</v>
      </c>
      <c r="E2318" s="3">
        <v>44197</v>
      </c>
      <c r="F2318" s="3">
        <v>44561</v>
      </c>
      <c r="G2318" t="s">
        <v>135</v>
      </c>
      <c r="H2318" s="3">
        <v>44197</v>
      </c>
      <c r="I2318" s="3">
        <v>44561</v>
      </c>
      <c r="J2318" t="s">
        <v>135</v>
      </c>
      <c r="K2318">
        <v>0</v>
      </c>
      <c r="L2318" t="s">
        <v>136</v>
      </c>
      <c r="M2318" t="s">
        <v>82</v>
      </c>
      <c r="O2318" t="s">
        <v>600</v>
      </c>
      <c r="P2318" t="s">
        <v>550</v>
      </c>
      <c r="Q2318">
        <v>2021</v>
      </c>
      <c r="R2318" t="s">
        <v>609</v>
      </c>
      <c r="S2318" t="s">
        <v>610</v>
      </c>
      <c r="T2318" t="s">
        <v>577</v>
      </c>
      <c r="U2318" t="b">
        <v>0</v>
      </c>
      <c r="V2318" t="s">
        <v>611</v>
      </c>
      <c r="W2318" t="s">
        <v>571</v>
      </c>
      <c r="X2318" t="s">
        <v>572</v>
      </c>
      <c r="AC2318">
        <v>1</v>
      </c>
      <c r="AD2318" t="s">
        <v>565</v>
      </c>
      <c r="AE2318">
        <v>0</v>
      </c>
      <c r="AF2318">
        <v>3.1350000000000003E-2</v>
      </c>
      <c r="AG2318" t="s">
        <v>608</v>
      </c>
      <c r="AH2318">
        <v>29.3001</v>
      </c>
      <c r="AI2318">
        <v>0</v>
      </c>
      <c r="AJ2318" t="s">
        <v>561</v>
      </c>
      <c r="AK2318" t="s">
        <v>589</v>
      </c>
      <c r="AL2318" t="s">
        <v>603</v>
      </c>
      <c r="AM2318">
        <v>2021</v>
      </c>
      <c r="AN2318">
        <v>2019</v>
      </c>
      <c r="AO2318">
        <f>IF(AND(emissions[[#This Row],[Market-based]]=0,emissions[[#This Row],[Impact Type]]="CO2E"),emissions[[#This Row],[kgCO2e]],0)/1000</f>
        <v>0</v>
      </c>
      <c r="AP2318">
        <f>IF(AND(emissions[[#This Row],[Market-based]]=1,OR(emissions[[#This Row],[Impact Type]]="CO2E",emissions[[#This Row],[Impact Type]]="CO2E MKT")),emissions[[#This Row],[kgCO2e]],0)/1000</f>
        <v>0</v>
      </c>
      <c r="AQ2318" t="str">
        <f>_xlfn.TEXTAFTER(emissions[[#This Row],[Reporting Unit]]," &gt; ",LEN(emissions[[#This Row],[Reporting Unit]])-LEN(SUBSTITUTE(emissions[[#This Row],[Reporting Unit]],"&gt;","")))</f>
        <v>Vantage_Lima</v>
      </c>
      <c r="AR2318" t="str">
        <f>_xlfn.XLOOKUP(emissions[[#This Row],[Reporting unit name]],hierarchy!$A:$A,hierarchy!$C:$C)</f>
        <v>Office</v>
      </c>
    </row>
    <row r="2319" spans="1:44" hidden="1" x14ac:dyDescent="0.25">
      <c r="A2319">
        <v>5016</v>
      </c>
      <c r="B2319" t="s">
        <v>226</v>
      </c>
      <c r="C2319" t="s">
        <v>501</v>
      </c>
      <c r="D2319" t="s">
        <v>599</v>
      </c>
      <c r="E2319" s="3">
        <v>44197</v>
      </c>
      <c r="F2319" s="3">
        <v>44561</v>
      </c>
      <c r="G2319" t="s">
        <v>141</v>
      </c>
      <c r="H2319" s="3">
        <v>44197</v>
      </c>
      <c r="I2319" s="3">
        <v>44561</v>
      </c>
      <c r="J2319" t="s">
        <v>142</v>
      </c>
      <c r="K2319">
        <v>0</v>
      </c>
      <c r="L2319" t="s">
        <v>143</v>
      </c>
      <c r="M2319" t="s">
        <v>82</v>
      </c>
      <c r="O2319" t="s">
        <v>600</v>
      </c>
      <c r="P2319" t="s">
        <v>550</v>
      </c>
      <c r="Q2319">
        <v>2021</v>
      </c>
      <c r="R2319" t="s">
        <v>612</v>
      </c>
      <c r="S2319" t="s">
        <v>613</v>
      </c>
      <c r="T2319" t="s">
        <v>553</v>
      </c>
      <c r="U2319" t="b">
        <v>0</v>
      </c>
      <c r="V2319" t="s">
        <v>614</v>
      </c>
      <c r="W2319" t="s">
        <v>587</v>
      </c>
      <c r="X2319" t="s">
        <v>556</v>
      </c>
      <c r="AC2319">
        <v>0</v>
      </c>
      <c r="AD2319" t="s">
        <v>558</v>
      </c>
      <c r="AE2319">
        <v>0</v>
      </c>
      <c r="AF2319">
        <v>2.5999999999999998E-4</v>
      </c>
      <c r="AG2319" t="s">
        <v>588</v>
      </c>
      <c r="AH2319">
        <v>1</v>
      </c>
      <c r="AI2319">
        <v>0</v>
      </c>
      <c r="AJ2319" t="s">
        <v>561</v>
      </c>
      <c r="AK2319" t="s">
        <v>589</v>
      </c>
      <c r="AL2319" t="s">
        <v>603</v>
      </c>
      <c r="AM2319">
        <v>2021</v>
      </c>
      <c r="AN2319">
        <v>2019</v>
      </c>
      <c r="AO2319">
        <f>IF(AND(emissions[[#This Row],[Market-based]]=0,emissions[[#This Row],[Impact Type]]="CO2E"),emissions[[#This Row],[kgCO2e]],0)/1000</f>
        <v>0</v>
      </c>
      <c r="AP2319">
        <f>IF(AND(emissions[[#This Row],[Market-based]]=1,OR(emissions[[#This Row],[Impact Type]]="CO2E",emissions[[#This Row],[Impact Type]]="CO2E MKT")),emissions[[#This Row],[kgCO2e]],0)/1000</f>
        <v>0</v>
      </c>
      <c r="AQ2319" t="str">
        <f>_xlfn.TEXTAFTER(emissions[[#This Row],[Reporting Unit]]," &gt; ",LEN(emissions[[#This Row],[Reporting Unit]])-LEN(SUBSTITUTE(emissions[[#This Row],[Reporting Unit]],"&gt;","")))</f>
        <v>Vantage_Lima</v>
      </c>
      <c r="AR2319" t="str">
        <f>_xlfn.XLOOKUP(emissions[[#This Row],[Reporting unit name]],hierarchy!$A:$A,hierarchy!$C:$C)</f>
        <v>Office</v>
      </c>
    </row>
    <row r="2320" spans="1:44" hidden="1" x14ac:dyDescent="0.25">
      <c r="A2320">
        <v>5016</v>
      </c>
      <c r="B2320" t="s">
        <v>226</v>
      </c>
      <c r="C2320" t="s">
        <v>501</v>
      </c>
      <c r="D2320" t="s">
        <v>599</v>
      </c>
      <c r="E2320" s="3">
        <v>44197</v>
      </c>
      <c r="F2320" s="3">
        <v>44561</v>
      </c>
      <c r="G2320" t="s">
        <v>141</v>
      </c>
      <c r="H2320" s="3">
        <v>44197</v>
      </c>
      <c r="I2320" s="3">
        <v>44561</v>
      </c>
      <c r="J2320" t="s">
        <v>142</v>
      </c>
      <c r="K2320">
        <v>0</v>
      </c>
      <c r="L2320" t="s">
        <v>143</v>
      </c>
      <c r="M2320" t="s">
        <v>82</v>
      </c>
      <c r="O2320" t="s">
        <v>600</v>
      </c>
      <c r="P2320" t="s">
        <v>550</v>
      </c>
      <c r="Q2320">
        <v>2021</v>
      </c>
      <c r="R2320" t="s">
        <v>612</v>
      </c>
      <c r="S2320" t="s">
        <v>613</v>
      </c>
      <c r="T2320" t="s">
        <v>553</v>
      </c>
      <c r="U2320" t="b">
        <v>0</v>
      </c>
      <c r="V2320" t="s">
        <v>614</v>
      </c>
      <c r="W2320" t="s">
        <v>587</v>
      </c>
      <c r="X2320" t="s">
        <v>556</v>
      </c>
      <c r="AC2320">
        <v>0</v>
      </c>
      <c r="AD2320" t="s">
        <v>564</v>
      </c>
      <c r="AE2320">
        <v>0</v>
      </c>
      <c r="AF2320">
        <v>2.6680700000000002</v>
      </c>
      <c r="AG2320" t="s">
        <v>588</v>
      </c>
      <c r="AH2320">
        <v>1</v>
      </c>
      <c r="AI2320">
        <v>0</v>
      </c>
      <c r="AJ2320" t="s">
        <v>561</v>
      </c>
      <c r="AK2320" t="s">
        <v>589</v>
      </c>
      <c r="AL2320" t="s">
        <v>603</v>
      </c>
      <c r="AM2320">
        <v>2021</v>
      </c>
      <c r="AN2320">
        <v>2019</v>
      </c>
      <c r="AO2320">
        <f>IF(AND(emissions[[#This Row],[Market-based]]=0,emissions[[#This Row],[Impact Type]]="CO2E"),emissions[[#This Row],[kgCO2e]],0)/1000</f>
        <v>0</v>
      </c>
      <c r="AP2320">
        <f>IF(AND(emissions[[#This Row],[Market-based]]=1,OR(emissions[[#This Row],[Impact Type]]="CO2E",emissions[[#This Row],[Impact Type]]="CO2E MKT")),emissions[[#This Row],[kgCO2e]],0)/1000</f>
        <v>0</v>
      </c>
      <c r="AQ2320" t="str">
        <f>_xlfn.TEXTAFTER(emissions[[#This Row],[Reporting Unit]]," &gt; ",LEN(emissions[[#This Row],[Reporting Unit]])-LEN(SUBSTITUTE(emissions[[#This Row],[Reporting Unit]],"&gt;","")))</f>
        <v>Vantage_Lima</v>
      </c>
      <c r="AR2320" t="str">
        <f>_xlfn.XLOOKUP(emissions[[#This Row],[Reporting unit name]],hierarchy!$A:$A,hierarchy!$C:$C)</f>
        <v>Office</v>
      </c>
    </row>
    <row r="2321" spans="1:44" hidden="1" x14ac:dyDescent="0.25">
      <c r="A2321">
        <v>5016</v>
      </c>
      <c r="B2321" t="s">
        <v>226</v>
      </c>
      <c r="C2321" t="s">
        <v>501</v>
      </c>
      <c r="D2321" t="s">
        <v>599</v>
      </c>
      <c r="E2321" s="3">
        <v>44197</v>
      </c>
      <c r="F2321" s="3">
        <v>44561</v>
      </c>
      <c r="G2321" t="s">
        <v>141</v>
      </c>
      <c r="H2321" s="3">
        <v>44197</v>
      </c>
      <c r="I2321" s="3">
        <v>44561</v>
      </c>
      <c r="J2321" t="s">
        <v>142</v>
      </c>
      <c r="K2321">
        <v>0</v>
      </c>
      <c r="L2321" t="s">
        <v>143</v>
      </c>
      <c r="M2321" t="s">
        <v>82</v>
      </c>
      <c r="O2321" t="s">
        <v>600</v>
      </c>
      <c r="P2321" t="s">
        <v>550</v>
      </c>
      <c r="Q2321">
        <v>2021</v>
      </c>
      <c r="R2321" t="s">
        <v>612</v>
      </c>
      <c r="S2321" t="s">
        <v>613</v>
      </c>
      <c r="T2321" t="s">
        <v>553</v>
      </c>
      <c r="U2321" t="b">
        <v>0</v>
      </c>
      <c r="V2321" t="s">
        <v>614</v>
      </c>
      <c r="W2321" t="s">
        <v>587</v>
      </c>
      <c r="X2321" t="s">
        <v>556</v>
      </c>
      <c r="AC2321">
        <v>0</v>
      </c>
      <c r="AD2321" t="s">
        <v>565</v>
      </c>
      <c r="AE2321">
        <v>0</v>
      </c>
      <c r="AF2321">
        <v>2.70553</v>
      </c>
      <c r="AG2321" t="s">
        <v>588</v>
      </c>
      <c r="AH2321">
        <v>1</v>
      </c>
      <c r="AI2321">
        <v>0</v>
      </c>
      <c r="AJ2321" t="s">
        <v>561</v>
      </c>
      <c r="AK2321" t="s">
        <v>589</v>
      </c>
      <c r="AL2321" t="s">
        <v>603</v>
      </c>
      <c r="AM2321">
        <v>2021</v>
      </c>
      <c r="AN2321">
        <v>2019</v>
      </c>
      <c r="AO2321">
        <f>IF(AND(emissions[[#This Row],[Market-based]]=0,emissions[[#This Row],[Impact Type]]="CO2E"),emissions[[#This Row],[kgCO2e]],0)/1000</f>
        <v>0</v>
      </c>
      <c r="AP2321">
        <f>IF(AND(emissions[[#This Row],[Market-based]]=1,OR(emissions[[#This Row],[Impact Type]]="CO2E",emissions[[#This Row],[Impact Type]]="CO2E MKT")),emissions[[#This Row],[kgCO2e]],0)/1000</f>
        <v>0</v>
      </c>
      <c r="AQ2321" t="str">
        <f>_xlfn.TEXTAFTER(emissions[[#This Row],[Reporting Unit]]," &gt; ",LEN(emissions[[#This Row],[Reporting Unit]])-LEN(SUBSTITUTE(emissions[[#This Row],[Reporting Unit]],"&gt;","")))</f>
        <v>Vantage_Lima</v>
      </c>
      <c r="AR2321" t="str">
        <f>_xlfn.XLOOKUP(emissions[[#This Row],[Reporting unit name]],hierarchy!$A:$A,hierarchy!$C:$C)</f>
        <v>Office</v>
      </c>
    </row>
    <row r="2322" spans="1:44" hidden="1" x14ac:dyDescent="0.25">
      <c r="A2322">
        <v>5016</v>
      </c>
      <c r="B2322" t="s">
        <v>226</v>
      </c>
      <c r="C2322" t="s">
        <v>501</v>
      </c>
      <c r="D2322" t="s">
        <v>599</v>
      </c>
      <c r="E2322" s="3">
        <v>44197</v>
      </c>
      <c r="F2322" s="3">
        <v>44561</v>
      </c>
      <c r="G2322" t="s">
        <v>141</v>
      </c>
      <c r="H2322" s="3">
        <v>44197</v>
      </c>
      <c r="I2322" s="3">
        <v>44561</v>
      </c>
      <c r="J2322" t="s">
        <v>142</v>
      </c>
      <c r="K2322">
        <v>0</v>
      </c>
      <c r="L2322" t="s">
        <v>143</v>
      </c>
      <c r="M2322" t="s">
        <v>82</v>
      </c>
      <c r="O2322" t="s">
        <v>600</v>
      </c>
      <c r="P2322" t="s">
        <v>550</v>
      </c>
      <c r="Q2322">
        <v>2021</v>
      </c>
      <c r="R2322" t="s">
        <v>612</v>
      </c>
      <c r="S2322" t="s">
        <v>613</v>
      </c>
      <c r="T2322" t="s">
        <v>553</v>
      </c>
      <c r="U2322" t="b">
        <v>0</v>
      </c>
      <c r="V2322" t="s">
        <v>614</v>
      </c>
      <c r="W2322" t="s">
        <v>587</v>
      </c>
      <c r="X2322" t="s">
        <v>556</v>
      </c>
      <c r="AC2322">
        <v>0</v>
      </c>
      <c r="AD2322" t="s">
        <v>566</v>
      </c>
      <c r="AE2322">
        <v>0</v>
      </c>
      <c r="AF2322">
        <v>3.7199999999999997E-2</v>
      </c>
      <c r="AG2322" t="s">
        <v>588</v>
      </c>
      <c r="AH2322">
        <v>1</v>
      </c>
      <c r="AI2322">
        <v>0</v>
      </c>
      <c r="AJ2322" t="s">
        <v>561</v>
      </c>
      <c r="AK2322" t="s">
        <v>589</v>
      </c>
      <c r="AL2322" t="s">
        <v>603</v>
      </c>
      <c r="AM2322">
        <v>2021</v>
      </c>
      <c r="AN2322">
        <v>2019</v>
      </c>
      <c r="AO2322">
        <f>IF(AND(emissions[[#This Row],[Market-based]]=0,emissions[[#This Row],[Impact Type]]="CO2E"),emissions[[#This Row],[kgCO2e]],0)/1000</f>
        <v>0</v>
      </c>
      <c r="AP2322">
        <f>IF(AND(emissions[[#This Row],[Market-based]]=1,OR(emissions[[#This Row],[Impact Type]]="CO2E",emissions[[#This Row],[Impact Type]]="CO2E MKT")),emissions[[#This Row],[kgCO2e]],0)/1000</f>
        <v>0</v>
      </c>
      <c r="AQ2322" t="str">
        <f>_xlfn.TEXTAFTER(emissions[[#This Row],[Reporting Unit]]," &gt; ",LEN(emissions[[#This Row],[Reporting Unit]])-LEN(SUBSTITUTE(emissions[[#This Row],[Reporting Unit]],"&gt;","")))</f>
        <v>Vantage_Lima</v>
      </c>
      <c r="AR2322" t="str">
        <f>_xlfn.XLOOKUP(emissions[[#This Row],[Reporting unit name]],hierarchy!$A:$A,hierarchy!$C:$C)</f>
        <v>Office</v>
      </c>
    </row>
    <row r="2323" spans="1:44" hidden="1" x14ac:dyDescent="0.25">
      <c r="A2323">
        <v>5016</v>
      </c>
      <c r="B2323" t="s">
        <v>226</v>
      </c>
      <c r="C2323" t="s">
        <v>501</v>
      </c>
      <c r="D2323" t="s">
        <v>599</v>
      </c>
      <c r="E2323" s="3">
        <v>44197</v>
      </c>
      <c r="F2323" s="3">
        <v>44561</v>
      </c>
      <c r="G2323" t="s">
        <v>141</v>
      </c>
      <c r="H2323" s="3">
        <v>44197</v>
      </c>
      <c r="I2323" s="3">
        <v>44561</v>
      </c>
      <c r="J2323" t="s">
        <v>142</v>
      </c>
      <c r="K2323">
        <v>0</v>
      </c>
      <c r="L2323" t="s">
        <v>143</v>
      </c>
      <c r="M2323" t="s">
        <v>82</v>
      </c>
      <c r="O2323" t="s">
        <v>600</v>
      </c>
      <c r="P2323" t="s">
        <v>550</v>
      </c>
      <c r="Q2323">
        <v>2021</v>
      </c>
      <c r="R2323" t="s">
        <v>612</v>
      </c>
      <c r="S2323" t="s">
        <v>613</v>
      </c>
      <c r="T2323" t="s">
        <v>553</v>
      </c>
      <c r="U2323" t="b">
        <v>0</v>
      </c>
      <c r="V2323" t="s">
        <v>614</v>
      </c>
      <c r="W2323" t="s">
        <v>587</v>
      </c>
      <c r="X2323" t="s">
        <v>556</v>
      </c>
      <c r="AC2323">
        <v>1</v>
      </c>
      <c r="AD2323" t="s">
        <v>558</v>
      </c>
      <c r="AE2323">
        <v>0</v>
      </c>
      <c r="AF2323">
        <v>2.5999999999999998E-4</v>
      </c>
      <c r="AG2323" t="s">
        <v>588</v>
      </c>
      <c r="AH2323">
        <v>1</v>
      </c>
      <c r="AI2323">
        <v>0</v>
      </c>
      <c r="AJ2323" t="s">
        <v>561</v>
      </c>
      <c r="AK2323" t="s">
        <v>589</v>
      </c>
      <c r="AL2323" t="s">
        <v>603</v>
      </c>
      <c r="AM2323">
        <v>2021</v>
      </c>
      <c r="AN2323">
        <v>2019</v>
      </c>
      <c r="AO2323">
        <f>IF(AND(emissions[[#This Row],[Market-based]]=0,emissions[[#This Row],[Impact Type]]="CO2E"),emissions[[#This Row],[kgCO2e]],0)/1000</f>
        <v>0</v>
      </c>
      <c r="AP2323">
        <f>IF(AND(emissions[[#This Row],[Market-based]]=1,OR(emissions[[#This Row],[Impact Type]]="CO2E",emissions[[#This Row],[Impact Type]]="CO2E MKT")),emissions[[#This Row],[kgCO2e]],0)/1000</f>
        <v>0</v>
      </c>
      <c r="AQ2323" t="str">
        <f>_xlfn.TEXTAFTER(emissions[[#This Row],[Reporting Unit]]," &gt; ",LEN(emissions[[#This Row],[Reporting Unit]])-LEN(SUBSTITUTE(emissions[[#This Row],[Reporting Unit]],"&gt;","")))</f>
        <v>Vantage_Lima</v>
      </c>
      <c r="AR2323" t="str">
        <f>_xlfn.XLOOKUP(emissions[[#This Row],[Reporting unit name]],hierarchy!$A:$A,hierarchy!$C:$C)</f>
        <v>Office</v>
      </c>
    </row>
    <row r="2324" spans="1:44" hidden="1" x14ac:dyDescent="0.25">
      <c r="A2324">
        <v>5016</v>
      </c>
      <c r="B2324" t="s">
        <v>226</v>
      </c>
      <c r="C2324" t="s">
        <v>501</v>
      </c>
      <c r="D2324" t="s">
        <v>599</v>
      </c>
      <c r="E2324" s="3">
        <v>44197</v>
      </c>
      <c r="F2324" s="3">
        <v>44561</v>
      </c>
      <c r="G2324" t="s">
        <v>141</v>
      </c>
      <c r="H2324" s="3">
        <v>44197</v>
      </c>
      <c r="I2324" s="3">
        <v>44561</v>
      </c>
      <c r="J2324" t="s">
        <v>142</v>
      </c>
      <c r="K2324">
        <v>0</v>
      </c>
      <c r="L2324" t="s">
        <v>143</v>
      </c>
      <c r="M2324" t="s">
        <v>82</v>
      </c>
      <c r="O2324" t="s">
        <v>600</v>
      </c>
      <c r="P2324" t="s">
        <v>550</v>
      </c>
      <c r="Q2324">
        <v>2021</v>
      </c>
      <c r="R2324" t="s">
        <v>612</v>
      </c>
      <c r="S2324" t="s">
        <v>613</v>
      </c>
      <c r="T2324" t="s">
        <v>553</v>
      </c>
      <c r="U2324" t="b">
        <v>0</v>
      </c>
      <c r="V2324" t="s">
        <v>614</v>
      </c>
      <c r="W2324" t="s">
        <v>587</v>
      </c>
      <c r="X2324" t="s">
        <v>556</v>
      </c>
      <c r="AC2324">
        <v>1</v>
      </c>
      <c r="AD2324" t="s">
        <v>564</v>
      </c>
      <c r="AE2324">
        <v>0</v>
      </c>
      <c r="AF2324">
        <v>2.6680700000000002</v>
      </c>
      <c r="AG2324" t="s">
        <v>588</v>
      </c>
      <c r="AH2324">
        <v>1</v>
      </c>
      <c r="AI2324">
        <v>0</v>
      </c>
      <c r="AJ2324" t="s">
        <v>561</v>
      </c>
      <c r="AK2324" t="s">
        <v>589</v>
      </c>
      <c r="AL2324" t="s">
        <v>603</v>
      </c>
      <c r="AM2324">
        <v>2021</v>
      </c>
      <c r="AN2324">
        <v>2019</v>
      </c>
      <c r="AO2324">
        <f>IF(AND(emissions[[#This Row],[Market-based]]=0,emissions[[#This Row],[Impact Type]]="CO2E"),emissions[[#This Row],[kgCO2e]],0)/1000</f>
        <v>0</v>
      </c>
      <c r="AP2324">
        <f>IF(AND(emissions[[#This Row],[Market-based]]=1,OR(emissions[[#This Row],[Impact Type]]="CO2E",emissions[[#This Row],[Impact Type]]="CO2E MKT")),emissions[[#This Row],[kgCO2e]],0)/1000</f>
        <v>0</v>
      </c>
      <c r="AQ2324" t="str">
        <f>_xlfn.TEXTAFTER(emissions[[#This Row],[Reporting Unit]]," &gt; ",LEN(emissions[[#This Row],[Reporting Unit]])-LEN(SUBSTITUTE(emissions[[#This Row],[Reporting Unit]],"&gt;","")))</f>
        <v>Vantage_Lima</v>
      </c>
      <c r="AR2324" t="str">
        <f>_xlfn.XLOOKUP(emissions[[#This Row],[Reporting unit name]],hierarchy!$A:$A,hierarchy!$C:$C)</f>
        <v>Office</v>
      </c>
    </row>
    <row r="2325" spans="1:44" hidden="1" x14ac:dyDescent="0.25">
      <c r="A2325">
        <v>5016</v>
      </c>
      <c r="B2325" t="s">
        <v>226</v>
      </c>
      <c r="C2325" t="s">
        <v>501</v>
      </c>
      <c r="D2325" t="s">
        <v>599</v>
      </c>
      <c r="E2325" s="3">
        <v>44197</v>
      </c>
      <c r="F2325" s="3">
        <v>44561</v>
      </c>
      <c r="G2325" t="s">
        <v>141</v>
      </c>
      <c r="H2325" s="3">
        <v>44197</v>
      </c>
      <c r="I2325" s="3">
        <v>44561</v>
      </c>
      <c r="J2325" t="s">
        <v>142</v>
      </c>
      <c r="K2325">
        <v>0</v>
      </c>
      <c r="L2325" t="s">
        <v>143</v>
      </c>
      <c r="M2325" t="s">
        <v>82</v>
      </c>
      <c r="O2325" t="s">
        <v>600</v>
      </c>
      <c r="P2325" t="s">
        <v>550</v>
      </c>
      <c r="Q2325">
        <v>2021</v>
      </c>
      <c r="R2325" t="s">
        <v>612</v>
      </c>
      <c r="S2325" t="s">
        <v>613</v>
      </c>
      <c r="T2325" t="s">
        <v>553</v>
      </c>
      <c r="U2325" t="b">
        <v>0</v>
      </c>
      <c r="V2325" t="s">
        <v>614</v>
      </c>
      <c r="W2325" t="s">
        <v>587</v>
      </c>
      <c r="X2325" t="s">
        <v>556</v>
      </c>
      <c r="AC2325">
        <v>1</v>
      </c>
      <c r="AD2325" t="s">
        <v>565</v>
      </c>
      <c r="AE2325">
        <v>0</v>
      </c>
      <c r="AF2325">
        <v>2.70553</v>
      </c>
      <c r="AG2325" t="s">
        <v>588</v>
      </c>
      <c r="AH2325">
        <v>1</v>
      </c>
      <c r="AI2325">
        <v>0</v>
      </c>
      <c r="AJ2325" t="s">
        <v>561</v>
      </c>
      <c r="AK2325" t="s">
        <v>589</v>
      </c>
      <c r="AL2325" t="s">
        <v>603</v>
      </c>
      <c r="AM2325">
        <v>2021</v>
      </c>
      <c r="AN2325">
        <v>2019</v>
      </c>
      <c r="AO2325">
        <f>IF(AND(emissions[[#This Row],[Market-based]]=0,emissions[[#This Row],[Impact Type]]="CO2E"),emissions[[#This Row],[kgCO2e]],0)/1000</f>
        <v>0</v>
      </c>
      <c r="AP2325">
        <f>IF(AND(emissions[[#This Row],[Market-based]]=1,OR(emissions[[#This Row],[Impact Type]]="CO2E",emissions[[#This Row],[Impact Type]]="CO2E MKT")),emissions[[#This Row],[kgCO2e]],0)/1000</f>
        <v>0</v>
      </c>
      <c r="AQ2325" t="str">
        <f>_xlfn.TEXTAFTER(emissions[[#This Row],[Reporting Unit]]," &gt; ",LEN(emissions[[#This Row],[Reporting Unit]])-LEN(SUBSTITUTE(emissions[[#This Row],[Reporting Unit]],"&gt;","")))</f>
        <v>Vantage_Lima</v>
      </c>
      <c r="AR2325" t="str">
        <f>_xlfn.XLOOKUP(emissions[[#This Row],[Reporting unit name]],hierarchy!$A:$A,hierarchy!$C:$C)</f>
        <v>Office</v>
      </c>
    </row>
    <row r="2326" spans="1:44" hidden="1" x14ac:dyDescent="0.25">
      <c r="A2326">
        <v>5016</v>
      </c>
      <c r="B2326" t="s">
        <v>226</v>
      </c>
      <c r="C2326" t="s">
        <v>501</v>
      </c>
      <c r="D2326" t="s">
        <v>599</v>
      </c>
      <c r="E2326" s="3">
        <v>44197</v>
      </c>
      <c r="F2326" s="3">
        <v>44561</v>
      </c>
      <c r="G2326" t="s">
        <v>141</v>
      </c>
      <c r="H2326" s="3">
        <v>44197</v>
      </c>
      <c r="I2326" s="3">
        <v>44561</v>
      </c>
      <c r="J2326" t="s">
        <v>142</v>
      </c>
      <c r="K2326">
        <v>0</v>
      </c>
      <c r="L2326" t="s">
        <v>143</v>
      </c>
      <c r="M2326" t="s">
        <v>82</v>
      </c>
      <c r="O2326" t="s">
        <v>600</v>
      </c>
      <c r="P2326" t="s">
        <v>550</v>
      </c>
      <c r="Q2326">
        <v>2021</v>
      </c>
      <c r="R2326" t="s">
        <v>612</v>
      </c>
      <c r="S2326" t="s">
        <v>613</v>
      </c>
      <c r="T2326" t="s">
        <v>553</v>
      </c>
      <c r="U2326" t="b">
        <v>0</v>
      </c>
      <c r="V2326" t="s">
        <v>614</v>
      </c>
      <c r="W2326" t="s">
        <v>587</v>
      </c>
      <c r="X2326" t="s">
        <v>556</v>
      </c>
      <c r="AC2326">
        <v>1</v>
      </c>
      <c r="AD2326" t="s">
        <v>566</v>
      </c>
      <c r="AE2326">
        <v>0</v>
      </c>
      <c r="AF2326">
        <v>3.7199999999999997E-2</v>
      </c>
      <c r="AG2326" t="s">
        <v>588</v>
      </c>
      <c r="AH2326">
        <v>1</v>
      </c>
      <c r="AI2326">
        <v>0</v>
      </c>
      <c r="AJ2326" t="s">
        <v>561</v>
      </c>
      <c r="AK2326" t="s">
        <v>589</v>
      </c>
      <c r="AL2326" t="s">
        <v>603</v>
      </c>
      <c r="AM2326">
        <v>2021</v>
      </c>
      <c r="AN2326">
        <v>2019</v>
      </c>
      <c r="AO2326">
        <f>IF(AND(emissions[[#This Row],[Market-based]]=0,emissions[[#This Row],[Impact Type]]="CO2E"),emissions[[#This Row],[kgCO2e]],0)/1000</f>
        <v>0</v>
      </c>
      <c r="AP2326">
        <f>IF(AND(emissions[[#This Row],[Market-based]]=1,OR(emissions[[#This Row],[Impact Type]]="CO2E",emissions[[#This Row],[Impact Type]]="CO2E MKT")),emissions[[#This Row],[kgCO2e]],0)/1000</f>
        <v>0</v>
      </c>
      <c r="AQ2326" t="str">
        <f>_xlfn.TEXTAFTER(emissions[[#This Row],[Reporting Unit]]," &gt; ",LEN(emissions[[#This Row],[Reporting Unit]])-LEN(SUBSTITUTE(emissions[[#This Row],[Reporting Unit]],"&gt;","")))</f>
        <v>Vantage_Lima</v>
      </c>
      <c r="AR2326" t="str">
        <f>_xlfn.XLOOKUP(emissions[[#This Row],[Reporting unit name]],hierarchy!$A:$A,hierarchy!$C:$C)</f>
        <v>Office</v>
      </c>
    </row>
    <row r="2327" spans="1:44" hidden="1" x14ac:dyDescent="0.25">
      <c r="A2327">
        <v>5016</v>
      </c>
      <c r="B2327" t="s">
        <v>226</v>
      </c>
      <c r="C2327" t="s">
        <v>501</v>
      </c>
      <c r="D2327" t="s">
        <v>599</v>
      </c>
      <c r="E2327" s="3">
        <v>44197</v>
      </c>
      <c r="F2327" s="3">
        <v>44561</v>
      </c>
      <c r="G2327" t="s">
        <v>141</v>
      </c>
      <c r="H2327" s="3">
        <v>44197</v>
      </c>
      <c r="I2327" s="3">
        <v>44561</v>
      </c>
      <c r="J2327" t="s">
        <v>142</v>
      </c>
      <c r="K2327">
        <v>0</v>
      </c>
      <c r="L2327" t="s">
        <v>143</v>
      </c>
      <c r="M2327" t="s">
        <v>82</v>
      </c>
      <c r="O2327" t="s">
        <v>600</v>
      </c>
      <c r="P2327" t="s">
        <v>550</v>
      </c>
      <c r="Q2327">
        <v>2021</v>
      </c>
      <c r="R2327" t="s">
        <v>615</v>
      </c>
      <c r="S2327" t="s">
        <v>616</v>
      </c>
      <c r="T2327" t="s">
        <v>577</v>
      </c>
      <c r="U2327" t="b">
        <v>0</v>
      </c>
      <c r="V2327" t="s">
        <v>617</v>
      </c>
      <c r="W2327" t="s">
        <v>571</v>
      </c>
      <c r="X2327" t="s">
        <v>572</v>
      </c>
      <c r="AC2327">
        <v>0</v>
      </c>
      <c r="AD2327" t="s">
        <v>565</v>
      </c>
      <c r="AE2327">
        <v>0</v>
      </c>
      <c r="AF2327">
        <v>0.62873999999999997</v>
      </c>
      <c r="AG2327" t="s">
        <v>588</v>
      </c>
      <c r="AH2327">
        <v>1</v>
      </c>
      <c r="AI2327">
        <v>0</v>
      </c>
      <c r="AJ2327" t="s">
        <v>561</v>
      </c>
      <c r="AK2327" t="s">
        <v>589</v>
      </c>
      <c r="AL2327" t="s">
        <v>603</v>
      </c>
      <c r="AM2327">
        <v>2021</v>
      </c>
      <c r="AN2327">
        <v>2019</v>
      </c>
      <c r="AO2327">
        <f>IF(AND(emissions[[#This Row],[Market-based]]=0,emissions[[#This Row],[Impact Type]]="CO2E"),emissions[[#This Row],[kgCO2e]],0)/1000</f>
        <v>0</v>
      </c>
      <c r="AP2327">
        <f>IF(AND(emissions[[#This Row],[Market-based]]=1,OR(emissions[[#This Row],[Impact Type]]="CO2E",emissions[[#This Row],[Impact Type]]="CO2E MKT")),emissions[[#This Row],[kgCO2e]],0)/1000</f>
        <v>0</v>
      </c>
      <c r="AQ2327" t="str">
        <f>_xlfn.TEXTAFTER(emissions[[#This Row],[Reporting Unit]]," &gt; ",LEN(emissions[[#This Row],[Reporting Unit]])-LEN(SUBSTITUTE(emissions[[#This Row],[Reporting Unit]],"&gt;","")))</f>
        <v>Vantage_Lima</v>
      </c>
      <c r="AR2327" t="str">
        <f>_xlfn.XLOOKUP(emissions[[#This Row],[Reporting unit name]],hierarchy!$A:$A,hierarchy!$C:$C)</f>
        <v>Office</v>
      </c>
    </row>
    <row r="2328" spans="1:44" hidden="1" x14ac:dyDescent="0.25">
      <c r="A2328">
        <v>5016</v>
      </c>
      <c r="B2328" t="s">
        <v>226</v>
      </c>
      <c r="C2328" t="s">
        <v>501</v>
      </c>
      <c r="D2328" t="s">
        <v>599</v>
      </c>
      <c r="E2328" s="3">
        <v>44197</v>
      </c>
      <c r="F2328" s="3">
        <v>44561</v>
      </c>
      <c r="G2328" t="s">
        <v>141</v>
      </c>
      <c r="H2328" s="3">
        <v>44197</v>
      </c>
      <c r="I2328" s="3">
        <v>44561</v>
      </c>
      <c r="J2328" t="s">
        <v>142</v>
      </c>
      <c r="K2328">
        <v>0</v>
      </c>
      <c r="L2328" t="s">
        <v>143</v>
      </c>
      <c r="M2328" t="s">
        <v>82</v>
      </c>
      <c r="O2328" t="s">
        <v>600</v>
      </c>
      <c r="P2328" t="s">
        <v>550</v>
      </c>
      <c r="Q2328">
        <v>2021</v>
      </c>
      <c r="R2328" t="s">
        <v>615</v>
      </c>
      <c r="S2328" t="s">
        <v>616</v>
      </c>
      <c r="T2328" t="s">
        <v>577</v>
      </c>
      <c r="U2328" t="b">
        <v>0</v>
      </c>
      <c r="V2328" t="s">
        <v>617</v>
      </c>
      <c r="W2328" t="s">
        <v>571</v>
      </c>
      <c r="X2328" t="s">
        <v>572</v>
      </c>
      <c r="AC2328">
        <v>1</v>
      </c>
      <c r="AD2328" t="s">
        <v>565</v>
      </c>
      <c r="AE2328">
        <v>0</v>
      </c>
      <c r="AF2328">
        <v>0.62873999999999997</v>
      </c>
      <c r="AG2328" t="s">
        <v>588</v>
      </c>
      <c r="AH2328">
        <v>1</v>
      </c>
      <c r="AI2328">
        <v>0</v>
      </c>
      <c r="AJ2328" t="s">
        <v>561</v>
      </c>
      <c r="AK2328" t="s">
        <v>589</v>
      </c>
      <c r="AL2328" t="s">
        <v>603</v>
      </c>
      <c r="AM2328">
        <v>2021</v>
      </c>
      <c r="AN2328">
        <v>2019</v>
      </c>
      <c r="AO2328">
        <f>IF(AND(emissions[[#This Row],[Market-based]]=0,emissions[[#This Row],[Impact Type]]="CO2E"),emissions[[#This Row],[kgCO2e]],0)/1000</f>
        <v>0</v>
      </c>
      <c r="AP2328">
        <f>IF(AND(emissions[[#This Row],[Market-based]]=1,OR(emissions[[#This Row],[Impact Type]]="CO2E",emissions[[#This Row],[Impact Type]]="CO2E MKT")),emissions[[#This Row],[kgCO2e]],0)/1000</f>
        <v>0</v>
      </c>
      <c r="AQ2328" t="str">
        <f>_xlfn.TEXTAFTER(emissions[[#This Row],[Reporting Unit]]," &gt; ",LEN(emissions[[#This Row],[Reporting Unit]])-LEN(SUBSTITUTE(emissions[[#This Row],[Reporting Unit]],"&gt;","")))</f>
        <v>Vantage_Lima</v>
      </c>
      <c r="AR2328" t="str">
        <f>_xlfn.XLOOKUP(emissions[[#This Row],[Reporting unit name]],hierarchy!$A:$A,hierarchy!$C:$C)</f>
        <v>Office</v>
      </c>
    </row>
    <row r="2329" spans="1:44" hidden="1" x14ac:dyDescent="0.25">
      <c r="A2329">
        <v>5041</v>
      </c>
      <c r="B2329" t="s">
        <v>226</v>
      </c>
      <c r="C2329" t="s">
        <v>501</v>
      </c>
      <c r="D2329" t="s">
        <v>599</v>
      </c>
      <c r="E2329" s="3">
        <v>44197</v>
      </c>
      <c r="F2329" s="3">
        <v>44561</v>
      </c>
      <c r="G2329" t="s">
        <v>116</v>
      </c>
      <c r="H2329" s="3">
        <v>44197</v>
      </c>
      <c r="I2329" s="3">
        <v>44561</v>
      </c>
      <c r="J2329" t="s">
        <v>128</v>
      </c>
      <c r="K2329">
        <v>0.47</v>
      </c>
      <c r="L2329" t="s">
        <v>118</v>
      </c>
      <c r="M2329" t="s">
        <v>82</v>
      </c>
      <c r="O2329" t="s">
        <v>618</v>
      </c>
      <c r="P2329" t="s">
        <v>550</v>
      </c>
      <c r="Q2329">
        <v>2021</v>
      </c>
      <c r="R2329" t="s">
        <v>619</v>
      </c>
      <c r="S2329" t="s">
        <v>620</v>
      </c>
      <c r="T2329" t="s">
        <v>553</v>
      </c>
      <c r="U2329" t="b">
        <v>0</v>
      </c>
      <c r="V2329" t="s">
        <v>621</v>
      </c>
      <c r="W2329" t="s">
        <v>587</v>
      </c>
      <c r="X2329" t="s">
        <v>556</v>
      </c>
      <c r="AC2329">
        <v>0</v>
      </c>
      <c r="AD2329" t="s">
        <v>565</v>
      </c>
      <c r="AE2329">
        <v>672.1</v>
      </c>
      <c r="AF2329">
        <v>1430</v>
      </c>
      <c r="AG2329" t="s">
        <v>622</v>
      </c>
      <c r="AH2329">
        <v>1</v>
      </c>
      <c r="AI2329">
        <v>0.47</v>
      </c>
      <c r="AJ2329" t="s">
        <v>561</v>
      </c>
      <c r="AK2329" t="s">
        <v>623</v>
      </c>
      <c r="AL2329" t="s">
        <v>624</v>
      </c>
      <c r="AM2329">
        <v>2021</v>
      </c>
      <c r="AN2329">
        <v>2007</v>
      </c>
      <c r="AO2329">
        <f>IF(AND(emissions[[#This Row],[Market-based]]=0,emissions[[#This Row],[Impact Type]]="CO2E"),emissions[[#This Row],[kgCO2e]],0)/1000</f>
        <v>0.67210000000000003</v>
      </c>
      <c r="AP2329">
        <f>IF(AND(emissions[[#This Row],[Market-based]]=1,OR(emissions[[#This Row],[Impact Type]]="CO2E",emissions[[#This Row],[Impact Type]]="CO2E MKT")),emissions[[#This Row],[kgCO2e]],0)/1000</f>
        <v>0</v>
      </c>
      <c r="AQ2329" t="str">
        <f>_xlfn.TEXTAFTER(emissions[[#This Row],[Reporting Unit]]," &gt; ",LEN(emissions[[#This Row],[Reporting Unit]])-LEN(SUBSTITUTE(emissions[[#This Row],[Reporting Unit]],"&gt;","")))</f>
        <v>Vantage_Lima</v>
      </c>
      <c r="AR2329" t="str">
        <f>_xlfn.XLOOKUP(emissions[[#This Row],[Reporting unit name]],hierarchy!$A:$A,hierarchy!$C:$C)</f>
        <v>Office</v>
      </c>
    </row>
    <row r="2330" spans="1:44" hidden="1" x14ac:dyDescent="0.25">
      <c r="A2330">
        <v>5041</v>
      </c>
      <c r="B2330" t="s">
        <v>226</v>
      </c>
      <c r="C2330" t="s">
        <v>501</v>
      </c>
      <c r="D2330" t="s">
        <v>599</v>
      </c>
      <c r="E2330" s="3">
        <v>44197</v>
      </c>
      <c r="F2330" s="3">
        <v>44561</v>
      </c>
      <c r="G2330" t="s">
        <v>116</v>
      </c>
      <c r="H2330" s="3">
        <v>44197</v>
      </c>
      <c r="I2330" s="3">
        <v>44561</v>
      </c>
      <c r="J2330" t="s">
        <v>128</v>
      </c>
      <c r="K2330">
        <v>0.47</v>
      </c>
      <c r="L2330" t="s">
        <v>118</v>
      </c>
      <c r="M2330" t="s">
        <v>82</v>
      </c>
      <c r="O2330" t="s">
        <v>618</v>
      </c>
      <c r="P2330" t="s">
        <v>550</v>
      </c>
      <c r="Q2330">
        <v>2021</v>
      </c>
      <c r="R2330" t="s">
        <v>619</v>
      </c>
      <c r="S2330" t="s">
        <v>620</v>
      </c>
      <c r="T2330" t="s">
        <v>553</v>
      </c>
      <c r="U2330" t="b">
        <v>0</v>
      </c>
      <c r="V2330" t="s">
        <v>621</v>
      </c>
      <c r="W2330" t="s">
        <v>587</v>
      </c>
      <c r="X2330" t="s">
        <v>556</v>
      </c>
      <c r="AC2330">
        <v>1</v>
      </c>
      <c r="AD2330" t="s">
        <v>565</v>
      </c>
      <c r="AE2330">
        <v>672.1</v>
      </c>
      <c r="AF2330">
        <v>1430</v>
      </c>
      <c r="AG2330" t="s">
        <v>622</v>
      </c>
      <c r="AH2330">
        <v>1</v>
      </c>
      <c r="AI2330">
        <v>0.47</v>
      </c>
      <c r="AJ2330" t="s">
        <v>561</v>
      </c>
      <c r="AK2330" t="s">
        <v>623</v>
      </c>
      <c r="AL2330" t="s">
        <v>624</v>
      </c>
      <c r="AM2330">
        <v>2021</v>
      </c>
      <c r="AN2330">
        <v>2007</v>
      </c>
      <c r="AO2330">
        <f>IF(AND(emissions[[#This Row],[Market-based]]=0,emissions[[#This Row],[Impact Type]]="CO2E"),emissions[[#This Row],[kgCO2e]],0)/1000</f>
        <v>0</v>
      </c>
      <c r="AP2330">
        <f>IF(AND(emissions[[#This Row],[Market-based]]=1,OR(emissions[[#This Row],[Impact Type]]="CO2E",emissions[[#This Row],[Impact Type]]="CO2E MKT")),emissions[[#This Row],[kgCO2e]],0)/1000</f>
        <v>0.67210000000000003</v>
      </c>
      <c r="AQ2330" t="str">
        <f>_xlfn.TEXTAFTER(emissions[[#This Row],[Reporting Unit]]," &gt; ",LEN(emissions[[#This Row],[Reporting Unit]])-LEN(SUBSTITUTE(emissions[[#This Row],[Reporting Unit]],"&gt;","")))</f>
        <v>Vantage_Lima</v>
      </c>
      <c r="AR2330" t="str">
        <f>_xlfn.XLOOKUP(emissions[[#This Row],[Reporting unit name]],hierarchy!$A:$A,hierarchy!$C:$C)</f>
        <v>Office</v>
      </c>
    </row>
    <row r="2331" spans="1:44" hidden="1" x14ac:dyDescent="0.25">
      <c r="A2331">
        <v>237705</v>
      </c>
      <c r="B2331" t="s">
        <v>221</v>
      </c>
      <c r="C2331" t="s">
        <v>525</v>
      </c>
      <c r="D2331" t="s">
        <v>548</v>
      </c>
      <c r="E2331" s="3">
        <v>44562</v>
      </c>
      <c r="F2331" s="3">
        <v>44926</v>
      </c>
      <c r="G2331" t="s">
        <v>108</v>
      </c>
      <c r="H2331" s="3">
        <v>44562</v>
      </c>
      <c r="I2331" s="3">
        <v>44926</v>
      </c>
      <c r="J2331" t="s">
        <v>108</v>
      </c>
      <c r="K2331">
        <v>12116</v>
      </c>
      <c r="L2331" t="s">
        <v>109</v>
      </c>
      <c r="M2331" t="s">
        <v>110</v>
      </c>
      <c r="O2331" t="s">
        <v>1042</v>
      </c>
      <c r="P2331" t="s">
        <v>550</v>
      </c>
      <c r="Q2331">
        <v>2022</v>
      </c>
      <c r="R2331" t="s">
        <v>551</v>
      </c>
      <c r="S2331" t="s">
        <v>552</v>
      </c>
      <c r="T2331" t="s">
        <v>553</v>
      </c>
      <c r="U2331" t="b">
        <v>0</v>
      </c>
      <c r="V2331" t="s">
        <v>1043</v>
      </c>
      <c r="W2331" t="s">
        <v>555</v>
      </c>
      <c r="X2331" t="s">
        <v>556</v>
      </c>
      <c r="Y2331" t="s">
        <v>472</v>
      </c>
      <c r="Z2331" t="s">
        <v>491</v>
      </c>
      <c r="AA2331" t="s">
        <v>1044</v>
      </c>
      <c r="AC2331">
        <v>0</v>
      </c>
      <c r="AD2331" t="s">
        <v>558</v>
      </c>
      <c r="AE2331">
        <v>1.2116</v>
      </c>
      <c r="AF2331" t="s">
        <v>559</v>
      </c>
      <c r="AG2331" t="s">
        <v>560</v>
      </c>
      <c r="AH2331">
        <v>1</v>
      </c>
      <c r="AI2331">
        <v>12116</v>
      </c>
      <c r="AJ2331" t="s">
        <v>561</v>
      </c>
      <c r="AK2331" t="s">
        <v>562</v>
      </c>
      <c r="AL2331" t="s">
        <v>563</v>
      </c>
      <c r="AM2331">
        <v>2022</v>
      </c>
      <c r="AN2331">
        <v>2020</v>
      </c>
      <c r="AO2331">
        <f>IF(AND(emissions[[#This Row],[Market-based]]=0,emissions[[#This Row],[Impact Type]]="CO2E"),emissions[[#This Row],[kgCO2e]],0)/1000</f>
        <v>0</v>
      </c>
      <c r="AP2331">
        <f>IF(AND(emissions[[#This Row],[Market-based]]=1,OR(emissions[[#This Row],[Impact Type]]="CO2E",emissions[[#This Row],[Impact Type]]="CO2E MKT")),emissions[[#This Row],[kgCO2e]],0)/1000</f>
        <v>0</v>
      </c>
      <c r="AQ2331" t="str">
        <f>_xlfn.TEXTAFTER(emissions[[#This Row],[Reporting Unit]]," &gt; ",LEN(emissions[[#This Row],[Reporting Unit]])-LEN(SUBSTITUTE(emissions[[#This Row],[Reporting Unit]],"&gt;","")))</f>
        <v>Vantage_Santiago</v>
      </c>
      <c r="AR2331" t="str">
        <f>_xlfn.XLOOKUP(emissions[[#This Row],[Reporting unit name]],hierarchy!$A:$A,hierarchy!$C:$C)</f>
        <v>Unspecified Facility Type</v>
      </c>
    </row>
    <row r="2332" spans="1:44" hidden="1" x14ac:dyDescent="0.25">
      <c r="A2332">
        <v>237705</v>
      </c>
      <c r="B2332" t="s">
        <v>221</v>
      </c>
      <c r="C2332" t="s">
        <v>525</v>
      </c>
      <c r="D2332" t="s">
        <v>548</v>
      </c>
      <c r="E2332" s="3">
        <v>44562</v>
      </c>
      <c r="F2332" s="3">
        <v>44926</v>
      </c>
      <c r="G2332" t="s">
        <v>108</v>
      </c>
      <c r="H2332" s="3">
        <v>44562</v>
      </c>
      <c r="I2332" s="3">
        <v>44926</v>
      </c>
      <c r="J2332" t="s">
        <v>108</v>
      </c>
      <c r="K2332">
        <v>12116</v>
      </c>
      <c r="L2332" t="s">
        <v>109</v>
      </c>
      <c r="M2332" t="s">
        <v>110</v>
      </c>
      <c r="O2332" t="s">
        <v>1042</v>
      </c>
      <c r="P2332" t="s">
        <v>550</v>
      </c>
      <c r="Q2332">
        <v>2022</v>
      </c>
      <c r="R2332" t="s">
        <v>551</v>
      </c>
      <c r="S2332" t="s">
        <v>552</v>
      </c>
      <c r="T2332" t="s">
        <v>553</v>
      </c>
      <c r="U2332" t="b">
        <v>0</v>
      </c>
      <c r="V2332" t="s">
        <v>1043</v>
      </c>
      <c r="W2332" t="s">
        <v>555</v>
      </c>
      <c r="X2332" t="s">
        <v>556</v>
      </c>
      <c r="Y2332" t="s">
        <v>472</v>
      </c>
      <c r="Z2332" t="s">
        <v>491</v>
      </c>
      <c r="AA2332" t="s">
        <v>1044</v>
      </c>
      <c r="AC2332">
        <v>0</v>
      </c>
      <c r="AD2332" t="s">
        <v>564</v>
      </c>
      <c r="AE2332">
        <v>5065.6995999999999</v>
      </c>
      <c r="AF2332" t="s">
        <v>559</v>
      </c>
      <c r="AG2332" t="s">
        <v>560</v>
      </c>
      <c r="AH2332">
        <v>1</v>
      </c>
      <c r="AI2332">
        <v>12116</v>
      </c>
      <c r="AJ2332" t="s">
        <v>561</v>
      </c>
      <c r="AK2332" t="s">
        <v>562</v>
      </c>
      <c r="AL2332" t="s">
        <v>563</v>
      </c>
      <c r="AM2332">
        <v>2022</v>
      </c>
      <c r="AN2332">
        <v>2020</v>
      </c>
      <c r="AO2332">
        <f>IF(AND(emissions[[#This Row],[Market-based]]=0,emissions[[#This Row],[Impact Type]]="CO2E"),emissions[[#This Row],[kgCO2e]],0)/1000</f>
        <v>0</v>
      </c>
      <c r="AP2332">
        <f>IF(AND(emissions[[#This Row],[Market-based]]=1,OR(emissions[[#This Row],[Impact Type]]="CO2E",emissions[[#This Row],[Impact Type]]="CO2E MKT")),emissions[[#This Row],[kgCO2e]],0)/1000</f>
        <v>0</v>
      </c>
      <c r="AQ2332" t="str">
        <f>_xlfn.TEXTAFTER(emissions[[#This Row],[Reporting Unit]]," &gt; ",LEN(emissions[[#This Row],[Reporting Unit]])-LEN(SUBSTITUTE(emissions[[#This Row],[Reporting Unit]],"&gt;","")))</f>
        <v>Vantage_Santiago</v>
      </c>
      <c r="AR2332" t="str">
        <f>_xlfn.XLOOKUP(emissions[[#This Row],[Reporting unit name]],hierarchy!$A:$A,hierarchy!$C:$C)</f>
        <v>Unspecified Facility Type</v>
      </c>
    </row>
    <row r="2333" spans="1:44" hidden="1" x14ac:dyDescent="0.25">
      <c r="A2333">
        <v>237705</v>
      </c>
      <c r="B2333" t="s">
        <v>221</v>
      </c>
      <c r="C2333" t="s">
        <v>525</v>
      </c>
      <c r="D2333" t="s">
        <v>548</v>
      </c>
      <c r="E2333" s="3">
        <v>44562</v>
      </c>
      <c r="F2333" s="3">
        <v>44926</v>
      </c>
      <c r="G2333" t="s">
        <v>108</v>
      </c>
      <c r="H2333" s="3">
        <v>44562</v>
      </c>
      <c r="I2333" s="3">
        <v>44926</v>
      </c>
      <c r="J2333" t="s">
        <v>108</v>
      </c>
      <c r="K2333">
        <v>12116</v>
      </c>
      <c r="L2333" t="s">
        <v>109</v>
      </c>
      <c r="M2333" t="s">
        <v>110</v>
      </c>
      <c r="O2333" t="s">
        <v>1042</v>
      </c>
      <c r="P2333" t="s">
        <v>550</v>
      </c>
      <c r="Q2333">
        <v>2022</v>
      </c>
      <c r="R2333" t="s">
        <v>551</v>
      </c>
      <c r="S2333" t="s">
        <v>552</v>
      </c>
      <c r="T2333" t="s">
        <v>553</v>
      </c>
      <c r="U2333" t="b">
        <v>0</v>
      </c>
      <c r="V2333" t="s">
        <v>1043</v>
      </c>
      <c r="W2333" t="s">
        <v>555</v>
      </c>
      <c r="X2333" t="s">
        <v>556</v>
      </c>
      <c r="Y2333" t="s">
        <v>472</v>
      </c>
      <c r="Z2333" t="s">
        <v>491</v>
      </c>
      <c r="AA2333" t="s">
        <v>1044</v>
      </c>
      <c r="AC2333">
        <v>0</v>
      </c>
      <c r="AD2333" t="s">
        <v>565</v>
      </c>
      <c r="AE2333">
        <v>5086.2968000000001</v>
      </c>
      <c r="AF2333" t="s">
        <v>559</v>
      </c>
      <c r="AG2333" t="s">
        <v>560</v>
      </c>
      <c r="AH2333">
        <v>1</v>
      </c>
      <c r="AI2333">
        <v>12116</v>
      </c>
      <c r="AJ2333" t="s">
        <v>561</v>
      </c>
      <c r="AK2333" t="s">
        <v>562</v>
      </c>
      <c r="AL2333" t="s">
        <v>563</v>
      </c>
      <c r="AM2333">
        <v>2022</v>
      </c>
      <c r="AN2333">
        <v>2020</v>
      </c>
      <c r="AO2333">
        <f>IF(AND(emissions[[#This Row],[Market-based]]=0,emissions[[#This Row],[Impact Type]]="CO2E"),emissions[[#This Row],[kgCO2e]],0)/1000</f>
        <v>5.0862968000000004</v>
      </c>
      <c r="AP2333">
        <f>IF(AND(emissions[[#This Row],[Market-based]]=1,OR(emissions[[#This Row],[Impact Type]]="CO2E",emissions[[#This Row],[Impact Type]]="CO2E MKT")),emissions[[#This Row],[kgCO2e]],0)/1000</f>
        <v>0</v>
      </c>
      <c r="AQ2333" t="str">
        <f>_xlfn.TEXTAFTER(emissions[[#This Row],[Reporting Unit]]," &gt; ",LEN(emissions[[#This Row],[Reporting Unit]])-LEN(SUBSTITUTE(emissions[[#This Row],[Reporting Unit]],"&gt;","")))</f>
        <v>Vantage_Santiago</v>
      </c>
      <c r="AR2333" t="str">
        <f>_xlfn.XLOOKUP(emissions[[#This Row],[Reporting unit name]],hierarchy!$A:$A,hierarchy!$C:$C)</f>
        <v>Unspecified Facility Type</v>
      </c>
    </row>
    <row r="2334" spans="1:44" hidden="1" x14ac:dyDescent="0.25">
      <c r="A2334">
        <v>237705</v>
      </c>
      <c r="B2334" t="s">
        <v>221</v>
      </c>
      <c r="C2334" t="s">
        <v>525</v>
      </c>
      <c r="D2334" t="s">
        <v>548</v>
      </c>
      <c r="E2334" s="3">
        <v>44562</v>
      </c>
      <c r="F2334" s="3">
        <v>44926</v>
      </c>
      <c r="G2334" t="s">
        <v>108</v>
      </c>
      <c r="H2334" s="3">
        <v>44562</v>
      </c>
      <c r="I2334" s="3">
        <v>44926</v>
      </c>
      <c r="J2334" t="s">
        <v>108</v>
      </c>
      <c r="K2334">
        <v>12116</v>
      </c>
      <c r="L2334" t="s">
        <v>109</v>
      </c>
      <c r="M2334" t="s">
        <v>110</v>
      </c>
      <c r="O2334" t="s">
        <v>1042</v>
      </c>
      <c r="P2334" t="s">
        <v>550</v>
      </c>
      <c r="Q2334">
        <v>2022</v>
      </c>
      <c r="R2334" t="s">
        <v>551</v>
      </c>
      <c r="S2334" t="s">
        <v>552</v>
      </c>
      <c r="T2334" t="s">
        <v>553</v>
      </c>
      <c r="U2334" t="b">
        <v>0</v>
      </c>
      <c r="V2334" t="s">
        <v>1043</v>
      </c>
      <c r="W2334" t="s">
        <v>555</v>
      </c>
      <c r="X2334" t="s">
        <v>556</v>
      </c>
      <c r="Y2334" t="s">
        <v>472</v>
      </c>
      <c r="Z2334" t="s">
        <v>491</v>
      </c>
      <c r="AA2334" t="s">
        <v>1044</v>
      </c>
      <c r="AC2334">
        <v>0</v>
      </c>
      <c r="AD2334" t="s">
        <v>566</v>
      </c>
      <c r="AE2334">
        <v>19.3856</v>
      </c>
      <c r="AF2334" t="s">
        <v>559</v>
      </c>
      <c r="AG2334" t="s">
        <v>560</v>
      </c>
      <c r="AH2334">
        <v>1</v>
      </c>
      <c r="AI2334">
        <v>12116</v>
      </c>
      <c r="AJ2334" t="s">
        <v>561</v>
      </c>
      <c r="AK2334" t="s">
        <v>562</v>
      </c>
      <c r="AL2334" t="s">
        <v>563</v>
      </c>
      <c r="AM2334">
        <v>2022</v>
      </c>
      <c r="AN2334">
        <v>2020</v>
      </c>
      <c r="AO2334">
        <f>IF(AND(emissions[[#This Row],[Market-based]]=0,emissions[[#This Row],[Impact Type]]="CO2E"),emissions[[#This Row],[kgCO2e]],0)/1000</f>
        <v>0</v>
      </c>
      <c r="AP2334">
        <f>IF(AND(emissions[[#This Row],[Market-based]]=1,OR(emissions[[#This Row],[Impact Type]]="CO2E",emissions[[#This Row],[Impact Type]]="CO2E MKT")),emissions[[#This Row],[kgCO2e]],0)/1000</f>
        <v>0</v>
      </c>
      <c r="AQ2334" t="str">
        <f>_xlfn.TEXTAFTER(emissions[[#This Row],[Reporting Unit]]," &gt; ",LEN(emissions[[#This Row],[Reporting Unit]])-LEN(SUBSTITUTE(emissions[[#This Row],[Reporting Unit]],"&gt;","")))</f>
        <v>Vantage_Santiago</v>
      </c>
      <c r="AR2334" t="str">
        <f>_xlfn.XLOOKUP(emissions[[#This Row],[Reporting unit name]],hierarchy!$A:$A,hierarchy!$C:$C)</f>
        <v>Unspecified Facility Type</v>
      </c>
    </row>
    <row r="2335" spans="1:44" hidden="1" x14ac:dyDescent="0.25">
      <c r="A2335">
        <v>237705</v>
      </c>
      <c r="B2335" t="s">
        <v>221</v>
      </c>
      <c r="C2335" t="s">
        <v>525</v>
      </c>
      <c r="D2335" t="s">
        <v>548</v>
      </c>
      <c r="E2335" s="3">
        <v>44562</v>
      </c>
      <c r="F2335" s="3">
        <v>44926</v>
      </c>
      <c r="G2335" t="s">
        <v>108</v>
      </c>
      <c r="H2335" s="3">
        <v>44562</v>
      </c>
      <c r="I2335" s="3">
        <v>44926</v>
      </c>
      <c r="J2335" t="s">
        <v>108</v>
      </c>
      <c r="K2335">
        <v>12116</v>
      </c>
      <c r="L2335" t="s">
        <v>109</v>
      </c>
      <c r="M2335" t="s">
        <v>110</v>
      </c>
      <c r="O2335" t="s">
        <v>1042</v>
      </c>
      <c r="P2335" t="s">
        <v>550</v>
      </c>
      <c r="Q2335">
        <v>2022</v>
      </c>
      <c r="R2335" t="s">
        <v>551</v>
      </c>
      <c r="S2335" t="s">
        <v>552</v>
      </c>
      <c r="T2335" t="s">
        <v>553</v>
      </c>
      <c r="U2335" t="b">
        <v>0</v>
      </c>
      <c r="V2335" t="s">
        <v>1043</v>
      </c>
      <c r="W2335" t="s">
        <v>555</v>
      </c>
      <c r="X2335" t="s">
        <v>556</v>
      </c>
      <c r="Y2335" t="s">
        <v>472</v>
      </c>
      <c r="Z2335" t="s">
        <v>491</v>
      </c>
      <c r="AA2335" t="s">
        <v>1044</v>
      </c>
      <c r="AC2335">
        <v>1</v>
      </c>
      <c r="AD2335" t="s">
        <v>558</v>
      </c>
      <c r="AE2335">
        <v>1.2116</v>
      </c>
      <c r="AF2335" t="s">
        <v>559</v>
      </c>
      <c r="AG2335" t="s">
        <v>560</v>
      </c>
      <c r="AH2335">
        <v>1</v>
      </c>
      <c r="AI2335">
        <v>12116</v>
      </c>
      <c r="AJ2335" t="s">
        <v>561</v>
      </c>
      <c r="AK2335" t="s">
        <v>562</v>
      </c>
      <c r="AL2335" t="s">
        <v>563</v>
      </c>
      <c r="AM2335">
        <v>2022</v>
      </c>
      <c r="AN2335">
        <v>2020</v>
      </c>
      <c r="AO2335">
        <f>IF(AND(emissions[[#This Row],[Market-based]]=0,emissions[[#This Row],[Impact Type]]="CO2E"),emissions[[#This Row],[kgCO2e]],0)/1000</f>
        <v>0</v>
      </c>
      <c r="AP2335">
        <f>IF(AND(emissions[[#This Row],[Market-based]]=1,OR(emissions[[#This Row],[Impact Type]]="CO2E",emissions[[#This Row],[Impact Type]]="CO2E MKT")),emissions[[#This Row],[kgCO2e]],0)/1000</f>
        <v>0</v>
      </c>
      <c r="AQ2335" t="str">
        <f>_xlfn.TEXTAFTER(emissions[[#This Row],[Reporting Unit]]," &gt; ",LEN(emissions[[#This Row],[Reporting Unit]])-LEN(SUBSTITUTE(emissions[[#This Row],[Reporting Unit]],"&gt;","")))</f>
        <v>Vantage_Santiago</v>
      </c>
      <c r="AR2335" t="str">
        <f>_xlfn.XLOOKUP(emissions[[#This Row],[Reporting unit name]],hierarchy!$A:$A,hierarchy!$C:$C)</f>
        <v>Unspecified Facility Type</v>
      </c>
    </row>
    <row r="2336" spans="1:44" hidden="1" x14ac:dyDescent="0.25">
      <c r="A2336">
        <v>237705</v>
      </c>
      <c r="B2336" t="s">
        <v>221</v>
      </c>
      <c r="C2336" t="s">
        <v>525</v>
      </c>
      <c r="D2336" t="s">
        <v>548</v>
      </c>
      <c r="E2336" s="3">
        <v>44562</v>
      </c>
      <c r="F2336" s="3">
        <v>44926</v>
      </c>
      <c r="G2336" t="s">
        <v>108</v>
      </c>
      <c r="H2336" s="3">
        <v>44562</v>
      </c>
      <c r="I2336" s="3">
        <v>44926</v>
      </c>
      <c r="J2336" t="s">
        <v>108</v>
      </c>
      <c r="K2336">
        <v>12116</v>
      </c>
      <c r="L2336" t="s">
        <v>109</v>
      </c>
      <c r="M2336" t="s">
        <v>110</v>
      </c>
      <c r="O2336" t="s">
        <v>1042</v>
      </c>
      <c r="P2336" t="s">
        <v>550</v>
      </c>
      <c r="Q2336">
        <v>2022</v>
      </c>
      <c r="R2336" t="s">
        <v>551</v>
      </c>
      <c r="S2336" t="s">
        <v>552</v>
      </c>
      <c r="T2336" t="s">
        <v>553</v>
      </c>
      <c r="U2336" t="b">
        <v>0</v>
      </c>
      <c r="V2336" t="s">
        <v>1043</v>
      </c>
      <c r="W2336" t="s">
        <v>555</v>
      </c>
      <c r="X2336" t="s">
        <v>556</v>
      </c>
      <c r="Y2336" t="s">
        <v>472</v>
      </c>
      <c r="Z2336" t="s">
        <v>491</v>
      </c>
      <c r="AA2336" t="s">
        <v>1044</v>
      </c>
      <c r="AC2336">
        <v>1</v>
      </c>
      <c r="AD2336" t="s">
        <v>564</v>
      </c>
      <c r="AE2336">
        <v>5065.6995999999999</v>
      </c>
      <c r="AF2336" t="s">
        <v>559</v>
      </c>
      <c r="AG2336" t="s">
        <v>560</v>
      </c>
      <c r="AH2336">
        <v>1</v>
      </c>
      <c r="AI2336">
        <v>12116</v>
      </c>
      <c r="AJ2336" t="s">
        <v>561</v>
      </c>
      <c r="AK2336" t="s">
        <v>562</v>
      </c>
      <c r="AL2336" t="s">
        <v>563</v>
      </c>
      <c r="AM2336">
        <v>2022</v>
      </c>
      <c r="AN2336">
        <v>2020</v>
      </c>
      <c r="AO2336">
        <f>IF(AND(emissions[[#This Row],[Market-based]]=0,emissions[[#This Row],[Impact Type]]="CO2E"),emissions[[#This Row],[kgCO2e]],0)/1000</f>
        <v>0</v>
      </c>
      <c r="AP2336">
        <f>IF(AND(emissions[[#This Row],[Market-based]]=1,OR(emissions[[#This Row],[Impact Type]]="CO2E",emissions[[#This Row],[Impact Type]]="CO2E MKT")),emissions[[#This Row],[kgCO2e]],0)/1000</f>
        <v>0</v>
      </c>
      <c r="AQ2336" t="str">
        <f>_xlfn.TEXTAFTER(emissions[[#This Row],[Reporting Unit]]," &gt; ",LEN(emissions[[#This Row],[Reporting Unit]])-LEN(SUBSTITUTE(emissions[[#This Row],[Reporting Unit]],"&gt;","")))</f>
        <v>Vantage_Santiago</v>
      </c>
      <c r="AR2336" t="str">
        <f>_xlfn.XLOOKUP(emissions[[#This Row],[Reporting unit name]],hierarchy!$A:$A,hierarchy!$C:$C)</f>
        <v>Unspecified Facility Type</v>
      </c>
    </row>
    <row r="2337" spans="1:44" hidden="1" x14ac:dyDescent="0.25">
      <c r="A2337">
        <v>237705</v>
      </c>
      <c r="B2337" t="s">
        <v>221</v>
      </c>
      <c r="C2337" t="s">
        <v>525</v>
      </c>
      <c r="D2337" t="s">
        <v>548</v>
      </c>
      <c r="E2337" s="3">
        <v>44562</v>
      </c>
      <c r="F2337" s="3">
        <v>44926</v>
      </c>
      <c r="G2337" t="s">
        <v>108</v>
      </c>
      <c r="H2337" s="3">
        <v>44562</v>
      </c>
      <c r="I2337" s="3">
        <v>44926</v>
      </c>
      <c r="J2337" t="s">
        <v>108</v>
      </c>
      <c r="K2337">
        <v>12116</v>
      </c>
      <c r="L2337" t="s">
        <v>109</v>
      </c>
      <c r="M2337" t="s">
        <v>110</v>
      </c>
      <c r="O2337" t="s">
        <v>1042</v>
      </c>
      <c r="P2337" t="s">
        <v>550</v>
      </c>
      <c r="Q2337">
        <v>2022</v>
      </c>
      <c r="R2337" t="s">
        <v>551</v>
      </c>
      <c r="S2337" t="s">
        <v>552</v>
      </c>
      <c r="T2337" t="s">
        <v>553</v>
      </c>
      <c r="U2337" t="b">
        <v>0</v>
      </c>
      <c r="V2337" t="s">
        <v>1043</v>
      </c>
      <c r="W2337" t="s">
        <v>555</v>
      </c>
      <c r="X2337" t="s">
        <v>556</v>
      </c>
      <c r="Y2337" t="s">
        <v>472</v>
      </c>
      <c r="Z2337" t="s">
        <v>491</v>
      </c>
      <c r="AA2337" t="s">
        <v>1044</v>
      </c>
      <c r="AC2337">
        <v>1</v>
      </c>
      <c r="AD2337" t="s">
        <v>565</v>
      </c>
      <c r="AE2337">
        <v>5086.2968000000001</v>
      </c>
      <c r="AF2337" t="s">
        <v>559</v>
      </c>
      <c r="AG2337" t="s">
        <v>560</v>
      </c>
      <c r="AH2337">
        <v>1</v>
      </c>
      <c r="AI2337">
        <v>12116</v>
      </c>
      <c r="AJ2337" t="s">
        <v>561</v>
      </c>
      <c r="AK2337" t="s">
        <v>562</v>
      </c>
      <c r="AL2337" t="s">
        <v>563</v>
      </c>
      <c r="AM2337">
        <v>2022</v>
      </c>
      <c r="AN2337">
        <v>2020</v>
      </c>
      <c r="AO2337">
        <f>IF(AND(emissions[[#This Row],[Market-based]]=0,emissions[[#This Row],[Impact Type]]="CO2E"),emissions[[#This Row],[kgCO2e]],0)/1000</f>
        <v>0</v>
      </c>
      <c r="AP2337">
        <f>IF(AND(emissions[[#This Row],[Market-based]]=1,OR(emissions[[#This Row],[Impact Type]]="CO2E",emissions[[#This Row],[Impact Type]]="CO2E MKT")),emissions[[#This Row],[kgCO2e]],0)/1000</f>
        <v>5.0862968000000004</v>
      </c>
      <c r="AQ2337" t="str">
        <f>_xlfn.TEXTAFTER(emissions[[#This Row],[Reporting Unit]]," &gt; ",LEN(emissions[[#This Row],[Reporting Unit]])-LEN(SUBSTITUTE(emissions[[#This Row],[Reporting Unit]],"&gt;","")))</f>
        <v>Vantage_Santiago</v>
      </c>
      <c r="AR2337" t="str">
        <f>_xlfn.XLOOKUP(emissions[[#This Row],[Reporting unit name]],hierarchy!$A:$A,hierarchy!$C:$C)</f>
        <v>Unspecified Facility Type</v>
      </c>
    </row>
    <row r="2338" spans="1:44" hidden="1" x14ac:dyDescent="0.25">
      <c r="A2338">
        <v>237705</v>
      </c>
      <c r="B2338" t="s">
        <v>221</v>
      </c>
      <c r="C2338" t="s">
        <v>525</v>
      </c>
      <c r="D2338" t="s">
        <v>548</v>
      </c>
      <c r="E2338" s="3">
        <v>44562</v>
      </c>
      <c r="F2338" s="3">
        <v>44926</v>
      </c>
      <c r="G2338" t="s">
        <v>108</v>
      </c>
      <c r="H2338" s="3">
        <v>44562</v>
      </c>
      <c r="I2338" s="3">
        <v>44926</v>
      </c>
      <c r="J2338" t="s">
        <v>108</v>
      </c>
      <c r="K2338">
        <v>12116</v>
      </c>
      <c r="L2338" t="s">
        <v>109</v>
      </c>
      <c r="M2338" t="s">
        <v>110</v>
      </c>
      <c r="O2338" t="s">
        <v>1042</v>
      </c>
      <c r="P2338" t="s">
        <v>550</v>
      </c>
      <c r="Q2338">
        <v>2022</v>
      </c>
      <c r="R2338" t="s">
        <v>551</v>
      </c>
      <c r="S2338" t="s">
        <v>552</v>
      </c>
      <c r="T2338" t="s">
        <v>553</v>
      </c>
      <c r="U2338" t="b">
        <v>0</v>
      </c>
      <c r="V2338" t="s">
        <v>1043</v>
      </c>
      <c r="W2338" t="s">
        <v>555</v>
      </c>
      <c r="X2338" t="s">
        <v>556</v>
      </c>
      <c r="Y2338" t="s">
        <v>472</v>
      </c>
      <c r="Z2338" t="s">
        <v>491</v>
      </c>
      <c r="AA2338" t="s">
        <v>1044</v>
      </c>
      <c r="AC2338">
        <v>1</v>
      </c>
      <c r="AD2338" t="s">
        <v>566</v>
      </c>
      <c r="AE2338">
        <v>19.3856</v>
      </c>
      <c r="AF2338" t="s">
        <v>559</v>
      </c>
      <c r="AG2338" t="s">
        <v>560</v>
      </c>
      <c r="AH2338">
        <v>1</v>
      </c>
      <c r="AI2338">
        <v>12116</v>
      </c>
      <c r="AJ2338" t="s">
        <v>561</v>
      </c>
      <c r="AK2338" t="s">
        <v>562</v>
      </c>
      <c r="AL2338" t="s">
        <v>563</v>
      </c>
      <c r="AM2338">
        <v>2022</v>
      </c>
      <c r="AN2338">
        <v>2020</v>
      </c>
      <c r="AO2338">
        <f>IF(AND(emissions[[#This Row],[Market-based]]=0,emissions[[#This Row],[Impact Type]]="CO2E"),emissions[[#This Row],[kgCO2e]],0)/1000</f>
        <v>0</v>
      </c>
      <c r="AP2338">
        <f>IF(AND(emissions[[#This Row],[Market-based]]=1,OR(emissions[[#This Row],[Impact Type]]="CO2E",emissions[[#This Row],[Impact Type]]="CO2E MKT")),emissions[[#This Row],[kgCO2e]],0)/1000</f>
        <v>0</v>
      </c>
      <c r="AQ2338" t="str">
        <f>_xlfn.TEXTAFTER(emissions[[#This Row],[Reporting Unit]]," &gt; ",LEN(emissions[[#This Row],[Reporting Unit]])-LEN(SUBSTITUTE(emissions[[#This Row],[Reporting Unit]],"&gt;","")))</f>
        <v>Vantage_Santiago</v>
      </c>
      <c r="AR2338" t="str">
        <f>_xlfn.XLOOKUP(emissions[[#This Row],[Reporting unit name]],hierarchy!$A:$A,hierarchy!$C:$C)</f>
        <v>Unspecified Facility Type</v>
      </c>
    </row>
    <row r="2339" spans="1:44" hidden="1" x14ac:dyDescent="0.25">
      <c r="A2339">
        <v>237705</v>
      </c>
      <c r="B2339" t="s">
        <v>221</v>
      </c>
      <c r="C2339" t="s">
        <v>525</v>
      </c>
      <c r="D2339" t="s">
        <v>548</v>
      </c>
      <c r="E2339" s="3">
        <v>44562</v>
      </c>
      <c r="F2339" s="3">
        <v>44926</v>
      </c>
      <c r="G2339" t="s">
        <v>108</v>
      </c>
      <c r="H2339" s="3">
        <v>44562</v>
      </c>
      <c r="I2339" s="3">
        <v>44926</v>
      </c>
      <c r="J2339" t="s">
        <v>108</v>
      </c>
      <c r="K2339">
        <v>12116</v>
      </c>
      <c r="L2339" t="s">
        <v>109</v>
      </c>
      <c r="M2339" t="s">
        <v>110</v>
      </c>
      <c r="O2339" t="s">
        <v>1042</v>
      </c>
      <c r="P2339" t="s">
        <v>550</v>
      </c>
      <c r="Q2339">
        <v>2022</v>
      </c>
      <c r="R2339" t="s">
        <v>567</v>
      </c>
      <c r="S2339" t="s">
        <v>568</v>
      </c>
      <c r="T2339" t="s">
        <v>569</v>
      </c>
      <c r="U2339" t="b">
        <v>0</v>
      </c>
      <c r="V2339" t="s">
        <v>1045</v>
      </c>
      <c r="W2339" t="s">
        <v>571</v>
      </c>
      <c r="X2339" t="s">
        <v>572</v>
      </c>
      <c r="Y2339" t="s">
        <v>472</v>
      </c>
      <c r="Z2339" t="s">
        <v>491</v>
      </c>
      <c r="AA2339" t="s">
        <v>1044</v>
      </c>
      <c r="AC2339">
        <v>0</v>
      </c>
      <c r="AD2339" t="s">
        <v>565</v>
      </c>
      <c r="AE2339">
        <v>43.11895166</v>
      </c>
      <c r="AF2339">
        <v>3.5588439999999998E-3</v>
      </c>
      <c r="AG2339" t="s">
        <v>560</v>
      </c>
      <c r="AH2339">
        <v>1</v>
      </c>
      <c r="AI2339">
        <v>12116</v>
      </c>
      <c r="AJ2339" t="s">
        <v>561</v>
      </c>
      <c r="AK2339" t="s">
        <v>573</v>
      </c>
      <c r="AL2339" t="s">
        <v>574</v>
      </c>
      <c r="AM2339">
        <v>2022</v>
      </c>
      <c r="AN2339">
        <v>2020</v>
      </c>
      <c r="AO2339">
        <f>IF(AND(emissions[[#This Row],[Market-based]]=0,emissions[[#This Row],[Impact Type]]="CO2E"),emissions[[#This Row],[kgCO2e]],0)/1000</f>
        <v>4.3118951660000002E-2</v>
      </c>
      <c r="AP2339">
        <f>IF(AND(emissions[[#This Row],[Market-based]]=1,OR(emissions[[#This Row],[Impact Type]]="CO2E",emissions[[#This Row],[Impact Type]]="CO2E MKT")),emissions[[#This Row],[kgCO2e]],0)/1000</f>
        <v>0</v>
      </c>
      <c r="AQ2339" t="str">
        <f>_xlfn.TEXTAFTER(emissions[[#This Row],[Reporting Unit]]," &gt; ",LEN(emissions[[#This Row],[Reporting Unit]])-LEN(SUBSTITUTE(emissions[[#This Row],[Reporting Unit]],"&gt;","")))</f>
        <v>Vantage_Santiago</v>
      </c>
      <c r="AR2339" t="str">
        <f>_xlfn.XLOOKUP(emissions[[#This Row],[Reporting unit name]],hierarchy!$A:$A,hierarchy!$C:$C)</f>
        <v>Unspecified Facility Type</v>
      </c>
    </row>
    <row r="2340" spans="1:44" hidden="1" x14ac:dyDescent="0.25">
      <c r="A2340">
        <v>237705</v>
      </c>
      <c r="B2340" t="s">
        <v>221</v>
      </c>
      <c r="C2340" t="s">
        <v>525</v>
      </c>
      <c r="D2340" t="s">
        <v>548</v>
      </c>
      <c r="E2340" s="3">
        <v>44562</v>
      </c>
      <c r="F2340" s="3">
        <v>44926</v>
      </c>
      <c r="G2340" t="s">
        <v>108</v>
      </c>
      <c r="H2340" s="3">
        <v>44562</v>
      </c>
      <c r="I2340" s="3">
        <v>44926</v>
      </c>
      <c r="J2340" t="s">
        <v>108</v>
      </c>
      <c r="K2340">
        <v>12116</v>
      </c>
      <c r="L2340" t="s">
        <v>109</v>
      </c>
      <c r="M2340" t="s">
        <v>110</v>
      </c>
      <c r="O2340" t="s">
        <v>1042</v>
      </c>
      <c r="P2340" t="s">
        <v>550</v>
      </c>
      <c r="Q2340">
        <v>2022</v>
      </c>
      <c r="R2340" t="s">
        <v>567</v>
      </c>
      <c r="S2340" t="s">
        <v>568</v>
      </c>
      <c r="T2340" t="s">
        <v>569</v>
      </c>
      <c r="U2340" t="b">
        <v>0</v>
      </c>
      <c r="V2340" t="s">
        <v>1045</v>
      </c>
      <c r="W2340" t="s">
        <v>571</v>
      </c>
      <c r="X2340" t="s">
        <v>572</v>
      </c>
      <c r="Y2340" t="s">
        <v>472</v>
      </c>
      <c r="Z2340" t="s">
        <v>491</v>
      </c>
      <c r="AA2340" t="s">
        <v>1044</v>
      </c>
      <c r="AC2340">
        <v>1</v>
      </c>
      <c r="AD2340" t="s">
        <v>565</v>
      </c>
      <c r="AE2340">
        <v>43.11895166</v>
      </c>
      <c r="AF2340">
        <v>3.5588439999999998E-3</v>
      </c>
      <c r="AG2340" t="s">
        <v>560</v>
      </c>
      <c r="AH2340">
        <v>1</v>
      </c>
      <c r="AI2340">
        <v>12116</v>
      </c>
      <c r="AJ2340" t="s">
        <v>561</v>
      </c>
      <c r="AK2340" t="s">
        <v>573</v>
      </c>
      <c r="AL2340" t="s">
        <v>574</v>
      </c>
      <c r="AM2340">
        <v>2022</v>
      </c>
      <c r="AN2340">
        <v>2020</v>
      </c>
      <c r="AO2340">
        <f>IF(AND(emissions[[#This Row],[Market-based]]=0,emissions[[#This Row],[Impact Type]]="CO2E"),emissions[[#This Row],[kgCO2e]],0)/1000</f>
        <v>0</v>
      </c>
      <c r="AP2340">
        <f>IF(AND(emissions[[#This Row],[Market-based]]=1,OR(emissions[[#This Row],[Impact Type]]="CO2E",emissions[[#This Row],[Impact Type]]="CO2E MKT")),emissions[[#This Row],[kgCO2e]],0)/1000</f>
        <v>4.3118951660000002E-2</v>
      </c>
      <c r="AQ2340" t="str">
        <f>_xlfn.TEXTAFTER(emissions[[#This Row],[Reporting Unit]]," &gt; ",LEN(emissions[[#This Row],[Reporting Unit]])-LEN(SUBSTITUTE(emissions[[#This Row],[Reporting Unit]],"&gt;","")))</f>
        <v>Vantage_Santiago</v>
      </c>
      <c r="AR2340" t="str">
        <f>_xlfn.XLOOKUP(emissions[[#This Row],[Reporting unit name]],hierarchy!$A:$A,hierarchy!$C:$C)</f>
        <v>Unspecified Facility Type</v>
      </c>
    </row>
    <row r="2341" spans="1:44" hidden="1" x14ac:dyDescent="0.25">
      <c r="A2341">
        <v>237705</v>
      </c>
      <c r="B2341" t="s">
        <v>221</v>
      </c>
      <c r="C2341" t="s">
        <v>525</v>
      </c>
      <c r="D2341" t="s">
        <v>548</v>
      </c>
      <c r="E2341" s="3">
        <v>44562</v>
      </c>
      <c r="F2341" s="3">
        <v>44926</v>
      </c>
      <c r="G2341" t="s">
        <v>108</v>
      </c>
      <c r="H2341" s="3">
        <v>44562</v>
      </c>
      <c r="I2341" s="3">
        <v>44926</v>
      </c>
      <c r="J2341" t="s">
        <v>108</v>
      </c>
      <c r="K2341">
        <v>12116</v>
      </c>
      <c r="L2341" t="s">
        <v>109</v>
      </c>
      <c r="M2341" t="s">
        <v>110</v>
      </c>
      <c r="O2341" t="s">
        <v>1042</v>
      </c>
      <c r="P2341" t="s">
        <v>550</v>
      </c>
      <c r="Q2341">
        <v>2022</v>
      </c>
      <c r="R2341" t="s">
        <v>575</v>
      </c>
      <c r="S2341" t="s">
        <v>576</v>
      </c>
      <c r="T2341" t="s">
        <v>577</v>
      </c>
      <c r="U2341" t="b">
        <v>0</v>
      </c>
      <c r="V2341" t="s">
        <v>1046</v>
      </c>
      <c r="W2341" t="s">
        <v>571</v>
      </c>
      <c r="X2341" t="s">
        <v>572</v>
      </c>
      <c r="Y2341" t="s">
        <v>472</v>
      </c>
      <c r="Z2341" t="s">
        <v>491</v>
      </c>
      <c r="AA2341" t="s">
        <v>1044</v>
      </c>
      <c r="AC2341">
        <v>0</v>
      </c>
      <c r="AD2341" t="s">
        <v>565</v>
      </c>
      <c r="AE2341">
        <v>1077.4604710000001</v>
      </c>
      <c r="AF2341">
        <v>8.8928727999999999E-2</v>
      </c>
      <c r="AG2341" t="s">
        <v>560</v>
      </c>
      <c r="AH2341">
        <v>1</v>
      </c>
      <c r="AI2341">
        <v>12116</v>
      </c>
      <c r="AJ2341" t="s">
        <v>561</v>
      </c>
      <c r="AK2341" t="s">
        <v>573</v>
      </c>
      <c r="AL2341" t="s">
        <v>574</v>
      </c>
      <c r="AM2341">
        <v>2022</v>
      </c>
      <c r="AN2341">
        <v>2020</v>
      </c>
      <c r="AO2341">
        <f>IF(AND(emissions[[#This Row],[Market-based]]=0,emissions[[#This Row],[Impact Type]]="CO2E"),emissions[[#This Row],[kgCO2e]],0)/1000</f>
        <v>1.0774604710000002</v>
      </c>
      <c r="AP2341">
        <f>IF(AND(emissions[[#This Row],[Market-based]]=1,OR(emissions[[#This Row],[Impact Type]]="CO2E",emissions[[#This Row],[Impact Type]]="CO2E MKT")),emissions[[#This Row],[kgCO2e]],0)/1000</f>
        <v>0</v>
      </c>
      <c r="AQ2341" t="str">
        <f>_xlfn.TEXTAFTER(emissions[[#This Row],[Reporting Unit]]," &gt; ",LEN(emissions[[#This Row],[Reporting Unit]])-LEN(SUBSTITUTE(emissions[[#This Row],[Reporting Unit]],"&gt;","")))</f>
        <v>Vantage_Santiago</v>
      </c>
      <c r="AR2341" t="str">
        <f>_xlfn.XLOOKUP(emissions[[#This Row],[Reporting unit name]],hierarchy!$A:$A,hierarchy!$C:$C)</f>
        <v>Unspecified Facility Type</v>
      </c>
    </row>
    <row r="2342" spans="1:44" hidden="1" x14ac:dyDescent="0.25">
      <c r="A2342">
        <v>237705</v>
      </c>
      <c r="B2342" t="s">
        <v>221</v>
      </c>
      <c r="C2342" t="s">
        <v>525</v>
      </c>
      <c r="D2342" t="s">
        <v>548</v>
      </c>
      <c r="E2342" s="3">
        <v>44562</v>
      </c>
      <c r="F2342" s="3">
        <v>44926</v>
      </c>
      <c r="G2342" t="s">
        <v>108</v>
      </c>
      <c r="H2342" s="3">
        <v>44562</v>
      </c>
      <c r="I2342" s="3">
        <v>44926</v>
      </c>
      <c r="J2342" t="s">
        <v>108</v>
      </c>
      <c r="K2342">
        <v>12116</v>
      </c>
      <c r="L2342" t="s">
        <v>109</v>
      </c>
      <c r="M2342" t="s">
        <v>110</v>
      </c>
      <c r="O2342" t="s">
        <v>1042</v>
      </c>
      <c r="P2342" t="s">
        <v>550</v>
      </c>
      <c r="Q2342">
        <v>2022</v>
      </c>
      <c r="R2342" t="s">
        <v>575</v>
      </c>
      <c r="S2342" t="s">
        <v>576</v>
      </c>
      <c r="T2342" t="s">
        <v>577</v>
      </c>
      <c r="U2342" t="b">
        <v>0</v>
      </c>
      <c r="V2342" t="s">
        <v>1046</v>
      </c>
      <c r="W2342" t="s">
        <v>571</v>
      </c>
      <c r="X2342" t="s">
        <v>572</v>
      </c>
      <c r="Y2342" t="s">
        <v>472</v>
      </c>
      <c r="Z2342" t="s">
        <v>491</v>
      </c>
      <c r="AA2342" t="s">
        <v>1044</v>
      </c>
      <c r="AC2342">
        <v>1</v>
      </c>
      <c r="AD2342" t="s">
        <v>565</v>
      </c>
      <c r="AE2342">
        <v>1077.4604710000001</v>
      </c>
      <c r="AF2342">
        <v>8.8928727999999999E-2</v>
      </c>
      <c r="AG2342" t="s">
        <v>560</v>
      </c>
      <c r="AH2342">
        <v>1</v>
      </c>
      <c r="AI2342">
        <v>12116</v>
      </c>
      <c r="AJ2342" t="s">
        <v>561</v>
      </c>
      <c r="AK2342" t="s">
        <v>573</v>
      </c>
      <c r="AL2342" t="s">
        <v>574</v>
      </c>
      <c r="AM2342">
        <v>2022</v>
      </c>
      <c r="AN2342">
        <v>2020</v>
      </c>
      <c r="AO2342">
        <f>IF(AND(emissions[[#This Row],[Market-based]]=0,emissions[[#This Row],[Impact Type]]="CO2E"),emissions[[#This Row],[kgCO2e]],0)/1000</f>
        <v>0</v>
      </c>
      <c r="AP2342">
        <f>IF(AND(emissions[[#This Row],[Market-based]]=1,OR(emissions[[#This Row],[Impact Type]]="CO2E",emissions[[#This Row],[Impact Type]]="CO2E MKT")),emissions[[#This Row],[kgCO2e]],0)/1000</f>
        <v>1.0774604710000002</v>
      </c>
      <c r="AQ2342" t="str">
        <f>_xlfn.TEXTAFTER(emissions[[#This Row],[Reporting Unit]]," &gt; ",LEN(emissions[[#This Row],[Reporting Unit]])-LEN(SUBSTITUTE(emissions[[#This Row],[Reporting Unit]],"&gt;","")))</f>
        <v>Vantage_Santiago</v>
      </c>
      <c r="AR2342" t="str">
        <f>_xlfn.XLOOKUP(emissions[[#This Row],[Reporting unit name]],hierarchy!$A:$A,hierarchy!$C:$C)</f>
        <v>Unspecified Facility Type</v>
      </c>
    </row>
    <row r="2343" spans="1:44" hidden="1" x14ac:dyDescent="0.25">
      <c r="A2343">
        <v>237705</v>
      </c>
      <c r="B2343" t="s">
        <v>221</v>
      </c>
      <c r="C2343" t="s">
        <v>525</v>
      </c>
      <c r="D2343" t="s">
        <v>548</v>
      </c>
      <c r="E2343" s="3">
        <v>44562</v>
      </c>
      <c r="F2343" s="3">
        <v>44926</v>
      </c>
      <c r="G2343" t="s">
        <v>108</v>
      </c>
      <c r="H2343" s="3">
        <v>44562</v>
      </c>
      <c r="I2343" s="3">
        <v>44926</v>
      </c>
      <c r="J2343" t="s">
        <v>108</v>
      </c>
      <c r="K2343">
        <v>12116</v>
      </c>
      <c r="L2343" t="s">
        <v>109</v>
      </c>
      <c r="M2343" t="s">
        <v>110</v>
      </c>
      <c r="O2343" t="s">
        <v>1042</v>
      </c>
      <c r="P2343" t="s">
        <v>550</v>
      </c>
      <c r="Q2343">
        <v>2022</v>
      </c>
      <c r="R2343" t="s">
        <v>579</v>
      </c>
      <c r="S2343" t="s">
        <v>580</v>
      </c>
      <c r="T2343" t="s">
        <v>581</v>
      </c>
      <c r="U2343" t="b">
        <v>0</v>
      </c>
      <c r="V2343" t="s">
        <v>1047</v>
      </c>
      <c r="W2343" t="s">
        <v>571</v>
      </c>
      <c r="X2343" t="s">
        <v>572</v>
      </c>
      <c r="Y2343" t="s">
        <v>472</v>
      </c>
      <c r="Z2343" t="s">
        <v>491</v>
      </c>
      <c r="AA2343" t="s">
        <v>1044</v>
      </c>
      <c r="AC2343">
        <v>0</v>
      </c>
      <c r="AD2343" t="s">
        <v>565</v>
      </c>
      <c r="AE2343">
        <v>203.5488</v>
      </c>
      <c r="AF2343" t="s">
        <v>559</v>
      </c>
      <c r="AG2343" t="s">
        <v>560</v>
      </c>
      <c r="AH2343">
        <v>1</v>
      </c>
      <c r="AI2343">
        <v>12116</v>
      </c>
      <c r="AJ2343" t="s">
        <v>561</v>
      </c>
      <c r="AK2343" t="s">
        <v>562</v>
      </c>
      <c r="AL2343" t="s">
        <v>563</v>
      </c>
      <c r="AM2343">
        <v>2022</v>
      </c>
      <c r="AN2343">
        <v>2020</v>
      </c>
      <c r="AO2343">
        <f>IF(AND(emissions[[#This Row],[Market-based]]=0,emissions[[#This Row],[Impact Type]]="CO2E"),emissions[[#This Row],[kgCO2e]],0)/1000</f>
        <v>0.2035488</v>
      </c>
      <c r="AP2343">
        <f>IF(AND(emissions[[#This Row],[Market-based]]=1,OR(emissions[[#This Row],[Impact Type]]="CO2E",emissions[[#This Row],[Impact Type]]="CO2E MKT")),emissions[[#This Row],[kgCO2e]],0)/1000</f>
        <v>0</v>
      </c>
      <c r="AQ2343" t="str">
        <f>_xlfn.TEXTAFTER(emissions[[#This Row],[Reporting Unit]]," &gt; ",LEN(emissions[[#This Row],[Reporting Unit]])-LEN(SUBSTITUTE(emissions[[#This Row],[Reporting Unit]],"&gt;","")))</f>
        <v>Vantage_Santiago</v>
      </c>
      <c r="AR2343" t="str">
        <f>_xlfn.XLOOKUP(emissions[[#This Row],[Reporting unit name]],hierarchy!$A:$A,hierarchy!$C:$C)</f>
        <v>Unspecified Facility Type</v>
      </c>
    </row>
    <row r="2344" spans="1:44" hidden="1" x14ac:dyDescent="0.25">
      <c r="A2344">
        <v>237705</v>
      </c>
      <c r="B2344" t="s">
        <v>221</v>
      </c>
      <c r="C2344" t="s">
        <v>525</v>
      </c>
      <c r="D2344" t="s">
        <v>548</v>
      </c>
      <c r="E2344" s="3">
        <v>44562</v>
      </c>
      <c r="F2344" s="3">
        <v>44926</v>
      </c>
      <c r="G2344" t="s">
        <v>108</v>
      </c>
      <c r="H2344" s="3">
        <v>44562</v>
      </c>
      <c r="I2344" s="3">
        <v>44926</v>
      </c>
      <c r="J2344" t="s">
        <v>108</v>
      </c>
      <c r="K2344">
        <v>12116</v>
      </c>
      <c r="L2344" t="s">
        <v>109</v>
      </c>
      <c r="M2344" t="s">
        <v>110</v>
      </c>
      <c r="O2344" t="s">
        <v>1042</v>
      </c>
      <c r="P2344" t="s">
        <v>550</v>
      </c>
      <c r="Q2344">
        <v>2022</v>
      </c>
      <c r="R2344" t="s">
        <v>579</v>
      </c>
      <c r="S2344" t="s">
        <v>580</v>
      </c>
      <c r="T2344" t="s">
        <v>581</v>
      </c>
      <c r="U2344" t="b">
        <v>0</v>
      </c>
      <c r="V2344" t="s">
        <v>1047</v>
      </c>
      <c r="W2344" t="s">
        <v>571</v>
      </c>
      <c r="X2344" t="s">
        <v>572</v>
      </c>
      <c r="Y2344" t="s">
        <v>472</v>
      </c>
      <c r="Z2344" t="s">
        <v>491</v>
      </c>
      <c r="AA2344" t="s">
        <v>1044</v>
      </c>
      <c r="AC2344">
        <v>1</v>
      </c>
      <c r="AD2344" t="s">
        <v>565</v>
      </c>
      <c r="AE2344">
        <v>203.5488</v>
      </c>
      <c r="AF2344" t="s">
        <v>559</v>
      </c>
      <c r="AG2344" t="s">
        <v>560</v>
      </c>
      <c r="AH2344">
        <v>1</v>
      </c>
      <c r="AI2344">
        <v>12116</v>
      </c>
      <c r="AJ2344" t="s">
        <v>561</v>
      </c>
      <c r="AK2344" t="s">
        <v>562</v>
      </c>
      <c r="AL2344" t="s">
        <v>563</v>
      </c>
      <c r="AM2344">
        <v>2022</v>
      </c>
      <c r="AN2344">
        <v>2020</v>
      </c>
      <c r="AO2344">
        <f>IF(AND(emissions[[#This Row],[Market-based]]=0,emissions[[#This Row],[Impact Type]]="CO2E"),emissions[[#This Row],[kgCO2e]],0)/1000</f>
        <v>0</v>
      </c>
      <c r="AP2344">
        <f>IF(AND(emissions[[#This Row],[Market-based]]=1,OR(emissions[[#This Row],[Impact Type]]="CO2E",emissions[[#This Row],[Impact Type]]="CO2E MKT")),emissions[[#This Row],[kgCO2e]],0)/1000</f>
        <v>0.2035488</v>
      </c>
      <c r="AQ2344" t="str">
        <f>_xlfn.TEXTAFTER(emissions[[#This Row],[Reporting Unit]]," &gt; ",LEN(emissions[[#This Row],[Reporting Unit]])-LEN(SUBSTITUTE(emissions[[#This Row],[Reporting Unit]],"&gt;","")))</f>
        <v>Vantage_Santiago</v>
      </c>
      <c r="AR2344" t="str">
        <f>_xlfn.XLOOKUP(emissions[[#This Row],[Reporting unit name]],hierarchy!$A:$A,hierarchy!$C:$C)</f>
        <v>Unspecified Facility Type</v>
      </c>
    </row>
    <row r="2345" spans="1:44" hidden="1" x14ac:dyDescent="0.25">
      <c r="A2345">
        <v>237700</v>
      </c>
      <c r="B2345" t="s">
        <v>221</v>
      </c>
      <c r="C2345" t="s">
        <v>525</v>
      </c>
      <c r="D2345" t="s">
        <v>548</v>
      </c>
      <c r="E2345" s="3">
        <v>44562</v>
      </c>
      <c r="F2345" s="3">
        <v>44926</v>
      </c>
      <c r="G2345" t="s">
        <v>135</v>
      </c>
      <c r="H2345" s="3">
        <v>44562</v>
      </c>
      <c r="I2345" s="3">
        <v>44926</v>
      </c>
      <c r="J2345" t="s">
        <v>135</v>
      </c>
      <c r="K2345">
        <v>0</v>
      </c>
      <c r="L2345" t="s">
        <v>207</v>
      </c>
      <c r="M2345" t="s">
        <v>110</v>
      </c>
      <c r="O2345" t="s">
        <v>1048</v>
      </c>
      <c r="P2345" t="s">
        <v>550</v>
      </c>
      <c r="Q2345">
        <v>2022</v>
      </c>
      <c r="R2345" t="s">
        <v>605</v>
      </c>
      <c r="S2345" t="s">
        <v>606</v>
      </c>
      <c r="T2345" t="s">
        <v>553</v>
      </c>
      <c r="U2345" t="b">
        <v>0</v>
      </c>
      <c r="V2345" t="s">
        <v>781</v>
      </c>
      <c r="W2345" t="s">
        <v>587</v>
      </c>
      <c r="X2345" t="s">
        <v>556</v>
      </c>
      <c r="Y2345" t="s">
        <v>472</v>
      </c>
      <c r="AC2345">
        <v>0</v>
      </c>
      <c r="AD2345" t="s">
        <v>558</v>
      </c>
      <c r="AE2345">
        <v>0</v>
      </c>
      <c r="AF2345">
        <v>2.5000000000000001E-2</v>
      </c>
      <c r="AG2345" t="s">
        <v>798</v>
      </c>
      <c r="AH2345">
        <v>0.94781711999999996</v>
      </c>
      <c r="AI2345">
        <v>0</v>
      </c>
      <c r="AJ2345" t="s">
        <v>561</v>
      </c>
      <c r="AK2345" t="s">
        <v>766</v>
      </c>
      <c r="AL2345" t="s">
        <v>787</v>
      </c>
      <c r="AM2345">
        <v>2022</v>
      </c>
      <c r="AN2345">
        <v>2021</v>
      </c>
      <c r="AO2345">
        <f>IF(AND(emissions[[#This Row],[Market-based]]=0,emissions[[#This Row],[Impact Type]]="CO2E"),emissions[[#This Row],[kgCO2e]],0)/1000</f>
        <v>0</v>
      </c>
      <c r="AP2345">
        <f>IF(AND(emissions[[#This Row],[Market-based]]=1,OR(emissions[[#This Row],[Impact Type]]="CO2E",emissions[[#This Row],[Impact Type]]="CO2E MKT")),emissions[[#This Row],[kgCO2e]],0)/1000</f>
        <v>0</v>
      </c>
      <c r="AQ2345" t="str">
        <f>_xlfn.TEXTAFTER(emissions[[#This Row],[Reporting Unit]]," &gt; ",LEN(emissions[[#This Row],[Reporting Unit]])-LEN(SUBSTITUTE(emissions[[#This Row],[Reporting Unit]],"&gt;","")))</f>
        <v>Vantage_Santiago</v>
      </c>
      <c r="AR2345" t="str">
        <f>_xlfn.XLOOKUP(emissions[[#This Row],[Reporting unit name]],hierarchy!$A:$A,hierarchy!$C:$C)</f>
        <v>Unspecified Facility Type</v>
      </c>
    </row>
    <row r="2346" spans="1:44" hidden="1" x14ac:dyDescent="0.25">
      <c r="A2346">
        <v>237700</v>
      </c>
      <c r="B2346" t="s">
        <v>221</v>
      </c>
      <c r="C2346" t="s">
        <v>525</v>
      </c>
      <c r="D2346" t="s">
        <v>548</v>
      </c>
      <c r="E2346" s="3">
        <v>44562</v>
      </c>
      <c r="F2346" s="3">
        <v>44926</v>
      </c>
      <c r="G2346" t="s">
        <v>135</v>
      </c>
      <c r="H2346" s="3">
        <v>44562</v>
      </c>
      <c r="I2346" s="3">
        <v>44926</v>
      </c>
      <c r="J2346" t="s">
        <v>135</v>
      </c>
      <c r="K2346">
        <v>0</v>
      </c>
      <c r="L2346" t="s">
        <v>207</v>
      </c>
      <c r="M2346" t="s">
        <v>110</v>
      </c>
      <c r="O2346" t="s">
        <v>1048</v>
      </c>
      <c r="P2346" t="s">
        <v>550</v>
      </c>
      <c r="Q2346">
        <v>2022</v>
      </c>
      <c r="R2346" t="s">
        <v>605</v>
      </c>
      <c r="S2346" t="s">
        <v>606</v>
      </c>
      <c r="T2346" t="s">
        <v>553</v>
      </c>
      <c r="U2346" t="b">
        <v>0</v>
      </c>
      <c r="V2346" t="s">
        <v>781</v>
      </c>
      <c r="W2346" t="s">
        <v>587</v>
      </c>
      <c r="X2346" t="s">
        <v>556</v>
      </c>
      <c r="Y2346" t="s">
        <v>472</v>
      </c>
      <c r="AC2346">
        <v>0</v>
      </c>
      <c r="AD2346" t="s">
        <v>564</v>
      </c>
      <c r="AE2346">
        <v>0</v>
      </c>
      <c r="AF2346">
        <v>53.06</v>
      </c>
      <c r="AG2346" t="s">
        <v>798</v>
      </c>
      <c r="AH2346">
        <v>0.94781711999999996</v>
      </c>
      <c r="AI2346">
        <v>0</v>
      </c>
      <c r="AJ2346" t="s">
        <v>561</v>
      </c>
      <c r="AK2346" t="s">
        <v>766</v>
      </c>
      <c r="AL2346" t="s">
        <v>767</v>
      </c>
      <c r="AM2346">
        <v>2022</v>
      </c>
      <c r="AN2346">
        <v>2022</v>
      </c>
      <c r="AO2346">
        <f>IF(AND(emissions[[#This Row],[Market-based]]=0,emissions[[#This Row],[Impact Type]]="CO2E"),emissions[[#This Row],[kgCO2e]],0)/1000</f>
        <v>0</v>
      </c>
      <c r="AP2346">
        <f>IF(AND(emissions[[#This Row],[Market-based]]=1,OR(emissions[[#This Row],[Impact Type]]="CO2E",emissions[[#This Row],[Impact Type]]="CO2E MKT")),emissions[[#This Row],[kgCO2e]],0)/1000</f>
        <v>0</v>
      </c>
      <c r="AQ2346" t="str">
        <f>_xlfn.TEXTAFTER(emissions[[#This Row],[Reporting Unit]]," &gt; ",LEN(emissions[[#This Row],[Reporting Unit]])-LEN(SUBSTITUTE(emissions[[#This Row],[Reporting Unit]],"&gt;","")))</f>
        <v>Vantage_Santiago</v>
      </c>
      <c r="AR2346" t="str">
        <f>_xlfn.XLOOKUP(emissions[[#This Row],[Reporting unit name]],hierarchy!$A:$A,hierarchy!$C:$C)</f>
        <v>Unspecified Facility Type</v>
      </c>
    </row>
    <row r="2347" spans="1:44" hidden="1" x14ac:dyDescent="0.25">
      <c r="A2347">
        <v>237700</v>
      </c>
      <c r="B2347" t="s">
        <v>221</v>
      </c>
      <c r="C2347" t="s">
        <v>525</v>
      </c>
      <c r="D2347" t="s">
        <v>548</v>
      </c>
      <c r="E2347" s="3">
        <v>44562</v>
      </c>
      <c r="F2347" s="3">
        <v>44926</v>
      </c>
      <c r="G2347" t="s">
        <v>135</v>
      </c>
      <c r="H2347" s="3">
        <v>44562</v>
      </c>
      <c r="I2347" s="3">
        <v>44926</v>
      </c>
      <c r="J2347" t="s">
        <v>135</v>
      </c>
      <c r="K2347">
        <v>0</v>
      </c>
      <c r="L2347" t="s">
        <v>207</v>
      </c>
      <c r="M2347" t="s">
        <v>110</v>
      </c>
      <c r="O2347" t="s">
        <v>1048</v>
      </c>
      <c r="P2347" t="s">
        <v>550</v>
      </c>
      <c r="Q2347">
        <v>2022</v>
      </c>
      <c r="R2347" t="s">
        <v>605</v>
      </c>
      <c r="S2347" t="s">
        <v>606</v>
      </c>
      <c r="T2347" t="s">
        <v>553</v>
      </c>
      <c r="U2347" t="b">
        <v>0</v>
      </c>
      <c r="V2347" t="s">
        <v>781</v>
      </c>
      <c r="W2347" t="s">
        <v>587</v>
      </c>
      <c r="X2347" t="s">
        <v>556</v>
      </c>
      <c r="Y2347" t="s">
        <v>472</v>
      </c>
      <c r="AC2347">
        <v>0</v>
      </c>
      <c r="AD2347" t="s">
        <v>565</v>
      </c>
      <c r="AE2347">
        <v>0</v>
      </c>
      <c r="AF2347">
        <v>53.114800000000002</v>
      </c>
      <c r="AG2347" t="s">
        <v>798</v>
      </c>
      <c r="AH2347">
        <v>0.94781711999999996</v>
      </c>
      <c r="AI2347">
        <v>0</v>
      </c>
      <c r="AJ2347" t="s">
        <v>561</v>
      </c>
      <c r="AK2347" t="s">
        <v>766</v>
      </c>
      <c r="AL2347" t="s">
        <v>787</v>
      </c>
      <c r="AM2347">
        <v>2022</v>
      </c>
      <c r="AN2347">
        <v>2021</v>
      </c>
      <c r="AO2347">
        <f>IF(AND(emissions[[#This Row],[Market-based]]=0,emissions[[#This Row],[Impact Type]]="CO2E"),emissions[[#This Row],[kgCO2e]],0)/1000</f>
        <v>0</v>
      </c>
      <c r="AP2347">
        <f>IF(AND(emissions[[#This Row],[Market-based]]=1,OR(emissions[[#This Row],[Impact Type]]="CO2E",emissions[[#This Row],[Impact Type]]="CO2E MKT")),emissions[[#This Row],[kgCO2e]],0)/1000</f>
        <v>0</v>
      </c>
      <c r="AQ2347" t="str">
        <f>_xlfn.TEXTAFTER(emissions[[#This Row],[Reporting Unit]]," &gt; ",LEN(emissions[[#This Row],[Reporting Unit]])-LEN(SUBSTITUTE(emissions[[#This Row],[Reporting Unit]],"&gt;","")))</f>
        <v>Vantage_Santiago</v>
      </c>
      <c r="AR2347" t="str">
        <f>_xlfn.XLOOKUP(emissions[[#This Row],[Reporting unit name]],hierarchy!$A:$A,hierarchy!$C:$C)</f>
        <v>Unspecified Facility Type</v>
      </c>
    </row>
    <row r="2348" spans="1:44" hidden="1" x14ac:dyDescent="0.25">
      <c r="A2348">
        <v>237700</v>
      </c>
      <c r="B2348" t="s">
        <v>221</v>
      </c>
      <c r="C2348" t="s">
        <v>525</v>
      </c>
      <c r="D2348" t="s">
        <v>548</v>
      </c>
      <c r="E2348" s="3">
        <v>44562</v>
      </c>
      <c r="F2348" s="3">
        <v>44926</v>
      </c>
      <c r="G2348" t="s">
        <v>135</v>
      </c>
      <c r="H2348" s="3">
        <v>44562</v>
      </c>
      <c r="I2348" s="3">
        <v>44926</v>
      </c>
      <c r="J2348" t="s">
        <v>135</v>
      </c>
      <c r="K2348">
        <v>0</v>
      </c>
      <c r="L2348" t="s">
        <v>207</v>
      </c>
      <c r="M2348" t="s">
        <v>110</v>
      </c>
      <c r="O2348" t="s">
        <v>1048</v>
      </c>
      <c r="P2348" t="s">
        <v>550</v>
      </c>
      <c r="Q2348">
        <v>2022</v>
      </c>
      <c r="R2348" t="s">
        <v>605</v>
      </c>
      <c r="S2348" t="s">
        <v>606</v>
      </c>
      <c r="T2348" t="s">
        <v>553</v>
      </c>
      <c r="U2348" t="b">
        <v>0</v>
      </c>
      <c r="V2348" t="s">
        <v>781</v>
      </c>
      <c r="W2348" t="s">
        <v>587</v>
      </c>
      <c r="X2348" t="s">
        <v>556</v>
      </c>
      <c r="Y2348" t="s">
        <v>472</v>
      </c>
      <c r="AC2348">
        <v>0</v>
      </c>
      <c r="AD2348" t="s">
        <v>566</v>
      </c>
      <c r="AE2348">
        <v>0</v>
      </c>
      <c r="AF2348">
        <v>2.98E-2</v>
      </c>
      <c r="AG2348" t="s">
        <v>798</v>
      </c>
      <c r="AH2348">
        <v>0.94781711999999996</v>
      </c>
      <c r="AI2348">
        <v>0</v>
      </c>
      <c r="AJ2348" t="s">
        <v>561</v>
      </c>
      <c r="AK2348" t="s">
        <v>766</v>
      </c>
      <c r="AL2348" t="s">
        <v>767</v>
      </c>
      <c r="AM2348">
        <v>2022</v>
      </c>
      <c r="AN2348">
        <v>2022</v>
      </c>
      <c r="AO2348">
        <f>IF(AND(emissions[[#This Row],[Market-based]]=0,emissions[[#This Row],[Impact Type]]="CO2E"),emissions[[#This Row],[kgCO2e]],0)/1000</f>
        <v>0</v>
      </c>
      <c r="AP2348">
        <f>IF(AND(emissions[[#This Row],[Market-based]]=1,OR(emissions[[#This Row],[Impact Type]]="CO2E",emissions[[#This Row],[Impact Type]]="CO2E MKT")),emissions[[#This Row],[kgCO2e]],0)/1000</f>
        <v>0</v>
      </c>
      <c r="AQ2348" t="str">
        <f>_xlfn.TEXTAFTER(emissions[[#This Row],[Reporting Unit]]," &gt; ",LEN(emissions[[#This Row],[Reporting Unit]])-LEN(SUBSTITUTE(emissions[[#This Row],[Reporting Unit]],"&gt;","")))</f>
        <v>Vantage_Santiago</v>
      </c>
      <c r="AR2348" t="str">
        <f>_xlfn.XLOOKUP(emissions[[#This Row],[Reporting unit name]],hierarchy!$A:$A,hierarchy!$C:$C)</f>
        <v>Unspecified Facility Type</v>
      </c>
    </row>
    <row r="2349" spans="1:44" hidden="1" x14ac:dyDescent="0.25">
      <c r="A2349">
        <v>237700</v>
      </c>
      <c r="B2349" t="s">
        <v>221</v>
      </c>
      <c r="C2349" t="s">
        <v>525</v>
      </c>
      <c r="D2349" t="s">
        <v>548</v>
      </c>
      <c r="E2349" s="3">
        <v>44562</v>
      </c>
      <c r="F2349" s="3">
        <v>44926</v>
      </c>
      <c r="G2349" t="s">
        <v>135</v>
      </c>
      <c r="H2349" s="3">
        <v>44562</v>
      </c>
      <c r="I2349" s="3">
        <v>44926</v>
      </c>
      <c r="J2349" t="s">
        <v>135</v>
      </c>
      <c r="K2349">
        <v>0</v>
      </c>
      <c r="L2349" t="s">
        <v>207</v>
      </c>
      <c r="M2349" t="s">
        <v>110</v>
      </c>
      <c r="O2349" t="s">
        <v>1048</v>
      </c>
      <c r="P2349" t="s">
        <v>550</v>
      </c>
      <c r="Q2349">
        <v>2022</v>
      </c>
      <c r="R2349" t="s">
        <v>605</v>
      </c>
      <c r="S2349" t="s">
        <v>606</v>
      </c>
      <c r="T2349" t="s">
        <v>553</v>
      </c>
      <c r="U2349" t="b">
        <v>0</v>
      </c>
      <c r="V2349" t="s">
        <v>781</v>
      </c>
      <c r="W2349" t="s">
        <v>587</v>
      </c>
      <c r="X2349" t="s">
        <v>556</v>
      </c>
      <c r="Y2349" t="s">
        <v>472</v>
      </c>
      <c r="AC2349">
        <v>1</v>
      </c>
      <c r="AD2349" t="s">
        <v>558</v>
      </c>
      <c r="AE2349">
        <v>0</v>
      </c>
      <c r="AF2349">
        <v>2.5000000000000001E-2</v>
      </c>
      <c r="AG2349" t="s">
        <v>798</v>
      </c>
      <c r="AH2349">
        <v>0.94781711999999996</v>
      </c>
      <c r="AI2349">
        <v>0</v>
      </c>
      <c r="AJ2349" t="s">
        <v>561</v>
      </c>
      <c r="AK2349" t="s">
        <v>766</v>
      </c>
      <c r="AL2349" t="s">
        <v>787</v>
      </c>
      <c r="AM2349">
        <v>2022</v>
      </c>
      <c r="AN2349">
        <v>2021</v>
      </c>
      <c r="AO2349">
        <f>IF(AND(emissions[[#This Row],[Market-based]]=0,emissions[[#This Row],[Impact Type]]="CO2E"),emissions[[#This Row],[kgCO2e]],0)/1000</f>
        <v>0</v>
      </c>
      <c r="AP2349">
        <f>IF(AND(emissions[[#This Row],[Market-based]]=1,OR(emissions[[#This Row],[Impact Type]]="CO2E",emissions[[#This Row],[Impact Type]]="CO2E MKT")),emissions[[#This Row],[kgCO2e]],0)/1000</f>
        <v>0</v>
      </c>
      <c r="AQ2349" t="str">
        <f>_xlfn.TEXTAFTER(emissions[[#This Row],[Reporting Unit]]," &gt; ",LEN(emissions[[#This Row],[Reporting Unit]])-LEN(SUBSTITUTE(emissions[[#This Row],[Reporting Unit]],"&gt;","")))</f>
        <v>Vantage_Santiago</v>
      </c>
      <c r="AR2349" t="str">
        <f>_xlfn.XLOOKUP(emissions[[#This Row],[Reporting unit name]],hierarchy!$A:$A,hierarchy!$C:$C)</f>
        <v>Unspecified Facility Type</v>
      </c>
    </row>
    <row r="2350" spans="1:44" hidden="1" x14ac:dyDescent="0.25">
      <c r="A2350">
        <v>237700</v>
      </c>
      <c r="B2350" t="s">
        <v>221</v>
      </c>
      <c r="C2350" t="s">
        <v>525</v>
      </c>
      <c r="D2350" t="s">
        <v>548</v>
      </c>
      <c r="E2350" s="3">
        <v>44562</v>
      </c>
      <c r="F2350" s="3">
        <v>44926</v>
      </c>
      <c r="G2350" t="s">
        <v>135</v>
      </c>
      <c r="H2350" s="3">
        <v>44562</v>
      </c>
      <c r="I2350" s="3">
        <v>44926</v>
      </c>
      <c r="J2350" t="s">
        <v>135</v>
      </c>
      <c r="K2350">
        <v>0</v>
      </c>
      <c r="L2350" t="s">
        <v>207</v>
      </c>
      <c r="M2350" t="s">
        <v>110</v>
      </c>
      <c r="O2350" t="s">
        <v>1048</v>
      </c>
      <c r="P2350" t="s">
        <v>550</v>
      </c>
      <c r="Q2350">
        <v>2022</v>
      </c>
      <c r="R2350" t="s">
        <v>605</v>
      </c>
      <c r="S2350" t="s">
        <v>606</v>
      </c>
      <c r="T2350" t="s">
        <v>553</v>
      </c>
      <c r="U2350" t="b">
        <v>0</v>
      </c>
      <c r="V2350" t="s">
        <v>781</v>
      </c>
      <c r="W2350" t="s">
        <v>587</v>
      </c>
      <c r="X2350" t="s">
        <v>556</v>
      </c>
      <c r="Y2350" t="s">
        <v>472</v>
      </c>
      <c r="AC2350">
        <v>1</v>
      </c>
      <c r="AD2350" t="s">
        <v>564</v>
      </c>
      <c r="AE2350">
        <v>0</v>
      </c>
      <c r="AF2350">
        <v>53.06</v>
      </c>
      <c r="AG2350" t="s">
        <v>798</v>
      </c>
      <c r="AH2350">
        <v>0.94781711999999996</v>
      </c>
      <c r="AI2350">
        <v>0</v>
      </c>
      <c r="AJ2350" t="s">
        <v>561</v>
      </c>
      <c r="AK2350" t="s">
        <v>766</v>
      </c>
      <c r="AL2350" t="s">
        <v>767</v>
      </c>
      <c r="AM2350">
        <v>2022</v>
      </c>
      <c r="AN2350">
        <v>2022</v>
      </c>
      <c r="AO2350">
        <f>IF(AND(emissions[[#This Row],[Market-based]]=0,emissions[[#This Row],[Impact Type]]="CO2E"),emissions[[#This Row],[kgCO2e]],0)/1000</f>
        <v>0</v>
      </c>
      <c r="AP2350">
        <f>IF(AND(emissions[[#This Row],[Market-based]]=1,OR(emissions[[#This Row],[Impact Type]]="CO2E",emissions[[#This Row],[Impact Type]]="CO2E MKT")),emissions[[#This Row],[kgCO2e]],0)/1000</f>
        <v>0</v>
      </c>
      <c r="AQ2350" t="str">
        <f>_xlfn.TEXTAFTER(emissions[[#This Row],[Reporting Unit]]," &gt; ",LEN(emissions[[#This Row],[Reporting Unit]])-LEN(SUBSTITUTE(emissions[[#This Row],[Reporting Unit]],"&gt;","")))</f>
        <v>Vantage_Santiago</v>
      </c>
      <c r="AR2350" t="str">
        <f>_xlfn.XLOOKUP(emissions[[#This Row],[Reporting unit name]],hierarchy!$A:$A,hierarchy!$C:$C)</f>
        <v>Unspecified Facility Type</v>
      </c>
    </row>
    <row r="2351" spans="1:44" hidden="1" x14ac:dyDescent="0.25">
      <c r="A2351">
        <v>237700</v>
      </c>
      <c r="B2351" t="s">
        <v>221</v>
      </c>
      <c r="C2351" t="s">
        <v>525</v>
      </c>
      <c r="D2351" t="s">
        <v>548</v>
      </c>
      <c r="E2351" s="3">
        <v>44562</v>
      </c>
      <c r="F2351" s="3">
        <v>44926</v>
      </c>
      <c r="G2351" t="s">
        <v>135</v>
      </c>
      <c r="H2351" s="3">
        <v>44562</v>
      </c>
      <c r="I2351" s="3">
        <v>44926</v>
      </c>
      <c r="J2351" t="s">
        <v>135</v>
      </c>
      <c r="K2351">
        <v>0</v>
      </c>
      <c r="L2351" t="s">
        <v>207</v>
      </c>
      <c r="M2351" t="s">
        <v>110</v>
      </c>
      <c r="O2351" t="s">
        <v>1048</v>
      </c>
      <c r="P2351" t="s">
        <v>550</v>
      </c>
      <c r="Q2351">
        <v>2022</v>
      </c>
      <c r="R2351" t="s">
        <v>605</v>
      </c>
      <c r="S2351" t="s">
        <v>606</v>
      </c>
      <c r="T2351" t="s">
        <v>553</v>
      </c>
      <c r="U2351" t="b">
        <v>0</v>
      </c>
      <c r="V2351" t="s">
        <v>781</v>
      </c>
      <c r="W2351" t="s">
        <v>587</v>
      </c>
      <c r="X2351" t="s">
        <v>556</v>
      </c>
      <c r="Y2351" t="s">
        <v>472</v>
      </c>
      <c r="AC2351">
        <v>1</v>
      </c>
      <c r="AD2351" t="s">
        <v>565</v>
      </c>
      <c r="AE2351">
        <v>0</v>
      </c>
      <c r="AF2351">
        <v>53.114800000000002</v>
      </c>
      <c r="AG2351" t="s">
        <v>798</v>
      </c>
      <c r="AH2351">
        <v>0.94781711999999996</v>
      </c>
      <c r="AI2351">
        <v>0</v>
      </c>
      <c r="AJ2351" t="s">
        <v>561</v>
      </c>
      <c r="AK2351" t="s">
        <v>766</v>
      </c>
      <c r="AL2351" t="s">
        <v>787</v>
      </c>
      <c r="AM2351">
        <v>2022</v>
      </c>
      <c r="AN2351">
        <v>2021</v>
      </c>
      <c r="AO2351">
        <f>IF(AND(emissions[[#This Row],[Market-based]]=0,emissions[[#This Row],[Impact Type]]="CO2E"),emissions[[#This Row],[kgCO2e]],0)/1000</f>
        <v>0</v>
      </c>
      <c r="AP2351">
        <f>IF(AND(emissions[[#This Row],[Market-based]]=1,OR(emissions[[#This Row],[Impact Type]]="CO2E",emissions[[#This Row],[Impact Type]]="CO2E MKT")),emissions[[#This Row],[kgCO2e]],0)/1000</f>
        <v>0</v>
      </c>
      <c r="AQ2351" t="str">
        <f>_xlfn.TEXTAFTER(emissions[[#This Row],[Reporting Unit]]," &gt; ",LEN(emissions[[#This Row],[Reporting Unit]])-LEN(SUBSTITUTE(emissions[[#This Row],[Reporting Unit]],"&gt;","")))</f>
        <v>Vantage_Santiago</v>
      </c>
      <c r="AR2351" t="str">
        <f>_xlfn.XLOOKUP(emissions[[#This Row],[Reporting unit name]],hierarchy!$A:$A,hierarchy!$C:$C)</f>
        <v>Unspecified Facility Type</v>
      </c>
    </row>
    <row r="2352" spans="1:44" hidden="1" x14ac:dyDescent="0.25">
      <c r="A2352">
        <v>237700</v>
      </c>
      <c r="B2352" t="s">
        <v>221</v>
      </c>
      <c r="C2352" t="s">
        <v>525</v>
      </c>
      <c r="D2352" t="s">
        <v>548</v>
      </c>
      <c r="E2352" s="3">
        <v>44562</v>
      </c>
      <c r="F2352" s="3">
        <v>44926</v>
      </c>
      <c r="G2352" t="s">
        <v>135</v>
      </c>
      <c r="H2352" s="3">
        <v>44562</v>
      </c>
      <c r="I2352" s="3">
        <v>44926</v>
      </c>
      <c r="J2352" t="s">
        <v>135</v>
      </c>
      <c r="K2352">
        <v>0</v>
      </c>
      <c r="L2352" t="s">
        <v>207</v>
      </c>
      <c r="M2352" t="s">
        <v>110</v>
      </c>
      <c r="O2352" t="s">
        <v>1048</v>
      </c>
      <c r="P2352" t="s">
        <v>550</v>
      </c>
      <c r="Q2352">
        <v>2022</v>
      </c>
      <c r="R2352" t="s">
        <v>605</v>
      </c>
      <c r="S2352" t="s">
        <v>606</v>
      </c>
      <c r="T2352" t="s">
        <v>553</v>
      </c>
      <c r="U2352" t="b">
        <v>0</v>
      </c>
      <c r="V2352" t="s">
        <v>781</v>
      </c>
      <c r="W2352" t="s">
        <v>587</v>
      </c>
      <c r="X2352" t="s">
        <v>556</v>
      </c>
      <c r="Y2352" t="s">
        <v>472</v>
      </c>
      <c r="AC2352">
        <v>1</v>
      </c>
      <c r="AD2352" t="s">
        <v>566</v>
      </c>
      <c r="AE2352">
        <v>0</v>
      </c>
      <c r="AF2352">
        <v>2.98E-2</v>
      </c>
      <c r="AG2352" t="s">
        <v>798</v>
      </c>
      <c r="AH2352">
        <v>0.94781711999999996</v>
      </c>
      <c r="AI2352">
        <v>0</v>
      </c>
      <c r="AJ2352" t="s">
        <v>561</v>
      </c>
      <c r="AK2352" t="s">
        <v>766</v>
      </c>
      <c r="AL2352" t="s">
        <v>767</v>
      </c>
      <c r="AM2352">
        <v>2022</v>
      </c>
      <c r="AN2352">
        <v>2022</v>
      </c>
      <c r="AO2352">
        <f>IF(AND(emissions[[#This Row],[Market-based]]=0,emissions[[#This Row],[Impact Type]]="CO2E"),emissions[[#This Row],[kgCO2e]],0)/1000</f>
        <v>0</v>
      </c>
      <c r="AP2352">
        <f>IF(AND(emissions[[#This Row],[Market-based]]=1,OR(emissions[[#This Row],[Impact Type]]="CO2E",emissions[[#This Row],[Impact Type]]="CO2E MKT")),emissions[[#This Row],[kgCO2e]],0)/1000</f>
        <v>0</v>
      </c>
      <c r="AQ2352" t="str">
        <f>_xlfn.TEXTAFTER(emissions[[#This Row],[Reporting Unit]]," &gt; ",LEN(emissions[[#This Row],[Reporting Unit]])-LEN(SUBSTITUTE(emissions[[#This Row],[Reporting Unit]],"&gt;","")))</f>
        <v>Vantage_Santiago</v>
      </c>
      <c r="AR2352" t="str">
        <f>_xlfn.XLOOKUP(emissions[[#This Row],[Reporting unit name]],hierarchy!$A:$A,hierarchy!$C:$C)</f>
        <v>Unspecified Facility Type</v>
      </c>
    </row>
    <row r="2353" spans="1:44" hidden="1" x14ac:dyDescent="0.25">
      <c r="A2353">
        <v>237700</v>
      </c>
      <c r="B2353" t="s">
        <v>221</v>
      </c>
      <c r="C2353" t="s">
        <v>525</v>
      </c>
      <c r="D2353" t="s">
        <v>548</v>
      </c>
      <c r="E2353" s="3">
        <v>44562</v>
      </c>
      <c r="F2353" s="3">
        <v>44926</v>
      </c>
      <c r="G2353" t="s">
        <v>135</v>
      </c>
      <c r="H2353" s="3">
        <v>44562</v>
      </c>
      <c r="I2353" s="3">
        <v>44926</v>
      </c>
      <c r="J2353" t="s">
        <v>135</v>
      </c>
      <c r="K2353">
        <v>0</v>
      </c>
      <c r="L2353" t="s">
        <v>207</v>
      </c>
      <c r="M2353" t="s">
        <v>110</v>
      </c>
      <c r="O2353" t="s">
        <v>1048</v>
      </c>
      <c r="P2353" t="s">
        <v>550</v>
      </c>
      <c r="Q2353">
        <v>2022</v>
      </c>
      <c r="R2353" t="s">
        <v>609</v>
      </c>
      <c r="S2353" t="s">
        <v>610</v>
      </c>
      <c r="T2353" t="s">
        <v>577</v>
      </c>
      <c r="U2353" t="b">
        <v>0</v>
      </c>
      <c r="V2353" t="s">
        <v>632</v>
      </c>
      <c r="W2353" t="s">
        <v>571</v>
      </c>
      <c r="X2353" t="s">
        <v>572</v>
      </c>
      <c r="AC2353">
        <v>0</v>
      </c>
      <c r="AD2353" t="s">
        <v>565</v>
      </c>
      <c r="AE2353">
        <v>0</v>
      </c>
      <c r="AF2353">
        <v>3.1099999999999999E-2</v>
      </c>
      <c r="AG2353" t="s">
        <v>608</v>
      </c>
      <c r="AH2353">
        <v>277.77777780000002</v>
      </c>
      <c r="AI2353">
        <v>0</v>
      </c>
      <c r="AJ2353" t="s">
        <v>561</v>
      </c>
      <c r="AK2353" t="s">
        <v>589</v>
      </c>
      <c r="AL2353" t="s">
        <v>590</v>
      </c>
      <c r="AM2353">
        <v>2022</v>
      </c>
      <c r="AN2353">
        <v>2020</v>
      </c>
      <c r="AO2353">
        <f>IF(AND(emissions[[#This Row],[Market-based]]=0,emissions[[#This Row],[Impact Type]]="CO2E"),emissions[[#This Row],[kgCO2e]],0)/1000</f>
        <v>0</v>
      </c>
      <c r="AP2353">
        <f>IF(AND(emissions[[#This Row],[Market-based]]=1,OR(emissions[[#This Row],[Impact Type]]="CO2E",emissions[[#This Row],[Impact Type]]="CO2E MKT")),emissions[[#This Row],[kgCO2e]],0)/1000</f>
        <v>0</v>
      </c>
      <c r="AQ2353" t="str">
        <f>_xlfn.TEXTAFTER(emissions[[#This Row],[Reporting Unit]]," &gt; ",LEN(emissions[[#This Row],[Reporting Unit]])-LEN(SUBSTITUTE(emissions[[#This Row],[Reporting Unit]],"&gt;","")))</f>
        <v>Vantage_Santiago</v>
      </c>
      <c r="AR2353" t="str">
        <f>_xlfn.XLOOKUP(emissions[[#This Row],[Reporting unit name]],hierarchy!$A:$A,hierarchy!$C:$C)</f>
        <v>Unspecified Facility Type</v>
      </c>
    </row>
    <row r="2354" spans="1:44" hidden="1" x14ac:dyDescent="0.25">
      <c r="A2354">
        <v>237700</v>
      </c>
      <c r="B2354" t="s">
        <v>221</v>
      </c>
      <c r="C2354" t="s">
        <v>525</v>
      </c>
      <c r="D2354" t="s">
        <v>548</v>
      </c>
      <c r="E2354" s="3">
        <v>44562</v>
      </c>
      <c r="F2354" s="3">
        <v>44926</v>
      </c>
      <c r="G2354" t="s">
        <v>135</v>
      </c>
      <c r="H2354" s="3">
        <v>44562</v>
      </c>
      <c r="I2354" s="3">
        <v>44926</v>
      </c>
      <c r="J2354" t="s">
        <v>135</v>
      </c>
      <c r="K2354">
        <v>0</v>
      </c>
      <c r="L2354" t="s">
        <v>207</v>
      </c>
      <c r="M2354" t="s">
        <v>110</v>
      </c>
      <c r="O2354" t="s">
        <v>1048</v>
      </c>
      <c r="P2354" t="s">
        <v>550</v>
      </c>
      <c r="Q2354">
        <v>2022</v>
      </c>
      <c r="R2354" t="s">
        <v>609</v>
      </c>
      <c r="S2354" t="s">
        <v>610</v>
      </c>
      <c r="T2354" t="s">
        <v>577</v>
      </c>
      <c r="U2354" t="b">
        <v>0</v>
      </c>
      <c r="V2354" t="s">
        <v>632</v>
      </c>
      <c r="W2354" t="s">
        <v>571</v>
      </c>
      <c r="X2354" t="s">
        <v>572</v>
      </c>
      <c r="AC2354">
        <v>1</v>
      </c>
      <c r="AD2354" t="s">
        <v>565</v>
      </c>
      <c r="AE2354">
        <v>0</v>
      </c>
      <c r="AF2354">
        <v>3.1099999999999999E-2</v>
      </c>
      <c r="AG2354" t="s">
        <v>608</v>
      </c>
      <c r="AH2354">
        <v>277.77777780000002</v>
      </c>
      <c r="AI2354">
        <v>0</v>
      </c>
      <c r="AJ2354" t="s">
        <v>561</v>
      </c>
      <c r="AK2354" t="s">
        <v>589</v>
      </c>
      <c r="AL2354" t="s">
        <v>590</v>
      </c>
      <c r="AM2354">
        <v>2022</v>
      </c>
      <c r="AN2354">
        <v>2020</v>
      </c>
      <c r="AO2354">
        <f>IF(AND(emissions[[#This Row],[Market-based]]=0,emissions[[#This Row],[Impact Type]]="CO2E"),emissions[[#This Row],[kgCO2e]],0)/1000</f>
        <v>0</v>
      </c>
      <c r="AP2354">
        <f>IF(AND(emissions[[#This Row],[Market-based]]=1,OR(emissions[[#This Row],[Impact Type]]="CO2E",emissions[[#This Row],[Impact Type]]="CO2E MKT")),emissions[[#This Row],[kgCO2e]],0)/1000</f>
        <v>0</v>
      </c>
      <c r="AQ2354" t="str">
        <f>_xlfn.TEXTAFTER(emissions[[#This Row],[Reporting Unit]]," &gt; ",LEN(emissions[[#This Row],[Reporting Unit]])-LEN(SUBSTITUTE(emissions[[#This Row],[Reporting Unit]],"&gt;","")))</f>
        <v>Vantage_Santiago</v>
      </c>
      <c r="AR2354" t="str">
        <f>_xlfn.XLOOKUP(emissions[[#This Row],[Reporting unit name]],hierarchy!$A:$A,hierarchy!$C:$C)</f>
        <v>Unspecified Facility Type</v>
      </c>
    </row>
    <row r="2355" spans="1:44" hidden="1" x14ac:dyDescent="0.25">
      <c r="A2355">
        <v>1590460</v>
      </c>
      <c r="B2355" t="s">
        <v>221</v>
      </c>
      <c r="C2355" t="s">
        <v>525</v>
      </c>
      <c r="D2355" t="s">
        <v>548</v>
      </c>
      <c r="E2355" s="3">
        <v>44562</v>
      </c>
      <c r="F2355" s="3">
        <v>44926</v>
      </c>
      <c r="G2355" t="s">
        <v>116</v>
      </c>
      <c r="H2355" s="3">
        <v>44562</v>
      </c>
      <c r="I2355" s="3">
        <v>44926</v>
      </c>
      <c r="J2355" t="s">
        <v>117</v>
      </c>
      <c r="K2355">
        <v>1.34764028</v>
      </c>
      <c r="L2355" t="s">
        <v>118</v>
      </c>
      <c r="M2355" t="s">
        <v>82</v>
      </c>
      <c r="N2355" t="s">
        <v>120</v>
      </c>
      <c r="O2355" t="s">
        <v>631</v>
      </c>
      <c r="P2355" t="s">
        <v>631</v>
      </c>
      <c r="Q2355">
        <v>2022</v>
      </c>
      <c r="R2355" t="s">
        <v>619</v>
      </c>
      <c r="S2355" t="s">
        <v>620</v>
      </c>
      <c r="T2355" t="s">
        <v>553</v>
      </c>
      <c r="U2355" t="b">
        <v>0</v>
      </c>
      <c r="V2355" t="s">
        <v>621</v>
      </c>
      <c r="W2355" t="s">
        <v>587</v>
      </c>
      <c r="X2355" t="s">
        <v>556</v>
      </c>
      <c r="AC2355">
        <v>0</v>
      </c>
      <c r="AD2355" t="s">
        <v>565</v>
      </c>
      <c r="AE2355">
        <v>1927.1256000000001</v>
      </c>
      <c r="AF2355">
        <v>1430</v>
      </c>
      <c r="AG2355" t="s">
        <v>622</v>
      </c>
      <c r="AH2355">
        <v>1</v>
      </c>
      <c r="AI2355">
        <v>1.34764028</v>
      </c>
      <c r="AJ2355" t="s">
        <v>561</v>
      </c>
      <c r="AK2355" t="s">
        <v>623</v>
      </c>
      <c r="AL2355" t="s">
        <v>624</v>
      </c>
      <c r="AM2355">
        <v>2022</v>
      </c>
      <c r="AN2355">
        <v>2007</v>
      </c>
      <c r="AO2355">
        <f>IF(AND(emissions[[#This Row],[Market-based]]=0,emissions[[#This Row],[Impact Type]]="CO2E"),emissions[[#This Row],[kgCO2e]],0)/1000</f>
        <v>1.9271256000000001</v>
      </c>
      <c r="AP2355">
        <f>IF(AND(emissions[[#This Row],[Market-based]]=1,OR(emissions[[#This Row],[Impact Type]]="CO2E",emissions[[#This Row],[Impact Type]]="CO2E MKT")),emissions[[#This Row],[kgCO2e]],0)/1000</f>
        <v>0</v>
      </c>
      <c r="AQ2355" t="str">
        <f>_xlfn.TEXTAFTER(emissions[[#This Row],[Reporting Unit]]," &gt; ",LEN(emissions[[#This Row],[Reporting Unit]])-LEN(SUBSTITUTE(emissions[[#This Row],[Reporting Unit]],"&gt;","")))</f>
        <v>Vantage_Santiago</v>
      </c>
      <c r="AR2355" t="str">
        <f>_xlfn.XLOOKUP(emissions[[#This Row],[Reporting unit name]],hierarchy!$A:$A,hierarchy!$C:$C)</f>
        <v>Unspecified Facility Type</v>
      </c>
    </row>
    <row r="2356" spans="1:44" hidden="1" x14ac:dyDescent="0.25">
      <c r="A2356">
        <v>1590460</v>
      </c>
      <c r="B2356" t="s">
        <v>221</v>
      </c>
      <c r="C2356" t="s">
        <v>525</v>
      </c>
      <c r="D2356" t="s">
        <v>548</v>
      </c>
      <c r="E2356" s="3">
        <v>44562</v>
      </c>
      <c r="F2356" s="3">
        <v>44926</v>
      </c>
      <c r="G2356" t="s">
        <v>116</v>
      </c>
      <c r="H2356" s="3">
        <v>44562</v>
      </c>
      <c r="I2356" s="3">
        <v>44926</v>
      </c>
      <c r="J2356" t="s">
        <v>117</v>
      </c>
      <c r="K2356">
        <v>1.34764028</v>
      </c>
      <c r="L2356" t="s">
        <v>118</v>
      </c>
      <c r="M2356" t="s">
        <v>82</v>
      </c>
      <c r="N2356" t="s">
        <v>120</v>
      </c>
      <c r="O2356" t="s">
        <v>631</v>
      </c>
      <c r="P2356" t="s">
        <v>631</v>
      </c>
      <c r="Q2356">
        <v>2022</v>
      </c>
      <c r="R2356" t="s">
        <v>619</v>
      </c>
      <c r="S2356" t="s">
        <v>620</v>
      </c>
      <c r="T2356" t="s">
        <v>553</v>
      </c>
      <c r="U2356" t="b">
        <v>0</v>
      </c>
      <c r="V2356" t="s">
        <v>621</v>
      </c>
      <c r="W2356" t="s">
        <v>587</v>
      </c>
      <c r="X2356" t="s">
        <v>556</v>
      </c>
      <c r="AC2356">
        <v>1</v>
      </c>
      <c r="AD2356" t="s">
        <v>565</v>
      </c>
      <c r="AE2356">
        <v>1927.1256000000001</v>
      </c>
      <c r="AF2356">
        <v>1430</v>
      </c>
      <c r="AG2356" t="s">
        <v>622</v>
      </c>
      <c r="AH2356">
        <v>1</v>
      </c>
      <c r="AI2356">
        <v>1.34764028</v>
      </c>
      <c r="AJ2356" t="s">
        <v>561</v>
      </c>
      <c r="AK2356" t="s">
        <v>623</v>
      </c>
      <c r="AL2356" t="s">
        <v>624</v>
      </c>
      <c r="AM2356">
        <v>2022</v>
      </c>
      <c r="AN2356">
        <v>2007</v>
      </c>
      <c r="AO2356">
        <f>IF(AND(emissions[[#This Row],[Market-based]]=0,emissions[[#This Row],[Impact Type]]="CO2E"),emissions[[#This Row],[kgCO2e]],0)/1000</f>
        <v>0</v>
      </c>
      <c r="AP2356">
        <f>IF(AND(emissions[[#This Row],[Market-based]]=1,OR(emissions[[#This Row],[Impact Type]]="CO2E",emissions[[#This Row],[Impact Type]]="CO2E MKT")),emissions[[#This Row],[kgCO2e]],0)/1000</f>
        <v>1.9271256000000001</v>
      </c>
      <c r="AQ2356" t="str">
        <f>_xlfn.TEXTAFTER(emissions[[#This Row],[Reporting Unit]]," &gt; ",LEN(emissions[[#This Row],[Reporting Unit]])-LEN(SUBSTITUTE(emissions[[#This Row],[Reporting Unit]],"&gt;","")))</f>
        <v>Vantage_Santiago</v>
      </c>
      <c r="AR2356" t="str">
        <f>_xlfn.XLOOKUP(emissions[[#This Row],[Reporting unit name]],hierarchy!$A:$A,hierarchy!$C:$C)</f>
        <v>Unspecified Facility Type</v>
      </c>
    </row>
    <row r="2357" spans="1:44" hidden="1" x14ac:dyDescent="0.25">
      <c r="A2357">
        <v>4960</v>
      </c>
      <c r="B2357" t="s">
        <v>221</v>
      </c>
      <c r="C2357" t="s">
        <v>525</v>
      </c>
      <c r="D2357" t="s">
        <v>599</v>
      </c>
      <c r="E2357" s="3">
        <v>44197</v>
      </c>
      <c r="F2357" s="3">
        <v>44561</v>
      </c>
      <c r="G2357" t="s">
        <v>108</v>
      </c>
      <c r="H2357" s="3">
        <v>44197</v>
      </c>
      <c r="I2357" s="3">
        <v>44561</v>
      </c>
      <c r="J2357" t="s">
        <v>108</v>
      </c>
      <c r="K2357">
        <v>16408</v>
      </c>
      <c r="L2357" t="s">
        <v>109</v>
      </c>
      <c r="M2357" t="s">
        <v>110</v>
      </c>
      <c r="O2357" t="s">
        <v>600</v>
      </c>
      <c r="P2357" t="s">
        <v>550</v>
      </c>
      <c r="Q2357">
        <v>2021</v>
      </c>
      <c r="R2357" t="s">
        <v>551</v>
      </c>
      <c r="S2357" t="s">
        <v>552</v>
      </c>
      <c r="T2357" t="s">
        <v>553</v>
      </c>
      <c r="U2357" t="b">
        <v>0</v>
      </c>
      <c r="V2357" t="s">
        <v>1043</v>
      </c>
      <c r="W2357" t="s">
        <v>555</v>
      </c>
      <c r="X2357" t="s">
        <v>556</v>
      </c>
      <c r="Y2357" t="s">
        <v>472</v>
      </c>
      <c r="Z2357" t="s">
        <v>491</v>
      </c>
      <c r="AA2357" t="s">
        <v>1044</v>
      </c>
      <c r="AC2357">
        <v>0</v>
      </c>
      <c r="AD2357" t="s">
        <v>558</v>
      </c>
      <c r="AE2357">
        <v>1.6408</v>
      </c>
      <c r="AF2357" t="s">
        <v>559</v>
      </c>
      <c r="AG2357" t="s">
        <v>560</v>
      </c>
      <c r="AH2357">
        <v>1</v>
      </c>
      <c r="AI2357">
        <v>16408</v>
      </c>
      <c r="AJ2357" t="s">
        <v>561</v>
      </c>
      <c r="AK2357" t="s">
        <v>562</v>
      </c>
      <c r="AL2357" t="s">
        <v>601</v>
      </c>
      <c r="AM2357">
        <v>2021</v>
      </c>
      <c r="AN2357">
        <v>2019</v>
      </c>
      <c r="AO2357">
        <f>IF(AND(emissions[[#This Row],[Market-based]]=0,emissions[[#This Row],[Impact Type]]="CO2E"),emissions[[#This Row],[kgCO2e]],0)/1000</f>
        <v>0</v>
      </c>
      <c r="AP2357">
        <f>IF(AND(emissions[[#This Row],[Market-based]]=1,OR(emissions[[#This Row],[Impact Type]]="CO2E",emissions[[#This Row],[Impact Type]]="CO2E MKT")),emissions[[#This Row],[kgCO2e]],0)/1000</f>
        <v>0</v>
      </c>
      <c r="AQ2357" t="str">
        <f>_xlfn.TEXTAFTER(emissions[[#This Row],[Reporting Unit]]," &gt; ",LEN(emissions[[#This Row],[Reporting Unit]])-LEN(SUBSTITUTE(emissions[[#This Row],[Reporting Unit]],"&gt;","")))</f>
        <v>Vantage_Santiago</v>
      </c>
      <c r="AR2357" t="str">
        <f>_xlfn.XLOOKUP(emissions[[#This Row],[Reporting unit name]],hierarchy!$A:$A,hierarchy!$C:$C)</f>
        <v>Unspecified Facility Type</v>
      </c>
    </row>
    <row r="2358" spans="1:44" hidden="1" x14ac:dyDescent="0.25">
      <c r="A2358">
        <v>4960</v>
      </c>
      <c r="B2358" t="s">
        <v>221</v>
      </c>
      <c r="C2358" t="s">
        <v>525</v>
      </c>
      <c r="D2358" t="s">
        <v>599</v>
      </c>
      <c r="E2358" s="3">
        <v>44197</v>
      </c>
      <c r="F2358" s="3">
        <v>44561</v>
      </c>
      <c r="G2358" t="s">
        <v>108</v>
      </c>
      <c r="H2358" s="3">
        <v>44197</v>
      </c>
      <c r="I2358" s="3">
        <v>44561</v>
      </c>
      <c r="J2358" t="s">
        <v>108</v>
      </c>
      <c r="K2358">
        <v>16408</v>
      </c>
      <c r="L2358" t="s">
        <v>109</v>
      </c>
      <c r="M2358" t="s">
        <v>110</v>
      </c>
      <c r="O2358" t="s">
        <v>600</v>
      </c>
      <c r="P2358" t="s">
        <v>550</v>
      </c>
      <c r="Q2358">
        <v>2021</v>
      </c>
      <c r="R2358" t="s">
        <v>551</v>
      </c>
      <c r="S2358" t="s">
        <v>552</v>
      </c>
      <c r="T2358" t="s">
        <v>553</v>
      </c>
      <c r="U2358" t="b">
        <v>0</v>
      </c>
      <c r="V2358" t="s">
        <v>1043</v>
      </c>
      <c r="W2358" t="s">
        <v>555</v>
      </c>
      <c r="X2358" t="s">
        <v>556</v>
      </c>
      <c r="Y2358" t="s">
        <v>472</v>
      </c>
      <c r="Z2358" t="s">
        <v>491</v>
      </c>
      <c r="AA2358" t="s">
        <v>1044</v>
      </c>
      <c r="AC2358">
        <v>0</v>
      </c>
      <c r="AD2358" t="s">
        <v>564</v>
      </c>
      <c r="AE2358">
        <v>7249.0544</v>
      </c>
      <c r="AF2358" t="s">
        <v>559</v>
      </c>
      <c r="AG2358" t="s">
        <v>560</v>
      </c>
      <c r="AH2358">
        <v>1</v>
      </c>
      <c r="AI2358">
        <v>16408</v>
      </c>
      <c r="AJ2358" t="s">
        <v>561</v>
      </c>
      <c r="AK2358" t="s">
        <v>562</v>
      </c>
      <c r="AL2358" t="s">
        <v>601</v>
      </c>
      <c r="AM2358">
        <v>2021</v>
      </c>
      <c r="AN2358">
        <v>2019</v>
      </c>
      <c r="AO2358">
        <f>IF(AND(emissions[[#This Row],[Market-based]]=0,emissions[[#This Row],[Impact Type]]="CO2E"),emissions[[#This Row],[kgCO2e]],0)/1000</f>
        <v>0</v>
      </c>
      <c r="AP2358">
        <f>IF(AND(emissions[[#This Row],[Market-based]]=1,OR(emissions[[#This Row],[Impact Type]]="CO2E",emissions[[#This Row],[Impact Type]]="CO2E MKT")),emissions[[#This Row],[kgCO2e]],0)/1000</f>
        <v>0</v>
      </c>
      <c r="AQ2358" t="str">
        <f>_xlfn.TEXTAFTER(emissions[[#This Row],[Reporting Unit]]," &gt; ",LEN(emissions[[#This Row],[Reporting Unit]])-LEN(SUBSTITUTE(emissions[[#This Row],[Reporting Unit]],"&gt;","")))</f>
        <v>Vantage_Santiago</v>
      </c>
      <c r="AR2358" t="str">
        <f>_xlfn.XLOOKUP(emissions[[#This Row],[Reporting unit name]],hierarchy!$A:$A,hierarchy!$C:$C)</f>
        <v>Unspecified Facility Type</v>
      </c>
    </row>
    <row r="2359" spans="1:44" hidden="1" x14ac:dyDescent="0.25">
      <c r="A2359">
        <v>4960</v>
      </c>
      <c r="B2359" t="s">
        <v>221</v>
      </c>
      <c r="C2359" t="s">
        <v>525</v>
      </c>
      <c r="D2359" t="s">
        <v>599</v>
      </c>
      <c r="E2359" s="3">
        <v>44197</v>
      </c>
      <c r="F2359" s="3">
        <v>44561</v>
      </c>
      <c r="G2359" t="s">
        <v>108</v>
      </c>
      <c r="H2359" s="3">
        <v>44197</v>
      </c>
      <c r="I2359" s="3">
        <v>44561</v>
      </c>
      <c r="J2359" t="s">
        <v>108</v>
      </c>
      <c r="K2359">
        <v>16408</v>
      </c>
      <c r="L2359" t="s">
        <v>109</v>
      </c>
      <c r="M2359" t="s">
        <v>110</v>
      </c>
      <c r="O2359" t="s">
        <v>600</v>
      </c>
      <c r="P2359" t="s">
        <v>550</v>
      </c>
      <c r="Q2359">
        <v>2021</v>
      </c>
      <c r="R2359" t="s">
        <v>551</v>
      </c>
      <c r="S2359" t="s">
        <v>552</v>
      </c>
      <c r="T2359" t="s">
        <v>553</v>
      </c>
      <c r="U2359" t="b">
        <v>0</v>
      </c>
      <c r="V2359" t="s">
        <v>1043</v>
      </c>
      <c r="W2359" t="s">
        <v>555</v>
      </c>
      <c r="X2359" t="s">
        <v>556</v>
      </c>
      <c r="Y2359" t="s">
        <v>472</v>
      </c>
      <c r="Z2359" t="s">
        <v>491</v>
      </c>
      <c r="AA2359" t="s">
        <v>1044</v>
      </c>
      <c r="AC2359">
        <v>0</v>
      </c>
      <c r="AD2359" t="s">
        <v>565</v>
      </c>
      <c r="AE2359">
        <v>7278.5888000000004</v>
      </c>
      <c r="AF2359" t="s">
        <v>559</v>
      </c>
      <c r="AG2359" t="s">
        <v>560</v>
      </c>
      <c r="AH2359">
        <v>1</v>
      </c>
      <c r="AI2359">
        <v>16408</v>
      </c>
      <c r="AJ2359" t="s">
        <v>561</v>
      </c>
      <c r="AK2359" t="s">
        <v>562</v>
      </c>
      <c r="AL2359" t="s">
        <v>601</v>
      </c>
      <c r="AM2359">
        <v>2021</v>
      </c>
      <c r="AN2359">
        <v>2019</v>
      </c>
      <c r="AO2359">
        <f>IF(AND(emissions[[#This Row],[Market-based]]=0,emissions[[#This Row],[Impact Type]]="CO2E"),emissions[[#This Row],[kgCO2e]],0)/1000</f>
        <v>7.2785888000000005</v>
      </c>
      <c r="AP2359">
        <f>IF(AND(emissions[[#This Row],[Market-based]]=1,OR(emissions[[#This Row],[Impact Type]]="CO2E",emissions[[#This Row],[Impact Type]]="CO2E MKT")),emissions[[#This Row],[kgCO2e]],0)/1000</f>
        <v>0</v>
      </c>
      <c r="AQ2359" t="str">
        <f>_xlfn.TEXTAFTER(emissions[[#This Row],[Reporting Unit]]," &gt; ",LEN(emissions[[#This Row],[Reporting Unit]])-LEN(SUBSTITUTE(emissions[[#This Row],[Reporting Unit]],"&gt;","")))</f>
        <v>Vantage_Santiago</v>
      </c>
      <c r="AR2359" t="str">
        <f>_xlfn.XLOOKUP(emissions[[#This Row],[Reporting unit name]],hierarchy!$A:$A,hierarchy!$C:$C)</f>
        <v>Unspecified Facility Type</v>
      </c>
    </row>
    <row r="2360" spans="1:44" hidden="1" x14ac:dyDescent="0.25">
      <c r="A2360">
        <v>4960</v>
      </c>
      <c r="B2360" t="s">
        <v>221</v>
      </c>
      <c r="C2360" t="s">
        <v>525</v>
      </c>
      <c r="D2360" t="s">
        <v>599</v>
      </c>
      <c r="E2360" s="3">
        <v>44197</v>
      </c>
      <c r="F2360" s="3">
        <v>44561</v>
      </c>
      <c r="G2360" t="s">
        <v>108</v>
      </c>
      <c r="H2360" s="3">
        <v>44197</v>
      </c>
      <c r="I2360" s="3">
        <v>44561</v>
      </c>
      <c r="J2360" t="s">
        <v>108</v>
      </c>
      <c r="K2360">
        <v>16408</v>
      </c>
      <c r="L2360" t="s">
        <v>109</v>
      </c>
      <c r="M2360" t="s">
        <v>110</v>
      </c>
      <c r="O2360" t="s">
        <v>600</v>
      </c>
      <c r="P2360" t="s">
        <v>550</v>
      </c>
      <c r="Q2360">
        <v>2021</v>
      </c>
      <c r="R2360" t="s">
        <v>551</v>
      </c>
      <c r="S2360" t="s">
        <v>552</v>
      </c>
      <c r="T2360" t="s">
        <v>553</v>
      </c>
      <c r="U2360" t="b">
        <v>0</v>
      </c>
      <c r="V2360" t="s">
        <v>1043</v>
      </c>
      <c r="W2360" t="s">
        <v>555</v>
      </c>
      <c r="X2360" t="s">
        <v>556</v>
      </c>
      <c r="Y2360" t="s">
        <v>472</v>
      </c>
      <c r="Z2360" t="s">
        <v>491</v>
      </c>
      <c r="AA2360" t="s">
        <v>1044</v>
      </c>
      <c r="AC2360">
        <v>0</v>
      </c>
      <c r="AD2360" t="s">
        <v>566</v>
      </c>
      <c r="AE2360">
        <v>27.893599999999999</v>
      </c>
      <c r="AF2360" t="s">
        <v>559</v>
      </c>
      <c r="AG2360" t="s">
        <v>560</v>
      </c>
      <c r="AH2360">
        <v>1</v>
      </c>
      <c r="AI2360">
        <v>16408</v>
      </c>
      <c r="AJ2360" t="s">
        <v>561</v>
      </c>
      <c r="AK2360" t="s">
        <v>562</v>
      </c>
      <c r="AL2360" t="s">
        <v>601</v>
      </c>
      <c r="AM2360">
        <v>2021</v>
      </c>
      <c r="AN2360">
        <v>2019</v>
      </c>
      <c r="AO2360">
        <f>IF(AND(emissions[[#This Row],[Market-based]]=0,emissions[[#This Row],[Impact Type]]="CO2E"),emissions[[#This Row],[kgCO2e]],0)/1000</f>
        <v>0</v>
      </c>
      <c r="AP2360">
        <f>IF(AND(emissions[[#This Row],[Market-based]]=1,OR(emissions[[#This Row],[Impact Type]]="CO2E",emissions[[#This Row],[Impact Type]]="CO2E MKT")),emissions[[#This Row],[kgCO2e]],0)/1000</f>
        <v>0</v>
      </c>
      <c r="AQ2360" t="str">
        <f>_xlfn.TEXTAFTER(emissions[[#This Row],[Reporting Unit]]," &gt; ",LEN(emissions[[#This Row],[Reporting Unit]])-LEN(SUBSTITUTE(emissions[[#This Row],[Reporting Unit]],"&gt;","")))</f>
        <v>Vantage_Santiago</v>
      </c>
      <c r="AR2360" t="str">
        <f>_xlfn.XLOOKUP(emissions[[#This Row],[Reporting unit name]],hierarchy!$A:$A,hierarchy!$C:$C)</f>
        <v>Unspecified Facility Type</v>
      </c>
    </row>
    <row r="2361" spans="1:44" hidden="1" x14ac:dyDescent="0.25">
      <c r="A2361">
        <v>4960</v>
      </c>
      <c r="B2361" t="s">
        <v>221</v>
      </c>
      <c r="C2361" t="s">
        <v>525</v>
      </c>
      <c r="D2361" t="s">
        <v>599</v>
      </c>
      <c r="E2361" s="3">
        <v>44197</v>
      </c>
      <c r="F2361" s="3">
        <v>44561</v>
      </c>
      <c r="G2361" t="s">
        <v>108</v>
      </c>
      <c r="H2361" s="3">
        <v>44197</v>
      </c>
      <c r="I2361" s="3">
        <v>44561</v>
      </c>
      <c r="J2361" t="s">
        <v>108</v>
      </c>
      <c r="K2361">
        <v>16408</v>
      </c>
      <c r="L2361" t="s">
        <v>109</v>
      </c>
      <c r="M2361" t="s">
        <v>110</v>
      </c>
      <c r="O2361" t="s">
        <v>600</v>
      </c>
      <c r="P2361" t="s">
        <v>550</v>
      </c>
      <c r="Q2361">
        <v>2021</v>
      </c>
      <c r="R2361" t="s">
        <v>551</v>
      </c>
      <c r="S2361" t="s">
        <v>552</v>
      </c>
      <c r="T2361" t="s">
        <v>553</v>
      </c>
      <c r="U2361" t="b">
        <v>0</v>
      </c>
      <c r="V2361" t="s">
        <v>1043</v>
      </c>
      <c r="W2361" t="s">
        <v>555</v>
      </c>
      <c r="X2361" t="s">
        <v>556</v>
      </c>
      <c r="Y2361" t="s">
        <v>472</v>
      </c>
      <c r="Z2361" t="s">
        <v>491</v>
      </c>
      <c r="AA2361" t="s">
        <v>1044</v>
      </c>
      <c r="AC2361">
        <v>1</v>
      </c>
      <c r="AD2361" t="s">
        <v>558</v>
      </c>
      <c r="AE2361">
        <v>1.6408</v>
      </c>
      <c r="AF2361" t="s">
        <v>559</v>
      </c>
      <c r="AG2361" t="s">
        <v>560</v>
      </c>
      <c r="AH2361">
        <v>1</v>
      </c>
      <c r="AI2361">
        <v>16408</v>
      </c>
      <c r="AJ2361" t="s">
        <v>561</v>
      </c>
      <c r="AK2361" t="s">
        <v>562</v>
      </c>
      <c r="AL2361" t="s">
        <v>601</v>
      </c>
      <c r="AM2361">
        <v>2021</v>
      </c>
      <c r="AN2361">
        <v>2019</v>
      </c>
      <c r="AO2361">
        <f>IF(AND(emissions[[#This Row],[Market-based]]=0,emissions[[#This Row],[Impact Type]]="CO2E"),emissions[[#This Row],[kgCO2e]],0)/1000</f>
        <v>0</v>
      </c>
      <c r="AP2361">
        <f>IF(AND(emissions[[#This Row],[Market-based]]=1,OR(emissions[[#This Row],[Impact Type]]="CO2E",emissions[[#This Row],[Impact Type]]="CO2E MKT")),emissions[[#This Row],[kgCO2e]],0)/1000</f>
        <v>0</v>
      </c>
      <c r="AQ2361" t="str">
        <f>_xlfn.TEXTAFTER(emissions[[#This Row],[Reporting Unit]]," &gt; ",LEN(emissions[[#This Row],[Reporting Unit]])-LEN(SUBSTITUTE(emissions[[#This Row],[Reporting Unit]],"&gt;","")))</f>
        <v>Vantage_Santiago</v>
      </c>
      <c r="AR2361" t="str">
        <f>_xlfn.XLOOKUP(emissions[[#This Row],[Reporting unit name]],hierarchy!$A:$A,hierarchy!$C:$C)</f>
        <v>Unspecified Facility Type</v>
      </c>
    </row>
    <row r="2362" spans="1:44" hidden="1" x14ac:dyDescent="0.25">
      <c r="A2362">
        <v>4960</v>
      </c>
      <c r="B2362" t="s">
        <v>221</v>
      </c>
      <c r="C2362" t="s">
        <v>525</v>
      </c>
      <c r="D2362" t="s">
        <v>599</v>
      </c>
      <c r="E2362" s="3">
        <v>44197</v>
      </c>
      <c r="F2362" s="3">
        <v>44561</v>
      </c>
      <c r="G2362" t="s">
        <v>108</v>
      </c>
      <c r="H2362" s="3">
        <v>44197</v>
      </c>
      <c r="I2362" s="3">
        <v>44561</v>
      </c>
      <c r="J2362" t="s">
        <v>108</v>
      </c>
      <c r="K2362">
        <v>16408</v>
      </c>
      <c r="L2362" t="s">
        <v>109</v>
      </c>
      <c r="M2362" t="s">
        <v>110</v>
      </c>
      <c r="O2362" t="s">
        <v>600</v>
      </c>
      <c r="P2362" t="s">
        <v>550</v>
      </c>
      <c r="Q2362">
        <v>2021</v>
      </c>
      <c r="R2362" t="s">
        <v>551</v>
      </c>
      <c r="S2362" t="s">
        <v>552</v>
      </c>
      <c r="T2362" t="s">
        <v>553</v>
      </c>
      <c r="U2362" t="b">
        <v>0</v>
      </c>
      <c r="V2362" t="s">
        <v>1043</v>
      </c>
      <c r="W2362" t="s">
        <v>555</v>
      </c>
      <c r="X2362" t="s">
        <v>556</v>
      </c>
      <c r="Y2362" t="s">
        <v>472</v>
      </c>
      <c r="Z2362" t="s">
        <v>491</v>
      </c>
      <c r="AA2362" t="s">
        <v>1044</v>
      </c>
      <c r="AC2362">
        <v>1</v>
      </c>
      <c r="AD2362" t="s">
        <v>564</v>
      </c>
      <c r="AE2362">
        <v>7249.0544</v>
      </c>
      <c r="AF2362" t="s">
        <v>559</v>
      </c>
      <c r="AG2362" t="s">
        <v>560</v>
      </c>
      <c r="AH2362">
        <v>1</v>
      </c>
      <c r="AI2362">
        <v>16408</v>
      </c>
      <c r="AJ2362" t="s">
        <v>561</v>
      </c>
      <c r="AK2362" t="s">
        <v>562</v>
      </c>
      <c r="AL2362" t="s">
        <v>601</v>
      </c>
      <c r="AM2362">
        <v>2021</v>
      </c>
      <c r="AN2362">
        <v>2019</v>
      </c>
      <c r="AO2362">
        <f>IF(AND(emissions[[#This Row],[Market-based]]=0,emissions[[#This Row],[Impact Type]]="CO2E"),emissions[[#This Row],[kgCO2e]],0)/1000</f>
        <v>0</v>
      </c>
      <c r="AP2362">
        <f>IF(AND(emissions[[#This Row],[Market-based]]=1,OR(emissions[[#This Row],[Impact Type]]="CO2E",emissions[[#This Row],[Impact Type]]="CO2E MKT")),emissions[[#This Row],[kgCO2e]],0)/1000</f>
        <v>0</v>
      </c>
      <c r="AQ2362" t="str">
        <f>_xlfn.TEXTAFTER(emissions[[#This Row],[Reporting Unit]]," &gt; ",LEN(emissions[[#This Row],[Reporting Unit]])-LEN(SUBSTITUTE(emissions[[#This Row],[Reporting Unit]],"&gt;","")))</f>
        <v>Vantage_Santiago</v>
      </c>
      <c r="AR2362" t="str">
        <f>_xlfn.XLOOKUP(emissions[[#This Row],[Reporting unit name]],hierarchy!$A:$A,hierarchy!$C:$C)</f>
        <v>Unspecified Facility Type</v>
      </c>
    </row>
    <row r="2363" spans="1:44" hidden="1" x14ac:dyDescent="0.25">
      <c r="A2363">
        <v>4960</v>
      </c>
      <c r="B2363" t="s">
        <v>221</v>
      </c>
      <c r="C2363" t="s">
        <v>525</v>
      </c>
      <c r="D2363" t="s">
        <v>599</v>
      </c>
      <c r="E2363" s="3">
        <v>44197</v>
      </c>
      <c r="F2363" s="3">
        <v>44561</v>
      </c>
      <c r="G2363" t="s">
        <v>108</v>
      </c>
      <c r="H2363" s="3">
        <v>44197</v>
      </c>
      <c r="I2363" s="3">
        <v>44561</v>
      </c>
      <c r="J2363" t="s">
        <v>108</v>
      </c>
      <c r="K2363">
        <v>16408</v>
      </c>
      <c r="L2363" t="s">
        <v>109</v>
      </c>
      <c r="M2363" t="s">
        <v>110</v>
      </c>
      <c r="O2363" t="s">
        <v>600</v>
      </c>
      <c r="P2363" t="s">
        <v>550</v>
      </c>
      <c r="Q2363">
        <v>2021</v>
      </c>
      <c r="R2363" t="s">
        <v>551</v>
      </c>
      <c r="S2363" t="s">
        <v>552</v>
      </c>
      <c r="T2363" t="s">
        <v>553</v>
      </c>
      <c r="U2363" t="b">
        <v>0</v>
      </c>
      <c r="V2363" t="s">
        <v>1043</v>
      </c>
      <c r="W2363" t="s">
        <v>555</v>
      </c>
      <c r="X2363" t="s">
        <v>556</v>
      </c>
      <c r="Y2363" t="s">
        <v>472</v>
      </c>
      <c r="Z2363" t="s">
        <v>491</v>
      </c>
      <c r="AA2363" t="s">
        <v>1044</v>
      </c>
      <c r="AC2363">
        <v>1</v>
      </c>
      <c r="AD2363" t="s">
        <v>565</v>
      </c>
      <c r="AE2363">
        <v>7278.5888000000004</v>
      </c>
      <c r="AF2363" t="s">
        <v>559</v>
      </c>
      <c r="AG2363" t="s">
        <v>560</v>
      </c>
      <c r="AH2363">
        <v>1</v>
      </c>
      <c r="AI2363">
        <v>16408</v>
      </c>
      <c r="AJ2363" t="s">
        <v>561</v>
      </c>
      <c r="AK2363" t="s">
        <v>562</v>
      </c>
      <c r="AL2363" t="s">
        <v>601</v>
      </c>
      <c r="AM2363">
        <v>2021</v>
      </c>
      <c r="AN2363">
        <v>2019</v>
      </c>
      <c r="AO2363">
        <f>IF(AND(emissions[[#This Row],[Market-based]]=0,emissions[[#This Row],[Impact Type]]="CO2E"),emissions[[#This Row],[kgCO2e]],0)/1000</f>
        <v>0</v>
      </c>
      <c r="AP2363">
        <f>IF(AND(emissions[[#This Row],[Market-based]]=1,OR(emissions[[#This Row],[Impact Type]]="CO2E",emissions[[#This Row],[Impact Type]]="CO2E MKT")),emissions[[#This Row],[kgCO2e]],0)/1000</f>
        <v>7.2785888000000005</v>
      </c>
      <c r="AQ2363" t="str">
        <f>_xlfn.TEXTAFTER(emissions[[#This Row],[Reporting Unit]]," &gt; ",LEN(emissions[[#This Row],[Reporting Unit]])-LEN(SUBSTITUTE(emissions[[#This Row],[Reporting Unit]],"&gt;","")))</f>
        <v>Vantage_Santiago</v>
      </c>
      <c r="AR2363" t="str">
        <f>_xlfn.XLOOKUP(emissions[[#This Row],[Reporting unit name]],hierarchy!$A:$A,hierarchy!$C:$C)</f>
        <v>Unspecified Facility Type</v>
      </c>
    </row>
    <row r="2364" spans="1:44" hidden="1" x14ac:dyDescent="0.25">
      <c r="A2364">
        <v>4960</v>
      </c>
      <c r="B2364" t="s">
        <v>221</v>
      </c>
      <c r="C2364" t="s">
        <v>525</v>
      </c>
      <c r="D2364" t="s">
        <v>599</v>
      </c>
      <c r="E2364" s="3">
        <v>44197</v>
      </c>
      <c r="F2364" s="3">
        <v>44561</v>
      </c>
      <c r="G2364" t="s">
        <v>108</v>
      </c>
      <c r="H2364" s="3">
        <v>44197</v>
      </c>
      <c r="I2364" s="3">
        <v>44561</v>
      </c>
      <c r="J2364" t="s">
        <v>108</v>
      </c>
      <c r="K2364">
        <v>16408</v>
      </c>
      <c r="L2364" t="s">
        <v>109</v>
      </c>
      <c r="M2364" t="s">
        <v>110</v>
      </c>
      <c r="O2364" t="s">
        <v>600</v>
      </c>
      <c r="P2364" t="s">
        <v>550</v>
      </c>
      <c r="Q2364">
        <v>2021</v>
      </c>
      <c r="R2364" t="s">
        <v>551</v>
      </c>
      <c r="S2364" t="s">
        <v>552</v>
      </c>
      <c r="T2364" t="s">
        <v>553</v>
      </c>
      <c r="U2364" t="b">
        <v>0</v>
      </c>
      <c r="V2364" t="s">
        <v>1043</v>
      </c>
      <c r="W2364" t="s">
        <v>555</v>
      </c>
      <c r="X2364" t="s">
        <v>556</v>
      </c>
      <c r="Y2364" t="s">
        <v>472</v>
      </c>
      <c r="Z2364" t="s">
        <v>491</v>
      </c>
      <c r="AA2364" t="s">
        <v>1044</v>
      </c>
      <c r="AC2364">
        <v>1</v>
      </c>
      <c r="AD2364" t="s">
        <v>566</v>
      </c>
      <c r="AE2364">
        <v>27.893599999999999</v>
      </c>
      <c r="AF2364" t="s">
        <v>559</v>
      </c>
      <c r="AG2364" t="s">
        <v>560</v>
      </c>
      <c r="AH2364">
        <v>1</v>
      </c>
      <c r="AI2364">
        <v>16408</v>
      </c>
      <c r="AJ2364" t="s">
        <v>561</v>
      </c>
      <c r="AK2364" t="s">
        <v>562</v>
      </c>
      <c r="AL2364" t="s">
        <v>601</v>
      </c>
      <c r="AM2364">
        <v>2021</v>
      </c>
      <c r="AN2364">
        <v>2019</v>
      </c>
      <c r="AO2364">
        <f>IF(AND(emissions[[#This Row],[Market-based]]=0,emissions[[#This Row],[Impact Type]]="CO2E"),emissions[[#This Row],[kgCO2e]],0)/1000</f>
        <v>0</v>
      </c>
      <c r="AP2364">
        <f>IF(AND(emissions[[#This Row],[Market-based]]=1,OR(emissions[[#This Row],[Impact Type]]="CO2E",emissions[[#This Row],[Impact Type]]="CO2E MKT")),emissions[[#This Row],[kgCO2e]],0)/1000</f>
        <v>0</v>
      </c>
      <c r="AQ2364" t="str">
        <f>_xlfn.TEXTAFTER(emissions[[#This Row],[Reporting Unit]]," &gt; ",LEN(emissions[[#This Row],[Reporting Unit]])-LEN(SUBSTITUTE(emissions[[#This Row],[Reporting Unit]],"&gt;","")))</f>
        <v>Vantage_Santiago</v>
      </c>
      <c r="AR2364" t="str">
        <f>_xlfn.XLOOKUP(emissions[[#This Row],[Reporting unit name]],hierarchy!$A:$A,hierarchy!$C:$C)</f>
        <v>Unspecified Facility Type</v>
      </c>
    </row>
    <row r="2365" spans="1:44" hidden="1" x14ac:dyDescent="0.25">
      <c r="A2365">
        <v>4960</v>
      </c>
      <c r="B2365" t="s">
        <v>221</v>
      </c>
      <c r="C2365" t="s">
        <v>525</v>
      </c>
      <c r="D2365" t="s">
        <v>599</v>
      </c>
      <c r="E2365" s="3">
        <v>44197</v>
      </c>
      <c r="F2365" s="3">
        <v>44561</v>
      </c>
      <c r="G2365" t="s">
        <v>108</v>
      </c>
      <c r="H2365" s="3">
        <v>44197</v>
      </c>
      <c r="I2365" s="3">
        <v>44561</v>
      </c>
      <c r="J2365" t="s">
        <v>108</v>
      </c>
      <c r="K2365">
        <v>16408</v>
      </c>
      <c r="L2365" t="s">
        <v>109</v>
      </c>
      <c r="M2365" t="s">
        <v>110</v>
      </c>
      <c r="O2365" t="s">
        <v>600</v>
      </c>
      <c r="P2365" t="s">
        <v>550</v>
      </c>
      <c r="Q2365">
        <v>2021</v>
      </c>
      <c r="R2365" t="s">
        <v>567</v>
      </c>
      <c r="S2365" t="s">
        <v>568</v>
      </c>
      <c r="T2365" t="s">
        <v>569</v>
      </c>
      <c r="U2365" t="b">
        <v>0</v>
      </c>
      <c r="V2365" t="s">
        <v>1049</v>
      </c>
      <c r="W2365" t="s">
        <v>571</v>
      </c>
      <c r="X2365" t="s">
        <v>572</v>
      </c>
      <c r="Y2365" t="s">
        <v>472</v>
      </c>
      <c r="Z2365" t="s">
        <v>491</v>
      </c>
      <c r="AA2365" t="s">
        <v>1044</v>
      </c>
      <c r="AC2365">
        <v>0</v>
      </c>
      <c r="AD2365" t="s">
        <v>558</v>
      </c>
      <c r="AE2365">
        <v>4.1513878999999997E-2</v>
      </c>
      <c r="AF2365" s="13">
        <v>2.5301000000000001E-6</v>
      </c>
      <c r="AG2365" t="s">
        <v>560</v>
      </c>
      <c r="AH2365">
        <v>1</v>
      </c>
      <c r="AI2365">
        <v>16408</v>
      </c>
      <c r="AJ2365" t="s">
        <v>561</v>
      </c>
      <c r="AK2365" t="s">
        <v>573</v>
      </c>
      <c r="AL2365" t="s">
        <v>1050</v>
      </c>
      <c r="AM2365">
        <v>2021</v>
      </c>
      <c r="AN2365">
        <v>2019</v>
      </c>
      <c r="AO2365">
        <f>IF(AND(emissions[[#This Row],[Market-based]]=0,emissions[[#This Row],[Impact Type]]="CO2E"),emissions[[#This Row],[kgCO2e]],0)/1000</f>
        <v>0</v>
      </c>
      <c r="AP2365">
        <f>IF(AND(emissions[[#This Row],[Market-based]]=1,OR(emissions[[#This Row],[Impact Type]]="CO2E",emissions[[#This Row],[Impact Type]]="CO2E MKT")),emissions[[#This Row],[kgCO2e]],0)/1000</f>
        <v>0</v>
      </c>
      <c r="AQ2365" t="str">
        <f>_xlfn.TEXTAFTER(emissions[[#This Row],[Reporting Unit]]," &gt; ",LEN(emissions[[#This Row],[Reporting Unit]])-LEN(SUBSTITUTE(emissions[[#This Row],[Reporting Unit]],"&gt;","")))</f>
        <v>Vantage_Santiago</v>
      </c>
      <c r="AR2365" t="str">
        <f>_xlfn.XLOOKUP(emissions[[#This Row],[Reporting unit name]],hierarchy!$A:$A,hierarchy!$C:$C)</f>
        <v>Unspecified Facility Type</v>
      </c>
    </row>
    <row r="2366" spans="1:44" hidden="1" x14ac:dyDescent="0.25">
      <c r="A2366">
        <v>4960</v>
      </c>
      <c r="B2366" t="s">
        <v>221</v>
      </c>
      <c r="C2366" t="s">
        <v>525</v>
      </c>
      <c r="D2366" t="s">
        <v>599</v>
      </c>
      <c r="E2366" s="3">
        <v>44197</v>
      </c>
      <c r="F2366" s="3">
        <v>44561</v>
      </c>
      <c r="G2366" t="s">
        <v>108</v>
      </c>
      <c r="H2366" s="3">
        <v>44197</v>
      </c>
      <c r="I2366" s="3">
        <v>44561</v>
      </c>
      <c r="J2366" t="s">
        <v>108</v>
      </c>
      <c r="K2366">
        <v>16408</v>
      </c>
      <c r="L2366" t="s">
        <v>109</v>
      </c>
      <c r="M2366" t="s">
        <v>110</v>
      </c>
      <c r="O2366" t="s">
        <v>600</v>
      </c>
      <c r="P2366" t="s">
        <v>550</v>
      </c>
      <c r="Q2366">
        <v>2021</v>
      </c>
      <c r="R2366" t="s">
        <v>567</v>
      </c>
      <c r="S2366" t="s">
        <v>568</v>
      </c>
      <c r="T2366" t="s">
        <v>569</v>
      </c>
      <c r="U2366" t="b">
        <v>0</v>
      </c>
      <c r="V2366" t="s">
        <v>1049</v>
      </c>
      <c r="W2366" t="s">
        <v>571</v>
      </c>
      <c r="X2366" t="s">
        <v>572</v>
      </c>
      <c r="Y2366" t="s">
        <v>472</v>
      </c>
      <c r="Z2366" t="s">
        <v>491</v>
      </c>
      <c r="AA2366" t="s">
        <v>1044</v>
      </c>
      <c r="AC2366">
        <v>0</v>
      </c>
      <c r="AD2366" t="s">
        <v>564</v>
      </c>
      <c r="AE2366">
        <v>183.40831650000001</v>
      </c>
      <c r="AF2366">
        <v>1.1177981E-2</v>
      </c>
      <c r="AG2366" t="s">
        <v>560</v>
      </c>
      <c r="AH2366">
        <v>1</v>
      </c>
      <c r="AI2366">
        <v>16408</v>
      </c>
      <c r="AJ2366" t="s">
        <v>561</v>
      </c>
      <c r="AK2366" t="s">
        <v>573</v>
      </c>
      <c r="AL2366" t="s">
        <v>1050</v>
      </c>
      <c r="AM2366">
        <v>2021</v>
      </c>
      <c r="AN2366">
        <v>2019</v>
      </c>
      <c r="AO2366">
        <f>IF(AND(emissions[[#This Row],[Market-based]]=0,emissions[[#This Row],[Impact Type]]="CO2E"),emissions[[#This Row],[kgCO2e]],0)/1000</f>
        <v>0</v>
      </c>
      <c r="AP2366">
        <f>IF(AND(emissions[[#This Row],[Market-based]]=1,OR(emissions[[#This Row],[Impact Type]]="CO2E",emissions[[#This Row],[Impact Type]]="CO2E MKT")),emissions[[#This Row],[kgCO2e]],0)/1000</f>
        <v>0</v>
      </c>
      <c r="AQ2366" t="str">
        <f>_xlfn.TEXTAFTER(emissions[[#This Row],[Reporting Unit]]," &gt; ",LEN(emissions[[#This Row],[Reporting Unit]])-LEN(SUBSTITUTE(emissions[[#This Row],[Reporting Unit]],"&gt;","")))</f>
        <v>Vantage_Santiago</v>
      </c>
      <c r="AR2366" t="str">
        <f>_xlfn.XLOOKUP(emissions[[#This Row],[Reporting unit name]],hierarchy!$A:$A,hierarchy!$C:$C)</f>
        <v>Unspecified Facility Type</v>
      </c>
    </row>
    <row r="2367" spans="1:44" hidden="1" x14ac:dyDescent="0.25">
      <c r="A2367">
        <v>4960</v>
      </c>
      <c r="B2367" t="s">
        <v>221</v>
      </c>
      <c r="C2367" t="s">
        <v>525</v>
      </c>
      <c r="D2367" t="s">
        <v>599</v>
      </c>
      <c r="E2367" s="3">
        <v>44197</v>
      </c>
      <c r="F2367" s="3">
        <v>44561</v>
      </c>
      <c r="G2367" t="s">
        <v>108</v>
      </c>
      <c r="H2367" s="3">
        <v>44197</v>
      </c>
      <c r="I2367" s="3">
        <v>44561</v>
      </c>
      <c r="J2367" t="s">
        <v>108</v>
      </c>
      <c r="K2367">
        <v>16408</v>
      </c>
      <c r="L2367" t="s">
        <v>109</v>
      </c>
      <c r="M2367" t="s">
        <v>110</v>
      </c>
      <c r="O2367" t="s">
        <v>600</v>
      </c>
      <c r="P2367" t="s">
        <v>550</v>
      </c>
      <c r="Q2367">
        <v>2021</v>
      </c>
      <c r="R2367" t="s">
        <v>567</v>
      </c>
      <c r="S2367" t="s">
        <v>568</v>
      </c>
      <c r="T2367" t="s">
        <v>569</v>
      </c>
      <c r="U2367" t="b">
        <v>0</v>
      </c>
      <c r="V2367" t="s">
        <v>1049</v>
      </c>
      <c r="W2367" t="s">
        <v>571</v>
      </c>
      <c r="X2367" t="s">
        <v>572</v>
      </c>
      <c r="Y2367" t="s">
        <v>472</v>
      </c>
      <c r="Z2367" t="s">
        <v>491</v>
      </c>
      <c r="AA2367" t="s">
        <v>1044</v>
      </c>
      <c r="AC2367">
        <v>0</v>
      </c>
      <c r="AD2367" t="s">
        <v>565</v>
      </c>
      <c r="AE2367">
        <v>184.1555664</v>
      </c>
      <c r="AF2367">
        <v>1.1223522999999999E-2</v>
      </c>
      <c r="AG2367" t="s">
        <v>560</v>
      </c>
      <c r="AH2367">
        <v>1</v>
      </c>
      <c r="AI2367">
        <v>16408</v>
      </c>
      <c r="AJ2367" t="s">
        <v>561</v>
      </c>
      <c r="AK2367" t="s">
        <v>573</v>
      </c>
      <c r="AL2367" t="s">
        <v>1050</v>
      </c>
      <c r="AM2367">
        <v>2021</v>
      </c>
      <c r="AN2367">
        <v>2019</v>
      </c>
      <c r="AO2367">
        <f>IF(AND(emissions[[#This Row],[Market-based]]=0,emissions[[#This Row],[Impact Type]]="CO2E"),emissions[[#This Row],[kgCO2e]],0)/1000</f>
        <v>0.1841555664</v>
      </c>
      <c r="AP2367">
        <f>IF(AND(emissions[[#This Row],[Market-based]]=1,OR(emissions[[#This Row],[Impact Type]]="CO2E",emissions[[#This Row],[Impact Type]]="CO2E MKT")),emissions[[#This Row],[kgCO2e]],0)/1000</f>
        <v>0</v>
      </c>
      <c r="AQ2367" t="str">
        <f>_xlfn.TEXTAFTER(emissions[[#This Row],[Reporting Unit]]," &gt; ",LEN(emissions[[#This Row],[Reporting Unit]])-LEN(SUBSTITUTE(emissions[[#This Row],[Reporting Unit]],"&gt;","")))</f>
        <v>Vantage_Santiago</v>
      </c>
      <c r="AR2367" t="str">
        <f>_xlfn.XLOOKUP(emissions[[#This Row],[Reporting unit name]],hierarchy!$A:$A,hierarchy!$C:$C)</f>
        <v>Unspecified Facility Type</v>
      </c>
    </row>
    <row r="2368" spans="1:44" hidden="1" x14ac:dyDescent="0.25">
      <c r="A2368">
        <v>4960</v>
      </c>
      <c r="B2368" t="s">
        <v>221</v>
      </c>
      <c r="C2368" t="s">
        <v>525</v>
      </c>
      <c r="D2368" t="s">
        <v>599</v>
      </c>
      <c r="E2368" s="3">
        <v>44197</v>
      </c>
      <c r="F2368" s="3">
        <v>44561</v>
      </c>
      <c r="G2368" t="s">
        <v>108</v>
      </c>
      <c r="H2368" s="3">
        <v>44197</v>
      </c>
      <c r="I2368" s="3">
        <v>44561</v>
      </c>
      <c r="J2368" t="s">
        <v>108</v>
      </c>
      <c r="K2368">
        <v>16408</v>
      </c>
      <c r="L2368" t="s">
        <v>109</v>
      </c>
      <c r="M2368" t="s">
        <v>110</v>
      </c>
      <c r="O2368" t="s">
        <v>600</v>
      </c>
      <c r="P2368" t="s">
        <v>550</v>
      </c>
      <c r="Q2368">
        <v>2021</v>
      </c>
      <c r="R2368" t="s">
        <v>567</v>
      </c>
      <c r="S2368" t="s">
        <v>568</v>
      </c>
      <c r="T2368" t="s">
        <v>569</v>
      </c>
      <c r="U2368" t="b">
        <v>0</v>
      </c>
      <c r="V2368" t="s">
        <v>1049</v>
      </c>
      <c r="W2368" t="s">
        <v>571</v>
      </c>
      <c r="X2368" t="s">
        <v>572</v>
      </c>
      <c r="Y2368" t="s">
        <v>472</v>
      </c>
      <c r="Z2368" t="s">
        <v>491</v>
      </c>
      <c r="AA2368" t="s">
        <v>1044</v>
      </c>
      <c r="AC2368">
        <v>0</v>
      </c>
      <c r="AD2368" t="s">
        <v>566</v>
      </c>
      <c r="AE2368">
        <v>0.70573593999999995</v>
      </c>
      <c r="AF2368" s="13">
        <v>4.30117E-5</v>
      </c>
      <c r="AG2368" t="s">
        <v>560</v>
      </c>
      <c r="AH2368">
        <v>1</v>
      </c>
      <c r="AI2368">
        <v>16408</v>
      </c>
      <c r="AJ2368" t="s">
        <v>561</v>
      </c>
      <c r="AK2368" t="s">
        <v>573</v>
      </c>
      <c r="AL2368" t="s">
        <v>1050</v>
      </c>
      <c r="AM2368">
        <v>2021</v>
      </c>
      <c r="AN2368">
        <v>2019</v>
      </c>
      <c r="AO2368">
        <f>IF(AND(emissions[[#This Row],[Market-based]]=0,emissions[[#This Row],[Impact Type]]="CO2E"),emissions[[#This Row],[kgCO2e]],0)/1000</f>
        <v>0</v>
      </c>
      <c r="AP2368">
        <f>IF(AND(emissions[[#This Row],[Market-based]]=1,OR(emissions[[#This Row],[Impact Type]]="CO2E",emissions[[#This Row],[Impact Type]]="CO2E MKT")),emissions[[#This Row],[kgCO2e]],0)/1000</f>
        <v>0</v>
      </c>
      <c r="AQ2368" t="str">
        <f>_xlfn.TEXTAFTER(emissions[[#This Row],[Reporting Unit]]," &gt; ",LEN(emissions[[#This Row],[Reporting Unit]])-LEN(SUBSTITUTE(emissions[[#This Row],[Reporting Unit]],"&gt;","")))</f>
        <v>Vantage_Santiago</v>
      </c>
      <c r="AR2368" t="str">
        <f>_xlfn.XLOOKUP(emissions[[#This Row],[Reporting unit name]],hierarchy!$A:$A,hierarchy!$C:$C)</f>
        <v>Unspecified Facility Type</v>
      </c>
    </row>
    <row r="2369" spans="1:44" hidden="1" x14ac:dyDescent="0.25">
      <c r="A2369">
        <v>4960</v>
      </c>
      <c r="B2369" t="s">
        <v>221</v>
      </c>
      <c r="C2369" t="s">
        <v>525</v>
      </c>
      <c r="D2369" t="s">
        <v>599</v>
      </c>
      <c r="E2369" s="3">
        <v>44197</v>
      </c>
      <c r="F2369" s="3">
        <v>44561</v>
      </c>
      <c r="G2369" t="s">
        <v>108</v>
      </c>
      <c r="H2369" s="3">
        <v>44197</v>
      </c>
      <c r="I2369" s="3">
        <v>44561</v>
      </c>
      <c r="J2369" t="s">
        <v>108</v>
      </c>
      <c r="K2369">
        <v>16408</v>
      </c>
      <c r="L2369" t="s">
        <v>109</v>
      </c>
      <c r="M2369" t="s">
        <v>110</v>
      </c>
      <c r="O2369" t="s">
        <v>600</v>
      </c>
      <c r="P2369" t="s">
        <v>550</v>
      </c>
      <c r="Q2369">
        <v>2021</v>
      </c>
      <c r="R2369" t="s">
        <v>567</v>
      </c>
      <c r="S2369" t="s">
        <v>568</v>
      </c>
      <c r="T2369" t="s">
        <v>569</v>
      </c>
      <c r="U2369" t="b">
        <v>0</v>
      </c>
      <c r="V2369" t="s">
        <v>1049</v>
      </c>
      <c r="W2369" t="s">
        <v>571</v>
      </c>
      <c r="X2369" t="s">
        <v>572</v>
      </c>
      <c r="Y2369" t="s">
        <v>472</v>
      </c>
      <c r="Z2369" t="s">
        <v>491</v>
      </c>
      <c r="AA2369" t="s">
        <v>1044</v>
      </c>
      <c r="AC2369">
        <v>1</v>
      </c>
      <c r="AD2369" t="s">
        <v>558</v>
      </c>
      <c r="AE2369">
        <v>4.1513878999999997E-2</v>
      </c>
      <c r="AF2369" s="13">
        <v>2.5301000000000001E-6</v>
      </c>
      <c r="AG2369" t="s">
        <v>560</v>
      </c>
      <c r="AH2369">
        <v>1</v>
      </c>
      <c r="AI2369">
        <v>16408</v>
      </c>
      <c r="AJ2369" t="s">
        <v>561</v>
      </c>
      <c r="AK2369" t="s">
        <v>573</v>
      </c>
      <c r="AL2369" t="s">
        <v>1050</v>
      </c>
      <c r="AM2369">
        <v>2021</v>
      </c>
      <c r="AN2369">
        <v>2019</v>
      </c>
      <c r="AO2369">
        <f>IF(AND(emissions[[#This Row],[Market-based]]=0,emissions[[#This Row],[Impact Type]]="CO2E"),emissions[[#This Row],[kgCO2e]],0)/1000</f>
        <v>0</v>
      </c>
      <c r="AP2369">
        <f>IF(AND(emissions[[#This Row],[Market-based]]=1,OR(emissions[[#This Row],[Impact Type]]="CO2E",emissions[[#This Row],[Impact Type]]="CO2E MKT")),emissions[[#This Row],[kgCO2e]],0)/1000</f>
        <v>0</v>
      </c>
      <c r="AQ2369" t="str">
        <f>_xlfn.TEXTAFTER(emissions[[#This Row],[Reporting Unit]]," &gt; ",LEN(emissions[[#This Row],[Reporting Unit]])-LEN(SUBSTITUTE(emissions[[#This Row],[Reporting Unit]],"&gt;","")))</f>
        <v>Vantage_Santiago</v>
      </c>
      <c r="AR2369" t="str">
        <f>_xlfn.XLOOKUP(emissions[[#This Row],[Reporting unit name]],hierarchy!$A:$A,hierarchy!$C:$C)</f>
        <v>Unspecified Facility Type</v>
      </c>
    </row>
    <row r="2370" spans="1:44" hidden="1" x14ac:dyDescent="0.25">
      <c r="A2370">
        <v>4960</v>
      </c>
      <c r="B2370" t="s">
        <v>221</v>
      </c>
      <c r="C2370" t="s">
        <v>525</v>
      </c>
      <c r="D2370" t="s">
        <v>599</v>
      </c>
      <c r="E2370" s="3">
        <v>44197</v>
      </c>
      <c r="F2370" s="3">
        <v>44561</v>
      </c>
      <c r="G2370" t="s">
        <v>108</v>
      </c>
      <c r="H2370" s="3">
        <v>44197</v>
      </c>
      <c r="I2370" s="3">
        <v>44561</v>
      </c>
      <c r="J2370" t="s">
        <v>108</v>
      </c>
      <c r="K2370">
        <v>16408</v>
      </c>
      <c r="L2370" t="s">
        <v>109</v>
      </c>
      <c r="M2370" t="s">
        <v>110</v>
      </c>
      <c r="O2370" t="s">
        <v>600</v>
      </c>
      <c r="P2370" t="s">
        <v>550</v>
      </c>
      <c r="Q2370">
        <v>2021</v>
      </c>
      <c r="R2370" t="s">
        <v>567</v>
      </c>
      <c r="S2370" t="s">
        <v>568</v>
      </c>
      <c r="T2370" t="s">
        <v>569</v>
      </c>
      <c r="U2370" t="b">
        <v>0</v>
      </c>
      <c r="V2370" t="s">
        <v>1049</v>
      </c>
      <c r="W2370" t="s">
        <v>571</v>
      </c>
      <c r="X2370" t="s">
        <v>572</v>
      </c>
      <c r="Y2370" t="s">
        <v>472</v>
      </c>
      <c r="Z2370" t="s">
        <v>491</v>
      </c>
      <c r="AA2370" t="s">
        <v>1044</v>
      </c>
      <c r="AC2370">
        <v>1</v>
      </c>
      <c r="AD2370" t="s">
        <v>564</v>
      </c>
      <c r="AE2370">
        <v>183.40831650000001</v>
      </c>
      <c r="AF2370">
        <v>1.1177981E-2</v>
      </c>
      <c r="AG2370" t="s">
        <v>560</v>
      </c>
      <c r="AH2370">
        <v>1</v>
      </c>
      <c r="AI2370">
        <v>16408</v>
      </c>
      <c r="AJ2370" t="s">
        <v>561</v>
      </c>
      <c r="AK2370" t="s">
        <v>573</v>
      </c>
      <c r="AL2370" t="s">
        <v>1050</v>
      </c>
      <c r="AM2370">
        <v>2021</v>
      </c>
      <c r="AN2370">
        <v>2019</v>
      </c>
      <c r="AO2370">
        <f>IF(AND(emissions[[#This Row],[Market-based]]=0,emissions[[#This Row],[Impact Type]]="CO2E"),emissions[[#This Row],[kgCO2e]],0)/1000</f>
        <v>0</v>
      </c>
      <c r="AP2370">
        <f>IF(AND(emissions[[#This Row],[Market-based]]=1,OR(emissions[[#This Row],[Impact Type]]="CO2E",emissions[[#This Row],[Impact Type]]="CO2E MKT")),emissions[[#This Row],[kgCO2e]],0)/1000</f>
        <v>0</v>
      </c>
      <c r="AQ2370" t="str">
        <f>_xlfn.TEXTAFTER(emissions[[#This Row],[Reporting Unit]]," &gt; ",LEN(emissions[[#This Row],[Reporting Unit]])-LEN(SUBSTITUTE(emissions[[#This Row],[Reporting Unit]],"&gt;","")))</f>
        <v>Vantage_Santiago</v>
      </c>
      <c r="AR2370" t="str">
        <f>_xlfn.XLOOKUP(emissions[[#This Row],[Reporting unit name]],hierarchy!$A:$A,hierarchy!$C:$C)</f>
        <v>Unspecified Facility Type</v>
      </c>
    </row>
    <row r="2371" spans="1:44" hidden="1" x14ac:dyDescent="0.25">
      <c r="A2371">
        <v>4960</v>
      </c>
      <c r="B2371" t="s">
        <v>221</v>
      </c>
      <c r="C2371" t="s">
        <v>525</v>
      </c>
      <c r="D2371" t="s">
        <v>599</v>
      </c>
      <c r="E2371" s="3">
        <v>44197</v>
      </c>
      <c r="F2371" s="3">
        <v>44561</v>
      </c>
      <c r="G2371" t="s">
        <v>108</v>
      </c>
      <c r="H2371" s="3">
        <v>44197</v>
      </c>
      <c r="I2371" s="3">
        <v>44561</v>
      </c>
      <c r="J2371" t="s">
        <v>108</v>
      </c>
      <c r="K2371">
        <v>16408</v>
      </c>
      <c r="L2371" t="s">
        <v>109</v>
      </c>
      <c r="M2371" t="s">
        <v>110</v>
      </c>
      <c r="O2371" t="s">
        <v>600</v>
      </c>
      <c r="P2371" t="s">
        <v>550</v>
      </c>
      <c r="Q2371">
        <v>2021</v>
      </c>
      <c r="R2371" t="s">
        <v>567</v>
      </c>
      <c r="S2371" t="s">
        <v>568</v>
      </c>
      <c r="T2371" t="s">
        <v>569</v>
      </c>
      <c r="U2371" t="b">
        <v>0</v>
      </c>
      <c r="V2371" t="s">
        <v>1049</v>
      </c>
      <c r="W2371" t="s">
        <v>571</v>
      </c>
      <c r="X2371" t="s">
        <v>572</v>
      </c>
      <c r="Y2371" t="s">
        <v>472</v>
      </c>
      <c r="Z2371" t="s">
        <v>491</v>
      </c>
      <c r="AA2371" t="s">
        <v>1044</v>
      </c>
      <c r="AC2371">
        <v>1</v>
      </c>
      <c r="AD2371" t="s">
        <v>565</v>
      </c>
      <c r="AE2371">
        <v>184.1555664</v>
      </c>
      <c r="AF2371">
        <v>1.1223522999999999E-2</v>
      </c>
      <c r="AG2371" t="s">
        <v>560</v>
      </c>
      <c r="AH2371">
        <v>1</v>
      </c>
      <c r="AI2371">
        <v>16408</v>
      </c>
      <c r="AJ2371" t="s">
        <v>561</v>
      </c>
      <c r="AK2371" t="s">
        <v>573</v>
      </c>
      <c r="AL2371" t="s">
        <v>1050</v>
      </c>
      <c r="AM2371">
        <v>2021</v>
      </c>
      <c r="AN2371">
        <v>2019</v>
      </c>
      <c r="AO2371">
        <f>IF(AND(emissions[[#This Row],[Market-based]]=0,emissions[[#This Row],[Impact Type]]="CO2E"),emissions[[#This Row],[kgCO2e]],0)/1000</f>
        <v>0</v>
      </c>
      <c r="AP2371">
        <f>IF(AND(emissions[[#This Row],[Market-based]]=1,OR(emissions[[#This Row],[Impact Type]]="CO2E",emissions[[#This Row],[Impact Type]]="CO2E MKT")),emissions[[#This Row],[kgCO2e]],0)/1000</f>
        <v>0.1841555664</v>
      </c>
      <c r="AQ2371" t="str">
        <f>_xlfn.TEXTAFTER(emissions[[#This Row],[Reporting Unit]]," &gt; ",LEN(emissions[[#This Row],[Reporting Unit]])-LEN(SUBSTITUTE(emissions[[#This Row],[Reporting Unit]],"&gt;","")))</f>
        <v>Vantage_Santiago</v>
      </c>
      <c r="AR2371" t="str">
        <f>_xlfn.XLOOKUP(emissions[[#This Row],[Reporting unit name]],hierarchy!$A:$A,hierarchy!$C:$C)</f>
        <v>Unspecified Facility Type</v>
      </c>
    </row>
    <row r="2372" spans="1:44" hidden="1" x14ac:dyDescent="0.25">
      <c r="A2372">
        <v>4960</v>
      </c>
      <c r="B2372" t="s">
        <v>221</v>
      </c>
      <c r="C2372" t="s">
        <v>525</v>
      </c>
      <c r="D2372" t="s">
        <v>599</v>
      </c>
      <c r="E2372" s="3">
        <v>44197</v>
      </c>
      <c r="F2372" s="3">
        <v>44561</v>
      </c>
      <c r="G2372" t="s">
        <v>108</v>
      </c>
      <c r="H2372" s="3">
        <v>44197</v>
      </c>
      <c r="I2372" s="3">
        <v>44561</v>
      </c>
      <c r="J2372" t="s">
        <v>108</v>
      </c>
      <c r="K2372">
        <v>16408</v>
      </c>
      <c r="L2372" t="s">
        <v>109</v>
      </c>
      <c r="M2372" t="s">
        <v>110</v>
      </c>
      <c r="O2372" t="s">
        <v>600</v>
      </c>
      <c r="P2372" t="s">
        <v>550</v>
      </c>
      <c r="Q2372">
        <v>2021</v>
      </c>
      <c r="R2372" t="s">
        <v>567</v>
      </c>
      <c r="S2372" t="s">
        <v>568</v>
      </c>
      <c r="T2372" t="s">
        <v>569</v>
      </c>
      <c r="U2372" t="b">
        <v>0</v>
      </c>
      <c r="V2372" t="s">
        <v>1049</v>
      </c>
      <c r="W2372" t="s">
        <v>571</v>
      </c>
      <c r="X2372" t="s">
        <v>572</v>
      </c>
      <c r="Y2372" t="s">
        <v>472</v>
      </c>
      <c r="Z2372" t="s">
        <v>491</v>
      </c>
      <c r="AA2372" t="s">
        <v>1044</v>
      </c>
      <c r="AC2372">
        <v>1</v>
      </c>
      <c r="AD2372" t="s">
        <v>566</v>
      </c>
      <c r="AE2372">
        <v>0.70573593999999995</v>
      </c>
      <c r="AF2372" s="13">
        <v>4.30117E-5</v>
      </c>
      <c r="AG2372" t="s">
        <v>560</v>
      </c>
      <c r="AH2372">
        <v>1</v>
      </c>
      <c r="AI2372">
        <v>16408</v>
      </c>
      <c r="AJ2372" t="s">
        <v>561</v>
      </c>
      <c r="AK2372" t="s">
        <v>573</v>
      </c>
      <c r="AL2372" t="s">
        <v>1050</v>
      </c>
      <c r="AM2372">
        <v>2021</v>
      </c>
      <c r="AN2372">
        <v>2019</v>
      </c>
      <c r="AO2372">
        <f>IF(AND(emissions[[#This Row],[Market-based]]=0,emissions[[#This Row],[Impact Type]]="CO2E"),emissions[[#This Row],[kgCO2e]],0)/1000</f>
        <v>0</v>
      </c>
      <c r="AP2372">
        <f>IF(AND(emissions[[#This Row],[Market-based]]=1,OR(emissions[[#This Row],[Impact Type]]="CO2E",emissions[[#This Row],[Impact Type]]="CO2E MKT")),emissions[[#This Row],[kgCO2e]],0)/1000</f>
        <v>0</v>
      </c>
      <c r="AQ2372" t="str">
        <f>_xlfn.TEXTAFTER(emissions[[#This Row],[Reporting Unit]]," &gt; ",LEN(emissions[[#This Row],[Reporting Unit]])-LEN(SUBSTITUTE(emissions[[#This Row],[Reporting Unit]],"&gt;","")))</f>
        <v>Vantage_Santiago</v>
      </c>
      <c r="AR2372" t="str">
        <f>_xlfn.XLOOKUP(emissions[[#This Row],[Reporting unit name]],hierarchy!$A:$A,hierarchy!$C:$C)</f>
        <v>Unspecified Facility Type</v>
      </c>
    </row>
    <row r="2373" spans="1:44" hidden="1" x14ac:dyDescent="0.25">
      <c r="A2373">
        <v>4960</v>
      </c>
      <c r="B2373" t="s">
        <v>221</v>
      </c>
      <c r="C2373" t="s">
        <v>525</v>
      </c>
      <c r="D2373" t="s">
        <v>599</v>
      </c>
      <c r="E2373" s="3">
        <v>44197</v>
      </c>
      <c r="F2373" s="3">
        <v>44561</v>
      </c>
      <c r="G2373" t="s">
        <v>108</v>
      </c>
      <c r="H2373" s="3">
        <v>44197</v>
      </c>
      <c r="I2373" s="3">
        <v>44561</v>
      </c>
      <c r="J2373" t="s">
        <v>108</v>
      </c>
      <c r="K2373">
        <v>16408</v>
      </c>
      <c r="L2373" t="s">
        <v>109</v>
      </c>
      <c r="M2373" t="s">
        <v>110</v>
      </c>
      <c r="O2373" t="s">
        <v>600</v>
      </c>
      <c r="P2373" t="s">
        <v>550</v>
      </c>
      <c r="Q2373">
        <v>2021</v>
      </c>
      <c r="R2373" t="s">
        <v>575</v>
      </c>
      <c r="S2373" t="s">
        <v>576</v>
      </c>
      <c r="T2373" t="s">
        <v>577</v>
      </c>
      <c r="U2373" t="b">
        <v>0</v>
      </c>
      <c r="V2373" t="s">
        <v>1051</v>
      </c>
      <c r="W2373" t="s">
        <v>571</v>
      </c>
      <c r="X2373" t="s">
        <v>572</v>
      </c>
      <c r="Y2373" t="s">
        <v>472</v>
      </c>
      <c r="Z2373" t="s">
        <v>491</v>
      </c>
      <c r="AA2373" t="s">
        <v>1044</v>
      </c>
      <c r="AC2373">
        <v>0</v>
      </c>
      <c r="AD2373" t="s">
        <v>558</v>
      </c>
      <c r="AE2373">
        <v>0.34758041299999998</v>
      </c>
      <c r="AF2373" s="13">
        <v>2.1183600000000002E-5</v>
      </c>
      <c r="AG2373" t="s">
        <v>560</v>
      </c>
      <c r="AH2373">
        <v>1</v>
      </c>
      <c r="AI2373">
        <v>16408</v>
      </c>
      <c r="AJ2373" t="s">
        <v>561</v>
      </c>
      <c r="AK2373" t="s">
        <v>573</v>
      </c>
      <c r="AL2373" t="s">
        <v>1052</v>
      </c>
      <c r="AM2373">
        <v>2021</v>
      </c>
      <c r="AN2373">
        <v>2019</v>
      </c>
      <c r="AO2373">
        <f>IF(AND(emissions[[#This Row],[Market-based]]=0,emissions[[#This Row],[Impact Type]]="CO2E"),emissions[[#This Row],[kgCO2e]],0)/1000</f>
        <v>0</v>
      </c>
      <c r="AP2373">
        <f>IF(AND(emissions[[#This Row],[Market-based]]=1,OR(emissions[[#This Row],[Impact Type]]="CO2E",emissions[[#This Row],[Impact Type]]="CO2E MKT")),emissions[[#This Row],[kgCO2e]],0)/1000</f>
        <v>0</v>
      </c>
      <c r="AQ2373" t="str">
        <f>_xlfn.TEXTAFTER(emissions[[#This Row],[Reporting Unit]]," &gt; ",LEN(emissions[[#This Row],[Reporting Unit]])-LEN(SUBSTITUTE(emissions[[#This Row],[Reporting Unit]],"&gt;","")))</f>
        <v>Vantage_Santiago</v>
      </c>
      <c r="AR2373" t="str">
        <f>_xlfn.XLOOKUP(emissions[[#This Row],[Reporting unit name]],hierarchy!$A:$A,hierarchy!$C:$C)</f>
        <v>Unspecified Facility Type</v>
      </c>
    </row>
    <row r="2374" spans="1:44" hidden="1" x14ac:dyDescent="0.25">
      <c r="A2374">
        <v>4960</v>
      </c>
      <c r="B2374" t="s">
        <v>221</v>
      </c>
      <c r="C2374" t="s">
        <v>525</v>
      </c>
      <c r="D2374" t="s">
        <v>599</v>
      </c>
      <c r="E2374" s="3">
        <v>44197</v>
      </c>
      <c r="F2374" s="3">
        <v>44561</v>
      </c>
      <c r="G2374" t="s">
        <v>108</v>
      </c>
      <c r="H2374" s="3">
        <v>44197</v>
      </c>
      <c r="I2374" s="3">
        <v>44561</v>
      </c>
      <c r="J2374" t="s">
        <v>108</v>
      </c>
      <c r="K2374">
        <v>16408</v>
      </c>
      <c r="L2374" t="s">
        <v>109</v>
      </c>
      <c r="M2374" t="s">
        <v>110</v>
      </c>
      <c r="O2374" t="s">
        <v>600</v>
      </c>
      <c r="P2374" t="s">
        <v>550</v>
      </c>
      <c r="Q2374">
        <v>2021</v>
      </c>
      <c r="R2374" t="s">
        <v>575</v>
      </c>
      <c r="S2374" t="s">
        <v>576</v>
      </c>
      <c r="T2374" t="s">
        <v>577</v>
      </c>
      <c r="U2374" t="b">
        <v>0</v>
      </c>
      <c r="V2374" t="s">
        <v>1051</v>
      </c>
      <c r="W2374" t="s">
        <v>571</v>
      </c>
      <c r="X2374" t="s">
        <v>572</v>
      </c>
      <c r="Y2374" t="s">
        <v>472</v>
      </c>
      <c r="Z2374" t="s">
        <v>491</v>
      </c>
      <c r="AA2374" t="s">
        <v>1044</v>
      </c>
      <c r="AC2374">
        <v>0</v>
      </c>
      <c r="AD2374" t="s">
        <v>564</v>
      </c>
      <c r="AE2374">
        <v>1535.610263</v>
      </c>
      <c r="AF2374">
        <v>9.3589118999999998E-2</v>
      </c>
      <c r="AG2374" t="s">
        <v>560</v>
      </c>
      <c r="AH2374">
        <v>1</v>
      </c>
      <c r="AI2374">
        <v>16408</v>
      </c>
      <c r="AJ2374" t="s">
        <v>561</v>
      </c>
      <c r="AK2374" t="s">
        <v>573</v>
      </c>
      <c r="AL2374" t="s">
        <v>1052</v>
      </c>
      <c r="AM2374">
        <v>2021</v>
      </c>
      <c r="AN2374">
        <v>2019</v>
      </c>
      <c r="AO2374">
        <f>IF(AND(emissions[[#This Row],[Market-based]]=0,emissions[[#This Row],[Impact Type]]="CO2E"),emissions[[#This Row],[kgCO2e]],0)/1000</f>
        <v>0</v>
      </c>
      <c r="AP2374">
        <f>IF(AND(emissions[[#This Row],[Market-based]]=1,OR(emissions[[#This Row],[Impact Type]]="CO2E",emissions[[#This Row],[Impact Type]]="CO2E MKT")),emissions[[#This Row],[kgCO2e]],0)/1000</f>
        <v>0</v>
      </c>
      <c r="AQ2374" t="str">
        <f>_xlfn.TEXTAFTER(emissions[[#This Row],[Reporting Unit]]," &gt; ",LEN(emissions[[#This Row],[Reporting Unit]])-LEN(SUBSTITUTE(emissions[[#This Row],[Reporting Unit]],"&gt;","")))</f>
        <v>Vantage_Santiago</v>
      </c>
      <c r="AR2374" t="str">
        <f>_xlfn.XLOOKUP(emissions[[#This Row],[Reporting unit name]],hierarchy!$A:$A,hierarchy!$C:$C)</f>
        <v>Unspecified Facility Type</v>
      </c>
    </row>
    <row r="2375" spans="1:44" hidden="1" x14ac:dyDescent="0.25">
      <c r="A2375">
        <v>4960</v>
      </c>
      <c r="B2375" t="s">
        <v>221</v>
      </c>
      <c r="C2375" t="s">
        <v>525</v>
      </c>
      <c r="D2375" t="s">
        <v>599</v>
      </c>
      <c r="E2375" s="3">
        <v>44197</v>
      </c>
      <c r="F2375" s="3">
        <v>44561</v>
      </c>
      <c r="G2375" t="s">
        <v>108</v>
      </c>
      <c r="H2375" s="3">
        <v>44197</v>
      </c>
      <c r="I2375" s="3">
        <v>44561</v>
      </c>
      <c r="J2375" t="s">
        <v>108</v>
      </c>
      <c r="K2375">
        <v>16408</v>
      </c>
      <c r="L2375" t="s">
        <v>109</v>
      </c>
      <c r="M2375" t="s">
        <v>110</v>
      </c>
      <c r="O2375" t="s">
        <v>600</v>
      </c>
      <c r="P2375" t="s">
        <v>550</v>
      </c>
      <c r="Q2375">
        <v>2021</v>
      </c>
      <c r="R2375" t="s">
        <v>575</v>
      </c>
      <c r="S2375" t="s">
        <v>576</v>
      </c>
      <c r="T2375" t="s">
        <v>577</v>
      </c>
      <c r="U2375" t="b">
        <v>0</v>
      </c>
      <c r="V2375" t="s">
        <v>1051</v>
      </c>
      <c r="W2375" t="s">
        <v>571</v>
      </c>
      <c r="X2375" t="s">
        <v>572</v>
      </c>
      <c r="Y2375" t="s">
        <v>472</v>
      </c>
      <c r="Z2375" t="s">
        <v>491</v>
      </c>
      <c r="AA2375" t="s">
        <v>1044</v>
      </c>
      <c r="AC2375">
        <v>0</v>
      </c>
      <c r="AD2375" t="s">
        <v>565</v>
      </c>
      <c r="AE2375">
        <v>1541.86671</v>
      </c>
      <c r="AF2375">
        <v>9.3970423999999997E-2</v>
      </c>
      <c r="AG2375" t="s">
        <v>560</v>
      </c>
      <c r="AH2375">
        <v>1</v>
      </c>
      <c r="AI2375">
        <v>16408</v>
      </c>
      <c r="AJ2375" t="s">
        <v>561</v>
      </c>
      <c r="AK2375" t="s">
        <v>573</v>
      </c>
      <c r="AL2375" t="s">
        <v>1052</v>
      </c>
      <c r="AM2375">
        <v>2021</v>
      </c>
      <c r="AN2375">
        <v>2019</v>
      </c>
      <c r="AO2375">
        <f>IF(AND(emissions[[#This Row],[Market-based]]=0,emissions[[#This Row],[Impact Type]]="CO2E"),emissions[[#This Row],[kgCO2e]],0)/1000</f>
        <v>1.5418667100000001</v>
      </c>
      <c r="AP2375">
        <f>IF(AND(emissions[[#This Row],[Market-based]]=1,OR(emissions[[#This Row],[Impact Type]]="CO2E",emissions[[#This Row],[Impact Type]]="CO2E MKT")),emissions[[#This Row],[kgCO2e]],0)/1000</f>
        <v>0</v>
      </c>
      <c r="AQ2375" t="str">
        <f>_xlfn.TEXTAFTER(emissions[[#This Row],[Reporting Unit]]," &gt; ",LEN(emissions[[#This Row],[Reporting Unit]])-LEN(SUBSTITUTE(emissions[[#This Row],[Reporting Unit]],"&gt;","")))</f>
        <v>Vantage_Santiago</v>
      </c>
      <c r="AR2375" t="str">
        <f>_xlfn.XLOOKUP(emissions[[#This Row],[Reporting unit name]],hierarchy!$A:$A,hierarchy!$C:$C)</f>
        <v>Unspecified Facility Type</v>
      </c>
    </row>
    <row r="2376" spans="1:44" hidden="1" x14ac:dyDescent="0.25">
      <c r="A2376">
        <v>4960</v>
      </c>
      <c r="B2376" t="s">
        <v>221</v>
      </c>
      <c r="C2376" t="s">
        <v>525</v>
      </c>
      <c r="D2376" t="s">
        <v>599</v>
      </c>
      <c r="E2376" s="3">
        <v>44197</v>
      </c>
      <c r="F2376" s="3">
        <v>44561</v>
      </c>
      <c r="G2376" t="s">
        <v>108</v>
      </c>
      <c r="H2376" s="3">
        <v>44197</v>
      </c>
      <c r="I2376" s="3">
        <v>44561</v>
      </c>
      <c r="J2376" t="s">
        <v>108</v>
      </c>
      <c r="K2376">
        <v>16408</v>
      </c>
      <c r="L2376" t="s">
        <v>109</v>
      </c>
      <c r="M2376" t="s">
        <v>110</v>
      </c>
      <c r="O2376" t="s">
        <v>600</v>
      </c>
      <c r="P2376" t="s">
        <v>550</v>
      </c>
      <c r="Q2376">
        <v>2021</v>
      </c>
      <c r="R2376" t="s">
        <v>575</v>
      </c>
      <c r="S2376" t="s">
        <v>576</v>
      </c>
      <c r="T2376" t="s">
        <v>577</v>
      </c>
      <c r="U2376" t="b">
        <v>0</v>
      </c>
      <c r="V2376" t="s">
        <v>1051</v>
      </c>
      <c r="W2376" t="s">
        <v>571</v>
      </c>
      <c r="X2376" t="s">
        <v>572</v>
      </c>
      <c r="Y2376" t="s">
        <v>472</v>
      </c>
      <c r="Z2376" t="s">
        <v>491</v>
      </c>
      <c r="AA2376" t="s">
        <v>1044</v>
      </c>
      <c r="AC2376">
        <v>0</v>
      </c>
      <c r="AD2376" t="s">
        <v>566</v>
      </c>
      <c r="AE2376">
        <v>5.9088670140000001</v>
      </c>
      <c r="AF2376">
        <v>3.6012099999999998E-4</v>
      </c>
      <c r="AG2376" t="s">
        <v>560</v>
      </c>
      <c r="AH2376">
        <v>1</v>
      </c>
      <c r="AI2376">
        <v>16408</v>
      </c>
      <c r="AJ2376" t="s">
        <v>561</v>
      </c>
      <c r="AK2376" t="s">
        <v>573</v>
      </c>
      <c r="AL2376" t="s">
        <v>1052</v>
      </c>
      <c r="AM2376">
        <v>2021</v>
      </c>
      <c r="AN2376">
        <v>2019</v>
      </c>
      <c r="AO2376">
        <f>IF(AND(emissions[[#This Row],[Market-based]]=0,emissions[[#This Row],[Impact Type]]="CO2E"),emissions[[#This Row],[kgCO2e]],0)/1000</f>
        <v>0</v>
      </c>
      <c r="AP2376">
        <f>IF(AND(emissions[[#This Row],[Market-based]]=1,OR(emissions[[#This Row],[Impact Type]]="CO2E",emissions[[#This Row],[Impact Type]]="CO2E MKT")),emissions[[#This Row],[kgCO2e]],0)/1000</f>
        <v>0</v>
      </c>
      <c r="AQ2376" t="str">
        <f>_xlfn.TEXTAFTER(emissions[[#This Row],[Reporting Unit]]," &gt; ",LEN(emissions[[#This Row],[Reporting Unit]])-LEN(SUBSTITUTE(emissions[[#This Row],[Reporting Unit]],"&gt;","")))</f>
        <v>Vantage_Santiago</v>
      </c>
      <c r="AR2376" t="str">
        <f>_xlfn.XLOOKUP(emissions[[#This Row],[Reporting unit name]],hierarchy!$A:$A,hierarchy!$C:$C)</f>
        <v>Unspecified Facility Type</v>
      </c>
    </row>
    <row r="2377" spans="1:44" hidden="1" x14ac:dyDescent="0.25">
      <c r="A2377">
        <v>4960</v>
      </c>
      <c r="B2377" t="s">
        <v>221</v>
      </c>
      <c r="C2377" t="s">
        <v>525</v>
      </c>
      <c r="D2377" t="s">
        <v>599</v>
      </c>
      <c r="E2377" s="3">
        <v>44197</v>
      </c>
      <c r="F2377" s="3">
        <v>44561</v>
      </c>
      <c r="G2377" t="s">
        <v>108</v>
      </c>
      <c r="H2377" s="3">
        <v>44197</v>
      </c>
      <c r="I2377" s="3">
        <v>44561</v>
      </c>
      <c r="J2377" t="s">
        <v>108</v>
      </c>
      <c r="K2377">
        <v>16408</v>
      </c>
      <c r="L2377" t="s">
        <v>109</v>
      </c>
      <c r="M2377" t="s">
        <v>110</v>
      </c>
      <c r="O2377" t="s">
        <v>600</v>
      </c>
      <c r="P2377" t="s">
        <v>550</v>
      </c>
      <c r="Q2377">
        <v>2021</v>
      </c>
      <c r="R2377" t="s">
        <v>575</v>
      </c>
      <c r="S2377" t="s">
        <v>576</v>
      </c>
      <c r="T2377" t="s">
        <v>577</v>
      </c>
      <c r="U2377" t="b">
        <v>0</v>
      </c>
      <c r="V2377" t="s">
        <v>1051</v>
      </c>
      <c r="W2377" t="s">
        <v>571</v>
      </c>
      <c r="X2377" t="s">
        <v>572</v>
      </c>
      <c r="Y2377" t="s">
        <v>472</v>
      </c>
      <c r="Z2377" t="s">
        <v>491</v>
      </c>
      <c r="AA2377" t="s">
        <v>1044</v>
      </c>
      <c r="AC2377">
        <v>1</v>
      </c>
      <c r="AD2377" t="s">
        <v>558</v>
      </c>
      <c r="AE2377">
        <v>0.34758041299999998</v>
      </c>
      <c r="AF2377" s="13">
        <v>2.1183600000000002E-5</v>
      </c>
      <c r="AG2377" t="s">
        <v>560</v>
      </c>
      <c r="AH2377">
        <v>1</v>
      </c>
      <c r="AI2377">
        <v>16408</v>
      </c>
      <c r="AJ2377" t="s">
        <v>561</v>
      </c>
      <c r="AK2377" t="s">
        <v>573</v>
      </c>
      <c r="AL2377" t="s">
        <v>1052</v>
      </c>
      <c r="AM2377">
        <v>2021</v>
      </c>
      <c r="AN2377">
        <v>2019</v>
      </c>
      <c r="AO2377">
        <f>IF(AND(emissions[[#This Row],[Market-based]]=0,emissions[[#This Row],[Impact Type]]="CO2E"),emissions[[#This Row],[kgCO2e]],0)/1000</f>
        <v>0</v>
      </c>
      <c r="AP2377">
        <f>IF(AND(emissions[[#This Row],[Market-based]]=1,OR(emissions[[#This Row],[Impact Type]]="CO2E",emissions[[#This Row],[Impact Type]]="CO2E MKT")),emissions[[#This Row],[kgCO2e]],0)/1000</f>
        <v>0</v>
      </c>
      <c r="AQ2377" t="str">
        <f>_xlfn.TEXTAFTER(emissions[[#This Row],[Reporting Unit]]," &gt; ",LEN(emissions[[#This Row],[Reporting Unit]])-LEN(SUBSTITUTE(emissions[[#This Row],[Reporting Unit]],"&gt;","")))</f>
        <v>Vantage_Santiago</v>
      </c>
      <c r="AR2377" t="str">
        <f>_xlfn.XLOOKUP(emissions[[#This Row],[Reporting unit name]],hierarchy!$A:$A,hierarchy!$C:$C)</f>
        <v>Unspecified Facility Type</v>
      </c>
    </row>
    <row r="2378" spans="1:44" hidden="1" x14ac:dyDescent="0.25">
      <c r="A2378">
        <v>4960</v>
      </c>
      <c r="B2378" t="s">
        <v>221</v>
      </c>
      <c r="C2378" t="s">
        <v>525</v>
      </c>
      <c r="D2378" t="s">
        <v>599</v>
      </c>
      <c r="E2378" s="3">
        <v>44197</v>
      </c>
      <c r="F2378" s="3">
        <v>44561</v>
      </c>
      <c r="G2378" t="s">
        <v>108</v>
      </c>
      <c r="H2378" s="3">
        <v>44197</v>
      </c>
      <c r="I2378" s="3">
        <v>44561</v>
      </c>
      <c r="J2378" t="s">
        <v>108</v>
      </c>
      <c r="K2378">
        <v>16408</v>
      </c>
      <c r="L2378" t="s">
        <v>109</v>
      </c>
      <c r="M2378" t="s">
        <v>110</v>
      </c>
      <c r="O2378" t="s">
        <v>600</v>
      </c>
      <c r="P2378" t="s">
        <v>550</v>
      </c>
      <c r="Q2378">
        <v>2021</v>
      </c>
      <c r="R2378" t="s">
        <v>575</v>
      </c>
      <c r="S2378" t="s">
        <v>576</v>
      </c>
      <c r="T2378" t="s">
        <v>577</v>
      </c>
      <c r="U2378" t="b">
        <v>0</v>
      </c>
      <c r="V2378" t="s">
        <v>1051</v>
      </c>
      <c r="W2378" t="s">
        <v>571</v>
      </c>
      <c r="X2378" t="s">
        <v>572</v>
      </c>
      <c r="Y2378" t="s">
        <v>472</v>
      </c>
      <c r="Z2378" t="s">
        <v>491</v>
      </c>
      <c r="AA2378" t="s">
        <v>1044</v>
      </c>
      <c r="AC2378">
        <v>1</v>
      </c>
      <c r="AD2378" t="s">
        <v>564</v>
      </c>
      <c r="AE2378">
        <v>1535.610263</v>
      </c>
      <c r="AF2378">
        <v>9.3589118999999998E-2</v>
      </c>
      <c r="AG2378" t="s">
        <v>560</v>
      </c>
      <c r="AH2378">
        <v>1</v>
      </c>
      <c r="AI2378">
        <v>16408</v>
      </c>
      <c r="AJ2378" t="s">
        <v>561</v>
      </c>
      <c r="AK2378" t="s">
        <v>573</v>
      </c>
      <c r="AL2378" t="s">
        <v>1052</v>
      </c>
      <c r="AM2378">
        <v>2021</v>
      </c>
      <c r="AN2378">
        <v>2019</v>
      </c>
      <c r="AO2378">
        <f>IF(AND(emissions[[#This Row],[Market-based]]=0,emissions[[#This Row],[Impact Type]]="CO2E"),emissions[[#This Row],[kgCO2e]],0)/1000</f>
        <v>0</v>
      </c>
      <c r="AP2378">
        <f>IF(AND(emissions[[#This Row],[Market-based]]=1,OR(emissions[[#This Row],[Impact Type]]="CO2E",emissions[[#This Row],[Impact Type]]="CO2E MKT")),emissions[[#This Row],[kgCO2e]],0)/1000</f>
        <v>0</v>
      </c>
      <c r="AQ2378" t="str">
        <f>_xlfn.TEXTAFTER(emissions[[#This Row],[Reporting Unit]]," &gt; ",LEN(emissions[[#This Row],[Reporting Unit]])-LEN(SUBSTITUTE(emissions[[#This Row],[Reporting Unit]],"&gt;","")))</f>
        <v>Vantage_Santiago</v>
      </c>
      <c r="AR2378" t="str">
        <f>_xlfn.XLOOKUP(emissions[[#This Row],[Reporting unit name]],hierarchy!$A:$A,hierarchy!$C:$C)</f>
        <v>Unspecified Facility Type</v>
      </c>
    </row>
    <row r="2379" spans="1:44" hidden="1" x14ac:dyDescent="0.25">
      <c r="A2379">
        <v>4960</v>
      </c>
      <c r="B2379" t="s">
        <v>221</v>
      </c>
      <c r="C2379" t="s">
        <v>525</v>
      </c>
      <c r="D2379" t="s">
        <v>599</v>
      </c>
      <c r="E2379" s="3">
        <v>44197</v>
      </c>
      <c r="F2379" s="3">
        <v>44561</v>
      </c>
      <c r="G2379" t="s">
        <v>108</v>
      </c>
      <c r="H2379" s="3">
        <v>44197</v>
      </c>
      <c r="I2379" s="3">
        <v>44561</v>
      </c>
      <c r="J2379" t="s">
        <v>108</v>
      </c>
      <c r="K2379">
        <v>16408</v>
      </c>
      <c r="L2379" t="s">
        <v>109</v>
      </c>
      <c r="M2379" t="s">
        <v>110</v>
      </c>
      <c r="O2379" t="s">
        <v>600</v>
      </c>
      <c r="P2379" t="s">
        <v>550</v>
      </c>
      <c r="Q2379">
        <v>2021</v>
      </c>
      <c r="R2379" t="s">
        <v>575</v>
      </c>
      <c r="S2379" t="s">
        <v>576</v>
      </c>
      <c r="T2379" t="s">
        <v>577</v>
      </c>
      <c r="U2379" t="b">
        <v>0</v>
      </c>
      <c r="V2379" t="s">
        <v>1051</v>
      </c>
      <c r="W2379" t="s">
        <v>571</v>
      </c>
      <c r="X2379" t="s">
        <v>572</v>
      </c>
      <c r="Y2379" t="s">
        <v>472</v>
      </c>
      <c r="Z2379" t="s">
        <v>491</v>
      </c>
      <c r="AA2379" t="s">
        <v>1044</v>
      </c>
      <c r="AC2379">
        <v>1</v>
      </c>
      <c r="AD2379" t="s">
        <v>565</v>
      </c>
      <c r="AE2379">
        <v>1541.86671</v>
      </c>
      <c r="AF2379">
        <v>9.3970423999999997E-2</v>
      </c>
      <c r="AG2379" t="s">
        <v>560</v>
      </c>
      <c r="AH2379">
        <v>1</v>
      </c>
      <c r="AI2379">
        <v>16408</v>
      </c>
      <c r="AJ2379" t="s">
        <v>561</v>
      </c>
      <c r="AK2379" t="s">
        <v>573</v>
      </c>
      <c r="AL2379" t="s">
        <v>1052</v>
      </c>
      <c r="AM2379">
        <v>2021</v>
      </c>
      <c r="AN2379">
        <v>2019</v>
      </c>
      <c r="AO2379">
        <f>IF(AND(emissions[[#This Row],[Market-based]]=0,emissions[[#This Row],[Impact Type]]="CO2E"),emissions[[#This Row],[kgCO2e]],0)/1000</f>
        <v>0</v>
      </c>
      <c r="AP2379">
        <f>IF(AND(emissions[[#This Row],[Market-based]]=1,OR(emissions[[#This Row],[Impact Type]]="CO2E",emissions[[#This Row],[Impact Type]]="CO2E MKT")),emissions[[#This Row],[kgCO2e]],0)/1000</f>
        <v>1.5418667100000001</v>
      </c>
      <c r="AQ2379" t="str">
        <f>_xlfn.TEXTAFTER(emissions[[#This Row],[Reporting Unit]]," &gt; ",LEN(emissions[[#This Row],[Reporting Unit]])-LEN(SUBSTITUTE(emissions[[#This Row],[Reporting Unit]],"&gt;","")))</f>
        <v>Vantage_Santiago</v>
      </c>
      <c r="AR2379" t="str">
        <f>_xlfn.XLOOKUP(emissions[[#This Row],[Reporting unit name]],hierarchy!$A:$A,hierarchy!$C:$C)</f>
        <v>Unspecified Facility Type</v>
      </c>
    </row>
    <row r="2380" spans="1:44" hidden="1" x14ac:dyDescent="0.25">
      <c r="A2380">
        <v>4960</v>
      </c>
      <c r="B2380" t="s">
        <v>221</v>
      </c>
      <c r="C2380" t="s">
        <v>525</v>
      </c>
      <c r="D2380" t="s">
        <v>599</v>
      </c>
      <c r="E2380" s="3">
        <v>44197</v>
      </c>
      <c r="F2380" s="3">
        <v>44561</v>
      </c>
      <c r="G2380" t="s">
        <v>108</v>
      </c>
      <c r="H2380" s="3">
        <v>44197</v>
      </c>
      <c r="I2380" s="3">
        <v>44561</v>
      </c>
      <c r="J2380" t="s">
        <v>108</v>
      </c>
      <c r="K2380">
        <v>16408</v>
      </c>
      <c r="L2380" t="s">
        <v>109</v>
      </c>
      <c r="M2380" t="s">
        <v>110</v>
      </c>
      <c r="O2380" t="s">
        <v>600</v>
      </c>
      <c r="P2380" t="s">
        <v>550</v>
      </c>
      <c r="Q2380">
        <v>2021</v>
      </c>
      <c r="R2380" t="s">
        <v>575</v>
      </c>
      <c r="S2380" t="s">
        <v>576</v>
      </c>
      <c r="T2380" t="s">
        <v>577</v>
      </c>
      <c r="U2380" t="b">
        <v>0</v>
      </c>
      <c r="V2380" t="s">
        <v>1051</v>
      </c>
      <c r="W2380" t="s">
        <v>571</v>
      </c>
      <c r="X2380" t="s">
        <v>572</v>
      </c>
      <c r="Y2380" t="s">
        <v>472</v>
      </c>
      <c r="Z2380" t="s">
        <v>491</v>
      </c>
      <c r="AA2380" t="s">
        <v>1044</v>
      </c>
      <c r="AC2380">
        <v>1</v>
      </c>
      <c r="AD2380" t="s">
        <v>566</v>
      </c>
      <c r="AE2380">
        <v>5.9088670140000001</v>
      </c>
      <c r="AF2380">
        <v>3.6012099999999998E-4</v>
      </c>
      <c r="AG2380" t="s">
        <v>560</v>
      </c>
      <c r="AH2380">
        <v>1</v>
      </c>
      <c r="AI2380">
        <v>16408</v>
      </c>
      <c r="AJ2380" t="s">
        <v>561</v>
      </c>
      <c r="AK2380" t="s">
        <v>573</v>
      </c>
      <c r="AL2380" t="s">
        <v>1052</v>
      </c>
      <c r="AM2380">
        <v>2021</v>
      </c>
      <c r="AN2380">
        <v>2019</v>
      </c>
      <c r="AO2380">
        <f>IF(AND(emissions[[#This Row],[Market-based]]=0,emissions[[#This Row],[Impact Type]]="CO2E"),emissions[[#This Row],[kgCO2e]],0)/1000</f>
        <v>0</v>
      </c>
      <c r="AP2380">
        <f>IF(AND(emissions[[#This Row],[Market-based]]=1,OR(emissions[[#This Row],[Impact Type]]="CO2E",emissions[[#This Row],[Impact Type]]="CO2E MKT")),emissions[[#This Row],[kgCO2e]],0)/1000</f>
        <v>0</v>
      </c>
      <c r="AQ2380" t="str">
        <f>_xlfn.TEXTAFTER(emissions[[#This Row],[Reporting Unit]]," &gt; ",LEN(emissions[[#This Row],[Reporting Unit]])-LEN(SUBSTITUTE(emissions[[#This Row],[Reporting Unit]],"&gt;","")))</f>
        <v>Vantage_Santiago</v>
      </c>
      <c r="AR2380" t="str">
        <f>_xlfn.XLOOKUP(emissions[[#This Row],[Reporting unit name]],hierarchy!$A:$A,hierarchy!$C:$C)</f>
        <v>Unspecified Facility Type</v>
      </c>
    </row>
    <row r="2381" spans="1:44" hidden="1" x14ac:dyDescent="0.25">
      <c r="A2381">
        <v>4960</v>
      </c>
      <c r="B2381" t="s">
        <v>221</v>
      </c>
      <c r="C2381" t="s">
        <v>525</v>
      </c>
      <c r="D2381" t="s">
        <v>599</v>
      </c>
      <c r="E2381" s="3">
        <v>44197</v>
      </c>
      <c r="F2381" s="3">
        <v>44561</v>
      </c>
      <c r="G2381" t="s">
        <v>108</v>
      </c>
      <c r="H2381" s="3">
        <v>44197</v>
      </c>
      <c r="I2381" s="3">
        <v>44561</v>
      </c>
      <c r="J2381" t="s">
        <v>108</v>
      </c>
      <c r="K2381">
        <v>16408</v>
      </c>
      <c r="L2381" t="s">
        <v>109</v>
      </c>
      <c r="M2381" t="s">
        <v>110</v>
      </c>
      <c r="O2381" t="s">
        <v>600</v>
      </c>
      <c r="P2381" t="s">
        <v>550</v>
      </c>
      <c r="Q2381">
        <v>2021</v>
      </c>
      <c r="R2381" t="s">
        <v>579</v>
      </c>
      <c r="S2381" t="s">
        <v>580</v>
      </c>
      <c r="T2381" t="s">
        <v>581</v>
      </c>
      <c r="U2381" t="b">
        <v>0</v>
      </c>
      <c r="V2381" t="s">
        <v>1047</v>
      </c>
      <c r="W2381" t="s">
        <v>571</v>
      </c>
      <c r="X2381" t="s">
        <v>572</v>
      </c>
      <c r="Y2381" t="s">
        <v>472</v>
      </c>
      <c r="Z2381" t="s">
        <v>491</v>
      </c>
      <c r="AA2381" t="s">
        <v>1044</v>
      </c>
      <c r="AC2381">
        <v>0</v>
      </c>
      <c r="AD2381" t="s">
        <v>565</v>
      </c>
      <c r="AE2381">
        <v>315.03359999999998</v>
      </c>
      <c r="AF2381" t="s">
        <v>559</v>
      </c>
      <c r="AG2381" t="s">
        <v>560</v>
      </c>
      <c r="AH2381">
        <v>1</v>
      </c>
      <c r="AI2381">
        <v>16408</v>
      </c>
      <c r="AJ2381" t="s">
        <v>561</v>
      </c>
      <c r="AK2381" t="s">
        <v>562</v>
      </c>
      <c r="AL2381" t="s">
        <v>601</v>
      </c>
      <c r="AM2381">
        <v>2021</v>
      </c>
      <c r="AN2381">
        <v>2019</v>
      </c>
      <c r="AO2381">
        <f>IF(AND(emissions[[#This Row],[Market-based]]=0,emissions[[#This Row],[Impact Type]]="CO2E"),emissions[[#This Row],[kgCO2e]],0)/1000</f>
        <v>0.31503359999999997</v>
      </c>
      <c r="AP2381">
        <f>IF(AND(emissions[[#This Row],[Market-based]]=1,OR(emissions[[#This Row],[Impact Type]]="CO2E",emissions[[#This Row],[Impact Type]]="CO2E MKT")),emissions[[#This Row],[kgCO2e]],0)/1000</f>
        <v>0</v>
      </c>
      <c r="AQ2381" t="str">
        <f>_xlfn.TEXTAFTER(emissions[[#This Row],[Reporting Unit]]," &gt; ",LEN(emissions[[#This Row],[Reporting Unit]])-LEN(SUBSTITUTE(emissions[[#This Row],[Reporting Unit]],"&gt;","")))</f>
        <v>Vantage_Santiago</v>
      </c>
      <c r="AR2381" t="str">
        <f>_xlfn.XLOOKUP(emissions[[#This Row],[Reporting unit name]],hierarchy!$A:$A,hierarchy!$C:$C)</f>
        <v>Unspecified Facility Type</v>
      </c>
    </row>
    <row r="2382" spans="1:44" hidden="1" x14ac:dyDescent="0.25">
      <c r="A2382">
        <v>4960</v>
      </c>
      <c r="B2382" t="s">
        <v>221</v>
      </c>
      <c r="C2382" t="s">
        <v>525</v>
      </c>
      <c r="D2382" t="s">
        <v>599</v>
      </c>
      <c r="E2382" s="3">
        <v>44197</v>
      </c>
      <c r="F2382" s="3">
        <v>44561</v>
      </c>
      <c r="G2382" t="s">
        <v>108</v>
      </c>
      <c r="H2382" s="3">
        <v>44197</v>
      </c>
      <c r="I2382" s="3">
        <v>44561</v>
      </c>
      <c r="J2382" t="s">
        <v>108</v>
      </c>
      <c r="K2382">
        <v>16408</v>
      </c>
      <c r="L2382" t="s">
        <v>109</v>
      </c>
      <c r="M2382" t="s">
        <v>110</v>
      </c>
      <c r="O2382" t="s">
        <v>600</v>
      </c>
      <c r="P2382" t="s">
        <v>550</v>
      </c>
      <c r="Q2382">
        <v>2021</v>
      </c>
      <c r="R2382" t="s">
        <v>579</v>
      </c>
      <c r="S2382" t="s">
        <v>580</v>
      </c>
      <c r="T2382" t="s">
        <v>581</v>
      </c>
      <c r="U2382" t="b">
        <v>0</v>
      </c>
      <c r="V2382" t="s">
        <v>1047</v>
      </c>
      <c r="W2382" t="s">
        <v>571</v>
      </c>
      <c r="X2382" t="s">
        <v>572</v>
      </c>
      <c r="Y2382" t="s">
        <v>472</v>
      </c>
      <c r="Z2382" t="s">
        <v>491</v>
      </c>
      <c r="AA2382" t="s">
        <v>1044</v>
      </c>
      <c r="AC2382">
        <v>1</v>
      </c>
      <c r="AD2382" t="s">
        <v>565</v>
      </c>
      <c r="AE2382">
        <v>315.03359999999998</v>
      </c>
      <c r="AF2382" t="s">
        <v>559</v>
      </c>
      <c r="AG2382" t="s">
        <v>560</v>
      </c>
      <c r="AH2382">
        <v>1</v>
      </c>
      <c r="AI2382">
        <v>16408</v>
      </c>
      <c r="AJ2382" t="s">
        <v>561</v>
      </c>
      <c r="AK2382" t="s">
        <v>562</v>
      </c>
      <c r="AL2382" t="s">
        <v>601</v>
      </c>
      <c r="AM2382">
        <v>2021</v>
      </c>
      <c r="AN2382">
        <v>2019</v>
      </c>
      <c r="AO2382">
        <f>IF(AND(emissions[[#This Row],[Market-based]]=0,emissions[[#This Row],[Impact Type]]="CO2E"),emissions[[#This Row],[kgCO2e]],0)/1000</f>
        <v>0</v>
      </c>
      <c r="AP2382">
        <f>IF(AND(emissions[[#This Row],[Market-based]]=1,OR(emissions[[#This Row],[Impact Type]]="CO2E",emissions[[#This Row],[Impact Type]]="CO2E MKT")),emissions[[#This Row],[kgCO2e]],0)/1000</f>
        <v>0.31503359999999997</v>
      </c>
      <c r="AQ2382" t="str">
        <f>_xlfn.TEXTAFTER(emissions[[#This Row],[Reporting Unit]]," &gt; ",LEN(emissions[[#This Row],[Reporting Unit]])-LEN(SUBSTITUTE(emissions[[#This Row],[Reporting Unit]],"&gt;","")))</f>
        <v>Vantage_Santiago</v>
      </c>
      <c r="AR2382" t="str">
        <f>_xlfn.XLOOKUP(emissions[[#This Row],[Reporting unit name]],hierarchy!$A:$A,hierarchy!$C:$C)</f>
        <v>Unspecified Facility Type</v>
      </c>
    </row>
    <row r="2383" spans="1:44" hidden="1" x14ac:dyDescent="0.25">
      <c r="A2383">
        <v>4986</v>
      </c>
      <c r="B2383" t="s">
        <v>221</v>
      </c>
      <c r="C2383" t="s">
        <v>525</v>
      </c>
      <c r="D2383" t="s">
        <v>599</v>
      </c>
      <c r="E2383" s="3">
        <v>44197</v>
      </c>
      <c r="F2383" s="3">
        <v>44561</v>
      </c>
      <c r="G2383" t="s">
        <v>135</v>
      </c>
      <c r="H2383" s="3">
        <v>44197</v>
      </c>
      <c r="I2383" s="3">
        <v>44561</v>
      </c>
      <c r="J2383" t="s">
        <v>135</v>
      </c>
      <c r="K2383">
        <v>0</v>
      </c>
      <c r="L2383" t="s">
        <v>136</v>
      </c>
      <c r="M2383" t="s">
        <v>110</v>
      </c>
      <c r="O2383" t="s">
        <v>600</v>
      </c>
      <c r="P2383" t="s">
        <v>550</v>
      </c>
      <c r="Q2383">
        <v>2021</v>
      </c>
      <c r="R2383" t="s">
        <v>605</v>
      </c>
      <c r="S2383" t="s">
        <v>606</v>
      </c>
      <c r="T2383" t="s">
        <v>553</v>
      </c>
      <c r="U2383" t="b">
        <v>0</v>
      </c>
      <c r="V2383" t="s">
        <v>781</v>
      </c>
      <c r="W2383" t="s">
        <v>587</v>
      </c>
      <c r="X2383" t="s">
        <v>556</v>
      </c>
      <c r="Y2383" t="s">
        <v>472</v>
      </c>
      <c r="AC2383">
        <v>0</v>
      </c>
      <c r="AD2383" t="s">
        <v>558</v>
      </c>
      <c r="AE2383">
        <v>0</v>
      </c>
      <c r="AF2383">
        <v>2.5000000000000001E-2</v>
      </c>
      <c r="AG2383" t="s">
        <v>798</v>
      </c>
      <c r="AH2383">
        <v>0.1</v>
      </c>
      <c r="AI2383">
        <v>0</v>
      </c>
      <c r="AJ2383" t="s">
        <v>561</v>
      </c>
      <c r="AK2383" t="s">
        <v>766</v>
      </c>
      <c r="AL2383" t="s">
        <v>790</v>
      </c>
      <c r="AM2383">
        <v>2021</v>
      </c>
      <c r="AN2383">
        <v>2021</v>
      </c>
      <c r="AO2383">
        <f>IF(AND(emissions[[#This Row],[Market-based]]=0,emissions[[#This Row],[Impact Type]]="CO2E"),emissions[[#This Row],[kgCO2e]],0)/1000</f>
        <v>0</v>
      </c>
      <c r="AP2383">
        <f>IF(AND(emissions[[#This Row],[Market-based]]=1,OR(emissions[[#This Row],[Impact Type]]="CO2E",emissions[[#This Row],[Impact Type]]="CO2E MKT")),emissions[[#This Row],[kgCO2e]],0)/1000</f>
        <v>0</v>
      </c>
      <c r="AQ2383" t="str">
        <f>_xlfn.TEXTAFTER(emissions[[#This Row],[Reporting Unit]]," &gt; ",LEN(emissions[[#This Row],[Reporting Unit]])-LEN(SUBSTITUTE(emissions[[#This Row],[Reporting Unit]],"&gt;","")))</f>
        <v>Vantage_Santiago</v>
      </c>
      <c r="AR2383" t="str">
        <f>_xlfn.XLOOKUP(emissions[[#This Row],[Reporting unit name]],hierarchy!$A:$A,hierarchy!$C:$C)</f>
        <v>Unspecified Facility Type</v>
      </c>
    </row>
    <row r="2384" spans="1:44" hidden="1" x14ac:dyDescent="0.25">
      <c r="A2384">
        <v>4986</v>
      </c>
      <c r="B2384" t="s">
        <v>221</v>
      </c>
      <c r="C2384" t="s">
        <v>525</v>
      </c>
      <c r="D2384" t="s">
        <v>599</v>
      </c>
      <c r="E2384" s="3">
        <v>44197</v>
      </c>
      <c r="F2384" s="3">
        <v>44561</v>
      </c>
      <c r="G2384" t="s">
        <v>135</v>
      </c>
      <c r="H2384" s="3">
        <v>44197</v>
      </c>
      <c r="I2384" s="3">
        <v>44561</v>
      </c>
      <c r="J2384" t="s">
        <v>135</v>
      </c>
      <c r="K2384">
        <v>0</v>
      </c>
      <c r="L2384" t="s">
        <v>136</v>
      </c>
      <c r="M2384" t="s">
        <v>110</v>
      </c>
      <c r="O2384" t="s">
        <v>600</v>
      </c>
      <c r="P2384" t="s">
        <v>550</v>
      </c>
      <c r="Q2384">
        <v>2021</v>
      </c>
      <c r="R2384" t="s">
        <v>605</v>
      </c>
      <c r="S2384" t="s">
        <v>606</v>
      </c>
      <c r="T2384" t="s">
        <v>553</v>
      </c>
      <c r="U2384" t="b">
        <v>0</v>
      </c>
      <c r="V2384" t="s">
        <v>781</v>
      </c>
      <c r="W2384" t="s">
        <v>587</v>
      </c>
      <c r="X2384" t="s">
        <v>556</v>
      </c>
      <c r="Y2384" t="s">
        <v>472</v>
      </c>
      <c r="AC2384">
        <v>0</v>
      </c>
      <c r="AD2384" t="s">
        <v>564</v>
      </c>
      <c r="AE2384">
        <v>0</v>
      </c>
      <c r="AF2384">
        <v>53.06</v>
      </c>
      <c r="AG2384" t="s">
        <v>798</v>
      </c>
      <c r="AH2384">
        <v>0.1</v>
      </c>
      <c r="AI2384">
        <v>0</v>
      </c>
      <c r="AJ2384" t="s">
        <v>561</v>
      </c>
      <c r="AK2384" t="s">
        <v>766</v>
      </c>
      <c r="AL2384" t="s">
        <v>787</v>
      </c>
      <c r="AM2384">
        <v>2021</v>
      </c>
      <c r="AN2384">
        <v>2020</v>
      </c>
      <c r="AO2384">
        <f>IF(AND(emissions[[#This Row],[Market-based]]=0,emissions[[#This Row],[Impact Type]]="CO2E"),emissions[[#This Row],[kgCO2e]],0)/1000</f>
        <v>0</v>
      </c>
      <c r="AP2384">
        <f>IF(AND(emissions[[#This Row],[Market-based]]=1,OR(emissions[[#This Row],[Impact Type]]="CO2E",emissions[[#This Row],[Impact Type]]="CO2E MKT")),emissions[[#This Row],[kgCO2e]],0)/1000</f>
        <v>0</v>
      </c>
      <c r="AQ2384" t="str">
        <f>_xlfn.TEXTAFTER(emissions[[#This Row],[Reporting Unit]]," &gt; ",LEN(emissions[[#This Row],[Reporting Unit]])-LEN(SUBSTITUTE(emissions[[#This Row],[Reporting Unit]],"&gt;","")))</f>
        <v>Vantage_Santiago</v>
      </c>
      <c r="AR2384" t="str">
        <f>_xlfn.XLOOKUP(emissions[[#This Row],[Reporting unit name]],hierarchy!$A:$A,hierarchy!$C:$C)</f>
        <v>Unspecified Facility Type</v>
      </c>
    </row>
    <row r="2385" spans="1:44" hidden="1" x14ac:dyDescent="0.25">
      <c r="A2385">
        <v>4986</v>
      </c>
      <c r="B2385" t="s">
        <v>221</v>
      </c>
      <c r="C2385" t="s">
        <v>525</v>
      </c>
      <c r="D2385" t="s">
        <v>599</v>
      </c>
      <c r="E2385" s="3">
        <v>44197</v>
      </c>
      <c r="F2385" s="3">
        <v>44561</v>
      </c>
      <c r="G2385" t="s">
        <v>135</v>
      </c>
      <c r="H2385" s="3">
        <v>44197</v>
      </c>
      <c r="I2385" s="3">
        <v>44561</v>
      </c>
      <c r="J2385" t="s">
        <v>135</v>
      </c>
      <c r="K2385">
        <v>0</v>
      </c>
      <c r="L2385" t="s">
        <v>136</v>
      </c>
      <c r="M2385" t="s">
        <v>110</v>
      </c>
      <c r="O2385" t="s">
        <v>600</v>
      </c>
      <c r="P2385" t="s">
        <v>550</v>
      </c>
      <c r="Q2385">
        <v>2021</v>
      </c>
      <c r="R2385" t="s">
        <v>605</v>
      </c>
      <c r="S2385" t="s">
        <v>606</v>
      </c>
      <c r="T2385" t="s">
        <v>553</v>
      </c>
      <c r="U2385" t="b">
        <v>0</v>
      </c>
      <c r="V2385" t="s">
        <v>781</v>
      </c>
      <c r="W2385" t="s">
        <v>587</v>
      </c>
      <c r="X2385" t="s">
        <v>556</v>
      </c>
      <c r="Y2385" t="s">
        <v>472</v>
      </c>
      <c r="AC2385">
        <v>0</v>
      </c>
      <c r="AD2385" t="s">
        <v>565</v>
      </c>
      <c r="AE2385">
        <v>0</v>
      </c>
      <c r="AF2385">
        <v>53.114800000000002</v>
      </c>
      <c r="AG2385" t="s">
        <v>798</v>
      </c>
      <c r="AH2385">
        <v>0.1</v>
      </c>
      <c r="AI2385">
        <v>0</v>
      </c>
      <c r="AJ2385" t="s">
        <v>561</v>
      </c>
      <c r="AK2385" t="s">
        <v>766</v>
      </c>
      <c r="AL2385" t="s">
        <v>790</v>
      </c>
      <c r="AM2385">
        <v>2021</v>
      </c>
      <c r="AN2385">
        <v>2021</v>
      </c>
      <c r="AO2385">
        <f>IF(AND(emissions[[#This Row],[Market-based]]=0,emissions[[#This Row],[Impact Type]]="CO2E"),emissions[[#This Row],[kgCO2e]],0)/1000</f>
        <v>0</v>
      </c>
      <c r="AP2385">
        <f>IF(AND(emissions[[#This Row],[Market-based]]=1,OR(emissions[[#This Row],[Impact Type]]="CO2E",emissions[[#This Row],[Impact Type]]="CO2E MKT")),emissions[[#This Row],[kgCO2e]],0)/1000</f>
        <v>0</v>
      </c>
      <c r="AQ2385" t="str">
        <f>_xlfn.TEXTAFTER(emissions[[#This Row],[Reporting Unit]]," &gt; ",LEN(emissions[[#This Row],[Reporting Unit]])-LEN(SUBSTITUTE(emissions[[#This Row],[Reporting Unit]],"&gt;","")))</f>
        <v>Vantage_Santiago</v>
      </c>
      <c r="AR2385" t="str">
        <f>_xlfn.XLOOKUP(emissions[[#This Row],[Reporting unit name]],hierarchy!$A:$A,hierarchy!$C:$C)</f>
        <v>Unspecified Facility Type</v>
      </c>
    </row>
    <row r="2386" spans="1:44" hidden="1" x14ac:dyDescent="0.25">
      <c r="A2386">
        <v>4986</v>
      </c>
      <c r="B2386" t="s">
        <v>221</v>
      </c>
      <c r="C2386" t="s">
        <v>525</v>
      </c>
      <c r="D2386" t="s">
        <v>599</v>
      </c>
      <c r="E2386" s="3">
        <v>44197</v>
      </c>
      <c r="F2386" s="3">
        <v>44561</v>
      </c>
      <c r="G2386" t="s">
        <v>135</v>
      </c>
      <c r="H2386" s="3">
        <v>44197</v>
      </c>
      <c r="I2386" s="3">
        <v>44561</v>
      </c>
      <c r="J2386" t="s">
        <v>135</v>
      </c>
      <c r="K2386">
        <v>0</v>
      </c>
      <c r="L2386" t="s">
        <v>136</v>
      </c>
      <c r="M2386" t="s">
        <v>110</v>
      </c>
      <c r="O2386" t="s">
        <v>600</v>
      </c>
      <c r="P2386" t="s">
        <v>550</v>
      </c>
      <c r="Q2386">
        <v>2021</v>
      </c>
      <c r="R2386" t="s">
        <v>605</v>
      </c>
      <c r="S2386" t="s">
        <v>606</v>
      </c>
      <c r="T2386" t="s">
        <v>553</v>
      </c>
      <c r="U2386" t="b">
        <v>0</v>
      </c>
      <c r="V2386" t="s">
        <v>781</v>
      </c>
      <c r="W2386" t="s">
        <v>587</v>
      </c>
      <c r="X2386" t="s">
        <v>556</v>
      </c>
      <c r="Y2386" t="s">
        <v>472</v>
      </c>
      <c r="AC2386">
        <v>0</v>
      </c>
      <c r="AD2386" t="s">
        <v>566</v>
      </c>
      <c r="AE2386">
        <v>0</v>
      </c>
      <c r="AF2386">
        <v>2.98E-2</v>
      </c>
      <c r="AG2386" t="s">
        <v>798</v>
      </c>
      <c r="AH2386">
        <v>0.1</v>
      </c>
      <c r="AI2386">
        <v>0</v>
      </c>
      <c r="AJ2386" t="s">
        <v>561</v>
      </c>
      <c r="AK2386" t="s">
        <v>766</v>
      </c>
      <c r="AL2386" t="s">
        <v>790</v>
      </c>
      <c r="AM2386">
        <v>2021</v>
      </c>
      <c r="AN2386">
        <v>2021</v>
      </c>
      <c r="AO2386">
        <f>IF(AND(emissions[[#This Row],[Market-based]]=0,emissions[[#This Row],[Impact Type]]="CO2E"),emissions[[#This Row],[kgCO2e]],0)/1000</f>
        <v>0</v>
      </c>
      <c r="AP2386">
        <f>IF(AND(emissions[[#This Row],[Market-based]]=1,OR(emissions[[#This Row],[Impact Type]]="CO2E",emissions[[#This Row],[Impact Type]]="CO2E MKT")),emissions[[#This Row],[kgCO2e]],0)/1000</f>
        <v>0</v>
      </c>
      <c r="AQ2386" t="str">
        <f>_xlfn.TEXTAFTER(emissions[[#This Row],[Reporting Unit]]," &gt; ",LEN(emissions[[#This Row],[Reporting Unit]])-LEN(SUBSTITUTE(emissions[[#This Row],[Reporting Unit]],"&gt;","")))</f>
        <v>Vantage_Santiago</v>
      </c>
      <c r="AR2386" t="str">
        <f>_xlfn.XLOOKUP(emissions[[#This Row],[Reporting unit name]],hierarchy!$A:$A,hierarchy!$C:$C)</f>
        <v>Unspecified Facility Type</v>
      </c>
    </row>
    <row r="2387" spans="1:44" hidden="1" x14ac:dyDescent="0.25">
      <c r="A2387">
        <v>4986</v>
      </c>
      <c r="B2387" t="s">
        <v>221</v>
      </c>
      <c r="C2387" t="s">
        <v>525</v>
      </c>
      <c r="D2387" t="s">
        <v>599</v>
      </c>
      <c r="E2387" s="3">
        <v>44197</v>
      </c>
      <c r="F2387" s="3">
        <v>44561</v>
      </c>
      <c r="G2387" t="s">
        <v>135</v>
      </c>
      <c r="H2387" s="3">
        <v>44197</v>
      </c>
      <c r="I2387" s="3">
        <v>44561</v>
      </c>
      <c r="J2387" t="s">
        <v>135</v>
      </c>
      <c r="K2387">
        <v>0</v>
      </c>
      <c r="L2387" t="s">
        <v>136</v>
      </c>
      <c r="M2387" t="s">
        <v>110</v>
      </c>
      <c r="O2387" t="s">
        <v>600</v>
      </c>
      <c r="P2387" t="s">
        <v>550</v>
      </c>
      <c r="Q2387">
        <v>2021</v>
      </c>
      <c r="R2387" t="s">
        <v>605</v>
      </c>
      <c r="S2387" t="s">
        <v>606</v>
      </c>
      <c r="T2387" t="s">
        <v>553</v>
      </c>
      <c r="U2387" t="b">
        <v>0</v>
      </c>
      <c r="V2387" t="s">
        <v>781</v>
      </c>
      <c r="W2387" t="s">
        <v>587</v>
      </c>
      <c r="X2387" t="s">
        <v>556</v>
      </c>
      <c r="Y2387" t="s">
        <v>472</v>
      </c>
      <c r="AC2387">
        <v>1</v>
      </c>
      <c r="AD2387" t="s">
        <v>558</v>
      </c>
      <c r="AE2387">
        <v>0</v>
      </c>
      <c r="AF2387">
        <v>2.5000000000000001E-2</v>
      </c>
      <c r="AG2387" t="s">
        <v>798</v>
      </c>
      <c r="AH2387">
        <v>0.1</v>
      </c>
      <c r="AI2387">
        <v>0</v>
      </c>
      <c r="AJ2387" t="s">
        <v>561</v>
      </c>
      <c r="AK2387" t="s">
        <v>766</v>
      </c>
      <c r="AL2387" t="s">
        <v>790</v>
      </c>
      <c r="AM2387">
        <v>2021</v>
      </c>
      <c r="AN2387">
        <v>2021</v>
      </c>
      <c r="AO2387">
        <f>IF(AND(emissions[[#This Row],[Market-based]]=0,emissions[[#This Row],[Impact Type]]="CO2E"),emissions[[#This Row],[kgCO2e]],0)/1000</f>
        <v>0</v>
      </c>
      <c r="AP2387">
        <f>IF(AND(emissions[[#This Row],[Market-based]]=1,OR(emissions[[#This Row],[Impact Type]]="CO2E",emissions[[#This Row],[Impact Type]]="CO2E MKT")),emissions[[#This Row],[kgCO2e]],0)/1000</f>
        <v>0</v>
      </c>
      <c r="AQ2387" t="str">
        <f>_xlfn.TEXTAFTER(emissions[[#This Row],[Reporting Unit]]," &gt; ",LEN(emissions[[#This Row],[Reporting Unit]])-LEN(SUBSTITUTE(emissions[[#This Row],[Reporting Unit]],"&gt;","")))</f>
        <v>Vantage_Santiago</v>
      </c>
      <c r="AR2387" t="str">
        <f>_xlfn.XLOOKUP(emissions[[#This Row],[Reporting unit name]],hierarchy!$A:$A,hierarchy!$C:$C)</f>
        <v>Unspecified Facility Type</v>
      </c>
    </row>
    <row r="2388" spans="1:44" hidden="1" x14ac:dyDescent="0.25">
      <c r="A2388">
        <v>4986</v>
      </c>
      <c r="B2388" t="s">
        <v>221</v>
      </c>
      <c r="C2388" t="s">
        <v>525</v>
      </c>
      <c r="D2388" t="s">
        <v>599</v>
      </c>
      <c r="E2388" s="3">
        <v>44197</v>
      </c>
      <c r="F2388" s="3">
        <v>44561</v>
      </c>
      <c r="G2388" t="s">
        <v>135</v>
      </c>
      <c r="H2388" s="3">
        <v>44197</v>
      </c>
      <c r="I2388" s="3">
        <v>44561</v>
      </c>
      <c r="J2388" t="s">
        <v>135</v>
      </c>
      <c r="K2388">
        <v>0</v>
      </c>
      <c r="L2388" t="s">
        <v>136</v>
      </c>
      <c r="M2388" t="s">
        <v>110</v>
      </c>
      <c r="O2388" t="s">
        <v>600</v>
      </c>
      <c r="P2388" t="s">
        <v>550</v>
      </c>
      <c r="Q2388">
        <v>2021</v>
      </c>
      <c r="R2388" t="s">
        <v>605</v>
      </c>
      <c r="S2388" t="s">
        <v>606</v>
      </c>
      <c r="T2388" t="s">
        <v>553</v>
      </c>
      <c r="U2388" t="b">
        <v>0</v>
      </c>
      <c r="V2388" t="s">
        <v>781</v>
      </c>
      <c r="W2388" t="s">
        <v>587</v>
      </c>
      <c r="X2388" t="s">
        <v>556</v>
      </c>
      <c r="Y2388" t="s">
        <v>472</v>
      </c>
      <c r="AC2388">
        <v>1</v>
      </c>
      <c r="AD2388" t="s">
        <v>564</v>
      </c>
      <c r="AE2388">
        <v>0</v>
      </c>
      <c r="AF2388">
        <v>53.06</v>
      </c>
      <c r="AG2388" t="s">
        <v>798</v>
      </c>
      <c r="AH2388">
        <v>0.1</v>
      </c>
      <c r="AI2388">
        <v>0</v>
      </c>
      <c r="AJ2388" t="s">
        <v>561</v>
      </c>
      <c r="AK2388" t="s">
        <v>766</v>
      </c>
      <c r="AL2388" t="s">
        <v>787</v>
      </c>
      <c r="AM2388">
        <v>2021</v>
      </c>
      <c r="AN2388">
        <v>2020</v>
      </c>
      <c r="AO2388">
        <f>IF(AND(emissions[[#This Row],[Market-based]]=0,emissions[[#This Row],[Impact Type]]="CO2E"),emissions[[#This Row],[kgCO2e]],0)/1000</f>
        <v>0</v>
      </c>
      <c r="AP2388">
        <f>IF(AND(emissions[[#This Row],[Market-based]]=1,OR(emissions[[#This Row],[Impact Type]]="CO2E",emissions[[#This Row],[Impact Type]]="CO2E MKT")),emissions[[#This Row],[kgCO2e]],0)/1000</f>
        <v>0</v>
      </c>
      <c r="AQ2388" t="str">
        <f>_xlfn.TEXTAFTER(emissions[[#This Row],[Reporting Unit]]," &gt; ",LEN(emissions[[#This Row],[Reporting Unit]])-LEN(SUBSTITUTE(emissions[[#This Row],[Reporting Unit]],"&gt;","")))</f>
        <v>Vantage_Santiago</v>
      </c>
      <c r="AR2388" t="str">
        <f>_xlfn.XLOOKUP(emissions[[#This Row],[Reporting unit name]],hierarchy!$A:$A,hierarchy!$C:$C)</f>
        <v>Unspecified Facility Type</v>
      </c>
    </row>
    <row r="2389" spans="1:44" hidden="1" x14ac:dyDescent="0.25">
      <c r="A2389">
        <v>4986</v>
      </c>
      <c r="B2389" t="s">
        <v>221</v>
      </c>
      <c r="C2389" t="s">
        <v>525</v>
      </c>
      <c r="D2389" t="s">
        <v>599</v>
      </c>
      <c r="E2389" s="3">
        <v>44197</v>
      </c>
      <c r="F2389" s="3">
        <v>44561</v>
      </c>
      <c r="G2389" t="s">
        <v>135</v>
      </c>
      <c r="H2389" s="3">
        <v>44197</v>
      </c>
      <c r="I2389" s="3">
        <v>44561</v>
      </c>
      <c r="J2389" t="s">
        <v>135</v>
      </c>
      <c r="K2389">
        <v>0</v>
      </c>
      <c r="L2389" t="s">
        <v>136</v>
      </c>
      <c r="M2389" t="s">
        <v>110</v>
      </c>
      <c r="O2389" t="s">
        <v>600</v>
      </c>
      <c r="P2389" t="s">
        <v>550</v>
      </c>
      <c r="Q2389">
        <v>2021</v>
      </c>
      <c r="R2389" t="s">
        <v>605</v>
      </c>
      <c r="S2389" t="s">
        <v>606</v>
      </c>
      <c r="T2389" t="s">
        <v>553</v>
      </c>
      <c r="U2389" t="b">
        <v>0</v>
      </c>
      <c r="V2389" t="s">
        <v>781</v>
      </c>
      <c r="W2389" t="s">
        <v>587</v>
      </c>
      <c r="X2389" t="s">
        <v>556</v>
      </c>
      <c r="Y2389" t="s">
        <v>472</v>
      </c>
      <c r="AC2389">
        <v>1</v>
      </c>
      <c r="AD2389" t="s">
        <v>565</v>
      </c>
      <c r="AE2389">
        <v>0</v>
      </c>
      <c r="AF2389">
        <v>53.114800000000002</v>
      </c>
      <c r="AG2389" t="s">
        <v>798</v>
      </c>
      <c r="AH2389">
        <v>0.1</v>
      </c>
      <c r="AI2389">
        <v>0</v>
      </c>
      <c r="AJ2389" t="s">
        <v>561</v>
      </c>
      <c r="AK2389" t="s">
        <v>766</v>
      </c>
      <c r="AL2389" t="s">
        <v>790</v>
      </c>
      <c r="AM2389">
        <v>2021</v>
      </c>
      <c r="AN2389">
        <v>2021</v>
      </c>
      <c r="AO2389">
        <f>IF(AND(emissions[[#This Row],[Market-based]]=0,emissions[[#This Row],[Impact Type]]="CO2E"),emissions[[#This Row],[kgCO2e]],0)/1000</f>
        <v>0</v>
      </c>
      <c r="AP2389">
        <f>IF(AND(emissions[[#This Row],[Market-based]]=1,OR(emissions[[#This Row],[Impact Type]]="CO2E",emissions[[#This Row],[Impact Type]]="CO2E MKT")),emissions[[#This Row],[kgCO2e]],0)/1000</f>
        <v>0</v>
      </c>
      <c r="AQ2389" t="str">
        <f>_xlfn.TEXTAFTER(emissions[[#This Row],[Reporting Unit]]," &gt; ",LEN(emissions[[#This Row],[Reporting Unit]])-LEN(SUBSTITUTE(emissions[[#This Row],[Reporting Unit]],"&gt;","")))</f>
        <v>Vantage_Santiago</v>
      </c>
      <c r="AR2389" t="str">
        <f>_xlfn.XLOOKUP(emissions[[#This Row],[Reporting unit name]],hierarchy!$A:$A,hierarchy!$C:$C)</f>
        <v>Unspecified Facility Type</v>
      </c>
    </row>
    <row r="2390" spans="1:44" hidden="1" x14ac:dyDescent="0.25">
      <c r="A2390">
        <v>4986</v>
      </c>
      <c r="B2390" t="s">
        <v>221</v>
      </c>
      <c r="C2390" t="s">
        <v>525</v>
      </c>
      <c r="D2390" t="s">
        <v>599</v>
      </c>
      <c r="E2390" s="3">
        <v>44197</v>
      </c>
      <c r="F2390" s="3">
        <v>44561</v>
      </c>
      <c r="G2390" t="s">
        <v>135</v>
      </c>
      <c r="H2390" s="3">
        <v>44197</v>
      </c>
      <c r="I2390" s="3">
        <v>44561</v>
      </c>
      <c r="J2390" t="s">
        <v>135</v>
      </c>
      <c r="K2390">
        <v>0</v>
      </c>
      <c r="L2390" t="s">
        <v>136</v>
      </c>
      <c r="M2390" t="s">
        <v>110</v>
      </c>
      <c r="O2390" t="s">
        <v>600</v>
      </c>
      <c r="P2390" t="s">
        <v>550</v>
      </c>
      <c r="Q2390">
        <v>2021</v>
      </c>
      <c r="R2390" t="s">
        <v>605</v>
      </c>
      <c r="S2390" t="s">
        <v>606</v>
      </c>
      <c r="T2390" t="s">
        <v>553</v>
      </c>
      <c r="U2390" t="b">
        <v>0</v>
      </c>
      <c r="V2390" t="s">
        <v>781</v>
      </c>
      <c r="W2390" t="s">
        <v>587</v>
      </c>
      <c r="X2390" t="s">
        <v>556</v>
      </c>
      <c r="Y2390" t="s">
        <v>472</v>
      </c>
      <c r="AC2390">
        <v>1</v>
      </c>
      <c r="AD2390" t="s">
        <v>566</v>
      </c>
      <c r="AE2390">
        <v>0</v>
      </c>
      <c r="AF2390">
        <v>2.98E-2</v>
      </c>
      <c r="AG2390" t="s">
        <v>798</v>
      </c>
      <c r="AH2390">
        <v>0.1</v>
      </c>
      <c r="AI2390">
        <v>0</v>
      </c>
      <c r="AJ2390" t="s">
        <v>561</v>
      </c>
      <c r="AK2390" t="s">
        <v>766</v>
      </c>
      <c r="AL2390" t="s">
        <v>790</v>
      </c>
      <c r="AM2390">
        <v>2021</v>
      </c>
      <c r="AN2390">
        <v>2021</v>
      </c>
      <c r="AO2390">
        <f>IF(AND(emissions[[#This Row],[Market-based]]=0,emissions[[#This Row],[Impact Type]]="CO2E"),emissions[[#This Row],[kgCO2e]],0)/1000</f>
        <v>0</v>
      </c>
      <c r="AP2390">
        <f>IF(AND(emissions[[#This Row],[Market-based]]=1,OR(emissions[[#This Row],[Impact Type]]="CO2E",emissions[[#This Row],[Impact Type]]="CO2E MKT")),emissions[[#This Row],[kgCO2e]],0)/1000</f>
        <v>0</v>
      </c>
      <c r="AQ2390" t="str">
        <f>_xlfn.TEXTAFTER(emissions[[#This Row],[Reporting Unit]]," &gt; ",LEN(emissions[[#This Row],[Reporting Unit]])-LEN(SUBSTITUTE(emissions[[#This Row],[Reporting Unit]],"&gt;","")))</f>
        <v>Vantage_Santiago</v>
      </c>
      <c r="AR2390" t="str">
        <f>_xlfn.XLOOKUP(emissions[[#This Row],[Reporting unit name]],hierarchy!$A:$A,hierarchy!$C:$C)</f>
        <v>Unspecified Facility Type</v>
      </c>
    </row>
    <row r="2391" spans="1:44" hidden="1" x14ac:dyDescent="0.25">
      <c r="A2391">
        <v>4986</v>
      </c>
      <c r="B2391" t="s">
        <v>221</v>
      </c>
      <c r="C2391" t="s">
        <v>525</v>
      </c>
      <c r="D2391" t="s">
        <v>599</v>
      </c>
      <c r="E2391" s="3">
        <v>44197</v>
      </c>
      <c r="F2391" s="3">
        <v>44561</v>
      </c>
      <c r="G2391" t="s">
        <v>135</v>
      </c>
      <c r="H2391" s="3">
        <v>44197</v>
      </c>
      <c r="I2391" s="3">
        <v>44561</v>
      </c>
      <c r="J2391" t="s">
        <v>135</v>
      </c>
      <c r="K2391">
        <v>0</v>
      </c>
      <c r="L2391" t="s">
        <v>136</v>
      </c>
      <c r="M2391" t="s">
        <v>110</v>
      </c>
      <c r="O2391" t="s">
        <v>600</v>
      </c>
      <c r="P2391" t="s">
        <v>550</v>
      </c>
      <c r="Q2391">
        <v>2021</v>
      </c>
      <c r="R2391" t="s">
        <v>609</v>
      </c>
      <c r="S2391" t="s">
        <v>610</v>
      </c>
      <c r="T2391" t="s">
        <v>577</v>
      </c>
      <c r="U2391" t="b">
        <v>0</v>
      </c>
      <c r="V2391" t="s">
        <v>611</v>
      </c>
      <c r="W2391" t="s">
        <v>571</v>
      </c>
      <c r="X2391" t="s">
        <v>572</v>
      </c>
      <c r="AC2391">
        <v>0</v>
      </c>
      <c r="AD2391" t="s">
        <v>565</v>
      </c>
      <c r="AE2391">
        <v>0</v>
      </c>
      <c r="AF2391">
        <v>3.1350000000000003E-2</v>
      </c>
      <c r="AG2391" t="s">
        <v>608</v>
      </c>
      <c r="AH2391">
        <v>29.3001</v>
      </c>
      <c r="AI2391">
        <v>0</v>
      </c>
      <c r="AJ2391" t="s">
        <v>561</v>
      </c>
      <c r="AK2391" t="s">
        <v>589</v>
      </c>
      <c r="AL2391" t="s">
        <v>603</v>
      </c>
      <c r="AM2391">
        <v>2021</v>
      </c>
      <c r="AN2391">
        <v>2019</v>
      </c>
      <c r="AO2391">
        <f>IF(AND(emissions[[#This Row],[Market-based]]=0,emissions[[#This Row],[Impact Type]]="CO2E"),emissions[[#This Row],[kgCO2e]],0)/1000</f>
        <v>0</v>
      </c>
      <c r="AP2391">
        <f>IF(AND(emissions[[#This Row],[Market-based]]=1,OR(emissions[[#This Row],[Impact Type]]="CO2E",emissions[[#This Row],[Impact Type]]="CO2E MKT")),emissions[[#This Row],[kgCO2e]],0)/1000</f>
        <v>0</v>
      </c>
      <c r="AQ2391" t="str">
        <f>_xlfn.TEXTAFTER(emissions[[#This Row],[Reporting Unit]]," &gt; ",LEN(emissions[[#This Row],[Reporting Unit]])-LEN(SUBSTITUTE(emissions[[#This Row],[Reporting Unit]],"&gt;","")))</f>
        <v>Vantage_Santiago</v>
      </c>
      <c r="AR2391" t="str">
        <f>_xlfn.XLOOKUP(emissions[[#This Row],[Reporting unit name]],hierarchy!$A:$A,hierarchy!$C:$C)</f>
        <v>Unspecified Facility Type</v>
      </c>
    </row>
    <row r="2392" spans="1:44" hidden="1" x14ac:dyDescent="0.25">
      <c r="A2392">
        <v>4986</v>
      </c>
      <c r="B2392" t="s">
        <v>221</v>
      </c>
      <c r="C2392" t="s">
        <v>525</v>
      </c>
      <c r="D2392" t="s">
        <v>599</v>
      </c>
      <c r="E2392" s="3">
        <v>44197</v>
      </c>
      <c r="F2392" s="3">
        <v>44561</v>
      </c>
      <c r="G2392" t="s">
        <v>135</v>
      </c>
      <c r="H2392" s="3">
        <v>44197</v>
      </c>
      <c r="I2392" s="3">
        <v>44561</v>
      </c>
      <c r="J2392" t="s">
        <v>135</v>
      </c>
      <c r="K2392">
        <v>0</v>
      </c>
      <c r="L2392" t="s">
        <v>136</v>
      </c>
      <c r="M2392" t="s">
        <v>110</v>
      </c>
      <c r="O2392" t="s">
        <v>600</v>
      </c>
      <c r="P2392" t="s">
        <v>550</v>
      </c>
      <c r="Q2392">
        <v>2021</v>
      </c>
      <c r="R2392" t="s">
        <v>609</v>
      </c>
      <c r="S2392" t="s">
        <v>610</v>
      </c>
      <c r="T2392" t="s">
        <v>577</v>
      </c>
      <c r="U2392" t="b">
        <v>0</v>
      </c>
      <c r="V2392" t="s">
        <v>611</v>
      </c>
      <c r="W2392" t="s">
        <v>571</v>
      </c>
      <c r="X2392" t="s">
        <v>572</v>
      </c>
      <c r="AC2392">
        <v>1</v>
      </c>
      <c r="AD2392" t="s">
        <v>565</v>
      </c>
      <c r="AE2392">
        <v>0</v>
      </c>
      <c r="AF2392">
        <v>3.1350000000000003E-2</v>
      </c>
      <c r="AG2392" t="s">
        <v>608</v>
      </c>
      <c r="AH2392">
        <v>29.3001</v>
      </c>
      <c r="AI2392">
        <v>0</v>
      </c>
      <c r="AJ2392" t="s">
        <v>561</v>
      </c>
      <c r="AK2392" t="s">
        <v>589</v>
      </c>
      <c r="AL2392" t="s">
        <v>603</v>
      </c>
      <c r="AM2392">
        <v>2021</v>
      </c>
      <c r="AN2392">
        <v>2019</v>
      </c>
      <c r="AO2392">
        <f>IF(AND(emissions[[#This Row],[Market-based]]=0,emissions[[#This Row],[Impact Type]]="CO2E"),emissions[[#This Row],[kgCO2e]],0)/1000</f>
        <v>0</v>
      </c>
      <c r="AP2392">
        <f>IF(AND(emissions[[#This Row],[Market-based]]=1,OR(emissions[[#This Row],[Impact Type]]="CO2E",emissions[[#This Row],[Impact Type]]="CO2E MKT")),emissions[[#This Row],[kgCO2e]],0)/1000</f>
        <v>0</v>
      </c>
      <c r="AQ2392" t="str">
        <f>_xlfn.TEXTAFTER(emissions[[#This Row],[Reporting Unit]]," &gt; ",LEN(emissions[[#This Row],[Reporting Unit]])-LEN(SUBSTITUTE(emissions[[#This Row],[Reporting Unit]],"&gt;","")))</f>
        <v>Vantage_Santiago</v>
      </c>
      <c r="AR2392" t="str">
        <f>_xlfn.XLOOKUP(emissions[[#This Row],[Reporting unit name]],hierarchy!$A:$A,hierarchy!$C:$C)</f>
        <v>Unspecified Facility Type</v>
      </c>
    </row>
    <row r="2393" spans="1:44" hidden="1" x14ac:dyDescent="0.25">
      <c r="A2393">
        <v>5045</v>
      </c>
      <c r="B2393" t="s">
        <v>221</v>
      </c>
      <c r="C2393" t="s">
        <v>525</v>
      </c>
      <c r="D2393" t="s">
        <v>599</v>
      </c>
      <c r="E2393" s="3">
        <v>44197</v>
      </c>
      <c r="F2393" s="3">
        <v>44561</v>
      </c>
      <c r="G2393" t="s">
        <v>116</v>
      </c>
      <c r="H2393" s="3">
        <v>44197</v>
      </c>
      <c r="I2393" s="3">
        <v>44561</v>
      </c>
      <c r="J2393" t="s">
        <v>128</v>
      </c>
      <c r="K2393">
        <v>1.3475999999999999</v>
      </c>
      <c r="L2393" t="s">
        <v>118</v>
      </c>
      <c r="M2393" t="s">
        <v>82</v>
      </c>
      <c r="O2393" t="s">
        <v>618</v>
      </c>
      <c r="P2393" t="s">
        <v>550</v>
      </c>
      <c r="Q2393">
        <v>2021</v>
      </c>
      <c r="R2393" t="s">
        <v>619</v>
      </c>
      <c r="S2393" t="s">
        <v>620</v>
      </c>
      <c r="T2393" t="s">
        <v>553</v>
      </c>
      <c r="U2393" t="b">
        <v>0</v>
      </c>
      <c r="V2393" t="s">
        <v>621</v>
      </c>
      <c r="W2393" t="s">
        <v>587</v>
      </c>
      <c r="X2393" t="s">
        <v>556</v>
      </c>
      <c r="AC2393">
        <v>0</v>
      </c>
      <c r="AD2393" t="s">
        <v>565</v>
      </c>
      <c r="AE2393">
        <v>1927.068</v>
      </c>
      <c r="AF2393">
        <v>1430</v>
      </c>
      <c r="AG2393" t="s">
        <v>622</v>
      </c>
      <c r="AH2393">
        <v>1</v>
      </c>
      <c r="AI2393">
        <v>1.3475999999999999</v>
      </c>
      <c r="AJ2393" t="s">
        <v>561</v>
      </c>
      <c r="AK2393" t="s">
        <v>623</v>
      </c>
      <c r="AL2393" t="s">
        <v>624</v>
      </c>
      <c r="AM2393">
        <v>2021</v>
      </c>
      <c r="AN2393">
        <v>2007</v>
      </c>
      <c r="AO2393">
        <f>IF(AND(emissions[[#This Row],[Market-based]]=0,emissions[[#This Row],[Impact Type]]="CO2E"),emissions[[#This Row],[kgCO2e]],0)/1000</f>
        <v>1.927068</v>
      </c>
      <c r="AP2393">
        <f>IF(AND(emissions[[#This Row],[Market-based]]=1,OR(emissions[[#This Row],[Impact Type]]="CO2E",emissions[[#This Row],[Impact Type]]="CO2E MKT")),emissions[[#This Row],[kgCO2e]],0)/1000</f>
        <v>0</v>
      </c>
      <c r="AQ2393" t="str">
        <f>_xlfn.TEXTAFTER(emissions[[#This Row],[Reporting Unit]]," &gt; ",LEN(emissions[[#This Row],[Reporting Unit]])-LEN(SUBSTITUTE(emissions[[#This Row],[Reporting Unit]],"&gt;","")))</f>
        <v>Vantage_Santiago</v>
      </c>
      <c r="AR2393" t="str">
        <f>_xlfn.XLOOKUP(emissions[[#This Row],[Reporting unit name]],hierarchy!$A:$A,hierarchy!$C:$C)</f>
        <v>Unspecified Facility Type</v>
      </c>
    </row>
    <row r="2394" spans="1:44" hidden="1" x14ac:dyDescent="0.25">
      <c r="A2394">
        <v>5045</v>
      </c>
      <c r="B2394" t="s">
        <v>221</v>
      </c>
      <c r="C2394" t="s">
        <v>525</v>
      </c>
      <c r="D2394" t="s">
        <v>599</v>
      </c>
      <c r="E2394" s="3">
        <v>44197</v>
      </c>
      <c r="F2394" s="3">
        <v>44561</v>
      </c>
      <c r="G2394" t="s">
        <v>116</v>
      </c>
      <c r="H2394" s="3">
        <v>44197</v>
      </c>
      <c r="I2394" s="3">
        <v>44561</v>
      </c>
      <c r="J2394" t="s">
        <v>128</v>
      </c>
      <c r="K2394">
        <v>1.3475999999999999</v>
      </c>
      <c r="L2394" t="s">
        <v>118</v>
      </c>
      <c r="M2394" t="s">
        <v>82</v>
      </c>
      <c r="O2394" t="s">
        <v>618</v>
      </c>
      <c r="P2394" t="s">
        <v>550</v>
      </c>
      <c r="Q2394">
        <v>2021</v>
      </c>
      <c r="R2394" t="s">
        <v>619</v>
      </c>
      <c r="S2394" t="s">
        <v>620</v>
      </c>
      <c r="T2394" t="s">
        <v>553</v>
      </c>
      <c r="U2394" t="b">
        <v>0</v>
      </c>
      <c r="V2394" t="s">
        <v>621</v>
      </c>
      <c r="W2394" t="s">
        <v>587</v>
      </c>
      <c r="X2394" t="s">
        <v>556</v>
      </c>
      <c r="AC2394">
        <v>1</v>
      </c>
      <c r="AD2394" t="s">
        <v>565</v>
      </c>
      <c r="AE2394">
        <v>1927.068</v>
      </c>
      <c r="AF2394">
        <v>1430</v>
      </c>
      <c r="AG2394" t="s">
        <v>622</v>
      </c>
      <c r="AH2394">
        <v>1</v>
      </c>
      <c r="AI2394">
        <v>1.3475999999999999</v>
      </c>
      <c r="AJ2394" t="s">
        <v>561</v>
      </c>
      <c r="AK2394" t="s">
        <v>623</v>
      </c>
      <c r="AL2394" t="s">
        <v>624</v>
      </c>
      <c r="AM2394">
        <v>2021</v>
      </c>
      <c r="AN2394">
        <v>2007</v>
      </c>
      <c r="AO2394">
        <f>IF(AND(emissions[[#This Row],[Market-based]]=0,emissions[[#This Row],[Impact Type]]="CO2E"),emissions[[#This Row],[kgCO2e]],0)/1000</f>
        <v>0</v>
      </c>
      <c r="AP2394">
        <f>IF(AND(emissions[[#This Row],[Market-based]]=1,OR(emissions[[#This Row],[Impact Type]]="CO2E",emissions[[#This Row],[Impact Type]]="CO2E MKT")),emissions[[#This Row],[kgCO2e]],0)/1000</f>
        <v>1.927068</v>
      </c>
      <c r="AQ2394" t="str">
        <f>_xlfn.TEXTAFTER(emissions[[#This Row],[Reporting Unit]]," &gt; ",LEN(emissions[[#This Row],[Reporting Unit]])-LEN(SUBSTITUTE(emissions[[#This Row],[Reporting Unit]],"&gt;","")))</f>
        <v>Vantage_Santiago</v>
      </c>
      <c r="AR2394" t="str">
        <f>_xlfn.XLOOKUP(emissions[[#This Row],[Reporting unit name]],hierarchy!$A:$A,hierarchy!$C:$C)</f>
        <v>Unspecified Facility Type</v>
      </c>
    </row>
    <row r="2395" spans="1:44" hidden="1" x14ac:dyDescent="0.25">
      <c r="A2395">
        <v>237670</v>
      </c>
      <c r="B2395" t="s">
        <v>210</v>
      </c>
      <c r="C2395" t="s">
        <v>525</v>
      </c>
      <c r="D2395" t="s">
        <v>548</v>
      </c>
      <c r="E2395" s="3">
        <v>44562</v>
      </c>
      <c r="F2395" s="3">
        <v>44926</v>
      </c>
      <c r="G2395" t="s">
        <v>108</v>
      </c>
      <c r="H2395" s="3">
        <v>44562</v>
      </c>
      <c r="I2395" s="3">
        <v>44926</v>
      </c>
      <c r="J2395" t="s">
        <v>108</v>
      </c>
      <c r="K2395">
        <v>24867</v>
      </c>
      <c r="L2395" t="s">
        <v>109</v>
      </c>
      <c r="M2395" t="s">
        <v>110</v>
      </c>
      <c r="O2395" t="s">
        <v>1053</v>
      </c>
      <c r="P2395" t="s">
        <v>550</v>
      </c>
      <c r="Q2395">
        <v>2022</v>
      </c>
      <c r="R2395" t="s">
        <v>551</v>
      </c>
      <c r="S2395" t="s">
        <v>552</v>
      </c>
      <c r="T2395" t="s">
        <v>553</v>
      </c>
      <c r="U2395" t="b">
        <v>0</v>
      </c>
      <c r="V2395" t="s">
        <v>1054</v>
      </c>
      <c r="W2395" t="s">
        <v>555</v>
      </c>
      <c r="X2395" t="s">
        <v>556</v>
      </c>
      <c r="Y2395" t="s">
        <v>472</v>
      </c>
      <c r="Z2395" t="s">
        <v>491</v>
      </c>
      <c r="AA2395" t="s">
        <v>1055</v>
      </c>
      <c r="AC2395">
        <v>0</v>
      </c>
      <c r="AD2395" t="s">
        <v>558</v>
      </c>
      <c r="AE2395">
        <v>2.4866999999999999</v>
      </c>
      <c r="AF2395" t="s">
        <v>559</v>
      </c>
      <c r="AG2395" t="s">
        <v>560</v>
      </c>
      <c r="AH2395">
        <v>1</v>
      </c>
      <c r="AI2395">
        <v>24867</v>
      </c>
      <c r="AJ2395" t="s">
        <v>561</v>
      </c>
      <c r="AK2395" t="s">
        <v>562</v>
      </c>
      <c r="AL2395" t="s">
        <v>563</v>
      </c>
      <c r="AM2395">
        <v>2022</v>
      </c>
      <c r="AN2395">
        <v>2020</v>
      </c>
      <c r="AO2395">
        <f>IF(AND(emissions[[#This Row],[Market-based]]=0,emissions[[#This Row],[Impact Type]]="CO2E"),emissions[[#This Row],[kgCO2e]],0)/1000</f>
        <v>0</v>
      </c>
      <c r="AP2395">
        <f>IF(AND(emissions[[#This Row],[Market-based]]=1,OR(emissions[[#This Row],[Impact Type]]="CO2E",emissions[[#This Row],[Impact Type]]="CO2E MKT")),emissions[[#This Row],[kgCO2e]],0)/1000</f>
        <v>0</v>
      </c>
      <c r="AQ2395" t="str">
        <f>_xlfn.TEXTAFTER(emissions[[#This Row],[Reporting Unit]]," &gt; ",LEN(emissions[[#This Row],[Reporting Unit]])-LEN(SUBSTITUTE(emissions[[#This Row],[Reporting Unit]],"&gt;","")))</f>
        <v>Vantage_Sao Paulo</v>
      </c>
      <c r="AR2395" t="str">
        <f>_xlfn.XLOOKUP(emissions[[#This Row],[Reporting unit name]],hierarchy!$A:$A,hierarchy!$C:$C)</f>
        <v>Unspecified Facility Type</v>
      </c>
    </row>
    <row r="2396" spans="1:44" hidden="1" x14ac:dyDescent="0.25">
      <c r="A2396">
        <v>237670</v>
      </c>
      <c r="B2396" t="s">
        <v>210</v>
      </c>
      <c r="C2396" t="s">
        <v>525</v>
      </c>
      <c r="D2396" t="s">
        <v>548</v>
      </c>
      <c r="E2396" s="3">
        <v>44562</v>
      </c>
      <c r="F2396" s="3">
        <v>44926</v>
      </c>
      <c r="G2396" t="s">
        <v>108</v>
      </c>
      <c r="H2396" s="3">
        <v>44562</v>
      </c>
      <c r="I2396" s="3">
        <v>44926</v>
      </c>
      <c r="J2396" t="s">
        <v>108</v>
      </c>
      <c r="K2396">
        <v>24867</v>
      </c>
      <c r="L2396" t="s">
        <v>109</v>
      </c>
      <c r="M2396" t="s">
        <v>110</v>
      </c>
      <c r="O2396" t="s">
        <v>1053</v>
      </c>
      <c r="P2396" t="s">
        <v>550</v>
      </c>
      <c r="Q2396">
        <v>2022</v>
      </c>
      <c r="R2396" t="s">
        <v>551</v>
      </c>
      <c r="S2396" t="s">
        <v>552</v>
      </c>
      <c r="T2396" t="s">
        <v>553</v>
      </c>
      <c r="U2396" t="b">
        <v>0</v>
      </c>
      <c r="V2396" t="s">
        <v>1054</v>
      </c>
      <c r="W2396" t="s">
        <v>555</v>
      </c>
      <c r="X2396" t="s">
        <v>556</v>
      </c>
      <c r="Y2396" t="s">
        <v>472</v>
      </c>
      <c r="Z2396" t="s">
        <v>491</v>
      </c>
      <c r="AA2396" t="s">
        <v>1055</v>
      </c>
      <c r="AC2396">
        <v>0</v>
      </c>
      <c r="AD2396" t="s">
        <v>564</v>
      </c>
      <c r="AE2396">
        <v>2315.1176999999998</v>
      </c>
      <c r="AF2396" t="s">
        <v>559</v>
      </c>
      <c r="AG2396" t="s">
        <v>560</v>
      </c>
      <c r="AH2396">
        <v>1</v>
      </c>
      <c r="AI2396">
        <v>24867</v>
      </c>
      <c r="AJ2396" t="s">
        <v>561</v>
      </c>
      <c r="AK2396" t="s">
        <v>562</v>
      </c>
      <c r="AL2396" t="s">
        <v>563</v>
      </c>
      <c r="AM2396">
        <v>2022</v>
      </c>
      <c r="AN2396">
        <v>2020</v>
      </c>
      <c r="AO2396">
        <f>IF(AND(emissions[[#This Row],[Market-based]]=0,emissions[[#This Row],[Impact Type]]="CO2E"),emissions[[#This Row],[kgCO2e]],0)/1000</f>
        <v>0</v>
      </c>
      <c r="AP2396">
        <f>IF(AND(emissions[[#This Row],[Market-based]]=1,OR(emissions[[#This Row],[Impact Type]]="CO2E",emissions[[#This Row],[Impact Type]]="CO2E MKT")),emissions[[#This Row],[kgCO2e]],0)/1000</f>
        <v>0</v>
      </c>
      <c r="AQ2396" t="str">
        <f>_xlfn.TEXTAFTER(emissions[[#This Row],[Reporting Unit]]," &gt; ",LEN(emissions[[#This Row],[Reporting Unit]])-LEN(SUBSTITUTE(emissions[[#This Row],[Reporting Unit]],"&gt;","")))</f>
        <v>Vantage_Sao Paulo</v>
      </c>
      <c r="AR2396" t="str">
        <f>_xlfn.XLOOKUP(emissions[[#This Row],[Reporting unit name]],hierarchy!$A:$A,hierarchy!$C:$C)</f>
        <v>Unspecified Facility Type</v>
      </c>
    </row>
    <row r="2397" spans="1:44" hidden="1" x14ac:dyDescent="0.25">
      <c r="A2397">
        <v>237670</v>
      </c>
      <c r="B2397" t="s">
        <v>210</v>
      </c>
      <c r="C2397" t="s">
        <v>525</v>
      </c>
      <c r="D2397" t="s">
        <v>548</v>
      </c>
      <c r="E2397" s="3">
        <v>44562</v>
      </c>
      <c r="F2397" s="3">
        <v>44926</v>
      </c>
      <c r="G2397" t="s">
        <v>108</v>
      </c>
      <c r="H2397" s="3">
        <v>44562</v>
      </c>
      <c r="I2397" s="3">
        <v>44926</v>
      </c>
      <c r="J2397" t="s">
        <v>108</v>
      </c>
      <c r="K2397">
        <v>24867</v>
      </c>
      <c r="L2397" t="s">
        <v>109</v>
      </c>
      <c r="M2397" t="s">
        <v>110</v>
      </c>
      <c r="O2397" t="s">
        <v>1053</v>
      </c>
      <c r="P2397" t="s">
        <v>550</v>
      </c>
      <c r="Q2397">
        <v>2022</v>
      </c>
      <c r="R2397" t="s">
        <v>551</v>
      </c>
      <c r="S2397" t="s">
        <v>552</v>
      </c>
      <c r="T2397" t="s">
        <v>553</v>
      </c>
      <c r="U2397" t="b">
        <v>0</v>
      </c>
      <c r="V2397" t="s">
        <v>1054</v>
      </c>
      <c r="W2397" t="s">
        <v>555</v>
      </c>
      <c r="X2397" t="s">
        <v>556</v>
      </c>
      <c r="Y2397" t="s">
        <v>472</v>
      </c>
      <c r="Z2397" t="s">
        <v>491</v>
      </c>
      <c r="AA2397" t="s">
        <v>1055</v>
      </c>
      <c r="AC2397">
        <v>0</v>
      </c>
      <c r="AD2397" t="s">
        <v>565</v>
      </c>
      <c r="AE2397">
        <v>2322.5778</v>
      </c>
      <c r="AF2397" t="s">
        <v>559</v>
      </c>
      <c r="AG2397" t="s">
        <v>560</v>
      </c>
      <c r="AH2397">
        <v>1</v>
      </c>
      <c r="AI2397">
        <v>24867</v>
      </c>
      <c r="AJ2397" t="s">
        <v>561</v>
      </c>
      <c r="AK2397" t="s">
        <v>562</v>
      </c>
      <c r="AL2397" t="s">
        <v>563</v>
      </c>
      <c r="AM2397">
        <v>2022</v>
      </c>
      <c r="AN2397">
        <v>2020</v>
      </c>
      <c r="AO2397">
        <f>IF(AND(emissions[[#This Row],[Market-based]]=0,emissions[[#This Row],[Impact Type]]="CO2E"),emissions[[#This Row],[kgCO2e]],0)/1000</f>
        <v>2.3225777999999999</v>
      </c>
      <c r="AP2397">
        <f>IF(AND(emissions[[#This Row],[Market-based]]=1,OR(emissions[[#This Row],[Impact Type]]="CO2E",emissions[[#This Row],[Impact Type]]="CO2E MKT")),emissions[[#This Row],[kgCO2e]],0)/1000</f>
        <v>0</v>
      </c>
      <c r="AQ2397" t="str">
        <f>_xlfn.TEXTAFTER(emissions[[#This Row],[Reporting Unit]]," &gt; ",LEN(emissions[[#This Row],[Reporting Unit]])-LEN(SUBSTITUTE(emissions[[#This Row],[Reporting Unit]],"&gt;","")))</f>
        <v>Vantage_Sao Paulo</v>
      </c>
      <c r="AR2397" t="str">
        <f>_xlfn.XLOOKUP(emissions[[#This Row],[Reporting unit name]],hierarchy!$A:$A,hierarchy!$C:$C)</f>
        <v>Unspecified Facility Type</v>
      </c>
    </row>
    <row r="2398" spans="1:44" hidden="1" x14ac:dyDescent="0.25">
      <c r="A2398">
        <v>237670</v>
      </c>
      <c r="B2398" t="s">
        <v>210</v>
      </c>
      <c r="C2398" t="s">
        <v>525</v>
      </c>
      <c r="D2398" t="s">
        <v>548</v>
      </c>
      <c r="E2398" s="3">
        <v>44562</v>
      </c>
      <c r="F2398" s="3">
        <v>44926</v>
      </c>
      <c r="G2398" t="s">
        <v>108</v>
      </c>
      <c r="H2398" s="3">
        <v>44562</v>
      </c>
      <c r="I2398" s="3">
        <v>44926</v>
      </c>
      <c r="J2398" t="s">
        <v>108</v>
      </c>
      <c r="K2398">
        <v>24867</v>
      </c>
      <c r="L2398" t="s">
        <v>109</v>
      </c>
      <c r="M2398" t="s">
        <v>110</v>
      </c>
      <c r="O2398" t="s">
        <v>1053</v>
      </c>
      <c r="P2398" t="s">
        <v>550</v>
      </c>
      <c r="Q2398">
        <v>2022</v>
      </c>
      <c r="R2398" t="s">
        <v>551</v>
      </c>
      <c r="S2398" t="s">
        <v>552</v>
      </c>
      <c r="T2398" t="s">
        <v>553</v>
      </c>
      <c r="U2398" t="b">
        <v>0</v>
      </c>
      <c r="V2398" t="s">
        <v>1054</v>
      </c>
      <c r="W2398" t="s">
        <v>555</v>
      </c>
      <c r="X2398" t="s">
        <v>556</v>
      </c>
      <c r="Y2398" t="s">
        <v>472</v>
      </c>
      <c r="Z2398" t="s">
        <v>491</v>
      </c>
      <c r="AA2398" t="s">
        <v>1055</v>
      </c>
      <c r="AC2398">
        <v>0</v>
      </c>
      <c r="AD2398" t="s">
        <v>566</v>
      </c>
      <c r="AE2398">
        <v>4.9733999999999998</v>
      </c>
      <c r="AF2398" t="s">
        <v>559</v>
      </c>
      <c r="AG2398" t="s">
        <v>560</v>
      </c>
      <c r="AH2398">
        <v>1</v>
      </c>
      <c r="AI2398">
        <v>24867</v>
      </c>
      <c r="AJ2398" t="s">
        <v>561</v>
      </c>
      <c r="AK2398" t="s">
        <v>562</v>
      </c>
      <c r="AL2398" t="s">
        <v>563</v>
      </c>
      <c r="AM2398">
        <v>2022</v>
      </c>
      <c r="AN2398">
        <v>2020</v>
      </c>
      <c r="AO2398">
        <f>IF(AND(emissions[[#This Row],[Market-based]]=0,emissions[[#This Row],[Impact Type]]="CO2E"),emissions[[#This Row],[kgCO2e]],0)/1000</f>
        <v>0</v>
      </c>
      <c r="AP2398">
        <f>IF(AND(emissions[[#This Row],[Market-based]]=1,OR(emissions[[#This Row],[Impact Type]]="CO2E",emissions[[#This Row],[Impact Type]]="CO2E MKT")),emissions[[#This Row],[kgCO2e]],0)/1000</f>
        <v>0</v>
      </c>
      <c r="AQ2398" t="str">
        <f>_xlfn.TEXTAFTER(emissions[[#This Row],[Reporting Unit]]," &gt; ",LEN(emissions[[#This Row],[Reporting Unit]])-LEN(SUBSTITUTE(emissions[[#This Row],[Reporting Unit]],"&gt;","")))</f>
        <v>Vantage_Sao Paulo</v>
      </c>
      <c r="AR2398" t="str">
        <f>_xlfn.XLOOKUP(emissions[[#This Row],[Reporting unit name]],hierarchy!$A:$A,hierarchy!$C:$C)</f>
        <v>Unspecified Facility Type</v>
      </c>
    </row>
    <row r="2399" spans="1:44" hidden="1" x14ac:dyDescent="0.25">
      <c r="A2399">
        <v>237670</v>
      </c>
      <c r="B2399" t="s">
        <v>210</v>
      </c>
      <c r="C2399" t="s">
        <v>525</v>
      </c>
      <c r="D2399" t="s">
        <v>548</v>
      </c>
      <c r="E2399" s="3">
        <v>44562</v>
      </c>
      <c r="F2399" s="3">
        <v>44926</v>
      </c>
      <c r="G2399" t="s">
        <v>108</v>
      </c>
      <c r="H2399" s="3">
        <v>44562</v>
      </c>
      <c r="I2399" s="3">
        <v>44926</v>
      </c>
      <c r="J2399" t="s">
        <v>108</v>
      </c>
      <c r="K2399">
        <v>24867</v>
      </c>
      <c r="L2399" t="s">
        <v>109</v>
      </c>
      <c r="M2399" t="s">
        <v>110</v>
      </c>
      <c r="O2399" t="s">
        <v>1053</v>
      </c>
      <c r="P2399" t="s">
        <v>550</v>
      </c>
      <c r="Q2399">
        <v>2022</v>
      </c>
      <c r="R2399" t="s">
        <v>551</v>
      </c>
      <c r="S2399" t="s">
        <v>552</v>
      </c>
      <c r="T2399" t="s">
        <v>553</v>
      </c>
      <c r="U2399" t="b">
        <v>0</v>
      </c>
      <c r="V2399" t="s">
        <v>1054</v>
      </c>
      <c r="W2399" t="s">
        <v>555</v>
      </c>
      <c r="X2399" t="s">
        <v>556</v>
      </c>
      <c r="Y2399" t="s">
        <v>472</v>
      </c>
      <c r="Z2399" t="s">
        <v>491</v>
      </c>
      <c r="AA2399" t="s">
        <v>1055</v>
      </c>
      <c r="AC2399">
        <v>1</v>
      </c>
      <c r="AD2399" t="s">
        <v>558</v>
      </c>
      <c r="AE2399">
        <v>2.4866999999999999</v>
      </c>
      <c r="AF2399" t="s">
        <v>559</v>
      </c>
      <c r="AG2399" t="s">
        <v>560</v>
      </c>
      <c r="AH2399">
        <v>1</v>
      </c>
      <c r="AI2399">
        <v>24867</v>
      </c>
      <c r="AJ2399" t="s">
        <v>561</v>
      </c>
      <c r="AK2399" t="s">
        <v>562</v>
      </c>
      <c r="AL2399" t="s">
        <v>563</v>
      </c>
      <c r="AM2399">
        <v>2022</v>
      </c>
      <c r="AN2399">
        <v>2020</v>
      </c>
      <c r="AO2399">
        <f>IF(AND(emissions[[#This Row],[Market-based]]=0,emissions[[#This Row],[Impact Type]]="CO2E"),emissions[[#This Row],[kgCO2e]],0)/1000</f>
        <v>0</v>
      </c>
      <c r="AP2399">
        <f>IF(AND(emissions[[#This Row],[Market-based]]=1,OR(emissions[[#This Row],[Impact Type]]="CO2E",emissions[[#This Row],[Impact Type]]="CO2E MKT")),emissions[[#This Row],[kgCO2e]],0)/1000</f>
        <v>0</v>
      </c>
      <c r="AQ2399" t="str">
        <f>_xlfn.TEXTAFTER(emissions[[#This Row],[Reporting Unit]]," &gt; ",LEN(emissions[[#This Row],[Reporting Unit]])-LEN(SUBSTITUTE(emissions[[#This Row],[Reporting Unit]],"&gt;","")))</f>
        <v>Vantage_Sao Paulo</v>
      </c>
      <c r="AR2399" t="str">
        <f>_xlfn.XLOOKUP(emissions[[#This Row],[Reporting unit name]],hierarchy!$A:$A,hierarchy!$C:$C)</f>
        <v>Unspecified Facility Type</v>
      </c>
    </row>
    <row r="2400" spans="1:44" hidden="1" x14ac:dyDescent="0.25">
      <c r="A2400">
        <v>237670</v>
      </c>
      <c r="B2400" t="s">
        <v>210</v>
      </c>
      <c r="C2400" t="s">
        <v>525</v>
      </c>
      <c r="D2400" t="s">
        <v>548</v>
      </c>
      <c r="E2400" s="3">
        <v>44562</v>
      </c>
      <c r="F2400" s="3">
        <v>44926</v>
      </c>
      <c r="G2400" t="s">
        <v>108</v>
      </c>
      <c r="H2400" s="3">
        <v>44562</v>
      </c>
      <c r="I2400" s="3">
        <v>44926</v>
      </c>
      <c r="J2400" t="s">
        <v>108</v>
      </c>
      <c r="K2400">
        <v>24867</v>
      </c>
      <c r="L2400" t="s">
        <v>109</v>
      </c>
      <c r="M2400" t="s">
        <v>110</v>
      </c>
      <c r="O2400" t="s">
        <v>1053</v>
      </c>
      <c r="P2400" t="s">
        <v>550</v>
      </c>
      <c r="Q2400">
        <v>2022</v>
      </c>
      <c r="R2400" t="s">
        <v>551</v>
      </c>
      <c r="S2400" t="s">
        <v>552</v>
      </c>
      <c r="T2400" t="s">
        <v>553</v>
      </c>
      <c r="U2400" t="b">
        <v>0</v>
      </c>
      <c r="V2400" t="s">
        <v>1054</v>
      </c>
      <c r="W2400" t="s">
        <v>555</v>
      </c>
      <c r="X2400" t="s">
        <v>556</v>
      </c>
      <c r="Y2400" t="s">
        <v>472</v>
      </c>
      <c r="Z2400" t="s">
        <v>491</v>
      </c>
      <c r="AA2400" t="s">
        <v>1055</v>
      </c>
      <c r="AC2400">
        <v>1</v>
      </c>
      <c r="AD2400" t="s">
        <v>564</v>
      </c>
      <c r="AE2400">
        <v>2315.1176999999998</v>
      </c>
      <c r="AF2400" t="s">
        <v>559</v>
      </c>
      <c r="AG2400" t="s">
        <v>560</v>
      </c>
      <c r="AH2400">
        <v>1</v>
      </c>
      <c r="AI2400">
        <v>24867</v>
      </c>
      <c r="AJ2400" t="s">
        <v>561</v>
      </c>
      <c r="AK2400" t="s">
        <v>562</v>
      </c>
      <c r="AL2400" t="s">
        <v>563</v>
      </c>
      <c r="AM2400">
        <v>2022</v>
      </c>
      <c r="AN2400">
        <v>2020</v>
      </c>
      <c r="AO2400">
        <f>IF(AND(emissions[[#This Row],[Market-based]]=0,emissions[[#This Row],[Impact Type]]="CO2E"),emissions[[#This Row],[kgCO2e]],0)/1000</f>
        <v>0</v>
      </c>
      <c r="AP2400">
        <f>IF(AND(emissions[[#This Row],[Market-based]]=1,OR(emissions[[#This Row],[Impact Type]]="CO2E",emissions[[#This Row],[Impact Type]]="CO2E MKT")),emissions[[#This Row],[kgCO2e]],0)/1000</f>
        <v>0</v>
      </c>
      <c r="AQ2400" t="str">
        <f>_xlfn.TEXTAFTER(emissions[[#This Row],[Reporting Unit]]," &gt; ",LEN(emissions[[#This Row],[Reporting Unit]])-LEN(SUBSTITUTE(emissions[[#This Row],[Reporting Unit]],"&gt;","")))</f>
        <v>Vantage_Sao Paulo</v>
      </c>
      <c r="AR2400" t="str">
        <f>_xlfn.XLOOKUP(emissions[[#This Row],[Reporting unit name]],hierarchy!$A:$A,hierarchy!$C:$C)</f>
        <v>Unspecified Facility Type</v>
      </c>
    </row>
    <row r="2401" spans="1:44" hidden="1" x14ac:dyDescent="0.25">
      <c r="A2401">
        <v>237670</v>
      </c>
      <c r="B2401" t="s">
        <v>210</v>
      </c>
      <c r="C2401" t="s">
        <v>525</v>
      </c>
      <c r="D2401" t="s">
        <v>548</v>
      </c>
      <c r="E2401" s="3">
        <v>44562</v>
      </c>
      <c r="F2401" s="3">
        <v>44926</v>
      </c>
      <c r="G2401" t="s">
        <v>108</v>
      </c>
      <c r="H2401" s="3">
        <v>44562</v>
      </c>
      <c r="I2401" s="3">
        <v>44926</v>
      </c>
      <c r="J2401" t="s">
        <v>108</v>
      </c>
      <c r="K2401">
        <v>24867</v>
      </c>
      <c r="L2401" t="s">
        <v>109</v>
      </c>
      <c r="M2401" t="s">
        <v>110</v>
      </c>
      <c r="O2401" t="s">
        <v>1053</v>
      </c>
      <c r="P2401" t="s">
        <v>550</v>
      </c>
      <c r="Q2401">
        <v>2022</v>
      </c>
      <c r="R2401" t="s">
        <v>551</v>
      </c>
      <c r="S2401" t="s">
        <v>552</v>
      </c>
      <c r="T2401" t="s">
        <v>553</v>
      </c>
      <c r="U2401" t="b">
        <v>0</v>
      </c>
      <c r="V2401" t="s">
        <v>1054</v>
      </c>
      <c r="W2401" t="s">
        <v>555</v>
      </c>
      <c r="X2401" t="s">
        <v>556</v>
      </c>
      <c r="Y2401" t="s">
        <v>472</v>
      </c>
      <c r="Z2401" t="s">
        <v>491</v>
      </c>
      <c r="AA2401" t="s">
        <v>1055</v>
      </c>
      <c r="AC2401">
        <v>1</v>
      </c>
      <c r="AD2401" t="s">
        <v>565</v>
      </c>
      <c r="AE2401">
        <v>2322.5778</v>
      </c>
      <c r="AF2401" t="s">
        <v>559</v>
      </c>
      <c r="AG2401" t="s">
        <v>560</v>
      </c>
      <c r="AH2401">
        <v>1</v>
      </c>
      <c r="AI2401">
        <v>24867</v>
      </c>
      <c r="AJ2401" t="s">
        <v>561</v>
      </c>
      <c r="AK2401" t="s">
        <v>562</v>
      </c>
      <c r="AL2401" t="s">
        <v>563</v>
      </c>
      <c r="AM2401">
        <v>2022</v>
      </c>
      <c r="AN2401">
        <v>2020</v>
      </c>
      <c r="AO2401">
        <f>IF(AND(emissions[[#This Row],[Market-based]]=0,emissions[[#This Row],[Impact Type]]="CO2E"),emissions[[#This Row],[kgCO2e]],0)/1000</f>
        <v>0</v>
      </c>
      <c r="AP2401">
        <f>IF(AND(emissions[[#This Row],[Market-based]]=1,OR(emissions[[#This Row],[Impact Type]]="CO2E",emissions[[#This Row],[Impact Type]]="CO2E MKT")),emissions[[#This Row],[kgCO2e]],0)/1000</f>
        <v>2.3225777999999999</v>
      </c>
      <c r="AQ2401" t="str">
        <f>_xlfn.TEXTAFTER(emissions[[#This Row],[Reporting Unit]]," &gt; ",LEN(emissions[[#This Row],[Reporting Unit]])-LEN(SUBSTITUTE(emissions[[#This Row],[Reporting Unit]],"&gt;","")))</f>
        <v>Vantage_Sao Paulo</v>
      </c>
      <c r="AR2401" t="str">
        <f>_xlfn.XLOOKUP(emissions[[#This Row],[Reporting unit name]],hierarchy!$A:$A,hierarchy!$C:$C)</f>
        <v>Unspecified Facility Type</v>
      </c>
    </row>
    <row r="2402" spans="1:44" hidden="1" x14ac:dyDescent="0.25">
      <c r="A2402">
        <v>237670</v>
      </c>
      <c r="B2402" t="s">
        <v>210</v>
      </c>
      <c r="C2402" t="s">
        <v>525</v>
      </c>
      <c r="D2402" t="s">
        <v>548</v>
      </c>
      <c r="E2402" s="3">
        <v>44562</v>
      </c>
      <c r="F2402" s="3">
        <v>44926</v>
      </c>
      <c r="G2402" t="s">
        <v>108</v>
      </c>
      <c r="H2402" s="3">
        <v>44562</v>
      </c>
      <c r="I2402" s="3">
        <v>44926</v>
      </c>
      <c r="J2402" t="s">
        <v>108</v>
      </c>
      <c r="K2402">
        <v>24867</v>
      </c>
      <c r="L2402" t="s">
        <v>109</v>
      </c>
      <c r="M2402" t="s">
        <v>110</v>
      </c>
      <c r="O2402" t="s">
        <v>1053</v>
      </c>
      <c r="P2402" t="s">
        <v>550</v>
      </c>
      <c r="Q2402">
        <v>2022</v>
      </c>
      <c r="R2402" t="s">
        <v>551</v>
      </c>
      <c r="S2402" t="s">
        <v>552</v>
      </c>
      <c r="T2402" t="s">
        <v>553</v>
      </c>
      <c r="U2402" t="b">
        <v>0</v>
      </c>
      <c r="V2402" t="s">
        <v>1054</v>
      </c>
      <c r="W2402" t="s">
        <v>555</v>
      </c>
      <c r="X2402" t="s">
        <v>556</v>
      </c>
      <c r="Y2402" t="s">
        <v>472</v>
      </c>
      <c r="Z2402" t="s">
        <v>491</v>
      </c>
      <c r="AA2402" t="s">
        <v>1055</v>
      </c>
      <c r="AC2402">
        <v>1</v>
      </c>
      <c r="AD2402" t="s">
        <v>566</v>
      </c>
      <c r="AE2402">
        <v>4.9733999999999998</v>
      </c>
      <c r="AF2402" t="s">
        <v>559</v>
      </c>
      <c r="AG2402" t="s">
        <v>560</v>
      </c>
      <c r="AH2402">
        <v>1</v>
      </c>
      <c r="AI2402">
        <v>24867</v>
      </c>
      <c r="AJ2402" t="s">
        <v>561</v>
      </c>
      <c r="AK2402" t="s">
        <v>562</v>
      </c>
      <c r="AL2402" t="s">
        <v>563</v>
      </c>
      <c r="AM2402">
        <v>2022</v>
      </c>
      <c r="AN2402">
        <v>2020</v>
      </c>
      <c r="AO2402">
        <f>IF(AND(emissions[[#This Row],[Market-based]]=0,emissions[[#This Row],[Impact Type]]="CO2E"),emissions[[#This Row],[kgCO2e]],0)/1000</f>
        <v>0</v>
      </c>
      <c r="AP2402">
        <f>IF(AND(emissions[[#This Row],[Market-based]]=1,OR(emissions[[#This Row],[Impact Type]]="CO2E",emissions[[#This Row],[Impact Type]]="CO2E MKT")),emissions[[#This Row],[kgCO2e]],0)/1000</f>
        <v>0</v>
      </c>
      <c r="AQ2402" t="str">
        <f>_xlfn.TEXTAFTER(emissions[[#This Row],[Reporting Unit]]," &gt; ",LEN(emissions[[#This Row],[Reporting Unit]])-LEN(SUBSTITUTE(emissions[[#This Row],[Reporting Unit]],"&gt;","")))</f>
        <v>Vantage_Sao Paulo</v>
      </c>
      <c r="AR2402" t="str">
        <f>_xlfn.XLOOKUP(emissions[[#This Row],[Reporting unit name]],hierarchy!$A:$A,hierarchy!$C:$C)</f>
        <v>Unspecified Facility Type</v>
      </c>
    </row>
    <row r="2403" spans="1:44" hidden="1" x14ac:dyDescent="0.25">
      <c r="A2403">
        <v>237670</v>
      </c>
      <c r="B2403" t="s">
        <v>210</v>
      </c>
      <c r="C2403" t="s">
        <v>525</v>
      </c>
      <c r="D2403" t="s">
        <v>548</v>
      </c>
      <c r="E2403" s="3">
        <v>44562</v>
      </c>
      <c r="F2403" s="3">
        <v>44926</v>
      </c>
      <c r="G2403" t="s">
        <v>108</v>
      </c>
      <c r="H2403" s="3">
        <v>44562</v>
      </c>
      <c r="I2403" s="3">
        <v>44926</v>
      </c>
      <c r="J2403" t="s">
        <v>108</v>
      </c>
      <c r="K2403">
        <v>24867</v>
      </c>
      <c r="L2403" t="s">
        <v>109</v>
      </c>
      <c r="M2403" t="s">
        <v>110</v>
      </c>
      <c r="O2403" t="s">
        <v>1053</v>
      </c>
      <c r="P2403" t="s">
        <v>550</v>
      </c>
      <c r="Q2403">
        <v>2022</v>
      </c>
      <c r="R2403" t="s">
        <v>567</v>
      </c>
      <c r="S2403" t="s">
        <v>568</v>
      </c>
      <c r="T2403" t="s">
        <v>569</v>
      </c>
      <c r="U2403" t="b">
        <v>0</v>
      </c>
      <c r="V2403" t="s">
        <v>1056</v>
      </c>
      <c r="W2403" t="s">
        <v>571</v>
      </c>
      <c r="X2403" t="s">
        <v>572</v>
      </c>
      <c r="Y2403" t="s">
        <v>472</v>
      </c>
      <c r="Z2403" t="s">
        <v>491</v>
      </c>
      <c r="AA2403" t="s">
        <v>1055</v>
      </c>
      <c r="AC2403">
        <v>0</v>
      </c>
      <c r="AD2403" t="s">
        <v>565</v>
      </c>
      <c r="AE2403">
        <v>48.503289690000003</v>
      </c>
      <c r="AF2403">
        <v>1.9505080000000001E-3</v>
      </c>
      <c r="AG2403" t="s">
        <v>560</v>
      </c>
      <c r="AH2403">
        <v>1</v>
      </c>
      <c r="AI2403">
        <v>24867</v>
      </c>
      <c r="AJ2403" t="s">
        <v>561</v>
      </c>
      <c r="AK2403" t="s">
        <v>573</v>
      </c>
      <c r="AL2403" t="s">
        <v>574</v>
      </c>
      <c r="AM2403">
        <v>2022</v>
      </c>
      <c r="AN2403">
        <v>2020</v>
      </c>
      <c r="AO2403">
        <f>IF(AND(emissions[[#This Row],[Market-based]]=0,emissions[[#This Row],[Impact Type]]="CO2E"),emissions[[#This Row],[kgCO2e]],0)/1000</f>
        <v>4.850328969E-2</v>
      </c>
      <c r="AP2403">
        <f>IF(AND(emissions[[#This Row],[Market-based]]=1,OR(emissions[[#This Row],[Impact Type]]="CO2E",emissions[[#This Row],[Impact Type]]="CO2E MKT")),emissions[[#This Row],[kgCO2e]],0)/1000</f>
        <v>0</v>
      </c>
      <c r="AQ2403" t="str">
        <f>_xlfn.TEXTAFTER(emissions[[#This Row],[Reporting Unit]]," &gt; ",LEN(emissions[[#This Row],[Reporting Unit]])-LEN(SUBSTITUTE(emissions[[#This Row],[Reporting Unit]],"&gt;","")))</f>
        <v>Vantage_Sao Paulo</v>
      </c>
      <c r="AR2403" t="str">
        <f>_xlfn.XLOOKUP(emissions[[#This Row],[Reporting unit name]],hierarchy!$A:$A,hierarchy!$C:$C)</f>
        <v>Unspecified Facility Type</v>
      </c>
    </row>
    <row r="2404" spans="1:44" hidden="1" x14ac:dyDescent="0.25">
      <c r="A2404">
        <v>237670</v>
      </c>
      <c r="B2404" t="s">
        <v>210</v>
      </c>
      <c r="C2404" t="s">
        <v>525</v>
      </c>
      <c r="D2404" t="s">
        <v>548</v>
      </c>
      <c r="E2404" s="3">
        <v>44562</v>
      </c>
      <c r="F2404" s="3">
        <v>44926</v>
      </c>
      <c r="G2404" t="s">
        <v>108</v>
      </c>
      <c r="H2404" s="3">
        <v>44562</v>
      </c>
      <c r="I2404" s="3">
        <v>44926</v>
      </c>
      <c r="J2404" t="s">
        <v>108</v>
      </c>
      <c r="K2404">
        <v>24867</v>
      </c>
      <c r="L2404" t="s">
        <v>109</v>
      </c>
      <c r="M2404" t="s">
        <v>110</v>
      </c>
      <c r="O2404" t="s">
        <v>1053</v>
      </c>
      <c r="P2404" t="s">
        <v>550</v>
      </c>
      <c r="Q2404">
        <v>2022</v>
      </c>
      <c r="R2404" t="s">
        <v>567</v>
      </c>
      <c r="S2404" t="s">
        <v>568</v>
      </c>
      <c r="T2404" t="s">
        <v>569</v>
      </c>
      <c r="U2404" t="b">
        <v>0</v>
      </c>
      <c r="V2404" t="s">
        <v>1056</v>
      </c>
      <c r="W2404" t="s">
        <v>571</v>
      </c>
      <c r="X2404" t="s">
        <v>572</v>
      </c>
      <c r="Y2404" t="s">
        <v>472</v>
      </c>
      <c r="Z2404" t="s">
        <v>491</v>
      </c>
      <c r="AA2404" t="s">
        <v>1055</v>
      </c>
      <c r="AC2404">
        <v>1</v>
      </c>
      <c r="AD2404" t="s">
        <v>565</v>
      </c>
      <c r="AE2404">
        <v>48.503289690000003</v>
      </c>
      <c r="AF2404">
        <v>1.9505080000000001E-3</v>
      </c>
      <c r="AG2404" t="s">
        <v>560</v>
      </c>
      <c r="AH2404">
        <v>1</v>
      </c>
      <c r="AI2404">
        <v>24867</v>
      </c>
      <c r="AJ2404" t="s">
        <v>561</v>
      </c>
      <c r="AK2404" t="s">
        <v>573</v>
      </c>
      <c r="AL2404" t="s">
        <v>574</v>
      </c>
      <c r="AM2404">
        <v>2022</v>
      </c>
      <c r="AN2404">
        <v>2020</v>
      </c>
      <c r="AO2404">
        <f>IF(AND(emissions[[#This Row],[Market-based]]=0,emissions[[#This Row],[Impact Type]]="CO2E"),emissions[[#This Row],[kgCO2e]],0)/1000</f>
        <v>0</v>
      </c>
      <c r="AP2404">
        <f>IF(AND(emissions[[#This Row],[Market-based]]=1,OR(emissions[[#This Row],[Impact Type]]="CO2E",emissions[[#This Row],[Impact Type]]="CO2E MKT")),emissions[[#This Row],[kgCO2e]],0)/1000</f>
        <v>4.850328969E-2</v>
      </c>
      <c r="AQ2404" t="str">
        <f>_xlfn.TEXTAFTER(emissions[[#This Row],[Reporting Unit]]," &gt; ",LEN(emissions[[#This Row],[Reporting Unit]])-LEN(SUBSTITUTE(emissions[[#This Row],[Reporting Unit]],"&gt;","")))</f>
        <v>Vantage_Sao Paulo</v>
      </c>
      <c r="AR2404" t="str">
        <f>_xlfn.XLOOKUP(emissions[[#This Row],[Reporting unit name]],hierarchy!$A:$A,hierarchy!$C:$C)</f>
        <v>Unspecified Facility Type</v>
      </c>
    </row>
    <row r="2405" spans="1:44" hidden="1" x14ac:dyDescent="0.25">
      <c r="A2405">
        <v>237670</v>
      </c>
      <c r="B2405" t="s">
        <v>210</v>
      </c>
      <c r="C2405" t="s">
        <v>525</v>
      </c>
      <c r="D2405" t="s">
        <v>548</v>
      </c>
      <c r="E2405" s="3">
        <v>44562</v>
      </c>
      <c r="F2405" s="3">
        <v>44926</v>
      </c>
      <c r="G2405" t="s">
        <v>108</v>
      </c>
      <c r="H2405" s="3">
        <v>44562</v>
      </c>
      <c r="I2405" s="3">
        <v>44926</v>
      </c>
      <c r="J2405" t="s">
        <v>108</v>
      </c>
      <c r="K2405">
        <v>24867</v>
      </c>
      <c r="L2405" t="s">
        <v>109</v>
      </c>
      <c r="M2405" t="s">
        <v>110</v>
      </c>
      <c r="O2405" t="s">
        <v>1053</v>
      </c>
      <c r="P2405" t="s">
        <v>550</v>
      </c>
      <c r="Q2405">
        <v>2022</v>
      </c>
      <c r="R2405" t="s">
        <v>575</v>
      </c>
      <c r="S2405" t="s">
        <v>576</v>
      </c>
      <c r="T2405" t="s">
        <v>577</v>
      </c>
      <c r="U2405" t="b">
        <v>0</v>
      </c>
      <c r="V2405" t="s">
        <v>1057</v>
      </c>
      <c r="W2405" t="s">
        <v>571</v>
      </c>
      <c r="X2405" t="s">
        <v>572</v>
      </c>
      <c r="Y2405" t="s">
        <v>472</v>
      </c>
      <c r="Z2405" t="s">
        <v>491</v>
      </c>
      <c r="AA2405" t="s">
        <v>1055</v>
      </c>
      <c r="AC2405">
        <v>0</v>
      </c>
      <c r="AD2405" t="s">
        <v>565</v>
      </c>
      <c r="AE2405">
        <v>294.16930239999999</v>
      </c>
      <c r="AF2405">
        <v>1.1829706000000001E-2</v>
      </c>
      <c r="AG2405" t="s">
        <v>560</v>
      </c>
      <c r="AH2405">
        <v>1</v>
      </c>
      <c r="AI2405">
        <v>24867</v>
      </c>
      <c r="AJ2405" t="s">
        <v>561</v>
      </c>
      <c r="AK2405" t="s">
        <v>573</v>
      </c>
      <c r="AL2405" t="s">
        <v>574</v>
      </c>
      <c r="AM2405">
        <v>2022</v>
      </c>
      <c r="AN2405">
        <v>2020</v>
      </c>
      <c r="AO2405">
        <f>IF(AND(emissions[[#This Row],[Market-based]]=0,emissions[[#This Row],[Impact Type]]="CO2E"),emissions[[#This Row],[kgCO2e]],0)/1000</f>
        <v>0.2941693024</v>
      </c>
      <c r="AP2405">
        <f>IF(AND(emissions[[#This Row],[Market-based]]=1,OR(emissions[[#This Row],[Impact Type]]="CO2E",emissions[[#This Row],[Impact Type]]="CO2E MKT")),emissions[[#This Row],[kgCO2e]],0)/1000</f>
        <v>0</v>
      </c>
      <c r="AQ2405" t="str">
        <f>_xlfn.TEXTAFTER(emissions[[#This Row],[Reporting Unit]]," &gt; ",LEN(emissions[[#This Row],[Reporting Unit]])-LEN(SUBSTITUTE(emissions[[#This Row],[Reporting Unit]],"&gt;","")))</f>
        <v>Vantage_Sao Paulo</v>
      </c>
      <c r="AR2405" t="str">
        <f>_xlfn.XLOOKUP(emissions[[#This Row],[Reporting unit name]],hierarchy!$A:$A,hierarchy!$C:$C)</f>
        <v>Unspecified Facility Type</v>
      </c>
    </row>
    <row r="2406" spans="1:44" hidden="1" x14ac:dyDescent="0.25">
      <c r="A2406">
        <v>237670</v>
      </c>
      <c r="B2406" t="s">
        <v>210</v>
      </c>
      <c r="C2406" t="s">
        <v>525</v>
      </c>
      <c r="D2406" t="s">
        <v>548</v>
      </c>
      <c r="E2406" s="3">
        <v>44562</v>
      </c>
      <c r="F2406" s="3">
        <v>44926</v>
      </c>
      <c r="G2406" t="s">
        <v>108</v>
      </c>
      <c r="H2406" s="3">
        <v>44562</v>
      </c>
      <c r="I2406" s="3">
        <v>44926</v>
      </c>
      <c r="J2406" t="s">
        <v>108</v>
      </c>
      <c r="K2406">
        <v>24867</v>
      </c>
      <c r="L2406" t="s">
        <v>109</v>
      </c>
      <c r="M2406" t="s">
        <v>110</v>
      </c>
      <c r="O2406" t="s">
        <v>1053</v>
      </c>
      <c r="P2406" t="s">
        <v>550</v>
      </c>
      <c r="Q2406">
        <v>2022</v>
      </c>
      <c r="R2406" t="s">
        <v>575</v>
      </c>
      <c r="S2406" t="s">
        <v>576</v>
      </c>
      <c r="T2406" t="s">
        <v>577</v>
      </c>
      <c r="U2406" t="b">
        <v>0</v>
      </c>
      <c r="V2406" t="s">
        <v>1057</v>
      </c>
      <c r="W2406" t="s">
        <v>571</v>
      </c>
      <c r="X2406" t="s">
        <v>572</v>
      </c>
      <c r="Y2406" t="s">
        <v>472</v>
      </c>
      <c r="Z2406" t="s">
        <v>491</v>
      </c>
      <c r="AA2406" t="s">
        <v>1055</v>
      </c>
      <c r="AC2406">
        <v>1</v>
      </c>
      <c r="AD2406" t="s">
        <v>565</v>
      </c>
      <c r="AE2406">
        <v>294.16930239999999</v>
      </c>
      <c r="AF2406">
        <v>1.1829706000000001E-2</v>
      </c>
      <c r="AG2406" t="s">
        <v>560</v>
      </c>
      <c r="AH2406">
        <v>1</v>
      </c>
      <c r="AI2406">
        <v>24867</v>
      </c>
      <c r="AJ2406" t="s">
        <v>561</v>
      </c>
      <c r="AK2406" t="s">
        <v>573</v>
      </c>
      <c r="AL2406" t="s">
        <v>574</v>
      </c>
      <c r="AM2406">
        <v>2022</v>
      </c>
      <c r="AN2406">
        <v>2020</v>
      </c>
      <c r="AO2406">
        <f>IF(AND(emissions[[#This Row],[Market-based]]=0,emissions[[#This Row],[Impact Type]]="CO2E"),emissions[[#This Row],[kgCO2e]],0)/1000</f>
        <v>0</v>
      </c>
      <c r="AP2406">
        <f>IF(AND(emissions[[#This Row],[Market-based]]=1,OR(emissions[[#This Row],[Impact Type]]="CO2E",emissions[[#This Row],[Impact Type]]="CO2E MKT")),emissions[[#This Row],[kgCO2e]],0)/1000</f>
        <v>0.2941693024</v>
      </c>
      <c r="AQ2406" t="str">
        <f>_xlfn.TEXTAFTER(emissions[[#This Row],[Reporting Unit]]," &gt; ",LEN(emissions[[#This Row],[Reporting Unit]])-LEN(SUBSTITUTE(emissions[[#This Row],[Reporting Unit]],"&gt;","")))</f>
        <v>Vantage_Sao Paulo</v>
      </c>
      <c r="AR2406" t="str">
        <f>_xlfn.XLOOKUP(emissions[[#This Row],[Reporting unit name]],hierarchy!$A:$A,hierarchy!$C:$C)</f>
        <v>Unspecified Facility Type</v>
      </c>
    </row>
    <row r="2407" spans="1:44" hidden="1" x14ac:dyDescent="0.25">
      <c r="A2407">
        <v>237670</v>
      </c>
      <c r="B2407" t="s">
        <v>210</v>
      </c>
      <c r="C2407" t="s">
        <v>525</v>
      </c>
      <c r="D2407" t="s">
        <v>548</v>
      </c>
      <c r="E2407" s="3">
        <v>44562</v>
      </c>
      <c r="F2407" s="3">
        <v>44926</v>
      </c>
      <c r="G2407" t="s">
        <v>108</v>
      </c>
      <c r="H2407" s="3">
        <v>44562</v>
      </c>
      <c r="I2407" s="3">
        <v>44926</v>
      </c>
      <c r="J2407" t="s">
        <v>108</v>
      </c>
      <c r="K2407">
        <v>24867</v>
      </c>
      <c r="L2407" t="s">
        <v>109</v>
      </c>
      <c r="M2407" t="s">
        <v>110</v>
      </c>
      <c r="O2407" t="s">
        <v>1053</v>
      </c>
      <c r="P2407" t="s">
        <v>550</v>
      </c>
      <c r="Q2407">
        <v>2022</v>
      </c>
      <c r="R2407" t="s">
        <v>579</v>
      </c>
      <c r="S2407" t="s">
        <v>580</v>
      </c>
      <c r="T2407" t="s">
        <v>581</v>
      </c>
      <c r="U2407" t="b">
        <v>0</v>
      </c>
      <c r="V2407" t="s">
        <v>1058</v>
      </c>
      <c r="W2407" t="s">
        <v>571</v>
      </c>
      <c r="X2407" t="s">
        <v>572</v>
      </c>
      <c r="Y2407" t="s">
        <v>472</v>
      </c>
      <c r="Z2407" t="s">
        <v>491</v>
      </c>
      <c r="AA2407" t="s">
        <v>1055</v>
      </c>
      <c r="AC2407">
        <v>0</v>
      </c>
      <c r="AD2407" t="s">
        <v>565</v>
      </c>
      <c r="AE2407">
        <v>382.95179999999999</v>
      </c>
      <c r="AF2407" t="s">
        <v>559</v>
      </c>
      <c r="AG2407" t="s">
        <v>560</v>
      </c>
      <c r="AH2407">
        <v>1</v>
      </c>
      <c r="AI2407">
        <v>24867</v>
      </c>
      <c r="AJ2407" t="s">
        <v>561</v>
      </c>
      <c r="AK2407" t="s">
        <v>562</v>
      </c>
      <c r="AL2407" t="s">
        <v>563</v>
      </c>
      <c r="AM2407">
        <v>2022</v>
      </c>
      <c r="AN2407">
        <v>2020</v>
      </c>
      <c r="AO2407">
        <f>IF(AND(emissions[[#This Row],[Market-based]]=0,emissions[[#This Row],[Impact Type]]="CO2E"),emissions[[#This Row],[kgCO2e]],0)/1000</f>
        <v>0.38295180000000001</v>
      </c>
      <c r="AP2407">
        <f>IF(AND(emissions[[#This Row],[Market-based]]=1,OR(emissions[[#This Row],[Impact Type]]="CO2E",emissions[[#This Row],[Impact Type]]="CO2E MKT")),emissions[[#This Row],[kgCO2e]],0)/1000</f>
        <v>0</v>
      </c>
      <c r="AQ2407" t="str">
        <f>_xlfn.TEXTAFTER(emissions[[#This Row],[Reporting Unit]]," &gt; ",LEN(emissions[[#This Row],[Reporting Unit]])-LEN(SUBSTITUTE(emissions[[#This Row],[Reporting Unit]],"&gt;","")))</f>
        <v>Vantage_Sao Paulo</v>
      </c>
      <c r="AR2407" t="str">
        <f>_xlfn.XLOOKUP(emissions[[#This Row],[Reporting unit name]],hierarchy!$A:$A,hierarchy!$C:$C)</f>
        <v>Unspecified Facility Type</v>
      </c>
    </row>
    <row r="2408" spans="1:44" hidden="1" x14ac:dyDescent="0.25">
      <c r="A2408">
        <v>237670</v>
      </c>
      <c r="B2408" t="s">
        <v>210</v>
      </c>
      <c r="C2408" t="s">
        <v>525</v>
      </c>
      <c r="D2408" t="s">
        <v>548</v>
      </c>
      <c r="E2408" s="3">
        <v>44562</v>
      </c>
      <c r="F2408" s="3">
        <v>44926</v>
      </c>
      <c r="G2408" t="s">
        <v>108</v>
      </c>
      <c r="H2408" s="3">
        <v>44562</v>
      </c>
      <c r="I2408" s="3">
        <v>44926</v>
      </c>
      <c r="J2408" t="s">
        <v>108</v>
      </c>
      <c r="K2408">
        <v>24867</v>
      </c>
      <c r="L2408" t="s">
        <v>109</v>
      </c>
      <c r="M2408" t="s">
        <v>110</v>
      </c>
      <c r="O2408" t="s">
        <v>1053</v>
      </c>
      <c r="P2408" t="s">
        <v>550</v>
      </c>
      <c r="Q2408">
        <v>2022</v>
      </c>
      <c r="R2408" t="s">
        <v>579</v>
      </c>
      <c r="S2408" t="s">
        <v>580</v>
      </c>
      <c r="T2408" t="s">
        <v>581</v>
      </c>
      <c r="U2408" t="b">
        <v>0</v>
      </c>
      <c r="V2408" t="s">
        <v>1058</v>
      </c>
      <c r="W2408" t="s">
        <v>571</v>
      </c>
      <c r="X2408" t="s">
        <v>572</v>
      </c>
      <c r="Y2408" t="s">
        <v>472</v>
      </c>
      <c r="Z2408" t="s">
        <v>491</v>
      </c>
      <c r="AA2408" t="s">
        <v>1055</v>
      </c>
      <c r="AC2408">
        <v>1</v>
      </c>
      <c r="AD2408" t="s">
        <v>565</v>
      </c>
      <c r="AE2408">
        <v>382.95179999999999</v>
      </c>
      <c r="AF2408" t="s">
        <v>559</v>
      </c>
      <c r="AG2408" t="s">
        <v>560</v>
      </c>
      <c r="AH2408">
        <v>1</v>
      </c>
      <c r="AI2408">
        <v>24867</v>
      </c>
      <c r="AJ2408" t="s">
        <v>561</v>
      </c>
      <c r="AK2408" t="s">
        <v>562</v>
      </c>
      <c r="AL2408" t="s">
        <v>563</v>
      </c>
      <c r="AM2408">
        <v>2022</v>
      </c>
      <c r="AN2408">
        <v>2020</v>
      </c>
      <c r="AO2408">
        <f>IF(AND(emissions[[#This Row],[Market-based]]=0,emissions[[#This Row],[Impact Type]]="CO2E"),emissions[[#This Row],[kgCO2e]],0)/1000</f>
        <v>0</v>
      </c>
      <c r="AP2408">
        <f>IF(AND(emissions[[#This Row],[Market-based]]=1,OR(emissions[[#This Row],[Impact Type]]="CO2E",emissions[[#This Row],[Impact Type]]="CO2E MKT")),emissions[[#This Row],[kgCO2e]],0)/1000</f>
        <v>0.38295180000000001</v>
      </c>
      <c r="AQ2408" t="str">
        <f>_xlfn.TEXTAFTER(emissions[[#This Row],[Reporting Unit]]," &gt; ",LEN(emissions[[#This Row],[Reporting Unit]])-LEN(SUBSTITUTE(emissions[[#This Row],[Reporting Unit]],"&gt;","")))</f>
        <v>Vantage_Sao Paulo</v>
      </c>
      <c r="AR2408" t="str">
        <f>_xlfn.XLOOKUP(emissions[[#This Row],[Reporting unit name]],hierarchy!$A:$A,hierarchy!$C:$C)</f>
        <v>Unspecified Facility Type</v>
      </c>
    </row>
    <row r="2409" spans="1:44" hidden="1" x14ac:dyDescent="0.25">
      <c r="A2409">
        <v>237668</v>
      </c>
      <c r="B2409" t="s">
        <v>210</v>
      </c>
      <c r="C2409" t="s">
        <v>525</v>
      </c>
      <c r="D2409" t="s">
        <v>548</v>
      </c>
      <c r="E2409" s="3">
        <v>44562</v>
      </c>
      <c r="F2409" s="3">
        <v>44926</v>
      </c>
      <c r="G2409" t="s">
        <v>135</v>
      </c>
      <c r="H2409" s="3">
        <v>44562</v>
      </c>
      <c r="I2409" s="3">
        <v>44926</v>
      </c>
      <c r="J2409" t="s">
        <v>135</v>
      </c>
      <c r="K2409">
        <v>0</v>
      </c>
      <c r="L2409" t="s">
        <v>207</v>
      </c>
      <c r="M2409" t="s">
        <v>110</v>
      </c>
      <c r="O2409" t="s">
        <v>1059</v>
      </c>
      <c r="P2409" t="s">
        <v>550</v>
      </c>
      <c r="Q2409">
        <v>2022</v>
      </c>
      <c r="R2409" t="s">
        <v>605</v>
      </c>
      <c r="S2409" t="s">
        <v>606</v>
      </c>
      <c r="T2409" t="s">
        <v>553</v>
      </c>
      <c r="U2409" t="b">
        <v>0</v>
      </c>
      <c r="V2409" t="s">
        <v>781</v>
      </c>
      <c r="W2409" t="s">
        <v>587</v>
      </c>
      <c r="X2409" t="s">
        <v>556</v>
      </c>
      <c r="Y2409" t="s">
        <v>472</v>
      </c>
      <c r="AC2409">
        <v>0</v>
      </c>
      <c r="AD2409" t="s">
        <v>558</v>
      </c>
      <c r="AE2409">
        <v>0</v>
      </c>
      <c r="AF2409">
        <v>2.5000000000000001E-2</v>
      </c>
      <c r="AG2409" t="s">
        <v>798</v>
      </c>
      <c r="AH2409">
        <v>0.94781711999999996</v>
      </c>
      <c r="AI2409">
        <v>0</v>
      </c>
      <c r="AJ2409" t="s">
        <v>561</v>
      </c>
      <c r="AK2409" t="s">
        <v>766</v>
      </c>
      <c r="AL2409" t="s">
        <v>787</v>
      </c>
      <c r="AM2409">
        <v>2022</v>
      </c>
      <c r="AN2409">
        <v>2021</v>
      </c>
      <c r="AO2409">
        <f>IF(AND(emissions[[#This Row],[Market-based]]=0,emissions[[#This Row],[Impact Type]]="CO2E"),emissions[[#This Row],[kgCO2e]],0)/1000</f>
        <v>0</v>
      </c>
      <c r="AP2409">
        <f>IF(AND(emissions[[#This Row],[Market-based]]=1,OR(emissions[[#This Row],[Impact Type]]="CO2E",emissions[[#This Row],[Impact Type]]="CO2E MKT")),emissions[[#This Row],[kgCO2e]],0)/1000</f>
        <v>0</v>
      </c>
      <c r="AQ2409" t="str">
        <f>_xlfn.TEXTAFTER(emissions[[#This Row],[Reporting Unit]]," &gt; ",LEN(emissions[[#This Row],[Reporting Unit]])-LEN(SUBSTITUTE(emissions[[#This Row],[Reporting Unit]],"&gt;","")))</f>
        <v>Vantage_Sao Paulo</v>
      </c>
      <c r="AR2409" t="str">
        <f>_xlfn.XLOOKUP(emissions[[#This Row],[Reporting unit name]],hierarchy!$A:$A,hierarchy!$C:$C)</f>
        <v>Unspecified Facility Type</v>
      </c>
    </row>
    <row r="2410" spans="1:44" hidden="1" x14ac:dyDescent="0.25">
      <c r="A2410">
        <v>237668</v>
      </c>
      <c r="B2410" t="s">
        <v>210</v>
      </c>
      <c r="C2410" t="s">
        <v>525</v>
      </c>
      <c r="D2410" t="s">
        <v>548</v>
      </c>
      <c r="E2410" s="3">
        <v>44562</v>
      </c>
      <c r="F2410" s="3">
        <v>44926</v>
      </c>
      <c r="G2410" t="s">
        <v>135</v>
      </c>
      <c r="H2410" s="3">
        <v>44562</v>
      </c>
      <c r="I2410" s="3">
        <v>44926</v>
      </c>
      <c r="J2410" t="s">
        <v>135</v>
      </c>
      <c r="K2410">
        <v>0</v>
      </c>
      <c r="L2410" t="s">
        <v>207</v>
      </c>
      <c r="M2410" t="s">
        <v>110</v>
      </c>
      <c r="O2410" t="s">
        <v>1059</v>
      </c>
      <c r="P2410" t="s">
        <v>550</v>
      </c>
      <c r="Q2410">
        <v>2022</v>
      </c>
      <c r="R2410" t="s">
        <v>605</v>
      </c>
      <c r="S2410" t="s">
        <v>606</v>
      </c>
      <c r="T2410" t="s">
        <v>553</v>
      </c>
      <c r="U2410" t="b">
        <v>0</v>
      </c>
      <c r="V2410" t="s">
        <v>781</v>
      </c>
      <c r="W2410" t="s">
        <v>587</v>
      </c>
      <c r="X2410" t="s">
        <v>556</v>
      </c>
      <c r="Y2410" t="s">
        <v>472</v>
      </c>
      <c r="AC2410">
        <v>0</v>
      </c>
      <c r="AD2410" t="s">
        <v>564</v>
      </c>
      <c r="AE2410">
        <v>0</v>
      </c>
      <c r="AF2410">
        <v>53.06</v>
      </c>
      <c r="AG2410" t="s">
        <v>798</v>
      </c>
      <c r="AH2410">
        <v>0.94781711999999996</v>
      </c>
      <c r="AI2410">
        <v>0</v>
      </c>
      <c r="AJ2410" t="s">
        <v>561</v>
      </c>
      <c r="AK2410" t="s">
        <v>766</v>
      </c>
      <c r="AL2410" t="s">
        <v>767</v>
      </c>
      <c r="AM2410">
        <v>2022</v>
      </c>
      <c r="AN2410">
        <v>2022</v>
      </c>
      <c r="AO2410">
        <f>IF(AND(emissions[[#This Row],[Market-based]]=0,emissions[[#This Row],[Impact Type]]="CO2E"),emissions[[#This Row],[kgCO2e]],0)/1000</f>
        <v>0</v>
      </c>
      <c r="AP2410">
        <f>IF(AND(emissions[[#This Row],[Market-based]]=1,OR(emissions[[#This Row],[Impact Type]]="CO2E",emissions[[#This Row],[Impact Type]]="CO2E MKT")),emissions[[#This Row],[kgCO2e]],0)/1000</f>
        <v>0</v>
      </c>
      <c r="AQ2410" t="str">
        <f>_xlfn.TEXTAFTER(emissions[[#This Row],[Reporting Unit]]," &gt; ",LEN(emissions[[#This Row],[Reporting Unit]])-LEN(SUBSTITUTE(emissions[[#This Row],[Reporting Unit]],"&gt;","")))</f>
        <v>Vantage_Sao Paulo</v>
      </c>
      <c r="AR2410" t="str">
        <f>_xlfn.XLOOKUP(emissions[[#This Row],[Reporting unit name]],hierarchy!$A:$A,hierarchy!$C:$C)</f>
        <v>Unspecified Facility Type</v>
      </c>
    </row>
    <row r="2411" spans="1:44" hidden="1" x14ac:dyDescent="0.25">
      <c r="A2411">
        <v>237668</v>
      </c>
      <c r="B2411" t="s">
        <v>210</v>
      </c>
      <c r="C2411" t="s">
        <v>525</v>
      </c>
      <c r="D2411" t="s">
        <v>548</v>
      </c>
      <c r="E2411" s="3">
        <v>44562</v>
      </c>
      <c r="F2411" s="3">
        <v>44926</v>
      </c>
      <c r="G2411" t="s">
        <v>135</v>
      </c>
      <c r="H2411" s="3">
        <v>44562</v>
      </c>
      <c r="I2411" s="3">
        <v>44926</v>
      </c>
      <c r="J2411" t="s">
        <v>135</v>
      </c>
      <c r="K2411">
        <v>0</v>
      </c>
      <c r="L2411" t="s">
        <v>207</v>
      </c>
      <c r="M2411" t="s">
        <v>110</v>
      </c>
      <c r="O2411" t="s">
        <v>1059</v>
      </c>
      <c r="P2411" t="s">
        <v>550</v>
      </c>
      <c r="Q2411">
        <v>2022</v>
      </c>
      <c r="R2411" t="s">
        <v>605</v>
      </c>
      <c r="S2411" t="s">
        <v>606</v>
      </c>
      <c r="T2411" t="s">
        <v>553</v>
      </c>
      <c r="U2411" t="b">
        <v>0</v>
      </c>
      <c r="V2411" t="s">
        <v>781</v>
      </c>
      <c r="W2411" t="s">
        <v>587</v>
      </c>
      <c r="X2411" t="s">
        <v>556</v>
      </c>
      <c r="Y2411" t="s">
        <v>472</v>
      </c>
      <c r="AC2411">
        <v>0</v>
      </c>
      <c r="AD2411" t="s">
        <v>565</v>
      </c>
      <c r="AE2411">
        <v>0</v>
      </c>
      <c r="AF2411">
        <v>53.114800000000002</v>
      </c>
      <c r="AG2411" t="s">
        <v>798</v>
      </c>
      <c r="AH2411">
        <v>0.94781711999999996</v>
      </c>
      <c r="AI2411">
        <v>0</v>
      </c>
      <c r="AJ2411" t="s">
        <v>561</v>
      </c>
      <c r="AK2411" t="s">
        <v>766</v>
      </c>
      <c r="AL2411" t="s">
        <v>787</v>
      </c>
      <c r="AM2411">
        <v>2022</v>
      </c>
      <c r="AN2411">
        <v>2021</v>
      </c>
      <c r="AO2411">
        <f>IF(AND(emissions[[#This Row],[Market-based]]=0,emissions[[#This Row],[Impact Type]]="CO2E"),emissions[[#This Row],[kgCO2e]],0)/1000</f>
        <v>0</v>
      </c>
      <c r="AP2411">
        <f>IF(AND(emissions[[#This Row],[Market-based]]=1,OR(emissions[[#This Row],[Impact Type]]="CO2E",emissions[[#This Row],[Impact Type]]="CO2E MKT")),emissions[[#This Row],[kgCO2e]],0)/1000</f>
        <v>0</v>
      </c>
      <c r="AQ2411" t="str">
        <f>_xlfn.TEXTAFTER(emissions[[#This Row],[Reporting Unit]]," &gt; ",LEN(emissions[[#This Row],[Reporting Unit]])-LEN(SUBSTITUTE(emissions[[#This Row],[Reporting Unit]],"&gt;","")))</f>
        <v>Vantage_Sao Paulo</v>
      </c>
      <c r="AR2411" t="str">
        <f>_xlfn.XLOOKUP(emissions[[#This Row],[Reporting unit name]],hierarchy!$A:$A,hierarchy!$C:$C)</f>
        <v>Unspecified Facility Type</v>
      </c>
    </row>
    <row r="2412" spans="1:44" hidden="1" x14ac:dyDescent="0.25">
      <c r="A2412">
        <v>237668</v>
      </c>
      <c r="B2412" t="s">
        <v>210</v>
      </c>
      <c r="C2412" t="s">
        <v>525</v>
      </c>
      <c r="D2412" t="s">
        <v>548</v>
      </c>
      <c r="E2412" s="3">
        <v>44562</v>
      </c>
      <c r="F2412" s="3">
        <v>44926</v>
      </c>
      <c r="G2412" t="s">
        <v>135</v>
      </c>
      <c r="H2412" s="3">
        <v>44562</v>
      </c>
      <c r="I2412" s="3">
        <v>44926</v>
      </c>
      <c r="J2412" t="s">
        <v>135</v>
      </c>
      <c r="K2412">
        <v>0</v>
      </c>
      <c r="L2412" t="s">
        <v>207</v>
      </c>
      <c r="M2412" t="s">
        <v>110</v>
      </c>
      <c r="O2412" t="s">
        <v>1059</v>
      </c>
      <c r="P2412" t="s">
        <v>550</v>
      </c>
      <c r="Q2412">
        <v>2022</v>
      </c>
      <c r="R2412" t="s">
        <v>605</v>
      </c>
      <c r="S2412" t="s">
        <v>606</v>
      </c>
      <c r="T2412" t="s">
        <v>553</v>
      </c>
      <c r="U2412" t="b">
        <v>0</v>
      </c>
      <c r="V2412" t="s">
        <v>781</v>
      </c>
      <c r="W2412" t="s">
        <v>587</v>
      </c>
      <c r="X2412" t="s">
        <v>556</v>
      </c>
      <c r="Y2412" t="s">
        <v>472</v>
      </c>
      <c r="AC2412">
        <v>0</v>
      </c>
      <c r="AD2412" t="s">
        <v>566</v>
      </c>
      <c r="AE2412">
        <v>0</v>
      </c>
      <c r="AF2412">
        <v>2.98E-2</v>
      </c>
      <c r="AG2412" t="s">
        <v>798</v>
      </c>
      <c r="AH2412">
        <v>0.94781711999999996</v>
      </c>
      <c r="AI2412">
        <v>0</v>
      </c>
      <c r="AJ2412" t="s">
        <v>561</v>
      </c>
      <c r="AK2412" t="s">
        <v>766</v>
      </c>
      <c r="AL2412" t="s">
        <v>767</v>
      </c>
      <c r="AM2412">
        <v>2022</v>
      </c>
      <c r="AN2412">
        <v>2022</v>
      </c>
      <c r="AO2412">
        <f>IF(AND(emissions[[#This Row],[Market-based]]=0,emissions[[#This Row],[Impact Type]]="CO2E"),emissions[[#This Row],[kgCO2e]],0)/1000</f>
        <v>0</v>
      </c>
      <c r="AP2412">
        <f>IF(AND(emissions[[#This Row],[Market-based]]=1,OR(emissions[[#This Row],[Impact Type]]="CO2E",emissions[[#This Row],[Impact Type]]="CO2E MKT")),emissions[[#This Row],[kgCO2e]],0)/1000</f>
        <v>0</v>
      </c>
      <c r="AQ2412" t="str">
        <f>_xlfn.TEXTAFTER(emissions[[#This Row],[Reporting Unit]]," &gt; ",LEN(emissions[[#This Row],[Reporting Unit]])-LEN(SUBSTITUTE(emissions[[#This Row],[Reporting Unit]],"&gt;","")))</f>
        <v>Vantage_Sao Paulo</v>
      </c>
      <c r="AR2412" t="str">
        <f>_xlfn.XLOOKUP(emissions[[#This Row],[Reporting unit name]],hierarchy!$A:$A,hierarchy!$C:$C)</f>
        <v>Unspecified Facility Type</v>
      </c>
    </row>
    <row r="2413" spans="1:44" hidden="1" x14ac:dyDescent="0.25">
      <c r="A2413">
        <v>237668</v>
      </c>
      <c r="B2413" t="s">
        <v>210</v>
      </c>
      <c r="C2413" t="s">
        <v>525</v>
      </c>
      <c r="D2413" t="s">
        <v>548</v>
      </c>
      <c r="E2413" s="3">
        <v>44562</v>
      </c>
      <c r="F2413" s="3">
        <v>44926</v>
      </c>
      <c r="G2413" t="s">
        <v>135</v>
      </c>
      <c r="H2413" s="3">
        <v>44562</v>
      </c>
      <c r="I2413" s="3">
        <v>44926</v>
      </c>
      <c r="J2413" t="s">
        <v>135</v>
      </c>
      <c r="K2413">
        <v>0</v>
      </c>
      <c r="L2413" t="s">
        <v>207</v>
      </c>
      <c r="M2413" t="s">
        <v>110</v>
      </c>
      <c r="O2413" t="s">
        <v>1059</v>
      </c>
      <c r="P2413" t="s">
        <v>550</v>
      </c>
      <c r="Q2413">
        <v>2022</v>
      </c>
      <c r="R2413" t="s">
        <v>605</v>
      </c>
      <c r="S2413" t="s">
        <v>606</v>
      </c>
      <c r="T2413" t="s">
        <v>553</v>
      </c>
      <c r="U2413" t="b">
        <v>0</v>
      </c>
      <c r="V2413" t="s">
        <v>781</v>
      </c>
      <c r="W2413" t="s">
        <v>587</v>
      </c>
      <c r="X2413" t="s">
        <v>556</v>
      </c>
      <c r="Y2413" t="s">
        <v>472</v>
      </c>
      <c r="AC2413">
        <v>1</v>
      </c>
      <c r="AD2413" t="s">
        <v>558</v>
      </c>
      <c r="AE2413">
        <v>0</v>
      </c>
      <c r="AF2413">
        <v>2.5000000000000001E-2</v>
      </c>
      <c r="AG2413" t="s">
        <v>798</v>
      </c>
      <c r="AH2413">
        <v>0.94781711999999996</v>
      </c>
      <c r="AI2413">
        <v>0</v>
      </c>
      <c r="AJ2413" t="s">
        <v>561</v>
      </c>
      <c r="AK2413" t="s">
        <v>766</v>
      </c>
      <c r="AL2413" t="s">
        <v>787</v>
      </c>
      <c r="AM2413">
        <v>2022</v>
      </c>
      <c r="AN2413">
        <v>2021</v>
      </c>
      <c r="AO2413">
        <f>IF(AND(emissions[[#This Row],[Market-based]]=0,emissions[[#This Row],[Impact Type]]="CO2E"),emissions[[#This Row],[kgCO2e]],0)/1000</f>
        <v>0</v>
      </c>
      <c r="AP2413">
        <f>IF(AND(emissions[[#This Row],[Market-based]]=1,OR(emissions[[#This Row],[Impact Type]]="CO2E",emissions[[#This Row],[Impact Type]]="CO2E MKT")),emissions[[#This Row],[kgCO2e]],0)/1000</f>
        <v>0</v>
      </c>
      <c r="AQ2413" t="str">
        <f>_xlfn.TEXTAFTER(emissions[[#This Row],[Reporting Unit]]," &gt; ",LEN(emissions[[#This Row],[Reporting Unit]])-LEN(SUBSTITUTE(emissions[[#This Row],[Reporting Unit]],"&gt;","")))</f>
        <v>Vantage_Sao Paulo</v>
      </c>
      <c r="AR2413" t="str">
        <f>_xlfn.XLOOKUP(emissions[[#This Row],[Reporting unit name]],hierarchy!$A:$A,hierarchy!$C:$C)</f>
        <v>Unspecified Facility Type</v>
      </c>
    </row>
    <row r="2414" spans="1:44" hidden="1" x14ac:dyDescent="0.25">
      <c r="A2414">
        <v>237668</v>
      </c>
      <c r="B2414" t="s">
        <v>210</v>
      </c>
      <c r="C2414" t="s">
        <v>525</v>
      </c>
      <c r="D2414" t="s">
        <v>548</v>
      </c>
      <c r="E2414" s="3">
        <v>44562</v>
      </c>
      <c r="F2414" s="3">
        <v>44926</v>
      </c>
      <c r="G2414" t="s">
        <v>135</v>
      </c>
      <c r="H2414" s="3">
        <v>44562</v>
      </c>
      <c r="I2414" s="3">
        <v>44926</v>
      </c>
      <c r="J2414" t="s">
        <v>135</v>
      </c>
      <c r="K2414">
        <v>0</v>
      </c>
      <c r="L2414" t="s">
        <v>207</v>
      </c>
      <c r="M2414" t="s">
        <v>110</v>
      </c>
      <c r="O2414" t="s">
        <v>1059</v>
      </c>
      <c r="P2414" t="s">
        <v>550</v>
      </c>
      <c r="Q2414">
        <v>2022</v>
      </c>
      <c r="R2414" t="s">
        <v>605</v>
      </c>
      <c r="S2414" t="s">
        <v>606</v>
      </c>
      <c r="T2414" t="s">
        <v>553</v>
      </c>
      <c r="U2414" t="b">
        <v>0</v>
      </c>
      <c r="V2414" t="s">
        <v>781</v>
      </c>
      <c r="W2414" t="s">
        <v>587</v>
      </c>
      <c r="X2414" t="s">
        <v>556</v>
      </c>
      <c r="Y2414" t="s">
        <v>472</v>
      </c>
      <c r="AC2414">
        <v>1</v>
      </c>
      <c r="AD2414" t="s">
        <v>564</v>
      </c>
      <c r="AE2414">
        <v>0</v>
      </c>
      <c r="AF2414">
        <v>53.06</v>
      </c>
      <c r="AG2414" t="s">
        <v>798</v>
      </c>
      <c r="AH2414">
        <v>0.94781711999999996</v>
      </c>
      <c r="AI2414">
        <v>0</v>
      </c>
      <c r="AJ2414" t="s">
        <v>561</v>
      </c>
      <c r="AK2414" t="s">
        <v>766</v>
      </c>
      <c r="AL2414" t="s">
        <v>767</v>
      </c>
      <c r="AM2414">
        <v>2022</v>
      </c>
      <c r="AN2414">
        <v>2022</v>
      </c>
      <c r="AO2414">
        <f>IF(AND(emissions[[#This Row],[Market-based]]=0,emissions[[#This Row],[Impact Type]]="CO2E"),emissions[[#This Row],[kgCO2e]],0)/1000</f>
        <v>0</v>
      </c>
      <c r="AP2414">
        <f>IF(AND(emissions[[#This Row],[Market-based]]=1,OR(emissions[[#This Row],[Impact Type]]="CO2E",emissions[[#This Row],[Impact Type]]="CO2E MKT")),emissions[[#This Row],[kgCO2e]],0)/1000</f>
        <v>0</v>
      </c>
      <c r="AQ2414" t="str">
        <f>_xlfn.TEXTAFTER(emissions[[#This Row],[Reporting Unit]]," &gt; ",LEN(emissions[[#This Row],[Reporting Unit]])-LEN(SUBSTITUTE(emissions[[#This Row],[Reporting Unit]],"&gt;","")))</f>
        <v>Vantage_Sao Paulo</v>
      </c>
      <c r="AR2414" t="str">
        <f>_xlfn.XLOOKUP(emissions[[#This Row],[Reporting unit name]],hierarchy!$A:$A,hierarchy!$C:$C)</f>
        <v>Unspecified Facility Type</v>
      </c>
    </row>
    <row r="2415" spans="1:44" hidden="1" x14ac:dyDescent="0.25">
      <c r="A2415">
        <v>237668</v>
      </c>
      <c r="B2415" t="s">
        <v>210</v>
      </c>
      <c r="C2415" t="s">
        <v>525</v>
      </c>
      <c r="D2415" t="s">
        <v>548</v>
      </c>
      <c r="E2415" s="3">
        <v>44562</v>
      </c>
      <c r="F2415" s="3">
        <v>44926</v>
      </c>
      <c r="G2415" t="s">
        <v>135</v>
      </c>
      <c r="H2415" s="3">
        <v>44562</v>
      </c>
      <c r="I2415" s="3">
        <v>44926</v>
      </c>
      <c r="J2415" t="s">
        <v>135</v>
      </c>
      <c r="K2415">
        <v>0</v>
      </c>
      <c r="L2415" t="s">
        <v>207</v>
      </c>
      <c r="M2415" t="s">
        <v>110</v>
      </c>
      <c r="O2415" t="s">
        <v>1059</v>
      </c>
      <c r="P2415" t="s">
        <v>550</v>
      </c>
      <c r="Q2415">
        <v>2022</v>
      </c>
      <c r="R2415" t="s">
        <v>605</v>
      </c>
      <c r="S2415" t="s">
        <v>606</v>
      </c>
      <c r="T2415" t="s">
        <v>553</v>
      </c>
      <c r="U2415" t="b">
        <v>0</v>
      </c>
      <c r="V2415" t="s">
        <v>781</v>
      </c>
      <c r="W2415" t="s">
        <v>587</v>
      </c>
      <c r="X2415" t="s">
        <v>556</v>
      </c>
      <c r="Y2415" t="s">
        <v>472</v>
      </c>
      <c r="AC2415">
        <v>1</v>
      </c>
      <c r="AD2415" t="s">
        <v>565</v>
      </c>
      <c r="AE2415">
        <v>0</v>
      </c>
      <c r="AF2415">
        <v>53.114800000000002</v>
      </c>
      <c r="AG2415" t="s">
        <v>798</v>
      </c>
      <c r="AH2415">
        <v>0.94781711999999996</v>
      </c>
      <c r="AI2415">
        <v>0</v>
      </c>
      <c r="AJ2415" t="s">
        <v>561</v>
      </c>
      <c r="AK2415" t="s">
        <v>766</v>
      </c>
      <c r="AL2415" t="s">
        <v>787</v>
      </c>
      <c r="AM2415">
        <v>2022</v>
      </c>
      <c r="AN2415">
        <v>2021</v>
      </c>
      <c r="AO2415">
        <f>IF(AND(emissions[[#This Row],[Market-based]]=0,emissions[[#This Row],[Impact Type]]="CO2E"),emissions[[#This Row],[kgCO2e]],0)/1000</f>
        <v>0</v>
      </c>
      <c r="AP2415">
        <f>IF(AND(emissions[[#This Row],[Market-based]]=1,OR(emissions[[#This Row],[Impact Type]]="CO2E",emissions[[#This Row],[Impact Type]]="CO2E MKT")),emissions[[#This Row],[kgCO2e]],0)/1000</f>
        <v>0</v>
      </c>
      <c r="AQ2415" t="str">
        <f>_xlfn.TEXTAFTER(emissions[[#This Row],[Reporting Unit]]," &gt; ",LEN(emissions[[#This Row],[Reporting Unit]])-LEN(SUBSTITUTE(emissions[[#This Row],[Reporting Unit]],"&gt;","")))</f>
        <v>Vantage_Sao Paulo</v>
      </c>
      <c r="AR2415" t="str">
        <f>_xlfn.XLOOKUP(emissions[[#This Row],[Reporting unit name]],hierarchy!$A:$A,hierarchy!$C:$C)</f>
        <v>Unspecified Facility Type</v>
      </c>
    </row>
    <row r="2416" spans="1:44" hidden="1" x14ac:dyDescent="0.25">
      <c r="A2416">
        <v>237668</v>
      </c>
      <c r="B2416" t="s">
        <v>210</v>
      </c>
      <c r="C2416" t="s">
        <v>525</v>
      </c>
      <c r="D2416" t="s">
        <v>548</v>
      </c>
      <c r="E2416" s="3">
        <v>44562</v>
      </c>
      <c r="F2416" s="3">
        <v>44926</v>
      </c>
      <c r="G2416" t="s">
        <v>135</v>
      </c>
      <c r="H2416" s="3">
        <v>44562</v>
      </c>
      <c r="I2416" s="3">
        <v>44926</v>
      </c>
      <c r="J2416" t="s">
        <v>135</v>
      </c>
      <c r="K2416">
        <v>0</v>
      </c>
      <c r="L2416" t="s">
        <v>207</v>
      </c>
      <c r="M2416" t="s">
        <v>110</v>
      </c>
      <c r="O2416" t="s">
        <v>1059</v>
      </c>
      <c r="P2416" t="s">
        <v>550</v>
      </c>
      <c r="Q2416">
        <v>2022</v>
      </c>
      <c r="R2416" t="s">
        <v>605</v>
      </c>
      <c r="S2416" t="s">
        <v>606</v>
      </c>
      <c r="T2416" t="s">
        <v>553</v>
      </c>
      <c r="U2416" t="b">
        <v>0</v>
      </c>
      <c r="V2416" t="s">
        <v>781</v>
      </c>
      <c r="W2416" t="s">
        <v>587</v>
      </c>
      <c r="X2416" t="s">
        <v>556</v>
      </c>
      <c r="Y2416" t="s">
        <v>472</v>
      </c>
      <c r="AC2416">
        <v>1</v>
      </c>
      <c r="AD2416" t="s">
        <v>566</v>
      </c>
      <c r="AE2416">
        <v>0</v>
      </c>
      <c r="AF2416">
        <v>2.98E-2</v>
      </c>
      <c r="AG2416" t="s">
        <v>798</v>
      </c>
      <c r="AH2416">
        <v>0.94781711999999996</v>
      </c>
      <c r="AI2416">
        <v>0</v>
      </c>
      <c r="AJ2416" t="s">
        <v>561</v>
      </c>
      <c r="AK2416" t="s">
        <v>766</v>
      </c>
      <c r="AL2416" t="s">
        <v>767</v>
      </c>
      <c r="AM2416">
        <v>2022</v>
      </c>
      <c r="AN2416">
        <v>2022</v>
      </c>
      <c r="AO2416">
        <f>IF(AND(emissions[[#This Row],[Market-based]]=0,emissions[[#This Row],[Impact Type]]="CO2E"),emissions[[#This Row],[kgCO2e]],0)/1000</f>
        <v>0</v>
      </c>
      <c r="AP2416">
        <f>IF(AND(emissions[[#This Row],[Market-based]]=1,OR(emissions[[#This Row],[Impact Type]]="CO2E",emissions[[#This Row],[Impact Type]]="CO2E MKT")),emissions[[#This Row],[kgCO2e]],0)/1000</f>
        <v>0</v>
      </c>
      <c r="AQ2416" t="str">
        <f>_xlfn.TEXTAFTER(emissions[[#This Row],[Reporting Unit]]," &gt; ",LEN(emissions[[#This Row],[Reporting Unit]])-LEN(SUBSTITUTE(emissions[[#This Row],[Reporting Unit]],"&gt;","")))</f>
        <v>Vantage_Sao Paulo</v>
      </c>
      <c r="AR2416" t="str">
        <f>_xlfn.XLOOKUP(emissions[[#This Row],[Reporting unit name]],hierarchy!$A:$A,hierarchy!$C:$C)</f>
        <v>Unspecified Facility Type</v>
      </c>
    </row>
    <row r="2417" spans="1:44" hidden="1" x14ac:dyDescent="0.25">
      <c r="A2417">
        <v>237668</v>
      </c>
      <c r="B2417" t="s">
        <v>210</v>
      </c>
      <c r="C2417" t="s">
        <v>525</v>
      </c>
      <c r="D2417" t="s">
        <v>548</v>
      </c>
      <c r="E2417" s="3">
        <v>44562</v>
      </c>
      <c r="F2417" s="3">
        <v>44926</v>
      </c>
      <c r="G2417" t="s">
        <v>135</v>
      </c>
      <c r="H2417" s="3">
        <v>44562</v>
      </c>
      <c r="I2417" s="3">
        <v>44926</v>
      </c>
      <c r="J2417" t="s">
        <v>135</v>
      </c>
      <c r="K2417">
        <v>0</v>
      </c>
      <c r="L2417" t="s">
        <v>207</v>
      </c>
      <c r="M2417" t="s">
        <v>110</v>
      </c>
      <c r="O2417" t="s">
        <v>1059</v>
      </c>
      <c r="P2417" t="s">
        <v>550</v>
      </c>
      <c r="Q2417">
        <v>2022</v>
      </c>
      <c r="R2417" t="s">
        <v>609</v>
      </c>
      <c r="S2417" t="s">
        <v>610</v>
      </c>
      <c r="T2417" t="s">
        <v>577</v>
      </c>
      <c r="U2417" t="b">
        <v>0</v>
      </c>
      <c r="V2417" t="s">
        <v>632</v>
      </c>
      <c r="W2417" t="s">
        <v>571</v>
      </c>
      <c r="X2417" t="s">
        <v>572</v>
      </c>
      <c r="AC2417">
        <v>0</v>
      </c>
      <c r="AD2417" t="s">
        <v>565</v>
      </c>
      <c r="AE2417">
        <v>0</v>
      </c>
      <c r="AF2417">
        <v>3.1099999999999999E-2</v>
      </c>
      <c r="AG2417" t="s">
        <v>608</v>
      </c>
      <c r="AH2417">
        <v>277.77777780000002</v>
      </c>
      <c r="AI2417">
        <v>0</v>
      </c>
      <c r="AJ2417" t="s">
        <v>561</v>
      </c>
      <c r="AK2417" t="s">
        <v>589</v>
      </c>
      <c r="AL2417" t="s">
        <v>590</v>
      </c>
      <c r="AM2417">
        <v>2022</v>
      </c>
      <c r="AN2417">
        <v>2020</v>
      </c>
      <c r="AO2417">
        <f>IF(AND(emissions[[#This Row],[Market-based]]=0,emissions[[#This Row],[Impact Type]]="CO2E"),emissions[[#This Row],[kgCO2e]],0)/1000</f>
        <v>0</v>
      </c>
      <c r="AP2417">
        <f>IF(AND(emissions[[#This Row],[Market-based]]=1,OR(emissions[[#This Row],[Impact Type]]="CO2E",emissions[[#This Row],[Impact Type]]="CO2E MKT")),emissions[[#This Row],[kgCO2e]],0)/1000</f>
        <v>0</v>
      </c>
      <c r="AQ2417" t="str">
        <f>_xlfn.TEXTAFTER(emissions[[#This Row],[Reporting Unit]]," &gt; ",LEN(emissions[[#This Row],[Reporting Unit]])-LEN(SUBSTITUTE(emissions[[#This Row],[Reporting Unit]],"&gt;","")))</f>
        <v>Vantage_Sao Paulo</v>
      </c>
      <c r="AR2417" t="str">
        <f>_xlfn.XLOOKUP(emissions[[#This Row],[Reporting unit name]],hierarchy!$A:$A,hierarchy!$C:$C)</f>
        <v>Unspecified Facility Type</v>
      </c>
    </row>
    <row r="2418" spans="1:44" hidden="1" x14ac:dyDescent="0.25">
      <c r="A2418">
        <v>237668</v>
      </c>
      <c r="B2418" t="s">
        <v>210</v>
      </c>
      <c r="C2418" t="s">
        <v>525</v>
      </c>
      <c r="D2418" t="s">
        <v>548</v>
      </c>
      <c r="E2418" s="3">
        <v>44562</v>
      </c>
      <c r="F2418" s="3">
        <v>44926</v>
      </c>
      <c r="G2418" t="s">
        <v>135</v>
      </c>
      <c r="H2418" s="3">
        <v>44562</v>
      </c>
      <c r="I2418" s="3">
        <v>44926</v>
      </c>
      <c r="J2418" t="s">
        <v>135</v>
      </c>
      <c r="K2418">
        <v>0</v>
      </c>
      <c r="L2418" t="s">
        <v>207</v>
      </c>
      <c r="M2418" t="s">
        <v>110</v>
      </c>
      <c r="O2418" t="s">
        <v>1059</v>
      </c>
      <c r="P2418" t="s">
        <v>550</v>
      </c>
      <c r="Q2418">
        <v>2022</v>
      </c>
      <c r="R2418" t="s">
        <v>609</v>
      </c>
      <c r="S2418" t="s">
        <v>610</v>
      </c>
      <c r="T2418" t="s">
        <v>577</v>
      </c>
      <c r="U2418" t="b">
        <v>0</v>
      </c>
      <c r="V2418" t="s">
        <v>632</v>
      </c>
      <c r="W2418" t="s">
        <v>571</v>
      </c>
      <c r="X2418" t="s">
        <v>572</v>
      </c>
      <c r="AC2418">
        <v>1</v>
      </c>
      <c r="AD2418" t="s">
        <v>565</v>
      </c>
      <c r="AE2418">
        <v>0</v>
      </c>
      <c r="AF2418">
        <v>3.1099999999999999E-2</v>
      </c>
      <c r="AG2418" t="s">
        <v>608</v>
      </c>
      <c r="AH2418">
        <v>277.77777780000002</v>
      </c>
      <c r="AI2418">
        <v>0</v>
      </c>
      <c r="AJ2418" t="s">
        <v>561</v>
      </c>
      <c r="AK2418" t="s">
        <v>589</v>
      </c>
      <c r="AL2418" t="s">
        <v>590</v>
      </c>
      <c r="AM2418">
        <v>2022</v>
      </c>
      <c r="AN2418">
        <v>2020</v>
      </c>
      <c r="AO2418">
        <f>IF(AND(emissions[[#This Row],[Market-based]]=0,emissions[[#This Row],[Impact Type]]="CO2E"),emissions[[#This Row],[kgCO2e]],0)/1000</f>
        <v>0</v>
      </c>
      <c r="AP2418">
        <f>IF(AND(emissions[[#This Row],[Market-based]]=1,OR(emissions[[#This Row],[Impact Type]]="CO2E",emissions[[#This Row],[Impact Type]]="CO2E MKT")),emissions[[#This Row],[kgCO2e]],0)/1000</f>
        <v>0</v>
      </c>
      <c r="AQ2418" t="str">
        <f>_xlfn.TEXTAFTER(emissions[[#This Row],[Reporting Unit]]," &gt; ",LEN(emissions[[#This Row],[Reporting Unit]])-LEN(SUBSTITUTE(emissions[[#This Row],[Reporting Unit]],"&gt;","")))</f>
        <v>Vantage_Sao Paulo</v>
      </c>
      <c r="AR2418" t="str">
        <f>_xlfn.XLOOKUP(emissions[[#This Row],[Reporting unit name]],hierarchy!$A:$A,hierarchy!$C:$C)</f>
        <v>Unspecified Facility Type</v>
      </c>
    </row>
    <row r="2419" spans="1:44" hidden="1" x14ac:dyDescent="0.25">
      <c r="A2419">
        <v>237666</v>
      </c>
      <c r="B2419" t="s">
        <v>210</v>
      </c>
      <c r="C2419" t="s">
        <v>525</v>
      </c>
      <c r="D2419" t="s">
        <v>548</v>
      </c>
      <c r="E2419" s="3">
        <v>44562</v>
      </c>
      <c r="F2419" s="3">
        <v>44926</v>
      </c>
      <c r="G2419" t="s">
        <v>141</v>
      </c>
      <c r="H2419" s="3">
        <v>44562</v>
      </c>
      <c r="I2419" s="3">
        <v>44926</v>
      </c>
      <c r="J2419" t="s">
        <v>142</v>
      </c>
      <c r="K2419">
        <v>0</v>
      </c>
      <c r="L2419" t="s">
        <v>154</v>
      </c>
      <c r="M2419" t="s">
        <v>110</v>
      </c>
      <c r="O2419" t="s">
        <v>1060</v>
      </c>
      <c r="P2419" t="s">
        <v>550</v>
      </c>
      <c r="Q2419">
        <v>2022</v>
      </c>
      <c r="R2419" t="s">
        <v>612</v>
      </c>
      <c r="S2419" t="s">
        <v>613</v>
      </c>
      <c r="T2419" t="s">
        <v>553</v>
      </c>
      <c r="U2419" t="b">
        <v>0</v>
      </c>
      <c r="V2419" t="s">
        <v>614</v>
      </c>
      <c r="W2419" t="s">
        <v>587</v>
      </c>
      <c r="X2419" t="s">
        <v>556</v>
      </c>
      <c r="AC2419">
        <v>0</v>
      </c>
      <c r="AD2419" t="s">
        <v>558</v>
      </c>
      <c r="AE2419">
        <v>0</v>
      </c>
      <c r="AF2419">
        <v>2.0000000000000002E-5</v>
      </c>
      <c r="AG2419" t="s">
        <v>608</v>
      </c>
      <c r="AH2419">
        <v>2.8000000000000002E-7</v>
      </c>
      <c r="AI2419">
        <v>0</v>
      </c>
      <c r="AJ2419" t="s">
        <v>561</v>
      </c>
      <c r="AK2419" t="s">
        <v>589</v>
      </c>
      <c r="AL2419" t="s">
        <v>590</v>
      </c>
      <c r="AM2419">
        <v>2022</v>
      </c>
      <c r="AN2419">
        <v>2020</v>
      </c>
      <c r="AO2419">
        <f>IF(AND(emissions[[#This Row],[Market-based]]=0,emissions[[#This Row],[Impact Type]]="CO2E"),emissions[[#This Row],[kgCO2e]],0)/1000</f>
        <v>0</v>
      </c>
      <c r="AP2419">
        <f>IF(AND(emissions[[#This Row],[Market-based]]=1,OR(emissions[[#This Row],[Impact Type]]="CO2E",emissions[[#This Row],[Impact Type]]="CO2E MKT")),emissions[[#This Row],[kgCO2e]],0)/1000</f>
        <v>0</v>
      </c>
      <c r="AQ2419" t="str">
        <f>_xlfn.TEXTAFTER(emissions[[#This Row],[Reporting Unit]]," &gt; ",LEN(emissions[[#This Row],[Reporting Unit]])-LEN(SUBSTITUTE(emissions[[#This Row],[Reporting Unit]],"&gt;","")))</f>
        <v>Vantage_Sao Paulo</v>
      </c>
      <c r="AR2419" t="str">
        <f>_xlfn.XLOOKUP(emissions[[#This Row],[Reporting unit name]],hierarchy!$A:$A,hierarchy!$C:$C)</f>
        <v>Unspecified Facility Type</v>
      </c>
    </row>
    <row r="2420" spans="1:44" hidden="1" x14ac:dyDescent="0.25">
      <c r="A2420">
        <v>237666</v>
      </c>
      <c r="B2420" t="s">
        <v>210</v>
      </c>
      <c r="C2420" t="s">
        <v>525</v>
      </c>
      <c r="D2420" t="s">
        <v>548</v>
      </c>
      <c r="E2420" s="3">
        <v>44562</v>
      </c>
      <c r="F2420" s="3">
        <v>44926</v>
      </c>
      <c r="G2420" t="s">
        <v>141</v>
      </c>
      <c r="H2420" s="3">
        <v>44562</v>
      </c>
      <c r="I2420" s="3">
        <v>44926</v>
      </c>
      <c r="J2420" t="s">
        <v>142</v>
      </c>
      <c r="K2420">
        <v>0</v>
      </c>
      <c r="L2420" t="s">
        <v>154</v>
      </c>
      <c r="M2420" t="s">
        <v>110</v>
      </c>
      <c r="O2420" t="s">
        <v>1060</v>
      </c>
      <c r="P2420" t="s">
        <v>550</v>
      </c>
      <c r="Q2420">
        <v>2022</v>
      </c>
      <c r="R2420" t="s">
        <v>612</v>
      </c>
      <c r="S2420" t="s">
        <v>613</v>
      </c>
      <c r="T2420" t="s">
        <v>553</v>
      </c>
      <c r="U2420" t="b">
        <v>0</v>
      </c>
      <c r="V2420" t="s">
        <v>614</v>
      </c>
      <c r="W2420" t="s">
        <v>587</v>
      </c>
      <c r="X2420" t="s">
        <v>556</v>
      </c>
      <c r="AC2420">
        <v>0</v>
      </c>
      <c r="AD2420" t="s">
        <v>564</v>
      </c>
      <c r="AE2420">
        <v>0</v>
      </c>
      <c r="AF2420">
        <v>0.24970999999999999</v>
      </c>
      <c r="AG2420" t="s">
        <v>608</v>
      </c>
      <c r="AH2420">
        <v>2.8000000000000002E-7</v>
      </c>
      <c r="AI2420">
        <v>0</v>
      </c>
      <c r="AJ2420" t="s">
        <v>561</v>
      </c>
      <c r="AK2420" t="s">
        <v>589</v>
      </c>
      <c r="AL2420" t="s">
        <v>590</v>
      </c>
      <c r="AM2420">
        <v>2022</v>
      </c>
      <c r="AN2420">
        <v>2020</v>
      </c>
      <c r="AO2420">
        <f>IF(AND(emissions[[#This Row],[Market-based]]=0,emissions[[#This Row],[Impact Type]]="CO2E"),emissions[[#This Row],[kgCO2e]],0)/1000</f>
        <v>0</v>
      </c>
      <c r="AP2420">
        <f>IF(AND(emissions[[#This Row],[Market-based]]=1,OR(emissions[[#This Row],[Impact Type]]="CO2E",emissions[[#This Row],[Impact Type]]="CO2E MKT")),emissions[[#This Row],[kgCO2e]],0)/1000</f>
        <v>0</v>
      </c>
      <c r="AQ2420" t="str">
        <f>_xlfn.TEXTAFTER(emissions[[#This Row],[Reporting Unit]]," &gt; ",LEN(emissions[[#This Row],[Reporting Unit]])-LEN(SUBSTITUTE(emissions[[#This Row],[Reporting Unit]],"&gt;","")))</f>
        <v>Vantage_Sao Paulo</v>
      </c>
      <c r="AR2420" t="str">
        <f>_xlfn.XLOOKUP(emissions[[#This Row],[Reporting unit name]],hierarchy!$A:$A,hierarchy!$C:$C)</f>
        <v>Unspecified Facility Type</v>
      </c>
    </row>
    <row r="2421" spans="1:44" hidden="1" x14ac:dyDescent="0.25">
      <c r="A2421">
        <v>237666</v>
      </c>
      <c r="B2421" t="s">
        <v>210</v>
      </c>
      <c r="C2421" t="s">
        <v>525</v>
      </c>
      <c r="D2421" t="s">
        <v>548</v>
      </c>
      <c r="E2421" s="3">
        <v>44562</v>
      </c>
      <c r="F2421" s="3">
        <v>44926</v>
      </c>
      <c r="G2421" t="s">
        <v>141</v>
      </c>
      <c r="H2421" s="3">
        <v>44562</v>
      </c>
      <c r="I2421" s="3">
        <v>44926</v>
      </c>
      <c r="J2421" t="s">
        <v>142</v>
      </c>
      <c r="K2421">
        <v>0</v>
      </c>
      <c r="L2421" t="s">
        <v>154</v>
      </c>
      <c r="M2421" t="s">
        <v>110</v>
      </c>
      <c r="O2421" t="s">
        <v>1060</v>
      </c>
      <c r="P2421" t="s">
        <v>550</v>
      </c>
      <c r="Q2421">
        <v>2022</v>
      </c>
      <c r="R2421" t="s">
        <v>612</v>
      </c>
      <c r="S2421" t="s">
        <v>613</v>
      </c>
      <c r="T2421" t="s">
        <v>553</v>
      </c>
      <c r="U2421" t="b">
        <v>0</v>
      </c>
      <c r="V2421" t="s">
        <v>614</v>
      </c>
      <c r="W2421" t="s">
        <v>587</v>
      </c>
      <c r="X2421" t="s">
        <v>556</v>
      </c>
      <c r="AC2421">
        <v>0</v>
      </c>
      <c r="AD2421" t="s">
        <v>565</v>
      </c>
      <c r="AE2421">
        <v>0</v>
      </c>
      <c r="AF2421">
        <v>0.25320999999999999</v>
      </c>
      <c r="AG2421" t="s">
        <v>608</v>
      </c>
      <c r="AH2421">
        <v>2.8000000000000002E-7</v>
      </c>
      <c r="AI2421">
        <v>0</v>
      </c>
      <c r="AJ2421" t="s">
        <v>561</v>
      </c>
      <c r="AK2421" t="s">
        <v>589</v>
      </c>
      <c r="AL2421" t="s">
        <v>590</v>
      </c>
      <c r="AM2421">
        <v>2022</v>
      </c>
      <c r="AN2421">
        <v>2020</v>
      </c>
      <c r="AO2421">
        <f>IF(AND(emissions[[#This Row],[Market-based]]=0,emissions[[#This Row],[Impact Type]]="CO2E"),emissions[[#This Row],[kgCO2e]],0)/1000</f>
        <v>0</v>
      </c>
      <c r="AP2421">
        <f>IF(AND(emissions[[#This Row],[Market-based]]=1,OR(emissions[[#This Row],[Impact Type]]="CO2E",emissions[[#This Row],[Impact Type]]="CO2E MKT")),emissions[[#This Row],[kgCO2e]],0)/1000</f>
        <v>0</v>
      </c>
      <c r="AQ2421" t="str">
        <f>_xlfn.TEXTAFTER(emissions[[#This Row],[Reporting Unit]]," &gt; ",LEN(emissions[[#This Row],[Reporting Unit]])-LEN(SUBSTITUTE(emissions[[#This Row],[Reporting Unit]],"&gt;","")))</f>
        <v>Vantage_Sao Paulo</v>
      </c>
      <c r="AR2421" t="str">
        <f>_xlfn.XLOOKUP(emissions[[#This Row],[Reporting unit name]],hierarchy!$A:$A,hierarchy!$C:$C)</f>
        <v>Unspecified Facility Type</v>
      </c>
    </row>
    <row r="2422" spans="1:44" hidden="1" x14ac:dyDescent="0.25">
      <c r="A2422">
        <v>237666</v>
      </c>
      <c r="B2422" t="s">
        <v>210</v>
      </c>
      <c r="C2422" t="s">
        <v>525</v>
      </c>
      <c r="D2422" t="s">
        <v>548</v>
      </c>
      <c r="E2422" s="3">
        <v>44562</v>
      </c>
      <c r="F2422" s="3">
        <v>44926</v>
      </c>
      <c r="G2422" t="s">
        <v>141</v>
      </c>
      <c r="H2422" s="3">
        <v>44562</v>
      </c>
      <c r="I2422" s="3">
        <v>44926</v>
      </c>
      <c r="J2422" t="s">
        <v>142</v>
      </c>
      <c r="K2422">
        <v>0</v>
      </c>
      <c r="L2422" t="s">
        <v>154</v>
      </c>
      <c r="M2422" t="s">
        <v>110</v>
      </c>
      <c r="O2422" t="s">
        <v>1060</v>
      </c>
      <c r="P2422" t="s">
        <v>550</v>
      </c>
      <c r="Q2422">
        <v>2022</v>
      </c>
      <c r="R2422" t="s">
        <v>612</v>
      </c>
      <c r="S2422" t="s">
        <v>613</v>
      </c>
      <c r="T2422" t="s">
        <v>553</v>
      </c>
      <c r="U2422" t="b">
        <v>0</v>
      </c>
      <c r="V2422" t="s">
        <v>614</v>
      </c>
      <c r="W2422" t="s">
        <v>587</v>
      </c>
      <c r="X2422" t="s">
        <v>556</v>
      </c>
      <c r="AC2422">
        <v>0</v>
      </c>
      <c r="AD2422" t="s">
        <v>566</v>
      </c>
      <c r="AE2422">
        <v>0</v>
      </c>
      <c r="AF2422">
        <v>3.48E-3</v>
      </c>
      <c r="AG2422" t="s">
        <v>608</v>
      </c>
      <c r="AH2422">
        <v>2.8000000000000002E-7</v>
      </c>
      <c r="AI2422">
        <v>0</v>
      </c>
      <c r="AJ2422" t="s">
        <v>561</v>
      </c>
      <c r="AK2422" t="s">
        <v>589</v>
      </c>
      <c r="AL2422" t="s">
        <v>590</v>
      </c>
      <c r="AM2422">
        <v>2022</v>
      </c>
      <c r="AN2422">
        <v>2020</v>
      </c>
      <c r="AO2422">
        <f>IF(AND(emissions[[#This Row],[Market-based]]=0,emissions[[#This Row],[Impact Type]]="CO2E"),emissions[[#This Row],[kgCO2e]],0)/1000</f>
        <v>0</v>
      </c>
      <c r="AP2422">
        <f>IF(AND(emissions[[#This Row],[Market-based]]=1,OR(emissions[[#This Row],[Impact Type]]="CO2E",emissions[[#This Row],[Impact Type]]="CO2E MKT")),emissions[[#This Row],[kgCO2e]],0)/1000</f>
        <v>0</v>
      </c>
      <c r="AQ2422" t="str">
        <f>_xlfn.TEXTAFTER(emissions[[#This Row],[Reporting Unit]]," &gt; ",LEN(emissions[[#This Row],[Reporting Unit]])-LEN(SUBSTITUTE(emissions[[#This Row],[Reporting Unit]],"&gt;","")))</f>
        <v>Vantage_Sao Paulo</v>
      </c>
      <c r="AR2422" t="str">
        <f>_xlfn.XLOOKUP(emissions[[#This Row],[Reporting unit name]],hierarchy!$A:$A,hierarchy!$C:$C)</f>
        <v>Unspecified Facility Type</v>
      </c>
    </row>
    <row r="2423" spans="1:44" hidden="1" x14ac:dyDescent="0.25">
      <c r="A2423">
        <v>237666</v>
      </c>
      <c r="B2423" t="s">
        <v>210</v>
      </c>
      <c r="C2423" t="s">
        <v>525</v>
      </c>
      <c r="D2423" t="s">
        <v>548</v>
      </c>
      <c r="E2423" s="3">
        <v>44562</v>
      </c>
      <c r="F2423" s="3">
        <v>44926</v>
      </c>
      <c r="G2423" t="s">
        <v>141</v>
      </c>
      <c r="H2423" s="3">
        <v>44562</v>
      </c>
      <c r="I2423" s="3">
        <v>44926</v>
      </c>
      <c r="J2423" t="s">
        <v>142</v>
      </c>
      <c r="K2423">
        <v>0</v>
      </c>
      <c r="L2423" t="s">
        <v>154</v>
      </c>
      <c r="M2423" t="s">
        <v>110</v>
      </c>
      <c r="O2423" t="s">
        <v>1060</v>
      </c>
      <c r="P2423" t="s">
        <v>550</v>
      </c>
      <c r="Q2423">
        <v>2022</v>
      </c>
      <c r="R2423" t="s">
        <v>612</v>
      </c>
      <c r="S2423" t="s">
        <v>613</v>
      </c>
      <c r="T2423" t="s">
        <v>553</v>
      </c>
      <c r="U2423" t="b">
        <v>0</v>
      </c>
      <c r="V2423" t="s">
        <v>614</v>
      </c>
      <c r="W2423" t="s">
        <v>587</v>
      </c>
      <c r="X2423" t="s">
        <v>556</v>
      </c>
      <c r="AC2423">
        <v>1</v>
      </c>
      <c r="AD2423" t="s">
        <v>558</v>
      </c>
      <c r="AE2423">
        <v>0</v>
      </c>
      <c r="AF2423">
        <v>2.0000000000000002E-5</v>
      </c>
      <c r="AG2423" t="s">
        <v>608</v>
      </c>
      <c r="AH2423">
        <v>2.8000000000000002E-7</v>
      </c>
      <c r="AI2423">
        <v>0</v>
      </c>
      <c r="AJ2423" t="s">
        <v>561</v>
      </c>
      <c r="AK2423" t="s">
        <v>589</v>
      </c>
      <c r="AL2423" t="s">
        <v>590</v>
      </c>
      <c r="AM2423">
        <v>2022</v>
      </c>
      <c r="AN2423">
        <v>2020</v>
      </c>
      <c r="AO2423">
        <f>IF(AND(emissions[[#This Row],[Market-based]]=0,emissions[[#This Row],[Impact Type]]="CO2E"),emissions[[#This Row],[kgCO2e]],0)/1000</f>
        <v>0</v>
      </c>
      <c r="AP2423">
        <f>IF(AND(emissions[[#This Row],[Market-based]]=1,OR(emissions[[#This Row],[Impact Type]]="CO2E",emissions[[#This Row],[Impact Type]]="CO2E MKT")),emissions[[#This Row],[kgCO2e]],0)/1000</f>
        <v>0</v>
      </c>
      <c r="AQ2423" t="str">
        <f>_xlfn.TEXTAFTER(emissions[[#This Row],[Reporting Unit]]," &gt; ",LEN(emissions[[#This Row],[Reporting Unit]])-LEN(SUBSTITUTE(emissions[[#This Row],[Reporting Unit]],"&gt;","")))</f>
        <v>Vantage_Sao Paulo</v>
      </c>
      <c r="AR2423" t="str">
        <f>_xlfn.XLOOKUP(emissions[[#This Row],[Reporting unit name]],hierarchy!$A:$A,hierarchy!$C:$C)</f>
        <v>Unspecified Facility Type</v>
      </c>
    </row>
    <row r="2424" spans="1:44" hidden="1" x14ac:dyDescent="0.25">
      <c r="A2424">
        <v>237666</v>
      </c>
      <c r="B2424" t="s">
        <v>210</v>
      </c>
      <c r="C2424" t="s">
        <v>525</v>
      </c>
      <c r="D2424" t="s">
        <v>548</v>
      </c>
      <c r="E2424" s="3">
        <v>44562</v>
      </c>
      <c r="F2424" s="3">
        <v>44926</v>
      </c>
      <c r="G2424" t="s">
        <v>141</v>
      </c>
      <c r="H2424" s="3">
        <v>44562</v>
      </c>
      <c r="I2424" s="3">
        <v>44926</v>
      </c>
      <c r="J2424" t="s">
        <v>142</v>
      </c>
      <c r="K2424">
        <v>0</v>
      </c>
      <c r="L2424" t="s">
        <v>154</v>
      </c>
      <c r="M2424" t="s">
        <v>110</v>
      </c>
      <c r="O2424" t="s">
        <v>1060</v>
      </c>
      <c r="P2424" t="s">
        <v>550</v>
      </c>
      <c r="Q2424">
        <v>2022</v>
      </c>
      <c r="R2424" t="s">
        <v>612</v>
      </c>
      <c r="S2424" t="s">
        <v>613</v>
      </c>
      <c r="T2424" t="s">
        <v>553</v>
      </c>
      <c r="U2424" t="b">
        <v>0</v>
      </c>
      <c r="V2424" t="s">
        <v>614</v>
      </c>
      <c r="W2424" t="s">
        <v>587</v>
      </c>
      <c r="X2424" t="s">
        <v>556</v>
      </c>
      <c r="AC2424">
        <v>1</v>
      </c>
      <c r="AD2424" t="s">
        <v>564</v>
      </c>
      <c r="AE2424">
        <v>0</v>
      </c>
      <c r="AF2424">
        <v>0.24970999999999999</v>
      </c>
      <c r="AG2424" t="s">
        <v>608</v>
      </c>
      <c r="AH2424">
        <v>2.8000000000000002E-7</v>
      </c>
      <c r="AI2424">
        <v>0</v>
      </c>
      <c r="AJ2424" t="s">
        <v>561</v>
      </c>
      <c r="AK2424" t="s">
        <v>589</v>
      </c>
      <c r="AL2424" t="s">
        <v>590</v>
      </c>
      <c r="AM2424">
        <v>2022</v>
      </c>
      <c r="AN2424">
        <v>2020</v>
      </c>
      <c r="AO2424">
        <f>IF(AND(emissions[[#This Row],[Market-based]]=0,emissions[[#This Row],[Impact Type]]="CO2E"),emissions[[#This Row],[kgCO2e]],0)/1000</f>
        <v>0</v>
      </c>
      <c r="AP2424">
        <f>IF(AND(emissions[[#This Row],[Market-based]]=1,OR(emissions[[#This Row],[Impact Type]]="CO2E",emissions[[#This Row],[Impact Type]]="CO2E MKT")),emissions[[#This Row],[kgCO2e]],0)/1000</f>
        <v>0</v>
      </c>
      <c r="AQ2424" t="str">
        <f>_xlfn.TEXTAFTER(emissions[[#This Row],[Reporting Unit]]," &gt; ",LEN(emissions[[#This Row],[Reporting Unit]])-LEN(SUBSTITUTE(emissions[[#This Row],[Reporting Unit]],"&gt;","")))</f>
        <v>Vantage_Sao Paulo</v>
      </c>
      <c r="AR2424" t="str">
        <f>_xlfn.XLOOKUP(emissions[[#This Row],[Reporting unit name]],hierarchy!$A:$A,hierarchy!$C:$C)</f>
        <v>Unspecified Facility Type</v>
      </c>
    </row>
    <row r="2425" spans="1:44" hidden="1" x14ac:dyDescent="0.25">
      <c r="A2425">
        <v>237666</v>
      </c>
      <c r="B2425" t="s">
        <v>210</v>
      </c>
      <c r="C2425" t="s">
        <v>525</v>
      </c>
      <c r="D2425" t="s">
        <v>548</v>
      </c>
      <c r="E2425" s="3">
        <v>44562</v>
      </c>
      <c r="F2425" s="3">
        <v>44926</v>
      </c>
      <c r="G2425" t="s">
        <v>141</v>
      </c>
      <c r="H2425" s="3">
        <v>44562</v>
      </c>
      <c r="I2425" s="3">
        <v>44926</v>
      </c>
      <c r="J2425" t="s">
        <v>142</v>
      </c>
      <c r="K2425">
        <v>0</v>
      </c>
      <c r="L2425" t="s">
        <v>154</v>
      </c>
      <c r="M2425" t="s">
        <v>110</v>
      </c>
      <c r="O2425" t="s">
        <v>1060</v>
      </c>
      <c r="P2425" t="s">
        <v>550</v>
      </c>
      <c r="Q2425">
        <v>2022</v>
      </c>
      <c r="R2425" t="s">
        <v>612</v>
      </c>
      <c r="S2425" t="s">
        <v>613</v>
      </c>
      <c r="T2425" t="s">
        <v>553</v>
      </c>
      <c r="U2425" t="b">
        <v>0</v>
      </c>
      <c r="V2425" t="s">
        <v>614</v>
      </c>
      <c r="W2425" t="s">
        <v>587</v>
      </c>
      <c r="X2425" t="s">
        <v>556</v>
      </c>
      <c r="AC2425">
        <v>1</v>
      </c>
      <c r="AD2425" t="s">
        <v>565</v>
      </c>
      <c r="AE2425">
        <v>0</v>
      </c>
      <c r="AF2425">
        <v>0.25320999999999999</v>
      </c>
      <c r="AG2425" t="s">
        <v>608</v>
      </c>
      <c r="AH2425">
        <v>2.8000000000000002E-7</v>
      </c>
      <c r="AI2425">
        <v>0</v>
      </c>
      <c r="AJ2425" t="s">
        <v>561</v>
      </c>
      <c r="AK2425" t="s">
        <v>589</v>
      </c>
      <c r="AL2425" t="s">
        <v>590</v>
      </c>
      <c r="AM2425">
        <v>2022</v>
      </c>
      <c r="AN2425">
        <v>2020</v>
      </c>
      <c r="AO2425">
        <f>IF(AND(emissions[[#This Row],[Market-based]]=0,emissions[[#This Row],[Impact Type]]="CO2E"),emissions[[#This Row],[kgCO2e]],0)/1000</f>
        <v>0</v>
      </c>
      <c r="AP2425">
        <f>IF(AND(emissions[[#This Row],[Market-based]]=1,OR(emissions[[#This Row],[Impact Type]]="CO2E",emissions[[#This Row],[Impact Type]]="CO2E MKT")),emissions[[#This Row],[kgCO2e]],0)/1000</f>
        <v>0</v>
      </c>
      <c r="AQ2425" t="str">
        <f>_xlfn.TEXTAFTER(emissions[[#This Row],[Reporting Unit]]," &gt; ",LEN(emissions[[#This Row],[Reporting Unit]])-LEN(SUBSTITUTE(emissions[[#This Row],[Reporting Unit]],"&gt;","")))</f>
        <v>Vantage_Sao Paulo</v>
      </c>
      <c r="AR2425" t="str">
        <f>_xlfn.XLOOKUP(emissions[[#This Row],[Reporting unit name]],hierarchy!$A:$A,hierarchy!$C:$C)</f>
        <v>Unspecified Facility Type</v>
      </c>
    </row>
    <row r="2426" spans="1:44" hidden="1" x14ac:dyDescent="0.25">
      <c r="A2426">
        <v>237666</v>
      </c>
      <c r="B2426" t="s">
        <v>210</v>
      </c>
      <c r="C2426" t="s">
        <v>525</v>
      </c>
      <c r="D2426" t="s">
        <v>548</v>
      </c>
      <c r="E2426" s="3">
        <v>44562</v>
      </c>
      <c r="F2426" s="3">
        <v>44926</v>
      </c>
      <c r="G2426" t="s">
        <v>141</v>
      </c>
      <c r="H2426" s="3">
        <v>44562</v>
      </c>
      <c r="I2426" s="3">
        <v>44926</v>
      </c>
      <c r="J2426" t="s">
        <v>142</v>
      </c>
      <c r="K2426">
        <v>0</v>
      </c>
      <c r="L2426" t="s">
        <v>154</v>
      </c>
      <c r="M2426" t="s">
        <v>110</v>
      </c>
      <c r="O2426" t="s">
        <v>1060</v>
      </c>
      <c r="P2426" t="s">
        <v>550</v>
      </c>
      <c r="Q2426">
        <v>2022</v>
      </c>
      <c r="R2426" t="s">
        <v>612</v>
      </c>
      <c r="S2426" t="s">
        <v>613</v>
      </c>
      <c r="T2426" t="s">
        <v>553</v>
      </c>
      <c r="U2426" t="b">
        <v>0</v>
      </c>
      <c r="V2426" t="s">
        <v>614</v>
      </c>
      <c r="W2426" t="s">
        <v>587</v>
      </c>
      <c r="X2426" t="s">
        <v>556</v>
      </c>
      <c r="AC2426">
        <v>1</v>
      </c>
      <c r="AD2426" t="s">
        <v>566</v>
      </c>
      <c r="AE2426">
        <v>0</v>
      </c>
      <c r="AF2426">
        <v>3.48E-3</v>
      </c>
      <c r="AG2426" t="s">
        <v>608</v>
      </c>
      <c r="AH2426">
        <v>2.8000000000000002E-7</v>
      </c>
      <c r="AI2426">
        <v>0</v>
      </c>
      <c r="AJ2426" t="s">
        <v>561</v>
      </c>
      <c r="AK2426" t="s">
        <v>589</v>
      </c>
      <c r="AL2426" t="s">
        <v>590</v>
      </c>
      <c r="AM2426">
        <v>2022</v>
      </c>
      <c r="AN2426">
        <v>2020</v>
      </c>
      <c r="AO2426">
        <f>IF(AND(emissions[[#This Row],[Market-based]]=0,emissions[[#This Row],[Impact Type]]="CO2E"),emissions[[#This Row],[kgCO2e]],0)/1000</f>
        <v>0</v>
      </c>
      <c r="AP2426">
        <f>IF(AND(emissions[[#This Row],[Market-based]]=1,OR(emissions[[#This Row],[Impact Type]]="CO2E",emissions[[#This Row],[Impact Type]]="CO2E MKT")),emissions[[#This Row],[kgCO2e]],0)/1000</f>
        <v>0</v>
      </c>
      <c r="AQ2426" t="str">
        <f>_xlfn.TEXTAFTER(emissions[[#This Row],[Reporting Unit]]," &gt; ",LEN(emissions[[#This Row],[Reporting Unit]])-LEN(SUBSTITUTE(emissions[[#This Row],[Reporting Unit]],"&gt;","")))</f>
        <v>Vantage_Sao Paulo</v>
      </c>
      <c r="AR2426" t="str">
        <f>_xlfn.XLOOKUP(emissions[[#This Row],[Reporting unit name]],hierarchy!$A:$A,hierarchy!$C:$C)</f>
        <v>Unspecified Facility Type</v>
      </c>
    </row>
    <row r="2427" spans="1:44" hidden="1" x14ac:dyDescent="0.25">
      <c r="A2427">
        <v>237666</v>
      </c>
      <c r="B2427" t="s">
        <v>210</v>
      </c>
      <c r="C2427" t="s">
        <v>525</v>
      </c>
      <c r="D2427" t="s">
        <v>548</v>
      </c>
      <c r="E2427" s="3">
        <v>44562</v>
      </c>
      <c r="F2427" s="3">
        <v>44926</v>
      </c>
      <c r="G2427" t="s">
        <v>141</v>
      </c>
      <c r="H2427" s="3">
        <v>44562</v>
      </c>
      <c r="I2427" s="3">
        <v>44926</v>
      </c>
      <c r="J2427" t="s">
        <v>142</v>
      </c>
      <c r="K2427">
        <v>0</v>
      </c>
      <c r="L2427" t="s">
        <v>154</v>
      </c>
      <c r="M2427" t="s">
        <v>110</v>
      </c>
      <c r="O2427" t="s">
        <v>1060</v>
      </c>
      <c r="P2427" t="s">
        <v>550</v>
      </c>
      <c r="Q2427">
        <v>2022</v>
      </c>
      <c r="R2427" t="s">
        <v>615</v>
      </c>
      <c r="S2427" t="s">
        <v>616</v>
      </c>
      <c r="T2427" t="s">
        <v>577</v>
      </c>
      <c r="U2427" t="b">
        <v>0</v>
      </c>
      <c r="V2427" t="s">
        <v>879</v>
      </c>
      <c r="W2427" t="s">
        <v>571</v>
      </c>
      <c r="X2427" t="s">
        <v>572</v>
      </c>
      <c r="AC2427">
        <v>0</v>
      </c>
      <c r="AD2427" t="s">
        <v>565</v>
      </c>
      <c r="AE2427">
        <v>0</v>
      </c>
      <c r="AF2427">
        <v>5.8880000000000002E-2</v>
      </c>
      <c r="AG2427" t="s">
        <v>608</v>
      </c>
      <c r="AH2427">
        <v>2.8000000000000002E-7</v>
      </c>
      <c r="AI2427">
        <v>0</v>
      </c>
      <c r="AJ2427" t="s">
        <v>561</v>
      </c>
      <c r="AK2427" t="s">
        <v>589</v>
      </c>
      <c r="AL2427" t="s">
        <v>590</v>
      </c>
      <c r="AM2427">
        <v>2022</v>
      </c>
      <c r="AN2427">
        <v>2020</v>
      </c>
      <c r="AO2427">
        <f>IF(AND(emissions[[#This Row],[Market-based]]=0,emissions[[#This Row],[Impact Type]]="CO2E"),emissions[[#This Row],[kgCO2e]],0)/1000</f>
        <v>0</v>
      </c>
      <c r="AP2427">
        <f>IF(AND(emissions[[#This Row],[Market-based]]=1,OR(emissions[[#This Row],[Impact Type]]="CO2E",emissions[[#This Row],[Impact Type]]="CO2E MKT")),emissions[[#This Row],[kgCO2e]],0)/1000</f>
        <v>0</v>
      </c>
      <c r="AQ2427" t="str">
        <f>_xlfn.TEXTAFTER(emissions[[#This Row],[Reporting Unit]]," &gt; ",LEN(emissions[[#This Row],[Reporting Unit]])-LEN(SUBSTITUTE(emissions[[#This Row],[Reporting Unit]],"&gt;","")))</f>
        <v>Vantage_Sao Paulo</v>
      </c>
      <c r="AR2427" t="str">
        <f>_xlfn.XLOOKUP(emissions[[#This Row],[Reporting unit name]],hierarchy!$A:$A,hierarchy!$C:$C)</f>
        <v>Unspecified Facility Type</v>
      </c>
    </row>
    <row r="2428" spans="1:44" hidden="1" x14ac:dyDescent="0.25">
      <c r="A2428">
        <v>237666</v>
      </c>
      <c r="B2428" t="s">
        <v>210</v>
      </c>
      <c r="C2428" t="s">
        <v>525</v>
      </c>
      <c r="D2428" t="s">
        <v>548</v>
      </c>
      <c r="E2428" s="3">
        <v>44562</v>
      </c>
      <c r="F2428" s="3">
        <v>44926</v>
      </c>
      <c r="G2428" t="s">
        <v>141</v>
      </c>
      <c r="H2428" s="3">
        <v>44562</v>
      </c>
      <c r="I2428" s="3">
        <v>44926</v>
      </c>
      <c r="J2428" t="s">
        <v>142</v>
      </c>
      <c r="K2428">
        <v>0</v>
      </c>
      <c r="L2428" t="s">
        <v>154</v>
      </c>
      <c r="M2428" t="s">
        <v>110</v>
      </c>
      <c r="O2428" t="s">
        <v>1060</v>
      </c>
      <c r="P2428" t="s">
        <v>550</v>
      </c>
      <c r="Q2428">
        <v>2022</v>
      </c>
      <c r="R2428" t="s">
        <v>615</v>
      </c>
      <c r="S2428" t="s">
        <v>616</v>
      </c>
      <c r="T2428" t="s">
        <v>577</v>
      </c>
      <c r="U2428" t="b">
        <v>0</v>
      </c>
      <c r="V2428" t="s">
        <v>879</v>
      </c>
      <c r="W2428" t="s">
        <v>571</v>
      </c>
      <c r="X2428" t="s">
        <v>572</v>
      </c>
      <c r="AC2428">
        <v>1</v>
      </c>
      <c r="AD2428" t="s">
        <v>565</v>
      </c>
      <c r="AE2428">
        <v>0</v>
      </c>
      <c r="AF2428">
        <v>5.8880000000000002E-2</v>
      </c>
      <c r="AG2428" t="s">
        <v>608</v>
      </c>
      <c r="AH2428">
        <v>2.8000000000000002E-7</v>
      </c>
      <c r="AI2428">
        <v>0</v>
      </c>
      <c r="AJ2428" t="s">
        <v>561</v>
      </c>
      <c r="AK2428" t="s">
        <v>589</v>
      </c>
      <c r="AL2428" t="s">
        <v>590</v>
      </c>
      <c r="AM2428">
        <v>2022</v>
      </c>
      <c r="AN2428">
        <v>2020</v>
      </c>
      <c r="AO2428">
        <f>IF(AND(emissions[[#This Row],[Market-based]]=0,emissions[[#This Row],[Impact Type]]="CO2E"),emissions[[#This Row],[kgCO2e]],0)/1000</f>
        <v>0</v>
      </c>
      <c r="AP2428">
        <f>IF(AND(emissions[[#This Row],[Market-based]]=1,OR(emissions[[#This Row],[Impact Type]]="CO2E",emissions[[#This Row],[Impact Type]]="CO2E MKT")),emissions[[#This Row],[kgCO2e]],0)/1000</f>
        <v>0</v>
      </c>
      <c r="AQ2428" t="str">
        <f>_xlfn.TEXTAFTER(emissions[[#This Row],[Reporting Unit]]," &gt; ",LEN(emissions[[#This Row],[Reporting Unit]])-LEN(SUBSTITUTE(emissions[[#This Row],[Reporting Unit]],"&gt;","")))</f>
        <v>Vantage_Sao Paulo</v>
      </c>
      <c r="AR2428" t="str">
        <f>_xlfn.XLOOKUP(emissions[[#This Row],[Reporting unit name]],hierarchy!$A:$A,hierarchy!$C:$C)</f>
        <v>Unspecified Facility Type</v>
      </c>
    </row>
    <row r="2429" spans="1:44" hidden="1" x14ac:dyDescent="0.25">
      <c r="A2429">
        <v>237672</v>
      </c>
      <c r="B2429" t="s">
        <v>210</v>
      </c>
      <c r="C2429" t="s">
        <v>525</v>
      </c>
      <c r="D2429" t="s">
        <v>548</v>
      </c>
      <c r="E2429" s="3">
        <v>44562</v>
      </c>
      <c r="F2429" s="3">
        <v>44926</v>
      </c>
      <c r="G2429" t="s">
        <v>116</v>
      </c>
      <c r="H2429" s="3">
        <v>44562</v>
      </c>
      <c r="I2429" s="3">
        <v>44926</v>
      </c>
      <c r="J2429" t="s">
        <v>175</v>
      </c>
      <c r="K2429">
        <v>0</v>
      </c>
      <c r="L2429" t="s">
        <v>215</v>
      </c>
      <c r="M2429" t="s">
        <v>110</v>
      </c>
      <c r="N2429" t="s">
        <v>217</v>
      </c>
      <c r="O2429" t="s">
        <v>1061</v>
      </c>
      <c r="P2429" t="s">
        <v>550</v>
      </c>
      <c r="Q2429">
        <v>2022</v>
      </c>
      <c r="R2429" t="s">
        <v>664</v>
      </c>
      <c r="S2429" t="s">
        <v>175</v>
      </c>
      <c r="T2429" t="s">
        <v>553</v>
      </c>
      <c r="U2429" t="b">
        <v>0</v>
      </c>
      <c r="V2429" t="s">
        <v>665</v>
      </c>
      <c r="W2429" t="s">
        <v>587</v>
      </c>
      <c r="X2429" t="s">
        <v>556</v>
      </c>
      <c r="AC2429">
        <v>0</v>
      </c>
      <c r="AD2429" t="s">
        <v>565</v>
      </c>
      <c r="AE2429">
        <v>0</v>
      </c>
      <c r="AF2429">
        <v>2088</v>
      </c>
      <c r="AG2429" t="s">
        <v>622</v>
      </c>
      <c r="AH2429">
        <v>0.45359291000000002</v>
      </c>
      <c r="AI2429">
        <v>0</v>
      </c>
      <c r="AJ2429" t="s">
        <v>561</v>
      </c>
      <c r="AK2429" t="s">
        <v>623</v>
      </c>
      <c r="AL2429" t="s">
        <v>624</v>
      </c>
      <c r="AM2429">
        <v>2022</v>
      </c>
      <c r="AN2429">
        <v>2007</v>
      </c>
      <c r="AO2429">
        <f>IF(AND(emissions[[#This Row],[Market-based]]=0,emissions[[#This Row],[Impact Type]]="CO2E"),emissions[[#This Row],[kgCO2e]],0)/1000</f>
        <v>0</v>
      </c>
      <c r="AP2429">
        <f>IF(AND(emissions[[#This Row],[Market-based]]=1,OR(emissions[[#This Row],[Impact Type]]="CO2E",emissions[[#This Row],[Impact Type]]="CO2E MKT")),emissions[[#This Row],[kgCO2e]],0)/1000</f>
        <v>0</v>
      </c>
      <c r="AQ2429" t="str">
        <f>_xlfn.TEXTAFTER(emissions[[#This Row],[Reporting Unit]]," &gt; ",LEN(emissions[[#This Row],[Reporting Unit]])-LEN(SUBSTITUTE(emissions[[#This Row],[Reporting Unit]],"&gt;","")))</f>
        <v>Vantage_Sao Paulo</v>
      </c>
      <c r="AR2429" t="str">
        <f>_xlfn.XLOOKUP(emissions[[#This Row],[Reporting unit name]],hierarchy!$A:$A,hierarchy!$C:$C)</f>
        <v>Unspecified Facility Type</v>
      </c>
    </row>
    <row r="2430" spans="1:44" hidden="1" x14ac:dyDescent="0.25">
      <c r="A2430">
        <v>237672</v>
      </c>
      <c r="B2430" t="s">
        <v>210</v>
      </c>
      <c r="C2430" t="s">
        <v>525</v>
      </c>
      <c r="D2430" t="s">
        <v>548</v>
      </c>
      <c r="E2430" s="3">
        <v>44562</v>
      </c>
      <c r="F2430" s="3">
        <v>44926</v>
      </c>
      <c r="G2430" t="s">
        <v>116</v>
      </c>
      <c r="H2430" s="3">
        <v>44562</v>
      </c>
      <c r="I2430" s="3">
        <v>44926</v>
      </c>
      <c r="J2430" t="s">
        <v>175</v>
      </c>
      <c r="K2430">
        <v>0</v>
      </c>
      <c r="L2430" t="s">
        <v>215</v>
      </c>
      <c r="M2430" t="s">
        <v>110</v>
      </c>
      <c r="N2430" t="s">
        <v>217</v>
      </c>
      <c r="O2430" t="s">
        <v>1061</v>
      </c>
      <c r="P2430" t="s">
        <v>550</v>
      </c>
      <c r="Q2430">
        <v>2022</v>
      </c>
      <c r="R2430" t="s">
        <v>664</v>
      </c>
      <c r="S2430" t="s">
        <v>175</v>
      </c>
      <c r="T2430" t="s">
        <v>553</v>
      </c>
      <c r="U2430" t="b">
        <v>0</v>
      </c>
      <c r="V2430" t="s">
        <v>665</v>
      </c>
      <c r="W2430" t="s">
        <v>587</v>
      </c>
      <c r="X2430" t="s">
        <v>556</v>
      </c>
      <c r="AC2430">
        <v>1</v>
      </c>
      <c r="AD2430" t="s">
        <v>565</v>
      </c>
      <c r="AE2430">
        <v>0</v>
      </c>
      <c r="AF2430">
        <v>2088</v>
      </c>
      <c r="AG2430" t="s">
        <v>622</v>
      </c>
      <c r="AH2430">
        <v>0.45359291000000002</v>
      </c>
      <c r="AI2430">
        <v>0</v>
      </c>
      <c r="AJ2430" t="s">
        <v>561</v>
      </c>
      <c r="AK2430" t="s">
        <v>623</v>
      </c>
      <c r="AL2430" t="s">
        <v>624</v>
      </c>
      <c r="AM2430">
        <v>2022</v>
      </c>
      <c r="AN2430">
        <v>2007</v>
      </c>
      <c r="AO2430">
        <f>IF(AND(emissions[[#This Row],[Market-based]]=0,emissions[[#This Row],[Impact Type]]="CO2E"),emissions[[#This Row],[kgCO2e]],0)/1000</f>
        <v>0</v>
      </c>
      <c r="AP2430">
        <f>IF(AND(emissions[[#This Row],[Market-based]]=1,OR(emissions[[#This Row],[Impact Type]]="CO2E",emissions[[#This Row],[Impact Type]]="CO2E MKT")),emissions[[#This Row],[kgCO2e]],0)/1000</f>
        <v>0</v>
      </c>
      <c r="AQ2430" t="str">
        <f>_xlfn.TEXTAFTER(emissions[[#This Row],[Reporting Unit]]," &gt; ",LEN(emissions[[#This Row],[Reporting Unit]])-LEN(SUBSTITUTE(emissions[[#This Row],[Reporting Unit]],"&gt;","")))</f>
        <v>Vantage_Sao Paulo</v>
      </c>
      <c r="AR2430" t="str">
        <f>_xlfn.XLOOKUP(emissions[[#This Row],[Reporting unit name]],hierarchy!$A:$A,hierarchy!$C:$C)</f>
        <v>Unspecified Facility Type</v>
      </c>
    </row>
    <row r="2431" spans="1:44" hidden="1" x14ac:dyDescent="0.25">
      <c r="A2431">
        <v>1590436</v>
      </c>
      <c r="B2431" t="s">
        <v>210</v>
      </c>
      <c r="C2431" t="s">
        <v>525</v>
      </c>
      <c r="D2431" t="s">
        <v>548</v>
      </c>
      <c r="E2431" s="3">
        <v>44562</v>
      </c>
      <c r="F2431" s="3">
        <v>44926</v>
      </c>
      <c r="G2431" t="s">
        <v>116</v>
      </c>
      <c r="H2431" s="3">
        <v>44562</v>
      </c>
      <c r="I2431" s="3">
        <v>44926</v>
      </c>
      <c r="J2431" t="s">
        <v>218</v>
      </c>
      <c r="K2431">
        <v>7.2454178999999996</v>
      </c>
      <c r="L2431" t="s">
        <v>118</v>
      </c>
      <c r="M2431" t="s">
        <v>82</v>
      </c>
      <c r="N2431" t="s">
        <v>219</v>
      </c>
      <c r="O2431" t="s">
        <v>631</v>
      </c>
      <c r="P2431" t="s">
        <v>631</v>
      </c>
      <c r="Q2431">
        <v>2022</v>
      </c>
      <c r="R2431" t="s">
        <v>664</v>
      </c>
      <c r="S2431" t="s">
        <v>175</v>
      </c>
      <c r="T2431" t="s">
        <v>553</v>
      </c>
      <c r="U2431" t="b">
        <v>0</v>
      </c>
      <c r="V2431" t="s">
        <v>665</v>
      </c>
      <c r="W2431" t="s">
        <v>587</v>
      </c>
      <c r="X2431" t="s">
        <v>556</v>
      </c>
      <c r="AC2431">
        <v>0</v>
      </c>
      <c r="AD2431" t="s">
        <v>565</v>
      </c>
      <c r="AE2431">
        <v>15128.432580000001</v>
      </c>
      <c r="AF2431">
        <v>2088</v>
      </c>
      <c r="AG2431" t="s">
        <v>622</v>
      </c>
      <c r="AH2431">
        <v>1</v>
      </c>
      <c r="AI2431">
        <v>7.2454178999999996</v>
      </c>
      <c r="AJ2431" t="s">
        <v>561</v>
      </c>
      <c r="AK2431" t="s">
        <v>623</v>
      </c>
      <c r="AL2431" t="s">
        <v>624</v>
      </c>
      <c r="AM2431">
        <v>2022</v>
      </c>
      <c r="AN2431">
        <v>2007</v>
      </c>
      <c r="AO2431">
        <f>IF(AND(emissions[[#This Row],[Market-based]]=0,emissions[[#This Row],[Impact Type]]="CO2E"),emissions[[#This Row],[kgCO2e]],0)/1000</f>
        <v>15.12843258</v>
      </c>
      <c r="AP2431">
        <f>IF(AND(emissions[[#This Row],[Market-based]]=1,OR(emissions[[#This Row],[Impact Type]]="CO2E",emissions[[#This Row],[Impact Type]]="CO2E MKT")),emissions[[#This Row],[kgCO2e]],0)/1000</f>
        <v>0</v>
      </c>
      <c r="AQ2431" t="str">
        <f>_xlfn.TEXTAFTER(emissions[[#This Row],[Reporting Unit]]," &gt; ",LEN(emissions[[#This Row],[Reporting Unit]])-LEN(SUBSTITUTE(emissions[[#This Row],[Reporting Unit]],"&gt;","")))</f>
        <v>Vantage_Sao Paulo</v>
      </c>
      <c r="AR2431" t="str">
        <f>_xlfn.XLOOKUP(emissions[[#This Row],[Reporting unit name]],hierarchy!$A:$A,hierarchy!$C:$C)</f>
        <v>Unspecified Facility Type</v>
      </c>
    </row>
    <row r="2432" spans="1:44" hidden="1" x14ac:dyDescent="0.25">
      <c r="A2432">
        <v>1590436</v>
      </c>
      <c r="B2432" t="s">
        <v>210</v>
      </c>
      <c r="C2432" t="s">
        <v>525</v>
      </c>
      <c r="D2432" t="s">
        <v>548</v>
      </c>
      <c r="E2432" s="3">
        <v>44562</v>
      </c>
      <c r="F2432" s="3">
        <v>44926</v>
      </c>
      <c r="G2432" t="s">
        <v>116</v>
      </c>
      <c r="H2432" s="3">
        <v>44562</v>
      </c>
      <c r="I2432" s="3">
        <v>44926</v>
      </c>
      <c r="J2432" t="s">
        <v>218</v>
      </c>
      <c r="K2432">
        <v>7.2454178999999996</v>
      </c>
      <c r="L2432" t="s">
        <v>118</v>
      </c>
      <c r="M2432" t="s">
        <v>82</v>
      </c>
      <c r="N2432" t="s">
        <v>219</v>
      </c>
      <c r="O2432" t="s">
        <v>631</v>
      </c>
      <c r="P2432" t="s">
        <v>631</v>
      </c>
      <c r="Q2432">
        <v>2022</v>
      </c>
      <c r="R2432" t="s">
        <v>664</v>
      </c>
      <c r="S2432" t="s">
        <v>175</v>
      </c>
      <c r="T2432" t="s">
        <v>553</v>
      </c>
      <c r="U2432" t="b">
        <v>0</v>
      </c>
      <c r="V2432" t="s">
        <v>665</v>
      </c>
      <c r="W2432" t="s">
        <v>587</v>
      </c>
      <c r="X2432" t="s">
        <v>556</v>
      </c>
      <c r="AC2432">
        <v>1</v>
      </c>
      <c r="AD2432" t="s">
        <v>565</v>
      </c>
      <c r="AE2432">
        <v>15128.432580000001</v>
      </c>
      <c r="AF2432">
        <v>2088</v>
      </c>
      <c r="AG2432" t="s">
        <v>622</v>
      </c>
      <c r="AH2432">
        <v>1</v>
      </c>
      <c r="AI2432">
        <v>7.2454178999999996</v>
      </c>
      <c r="AJ2432" t="s">
        <v>561</v>
      </c>
      <c r="AK2432" t="s">
        <v>623</v>
      </c>
      <c r="AL2432" t="s">
        <v>624</v>
      </c>
      <c r="AM2432">
        <v>2022</v>
      </c>
      <c r="AN2432">
        <v>2007</v>
      </c>
      <c r="AO2432">
        <f>IF(AND(emissions[[#This Row],[Market-based]]=0,emissions[[#This Row],[Impact Type]]="CO2E"),emissions[[#This Row],[kgCO2e]],0)/1000</f>
        <v>0</v>
      </c>
      <c r="AP2432">
        <f>IF(AND(emissions[[#This Row],[Market-based]]=1,OR(emissions[[#This Row],[Impact Type]]="CO2E",emissions[[#This Row],[Impact Type]]="CO2E MKT")),emissions[[#This Row],[kgCO2e]],0)/1000</f>
        <v>15.12843258</v>
      </c>
      <c r="AQ2432" t="str">
        <f>_xlfn.TEXTAFTER(emissions[[#This Row],[Reporting Unit]]," &gt; ",LEN(emissions[[#This Row],[Reporting Unit]])-LEN(SUBSTITUTE(emissions[[#This Row],[Reporting Unit]],"&gt;","")))</f>
        <v>Vantage_Sao Paulo</v>
      </c>
      <c r="AR2432" t="str">
        <f>_xlfn.XLOOKUP(emissions[[#This Row],[Reporting unit name]],hierarchy!$A:$A,hierarchy!$C:$C)</f>
        <v>Unspecified Facility Type</v>
      </c>
    </row>
    <row r="2433" spans="1:44" hidden="1" x14ac:dyDescent="0.25">
      <c r="A2433">
        <v>4961</v>
      </c>
      <c r="B2433" t="s">
        <v>210</v>
      </c>
      <c r="C2433" t="s">
        <v>525</v>
      </c>
      <c r="D2433" t="s">
        <v>599</v>
      </c>
      <c r="E2433" s="3">
        <v>44197</v>
      </c>
      <c r="F2433" s="3">
        <v>44561</v>
      </c>
      <c r="G2433" t="s">
        <v>108</v>
      </c>
      <c r="H2433" s="3">
        <v>44197</v>
      </c>
      <c r="I2433" s="3">
        <v>44561</v>
      </c>
      <c r="J2433" t="s">
        <v>108</v>
      </c>
      <c r="K2433">
        <v>24450</v>
      </c>
      <c r="L2433" t="s">
        <v>109</v>
      </c>
      <c r="M2433" t="s">
        <v>110</v>
      </c>
      <c r="O2433" t="s">
        <v>600</v>
      </c>
      <c r="P2433" t="s">
        <v>550</v>
      </c>
      <c r="Q2433">
        <v>2021</v>
      </c>
      <c r="R2433" t="s">
        <v>551</v>
      </c>
      <c r="S2433" t="s">
        <v>552</v>
      </c>
      <c r="T2433" t="s">
        <v>553</v>
      </c>
      <c r="U2433" t="b">
        <v>0</v>
      </c>
      <c r="V2433" t="s">
        <v>1054</v>
      </c>
      <c r="W2433" t="s">
        <v>555</v>
      </c>
      <c r="X2433" t="s">
        <v>556</v>
      </c>
      <c r="Y2433" t="s">
        <v>472</v>
      </c>
      <c r="Z2433" t="s">
        <v>491</v>
      </c>
      <c r="AA2433" t="s">
        <v>1055</v>
      </c>
      <c r="AC2433">
        <v>0</v>
      </c>
      <c r="AD2433" t="s">
        <v>558</v>
      </c>
      <c r="AE2433">
        <v>2.4449999999999998</v>
      </c>
      <c r="AF2433" t="s">
        <v>559</v>
      </c>
      <c r="AG2433" t="s">
        <v>560</v>
      </c>
      <c r="AH2433">
        <v>1</v>
      </c>
      <c r="AI2433">
        <v>24450</v>
      </c>
      <c r="AJ2433" t="s">
        <v>561</v>
      </c>
      <c r="AK2433" t="s">
        <v>562</v>
      </c>
      <c r="AL2433" t="s">
        <v>601</v>
      </c>
      <c r="AM2433">
        <v>2021</v>
      </c>
      <c r="AN2433">
        <v>2019</v>
      </c>
      <c r="AO2433">
        <f>IF(AND(emissions[[#This Row],[Market-based]]=0,emissions[[#This Row],[Impact Type]]="CO2E"),emissions[[#This Row],[kgCO2e]],0)/1000</f>
        <v>0</v>
      </c>
      <c r="AP2433">
        <f>IF(AND(emissions[[#This Row],[Market-based]]=1,OR(emissions[[#This Row],[Impact Type]]="CO2E",emissions[[#This Row],[Impact Type]]="CO2E MKT")),emissions[[#This Row],[kgCO2e]],0)/1000</f>
        <v>0</v>
      </c>
      <c r="AQ2433" t="str">
        <f>_xlfn.TEXTAFTER(emissions[[#This Row],[Reporting Unit]]," &gt; ",LEN(emissions[[#This Row],[Reporting Unit]])-LEN(SUBSTITUTE(emissions[[#This Row],[Reporting Unit]],"&gt;","")))</f>
        <v>Vantage_Sao Paulo</v>
      </c>
      <c r="AR2433" t="str">
        <f>_xlfn.XLOOKUP(emissions[[#This Row],[Reporting unit name]],hierarchy!$A:$A,hierarchy!$C:$C)</f>
        <v>Unspecified Facility Type</v>
      </c>
    </row>
    <row r="2434" spans="1:44" hidden="1" x14ac:dyDescent="0.25">
      <c r="A2434">
        <v>4961</v>
      </c>
      <c r="B2434" t="s">
        <v>210</v>
      </c>
      <c r="C2434" t="s">
        <v>525</v>
      </c>
      <c r="D2434" t="s">
        <v>599</v>
      </c>
      <c r="E2434" s="3">
        <v>44197</v>
      </c>
      <c r="F2434" s="3">
        <v>44561</v>
      </c>
      <c r="G2434" t="s">
        <v>108</v>
      </c>
      <c r="H2434" s="3">
        <v>44197</v>
      </c>
      <c r="I2434" s="3">
        <v>44561</v>
      </c>
      <c r="J2434" t="s">
        <v>108</v>
      </c>
      <c r="K2434">
        <v>24450</v>
      </c>
      <c r="L2434" t="s">
        <v>109</v>
      </c>
      <c r="M2434" t="s">
        <v>110</v>
      </c>
      <c r="O2434" t="s">
        <v>600</v>
      </c>
      <c r="P2434" t="s">
        <v>550</v>
      </c>
      <c r="Q2434">
        <v>2021</v>
      </c>
      <c r="R2434" t="s">
        <v>551</v>
      </c>
      <c r="S2434" t="s">
        <v>552</v>
      </c>
      <c r="T2434" t="s">
        <v>553</v>
      </c>
      <c r="U2434" t="b">
        <v>0</v>
      </c>
      <c r="V2434" t="s">
        <v>1054</v>
      </c>
      <c r="W2434" t="s">
        <v>555</v>
      </c>
      <c r="X2434" t="s">
        <v>556</v>
      </c>
      <c r="Y2434" t="s">
        <v>472</v>
      </c>
      <c r="Z2434" t="s">
        <v>491</v>
      </c>
      <c r="AA2434" t="s">
        <v>1055</v>
      </c>
      <c r="AC2434">
        <v>0</v>
      </c>
      <c r="AD2434" t="s">
        <v>564</v>
      </c>
      <c r="AE2434">
        <v>2545.2449999999999</v>
      </c>
      <c r="AF2434" t="s">
        <v>559</v>
      </c>
      <c r="AG2434" t="s">
        <v>560</v>
      </c>
      <c r="AH2434">
        <v>1</v>
      </c>
      <c r="AI2434">
        <v>24450</v>
      </c>
      <c r="AJ2434" t="s">
        <v>561</v>
      </c>
      <c r="AK2434" t="s">
        <v>562</v>
      </c>
      <c r="AL2434" t="s">
        <v>601</v>
      </c>
      <c r="AM2434">
        <v>2021</v>
      </c>
      <c r="AN2434">
        <v>2019</v>
      </c>
      <c r="AO2434">
        <f>IF(AND(emissions[[#This Row],[Market-based]]=0,emissions[[#This Row],[Impact Type]]="CO2E"),emissions[[#This Row],[kgCO2e]],0)/1000</f>
        <v>0</v>
      </c>
      <c r="AP2434">
        <f>IF(AND(emissions[[#This Row],[Market-based]]=1,OR(emissions[[#This Row],[Impact Type]]="CO2E",emissions[[#This Row],[Impact Type]]="CO2E MKT")),emissions[[#This Row],[kgCO2e]],0)/1000</f>
        <v>0</v>
      </c>
      <c r="AQ2434" t="str">
        <f>_xlfn.TEXTAFTER(emissions[[#This Row],[Reporting Unit]]," &gt; ",LEN(emissions[[#This Row],[Reporting Unit]])-LEN(SUBSTITUTE(emissions[[#This Row],[Reporting Unit]],"&gt;","")))</f>
        <v>Vantage_Sao Paulo</v>
      </c>
      <c r="AR2434" t="str">
        <f>_xlfn.XLOOKUP(emissions[[#This Row],[Reporting unit name]],hierarchy!$A:$A,hierarchy!$C:$C)</f>
        <v>Unspecified Facility Type</v>
      </c>
    </row>
    <row r="2435" spans="1:44" hidden="1" x14ac:dyDescent="0.25">
      <c r="A2435">
        <v>4961</v>
      </c>
      <c r="B2435" t="s">
        <v>210</v>
      </c>
      <c r="C2435" t="s">
        <v>525</v>
      </c>
      <c r="D2435" t="s">
        <v>599</v>
      </c>
      <c r="E2435" s="3">
        <v>44197</v>
      </c>
      <c r="F2435" s="3">
        <v>44561</v>
      </c>
      <c r="G2435" t="s">
        <v>108</v>
      </c>
      <c r="H2435" s="3">
        <v>44197</v>
      </c>
      <c r="I2435" s="3">
        <v>44561</v>
      </c>
      <c r="J2435" t="s">
        <v>108</v>
      </c>
      <c r="K2435">
        <v>24450</v>
      </c>
      <c r="L2435" t="s">
        <v>109</v>
      </c>
      <c r="M2435" t="s">
        <v>110</v>
      </c>
      <c r="O2435" t="s">
        <v>600</v>
      </c>
      <c r="P2435" t="s">
        <v>550</v>
      </c>
      <c r="Q2435">
        <v>2021</v>
      </c>
      <c r="R2435" t="s">
        <v>551</v>
      </c>
      <c r="S2435" t="s">
        <v>552</v>
      </c>
      <c r="T2435" t="s">
        <v>553</v>
      </c>
      <c r="U2435" t="b">
        <v>0</v>
      </c>
      <c r="V2435" t="s">
        <v>1054</v>
      </c>
      <c r="W2435" t="s">
        <v>555</v>
      </c>
      <c r="X2435" t="s">
        <v>556</v>
      </c>
      <c r="Y2435" t="s">
        <v>472</v>
      </c>
      <c r="Z2435" t="s">
        <v>491</v>
      </c>
      <c r="AA2435" t="s">
        <v>1055</v>
      </c>
      <c r="AC2435">
        <v>0</v>
      </c>
      <c r="AD2435" t="s">
        <v>565</v>
      </c>
      <c r="AE2435">
        <v>2552.58</v>
      </c>
      <c r="AF2435" t="s">
        <v>559</v>
      </c>
      <c r="AG2435" t="s">
        <v>560</v>
      </c>
      <c r="AH2435">
        <v>1</v>
      </c>
      <c r="AI2435">
        <v>24450</v>
      </c>
      <c r="AJ2435" t="s">
        <v>561</v>
      </c>
      <c r="AK2435" t="s">
        <v>562</v>
      </c>
      <c r="AL2435" t="s">
        <v>601</v>
      </c>
      <c r="AM2435">
        <v>2021</v>
      </c>
      <c r="AN2435">
        <v>2019</v>
      </c>
      <c r="AO2435">
        <f>IF(AND(emissions[[#This Row],[Market-based]]=0,emissions[[#This Row],[Impact Type]]="CO2E"),emissions[[#This Row],[kgCO2e]],0)/1000</f>
        <v>2.5525799999999998</v>
      </c>
      <c r="AP2435">
        <f>IF(AND(emissions[[#This Row],[Market-based]]=1,OR(emissions[[#This Row],[Impact Type]]="CO2E",emissions[[#This Row],[Impact Type]]="CO2E MKT")),emissions[[#This Row],[kgCO2e]],0)/1000</f>
        <v>0</v>
      </c>
      <c r="AQ2435" t="str">
        <f>_xlfn.TEXTAFTER(emissions[[#This Row],[Reporting Unit]]," &gt; ",LEN(emissions[[#This Row],[Reporting Unit]])-LEN(SUBSTITUTE(emissions[[#This Row],[Reporting Unit]],"&gt;","")))</f>
        <v>Vantage_Sao Paulo</v>
      </c>
      <c r="AR2435" t="str">
        <f>_xlfn.XLOOKUP(emissions[[#This Row],[Reporting unit name]],hierarchy!$A:$A,hierarchy!$C:$C)</f>
        <v>Unspecified Facility Type</v>
      </c>
    </row>
    <row r="2436" spans="1:44" hidden="1" x14ac:dyDescent="0.25">
      <c r="A2436">
        <v>4961</v>
      </c>
      <c r="B2436" t="s">
        <v>210</v>
      </c>
      <c r="C2436" t="s">
        <v>525</v>
      </c>
      <c r="D2436" t="s">
        <v>599</v>
      </c>
      <c r="E2436" s="3">
        <v>44197</v>
      </c>
      <c r="F2436" s="3">
        <v>44561</v>
      </c>
      <c r="G2436" t="s">
        <v>108</v>
      </c>
      <c r="H2436" s="3">
        <v>44197</v>
      </c>
      <c r="I2436" s="3">
        <v>44561</v>
      </c>
      <c r="J2436" t="s">
        <v>108</v>
      </c>
      <c r="K2436">
        <v>24450</v>
      </c>
      <c r="L2436" t="s">
        <v>109</v>
      </c>
      <c r="M2436" t="s">
        <v>110</v>
      </c>
      <c r="O2436" t="s">
        <v>600</v>
      </c>
      <c r="P2436" t="s">
        <v>550</v>
      </c>
      <c r="Q2436">
        <v>2021</v>
      </c>
      <c r="R2436" t="s">
        <v>551</v>
      </c>
      <c r="S2436" t="s">
        <v>552</v>
      </c>
      <c r="T2436" t="s">
        <v>553</v>
      </c>
      <c r="U2436" t="b">
        <v>0</v>
      </c>
      <c r="V2436" t="s">
        <v>1054</v>
      </c>
      <c r="W2436" t="s">
        <v>555</v>
      </c>
      <c r="X2436" t="s">
        <v>556</v>
      </c>
      <c r="Y2436" t="s">
        <v>472</v>
      </c>
      <c r="Z2436" t="s">
        <v>491</v>
      </c>
      <c r="AA2436" t="s">
        <v>1055</v>
      </c>
      <c r="AC2436">
        <v>0</v>
      </c>
      <c r="AD2436" t="s">
        <v>566</v>
      </c>
      <c r="AE2436">
        <v>4.8899999999999997</v>
      </c>
      <c r="AF2436" t="s">
        <v>559</v>
      </c>
      <c r="AG2436" t="s">
        <v>560</v>
      </c>
      <c r="AH2436">
        <v>1</v>
      </c>
      <c r="AI2436">
        <v>24450</v>
      </c>
      <c r="AJ2436" t="s">
        <v>561</v>
      </c>
      <c r="AK2436" t="s">
        <v>562</v>
      </c>
      <c r="AL2436" t="s">
        <v>601</v>
      </c>
      <c r="AM2436">
        <v>2021</v>
      </c>
      <c r="AN2436">
        <v>2019</v>
      </c>
      <c r="AO2436">
        <f>IF(AND(emissions[[#This Row],[Market-based]]=0,emissions[[#This Row],[Impact Type]]="CO2E"),emissions[[#This Row],[kgCO2e]],0)/1000</f>
        <v>0</v>
      </c>
      <c r="AP2436">
        <f>IF(AND(emissions[[#This Row],[Market-based]]=1,OR(emissions[[#This Row],[Impact Type]]="CO2E",emissions[[#This Row],[Impact Type]]="CO2E MKT")),emissions[[#This Row],[kgCO2e]],0)/1000</f>
        <v>0</v>
      </c>
      <c r="AQ2436" t="str">
        <f>_xlfn.TEXTAFTER(emissions[[#This Row],[Reporting Unit]]," &gt; ",LEN(emissions[[#This Row],[Reporting Unit]])-LEN(SUBSTITUTE(emissions[[#This Row],[Reporting Unit]],"&gt;","")))</f>
        <v>Vantage_Sao Paulo</v>
      </c>
      <c r="AR2436" t="str">
        <f>_xlfn.XLOOKUP(emissions[[#This Row],[Reporting unit name]],hierarchy!$A:$A,hierarchy!$C:$C)</f>
        <v>Unspecified Facility Type</v>
      </c>
    </row>
    <row r="2437" spans="1:44" hidden="1" x14ac:dyDescent="0.25">
      <c r="A2437">
        <v>4961</v>
      </c>
      <c r="B2437" t="s">
        <v>210</v>
      </c>
      <c r="C2437" t="s">
        <v>525</v>
      </c>
      <c r="D2437" t="s">
        <v>599</v>
      </c>
      <c r="E2437" s="3">
        <v>44197</v>
      </c>
      <c r="F2437" s="3">
        <v>44561</v>
      </c>
      <c r="G2437" t="s">
        <v>108</v>
      </c>
      <c r="H2437" s="3">
        <v>44197</v>
      </c>
      <c r="I2437" s="3">
        <v>44561</v>
      </c>
      <c r="J2437" t="s">
        <v>108</v>
      </c>
      <c r="K2437">
        <v>24450</v>
      </c>
      <c r="L2437" t="s">
        <v>109</v>
      </c>
      <c r="M2437" t="s">
        <v>110</v>
      </c>
      <c r="O2437" t="s">
        <v>600</v>
      </c>
      <c r="P2437" t="s">
        <v>550</v>
      </c>
      <c r="Q2437">
        <v>2021</v>
      </c>
      <c r="R2437" t="s">
        <v>551</v>
      </c>
      <c r="S2437" t="s">
        <v>552</v>
      </c>
      <c r="T2437" t="s">
        <v>553</v>
      </c>
      <c r="U2437" t="b">
        <v>0</v>
      </c>
      <c r="V2437" t="s">
        <v>1054</v>
      </c>
      <c r="W2437" t="s">
        <v>555</v>
      </c>
      <c r="X2437" t="s">
        <v>556</v>
      </c>
      <c r="Y2437" t="s">
        <v>472</v>
      </c>
      <c r="Z2437" t="s">
        <v>491</v>
      </c>
      <c r="AA2437" t="s">
        <v>1055</v>
      </c>
      <c r="AC2437">
        <v>1</v>
      </c>
      <c r="AD2437" t="s">
        <v>558</v>
      </c>
      <c r="AE2437">
        <v>2.4449999999999998</v>
      </c>
      <c r="AF2437" t="s">
        <v>559</v>
      </c>
      <c r="AG2437" t="s">
        <v>560</v>
      </c>
      <c r="AH2437">
        <v>1</v>
      </c>
      <c r="AI2437">
        <v>24450</v>
      </c>
      <c r="AJ2437" t="s">
        <v>561</v>
      </c>
      <c r="AK2437" t="s">
        <v>562</v>
      </c>
      <c r="AL2437" t="s">
        <v>601</v>
      </c>
      <c r="AM2437">
        <v>2021</v>
      </c>
      <c r="AN2437">
        <v>2019</v>
      </c>
      <c r="AO2437">
        <f>IF(AND(emissions[[#This Row],[Market-based]]=0,emissions[[#This Row],[Impact Type]]="CO2E"),emissions[[#This Row],[kgCO2e]],0)/1000</f>
        <v>0</v>
      </c>
      <c r="AP2437">
        <f>IF(AND(emissions[[#This Row],[Market-based]]=1,OR(emissions[[#This Row],[Impact Type]]="CO2E",emissions[[#This Row],[Impact Type]]="CO2E MKT")),emissions[[#This Row],[kgCO2e]],0)/1000</f>
        <v>0</v>
      </c>
      <c r="AQ2437" t="str">
        <f>_xlfn.TEXTAFTER(emissions[[#This Row],[Reporting Unit]]," &gt; ",LEN(emissions[[#This Row],[Reporting Unit]])-LEN(SUBSTITUTE(emissions[[#This Row],[Reporting Unit]],"&gt;","")))</f>
        <v>Vantage_Sao Paulo</v>
      </c>
      <c r="AR2437" t="str">
        <f>_xlfn.XLOOKUP(emissions[[#This Row],[Reporting unit name]],hierarchy!$A:$A,hierarchy!$C:$C)</f>
        <v>Unspecified Facility Type</v>
      </c>
    </row>
    <row r="2438" spans="1:44" hidden="1" x14ac:dyDescent="0.25">
      <c r="A2438">
        <v>4961</v>
      </c>
      <c r="B2438" t="s">
        <v>210</v>
      </c>
      <c r="C2438" t="s">
        <v>525</v>
      </c>
      <c r="D2438" t="s">
        <v>599</v>
      </c>
      <c r="E2438" s="3">
        <v>44197</v>
      </c>
      <c r="F2438" s="3">
        <v>44561</v>
      </c>
      <c r="G2438" t="s">
        <v>108</v>
      </c>
      <c r="H2438" s="3">
        <v>44197</v>
      </c>
      <c r="I2438" s="3">
        <v>44561</v>
      </c>
      <c r="J2438" t="s">
        <v>108</v>
      </c>
      <c r="K2438">
        <v>24450</v>
      </c>
      <c r="L2438" t="s">
        <v>109</v>
      </c>
      <c r="M2438" t="s">
        <v>110</v>
      </c>
      <c r="O2438" t="s">
        <v>600</v>
      </c>
      <c r="P2438" t="s">
        <v>550</v>
      </c>
      <c r="Q2438">
        <v>2021</v>
      </c>
      <c r="R2438" t="s">
        <v>551</v>
      </c>
      <c r="S2438" t="s">
        <v>552</v>
      </c>
      <c r="T2438" t="s">
        <v>553</v>
      </c>
      <c r="U2438" t="b">
        <v>0</v>
      </c>
      <c r="V2438" t="s">
        <v>1054</v>
      </c>
      <c r="W2438" t="s">
        <v>555</v>
      </c>
      <c r="X2438" t="s">
        <v>556</v>
      </c>
      <c r="Y2438" t="s">
        <v>472</v>
      </c>
      <c r="Z2438" t="s">
        <v>491</v>
      </c>
      <c r="AA2438" t="s">
        <v>1055</v>
      </c>
      <c r="AC2438">
        <v>1</v>
      </c>
      <c r="AD2438" t="s">
        <v>564</v>
      </c>
      <c r="AE2438">
        <v>2545.2449999999999</v>
      </c>
      <c r="AF2438" t="s">
        <v>559</v>
      </c>
      <c r="AG2438" t="s">
        <v>560</v>
      </c>
      <c r="AH2438">
        <v>1</v>
      </c>
      <c r="AI2438">
        <v>24450</v>
      </c>
      <c r="AJ2438" t="s">
        <v>561</v>
      </c>
      <c r="AK2438" t="s">
        <v>562</v>
      </c>
      <c r="AL2438" t="s">
        <v>601</v>
      </c>
      <c r="AM2438">
        <v>2021</v>
      </c>
      <c r="AN2438">
        <v>2019</v>
      </c>
      <c r="AO2438">
        <f>IF(AND(emissions[[#This Row],[Market-based]]=0,emissions[[#This Row],[Impact Type]]="CO2E"),emissions[[#This Row],[kgCO2e]],0)/1000</f>
        <v>0</v>
      </c>
      <c r="AP2438">
        <f>IF(AND(emissions[[#This Row],[Market-based]]=1,OR(emissions[[#This Row],[Impact Type]]="CO2E",emissions[[#This Row],[Impact Type]]="CO2E MKT")),emissions[[#This Row],[kgCO2e]],0)/1000</f>
        <v>0</v>
      </c>
      <c r="AQ2438" t="str">
        <f>_xlfn.TEXTAFTER(emissions[[#This Row],[Reporting Unit]]," &gt; ",LEN(emissions[[#This Row],[Reporting Unit]])-LEN(SUBSTITUTE(emissions[[#This Row],[Reporting Unit]],"&gt;","")))</f>
        <v>Vantage_Sao Paulo</v>
      </c>
      <c r="AR2438" t="str">
        <f>_xlfn.XLOOKUP(emissions[[#This Row],[Reporting unit name]],hierarchy!$A:$A,hierarchy!$C:$C)</f>
        <v>Unspecified Facility Type</v>
      </c>
    </row>
    <row r="2439" spans="1:44" hidden="1" x14ac:dyDescent="0.25">
      <c r="A2439">
        <v>4961</v>
      </c>
      <c r="B2439" t="s">
        <v>210</v>
      </c>
      <c r="C2439" t="s">
        <v>525</v>
      </c>
      <c r="D2439" t="s">
        <v>599</v>
      </c>
      <c r="E2439" s="3">
        <v>44197</v>
      </c>
      <c r="F2439" s="3">
        <v>44561</v>
      </c>
      <c r="G2439" t="s">
        <v>108</v>
      </c>
      <c r="H2439" s="3">
        <v>44197</v>
      </c>
      <c r="I2439" s="3">
        <v>44561</v>
      </c>
      <c r="J2439" t="s">
        <v>108</v>
      </c>
      <c r="K2439">
        <v>24450</v>
      </c>
      <c r="L2439" t="s">
        <v>109</v>
      </c>
      <c r="M2439" t="s">
        <v>110</v>
      </c>
      <c r="O2439" t="s">
        <v>600</v>
      </c>
      <c r="P2439" t="s">
        <v>550</v>
      </c>
      <c r="Q2439">
        <v>2021</v>
      </c>
      <c r="R2439" t="s">
        <v>551</v>
      </c>
      <c r="S2439" t="s">
        <v>552</v>
      </c>
      <c r="T2439" t="s">
        <v>553</v>
      </c>
      <c r="U2439" t="b">
        <v>0</v>
      </c>
      <c r="V2439" t="s">
        <v>1054</v>
      </c>
      <c r="W2439" t="s">
        <v>555</v>
      </c>
      <c r="X2439" t="s">
        <v>556</v>
      </c>
      <c r="Y2439" t="s">
        <v>472</v>
      </c>
      <c r="Z2439" t="s">
        <v>491</v>
      </c>
      <c r="AA2439" t="s">
        <v>1055</v>
      </c>
      <c r="AC2439">
        <v>1</v>
      </c>
      <c r="AD2439" t="s">
        <v>565</v>
      </c>
      <c r="AE2439">
        <v>2552.58</v>
      </c>
      <c r="AF2439" t="s">
        <v>559</v>
      </c>
      <c r="AG2439" t="s">
        <v>560</v>
      </c>
      <c r="AH2439">
        <v>1</v>
      </c>
      <c r="AI2439">
        <v>24450</v>
      </c>
      <c r="AJ2439" t="s">
        <v>561</v>
      </c>
      <c r="AK2439" t="s">
        <v>562</v>
      </c>
      <c r="AL2439" t="s">
        <v>601</v>
      </c>
      <c r="AM2439">
        <v>2021</v>
      </c>
      <c r="AN2439">
        <v>2019</v>
      </c>
      <c r="AO2439">
        <f>IF(AND(emissions[[#This Row],[Market-based]]=0,emissions[[#This Row],[Impact Type]]="CO2E"),emissions[[#This Row],[kgCO2e]],0)/1000</f>
        <v>0</v>
      </c>
      <c r="AP2439">
        <f>IF(AND(emissions[[#This Row],[Market-based]]=1,OR(emissions[[#This Row],[Impact Type]]="CO2E",emissions[[#This Row],[Impact Type]]="CO2E MKT")),emissions[[#This Row],[kgCO2e]],0)/1000</f>
        <v>2.5525799999999998</v>
      </c>
      <c r="AQ2439" t="str">
        <f>_xlfn.TEXTAFTER(emissions[[#This Row],[Reporting Unit]]," &gt; ",LEN(emissions[[#This Row],[Reporting Unit]])-LEN(SUBSTITUTE(emissions[[#This Row],[Reporting Unit]],"&gt;","")))</f>
        <v>Vantage_Sao Paulo</v>
      </c>
      <c r="AR2439" t="str">
        <f>_xlfn.XLOOKUP(emissions[[#This Row],[Reporting unit name]],hierarchy!$A:$A,hierarchy!$C:$C)</f>
        <v>Unspecified Facility Type</v>
      </c>
    </row>
    <row r="2440" spans="1:44" hidden="1" x14ac:dyDescent="0.25">
      <c r="A2440">
        <v>4961</v>
      </c>
      <c r="B2440" t="s">
        <v>210</v>
      </c>
      <c r="C2440" t="s">
        <v>525</v>
      </c>
      <c r="D2440" t="s">
        <v>599</v>
      </c>
      <c r="E2440" s="3">
        <v>44197</v>
      </c>
      <c r="F2440" s="3">
        <v>44561</v>
      </c>
      <c r="G2440" t="s">
        <v>108</v>
      </c>
      <c r="H2440" s="3">
        <v>44197</v>
      </c>
      <c r="I2440" s="3">
        <v>44561</v>
      </c>
      <c r="J2440" t="s">
        <v>108</v>
      </c>
      <c r="K2440">
        <v>24450</v>
      </c>
      <c r="L2440" t="s">
        <v>109</v>
      </c>
      <c r="M2440" t="s">
        <v>110</v>
      </c>
      <c r="O2440" t="s">
        <v>600</v>
      </c>
      <c r="P2440" t="s">
        <v>550</v>
      </c>
      <c r="Q2440">
        <v>2021</v>
      </c>
      <c r="R2440" t="s">
        <v>551</v>
      </c>
      <c r="S2440" t="s">
        <v>552</v>
      </c>
      <c r="T2440" t="s">
        <v>553</v>
      </c>
      <c r="U2440" t="b">
        <v>0</v>
      </c>
      <c r="V2440" t="s">
        <v>1054</v>
      </c>
      <c r="W2440" t="s">
        <v>555</v>
      </c>
      <c r="X2440" t="s">
        <v>556</v>
      </c>
      <c r="Y2440" t="s">
        <v>472</v>
      </c>
      <c r="Z2440" t="s">
        <v>491</v>
      </c>
      <c r="AA2440" t="s">
        <v>1055</v>
      </c>
      <c r="AC2440">
        <v>1</v>
      </c>
      <c r="AD2440" t="s">
        <v>566</v>
      </c>
      <c r="AE2440">
        <v>4.8899999999999997</v>
      </c>
      <c r="AF2440" t="s">
        <v>559</v>
      </c>
      <c r="AG2440" t="s">
        <v>560</v>
      </c>
      <c r="AH2440">
        <v>1</v>
      </c>
      <c r="AI2440">
        <v>24450</v>
      </c>
      <c r="AJ2440" t="s">
        <v>561</v>
      </c>
      <c r="AK2440" t="s">
        <v>562</v>
      </c>
      <c r="AL2440" t="s">
        <v>601</v>
      </c>
      <c r="AM2440">
        <v>2021</v>
      </c>
      <c r="AN2440">
        <v>2019</v>
      </c>
      <c r="AO2440">
        <f>IF(AND(emissions[[#This Row],[Market-based]]=0,emissions[[#This Row],[Impact Type]]="CO2E"),emissions[[#This Row],[kgCO2e]],0)/1000</f>
        <v>0</v>
      </c>
      <c r="AP2440">
        <f>IF(AND(emissions[[#This Row],[Market-based]]=1,OR(emissions[[#This Row],[Impact Type]]="CO2E",emissions[[#This Row],[Impact Type]]="CO2E MKT")),emissions[[#This Row],[kgCO2e]],0)/1000</f>
        <v>0</v>
      </c>
      <c r="AQ2440" t="str">
        <f>_xlfn.TEXTAFTER(emissions[[#This Row],[Reporting Unit]]," &gt; ",LEN(emissions[[#This Row],[Reporting Unit]])-LEN(SUBSTITUTE(emissions[[#This Row],[Reporting Unit]],"&gt;","")))</f>
        <v>Vantage_Sao Paulo</v>
      </c>
      <c r="AR2440" t="str">
        <f>_xlfn.XLOOKUP(emissions[[#This Row],[Reporting unit name]],hierarchy!$A:$A,hierarchy!$C:$C)</f>
        <v>Unspecified Facility Type</v>
      </c>
    </row>
    <row r="2441" spans="1:44" hidden="1" x14ac:dyDescent="0.25">
      <c r="A2441">
        <v>4961</v>
      </c>
      <c r="B2441" t="s">
        <v>210</v>
      </c>
      <c r="C2441" t="s">
        <v>525</v>
      </c>
      <c r="D2441" t="s">
        <v>599</v>
      </c>
      <c r="E2441" s="3">
        <v>44197</v>
      </c>
      <c r="F2441" s="3">
        <v>44561</v>
      </c>
      <c r="G2441" t="s">
        <v>108</v>
      </c>
      <c r="H2441" s="3">
        <v>44197</v>
      </c>
      <c r="I2441" s="3">
        <v>44561</v>
      </c>
      <c r="J2441" t="s">
        <v>108</v>
      </c>
      <c r="K2441">
        <v>24450</v>
      </c>
      <c r="L2441" t="s">
        <v>109</v>
      </c>
      <c r="M2441" t="s">
        <v>110</v>
      </c>
      <c r="O2441" t="s">
        <v>600</v>
      </c>
      <c r="P2441" t="s">
        <v>550</v>
      </c>
      <c r="Q2441">
        <v>2021</v>
      </c>
      <c r="R2441" t="s">
        <v>567</v>
      </c>
      <c r="S2441" t="s">
        <v>568</v>
      </c>
      <c r="T2441" t="s">
        <v>569</v>
      </c>
      <c r="U2441" t="b">
        <v>0</v>
      </c>
      <c r="V2441" t="s">
        <v>1062</v>
      </c>
      <c r="W2441" t="s">
        <v>571</v>
      </c>
      <c r="X2441" t="s">
        <v>572</v>
      </c>
      <c r="Y2441" t="s">
        <v>472</v>
      </c>
      <c r="Z2441" t="s">
        <v>491</v>
      </c>
      <c r="AA2441" t="s">
        <v>1055</v>
      </c>
      <c r="AC2441">
        <v>0</v>
      </c>
      <c r="AD2441" t="s">
        <v>565</v>
      </c>
      <c r="AE2441">
        <v>62.374529809999999</v>
      </c>
      <c r="AF2441">
        <v>2.551106E-3</v>
      </c>
      <c r="AG2441" t="s">
        <v>560</v>
      </c>
      <c r="AH2441">
        <v>1</v>
      </c>
      <c r="AI2441">
        <v>24450</v>
      </c>
      <c r="AJ2441" t="s">
        <v>561</v>
      </c>
      <c r="AK2441" t="s">
        <v>589</v>
      </c>
      <c r="AL2441" t="s">
        <v>603</v>
      </c>
      <c r="AM2441">
        <v>2021</v>
      </c>
      <c r="AN2441">
        <v>2019</v>
      </c>
      <c r="AO2441">
        <f>IF(AND(emissions[[#This Row],[Market-based]]=0,emissions[[#This Row],[Impact Type]]="CO2E"),emissions[[#This Row],[kgCO2e]],0)/1000</f>
        <v>6.2374529809999996E-2</v>
      </c>
      <c r="AP2441">
        <f>IF(AND(emissions[[#This Row],[Market-based]]=1,OR(emissions[[#This Row],[Impact Type]]="CO2E",emissions[[#This Row],[Impact Type]]="CO2E MKT")),emissions[[#This Row],[kgCO2e]],0)/1000</f>
        <v>0</v>
      </c>
      <c r="AQ2441" t="str">
        <f>_xlfn.TEXTAFTER(emissions[[#This Row],[Reporting Unit]]," &gt; ",LEN(emissions[[#This Row],[Reporting Unit]])-LEN(SUBSTITUTE(emissions[[#This Row],[Reporting Unit]],"&gt;","")))</f>
        <v>Vantage_Sao Paulo</v>
      </c>
      <c r="AR2441" t="str">
        <f>_xlfn.XLOOKUP(emissions[[#This Row],[Reporting unit name]],hierarchy!$A:$A,hierarchy!$C:$C)</f>
        <v>Unspecified Facility Type</v>
      </c>
    </row>
    <row r="2442" spans="1:44" hidden="1" x14ac:dyDescent="0.25">
      <c r="A2442">
        <v>4961</v>
      </c>
      <c r="B2442" t="s">
        <v>210</v>
      </c>
      <c r="C2442" t="s">
        <v>525</v>
      </c>
      <c r="D2442" t="s">
        <v>599</v>
      </c>
      <c r="E2442" s="3">
        <v>44197</v>
      </c>
      <c r="F2442" s="3">
        <v>44561</v>
      </c>
      <c r="G2442" t="s">
        <v>108</v>
      </c>
      <c r="H2442" s="3">
        <v>44197</v>
      </c>
      <c r="I2442" s="3">
        <v>44561</v>
      </c>
      <c r="J2442" t="s">
        <v>108</v>
      </c>
      <c r="K2442">
        <v>24450</v>
      </c>
      <c r="L2442" t="s">
        <v>109</v>
      </c>
      <c r="M2442" t="s">
        <v>110</v>
      </c>
      <c r="O2442" t="s">
        <v>600</v>
      </c>
      <c r="P2442" t="s">
        <v>550</v>
      </c>
      <c r="Q2442">
        <v>2021</v>
      </c>
      <c r="R2442" t="s">
        <v>567</v>
      </c>
      <c r="S2442" t="s">
        <v>568</v>
      </c>
      <c r="T2442" t="s">
        <v>569</v>
      </c>
      <c r="U2442" t="b">
        <v>0</v>
      </c>
      <c r="V2442" t="s">
        <v>1062</v>
      </c>
      <c r="W2442" t="s">
        <v>571</v>
      </c>
      <c r="X2442" t="s">
        <v>572</v>
      </c>
      <c r="Y2442" t="s">
        <v>472</v>
      </c>
      <c r="Z2442" t="s">
        <v>491</v>
      </c>
      <c r="AA2442" t="s">
        <v>1055</v>
      </c>
      <c r="AC2442">
        <v>1</v>
      </c>
      <c r="AD2442" t="s">
        <v>565</v>
      </c>
      <c r="AE2442">
        <v>62.374529809999999</v>
      </c>
      <c r="AF2442">
        <v>2.551106E-3</v>
      </c>
      <c r="AG2442" t="s">
        <v>560</v>
      </c>
      <c r="AH2442">
        <v>1</v>
      </c>
      <c r="AI2442">
        <v>24450</v>
      </c>
      <c r="AJ2442" t="s">
        <v>561</v>
      </c>
      <c r="AK2442" t="s">
        <v>589</v>
      </c>
      <c r="AL2442" t="s">
        <v>603</v>
      </c>
      <c r="AM2442">
        <v>2021</v>
      </c>
      <c r="AN2442">
        <v>2019</v>
      </c>
      <c r="AO2442">
        <f>IF(AND(emissions[[#This Row],[Market-based]]=0,emissions[[#This Row],[Impact Type]]="CO2E"),emissions[[#This Row],[kgCO2e]],0)/1000</f>
        <v>0</v>
      </c>
      <c r="AP2442">
        <f>IF(AND(emissions[[#This Row],[Market-based]]=1,OR(emissions[[#This Row],[Impact Type]]="CO2E",emissions[[#This Row],[Impact Type]]="CO2E MKT")),emissions[[#This Row],[kgCO2e]],0)/1000</f>
        <v>6.2374529809999996E-2</v>
      </c>
      <c r="AQ2442" t="str">
        <f>_xlfn.TEXTAFTER(emissions[[#This Row],[Reporting Unit]]," &gt; ",LEN(emissions[[#This Row],[Reporting Unit]])-LEN(SUBSTITUTE(emissions[[#This Row],[Reporting Unit]],"&gt;","")))</f>
        <v>Vantage_Sao Paulo</v>
      </c>
      <c r="AR2442" t="str">
        <f>_xlfn.XLOOKUP(emissions[[#This Row],[Reporting unit name]],hierarchy!$A:$A,hierarchy!$C:$C)</f>
        <v>Unspecified Facility Type</v>
      </c>
    </row>
    <row r="2443" spans="1:44" hidden="1" x14ac:dyDescent="0.25">
      <c r="A2443">
        <v>4961</v>
      </c>
      <c r="B2443" t="s">
        <v>210</v>
      </c>
      <c r="C2443" t="s">
        <v>525</v>
      </c>
      <c r="D2443" t="s">
        <v>599</v>
      </c>
      <c r="E2443" s="3">
        <v>44197</v>
      </c>
      <c r="F2443" s="3">
        <v>44561</v>
      </c>
      <c r="G2443" t="s">
        <v>108</v>
      </c>
      <c r="H2443" s="3">
        <v>44197</v>
      </c>
      <c r="I2443" s="3">
        <v>44561</v>
      </c>
      <c r="J2443" t="s">
        <v>108</v>
      </c>
      <c r="K2443">
        <v>24450</v>
      </c>
      <c r="L2443" t="s">
        <v>109</v>
      </c>
      <c r="M2443" t="s">
        <v>110</v>
      </c>
      <c r="O2443" t="s">
        <v>600</v>
      </c>
      <c r="P2443" t="s">
        <v>550</v>
      </c>
      <c r="Q2443">
        <v>2021</v>
      </c>
      <c r="R2443" t="s">
        <v>575</v>
      </c>
      <c r="S2443" t="s">
        <v>576</v>
      </c>
      <c r="T2443" t="s">
        <v>577</v>
      </c>
      <c r="U2443" t="b">
        <v>0</v>
      </c>
      <c r="V2443" t="s">
        <v>1063</v>
      </c>
      <c r="W2443" t="s">
        <v>571</v>
      </c>
      <c r="X2443" t="s">
        <v>572</v>
      </c>
      <c r="Y2443" t="s">
        <v>472</v>
      </c>
      <c r="Z2443" t="s">
        <v>491</v>
      </c>
      <c r="AA2443" t="s">
        <v>1055</v>
      </c>
      <c r="AC2443">
        <v>0</v>
      </c>
      <c r="AD2443" t="s">
        <v>565</v>
      </c>
      <c r="AE2443">
        <v>323.30054899999999</v>
      </c>
      <c r="AF2443">
        <v>1.3222925999999999E-2</v>
      </c>
      <c r="AG2443" t="s">
        <v>560</v>
      </c>
      <c r="AH2443">
        <v>1</v>
      </c>
      <c r="AI2443">
        <v>24450</v>
      </c>
      <c r="AJ2443" t="s">
        <v>561</v>
      </c>
      <c r="AK2443" t="s">
        <v>589</v>
      </c>
      <c r="AL2443" t="s">
        <v>603</v>
      </c>
      <c r="AM2443">
        <v>2021</v>
      </c>
      <c r="AN2443">
        <v>2019</v>
      </c>
      <c r="AO2443">
        <f>IF(AND(emissions[[#This Row],[Market-based]]=0,emissions[[#This Row],[Impact Type]]="CO2E"),emissions[[#This Row],[kgCO2e]],0)/1000</f>
        <v>0.32330054899999999</v>
      </c>
      <c r="AP2443">
        <f>IF(AND(emissions[[#This Row],[Market-based]]=1,OR(emissions[[#This Row],[Impact Type]]="CO2E",emissions[[#This Row],[Impact Type]]="CO2E MKT")),emissions[[#This Row],[kgCO2e]],0)/1000</f>
        <v>0</v>
      </c>
      <c r="AQ2443" t="str">
        <f>_xlfn.TEXTAFTER(emissions[[#This Row],[Reporting Unit]]," &gt; ",LEN(emissions[[#This Row],[Reporting Unit]])-LEN(SUBSTITUTE(emissions[[#This Row],[Reporting Unit]],"&gt;","")))</f>
        <v>Vantage_Sao Paulo</v>
      </c>
      <c r="AR2443" t="str">
        <f>_xlfn.XLOOKUP(emissions[[#This Row],[Reporting unit name]],hierarchy!$A:$A,hierarchy!$C:$C)</f>
        <v>Unspecified Facility Type</v>
      </c>
    </row>
    <row r="2444" spans="1:44" hidden="1" x14ac:dyDescent="0.25">
      <c r="A2444">
        <v>4961</v>
      </c>
      <c r="B2444" t="s">
        <v>210</v>
      </c>
      <c r="C2444" t="s">
        <v>525</v>
      </c>
      <c r="D2444" t="s">
        <v>599</v>
      </c>
      <c r="E2444" s="3">
        <v>44197</v>
      </c>
      <c r="F2444" s="3">
        <v>44561</v>
      </c>
      <c r="G2444" t="s">
        <v>108</v>
      </c>
      <c r="H2444" s="3">
        <v>44197</v>
      </c>
      <c r="I2444" s="3">
        <v>44561</v>
      </c>
      <c r="J2444" t="s">
        <v>108</v>
      </c>
      <c r="K2444">
        <v>24450</v>
      </c>
      <c r="L2444" t="s">
        <v>109</v>
      </c>
      <c r="M2444" t="s">
        <v>110</v>
      </c>
      <c r="O2444" t="s">
        <v>600</v>
      </c>
      <c r="P2444" t="s">
        <v>550</v>
      </c>
      <c r="Q2444">
        <v>2021</v>
      </c>
      <c r="R2444" t="s">
        <v>575</v>
      </c>
      <c r="S2444" t="s">
        <v>576</v>
      </c>
      <c r="T2444" t="s">
        <v>577</v>
      </c>
      <c r="U2444" t="b">
        <v>0</v>
      </c>
      <c r="V2444" t="s">
        <v>1063</v>
      </c>
      <c r="W2444" t="s">
        <v>571</v>
      </c>
      <c r="X2444" t="s">
        <v>572</v>
      </c>
      <c r="Y2444" t="s">
        <v>472</v>
      </c>
      <c r="Z2444" t="s">
        <v>491</v>
      </c>
      <c r="AA2444" t="s">
        <v>1055</v>
      </c>
      <c r="AC2444">
        <v>1</v>
      </c>
      <c r="AD2444" t="s">
        <v>565</v>
      </c>
      <c r="AE2444">
        <v>323.30054899999999</v>
      </c>
      <c r="AF2444">
        <v>1.3222925999999999E-2</v>
      </c>
      <c r="AG2444" t="s">
        <v>560</v>
      </c>
      <c r="AH2444">
        <v>1</v>
      </c>
      <c r="AI2444">
        <v>24450</v>
      </c>
      <c r="AJ2444" t="s">
        <v>561</v>
      </c>
      <c r="AK2444" t="s">
        <v>589</v>
      </c>
      <c r="AL2444" t="s">
        <v>603</v>
      </c>
      <c r="AM2444">
        <v>2021</v>
      </c>
      <c r="AN2444">
        <v>2019</v>
      </c>
      <c r="AO2444">
        <f>IF(AND(emissions[[#This Row],[Market-based]]=0,emissions[[#This Row],[Impact Type]]="CO2E"),emissions[[#This Row],[kgCO2e]],0)/1000</f>
        <v>0</v>
      </c>
      <c r="AP2444">
        <f>IF(AND(emissions[[#This Row],[Market-based]]=1,OR(emissions[[#This Row],[Impact Type]]="CO2E",emissions[[#This Row],[Impact Type]]="CO2E MKT")),emissions[[#This Row],[kgCO2e]],0)/1000</f>
        <v>0.32330054899999999</v>
      </c>
      <c r="AQ2444" t="str">
        <f>_xlfn.TEXTAFTER(emissions[[#This Row],[Reporting Unit]]," &gt; ",LEN(emissions[[#This Row],[Reporting Unit]])-LEN(SUBSTITUTE(emissions[[#This Row],[Reporting Unit]],"&gt;","")))</f>
        <v>Vantage_Sao Paulo</v>
      </c>
      <c r="AR2444" t="str">
        <f>_xlfn.XLOOKUP(emissions[[#This Row],[Reporting unit name]],hierarchy!$A:$A,hierarchy!$C:$C)</f>
        <v>Unspecified Facility Type</v>
      </c>
    </row>
    <row r="2445" spans="1:44" hidden="1" x14ac:dyDescent="0.25">
      <c r="A2445">
        <v>4961</v>
      </c>
      <c r="B2445" t="s">
        <v>210</v>
      </c>
      <c r="C2445" t="s">
        <v>525</v>
      </c>
      <c r="D2445" t="s">
        <v>599</v>
      </c>
      <c r="E2445" s="3">
        <v>44197</v>
      </c>
      <c r="F2445" s="3">
        <v>44561</v>
      </c>
      <c r="G2445" t="s">
        <v>108</v>
      </c>
      <c r="H2445" s="3">
        <v>44197</v>
      </c>
      <c r="I2445" s="3">
        <v>44561</v>
      </c>
      <c r="J2445" t="s">
        <v>108</v>
      </c>
      <c r="K2445">
        <v>24450</v>
      </c>
      <c r="L2445" t="s">
        <v>109</v>
      </c>
      <c r="M2445" t="s">
        <v>110</v>
      </c>
      <c r="O2445" t="s">
        <v>600</v>
      </c>
      <c r="P2445" t="s">
        <v>550</v>
      </c>
      <c r="Q2445">
        <v>2021</v>
      </c>
      <c r="R2445" t="s">
        <v>579</v>
      </c>
      <c r="S2445" t="s">
        <v>580</v>
      </c>
      <c r="T2445" t="s">
        <v>581</v>
      </c>
      <c r="U2445" t="b">
        <v>0</v>
      </c>
      <c r="V2445" t="s">
        <v>1058</v>
      </c>
      <c r="W2445" t="s">
        <v>571</v>
      </c>
      <c r="X2445" t="s">
        <v>572</v>
      </c>
      <c r="Y2445" t="s">
        <v>472</v>
      </c>
      <c r="Z2445" t="s">
        <v>491</v>
      </c>
      <c r="AA2445" t="s">
        <v>1055</v>
      </c>
      <c r="AC2445">
        <v>0</v>
      </c>
      <c r="AD2445" t="s">
        <v>565</v>
      </c>
      <c r="AE2445">
        <v>418.09500000000003</v>
      </c>
      <c r="AF2445" t="s">
        <v>559</v>
      </c>
      <c r="AG2445" t="s">
        <v>560</v>
      </c>
      <c r="AH2445">
        <v>1</v>
      </c>
      <c r="AI2445">
        <v>24450</v>
      </c>
      <c r="AJ2445" t="s">
        <v>561</v>
      </c>
      <c r="AK2445" t="s">
        <v>562</v>
      </c>
      <c r="AL2445" t="s">
        <v>601</v>
      </c>
      <c r="AM2445">
        <v>2021</v>
      </c>
      <c r="AN2445">
        <v>2019</v>
      </c>
      <c r="AO2445">
        <f>IF(AND(emissions[[#This Row],[Market-based]]=0,emissions[[#This Row],[Impact Type]]="CO2E"),emissions[[#This Row],[kgCO2e]],0)/1000</f>
        <v>0.41809500000000005</v>
      </c>
      <c r="AP2445">
        <f>IF(AND(emissions[[#This Row],[Market-based]]=1,OR(emissions[[#This Row],[Impact Type]]="CO2E",emissions[[#This Row],[Impact Type]]="CO2E MKT")),emissions[[#This Row],[kgCO2e]],0)/1000</f>
        <v>0</v>
      </c>
      <c r="AQ2445" t="str">
        <f>_xlfn.TEXTAFTER(emissions[[#This Row],[Reporting Unit]]," &gt; ",LEN(emissions[[#This Row],[Reporting Unit]])-LEN(SUBSTITUTE(emissions[[#This Row],[Reporting Unit]],"&gt;","")))</f>
        <v>Vantage_Sao Paulo</v>
      </c>
      <c r="AR2445" t="str">
        <f>_xlfn.XLOOKUP(emissions[[#This Row],[Reporting unit name]],hierarchy!$A:$A,hierarchy!$C:$C)</f>
        <v>Unspecified Facility Type</v>
      </c>
    </row>
    <row r="2446" spans="1:44" hidden="1" x14ac:dyDescent="0.25">
      <c r="A2446">
        <v>4961</v>
      </c>
      <c r="B2446" t="s">
        <v>210</v>
      </c>
      <c r="C2446" t="s">
        <v>525</v>
      </c>
      <c r="D2446" t="s">
        <v>599</v>
      </c>
      <c r="E2446" s="3">
        <v>44197</v>
      </c>
      <c r="F2446" s="3">
        <v>44561</v>
      </c>
      <c r="G2446" t="s">
        <v>108</v>
      </c>
      <c r="H2446" s="3">
        <v>44197</v>
      </c>
      <c r="I2446" s="3">
        <v>44561</v>
      </c>
      <c r="J2446" t="s">
        <v>108</v>
      </c>
      <c r="K2446">
        <v>24450</v>
      </c>
      <c r="L2446" t="s">
        <v>109</v>
      </c>
      <c r="M2446" t="s">
        <v>110</v>
      </c>
      <c r="O2446" t="s">
        <v>600</v>
      </c>
      <c r="P2446" t="s">
        <v>550</v>
      </c>
      <c r="Q2446">
        <v>2021</v>
      </c>
      <c r="R2446" t="s">
        <v>579</v>
      </c>
      <c r="S2446" t="s">
        <v>580</v>
      </c>
      <c r="T2446" t="s">
        <v>581</v>
      </c>
      <c r="U2446" t="b">
        <v>0</v>
      </c>
      <c r="V2446" t="s">
        <v>1058</v>
      </c>
      <c r="W2446" t="s">
        <v>571</v>
      </c>
      <c r="X2446" t="s">
        <v>572</v>
      </c>
      <c r="Y2446" t="s">
        <v>472</v>
      </c>
      <c r="Z2446" t="s">
        <v>491</v>
      </c>
      <c r="AA2446" t="s">
        <v>1055</v>
      </c>
      <c r="AC2446">
        <v>1</v>
      </c>
      <c r="AD2446" t="s">
        <v>565</v>
      </c>
      <c r="AE2446">
        <v>418.09500000000003</v>
      </c>
      <c r="AF2446" t="s">
        <v>559</v>
      </c>
      <c r="AG2446" t="s">
        <v>560</v>
      </c>
      <c r="AH2446">
        <v>1</v>
      </c>
      <c r="AI2446">
        <v>24450</v>
      </c>
      <c r="AJ2446" t="s">
        <v>561</v>
      </c>
      <c r="AK2446" t="s">
        <v>562</v>
      </c>
      <c r="AL2446" t="s">
        <v>601</v>
      </c>
      <c r="AM2446">
        <v>2021</v>
      </c>
      <c r="AN2446">
        <v>2019</v>
      </c>
      <c r="AO2446">
        <f>IF(AND(emissions[[#This Row],[Market-based]]=0,emissions[[#This Row],[Impact Type]]="CO2E"),emissions[[#This Row],[kgCO2e]],0)/1000</f>
        <v>0</v>
      </c>
      <c r="AP2446">
        <f>IF(AND(emissions[[#This Row],[Market-based]]=1,OR(emissions[[#This Row],[Impact Type]]="CO2E",emissions[[#This Row],[Impact Type]]="CO2E MKT")),emissions[[#This Row],[kgCO2e]],0)/1000</f>
        <v>0.41809500000000005</v>
      </c>
      <c r="AQ2446" t="str">
        <f>_xlfn.TEXTAFTER(emissions[[#This Row],[Reporting Unit]]," &gt; ",LEN(emissions[[#This Row],[Reporting Unit]])-LEN(SUBSTITUTE(emissions[[#This Row],[Reporting Unit]],"&gt;","")))</f>
        <v>Vantage_Sao Paulo</v>
      </c>
      <c r="AR2446" t="str">
        <f>_xlfn.XLOOKUP(emissions[[#This Row],[Reporting unit name]],hierarchy!$A:$A,hierarchy!$C:$C)</f>
        <v>Unspecified Facility Type</v>
      </c>
    </row>
    <row r="2447" spans="1:44" hidden="1" x14ac:dyDescent="0.25">
      <c r="A2447">
        <v>4987</v>
      </c>
      <c r="B2447" t="s">
        <v>210</v>
      </c>
      <c r="C2447" t="s">
        <v>525</v>
      </c>
      <c r="D2447" t="s">
        <v>599</v>
      </c>
      <c r="E2447" s="3">
        <v>44197</v>
      </c>
      <c r="F2447" s="3">
        <v>44561</v>
      </c>
      <c r="G2447" t="s">
        <v>135</v>
      </c>
      <c r="H2447" s="3">
        <v>44197</v>
      </c>
      <c r="I2447" s="3">
        <v>44561</v>
      </c>
      <c r="J2447" t="s">
        <v>135</v>
      </c>
      <c r="K2447">
        <v>0</v>
      </c>
      <c r="L2447" t="s">
        <v>209</v>
      </c>
      <c r="M2447" t="s">
        <v>110</v>
      </c>
      <c r="O2447" t="s">
        <v>600</v>
      </c>
      <c r="P2447" t="s">
        <v>550</v>
      </c>
      <c r="Q2447">
        <v>2021</v>
      </c>
      <c r="R2447" t="s">
        <v>605</v>
      </c>
      <c r="S2447" t="s">
        <v>606</v>
      </c>
      <c r="T2447" t="s">
        <v>553</v>
      </c>
      <c r="U2447" t="b">
        <v>0</v>
      </c>
      <c r="V2447" t="s">
        <v>781</v>
      </c>
      <c r="W2447" t="s">
        <v>587</v>
      </c>
      <c r="X2447" t="s">
        <v>556</v>
      </c>
      <c r="Y2447" t="s">
        <v>472</v>
      </c>
      <c r="AC2447">
        <v>0</v>
      </c>
      <c r="AD2447" t="s">
        <v>558</v>
      </c>
      <c r="AE2447">
        <v>0</v>
      </c>
      <c r="AF2447">
        <v>2.5749999999999999E-5</v>
      </c>
      <c r="AG2447" t="s">
        <v>782</v>
      </c>
      <c r="AH2447">
        <v>35.314724830000003</v>
      </c>
      <c r="AI2447">
        <v>0</v>
      </c>
      <c r="AJ2447" t="s">
        <v>561</v>
      </c>
      <c r="AK2447" t="s">
        <v>766</v>
      </c>
      <c r="AL2447" t="s">
        <v>787</v>
      </c>
      <c r="AM2447">
        <v>2021</v>
      </c>
      <c r="AN2447">
        <v>2020</v>
      </c>
      <c r="AO2447">
        <f>IF(AND(emissions[[#This Row],[Market-based]]=0,emissions[[#This Row],[Impact Type]]="CO2E"),emissions[[#This Row],[kgCO2e]],0)/1000</f>
        <v>0</v>
      </c>
      <c r="AP2447">
        <f>IF(AND(emissions[[#This Row],[Market-based]]=1,OR(emissions[[#This Row],[Impact Type]]="CO2E",emissions[[#This Row],[Impact Type]]="CO2E MKT")),emissions[[#This Row],[kgCO2e]],0)/1000</f>
        <v>0</v>
      </c>
      <c r="AQ2447" t="str">
        <f>_xlfn.TEXTAFTER(emissions[[#This Row],[Reporting Unit]]," &gt; ",LEN(emissions[[#This Row],[Reporting Unit]])-LEN(SUBSTITUTE(emissions[[#This Row],[Reporting Unit]],"&gt;","")))</f>
        <v>Vantage_Sao Paulo</v>
      </c>
      <c r="AR2447" t="str">
        <f>_xlfn.XLOOKUP(emissions[[#This Row],[Reporting unit name]],hierarchy!$A:$A,hierarchy!$C:$C)</f>
        <v>Unspecified Facility Type</v>
      </c>
    </row>
    <row r="2448" spans="1:44" hidden="1" x14ac:dyDescent="0.25">
      <c r="A2448">
        <v>4987</v>
      </c>
      <c r="B2448" t="s">
        <v>210</v>
      </c>
      <c r="C2448" t="s">
        <v>525</v>
      </c>
      <c r="D2448" t="s">
        <v>599</v>
      </c>
      <c r="E2448" s="3">
        <v>44197</v>
      </c>
      <c r="F2448" s="3">
        <v>44561</v>
      </c>
      <c r="G2448" t="s">
        <v>135</v>
      </c>
      <c r="H2448" s="3">
        <v>44197</v>
      </c>
      <c r="I2448" s="3">
        <v>44561</v>
      </c>
      <c r="J2448" t="s">
        <v>135</v>
      </c>
      <c r="K2448">
        <v>0</v>
      </c>
      <c r="L2448" t="s">
        <v>209</v>
      </c>
      <c r="M2448" t="s">
        <v>110</v>
      </c>
      <c r="O2448" t="s">
        <v>600</v>
      </c>
      <c r="P2448" t="s">
        <v>550</v>
      </c>
      <c r="Q2448">
        <v>2021</v>
      </c>
      <c r="R2448" t="s">
        <v>605</v>
      </c>
      <c r="S2448" t="s">
        <v>606</v>
      </c>
      <c r="T2448" t="s">
        <v>553</v>
      </c>
      <c r="U2448" t="b">
        <v>0</v>
      </c>
      <c r="V2448" t="s">
        <v>781</v>
      </c>
      <c r="W2448" t="s">
        <v>587</v>
      </c>
      <c r="X2448" t="s">
        <v>556</v>
      </c>
      <c r="Y2448" t="s">
        <v>472</v>
      </c>
      <c r="AC2448">
        <v>0</v>
      </c>
      <c r="AD2448" t="s">
        <v>564</v>
      </c>
      <c r="AE2448">
        <v>0</v>
      </c>
      <c r="AF2448">
        <v>5.4440000000000002E-2</v>
      </c>
      <c r="AG2448" t="s">
        <v>782</v>
      </c>
      <c r="AH2448">
        <v>35.314724830000003</v>
      </c>
      <c r="AI2448">
        <v>0</v>
      </c>
      <c r="AJ2448" t="s">
        <v>561</v>
      </c>
      <c r="AK2448" t="s">
        <v>766</v>
      </c>
      <c r="AL2448" t="s">
        <v>790</v>
      </c>
      <c r="AM2448">
        <v>2021</v>
      </c>
      <c r="AN2448">
        <v>2021</v>
      </c>
      <c r="AO2448">
        <f>IF(AND(emissions[[#This Row],[Market-based]]=0,emissions[[#This Row],[Impact Type]]="CO2E"),emissions[[#This Row],[kgCO2e]],0)/1000</f>
        <v>0</v>
      </c>
      <c r="AP2448">
        <f>IF(AND(emissions[[#This Row],[Market-based]]=1,OR(emissions[[#This Row],[Impact Type]]="CO2E",emissions[[#This Row],[Impact Type]]="CO2E MKT")),emissions[[#This Row],[kgCO2e]],0)/1000</f>
        <v>0</v>
      </c>
      <c r="AQ2448" t="str">
        <f>_xlfn.TEXTAFTER(emissions[[#This Row],[Reporting Unit]]," &gt; ",LEN(emissions[[#This Row],[Reporting Unit]])-LEN(SUBSTITUTE(emissions[[#This Row],[Reporting Unit]],"&gt;","")))</f>
        <v>Vantage_Sao Paulo</v>
      </c>
      <c r="AR2448" t="str">
        <f>_xlfn.XLOOKUP(emissions[[#This Row],[Reporting unit name]],hierarchy!$A:$A,hierarchy!$C:$C)</f>
        <v>Unspecified Facility Type</v>
      </c>
    </row>
    <row r="2449" spans="1:44" hidden="1" x14ac:dyDescent="0.25">
      <c r="A2449">
        <v>4987</v>
      </c>
      <c r="B2449" t="s">
        <v>210</v>
      </c>
      <c r="C2449" t="s">
        <v>525</v>
      </c>
      <c r="D2449" t="s">
        <v>599</v>
      </c>
      <c r="E2449" s="3">
        <v>44197</v>
      </c>
      <c r="F2449" s="3">
        <v>44561</v>
      </c>
      <c r="G2449" t="s">
        <v>135</v>
      </c>
      <c r="H2449" s="3">
        <v>44197</v>
      </c>
      <c r="I2449" s="3">
        <v>44561</v>
      </c>
      <c r="J2449" t="s">
        <v>135</v>
      </c>
      <c r="K2449">
        <v>0</v>
      </c>
      <c r="L2449" t="s">
        <v>209</v>
      </c>
      <c r="M2449" t="s">
        <v>110</v>
      </c>
      <c r="O2449" t="s">
        <v>600</v>
      </c>
      <c r="P2449" t="s">
        <v>550</v>
      </c>
      <c r="Q2449">
        <v>2021</v>
      </c>
      <c r="R2449" t="s">
        <v>605</v>
      </c>
      <c r="S2449" t="s">
        <v>606</v>
      </c>
      <c r="T2449" t="s">
        <v>553</v>
      </c>
      <c r="U2449" t="b">
        <v>0</v>
      </c>
      <c r="V2449" t="s">
        <v>781</v>
      </c>
      <c r="W2449" t="s">
        <v>587</v>
      </c>
      <c r="X2449" t="s">
        <v>556</v>
      </c>
      <c r="Y2449" t="s">
        <v>472</v>
      </c>
      <c r="AC2449">
        <v>0</v>
      </c>
      <c r="AD2449" t="s">
        <v>565</v>
      </c>
      <c r="AE2449">
        <v>0</v>
      </c>
      <c r="AF2449">
        <v>5.4495549999999997E-2</v>
      </c>
      <c r="AG2449" t="s">
        <v>782</v>
      </c>
      <c r="AH2449">
        <v>35.314724830000003</v>
      </c>
      <c r="AI2449">
        <v>0</v>
      </c>
      <c r="AJ2449" t="s">
        <v>561</v>
      </c>
      <c r="AK2449" t="s">
        <v>766</v>
      </c>
      <c r="AL2449" t="s">
        <v>787</v>
      </c>
      <c r="AM2449">
        <v>2021</v>
      </c>
      <c r="AN2449">
        <v>2020</v>
      </c>
      <c r="AO2449">
        <f>IF(AND(emissions[[#This Row],[Market-based]]=0,emissions[[#This Row],[Impact Type]]="CO2E"),emissions[[#This Row],[kgCO2e]],0)/1000</f>
        <v>0</v>
      </c>
      <c r="AP2449">
        <f>IF(AND(emissions[[#This Row],[Market-based]]=1,OR(emissions[[#This Row],[Impact Type]]="CO2E",emissions[[#This Row],[Impact Type]]="CO2E MKT")),emissions[[#This Row],[kgCO2e]],0)/1000</f>
        <v>0</v>
      </c>
      <c r="AQ2449" t="str">
        <f>_xlfn.TEXTAFTER(emissions[[#This Row],[Reporting Unit]]," &gt; ",LEN(emissions[[#This Row],[Reporting Unit]])-LEN(SUBSTITUTE(emissions[[#This Row],[Reporting Unit]],"&gt;","")))</f>
        <v>Vantage_Sao Paulo</v>
      </c>
      <c r="AR2449" t="str">
        <f>_xlfn.XLOOKUP(emissions[[#This Row],[Reporting unit name]],hierarchy!$A:$A,hierarchy!$C:$C)</f>
        <v>Unspecified Facility Type</v>
      </c>
    </row>
    <row r="2450" spans="1:44" hidden="1" x14ac:dyDescent="0.25">
      <c r="A2450">
        <v>4987</v>
      </c>
      <c r="B2450" t="s">
        <v>210</v>
      </c>
      <c r="C2450" t="s">
        <v>525</v>
      </c>
      <c r="D2450" t="s">
        <v>599</v>
      </c>
      <c r="E2450" s="3">
        <v>44197</v>
      </c>
      <c r="F2450" s="3">
        <v>44561</v>
      </c>
      <c r="G2450" t="s">
        <v>135</v>
      </c>
      <c r="H2450" s="3">
        <v>44197</v>
      </c>
      <c r="I2450" s="3">
        <v>44561</v>
      </c>
      <c r="J2450" t="s">
        <v>135</v>
      </c>
      <c r="K2450">
        <v>0</v>
      </c>
      <c r="L2450" t="s">
        <v>209</v>
      </c>
      <c r="M2450" t="s">
        <v>110</v>
      </c>
      <c r="O2450" t="s">
        <v>600</v>
      </c>
      <c r="P2450" t="s">
        <v>550</v>
      </c>
      <c r="Q2450">
        <v>2021</v>
      </c>
      <c r="R2450" t="s">
        <v>605</v>
      </c>
      <c r="S2450" t="s">
        <v>606</v>
      </c>
      <c r="T2450" t="s">
        <v>553</v>
      </c>
      <c r="U2450" t="b">
        <v>0</v>
      </c>
      <c r="V2450" t="s">
        <v>781</v>
      </c>
      <c r="W2450" t="s">
        <v>587</v>
      </c>
      <c r="X2450" t="s">
        <v>556</v>
      </c>
      <c r="Y2450" t="s">
        <v>472</v>
      </c>
      <c r="AC2450">
        <v>0</v>
      </c>
      <c r="AD2450" t="s">
        <v>566</v>
      </c>
      <c r="AE2450">
        <v>0</v>
      </c>
      <c r="AF2450">
        <v>2.9799999999999999E-5</v>
      </c>
      <c r="AG2450" t="s">
        <v>782</v>
      </c>
      <c r="AH2450">
        <v>35.314724830000003</v>
      </c>
      <c r="AI2450">
        <v>0</v>
      </c>
      <c r="AJ2450" t="s">
        <v>561</v>
      </c>
      <c r="AK2450" t="s">
        <v>766</v>
      </c>
      <c r="AL2450" t="s">
        <v>790</v>
      </c>
      <c r="AM2450">
        <v>2021</v>
      </c>
      <c r="AN2450">
        <v>2021</v>
      </c>
      <c r="AO2450">
        <f>IF(AND(emissions[[#This Row],[Market-based]]=0,emissions[[#This Row],[Impact Type]]="CO2E"),emissions[[#This Row],[kgCO2e]],0)/1000</f>
        <v>0</v>
      </c>
      <c r="AP2450">
        <f>IF(AND(emissions[[#This Row],[Market-based]]=1,OR(emissions[[#This Row],[Impact Type]]="CO2E",emissions[[#This Row],[Impact Type]]="CO2E MKT")),emissions[[#This Row],[kgCO2e]],0)/1000</f>
        <v>0</v>
      </c>
      <c r="AQ2450" t="str">
        <f>_xlfn.TEXTAFTER(emissions[[#This Row],[Reporting Unit]]," &gt; ",LEN(emissions[[#This Row],[Reporting Unit]])-LEN(SUBSTITUTE(emissions[[#This Row],[Reporting Unit]],"&gt;","")))</f>
        <v>Vantage_Sao Paulo</v>
      </c>
      <c r="AR2450" t="str">
        <f>_xlfn.XLOOKUP(emissions[[#This Row],[Reporting unit name]],hierarchy!$A:$A,hierarchy!$C:$C)</f>
        <v>Unspecified Facility Type</v>
      </c>
    </row>
    <row r="2451" spans="1:44" hidden="1" x14ac:dyDescent="0.25">
      <c r="A2451">
        <v>4987</v>
      </c>
      <c r="B2451" t="s">
        <v>210</v>
      </c>
      <c r="C2451" t="s">
        <v>525</v>
      </c>
      <c r="D2451" t="s">
        <v>599</v>
      </c>
      <c r="E2451" s="3">
        <v>44197</v>
      </c>
      <c r="F2451" s="3">
        <v>44561</v>
      </c>
      <c r="G2451" t="s">
        <v>135</v>
      </c>
      <c r="H2451" s="3">
        <v>44197</v>
      </c>
      <c r="I2451" s="3">
        <v>44561</v>
      </c>
      <c r="J2451" t="s">
        <v>135</v>
      </c>
      <c r="K2451">
        <v>0</v>
      </c>
      <c r="L2451" t="s">
        <v>209</v>
      </c>
      <c r="M2451" t="s">
        <v>110</v>
      </c>
      <c r="O2451" t="s">
        <v>600</v>
      </c>
      <c r="P2451" t="s">
        <v>550</v>
      </c>
      <c r="Q2451">
        <v>2021</v>
      </c>
      <c r="R2451" t="s">
        <v>605</v>
      </c>
      <c r="S2451" t="s">
        <v>606</v>
      </c>
      <c r="T2451" t="s">
        <v>553</v>
      </c>
      <c r="U2451" t="b">
        <v>0</v>
      </c>
      <c r="V2451" t="s">
        <v>781</v>
      </c>
      <c r="W2451" t="s">
        <v>587</v>
      </c>
      <c r="X2451" t="s">
        <v>556</v>
      </c>
      <c r="Y2451" t="s">
        <v>472</v>
      </c>
      <c r="AC2451">
        <v>1</v>
      </c>
      <c r="AD2451" t="s">
        <v>558</v>
      </c>
      <c r="AE2451">
        <v>0</v>
      </c>
      <c r="AF2451">
        <v>2.5749999999999999E-5</v>
      </c>
      <c r="AG2451" t="s">
        <v>782</v>
      </c>
      <c r="AH2451">
        <v>35.314724830000003</v>
      </c>
      <c r="AI2451">
        <v>0</v>
      </c>
      <c r="AJ2451" t="s">
        <v>561</v>
      </c>
      <c r="AK2451" t="s">
        <v>766</v>
      </c>
      <c r="AL2451" t="s">
        <v>787</v>
      </c>
      <c r="AM2451">
        <v>2021</v>
      </c>
      <c r="AN2451">
        <v>2020</v>
      </c>
      <c r="AO2451">
        <f>IF(AND(emissions[[#This Row],[Market-based]]=0,emissions[[#This Row],[Impact Type]]="CO2E"),emissions[[#This Row],[kgCO2e]],0)/1000</f>
        <v>0</v>
      </c>
      <c r="AP2451">
        <f>IF(AND(emissions[[#This Row],[Market-based]]=1,OR(emissions[[#This Row],[Impact Type]]="CO2E",emissions[[#This Row],[Impact Type]]="CO2E MKT")),emissions[[#This Row],[kgCO2e]],0)/1000</f>
        <v>0</v>
      </c>
      <c r="AQ2451" t="str">
        <f>_xlfn.TEXTAFTER(emissions[[#This Row],[Reporting Unit]]," &gt; ",LEN(emissions[[#This Row],[Reporting Unit]])-LEN(SUBSTITUTE(emissions[[#This Row],[Reporting Unit]],"&gt;","")))</f>
        <v>Vantage_Sao Paulo</v>
      </c>
      <c r="AR2451" t="str">
        <f>_xlfn.XLOOKUP(emissions[[#This Row],[Reporting unit name]],hierarchy!$A:$A,hierarchy!$C:$C)</f>
        <v>Unspecified Facility Type</v>
      </c>
    </row>
    <row r="2452" spans="1:44" hidden="1" x14ac:dyDescent="0.25">
      <c r="A2452">
        <v>4987</v>
      </c>
      <c r="B2452" t="s">
        <v>210</v>
      </c>
      <c r="C2452" t="s">
        <v>525</v>
      </c>
      <c r="D2452" t="s">
        <v>599</v>
      </c>
      <c r="E2452" s="3">
        <v>44197</v>
      </c>
      <c r="F2452" s="3">
        <v>44561</v>
      </c>
      <c r="G2452" t="s">
        <v>135</v>
      </c>
      <c r="H2452" s="3">
        <v>44197</v>
      </c>
      <c r="I2452" s="3">
        <v>44561</v>
      </c>
      <c r="J2452" t="s">
        <v>135</v>
      </c>
      <c r="K2452">
        <v>0</v>
      </c>
      <c r="L2452" t="s">
        <v>209</v>
      </c>
      <c r="M2452" t="s">
        <v>110</v>
      </c>
      <c r="O2452" t="s">
        <v>600</v>
      </c>
      <c r="P2452" t="s">
        <v>550</v>
      </c>
      <c r="Q2452">
        <v>2021</v>
      </c>
      <c r="R2452" t="s">
        <v>605</v>
      </c>
      <c r="S2452" t="s">
        <v>606</v>
      </c>
      <c r="T2452" t="s">
        <v>553</v>
      </c>
      <c r="U2452" t="b">
        <v>0</v>
      </c>
      <c r="V2452" t="s">
        <v>781</v>
      </c>
      <c r="W2452" t="s">
        <v>587</v>
      </c>
      <c r="X2452" t="s">
        <v>556</v>
      </c>
      <c r="Y2452" t="s">
        <v>472</v>
      </c>
      <c r="AC2452">
        <v>1</v>
      </c>
      <c r="AD2452" t="s">
        <v>564</v>
      </c>
      <c r="AE2452">
        <v>0</v>
      </c>
      <c r="AF2452">
        <v>5.4440000000000002E-2</v>
      </c>
      <c r="AG2452" t="s">
        <v>782</v>
      </c>
      <c r="AH2452">
        <v>35.314724830000003</v>
      </c>
      <c r="AI2452">
        <v>0</v>
      </c>
      <c r="AJ2452" t="s">
        <v>561</v>
      </c>
      <c r="AK2452" t="s">
        <v>766</v>
      </c>
      <c r="AL2452" t="s">
        <v>790</v>
      </c>
      <c r="AM2452">
        <v>2021</v>
      </c>
      <c r="AN2452">
        <v>2021</v>
      </c>
      <c r="AO2452">
        <f>IF(AND(emissions[[#This Row],[Market-based]]=0,emissions[[#This Row],[Impact Type]]="CO2E"),emissions[[#This Row],[kgCO2e]],0)/1000</f>
        <v>0</v>
      </c>
      <c r="AP2452">
        <f>IF(AND(emissions[[#This Row],[Market-based]]=1,OR(emissions[[#This Row],[Impact Type]]="CO2E",emissions[[#This Row],[Impact Type]]="CO2E MKT")),emissions[[#This Row],[kgCO2e]],0)/1000</f>
        <v>0</v>
      </c>
      <c r="AQ2452" t="str">
        <f>_xlfn.TEXTAFTER(emissions[[#This Row],[Reporting Unit]]," &gt; ",LEN(emissions[[#This Row],[Reporting Unit]])-LEN(SUBSTITUTE(emissions[[#This Row],[Reporting Unit]],"&gt;","")))</f>
        <v>Vantage_Sao Paulo</v>
      </c>
      <c r="AR2452" t="str">
        <f>_xlfn.XLOOKUP(emissions[[#This Row],[Reporting unit name]],hierarchy!$A:$A,hierarchy!$C:$C)</f>
        <v>Unspecified Facility Type</v>
      </c>
    </row>
    <row r="2453" spans="1:44" hidden="1" x14ac:dyDescent="0.25">
      <c r="A2453">
        <v>4987</v>
      </c>
      <c r="B2453" t="s">
        <v>210</v>
      </c>
      <c r="C2453" t="s">
        <v>525</v>
      </c>
      <c r="D2453" t="s">
        <v>599</v>
      </c>
      <c r="E2453" s="3">
        <v>44197</v>
      </c>
      <c r="F2453" s="3">
        <v>44561</v>
      </c>
      <c r="G2453" t="s">
        <v>135</v>
      </c>
      <c r="H2453" s="3">
        <v>44197</v>
      </c>
      <c r="I2453" s="3">
        <v>44561</v>
      </c>
      <c r="J2453" t="s">
        <v>135</v>
      </c>
      <c r="K2453">
        <v>0</v>
      </c>
      <c r="L2453" t="s">
        <v>209</v>
      </c>
      <c r="M2453" t="s">
        <v>110</v>
      </c>
      <c r="O2453" t="s">
        <v>600</v>
      </c>
      <c r="P2453" t="s">
        <v>550</v>
      </c>
      <c r="Q2453">
        <v>2021</v>
      </c>
      <c r="R2453" t="s">
        <v>605</v>
      </c>
      <c r="S2453" t="s">
        <v>606</v>
      </c>
      <c r="T2453" t="s">
        <v>553</v>
      </c>
      <c r="U2453" t="b">
        <v>0</v>
      </c>
      <c r="V2453" t="s">
        <v>781</v>
      </c>
      <c r="W2453" t="s">
        <v>587</v>
      </c>
      <c r="X2453" t="s">
        <v>556</v>
      </c>
      <c r="Y2453" t="s">
        <v>472</v>
      </c>
      <c r="AC2453">
        <v>1</v>
      </c>
      <c r="AD2453" t="s">
        <v>565</v>
      </c>
      <c r="AE2453">
        <v>0</v>
      </c>
      <c r="AF2453">
        <v>5.4495549999999997E-2</v>
      </c>
      <c r="AG2453" t="s">
        <v>782</v>
      </c>
      <c r="AH2453">
        <v>35.314724830000003</v>
      </c>
      <c r="AI2453">
        <v>0</v>
      </c>
      <c r="AJ2453" t="s">
        <v>561</v>
      </c>
      <c r="AK2453" t="s">
        <v>766</v>
      </c>
      <c r="AL2453" t="s">
        <v>787</v>
      </c>
      <c r="AM2453">
        <v>2021</v>
      </c>
      <c r="AN2453">
        <v>2020</v>
      </c>
      <c r="AO2453">
        <f>IF(AND(emissions[[#This Row],[Market-based]]=0,emissions[[#This Row],[Impact Type]]="CO2E"),emissions[[#This Row],[kgCO2e]],0)/1000</f>
        <v>0</v>
      </c>
      <c r="AP2453">
        <f>IF(AND(emissions[[#This Row],[Market-based]]=1,OR(emissions[[#This Row],[Impact Type]]="CO2E",emissions[[#This Row],[Impact Type]]="CO2E MKT")),emissions[[#This Row],[kgCO2e]],0)/1000</f>
        <v>0</v>
      </c>
      <c r="AQ2453" t="str">
        <f>_xlfn.TEXTAFTER(emissions[[#This Row],[Reporting Unit]]," &gt; ",LEN(emissions[[#This Row],[Reporting Unit]])-LEN(SUBSTITUTE(emissions[[#This Row],[Reporting Unit]],"&gt;","")))</f>
        <v>Vantage_Sao Paulo</v>
      </c>
      <c r="AR2453" t="str">
        <f>_xlfn.XLOOKUP(emissions[[#This Row],[Reporting unit name]],hierarchy!$A:$A,hierarchy!$C:$C)</f>
        <v>Unspecified Facility Type</v>
      </c>
    </row>
    <row r="2454" spans="1:44" hidden="1" x14ac:dyDescent="0.25">
      <c r="A2454">
        <v>4987</v>
      </c>
      <c r="B2454" t="s">
        <v>210</v>
      </c>
      <c r="C2454" t="s">
        <v>525</v>
      </c>
      <c r="D2454" t="s">
        <v>599</v>
      </c>
      <c r="E2454" s="3">
        <v>44197</v>
      </c>
      <c r="F2454" s="3">
        <v>44561</v>
      </c>
      <c r="G2454" t="s">
        <v>135</v>
      </c>
      <c r="H2454" s="3">
        <v>44197</v>
      </c>
      <c r="I2454" s="3">
        <v>44561</v>
      </c>
      <c r="J2454" t="s">
        <v>135</v>
      </c>
      <c r="K2454">
        <v>0</v>
      </c>
      <c r="L2454" t="s">
        <v>209</v>
      </c>
      <c r="M2454" t="s">
        <v>110</v>
      </c>
      <c r="O2454" t="s">
        <v>600</v>
      </c>
      <c r="P2454" t="s">
        <v>550</v>
      </c>
      <c r="Q2454">
        <v>2021</v>
      </c>
      <c r="R2454" t="s">
        <v>605</v>
      </c>
      <c r="S2454" t="s">
        <v>606</v>
      </c>
      <c r="T2454" t="s">
        <v>553</v>
      </c>
      <c r="U2454" t="b">
        <v>0</v>
      </c>
      <c r="V2454" t="s">
        <v>781</v>
      </c>
      <c r="W2454" t="s">
        <v>587</v>
      </c>
      <c r="X2454" t="s">
        <v>556</v>
      </c>
      <c r="Y2454" t="s">
        <v>472</v>
      </c>
      <c r="AC2454">
        <v>1</v>
      </c>
      <c r="AD2454" t="s">
        <v>566</v>
      </c>
      <c r="AE2454">
        <v>0</v>
      </c>
      <c r="AF2454">
        <v>2.9799999999999999E-5</v>
      </c>
      <c r="AG2454" t="s">
        <v>782</v>
      </c>
      <c r="AH2454">
        <v>35.314724830000003</v>
      </c>
      <c r="AI2454">
        <v>0</v>
      </c>
      <c r="AJ2454" t="s">
        <v>561</v>
      </c>
      <c r="AK2454" t="s">
        <v>766</v>
      </c>
      <c r="AL2454" t="s">
        <v>790</v>
      </c>
      <c r="AM2454">
        <v>2021</v>
      </c>
      <c r="AN2454">
        <v>2021</v>
      </c>
      <c r="AO2454">
        <f>IF(AND(emissions[[#This Row],[Market-based]]=0,emissions[[#This Row],[Impact Type]]="CO2E"),emissions[[#This Row],[kgCO2e]],0)/1000</f>
        <v>0</v>
      </c>
      <c r="AP2454">
        <f>IF(AND(emissions[[#This Row],[Market-based]]=1,OR(emissions[[#This Row],[Impact Type]]="CO2E",emissions[[#This Row],[Impact Type]]="CO2E MKT")),emissions[[#This Row],[kgCO2e]],0)/1000</f>
        <v>0</v>
      </c>
      <c r="AQ2454" t="str">
        <f>_xlfn.TEXTAFTER(emissions[[#This Row],[Reporting Unit]]," &gt; ",LEN(emissions[[#This Row],[Reporting Unit]])-LEN(SUBSTITUTE(emissions[[#This Row],[Reporting Unit]],"&gt;","")))</f>
        <v>Vantage_Sao Paulo</v>
      </c>
      <c r="AR2454" t="str">
        <f>_xlfn.XLOOKUP(emissions[[#This Row],[Reporting unit name]],hierarchy!$A:$A,hierarchy!$C:$C)</f>
        <v>Unspecified Facility Type</v>
      </c>
    </row>
    <row r="2455" spans="1:44" hidden="1" x14ac:dyDescent="0.25">
      <c r="A2455">
        <v>4987</v>
      </c>
      <c r="B2455" t="s">
        <v>210</v>
      </c>
      <c r="C2455" t="s">
        <v>525</v>
      </c>
      <c r="D2455" t="s">
        <v>599</v>
      </c>
      <c r="E2455" s="3">
        <v>44197</v>
      </c>
      <c r="F2455" s="3">
        <v>44561</v>
      </c>
      <c r="G2455" t="s">
        <v>135</v>
      </c>
      <c r="H2455" s="3">
        <v>44197</v>
      </c>
      <c r="I2455" s="3">
        <v>44561</v>
      </c>
      <c r="J2455" t="s">
        <v>135</v>
      </c>
      <c r="K2455">
        <v>0</v>
      </c>
      <c r="L2455" t="s">
        <v>209</v>
      </c>
      <c r="M2455" t="s">
        <v>110</v>
      </c>
      <c r="O2455" t="s">
        <v>600</v>
      </c>
      <c r="P2455" t="s">
        <v>550</v>
      </c>
      <c r="Q2455">
        <v>2021</v>
      </c>
      <c r="R2455" t="s">
        <v>609</v>
      </c>
      <c r="S2455" t="s">
        <v>610</v>
      </c>
      <c r="T2455" t="s">
        <v>577</v>
      </c>
      <c r="U2455" t="b">
        <v>0</v>
      </c>
      <c r="V2455" t="s">
        <v>611</v>
      </c>
      <c r="W2455" t="s">
        <v>571</v>
      </c>
      <c r="X2455" t="s">
        <v>572</v>
      </c>
      <c r="AC2455">
        <v>0</v>
      </c>
      <c r="AD2455" t="s">
        <v>565</v>
      </c>
      <c r="AE2455">
        <v>0</v>
      </c>
      <c r="AF2455">
        <v>0.34593000000000002</v>
      </c>
      <c r="AG2455" t="s">
        <v>783</v>
      </c>
      <c r="AH2455">
        <v>1</v>
      </c>
      <c r="AI2455">
        <v>0</v>
      </c>
      <c r="AJ2455" t="s">
        <v>561</v>
      </c>
      <c r="AK2455" t="s">
        <v>589</v>
      </c>
      <c r="AL2455" t="s">
        <v>603</v>
      </c>
      <c r="AM2455">
        <v>2021</v>
      </c>
      <c r="AN2455">
        <v>2019</v>
      </c>
      <c r="AO2455">
        <f>IF(AND(emissions[[#This Row],[Market-based]]=0,emissions[[#This Row],[Impact Type]]="CO2E"),emissions[[#This Row],[kgCO2e]],0)/1000</f>
        <v>0</v>
      </c>
      <c r="AP2455">
        <f>IF(AND(emissions[[#This Row],[Market-based]]=1,OR(emissions[[#This Row],[Impact Type]]="CO2E",emissions[[#This Row],[Impact Type]]="CO2E MKT")),emissions[[#This Row],[kgCO2e]],0)/1000</f>
        <v>0</v>
      </c>
      <c r="AQ2455" t="str">
        <f>_xlfn.TEXTAFTER(emissions[[#This Row],[Reporting Unit]]," &gt; ",LEN(emissions[[#This Row],[Reporting Unit]])-LEN(SUBSTITUTE(emissions[[#This Row],[Reporting Unit]],"&gt;","")))</f>
        <v>Vantage_Sao Paulo</v>
      </c>
      <c r="AR2455" t="str">
        <f>_xlfn.XLOOKUP(emissions[[#This Row],[Reporting unit name]],hierarchy!$A:$A,hierarchy!$C:$C)</f>
        <v>Unspecified Facility Type</v>
      </c>
    </row>
    <row r="2456" spans="1:44" hidden="1" x14ac:dyDescent="0.25">
      <c r="A2456">
        <v>4987</v>
      </c>
      <c r="B2456" t="s">
        <v>210</v>
      </c>
      <c r="C2456" t="s">
        <v>525</v>
      </c>
      <c r="D2456" t="s">
        <v>599</v>
      </c>
      <c r="E2456" s="3">
        <v>44197</v>
      </c>
      <c r="F2456" s="3">
        <v>44561</v>
      </c>
      <c r="G2456" t="s">
        <v>135</v>
      </c>
      <c r="H2456" s="3">
        <v>44197</v>
      </c>
      <c r="I2456" s="3">
        <v>44561</v>
      </c>
      <c r="J2456" t="s">
        <v>135</v>
      </c>
      <c r="K2456">
        <v>0</v>
      </c>
      <c r="L2456" t="s">
        <v>209</v>
      </c>
      <c r="M2456" t="s">
        <v>110</v>
      </c>
      <c r="O2456" t="s">
        <v>600</v>
      </c>
      <c r="P2456" t="s">
        <v>550</v>
      </c>
      <c r="Q2456">
        <v>2021</v>
      </c>
      <c r="R2456" t="s">
        <v>609</v>
      </c>
      <c r="S2456" t="s">
        <v>610</v>
      </c>
      <c r="T2456" t="s">
        <v>577</v>
      </c>
      <c r="U2456" t="b">
        <v>0</v>
      </c>
      <c r="V2456" t="s">
        <v>611</v>
      </c>
      <c r="W2456" t="s">
        <v>571</v>
      </c>
      <c r="X2456" t="s">
        <v>572</v>
      </c>
      <c r="AC2456">
        <v>1</v>
      </c>
      <c r="AD2456" t="s">
        <v>565</v>
      </c>
      <c r="AE2456">
        <v>0</v>
      </c>
      <c r="AF2456">
        <v>0.34593000000000002</v>
      </c>
      <c r="AG2456" t="s">
        <v>783</v>
      </c>
      <c r="AH2456">
        <v>1</v>
      </c>
      <c r="AI2456">
        <v>0</v>
      </c>
      <c r="AJ2456" t="s">
        <v>561</v>
      </c>
      <c r="AK2456" t="s">
        <v>589</v>
      </c>
      <c r="AL2456" t="s">
        <v>603</v>
      </c>
      <c r="AM2456">
        <v>2021</v>
      </c>
      <c r="AN2456">
        <v>2019</v>
      </c>
      <c r="AO2456">
        <f>IF(AND(emissions[[#This Row],[Market-based]]=0,emissions[[#This Row],[Impact Type]]="CO2E"),emissions[[#This Row],[kgCO2e]],0)/1000</f>
        <v>0</v>
      </c>
      <c r="AP2456">
        <f>IF(AND(emissions[[#This Row],[Market-based]]=1,OR(emissions[[#This Row],[Impact Type]]="CO2E",emissions[[#This Row],[Impact Type]]="CO2E MKT")),emissions[[#This Row],[kgCO2e]],0)/1000</f>
        <v>0</v>
      </c>
      <c r="AQ2456" t="str">
        <f>_xlfn.TEXTAFTER(emissions[[#This Row],[Reporting Unit]]," &gt; ",LEN(emissions[[#This Row],[Reporting Unit]])-LEN(SUBSTITUTE(emissions[[#This Row],[Reporting Unit]],"&gt;","")))</f>
        <v>Vantage_Sao Paulo</v>
      </c>
      <c r="AR2456" t="str">
        <f>_xlfn.XLOOKUP(emissions[[#This Row],[Reporting unit name]],hierarchy!$A:$A,hierarchy!$C:$C)</f>
        <v>Unspecified Facility Type</v>
      </c>
    </row>
    <row r="2457" spans="1:44" hidden="1" x14ac:dyDescent="0.25">
      <c r="A2457">
        <v>5020</v>
      </c>
      <c r="B2457" t="s">
        <v>210</v>
      </c>
      <c r="C2457" t="s">
        <v>525</v>
      </c>
      <c r="D2457" t="s">
        <v>599</v>
      </c>
      <c r="E2457" s="3">
        <v>44197</v>
      </c>
      <c r="F2457" s="3">
        <v>44561</v>
      </c>
      <c r="G2457" t="s">
        <v>141</v>
      </c>
      <c r="H2457" s="3">
        <v>44197</v>
      </c>
      <c r="I2457" s="3">
        <v>44561</v>
      </c>
      <c r="J2457" t="s">
        <v>187</v>
      </c>
      <c r="K2457">
        <v>0</v>
      </c>
      <c r="L2457" t="s">
        <v>143</v>
      </c>
      <c r="M2457" t="s">
        <v>110</v>
      </c>
      <c r="O2457" t="s">
        <v>600</v>
      </c>
      <c r="P2457" t="s">
        <v>550</v>
      </c>
      <c r="Q2457">
        <v>2021</v>
      </c>
      <c r="R2457" t="s">
        <v>654</v>
      </c>
      <c r="S2457" t="s">
        <v>655</v>
      </c>
      <c r="T2457" t="s">
        <v>553</v>
      </c>
      <c r="U2457" t="b">
        <v>0</v>
      </c>
      <c r="V2457" t="s">
        <v>656</v>
      </c>
      <c r="W2457" t="s">
        <v>587</v>
      </c>
      <c r="X2457" t="s">
        <v>556</v>
      </c>
      <c r="AC2457">
        <v>0</v>
      </c>
      <c r="AD2457" t="s">
        <v>558</v>
      </c>
      <c r="AE2457">
        <v>0</v>
      </c>
      <c r="AF2457">
        <v>7.3200000000000001E-3</v>
      </c>
      <c r="AG2457" t="s">
        <v>588</v>
      </c>
      <c r="AH2457">
        <v>1</v>
      </c>
      <c r="AI2457">
        <v>0</v>
      </c>
      <c r="AJ2457" t="s">
        <v>561</v>
      </c>
      <c r="AK2457" t="s">
        <v>589</v>
      </c>
      <c r="AL2457" t="s">
        <v>603</v>
      </c>
      <c r="AM2457">
        <v>2021</v>
      </c>
      <c r="AN2457">
        <v>2019</v>
      </c>
      <c r="AO2457">
        <f>IF(AND(emissions[[#This Row],[Market-based]]=0,emissions[[#This Row],[Impact Type]]="CO2E"),emissions[[#This Row],[kgCO2e]],0)/1000</f>
        <v>0</v>
      </c>
      <c r="AP2457">
        <f>IF(AND(emissions[[#This Row],[Market-based]]=1,OR(emissions[[#This Row],[Impact Type]]="CO2E",emissions[[#This Row],[Impact Type]]="CO2E MKT")),emissions[[#This Row],[kgCO2e]],0)/1000</f>
        <v>0</v>
      </c>
      <c r="AQ2457" t="str">
        <f>_xlfn.TEXTAFTER(emissions[[#This Row],[Reporting Unit]]," &gt; ",LEN(emissions[[#This Row],[Reporting Unit]])-LEN(SUBSTITUTE(emissions[[#This Row],[Reporting Unit]],"&gt;","")))</f>
        <v>Vantage_Sao Paulo</v>
      </c>
      <c r="AR2457" t="str">
        <f>_xlfn.XLOOKUP(emissions[[#This Row],[Reporting unit name]],hierarchy!$A:$A,hierarchy!$C:$C)</f>
        <v>Unspecified Facility Type</v>
      </c>
    </row>
    <row r="2458" spans="1:44" hidden="1" x14ac:dyDescent="0.25">
      <c r="A2458">
        <v>5020</v>
      </c>
      <c r="B2458" t="s">
        <v>210</v>
      </c>
      <c r="C2458" t="s">
        <v>525</v>
      </c>
      <c r="D2458" t="s">
        <v>599</v>
      </c>
      <c r="E2458" s="3">
        <v>44197</v>
      </c>
      <c r="F2458" s="3">
        <v>44561</v>
      </c>
      <c r="G2458" t="s">
        <v>141</v>
      </c>
      <c r="H2458" s="3">
        <v>44197</v>
      </c>
      <c r="I2458" s="3">
        <v>44561</v>
      </c>
      <c r="J2458" t="s">
        <v>187</v>
      </c>
      <c r="K2458">
        <v>0</v>
      </c>
      <c r="L2458" t="s">
        <v>143</v>
      </c>
      <c r="M2458" t="s">
        <v>110</v>
      </c>
      <c r="O2458" t="s">
        <v>600</v>
      </c>
      <c r="P2458" t="s">
        <v>550</v>
      </c>
      <c r="Q2458">
        <v>2021</v>
      </c>
      <c r="R2458" t="s">
        <v>654</v>
      </c>
      <c r="S2458" t="s">
        <v>655</v>
      </c>
      <c r="T2458" t="s">
        <v>553</v>
      </c>
      <c r="U2458" t="b">
        <v>0</v>
      </c>
      <c r="V2458" t="s">
        <v>656</v>
      </c>
      <c r="W2458" t="s">
        <v>587</v>
      </c>
      <c r="X2458" t="s">
        <v>556</v>
      </c>
      <c r="AC2458">
        <v>0</v>
      </c>
      <c r="AD2458" t="s">
        <v>564</v>
      </c>
      <c r="AE2458">
        <v>0</v>
      </c>
      <c r="AF2458">
        <v>2.3256700000000001</v>
      </c>
      <c r="AG2458" t="s">
        <v>588</v>
      </c>
      <c r="AH2458">
        <v>1</v>
      </c>
      <c r="AI2458">
        <v>0</v>
      </c>
      <c r="AJ2458" t="s">
        <v>561</v>
      </c>
      <c r="AK2458" t="s">
        <v>589</v>
      </c>
      <c r="AL2458" t="s">
        <v>603</v>
      </c>
      <c r="AM2458">
        <v>2021</v>
      </c>
      <c r="AN2458">
        <v>2019</v>
      </c>
      <c r="AO2458">
        <f>IF(AND(emissions[[#This Row],[Market-based]]=0,emissions[[#This Row],[Impact Type]]="CO2E"),emissions[[#This Row],[kgCO2e]],0)/1000</f>
        <v>0</v>
      </c>
      <c r="AP2458">
        <f>IF(AND(emissions[[#This Row],[Market-based]]=1,OR(emissions[[#This Row],[Impact Type]]="CO2E",emissions[[#This Row],[Impact Type]]="CO2E MKT")),emissions[[#This Row],[kgCO2e]],0)/1000</f>
        <v>0</v>
      </c>
      <c r="AQ2458" t="str">
        <f>_xlfn.TEXTAFTER(emissions[[#This Row],[Reporting Unit]]," &gt; ",LEN(emissions[[#This Row],[Reporting Unit]])-LEN(SUBSTITUTE(emissions[[#This Row],[Reporting Unit]],"&gt;","")))</f>
        <v>Vantage_Sao Paulo</v>
      </c>
      <c r="AR2458" t="str">
        <f>_xlfn.XLOOKUP(emissions[[#This Row],[Reporting unit name]],hierarchy!$A:$A,hierarchy!$C:$C)</f>
        <v>Unspecified Facility Type</v>
      </c>
    </row>
    <row r="2459" spans="1:44" hidden="1" x14ac:dyDescent="0.25">
      <c r="A2459">
        <v>5020</v>
      </c>
      <c r="B2459" t="s">
        <v>210</v>
      </c>
      <c r="C2459" t="s">
        <v>525</v>
      </c>
      <c r="D2459" t="s">
        <v>599</v>
      </c>
      <c r="E2459" s="3">
        <v>44197</v>
      </c>
      <c r="F2459" s="3">
        <v>44561</v>
      </c>
      <c r="G2459" t="s">
        <v>141</v>
      </c>
      <c r="H2459" s="3">
        <v>44197</v>
      </c>
      <c r="I2459" s="3">
        <v>44561</v>
      </c>
      <c r="J2459" t="s">
        <v>187</v>
      </c>
      <c r="K2459">
        <v>0</v>
      </c>
      <c r="L2459" t="s">
        <v>143</v>
      </c>
      <c r="M2459" t="s">
        <v>110</v>
      </c>
      <c r="O2459" t="s">
        <v>600</v>
      </c>
      <c r="P2459" t="s">
        <v>550</v>
      </c>
      <c r="Q2459">
        <v>2021</v>
      </c>
      <c r="R2459" t="s">
        <v>654</v>
      </c>
      <c r="S2459" t="s">
        <v>655</v>
      </c>
      <c r="T2459" t="s">
        <v>553</v>
      </c>
      <c r="U2459" t="b">
        <v>0</v>
      </c>
      <c r="V2459" t="s">
        <v>656</v>
      </c>
      <c r="W2459" t="s">
        <v>587</v>
      </c>
      <c r="X2459" t="s">
        <v>556</v>
      </c>
      <c r="AC2459">
        <v>0</v>
      </c>
      <c r="AD2459" t="s">
        <v>565</v>
      </c>
      <c r="AE2459">
        <v>0</v>
      </c>
      <c r="AF2459">
        <v>2.3397000000000001</v>
      </c>
      <c r="AG2459" t="s">
        <v>588</v>
      </c>
      <c r="AH2459">
        <v>1</v>
      </c>
      <c r="AI2459">
        <v>0</v>
      </c>
      <c r="AJ2459" t="s">
        <v>561</v>
      </c>
      <c r="AK2459" t="s">
        <v>589</v>
      </c>
      <c r="AL2459" t="s">
        <v>603</v>
      </c>
      <c r="AM2459">
        <v>2021</v>
      </c>
      <c r="AN2459">
        <v>2019</v>
      </c>
      <c r="AO2459">
        <f>IF(AND(emissions[[#This Row],[Market-based]]=0,emissions[[#This Row],[Impact Type]]="CO2E"),emissions[[#This Row],[kgCO2e]],0)/1000</f>
        <v>0</v>
      </c>
      <c r="AP2459">
        <f>IF(AND(emissions[[#This Row],[Market-based]]=1,OR(emissions[[#This Row],[Impact Type]]="CO2E",emissions[[#This Row],[Impact Type]]="CO2E MKT")),emissions[[#This Row],[kgCO2e]],0)/1000</f>
        <v>0</v>
      </c>
      <c r="AQ2459" t="str">
        <f>_xlfn.TEXTAFTER(emissions[[#This Row],[Reporting Unit]]," &gt; ",LEN(emissions[[#This Row],[Reporting Unit]])-LEN(SUBSTITUTE(emissions[[#This Row],[Reporting Unit]],"&gt;","")))</f>
        <v>Vantage_Sao Paulo</v>
      </c>
      <c r="AR2459" t="str">
        <f>_xlfn.XLOOKUP(emissions[[#This Row],[Reporting unit name]],hierarchy!$A:$A,hierarchy!$C:$C)</f>
        <v>Unspecified Facility Type</v>
      </c>
    </row>
    <row r="2460" spans="1:44" hidden="1" x14ac:dyDescent="0.25">
      <c r="A2460">
        <v>5020</v>
      </c>
      <c r="B2460" t="s">
        <v>210</v>
      </c>
      <c r="C2460" t="s">
        <v>525</v>
      </c>
      <c r="D2460" t="s">
        <v>599</v>
      </c>
      <c r="E2460" s="3">
        <v>44197</v>
      </c>
      <c r="F2460" s="3">
        <v>44561</v>
      </c>
      <c r="G2460" t="s">
        <v>141</v>
      </c>
      <c r="H2460" s="3">
        <v>44197</v>
      </c>
      <c r="I2460" s="3">
        <v>44561</v>
      </c>
      <c r="J2460" t="s">
        <v>187</v>
      </c>
      <c r="K2460">
        <v>0</v>
      </c>
      <c r="L2460" t="s">
        <v>143</v>
      </c>
      <c r="M2460" t="s">
        <v>110</v>
      </c>
      <c r="O2460" t="s">
        <v>600</v>
      </c>
      <c r="P2460" t="s">
        <v>550</v>
      </c>
      <c r="Q2460">
        <v>2021</v>
      </c>
      <c r="R2460" t="s">
        <v>654</v>
      </c>
      <c r="S2460" t="s">
        <v>655</v>
      </c>
      <c r="T2460" t="s">
        <v>553</v>
      </c>
      <c r="U2460" t="b">
        <v>0</v>
      </c>
      <c r="V2460" t="s">
        <v>656</v>
      </c>
      <c r="W2460" t="s">
        <v>587</v>
      </c>
      <c r="X2460" t="s">
        <v>556</v>
      </c>
      <c r="AC2460">
        <v>0</v>
      </c>
      <c r="AD2460" t="s">
        <v>566</v>
      </c>
      <c r="AE2460">
        <v>0</v>
      </c>
      <c r="AF2460">
        <v>6.7099999999999998E-3</v>
      </c>
      <c r="AG2460" t="s">
        <v>588</v>
      </c>
      <c r="AH2460">
        <v>1</v>
      </c>
      <c r="AI2460">
        <v>0</v>
      </c>
      <c r="AJ2460" t="s">
        <v>561</v>
      </c>
      <c r="AK2460" t="s">
        <v>589</v>
      </c>
      <c r="AL2460" t="s">
        <v>603</v>
      </c>
      <c r="AM2460">
        <v>2021</v>
      </c>
      <c r="AN2460">
        <v>2019</v>
      </c>
      <c r="AO2460">
        <f>IF(AND(emissions[[#This Row],[Market-based]]=0,emissions[[#This Row],[Impact Type]]="CO2E"),emissions[[#This Row],[kgCO2e]],0)/1000</f>
        <v>0</v>
      </c>
      <c r="AP2460">
        <f>IF(AND(emissions[[#This Row],[Market-based]]=1,OR(emissions[[#This Row],[Impact Type]]="CO2E",emissions[[#This Row],[Impact Type]]="CO2E MKT")),emissions[[#This Row],[kgCO2e]],0)/1000</f>
        <v>0</v>
      </c>
      <c r="AQ2460" t="str">
        <f>_xlfn.TEXTAFTER(emissions[[#This Row],[Reporting Unit]]," &gt; ",LEN(emissions[[#This Row],[Reporting Unit]])-LEN(SUBSTITUTE(emissions[[#This Row],[Reporting Unit]],"&gt;","")))</f>
        <v>Vantage_Sao Paulo</v>
      </c>
      <c r="AR2460" t="str">
        <f>_xlfn.XLOOKUP(emissions[[#This Row],[Reporting unit name]],hierarchy!$A:$A,hierarchy!$C:$C)</f>
        <v>Unspecified Facility Type</v>
      </c>
    </row>
    <row r="2461" spans="1:44" hidden="1" x14ac:dyDescent="0.25">
      <c r="A2461">
        <v>5020</v>
      </c>
      <c r="B2461" t="s">
        <v>210</v>
      </c>
      <c r="C2461" t="s">
        <v>525</v>
      </c>
      <c r="D2461" t="s">
        <v>599</v>
      </c>
      <c r="E2461" s="3">
        <v>44197</v>
      </c>
      <c r="F2461" s="3">
        <v>44561</v>
      </c>
      <c r="G2461" t="s">
        <v>141</v>
      </c>
      <c r="H2461" s="3">
        <v>44197</v>
      </c>
      <c r="I2461" s="3">
        <v>44561</v>
      </c>
      <c r="J2461" t="s">
        <v>187</v>
      </c>
      <c r="K2461">
        <v>0</v>
      </c>
      <c r="L2461" t="s">
        <v>143</v>
      </c>
      <c r="M2461" t="s">
        <v>110</v>
      </c>
      <c r="O2461" t="s">
        <v>600</v>
      </c>
      <c r="P2461" t="s">
        <v>550</v>
      </c>
      <c r="Q2461">
        <v>2021</v>
      </c>
      <c r="R2461" t="s">
        <v>654</v>
      </c>
      <c r="S2461" t="s">
        <v>655</v>
      </c>
      <c r="T2461" t="s">
        <v>553</v>
      </c>
      <c r="U2461" t="b">
        <v>0</v>
      </c>
      <c r="V2461" t="s">
        <v>656</v>
      </c>
      <c r="W2461" t="s">
        <v>587</v>
      </c>
      <c r="X2461" t="s">
        <v>556</v>
      </c>
      <c r="AC2461">
        <v>1</v>
      </c>
      <c r="AD2461" t="s">
        <v>558</v>
      </c>
      <c r="AE2461">
        <v>0</v>
      </c>
      <c r="AF2461">
        <v>7.3200000000000001E-3</v>
      </c>
      <c r="AG2461" t="s">
        <v>588</v>
      </c>
      <c r="AH2461">
        <v>1</v>
      </c>
      <c r="AI2461">
        <v>0</v>
      </c>
      <c r="AJ2461" t="s">
        <v>561</v>
      </c>
      <c r="AK2461" t="s">
        <v>589</v>
      </c>
      <c r="AL2461" t="s">
        <v>603</v>
      </c>
      <c r="AM2461">
        <v>2021</v>
      </c>
      <c r="AN2461">
        <v>2019</v>
      </c>
      <c r="AO2461">
        <f>IF(AND(emissions[[#This Row],[Market-based]]=0,emissions[[#This Row],[Impact Type]]="CO2E"),emissions[[#This Row],[kgCO2e]],0)/1000</f>
        <v>0</v>
      </c>
      <c r="AP2461">
        <f>IF(AND(emissions[[#This Row],[Market-based]]=1,OR(emissions[[#This Row],[Impact Type]]="CO2E",emissions[[#This Row],[Impact Type]]="CO2E MKT")),emissions[[#This Row],[kgCO2e]],0)/1000</f>
        <v>0</v>
      </c>
      <c r="AQ2461" t="str">
        <f>_xlfn.TEXTAFTER(emissions[[#This Row],[Reporting Unit]]," &gt; ",LEN(emissions[[#This Row],[Reporting Unit]])-LEN(SUBSTITUTE(emissions[[#This Row],[Reporting Unit]],"&gt;","")))</f>
        <v>Vantage_Sao Paulo</v>
      </c>
      <c r="AR2461" t="str">
        <f>_xlfn.XLOOKUP(emissions[[#This Row],[Reporting unit name]],hierarchy!$A:$A,hierarchy!$C:$C)</f>
        <v>Unspecified Facility Type</v>
      </c>
    </row>
    <row r="2462" spans="1:44" hidden="1" x14ac:dyDescent="0.25">
      <c r="A2462">
        <v>5020</v>
      </c>
      <c r="B2462" t="s">
        <v>210</v>
      </c>
      <c r="C2462" t="s">
        <v>525</v>
      </c>
      <c r="D2462" t="s">
        <v>599</v>
      </c>
      <c r="E2462" s="3">
        <v>44197</v>
      </c>
      <c r="F2462" s="3">
        <v>44561</v>
      </c>
      <c r="G2462" t="s">
        <v>141</v>
      </c>
      <c r="H2462" s="3">
        <v>44197</v>
      </c>
      <c r="I2462" s="3">
        <v>44561</v>
      </c>
      <c r="J2462" t="s">
        <v>187</v>
      </c>
      <c r="K2462">
        <v>0</v>
      </c>
      <c r="L2462" t="s">
        <v>143</v>
      </c>
      <c r="M2462" t="s">
        <v>110</v>
      </c>
      <c r="O2462" t="s">
        <v>600</v>
      </c>
      <c r="P2462" t="s">
        <v>550</v>
      </c>
      <c r="Q2462">
        <v>2021</v>
      </c>
      <c r="R2462" t="s">
        <v>654</v>
      </c>
      <c r="S2462" t="s">
        <v>655</v>
      </c>
      <c r="T2462" t="s">
        <v>553</v>
      </c>
      <c r="U2462" t="b">
        <v>0</v>
      </c>
      <c r="V2462" t="s">
        <v>656</v>
      </c>
      <c r="W2462" t="s">
        <v>587</v>
      </c>
      <c r="X2462" t="s">
        <v>556</v>
      </c>
      <c r="AC2462">
        <v>1</v>
      </c>
      <c r="AD2462" t="s">
        <v>564</v>
      </c>
      <c r="AE2462">
        <v>0</v>
      </c>
      <c r="AF2462">
        <v>2.3256700000000001</v>
      </c>
      <c r="AG2462" t="s">
        <v>588</v>
      </c>
      <c r="AH2462">
        <v>1</v>
      </c>
      <c r="AI2462">
        <v>0</v>
      </c>
      <c r="AJ2462" t="s">
        <v>561</v>
      </c>
      <c r="AK2462" t="s">
        <v>589</v>
      </c>
      <c r="AL2462" t="s">
        <v>603</v>
      </c>
      <c r="AM2462">
        <v>2021</v>
      </c>
      <c r="AN2462">
        <v>2019</v>
      </c>
      <c r="AO2462">
        <f>IF(AND(emissions[[#This Row],[Market-based]]=0,emissions[[#This Row],[Impact Type]]="CO2E"),emissions[[#This Row],[kgCO2e]],0)/1000</f>
        <v>0</v>
      </c>
      <c r="AP2462">
        <f>IF(AND(emissions[[#This Row],[Market-based]]=1,OR(emissions[[#This Row],[Impact Type]]="CO2E",emissions[[#This Row],[Impact Type]]="CO2E MKT")),emissions[[#This Row],[kgCO2e]],0)/1000</f>
        <v>0</v>
      </c>
      <c r="AQ2462" t="str">
        <f>_xlfn.TEXTAFTER(emissions[[#This Row],[Reporting Unit]]," &gt; ",LEN(emissions[[#This Row],[Reporting Unit]])-LEN(SUBSTITUTE(emissions[[#This Row],[Reporting Unit]],"&gt;","")))</f>
        <v>Vantage_Sao Paulo</v>
      </c>
      <c r="AR2462" t="str">
        <f>_xlfn.XLOOKUP(emissions[[#This Row],[Reporting unit name]],hierarchy!$A:$A,hierarchy!$C:$C)</f>
        <v>Unspecified Facility Type</v>
      </c>
    </row>
    <row r="2463" spans="1:44" hidden="1" x14ac:dyDescent="0.25">
      <c r="A2463">
        <v>5020</v>
      </c>
      <c r="B2463" t="s">
        <v>210</v>
      </c>
      <c r="C2463" t="s">
        <v>525</v>
      </c>
      <c r="D2463" t="s">
        <v>599</v>
      </c>
      <c r="E2463" s="3">
        <v>44197</v>
      </c>
      <c r="F2463" s="3">
        <v>44561</v>
      </c>
      <c r="G2463" t="s">
        <v>141</v>
      </c>
      <c r="H2463" s="3">
        <v>44197</v>
      </c>
      <c r="I2463" s="3">
        <v>44561</v>
      </c>
      <c r="J2463" t="s">
        <v>187</v>
      </c>
      <c r="K2463">
        <v>0</v>
      </c>
      <c r="L2463" t="s">
        <v>143</v>
      </c>
      <c r="M2463" t="s">
        <v>110</v>
      </c>
      <c r="O2463" t="s">
        <v>600</v>
      </c>
      <c r="P2463" t="s">
        <v>550</v>
      </c>
      <c r="Q2463">
        <v>2021</v>
      </c>
      <c r="R2463" t="s">
        <v>654</v>
      </c>
      <c r="S2463" t="s">
        <v>655</v>
      </c>
      <c r="T2463" t="s">
        <v>553</v>
      </c>
      <c r="U2463" t="b">
        <v>0</v>
      </c>
      <c r="V2463" t="s">
        <v>656</v>
      </c>
      <c r="W2463" t="s">
        <v>587</v>
      </c>
      <c r="X2463" t="s">
        <v>556</v>
      </c>
      <c r="AC2463">
        <v>1</v>
      </c>
      <c r="AD2463" t="s">
        <v>565</v>
      </c>
      <c r="AE2463">
        <v>0</v>
      </c>
      <c r="AF2463">
        <v>2.3397000000000001</v>
      </c>
      <c r="AG2463" t="s">
        <v>588</v>
      </c>
      <c r="AH2463">
        <v>1</v>
      </c>
      <c r="AI2463">
        <v>0</v>
      </c>
      <c r="AJ2463" t="s">
        <v>561</v>
      </c>
      <c r="AK2463" t="s">
        <v>589</v>
      </c>
      <c r="AL2463" t="s">
        <v>603</v>
      </c>
      <c r="AM2463">
        <v>2021</v>
      </c>
      <c r="AN2463">
        <v>2019</v>
      </c>
      <c r="AO2463">
        <f>IF(AND(emissions[[#This Row],[Market-based]]=0,emissions[[#This Row],[Impact Type]]="CO2E"),emissions[[#This Row],[kgCO2e]],0)/1000</f>
        <v>0</v>
      </c>
      <c r="AP2463">
        <f>IF(AND(emissions[[#This Row],[Market-based]]=1,OR(emissions[[#This Row],[Impact Type]]="CO2E",emissions[[#This Row],[Impact Type]]="CO2E MKT")),emissions[[#This Row],[kgCO2e]],0)/1000</f>
        <v>0</v>
      </c>
      <c r="AQ2463" t="str">
        <f>_xlfn.TEXTAFTER(emissions[[#This Row],[Reporting Unit]]," &gt; ",LEN(emissions[[#This Row],[Reporting Unit]])-LEN(SUBSTITUTE(emissions[[#This Row],[Reporting Unit]],"&gt;","")))</f>
        <v>Vantage_Sao Paulo</v>
      </c>
      <c r="AR2463" t="str">
        <f>_xlfn.XLOOKUP(emissions[[#This Row],[Reporting unit name]],hierarchy!$A:$A,hierarchy!$C:$C)</f>
        <v>Unspecified Facility Type</v>
      </c>
    </row>
    <row r="2464" spans="1:44" hidden="1" x14ac:dyDescent="0.25">
      <c r="A2464">
        <v>5020</v>
      </c>
      <c r="B2464" t="s">
        <v>210</v>
      </c>
      <c r="C2464" t="s">
        <v>525</v>
      </c>
      <c r="D2464" t="s">
        <v>599</v>
      </c>
      <c r="E2464" s="3">
        <v>44197</v>
      </c>
      <c r="F2464" s="3">
        <v>44561</v>
      </c>
      <c r="G2464" t="s">
        <v>141</v>
      </c>
      <c r="H2464" s="3">
        <v>44197</v>
      </c>
      <c r="I2464" s="3">
        <v>44561</v>
      </c>
      <c r="J2464" t="s">
        <v>187</v>
      </c>
      <c r="K2464">
        <v>0</v>
      </c>
      <c r="L2464" t="s">
        <v>143</v>
      </c>
      <c r="M2464" t="s">
        <v>110</v>
      </c>
      <c r="O2464" t="s">
        <v>600</v>
      </c>
      <c r="P2464" t="s">
        <v>550</v>
      </c>
      <c r="Q2464">
        <v>2021</v>
      </c>
      <c r="R2464" t="s">
        <v>654</v>
      </c>
      <c r="S2464" t="s">
        <v>655</v>
      </c>
      <c r="T2464" t="s">
        <v>553</v>
      </c>
      <c r="U2464" t="b">
        <v>0</v>
      </c>
      <c r="V2464" t="s">
        <v>656</v>
      </c>
      <c r="W2464" t="s">
        <v>587</v>
      </c>
      <c r="X2464" t="s">
        <v>556</v>
      </c>
      <c r="AC2464">
        <v>1</v>
      </c>
      <c r="AD2464" t="s">
        <v>566</v>
      </c>
      <c r="AE2464">
        <v>0</v>
      </c>
      <c r="AF2464">
        <v>6.7099999999999998E-3</v>
      </c>
      <c r="AG2464" t="s">
        <v>588</v>
      </c>
      <c r="AH2464">
        <v>1</v>
      </c>
      <c r="AI2464">
        <v>0</v>
      </c>
      <c r="AJ2464" t="s">
        <v>561</v>
      </c>
      <c r="AK2464" t="s">
        <v>589</v>
      </c>
      <c r="AL2464" t="s">
        <v>603</v>
      </c>
      <c r="AM2464">
        <v>2021</v>
      </c>
      <c r="AN2464">
        <v>2019</v>
      </c>
      <c r="AO2464">
        <f>IF(AND(emissions[[#This Row],[Market-based]]=0,emissions[[#This Row],[Impact Type]]="CO2E"),emissions[[#This Row],[kgCO2e]],0)/1000</f>
        <v>0</v>
      </c>
      <c r="AP2464">
        <f>IF(AND(emissions[[#This Row],[Market-based]]=1,OR(emissions[[#This Row],[Impact Type]]="CO2E",emissions[[#This Row],[Impact Type]]="CO2E MKT")),emissions[[#This Row],[kgCO2e]],0)/1000</f>
        <v>0</v>
      </c>
      <c r="AQ2464" t="str">
        <f>_xlfn.TEXTAFTER(emissions[[#This Row],[Reporting Unit]]," &gt; ",LEN(emissions[[#This Row],[Reporting Unit]])-LEN(SUBSTITUTE(emissions[[#This Row],[Reporting Unit]],"&gt;","")))</f>
        <v>Vantage_Sao Paulo</v>
      </c>
      <c r="AR2464" t="str">
        <f>_xlfn.XLOOKUP(emissions[[#This Row],[Reporting unit name]],hierarchy!$A:$A,hierarchy!$C:$C)</f>
        <v>Unspecified Facility Type</v>
      </c>
    </row>
    <row r="2465" spans="1:44" hidden="1" x14ac:dyDescent="0.25">
      <c r="A2465">
        <v>5020</v>
      </c>
      <c r="B2465" t="s">
        <v>210</v>
      </c>
      <c r="C2465" t="s">
        <v>525</v>
      </c>
      <c r="D2465" t="s">
        <v>599</v>
      </c>
      <c r="E2465" s="3">
        <v>44197</v>
      </c>
      <c r="F2465" s="3">
        <v>44561</v>
      </c>
      <c r="G2465" t="s">
        <v>141</v>
      </c>
      <c r="H2465" s="3">
        <v>44197</v>
      </c>
      <c r="I2465" s="3">
        <v>44561</v>
      </c>
      <c r="J2465" t="s">
        <v>187</v>
      </c>
      <c r="K2465">
        <v>0</v>
      </c>
      <c r="L2465" t="s">
        <v>143</v>
      </c>
      <c r="M2465" t="s">
        <v>110</v>
      </c>
      <c r="O2465" t="s">
        <v>600</v>
      </c>
      <c r="P2465" t="s">
        <v>550</v>
      </c>
      <c r="Q2465">
        <v>2021</v>
      </c>
      <c r="R2465" t="s">
        <v>657</v>
      </c>
      <c r="S2465" t="s">
        <v>658</v>
      </c>
      <c r="T2465" t="s">
        <v>577</v>
      </c>
      <c r="U2465" t="b">
        <v>0</v>
      </c>
      <c r="V2465" t="s">
        <v>659</v>
      </c>
      <c r="W2465" t="s">
        <v>571</v>
      </c>
      <c r="X2465" t="s">
        <v>572</v>
      </c>
      <c r="AC2465">
        <v>0</v>
      </c>
      <c r="AD2465" t="s">
        <v>565</v>
      </c>
      <c r="AE2465">
        <v>0</v>
      </c>
      <c r="AF2465">
        <v>0.60282999999999998</v>
      </c>
      <c r="AG2465" t="s">
        <v>588</v>
      </c>
      <c r="AH2465">
        <v>1</v>
      </c>
      <c r="AI2465">
        <v>0</v>
      </c>
      <c r="AJ2465" t="s">
        <v>561</v>
      </c>
      <c r="AK2465" t="s">
        <v>589</v>
      </c>
      <c r="AL2465" t="s">
        <v>603</v>
      </c>
      <c r="AM2465">
        <v>2021</v>
      </c>
      <c r="AN2465">
        <v>2019</v>
      </c>
      <c r="AO2465">
        <f>IF(AND(emissions[[#This Row],[Market-based]]=0,emissions[[#This Row],[Impact Type]]="CO2E"),emissions[[#This Row],[kgCO2e]],0)/1000</f>
        <v>0</v>
      </c>
      <c r="AP2465">
        <f>IF(AND(emissions[[#This Row],[Market-based]]=1,OR(emissions[[#This Row],[Impact Type]]="CO2E",emissions[[#This Row],[Impact Type]]="CO2E MKT")),emissions[[#This Row],[kgCO2e]],0)/1000</f>
        <v>0</v>
      </c>
      <c r="AQ2465" t="str">
        <f>_xlfn.TEXTAFTER(emissions[[#This Row],[Reporting Unit]]," &gt; ",LEN(emissions[[#This Row],[Reporting Unit]])-LEN(SUBSTITUTE(emissions[[#This Row],[Reporting Unit]],"&gt;","")))</f>
        <v>Vantage_Sao Paulo</v>
      </c>
      <c r="AR2465" t="str">
        <f>_xlfn.XLOOKUP(emissions[[#This Row],[Reporting unit name]],hierarchy!$A:$A,hierarchy!$C:$C)</f>
        <v>Unspecified Facility Type</v>
      </c>
    </row>
    <row r="2466" spans="1:44" hidden="1" x14ac:dyDescent="0.25">
      <c r="A2466">
        <v>5020</v>
      </c>
      <c r="B2466" t="s">
        <v>210</v>
      </c>
      <c r="C2466" t="s">
        <v>525</v>
      </c>
      <c r="D2466" t="s">
        <v>599</v>
      </c>
      <c r="E2466" s="3">
        <v>44197</v>
      </c>
      <c r="F2466" s="3">
        <v>44561</v>
      </c>
      <c r="G2466" t="s">
        <v>141</v>
      </c>
      <c r="H2466" s="3">
        <v>44197</v>
      </c>
      <c r="I2466" s="3">
        <v>44561</v>
      </c>
      <c r="J2466" t="s">
        <v>187</v>
      </c>
      <c r="K2466">
        <v>0</v>
      </c>
      <c r="L2466" t="s">
        <v>143</v>
      </c>
      <c r="M2466" t="s">
        <v>110</v>
      </c>
      <c r="O2466" t="s">
        <v>600</v>
      </c>
      <c r="P2466" t="s">
        <v>550</v>
      </c>
      <c r="Q2466">
        <v>2021</v>
      </c>
      <c r="R2466" t="s">
        <v>657</v>
      </c>
      <c r="S2466" t="s">
        <v>658</v>
      </c>
      <c r="T2466" t="s">
        <v>577</v>
      </c>
      <c r="U2466" t="b">
        <v>0</v>
      </c>
      <c r="V2466" t="s">
        <v>659</v>
      </c>
      <c r="W2466" t="s">
        <v>571</v>
      </c>
      <c r="X2466" t="s">
        <v>572</v>
      </c>
      <c r="AC2466">
        <v>1</v>
      </c>
      <c r="AD2466" t="s">
        <v>565</v>
      </c>
      <c r="AE2466">
        <v>0</v>
      </c>
      <c r="AF2466">
        <v>0.60282999999999998</v>
      </c>
      <c r="AG2466" t="s">
        <v>588</v>
      </c>
      <c r="AH2466">
        <v>1</v>
      </c>
      <c r="AI2466">
        <v>0</v>
      </c>
      <c r="AJ2466" t="s">
        <v>561</v>
      </c>
      <c r="AK2466" t="s">
        <v>589</v>
      </c>
      <c r="AL2466" t="s">
        <v>603</v>
      </c>
      <c r="AM2466">
        <v>2021</v>
      </c>
      <c r="AN2466">
        <v>2019</v>
      </c>
      <c r="AO2466">
        <f>IF(AND(emissions[[#This Row],[Market-based]]=0,emissions[[#This Row],[Impact Type]]="CO2E"),emissions[[#This Row],[kgCO2e]],0)/1000</f>
        <v>0</v>
      </c>
      <c r="AP2466">
        <f>IF(AND(emissions[[#This Row],[Market-based]]=1,OR(emissions[[#This Row],[Impact Type]]="CO2E",emissions[[#This Row],[Impact Type]]="CO2E MKT")),emissions[[#This Row],[kgCO2e]],0)/1000</f>
        <v>0</v>
      </c>
      <c r="AQ2466" t="str">
        <f>_xlfn.TEXTAFTER(emissions[[#This Row],[Reporting Unit]]," &gt; ",LEN(emissions[[#This Row],[Reporting Unit]])-LEN(SUBSTITUTE(emissions[[#This Row],[Reporting Unit]],"&gt;","")))</f>
        <v>Vantage_Sao Paulo</v>
      </c>
      <c r="AR2466" t="str">
        <f>_xlfn.XLOOKUP(emissions[[#This Row],[Reporting unit name]],hierarchy!$A:$A,hierarchy!$C:$C)</f>
        <v>Unspecified Facility Type</v>
      </c>
    </row>
    <row r="2467" spans="1:44" hidden="1" x14ac:dyDescent="0.25">
      <c r="A2467">
        <v>5046</v>
      </c>
      <c r="B2467" t="s">
        <v>210</v>
      </c>
      <c r="C2467" t="s">
        <v>525</v>
      </c>
      <c r="D2467" t="s">
        <v>599</v>
      </c>
      <c r="E2467" s="3">
        <v>44197</v>
      </c>
      <c r="F2467" s="3">
        <v>44561</v>
      </c>
      <c r="G2467" t="s">
        <v>116</v>
      </c>
      <c r="H2467" s="3">
        <v>44197</v>
      </c>
      <c r="I2467" s="3">
        <v>44561</v>
      </c>
      <c r="J2467" t="s">
        <v>175</v>
      </c>
      <c r="K2467">
        <v>7.2454000000000001</v>
      </c>
      <c r="L2467" t="s">
        <v>118</v>
      </c>
      <c r="M2467" t="s">
        <v>82</v>
      </c>
      <c r="O2467" t="s">
        <v>618</v>
      </c>
      <c r="P2467" t="s">
        <v>550</v>
      </c>
      <c r="Q2467">
        <v>2021</v>
      </c>
      <c r="R2467" t="s">
        <v>664</v>
      </c>
      <c r="S2467" t="s">
        <v>175</v>
      </c>
      <c r="T2467" t="s">
        <v>553</v>
      </c>
      <c r="U2467" t="b">
        <v>0</v>
      </c>
      <c r="V2467" t="s">
        <v>665</v>
      </c>
      <c r="W2467" t="s">
        <v>587</v>
      </c>
      <c r="X2467" t="s">
        <v>556</v>
      </c>
      <c r="AC2467">
        <v>0</v>
      </c>
      <c r="AD2467" t="s">
        <v>565</v>
      </c>
      <c r="AE2467">
        <v>15128.395200000001</v>
      </c>
      <c r="AF2467">
        <v>2088</v>
      </c>
      <c r="AG2467" t="s">
        <v>622</v>
      </c>
      <c r="AH2467">
        <v>1</v>
      </c>
      <c r="AI2467">
        <v>7.2454000000000001</v>
      </c>
      <c r="AJ2467" t="s">
        <v>561</v>
      </c>
      <c r="AK2467" t="s">
        <v>623</v>
      </c>
      <c r="AL2467" t="s">
        <v>624</v>
      </c>
      <c r="AM2467">
        <v>2021</v>
      </c>
      <c r="AN2467">
        <v>2007</v>
      </c>
      <c r="AO2467">
        <f>IF(AND(emissions[[#This Row],[Market-based]]=0,emissions[[#This Row],[Impact Type]]="CO2E"),emissions[[#This Row],[kgCO2e]],0)/1000</f>
        <v>15.128395200000002</v>
      </c>
      <c r="AP2467">
        <f>IF(AND(emissions[[#This Row],[Market-based]]=1,OR(emissions[[#This Row],[Impact Type]]="CO2E",emissions[[#This Row],[Impact Type]]="CO2E MKT")),emissions[[#This Row],[kgCO2e]],0)/1000</f>
        <v>0</v>
      </c>
      <c r="AQ2467" t="str">
        <f>_xlfn.TEXTAFTER(emissions[[#This Row],[Reporting Unit]]," &gt; ",LEN(emissions[[#This Row],[Reporting Unit]])-LEN(SUBSTITUTE(emissions[[#This Row],[Reporting Unit]],"&gt;","")))</f>
        <v>Vantage_Sao Paulo</v>
      </c>
      <c r="AR2467" t="str">
        <f>_xlfn.XLOOKUP(emissions[[#This Row],[Reporting unit name]],hierarchy!$A:$A,hierarchy!$C:$C)</f>
        <v>Unspecified Facility Type</v>
      </c>
    </row>
    <row r="2468" spans="1:44" hidden="1" x14ac:dyDescent="0.25">
      <c r="A2468">
        <v>5046</v>
      </c>
      <c r="B2468" t="s">
        <v>210</v>
      </c>
      <c r="C2468" t="s">
        <v>525</v>
      </c>
      <c r="D2468" t="s">
        <v>599</v>
      </c>
      <c r="E2468" s="3">
        <v>44197</v>
      </c>
      <c r="F2468" s="3">
        <v>44561</v>
      </c>
      <c r="G2468" t="s">
        <v>116</v>
      </c>
      <c r="H2468" s="3">
        <v>44197</v>
      </c>
      <c r="I2468" s="3">
        <v>44561</v>
      </c>
      <c r="J2468" t="s">
        <v>175</v>
      </c>
      <c r="K2468">
        <v>7.2454000000000001</v>
      </c>
      <c r="L2468" t="s">
        <v>118</v>
      </c>
      <c r="M2468" t="s">
        <v>82</v>
      </c>
      <c r="O2468" t="s">
        <v>618</v>
      </c>
      <c r="P2468" t="s">
        <v>550</v>
      </c>
      <c r="Q2468">
        <v>2021</v>
      </c>
      <c r="R2468" t="s">
        <v>664</v>
      </c>
      <c r="S2468" t="s">
        <v>175</v>
      </c>
      <c r="T2468" t="s">
        <v>553</v>
      </c>
      <c r="U2468" t="b">
        <v>0</v>
      </c>
      <c r="V2468" t="s">
        <v>665</v>
      </c>
      <c r="W2468" t="s">
        <v>587</v>
      </c>
      <c r="X2468" t="s">
        <v>556</v>
      </c>
      <c r="AC2468">
        <v>1</v>
      </c>
      <c r="AD2468" t="s">
        <v>565</v>
      </c>
      <c r="AE2468">
        <v>15128.395200000001</v>
      </c>
      <c r="AF2468">
        <v>2088</v>
      </c>
      <c r="AG2468" t="s">
        <v>622</v>
      </c>
      <c r="AH2468">
        <v>1</v>
      </c>
      <c r="AI2468">
        <v>7.2454000000000001</v>
      </c>
      <c r="AJ2468" t="s">
        <v>561</v>
      </c>
      <c r="AK2468" t="s">
        <v>623</v>
      </c>
      <c r="AL2468" t="s">
        <v>624</v>
      </c>
      <c r="AM2468">
        <v>2021</v>
      </c>
      <c r="AN2468">
        <v>2007</v>
      </c>
      <c r="AO2468">
        <f>IF(AND(emissions[[#This Row],[Market-based]]=0,emissions[[#This Row],[Impact Type]]="CO2E"),emissions[[#This Row],[kgCO2e]],0)/1000</f>
        <v>0</v>
      </c>
      <c r="AP2468">
        <f>IF(AND(emissions[[#This Row],[Market-based]]=1,OR(emissions[[#This Row],[Impact Type]]="CO2E",emissions[[#This Row],[Impact Type]]="CO2E MKT")),emissions[[#This Row],[kgCO2e]],0)/1000</f>
        <v>15.128395200000002</v>
      </c>
      <c r="AQ2468" t="str">
        <f>_xlfn.TEXTAFTER(emissions[[#This Row],[Reporting Unit]]," &gt; ",LEN(emissions[[#This Row],[Reporting Unit]])-LEN(SUBSTITUTE(emissions[[#This Row],[Reporting Unit]],"&gt;","")))</f>
        <v>Vantage_Sao Paulo</v>
      </c>
      <c r="AR2468" t="str">
        <f>_xlfn.XLOOKUP(emissions[[#This Row],[Reporting unit name]],hierarchy!$A:$A,hierarchy!$C:$C)</f>
        <v>Unspecified Facility Type</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474DD-0A56-40AB-BBF9-B3D6F8E8D5B7}">
  <sheetPr>
    <tabColor theme="9"/>
  </sheetPr>
  <dimension ref="B1:V51"/>
  <sheetViews>
    <sheetView showGridLines="0" topLeftCell="D1" zoomScale="90" zoomScaleNormal="90" workbookViewId="0">
      <selection activeCell="H26" sqref="H26"/>
    </sheetView>
  </sheetViews>
  <sheetFormatPr defaultRowHeight="15" x14ac:dyDescent="0.25"/>
  <cols>
    <col min="1" max="1" width="5.42578125" customWidth="1"/>
    <col min="2" max="2" width="27.7109375" customWidth="1"/>
    <col min="3" max="3" width="3.140625" customWidth="1"/>
    <col min="4" max="4" width="29.28515625" customWidth="1"/>
    <col min="5" max="6" width="16.7109375" customWidth="1"/>
    <col min="7" max="7" width="3.7109375" customWidth="1"/>
    <col min="8" max="8" width="28" customWidth="1"/>
    <col min="9" max="10" width="16.7109375" customWidth="1"/>
    <col min="11" max="11" width="3.140625" customWidth="1"/>
    <col min="12" max="12" width="36.140625" bestFit="1" customWidth="1"/>
    <col min="13" max="14" width="16.7109375" customWidth="1"/>
    <col min="15" max="15" width="3.140625" customWidth="1"/>
    <col min="16" max="16" width="35.28515625" bestFit="1" customWidth="1"/>
    <col min="17" max="22" width="13" customWidth="1"/>
  </cols>
  <sheetData>
    <row r="1" spans="2:22" x14ac:dyDescent="0.25">
      <c r="B1" s="10" t="str">
        <f>IF(COUNTIFS(data!$M:$M,"Error")&gt;0,COUNTIFS(data!$M:$M,"Error")&amp;" calculation errors","No calculation errors")</f>
        <v>No calculation errors</v>
      </c>
    </row>
    <row r="3" spans="2:22" x14ac:dyDescent="0.25">
      <c r="D3" s="16" t="s">
        <v>67</v>
      </c>
      <c r="E3" s="16"/>
      <c r="F3" s="16"/>
      <c r="H3" s="16" t="s">
        <v>68</v>
      </c>
      <c r="I3" s="16"/>
      <c r="J3" s="16"/>
      <c r="L3" s="16" t="s">
        <v>69</v>
      </c>
      <c r="M3" s="16"/>
      <c r="N3" s="16"/>
      <c r="P3" s="16" t="s">
        <v>70</v>
      </c>
      <c r="Q3" s="16"/>
      <c r="R3" s="16"/>
      <c r="S3" s="16"/>
      <c r="T3" s="16"/>
      <c r="U3" s="16"/>
      <c r="V3" s="16"/>
    </row>
    <row r="4" spans="2:22" x14ac:dyDescent="0.25">
      <c r="E4" s="6" t="s">
        <v>71</v>
      </c>
      <c r="F4" s="6" t="s">
        <v>72</v>
      </c>
      <c r="I4" s="6" t="s">
        <v>71</v>
      </c>
      <c r="J4" s="6" t="s">
        <v>72</v>
      </c>
      <c r="M4" s="6" t="s">
        <v>71</v>
      </c>
      <c r="N4" s="6" t="s">
        <v>72</v>
      </c>
      <c r="Q4" s="6" t="s">
        <v>71</v>
      </c>
      <c r="R4" s="6"/>
      <c r="S4" s="6" t="s">
        <v>72</v>
      </c>
      <c r="T4" s="6"/>
    </row>
    <row r="5" spans="2:22" x14ac:dyDescent="0.25">
      <c r="D5" s="4" t="s">
        <v>587</v>
      </c>
      <c r="E5" s="5">
        <v>66404.901366719496</v>
      </c>
      <c r="F5" s="5">
        <v>66404.901366719496</v>
      </c>
      <c r="G5" s="15"/>
      <c r="H5" s="4" t="s">
        <v>587</v>
      </c>
      <c r="I5" s="5">
        <v>66404.901366719496</v>
      </c>
      <c r="J5" s="5">
        <v>66404.901366719496</v>
      </c>
      <c r="L5" s="4" t="s">
        <v>493</v>
      </c>
      <c r="M5" s="5">
        <v>522.10427088100005</v>
      </c>
      <c r="N5" s="5">
        <v>520.74735518099999</v>
      </c>
      <c r="Q5" t="s">
        <v>587</v>
      </c>
      <c r="R5" t="s">
        <v>555</v>
      </c>
      <c r="S5" t="s">
        <v>587</v>
      </c>
      <c r="T5" t="s">
        <v>555</v>
      </c>
    </row>
    <row r="6" spans="2:22" x14ac:dyDescent="0.25">
      <c r="D6" s="4" t="s">
        <v>555</v>
      </c>
      <c r="E6" s="5">
        <v>41478.237320125379</v>
      </c>
      <c r="F6" s="5">
        <v>39683.416271835391</v>
      </c>
      <c r="G6" s="15"/>
      <c r="H6" s="7" t="s">
        <v>556</v>
      </c>
      <c r="I6" s="5">
        <v>66404.901366719496</v>
      </c>
      <c r="J6" s="5">
        <v>66404.901366719496</v>
      </c>
      <c r="L6" s="7" t="s">
        <v>587</v>
      </c>
      <c r="M6" s="5">
        <v>151.881562081</v>
      </c>
      <c r="N6" s="5">
        <v>151.881562081</v>
      </c>
      <c r="P6" s="4" t="s">
        <v>500</v>
      </c>
      <c r="Q6" s="5">
        <v>0</v>
      </c>
      <c r="R6" s="5">
        <v>0.69289999999999996</v>
      </c>
      <c r="S6" s="5">
        <v>0</v>
      </c>
      <c r="T6" s="5">
        <v>0.69289999999999996</v>
      </c>
    </row>
    <row r="7" spans="2:22" x14ac:dyDescent="0.25">
      <c r="D7" s="4" t="s">
        <v>73</v>
      </c>
      <c r="E7" s="5">
        <v>107883.13868684488</v>
      </c>
      <c r="F7" s="5">
        <v>106088.31763855489</v>
      </c>
      <c r="H7" s="8" t="s">
        <v>141</v>
      </c>
      <c r="I7" s="5">
        <v>527.85057334529995</v>
      </c>
      <c r="J7" s="5">
        <v>527.85057334529995</v>
      </c>
      <c r="L7" s="8" t="s">
        <v>135</v>
      </c>
      <c r="M7" s="5">
        <v>50.850660920000003</v>
      </c>
      <c r="N7" s="5">
        <v>50.850660920000003</v>
      </c>
      <c r="P7" s="4" t="s">
        <v>492</v>
      </c>
      <c r="Q7" s="5">
        <v>24.202757212000002</v>
      </c>
      <c r="R7" s="5">
        <v>18.162998399999999</v>
      </c>
      <c r="S7" s="5">
        <v>24.202757212000002</v>
      </c>
      <c r="T7" s="5">
        <v>18.162998399999999</v>
      </c>
    </row>
    <row r="8" spans="2:22" x14ac:dyDescent="0.25">
      <c r="H8" s="8" t="s">
        <v>135</v>
      </c>
      <c r="I8" s="5">
        <v>65275.826564661991</v>
      </c>
      <c r="J8" s="5">
        <v>65275.826564661991</v>
      </c>
      <c r="L8" s="8" t="s">
        <v>116</v>
      </c>
      <c r="M8" s="5">
        <v>87.164185422000003</v>
      </c>
      <c r="N8" s="5">
        <v>87.164185422000003</v>
      </c>
      <c r="P8" s="4" t="s">
        <v>474</v>
      </c>
      <c r="Q8" s="5">
        <v>6.2397733439999996</v>
      </c>
      <c r="R8" s="5">
        <v>3.6509372999999998</v>
      </c>
      <c r="S8" s="5">
        <v>6.2397733439999996</v>
      </c>
      <c r="T8" s="5">
        <v>7.2111900999999996</v>
      </c>
    </row>
    <row r="9" spans="2:22" x14ac:dyDescent="0.25">
      <c r="H9" s="8" t="s">
        <v>116</v>
      </c>
      <c r="I9" s="5">
        <v>487.03442564320005</v>
      </c>
      <c r="J9" s="5">
        <v>487.03442564320005</v>
      </c>
      <c r="L9" s="8" t="s">
        <v>121</v>
      </c>
      <c r="M9" s="5">
        <v>13.866715739</v>
      </c>
      <c r="N9" s="5">
        <v>13.866715739</v>
      </c>
      <c r="P9" s="4" t="s">
        <v>504</v>
      </c>
      <c r="Q9" s="5">
        <v>87.639384660000005</v>
      </c>
      <c r="R9" s="5">
        <v>20.806028999999999</v>
      </c>
      <c r="S9" s="5">
        <v>87.639384660000005</v>
      </c>
      <c r="T9" s="5">
        <v>41.095263500000001</v>
      </c>
    </row>
    <row r="10" spans="2:22" x14ac:dyDescent="0.25">
      <c r="H10" s="8" t="s">
        <v>121</v>
      </c>
      <c r="I10" s="5">
        <v>114.18980306900001</v>
      </c>
      <c r="J10" s="5">
        <v>114.18980306900001</v>
      </c>
      <c r="L10" s="7" t="s">
        <v>555</v>
      </c>
      <c r="M10" s="5">
        <v>370.22270880000002</v>
      </c>
      <c r="N10" s="5">
        <v>368.86579309999996</v>
      </c>
      <c r="P10" s="4" t="s">
        <v>536</v>
      </c>
      <c r="Q10" s="5">
        <v>88.317025812299988</v>
      </c>
      <c r="R10" s="5">
        <v>11002.078321999999</v>
      </c>
      <c r="S10" s="5">
        <v>88.317025812299988</v>
      </c>
      <c r="T10" s="5">
        <v>15925.806752</v>
      </c>
    </row>
    <row r="11" spans="2:22" x14ac:dyDescent="0.25">
      <c r="H11" s="4" t="s">
        <v>555</v>
      </c>
      <c r="I11" s="5">
        <v>41478.237320125379</v>
      </c>
      <c r="J11" s="5">
        <v>39683.416271835369</v>
      </c>
      <c r="L11" s="8" t="s">
        <v>108</v>
      </c>
      <c r="M11" s="5">
        <v>370.22270880000002</v>
      </c>
      <c r="N11" s="5">
        <v>368.86579309999996</v>
      </c>
      <c r="P11" s="4" t="s">
        <v>524</v>
      </c>
      <c r="Q11" s="5">
        <v>0</v>
      </c>
      <c r="R11" s="5">
        <v>0</v>
      </c>
      <c r="S11" s="5">
        <v>0</v>
      </c>
      <c r="T11" s="5">
        <v>0</v>
      </c>
    </row>
    <row r="12" spans="2:22" x14ac:dyDescent="0.25">
      <c r="D12" s="16" t="s">
        <v>74</v>
      </c>
      <c r="E12" s="16"/>
      <c r="F12" s="16"/>
      <c r="H12" s="7" t="s">
        <v>556</v>
      </c>
      <c r="I12" s="5">
        <v>41478.237320125379</v>
      </c>
      <c r="J12" s="5">
        <v>39683.416271835369</v>
      </c>
      <c r="L12" s="4" t="s">
        <v>501</v>
      </c>
      <c r="M12" s="5">
        <v>28405.006068237497</v>
      </c>
      <c r="N12" s="5">
        <v>23886.944024387496</v>
      </c>
      <c r="P12" s="4" t="s">
        <v>479</v>
      </c>
      <c r="Q12" s="5">
        <v>7.6459833760000002</v>
      </c>
      <c r="R12" s="5">
        <v>38.54296257</v>
      </c>
      <c r="S12" s="5">
        <v>7.6459833760000002</v>
      </c>
      <c r="T12" s="5">
        <v>38.54296257</v>
      </c>
    </row>
    <row r="13" spans="2:22" x14ac:dyDescent="0.25">
      <c r="E13" s="6" t="s">
        <v>71</v>
      </c>
      <c r="F13" s="6" t="s">
        <v>72</v>
      </c>
      <c r="H13" s="8" t="s">
        <v>108</v>
      </c>
      <c r="I13" s="5">
        <v>35024.644686125379</v>
      </c>
      <c r="J13" s="5">
        <v>33229.823637835369</v>
      </c>
      <c r="L13" s="7" t="s">
        <v>587</v>
      </c>
      <c r="M13" s="5">
        <v>16291.207193409196</v>
      </c>
      <c r="N13" s="5">
        <v>16291.207193409196</v>
      </c>
      <c r="P13" s="4" t="s">
        <v>505</v>
      </c>
      <c r="Q13" s="5">
        <v>1328.89182491</v>
      </c>
      <c r="R13" s="5">
        <v>677.55687576000003</v>
      </c>
      <c r="S13" s="5">
        <v>1328.89182491</v>
      </c>
      <c r="T13" s="5">
        <v>591.77817528999992</v>
      </c>
    </row>
    <row r="14" spans="2:22" x14ac:dyDescent="0.25">
      <c r="D14" s="4" t="s">
        <v>548</v>
      </c>
      <c r="E14" s="5">
        <v>107883.13868684486</v>
      </c>
      <c r="F14" s="5">
        <v>106088.31763855486</v>
      </c>
      <c r="H14" s="8" t="s">
        <v>181</v>
      </c>
      <c r="I14" s="5">
        <v>6453.5926339999996</v>
      </c>
      <c r="J14" s="5">
        <v>6453.5926339999996</v>
      </c>
      <c r="L14" s="8" t="s">
        <v>141</v>
      </c>
      <c r="M14" s="5">
        <v>1.8531558809999999</v>
      </c>
      <c r="N14" s="5">
        <v>1.8531558809999999</v>
      </c>
      <c r="P14" s="4" t="s">
        <v>483</v>
      </c>
      <c r="Q14" s="5">
        <v>48883.958606940003</v>
      </c>
      <c r="R14" s="5">
        <v>14786.702150000001</v>
      </c>
      <c r="S14" s="5">
        <v>48883.958606940003</v>
      </c>
      <c r="T14" s="5">
        <v>12586.72754</v>
      </c>
    </row>
    <row r="15" spans="2:22" x14ac:dyDescent="0.25">
      <c r="H15" s="4" t="s">
        <v>73</v>
      </c>
      <c r="I15" s="5">
        <v>107883.13868684488</v>
      </c>
      <c r="J15" s="5">
        <v>106088.31763855487</v>
      </c>
      <c r="L15" s="8" t="s">
        <v>135</v>
      </c>
      <c r="M15" s="5">
        <v>15989.488032139998</v>
      </c>
      <c r="N15" s="5">
        <v>15989.488032139998</v>
      </c>
      <c r="P15" s="4" t="s">
        <v>528</v>
      </c>
      <c r="Q15" s="5">
        <v>40.075490317000003</v>
      </c>
      <c r="R15" s="5">
        <v>2.9301307700000003E-4</v>
      </c>
      <c r="S15" s="5">
        <v>40.075490317000003</v>
      </c>
      <c r="T15" s="5">
        <v>2.9301307700000003E-4</v>
      </c>
    </row>
    <row r="16" spans="2:22" x14ac:dyDescent="0.25">
      <c r="L16" s="8" t="s">
        <v>116</v>
      </c>
      <c r="M16" s="5">
        <v>252.21239631320003</v>
      </c>
      <c r="N16" s="5">
        <v>252.21239631320003</v>
      </c>
      <c r="P16" s="4" t="s">
        <v>487</v>
      </c>
      <c r="Q16" s="5">
        <v>697.18625974999998</v>
      </c>
      <c r="R16" s="5">
        <v>1502.2754769999999</v>
      </c>
      <c r="S16" s="5">
        <v>697.18625974999998</v>
      </c>
      <c r="T16" s="5">
        <v>1499.0086470000001</v>
      </c>
    </row>
    <row r="17" spans="4:20" x14ac:dyDescent="0.25">
      <c r="L17" s="8" t="s">
        <v>121</v>
      </c>
      <c r="M17" s="5">
        <v>47.653609074999999</v>
      </c>
      <c r="N17" s="5">
        <v>47.653609074999999</v>
      </c>
      <c r="P17" s="4" t="s">
        <v>507</v>
      </c>
      <c r="Q17" s="5">
        <v>30.076253189999999</v>
      </c>
      <c r="R17" s="5">
        <v>25.873682899999999</v>
      </c>
      <c r="S17" s="5">
        <v>30.076253189999999</v>
      </c>
      <c r="T17" s="5">
        <v>25.773528930000001</v>
      </c>
    </row>
    <row r="18" spans="4:20" x14ac:dyDescent="0.25">
      <c r="L18" s="7" t="s">
        <v>555</v>
      </c>
      <c r="M18" s="5">
        <v>12113.798874828301</v>
      </c>
      <c r="N18" s="5">
        <v>7595.7368309783005</v>
      </c>
      <c r="P18" s="4" t="s">
        <v>519</v>
      </c>
      <c r="Q18" s="5">
        <v>63.652776319999994</v>
      </c>
      <c r="R18" s="5">
        <v>37.81947366</v>
      </c>
      <c r="S18" s="5">
        <v>63.652776319999994</v>
      </c>
      <c r="T18" s="5">
        <v>38.370142119999997</v>
      </c>
    </row>
    <row r="19" spans="4:20" x14ac:dyDescent="0.25">
      <c r="L19" s="8" t="s">
        <v>108</v>
      </c>
      <c r="M19" s="5">
        <v>12113.798874828301</v>
      </c>
      <c r="N19" s="5">
        <v>7595.7368309783005</v>
      </c>
      <c r="P19" s="4" t="s">
        <v>508</v>
      </c>
      <c r="Q19" s="5">
        <v>1996.0042656999999</v>
      </c>
      <c r="R19" s="5">
        <v>821.65806019999991</v>
      </c>
      <c r="S19" s="5">
        <v>1996.0042656999999</v>
      </c>
      <c r="T19" s="5">
        <v>818.47751879999998</v>
      </c>
    </row>
    <row r="20" spans="4:20" x14ac:dyDescent="0.25">
      <c r="L20" s="4" t="s">
        <v>475</v>
      </c>
      <c r="M20" s="5">
        <v>67684.082276071989</v>
      </c>
      <c r="N20" s="5">
        <v>65484.401088871993</v>
      </c>
      <c r="P20" s="4" t="s">
        <v>510</v>
      </c>
      <c r="Q20" s="5">
        <v>127.92358824999999</v>
      </c>
      <c r="R20" s="5">
        <v>109.38572569999999</v>
      </c>
      <c r="S20" s="5">
        <v>127.92358824999999</v>
      </c>
      <c r="T20" s="5">
        <v>108.9349005</v>
      </c>
    </row>
    <row r="21" spans="4:20" x14ac:dyDescent="0.25">
      <c r="D21" s="16" t="s">
        <v>75</v>
      </c>
      <c r="E21" s="16"/>
      <c r="F21" s="16"/>
      <c r="L21" s="7" t="s">
        <v>587</v>
      </c>
      <c r="M21" s="5">
        <v>49743.876536201991</v>
      </c>
      <c r="N21" s="5">
        <v>49743.876536201991</v>
      </c>
      <c r="P21" s="4" t="s">
        <v>511</v>
      </c>
      <c r="Q21" s="5">
        <v>12573.183419376999</v>
      </c>
      <c r="R21" s="5">
        <v>10235.51109</v>
      </c>
      <c r="S21" s="5">
        <v>12573.183419376999</v>
      </c>
      <c r="T21" s="5">
        <v>5787.419261</v>
      </c>
    </row>
    <row r="22" spans="4:20" x14ac:dyDescent="0.25">
      <c r="E22" s="6" t="s">
        <v>71</v>
      </c>
      <c r="F22" s="6" t="s">
        <v>72</v>
      </c>
      <c r="L22" s="8" t="s">
        <v>141</v>
      </c>
      <c r="M22" s="5">
        <v>487.51397747199997</v>
      </c>
      <c r="N22" s="5">
        <v>487.51397747199997</v>
      </c>
      <c r="P22" s="4" t="s">
        <v>496</v>
      </c>
      <c r="Q22" s="5">
        <v>64.885477958999999</v>
      </c>
      <c r="R22" s="5">
        <v>329.23448820000004</v>
      </c>
      <c r="S22" s="5">
        <v>64.885477958999999</v>
      </c>
      <c r="T22" s="5">
        <v>327.87757249999999</v>
      </c>
    </row>
    <row r="23" spans="4:20" x14ac:dyDescent="0.25">
      <c r="D23" s="4" t="s">
        <v>548</v>
      </c>
      <c r="E23" s="9">
        <v>1</v>
      </c>
      <c r="F23" s="9">
        <v>1</v>
      </c>
      <c r="L23" s="8" t="s">
        <v>135</v>
      </c>
      <c r="M23" s="5">
        <v>49171.774309461995</v>
      </c>
      <c r="N23" s="5">
        <v>49171.774309461995</v>
      </c>
      <c r="P23" s="4" t="s">
        <v>512</v>
      </c>
      <c r="Q23" s="5">
        <v>59.373085570000001</v>
      </c>
      <c r="R23" s="5">
        <v>56.176858350000003</v>
      </c>
      <c r="S23" s="5">
        <v>59.373085570000001</v>
      </c>
      <c r="T23" s="5">
        <v>55.959404360000001</v>
      </c>
    </row>
    <row r="24" spans="4:20" x14ac:dyDescent="0.25">
      <c r="D24" s="7" t="s">
        <v>110</v>
      </c>
      <c r="E24" s="9">
        <v>0.99750171225466533</v>
      </c>
      <c r="F24" s="9">
        <v>0.99745944577773538</v>
      </c>
      <c r="L24" s="8" t="s">
        <v>116</v>
      </c>
      <c r="M24" s="5">
        <v>71.824945182999983</v>
      </c>
      <c r="N24" s="5">
        <v>71.824945182999983</v>
      </c>
      <c r="P24" s="4" t="s">
        <v>498</v>
      </c>
      <c r="Q24" s="5">
        <v>62.793326910000005</v>
      </c>
      <c r="R24" s="5">
        <v>22.825222199999999</v>
      </c>
      <c r="S24" s="5">
        <v>62.793326910000005</v>
      </c>
      <c r="T24" s="5">
        <v>22.825222199999999</v>
      </c>
    </row>
    <row r="25" spans="4:20" x14ac:dyDescent="0.25">
      <c r="D25" s="7" t="s">
        <v>82</v>
      </c>
      <c r="E25" s="9">
        <v>2.498287745334594E-3</v>
      </c>
      <c r="F25" s="9">
        <v>2.5405542222645848E-3</v>
      </c>
      <c r="L25" s="8" t="s">
        <v>121</v>
      </c>
      <c r="M25" s="5">
        <v>12.763304085</v>
      </c>
      <c r="N25" s="5">
        <v>12.763304085</v>
      </c>
      <c r="P25" s="4" t="s">
        <v>513</v>
      </c>
      <c r="Q25" s="5">
        <v>27.655499154999998</v>
      </c>
      <c r="R25" s="5">
        <v>67.016384820000013</v>
      </c>
      <c r="S25" s="5">
        <v>27.655499154999998</v>
      </c>
      <c r="T25" s="5">
        <v>66.870651800000005</v>
      </c>
    </row>
    <row r="26" spans="4:20" x14ac:dyDescent="0.25">
      <c r="L26" s="7" t="s">
        <v>555</v>
      </c>
      <c r="M26" s="5">
        <v>17940.205739870002</v>
      </c>
      <c r="N26" s="5">
        <v>15740.52455267</v>
      </c>
      <c r="P26" s="4" t="s">
        <v>514</v>
      </c>
      <c r="Q26" s="5">
        <v>35.704343460000004</v>
      </c>
      <c r="R26" s="5">
        <v>93.666911959999993</v>
      </c>
      <c r="S26" s="5">
        <v>35.704343460000004</v>
      </c>
      <c r="T26" s="5">
        <v>93.280870660000005</v>
      </c>
    </row>
    <row r="27" spans="4:20" x14ac:dyDescent="0.25">
      <c r="L27" s="8" t="s">
        <v>108</v>
      </c>
      <c r="M27" s="5">
        <v>17940.205739870002</v>
      </c>
      <c r="N27" s="5">
        <v>15740.52455267</v>
      </c>
      <c r="P27" s="4" t="s">
        <v>489</v>
      </c>
      <c r="Q27" s="5">
        <v>148.84591279200001</v>
      </c>
      <c r="R27" s="5">
        <v>1609.0342129999999</v>
      </c>
      <c r="S27" s="5">
        <v>148.84591279200001</v>
      </c>
      <c r="T27" s="5">
        <v>1609.0342129999999</v>
      </c>
    </row>
    <row r="28" spans="4:20" x14ac:dyDescent="0.25">
      <c r="L28" s="4" t="s">
        <v>537</v>
      </c>
      <c r="M28" s="5">
        <v>11090.3953478123</v>
      </c>
      <c r="N28" s="5">
        <v>16014.1237778123</v>
      </c>
      <c r="P28" s="4" t="s">
        <v>515</v>
      </c>
      <c r="Q28" s="5">
        <v>24.084421500000001</v>
      </c>
      <c r="R28" s="5">
        <v>5.3396358950000007</v>
      </c>
      <c r="S28" s="5">
        <v>24.084421500000001</v>
      </c>
      <c r="T28" s="5">
        <v>5.3396358950000007</v>
      </c>
    </row>
    <row r="29" spans="4:20" x14ac:dyDescent="0.25">
      <c r="L29" s="7" t="s">
        <v>587</v>
      </c>
      <c r="M29" s="5">
        <v>88.317025812299988</v>
      </c>
      <c r="N29" s="5">
        <v>88.317025812299988</v>
      </c>
      <c r="P29" s="4" t="s">
        <v>523</v>
      </c>
      <c r="Q29" s="5">
        <v>7.8193275160000004</v>
      </c>
      <c r="R29" s="5">
        <v>2.0568452539999997</v>
      </c>
      <c r="S29" s="5">
        <v>7.8193275160000004</v>
      </c>
      <c r="T29" s="5">
        <v>2.0568452539999997</v>
      </c>
    </row>
    <row r="30" spans="4:20" x14ac:dyDescent="0.25">
      <c r="L30" s="8" t="s">
        <v>141</v>
      </c>
      <c r="M30" s="5">
        <v>38.483439992299992</v>
      </c>
      <c r="N30" s="5">
        <v>38.483439992299992</v>
      </c>
      <c r="P30" s="4" t="s">
        <v>530</v>
      </c>
      <c r="Q30" s="5">
        <v>1.0158968820000001</v>
      </c>
      <c r="R30" s="5">
        <v>4.6461881000000007</v>
      </c>
      <c r="S30" s="5">
        <v>1.0158968820000001</v>
      </c>
      <c r="T30" s="5">
        <v>4.6461881000000007</v>
      </c>
    </row>
    <row r="31" spans="4:20" x14ac:dyDescent="0.25">
      <c r="L31" s="8" t="s">
        <v>135</v>
      </c>
      <c r="M31" s="5">
        <v>6.0785820000000004E-2</v>
      </c>
      <c r="N31" s="5">
        <v>6.0785820000000004E-2</v>
      </c>
      <c r="P31" s="4" t="s">
        <v>517</v>
      </c>
      <c r="Q31" s="5">
        <v>0.6711076372</v>
      </c>
      <c r="R31" s="5">
        <v>0.11472024330000001</v>
      </c>
      <c r="S31" s="5">
        <v>0.6711076372</v>
      </c>
      <c r="T31" s="5">
        <v>0.11472024330000001</v>
      </c>
    </row>
    <row r="32" spans="4:20" x14ac:dyDescent="0.25">
      <c r="L32" s="8" t="s">
        <v>116</v>
      </c>
      <c r="M32" s="5">
        <v>49.772799999999997</v>
      </c>
      <c r="N32" s="5">
        <v>49.772799999999997</v>
      </c>
      <c r="P32" s="4" t="s">
        <v>532</v>
      </c>
      <c r="Q32" s="5">
        <v>1.9271256000000001</v>
      </c>
      <c r="R32" s="5">
        <v>5.0862968000000004</v>
      </c>
      <c r="S32" s="5">
        <v>1.9271256000000001</v>
      </c>
      <c r="T32" s="5">
        <v>5.0862968000000004</v>
      </c>
    </row>
    <row r="33" spans="12:20" x14ac:dyDescent="0.25">
      <c r="L33" s="7" t="s">
        <v>555</v>
      </c>
      <c r="M33" s="5">
        <v>11002.078321999999</v>
      </c>
      <c r="N33" s="5">
        <v>15925.806752</v>
      </c>
      <c r="P33" s="4" t="s">
        <v>534</v>
      </c>
      <c r="Q33" s="5">
        <v>15.12843258</v>
      </c>
      <c r="R33" s="5">
        <v>2.3225777999999999</v>
      </c>
      <c r="S33" s="5">
        <v>15.12843258</v>
      </c>
      <c r="T33" s="5">
        <v>2.3225777999999999</v>
      </c>
    </row>
    <row r="34" spans="12:20" x14ac:dyDescent="0.25">
      <c r="L34" s="8" t="s">
        <v>108</v>
      </c>
      <c r="M34" s="5">
        <v>4548.4856879999998</v>
      </c>
      <c r="N34" s="5">
        <v>9472.2141179999999</v>
      </c>
      <c r="P34" s="4" t="s">
        <v>73</v>
      </c>
      <c r="Q34" s="5">
        <v>66404.901366719525</v>
      </c>
      <c r="R34" s="5">
        <v>41478.237320125379</v>
      </c>
      <c r="S34" s="5">
        <v>66404.901366719525</v>
      </c>
      <c r="T34" s="5">
        <v>39683.416271835369</v>
      </c>
    </row>
    <row r="35" spans="12:20" x14ac:dyDescent="0.25">
      <c r="L35" s="8" t="s">
        <v>181</v>
      </c>
      <c r="M35" s="5">
        <v>6453.5926339999996</v>
      </c>
      <c r="N35" s="5">
        <v>6453.5926339999996</v>
      </c>
    </row>
    <row r="36" spans="12:20" x14ac:dyDescent="0.25">
      <c r="L36" s="4" t="s">
        <v>525</v>
      </c>
      <c r="M36" s="5">
        <v>70.202301092077008</v>
      </c>
      <c r="N36" s="5">
        <v>70.202301092077008</v>
      </c>
    </row>
    <row r="37" spans="12:20" x14ac:dyDescent="0.25">
      <c r="L37" s="7" t="s">
        <v>587</v>
      </c>
      <c r="M37" s="5">
        <v>58.146945379000002</v>
      </c>
      <c r="N37" s="5">
        <v>58.146945379000002</v>
      </c>
    </row>
    <row r="38" spans="12:20" x14ac:dyDescent="0.25">
      <c r="L38" s="8" t="s">
        <v>141</v>
      </c>
      <c r="M38" s="5">
        <v>0</v>
      </c>
      <c r="N38" s="5">
        <v>0</v>
      </c>
    </row>
    <row r="39" spans="12:20" x14ac:dyDescent="0.25">
      <c r="L39" s="8" t="s">
        <v>135</v>
      </c>
      <c r="M39" s="5">
        <v>0</v>
      </c>
      <c r="N39" s="5">
        <v>0</v>
      </c>
    </row>
    <row r="40" spans="12:20" x14ac:dyDescent="0.25">
      <c r="L40" s="8" t="s">
        <v>116</v>
      </c>
      <c r="M40" s="5">
        <v>18.240771208999998</v>
      </c>
      <c r="N40" s="5">
        <v>18.240771208999998</v>
      </c>
    </row>
    <row r="41" spans="12:20" x14ac:dyDescent="0.25">
      <c r="L41" s="8" t="s">
        <v>121</v>
      </c>
      <c r="M41" s="5">
        <v>39.90617417</v>
      </c>
      <c r="N41" s="5">
        <v>39.90617417</v>
      </c>
    </row>
    <row r="42" spans="12:20" x14ac:dyDescent="0.25">
      <c r="L42" s="7" t="s">
        <v>555</v>
      </c>
      <c r="M42" s="5">
        <v>12.055355713077001</v>
      </c>
      <c r="N42" s="5">
        <v>12.055355713077001</v>
      </c>
    </row>
    <row r="43" spans="12:20" x14ac:dyDescent="0.25">
      <c r="L43" s="8" t="s">
        <v>108</v>
      </c>
      <c r="M43" s="5">
        <v>12.055355713077001</v>
      </c>
      <c r="N43" s="5">
        <v>12.055355713077001</v>
      </c>
    </row>
    <row r="44" spans="12:20" x14ac:dyDescent="0.25">
      <c r="L44" s="4" t="s">
        <v>520</v>
      </c>
      <c r="M44" s="5">
        <v>111.34842275</v>
      </c>
      <c r="N44" s="5">
        <v>111.89909120999999</v>
      </c>
    </row>
    <row r="45" spans="12:20" x14ac:dyDescent="0.25">
      <c r="L45" s="7" t="s">
        <v>587</v>
      </c>
      <c r="M45" s="5">
        <v>71.472103835999988</v>
      </c>
      <c r="N45" s="5">
        <v>71.472103835999988</v>
      </c>
    </row>
    <row r="46" spans="12:20" x14ac:dyDescent="0.25">
      <c r="L46" s="8" t="s">
        <v>141</v>
      </c>
      <c r="M46" s="5">
        <v>0</v>
      </c>
      <c r="N46" s="5">
        <v>0</v>
      </c>
    </row>
    <row r="47" spans="12:20" x14ac:dyDescent="0.25">
      <c r="L47" s="8" t="s">
        <v>135</v>
      </c>
      <c r="M47" s="5">
        <v>63.652776319999994</v>
      </c>
      <c r="N47" s="5">
        <v>63.652776319999994</v>
      </c>
    </row>
    <row r="48" spans="12:20" x14ac:dyDescent="0.25">
      <c r="L48" s="8" t="s">
        <v>116</v>
      </c>
      <c r="M48" s="5">
        <v>7.8193275160000004</v>
      </c>
      <c r="N48" s="5">
        <v>7.8193275160000004</v>
      </c>
    </row>
    <row r="49" spans="12:14" x14ac:dyDescent="0.25">
      <c r="L49" s="7" t="s">
        <v>555</v>
      </c>
      <c r="M49" s="5">
        <v>39.876318914000002</v>
      </c>
      <c r="N49" s="5">
        <v>40.426987373999999</v>
      </c>
    </row>
    <row r="50" spans="12:14" x14ac:dyDescent="0.25">
      <c r="L50" s="8" t="s">
        <v>108</v>
      </c>
      <c r="M50" s="5">
        <v>39.876318914000002</v>
      </c>
      <c r="N50" s="5">
        <v>40.426987373999999</v>
      </c>
    </row>
    <row r="51" spans="12:14" x14ac:dyDescent="0.25">
      <c r="L51" s="4" t="s">
        <v>73</v>
      </c>
      <c r="M51" s="5">
        <v>107883.13868684489</v>
      </c>
      <c r="N51" s="5">
        <v>106088.31763855489</v>
      </c>
    </row>
  </sheetData>
  <mergeCells count="6">
    <mergeCell ref="P3:V3"/>
    <mergeCell ref="D3:F3"/>
    <mergeCell ref="D12:F12"/>
    <mergeCell ref="H3:J3"/>
    <mergeCell ref="D21:F21"/>
    <mergeCell ref="L3:N3"/>
  </mergeCells>
  <conditionalFormatting sqref="B1">
    <cfRule type="containsText" dxfId="0" priority="1" operator="containsText" text="No calculation errors">
      <formula>NOT(ISERROR(SEARCH("No calculation errors",B1)))</formula>
    </cfRule>
  </conditionalFormatting>
  <pageMargins left="0.7" right="0.7" top="0.75" bottom="0.75" header="0.3" footer="0.3"/>
  <drawing r:id="rId7"/>
  <extLst>
    <ext xmlns:x14="http://schemas.microsoft.com/office/spreadsheetml/2009/9/main" uri="{A8765BA9-456A-4dab-B4F3-ACF838C121DE}">
      <x14:slicerList>
        <x14:slicer r:id="rId8"/>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06B8B23408AB94CBFFA9D2A231D90A6" ma:contentTypeVersion="301" ma:contentTypeDescription="Create a new document." ma:contentTypeScope="" ma:versionID="aa6aab7de56f3fb8419d0df60ba1092b">
  <xsd:schema xmlns:xsd="http://www.w3.org/2001/XMLSchema" xmlns:xs="http://www.w3.org/2001/XMLSchema" xmlns:p="http://schemas.microsoft.com/office/2006/metadata/properties" xmlns:ns1="http://schemas.microsoft.com/sharepoint/v3" xmlns:ns2="331b0959-5de7-47fc-9a68-e71529f12cab" xmlns:ns3="6b2a7ccc-6487-4735-8cc1-6ab8e4789e6a" targetNamespace="http://schemas.microsoft.com/office/2006/metadata/properties" ma:root="true" ma:fieldsID="feeb46a1daf2bc8f43a477a89012f7e1" ns1:_="" ns2:_="" ns3:_="">
    <xsd:import namespace="http://schemas.microsoft.com/sharepoint/v3"/>
    <xsd:import namespace="331b0959-5de7-47fc-9a68-e71529f12cab"/>
    <xsd:import namespace="6b2a7ccc-6487-4735-8cc1-6ab8e4789e6a"/>
    <xsd:element name="properties">
      <xsd:complexType>
        <xsd:sequence>
          <xsd:element name="documentManagement">
            <xsd:complexType>
              <xsd:all>
                <xsd:element ref="ns2:SharedWithUsers" minOccurs="0"/>
                <xsd:element ref="ns2:SharingHintHash" minOccurs="0"/>
                <xsd:element ref="ns2:SharedWithDetails" minOccurs="0"/>
                <xsd:element ref="ns2:LastSharedByUser" minOccurs="0"/>
                <xsd:element ref="ns2:LastSharedByTime" minOccurs="0"/>
                <xsd:element ref="ns3:MediaServiceMetadata" minOccurs="0"/>
                <xsd:element ref="ns3:MediaServiceFastMetadata" minOccurs="0"/>
                <xsd:element ref="ns3:MediaServiceDateTaken" minOccurs="0"/>
                <xsd:element ref="ns3:MediaServiceAutoTags" minOccurs="0"/>
                <xsd:element ref="ns3:MediaServiceOCR" minOccurs="0"/>
                <xsd:element ref="ns3:MediaServiceLocation" minOccurs="0"/>
                <xsd:element ref="ns1:_ip_UnifiedCompliancePolicyProperties" minOccurs="0"/>
                <xsd:element ref="ns1:_ip_UnifiedCompliancePolicyUIAction" minOccurs="0"/>
                <xsd:element ref="ns3:MediaServiceEventHashCode" minOccurs="0"/>
                <xsd:element ref="ns3:MediaServiceGenerationTime" minOccurs="0"/>
                <xsd:element ref="ns2:_dlc_DocId" minOccurs="0"/>
                <xsd:element ref="ns2:_dlc_DocIdUrl" minOccurs="0"/>
                <xsd:element ref="ns2:_dlc_DocIdPersistId" minOccurs="0"/>
                <xsd:element ref="ns3:MediaServiceAutoKeyPoints" minOccurs="0"/>
                <xsd:element ref="ns3:MediaServiceKeyPoints" minOccurs="0"/>
                <xsd:element ref="ns3:Scope" minOccurs="0"/>
                <xsd:element ref="ns3:MediaLengthInSeconds" minOccurs="0"/>
                <xsd:element ref="ns3:lcf76f155ced4ddcb4097134ff3c332f" minOccurs="0"/>
                <xsd:element ref="ns2:TaxCatchAll"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31b0959-5de7-47fc-9a68-e71529f12cab"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ingHintHash" ma:index="9" nillable="true" ma:displayName="Sharing Hint Hash" ma:internalName="SharingHintHash" ma:readOnly="true">
      <xsd:simpleType>
        <xsd:restriction base="dms:Text"/>
      </xsd:simpleType>
    </xsd:element>
    <xsd:element name="SharedWithDetails" ma:index="10" nillable="true" ma:displayName="Shared With Details" ma:description="" ma:internalName="SharedWithDetails" ma:readOnly="true">
      <xsd:simpleType>
        <xsd:restriction base="dms:Note">
          <xsd:maxLength value="255"/>
        </xsd:restriction>
      </xsd:simpleType>
    </xsd:element>
    <xsd:element name="LastSharedByUser" ma:index="11" nillable="true" ma:displayName="Last Shared By User" ma:internalName="LastSharedByUser" ma:readOnly="true">
      <xsd:simpleType>
        <xsd:restriction base="dms:Note">
          <xsd:maxLength value="255"/>
        </xsd:restriction>
      </xsd:simpleType>
    </xsd:element>
    <xsd:element name="LastSharedByTime" ma:index="12" nillable="true" ma:displayName="Last Shared By Time" ma:description="" ma:internalName="LastSharedByTime" ma:readOnly="true">
      <xsd:simpleType>
        <xsd:restriction base="dms:DateTime"/>
      </xsd:simpleType>
    </xsd:element>
    <xsd:element name="_dlc_DocId" ma:index="23" nillable="true" ma:displayName="Document ID Value" ma:description="The value of the document ID assigned to this item." ma:internalName="_dlc_DocId" ma:readOnly="true">
      <xsd:simpleType>
        <xsd:restriction base="dms:Text"/>
      </xsd:simpleType>
    </xsd:element>
    <xsd:element name="_dlc_DocIdUrl" ma:index="24"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5" nillable="true" ma:displayName="Persist ID" ma:description="Keep ID on add." ma:hidden="true" ma:internalName="_dlc_DocIdPersistId" ma:readOnly="true">
      <xsd:simpleType>
        <xsd:restriction base="dms:Boolean"/>
      </xsd:simpleType>
    </xsd:element>
    <xsd:element name="TaxCatchAll" ma:index="32" nillable="true" ma:displayName="Taxonomy Catch All Column" ma:hidden="true" ma:list="{92e2a0d3-c084-46b6-9dbf-4ea114ff9170}" ma:internalName="TaxCatchAll" ma:showField="CatchAllData" ma:web="331b0959-5de7-47fc-9a68-e71529f12ca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6b2a7ccc-6487-4735-8cc1-6ab8e4789e6a" elementFormDefault="qualified">
    <xsd:import namespace="http://schemas.microsoft.com/office/2006/documentManagement/types"/>
    <xsd:import namespace="http://schemas.microsoft.com/office/infopath/2007/PartnerControls"/>
    <xsd:element name="MediaServiceMetadata" ma:index="13" nillable="true" ma:displayName="MediaServiceMetadata" ma:description="" ma:hidden="true" ma:internalName="MediaServiceMetadata" ma:readOnly="true">
      <xsd:simpleType>
        <xsd:restriction base="dms:Note"/>
      </xsd:simpleType>
    </xsd:element>
    <xsd:element name="MediaServiceFastMetadata" ma:index="14" nillable="true" ma:displayName="MediaServiceFastMetadata" ma:description="" ma:hidden="true" ma:internalName="MediaServiceFastMetadata" ma:readOnly="true">
      <xsd:simpleType>
        <xsd:restriction base="dms:Note"/>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MediaServiceAutoTags" ma:internalName="MediaServiceAutoTags"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element name="MediaServiceLocation" ma:index="18" nillable="true" ma:displayName="MediaServiceLocation" ma:internalName="MediaServiceLocation"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AutoKeyPoints" ma:index="26" nillable="true" ma:displayName="MediaServiceAutoKeyPoints" ma:hidden="true" ma:internalName="MediaServiceAutoKeyPoints" ma:readOnly="true">
      <xsd:simpleType>
        <xsd:restriction base="dms:Note"/>
      </xsd:simpleType>
    </xsd:element>
    <xsd:element name="MediaServiceKeyPoints" ma:index="27" nillable="true" ma:displayName="KeyPoints" ma:internalName="MediaServiceKeyPoints" ma:readOnly="true">
      <xsd:simpleType>
        <xsd:restriction base="dms:Note">
          <xsd:maxLength value="255"/>
        </xsd:restriction>
      </xsd:simpleType>
    </xsd:element>
    <xsd:element name="Scope" ma:index="28" nillable="true" ma:displayName="Scope" ma:internalName="Scope">
      <xsd:simpleType>
        <xsd:restriction base="dms:Text">
          <xsd:maxLength value="255"/>
        </xsd:restriction>
      </xsd:simpleType>
    </xsd:element>
    <xsd:element name="MediaLengthInSeconds" ma:index="29" nillable="true" ma:displayName="Length (seconds)" ma:internalName="MediaLengthInSeconds" ma:readOnly="true">
      <xsd:simpleType>
        <xsd:restriction base="dms:Unknown"/>
      </xsd:simpleType>
    </xsd:element>
    <xsd:element name="lcf76f155ced4ddcb4097134ff3c332f" ma:index="31" nillable="true" ma:taxonomy="true" ma:internalName="lcf76f155ced4ddcb4097134ff3c332f" ma:taxonomyFieldName="MediaServiceImageTags" ma:displayName="Image Tags" ma:readOnly="false" ma:fieldId="{5cf76f15-5ced-4ddc-b409-7134ff3c332f}" ma:taxonomyMulti="true" ma:sspId="b7d5c9cd-1d9d-4498-a792-f3e3b2446e2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33" nillable="true" ma:displayName="MediaServiceObjectDetectorVersions" ma:description=""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6b2a7ccc-6487-4735-8cc1-6ab8e4789e6a">
      <Terms xmlns="http://schemas.microsoft.com/office/infopath/2007/PartnerControls"/>
    </lcf76f155ced4ddcb4097134ff3c332f>
    <TaxCatchAll xmlns="331b0959-5de7-47fc-9a68-e71529f12cab" xsi:nil="true"/>
    <Scope xmlns="6b2a7ccc-6487-4735-8cc1-6ab8e4789e6a" xsi:nil="true"/>
    <_ip_UnifiedCompliancePolicyUIAction xmlns="http://schemas.microsoft.com/sharepoint/v3" xsi:nil="true"/>
    <_ip_UnifiedCompliancePolicyProperties xmlns="http://schemas.microsoft.com/sharepoint/v3" xsi:nil="true"/>
    <_dlc_DocId xmlns="331b0959-5de7-47fc-9a68-e71529f12cab">K7H4CX7UT3ZM-1717262663-163541</_dlc_DocId>
    <_dlc_DocIdUrl xmlns="331b0959-5de7-47fc-9a68-e71529f12cab">
      <Url>https://anthesisllc.sharepoint.com/_layouts/15/DocIdRedir.aspx?ID=K7H4CX7UT3ZM-1717262663-163541</Url>
      <Description>K7H4CX7UT3ZM-1717262663-163541</Description>
    </_dlc_DocIdUrl>
  </documentManagement>
</p:properties>
</file>

<file path=customXml/itemProps1.xml><?xml version="1.0" encoding="utf-8"?>
<ds:datastoreItem xmlns:ds="http://schemas.openxmlformats.org/officeDocument/2006/customXml" ds:itemID="{3DEBBFEE-D58D-45B6-A8A3-74E62ECE98F1}">
  <ds:schemaRefs>
    <ds:schemaRef ds:uri="http://schemas.microsoft.com/sharepoint/events"/>
  </ds:schemaRefs>
</ds:datastoreItem>
</file>

<file path=customXml/itemProps2.xml><?xml version="1.0" encoding="utf-8"?>
<ds:datastoreItem xmlns:ds="http://schemas.openxmlformats.org/officeDocument/2006/customXml" ds:itemID="{F8268F08-2840-43A0-8A54-7EE17D54997C}">
  <ds:schemaRefs>
    <ds:schemaRef ds:uri="http://schemas.microsoft.com/sharepoint/v3/contenttype/forms"/>
  </ds:schemaRefs>
</ds:datastoreItem>
</file>

<file path=customXml/itemProps3.xml><?xml version="1.0" encoding="utf-8"?>
<ds:datastoreItem xmlns:ds="http://schemas.openxmlformats.org/officeDocument/2006/customXml" ds:itemID="{95482143-A551-4C72-ACCE-7FA97C3376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31b0959-5de7-47fc-9a68-e71529f12cab"/>
    <ds:schemaRef ds:uri="6b2a7ccc-6487-4735-8cc1-6ab8e4789e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9D19E662-4406-40D3-A7C4-EAF29F3BB63E}">
  <ds:schemaRefs>
    <ds:schemaRef ds:uri="http://schemas.microsoft.com/office/2006/metadata/properties"/>
    <ds:schemaRef ds:uri="http://schemas.microsoft.com/office/infopath/2007/PartnerControls"/>
    <ds:schemaRef ds:uri="205ad4d1-b25c-4da9-ac08-335908e4ef27"/>
    <ds:schemaRef ds:uri="af0d2926-371d-43c9-a886-38c43ad2a816"/>
    <ds:schemaRef ds:uri="6b2a7ccc-6487-4735-8cc1-6ab8e4789e6a"/>
    <ds:schemaRef ds:uri="331b0959-5de7-47fc-9a68-e71529f12cab"/>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4</vt:i4>
      </vt:variant>
    </vt:vector>
  </HeadingPairs>
  <TitlesOfParts>
    <vt:vector size="4" baseType="lpstr">
      <vt:lpstr>hierarchy</vt:lpstr>
      <vt:lpstr>data</vt:lpstr>
      <vt:lpstr>emissions</vt:lpstr>
      <vt:lpstr>RESULTS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Dan DiZio</cp:lastModifiedBy>
  <cp:revision/>
  <dcterms:created xsi:type="dcterms:W3CDTF">2023-04-06T07:33:41Z</dcterms:created>
  <dcterms:modified xsi:type="dcterms:W3CDTF">2025-03-27T14:50:12Z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0x010100406B8B23408AB94CBFFA9D2A231D90A6</vt:lpwstr>
  </property>
  <property fmtid="{D5CDD505-2E9C-101B-9397-08002B2CF9AE}" pid="4" name="_dlc_DocIdItemGuid">
    <vt:lpwstr>73520687-b8b9-47a5-af67-b8c7e59a9ef1</vt:lpwstr>
  </property>
</Properties>
</file>